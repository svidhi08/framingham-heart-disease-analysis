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C:\Desktop\framingham-heart-disease-analysis\data\"/>
    </mc:Choice>
  </mc:AlternateContent>
  <xr:revisionPtr revIDLastSave="0" documentId="13_ncr:1_{BB6E8F14-51B7-4A94-8DF8-32406B4A279F}" xr6:coauthVersionLast="45" xr6:coauthVersionMax="45" xr10:uidLastSave="{00000000-0000-0000-0000-000000000000}"/>
  <bookViews>
    <workbookView xWindow="20" yWindow="110" windowWidth="18790" windowHeight="9970" xr2:uid="{00000000-000D-0000-FFFF-FFFF00000000}"/>
  </bookViews>
  <sheets>
    <sheet name="framingham" sheetId="1" r:id="rId1"/>
    <sheet name="LookUP_Table" sheetId="3" r:id="rId2"/>
    <sheet name="Pivot Analysis" sheetId="2" r:id="rId3"/>
    <sheet name="Dashboards" sheetId="5" r:id="rId4"/>
    <sheet name="KPIs" sheetId="4" r:id="rId5"/>
  </sheets>
  <definedNames>
    <definedName name="_xlnm._FilterDatabase" localSheetId="0" hidden="1">framingham!$A$1:$Y$4241</definedName>
    <definedName name="Slicer_age_group">#N/A</definedName>
    <definedName name="Slicer_BMI_Category">#N/A</definedName>
    <definedName name="Slicer_gender">#N/A</definedName>
    <definedName name="Slicer_High_Cholesterol_Flag">#N/A</definedName>
    <definedName name="Slicer_smoker_Category">#N/A</definedName>
    <definedName name="Slicer_TenYearCH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4" l="1"/>
  <c r="B3" i="4"/>
  <c r="D5" i="1" l="1"/>
  <c r="D3" i="1"/>
  <c r="D4"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2" i="1"/>
  <c r="B4" i="4" l="1"/>
  <c r="W4241" i="1"/>
  <c r="T4241" i="1"/>
  <c r="P4241" i="1"/>
  <c r="J4241" i="1"/>
  <c r="G4241" i="1"/>
  <c r="F4241" i="1"/>
  <c r="B4241" i="1"/>
  <c r="W4240" i="1"/>
  <c r="T4240" i="1"/>
  <c r="P4240" i="1"/>
  <c r="J4240" i="1"/>
  <c r="G4240" i="1"/>
  <c r="F4240" i="1"/>
  <c r="B4240" i="1"/>
  <c r="W4239" i="1"/>
  <c r="T4239" i="1"/>
  <c r="P4239" i="1"/>
  <c r="J4239" i="1"/>
  <c r="G4239" i="1"/>
  <c r="F4239" i="1"/>
  <c r="B4239" i="1"/>
  <c r="W4238" i="1"/>
  <c r="T4238" i="1"/>
  <c r="P4238" i="1"/>
  <c r="J4238" i="1"/>
  <c r="G4238" i="1"/>
  <c r="F4238" i="1"/>
  <c r="B4238" i="1"/>
  <c r="W4237" i="1"/>
  <c r="T4237" i="1"/>
  <c r="P4237" i="1"/>
  <c r="J4237" i="1"/>
  <c r="G4237" i="1"/>
  <c r="F4237" i="1"/>
  <c r="B4237" i="1"/>
  <c r="W4236" i="1"/>
  <c r="T4236" i="1"/>
  <c r="P4236" i="1"/>
  <c r="J4236" i="1"/>
  <c r="G4236" i="1"/>
  <c r="F4236" i="1"/>
  <c r="B4236" i="1"/>
  <c r="W4235" i="1"/>
  <c r="T4235" i="1"/>
  <c r="P4235" i="1"/>
  <c r="J4235" i="1"/>
  <c r="G4235" i="1"/>
  <c r="F4235" i="1"/>
  <c r="B4235" i="1"/>
  <c r="W4234" i="1"/>
  <c r="T4234" i="1"/>
  <c r="P4234" i="1"/>
  <c r="J4234" i="1"/>
  <c r="G4234" i="1"/>
  <c r="F4234" i="1"/>
  <c r="B4234" i="1"/>
  <c r="W4233" i="1"/>
  <c r="T4233" i="1"/>
  <c r="P4233" i="1"/>
  <c r="J4233" i="1"/>
  <c r="G4233" i="1"/>
  <c r="F4233" i="1"/>
  <c r="B4233" i="1"/>
  <c r="W4232" i="1"/>
  <c r="T4232" i="1"/>
  <c r="P4232" i="1"/>
  <c r="J4232" i="1"/>
  <c r="G4232" i="1"/>
  <c r="F4232" i="1"/>
  <c r="B4232" i="1"/>
  <c r="W4231" i="1"/>
  <c r="T4231" i="1"/>
  <c r="P4231" i="1"/>
  <c r="J4231" i="1"/>
  <c r="G4231" i="1"/>
  <c r="F4231" i="1"/>
  <c r="B4231" i="1"/>
  <c r="W4230" i="1"/>
  <c r="T4230" i="1"/>
  <c r="P4230" i="1"/>
  <c r="J4230" i="1"/>
  <c r="G4230" i="1"/>
  <c r="F4230" i="1"/>
  <c r="B4230" i="1"/>
  <c r="W4229" i="1"/>
  <c r="T4229" i="1"/>
  <c r="P4229" i="1"/>
  <c r="J4229" i="1"/>
  <c r="G4229" i="1"/>
  <c r="F4229" i="1"/>
  <c r="B4229" i="1"/>
  <c r="W4228" i="1"/>
  <c r="T4228" i="1"/>
  <c r="P4228" i="1"/>
  <c r="J4228" i="1"/>
  <c r="G4228" i="1"/>
  <c r="F4228" i="1"/>
  <c r="B4228" i="1"/>
  <c r="W4227" i="1"/>
  <c r="T4227" i="1"/>
  <c r="P4227" i="1"/>
  <c r="J4227" i="1"/>
  <c r="G4227" i="1"/>
  <c r="F4227" i="1"/>
  <c r="B4227" i="1"/>
  <c r="W4226" i="1"/>
  <c r="T4226" i="1"/>
  <c r="P4226" i="1"/>
  <c r="J4226" i="1"/>
  <c r="G4226" i="1"/>
  <c r="F4226" i="1"/>
  <c r="B4226" i="1"/>
  <c r="W4225" i="1"/>
  <c r="T4225" i="1"/>
  <c r="P4225" i="1"/>
  <c r="J4225" i="1"/>
  <c r="G4225" i="1"/>
  <c r="F4225" i="1"/>
  <c r="B4225" i="1"/>
  <c r="W4224" i="1"/>
  <c r="T4224" i="1"/>
  <c r="P4224" i="1"/>
  <c r="J4224" i="1"/>
  <c r="G4224" i="1"/>
  <c r="F4224" i="1"/>
  <c r="B4224" i="1"/>
  <c r="W4223" i="1"/>
  <c r="T4223" i="1"/>
  <c r="P4223" i="1"/>
  <c r="J4223" i="1"/>
  <c r="G4223" i="1"/>
  <c r="F4223" i="1"/>
  <c r="B4223" i="1"/>
  <c r="W4222" i="1"/>
  <c r="T4222" i="1"/>
  <c r="P4222" i="1"/>
  <c r="J4222" i="1"/>
  <c r="G4222" i="1"/>
  <c r="F4222" i="1"/>
  <c r="B4222" i="1"/>
  <c r="W4221" i="1"/>
  <c r="T4221" i="1"/>
  <c r="P4221" i="1"/>
  <c r="J4221" i="1"/>
  <c r="G4221" i="1"/>
  <c r="F4221" i="1"/>
  <c r="B4221" i="1"/>
  <c r="W4220" i="1"/>
  <c r="T4220" i="1"/>
  <c r="P4220" i="1"/>
  <c r="J4220" i="1"/>
  <c r="G4220" i="1"/>
  <c r="F4220" i="1"/>
  <c r="B4220" i="1"/>
  <c r="W4219" i="1"/>
  <c r="T4219" i="1"/>
  <c r="P4219" i="1"/>
  <c r="J4219" i="1"/>
  <c r="G4219" i="1"/>
  <c r="F4219" i="1"/>
  <c r="B4219" i="1"/>
  <c r="W4218" i="1"/>
  <c r="T4218" i="1"/>
  <c r="P4218" i="1"/>
  <c r="J4218" i="1"/>
  <c r="G4218" i="1"/>
  <c r="F4218" i="1"/>
  <c r="B4218" i="1"/>
  <c r="W4217" i="1"/>
  <c r="T4217" i="1"/>
  <c r="P4217" i="1"/>
  <c r="J4217" i="1"/>
  <c r="G4217" i="1"/>
  <c r="F4217" i="1"/>
  <c r="B4217" i="1"/>
  <c r="W4216" i="1"/>
  <c r="T4216" i="1"/>
  <c r="P4216" i="1"/>
  <c r="J4216" i="1"/>
  <c r="G4216" i="1"/>
  <c r="F4216" i="1"/>
  <c r="B4216" i="1"/>
  <c r="W4215" i="1"/>
  <c r="T4215" i="1"/>
  <c r="P4215" i="1"/>
  <c r="J4215" i="1"/>
  <c r="G4215" i="1"/>
  <c r="F4215" i="1"/>
  <c r="B4215" i="1"/>
  <c r="W4214" i="1"/>
  <c r="T4214" i="1"/>
  <c r="P4214" i="1"/>
  <c r="J4214" i="1"/>
  <c r="G4214" i="1"/>
  <c r="F4214" i="1"/>
  <c r="B4214" i="1"/>
  <c r="W4213" i="1"/>
  <c r="T4213" i="1"/>
  <c r="P4213" i="1"/>
  <c r="J4213" i="1"/>
  <c r="G4213" i="1"/>
  <c r="F4213" i="1"/>
  <c r="B4213" i="1"/>
  <c r="W4212" i="1"/>
  <c r="T4212" i="1"/>
  <c r="P4212" i="1"/>
  <c r="J4212" i="1"/>
  <c r="G4212" i="1"/>
  <c r="F4212" i="1"/>
  <c r="B4212" i="1"/>
  <c r="W4211" i="1"/>
  <c r="T4211" i="1"/>
  <c r="P4211" i="1"/>
  <c r="J4211" i="1"/>
  <c r="G4211" i="1"/>
  <c r="F4211" i="1"/>
  <c r="B4211" i="1"/>
  <c r="W4210" i="1"/>
  <c r="T4210" i="1"/>
  <c r="P4210" i="1"/>
  <c r="J4210" i="1"/>
  <c r="G4210" i="1"/>
  <c r="F4210" i="1"/>
  <c r="B4210" i="1"/>
  <c r="W4209" i="1"/>
  <c r="T4209" i="1"/>
  <c r="P4209" i="1"/>
  <c r="J4209" i="1"/>
  <c r="G4209" i="1"/>
  <c r="F4209" i="1"/>
  <c r="B4209" i="1"/>
  <c r="W4208" i="1"/>
  <c r="T4208" i="1"/>
  <c r="P4208" i="1"/>
  <c r="J4208" i="1"/>
  <c r="G4208" i="1"/>
  <c r="F4208" i="1"/>
  <c r="B4208" i="1"/>
  <c r="W4207" i="1"/>
  <c r="T4207" i="1"/>
  <c r="P4207" i="1"/>
  <c r="J4207" i="1"/>
  <c r="G4207" i="1"/>
  <c r="F4207" i="1"/>
  <c r="B4207" i="1"/>
  <c r="W4206" i="1"/>
  <c r="T4206" i="1"/>
  <c r="P4206" i="1"/>
  <c r="J4206" i="1"/>
  <c r="G4206" i="1"/>
  <c r="F4206" i="1"/>
  <c r="B4206" i="1"/>
  <c r="W4205" i="1"/>
  <c r="T4205" i="1"/>
  <c r="P4205" i="1"/>
  <c r="J4205" i="1"/>
  <c r="G4205" i="1"/>
  <c r="F4205" i="1"/>
  <c r="B4205" i="1"/>
  <c r="W4204" i="1"/>
  <c r="T4204" i="1"/>
  <c r="P4204" i="1"/>
  <c r="J4204" i="1"/>
  <c r="G4204" i="1"/>
  <c r="F4204" i="1"/>
  <c r="B4204" i="1"/>
  <c r="W4203" i="1"/>
  <c r="T4203" i="1"/>
  <c r="P4203" i="1"/>
  <c r="J4203" i="1"/>
  <c r="G4203" i="1"/>
  <c r="F4203" i="1"/>
  <c r="B4203" i="1"/>
  <c r="W4202" i="1"/>
  <c r="T4202" i="1"/>
  <c r="P4202" i="1"/>
  <c r="J4202" i="1"/>
  <c r="G4202" i="1"/>
  <c r="F4202" i="1"/>
  <c r="B4202" i="1"/>
  <c r="W4201" i="1"/>
  <c r="T4201" i="1"/>
  <c r="P4201" i="1"/>
  <c r="J4201" i="1"/>
  <c r="G4201" i="1"/>
  <c r="F4201" i="1"/>
  <c r="B4201" i="1"/>
  <c r="W4200" i="1"/>
  <c r="T4200" i="1"/>
  <c r="P4200" i="1"/>
  <c r="J4200" i="1"/>
  <c r="G4200" i="1"/>
  <c r="F4200" i="1"/>
  <c r="B4200" i="1"/>
  <c r="W4199" i="1"/>
  <c r="T4199" i="1"/>
  <c r="P4199" i="1"/>
  <c r="J4199" i="1"/>
  <c r="G4199" i="1"/>
  <c r="F4199" i="1"/>
  <c r="B4199" i="1"/>
  <c r="W4198" i="1"/>
  <c r="T4198" i="1"/>
  <c r="P4198" i="1"/>
  <c r="J4198" i="1"/>
  <c r="G4198" i="1"/>
  <c r="F4198" i="1"/>
  <c r="B4198" i="1"/>
  <c r="W4197" i="1"/>
  <c r="T4197" i="1"/>
  <c r="P4197" i="1"/>
  <c r="J4197" i="1"/>
  <c r="G4197" i="1"/>
  <c r="F4197" i="1"/>
  <c r="B4197" i="1"/>
  <c r="W4196" i="1"/>
  <c r="T4196" i="1"/>
  <c r="P4196" i="1"/>
  <c r="J4196" i="1"/>
  <c r="G4196" i="1"/>
  <c r="F4196" i="1"/>
  <c r="B4196" i="1"/>
  <c r="W4195" i="1"/>
  <c r="T4195" i="1"/>
  <c r="P4195" i="1"/>
  <c r="J4195" i="1"/>
  <c r="G4195" i="1"/>
  <c r="F4195" i="1"/>
  <c r="B4195" i="1"/>
  <c r="W4194" i="1"/>
  <c r="T4194" i="1"/>
  <c r="P4194" i="1"/>
  <c r="J4194" i="1"/>
  <c r="G4194" i="1"/>
  <c r="F4194" i="1"/>
  <c r="B4194" i="1"/>
  <c r="W4193" i="1"/>
  <c r="T4193" i="1"/>
  <c r="P4193" i="1"/>
  <c r="J4193" i="1"/>
  <c r="G4193" i="1"/>
  <c r="F4193" i="1"/>
  <c r="B4193" i="1"/>
  <c r="W4192" i="1"/>
  <c r="T4192" i="1"/>
  <c r="P4192" i="1"/>
  <c r="J4192" i="1"/>
  <c r="G4192" i="1"/>
  <c r="F4192" i="1"/>
  <c r="B4192" i="1"/>
  <c r="W4191" i="1"/>
  <c r="T4191" i="1"/>
  <c r="P4191" i="1"/>
  <c r="J4191" i="1"/>
  <c r="G4191" i="1"/>
  <c r="F4191" i="1"/>
  <c r="B4191" i="1"/>
  <c r="W4190" i="1"/>
  <c r="T4190" i="1"/>
  <c r="P4190" i="1"/>
  <c r="J4190" i="1"/>
  <c r="G4190" i="1"/>
  <c r="F4190" i="1"/>
  <c r="B4190" i="1"/>
  <c r="W4189" i="1"/>
  <c r="T4189" i="1"/>
  <c r="P4189" i="1"/>
  <c r="J4189" i="1"/>
  <c r="G4189" i="1"/>
  <c r="F4189" i="1"/>
  <c r="B4189" i="1"/>
  <c r="W4188" i="1"/>
  <c r="T4188" i="1"/>
  <c r="P4188" i="1"/>
  <c r="J4188" i="1"/>
  <c r="G4188" i="1"/>
  <c r="F4188" i="1"/>
  <c r="B4188" i="1"/>
  <c r="W4187" i="1"/>
  <c r="T4187" i="1"/>
  <c r="P4187" i="1"/>
  <c r="J4187" i="1"/>
  <c r="G4187" i="1"/>
  <c r="F4187" i="1"/>
  <c r="B4187" i="1"/>
  <c r="W4186" i="1"/>
  <c r="T4186" i="1"/>
  <c r="P4186" i="1"/>
  <c r="J4186" i="1"/>
  <c r="G4186" i="1"/>
  <c r="F4186" i="1"/>
  <c r="B4186" i="1"/>
  <c r="W4185" i="1"/>
  <c r="T4185" i="1"/>
  <c r="P4185" i="1"/>
  <c r="J4185" i="1"/>
  <c r="G4185" i="1"/>
  <c r="F4185" i="1"/>
  <c r="B4185" i="1"/>
  <c r="W4184" i="1"/>
  <c r="T4184" i="1"/>
  <c r="P4184" i="1"/>
  <c r="J4184" i="1"/>
  <c r="G4184" i="1"/>
  <c r="F4184" i="1"/>
  <c r="B4184" i="1"/>
  <c r="W4183" i="1"/>
  <c r="T4183" i="1"/>
  <c r="P4183" i="1"/>
  <c r="J4183" i="1"/>
  <c r="G4183" i="1"/>
  <c r="F4183" i="1"/>
  <c r="B4183" i="1"/>
  <c r="W4182" i="1"/>
  <c r="T4182" i="1"/>
  <c r="P4182" i="1"/>
  <c r="J4182" i="1"/>
  <c r="G4182" i="1"/>
  <c r="F4182" i="1"/>
  <c r="B4182" i="1"/>
  <c r="W4181" i="1"/>
  <c r="T4181" i="1"/>
  <c r="P4181" i="1"/>
  <c r="J4181" i="1"/>
  <c r="G4181" i="1"/>
  <c r="F4181" i="1"/>
  <c r="B4181" i="1"/>
  <c r="W4180" i="1"/>
  <c r="T4180" i="1"/>
  <c r="P4180" i="1"/>
  <c r="J4180" i="1"/>
  <c r="G4180" i="1"/>
  <c r="F4180" i="1"/>
  <c r="B4180" i="1"/>
  <c r="W4179" i="1"/>
  <c r="T4179" i="1"/>
  <c r="P4179" i="1"/>
  <c r="J4179" i="1"/>
  <c r="G4179" i="1"/>
  <c r="F4179" i="1"/>
  <c r="B4179" i="1"/>
  <c r="W4178" i="1"/>
  <c r="T4178" i="1"/>
  <c r="P4178" i="1"/>
  <c r="J4178" i="1"/>
  <c r="G4178" i="1"/>
  <c r="F4178" i="1"/>
  <c r="B4178" i="1"/>
  <c r="W4177" i="1"/>
  <c r="T4177" i="1"/>
  <c r="P4177" i="1"/>
  <c r="J4177" i="1"/>
  <c r="G4177" i="1"/>
  <c r="F4177" i="1"/>
  <c r="B4177" i="1"/>
  <c r="W4176" i="1"/>
  <c r="T4176" i="1"/>
  <c r="P4176" i="1"/>
  <c r="J4176" i="1"/>
  <c r="G4176" i="1"/>
  <c r="F4176" i="1"/>
  <c r="B4176" i="1"/>
  <c r="W4175" i="1"/>
  <c r="T4175" i="1"/>
  <c r="P4175" i="1"/>
  <c r="J4175" i="1"/>
  <c r="G4175" i="1"/>
  <c r="F4175" i="1"/>
  <c r="B4175" i="1"/>
  <c r="W4174" i="1"/>
  <c r="T4174" i="1"/>
  <c r="P4174" i="1"/>
  <c r="J4174" i="1"/>
  <c r="G4174" i="1"/>
  <c r="F4174" i="1"/>
  <c r="B4174" i="1"/>
  <c r="W4173" i="1"/>
  <c r="T4173" i="1"/>
  <c r="P4173" i="1"/>
  <c r="J4173" i="1"/>
  <c r="G4173" i="1"/>
  <c r="F4173" i="1"/>
  <c r="B4173" i="1"/>
  <c r="W4172" i="1"/>
  <c r="T4172" i="1"/>
  <c r="P4172" i="1"/>
  <c r="J4172" i="1"/>
  <c r="G4172" i="1"/>
  <c r="F4172" i="1"/>
  <c r="B4172" i="1"/>
  <c r="W4171" i="1"/>
  <c r="T4171" i="1"/>
  <c r="P4171" i="1"/>
  <c r="J4171" i="1"/>
  <c r="G4171" i="1"/>
  <c r="F4171" i="1"/>
  <c r="B4171" i="1"/>
  <c r="W4170" i="1"/>
  <c r="T4170" i="1"/>
  <c r="P4170" i="1"/>
  <c r="J4170" i="1"/>
  <c r="G4170" i="1"/>
  <c r="F4170" i="1"/>
  <c r="B4170" i="1"/>
  <c r="W4169" i="1"/>
  <c r="T4169" i="1"/>
  <c r="P4169" i="1"/>
  <c r="J4169" i="1"/>
  <c r="G4169" i="1"/>
  <c r="F4169" i="1"/>
  <c r="B4169" i="1"/>
  <c r="W4168" i="1"/>
  <c r="T4168" i="1"/>
  <c r="P4168" i="1"/>
  <c r="J4168" i="1"/>
  <c r="G4168" i="1"/>
  <c r="F4168" i="1"/>
  <c r="B4168" i="1"/>
  <c r="W4167" i="1"/>
  <c r="T4167" i="1"/>
  <c r="P4167" i="1"/>
  <c r="J4167" i="1"/>
  <c r="G4167" i="1"/>
  <c r="F4167" i="1"/>
  <c r="B4167" i="1"/>
  <c r="W4166" i="1"/>
  <c r="T4166" i="1"/>
  <c r="P4166" i="1"/>
  <c r="J4166" i="1"/>
  <c r="G4166" i="1"/>
  <c r="F4166" i="1"/>
  <c r="B4166" i="1"/>
  <c r="W4165" i="1"/>
  <c r="T4165" i="1"/>
  <c r="P4165" i="1"/>
  <c r="J4165" i="1"/>
  <c r="G4165" i="1"/>
  <c r="F4165" i="1"/>
  <c r="B4165" i="1"/>
  <c r="W4164" i="1"/>
  <c r="T4164" i="1"/>
  <c r="P4164" i="1"/>
  <c r="J4164" i="1"/>
  <c r="G4164" i="1"/>
  <c r="F4164" i="1"/>
  <c r="B4164" i="1"/>
  <c r="W4163" i="1"/>
  <c r="T4163" i="1"/>
  <c r="P4163" i="1"/>
  <c r="J4163" i="1"/>
  <c r="G4163" i="1"/>
  <c r="F4163" i="1"/>
  <c r="B4163" i="1"/>
  <c r="W4162" i="1"/>
  <c r="T4162" i="1"/>
  <c r="P4162" i="1"/>
  <c r="J4162" i="1"/>
  <c r="G4162" i="1"/>
  <c r="F4162" i="1"/>
  <c r="B4162" i="1"/>
  <c r="W4161" i="1"/>
  <c r="T4161" i="1"/>
  <c r="P4161" i="1"/>
  <c r="J4161" i="1"/>
  <c r="G4161" i="1"/>
  <c r="F4161" i="1"/>
  <c r="B4161" i="1"/>
  <c r="W4160" i="1"/>
  <c r="T4160" i="1"/>
  <c r="P4160" i="1"/>
  <c r="J4160" i="1"/>
  <c r="G4160" i="1"/>
  <c r="F4160" i="1"/>
  <c r="B4160" i="1"/>
  <c r="W4159" i="1"/>
  <c r="T4159" i="1"/>
  <c r="P4159" i="1"/>
  <c r="J4159" i="1"/>
  <c r="G4159" i="1"/>
  <c r="F4159" i="1"/>
  <c r="B4159" i="1"/>
  <c r="W4158" i="1"/>
  <c r="T4158" i="1"/>
  <c r="P4158" i="1"/>
  <c r="J4158" i="1"/>
  <c r="G4158" i="1"/>
  <c r="F4158" i="1"/>
  <c r="B4158" i="1"/>
  <c r="W4157" i="1"/>
  <c r="T4157" i="1"/>
  <c r="P4157" i="1"/>
  <c r="J4157" i="1"/>
  <c r="G4157" i="1"/>
  <c r="F4157" i="1"/>
  <c r="B4157" i="1"/>
  <c r="W4156" i="1"/>
  <c r="T4156" i="1"/>
  <c r="P4156" i="1"/>
  <c r="J4156" i="1"/>
  <c r="G4156" i="1"/>
  <c r="F4156" i="1"/>
  <c r="B4156" i="1"/>
  <c r="W4155" i="1"/>
  <c r="T4155" i="1"/>
  <c r="P4155" i="1"/>
  <c r="J4155" i="1"/>
  <c r="G4155" i="1"/>
  <c r="F4155" i="1"/>
  <c r="B4155" i="1"/>
  <c r="W4154" i="1"/>
  <c r="T4154" i="1"/>
  <c r="P4154" i="1"/>
  <c r="J4154" i="1"/>
  <c r="G4154" i="1"/>
  <c r="F4154" i="1"/>
  <c r="B4154" i="1"/>
  <c r="W4153" i="1"/>
  <c r="T4153" i="1"/>
  <c r="P4153" i="1"/>
  <c r="J4153" i="1"/>
  <c r="G4153" i="1"/>
  <c r="F4153" i="1"/>
  <c r="B4153" i="1"/>
  <c r="W4152" i="1"/>
  <c r="T4152" i="1"/>
  <c r="P4152" i="1"/>
  <c r="J4152" i="1"/>
  <c r="G4152" i="1"/>
  <c r="F4152" i="1"/>
  <c r="B4152" i="1"/>
  <c r="W4151" i="1"/>
  <c r="T4151" i="1"/>
  <c r="P4151" i="1"/>
  <c r="J4151" i="1"/>
  <c r="G4151" i="1"/>
  <c r="F4151" i="1"/>
  <c r="B4151" i="1"/>
  <c r="W4150" i="1"/>
  <c r="T4150" i="1"/>
  <c r="P4150" i="1"/>
  <c r="J4150" i="1"/>
  <c r="G4150" i="1"/>
  <c r="F4150" i="1"/>
  <c r="B4150" i="1"/>
  <c r="W4149" i="1"/>
  <c r="T4149" i="1"/>
  <c r="P4149" i="1"/>
  <c r="J4149" i="1"/>
  <c r="G4149" i="1"/>
  <c r="F4149" i="1"/>
  <c r="B4149" i="1"/>
  <c r="W4148" i="1"/>
  <c r="T4148" i="1"/>
  <c r="P4148" i="1"/>
  <c r="J4148" i="1"/>
  <c r="G4148" i="1"/>
  <c r="F4148" i="1"/>
  <c r="B4148" i="1"/>
  <c r="W4147" i="1"/>
  <c r="T4147" i="1"/>
  <c r="P4147" i="1"/>
  <c r="J4147" i="1"/>
  <c r="G4147" i="1"/>
  <c r="F4147" i="1"/>
  <c r="B4147" i="1"/>
  <c r="W4146" i="1"/>
  <c r="T4146" i="1"/>
  <c r="P4146" i="1"/>
  <c r="J4146" i="1"/>
  <c r="G4146" i="1"/>
  <c r="F4146" i="1"/>
  <c r="B4146" i="1"/>
  <c r="W4145" i="1"/>
  <c r="T4145" i="1"/>
  <c r="P4145" i="1"/>
  <c r="J4145" i="1"/>
  <c r="G4145" i="1"/>
  <c r="F4145" i="1"/>
  <c r="B4145" i="1"/>
  <c r="W4144" i="1"/>
  <c r="T4144" i="1"/>
  <c r="P4144" i="1"/>
  <c r="J4144" i="1"/>
  <c r="G4144" i="1"/>
  <c r="F4144" i="1"/>
  <c r="B4144" i="1"/>
  <c r="W4143" i="1"/>
  <c r="T4143" i="1"/>
  <c r="P4143" i="1"/>
  <c r="J4143" i="1"/>
  <c r="G4143" i="1"/>
  <c r="F4143" i="1"/>
  <c r="B4143" i="1"/>
  <c r="W4142" i="1"/>
  <c r="T4142" i="1"/>
  <c r="P4142" i="1"/>
  <c r="J4142" i="1"/>
  <c r="G4142" i="1"/>
  <c r="F4142" i="1"/>
  <c r="B4142" i="1"/>
  <c r="W4141" i="1"/>
  <c r="T4141" i="1"/>
  <c r="P4141" i="1"/>
  <c r="J4141" i="1"/>
  <c r="G4141" i="1"/>
  <c r="F4141" i="1"/>
  <c r="B4141" i="1"/>
  <c r="W4140" i="1"/>
  <c r="T4140" i="1"/>
  <c r="P4140" i="1"/>
  <c r="J4140" i="1"/>
  <c r="G4140" i="1"/>
  <c r="F4140" i="1"/>
  <c r="B4140" i="1"/>
  <c r="W4139" i="1"/>
  <c r="T4139" i="1"/>
  <c r="P4139" i="1"/>
  <c r="J4139" i="1"/>
  <c r="G4139" i="1"/>
  <c r="F4139" i="1"/>
  <c r="B4139" i="1"/>
  <c r="W4138" i="1"/>
  <c r="T4138" i="1"/>
  <c r="P4138" i="1"/>
  <c r="J4138" i="1"/>
  <c r="G4138" i="1"/>
  <c r="F4138" i="1"/>
  <c r="B4138" i="1"/>
  <c r="W4137" i="1"/>
  <c r="T4137" i="1"/>
  <c r="P4137" i="1"/>
  <c r="J4137" i="1"/>
  <c r="G4137" i="1"/>
  <c r="F4137" i="1"/>
  <c r="B4137" i="1"/>
  <c r="W4136" i="1"/>
  <c r="T4136" i="1"/>
  <c r="P4136" i="1"/>
  <c r="J4136" i="1"/>
  <c r="G4136" i="1"/>
  <c r="F4136" i="1"/>
  <c r="B4136" i="1"/>
  <c r="W4135" i="1"/>
  <c r="T4135" i="1"/>
  <c r="P4135" i="1"/>
  <c r="J4135" i="1"/>
  <c r="G4135" i="1"/>
  <c r="F4135" i="1"/>
  <c r="B4135" i="1"/>
  <c r="W4134" i="1"/>
  <c r="T4134" i="1"/>
  <c r="P4134" i="1"/>
  <c r="J4134" i="1"/>
  <c r="G4134" i="1"/>
  <c r="F4134" i="1"/>
  <c r="B4134" i="1"/>
  <c r="W4133" i="1"/>
  <c r="T4133" i="1"/>
  <c r="P4133" i="1"/>
  <c r="J4133" i="1"/>
  <c r="G4133" i="1"/>
  <c r="F4133" i="1"/>
  <c r="B4133" i="1"/>
  <c r="W4132" i="1"/>
  <c r="T4132" i="1"/>
  <c r="P4132" i="1"/>
  <c r="J4132" i="1"/>
  <c r="G4132" i="1"/>
  <c r="F4132" i="1"/>
  <c r="B4132" i="1"/>
  <c r="W4131" i="1"/>
  <c r="T4131" i="1"/>
  <c r="P4131" i="1"/>
  <c r="J4131" i="1"/>
  <c r="G4131" i="1"/>
  <c r="F4131" i="1"/>
  <c r="B4131" i="1"/>
  <c r="W4130" i="1"/>
  <c r="T4130" i="1"/>
  <c r="P4130" i="1"/>
  <c r="J4130" i="1"/>
  <c r="G4130" i="1"/>
  <c r="F4130" i="1"/>
  <c r="B4130" i="1"/>
  <c r="W4129" i="1"/>
  <c r="T4129" i="1"/>
  <c r="P4129" i="1"/>
  <c r="J4129" i="1"/>
  <c r="G4129" i="1"/>
  <c r="F4129" i="1"/>
  <c r="B4129" i="1"/>
  <c r="W4128" i="1"/>
  <c r="T4128" i="1"/>
  <c r="P4128" i="1"/>
  <c r="J4128" i="1"/>
  <c r="G4128" i="1"/>
  <c r="F4128" i="1"/>
  <c r="B4128" i="1"/>
  <c r="W4127" i="1"/>
  <c r="T4127" i="1"/>
  <c r="P4127" i="1"/>
  <c r="J4127" i="1"/>
  <c r="G4127" i="1"/>
  <c r="F4127" i="1"/>
  <c r="B4127" i="1"/>
  <c r="W4126" i="1"/>
  <c r="T4126" i="1"/>
  <c r="P4126" i="1"/>
  <c r="J4126" i="1"/>
  <c r="G4126" i="1"/>
  <c r="F4126" i="1"/>
  <c r="B4126" i="1"/>
  <c r="W4125" i="1"/>
  <c r="T4125" i="1"/>
  <c r="P4125" i="1"/>
  <c r="J4125" i="1"/>
  <c r="G4125" i="1"/>
  <c r="F4125" i="1"/>
  <c r="B4125" i="1"/>
  <c r="W4124" i="1"/>
  <c r="T4124" i="1"/>
  <c r="P4124" i="1"/>
  <c r="J4124" i="1"/>
  <c r="G4124" i="1"/>
  <c r="F4124" i="1"/>
  <c r="B4124" i="1"/>
  <c r="W4123" i="1"/>
  <c r="T4123" i="1"/>
  <c r="P4123" i="1"/>
  <c r="J4123" i="1"/>
  <c r="G4123" i="1"/>
  <c r="F4123" i="1"/>
  <c r="B4123" i="1"/>
  <c r="W4122" i="1"/>
  <c r="T4122" i="1"/>
  <c r="P4122" i="1"/>
  <c r="J4122" i="1"/>
  <c r="G4122" i="1"/>
  <c r="F4122" i="1"/>
  <c r="B4122" i="1"/>
  <c r="W4121" i="1"/>
  <c r="T4121" i="1"/>
  <c r="P4121" i="1"/>
  <c r="J4121" i="1"/>
  <c r="G4121" i="1"/>
  <c r="F4121" i="1"/>
  <c r="B4121" i="1"/>
  <c r="W4120" i="1"/>
  <c r="T4120" i="1"/>
  <c r="P4120" i="1"/>
  <c r="J4120" i="1"/>
  <c r="G4120" i="1"/>
  <c r="F4120" i="1"/>
  <c r="B4120" i="1"/>
  <c r="W4119" i="1"/>
  <c r="T4119" i="1"/>
  <c r="P4119" i="1"/>
  <c r="J4119" i="1"/>
  <c r="G4119" i="1"/>
  <c r="F4119" i="1"/>
  <c r="B4119" i="1"/>
  <c r="W4118" i="1"/>
  <c r="T4118" i="1"/>
  <c r="P4118" i="1"/>
  <c r="J4118" i="1"/>
  <c r="G4118" i="1"/>
  <c r="F4118" i="1"/>
  <c r="B4118" i="1"/>
  <c r="W4117" i="1"/>
  <c r="T4117" i="1"/>
  <c r="P4117" i="1"/>
  <c r="J4117" i="1"/>
  <c r="G4117" i="1"/>
  <c r="F4117" i="1"/>
  <c r="B4117" i="1"/>
  <c r="W4116" i="1"/>
  <c r="T4116" i="1"/>
  <c r="P4116" i="1"/>
  <c r="J4116" i="1"/>
  <c r="G4116" i="1"/>
  <c r="F4116" i="1"/>
  <c r="B4116" i="1"/>
  <c r="W4115" i="1"/>
  <c r="T4115" i="1"/>
  <c r="P4115" i="1"/>
  <c r="J4115" i="1"/>
  <c r="G4115" i="1"/>
  <c r="F4115" i="1"/>
  <c r="B4115" i="1"/>
  <c r="W4114" i="1"/>
  <c r="T4114" i="1"/>
  <c r="P4114" i="1"/>
  <c r="J4114" i="1"/>
  <c r="G4114" i="1"/>
  <c r="F4114" i="1"/>
  <c r="B4114" i="1"/>
  <c r="W4113" i="1"/>
  <c r="T4113" i="1"/>
  <c r="P4113" i="1"/>
  <c r="J4113" i="1"/>
  <c r="G4113" i="1"/>
  <c r="F4113" i="1"/>
  <c r="B4113" i="1"/>
  <c r="W4112" i="1"/>
  <c r="T4112" i="1"/>
  <c r="P4112" i="1"/>
  <c r="J4112" i="1"/>
  <c r="G4112" i="1"/>
  <c r="F4112" i="1"/>
  <c r="B4112" i="1"/>
  <c r="W4111" i="1"/>
  <c r="T4111" i="1"/>
  <c r="P4111" i="1"/>
  <c r="J4111" i="1"/>
  <c r="G4111" i="1"/>
  <c r="F4111" i="1"/>
  <c r="B4111" i="1"/>
  <c r="W4110" i="1"/>
  <c r="T4110" i="1"/>
  <c r="P4110" i="1"/>
  <c r="J4110" i="1"/>
  <c r="G4110" i="1"/>
  <c r="F4110" i="1"/>
  <c r="B4110" i="1"/>
  <c r="W4109" i="1"/>
  <c r="T4109" i="1"/>
  <c r="P4109" i="1"/>
  <c r="J4109" i="1"/>
  <c r="G4109" i="1"/>
  <c r="F4109" i="1"/>
  <c r="B4109" i="1"/>
  <c r="W4108" i="1"/>
  <c r="T4108" i="1"/>
  <c r="P4108" i="1"/>
  <c r="J4108" i="1"/>
  <c r="G4108" i="1"/>
  <c r="F4108" i="1"/>
  <c r="B4108" i="1"/>
  <c r="W4107" i="1"/>
  <c r="T4107" i="1"/>
  <c r="P4107" i="1"/>
  <c r="J4107" i="1"/>
  <c r="G4107" i="1"/>
  <c r="F4107" i="1"/>
  <c r="B4107" i="1"/>
  <c r="W4106" i="1"/>
  <c r="T4106" i="1"/>
  <c r="P4106" i="1"/>
  <c r="J4106" i="1"/>
  <c r="G4106" i="1"/>
  <c r="F4106" i="1"/>
  <c r="B4106" i="1"/>
  <c r="W4105" i="1"/>
  <c r="T4105" i="1"/>
  <c r="P4105" i="1"/>
  <c r="J4105" i="1"/>
  <c r="G4105" i="1"/>
  <c r="F4105" i="1"/>
  <c r="B4105" i="1"/>
  <c r="W4104" i="1"/>
  <c r="T4104" i="1"/>
  <c r="P4104" i="1"/>
  <c r="J4104" i="1"/>
  <c r="G4104" i="1"/>
  <c r="F4104" i="1"/>
  <c r="B4104" i="1"/>
  <c r="W4103" i="1"/>
  <c r="T4103" i="1"/>
  <c r="P4103" i="1"/>
  <c r="J4103" i="1"/>
  <c r="G4103" i="1"/>
  <c r="F4103" i="1"/>
  <c r="B4103" i="1"/>
  <c r="W4102" i="1"/>
  <c r="T4102" i="1"/>
  <c r="P4102" i="1"/>
  <c r="J4102" i="1"/>
  <c r="G4102" i="1"/>
  <c r="F4102" i="1"/>
  <c r="B4102" i="1"/>
  <c r="W4101" i="1"/>
  <c r="T4101" i="1"/>
  <c r="P4101" i="1"/>
  <c r="J4101" i="1"/>
  <c r="G4101" i="1"/>
  <c r="F4101" i="1"/>
  <c r="B4101" i="1"/>
  <c r="W4100" i="1"/>
  <c r="T4100" i="1"/>
  <c r="P4100" i="1"/>
  <c r="J4100" i="1"/>
  <c r="G4100" i="1"/>
  <c r="F4100" i="1"/>
  <c r="B4100" i="1"/>
  <c r="W4099" i="1"/>
  <c r="T4099" i="1"/>
  <c r="P4099" i="1"/>
  <c r="J4099" i="1"/>
  <c r="G4099" i="1"/>
  <c r="F4099" i="1"/>
  <c r="B4099" i="1"/>
  <c r="W4098" i="1"/>
  <c r="T4098" i="1"/>
  <c r="P4098" i="1"/>
  <c r="J4098" i="1"/>
  <c r="G4098" i="1"/>
  <c r="F4098" i="1"/>
  <c r="B4098" i="1"/>
  <c r="W4097" i="1"/>
  <c r="T4097" i="1"/>
  <c r="P4097" i="1"/>
  <c r="J4097" i="1"/>
  <c r="G4097" i="1"/>
  <c r="F4097" i="1"/>
  <c r="B4097" i="1"/>
  <c r="W4096" i="1"/>
  <c r="T4096" i="1"/>
  <c r="P4096" i="1"/>
  <c r="J4096" i="1"/>
  <c r="G4096" i="1"/>
  <c r="F4096" i="1"/>
  <c r="B4096" i="1"/>
  <c r="W4095" i="1"/>
  <c r="T4095" i="1"/>
  <c r="P4095" i="1"/>
  <c r="J4095" i="1"/>
  <c r="G4095" i="1"/>
  <c r="F4095" i="1"/>
  <c r="B4095" i="1"/>
  <c r="W4094" i="1"/>
  <c r="T4094" i="1"/>
  <c r="P4094" i="1"/>
  <c r="J4094" i="1"/>
  <c r="G4094" i="1"/>
  <c r="F4094" i="1"/>
  <c r="B4094" i="1"/>
  <c r="W4093" i="1"/>
  <c r="T4093" i="1"/>
  <c r="P4093" i="1"/>
  <c r="J4093" i="1"/>
  <c r="G4093" i="1"/>
  <c r="F4093" i="1"/>
  <c r="B4093" i="1"/>
  <c r="W4092" i="1"/>
  <c r="T4092" i="1"/>
  <c r="P4092" i="1"/>
  <c r="J4092" i="1"/>
  <c r="G4092" i="1"/>
  <c r="F4092" i="1"/>
  <c r="B4092" i="1"/>
  <c r="W4091" i="1"/>
  <c r="T4091" i="1"/>
  <c r="P4091" i="1"/>
  <c r="J4091" i="1"/>
  <c r="G4091" i="1"/>
  <c r="F4091" i="1"/>
  <c r="B4091" i="1"/>
  <c r="W4090" i="1"/>
  <c r="T4090" i="1"/>
  <c r="P4090" i="1"/>
  <c r="J4090" i="1"/>
  <c r="G4090" i="1"/>
  <c r="F4090" i="1"/>
  <c r="B4090" i="1"/>
  <c r="W4089" i="1"/>
  <c r="T4089" i="1"/>
  <c r="P4089" i="1"/>
  <c r="J4089" i="1"/>
  <c r="G4089" i="1"/>
  <c r="F4089" i="1"/>
  <c r="B4089" i="1"/>
  <c r="W4088" i="1"/>
  <c r="T4088" i="1"/>
  <c r="P4088" i="1"/>
  <c r="J4088" i="1"/>
  <c r="G4088" i="1"/>
  <c r="F4088" i="1"/>
  <c r="B4088" i="1"/>
  <c r="W4087" i="1"/>
  <c r="T4087" i="1"/>
  <c r="P4087" i="1"/>
  <c r="J4087" i="1"/>
  <c r="G4087" i="1"/>
  <c r="F4087" i="1"/>
  <c r="B4087" i="1"/>
  <c r="W4086" i="1"/>
  <c r="T4086" i="1"/>
  <c r="P4086" i="1"/>
  <c r="J4086" i="1"/>
  <c r="G4086" i="1"/>
  <c r="F4086" i="1"/>
  <c r="B4086" i="1"/>
  <c r="W4085" i="1"/>
  <c r="T4085" i="1"/>
  <c r="P4085" i="1"/>
  <c r="J4085" i="1"/>
  <c r="G4085" i="1"/>
  <c r="F4085" i="1"/>
  <c r="B4085" i="1"/>
  <c r="W4084" i="1"/>
  <c r="T4084" i="1"/>
  <c r="P4084" i="1"/>
  <c r="J4084" i="1"/>
  <c r="G4084" i="1"/>
  <c r="F4084" i="1"/>
  <c r="B4084" i="1"/>
  <c r="W4083" i="1"/>
  <c r="T4083" i="1"/>
  <c r="P4083" i="1"/>
  <c r="J4083" i="1"/>
  <c r="G4083" i="1"/>
  <c r="F4083" i="1"/>
  <c r="B4083" i="1"/>
  <c r="W4082" i="1"/>
  <c r="T4082" i="1"/>
  <c r="P4082" i="1"/>
  <c r="J4082" i="1"/>
  <c r="G4082" i="1"/>
  <c r="F4082" i="1"/>
  <c r="B4082" i="1"/>
  <c r="W4081" i="1"/>
  <c r="T4081" i="1"/>
  <c r="P4081" i="1"/>
  <c r="J4081" i="1"/>
  <c r="G4081" i="1"/>
  <c r="F4081" i="1"/>
  <c r="B4081" i="1"/>
  <c r="W4080" i="1"/>
  <c r="T4080" i="1"/>
  <c r="P4080" i="1"/>
  <c r="J4080" i="1"/>
  <c r="G4080" i="1"/>
  <c r="F4080" i="1"/>
  <c r="B4080" i="1"/>
  <c r="W4079" i="1"/>
  <c r="T4079" i="1"/>
  <c r="P4079" i="1"/>
  <c r="J4079" i="1"/>
  <c r="G4079" i="1"/>
  <c r="F4079" i="1"/>
  <c r="B4079" i="1"/>
  <c r="W4078" i="1"/>
  <c r="T4078" i="1"/>
  <c r="P4078" i="1"/>
  <c r="J4078" i="1"/>
  <c r="G4078" i="1"/>
  <c r="F4078" i="1"/>
  <c r="B4078" i="1"/>
  <c r="W4077" i="1"/>
  <c r="T4077" i="1"/>
  <c r="P4077" i="1"/>
  <c r="J4077" i="1"/>
  <c r="G4077" i="1"/>
  <c r="F4077" i="1"/>
  <c r="B4077" i="1"/>
  <c r="W4076" i="1"/>
  <c r="T4076" i="1"/>
  <c r="P4076" i="1"/>
  <c r="J4076" i="1"/>
  <c r="G4076" i="1"/>
  <c r="F4076" i="1"/>
  <c r="B4076" i="1"/>
  <c r="W4075" i="1"/>
  <c r="T4075" i="1"/>
  <c r="P4075" i="1"/>
  <c r="J4075" i="1"/>
  <c r="G4075" i="1"/>
  <c r="F4075" i="1"/>
  <c r="B4075" i="1"/>
  <c r="W4074" i="1"/>
  <c r="T4074" i="1"/>
  <c r="P4074" i="1"/>
  <c r="J4074" i="1"/>
  <c r="G4074" i="1"/>
  <c r="F4074" i="1"/>
  <c r="B4074" i="1"/>
  <c r="W4073" i="1"/>
  <c r="T4073" i="1"/>
  <c r="P4073" i="1"/>
  <c r="J4073" i="1"/>
  <c r="G4073" i="1"/>
  <c r="F4073" i="1"/>
  <c r="B4073" i="1"/>
  <c r="W4072" i="1"/>
  <c r="T4072" i="1"/>
  <c r="P4072" i="1"/>
  <c r="J4072" i="1"/>
  <c r="G4072" i="1"/>
  <c r="F4072" i="1"/>
  <c r="B4072" i="1"/>
  <c r="W4071" i="1"/>
  <c r="T4071" i="1"/>
  <c r="P4071" i="1"/>
  <c r="J4071" i="1"/>
  <c r="G4071" i="1"/>
  <c r="F4071" i="1"/>
  <c r="B4071" i="1"/>
  <c r="W4070" i="1"/>
  <c r="T4070" i="1"/>
  <c r="P4070" i="1"/>
  <c r="J4070" i="1"/>
  <c r="G4070" i="1"/>
  <c r="F4070" i="1"/>
  <c r="B4070" i="1"/>
  <c r="W4069" i="1"/>
  <c r="T4069" i="1"/>
  <c r="P4069" i="1"/>
  <c r="J4069" i="1"/>
  <c r="G4069" i="1"/>
  <c r="F4069" i="1"/>
  <c r="B4069" i="1"/>
  <c r="W4068" i="1"/>
  <c r="T4068" i="1"/>
  <c r="P4068" i="1"/>
  <c r="J4068" i="1"/>
  <c r="G4068" i="1"/>
  <c r="F4068" i="1"/>
  <c r="B4068" i="1"/>
  <c r="W4067" i="1"/>
  <c r="T4067" i="1"/>
  <c r="P4067" i="1"/>
  <c r="J4067" i="1"/>
  <c r="G4067" i="1"/>
  <c r="F4067" i="1"/>
  <c r="B4067" i="1"/>
  <c r="W4066" i="1"/>
  <c r="T4066" i="1"/>
  <c r="P4066" i="1"/>
  <c r="J4066" i="1"/>
  <c r="G4066" i="1"/>
  <c r="F4066" i="1"/>
  <c r="B4066" i="1"/>
  <c r="W4065" i="1"/>
  <c r="T4065" i="1"/>
  <c r="P4065" i="1"/>
  <c r="J4065" i="1"/>
  <c r="G4065" i="1"/>
  <c r="F4065" i="1"/>
  <c r="B4065" i="1"/>
  <c r="W4064" i="1"/>
  <c r="T4064" i="1"/>
  <c r="P4064" i="1"/>
  <c r="J4064" i="1"/>
  <c r="G4064" i="1"/>
  <c r="F4064" i="1"/>
  <c r="B4064" i="1"/>
  <c r="W4063" i="1"/>
  <c r="T4063" i="1"/>
  <c r="P4063" i="1"/>
  <c r="J4063" i="1"/>
  <c r="G4063" i="1"/>
  <c r="F4063" i="1"/>
  <c r="B4063" i="1"/>
  <c r="W4062" i="1"/>
  <c r="T4062" i="1"/>
  <c r="P4062" i="1"/>
  <c r="J4062" i="1"/>
  <c r="G4062" i="1"/>
  <c r="F4062" i="1"/>
  <c r="B4062" i="1"/>
  <c r="W4061" i="1"/>
  <c r="T4061" i="1"/>
  <c r="P4061" i="1"/>
  <c r="J4061" i="1"/>
  <c r="G4061" i="1"/>
  <c r="F4061" i="1"/>
  <c r="B4061" i="1"/>
  <c r="W4060" i="1"/>
  <c r="T4060" i="1"/>
  <c r="P4060" i="1"/>
  <c r="J4060" i="1"/>
  <c r="G4060" i="1"/>
  <c r="F4060" i="1"/>
  <c r="B4060" i="1"/>
  <c r="W4059" i="1"/>
  <c r="T4059" i="1"/>
  <c r="P4059" i="1"/>
  <c r="J4059" i="1"/>
  <c r="G4059" i="1"/>
  <c r="F4059" i="1"/>
  <c r="B4059" i="1"/>
  <c r="W4058" i="1"/>
  <c r="T4058" i="1"/>
  <c r="P4058" i="1"/>
  <c r="J4058" i="1"/>
  <c r="G4058" i="1"/>
  <c r="F4058" i="1"/>
  <c r="B4058" i="1"/>
  <c r="W4057" i="1"/>
  <c r="T4057" i="1"/>
  <c r="P4057" i="1"/>
  <c r="J4057" i="1"/>
  <c r="G4057" i="1"/>
  <c r="F4057" i="1"/>
  <c r="B4057" i="1"/>
  <c r="W4056" i="1"/>
  <c r="T4056" i="1"/>
  <c r="P4056" i="1"/>
  <c r="J4056" i="1"/>
  <c r="G4056" i="1"/>
  <c r="F4056" i="1"/>
  <c r="B4056" i="1"/>
  <c r="W4055" i="1"/>
  <c r="T4055" i="1"/>
  <c r="P4055" i="1"/>
  <c r="J4055" i="1"/>
  <c r="G4055" i="1"/>
  <c r="F4055" i="1"/>
  <c r="B4055" i="1"/>
  <c r="W4054" i="1"/>
  <c r="T4054" i="1"/>
  <c r="P4054" i="1"/>
  <c r="J4054" i="1"/>
  <c r="G4054" i="1"/>
  <c r="F4054" i="1"/>
  <c r="B4054" i="1"/>
  <c r="W4053" i="1"/>
  <c r="T4053" i="1"/>
  <c r="P4053" i="1"/>
  <c r="J4053" i="1"/>
  <c r="G4053" i="1"/>
  <c r="F4053" i="1"/>
  <c r="B4053" i="1"/>
  <c r="W4052" i="1"/>
  <c r="T4052" i="1"/>
  <c r="P4052" i="1"/>
  <c r="J4052" i="1"/>
  <c r="G4052" i="1"/>
  <c r="F4052" i="1"/>
  <c r="B4052" i="1"/>
  <c r="W4051" i="1"/>
  <c r="T4051" i="1"/>
  <c r="P4051" i="1"/>
  <c r="J4051" i="1"/>
  <c r="G4051" i="1"/>
  <c r="F4051" i="1"/>
  <c r="B4051" i="1"/>
  <c r="W4050" i="1"/>
  <c r="T4050" i="1"/>
  <c r="P4050" i="1"/>
  <c r="J4050" i="1"/>
  <c r="G4050" i="1"/>
  <c r="F4050" i="1"/>
  <c r="B4050" i="1"/>
  <c r="W4049" i="1"/>
  <c r="T4049" i="1"/>
  <c r="P4049" i="1"/>
  <c r="J4049" i="1"/>
  <c r="G4049" i="1"/>
  <c r="F4049" i="1"/>
  <c r="B4049" i="1"/>
  <c r="W4048" i="1"/>
  <c r="T4048" i="1"/>
  <c r="P4048" i="1"/>
  <c r="J4048" i="1"/>
  <c r="G4048" i="1"/>
  <c r="F4048" i="1"/>
  <c r="B4048" i="1"/>
  <c r="W4047" i="1"/>
  <c r="T4047" i="1"/>
  <c r="P4047" i="1"/>
  <c r="J4047" i="1"/>
  <c r="G4047" i="1"/>
  <c r="F4047" i="1"/>
  <c r="B4047" i="1"/>
  <c r="W4046" i="1"/>
  <c r="T4046" i="1"/>
  <c r="P4046" i="1"/>
  <c r="J4046" i="1"/>
  <c r="G4046" i="1"/>
  <c r="F4046" i="1"/>
  <c r="B4046" i="1"/>
  <c r="W4045" i="1"/>
  <c r="T4045" i="1"/>
  <c r="P4045" i="1"/>
  <c r="J4045" i="1"/>
  <c r="G4045" i="1"/>
  <c r="F4045" i="1"/>
  <c r="B4045" i="1"/>
  <c r="W4044" i="1"/>
  <c r="T4044" i="1"/>
  <c r="P4044" i="1"/>
  <c r="J4044" i="1"/>
  <c r="G4044" i="1"/>
  <c r="F4044" i="1"/>
  <c r="B4044" i="1"/>
  <c r="W4043" i="1"/>
  <c r="T4043" i="1"/>
  <c r="P4043" i="1"/>
  <c r="J4043" i="1"/>
  <c r="G4043" i="1"/>
  <c r="F4043" i="1"/>
  <c r="B4043" i="1"/>
  <c r="W4042" i="1"/>
  <c r="T4042" i="1"/>
  <c r="P4042" i="1"/>
  <c r="J4042" i="1"/>
  <c r="G4042" i="1"/>
  <c r="F4042" i="1"/>
  <c r="B4042" i="1"/>
  <c r="W4041" i="1"/>
  <c r="T4041" i="1"/>
  <c r="P4041" i="1"/>
  <c r="J4041" i="1"/>
  <c r="G4041" i="1"/>
  <c r="F4041" i="1"/>
  <c r="B4041" i="1"/>
  <c r="W4040" i="1"/>
  <c r="T4040" i="1"/>
  <c r="P4040" i="1"/>
  <c r="J4040" i="1"/>
  <c r="G4040" i="1"/>
  <c r="F4040" i="1"/>
  <c r="B4040" i="1"/>
  <c r="W4039" i="1"/>
  <c r="T4039" i="1"/>
  <c r="P4039" i="1"/>
  <c r="J4039" i="1"/>
  <c r="G4039" i="1"/>
  <c r="F4039" i="1"/>
  <c r="B4039" i="1"/>
  <c r="W4038" i="1"/>
  <c r="T4038" i="1"/>
  <c r="P4038" i="1"/>
  <c r="J4038" i="1"/>
  <c r="G4038" i="1"/>
  <c r="F4038" i="1"/>
  <c r="B4038" i="1"/>
  <c r="W4037" i="1"/>
  <c r="T4037" i="1"/>
  <c r="P4037" i="1"/>
  <c r="J4037" i="1"/>
  <c r="G4037" i="1"/>
  <c r="F4037" i="1"/>
  <c r="B4037" i="1"/>
  <c r="W4036" i="1"/>
  <c r="T4036" i="1"/>
  <c r="P4036" i="1"/>
  <c r="J4036" i="1"/>
  <c r="G4036" i="1"/>
  <c r="F4036" i="1"/>
  <c r="B4036" i="1"/>
  <c r="W4035" i="1"/>
  <c r="T4035" i="1"/>
  <c r="P4035" i="1"/>
  <c r="J4035" i="1"/>
  <c r="G4035" i="1"/>
  <c r="F4035" i="1"/>
  <c r="B4035" i="1"/>
  <c r="W4034" i="1"/>
  <c r="T4034" i="1"/>
  <c r="P4034" i="1"/>
  <c r="J4034" i="1"/>
  <c r="G4034" i="1"/>
  <c r="F4034" i="1"/>
  <c r="B4034" i="1"/>
  <c r="W4033" i="1"/>
  <c r="T4033" i="1"/>
  <c r="P4033" i="1"/>
  <c r="J4033" i="1"/>
  <c r="G4033" i="1"/>
  <c r="F4033" i="1"/>
  <c r="B4033" i="1"/>
  <c r="W4032" i="1"/>
  <c r="T4032" i="1"/>
  <c r="P4032" i="1"/>
  <c r="J4032" i="1"/>
  <c r="G4032" i="1"/>
  <c r="F4032" i="1"/>
  <c r="B4032" i="1"/>
  <c r="W4031" i="1"/>
  <c r="T4031" i="1"/>
  <c r="P4031" i="1"/>
  <c r="J4031" i="1"/>
  <c r="G4031" i="1"/>
  <c r="F4031" i="1"/>
  <c r="B4031" i="1"/>
  <c r="W4030" i="1"/>
  <c r="T4030" i="1"/>
  <c r="P4030" i="1"/>
  <c r="J4030" i="1"/>
  <c r="G4030" i="1"/>
  <c r="F4030" i="1"/>
  <c r="B4030" i="1"/>
  <c r="W4029" i="1"/>
  <c r="T4029" i="1"/>
  <c r="P4029" i="1"/>
  <c r="J4029" i="1"/>
  <c r="G4029" i="1"/>
  <c r="F4029" i="1"/>
  <c r="B4029" i="1"/>
  <c r="W4028" i="1"/>
  <c r="T4028" i="1"/>
  <c r="P4028" i="1"/>
  <c r="J4028" i="1"/>
  <c r="G4028" i="1"/>
  <c r="F4028" i="1"/>
  <c r="B4028" i="1"/>
  <c r="W4027" i="1"/>
  <c r="T4027" i="1"/>
  <c r="P4027" i="1"/>
  <c r="J4027" i="1"/>
  <c r="G4027" i="1"/>
  <c r="F4027" i="1"/>
  <c r="B4027" i="1"/>
  <c r="W4026" i="1"/>
  <c r="T4026" i="1"/>
  <c r="P4026" i="1"/>
  <c r="J4026" i="1"/>
  <c r="G4026" i="1"/>
  <c r="F4026" i="1"/>
  <c r="B4026" i="1"/>
  <c r="W4025" i="1"/>
  <c r="T4025" i="1"/>
  <c r="P4025" i="1"/>
  <c r="J4025" i="1"/>
  <c r="G4025" i="1"/>
  <c r="F4025" i="1"/>
  <c r="B4025" i="1"/>
  <c r="W4024" i="1"/>
  <c r="T4024" i="1"/>
  <c r="P4024" i="1"/>
  <c r="J4024" i="1"/>
  <c r="G4024" i="1"/>
  <c r="F4024" i="1"/>
  <c r="B4024" i="1"/>
  <c r="W4023" i="1"/>
  <c r="T4023" i="1"/>
  <c r="P4023" i="1"/>
  <c r="J4023" i="1"/>
  <c r="G4023" i="1"/>
  <c r="F4023" i="1"/>
  <c r="B4023" i="1"/>
  <c r="W4022" i="1"/>
  <c r="T4022" i="1"/>
  <c r="P4022" i="1"/>
  <c r="J4022" i="1"/>
  <c r="G4022" i="1"/>
  <c r="F4022" i="1"/>
  <c r="B4022" i="1"/>
  <c r="W4021" i="1"/>
  <c r="T4021" i="1"/>
  <c r="P4021" i="1"/>
  <c r="J4021" i="1"/>
  <c r="G4021" i="1"/>
  <c r="F4021" i="1"/>
  <c r="B4021" i="1"/>
  <c r="W4020" i="1"/>
  <c r="T4020" i="1"/>
  <c r="P4020" i="1"/>
  <c r="J4020" i="1"/>
  <c r="G4020" i="1"/>
  <c r="F4020" i="1"/>
  <c r="B4020" i="1"/>
  <c r="W4019" i="1"/>
  <c r="T4019" i="1"/>
  <c r="P4019" i="1"/>
  <c r="J4019" i="1"/>
  <c r="G4019" i="1"/>
  <c r="F4019" i="1"/>
  <c r="B4019" i="1"/>
  <c r="W4018" i="1"/>
  <c r="T4018" i="1"/>
  <c r="P4018" i="1"/>
  <c r="J4018" i="1"/>
  <c r="G4018" i="1"/>
  <c r="F4018" i="1"/>
  <c r="B4018" i="1"/>
  <c r="W4017" i="1"/>
  <c r="T4017" i="1"/>
  <c r="P4017" i="1"/>
  <c r="J4017" i="1"/>
  <c r="G4017" i="1"/>
  <c r="F4017" i="1"/>
  <c r="B4017" i="1"/>
  <c r="W4016" i="1"/>
  <c r="T4016" i="1"/>
  <c r="P4016" i="1"/>
  <c r="J4016" i="1"/>
  <c r="G4016" i="1"/>
  <c r="F4016" i="1"/>
  <c r="B4016" i="1"/>
  <c r="W4015" i="1"/>
  <c r="T4015" i="1"/>
  <c r="P4015" i="1"/>
  <c r="J4015" i="1"/>
  <c r="G4015" i="1"/>
  <c r="F4015" i="1"/>
  <c r="B4015" i="1"/>
  <c r="W4014" i="1"/>
  <c r="T4014" i="1"/>
  <c r="P4014" i="1"/>
  <c r="J4014" i="1"/>
  <c r="G4014" i="1"/>
  <c r="F4014" i="1"/>
  <c r="B4014" i="1"/>
  <c r="W4013" i="1"/>
  <c r="T4013" i="1"/>
  <c r="P4013" i="1"/>
  <c r="J4013" i="1"/>
  <c r="G4013" i="1"/>
  <c r="F4013" i="1"/>
  <c r="B4013" i="1"/>
  <c r="W4012" i="1"/>
  <c r="T4012" i="1"/>
  <c r="P4012" i="1"/>
  <c r="J4012" i="1"/>
  <c r="G4012" i="1"/>
  <c r="F4012" i="1"/>
  <c r="B4012" i="1"/>
  <c r="W4011" i="1"/>
  <c r="T4011" i="1"/>
  <c r="P4011" i="1"/>
  <c r="J4011" i="1"/>
  <c r="G4011" i="1"/>
  <c r="F4011" i="1"/>
  <c r="B4011" i="1"/>
  <c r="W4010" i="1"/>
  <c r="T4010" i="1"/>
  <c r="P4010" i="1"/>
  <c r="J4010" i="1"/>
  <c r="G4010" i="1"/>
  <c r="F4010" i="1"/>
  <c r="B4010" i="1"/>
  <c r="W4009" i="1"/>
  <c r="T4009" i="1"/>
  <c r="P4009" i="1"/>
  <c r="J4009" i="1"/>
  <c r="G4009" i="1"/>
  <c r="F4009" i="1"/>
  <c r="B4009" i="1"/>
  <c r="W4008" i="1"/>
  <c r="T4008" i="1"/>
  <c r="P4008" i="1"/>
  <c r="J4008" i="1"/>
  <c r="G4008" i="1"/>
  <c r="F4008" i="1"/>
  <c r="B4008" i="1"/>
  <c r="W4007" i="1"/>
  <c r="T4007" i="1"/>
  <c r="P4007" i="1"/>
  <c r="J4007" i="1"/>
  <c r="G4007" i="1"/>
  <c r="F4007" i="1"/>
  <c r="B4007" i="1"/>
  <c r="W4006" i="1"/>
  <c r="T4006" i="1"/>
  <c r="P4006" i="1"/>
  <c r="J4006" i="1"/>
  <c r="G4006" i="1"/>
  <c r="F4006" i="1"/>
  <c r="B4006" i="1"/>
  <c r="W4005" i="1"/>
  <c r="T4005" i="1"/>
  <c r="P4005" i="1"/>
  <c r="J4005" i="1"/>
  <c r="G4005" i="1"/>
  <c r="F4005" i="1"/>
  <c r="B4005" i="1"/>
  <c r="W4004" i="1"/>
  <c r="T4004" i="1"/>
  <c r="P4004" i="1"/>
  <c r="J4004" i="1"/>
  <c r="G4004" i="1"/>
  <c r="F4004" i="1"/>
  <c r="B4004" i="1"/>
  <c r="W4003" i="1"/>
  <c r="T4003" i="1"/>
  <c r="P4003" i="1"/>
  <c r="J4003" i="1"/>
  <c r="G4003" i="1"/>
  <c r="F4003" i="1"/>
  <c r="B4003" i="1"/>
  <c r="W4002" i="1"/>
  <c r="T4002" i="1"/>
  <c r="P4002" i="1"/>
  <c r="J4002" i="1"/>
  <c r="G4002" i="1"/>
  <c r="F4002" i="1"/>
  <c r="B4002" i="1"/>
  <c r="W4001" i="1"/>
  <c r="T4001" i="1"/>
  <c r="P4001" i="1"/>
  <c r="J4001" i="1"/>
  <c r="G4001" i="1"/>
  <c r="F4001" i="1"/>
  <c r="B4001" i="1"/>
  <c r="W4000" i="1"/>
  <c r="T4000" i="1"/>
  <c r="P4000" i="1"/>
  <c r="J4000" i="1"/>
  <c r="G4000" i="1"/>
  <c r="F4000" i="1"/>
  <c r="B4000" i="1"/>
  <c r="W3999" i="1"/>
  <c r="T3999" i="1"/>
  <c r="P3999" i="1"/>
  <c r="J3999" i="1"/>
  <c r="G3999" i="1"/>
  <c r="F3999" i="1"/>
  <c r="B3999" i="1"/>
  <c r="W3998" i="1"/>
  <c r="T3998" i="1"/>
  <c r="P3998" i="1"/>
  <c r="J3998" i="1"/>
  <c r="G3998" i="1"/>
  <c r="F3998" i="1"/>
  <c r="B3998" i="1"/>
  <c r="W3997" i="1"/>
  <c r="T3997" i="1"/>
  <c r="P3997" i="1"/>
  <c r="J3997" i="1"/>
  <c r="G3997" i="1"/>
  <c r="F3997" i="1"/>
  <c r="B3997" i="1"/>
  <c r="W3996" i="1"/>
  <c r="T3996" i="1"/>
  <c r="P3996" i="1"/>
  <c r="J3996" i="1"/>
  <c r="G3996" i="1"/>
  <c r="F3996" i="1"/>
  <c r="B3996" i="1"/>
  <c r="W3995" i="1"/>
  <c r="T3995" i="1"/>
  <c r="P3995" i="1"/>
  <c r="J3995" i="1"/>
  <c r="G3995" i="1"/>
  <c r="F3995" i="1"/>
  <c r="B3995" i="1"/>
  <c r="W3994" i="1"/>
  <c r="T3994" i="1"/>
  <c r="P3994" i="1"/>
  <c r="J3994" i="1"/>
  <c r="G3994" i="1"/>
  <c r="F3994" i="1"/>
  <c r="B3994" i="1"/>
  <c r="W3993" i="1"/>
  <c r="T3993" i="1"/>
  <c r="P3993" i="1"/>
  <c r="J3993" i="1"/>
  <c r="G3993" i="1"/>
  <c r="F3993" i="1"/>
  <c r="B3993" i="1"/>
  <c r="W3992" i="1"/>
  <c r="T3992" i="1"/>
  <c r="P3992" i="1"/>
  <c r="J3992" i="1"/>
  <c r="G3992" i="1"/>
  <c r="F3992" i="1"/>
  <c r="B3992" i="1"/>
  <c r="W3991" i="1"/>
  <c r="T3991" i="1"/>
  <c r="P3991" i="1"/>
  <c r="J3991" i="1"/>
  <c r="G3991" i="1"/>
  <c r="F3991" i="1"/>
  <c r="B3991" i="1"/>
  <c r="W3990" i="1"/>
  <c r="T3990" i="1"/>
  <c r="P3990" i="1"/>
  <c r="J3990" i="1"/>
  <c r="G3990" i="1"/>
  <c r="F3990" i="1"/>
  <c r="B3990" i="1"/>
  <c r="W3989" i="1"/>
  <c r="T3989" i="1"/>
  <c r="P3989" i="1"/>
  <c r="J3989" i="1"/>
  <c r="G3989" i="1"/>
  <c r="F3989" i="1"/>
  <c r="B3989" i="1"/>
  <c r="W3988" i="1"/>
  <c r="T3988" i="1"/>
  <c r="P3988" i="1"/>
  <c r="J3988" i="1"/>
  <c r="G3988" i="1"/>
  <c r="F3988" i="1"/>
  <c r="B3988" i="1"/>
  <c r="W3987" i="1"/>
  <c r="T3987" i="1"/>
  <c r="P3987" i="1"/>
  <c r="J3987" i="1"/>
  <c r="G3987" i="1"/>
  <c r="F3987" i="1"/>
  <c r="B3987" i="1"/>
  <c r="W3986" i="1"/>
  <c r="T3986" i="1"/>
  <c r="P3986" i="1"/>
  <c r="J3986" i="1"/>
  <c r="G3986" i="1"/>
  <c r="F3986" i="1"/>
  <c r="B3986" i="1"/>
  <c r="W3985" i="1"/>
  <c r="T3985" i="1"/>
  <c r="P3985" i="1"/>
  <c r="J3985" i="1"/>
  <c r="G3985" i="1"/>
  <c r="F3985" i="1"/>
  <c r="B3985" i="1"/>
  <c r="W3984" i="1"/>
  <c r="T3984" i="1"/>
  <c r="P3984" i="1"/>
  <c r="J3984" i="1"/>
  <c r="G3984" i="1"/>
  <c r="F3984" i="1"/>
  <c r="B3984" i="1"/>
  <c r="W3983" i="1"/>
  <c r="T3983" i="1"/>
  <c r="P3983" i="1"/>
  <c r="J3983" i="1"/>
  <c r="G3983" i="1"/>
  <c r="F3983" i="1"/>
  <c r="B3983" i="1"/>
  <c r="W3982" i="1"/>
  <c r="T3982" i="1"/>
  <c r="P3982" i="1"/>
  <c r="J3982" i="1"/>
  <c r="G3982" i="1"/>
  <c r="F3982" i="1"/>
  <c r="B3982" i="1"/>
  <c r="W3981" i="1"/>
  <c r="T3981" i="1"/>
  <c r="P3981" i="1"/>
  <c r="J3981" i="1"/>
  <c r="G3981" i="1"/>
  <c r="F3981" i="1"/>
  <c r="B3981" i="1"/>
  <c r="W3980" i="1"/>
  <c r="T3980" i="1"/>
  <c r="P3980" i="1"/>
  <c r="J3980" i="1"/>
  <c r="G3980" i="1"/>
  <c r="F3980" i="1"/>
  <c r="B3980" i="1"/>
  <c r="W3979" i="1"/>
  <c r="T3979" i="1"/>
  <c r="P3979" i="1"/>
  <c r="J3979" i="1"/>
  <c r="G3979" i="1"/>
  <c r="F3979" i="1"/>
  <c r="B3979" i="1"/>
  <c r="W3978" i="1"/>
  <c r="T3978" i="1"/>
  <c r="P3978" i="1"/>
  <c r="J3978" i="1"/>
  <c r="G3978" i="1"/>
  <c r="F3978" i="1"/>
  <c r="B3978" i="1"/>
  <c r="W3977" i="1"/>
  <c r="T3977" i="1"/>
  <c r="P3977" i="1"/>
  <c r="J3977" i="1"/>
  <c r="G3977" i="1"/>
  <c r="F3977" i="1"/>
  <c r="B3977" i="1"/>
  <c r="W3976" i="1"/>
  <c r="T3976" i="1"/>
  <c r="P3976" i="1"/>
  <c r="J3976" i="1"/>
  <c r="G3976" i="1"/>
  <c r="F3976" i="1"/>
  <c r="B3976" i="1"/>
  <c r="W3975" i="1"/>
  <c r="T3975" i="1"/>
  <c r="P3975" i="1"/>
  <c r="J3975" i="1"/>
  <c r="G3975" i="1"/>
  <c r="F3975" i="1"/>
  <c r="B3975" i="1"/>
  <c r="W3974" i="1"/>
  <c r="T3974" i="1"/>
  <c r="P3974" i="1"/>
  <c r="J3974" i="1"/>
  <c r="G3974" i="1"/>
  <c r="F3974" i="1"/>
  <c r="B3974" i="1"/>
  <c r="W3973" i="1"/>
  <c r="T3973" i="1"/>
  <c r="P3973" i="1"/>
  <c r="J3973" i="1"/>
  <c r="G3973" i="1"/>
  <c r="F3973" i="1"/>
  <c r="B3973" i="1"/>
  <c r="W3972" i="1"/>
  <c r="T3972" i="1"/>
  <c r="P3972" i="1"/>
  <c r="J3972" i="1"/>
  <c r="G3972" i="1"/>
  <c r="F3972" i="1"/>
  <c r="B3972" i="1"/>
  <c r="W3971" i="1"/>
  <c r="T3971" i="1"/>
  <c r="P3971" i="1"/>
  <c r="J3971" i="1"/>
  <c r="G3971" i="1"/>
  <c r="F3971" i="1"/>
  <c r="B3971" i="1"/>
  <c r="W3970" i="1"/>
  <c r="T3970" i="1"/>
  <c r="P3970" i="1"/>
  <c r="J3970" i="1"/>
  <c r="G3970" i="1"/>
  <c r="F3970" i="1"/>
  <c r="B3970" i="1"/>
  <c r="W3969" i="1"/>
  <c r="T3969" i="1"/>
  <c r="P3969" i="1"/>
  <c r="J3969" i="1"/>
  <c r="G3969" i="1"/>
  <c r="F3969" i="1"/>
  <c r="B3969" i="1"/>
  <c r="W3968" i="1"/>
  <c r="T3968" i="1"/>
  <c r="P3968" i="1"/>
  <c r="J3968" i="1"/>
  <c r="G3968" i="1"/>
  <c r="F3968" i="1"/>
  <c r="B3968" i="1"/>
  <c r="W3967" i="1"/>
  <c r="T3967" i="1"/>
  <c r="P3967" i="1"/>
  <c r="J3967" i="1"/>
  <c r="G3967" i="1"/>
  <c r="F3967" i="1"/>
  <c r="B3967" i="1"/>
  <c r="W3966" i="1"/>
  <c r="T3966" i="1"/>
  <c r="P3966" i="1"/>
  <c r="J3966" i="1"/>
  <c r="G3966" i="1"/>
  <c r="F3966" i="1"/>
  <c r="B3966" i="1"/>
  <c r="W3965" i="1"/>
  <c r="T3965" i="1"/>
  <c r="P3965" i="1"/>
  <c r="J3965" i="1"/>
  <c r="G3965" i="1"/>
  <c r="F3965" i="1"/>
  <c r="B3965" i="1"/>
  <c r="W3964" i="1"/>
  <c r="T3964" i="1"/>
  <c r="P3964" i="1"/>
  <c r="J3964" i="1"/>
  <c r="G3964" i="1"/>
  <c r="F3964" i="1"/>
  <c r="B3964" i="1"/>
  <c r="W3963" i="1"/>
  <c r="T3963" i="1"/>
  <c r="P3963" i="1"/>
  <c r="J3963" i="1"/>
  <c r="G3963" i="1"/>
  <c r="F3963" i="1"/>
  <c r="B3963" i="1"/>
  <c r="W3962" i="1"/>
  <c r="T3962" i="1"/>
  <c r="P3962" i="1"/>
  <c r="J3962" i="1"/>
  <c r="G3962" i="1"/>
  <c r="F3962" i="1"/>
  <c r="B3962" i="1"/>
  <c r="W3961" i="1"/>
  <c r="T3961" i="1"/>
  <c r="P3961" i="1"/>
  <c r="J3961" i="1"/>
  <c r="G3961" i="1"/>
  <c r="F3961" i="1"/>
  <c r="B3961" i="1"/>
  <c r="W3960" i="1"/>
  <c r="T3960" i="1"/>
  <c r="P3960" i="1"/>
  <c r="J3960" i="1"/>
  <c r="G3960" i="1"/>
  <c r="F3960" i="1"/>
  <c r="B3960" i="1"/>
  <c r="W3959" i="1"/>
  <c r="T3959" i="1"/>
  <c r="P3959" i="1"/>
  <c r="J3959" i="1"/>
  <c r="G3959" i="1"/>
  <c r="F3959" i="1"/>
  <c r="B3959" i="1"/>
  <c r="W3958" i="1"/>
  <c r="T3958" i="1"/>
  <c r="P3958" i="1"/>
  <c r="J3958" i="1"/>
  <c r="G3958" i="1"/>
  <c r="F3958" i="1"/>
  <c r="B3958" i="1"/>
  <c r="W3957" i="1"/>
  <c r="T3957" i="1"/>
  <c r="P3957" i="1"/>
  <c r="J3957" i="1"/>
  <c r="G3957" i="1"/>
  <c r="F3957" i="1"/>
  <c r="B3957" i="1"/>
  <c r="W3956" i="1"/>
  <c r="T3956" i="1"/>
  <c r="P3956" i="1"/>
  <c r="J3956" i="1"/>
  <c r="G3956" i="1"/>
  <c r="F3956" i="1"/>
  <c r="B3956" i="1"/>
  <c r="W3955" i="1"/>
  <c r="T3955" i="1"/>
  <c r="P3955" i="1"/>
  <c r="J3955" i="1"/>
  <c r="G3955" i="1"/>
  <c r="F3955" i="1"/>
  <c r="B3955" i="1"/>
  <c r="W3954" i="1"/>
  <c r="T3954" i="1"/>
  <c r="P3954" i="1"/>
  <c r="J3954" i="1"/>
  <c r="G3954" i="1"/>
  <c r="F3954" i="1"/>
  <c r="B3954" i="1"/>
  <c r="W3953" i="1"/>
  <c r="T3953" i="1"/>
  <c r="P3953" i="1"/>
  <c r="J3953" i="1"/>
  <c r="G3953" i="1"/>
  <c r="F3953" i="1"/>
  <c r="B3953" i="1"/>
  <c r="W3952" i="1"/>
  <c r="T3952" i="1"/>
  <c r="P3952" i="1"/>
  <c r="J3952" i="1"/>
  <c r="G3952" i="1"/>
  <c r="F3952" i="1"/>
  <c r="B3952" i="1"/>
  <c r="W3951" i="1"/>
  <c r="T3951" i="1"/>
  <c r="P3951" i="1"/>
  <c r="J3951" i="1"/>
  <c r="G3951" i="1"/>
  <c r="F3951" i="1"/>
  <c r="B3951" i="1"/>
  <c r="W3950" i="1"/>
  <c r="T3950" i="1"/>
  <c r="P3950" i="1"/>
  <c r="J3950" i="1"/>
  <c r="G3950" i="1"/>
  <c r="F3950" i="1"/>
  <c r="B3950" i="1"/>
  <c r="W3949" i="1"/>
  <c r="T3949" i="1"/>
  <c r="P3949" i="1"/>
  <c r="J3949" i="1"/>
  <c r="G3949" i="1"/>
  <c r="F3949" i="1"/>
  <c r="B3949" i="1"/>
  <c r="W3948" i="1"/>
  <c r="T3948" i="1"/>
  <c r="P3948" i="1"/>
  <c r="J3948" i="1"/>
  <c r="G3948" i="1"/>
  <c r="F3948" i="1"/>
  <c r="B3948" i="1"/>
  <c r="W3947" i="1"/>
  <c r="T3947" i="1"/>
  <c r="P3947" i="1"/>
  <c r="J3947" i="1"/>
  <c r="G3947" i="1"/>
  <c r="F3947" i="1"/>
  <c r="B3947" i="1"/>
  <c r="W3946" i="1"/>
  <c r="T3946" i="1"/>
  <c r="P3946" i="1"/>
  <c r="J3946" i="1"/>
  <c r="G3946" i="1"/>
  <c r="F3946" i="1"/>
  <c r="B3946" i="1"/>
  <c r="W3945" i="1"/>
  <c r="T3945" i="1"/>
  <c r="P3945" i="1"/>
  <c r="J3945" i="1"/>
  <c r="G3945" i="1"/>
  <c r="F3945" i="1"/>
  <c r="B3945" i="1"/>
  <c r="W3944" i="1"/>
  <c r="T3944" i="1"/>
  <c r="P3944" i="1"/>
  <c r="J3944" i="1"/>
  <c r="G3944" i="1"/>
  <c r="F3944" i="1"/>
  <c r="B3944" i="1"/>
  <c r="W3943" i="1"/>
  <c r="T3943" i="1"/>
  <c r="P3943" i="1"/>
  <c r="J3943" i="1"/>
  <c r="G3943" i="1"/>
  <c r="F3943" i="1"/>
  <c r="B3943" i="1"/>
  <c r="W3942" i="1"/>
  <c r="T3942" i="1"/>
  <c r="P3942" i="1"/>
  <c r="J3942" i="1"/>
  <c r="G3942" i="1"/>
  <c r="F3942" i="1"/>
  <c r="B3942" i="1"/>
  <c r="W3941" i="1"/>
  <c r="T3941" i="1"/>
  <c r="P3941" i="1"/>
  <c r="J3941" i="1"/>
  <c r="G3941" i="1"/>
  <c r="F3941" i="1"/>
  <c r="B3941" i="1"/>
  <c r="W3940" i="1"/>
  <c r="T3940" i="1"/>
  <c r="P3940" i="1"/>
  <c r="J3940" i="1"/>
  <c r="G3940" i="1"/>
  <c r="F3940" i="1"/>
  <c r="B3940" i="1"/>
  <c r="W3939" i="1"/>
  <c r="T3939" i="1"/>
  <c r="P3939" i="1"/>
  <c r="J3939" i="1"/>
  <c r="G3939" i="1"/>
  <c r="F3939" i="1"/>
  <c r="B3939" i="1"/>
  <c r="W3938" i="1"/>
  <c r="T3938" i="1"/>
  <c r="P3938" i="1"/>
  <c r="J3938" i="1"/>
  <c r="G3938" i="1"/>
  <c r="F3938" i="1"/>
  <c r="B3938" i="1"/>
  <c r="W3937" i="1"/>
  <c r="T3937" i="1"/>
  <c r="P3937" i="1"/>
  <c r="J3937" i="1"/>
  <c r="G3937" i="1"/>
  <c r="F3937" i="1"/>
  <c r="B3937" i="1"/>
  <c r="W3936" i="1"/>
  <c r="T3936" i="1"/>
  <c r="P3936" i="1"/>
  <c r="J3936" i="1"/>
  <c r="G3936" i="1"/>
  <c r="F3936" i="1"/>
  <c r="B3936" i="1"/>
  <c r="W3935" i="1"/>
  <c r="T3935" i="1"/>
  <c r="P3935" i="1"/>
  <c r="J3935" i="1"/>
  <c r="G3935" i="1"/>
  <c r="F3935" i="1"/>
  <c r="B3935" i="1"/>
  <c r="W3934" i="1"/>
  <c r="T3934" i="1"/>
  <c r="P3934" i="1"/>
  <c r="J3934" i="1"/>
  <c r="G3934" i="1"/>
  <c r="F3934" i="1"/>
  <c r="B3934" i="1"/>
  <c r="W3933" i="1"/>
  <c r="T3933" i="1"/>
  <c r="P3933" i="1"/>
  <c r="J3933" i="1"/>
  <c r="G3933" i="1"/>
  <c r="F3933" i="1"/>
  <c r="B3933" i="1"/>
  <c r="W3932" i="1"/>
  <c r="T3932" i="1"/>
  <c r="P3932" i="1"/>
  <c r="J3932" i="1"/>
  <c r="G3932" i="1"/>
  <c r="F3932" i="1"/>
  <c r="B3932" i="1"/>
  <c r="W3931" i="1"/>
  <c r="T3931" i="1"/>
  <c r="P3931" i="1"/>
  <c r="J3931" i="1"/>
  <c r="G3931" i="1"/>
  <c r="F3931" i="1"/>
  <c r="B3931" i="1"/>
  <c r="W3930" i="1"/>
  <c r="T3930" i="1"/>
  <c r="P3930" i="1"/>
  <c r="J3930" i="1"/>
  <c r="G3930" i="1"/>
  <c r="F3930" i="1"/>
  <c r="B3930" i="1"/>
  <c r="W3929" i="1"/>
  <c r="T3929" i="1"/>
  <c r="P3929" i="1"/>
  <c r="J3929" i="1"/>
  <c r="G3929" i="1"/>
  <c r="F3929" i="1"/>
  <c r="B3929" i="1"/>
  <c r="W3928" i="1"/>
  <c r="T3928" i="1"/>
  <c r="P3928" i="1"/>
  <c r="J3928" i="1"/>
  <c r="G3928" i="1"/>
  <c r="F3928" i="1"/>
  <c r="B3928" i="1"/>
  <c r="W3927" i="1"/>
  <c r="T3927" i="1"/>
  <c r="P3927" i="1"/>
  <c r="J3927" i="1"/>
  <c r="G3927" i="1"/>
  <c r="F3927" i="1"/>
  <c r="B3927" i="1"/>
  <c r="W3926" i="1"/>
  <c r="T3926" i="1"/>
  <c r="P3926" i="1"/>
  <c r="J3926" i="1"/>
  <c r="G3926" i="1"/>
  <c r="F3926" i="1"/>
  <c r="B3926" i="1"/>
  <c r="W3925" i="1"/>
  <c r="T3925" i="1"/>
  <c r="P3925" i="1"/>
  <c r="J3925" i="1"/>
  <c r="G3925" i="1"/>
  <c r="F3925" i="1"/>
  <c r="B3925" i="1"/>
  <c r="W3924" i="1"/>
  <c r="T3924" i="1"/>
  <c r="P3924" i="1"/>
  <c r="J3924" i="1"/>
  <c r="G3924" i="1"/>
  <c r="F3924" i="1"/>
  <c r="B3924" i="1"/>
  <c r="W3923" i="1"/>
  <c r="T3923" i="1"/>
  <c r="P3923" i="1"/>
  <c r="J3923" i="1"/>
  <c r="G3923" i="1"/>
  <c r="F3923" i="1"/>
  <c r="B3923" i="1"/>
  <c r="W3922" i="1"/>
  <c r="T3922" i="1"/>
  <c r="P3922" i="1"/>
  <c r="J3922" i="1"/>
  <c r="G3922" i="1"/>
  <c r="F3922" i="1"/>
  <c r="B3922" i="1"/>
  <c r="W3921" i="1"/>
  <c r="T3921" i="1"/>
  <c r="P3921" i="1"/>
  <c r="J3921" i="1"/>
  <c r="G3921" i="1"/>
  <c r="F3921" i="1"/>
  <c r="B3921" i="1"/>
  <c r="W3920" i="1"/>
  <c r="T3920" i="1"/>
  <c r="P3920" i="1"/>
  <c r="J3920" i="1"/>
  <c r="G3920" i="1"/>
  <c r="F3920" i="1"/>
  <c r="B3920" i="1"/>
  <c r="W3919" i="1"/>
  <c r="T3919" i="1"/>
  <c r="P3919" i="1"/>
  <c r="J3919" i="1"/>
  <c r="G3919" i="1"/>
  <c r="F3919" i="1"/>
  <c r="B3919" i="1"/>
  <c r="W3918" i="1"/>
  <c r="T3918" i="1"/>
  <c r="P3918" i="1"/>
  <c r="J3918" i="1"/>
  <c r="G3918" i="1"/>
  <c r="F3918" i="1"/>
  <c r="B3918" i="1"/>
  <c r="W3917" i="1"/>
  <c r="T3917" i="1"/>
  <c r="P3917" i="1"/>
  <c r="J3917" i="1"/>
  <c r="G3917" i="1"/>
  <c r="F3917" i="1"/>
  <c r="B3917" i="1"/>
  <c r="W3916" i="1"/>
  <c r="T3916" i="1"/>
  <c r="P3916" i="1"/>
  <c r="J3916" i="1"/>
  <c r="G3916" i="1"/>
  <c r="F3916" i="1"/>
  <c r="B3916" i="1"/>
  <c r="W3915" i="1"/>
  <c r="T3915" i="1"/>
  <c r="P3915" i="1"/>
  <c r="J3915" i="1"/>
  <c r="G3915" i="1"/>
  <c r="F3915" i="1"/>
  <c r="B3915" i="1"/>
  <c r="W3914" i="1"/>
  <c r="T3914" i="1"/>
  <c r="P3914" i="1"/>
  <c r="J3914" i="1"/>
  <c r="G3914" i="1"/>
  <c r="F3914" i="1"/>
  <c r="B3914" i="1"/>
  <c r="W3913" i="1"/>
  <c r="T3913" i="1"/>
  <c r="P3913" i="1"/>
  <c r="J3913" i="1"/>
  <c r="G3913" i="1"/>
  <c r="F3913" i="1"/>
  <c r="B3913" i="1"/>
  <c r="W3912" i="1"/>
  <c r="T3912" i="1"/>
  <c r="P3912" i="1"/>
  <c r="J3912" i="1"/>
  <c r="G3912" i="1"/>
  <c r="F3912" i="1"/>
  <c r="B3912" i="1"/>
  <c r="W3911" i="1"/>
  <c r="T3911" i="1"/>
  <c r="P3911" i="1"/>
  <c r="J3911" i="1"/>
  <c r="G3911" i="1"/>
  <c r="F3911" i="1"/>
  <c r="B3911" i="1"/>
  <c r="W3910" i="1"/>
  <c r="T3910" i="1"/>
  <c r="P3910" i="1"/>
  <c r="J3910" i="1"/>
  <c r="G3910" i="1"/>
  <c r="F3910" i="1"/>
  <c r="B3910" i="1"/>
  <c r="W3909" i="1"/>
  <c r="T3909" i="1"/>
  <c r="P3909" i="1"/>
  <c r="J3909" i="1"/>
  <c r="G3909" i="1"/>
  <c r="F3909" i="1"/>
  <c r="B3909" i="1"/>
  <c r="W3908" i="1"/>
  <c r="T3908" i="1"/>
  <c r="P3908" i="1"/>
  <c r="J3908" i="1"/>
  <c r="G3908" i="1"/>
  <c r="F3908" i="1"/>
  <c r="B3908" i="1"/>
  <c r="W3907" i="1"/>
  <c r="T3907" i="1"/>
  <c r="P3907" i="1"/>
  <c r="J3907" i="1"/>
  <c r="G3907" i="1"/>
  <c r="F3907" i="1"/>
  <c r="B3907" i="1"/>
  <c r="W3906" i="1"/>
  <c r="T3906" i="1"/>
  <c r="P3906" i="1"/>
  <c r="J3906" i="1"/>
  <c r="G3906" i="1"/>
  <c r="F3906" i="1"/>
  <c r="B3906" i="1"/>
  <c r="W3905" i="1"/>
  <c r="T3905" i="1"/>
  <c r="P3905" i="1"/>
  <c r="J3905" i="1"/>
  <c r="G3905" i="1"/>
  <c r="F3905" i="1"/>
  <c r="B3905" i="1"/>
  <c r="W3904" i="1"/>
  <c r="T3904" i="1"/>
  <c r="P3904" i="1"/>
  <c r="J3904" i="1"/>
  <c r="G3904" i="1"/>
  <c r="F3904" i="1"/>
  <c r="B3904" i="1"/>
  <c r="W3903" i="1"/>
  <c r="T3903" i="1"/>
  <c r="P3903" i="1"/>
  <c r="J3903" i="1"/>
  <c r="G3903" i="1"/>
  <c r="F3903" i="1"/>
  <c r="B3903" i="1"/>
  <c r="W3902" i="1"/>
  <c r="T3902" i="1"/>
  <c r="P3902" i="1"/>
  <c r="J3902" i="1"/>
  <c r="G3902" i="1"/>
  <c r="F3902" i="1"/>
  <c r="B3902" i="1"/>
  <c r="W3901" i="1"/>
  <c r="T3901" i="1"/>
  <c r="P3901" i="1"/>
  <c r="J3901" i="1"/>
  <c r="G3901" i="1"/>
  <c r="F3901" i="1"/>
  <c r="B3901" i="1"/>
  <c r="W3900" i="1"/>
  <c r="T3900" i="1"/>
  <c r="P3900" i="1"/>
  <c r="J3900" i="1"/>
  <c r="G3900" i="1"/>
  <c r="F3900" i="1"/>
  <c r="B3900" i="1"/>
  <c r="W3899" i="1"/>
  <c r="T3899" i="1"/>
  <c r="P3899" i="1"/>
  <c r="J3899" i="1"/>
  <c r="G3899" i="1"/>
  <c r="F3899" i="1"/>
  <c r="B3899" i="1"/>
  <c r="W3898" i="1"/>
  <c r="T3898" i="1"/>
  <c r="P3898" i="1"/>
  <c r="J3898" i="1"/>
  <c r="G3898" i="1"/>
  <c r="F3898" i="1"/>
  <c r="B3898" i="1"/>
  <c r="W3897" i="1"/>
  <c r="T3897" i="1"/>
  <c r="P3897" i="1"/>
  <c r="J3897" i="1"/>
  <c r="G3897" i="1"/>
  <c r="F3897" i="1"/>
  <c r="B3897" i="1"/>
  <c r="W3896" i="1"/>
  <c r="T3896" i="1"/>
  <c r="P3896" i="1"/>
  <c r="J3896" i="1"/>
  <c r="G3896" i="1"/>
  <c r="F3896" i="1"/>
  <c r="B3896" i="1"/>
  <c r="W3895" i="1"/>
  <c r="T3895" i="1"/>
  <c r="P3895" i="1"/>
  <c r="J3895" i="1"/>
  <c r="G3895" i="1"/>
  <c r="F3895" i="1"/>
  <c r="B3895" i="1"/>
  <c r="W3894" i="1"/>
  <c r="T3894" i="1"/>
  <c r="P3894" i="1"/>
  <c r="J3894" i="1"/>
  <c r="G3894" i="1"/>
  <c r="F3894" i="1"/>
  <c r="B3894" i="1"/>
  <c r="W3893" i="1"/>
  <c r="T3893" i="1"/>
  <c r="P3893" i="1"/>
  <c r="J3893" i="1"/>
  <c r="G3893" i="1"/>
  <c r="F3893" i="1"/>
  <c r="B3893" i="1"/>
  <c r="W3892" i="1"/>
  <c r="T3892" i="1"/>
  <c r="P3892" i="1"/>
  <c r="J3892" i="1"/>
  <c r="G3892" i="1"/>
  <c r="F3892" i="1"/>
  <c r="B3892" i="1"/>
  <c r="W3891" i="1"/>
  <c r="T3891" i="1"/>
  <c r="P3891" i="1"/>
  <c r="J3891" i="1"/>
  <c r="G3891" i="1"/>
  <c r="F3891" i="1"/>
  <c r="B3891" i="1"/>
  <c r="W3890" i="1"/>
  <c r="T3890" i="1"/>
  <c r="P3890" i="1"/>
  <c r="J3890" i="1"/>
  <c r="G3890" i="1"/>
  <c r="F3890" i="1"/>
  <c r="B3890" i="1"/>
  <c r="W3889" i="1"/>
  <c r="T3889" i="1"/>
  <c r="P3889" i="1"/>
  <c r="J3889" i="1"/>
  <c r="G3889" i="1"/>
  <c r="F3889" i="1"/>
  <c r="B3889" i="1"/>
  <c r="W3888" i="1"/>
  <c r="T3888" i="1"/>
  <c r="P3888" i="1"/>
  <c r="J3888" i="1"/>
  <c r="G3888" i="1"/>
  <c r="F3888" i="1"/>
  <c r="B3888" i="1"/>
  <c r="W3887" i="1"/>
  <c r="T3887" i="1"/>
  <c r="P3887" i="1"/>
  <c r="J3887" i="1"/>
  <c r="G3887" i="1"/>
  <c r="F3887" i="1"/>
  <c r="B3887" i="1"/>
  <c r="W3886" i="1"/>
  <c r="T3886" i="1"/>
  <c r="P3886" i="1"/>
  <c r="J3886" i="1"/>
  <c r="G3886" i="1"/>
  <c r="F3886" i="1"/>
  <c r="B3886" i="1"/>
  <c r="W3885" i="1"/>
  <c r="T3885" i="1"/>
  <c r="P3885" i="1"/>
  <c r="J3885" i="1"/>
  <c r="G3885" i="1"/>
  <c r="F3885" i="1"/>
  <c r="B3885" i="1"/>
  <c r="W3884" i="1"/>
  <c r="T3884" i="1"/>
  <c r="P3884" i="1"/>
  <c r="J3884" i="1"/>
  <c r="G3884" i="1"/>
  <c r="F3884" i="1"/>
  <c r="B3884" i="1"/>
  <c r="W3883" i="1"/>
  <c r="T3883" i="1"/>
  <c r="P3883" i="1"/>
  <c r="J3883" i="1"/>
  <c r="G3883" i="1"/>
  <c r="F3883" i="1"/>
  <c r="B3883" i="1"/>
  <c r="W3882" i="1"/>
  <c r="T3882" i="1"/>
  <c r="P3882" i="1"/>
  <c r="J3882" i="1"/>
  <c r="G3882" i="1"/>
  <c r="F3882" i="1"/>
  <c r="B3882" i="1"/>
  <c r="W3881" i="1"/>
  <c r="T3881" i="1"/>
  <c r="P3881" i="1"/>
  <c r="J3881" i="1"/>
  <c r="G3881" i="1"/>
  <c r="F3881" i="1"/>
  <c r="B3881" i="1"/>
  <c r="W3880" i="1"/>
  <c r="T3880" i="1"/>
  <c r="P3880" i="1"/>
  <c r="J3880" i="1"/>
  <c r="G3880" i="1"/>
  <c r="F3880" i="1"/>
  <c r="B3880" i="1"/>
  <c r="W3879" i="1"/>
  <c r="T3879" i="1"/>
  <c r="P3879" i="1"/>
  <c r="J3879" i="1"/>
  <c r="G3879" i="1"/>
  <c r="F3879" i="1"/>
  <c r="B3879" i="1"/>
  <c r="W3878" i="1"/>
  <c r="T3878" i="1"/>
  <c r="P3878" i="1"/>
  <c r="J3878" i="1"/>
  <c r="G3878" i="1"/>
  <c r="F3878" i="1"/>
  <c r="B3878" i="1"/>
  <c r="W3877" i="1"/>
  <c r="T3877" i="1"/>
  <c r="P3877" i="1"/>
  <c r="J3877" i="1"/>
  <c r="G3877" i="1"/>
  <c r="F3877" i="1"/>
  <c r="B3877" i="1"/>
  <c r="W3876" i="1"/>
  <c r="T3876" i="1"/>
  <c r="P3876" i="1"/>
  <c r="J3876" i="1"/>
  <c r="G3876" i="1"/>
  <c r="F3876" i="1"/>
  <c r="B3876" i="1"/>
  <c r="W3875" i="1"/>
  <c r="T3875" i="1"/>
  <c r="P3875" i="1"/>
  <c r="J3875" i="1"/>
  <c r="G3875" i="1"/>
  <c r="F3875" i="1"/>
  <c r="B3875" i="1"/>
  <c r="W3874" i="1"/>
  <c r="T3874" i="1"/>
  <c r="P3874" i="1"/>
  <c r="J3874" i="1"/>
  <c r="G3874" i="1"/>
  <c r="F3874" i="1"/>
  <c r="B3874" i="1"/>
  <c r="W3873" i="1"/>
  <c r="T3873" i="1"/>
  <c r="P3873" i="1"/>
  <c r="J3873" i="1"/>
  <c r="G3873" i="1"/>
  <c r="F3873" i="1"/>
  <c r="B3873" i="1"/>
  <c r="W3872" i="1"/>
  <c r="T3872" i="1"/>
  <c r="P3872" i="1"/>
  <c r="J3872" i="1"/>
  <c r="G3872" i="1"/>
  <c r="F3872" i="1"/>
  <c r="B3872" i="1"/>
  <c r="W3871" i="1"/>
  <c r="T3871" i="1"/>
  <c r="P3871" i="1"/>
  <c r="J3871" i="1"/>
  <c r="G3871" i="1"/>
  <c r="F3871" i="1"/>
  <c r="B3871" i="1"/>
  <c r="W3870" i="1"/>
  <c r="T3870" i="1"/>
  <c r="P3870" i="1"/>
  <c r="J3870" i="1"/>
  <c r="G3870" i="1"/>
  <c r="F3870" i="1"/>
  <c r="B3870" i="1"/>
  <c r="W3869" i="1"/>
  <c r="T3869" i="1"/>
  <c r="P3869" i="1"/>
  <c r="J3869" i="1"/>
  <c r="G3869" i="1"/>
  <c r="F3869" i="1"/>
  <c r="B3869" i="1"/>
  <c r="W3868" i="1"/>
  <c r="T3868" i="1"/>
  <c r="P3868" i="1"/>
  <c r="J3868" i="1"/>
  <c r="G3868" i="1"/>
  <c r="F3868" i="1"/>
  <c r="B3868" i="1"/>
  <c r="W3867" i="1"/>
  <c r="T3867" i="1"/>
  <c r="P3867" i="1"/>
  <c r="J3867" i="1"/>
  <c r="G3867" i="1"/>
  <c r="F3867" i="1"/>
  <c r="B3867" i="1"/>
  <c r="W3866" i="1"/>
  <c r="T3866" i="1"/>
  <c r="P3866" i="1"/>
  <c r="J3866" i="1"/>
  <c r="G3866" i="1"/>
  <c r="F3866" i="1"/>
  <c r="B3866" i="1"/>
  <c r="W3865" i="1"/>
  <c r="T3865" i="1"/>
  <c r="P3865" i="1"/>
  <c r="J3865" i="1"/>
  <c r="G3865" i="1"/>
  <c r="F3865" i="1"/>
  <c r="B3865" i="1"/>
  <c r="W3864" i="1"/>
  <c r="T3864" i="1"/>
  <c r="P3864" i="1"/>
  <c r="J3864" i="1"/>
  <c r="G3864" i="1"/>
  <c r="F3864" i="1"/>
  <c r="B3864" i="1"/>
  <c r="W3863" i="1"/>
  <c r="T3863" i="1"/>
  <c r="P3863" i="1"/>
  <c r="J3863" i="1"/>
  <c r="G3863" i="1"/>
  <c r="F3863" i="1"/>
  <c r="B3863" i="1"/>
  <c r="W3862" i="1"/>
  <c r="T3862" i="1"/>
  <c r="P3862" i="1"/>
  <c r="J3862" i="1"/>
  <c r="G3862" i="1"/>
  <c r="F3862" i="1"/>
  <c r="B3862" i="1"/>
  <c r="W3861" i="1"/>
  <c r="T3861" i="1"/>
  <c r="P3861" i="1"/>
  <c r="J3861" i="1"/>
  <c r="G3861" i="1"/>
  <c r="F3861" i="1"/>
  <c r="B3861" i="1"/>
  <c r="W3860" i="1"/>
  <c r="T3860" i="1"/>
  <c r="P3860" i="1"/>
  <c r="J3860" i="1"/>
  <c r="G3860" i="1"/>
  <c r="F3860" i="1"/>
  <c r="B3860" i="1"/>
  <c r="W3859" i="1"/>
  <c r="T3859" i="1"/>
  <c r="P3859" i="1"/>
  <c r="J3859" i="1"/>
  <c r="G3859" i="1"/>
  <c r="F3859" i="1"/>
  <c r="B3859" i="1"/>
  <c r="W3858" i="1"/>
  <c r="T3858" i="1"/>
  <c r="P3858" i="1"/>
  <c r="J3858" i="1"/>
  <c r="G3858" i="1"/>
  <c r="F3858" i="1"/>
  <c r="B3858" i="1"/>
  <c r="W3857" i="1"/>
  <c r="T3857" i="1"/>
  <c r="P3857" i="1"/>
  <c r="J3857" i="1"/>
  <c r="G3857" i="1"/>
  <c r="F3857" i="1"/>
  <c r="B3857" i="1"/>
  <c r="W3856" i="1"/>
  <c r="T3856" i="1"/>
  <c r="P3856" i="1"/>
  <c r="J3856" i="1"/>
  <c r="G3856" i="1"/>
  <c r="F3856" i="1"/>
  <c r="B3856" i="1"/>
  <c r="W3855" i="1"/>
  <c r="T3855" i="1"/>
  <c r="P3855" i="1"/>
  <c r="J3855" i="1"/>
  <c r="G3855" i="1"/>
  <c r="F3855" i="1"/>
  <c r="B3855" i="1"/>
  <c r="W3854" i="1"/>
  <c r="T3854" i="1"/>
  <c r="P3854" i="1"/>
  <c r="J3854" i="1"/>
  <c r="G3854" i="1"/>
  <c r="F3854" i="1"/>
  <c r="B3854" i="1"/>
  <c r="W3853" i="1"/>
  <c r="T3853" i="1"/>
  <c r="P3853" i="1"/>
  <c r="J3853" i="1"/>
  <c r="G3853" i="1"/>
  <c r="F3853" i="1"/>
  <c r="B3853" i="1"/>
  <c r="W3852" i="1"/>
  <c r="T3852" i="1"/>
  <c r="P3852" i="1"/>
  <c r="J3852" i="1"/>
  <c r="G3852" i="1"/>
  <c r="F3852" i="1"/>
  <c r="B3852" i="1"/>
  <c r="W3851" i="1"/>
  <c r="T3851" i="1"/>
  <c r="P3851" i="1"/>
  <c r="J3851" i="1"/>
  <c r="G3851" i="1"/>
  <c r="F3851" i="1"/>
  <c r="B3851" i="1"/>
  <c r="W3850" i="1"/>
  <c r="T3850" i="1"/>
  <c r="P3850" i="1"/>
  <c r="J3850" i="1"/>
  <c r="G3850" i="1"/>
  <c r="F3850" i="1"/>
  <c r="B3850" i="1"/>
  <c r="W3849" i="1"/>
  <c r="T3849" i="1"/>
  <c r="P3849" i="1"/>
  <c r="J3849" i="1"/>
  <c r="G3849" i="1"/>
  <c r="F3849" i="1"/>
  <c r="B3849" i="1"/>
  <c r="W3848" i="1"/>
  <c r="T3848" i="1"/>
  <c r="P3848" i="1"/>
  <c r="J3848" i="1"/>
  <c r="G3848" i="1"/>
  <c r="F3848" i="1"/>
  <c r="B3848" i="1"/>
  <c r="W3847" i="1"/>
  <c r="T3847" i="1"/>
  <c r="P3847" i="1"/>
  <c r="J3847" i="1"/>
  <c r="G3847" i="1"/>
  <c r="F3847" i="1"/>
  <c r="B3847" i="1"/>
  <c r="W3846" i="1"/>
  <c r="T3846" i="1"/>
  <c r="P3846" i="1"/>
  <c r="J3846" i="1"/>
  <c r="G3846" i="1"/>
  <c r="F3846" i="1"/>
  <c r="B3846" i="1"/>
  <c r="W3845" i="1"/>
  <c r="T3845" i="1"/>
  <c r="P3845" i="1"/>
  <c r="J3845" i="1"/>
  <c r="G3845" i="1"/>
  <c r="F3845" i="1"/>
  <c r="B3845" i="1"/>
  <c r="W3844" i="1"/>
  <c r="T3844" i="1"/>
  <c r="P3844" i="1"/>
  <c r="J3844" i="1"/>
  <c r="G3844" i="1"/>
  <c r="F3844" i="1"/>
  <c r="B3844" i="1"/>
  <c r="W3843" i="1"/>
  <c r="T3843" i="1"/>
  <c r="P3843" i="1"/>
  <c r="J3843" i="1"/>
  <c r="G3843" i="1"/>
  <c r="F3843" i="1"/>
  <c r="B3843" i="1"/>
  <c r="W3842" i="1"/>
  <c r="T3842" i="1"/>
  <c r="P3842" i="1"/>
  <c r="J3842" i="1"/>
  <c r="G3842" i="1"/>
  <c r="F3842" i="1"/>
  <c r="B3842" i="1"/>
  <c r="W3841" i="1"/>
  <c r="T3841" i="1"/>
  <c r="P3841" i="1"/>
  <c r="J3841" i="1"/>
  <c r="G3841" i="1"/>
  <c r="F3841" i="1"/>
  <c r="B3841" i="1"/>
  <c r="W3840" i="1"/>
  <c r="T3840" i="1"/>
  <c r="P3840" i="1"/>
  <c r="J3840" i="1"/>
  <c r="G3840" i="1"/>
  <c r="F3840" i="1"/>
  <c r="B3840" i="1"/>
  <c r="W3839" i="1"/>
  <c r="T3839" i="1"/>
  <c r="P3839" i="1"/>
  <c r="J3839" i="1"/>
  <c r="G3839" i="1"/>
  <c r="F3839" i="1"/>
  <c r="B3839" i="1"/>
  <c r="W3838" i="1"/>
  <c r="T3838" i="1"/>
  <c r="P3838" i="1"/>
  <c r="J3838" i="1"/>
  <c r="G3838" i="1"/>
  <c r="F3838" i="1"/>
  <c r="B3838" i="1"/>
  <c r="W3837" i="1"/>
  <c r="T3837" i="1"/>
  <c r="P3837" i="1"/>
  <c r="J3837" i="1"/>
  <c r="G3837" i="1"/>
  <c r="F3837" i="1"/>
  <c r="B3837" i="1"/>
  <c r="W3836" i="1"/>
  <c r="T3836" i="1"/>
  <c r="P3836" i="1"/>
  <c r="J3836" i="1"/>
  <c r="G3836" i="1"/>
  <c r="F3836" i="1"/>
  <c r="B3836" i="1"/>
  <c r="W3835" i="1"/>
  <c r="T3835" i="1"/>
  <c r="P3835" i="1"/>
  <c r="J3835" i="1"/>
  <c r="G3835" i="1"/>
  <c r="F3835" i="1"/>
  <c r="B3835" i="1"/>
  <c r="W3834" i="1"/>
  <c r="T3834" i="1"/>
  <c r="P3834" i="1"/>
  <c r="J3834" i="1"/>
  <c r="G3834" i="1"/>
  <c r="F3834" i="1"/>
  <c r="B3834" i="1"/>
  <c r="W3833" i="1"/>
  <c r="T3833" i="1"/>
  <c r="P3833" i="1"/>
  <c r="J3833" i="1"/>
  <c r="G3833" i="1"/>
  <c r="F3833" i="1"/>
  <c r="B3833" i="1"/>
  <c r="W3832" i="1"/>
  <c r="T3832" i="1"/>
  <c r="P3832" i="1"/>
  <c r="J3832" i="1"/>
  <c r="G3832" i="1"/>
  <c r="F3832" i="1"/>
  <c r="B3832" i="1"/>
  <c r="W3831" i="1"/>
  <c r="T3831" i="1"/>
  <c r="P3831" i="1"/>
  <c r="J3831" i="1"/>
  <c r="G3831" i="1"/>
  <c r="F3831" i="1"/>
  <c r="B3831" i="1"/>
  <c r="W3830" i="1"/>
  <c r="T3830" i="1"/>
  <c r="P3830" i="1"/>
  <c r="J3830" i="1"/>
  <c r="G3830" i="1"/>
  <c r="F3830" i="1"/>
  <c r="B3830" i="1"/>
  <c r="W3829" i="1"/>
  <c r="T3829" i="1"/>
  <c r="P3829" i="1"/>
  <c r="J3829" i="1"/>
  <c r="G3829" i="1"/>
  <c r="F3829" i="1"/>
  <c r="B3829" i="1"/>
  <c r="W3828" i="1"/>
  <c r="T3828" i="1"/>
  <c r="P3828" i="1"/>
  <c r="J3828" i="1"/>
  <c r="G3828" i="1"/>
  <c r="F3828" i="1"/>
  <c r="B3828" i="1"/>
  <c r="W3827" i="1"/>
  <c r="T3827" i="1"/>
  <c r="P3827" i="1"/>
  <c r="J3827" i="1"/>
  <c r="G3827" i="1"/>
  <c r="F3827" i="1"/>
  <c r="B3827" i="1"/>
  <c r="W3826" i="1"/>
  <c r="T3826" i="1"/>
  <c r="P3826" i="1"/>
  <c r="J3826" i="1"/>
  <c r="G3826" i="1"/>
  <c r="F3826" i="1"/>
  <c r="B3826" i="1"/>
  <c r="W3825" i="1"/>
  <c r="T3825" i="1"/>
  <c r="P3825" i="1"/>
  <c r="J3825" i="1"/>
  <c r="G3825" i="1"/>
  <c r="F3825" i="1"/>
  <c r="B3825" i="1"/>
  <c r="W3824" i="1"/>
  <c r="T3824" i="1"/>
  <c r="P3824" i="1"/>
  <c r="J3824" i="1"/>
  <c r="G3824" i="1"/>
  <c r="F3824" i="1"/>
  <c r="B3824" i="1"/>
  <c r="W3823" i="1"/>
  <c r="T3823" i="1"/>
  <c r="P3823" i="1"/>
  <c r="J3823" i="1"/>
  <c r="G3823" i="1"/>
  <c r="F3823" i="1"/>
  <c r="B3823" i="1"/>
  <c r="W3822" i="1"/>
  <c r="T3822" i="1"/>
  <c r="P3822" i="1"/>
  <c r="J3822" i="1"/>
  <c r="G3822" i="1"/>
  <c r="F3822" i="1"/>
  <c r="B3822" i="1"/>
  <c r="W3821" i="1"/>
  <c r="T3821" i="1"/>
  <c r="P3821" i="1"/>
  <c r="J3821" i="1"/>
  <c r="G3821" i="1"/>
  <c r="F3821" i="1"/>
  <c r="B3821" i="1"/>
  <c r="W3820" i="1"/>
  <c r="T3820" i="1"/>
  <c r="P3820" i="1"/>
  <c r="J3820" i="1"/>
  <c r="G3820" i="1"/>
  <c r="F3820" i="1"/>
  <c r="B3820" i="1"/>
  <c r="W3819" i="1"/>
  <c r="T3819" i="1"/>
  <c r="P3819" i="1"/>
  <c r="J3819" i="1"/>
  <c r="G3819" i="1"/>
  <c r="F3819" i="1"/>
  <c r="B3819" i="1"/>
  <c r="W3818" i="1"/>
  <c r="T3818" i="1"/>
  <c r="P3818" i="1"/>
  <c r="J3818" i="1"/>
  <c r="G3818" i="1"/>
  <c r="F3818" i="1"/>
  <c r="B3818" i="1"/>
  <c r="W3817" i="1"/>
  <c r="T3817" i="1"/>
  <c r="P3817" i="1"/>
  <c r="J3817" i="1"/>
  <c r="G3817" i="1"/>
  <c r="F3817" i="1"/>
  <c r="B3817" i="1"/>
  <c r="W3816" i="1"/>
  <c r="T3816" i="1"/>
  <c r="P3816" i="1"/>
  <c r="J3816" i="1"/>
  <c r="G3816" i="1"/>
  <c r="F3816" i="1"/>
  <c r="B3816" i="1"/>
  <c r="W3815" i="1"/>
  <c r="T3815" i="1"/>
  <c r="P3815" i="1"/>
  <c r="J3815" i="1"/>
  <c r="G3815" i="1"/>
  <c r="F3815" i="1"/>
  <c r="B3815" i="1"/>
  <c r="W3814" i="1"/>
  <c r="T3814" i="1"/>
  <c r="P3814" i="1"/>
  <c r="J3814" i="1"/>
  <c r="G3814" i="1"/>
  <c r="F3814" i="1"/>
  <c r="B3814" i="1"/>
  <c r="W3813" i="1"/>
  <c r="T3813" i="1"/>
  <c r="P3813" i="1"/>
  <c r="J3813" i="1"/>
  <c r="G3813" i="1"/>
  <c r="F3813" i="1"/>
  <c r="B3813" i="1"/>
  <c r="W3812" i="1"/>
  <c r="T3812" i="1"/>
  <c r="P3812" i="1"/>
  <c r="J3812" i="1"/>
  <c r="G3812" i="1"/>
  <c r="F3812" i="1"/>
  <c r="B3812" i="1"/>
  <c r="W3811" i="1"/>
  <c r="T3811" i="1"/>
  <c r="P3811" i="1"/>
  <c r="J3811" i="1"/>
  <c r="G3811" i="1"/>
  <c r="F3811" i="1"/>
  <c r="B3811" i="1"/>
  <c r="W3810" i="1"/>
  <c r="T3810" i="1"/>
  <c r="P3810" i="1"/>
  <c r="J3810" i="1"/>
  <c r="G3810" i="1"/>
  <c r="F3810" i="1"/>
  <c r="B3810" i="1"/>
  <c r="W3809" i="1"/>
  <c r="T3809" i="1"/>
  <c r="P3809" i="1"/>
  <c r="J3809" i="1"/>
  <c r="G3809" i="1"/>
  <c r="F3809" i="1"/>
  <c r="B3809" i="1"/>
  <c r="W3808" i="1"/>
  <c r="T3808" i="1"/>
  <c r="P3808" i="1"/>
  <c r="J3808" i="1"/>
  <c r="G3808" i="1"/>
  <c r="F3808" i="1"/>
  <c r="B3808" i="1"/>
  <c r="W3807" i="1"/>
  <c r="T3807" i="1"/>
  <c r="P3807" i="1"/>
  <c r="J3807" i="1"/>
  <c r="G3807" i="1"/>
  <c r="F3807" i="1"/>
  <c r="B3807" i="1"/>
  <c r="W3806" i="1"/>
  <c r="T3806" i="1"/>
  <c r="P3806" i="1"/>
  <c r="J3806" i="1"/>
  <c r="G3806" i="1"/>
  <c r="F3806" i="1"/>
  <c r="B3806" i="1"/>
  <c r="W3805" i="1"/>
  <c r="T3805" i="1"/>
  <c r="P3805" i="1"/>
  <c r="J3805" i="1"/>
  <c r="G3805" i="1"/>
  <c r="F3805" i="1"/>
  <c r="B3805" i="1"/>
  <c r="W3804" i="1"/>
  <c r="T3804" i="1"/>
  <c r="P3804" i="1"/>
  <c r="J3804" i="1"/>
  <c r="G3804" i="1"/>
  <c r="F3804" i="1"/>
  <c r="B3804" i="1"/>
  <c r="W3803" i="1"/>
  <c r="T3803" i="1"/>
  <c r="P3803" i="1"/>
  <c r="J3803" i="1"/>
  <c r="G3803" i="1"/>
  <c r="F3803" i="1"/>
  <c r="B3803" i="1"/>
  <c r="W3802" i="1"/>
  <c r="T3802" i="1"/>
  <c r="P3802" i="1"/>
  <c r="J3802" i="1"/>
  <c r="G3802" i="1"/>
  <c r="F3802" i="1"/>
  <c r="B3802" i="1"/>
  <c r="W3801" i="1"/>
  <c r="T3801" i="1"/>
  <c r="P3801" i="1"/>
  <c r="J3801" i="1"/>
  <c r="G3801" i="1"/>
  <c r="F3801" i="1"/>
  <c r="B3801" i="1"/>
  <c r="W3800" i="1"/>
  <c r="T3800" i="1"/>
  <c r="P3800" i="1"/>
  <c r="J3800" i="1"/>
  <c r="G3800" i="1"/>
  <c r="F3800" i="1"/>
  <c r="B3800" i="1"/>
  <c r="W3799" i="1"/>
  <c r="T3799" i="1"/>
  <c r="P3799" i="1"/>
  <c r="J3799" i="1"/>
  <c r="G3799" i="1"/>
  <c r="F3799" i="1"/>
  <c r="B3799" i="1"/>
  <c r="W3798" i="1"/>
  <c r="T3798" i="1"/>
  <c r="P3798" i="1"/>
  <c r="J3798" i="1"/>
  <c r="G3798" i="1"/>
  <c r="F3798" i="1"/>
  <c r="B3798" i="1"/>
  <c r="W3797" i="1"/>
  <c r="T3797" i="1"/>
  <c r="P3797" i="1"/>
  <c r="J3797" i="1"/>
  <c r="G3797" i="1"/>
  <c r="F3797" i="1"/>
  <c r="B3797" i="1"/>
  <c r="W3796" i="1"/>
  <c r="T3796" i="1"/>
  <c r="P3796" i="1"/>
  <c r="J3796" i="1"/>
  <c r="G3796" i="1"/>
  <c r="F3796" i="1"/>
  <c r="B3796" i="1"/>
  <c r="W3795" i="1"/>
  <c r="T3795" i="1"/>
  <c r="P3795" i="1"/>
  <c r="J3795" i="1"/>
  <c r="G3795" i="1"/>
  <c r="F3795" i="1"/>
  <c r="B3795" i="1"/>
  <c r="W3794" i="1"/>
  <c r="T3794" i="1"/>
  <c r="P3794" i="1"/>
  <c r="J3794" i="1"/>
  <c r="G3794" i="1"/>
  <c r="F3794" i="1"/>
  <c r="B3794" i="1"/>
  <c r="W3793" i="1"/>
  <c r="T3793" i="1"/>
  <c r="P3793" i="1"/>
  <c r="J3793" i="1"/>
  <c r="G3793" i="1"/>
  <c r="F3793" i="1"/>
  <c r="B3793" i="1"/>
  <c r="W3792" i="1"/>
  <c r="T3792" i="1"/>
  <c r="P3792" i="1"/>
  <c r="J3792" i="1"/>
  <c r="G3792" i="1"/>
  <c r="F3792" i="1"/>
  <c r="B3792" i="1"/>
  <c r="W3791" i="1"/>
  <c r="T3791" i="1"/>
  <c r="P3791" i="1"/>
  <c r="J3791" i="1"/>
  <c r="G3791" i="1"/>
  <c r="F3791" i="1"/>
  <c r="B3791" i="1"/>
  <c r="W3790" i="1"/>
  <c r="T3790" i="1"/>
  <c r="P3790" i="1"/>
  <c r="J3790" i="1"/>
  <c r="G3790" i="1"/>
  <c r="F3790" i="1"/>
  <c r="B3790" i="1"/>
  <c r="W3789" i="1"/>
  <c r="T3789" i="1"/>
  <c r="P3789" i="1"/>
  <c r="J3789" i="1"/>
  <c r="G3789" i="1"/>
  <c r="F3789" i="1"/>
  <c r="B3789" i="1"/>
  <c r="W3788" i="1"/>
  <c r="T3788" i="1"/>
  <c r="P3788" i="1"/>
  <c r="J3788" i="1"/>
  <c r="G3788" i="1"/>
  <c r="F3788" i="1"/>
  <c r="B3788" i="1"/>
  <c r="W3787" i="1"/>
  <c r="T3787" i="1"/>
  <c r="P3787" i="1"/>
  <c r="J3787" i="1"/>
  <c r="G3787" i="1"/>
  <c r="F3787" i="1"/>
  <c r="B3787" i="1"/>
  <c r="W3786" i="1"/>
  <c r="T3786" i="1"/>
  <c r="P3786" i="1"/>
  <c r="J3786" i="1"/>
  <c r="G3786" i="1"/>
  <c r="F3786" i="1"/>
  <c r="B3786" i="1"/>
  <c r="W3785" i="1"/>
  <c r="T3785" i="1"/>
  <c r="P3785" i="1"/>
  <c r="J3785" i="1"/>
  <c r="G3785" i="1"/>
  <c r="F3785" i="1"/>
  <c r="B3785" i="1"/>
  <c r="W3784" i="1"/>
  <c r="T3784" i="1"/>
  <c r="P3784" i="1"/>
  <c r="J3784" i="1"/>
  <c r="G3784" i="1"/>
  <c r="F3784" i="1"/>
  <c r="B3784" i="1"/>
  <c r="W3783" i="1"/>
  <c r="T3783" i="1"/>
  <c r="P3783" i="1"/>
  <c r="J3783" i="1"/>
  <c r="G3783" i="1"/>
  <c r="F3783" i="1"/>
  <c r="B3783" i="1"/>
  <c r="W3782" i="1"/>
  <c r="T3782" i="1"/>
  <c r="P3782" i="1"/>
  <c r="J3782" i="1"/>
  <c r="G3782" i="1"/>
  <c r="F3782" i="1"/>
  <c r="B3782" i="1"/>
  <c r="W3781" i="1"/>
  <c r="T3781" i="1"/>
  <c r="P3781" i="1"/>
  <c r="J3781" i="1"/>
  <c r="G3781" i="1"/>
  <c r="F3781" i="1"/>
  <c r="B3781" i="1"/>
  <c r="W3780" i="1"/>
  <c r="T3780" i="1"/>
  <c r="P3780" i="1"/>
  <c r="J3780" i="1"/>
  <c r="G3780" i="1"/>
  <c r="F3780" i="1"/>
  <c r="B3780" i="1"/>
  <c r="W3779" i="1"/>
  <c r="T3779" i="1"/>
  <c r="P3779" i="1"/>
  <c r="J3779" i="1"/>
  <c r="G3779" i="1"/>
  <c r="F3779" i="1"/>
  <c r="B3779" i="1"/>
  <c r="W3778" i="1"/>
  <c r="T3778" i="1"/>
  <c r="P3778" i="1"/>
  <c r="J3778" i="1"/>
  <c r="G3778" i="1"/>
  <c r="F3778" i="1"/>
  <c r="B3778" i="1"/>
  <c r="W3777" i="1"/>
  <c r="T3777" i="1"/>
  <c r="P3777" i="1"/>
  <c r="J3777" i="1"/>
  <c r="G3777" i="1"/>
  <c r="F3777" i="1"/>
  <c r="B3777" i="1"/>
  <c r="W3776" i="1"/>
  <c r="T3776" i="1"/>
  <c r="P3776" i="1"/>
  <c r="J3776" i="1"/>
  <c r="G3776" i="1"/>
  <c r="F3776" i="1"/>
  <c r="B3776" i="1"/>
  <c r="W3775" i="1"/>
  <c r="T3775" i="1"/>
  <c r="P3775" i="1"/>
  <c r="J3775" i="1"/>
  <c r="G3775" i="1"/>
  <c r="F3775" i="1"/>
  <c r="B3775" i="1"/>
  <c r="W3774" i="1"/>
  <c r="T3774" i="1"/>
  <c r="P3774" i="1"/>
  <c r="J3774" i="1"/>
  <c r="G3774" i="1"/>
  <c r="F3774" i="1"/>
  <c r="B3774" i="1"/>
  <c r="W3773" i="1"/>
  <c r="T3773" i="1"/>
  <c r="P3773" i="1"/>
  <c r="J3773" i="1"/>
  <c r="G3773" i="1"/>
  <c r="F3773" i="1"/>
  <c r="B3773" i="1"/>
  <c r="W3772" i="1"/>
  <c r="T3772" i="1"/>
  <c r="P3772" i="1"/>
  <c r="J3772" i="1"/>
  <c r="G3772" i="1"/>
  <c r="F3772" i="1"/>
  <c r="B3772" i="1"/>
  <c r="W3771" i="1"/>
  <c r="T3771" i="1"/>
  <c r="P3771" i="1"/>
  <c r="J3771" i="1"/>
  <c r="G3771" i="1"/>
  <c r="F3771" i="1"/>
  <c r="B3771" i="1"/>
  <c r="W3770" i="1"/>
  <c r="T3770" i="1"/>
  <c r="P3770" i="1"/>
  <c r="J3770" i="1"/>
  <c r="G3770" i="1"/>
  <c r="F3770" i="1"/>
  <c r="B3770" i="1"/>
  <c r="W3769" i="1"/>
  <c r="T3769" i="1"/>
  <c r="P3769" i="1"/>
  <c r="J3769" i="1"/>
  <c r="G3769" i="1"/>
  <c r="F3769" i="1"/>
  <c r="B3769" i="1"/>
  <c r="W3768" i="1"/>
  <c r="T3768" i="1"/>
  <c r="P3768" i="1"/>
  <c r="J3768" i="1"/>
  <c r="G3768" i="1"/>
  <c r="F3768" i="1"/>
  <c r="B3768" i="1"/>
  <c r="W3767" i="1"/>
  <c r="T3767" i="1"/>
  <c r="P3767" i="1"/>
  <c r="J3767" i="1"/>
  <c r="G3767" i="1"/>
  <c r="F3767" i="1"/>
  <c r="B3767" i="1"/>
  <c r="W3766" i="1"/>
  <c r="T3766" i="1"/>
  <c r="P3766" i="1"/>
  <c r="J3766" i="1"/>
  <c r="G3766" i="1"/>
  <c r="F3766" i="1"/>
  <c r="B3766" i="1"/>
  <c r="W3765" i="1"/>
  <c r="T3765" i="1"/>
  <c r="P3765" i="1"/>
  <c r="J3765" i="1"/>
  <c r="G3765" i="1"/>
  <c r="F3765" i="1"/>
  <c r="B3765" i="1"/>
  <c r="W3764" i="1"/>
  <c r="T3764" i="1"/>
  <c r="P3764" i="1"/>
  <c r="J3764" i="1"/>
  <c r="G3764" i="1"/>
  <c r="F3764" i="1"/>
  <c r="B3764" i="1"/>
  <c r="W3763" i="1"/>
  <c r="T3763" i="1"/>
  <c r="P3763" i="1"/>
  <c r="J3763" i="1"/>
  <c r="G3763" i="1"/>
  <c r="F3763" i="1"/>
  <c r="B3763" i="1"/>
  <c r="W3762" i="1"/>
  <c r="T3762" i="1"/>
  <c r="P3762" i="1"/>
  <c r="J3762" i="1"/>
  <c r="G3762" i="1"/>
  <c r="F3762" i="1"/>
  <c r="B3762" i="1"/>
  <c r="W3761" i="1"/>
  <c r="T3761" i="1"/>
  <c r="P3761" i="1"/>
  <c r="J3761" i="1"/>
  <c r="G3761" i="1"/>
  <c r="F3761" i="1"/>
  <c r="B3761" i="1"/>
  <c r="W3760" i="1"/>
  <c r="T3760" i="1"/>
  <c r="P3760" i="1"/>
  <c r="J3760" i="1"/>
  <c r="G3760" i="1"/>
  <c r="F3760" i="1"/>
  <c r="B3760" i="1"/>
  <c r="W3759" i="1"/>
  <c r="T3759" i="1"/>
  <c r="P3759" i="1"/>
  <c r="J3759" i="1"/>
  <c r="G3759" i="1"/>
  <c r="F3759" i="1"/>
  <c r="B3759" i="1"/>
  <c r="W3758" i="1"/>
  <c r="T3758" i="1"/>
  <c r="P3758" i="1"/>
  <c r="J3758" i="1"/>
  <c r="G3758" i="1"/>
  <c r="F3758" i="1"/>
  <c r="B3758" i="1"/>
  <c r="W3757" i="1"/>
  <c r="T3757" i="1"/>
  <c r="P3757" i="1"/>
  <c r="J3757" i="1"/>
  <c r="G3757" i="1"/>
  <c r="F3757" i="1"/>
  <c r="B3757" i="1"/>
  <c r="W3756" i="1"/>
  <c r="T3756" i="1"/>
  <c r="P3756" i="1"/>
  <c r="J3756" i="1"/>
  <c r="G3756" i="1"/>
  <c r="F3756" i="1"/>
  <c r="B3756" i="1"/>
  <c r="W3755" i="1"/>
  <c r="T3755" i="1"/>
  <c r="P3755" i="1"/>
  <c r="J3755" i="1"/>
  <c r="G3755" i="1"/>
  <c r="F3755" i="1"/>
  <c r="B3755" i="1"/>
  <c r="W3754" i="1"/>
  <c r="T3754" i="1"/>
  <c r="P3754" i="1"/>
  <c r="J3754" i="1"/>
  <c r="G3754" i="1"/>
  <c r="F3754" i="1"/>
  <c r="B3754" i="1"/>
  <c r="W3753" i="1"/>
  <c r="T3753" i="1"/>
  <c r="P3753" i="1"/>
  <c r="J3753" i="1"/>
  <c r="G3753" i="1"/>
  <c r="F3753" i="1"/>
  <c r="B3753" i="1"/>
  <c r="W3752" i="1"/>
  <c r="T3752" i="1"/>
  <c r="P3752" i="1"/>
  <c r="J3752" i="1"/>
  <c r="G3752" i="1"/>
  <c r="F3752" i="1"/>
  <c r="B3752" i="1"/>
  <c r="W3751" i="1"/>
  <c r="T3751" i="1"/>
  <c r="P3751" i="1"/>
  <c r="J3751" i="1"/>
  <c r="G3751" i="1"/>
  <c r="F3751" i="1"/>
  <c r="B3751" i="1"/>
  <c r="W3750" i="1"/>
  <c r="T3750" i="1"/>
  <c r="P3750" i="1"/>
  <c r="J3750" i="1"/>
  <c r="G3750" i="1"/>
  <c r="F3750" i="1"/>
  <c r="B3750" i="1"/>
  <c r="W3749" i="1"/>
  <c r="T3749" i="1"/>
  <c r="P3749" i="1"/>
  <c r="J3749" i="1"/>
  <c r="G3749" i="1"/>
  <c r="F3749" i="1"/>
  <c r="B3749" i="1"/>
  <c r="W3748" i="1"/>
  <c r="T3748" i="1"/>
  <c r="P3748" i="1"/>
  <c r="J3748" i="1"/>
  <c r="G3748" i="1"/>
  <c r="F3748" i="1"/>
  <c r="B3748" i="1"/>
  <c r="W3747" i="1"/>
  <c r="T3747" i="1"/>
  <c r="P3747" i="1"/>
  <c r="J3747" i="1"/>
  <c r="G3747" i="1"/>
  <c r="F3747" i="1"/>
  <c r="B3747" i="1"/>
  <c r="W3746" i="1"/>
  <c r="T3746" i="1"/>
  <c r="P3746" i="1"/>
  <c r="J3746" i="1"/>
  <c r="G3746" i="1"/>
  <c r="F3746" i="1"/>
  <c r="B3746" i="1"/>
  <c r="W3745" i="1"/>
  <c r="T3745" i="1"/>
  <c r="P3745" i="1"/>
  <c r="J3745" i="1"/>
  <c r="G3745" i="1"/>
  <c r="F3745" i="1"/>
  <c r="B3745" i="1"/>
  <c r="W3744" i="1"/>
  <c r="T3744" i="1"/>
  <c r="P3744" i="1"/>
  <c r="J3744" i="1"/>
  <c r="G3744" i="1"/>
  <c r="F3744" i="1"/>
  <c r="B3744" i="1"/>
  <c r="W3743" i="1"/>
  <c r="T3743" i="1"/>
  <c r="P3743" i="1"/>
  <c r="J3743" i="1"/>
  <c r="G3743" i="1"/>
  <c r="F3743" i="1"/>
  <c r="B3743" i="1"/>
  <c r="W3742" i="1"/>
  <c r="T3742" i="1"/>
  <c r="P3742" i="1"/>
  <c r="J3742" i="1"/>
  <c r="G3742" i="1"/>
  <c r="F3742" i="1"/>
  <c r="B3742" i="1"/>
  <c r="W3741" i="1"/>
  <c r="T3741" i="1"/>
  <c r="P3741" i="1"/>
  <c r="J3741" i="1"/>
  <c r="G3741" i="1"/>
  <c r="F3741" i="1"/>
  <c r="B3741" i="1"/>
  <c r="W3740" i="1"/>
  <c r="T3740" i="1"/>
  <c r="P3740" i="1"/>
  <c r="J3740" i="1"/>
  <c r="G3740" i="1"/>
  <c r="F3740" i="1"/>
  <c r="B3740" i="1"/>
  <c r="W3739" i="1"/>
  <c r="T3739" i="1"/>
  <c r="P3739" i="1"/>
  <c r="J3739" i="1"/>
  <c r="G3739" i="1"/>
  <c r="F3739" i="1"/>
  <c r="B3739" i="1"/>
  <c r="W3738" i="1"/>
  <c r="T3738" i="1"/>
  <c r="P3738" i="1"/>
  <c r="J3738" i="1"/>
  <c r="G3738" i="1"/>
  <c r="F3738" i="1"/>
  <c r="B3738" i="1"/>
  <c r="W3737" i="1"/>
  <c r="T3737" i="1"/>
  <c r="P3737" i="1"/>
  <c r="J3737" i="1"/>
  <c r="G3737" i="1"/>
  <c r="F3737" i="1"/>
  <c r="B3737" i="1"/>
  <c r="W3736" i="1"/>
  <c r="T3736" i="1"/>
  <c r="P3736" i="1"/>
  <c r="J3736" i="1"/>
  <c r="G3736" i="1"/>
  <c r="F3736" i="1"/>
  <c r="B3736" i="1"/>
  <c r="W3735" i="1"/>
  <c r="T3735" i="1"/>
  <c r="P3735" i="1"/>
  <c r="J3735" i="1"/>
  <c r="G3735" i="1"/>
  <c r="F3735" i="1"/>
  <c r="B3735" i="1"/>
  <c r="W3734" i="1"/>
  <c r="T3734" i="1"/>
  <c r="P3734" i="1"/>
  <c r="J3734" i="1"/>
  <c r="G3734" i="1"/>
  <c r="F3734" i="1"/>
  <c r="B3734" i="1"/>
  <c r="W3733" i="1"/>
  <c r="T3733" i="1"/>
  <c r="P3733" i="1"/>
  <c r="J3733" i="1"/>
  <c r="G3733" i="1"/>
  <c r="F3733" i="1"/>
  <c r="B3733" i="1"/>
  <c r="W3732" i="1"/>
  <c r="T3732" i="1"/>
  <c r="P3732" i="1"/>
  <c r="J3732" i="1"/>
  <c r="G3732" i="1"/>
  <c r="F3732" i="1"/>
  <c r="B3732" i="1"/>
  <c r="W3731" i="1"/>
  <c r="T3731" i="1"/>
  <c r="P3731" i="1"/>
  <c r="J3731" i="1"/>
  <c r="G3731" i="1"/>
  <c r="F3731" i="1"/>
  <c r="B3731" i="1"/>
  <c r="W3730" i="1"/>
  <c r="T3730" i="1"/>
  <c r="P3730" i="1"/>
  <c r="J3730" i="1"/>
  <c r="G3730" i="1"/>
  <c r="F3730" i="1"/>
  <c r="B3730" i="1"/>
  <c r="W3729" i="1"/>
  <c r="T3729" i="1"/>
  <c r="P3729" i="1"/>
  <c r="J3729" i="1"/>
  <c r="G3729" i="1"/>
  <c r="F3729" i="1"/>
  <c r="B3729" i="1"/>
  <c r="W3728" i="1"/>
  <c r="T3728" i="1"/>
  <c r="P3728" i="1"/>
  <c r="J3728" i="1"/>
  <c r="G3728" i="1"/>
  <c r="F3728" i="1"/>
  <c r="B3728" i="1"/>
  <c r="W3727" i="1"/>
  <c r="T3727" i="1"/>
  <c r="P3727" i="1"/>
  <c r="J3727" i="1"/>
  <c r="G3727" i="1"/>
  <c r="F3727" i="1"/>
  <c r="B3727" i="1"/>
  <c r="W3726" i="1"/>
  <c r="T3726" i="1"/>
  <c r="P3726" i="1"/>
  <c r="J3726" i="1"/>
  <c r="G3726" i="1"/>
  <c r="F3726" i="1"/>
  <c r="B3726" i="1"/>
  <c r="W3725" i="1"/>
  <c r="T3725" i="1"/>
  <c r="P3725" i="1"/>
  <c r="J3725" i="1"/>
  <c r="G3725" i="1"/>
  <c r="F3725" i="1"/>
  <c r="B3725" i="1"/>
  <c r="W3724" i="1"/>
  <c r="T3724" i="1"/>
  <c r="P3724" i="1"/>
  <c r="J3724" i="1"/>
  <c r="G3724" i="1"/>
  <c r="F3724" i="1"/>
  <c r="B3724" i="1"/>
  <c r="W3723" i="1"/>
  <c r="T3723" i="1"/>
  <c r="P3723" i="1"/>
  <c r="J3723" i="1"/>
  <c r="G3723" i="1"/>
  <c r="F3723" i="1"/>
  <c r="B3723" i="1"/>
  <c r="W3722" i="1"/>
  <c r="T3722" i="1"/>
  <c r="P3722" i="1"/>
  <c r="J3722" i="1"/>
  <c r="G3722" i="1"/>
  <c r="F3722" i="1"/>
  <c r="B3722" i="1"/>
  <c r="W3721" i="1"/>
  <c r="T3721" i="1"/>
  <c r="P3721" i="1"/>
  <c r="J3721" i="1"/>
  <c r="G3721" i="1"/>
  <c r="F3721" i="1"/>
  <c r="B3721" i="1"/>
  <c r="W3720" i="1"/>
  <c r="T3720" i="1"/>
  <c r="P3720" i="1"/>
  <c r="J3720" i="1"/>
  <c r="G3720" i="1"/>
  <c r="F3720" i="1"/>
  <c r="B3720" i="1"/>
  <c r="W3719" i="1"/>
  <c r="T3719" i="1"/>
  <c r="P3719" i="1"/>
  <c r="J3719" i="1"/>
  <c r="G3719" i="1"/>
  <c r="F3719" i="1"/>
  <c r="B3719" i="1"/>
  <c r="W3718" i="1"/>
  <c r="T3718" i="1"/>
  <c r="P3718" i="1"/>
  <c r="J3718" i="1"/>
  <c r="G3718" i="1"/>
  <c r="F3718" i="1"/>
  <c r="B3718" i="1"/>
  <c r="W3717" i="1"/>
  <c r="T3717" i="1"/>
  <c r="P3717" i="1"/>
  <c r="J3717" i="1"/>
  <c r="G3717" i="1"/>
  <c r="F3717" i="1"/>
  <c r="B3717" i="1"/>
  <c r="W3716" i="1"/>
  <c r="T3716" i="1"/>
  <c r="P3716" i="1"/>
  <c r="J3716" i="1"/>
  <c r="G3716" i="1"/>
  <c r="F3716" i="1"/>
  <c r="B3716" i="1"/>
  <c r="W3715" i="1"/>
  <c r="T3715" i="1"/>
  <c r="P3715" i="1"/>
  <c r="J3715" i="1"/>
  <c r="G3715" i="1"/>
  <c r="F3715" i="1"/>
  <c r="B3715" i="1"/>
  <c r="W3714" i="1"/>
  <c r="T3714" i="1"/>
  <c r="P3714" i="1"/>
  <c r="J3714" i="1"/>
  <c r="G3714" i="1"/>
  <c r="F3714" i="1"/>
  <c r="B3714" i="1"/>
  <c r="W3713" i="1"/>
  <c r="T3713" i="1"/>
  <c r="P3713" i="1"/>
  <c r="J3713" i="1"/>
  <c r="G3713" i="1"/>
  <c r="F3713" i="1"/>
  <c r="B3713" i="1"/>
  <c r="W3712" i="1"/>
  <c r="T3712" i="1"/>
  <c r="P3712" i="1"/>
  <c r="J3712" i="1"/>
  <c r="G3712" i="1"/>
  <c r="F3712" i="1"/>
  <c r="B3712" i="1"/>
  <c r="W3711" i="1"/>
  <c r="T3711" i="1"/>
  <c r="P3711" i="1"/>
  <c r="J3711" i="1"/>
  <c r="G3711" i="1"/>
  <c r="F3711" i="1"/>
  <c r="B3711" i="1"/>
  <c r="W3710" i="1"/>
  <c r="T3710" i="1"/>
  <c r="P3710" i="1"/>
  <c r="J3710" i="1"/>
  <c r="G3710" i="1"/>
  <c r="F3710" i="1"/>
  <c r="B3710" i="1"/>
  <c r="W3709" i="1"/>
  <c r="T3709" i="1"/>
  <c r="P3709" i="1"/>
  <c r="J3709" i="1"/>
  <c r="G3709" i="1"/>
  <c r="F3709" i="1"/>
  <c r="B3709" i="1"/>
  <c r="W3708" i="1"/>
  <c r="T3708" i="1"/>
  <c r="P3708" i="1"/>
  <c r="J3708" i="1"/>
  <c r="G3708" i="1"/>
  <c r="F3708" i="1"/>
  <c r="B3708" i="1"/>
  <c r="W3707" i="1"/>
  <c r="T3707" i="1"/>
  <c r="P3707" i="1"/>
  <c r="J3707" i="1"/>
  <c r="G3707" i="1"/>
  <c r="F3707" i="1"/>
  <c r="B3707" i="1"/>
  <c r="W3706" i="1"/>
  <c r="T3706" i="1"/>
  <c r="P3706" i="1"/>
  <c r="J3706" i="1"/>
  <c r="G3706" i="1"/>
  <c r="F3706" i="1"/>
  <c r="B3706" i="1"/>
  <c r="W3705" i="1"/>
  <c r="T3705" i="1"/>
  <c r="P3705" i="1"/>
  <c r="J3705" i="1"/>
  <c r="G3705" i="1"/>
  <c r="F3705" i="1"/>
  <c r="B3705" i="1"/>
  <c r="W3704" i="1"/>
  <c r="T3704" i="1"/>
  <c r="P3704" i="1"/>
  <c r="J3704" i="1"/>
  <c r="G3704" i="1"/>
  <c r="F3704" i="1"/>
  <c r="B3704" i="1"/>
  <c r="W3703" i="1"/>
  <c r="T3703" i="1"/>
  <c r="P3703" i="1"/>
  <c r="J3703" i="1"/>
  <c r="G3703" i="1"/>
  <c r="F3703" i="1"/>
  <c r="B3703" i="1"/>
  <c r="W3702" i="1"/>
  <c r="T3702" i="1"/>
  <c r="P3702" i="1"/>
  <c r="J3702" i="1"/>
  <c r="G3702" i="1"/>
  <c r="F3702" i="1"/>
  <c r="B3702" i="1"/>
  <c r="W3701" i="1"/>
  <c r="T3701" i="1"/>
  <c r="P3701" i="1"/>
  <c r="J3701" i="1"/>
  <c r="G3701" i="1"/>
  <c r="F3701" i="1"/>
  <c r="B3701" i="1"/>
  <c r="W3700" i="1"/>
  <c r="T3700" i="1"/>
  <c r="P3700" i="1"/>
  <c r="J3700" i="1"/>
  <c r="G3700" i="1"/>
  <c r="F3700" i="1"/>
  <c r="B3700" i="1"/>
  <c r="W3699" i="1"/>
  <c r="T3699" i="1"/>
  <c r="P3699" i="1"/>
  <c r="J3699" i="1"/>
  <c r="G3699" i="1"/>
  <c r="F3699" i="1"/>
  <c r="B3699" i="1"/>
  <c r="W3698" i="1"/>
  <c r="T3698" i="1"/>
  <c r="P3698" i="1"/>
  <c r="J3698" i="1"/>
  <c r="G3698" i="1"/>
  <c r="F3698" i="1"/>
  <c r="B3698" i="1"/>
  <c r="W3697" i="1"/>
  <c r="T3697" i="1"/>
  <c r="P3697" i="1"/>
  <c r="J3697" i="1"/>
  <c r="G3697" i="1"/>
  <c r="F3697" i="1"/>
  <c r="B3697" i="1"/>
  <c r="W3696" i="1"/>
  <c r="T3696" i="1"/>
  <c r="P3696" i="1"/>
  <c r="J3696" i="1"/>
  <c r="G3696" i="1"/>
  <c r="F3696" i="1"/>
  <c r="B3696" i="1"/>
  <c r="W3695" i="1"/>
  <c r="T3695" i="1"/>
  <c r="P3695" i="1"/>
  <c r="J3695" i="1"/>
  <c r="G3695" i="1"/>
  <c r="F3695" i="1"/>
  <c r="B3695" i="1"/>
  <c r="W3694" i="1"/>
  <c r="T3694" i="1"/>
  <c r="P3694" i="1"/>
  <c r="J3694" i="1"/>
  <c r="G3694" i="1"/>
  <c r="F3694" i="1"/>
  <c r="B3694" i="1"/>
  <c r="W3693" i="1"/>
  <c r="T3693" i="1"/>
  <c r="P3693" i="1"/>
  <c r="J3693" i="1"/>
  <c r="G3693" i="1"/>
  <c r="F3693" i="1"/>
  <c r="B3693" i="1"/>
  <c r="W3692" i="1"/>
  <c r="T3692" i="1"/>
  <c r="P3692" i="1"/>
  <c r="J3692" i="1"/>
  <c r="G3692" i="1"/>
  <c r="F3692" i="1"/>
  <c r="B3692" i="1"/>
  <c r="W3691" i="1"/>
  <c r="T3691" i="1"/>
  <c r="P3691" i="1"/>
  <c r="J3691" i="1"/>
  <c r="G3691" i="1"/>
  <c r="F3691" i="1"/>
  <c r="B3691" i="1"/>
  <c r="W3690" i="1"/>
  <c r="T3690" i="1"/>
  <c r="P3690" i="1"/>
  <c r="J3690" i="1"/>
  <c r="G3690" i="1"/>
  <c r="F3690" i="1"/>
  <c r="B3690" i="1"/>
  <c r="W3689" i="1"/>
  <c r="T3689" i="1"/>
  <c r="P3689" i="1"/>
  <c r="J3689" i="1"/>
  <c r="G3689" i="1"/>
  <c r="F3689" i="1"/>
  <c r="B3689" i="1"/>
  <c r="W3688" i="1"/>
  <c r="T3688" i="1"/>
  <c r="P3688" i="1"/>
  <c r="J3688" i="1"/>
  <c r="G3688" i="1"/>
  <c r="F3688" i="1"/>
  <c r="B3688" i="1"/>
  <c r="W3687" i="1"/>
  <c r="T3687" i="1"/>
  <c r="P3687" i="1"/>
  <c r="J3687" i="1"/>
  <c r="G3687" i="1"/>
  <c r="F3687" i="1"/>
  <c r="B3687" i="1"/>
  <c r="W3686" i="1"/>
  <c r="T3686" i="1"/>
  <c r="P3686" i="1"/>
  <c r="J3686" i="1"/>
  <c r="G3686" i="1"/>
  <c r="F3686" i="1"/>
  <c r="B3686" i="1"/>
  <c r="W3685" i="1"/>
  <c r="T3685" i="1"/>
  <c r="P3685" i="1"/>
  <c r="J3685" i="1"/>
  <c r="G3685" i="1"/>
  <c r="F3685" i="1"/>
  <c r="B3685" i="1"/>
  <c r="W3684" i="1"/>
  <c r="T3684" i="1"/>
  <c r="P3684" i="1"/>
  <c r="J3684" i="1"/>
  <c r="G3684" i="1"/>
  <c r="F3684" i="1"/>
  <c r="B3684" i="1"/>
  <c r="W3683" i="1"/>
  <c r="T3683" i="1"/>
  <c r="P3683" i="1"/>
  <c r="J3683" i="1"/>
  <c r="G3683" i="1"/>
  <c r="F3683" i="1"/>
  <c r="B3683" i="1"/>
  <c r="W3682" i="1"/>
  <c r="T3682" i="1"/>
  <c r="P3682" i="1"/>
  <c r="J3682" i="1"/>
  <c r="G3682" i="1"/>
  <c r="F3682" i="1"/>
  <c r="B3682" i="1"/>
  <c r="W3681" i="1"/>
  <c r="T3681" i="1"/>
  <c r="P3681" i="1"/>
  <c r="J3681" i="1"/>
  <c r="G3681" i="1"/>
  <c r="F3681" i="1"/>
  <c r="B3681" i="1"/>
  <c r="W3680" i="1"/>
  <c r="T3680" i="1"/>
  <c r="P3680" i="1"/>
  <c r="J3680" i="1"/>
  <c r="G3680" i="1"/>
  <c r="F3680" i="1"/>
  <c r="B3680" i="1"/>
  <c r="W3679" i="1"/>
  <c r="T3679" i="1"/>
  <c r="P3679" i="1"/>
  <c r="J3679" i="1"/>
  <c r="G3679" i="1"/>
  <c r="F3679" i="1"/>
  <c r="B3679" i="1"/>
  <c r="W3678" i="1"/>
  <c r="T3678" i="1"/>
  <c r="P3678" i="1"/>
  <c r="J3678" i="1"/>
  <c r="G3678" i="1"/>
  <c r="F3678" i="1"/>
  <c r="B3678" i="1"/>
  <c r="W3677" i="1"/>
  <c r="T3677" i="1"/>
  <c r="P3677" i="1"/>
  <c r="J3677" i="1"/>
  <c r="G3677" i="1"/>
  <c r="F3677" i="1"/>
  <c r="B3677" i="1"/>
  <c r="W3676" i="1"/>
  <c r="T3676" i="1"/>
  <c r="P3676" i="1"/>
  <c r="J3676" i="1"/>
  <c r="G3676" i="1"/>
  <c r="F3676" i="1"/>
  <c r="B3676" i="1"/>
  <c r="W3675" i="1"/>
  <c r="T3675" i="1"/>
  <c r="P3675" i="1"/>
  <c r="J3675" i="1"/>
  <c r="G3675" i="1"/>
  <c r="F3675" i="1"/>
  <c r="B3675" i="1"/>
  <c r="W3674" i="1"/>
  <c r="T3674" i="1"/>
  <c r="P3674" i="1"/>
  <c r="J3674" i="1"/>
  <c r="G3674" i="1"/>
  <c r="F3674" i="1"/>
  <c r="B3674" i="1"/>
  <c r="W3673" i="1"/>
  <c r="T3673" i="1"/>
  <c r="P3673" i="1"/>
  <c r="J3673" i="1"/>
  <c r="G3673" i="1"/>
  <c r="F3673" i="1"/>
  <c r="B3673" i="1"/>
  <c r="W3672" i="1"/>
  <c r="T3672" i="1"/>
  <c r="P3672" i="1"/>
  <c r="J3672" i="1"/>
  <c r="G3672" i="1"/>
  <c r="F3672" i="1"/>
  <c r="B3672" i="1"/>
  <c r="W3671" i="1"/>
  <c r="T3671" i="1"/>
  <c r="P3671" i="1"/>
  <c r="J3671" i="1"/>
  <c r="G3671" i="1"/>
  <c r="F3671" i="1"/>
  <c r="B3671" i="1"/>
  <c r="W3670" i="1"/>
  <c r="T3670" i="1"/>
  <c r="P3670" i="1"/>
  <c r="J3670" i="1"/>
  <c r="G3670" i="1"/>
  <c r="F3670" i="1"/>
  <c r="B3670" i="1"/>
  <c r="W3669" i="1"/>
  <c r="T3669" i="1"/>
  <c r="P3669" i="1"/>
  <c r="J3669" i="1"/>
  <c r="G3669" i="1"/>
  <c r="F3669" i="1"/>
  <c r="B3669" i="1"/>
  <c r="W3668" i="1"/>
  <c r="T3668" i="1"/>
  <c r="P3668" i="1"/>
  <c r="J3668" i="1"/>
  <c r="G3668" i="1"/>
  <c r="F3668" i="1"/>
  <c r="B3668" i="1"/>
  <c r="W3667" i="1"/>
  <c r="T3667" i="1"/>
  <c r="P3667" i="1"/>
  <c r="J3667" i="1"/>
  <c r="G3667" i="1"/>
  <c r="F3667" i="1"/>
  <c r="B3667" i="1"/>
  <c r="W3666" i="1"/>
  <c r="T3666" i="1"/>
  <c r="P3666" i="1"/>
  <c r="J3666" i="1"/>
  <c r="G3666" i="1"/>
  <c r="F3666" i="1"/>
  <c r="B3666" i="1"/>
  <c r="W3665" i="1"/>
  <c r="T3665" i="1"/>
  <c r="P3665" i="1"/>
  <c r="J3665" i="1"/>
  <c r="G3665" i="1"/>
  <c r="F3665" i="1"/>
  <c r="B3665" i="1"/>
  <c r="W3664" i="1"/>
  <c r="T3664" i="1"/>
  <c r="P3664" i="1"/>
  <c r="J3664" i="1"/>
  <c r="G3664" i="1"/>
  <c r="F3664" i="1"/>
  <c r="B3664" i="1"/>
  <c r="W3663" i="1"/>
  <c r="T3663" i="1"/>
  <c r="P3663" i="1"/>
  <c r="J3663" i="1"/>
  <c r="G3663" i="1"/>
  <c r="F3663" i="1"/>
  <c r="B3663" i="1"/>
  <c r="W3662" i="1"/>
  <c r="T3662" i="1"/>
  <c r="P3662" i="1"/>
  <c r="J3662" i="1"/>
  <c r="G3662" i="1"/>
  <c r="F3662" i="1"/>
  <c r="B3662" i="1"/>
  <c r="W3661" i="1"/>
  <c r="T3661" i="1"/>
  <c r="P3661" i="1"/>
  <c r="J3661" i="1"/>
  <c r="G3661" i="1"/>
  <c r="F3661" i="1"/>
  <c r="B3661" i="1"/>
  <c r="W3660" i="1"/>
  <c r="T3660" i="1"/>
  <c r="P3660" i="1"/>
  <c r="J3660" i="1"/>
  <c r="G3660" i="1"/>
  <c r="F3660" i="1"/>
  <c r="B3660" i="1"/>
  <c r="W3659" i="1"/>
  <c r="T3659" i="1"/>
  <c r="P3659" i="1"/>
  <c r="J3659" i="1"/>
  <c r="G3659" i="1"/>
  <c r="F3659" i="1"/>
  <c r="B3659" i="1"/>
  <c r="W3658" i="1"/>
  <c r="T3658" i="1"/>
  <c r="P3658" i="1"/>
  <c r="J3658" i="1"/>
  <c r="G3658" i="1"/>
  <c r="F3658" i="1"/>
  <c r="B3658" i="1"/>
  <c r="W3657" i="1"/>
  <c r="T3657" i="1"/>
  <c r="P3657" i="1"/>
  <c r="J3657" i="1"/>
  <c r="G3657" i="1"/>
  <c r="F3657" i="1"/>
  <c r="B3657" i="1"/>
  <c r="W3656" i="1"/>
  <c r="T3656" i="1"/>
  <c r="P3656" i="1"/>
  <c r="J3656" i="1"/>
  <c r="G3656" i="1"/>
  <c r="F3656" i="1"/>
  <c r="B3656" i="1"/>
  <c r="W3655" i="1"/>
  <c r="T3655" i="1"/>
  <c r="P3655" i="1"/>
  <c r="J3655" i="1"/>
  <c r="G3655" i="1"/>
  <c r="F3655" i="1"/>
  <c r="B3655" i="1"/>
  <c r="W3654" i="1"/>
  <c r="T3654" i="1"/>
  <c r="P3654" i="1"/>
  <c r="J3654" i="1"/>
  <c r="G3654" i="1"/>
  <c r="F3654" i="1"/>
  <c r="B3654" i="1"/>
  <c r="W3653" i="1"/>
  <c r="T3653" i="1"/>
  <c r="P3653" i="1"/>
  <c r="J3653" i="1"/>
  <c r="G3653" i="1"/>
  <c r="F3653" i="1"/>
  <c r="B3653" i="1"/>
  <c r="W3652" i="1"/>
  <c r="T3652" i="1"/>
  <c r="P3652" i="1"/>
  <c r="J3652" i="1"/>
  <c r="G3652" i="1"/>
  <c r="F3652" i="1"/>
  <c r="B3652" i="1"/>
  <c r="W3651" i="1"/>
  <c r="T3651" i="1"/>
  <c r="P3651" i="1"/>
  <c r="J3651" i="1"/>
  <c r="G3651" i="1"/>
  <c r="F3651" i="1"/>
  <c r="B3651" i="1"/>
  <c r="W3650" i="1"/>
  <c r="T3650" i="1"/>
  <c r="P3650" i="1"/>
  <c r="J3650" i="1"/>
  <c r="G3650" i="1"/>
  <c r="F3650" i="1"/>
  <c r="B3650" i="1"/>
  <c r="W3649" i="1"/>
  <c r="T3649" i="1"/>
  <c r="P3649" i="1"/>
  <c r="J3649" i="1"/>
  <c r="G3649" i="1"/>
  <c r="F3649" i="1"/>
  <c r="B3649" i="1"/>
  <c r="W3648" i="1"/>
  <c r="T3648" i="1"/>
  <c r="P3648" i="1"/>
  <c r="J3648" i="1"/>
  <c r="G3648" i="1"/>
  <c r="F3648" i="1"/>
  <c r="B3648" i="1"/>
  <c r="W3647" i="1"/>
  <c r="T3647" i="1"/>
  <c r="P3647" i="1"/>
  <c r="J3647" i="1"/>
  <c r="G3647" i="1"/>
  <c r="F3647" i="1"/>
  <c r="B3647" i="1"/>
  <c r="W3646" i="1"/>
  <c r="T3646" i="1"/>
  <c r="P3646" i="1"/>
  <c r="J3646" i="1"/>
  <c r="G3646" i="1"/>
  <c r="F3646" i="1"/>
  <c r="B3646" i="1"/>
  <c r="W3645" i="1"/>
  <c r="T3645" i="1"/>
  <c r="P3645" i="1"/>
  <c r="J3645" i="1"/>
  <c r="G3645" i="1"/>
  <c r="F3645" i="1"/>
  <c r="B3645" i="1"/>
  <c r="W3644" i="1"/>
  <c r="T3644" i="1"/>
  <c r="P3644" i="1"/>
  <c r="J3644" i="1"/>
  <c r="G3644" i="1"/>
  <c r="F3644" i="1"/>
  <c r="B3644" i="1"/>
  <c r="W3643" i="1"/>
  <c r="T3643" i="1"/>
  <c r="P3643" i="1"/>
  <c r="J3643" i="1"/>
  <c r="G3643" i="1"/>
  <c r="F3643" i="1"/>
  <c r="B3643" i="1"/>
  <c r="W3642" i="1"/>
  <c r="T3642" i="1"/>
  <c r="P3642" i="1"/>
  <c r="J3642" i="1"/>
  <c r="G3642" i="1"/>
  <c r="F3642" i="1"/>
  <c r="B3642" i="1"/>
  <c r="W3641" i="1"/>
  <c r="T3641" i="1"/>
  <c r="P3641" i="1"/>
  <c r="J3641" i="1"/>
  <c r="G3641" i="1"/>
  <c r="F3641" i="1"/>
  <c r="B3641" i="1"/>
  <c r="W3640" i="1"/>
  <c r="T3640" i="1"/>
  <c r="P3640" i="1"/>
  <c r="J3640" i="1"/>
  <c r="G3640" i="1"/>
  <c r="F3640" i="1"/>
  <c r="B3640" i="1"/>
  <c r="W3639" i="1"/>
  <c r="T3639" i="1"/>
  <c r="P3639" i="1"/>
  <c r="J3639" i="1"/>
  <c r="G3639" i="1"/>
  <c r="F3639" i="1"/>
  <c r="B3639" i="1"/>
  <c r="W3638" i="1"/>
  <c r="T3638" i="1"/>
  <c r="P3638" i="1"/>
  <c r="J3638" i="1"/>
  <c r="G3638" i="1"/>
  <c r="F3638" i="1"/>
  <c r="B3638" i="1"/>
  <c r="W3637" i="1"/>
  <c r="T3637" i="1"/>
  <c r="P3637" i="1"/>
  <c r="J3637" i="1"/>
  <c r="G3637" i="1"/>
  <c r="F3637" i="1"/>
  <c r="B3637" i="1"/>
  <c r="W3636" i="1"/>
  <c r="T3636" i="1"/>
  <c r="P3636" i="1"/>
  <c r="J3636" i="1"/>
  <c r="G3636" i="1"/>
  <c r="F3636" i="1"/>
  <c r="B3636" i="1"/>
  <c r="W3635" i="1"/>
  <c r="T3635" i="1"/>
  <c r="P3635" i="1"/>
  <c r="J3635" i="1"/>
  <c r="G3635" i="1"/>
  <c r="F3635" i="1"/>
  <c r="B3635" i="1"/>
  <c r="W3634" i="1"/>
  <c r="T3634" i="1"/>
  <c r="P3634" i="1"/>
  <c r="J3634" i="1"/>
  <c r="G3634" i="1"/>
  <c r="F3634" i="1"/>
  <c r="B3634" i="1"/>
  <c r="W3633" i="1"/>
  <c r="T3633" i="1"/>
  <c r="P3633" i="1"/>
  <c r="J3633" i="1"/>
  <c r="G3633" i="1"/>
  <c r="F3633" i="1"/>
  <c r="B3633" i="1"/>
  <c r="W3632" i="1"/>
  <c r="T3632" i="1"/>
  <c r="P3632" i="1"/>
  <c r="J3632" i="1"/>
  <c r="G3632" i="1"/>
  <c r="F3632" i="1"/>
  <c r="B3632" i="1"/>
  <c r="W3631" i="1"/>
  <c r="T3631" i="1"/>
  <c r="P3631" i="1"/>
  <c r="J3631" i="1"/>
  <c r="G3631" i="1"/>
  <c r="F3631" i="1"/>
  <c r="B3631" i="1"/>
  <c r="W3630" i="1"/>
  <c r="T3630" i="1"/>
  <c r="P3630" i="1"/>
  <c r="J3630" i="1"/>
  <c r="G3630" i="1"/>
  <c r="F3630" i="1"/>
  <c r="B3630" i="1"/>
  <c r="W3629" i="1"/>
  <c r="T3629" i="1"/>
  <c r="P3629" i="1"/>
  <c r="J3629" i="1"/>
  <c r="G3629" i="1"/>
  <c r="F3629" i="1"/>
  <c r="B3629" i="1"/>
  <c r="W3628" i="1"/>
  <c r="T3628" i="1"/>
  <c r="P3628" i="1"/>
  <c r="J3628" i="1"/>
  <c r="G3628" i="1"/>
  <c r="F3628" i="1"/>
  <c r="B3628" i="1"/>
  <c r="W3627" i="1"/>
  <c r="T3627" i="1"/>
  <c r="P3627" i="1"/>
  <c r="J3627" i="1"/>
  <c r="G3627" i="1"/>
  <c r="F3627" i="1"/>
  <c r="B3627" i="1"/>
  <c r="W3626" i="1"/>
  <c r="T3626" i="1"/>
  <c r="P3626" i="1"/>
  <c r="J3626" i="1"/>
  <c r="G3626" i="1"/>
  <c r="F3626" i="1"/>
  <c r="B3626" i="1"/>
  <c r="W3625" i="1"/>
  <c r="T3625" i="1"/>
  <c r="P3625" i="1"/>
  <c r="J3625" i="1"/>
  <c r="G3625" i="1"/>
  <c r="F3625" i="1"/>
  <c r="B3625" i="1"/>
  <c r="W3624" i="1"/>
  <c r="T3624" i="1"/>
  <c r="P3624" i="1"/>
  <c r="J3624" i="1"/>
  <c r="G3624" i="1"/>
  <c r="F3624" i="1"/>
  <c r="B3624" i="1"/>
  <c r="W3623" i="1"/>
  <c r="T3623" i="1"/>
  <c r="P3623" i="1"/>
  <c r="J3623" i="1"/>
  <c r="G3623" i="1"/>
  <c r="F3623" i="1"/>
  <c r="B3623" i="1"/>
  <c r="W3622" i="1"/>
  <c r="T3622" i="1"/>
  <c r="P3622" i="1"/>
  <c r="J3622" i="1"/>
  <c r="G3622" i="1"/>
  <c r="F3622" i="1"/>
  <c r="B3622" i="1"/>
  <c r="W3621" i="1"/>
  <c r="T3621" i="1"/>
  <c r="P3621" i="1"/>
  <c r="J3621" i="1"/>
  <c r="G3621" i="1"/>
  <c r="F3621" i="1"/>
  <c r="B3621" i="1"/>
  <c r="W3620" i="1"/>
  <c r="T3620" i="1"/>
  <c r="P3620" i="1"/>
  <c r="J3620" i="1"/>
  <c r="G3620" i="1"/>
  <c r="F3620" i="1"/>
  <c r="B3620" i="1"/>
  <c r="W3619" i="1"/>
  <c r="T3619" i="1"/>
  <c r="P3619" i="1"/>
  <c r="J3619" i="1"/>
  <c r="G3619" i="1"/>
  <c r="F3619" i="1"/>
  <c r="B3619" i="1"/>
  <c r="W3618" i="1"/>
  <c r="T3618" i="1"/>
  <c r="P3618" i="1"/>
  <c r="J3618" i="1"/>
  <c r="G3618" i="1"/>
  <c r="F3618" i="1"/>
  <c r="B3618" i="1"/>
  <c r="W3617" i="1"/>
  <c r="T3617" i="1"/>
  <c r="P3617" i="1"/>
  <c r="J3617" i="1"/>
  <c r="G3617" i="1"/>
  <c r="F3617" i="1"/>
  <c r="B3617" i="1"/>
  <c r="W3616" i="1"/>
  <c r="T3616" i="1"/>
  <c r="P3616" i="1"/>
  <c r="J3616" i="1"/>
  <c r="G3616" i="1"/>
  <c r="F3616" i="1"/>
  <c r="B3616" i="1"/>
  <c r="W3615" i="1"/>
  <c r="T3615" i="1"/>
  <c r="P3615" i="1"/>
  <c r="J3615" i="1"/>
  <c r="G3615" i="1"/>
  <c r="F3615" i="1"/>
  <c r="B3615" i="1"/>
  <c r="W3614" i="1"/>
  <c r="T3614" i="1"/>
  <c r="P3614" i="1"/>
  <c r="J3614" i="1"/>
  <c r="G3614" i="1"/>
  <c r="F3614" i="1"/>
  <c r="B3614" i="1"/>
  <c r="W3613" i="1"/>
  <c r="T3613" i="1"/>
  <c r="P3613" i="1"/>
  <c r="J3613" i="1"/>
  <c r="G3613" i="1"/>
  <c r="F3613" i="1"/>
  <c r="B3613" i="1"/>
  <c r="W3612" i="1"/>
  <c r="T3612" i="1"/>
  <c r="P3612" i="1"/>
  <c r="J3612" i="1"/>
  <c r="G3612" i="1"/>
  <c r="F3612" i="1"/>
  <c r="B3612" i="1"/>
  <c r="W3611" i="1"/>
  <c r="T3611" i="1"/>
  <c r="P3611" i="1"/>
  <c r="J3611" i="1"/>
  <c r="G3611" i="1"/>
  <c r="F3611" i="1"/>
  <c r="B3611" i="1"/>
  <c r="W3610" i="1"/>
  <c r="T3610" i="1"/>
  <c r="P3610" i="1"/>
  <c r="J3610" i="1"/>
  <c r="G3610" i="1"/>
  <c r="F3610" i="1"/>
  <c r="B3610" i="1"/>
  <c r="W3609" i="1"/>
  <c r="T3609" i="1"/>
  <c r="P3609" i="1"/>
  <c r="J3609" i="1"/>
  <c r="G3609" i="1"/>
  <c r="F3609" i="1"/>
  <c r="B3609" i="1"/>
  <c r="W3608" i="1"/>
  <c r="T3608" i="1"/>
  <c r="P3608" i="1"/>
  <c r="J3608" i="1"/>
  <c r="G3608" i="1"/>
  <c r="F3608" i="1"/>
  <c r="B3608" i="1"/>
  <c r="W3607" i="1"/>
  <c r="T3607" i="1"/>
  <c r="P3607" i="1"/>
  <c r="J3607" i="1"/>
  <c r="G3607" i="1"/>
  <c r="F3607" i="1"/>
  <c r="B3607" i="1"/>
  <c r="W3606" i="1"/>
  <c r="T3606" i="1"/>
  <c r="P3606" i="1"/>
  <c r="J3606" i="1"/>
  <c r="G3606" i="1"/>
  <c r="F3606" i="1"/>
  <c r="B3606" i="1"/>
  <c r="W3605" i="1"/>
  <c r="T3605" i="1"/>
  <c r="P3605" i="1"/>
  <c r="J3605" i="1"/>
  <c r="G3605" i="1"/>
  <c r="F3605" i="1"/>
  <c r="B3605" i="1"/>
  <c r="W3604" i="1"/>
  <c r="T3604" i="1"/>
  <c r="P3604" i="1"/>
  <c r="J3604" i="1"/>
  <c r="G3604" i="1"/>
  <c r="F3604" i="1"/>
  <c r="B3604" i="1"/>
  <c r="W3603" i="1"/>
  <c r="T3603" i="1"/>
  <c r="P3603" i="1"/>
  <c r="J3603" i="1"/>
  <c r="G3603" i="1"/>
  <c r="F3603" i="1"/>
  <c r="B3603" i="1"/>
  <c r="W3602" i="1"/>
  <c r="T3602" i="1"/>
  <c r="P3602" i="1"/>
  <c r="J3602" i="1"/>
  <c r="G3602" i="1"/>
  <c r="F3602" i="1"/>
  <c r="B3602" i="1"/>
  <c r="W3601" i="1"/>
  <c r="T3601" i="1"/>
  <c r="P3601" i="1"/>
  <c r="J3601" i="1"/>
  <c r="G3601" i="1"/>
  <c r="F3601" i="1"/>
  <c r="B3601" i="1"/>
  <c r="W3600" i="1"/>
  <c r="T3600" i="1"/>
  <c r="P3600" i="1"/>
  <c r="J3600" i="1"/>
  <c r="G3600" i="1"/>
  <c r="F3600" i="1"/>
  <c r="B3600" i="1"/>
  <c r="W3599" i="1"/>
  <c r="T3599" i="1"/>
  <c r="P3599" i="1"/>
  <c r="J3599" i="1"/>
  <c r="G3599" i="1"/>
  <c r="F3599" i="1"/>
  <c r="B3599" i="1"/>
  <c r="W3598" i="1"/>
  <c r="T3598" i="1"/>
  <c r="P3598" i="1"/>
  <c r="J3598" i="1"/>
  <c r="G3598" i="1"/>
  <c r="F3598" i="1"/>
  <c r="B3598" i="1"/>
  <c r="W3597" i="1"/>
  <c r="T3597" i="1"/>
  <c r="P3597" i="1"/>
  <c r="J3597" i="1"/>
  <c r="G3597" i="1"/>
  <c r="F3597" i="1"/>
  <c r="B3597" i="1"/>
  <c r="W3596" i="1"/>
  <c r="T3596" i="1"/>
  <c r="P3596" i="1"/>
  <c r="J3596" i="1"/>
  <c r="G3596" i="1"/>
  <c r="F3596" i="1"/>
  <c r="B3596" i="1"/>
  <c r="W3595" i="1"/>
  <c r="T3595" i="1"/>
  <c r="P3595" i="1"/>
  <c r="J3595" i="1"/>
  <c r="G3595" i="1"/>
  <c r="F3595" i="1"/>
  <c r="B3595" i="1"/>
  <c r="W3594" i="1"/>
  <c r="T3594" i="1"/>
  <c r="P3594" i="1"/>
  <c r="J3594" i="1"/>
  <c r="G3594" i="1"/>
  <c r="F3594" i="1"/>
  <c r="B3594" i="1"/>
  <c r="W3593" i="1"/>
  <c r="T3593" i="1"/>
  <c r="P3593" i="1"/>
  <c r="J3593" i="1"/>
  <c r="G3593" i="1"/>
  <c r="F3593" i="1"/>
  <c r="B3593" i="1"/>
  <c r="W3592" i="1"/>
  <c r="T3592" i="1"/>
  <c r="P3592" i="1"/>
  <c r="J3592" i="1"/>
  <c r="G3592" i="1"/>
  <c r="F3592" i="1"/>
  <c r="B3592" i="1"/>
  <c r="W3591" i="1"/>
  <c r="T3591" i="1"/>
  <c r="P3591" i="1"/>
  <c r="J3591" i="1"/>
  <c r="G3591" i="1"/>
  <c r="F3591" i="1"/>
  <c r="B3591" i="1"/>
  <c r="W3590" i="1"/>
  <c r="T3590" i="1"/>
  <c r="P3590" i="1"/>
  <c r="J3590" i="1"/>
  <c r="G3590" i="1"/>
  <c r="F3590" i="1"/>
  <c r="B3590" i="1"/>
  <c r="W3589" i="1"/>
  <c r="T3589" i="1"/>
  <c r="P3589" i="1"/>
  <c r="J3589" i="1"/>
  <c r="G3589" i="1"/>
  <c r="F3589" i="1"/>
  <c r="B3589" i="1"/>
  <c r="W3588" i="1"/>
  <c r="T3588" i="1"/>
  <c r="P3588" i="1"/>
  <c r="J3588" i="1"/>
  <c r="G3588" i="1"/>
  <c r="F3588" i="1"/>
  <c r="B3588" i="1"/>
  <c r="W3587" i="1"/>
  <c r="T3587" i="1"/>
  <c r="P3587" i="1"/>
  <c r="J3587" i="1"/>
  <c r="G3587" i="1"/>
  <c r="F3587" i="1"/>
  <c r="B3587" i="1"/>
  <c r="W3586" i="1"/>
  <c r="T3586" i="1"/>
  <c r="P3586" i="1"/>
  <c r="J3586" i="1"/>
  <c r="G3586" i="1"/>
  <c r="F3586" i="1"/>
  <c r="B3586" i="1"/>
  <c r="W3585" i="1"/>
  <c r="T3585" i="1"/>
  <c r="P3585" i="1"/>
  <c r="J3585" i="1"/>
  <c r="G3585" i="1"/>
  <c r="F3585" i="1"/>
  <c r="B3585" i="1"/>
  <c r="W3584" i="1"/>
  <c r="T3584" i="1"/>
  <c r="P3584" i="1"/>
  <c r="J3584" i="1"/>
  <c r="G3584" i="1"/>
  <c r="F3584" i="1"/>
  <c r="B3584" i="1"/>
  <c r="W3583" i="1"/>
  <c r="T3583" i="1"/>
  <c r="P3583" i="1"/>
  <c r="J3583" i="1"/>
  <c r="G3583" i="1"/>
  <c r="F3583" i="1"/>
  <c r="B3583" i="1"/>
  <c r="W3582" i="1"/>
  <c r="T3582" i="1"/>
  <c r="P3582" i="1"/>
  <c r="J3582" i="1"/>
  <c r="G3582" i="1"/>
  <c r="F3582" i="1"/>
  <c r="B3582" i="1"/>
  <c r="W3581" i="1"/>
  <c r="T3581" i="1"/>
  <c r="P3581" i="1"/>
  <c r="J3581" i="1"/>
  <c r="G3581" i="1"/>
  <c r="F3581" i="1"/>
  <c r="B3581" i="1"/>
  <c r="W3580" i="1"/>
  <c r="T3580" i="1"/>
  <c r="P3580" i="1"/>
  <c r="J3580" i="1"/>
  <c r="G3580" i="1"/>
  <c r="F3580" i="1"/>
  <c r="B3580" i="1"/>
  <c r="W3579" i="1"/>
  <c r="T3579" i="1"/>
  <c r="P3579" i="1"/>
  <c r="J3579" i="1"/>
  <c r="G3579" i="1"/>
  <c r="F3579" i="1"/>
  <c r="B3579" i="1"/>
  <c r="W3578" i="1"/>
  <c r="T3578" i="1"/>
  <c r="P3578" i="1"/>
  <c r="J3578" i="1"/>
  <c r="G3578" i="1"/>
  <c r="F3578" i="1"/>
  <c r="B3578" i="1"/>
  <c r="W3577" i="1"/>
  <c r="T3577" i="1"/>
  <c r="P3577" i="1"/>
  <c r="J3577" i="1"/>
  <c r="G3577" i="1"/>
  <c r="F3577" i="1"/>
  <c r="B3577" i="1"/>
  <c r="W3576" i="1"/>
  <c r="T3576" i="1"/>
  <c r="P3576" i="1"/>
  <c r="J3576" i="1"/>
  <c r="G3576" i="1"/>
  <c r="F3576" i="1"/>
  <c r="B3576" i="1"/>
  <c r="W3575" i="1"/>
  <c r="T3575" i="1"/>
  <c r="P3575" i="1"/>
  <c r="J3575" i="1"/>
  <c r="G3575" i="1"/>
  <c r="F3575" i="1"/>
  <c r="B3575" i="1"/>
  <c r="W3574" i="1"/>
  <c r="T3574" i="1"/>
  <c r="P3574" i="1"/>
  <c r="J3574" i="1"/>
  <c r="G3574" i="1"/>
  <c r="F3574" i="1"/>
  <c r="B3574" i="1"/>
  <c r="W3573" i="1"/>
  <c r="T3573" i="1"/>
  <c r="P3573" i="1"/>
  <c r="J3573" i="1"/>
  <c r="G3573" i="1"/>
  <c r="F3573" i="1"/>
  <c r="B3573" i="1"/>
  <c r="W3572" i="1"/>
  <c r="T3572" i="1"/>
  <c r="P3572" i="1"/>
  <c r="J3572" i="1"/>
  <c r="G3572" i="1"/>
  <c r="F3572" i="1"/>
  <c r="B3572" i="1"/>
  <c r="W3571" i="1"/>
  <c r="T3571" i="1"/>
  <c r="P3571" i="1"/>
  <c r="J3571" i="1"/>
  <c r="G3571" i="1"/>
  <c r="F3571" i="1"/>
  <c r="B3571" i="1"/>
  <c r="W3570" i="1"/>
  <c r="T3570" i="1"/>
  <c r="P3570" i="1"/>
  <c r="J3570" i="1"/>
  <c r="G3570" i="1"/>
  <c r="F3570" i="1"/>
  <c r="B3570" i="1"/>
  <c r="W3569" i="1"/>
  <c r="T3569" i="1"/>
  <c r="P3569" i="1"/>
  <c r="J3569" i="1"/>
  <c r="G3569" i="1"/>
  <c r="F3569" i="1"/>
  <c r="B3569" i="1"/>
  <c r="W3568" i="1"/>
  <c r="T3568" i="1"/>
  <c r="P3568" i="1"/>
  <c r="J3568" i="1"/>
  <c r="G3568" i="1"/>
  <c r="F3568" i="1"/>
  <c r="B3568" i="1"/>
  <c r="W3567" i="1"/>
  <c r="T3567" i="1"/>
  <c r="P3567" i="1"/>
  <c r="J3567" i="1"/>
  <c r="G3567" i="1"/>
  <c r="F3567" i="1"/>
  <c r="B3567" i="1"/>
  <c r="W3566" i="1"/>
  <c r="T3566" i="1"/>
  <c r="P3566" i="1"/>
  <c r="J3566" i="1"/>
  <c r="G3566" i="1"/>
  <c r="F3566" i="1"/>
  <c r="B3566" i="1"/>
  <c r="W3565" i="1"/>
  <c r="T3565" i="1"/>
  <c r="P3565" i="1"/>
  <c r="J3565" i="1"/>
  <c r="G3565" i="1"/>
  <c r="F3565" i="1"/>
  <c r="B3565" i="1"/>
  <c r="W3564" i="1"/>
  <c r="T3564" i="1"/>
  <c r="P3564" i="1"/>
  <c r="J3564" i="1"/>
  <c r="G3564" i="1"/>
  <c r="F3564" i="1"/>
  <c r="B3564" i="1"/>
  <c r="W3563" i="1"/>
  <c r="T3563" i="1"/>
  <c r="P3563" i="1"/>
  <c r="J3563" i="1"/>
  <c r="G3563" i="1"/>
  <c r="F3563" i="1"/>
  <c r="B3563" i="1"/>
  <c r="W3562" i="1"/>
  <c r="T3562" i="1"/>
  <c r="P3562" i="1"/>
  <c r="J3562" i="1"/>
  <c r="G3562" i="1"/>
  <c r="F3562" i="1"/>
  <c r="B3562" i="1"/>
  <c r="W3561" i="1"/>
  <c r="T3561" i="1"/>
  <c r="P3561" i="1"/>
  <c r="J3561" i="1"/>
  <c r="G3561" i="1"/>
  <c r="F3561" i="1"/>
  <c r="B3561" i="1"/>
  <c r="W3560" i="1"/>
  <c r="T3560" i="1"/>
  <c r="P3560" i="1"/>
  <c r="J3560" i="1"/>
  <c r="G3560" i="1"/>
  <c r="F3560" i="1"/>
  <c r="B3560" i="1"/>
  <c r="W3559" i="1"/>
  <c r="T3559" i="1"/>
  <c r="P3559" i="1"/>
  <c r="J3559" i="1"/>
  <c r="G3559" i="1"/>
  <c r="F3559" i="1"/>
  <c r="B3559" i="1"/>
  <c r="W3558" i="1"/>
  <c r="T3558" i="1"/>
  <c r="P3558" i="1"/>
  <c r="J3558" i="1"/>
  <c r="G3558" i="1"/>
  <c r="F3558" i="1"/>
  <c r="B3558" i="1"/>
  <c r="W3557" i="1"/>
  <c r="T3557" i="1"/>
  <c r="P3557" i="1"/>
  <c r="J3557" i="1"/>
  <c r="G3557" i="1"/>
  <c r="F3557" i="1"/>
  <c r="B3557" i="1"/>
  <c r="W3556" i="1"/>
  <c r="T3556" i="1"/>
  <c r="P3556" i="1"/>
  <c r="J3556" i="1"/>
  <c r="G3556" i="1"/>
  <c r="F3556" i="1"/>
  <c r="B3556" i="1"/>
  <c r="W3555" i="1"/>
  <c r="T3555" i="1"/>
  <c r="P3555" i="1"/>
  <c r="J3555" i="1"/>
  <c r="G3555" i="1"/>
  <c r="F3555" i="1"/>
  <c r="B3555" i="1"/>
  <c r="W3554" i="1"/>
  <c r="T3554" i="1"/>
  <c r="P3554" i="1"/>
  <c r="J3554" i="1"/>
  <c r="G3554" i="1"/>
  <c r="F3554" i="1"/>
  <c r="B3554" i="1"/>
  <c r="W3553" i="1"/>
  <c r="T3553" i="1"/>
  <c r="P3553" i="1"/>
  <c r="J3553" i="1"/>
  <c r="G3553" i="1"/>
  <c r="F3553" i="1"/>
  <c r="B3553" i="1"/>
  <c r="W3552" i="1"/>
  <c r="T3552" i="1"/>
  <c r="P3552" i="1"/>
  <c r="J3552" i="1"/>
  <c r="G3552" i="1"/>
  <c r="F3552" i="1"/>
  <c r="B3552" i="1"/>
  <c r="W3551" i="1"/>
  <c r="T3551" i="1"/>
  <c r="P3551" i="1"/>
  <c r="J3551" i="1"/>
  <c r="G3551" i="1"/>
  <c r="F3551" i="1"/>
  <c r="B3551" i="1"/>
  <c r="W3550" i="1"/>
  <c r="T3550" i="1"/>
  <c r="P3550" i="1"/>
  <c r="J3550" i="1"/>
  <c r="G3550" i="1"/>
  <c r="F3550" i="1"/>
  <c r="B3550" i="1"/>
  <c r="W3549" i="1"/>
  <c r="T3549" i="1"/>
  <c r="P3549" i="1"/>
  <c r="J3549" i="1"/>
  <c r="G3549" i="1"/>
  <c r="F3549" i="1"/>
  <c r="B3549" i="1"/>
  <c r="W3548" i="1"/>
  <c r="T3548" i="1"/>
  <c r="P3548" i="1"/>
  <c r="J3548" i="1"/>
  <c r="G3548" i="1"/>
  <c r="F3548" i="1"/>
  <c r="B3548" i="1"/>
  <c r="W3547" i="1"/>
  <c r="T3547" i="1"/>
  <c r="P3547" i="1"/>
  <c r="J3547" i="1"/>
  <c r="G3547" i="1"/>
  <c r="F3547" i="1"/>
  <c r="B3547" i="1"/>
  <c r="W3546" i="1"/>
  <c r="T3546" i="1"/>
  <c r="P3546" i="1"/>
  <c r="J3546" i="1"/>
  <c r="G3546" i="1"/>
  <c r="F3546" i="1"/>
  <c r="B3546" i="1"/>
  <c r="W3545" i="1"/>
  <c r="T3545" i="1"/>
  <c r="P3545" i="1"/>
  <c r="J3545" i="1"/>
  <c r="G3545" i="1"/>
  <c r="F3545" i="1"/>
  <c r="B3545" i="1"/>
  <c r="W3544" i="1"/>
  <c r="T3544" i="1"/>
  <c r="P3544" i="1"/>
  <c r="J3544" i="1"/>
  <c r="G3544" i="1"/>
  <c r="F3544" i="1"/>
  <c r="B3544" i="1"/>
  <c r="W3543" i="1"/>
  <c r="T3543" i="1"/>
  <c r="P3543" i="1"/>
  <c r="J3543" i="1"/>
  <c r="G3543" i="1"/>
  <c r="F3543" i="1"/>
  <c r="B3543" i="1"/>
  <c r="W3542" i="1"/>
  <c r="T3542" i="1"/>
  <c r="P3542" i="1"/>
  <c r="J3542" i="1"/>
  <c r="G3542" i="1"/>
  <c r="F3542" i="1"/>
  <c r="B3542" i="1"/>
  <c r="W3541" i="1"/>
  <c r="T3541" i="1"/>
  <c r="P3541" i="1"/>
  <c r="J3541" i="1"/>
  <c r="G3541" i="1"/>
  <c r="F3541" i="1"/>
  <c r="B3541" i="1"/>
  <c r="W3540" i="1"/>
  <c r="T3540" i="1"/>
  <c r="P3540" i="1"/>
  <c r="J3540" i="1"/>
  <c r="G3540" i="1"/>
  <c r="F3540" i="1"/>
  <c r="B3540" i="1"/>
  <c r="W3539" i="1"/>
  <c r="T3539" i="1"/>
  <c r="P3539" i="1"/>
  <c r="J3539" i="1"/>
  <c r="G3539" i="1"/>
  <c r="F3539" i="1"/>
  <c r="B3539" i="1"/>
  <c r="W3538" i="1"/>
  <c r="T3538" i="1"/>
  <c r="P3538" i="1"/>
  <c r="J3538" i="1"/>
  <c r="G3538" i="1"/>
  <c r="F3538" i="1"/>
  <c r="B3538" i="1"/>
  <c r="W3537" i="1"/>
  <c r="T3537" i="1"/>
  <c r="P3537" i="1"/>
  <c r="J3537" i="1"/>
  <c r="G3537" i="1"/>
  <c r="F3537" i="1"/>
  <c r="B3537" i="1"/>
  <c r="W3536" i="1"/>
  <c r="T3536" i="1"/>
  <c r="P3536" i="1"/>
  <c r="J3536" i="1"/>
  <c r="G3536" i="1"/>
  <c r="F3536" i="1"/>
  <c r="B3536" i="1"/>
  <c r="W3535" i="1"/>
  <c r="T3535" i="1"/>
  <c r="P3535" i="1"/>
  <c r="J3535" i="1"/>
  <c r="G3535" i="1"/>
  <c r="F3535" i="1"/>
  <c r="B3535" i="1"/>
  <c r="W3534" i="1"/>
  <c r="T3534" i="1"/>
  <c r="P3534" i="1"/>
  <c r="J3534" i="1"/>
  <c r="G3534" i="1"/>
  <c r="F3534" i="1"/>
  <c r="B3534" i="1"/>
  <c r="W3533" i="1"/>
  <c r="T3533" i="1"/>
  <c r="P3533" i="1"/>
  <c r="J3533" i="1"/>
  <c r="G3533" i="1"/>
  <c r="F3533" i="1"/>
  <c r="B3533" i="1"/>
  <c r="W3532" i="1"/>
  <c r="T3532" i="1"/>
  <c r="P3532" i="1"/>
  <c r="J3532" i="1"/>
  <c r="G3532" i="1"/>
  <c r="F3532" i="1"/>
  <c r="B3532" i="1"/>
  <c r="W3531" i="1"/>
  <c r="T3531" i="1"/>
  <c r="P3531" i="1"/>
  <c r="J3531" i="1"/>
  <c r="G3531" i="1"/>
  <c r="F3531" i="1"/>
  <c r="B3531" i="1"/>
  <c r="W3530" i="1"/>
  <c r="T3530" i="1"/>
  <c r="P3530" i="1"/>
  <c r="J3530" i="1"/>
  <c r="G3530" i="1"/>
  <c r="F3530" i="1"/>
  <c r="B3530" i="1"/>
  <c r="W3529" i="1"/>
  <c r="T3529" i="1"/>
  <c r="P3529" i="1"/>
  <c r="J3529" i="1"/>
  <c r="G3529" i="1"/>
  <c r="F3529" i="1"/>
  <c r="B3529" i="1"/>
  <c r="W3528" i="1"/>
  <c r="T3528" i="1"/>
  <c r="P3528" i="1"/>
  <c r="J3528" i="1"/>
  <c r="G3528" i="1"/>
  <c r="F3528" i="1"/>
  <c r="B3528" i="1"/>
  <c r="W3527" i="1"/>
  <c r="T3527" i="1"/>
  <c r="P3527" i="1"/>
  <c r="J3527" i="1"/>
  <c r="G3527" i="1"/>
  <c r="F3527" i="1"/>
  <c r="B3527" i="1"/>
  <c r="W3526" i="1"/>
  <c r="T3526" i="1"/>
  <c r="P3526" i="1"/>
  <c r="J3526" i="1"/>
  <c r="G3526" i="1"/>
  <c r="F3526" i="1"/>
  <c r="B3526" i="1"/>
  <c r="W3525" i="1"/>
  <c r="T3525" i="1"/>
  <c r="P3525" i="1"/>
  <c r="J3525" i="1"/>
  <c r="G3525" i="1"/>
  <c r="F3525" i="1"/>
  <c r="B3525" i="1"/>
  <c r="W3524" i="1"/>
  <c r="T3524" i="1"/>
  <c r="P3524" i="1"/>
  <c r="J3524" i="1"/>
  <c r="G3524" i="1"/>
  <c r="F3524" i="1"/>
  <c r="B3524" i="1"/>
  <c r="W3523" i="1"/>
  <c r="T3523" i="1"/>
  <c r="P3523" i="1"/>
  <c r="J3523" i="1"/>
  <c r="G3523" i="1"/>
  <c r="F3523" i="1"/>
  <c r="B3523" i="1"/>
  <c r="W3522" i="1"/>
  <c r="T3522" i="1"/>
  <c r="P3522" i="1"/>
  <c r="J3522" i="1"/>
  <c r="G3522" i="1"/>
  <c r="F3522" i="1"/>
  <c r="B3522" i="1"/>
  <c r="W3521" i="1"/>
  <c r="T3521" i="1"/>
  <c r="P3521" i="1"/>
  <c r="J3521" i="1"/>
  <c r="G3521" i="1"/>
  <c r="F3521" i="1"/>
  <c r="B3521" i="1"/>
  <c r="W3520" i="1"/>
  <c r="T3520" i="1"/>
  <c r="P3520" i="1"/>
  <c r="J3520" i="1"/>
  <c r="G3520" i="1"/>
  <c r="F3520" i="1"/>
  <c r="B3520" i="1"/>
  <c r="W3519" i="1"/>
  <c r="T3519" i="1"/>
  <c r="P3519" i="1"/>
  <c r="J3519" i="1"/>
  <c r="G3519" i="1"/>
  <c r="F3519" i="1"/>
  <c r="B3519" i="1"/>
  <c r="W3518" i="1"/>
  <c r="T3518" i="1"/>
  <c r="P3518" i="1"/>
  <c r="J3518" i="1"/>
  <c r="G3518" i="1"/>
  <c r="F3518" i="1"/>
  <c r="B3518" i="1"/>
  <c r="W3517" i="1"/>
  <c r="T3517" i="1"/>
  <c r="P3517" i="1"/>
  <c r="J3517" i="1"/>
  <c r="G3517" i="1"/>
  <c r="F3517" i="1"/>
  <c r="B3517" i="1"/>
  <c r="W3516" i="1"/>
  <c r="T3516" i="1"/>
  <c r="P3516" i="1"/>
  <c r="J3516" i="1"/>
  <c r="G3516" i="1"/>
  <c r="F3516" i="1"/>
  <c r="B3516" i="1"/>
  <c r="W3515" i="1"/>
  <c r="T3515" i="1"/>
  <c r="P3515" i="1"/>
  <c r="J3515" i="1"/>
  <c r="G3515" i="1"/>
  <c r="F3515" i="1"/>
  <c r="B3515" i="1"/>
  <c r="W3514" i="1"/>
  <c r="T3514" i="1"/>
  <c r="P3514" i="1"/>
  <c r="J3514" i="1"/>
  <c r="G3514" i="1"/>
  <c r="F3514" i="1"/>
  <c r="B3514" i="1"/>
  <c r="W3513" i="1"/>
  <c r="T3513" i="1"/>
  <c r="P3513" i="1"/>
  <c r="J3513" i="1"/>
  <c r="G3513" i="1"/>
  <c r="F3513" i="1"/>
  <c r="B3513" i="1"/>
  <c r="W3512" i="1"/>
  <c r="T3512" i="1"/>
  <c r="P3512" i="1"/>
  <c r="J3512" i="1"/>
  <c r="G3512" i="1"/>
  <c r="F3512" i="1"/>
  <c r="B3512" i="1"/>
  <c r="W3511" i="1"/>
  <c r="T3511" i="1"/>
  <c r="P3511" i="1"/>
  <c r="J3511" i="1"/>
  <c r="G3511" i="1"/>
  <c r="F3511" i="1"/>
  <c r="B3511" i="1"/>
  <c r="W3510" i="1"/>
  <c r="T3510" i="1"/>
  <c r="P3510" i="1"/>
  <c r="J3510" i="1"/>
  <c r="G3510" i="1"/>
  <c r="F3510" i="1"/>
  <c r="B3510" i="1"/>
  <c r="W3509" i="1"/>
  <c r="T3509" i="1"/>
  <c r="P3509" i="1"/>
  <c r="J3509" i="1"/>
  <c r="G3509" i="1"/>
  <c r="F3509" i="1"/>
  <c r="B3509" i="1"/>
  <c r="W3508" i="1"/>
  <c r="T3508" i="1"/>
  <c r="P3508" i="1"/>
  <c r="J3508" i="1"/>
  <c r="G3508" i="1"/>
  <c r="F3508" i="1"/>
  <c r="B3508" i="1"/>
  <c r="W3507" i="1"/>
  <c r="T3507" i="1"/>
  <c r="P3507" i="1"/>
  <c r="J3507" i="1"/>
  <c r="G3507" i="1"/>
  <c r="F3507" i="1"/>
  <c r="B3507" i="1"/>
  <c r="W3506" i="1"/>
  <c r="T3506" i="1"/>
  <c r="P3506" i="1"/>
  <c r="J3506" i="1"/>
  <c r="G3506" i="1"/>
  <c r="F3506" i="1"/>
  <c r="B3506" i="1"/>
  <c r="W3505" i="1"/>
  <c r="T3505" i="1"/>
  <c r="P3505" i="1"/>
  <c r="J3505" i="1"/>
  <c r="G3505" i="1"/>
  <c r="F3505" i="1"/>
  <c r="B3505" i="1"/>
  <c r="W3504" i="1"/>
  <c r="T3504" i="1"/>
  <c r="P3504" i="1"/>
  <c r="J3504" i="1"/>
  <c r="G3504" i="1"/>
  <c r="F3504" i="1"/>
  <c r="B3504" i="1"/>
  <c r="W3503" i="1"/>
  <c r="T3503" i="1"/>
  <c r="P3503" i="1"/>
  <c r="J3503" i="1"/>
  <c r="G3503" i="1"/>
  <c r="F3503" i="1"/>
  <c r="B3503" i="1"/>
  <c r="W3502" i="1"/>
  <c r="T3502" i="1"/>
  <c r="P3502" i="1"/>
  <c r="J3502" i="1"/>
  <c r="G3502" i="1"/>
  <c r="F3502" i="1"/>
  <c r="B3502" i="1"/>
  <c r="W3501" i="1"/>
  <c r="T3501" i="1"/>
  <c r="P3501" i="1"/>
  <c r="J3501" i="1"/>
  <c r="G3501" i="1"/>
  <c r="F3501" i="1"/>
  <c r="B3501" i="1"/>
  <c r="W3500" i="1"/>
  <c r="T3500" i="1"/>
  <c r="P3500" i="1"/>
  <c r="J3500" i="1"/>
  <c r="G3500" i="1"/>
  <c r="F3500" i="1"/>
  <c r="B3500" i="1"/>
  <c r="W3499" i="1"/>
  <c r="T3499" i="1"/>
  <c r="P3499" i="1"/>
  <c r="J3499" i="1"/>
  <c r="G3499" i="1"/>
  <c r="F3499" i="1"/>
  <c r="B3499" i="1"/>
  <c r="W3498" i="1"/>
  <c r="T3498" i="1"/>
  <c r="P3498" i="1"/>
  <c r="J3498" i="1"/>
  <c r="G3498" i="1"/>
  <c r="F3498" i="1"/>
  <c r="B3498" i="1"/>
  <c r="W3497" i="1"/>
  <c r="T3497" i="1"/>
  <c r="P3497" i="1"/>
  <c r="J3497" i="1"/>
  <c r="G3497" i="1"/>
  <c r="F3497" i="1"/>
  <c r="B3497" i="1"/>
  <c r="W3496" i="1"/>
  <c r="T3496" i="1"/>
  <c r="P3496" i="1"/>
  <c r="J3496" i="1"/>
  <c r="G3496" i="1"/>
  <c r="F3496" i="1"/>
  <c r="B3496" i="1"/>
  <c r="W3495" i="1"/>
  <c r="T3495" i="1"/>
  <c r="P3495" i="1"/>
  <c r="J3495" i="1"/>
  <c r="G3495" i="1"/>
  <c r="F3495" i="1"/>
  <c r="B3495" i="1"/>
  <c r="W3494" i="1"/>
  <c r="T3494" i="1"/>
  <c r="P3494" i="1"/>
  <c r="J3494" i="1"/>
  <c r="G3494" i="1"/>
  <c r="F3494" i="1"/>
  <c r="B3494" i="1"/>
  <c r="W3493" i="1"/>
  <c r="T3493" i="1"/>
  <c r="P3493" i="1"/>
  <c r="J3493" i="1"/>
  <c r="G3493" i="1"/>
  <c r="F3493" i="1"/>
  <c r="B3493" i="1"/>
  <c r="W3492" i="1"/>
  <c r="T3492" i="1"/>
  <c r="P3492" i="1"/>
  <c r="J3492" i="1"/>
  <c r="G3492" i="1"/>
  <c r="F3492" i="1"/>
  <c r="B3492" i="1"/>
  <c r="W3491" i="1"/>
  <c r="T3491" i="1"/>
  <c r="P3491" i="1"/>
  <c r="J3491" i="1"/>
  <c r="G3491" i="1"/>
  <c r="F3491" i="1"/>
  <c r="B3491" i="1"/>
  <c r="W3490" i="1"/>
  <c r="T3490" i="1"/>
  <c r="P3490" i="1"/>
  <c r="J3490" i="1"/>
  <c r="G3490" i="1"/>
  <c r="F3490" i="1"/>
  <c r="B3490" i="1"/>
  <c r="W3489" i="1"/>
  <c r="T3489" i="1"/>
  <c r="P3489" i="1"/>
  <c r="J3489" i="1"/>
  <c r="G3489" i="1"/>
  <c r="F3489" i="1"/>
  <c r="B3489" i="1"/>
  <c r="W3488" i="1"/>
  <c r="T3488" i="1"/>
  <c r="P3488" i="1"/>
  <c r="J3488" i="1"/>
  <c r="G3488" i="1"/>
  <c r="F3488" i="1"/>
  <c r="B3488" i="1"/>
  <c r="W3487" i="1"/>
  <c r="T3487" i="1"/>
  <c r="P3487" i="1"/>
  <c r="J3487" i="1"/>
  <c r="G3487" i="1"/>
  <c r="F3487" i="1"/>
  <c r="B3487" i="1"/>
  <c r="W3486" i="1"/>
  <c r="T3486" i="1"/>
  <c r="P3486" i="1"/>
  <c r="J3486" i="1"/>
  <c r="G3486" i="1"/>
  <c r="F3486" i="1"/>
  <c r="B3486" i="1"/>
  <c r="W3485" i="1"/>
  <c r="T3485" i="1"/>
  <c r="P3485" i="1"/>
  <c r="J3485" i="1"/>
  <c r="G3485" i="1"/>
  <c r="F3485" i="1"/>
  <c r="B3485" i="1"/>
  <c r="W3484" i="1"/>
  <c r="T3484" i="1"/>
  <c r="P3484" i="1"/>
  <c r="J3484" i="1"/>
  <c r="G3484" i="1"/>
  <c r="F3484" i="1"/>
  <c r="B3484" i="1"/>
  <c r="W3483" i="1"/>
  <c r="T3483" i="1"/>
  <c r="P3483" i="1"/>
  <c r="J3483" i="1"/>
  <c r="G3483" i="1"/>
  <c r="F3483" i="1"/>
  <c r="B3483" i="1"/>
  <c r="W3482" i="1"/>
  <c r="T3482" i="1"/>
  <c r="P3482" i="1"/>
  <c r="J3482" i="1"/>
  <c r="G3482" i="1"/>
  <c r="F3482" i="1"/>
  <c r="B3482" i="1"/>
  <c r="W3481" i="1"/>
  <c r="T3481" i="1"/>
  <c r="P3481" i="1"/>
  <c r="J3481" i="1"/>
  <c r="G3481" i="1"/>
  <c r="F3481" i="1"/>
  <c r="B3481" i="1"/>
  <c r="W3480" i="1"/>
  <c r="T3480" i="1"/>
  <c r="P3480" i="1"/>
  <c r="J3480" i="1"/>
  <c r="G3480" i="1"/>
  <c r="F3480" i="1"/>
  <c r="B3480" i="1"/>
  <c r="W3479" i="1"/>
  <c r="T3479" i="1"/>
  <c r="P3479" i="1"/>
  <c r="J3479" i="1"/>
  <c r="G3479" i="1"/>
  <c r="F3479" i="1"/>
  <c r="B3479" i="1"/>
  <c r="W3478" i="1"/>
  <c r="T3478" i="1"/>
  <c r="P3478" i="1"/>
  <c r="J3478" i="1"/>
  <c r="G3478" i="1"/>
  <c r="F3478" i="1"/>
  <c r="B3478" i="1"/>
  <c r="W3477" i="1"/>
  <c r="T3477" i="1"/>
  <c r="P3477" i="1"/>
  <c r="J3477" i="1"/>
  <c r="G3477" i="1"/>
  <c r="F3477" i="1"/>
  <c r="B3477" i="1"/>
  <c r="W3476" i="1"/>
  <c r="T3476" i="1"/>
  <c r="P3476" i="1"/>
  <c r="J3476" i="1"/>
  <c r="G3476" i="1"/>
  <c r="F3476" i="1"/>
  <c r="B3476" i="1"/>
  <c r="W3475" i="1"/>
  <c r="T3475" i="1"/>
  <c r="P3475" i="1"/>
  <c r="J3475" i="1"/>
  <c r="G3475" i="1"/>
  <c r="F3475" i="1"/>
  <c r="B3475" i="1"/>
  <c r="W3474" i="1"/>
  <c r="T3474" i="1"/>
  <c r="P3474" i="1"/>
  <c r="J3474" i="1"/>
  <c r="G3474" i="1"/>
  <c r="F3474" i="1"/>
  <c r="B3474" i="1"/>
  <c r="W3473" i="1"/>
  <c r="T3473" i="1"/>
  <c r="P3473" i="1"/>
  <c r="J3473" i="1"/>
  <c r="G3473" i="1"/>
  <c r="F3473" i="1"/>
  <c r="B3473" i="1"/>
  <c r="W3472" i="1"/>
  <c r="T3472" i="1"/>
  <c r="P3472" i="1"/>
  <c r="J3472" i="1"/>
  <c r="G3472" i="1"/>
  <c r="F3472" i="1"/>
  <c r="B3472" i="1"/>
  <c r="W3471" i="1"/>
  <c r="T3471" i="1"/>
  <c r="P3471" i="1"/>
  <c r="J3471" i="1"/>
  <c r="G3471" i="1"/>
  <c r="F3471" i="1"/>
  <c r="B3471" i="1"/>
  <c r="W3470" i="1"/>
  <c r="T3470" i="1"/>
  <c r="P3470" i="1"/>
  <c r="J3470" i="1"/>
  <c r="G3470" i="1"/>
  <c r="F3470" i="1"/>
  <c r="B3470" i="1"/>
  <c r="W3469" i="1"/>
  <c r="T3469" i="1"/>
  <c r="P3469" i="1"/>
  <c r="J3469" i="1"/>
  <c r="G3469" i="1"/>
  <c r="F3469" i="1"/>
  <c r="B3469" i="1"/>
  <c r="W3468" i="1"/>
  <c r="T3468" i="1"/>
  <c r="P3468" i="1"/>
  <c r="J3468" i="1"/>
  <c r="G3468" i="1"/>
  <c r="F3468" i="1"/>
  <c r="B3468" i="1"/>
  <c r="W3467" i="1"/>
  <c r="T3467" i="1"/>
  <c r="P3467" i="1"/>
  <c r="J3467" i="1"/>
  <c r="G3467" i="1"/>
  <c r="F3467" i="1"/>
  <c r="B3467" i="1"/>
  <c r="W3466" i="1"/>
  <c r="T3466" i="1"/>
  <c r="P3466" i="1"/>
  <c r="J3466" i="1"/>
  <c r="G3466" i="1"/>
  <c r="F3466" i="1"/>
  <c r="B3466" i="1"/>
  <c r="W3465" i="1"/>
  <c r="T3465" i="1"/>
  <c r="P3465" i="1"/>
  <c r="J3465" i="1"/>
  <c r="G3465" i="1"/>
  <c r="F3465" i="1"/>
  <c r="B3465" i="1"/>
  <c r="W3464" i="1"/>
  <c r="T3464" i="1"/>
  <c r="P3464" i="1"/>
  <c r="J3464" i="1"/>
  <c r="G3464" i="1"/>
  <c r="F3464" i="1"/>
  <c r="B3464" i="1"/>
  <c r="W3463" i="1"/>
  <c r="T3463" i="1"/>
  <c r="P3463" i="1"/>
  <c r="J3463" i="1"/>
  <c r="G3463" i="1"/>
  <c r="F3463" i="1"/>
  <c r="B3463" i="1"/>
  <c r="W3462" i="1"/>
  <c r="T3462" i="1"/>
  <c r="P3462" i="1"/>
  <c r="J3462" i="1"/>
  <c r="G3462" i="1"/>
  <c r="F3462" i="1"/>
  <c r="B3462" i="1"/>
  <c r="W3461" i="1"/>
  <c r="T3461" i="1"/>
  <c r="P3461" i="1"/>
  <c r="J3461" i="1"/>
  <c r="G3461" i="1"/>
  <c r="F3461" i="1"/>
  <c r="B3461" i="1"/>
  <c r="W3460" i="1"/>
  <c r="T3460" i="1"/>
  <c r="P3460" i="1"/>
  <c r="J3460" i="1"/>
  <c r="G3460" i="1"/>
  <c r="F3460" i="1"/>
  <c r="B3460" i="1"/>
  <c r="W3459" i="1"/>
  <c r="T3459" i="1"/>
  <c r="P3459" i="1"/>
  <c r="J3459" i="1"/>
  <c r="G3459" i="1"/>
  <c r="F3459" i="1"/>
  <c r="B3459" i="1"/>
  <c r="W3458" i="1"/>
  <c r="T3458" i="1"/>
  <c r="P3458" i="1"/>
  <c r="J3458" i="1"/>
  <c r="G3458" i="1"/>
  <c r="F3458" i="1"/>
  <c r="B3458" i="1"/>
  <c r="W3457" i="1"/>
  <c r="T3457" i="1"/>
  <c r="P3457" i="1"/>
  <c r="J3457" i="1"/>
  <c r="G3457" i="1"/>
  <c r="F3457" i="1"/>
  <c r="B3457" i="1"/>
  <c r="W3456" i="1"/>
  <c r="T3456" i="1"/>
  <c r="P3456" i="1"/>
  <c r="J3456" i="1"/>
  <c r="G3456" i="1"/>
  <c r="F3456" i="1"/>
  <c r="B3456" i="1"/>
  <c r="W3455" i="1"/>
  <c r="T3455" i="1"/>
  <c r="P3455" i="1"/>
  <c r="J3455" i="1"/>
  <c r="G3455" i="1"/>
  <c r="F3455" i="1"/>
  <c r="B3455" i="1"/>
  <c r="W3454" i="1"/>
  <c r="T3454" i="1"/>
  <c r="P3454" i="1"/>
  <c r="J3454" i="1"/>
  <c r="G3454" i="1"/>
  <c r="F3454" i="1"/>
  <c r="B3454" i="1"/>
  <c r="W3453" i="1"/>
  <c r="T3453" i="1"/>
  <c r="P3453" i="1"/>
  <c r="J3453" i="1"/>
  <c r="G3453" i="1"/>
  <c r="F3453" i="1"/>
  <c r="B3453" i="1"/>
  <c r="W3452" i="1"/>
  <c r="T3452" i="1"/>
  <c r="P3452" i="1"/>
  <c r="J3452" i="1"/>
  <c r="G3452" i="1"/>
  <c r="F3452" i="1"/>
  <c r="B3452" i="1"/>
  <c r="W3451" i="1"/>
  <c r="T3451" i="1"/>
  <c r="P3451" i="1"/>
  <c r="J3451" i="1"/>
  <c r="G3451" i="1"/>
  <c r="F3451" i="1"/>
  <c r="B3451" i="1"/>
  <c r="W3450" i="1"/>
  <c r="T3450" i="1"/>
  <c r="P3450" i="1"/>
  <c r="J3450" i="1"/>
  <c r="G3450" i="1"/>
  <c r="F3450" i="1"/>
  <c r="B3450" i="1"/>
  <c r="W3449" i="1"/>
  <c r="T3449" i="1"/>
  <c r="P3449" i="1"/>
  <c r="J3449" i="1"/>
  <c r="G3449" i="1"/>
  <c r="F3449" i="1"/>
  <c r="B3449" i="1"/>
  <c r="W3448" i="1"/>
  <c r="T3448" i="1"/>
  <c r="P3448" i="1"/>
  <c r="J3448" i="1"/>
  <c r="G3448" i="1"/>
  <c r="F3448" i="1"/>
  <c r="B3448" i="1"/>
  <c r="W3447" i="1"/>
  <c r="T3447" i="1"/>
  <c r="P3447" i="1"/>
  <c r="J3447" i="1"/>
  <c r="G3447" i="1"/>
  <c r="F3447" i="1"/>
  <c r="B3447" i="1"/>
  <c r="W3446" i="1"/>
  <c r="T3446" i="1"/>
  <c r="P3446" i="1"/>
  <c r="J3446" i="1"/>
  <c r="G3446" i="1"/>
  <c r="F3446" i="1"/>
  <c r="B3446" i="1"/>
  <c r="W3445" i="1"/>
  <c r="T3445" i="1"/>
  <c r="P3445" i="1"/>
  <c r="J3445" i="1"/>
  <c r="G3445" i="1"/>
  <c r="F3445" i="1"/>
  <c r="B3445" i="1"/>
  <c r="W3444" i="1"/>
  <c r="T3444" i="1"/>
  <c r="P3444" i="1"/>
  <c r="J3444" i="1"/>
  <c r="G3444" i="1"/>
  <c r="F3444" i="1"/>
  <c r="B3444" i="1"/>
  <c r="W3443" i="1"/>
  <c r="T3443" i="1"/>
  <c r="P3443" i="1"/>
  <c r="J3443" i="1"/>
  <c r="G3443" i="1"/>
  <c r="F3443" i="1"/>
  <c r="B3443" i="1"/>
  <c r="W3442" i="1"/>
  <c r="T3442" i="1"/>
  <c r="P3442" i="1"/>
  <c r="J3442" i="1"/>
  <c r="G3442" i="1"/>
  <c r="F3442" i="1"/>
  <c r="B3442" i="1"/>
  <c r="W3441" i="1"/>
  <c r="T3441" i="1"/>
  <c r="P3441" i="1"/>
  <c r="J3441" i="1"/>
  <c r="G3441" i="1"/>
  <c r="F3441" i="1"/>
  <c r="B3441" i="1"/>
  <c r="W3440" i="1"/>
  <c r="T3440" i="1"/>
  <c r="P3440" i="1"/>
  <c r="J3440" i="1"/>
  <c r="G3440" i="1"/>
  <c r="F3440" i="1"/>
  <c r="B3440" i="1"/>
  <c r="W3439" i="1"/>
  <c r="T3439" i="1"/>
  <c r="P3439" i="1"/>
  <c r="J3439" i="1"/>
  <c r="G3439" i="1"/>
  <c r="F3439" i="1"/>
  <c r="B3439" i="1"/>
  <c r="W3438" i="1"/>
  <c r="T3438" i="1"/>
  <c r="P3438" i="1"/>
  <c r="J3438" i="1"/>
  <c r="G3438" i="1"/>
  <c r="F3438" i="1"/>
  <c r="B3438" i="1"/>
  <c r="W3437" i="1"/>
  <c r="T3437" i="1"/>
  <c r="P3437" i="1"/>
  <c r="J3437" i="1"/>
  <c r="G3437" i="1"/>
  <c r="F3437" i="1"/>
  <c r="B3437" i="1"/>
  <c r="W3436" i="1"/>
  <c r="T3436" i="1"/>
  <c r="P3436" i="1"/>
  <c r="J3436" i="1"/>
  <c r="G3436" i="1"/>
  <c r="F3436" i="1"/>
  <c r="B3436" i="1"/>
  <c r="W3435" i="1"/>
  <c r="T3435" i="1"/>
  <c r="P3435" i="1"/>
  <c r="J3435" i="1"/>
  <c r="G3435" i="1"/>
  <c r="F3435" i="1"/>
  <c r="B3435" i="1"/>
  <c r="W3434" i="1"/>
  <c r="T3434" i="1"/>
  <c r="P3434" i="1"/>
  <c r="J3434" i="1"/>
  <c r="G3434" i="1"/>
  <c r="F3434" i="1"/>
  <c r="B3434" i="1"/>
  <c r="W3433" i="1"/>
  <c r="T3433" i="1"/>
  <c r="P3433" i="1"/>
  <c r="J3433" i="1"/>
  <c r="G3433" i="1"/>
  <c r="F3433" i="1"/>
  <c r="B3433" i="1"/>
  <c r="W3432" i="1"/>
  <c r="T3432" i="1"/>
  <c r="P3432" i="1"/>
  <c r="J3432" i="1"/>
  <c r="G3432" i="1"/>
  <c r="F3432" i="1"/>
  <c r="B3432" i="1"/>
  <c r="W3431" i="1"/>
  <c r="T3431" i="1"/>
  <c r="P3431" i="1"/>
  <c r="J3431" i="1"/>
  <c r="G3431" i="1"/>
  <c r="F3431" i="1"/>
  <c r="B3431" i="1"/>
  <c r="W3430" i="1"/>
  <c r="T3430" i="1"/>
  <c r="P3430" i="1"/>
  <c r="J3430" i="1"/>
  <c r="G3430" i="1"/>
  <c r="F3430" i="1"/>
  <c r="B3430" i="1"/>
  <c r="W3429" i="1"/>
  <c r="T3429" i="1"/>
  <c r="P3429" i="1"/>
  <c r="J3429" i="1"/>
  <c r="G3429" i="1"/>
  <c r="F3429" i="1"/>
  <c r="B3429" i="1"/>
  <c r="W3428" i="1"/>
  <c r="T3428" i="1"/>
  <c r="P3428" i="1"/>
  <c r="J3428" i="1"/>
  <c r="G3428" i="1"/>
  <c r="F3428" i="1"/>
  <c r="B3428" i="1"/>
  <c r="W3427" i="1"/>
  <c r="T3427" i="1"/>
  <c r="P3427" i="1"/>
  <c r="J3427" i="1"/>
  <c r="G3427" i="1"/>
  <c r="F3427" i="1"/>
  <c r="B3427" i="1"/>
  <c r="W3426" i="1"/>
  <c r="T3426" i="1"/>
  <c r="P3426" i="1"/>
  <c r="J3426" i="1"/>
  <c r="G3426" i="1"/>
  <c r="F3426" i="1"/>
  <c r="B3426" i="1"/>
  <c r="W3425" i="1"/>
  <c r="T3425" i="1"/>
  <c r="P3425" i="1"/>
  <c r="J3425" i="1"/>
  <c r="G3425" i="1"/>
  <c r="F3425" i="1"/>
  <c r="B3425" i="1"/>
  <c r="W3424" i="1"/>
  <c r="T3424" i="1"/>
  <c r="P3424" i="1"/>
  <c r="J3424" i="1"/>
  <c r="G3424" i="1"/>
  <c r="F3424" i="1"/>
  <c r="B3424" i="1"/>
  <c r="W3423" i="1"/>
  <c r="T3423" i="1"/>
  <c r="P3423" i="1"/>
  <c r="J3423" i="1"/>
  <c r="G3423" i="1"/>
  <c r="F3423" i="1"/>
  <c r="B3423" i="1"/>
  <c r="W3422" i="1"/>
  <c r="T3422" i="1"/>
  <c r="P3422" i="1"/>
  <c r="J3422" i="1"/>
  <c r="G3422" i="1"/>
  <c r="F3422" i="1"/>
  <c r="B3422" i="1"/>
  <c r="W3421" i="1"/>
  <c r="T3421" i="1"/>
  <c r="P3421" i="1"/>
  <c r="J3421" i="1"/>
  <c r="G3421" i="1"/>
  <c r="F3421" i="1"/>
  <c r="B3421" i="1"/>
  <c r="W3420" i="1"/>
  <c r="T3420" i="1"/>
  <c r="P3420" i="1"/>
  <c r="J3420" i="1"/>
  <c r="G3420" i="1"/>
  <c r="F3420" i="1"/>
  <c r="B3420" i="1"/>
  <c r="W3419" i="1"/>
  <c r="T3419" i="1"/>
  <c r="P3419" i="1"/>
  <c r="J3419" i="1"/>
  <c r="G3419" i="1"/>
  <c r="F3419" i="1"/>
  <c r="B3419" i="1"/>
  <c r="W3418" i="1"/>
  <c r="T3418" i="1"/>
  <c r="P3418" i="1"/>
  <c r="J3418" i="1"/>
  <c r="G3418" i="1"/>
  <c r="F3418" i="1"/>
  <c r="B3418" i="1"/>
  <c r="W3417" i="1"/>
  <c r="T3417" i="1"/>
  <c r="P3417" i="1"/>
  <c r="J3417" i="1"/>
  <c r="G3417" i="1"/>
  <c r="F3417" i="1"/>
  <c r="B3417" i="1"/>
  <c r="W3416" i="1"/>
  <c r="T3416" i="1"/>
  <c r="P3416" i="1"/>
  <c r="J3416" i="1"/>
  <c r="G3416" i="1"/>
  <c r="F3416" i="1"/>
  <c r="B3416" i="1"/>
  <c r="W3415" i="1"/>
  <c r="T3415" i="1"/>
  <c r="P3415" i="1"/>
  <c r="J3415" i="1"/>
  <c r="G3415" i="1"/>
  <c r="F3415" i="1"/>
  <c r="B3415" i="1"/>
  <c r="W3414" i="1"/>
  <c r="T3414" i="1"/>
  <c r="P3414" i="1"/>
  <c r="J3414" i="1"/>
  <c r="G3414" i="1"/>
  <c r="F3414" i="1"/>
  <c r="B3414" i="1"/>
  <c r="W3413" i="1"/>
  <c r="T3413" i="1"/>
  <c r="P3413" i="1"/>
  <c r="J3413" i="1"/>
  <c r="G3413" i="1"/>
  <c r="F3413" i="1"/>
  <c r="B3413" i="1"/>
  <c r="W3412" i="1"/>
  <c r="T3412" i="1"/>
  <c r="P3412" i="1"/>
  <c r="J3412" i="1"/>
  <c r="G3412" i="1"/>
  <c r="F3412" i="1"/>
  <c r="B3412" i="1"/>
  <c r="W3411" i="1"/>
  <c r="T3411" i="1"/>
  <c r="P3411" i="1"/>
  <c r="J3411" i="1"/>
  <c r="G3411" i="1"/>
  <c r="F3411" i="1"/>
  <c r="B3411" i="1"/>
  <c r="W3410" i="1"/>
  <c r="T3410" i="1"/>
  <c r="P3410" i="1"/>
  <c r="J3410" i="1"/>
  <c r="G3410" i="1"/>
  <c r="F3410" i="1"/>
  <c r="B3410" i="1"/>
  <c r="W3409" i="1"/>
  <c r="T3409" i="1"/>
  <c r="P3409" i="1"/>
  <c r="J3409" i="1"/>
  <c r="G3409" i="1"/>
  <c r="F3409" i="1"/>
  <c r="B3409" i="1"/>
  <c r="W3408" i="1"/>
  <c r="T3408" i="1"/>
  <c r="P3408" i="1"/>
  <c r="J3408" i="1"/>
  <c r="G3408" i="1"/>
  <c r="F3408" i="1"/>
  <c r="B3408" i="1"/>
  <c r="W3407" i="1"/>
  <c r="T3407" i="1"/>
  <c r="P3407" i="1"/>
  <c r="J3407" i="1"/>
  <c r="G3407" i="1"/>
  <c r="F3407" i="1"/>
  <c r="B3407" i="1"/>
  <c r="W3406" i="1"/>
  <c r="T3406" i="1"/>
  <c r="P3406" i="1"/>
  <c r="J3406" i="1"/>
  <c r="G3406" i="1"/>
  <c r="F3406" i="1"/>
  <c r="B3406" i="1"/>
  <c r="W3405" i="1"/>
  <c r="T3405" i="1"/>
  <c r="P3405" i="1"/>
  <c r="J3405" i="1"/>
  <c r="G3405" i="1"/>
  <c r="F3405" i="1"/>
  <c r="B3405" i="1"/>
  <c r="W3404" i="1"/>
  <c r="T3404" i="1"/>
  <c r="P3404" i="1"/>
  <c r="J3404" i="1"/>
  <c r="G3404" i="1"/>
  <c r="F3404" i="1"/>
  <c r="B3404" i="1"/>
  <c r="W3403" i="1"/>
  <c r="T3403" i="1"/>
  <c r="P3403" i="1"/>
  <c r="J3403" i="1"/>
  <c r="G3403" i="1"/>
  <c r="F3403" i="1"/>
  <c r="B3403" i="1"/>
  <c r="W3402" i="1"/>
  <c r="T3402" i="1"/>
  <c r="P3402" i="1"/>
  <c r="J3402" i="1"/>
  <c r="G3402" i="1"/>
  <c r="F3402" i="1"/>
  <c r="B3402" i="1"/>
  <c r="W3401" i="1"/>
  <c r="T3401" i="1"/>
  <c r="P3401" i="1"/>
  <c r="J3401" i="1"/>
  <c r="G3401" i="1"/>
  <c r="F3401" i="1"/>
  <c r="B3401" i="1"/>
  <c r="W3400" i="1"/>
  <c r="T3400" i="1"/>
  <c r="P3400" i="1"/>
  <c r="J3400" i="1"/>
  <c r="G3400" i="1"/>
  <c r="F3400" i="1"/>
  <c r="B3400" i="1"/>
  <c r="W3399" i="1"/>
  <c r="T3399" i="1"/>
  <c r="P3399" i="1"/>
  <c r="J3399" i="1"/>
  <c r="G3399" i="1"/>
  <c r="F3399" i="1"/>
  <c r="B3399" i="1"/>
  <c r="W3398" i="1"/>
  <c r="T3398" i="1"/>
  <c r="P3398" i="1"/>
  <c r="J3398" i="1"/>
  <c r="G3398" i="1"/>
  <c r="F3398" i="1"/>
  <c r="B3398" i="1"/>
  <c r="W3397" i="1"/>
  <c r="T3397" i="1"/>
  <c r="P3397" i="1"/>
  <c r="J3397" i="1"/>
  <c r="G3397" i="1"/>
  <c r="F3397" i="1"/>
  <c r="B3397" i="1"/>
  <c r="W3396" i="1"/>
  <c r="T3396" i="1"/>
  <c r="P3396" i="1"/>
  <c r="J3396" i="1"/>
  <c r="G3396" i="1"/>
  <c r="F3396" i="1"/>
  <c r="B3396" i="1"/>
  <c r="W3395" i="1"/>
  <c r="T3395" i="1"/>
  <c r="P3395" i="1"/>
  <c r="J3395" i="1"/>
  <c r="G3395" i="1"/>
  <c r="F3395" i="1"/>
  <c r="B3395" i="1"/>
  <c r="W3394" i="1"/>
  <c r="T3394" i="1"/>
  <c r="P3394" i="1"/>
  <c r="J3394" i="1"/>
  <c r="G3394" i="1"/>
  <c r="F3394" i="1"/>
  <c r="B3394" i="1"/>
  <c r="W3393" i="1"/>
  <c r="T3393" i="1"/>
  <c r="P3393" i="1"/>
  <c r="J3393" i="1"/>
  <c r="G3393" i="1"/>
  <c r="F3393" i="1"/>
  <c r="B3393" i="1"/>
  <c r="W3392" i="1"/>
  <c r="T3392" i="1"/>
  <c r="P3392" i="1"/>
  <c r="J3392" i="1"/>
  <c r="G3392" i="1"/>
  <c r="F3392" i="1"/>
  <c r="B3392" i="1"/>
  <c r="W3391" i="1"/>
  <c r="T3391" i="1"/>
  <c r="P3391" i="1"/>
  <c r="J3391" i="1"/>
  <c r="G3391" i="1"/>
  <c r="F3391" i="1"/>
  <c r="B3391" i="1"/>
  <c r="W3390" i="1"/>
  <c r="T3390" i="1"/>
  <c r="P3390" i="1"/>
  <c r="J3390" i="1"/>
  <c r="G3390" i="1"/>
  <c r="F3390" i="1"/>
  <c r="B3390" i="1"/>
  <c r="W3389" i="1"/>
  <c r="T3389" i="1"/>
  <c r="P3389" i="1"/>
  <c r="J3389" i="1"/>
  <c r="G3389" i="1"/>
  <c r="F3389" i="1"/>
  <c r="B3389" i="1"/>
  <c r="W3388" i="1"/>
  <c r="T3388" i="1"/>
  <c r="P3388" i="1"/>
  <c r="J3388" i="1"/>
  <c r="G3388" i="1"/>
  <c r="F3388" i="1"/>
  <c r="B3388" i="1"/>
  <c r="W3387" i="1"/>
  <c r="T3387" i="1"/>
  <c r="P3387" i="1"/>
  <c r="J3387" i="1"/>
  <c r="G3387" i="1"/>
  <c r="F3387" i="1"/>
  <c r="B3387" i="1"/>
  <c r="W3386" i="1"/>
  <c r="T3386" i="1"/>
  <c r="P3386" i="1"/>
  <c r="J3386" i="1"/>
  <c r="G3386" i="1"/>
  <c r="F3386" i="1"/>
  <c r="B3386" i="1"/>
  <c r="W3385" i="1"/>
  <c r="T3385" i="1"/>
  <c r="P3385" i="1"/>
  <c r="J3385" i="1"/>
  <c r="G3385" i="1"/>
  <c r="F3385" i="1"/>
  <c r="B3385" i="1"/>
  <c r="W3384" i="1"/>
  <c r="T3384" i="1"/>
  <c r="P3384" i="1"/>
  <c r="J3384" i="1"/>
  <c r="G3384" i="1"/>
  <c r="F3384" i="1"/>
  <c r="B3384" i="1"/>
  <c r="W3383" i="1"/>
  <c r="T3383" i="1"/>
  <c r="P3383" i="1"/>
  <c r="J3383" i="1"/>
  <c r="G3383" i="1"/>
  <c r="F3383" i="1"/>
  <c r="B3383" i="1"/>
  <c r="W3382" i="1"/>
  <c r="T3382" i="1"/>
  <c r="P3382" i="1"/>
  <c r="J3382" i="1"/>
  <c r="G3382" i="1"/>
  <c r="F3382" i="1"/>
  <c r="B3382" i="1"/>
  <c r="W3381" i="1"/>
  <c r="T3381" i="1"/>
  <c r="P3381" i="1"/>
  <c r="J3381" i="1"/>
  <c r="G3381" i="1"/>
  <c r="F3381" i="1"/>
  <c r="B3381" i="1"/>
  <c r="W3380" i="1"/>
  <c r="T3380" i="1"/>
  <c r="P3380" i="1"/>
  <c r="J3380" i="1"/>
  <c r="G3380" i="1"/>
  <c r="F3380" i="1"/>
  <c r="B3380" i="1"/>
  <c r="W3379" i="1"/>
  <c r="T3379" i="1"/>
  <c r="P3379" i="1"/>
  <c r="J3379" i="1"/>
  <c r="G3379" i="1"/>
  <c r="F3379" i="1"/>
  <c r="B3379" i="1"/>
  <c r="W3378" i="1"/>
  <c r="T3378" i="1"/>
  <c r="P3378" i="1"/>
  <c r="J3378" i="1"/>
  <c r="G3378" i="1"/>
  <c r="F3378" i="1"/>
  <c r="B3378" i="1"/>
  <c r="W3377" i="1"/>
  <c r="T3377" i="1"/>
  <c r="P3377" i="1"/>
  <c r="J3377" i="1"/>
  <c r="G3377" i="1"/>
  <c r="F3377" i="1"/>
  <c r="B3377" i="1"/>
  <c r="W3376" i="1"/>
  <c r="T3376" i="1"/>
  <c r="P3376" i="1"/>
  <c r="J3376" i="1"/>
  <c r="G3376" i="1"/>
  <c r="F3376" i="1"/>
  <c r="B3376" i="1"/>
  <c r="W3375" i="1"/>
  <c r="T3375" i="1"/>
  <c r="P3375" i="1"/>
  <c r="J3375" i="1"/>
  <c r="G3375" i="1"/>
  <c r="F3375" i="1"/>
  <c r="B3375" i="1"/>
  <c r="W3374" i="1"/>
  <c r="T3374" i="1"/>
  <c r="P3374" i="1"/>
  <c r="J3374" i="1"/>
  <c r="G3374" i="1"/>
  <c r="F3374" i="1"/>
  <c r="B3374" i="1"/>
  <c r="W3373" i="1"/>
  <c r="T3373" i="1"/>
  <c r="P3373" i="1"/>
  <c r="J3373" i="1"/>
  <c r="G3373" i="1"/>
  <c r="F3373" i="1"/>
  <c r="B3373" i="1"/>
  <c r="W3372" i="1"/>
  <c r="T3372" i="1"/>
  <c r="P3372" i="1"/>
  <c r="J3372" i="1"/>
  <c r="G3372" i="1"/>
  <c r="F3372" i="1"/>
  <c r="B3372" i="1"/>
  <c r="W3371" i="1"/>
  <c r="T3371" i="1"/>
  <c r="P3371" i="1"/>
  <c r="J3371" i="1"/>
  <c r="G3371" i="1"/>
  <c r="F3371" i="1"/>
  <c r="B3371" i="1"/>
  <c r="W3370" i="1"/>
  <c r="T3370" i="1"/>
  <c r="P3370" i="1"/>
  <c r="J3370" i="1"/>
  <c r="G3370" i="1"/>
  <c r="F3370" i="1"/>
  <c r="B3370" i="1"/>
  <c r="W3369" i="1"/>
  <c r="T3369" i="1"/>
  <c r="P3369" i="1"/>
  <c r="J3369" i="1"/>
  <c r="G3369" i="1"/>
  <c r="F3369" i="1"/>
  <c r="B3369" i="1"/>
  <c r="W3368" i="1"/>
  <c r="T3368" i="1"/>
  <c r="P3368" i="1"/>
  <c r="J3368" i="1"/>
  <c r="G3368" i="1"/>
  <c r="F3368" i="1"/>
  <c r="B3368" i="1"/>
  <c r="W3367" i="1"/>
  <c r="T3367" i="1"/>
  <c r="P3367" i="1"/>
  <c r="J3367" i="1"/>
  <c r="G3367" i="1"/>
  <c r="F3367" i="1"/>
  <c r="B3367" i="1"/>
  <c r="W3366" i="1"/>
  <c r="T3366" i="1"/>
  <c r="P3366" i="1"/>
  <c r="J3366" i="1"/>
  <c r="G3366" i="1"/>
  <c r="F3366" i="1"/>
  <c r="B3366" i="1"/>
  <c r="W3365" i="1"/>
  <c r="T3365" i="1"/>
  <c r="P3365" i="1"/>
  <c r="J3365" i="1"/>
  <c r="G3365" i="1"/>
  <c r="F3365" i="1"/>
  <c r="B3365" i="1"/>
  <c r="W3364" i="1"/>
  <c r="T3364" i="1"/>
  <c r="P3364" i="1"/>
  <c r="J3364" i="1"/>
  <c r="G3364" i="1"/>
  <c r="F3364" i="1"/>
  <c r="B3364" i="1"/>
  <c r="W3363" i="1"/>
  <c r="T3363" i="1"/>
  <c r="P3363" i="1"/>
  <c r="J3363" i="1"/>
  <c r="G3363" i="1"/>
  <c r="F3363" i="1"/>
  <c r="B3363" i="1"/>
  <c r="W3362" i="1"/>
  <c r="T3362" i="1"/>
  <c r="P3362" i="1"/>
  <c r="J3362" i="1"/>
  <c r="G3362" i="1"/>
  <c r="F3362" i="1"/>
  <c r="B3362" i="1"/>
  <c r="W3361" i="1"/>
  <c r="T3361" i="1"/>
  <c r="P3361" i="1"/>
  <c r="J3361" i="1"/>
  <c r="G3361" i="1"/>
  <c r="F3361" i="1"/>
  <c r="B3361" i="1"/>
  <c r="W3360" i="1"/>
  <c r="T3360" i="1"/>
  <c r="P3360" i="1"/>
  <c r="J3360" i="1"/>
  <c r="G3360" i="1"/>
  <c r="F3360" i="1"/>
  <c r="B3360" i="1"/>
  <c r="W3359" i="1"/>
  <c r="T3359" i="1"/>
  <c r="P3359" i="1"/>
  <c r="J3359" i="1"/>
  <c r="G3359" i="1"/>
  <c r="F3359" i="1"/>
  <c r="B3359" i="1"/>
  <c r="W3358" i="1"/>
  <c r="T3358" i="1"/>
  <c r="P3358" i="1"/>
  <c r="J3358" i="1"/>
  <c r="G3358" i="1"/>
  <c r="F3358" i="1"/>
  <c r="B3358" i="1"/>
  <c r="W3357" i="1"/>
  <c r="T3357" i="1"/>
  <c r="P3357" i="1"/>
  <c r="J3357" i="1"/>
  <c r="G3357" i="1"/>
  <c r="F3357" i="1"/>
  <c r="B3357" i="1"/>
  <c r="W3356" i="1"/>
  <c r="T3356" i="1"/>
  <c r="P3356" i="1"/>
  <c r="J3356" i="1"/>
  <c r="G3356" i="1"/>
  <c r="F3356" i="1"/>
  <c r="B3356" i="1"/>
  <c r="W3355" i="1"/>
  <c r="T3355" i="1"/>
  <c r="P3355" i="1"/>
  <c r="J3355" i="1"/>
  <c r="G3355" i="1"/>
  <c r="F3355" i="1"/>
  <c r="B3355" i="1"/>
  <c r="W3354" i="1"/>
  <c r="T3354" i="1"/>
  <c r="P3354" i="1"/>
  <c r="J3354" i="1"/>
  <c r="G3354" i="1"/>
  <c r="F3354" i="1"/>
  <c r="B3354" i="1"/>
  <c r="W3353" i="1"/>
  <c r="T3353" i="1"/>
  <c r="P3353" i="1"/>
  <c r="J3353" i="1"/>
  <c r="G3353" i="1"/>
  <c r="F3353" i="1"/>
  <c r="B3353" i="1"/>
  <c r="W3352" i="1"/>
  <c r="T3352" i="1"/>
  <c r="P3352" i="1"/>
  <c r="J3352" i="1"/>
  <c r="G3352" i="1"/>
  <c r="F3352" i="1"/>
  <c r="B3352" i="1"/>
  <c r="W3351" i="1"/>
  <c r="T3351" i="1"/>
  <c r="P3351" i="1"/>
  <c r="J3351" i="1"/>
  <c r="G3351" i="1"/>
  <c r="F3351" i="1"/>
  <c r="B3351" i="1"/>
  <c r="W3350" i="1"/>
  <c r="T3350" i="1"/>
  <c r="P3350" i="1"/>
  <c r="J3350" i="1"/>
  <c r="G3350" i="1"/>
  <c r="F3350" i="1"/>
  <c r="B3350" i="1"/>
  <c r="W3349" i="1"/>
  <c r="T3349" i="1"/>
  <c r="P3349" i="1"/>
  <c r="J3349" i="1"/>
  <c r="G3349" i="1"/>
  <c r="F3349" i="1"/>
  <c r="B3349" i="1"/>
  <c r="W3348" i="1"/>
  <c r="T3348" i="1"/>
  <c r="P3348" i="1"/>
  <c r="J3348" i="1"/>
  <c r="G3348" i="1"/>
  <c r="F3348" i="1"/>
  <c r="B3348" i="1"/>
  <c r="W3347" i="1"/>
  <c r="T3347" i="1"/>
  <c r="P3347" i="1"/>
  <c r="J3347" i="1"/>
  <c r="G3347" i="1"/>
  <c r="F3347" i="1"/>
  <c r="B3347" i="1"/>
  <c r="W3346" i="1"/>
  <c r="T3346" i="1"/>
  <c r="P3346" i="1"/>
  <c r="J3346" i="1"/>
  <c r="G3346" i="1"/>
  <c r="F3346" i="1"/>
  <c r="B3346" i="1"/>
  <c r="W3345" i="1"/>
  <c r="T3345" i="1"/>
  <c r="P3345" i="1"/>
  <c r="J3345" i="1"/>
  <c r="G3345" i="1"/>
  <c r="F3345" i="1"/>
  <c r="B3345" i="1"/>
  <c r="W3344" i="1"/>
  <c r="T3344" i="1"/>
  <c r="P3344" i="1"/>
  <c r="J3344" i="1"/>
  <c r="G3344" i="1"/>
  <c r="F3344" i="1"/>
  <c r="B3344" i="1"/>
  <c r="W3343" i="1"/>
  <c r="T3343" i="1"/>
  <c r="P3343" i="1"/>
  <c r="J3343" i="1"/>
  <c r="G3343" i="1"/>
  <c r="F3343" i="1"/>
  <c r="B3343" i="1"/>
  <c r="W3342" i="1"/>
  <c r="T3342" i="1"/>
  <c r="P3342" i="1"/>
  <c r="J3342" i="1"/>
  <c r="G3342" i="1"/>
  <c r="F3342" i="1"/>
  <c r="B3342" i="1"/>
  <c r="W3341" i="1"/>
  <c r="T3341" i="1"/>
  <c r="P3341" i="1"/>
  <c r="J3341" i="1"/>
  <c r="G3341" i="1"/>
  <c r="F3341" i="1"/>
  <c r="B3341" i="1"/>
  <c r="W3340" i="1"/>
  <c r="T3340" i="1"/>
  <c r="P3340" i="1"/>
  <c r="J3340" i="1"/>
  <c r="G3340" i="1"/>
  <c r="F3340" i="1"/>
  <c r="B3340" i="1"/>
  <c r="W3339" i="1"/>
  <c r="T3339" i="1"/>
  <c r="P3339" i="1"/>
  <c r="J3339" i="1"/>
  <c r="G3339" i="1"/>
  <c r="F3339" i="1"/>
  <c r="B3339" i="1"/>
  <c r="W3338" i="1"/>
  <c r="T3338" i="1"/>
  <c r="P3338" i="1"/>
  <c r="J3338" i="1"/>
  <c r="G3338" i="1"/>
  <c r="F3338" i="1"/>
  <c r="B3338" i="1"/>
  <c r="W3337" i="1"/>
  <c r="T3337" i="1"/>
  <c r="P3337" i="1"/>
  <c r="J3337" i="1"/>
  <c r="G3337" i="1"/>
  <c r="F3337" i="1"/>
  <c r="B3337" i="1"/>
  <c r="W3336" i="1"/>
  <c r="T3336" i="1"/>
  <c r="P3336" i="1"/>
  <c r="J3336" i="1"/>
  <c r="G3336" i="1"/>
  <c r="F3336" i="1"/>
  <c r="B3336" i="1"/>
  <c r="W3335" i="1"/>
  <c r="T3335" i="1"/>
  <c r="P3335" i="1"/>
  <c r="J3335" i="1"/>
  <c r="G3335" i="1"/>
  <c r="F3335" i="1"/>
  <c r="B3335" i="1"/>
  <c r="W3334" i="1"/>
  <c r="T3334" i="1"/>
  <c r="P3334" i="1"/>
  <c r="J3334" i="1"/>
  <c r="G3334" i="1"/>
  <c r="F3334" i="1"/>
  <c r="B3334" i="1"/>
  <c r="W3333" i="1"/>
  <c r="T3333" i="1"/>
  <c r="P3333" i="1"/>
  <c r="J3333" i="1"/>
  <c r="G3333" i="1"/>
  <c r="F3333" i="1"/>
  <c r="B3333" i="1"/>
  <c r="W3332" i="1"/>
  <c r="T3332" i="1"/>
  <c r="P3332" i="1"/>
  <c r="J3332" i="1"/>
  <c r="G3332" i="1"/>
  <c r="F3332" i="1"/>
  <c r="B3332" i="1"/>
  <c r="W3331" i="1"/>
  <c r="T3331" i="1"/>
  <c r="P3331" i="1"/>
  <c r="J3331" i="1"/>
  <c r="G3331" i="1"/>
  <c r="F3331" i="1"/>
  <c r="B3331" i="1"/>
  <c r="W3330" i="1"/>
  <c r="T3330" i="1"/>
  <c r="P3330" i="1"/>
  <c r="J3330" i="1"/>
  <c r="G3330" i="1"/>
  <c r="F3330" i="1"/>
  <c r="B3330" i="1"/>
  <c r="W3329" i="1"/>
  <c r="T3329" i="1"/>
  <c r="P3329" i="1"/>
  <c r="J3329" i="1"/>
  <c r="G3329" i="1"/>
  <c r="F3329" i="1"/>
  <c r="B3329" i="1"/>
  <c r="W3328" i="1"/>
  <c r="T3328" i="1"/>
  <c r="P3328" i="1"/>
  <c r="J3328" i="1"/>
  <c r="G3328" i="1"/>
  <c r="F3328" i="1"/>
  <c r="B3328" i="1"/>
  <c r="W3327" i="1"/>
  <c r="T3327" i="1"/>
  <c r="P3327" i="1"/>
  <c r="J3327" i="1"/>
  <c r="G3327" i="1"/>
  <c r="F3327" i="1"/>
  <c r="B3327" i="1"/>
  <c r="W3326" i="1"/>
  <c r="T3326" i="1"/>
  <c r="P3326" i="1"/>
  <c r="J3326" i="1"/>
  <c r="G3326" i="1"/>
  <c r="F3326" i="1"/>
  <c r="B3326" i="1"/>
  <c r="W3325" i="1"/>
  <c r="T3325" i="1"/>
  <c r="P3325" i="1"/>
  <c r="J3325" i="1"/>
  <c r="G3325" i="1"/>
  <c r="F3325" i="1"/>
  <c r="B3325" i="1"/>
  <c r="W3324" i="1"/>
  <c r="T3324" i="1"/>
  <c r="P3324" i="1"/>
  <c r="J3324" i="1"/>
  <c r="G3324" i="1"/>
  <c r="F3324" i="1"/>
  <c r="B3324" i="1"/>
  <c r="W3323" i="1"/>
  <c r="T3323" i="1"/>
  <c r="P3323" i="1"/>
  <c r="J3323" i="1"/>
  <c r="G3323" i="1"/>
  <c r="F3323" i="1"/>
  <c r="B3323" i="1"/>
  <c r="W3322" i="1"/>
  <c r="T3322" i="1"/>
  <c r="P3322" i="1"/>
  <c r="J3322" i="1"/>
  <c r="G3322" i="1"/>
  <c r="F3322" i="1"/>
  <c r="B3322" i="1"/>
  <c r="W3321" i="1"/>
  <c r="T3321" i="1"/>
  <c r="P3321" i="1"/>
  <c r="J3321" i="1"/>
  <c r="G3321" i="1"/>
  <c r="F3321" i="1"/>
  <c r="B3321" i="1"/>
  <c r="W3320" i="1"/>
  <c r="T3320" i="1"/>
  <c r="P3320" i="1"/>
  <c r="J3320" i="1"/>
  <c r="G3320" i="1"/>
  <c r="F3320" i="1"/>
  <c r="B3320" i="1"/>
  <c r="W3319" i="1"/>
  <c r="T3319" i="1"/>
  <c r="P3319" i="1"/>
  <c r="J3319" i="1"/>
  <c r="G3319" i="1"/>
  <c r="F3319" i="1"/>
  <c r="B3319" i="1"/>
  <c r="W3318" i="1"/>
  <c r="T3318" i="1"/>
  <c r="P3318" i="1"/>
  <c r="J3318" i="1"/>
  <c r="G3318" i="1"/>
  <c r="F3318" i="1"/>
  <c r="B3318" i="1"/>
  <c r="W3317" i="1"/>
  <c r="T3317" i="1"/>
  <c r="P3317" i="1"/>
  <c r="J3317" i="1"/>
  <c r="G3317" i="1"/>
  <c r="F3317" i="1"/>
  <c r="B3317" i="1"/>
  <c r="W3316" i="1"/>
  <c r="T3316" i="1"/>
  <c r="P3316" i="1"/>
  <c r="J3316" i="1"/>
  <c r="G3316" i="1"/>
  <c r="F3316" i="1"/>
  <c r="B3316" i="1"/>
  <c r="W3315" i="1"/>
  <c r="T3315" i="1"/>
  <c r="P3315" i="1"/>
  <c r="J3315" i="1"/>
  <c r="G3315" i="1"/>
  <c r="F3315" i="1"/>
  <c r="B3315" i="1"/>
  <c r="W3314" i="1"/>
  <c r="T3314" i="1"/>
  <c r="P3314" i="1"/>
  <c r="J3314" i="1"/>
  <c r="G3314" i="1"/>
  <c r="F3314" i="1"/>
  <c r="B3314" i="1"/>
  <c r="W3313" i="1"/>
  <c r="T3313" i="1"/>
  <c r="P3313" i="1"/>
  <c r="J3313" i="1"/>
  <c r="G3313" i="1"/>
  <c r="F3313" i="1"/>
  <c r="B3313" i="1"/>
  <c r="W3312" i="1"/>
  <c r="T3312" i="1"/>
  <c r="P3312" i="1"/>
  <c r="J3312" i="1"/>
  <c r="G3312" i="1"/>
  <c r="F3312" i="1"/>
  <c r="B3312" i="1"/>
  <c r="W3311" i="1"/>
  <c r="T3311" i="1"/>
  <c r="P3311" i="1"/>
  <c r="J3311" i="1"/>
  <c r="G3311" i="1"/>
  <c r="F3311" i="1"/>
  <c r="B3311" i="1"/>
  <c r="W3310" i="1"/>
  <c r="T3310" i="1"/>
  <c r="P3310" i="1"/>
  <c r="J3310" i="1"/>
  <c r="G3310" i="1"/>
  <c r="F3310" i="1"/>
  <c r="B3310" i="1"/>
  <c r="W3309" i="1"/>
  <c r="T3309" i="1"/>
  <c r="P3309" i="1"/>
  <c r="J3309" i="1"/>
  <c r="G3309" i="1"/>
  <c r="F3309" i="1"/>
  <c r="B3309" i="1"/>
  <c r="W3308" i="1"/>
  <c r="T3308" i="1"/>
  <c r="P3308" i="1"/>
  <c r="J3308" i="1"/>
  <c r="G3308" i="1"/>
  <c r="F3308" i="1"/>
  <c r="B3308" i="1"/>
  <c r="W3307" i="1"/>
  <c r="T3307" i="1"/>
  <c r="P3307" i="1"/>
  <c r="J3307" i="1"/>
  <c r="G3307" i="1"/>
  <c r="F3307" i="1"/>
  <c r="B3307" i="1"/>
  <c r="W3306" i="1"/>
  <c r="T3306" i="1"/>
  <c r="P3306" i="1"/>
  <c r="J3306" i="1"/>
  <c r="G3306" i="1"/>
  <c r="F3306" i="1"/>
  <c r="B3306" i="1"/>
  <c r="W3305" i="1"/>
  <c r="T3305" i="1"/>
  <c r="P3305" i="1"/>
  <c r="J3305" i="1"/>
  <c r="G3305" i="1"/>
  <c r="F3305" i="1"/>
  <c r="B3305" i="1"/>
  <c r="W3304" i="1"/>
  <c r="T3304" i="1"/>
  <c r="P3304" i="1"/>
  <c r="J3304" i="1"/>
  <c r="G3304" i="1"/>
  <c r="F3304" i="1"/>
  <c r="B3304" i="1"/>
  <c r="W3303" i="1"/>
  <c r="T3303" i="1"/>
  <c r="P3303" i="1"/>
  <c r="J3303" i="1"/>
  <c r="G3303" i="1"/>
  <c r="F3303" i="1"/>
  <c r="B3303" i="1"/>
  <c r="W3302" i="1"/>
  <c r="T3302" i="1"/>
  <c r="P3302" i="1"/>
  <c r="J3302" i="1"/>
  <c r="G3302" i="1"/>
  <c r="F3302" i="1"/>
  <c r="B3302" i="1"/>
  <c r="W3301" i="1"/>
  <c r="T3301" i="1"/>
  <c r="P3301" i="1"/>
  <c r="J3301" i="1"/>
  <c r="G3301" i="1"/>
  <c r="F3301" i="1"/>
  <c r="B3301" i="1"/>
  <c r="W3300" i="1"/>
  <c r="T3300" i="1"/>
  <c r="P3300" i="1"/>
  <c r="J3300" i="1"/>
  <c r="G3300" i="1"/>
  <c r="F3300" i="1"/>
  <c r="B3300" i="1"/>
  <c r="W3299" i="1"/>
  <c r="T3299" i="1"/>
  <c r="P3299" i="1"/>
  <c r="J3299" i="1"/>
  <c r="G3299" i="1"/>
  <c r="F3299" i="1"/>
  <c r="B3299" i="1"/>
  <c r="W3298" i="1"/>
  <c r="T3298" i="1"/>
  <c r="P3298" i="1"/>
  <c r="J3298" i="1"/>
  <c r="G3298" i="1"/>
  <c r="F3298" i="1"/>
  <c r="B3298" i="1"/>
  <c r="W3297" i="1"/>
  <c r="T3297" i="1"/>
  <c r="P3297" i="1"/>
  <c r="J3297" i="1"/>
  <c r="G3297" i="1"/>
  <c r="F3297" i="1"/>
  <c r="B3297" i="1"/>
  <c r="W3296" i="1"/>
  <c r="T3296" i="1"/>
  <c r="P3296" i="1"/>
  <c r="J3296" i="1"/>
  <c r="G3296" i="1"/>
  <c r="F3296" i="1"/>
  <c r="B3296" i="1"/>
  <c r="W3295" i="1"/>
  <c r="T3295" i="1"/>
  <c r="P3295" i="1"/>
  <c r="J3295" i="1"/>
  <c r="G3295" i="1"/>
  <c r="F3295" i="1"/>
  <c r="B3295" i="1"/>
  <c r="W3294" i="1"/>
  <c r="T3294" i="1"/>
  <c r="P3294" i="1"/>
  <c r="J3294" i="1"/>
  <c r="G3294" i="1"/>
  <c r="F3294" i="1"/>
  <c r="B3294" i="1"/>
  <c r="W3293" i="1"/>
  <c r="T3293" i="1"/>
  <c r="P3293" i="1"/>
  <c r="J3293" i="1"/>
  <c r="G3293" i="1"/>
  <c r="F3293" i="1"/>
  <c r="B3293" i="1"/>
  <c r="W3292" i="1"/>
  <c r="T3292" i="1"/>
  <c r="P3292" i="1"/>
  <c r="J3292" i="1"/>
  <c r="G3292" i="1"/>
  <c r="F3292" i="1"/>
  <c r="B3292" i="1"/>
  <c r="W3291" i="1"/>
  <c r="T3291" i="1"/>
  <c r="P3291" i="1"/>
  <c r="J3291" i="1"/>
  <c r="G3291" i="1"/>
  <c r="F3291" i="1"/>
  <c r="B3291" i="1"/>
  <c r="W3290" i="1"/>
  <c r="T3290" i="1"/>
  <c r="P3290" i="1"/>
  <c r="J3290" i="1"/>
  <c r="G3290" i="1"/>
  <c r="F3290" i="1"/>
  <c r="B3290" i="1"/>
  <c r="W3289" i="1"/>
  <c r="T3289" i="1"/>
  <c r="P3289" i="1"/>
  <c r="J3289" i="1"/>
  <c r="G3289" i="1"/>
  <c r="F3289" i="1"/>
  <c r="B3289" i="1"/>
  <c r="W3288" i="1"/>
  <c r="T3288" i="1"/>
  <c r="P3288" i="1"/>
  <c r="J3288" i="1"/>
  <c r="G3288" i="1"/>
  <c r="F3288" i="1"/>
  <c r="B3288" i="1"/>
  <c r="W3287" i="1"/>
  <c r="T3287" i="1"/>
  <c r="P3287" i="1"/>
  <c r="J3287" i="1"/>
  <c r="G3287" i="1"/>
  <c r="F3287" i="1"/>
  <c r="B3287" i="1"/>
  <c r="W3286" i="1"/>
  <c r="T3286" i="1"/>
  <c r="P3286" i="1"/>
  <c r="J3286" i="1"/>
  <c r="G3286" i="1"/>
  <c r="F3286" i="1"/>
  <c r="B3286" i="1"/>
  <c r="W3285" i="1"/>
  <c r="T3285" i="1"/>
  <c r="P3285" i="1"/>
  <c r="J3285" i="1"/>
  <c r="G3285" i="1"/>
  <c r="F3285" i="1"/>
  <c r="B3285" i="1"/>
  <c r="W3284" i="1"/>
  <c r="T3284" i="1"/>
  <c r="P3284" i="1"/>
  <c r="J3284" i="1"/>
  <c r="G3284" i="1"/>
  <c r="F3284" i="1"/>
  <c r="B3284" i="1"/>
  <c r="W3283" i="1"/>
  <c r="T3283" i="1"/>
  <c r="P3283" i="1"/>
  <c r="J3283" i="1"/>
  <c r="G3283" i="1"/>
  <c r="F3283" i="1"/>
  <c r="B3283" i="1"/>
  <c r="W3282" i="1"/>
  <c r="T3282" i="1"/>
  <c r="P3282" i="1"/>
  <c r="J3282" i="1"/>
  <c r="G3282" i="1"/>
  <c r="F3282" i="1"/>
  <c r="B3282" i="1"/>
  <c r="W3281" i="1"/>
  <c r="T3281" i="1"/>
  <c r="P3281" i="1"/>
  <c r="J3281" i="1"/>
  <c r="G3281" i="1"/>
  <c r="F3281" i="1"/>
  <c r="B3281" i="1"/>
  <c r="W3280" i="1"/>
  <c r="T3280" i="1"/>
  <c r="P3280" i="1"/>
  <c r="J3280" i="1"/>
  <c r="G3280" i="1"/>
  <c r="F3280" i="1"/>
  <c r="B3280" i="1"/>
  <c r="W3279" i="1"/>
  <c r="T3279" i="1"/>
  <c r="P3279" i="1"/>
  <c r="J3279" i="1"/>
  <c r="G3279" i="1"/>
  <c r="F3279" i="1"/>
  <c r="B3279" i="1"/>
  <c r="W3278" i="1"/>
  <c r="T3278" i="1"/>
  <c r="P3278" i="1"/>
  <c r="J3278" i="1"/>
  <c r="G3278" i="1"/>
  <c r="F3278" i="1"/>
  <c r="B3278" i="1"/>
  <c r="W3277" i="1"/>
  <c r="T3277" i="1"/>
  <c r="P3277" i="1"/>
  <c r="J3277" i="1"/>
  <c r="G3277" i="1"/>
  <c r="F3277" i="1"/>
  <c r="B3277" i="1"/>
  <c r="W3276" i="1"/>
  <c r="T3276" i="1"/>
  <c r="P3276" i="1"/>
  <c r="J3276" i="1"/>
  <c r="G3276" i="1"/>
  <c r="F3276" i="1"/>
  <c r="B3276" i="1"/>
  <c r="W3275" i="1"/>
  <c r="T3275" i="1"/>
  <c r="P3275" i="1"/>
  <c r="J3275" i="1"/>
  <c r="G3275" i="1"/>
  <c r="F3275" i="1"/>
  <c r="B3275" i="1"/>
  <c r="W3274" i="1"/>
  <c r="T3274" i="1"/>
  <c r="P3274" i="1"/>
  <c r="J3274" i="1"/>
  <c r="G3274" i="1"/>
  <c r="F3274" i="1"/>
  <c r="B3274" i="1"/>
  <c r="W3273" i="1"/>
  <c r="T3273" i="1"/>
  <c r="P3273" i="1"/>
  <c r="J3273" i="1"/>
  <c r="G3273" i="1"/>
  <c r="F3273" i="1"/>
  <c r="B3273" i="1"/>
  <c r="W3272" i="1"/>
  <c r="T3272" i="1"/>
  <c r="P3272" i="1"/>
  <c r="J3272" i="1"/>
  <c r="G3272" i="1"/>
  <c r="F3272" i="1"/>
  <c r="B3272" i="1"/>
  <c r="W3271" i="1"/>
  <c r="T3271" i="1"/>
  <c r="P3271" i="1"/>
  <c r="J3271" i="1"/>
  <c r="G3271" i="1"/>
  <c r="F3271" i="1"/>
  <c r="B3271" i="1"/>
  <c r="W3270" i="1"/>
  <c r="T3270" i="1"/>
  <c r="P3270" i="1"/>
  <c r="J3270" i="1"/>
  <c r="G3270" i="1"/>
  <c r="F3270" i="1"/>
  <c r="B3270" i="1"/>
  <c r="W3269" i="1"/>
  <c r="T3269" i="1"/>
  <c r="P3269" i="1"/>
  <c r="J3269" i="1"/>
  <c r="G3269" i="1"/>
  <c r="F3269" i="1"/>
  <c r="B3269" i="1"/>
  <c r="W3268" i="1"/>
  <c r="T3268" i="1"/>
  <c r="P3268" i="1"/>
  <c r="J3268" i="1"/>
  <c r="G3268" i="1"/>
  <c r="F3268" i="1"/>
  <c r="B3268" i="1"/>
  <c r="W3267" i="1"/>
  <c r="T3267" i="1"/>
  <c r="P3267" i="1"/>
  <c r="J3267" i="1"/>
  <c r="G3267" i="1"/>
  <c r="F3267" i="1"/>
  <c r="B3267" i="1"/>
  <c r="W3266" i="1"/>
  <c r="T3266" i="1"/>
  <c r="P3266" i="1"/>
  <c r="J3266" i="1"/>
  <c r="G3266" i="1"/>
  <c r="F3266" i="1"/>
  <c r="B3266" i="1"/>
  <c r="W3265" i="1"/>
  <c r="T3265" i="1"/>
  <c r="P3265" i="1"/>
  <c r="J3265" i="1"/>
  <c r="G3265" i="1"/>
  <c r="F3265" i="1"/>
  <c r="B3265" i="1"/>
  <c r="W3264" i="1"/>
  <c r="T3264" i="1"/>
  <c r="P3264" i="1"/>
  <c r="J3264" i="1"/>
  <c r="G3264" i="1"/>
  <c r="F3264" i="1"/>
  <c r="B3264" i="1"/>
  <c r="W3263" i="1"/>
  <c r="T3263" i="1"/>
  <c r="P3263" i="1"/>
  <c r="J3263" i="1"/>
  <c r="G3263" i="1"/>
  <c r="F3263" i="1"/>
  <c r="B3263" i="1"/>
  <c r="W3262" i="1"/>
  <c r="T3262" i="1"/>
  <c r="P3262" i="1"/>
  <c r="J3262" i="1"/>
  <c r="G3262" i="1"/>
  <c r="F3262" i="1"/>
  <c r="B3262" i="1"/>
  <c r="W3261" i="1"/>
  <c r="T3261" i="1"/>
  <c r="P3261" i="1"/>
  <c r="J3261" i="1"/>
  <c r="G3261" i="1"/>
  <c r="F3261" i="1"/>
  <c r="B3261" i="1"/>
  <c r="W3260" i="1"/>
  <c r="T3260" i="1"/>
  <c r="P3260" i="1"/>
  <c r="J3260" i="1"/>
  <c r="G3260" i="1"/>
  <c r="F3260" i="1"/>
  <c r="B3260" i="1"/>
  <c r="W3259" i="1"/>
  <c r="T3259" i="1"/>
  <c r="P3259" i="1"/>
  <c r="J3259" i="1"/>
  <c r="G3259" i="1"/>
  <c r="F3259" i="1"/>
  <c r="B3259" i="1"/>
  <c r="W3258" i="1"/>
  <c r="T3258" i="1"/>
  <c r="P3258" i="1"/>
  <c r="J3258" i="1"/>
  <c r="G3258" i="1"/>
  <c r="F3258" i="1"/>
  <c r="B3258" i="1"/>
  <c r="W3257" i="1"/>
  <c r="T3257" i="1"/>
  <c r="P3257" i="1"/>
  <c r="J3257" i="1"/>
  <c r="G3257" i="1"/>
  <c r="F3257" i="1"/>
  <c r="B3257" i="1"/>
  <c r="W3256" i="1"/>
  <c r="T3256" i="1"/>
  <c r="P3256" i="1"/>
  <c r="J3256" i="1"/>
  <c r="G3256" i="1"/>
  <c r="F3256" i="1"/>
  <c r="B3256" i="1"/>
  <c r="W3255" i="1"/>
  <c r="T3255" i="1"/>
  <c r="P3255" i="1"/>
  <c r="J3255" i="1"/>
  <c r="G3255" i="1"/>
  <c r="F3255" i="1"/>
  <c r="B3255" i="1"/>
  <c r="W3254" i="1"/>
  <c r="T3254" i="1"/>
  <c r="P3254" i="1"/>
  <c r="J3254" i="1"/>
  <c r="G3254" i="1"/>
  <c r="F3254" i="1"/>
  <c r="B3254" i="1"/>
  <c r="W3253" i="1"/>
  <c r="T3253" i="1"/>
  <c r="P3253" i="1"/>
  <c r="J3253" i="1"/>
  <c r="G3253" i="1"/>
  <c r="F3253" i="1"/>
  <c r="B3253" i="1"/>
  <c r="W3252" i="1"/>
  <c r="T3252" i="1"/>
  <c r="P3252" i="1"/>
  <c r="J3252" i="1"/>
  <c r="G3252" i="1"/>
  <c r="F3252" i="1"/>
  <c r="B3252" i="1"/>
  <c r="W3251" i="1"/>
  <c r="T3251" i="1"/>
  <c r="P3251" i="1"/>
  <c r="J3251" i="1"/>
  <c r="G3251" i="1"/>
  <c r="F3251" i="1"/>
  <c r="B3251" i="1"/>
  <c r="W3250" i="1"/>
  <c r="T3250" i="1"/>
  <c r="P3250" i="1"/>
  <c r="J3250" i="1"/>
  <c r="G3250" i="1"/>
  <c r="F3250" i="1"/>
  <c r="B3250" i="1"/>
  <c r="W3249" i="1"/>
  <c r="T3249" i="1"/>
  <c r="P3249" i="1"/>
  <c r="J3249" i="1"/>
  <c r="G3249" i="1"/>
  <c r="F3249" i="1"/>
  <c r="B3249" i="1"/>
  <c r="W3248" i="1"/>
  <c r="T3248" i="1"/>
  <c r="P3248" i="1"/>
  <c r="J3248" i="1"/>
  <c r="G3248" i="1"/>
  <c r="F3248" i="1"/>
  <c r="B3248" i="1"/>
  <c r="W3247" i="1"/>
  <c r="T3247" i="1"/>
  <c r="P3247" i="1"/>
  <c r="J3247" i="1"/>
  <c r="G3247" i="1"/>
  <c r="F3247" i="1"/>
  <c r="B3247" i="1"/>
  <c r="W3246" i="1"/>
  <c r="T3246" i="1"/>
  <c r="P3246" i="1"/>
  <c r="J3246" i="1"/>
  <c r="G3246" i="1"/>
  <c r="F3246" i="1"/>
  <c r="B3246" i="1"/>
  <c r="W3245" i="1"/>
  <c r="T3245" i="1"/>
  <c r="P3245" i="1"/>
  <c r="J3245" i="1"/>
  <c r="G3245" i="1"/>
  <c r="F3245" i="1"/>
  <c r="B3245" i="1"/>
  <c r="W3244" i="1"/>
  <c r="T3244" i="1"/>
  <c r="P3244" i="1"/>
  <c r="J3244" i="1"/>
  <c r="G3244" i="1"/>
  <c r="F3244" i="1"/>
  <c r="B3244" i="1"/>
  <c r="W3243" i="1"/>
  <c r="T3243" i="1"/>
  <c r="P3243" i="1"/>
  <c r="J3243" i="1"/>
  <c r="G3243" i="1"/>
  <c r="F3243" i="1"/>
  <c r="B3243" i="1"/>
  <c r="W3242" i="1"/>
  <c r="T3242" i="1"/>
  <c r="P3242" i="1"/>
  <c r="J3242" i="1"/>
  <c r="G3242" i="1"/>
  <c r="F3242" i="1"/>
  <c r="B3242" i="1"/>
  <c r="W3241" i="1"/>
  <c r="T3241" i="1"/>
  <c r="P3241" i="1"/>
  <c r="J3241" i="1"/>
  <c r="G3241" i="1"/>
  <c r="F3241" i="1"/>
  <c r="B3241" i="1"/>
  <c r="W3240" i="1"/>
  <c r="T3240" i="1"/>
  <c r="P3240" i="1"/>
  <c r="J3240" i="1"/>
  <c r="G3240" i="1"/>
  <c r="F3240" i="1"/>
  <c r="B3240" i="1"/>
  <c r="W3239" i="1"/>
  <c r="T3239" i="1"/>
  <c r="P3239" i="1"/>
  <c r="J3239" i="1"/>
  <c r="G3239" i="1"/>
  <c r="F3239" i="1"/>
  <c r="B3239" i="1"/>
  <c r="W3238" i="1"/>
  <c r="T3238" i="1"/>
  <c r="P3238" i="1"/>
  <c r="J3238" i="1"/>
  <c r="G3238" i="1"/>
  <c r="F3238" i="1"/>
  <c r="B3238" i="1"/>
  <c r="W3237" i="1"/>
  <c r="T3237" i="1"/>
  <c r="P3237" i="1"/>
  <c r="J3237" i="1"/>
  <c r="G3237" i="1"/>
  <c r="F3237" i="1"/>
  <c r="B3237" i="1"/>
  <c r="W3236" i="1"/>
  <c r="T3236" i="1"/>
  <c r="P3236" i="1"/>
  <c r="J3236" i="1"/>
  <c r="G3236" i="1"/>
  <c r="F3236" i="1"/>
  <c r="B3236" i="1"/>
  <c r="W3235" i="1"/>
  <c r="T3235" i="1"/>
  <c r="P3235" i="1"/>
  <c r="J3235" i="1"/>
  <c r="G3235" i="1"/>
  <c r="F3235" i="1"/>
  <c r="B3235" i="1"/>
  <c r="W3234" i="1"/>
  <c r="T3234" i="1"/>
  <c r="P3234" i="1"/>
  <c r="J3234" i="1"/>
  <c r="G3234" i="1"/>
  <c r="F3234" i="1"/>
  <c r="B3234" i="1"/>
  <c r="W3233" i="1"/>
  <c r="T3233" i="1"/>
  <c r="P3233" i="1"/>
  <c r="J3233" i="1"/>
  <c r="G3233" i="1"/>
  <c r="F3233" i="1"/>
  <c r="B3233" i="1"/>
  <c r="W3232" i="1"/>
  <c r="T3232" i="1"/>
  <c r="P3232" i="1"/>
  <c r="J3232" i="1"/>
  <c r="G3232" i="1"/>
  <c r="F3232" i="1"/>
  <c r="B3232" i="1"/>
  <c r="W3231" i="1"/>
  <c r="T3231" i="1"/>
  <c r="P3231" i="1"/>
  <c r="J3231" i="1"/>
  <c r="G3231" i="1"/>
  <c r="F3231" i="1"/>
  <c r="B3231" i="1"/>
  <c r="W3230" i="1"/>
  <c r="T3230" i="1"/>
  <c r="P3230" i="1"/>
  <c r="J3230" i="1"/>
  <c r="G3230" i="1"/>
  <c r="F3230" i="1"/>
  <c r="B3230" i="1"/>
  <c r="W3229" i="1"/>
  <c r="T3229" i="1"/>
  <c r="P3229" i="1"/>
  <c r="J3229" i="1"/>
  <c r="G3229" i="1"/>
  <c r="F3229" i="1"/>
  <c r="B3229" i="1"/>
  <c r="W3228" i="1"/>
  <c r="T3228" i="1"/>
  <c r="P3228" i="1"/>
  <c r="J3228" i="1"/>
  <c r="G3228" i="1"/>
  <c r="F3228" i="1"/>
  <c r="B3228" i="1"/>
  <c r="W3227" i="1"/>
  <c r="T3227" i="1"/>
  <c r="P3227" i="1"/>
  <c r="J3227" i="1"/>
  <c r="G3227" i="1"/>
  <c r="F3227" i="1"/>
  <c r="B3227" i="1"/>
  <c r="W3226" i="1"/>
  <c r="T3226" i="1"/>
  <c r="P3226" i="1"/>
  <c r="J3226" i="1"/>
  <c r="G3226" i="1"/>
  <c r="F3226" i="1"/>
  <c r="B3226" i="1"/>
  <c r="W3225" i="1"/>
  <c r="T3225" i="1"/>
  <c r="P3225" i="1"/>
  <c r="J3225" i="1"/>
  <c r="G3225" i="1"/>
  <c r="F3225" i="1"/>
  <c r="B3225" i="1"/>
  <c r="W3224" i="1"/>
  <c r="T3224" i="1"/>
  <c r="P3224" i="1"/>
  <c r="J3224" i="1"/>
  <c r="G3224" i="1"/>
  <c r="F3224" i="1"/>
  <c r="B3224" i="1"/>
  <c r="W3223" i="1"/>
  <c r="T3223" i="1"/>
  <c r="P3223" i="1"/>
  <c r="J3223" i="1"/>
  <c r="G3223" i="1"/>
  <c r="F3223" i="1"/>
  <c r="B3223" i="1"/>
  <c r="W3222" i="1"/>
  <c r="T3222" i="1"/>
  <c r="P3222" i="1"/>
  <c r="J3222" i="1"/>
  <c r="G3222" i="1"/>
  <c r="F3222" i="1"/>
  <c r="B3222" i="1"/>
  <c r="W3221" i="1"/>
  <c r="T3221" i="1"/>
  <c r="P3221" i="1"/>
  <c r="J3221" i="1"/>
  <c r="G3221" i="1"/>
  <c r="F3221" i="1"/>
  <c r="B3221" i="1"/>
  <c r="W3220" i="1"/>
  <c r="T3220" i="1"/>
  <c r="P3220" i="1"/>
  <c r="J3220" i="1"/>
  <c r="G3220" i="1"/>
  <c r="F3220" i="1"/>
  <c r="B3220" i="1"/>
  <c r="W3219" i="1"/>
  <c r="T3219" i="1"/>
  <c r="P3219" i="1"/>
  <c r="J3219" i="1"/>
  <c r="G3219" i="1"/>
  <c r="F3219" i="1"/>
  <c r="B3219" i="1"/>
  <c r="W3218" i="1"/>
  <c r="T3218" i="1"/>
  <c r="P3218" i="1"/>
  <c r="J3218" i="1"/>
  <c r="G3218" i="1"/>
  <c r="F3218" i="1"/>
  <c r="B3218" i="1"/>
  <c r="W3217" i="1"/>
  <c r="T3217" i="1"/>
  <c r="P3217" i="1"/>
  <c r="J3217" i="1"/>
  <c r="G3217" i="1"/>
  <c r="F3217" i="1"/>
  <c r="B3217" i="1"/>
  <c r="W3216" i="1"/>
  <c r="T3216" i="1"/>
  <c r="P3216" i="1"/>
  <c r="J3216" i="1"/>
  <c r="G3216" i="1"/>
  <c r="F3216" i="1"/>
  <c r="B3216" i="1"/>
  <c r="W3215" i="1"/>
  <c r="T3215" i="1"/>
  <c r="P3215" i="1"/>
  <c r="J3215" i="1"/>
  <c r="G3215" i="1"/>
  <c r="F3215" i="1"/>
  <c r="B3215" i="1"/>
  <c r="W3214" i="1"/>
  <c r="T3214" i="1"/>
  <c r="P3214" i="1"/>
  <c r="J3214" i="1"/>
  <c r="G3214" i="1"/>
  <c r="F3214" i="1"/>
  <c r="B3214" i="1"/>
  <c r="W3213" i="1"/>
  <c r="T3213" i="1"/>
  <c r="P3213" i="1"/>
  <c r="J3213" i="1"/>
  <c r="G3213" i="1"/>
  <c r="F3213" i="1"/>
  <c r="B3213" i="1"/>
  <c r="W3212" i="1"/>
  <c r="T3212" i="1"/>
  <c r="P3212" i="1"/>
  <c r="J3212" i="1"/>
  <c r="G3212" i="1"/>
  <c r="F3212" i="1"/>
  <c r="B3212" i="1"/>
  <c r="W3211" i="1"/>
  <c r="T3211" i="1"/>
  <c r="P3211" i="1"/>
  <c r="J3211" i="1"/>
  <c r="G3211" i="1"/>
  <c r="F3211" i="1"/>
  <c r="B3211" i="1"/>
  <c r="W3210" i="1"/>
  <c r="T3210" i="1"/>
  <c r="P3210" i="1"/>
  <c r="J3210" i="1"/>
  <c r="G3210" i="1"/>
  <c r="F3210" i="1"/>
  <c r="B3210" i="1"/>
  <c r="W3209" i="1"/>
  <c r="T3209" i="1"/>
  <c r="P3209" i="1"/>
  <c r="J3209" i="1"/>
  <c r="G3209" i="1"/>
  <c r="F3209" i="1"/>
  <c r="B3209" i="1"/>
  <c r="W3208" i="1"/>
  <c r="T3208" i="1"/>
  <c r="P3208" i="1"/>
  <c r="J3208" i="1"/>
  <c r="G3208" i="1"/>
  <c r="F3208" i="1"/>
  <c r="B3208" i="1"/>
  <c r="W3207" i="1"/>
  <c r="T3207" i="1"/>
  <c r="P3207" i="1"/>
  <c r="J3207" i="1"/>
  <c r="G3207" i="1"/>
  <c r="F3207" i="1"/>
  <c r="B3207" i="1"/>
  <c r="W3206" i="1"/>
  <c r="T3206" i="1"/>
  <c r="P3206" i="1"/>
  <c r="J3206" i="1"/>
  <c r="G3206" i="1"/>
  <c r="F3206" i="1"/>
  <c r="B3206" i="1"/>
  <c r="W3205" i="1"/>
  <c r="T3205" i="1"/>
  <c r="P3205" i="1"/>
  <c r="J3205" i="1"/>
  <c r="G3205" i="1"/>
  <c r="F3205" i="1"/>
  <c r="B3205" i="1"/>
  <c r="W3204" i="1"/>
  <c r="T3204" i="1"/>
  <c r="P3204" i="1"/>
  <c r="J3204" i="1"/>
  <c r="G3204" i="1"/>
  <c r="F3204" i="1"/>
  <c r="B3204" i="1"/>
  <c r="W3203" i="1"/>
  <c r="T3203" i="1"/>
  <c r="P3203" i="1"/>
  <c r="J3203" i="1"/>
  <c r="G3203" i="1"/>
  <c r="F3203" i="1"/>
  <c r="B3203" i="1"/>
  <c r="W3202" i="1"/>
  <c r="T3202" i="1"/>
  <c r="P3202" i="1"/>
  <c r="J3202" i="1"/>
  <c r="G3202" i="1"/>
  <c r="F3202" i="1"/>
  <c r="B3202" i="1"/>
  <c r="W3201" i="1"/>
  <c r="T3201" i="1"/>
  <c r="P3201" i="1"/>
  <c r="J3201" i="1"/>
  <c r="G3201" i="1"/>
  <c r="F3201" i="1"/>
  <c r="B3201" i="1"/>
  <c r="W3200" i="1"/>
  <c r="T3200" i="1"/>
  <c r="P3200" i="1"/>
  <c r="J3200" i="1"/>
  <c r="G3200" i="1"/>
  <c r="F3200" i="1"/>
  <c r="B3200" i="1"/>
  <c r="W3199" i="1"/>
  <c r="T3199" i="1"/>
  <c r="P3199" i="1"/>
  <c r="J3199" i="1"/>
  <c r="G3199" i="1"/>
  <c r="F3199" i="1"/>
  <c r="B3199" i="1"/>
  <c r="W3198" i="1"/>
  <c r="T3198" i="1"/>
  <c r="P3198" i="1"/>
  <c r="J3198" i="1"/>
  <c r="G3198" i="1"/>
  <c r="F3198" i="1"/>
  <c r="B3198" i="1"/>
  <c r="W3197" i="1"/>
  <c r="T3197" i="1"/>
  <c r="P3197" i="1"/>
  <c r="J3197" i="1"/>
  <c r="G3197" i="1"/>
  <c r="F3197" i="1"/>
  <c r="B3197" i="1"/>
  <c r="W3196" i="1"/>
  <c r="T3196" i="1"/>
  <c r="P3196" i="1"/>
  <c r="J3196" i="1"/>
  <c r="G3196" i="1"/>
  <c r="F3196" i="1"/>
  <c r="B3196" i="1"/>
  <c r="W3195" i="1"/>
  <c r="T3195" i="1"/>
  <c r="P3195" i="1"/>
  <c r="J3195" i="1"/>
  <c r="G3195" i="1"/>
  <c r="F3195" i="1"/>
  <c r="B3195" i="1"/>
  <c r="W3194" i="1"/>
  <c r="T3194" i="1"/>
  <c r="P3194" i="1"/>
  <c r="J3194" i="1"/>
  <c r="G3194" i="1"/>
  <c r="F3194" i="1"/>
  <c r="B3194" i="1"/>
  <c r="W3193" i="1"/>
  <c r="T3193" i="1"/>
  <c r="P3193" i="1"/>
  <c r="J3193" i="1"/>
  <c r="G3193" i="1"/>
  <c r="F3193" i="1"/>
  <c r="B3193" i="1"/>
  <c r="W3192" i="1"/>
  <c r="T3192" i="1"/>
  <c r="P3192" i="1"/>
  <c r="J3192" i="1"/>
  <c r="G3192" i="1"/>
  <c r="F3192" i="1"/>
  <c r="B3192" i="1"/>
  <c r="W3191" i="1"/>
  <c r="T3191" i="1"/>
  <c r="P3191" i="1"/>
  <c r="J3191" i="1"/>
  <c r="G3191" i="1"/>
  <c r="F3191" i="1"/>
  <c r="B3191" i="1"/>
  <c r="W3190" i="1"/>
  <c r="T3190" i="1"/>
  <c r="P3190" i="1"/>
  <c r="J3190" i="1"/>
  <c r="G3190" i="1"/>
  <c r="F3190" i="1"/>
  <c r="B3190" i="1"/>
  <c r="W3189" i="1"/>
  <c r="T3189" i="1"/>
  <c r="P3189" i="1"/>
  <c r="J3189" i="1"/>
  <c r="G3189" i="1"/>
  <c r="F3189" i="1"/>
  <c r="B3189" i="1"/>
  <c r="W3188" i="1"/>
  <c r="T3188" i="1"/>
  <c r="P3188" i="1"/>
  <c r="J3188" i="1"/>
  <c r="G3188" i="1"/>
  <c r="F3188" i="1"/>
  <c r="B3188" i="1"/>
  <c r="W3187" i="1"/>
  <c r="T3187" i="1"/>
  <c r="P3187" i="1"/>
  <c r="J3187" i="1"/>
  <c r="G3187" i="1"/>
  <c r="F3187" i="1"/>
  <c r="B3187" i="1"/>
  <c r="W3186" i="1"/>
  <c r="T3186" i="1"/>
  <c r="P3186" i="1"/>
  <c r="J3186" i="1"/>
  <c r="G3186" i="1"/>
  <c r="F3186" i="1"/>
  <c r="B3186" i="1"/>
  <c r="W3185" i="1"/>
  <c r="T3185" i="1"/>
  <c r="P3185" i="1"/>
  <c r="J3185" i="1"/>
  <c r="G3185" i="1"/>
  <c r="F3185" i="1"/>
  <c r="B3185" i="1"/>
  <c r="W3184" i="1"/>
  <c r="T3184" i="1"/>
  <c r="P3184" i="1"/>
  <c r="J3184" i="1"/>
  <c r="G3184" i="1"/>
  <c r="F3184" i="1"/>
  <c r="B3184" i="1"/>
  <c r="W3183" i="1"/>
  <c r="T3183" i="1"/>
  <c r="P3183" i="1"/>
  <c r="J3183" i="1"/>
  <c r="G3183" i="1"/>
  <c r="F3183" i="1"/>
  <c r="B3183" i="1"/>
  <c r="W3182" i="1"/>
  <c r="T3182" i="1"/>
  <c r="P3182" i="1"/>
  <c r="J3182" i="1"/>
  <c r="G3182" i="1"/>
  <c r="F3182" i="1"/>
  <c r="B3182" i="1"/>
  <c r="W3181" i="1"/>
  <c r="T3181" i="1"/>
  <c r="P3181" i="1"/>
  <c r="J3181" i="1"/>
  <c r="G3181" i="1"/>
  <c r="F3181" i="1"/>
  <c r="B3181" i="1"/>
  <c r="W3180" i="1"/>
  <c r="T3180" i="1"/>
  <c r="P3180" i="1"/>
  <c r="J3180" i="1"/>
  <c r="G3180" i="1"/>
  <c r="F3180" i="1"/>
  <c r="B3180" i="1"/>
  <c r="W3179" i="1"/>
  <c r="T3179" i="1"/>
  <c r="P3179" i="1"/>
  <c r="J3179" i="1"/>
  <c r="G3179" i="1"/>
  <c r="F3179" i="1"/>
  <c r="B3179" i="1"/>
  <c r="W3178" i="1"/>
  <c r="T3178" i="1"/>
  <c r="P3178" i="1"/>
  <c r="J3178" i="1"/>
  <c r="G3178" i="1"/>
  <c r="F3178" i="1"/>
  <c r="B3178" i="1"/>
  <c r="W3177" i="1"/>
  <c r="T3177" i="1"/>
  <c r="P3177" i="1"/>
  <c r="J3177" i="1"/>
  <c r="G3177" i="1"/>
  <c r="F3177" i="1"/>
  <c r="B3177" i="1"/>
  <c r="W3176" i="1"/>
  <c r="T3176" i="1"/>
  <c r="P3176" i="1"/>
  <c r="J3176" i="1"/>
  <c r="G3176" i="1"/>
  <c r="F3176" i="1"/>
  <c r="B3176" i="1"/>
  <c r="W3175" i="1"/>
  <c r="T3175" i="1"/>
  <c r="P3175" i="1"/>
  <c r="J3175" i="1"/>
  <c r="G3175" i="1"/>
  <c r="F3175" i="1"/>
  <c r="B3175" i="1"/>
  <c r="W3174" i="1"/>
  <c r="T3174" i="1"/>
  <c r="P3174" i="1"/>
  <c r="J3174" i="1"/>
  <c r="G3174" i="1"/>
  <c r="F3174" i="1"/>
  <c r="B3174" i="1"/>
  <c r="W3173" i="1"/>
  <c r="T3173" i="1"/>
  <c r="P3173" i="1"/>
  <c r="J3173" i="1"/>
  <c r="G3173" i="1"/>
  <c r="F3173" i="1"/>
  <c r="B3173" i="1"/>
  <c r="W3172" i="1"/>
  <c r="T3172" i="1"/>
  <c r="P3172" i="1"/>
  <c r="J3172" i="1"/>
  <c r="G3172" i="1"/>
  <c r="F3172" i="1"/>
  <c r="B3172" i="1"/>
  <c r="W3171" i="1"/>
  <c r="T3171" i="1"/>
  <c r="P3171" i="1"/>
  <c r="J3171" i="1"/>
  <c r="G3171" i="1"/>
  <c r="F3171" i="1"/>
  <c r="B3171" i="1"/>
  <c r="W3170" i="1"/>
  <c r="T3170" i="1"/>
  <c r="P3170" i="1"/>
  <c r="J3170" i="1"/>
  <c r="G3170" i="1"/>
  <c r="F3170" i="1"/>
  <c r="B3170" i="1"/>
  <c r="W3169" i="1"/>
  <c r="T3169" i="1"/>
  <c r="P3169" i="1"/>
  <c r="J3169" i="1"/>
  <c r="G3169" i="1"/>
  <c r="F3169" i="1"/>
  <c r="B3169" i="1"/>
  <c r="W3168" i="1"/>
  <c r="T3168" i="1"/>
  <c r="P3168" i="1"/>
  <c r="J3168" i="1"/>
  <c r="G3168" i="1"/>
  <c r="F3168" i="1"/>
  <c r="B3168" i="1"/>
  <c r="W3167" i="1"/>
  <c r="T3167" i="1"/>
  <c r="P3167" i="1"/>
  <c r="J3167" i="1"/>
  <c r="G3167" i="1"/>
  <c r="F3167" i="1"/>
  <c r="B3167" i="1"/>
  <c r="W3166" i="1"/>
  <c r="T3166" i="1"/>
  <c r="P3166" i="1"/>
  <c r="J3166" i="1"/>
  <c r="G3166" i="1"/>
  <c r="F3166" i="1"/>
  <c r="B3166" i="1"/>
  <c r="W3165" i="1"/>
  <c r="T3165" i="1"/>
  <c r="P3165" i="1"/>
  <c r="J3165" i="1"/>
  <c r="G3165" i="1"/>
  <c r="F3165" i="1"/>
  <c r="B3165" i="1"/>
  <c r="W3164" i="1"/>
  <c r="T3164" i="1"/>
  <c r="P3164" i="1"/>
  <c r="J3164" i="1"/>
  <c r="G3164" i="1"/>
  <c r="F3164" i="1"/>
  <c r="B3164" i="1"/>
  <c r="W3163" i="1"/>
  <c r="T3163" i="1"/>
  <c r="P3163" i="1"/>
  <c r="J3163" i="1"/>
  <c r="G3163" i="1"/>
  <c r="F3163" i="1"/>
  <c r="B3163" i="1"/>
  <c r="W3162" i="1"/>
  <c r="T3162" i="1"/>
  <c r="P3162" i="1"/>
  <c r="J3162" i="1"/>
  <c r="G3162" i="1"/>
  <c r="F3162" i="1"/>
  <c r="B3162" i="1"/>
  <c r="W3161" i="1"/>
  <c r="T3161" i="1"/>
  <c r="P3161" i="1"/>
  <c r="J3161" i="1"/>
  <c r="G3161" i="1"/>
  <c r="F3161" i="1"/>
  <c r="B3161" i="1"/>
  <c r="W3160" i="1"/>
  <c r="T3160" i="1"/>
  <c r="P3160" i="1"/>
  <c r="J3160" i="1"/>
  <c r="G3160" i="1"/>
  <c r="F3160" i="1"/>
  <c r="B3160" i="1"/>
  <c r="W3159" i="1"/>
  <c r="T3159" i="1"/>
  <c r="P3159" i="1"/>
  <c r="J3159" i="1"/>
  <c r="G3159" i="1"/>
  <c r="F3159" i="1"/>
  <c r="B3159" i="1"/>
  <c r="W3158" i="1"/>
  <c r="T3158" i="1"/>
  <c r="P3158" i="1"/>
  <c r="J3158" i="1"/>
  <c r="G3158" i="1"/>
  <c r="F3158" i="1"/>
  <c r="B3158" i="1"/>
  <c r="W3157" i="1"/>
  <c r="T3157" i="1"/>
  <c r="P3157" i="1"/>
  <c r="J3157" i="1"/>
  <c r="G3157" i="1"/>
  <c r="F3157" i="1"/>
  <c r="B3157" i="1"/>
  <c r="W3156" i="1"/>
  <c r="T3156" i="1"/>
  <c r="P3156" i="1"/>
  <c r="J3156" i="1"/>
  <c r="G3156" i="1"/>
  <c r="F3156" i="1"/>
  <c r="B3156" i="1"/>
  <c r="W3155" i="1"/>
  <c r="T3155" i="1"/>
  <c r="P3155" i="1"/>
  <c r="J3155" i="1"/>
  <c r="G3155" i="1"/>
  <c r="F3155" i="1"/>
  <c r="B3155" i="1"/>
  <c r="W3154" i="1"/>
  <c r="T3154" i="1"/>
  <c r="P3154" i="1"/>
  <c r="J3154" i="1"/>
  <c r="G3154" i="1"/>
  <c r="F3154" i="1"/>
  <c r="B3154" i="1"/>
  <c r="W3153" i="1"/>
  <c r="T3153" i="1"/>
  <c r="P3153" i="1"/>
  <c r="J3153" i="1"/>
  <c r="G3153" i="1"/>
  <c r="F3153" i="1"/>
  <c r="B3153" i="1"/>
  <c r="W3152" i="1"/>
  <c r="T3152" i="1"/>
  <c r="P3152" i="1"/>
  <c r="J3152" i="1"/>
  <c r="G3152" i="1"/>
  <c r="F3152" i="1"/>
  <c r="B3152" i="1"/>
  <c r="W3151" i="1"/>
  <c r="T3151" i="1"/>
  <c r="P3151" i="1"/>
  <c r="J3151" i="1"/>
  <c r="G3151" i="1"/>
  <c r="F3151" i="1"/>
  <c r="B3151" i="1"/>
  <c r="W3150" i="1"/>
  <c r="T3150" i="1"/>
  <c r="P3150" i="1"/>
  <c r="J3150" i="1"/>
  <c r="G3150" i="1"/>
  <c r="F3150" i="1"/>
  <c r="B3150" i="1"/>
  <c r="W3149" i="1"/>
  <c r="T3149" i="1"/>
  <c r="P3149" i="1"/>
  <c r="J3149" i="1"/>
  <c r="G3149" i="1"/>
  <c r="F3149" i="1"/>
  <c r="B3149" i="1"/>
  <c r="W3148" i="1"/>
  <c r="T3148" i="1"/>
  <c r="P3148" i="1"/>
  <c r="J3148" i="1"/>
  <c r="G3148" i="1"/>
  <c r="F3148" i="1"/>
  <c r="B3148" i="1"/>
  <c r="W3147" i="1"/>
  <c r="T3147" i="1"/>
  <c r="P3147" i="1"/>
  <c r="J3147" i="1"/>
  <c r="G3147" i="1"/>
  <c r="F3147" i="1"/>
  <c r="B3147" i="1"/>
  <c r="W3146" i="1"/>
  <c r="T3146" i="1"/>
  <c r="P3146" i="1"/>
  <c r="J3146" i="1"/>
  <c r="G3146" i="1"/>
  <c r="F3146" i="1"/>
  <c r="B3146" i="1"/>
  <c r="W3145" i="1"/>
  <c r="T3145" i="1"/>
  <c r="P3145" i="1"/>
  <c r="J3145" i="1"/>
  <c r="G3145" i="1"/>
  <c r="F3145" i="1"/>
  <c r="B3145" i="1"/>
  <c r="W3144" i="1"/>
  <c r="T3144" i="1"/>
  <c r="P3144" i="1"/>
  <c r="J3144" i="1"/>
  <c r="G3144" i="1"/>
  <c r="F3144" i="1"/>
  <c r="B3144" i="1"/>
  <c r="W3143" i="1"/>
  <c r="T3143" i="1"/>
  <c r="P3143" i="1"/>
  <c r="J3143" i="1"/>
  <c r="G3143" i="1"/>
  <c r="F3143" i="1"/>
  <c r="B3143" i="1"/>
  <c r="W3142" i="1"/>
  <c r="T3142" i="1"/>
  <c r="P3142" i="1"/>
  <c r="J3142" i="1"/>
  <c r="G3142" i="1"/>
  <c r="F3142" i="1"/>
  <c r="B3142" i="1"/>
  <c r="W3141" i="1"/>
  <c r="T3141" i="1"/>
  <c r="P3141" i="1"/>
  <c r="J3141" i="1"/>
  <c r="G3141" i="1"/>
  <c r="F3141" i="1"/>
  <c r="B3141" i="1"/>
  <c r="W3140" i="1"/>
  <c r="T3140" i="1"/>
  <c r="P3140" i="1"/>
  <c r="J3140" i="1"/>
  <c r="G3140" i="1"/>
  <c r="F3140" i="1"/>
  <c r="B3140" i="1"/>
  <c r="W3139" i="1"/>
  <c r="T3139" i="1"/>
  <c r="P3139" i="1"/>
  <c r="J3139" i="1"/>
  <c r="G3139" i="1"/>
  <c r="F3139" i="1"/>
  <c r="B3139" i="1"/>
  <c r="W3138" i="1"/>
  <c r="T3138" i="1"/>
  <c r="P3138" i="1"/>
  <c r="J3138" i="1"/>
  <c r="G3138" i="1"/>
  <c r="F3138" i="1"/>
  <c r="B3138" i="1"/>
  <c r="W3137" i="1"/>
  <c r="T3137" i="1"/>
  <c r="P3137" i="1"/>
  <c r="J3137" i="1"/>
  <c r="G3137" i="1"/>
  <c r="F3137" i="1"/>
  <c r="B3137" i="1"/>
  <c r="W3136" i="1"/>
  <c r="T3136" i="1"/>
  <c r="P3136" i="1"/>
  <c r="J3136" i="1"/>
  <c r="G3136" i="1"/>
  <c r="F3136" i="1"/>
  <c r="B3136" i="1"/>
  <c r="W3135" i="1"/>
  <c r="T3135" i="1"/>
  <c r="P3135" i="1"/>
  <c r="J3135" i="1"/>
  <c r="G3135" i="1"/>
  <c r="F3135" i="1"/>
  <c r="B3135" i="1"/>
  <c r="W3134" i="1"/>
  <c r="T3134" i="1"/>
  <c r="P3134" i="1"/>
  <c r="J3134" i="1"/>
  <c r="G3134" i="1"/>
  <c r="F3134" i="1"/>
  <c r="B3134" i="1"/>
  <c r="W3133" i="1"/>
  <c r="T3133" i="1"/>
  <c r="P3133" i="1"/>
  <c r="J3133" i="1"/>
  <c r="G3133" i="1"/>
  <c r="F3133" i="1"/>
  <c r="B3133" i="1"/>
  <c r="W3132" i="1"/>
  <c r="T3132" i="1"/>
  <c r="P3132" i="1"/>
  <c r="J3132" i="1"/>
  <c r="G3132" i="1"/>
  <c r="F3132" i="1"/>
  <c r="B3132" i="1"/>
  <c r="W3131" i="1"/>
  <c r="T3131" i="1"/>
  <c r="P3131" i="1"/>
  <c r="J3131" i="1"/>
  <c r="G3131" i="1"/>
  <c r="F3131" i="1"/>
  <c r="B3131" i="1"/>
  <c r="W3130" i="1"/>
  <c r="T3130" i="1"/>
  <c r="P3130" i="1"/>
  <c r="J3130" i="1"/>
  <c r="G3130" i="1"/>
  <c r="F3130" i="1"/>
  <c r="B3130" i="1"/>
  <c r="W3129" i="1"/>
  <c r="T3129" i="1"/>
  <c r="P3129" i="1"/>
  <c r="J3129" i="1"/>
  <c r="G3129" i="1"/>
  <c r="F3129" i="1"/>
  <c r="B3129" i="1"/>
  <c r="W3128" i="1"/>
  <c r="T3128" i="1"/>
  <c r="P3128" i="1"/>
  <c r="J3128" i="1"/>
  <c r="G3128" i="1"/>
  <c r="F3128" i="1"/>
  <c r="B3128" i="1"/>
  <c r="W3127" i="1"/>
  <c r="T3127" i="1"/>
  <c r="P3127" i="1"/>
  <c r="J3127" i="1"/>
  <c r="G3127" i="1"/>
  <c r="F3127" i="1"/>
  <c r="B3127" i="1"/>
  <c r="W3126" i="1"/>
  <c r="T3126" i="1"/>
  <c r="P3126" i="1"/>
  <c r="J3126" i="1"/>
  <c r="G3126" i="1"/>
  <c r="F3126" i="1"/>
  <c r="B3126" i="1"/>
  <c r="W3125" i="1"/>
  <c r="T3125" i="1"/>
  <c r="P3125" i="1"/>
  <c r="J3125" i="1"/>
  <c r="G3125" i="1"/>
  <c r="F3125" i="1"/>
  <c r="B3125" i="1"/>
  <c r="W3124" i="1"/>
  <c r="T3124" i="1"/>
  <c r="P3124" i="1"/>
  <c r="J3124" i="1"/>
  <c r="G3124" i="1"/>
  <c r="F3124" i="1"/>
  <c r="B3124" i="1"/>
  <c r="W3123" i="1"/>
  <c r="T3123" i="1"/>
  <c r="P3123" i="1"/>
  <c r="J3123" i="1"/>
  <c r="G3123" i="1"/>
  <c r="F3123" i="1"/>
  <c r="B3123" i="1"/>
  <c r="W3122" i="1"/>
  <c r="T3122" i="1"/>
  <c r="P3122" i="1"/>
  <c r="J3122" i="1"/>
  <c r="G3122" i="1"/>
  <c r="F3122" i="1"/>
  <c r="B3122" i="1"/>
  <c r="W3121" i="1"/>
  <c r="T3121" i="1"/>
  <c r="P3121" i="1"/>
  <c r="J3121" i="1"/>
  <c r="G3121" i="1"/>
  <c r="F3121" i="1"/>
  <c r="B3121" i="1"/>
  <c r="W3120" i="1"/>
  <c r="T3120" i="1"/>
  <c r="P3120" i="1"/>
  <c r="J3120" i="1"/>
  <c r="G3120" i="1"/>
  <c r="F3120" i="1"/>
  <c r="B3120" i="1"/>
  <c r="W3119" i="1"/>
  <c r="T3119" i="1"/>
  <c r="P3119" i="1"/>
  <c r="J3119" i="1"/>
  <c r="G3119" i="1"/>
  <c r="F3119" i="1"/>
  <c r="B3119" i="1"/>
  <c r="W3118" i="1"/>
  <c r="T3118" i="1"/>
  <c r="P3118" i="1"/>
  <c r="J3118" i="1"/>
  <c r="G3118" i="1"/>
  <c r="F3118" i="1"/>
  <c r="B3118" i="1"/>
  <c r="W3117" i="1"/>
  <c r="T3117" i="1"/>
  <c r="P3117" i="1"/>
  <c r="J3117" i="1"/>
  <c r="G3117" i="1"/>
  <c r="F3117" i="1"/>
  <c r="B3117" i="1"/>
  <c r="W3116" i="1"/>
  <c r="T3116" i="1"/>
  <c r="P3116" i="1"/>
  <c r="J3116" i="1"/>
  <c r="G3116" i="1"/>
  <c r="F3116" i="1"/>
  <c r="B3116" i="1"/>
  <c r="W3115" i="1"/>
  <c r="T3115" i="1"/>
  <c r="P3115" i="1"/>
  <c r="J3115" i="1"/>
  <c r="G3115" i="1"/>
  <c r="F3115" i="1"/>
  <c r="B3115" i="1"/>
  <c r="W3114" i="1"/>
  <c r="T3114" i="1"/>
  <c r="P3114" i="1"/>
  <c r="J3114" i="1"/>
  <c r="G3114" i="1"/>
  <c r="F3114" i="1"/>
  <c r="B3114" i="1"/>
  <c r="W3113" i="1"/>
  <c r="T3113" i="1"/>
  <c r="P3113" i="1"/>
  <c r="J3113" i="1"/>
  <c r="G3113" i="1"/>
  <c r="F3113" i="1"/>
  <c r="B3113" i="1"/>
  <c r="W3112" i="1"/>
  <c r="T3112" i="1"/>
  <c r="P3112" i="1"/>
  <c r="J3112" i="1"/>
  <c r="G3112" i="1"/>
  <c r="F3112" i="1"/>
  <c r="B3112" i="1"/>
  <c r="W3111" i="1"/>
  <c r="T3111" i="1"/>
  <c r="P3111" i="1"/>
  <c r="J3111" i="1"/>
  <c r="G3111" i="1"/>
  <c r="F3111" i="1"/>
  <c r="B3111" i="1"/>
  <c r="W3110" i="1"/>
  <c r="T3110" i="1"/>
  <c r="P3110" i="1"/>
  <c r="J3110" i="1"/>
  <c r="G3110" i="1"/>
  <c r="F3110" i="1"/>
  <c r="B3110" i="1"/>
  <c r="W3109" i="1"/>
  <c r="T3109" i="1"/>
  <c r="P3109" i="1"/>
  <c r="J3109" i="1"/>
  <c r="G3109" i="1"/>
  <c r="F3109" i="1"/>
  <c r="B3109" i="1"/>
  <c r="W3108" i="1"/>
  <c r="T3108" i="1"/>
  <c r="P3108" i="1"/>
  <c r="J3108" i="1"/>
  <c r="G3108" i="1"/>
  <c r="F3108" i="1"/>
  <c r="B3108" i="1"/>
  <c r="W3107" i="1"/>
  <c r="T3107" i="1"/>
  <c r="P3107" i="1"/>
  <c r="J3107" i="1"/>
  <c r="G3107" i="1"/>
  <c r="F3107" i="1"/>
  <c r="B3107" i="1"/>
  <c r="W3106" i="1"/>
  <c r="T3106" i="1"/>
  <c r="P3106" i="1"/>
  <c r="J3106" i="1"/>
  <c r="G3106" i="1"/>
  <c r="F3106" i="1"/>
  <c r="B3106" i="1"/>
  <c r="W3105" i="1"/>
  <c r="T3105" i="1"/>
  <c r="P3105" i="1"/>
  <c r="J3105" i="1"/>
  <c r="G3105" i="1"/>
  <c r="F3105" i="1"/>
  <c r="B3105" i="1"/>
  <c r="W3104" i="1"/>
  <c r="T3104" i="1"/>
  <c r="P3104" i="1"/>
  <c r="J3104" i="1"/>
  <c r="G3104" i="1"/>
  <c r="F3104" i="1"/>
  <c r="B3104" i="1"/>
  <c r="W3103" i="1"/>
  <c r="T3103" i="1"/>
  <c r="P3103" i="1"/>
  <c r="J3103" i="1"/>
  <c r="G3103" i="1"/>
  <c r="F3103" i="1"/>
  <c r="B3103" i="1"/>
  <c r="W3102" i="1"/>
  <c r="T3102" i="1"/>
  <c r="P3102" i="1"/>
  <c r="J3102" i="1"/>
  <c r="G3102" i="1"/>
  <c r="F3102" i="1"/>
  <c r="B3102" i="1"/>
  <c r="W3101" i="1"/>
  <c r="T3101" i="1"/>
  <c r="P3101" i="1"/>
  <c r="J3101" i="1"/>
  <c r="G3101" i="1"/>
  <c r="F3101" i="1"/>
  <c r="B3101" i="1"/>
  <c r="W3100" i="1"/>
  <c r="T3100" i="1"/>
  <c r="P3100" i="1"/>
  <c r="J3100" i="1"/>
  <c r="G3100" i="1"/>
  <c r="F3100" i="1"/>
  <c r="B3100" i="1"/>
  <c r="W3099" i="1"/>
  <c r="T3099" i="1"/>
  <c r="P3099" i="1"/>
  <c r="J3099" i="1"/>
  <c r="G3099" i="1"/>
  <c r="F3099" i="1"/>
  <c r="B3099" i="1"/>
  <c r="W3098" i="1"/>
  <c r="T3098" i="1"/>
  <c r="P3098" i="1"/>
  <c r="J3098" i="1"/>
  <c r="G3098" i="1"/>
  <c r="F3098" i="1"/>
  <c r="B3098" i="1"/>
  <c r="W3097" i="1"/>
  <c r="T3097" i="1"/>
  <c r="P3097" i="1"/>
  <c r="J3097" i="1"/>
  <c r="G3097" i="1"/>
  <c r="F3097" i="1"/>
  <c r="B3097" i="1"/>
  <c r="W3096" i="1"/>
  <c r="T3096" i="1"/>
  <c r="P3096" i="1"/>
  <c r="J3096" i="1"/>
  <c r="G3096" i="1"/>
  <c r="F3096" i="1"/>
  <c r="B3096" i="1"/>
  <c r="W3095" i="1"/>
  <c r="T3095" i="1"/>
  <c r="P3095" i="1"/>
  <c r="J3095" i="1"/>
  <c r="G3095" i="1"/>
  <c r="F3095" i="1"/>
  <c r="B3095" i="1"/>
  <c r="W3094" i="1"/>
  <c r="T3094" i="1"/>
  <c r="P3094" i="1"/>
  <c r="J3094" i="1"/>
  <c r="G3094" i="1"/>
  <c r="F3094" i="1"/>
  <c r="B3094" i="1"/>
  <c r="W3093" i="1"/>
  <c r="T3093" i="1"/>
  <c r="P3093" i="1"/>
  <c r="J3093" i="1"/>
  <c r="G3093" i="1"/>
  <c r="F3093" i="1"/>
  <c r="B3093" i="1"/>
  <c r="W3092" i="1"/>
  <c r="T3092" i="1"/>
  <c r="P3092" i="1"/>
  <c r="J3092" i="1"/>
  <c r="G3092" i="1"/>
  <c r="F3092" i="1"/>
  <c r="B3092" i="1"/>
  <c r="W3091" i="1"/>
  <c r="T3091" i="1"/>
  <c r="P3091" i="1"/>
  <c r="J3091" i="1"/>
  <c r="G3091" i="1"/>
  <c r="F3091" i="1"/>
  <c r="B3091" i="1"/>
  <c r="W3090" i="1"/>
  <c r="T3090" i="1"/>
  <c r="P3090" i="1"/>
  <c r="J3090" i="1"/>
  <c r="G3090" i="1"/>
  <c r="F3090" i="1"/>
  <c r="B3090" i="1"/>
  <c r="W3089" i="1"/>
  <c r="T3089" i="1"/>
  <c r="P3089" i="1"/>
  <c r="J3089" i="1"/>
  <c r="G3089" i="1"/>
  <c r="F3089" i="1"/>
  <c r="B3089" i="1"/>
  <c r="W3088" i="1"/>
  <c r="T3088" i="1"/>
  <c r="P3088" i="1"/>
  <c r="J3088" i="1"/>
  <c r="G3088" i="1"/>
  <c r="F3088" i="1"/>
  <c r="B3088" i="1"/>
  <c r="W3087" i="1"/>
  <c r="T3087" i="1"/>
  <c r="P3087" i="1"/>
  <c r="J3087" i="1"/>
  <c r="G3087" i="1"/>
  <c r="F3087" i="1"/>
  <c r="B3087" i="1"/>
  <c r="W3086" i="1"/>
  <c r="T3086" i="1"/>
  <c r="P3086" i="1"/>
  <c r="J3086" i="1"/>
  <c r="G3086" i="1"/>
  <c r="F3086" i="1"/>
  <c r="B3086" i="1"/>
  <c r="W3085" i="1"/>
  <c r="T3085" i="1"/>
  <c r="P3085" i="1"/>
  <c r="J3085" i="1"/>
  <c r="G3085" i="1"/>
  <c r="F3085" i="1"/>
  <c r="B3085" i="1"/>
  <c r="W3084" i="1"/>
  <c r="T3084" i="1"/>
  <c r="P3084" i="1"/>
  <c r="J3084" i="1"/>
  <c r="G3084" i="1"/>
  <c r="F3084" i="1"/>
  <c r="B3084" i="1"/>
  <c r="W3083" i="1"/>
  <c r="T3083" i="1"/>
  <c r="P3083" i="1"/>
  <c r="J3083" i="1"/>
  <c r="G3083" i="1"/>
  <c r="F3083" i="1"/>
  <c r="B3083" i="1"/>
  <c r="W3082" i="1"/>
  <c r="T3082" i="1"/>
  <c r="P3082" i="1"/>
  <c r="J3082" i="1"/>
  <c r="G3082" i="1"/>
  <c r="F3082" i="1"/>
  <c r="B3082" i="1"/>
  <c r="W3081" i="1"/>
  <c r="T3081" i="1"/>
  <c r="P3081" i="1"/>
  <c r="J3081" i="1"/>
  <c r="G3081" i="1"/>
  <c r="F3081" i="1"/>
  <c r="B3081" i="1"/>
  <c r="W3080" i="1"/>
  <c r="T3080" i="1"/>
  <c r="P3080" i="1"/>
  <c r="J3080" i="1"/>
  <c r="G3080" i="1"/>
  <c r="F3080" i="1"/>
  <c r="B3080" i="1"/>
  <c r="W3079" i="1"/>
  <c r="T3079" i="1"/>
  <c r="P3079" i="1"/>
  <c r="J3079" i="1"/>
  <c r="G3079" i="1"/>
  <c r="F3079" i="1"/>
  <c r="B3079" i="1"/>
  <c r="W3078" i="1"/>
  <c r="T3078" i="1"/>
  <c r="P3078" i="1"/>
  <c r="J3078" i="1"/>
  <c r="G3078" i="1"/>
  <c r="F3078" i="1"/>
  <c r="B3078" i="1"/>
  <c r="W3077" i="1"/>
  <c r="T3077" i="1"/>
  <c r="P3077" i="1"/>
  <c r="J3077" i="1"/>
  <c r="G3077" i="1"/>
  <c r="F3077" i="1"/>
  <c r="B3077" i="1"/>
  <c r="W3076" i="1"/>
  <c r="T3076" i="1"/>
  <c r="P3076" i="1"/>
  <c r="J3076" i="1"/>
  <c r="G3076" i="1"/>
  <c r="F3076" i="1"/>
  <c r="B3076" i="1"/>
  <c r="W3075" i="1"/>
  <c r="T3075" i="1"/>
  <c r="P3075" i="1"/>
  <c r="J3075" i="1"/>
  <c r="G3075" i="1"/>
  <c r="F3075" i="1"/>
  <c r="B3075" i="1"/>
  <c r="W3074" i="1"/>
  <c r="T3074" i="1"/>
  <c r="P3074" i="1"/>
  <c r="J3074" i="1"/>
  <c r="G3074" i="1"/>
  <c r="F3074" i="1"/>
  <c r="B3074" i="1"/>
  <c r="W3073" i="1"/>
  <c r="T3073" i="1"/>
  <c r="P3073" i="1"/>
  <c r="J3073" i="1"/>
  <c r="G3073" i="1"/>
  <c r="F3073" i="1"/>
  <c r="B3073" i="1"/>
  <c r="W3072" i="1"/>
  <c r="T3072" i="1"/>
  <c r="P3072" i="1"/>
  <c r="J3072" i="1"/>
  <c r="G3072" i="1"/>
  <c r="F3072" i="1"/>
  <c r="B3072" i="1"/>
  <c r="W3071" i="1"/>
  <c r="T3071" i="1"/>
  <c r="P3071" i="1"/>
  <c r="J3071" i="1"/>
  <c r="G3071" i="1"/>
  <c r="F3071" i="1"/>
  <c r="B3071" i="1"/>
  <c r="W3070" i="1"/>
  <c r="T3070" i="1"/>
  <c r="P3070" i="1"/>
  <c r="J3070" i="1"/>
  <c r="G3070" i="1"/>
  <c r="F3070" i="1"/>
  <c r="B3070" i="1"/>
  <c r="W3069" i="1"/>
  <c r="T3069" i="1"/>
  <c r="P3069" i="1"/>
  <c r="J3069" i="1"/>
  <c r="G3069" i="1"/>
  <c r="F3069" i="1"/>
  <c r="B3069" i="1"/>
  <c r="W3068" i="1"/>
  <c r="T3068" i="1"/>
  <c r="P3068" i="1"/>
  <c r="J3068" i="1"/>
  <c r="G3068" i="1"/>
  <c r="F3068" i="1"/>
  <c r="B3068" i="1"/>
  <c r="W3067" i="1"/>
  <c r="T3067" i="1"/>
  <c r="P3067" i="1"/>
  <c r="J3067" i="1"/>
  <c r="G3067" i="1"/>
  <c r="F3067" i="1"/>
  <c r="B3067" i="1"/>
  <c r="W3066" i="1"/>
  <c r="T3066" i="1"/>
  <c r="P3066" i="1"/>
  <c r="J3066" i="1"/>
  <c r="G3066" i="1"/>
  <c r="F3066" i="1"/>
  <c r="B3066" i="1"/>
  <c r="W3065" i="1"/>
  <c r="T3065" i="1"/>
  <c r="P3065" i="1"/>
  <c r="J3065" i="1"/>
  <c r="G3065" i="1"/>
  <c r="F3065" i="1"/>
  <c r="B3065" i="1"/>
  <c r="W3064" i="1"/>
  <c r="T3064" i="1"/>
  <c r="P3064" i="1"/>
  <c r="J3064" i="1"/>
  <c r="G3064" i="1"/>
  <c r="F3064" i="1"/>
  <c r="B3064" i="1"/>
  <c r="W3063" i="1"/>
  <c r="T3063" i="1"/>
  <c r="P3063" i="1"/>
  <c r="J3063" i="1"/>
  <c r="G3063" i="1"/>
  <c r="F3063" i="1"/>
  <c r="B3063" i="1"/>
  <c r="W3062" i="1"/>
  <c r="T3062" i="1"/>
  <c r="P3062" i="1"/>
  <c r="J3062" i="1"/>
  <c r="G3062" i="1"/>
  <c r="F3062" i="1"/>
  <c r="B3062" i="1"/>
  <c r="W3061" i="1"/>
  <c r="T3061" i="1"/>
  <c r="P3061" i="1"/>
  <c r="J3061" i="1"/>
  <c r="G3061" i="1"/>
  <c r="F3061" i="1"/>
  <c r="B3061" i="1"/>
  <c r="W3060" i="1"/>
  <c r="T3060" i="1"/>
  <c r="P3060" i="1"/>
  <c r="J3060" i="1"/>
  <c r="G3060" i="1"/>
  <c r="F3060" i="1"/>
  <c r="B3060" i="1"/>
  <c r="W3059" i="1"/>
  <c r="T3059" i="1"/>
  <c r="P3059" i="1"/>
  <c r="J3059" i="1"/>
  <c r="G3059" i="1"/>
  <c r="F3059" i="1"/>
  <c r="B3059" i="1"/>
  <c r="W3058" i="1"/>
  <c r="T3058" i="1"/>
  <c r="P3058" i="1"/>
  <c r="J3058" i="1"/>
  <c r="G3058" i="1"/>
  <c r="F3058" i="1"/>
  <c r="B3058" i="1"/>
  <c r="W3057" i="1"/>
  <c r="T3057" i="1"/>
  <c r="P3057" i="1"/>
  <c r="J3057" i="1"/>
  <c r="G3057" i="1"/>
  <c r="F3057" i="1"/>
  <c r="B3057" i="1"/>
  <c r="W3056" i="1"/>
  <c r="T3056" i="1"/>
  <c r="P3056" i="1"/>
  <c r="J3056" i="1"/>
  <c r="G3056" i="1"/>
  <c r="F3056" i="1"/>
  <c r="B3056" i="1"/>
  <c r="W3055" i="1"/>
  <c r="T3055" i="1"/>
  <c r="P3055" i="1"/>
  <c r="J3055" i="1"/>
  <c r="G3055" i="1"/>
  <c r="F3055" i="1"/>
  <c r="B3055" i="1"/>
  <c r="W3054" i="1"/>
  <c r="T3054" i="1"/>
  <c r="P3054" i="1"/>
  <c r="J3054" i="1"/>
  <c r="G3054" i="1"/>
  <c r="F3054" i="1"/>
  <c r="B3054" i="1"/>
  <c r="W3053" i="1"/>
  <c r="T3053" i="1"/>
  <c r="P3053" i="1"/>
  <c r="J3053" i="1"/>
  <c r="G3053" i="1"/>
  <c r="F3053" i="1"/>
  <c r="B3053" i="1"/>
  <c r="W3052" i="1"/>
  <c r="T3052" i="1"/>
  <c r="P3052" i="1"/>
  <c r="J3052" i="1"/>
  <c r="G3052" i="1"/>
  <c r="F3052" i="1"/>
  <c r="B3052" i="1"/>
  <c r="W3051" i="1"/>
  <c r="T3051" i="1"/>
  <c r="P3051" i="1"/>
  <c r="J3051" i="1"/>
  <c r="G3051" i="1"/>
  <c r="F3051" i="1"/>
  <c r="B3051" i="1"/>
  <c r="W3050" i="1"/>
  <c r="T3050" i="1"/>
  <c r="P3050" i="1"/>
  <c r="J3050" i="1"/>
  <c r="G3050" i="1"/>
  <c r="F3050" i="1"/>
  <c r="B3050" i="1"/>
  <c r="W3049" i="1"/>
  <c r="T3049" i="1"/>
  <c r="P3049" i="1"/>
  <c r="J3049" i="1"/>
  <c r="G3049" i="1"/>
  <c r="F3049" i="1"/>
  <c r="B3049" i="1"/>
  <c r="W3048" i="1"/>
  <c r="T3048" i="1"/>
  <c r="P3048" i="1"/>
  <c r="J3048" i="1"/>
  <c r="G3048" i="1"/>
  <c r="F3048" i="1"/>
  <c r="B3048" i="1"/>
  <c r="W3047" i="1"/>
  <c r="T3047" i="1"/>
  <c r="P3047" i="1"/>
  <c r="J3047" i="1"/>
  <c r="G3047" i="1"/>
  <c r="F3047" i="1"/>
  <c r="B3047" i="1"/>
  <c r="W3046" i="1"/>
  <c r="T3046" i="1"/>
  <c r="P3046" i="1"/>
  <c r="J3046" i="1"/>
  <c r="G3046" i="1"/>
  <c r="F3046" i="1"/>
  <c r="B3046" i="1"/>
  <c r="W3045" i="1"/>
  <c r="T3045" i="1"/>
  <c r="P3045" i="1"/>
  <c r="J3045" i="1"/>
  <c r="G3045" i="1"/>
  <c r="F3045" i="1"/>
  <c r="B3045" i="1"/>
  <c r="W3044" i="1"/>
  <c r="T3044" i="1"/>
  <c r="P3044" i="1"/>
  <c r="J3044" i="1"/>
  <c r="G3044" i="1"/>
  <c r="F3044" i="1"/>
  <c r="B3044" i="1"/>
  <c r="W3043" i="1"/>
  <c r="T3043" i="1"/>
  <c r="P3043" i="1"/>
  <c r="J3043" i="1"/>
  <c r="G3043" i="1"/>
  <c r="F3043" i="1"/>
  <c r="B3043" i="1"/>
  <c r="W3042" i="1"/>
  <c r="T3042" i="1"/>
  <c r="P3042" i="1"/>
  <c r="J3042" i="1"/>
  <c r="G3042" i="1"/>
  <c r="F3042" i="1"/>
  <c r="B3042" i="1"/>
  <c r="W3041" i="1"/>
  <c r="T3041" i="1"/>
  <c r="P3041" i="1"/>
  <c r="J3041" i="1"/>
  <c r="G3041" i="1"/>
  <c r="F3041" i="1"/>
  <c r="B3041" i="1"/>
  <c r="W3040" i="1"/>
  <c r="T3040" i="1"/>
  <c r="P3040" i="1"/>
  <c r="J3040" i="1"/>
  <c r="G3040" i="1"/>
  <c r="F3040" i="1"/>
  <c r="B3040" i="1"/>
  <c r="W3039" i="1"/>
  <c r="T3039" i="1"/>
  <c r="P3039" i="1"/>
  <c r="J3039" i="1"/>
  <c r="G3039" i="1"/>
  <c r="F3039" i="1"/>
  <c r="B3039" i="1"/>
  <c r="W3038" i="1"/>
  <c r="T3038" i="1"/>
  <c r="P3038" i="1"/>
  <c r="J3038" i="1"/>
  <c r="G3038" i="1"/>
  <c r="F3038" i="1"/>
  <c r="B3038" i="1"/>
  <c r="W3037" i="1"/>
  <c r="T3037" i="1"/>
  <c r="P3037" i="1"/>
  <c r="J3037" i="1"/>
  <c r="G3037" i="1"/>
  <c r="F3037" i="1"/>
  <c r="B3037" i="1"/>
  <c r="W3036" i="1"/>
  <c r="T3036" i="1"/>
  <c r="P3036" i="1"/>
  <c r="J3036" i="1"/>
  <c r="G3036" i="1"/>
  <c r="F3036" i="1"/>
  <c r="B3036" i="1"/>
  <c r="W3035" i="1"/>
  <c r="T3035" i="1"/>
  <c r="P3035" i="1"/>
  <c r="J3035" i="1"/>
  <c r="G3035" i="1"/>
  <c r="F3035" i="1"/>
  <c r="B3035" i="1"/>
  <c r="W3034" i="1"/>
  <c r="T3034" i="1"/>
  <c r="P3034" i="1"/>
  <c r="J3034" i="1"/>
  <c r="G3034" i="1"/>
  <c r="F3034" i="1"/>
  <c r="B3034" i="1"/>
  <c r="W3033" i="1"/>
  <c r="T3033" i="1"/>
  <c r="P3033" i="1"/>
  <c r="J3033" i="1"/>
  <c r="G3033" i="1"/>
  <c r="F3033" i="1"/>
  <c r="B3033" i="1"/>
  <c r="W3032" i="1"/>
  <c r="T3032" i="1"/>
  <c r="P3032" i="1"/>
  <c r="J3032" i="1"/>
  <c r="G3032" i="1"/>
  <c r="F3032" i="1"/>
  <c r="B3032" i="1"/>
  <c r="W3031" i="1"/>
  <c r="T3031" i="1"/>
  <c r="P3031" i="1"/>
  <c r="J3031" i="1"/>
  <c r="G3031" i="1"/>
  <c r="F3031" i="1"/>
  <c r="B3031" i="1"/>
  <c r="W3030" i="1"/>
  <c r="T3030" i="1"/>
  <c r="P3030" i="1"/>
  <c r="J3030" i="1"/>
  <c r="G3030" i="1"/>
  <c r="F3030" i="1"/>
  <c r="B3030" i="1"/>
  <c r="W3029" i="1"/>
  <c r="T3029" i="1"/>
  <c r="P3029" i="1"/>
  <c r="J3029" i="1"/>
  <c r="G3029" i="1"/>
  <c r="F3029" i="1"/>
  <c r="B3029" i="1"/>
  <c r="W3028" i="1"/>
  <c r="T3028" i="1"/>
  <c r="P3028" i="1"/>
  <c r="J3028" i="1"/>
  <c r="G3028" i="1"/>
  <c r="F3028" i="1"/>
  <c r="B3028" i="1"/>
  <c r="W3027" i="1"/>
  <c r="T3027" i="1"/>
  <c r="P3027" i="1"/>
  <c r="J3027" i="1"/>
  <c r="G3027" i="1"/>
  <c r="F3027" i="1"/>
  <c r="B3027" i="1"/>
  <c r="W3026" i="1"/>
  <c r="T3026" i="1"/>
  <c r="P3026" i="1"/>
  <c r="J3026" i="1"/>
  <c r="G3026" i="1"/>
  <c r="F3026" i="1"/>
  <c r="B3026" i="1"/>
  <c r="W3025" i="1"/>
  <c r="T3025" i="1"/>
  <c r="P3025" i="1"/>
  <c r="J3025" i="1"/>
  <c r="G3025" i="1"/>
  <c r="F3025" i="1"/>
  <c r="B3025" i="1"/>
  <c r="W3024" i="1"/>
  <c r="T3024" i="1"/>
  <c r="P3024" i="1"/>
  <c r="J3024" i="1"/>
  <c r="G3024" i="1"/>
  <c r="F3024" i="1"/>
  <c r="B3024" i="1"/>
  <c r="W3023" i="1"/>
  <c r="T3023" i="1"/>
  <c r="P3023" i="1"/>
  <c r="J3023" i="1"/>
  <c r="G3023" i="1"/>
  <c r="F3023" i="1"/>
  <c r="B3023" i="1"/>
  <c r="W3022" i="1"/>
  <c r="T3022" i="1"/>
  <c r="P3022" i="1"/>
  <c r="J3022" i="1"/>
  <c r="G3022" i="1"/>
  <c r="F3022" i="1"/>
  <c r="B3022" i="1"/>
  <c r="W3021" i="1"/>
  <c r="T3021" i="1"/>
  <c r="P3021" i="1"/>
  <c r="J3021" i="1"/>
  <c r="G3021" i="1"/>
  <c r="F3021" i="1"/>
  <c r="B3021" i="1"/>
  <c r="W3020" i="1"/>
  <c r="T3020" i="1"/>
  <c r="P3020" i="1"/>
  <c r="J3020" i="1"/>
  <c r="G3020" i="1"/>
  <c r="F3020" i="1"/>
  <c r="B3020" i="1"/>
  <c r="W3019" i="1"/>
  <c r="T3019" i="1"/>
  <c r="P3019" i="1"/>
  <c r="J3019" i="1"/>
  <c r="G3019" i="1"/>
  <c r="F3019" i="1"/>
  <c r="B3019" i="1"/>
  <c r="W3018" i="1"/>
  <c r="T3018" i="1"/>
  <c r="P3018" i="1"/>
  <c r="J3018" i="1"/>
  <c r="G3018" i="1"/>
  <c r="F3018" i="1"/>
  <c r="B3018" i="1"/>
  <c r="W3017" i="1"/>
  <c r="T3017" i="1"/>
  <c r="P3017" i="1"/>
  <c r="J3017" i="1"/>
  <c r="G3017" i="1"/>
  <c r="F3017" i="1"/>
  <c r="B3017" i="1"/>
  <c r="W3016" i="1"/>
  <c r="T3016" i="1"/>
  <c r="P3016" i="1"/>
  <c r="J3016" i="1"/>
  <c r="G3016" i="1"/>
  <c r="F3016" i="1"/>
  <c r="B3016" i="1"/>
  <c r="W3015" i="1"/>
  <c r="T3015" i="1"/>
  <c r="P3015" i="1"/>
  <c r="J3015" i="1"/>
  <c r="G3015" i="1"/>
  <c r="F3015" i="1"/>
  <c r="B3015" i="1"/>
  <c r="W3014" i="1"/>
  <c r="T3014" i="1"/>
  <c r="P3014" i="1"/>
  <c r="J3014" i="1"/>
  <c r="G3014" i="1"/>
  <c r="F3014" i="1"/>
  <c r="B3014" i="1"/>
  <c r="W3013" i="1"/>
  <c r="T3013" i="1"/>
  <c r="P3013" i="1"/>
  <c r="J3013" i="1"/>
  <c r="G3013" i="1"/>
  <c r="F3013" i="1"/>
  <c r="B3013" i="1"/>
  <c r="W3012" i="1"/>
  <c r="T3012" i="1"/>
  <c r="P3012" i="1"/>
  <c r="J3012" i="1"/>
  <c r="G3012" i="1"/>
  <c r="F3012" i="1"/>
  <c r="B3012" i="1"/>
  <c r="W3011" i="1"/>
  <c r="T3011" i="1"/>
  <c r="P3011" i="1"/>
  <c r="J3011" i="1"/>
  <c r="G3011" i="1"/>
  <c r="F3011" i="1"/>
  <c r="B3011" i="1"/>
  <c r="W3010" i="1"/>
  <c r="T3010" i="1"/>
  <c r="P3010" i="1"/>
  <c r="J3010" i="1"/>
  <c r="G3010" i="1"/>
  <c r="F3010" i="1"/>
  <c r="B3010" i="1"/>
  <c r="W3009" i="1"/>
  <c r="T3009" i="1"/>
  <c r="P3009" i="1"/>
  <c r="J3009" i="1"/>
  <c r="G3009" i="1"/>
  <c r="F3009" i="1"/>
  <c r="B3009" i="1"/>
  <c r="W3008" i="1"/>
  <c r="T3008" i="1"/>
  <c r="P3008" i="1"/>
  <c r="J3008" i="1"/>
  <c r="G3008" i="1"/>
  <c r="F3008" i="1"/>
  <c r="B3008" i="1"/>
  <c r="W3007" i="1"/>
  <c r="T3007" i="1"/>
  <c r="P3007" i="1"/>
  <c r="J3007" i="1"/>
  <c r="G3007" i="1"/>
  <c r="F3007" i="1"/>
  <c r="B3007" i="1"/>
  <c r="W3006" i="1"/>
  <c r="T3006" i="1"/>
  <c r="P3006" i="1"/>
  <c r="J3006" i="1"/>
  <c r="G3006" i="1"/>
  <c r="F3006" i="1"/>
  <c r="B3006" i="1"/>
  <c r="W3005" i="1"/>
  <c r="T3005" i="1"/>
  <c r="P3005" i="1"/>
  <c r="J3005" i="1"/>
  <c r="G3005" i="1"/>
  <c r="F3005" i="1"/>
  <c r="B3005" i="1"/>
  <c r="W3004" i="1"/>
  <c r="T3004" i="1"/>
  <c r="P3004" i="1"/>
  <c r="J3004" i="1"/>
  <c r="G3004" i="1"/>
  <c r="F3004" i="1"/>
  <c r="B3004" i="1"/>
  <c r="W3003" i="1"/>
  <c r="T3003" i="1"/>
  <c r="P3003" i="1"/>
  <c r="J3003" i="1"/>
  <c r="G3003" i="1"/>
  <c r="F3003" i="1"/>
  <c r="B3003" i="1"/>
  <c r="W3002" i="1"/>
  <c r="T3002" i="1"/>
  <c r="P3002" i="1"/>
  <c r="J3002" i="1"/>
  <c r="G3002" i="1"/>
  <c r="F3002" i="1"/>
  <c r="B3002" i="1"/>
  <c r="W3001" i="1"/>
  <c r="T3001" i="1"/>
  <c r="P3001" i="1"/>
  <c r="J3001" i="1"/>
  <c r="G3001" i="1"/>
  <c r="F3001" i="1"/>
  <c r="B3001" i="1"/>
  <c r="W3000" i="1"/>
  <c r="T3000" i="1"/>
  <c r="P3000" i="1"/>
  <c r="J3000" i="1"/>
  <c r="G3000" i="1"/>
  <c r="F3000" i="1"/>
  <c r="B3000" i="1"/>
  <c r="W2999" i="1"/>
  <c r="T2999" i="1"/>
  <c r="P2999" i="1"/>
  <c r="J2999" i="1"/>
  <c r="G2999" i="1"/>
  <c r="F2999" i="1"/>
  <c r="B2999" i="1"/>
  <c r="W2998" i="1"/>
  <c r="T2998" i="1"/>
  <c r="P2998" i="1"/>
  <c r="J2998" i="1"/>
  <c r="G2998" i="1"/>
  <c r="F2998" i="1"/>
  <c r="B2998" i="1"/>
  <c r="W2997" i="1"/>
  <c r="T2997" i="1"/>
  <c r="P2997" i="1"/>
  <c r="J2997" i="1"/>
  <c r="G2997" i="1"/>
  <c r="F2997" i="1"/>
  <c r="B2997" i="1"/>
  <c r="W2996" i="1"/>
  <c r="T2996" i="1"/>
  <c r="P2996" i="1"/>
  <c r="J2996" i="1"/>
  <c r="G2996" i="1"/>
  <c r="F2996" i="1"/>
  <c r="B2996" i="1"/>
  <c r="W2995" i="1"/>
  <c r="T2995" i="1"/>
  <c r="P2995" i="1"/>
  <c r="J2995" i="1"/>
  <c r="G2995" i="1"/>
  <c r="F2995" i="1"/>
  <c r="B2995" i="1"/>
  <c r="W2994" i="1"/>
  <c r="T2994" i="1"/>
  <c r="P2994" i="1"/>
  <c r="J2994" i="1"/>
  <c r="G2994" i="1"/>
  <c r="F2994" i="1"/>
  <c r="B2994" i="1"/>
  <c r="W2993" i="1"/>
  <c r="T2993" i="1"/>
  <c r="P2993" i="1"/>
  <c r="J2993" i="1"/>
  <c r="G2993" i="1"/>
  <c r="F2993" i="1"/>
  <c r="B2993" i="1"/>
  <c r="W2992" i="1"/>
  <c r="T2992" i="1"/>
  <c r="P2992" i="1"/>
  <c r="J2992" i="1"/>
  <c r="G2992" i="1"/>
  <c r="F2992" i="1"/>
  <c r="B2992" i="1"/>
  <c r="W2991" i="1"/>
  <c r="T2991" i="1"/>
  <c r="P2991" i="1"/>
  <c r="J2991" i="1"/>
  <c r="G2991" i="1"/>
  <c r="F2991" i="1"/>
  <c r="B2991" i="1"/>
  <c r="W2990" i="1"/>
  <c r="T2990" i="1"/>
  <c r="P2990" i="1"/>
  <c r="J2990" i="1"/>
  <c r="G2990" i="1"/>
  <c r="F2990" i="1"/>
  <c r="B2990" i="1"/>
  <c r="W2989" i="1"/>
  <c r="T2989" i="1"/>
  <c r="P2989" i="1"/>
  <c r="J2989" i="1"/>
  <c r="G2989" i="1"/>
  <c r="F2989" i="1"/>
  <c r="B2989" i="1"/>
  <c r="W2988" i="1"/>
  <c r="T2988" i="1"/>
  <c r="P2988" i="1"/>
  <c r="J2988" i="1"/>
  <c r="G2988" i="1"/>
  <c r="F2988" i="1"/>
  <c r="B2988" i="1"/>
  <c r="W2987" i="1"/>
  <c r="T2987" i="1"/>
  <c r="P2987" i="1"/>
  <c r="J2987" i="1"/>
  <c r="G2987" i="1"/>
  <c r="F2987" i="1"/>
  <c r="B2987" i="1"/>
  <c r="W2986" i="1"/>
  <c r="T2986" i="1"/>
  <c r="P2986" i="1"/>
  <c r="J2986" i="1"/>
  <c r="G2986" i="1"/>
  <c r="F2986" i="1"/>
  <c r="B2986" i="1"/>
  <c r="W2985" i="1"/>
  <c r="T2985" i="1"/>
  <c r="P2985" i="1"/>
  <c r="J2985" i="1"/>
  <c r="G2985" i="1"/>
  <c r="F2985" i="1"/>
  <c r="B2985" i="1"/>
  <c r="W2984" i="1"/>
  <c r="T2984" i="1"/>
  <c r="P2984" i="1"/>
  <c r="J2984" i="1"/>
  <c r="G2984" i="1"/>
  <c r="F2984" i="1"/>
  <c r="B2984" i="1"/>
  <c r="W2983" i="1"/>
  <c r="T2983" i="1"/>
  <c r="P2983" i="1"/>
  <c r="J2983" i="1"/>
  <c r="G2983" i="1"/>
  <c r="F2983" i="1"/>
  <c r="B2983" i="1"/>
  <c r="W2982" i="1"/>
  <c r="T2982" i="1"/>
  <c r="P2982" i="1"/>
  <c r="J2982" i="1"/>
  <c r="G2982" i="1"/>
  <c r="F2982" i="1"/>
  <c r="B2982" i="1"/>
  <c r="W2981" i="1"/>
  <c r="T2981" i="1"/>
  <c r="P2981" i="1"/>
  <c r="J2981" i="1"/>
  <c r="G2981" i="1"/>
  <c r="F2981" i="1"/>
  <c r="B2981" i="1"/>
  <c r="W2980" i="1"/>
  <c r="T2980" i="1"/>
  <c r="P2980" i="1"/>
  <c r="J2980" i="1"/>
  <c r="G2980" i="1"/>
  <c r="F2980" i="1"/>
  <c r="B2980" i="1"/>
  <c r="W2979" i="1"/>
  <c r="T2979" i="1"/>
  <c r="P2979" i="1"/>
  <c r="J2979" i="1"/>
  <c r="G2979" i="1"/>
  <c r="F2979" i="1"/>
  <c r="B2979" i="1"/>
  <c r="W2978" i="1"/>
  <c r="T2978" i="1"/>
  <c r="P2978" i="1"/>
  <c r="J2978" i="1"/>
  <c r="G2978" i="1"/>
  <c r="F2978" i="1"/>
  <c r="B2978" i="1"/>
  <c r="W2977" i="1"/>
  <c r="T2977" i="1"/>
  <c r="P2977" i="1"/>
  <c r="J2977" i="1"/>
  <c r="G2977" i="1"/>
  <c r="F2977" i="1"/>
  <c r="B2977" i="1"/>
  <c r="W2976" i="1"/>
  <c r="T2976" i="1"/>
  <c r="P2976" i="1"/>
  <c r="J2976" i="1"/>
  <c r="G2976" i="1"/>
  <c r="F2976" i="1"/>
  <c r="B2976" i="1"/>
  <c r="W2975" i="1"/>
  <c r="T2975" i="1"/>
  <c r="P2975" i="1"/>
  <c r="J2975" i="1"/>
  <c r="G2975" i="1"/>
  <c r="F2975" i="1"/>
  <c r="B2975" i="1"/>
  <c r="W2974" i="1"/>
  <c r="T2974" i="1"/>
  <c r="P2974" i="1"/>
  <c r="J2974" i="1"/>
  <c r="G2974" i="1"/>
  <c r="F2974" i="1"/>
  <c r="B2974" i="1"/>
  <c r="W2973" i="1"/>
  <c r="T2973" i="1"/>
  <c r="P2973" i="1"/>
  <c r="J2973" i="1"/>
  <c r="G2973" i="1"/>
  <c r="F2973" i="1"/>
  <c r="B2973" i="1"/>
  <c r="W2972" i="1"/>
  <c r="T2972" i="1"/>
  <c r="P2972" i="1"/>
  <c r="J2972" i="1"/>
  <c r="G2972" i="1"/>
  <c r="F2972" i="1"/>
  <c r="B2972" i="1"/>
  <c r="W2971" i="1"/>
  <c r="T2971" i="1"/>
  <c r="P2971" i="1"/>
  <c r="J2971" i="1"/>
  <c r="G2971" i="1"/>
  <c r="F2971" i="1"/>
  <c r="B2971" i="1"/>
  <c r="W2970" i="1"/>
  <c r="T2970" i="1"/>
  <c r="P2970" i="1"/>
  <c r="J2970" i="1"/>
  <c r="G2970" i="1"/>
  <c r="F2970" i="1"/>
  <c r="B2970" i="1"/>
  <c r="W2969" i="1"/>
  <c r="T2969" i="1"/>
  <c r="P2969" i="1"/>
  <c r="J2969" i="1"/>
  <c r="G2969" i="1"/>
  <c r="F2969" i="1"/>
  <c r="B2969" i="1"/>
  <c r="W2968" i="1"/>
  <c r="T2968" i="1"/>
  <c r="P2968" i="1"/>
  <c r="J2968" i="1"/>
  <c r="G2968" i="1"/>
  <c r="F2968" i="1"/>
  <c r="B2968" i="1"/>
  <c r="W2967" i="1"/>
  <c r="T2967" i="1"/>
  <c r="P2967" i="1"/>
  <c r="J2967" i="1"/>
  <c r="G2967" i="1"/>
  <c r="F2967" i="1"/>
  <c r="B2967" i="1"/>
  <c r="W2966" i="1"/>
  <c r="T2966" i="1"/>
  <c r="P2966" i="1"/>
  <c r="J2966" i="1"/>
  <c r="G2966" i="1"/>
  <c r="F2966" i="1"/>
  <c r="B2966" i="1"/>
  <c r="W2965" i="1"/>
  <c r="T2965" i="1"/>
  <c r="P2965" i="1"/>
  <c r="J2965" i="1"/>
  <c r="G2965" i="1"/>
  <c r="F2965" i="1"/>
  <c r="B2965" i="1"/>
  <c r="W2964" i="1"/>
  <c r="T2964" i="1"/>
  <c r="P2964" i="1"/>
  <c r="J2964" i="1"/>
  <c r="G2964" i="1"/>
  <c r="F2964" i="1"/>
  <c r="B2964" i="1"/>
  <c r="W2963" i="1"/>
  <c r="T2963" i="1"/>
  <c r="P2963" i="1"/>
  <c r="J2963" i="1"/>
  <c r="G2963" i="1"/>
  <c r="F2963" i="1"/>
  <c r="B2963" i="1"/>
  <c r="W2962" i="1"/>
  <c r="T2962" i="1"/>
  <c r="P2962" i="1"/>
  <c r="J2962" i="1"/>
  <c r="G2962" i="1"/>
  <c r="F2962" i="1"/>
  <c r="B2962" i="1"/>
  <c r="W2961" i="1"/>
  <c r="T2961" i="1"/>
  <c r="P2961" i="1"/>
  <c r="J2961" i="1"/>
  <c r="G2961" i="1"/>
  <c r="F2961" i="1"/>
  <c r="B2961" i="1"/>
  <c r="W2960" i="1"/>
  <c r="T2960" i="1"/>
  <c r="P2960" i="1"/>
  <c r="J2960" i="1"/>
  <c r="G2960" i="1"/>
  <c r="F2960" i="1"/>
  <c r="B2960" i="1"/>
  <c r="W2959" i="1"/>
  <c r="T2959" i="1"/>
  <c r="P2959" i="1"/>
  <c r="J2959" i="1"/>
  <c r="G2959" i="1"/>
  <c r="F2959" i="1"/>
  <c r="B2959" i="1"/>
  <c r="W2958" i="1"/>
  <c r="T2958" i="1"/>
  <c r="P2958" i="1"/>
  <c r="J2958" i="1"/>
  <c r="G2958" i="1"/>
  <c r="F2958" i="1"/>
  <c r="B2958" i="1"/>
  <c r="W2957" i="1"/>
  <c r="T2957" i="1"/>
  <c r="P2957" i="1"/>
  <c r="J2957" i="1"/>
  <c r="G2957" i="1"/>
  <c r="F2957" i="1"/>
  <c r="B2957" i="1"/>
  <c r="W2956" i="1"/>
  <c r="T2956" i="1"/>
  <c r="P2956" i="1"/>
  <c r="J2956" i="1"/>
  <c r="G2956" i="1"/>
  <c r="F2956" i="1"/>
  <c r="B2956" i="1"/>
  <c r="W2955" i="1"/>
  <c r="T2955" i="1"/>
  <c r="P2955" i="1"/>
  <c r="J2955" i="1"/>
  <c r="G2955" i="1"/>
  <c r="F2955" i="1"/>
  <c r="B2955" i="1"/>
  <c r="W2954" i="1"/>
  <c r="T2954" i="1"/>
  <c r="P2954" i="1"/>
  <c r="J2954" i="1"/>
  <c r="G2954" i="1"/>
  <c r="F2954" i="1"/>
  <c r="B2954" i="1"/>
  <c r="W2953" i="1"/>
  <c r="T2953" i="1"/>
  <c r="P2953" i="1"/>
  <c r="J2953" i="1"/>
  <c r="G2953" i="1"/>
  <c r="F2953" i="1"/>
  <c r="B2953" i="1"/>
  <c r="W2952" i="1"/>
  <c r="T2952" i="1"/>
  <c r="P2952" i="1"/>
  <c r="J2952" i="1"/>
  <c r="G2952" i="1"/>
  <c r="F2952" i="1"/>
  <c r="B2952" i="1"/>
  <c r="W2951" i="1"/>
  <c r="T2951" i="1"/>
  <c r="P2951" i="1"/>
  <c r="J2951" i="1"/>
  <c r="G2951" i="1"/>
  <c r="F2951" i="1"/>
  <c r="B2951" i="1"/>
  <c r="W2950" i="1"/>
  <c r="T2950" i="1"/>
  <c r="P2950" i="1"/>
  <c r="J2950" i="1"/>
  <c r="G2950" i="1"/>
  <c r="F2950" i="1"/>
  <c r="B2950" i="1"/>
  <c r="W2949" i="1"/>
  <c r="T2949" i="1"/>
  <c r="P2949" i="1"/>
  <c r="J2949" i="1"/>
  <c r="G2949" i="1"/>
  <c r="F2949" i="1"/>
  <c r="B2949" i="1"/>
  <c r="W2948" i="1"/>
  <c r="T2948" i="1"/>
  <c r="P2948" i="1"/>
  <c r="J2948" i="1"/>
  <c r="G2948" i="1"/>
  <c r="F2948" i="1"/>
  <c r="B2948" i="1"/>
  <c r="W2947" i="1"/>
  <c r="T2947" i="1"/>
  <c r="P2947" i="1"/>
  <c r="J2947" i="1"/>
  <c r="G2947" i="1"/>
  <c r="F2947" i="1"/>
  <c r="B2947" i="1"/>
  <c r="W2946" i="1"/>
  <c r="T2946" i="1"/>
  <c r="P2946" i="1"/>
  <c r="J2946" i="1"/>
  <c r="G2946" i="1"/>
  <c r="F2946" i="1"/>
  <c r="B2946" i="1"/>
  <c r="W2945" i="1"/>
  <c r="T2945" i="1"/>
  <c r="P2945" i="1"/>
  <c r="J2945" i="1"/>
  <c r="G2945" i="1"/>
  <c r="F2945" i="1"/>
  <c r="B2945" i="1"/>
  <c r="W2944" i="1"/>
  <c r="T2944" i="1"/>
  <c r="P2944" i="1"/>
  <c r="J2944" i="1"/>
  <c r="G2944" i="1"/>
  <c r="F2944" i="1"/>
  <c r="B2944" i="1"/>
  <c r="W2943" i="1"/>
  <c r="T2943" i="1"/>
  <c r="P2943" i="1"/>
  <c r="J2943" i="1"/>
  <c r="G2943" i="1"/>
  <c r="F2943" i="1"/>
  <c r="B2943" i="1"/>
  <c r="W2942" i="1"/>
  <c r="T2942" i="1"/>
  <c r="P2942" i="1"/>
  <c r="J2942" i="1"/>
  <c r="G2942" i="1"/>
  <c r="F2942" i="1"/>
  <c r="B2942" i="1"/>
  <c r="W2941" i="1"/>
  <c r="T2941" i="1"/>
  <c r="P2941" i="1"/>
  <c r="J2941" i="1"/>
  <c r="G2941" i="1"/>
  <c r="F2941" i="1"/>
  <c r="B2941" i="1"/>
  <c r="W2940" i="1"/>
  <c r="T2940" i="1"/>
  <c r="P2940" i="1"/>
  <c r="J2940" i="1"/>
  <c r="G2940" i="1"/>
  <c r="F2940" i="1"/>
  <c r="B2940" i="1"/>
  <c r="W2939" i="1"/>
  <c r="T2939" i="1"/>
  <c r="P2939" i="1"/>
  <c r="J2939" i="1"/>
  <c r="G2939" i="1"/>
  <c r="F2939" i="1"/>
  <c r="B2939" i="1"/>
  <c r="W2938" i="1"/>
  <c r="T2938" i="1"/>
  <c r="P2938" i="1"/>
  <c r="J2938" i="1"/>
  <c r="G2938" i="1"/>
  <c r="F2938" i="1"/>
  <c r="B2938" i="1"/>
  <c r="W2937" i="1"/>
  <c r="T2937" i="1"/>
  <c r="P2937" i="1"/>
  <c r="J2937" i="1"/>
  <c r="G2937" i="1"/>
  <c r="F2937" i="1"/>
  <c r="B2937" i="1"/>
  <c r="W2936" i="1"/>
  <c r="T2936" i="1"/>
  <c r="P2936" i="1"/>
  <c r="J2936" i="1"/>
  <c r="G2936" i="1"/>
  <c r="F2936" i="1"/>
  <c r="B2936" i="1"/>
  <c r="W2935" i="1"/>
  <c r="T2935" i="1"/>
  <c r="P2935" i="1"/>
  <c r="J2935" i="1"/>
  <c r="G2935" i="1"/>
  <c r="F2935" i="1"/>
  <c r="B2935" i="1"/>
  <c r="W2934" i="1"/>
  <c r="T2934" i="1"/>
  <c r="P2934" i="1"/>
  <c r="J2934" i="1"/>
  <c r="G2934" i="1"/>
  <c r="F2934" i="1"/>
  <c r="B2934" i="1"/>
  <c r="W2933" i="1"/>
  <c r="T2933" i="1"/>
  <c r="P2933" i="1"/>
  <c r="J2933" i="1"/>
  <c r="G2933" i="1"/>
  <c r="F2933" i="1"/>
  <c r="B2933" i="1"/>
  <c r="W2932" i="1"/>
  <c r="T2932" i="1"/>
  <c r="P2932" i="1"/>
  <c r="J2932" i="1"/>
  <c r="G2932" i="1"/>
  <c r="F2932" i="1"/>
  <c r="B2932" i="1"/>
  <c r="W2931" i="1"/>
  <c r="T2931" i="1"/>
  <c r="P2931" i="1"/>
  <c r="J2931" i="1"/>
  <c r="G2931" i="1"/>
  <c r="F2931" i="1"/>
  <c r="B2931" i="1"/>
  <c r="W2930" i="1"/>
  <c r="T2930" i="1"/>
  <c r="P2930" i="1"/>
  <c r="J2930" i="1"/>
  <c r="G2930" i="1"/>
  <c r="F2930" i="1"/>
  <c r="B2930" i="1"/>
  <c r="W2929" i="1"/>
  <c r="T2929" i="1"/>
  <c r="P2929" i="1"/>
  <c r="J2929" i="1"/>
  <c r="G2929" i="1"/>
  <c r="F2929" i="1"/>
  <c r="B2929" i="1"/>
  <c r="W2928" i="1"/>
  <c r="T2928" i="1"/>
  <c r="P2928" i="1"/>
  <c r="J2928" i="1"/>
  <c r="G2928" i="1"/>
  <c r="F2928" i="1"/>
  <c r="B2928" i="1"/>
  <c r="W2927" i="1"/>
  <c r="T2927" i="1"/>
  <c r="P2927" i="1"/>
  <c r="J2927" i="1"/>
  <c r="G2927" i="1"/>
  <c r="F2927" i="1"/>
  <c r="B2927" i="1"/>
  <c r="W2926" i="1"/>
  <c r="T2926" i="1"/>
  <c r="P2926" i="1"/>
  <c r="J2926" i="1"/>
  <c r="G2926" i="1"/>
  <c r="F2926" i="1"/>
  <c r="B2926" i="1"/>
  <c r="W2925" i="1"/>
  <c r="T2925" i="1"/>
  <c r="P2925" i="1"/>
  <c r="J2925" i="1"/>
  <c r="G2925" i="1"/>
  <c r="F2925" i="1"/>
  <c r="B2925" i="1"/>
  <c r="W2924" i="1"/>
  <c r="T2924" i="1"/>
  <c r="P2924" i="1"/>
  <c r="J2924" i="1"/>
  <c r="G2924" i="1"/>
  <c r="F2924" i="1"/>
  <c r="B2924" i="1"/>
  <c r="W2923" i="1"/>
  <c r="T2923" i="1"/>
  <c r="P2923" i="1"/>
  <c r="J2923" i="1"/>
  <c r="G2923" i="1"/>
  <c r="F2923" i="1"/>
  <c r="B2923" i="1"/>
  <c r="W2922" i="1"/>
  <c r="T2922" i="1"/>
  <c r="P2922" i="1"/>
  <c r="J2922" i="1"/>
  <c r="G2922" i="1"/>
  <c r="F2922" i="1"/>
  <c r="B2922" i="1"/>
  <c r="W2921" i="1"/>
  <c r="T2921" i="1"/>
  <c r="P2921" i="1"/>
  <c r="J2921" i="1"/>
  <c r="G2921" i="1"/>
  <c r="F2921" i="1"/>
  <c r="B2921" i="1"/>
  <c r="W2920" i="1"/>
  <c r="T2920" i="1"/>
  <c r="P2920" i="1"/>
  <c r="J2920" i="1"/>
  <c r="G2920" i="1"/>
  <c r="F2920" i="1"/>
  <c r="B2920" i="1"/>
  <c r="W2919" i="1"/>
  <c r="T2919" i="1"/>
  <c r="P2919" i="1"/>
  <c r="J2919" i="1"/>
  <c r="G2919" i="1"/>
  <c r="F2919" i="1"/>
  <c r="B2919" i="1"/>
  <c r="W2918" i="1"/>
  <c r="T2918" i="1"/>
  <c r="P2918" i="1"/>
  <c r="J2918" i="1"/>
  <c r="G2918" i="1"/>
  <c r="F2918" i="1"/>
  <c r="B2918" i="1"/>
  <c r="W2917" i="1"/>
  <c r="T2917" i="1"/>
  <c r="P2917" i="1"/>
  <c r="J2917" i="1"/>
  <c r="G2917" i="1"/>
  <c r="F2917" i="1"/>
  <c r="B2917" i="1"/>
  <c r="W2916" i="1"/>
  <c r="T2916" i="1"/>
  <c r="P2916" i="1"/>
  <c r="J2916" i="1"/>
  <c r="G2916" i="1"/>
  <c r="F2916" i="1"/>
  <c r="B2916" i="1"/>
  <c r="W2915" i="1"/>
  <c r="T2915" i="1"/>
  <c r="P2915" i="1"/>
  <c r="J2915" i="1"/>
  <c r="G2915" i="1"/>
  <c r="F2915" i="1"/>
  <c r="B2915" i="1"/>
  <c r="W2914" i="1"/>
  <c r="T2914" i="1"/>
  <c r="P2914" i="1"/>
  <c r="J2914" i="1"/>
  <c r="G2914" i="1"/>
  <c r="F2914" i="1"/>
  <c r="B2914" i="1"/>
  <c r="W2913" i="1"/>
  <c r="T2913" i="1"/>
  <c r="P2913" i="1"/>
  <c r="J2913" i="1"/>
  <c r="G2913" i="1"/>
  <c r="F2913" i="1"/>
  <c r="B2913" i="1"/>
  <c r="W2912" i="1"/>
  <c r="T2912" i="1"/>
  <c r="P2912" i="1"/>
  <c r="J2912" i="1"/>
  <c r="G2912" i="1"/>
  <c r="F2912" i="1"/>
  <c r="B2912" i="1"/>
  <c r="W2911" i="1"/>
  <c r="T2911" i="1"/>
  <c r="P2911" i="1"/>
  <c r="J2911" i="1"/>
  <c r="G2911" i="1"/>
  <c r="F2911" i="1"/>
  <c r="B2911" i="1"/>
  <c r="W2910" i="1"/>
  <c r="T2910" i="1"/>
  <c r="P2910" i="1"/>
  <c r="J2910" i="1"/>
  <c r="G2910" i="1"/>
  <c r="F2910" i="1"/>
  <c r="B2910" i="1"/>
  <c r="W2909" i="1"/>
  <c r="T2909" i="1"/>
  <c r="P2909" i="1"/>
  <c r="J2909" i="1"/>
  <c r="G2909" i="1"/>
  <c r="F2909" i="1"/>
  <c r="B2909" i="1"/>
  <c r="W2908" i="1"/>
  <c r="T2908" i="1"/>
  <c r="P2908" i="1"/>
  <c r="J2908" i="1"/>
  <c r="G2908" i="1"/>
  <c r="F2908" i="1"/>
  <c r="B2908" i="1"/>
  <c r="W2907" i="1"/>
  <c r="T2907" i="1"/>
  <c r="P2907" i="1"/>
  <c r="J2907" i="1"/>
  <c r="G2907" i="1"/>
  <c r="F2907" i="1"/>
  <c r="B2907" i="1"/>
  <c r="W2906" i="1"/>
  <c r="T2906" i="1"/>
  <c r="P2906" i="1"/>
  <c r="J2906" i="1"/>
  <c r="G2906" i="1"/>
  <c r="F2906" i="1"/>
  <c r="B2906" i="1"/>
  <c r="W2905" i="1"/>
  <c r="T2905" i="1"/>
  <c r="P2905" i="1"/>
  <c r="J2905" i="1"/>
  <c r="G2905" i="1"/>
  <c r="F2905" i="1"/>
  <c r="B2905" i="1"/>
  <c r="W2904" i="1"/>
  <c r="T2904" i="1"/>
  <c r="P2904" i="1"/>
  <c r="J2904" i="1"/>
  <c r="G2904" i="1"/>
  <c r="F2904" i="1"/>
  <c r="B2904" i="1"/>
  <c r="W2903" i="1"/>
  <c r="T2903" i="1"/>
  <c r="P2903" i="1"/>
  <c r="J2903" i="1"/>
  <c r="G2903" i="1"/>
  <c r="F2903" i="1"/>
  <c r="B2903" i="1"/>
  <c r="W2902" i="1"/>
  <c r="T2902" i="1"/>
  <c r="P2902" i="1"/>
  <c r="J2902" i="1"/>
  <c r="G2902" i="1"/>
  <c r="F2902" i="1"/>
  <c r="B2902" i="1"/>
  <c r="W2901" i="1"/>
  <c r="T2901" i="1"/>
  <c r="P2901" i="1"/>
  <c r="J2901" i="1"/>
  <c r="G2901" i="1"/>
  <c r="F2901" i="1"/>
  <c r="B2901" i="1"/>
  <c r="W2900" i="1"/>
  <c r="T2900" i="1"/>
  <c r="P2900" i="1"/>
  <c r="J2900" i="1"/>
  <c r="G2900" i="1"/>
  <c r="F2900" i="1"/>
  <c r="B2900" i="1"/>
  <c r="W2899" i="1"/>
  <c r="T2899" i="1"/>
  <c r="P2899" i="1"/>
  <c r="J2899" i="1"/>
  <c r="G2899" i="1"/>
  <c r="F2899" i="1"/>
  <c r="B2899" i="1"/>
  <c r="W2898" i="1"/>
  <c r="T2898" i="1"/>
  <c r="P2898" i="1"/>
  <c r="J2898" i="1"/>
  <c r="G2898" i="1"/>
  <c r="F2898" i="1"/>
  <c r="B2898" i="1"/>
  <c r="W2897" i="1"/>
  <c r="T2897" i="1"/>
  <c r="P2897" i="1"/>
  <c r="J2897" i="1"/>
  <c r="G2897" i="1"/>
  <c r="F2897" i="1"/>
  <c r="B2897" i="1"/>
  <c r="W2896" i="1"/>
  <c r="T2896" i="1"/>
  <c r="P2896" i="1"/>
  <c r="J2896" i="1"/>
  <c r="G2896" i="1"/>
  <c r="F2896" i="1"/>
  <c r="B2896" i="1"/>
  <c r="W2895" i="1"/>
  <c r="T2895" i="1"/>
  <c r="P2895" i="1"/>
  <c r="J2895" i="1"/>
  <c r="G2895" i="1"/>
  <c r="F2895" i="1"/>
  <c r="B2895" i="1"/>
  <c r="W2894" i="1"/>
  <c r="T2894" i="1"/>
  <c r="P2894" i="1"/>
  <c r="J2894" i="1"/>
  <c r="G2894" i="1"/>
  <c r="F2894" i="1"/>
  <c r="B2894" i="1"/>
  <c r="W2893" i="1"/>
  <c r="T2893" i="1"/>
  <c r="P2893" i="1"/>
  <c r="J2893" i="1"/>
  <c r="G2893" i="1"/>
  <c r="F2893" i="1"/>
  <c r="B2893" i="1"/>
  <c r="W2892" i="1"/>
  <c r="T2892" i="1"/>
  <c r="P2892" i="1"/>
  <c r="J2892" i="1"/>
  <c r="G2892" i="1"/>
  <c r="F2892" i="1"/>
  <c r="B2892" i="1"/>
  <c r="W2891" i="1"/>
  <c r="T2891" i="1"/>
  <c r="P2891" i="1"/>
  <c r="J2891" i="1"/>
  <c r="G2891" i="1"/>
  <c r="F2891" i="1"/>
  <c r="B2891" i="1"/>
  <c r="W2890" i="1"/>
  <c r="T2890" i="1"/>
  <c r="P2890" i="1"/>
  <c r="J2890" i="1"/>
  <c r="G2890" i="1"/>
  <c r="F2890" i="1"/>
  <c r="B2890" i="1"/>
  <c r="W2889" i="1"/>
  <c r="T2889" i="1"/>
  <c r="P2889" i="1"/>
  <c r="J2889" i="1"/>
  <c r="G2889" i="1"/>
  <c r="F2889" i="1"/>
  <c r="B2889" i="1"/>
  <c r="W2888" i="1"/>
  <c r="T2888" i="1"/>
  <c r="P2888" i="1"/>
  <c r="J2888" i="1"/>
  <c r="G2888" i="1"/>
  <c r="F2888" i="1"/>
  <c r="B2888" i="1"/>
  <c r="W2887" i="1"/>
  <c r="T2887" i="1"/>
  <c r="P2887" i="1"/>
  <c r="J2887" i="1"/>
  <c r="G2887" i="1"/>
  <c r="F2887" i="1"/>
  <c r="B2887" i="1"/>
  <c r="W2886" i="1"/>
  <c r="T2886" i="1"/>
  <c r="P2886" i="1"/>
  <c r="J2886" i="1"/>
  <c r="G2886" i="1"/>
  <c r="F2886" i="1"/>
  <c r="B2886" i="1"/>
  <c r="W2885" i="1"/>
  <c r="T2885" i="1"/>
  <c r="P2885" i="1"/>
  <c r="J2885" i="1"/>
  <c r="G2885" i="1"/>
  <c r="F2885" i="1"/>
  <c r="B2885" i="1"/>
  <c r="W2884" i="1"/>
  <c r="T2884" i="1"/>
  <c r="P2884" i="1"/>
  <c r="J2884" i="1"/>
  <c r="G2884" i="1"/>
  <c r="F2884" i="1"/>
  <c r="B2884" i="1"/>
  <c r="W2883" i="1"/>
  <c r="T2883" i="1"/>
  <c r="P2883" i="1"/>
  <c r="J2883" i="1"/>
  <c r="G2883" i="1"/>
  <c r="F2883" i="1"/>
  <c r="B2883" i="1"/>
  <c r="W2882" i="1"/>
  <c r="T2882" i="1"/>
  <c r="P2882" i="1"/>
  <c r="J2882" i="1"/>
  <c r="G2882" i="1"/>
  <c r="F2882" i="1"/>
  <c r="B2882" i="1"/>
  <c r="W2881" i="1"/>
  <c r="T2881" i="1"/>
  <c r="P2881" i="1"/>
  <c r="J2881" i="1"/>
  <c r="G2881" i="1"/>
  <c r="F2881" i="1"/>
  <c r="B2881" i="1"/>
  <c r="W2880" i="1"/>
  <c r="T2880" i="1"/>
  <c r="P2880" i="1"/>
  <c r="J2880" i="1"/>
  <c r="G2880" i="1"/>
  <c r="F2880" i="1"/>
  <c r="B2880" i="1"/>
  <c r="W2879" i="1"/>
  <c r="T2879" i="1"/>
  <c r="P2879" i="1"/>
  <c r="J2879" i="1"/>
  <c r="G2879" i="1"/>
  <c r="F2879" i="1"/>
  <c r="B2879" i="1"/>
  <c r="W2878" i="1"/>
  <c r="T2878" i="1"/>
  <c r="P2878" i="1"/>
  <c r="J2878" i="1"/>
  <c r="G2878" i="1"/>
  <c r="F2878" i="1"/>
  <c r="B2878" i="1"/>
  <c r="W2877" i="1"/>
  <c r="T2877" i="1"/>
  <c r="P2877" i="1"/>
  <c r="J2877" i="1"/>
  <c r="G2877" i="1"/>
  <c r="F2877" i="1"/>
  <c r="B2877" i="1"/>
  <c r="W2876" i="1"/>
  <c r="T2876" i="1"/>
  <c r="P2876" i="1"/>
  <c r="J2876" i="1"/>
  <c r="G2876" i="1"/>
  <c r="F2876" i="1"/>
  <c r="B2876" i="1"/>
  <c r="W2875" i="1"/>
  <c r="T2875" i="1"/>
  <c r="P2875" i="1"/>
  <c r="J2875" i="1"/>
  <c r="G2875" i="1"/>
  <c r="F2875" i="1"/>
  <c r="B2875" i="1"/>
  <c r="W2874" i="1"/>
  <c r="T2874" i="1"/>
  <c r="P2874" i="1"/>
  <c r="J2874" i="1"/>
  <c r="G2874" i="1"/>
  <c r="F2874" i="1"/>
  <c r="B2874" i="1"/>
  <c r="W2873" i="1"/>
  <c r="T2873" i="1"/>
  <c r="P2873" i="1"/>
  <c r="J2873" i="1"/>
  <c r="G2873" i="1"/>
  <c r="F2873" i="1"/>
  <c r="B2873" i="1"/>
  <c r="W2872" i="1"/>
  <c r="T2872" i="1"/>
  <c r="P2872" i="1"/>
  <c r="J2872" i="1"/>
  <c r="G2872" i="1"/>
  <c r="F2872" i="1"/>
  <c r="B2872" i="1"/>
  <c r="W2871" i="1"/>
  <c r="T2871" i="1"/>
  <c r="P2871" i="1"/>
  <c r="J2871" i="1"/>
  <c r="G2871" i="1"/>
  <c r="F2871" i="1"/>
  <c r="B2871" i="1"/>
  <c r="W2870" i="1"/>
  <c r="T2870" i="1"/>
  <c r="P2870" i="1"/>
  <c r="J2870" i="1"/>
  <c r="G2870" i="1"/>
  <c r="F2870" i="1"/>
  <c r="B2870" i="1"/>
  <c r="W2869" i="1"/>
  <c r="T2869" i="1"/>
  <c r="P2869" i="1"/>
  <c r="J2869" i="1"/>
  <c r="G2869" i="1"/>
  <c r="F2869" i="1"/>
  <c r="B2869" i="1"/>
  <c r="W2868" i="1"/>
  <c r="T2868" i="1"/>
  <c r="P2868" i="1"/>
  <c r="J2868" i="1"/>
  <c r="G2868" i="1"/>
  <c r="F2868" i="1"/>
  <c r="B2868" i="1"/>
  <c r="W2867" i="1"/>
  <c r="T2867" i="1"/>
  <c r="P2867" i="1"/>
  <c r="J2867" i="1"/>
  <c r="G2867" i="1"/>
  <c r="F2867" i="1"/>
  <c r="B2867" i="1"/>
  <c r="W2866" i="1"/>
  <c r="T2866" i="1"/>
  <c r="P2866" i="1"/>
  <c r="J2866" i="1"/>
  <c r="G2866" i="1"/>
  <c r="F2866" i="1"/>
  <c r="B2866" i="1"/>
  <c r="W2865" i="1"/>
  <c r="T2865" i="1"/>
  <c r="P2865" i="1"/>
  <c r="J2865" i="1"/>
  <c r="G2865" i="1"/>
  <c r="F2865" i="1"/>
  <c r="B2865" i="1"/>
  <c r="W2864" i="1"/>
  <c r="T2864" i="1"/>
  <c r="P2864" i="1"/>
  <c r="J2864" i="1"/>
  <c r="G2864" i="1"/>
  <c r="F2864" i="1"/>
  <c r="B2864" i="1"/>
  <c r="W2863" i="1"/>
  <c r="T2863" i="1"/>
  <c r="P2863" i="1"/>
  <c r="J2863" i="1"/>
  <c r="G2863" i="1"/>
  <c r="F2863" i="1"/>
  <c r="B2863" i="1"/>
  <c r="W2862" i="1"/>
  <c r="T2862" i="1"/>
  <c r="P2862" i="1"/>
  <c r="J2862" i="1"/>
  <c r="G2862" i="1"/>
  <c r="F2862" i="1"/>
  <c r="B2862" i="1"/>
  <c r="W2861" i="1"/>
  <c r="T2861" i="1"/>
  <c r="P2861" i="1"/>
  <c r="J2861" i="1"/>
  <c r="G2861" i="1"/>
  <c r="F2861" i="1"/>
  <c r="B2861" i="1"/>
  <c r="W2860" i="1"/>
  <c r="T2860" i="1"/>
  <c r="P2860" i="1"/>
  <c r="J2860" i="1"/>
  <c r="G2860" i="1"/>
  <c r="F2860" i="1"/>
  <c r="B2860" i="1"/>
  <c r="W2859" i="1"/>
  <c r="T2859" i="1"/>
  <c r="P2859" i="1"/>
  <c r="J2859" i="1"/>
  <c r="G2859" i="1"/>
  <c r="F2859" i="1"/>
  <c r="B2859" i="1"/>
  <c r="W2858" i="1"/>
  <c r="T2858" i="1"/>
  <c r="P2858" i="1"/>
  <c r="J2858" i="1"/>
  <c r="G2858" i="1"/>
  <c r="F2858" i="1"/>
  <c r="B2858" i="1"/>
  <c r="W2857" i="1"/>
  <c r="T2857" i="1"/>
  <c r="P2857" i="1"/>
  <c r="J2857" i="1"/>
  <c r="G2857" i="1"/>
  <c r="F2857" i="1"/>
  <c r="B2857" i="1"/>
  <c r="W2856" i="1"/>
  <c r="T2856" i="1"/>
  <c r="P2856" i="1"/>
  <c r="J2856" i="1"/>
  <c r="G2856" i="1"/>
  <c r="F2856" i="1"/>
  <c r="B2856" i="1"/>
  <c r="W2855" i="1"/>
  <c r="T2855" i="1"/>
  <c r="P2855" i="1"/>
  <c r="J2855" i="1"/>
  <c r="G2855" i="1"/>
  <c r="F2855" i="1"/>
  <c r="B2855" i="1"/>
  <c r="W2854" i="1"/>
  <c r="T2854" i="1"/>
  <c r="P2854" i="1"/>
  <c r="J2854" i="1"/>
  <c r="G2854" i="1"/>
  <c r="F2854" i="1"/>
  <c r="B2854" i="1"/>
  <c r="W2853" i="1"/>
  <c r="T2853" i="1"/>
  <c r="P2853" i="1"/>
  <c r="J2853" i="1"/>
  <c r="G2853" i="1"/>
  <c r="F2853" i="1"/>
  <c r="B2853" i="1"/>
  <c r="W2852" i="1"/>
  <c r="T2852" i="1"/>
  <c r="P2852" i="1"/>
  <c r="J2852" i="1"/>
  <c r="G2852" i="1"/>
  <c r="F2852" i="1"/>
  <c r="B2852" i="1"/>
  <c r="W2851" i="1"/>
  <c r="T2851" i="1"/>
  <c r="P2851" i="1"/>
  <c r="J2851" i="1"/>
  <c r="G2851" i="1"/>
  <c r="F2851" i="1"/>
  <c r="B2851" i="1"/>
  <c r="W2850" i="1"/>
  <c r="T2850" i="1"/>
  <c r="P2850" i="1"/>
  <c r="J2850" i="1"/>
  <c r="G2850" i="1"/>
  <c r="F2850" i="1"/>
  <c r="B2850" i="1"/>
  <c r="W2849" i="1"/>
  <c r="T2849" i="1"/>
  <c r="P2849" i="1"/>
  <c r="J2849" i="1"/>
  <c r="G2849" i="1"/>
  <c r="F2849" i="1"/>
  <c r="B2849" i="1"/>
  <c r="W2848" i="1"/>
  <c r="T2848" i="1"/>
  <c r="P2848" i="1"/>
  <c r="J2848" i="1"/>
  <c r="G2848" i="1"/>
  <c r="F2848" i="1"/>
  <c r="B2848" i="1"/>
  <c r="W2847" i="1"/>
  <c r="T2847" i="1"/>
  <c r="P2847" i="1"/>
  <c r="J2847" i="1"/>
  <c r="G2847" i="1"/>
  <c r="F2847" i="1"/>
  <c r="B2847" i="1"/>
  <c r="W2846" i="1"/>
  <c r="T2846" i="1"/>
  <c r="P2846" i="1"/>
  <c r="J2846" i="1"/>
  <c r="G2846" i="1"/>
  <c r="F2846" i="1"/>
  <c r="B2846" i="1"/>
  <c r="W2845" i="1"/>
  <c r="T2845" i="1"/>
  <c r="P2845" i="1"/>
  <c r="J2845" i="1"/>
  <c r="G2845" i="1"/>
  <c r="F2845" i="1"/>
  <c r="B2845" i="1"/>
  <c r="W2844" i="1"/>
  <c r="T2844" i="1"/>
  <c r="P2844" i="1"/>
  <c r="J2844" i="1"/>
  <c r="G2844" i="1"/>
  <c r="F2844" i="1"/>
  <c r="B2844" i="1"/>
  <c r="W2843" i="1"/>
  <c r="T2843" i="1"/>
  <c r="P2843" i="1"/>
  <c r="J2843" i="1"/>
  <c r="G2843" i="1"/>
  <c r="F2843" i="1"/>
  <c r="B2843" i="1"/>
  <c r="W2842" i="1"/>
  <c r="T2842" i="1"/>
  <c r="P2842" i="1"/>
  <c r="J2842" i="1"/>
  <c r="G2842" i="1"/>
  <c r="F2842" i="1"/>
  <c r="B2842" i="1"/>
  <c r="W2841" i="1"/>
  <c r="T2841" i="1"/>
  <c r="P2841" i="1"/>
  <c r="J2841" i="1"/>
  <c r="G2841" i="1"/>
  <c r="F2841" i="1"/>
  <c r="B2841" i="1"/>
  <c r="W2840" i="1"/>
  <c r="T2840" i="1"/>
  <c r="P2840" i="1"/>
  <c r="J2840" i="1"/>
  <c r="G2840" i="1"/>
  <c r="F2840" i="1"/>
  <c r="B2840" i="1"/>
  <c r="W2839" i="1"/>
  <c r="T2839" i="1"/>
  <c r="P2839" i="1"/>
  <c r="J2839" i="1"/>
  <c r="G2839" i="1"/>
  <c r="F2839" i="1"/>
  <c r="B2839" i="1"/>
  <c r="W2838" i="1"/>
  <c r="T2838" i="1"/>
  <c r="P2838" i="1"/>
  <c r="J2838" i="1"/>
  <c r="G2838" i="1"/>
  <c r="F2838" i="1"/>
  <c r="B2838" i="1"/>
  <c r="W2837" i="1"/>
  <c r="T2837" i="1"/>
  <c r="P2837" i="1"/>
  <c r="J2837" i="1"/>
  <c r="G2837" i="1"/>
  <c r="F2837" i="1"/>
  <c r="B2837" i="1"/>
  <c r="W2836" i="1"/>
  <c r="T2836" i="1"/>
  <c r="P2836" i="1"/>
  <c r="J2836" i="1"/>
  <c r="G2836" i="1"/>
  <c r="F2836" i="1"/>
  <c r="B2836" i="1"/>
  <c r="W2835" i="1"/>
  <c r="T2835" i="1"/>
  <c r="P2835" i="1"/>
  <c r="J2835" i="1"/>
  <c r="G2835" i="1"/>
  <c r="F2835" i="1"/>
  <c r="B2835" i="1"/>
  <c r="W2834" i="1"/>
  <c r="T2834" i="1"/>
  <c r="P2834" i="1"/>
  <c r="J2834" i="1"/>
  <c r="G2834" i="1"/>
  <c r="F2834" i="1"/>
  <c r="B2834" i="1"/>
  <c r="W2833" i="1"/>
  <c r="T2833" i="1"/>
  <c r="P2833" i="1"/>
  <c r="J2833" i="1"/>
  <c r="G2833" i="1"/>
  <c r="F2833" i="1"/>
  <c r="B2833" i="1"/>
  <c r="W2832" i="1"/>
  <c r="T2832" i="1"/>
  <c r="P2832" i="1"/>
  <c r="J2832" i="1"/>
  <c r="G2832" i="1"/>
  <c r="F2832" i="1"/>
  <c r="B2832" i="1"/>
  <c r="W2831" i="1"/>
  <c r="T2831" i="1"/>
  <c r="P2831" i="1"/>
  <c r="J2831" i="1"/>
  <c r="G2831" i="1"/>
  <c r="F2831" i="1"/>
  <c r="B2831" i="1"/>
  <c r="W2830" i="1"/>
  <c r="T2830" i="1"/>
  <c r="P2830" i="1"/>
  <c r="J2830" i="1"/>
  <c r="G2830" i="1"/>
  <c r="F2830" i="1"/>
  <c r="B2830" i="1"/>
  <c r="W2829" i="1"/>
  <c r="T2829" i="1"/>
  <c r="P2829" i="1"/>
  <c r="J2829" i="1"/>
  <c r="G2829" i="1"/>
  <c r="F2829" i="1"/>
  <c r="B2829" i="1"/>
  <c r="W2828" i="1"/>
  <c r="T2828" i="1"/>
  <c r="P2828" i="1"/>
  <c r="J2828" i="1"/>
  <c r="G2828" i="1"/>
  <c r="F2828" i="1"/>
  <c r="B2828" i="1"/>
  <c r="W2827" i="1"/>
  <c r="T2827" i="1"/>
  <c r="P2827" i="1"/>
  <c r="J2827" i="1"/>
  <c r="G2827" i="1"/>
  <c r="F2827" i="1"/>
  <c r="B2827" i="1"/>
  <c r="W2826" i="1"/>
  <c r="T2826" i="1"/>
  <c r="P2826" i="1"/>
  <c r="J2826" i="1"/>
  <c r="G2826" i="1"/>
  <c r="F2826" i="1"/>
  <c r="B2826" i="1"/>
  <c r="W2825" i="1"/>
  <c r="T2825" i="1"/>
  <c r="P2825" i="1"/>
  <c r="J2825" i="1"/>
  <c r="G2825" i="1"/>
  <c r="F2825" i="1"/>
  <c r="B2825" i="1"/>
  <c r="W2824" i="1"/>
  <c r="T2824" i="1"/>
  <c r="P2824" i="1"/>
  <c r="J2824" i="1"/>
  <c r="G2824" i="1"/>
  <c r="F2824" i="1"/>
  <c r="B2824" i="1"/>
  <c r="W2823" i="1"/>
  <c r="T2823" i="1"/>
  <c r="P2823" i="1"/>
  <c r="J2823" i="1"/>
  <c r="G2823" i="1"/>
  <c r="F2823" i="1"/>
  <c r="B2823" i="1"/>
  <c r="W2822" i="1"/>
  <c r="T2822" i="1"/>
  <c r="P2822" i="1"/>
  <c r="J2822" i="1"/>
  <c r="G2822" i="1"/>
  <c r="F2822" i="1"/>
  <c r="B2822" i="1"/>
  <c r="W2821" i="1"/>
  <c r="T2821" i="1"/>
  <c r="P2821" i="1"/>
  <c r="J2821" i="1"/>
  <c r="G2821" i="1"/>
  <c r="F2821" i="1"/>
  <c r="B2821" i="1"/>
  <c r="W2820" i="1"/>
  <c r="T2820" i="1"/>
  <c r="P2820" i="1"/>
  <c r="J2820" i="1"/>
  <c r="G2820" i="1"/>
  <c r="F2820" i="1"/>
  <c r="B2820" i="1"/>
  <c r="W2819" i="1"/>
  <c r="T2819" i="1"/>
  <c r="P2819" i="1"/>
  <c r="J2819" i="1"/>
  <c r="G2819" i="1"/>
  <c r="F2819" i="1"/>
  <c r="B2819" i="1"/>
  <c r="W2818" i="1"/>
  <c r="T2818" i="1"/>
  <c r="P2818" i="1"/>
  <c r="J2818" i="1"/>
  <c r="G2818" i="1"/>
  <c r="F2818" i="1"/>
  <c r="B2818" i="1"/>
  <c r="W2817" i="1"/>
  <c r="T2817" i="1"/>
  <c r="P2817" i="1"/>
  <c r="J2817" i="1"/>
  <c r="G2817" i="1"/>
  <c r="F2817" i="1"/>
  <c r="B2817" i="1"/>
  <c r="W2816" i="1"/>
  <c r="T2816" i="1"/>
  <c r="P2816" i="1"/>
  <c r="J2816" i="1"/>
  <c r="G2816" i="1"/>
  <c r="F2816" i="1"/>
  <c r="B2816" i="1"/>
  <c r="W2815" i="1"/>
  <c r="T2815" i="1"/>
  <c r="P2815" i="1"/>
  <c r="J2815" i="1"/>
  <c r="G2815" i="1"/>
  <c r="F2815" i="1"/>
  <c r="B2815" i="1"/>
  <c r="W2814" i="1"/>
  <c r="T2814" i="1"/>
  <c r="P2814" i="1"/>
  <c r="J2814" i="1"/>
  <c r="G2814" i="1"/>
  <c r="F2814" i="1"/>
  <c r="B2814" i="1"/>
  <c r="W2813" i="1"/>
  <c r="T2813" i="1"/>
  <c r="P2813" i="1"/>
  <c r="J2813" i="1"/>
  <c r="G2813" i="1"/>
  <c r="F2813" i="1"/>
  <c r="B2813" i="1"/>
  <c r="W2812" i="1"/>
  <c r="T2812" i="1"/>
  <c r="P2812" i="1"/>
  <c r="J2812" i="1"/>
  <c r="G2812" i="1"/>
  <c r="F2812" i="1"/>
  <c r="B2812" i="1"/>
  <c r="W2811" i="1"/>
  <c r="T2811" i="1"/>
  <c r="P2811" i="1"/>
  <c r="J2811" i="1"/>
  <c r="G2811" i="1"/>
  <c r="F2811" i="1"/>
  <c r="B2811" i="1"/>
  <c r="W2810" i="1"/>
  <c r="T2810" i="1"/>
  <c r="P2810" i="1"/>
  <c r="J2810" i="1"/>
  <c r="G2810" i="1"/>
  <c r="F2810" i="1"/>
  <c r="B2810" i="1"/>
  <c r="W2809" i="1"/>
  <c r="T2809" i="1"/>
  <c r="P2809" i="1"/>
  <c r="J2809" i="1"/>
  <c r="G2809" i="1"/>
  <c r="F2809" i="1"/>
  <c r="B2809" i="1"/>
  <c r="W2808" i="1"/>
  <c r="T2808" i="1"/>
  <c r="P2808" i="1"/>
  <c r="J2808" i="1"/>
  <c r="G2808" i="1"/>
  <c r="F2808" i="1"/>
  <c r="B2808" i="1"/>
  <c r="W2807" i="1"/>
  <c r="T2807" i="1"/>
  <c r="P2807" i="1"/>
  <c r="J2807" i="1"/>
  <c r="G2807" i="1"/>
  <c r="F2807" i="1"/>
  <c r="B2807" i="1"/>
  <c r="W2806" i="1"/>
  <c r="T2806" i="1"/>
  <c r="P2806" i="1"/>
  <c r="J2806" i="1"/>
  <c r="G2806" i="1"/>
  <c r="F2806" i="1"/>
  <c r="B2806" i="1"/>
  <c r="W2805" i="1"/>
  <c r="T2805" i="1"/>
  <c r="P2805" i="1"/>
  <c r="J2805" i="1"/>
  <c r="G2805" i="1"/>
  <c r="F2805" i="1"/>
  <c r="B2805" i="1"/>
  <c r="W2804" i="1"/>
  <c r="T2804" i="1"/>
  <c r="P2804" i="1"/>
  <c r="J2804" i="1"/>
  <c r="G2804" i="1"/>
  <c r="F2804" i="1"/>
  <c r="B2804" i="1"/>
  <c r="W2803" i="1"/>
  <c r="T2803" i="1"/>
  <c r="P2803" i="1"/>
  <c r="J2803" i="1"/>
  <c r="G2803" i="1"/>
  <c r="F2803" i="1"/>
  <c r="B2803" i="1"/>
  <c r="W2802" i="1"/>
  <c r="T2802" i="1"/>
  <c r="P2802" i="1"/>
  <c r="J2802" i="1"/>
  <c r="G2802" i="1"/>
  <c r="F2802" i="1"/>
  <c r="B2802" i="1"/>
  <c r="W2801" i="1"/>
  <c r="T2801" i="1"/>
  <c r="P2801" i="1"/>
  <c r="J2801" i="1"/>
  <c r="G2801" i="1"/>
  <c r="F2801" i="1"/>
  <c r="B2801" i="1"/>
  <c r="W2800" i="1"/>
  <c r="T2800" i="1"/>
  <c r="P2800" i="1"/>
  <c r="J2800" i="1"/>
  <c r="G2800" i="1"/>
  <c r="F2800" i="1"/>
  <c r="B2800" i="1"/>
  <c r="W2799" i="1"/>
  <c r="T2799" i="1"/>
  <c r="P2799" i="1"/>
  <c r="J2799" i="1"/>
  <c r="G2799" i="1"/>
  <c r="F2799" i="1"/>
  <c r="B2799" i="1"/>
  <c r="W2798" i="1"/>
  <c r="T2798" i="1"/>
  <c r="P2798" i="1"/>
  <c r="J2798" i="1"/>
  <c r="G2798" i="1"/>
  <c r="F2798" i="1"/>
  <c r="B2798" i="1"/>
  <c r="W2797" i="1"/>
  <c r="T2797" i="1"/>
  <c r="P2797" i="1"/>
  <c r="J2797" i="1"/>
  <c r="G2797" i="1"/>
  <c r="F2797" i="1"/>
  <c r="B2797" i="1"/>
  <c r="W2796" i="1"/>
  <c r="T2796" i="1"/>
  <c r="P2796" i="1"/>
  <c r="J2796" i="1"/>
  <c r="G2796" i="1"/>
  <c r="F2796" i="1"/>
  <c r="B2796" i="1"/>
  <c r="W2795" i="1"/>
  <c r="T2795" i="1"/>
  <c r="P2795" i="1"/>
  <c r="J2795" i="1"/>
  <c r="G2795" i="1"/>
  <c r="F2795" i="1"/>
  <c r="B2795" i="1"/>
  <c r="W2794" i="1"/>
  <c r="T2794" i="1"/>
  <c r="P2794" i="1"/>
  <c r="J2794" i="1"/>
  <c r="G2794" i="1"/>
  <c r="F2794" i="1"/>
  <c r="B2794" i="1"/>
  <c r="W2793" i="1"/>
  <c r="T2793" i="1"/>
  <c r="P2793" i="1"/>
  <c r="J2793" i="1"/>
  <c r="G2793" i="1"/>
  <c r="F2793" i="1"/>
  <c r="B2793" i="1"/>
  <c r="W2792" i="1"/>
  <c r="T2792" i="1"/>
  <c r="P2792" i="1"/>
  <c r="J2792" i="1"/>
  <c r="G2792" i="1"/>
  <c r="F2792" i="1"/>
  <c r="B2792" i="1"/>
  <c r="W2791" i="1"/>
  <c r="T2791" i="1"/>
  <c r="P2791" i="1"/>
  <c r="J2791" i="1"/>
  <c r="G2791" i="1"/>
  <c r="F2791" i="1"/>
  <c r="B2791" i="1"/>
  <c r="W2790" i="1"/>
  <c r="T2790" i="1"/>
  <c r="P2790" i="1"/>
  <c r="J2790" i="1"/>
  <c r="G2790" i="1"/>
  <c r="F2790" i="1"/>
  <c r="B2790" i="1"/>
  <c r="W2789" i="1"/>
  <c r="T2789" i="1"/>
  <c r="P2789" i="1"/>
  <c r="J2789" i="1"/>
  <c r="G2789" i="1"/>
  <c r="F2789" i="1"/>
  <c r="B2789" i="1"/>
  <c r="W2788" i="1"/>
  <c r="T2788" i="1"/>
  <c r="P2788" i="1"/>
  <c r="J2788" i="1"/>
  <c r="G2788" i="1"/>
  <c r="F2788" i="1"/>
  <c r="B2788" i="1"/>
  <c r="W2787" i="1"/>
  <c r="T2787" i="1"/>
  <c r="P2787" i="1"/>
  <c r="J2787" i="1"/>
  <c r="G2787" i="1"/>
  <c r="F2787" i="1"/>
  <c r="B2787" i="1"/>
  <c r="W2786" i="1"/>
  <c r="T2786" i="1"/>
  <c r="P2786" i="1"/>
  <c r="J2786" i="1"/>
  <c r="G2786" i="1"/>
  <c r="F2786" i="1"/>
  <c r="B2786" i="1"/>
  <c r="W2785" i="1"/>
  <c r="T2785" i="1"/>
  <c r="P2785" i="1"/>
  <c r="J2785" i="1"/>
  <c r="G2785" i="1"/>
  <c r="F2785" i="1"/>
  <c r="B2785" i="1"/>
  <c r="W2784" i="1"/>
  <c r="T2784" i="1"/>
  <c r="P2784" i="1"/>
  <c r="J2784" i="1"/>
  <c r="G2784" i="1"/>
  <c r="F2784" i="1"/>
  <c r="B2784" i="1"/>
  <c r="W2783" i="1"/>
  <c r="T2783" i="1"/>
  <c r="P2783" i="1"/>
  <c r="J2783" i="1"/>
  <c r="G2783" i="1"/>
  <c r="F2783" i="1"/>
  <c r="B2783" i="1"/>
  <c r="W2782" i="1"/>
  <c r="T2782" i="1"/>
  <c r="P2782" i="1"/>
  <c r="J2782" i="1"/>
  <c r="G2782" i="1"/>
  <c r="F2782" i="1"/>
  <c r="B2782" i="1"/>
  <c r="W2781" i="1"/>
  <c r="T2781" i="1"/>
  <c r="P2781" i="1"/>
  <c r="J2781" i="1"/>
  <c r="G2781" i="1"/>
  <c r="F2781" i="1"/>
  <c r="B2781" i="1"/>
  <c r="W2780" i="1"/>
  <c r="T2780" i="1"/>
  <c r="P2780" i="1"/>
  <c r="J2780" i="1"/>
  <c r="G2780" i="1"/>
  <c r="F2780" i="1"/>
  <c r="B2780" i="1"/>
  <c r="W2779" i="1"/>
  <c r="T2779" i="1"/>
  <c r="P2779" i="1"/>
  <c r="J2779" i="1"/>
  <c r="G2779" i="1"/>
  <c r="F2779" i="1"/>
  <c r="B2779" i="1"/>
  <c r="W2778" i="1"/>
  <c r="T2778" i="1"/>
  <c r="P2778" i="1"/>
  <c r="J2778" i="1"/>
  <c r="G2778" i="1"/>
  <c r="F2778" i="1"/>
  <c r="B2778" i="1"/>
  <c r="W2777" i="1"/>
  <c r="T2777" i="1"/>
  <c r="P2777" i="1"/>
  <c r="J2777" i="1"/>
  <c r="G2777" i="1"/>
  <c r="F2777" i="1"/>
  <c r="B2777" i="1"/>
  <c r="W2776" i="1"/>
  <c r="T2776" i="1"/>
  <c r="P2776" i="1"/>
  <c r="J2776" i="1"/>
  <c r="G2776" i="1"/>
  <c r="F2776" i="1"/>
  <c r="B2776" i="1"/>
  <c r="W2775" i="1"/>
  <c r="T2775" i="1"/>
  <c r="P2775" i="1"/>
  <c r="J2775" i="1"/>
  <c r="G2775" i="1"/>
  <c r="F2775" i="1"/>
  <c r="B2775" i="1"/>
  <c r="W2774" i="1"/>
  <c r="T2774" i="1"/>
  <c r="P2774" i="1"/>
  <c r="J2774" i="1"/>
  <c r="G2774" i="1"/>
  <c r="F2774" i="1"/>
  <c r="B2774" i="1"/>
  <c r="W2773" i="1"/>
  <c r="T2773" i="1"/>
  <c r="P2773" i="1"/>
  <c r="J2773" i="1"/>
  <c r="G2773" i="1"/>
  <c r="F2773" i="1"/>
  <c r="B2773" i="1"/>
  <c r="W2772" i="1"/>
  <c r="T2772" i="1"/>
  <c r="P2772" i="1"/>
  <c r="J2772" i="1"/>
  <c r="G2772" i="1"/>
  <c r="F2772" i="1"/>
  <c r="B2772" i="1"/>
  <c r="W2771" i="1"/>
  <c r="T2771" i="1"/>
  <c r="P2771" i="1"/>
  <c r="J2771" i="1"/>
  <c r="G2771" i="1"/>
  <c r="F2771" i="1"/>
  <c r="B2771" i="1"/>
  <c r="W2770" i="1"/>
  <c r="T2770" i="1"/>
  <c r="P2770" i="1"/>
  <c r="J2770" i="1"/>
  <c r="G2770" i="1"/>
  <c r="F2770" i="1"/>
  <c r="B2770" i="1"/>
  <c r="W2769" i="1"/>
  <c r="T2769" i="1"/>
  <c r="P2769" i="1"/>
  <c r="J2769" i="1"/>
  <c r="G2769" i="1"/>
  <c r="F2769" i="1"/>
  <c r="B2769" i="1"/>
  <c r="W2768" i="1"/>
  <c r="T2768" i="1"/>
  <c r="P2768" i="1"/>
  <c r="J2768" i="1"/>
  <c r="G2768" i="1"/>
  <c r="F2768" i="1"/>
  <c r="B2768" i="1"/>
  <c r="W2767" i="1"/>
  <c r="T2767" i="1"/>
  <c r="P2767" i="1"/>
  <c r="J2767" i="1"/>
  <c r="G2767" i="1"/>
  <c r="F2767" i="1"/>
  <c r="B2767" i="1"/>
  <c r="W2766" i="1"/>
  <c r="T2766" i="1"/>
  <c r="P2766" i="1"/>
  <c r="J2766" i="1"/>
  <c r="G2766" i="1"/>
  <c r="F2766" i="1"/>
  <c r="B2766" i="1"/>
  <c r="W2765" i="1"/>
  <c r="T2765" i="1"/>
  <c r="P2765" i="1"/>
  <c r="J2765" i="1"/>
  <c r="G2765" i="1"/>
  <c r="F2765" i="1"/>
  <c r="B2765" i="1"/>
  <c r="W2764" i="1"/>
  <c r="T2764" i="1"/>
  <c r="P2764" i="1"/>
  <c r="J2764" i="1"/>
  <c r="G2764" i="1"/>
  <c r="F2764" i="1"/>
  <c r="B2764" i="1"/>
  <c r="W2763" i="1"/>
  <c r="T2763" i="1"/>
  <c r="P2763" i="1"/>
  <c r="J2763" i="1"/>
  <c r="G2763" i="1"/>
  <c r="F2763" i="1"/>
  <c r="B2763" i="1"/>
  <c r="W2762" i="1"/>
  <c r="T2762" i="1"/>
  <c r="P2762" i="1"/>
  <c r="J2762" i="1"/>
  <c r="G2762" i="1"/>
  <c r="F2762" i="1"/>
  <c r="B2762" i="1"/>
  <c r="W2761" i="1"/>
  <c r="T2761" i="1"/>
  <c r="P2761" i="1"/>
  <c r="J2761" i="1"/>
  <c r="G2761" i="1"/>
  <c r="F2761" i="1"/>
  <c r="B2761" i="1"/>
  <c r="W2760" i="1"/>
  <c r="T2760" i="1"/>
  <c r="P2760" i="1"/>
  <c r="J2760" i="1"/>
  <c r="G2760" i="1"/>
  <c r="F2760" i="1"/>
  <c r="B2760" i="1"/>
  <c r="W2759" i="1"/>
  <c r="T2759" i="1"/>
  <c r="P2759" i="1"/>
  <c r="J2759" i="1"/>
  <c r="G2759" i="1"/>
  <c r="F2759" i="1"/>
  <c r="B2759" i="1"/>
  <c r="W2758" i="1"/>
  <c r="T2758" i="1"/>
  <c r="P2758" i="1"/>
  <c r="J2758" i="1"/>
  <c r="G2758" i="1"/>
  <c r="F2758" i="1"/>
  <c r="B2758" i="1"/>
  <c r="W2757" i="1"/>
  <c r="T2757" i="1"/>
  <c r="P2757" i="1"/>
  <c r="J2757" i="1"/>
  <c r="G2757" i="1"/>
  <c r="F2757" i="1"/>
  <c r="B2757" i="1"/>
  <c r="W2756" i="1"/>
  <c r="T2756" i="1"/>
  <c r="P2756" i="1"/>
  <c r="J2756" i="1"/>
  <c r="G2756" i="1"/>
  <c r="F2756" i="1"/>
  <c r="B2756" i="1"/>
  <c r="W2755" i="1"/>
  <c r="T2755" i="1"/>
  <c r="P2755" i="1"/>
  <c r="J2755" i="1"/>
  <c r="G2755" i="1"/>
  <c r="F2755" i="1"/>
  <c r="B2755" i="1"/>
  <c r="W2754" i="1"/>
  <c r="T2754" i="1"/>
  <c r="P2754" i="1"/>
  <c r="J2754" i="1"/>
  <c r="G2754" i="1"/>
  <c r="F2754" i="1"/>
  <c r="B2754" i="1"/>
  <c r="W2753" i="1"/>
  <c r="T2753" i="1"/>
  <c r="P2753" i="1"/>
  <c r="J2753" i="1"/>
  <c r="G2753" i="1"/>
  <c r="F2753" i="1"/>
  <c r="B2753" i="1"/>
  <c r="W2752" i="1"/>
  <c r="T2752" i="1"/>
  <c r="P2752" i="1"/>
  <c r="J2752" i="1"/>
  <c r="G2752" i="1"/>
  <c r="F2752" i="1"/>
  <c r="B2752" i="1"/>
  <c r="W2751" i="1"/>
  <c r="T2751" i="1"/>
  <c r="P2751" i="1"/>
  <c r="J2751" i="1"/>
  <c r="G2751" i="1"/>
  <c r="F2751" i="1"/>
  <c r="B2751" i="1"/>
  <c r="W2750" i="1"/>
  <c r="T2750" i="1"/>
  <c r="P2750" i="1"/>
  <c r="J2750" i="1"/>
  <c r="G2750" i="1"/>
  <c r="F2750" i="1"/>
  <c r="B2750" i="1"/>
  <c r="W2749" i="1"/>
  <c r="T2749" i="1"/>
  <c r="P2749" i="1"/>
  <c r="J2749" i="1"/>
  <c r="G2749" i="1"/>
  <c r="F2749" i="1"/>
  <c r="B2749" i="1"/>
  <c r="W2748" i="1"/>
  <c r="T2748" i="1"/>
  <c r="P2748" i="1"/>
  <c r="J2748" i="1"/>
  <c r="G2748" i="1"/>
  <c r="F2748" i="1"/>
  <c r="B2748" i="1"/>
  <c r="W2747" i="1"/>
  <c r="T2747" i="1"/>
  <c r="P2747" i="1"/>
  <c r="J2747" i="1"/>
  <c r="G2747" i="1"/>
  <c r="F2747" i="1"/>
  <c r="B2747" i="1"/>
  <c r="W2746" i="1"/>
  <c r="T2746" i="1"/>
  <c r="P2746" i="1"/>
  <c r="J2746" i="1"/>
  <c r="G2746" i="1"/>
  <c r="F2746" i="1"/>
  <c r="B2746" i="1"/>
  <c r="W2745" i="1"/>
  <c r="T2745" i="1"/>
  <c r="P2745" i="1"/>
  <c r="J2745" i="1"/>
  <c r="G2745" i="1"/>
  <c r="F2745" i="1"/>
  <c r="B2745" i="1"/>
  <c r="W2744" i="1"/>
  <c r="T2744" i="1"/>
  <c r="P2744" i="1"/>
  <c r="J2744" i="1"/>
  <c r="G2744" i="1"/>
  <c r="F2744" i="1"/>
  <c r="B2744" i="1"/>
  <c r="W2743" i="1"/>
  <c r="T2743" i="1"/>
  <c r="P2743" i="1"/>
  <c r="J2743" i="1"/>
  <c r="G2743" i="1"/>
  <c r="F2743" i="1"/>
  <c r="B2743" i="1"/>
  <c r="W2742" i="1"/>
  <c r="T2742" i="1"/>
  <c r="P2742" i="1"/>
  <c r="J2742" i="1"/>
  <c r="G2742" i="1"/>
  <c r="F2742" i="1"/>
  <c r="B2742" i="1"/>
  <c r="W2741" i="1"/>
  <c r="T2741" i="1"/>
  <c r="P2741" i="1"/>
  <c r="J2741" i="1"/>
  <c r="G2741" i="1"/>
  <c r="F2741" i="1"/>
  <c r="B2741" i="1"/>
  <c r="W2740" i="1"/>
  <c r="T2740" i="1"/>
  <c r="P2740" i="1"/>
  <c r="J2740" i="1"/>
  <c r="G2740" i="1"/>
  <c r="F2740" i="1"/>
  <c r="B2740" i="1"/>
  <c r="W2739" i="1"/>
  <c r="T2739" i="1"/>
  <c r="P2739" i="1"/>
  <c r="J2739" i="1"/>
  <c r="G2739" i="1"/>
  <c r="F2739" i="1"/>
  <c r="B2739" i="1"/>
  <c r="W2738" i="1"/>
  <c r="T2738" i="1"/>
  <c r="P2738" i="1"/>
  <c r="J2738" i="1"/>
  <c r="G2738" i="1"/>
  <c r="F2738" i="1"/>
  <c r="B2738" i="1"/>
  <c r="W2737" i="1"/>
  <c r="T2737" i="1"/>
  <c r="P2737" i="1"/>
  <c r="J2737" i="1"/>
  <c r="G2737" i="1"/>
  <c r="F2737" i="1"/>
  <c r="B2737" i="1"/>
  <c r="W2736" i="1"/>
  <c r="T2736" i="1"/>
  <c r="P2736" i="1"/>
  <c r="J2736" i="1"/>
  <c r="G2736" i="1"/>
  <c r="F2736" i="1"/>
  <c r="B2736" i="1"/>
  <c r="W2735" i="1"/>
  <c r="T2735" i="1"/>
  <c r="P2735" i="1"/>
  <c r="J2735" i="1"/>
  <c r="G2735" i="1"/>
  <c r="F2735" i="1"/>
  <c r="B2735" i="1"/>
  <c r="W2734" i="1"/>
  <c r="T2734" i="1"/>
  <c r="P2734" i="1"/>
  <c r="J2734" i="1"/>
  <c r="G2734" i="1"/>
  <c r="F2734" i="1"/>
  <c r="B2734" i="1"/>
  <c r="W2733" i="1"/>
  <c r="T2733" i="1"/>
  <c r="P2733" i="1"/>
  <c r="J2733" i="1"/>
  <c r="G2733" i="1"/>
  <c r="F2733" i="1"/>
  <c r="B2733" i="1"/>
  <c r="W2732" i="1"/>
  <c r="T2732" i="1"/>
  <c r="P2732" i="1"/>
  <c r="J2732" i="1"/>
  <c r="G2732" i="1"/>
  <c r="F2732" i="1"/>
  <c r="B2732" i="1"/>
  <c r="W2731" i="1"/>
  <c r="T2731" i="1"/>
  <c r="P2731" i="1"/>
  <c r="J2731" i="1"/>
  <c r="G2731" i="1"/>
  <c r="F2731" i="1"/>
  <c r="B2731" i="1"/>
  <c r="W2730" i="1"/>
  <c r="T2730" i="1"/>
  <c r="P2730" i="1"/>
  <c r="J2730" i="1"/>
  <c r="G2730" i="1"/>
  <c r="F2730" i="1"/>
  <c r="B2730" i="1"/>
  <c r="W2729" i="1"/>
  <c r="T2729" i="1"/>
  <c r="P2729" i="1"/>
  <c r="J2729" i="1"/>
  <c r="G2729" i="1"/>
  <c r="F2729" i="1"/>
  <c r="B2729" i="1"/>
  <c r="W2728" i="1"/>
  <c r="T2728" i="1"/>
  <c r="P2728" i="1"/>
  <c r="J2728" i="1"/>
  <c r="G2728" i="1"/>
  <c r="F2728" i="1"/>
  <c r="B2728" i="1"/>
  <c r="W2727" i="1"/>
  <c r="T2727" i="1"/>
  <c r="P2727" i="1"/>
  <c r="J2727" i="1"/>
  <c r="G2727" i="1"/>
  <c r="F2727" i="1"/>
  <c r="B2727" i="1"/>
  <c r="W2726" i="1"/>
  <c r="T2726" i="1"/>
  <c r="P2726" i="1"/>
  <c r="J2726" i="1"/>
  <c r="G2726" i="1"/>
  <c r="F2726" i="1"/>
  <c r="B2726" i="1"/>
  <c r="W2725" i="1"/>
  <c r="T2725" i="1"/>
  <c r="P2725" i="1"/>
  <c r="J2725" i="1"/>
  <c r="G2725" i="1"/>
  <c r="F2725" i="1"/>
  <c r="B2725" i="1"/>
  <c r="W2724" i="1"/>
  <c r="T2724" i="1"/>
  <c r="P2724" i="1"/>
  <c r="J2724" i="1"/>
  <c r="G2724" i="1"/>
  <c r="F2724" i="1"/>
  <c r="B2724" i="1"/>
  <c r="W2723" i="1"/>
  <c r="T2723" i="1"/>
  <c r="P2723" i="1"/>
  <c r="J2723" i="1"/>
  <c r="G2723" i="1"/>
  <c r="F2723" i="1"/>
  <c r="B2723" i="1"/>
  <c r="W2722" i="1"/>
  <c r="T2722" i="1"/>
  <c r="P2722" i="1"/>
  <c r="J2722" i="1"/>
  <c r="G2722" i="1"/>
  <c r="F2722" i="1"/>
  <c r="B2722" i="1"/>
  <c r="W2721" i="1"/>
  <c r="T2721" i="1"/>
  <c r="P2721" i="1"/>
  <c r="J2721" i="1"/>
  <c r="G2721" i="1"/>
  <c r="F2721" i="1"/>
  <c r="B2721" i="1"/>
  <c r="W2720" i="1"/>
  <c r="T2720" i="1"/>
  <c r="P2720" i="1"/>
  <c r="J2720" i="1"/>
  <c r="G2720" i="1"/>
  <c r="F2720" i="1"/>
  <c r="B2720" i="1"/>
  <c r="W2719" i="1"/>
  <c r="T2719" i="1"/>
  <c r="P2719" i="1"/>
  <c r="J2719" i="1"/>
  <c r="G2719" i="1"/>
  <c r="F2719" i="1"/>
  <c r="B2719" i="1"/>
  <c r="W2718" i="1"/>
  <c r="T2718" i="1"/>
  <c r="P2718" i="1"/>
  <c r="J2718" i="1"/>
  <c r="G2718" i="1"/>
  <c r="F2718" i="1"/>
  <c r="B2718" i="1"/>
  <c r="W2717" i="1"/>
  <c r="T2717" i="1"/>
  <c r="P2717" i="1"/>
  <c r="J2717" i="1"/>
  <c r="G2717" i="1"/>
  <c r="F2717" i="1"/>
  <c r="B2717" i="1"/>
  <c r="W2716" i="1"/>
  <c r="T2716" i="1"/>
  <c r="P2716" i="1"/>
  <c r="J2716" i="1"/>
  <c r="G2716" i="1"/>
  <c r="F2716" i="1"/>
  <c r="B2716" i="1"/>
  <c r="W2715" i="1"/>
  <c r="T2715" i="1"/>
  <c r="P2715" i="1"/>
  <c r="J2715" i="1"/>
  <c r="G2715" i="1"/>
  <c r="F2715" i="1"/>
  <c r="B2715" i="1"/>
  <c r="W2714" i="1"/>
  <c r="T2714" i="1"/>
  <c r="P2714" i="1"/>
  <c r="J2714" i="1"/>
  <c r="G2714" i="1"/>
  <c r="F2714" i="1"/>
  <c r="B2714" i="1"/>
  <c r="W2713" i="1"/>
  <c r="T2713" i="1"/>
  <c r="P2713" i="1"/>
  <c r="J2713" i="1"/>
  <c r="G2713" i="1"/>
  <c r="F2713" i="1"/>
  <c r="B2713" i="1"/>
  <c r="W2712" i="1"/>
  <c r="T2712" i="1"/>
  <c r="P2712" i="1"/>
  <c r="J2712" i="1"/>
  <c r="G2712" i="1"/>
  <c r="F2712" i="1"/>
  <c r="B2712" i="1"/>
  <c r="W2711" i="1"/>
  <c r="T2711" i="1"/>
  <c r="P2711" i="1"/>
  <c r="J2711" i="1"/>
  <c r="G2711" i="1"/>
  <c r="F2711" i="1"/>
  <c r="B2711" i="1"/>
  <c r="W2710" i="1"/>
  <c r="T2710" i="1"/>
  <c r="P2710" i="1"/>
  <c r="J2710" i="1"/>
  <c r="G2710" i="1"/>
  <c r="F2710" i="1"/>
  <c r="B2710" i="1"/>
  <c r="W2709" i="1"/>
  <c r="T2709" i="1"/>
  <c r="P2709" i="1"/>
  <c r="J2709" i="1"/>
  <c r="G2709" i="1"/>
  <c r="F2709" i="1"/>
  <c r="B2709" i="1"/>
  <c r="W2708" i="1"/>
  <c r="T2708" i="1"/>
  <c r="P2708" i="1"/>
  <c r="J2708" i="1"/>
  <c r="G2708" i="1"/>
  <c r="F2708" i="1"/>
  <c r="B2708" i="1"/>
  <c r="W2707" i="1"/>
  <c r="T2707" i="1"/>
  <c r="P2707" i="1"/>
  <c r="J2707" i="1"/>
  <c r="G2707" i="1"/>
  <c r="F2707" i="1"/>
  <c r="B2707" i="1"/>
  <c r="W2706" i="1"/>
  <c r="T2706" i="1"/>
  <c r="P2706" i="1"/>
  <c r="J2706" i="1"/>
  <c r="G2706" i="1"/>
  <c r="F2706" i="1"/>
  <c r="B2706" i="1"/>
  <c r="W2705" i="1"/>
  <c r="T2705" i="1"/>
  <c r="P2705" i="1"/>
  <c r="J2705" i="1"/>
  <c r="G2705" i="1"/>
  <c r="F2705" i="1"/>
  <c r="B2705" i="1"/>
  <c r="W2704" i="1"/>
  <c r="T2704" i="1"/>
  <c r="P2704" i="1"/>
  <c r="J2704" i="1"/>
  <c r="G2704" i="1"/>
  <c r="F2704" i="1"/>
  <c r="B2704" i="1"/>
  <c r="W2703" i="1"/>
  <c r="T2703" i="1"/>
  <c r="P2703" i="1"/>
  <c r="J2703" i="1"/>
  <c r="G2703" i="1"/>
  <c r="F2703" i="1"/>
  <c r="B2703" i="1"/>
  <c r="W2702" i="1"/>
  <c r="T2702" i="1"/>
  <c r="P2702" i="1"/>
  <c r="J2702" i="1"/>
  <c r="G2702" i="1"/>
  <c r="F2702" i="1"/>
  <c r="B2702" i="1"/>
  <c r="W2701" i="1"/>
  <c r="T2701" i="1"/>
  <c r="P2701" i="1"/>
  <c r="J2701" i="1"/>
  <c r="G2701" i="1"/>
  <c r="F2701" i="1"/>
  <c r="B2701" i="1"/>
  <c r="W2700" i="1"/>
  <c r="T2700" i="1"/>
  <c r="P2700" i="1"/>
  <c r="J2700" i="1"/>
  <c r="G2700" i="1"/>
  <c r="F2700" i="1"/>
  <c r="B2700" i="1"/>
  <c r="W2699" i="1"/>
  <c r="T2699" i="1"/>
  <c r="P2699" i="1"/>
  <c r="J2699" i="1"/>
  <c r="G2699" i="1"/>
  <c r="F2699" i="1"/>
  <c r="B2699" i="1"/>
  <c r="W2698" i="1"/>
  <c r="T2698" i="1"/>
  <c r="P2698" i="1"/>
  <c r="J2698" i="1"/>
  <c r="G2698" i="1"/>
  <c r="F2698" i="1"/>
  <c r="B2698" i="1"/>
  <c r="W2697" i="1"/>
  <c r="T2697" i="1"/>
  <c r="P2697" i="1"/>
  <c r="J2697" i="1"/>
  <c r="G2697" i="1"/>
  <c r="F2697" i="1"/>
  <c r="B2697" i="1"/>
  <c r="W2696" i="1"/>
  <c r="T2696" i="1"/>
  <c r="P2696" i="1"/>
  <c r="J2696" i="1"/>
  <c r="G2696" i="1"/>
  <c r="F2696" i="1"/>
  <c r="B2696" i="1"/>
  <c r="W2695" i="1"/>
  <c r="T2695" i="1"/>
  <c r="P2695" i="1"/>
  <c r="J2695" i="1"/>
  <c r="G2695" i="1"/>
  <c r="F2695" i="1"/>
  <c r="B2695" i="1"/>
  <c r="W2694" i="1"/>
  <c r="T2694" i="1"/>
  <c r="P2694" i="1"/>
  <c r="J2694" i="1"/>
  <c r="G2694" i="1"/>
  <c r="F2694" i="1"/>
  <c r="B2694" i="1"/>
  <c r="W2693" i="1"/>
  <c r="T2693" i="1"/>
  <c r="P2693" i="1"/>
  <c r="J2693" i="1"/>
  <c r="G2693" i="1"/>
  <c r="F2693" i="1"/>
  <c r="B2693" i="1"/>
  <c r="W2692" i="1"/>
  <c r="T2692" i="1"/>
  <c r="P2692" i="1"/>
  <c r="J2692" i="1"/>
  <c r="G2692" i="1"/>
  <c r="F2692" i="1"/>
  <c r="B2692" i="1"/>
  <c r="W2691" i="1"/>
  <c r="T2691" i="1"/>
  <c r="P2691" i="1"/>
  <c r="J2691" i="1"/>
  <c r="G2691" i="1"/>
  <c r="F2691" i="1"/>
  <c r="B2691" i="1"/>
  <c r="W2690" i="1"/>
  <c r="T2690" i="1"/>
  <c r="P2690" i="1"/>
  <c r="J2690" i="1"/>
  <c r="G2690" i="1"/>
  <c r="F2690" i="1"/>
  <c r="B2690" i="1"/>
  <c r="W2689" i="1"/>
  <c r="T2689" i="1"/>
  <c r="P2689" i="1"/>
  <c r="J2689" i="1"/>
  <c r="G2689" i="1"/>
  <c r="F2689" i="1"/>
  <c r="B2689" i="1"/>
  <c r="W2688" i="1"/>
  <c r="T2688" i="1"/>
  <c r="P2688" i="1"/>
  <c r="J2688" i="1"/>
  <c r="G2688" i="1"/>
  <c r="F2688" i="1"/>
  <c r="B2688" i="1"/>
  <c r="W2687" i="1"/>
  <c r="T2687" i="1"/>
  <c r="P2687" i="1"/>
  <c r="J2687" i="1"/>
  <c r="G2687" i="1"/>
  <c r="F2687" i="1"/>
  <c r="B2687" i="1"/>
  <c r="W2686" i="1"/>
  <c r="T2686" i="1"/>
  <c r="P2686" i="1"/>
  <c r="J2686" i="1"/>
  <c r="G2686" i="1"/>
  <c r="F2686" i="1"/>
  <c r="B2686" i="1"/>
  <c r="W2685" i="1"/>
  <c r="T2685" i="1"/>
  <c r="P2685" i="1"/>
  <c r="J2685" i="1"/>
  <c r="G2685" i="1"/>
  <c r="F2685" i="1"/>
  <c r="B2685" i="1"/>
  <c r="W2684" i="1"/>
  <c r="T2684" i="1"/>
  <c r="P2684" i="1"/>
  <c r="J2684" i="1"/>
  <c r="G2684" i="1"/>
  <c r="F2684" i="1"/>
  <c r="B2684" i="1"/>
  <c r="W2683" i="1"/>
  <c r="T2683" i="1"/>
  <c r="P2683" i="1"/>
  <c r="J2683" i="1"/>
  <c r="G2683" i="1"/>
  <c r="F2683" i="1"/>
  <c r="B2683" i="1"/>
  <c r="W2682" i="1"/>
  <c r="T2682" i="1"/>
  <c r="P2682" i="1"/>
  <c r="J2682" i="1"/>
  <c r="G2682" i="1"/>
  <c r="F2682" i="1"/>
  <c r="B2682" i="1"/>
  <c r="W2681" i="1"/>
  <c r="T2681" i="1"/>
  <c r="P2681" i="1"/>
  <c r="J2681" i="1"/>
  <c r="G2681" i="1"/>
  <c r="F2681" i="1"/>
  <c r="B2681" i="1"/>
  <c r="W2680" i="1"/>
  <c r="T2680" i="1"/>
  <c r="P2680" i="1"/>
  <c r="J2680" i="1"/>
  <c r="G2680" i="1"/>
  <c r="F2680" i="1"/>
  <c r="B2680" i="1"/>
  <c r="W2679" i="1"/>
  <c r="T2679" i="1"/>
  <c r="P2679" i="1"/>
  <c r="J2679" i="1"/>
  <c r="G2679" i="1"/>
  <c r="F2679" i="1"/>
  <c r="B2679" i="1"/>
  <c r="W2678" i="1"/>
  <c r="T2678" i="1"/>
  <c r="P2678" i="1"/>
  <c r="J2678" i="1"/>
  <c r="G2678" i="1"/>
  <c r="F2678" i="1"/>
  <c r="B2678" i="1"/>
  <c r="W2677" i="1"/>
  <c r="T2677" i="1"/>
  <c r="P2677" i="1"/>
  <c r="J2677" i="1"/>
  <c r="G2677" i="1"/>
  <c r="F2677" i="1"/>
  <c r="B2677" i="1"/>
  <c r="W2676" i="1"/>
  <c r="T2676" i="1"/>
  <c r="P2676" i="1"/>
  <c r="J2676" i="1"/>
  <c r="G2676" i="1"/>
  <c r="F2676" i="1"/>
  <c r="B2676" i="1"/>
  <c r="W2675" i="1"/>
  <c r="T2675" i="1"/>
  <c r="P2675" i="1"/>
  <c r="J2675" i="1"/>
  <c r="G2675" i="1"/>
  <c r="F2675" i="1"/>
  <c r="B2675" i="1"/>
  <c r="W2674" i="1"/>
  <c r="T2674" i="1"/>
  <c r="P2674" i="1"/>
  <c r="J2674" i="1"/>
  <c r="G2674" i="1"/>
  <c r="F2674" i="1"/>
  <c r="B2674" i="1"/>
  <c r="W2673" i="1"/>
  <c r="T2673" i="1"/>
  <c r="P2673" i="1"/>
  <c r="J2673" i="1"/>
  <c r="G2673" i="1"/>
  <c r="F2673" i="1"/>
  <c r="B2673" i="1"/>
  <c r="W2672" i="1"/>
  <c r="T2672" i="1"/>
  <c r="P2672" i="1"/>
  <c r="J2672" i="1"/>
  <c r="G2672" i="1"/>
  <c r="F2672" i="1"/>
  <c r="B2672" i="1"/>
  <c r="W2671" i="1"/>
  <c r="T2671" i="1"/>
  <c r="P2671" i="1"/>
  <c r="J2671" i="1"/>
  <c r="G2671" i="1"/>
  <c r="F2671" i="1"/>
  <c r="B2671" i="1"/>
  <c r="W2670" i="1"/>
  <c r="T2670" i="1"/>
  <c r="P2670" i="1"/>
  <c r="J2670" i="1"/>
  <c r="G2670" i="1"/>
  <c r="F2670" i="1"/>
  <c r="B2670" i="1"/>
  <c r="W2669" i="1"/>
  <c r="T2669" i="1"/>
  <c r="P2669" i="1"/>
  <c r="J2669" i="1"/>
  <c r="G2669" i="1"/>
  <c r="F2669" i="1"/>
  <c r="B2669" i="1"/>
  <c r="W2668" i="1"/>
  <c r="T2668" i="1"/>
  <c r="P2668" i="1"/>
  <c r="J2668" i="1"/>
  <c r="G2668" i="1"/>
  <c r="F2668" i="1"/>
  <c r="B2668" i="1"/>
  <c r="W2667" i="1"/>
  <c r="T2667" i="1"/>
  <c r="P2667" i="1"/>
  <c r="J2667" i="1"/>
  <c r="G2667" i="1"/>
  <c r="F2667" i="1"/>
  <c r="B2667" i="1"/>
  <c r="W2666" i="1"/>
  <c r="T2666" i="1"/>
  <c r="P2666" i="1"/>
  <c r="J2666" i="1"/>
  <c r="G2666" i="1"/>
  <c r="F2666" i="1"/>
  <c r="B2666" i="1"/>
  <c r="W2665" i="1"/>
  <c r="T2665" i="1"/>
  <c r="P2665" i="1"/>
  <c r="J2665" i="1"/>
  <c r="G2665" i="1"/>
  <c r="F2665" i="1"/>
  <c r="B2665" i="1"/>
  <c r="W2664" i="1"/>
  <c r="T2664" i="1"/>
  <c r="P2664" i="1"/>
  <c r="J2664" i="1"/>
  <c r="G2664" i="1"/>
  <c r="F2664" i="1"/>
  <c r="B2664" i="1"/>
  <c r="W2663" i="1"/>
  <c r="T2663" i="1"/>
  <c r="P2663" i="1"/>
  <c r="J2663" i="1"/>
  <c r="G2663" i="1"/>
  <c r="F2663" i="1"/>
  <c r="B2663" i="1"/>
  <c r="W2662" i="1"/>
  <c r="T2662" i="1"/>
  <c r="P2662" i="1"/>
  <c r="J2662" i="1"/>
  <c r="G2662" i="1"/>
  <c r="F2662" i="1"/>
  <c r="B2662" i="1"/>
  <c r="W2661" i="1"/>
  <c r="T2661" i="1"/>
  <c r="P2661" i="1"/>
  <c r="J2661" i="1"/>
  <c r="G2661" i="1"/>
  <c r="F2661" i="1"/>
  <c r="B2661" i="1"/>
  <c r="W2660" i="1"/>
  <c r="T2660" i="1"/>
  <c r="P2660" i="1"/>
  <c r="J2660" i="1"/>
  <c r="G2660" i="1"/>
  <c r="F2660" i="1"/>
  <c r="B2660" i="1"/>
  <c r="W2659" i="1"/>
  <c r="T2659" i="1"/>
  <c r="P2659" i="1"/>
  <c r="J2659" i="1"/>
  <c r="G2659" i="1"/>
  <c r="F2659" i="1"/>
  <c r="B2659" i="1"/>
  <c r="W2658" i="1"/>
  <c r="T2658" i="1"/>
  <c r="P2658" i="1"/>
  <c r="J2658" i="1"/>
  <c r="G2658" i="1"/>
  <c r="F2658" i="1"/>
  <c r="B2658" i="1"/>
  <c r="W2657" i="1"/>
  <c r="T2657" i="1"/>
  <c r="P2657" i="1"/>
  <c r="J2657" i="1"/>
  <c r="G2657" i="1"/>
  <c r="F2657" i="1"/>
  <c r="B2657" i="1"/>
  <c r="W2656" i="1"/>
  <c r="T2656" i="1"/>
  <c r="P2656" i="1"/>
  <c r="J2656" i="1"/>
  <c r="G2656" i="1"/>
  <c r="F2656" i="1"/>
  <c r="B2656" i="1"/>
  <c r="W2655" i="1"/>
  <c r="T2655" i="1"/>
  <c r="P2655" i="1"/>
  <c r="J2655" i="1"/>
  <c r="G2655" i="1"/>
  <c r="F2655" i="1"/>
  <c r="B2655" i="1"/>
  <c r="W2654" i="1"/>
  <c r="T2654" i="1"/>
  <c r="P2654" i="1"/>
  <c r="J2654" i="1"/>
  <c r="G2654" i="1"/>
  <c r="F2654" i="1"/>
  <c r="B2654" i="1"/>
  <c r="W2653" i="1"/>
  <c r="T2653" i="1"/>
  <c r="P2653" i="1"/>
  <c r="J2653" i="1"/>
  <c r="G2653" i="1"/>
  <c r="F2653" i="1"/>
  <c r="B2653" i="1"/>
  <c r="W2652" i="1"/>
  <c r="T2652" i="1"/>
  <c r="P2652" i="1"/>
  <c r="J2652" i="1"/>
  <c r="G2652" i="1"/>
  <c r="F2652" i="1"/>
  <c r="B2652" i="1"/>
  <c r="W2651" i="1"/>
  <c r="T2651" i="1"/>
  <c r="P2651" i="1"/>
  <c r="J2651" i="1"/>
  <c r="G2651" i="1"/>
  <c r="F2651" i="1"/>
  <c r="B2651" i="1"/>
  <c r="W2650" i="1"/>
  <c r="T2650" i="1"/>
  <c r="P2650" i="1"/>
  <c r="J2650" i="1"/>
  <c r="G2650" i="1"/>
  <c r="F2650" i="1"/>
  <c r="B2650" i="1"/>
  <c r="W2649" i="1"/>
  <c r="T2649" i="1"/>
  <c r="P2649" i="1"/>
  <c r="J2649" i="1"/>
  <c r="G2649" i="1"/>
  <c r="F2649" i="1"/>
  <c r="B2649" i="1"/>
  <c r="W2648" i="1"/>
  <c r="T2648" i="1"/>
  <c r="P2648" i="1"/>
  <c r="J2648" i="1"/>
  <c r="G2648" i="1"/>
  <c r="F2648" i="1"/>
  <c r="B2648" i="1"/>
  <c r="W2647" i="1"/>
  <c r="T2647" i="1"/>
  <c r="P2647" i="1"/>
  <c r="J2647" i="1"/>
  <c r="G2647" i="1"/>
  <c r="F2647" i="1"/>
  <c r="B2647" i="1"/>
  <c r="W2646" i="1"/>
  <c r="T2646" i="1"/>
  <c r="P2646" i="1"/>
  <c r="J2646" i="1"/>
  <c r="G2646" i="1"/>
  <c r="F2646" i="1"/>
  <c r="B2646" i="1"/>
  <c r="W2645" i="1"/>
  <c r="T2645" i="1"/>
  <c r="P2645" i="1"/>
  <c r="J2645" i="1"/>
  <c r="G2645" i="1"/>
  <c r="F2645" i="1"/>
  <c r="B2645" i="1"/>
  <c r="W2644" i="1"/>
  <c r="T2644" i="1"/>
  <c r="P2644" i="1"/>
  <c r="J2644" i="1"/>
  <c r="G2644" i="1"/>
  <c r="F2644" i="1"/>
  <c r="B2644" i="1"/>
  <c r="W2643" i="1"/>
  <c r="T2643" i="1"/>
  <c r="P2643" i="1"/>
  <c r="J2643" i="1"/>
  <c r="G2643" i="1"/>
  <c r="F2643" i="1"/>
  <c r="B2643" i="1"/>
  <c r="W2642" i="1"/>
  <c r="T2642" i="1"/>
  <c r="P2642" i="1"/>
  <c r="J2642" i="1"/>
  <c r="G2642" i="1"/>
  <c r="F2642" i="1"/>
  <c r="B2642" i="1"/>
  <c r="W2641" i="1"/>
  <c r="T2641" i="1"/>
  <c r="P2641" i="1"/>
  <c r="J2641" i="1"/>
  <c r="G2641" i="1"/>
  <c r="F2641" i="1"/>
  <c r="B2641" i="1"/>
  <c r="W2640" i="1"/>
  <c r="T2640" i="1"/>
  <c r="P2640" i="1"/>
  <c r="J2640" i="1"/>
  <c r="G2640" i="1"/>
  <c r="F2640" i="1"/>
  <c r="B2640" i="1"/>
  <c r="W2639" i="1"/>
  <c r="T2639" i="1"/>
  <c r="P2639" i="1"/>
  <c r="J2639" i="1"/>
  <c r="G2639" i="1"/>
  <c r="F2639" i="1"/>
  <c r="B2639" i="1"/>
  <c r="W2638" i="1"/>
  <c r="T2638" i="1"/>
  <c r="P2638" i="1"/>
  <c r="J2638" i="1"/>
  <c r="G2638" i="1"/>
  <c r="F2638" i="1"/>
  <c r="B2638" i="1"/>
  <c r="W2637" i="1"/>
  <c r="T2637" i="1"/>
  <c r="P2637" i="1"/>
  <c r="J2637" i="1"/>
  <c r="G2637" i="1"/>
  <c r="F2637" i="1"/>
  <c r="B2637" i="1"/>
  <c r="W2636" i="1"/>
  <c r="T2636" i="1"/>
  <c r="P2636" i="1"/>
  <c r="J2636" i="1"/>
  <c r="G2636" i="1"/>
  <c r="F2636" i="1"/>
  <c r="B2636" i="1"/>
  <c r="W2635" i="1"/>
  <c r="T2635" i="1"/>
  <c r="P2635" i="1"/>
  <c r="J2635" i="1"/>
  <c r="G2635" i="1"/>
  <c r="F2635" i="1"/>
  <c r="B2635" i="1"/>
  <c r="W2634" i="1"/>
  <c r="T2634" i="1"/>
  <c r="P2634" i="1"/>
  <c r="J2634" i="1"/>
  <c r="G2634" i="1"/>
  <c r="F2634" i="1"/>
  <c r="B2634" i="1"/>
  <c r="W2633" i="1"/>
  <c r="T2633" i="1"/>
  <c r="P2633" i="1"/>
  <c r="J2633" i="1"/>
  <c r="G2633" i="1"/>
  <c r="F2633" i="1"/>
  <c r="B2633" i="1"/>
  <c r="W2632" i="1"/>
  <c r="T2632" i="1"/>
  <c r="P2632" i="1"/>
  <c r="J2632" i="1"/>
  <c r="G2632" i="1"/>
  <c r="F2632" i="1"/>
  <c r="B2632" i="1"/>
  <c r="W2631" i="1"/>
  <c r="T2631" i="1"/>
  <c r="P2631" i="1"/>
  <c r="J2631" i="1"/>
  <c r="G2631" i="1"/>
  <c r="F2631" i="1"/>
  <c r="B2631" i="1"/>
  <c r="W2630" i="1"/>
  <c r="T2630" i="1"/>
  <c r="P2630" i="1"/>
  <c r="J2630" i="1"/>
  <c r="G2630" i="1"/>
  <c r="F2630" i="1"/>
  <c r="B2630" i="1"/>
  <c r="W2629" i="1"/>
  <c r="T2629" i="1"/>
  <c r="P2629" i="1"/>
  <c r="J2629" i="1"/>
  <c r="G2629" i="1"/>
  <c r="F2629" i="1"/>
  <c r="B2629" i="1"/>
  <c r="W2628" i="1"/>
  <c r="T2628" i="1"/>
  <c r="P2628" i="1"/>
  <c r="J2628" i="1"/>
  <c r="G2628" i="1"/>
  <c r="F2628" i="1"/>
  <c r="B2628" i="1"/>
  <c r="W2627" i="1"/>
  <c r="T2627" i="1"/>
  <c r="P2627" i="1"/>
  <c r="J2627" i="1"/>
  <c r="G2627" i="1"/>
  <c r="F2627" i="1"/>
  <c r="B2627" i="1"/>
  <c r="W2626" i="1"/>
  <c r="T2626" i="1"/>
  <c r="P2626" i="1"/>
  <c r="J2626" i="1"/>
  <c r="G2626" i="1"/>
  <c r="F2626" i="1"/>
  <c r="B2626" i="1"/>
  <c r="W2625" i="1"/>
  <c r="T2625" i="1"/>
  <c r="P2625" i="1"/>
  <c r="J2625" i="1"/>
  <c r="G2625" i="1"/>
  <c r="F2625" i="1"/>
  <c r="B2625" i="1"/>
  <c r="W2624" i="1"/>
  <c r="T2624" i="1"/>
  <c r="P2624" i="1"/>
  <c r="J2624" i="1"/>
  <c r="G2624" i="1"/>
  <c r="F2624" i="1"/>
  <c r="B2624" i="1"/>
  <c r="W2623" i="1"/>
  <c r="T2623" i="1"/>
  <c r="P2623" i="1"/>
  <c r="J2623" i="1"/>
  <c r="G2623" i="1"/>
  <c r="F2623" i="1"/>
  <c r="B2623" i="1"/>
  <c r="W2622" i="1"/>
  <c r="T2622" i="1"/>
  <c r="P2622" i="1"/>
  <c r="J2622" i="1"/>
  <c r="G2622" i="1"/>
  <c r="F2622" i="1"/>
  <c r="B2622" i="1"/>
  <c r="W2621" i="1"/>
  <c r="T2621" i="1"/>
  <c r="P2621" i="1"/>
  <c r="J2621" i="1"/>
  <c r="G2621" i="1"/>
  <c r="F2621" i="1"/>
  <c r="B2621" i="1"/>
  <c r="W2620" i="1"/>
  <c r="T2620" i="1"/>
  <c r="P2620" i="1"/>
  <c r="J2620" i="1"/>
  <c r="G2620" i="1"/>
  <c r="F2620" i="1"/>
  <c r="B2620" i="1"/>
  <c r="W2619" i="1"/>
  <c r="T2619" i="1"/>
  <c r="P2619" i="1"/>
  <c r="J2619" i="1"/>
  <c r="G2619" i="1"/>
  <c r="F2619" i="1"/>
  <c r="B2619" i="1"/>
  <c r="W2618" i="1"/>
  <c r="T2618" i="1"/>
  <c r="P2618" i="1"/>
  <c r="J2618" i="1"/>
  <c r="G2618" i="1"/>
  <c r="F2618" i="1"/>
  <c r="B2618" i="1"/>
  <c r="W2617" i="1"/>
  <c r="T2617" i="1"/>
  <c r="P2617" i="1"/>
  <c r="J2617" i="1"/>
  <c r="G2617" i="1"/>
  <c r="F2617" i="1"/>
  <c r="B2617" i="1"/>
  <c r="W2616" i="1"/>
  <c r="T2616" i="1"/>
  <c r="P2616" i="1"/>
  <c r="J2616" i="1"/>
  <c r="G2616" i="1"/>
  <c r="F2616" i="1"/>
  <c r="B2616" i="1"/>
  <c r="W2615" i="1"/>
  <c r="T2615" i="1"/>
  <c r="P2615" i="1"/>
  <c r="J2615" i="1"/>
  <c r="G2615" i="1"/>
  <c r="F2615" i="1"/>
  <c r="B2615" i="1"/>
  <c r="W2614" i="1"/>
  <c r="T2614" i="1"/>
  <c r="P2614" i="1"/>
  <c r="J2614" i="1"/>
  <c r="G2614" i="1"/>
  <c r="F2614" i="1"/>
  <c r="B2614" i="1"/>
  <c r="W2613" i="1"/>
  <c r="T2613" i="1"/>
  <c r="P2613" i="1"/>
  <c r="J2613" i="1"/>
  <c r="G2613" i="1"/>
  <c r="F2613" i="1"/>
  <c r="B2613" i="1"/>
  <c r="W2612" i="1"/>
  <c r="T2612" i="1"/>
  <c r="P2612" i="1"/>
  <c r="J2612" i="1"/>
  <c r="G2612" i="1"/>
  <c r="F2612" i="1"/>
  <c r="B2612" i="1"/>
  <c r="W2611" i="1"/>
  <c r="T2611" i="1"/>
  <c r="P2611" i="1"/>
  <c r="J2611" i="1"/>
  <c r="G2611" i="1"/>
  <c r="F2611" i="1"/>
  <c r="B2611" i="1"/>
  <c r="W2610" i="1"/>
  <c r="T2610" i="1"/>
  <c r="P2610" i="1"/>
  <c r="J2610" i="1"/>
  <c r="G2610" i="1"/>
  <c r="F2610" i="1"/>
  <c r="B2610" i="1"/>
  <c r="W2609" i="1"/>
  <c r="T2609" i="1"/>
  <c r="P2609" i="1"/>
  <c r="J2609" i="1"/>
  <c r="G2609" i="1"/>
  <c r="F2609" i="1"/>
  <c r="B2609" i="1"/>
  <c r="W2608" i="1"/>
  <c r="T2608" i="1"/>
  <c r="P2608" i="1"/>
  <c r="J2608" i="1"/>
  <c r="G2608" i="1"/>
  <c r="F2608" i="1"/>
  <c r="B2608" i="1"/>
  <c r="W2607" i="1"/>
  <c r="T2607" i="1"/>
  <c r="P2607" i="1"/>
  <c r="J2607" i="1"/>
  <c r="G2607" i="1"/>
  <c r="F2607" i="1"/>
  <c r="B2607" i="1"/>
  <c r="W2606" i="1"/>
  <c r="T2606" i="1"/>
  <c r="P2606" i="1"/>
  <c r="J2606" i="1"/>
  <c r="G2606" i="1"/>
  <c r="F2606" i="1"/>
  <c r="B2606" i="1"/>
  <c r="W2605" i="1"/>
  <c r="T2605" i="1"/>
  <c r="P2605" i="1"/>
  <c r="J2605" i="1"/>
  <c r="G2605" i="1"/>
  <c r="F2605" i="1"/>
  <c r="B2605" i="1"/>
  <c r="W2604" i="1"/>
  <c r="T2604" i="1"/>
  <c r="P2604" i="1"/>
  <c r="J2604" i="1"/>
  <c r="G2604" i="1"/>
  <c r="F2604" i="1"/>
  <c r="B2604" i="1"/>
  <c r="W2603" i="1"/>
  <c r="T2603" i="1"/>
  <c r="P2603" i="1"/>
  <c r="J2603" i="1"/>
  <c r="G2603" i="1"/>
  <c r="F2603" i="1"/>
  <c r="B2603" i="1"/>
  <c r="W2602" i="1"/>
  <c r="T2602" i="1"/>
  <c r="P2602" i="1"/>
  <c r="J2602" i="1"/>
  <c r="G2602" i="1"/>
  <c r="F2602" i="1"/>
  <c r="B2602" i="1"/>
  <c r="W2601" i="1"/>
  <c r="T2601" i="1"/>
  <c r="P2601" i="1"/>
  <c r="J2601" i="1"/>
  <c r="G2601" i="1"/>
  <c r="F2601" i="1"/>
  <c r="B2601" i="1"/>
  <c r="W2600" i="1"/>
  <c r="T2600" i="1"/>
  <c r="P2600" i="1"/>
  <c r="J2600" i="1"/>
  <c r="G2600" i="1"/>
  <c r="F2600" i="1"/>
  <c r="B2600" i="1"/>
  <c r="W2599" i="1"/>
  <c r="T2599" i="1"/>
  <c r="P2599" i="1"/>
  <c r="J2599" i="1"/>
  <c r="G2599" i="1"/>
  <c r="F2599" i="1"/>
  <c r="B2599" i="1"/>
  <c r="W2598" i="1"/>
  <c r="T2598" i="1"/>
  <c r="P2598" i="1"/>
  <c r="J2598" i="1"/>
  <c r="G2598" i="1"/>
  <c r="F2598" i="1"/>
  <c r="B2598" i="1"/>
  <c r="W2597" i="1"/>
  <c r="T2597" i="1"/>
  <c r="P2597" i="1"/>
  <c r="J2597" i="1"/>
  <c r="G2597" i="1"/>
  <c r="F2597" i="1"/>
  <c r="B2597" i="1"/>
  <c r="W2596" i="1"/>
  <c r="T2596" i="1"/>
  <c r="P2596" i="1"/>
  <c r="J2596" i="1"/>
  <c r="G2596" i="1"/>
  <c r="F2596" i="1"/>
  <c r="B2596" i="1"/>
  <c r="W2595" i="1"/>
  <c r="T2595" i="1"/>
  <c r="P2595" i="1"/>
  <c r="J2595" i="1"/>
  <c r="G2595" i="1"/>
  <c r="F2595" i="1"/>
  <c r="B2595" i="1"/>
  <c r="W2594" i="1"/>
  <c r="T2594" i="1"/>
  <c r="P2594" i="1"/>
  <c r="J2594" i="1"/>
  <c r="G2594" i="1"/>
  <c r="F2594" i="1"/>
  <c r="B2594" i="1"/>
  <c r="W2593" i="1"/>
  <c r="T2593" i="1"/>
  <c r="P2593" i="1"/>
  <c r="J2593" i="1"/>
  <c r="G2593" i="1"/>
  <c r="F2593" i="1"/>
  <c r="B2593" i="1"/>
  <c r="W2592" i="1"/>
  <c r="T2592" i="1"/>
  <c r="P2592" i="1"/>
  <c r="J2592" i="1"/>
  <c r="G2592" i="1"/>
  <c r="F2592" i="1"/>
  <c r="B2592" i="1"/>
  <c r="W2591" i="1"/>
  <c r="T2591" i="1"/>
  <c r="P2591" i="1"/>
  <c r="J2591" i="1"/>
  <c r="G2591" i="1"/>
  <c r="F2591" i="1"/>
  <c r="B2591" i="1"/>
  <c r="W2590" i="1"/>
  <c r="T2590" i="1"/>
  <c r="P2590" i="1"/>
  <c r="J2590" i="1"/>
  <c r="G2590" i="1"/>
  <c r="F2590" i="1"/>
  <c r="B2590" i="1"/>
  <c r="W2589" i="1"/>
  <c r="T2589" i="1"/>
  <c r="P2589" i="1"/>
  <c r="J2589" i="1"/>
  <c r="G2589" i="1"/>
  <c r="F2589" i="1"/>
  <c r="B2589" i="1"/>
  <c r="W2588" i="1"/>
  <c r="T2588" i="1"/>
  <c r="P2588" i="1"/>
  <c r="J2588" i="1"/>
  <c r="G2588" i="1"/>
  <c r="F2588" i="1"/>
  <c r="B2588" i="1"/>
  <c r="W2587" i="1"/>
  <c r="T2587" i="1"/>
  <c r="P2587" i="1"/>
  <c r="J2587" i="1"/>
  <c r="G2587" i="1"/>
  <c r="F2587" i="1"/>
  <c r="B2587" i="1"/>
  <c r="W2586" i="1"/>
  <c r="T2586" i="1"/>
  <c r="P2586" i="1"/>
  <c r="J2586" i="1"/>
  <c r="G2586" i="1"/>
  <c r="F2586" i="1"/>
  <c r="B2586" i="1"/>
  <c r="W2585" i="1"/>
  <c r="T2585" i="1"/>
  <c r="P2585" i="1"/>
  <c r="J2585" i="1"/>
  <c r="G2585" i="1"/>
  <c r="F2585" i="1"/>
  <c r="B2585" i="1"/>
  <c r="W2584" i="1"/>
  <c r="T2584" i="1"/>
  <c r="P2584" i="1"/>
  <c r="J2584" i="1"/>
  <c r="G2584" i="1"/>
  <c r="F2584" i="1"/>
  <c r="B2584" i="1"/>
  <c r="W2583" i="1"/>
  <c r="T2583" i="1"/>
  <c r="P2583" i="1"/>
  <c r="J2583" i="1"/>
  <c r="G2583" i="1"/>
  <c r="F2583" i="1"/>
  <c r="B2583" i="1"/>
  <c r="W2582" i="1"/>
  <c r="T2582" i="1"/>
  <c r="P2582" i="1"/>
  <c r="J2582" i="1"/>
  <c r="G2582" i="1"/>
  <c r="F2582" i="1"/>
  <c r="B2582" i="1"/>
  <c r="W2581" i="1"/>
  <c r="T2581" i="1"/>
  <c r="P2581" i="1"/>
  <c r="J2581" i="1"/>
  <c r="G2581" i="1"/>
  <c r="F2581" i="1"/>
  <c r="B2581" i="1"/>
  <c r="W2580" i="1"/>
  <c r="T2580" i="1"/>
  <c r="P2580" i="1"/>
  <c r="J2580" i="1"/>
  <c r="G2580" i="1"/>
  <c r="F2580" i="1"/>
  <c r="B2580" i="1"/>
  <c r="W2579" i="1"/>
  <c r="T2579" i="1"/>
  <c r="P2579" i="1"/>
  <c r="J2579" i="1"/>
  <c r="G2579" i="1"/>
  <c r="F2579" i="1"/>
  <c r="B2579" i="1"/>
  <c r="W2578" i="1"/>
  <c r="T2578" i="1"/>
  <c r="P2578" i="1"/>
  <c r="J2578" i="1"/>
  <c r="G2578" i="1"/>
  <c r="F2578" i="1"/>
  <c r="B2578" i="1"/>
  <c r="W2577" i="1"/>
  <c r="T2577" i="1"/>
  <c r="P2577" i="1"/>
  <c r="J2577" i="1"/>
  <c r="G2577" i="1"/>
  <c r="F2577" i="1"/>
  <c r="B2577" i="1"/>
  <c r="W2576" i="1"/>
  <c r="T2576" i="1"/>
  <c r="P2576" i="1"/>
  <c r="J2576" i="1"/>
  <c r="G2576" i="1"/>
  <c r="F2576" i="1"/>
  <c r="B2576" i="1"/>
  <c r="W2575" i="1"/>
  <c r="T2575" i="1"/>
  <c r="P2575" i="1"/>
  <c r="J2575" i="1"/>
  <c r="G2575" i="1"/>
  <c r="F2575" i="1"/>
  <c r="B2575" i="1"/>
  <c r="W2574" i="1"/>
  <c r="T2574" i="1"/>
  <c r="P2574" i="1"/>
  <c r="J2574" i="1"/>
  <c r="G2574" i="1"/>
  <c r="F2574" i="1"/>
  <c r="B2574" i="1"/>
  <c r="W2573" i="1"/>
  <c r="T2573" i="1"/>
  <c r="P2573" i="1"/>
  <c r="J2573" i="1"/>
  <c r="G2573" i="1"/>
  <c r="F2573" i="1"/>
  <c r="B2573" i="1"/>
  <c r="W2572" i="1"/>
  <c r="T2572" i="1"/>
  <c r="P2572" i="1"/>
  <c r="J2572" i="1"/>
  <c r="G2572" i="1"/>
  <c r="F2572" i="1"/>
  <c r="B2572" i="1"/>
  <c r="W2571" i="1"/>
  <c r="T2571" i="1"/>
  <c r="P2571" i="1"/>
  <c r="J2571" i="1"/>
  <c r="G2571" i="1"/>
  <c r="F2571" i="1"/>
  <c r="B2571" i="1"/>
  <c r="W2570" i="1"/>
  <c r="T2570" i="1"/>
  <c r="P2570" i="1"/>
  <c r="J2570" i="1"/>
  <c r="G2570" i="1"/>
  <c r="F2570" i="1"/>
  <c r="B2570" i="1"/>
  <c r="W2569" i="1"/>
  <c r="T2569" i="1"/>
  <c r="P2569" i="1"/>
  <c r="J2569" i="1"/>
  <c r="G2569" i="1"/>
  <c r="F2569" i="1"/>
  <c r="B2569" i="1"/>
  <c r="W2568" i="1"/>
  <c r="T2568" i="1"/>
  <c r="P2568" i="1"/>
  <c r="J2568" i="1"/>
  <c r="G2568" i="1"/>
  <c r="F2568" i="1"/>
  <c r="B2568" i="1"/>
  <c r="W2567" i="1"/>
  <c r="T2567" i="1"/>
  <c r="P2567" i="1"/>
  <c r="J2567" i="1"/>
  <c r="G2567" i="1"/>
  <c r="F2567" i="1"/>
  <c r="B2567" i="1"/>
  <c r="W2566" i="1"/>
  <c r="T2566" i="1"/>
  <c r="P2566" i="1"/>
  <c r="J2566" i="1"/>
  <c r="G2566" i="1"/>
  <c r="F2566" i="1"/>
  <c r="B2566" i="1"/>
  <c r="W2565" i="1"/>
  <c r="T2565" i="1"/>
  <c r="P2565" i="1"/>
  <c r="J2565" i="1"/>
  <c r="G2565" i="1"/>
  <c r="F2565" i="1"/>
  <c r="B2565" i="1"/>
  <c r="W2564" i="1"/>
  <c r="T2564" i="1"/>
  <c r="P2564" i="1"/>
  <c r="J2564" i="1"/>
  <c r="G2564" i="1"/>
  <c r="F2564" i="1"/>
  <c r="B2564" i="1"/>
  <c r="W2563" i="1"/>
  <c r="T2563" i="1"/>
  <c r="P2563" i="1"/>
  <c r="J2563" i="1"/>
  <c r="G2563" i="1"/>
  <c r="F2563" i="1"/>
  <c r="B2563" i="1"/>
  <c r="W2562" i="1"/>
  <c r="T2562" i="1"/>
  <c r="P2562" i="1"/>
  <c r="J2562" i="1"/>
  <c r="G2562" i="1"/>
  <c r="F2562" i="1"/>
  <c r="B2562" i="1"/>
  <c r="W2561" i="1"/>
  <c r="T2561" i="1"/>
  <c r="P2561" i="1"/>
  <c r="J2561" i="1"/>
  <c r="G2561" i="1"/>
  <c r="F2561" i="1"/>
  <c r="B2561" i="1"/>
  <c r="W2560" i="1"/>
  <c r="T2560" i="1"/>
  <c r="P2560" i="1"/>
  <c r="J2560" i="1"/>
  <c r="G2560" i="1"/>
  <c r="F2560" i="1"/>
  <c r="B2560" i="1"/>
  <c r="W2559" i="1"/>
  <c r="T2559" i="1"/>
  <c r="P2559" i="1"/>
  <c r="J2559" i="1"/>
  <c r="G2559" i="1"/>
  <c r="F2559" i="1"/>
  <c r="B2559" i="1"/>
  <c r="W2558" i="1"/>
  <c r="T2558" i="1"/>
  <c r="P2558" i="1"/>
  <c r="J2558" i="1"/>
  <c r="G2558" i="1"/>
  <c r="F2558" i="1"/>
  <c r="B2558" i="1"/>
  <c r="W2557" i="1"/>
  <c r="T2557" i="1"/>
  <c r="P2557" i="1"/>
  <c r="J2557" i="1"/>
  <c r="G2557" i="1"/>
  <c r="F2557" i="1"/>
  <c r="B2557" i="1"/>
  <c r="W2556" i="1"/>
  <c r="T2556" i="1"/>
  <c r="P2556" i="1"/>
  <c r="J2556" i="1"/>
  <c r="G2556" i="1"/>
  <c r="F2556" i="1"/>
  <c r="B2556" i="1"/>
  <c r="W2555" i="1"/>
  <c r="T2555" i="1"/>
  <c r="P2555" i="1"/>
  <c r="J2555" i="1"/>
  <c r="G2555" i="1"/>
  <c r="F2555" i="1"/>
  <c r="B2555" i="1"/>
  <c r="W2554" i="1"/>
  <c r="T2554" i="1"/>
  <c r="P2554" i="1"/>
  <c r="J2554" i="1"/>
  <c r="G2554" i="1"/>
  <c r="F2554" i="1"/>
  <c r="B2554" i="1"/>
  <c r="W2553" i="1"/>
  <c r="T2553" i="1"/>
  <c r="P2553" i="1"/>
  <c r="J2553" i="1"/>
  <c r="G2553" i="1"/>
  <c r="F2553" i="1"/>
  <c r="B2553" i="1"/>
  <c r="W2552" i="1"/>
  <c r="T2552" i="1"/>
  <c r="P2552" i="1"/>
  <c r="J2552" i="1"/>
  <c r="G2552" i="1"/>
  <c r="F2552" i="1"/>
  <c r="B2552" i="1"/>
  <c r="W2551" i="1"/>
  <c r="T2551" i="1"/>
  <c r="P2551" i="1"/>
  <c r="J2551" i="1"/>
  <c r="G2551" i="1"/>
  <c r="F2551" i="1"/>
  <c r="B2551" i="1"/>
  <c r="W2550" i="1"/>
  <c r="T2550" i="1"/>
  <c r="P2550" i="1"/>
  <c r="J2550" i="1"/>
  <c r="G2550" i="1"/>
  <c r="F2550" i="1"/>
  <c r="B2550" i="1"/>
  <c r="W2549" i="1"/>
  <c r="T2549" i="1"/>
  <c r="P2549" i="1"/>
  <c r="J2549" i="1"/>
  <c r="G2549" i="1"/>
  <c r="F2549" i="1"/>
  <c r="B2549" i="1"/>
  <c r="W2548" i="1"/>
  <c r="T2548" i="1"/>
  <c r="P2548" i="1"/>
  <c r="J2548" i="1"/>
  <c r="G2548" i="1"/>
  <c r="F2548" i="1"/>
  <c r="B2548" i="1"/>
  <c r="W2547" i="1"/>
  <c r="T2547" i="1"/>
  <c r="P2547" i="1"/>
  <c r="J2547" i="1"/>
  <c r="G2547" i="1"/>
  <c r="F2547" i="1"/>
  <c r="B2547" i="1"/>
  <c r="W2546" i="1"/>
  <c r="T2546" i="1"/>
  <c r="P2546" i="1"/>
  <c r="J2546" i="1"/>
  <c r="G2546" i="1"/>
  <c r="F2546" i="1"/>
  <c r="B2546" i="1"/>
  <c r="W2545" i="1"/>
  <c r="T2545" i="1"/>
  <c r="P2545" i="1"/>
  <c r="J2545" i="1"/>
  <c r="G2545" i="1"/>
  <c r="F2545" i="1"/>
  <c r="B2545" i="1"/>
  <c r="W2544" i="1"/>
  <c r="T2544" i="1"/>
  <c r="P2544" i="1"/>
  <c r="J2544" i="1"/>
  <c r="G2544" i="1"/>
  <c r="F2544" i="1"/>
  <c r="B2544" i="1"/>
  <c r="W2543" i="1"/>
  <c r="T2543" i="1"/>
  <c r="P2543" i="1"/>
  <c r="J2543" i="1"/>
  <c r="G2543" i="1"/>
  <c r="F2543" i="1"/>
  <c r="B2543" i="1"/>
  <c r="W2542" i="1"/>
  <c r="T2542" i="1"/>
  <c r="P2542" i="1"/>
  <c r="J2542" i="1"/>
  <c r="G2542" i="1"/>
  <c r="F2542" i="1"/>
  <c r="B2542" i="1"/>
  <c r="W2541" i="1"/>
  <c r="T2541" i="1"/>
  <c r="P2541" i="1"/>
  <c r="J2541" i="1"/>
  <c r="G2541" i="1"/>
  <c r="F2541" i="1"/>
  <c r="B2541" i="1"/>
  <c r="W2540" i="1"/>
  <c r="T2540" i="1"/>
  <c r="P2540" i="1"/>
  <c r="J2540" i="1"/>
  <c r="G2540" i="1"/>
  <c r="F2540" i="1"/>
  <c r="B2540" i="1"/>
  <c r="W2539" i="1"/>
  <c r="T2539" i="1"/>
  <c r="P2539" i="1"/>
  <c r="J2539" i="1"/>
  <c r="G2539" i="1"/>
  <c r="F2539" i="1"/>
  <c r="B2539" i="1"/>
  <c r="W2538" i="1"/>
  <c r="T2538" i="1"/>
  <c r="P2538" i="1"/>
  <c r="J2538" i="1"/>
  <c r="G2538" i="1"/>
  <c r="F2538" i="1"/>
  <c r="B2538" i="1"/>
  <c r="W2537" i="1"/>
  <c r="T2537" i="1"/>
  <c r="P2537" i="1"/>
  <c r="J2537" i="1"/>
  <c r="G2537" i="1"/>
  <c r="F2537" i="1"/>
  <c r="B2537" i="1"/>
  <c r="W2536" i="1"/>
  <c r="T2536" i="1"/>
  <c r="P2536" i="1"/>
  <c r="J2536" i="1"/>
  <c r="G2536" i="1"/>
  <c r="F2536" i="1"/>
  <c r="B2536" i="1"/>
  <c r="W2535" i="1"/>
  <c r="T2535" i="1"/>
  <c r="P2535" i="1"/>
  <c r="J2535" i="1"/>
  <c r="G2535" i="1"/>
  <c r="F2535" i="1"/>
  <c r="B2535" i="1"/>
  <c r="W2534" i="1"/>
  <c r="T2534" i="1"/>
  <c r="P2534" i="1"/>
  <c r="J2534" i="1"/>
  <c r="G2534" i="1"/>
  <c r="F2534" i="1"/>
  <c r="B2534" i="1"/>
  <c r="W2533" i="1"/>
  <c r="T2533" i="1"/>
  <c r="P2533" i="1"/>
  <c r="J2533" i="1"/>
  <c r="G2533" i="1"/>
  <c r="F2533" i="1"/>
  <c r="B2533" i="1"/>
  <c r="W2532" i="1"/>
  <c r="T2532" i="1"/>
  <c r="P2532" i="1"/>
  <c r="J2532" i="1"/>
  <c r="G2532" i="1"/>
  <c r="F2532" i="1"/>
  <c r="B2532" i="1"/>
  <c r="W2531" i="1"/>
  <c r="T2531" i="1"/>
  <c r="P2531" i="1"/>
  <c r="J2531" i="1"/>
  <c r="G2531" i="1"/>
  <c r="F2531" i="1"/>
  <c r="B2531" i="1"/>
  <c r="W2530" i="1"/>
  <c r="T2530" i="1"/>
  <c r="P2530" i="1"/>
  <c r="J2530" i="1"/>
  <c r="G2530" i="1"/>
  <c r="F2530" i="1"/>
  <c r="B2530" i="1"/>
  <c r="W2529" i="1"/>
  <c r="T2529" i="1"/>
  <c r="P2529" i="1"/>
  <c r="J2529" i="1"/>
  <c r="G2529" i="1"/>
  <c r="F2529" i="1"/>
  <c r="B2529" i="1"/>
  <c r="W2528" i="1"/>
  <c r="T2528" i="1"/>
  <c r="P2528" i="1"/>
  <c r="J2528" i="1"/>
  <c r="G2528" i="1"/>
  <c r="F2528" i="1"/>
  <c r="B2528" i="1"/>
  <c r="W2527" i="1"/>
  <c r="T2527" i="1"/>
  <c r="P2527" i="1"/>
  <c r="J2527" i="1"/>
  <c r="G2527" i="1"/>
  <c r="F2527" i="1"/>
  <c r="B2527" i="1"/>
  <c r="W2526" i="1"/>
  <c r="T2526" i="1"/>
  <c r="P2526" i="1"/>
  <c r="J2526" i="1"/>
  <c r="G2526" i="1"/>
  <c r="F2526" i="1"/>
  <c r="B2526" i="1"/>
  <c r="W2525" i="1"/>
  <c r="T2525" i="1"/>
  <c r="P2525" i="1"/>
  <c r="J2525" i="1"/>
  <c r="G2525" i="1"/>
  <c r="F2525" i="1"/>
  <c r="B2525" i="1"/>
  <c r="W2524" i="1"/>
  <c r="T2524" i="1"/>
  <c r="P2524" i="1"/>
  <c r="J2524" i="1"/>
  <c r="G2524" i="1"/>
  <c r="F2524" i="1"/>
  <c r="B2524" i="1"/>
  <c r="W2523" i="1"/>
  <c r="T2523" i="1"/>
  <c r="P2523" i="1"/>
  <c r="J2523" i="1"/>
  <c r="G2523" i="1"/>
  <c r="F2523" i="1"/>
  <c r="B2523" i="1"/>
  <c r="W2522" i="1"/>
  <c r="T2522" i="1"/>
  <c r="P2522" i="1"/>
  <c r="J2522" i="1"/>
  <c r="G2522" i="1"/>
  <c r="F2522" i="1"/>
  <c r="B2522" i="1"/>
  <c r="W2521" i="1"/>
  <c r="T2521" i="1"/>
  <c r="P2521" i="1"/>
  <c r="J2521" i="1"/>
  <c r="G2521" i="1"/>
  <c r="F2521" i="1"/>
  <c r="B2521" i="1"/>
  <c r="W2520" i="1"/>
  <c r="T2520" i="1"/>
  <c r="P2520" i="1"/>
  <c r="J2520" i="1"/>
  <c r="G2520" i="1"/>
  <c r="F2520" i="1"/>
  <c r="B2520" i="1"/>
  <c r="W2519" i="1"/>
  <c r="T2519" i="1"/>
  <c r="P2519" i="1"/>
  <c r="J2519" i="1"/>
  <c r="G2519" i="1"/>
  <c r="F2519" i="1"/>
  <c r="B2519" i="1"/>
  <c r="W2518" i="1"/>
  <c r="T2518" i="1"/>
  <c r="P2518" i="1"/>
  <c r="J2518" i="1"/>
  <c r="G2518" i="1"/>
  <c r="F2518" i="1"/>
  <c r="B2518" i="1"/>
  <c r="W2517" i="1"/>
  <c r="T2517" i="1"/>
  <c r="P2517" i="1"/>
  <c r="J2517" i="1"/>
  <c r="G2517" i="1"/>
  <c r="F2517" i="1"/>
  <c r="B2517" i="1"/>
  <c r="W2516" i="1"/>
  <c r="T2516" i="1"/>
  <c r="P2516" i="1"/>
  <c r="J2516" i="1"/>
  <c r="G2516" i="1"/>
  <c r="F2516" i="1"/>
  <c r="B2516" i="1"/>
  <c r="W2515" i="1"/>
  <c r="T2515" i="1"/>
  <c r="P2515" i="1"/>
  <c r="J2515" i="1"/>
  <c r="G2515" i="1"/>
  <c r="F2515" i="1"/>
  <c r="B2515" i="1"/>
  <c r="W2514" i="1"/>
  <c r="T2514" i="1"/>
  <c r="P2514" i="1"/>
  <c r="J2514" i="1"/>
  <c r="G2514" i="1"/>
  <c r="F2514" i="1"/>
  <c r="B2514" i="1"/>
  <c r="W2513" i="1"/>
  <c r="T2513" i="1"/>
  <c r="P2513" i="1"/>
  <c r="J2513" i="1"/>
  <c r="G2513" i="1"/>
  <c r="F2513" i="1"/>
  <c r="B2513" i="1"/>
  <c r="W2512" i="1"/>
  <c r="T2512" i="1"/>
  <c r="P2512" i="1"/>
  <c r="J2512" i="1"/>
  <c r="G2512" i="1"/>
  <c r="F2512" i="1"/>
  <c r="B2512" i="1"/>
  <c r="W2511" i="1"/>
  <c r="T2511" i="1"/>
  <c r="P2511" i="1"/>
  <c r="J2511" i="1"/>
  <c r="G2511" i="1"/>
  <c r="F2511" i="1"/>
  <c r="B2511" i="1"/>
  <c r="W2510" i="1"/>
  <c r="T2510" i="1"/>
  <c r="P2510" i="1"/>
  <c r="J2510" i="1"/>
  <c r="G2510" i="1"/>
  <c r="F2510" i="1"/>
  <c r="B2510" i="1"/>
  <c r="W2509" i="1"/>
  <c r="T2509" i="1"/>
  <c r="P2509" i="1"/>
  <c r="J2509" i="1"/>
  <c r="G2509" i="1"/>
  <c r="F2509" i="1"/>
  <c r="B2509" i="1"/>
  <c r="W2508" i="1"/>
  <c r="T2508" i="1"/>
  <c r="P2508" i="1"/>
  <c r="J2508" i="1"/>
  <c r="G2508" i="1"/>
  <c r="F2508" i="1"/>
  <c r="B2508" i="1"/>
  <c r="W2507" i="1"/>
  <c r="T2507" i="1"/>
  <c r="P2507" i="1"/>
  <c r="J2507" i="1"/>
  <c r="G2507" i="1"/>
  <c r="F2507" i="1"/>
  <c r="B2507" i="1"/>
  <c r="W2506" i="1"/>
  <c r="T2506" i="1"/>
  <c r="P2506" i="1"/>
  <c r="J2506" i="1"/>
  <c r="G2506" i="1"/>
  <c r="F2506" i="1"/>
  <c r="B2506" i="1"/>
  <c r="W2505" i="1"/>
  <c r="T2505" i="1"/>
  <c r="P2505" i="1"/>
  <c r="J2505" i="1"/>
  <c r="G2505" i="1"/>
  <c r="F2505" i="1"/>
  <c r="B2505" i="1"/>
  <c r="W2504" i="1"/>
  <c r="T2504" i="1"/>
  <c r="P2504" i="1"/>
  <c r="J2504" i="1"/>
  <c r="G2504" i="1"/>
  <c r="F2504" i="1"/>
  <c r="B2504" i="1"/>
  <c r="W2503" i="1"/>
  <c r="T2503" i="1"/>
  <c r="P2503" i="1"/>
  <c r="J2503" i="1"/>
  <c r="G2503" i="1"/>
  <c r="F2503" i="1"/>
  <c r="B2503" i="1"/>
  <c r="W2502" i="1"/>
  <c r="T2502" i="1"/>
  <c r="P2502" i="1"/>
  <c r="J2502" i="1"/>
  <c r="G2502" i="1"/>
  <c r="F2502" i="1"/>
  <c r="B2502" i="1"/>
  <c r="W2501" i="1"/>
  <c r="T2501" i="1"/>
  <c r="P2501" i="1"/>
  <c r="J2501" i="1"/>
  <c r="G2501" i="1"/>
  <c r="F2501" i="1"/>
  <c r="B2501" i="1"/>
  <c r="W2500" i="1"/>
  <c r="T2500" i="1"/>
  <c r="P2500" i="1"/>
  <c r="J2500" i="1"/>
  <c r="G2500" i="1"/>
  <c r="F2500" i="1"/>
  <c r="B2500" i="1"/>
  <c r="W2499" i="1"/>
  <c r="T2499" i="1"/>
  <c r="P2499" i="1"/>
  <c r="J2499" i="1"/>
  <c r="G2499" i="1"/>
  <c r="F2499" i="1"/>
  <c r="B2499" i="1"/>
  <c r="W2498" i="1"/>
  <c r="T2498" i="1"/>
  <c r="P2498" i="1"/>
  <c r="J2498" i="1"/>
  <c r="G2498" i="1"/>
  <c r="F2498" i="1"/>
  <c r="B2498" i="1"/>
  <c r="W2497" i="1"/>
  <c r="T2497" i="1"/>
  <c r="P2497" i="1"/>
  <c r="J2497" i="1"/>
  <c r="G2497" i="1"/>
  <c r="F2497" i="1"/>
  <c r="B2497" i="1"/>
  <c r="W2496" i="1"/>
  <c r="T2496" i="1"/>
  <c r="P2496" i="1"/>
  <c r="J2496" i="1"/>
  <c r="G2496" i="1"/>
  <c r="F2496" i="1"/>
  <c r="B2496" i="1"/>
  <c r="W2495" i="1"/>
  <c r="T2495" i="1"/>
  <c r="P2495" i="1"/>
  <c r="J2495" i="1"/>
  <c r="G2495" i="1"/>
  <c r="F2495" i="1"/>
  <c r="B2495" i="1"/>
  <c r="W2494" i="1"/>
  <c r="T2494" i="1"/>
  <c r="P2494" i="1"/>
  <c r="J2494" i="1"/>
  <c r="G2494" i="1"/>
  <c r="F2494" i="1"/>
  <c r="B2494" i="1"/>
  <c r="W2493" i="1"/>
  <c r="T2493" i="1"/>
  <c r="P2493" i="1"/>
  <c r="J2493" i="1"/>
  <c r="G2493" i="1"/>
  <c r="F2493" i="1"/>
  <c r="B2493" i="1"/>
  <c r="W2492" i="1"/>
  <c r="T2492" i="1"/>
  <c r="P2492" i="1"/>
  <c r="J2492" i="1"/>
  <c r="G2492" i="1"/>
  <c r="F2492" i="1"/>
  <c r="B2492" i="1"/>
  <c r="W2491" i="1"/>
  <c r="T2491" i="1"/>
  <c r="P2491" i="1"/>
  <c r="J2491" i="1"/>
  <c r="G2491" i="1"/>
  <c r="F2491" i="1"/>
  <c r="B2491" i="1"/>
  <c r="W2490" i="1"/>
  <c r="T2490" i="1"/>
  <c r="P2490" i="1"/>
  <c r="J2490" i="1"/>
  <c r="G2490" i="1"/>
  <c r="F2490" i="1"/>
  <c r="B2490" i="1"/>
  <c r="W2489" i="1"/>
  <c r="T2489" i="1"/>
  <c r="P2489" i="1"/>
  <c r="J2489" i="1"/>
  <c r="G2489" i="1"/>
  <c r="F2489" i="1"/>
  <c r="B2489" i="1"/>
  <c r="W2488" i="1"/>
  <c r="T2488" i="1"/>
  <c r="P2488" i="1"/>
  <c r="J2488" i="1"/>
  <c r="G2488" i="1"/>
  <c r="F2488" i="1"/>
  <c r="B2488" i="1"/>
  <c r="W2487" i="1"/>
  <c r="T2487" i="1"/>
  <c r="P2487" i="1"/>
  <c r="J2487" i="1"/>
  <c r="G2487" i="1"/>
  <c r="F2487" i="1"/>
  <c r="B2487" i="1"/>
  <c r="W2486" i="1"/>
  <c r="T2486" i="1"/>
  <c r="P2486" i="1"/>
  <c r="J2486" i="1"/>
  <c r="G2486" i="1"/>
  <c r="F2486" i="1"/>
  <c r="B2486" i="1"/>
  <c r="W2485" i="1"/>
  <c r="T2485" i="1"/>
  <c r="P2485" i="1"/>
  <c r="J2485" i="1"/>
  <c r="G2485" i="1"/>
  <c r="F2485" i="1"/>
  <c r="B2485" i="1"/>
  <c r="W2484" i="1"/>
  <c r="T2484" i="1"/>
  <c r="P2484" i="1"/>
  <c r="J2484" i="1"/>
  <c r="G2484" i="1"/>
  <c r="F2484" i="1"/>
  <c r="B2484" i="1"/>
  <c r="W2483" i="1"/>
  <c r="T2483" i="1"/>
  <c r="P2483" i="1"/>
  <c r="J2483" i="1"/>
  <c r="G2483" i="1"/>
  <c r="F2483" i="1"/>
  <c r="B2483" i="1"/>
  <c r="W2482" i="1"/>
  <c r="T2482" i="1"/>
  <c r="P2482" i="1"/>
  <c r="J2482" i="1"/>
  <c r="G2482" i="1"/>
  <c r="F2482" i="1"/>
  <c r="B2482" i="1"/>
  <c r="W2481" i="1"/>
  <c r="T2481" i="1"/>
  <c r="P2481" i="1"/>
  <c r="J2481" i="1"/>
  <c r="G2481" i="1"/>
  <c r="F2481" i="1"/>
  <c r="B2481" i="1"/>
  <c r="W2480" i="1"/>
  <c r="T2480" i="1"/>
  <c r="P2480" i="1"/>
  <c r="J2480" i="1"/>
  <c r="G2480" i="1"/>
  <c r="F2480" i="1"/>
  <c r="B2480" i="1"/>
  <c r="W2479" i="1"/>
  <c r="T2479" i="1"/>
  <c r="P2479" i="1"/>
  <c r="J2479" i="1"/>
  <c r="G2479" i="1"/>
  <c r="F2479" i="1"/>
  <c r="B2479" i="1"/>
  <c r="W2478" i="1"/>
  <c r="T2478" i="1"/>
  <c r="P2478" i="1"/>
  <c r="J2478" i="1"/>
  <c r="G2478" i="1"/>
  <c r="F2478" i="1"/>
  <c r="B2478" i="1"/>
  <c r="W2477" i="1"/>
  <c r="T2477" i="1"/>
  <c r="P2477" i="1"/>
  <c r="J2477" i="1"/>
  <c r="G2477" i="1"/>
  <c r="F2477" i="1"/>
  <c r="B2477" i="1"/>
  <c r="W2476" i="1"/>
  <c r="T2476" i="1"/>
  <c r="P2476" i="1"/>
  <c r="J2476" i="1"/>
  <c r="G2476" i="1"/>
  <c r="F2476" i="1"/>
  <c r="B2476" i="1"/>
  <c r="W2475" i="1"/>
  <c r="T2475" i="1"/>
  <c r="P2475" i="1"/>
  <c r="J2475" i="1"/>
  <c r="G2475" i="1"/>
  <c r="F2475" i="1"/>
  <c r="B2475" i="1"/>
  <c r="W2474" i="1"/>
  <c r="T2474" i="1"/>
  <c r="P2474" i="1"/>
  <c r="J2474" i="1"/>
  <c r="G2474" i="1"/>
  <c r="F2474" i="1"/>
  <c r="B2474" i="1"/>
  <c r="W2473" i="1"/>
  <c r="T2473" i="1"/>
  <c r="P2473" i="1"/>
  <c r="J2473" i="1"/>
  <c r="G2473" i="1"/>
  <c r="F2473" i="1"/>
  <c r="B2473" i="1"/>
  <c r="W2472" i="1"/>
  <c r="T2472" i="1"/>
  <c r="P2472" i="1"/>
  <c r="J2472" i="1"/>
  <c r="G2472" i="1"/>
  <c r="F2472" i="1"/>
  <c r="B2472" i="1"/>
  <c r="W2471" i="1"/>
  <c r="T2471" i="1"/>
  <c r="P2471" i="1"/>
  <c r="J2471" i="1"/>
  <c r="G2471" i="1"/>
  <c r="F2471" i="1"/>
  <c r="B2471" i="1"/>
  <c r="W2470" i="1"/>
  <c r="T2470" i="1"/>
  <c r="P2470" i="1"/>
  <c r="J2470" i="1"/>
  <c r="G2470" i="1"/>
  <c r="F2470" i="1"/>
  <c r="B2470" i="1"/>
  <c r="W2469" i="1"/>
  <c r="T2469" i="1"/>
  <c r="P2469" i="1"/>
  <c r="J2469" i="1"/>
  <c r="G2469" i="1"/>
  <c r="F2469" i="1"/>
  <c r="B2469" i="1"/>
  <c r="W2468" i="1"/>
  <c r="T2468" i="1"/>
  <c r="P2468" i="1"/>
  <c r="J2468" i="1"/>
  <c r="G2468" i="1"/>
  <c r="F2468" i="1"/>
  <c r="B2468" i="1"/>
  <c r="W2467" i="1"/>
  <c r="T2467" i="1"/>
  <c r="P2467" i="1"/>
  <c r="J2467" i="1"/>
  <c r="G2467" i="1"/>
  <c r="F2467" i="1"/>
  <c r="B2467" i="1"/>
  <c r="W2466" i="1"/>
  <c r="T2466" i="1"/>
  <c r="P2466" i="1"/>
  <c r="J2466" i="1"/>
  <c r="G2466" i="1"/>
  <c r="F2466" i="1"/>
  <c r="B2466" i="1"/>
  <c r="W2465" i="1"/>
  <c r="T2465" i="1"/>
  <c r="P2465" i="1"/>
  <c r="J2465" i="1"/>
  <c r="G2465" i="1"/>
  <c r="F2465" i="1"/>
  <c r="B2465" i="1"/>
  <c r="W2464" i="1"/>
  <c r="T2464" i="1"/>
  <c r="P2464" i="1"/>
  <c r="J2464" i="1"/>
  <c r="G2464" i="1"/>
  <c r="F2464" i="1"/>
  <c r="B2464" i="1"/>
  <c r="W2463" i="1"/>
  <c r="T2463" i="1"/>
  <c r="P2463" i="1"/>
  <c r="J2463" i="1"/>
  <c r="G2463" i="1"/>
  <c r="F2463" i="1"/>
  <c r="B2463" i="1"/>
  <c r="W2462" i="1"/>
  <c r="T2462" i="1"/>
  <c r="P2462" i="1"/>
  <c r="J2462" i="1"/>
  <c r="G2462" i="1"/>
  <c r="F2462" i="1"/>
  <c r="B2462" i="1"/>
  <c r="W2461" i="1"/>
  <c r="T2461" i="1"/>
  <c r="P2461" i="1"/>
  <c r="J2461" i="1"/>
  <c r="G2461" i="1"/>
  <c r="F2461" i="1"/>
  <c r="B2461" i="1"/>
  <c r="W2460" i="1"/>
  <c r="T2460" i="1"/>
  <c r="P2460" i="1"/>
  <c r="J2460" i="1"/>
  <c r="G2460" i="1"/>
  <c r="F2460" i="1"/>
  <c r="B2460" i="1"/>
  <c r="W2459" i="1"/>
  <c r="T2459" i="1"/>
  <c r="P2459" i="1"/>
  <c r="J2459" i="1"/>
  <c r="G2459" i="1"/>
  <c r="F2459" i="1"/>
  <c r="B2459" i="1"/>
  <c r="W2458" i="1"/>
  <c r="T2458" i="1"/>
  <c r="P2458" i="1"/>
  <c r="J2458" i="1"/>
  <c r="G2458" i="1"/>
  <c r="F2458" i="1"/>
  <c r="B2458" i="1"/>
  <c r="W2457" i="1"/>
  <c r="T2457" i="1"/>
  <c r="P2457" i="1"/>
  <c r="J2457" i="1"/>
  <c r="G2457" i="1"/>
  <c r="F2457" i="1"/>
  <c r="B2457" i="1"/>
  <c r="W2456" i="1"/>
  <c r="T2456" i="1"/>
  <c r="P2456" i="1"/>
  <c r="J2456" i="1"/>
  <c r="G2456" i="1"/>
  <c r="F2456" i="1"/>
  <c r="B2456" i="1"/>
  <c r="W2455" i="1"/>
  <c r="T2455" i="1"/>
  <c r="P2455" i="1"/>
  <c r="J2455" i="1"/>
  <c r="G2455" i="1"/>
  <c r="F2455" i="1"/>
  <c r="B2455" i="1"/>
  <c r="W2454" i="1"/>
  <c r="T2454" i="1"/>
  <c r="P2454" i="1"/>
  <c r="J2454" i="1"/>
  <c r="G2454" i="1"/>
  <c r="F2454" i="1"/>
  <c r="B2454" i="1"/>
  <c r="W2453" i="1"/>
  <c r="T2453" i="1"/>
  <c r="P2453" i="1"/>
  <c r="J2453" i="1"/>
  <c r="G2453" i="1"/>
  <c r="F2453" i="1"/>
  <c r="B2453" i="1"/>
  <c r="W2452" i="1"/>
  <c r="T2452" i="1"/>
  <c r="P2452" i="1"/>
  <c r="J2452" i="1"/>
  <c r="G2452" i="1"/>
  <c r="F2452" i="1"/>
  <c r="B2452" i="1"/>
  <c r="W2451" i="1"/>
  <c r="T2451" i="1"/>
  <c r="P2451" i="1"/>
  <c r="J2451" i="1"/>
  <c r="G2451" i="1"/>
  <c r="F2451" i="1"/>
  <c r="B2451" i="1"/>
  <c r="W2450" i="1"/>
  <c r="T2450" i="1"/>
  <c r="P2450" i="1"/>
  <c r="J2450" i="1"/>
  <c r="G2450" i="1"/>
  <c r="F2450" i="1"/>
  <c r="B2450" i="1"/>
  <c r="W2449" i="1"/>
  <c r="T2449" i="1"/>
  <c r="P2449" i="1"/>
  <c r="J2449" i="1"/>
  <c r="G2449" i="1"/>
  <c r="F2449" i="1"/>
  <c r="B2449" i="1"/>
  <c r="W2448" i="1"/>
  <c r="T2448" i="1"/>
  <c r="P2448" i="1"/>
  <c r="J2448" i="1"/>
  <c r="G2448" i="1"/>
  <c r="F2448" i="1"/>
  <c r="B2448" i="1"/>
  <c r="W2447" i="1"/>
  <c r="T2447" i="1"/>
  <c r="P2447" i="1"/>
  <c r="J2447" i="1"/>
  <c r="G2447" i="1"/>
  <c r="F2447" i="1"/>
  <c r="B2447" i="1"/>
  <c r="W2446" i="1"/>
  <c r="T2446" i="1"/>
  <c r="P2446" i="1"/>
  <c r="J2446" i="1"/>
  <c r="G2446" i="1"/>
  <c r="F2446" i="1"/>
  <c r="B2446" i="1"/>
  <c r="W2445" i="1"/>
  <c r="T2445" i="1"/>
  <c r="P2445" i="1"/>
  <c r="J2445" i="1"/>
  <c r="G2445" i="1"/>
  <c r="F2445" i="1"/>
  <c r="B2445" i="1"/>
  <c r="W2444" i="1"/>
  <c r="T2444" i="1"/>
  <c r="P2444" i="1"/>
  <c r="J2444" i="1"/>
  <c r="G2444" i="1"/>
  <c r="F2444" i="1"/>
  <c r="B2444" i="1"/>
  <c r="W2443" i="1"/>
  <c r="T2443" i="1"/>
  <c r="P2443" i="1"/>
  <c r="J2443" i="1"/>
  <c r="G2443" i="1"/>
  <c r="F2443" i="1"/>
  <c r="B2443" i="1"/>
  <c r="W2442" i="1"/>
  <c r="T2442" i="1"/>
  <c r="P2442" i="1"/>
  <c r="J2442" i="1"/>
  <c r="G2442" i="1"/>
  <c r="F2442" i="1"/>
  <c r="B2442" i="1"/>
  <c r="W2441" i="1"/>
  <c r="T2441" i="1"/>
  <c r="P2441" i="1"/>
  <c r="J2441" i="1"/>
  <c r="G2441" i="1"/>
  <c r="F2441" i="1"/>
  <c r="B2441" i="1"/>
  <c r="W2440" i="1"/>
  <c r="T2440" i="1"/>
  <c r="P2440" i="1"/>
  <c r="J2440" i="1"/>
  <c r="G2440" i="1"/>
  <c r="F2440" i="1"/>
  <c r="B2440" i="1"/>
  <c r="W2439" i="1"/>
  <c r="T2439" i="1"/>
  <c r="P2439" i="1"/>
  <c r="J2439" i="1"/>
  <c r="G2439" i="1"/>
  <c r="F2439" i="1"/>
  <c r="B2439" i="1"/>
  <c r="W2438" i="1"/>
  <c r="T2438" i="1"/>
  <c r="P2438" i="1"/>
  <c r="J2438" i="1"/>
  <c r="G2438" i="1"/>
  <c r="F2438" i="1"/>
  <c r="B2438" i="1"/>
  <c r="W2437" i="1"/>
  <c r="T2437" i="1"/>
  <c r="P2437" i="1"/>
  <c r="J2437" i="1"/>
  <c r="G2437" i="1"/>
  <c r="F2437" i="1"/>
  <c r="B2437" i="1"/>
  <c r="W2436" i="1"/>
  <c r="T2436" i="1"/>
  <c r="P2436" i="1"/>
  <c r="J2436" i="1"/>
  <c r="G2436" i="1"/>
  <c r="F2436" i="1"/>
  <c r="B2436" i="1"/>
  <c r="W2435" i="1"/>
  <c r="T2435" i="1"/>
  <c r="P2435" i="1"/>
  <c r="J2435" i="1"/>
  <c r="G2435" i="1"/>
  <c r="F2435" i="1"/>
  <c r="B2435" i="1"/>
  <c r="W2434" i="1"/>
  <c r="T2434" i="1"/>
  <c r="P2434" i="1"/>
  <c r="J2434" i="1"/>
  <c r="G2434" i="1"/>
  <c r="F2434" i="1"/>
  <c r="B2434" i="1"/>
  <c r="W2433" i="1"/>
  <c r="T2433" i="1"/>
  <c r="P2433" i="1"/>
  <c r="J2433" i="1"/>
  <c r="G2433" i="1"/>
  <c r="F2433" i="1"/>
  <c r="B2433" i="1"/>
  <c r="W2432" i="1"/>
  <c r="T2432" i="1"/>
  <c r="P2432" i="1"/>
  <c r="J2432" i="1"/>
  <c r="G2432" i="1"/>
  <c r="F2432" i="1"/>
  <c r="B2432" i="1"/>
  <c r="W2431" i="1"/>
  <c r="T2431" i="1"/>
  <c r="P2431" i="1"/>
  <c r="J2431" i="1"/>
  <c r="G2431" i="1"/>
  <c r="F2431" i="1"/>
  <c r="B2431" i="1"/>
  <c r="W2430" i="1"/>
  <c r="T2430" i="1"/>
  <c r="P2430" i="1"/>
  <c r="J2430" i="1"/>
  <c r="G2430" i="1"/>
  <c r="F2430" i="1"/>
  <c r="B2430" i="1"/>
  <c r="W2429" i="1"/>
  <c r="T2429" i="1"/>
  <c r="P2429" i="1"/>
  <c r="J2429" i="1"/>
  <c r="G2429" i="1"/>
  <c r="F2429" i="1"/>
  <c r="B2429" i="1"/>
  <c r="W2428" i="1"/>
  <c r="T2428" i="1"/>
  <c r="P2428" i="1"/>
  <c r="J2428" i="1"/>
  <c r="G2428" i="1"/>
  <c r="F2428" i="1"/>
  <c r="B2428" i="1"/>
  <c r="W2427" i="1"/>
  <c r="T2427" i="1"/>
  <c r="P2427" i="1"/>
  <c r="J2427" i="1"/>
  <c r="G2427" i="1"/>
  <c r="F2427" i="1"/>
  <c r="B2427" i="1"/>
  <c r="W2426" i="1"/>
  <c r="T2426" i="1"/>
  <c r="P2426" i="1"/>
  <c r="J2426" i="1"/>
  <c r="G2426" i="1"/>
  <c r="F2426" i="1"/>
  <c r="B2426" i="1"/>
  <c r="W2425" i="1"/>
  <c r="T2425" i="1"/>
  <c r="P2425" i="1"/>
  <c r="J2425" i="1"/>
  <c r="G2425" i="1"/>
  <c r="F2425" i="1"/>
  <c r="B2425" i="1"/>
  <c r="W2424" i="1"/>
  <c r="T2424" i="1"/>
  <c r="P2424" i="1"/>
  <c r="J2424" i="1"/>
  <c r="G2424" i="1"/>
  <c r="F2424" i="1"/>
  <c r="B2424" i="1"/>
  <c r="W2423" i="1"/>
  <c r="T2423" i="1"/>
  <c r="P2423" i="1"/>
  <c r="J2423" i="1"/>
  <c r="G2423" i="1"/>
  <c r="F2423" i="1"/>
  <c r="B2423" i="1"/>
  <c r="W2422" i="1"/>
  <c r="T2422" i="1"/>
  <c r="P2422" i="1"/>
  <c r="J2422" i="1"/>
  <c r="G2422" i="1"/>
  <c r="F2422" i="1"/>
  <c r="B2422" i="1"/>
  <c r="W2421" i="1"/>
  <c r="T2421" i="1"/>
  <c r="P2421" i="1"/>
  <c r="J2421" i="1"/>
  <c r="G2421" i="1"/>
  <c r="F2421" i="1"/>
  <c r="B2421" i="1"/>
  <c r="W2420" i="1"/>
  <c r="T2420" i="1"/>
  <c r="P2420" i="1"/>
  <c r="J2420" i="1"/>
  <c r="G2420" i="1"/>
  <c r="F2420" i="1"/>
  <c r="B2420" i="1"/>
  <c r="W2419" i="1"/>
  <c r="T2419" i="1"/>
  <c r="P2419" i="1"/>
  <c r="J2419" i="1"/>
  <c r="G2419" i="1"/>
  <c r="F2419" i="1"/>
  <c r="B2419" i="1"/>
  <c r="W2418" i="1"/>
  <c r="T2418" i="1"/>
  <c r="P2418" i="1"/>
  <c r="J2418" i="1"/>
  <c r="G2418" i="1"/>
  <c r="F2418" i="1"/>
  <c r="B2418" i="1"/>
  <c r="W2417" i="1"/>
  <c r="T2417" i="1"/>
  <c r="P2417" i="1"/>
  <c r="J2417" i="1"/>
  <c r="G2417" i="1"/>
  <c r="F2417" i="1"/>
  <c r="B2417" i="1"/>
  <c r="W2416" i="1"/>
  <c r="T2416" i="1"/>
  <c r="P2416" i="1"/>
  <c r="J2416" i="1"/>
  <c r="G2416" i="1"/>
  <c r="F2416" i="1"/>
  <c r="B2416" i="1"/>
  <c r="W2415" i="1"/>
  <c r="T2415" i="1"/>
  <c r="P2415" i="1"/>
  <c r="J2415" i="1"/>
  <c r="G2415" i="1"/>
  <c r="F2415" i="1"/>
  <c r="B2415" i="1"/>
  <c r="W2414" i="1"/>
  <c r="T2414" i="1"/>
  <c r="P2414" i="1"/>
  <c r="J2414" i="1"/>
  <c r="G2414" i="1"/>
  <c r="F2414" i="1"/>
  <c r="B2414" i="1"/>
  <c r="W2413" i="1"/>
  <c r="T2413" i="1"/>
  <c r="P2413" i="1"/>
  <c r="J2413" i="1"/>
  <c r="G2413" i="1"/>
  <c r="F2413" i="1"/>
  <c r="B2413" i="1"/>
  <c r="W2412" i="1"/>
  <c r="T2412" i="1"/>
  <c r="P2412" i="1"/>
  <c r="J2412" i="1"/>
  <c r="G2412" i="1"/>
  <c r="F2412" i="1"/>
  <c r="B2412" i="1"/>
  <c r="W2411" i="1"/>
  <c r="T2411" i="1"/>
  <c r="P2411" i="1"/>
  <c r="J2411" i="1"/>
  <c r="G2411" i="1"/>
  <c r="F2411" i="1"/>
  <c r="B2411" i="1"/>
  <c r="W2410" i="1"/>
  <c r="T2410" i="1"/>
  <c r="P2410" i="1"/>
  <c r="J2410" i="1"/>
  <c r="G2410" i="1"/>
  <c r="F2410" i="1"/>
  <c r="B2410" i="1"/>
  <c r="W2409" i="1"/>
  <c r="T2409" i="1"/>
  <c r="P2409" i="1"/>
  <c r="J2409" i="1"/>
  <c r="G2409" i="1"/>
  <c r="F2409" i="1"/>
  <c r="B2409" i="1"/>
  <c r="W2408" i="1"/>
  <c r="T2408" i="1"/>
  <c r="P2408" i="1"/>
  <c r="J2408" i="1"/>
  <c r="G2408" i="1"/>
  <c r="F2408" i="1"/>
  <c r="B2408" i="1"/>
  <c r="W2407" i="1"/>
  <c r="T2407" i="1"/>
  <c r="P2407" i="1"/>
  <c r="J2407" i="1"/>
  <c r="G2407" i="1"/>
  <c r="F2407" i="1"/>
  <c r="B2407" i="1"/>
  <c r="W2406" i="1"/>
  <c r="T2406" i="1"/>
  <c r="P2406" i="1"/>
  <c r="J2406" i="1"/>
  <c r="G2406" i="1"/>
  <c r="F2406" i="1"/>
  <c r="B2406" i="1"/>
  <c r="W2405" i="1"/>
  <c r="T2405" i="1"/>
  <c r="P2405" i="1"/>
  <c r="J2405" i="1"/>
  <c r="G2405" i="1"/>
  <c r="F2405" i="1"/>
  <c r="B2405" i="1"/>
  <c r="W2404" i="1"/>
  <c r="T2404" i="1"/>
  <c r="P2404" i="1"/>
  <c r="J2404" i="1"/>
  <c r="G2404" i="1"/>
  <c r="F2404" i="1"/>
  <c r="B2404" i="1"/>
  <c r="W2403" i="1"/>
  <c r="T2403" i="1"/>
  <c r="P2403" i="1"/>
  <c r="J2403" i="1"/>
  <c r="G2403" i="1"/>
  <c r="F2403" i="1"/>
  <c r="B2403" i="1"/>
  <c r="W2402" i="1"/>
  <c r="T2402" i="1"/>
  <c r="P2402" i="1"/>
  <c r="J2402" i="1"/>
  <c r="G2402" i="1"/>
  <c r="F2402" i="1"/>
  <c r="B2402" i="1"/>
  <c r="W2401" i="1"/>
  <c r="T2401" i="1"/>
  <c r="P2401" i="1"/>
  <c r="J2401" i="1"/>
  <c r="G2401" i="1"/>
  <c r="F2401" i="1"/>
  <c r="B2401" i="1"/>
  <c r="W2400" i="1"/>
  <c r="T2400" i="1"/>
  <c r="P2400" i="1"/>
  <c r="J2400" i="1"/>
  <c r="G2400" i="1"/>
  <c r="F2400" i="1"/>
  <c r="B2400" i="1"/>
  <c r="W2399" i="1"/>
  <c r="T2399" i="1"/>
  <c r="P2399" i="1"/>
  <c r="J2399" i="1"/>
  <c r="G2399" i="1"/>
  <c r="F2399" i="1"/>
  <c r="B2399" i="1"/>
  <c r="W2398" i="1"/>
  <c r="T2398" i="1"/>
  <c r="P2398" i="1"/>
  <c r="J2398" i="1"/>
  <c r="G2398" i="1"/>
  <c r="F2398" i="1"/>
  <c r="B2398" i="1"/>
  <c r="W2397" i="1"/>
  <c r="T2397" i="1"/>
  <c r="P2397" i="1"/>
  <c r="J2397" i="1"/>
  <c r="G2397" i="1"/>
  <c r="F2397" i="1"/>
  <c r="B2397" i="1"/>
  <c r="W2396" i="1"/>
  <c r="T2396" i="1"/>
  <c r="P2396" i="1"/>
  <c r="J2396" i="1"/>
  <c r="G2396" i="1"/>
  <c r="F2396" i="1"/>
  <c r="B2396" i="1"/>
  <c r="W2395" i="1"/>
  <c r="T2395" i="1"/>
  <c r="P2395" i="1"/>
  <c r="J2395" i="1"/>
  <c r="G2395" i="1"/>
  <c r="F2395" i="1"/>
  <c r="B2395" i="1"/>
  <c r="W2394" i="1"/>
  <c r="T2394" i="1"/>
  <c r="P2394" i="1"/>
  <c r="J2394" i="1"/>
  <c r="G2394" i="1"/>
  <c r="F2394" i="1"/>
  <c r="B2394" i="1"/>
  <c r="W2393" i="1"/>
  <c r="T2393" i="1"/>
  <c r="P2393" i="1"/>
  <c r="J2393" i="1"/>
  <c r="G2393" i="1"/>
  <c r="F2393" i="1"/>
  <c r="B2393" i="1"/>
  <c r="W2392" i="1"/>
  <c r="T2392" i="1"/>
  <c r="P2392" i="1"/>
  <c r="J2392" i="1"/>
  <c r="G2392" i="1"/>
  <c r="F2392" i="1"/>
  <c r="B2392" i="1"/>
  <c r="W2391" i="1"/>
  <c r="T2391" i="1"/>
  <c r="P2391" i="1"/>
  <c r="J2391" i="1"/>
  <c r="G2391" i="1"/>
  <c r="F2391" i="1"/>
  <c r="B2391" i="1"/>
  <c r="W2390" i="1"/>
  <c r="T2390" i="1"/>
  <c r="P2390" i="1"/>
  <c r="J2390" i="1"/>
  <c r="G2390" i="1"/>
  <c r="F2390" i="1"/>
  <c r="B2390" i="1"/>
  <c r="W2389" i="1"/>
  <c r="T2389" i="1"/>
  <c r="P2389" i="1"/>
  <c r="J2389" i="1"/>
  <c r="G2389" i="1"/>
  <c r="F2389" i="1"/>
  <c r="B2389" i="1"/>
  <c r="W2388" i="1"/>
  <c r="T2388" i="1"/>
  <c r="P2388" i="1"/>
  <c r="J2388" i="1"/>
  <c r="G2388" i="1"/>
  <c r="F2388" i="1"/>
  <c r="B2388" i="1"/>
  <c r="W2387" i="1"/>
  <c r="T2387" i="1"/>
  <c r="P2387" i="1"/>
  <c r="J2387" i="1"/>
  <c r="G2387" i="1"/>
  <c r="F2387" i="1"/>
  <c r="B2387" i="1"/>
  <c r="W2386" i="1"/>
  <c r="T2386" i="1"/>
  <c r="P2386" i="1"/>
  <c r="J2386" i="1"/>
  <c r="G2386" i="1"/>
  <c r="F2386" i="1"/>
  <c r="B2386" i="1"/>
  <c r="W2385" i="1"/>
  <c r="T2385" i="1"/>
  <c r="P2385" i="1"/>
  <c r="J2385" i="1"/>
  <c r="G2385" i="1"/>
  <c r="F2385" i="1"/>
  <c r="B2385" i="1"/>
  <c r="W2384" i="1"/>
  <c r="T2384" i="1"/>
  <c r="P2384" i="1"/>
  <c r="J2384" i="1"/>
  <c r="G2384" i="1"/>
  <c r="F2384" i="1"/>
  <c r="B2384" i="1"/>
  <c r="W2383" i="1"/>
  <c r="T2383" i="1"/>
  <c r="P2383" i="1"/>
  <c r="J2383" i="1"/>
  <c r="G2383" i="1"/>
  <c r="F2383" i="1"/>
  <c r="B2383" i="1"/>
  <c r="W2382" i="1"/>
  <c r="T2382" i="1"/>
  <c r="P2382" i="1"/>
  <c r="J2382" i="1"/>
  <c r="G2382" i="1"/>
  <c r="F2382" i="1"/>
  <c r="B2382" i="1"/>
  <c r="W2381" i="1"/>
  <c r="T2381" i="1"/>
  <c r="P2381" i="1"/>
  <c r="J2381" i="1"/>
  <c r="G2381" i="1"/>
  <c r="F2381" i="1"/>
  <c r="B2381" i="1"/>
  <c r="W2380" i="1"/>
  <c r="T2380" i="1"/>
  <c r="P2380" i="1"/>
  <c r="J2380" i="1"/>
  <c r="G2380" i="1"/>
  <c r="F2380" i="1"/>
  <c r="B2380" i="1"/>
  <c r="W2379" i="1"/>
  <c r="T2379" i="1"/>
  <c r="P2379" i="1"/>
  <c r="J2379" i="1"/>
  <c r="G2379" i="1"/>
  <c r="F2379" i="1"/>
  <c r="B2379" i="1"/>
  <c r="W2378" i="1"/>
  <c r="T2378" i="1"/>
  <c r="P2378" i="1"/>
  <c r="J2378" i="1"/>
  <c r="G2378" i="1"/>
  <c r="F2378" i="1"/>
  <c r="B2378" i="1"/>
  <c r="W2377" i="1"/>
  <c r="T2377" i="1"/>
  <c r="P2377" i="1"/>
  <c r="J2377" i="1"/>
  <c r="G2377" i="1"/>
  <c r="F2377" i="1"/>
  <c r="B2377" i="1"/>
  <c r="W2376" i="1"/>
  <c r="T2376" i="1"/>
  <c r="P2376" i="1"/>
  <c r="J2376" i="1"/>
  <c r="G2376" i="1"/>
  <c r="F2376" i="1"/>
  <c r="B2376" i="1"/>
  <c r="W2375" i="1"/>
  <c r="T2375" i="1"/>
  <c r="P2375" i="1"/>
  <c r="J2375" i="1"/>
  <c r="G2375" i="1"/>
  <c r="F2375" i="1"/>
  <c r="B2375" i="1"/>
  <c r="W2374" i="1"/>
  <c r="T2374" i="1"/>
  <c r="P2374" i="1"/>
  <c r="J2374" i="1"/>
  <c r="G2374" i="1"/>
  <c r="F2374" i="1"/>
  <c r="B2374" i="1"/>
  <c r="W2373" i="1"/>
  <c r="T2373" i="1"/>
  <c r="P2373" i="1"/>
  <c r="J2373" i="1"/>
  <c r="G2373" i="1"/>
  <c r="F2373" i="1"/>
  <c r="B2373" i="1"/>
  <c r="W2372" i="1"/>
  <c r="T2372" i="1"/>
  <c r="P2372" i="1"/>
  <c r="J2372" i="1"/>
  <c r="G2372" i="1"/>
  <c r="F2372" i="1"/>
  <c r="B2372" i="1"/>
  <c r="W2371" i="1"/>
  <c r="T2371" i="1"/>
  <c r="P2371" i="1"/>
  <c r="J2371" i="1"/>
  <c r="G2371" i="1"/>
  <c r="F2371" i="1"/>
  <c r="B2371" i="1"/>
  <c r="W2370" i="1"/>
  <c r="T2370" i="1"/>
  <c r="P2370" i="1"/>
  <c r="J2370" i="1"/>
  <c r="G2370" i="1"/>
  <c r="F2370" i="1"/>
  <c r="B2370" i="1"/>
  <c r="W2369" i="1"/>
  <c r="T2369" i="1"/>
  <c r="P2369" i="1"/>
  <c r="J2369" i="1"/>
  <c r="G2369" i="1"/>
  <c r="F2369" i="1"/>
  <c r="B2369" i="1"/>
  <c r="W2368" i="1"/>
  <c r="T2368" i="1"/>
  <c r="P2368" i="1"/>
  <c r="J2368" i="1"/>
  <c r="G2368" i="1"/>
  <c r="F2368" i="1"/>
  <c r="B2368" i="1"/>
  <c r="W2367" i="1"/>
  <c r="T2367" i="1"/>
  <c r="P2367" i="1"/>
  <c r="J2367" i="1"/>
  <c r="G2367" i="1"/>
  <c r="F2367" i="1"/>
  <c r="B2367" i="1"/>
  <c r="W2366" i="1"/>
  <c r="T2366" i="1"/>
  <c r="P2366" i="1"/>
  <c r="J2366" i="1"/>
  <c r="G2366" i="1"/>
  <c r="F2366" i="1"/>
  <c r="B2366" i="1"/>
  <c r="W2365" i="1"/>
  <c r="T2365" i="1"/>
  <c r="P2365" i="1"/>
  <c r="J2365" i="1"/>
  <c r="G2365" i="1"/>
  <c r="F2365" i="1"/>
  <c r="B2365" i="1"/>
  <c r="W2364" i="1"/>
  <c r="T2364" i="1"/>
  <c r="P2364" i="1"/>
  <c r="J2364" i="1"/>
  <c r="G2364" i="1"/>
  <c r="F2364" i="1"/>
  <c r="B2364" i="1"/>
  <c r="W2363" i="1"/>
  <c r="T2363" i="1"/>
  <c r="P2363" i="1"/>
  <c r="J2363" i="1"/>
  <c r="G2363" i="1"/>
  <c r="F2363" i="1"/>
  <c r="B2363" i="1"/>
  <c r="W2362" i="1"/>
  <c r="T2362" i="1"/>
  <c r="P2362" i="1"/>
  <c r="J2362" i="1"/>
  <c r="G2362" i="1"/>
  <c r="F2362" i="1"/>
  <c r="B2362" i="1"/>
  <c r="W2361" i="1"/>
  <c r="T2361" i="1"/>
  <c r="P2361" i="1"/>
  <c r="J2361" i="1"/>
  <c r="G2361" i="1"/>
  <c r="F2361" i="1"/>
  <c r="B2361" i="1"/>
  <c r="W2360" i="1"/>
  <c r="T2360" i="1"/>
  <c r="P2360" i="1"/>
  <c r="J2360" i="1"/>
  <c r="G2360" i="1"/>
  <c r="F2360" i="1"/>
  <c r="B2360" i="1"/>
  <c r="W2359" i="1"/>
  <c r="T2359" i="1"/>
  <c r="P2359" i="1"/>
  <c r="J2359" i="1"/>
  <c r="G2359" i="1"/>
  <c r="F2359" i="1"/>
  <c r="B2359" i="1"/>
  <c r="W2358" i="1"/>
  <c r="T2358" i="1"/>
  <c r="P2358" i="1"/>
  <c r="J2358" i="1"/>
  <c r="G2358" i="1"/>
  <c r="F2358" i="1"/>
  <c r="B2358" i="1"/>
  <c r="W2357" i="1"/>
  <c r="T2357" i="1"/>
  <c r="P2357" i="1"/>
  <c r="J2357" i="1"/>
  <c r="G2357" i="1"/>
  <c r="F2357" i="1"/>
  <c r="B2357" i="1"/>
  <c r="W2356" i="1"/>
  <c r="T2356" i="1"/>
  <c r="P2356" i="1"/>
  <c r="J2356" i="1"/>
  <c r="G2356" i="1"/>
  <c r="F2356" i="1"/>
  <c r="B2356" i="1"/>
  <c r="W2355" i="1"/>
  <c r="T2355" i="1"/>
  <c r="P2355" i="1"/>
  <c r="J2355" i="1"/>
  <c r="G2355" i="1"/>
  <c r="F2355" i="1"/>
  <c r="B2355" i="1"/>
  <c r="W2354" i="1"/>
  <c r="T2354" i="1"/>
  <c r="P2354" i="1"/>
  <c r="J2354" i="1"/>
  <c r="G2354" i="1"/>
  <c r="F2354" i="1"/>
  <c r="B2354" i="1"/>
  <c r="W2353" i="1"/>
  <c r="T2353" i="1"/>
  <c r="P2353" i="1"/>
  <c r="J2353" i="1"/>
  <c r="G2353" i="1"/>
  <c r="F2353" i="1"/>
  <c r="B2353" i="1"/>
  <c r="W2352" i="1"/>
  <c r="T2352" i="1"/>
  <c r="P2352" i="1"/>
  <c r="J2352" i="1"/>
  <c r="G2352" i="1"/>
  <c r="F2352" i="1"/>
  <c r="B2352" i="1"/>
  <c r="W2351" i="1"/>
  <c r="T2351" i="1"/>
  <c r="P2351" i="1"/>
  <c r="J2351" i="1"/>
  <c r="G2351" i="1"/>
  <c r="F2351" i="1"/>
  <c r="B2351" i="1"/>
  <c r="W2350" i="1"/>
  <c r="T2350" i="1"/>
  <c r="P2350" i="1"/>
  <c r="J2350" i="1"/>
  <c r="G2350" i="1"/>
  <c r="F2350" i="1"/>
  <c r="B2350" i="1"/>
  <c r="W2349" i="1"/>
  <c r="T2349" i="1"/>
  <c r="P2349" i="1"/>
  <c r="J2349" i="1"/>
  <c r="G2349" i="1"/>
  <c r="F2349" i="1"/>
  <c r="B2349" i="1"/>
  <c r="W2348" i="1"/>
  <c r="T2348" i="1"/>
  <c r="P2348" i="1"/>
  <c r="J2348" i="1"/>
  <c r="G2348" i="1"/>
  <c r="F2348" i="1"/>
  <c r="B2348" i="1"/>
  <c r="W2347" i="1"/>
  <c r="T2347" i="1"/>
  <c r="P2347" i="1"/>
  <c r="J2347" i="1"/>
  <c r="G2347" i="1"/>
  <c r="F2347" i="1"/>
  <c r="B2347" i="1"/>
  <c r="W2346" i="1"/>
  <c r="T2346" i="1"/>
  <c r="P2346" i="1"/>
  <c r="J2346" i="1"/>
  <c r="G2346" i="1"/>
  <c r="F2346" i="1"/>
  <c r="B2346" i="1"/>
  <c r="W2345" i="1"/>
  <c r="T2345" i="1"/>
  <c r="P2345" i="1"/>
  <c r="J2345" i="1"/>
  <c r="G2345" i="1"/>
  <c r="F2345" i="1"/>
  <c r="B2345" i="1"/>
  <c r="W2344" i="1"/>
  <c r="T2344" i="1"/>
  <c r="P2344" i="1"/>
  <c r="J2344" i="1"/>
  <c r="G2344" i="1"/>
  <c r="F2344" i="1"/>
  <c r="B2344" i="1"/>
  <c r="W2343" i="1"/>
  <c r="T2343" i="1"/>
  <c r="P2343" i="1"/>
  <c r="J2343" i="1"/>
  <c r="G2343" i="1"/>
  <c r="F2343" i="1"/>
  <c r="B2343" i="1"/>
  <c r="W2342" i="1"/>
  <c r="T2342" i="1"/>
  <c r="P2342" i="1"/>
  <c r="J2342" i="1"/>
  <c r="G2342" i="1"/>
  <c r="F2342" i="1"/>
  <c r="B2342" i="1"/>
  <c r="W2341" i="1"/>
  <c r="T2341" i="1"/>
  <c r="P2341" i="1"/>
  <c r="J2341" i="1"/>
  <c r="G2341" i="1"/>
  <c r="F2341" i="1"/>
  <c r="B2341" i="1"/>
  <c r="W2340" i="1"/>
  <c r="T2340" i="1"/>
  <c r="P2340" i="1"/>
  <c r="J2340" i="1"/>
  <c r="G2340" i="1"/>
  <c r="F2340" i="1"/>
  <c r="B2340" i="1"/>
  <c r="W2339" i="1"/>
  <c r="T2339" i="1"/>
  <c r="P2339" i="1"/>
  <c r="J2339" i="1"/>
  <c r="G2339" i="1"/>
  <c r="F2339" i="1"/>
  <c r="B2339" i="1"/>
  <c r="W2338" i="1"/>
  <c r="T2338" i="1"/>
  <c r="P2338" i="1"/>
  <c r="J2338" i="1"/>
  <c r="G2338" i="1"/>
  <c r="F2338" i="1"/>
  <c r="B2338" i="1"/>
  <c r="W2337" i="1"/>
  <c r="T2337" i="1"/>
  <c r="P2337" i="1"/>
  <c r="J2337" i="1"/>
  <c r="G2337" i="1"/>
  <c r="F2337" i="1"/>
  <c r="B2337" i="1"/>
  <c r="W2336" i="1"/>
  <c r="T2336" i="1"/>
  <c r="P2336" i="1"/>
  <c r="J2336" i="1"/>
  <c r="G2336" i="1"/>
  <c r="F2336" i="1"/>
  <c r="B2336" i="1"/>
  <c r="W2335" i="1"/>
  <c r="T2335" i="1"/>
  <c r="P2335" i="1"/>
  <c r="J2335" i="1"/>
  <c r="G2335" i="1"/>
  <c r="F2335" i="1"/>
  <c r="B2335" i="1"/>
  <c r="W2334" i="1"/>
  <c r="T2334" i="1"/>
  <c r="P2334" i="1"/>
  <c r="J2334" i="1"/>
  <c r="G2334" i="1"/>
  <c r="F2334" i="1"/>
  <c r="B2334" i="1"/>
  <c r="W2333" i="1"/>
  <c r="T2333" i="1"/>
  <c r="P2333" i="1"/>
  <c r="J2333" i="1"/>
  <c r="G2333" i="1"/>
  <c r="F2333" i="1"/>
  <c r="B2333" i="1"/>
  <c r="W2332" i="1"/>
  <c r="T2332" i="1"/>
  <c r="P2332" i="1"/>
  <c r="J2332" i="1"/>
  <c r="G2332" i="1"/>
  <c r="F2332" i="1"/>
  <c r="B2332" i="1"/>
  <c r="W2331" i="1"/>
  <c r="T2331" i="1"/>
  <c r="P2331" i="1"/>
  <c r="J2331" i="1"/>
  <c r="G2331" i="1"/>
  <c r="F2331" i="1"/>
  <c r="B2331" i="1"/>
  <c r="W2330" i="1"/>
  <c r="T2330" i="1"/>
  <c r="P2330" i="1"/>
  <c r="J2330" i="1"/>
  <c r="G2330" i="1"/>
  <c r="F2330" i="1"/>
  <c r="B2330" i="1"/>
  <c r="W2329" i="1"/>
  <c r="T2329" i="1"/>
  <c r="P2329" i="1"/>
  <c r="J2329" i="1"/>
  <c r="G2329" i="1"/>
  <c r="F2329" i="1"/>
  <c r="B2329" i="1"/>
  <c r="W2328" i="1"/>
  <c r="T2328" i="1"/>
  <c r="P2328" i="1"/>
  <c r="J2328" i="1"/>
  <c r="G2328" i="1"/>
  <c r="F2328" i="1"/>
  <c r="B2328" i="1"/>
  <c r="W2327" i="1"/>
  <c r="T2327" i="1"/>
  <c r="P2327" i="1"/>
  <c r="J2327" i="1"/>
  <c r="G2327" i="1"/>
  <c r="F2327" i="1"/>
  <c r="B2327" i="1"/>
  <c r="W2326" i="1"/>
  <c r="T2326" i="1"/>
  <c r="P2326" i="1"/>
  <c r="J2326" i="1"/>
  <c r="G2326" i="1"/>
  <c r="F2326" i="1"/>
  <c r="B2326" i="1"/>
  <c r="W2325" i="1"/>
  <c r="T2325" i="1"/>
  <c r="P2325" i="1"/>
  <c r="J2325" i="1"/>
  <c r="G2325" i="1"/>
  <c r="F2325" i="1"/>
  <c r="B2325" i="1"/>
  <c r="W2324" i="1"/>
  <c r="T2324" i="1"/>
  <c r="P2324" i="1"/>
  <c r="J2324" i="1"/>
  <c r="G2324" i="1"/>
  <c r="F2324" i="1"/>
  <c r="B2324" i="1"/>
  <c r="W2323" i="1"/>
  <c r="T2323" i="1"/>
  <c r="P2323" i="1"/>
  <c r="J2323" i="1"/>
  <c r="G2323" i="1"/>
  <c r="F2323" i="1"/>
  <c r="B2323" i="1"/>
  <c r="W2322" i="1"/>
  <c r="T2322" i="1"/>
  <c r="P2322" i="1"/>
  <c r="J2322" i="1"/>
  <c r="G2322" i="1"/>
  <c r="F2322" i="1"/>
  <c r="B2322" i="1"/>
  <c r="W2321" i="1"/>
  <c r="T2321" i="1"/>
  <c r="P2321" i="1"/>
  <c r="J2321" i="1"/>
  <c r="G2321" i="1"/>
  <c r="F2321" i="1"/>
  <c r="B2321" i="1"/>
  <c r="W2320" i="1"/>
  <c r="T2320" i="1"/>
  <c r="P2320" i="1"/>
  <c r="J2320" i="1"/>
  <c r="G2320" i="1"/>
  <c r="F2320" i="1"/>
  <c r="B2320" i="1"/>
  <c r="W2319" i="1"/>
  <c r="T2319" i="1"/>
  <c r="P2319" i="1"/>
  <c r="J2319" i="1"/>
  <c r="G2319" i="1"/>
  <c r="F2319" i="1"/>
  <c r="B2319" i="1"/>
  <c r="W2318" i="1"/>
  <c r="T2318" i="1"/>
  <c r="P2318" i="1"/>
  <c r="J2318" i="1"/>
  <c r="G2318" i="1"/>
  <c r="F2318" i="1"/>
  <c r="B2318" i="1"/>
  <c r="W2317" i="1"/>
  <c r="T2317" i="1"/>
  <c r="P2317" i="1"/>
  <c r="J2317" i="1"/>
  <c r="G2317" i="1"/>
  <c r="F2317" i="1"/>
  <c r="B2317" i="1"/>
  <c r="W2316" i="1"/>
  <c r="T2316" i="1"/>
  <c r="P2316" i="1"/>
  <c r="J2316" i="1"/>
  <c r="G2316" i="1"/>
  <c r="F2316" i="1"/>
  <c r="B2316" i="1"/>
  <c r="W2315" i="1"/>
  <c r="T2315" i="1"/>
  <c r="P2315" i="1"/>
  <c r="J2315" i="1"/>
  <c r="G2315" i="1"/>
  <c r="F2315" i="1"/>
  <c r="B2315" i="1"/>
  <c r="W2314" i="1"/>
  <c r="T2314" i="1"/>
  <c r="P2314" i="1"/>
  <c r="J2314" i="1"/>
  <c r="G2314" i="1"/>
  <c r="F2314" i="1"/>
  <c r="B2314" i="1"/>
  <c r="W2313" i="1"/>
  <c r="T2313" i="1"/>
  <c r="P2313" i="1"/>
  <c r="J2313" i="1"/>
  <c r="G2313" i="1"/>
  <c r="F2313" i="1"/>
  <c r="B2313" i="1"/>
  <c r="W2312" i="1"/>
  <c r="T2312" i="1"/>
  <c r="P2312" i="1"/>
  <c r="J2312" i="1"/>
  <c r="G2312" i="1"/>
  <c r="F2312" i="1"/>
  <c r="B2312" i="1"/>
  <c r="W2311" i="1"/>
  <c r="T2311" i="1"/>
  <c r="P2311" i="1"/>
  <c r="J2311" i="1"/>
  <c r="G2311" i="1"/>
  <c r="F2311" i="1"/>
  <c r="B2311" i="1"/>
  <c r="W2310" i="1"/>
  <c r="T2310" i="1"/>
  <c r="P2310" i="1"/>
  <c r="J2310" i="1"/>
  <c r="G2310" i="1"/>
  <c r="F2310" i="1"/>
  <c r="B2310" i="1"/>
  <c r="W2309" i="1"/>
  <c r="T2309" i="1"/>
  <c r="P2309" i="1"/>
  <c r="J2309" i="1"/>
  <c r="G2309" i="1"/>
  <c r="F2309" i="1"/>
  <c r="B2309" i="1"/>
  <c r="W2308" i="1"/>
  <c r="T2308" i="1"/>
  <c r="P2308" i="1"/>
  <c r="J2308" i="1"/>
  <c r="G2308" i="1"/>
  <c r="F2308" i="1"/>
  <c r="B2308" i="1"/>
  <c r="W2307" i="1"/>
  <c r="T2307" i="1"/>
  <c r="P2307" i="1"/>
  <c r="J2307" i="1"/>
  <c r="G2307" i="1"/>
  <c r="F2307" i="1"/>
  <c r="B2307" i="1"/>
  <c r="W2306" i="1"/>
  <c r="T2306" i="1"/>
  <c r="P2306" i="1"/>
  <c r="J2306" i="1"/>
  <c r="G2306" i="1"/>
  <c r="F2306" i="1"/>
  <c r="B2306" i="1"/>
  <c r="W2305" i="1"/>
  <c r="T2305" i="1"/>
  <c r="P2305" i="1"/>
  <c r="J2305" i="1"/>
  <c r="G2305" i="1"/>
  <c r="F2305" i="1"/>
  <c r="B2305" i="1"/>
  <c r="W2304" i="1"/>
  <c r="T2304" i="1"/>
  <c r="P2304" i="1"/>
  <c r="J2304" i="1"/>
  <c r="G2304" i="1"/>
  <c r="F2304" i="1"/>
  <c r="B2304" i="1"/>
  <c r="W2303" i="1"/>
  <c r="T2303" i="1"/>
  <c r="P2303" i="1"/>
  <c r="J2303" i="1"/>
  <c r="G2303" i="1"/>
  <c r="F2303" i="1"/>
  <c r="B2303" i="1"/>
  <c r="W2302" i="1"/>
  <c r="T2302" i="1"/>
  <c r="P2302" i="1"/>
  <c r="J2302" i="1"/>
  <c r="G2302" i="1"/>
  <c r="F2302" i="1"/>
  <c r="B2302" i="1"/>
  <c r="W2301" i="1"/>
  <c r="T2301" i="1"/>
  <c r="P2301" i="1"/>
  <c r="J2301" i="1"/>
  <c r="G2301" i="1"/>
  <c r="F2301" i="1"/>
  <c r="B2301" i="1"/>
  <c r="W2300" i="1"/>
  <c r="T2300" i="1"/>
  <c r="P2300" i="1"/>
  <c r="J2300" i="1"/>
  <c r="G2300" i="1"/>
  <c r="F2300" i="1"/>
  <c r="B2300" i="1"/>
  <c r="W2299" i="1"/>
  <c r="T2299" i="1"/>
  <c r="P2299" i="1"/>
  <c r="J2299" i="1"/>
  <c r="G2299" i="1"/>
  <c r="F2299" i="1"/>
  <c r="B2299" i="1"/>
  <c r="W2298" i="1"/>
  <c r="T2298" i="1"/>
  <c r="P2298" i="1"/>
  <c r="J2298" i="1"/>
  <c r="G2298" i="1"/>
  <c r="F2298" i="1"/>
  <c r="B2298" i="1"/>
  <c r="W2297" i="1"/>
  <c r="T2297" i="1"/>
  <c r="P2297" i="1"/>
  <c r="J2297" i="1"/>
  <c r="G2297" i="1"/>
  <c r="F2297" i="1"/>
  <c r="B2297" i="1"/>
  <c r="W2296" i="1"/>
  <c r="T2296" i="1"/>
  <c r="P2296" i="1"/>
  <c r="J2296" i="1"/>
  <c r="G2296" i="1"/>
  <c r="F2296" i="1"/>
  <c r="B2296" i="1"/>
  <c r="W2295" i="1"/>
  <c r="T2295" i="1"/>
  <c r="P2295" i="1"/>
  <c r="J2295" i="1"/>
  <c r="G2295" i="1"/>
  <c r="F2295" i="1"/>
  <c r="B2295" i="1"/>
  <c r="W2294" i="1"/>
  <c r="T2294" i="1"/>
  <c r="P2294" i="1"/>
  <c r="J2294" i="1"/>
  <c r="G2294" i="1"/>
  <c r="F2294" i="1"/>
  <c r="B2294" i="1"/>
  <c r="W2293" i="1"/>
  <c r="T2293" i="1"/>
  <c r="P2293" i="1"/>
  <c r="J2293" i="1"/>
  <c r="G2293" i="1"/>
  <c r="F2293" i="1"/>
  <c r="B2293" i="1"/>
  <c r="W2292" i="1"/>
  <c r="T2292" i="1"/>
  <c r="P2292" i="1"/>
  <c r="J2292" i="1"/>
  <c r="G2292" i="1"/>
  <c r="F2292" i="1"/>
  <c r="B2292" i="1"/>
  <c r="W2291" i="1"/>
  <c r="T2291" i="1"/>
  <c r="P2291" i="1"/>
  <c r="J2291" i="1"/>
  <c r="G2291" i="1"/>
  <c r="F2291" i="1"/>
  <c r="B2291" i="1"/>
  <c r="W2290" i="1"/>
  <c r="T2290" i="1"/>
  <c r="P2290" i="1"/>
  <c r="J2290" i="1"/>
  <c r="G2290" i="1"/>
  <c r="F2290" i="1"/>
  <c r="B2290" i="1"/>
  <c r="W2289" i="1"/>
  <c r="T2289" i="1"/>
  <c r="P2289" i="1"/>
  <c r="J2289" i="1"/>
  <c r="G2289" i="1"/>
  <c r="F2289" i="1"/>
  <c r="B2289" i="1"/>
  <c r="W2288" i="1"/>
  <c r="T2288" i="1"/>
  <c r="P2288" i="1"/>
  <c r="J2288" i="1"/>
  <c r="G2288" i="1"/>
  <c r="F2288" i="1"/>
  <c r="B2288" i="1"/>
  <c r="W2287" i="1"/>
  <c r="T2287" i="1"/>
  <c r="P2287" i="1"/>
  <c r="J2287" i="1"/>
  <c r="G2287" i="1"/>
  <c r="F2287" i="1"/>
  <c r="B2287" i="1"/>
  <c r="W2286" i="1"/>
  <c r="T2286" i="1"/>
  <c r="P2286" i="1"/>
  <c r="J2286" i="1"/>
  <c r="G2286" i="1"/>
  <c r="F2286" i="1"/>
  <c r="B2286" i="1"/>
  <c r="W2285" i="1"/>
  <c r="T2285" i="1"/>
  <c r="P2285" i="1"/>
  <c r="J2285" i="1"/>
  <c r="G2285" i="1"/>
  <c r="F2285" i="1"/>
  <c r="B2285" i="1"/>
  <c r="W2284" i="1"/>
  <c r="T2284" i="1"/>
  <c r="P2284" i="1"/>
  <c r="J2284" i="1"/>
  <c r="G2284" i="1"/>
  <c r="F2284" i="1"/>
  <c r="B2284" i="1"/>
  <c r="W2283" i="1"/>
  <c r="T2283" i="1"/>
  <c r="P2283" i="1"/>
  <c r="J2283" i="1"/>
  <c r="G2283" i="1"/>
  <c r="F2283" i="1"/>
  <c r="B2283" i="1"/>
  <c r="W2282" i="1"/>
  <c r="T2282" i="1"/>
  <c r="P2282" i="1"/>
  <c r="J2282" i="1"/>
  <c r="G2282" i="1"/>
  <c r="F2282" i="1"/>
  <c r="B2282" i="1"/>
  <c r="W2281" i="1"/>
  <c r="T2281" i="1"/>
  <c r="P2281" i="1"/>
  <c r="J2281" i="1"/>
  <c r="G2281" i="1"/>
  <c r="F2281" i="1"/>
  <c r="B2281" i="1"/>
  <c r="W2280" i="1"/>
  <c r="T2280" i="1"/>
  <c r="P2280" i="1"/>
  <c r="J2280" i="1"/>
  <c r="G2280" i="1"/>
  <c r="F2280" i="1"/>
  <c r="B2280" i="1"/>
  <c r="W2279" i="1"/>
  <c r="T2279" i="1"/>
  <c r="P2279" i="1"/>
  <c r="J2279" i="1"/>
  <c r="G2279" i="1"/>
  <c r="F2279" i="1"/>
  <c r="B2279" i="1"/>
  <c r="W2278" i="1"/>
  <c r="T2278" i="1"/>
  <c r="P2278" i="1"/>
  <c r="J2278" i="1"/>
  <c r="G2278" i="1"/>
  <c r="F2278" i="1"/>
  <c r="B2278" i="1"/>
  <c r="W2277" i="1"/>
  <c r="T2277" i="1"/>
  <c r="P2277" i="1"/>
  <c r="J2277" i="1"/>
  <c r="G2277" i="1"/>
  <c r="F2277" i="1"/>
  <c r="B2277" i="1"/>
  <c r="W2276" i="1"/>
  <c r="T2276" i="1"/>
  <c r="P2276" i="1"/>
  <c r="J2276" i="1"/>
  <c r="G2276" i="1"/>
  <c r="F2276" i="1"/>
  <c r="B2276" i="1"/>
  <c r="W2275" i="1"/>
  <c r="T2275" i="1"/>
  <c r="P2275" i="1"/>
  <c r="J2275" i="1"/>
  <c r="G2275" i="1"/>
  <c r="F2275" i="1"/>
  <c r="B2275" i="1"/>
  <c r="W2274" i="1"/>
  <c r="T2274" i="1"/>
  <c r="P2274" i="1"/>
  <c r="J2274" i="1"/>
  <c r="G2274" i="1"/>
  <c r="F2274" i="1"/>
  <c r="B2274" i="1"/>
  <c r="W2273" i="1"/>
  <c r="T2273" i="1"/>
  <c r="P2273" i="1"/>
  <c r="J2273" i="1"/>
  <c r="G2273" i="1"/>
  <c r="F2273" i="1"/>
  <c r="B2273" i="1"/>
  <c r="W2272" i="1"/>
  <c r="T2272" i="1"/>
  <c r="P2272" i="1"/>
  <c r="J2272" i="1"/>
  <c r="G2272" i="1"/>
  <c r="F2272" i="1"/>
  <c r="B2272" i="1"/>
  <c r="W2271" i="1"/>
  <c r="T2271" i="1"/>
  <c r="P2271" i="1"/>
  <c r="J2271" i="1"/>
  <c r="G2271" i="1"/>
  <c r="F2271" i="1"/>
  <c r="B2271" i="1"/>
  <c r="W2270" i="1"/>
  <c r="T2270" i="1"/>
  <c r="P2270" i="1"/>
  <c r="J2270" i="1"/>
  <c r="G2270" i="1"/>
  <c r="F2270" i="1"/>
  <c r="B2270" i="1"/>
  <c r="W2269" i="1"/>
  <c r="T2269" i="1"/>
  <c r="P2269" i="1"/>
  <c r="J2269" i="1"/>
  <c r="G2269" i="1"/>
  <c r="F2269" i="1"/>
  <c r="B2269" i="1"/>
  <c r="W2268" i="1"/>
  <c r="T2268" i="1"/>
  <c r="P2268" i="1"/>
  <c r="J2268" i="1"/>
  <c r="G2268" i="1"/>
  <c r="F2268" i="1"/>
  <c r="B2268" i="1"/>
  <c r="W2267" i="1"/>
  <c r="T2267" i="1"/>
  <c r="P2267" i="1"/>
  <c r="J2267" i="1"/>
  <c r="G2267" i="1"/>
  <c r="F2267" i="1"/>
  <c r="B2267" i="1"/>
  <c r="W2266" i="1"/>
  <c r="T2266" i="1"/>
  <c r="P2266" i="1"/>
  <c r="J2266" i="1"/>
  <c r="G2266" i="1"/>
  <c r="F2266" i="1"/>
  <c r="B2266" i="1"/>
  <c r="W2265" i="1"/>
  <c r="T2265" i="1"/>
  <c r="P2265" i="1"/>
  <c r="J2265" i="1"/>
  <c r="G2265" i="1"/>
  <c r="F2265" i="1"/>
  <c r="B2265" i="1"/>
  <c r="W2264" i="1"/>
  <c r="T2264" i="1"/>
  <c r="P2264" i="1"/>
  <c r="J2264" i="1"/>
  <c r="G2264" i="1"/>
  <c r="F2264" i="1"/>
  <c r="B2264" i="1"/>
  <c r="W2263" i="1"/>
  <c r="T2263" i="1"/>
  <c r="P2263" i="1"/>
  <c r="J2263" i="1"/>
  <c r="G2263" i="1"/>
  <c r="F2263" i="1"/>
  <c r="B2263" i="1"/>
  <c r="W2262" i="1"/>
  <c r="T2262" i="1"/>
  <c r="P2262" i="1"/>
  <c r="J2262" i="1"/>
  <c r="G2262" i="1"/>
  <c r="F2262" i="1"/>
  <c r="B2262" i="1"/>
  <c r="W2261" i="1"/>
  <c r="T2261" i="1"/>
  <c r="P2261" i="1"/>
  <c r="J2261" i="1"/>
  <c r="G2261" i="1"/>
  <c r="F2261" i="1"/>
  <c r="B2261" i="1"/>
  <c r="W2260" i="1"/>
  <c r="T2260" i="1"/>
  <c r="P2260" i="1"/>
  <c r="J2260" i="1"/>
  <c r="G2260" i="1"/>
  <c r="F2260" i="1"/>
  <c r="B2260" i="1"/>
  <c r="W2259" i="1"/>
  <c r="T2259" i="1"/>
  <c r="P2259" i="1"/>
  <c r="J2259" i="1"/>
  <c r="G2259" i="1"/>
  <c r="F2259" i="1"/>
  <c r="B2259" i="1"/>
  <c r="W2258" i="1"/>
  <c r="T2258" i="1"/>
  <c r="P2258" i="1"/>
  <c r="J2258" i="1"/>
  <c r="G2258" i="1"/>
  <c r="F2258" i="1"/>
  <c r="B2258" i="1"/>
  <c r="W2257" i="1"/>
  <c r="T2257" i="1"/>
  <c r="P2257" i="1"/>
  <c r="J2257" i="1"/>
  <c r="G2257" i="1"/>
  <c r="F2257" i="1"/>
  <c r="B2257" i="1"/>
  <c r="W2256" i="1"/>
  <c r="T2256" i="1"/>
  <c r="P2256" i="1"/>
  <c r="J2256" i="1"/>
  <c r="G2256" i="1"/>
  <c r="F2256" i="1"/>
  <c r="B2256" i="1"/>
  <c r="W2255" i="1"/>
  <c r="T2255" i="1"/>
  <c r="P2255" i="1"/>
  <c r="J2255" i="1"/>
  <c r="G2255" i="1"/>
  <c r="F2255" i="1"/>
  <c r="B2255" i="1"/>
  <c r="W2254" i="1"/>
  <c r="T2254" i="1"/>
  <c r="P2254" i="1"/>
  <c r="J2254" i="1"/>
  <c r="G2254" i="1"/>
  <c r="F2254" i="1"/>
  <c r="B2254" i="1"/>
  <c r="W2253" i="1"/>
  <c r="T2253" i="1"/>
  <c r="P2253" i="1"/>
  <c r="J2253" i="1"/>
  <c r="G2253" i="1"/>
  <c r="F2253" i="1"/>
  <c r="B2253" i="1"/>
  <c r="W2252" i="1"/>
  <c r="T2252" i="1"/>
  <c r="P2252" i="1"/>
  <c r="J2252" i="1"/>
  <c r="G2252" i="1"/>
  <c r="F2252" i="1"/>
  <c r="B2252" i="1"/>
  <c r="W2251" i="1"/>
  <c r="T2251" i="1"/>
  <c r="P2251" i="1"/>
  <c r="J2251" i="1"/>
  <c r="G2251" i="1"/>
  <c r="F2251" i="1"/>
  <c r="B2251" i="1"/>
  <c r="W2250" i="1"/>
  <c r="T2250" i="1"/>
  <c r="P2250" i="1"/>
  <c r="J2250" i="1"/>
  <c r="G2250" i="1"/>
  <c r="F2250" i="1"/>
  <c r="B2250" i="1"/>
  <c r="W2249" i="1"/>
  <c r="T2249" i="1"/>
  <c r="P2249" i="1"/>
  <c r="J2249" i="1"/>
  <c r="G2249" i="1"/>
  <c r="F2249" i="1"/>
  <c r="B2249" i="1"/>
  <c r="W2248" i="1"/>
  <c r="T2248" i="1"/>
  <c r="P2248" i="1"/>
  <c r="J2248" i="1"/>
  <c r="G2248" i="1"/>
  <c r="F2248" i="1"/>
  <c r="B2248" i="1"/>
  <c r="W2247" i="1"/>
  <c r="T2247" i="1"/>
  <c r="P2247" i="1"/>
  <c r="J2247" i="1"/>
  <c r="G2247" i="1"/>
  <c r="F2247" i="1"/>
  <c r="B2247" i="1"/>
  <c r="W2246" i="1"/>
  <c r="T2246" i="1"/>
  <c r="P2246" i="1"/>
  <c r="J2246" i="1"/>
  <c r="G2246" i="1"/>
  <c r="F2246" i="1"/>
  <c r="B2246" i="1"/>
  <c r="W2245" i="1"/>
  <c r="T2245" i="1"/>
  <c r="P2245" i="1"/>
  <c r="J2245" i="1"/>
  <c r="G2245" i="1"/>
  <c r="F2245" i="1"/>
  <c r="B2245" i="1"/>
  <c r="W2244" i="1"/>
  <c r="T2244" i="1"/>
  <c r="P2244" i="1"/>
  <c r="J2244" i="1"/>
  <c r="G2244" i="1"/>
  <c r="F2244" i="1"/>
  <c r="B2244" i="1"/>
  <c r="W2243" i="1"/>
  <c r="T2243" i="1"/>
  <c r="P2243" i="1"/>
  <c r="J2243" i="1"/>
  <c r="G2243" i="1"/>
  <c r="F2243" i="1"/>
  <c r="B2243" i="1"/>
  <c r="W2242" i="1"/>
  <c r="T2242" i="1"/>
  <c r="P2242" i="1"/>
  <c r="J2242" i="1"/>
  <c r="G2242" i="1"/>
  <c r="F2242" i="1"/>
  <c r="B2242" i="1"/>
  <c r="W2241" i="1"/>
  <c r="T2241" i="1"/>
  <c r="P2241" i="1"/>
  <c r="J2241" i="1"/>
  <c r="G2241" i="1"/>
  <c r="F2241" i="1"/>
  <c r="B2241" i="1"/>
  <c r="W2240" i="1"/>
  <c r="T2240" i="1"/>
  <c r="P2240" i="1"/>
  <c r="J2240" i="1"/>
  <c r="G2240" i="1"/>
  <c r="F2240" i="1"/>
  <c r="B2240" i="1"/>
  <c r="W2239" i="1"/>
  <c r="T2239" i="1"/>
  <c r="P2239" i="1"/>
  <c r="J2239" i="1"/>
  <c r="G2239" i="1"/>
  <c r="F2239" i="1"/>
  <c r="B2239" i="1"/>
  <c r="W2238" i="1"/>
  <c r="T2238" i="1"/>
  <c r="P2238" i="1"/>
  <c r="J2238" i="1"/>
  <c r="G2238" i="1"/>
  <c r="F2238" i="1"/>
  <c r="B2238" i="1"/>
  <c r="W2237" i="1"/>
  <c r="T2237" i="1"/>
  <c r="P2237" i="1"/>
  <c r="J2237" i="1"/>
  <c r="G2237" i="1"/>
  <c r="F2237" i="1"/>
  <c r="B2237" i="1"/>
  <c r="W2236" i="1"/>
  <c r="T2236" i="1"/>
  <c r="P2236" i="1"/>
  <c r="J2236" i="1"/>
  <c r="G2236" i="1"/>
  <c r="F2236" i="1"/>
  <c r="B2236" i="1"/>
  <c r="W2235" i="1"/>
  <c r="T2235" i="1"/>
  <c r="P2235" i="1"/>
  <c r="J2235" i="1"/>
  <c r="G2235" i="1"/>
  <c r="F2235" i="1"/>
  <c r="B2235" i="1"/>
  <c r="W2234" i="1"/>
  <c r="T2234" i="1"/>
  <c r="P2234" i="1"/>
  <c r="J2234" i="1"/>
  <c r="G2234" i="1"/>
  <c r="F2234" i="1"/>
  <c r="B2234" i="1"/>
  <c r="W2233" i="1"/>
  <c r="T2233" i="1"/>
  <c r="P2233" i="1"/>
  <c r="J2233" i="1"/>
  <c r="G2233" i="1"/>
  <c r="F2233" i="1"/>
  <c r="B2233" i="1"/>
  <c r="W2232" i="1"/>
  <c r="T2232" i="1"/>
  <c r="P2232" i="1"/>
  <c r="J2232" i="1"/>
  <c r="G2232" i="1"/>
  <c r="F2232" i="1"/>
  <c r="B2232" i="1"/>
  <c r="W2231" i="1"/>
  <c r="T2231" i="1"/>
  <c r="P2231" i="1"/>
  <c r="J2231" i="1"/>
  <c r="G2231" i="1"/>
  <c r="F2231" i="1"/>
  <c r="B2231" i="1"/>
  <c r="W2230" i="1"/>
  <c r="T2230" i="1"/>
  <c r="P2230" i="1"/>
  <c r="J2230" i="1"/>
  <c r="G2230" i="1"/>
  <c r="F2230" i="1"/>
  <c r="B2230" i="1"/>
  <c r="W2229" i="1"/>
  <c r="T2229" i="1"/>
  <c r="P2229" i="1"/>
  <c r="J2229" i="1"/>
  <c r="G2229" i="1"/>
  <c r="F2229" i="1"/>
  <c r="B2229" i="1"/>
  <c r="W2228" i="1"/>
  <c r="T2228" i="1"/>
  <c r="P2228" i="1"/>
  <c r="J2228" i="1"/>
  <c r="G2228" i="1"/>
  <c r="F2228" i="1"/>
  <c r="B2228" i="1"/>
  <c r="W2227" i="1"/>
  <c r="T2227" i="1"/>
  <c r="P2227" i="1"/>
  <c r="J2227" i="1"/>
  <c r="G2227" i="1"/>
  <c r="F2227" i="1"/>
  <c r="B2227" i="1"/>
  <c r="W2226" i="1"/>
  <c r="T2226" i="1"/>
  <c r="P2226" i="1"/>
  <c r="J2226" i="1"/>
  <c r="G2226" i="1"/>
  <c r="F2226" i="1"/>
  <c r="B2226" i="1"/>
  <c r="W2225" i="1"/>
  <c r="T2225" i="1"/>
  <c r="P2225" i="1"/>
  <c r="J2225" i="1"/>
  <c r="G2225" i="1"/>
  <c r="F2225" i="1"/>
  <c r="B2225" i="1"/>
  <c r="W2224" i="1"/>
  <c r="T2224" i="1"/>
  <c r="P2224" i="1"/>
  <c r="J2224" i="1"/>
  <c r="G2224" i="1"/>
  <c r="F2224" i="1"/>
  <c r="B2224" i="1"/>
  <c r="W2223" i="1"/>
  <c r="T2223" i="1"/>
  <c r="P2223" i="1"/>
  <c r="J2223" i="1"/>
  <c r="G2223" i="1"/>
  <c r="F2223" i="1"/>
  <c r="B2223" i="1"/>
  <c r="W2222" i="1"/>
  <c r="T2222" i="1"/>
  <c r="P2222" i="1"/>
  <c r="J2222" i="1"/>
  <c r="G2222" i="1"/>
  <c r="F2222" i="1"/>
  <c r="B2222" i="1"/>
  <c r="W2221" i="1"/>
  <c r="T2221" i="1"/>
  <c r="P2221" i="1"/>
  <c r="J2221" i="1"/>
  <c r="G2221" i="1"/>
  <c r="F2221" i="1"/>
  <c r="B2221" i="1"/>
  <c r="W2220" i="1"/>
  <c r="T2220" i="1"/>
  <c r="P2220" i="1"/>
  <c r="J2220" i="1"/>
  <c r="G2220" i="1"/>
  <c r="F2220" i="1"/>
  <c r="B2220" i="1"/>
  <c r="W2219" i="1"/>
  <c r="T2219" i="1"/>
  <c r="P2219" i="1"/>
  <c r="J2219" i="1"/>
  <c r="G2219" i="1"/>
  <c r="F2219" i="1"/>
  <c r="B2219" i="1"/>
  <c r="W2218" i="1"/>
  <c r="T2218" i="1"/>
  <c r="P2218" i="1"/>
  <c r="J2218" i="1"/>
  <c r="G2218" i="1"/>
  <c r="F2218" i="1"/>
  <c r="B2218" i="1"/>
  <c r="W2217" i="1"/>
  <c r="T2217" i="1"/>
  <c r="P2217" i="1"/>
  <c r="J2217" i="1"/>
  <c r="G2217" i="1"/>
  <c r="F2217" i="1"/>
  <c r="B2217" i="1"/>
  <c r="W2216" i="1"/>
  <c r="T2216" i="1"/>
  <c r="P2216" i="1"/>
  <c r="J2216" i="1"/>
  <c r="G2216" i="1"/>
  <c r="F2216" i="1"/>
  <c r="B2216" i="1"/>
  <c r="W2215" i="1"/>
  <c r="T2215" i="1"/>
  <c r="P2215" i="1"/>
  <c r="J2215" i="1"/>
  <c r="G2215" i="1"/>
  <c r="F2215" i="1"/>
  <c r="B2215" i="1"/>
  <c r="W2214" i="1"/>
  <c r="T2214" i="1"/>
  <c r="P2214" i="1"/>
  <c r="J2214" i="1"/>
  <c r="G2214" i="1"/>
  <c r="F2214" i="1"/>
  <c r="B2214" i="1"/>
  <c r="W2213" i="1"/>
  <c r="T2213" i="1"/>
  <c r="P2213" i="1"/>
  <c r="J2213" i="1"/>
  <c r="G2213" i="1"/>
  <c r="F2213" i="1"/>
  <c r="B2213" i="1"/>
  <c r="W2212" i="1"/>
  <c r="T2212" i="1"/>
  <c r="P2212" i="1"/>
  <c r="J2212" i="1"/>
  <c r="G2212" i="1"/>
  <c r="F2212" i="1"/>
  <c r="B2212" i="1"/>
  <c r="W2211" i="1"/>
  <c r="T2211" i="1"/>
  <c r="P2211" i="1"/>
  <c r="J2211" i="1"/>
  <c r="G2211" i="1"/>
  <c r="F2211" i="1"/>
  <c r="B2211" i="1"/>
  <c r="W2210" i="1"/>
  <c r="T2210" i="1"/>
  <c r="P2210" i="1"/>
  <c r="J2210" i="1"/>
  <c r="G2210" i="1"/>
  <c r="F2210" i="1"/>
  <c r="B2210" i="1"/>
  <c r="W2209" i="1"/>
  <c r="T2209" i="1"/>
  <c r="P2209" i="1"/>
  <c r="J2209" i="1"/>
  <c r="G2209" i="1"/>
  <c r="F2209" i="1"/>
  <c r="B2209" i="1"/>
  <c r="W2208" i="1"/>
  <c r="T2208" i="1"/>
  <c r="P2208" i="1"/>
  <c r="J2208" i="1"/>
  <c r="G2208" i="1"/>
  <c r="F2208" i="1"/>
  <c r="B2208" i="1"/>
  <c r="W2207" i="1"/>
  <c r="T2207" i="1"/>
  <c r="P2207" i="1"/>
  <c r="J2207" i="1"/>
  <c r="G2207" i="1"/>
  <c r="F2207" i="1"/>
  <c r="B2207" i="1"/>
  <c r="W2206" i="1"/>
  <c r="T2206" i="1"/>
  <c r="P2206" i="1"/>
  <c r="J2206" i="1"/>
  <c r="G2206" i="1"/>
  <c r="F2206" i="1"/>
  <c r="B2206" i="1"/>
  <c r="W2205" i="1"/>
  <c r="T2205" i="1"/>
  <c r="P2205" i="1"/>
  <c r="J2205" i="1"/>
  <c r="G2205" i="1"/>
  <c r="F2205" i="1"/>
  <c r="B2205" i="1"/>
  <c r="W2204" i="1"/>
  <c r="T2204" i="1"/>
  <c r="P2204" i="1"/>
  <c r="J2204" i="1"/>
  <c r="G2204" i="1"/>
  <c r="F2204" i="1"/>
  <c r="B2204" i="1"/>
  <c r="W2203" i="1"/>
  <c r="T2203" i="1"/>
  <c r="P2203" i="1"/>
  <c r="J2203" i="1"/>
  <c r="G2203" i="1"/>
  <c r="F2203" i="1"/>
  <c r="B2203" i="1"/>
  <c r="W2202" i="1"/>
  <c r="T2202" i="1"/>
  <c r="P2202" i="1"/>
  <c r="J2202" i="1"/>
  <c r="G2202" i="1"/>
  <c r="F2202" i="1"/>
  <c r="B2202" i="1"/>
  <c r="W2201" i="1"/>
  <c r="T2201" i="1"/>
  <c r="P2201" i="1"/>
  <c r="J2201" i="1"/>
  <c r="G2201" i="1"/>
  <c r="F2201" i="1"/>
  <c r="B2201" i="1"/>
  <c r="W2200" i="1"/>
  <c r="T2200" i="1"/>
  <c r="P2200" i="1"/>
  <c r="J2200" i="1"/>
  <c r="G2200" i="1"/>
  <c r="F2200" i="1"/>
  <c r="B2200" i="1"/>
  <c r="W2199" i="1"/>
  <c r="T2199" i="1"/>
  <c r="P2199" i="1"/>
  <c r="J2199" i="1"/>
  <c r="G2199" i="1"/>
  <c r="F2199" i="1"/>
  <c r="B2199" i="1"/>
  <c r="W2198" i="1"/>
  <c r="T2198" i="1"/>
  <c r="P2198" i="1"/>
  <c r="J2198" i="1"/>
  <c r="G2198" i="1"/>
  <c r="F2198" i="1"/>
  <c r="B2198" i="1"/>
  <c r="W2197" i="1"/>
  <c r="T2197" i="1"/>
  <c r="P2197" i="1"/>
  <c r="J2197" i="1"/>
  <c r="G2197" i="1"/>
  <c r="F2197" i="1"/>
  <c r="B2197" i="1"/>
  <c r="W2196" i="1"/>
  <c r="T2196" i="1"/>
  <c r="P2196" i="1"/>
  <c r="J2196" i="1"/>
  <c r="G2196" i="1"/>
  <c r="F2196" i="1"/>
  <c r="B2196" i="1"/>
  <c r="W2195" i="1"/>
  <c r="T2195" i="1"/>
  <c r="P2195" i="1"/>
  <c r="J2195" i="1"/>
  <c r="G2195" i="1"/>
  <c r="F2195" i="1"/>
  <c r="B2195" i="1"/>
  <c r="W2194" i="1"/>
  <c r="T2194" i="1"/>
  <c r="P2194" i="1"/>
  <c r="J2194" i="1"/>
  <c r="G2194" i="1"/>
  <c r="F2194" i="1"/>
  <c r="B2194" i="1"/>
  <c r="W2193" i="1"/>
  <c r="T2193" i="1"/>
  <c r="P2193" i="1"/>
  <c r="J2193" i="1"/>
  <c r="G2193" i="1"/>
  <c r="F2193" i="1"/>
  <c r="B2193" i="1"/>
  <c r="W2192" i="1"/>
  <c r="T2192" i="1"/>
  <c r="P2192" i="1"/>
  <c r="J2192" i="1"/>
  <c r="G2192" i="1"/>
  <c r="F2192" i="1"/>
  <c r="B2192" i="1"/>
  <c r="W2191" i="1"/>
  <c r="T2191" i="1"/>
  <c r="P2191" i="1"/>
  <c r="J2191" i="1"/>
  <c r="G2191" i="1"/>
  <c r="F2191" i="1"/>
  <c r="B2191" i="1"/>
  <c r="W2190" i="1"/>
  <c r="T2190" i="1"/>
  <c r="P2190" i="1"/>
  <c r="J2190" i="1"/>
  <c r="G2190" i="1"/>
  <c r="F2190" i="1"/>
  <c r="B2190" i="1"/>
  <c r="W2189" i="1"/>
  <c r="T2189" i="1"/>
  <c r="P2189" i="1"/>
  <c r="J2189" i="1"/>
  <c r="G2189" i="1"/>
  <c r="F2189" i="1"/>
  <c r="B2189" i="1"/>
  <c r="W2188" i="1"/>
  <c r="T2188" i="1"/>
  <c r="P2188" i="1"/>
  <c r="J2188" i="1"/>
  <c r="G2188" i="1"/>
  <c r="F2188" i="1"/>
  <c r="B2188" i="1"/>
  <c r="W2187" i="1"/>
  <c r="T2187" i="1"/>
  <c r="P2187" i="1"/>
  <c r="J2187" i="1"/>
  <c r="G2187" i="1"/>
  <c r="F2187" i="1"/>
  <c r="B2187" i="1"/>
  <c r="W2186" i="1"/>
  <c r="T2186" i="1"/>
  <c r="P2186" i="1"/>
  <c r="J2186" i="1"/>
  <c r="G2186" i="1"/>
  <c r="F2186" i="1"/>
  <c r="B2186" i="1"/>
  <c r="W2185" i="1"/>
  <c r="T2185" i="1"/>
  <c r="P2185" i="1"/>
  <c r="J2185" i="1"/>
  <c r="G2185" i="1"/>
  <c r="F2185" i="1"/>
  <c r="B2185" i="1"/>
  <c r="W2184" i="1"/>
  <c r="T2184" i="1"/>
  <c r="P2184" i="1"/>
  <c r="J2184" i="1"/>
  <c r="G2184" i="1"/>
  <c r="F2184" i="1"/>
  <c r="B2184" i="1"/>
  <c r="W2183" i="1"/>
  <c r="T2183" i="1"/>
  <c r="P2183" i="1"/>
  <c r="J2183" i="1"/>
  <c r="G2183" i="1"/>
  <c r="F2183" i="1"/>
  <c r="B2183" i="1"/>
  <c r="W2182" i="1"/>
  <c r="T2182" i="1"/>
  <c r="P2182" i="1"/>
  <c r="J2182" i="1"/>
  <c r="G2182" i="1"/>
  <c r="F2182" i="1"/>
  <c r="B2182" i="1"/>
  <c r="W2181" i="1"/>
  <c r="T2181" i="1"/>
  <c r="P2181" i="1"/>
  <c r="J2181" i="1"/>
  <c r="G2181" i="1"/>
  <c r="F2181" i="1"/>
  <c r="B2181" i="1"/>
  <c r="W2180" i="1"/>
  <c r="T2180" i="1"/>
  <c r="P2180" i="1"/>
  <c r="J2180" i="1"/>
  <c r="G2180" i="1"/>
  <c r="F2180" i="1"/>
  <c r="B2180" i="1"/>
  <c r="W2179" i="1"/>
  <c r="T2179" i="1"/>
  <c r="P2179" i="1"/>
  <c r="J2179" i="1"/>
  <c r="G2179" i="1"/>
  <c r="F2179" i="1"/>
  <c r="B2179" i="1"/>
  <c r="W2178" i="1"/>
  <c r="T2178" i="1"/>
  <c r="P2178" i="1"/>
  <c r="J2178" i="1"/>
  <c r="G2178" i="1"/>
  <c r="F2178" i="1"/>
  <c r="B2178" i="1"/>
  <c r="W2177" i="1"/>
  <c r="T2177" i="1"/>
  <c r="P2177" i="1"/>
  <c r="J2177" i="1"/>
  <c r="G2177" i="1"/>
  <c r="F2177" i="1"/>
  <c r="B2177" i="1"/>
  <c r="W2176" i="1"/>
  <c r="T2176" i="1"/>
  <c r="P2176" i="1"/>
  <c r="J2176" i="1"/>
  <c r="G2176" i="1"/>
  <c r="F2176" i="1"/>
  <c r="B2176" i="1"/>
  <c r="W2175" i="1"/>
  <c r="T2175" i="1"/>
  <c r="P2175" i="1"/>
  <c r="J2175" i="1"/>
  <c r="G2175" i="1"/>
  <c r="F2175" i="1"/>
  <c r="B2175" i="1"/>
  <c r="W2174" i="1"/>
  <c r="T2174" i="1"/>
  <c r="P2174" i="1"/>
  <c r="J2174" i="1"/>
  <c r="G2174" i="1"/>
  <c r="F2174" i="1"/>
  <c r="B2174" i="1"/>
  <c r="W2173" i="1"/>
  <c r="T2173" i="1"/>
  <c r="P2173" i="1"/>
  <c r="J2173" i="1"/>
  <c r="G2173" i="1"/>
  <c r="F2173" i="1"/>
  <c r="B2173" i="1"/>
  <c r="W2172" i="1"/>
  <c r="T2172" i="1"/>
  <c r="P2172" i="1"/>
  <c r="J2172" i="1"/>
  <c r="G2172" i="1"/>
  <c r="F2172" i="1"/>
  <c r="B2172" i="1"/>
  <c r="W2171" i="1"/>
  <c r="T2171" i="1"/>
  <c r="P2171" i="1"/>
  <c r="J2171" i="1"/>
  <c r="G2171" i="1"/>
  <c r="F2171" i="1"/>
  <c r="B2171" i="1"/>
  <c r="W2170" i="1"/>
  <c r="T2170" i="1"/>
  <c r="P2170" i="1"/>
  <c r="J2170" i="1"/>
  <c r="G2170" i="1"/>
  <c r="F2170" i="1"/>
  <c r="B2170" i="1"/>
  <c r="W2169" i="1"/>
  <c r="T2169" i="1"/>
  <c r="P2169" i="1"/>
  <c r="J2169" i="1"/>
  <c r="G2169" i="1"/>
  <c r="F2169" i="1"/>
  <c r="B2169" i="1"/>
  <c r="W2168" i="1"/>
  <c r="T2168" i="1"/>
  <c r="P2168" i="1"/>
  <c r="J2168" i="1"/>
  <c r="G2168" i="1"/>
  <c r="F2168" i="1"/>
  <c r="B2168" i="1"/>
  <c r="W2167" i="1"/>
  <c r="T2167" i="1"/>
  <c r="P2167" i="1"/>
  <c r="J2167" i="1"/>
  <c r="G2167" i="1"/>
  <c r="F2167" i="1"/>
  <c r="B2167" i="1"/>
  <c r="W2166" i="1"/>
  <c r="T2166" i="1"/>
  <c r="P2166" i="1"/>
  <c r="J2166" i="1"/>
  <c r="G2166" i="1"/>
  <c r="F2166" i="1"/>
  <c r="B2166" i="1"/>
  <c r="W2165" i="1"/>
  <c r="T2165" i="1"/>
  <c r="P2165" i="1"/>
  <c r="J2165" i="1"/>
  <c r="G2165" i="1"/>
  <c r="F2165" i="1"/>
  <c r="B2165" i="1"/>
  <c r="W2164" i="1"/>
  <c r="T2164" i="1"/>
  <c r="P2164" i="1"/>
  <c r="J2164" i="1"/>
  <c r="G2164" i="1"/>
  <c r="F2164" i="1"/>
  <c r="B2164" i="1"/>
  <c r="W2163" i="1"/>
  <c r="T2163" i="1"/>
  <c r="P2163" i="1"/>
  <c r="J2163" i="1"/>
  <c r="G2163" i="1"/>
  <c r="F2163" i="1"/>
  <c r="B2163" i="1"/>
  <c r="W2162" i="1"/>
  <c r="T2162" i="1"/>
  <c r="P2162" i="1"/>
  <c r="J2162" i="1"/>
  <c r="G2162" i="1"/>
  <c r="F2162" i="1"/>
  <c r="B2162" i="1"/>
  <c r="W2161" i="1"/>
  <c r="T2161" i="1"/>
  <c r="P2161" i="1"/>
  <c r="J2161" i="1"/>
  <c r="G2161" i="1"/>
  <c r="F2161" i="1"/>
  <c r="B2161" i="1"/>
  <c r="W2160" i="1"/>
  <c r="T2160" i="1"/>
  <c r="P2160" i="1"/>
  <c r="J2160" i="1"/>
  <c r="G2160" i="1"/>
  <c r="F2160" i="1"/>
  <c r="B2160" i="1"/>
  <c r="W2159" i="1"/>
  <c r="T2159" i="1"/>
  <c r="P2159" i="1"/>
  <c r="J2159" i="1"/>
  <c r="G2159" i="1"/>
  <c r="F2159" i="1"/>
  <c r="B2159" i="1"/>
  <c r="W2158" i="1"/>
  <c r="T2158" i="1"/>
  <c r="P2158" i="1"/>
  <c r="J2158" i="1"/>
  <c r="G2158" i="1"/>
  <c r="F2158" i="1"/>
  <c r="B2158" i="1"/>
  <c r="W2157" i="1"/>
  <c r="T2157" i="1"/>
  <c r="P2157" i="1"/>
  <c r="J2157" i="1"/>
  <c r="G2157" i="1"/>
  <c r="F2157" i="1"/>
  <c r="B2157" i="1"/>
  <c r="W2156" i="1"/>
  <c r="T2156" i="1"/>
  <c r="P2156" i="1"/>
  <c r="J2156" i="1"/>
  <c r="G2156" i="1"/>
  <c r="F2156" i="1"/>
  <c r="B2156" i="1"/>
  <c r="W2155" i="1"/>
  <c r="T2155" i="1"/>
  <c r="P2155" i="1"/>
  <c r="J2155" i="1"/>
  <c r="G2155" i="1"/>
  <c r="F2155" i="1"/>
  <c r="B2155" i="1"/>
  <c r="W2154" i="1"/>
  <c r="T2154" i="1"/>
  <c r="P2154" i="1"/>
  <c r="J2154" i="1"/>
  <c r="G2154" i="1"/>
  <c r="F2154" i="1"/>
  <c r="B2154" i="1"/>
  <c r="W2153" i="1"/>
  <c r="T2153" i="1"/>
  <c r="P2153" i="1"/>
  <c r="J2153" i="1"/>
  <c r="G2153" i="1"/>
  <c r="F2153" i="1"/>
  <c r="B2153" i="1"/>
  <c r="W2152" i="1"/>
  <c r="T2152" i="1"/>
  <c r="P2152" i="1"/>
  <c r="J2152" i="1"/>
  <c r="G2152" i="1"/>
  <c r="F2152" i="1"/>
  <c r="B2152" i="1"/>
  <c r="W2151" i="1"/>
  <c r="T2151" i="1"/>
  <c r="P2151" i="1"/>
  <c r="J2151" i="1"/>
  <c r="G2151" i="1"/>
  <c r="F2151" i="1"/>
  <c r="B2151" i="1"/>
  <c r="W2150" i="1"/>
  <c r="T2150" i="1"/>
  <c r="P2150" i="1"/>
  <c r="J2150" i="1"/>
  <c r="G2150" i="1"/>
  <c r="F2150" i="1"/>
  <c r="B2150" i="1"/>
  <c r="W2149" i="1"/>
  <c r="T2149" i="1"/>
  <c r="P2149" i="1"/>
  <c r="J2149" i="1"/>
  <c r="G2149" i="1"/>
  <c r="F2149" i="1"/>
  <c r="B2149" i="1"/>
  <c r="W2148" i="1"/>
  <c r="T2148" i="1"/>
  <c r="P2148" i="1"/>
  <c r="J2148" i="1"/>
  <c r="G2148" i="1"/>
  <c r="F2148" i="1"/>
  <c r="B2148" i="1"/>
  <c r="W2147" i="1"/>
  <c r="T2147" i="1"/>
  <c r="P2147" i="1"/>
  <c r="J2147" i="1"/>
  <c r="G2147" i="1"/>
  <c r="F2147" i="1"/>
  <c r="B2147" i="1"/>
  <c r="W2146" i="1"/>
  <c r="T2146" i="1"/>
  <c r="P2146" i="1"/>
  <c r="J2146" i="1"/>
  <c r="G2146" i="1"/>
  <c r="F2146" i="1"/>
  <c r="B2146" i="1"/>
  <c r="W2145" i="1"/>
  <c r="T2145" i="1"/>
  <c r="P2145" i="1"/>
  <c r="J2145" i="1"/>
  <c r="G2145" i="1"/>
  <c r="F2145" i="1"/>
  <c r="B2145" i="1"/>
  <c r="W2144" i="1"/>
  <c r="T2144" i="1"/>
  <c r="P2144" i="1"/>
  <c r="J2144" i="1"/>
  <c r="G2144" i="1"/>
  <c r="F2144" i="1"/>
  <c r="B2144" i="1"/>
  <c r="W2143" i="1"/>
  <c r="T2143" i="1"/>
  <c r="P2143" i="1"/>
  <c r="J2143" i="1"/>
  <c r="G2143" i="1"/>
  <c r="F2143" i="1"/>
  <c r="B2143" i="1"/>
  <c r="W2142" i="1"/>
  <c r="T2142" i="1"/>
  <c r="P2142" i="1"/>
  <c r="J2142" i="1"/>
  <c r="G2142" i="1"/>
  <c r="F2142" i="1"/>
  <c r="B2142" i="1"/>
  <c r="W2141" i="1"/>
  <c r="T2141" i="1"/>
  <c r="P2141" i="1"/>
  <c r="J2141" i="1"/>
  <c r="G2141" i="1"/>
  <c r="F2141" i="1"/>
  <c r="B2141" i="1"/>
  <c r="W2140" i="1"/>
  <c r="T2140" i="1"/>
  <c r="P2140" i="1"/>
  <c r="J2140" i="1"/>
  <c r="G2140" i="1"/>
  <c r="F2140" i="1"/>
  <c r="B2140" i="1"/>
  <c r="W2139" i="1"/>
  <c r="T2139" i="1"/>
  <c r="P2139" i="1"/>
  <c r="J2139" i="1"/>
  <c r="G2139" i="1"/>
  <c r="F2139" i="1"/>
  <c r="B2139" i="1"/>
  <c r="W2138" i="1"/>
  <c r="T2138" i="1"/>
  <c r="P2138" i="1"/>
  <c r="J2138" i="1"/>
  <c r="G2138" i="1"/>
  <c r="F2138" i="1"/>
  <c r="B2138" i="1"/>
  <c r="W2137" i="1"/>
  <c r="T2137" i="1"/>
  <c r="P2137" i="1"/>
  <c r="J2137" i="1"/>
  <c r="G2137" i="1"/>
  <c r="F2137" i="1"/>
  <c r="B2137" i="1"/>
  <c r="W2136" i="1"/>
  <c r="T2136" i="1"/>
  <c r="P2136" i="1"/>
  <c r="J2136" i="1"/>
  <c r="G2136" i="1"/>
  <c r="F2136" i="1"/>
  <c r="B2136" i="1"/>
  <c r="W2135" i="1"/>
  <c r="T2135" i="1"/>
  <c r="P2135" i="1"/>
  <c r="J2135" i="1"/>
  <c r="G2135" i="1"/>
  <c r="F2135" i="1"/>
  <c r="B2135" i="1"/>
  <c r="W2134" i="1"/>
  <c r="T2134" i="1"/>
  <c r="P2134" i="1"/>
  <c r="J2134" i="1"/>
  <c r="G2134" i="1"/>
  <c r="F2134" i="1"/>
  <c r="B2134" i="1"/>
  <c r="W2133" i="1"/>
  <c r="T2133" i="1"/>
  <c r="P2133" i="1"/>
  <c r="J2133" i="1"/>
  <c r="G2133" i="1"/>
  <c r="F2133" i="1"/>
  <c r="B2133" i="1"/>
  <c r="W2132" i="1"/>
  <c r="T2132" i="1"/>
  <c r="P2132" i="1"/>
  <c r="J2132" i="1"/>
  <c r="G2132" i="1"/>
  <c r="F2132" i="1"/>
  <c r="B2132" i="1"/>
  <c r="W2131" i="1"/>
  <c r="T2131" i="1"/>
  <c r="P2131" i="1"/>
  <c r="J2131" i="1"/>
  <c r="G2131" i="1"/>
  <c r="F2131" i="1"/>
  <c r="B2131" i="1"/>
  <c r="W2130" i="1"/>
  <c r="T2130" i="1"/>
  <c r="P2130" i="1"/>
  <c r="J2130" i="1"/>
  <c r="G2130" i="1"/>
  <c r="F2130" i="1"/>
  <c r="B2130" i="1"/>
  <c r="W2129" i="1"/>
  <c r="T2129" i="1"/>
  <c r="P2129" i="1"/>
  <c r="J2129" i="1"/>
  <c r="G2129" i="1"/>
  <c r="F2129" i="1"/>
  <c r="B2129" i="1"/>
  <c r="W2128" i="1"/>
  <c r="T2128" i="1"/>
  <c r="P2128" i="1"/>
  <c r="J2128" i="1"/>
  <c r="G2128" i="1"/>
  <c r="F2128" i="1"/>
  <c r="B2128" i="1"/>
  <c r="W2127" i="1"/>
  <c r="T2127" i="1"/>
  <c r="P2127" i="1"/>
  <c r="J2127" i="1"/>
  <c r="G2127" i="1"/>
  <c r="F2127" i="1"/>
  <c r="B2127" i="1"/>
  <c r="W2126" i="1"/>
  <c r="T2126" i="1"/>
  <c r="P2126" i="1"/>
  <c r="J2126" i="1"/>
  <c r="G2126" i="1"/>
  <c r="F2126" i="1"/>
  <c r="B2126" i="1"/>
  <c r="W2125" i="1"/>
  <c r="T2125" i="1"/>
  <c r="P2125" i="1"/>
  <c r="J2125" i="1"/>
  <c r="G2125" i="1"/>
  <c r="F2125" i="1"/>
  <c r="B2125" i="1"/>
  <c r="W2124" i="1"/>
  <c r="T2124" i="1"/>
  <c r="P2124" i="1"/>
  <c r="J2124" i="1"/>
  <c r="G2124" i="1"/>
  <c r="F2124" i="1"/>
  <c r="B2124" i="1"/>
  <c r="W2123" i="1"/>
  <c r="T2123" i="1"/>
  <c r="P2123" i="1"/>
  <c r="J2123" i="1"/>
  <c r="G2123" i="1"/>
  <c r="F2123" i="1"/>
  <c r="B2123" i="1"/>
  <c r="W2122" i="1"/>
  <c r="T2122" i="1"/>
  <c r="P2122" i="1"/>
  <c r="J2122" i="1"/>
  <c r="G2122" i="1"/>
  <c r="F2122" i="1"/>
  <c r="B2122" i="1"/>
  <c r="W2121" i="1"/>
  <c r="T2121" i="1"/>
  <c r="P2121" i="1"/>
  <c r="J2121" i="1"/>
  <c r="G2121" i="1"/>
  <c r="F2121" i="1"/>
  <c r="B2121" i="1"/>
  <c r="W2120" i="1"/>
  <c r="T2120" i="1"/>
  <c r="P2120" i="1"/>
  <c r="J2120" i="1"/>
  <c r="G2120" i="1"/>
  <c r="F2120" i="1"/>
  <c r="B2120" i="1"/>
  <c r="W2119" i="1"/>
  <c r="T2119" i="1"/>
  <c r="P2119" i="1"/>
  <c r="J2119" i="1"/>
  <c r="G2119" i="1"/>
  <c r="F2119" i="1"/>
  <c r="B2119" i="1"/>
  <c r="W2118" i="1"/>
  <c r="T2118" i="1"/>
  <c r="P2118" i="1"/>
  <c r="J2118" i="1"/>
  <c r="G2118" i="1"/>
  <c r="F2118" i="1"/>
  <c r="B2118" i="1"/>
  <c r="W2117" i="1"/>
  <c r="T2117" i="1"/>
  <c r="P2117" i="1"/>
  <c r="J2117" i="1"/>
  <c r="G2117" i="1"/>
  <c r="F2117" i="1"/>
  <c r="B2117" i="1"/>
  <c r="W2116" i="1"/>
  <c r="T2116" i="1"/>
  <c r="P2116" i="1"/>
  <c r="J2116" i="1"/>
  <c r="G2116" i="1"/>
  <c r="F2116" i="1"/>
  <c r="B2116" i="1"/>
  <c r="W2115" i="1"/>
  <c r="T2115" i="1"/>
  <c r="P2115" i="1"/>
  <c r="J2115" i="1"/>
  <c r="G2115" i="1"/>
  <c r="F2115" i="1"/>
  <c r="B2115" i="1"/>
  <c r="W2114" i="1"/>
  <c r="T2114" i="1"/>
  <c r="P2114" i="1"/>
  <c r="J2114" i="1"/>
  <c r="G2114" i="1"/>
  <c r="F2114" i="1"/>
  <c r="B2114" i="1"/>
  <c r="W2113" i="1"/>
  <c r="T2113" i="1"/>
  <c r="P2113" i="1"/>
  <c r="J2113" i="1"/>
  <c r="G2113" i="1"/>
  <c r="F2113" i="1"/>
  <c r="B2113" i="1"/>
  <c r="W2112" i="1"/>
  <c r="T2112" i="1"/>
  <c r="P2112" i="1"/>
  <c r="J2112" i="1"/>
  <c r="G2112" i="1"/>
  <c r="F2112" i="1"/>
  <c r="B2112" i="1"/>
  <c r="W2111" i="1"/>
  <c r="T2111" i="1"/>
  <c r="P2111" i="1"/>
  <c r="J2111" i="1"/>
  <c r="G2111" i="1"/>
  <c r="F2111" i="1"/>
  <c r="B2111" i="1"/>
  <c r="W2110" i="1"/>
  <c r="T2110" i="1"/>
  <c r="P2110" i="1"/>
  <c r="J2110" i="1"/>
  <c r="G2110" i="1"/>
  <c r="F2110" i="1"/>
  <c r="B2110" i="1"/>
  <c r="W2109" i="1"/>
  <c r="T2109" i="1"/>
  <c r="P2109" i="1"/>
  <c r="J2109" i="1"/>
  <c r="G2109" i="1"/>
  <c r="F2109" i="1"/>
  <c r="B2109" i="1"/>
  <c r="W2108" i="1"/>
  <c r="T2108" i="1"/>
  <c r="P2108" i="1"/>
  <c r="J2108" i="1"/>
  <c r="G2108" i="1"/>
  <c r="F2108" i="1"/>
  <c r="B2108" i="1"/>
  <c r="W2107" i="1"/>
  <c r="T2107" i="1"/>
  <c r="P2107" i="1"/>
  <c r="J2107" i="1"/>
  <c r="G2107" i="1"/>
  <c r="F2107" i="1"/>
  <c r="B2107" i="1"/>
  <c r="W2106" i="1"/>
  <c r="T2106" i="1"/>
  <c r="P2106" i="1"/>
  <c r="J2106" i="1"/>
  <c r="G2106" i="1"/>
  <c r="F2106" i="1"/>
  <c r="B2106" i="1"/>
  <c r="W2105" i="1"/>
  <c r="T2105" i="1"/>
  <c r="P2105" i="1"/>
  <c r="J2105" i="1"/>
  <c r="G2105" i="1"/>
  <c r="F2105" i="1"/>
  <c r="B2105" i="1"/>
  <c r="W2104" i="1"/>
  <c r="T2104" i="1"/>
  <c r="P2104" i="1"/>
  <c r="J2104" i="1"/>
  <c r="G2104" i="1"/>
  <c r="F2104" i="1"/>
  <c r="B2104" i="1"/>
  <c r="W2103" i="1"/>
  <c r="T2103" i="1"/>
  <c r="P2103" i="1"/>
  <c r="J2103" i="1"/>
  <c r="G2103" i="1"/>
  <c r="F2103" i="1"/>
  <c r="B2103" i="1"/>
  <c r="W2102" i="1"/>
  <c r="T2102" i="1"/>
  <c r="P2102" i="1"/>
  <c r="J2102" i="1"/>
  <c r="G2102" i="1"/>
  <c r="F2102" i="1"/>
  <c r="B2102" i="1"/>
  <c r="W2101" i="1"/>
  <c r="T2101" i="1"/>
  <c r="P2101" i="1"/>
  <c r="J2101" i="1"/>
  <c r="G2101" i="1"/>
  <c r="F2101" i="1"/>
  <c r="B2101" i="1"/>
  <c r="W2100" i="1"/>
  <c r="T2100" i="1"/>
  <c r="P2100" i="1"/>
  <c r="J2100" i="1"/>
  <c r="G2100" i="1"/>
  <c r="F2100" i="1"/>
  <c r="B2100" i="1"/>
  <c r="W2099" i="1"/>
  <c r="T2099" i="1"/>
  <c r="P2099" i="1"/>
  <c r="J2099" i="1"/>
  <c r="G2099" i="1"/>
  <c r="F2099" i="1"/>
  <c r="B2099" i="1"/>
  <c r="W2098" i="1"/>
  <c r="T2098" i="1"/>
  <c r="P2098" i="1"/>
  <c r="J2098" i="1"/>
  <c r="G2098" i="1"/>
  <c r="F2098" i="1"/>
  <c r="B2098" i="1"/>
  <c r="W2097" i="1"/>
  <c r="T2097" i="1"/>
  <c r="P2097" i="1"/>
  <c r="J2097" i="1"/>
  <c r="G2097" i="1"/>
  <c r="F2097" i="1"/>
  <c r="B2097" i="1"/>
  <c r="W2096" i="1"/>
  <c r="T2096" i="1"/>
  <c r="P2096" i="1"/>
  <c r="J2096" i="1"/>
  <c r="G2096" i="1"/>
  <c r="F2096" i="1"/>
  <c r="B2096" i="1"/>
  <c r="W2095" i="1"/>
  <c r="T2095" i="1"/>
  <c r="P2095" i="1"/>
  <c r="J2095" i="1"/>
  <c r="G2095" i="1"/>
  <c r="F2095" i="1"/>
  <c r="B2095" i="1"/>
  <c r="W2094" i="1"/>
  <c r="T2094" i="1"/>
  <c r="P2094" i="1"/>
  <c r="J2094" i="1"/>
  <c r="G2094" i="1"/>
  <c r="F2094" i="1"/>
  <c r="B2094" i="1"/>
  <c r="W2093" i="1"/>
  <c r="T2093" i="1"/>
  <c r="P2093" i="1"/>
  <c r="J2093" i="1"/>
  <c r="G2093" i="1"/>
  <c r="F2093" i="1"/>
  <c r="B2093" i="1"/>
  <c r="W2092" i="1"/>
  <c r="T2092" i="1"/>
  <c r="P2092" i="1"/>
  <c r="J2092" i="1"/>
  <c r="G2092" i="1"/>
  <c r="F2092" i="1"/>
  <c r="B2092" i="1"/>
  <c r="W2091" i="1"/>
  <c r="T2091" i="1"/>
  <c r="P2091" i="1"/>
  <c r="J2091" i="1"/>
  <c r="G2091" i="1"/>
  <c r="F2091" i="1"/>
  <c r="B2091" i="1"/>
  <c r="W2090" i="1"/>
  <c r="T2090" i="1"/>
  <c r="P2090" i="1"/>
  <c r="J2090" i="1"/>
  <c r="G2090" i="1"/>
  <c r="F2090" i="1"/>
  <c r="B2090" i="1"/>
  <c r="W2089" i="1"/>
  <c r="T2089" i="1"/>
  <c r="P2089" i="1"/>
  <c r="J2089" i="1"/>
  <c r="G2089" i="1"/>
  <c r="F2089" i="1"/>
  <c r="B2089" i="1"/>
  <c r="W2088" i="1"/>
  <c r="T2088" i="1"/>
  <c r="P2088" i="1"/>
  <c r="J2088" i="1"/>
  <c r="G2088" i="1"/>
  <c r="F2088" i="1"/>
  <c r="B2088" i="1"/>
  <c r="W2087" i="1"/>
  <c r="T2087" i="1"/>
  <c r="P2087" i="1"/>
  <c r="J2087" i="1"/>
  <c r="G2087" i="1"/>
  <c r="F2087" i="1"/>
  <c r="B2087" i="1"/>
  <c r="W2086" i="1"/>
  <c r="T2086" i="1"/>
  <c r="P2086" i="1"/>
  <c r="J2086" i="1"/>
  <c r="G2086" i="1"/>
  <c r="F2086" i="1"/>
  <c r="B2086" i="1"/>
  <c r="W2085" i="1"/>
  <c r="T2085" i="1"/>
  <c r="P2085" i="1"/>
  <c r="J2085" i="1"/>
  <c r="G2085" i="1"/>
  <c r="F2085" i="1"/>
  <c r="B2085" i="1"/>
  <c r="W2084" i="1"/>
  <c r="T2084" i="1"/>
  <c r="P2084" i="1"/>
  <c r="J2084" i="1"/>
  <c r="G2084" i="1"/>
  <c r="F2084" i="1"/>
  <c r="B2084" i="1"/>
  <c r="W2083" i="1"/>
  <c r="T2083" i="1"/>
  <c r="P2083" i="1"/>
  <c r="J2083" i="1"/>
  <c r="G2083" i="1"/>
  <c r="F2083" i="1"/>
  <c r="B2083" i="1"/>
  <c r="W2082" i="1"/>
  <c r="T2082" i="1"/>
  <c r="P2082" i="1"/>
  <c r="J2082" i="1"/>
  <c r="G2082" i="1"/>
  <c r="F2082" i="1"/>
  <c r="B2082" i="1"/>
  <c r="W2081" i="1"/>
  <c r="T2081" i="1"/>
  <c r="P2081" i="1"/>
  <c r="J2081" i="1"/>
  <c r="G2081" i="1"/>
  <c r="F2081" i="1"/>
  <c r="B2081" i="1"/>
  <c r="W2080" i="1"/>
  <c r="T2080" i="1"/>
  <c r="P2080" i="1"/>
  <c r="J2080" i="1"/>
  <c r="G2080" i="1"/>
  <c r="F2080" i="1"/>
  <c r="B2080" i="1"/>
  <c r="W2079" i="1"/>
  <c r="T2079" i="1"/>
  <c r="P2079" i="1"/>
  <c r="J2079" i="1"/>
  <c r="G2079" i="1"/>
  <c r="F2079" i="1"/>
  <c r="B2079" i="1"/>
  <c r="W2078" i="1"/>
  <c r="T2078" i="1"/>
  <c r="P2078" i="1"/>
  <c r="J2078" i="1"/>
  <c r="G2078" i="1"/>
  <c r="F2078" i="1"/>
  <c r="B2078" i="1"/>
  <c r="W2077" i="1"/>
  <c r="T2077" i="1"/>
  <c r="P2077" i="1"/>
  <c r="J2077" i="1"/>
  <c r="G2077" i="1"/>
  <c r="F2077" i="1"/>
  <c r="B2077" i="1"/>
  <c r="W2076" i="1"/>
  <c r="T2076" i="1"/>
  <c r="P2076" i="1"/>
  <c r="J2076" i="1"/>
  <c r="G2076" i="1"/>
  <c r="F2076" i="1"/>
  <c r="B2076" i="1"/>
  <c r="W2075" i="1"/>
  <c r="T2075" i="1"/>
  <c r="P2075" i="1"/>
  <c r="J2075" i="1"/>
  <c r="G2075" i="1"/>
  <c r="F2075" i="1"/>
  <c r="B2075" i="1"/>
  <c r="W2074" i="1"/>
  <c r="T2074" i="1"/>
  <c r="P2074" i="1"/>
  <c r="J2074" i="1"/>
  <c r="G2074" i="1"/>
  <c r="F2074" i="1"/>
  <c r="B2074" i="1"/>
  <c r="W2073" i="1"/>
  <c r="T2073" i="1"/>
  <c r="P2073" i="1"/>
  <c r="J2073" i="1"/>
  <c r="G2073" i="1"/>
  <c r="F2073" i="1"/>
  <c r="B2073" i="1"/>
  <c r="W2072" i="1"/>
  <c r="T2072" i="1"/>
  <c r="P2072" i="1"/>
  <c r="J2072" i="1"/>
  <c r="G2072" i="1"/>
  <c r="F2072" i="1"/>
  <c r="B2072" i="1"/>
  <c r="W2071" i="1"/>
  <c r="T2071" i="1"/>
  <c r="P2071" i="1"/>
  <c r="J2071" i="1"/>
  <c r="G2071" i="1"/>
  <c r="F2071" i="1"/>
  <c r="B2071" i="1"/>
  <c r="W2070" i="1"/>
  <c r="T2070" i="1"/>
  <c r="P2070" i="1"/>
  <c r="J2070" i="1"/>
  <c r="G2070" i="1"/>
  <c r="F2070" i="1"/>
  <c r="B2070" i="1"/>
  <c r="W2069" i="1"/>
  <c r="T2069" i="1"/>
  <c r="P2069" i="1"/>
  <c r="J2069" i="1"/>
  <c r="G2069" i="1"/>
  <c r="F2069" i="1"/>
  <c r="B2069" i="1"/>
  <c r="W2068" i="1"/>
  <c r="T2068" i="1"/>
  <c r="P2068" i="1"/>
  <c r="J2068" i="1"/>
  <c r="G2068" i="1"/>
  <c r="F2068" i="1"/>
  <c r="B2068" i="1"/>
  <c r="W2067" i="1"/>
  <c r="T2067" i="1"/>
  <c r="P2067" i="1"/>
  <c r="J2067" i="1"/>
  <c r="G2067" i="1"/>
  <c r="F2067" i="1"/>
  <c r="B2067" i="1"/>
  <c r="W2066" i="1"/>
  <c r="T2066" i="1"/>
  <c r="P2066" i="1"/>
  <c r="J2066" i="1"/>
  <c r="G2066" i="1"/>
  <c r="F2066" i="1"/>
  <c r="B2066" i="1"/>
  <c r="W2065" i="1"/>
  <c r="T2065" i="1"/>
  <c r="P2065" i="1"/>
  <c r="J2065" i="1"/>
  <c r="G2065" i="1"/>
  <c r="F2065" i="1"/>
  <c r="B2065" i="1"/>
  <c r="W2064" i="1"/>
  <c r="T2064" i="1"/>
  <c r="P2064" i="1"/>
  <c r="J2064" i="1"/>
  <c r="G2064" i="1"/>
  <c r="F2064" i="1"/>
  <c r="B2064" i="1"/>
  <c r="W2063" i="1"/>
  <c r="T2063" i="1"/>
  <c r="P2063" i="1"/>
  <c r="J2063" i="1"/>
  <c r="G2063" i="1"/>
  <c r="F2063" i="1"/>
  <c r="B2063" i="1"/>
  <c r="W2062" i="1"/>
  <c r="T2062" i="1"/>
  <c r="P2062" i="1"/>
  <c r="J2062" i="1"/>
  <c r="G2062" i="1"/>
  <c r="F2062" i="1"/>
  <c r="B2062" i="1"/>
  <c r="W2061" i="1"/>
  <c r="T2061" i="1"/>
  <c r="P2061" i="1"/>
  <c r="J2061" i="1"/>
  <c r="G2061" i="1"/>
  <c r="F2061" i="1"/>
  <c r="B2061" i="1"/>
  <c r="W2060" i="1"/>
  <c r="T2060" i="1"/>
  <c r="P2060" i="1"/>
  <c r="J2060" i="1"/>
  <c r="G2060" i="1"/>
  <c r="F2060" i="1"/>
  <c r="B2060" i="1"/>
  <c r="W2059" i="1"/>
  <c r="T2059" i="1"/>
  <c r="P2059" i="1"/>
  <c r="J2059" i="1"/>
  <c r="G2059" i="1"/>
  <c r="F2059" i="1"/>
  <c r="B2059" i="1"/>
  <c r="W2058" i="1"/>
  <c r="T2058" i="1"/>
  <c r="P2058" i="1"/>
  <c r="J2058" i="1"/>
  <c r="G2058" i="1"/>
  <c r="F2058" i="1"/>
  <c r="B2058" i="1"/>
  <c r="W2057" i="1"/>
  <c r="T2057" i="1"/>
  <c r="P2057" i="1"/>
  <c r="J2057" i="1"/>
  <c r="G2057" i="1"/>
  <c r="F2057" i="1"/>
  <c r="B2057" i="1"/>
  <c r="W2056" i="1"/>
  <c r="T2056" i="1"/>
  <c r="P2056" i="1"/>
  <c r="J2056" i="1"/>
  <c r="G2056" i="1"/>
  <c r="F2056" i="1"/>
  <c r="B2056" i="1"/>
  <c r="W2055" i="1"/>
  <c r="T2055" i="1"/>
  <c r="P2055" i="1"/>
  <c r="J2055" i="1"/>
  <c r="G2055" i="1"/>
  <c r="F2055" i="1"/>
  <c r="B2055" i="1"/>
  <c r="W2054" i="1"/>
  <c r="T2054" i="1"/>
  <c r="P2054" i="1"/>
  <c r="J2054" i="1"/>
  <c r="G2054" i="1"/>
  <c r="F2054" i="1"/>
  <c r="B2054" i="1"/>
  <c r="W2053" i="1"/>
  <c r="T2053" i="1"/>
  <c r="P2053" i="1"/>
  <c r="J2053" i="1"/>
  <c r="G2053" i="1"/>
  <c r="F2053" i="1"/>
  <c r="B2053" i="1"/>
  <c r="W2052" i="1"/>
  <c r="T2052" i="1"/>
  <c r="P2052" i="1"/>
  <c r="J2052" i="1"/>
  <c r="G2052" i="1"/>
  <c r="F2052" i="1"/>
  <c r="B2052" i="1"/>
  <c r="W2051" i="1"/>
  <c r="T2051" i="1"/>
  <c r="P2051" i="1"/>
  <c r="J2051" i="1"/>
  <c r="G2051" i="1"/>
  <c r="F2051" i="1"/>
  <c r="B2051" i="1"/>
  <c r="W2050" i="1"/>
  <c r="T2050" i="1"/>
  <c r="P2050" i="1"/>
  <c r="J2050" i="1"/>
  <c r="G2050" i="1"/>
  <c r="F2050" i="1"/>
  <c r="B2050" i="1"/>
  <c r="W2049" i="1"/>
  <c r="T2049" i="1"/>
  <c r="P2049" i="1"/>
  <c r="J2049" i="1"/>
  <c r="G2049" i="1"/>
  <c r="F2049" i="1"/>
  <c r="B2049" i="1"/>
  <c r="W2048" i="1"/>
  <c r="T2048" i="1"/>
  <c r="P2048" i="1"/>
  <c r="J2048" i="1"/>
  <c r="G2048" i="1"/>
  <c r="F2048" i="1"/>
  <c r="B2048" i="1"/>
  <c r="W2047" i="1"/>
  <c r="T2047" i="1"/>
  <c r="P2047" i="1"/>
  <c r="J2047" i="1"/>
  <c r="G2047" i="1"/>
  <c r="F2047" i="1"/>
  <c r="B2047" i="1"/>
  <c r="W2046" i="1"/>
  <c r="T2046" i="1"/>
  <c r="P2046" i="1"/>
  <c r="J2046" i="1"/>
  <c r="G2046" i="1"/>
  <c r="F2046" i="1"/>
  <c r="B2046" i="1"/>
  <c r="W2045" i="1"/>
  <c r="T2045" i="1"/>
  <c r="P2045" i="1"/>
  <c r="J2045" i="1"/>
  <c r="G2045" i="1"/>
  <c r="F2045" i="1"/>
  <c r="B2045" i="1"/>
  <c r="W2044" i="1"/>
  <c r="T2044" i="1"/>
  <c r="P2044" i="1"/>
  <c r="J2044" i="1"/>
  <c r="G2044" i="1"/>
  <c r="F2044" i="1"/>
  <c r="B2044" i="1"/>
  <c r="W2043" i="1"/>
  <c r="T2043" i="1"/>
  <c r="P2043" i="1"/>
  <c r="J2043" i="1"/>
  <c r="G2043" i="1"/>
  <c r="F2043" i="1"/>
  <c r="B2043" i="1"/>
  <c r="W2042" i="1"/>
  <c r="T2042" i="1"/>
  <c r="P2042" i="1"/>
  <c r="J2042" i="1"/>
  <c r="G2042" i="1"/>
  <c r="F2042" i="1"/>
  <c r="B2042" i="1"/>
  <c r="W2041" i="1"/>
  <c r="T2041" i="1"/>
  <c r="P2041" i="1"/>
  <c r="J2041" i="1"/>
  <c r="G2041" i="1"/>
  <c r="F2041" i="1"/>
  <c r="B2041" i="1"/>
  <c r="W2040" i="1"/>
  <c r="T2040" i="1"/>
  <c r="P2040" i="1"/>
  <c r="J2040" i="1"/>
  <c r="G2040" i="1"/>
  <c r="F2040" i="1"/>
  <c r="B2040" i="1"/>
  <c r="W2039" i="1"/>
  <c r="T2039" i="1"/>
  <c r="P2039" i="1"/>
  <c r="J2039" i="1"/>
  <c r="G2039" i="1"/>
  <c r="F2039" i="1"/>
  <c r="B2039" i="1"/>
  <c r="W2038" i="1"/>
  <c r="T2038" i="1"/>
  <c r="P2038" i="1"/>
  <c r="J2038" i="1"/>
  <c r="G2038" i="1"/>
  <c r="F2038" i="1"/>
  <c r="B2038" i="1"/>
  <c r="W2037" i="1"/>
  <c r="T2037" i="1"/>
  <c r="P2037" i="1"/>
  <c r="J2037" i="1"/>
  <c r="G2037" i="1"/>
  <c r="F2037" i="1"/>
  <c r="B2037" i="1"/>
  <c r="W2036" i="1"/>
  <c r="T2036" i="1"/>
  <c r="P2036" i="1"/>
  <c r="J2036" i="1"/>
  <c r="G2036" i="1"/>
  <c r="F2036" i="1"/>
  <c r="B2036" i="1"/>
  <c r="W2035" i="1"/>
  <c r="T2035" i="1"/>
  <c r="P2035" i="1"/>
  <c r="J2035" i="1"/>
  <c r="G2035" i="1"/>
  <c r="F2035" i="1"/>
  <c r="B2035" i="1"/>
  <c r="W2034" i="1"/>
  <c r="T2034" i="1"/>
  <c r="P2034" i="1"/>
  <c r="J2034" i="1"/>
  <c r="G2034" i="1"/>
  <c r="F2034" i="1"/>
  <c r="B2034" i="1"/>
  <c r="W2033" i="1"/>
  <c r="T2033" i="1"/>
  <c r="P2033" i="1"/>
  <c r="J2033" i="1"/>
  <c r="G2033" i="1"/>
  <c r="F2033" i="1"/>
  <c r="B2033" i="1"/>
  <c r="W2032" i="1"/>
  <c r="T2032" i="1"/>
  <c r="P2032" i="1"/>
  <c r="J2032" i="1"/>
  <c r="G2032" i="1"/>
  <c r="F2032" i="1"/>
  <c r="B2032" i="1"/>
  <c r="W2031" i="1"/>
  <c r="T2031" i="1"/>
  <c r="P2031" i="1"/>
  <c r="J2031" i="1"/>
  <c r="G2031" i="1"/>
  <c r="F2031" i="1"/>
  <c r="B2031" i="1"/>
  <c r="W2030" i="1"/>
  <c r="T2030" i="1"/>
  <c r="P2030" i="1"/>
  <c r="J2030" i="1"/>
  <c r="G2030" i="1"/>
  <c r="F2030" i="1"/>
  <c r="B2030" i="1"/>
  <c r="W2029" i="1"/>
  <c r="T2029" i="1"/>
  <c r="P2029" i="1"/>
  <c r="J2029" i="1"/>
  <c r="G2029" i="1"/>
  <c r="F2029" i="1"/>
  <c r="B2029" i="1"/>
  <c r="W2028" i="1"/>
  <c r="T2028" i="1"/>
  <c r="P2028" i="1"/>
  <c r="J2028" i="1"/>
  <c r="G2028" i="1"/>
  <c r="F2028" i="1"/>
  <c r="B2028" i="1"/>
  <c r="W2027" i="1"/>
  <c r="T2027" i="1"/>
  <c r="P2027" i="1"/>
  <c r="J2027" i="1"/>
  <c r="G2027" i="1"/>
  <c r="F2027" i="1"/>
  <c r="B2027" i="1"/>
  <c r="W2026" i="1"/>
  <c r="T2026" i="1"/>
  <c r="P2026" i="1"/>
  <c r="J2026" i="1"/>
  <c r="G2026" i="1"/>
  <c r="F2026" i="1"/>
  <c r="B2026" i="1"/>
  <c r="W2025" i="1"/>
  <c r="T2025" i="1"/>
  <c r="P2025" i="1"/>
  <c r="J2025" i="1"/>
  <c r="G2025" i="1"/>
  <c r="F2025" i="1"/>
  <c r="B2025" i="1"/>
  <c r="W2024" i="1"/>
  <c r="T2024" i="1"/>
  <c r="P2024" i="1"/>
  <c r="J2024" i="1"/>
  <c r="G2024" i="1"/>
  <c r="F2024" i="1"/>
  <c r="B2024" i="1"/>
  <c r="W2023" i="1"/>
  <c r="T2023" i="1"/>
  <c r="P2023" i="1"/>
  <c r="J2023" i="1"/>
  <c r="G2023" i="1"/>
  <c r="F2023" i="1"/>
  <c r="B2023" i="1"/>
  <c r="W2022" i="1"/>
  <c r="T2022" i="1"/>
  <c r="P2022" i="1"/>
  <c r="J2022" i="1"/>
  <c r="G2022" i="1"/>
  <c r="F2022" i="1"/>
  <c r="B2022" i="1"/>
  <c r="W2021" i="1"/>
  <c r="T2021" i="1"/>
  <c r="P2021" i="1"/>
  <c r="J2021" i="1"/>
  <c r="G2021" i="1"/>
  <c r="F2021" i="1"/>
  <c r="B2021" i="1"/>
  <c r="W2020" i="1"/>
  <c r="T2020" i="1"/>
  <c r="P2020" i="1"/>
  <c r="J2020" i="1"/>
  <c r="G2020" i="1"/>
  <c r="F2020" i="1"/>
  <c r="B2020" i="1"/>
  <c r="W2019" i="1"/>
  <c r="T2019" i="1"/>
  <c r="P2019" i="1"/>
  <c r="J2019" i="1"/>
  <c r="G2019" i="1"/>
  <c r="F2019" i="1"/>
  <c r="B2019" i="1"/>
  <c r="W2018" i="1"/>
  <c r="T2018" i="1"/>
  <c r="P2018" i="1"/>
  <c r="J2018" i="1"/>
  <c r="G2018" i="1"/>
  <c r="F2018" i="1"/>
  <c r="B2018" i="1"/>
  <c r="W2017" i="1"/>
  <c r="T2017" i="1"/>
  <c r="P2017" i="1"/>
  <c r="J2017" i="1"/>
  <c r="G2017" i="1"/>
  <c r="F2017" i="1"/>
  <c r="B2017" i="1"/>
  <c r="W2016" i="1"/>
  <c r="T2016" i="1"/>
  <c r="P2016" i="1"/>
  <c r="J2016" i="1"/>
  <c r="G2016" i="1"/>
  <c r="F2016" i="1"/>
  <c r="B2016" i="1"/>
  <c r="W2015" i="1"/>
  <c r="T2015" i="1"/>
  <c r="P2015" i="1"/>
  <c r="J2015" i="1"/>
  <c r="G2015" i="1"/>
  <c r="F2015" i="1"/>
  <c r="B2015" i="1"/>
  <c r="W2014" i="1"/>
  <c r="T2014" i="1"/>
  <c r="P2014" i="1"/>
  <c r="J2014" i="1"/>
  <c r="G2014" i="1"/>
  <c r="F2014" i="1"/>
  <c r="B2014" i="1"/>
  <c r="W2013" i="1"/>
  <c r="T2013" i="1"/>
  <c r="P2013" i="1"/>
  <c r="J2013" i="1"/>
  <c r="G2013" i="1"/>
  <c r="F2013" i="1"/>
  <c r="B2013" i="1"/>
  <c r="W2012" i="1"/>
  <c r="T2012" i="1"/>
  <c r="P2012" i="1"/>
  <c r="J2012" i="1"/>
  <c r="G2012" i="1"/>
  <c r="F2012" i="1"/>
  <c r="B2012" i="1"/>
  <c r="W2011" i="1"/>
  <c r="T2011" i="1"/>
  <c r="P2011" i="1"/>
  <c r="J2011" i="1"/>
  <c r="G2011" i="1"/>
  <c r="F2011" i="1"/>
  <c r="B2011" i="1"/>
  <c r="W2010" i="1"/>
  <c r="T2010" i="1"/>
  <c r="P2010" i="1"/>
  <c r="J2010" i="1"/>
  <c r="G2010" i="1"/>
  <c r="F2010" i="1"/>
  <c r="B2010" i="1"/>
  <c r="W2009" i="1"/>
  <c r="T2009" i="1"/>
  <c r="P2009" i="1"/>
  <c r="J2009" i="1"/>
  <c r="G2009" i="1"/>
  <c r="F2009" i="1"/>
  <c r="B2009" i="1"/>
  <c r="W2008" i="1"/>
  <c r="T2008" i="1"/>
  <c r="P2008" i="1"/>
  <c r="J2008" i="1"/>
  <c r="G2008" i="1"/>
  <c r="F2008" i="1"/>
  <c r="B2008" i="1"/>
  <c r="W2007" i="1"/>
  <c r="T2007" i="1"/>
  <c r="P2007" i="1"/>
  <c r="J2007" i="1"/>
  <c r="G2007" i="1"/>
  <c r="F2007" i="1"/>
  <c r="B2007" i="1"/>
  <c r="W2006" i="1"/>
  <c r="T2006" i="1"/>
  <c r="P2006" i="1"/>
  <c r="J2006" i="1"/>
  <c r="G2006" i="1"/>
  <c r="F2006" i="1"/>
  <c r="B2006" i="1"/>
  <c r="W2005" i="1"/>
  <c r="T2005" i="1"/>
  <c r="P2005" i="1"/>
  <c r="J2005" i="1"/>
  <c r="G2005" i="1"/>
  <c r="F2005" i="1"/>
  <c r="B2005" i="1"/>
  <c r="W2004" i="1"/>
  <c r="T2004" i="1"/>
  <c r="P2004" i="1"/>
  <c r="J2004" i="1"/>
  <c r="G2004" i="1"/>
  <c r="F2004" i="1"/>
  <c r="B2004" i="1"/>
  <c r="W2003" i="1"/>
  <c r="T2003" i="1"/>
  <c r="P2003" i="1"/>
  <c r="J2003" i="1"/>
  <c r="G2003" i="1"/>
  <c r="F2003" i="1"/>
  <c r="B2003" i="1"/>
  <c r="W2002" i="1"/>
  <c r="T2002" i="1"/>
  <c r="P2002" i="1"/>
  <c r="J2002" i="1"/>
  <c r="G2002" i="1"/>
  <c r="F2002" i="1"/>
  <c r="B2002" i="1"/>
  <c r="W2001" i="1"/>
  <c r="T2001" i="1"/>
  <c r="P2001" i="1"/>
  <c r="J2001" i="1"/>
  <c r="G2001" i="1"/>
  <c r="F2001" i="1"/>
  <c r="B2001" i="1"/>
  <c r="W2000" i="1"/>
  <c r="T2000" i="1"/>
  <c r="P2000" i="1"/>
  <c r="J2000" i="1"/>
  <c r="G2000" i="1"/>
  <c r="F2000" i="1"/>
  <c r="B2000" i="1"/>
  <c r="W1999" i="1"/>
  <c r="T1999" i="1"/>
  <c r="P1999" i="1"/>
  <c r="J1999" i="1"/>
  <c r="G1999" i="1"/>
  <c r="F1999" i="1"/>
  <c r="B1999" i="1"/>
  <c r="W1998" i="1"/>
  <c r="T1998" i="1"/>
  <c r="P1998" i="1"/>
  <c r="J1998" i="1"/>
  <c r="G1998" i="1"/>
  <c r="F1998" i="1"/>
  <c r="B1998" i="1"/>
  <c r="W1997" i="1"/>
  <c r="T1997" i="1"/>
  <c r="P1997" i="1"/>
  <c r="J1997" i="1"/>
  <c r="G1997" i="1"/>
  <c r="F1997" i="1"/>
  <c r="B1997" i="1"/>
  <c r="W1996" i="1"/>
  <c r="T1996" i="1"/>
  <c r="P1996" i="1"/>
  <c r="J1996" i="1"/>
  <c r="G1996" i="1"/>
  <c r="F1996" i="1"/>
  <c r="B1996" i="1"/>
  <c r="W1995" i="1"/>
  <c r="T1995" i="1"/>
  <c r="P1995" i="1"/>
  <c r="J1995" i="1"/>
  <c r="G1995" i="1"/>
  <c r="F1995" i="1"/>
  <c r="B1995" i="1"/>
  <c r="W1994" i="1"/>
  <c r="T1994" i="1"/>
  <c r="P1994" i="1"/>
  <c r="J1994" i="1"/>
  <c r="G1994" i="1"/>
  <c r="F1994" i="1"/>
  <c r="B1994" i="1"/>
  <c r="W1993" i="1"/>
  <c r="T1993" i="1"/>
  <c r="P1993" i="1"/>
  <c r="J1993" i="1"/>
  <c r="G1993" i="1"/>
  <c r="F1993" i="1"/>
  <c r="B1993" i="1"/>
  <c r="W1992" i="1"/>
  <c r="T1992" i="1"/>
  <c r="P1992" i="1"/>
  <c r="J1992" i="1"/>
  <c r="G1992" i="1"/>
  <c r="F1992" i="1"/>
  <c r="B1992" i="1"/>
  <c r="W1991" i="1"/>
  <c r="T1991" i="1"/>
  <c r="P1991" i="1"/>
  <c r="J1991" i="1"/>
  <c r="G1991" i="1"/>
  <c r="F1991" i="1"/>
  <c r="B1991" i="1"/>
  <c r="W1990" i="1"/>
  <c r="T1990" i="1"/>
  <c r="P1990" i="1"/>
  <c r="J1990" i="1"/>
  <c r="G1990" i="1"/>
  <c r="F1990" i="1"/>
  <c r="B1990" i="1"/>
  <c r="W1989" i="1"/>
  <c r="T1989" i="1"/>
  <c r="P1989" i="1"/>
  <c r="J1989" i="1"/>
  <c r="G1989" i="1"/>
  <c r="F1989" i="1"/>
  <c r="B1989" i="1"/>
  <c r="W1988" i="1"/>
  <c r="T1988" i="1"/>
  <c r="P1988" i="1"/>
  <c r="J1988" i="1"/>
  <c r="G1988" i="1"/>
  <c r="F1988" i="1"/>
  <c r="B1988" i="1"/>
  <c r="W1987" i="1"/>
  <c r="T1987" i="1"/>
  <c r="P1987" i="1"/>
  <c r="J1987" i="1"/>
  <c r="G1987" i="1"/>
  <c r="F1987" i="1"/>
  <c r="B1987" i="1"/>
  <c r="W1986" i="1"/>
  <c r="T1986" i="1"/>
  <c r="P1986" i="1"/>
  <c r="J1986" i="1"/>
  <c r="G1986" i="1"/>
  <c r="F1986" i="1"/>
  <c r="B1986" i="1"/>
  <c r="W1985" i="1"/>
  <c r="T1985" i="1"/>
  <c r="P1985" i="1"/>
  <c r="J1985" i="1"/>
  <c r="G1985" i="1"/>
  <c r="F1985" i="1"/>
  <c r="B1985" i="1"/>
  <c r="W1984" i="1"/>
  <c r="T1984" i="1"/>
  <c r="P1984" i="1"/>
  <c r="J1984" i="1"/>
  <c r="G1984" i="1"/>
  <c r="F1984" i="1"/>
  <c r="B1984" i="1"/>
  <c r="W1983" i="1"/>
  <c r="T1983" i="1"/>
  <c r="P1983" i="1"/>
  <c r="J1983" i="1"/>
  <c r="G1983" i="1"/>
  <c r="F1983" i="1"/>
  <c r="B1983" i="1"/>
  <c r="W1982" i="1"/>
  <c r="T1982" i="1"/>
  <c r="P1982" i="1"/>
  <c r="J1982" i="1"/>
  <c r="G1982" i="1"/>
  <c r="F1982" i="1"/>
  <c r="B1982" i="1"/>
  <c r="W1981" i="1"/>
  <c r="T1981" i="1"/>
  <c r="P1981" i="1"/>
  <c r="J1981" i="1"/>
  <c r="G1981" i="1"/>
  <c r="F1981" i="1"/>
  <c r="B1981" i="1"/>
  <c r="W1980" i="1"/>
  <c r="T1980" i="1"/>
  <c r="P1980" i="1"/>
  <c r="J1980" i="1"/>
  <c r="G1980" i="1"/>
  <c r="F1980" i="1"/>
  <c r="B1980" i="1"/>
  <c r="W1979" i="1"/>
  <c r="T1979" i="1"/>
  <c r="P1979" i="1"/>
  <c r="J1979" i="1"/>
  <c r="G1979" i="1"/>
  <c r="F1979" i="1"/>
  <c r="B1979" i="1"/>
  <c r="W1978" i="1"/>
  <c r="T1978" i="1"/>
  <c r="P1978" i="1"/>
  <c r="J1978" i="1"/>
  <c r="G1978" i="1"/>
  <c r="F1978" i="1"/>
  <c r="B1978" i="1"/>
  <c r="W1977" i="1"/>
  <c r="T1977" i="1"/>
  <c r="P1977" i="1"/>
  <c r="J1977" i="1"/>
  <c r="G1977" i="1"/>
  <c r="F1977" i="1"/>
  <c r="B1977" i="1"/>
  <c r="W1976" i="1"/>
  <c r="T1976" i="1"/>
  <c r="P1976" i="1"/>
  <c r="J1976" i="1"/>
  <c r="G1976" i="1"/>
  <c r="F1976" i="1"/>
  <c r="B1976" i="1"/>
  <c r="W1975" i="1"/>
  <c r="T1975" i="1"/>
  <c r="P1975" i="1"/>
  <c r="J1975" i="1"/>
  <c r="G1975" i="1"/>
  <c r="F1975" i="1"/>
  <c r="B1975" i="1"/>
  <c r="W1974" i="1"/>
  <c r="T1974" i="1"/>
  <c r="P1974" i="1"/>
  <c r="J1974" i="1"/>
  <c r="G1974" i="1"/>
  <c r="F1974" i="1"/>
  <c r="B1974" i="1"/>
  <c r="W1973" i="1"/>
  <c r="T1973" i="1"/>
  <c r="P1973" i="1"/>
  <c r="J1973" i="1"/>
  <c r="G1973" i="1"/>
  <c r="F1973" i="1"/>
  <c r="B1973" i="1"/>
  <c r="W1972" i="1"/>
  <c r="T1972" i="1"/>
  <c r="P1972" i="1"/>
  <c r="J1972" i="1"/>
  <c r="G1972" i="1"/>
  <c r="F1972" i="1"/>
  <c r="B1972" i="1"/>
  <c r="W1971" i="1"/>
  <c r="T1971" i="1"/>
  <c r="P1971" i="1"/>
  <c r="J1971" i="1"/>
  <c r="G1971" i="1"/>
  <c r="F1971" i="1"/>
  <c r="B1971" i="1"/>
  <c r="W1970" i="1"/>
  <c r="T1970" i="1"/>
  <c r="P1970" i="1"/>
  <c r="J1970" i="1"/>
  <c r="G1970" i="1"/>
  <c r="F1970" i="1"/>
  <c r="B1970" i="1"/>
  <c r="W1969" i="1"/>
  <c r="T1969" i="1"/>
  <c r="P1969" i="1"/>
  <c r="J1969" i="1"/>
  <c r="G1969" i="1"/>
  <c r="F1969" i="1"/>
  <c r="B1969" i="1"/>
  <c r="W1968" i="1"/>
  <c r="T1968" i="1"/>
  <c r="P1968" i="1"/>
  <c r="J1968" i="1"/>
  <c r="G1968" i="1"/>
  <c r="F1968" i="1"/>
  <c r="B1968" i="1"/>
  <c r="W1967" i="1"/>
  <c r="T1967" i="1"/>
  <c r="P1967" i="1"/>
  <c r="J1967" i="1"/>
  <c r="G1967" i="1"/>
  <c r="F1967" i="1"/>
  <c r="B1967" i="1"/>
  <c r="W1966" i="1"/>
  <c r="T1966" i="1"/>
  <c r="P1966" i="1"/>
  <c r="J1966" i="1"/>
  <c r="G1966" i="1"/>
  <c r="F1966" i="1"/>
  <c r="B1966" i="1"/>
  <c r="W1965" i="1"/>
  <c r="T1965" i="1"/>
  <c r="P1965" i="1"/>
  <c r="J1965" i="1"/>
  <c r="G1965" i="1"/>
  <c r="F1965" i="1"/>
  <c r="B1965" i="1"/>
  <c r="W1964" i="1"/>
  <c r="T1964" i="1"/>
  <c r="P1964" i="1"/>
  <c r="J1964" i="1"/>
  <c r="G1964" i="1"/>
  <c r="F1964" i="1"/>
  <c r="B1964" i="1"/>
  <c r="W1963" i="1"/>
  <c r="T1963" i="1"/>
  <c r="P1963" i="1"/>
  <c r="J1963" i="1"/>
  <c r="G1963" i="1"/>
  <c r="F1963" i="1"/>
  <c r="B1963" i="1"/>
  <c r="W1962" i="1"/>
  <c r="T1962" i="1"/>
  <c r="P1962" i="1"/>
  <c r="J1962" i="1"/>
  <c r="G1962" i="1"/>
  <c r="F1962" i="1"/>
  <c r="B1962" i="1"/>
  <c r="W1961" i="1"/>
  <c r="T1961" i="1"/>
  <c r="P1961" i="1"/>
  <c r="J1961" i="1"/>
  <c r="G1961" i="1"/>
  <c r="F1961" i="1"/>
  <c r="B1961" i="1"/>
  <c r="W1960" i="1"/>
  <c r="T1960" i="1"/>
  <c r="P1960" i="1"/>
  <c r="J1960" i="1"/>
  <c r="G1960" i="1"/>
  <c r="F1960" i="1"/>
  <c r="B1960" i="1"/>
  <c r="W1959" i="1"/>
  <c r="T1959" i="1"/>
  <c r="P1959" i="1"/>
  <c r="J1959" i="1"/>
  <c r="G1959" i="1"/>
  <c r="F1959" i="1"/>
  <c r="B1959" i="1"/>
  <c r="W1958" i="1"/>
  <c r="T1958" i="1"/>
  <c r="P1958" i="1"/>
  <c r="J1958" i="1"/>
  <c r="G1958" i="1"/>
  <c r="F1958" i="1"/>
  <c r="B1958" i="1"/>
  <c r="W1957" i="1"/>
  <c r="T1957" i="1"/>
  <c r="P1957" i="1"/>
  <c r="J1957" i="1"/>
  <c r="G1957" i="1"/>
  <c r="F1957" i="1"/>
  <c r="B1957" i="1"/>
  <c r="W1956" i="1"/>
  <c r="T1956" i="1"/>
  <c r="P1956" i="1"/>
  <c r="J1956" i="1"/>
  <c r="G1956" i="1"/>
  <c r="F1956" i="1"/>
  <c r="B1956" i="1"/>
  <c r="W1955" i="1"/>
  <c r="T1955" i="1"/>
  <c r="P1955" i="1"/>
  <c r="J1955" i="1"/>
  <c r="G1955" i="1"/>
  <c r="F1955" i="1"/>
  <c r="B1955" i="1"/>
  <c r="W1954" i="1"/>
  <c r="T1954" i="1"/>
  <c r="P1954" i="1"/>
  <c r="J1954" i="1"/>
  <c r="G1954" i="1"/>
  <c r="F1954" i="1"/>
  <c r="B1954" i="1"/>
  <c r="W1953" i="1"/>
  <c r="T1953" i="1"/>
  <c r="P1953" i="1"/>
  <c r="J1953" i="1"/>
  <c r="G1953" i="1"/>
  <c r="F1953" i="1"/>
  <c r="B1953" i="1"/>
  <c r="W1952" i="1"/>
  <c r="T1952" i="1"/>
  <c r="P1952" i="1"/>
  <c r="J1952" i="1"/>
  <c r="G1952" i="1"/>
  <c r="F1952" i="1"/>
  <c r="B1952" i="1"/>
  <c r="W1951" i="1"/>
  <c r="T1951" i="1"/>
  <c r="P1951" i="1"/>
  <c r="J1951" i="1"/>
  <c r="G1951" i="1"/>
  <c r="F1951" i="1"/>
  <c r="B1951" i="1"/>
  <c r="W1950" i="1"/>
  <c r="T1950" i="1"/>
  <c r="P1950" i="1"/>
  <c r="J1950" i="1"/>
  <c r="G1950" i="1"/>
  <c r="F1950" i="1"/>
  <c r="B1950" i="1"/>
  <c r="W1949" i="1"/>
  <c r="T1949" i="1"/>
  <c r="P1949" i="1"/>
  <c r="J1949" i="1"/>
  <c r="G1949" i="1"/>
  <c r="F1949" i="1"/>
  <c r="B1949" i="1"/>
  <c r="W1948" i="1"/>
  <c r="T1948" i="1"/>
  <c r="P1948" i="1"/>
  <c r="J1948" i="1"/>
  <c r="G1948" i="1"/>
  <c r="F1948" i="1"/>
  <c r="B1948" i="1"/>
  <c r="W1947" i="1"/>
  <c r="T1947" i="1"/>
  <c r="P1947" i="1"/>
  <c r="J1947" i="1"/>
  <c r="G1947" i="1"/>
  <c r="F1947" i="1"/>
  <c r="B1947" i="1"/>
  <c r="W1946" i="1"/>
  <c r="T1946" i="1"/>
  <c r="P1946" i="1"/>
  <c r="J1946" i="1"/>
  <c r="G1946" i="1"/>
  <c r="F1946" i="1"/>
  <c r="B1946" i="1"/>
  <c r="W1945" i="1"/>
  <c r="T1945" i="1"/>
  <c r="P1945" i="1"/>
  <c r="J1945" i="1"/>
  <c r="G1945" i="1"/>
  <c r="F1945" i="1"/>
  <c r="B1945" i="1"/>
  <c r="W1944" i="1"/>
  <c r="T1944" i="1"/>
  <c r="P1944" i="1"/>
  <c r="J1944" i="1"/>
  <c r="G1944" i="1"/>
  <c r="F1944" i="1"/>
  <c r="B1944" i="1"/>
  <c r="W1943" i="1"/>
  <c r="T1943" i="1"/>
  <c r="P1943" i="1"/>
  <c r="J1943" i="1"/>
  <c r="G1943" i="1"/>
  <c r="F1943" i="1"/>
  <c r="B1943" i="1"/>
  <c r="W1942" i="1"/>
  <c r="T1942" i="1"/>
  <c r="P1942" i="1"/>
  <c r="J1942" i="1"/>
  <c r="G1942" i="1"/>
  <c r="F1942" i="1"/>
  <c r="B1942" i="1"/>
  <c r="W1941" i="1"/>
  <c r="T1941" i="1"/>
  <c r="P1941" i="1"/>
  <c r="J1941" i="1"/>
  <c r="G1941" i="1"/>
  <c r="F1941" i="1"/>
  <c r="B1941" i="1"/>
  <c r="W1940" i="1"/>
  <c r="T1940" i="1"/>
  <c r="P1940" i="1"/>
  <c r="J1940" i="1"/>
  <c r="G1940" i="1"/>
  <c r="F1940" i="1"/>
  <c r="B1940" i="1"/>
  <c r="W1939" i="1"/>
  <c r="T1939" i="1"/>
  <c r="P1939" i="1"/>
  <c r="J1939" i="1"/>
  <c r="G1939" i="1"/>
  <c r="F1939" i="1"/>
  <c r="B1939" i="1"/>
  <c r="W1938" i="1"/>
  <c r="T1938" i="1"/>
  <c r="P1938" i="1"/>
  <c r="J1938" i="1"/>
  <c r="G1938" i="1"/>
  <c r="F1938" i="1"/>
  <c r="B1938" i="1"/>
  <c r="W1937" i="1"/>
  <c r="T1937" i="1"/>
  <c r="P1937" i="1"/>
  <c r="J1937" i="1"/>
  <c r="G1937" i="1"/>
  <c r="F1937" i="1"/>
  <c r="B1937" i="1"/>
  <c r="W1936" i="1"/>
  <c r="T1936" i="1"/>
  <c r="P1936" i="1"/>
  <c r="J1936" i="1"/>
  <c r="G1936" i="1"/>
  <c r="F1936" i="1"/>
  <c r="B1936" i="1"/>
  <c r="W1935" i="1"/>
  <c r="T1935" i="1"/>
  <c r="P1935" i="1"/>
  <c r="J1935" i="1"/>
  <c r="G1935" i="1"/>
  <c r="F1935" i="1"/>
  <c r="B1935" i="1"/>
  <c r="W1934" i="1"/>
  <c r="T1934" i="1"/>
  <c r="P1934" i="1"/>
  <c r="J1934" i="1"/>
  <c r="G1934" i="1"/>
  <c r="F1934" i="1"/>
  <c r="B1934" i="1"/>
  <c r="W1933" i="1"/>
  <c r="T1933" i="1"/>
  <c r="P1933" i="1"/>
  <c r="J1933" i="1"/>
  <c r="G1933" i="1"/>
  <c r="F1933" i="1"/>
  <c r="B1933" i="1"/>
  <c r="W1932" i="1"/>
  <c r="T1932" i="1"/>
  <c r="P1932" i="1"/>
  <c r="J1932" i="1"/>
  <c r="G1932" i="1"/>
  <c r="F1932" i="1"/>
  <c r="B1932" i="1"/>
  <c r="W1931" i="1"/>
  <c r="T1931" i="1"/>
  <c r="P1931" i="1"/>
  <c r="J1931" i="1"/>
  <c r="G1931" i="1"/>
  <c r="F1931" i="1"/>
  <c r="B1931" i="1"/>
  <c r="W1930" i="1"/>
  <c r="T1930" i="1"/>
  <c r="P1930" i="1"/>
  <c r="J1930" i="1"/>
  <c r="G1930" i="1"/>
  <c r="F1930" i="1"/>
  <c r="B1930" i="1"/>
  <c r="W1929" i="1"/>
  <c r="T1929" i="1"/>
  <c r="P1929" i="1"/>
  <c r="J1929" i="1"/>
  <c r="G1929" i="1"/>
  <c r="F1929" i="1"/>
  <c r="B1929" i="1"/>
  <c r="W1928" i="1"/>
  <c r="T1928" i="1"/>
  <c r="P1928" i="1"/>
  <c r="J1928" i="1"/>
  <c r="G1928" i="1"/>
  <c r="F1928" i="1"/>
  <c r="B1928" i="1"/>
  <c r="W1927" i="1"/>
  <c r="T1927" i="1"/>
  <c r="P1927" i="1"/>
  <c r="J1927" i="1"/>
  <c r="G1927" i="1"/>
  <c r="F1927" i="1"/>
  <c r="B1927" i="1"/>
  <c r="W1926" i="1"/>
  <c r="T1926" i="1"/>
  <c r="P1926" i="1"/>
  <c r="J1926" i="1"/>
  <c r="G1926" i="1"/>
  <c r="F1926" i="1"/>
  <c r="B1926" i="1"/>
  <c r="W1925" i="1"/>
  <c r="T1925" i="1"/>
  <c r="P1925" i="1"/>
  <c r="J1925" i="1"/>
  <c r="G1925" i="1"/>
  <c r="F1925" i="1"/>
  <c r="B1925" i="1"/>
  <c r="W1924" i="1"/>
  <c r="T1924" i="1"/>
  <c r="P1924" i="1"/>
  <c r="J1924" i="1"/>
  <c r="G1924" i="1"/>
  <c r="F1924" i="1"/>
  <c r="B1924" i="1"/>
  <c r="W1923" i="1"/>
  <c r="T1923" i="1"/>
  <c r="P1923" i="1"/>
  <c r="J1923" i="1"/>
  <c r="G1923" i="1"/>
  <c r="F1923" i="1"/>
  <c r="B1923" i="1"/>
  <c r="W1922" i="1"/>
  <c r="T1922" i="1"/>
  <c r="P1922" i="1"/>
  <c r="J1922" i="1"/>
  <c r="G1922" i="1"/>
  <c r="F1922" i="1"/>
  <c r="B1922" i="1"/>
  <c r="W1921" i="1"/>
  <c r="T1921" i="1"/>
  <c r="P1921" i="1"/>
  <c r="J1921" i="1"/>
  <c r="G1921" i="1"/>
  <c r="F1921" i="1"/>
  <c r="B1921" i="1"/>
  <c r="W1920" i="1"/>
  <c r="T1920" i="1"/>
  <c r="P1920" i="1"/>
  <c r="J1920" i="1"/>
  <c r="G1920" i="1"/>
  <c r="F1920" i="1"/>
  <c r="B1920" i="1"/>
  <c r="W1919" i="1"/>
  <c r="T1919" i="1"/>
  <c r="P1919" i="1"/>
  <c r="J1919" i="1"/>
  <c r="G1919" i="1"/>
  <c r="F1919" i="1"/>
  <c r="B1919" i="1"/>
  <c r="W1918" i="1"/>
  <c r="T1918" i="1"/>
  <c r="P1918" i="1"/>
  <c r="J1918" i="1"/>
  <c r="G1918" i="1"/>
  <c r="F1918" i="1"/>
  <c r="B1918" i="1"/>
  <c r="W1917" i="1"/>
  <c r="T1917" i="1"/>
  <c r="P1917" i="1"/>
  <c r="J1917" i="1"/>
  <c r="G1917" i="1"/>
  <c r="F1917" i="1"/>
  <c r="B1917" i="1"/>
  <c r="W1916" i="1"/>
  <c r="T1916" i="1"/>
  <c r="P1916" i="1"/>
  <c r="J1916" i="1"/>
  <c r="G1916" i="1"/>
  <c r="F1916" i="1"/>
  <c r="B1916" i="1"/>
  <c r="W1915" i="1"/>
  <c r="T1915" i="1"/>
  <c r="P1915" i="1"/>
  <c r="J1915" i="1"/>
  <c r="G1915" i="1"/>
  <c r="F1915" i="1"/>
  <c r="B1915" i="1"/>
  <c r="W1914" i="1"/>
  <c r="T1914" i="1"/>
  <c r="P1914" i="1"/>
  <c r="J1914" i="1"/>
  <c r="G1914" i="1"/>
  <c r="F1914" i="1"/>
  <c r="B1914" i="1"/>
  <c r="W1913" i="1"/>
  <c r="T1913" i="1"/>
  <c r="P1913" i="1"/>
  <c r="J1913" i="1"/>
  <c r="G1913" i="1"/>
  <c r="F1913" i="1"/>
  <c r="B1913" i="1"/>
  <c r="W1912" i="1"/>
  <c r="T1912" i="1"/>
  <c r="P1912" i="1"/>
  <c r="J1912" i="1"/>
  <c r="G1912" i="1"/>
  <c r="F1912" i="1"/>
  <c r="B1912" i="1"/>
  <c r="W1911" i="1"/>
  <c r="T1911" i="1"/>
  <c r="P1911" i="1"/>
  <c r="J1911" i="1"/>
  <c r="G1911" i="1"/>
  <c r="F1911" i="1"/>
  <c r="B1911" i="1"/>
  <c r="W1910" i="1"/>
  <c r="T1910" i="1"/>
  <c r="P1910" i="1"/>
  <c r="J1910" i="1"/>
  <c r="G1910" i="1"/>
  <c r="F1910" i="1"/>
  <c r="B1910" i="1"/>
  <c r="W1909" i="1"/>
  <c r="T1909" i="1"/>
  <c r="P1909" i="1"/>
  <c r="J1909" i="1"/>
  <c r="G1909" i="1"/>
  <c r="F1909" i="1"/>
  <c r="B1909" i="1"/>
  <c r="W1908" i="1"/>
  <c r="T1908" i="1"/>
  <c r="P1908" i="1"/>
  <c r="J1908" i="1"/>
  <c r="G1908" i="1"/>
  <c r="F1908" i="1"/>
  <c r="B1908" i="1"/>
  <c r="W1907" i="1"/>
  <c r="T1907" i="1"/>
  <c r="P1907" i="1"/>
  <c r="J1907" i="1"/>
  <c r="G1907" i="1"/>
  <c r="F1907" i="1"/>
  <c r="B1907" i="1"/>
  <c r="W1906" i="1"/>
  <c r="T1906" i="1"/>
  <c r="P1906" i="1"/>
  <c r="J1906" i="1"/>
  <c r="G1906" i="1"/>
  <c r="F1906" i="1"/>
  <c r="B1906" i="1"/>
  <c r="W1905" i="1"/>
  <c r="T1905" i="1"/>
  <c r="P1905" i="1"/>
  <c r="J1905" i="1"/>
  <c r="G1905" i="1"/>
  <c r="F1905" i="1"/>
  <c r="B1905" i="1"/>
  <c r="W1904" i="1"/>
  <c r="T1904" i="1"/>
  <c r="P1904" i="1"/>
  <c r="J1904" i="1"/>
  <c r="G1904" i="1"/>
  <c r="F1904" i="1"/>
  <c r="B1904" i="1"/>
  <c r="W1903" i="1"/>
  <c r="T1903" i="1"/>
  <c r="P1903" i="1"/>
  <c r="J1903" i="1"/>
  <c r="G1903" i="1"/>
  <c r="F1903" i="1"/>
  <c r="B1903" i="1"/>
  <c r="W1902" i="1"/>
  <c r="T1902" i="1"/>
  <c r="P1902" i="1"/>
  <c r="J1902" i="1"/>
  <c r="G1902" i="1"/>
  <c r="F1902" i="1"/>
  <c r="B1902" i="1"/>
  <c r="W1901" i="1"/>
  <c r="T1901" i="1"/>
  <c r="P1901" i="1"/>
  <c r="J1901" i="1"/>
  <c r="G1901" i="1"/>
  <c r="F1901" i="1"/>
  <c r="B1901" i="1"/>
  <c r="W1900" i="1"/>
  <c r="T1900" i="1"/>
  <c r="P1900" i="1"/>
  <c r="J1900" i="1"/>
  <c r="G1900" i="1"/>
  <c r="F1900" i="1"/>
  <c r="B1900" i="1"/>
  <c r="W1899" i="1"/>
  <c r="T1899" i="1"/>
  <c r="P1899" i="1"/>
  <c r="J1899" i="1"/>
  <c r="G1899" i="1"/>
  <c r="F1899" i="1"/>
  <c r="B1899" i="1"/>
  <c r="W1898" i="1"/>
  <c r="T1898" i="1"/>
  <c r="P1898" i="1"/>
  <c r="J1898" i="1"/>
  <c r="G1898" i="1"/>
  <c r="F1898" i="1"/>
  <c r="B1898" i="1"/>
  <c r="W1897" i="1"/>
  <c r="T1897" i="1"/>
  <c r="P1897" i="1"/>
  <c r="J1897" i="1"/>
  <c r="G1897" i="1"/>
  <c r="F1897" i="1"/>
  <c r="B1897" i="1"/>
  <c r="W1896" i="1"/>
  <c r="T1896" i="1"/>
  <c r="P1896" i="1"/>
  <c r="J1896" i="1"/>
  <c r="G1896" i="1"/>
  <c r="F1896" i="1"/>
  <c r="B1896" i="1"/>
  <c r="W1895" i="1"/>
  <c r="T1895" i="1"/>
  <c r="P1895" i="1"/>
  <c r="J1895" i="1"/>
  <c r="G1895" i="1"/>
  <c r="F1895" i="1"/>
  <c r="B1895" i="1"/>
  <c r="W1894" i="1"/>
  <c r="T1894" i="1"/>
  <c r="P1894" i="1"/>
  <c r="J1894" i="1"/>
  <c r="G1894" i="1"/>
  <c r="F1894" i="1"/>
  <c r="B1894" i="1"/>
  <c r="W1893" i="1"/>
  <c r="T1893" i="1"/>
  <c r="P1893" i="1"/>
  <c r="J1893" i="1"/>
  <c r="G1893" i="1"/>
  <c r="F1893" i="1"/>
  <c r="B1893" i="1"/>
  <c r="W1892" i="1"/>
  <c r="T1892" i="1"/>
  <c r="P1892" i="1"/>
  <c r="J1892" i="1"/>
  <c r="G1892" i="1"/>
  <c r="F1892" i="1"/>
  <c r="B1892" i="1"/>
  <c r="W1891" i="1"/>
  <c r="T1891" i="1"/>
  <c r="P1891" i="1"/>
  <c r="J1891" i="1"/>
  <c r="G1891" i="1"/>
  <c r="F1891" i="1"/>
  <c r="B1891" i="1"/>
  <c r="W1890" i="1"/>
  <c r="T1890" i="1"/>
  <c r="P1890" i="1"/>
  <c r="J1890" i="1"/>
  <c r="G1890" i="1"/>
  <c r="F1890" i="1"/>
  <c r="B1890" i="1"/>
  <c r="W1889" i="1"/>
  <c r="T1889" i="1"/>
  <c r="P1889" i="1"/>
  <c r="J1889" i="1"/>
  <c r="G1889" i="1"/>
  <c r="F1889" i="1"/>
  <c r="B1889" i="1"/>
  <c r="W1888" i="1"/>
  <c r="T1888" i="1"/>
  <c r="P1888" i="1"/>
  <c r="J1888" i="1"/>
  <c r="G1888" i="1"/>
  <c r="F1888" i="1"/>
  <c r="B1888" i="1"/>
  <c r="W1887" i="1"/>
  <c r="T1887" i="1"/>
  <c r="P1887" i="1"/>
  <c r="J1887" i="1"/>
  <c r="G1887" i="1"/>
  <c r="F1887" i="1"/>
  <c r="B1887" i="1"/>
  <c r="W1886" i="1"/>
  <c r="T1886" i="1"/>
  <c r="P1886" i="1"/>
  <c r="J1886" i="1"/>
  <c r="G1886" i="1"/>
  <c r="F1886" i="1"/>
  <c r="B1886" i="1"/>
  <c r="W1885" i="1"/>
  <c r="T1885" i="1"/>
  <c r="P1885" i="1"/>
  <c r="J1885" i="1"/>
  <c r="G1885" i="1"/>
  <c r="F1885" i="1"/>
  <c r="B1885" i="1"/>
  <c r="W1884" i="1"/>
  <c r="T1884" i="1"/>
  <c r="P1884" i="1"/>
  <c r="J1884" i="1"/>
  <c r="G1884" i="1"/>
  <c r="F1884" i="1"/>
  <c r="B1884" i="1"/>
  <c r="W1883" i="1"/>
  <c r="T1883" i="1"/>
  <c r="P1883" i="1"/>
  <c r="J1883" i="1"/>
  <c r="G1883" i="1"/>
  <c r="F1883" i="1"/>
  <c r="B1883" i="1"/>
  <c r="W1882" i="1"/>
  <c r="T1882" i="1"/>
  <c r="P1882" i="1"/>
  <c r="J1882" i="1"/>
  <c r="G1882" i="1"/>
  <c r="F1882" i="1"/>
  <c r="B1882" i="1"/>
  <c r="W1881" i="1"/>
  <c r="T1881" i="1"/>
  <c r="P1881" i="1"/>
  <c r="J1881" i="1"/>
  <c r="G1881" i="1"/>
  <c r="F1881" i="1"/>
  <c r="B1881" i="1"/>
  <c r="W1880" i="1"/>
  <c r="T1880" i="1"/>
  <c r="P1880" i="1"/>
  <c r="J1880" i="1"/>
  <c r="G1880" i="1"/>
  <c r="F1880" i="1"/>
  <c r="B1880" i="1"/>
  <c r="W1879" i="1"/>
  <c r="T1879" i="1"/>
  <c r="P1879" i="1"/>
  <c r="J1879" i="1"/>
  <c r="G1879" i="1"/>
  <c r="F1879" i="1"/>
  <c r="B1879" i="1"/>
  <c r="W1878" i="1"/>
  <c r="T1878" i="1"/>
  <c r="P1878" i="1"/>
  <c r="J1878" i="1"/>
  <c r="G1878" i="1"/>
  <c r="F1878" i="1"/>
  <c r="B1878" i="1"/>
  <c r="W1877" i="1"/>
  <c r="T1877" i="1"/>
  <c r="P1877" i="1"/>
  <c r="J1877" i="1"/>
  <c r="G1877" i="1"/>
  <c r="F1877" i="1"/>
  <c r="B1877" i="1"/>
  <c r="W1876" i="1"/>
  <c r="T1876" i="1"/>
  <c r="P1876" i="1"/>
  <c r="J1876" i="1"/>
  <c r="G1876" i="1"/>
  <c r="F1876" i="1"/>
  <c r="B1876" i="1"/>
  <c r="W1875" i="1"/>
  <c r="T1875" i="1"/>
  <c r="P1875" i="1"/>
  <c r="J1875" i="1"/>
  <c r="G1875" i="1"/>
  <c r="F1875" i="1"/>
  <c r="B1875" i="1"/>
  <c r="W1874" i="1"/>
  <c r="T1874" i="1"/>
  <c r="P1874" i="1"/>
  <c r="J1874" i="1"/>
  <c r="G1874" i="1"/>
  <c r="F1874" i="1"/>
  <c r="B1874" i="1"/>
  <c r="W1873" i="1"/>
  <c r="T1873" i="1"/>
  <c r="P1873" i="1"/>
  <c r="J1873" i="1"/>
  <c r="G1873" i="1"/>
  <c r="F1873" i="1"/>
  <c r="B1873" i="1"/>
  <c r="W1872" i="1"/>
  <c r="T1872" i="1"/>
  <c r="P1872" i="1"/>
  <c r="J1872" i="1"/>
  <c r="G1872" i="1"/>
  <c r="F1872" i="1"/>
  <c r="B1872" i="1"/>
  <c r="W1871" i="1"/>
  <c r="T1871" i="1"/>
  <c r="P1871" i="1"/>
  <c r="J1871" i="1"/>
  <c r="G1871" i="1"/>
  <c r="F1871" i="1"/>
  <c r="B1871" i="1"/>
  <c r="W1870" i="1"/>
  <c r="T1870" i="1"/>
  <c r="P1870" i="1"/>
  <c r="J1870" i="1"/>
  <c r="G1870" i="1"/>
  <c r="F1870" i="1"/>
  <c r="B1870" i="1"/>
  <c r="W1869" i="1"/>
  <c r="T1869" i="1"/>
  <c r="P1869" i="1"/>
  <c r="J1869" i="1"/>
  <c r="G1869" i="1"/>
  <c r="F1869" i="1"/>
  <c r="B1869" i="1"/>
  <c r="W1868" i="1"/>
  <c r="T1868" i="1"/>
  <c r="P1868" i="1"/>
  <c r="J1868" i="1"/>
  <c r="G1868" i="1"/>
  <c r="F1868" i="1"/>
  <c r="B1868" i="1"/>
  <c r="W1867" i="1"/>
  <c r="T1867" i="1"/>
  <c r="P1867" i="1"/>
  <c r="J1867" i="1"/>
  <c r="G1867" i="1"/>
  <c r="F1867" i="1"/>
  <c r="B1867" i="1"/>
  <c r="W1866" i="1"/>
  <c r="T1866" i="1"/>
  <c r="P1866" i="1"/>
  <c r="J1866" i="1"/>
  <c r="G1866" i="1"/>
  <c r="F1866" i="1"/>
  <c r="B1866" i="1"/>
  <c r="W1865" i="1"/>
  <c r="T1865" i="1"/>
  <c r="P1865" i="1"/>
  <c r="J1865" i="1"/>
  <c r="G1865" i="1"/>
  <c r="F1865" i="1"/>
  <c r="B1865" i="1"/>
  <c r="W1864" i="1"/>
  <c r="T1864" i="1"/>
  <c r="P1864" i="1"/>
  <c r="J1864" i="1"/>
  <c r="G1864" i="1"/>
  <c r="F1864" i="1"/>
  <c r="B1864" i="1"/>
  <c r="W1863" i="1"/>
  <c r="T1863" i="1"/>
  <c r="P1863" i="1"/>
  <c r="J1863" i="1"/>
  <c r="G1863" i="1"/>
  <c r="F1863" i="1"/>
  <c r="B1863" i="1"/>
  <c r="W1862" i="1"/>
  <c r="T1862" i="1"/>
  <c r="P1862" i="1"/>
  <c r="J1862" i="1"/>
  <c r="G1862" i="1"/>
  <c r="F1862" i="1"/>
  <c r="B1862" i="1"/>
  <c r="W1861" i="1"/>
  <c r="T1861" i="1"/>
  <c r="P1861" i="1"/>
  <c r="J1861" i="1"/>
  <c r="G1861" i="1"/>
  <c r="F1861" i="1"/>
  <c r="B1861" i="1"/>
  <c r="W1860" i="1"/>
  <c r="T1860" i="1"/>
  <c r="P1860" i="1"/>
  <c r="J1860" i="1"/>
  <c r="G1860" i="1"/>
  <c r="F1860" i="1"/>
  <c r="B1860" i="1"/>
  <c r="W1859" i="1"/>
  <c r="T1859" i="1"/>
  <c r="P1859" i="1"/>
  <c r="J1859" i="1"/>
  <c r="G1859" i="1"/>
  <c r="F1859" i="1"/>
  <c r="B1859" i="1"/>
  <c r="W1858" i="1"/>
  <c r="T1858" i="1"/>
  <c r="P1858" i="1"/>
  <c r="J1858" i="1"/>
  <c r="G1858" i="1"/>
  <c r="F1858" i="1"/>
  <c r="B1858" i="1"/>
  <c r="W1857" i="1"/>
  <c r="T1857" i="1"/>
  <c r="P1857" i="1"/>
  <c r="J1857" i="1"/>
  <c r="G1857" i="1"/>
  <c r="F1857" i="1"/>
  <c r="B1857" i="1"/>
  <c r="W1856" i="1"/>
  <c r="T1856" i="1"/>
  <c r="P1856" i="1"/>
  <c r="J1856" i="1"/>
  <c r="G1856" i="1"/>
  <c r="F1856" i="1"/>
  <c r="B1856" i="1"/>
  <c r="W1855" i="1"/>
  <c r="T1855" i="1"/>
  <c r="P1855" i="1"/>
  <c r="J1855" i="1"/>
  <c r="G1855" i="1"/>
  <c r="F1855" i="1"/>
  <c r="B1855" i="1"/>
  <c r="W1854" i="1"/>
  <c r="T1854" i="1"/>
  <c r="P1854" i="1"/>
  <c r="J1854" i="1"/>
  <c r="G1854" i="1"/>
  <c r="F1854" i="1"/>
  <c r="B1854" i="1"/>
  <c r="W1853" i="1"/>
  <c r="T1853" i="1"/>
  <c r="P1853" i="1"/>
  <c r="J1853" i="1"/>
  <c r="G1853" i="1"/>
  <c r="F1853" i="1"/>
  <c r="B1853" i="1"/>
  <c r="W1852" i="1"/>
  <c r="T1852" i="1"/>
  <c r="P1852" i="1"/>
  <c r="J1852" i="1"/>
  <c r="G1852" i="1"/>
  <c r="F1852" i="1"/>
  <c r="B1852" i="1"/>
  <c r="W1851" i="1"/>
  <c r="T1851" i="1"/>
  <c r="P1851" i="1"/>
  <c r="J1851" i="1"/>
  <c r="G1851" i="1"/>
  <c r="F1851" i="1"/>
  <c r="B1851" i="1"/>
  <c r="W1850" i="1"/>
  <c r="T1850" i="1"/>
  <c r="P1850" i="1"/>
  <c r="J1850" i="1"/>
  <c r="G1850" i="1"/>
  <c r="F1850" i="1"/>
  <c r="B1850" i="1"/>
  <c r="W1849" i="1"/>
  <c r="T1849" i="1"/>
  <c r="P1849" i="1"/>
  <c r="J1849" i="1"/>
  <c r="G1849" i="1"/>
  <c r="F1849" i="1"/>
  <c r="B1849" i="1"/>
  <c r="W1848" i="1"/>
  <c r="T1848" i="1"/>
  <c r="P1848" i="1"/>
  <c r="J1848" i="1"/>
  <c r="G1848" i="1"/>
  <c r="F1848" i="1"/>
  <c r="B1848" i="1"/>
  <c r="W1847" i="1"/>
  <c r="T1847" i="1"/>
  <c r="P1847" i="1"/>
  <c r="J1847" i="1"/>
  <c r="G1847" i="1"/>
  <c r="F1847" i="1"/>
  <c r="B1847" i="1"/>
  <c r="W1846" i="1"/>
  <c r="T1846" i="1"/>
  <c r="P1846" i="1"/>
  <c r="J1846" i="1"/>
  <c r="G1846" i="1"/>
  <c r="F1846" i="1"/>
  <c r="B1846" i="1"/>
  <c r="W1845" i="1"/>
  <c r="T1845" i="1"/>
  <c r="P1845" i="1"/>
  <c r="J1845" i="1"/>
  <c r="G1845" i="1"/>
  <c r="F1845" i="1"/>
  <c r="B1845" i="1"/>
  <c r="W1844" i="1"/>
  <c r="T1844" i="1"/>
  <c r="P1844" i="1"/>
  <c r="J1844" i="1"/>
  <c r="G1844" i="1"/>
  <c r="F1844" i="1"/>
  <c r="B1844" i="1"/>
  <c r="W1843" i="1"/>
  <c r="T1843" i="1"/>
  <c r="P1843" i="1"/>
  <c r="J1843" i="1"/>
  <c r="G1843" i="1"/>
  <c r="F1843" i="1"/>
  <c r="B1843" i="1"/>
  <c r="W1842" i="1"/>
  <c r="T1842" i="1"/>
  <c r="P1842" i="1"/>
  <c r="J1842" i="1"/>
  <c r="G1842" i="1"/>
  <c r="F1842" i="1"/>
  <c r="B1842" i="1"/>
  <c r="W1841" i="1"/>
  <c r="T1841" i="1"/>
  <c r="P1841" i="1"/>
  <c r="J1841" i="1"/>
  <c r="G1841" i="1"/>
  <c r="F1841" i="1"/>
  <c r="B1841" i="1"/>
  <c r="W1840" i="1"/>
  <c r="T1840" i="1"/>
  <c r="P1840" i="1"/>
  <c r="J1840" i="1"/>
  <c r="G1840" i="1"/>
  <c r="F1840" i="1"/>
  <c r="B1840" i="1"/>
  <c r="W1839" i="1"/>
  <c r="T1839" i="1"/>
  <c r="P1839" i="1"/>
  <c r="J1839" i="1"/>
  <c r="G1839" i="1"/>
  <c r="F1839" i="1"/>
  <c r="B1839" i="1"/>
  <c r="W1838" i="1"/>
  <c r="T1838" i="1"/>
  <c r="P1838" i="1"/>
  <c r="J1838" i="1"/>
  <c r="G1838" i="1"/>
  <c r="F1838" i="1"/>
  <c r="B1838" i="1"/>
  <c r="W1837" i="1"/>
  <c r="T1837" i="1"/>
  <c r="P1837" i="1"/>
  <c r="J1837" i="1"/>
  <c r="G1837" i="1"/>
  <c r="F1837" i="1"/>
  <c r="B1837" i="1"/>
  <c r="W1836" i="1"/>
  <c r="T1836" i="1"/>
  <c r="P1836" i="1"/>
  <c r="J1836" i="1"/>
  <c r="G1836" i="1"/>
  <c r="F1836" i="1"/>
  <c r="B1836" i="1"/>
  <c r="W1835" i="1"/>
  <c r="T1835" i="1"/>
  <c r="P1835" i="1"/>
  <c r="J1835" i="1"/>
  <c r="G1835" i="1"/>
  <c r="F1835" i="1"/>
  <c r="B1835" i="1"/>
  <c r="W1834" i="1"/>
  <c r="T1834" i="1"/>
  <c r="P1834" i="1"/>
  <c r="J1834" i="1"/>
  <c r="G1834" i="1"/>
  <c r="F1834" i="1"/>
  <c r="B1834" i="1"/>
  <c r="W1833" i="1"/>
  <c r="T1833" i="1"/>
  <c r="P1833" i="1"/>
  <c r="J1833" i="1"/>
  <c r="G1833" i="1"/>
  <c r="F1833" i="1"/>
  <c r="B1833" i="1"/>
  <c r="W1832" i="1"/>
  <c r="T1832" i="1"/>
  <c r="P1832" i="1"/>
  <c r="J1832" i="1"/>
  <c r="G1832" i="1"/>
  <c r="F1832" i="1"/>
  <c r="B1832" i="1"/>
  <c r="W1831" i="1"/>
  <c r="T1831" i="1"/>
  <c r="P1831" i="1"/>
  <c r="J1831" i="1"/>
  <c r="G1831" i="1"/>
  <c r="F1831" i="1"/>
  <c r="B1831" i="1"/>
  <c r="W1830" i="1"/>
  <c r="T1830" i="1"/>
  <c r="P1830" i="1"/>
  <c r="J1830" i="1"/>
  <c r="G1830" i="1"/>
  <c r="F1830" i="1"/>
  <c r="B1830" i="1"/>
  <c r="W1829" i="1"/>
  <c r="T1829" i="1"/>
  <c r="P1829" i="1"/>
  <c r="J1829" i="1"/>
  <c r="G1829" i="1"/>
  <c r="F1829" i="1"/>
  <c r="B1829" i="1"/>
  <c r="W1828" i="1"/>
  <c r="T1828" i="1"/>
  <c r="P1828" i="1"/>
  <c r="J1828" i="1"/>
  <c r="G1828" i="1"/>
  <c r="F1828" i="1"/>
  <c r="B1828" i="1"/>
  <c r="W1827" i="1"/>
  <c r="T1827" i="1"/>
  <c r="P1827" i="1"/>
  <c r="J1827" i="1"/>
  <c r="G1827" i="1"/>
  <c r="F1827" i="1"/>
  <c r="B1827" i="1"/>
  <c r="W1826" i="1"/>
  <c r="T1826" i="1"/>
  <c r="P1826" i="1"/>
  <c r="J1826" i="1"/>
  <c r="G1826" i="1"/>
  <c r="F1826" i="1"/>
  <c r="B1826" i="1"/>
  <c r="W1825" i="1"/>
  <c r="T1825" i="1"/>
  <c r="P1825" i="1"/>
  <c r="J1825" i="1"/>
  <c r="G1825" i="1"/>
  <c r="F1825" i="1"/>
  <c r="B1825" i="1"/>
  <c r="W1824" i="1"/>
  <c r="T1824" i="1"/>
  <c r="P1824" i="1"/>
  <c r="J1824" i="1"/>
  <c r="G1824" i="1"/>
  <c r="F1824" i="1"/>
  <c r="B1824" i="1"/>
  <c r="W1823" i="1"/>
  <c r="T1823" i="1"/>
  <c r="P1823" i="1"/>
  <c r="J1823" i="1"/>
  <c r="G1823" i="1"/>
  <c r="F1823" i="1"/>
  <c r="B1823" i="1"/>
  <c r="W1822" i="1"/>
  <c r="T1822" i="1"/>
  <c r="P1822" i="1"/>
  <c r="J1822" i="1"/>
  <c r="G1822" i="1"/>
  <c r="F1822" i="1"/>
  <c r="B1822" i="1"/>
  <c r="W1821" i="1"/>
  <c r="T1821" i="1"/>
  <c r="P1821" i="1"/>
  <c r="J1821" i="1"/>
  <c r="G1821" i="1"/>
  <c r="F1821" i="1"/>
  <c r="B1821" i="1"/>
  <c r="W1820" i="1"/>
  <c r="T1820" i="1"/>
  <c r="P1820" i="1"/>
  <c r="J1820" i="1"/>
  <c r="G1820" i="1"/>
  <c r="F1820" i="1"/>
  <c r="B1820" i="1"/>
  <c r="W1819" i="1"/>
  <c r="T1819" i="1"/>
  <c r="P1819" i="1"/>
  <c r="J1819" i="1"/>
  <c r="G1819" i="1"/>
  <c r="F1819" i="1"/>
  <c r="B1819" i="1"/>
  <c r="W1818" i="1"/>
  <c r="T1818" i="1"/>
  <c r="P1818" i="1"/>
  <c r="J1818" i="1"/>
  <c r="G1818" i="1"/>
  <c r="F1818" i="1"/>
  <c r="B1818" i="1"/>
  <c r="W1817" i="1"/>
  <c r="T1817" i="1"/>
  <c r="P1817" i="1"/>
  <c r="J1817" i="1"/>
  <c r="G1817" i="1"/>
  <c r="F1817" i="1"/>
  <c r="B1817" i="1"/>
  <c r="W1816" i="1"/>
  <c r="T1816" i="1"/>
  <c r="P1816" i="1"/>
  <c r="J1816" i="1"/>
  <c r="G1816" i="1"/>
  <c r="F1816" i="1"/>
  <c r="B1816" i="1"/>
  <c r="W1815" i="1"/>
  <c r="T1815" i="1"/>
  <c r="P1815" i="1"/>
  <c r="J1815" i="1"/>
  <c r="G1815" i="1"/>
  <c r="F1815" i="1"/>
  <c r="B1815" i="1"/>
  <c r="W1814" i="1"/>
  <c r="T1814" i="1"/>
  <c r="P1814" i="1"/>
  <c r="J1814" i="1"/>
  <c r="G1814" i="1"/>
  <c r="F1814" i="1"/>
  <c r="B1814" i="1"/>
  <c r="W1813" i="1"/>
  <c r="T1813" i="1"/>
  <c r="P1813" i="1"/>
  <c r="J1813" i="1"/>
  <c r="G1813" i="1"/>
  <c r="F1813" i="1"/>
  <c r="B1813" i="1"/>
  <c r="W1812" i="1"/>
  <c r="T1812" i="1"/>
  <c r="P1812" i="1"/>
  <c r="J1812" i="1"/>
  <c r="G1812" i="1"/>
  <c r="F1812" i="1"/>
  <c r="B1812" i="1"/>
  <c r="W1811" i="1"/>
  <c r="T1811" i="1"/>
  <c r="P1811" i="1"/>
  <c r="J1811" i="1"/>
  <c r="G1811" i="1"/>
  <c r="F1811" i="1"/>
  <c r="B1811" i="1"/>
  <c r="W1810" i="1"/>
  <c r="T1810" i="1"/>
  <c r="P1810" i="1"/>
  <c r="J1810" i="1"/>
  <c r="G1810" i="1"/>
  <c r="F1810" i="1"/>
  <c r="B1810" i="1"/>
  <c r="W1809" i="1"/>
  <c r="T1809" i="1"/>
  <c r="P1809" i="1"/>
  <c r="J1809" i="1"/>
  <c r="G1809" i="1"/>
  <c r="F1809" i="1"/>
  <c r="B1809" i="1"/>
  <c r="W1808" i="1"/>
  <c r="T1808" i="1"/>
  <c r="P1808" i="1"/>
  <c r="J1808" i="1"/>
  <c r="G1808" i="1"/>
  <c r="F1808" i="1"/>
  <c r="B1808" i="1"/>
  <c r="W1807" i="1"/>
  <c r="T1807" i="1"/>
  <c r="P1807" i="1"/>
  <c r="J1807" i="1"/>
  <c r="G1807" i="1"/>
  <c r="F1807" i="1"/>
  <c r="B1807" i="1"/>
  <c r="W1806" i="1"/>
  <c r="T1806" i="1"/>
  <c r="P1806" i="1"/>
  <c r="J1806" i="1"/>
  <c r="G1806" i="1"/>
  <c r="F1806" i="1"/>
  <c r="B1806" i="1"/>
  <c r="W1805" i="1"/>
  <c r="T1805" i="1"/>
  <c r="P1805" i="1"/>
  <c r="J1805" i="1"/>
  <c r="G1805" i="1"/>
  <c r="F1805" i="1"/>
  <c r="B1805" i="1"/>
  <c r="W1804" i="1"/>
  <c r="T1804" i="1"/>
  <c r="P1804" i="1"/>
  <c r="J1804" i="1"/>
  <c r="G1804" i="1"/>
  <c r="F1804" i="1"/>
  <c r="B1804" i="1"/>
  <c r="W1803" i="1"/>
  <c r="T1803" i="1"/>
  <c r="P1803" i="1"/>
  <c r="J1803" i="1"/>
  <c r="G1803" i="1"/>
  <c r="F1803" i="1"/>
  <c r="B1803" i="1"/>
  <c r="W1802" i="1"/>
  <c r="T1802" i="1"/>
  <c r="P1802" i="1"/>
  <c r="J1802" i="1"/>
  <c r="G1802" i="1"/>
  <c r="F1802" i="1"/>
  <c r="B1802" i="1"/>
  <c r="W1801" i="1"/>
  <c r="T1801" i="1"/>
  <c r="P1801" i="1"/>
  <c r="J1801" i="1"/>
  <c r="G1801" i="1"/>
  <c r="F1801" i="1"/>
  <c r="B1801" i="1"/>
  <c r="W1800" i="1"/>
  <c r="T1800" i="1"/>
  <c r="P1800" i="1"/>
  <c r="J1800" i="1"/>
  <c r="G1800" i="1"/>
  <c r="F1800" i="1"/>
  <c r="B1800" i="1"/>
  <c r="W1799" i="1"/>
  <c r="T1799" i="1"/>
  <c r="P1799" i="1"/>
  <c r="J1799" i="1"/>
  <c r="G1799" i="1"/>
  <c r="F1799" i="1"/>
  <c r="B1799" i="1"/>
  <c r="W1798" i="1"/>
  <c r="T1798" i="1"/>
  <c r="P1798" i="1"/>
  <c r="J1798" i="1"/>
  <c r="G1798" i="1"/>
  <c r="F1798" i="1"/>
  <c r="B1798" i="1"/>
  <c r="W1797" i="1"/>
  <c r="T1797" i="1"/>
  <c r="P1797" i="1"/>
  <c r="J1797" i="1"/>
  <c r="G1797" i="1"/>
  <c r="F1797" i="1"/>
  <c r="B1797" i="1"/>
  <c r="W1796" i="1"/>
  <c r="T1796" i="1"/>
  <c r="P1796" i="1"/>
  <c r="J1796" i="1"/>
  <c r="G1796" i="1"/>
  <c r="F1796" i="1"/>
  <c r="B1796" i="1"/>
  <c r="W1795" i="1"/>
  <c r="T1795" i="1"/>
  <c r="P1795" i="1"/>
  <c r="J1795" i="1"/>
  <c r="G1795" i="1"/>
  <c r="F1795" i="1"/>
  <c r="B1795" i="1"/>
  <c r="W1794" i="1"/>
  <c r="T1794" i="1"/>
  <c r="P1794" i="1"/>
  <c r="J1794" i="1"/>
  <c r="G1794" i="1"/>
  <c r="F1794" i="1"/>
  <c r="B1794" i="1"/>
  <c r="W1793" i="1"/>
  <c r="T1793" i="1"/>
  <c r="P1793" i="1"/>
  <c r="J1793" i="1"/>
  <c r="G1793" i="1"/>
  <c r="F1793" i="1"/>
  <c r="B1793" i="1"/>
  <c r="W1792" i="1"/>
  <c r="T1792" i="1"/>
  <c r="P1792" i="1"/>
  <c r="J1792" i="1"/>
  <c r="G1792" i="1"/>
  <c r="F1792" i="1"/>
  <c r="B1792" i="1"/>
  <c r="W1791" i="1"/>
  <c r="T1791" i="1"/>
  <c r="P1791" i="1"/>
  <c r="J1791" i="1"/>
  <c r="G1791" i="1"/>
  <c r="F1791" i="1"/>
  <c r="B1791" i="1"/>
  <c r="W1790" i="1"/>
  <c r="T1790" i="1"/>
  <c r="P1790" i="1"/>
  <c r="J1790" i="1"/>
  <c r="G1790" i="1"/>
  <c r="F1790" i="1"/>
  <c r="B1790" i="1"/>
  <c r="W1789" i="1"/>
  <c r="T1789" i="1"/>
  <c r="P1789" i="1"/>
  <c r="J1789" i="1"/>
  <c r="G1789" i="1"/>
  <c r="F1789" i="1"/>
  <c r="B1789" i="1"/>
  <c r="W1788" i="1"/>
  <c r="T1788" i="1"/>
  <c r="P1788" i="1"/>
  <c r="J1788" i="1"/>
  <c r="G1788" i="1"/>
  <c r="F1788" i="1"/>
  <c r="B1788" i="1"/>
  <c r="W1787" i="1"/>
  <c r="T1787" i="1"/>
  <c r="P1787" i="1"/>
  <c r="J1787" i="1"/>
  <c r="G1787" i="1"/>
  <c r="F1787" i="1"/>
  <c r="B1787" i="1"/>
  <c r="W1786" i="1"/>
  <c r="T1786" i="1"/>
  <c r="P1786" i="1"/>
  <c r="J1786" i="1"/>
  <c r="G1786" i="1"/>
  <c r="F1786" i="1"/>
  <c r="B1786" i="1"/>
  <c r="W1785" i="1"/>
  <c r="T1785" i="1"/>
  <c r="P1785" i="1"/>
  <c r="J1785" i="1"/>
  <c r="G1785" i="1"/>
  <c r="F1785" i="1"/>
  <c r="B1785" i="1"/>
  <c r="W1784" i="1"/>
  <c r="T1784" i="1"/>
  <c r="P1784" i="1"/>
  <c r="J1784" i="1"/>
  <c r="G1784" i="1"/>
  <c r="F1784" i="1"/>
  <c r="B1784" i="1"/>
  <c r="W1783" i="1"/>
  <c r="T1783" i="1"/>
  <c r="P1783" i="1"/>
  <c r="J1783" i="1"/>
  <c r="G1783" i="1"/>
  <c r="F1783" i="1"/>
  <c r="B1783" i="1"/>
  <c r="W1782" i="1"/>
  <c r="T1782" i="1"/>
  <c r="P1782" i="1"/>
  <c r="J1782" i="1"/>
  <c r="G1782" i="1"/>
  <c r="F1782" i="1"/>
  <c r="B1782" i="1"/>
  <c r="W1781" i="1"/>
  <c r="T1781" i="1"/>
  <c r="P1781" i="1"/>
  <c r="J1781" i="1"/>
  <c r="G1781" i="1"/>
  <c r="F1781" i="1"/>
  <c r="B1781" i="1"/>
  <c r="W1780" i="1"/>
  <c r="T1780" i="1"/>
  <c r="P1780" i="1"/>
  <c r="J1780" i="1"/>
  <c r="G1780" i="1"/>
  <c r="F1780" i="1"/>
  <c r="B1780" i="1"/>
  <c r="W1779" i="1"/>
  <c r="T1779" i="1"/>
  <c r="P1779" i="1"/>
  <c r="J1779" i="1"/>
  <c r="G1779" i="1"/>
  <c r="F1779" i="1"/>
  <c r="B1779" i="1"/>
  <c r="W1778" i="1"/>
  <c r="T1778" i="1"/>
  <c r="P1778" i="1"/>
  <c r="J1778" i="1"/>
  <c r="G1778" i="1"/>
  <c r="F1778" i="1"/>
  <c r="B1778" i="1"/>
  <c r="W1777" i="1"/>
  <c r="T1777" i="1"/>
  <c r="P1777" i="1"/>
  <c r="J1777" i="1"/>
  <c r="G1777" i="1"/>
  <c r="F1777" i="1"/>
  <c r="B1777" i="1"/>
  <c r="W1776" i="1"/>
  <c r="T1776" i="1"/>
  <c r="P1776" i="1"/>
  <c r="J1776" i="1"/>
  <c r="G1776" i="1"/>
  <c r="F1776" i="1"/>
  <c r="B1776" i="1"/>
  <c r="W1775" i="1"/>
  <c r="T1775" i="1"/>
  <c r="P1775" i="1"/>
  <c r="J1775" i="1"/>
  <c r="G1775" i="1"/>
  <c r="F1775" i="1"/>
  <c r="B1775" i="1"/>
  <c r="W1774" i="1"/>
  <c r="T1774" i="1"/>
  <c r="P1774" i="1"/>
  <c r="J1774" i="1"/>
  <c r="G1774" i="1"/>
  <c r="F1774" i="1"/>
  <c r="B1774" i="1"/>
  <c r="W1773" i="1"/>
  <c r="T1773" i="1"/>
  <c r="P1773" i="1"/>
  <c r="J1773" i="1"/>
  <c r="G1773" i="1"/>
  <c r="F1773" i="1"/>
  <c r="B1773" i="1"/>
  <c r="W1772" i="1"/>
  <c r="T1772" i="1"/>
  <c r="P1772" i="1"/>
  <c r="J1772" i="1"/>
  <c r="G1772" i="1"/>
  <c r="F1772" i="1"/>
  <c r="B1772" i="1"/>
  <c r="W1771" i="1"/>
  <c r="T1771" i="1"/>
  <c r="P1771" i="1"/>
  <c r="J1771" i="1"/>
  <c r="G1771" i="1"/>
  <c r="F1771" i="1"/>
  <c r="B1771" i="1"/>
  <c r="W1770" i="1"/>
  <c r="T1770" i="1"/>
  <c r="P1770" i="1"/>
  <c r="J1770" i="1"/>
  <c r="G1770" i="1"/>
  <c r="F1770" i="1"/>
  <c r="B1770" i="1"/>
  <c r="W1769" i="1"/>
  <c r="T1769" i="1"/>
  <c r="P1769" i="1"/>
  <c r="J1769" i="1"/>
  <c r="G1769" i="1"/>
  <c r="F1769" i="1"/>
  <c r="B1769" i="1"/>
  <c r="W1768" i="1"/>
  <c r="T1768" i="1"/>
  <c r="P1768" i="1"/>
  <c r="J1768" i="1"/>
  <c r="G1768" i="1"/>
  <c r="F1768" i="1"/>
  <c r="B1768" i="1"/>
  <c r="W1767" i="1"/>
  <c r="T1767" i="1"/>
  <c r="P1767" i="1"/>
  <c r="J1767" i="1"/>
  <c r="G1767" i="1"/>
  <c r="F1767" i="1"/>
  <c r="B1767" i="1"/>
  <c r="W1766" i="1"/>
  <c r="T1766" i="1"/>
  <c r="P1766" i="1"/>
  <c r="J1766" i="1"/>
  <c r="G1766" i="1"/>
  <c r="F1766" i="1"/>
  <c r="B1766" i="1"/>
  <c r="W1765" i="1"/>
  <c r="T1765" i="1"/>
  <c r="P1765" i="1"/>
  <c r="J1765" i="1"/>
  <c r="G1765" i="1"/>
  <c r="F1765" i="1"/>
  <c r="B1765" i="1"/>
  <c r="W1764" i="1"/>
  <c r="T1764" i="1"/>
  <c r="P1764" i="1"/>
  <c r="J1764" i="1"/>
  <c r="G1764" i="1"/>
  <c r="F1764" i="1"/>
  <c r="B1764" i="1"/>
  <c r="W1763" i="1"/>
  <c r="T1763" i="1"/>
  <c r="P1763" i="1"/>
  <c r="J1763" i="1"/>
  <c r="G1763" i="1"/>
  <c r="F1763" i="1"/>
  <c r="B1763" i="1"/>
  <c r="W1762" i="1"/>
  <c r="T1762" i="1"/>
  <c r="P1762" i="1"/>
  <c r="J1762" i="1"/>
  <c r="G1762" i="1"/>
  <c r="F1762" i="1"/>
  <c r="B1762" i="1"/>
  <c r="W1761" i="1"/>
  <c r="T1761" i="1"/>
  <c r="P1761" i="1"/>
  <c r="J1761" i="1"/>
  <c r="G1761" i="1"/>
  <c r="F1761" i="1"/>
  <c r="B1761" i="1"/>
  <c r="W1760" i="1"/>
  <c r="T1760" i="1"/>
  <c r="P1760" i="1"/>
  <c r="J1760" i="1"/>
  <c r="G1760" i="1"/>
  <c r="F1760" i="1"/>
  <c r="B1760" i="1"/>
  <c r="W1759" i="1"/>
  <c r="T1759" i="1"/>
  <c r="P1759" i="1"/>
  <c r="J1759" i="1"/>
  <c r="G1759" i="1"/>
  <c r="F1759" i="1"/>
  <c r="B1759" i="1"/>
  <c r="W1758" i="1"/>
  <c r="T1758" i="1"/>
  <c r="P1758" i="1"/>
  <c r="J1758" i="1"/>
  <c r="G1758" i="1"/>
  <c r="F1758" i="1"/>
  <c r="B1758" i="1"/>
  <c r="W1757" i="1"/>
  <c r="T1757" i="1"/>
  <c r="P1757" i="1"/>
  <c r="J1757" i="1"/>
  <c r="G1757" i="1"/>
  <c r="F1757" i="1"/>
  <c r="B1757" i="1"/>
  <c r="W1756" i="1"/>
  <c r="T1756" i="1"/>
  <c r="P1756" i="1"/>
  <c r="J1756" i="1"/>
  <c r="G1756" i="1"/>
  <c r="F1756" i="1"/>
  <c r="B1756" i="1"/>
  <c r="W1755" i="1"/>
  <c r="T1755" i="1"/>
  <c r="P1755" i="1"/>
  <c r="J1755" i="1"/>
  <c r="G1755" i="1"/>
  <c r="F1755" i="1"/>
  <c r="B1755" i="1"/>
  <c r="W1754" i="1"/>
  <c r="T1754" i="1"/>
  <c r="P1754" i="1"/>
  <c r="J1754" i="1"/>
  <c r="G1754" i="1"/>
  <c r="F1754" i="1"/>
  <c r="B1754" i="1"/>
  <c r="W1753" i="1"/>
  <c r="T1753" i="1"/>
  <c r="P1753" i="1"/>
  <c r="J1753" i="1"/>
  <c r="G1753" i="1"/>
  <c r="F1753" i="1"/>
  <c r="B1753" i="1"/>
  <c r="W1752" i="1"/>
  <c r="T1752" i="1"/>
  <c r="P1752" i="1"/>
  <c r="J1752" i="1"/>
  <c r="G1752" i="1"/>
  <c r="F1752" i="1"/>
  <c r="B1752" i="1"/>
  <c r="W1751" i="1"/>
  <c r="T1751" i="1"/>
  <c r="P1751" i="1"/>
  <c r="J1751" i="1"/>
  <c r="G1751" i="1"/>
  <c r="F1751" i="1"/>
  <c r="B1751" i="1"/>
  <c r="W1750" i="1"/>
  <c r="T1750" i="1"/>
  <c r="P1750" i="1"/>
  <c r="J1750" i="1"/>
  <c r="G1750" i="1"/>
  <c r="F1750" i="1"/>
  <c r="B1750" i="1"/>
  <c r="W1749" i="1"/>
  <c r="T1749" i="1"/>
  <c r="P1749" i="1"/>
  <c r="J1749" i="1"/>
  <c r="G1749" i="1"/>
  <c r="F1749" i="1"/>
  <c r="B1749" i="1"/>
  <c r="W1748" i="1"/>
  <c r="T1748" i="1"/>
  <c r="P1748" i="1"/>
  <c r="J1748" i="1"/>
  <c r="G1748" i="1"/>
  <c r="F1748" i="1"/>
  <c r="B1748" i="1"/>
  <c r="W1747" i="1"/>
  <c r="T1747" i="1"/>
  <c r="P1747" i="1"/>
  <c r="J1747" i="1"/>
  <c r="G1747" i="1"/>
  <c r="F1747" i="1"/>
  <c r="B1747" i="1"/>
  <c r="W1746" i="1"/>
  <c r="T1746" i="1"/>
  <c r="P1746" i="1"/>
  <c r="J1746" i="1"/>
  <c r="G1746" i="1"/>
  <c r="F1746" i="1"/>
  <c r="B1746" i="1"/>
  <c r="W1745" i="1"/>
  <c r="T1745" i="1"/>
  <c r="P1745" i="1"/>
  <c r="J1745" i="1"/>
  <c r="G1745" i="1"/>
  <c r="F1745" i="1"/>
  <c r="B1745" i="1"/>
  <c r="W1744" i="1"/>
  <c r="T1744" i="1"/>
  <c r="P1744" i="1"/>
  <c r="J1744" i="1"/>
  <c r="G1744" i="1"/>
  <c r="F1744" i="1"/>
  <c r="B1744" i="1"/>
  <c r="W1743" i="1"/>
  <c r="T1743" i="1"/>
  <c r="P1743" i="1"/>
  <c r="J1743" i="1"/>
  <c r="G1743" i="1"/>
  <c r="F1743" i="1"/>
  <c r="B1743" i="1"/>
  <c r="W1742" i="1"/>
  <c r="T1742" i="1"/>
  <c r="P1742" i="1"/>
  <c r="J1742" i="1"/>
  <c r="G1742" i="1"/>
  <c r="F1742" i="1"/>
  <c r="B1742" i="1"/>
  <c r="W1741" i="1"/>
  <c r="T1741" i="1"/>
  <c r="P1741" i="1"/>
  <c r="J1741" i="1"/>
  <c r="G1741" i="1"/>
  <c r="F1741" i="1"/>
  <c r="B1741" i="1"/>
  <c r="W1740" i="1"/>
  <c r="T1740" i="1"/>
  <c r="P1740" i="1"/>
  <c r="J1740" i="1"/>
  <c r="G1740" i="1"/>
  <c r="F1740" i="1"/>
  <c r="B1740" i="1"/>
  <c r="W1739" i="1"/>
  <c r="T1739" i="1"/>
  <c r="P1739" i="1"/>
  <c r="J1739" i="1"/>
  <c r="G1739" i="1"/>
  <c r="F1739" i="1"/>
  <c r="B1739" i="1"/>
  <c r="W1738" i="1"/>
  <c r="T1738" i="1"/>
  <c r="P1738" i="1"/>
  <c r="J1738" i="1"/>
  <c r="G1738" i="1"/>
  <c r="F1738" i="1"/>
  <c r="B1738" i="1"/>
  <c r="W1737" i="1"/>
  <c r="T1737" i="1"/>
  <c r="P1737" i="1"/>
  <c r="J1737" i="1"/>
  <c r="G1737" i="1"/>
  <c r="F1737" i="1"/>
  <c r="B1737" i="1"/>
  <c r="W1736" i="1"/>
  <c r="T1736" i="1"/>
  <c r="P1736" i="1"/>
  <c r="J1736" i="1"/>
  <c r="G1736" i="1"/>
  <c r="F1736" i="1"/>
  <c r="B1736" i="1"/>
  <c r="W1735" i="1"/>
  <c r="T1735" i="1"/>
  <c r="P1735" i="1"/>
  <c r="J1735" i="1"/>
  <c r="G1735" i="1"/>
  <c r="F1735" i="1"/>
  <c r="B1735" i="1"/>
  <c r="W1734" i="1"/>
  <c r="T1734" i="1"/>
  <c r="P1734" i="1"/>
  <c r="J1734" i="1"/>
  <c r="G1734" i="1"/>
  <c r="F1734" i="1"/>
  <c r="B1734" i="1"/>
  <c r="W1733" i="1"/>
  <c r="T1733" i="1"/>
  <c r="P1733" i="1"/>
  <c r="J1733" i="1"/>
  <c r="G1733" i="1"/>
  <c r="F1733" i="1"/>
  <c r="B1733" i="1"/>
  <c r="W1732" i="1"/>
  <c r="T1732" i="1"/>
  <c r="P1732" i="1"/>
  <c r="J1732" i="1"/>
  <c r="G1732" i="1"/>
  <c r="F1732" i="1"/>
  <c r="B1732" i="1"/>
  <c r="W1731" i="1"/>
  <c r="T1731" i="1"/>
  <c r="P1731" i="1"/>
  <c r="J1731" i="1"/>
  <c r="G1731" i="1"/>
  <c r="F1731" i="1"/>
  <c r="B1731" i="1"/>
  <c r="W1730" i="1"/>
  <c r="T1730" i="1"/>
  <c r="P1730" i="1"/>
  <c r="J1730" i="1"/>
  <c r="G1730" i="1"/>
  <c r="F1730" i="1"/>
  <c r="B1730" i="1"/>
  <c r="W1729" i="1"/>
  <c r="T1729" i="1"/>
  <c r="P1729" i="1"/>
  <c r="J1729" i="1"/>
  <c r="G1729" i="1"/>
  <c r="F1729" i="1"/>
  <c r="B1729" i="1"/>
  <c r="W1728" i="1"/>
  <c r="T1728" i="1"/>
  <c r="P1728" i="1"/>
  <c r="J1728" i="1"/>
  <c r="G1728" i="1"/>
  <c r="F1728" i="1"/>
  <c r="B1728" i="1"/>
  <c r="W1727" i="1"/>
  <c r="T1727" i="1"/>
  <c r="P1727" i="1"/>
  <c r="J1727" i="1"/>
  <c r="G1727" i="1"/>
  <c r="F1727" i="1"/>
  <c r="B1727" i="1"/>
  <c r="W1726" i="1"/>
  <c r="T1726" i="1"/>
  <c r="P1726" i="1"/>
  <c r="J1726" i="1"/>
  <c r="G1726" i="1"/>
  <c r="F1726" i="1"/>
  <c r="B1726" i="1"/>
  <c r="W1725" i="1"/>
  <c r="T1725" i="1"/>
  <c r="P1725" i="1"/>
  <c r="J1725" i="1"/>
  <c r="G1725" i="1"/>
  <c r="F1725" i="1"/>
  <c r="B1725" i="1"/>
  <c r="W1724" i="1"/>
  <c r="T1724" i="1"/>
  <c r="P1724" i="1"/>
  <c r="J1724" i="1"/>
  <c r="G1724" i="1"/>
  <c r="F1724" i="1"/>
  <c r="B1724" i="1"/>
  <c r="W1723" i="1"/>
  <c r="T1723" i="1"/>
  <c r="P1723" i="1"/>
  <c r="J1723" i="1"/>
  <c r="G1723" i="1"/>
  <c r="F1723" i="1"/>
  <c r="B1723" i="1"/>
  <c r="W1722" i="1"/>
  <c r="T1722" i="1"/>
  <c r="P1722" i="1"/>
  <c r="J1722" i="1"/>
  <c r="G1722" i="1"/>
  <c r="F1722" i="1"/>
  <c r="B1722" i="1"/>
  <c r="W1721" i="1"/>
  <c r="T1721" i="1"/>
  <c r="P1721" i="1"/>
  <c r="J1721" i="1"/>
  <c r="G1721" i="1"/>
  <c r="F1721" i="1"/>
  <c r="B1721" i="1"/>
  <c r="W1720" i="1"/>
  <c r="T1720" i="1"/>
  <c r="P1720" i="1"/>
  <c r="J1720" i="1"/>
  <c r="G1720" i="1"/>
  <c r="F1720" i="1"/>
  <c r="B1720" i="1"/>
  <c r="W1719" i="1"/>
  <c r="T1719" i="1"/>
  <c r="P1719" i="1"/>
  <c r="J1719" i="1"/>
  <c r="G1719" i="1"/>
  <c r="F1719" i="1"/>
  <c r="B1719" i="1"/>
  <c r="W1718" i="1"/>
  <c r="T1718" i="1"/>
  <c r="P1718" i="1"/>
  <c r="J1718" i="1"/>
  <c r="G1718" i="1"/>
  <c r="F1718" i="1"/>
  <c r="B1718" i="1"/>
  <c r="W1717" i="1"/>
  <c r="T1717" i="1"/>
  <c r="P1717" i="1"/>
  <c r="J1717" i="1"/>
  <c r="G1717" i="1"/>
  <c r="F1717" i="1"/>
  <c r="B1717" i="1"/>
  <c r="W1716" i="1"/>
  <c r="T1716" i="1"/>
  <c r="P1716" i="1"/>
  <c r="J1716" i="1"/>
  <c r="G1716" i="1"/>
  <c r="F1716" i="1"/>
  <c r="B1716" i="1"/>
  <c r="W1715" i="1"/>
  <c r="T1715" i="1"/>
  <c r="P1715" i="1"/>
  <c r="J1715" i="1"/>
  <c r="G1715" i="1"/>
  <c r="F1715" i="1"/>
  <c r="B1715" i="1"/>
  <c r="W1714" i="1"/>
  <c r="T1714" i="1"/>
  <c r="P1714" i="1"/>
  <c r="J1714" i="1"/>
  <c r="G1714" i="1"/>
  <c r="F1714" i="1"/>
  <c r="B1714" i="1"/>
  <c r="W1713" i="1"/>
  <c r="T1713" i="1"/>
  <c r="P1713" i="1"/>
  <c r="J1713" i="1"/>
  <c r="G1713" i="1"/>
  <c r="F1713" i="1"/>
  <c r="B1713" i="1"/>
  <c r="W1712" i="1"/>
  <c r="T1712" i="1"/>
  <c r="P1712" i="1"/>
  <c r="J1712" i="1"/>
  <c r="G1712" i="1"/>
  <c r="F1712" i="1"/>
  <c r="B1712" i="1"/>
  <c r="W1711" i="1"/>
  <c r="T1711" i="1"/>
  <c r="P1711" i="1"/>
  <c r="J1711" i="1"/>
  <c r="G1711" i="1"/>
  <c r="F1711" i="1"/>
  <c r="B1711" i="1"/>
  <c r="W1710" i="1"/>
  <c r="T1710" i="1"/>
  <c r="P1710" i="1"/>
  <c r="J1710" i="1"/>
  <c r="G1710" i="1"/>
  <c r="F1710" i="1"/>
  <c r="B1710" i="1"/>
  <c r="W1709" i="1"/>
  <c r="T1709" i="1"/>
  <c r="P1709" i="1"/>
  <c r="J1709" i="1"/>
  <c r="G1709" i="1"/>
  <c r="F1709" i="1"/>
  <c r="B1709" i="1"/>
  <c r="W1708" i="1"/>
  <c r="T1708" i="1"/>
  <c r="P1708" i="1"/>
  <c r="J1708" i="1"/>
  <c r="G1708" i="1"/>
  <c r="F1708" i="1"/>
  <c r="B1708" i="1"/>
  <c r="W1707" i="1"/>
  <c r="T1707" i="1"/>
  <c r="P1707" i="1"/>
  <c r="J1707" i="1"/>
  <c r="G1707" i="1"/>
  <c r="F1707" i="1"/>
  <c r="B1707" i="1"/>
  <c r="W1706" i="1"/>
  <c r="T1706" i="1"/>
  <c r="P1706" i="1"/>
  <c r="J1706" i="1"/>
  <c r="G1706" i="1"/>
  <c r="F1706" i="1"/>
  <c r="B1706" i="1"/>
  <c r="W1705" i="1"/>
  <c r="T1705" i="1"/>
  <c r="P1705" i="1"/>
  <c r="J1705" i="1"/>
  <c r="G1705" i="1"/>
  <c r="F1705" i="1"/>
  <c r="B1705" i="1"/>
  <c r="W1704" i="1"/>
  <c r="T1704" i="1"/>
  <c r="P1704" i="1"/>
  <c r="J1704" i="1"/>
  <c r="G1704" i="1"/>
  <c r="F1704" i="1"/>
  <c r="B1704" i="1"/>
  <c r="W1703" i="1"/>
  <c r="T1703" i="1"/>
  <c r="P1703" i="1"/>
  <c r="J1703" i="1"/>
  <c r="G1703" i="1"/>
  <c r="F1703" i="1"/>
  <c r="B1703" i="1"/>
  <c r="W1702" i="1"/>
  <c r="T1702" i="1"/>
  <c r="P1702" i="1"/>
  <c r="J1702" i="1"/>
  <c r="G1702" i="1"/>
  <c r="F1702" i="1"/>
  <c r="B1702" i="1"/>
  <c r="W1701" i="1"/>
  <c r="T1701" i="1"/>
  <c r="P1701" i="1"/>
  <c r="J1701" i="1"/>
  <c r="G1701" i="1"/>
  <c r="F1701" i="1"/>
  <c r="B1701" i="1"/>
  <c r="W1700" i="1"/>
  <c r="T1700" i="1"/>
  <c r="P1700" i="1"/>
  <c r="J1700" i="1"/>
  <c r="G1700" i="1"/>
  <c r="F1700" i="1"/>
  <c r="B1700" i="1"/>
  <c r="W1699" i="1"/>
  <c r="T1699" i="1"/>
  <c r="P1699" i="1"/>
  <c r="J1699" i="1"/>
  <c r="G1699" i="1"/>
  <c r="F1699" i="1"/>
  <c r="B1699" i="1"/>
  <c r="W1698" i="1"/>
  <c r="T1698" i="1"/>
  <c r="P1698" i="1"/>
  <c r="J1698" i="1"/>
  <c r="G1698" i="1"/>
  <c r="F1698" i="1"/>
  <c r="B1698" i="1"/>
  <c r="W1697" i="1"/>
  <c r="T1697" i="1"/>
  <c r="P1697" i="1"/>
  <c r="J1697" i="1"/>
  <c r="G1697" i="1"/>
  <c r="F1697" i="1"/>
  <c r="B1697" i="1"/>
  <c r="W1696" i="1"/>
  <c r="T1696" i="1"/>
  <c r="P1696" i="1"/>
  <c r="J1696" i="1"/>
  <c r="G1696" i="1"/>
  <c r="F1696" i="1"/>
  <c r="B1696" i="1"/>
  <c r="W1695" i="1"/>
  <c r="T1695" i="1"/>
  <c r="P1695" i="1"/>
  <c r="J1695" i="1"/>
  <c r="G1695" i="1"/>
  <c r="F1695" i="1"/>
  <c r="B1695" i="1"/>
  <c r="W1694" i="1"/>
  <c r="T1694" i="1"/>
  <c r="P1694" i="1"/>
  <c r="J1694" i="1"/>
  <c r="G1694" i="1"/>
  <c r="F1694" i="1"/>
  <c r="B1694" i="1"/>
  <c r="W1693" i="1"/>
  <c r="T1693" i="1"/>
  <c r="P1693" i="1"/>
  <c r="J1693" i="1"/>
  <c r="G1693" i="1"/>
  <c r="F1693" i="1"/>
  <c r="B1693" i="1"/>
  <c r="W1692" i="1"/>
  <c r="T1692" i="1"/>
  <c r="P1692" i="1"/>
  <c r="J1692" i="1"/>
  <c r="G1692" i="1"/>
  <c r="F1692" i="1"/>
  <c r="B1692" i="1"/>
  <c r="W1691" i="1"/>
  <c r="T1691" i="1"/>
  <c r="P1691" i="1"/>
  <c r="J1691" i="1"/>
  <c r="G1691" i="1"/>
  <c r="F1691" i="1"/>
  <c r="B1691" i="1"/>
  <c r="W1690" i="1"/>
  <c r="T1690" i="1"/>
  <c r="P1690" i="1"/>
  <c r="J1690" i="1"/>
  <c r="G1690" i="1"/>
  <c r="F1690" i="1"/>
  <c r="B1690" i="1"/>
  <c r="W1689" i="1"/>
  <c r="T1689" i="1"/>
  <c r="P1689" i="1"/>
  <c r="J1689" i="1"/>
  <c r="G1689" i="1"/>
  <c r="F1689" i="1"/>
  <c r="B1689" i="1"/>
  <c r="W1688" i="1"/>
  <c r="T1688" i="1"/>
  <c r="P1688" i="1"/>
  <c r="J1688" i="1"/>
  <c r="G1688" i="1"/>
  <c r="F1688" i="1"/>
  <c r="B1688" i="1"/>
  <c r="W1687" i="1"/>
  <c r="T1687" i="1"/>
  <c r="P1687" i="1"/>
  <c r="J1687" i="1"/>
  <c r="G1687" i="1"/>
  <c r="F1687" i="1"/>
  <c r="B1687" i="1"/>
  <c r="W1686" i="1"/>
  <c r="T1686" i="1"/>
  <c r="P1686" i="1"/>
  <c r="J1686" i="1"/>
  <c r="G1686" i="1"/>
  <c r="F1686" i="1"/>
  <c r="B1686" i="1"/>
  <c r="W1685" i="1"/>
  <c r="T1685" i="1"/>
  <c r="P1685" i="1"/>
  <c r="J1685" i="1"/>
  <c r="G1685" i="1"/>
  <c r="F1685" i="1"/>
  <c r="B1685" i="1"/>
  <c r="W1684" i="1"/>
  <c r="T1684" i="1"/>
  <c r="P1684" i="1"/>
  <c r="J1684" i="1"/>
  <c r="G1684" i="1"/>
  <c r="F1684" i="1"/>
  <c r="B1684" i="1"/>
  <c r="W1683" i="1"/>
  <c r="T1683" i="1"/>
  <c r="P1683" i="1"/>
  <c r="J1683" i="1"/>
  <c r="G1683" i="1"/>
  <c r="F1683" i="1"/>
  <c r="B1683" i="1"/>
  <c r="W1682" i="1"/>
  <c r="T1682" i="1"/>
  <c r="P1682" i="1"/>
  <c r="J1682" i="1"/>
  <c r="G1682" i="1"/>
  <c r="F1682" i="1"/>
  <c r="B1682" i="1"/>
  <c r="W1681" i="1"/>
  <c r="T1681" i="1"/>
  <c r="P1681" i="1"/>
  <c r="J1681" i="1"/>
  <c r="G1681" i="1"/>
  <c r="F1681" i="1"/>
  <c r="B1681" i="1"/>
  <c r="W1680" i="1"/>
  <c r="T1680" i="1"/>
  <c r="P1680" i="1"/>
  <c r="J1680" i="1"/>
  <c r="G1680" i="1"/>
  <c r="F1680" i="1"/>
  <c r="B1680" i="1"/>
  <c r="W1679" i="1"/>
  <c r="T1679" i="1"/>
  <c r="P1679" i="1"/>
  <c r="J1679" i="1"/>
  <c r="G1679" i="1"/>
  <c r="F1679" i="1"/>
  <c r="B1679" i="1"/>
  <c r="W1678" i="1"/>
  <c r="T1678" i="1"/>
  <c r="P1678" i="1"/>
  <c r="J1678" i="1"/>
  <c r="G1678" i="1"/>
  <c r="F1678" i="1"/>
  <c r="B1678" i="1"/>
  <c r="W1677" i="1"/>
  <c r="T1677" i="1"/>
  <c r="P1677" i="1"/>
  <c r="J1677" i="1"/>
  <c r="G1677" i="1"/>
  <c r="F1677" i="1"/>
  <c r="B1677" i="1"/>
  <c r="W1676" i="1"/>
  <c r="T1676" i="1"/>
  <c r="P1676" i="1"/>
  <c r="J1676" i="1"/>
  <c r="G1676" i="1"/>
  <c r="F1676" i="1"/>
  <c r="B1676" i="1"/>
  <c r="W1675" i="1"/>
  <c r="T1675" i="1"/>
  <c r="P1675" i="1"/>
  <c r="J1675" i="1"/>
  <c r="G1675" i="1"/>
  <c r="F1675" i="1"/>
  <c r="B1675" i="1"/>
  <c r="W1674" i="1"/>
  <c r="T1674" i="1"/>
  <c r="P1674" i="1"/>
  <c r="J1674" i="1"/>
  <c r="G1674" i="1"/>
  <c r="F1674" i="1"/>
  <c r="B1674" i="1"/>
  <c r="W1673" i="1"/>
  <c r="T1673" i="1"/>
  <c r="P1673" i="1"/>
  <c r="J1673" i="1"/>
  <c r="G1673" i="1"/>
  <c r="F1673" i="1"/>
  <c r="B1673" i="1"/>
  <c r="W1672" i="1"/>
  <c r="T1672" i="1"/>
  <c r="P1672" i="1"/>
  <c r="J1672" i="1"/>
  <c r="G1672" i="1"/>
  <c r="F1672" i="1"/>
  <c r="B1672" i="1"/>
  <c r="W1671" i="1"/>
  <c r="T1671" i="1"/>
  <c r="P1671" i="1"/>
  <c r="J1671" i="1"/>
  <c r="G1671" i="1"/>
  <c r="F1671" i="1"/>
  <c r="B1671" i="1"/>
  <c r="W1670" i="1"/>
  <c r="T1670" i="1"/>
  <c r="P1670" i="1"/>
  <c r="J1670" i="1"/>
  <c r="G1670" i="1"/>
  <c r="F1670" i="1"/>
  <c r="B1670" i="1"/>
  <c r="W1669" i="1"/>
  <c r="T1669" i="1"/>
  <c r="P1669" i="1"/>
  <c r="J1669" i="1"/>
  <c r="G1669" i="1"/>
  <c r="F1669" i="1"/>
  <c r="B1669" i="1"/>
  <c r="W1668" i="1"/>
  <c r="T1668" i="1"/>
  <c r="P1668" i="1"/>
  <c r="J1668" i="1"/>
  <c r="G1668" i="1"/>
  <c r="F1668" i="1"/>
  <c r="B1668" i="1"/>
  <c r="W1667" i="1"/>
  <c r="T1667" i="1"/>
  <c r="P1667" i="1"/>
  <c r="J1667" i="1"/>
  <c r="G1667" i="1"/>
  <c r="F1667" i="1"/>
  <c r="B1667" i="1"/>
  <c r="W1666" i="1"/>
  <c r="T1666" i="1"/>
  <c r="P1666" i="1"/>
  <c r="J1666" i="1"/>
  <c r="G1666" i="1"/>
  <c r="F1666" i="1"/>
  <c r="B1666" i="1"/>
  <c r="W1665" i="1"/>
  <c r="T1665" i="1"/>
  <c r="P1665" i="1"/>
  <c r="J1665" i="1"/>
  <c r="G1665" i="1"/>
  <c r="F1665" i="1"/>
  <c r="B1665" i="1"/>
  <c r="W1664" i="1"/>
  <c r="T1664" i="1"/>
  <c r="P1664" i="1"/>
  <c r="J1664" i="1"/>
  <c r="G1664" i="1"/>
  <c r="F1664" i="1"/>
  <c r="B1664" i="1"/>
  <c r="W1663" i="1"/>
  <c r="T1663" i="1"/>
  <c r="P1663" i="1"/>
  <c r="J1663" i="1"/>
  <c r="G1663" i="1"/>
  <c r="F1663" i="1"/>
  <c r="B1663" i="1"/>
  <c r="W1662" i="1"/>
  <c r="T1662" i="1"/>
  <c r="P1662" i="1"/>
  <c r="J1662" i="1"/>
  <c r="G1662" i="1"/>
  <c r="F1662" i="1"/>
  <c r="B1662" i="1"/>
  <c r="W1661" i="1"/>
  <c r="T1661" i="1"/>
  <c r="P1661" i="1"/>
  <c r="J1661" i="1"/>
  <c r="G1661" i="1"/>
  <c r="F1661" i="1"/>
  <c r="B1661" i="1"/>
  <c r="W1660" i="1"/>
  <c r="T1660" i="1"/>
  <c r="P1660" i="1"/>
  <c r="J1660" i="1"/>
  <c r="G1660" i="1"/>
  <c r="F1660" i="1"/>
  <c r="B1660" i="1"/>
  <c r="W1659" i="1"/>
  <c r="T1659" i="1"/>
  <c r="P1659" i="1"/>
  <c r="J1659" i="1"/>
  <c r="G1659" i="1"/>
  <c r="F1659" i="1"/>
  <c r="B1659" i="1"/>
  <c r="W1658" i="1"/>
  <c r="T1658" i="1"/>
  <c r="P1658" i="1"/>
  <c r="J1658" i="1"/>
  <c r="G1658" i="1"/>
  <c r="F1658" i="1"/>
  <c r="B1658" i="1"/>
  <c r="W1657" i="1"/>
  <c r="T1657" i="1"/>
  <c r="P1657" i="1"/>
  <c r="J1657" i="1"/>
  <c r="G1657" i="1"/>
  <c r="F1657" i="1"/>
  <c r="B1657" i="1"/>
  <c r="W1656" i="1"/>
  <c r="T1656" i="1"/>
  <c r="P1656" i="1"/>
  <c r="J1656" i="1"/>
  <c r="G1656" i="1"/>
  <c r="F1656" i="1"/>
  <c r="B1656" i="1"/>
  <c r="W1655" i="1"/>
  <c r="T1655" i="1"/>
  <c r="P1655" i="1"/>
  <c r="J1655" i="1"/>
  <c r="G1655" i="1"/>
  <c r="F1655" i="1"/>
  <c r="B1655" i="1"/>
  <c r="W1654" i="1"/>
  <c r="T1654" i="1"/>
  <c r="P1654" i="1"/>
  <c r="J1654" i="1"/>
  <c r="G1654" i="1"/>
  <c r="F1654" i="1"/>
  <c r="B1654" i="1"/>
  <c r="W1653" i="1"/>
  <c r="T1653" i="1"/>
  <c r="P1653" i="1"/>
  <c r="J1653" i="1"/>
  <c r="G1653" i="1"/>
  <c r="F1653" i="1"/>
  <c r="B1653" i="1"/>
  <c r="W1652" i="1"/>
  <c r="T1652" i="1"/>
  <c r="P1652" i="1"/>
  <c r="J1652" i="1"/>
  <c r="G1652" i="1"/>
  <c r="F1652" i="1"/>
  <c r="B1652" i="1"/>
  <c r="W1651" i="1"/>
  <c r="T1651" i="1"/>
  <c r="P1651" i="1"/>
  <c r="J1651" i="1"/>
  <c r="G1651" i="1"/>
  <c r="F1651" i="1"/>
  <c r="B1651" i="1"/>
  <c r="W1650" i="1"/>
  <c r="T1650" i="1"/>
  <c r="P1650" i="1"/>
  <c r="J1650" i="1"/>
  <c r="G1650" i="1"/>
  <c r="F1650" i="1"/>
  <c r="B1650" i="1"/>
  <c r="W1649" i="1"/>
  <c r="T1649" i="1"/>
  <c r="P1649" i="1"/>
  <c r="J1649" i="1"/>
  <c r="G1649" i="1"/>
  <c r="F1649" i="1"/>
  <c r="B1649" i="1"/>
  <c r="W1648" i="1"/>
  <c r="T1648" i="1"/>
  <c r="P1648" i="1"/>
  <c r="J1648" i="1"/>
  <c r="G1648" i="1"/>
  <c r="F1648" i="1"/>
  <c r="B1648" i="1"/>
  <c r="W1647" i="1"/>
  <c r="T1647" i="1"/>
  <c r="P1647" i="1"/>
  <c r="J1647" i="1"/>
  <c r="G1647" i="1"/>
  <c r="F1647" i="1"/>
  <c r="B1647" i="1"/>
  <c r="W1646" i="1"/>
  <c r="T1646" i="1"/>
  <c r="P1646" i="1"/>
  <c r="J1646" i="1"/>
  <c r="G1646" i="1"/>
  <c r="F1646" i="1"/>
  <c r="B1646" i="1"/>
  <c r="W1645" i="1"/>
  <c r="T1645" i="1"/>
  <c r="P1645" i="1"/>
  <c r="J1645" i="1"/>
  <c r="G1645" i="1"/>
  <c r="F1645" i="1"/>
  <c r="B1645" i="1"/>
  <c r="W1644" i="1"/>
  <c r="T1644" i="1"/>
  <c r="P1644" i="1"/>
  <c r="J1644" i="1"/>
  <c r="G1644" i="1"/>
  <c r="F1644" i="1"/>
  <c r="B1644" i="1"/>
  <c r="W1643" i="1"/>
  <c r="T1643" i="1"/>
  <c r="P1643" i="1"/>
  <c r="J1643" i="1"/>
  <c r="G1643" i="1"/>
  <c r="F1643" i="1"/>
  <c r="B1643" i="1"/>
  <c r="W1642" i="1"/>
  <c r="T1642" i="1"/>
  <c r="P1642" i="1"/>
  <c r="J1642" i="1"/>
  <c r="G1642" i="1"/>
  <c r="F1642" i="1"/>
  <c r="B1642" i="1"/>
  <c r="W1641" i="1"/>
  <c r="T1641" i="1"/>
  <c r="P1641" i="1"/>
  <c r="J1641" i="1"/>
  <c r="G1641" i="1"/>
  <c r="F1641" i="1"/>
  <c r="B1641" i="1"/>
  <c r="W1640" i="1"/>
  <c r="T1640" i="1"/>
  <c r="P1640" i="1"/>
  <c r="J1640" i="1"/>
  <c r="G1640" i="1"/>
  <c r="F1640" i="1"/>
  <c r="B1640" i="1"/>
  <c r="W1639" i="1"/>
  <c r="T1639" i="1"/>
  <c r="P1639" i="1"/>
  <c r="J1639" i="1"/>
  <c r="G1639" i="1"/>
  <c r="F1639" i="1"/>
  <c r="B1639" i="1"/>
  <c r="W1638" i="1"/>
  <c r="T1638" i="1"/>
  <c r="P1638" i="1"/>
  <c r="J1638" i="1"/>
  <c r="G1638" i="1"/>
  <c r="F1638" i="1"/>
  <c r="B1638" i="1"/>
  <c r="W1637" i="1"/>
  <c r="T1637" i="1"/>
  <c r="P1637" i="1"/>
  <c r="J1637" i="1"/>
  <c r="G1637" i="1"/>
  <c r="F1637" i="1"/>
  <c r="B1637" i="1"/>
  <c r="W1636" i="1"/>
  <c r="T1636" i="1"/>
  <c r="P1636" i="1"/>
  <c r="J1636" i="1"/>
  <c r="G1636" i="1"/>
  <c r="F1636" i="1"/>
  <c r="B1636" i="1"/>
  <c r="W1635" i="1"/>
  <c r="T1635" i="1"/>
  <c r="P1635" i="1"/>
  <c r="J1635" i="1"/>
  <c r="G1635" i="1"/>
  <c r="F1635" i="1"/>
  <c r="B1635" i="1"/>
  <c r="W1634" i="1"/>
  <c r="T1634" i="1"/>
  <c r="P1634" i="1"/>
  <c r="J1634" i="1"/>
  <c r="G1634" i="1"/>
  <c r="F1634" i="1"/>
  <c r="B1634" i="1"/>
  <c r="W1633" i="1"/>
  <c r="T1633" i="1"/>
  <c r="P1633" i="1"/>
  <c r="J1633" i="1"/>
  <c r="G1633" i="1"/>
  <c r="F1633" i="1"/>
  <c r="B1633" i="1"/>
  <c r="W1632" i="1"/>
  <c r="T1632" i="1"/>
  <c r="P1632" i="1"/>
  <c r="J1632" i="1"/>
  <c r="G1632" i="1"/>
  <c r="F1632" i="1"/>
  <c r="B1632" i="1"/>
  <c r="W1631" i="1"/>
  <c r="T1631" i="1"/>
  <c r="P1631" i="1"/>
  <c r="J1631" i="1"/>
  <c r="G1631" i="1"/>
  <c r="F1631" i="1"/>
  <c r="B1631" i="1"/>
  <c r="W1630" i="1"/>
  <c r="T1630" i="1"/>
  <c r="P1630" i="1"/>
  <c r="J1630" i="1"/>
  <c r="G1630" i="1"/>
  <c r="F1630" i="1"/>
  <c r="B1630" i="1"/>
  <c r="W1629" i="1"/>
  <c r="T1629" i="1"/>
  <c r="P1629" i="1"/>
  <c r="J1629" i="1"/>
  <c r="G1629" i="1"/>
  <c r="F1629" i="1"/>
  <c r="B1629" i="1"/>
  <c r="W1628" i="1"/>
  <c r="T1628" i="1"/>
  <c r="P1628" i="1"/>
  <c r="J1628" i="1"/>
  <c r="G1628" i="1"/>
  <c r="F1628" i="1"/>
  <c r="B1628" i="1"/>
  <c r="W1627" i="1"/>
  <c r="T1627" i="1"/>
  <c r="P1627" i="1"/>
  <c r="J1627" i="1"/>
  <c r="G1627" i="1"/>
  <c r="F1627" i="1"/>
  <c r="B1627" i="1"/>
  <c r="W1626" i="1"/>
  <c r="T1626" i="1"/>
  <c r="P1626" i="1"/>
  <c r="J1626" i="1"/>
  <c r="G1626" i="1"/>
  <c r="F1626" i="1"/>
  <c r="B1626" i="1"/>
  <c r="W1625" i="1"/>
  <c r="T1625" i="1"/>
  <c r="P1625" i="1"/>
  <c r="J1625" i="1"/>
  <c r="G1625" i="1"/>
  <c r="F1625" i="1"/>
  <c r="B1625" i="1"/>
  <c r="W1624" i="1"/>
  <c r="T1624" i="1"/>
  <c r="P1624" i="1"/>
  <c r="J1624" i="1"/>
  <c r="G1624" i="1"/>
  <c r="F1624" i="1"/>
  <c r="B1624" i="1"/>
  <c r="W1623" i="1"/>
  <c r="T1623" i="1"/>
  <c r="P1623" i="1"/>
  <c r="J1623" i="1"/>
  <c r="G1623" i="1"/>
  <c r="F1623" i="1"/>
  <c r="B1623" i="1"/>
  <c r="W1622" i="1"/>
  <c r="T1622" i="1"/>
  <c r="P1622" i="1"/>
  <c r="J1622" i="1"/>
  <c r="G1622" i="1"/>
  <c r="F1622" i="1"/>
  <c r="B1622" i="1"/>
  <c r="W1621" i="1"/>
  <c r="T1621" i="1"/>
  <c r="P1621" i="1"/>
  <c r="J1621" i="1"/>
  <c r="G1621" i="1"/>
  <c r="F1621" i="1"/>
  <c r="B1621" i="1"/>
  <c r="W1620" i="1"/>
  <c r="T1620" i="1"/>
  <c r="P1620" i="1"/>
  <c r="J1620" i="1"/>
  <c r="G1620" i="1"/>
  <c r="F1620" i="1"/>
  <c r="B1620" i="1"/>
  <c r="W1619" i="1"/>
  <c r="T1619" i="1"/>
  <c r="P1619" i="1"/>
  <c r="J1619" i="1"/>
  <c r="G1619" i="1"/>
  <c r="F1619" i="1"/>
  <c r="B1619" i="1"/>
  <c r="W1618" i="1"/>
  <c r="T1618" i="1"/>
  <c r="P1618" i="1"/>
  <c r="J1618" i="1"/>
  <c r="G1618" i="1"/>
  <c r="F1618" i="1"/>
  <c r="B1618" i="1"/>
  <c r="W1617" i="1"/>
  <c r="T1617" i="1"/>
  <c r="P1617" i="1"/>
  <c r="J1617" i="1"/>
  <c r="G1617" i="1"/>
  <c r="F1617" i="1"/>
  <c r="B1617" i="1"/>
  <c r="W1616" i="1"/>
  <c r="T1616" i="1"/>
  <c r="P1616" i="1"/>
  <c r="J1616" i="1"/>
  <c r="G1616" i="1"/>
  <c r="F1616" i="1"/>
  <c r="B1616" i="1"/>
  <c r="W1615" i="1"/>
  <c r="T1615" i="1"/>
  <c r="P1615" i="1"/>
  <c r="J1615" i="1"/>
  <c r="G1615" i="1"/>
  <c r="F1615" i="1"/>
  <c r="B1615" i="1"/>
  <c r="W1614" i="1"/>
  <c r="T1614" i="1"/>
  <c r="P1614" i="1"/>
  <c r="J1614" i="1"/>
  <c r="G1614" i="1"/>
  <c r="F1614" i="1"/>
  <c r="B1614" i="1"/>
  <c r="W1613" i="1"/>
  <c r="T1613" i="1"/>
  <c r="P1613" i="1"/>
  <c r="J1613" i="1"/>
  <c r="G1613" i="1"/>
  <c r="F1613" i="1"/>
  <c r="B1613" i="1"/>
  <c r="W1612" i="1"/>
  <c r="T1612" i="1"/>
  <c r="P1612" i="1"/>
  <c r="J1612" i="1"/>
  <c r="G1612" i="1"/>
  <c r="F1612" i="1"/>
  <c r="B1612" i="1"/>
  <c r="W1611" i="1"/>
  <c r="T1611" i="1"/>
  <c r="P1611" i="1"/>
  <c r="J1611" i="1"/>
  <c r="G1611" i="1"/>
  <c r="F1611" i="1"/>
  <c r="B1611" i="1"/>
  <c r="W1610" i="1"/>
  <c r="T1610" i="1"/>
  <c r="P1610" i="1"/>
  <c r="J1610" i="1"/>
  <c r="G1610" i="1"/>
  <c r="F1610" i="1"/>
  <c r="B1610" i="1"/>
  <c r="W1609" i="1"/>
  <c r="T1609" i="1"/>
  <c r="P1609" i="1"/>
  <c r="J1609" i="1"/>
  <c r="G1609" i="1"/>
  <c r="F1609" i="1"/>
  <c r="B1609" i="1"/>
  <c r="W1608" i="1"/>
  <c r="T1608" i="1"/>
  <c r="P1608" i="1"/>
  <c r="J1608" i="1"/>
  <c r="G1608" i="1"/>
  <c r="F1608" i="1"/>
  <c r="B1608" i="1"/>
  <c r="W1607" i="1"/>
  <c r="T1607" i="1"/>
  <c r="P1607" i="1"/>
  <c r="J1607" i="1"/>
  <c r="G1607" i="1"/>
  <c r="F1607" i="1"/>
  <c r="B1607" i="1"/>
  <c r="W1606" i="1"/>
  <c r="T1606" i="1"/>
  <c r="P1606" i="1"/>
  <c r="J1606" i="1"/>
  <c r="G1606" i="1"/>
  <c r="F1606" i="1"/>
  <c r="B1606" i="1"/>
  <c r="W1605" i="1"/>
  <c r="T1605" i="1"/>
  <c r="P1605" i="1"/>
  <c r="J1605" i="1"/>
  <c r="G1605" i="1"/>
  <c r="F1605" i="1"/>
  <c r="B1605" i="1"/>
  <c r="W1604" i="1"/>
  <c r="T1604" i="1"/>
  <c r="P1604" i="1"/>
  <c r="J1604" i="1"/>
  <c r="G1604" i="1"/>
  <c r="F1604" i="1"/>
  <c r="B1604" i="1"/>
  <c r="W1603" i="1"/>
  <c r="T1603" i="1"/>
  <c r="P1603" i="1"/>
  <c r="J1603" i="1"/>
  <c r="G1603" i="1"/>
  <c r="F1603" i="1"/>
  <c r="B1603" i="1"/>
  <c r="W1602" i="1"/>
  <c r="T1602" i="1"/>
  <c r="P1602" i="1"/>
  <c r="J1602" i="1"/>
  <c r="G1602" i="1"/>
  <c r="F1602" i="1"/>
  <c r="B1602" i="1"/>
  <c r="W1601" i="1"/>
  <c r="T1601" i="1"/>
  <c r="P1601" i="1"/>
  <c r="J1601" i="1"/>
  <c r="G1601" i="1"/>
  <c r="F1601" i="1"/>
  <c r="B1601" i="1"/>
  <c r="W1600" i="1"/>
  <c r="T1600" i="1"/>
  <c r="P1600" i="1"/>
  <c r="J1600" i="1"/>
  <c r="G1600" i="1"/>
  <c r="F1600" i="1"/>
  <c r="B1600" i="1"/>
  <c r="W1599" i="1"/>
  <c r="T1599" i="1"/>
  <c r="P1599" i="1"/>
  <c r="J1599" i="1"/>
  <c r="G1599" i="1"/>
  <c r="F1599" i="1"/>
  <c r="B1599" i="1"/>
  <c r="W1598" i="1"/>
  <c r="T1598" i="1"/>
  <c r="P1598" i="1"/>
  <c r="J1598" i="1"/>
  <c r="G1598" i="1"/>
  <c r="F1598" i="1"/>
  <c r="B1598" i="1"/>
  <c r="W1597" i="1"/>
  <c r="T1597" i="1"/>
  <c r="P1597" i="1"/>
  <c r="J1597" i="1"/>
  <c r="G1597" i="1"/>
  <c r="F1597" i="1"/>
  <c r="B1597" i="1"/>
  <c r="W1596" i="1"/>
  <c r="T1596" i="1"/>
  <c r="P1596" i="1"/>
  <c r="J1596" i="1"/>
  <c r="G1596" i="1"/>
  <c r="F1596" i="1"/>
  <c r="B1596" i="1"/>
  <c r="W1595" i="1"/>
  <c r="T1595" i="1"/>
  <c r="P1595" i="1"/>
  <c r="J1595" i="1"/>
  <c r="G1595" i="1"/>
  <c r="F1595" i="1"/>
  <c r="B1595" i="1"/>
  <c r="W1594" i="1"/>
  <c r="T1594" i="1"/>
  <c r="P1594" i="1"/>
  <c r="J1594" i="1"/>
  <c r="G1594" i="1"/>
  <c r="F1594" i="1"/>
  <c r="B1594" i="1"/>
  <c r="W1593" i="1"/>
  <c r="T1593" i="1"/>
  <c r="P1593" i="1"/>
  <c r="J1593" i="1"/>
  <c r="G1593" i="1"/>
  <c r="F1593" i="1"/>
  <c r="B1593" i="1"/>
  <c r="W1592" i="1"/>
  <c r="T1592" i="1"/>
  <c r="P1592" i="1"/>
  <c r="J1592" i="1"/>
  <c r="G1592" i="1"/>
  <c r="F1592" i="1"/>
  <c r="B1592" i="1"/>
  <c r="W1591" i="1"/>
  <c r="T1591" i="1"/>
  <c r="P1591" i="1"/>
  <c r="J1591" i="1"/>
  <c r="G1591" i="1"/>
  <c r="F1591" i="1"/>
  <c r="B1591" i="1"/>
  <c r="W1590" i="1"/>
  <c r="T1590" i="1"/>
  <c r="P1590" i="1"/>
  <c r="J1590" i="1"/>
  <c r="G1590" i="1"/>
  <c r="F1590" i="1"/>
  <c r="B1590" i="1"/>
  <c r="W1589" i="1"/>
  <c r="T1589" i="1"/>
  <c r="P1589" i="1"/>
  <c r="J1589" i="1"/>
  <c r="G1589" i="1"/>
  <c r="F1589" i="1"/>
  <c r="B1589" i="1"/>
  <c r="W1588" i="1"/>
  <c r="T1588" i="1"/>
  <c r="P1588" i="1"/>
  <c r="J1588" i="1"/>
  <c r="G1588" i="1"/>
  <c r="F1588" i="1"/>
  <c r="B1588" i="1"/>
  <c r="W1587" i="1"/>
  <c r="T1587" i="1"/>
  <c r="P1587" i="1"/>
  <c r="J1587" i="1"/>
  <c r="G1587" i="1"/>
  <c r="F1587" i="1"/>
  <c r="B1587" i="1"/>
  <c r="W1586" i="1"/>
  <c r="T1586" i="1"/>
  <c r="P1586" i="1"/>
  <c r="J1586" i="1"/>
  <c r="G1586" i="1"/>
  <c r="F1586" i="1"/>
  <c r="B1586" i="1"/>
  <c r="W1585" i="1"/>
  <c r="T1585" i="1"/>
  <c r="P1585" i="1"/>
  <c r="J1585" i="1"/>
  <c r="G1585" i="1"/>
  <c r="F1585" i="1"/>
  <c r="B1585" i="1"/>
  <c r="W1584" i="1"/>
  <c r="T1584" i="1"/>
  <c r="P1584" i="1"/>
  <c r="J1584" i="1"/>
  <c r="G1584" i="1"/>
  <c r="F1584" i="1"/>
  <c r="B1584" i="1"/>
  <c r="W1583" i="1"/>
  <c r="T1583" i="1"/>
  <c r="P1583" i="1"/>
  <c r="J1583" i="1"/>
  <c r="G1583" i="1"/>
  <c r="F1583" i="1"/>
  <c r="B1583" i="1"/>
  <c r="W1582" i="1"/>
  <c r="T1582" i="1"/>
  <c r="P1582" i="1"/>
  <c r="J1582" i="1"/>
  <c r="G1582" i="1"/>
  <c r="F1582" i="1"/>
  <c r="B1582" i="1"/>
  <c r="W1581" i="1"/>
  <c r="T1581" i="1"/>
  <c r="P1581" i="1"/>
  <c r="J1581" i="1"/>
  <c r="G1581" i="1"/>
  <c r="F1581" i="1"/>
  <c r="B1581" i="1"/>
  <c r="W1580" i="1"/>
  <c r="T1580" i="1"/>
  <c r="P1580" i="1"/>
  <c r="J1580" i="1"/>
  <c r="G1580" i="1"/>
  <c r="F1580" i="1"/>
  <c r="B1580" i="1"/>
  <c r="W1579" i="1"/>
  <c r="T1579" i="1"/>
  <c r="P1579" i="1"/>
  <c r="J1579" i="1"/>
  <c r="G1579" i="1"/>
  <c r="F1579" i="1"/>
  <c r="B1579" i="1"/>
  <c r="W1578" i="1"/>
  <c r="T1578" i="1"/>
  <c r="P1578" i="1"/>
  <c r="J1578" i="1"/>
  <c r="G1578" i="1"/>
  <c r="F1578" i="1"/>
  <c r="B1578" i="1"/>
  <c r="W1577" i="1"/>
  <c r="T1577" i="1"/>
  <c r="P1577" i="1"/>
  <c r="J1577" i="1"/>
  <c r="G1577" i="1"/>
  <c r="F1577" i="1"/>
  <c r="B1577" i="1"/>
  <c r="W1576" i="1"/>
  <c r="T1576" i="1"/>
  <c r="P1576" i="1"/>
  <c r="J1576" i="1"/>
  <c r="G1576" i="1"/>
  <c r="F1576" i="1"/>
  <c r="B1576" i="1"/>
  <c r="W1575" i="1"/>
  <c r="T1575" i="1"/>
  <c r="P1575" i="1"/>
  <c r="J1575" i="1"/>
  <c r="G1575" i="1"/>
  <c r="F1575" i="1"/>
  <c r="B1575" i="1"/>
  <c r="W1574" i="1"/>
  <c r="T1574" i="1"/>
  <c r="P1574" i="1"/>
  <c r="J1574" i="1"/>
  <c r="G1574" i="1"/>
  <c r="F1574" i="1"/>
  <c r="B1574" i="1"/>
  <c r="W1573" i="1"/>
  <c r="T1573" i="1"/>
  <c r="P1573" i="1"/>
  <c r="J1573" i="1"/>
  <c r="G1573" i="1"/>
  <c r="F1573" i="1"/>
  <c r="B1573" i="1"/>
  <c r="W1572" i="1"/>
  <c r="T1572" i="1"/>
  <c r="P1572" i="1"/>
  <c r="J1572" i="1"/>
  <c r="G1572" i="1"/>
  <c r="F1572" i="1"/>
  <c r="B1572" i="1"/>
  <c r="W1571" i="1"/>
  <c r="T1571" i="1"/>
  <c r="P1571" i="1"/>
  <c r="J1571" i="1"/>
  <c r="G1571" i="1"/>
  <c r="F1571" i="1"/>
  <c r="B1571" i="1"/>
  <c r="W1570" i="1"/>
  <c r="T1570" i="1"/>
  <c r="P1570" i="1"/>
  <c r="J1570" i="1"/>
  <c r="G1570" i="1"/>
  <c r="F1570" i="1"/>
  <c r="B1570" i="1"/>
  <c r="W1569" i="1"/>
  <c r="T1569" i="1"/>
  <c r="P1569" i="1"/>
  <c r="J1569" i="1"/>
  <c r="G1569" i="1"/>
  <c r="F1569" i="1"/>
  <c r="B1569" i="1"/>
  <c r="W1568" i="1"/>
  <c r="T1568" i="1"/>
  <c r="P1568" i="1"/>
  <c r="J1568" i="1"/>
  <c r="G1568" i="1"/>
  <c r="F1568" i="1"/>
  <c r="B1568" i="1"/>
  <c r="W1567" i="1"/>
  <c r="T1567" i="1"/>
  <c r="P1567" i="1"/>
  <c r="J1567" i="1"/>
  <c r="G1567" i="1"/>
  <c r="F1567" i="1"/>
  <c r="B1567" i="1"/>
  <c r="W1566" i="1"/>
  <c r="T1566" i="1"/>
  <c r="P1566" i="1"/>
  <c r="J1566" i="1"/>
  <c r="G1566" i="1"/>
  <c r="F1566" i="1"/>
  <c r="B1566" i="1"/>
  <c r="W1565" i="1"/>
  <c r="T1565" i="1"/>
  <c r="P1565" i="1"/>
  <c r="J1565" i="1"/>
  <c r="G1565" i="1"/>
  <c r="F1565" i="1"/>
  <c r="B1565" i="1"/>
  <c r="W1564" i="1"/>
  <c r="T1564" i="1"/>
  <c r="P1564" i="1"/>
  <c r="J1564" i="1"/>
  <c r="G1564" i="1"/>
  <c r="F1564" i="1"/>
  <c r="B1564" i="1"/>
  <c r="W1563" i="1"/>
  <c r="T1563" i="1"/>
  <c r="P1563" i="1"/>
  <c r="J1563" i="1"/>
  <c r="G1563" i="1"/>
  <c r="F1563" i="1"/>
  <c r="B1563" i="1"/>
  <c r="W1562" i="1"/>
  <c r="T1562" i="1"/>
  <c r="P1562" i="1"/>
  <c r="J1562" i="1"/>
  <c r="G1562" i="1"/>
  <c r="F1562" i="1"/>
  <c r="B1562" i="1"/>
  <c r="W1561" i="1"/>
  <c r="T1561" i="1"/>
  <c r="P1561" i="1"/>
  <c r="J1561" i="1"/>
  <c r="G1561" i="1"/>
  <c r="F1561" i="1"/>
  <c r="B1561" i="1"/>
  <c r="W1560" i="1"/>
  <c r="T1560" i="1"/>
  <c r="P1560" i="1"/>
  <c r="J1560" i="1"/>
  <c r="G1560" i="1"/>
  <c r="F1560" i="1"/>
  <c r="B1560" i="1"/>
  <c r="W1559" i="1"/>
  <c r="T1559" i="1"/>
  <c r="P1559" i="1"/>
  <c r="J1559" i="1"/>
  <c r="G1559" i="1"/>
  <c r="F1559" i="1"/>
  <c r="B1559" i="1"/>
  <c r="W1558" i="1"/>
  <c r="T1558" i="1"/>
  <c r="P1558" i="1"/>
  <c r="J1558" i="1"/>
  <c r="G1558" i="1"/>
  <c r="F1558" i="1"/>
  <c r="B1558" i="1"/>
  <c r="W1557" i="1"/>
  <c r="T1557" i="1"/>
  <c r="P1557" i="1"/>
  <c r="J1557" i="1"/>
  <c r="G1557" i="1"/>
  <c r="F1557" i="1"/>
  <c r="B1557" i="1"/>
  <c r="W1556" i="1"/>
  <c r="T1556" i="1"/>
  <c r="P1556" i="1"/>
  <c r="J1556" i="1"/>
  <c r="G1556" i="1"/>
  <c r="F1556" i="1"/>
  <c r="B1556" i="1"/>
  <c r="W1555" i="1"/>
  <c r="T1555" i="1"/>
  <c r="P1555" i="1"/>
  <c r="J1555" i="1"/>
  <c r="G1555" i="1"/>
  <c r="F1555" i="1"/>
  <c r="B1555" i="1"/>
  <c r="W1554" i="1"/>
  <c r="T1554" i="1"/>
  <c r="P1554" i="1"/>
  <c r="J1554" i="1"/>
  <c r="G1554" i="1"/>
  <c r="F1554" i="1"/>
  <c r="B1554" i="1"/>
  <c r="W1553" i="1"/>
  <c r="T1553" i="1"/>
  <c r="P1553" i="1"/>
  <c r="J1553" i="1"/>
  <c r="G1553" i="1"/>
  <c r="F1553" i="1"/>
  <c r="B1553" i="1"/>
  <c r="W1552" i="1"/>
  <c r="T1552" i="1"/>
  <c r="P1552" i="1"/>
  <c r="J1552" i="1"/>
  <c r="G1552" i="1"/>
  <c r="F1552" i="1"/>
  <c r="B1552" i="1"/>
  <c r="W1551" i="1"/>
  <c r="T1551" i="1"/>
  <c r="P1551" i="1"/>
  <c r="J1551" i="1"/>
  <c r="G1551" i="1"/>
  <c r="F1551" i="1"/>
  <c r="B1551" i="1"/>
  <c r="W1550" i="1"/>
  <c r="T1550" i="1"/>
  <c r="P1550" i="1"/>
  <c r="J1550" i="1"/>
  <c r="G1550" i="1"/>
  <c r="F1550" i="1"/>
  <c r="B1550" i="1"/>
  <c r="W1549" i="1"/>
  <c r="T1549" i="1"/>
  <c r="P1549" i="1"/>
  <c r="J1549" i="1"/>
  <c r="G1549" i="1"/>
  <c r="F1549" i="1"/>
  <c r="B1549" i="1"/>
  <c r="W1548" i="1"/>
  <c r="T1548" i="1"/>
  <c r="P1548" i="1"/>
  <c r="J1548" i="1"/>
  <c r="G1548" i="1"/>
  <c r="F1548" i="1"/>
  <c r="B1548" i="1"/>
  <c r="W1547" i="1"/>
  <c r="T1547" i="1"/>
  <c r="P1547" i="1"/>
  <c r="J1547" i="1"/>
  <c r="G1547" i="1"/>
  <c r="F1547" i="1"/>
  <c r="B1547" i="1"/>
  <c r="W1546" i="1"/>
  <c r="T1546" i="1"/>
  <c r="P1546" i="1"/>
  <c r="J1546" i="1"/>
  <c r="G1546" i="1"/>
  <c r="F1546" i="1"/>
  <c r="B1546" i="1"/>
  <c r="W1545" i="1"/>
  <c r="T1545" i="1"/>
  <c r="P1545" i="1"/>
  <c r="J1545" i="1"/>
  <c r="G1545" i="1"/>
  <c r="F1545" i="1"/>
  <c r="B1545" i="1"/>
  <c r="W1544" i="1"/>
  <c r="T1544" i="1"/>
  <c r="P1544" i="1"/>
  <c r="J1544" i="1"/>
  <c r="G1544" i="1"/>
  <c r="F1544" i="1"/>
  <c r="B1544" i="1"/>
  <c r="W1543" i="1"/>
  <c r="T1543" i="1"/>
  <c r="P1543" i="1"/>
  <c r="J1543" i="1"/>
  <c r="G1543" i="1"/>
  <c r="F1543" i="1"/>
  <c r="B1543" i="1"/>
  <c r="W1542" i="1"/>
  <c r="T1542" i="1"/>
  <c r="P1542" i="1"/>
  <c r="J1542" i="1"/>
  <c r="G1542" i="1"/>
  <c r="F1542" i="1"/>
  <c r="B1542" i="1"/>
  <c r="W1541" i="1"/>
  <c r="T1541" i="1"/>
  <c r="P1541" i="1"/>
  <c r="J1541" i="1"/>
  <c r="G1541" i="1"/>
  <c r="F1541" i="1"/>
  <c r="B1541" i="1"/>
  <c r="W1540" i="1"/>
  <c r="T1540" i="1"/>
  <c r="P1540" i="1"/>
  <c r="J1540" i="1"/>
  <c r="G1540" i="1"/>
  <c r="F1540" i="1"/>
  <c r="B1540" i="1"/>
  <c r="W1539" i="1"/>
  <c r="T1539" i="1"/>
  <c r="P1539" i="1"/>
  <c r="J1539" i="1"/>
  <c r="G1539" i="1"/>
  <c r="F1539" i="1"/>
  <c r="B1539" i="1"/>
  <c r="W1538" i="1"/>
  <c r="T1538" i="1"/>
  <c r="P1538" i="1"/>
  <c r="J1538" i="1"/>
  <c r="G1538" i="1"/>
  <c r="F1538" i="1"/>
  <c r="B1538" i="1"/>
  <c r="W1537" i="1"/>
  <c r="T1537" i="1"/>
  <c r="P1537" i="1"/>
  <c r="J1537" i="1"/>
  <c r="G1537" i="1"/>
  <c r="F1537" i="1"/>
  <c r="B1537" i="1"/>
  <c r="W1536" i="1"/>
  <c r="T1536" i="1"/>
  <c r="P1536" i="1"/>
  <c r="J1536" i="1"/>
  <c r="G1536" i="1"/>
  <c r="F1536" i="1"/>
  <c r="B1536" i="1"/>
  <c r="W1535" i="1"/>
  <c r="T1535" i="1"/>
  <c r="P1535" i="1"/>
  <c r="J1535" i="1"/>
  <c r="G1535" i="1"/>
  <c r="F1535" i="1"/>
  <c r="B1535" i="1"/>
  <c r="W1534" i="1"/>
  <c r="T1534" i="1"/>
  <c r="P1534" i="1"/>
  <c r="J1534" i="1"/>
  <c r="G1534" i="1"/>
  <c r="F1534" i="1"/>
  <c r="B1534" i="1"/>
  <c r="W1533" i="1"/>
  <c r="T1533" i="1"/>
  <c r="P1533" i="1"/>
  <c r="J1533" i="1"/>
  <c r="G1533" i="1"/>
  <c r="F1533" i="1"/>
  <c r="B1533" i="1"/>
  <c r="W1532" i="1"/>
  <c r="T1532" i="1"/>
  <c r="P1532" i="1"/>
  <c r="J1532" i="1"/>
  <c r="G1532" i="1"/>
  <c r="F1532" i="1"/>
  <c r="B1532" i="1"/>
  <c r="W1531" i="1"/>
  <c r="T1531" i="1"/>
  <c r="P1531" i="1"/>
  <c r="J1531" i="1"/>
  <c r="G1531" i="1"/>
  <c r="F1531" i="1"/>
  <c r="B1531" i="1"/>
  <c r="W1530" i="1"/>
  <c r="T1530" i="1"/>
  <c r="P1530" i="1"/>
  <c r="J1530" i="1"/>
  <c r="G1530" i="1"/>
  <c r="F1530" i="1"/>
  <c r="B1530" i="1"/>
  <c r="W1529" i="1"/>
  <c r="T1529" i="1"/>
  <c r="P1529" i="1"/>
  <c r="J1529" i="1"/>
  <c r="G1529" i="1"/>
  <c r="F1529" i="1"/>
  <c r="B1529" i="1"/>
  <c r="W1528" i="1"/>
  <c r="T1528" i="1"/>
  <c r="P1528" i="1"/>
  <c r="J1528" i="1"/>
  <c r="G1528" i="1"/>
  <c r="F1528" i="1"/>
  <c r="B1528" i="1"/>
  <c r="W1527" i="1"/>
  <c r="T1527" i="1"/>
  <c r="P1527" i="1"/>
  <c r="J1527" i="1"/>
  <c r="G1527" i="1"/>
  <c r="F1527" i="1"/>
  <c r="B1527" i="1"/>
  <c r="W1526" i="1"/>
  <c r="T1526" i="1"/>
  <c r="P1526" i="1"/>
  <c r="J1526" i="1"/>
  <c r="G1526" i="1"/>
  <c r="F1526" i="1"/>
  <c r="B1526" i="1"/>
  <c r="W1525" i="1"/>
  <c r="T1525" i="1"/>
  <c r="P1525" i="1"/>
  <c r="J1525" i="1"/>
  <c r="G1525" i="1"/>
  <c r="F1525" i="1"/>
  <c r="B1525" i="1"/>
  <c r="W1524" i="1"/>
  <c r="T1524" i="1"/>
  <c r="P1524" i="1"/>
  <c r="J1524" i="1"/>
  <c r="G1524" i="1"/>
  <c r="F1524" i="1"/>
  <c r="B1524" i="1"/>
  <c r="W1523" i="1"/>
  <c r="T1523" i="1"/>
  <c r="P1523" i="1"/>
  <c r="J1523" i="1"/>
  <c r="G1523" i="1"/>
  <c r="F1523" i="1"/>
  <c r="B1523" i="1"/>
  <c r="W1522" i="1"/>
  <c r="T1522" i="1"/>
  <c r="P1522" i="1"/>
  <c r="J1522" i="1"/>
  <c r="G1522" i="1"/>
  <c r="F1522" i="1"/>
  <c r="B1522" i="1"/>
  <c r="W1521" i="1"/>
  <c r="T1521" i="1"/>
  <c r="P1521" i="1"/>
  <c r="J1521" i="1"/>
  <c r="G1521" i="1"/>
  <c r="F1521" i="1"/>
  <c r="B1521" i="1"/>
  <c r="W1520" i="1"/>
  <c r="T1520" i="1"/>
  <c r="P1520" i="1"/>
  <c r="J1520" i="1"/>
  <c r="G1520" i="1"/>
  <c r="F1520" i="1"/>
  <c r="B1520" i="1"/>
  <c r="W1519" i="1"/>
  <c r="T1519" i="1"/>
  <c r="P1519" i="1"/>
  <c r="J1519" i="1"/>
  <c r="G1519" i="1"/>
  <c r="F1519" i="1"/>
  <c r="B1519" i="1"/>
  <c r="W1518" i="1"/>
  <c r="T1518" i="1"/>
  <c r="P1518" i="1"/>
  <c r="J1518" i="1"/>
  <c r="G1518" i="1"/>
  <c r="F1518" i="1"/>
  <c r="B1518" i="1"/>
  <c r="W1517" i="1"/>
  <c r="T1517" i="1"/>
  <c r="P1517" i="1"/>
  <c r="J1517" i="1"/>
  <c r="G1517" i="1"/>
  <c r="F1517" i="1"/>
  <c r="B1517" i="1"/>
  <c r="W1516" i="1"/>
  <c r="T1516" i="1"/>
  <c r="P1516" i="1"/>
  <c r="J1516" i="1"/>
  <c r="G1516" i="1"/>
  <c r="F1516" i="1"/>
  <c r="B1516" i="1"/>
  <c r="W1515" i="1"/>
  <c r="T1515" i="1"/>
  <c r="P1515" i="1"/>
  <c r="J1515" i="1"/>
  <c r="G1515" i="1"/>
  <c r="F1515" i="1"/>
  <c r="B1515" i="1"/>
  <c r="W1514" i="1"/>
  <c r="T1514" i="1"/>
  <c r="P1514" i="1"/>
  <c r="J1514" i="1"/>
  <c r="G1514" i="1"/>
  <c r="F1514" i="1"/>
  <c r="B1514" i="1"/>
  <c r="W1513" i="1"/>
  <c r="T1513" i="1"/>
  <c r="P1513" i="1"/>
  <c r="J1513" i="1"/>
  <c r="G1513" i="1"/>
  <c r="F1513" i="1"/>
  <c r="B1513" i="1"/>
  <c r="W1512" i="1"/>
  <c r="T1512" i="1"/>
  <c r="P1512" i="1"/>
  <c r="J1512" i="1"/>
  <c r="G1512" i="1"/>
  <c r="F1512" i="1"/>
  <c r="B1512" i="1"/>
  <c r="W1511" i="1"/>
  <c r="T1511" i="1"/>
  <c r="P1511" i="1"/>
  <c r="J1511" i="1"/>
  <c r="G1511" i="1"/>
  <c r="F1511" i="1"/>
  <c r="B1511" i="1"/>
  <c r="W1510" i="1"/>
  <c r="T1510" i="1"/>
  <c r="P1510" i="1"/>
  <c r="J1510" i="1"/>
  <c r="G1510" i="1"/>
  <c r="F1510" i="1"/>
  <c r="B1510" i="1"/>
  <c r="W1509" i="1"/>
  <c r="T1509" i="1"/>
  <c r="P1509" i="1"/>
  <c r="J1509" i="1"/>
  <c r="G1509" i="1"/>
  <c r="F1509" i="1"/>
  <c r="B1509" i="1"/>
  <c r="W1508" i="1"/>
  <c r="T1508" i="1"/>
  <c r="P1508" i="1"/>
  <c r="J1508" i="1"/>
  <c r="G1508" i="1"/>
  <c r="F1508" i="1"/>
  <c r="B1508" i="1"/>
  <c r="W1507" i="1"/>
  <c r="T1507" i="1"/>
  <c r="P1507" i="1"/>
  <c r="J1507" i="1"/>
  <c r="G1507" i="1"/>
  <c r="F1507" i="1"/>
  <c r="B1507" i="1"/>
  <c r="W1506" i="1"/>
  <c r="T1506" i="1"/>
  <c r="P1506" i="1"/>
  <c r="J1506" i="1"/>
  <c r="G1506" i="1"/>
  <c r="F1506" i="1"/>
  <c r="B1506" i="1"/>
  <c r="W1505" i="1"/>
  <c r="T1505" i="1"/>
  <c r="P1505" i="1"/>
  <c r="J1505" i="1"/>
  <c r="G1505" i="1"/>
  <c r="F1505" i="1"/>
  <c r="B1505" i="1"/>
  <c r="W1504" i="1"/>
  <c r="T1504" i="1"/>
  <c r="P1504" i="1"/>
  <c r="J1504" i="1"/>
  <c r="G1504" i="1"/>
  <c r="F1504" i="1"/>
  <c r="B1504" i="1"/>
  <c r="W1503" i="1"/>
  <c r="T1503" i="1"/>
  <c r="P1503" i="1"/>
  <c r="J1503" i="1"/>
  <c r="G1503" i="1"/>
  <c r="F1503" i="1"/>
  <c r="B1503" i="1"/>
  <c r="W1502" i="1"/>
  <c r="T1502" i="1"/>
  <c r="P1502" i="1"/>
  <c r="J1502" i="1"/>
  <c r="G1502" i="1"/>
  <c r="F1502" i="1"/>
  <c r="B1502" i="1"/>
  <c r="W1501" i="1"/>
  <c r="T1501" i="1"/>
  <c r="P1501" i="1"/>
  <c r="J1501" i="1"/>
  <c r="G1501" i="1"/>
  <c r="F1501" i="1"/>
  <c r="B1501" i="1"/>
  <c r="W1500" i="1"/>
  <c r="T1500" i="1"/>
  <c r="P1500" i="1"/>
  <c r="J1500" i="1"/>
  <c r="G1500" i="1"/>
  <c r="F1500" i="1"/>
  <c r="B1500" i="1"/>
  <c r="W1499" i="1"/>
  <c r="T1499" i="1"/>
  <c r="P1499" i="1"/>
  <c r="J1499" i="1"/>
  <c r="G1499" i="1"/>
  <c r="F1499" i="1"/>
  <c r="B1499" i="1"/>
  <c r="W1498" i="1"/>
  <c r="T1498" i="1"/>
  <c r="P1498" i="1"/>
  <c r="J1498" i="1"/>
  <c r="G1498" i="1"/>
  <c r="F1498" i="1"/>
  <c r="B1498" i="1"/>
  <c r="W1497" i="1"/>
  <c r="T1497" i="1"/>
  <c r="P1497" i="1"/>
  <c r="J1497" i="1"/>
  <c r="G1497" i="1"/>
  <c r="F1497" i="1"/>
  <c r="B1497" i="1"/>
  <c r="W1496" i="1"/>
  <c r="T1496" i="1"/>
  <c r="P1496" i="1"/>
  <c r="J1496" i="1"/>
  <c r="G1496" i="1"/>
  <c r="F1496" i="1"/>
  <c r="B1496" i="1"/>
  <c r="W1495" i="1"/>
  <c r="T1495" i="1"/>
  <c r="P1495" i="1"/>
  <c r="J1495" i="1"/>
  <c r="G1495" i="1"/>
  <c r="F1495" i="1"/>
  <c r="B1495" i="1"/>
  <c r="W1494" i="1"/>
  <c r="T1494" i="1"/>
  <c r="P1494" i="1"/>
  <c r="J1494" i="1"/>
  <c r="G1494" i="1"/>
  <c r="F1494" i="1"/>
  <c r="B1494" i="1"/>
  <c r="W1493" i="1"/>
  <c r="T1493" i="1"/>
  <c r="P1493" i="1"/>
  <c r="J1493" i="1"/>
  <c r="G1493" i="1"/>
  <c r="F1493" i="1"/>
  <c r="B1493" i="1"/>
  <c r="W1492" i="1"/>
  <c r="T1492" i="1"/>
  <c r="P1492" i="1"/>
  <c r="J1492" i="1"/>
  <c r="G1492" i="1"/>
  <c r="F1492" i="1"/>
  <c r="B1492" i="1"/>
  <c r="W1491" i="1"/>
  <c r="T1491" i="1"/>
  <c r="P1491" i="1"/>
  <c r="J1491" i="1"/>
  <c r="G1491" i="1"/>
  <c r="F1491" i="1"/>
  <c r="B1491" i="1"/>
  <c r="W1490" i="1"/>
  <c r="T1490" i="1"/>
  <c r="P1490" i="1"/>
  <c r="J1490" i="1"/>
  <c r="G1490" i="1"/>
  <c r="F1490" i="1"/>
  <c r="B1490" i="1"/>
  <c r="W1489" i="1"/>
  <c r="T1489" i="1"/>
  <c r="P1489" i="1"/>
  <c r="J1489" i="1"/>
  <c r="G1489" i="1"/>
  <c r="F1489" i="1"/>
  <c r="B1489" i="1"/>
  <c r="W1488" i="1"/>
  <c r="T1488" i="1"/>
  <c r="P1488" i="1"/>
  <c r="J1488" i="1"/>
  <c r="G1488" i="1"/>
  <c r="F1488" i="1"/>
  <c r="B1488" i="1"/>
  <c r="W1487" i="1"/>
  <c r="T1487" i="1"/>
  <c r="P1487" i="1"/>
  <c r="J1487" i="1"/>
  <c r="G1487" i="1"/>
  <c r="F1487" i="1"/>
  <c r="B1487" i="1"/>
  <c r="W1486" i="1"/>
  <c r="T1486" i="1"/>
  <c r="P1486" i="1"/>
  <c r="J1486" i="1"/>
  <c r="G1486" i="1"/>
  <c r="F1486" i="1"/>
  <c r="B1486" i="1"/>
  <c r="W1485" i="1"/>
  <c r="T1485" i="1"/>
  <c r="P1485" i="1"/>
  <c r="J1485" i="1"/>
  <c r="G1485" i="1"/>
  <c r="F1485" i="1"/>
  <c r="B1485" i="1"/>
  <c r="W1484" i="1"/>
  <c r="T1484" i="1"/>
  <c r="P1484" i="1"/>
  <c r="J1484" i="1"/>
  <c r="G1484" i="1"/>
  <c r="F1484" i="1"/>
  <c r="B1484" i="1"/>
  <c r="W1483" i="1"/>
  <c r="T1483" i="1"/>
  <c r="P1483" i="1"/>
  <c r="J1483" i="1"/>
  <c r="G1483" i="1"/>
  <c r="F1483" i="1"/>
  <c r="B1483" i="1"/>
  <c r="W1482" i="1"/>
  <c r="T1482" i="1"/>
  <c r="P1482" i="1"/>
  <c r="J1482" i="1"/>
  <c r="G1482" i="1"/>
  <c r="F1482" i="1"/>
  <c r="B1482" i="1"/>
  <c r="W1481" i="1"/>
  <c r="T1481" i="1"/>
  <c r="P1481" i="1"/>
  <c r="J1481" i="1"/>
  <c r="G1481" i="1"/>
  <c r="F1481" i="1"/>
  <c r="B1481" i="1"/>
  <c r="W1480" i="1"/>
  <c r="T1480" i="1"/>
  <c r="P1480" i="1"/>
  <c r="J1480" i="1"/>
  <c r="G1480" i="1"/>
  <c r="F1480" i="1"/>
  <c r="B1480" i="1"/>
  <c r="W1479" i="1"/>
  <c r="T1479" i="1"/>
  <c r="P1479" i="1"/>
  <c r="J1479" i="1"/>
  <c r="G1479" i="1"/>
  <c r="F1479" i="1"/>
  <c r="B1479" i="1"/>
  <c r="W1478" i="1"/>
  <c r="T1478" i="1"/>
  <c r="P1478" i="1"/>
  <c r="J1478" i="1"/>
  <c r="G1478" i="1"/>
  <c r="F1478" i="1"/>
  <c r="B1478" i="1"/>
  <c r="W1477" i="1"/>
  <c r="T1477" i="1"/>
  <c r="P1477" i="1"/>
  <c r="J1477" i="1"/>
  <c r="G1477" i="1"/>
  <c r="F1477" i="1"/>
  <c r="B1477" i="1"/>
  <c r="W1476" i="1"/>
  <c r="T1476" i="1"/>
  <c r="P1476" i="1"/>
  <c r="J1476" i="1"/>
  <c r="G1476" i="1"/>
  <c r="F1476" i="1"/>
  <c r="B1476" i="1"/>
  <c r="W1475" i="1"/>
  <c r="T1475" i="1"/>
  <c r="P1475" i="1"/>
  <c r="J1475" i="1"/>
  <c r="G1475" i="1"/>
  <c r="F1475" i="1"/>
  <c r="B1475" i="1"/>
  <c r="W1474" i="1"/>
  <c r="T1474" i="1"/>
  <c r="P1474" i="1"/>
  <c r="J1474" i="1"/>
  <c r="G1474" i="1"/>
  <c r="F1474" i="1"/>
  <c r="B1474" i="1"/>
  <c r="W1473" i="1"/>
  <c r="T1473" i="1"/>
  <c r="P1473" i="1"/>
  <c r="J1473" i="1"/>
  <c r="G1473" i="1"/>
  <c r="F1473" i="1"/>
  <c r="B1473" i="1"/>
  <c r="W1472" i="1"/>
  <c r="T1472" i="1"/>
  <c r="P1472" i="1"/>
  <c r="J1472" i="1"/>
  <c r="G1472" i="1"/>
  <c r="F1472" i="1"/>
  <c r="B1472" i="1"/>
  <c r="W1471" i="1"/>
  <c r="T1471" i="1"/>
  <c r="P1471" i="1"/>
  <c r="J1471" i="1"/>
  <c r="G1471" i="1"/>
  <c r="F1471" i="1"/>
  <c r="B1471" i="1"/>
  <c r="W1470" i="1"/>
  <c r="T1470" i="1"/>
  <c r="P1470" i="1"/>
  <c r="J1470" i="1"/>
  <c r="G1470" i="1"/>
  <c r="F1470" i="1"/>
  <c r="B1470" i="1"/>
  <c r="W1469" i="1"/>
  <c r="T1469" i="1"/>
  <c r="P1469" i="1"/>
  <c r="J1469" i="1"/>
  <c r="G1469" i="1"/>
  <c r="F1469" i="1"/>
  <c r="B1469" i="1"/>
  <c r="W1468" i="1"/>
  <c r="T1468" i="1"/>
  <c r="P1468" i="1"/>
  <c r="J1468" i="1"/>
  <c r="G1468" i="1"/>
  <c r="F1468" i="1"/>
  <c r="B1468" i="1"/>
  <c r="W1467" i="1"/>
  <c r="T1467" i="1"/>
  <c r="P1467" i="1"/>
  <c r="J1467" i="1"/>
  <c r="G1467" i="1"/>
  <c r="F1467" i="1"/>
  <c r="B1467" i="1"/>
  <c r="W1466" i="1"/>
  <c r="T1466" i="1"/>
  <c r="P1466" i="1"/>
  <c r="J1466" i="1"/>
  <c r="G1466" i="1"/>
  <c r="F1466" i="1"/>
  <c r="B1466" i="1"/>
  <c r="W1465" i="1"/>
  <c r="T1465" i="1"/>
  <c r="P1465" i="1"/>
  <c r="J1465" i="1"/>
  <c r="G1465" i="1"/>
  <c r="F1465" i="1"/>
  <c r="B1465" i="1"/>
  <c r="W1464" i="1"/>
  <c r="T1464" i="1"/>
  <c r="P1464" i="1"/>
  <c r="J1464" i="1"/>
  <c r="G1464" i="1"/>
  <c r="F1464" i="1"/>
  <c r="B1464" i="1"/>
  <c r="W1463" i="1"/>
  <c r="T1463" i="1"/>
  <c r="P1463" i="1"/>
  <c r="J1463" i="1"/>
  <c r="G1463" i="1"/>
  <c r="F1463" i="1"/>
  <c r="B1463" i="1"/>
  <c r="W1462" i="1"/>
  <c r="T1462" i="1"/>
  <c r="P1462" i="1"/>
  <c r="J1462" i="1"/>
  <c r="G1462" i="1"/>
  <c r="F1462" i="1"/>
  <c r="B1462" i="1"/>
  <c r="W1461" i="1"/>
  <c r="T1461" i="1"/>
  <c r="P1461" i="1"/>
  <c r="J1461" i="1"/>
  <c r="G1461" i="1"/>
  <c r="F1461" i="1"/>
  <c r="B1461" i="1"/>
  <c r="W1460" i="1"/>
  <c r="T1460" i="1"/>
  <c r="P1460" i="1"/>
  <c r="J1460" i="1"/>
  <c r="G1460" i="1"/>
  <c r="F1460" i="1"/>
  <c r="B1460" i="1"/>
  <c r="W1459" i="1"/>
  <c r="T1459" i="1"/>
  <c r="P1459" i="1"/>
  <c r="J1459" i="1"/>
  <c r="G1459" i="1"/>
  <c r="F1459" i="1"/>
  <c r="B1459" i="1"/>
  <c r="W1458" i="1"/>
  <c r="T1458" i="1"/>
  <c r="P1458" i="1"/>
  <c r="J1458" i="1"/>
  <c r="G1458" i="1"/>
  <c r="F1458" i="1"/>
  <c r="B1458" i="1"/>
  <c r="W1457" i="1"/>
  <c r="T1457" i="1"/>
  <c r="P1457" i="1"/>
  <c r="J1457" i="1"/>
  <c r="G1457" i="1"/>
  <c r="F1457" i="1"/>
  <c r="B1457" i="1"/>
  <c r="W1456" i="1"/>
  <c r="T1456" i="1"/>
  <c r="P1456" i="1"/>
  <c r="J1456" i="1"/>
  <c r="G1456" i="1"/>
  <c r="F1456" i="1"/>
  <c r="B1456" i="1"/>
  <c r="W1455" i="1"/>
  <c r="T1455" i="1"/>
  <c r="P1455" i="1"/>
  <c r="J1455" i="1"/>
  <c r="G1455" i="1"/>
  <c r="F1455" i="1"/>
  <c r="B1455" i="1"/>
  <c r="W1454" i="1"/>
  <c r="T1454" i="1"/>
  <c r="P1454" i="1"/>
  <c r="J1454" i="1"/>
  <c r="G1454" i="1"/>
  <c r="F1454" i="1"/>
  <c r="B1454" i="1"/>
  <c r="W1453" i="1"/>
  <c r="T1453" i="1"/>
  <c r="P1453" i="1"/>
  <c r="J1453" i="1"/>
  <c r="G1453" i="1"/>
  <c r="F1453" i="1"/>
  <c r="B1453" i="1"/>
  <c r="W1452" i="1"/>
  <c r="T1452" i="1"/>
  <c r="P1452" i="1"/>
  <c r="J1452" i="1"/>
  <c r="G1452" i="1"/>
  <c r="F1452" i="1"/>
  <c r="B1452" i="1"/>
  <c r="W1451" i="1"/>
  <c r="T1451" i="1"/>
  <c r="P1451" i="1"/>
  <c r="J1451" i="1"/>
  <c r="G1451" i="1"/>
  <c r="F1451" i="1"/>
  <c r="B1451" i="1"/>
  <c r="W1450" i="1"/>
  <c r="T1450" i="1"/>
  <c r="P1450" i="1"/>
  <c r="J1450" i="1"/>
  <c r="G1450" i="1"/>
  <c r="F1450" i="1"/>
  <c r="B1450" i="1"/>
  <c r="W1449" i="1"/>
  <c r="T1449" i="1"/>
  <c r="P1449" i="1"/>
  <c r="J1449" i="1"/>
  <c r="G1449" i="1"/>
  <c r="F1449" i="1"/>
  <c r="B1449" i="1"/>
  <c r="W1448" i="1"/>
  <c r="T1448" i="1"/>
  <c r="P1448" i="1"/>
  <c r="J1448" i="1"/>
  <c r="G1448" i="1"/>
  <c r="F1448" i="1"/>
  <c r="B1448" i="1"/>
  <c r="W1447" i="1"/>
  <c r="T1447" i="1"/>
  <c r="P1447" i="1"/>
  <c r="J1447" i="1"/>
  <c r="G1447" i="1"/>
  <c r="F1447" i="1"/>
  <c r="B1447" i="1"/>
  <c r="W1446" i="1"/>
  <c r="T1446" i="1"/>
  <c r="P1446" i="1"/>
  <c r="J1446" i="1"/>
  <c r="G1446" i="1"/>
  <c r="F1446" i="1"/>
  <c r="B1446" i="1"/>
  <c r="W1445" i="1"/>
  <c r="T1445" i="1"/>
  <c r="P1445" i="1"/>
  <c r="J1445" i="1"/>
  <c r="G1445" i="1"/>
  <c r="F1445" i="1"/>
  <c r="B1445" i="1"/>
  <c r="W1444" i="1"/>
  <c r="T1444" i="1"/>
  <c r="P1444" i="1"/>
  <c r="J1444" i="1"/>
  <c r="G1444" i="1"/>
  <c r="F1444" i="1"/>
  <c r="B1444" i="1"/>
  <c r="W1443" i="1"/>
  <c r="T1443" i="1"/>
  <c r="P1443" i="1"/>
  <c r="J1443" i="1"/>
  <c r="G1443" i="1"/>
  <c r="F1443" i="1"/>
  <c r="B1443" i="1"/>
  <c r="W1442" i="1"/>
  <c r="T1442" i="1"/>
  <c r="P1442" i="1"/>
  <c r="J1442" i="1"/>
  <c r="G1442" i="1"/>
  <c r="F1442" i="1"/>
  <c r="B1442" i="1"/>
  <c r="W1441" i="1"/>
  <c r="T1441" i="1"/>
  <c r="P1441" i="1"/>
  <c r="J1441" i="1"/>
  <c r="G1441" i="1"/>
  <c r="F1441" i="1"/>
  <c r="B1441" i="1"/>
  <c r="W1440" i="1"/>
  <c r="T1440" i="1"/>
  <c r="P1440" i="1"/>
  <c r="J1440" i="1"/>
  <c r="G1440" i="1"/>
  <c r="F1440" i="1"/>
  <c r="B1440" i="1"/>
  <c r="W1439" i="1"/>
  <c r="T1439" i="1"/>
  <c r="P1439" i="1"/>
  <c r="J1439" i="1"/>
  <c r="G1439" i="1"/>
  <c r="F1439" i="1"/>
  <c r="B1439" i="1"/>
  <c r="W1438" i="1"/>
  <c r="T1438" i="1"/>
  <c r="P1438" i="1"/>
  <c r="J1438" i="1"/>
  <c r="G1438" i="1"/>
  <c r="F1438" i="1"/>
  <c r="B1438" i="1"/>
  <c r="W1437" i="1"/>
  <c r="T1437" i="1"/>
  <c r="P1437" i="1"/>
  <c r="J1437" i="1"/>
  <c r="G1437" i="1"/>
  <c r="F1437" i="1"/>
  <c r="B1437" i="1"/>
  <c r="W1436" i="1"/>
  <c r="T1436" i="1"/>
  <c r="P1436" i="1"/>
  <c r="J1436" i="1"/>
  <c r="G1436" i="1"/>
  <c r="F1436" i="1"/>
  <c r="B1436" i="1"/>
  <c r="W1435" i="1"/>
  <c r="T1435" i="1"/>
  <c r="P1435" i="1"/>
  <c r="J1435" i="1"/>
  <c r="G1435" i="1"/>
  <c r="F1435" i="1"/>
  <c r="B1435" i="1"/>
  <c r="W1434" i="1"/>
  <c r="T1434" i="1"/>
  <c r="P1434" i="1"/>
  <c r="J1434" i="1"/>
  <c r="G1434" i="1"/>
  <c r="F1434" i="1"/>
  <c r="B1434" i="1"/>
  <c r="W1433" i="1"/>
  <c r="T1433" i="1"/>
  <c r="P1433" i="1"/>
  <c r="J1433" i="1"/>
  <c r="G1433" i="1"/>
  <c r="F1433" i="1"/>
  <c r="B1433" i="1"/>
  <c r="W1432" i="1"/>
  <c r="T1432" i="1"/>
  <c r="P1432" i="1"/>
  <c r="J1432" i="1"/>
  <c r="G1432" i="1"/>
  <c r="F1432" i="1"/>
  <c r="B1432" i="1"/>
  <c r="W1431" i="1"/>
  <c r="T1431" i="1"/>
  <c r="P1431" i="1"/>
  <c r="J1431" i="1"/>
  <c r="G1431" i="1"/>
  <c r="F1431" i="1"/>
  <c r="B1431" i="1"/>
  <c r="W1430" i="1"/>
  <c r="T1430" i="1"/>
  <c r="P1430" i="1"/>
  <c r="J1430" i="1"/>
  <c r="G1430" i="1"/>
  <c r="F1430" i="1"/>
  <c r="B1430" i="1"/>
  <c r="W1429" i="1"/>
  <c r="T1429" i="1"/>
  <c r="P1429" i="1"/>
  <c r="J1429" i="1"/>
  <c r="G1429" i="1"/>
  <c r="F1429" i="1"/>
  <c r="B1429" i="1"/>
  <c r="W1428" i="1"/>
  <c r="T1428" i="1"/>
  <c r="P1428" i="1"/>
  <c r="J1428" i="1"/>
  <c r="G1428" i="1"/>
  <c r="F1428" i="1"/>
  <c r="B1428" i="1"/>
  <c r="W1427" i="1"/>
  <c r="T1427" i="1"/>
  <c r="P1427" i="1"/>
  <c r="J1427" i="1"/>
  <c r="G1427" i="1"/>
  <c r="F1427" i="1"/>
  <c r="B1427" i="1"/>
  <c r="W1426" i="1"/>
  <c r="T1426" i="1"/>
  <c r="P1426" i="1"/>
  <c r="J1426" i="1"/>
  <c r="G1426" i="1"/>
  <c r="F1426" i="1"/>
  <c r="B1426" i="1"/>
  <c r="W1425" i="1"/>
  <c r="T1425" i="1"/>
  <c r="P1425" i="1"/>
  <c r="J1425" i="1"/>
  <c r="G1425" i="1"/>
  <c r="F1425" i="1"/>
  <c r="B1425" i="1"/>
  <c r="W1424" i="1"/>
  <c r="T1424" i="1"/>
  <c r="P1424" i="1"/>
  <c r="J1424" i="1"/>
  <c r="G1424" i="1"/>
  <c r="F1424" i="1"/>
  <c r="B1424" i="1"/>
  <c r="W1423" i="1"/>
  <c r="T1423" i="1"/>
  <c r="P1423" i="1"/>
  <c r="J1423" i="1"/>
  <c r="G1423" i="1"/>
  <c r="F1423" i="1"/>
  <c r="B1423" i="1"/>
  <c r="W1422" i="1"/>
  <c r="T1422" i="1"/>
  <c r="P1422" i="1"/>
  <c r="J1422" i="1"/>
  <c r="G1422" i="1"/>
  <c r="F1422" i="1"/>
  <c r="B1422" i="1"/>
  <c r="W1421" i="1"/>
  <c r="T1421" i="1"/>
  <c r="P1421" i="1"/>
  <c r="J1421" i="1"/>
  <c r="G1421" i="1"/>
  <c r="F1421" i="1"/>
  <c r="B1421" i="1"/>
  <c r="W1420" i="1"/>
  <c r="T1420" i="1"/>
  <c r="P1420" i="1"/>
  <c r="J1420" i="1"/>
  <c r="G1420" i="1"/>
  <c r="F1420" i="1"/>
  <c r="B1420" i="1"/>
  <c r="W1419" i="1"/>
  <c r="T1419" i="1"/>
  <c r="P1419" i="1"/>
  <c r="J1419" i="1"/>
  <c r="G1419" i="1"/>
  <c r="F1419" i="1"/>
  <c r="B1419" i="1"/>
  <c r="W1418" i="1"/>
  <c r="T1418" i="1"/>
  <c r="P1418" i="1"/>
  <c r="J1418" i="1"/>
  <c r="G1418" i="1"/>
  <c r="F1418" i="1"/>
  <c r="B1418" i="1"/>
  <c r="W1417" i="1"/>
  <c r="T1417" i="1"/>
  <c r="P1417" i="1"/>
  <c r="J1417" i="1"/>
  <c r="G1417" i="1"/>
  <c r="F1417" i="1"/>
  <c r="B1417" i="1"/>
  <c r="W1416" i="1"/>
  <c r="T1416" i="1"/>
  <c r="P1416" i="1"/>
  <c r="J1416" i="1"/>
  <c r="G1416" i="1"/>
  <c r="F1416" i="1"/>
  <c r="B1416" i="1"/>
  <c r="W1415" i="1"/>
  <c r="T1415" i="1"/>
  <c r="P1415" i="1"/>
  <c r="J1415" i="1"/>
  <c r="G1415" i="1"/>
  <c r="F1415" i="1"/>
  <c r="B1415" i="1"/>
  <c r="W1414" i="1"/>
  <c r="T1414" i="1"/>
  <c r="P1414" i="1"/>
  <c r="J1414" i="1"/>
  <c r="G1414" i="1"/>
  <c r="F1414" i="1"/>
  <c r="B1414" i="1"/>
  <c r="W1413" i="1"/>
  <c r="T1413" i="1"/>
  <c r="P1413" i="1"/>
  <c r="J1413" i="1"/>
  <c r="G1413" i="1"/>
  <c r="F1413" i="1"/>
  <c r="B1413" i="1"/>
  <c r="W1412" i="1"/>
  <c r="T1412" i="1"/>
  <c r="P1412" i="1"/>
  <c r="J1412" i="1"/>
  <c r="G1412" i="1"/>
  <c r="F1412" i="1"/>
  <c r="B1412" i="1"/>
  <c r="W1411" i="1"/>
  <c r="T1411" i="1"/>
  <c r="P1411" i="1"/>
  <c r="J1411" i="1"/>
  <c r="G1411" i="1"/>
  <c r="F1411" i="1"/>
  <c r="B1411" i="1"/>
  <c r="W1410" i="1"/>
  <c r="T1410" i="1"/>
  <c r="P1410" i="1"/>
  <c r="J1410" i="1"/>
  <c r="G1410" i="1"/>
  <c r="F1410" i="1"/>
  <c r="B1410" i="1"/>
  <c r="W1409" i="1"/>
  <c r="T1409" i="1"/>
  <c r="P1409" i="1"/>
  <c r="J1409" i="1"/>
  <c r="G1409" i="1"/>
  <c r="F1409" i="1"/>
  <c r="B1409" i="1"/>
  <c r="W1408" i="1"/>
  <c r="T1408" i="1"/>
  <c r="P1408" i="1"/>
  <c r="J1408" i="1"/>
  <c r="G1408" i="1"/>
  <c r="F1408" i="1"/>
  <c r="B1408" i="1"/>
  <c r="W1407" i="1"/>
  <c r="T1407" i="1"/>
  <c r="P1407" i="1"/>
  <c r="J1407" i="1"/>
  <c r="G1407" i="1"/>
  <c r="F1407" i="1"/>
  <c r="B1407" i="1"/>
  <c r="W1406" i="1"/>
  <c r="T1406" i="1"/>
  <c r="P1406" i="1"/>
  <c r="J1406" i="1"/>
  <c r="G1406" i="1"/>
  <c r="F1406" i="1"/>
  <c r="B1406" i="1"/>
  <c r="W1405" i="1"/>
  <c r="T1405" i="1"/>
  <c r="P1405" i="1"/>
  <c r="J1405" i="1"/>
  <c r="G1405" i="1"/>
  <c r="F1405" i="1"/>
  <c r="B1405" i="1"/>
  <c r="W1404" i="1"/>
  <c r="T1404" i="1"/>
  <c r="P1404" i="1"/>
  <c r="J1404" i="1"/>
  <c r="G1404" i="1"/>
  <c r="F1404" i="1"/>
  <c r="B1404" i="1"/>
  <c r="W1403" i="1"/>
  <c r="T1403" i="1"/>
  <c r="P1403" i="1"/>
  <c r="J1403" i="1"/>
  <c r="G1403" i="1"/>
  <c r="F1403" i="1"/>
  <c r="B1403" i="1"/>
  <c r="W1402" i="1"/>
  <c r="T1402" i="1"/>
  <c r="P1402" i="1"/>
  <c r="J1402" i="1"/>
  <c r="G1402" i="1"/>
  <c r="F1402" i="1"/>
  <c r="B1402" i="1"/>
  <c r="W1401" i="1"/>
  <c r="T1401" i="1"/>
  <c r="P1401" i="1"/>
  <c r="J1401" i="1"/>
  <c r="G1401" i="1"/>
  <c r="F1401" i="1"/>
  <c r="B1401" i="1"/>
  <c r="W1400" i="1"/>
  <c r="T1400" i="1"/>
  <c r="P1400" i="1"/>
  <c r="J1400" i="1"/>
  <c r="G1400" i="1"/>
  <c r="F1400" i="1"/>
  <c r="B1400" i="1"/>
  <c r="W1399" i="1"/>
  <c r="T1399" i="1"/>
  <c r="P1399" i="1"/>
  <c r="J1399" i="1"/>
  <c r="G1399" i="1"/>
  <c r="F1399" i="1"/>
  <c r="B1399" i="1"/>
  <c r="W1398" i="1"/>
  <c r="T1398" i="1"/>
  <c r="P1398" i="1"/>
  <c r="J1398" i="1"/>
  <c r="G1398" i="1"/>
  <c r="F1398" i="1"/>
  <c r="B1398" i="1"/>
  <c r="W1397" i="1"/>
  <c r="T1397" i="1"/>
  <c r="P1397" i="1"/>
  <c r="J1397" i="1"/>
  <c r="G1397" i="1"/>
  <c r="F1397" i="1"/>
  <c r="B1397" i="1"/>
  <c r="W1396" i="1"/>
  <c r="T1396" i="1"/>
  <c r="P1396" i="1"/>
  <c r="J1396" i="1"/>
  <c r="G1396" i="1"/>
  <c r="F1396" i="1"/>
  <c r="B1396" i="1"/>
  <c r="W1395" i="1"/>
  <c r="T1395" i="1"/>
  <c r="P1395" i="1"/>
  <c r="J1395" i="1"/>
  <c r="G1395" i="1"/>
  <c r="F1395" i="1"/>
  <c r="B1395" i="1"/>
  <c r="W1394" i="1"/>
  <c r="T1394" i="1"/>
  <c r="P1394" i="1"/>
  <c r="J1394" i="1"/>
  <c r="G1394" i="1"/>
  <c r="F1394" i="1"/>
  <c r="B1394" i="1"/>
  <c r="W1393" i="1"/>
  <c r="T1393" i="1"/>
  <c r="P1393" i="1"/>
  <c r="J1393" i="1"/>
  <c r="G1393" i="1"/>
  <c r="F1393" i="1"/>
  <c r="B1393" i="1"/>
  <c r="W1392" i="1"/>
  <c r="T1392" i="1"/>
  <c r="P1392" i="1"/>
  <c r="J1392" i="1"/>
  <c r="G1392" i="1"/>
  <c r="F1392" i="1"/>
  <c r="B1392" i="1"/>
  <c r="W1391" i="1"/>
  <c r="T1391" i="1"/>
  <c r="P1391" i="1"/>
  <c r="J1391" i="1"/>
  <c r="G1391" i="1"/>
  <c r="F1391" i="1"/>
  <c r="B1391" i="1"/>
  <c r="W1390" i="1"/>
  <c r="T1390" i="1"/>
  <c r="P1390" i="1"/>
  <c r="J1390" i="1"/>
  <c r="G1390" i="1"/>
  <c r="F1390" i="1"/>
  <c r="B1390" i="1"/>
  <c r="W1389" i="1"/>
  <c r="T1389" i="1"/>
  <c r="P1389" i="1"/>
  <c r="J1389" i="1"/>
  <c r="G1389" i="1"/>
  <c r="F1389" i="1"/>
  <c r="B1389" i="1"/>
  <c r="W1388" i="1"/>
  <c r="T1388" i="1"/>
  <c r="P1388" i="1"/>
  <c r="J1388" i="1"/>
  <c r="G1388" i="1"/>
  <c r="F1388" i="1"/>
  <c r="B1388" i="1"/>
  <c r="W1387" i="1"/>
  <c r="T1387" i="1"/>
  <c r="P1387" i="1"/>
  <c r="J1387" i="1"/>
  <c r="G1387" i="1"/>
  <c r="F1387" i="1"/>
  <c r="B1387" i="1"/>
  <c r="W1386" i="1"/>
  <c r="T1386" i="1"/>
  <c r="P1386" i="1"/>
  <c r="J1386" i="1"/>
  <c r="G1386" i="1"/>
  <c r="F1386" i="1"/>
  <c r="B1386" i="1"/>
  <c r="W1385" i="1"/>
  <c r="T1385" i="1"/>
  <c r="P1385" i="1"/>
  <c r="J1385" i="1"/>
  <c r="G1385" i="1"/>
  <c r="F1385" i="1"/>
  <c r="B1385" i="1"/>
  <c r="W1384" i="1"/>
  <c r="T1384" i="1"/>
  <c r="P1384" i="1"/>
  <c r="J1384" i="1"/>
  <c r="G1384" i="1"/>
  <c r="F1384" i="1"/>
  <c r="B1384" i="1"/>
  <c r="W1383" i="1"/>
  <c r="T1383" i="1"/>
  <c r="P1383" i="1"/>
  <c r="J1383" i="1"/>
  <c r="G1383" i="1"/>
  <c r="F1383" i="1"/>
  <c r="B1383" i="1"/>
  <c r="W1382" i="1"/>
  <c r="T1382" i="1"/>
  <c r="P1382" i="1"/>
  <c r="J1382" i="1"/>
  <c r="G1382" i="1"/>
  <c r="F1382" i="1"/>
  <c r="B1382" i="1"/>
  <c r="W1381" i="1"/>
  <c r="T1381" i="1"/>
  <c r="P1381" i="1"/>
  <c r="J1381" i="1"/>
  <c r="G1381" i="1"/>
  <c r="F1381" i="1"/>
  <c r="B1381" i="1"/>
  <c r="W1380" i="1"/>
  <c r="T1380" i="1"/>
  <c r="P1380" i="1"/>
  <c r="J1380" i="1"/>
  <c r="G1380" i="1"/>
  <c r="F1380" i="1"/>
  <c r="B1380" i="1"/>
  <c r="W1379" i="1"/>
  <c r="T1379" i="1"/>
  <c r="P1379" i="1"/>
  <c r="J1379" i="1"/>
  <c r="G1379" i="1"/>
  <c r="F1379" i="1"/>
  <c r="B1379" i="1"/>
  <c r="W1378" i="1"/>
  <c r="T1378" i="1"/>
  <c r="P1378" i="1"/>
  <c r="J1378" i="1"/>
  <c r="G1378" i="1"/>
  <c r="F1378" i="1"/>
  <c r="B1378" i="1"/>
  <c r="W1377" i="1"/>
  <c r="T1377" i="1"/>
  <c r="P1377" i="1"/>
  <c r="J1377" i="1"/>
  <c r="G1377" i="1"/>
  <c r="F1377" i="1"/>
  <c r="B1377" i="1"/>
  <c r="W1376" i="1"/>
  <c r="T1376" i="1"/>
  <c r="P1376" i="1"/>
  <c r="J1376" i="1"/>
  <c r="G1376" i="1"/>
  <c r="F1376" i="1"/>
  <c r="B1376" i="1"/>
  <c r="W1375" i="1"/>
  <c r="T1375" i="1"/>
  <c r="P1375" i="1"/>
  <c r="J1375" i="1"/>
  <c r="G1375" i="1"/>
  <c r="F1375" i="1"/>
  <c r="B1375" i="1"/>
  <c r="W1374" i="1"/>
  <c r="T1374" i="1"/>
  <c r="P1374" i="1"/>
  <c r="J1374" i="1"/>
  <c r="G1374" i="1"/>
  <c r="F1374" i="1"/>
  <c r="B1374" i="1"/>
  <c r="W1373" i="1"/>
  <c r="T1373" i="1"/>
  <c r="P1373" i="1"/>
  <c r="J1373" i="1"/>
  <c r="G1373" i="1"/>
  <c r="F1373" i="1"/>
  <c r="B1373" i="1"/>
  <c r="W1372" i="1"/>
  <c r="T1372" i="1"/>
  <c r="P1372" i="1"/>
  <c r="J1372" i="1"/>
  <c r="G1372" i="1"/>
  <c r="F1372" i="1"/>
  <c r="B1372" i="1"/>
  <c r="W1371" i="1"/>
  <c r="T1371" i="1"/>
  <c r="P1371" i="1"/>
  <c r="J1371" i="1"/>
  <c r="G1371" i="1"/>
  <c r="F1371" i="1"/>
  <c r="B1371" i="1"/>
  <c r="W1370" i="1"/>
  <c r="T1370" i="1"/>
  <c r="P1370" i="1"/>
  <c r="J1370" i="1"/>
  <c r="G1370" i="1"/>
  <c r="F1370" i="1"/>
  <c r="B1370" i="1"/>
  <c r="W1369" i="1"/>
  <c r="T1369" i="1"/>
  <c r="P1369" i="1"/>
  <c r="J1369" i="1"/>
  <c r="G1369" i="1"/>
  <c r="F1369" i="1"/>
  <c r="B1369" i="1"/>
  <c r="W1368" i="1"/>
  <c r="T1368" i="1"/>
  <c r="P1368" i="1"/>
  <c r="J1368" i="1"/>
  <c r="G1368" i="1"/>
  <c r="F1368" i="1"/>
  <c r="B1368" i="1"/>
  <c r="W1367" i="1"/>
  <c r="T1367" i="1"/>
  <c r="P1367" i="1"/>
  <c r="J1367" i="1"/>
  <c r="G1367" i="1"/>
  <c r="F1367" i="1"/>
  <c r="B1367" i="1"/>
  <c r="W1366" i="1"/>
  <c r="T1366" i="1"/>
  <c r="P1366" i="1"/>
  <c r="J1366" i="1"/>
  <c r="G1366" i="1"/>
  <c r="F1366" i="1"/>
  <c r="B1366" i="1"/>
  <c r="W1365" i="1"/>
  <c r="T1365" i="1"/>
  <c r="P1365" i="1"/>
  <c r="J1365" i="1"/>
  <c r="G1365" i="1"/>
  <c r="F1365" i="1"/>
  <c r="B1365" i="1"/>
  <c r="W1364" i="1"/>
  <c r="T1364" i="1"/>
  <c r="P1364" i="1"/>
  <c r="J1364" i="1"/>
  <c r="G1364" i="1"/>
  <c r="F1364" i="1"/>
  <c r="B1364" i="1"/>
  <c r="W1363" i="1"/>
  <c r="T1363" i="1"/>
  <c r="P1363" i="1"/>
  <c r="J1363" i="1"/>
  <c r="G1363" i="1"/>
  <c r="F1363" i="1"/>
  <c r="B1363" i="1"/>
  <c r="W1362" i="1"/>
  <c r="T1362" i="1"/>
  <c r="P1362" i="1"/>
  <c r="J1362" i="1"/>
  <c r="G1362" i="1"/>
  <c r="F1362" i="1"/>
  <c r="B1362" i="1"/>
  <c r="W1361" i="1"/>
  <c r="T1361" i="1"/>
  <c r="P1361" i="1"/>
  <c r="J1361" i="1"/>
  <c r="G1361" i="1"/>
  <c r="F1361" i="1"/>
  <c r="B1361" i="1"/>
  <c r="W1360" i="1"/>
  <c r="T1360" i="1"/>
  <c r="P1360" i="1"/>
  <c r="J1360" i="1"/>
  <c r="G1360" i="1"/>
  <c r="F1360" i="1"/>
  <c r="B1360" i="1"/>
  <c r="W1359" i="1"/>
  <c r="T1359" i="1"/>
  <c r="P1359" i="1"/>
  <c r="J1359" i="1"/>
  <c r="G1359" i="1"/>
  <c r="F1359" i="1"/>
  <c r="B1359" i="1"/>
  <c r="W1358" i="1"/>
  <c r="T1358" i="1"/>
  <c r="P1358" i="1"/>
  <c r="J1358" i="1"/>
  <c r="G1358" i="1"/>
  <c r="F1358" i="1"/>
  <c r="B1358" i="1"/>
  <c r="W1357" i="1"/>
  <c r="T1357" i="1"/>
  <c r="P1357" i="1"/>
  <c r="J1357" i="1"/>
  <c r="G1357" i="1"/>
  <c r="F1357" i="1"/>
  <c r="B1357" i="1"/>
  <c r="W1356" i="1"/>
  <c r="T1356" i="1"/>
  <c r="P1356" i="1"/>
  <c r="J1356" i="1"/>
  <c r="G1356" i="1"/>
  <c r="F1356" i="1"/>
  <c r="B1356" i="1"/>
  <c r="W1355" i="1"/>
  <c r="T1355" i="1"/>
  <c r="P1355" i="1"/>
  <c r="J1355" i="1"/>
  <c r="G1355" i="1"/>
  <c r="F1355" i="1"/>
  <c r="B1355" i="1"/>
  <c r="W1354" i="1"/>
  <c r="T1354" i="1"/>
  <c r="P1354" i="1"/>
  <c r="J1354" i="1"/>
  <c r="G1354" i="1"/>
  <c r="F1354" i="1"/>
  <c r="B1354" i="1"/>
  <c r="W1353" i="1"/>
  <c r="T1353" i="1"/>
  <c r="P1353" i="1"/>
  <c r="J1353" i="1"/>
  <c r="G1353" i="1"/>
  <c r="F1353" i="1"/>
  <c r="B1353" i="1"/>
  <c r="W1352" i="1"/>
  <c r="T1352" i="1"/>
  <c r="P1352" i="1"/>
  <c r="J1352" i="1"/>
  <c r="G1352" i="1"/>
  <c r="F1352" i="1"/>
  <c r="B1352" i="1"/>
  <c r="W1351" i="1"/>
  <c r="T1351" i="1"/>
  <c r="P1351" i="1"/>
  <c r="J1351" i="1"/>
  <c r="G1351" i="1"/>
  <c r="F1351" i="1"/>
  <c r="B1351" i="1"/>
  <c r="W1350" i="1"/>
  <c r="T1350" i="1"/>
  <c r="P1350" i="1"/>
  <c r="J1350" i="1"/>
  <c r="G1350" i="1"/>
  <c r="F1350" i="1"/>
  <c r="B1350" i="1"/>
  <c r="W1349" i="1"/>
  <c r="T1349" i="1"/>
  <c r="P1349" i="1"/>
  <c r="J1349" i="1"/>
  <c r="G1349" i="1"/>
  <c r="F1349" i="1"/>
  <c r="B1349" i="1"/>
  <c r="W1348" i="1"/>
  <c r="T1348" i="1"/>
  <c r="P1348" i="1"/>
  <c r="J1348" i="1"/>
  <c r="G1348" i="1"/>
  <c r="F1348" i="1"/>
  <c r="B1348" i="1"/>
  <c r="W1347" i="1"/>
  <c r="T1347" i="1"/>
  <c r="P1347" i="1"/>
  <c r="J1347" i="1"/>
  <c r="G1347" i="1"/>
  <c r="F1347" i="1"/>
  <c r="B1347" i="1"/>
  <c r="W1346" i="1"/>
  <c r="T1346" i="1"/>
  <c r="P1346" i="1"/>
  <c r="J1346" i="1"/>
  <c r="G1346" i="1"/>
  <c r="F1346" i="1"/>
  <c r="B1346" i="1"/>
  <c r="W1345" i="1"/>
  <c r="T1345" i="1"/>
  <c r="P1345" i="1"/>
  <c r="J1345" i="1"/>
  <c r="G1345" i="1"/>
  <c r="F1345" i="1"/>
  <c r="B1345" i="1"/>
  <c r="W1344" i="1"/>
  <c r="T1344" i="1"/>
  <c r="P1344" i="1"/>
  <c r="J1344" i="1"/>
  <c r="G1344" i="1"/>
  <c r="F1344" i="1"/>
  <c r="B1344" i="1"/>
  <c r="W1343" i="1"/>
  <c r="T1343" i="1"/>
  <c r="P1343" i="1"/>
  <c r="J1343" i="1"/>
  <c r="G1343" i="1"/>
  <c r="F1343" i="1"/>
  <c r="B1343" i="1"/>
  <c r="W1342" i="1"/>
  <c r="T1342" i="1"/>
  <c r="P1342" i="1"/>
  <c r="J1342" i="1"/>
  <c r="G1342" i="1"/>
  <c r="F1342" i="1"/>
  <c r="B1342" i="1"/>
  <c r="W1341" i="1"/>
  <c r="T1341" i="1"/>
  <c r="P1341" i="1"/>
  <c r="J1341" i="1"/>
  <c r="G1341" i="1"/>
  <c r="F1341" i="1"/>
  <c r="B1341" i="1"/>
  <c r="W1340" i="1"/>
  <c r="T1340" i="1"/>
  <c r="P1340" i="1"/>
  <c r="J1340" i="1"/>
  <c r="G1340" i="1"/>
  <c r="F1340" i="1"/>
  <c r="B1340" i="1"/>
  <c r="W1339" i="1"/>
  <c r="T1339" i="1"/>
  <c r="P1339" i="1"/>
  <c r="J1339" i="1"/>
  <c r="G1339" i="1"/>
  <c r="F1339" i="1"/>
  <c r="B1339" i="1"/>
  <c r="W1338" i="1"/>
  <c r="T1338" i="1"/>
  <c r="P1338" i="1"/>
  <c r="J1338" i="1"/>
  <c r="G1338" i="1"/>
  <c r="F1338" i="1"/>
  <c r="B1338" i="1"/>
  <c r="W1337" i="1"/>
  <c r="T1337" i="1"/>
  <c r="P1337" i="1"/>
  <c r="J1337" i="1"/>
  <c r="G1337" i="1"/>
  <c r="F1337" i="1"/>
  <c r="B1337" i="1"/>
  <c r="W1336" i="1"/>
  <c r="T1336" i="1"/>
  <c r="P1336" i="1"/>
  <c r="J1336" i="1"/>
  <c r="G1336" i="1"/>
  <c r="F1336" i="1"/>
  <c r="B1336" i="1"/>
  <c r="W1335" i="1"/>
  <c r="T1335" i="1"/>
  <c r="P1335" i="1"/>
  <c r="J1335" i="1"/>
  <c r="G1335" i="1"/>
  <c r="F1335" i="1"/>
  <c r="B1335" i="1"/>
  <c r="W1334" i="1"/>
  <c r="T1334" i="1"/>
  <c r="P1334" i="1"/>
  <c r="J1334" i="1"/>
  <c r="G1334" i="1"/>
  <c r="F1334" i="1"/>
  <c r="B1334" i="1"/>
  <c r="W1333" i="1"/>
  <c r="T1333" i="1"/>
  <c r="P1333" i="1"/>
  <c r="J1333" i="1"/>
  <c r="G1333" i="1"/>
  <c r="F1333" i="1"/>
  <c r="B1333" i="1"/>
  <c r="W1332" i="1"/>
  <c r="T1332" i="1"/>
  <c r="P1332" i="1"/>
  <c r="J1332" i="1"/>
  <c r="G1332" i="1"/>
  <c r="F1332" i="1"/>
  <c r="B1332" i="1"/>
  <c r="W1331" i="1"/>
  <c r="T1331" i="1"/>
  <c r="P1331" i="1"/>
  <c r="J1331" i="1"/>
  <c r="G1331" i="1"/>
  <c r="F1331" i="1"/>
  <c r="B1331" i="1"/>
  <c r="W1330" i="1"/>
  <c r="T1330" i="1"/>
  <c r="P1330" i="1"/>
  <c r="J1330" i="1"/>
  <c r="G1330" i="1"/>
  <c r="F1330" i="1"/>
  <c r="B1330" i="1"/>
  <c r="W1329" i="1"/>
  <c r="T1329" i="1"/>
  <c r="P1329" i="1"/>
  <c r="J1329" i="1"/>
  <c r="G1329" i="1"/>
  <c r="F1329" i="1"/>
  <c r="B1329" i="1"/>
  <c r="W1328" i="1"/>
  <c r="T1328" i="1"/>
  <c r="P1328" i="1"/>
  <c r="J1328" i="1"/>
  <c r="G1328" i="1"/>
  <c r="F1328" i="1"/>
  <c r="B1328" i="1"/>
  <c r="W1327" i="1"/>
  <c r="T1327" i="1"/>
  <c r="P1327" i="1"/>
  <c r="J1327" i="1"/>
  <c r="G1327" i="1"/>
  <c r="F1327" i="1"/>
  <c r="B1327" i="1"/>
  <c r="W1326" i="1"/>
  <c r="T1326" i="1"/>
  <c r="P1326" i="1"/>
  <c r="J1326" i="1"/>
  <c r="G1326" i="1"/>
  <c r="F1326" i="1"/>
  <c r="B1326" i="1"/>
  <c r="W1325" i="1"/>
  <c r="T1325" i="1"/>
  <c r="P1325" i="1"/>
  <c r="J1325" i="1"/>
  <c r="G1325" i="1"/>
  <c r="F1325" i="1"/>
  <c r="B1325" i="1"/>
  <c r="W1324" i="1"/>
  <c r="T1324" i="1"/>
  <c r="P1324" i="1"/>
  <c r="J1324" i="1"/>
  <c r="G1324" i="1"/>
  <c r="F1324" i="1"/>
  <c r="B1324" i="1"/>
  <c r="W1323" i="1"/>
  <c r="T1323" i="1"/>
  <c r="P1323" i="1"/>
  <c r="J1323" i="1"/>
  <c r="G1323" i="1"/>
  <c r="F1323" i="1"/>
  <c r="B1323" i="1"/>
  <c r="W1322" i="1"/>
  <c r="T1322" i="1"/>
  <c r="P1322" i="1"/>
  <c r="J1322" i="1"/>
  <c r="G1322" i="1"/>
  <c r="F1322" i="1"/>
  <c r="B1322" i="1"/>
  <c r="W1321" i="1"/>
  <c r="T1321" i="1"/>
  <c r="P1321" i="1"/>
  <c r="J1321" i="1"/>
  <c r="G1321" i="1"/>
  <c r="F1321" i="1"/>
  <c r="B1321" i="1"/>
  <c r="W1320" i="1"/>
  <c r="T1320" i="1"/>
  <c r="P1320" i="1"/>
  <c r="J1320" i="1"/>
  <c r="G1320" i="1"/>
  <c r="F1320" i="1"/>
  <c r="B1320" i="1"/>
  <c r="W1319" i="1"/>
  <c r="T1319" i="1"/>
  <c r="P1319" i="1"/>
  <c r="J1319" i="1"/>
  <c r="G1319" i="1"/>
  <c r="F1319" i="1"/>
  <c r="B1319" i="1"/>
  <c r="W1318" i="1"/>
  <c r="T1318" i="1"/>
  <c r="P1318" i="1"/>
  <c r="J1318" i="1"/>
  <c r="G1318" i="1"/>
  <c r="F1318" i="1"/>
  <c r="B1318" i="1"/>
  <c r="W1317" i="1"/>
  <c r="T1317" i="1"/>
  <c r="P1317" i="1"/>
  <c r="J1317" i="1"/>
  <c r="G1317" i="1"/>
  <c r="F1317" i="1"/>
  <c r="B1317" i="1"/>
  <c r="W1316" i="1"/>
  <c r="T1316" i="1"/>
  <c r="P1316" i="1"/>
  <c r="J1316" i="1"/>
  <c r="G1316" i="1"/>
  <c r="F1316" i="1"/>
  <c r="B1316" i="1"/>
  <c r="W1315" i="1"/>
  <c r="T1315" i="1"/>
  <c r="P1315" i="1"/>
  <c r="J1315" i="1"/>
  <c r="G1315" i="1"/>
  <c r="F1315" i="1"/>
  <c r="B1315" i="1"/>
  <c r="W1314" i="1"/>
  <c r="T1314" i="1"/>
  <c r="P1314" i="1"/>
  <c r="J1314" i="1"/>
  <c r="G1314" i="1"/>
  <c r="F1314" i="1"/>
  <c r="B1314" i="1"/>
  <c r="W1313" i="1"/>
  <c r="T1313" i="1"/>
  <c r="P1313" i="1"/>
  <c r="J1313" i="1"/>
  <c r="G1313" i="1"/>
  <c r="F1313" i="1"/>
  <c r="B1313" i="1"/>
  <c r="W1312" i="1"/>
  <c r="T1312" i="1"/>
  <c r="P1312" i="1"/>
  <c r="J1312" i="1"/>
  <c r="G1312" i="1"/>
  <c r="F1312" i="1"/>
  <c r="B1312" i="1"/>
  <c r="W1311" i="1"/>
  <c r="T1311" i="1"/>
  <c r="P1311" i="1"/>
  <c r="J1311" i="1"/>
  <c r="G1311" i="1"/>
  <c r="F1311" i="1"/>
  <c r="B1311" i="1"/>
  <c r="W1310" i="1"/>
  <c r="T1310" i="1"/>
  <c r="P1310" i="1"/>
  <c r="J1310" i="1"/>
  <c r="G1310" i="1"/>
  <c r="F1310" i="1"/>
  <c r="B1310" i="1"/>
  <c r="W1309" i="1"/>
  <c r="T1309" i="1"/>
  <c r="P1309" i="1"/>
  <c r="J1309" i="1"/>
  <c r="G1309" i="1"/>
  <c r="F1309" i="1"/>
  <c r="B1309" i="1"/>
  <c r="W1308" i="1"/>
  <c r="T1308" i="1"/>
  <c r="P1308" i="1"/>
  <c r="J1308" i="1"/>
  <c r="G1308" i="1"/>
  <c r="F1308" i="1"/>
  <c r="B1308" i="1"/>
  <c r="W1307" i="1"/>
  <c r="T1307" i="1"/>
  <c r="P1307" i="1"/>
  <c r="J1307" i="1"/>
  <c r="G1307" i="1"/>
  <c r="F1307" i="1"/>
  <c r="B1307" i="1"/>
  <c r="W1306" i="1"/>
  <c r="T1306" i="1"/>
  <c r="P1306" i="1"/>
  <c r="J1306" i="1"/>
  <c r="G1306" i="1"/>
  <c r="F1306" i="1"/>
  <c r="B1306" i="1"/>
  <c r="W1305" i="1"/>
  <c r="T1305" i="1"/>
  <c r="P1305" i="1"/>
  <c r="J1305" i="1"/>
  <c r="G1305" i="1"/>
  <c r="F1305" i="1"/>
  <c r="B1305" i="1"/>
  <c r="W1304" i="1"/>
  <c r="T1304" i="1"/>
  <c r="P1304" i="1"/>
  <c r="J1304" i="1"/>
  <c r="G1304" i="1"/>
  <c r="F1304" i="1"/>
  <c r="B1304" i="1"/>
  <c r="W1303" i="1"/>
  <c r="T1303" i="1"/>
  <c r="P1303" i="1"/>
  <c r="J1303" i="1"/>
  <c r="G1303" i="1"/>
  <c r="F1303" i="1"/>
  <c r="B1303" i="1"/>
  <c r="W1302" i="1"/>
  <c r="T1302" i="1"/>
  <c r="P1302" i="1"/>
  <c r="J1302" i="1"/>
  <c r="G1302" i="1"/>
  <c r="F1302" i="1"/>
  <c r="B1302" i="1"/>
  <c r="W1301" i="1"/>
  <c r="T1301" i="1"/>
  <c r="P1301" i="1"/>
  <c r="J1301" i="1"/>
  <c r="G1301" i="1"/>
  <c r="F1301" i="1"/>
  <c r="B1301" i="1"/>
  <c r="W1300" i="1"/>
  <c r="T1300" i="1"/>
  <c r="P1300" i="1"/>
  <c r="J1300" i="1"/>
  <c r="G1300" i="1"/>
  <c r="F1300" i="1"/>
  <c r="B1300" i="1"/>
  <c r="W1299" i="1"/>
  <c r="T1299" i="1"/>
  <c r="P1299" i="1"/>
  <c r="J1299" i="1"/>
  <c r="G1299" i="1"/>
  <c r="F1299" i="1"/>
  <c r="B1299" i="1"/>
  <c r="W1298" i="1"/>
  <c r="T1298" i="1"/>
  <c r="P1298" i="1"/>
  <c r="J1298" i="1"/>
  <c r="G1298" i="1"/>
  <c r="F1298" i="1"/>
  <c r="B1298" i="1"/>
  <c r="W1297" i="1"/>
  <c r="T1297" i="1"/>
  <c r="P1297" i="1"/>
  <c r="J1297" i="1"/>
  <c r="G1297" i="1"/>
  <c r="F1297" i="1"/>
  <c r="B1297" i="1"/>
  <c r="W1296" i="1"/>
  <c r="T1296" i="1"/>
  <c r="P1296" i="1"/>
  <c r="J1296" i="1"/>
  <c r="G1296" i="1"/>
  <c r="F1296" i="1"/>
  <c r="B1296" i="1"/>
  <c r="W1295" i="1"/>
  <c r="T1295" i="1"/>
  <c r="P1295" i="1"/>
  <c r="J1295" i="1"/>
  <c r="G1295" i="1"/>
  <c r="F1295" i="1"/>
  <c r="B1295" i="1"/>
  <c r="W1294" i="1"/>
  <c r="T1294" i="1"/>
  <c r="P1294" i="1"/>
  <c r="J1294" i="1"/>
  <c r="G1294" i="1"/>
  <c r="F1294" i="1"/>
  <c r="B1294" i="1"/>
  <c r="W1293" i="1"/>
  <c r="T1293" i="1"/>
  <c r="P1293" i="1"/>
  <c r="J1293" i="1"/>
  <c r="G1293" i="1"/>
  <c r="F1293" i="1"/>
  <c r="B1293" i="1"/>
  <c r="W1292" i="1"/>
  <c r="T1292" i="1"/>
  <c r="P1292" i="1"/>
  <c r="J1292" i="1"/>
  <c r="G1292" i="1"/>
  <c r="F1292" i="1"/>
  <c r="B1292" i="1"/>
  <c r="W1291" i="1"/>
  <c r="T1291" i="1"/>
  <c r="P1291" i="1"/>
  <c r="J1291" i="1"/>
  <c r="G1291" i="1"/>
  <c r="F1291" i="1"/>
  <c r="B1291" i="1"/>
  <c r="W1290" i="1"/>
  <c r="T1290" i="1"/>
  <c r="P1290" i="1"/>
  <c r="J1290" i="1"/>
  <c r="G1290" i="1"/>
  <c r="F1290" i="1"/>
  <c r="B1290" i="1"/>
  <c r="W1289" i="1"/>
  <c r="T1289" i="1"/>
  <c r="P1289" i="1"/>
  <c r="J1289" i="1"/>
  <c r="G1289" i="1"/>
  <c r="F1289" i="1"/>
  <c r="B1289" i="1"/>
  <c r="W1288" i="1"/>
  <c r="T1288" i="1"/>
  <c r="P1288" i="1"/>
  <c r="J1288" i="1"/>
  <c r="G1288" i="1"/>
  <c r="F1288" i="1"/>
  <c r="B1288" i="1"/>
  <c r="W1287" i="1"/>
  <c r="T1287" i="1"/>
  <c r="P1287" i="1"/>
  <c r="J1287" i="1"/>
  <c r="G1287" i="1"/>
  <c r="F1287" i="1"/>
  <c r="B1287" i="1"/>
  <c r="W1286" i="1"/>
  <c r="T1286" i="1"/>
  <c r="P1286" i="1"/>
  <c r="J1286" i="1"/>
  <c r="G1286" i="1"/>
  <c r="F1286" i="1"/>
  <c r="B1286" i="1"/>
  <c r="W1285" i="1"/>
  <c r="T1285" i="1"/>
  <c r="P1285" i="1"/>
  <c r="J1285" i="1"/>
  <c r="G1285" i="1"/>
  <c r="F1285" i="1"/>
  <c r="B1285" i="1"/>
  <c r="W1284" i="1"/>
  <c r="T1284" i="1"/>
  <c r="P1284" i="1"/>
  <c r="J1284" i="1"/>
  <c r="G1284" i="1"/>
  <c r="F1284" i="1"/>
  <c r="B1284" i="1"/>
  <c r="W1283" i="1"/>
  <c r="T1283" i="1"/>
  <c r="P1283" i="1"/>
  <c r="J1283" i="1"/>
  <c r="G1283" i="1"/>
  <c r="F1283" i="1"/>
  <c r="B1283" i="1"/>
  <c r="W1282" i="1"/>
  <c r="T1282" i="1"/>
  <c r="P1282" i="1"/>
  <c r="J1282" i="1"/>
  <c r="G1282" i="1"/>
  <c r="F1282" i="1"/>
  <c r="B1282" i="1"/>
  <c r="W1281" i="1"/>
  <c r="T1281" i="1"/>
  <c r="P1281" i="1"/>
  <c r="J1281" i="1"/>
  <c r="G1281" i="1"/>
  <c r="F1281" i="1"/>
  <c r="B1281" i="1"/>
  <c r="W1280" i="1"/>
  <c r="T1280" i="1"/>
  <c r="P1280" i="1"/>
  <c r="J1280" i="1"/>
  <c r="G1280" i="1"/>
  <c r="F1280" i="1"/>
  <c r="B1280" i="1"/>
  <c r="W1279" i="1"/>
  <c r="T1279" i="1"/>
  <c r="P1279" i="1"/>
  <c r="J1279" i="1"/>
  <c r="G1279" i="1"/>
  <c r="F1279" i="1"/>
  <c r="B1279" i="1"/>
  <c r="W1278" i="1"/>
  <c r="T1278" i="1"/>
  <c r="P1278" i="1"/>
  <c r="J1278" i="1"/>
  <c r="G1278" i="1"/>
  <c r="F1278" i="1"/>
  <c r="B1278" i="1"/>
  <c r="W1277" i="1"/>
  <c r="T1277" i="1"/>
  <c r="P1277" i="1"/>
  <c r="J1277" i="1"/>
  <c r="G1277" i="1"/>
  <c r="F1277" i="1"/>
  <c r="B1277" i="1"/>
  <c r="W1276" i="1"/>
  <c r="T1276" i="1"/>
  <c r="P1276" i="1"/>
  <c r="J1276" i="1"/>
  <c r="G1276" i="1"/>
  <c r="F1276" i="1"/>
  <c r="B1276" i="1"/>
  <c r="W1275" i="1"/>
  <c r="T1275" i="1"/>
  <c r="P1275" i="1"/>
  <c r="J1275" i="1"/>
  <c r="G1275" i="1"/>
  <c r="F1275" i="1"/>
  <c r="B1275" i="1"/>
  <c r="W1274" i="1"/>
  <c r="T1274" i="1"/>
  <c r="P1274" i="1"/>
  <c r="J1274" i="1"/>
  <c r="G1274" i="1"/>
  <c r="F1274" i="1"/>
  <c r="B1274" i="1"/>
  <c r="W1273" i="1"/>
  <c r="T1273" i="1"/>
  <c r="P1273" i="1"/>
  <c r="J1273" i="1"/>
  <c r="G1273" i="1"/>
  <c r="F1273" i="1"/>
  <c r="B1273" i="1"/>
  <c r="W1272" i="1"/>
  <c r="T1272" i="1"/>
  <c r="P1272" i="1"/>
  <c r="J1272" i="1"/>
  <c r="G1272" i="1"/>
  <c r="F1272" i="1"/>
  <c r="B1272" i="1"/>
  <c r="W1271" i="1"/>
  <c r="T1271" i="1"/>
  <c r="P1271" i="1"/>
  <c r="J1271" i="1"/>
  <c r="G1271" i="1"/>
  <c r="F1271" i="1"/>
  <c r="B1271" i="1"/>
  <c r="W1270" i="1"/>
  <c r="T1270" i="1"/>
  <c r="P1270" i="1"/>
  <c r="J1270" i="1"/>
  <c r="G1270" i="1"/>
  <c r="F1270" i="1"/>
  <c r="B1270" i="1"/>
  <c r="W1269" i="1"/>
  <c r="T1269" i="1"/>
  <c r="P1269" i="1"/>
  <c r="J1269" i="1"/>
  <c r="G1269" i="1"/>
  <c r="F1269" i="1"/>
  <c r="B1269" i="1"/>
  <c r="W1268" i="1"/>
  <c r="T1268" i="1"/>
  <c r="P1268" i="1"/>
  <c r="J1268" i="1"/>
  <c r="G1268" i="1"/>
  <c r="F1268" i="1"/>
  <c r="B1268" i="1"/>
  <c r="W1267" i="1"/>
  <c r="T1267" i="1"/>
  <c r="P1267" i="1"/>
  <c r="J1267" i="1"/>
  <c r="G1267" i="1"/>
  <c r="F1267" i="1"/>
  <c r="B1267" i="1"/>
  <c r="W1266" i="1"/>
  <c r="T1266" i="1"/>
  <c r="P1266" i="1"/>
  <c r="J1266" i="1"/>
  <c r="G1266" i="1"/>
  <c r="F1266" i="1"/>
  <c r="B1266" i="1"/>
  <c r="W1265" i="1"/>
  <c r="T1265" i="1"/>
  <c r="P1265" i="1"/>
  <c r="J1265" i="1"/>
  <c r="G1265" i="1"/>
  <c r="F1265" i="1"/>
  <c r="B1265" i="1"/>
  <c r="W1264" i="1"/>
  <c r="T1264" i="1"/>
  <c r="P1264" i="1"/>
  <c r="J1264" i="1"/>
  <c r="G1264" i="1"/>
  <c r="F1264" i="1"/>
  <c r="B1264" i="1"/>
  <c r="W1263" i="1"/>
  <c r="T1263" i="1"/>
  <c r="P1263" i="1"/>
  <c r="J1263" i="1"/>
  <c r="G1263" i="1"/>
  <c r="F1263" i="1"/>
  <c r="B1263" i="1"/>
  <c r="W1262" i="1"/>
  <c r="T1262" i="1"/>
  <c r="P1262" i="1"/>
  <c r="J1262" i="1"/>
  <c r="G1262" i="1"/>
  <c r="F1262" i="1"/>
  <c r="B1262" i="1"/>
  <c r="W1261" i="1"/>
  <c r="T1261" i="1"/>
  <c r="P1261" i="1"/>
  <c r="J1261" i="1"/>
  <c r="G1261" i="1"/>
  <c r="F1261" i="1"/>
  <c r="B1261" i="1"/>
  <c r="W1260" i="1"/>
  <c r="T1260" i="1"/>
  <c r="P1260" i="1"/>
  <c r="J1260" i="1"/>
  <c r="G1260" i="1"/>
  <c r="F1260" i="1"/>
  <c r="B1260" i="1"/>
  <c r="W1259" i="1"/>
  <c r="T1259" i="1"/>
  <c r="P1259" i="1"/>
  <c r="J1259" i="1"/>
  <c r="G1259" i="1"/>
  <c r="F1259" i="1"/>
  <c r="B1259" i="1"/>
  <c r="W1258" i="1"/>
  <c r="T1258" i="1"/>
  <c r="P1258" i="1"/>
  <c r="J1258" i="1"/>
  <c r="G1258" i="1"/>
  <c r="F1258" i="1"/>
  <c r="B1258" i="1"/>
  <c r="W1257" i="1"/>
  <c r="T1257" i="1"/>
  <c r="P1257" i="1"/>
  <c r="J1257" i="1"/>
  <c r="G1257" i="1"/>
  <c r="F1257" i="1"/>
  <c r="B1257" i="1"/>
  <c r="W1256" i="1"/>
  <c r="T1256" i="1"/>
  <c r="P1256" i="1"/>
  <c r="J1256" i="1"/>
  <c r="G1256" i="1"/>
  <c r="F1256" i="1"/>
  <c r="B1256" i="1"/>
  <c r="W1255" i="1"/>
  <c r="T1255" i="1"/>
  <c r="P1255" i="1"/>
  <c r="J1255" i="1"/>
  <c r="G1255" i="1"/>
  <c r="F1255" i="1"/>
  <c r="B1255" i="1"/>
  <c r="W1254" i="1"/>
  <c r="T1254" i="1"/>
  <c r="P1254" i="1"/>
  <c r="J1254" i="1"/>
  <c r="G1254" i="1"/>
  <c r="F1254" i="1"/>
  <c r="B1254" i="1"/>
  <c r="W1253" i="1"/>
  <c r="T1253" i="1"/>
  <c r="P1253" i="1"/>
  <c r="J1253" i="1"/>
  <c r="G1253" i="1"/>
  <c r="F1253" i="1"/>
  <c r="B1253" i="1"/>
  <c r="W1252" i="1"/>
  <c r="T1252" i="1"/>
  <c r="P1252" i="1"/>
  <c r="J1252" i="1"/>
  <c r="G1252" i="1"/>
  <c r="F1252" i="1"/>
  <c r="B1252" i="1"/>
  <c r="W1251" i="1"/>
  <c r="T1251" i="1"/>
  <c r="P1251" i="1"/>
  <c r="J1251" i="1"/>
  <c r="G1251" i="1"/>
  <c r="F1251" i="1"/>
  <c r="B1251" i="1"/>
  <c r="W1250" i="1"/>
  <c r="T1250" i="1"/>
  <c r="P1250" i="1"/>
  <c r="J1250" i="1"/>
  <c r="G1250" i="1"/>
  <c r="F1250" i="1"/>
  <c r="B1250" i="1"/>
  <c r="W1249" i="1"/>
  <c r="T1249" i="1"/>
  <c r="P1249" i="1"/>
  <c r="J1249" i="1"/>
  <c r="G1249" i="1"/>
  <c r="F1249" i="1"/>
  <c r="B1249" i="1"/>
  <c r="W1248" i="1"/>
  <c r="T1248" i="1"/>
  <c r="P1248" i="1"/>
  <c r="J1248" i="1"/>
  <c r="G1248" i="1"/>
  <c r="F1248" i="1"/>
  <c r="B1248" i="1"/>
  <c r="W1247" i="1"/>
  <c r="T1247" i="1"/>
  <c r="P1247" i="1"/>
  <c r="J1247" i="1"/>
  <c r="G1247" i="1"/>
  <c r="F1247" i="1"/>
  <c r="B1247" i="1"/>
  <c r="W1246" i="1"/>
  <c r="T1246" i="1"/>
  <c r="P1246" i="1"/>
  <c r="J1246" i="1"/>
  <c r="G1246" i="1"/>
  <c r="F1246" i="1"/>
  <c r="B1246" i="1"/>
  <c r="W1245" i="1"/>
  <c r="T1245" i="1"/>
  <c r="P1245" i="1"/>
  <c r="J1245" i="1"/>
  <c r="G1245" i="1"/>
  <c r="F1245" i="1"/>
  <c r="B1245" i="1"/>
  <c r="W1244" i="1"/>
  <c r="T1244" i="1"/>
  <c r="P1244" i="1"/>
  <c r="J1244" i="1"/>
  <c r="G1244" i="1"/>
  <c r="F1244" i="1"/>
  <c r="B1244" i="1"/>
  <c r="W1243" i="1"/>
  <c r="T1243" i="1"/>
  <c r="P1243" i="1"/>
  <c r="J1243" i="1"/>
  <c r="G1243" i="1"/>
  <c r="F1243" i="1"/>
  <c r="B1243" i="1"/>
  <c r="W1242" i="1"/>
  <c r="T1242" i="1"/>
  <c r="P1242" i="1"/>
  <c r="J1242" i="1"/>
  <c r="G1242" i="1"/>
  <c r="F1242" i="1"/>
  <c r="B1242" i="1"/>
  <c r="W1241" i="1"/>
  <c r="T1241" i="1"/>
  <c r="P1241" i="1"/>
  <c r="J1241" i="1"/>
  <c r="G1241" i="1"/>
  <c r="F1241" i="1"/>
  <c r="B1241" i="1"/>
  <c r="W1240" i="1"/>
  <c r="T1240" i="1"/>
  <c r="P1240" i="1"/>
  <c r="J1240" i="1"/>
  <c r="G1240" i="1"/>
  <c r="F1240" i="1"/>
  <c r="B1240" i="1"/>
  <c r="W1239" i="1"/>
  <c r="T1239" i="1"/>
  <c r="P1239" i="1"/>
  <c r="J1239" i="1"/>
  <c r="G1239" i="1"/>
  <c r="F1239" i="1"/>
  <c r="B1239" i="1"/>
  <c r="W1238" i="1"/>
  <c r="T1238" i="1"/>
  <c r="P1238" i="1"/>
  <c r="J1238" i="1"/>
  <c r="G1238" i="1"/>
  <c r="F1238" i="1"/>
  <c r="B1238" i="1"/>
  <c r="W1237" i="1"/>
  <c r="T1237" i="1"/>
  <c r="P1237" i="1"/>
  <c r="J1237" i="1"/>
  <c r="G1237" i="1"/>
  <c r="F1237" i="1"/>
  <c r="B1237" i="1"/>
  <c r="W1236" i="1"/>
  <c r="T1236" i="1"/>
  <c r="P1236" i="1"/>
  <c r="J1236" i="1"/>
  <c r="G1236" i="1"/>
  <c r="F1236" i="1"/>
  <c r="B1236" i="1"/>
  <c r="W1235" i="1"/>
  <c r="T1235" i="1"/>
  <c r="P1235" i="1"/>
  <c r="J1235" i="1"/>
  <c r="G1235" i="1"/>
  <c r="F1235" i="1"/>
  <c r="B1235" i="1"/>
  <c r="W1234" i="1"/>
  <c r="T1234" i="1"/>
  <c r="P1234" i="1"/>
  <c r="J1234" i="1"/>
  <c r="G1234" i="1"/>
  <c r="F1234" i="1"/>
  <c r="B1234" i="1"/>
  <c r="W1233" i="1"/>
  <c r="T1233" i="1"/>
  <c r="P1233" i="1"/>
  <c r="J1233" i="1"/>
  <c r="G1233" i="1"/>
  <c r="F1233" i="1"/>
  <c r="B1233" i="1"/>
  <c r="W1232" i="1"/>
  <c r="T1232" i="1"/>
  <c r="P1232" i="1"/>
  <c r="J1232" i="1"/>
  <c r="G1232" i="1"/>
  <c r="F1232" i="1"/>
  <c r="B1232" i="1"/>
  <c r="W1231" i="1"/>
  <c r="T1231" i="1"/>
  <c r="P1231" i="1"/>
  <c r="J1231" i="1"/>
  <c r="G1231" i="1"/>
  <c r="F1231" i="1"/>
  <c r="B1231" i="1"/>
  <c r="W1230" i="1"/>
  <c r="T1230" i="1"/>
  <c r="P1230" i="1"/>
  <c r="J1230" i="1"/>
  <c r="G1230" i="1"/>
  <c r="F1230" i="1"/>
  <c r="B1230" i="1"/>
  <c r="W1229" i="1"/>
  <c r="T1229" i="1"/>
  <c r="P1229" i="1"/>
  <c r="J1229" i="1"/>
  <c r="G1229" i="1"/>
  <c r="F1229" i="1"/>
  <c r="B1229" i="1"/>
  <c r="W1228" i="1"/>
  <c r="T1228" i="1"/>
  <c r="P1228" i="1"/>
  <c r="J1228" i="1"/>
  <c r="G1228" i="1"/>
  <c r="F1228" i="1"/>
  <c r="B1228" i="1"/>
  <c r="W1227" i="1"/>
  <c r="T1227" i="1"/>
  <c r="P1227" i="1"/>
  <c r="J1227" i="1"/>
  <c r="G1227" i="1"/>
  <c r="F1227" i="1"/>
  <c r="B1227" i="1"/>
  <c r="W1226" i="1"/>
  <c r="T1226" i="1"/>
  <c r="P1226" i="1"/>
  <c r="J1226" i="1"/>
  <c r="G1226" i="1"/>
  <c r="F1226" i="1"/>
  <c r="B1226" i="1"/>
  <c r="W1225" i="1"/>
  <c r="T1225" i="1"/>
  <c r="P1225" i="1"/>
  <c r="J1225" i="1"/>
  <c r="G1225" i="1"/>
  <c r="F1225" i="1"/>
  <c r="B1225" i="1"/>
  <c r="W1224" i="1"/>
  <c r="T1224" i="1"/>
  <c r="P1224" i="1"/>
  <c r="J1224" i="1"/>
  <c r="G1224" i="1"/>
  <c r="F1224" i="1"/>
  <c r="B1224" i="1"/>
  <c r="W1223" i="1"/>
  <c r="T1223" i="1"/>
  <c r="P1223" i="1"/>
  <c r="J1223" i="1"/>
  <c r="G1223" i="1"/>
  <c r="F1223" i="1"/>
  <c r="B1223" i="1"/>
  <c r="W1222" i="1"/>
  <c r="T1222" i="1"/>
  <c r="P1222" i="1"/>
  <c r="J1222" i="1"/>
  <c r="G1222" i="1"/>
  <c r="F1222" i="1"/>
  <c r="B1222" i="1"/>
  <c r="W1221" i="1"/>
  <c r="T1221" i="1"/>
  <c r="P1221" i="1"/>
  <c r="J1221" i="1"/>
  <c r="G1221" i="1"/>
  <c r="F1221" i="1"/>
  <c r="B1221" i="1"/>
  <c r="W1220" i="1"/>
  <c r="T1220" i="1"/>
  <c r="P1220" i="1"/>
  <c r="J1220" i="1"/>
  <c r="G1220" i="1"/>
  <c r="F1220" i="1"/>
  <c r="B1220" i="1"/>
  <c r="W1219" i="1"/>
  <c r="T1219" i="1"/>
  <c r="P1219" i="1"/>
  <c r="J1219" i="1"/>
  <c r="G1219" i="1"/>
  <c r="F1219" i="1"/>
  <c r="B1219" i="1"/>
  <c r="W1218" i="1"/>
  <c r="T1218" i="1"/>
  <c r="P1218" i="1"/>
  <c r="J1218" i="1"/>
  <c r="G1218" i="1"/>
  <c r="F1218" i="1"/>
  <c r="B1218" i="1"/>
  <c r="W1217" i="1"/>
  <c r="T1217" i="1"/>
  <c r="P1217" i="1"/>
  <c r="J1217" i="1"/>
  <c r="G1217" i="1"/>
  <c r="F1217" i="1"/>
  <c r="B1217" i="1"/>
  <c r="W1216" i="1"/>
  <c r="T1216" i="1"/>
  <c r="P1216" i="1"/>
  <c r="J1216" i="1"/>
  <c r="G1216" i="1"/>
  <c r="F1216" i="1"/>
  <c r="B1216" i="1"/>
  <c r="W1215" i="1"/>
  <c r="T1215" i="1"/>
  <c r="P1215" i="1"/>
  <c r="J1215" i="1"/>
  <c r="G1215" i="1"/>
  <c r="F1215" i="1"/>
  <c r="B1215" i="1"/>
  <c r="W1214" i="1"/>
  <c r="T1214" i="1"/>
  <c r="P1214" i="1"/>
  <c r="J1214" i="1"/>
  <c r="G1214" i="1"/>
  <c r="F1214" i="1"/>
  <c r="B1214" i="1"/>
  <c r="W1213" i="1"/>
  <c r="T1213" i="1"/>
  <c r="P1213" i="1"/>
  <c r="J1213" i="1"/>
  <c r="G1213" i="1"/>
  <c r="F1213" i="1"/>
  <c r="B1213" i="1"/>
  <c r="W1212" i="1"/>
  <c r="T1212" i="1"/>
  <c r="P1212" i="1"/>
  <c r="J1212" i="1"/>
  <c r="G1212" i="1"/>
  <c r="F1212" i="1"/>
  <c r="B1212" i="1"/>
  <c r="W1211" i="1"/>
  <c r="T1211" i="1"/>
  <c r="P1211" i="1"/>
  <c r="J1211" i="1"/>
  <c r="G1211" i="1"/>
  <c r="F1211" i="1"/>
  <c r="B1211" i="1"/>
  <c r="W1210" i="1"/>
  <c r="T1210" i="1"/>
  <c r="P1210" i="1"/>
  <c r="J1210" i="1"/>
  <c r="G1210" i="1"/>
  <c r="F1210" i="1"/>
  <c r="B1210" i="1"/>
  <c r="W1209" i="1"/>
  <c r="T1209" i="1"/>
  <c r="P1209" i="1"/>
  <c r="J1209" i="1"/>
  <c r="G1209" i="1"/>
  <c r="F1209" i="1"/>
  <c r="B1209" i="1"/>
  <c r="W1208" i="1"/>
  <c r="T1208" i="1"/>
  <c r="P1208" i="1"/>
  <c r="J1208" i="1"/>
  <c r="G1208" i="1"/>
  <c r="F1208" i="1"/>
  <c r="B1208" i="1"/>
  <c r="W1207" i="1"/>
  <c r="T1207" i="1"/>
  <c r="P1207" i="1"/>
  <c r="J1207" i="1"/>
  <c r="G1207" i="1"/>
  <c r="F1207" i="1"/>
  <c r="B1207" i="1"/>
  <c r="W1206" i="1"/>
  <c r="T1206" i="1"/>
  <c r="P1206" i="1"/>
  <c r="J1206" i="1"/>
  <c r="G1206" i="1"/>
  <c r="F1206" i="1"/>
  <c r="B1206" i="1"/>
  <c r="W1205" i="1"/>
  <c r="T1205" i="1"/>
  <c r="P1205" i="1"/>
  <c r="J1205" i="1"/>
  <c r="G1205" i="1"/>
  <c r="F1205" i="1"/>
  <c r="B1205" i="1"/>
  <c r="W1204" i="1"/>
  <c r="T1204" i="1"/>
  <c r="P1204" i="1"/>
  <c r="J1204" i="1"/>
  <c r="G1204" i="1"/>
  <c r="F1204" i="1"/>
  <c r="B1204" i="1"/>
  <c r="W1203" i="1"/>
  <c r="T1203" i="1"/>
  <c r="P1203" i="1"/>
  <c r="J1203" i="1"/>
  <c r="G1203" i="1"/>
  <c r="F1203" i="1"/>
  <c r="B1203" i="1"/>
  <c r="W1202" i="1"/>
  <c r="T1202" i="1"/>
  <c r="P1202" i="1"/>
  <c r="J1202" i="1"/>
  <c r="G1202" i="1"/>
  <c r="F1202" i="1"/>
  <c r="B1202" i="1"/>
  <c r="W1201" i="1"/>
  <c r="T1201" i="1"/>
  <c r="P1201" i="1"/>
  <c r="J1201" i="1"/>
  <c r="G1201" i="1"/>
  <c r="F1201" i="1"/>
  <c r="B1201" i="1"/>
  <c r="W1200" i="1"/>
  <c r="T1200" i="1"/>
  <c r="P1200" i="1"/>
  <c r="J1200" i="1"/>
  <c r="G1200" i="1"/>
  <c r="F1200" i="1"/>
  <c r="B1200" i="1"/>
  <c r="W1199" i="1"/>
  <c r="T1199" i="1"/>
  <c r="P1199" i="1"/>
  <c r="J1199" i="1"/>
  <c r="G1199" i="1"/>
  <c r="F1199" i="1"/>
  <c r="B1199" i="1"/>
  <c r="W1198" i="1"/>
  <c r="T1198" i="1"/>
  <c r="P1198" i="1"/>
  <c r="J1198" i="1"/>
  <c r="G1198" i="1"/>
  <c r="F1198" i="1"/>
  <c r="B1198" i="1"/>
  <c r="W1197" i="1"/>
  <c r="T1197" i="1"/>
  <c r="P1197" i="1"/>
  <c r="J1197" i="1"/>
  <c r="G1197" i="1"/>
  <c r="F1197" i="1"/>
  <c r="B1197" i="1"/>
  <c r="W1196" i="1"/>
  <c r="T1196" i="1"/>
  <c r="P1196" i="1"/>
  <c r="J1196" i="1"/>
  <c r="G1196" i="1"/>
  <c r="F1196" i="1"/>
  <c r="B1196" i="1"/>
  <c r="W1195" i="1"/>
  <c r="T1195" i="1"/>
  <c r="P1195" i="1"/>
  <c r="J1195" i="1"/>
  <c r="G1195" i="1"/>
  <c r="F1195" i="1"/>
  <c r="B1195" i="1"/>
  <c r="W1194" i="1"/>
  <c r="T1194" i="1"/>
  <c r="P1194" i="1"/>
  <c r="J1194" i="1"/>
  <c r="G1194" i="1"/>
  <c r="F1194" i="1"/>
  <c r="B1194" i="1"/>
  <c r="W1193" i="1"/>
  <c r="T1193" i="1"/>
  <c r="P1193" i="1"/>
  <c r="J1193" i="1"/>
  <c r="G1193" i="1"/>
  <c r="F1193" i="1"/>
  <c r="B1193" i="1"/>
  <c r="W1192" i="1"/>
  <c r="T1192" i="1"/>
  <c r="P1192" i="1"/>
  <c r="J1192" i="1"/>
  <c r="G1192" i="1"/>
  <c r="F1192" i="1"/>
  <c r="B1192" i="1"/>
  <c r="W1191" i="1"/>
  <c r="T1191" i="1"/>
  <c r="P1191" i="1"/>
  <c r="J1191" i="1"/>
  <c r="G1191" i="1"/>
  <c r="F1191" i="1"/>
  <c r="B1191" i="1"/>
  <c r="W1190" i="1"/>
  <c r="T1190" i="1"/>
  <c r="P1190" i="1"/>
  <c r="J1190" i="1"/>
  <c r="G1190" i="1"/>
  <c r="F1190" i="1"/>
  <c r="B1190" i="1"/>
  <c r="W1189" i="1"/>
  <c r="T1189" i="1"/>
  <c r="P1189" i="1"/>
  <c r="J1189" i="1"/>
  <c r="G1189" i="1"/>
  <c r="F1189" i="1"/>
  <c r="B1189" i="1"/>
  <c r="W1188" i="1"/>
  <c r="T1188" i="1"/>
  <c r="P1188" i="1"/>
  <c r="J1188" i="1"/>
  <c r="G1188" i="1"/>
  <c r="F1188" i="1"/>
  <c r="B1188" i="1"/>
  <c r="W1187" i="1"/>
  <c r="T1187" i="1"/>
  <c r="P1187" i="1"/>
  <c r="J1187" i="1"/>
  <c r="G1187" i="1"/>
  <c r="F1187" i="1"/>
  <c r="B1187" i="1"/>
  <c r="W1186" i="1"/>
  <c r="T1186" i="1"/>
  <c r="P1186" i="1"/>
  <c r="J1186" i="1"/>
  <c r="G1186" i="1"/>
  <c r="F1186" i="1"/>
  <c r="B1186" i="1"/>
  <c r="W1185" i="1"/>
  <c r="T1185" i="1"/>
  <c r="P1185" i="1"/>
  <c r="J1185" i="1"/>
  <c r="G1185" i="1"/>
  <c r="F1185" i="1"/>
  <c r="B1185" i="1"/>
  <c r="W1184" i="1"/>
  <c r="T1184" i="1"/>
  <c r="P1184" i="1"/>
  <c r="J1184" i="1"/>
  <c r="G1184" i="1"/>
  <c r="F1184" i="1"/>
  <c r="B1184" i="1"/>
  <c r="W1183" i="1"/>
  <c r="T1183" i="1"/>
  <c r="P1183" i="1"/>
  <c r="J1183" i="1"/>
  <c r="G1183" i="1"/>
  <c r="F1183" i="1"/>
  <c r="B1183" i="1"/>
  <c r="W1182" i="1"/>
  <c r="T1182" i="1"/>
  <c r="P1182" i="1"/>
  <c r="J1182" i="1"/>
  <c r="G1182" i="1"/>
  <c r="F1182" i="1"/>
  <c r="B1182" i="1"/>
  <c r="W1181" i="1"/>
  <c r="T1181" i="1"/>
  <c r="P1181" i="1"/>
  <c r="J1181" i="1"/>
  <c r="G1181" i="1"/>
  <c r="F1181" i="1"/>
  <c r="B1181" i="1"/>
  <c r="W1180" i="1"/>
  <c r="T1180" i="1"/>
  <c r="P1180" i="1"/>
  <c r="J1180" i="1"/>
  <c r="G1180" i="1"/>
  <c r="F1180" i="1"/>
  <c r="B1180" i="1"/>
  <c r="W1179" i="1"/>
  <c r="T1179" i="1"/>
  <c r="P1179" i="1"/>
  <c r="J1179" i="1"/>
  <c r="G1179" i="1"/>
  <c r="F1179" i="1"/>
  <c r="B1179" i="1"/>
  <c r="W1178" i="1"/>
  <c r="T1178" i="1"/>
  <c r="P1178" i="1"/>
  <c r="J1178" i="1"/>
  <c r="G1178" i="1"/>
  <c r="F1178" i="1"/>
  <c r="B1178" i="1"/>
  <c r="W1177" i="1"/>
  <c r="T1177" i="1"/>
  <c r="P1177" i="1"/>
  <c r="J1177" i="1"/>
  <c r="G1177" i="1"/>
  <c r="F1177" i="1"/>
  <c r="B1177" i="1"/>
  <c r="W1176" i="1"/>
  <c r="T1176" i="1"/>
  <c r="P1176" i="1"/>
  <c r="J1176" i="1"/>
  <c r="G1176" i="1"/>
  <c r="F1176" i="1"/>
  <c r="B1176" i="1"/>
  <c r="W1175" i="1"/>
  <c r="T1175" i="1"/>
  <c r="P1175" i="1"/>
  <c r="J1175" i="1"/>
  <c r="G1175" i="1"/>
  <c r="F1175" i="1"/>
  <c r="B1175" i="1"/>
  <c r="W1174" i="1"/>
  <c r="T1174" i="1"/>
  <c r="P1174" i="1"/>
  <c r="J1174" i="1"/>
  <c r="G1174" i="1"/>
  <c r="F1174" i="1"/>
  <c r="B1174" i="1"/>
  <c r="W1173" i="1"/>
  <c r="T1173" i="1"/>
  <c r="P1173" i="1"/>
  <c r="J1173" i="1"/>
  <c r="G1173" i="1"/>
  <c r="F1173" i="1"/>
  <c r="B1173" i="1"/>
  <c r="W1172" i="1"/>
  <c r="T1172" i="1"/>
  <c r="P1172" i="1"/>
  <c r="J1172" i="1"/>
  <c r="G1172" i="1"/>
  <c r="F1172" i="1"/>
  <c r="B1172" i="1"/>
  <c r="W1171" i="1"/>
  <c r="T1171" i="1"/>
  <c r="P1171" i="1"/>
  <c r="J1171" i="1"/>
  <c r="G1171" i="1"/>
  <c r="F1171" i="1"/>
  <c r="B1171" i="1"/>
  <c r="W1170" i="1"/>
  <c r="T1170" i="1"/>
  <c r="P1170" i="1"/>
  <c r="J1170" i="1"/>
  <c r="G1170" i="1"/>
  <c r="F1170" i="1"/>
  <c r="B1170" i="1"/>
  <c r="W1169" i="1"/>
  <c r="T1169" i="1"/>
  <c r="P1169" i="1"/>
  <c r="J1169" i="1"/>
  <c r="G1169" i="1"/>
  <c r="F1169" i="1"/>
  <c r="B1169" i="1"/>
  <c r="W1168" i="1"/>
  <c r="T1168" i="1"/>
  <c r="P1168" i="1"/>
  <c r="J1168" i="1"/>
  <c r="G1168" i="1"/>
  <c r="F1168" i="1"/>
  <c r="B1168" i="1"/>
  <c r="W1167" i="1"/>
  <c r="T1167" i="1"/>
  <c r="P1167" i="1"/>
  <c r="J1167" i="1"/>
  <c r="G1167" i="1"/>
  <c r="F1167" i="1"/>
  <c r="B1167" i="1"/>
  <c r="W1166" i="1"/>
  <c r="T1166" i="1"/>
  <c r="P1166" i="1"/>
  <c r="J1166" i="1"/>
  <c r="G1166" i="1"/>
  <c r="F1166" i="1"/>
  <c r="B1166" i="1"/>
  <c r="W1165" i="1"/>
  <c r="T1165" i="1"/>
  <c r="P1165" i="1"/>
  <c r="J1165" i="1"/>
  <c r="G1165" i="1"/>
  <c r="F1165" i="1"/>
  <c r="B1165" i="1"/>
  <c r="W1164" i="1"/>
  <c r="T1164" i="1"/>
  <c r="P1164" i="1"/>
  <c r="J1164" i="1"/>
  <c r="G1164" i="1"/>
  <c r="F1164" i="1"/>
  <c r="B1164" i="1"/>
  <c r="W1163" i="1"/>
  <c r="T1163" i="1"/>
  <c r="P1163" i="1"/>
  <c r="J1163" i="1"/>
  <c r="G1163" i="1"/>
  <c r="F1163" i="1"/>
  <c r="B1163" i="1"/>
  <c r="W1162" i="1"/>
  <c r="T1162" i="1"/>
  <c r="P1162" i="1"/>
  <c r="J1162" i="1"/>
  <c r="G1162" i="1"/>
  <c r="F1162" i="1"/>
  <c r="B1162" i="1"/>
  <c r="W1161" i="1"/>
  <c r="T1161" i="1"/>
  <c r="P1161" i="1"/>
  <c r="J1161" i="1"/>
  <c r="G1161" i="1"/>
  <c r="F1161" i="1"/>
  <c r="B1161" i="1"/>
  <c r="W1160" i="1"/>
  <c r="T1160" i="1"/>
  <c r="P1160" i="1"/>
  <c r="J1160" i="1"/>
  <c r="G1160" i="1"/>
  <c r="F1160" i="1"/>
  <c r="B1160" i="1"/>
  <c r="W1159" i="1"/>
  <c r="T1159" i="1"/>
  <c r="P1159" i="1"/>
  <c r="J1159" i="1"/>
  <c r="G1159" i="1"/>
  <c r="F1159" i="1"/>
  <c r="B1159" i="1"/>
  <c r="W1158" i="1"/>
  <c r="T1158" i="1"/>
  <c r="P1158" i="1"/>
  <c r="J1158" i="1"/>
  <c r="G1158" i="1"/>
  <c r="F1158" i="1"/>
  <c r="B1158" i="1"/>
  <c r="W1157" i="1"/>
  <c r="T1157" i="1"/>
  <c r="P1157" i="1"/>
  <c r="J1157" i="1"/>
  <c r="G1157" i="1"/>
  <c r="F1157" i="1"/>
  <c r="B1157" i="1"/>
  <c r="W1156" i="1"/>
  <c r="T1156" i="1"/>
  <c r="P1156" i="1"/>
  <c r="J1156" i="1"/>
  <c r="G1156" i="1"/>
  <c r="F1156" i="1"/>
  <c r="B1156" i="1"/>
  <c r="W1155" i="1"/>
  <c r="T1155" i="1"/>
  <c r="P1155" i="1"/>
  <c r="J1155" i="1"/>
  <c r="G1155" i="1"/>
  <c r="F1155" i="1"/>
  <c r="B1155" i="1"/>
  <c r="W1154" i="1"/>
  <c r="T1154" i="1"/>
  <c r="P1154" i="1"/>
  <c r="J1154" i="1"/>
  <c r="G1154" i="1"/>
  <c r="F1154" i="1"/>
  <c r="B1154" i="1"/>
  <c r="W1153" i="1"/>
  <c r="T1153" i="1"/>
  <c r="P1153" i="1"/>
  <c r="J1153" i="1"/>
  <c r="G1153" i="1"/>
  <c r="F1153" i="1"/>
  <c r="B1153" i="1"/>
  <c r="W1152" i="1"/>
  <c r="T1152" i="1"/>
  <c r="P1152" i="1"/>
  <c r="J1152" i="1"/>
  <c r="G1152" i="1"/>
  <c r="F1152" i="1"/>
  <c r="B1152" i="1"/>
  <c r="W1151" i="1"/>
  <c r="T1151" i="1"/>
  <c r="P1151" i="1"/>
  <c r="J1151" i="1"/>
  <c r="G1151" i="1"/>
  <c r="F1151" i="1"/>
  <c r="B1151" i="1"/>
  <c r="W1150" i="1"/>
  <c r="T1150" i="1"/>
  <c r="P1150" i="1"/>
  <c r="J1150" i="1"/>
  <c r="G1150" i="1"/>
  <c r="F1150" i="1"/>
  <c r="B1150" i="1"/>
  <c r="W1149" i="1"/>
  <c r="T1149" i="1"/>
  <c r="P1149" i="1"/>
  <c r="J1149" i="1"/>
  <c r="G1149" i="1"/>
  <c r="F1149" i="1"/>
  <c r="B1149" i="1"/>
  <c r="W1148" i="1"/>
  <c r="T1148" i="1"/>
  <c r="P1148" i="1"/>
  <c r="J1148" i="1"/>
  <c r="G1148" i="1"/>
  <c r="F1148" i="1"/>
  <c r="B1148" i="1"/>
  <c r="W1147" i="1"/>
  <c r="T1147" i="1"/>
  <c r="P1147" i="1"/>
  <c r="J1147" i="1"/>
  <c r="G1147" i="1"/>
  <c r="F1147" i="1"/>
  <c r="B1147" i="1"/>
  <c r="W1146" i="1"/>
  <c r="T1146" i="1"/>
  <c r="P1146" i="1"/>
  <c r="J1146" i="1"/>
  <c r="G1146" i="1"/>
  <c r="F1146" i="1"/>
  <c r="B1146" i="1"/>
  <c r="W1145" i="1"/>
  <c r="T1145" i="1"/>
  <c r="P1145" i="1"/>
  <c r="J1145" i="1"/>
  <c r="G1145" i="1"/>
  <c r="F1145" i="1"/>
  <c r="B1145" i="1"/>
  <c r="W1144" i="1"/>
  <c r="T1144" i="1"/>
  <c r="P1144" i="1"/>
  <c r="J1144" i="1"/>
  <c r="G1144" i="1"/>
  <c r="F1144" i="1"/>
  <c r="B1144" i="1"/>
  <c r="W1143" i="1"/>
  <c r="T1143" i="1"/>
  <c r="P1143" i="1"/>
  <c r="J1143" i="1"/>
  <c r="G1143" i="1"/>
  <c r="F1143" i="1"/>
  <c r="B1143" i="1"/>
  <c r="W1142" i="1"/>
  <c r="T1142" i="1"/>
  <c r="P1142" i="1"/>
  <c r="J1142" i="1"/>
  <c r="G1142" i="1"/>
  <c r="F1142" i="1"/>
  <c r="B1142" i="1"/>
  <c r="W1141" i="1"/>
  <c r="T1141" i="1"/>
  <c r="P1141" i="1"/>
  <c r="J1141" i="1"/>
  <c r="G1141" i="1"/>
  <c r="F1141" i="1"/>
  <c r="B1141" i="1"/>
  <c r="W1140" i="1"/>
  <c r="T1140" i="1"/>
  <c r="P1140" i="1"/>
  <c r="J1140" i="1"/>
  <c r="G1140" i="1"/>
  <c r="F1140" i="1"/>
  <c r="B1140" i="1"/>
  <c r="W1139" i="1"/>
  <c r="T1139" i="1"/>
  <c r="P1139" i="1"/>
  <c r="J1139" i="1"/>
  <c r="G1139" i="1"/>
  <c r="F1139" i="1"/>
  <c r="B1139" i="1"/>
  <c r="W1138" i="1"/>
  <c r="T1138" i="1"/>
  <c r="P1138" i="1"/>
  <c r="J1138" i="1"/>
  <c r="G1138" i="1"/>
  <c r="F1138" i="1"/>
  <c r="B1138" i="1"/>
  <c r="W1137" i="1"/>
  <c r="T1137" i="1"/>
  <c r="P1137" i="1"/>
  <c r="J1137" i="1"/>
  <c r="G1137" i="1"/>
  <c r="F1137" i="1"/>
  <c r="B1137" i="1"/>
  <c r="W1136" i="1"/>
  <c r="T1136" i="1"/>
  <c r="P1136" i="1"/>
  <c r="J1136" i="1"/>
  <c r="G1136" i="1"/>
  <c r="F1136" i="1"/>
  <c r="B1136" i="1"/>
  <c r="W1135" i="1"/>
  <c r="T1135" i="1"/>
  <c r="P1135" i="1"/>
  <c r="J1135" i="1"/>
  <c r="G1135" i="1"/>
  <c r="F1135" i="1"/>
  <c r="B1135" i="1"/>
  <c r="W1134" i="1"/>
  <c r="T1134" i="1"/>
  <c r="P1134" i="1"/>
  <c r="J1134" i="1"/>
  <c r="G1134" i="1"/>
  <c r="F1134" i="1"/>
  <c r="B1134" i="1"/>
  <c r="W1133" i="1"/>
  <c r="T1133" i="1"/>
  <c r="P1133" i="1"/>
  <c r="J1133" i="1"/>
  <c r="G1133" i="1"/>
  <c r="F1133" i="1"/>
  <c r="B1133" i="1"/>
  <c r="W1132" i="1"/>
  <c r="T1132" i="1"/>
  <c r="P1132" i="1"/>
  <c r="J1132" i="1"/>
  <c r="G1132" i="1"/>
  <c r="F1132" i="1"/>
  <c r="B1132" i="1"/>
  <c r="W1131" i="1"/>
  <c r="T1131" i="1"/>
  <c r="P1131" i="1"/>
  <c r="J1131" i="1"/>
  <c r="G1131" i="1"/>
  <c r="F1131" i="1"/>
  <c r="B1131" i="1"/>
  <c r="W1130" i="1"/>
  <c r="T1130" i="1"/>
  <c r="P1130" i="1"/>
  <c r="J1130" i="1"/>
  <c r="G1130" i="1"/>
  <c r="F1130" i="1"/>
  <c r="B1130" i="1"/>
  <c r="W1129" i="1"/>
  <c r="T1129" i="1"/>
  <c r="P1129" i="1"/>
  <c r="J1129" i="1"/>
  <c r="G1129" i="1"/>
  <c r="F1129" i="1"/>
  <c r="B1129" i="1"/>
  <c r="W1128" i="1"/>
  <c r="T1128" i="1"/>
  <c r="P1128" i="1"/>
  <c r="J1128" i="1"/>
  <c r="G1128" i="1"/>
  <c r="F1128" i="1"/>
  <c r="B1128" i="1"/>
  <c r="W1127" i="1"/>
  <c r="T1127" i="1"/>
  <c r="P1127" i="1"/>
  <c r="J1127" i="1"/>
  <c r="G1127" i="1"/>
  <c r="F1127" i="1"/>
  <c r="B1127" i="1"/>
  <c r="W1126" i="1"/>
  <c r="T1126" i="1"/>
  <c r="P1126" i="1"/>
  <c r="J1126" i="1"/>
  <c r="G1126" i="1"/>
  <c r="F1126" i="1"/>
  <c r="B1126" i="1"/>
  <c r="W1125" i="1"/>
  <c r="T1125" i="1"/>
  <c r="P1125" i="1"/>
  <c r="J1125" i="1"/>
  <c r="G1125" i="1"/>
  <c r="F1125" i="1"/>
  <c r="B1125" i="1"/>
  <c r="W1124" i="1"/>
  <c r="T1124" i="1"/>
  <c r="P1124" i="1"/>
  <c r="J1124" i="1"/>
  <c r="G1124" i="1"/>
  <c r="F1124" i="1"/>
  <c r="B1124" i="1"/>
  <c r="W1123" i="1"/>
  <c r="T1123" i="1"/>
  <c r="P1123" i="1"/>
  <c r="J1123" i="1"/>
  <c r="G1123" i="1"/>
  <c r="F1123" i="1"/>
  <c r="B1123" i="1"/>
  <c r="W1122" i="1"/>
  <c r="T1122" i="1"/>
  <c r="P1122" i="1"/>
  <c r="J1122" i="1"/>
  <c r="G1122" i="1"/>
  <c r="F1122" i="1"/>
  <c r="B1122" i="1"/>
  <c r="W1121" i="1"/>
  <c r="T1121" i="1"/>
  <c r="P1121" i="1"/>
  <c r="J1121" i="1"/>
  <c r="G1121" i="1"/>
  <c r="F1121" i="1"/>
  <c r="B1121" i="1"/>
  <c r="W1120" i="1"/>
  <c r="T1120" i="1"/>
  <c r="P1120" i="1"/>
  <c r="J1120" i="1"/>
  <c r="G1120" i="1"/>
  <c r="F1120" i="1"/>
  <c r="B1120" i="1"/>
  <c r="W1119" i="1"/>
  <c r="T1119" i="1"/>
  <c r="P1119" i="1"/>
  <c r="J1119" i="1"/>
  <c r="G1119" i="1"/>
  <c r="F1119" i="1"/>
  <c r="B1119" i="1"/>
  <c r="W1118" i="1"/>
  <c r="T1118" i="1"/>
  <c r="P1118" i="1"/>
  <c r="J1118" i="1"/>
  <c r="G1118" i="1"/>
  <c r="F1118" i="1"/>
  <c r="B1118" i="1"/>
  <c r="W1117" i="1"/>
  <c r="T1117" i="1"/>
  <c r="P1117" i="1"/>
  <c r="J1117" i="1"/>
  <c r="G1117" i="1"/>
  <c r="F1117" i="1"/>
  <c r="B1117" i="1"/>
  <c r="W1116" i="1"/>
  <c r="T1116" i="1"/>
  <c r="P1116" i="1"/>
  <c r="J1116" i="1"/>
  <c r="G1116" i="1"/>
  <c r="F1116" i="1"/>
  <c r="B1116" i="1"/>
  <c r="W1115" i="1"/>
  <c r="T1115" i="1"/>
  <c r="P1115" i="1"/>
  <c r="J1115" i="1"/>
  <c r="G1115" i="1"/>
  <c r="F1115" i="1"/>
  <c r="B1115" i="1"/>
  <c r="W1114" i="1"/>
  <c r="T1114" i="1"/>
  <c r="P1114" i="1"/>
  <c r="J1114" i="1"/>
  <c r="G1114" i="1"/>
  <c r="F1114" i="1"/>
  <c r="B1114" i="1"/>
  <c r="W1113" i="1"/>
  <c r="T1113" i="1"/>
  <c r="P1113" i="1"/>
  <c r="J1113" i="1"/>
  <c r="G1113" i="1"/>
  <c r="F1113" i="1"/>
  <c r="B1113" i="1"/>
  <c r="W1112" i="1"/>
  <c r="T1112" i="1"/>
  <c r="P1112" i="1"/>
  <c r="J1112" i="1"/>
  <c r="G1112" i="1"/>
  <c r="F1112" i="1"/>
  <c r="B1112" i="1"/>
  <c r="W1111" i="1"/>
  <c r="T1111" i="1"/>
  <c r="P1111" i="1"/>
  <c r="J1111" i="1"/>
  <c r="G1111" i="1"/>
  <c r="F1111" i="1"/>
  <c r="B1111" i="1"/>
  <c r="W1110" i="1"/>
  <c r="T1110" i="1"/>
  <c r="P1110" i="1"/>
  <c r="J1110" i="1"/>
  <c r="G1110" i="1"/>
  <c r="F1110" i="1"/>
  <c r="B1110" i="1"/>
  <c r="W1109" i="1"/>
  <c r="T1109" i="1"/>
  <c r="P1109" i="1"/>
  <c r="J1109" i="1"/>
  <c r="G1109" i="1"/>
  <c r="F1109" i="1"/>
  <c r="B1109" i="1"/>
  <c r="W1108" i="1"/>
  <c r="T1108" i="1"/>
  <c r="P1108" i="1"/>
  <c r="J1108" i="1"/>
  <c r="G1108" i="1"/>
  <c r="F1108" i="1"/>
  <c r="B1108" i="1"/>
  <c r="W1107" i="1"/>
  <c r="T1107" i="1"/>
  <c r="P1107" i="1"/>
  <c r="J1107" i="1"/>
  <c r="G1107" i="1"/>
  <c r="F1107" i="1"/>
  <c r="B1107" i="1"/>
  <c r="W1106" i="1"/>
  <c r="T1106" i="1"/>
  <c r="P1106" i="1"/>
  <c r="J1106" i="1"/>
  <c r="G1106" i="1"/>
  <c r="F1106" i="1"/>
  <c r="B1106" i="1"/>
  <c r="W1105" i="1"/>
  <c r="T1105" i="1"/>
  <c r="P1105" i="1"/>
  <c r="J1105" i="1"/>
  <c r="G1105" i="1"/>
  <c r="F1105" i="1"/>
  <c r="B1105" i="1"/>
  <c r="W1104" i="1"/>
  <c r="T1104" i="1"/>
  <c r="P1104" i="1"/>
  <c r="J1104" i="1"/>
  <c r="G1104" i="1"/>
  <c r="F1104" i="1"/>
  <c r="B1104" i="1"/>
  <c r="W1103" i="1"/>
  <c r="T1103" i="1"/>
  <c r="P1103" i="1"/>
  <c r="J1103" i="1"/>
  <c r="G1103" i="1"/>
  <c r="F1103" i="1"/>
  <c r="B1103" i="1"/>
  <c r="W1102" i="1"/>
  <c r="T1102" i="1"/>
  <c r="P1102" i="1"/>
  <c r="J1102" i="1"/>
  <c r="G1102" i="1"/>
  <c r="F1102" i="1"/>
  <c r="B1102" i="1"/>
  <c r="W1101" i="1"/>
  <c r="T1101" i="1"/>
  <c r="P1101" i="1"/>
  <c r="J1101" i="1"/>
  <c r="G1101" i="1"/>
  <c r="F1101" i="1"/>
  <c r="B1101" i="1"/>
  <c r="W1100" i="1"/>
  <c r="T1100" i="1"/>
  <c r="P1100" i="1"/>
  <c r="J1100" i="1"/>
  <c r="G1100" i="1"/>
  <c r="F1100" i="1"/>
  <c r="B1100" i="1"/>
  <c r="W1099" i="1"/>
  <c r="T1099" i="1"/>
  <c r="P1099" i="1"/>
  <c r="J1099" i="1"/>
  <c r="G1099" i="1"/>
  <c r="F1099" i="1"/>
  <c r="B1099" i="1"/>
  <c r="W1098" i="1"/>
  <c r="T1098" i="1"/>
  <c r="P1098" i="1"/>
  <c r="J1098" i="1"/>
  <c r="G1098" i="1"/>
  <c r="F1098" i="1"/>
  <c r="B1098" i="1"/>
  <c r="W1097" i="1"/>
  <c r="T1097" i="1"/>
  <c r="P1097" i="1"/>
  <c r="J1097" i="1"/>
  <c r="G1097" i="1"/>
  <c r="F1097" i="1"/>
  <c r="B1097" i="1"/>
  <c r="W1096" i="1"/>
  <c r="T1096" i="1"/>
  <c r="P1096" i="1"/>
  <c r="J1096" i="1"/>
  <c r="G1096" i="1"/>
  <c r="F1096" i="1"/>
  <c r="B1096" i="1"/>
  <c r="W1095" i="1"/>
  <c r="T1095" i="1"/>
  <c r="P1095" i="1"/>
  <c r="J1095" i="1"/>
  <c r="G1095" i="1"/>
  <c r="F1095" i="1"/>
  <c r="B1095" i="1"/>
  <c r="W1094" i="1"/>
  <c r="T1094" i="1"/>
  <c r="P1094" i="1"/>
  <c r="J1094" i="1"/>
  <c r="G1094" i="1"/>
  <c r="F1094" i="1"/>
  <c r="B1094" i="1"/>
  <c r="W1093" i="1"/>
  <c r="T1093" i="1"/>
  <c r="P1093" i="1"/>
  <c r="J1093" i="1"/>
  <c r="G1093" i="1"/>
  <c r="F1093" i="1"/>
  <c r="B1093" i="1"/>
  <c r="W1092" i="1"/>
  <c r="T1092" i="1"/>
  <c r="P1092" i="1"/>
  <c r="J1092" i="1"/>
  <c r="G1092" i="1"/>
  <c r="F1092" i="1"/>
  <c r="B1092" i="1"/>
  <c r="W1091" i="1"/>
  <c r="T1091" i="1"/>
  <c r="P1091" i="1"/>
  <c r="J1091" i="1"/>
  <c r="G1091" i="1"/>
  <c r="F1091" i="1"/>
  <c r="B1091" i="1"/>
  <c r="W1090" i="1"/>
  <c r="T1090" i="1"/>
  <c r="P1090" i="1"/>
  <c r="J1090" i="1"/>
  <c r="G1090" i="1"/>
  <c r="F1090" i="1"/>
  <c r="B1090" i="1"/>
  <c r="W1089" i="1"/>
  <c r="T1089" i="1"/>
  <c r="P1089" i="1"/>
  <c r="J1089" i="1"/>
  <c r="G1089" i="1"/>
  <c r="F1089" i="1"/>
  <c r="B1089" i="1"/>
  <c r="W1088" i="1"/>
  <c r="T1088" i="1"/>
  <c r="P1088" i="1"/>
  <c r="J1088" i="1"/>
  <c r="G1088" i="1"/>
  <c r="F1088" i="1"/>
  <c r="B1088" i="1"/>
  <c r="W1087" i="1"/>
  <c r="T1087" i="1"/>
  <c r="P1087" i="1"/>
  <c r="J1087" i="1"/>
  <c r="G1087" i="1"/>
  <c r="F1087" i="1"/>
  <c r="B1087" i="1"/>
  <c r="W1086" i="1"/>
  <c r="T1086" i="1"/>
  <c r="P1086" i="1"/>
  <c r="J1086" i="1"/>
  <c r="G1086" i="1"/>
  <c r="F1086" i="1"/>
  <c r="B1086" i="1"/>
  <c r="W1085" i="1"/>
  <c r="T1085" i="1"/>
  <c r="P1085" i="1"/>
  <c r="J1085" i="1"/>
  <c r="G1085" i="1"/>
  <c r="F1085" i="1"/>
  <c r="B1085" i="1"/>
  <c r="W1084" i="1"/>
  <c r="T1084" i="1"/>
  <c r="P1084" i="1"/>
  <c r="J1084" i="1"/>
  <c r="G1084" i="1"/>
  <c r="F1084" i="1"/>
  <c r="B1084" i="1"/>
  <c r="W1083" i="1"/>
  <c r="T1083" i="1"/>
  <c r="P1083" i="1"/>
  <c r="J1083" i="1"/>
  <c r="G1083" i="1"/>
  <c r="F1083" i="1"/>
  <c r="B1083" i="1"/>
  <c r="W1082" i="1"/>
  <c r="T1082" i="1"/>
  <c r="P1082" i="1"/>
  <c r="J1082" i="1"/>
  <c r="G1082" i="1"/>
  <c r="F1082" i="1"/>
  <c r="B1082" i="1"/>
  <c r="W1081" i="1"/>
  <c r="T1081" i="1"/>
  <c r="P1081" i="1"/>
  <c r="J1081" i="1"/>
  <c r="G1081" i="1"/>
  <c r="F1081" i="1"/>
  <c r="B1081" i="1"/>
  <c r="W1080" i="1"/>
  <c r="T1080" i="1"/>
  <c r="P1080" i="1"/>
  <c r="J1080" i="1"/>
  <c r="G1080" i="1"/>
  <c r="F1080" i="1"/>
  <c r="B1080" i="1"/>
  <c r="W1079" i="1"/>
  <c r="T1079" i="1"/>
  <c r="P1079" i="1"/>
  <c r="J1079" i="1"/>
  <c r="G1079" i="1"/>
  <c r="F1079" i="1"/>
  <c r="B1079" i="1"/>
  <c r="W1078" i="1"/>
  <c r="T1078" i="1"/>
  <c r="P1078" i="1"/>
  <c r="J1078" i="1"/>
  <c r="G1078" i="1"/>
  <c r="F1078" i="1"/>
  <c r="B1078" i="1"/>
  <c r="W1077" i="1"/>
  <c r="T1077" i="1"/>
  <c r="P1077" i="1"/>
  <c r="J1077" i="1"/>
  <c r="G1077" i="1"/>
  <c r="F1077" i="1"/>
  <c r="B1077" i="1"/>
  <c r="W1076" i="1"/>
  <c r="T1076" i="1"/>
  <c r="P1076" i="1"/>
  <c r="J1076" i="1"/>
  <c r="G1076" i="1"/>
  <c r="F1076" i="1"/>
  <c r="B1076" i="1"/>
  <c r="W1075" i="1"/>
  <c r="T1075" i="1"/>
  <c r="P1075" i="1"/>
  <c r="J1075" i="1"/>
  <c r="G1075" i="1"/>
  <c r="F1075" i="1"/>
  <c r="B1075" i="1"/>
  <c r="W1074" i="1"/>
  <c r="T1074" i="1"/>
  <c r="P1074" i="1"/>
  <c r="J1074" i="1"/>
  <c r="G1074" i="1"/>
  <c r="F1074" i="1"/>
  <c r="B1074" i="1"/>
  <c r="W1073" i="1"/>
  <c r="T1073" i="1"/>
  <c r="P1073" i="1"/>
  <c r="J1073" i="1"/>
  <c r="G1073" i="1"/>
  <c r="F1073" i="1"/>
  <c r="B1073" i="1"/>
  <c r="W1072" i="1"/>
  <c r="T1072" i="1"/>
  <c r="P1072" i="1"/>
  <c r="J1072" i="1"/>
  <c r="G1072" i="1"/>
  <c r="F1072" i="1"/>
  <c r="B1072" i="1"/>
  <c r="W1071" i="1"/>
  <c r="T1071" i="1"/>
  <c r="P1071" i="1"/>
  <c r="J1071" i="1"/>
  <c r="G1071" i="1"/>
  <c r="F1071" i="1"/>
  <c r="B1071" i="1"/>
  <c r="W1070" i="1"/>
  <c r="T1070" i="1"/>
  <c r="P1070" i="1"/>
  <c r="J1070" i="1"/>
  <c r="G1070" i="1"/>
  <c r="F1070" i="1"/>
  <c r="B1070" i="1"/>
  <c r="W1069" i="1"/>
  <c r="T1069" i="1"/>
  <c r="P1069" i="1"/>
  <c r="J1069" i="1"/>
  <c r="G1069" i="1"/>
  <c r="F1069" i="1"/>
  <c r="B1069" i="1"/>
  <c r="W1068" i="1"/>
  <c r="T1068" i="1"/>
  <c r="P1068" i="1"/>
  <c r="J1068" i="1"/>
  <c r="G1068" i="1"/>
  <c r="F1068" i="1"/>
  <c r="B1068" i="1"/>
  <c r="W1067" i="1"/>
  <c r="T1067" i="1"/>
  <c r="P1067" i="1"/>
  <c r="J1067" i="1"/>
  <c r="G1067" i="1"/>
  <c r="F1067" i="1"/>
  <c r="B1067" i="1"/>
  <c r="W1066" i="1"/>
  <c r="T1066" i="1"/>
  <c r="P1066" i="1"/>
  <c r="J1066" i="1"/>
  <c r="G1066" i="1"/>
  <c r="F1066" i="1"/>
  <c r="B1066" i="1"/>
  <c r="W1065" i="1"/>
  <c r="T1065" i="1"/>
  <c r="P1065" i="1"/>
  <c r="J1065" i="1"/>
  <c r="G1065" i="1"/>
  <c r="F1065" i="1"/>
  <c r="B1065" i="1"/>
  <c r="W1064" i="1"/>
  <c r="T1064" i="1"/>
  <c r="P1064" i="1"/>
  <c r="J1064" i="1"/>
  <c r="G1064" i="1"/>
  <c r="F1064" i="1"/>
  <c r="B1064" i="1"/>
  <c r="W1063" i="1"/>
  <c r="T1063" i="1"/>
  <c r="P1063" i="1"/>
  <c r="J1063" i="1"/>
  <c r="G1063" i="1"/>
  <c r="F1063" i="1"/>
  <c r="B1063" i="1"/>
  <c r="W1062" i="1"/>
  <c r="T1062" i="1"/>
  <c r="P1062" i="1"/>
  <c r="J1062" i="1"/>
  <c r="G1062" i="1"/>
  <c r="F1062" i="1"/>
  <c r="B1062" i="1"/>
  <c r="W1061" i="1"/>
  <c r="T1061" i="1"/>
  <c r="P1061" i="1"/>
  <c r="J1061" i="1"/>
  <c r="G1061" i="1"/>
  <c r="F1061" i="1"/>
  <c r="B1061" i="1"/>
  <c r="W1060" i="1"/>
  <c r="T1060" i="1"/>
  <c r="P1060" i="1"/>
  <c r="J1060" i="1"/>
  <c r="G1060" i="1"/>
  <c r="F1060" i="1"/>
  <c r="B1060" i="1"/>
  <c r="W1059" i="1"/>
  <c r="T1059" i="1"/>
  <c r="P1059" i="1"/>
  <c r="J1059" i="1"/>
  <c r="G1059" i="1"/>
  <c r="F1059" i="1"/>
  <c r="B1059" i="1"/>
  <c r="W1058" i="1"/>
  <c r="T1058" i="1"/>
  <c r="P1058" i="1"/>
  <c r="J1058" i="1"/>
  <c r="G1058" i="1"/>
  <c r="F1058" i="1"/>
  <c r="B1058" i="1"/>
  <c r="W1057" i="1"/>
  <c r="T1057" i="1"/>
  <c r="P1057" i="1"/>
  <c r="J1057" i="1"/>
  <c r="G1057" i="1"/>
  <c r="F1057" i="1"/>
  <c r="B1057" i="1"/>
  <c r="W1056" i="1"/>
  <c r="T1056" i="1"/>
  <c r="P1056" i="1"/>
  <c r="J1056" i="1"/>
  <c r="G1056" i="1"/>
  <c r="F1056" i="1"/>
  <c r="B1056" i="1"/>
  <c r="W1055" i="1"/>
  <c r="T1055" i="1"/>
  <c r="P1055" i="1"/>
  <c r="J1055" i="1"/>
  <c r="G1055" i="1"/>
  <c r="F1055" i="1"/>
  <c r="B1055" i="1"/>
  <c r="W1054" i="1"/>
  <c r="T1054" i="1"/>
  <c r="P1054" i="1"/>
  <c r="J1054" i="1"/>
  <c r="G1054" i="1"/>
  <c r="F1054" i="1"/>
  <c r="B1054" i="1"/>
  <c r="W1053" i="1"/>
  <c r="T1053" i="1"/>
  <c r="P1053" i="1"/>
  <c r="J1053" i="1"/>
  <c r="G1053" i="1"/>
  <c r="F1053" i="1"/>
  <c r="B1053" i="1"/>
  <c r="W1052" i="1"/>
  <c r="T1052" i="1"/>
  <c r="P1052" i="1"/>
  <c r="J1052" i="1"/>
  <c r="G1052" i="1"/>
  <c r="F1052" i="1"/>
  <c r="B1052" i="1"/>
  <c r="W1051" i="1"/>
  <c r="T1051" i="1"/>
  <c r="P1051" i="1"/>
  <c r="J1051" i="1"/>
  <c r="G1051" i="1"/>
  <c r="F1051" i="1"/>
  <c r="B1051" i="1"/>
  <c r="W1050" i="1"/>
  <c r="T1050" i="1"/>
  <c r="P1050" i="1"/>
  <c r="J1050" i="1"/>
  <c r="G1050" i="1"/>
  <c r="F1050" i="1"/>
  <c r="B1050" i="1"/>
  <c r="W1049" i="1"/>
  <c r="T1049" i="1"/>
  <c r="P1049" i="1"/>
  <c r="J1049" i="1"/>
  <c r="G1049" i="1"/>
  <c r="F1049" i="1"/>
  <c r="B1049" i="1"/>
  <c r="W1048" i="1"/>
  <c r="T1048" i="1"/>
  <c r="P1048" i="1"/>
  <c r="J1048" i="1"/>
  <c r="G1048" i="1"/>
  <c r="F1048" i="1"/>
  <c r="B1048" i="1"/>
  <c r="W1047" i="1"/>
  <c r="T1047" i="1"/>
  <c r="P1047" i="1"/>
  <c r="J1047" i="1"/>
  <c r="G1047" i="1"/>
  <c r="F1047" i="1"/>
  <c r="B1047" i="1"/>
  <c r="W1046" i="1"/>
  <c r="T1046" i="1"/>
  <c r="P1046" i="1"/>
  <c r="J1046" i="1"/>
  <c r="G1046" i="1"/>
  <c r="F1046" i="1"/>
  <c r="B1046" i="1"/>
  <c r="W1045" i="1"/>
  <c r="T1045" i="1"/>
  <c r="P1045" i="1"/>
  <c r="J1045" i="1"/>
  <c r="G1045" i="1"/>
  <c r="F1045" i="1"/>
  <c r="B1045" i="1"/>
  <c r="W1044" i="1"/>
  <c r="T1044" i="1"/>
  <c r="P1044" i="1"/>
  <c r="J1044" i="1"/>
  <c r="G1044" i="1"/>
  <c r="F1044" i="1"/>
  <c r="B1044" i="1"/>
  <c r="W1043" i="1"/>
  <c r="T1043" i="1"/>
  <c r="P1043" i="1"/>
  <c r="J1043" i="1"/>
  <c r="G1043" i="1"/>
  <c r="F1043" i="1"/>
  <c r="B1043" i="1"/>
  <c r="W1042" i="1"/>
  <c r="T1042" i="1"/>
  <c r="P1042" i="1"/>
  <c r="J1042" i="1"/>
  <c r="G1042" i="1"/>
  <c r="F1042" i="1"/>
  <c r="B1042" i="1"/>
  <c r="W1041" i="1"/>
  <c r="T1041" i="1"/>
  <c r="P1041" i="1"/>
  <c r="J1041" i="1"/>
  <c r="G1041" i="1"/>
  <c r="F1041" i="1"/>
  <c r="B1041" i="1"/>
  <c r="W1040" i="1"/>
  <c r="T1040" i="1"/>
  <c r="P1040" i="1"/>
  <c r="J1040" i="1"/>
  <c r="G1040" i="1"/>
  <c r="F1040" i="1"/>
  <c r="B1040" i="1"/>
  <c r="W1039" i="1"/>
  <c r="T1039" i="1"/>
  <c r="P1039" i="1"/>
  <c r="J1039" i="1"/>
  <c r="G1039" i="1"/>
  <c r="F1039" i="1"/>
  <c r="B1039" i="1"/>
  <c r="W1038" i="1"/>
  <c r="T1038" i="1"/>
  <c r="P1038" i="1"/>
  <c r="J1038" i="1"/>
  <c r="G1038" i="1"/>
  <c r="F1038" i="1"/>
  <c r="B1038" i="1"/>
  <c r="W1037" i="1"/>
  <c r="T1037" i="1"/>
  <c r="P1037" i="1"/>
  <c r="J1037" i="1"/>
  <c r="G1037" i="1"/>
  <c r="F1037" i="1"/>
  <c r="B1037" i="1"/>
  <c r="W1036" i="1"/>
  <c r="T1036" i="1"/>
  <c r="P1036" i="1"/>
  <c r="J1036" i="1"/>
  <c r="G1036" i="1"/>
  <c r="F1036" i="1"/>
  <c r="B1036" i="1"/>
  <c r="W1035" i="1"/>
  <c r="T1035" i="1"/>
  <c r="P1035" i="1"/>
  <c r="J1035" i="1"/>
  <c r="G1035" i="1"/>
  <c r="F1035" i="1"/>
  <c r="B1035" i="1"/>
  <c r="W1034" i="1"/>
  <c r="T1034" i="1"/>
  <c r="P1034" i="1"/>
  <c r="J1034" i="1"/>
  <c r="G1034" i="1"/>
  <c r="F1034" i="1"/>
  <c r="B1034" i="1"/>
  <c r="W1033" i="1"/>
  <c r="T1033" i="1"/>
  <c r="P1033" i="1"/>
  <c r="J1033" i="1"/>
  <c r="G1033" i="1"/>
  <c r="F1033" i="1"/>
  <c r="B1033" i="1"/>
  <c r="W1032" i="1"/>
  <c r="T1032" i="1"/>
  <c r="P1032" i="1"/>
  <c r="J1032" i="1"/>
  <c r="G1032" i="1"/>
  <c r="F1032" i="1"/>
  <c r="B1032" i="1"/>
  <c r="W1031" i="1"/>
  <c r="T1031" i="1"/>
  <c r="P1031" i="1"/>
  <c r="J1031" i="1"/>
  <c r="G1031" i="1"/>
  <c r="F1031" i="1"/>
  <c r="B1031" i="1"/>
  <c r="W1030" i="1"/>
  <c r="T1030" i="1"/>
  <c r="P1030" i="1"/>
  <c r="J1030" i="1"/>
  <c r="G1030" i="1"/>
  <c r="F1030" i="1"/>
  <c r="B1030" i="1"/>
  <c r="W1029" i="1"/>
  <c r="T1029" i="1"/>
  <c r="P1029" i="1"/>
  <c r="J1029" i="1"/>
  <c r="G1029" i="1"/>
  <c r="F1029" i="1"/>
  <c r="B1029" i="1"/>
  <c r="W1028" i="1"/>
  <c r="T1028" i="1"/>
  <c r="P1028" i="1"/>
  <c r="J1028" i="1"/>
  <c r="G1028" i="1"/>
  <c r="F1028" i="1"/>
  <c r="B1028" i="1"/>
  <c r="W1027" i="1"/>
  <c r="T1027" i="1"/>
  <c r="P1027" i="1"/>
  <c r="J1027" i="1"/>
  <c r="G1027" i="1"/>
  <c r="F1027" i="1"/>
  <c r="B1027" i="1"/>
  <c r="W1026" i="1"/>
  <c r="T1026" i="1"/>
  <c r="P1026" i="1"/>
  <c r="J1026" i="1"/>
  <c r="G1026" i="1"/>
  <c r="F1026" i="1"/>
  <c r="B1026" i="1"/>
  <c r="W1025" i="1"/>
  <c r="T1025" i="1"/>
  <c r="P1025" i="1"/>
  <c r="J1025" i="1"/>
  <c r="G1025" i="1"/>
  <c r="F1025" i="1"/>
  <c r="B1025" i="1"/>
  <c r="W1024" i="1"/>
  <c r="T1024" i="1"/>
  <c r="P1024" i="1"/>
  <c r="J1024" i="1"/>
  <c r="G1024" i="1"/>
  <c r="F1024" i="1"/>
  <c r="B1024" i="1"/>
  <c r="W1023" i="1"/>
  <c r="T1023" i="1"/>
  <c r="P1023" i="1"/>
  <c r="J1023" i="1"/>
  <c r="G1023" i="1"/>
  <c r="F1023" i="1"/>
  <c r="B1023" i="1"/>
  <c r="W1022" i="1"/>
  <c r="T1022" i="1"/>
  <c r="P1022" i="1"/>
  <c r="J1022" i="1"/>
  <c r="G1022" i="1"/>
  <c r="F1022" i="1"/>
  <c r="B1022" i="1"/>
  <c r="W1021" i="1"/>
  <c r="T1021" i="1"/>
  <c r="P1021" i="1"/>
  <c r="J1021" i="1"/>
  <c r="G1021" i="1"/>
  <c r="F1021" i="1"/>
  <c r="B1021" i="1"/>
  <c r="W1020" i="1"/>
  <c r="T1020" i="1"/>
  <c r="P1020" i="1"/>
  <c r="J1020" i="1"/>
  <c r="G1020" i="1"/>
  <c r="F1020" i="1"/>
  <c r="B1020" i="1"/>
  <c r="W1019" i="1"/>
  <c r="T1019" i="1"/>
  <c r="P1019" i="1"/>
  <c r="J1019" i="1"/>
  <c r="G1019" i="1"/>
  <c r="F1019" i="1"/>
  <c r="B1019" i="1"/>
  <c r="W1018" i="1"/>
  <c r="T1018" i="1"/>
  <c r="P1018" i="1"/>
  <c r="J1018" i="1"/>
  <c r="G1018" i="1"/>
  <c r="F1018" i="1"/>
  <c r="B1018" i="1"/>
  <c r="W1017" i="1"/>
  <c r="T1017" i="1"/>
  <c r="P1017" i="1"/>
  <c r="J1017" i="1"/>
  <c r="G1017" i="1"/>
  <c r="F1017" i="1"/>
  <c r="B1017" i="1"/>
  <c r="W1016" i="1"/>
  <c r="T1016" i="1"/>
  <c r="P1016" i="1"/>
  <c r="J1016" i="1"/>
  <c r="G1016" i="1"/>
  <c r="F1016" i="1"/>
  <c r="B1016" i="1"/>
  <c r="W1015" i="1"/>
  <c r="T1015" i="1"/>
  <c r="P1015" i="1"/>
  <c r="J1015" i="1"/>
  <c r="G1015" i="1"/>
  <c r="F1015" i="1"/>
  <c r="B1015" i="1"/>
  <c r="W1014" i="1"/>
  <c r="T1014" i="1"/>
  <c r="P1014" i="1"/>
  <c r="J1014" i="1"/>
  <c r="G1014" i="1"/>
  <c r="F1014" i="1"/>
  <c r="B1014" i="1"/>
  <c r="W1013" i="1"/>
  <c r="T1013" i="1"/>
  <c r="P1013" i="1"/>
  <c r="J1013" i="1"/>
  <c r="G1013" i="1"/>
  <c r="F1013" i="1"/>
  <c r="B1013" i="1"/>
  <c r="W1012" i="1"/>
  <c r="T1012" i="1"/>
  <c r="P1012" i="1"/>
  <c r="J1012" i="1"/>
  <c r="G1012" i="1"/>
  <c r="F1012" i="1"/>
  <c r="B1012" i="1"/>
  <c r="W1011" i="1"/>
  <c r="T1011" i="1"/>
  <c r="P1011" i="1"/>
  <c r="J1011" i="1"/>
  <c r="G1011" i="1"/>
  <c r="F1011" i="1"/>
  <c r="B1011" i="1"/>
  <c r="W1010" i="1"/>
  <c r="T1010" i="1"/>
  <c r="P1010" i="1"/>
  <c r="J1010" i="1"/>
  <c r="G1010" i="1"/>
  <c r="F1010" i="1"/>
  <c r="B1010" i="1"/>
  <c r="W1009" i="1"/>
  <c r="T1009" i="1"/>
  <c r="P1009" i="1"/>
  <c r="J1009" i="1"/>
  <c r="G1009" i="1"/>
  <c r="F1009" i="1"/>
  <c r="B1009" i="1"/>
  <c r="W1008" i="1"/>
  <c r="T1008" i="1"/>
  <c r="P1008" i="1"/>
  <c r="J1008" i="1"/>
  <c r="G1008" i="1"/>
  <c r="F1008" i="1"/>
  <c r="B1008" i="1"/>
  <c r="W1007" i="1"/>
  <c r="T1007" i="1"/>
  <c r="P1007" i="1"/>
  <c r="J1007" i="1"/>
  <c r="G1007" i="1"/>
  <c r="F1007" i="1"/>
  <c r="B1007" i="1"/>
  <c r="W1006" i="1"/>
  <c r="T1006" i="1"/>
  <c r="P1006" i="1"/>
  <c r="J1006" i="1"/>
  <c r="G1006" i="1"/>
  <c r="F1006" i="1"/>
  <c r="B1006" i="1"/>
  <c r="W1005" i="1"/>
  <c r="T1005" i="1"/>
  <c r="P1005" i="1"/>
  <c r="J1005" i="1"/>
  <c r="G1005" i="1"/>
  <c r="F1005" i="1"/>
  <c r="B1005" i="1"/>
  <c r="W1004" i="1"/>
  <c r="T1004" i="1"/>
  <c r="P1004" i="1"/>
  <c r="J1004" i="1"/>
  <c r="G1004" i="1"/>
  <c r="F1004" i="1"/>
  <c r="B1004" i="1"/>
  <c r="W1003" i="1"/>
  <c r="T1003" i="1"/>
  <c r="P1003" i="1"/>
  <c r="J1003" i="1"/>
  <c r="G1003" i="1"/>
  <c r="F1003" i="1"/>
  <c r="B1003" i="1"/>
  <c r="W1002" i="1"/>
  <c r="T1002" i="1"/>
  <c r="P1002" i="1"/>
  <c r="J1002" i="1"/>
  <c r="G1002" i="1"/>
  <c r="F1002" i="1"/>
  <c r="B1002" i="1"/>
  <c r="W1001" i="1"/>
  <c r="T1001" i="1"/>
  <c r="P1001" i="1"/>
  <c r="J1001" i="1"/>
  <c r="G1001" i="1"/>
  <c r="F1001" i="1"/>
  <c r="B1001" i="1"/>
  <c r="W1000" i="1"/>
  <c r="T1000" i="1"/>
  <c r="P1000" i="1"/>
  <c r="J1000" i="1"/>
  <c r="G1000" i="1"/>
  <c r="F1000" i="1"/>
  <c r="B1000" i="1"/>
  <c r="W999" i="1"/>
  <c r="T999" i="1"/>
  <c r="P999" i="1"/>
  <c r="J999" i="1"/>
  <c r="G999" i="1"/>
  <c r="F999" i="1"/>
  <c r="B999" i="1"/>
  <c r="W998" i="1"/>
  <c r="T998" i="1"/>
  <c r="P998" i="1"/>
  <c r="J998" i="1"/>
  <c r="G998" i="1"/>
  <c r="F998" i="1"/>
  <c r="B998" i="1"/>
  <c r="W997" i="1"/>
  <c r="T997" i="1"/>
  <c r="P997" i="1"/>
  <c r="J997" i="1"/>
  <c r="G997" i="1"/>
  <c r="F997" i="1"/>
  <c r="B997" i="1"/>
  <c r="W996" i="1"/>
  <c r="T996" i="1"/>
  <c r="P996" i="1"/>
  <c r="J996" i="1"/>
  <c r="G996" i="1"/>
  <c r="F996" i="1"/>
  <c r="B996" i="1"/>
  <c r="W995" i="1"/>
  <c r="T995" i="1"/>
  <c r="P995" i="1"/>
  <c r="J995" i="1"/>
  <c r="G995" i="1"/>
  <c r="F995" i="1"/>
  <c r="B995" i="1"/>
  <c r="W994" i="1"/>
  <c r="T994" i="1"/>
  <c r="P994" i="1"/>
  <c r="J994" i="1"/>
  <c r="G994" i="1"/>
  <c r="F994" i="1"/>
  <c r="B994" i="1"/>
  <c r="W993" i="1"/>
  <c r="T993" i="1"/>
  <c r="P993" i="1"/>
  <c r="J993" i="1"/>
  <c r="G993" i="1"/>
  <c r="F993" i="1"/>
  <c r="B993" i="1"/>
  <c r="W992" i="1"/>
  <c r="T992" i="1"/>
  <c r="P992" i="1"/>
  <c r="J992" i="1"/>
  <c r="G992" i="1"/>
  <c r="F992" i="1"/>
  <c r="B992" i="1"/>
  <c r="W991" i="1"/>
  <c r="T991" i="1"/>
  <c r="P991" i="1"/>
  <c r="J991" i="1"/>
  <c r="G991" i="1"/>
  <c r="F991" i="1"/>
  <c r="B991" i="1"/>
  <c r="W990" i="1"/>
  <c r="T990" i="1"/>
  <c r="P990" i="1"/>
  <c r="J990" i="1"/>
  <c r="G990" i="1"/>
  <c r="F990" i="1"/>
  <c r="B990" i="1"/>
  <c r="W989" i="1"/>
  <c r="T989" i="1"/>
  <c r="P989" i="1"/>
  <c r="J989" i="1"/>
  <c r="G989" i="1"/>
  <c r="F989" i="1"/>
  <c r="B989" i="1"/>
  <c r="W988" i="1"/>
  <c r="T988" i="1"/>
  <c r="P988" i="1"/>
  <c r="J988" i="1"/>
  <c r="G988" i="1"/>
  <c r="F988" i="1"/>
  <c r="B988" i="1"/>
  <c r="W987" i="1"/>
  <c r="T987" i="1"/>
  <c r="P987" i="1"/>
  <c r="J987" i="1"/>
  <c r="G987" i="1"/>
  <c r="F987" i="1"/>
  <c r="B987" i="1"/>
  <c r="W986" i="1"/>
  <c r="T986" i="1"/>
  <c r="P986" i="1"/>
  <c r="J986" i="1"/>
  <c r="G986" i="1"/>
  <c r="F986" i="1"/>
  <c r="B986" i="1"/>
  <c r="W985" i="1"/>
  <c r="T985" i="1"/>
  <c r="P985" i="1"/>
  <c r="J985" i="1"/>
  <c r="G985" i="1"/>
  <c r="F985" i="1"/>
  <c r="B985" i="1"/>
  <c r="W984" i="1"/>
  <c r="T984" i="1"/>
  <c r="P984" i="1"/>
  <c r="J984" i="1"/>
  <c r="G984" i="1"/>
  <c r="F984" i="1"/>
  <c r="B984" i="1"/>
  <c r="W983" i="1"/>
  <c r="T983" i="1"/>
  <c r="P983" i="1"/>
  <c r="J983" i="1"/>
  <c r="G983" i="1"/>
  <c r="F983" i="1"/>
  <c r="B983" i="1"/>
  <c r="W982" i="1"/>
  <c r="T982" i="1"/>
  <c r="P982" i="1"/>
  <c r="J982" i="1"/>
  <c r="G982" i="1"/>
  <c r="F982" i="1"/>
  <c r="B982" i="1"/>
  <c r="W981" i="1"/>
  <c r="T981" i="1"/>
  <c r="P981" i="1"/>
  <c r="J981" i="1"/>
  <c r="G981" i="1"/>
  <c r="F981" i="1"/>
  <c r="B981" i="1"/>
  <c r="W980" i="1"/>
  <c r="T980" i="1"/>
  <c r="P980" i="1"/>
  <c r="J980" i="1"/>
  <c r="G980" i="1"/>
  <c r="F980" i="1"/>
  <c r="B980" i="1"/>
  <c r="W979" i="1"/>
  <c r="T979" i="1"/>
  <c r="P979" i="1"/>
  <c r="J979" i="1"/>
  <c r="G979" i="1"/>
  <c r="F979" i="1"/>
  <c r="B979" i="1"/>
  <c r="W978" i="1"/>
  <c r="T978" i="1"/>
  <c r="P978" i="1"/>
  <c r="J978" i="1"/>
  <c r="G978" i="1"/>
  <c r="F978" i="1"/>
  <c r="B978" i="1"/>
  <c r="W977" i="1"/>
  <c r="T977" i="1"/>
  <c r="P977" i="1"/>
  <c r="J977" i="1"/>
  <c r="G977" i="1"/>
  <c r="F977" i="1"/>
  <c r="B977" i="1"/>
  <c r="W976" i="1"/>
  <c r="T976" i="1"/>
  <c r="P976" i="1"/>
  <c r="J976" i="1"/>
  <c r="G976" i="1"/>
  <c r="F976" i="1"/>
  <c r="B976" i="1"/>
  <c r="W975" i="1"/>
  <c r="T975" i="1"/>
  <c r="P975" i="1"/>
  <c r="J975" i="1"/>
  <c r="G975" i="1"/>
  <c r="F975" i="1"/>
  <c r="B975" i="1"/>
  <c r="W974" i="1"/>
  <c r="T974" i="1"/>
  <c r="P974" i="1"/>
  <c r="J974" i="1"/>
  <c r="G974" i="1"/>
  <c r="F974" i="1"/>
  <c r="B974" i="1"/>
  <c r="W973" i="1"/>
  <c r="T973" i="1"/>
  <c r="P973" i="1"/>
  <c r="J973" i="1"/>
  <c r="G973" i="1"/>
  <c r="F973" i="1"/>
  <c r="B973" i="1"/>
  <c r="W972" i="1"/>
  <c r="T972" i="1"/>
  <c r="P972" i="1"/>
  <c r="J972" i="1"/>
  <c r="G972" i="1"/>
  <c r="F972" i="1"/>
  <c r="B972" i="1"/>
  <c r="W971" i="1"/>
  <c r="T971" i="1"/>
  <c r="P971" i="1"/>
  <c r="J971" i="1"/>
  <c r="G971" i="1"/>
  <c r="F971" i="1"/>
  <c r="B971" i="1"/>
  <c r="W970" i="1"/>
  <c r="T970" i="1"/>
  <c r="P970" i="1"/>
  <c r="J970" i="1"/>
  <c r="G970" i="1"/>
  <c r="F970" i="1"/>
  <c r="B970" i="1"/>
  <c r="W969" i="1"/>
  <c r="T969" i="1"/>
  <c r="P969" i="1"/>
  <c r="J969" i="1"/>
  <c r="G969" i="1"/>
  <c r="F969" i="1"/>
  <c r="B969" i="1"/>
  <c r="W968" i="1"/>
  <c r="T968" i="1"/>
  <c r="P968" i="1"/>
  <c r="J968" i="1"/>
  <c r="G968" i="1"/>
  <c r="F968" i="1"/>
  <c r="B968" i="1"/>
  <c r="W967" i="1"/>
  <c r="T967" i="1"/>
  <c r="P967" i="1"/>
  <c r="J967" i="1"/>
  <c r="G967" i="1"/>
  <c r="F967" i="1"/>
  <c r="B967" i="1"/>
  <c r="W966" i="1"/>
  <c r="T966" i="1"/>
  <c r="P966" i="1"/>
  <c r="J966" i="1"/>
  <c r="G966" i="1"/>
  <c r="F966" i="1"/>
  <c r="B966" i="1"/>
  <c r="W965" i="1"/>
  <c r="T965" i="1"/>
  <c r="P965" i="1"/>
  <c r="J965" i="1"/>
  <c r="G965" i="1"/>
  <c r="F965" i="1"/>
  <c r="B965" i="1"/>
  <c r="W964" i="1"/>
  <c r="T964" i="1"/>
  <c r="P964" i="1"/>
  <c r="J964" i="1"/>
  <c r="G964" i="1"/>
  <c r="F964" i="1"/>
  <c r="B964" i="1"/>
  <c r="W963" i="1"/>
  <c r="T963" i="1"/>
  <c r="P963" i="1"/>
  <c r="J963" i="1"/>
  <c r="G963" i="1"/>
  <c r="F963" i="1"/>
  <c r="B963" i="1"/>
  <c r="W962" i="1"/>
  <c r="T962" i="1"/>
  <c r="P962" i="1"/>
  <c r="J962" i="1"/>
  <c r="G962" i="1"/>
  <c r="F962" i="1"/>
  <c r="B962" i="1"/>
  <c r="W961" i="1"/>
  <c r="T961" i="1"/>
  <c r="P961" i="1"/>
  <c r="J961" i="1"/>
  <c r="G961" i="1"/>
  <c r="F961" i="1"/>
  <c r="B961" i="1"/>
  <c r="W960" i="1"/>
  <c r="T960" i="1"/>
  <c r="P960" i="1"/>
  <c r="J960" i="1"/>
  <c r="G960" i="1"/>
  <c r="F960" i="1"/>
  <c r="B960" i="1"/>
  <c r="W959" i="1"/>
  <c r="T959" i="1"/>
  <c r="P959" i="1"/>
  <c r="J959" i="1"/>
  <c r="G959" i="1"/>
  <c r="F959" i="1"/>
  <c r="B959" i="1"/>
  <c r="W958" i="1"/>
  <c r="T958" i="1"/>
  <c r="P958" i="1"/>
  <c r="J958" i="1"/>
  <c r="G958" i="1"/>
  <c r="F958" i="1"/>
  <c r="B958" i="1"/>
  <c r="W957" i="1"/>
  <c r="T957" i="1"/>
  <c r="P957" i="1"/>
  <c r="J957" i="1"/>
  <c r="G957" i="1"/>
  <c r="F957" i="1"/>
  <c r="B957" i="1"/>
  <c r="W956" i="1"/>
  <c r="T956" i="1"/>
  <c r="P956" i="1"/>
  <c r="J956" i="1"/>
  <c r="G956" i="1"/>
  <c r="F956" i="1"/>
  <c r="B956" i="1"/>
  <c r="W955" i="1"/>
  <c r="T955" i="1"/>
  <c r="P955" i="1"/>
  <c r="J955" i="1"/>
  <c r="G955" i="1"/>
  <c r="F955" i="1"/>
  <c r="B955" i="1"/>
  <c r="W954" i="1"/>
  <c r="T954" i="1"/>
  <c r="P954" i="1"/>
  <c r="J954" i="1"/>
  <c r="G954" i="1"/>
  <c r="F954" i="1"/>
  <c r="B954" i="1"/>
  <c r="W953" i="1"/>
  <c r="T953" i="1"/>
  <c r="P953" i="1"/>
  <c r="J953" i="1"/>
  <c r="G953" i="1"/>
  <c r="F953" i="1"/>
  <c r="B953" i="1"/>
  <c r="W952" i="1"/>
  <c r="T952" i="1"/>
  <c r="P952" i="1"/>
  <c r="J952" i="1"/>
  <c r="G952" i="1"/>
  <c r="F952" i="1"/>
  <c r="B952" i="1"/>
  <c r="W951" i="1"/>
  <c r="T951" i="1"/>
  <c r="P951" i="1"/>
  <c r="J951" i="1"/>
  <c r="G951" i="1"/>
  <c r="F951" i="1"/>
  <c r="B951" i="1"/>
  <c r="W950" i="1"/>
  <c r="T950" i="1"/>
  <c r="P950" i="1"/>
  <c r="J950" i="1"/>
  <c r="G950" i="1"/>
  <c r="F950" i="1"/>
  <c r="B950" i="1"/>
  <c r="W949" i="1"/>
  <c r="T949" i="1"/>
  <c r="P949" i="1"/>
  <c r="J949" i="1"/>
  <c r="G949" i="1"/>
  <c r="F949" i="1"/>
  <c r="B949" i="1"/>
  <c r="W948" i="1"/>
  <c r="T948" i="1"/>
  <c r="P948" i="1"/>
  <c r="J948" i="1"/>
  <c r="G948" i="1"/>
  <c r="F948" i="1"/>
  <c r="B948" i="1"/>
  <c r="W947" i="1"/>
  <c r="T947" i="1"/>
  <c r="P947" i="1"/>
  <c r="J947" i="1"/>
  <c r="G947" i="1"/>
  <c r="F947" i="1"/>
  <c r="B947" i="1"/>
  <c r="W946" i="1"/>
  <c r="T946" i="1"/>
  <c r="P946" i="1"/>
  <c r="J946" i="1"/>
  <c r="G946" i="1"/>
  <c r="F946" i="1"/>
  <c r="B946" i="1"/>
  <c r="W945" i="1"/>
  <c r="T945" i="1"/>
  <c r="P945" i="1"/>
  <c r="J945" i="1"/>
  <c r="G945" i="1"/>
  <c r="F945" i="1"/>
  <c r="B945" i="1"/>
  <c r="W944" i="1"/>
  <c r="T944" i="1"/>
  <c r="P944" i="1"/>
  <c r="J944" i="1"/>
  <c r="G944" i="1"/>
  <c r="F944" i="1"/>
  <c r="B944" i="1"/>
  <c r="W943" i="1"/>
  <c r="T943" i="1"/>
  <c r="P943" i="1"/>
  <c r="J943" i="1"/>
  <c r="G943" i="1"/>
  <c r="F943" i="1"/>
  <c r="B943" i="1"/>
  <c r="W942" i="1"/>
  <c r="T942" i="1"/>
  <c r="P942" i="1"/>
  <c r="J942" i="1"/>
  <c r="G942" i="1"/>
  <c r="F942" i="1"/>
  <c r="B942" i="1"/>
  <c r="W941" i="1"/>
  <c r="T941" i="1"/>
  <c r="P941" i="1"/>
  <c r="J941" i="1"/>
  <c r="G941" i="1"/>
  <c r="F941" i="1"/>
  <c r="B941" i="1"/>
  <c r="W940" i="1"/>
  <c r="T940" i="1"/>
  <c r="P940" i="1"/>
  <c r="J940" i="1"/>
  <c r="G940" i="1"/>
  <c r="F940" i="1"/>
  <c r="B940" i="1"/>
  <c r="W939" i="1"/>
  <c r="T939" i="1"/>
  <c r="P939" i="1"/>
  <c r="J939" i="1"/>
  <c r="G939" i="1"/>
  <c r="F939" i="1"/>
  <c r="B939" i="1"/>
  <c r="W938" i="1"/>
  <c r="T938" i="1"/>
  <c r="P938" i="1"/>
  <c r="J938" i="1"/>
  <c r="G938" i="1"/>
  <c r="F938" i="1"/>
  <c r="B938" i="1"/>
  <c r="W937" i="1"/>
  <c r="T937" i="1"/>
  <c r="P937" i="1"/>
  <c r="J937" i="1"/>
  <c r="G937" i="1"/>
  <c r="F937" i="1"/>
  <c r="B937" i="1"/>
  <c r="W936" i="1"/>
  <c r="T936" i="1"/>
  <c r="P936" i="1"/>
  <c r="J936" i="1"/>
  <c r="G936" i="1"/>
  <c r="F936" i="1"/>
  <c r="B936" i="1"/>
  <c r="W935" i="1"/>
  <c r="T935" i="1"/>
  <c r="P935" i="1"/>
  <c r="J935" i="1"/>
  <c r="G935" i="1"/>
  <c r="F935" i="1"/>
  <c r="B935" i="1"/>
  <c r="W934" i="1"/>
  <c r="T934" i="1"/>
  <c r="P934" i="1"/>
  <c r="J934" i="1"/>
  <c r="G934" i="1"/>
  <c r="F934" i="1"/>
  <c r="B934" i="1"/>
  <c r="W933" i="1"/>
  <c r="T933" i="1"/>
  <c r="P933" i="1"/>
  <c r="J933" i="1"/>
  <c r="G933" i="1"/>
  <c r="F933" i="1"/>
  <c r="B933" i="1"/>
  <c r="W932" i="1"/>
  <c r="T932" i="1"/>
  <c r="P932" i="1"/>
  <c r="J932" i="1"/>
  <c r="G932" i="1"/>
  <c r="F932" i="1"/>
  <c r="B932" i="1"/>
  <c r="W931" i="1"/>
  <c r="T931" i="1"/>
  <c r="P931" i="1"/>
  <c r="J931" i="1"/>
  <c r="G931" i="1"/>
  <c r="F931" i="1"/>
  <c r="B931" i="1"/>
  <c r="W930" i="1"/>
  <c r="T930" i="1"/>
  <c r="P930" i="1"/>
  <c r="J930" i="1"/>
  <c r="G930" i="1"/>
  <c r="F930" i="1"/>
  <c r="B930" i="1"/>
  <c r="W929" i="1"/>
  <c r="T929" i="1"/>
  <c r="P929" i="1"/>
  <c r="J929" i="1"/>
  <c r="G929" i="1"/>
  <c r="F929" i="1"/>
  <c r="B929" i="1"/>
  <c r="W928" i="1"/>
  <c r="T928" i="1"/>
  <c r="P928" i="1"/>
  <c r="J928" i="1"/>
  <c r="G928" i="1"/>
  <c r="F928" i="1"/>
  <c r="B928" i="1"/>
  <c r="W927" i="1"/>
  <c r="T927" i="1"/>
  <c r="P927" i="1"/>
  <c r="J927" i="1"/>
  <c r="G927" i="1"/>
  <c r="F927" i="1"/>
  <c r="B927" i="1"/>
  <c r="W926" i="1"/>
  <c r="T926" i="1"/>
  <c r="P926" i="1"/>
  <c r="J926" i="1"/>
  <c r="G926" i="1"/>
  <c r="F926" i="1"/>
  <c r="B926" i="1"/>
  <c r="W925" i="1"/>
  <c r="T925" i="1"/>
  <c r="P925" i="1"/>
  <c r="J925" i="1"/>
  <c r="G925" i="1"/>
  <c r="F925" i="1"/>
  <c r="B925" i="1"/>
  <c r="W924" i="1"/>
  <c r="T924" i="1"/>
  <c r="P924" i="1"/>
  <c r="J924" i="1"/>
  <c r="G924" i="1"/>
  <c r="F924" i="1"/>
  <c r="B924" i="1"/>
  <c r="W923" i="1"/>
  <c r="T923" i="1"/>
  <c r="P923" i="1"/>
  <c r="J923" i="1"/>
  <c r="G923" i="1"/>
  <c r="F923" i="1"/>
  <c r="B923" i="1"/>
  <c r="W922" i="1"/>
  <c r="T922" i="1"/>
  <c r="P922" i="1"/>
  <c r="J922" i="1"/>
  <c r="G922" i="1"/>
  <c r="F922" i="1"/>
  <c r="B922" i="1"/>
  <c r="W921" i="1"/>
  <c r="T921" i="1"/>
  <c r="P921" i="1"/>
  <c r="J921" i="1"/>
  <c r="G921" i="1"/>
  <c r="F921" i="1"/>
  <c r="B921" i="1"/>
  <c r="W920" i="1"/>
  <c r="T920" i="1"/>
  <c r="P920" i="1"/>
  <c r="J920" i="1"/>
  <c r="G920" i="1"/>
  <c r="F920" i="1"/>
  <c r="B920" i="1"/>
  <c r="W919" i="1"/>
  <c r="T919" i="1"/>
  <c r="P919" i="1"/>
  <c r="J919" i="1"/>
  <c r="G919" i="1"/>
  <c r="F919" i="1"/>
  <c r="B919" i="1"/>
  <c r="W918" i="1"/>
  <c r="T918" i="1"/>
  <c r="P918" i="1"/>
  <c r="J918" i="1"/>
  <c r="G918" i="1"/>
  <c r="F918" i="1"/>
  <c r="B918" i="1"/>
  <c r="W917" i="1"/>
  <c r="T917" i="1"/>
  <c r="P917" i="1"/>
  <c r="J917" i="1"/>
  <c r="G917" i="1"/>
  <c r="F917" i="1"/>
  <c r="B917" i="1"/>
  <c r="W916" i="1"/>
  <c r="T916" i="1"/>
  <c r="P916" i="1"/>
  <c r="J916" i="1"/>
  <c r="G916" i="1"/>
  <c r="F916" i="1"/>
  <c r="B916" i="1"/>
  <c r="W915" i="1"/>
  <c r="T915" i="1"/>
  <c r="P915" i="1"/>
  <c r="J915" i="1"/>
  <c r="G915" i="1"/>
  <c r="F915" i="1"/>
  <c r="B915" i="1"/>
  <c r="W914" i="1"/>
  <c r="T914" i="1"/>
  <c r="P914" i="1"/>
  <c r="J914" i="1"/>
  <c r="G914" i="1"/>
  <c r="F914" i="1"/>
  <c r="B914" i="1"/>
  <c r="W913" i="1"/>
  <c r="T913" i="1"/>
  <c r="P913" i="1"/>
  <c r="J913" i="1"/>
  <c r="G913" i="1"/>
  <c r="F913" i="1"/>
  <c r="B913" i="1"/>
  <c r="W912" i="1"/>
  <c r="T912" i="1"/>
  <c r="P912" i="1"/>
  <c r="J912" i="1"/>
  <c r="G912" i="1"/>
  <c r="F912" i="1"/>
  <c r="B912" i="1"/>
  <c r="W911" i="1"/>
  <c r="T911" i="1"/>
  <c r="P911" i="1"/>
  <c r="J911" i="1"/>
  <c r="G911" i="1"/>
  <c r="F911" i="1"/>
  <c r="B911" i="1"/>
  <c r="W910" i="1"/>
  <c r="T910" i="1"/>
  <c r="P910" i="1"/>
  <c r="J910" i="1"/>
  <c r="G910" i="1"/>
  <c r="F910" i="1"/>
  <c r="B910" i="1"/>
  <c r="W909" i="1"/>
  <c r="T909" i="1"/>
  <c r="P909" i="1"/>
  <c r="J909" i="1"/>
  <c r="G909" i="1"/>
  <c r="F909" i="1"/>
  <c r="B909" i="1"/>
  <c r="W908" i="1"/>
  <c r="T908" i="1"/>
  <c r="P908" i="1"/>
  <c r="J908" i="1"/>
  <c r="G908" i="1"/>
  <c r="F908" i="1"/>
  <c r="B908" i="1"/>
  <c r="W907" i="1"/>
  <c r="T907" i="1"/>
  <c r="P907" i="1"/>
  <c r="J907" i="1"/>
  <c r="G907" i="1"/>
  <c r="F907" i="1"/>
  <c r="B907" i="1"/>
  <c r="W906" i="1"/>
  <c r="T906" i="1"/>
  <c r="P906" i="1"/>
  <c r="J906" i="1"/>
  <c r="G906" i="1"/>
  <c r="F906" i="1"/>
  <c r="B906" i="1"/>
  <c r="W905" i="1"/>
  <c r="T905" i="1"/>
  <c r="P905" i="1"/>
  <c r="J905" i="1"/>
  <c r="G905" i="1"/>
  <c r="F905" i="1"/>
  <c r="B905" i="1"/>
  <c r="W904" i="1"/>
  <c r="T904" i="1"/>
  <c r="P904" i="1"/>
  <c r="J904" i="1"/>
  <c r="G904" i="1"/>
  <c r="F904" i="1"/>
  <c r="B904" i="1"/>
  <c r="W903" i="1"/>
  <c r="T903" i="1"/>
  <c r="P903" i="1"/>
  <c r="J903" i="1"/>
  <c r="G903" i="1"/>
  <c r="F903" i="1"/>
  <c r="B903" i="1"/>
  <c r="W902" i="1"/>
  <c r="T902" i="1"/>
  <c r="P902" i="1"/>
  <c r="J902" i="1"/>
  <c r="G902" i="1"/>
  <c r="F902" i="1"/>
  <c r="B902" i="1"/>
  <c r="W901" i="1"/>
  <c r="T901" i="1"/>
  <c r="P901" i="1"/>
  <c r="J901" i="1"/>
  <c r="G901" i="1"/>
  <c r="F901" i="1"/>
  <c r="B901" i="1"/>
  <c r="W900" i="1"/>
  <c r="T900" i="1"/>
  <c r="P900" i="1"/>
  <c r="J900" i="1"/>
  <c r="G900" i="1"/>
  <c r="F900" i="1"/>
  <c r="B900" i="1"/>
  <c r="W899" i="1"/>
  <c r="T899" i="1"/>
  <c r="P899" i="1"/>
  <c r="J899" i="1"/>
  <c r="G899" i="1"/>
  <c r="F899" i="1"/>
  <c r="B899" i="1"/>
  <c r="W898" i="1"/>
  <c r="T898" i="1"/>
  <c r="P898" i="1"/>
  <c r="J898" i="1"/>
  <c r="G898" i="1"/>
  <c r="F898" i="1"/>
  <c r="B898" i="1"/>
  <c r="W897" i="1"/>
  <c r="T897" i="1"/>
  <c r="P897" i="1"/>
  <c r="J897" i="1"/>
  <c r="G897" i="1"/>
  <c r="F897" i="1"/>
  <c r="B897" i="1"/>
  <c r="W896" i="1"/>
  <c r="T896" i="1"/>
  <c r="P896" i="1"/>
  <c r="J896" i="1"/>
  <c r="G896" i="1"/>
  <c r="F896" i="1"/>
  <c r="B896" i="1"/>
  <c r="W895" i="1"/>
  <c r="T895" i="1"/>
  <c r="P895" i="1"/>
  <c r="J895" i="1"/>
  <c r="G895" i="1"/>
  <c r="F895" i="1"/>
  <c r="B895" i="1"/>
  <c r="W894" i="1"/>
  <c r="T894" i="1"/>
  <c r="P894" i="1"/>
  <c r="J894" i="1"/>
  <c r="G894" i="1"/>
  <c r="F894" i="1"/>
  <c r="B894" i="1"/>
  <c r="W893" i="1"/>
  <c r="T893" i="1"/>
  <c r="P893" i="1"/>
  <c r="J893" i="1"/>
  <c r="G893" i="1"/>
  <c r="F893" i="1"/>
  <c r="B893" i="1"/>
  <c r="W892" i="1"/>
  <c r="T892" i="1"/>
  <c r="P892" i="1"/>
  <c r="J892" i="1"/>
  <c r="G892" i="1"/>
  <c r="F892" i="1"/>
  <c r="B892" i="1"/>
  <c r="W891" i="1"/>
  <c r="T891" i="1"/>
  <c r="P891" i="1"/>
  <c r="J891" i="1"/>
  <c r="G891" i="1"/>
  <c r="F891" i="1"/>
  <c r="B891" i="1"/>
  <c r="W890" i="1"/>
  <c r="T890" i="1"/>
  <c r="P890" i="1"/>
  <c r="J890" i="1"/>
  <c r="G890" i="1"/>
  <c r="F890" i="1"/>
  <c r="B890" i="1"/>
  <c r="W889" i="1"/>
  <c r="T889" i="1"/>
  <c r="P889" i="1"/>
  <c r="J889" i="1"/>
  <c r="G889" i="1"/>
  <c r="F889" i="1"/>
  <c r="B889" i="1"/>
  <c r="W888" i="1"/>
  <c r="T888" i="1"/>
  <c r="P888" i="1"/>
  <c r="J888" i="1"/>
  <c r="G888" i="1"/>
  <c r="F888" i="1"/>
  <c r="B888" i="1"/>
  <c r="W887" i="1"/>
  <c r="T887" i="1"/>
  <c r="P887" i="1"/>
  <c r="J887" i="1"/>
  <c r="G887" i="1"/>
  <c r="F887" i="1"/>
  <c r="B887" i="1"/>
  <c r="W886" i="1"/>
  <c r="T886" i="1"/>
  <c r="P886" i="1"/>
  <c r="J886" i="1"/>
  <c r="G886" i="1"/>
  <c r="F886" i="1"/>
  <c r="B886" i="1"/>
  <c r="W885" i="1"/>
  <c r="T885" i="1"/>
  <c r="P885" i="1"/>
  <c r="J885" i="1"/>
  <c r="G885" i="1"/>
  <c r="F885" i="1"/>
  <c r="B885" i="1"/>
  <c r="W884" i="1"/>
  <c r="T884" i="1"/>
  <c r="P884" i="1"/>
  <c r="J884" i="1"/>
  <c r="G884" i="1"/>
  <c r="F884" i="1"/>
  <c r="B884" i="1"/>
  <c r="W883" i="1"/>
  <c r="T883" i="1"/>
  <c r="P883" i="1"/>
  <c r="J883" i="1"/>
  <c r="G883" i="1"/>
  <c r="F883" i="1"/>
  <c r="B883" i="1"/>
  <c r="W882" i="1"/>
  <c r="T882" i="1"/>
  <c r="P882" i="1"/>
  <c r="J882" i="1"/>
  <c r="G882" i="1"/>
  <c r="F882" i="1"/>
  <c r="B882" i="1"/>
  <c r="W881" i="1"/>
  <c r="T881" i="1"/>
  <c r="P881" i="1"/>
  <c r="J881" i="1"/>
  <c r="G881" i="1"/>
  <c r="F881" i="1"/>
  <c r="B881" i="1"/>
  <c r="W880" i="1"/>
  <c r="T880" i="1"/>
  <c r="P880" i="1"/>
  <c r="J880" i="1"/>
  <c r="G880" i="1"/>
  <c r="F880" i="1"/>
  <c r="B880" i="1"/>
  <c r="W879" i="1"/>
  <c r="T879" i="1"/>
  <c r="P879" i="1"/>
  <c r="J879" i="1"/>
  <c r="G879" i="1"/>
  <c r="F879" i="1"/>
  <c r="B879" i="1"/>
  <c r="W878" i="1"/>
  <c r="T878" i="1"/>
  <c r="P878" i="1"/>
  <c r="J878" i="1"/>
  <c r="G878" i="1"/>
  <c r="F878" i="1"/>
  <c r="B878" i="1"/>
  <c r="W877" i="1"/>
  <c r="T877" i="1"/>
  <c r="P877" i="1"/>
  <c r="J877" i="1"/>
  <c r="G877" i="1"/>
  <c r="F877" i="1"/>
  <c r="B877" i="1"/>
  <c r="W876" i="1"/>
  <c r="T876" i="1"/>
  <c r="P876" i="1"/>
  <c r="J876" i="1"/>
  <c r="G876" i="1"/>
  <c r="F876" i="1"/>
  <c r="B876" i="1"/>
  <c r="W875" i="1"/>
  <c r="T875" i="1"/>
  <c r="P875" i="1"/>
  <c r="J875" i="1"/>
  <c r="G875" i="1"/>
  <c r="F875" i="1"/>
  <c r="B875" i="1"/>
  <c r="W874" i="1"/>
  <c r="T874" i="1"/>
  <c r="P874" i="1"/>
  <c r="J874" i="1"/>
  <c r="G874" i="1"/>
  <c r="F874" i="1"/>
  <c r="B874" i="1"/>
  <c r="W873" i="1"/>
  <c r="T873" i="1"/>
  <c r="P873" i="1"/>
  <c r="J873" i="1"/>
  <c r="G873" i="1"/>
  <c r="F873" i="1"/>
  <c r="B873" i="1"/>
  <c r="W872" i="1"/>
  <c r="T872" i="1"/>
  <c r="P872" i="1"/>
  <c r="J872" i="1"/>
  <c r="G872" i="1"/>
  <c r="F872" i="1"/>
  <c r="B872" i="1"/>
  <c r="W871" i="1"/>
  <c r="T871" i="1"/>
  <c r="P871" i="1"/>
  <c r="J871" i="1"/>
  <c r="G871" i="1"/>
  <c r="F871" i="1"/>
  <c r="B871" i="1"/>
  <c r="W870" i="1"/>
  <c r="T870" i="1"/>
  <c r="P870" i="1"/>
  <c r="J870" i="1"/>
  <c r="G870" i="1"/>
  <c r="F870" i="1"/>
  <c r="B870" i="1"/>
  <c r="W869" i="1"/>
  <c r="T869" i="1"/>
  <c r="P869" i="1"/>
  <c r="J869" i="1"/>
  <c r="G869" i="1"/>
  <c r="F869" i="1"/>
  <c r="B869" i="1"/>
  <c r="W868" i="1"/>
  <c r="T868" i="1"/>
  <c r="P868" i="1"/>
  <c r="J868" i="1"/>
  <c r="G868" i="1"/>
  <c r="F868" i="1"/>
  <c r="B868" i="1"/>
  <c r="W867" i="1"/>
  <c r="T867" i="1"/>
  <c r="P867" i="1"/>
  <c r="J867" i="1"/>
  <c r="G867" i="1"/>
  <c r="F867" i="1"/>
  <c r="B867" i="1"/>
  <c r="W866" i="1"/>
  <c r="T866" i="1"/>
  <c r="P866" i="1"/>
  <c r="J866" i="1"/>
  <c r="G866" i="1"/>
  <c r="F866" i="1"/>
  <c r="B866" i="1"/>
  <c r="W865" i="1"/>
  <c r="T865" i="1"/>
  <c r="P865" i="1"/>
  <c r="J865" i="1"/>
  <c r="G865" i="1"/>
  <c r="F865" i="1"/>
  <c r="B865" i="1"/>
  <c r="W864" i="1"/>
  <c r="T864" i="1"/>
  <c r="P864" i="1"/>
  <c r="J864" i="1"/>
  <c r="G864" i="1"/>
  <c r="F864" i="1"/>
  <c r="B864" i="1"/>
  <c r="W863" i="1"/>
  <c r="T863" i="1"/>
  <c r="P863" i="1"/>
  <c r="J863" i="1"/>
  <c r="G863" i="1"/>
  <c r="F863" i="1"/>
  <c r="B863" i="1"/>
  <c r="W862" i="1"/>
  <c r="T862" i="1"/>
  <c r="P862" i="1"/>
  <c r="J862" i="1"/>
  <c r="G862" i="1"/>
  <c r="F862" i="1"/>
  <c r="B862" i="1"/>
  <c r="W861" i="1"/>
  <c r="T861" i="1"/>
  <c r="P861" i="1"/>
  <c r="J861" i="1"/>
  <c r="G861" i="1"/>
  <c r="F861" i="1"/>
  <c r="B861" i="1"/>
  <c r="W860" i="1"/>
  <c r="T860" i="1"/>
  <c r="P860" i="1"/>
  <c r="J860" i="1"/>
  <c r="G860" i="1"/>
  <c r="F860" i="1"/>
  <c r="B860" i="1"/>
  <c r="W859" i="1"/>
  <c r="T859" i="1"/>
  <c r="P859" i="1"/>
  <c r="J859" i="1"/>
  <c r="G859" i="1"/>
  <c r="F859" i="1"/>
  <c r="B859" i="1"/>
  <c r="W858" i="1"/>
  <c r="T858" i="1"/>
  <c r="P858" i="1"/>
  <c r="J858" i="1"/>
  <c r="G858" i="1"/>
  <c r="F858" i="1"/>
  <c r="B858" i="1"/>
  <c r="W857" i="1"/>
  <c r="T857" i="1"/>
  <c r="P857" i="1"/>
  <c r="J857" i="1"/>
  <c r="G857" i="1"/>
  <c r="F857" i="1"/>
  <c r="B857" i="1"/>
  <c r="W856" i="1"/>
  <c r="T856" i="1"/>
  <c r="P856" i="1"/>
  <c r="J856" i="1"/>
  <c r="G856" i="1"/>
  <c r="F856" i="1"/>
  <c r="B856" i="1"/>
  <c r="W855" i="1"/>
  <c r="T855" i="1"/>
  <c r="P855" i="1"/>
  <c r="J855" i="1"/>
  <c r="G855" i="1"/>
  <c r="F855" i="1"/>
  <c r="B855" i="1"/>
  <c r="W854" i="1"/>
  <c r="T854" i="1"/>
  <c r="P854" i="1"/>
  <c r="J854" i="1"/>
  <c r="G854" i="1"/>
  <c r="F854" i="1"/>
  <c r="B854" i="1"/>
  <c r="W853" i="1"/>
  <c r="T853" i="1"/>
  <c r="P853" i="1"/>
  <c r="J853" i="1"/>
  <c r="G853" i="1"/>
  <c r="F853" i="1"/>
  <c r="B853" i="1"/>
  <c r="W852" i="1"/>
  <c r="T852" i="1"/>
  <c r="P852" i="1"/>
  <c r="J852" i="1"/>
  <c r="G852" i="1"/>
  <c r="F852" i="1"/>
  <c r="B852" i="1"/>
  <c r="W851" i="1"/>
  <c r="T851" i="1"/>
  <c r="P851" i="1"/>
  <c r="J851" i="1"/>
  <c r="G851" i="1"/>
  <c r="F851" i="1"/>
  <c r="B851" i="1"/>
  <c r="W850" i="1"/>
  <c r="T850" i="1"/>
  <c r="P850" i="1"/>
  <c r="J850" i="1"/>
  <c r="G850" i="1"/>
  <c r="F850" i="1"/>
  <c r="B850" i="1"/>
  <c r="W849" i="1"/>
  <c r="T849" i="1"/>
  <c r="P849" i="1"/>
  <c r="J849" i="1"/>
  <c r="G849" i="1"/>
  <c r="F849" i="1"/>
  <c r="B849" i="1"/>
  <c r="W848" i="1"/>
  <c r="T848" i="1"/>
  <c r="P848" i="1"/>
  <c r="J848" i="1"/>
  <c r="G848" i="1"/>
  <c r="F848" i="1"/>
  <c r="B848" i="1"/>
  <c r="W847" i="1"/>
  <c r="T847" i="1"/>
  <c r="P847" i="1"/>
  <c r="J847" i="1"/>
  <c r="G847" i="1"/>
  <c r="F847" i="1"/>
  <c r="B847" i="1"/>
  <c r="W846" i="1"/>
  <c r="T846" i="1"/>
  <c r="P846" i="1"/>
  <c r="J846" i="1"/>
  <c r="G846" i="1"/>
  <c r="F846" i="1"/>
  <c r="B846" i="1"/>
  <c r="W845" i="1"/>
  <c r="T845" i="1"/>
  <c r="P845" i="1"/>
  <c r="J845" i="1"/>
  <c r="G845" i="1"/>
  <c r="F845" i="1"/>
  <c r="B845" i="1"/>
  <c r="W844" i="1"/>
  <c r="T844" i="1"/>
  <c r="P844" i="1"/>
  <c r="J844" i="1"/>
  <c r="G844" i="1"/>
  <c r="F844" i="1"/>
  <c r="B844" i="1"/>
  <c r="W843" i="1"/>
  <c r="T843" i="1"/>
  <c r="P843" i="1"/>
  <c r="J843" i="1"/>
  <c r="G843" i="1"/>
  <c r="F843" i="1"/>
  <c r="B843" i="1"/>
  <c r="W842" i="1"/>
  <c r="T842" i="1"/>
  <c r="P842" i="1"/>
  <c r="J842" i="1"/>
  <c r="G842" i="1"/>
  <c r="F842" i="1"/>
  <c r="B842" i="1"/>
  <c r="W841" i="1"/>
  <c r="T841" i="1"/>
  <c r="P841" i="1"/>
  <c r="J841" i="1"/>
  <c r="G841" i="1"/>
  <c r="F841" i="1"/>
  <c r="B841" i="1"/>
  <c r="W840" i="1"/>
  <c r="T840" i="1"/>
  <c r="P840" i="1"/>
  <c r="J840" i="1"/>
  <c r="G840" i="1"/>
  <c r="F840" i="1"/>
  <c r="B840" i="1"/>
  <c r="W839" i="1"/>
  <c r="T839" i="1"/>
  <c r="P839" i="1"/>
  <c r="J839" i="1"/>
  <c r="G839" i="1"/>
  <c r="F839" i="1"/>
  <c r="B839" i="1"/>
  <c r="W838" i="1"/>
  <c r="T838" i="1"/>
  <c r="P838" i="1"/>
  <c r="J838" i="1"/>
  <c r="G838" i="1"/>
  <c r="F838" i="1"/>
  <c r="B838" i="1"/>
  <c r="W837" i="1"/>
  <c r="T837" i="1"/>
  <c r="P837" i="1"/>
  <c r="J837" i="1"/>
  <c r="G837" i="1"/>
  <c r="F837" i="1"/>
  <c r="B837" i="1"/>
  <c r="W836" i="1"/>
  <c r="T836" i="1"/>
  <c r="P836" i="1"/>
  <c r="J836" i="1"/>
  <c r="G836" i="1"/>
  <c r="F836" i="1"/>
  <c r="B836" i="1"/>
  <c r="W835" i="1"/>
  <c r="T835" i="1"/>
  <c r="P835" i="1"/>
  <c r="J835" i="1"/>
  <c r="G835" i="1"/>
  <c r="F835" i="1"/>
  <c r="B835" i="1"/>
  <c r="W834" i="1"/>
  <c r="T834" i="1"/>
  <c r="P834" i="1"/>
  <c r="J834" i="1"/>
  <c r="G834" i="1"/>
  <c r="F834" i="1"/>
  <c r="B834" i="1"/>
  <c r="W833" i="1"/>
  <c r="T833" i="1"/>
  <c r="P833" i="1"/>
  <c r="J833" i="1"/>
  <c r="G833" i="1"/>
  <c r="F833" i="1"/>
  <c r="B833" i="1"/>
  <c r="W832" i="1"/>
  <c r="T832" i="1"/>
  <c r="P832" i="1"/>
  <c r="J832" i="1"/>
  <c r="G832" i="1"/>
  <c r="F832" i="1"/>
  <c r="B832" i="1"/>
  <c r="W831" i="1"/>
  <c r="T831" i="1"/>
  <c r="P831" i="1"/>
  <c r="J831" i="1"/>
  <c r="G831" i="1"/>
  <c r="F831" i="1"/>
  <c r="B831" i="1"/>
  <c r="W830" i="1"/>
  <c r="T830" i="1"/>
  <c r="P830" i="1"/>
  <c r="J830" i="1"/>
  <c r="G830" i="1"/>
  <c r="F830" i="1"/>
  <c r="B830" i="1"/>
  <c r="W829" i="1"/>
  <c r="T829" i="1"/>
  <c r="P829" i="1"/>
  <c r="J829" i="1"/>
  <c r="G829" i="1"/>
  <c r="F829" i="1"/>
  <c r="B829" i="1"/>
  <c r="W828" i="1"/>
  <c r="T828" i="1"/>
  <c r="P828" i="1"/>
  <c r="J828" i="1"/>
  <c r="G828" i="1"/>
  <c r="F828" i="1"/>
  <c r="B828" i="1"/>
  <c r="W827" i="1"/>
  <c r="T827" i="1"/>
  <c r="P827" i="1"/>
  <c r="J827" i="1"/>
  <c r="G827" i="1"/>
  <c r="F827" i="1"/>
  <c r="B827" i="1"/>
  <c r="W826" i="1"/>
  <c r="T826" i="1"/>
  <c r="P826" i="1"/>
  <c r="J826" i="1"/>
  <c r="G826" i="1"/>
  <c r="F826" i="1"/>
  <c r="B826" i="1"/>
  <c r="W825" i="1"/>
  <c r="T825" i="1"/>
  <c r="P825" i="1"/>
  <c r="J825" i="1"/>
  <c r="G825" i="1"/>
  <c r="F825" i="1"/>
  <c r="B825" i="1"/>
  <c r="W824" i="1"/>
  <c r="T824" i="1"/>
  <c r="P824" i="1"/>
  <c r="J824" i="1"/>
  <c r="G824" i="1"/>
  <c r="F824" i="1"/>
  <c r="B824" i="1"/>
  <c r="W823" i="1"/>
  <c r="T823" i="1"/>
  <c r="P823" i="1"/>
  <c r="J823" i="1"/>
  <c r="G823" i="1"/>
  <c r="F823" i="1"/>
  <c r="B823" i="1"/>
  <c r="W822" i="1"/>
  <c r="T822" i="1"/>
  <c r="P822" i="1"/>
  <c r="J822" i="1"/>
  <c r="G822" i="1"/>
  <c r="F822" i="1"/>
  <c r="B822" i="1"/>
  <c r="W821" i="1"/>
  <c r="T821" i="1"/>
  <c r="P821" i="1"/>
  <c r="J821" i="1"/>
  <c r="G821" i="1"/>
  <c r="F821" i="1"/>
  <c r="B821" i="1"/>
  <c r="W820" i="1"/>
  <c r="T820" i="1"/>
  <c r="P820" i="1"/>
  <c r="J820" i="1"/>
  <c r="G820" i="1"/>
  <c r="F820" i="1"/>
  <c r="B820" i="1"/>
  <c r="W819" i="1"/>
  <c r="T819" i="1"/>
  <c r="P819" i="1"/>
  <c r="J819" i="1"/>
  <c r="G819" i="1"/>
  <c r="F819" i="1"/>
  <c r="B819" i="1"/>
  <c r="W818" i="1"/>
  <c r="T818" i="1"/>
  <c r="P818" i="1"/>
  <c r="J818" i="1"/>
  <c r="G818" i="1"/>
  <c r="F818" i="1"/>
  <c r="B818" i="1"/>
  <c r="W817" i="1"/>
  <c r="T817" i="1"/>
  <c r="P817" i="1"/>
  <c r="J817" i="1"/>
  <c r="G817" i="1"/>
  <c r="F817" i="1"/>
  <c r="B817" i="1"/>
  <c r="W816" i="1"/>
  <c r="T816" i="1"/>
  <c r="P816" i="1"/>
  <c r="J816" i="1"/>
  <c r="G816" i="1"/>
  <c r="F816" i="1"/>
  <c r="B816" i="1"/>
  <c r="W815" i="1"/>
  <c r="T815" i="1"/>
  <c r="P815" i="1"/>
  <c r="J815" i="1"/>
  <c r="G815" i="1"/>
  <c r="F815" i="1"/>
  <c r="B815" i="1"/>
  <c r="W814" i="1"/>
  <c r="T814" i="1"/>
  <c r="P814" i="1"/>
  <c r="J814" i="1"/>
  <c r="G814" i="1"/>
  <c r="F814" i="1"/>
  <c r="B814" i="1"/>
  <c r="W813" i="1"/>
  <c r="T813" i="1"/>
  <c r="P813" i="1"/>
  <c r="J813" i="1"/>
  <c r="G813" i="1"/>
  <c r="F813" i="1"/>
  <c r="B813" i="1"/>
  <c r="W812" i="1"/>
  <c r="T812" i="1"/>
  <c r="P812" i="1"/>
  <c r="J812" i="1"/>
  <c r="G812" i="1"/>
  <c r="F812" i="1"/>
  <c r="B812" i="1"/>
  <c r="W811" i="1"/>
  <c r="T811" i="1"/>
  <c r="P811" i="1"/>
  <c r="J811" i="1"/>
  <c r="G811" i="1"/>
  <c r="F811" i="1"/>
  <c r="B811" i="1"/>
  <c r="W810" i="1"/>
  <c r="T810" i="1"/>
  <c r="P810" i="1"/>
  <c r="J810" i="1"/>
  <c r="G810" i="1"/>
  <c r="F810" i="1"/>
  <c r="B810" i="1"/>
  <c r="W809" i="1"/>
  <c r="T809" i="1"/>
  <c r="P809" i="1"/>
  <c r="J809" i="1"/>
  <c r="G809" i="1"/>
  <c r="F809" i="1"/>
  <c r="B809" i="1"/>
  <c r="W808" i="1"/>
  <c r="T808" i="1"/>
  <c r="P808" i="1"/>
  <c r="J808" i="1"/>
  <c r="G808" i="1"/>
  <c r="F808" i="1"/>
  <c r="B808" i="1"/>
  <c r="W807" i="1"/>
  <c r="T807" i="1"/>
  <c r="P807" i="1"/>
  <c r="J807" i="1"/>
  <c r="G807" i="1"/>
  <c r="F807" i="1"/>
  <c r="B807" i="1"/>
  <c r="W806" i="1"/>
  <c r="T806" i="1"/>
  <c r="P806" i="1"/>
  <c r="J806" i="1"/>
  <c r="G806" i="1"/>
  <c r="F806" i="1"/>
  <c r="B806" i="1"/>
  <c r="W805" i="1"/>
  <c r="T805" i="1"/>
  <c r="P805" i="1"/>
  <c r="J805" i="1"/>
  <c r="G805" i="1"/>
  <c r="F805" i="1"/>
  <c r="B805" i="1"/>
  <c r="W804" i="1"/>
  <c r="T804" i="1"/>
  <c r="P804" i="1"/>
  <c r="J804" i="1"/>
  <c r="G804" i="1"/>
  <c r="F804" i="1"/>
  <c r="B804" i="1"/>
  <c r="W803" i="1"/>
  <c r="T803" i="1"/>
  <c r="P803" i="1"/>
  <c r="J803" i="1"/>
  <c r="G803" i="1"/>
  <c r="F803" i="1"/>
  <c r="B803" i="1"/>
  <c r="W802" i="1"/>
  <c r="T802" i="1"/>
  <c r="P802" i="1"/>
  <c r="J802" i="1"/>
  <c r="G802" i="1"/>
  <c r="F802" i="1"/>
  <c r="B802" i="1"/>
  <c r="W801" i="1"/>
  <c r="T801" i="1"/>
  <c r="P801" i="1"/>
  <c r="J801" i="1"/>
  <c r="G801" i="1"/>
  <c r="F801" i="1"/>
  <c r="B801" i="1"/>
  <c r="W800" i="1"/>
  <c r="T800" i="1"/>
  <c r="P800" i="1"/>
  <c r="J800" i="1"/>
  <c r="G800" i="1"/>
  <c r="F800" i="1"/>
  <c r="B800" i="1"/>
  <c r="W799" i="1"/>
  <c r="T799" i="1"/>
  <c r="P799" i="1"/>
  <c r="J799" i="1"/>
  <c r="G799" i="1"/>
  <c r="F799" i="1"/>
  <c r="B799" i="1"/>
  <c r="W798" i="1"/>
  <c r="T798" i="1"/>
  <c r="P798" i="1"/>
  <c r="J798" i="1"/>
  <c r="G798" i="1"/>
  <c r="F798" i="1"/>
  <c r="B798" i="1"/>
  <c r="W797" i="1"/>
  <c r="T797" i="1"/>
  <c r="P797" i="1"/>
  <c r="J797" i="1"/>
  <c r="G797" i="1"/>
  <c r="F797" i="1"/>
  <c r="B797" i="1"/>
  <c r="W796" i="1"/>
  <c r="T796" i="1"/>
  <c r="P796" i="1"/>
  <c r="J796" i="1"/>
  <c r="G796" i="1"/>
  <c r="F796" i="1"/>
  <c r="B796" i="1"/>
  <c r="W795" i="1"/>
  <c r="T795" i="1"/>
  <c r="P795" i="1"/>
  <c r="J795" i="1"/>
  <c r="G795" i="1"/>
  <c r="F795" i="1"/>
  <c r="B795" i="1"/>
  <c r="W794" i="1"/>
  <c r="T794" i="1"/>
  <c r="P794" i="1"/>
  <c r="J794" i="1"/>
  <c r="G794" i="1"/>
  <c r="F794" i="1"/>
  <c r="B794" i="1"/>
  <c r="W793" i="1"/>
  <c r="T793" i="1"/>
  <c r="P793" i="1"/>
  <c r="J793" i="1"/>
  <c r="G793" i="1"/>
  <c r="F793" i="1"/>
  <c r="B793" i="1"/>
  <c r="W792" i="1"/>
  <c r="T792" i="1"/>
  <c r="P792" i="1"/>
  <c r="J792" i="1"/>
  <c r="G792" i="1"/>
  <c r="F792" i="1"/>
  <c r="B792" i="1"/>
  <c r="W791" i="1"/>
  <c r="T791" i="1"/>
  <c r="P791" i="1"/>
  <c r="J791" i="1"/>
  <c r="G791" i="1"/>
  <c r="F791" i="1"/>
  <c r="B791" i="1"/>
  <c r="W790" i="1"/>
  <c r="T790" i="1"/>
  <c r="P790" i="1"/>
  <c r="J790" i="1"/>
  <c r="G790" i="1"/>
  <c r="F790" i="1"/>
  <c r="B790" i="1"/>
  <c r="W789" i="1"/>
  <c r="T789" i="1"/>
  <c r="P789" i="1"/>
  <c r="J789" i="1"/>
  <c r="G789" i="1"/>
  <c r="F789" i="1"/>
  <c r="B789" i="1"/>
  <c r="W788" i="1"/>
  <c r="T788" i="1"/>
  <c r="P788" i="1"/>
  <c r="J788" i="1"/>
  <c r="G788" i="1"/>
  <c r="F788" i="1"/>
  <c r="B788" i="1"/>
  <c r="W787" i="1"/>
  <c r="T787" i="1"/>
  <c r="P787" i="1"/>
  <c r="J787" i="1"/>
  <c r="G787" i="1"/>
  <c r="F787" i="1"/>
  <c r="B787" i="1"/>
  <c r="W786" i="1"/>
  <c r="T786" i="1"/>
  <c r="P786" i="1"/>
  <c r="J786" i="1"/>
  <c r="G786" i="1"/>
  <c r="F786" i="1"/>
  <c r="B786" i="1"/>
  <c r="W785" i="1"/>
  <c r="T785" i="1"/>
  <c r="P785" i="1"/>
  <c r="J785" i="1"/>
  <c r="G785" i="1"/>
  <c r="F785" i="1"/>
  <c r="B785" i="1"/>
  <c r="W784" i="1"/>
  <c r="T784" i="1"/>
  <c r="P784" i="1"/>
  <c r="J784" i="1"/>
  <c r="G784" i="1"/>
  <c r="F784" i="1"/>
  <c r="B784" i="1"/>
  <c r="W783" i="1"/>
  <c r="T783" i="1"/>
  <c r="P783" i="1"/>
  <c r="J783" i="1"/>
  <c r="G783" i="1"/>
  <c r="F783" i="1"/>
  <c r="B783" i="1"/>
  <c r="W782" i="1"/>
  <c r="T782" i="1"/>
  <c r="P782" i="1"/>
  <c r="J782" i="1"/>
  <c r="G782" i="1"/>
  <c r="F782" i="1"/>
  <c r="B782" i="1"/>
  <c r="W781" i="1"/>
  <c r="T781" i="1"/>
  <c r="P781" i="1"/>
  <c r="J781" i="1"/>
  <c r="G781" i="1"/>
  <c r="F781" i="1"/>
  <c r="B781" i="1"/>
  <c r="W780" i="1"/>
  <c r="T780" i="1"/>
  <c r="P780" i="1"/>
  <c r="J780" i="1"/>
  <c r="G780" i="1"/>
  <c r="F780" i="1"/>
  <c r="B780" i="1"/>
  <c r="W779" i="1"/>
  <c r="T779" i="1"/>
  <c r="P779" i="1"/>
  <c r="J779" i="1"/>
  <c r="G779" i="1"/>
  <c r="F779" i="1"/>
  <c r="B779" i="1"/>
  <c r="W778" i="1"/>
  <c r="T778" i="1"/>
  <c r="P778" i="1"/>
  <c r="J778" i="1"/>
  <c r="G778" i="1"/>
  <c r="F778" i="1"/>
  <c r="B778" i="1"/>
  <c r="W777" i="1"/>
  <c r="T777" i="1"/>
  <c r="P777" i="1"/>
  <c r="J777" i="1"/>
  <c r="G777" i="1"/>
  <c r="F777" i="1"/>
  <c r="B777" i="1"/>
  <c r="W776" i="1"/>
  <c r="T776" i="1"/>
  <c r="P776" i="1"/>
  <c r="J776" i="1"/>
  <c r="G776" i="1"/>
  <c r="F776" i="1"/>
  <c r="B776" i="1"/>
  <c r="W775" i="1"/>
  <c r="T775" i="1"/>
  <c r="P775" i="1"/>
  <c r="J775" i="1"/>
  <c r="G775" i="1"/>
  <c r="F775" i="1"/>
  <c r="B775" i="1"/>
  <c r="W774" i="1"/>
  <c r="T774" i="1"/>
  <c r="P774" i="1"/>
  <c r="J774" i="1"/>
  <c r="G774" i="1"/>
  <c r="F774" i="1"/>
  <c r="B774" i="1"/>
  <c r="W773" i="1"/>
  <c r="T773" i="1"/>
  <c r="P773" i="1"/>
  <c r="J773" i="1"/>
  <c r="G773" i="1"/>
  <c r="F773" i="1"/>
  <c r="B773" i="1"/>
  <c r="W772" i="1"/>
  <c r="T772" i="1"/>
  <c r="P772" i="1"/>
  <c r="J772" i="1"/>
  <c r="G772" i="1"/>
  <c r="F772" i="1"/>
  <c r="B772" i="1"/>
  <c r="W771" i="1"/>
  <c r="T771" i="1"/>
  <c r="P771" i="1"/>
  <c r="J771" i="1"/>
  <c r="G771" i="1"/>
  <c r="F771" i="1"/>
  <c r="B771" i="1"/>
  <c r="W770" i="1"/>
  <c r="T770" i="1"/>
  <c r="P770" i="1"/>
  <c r="J770" i="1"/>
  <c r="G770" i="1"/>
  <c r="F770" i="1"/>
  <c r="B770" i="1"/>
  <c r="W769" i="1"/>
  <c r="T769" i="1"/>
  <c r="P769" i="1"/>
  <c r="J769" i="1"/>
  <c r="G769" i="1"/>
  <c r="F769" i="1"/>
  <c r="B769" i="1"/>
  <c r="W768" i="1"/>
  <c r="T768" i="1"/>
  <c r="P768" i="1"/>
  <c r="J768" i="1"/>
  <c r="G768" i="1"/>
  <c r="F768" i="1"/>
  <c r="B768" i="1"/>
  <c r="W767" i="1"/>
  <c r="T767" i="1"/>
  <c r="P767" i="1"/>
  <c r="J767" i="1"/>
  <c r="G767" i="1"/>
  <c r="F767" i="1"/>
  <c r="B767" i="1"/>
  <c r="W766" i="1"/>
  <c r="T766" i="1"/>
  <c r="P766" i="1"/>
  <c r="J766" i="1"/>
  <c r="G766" i="1"/>
  <c r="F766" i="1"/>
  <c r="B766" i="1"/>
  <c r="W765" i="1"/>
  <c r="T765" i="1"/>
  <c r="P765" i="1"/>
  <c r="J765" i="1"/>
  <c r="G765" i="1"/>
  <c r="F765" i="1"/>
  <c r="B765" i="1"/>
  <c r="W764" i="1"/>
  <c r="T764" i="1"/>
  <c r="P764" i="1"/>
  <c r="J764" i="1"/>
  <c r="G764" i="1"/>
  <c r="F764" i="1"/>
  <c r="B764" i="1"/>
  <c r="W763" i="1"/>
  <c r="T763" i="1"/>
  <c r="P763" i="1"/>
  <c r="J763" i="1"/>
  <c r="G763" i="1"/>
  <c r="F763" i="1"/>
  <c r="B763" i="1"/>
  <c r="W762" i="1"/>
  <c r="T762" i="1"/>
  <c r="P762" i="1"/>
  <c r="J762" i="1"/>
  <c r="G762" i="1"/>
  <c r="F762" i="1"/>
  <c r="B762" i="1"/>
  <c r="W761" i="1"/>
  <c r="T761" i="1"/>
  <c r="P761" i="1"/>
  <c r="J761" i="1"/>
  <c r="G761" i="1"/>
  <c r="F761" i="1"/>
  <c r="B761" i="1"/>
  <c r="W760" i="1"/>
  <c r="T760" i="1"/>
  <c r="P760" i="1"/>
  <c r="J760" i="1"/>
  <c r="G760" i="1"/>
  <c r="F760" i="1"/>
  <c r="B760" i="1"/>
  <c r="W759" i="1"/>
  <c r="T759" i="1"/>
  <c r="P759" i="1"/>
  <c r="J759" i="1"/>
  <c r="G759" i="1"/>
  <c r="F759" i="1"/>
  <c r="B759" i="1"/>
  <c r="W758" i="1"/>
  <c r="T758" i="1"/>
  <c r="P758" i="1"/>
  <c r="J758" i="1"/>
  <c r="G758" i="1"/>
  <c r="F758" i="1"/>
  <c r="B758" i="1"/>
  <c r="W757" i="1"/>
  <c r="T757" i="1"/>
  <c r="P757" i="1"/>
  <c r="J757" i="1"/>
  <c r="G757" i="1"/>
  <c r="F757" i="1"/>
  <c r="B757" i="1"/>
  <c r="W756" i="1"/>
  <c r="T756" i="1"/>
  <c r="P756" i="1"/>
  <c r="J756" i="1"/>
  <c r="G756" i="1"/>
  <c r="F756" i="1"/>
  <c r="B756" i="1"/>
  <c r="W755" i="1"/>
  <c r="T755" i="1"/>
  <c r="P755" i="1"/>
  <c r="J755" i="1"/>
  <c r="G755" i="1"/>
  <c r="F755" i="1"/>
  <c r="B755" i="1"/>
  <c r="W754" i="1"/>
  <c r="T754" i="1"/>
  <c r="P754" i="1"/>
  <c r="J754" i="1"/>
  <c r="G754" i="1"/>
  <c r="F754" i="1"/>
  <c r="B754" i="1"/>
  <c r="W753" i="1"/>
  <c r="T753" i="1"/>
  <c r="P753" i="1"/>
  <c r="J753" i="1"/>
  <c r="G753" i="1"/>
  <c r="F753" i="1"/>
  <c r="B753" i="1"/>
  <c r="W752" i="1"/>
  <c r="T752" i="1"/>
  <c r="P752" i="1"/>
  <c r="J752" i="1"/>
  <c r="G752" i="1"/>
  <c r="F752" i="1"/>
  <c r="B752" i="1"/>
  <c r="W751" i="1"/>
  <c r="T751" i="1"/>
  <c r="P751" i="1"/>
  <c r="J751" i="1"/>
  <c r="G751" i="1"/>
  <c r="F751" i="1"/>
  <c r="B751" i="1"/>
  <c r="W750" i="1"/>
  <c r="T750" i="1"/>
  <c r="P750" i="1"/>
  <c r="J750" i="1"/>
  <c r="G750" i="1"/>
  <c r="F750" i="1"/>
  <c r="B750" i="1"/>
  <c r="W749" i="1"/>
  <c r="T749" i="1"/>
  <c r="P749" i="1"/>
  <c r="J749" i="1"/>
  <c r="G749" i="1"/>
  <c r="F749" i="1"/>
  <c r="B749" i="1"/>
  <c r="W748" i="1"/>
  <c r="T748" i="1"/>
  <c r="P748" i="1"/>
  <c r="J748" i="1"/>
  <c r="G748" i="1"/>
  <c r="F748" i="1"/>
  <c r="B748" i="1"/>
  <c r="W747" i="1"/>
  <c r="T747" i="1"/>
  <c r="P747" i="1"/>
  <c r="J747" i="1"/>
  <c r="G747" i="1"/>
  <c r="F747" i="1"/>
  <c r="B747" i="1"/>
  <c r="W746" i="1"/>
  <c r="T746" i="1"/>
  <c r="P746" i="1"/>
  <c r="J746" i="1"/>
  <c r="G746" i="1"/>
  <c r="F746" i="1"/>
  <c r="B746" i="1"/>
  <c r="W745" i="1"/>
  <c r="T745" i="1"/>
  <c r="P745" i="1"/>
  <c r="J745" i="1"/>
  <c r="G745" i="1"/>
  <c r="F745" i="1"/>
  <c r="B745" i="1"/>
  <c r="W744" i="1"/>
  <c r="T744" i="1"/>
  <c r="P744" i="1"/>
  <c r="J744" i="1"/>
  <c r="G744" i="1"/>
  <c r="F744" i="1"/>
  <c r="B744" i="1"/>
  <c r="W743" i="1"/>
  <c r="T743" i="1"/>
  <c r="P743" i="1"/>
  <c r="J743" i="1"/>
  <c r="G743" i="1"/>
  <c r="F743" i="1"/>
  <c r="B743" i="1"/>
  <c r="W742" i="1"/>
  <c r="T742" i="1"/>
  <c r="P742" i="1"/>
  <c r="J742" i="1"/>
  <c r="G742" i="1"/>
  <c r="F742" i="1"/>
  <c r="B742" i="1"/>
  <c r="W741" i="1"/>
  <c r="T741" i="1"/>
  <c r="P741" i="1"/>
  <c r="J741" i="1"/>
  <c r="G741" i="1"/>
  <c r="F741" i="1"/>
  <c r="B741" i="1"/>
  <c r="W740" i="1"/>
  <c r="T740" i="1"/>
  <c r="P740" i="1"/>
  <c r="J740" i="1"/>
  <c r="G740" i="1"/>
  <c r="F740" i="1"/>
  <c r="B740" i="1"/>
  <c r="W739" i="1"/>
  <c r="T739" i="1"/>
  <c r="P739" i="1"/>
  <c r="J739" i="1"/>
  <c r="G739" i="1"/>
  <c r="F739" i="1"/>
  <c r="B739" i="1"/>
  <c r="W738" i="1"/>
  <c r="T738" i="1"/>
  <c r="P738" i="1"/>
  <c r="J738" i="1"/>
  <c r="G738" i="1"/>
  <c r="F738" i="1"/>
  <c r="B738" i="1"/>
  <c r="W737" i="1"/>
  <c r="T737" i="1"/>
  <c r="P737" i="1"/>
  <c r="J737" i="1"/>
  <c r="G737" i="1"/>
  <c r="F737" i="1"/>
  <c r="B737" i="1"/>
  <c r="W736" i="1"/>
  <c r="T736" i="1"/>
  <c r="P736" i="1"/>
  <c r="J736" i="1"/>
  <c r="G736" i="1"/>
  <c r="F736" i="1"/>
  <c r="B736" i="1"/>
  <c r="W735" i="1"/>
  <c r="T735" i="1"/>
  <c r="P735" i="1"/>
  <c r="J735" i="1"/>
  <c r="G735" i="1"/>
  <c r="F735" i="1"/>
  <c r="B735" i="1"/>
  <c r="W734" i="1"/>
  <c r="T734" i="1"/>
  <c r="P734" i="1"/>
  <c r="J734" i="1"/>
  <c r="G734" i="1"/>
  <c r="F734" i="1"/>
  <c r="B734" i="1"/>
  <c r="W733" i="1"/>
  <c r="T733" i="1"/>
  <c r="P733" i="1"/>
  <c r="J733" i="1"/>
  <c r="G733" i="1"/>
  <c r="F733" i="1"/>
  <c r="B733" i="1"/>
  <c r="W732" i="1"/>
  <c r="T732" i="1"/>
  <c r="P732" i="1"/>
  <c r="J732" i="1"/>
  <c r="G732" i="1"/>
  <c r="F732" i="1"/>
  <c r="B732" i="1"/>
  <c r="W731" i="1"/>
  <c r="T731" i="1"/>
  <c r="P731" i="1"/>
  <c r="J731" i="1"/>
  <c r="G731" i="1"/>
  <c r="F731" i="1"/>
  <c r="B731" i="1"/>
  <c r="W730" i="1"/>
  <c r="T730" i="1"/>
  <c r="P730" i="1"/>
  <c r="J730" i="1"/>
  <c r="G730" i="1"/>
  <c r="F730" i="1"/>
  <c r="B730" i="1"/>
  <c r="W729" i="1"/>
  <c r="T729" i="1"/>
  <c r="P729" i="1"/>
  <c r="J729" i="1"/>
  <c r="G729" i="1"/>
  <c r="F729" i="1"/>
  <c r="B729" i="1"/>
  <c r="W728" i="1"/>
  <c r="T728" i="1"/>
  <c r="P728" i="1"/>
  <c r="J728" i="1"/>
  <c r="G728" i="1"/>
  <c r="F728" i="1"/>
  <c r="B728" i="1"/>
  <c r="W727" i="1"/>
  <c r="T727" i="1"/>
  <c r="P727" i="1"/>
  <c r="J727" i="1"/>
  <c r="G727" i="1"/>
  <c r="F727" i="1"/>
  <c r="B727" i="1"/>
  <c r="W726" i="1"/>
  <c r="T726" i="1"/>
  <c r="P726" i="1"/>
  <c r="J726" i="1"/>
  <c r="G726" i="1"/>
  <c r="F726" i="1"/>
  <c r="B726" i="1"/>
  <c r="W725" i="1"/>
  <c r="T725" i="1"/>
  <c r="P725" i="1"/>
  <c r="J725" i="1"/>
  <c r="G725" i="1"/>
  <c r="F725" i="1"/>
  <c r="B725" i="1"/>
  <c r="W724" i="1"/>
  <c r="T724" i="1"/>
  <c r="P724" i="1"/>
  <c r="J724" i="1"/>
  <c r="G724" i="1"/>
  <c r="F724" i="1"/>
  <c r="B724" i="1"/>
  <c r="W723" i="1"/>
  <c r="T723" i="1"/>
  <c r="P723" i="1"/>
  <c r="J723" i="1"/>
  <c r="G723" i="1"/>
  <c r="F723" i="1"/>
  <c r="B723" i="1"/>
  <c r="W722" i="1"/>
  <c r="T722" i="1"/>
  <c r="P722" i="1"/>
  <c r="J722" i="1"/>
  <c r="G722" i="1"/>
  <c r="F722" i="1"/>
  <c r="B722" i="1"/>
  <c r="W721" i="1"/>
  <c r="T721" i="1"/>
  <c r="P721" i="1"/>
  <c r="J721" i="1"/>
  <c r="G721" i="1"/>
  <c r="F721" i="1"/>
  <c r="B721" i="1"/>
  <c r="W720" i="1"/>
  <c r="T720" i="1"/>
  <c r="P720" i="1"/>
  <c r="J720" i="1"/>
  <c r="G720" i="1"/>
  <c r="F720" i="1"/>
  <c r="B720" i="1"/>
  <c r="W719" i="1"/>
  <c r="T719" i="1"/>
  <c r="P719" i="1"/>
  <c r="J719" i="1"/>
  <c r="G719" i="1"/>
  <c r="F719" i="1"/>
  <c r="B719" i="1"/>
  <c r="W718" i="1"/>
  <c r="T718" i="1"/>
  <c r="P718" i="1"/>
  <c r="J718" i="1"/>
  <c r="G718" i="1"/>
  <c r="F718" i="1"/>
  <c r="B718" i="1"/>
  <c r="W717" i="1"/>
  <c r="T717" i="1"/>
  <c r="P717" i="1"/>
  <c r="J717" i="1"/>
  <c r="G717" i="1"/>
  <c r="F717" i="1"/>
  <c r="B717" i="1"/>
  <c r="W716" i="1"/>
  <c r="T716" i="1"/>
  <c r="P716" i="1"/>
  <c r="J716" i="1"/>
  <c r="G716" i="1"/>
  <c r="F716" i="1"/>
  <c r="B716" i="1"/>
  <c r="W715" i="1"/>
  <c r="T715" i="1"/>
  <c r="P715" i="1"/>
  <c r="J715" i="1"/>
  <c r="G715" i="1"/>
  <c r="F715" i="1"/>
  <c r="B715" i="1"/>
  <c r="W714" i="1"/>
  <c r="T714" i="1"/>
  <c r="P714" i="1"/>
  <c r="J714" i="1"/>
  <c r="G714" i="1"/>
  <c r="F714" i="1"/>
  <c r="B714" i="1"/>
  <c r="W713" i="1"/>
  <c r="T713" i="1"/>
  <c r="P713" i="1"/>
  <c r="J713" i="1"/>
  <c r="G713" i="1"/>
  <c r="F713" i="1"/>
  <c r="B713" i="1"/>
  <c r="W712" i="1"/>
  <c r="T712" i="1"/>
  <c r="P712" i="1"/>
  <c r="J712" i="1"/>
  <c r="G712" i="1"/>
  <c r="F712" i="1"/>
  <c r="B712" i="1"/>
  <c r="W711" i="1"/>
  <c r="T711" i="1"/>
  <c r="P711" i="1"/>
  <c r="J711" i="1"/>
  <c r="G711" i="1"/>
  <c r="F711" i="1"/>
  <c r="B711" i="1"/>
  <c r="W710" i="1"/>
  <c r="T710" i="1"/>
  <c r="P710" i="1"/>
  <c r="J710" i="1"/>
  <c r="G710" i="1"/>
  <c r="F710" i="1"/>
  <c r="B710" i="1"/>
  <c r="W709" i="1"/>
  <c r="T709" i="1"/>
  <c r="P709" i="1"/>
  <c r="J709" i="1"/>
  <c r="G709" i="1"/>
  <c r="F709" i="1"/>
  <c r="B709" i="1"/>
  <c r="W708" i="1"/>
  <c r="T708" i="1"/>
  <c r="P708" i="1"/>
  <c r="J708" i="1"/>
  <c r="G708" i="1"/>
  <c r="F708" i="1"/>
  <c r="B708" i="1"/>
  <c r="W707" i="1"/>
  <c r="T707" i="1"/>
  <c r="P707" i="1"/>
  <c r="J707" i="1"/>
  <c r="G707" i="1"/>
  <c r="F707" i="1"/>
  <c r="B707" i="1"/>
  <c r="W706" i="1"/>
  <c r="T706" i="1"/>
  <c r="P706" i="1"/>
  <c r="J706" i="1"/>
  <c r="G706" i="1"/>
  <c r="F706" i="1"/>
  <c r="B706" i="1"/>
  <c r="W705" i="1"/>
  <c r="T705" i="1"/>
  <c r="P705" i="1"/>
  <c r="J705" i="1"/>
  <c r="G705" i="1"/>
  <c r="F705" i="1"/>
  <c r="B705" i="1"/>
  <c r="W704" i="1"/>
  <c r="T704" i="1"/>
  <c r="P704" i="1"/>
  <c r="J704" i="1"/>
  <c r="G704" i="1"/>
  <c r="F704" i="1"/>
  <c r="B704" i="1"/>
  <c r="W703" i="1"/>
  <c r="T703" i="1"/>
  <c r="P703" i="1"/>
  <c r="J703" i="1"/>
  <c r="G703" i="1"/>
  <c r="F703" i="1"/>
  <c r="B703" i="1"/>
  <c r="W702" i="1"/>
  <c r="T702" i="1"/>
  <c r="P702" i="1"/>
  <c r="J702" i="1"/>
  <c r="G702" i="1"/>
  <c r="F702" i="1"/>
  <c r="B702" i="1"/>
  <c r="W701" i="1"/>
  <c r="T701" i="1"/>
  <c r="P701" i="1"/>
  <c r="J701" i="1"/>
  <c r="G701" i="1"/>
  <c r="F701" i="1"/>
  <c r="B701" i="1"/>
  <c r="W700" i="1"/>
  <c r="T700" i="1"/>
  <c r="P700" i="1"/>
  <c r="J700" i="1"/>
  <c r="G700" i="1"/>
  <c r="F700" i="1"/>
  <c r="B700" i="1"/>
  <c r="W699" i="1"/>
  <c r="T699" i="1"/>
  <c r="P699" i="1"/>
  <c r="J699" i="1"/>
  <c r="G699" i="1"/>
  <c r="F699" i="1"/>
  <c r="B699" i="1"/>
  <c r="W698" i="1"/>
  <c r="T698" i="1"/>
  <c r="P698" i="1"/>
  <c r="J698" i="1"/>
  <c r="G698" i="1"/>
  <c r="F698" i="1"/>
  <c r="B698" i="1"/>
  <c r="W697" i="1"/>
  <c r="T697" i="1"/>
  <c r="P697" i="1"/>
  <c r="J697" i="1"/>
  <c r="G697" i="1"/>
  <c r="F697" i="1"/>
  <c r="B697" i="1"/>
  <c r="W696" i="1"/>
  <c r="T696" i="1"/>
  <c r="P696" i="1"/>
  <c r="J696" i="1"/>
  <c r="G696" i="1"/>
  <c r="F696" i="1"/>
  <c r="B696" i="1"/>
  <c r="W695" i="1"/>
  <c r="T695" i="1"/>
  <c r="P695" i="1"/>
  <c r="J695" i="1"/>
  <c r="G695" i="1"/>
  <c r="F695" i="1"/>
  <c r="B695" i="1"/>
  <c r="W694" i="1"/>
  <c r="T694" i="1"/>
  <c r="P694" i="1"/>
  <c r="J694" i="1"/>
  <c r="G694" i="1"/>
  <c r="F694" i="1"/>
  <c r="B694" i="1"/>
  <c r="W693" i="1"/>
  <c r="T693" i="1"/>
  <c r="P693" i="1"/>
  <c r="J693" i="1"/>
  <c r="G693" i="1"/>
  <c r="F693" i="1"/>
  <c r="B693" i="1"/>
  <c r="W692" i="1"/>
  <c r="T692" i="1"/>
  <c r="P692" i="1"/>
  <c r="J692" i="1"/>
  <c r="G692" i="1"/>
  <c r="F692" i="1"/>
  <c r="B692" i="1"/>
  <c r="W691" i="1"/>
  <c r="T691" i="1"/>
  <c r="P691" i="1"/>
  <c r="J691" i="1"/>
  <c r="G691" i="1"/>
  <c r="F691" i="1"/>
  <c r="B691" i="1"/>
  <c r="W690" i="1"/>
  <c r="T690" i="1"/>
  <c r="P690" i="1"/>
  <c r="J690" i="1"/>
  <c r="G690" i="1"/>
  <c r="F690" i="1"/>
  <c r="B690" i="1"/>
  <c r="W689" i="1"/>
  <c r="T689" i="1"/>
  <c r="P689" i="1"/>
  <c r="J689" i="1"/>
  <c r="G689" i="1"/>
  <c r="F689" i="1"/>
  <c r="B689" i="1"/>
  <c r="W688" i="1"/>
  <c r="T688" i="1"/>
  <c r="P688" i="1"/>
  <c r="J688" i="1"/>
  <c r="G688" i="1"/>
  <c r="F688" i="1"/>
  <c r="B688" i="1"/>
  <c r="W687" i="1"/>
  <c r="T687" i="1"/>
  <c r="P687" i="1"/>
  <c r="J687" i="1"/>
  <c r="G687" i="1"/>
  <c r="F687" i="1"/>
  <c r="B687" i="1"/>
  <c r="W686" i="1"/>
  <c r="T686" i="1"/>
  <c r="P686" i="1"/>
  <c r="J686" i="1"/>
  <c r="G686" i="1"/>
  <c r="F686" i="1"/>
  <c r="B686" i="1"/>
  <c r="W685" i="1"/>
  <c r="T685" i="1"/>
  <c r="P685" i="1"/>
  <c r="J685" i="1"/>
  <c r="G685" i="1"/>
  <c r="F685" i="1"/>
  <c r="B685" i="1"/>
  <c r="W684" i="1"/>
  <c r="T684" i="1"/>
  <c r="P684" i="1"/>
  <c r="J684" i="1"/>
  <c r="G684" i="1"/>
  <c r="F684" i="1"/>
  <c r="B684" i="1"/>
  <c r="W683" i="1"/>
  <c r="T683" i="1"/>
  <c r="P683" i="1"/>
  <c r="J683" i="1"/>
  <c r="G683" i="1"/>
  <c r="F683" i="1"/>
  <c r="B683" i="1"/>
  <c r="W682" i="1"/>
  <c r="T682" i="1"/>
  <c r="P682" i="1"/>
  <c r="J682" i="1"/>
  <c r="G682" i="1"/>
  <c r="F682" i="1"/>
  <c r="B682" i="1"/>
  <c r="W681" i="1"/>
  <c r="T681" i="1"/>
  <c r="P681" i="1"/>
  <c r="J681" i="1"/>
  <c r="G681" i="1"/>
  <c r="F681" i="1"/>
  <c r="B681" i="1"/>
  <c r="W680" i="1"/>
  <c r="T680" i="1"/>
  <c r="P680" i="1"/>
  <c r="J680" i="1"/>
  <c r="G680" i="1"/>
  <c r="F680" i="1"/>
  <c r="B680" i="1"/>
  <c r="W679" i="1"/>
  <c r="T679" i="1"/>
  <c r="P679" i="1"/>
  <c r="J679" i="1"/>
  <c r="G679" i="1"/>
  <c r="F679" i="1"/>
  <c r="B679" i="1"/>
  <c r="W678" i="1"/>
  <c r="T678" i="1"/>
  <c r="P678" i="1"/>
  <c r="J678" i="1"/>
  <c r="G678" i="1"/>
  <c r="F678" i="1"/>
  <c r="B678" i="1"/>
  <c r="W677" i="1"/>
  <c r="T677" i="1"/>
  <c r="P677" i="1"/>
  <c r="J677" i="1"/>
  <c r="G677" i="1"/>
  <c r="F677" i="1"/>
  <c r="B677" i="1"/>
  <c r="W676" i="1"/>
  <c r="T676" i="1"/>
  <c r="P676" i="1"/>
  <c r="J676" i="1"/>
  <c r="G676" i="1"/>
  <c r="F676" i="1"/>
  <c r="B676" i="1"/>
  <c r="W675" i="1"/>
  <c r="T675" i="1"/>
  <c r="P675" i="1"/>
  <c r="J675" i="1"/>
  <c r="G675" i="1"/>
  <c r="F675" i="1"/>
  <c r="B675" i="1"/>
  <c r="W674" i="1"/>
  <c r="T674" i="1"/>
  <c r="P674" i="1"/>
  <c r="J674" i="1"/>
  <c r="G674" i="1"/>
  <c r="F674" i="1"/>
  <c r="B674" i="1"/>
  <c r="W673" i="1"/>
  <c r="T673" i="1"/>
  <c r="P673" i="1"/>
  <c r="J673" i="1"/>
  <c r="G673" i="1"/>
  <c r="F673" i="1"/>
  <c r="B673" i="1"/>
  <c r="W672" i="1"/>
  <c r="T672" i="1"/>
  <c r="P672" i="1"/>
  <c r="J672" i="1"/>
  <c r="G672" i="1"/>
  <c r="F672" i="1"/>
  <c r="B672" i="1"/>
  <c r="W671" i="1"/>
  <c r="T671" i="1"/>
  <c r="P671" i="1"/>
  <c r="J671" i="1"/>
  <c r="G671" i="1"/>
  <c r="F671" i="1"/>
  <c r="B671" i="1"/>
  <c r="W670" i="1"/>
  <c r="T670" i="1"/>
  <c r="P670" i="1"/>
  <c r="J670" i="1"/>
  <c r="G670" i="1"/>
  <c r="F670" i="1"/>
  <c r="B670" i="1"/>
  <c r="W669" i="1"/>
  <c r="T669" i="1"/>
  <c r="P669" i="1"/>
  <c r="J669" i="1"/>
  <c r="G669" i="1"/>
  <c r="F669" i="1"/>
  <c r="B669" i="1"/>
  <c r="W668" i="1"/>
  <c r="T668" i="1"/>
  <c r="P668" i="1"/>
  <c r="J668" i="1"/>
  <c r="G668" i="1"/>
  <c r="F668" i="1"/>
  <c r="B668" i="1"/>
  <c r="W667" i="1"/>
  <c r="T667" i="1"/>
  <c r="P667" i="1"/>
  <c r="J667" i="1"/>
  <c r="G667" i="1"/>
  <c r="F667" i="1"/>
  <c r="B667" i="1"/>
  <c r="W666" i="1"/>
  <c r="T666" i="1"/>
  <c r="P666" i="1"/>
  <c r="J666" i="1"/>
  <c r="G666" i="1"/>
  <c r="F666" i="1"/>
  <c r="B666" i="1"/>
  <c r="W665" i="1"/>
  <c r="T665" i="1"/>
  <c r="P665" i="1"/>
  <c r="J665" i="1"/>
  <c r="G665" i="1"/>
  <c r="F665" i="1"/>
  <c r="B665" i="1"/>
  <c r="W664" i="1"/>
  <c r="T664" i="1"/>
  <c r="P664" i="1"/>
  <c r="J664" i="1"/>
  <c r="G664" i="1"/>
  <c r="F664" i="1"/>
  <c r="B664" i="1"/>
  <c r="W663" i="1"/>
  <c r="T663" i="1"/>
  <c r="P663" i="1"/>
  <c r="J663" i="1"/>
  <c r="G663" i="1"/>
  <c r="F663" i="1"/>
  <c r="B663" i="1"/>
  <c r="W662" i="1"/>
  <c r="T662" i="1"/>
  <c r="P662" i="1"/>
  <c r="J662" i="1"/>
  <c r="G662" i="1"/>
  <c r="F662" i="1"/>
  <c r="B662" i="1"/>
  <c r="W661" i="1"/>
  <c r="T661" i="1"/>
  <c r="P661" i="1"/>
  <c r="J661" i="1"/>
  <c r="G661" i="1"/>
  <c r="F661" i="1"/>
  <c r="B661" i="1"/>
  <c r="W660" i="1"/>
  <c r="T660" i="1"/>
  <c r="P660" i="1"/>
  <c r="J660" i="1"/>
  <c r="G660" i="1"/>
  <c r="F660" i="1"/>
  <c r="B660" i="1"/>
  <c r="W659" i="1"/>
  <c r="T659" i="1"/>
  <c r="P659" i="1"/>
  <c r="J659" i="1"/>
  <c r="G659" i="1"/>
  <c r="F659" i="1"/>
  <c r="B659" i="1"/>
  <c r="W658" i="1"/>
  <c r="T658" i="1"/>
  <c r="P658" i="1"/>
  <c r="J658" i="1"/>
  <c r="G658" i="1"/>
  <c r="F658" i="1"/>
  <c r="B658" i="1"/>
  <c r="W657" i="1"/>
  <c r="T657" i="1"/>
  <c r="P657" i="1"/>
  <c r="J657" i="1"/>
  <c r="G657" i="1"/>
  <c r="F657" i="1"/>
  <c r="B657" i="1"/>
  <c r="W656" i="1"/>
  <c r="T656" i="1"/>
  <c r="P656" i="1"/>
  <c r="J656" i="1"/>
  <c r="G656" i="1"/>
  <c r="F656" i="1"/>
  <c r="B656" i="1"/>
  <c r="W655" i="1"/>
  <c r="T655" i="1"/>
  <c r="P655" i="1"/>
  <c r="J655" i="1"/>
  <c r="G655" i="1"/>
  <c r="F655" i="1"/>
  <c r="B655" i="1"/>
  <c r="W654" i="1"/>
  <c r="T654" i="1"/>
  <c r="P654" i="1"/>
  <c r="J654" i="1"/>
  <c r="G654" i="1"/>
  <c r="F654" i="1"/>
  <c r="B654" i="1"/>
  <c r="W653" i="1"/>
  <c r="T653" i="1"/>
  <c r="P653" i="1"/>
  <c r="J653" i="1"/>
  <c r="G653" i="1"/>
  <c r="F653" i="1"/>
  <c r="B653" i="1"/>
  <c r="W652" i="1"/>
  <c r="T652" i="1"/>
  <c r="P652" i="1"/>
  <c r="J652" i="1"/>
  <c r="G652" i="1"/>
  <c r="F652" i="1"/>
  <c r="B652" i="1"/>
  <c r="W651" i="1"/>
  <c r="T651" i="1"/>
  <c r="P651" i="1"/>
  <c r="J651" i="1"/>
  <c r="G651" i="1"/>
  <c r="F651" i="1"/>
  <c r="B651" i="1"/>
  <c r="W650" i="1"/>
  <c r="T650" i="1"/>
  <c r="P650" i="1"/>
  <c r="J650" i="1"/>
  <c r="G650" i="1"/>
  <c r="F650" i="1"/>
  <c r="B650" i="1"/>
  <c r="W649" i="1"/>
  <c r="T649" i="1"/>
  <c r="P649" i="1"/>
  <c r="J649" i="1"/>
  <c r="G649" i="1"/>
  <c r="F649" i="1"/>
  <c r="B649" i="1"/>
  <c r="W648" i="1"/>
  <c r="T648" i="1"/>
  <c r="P648" i="1"/>
  <c r="J648" i="1"/>
  <c r="G648" i="1"/>
  <c r="F648" i="1"/>
  <c r="B648" i="1"/>
  <c r="W647" i="1"/>
  <c r="T647" i="1"/>
  <c r="P647" i="1"/>
  <c r="J647" i="1"/>
  <c r="G647" i="1"/>
  <c r="F647" i="1"/>
  <c r="B647" i="1"/>
  <c r="W646" i="1"/>
  <c r="T646" i="1"/>
  <c r="P646" i="1"/>
  <c r="J646" i="1"/>
  <c r="G646" i="1"/>
  <c r="F646" i="1"/>
  <c r="B646" i="1"/>
  <c r="W645" i="1"/>
  <c r="T645" i="1"/>
  <c r="P645" i="1"/>
  <c r="J645" i="1"/>
  <c r="G645" i="1"/>
  <c r="F645" i="1"/>
  <c r="B645" i="1"/>
  <c r="W644" i="1"/>
  <c r="T644" i="1"/>
  <c r="P644" i="1"/>
  <c r="J644" i="1"/>
  <c r="G644" i="1"/>
  <c r="F644" i="1"/>
  <c r="B644" i="1"/>
  <c r="W643" i="1"/>
  <c r="T643" i="1"/>
  <c r="P643" i="1"/>
  <c r="J643" i="1"/>
  <c r="G643" i="1"/>
  <c r="F643" i="1"/>
  <c r="B643" i="1"/>
  <c r="W642" i="1"/>
  <c r="T642" i="1"/>
  <c r="P642" i="1"/>
  <c r="J642" i="1"/>
  <c r="G642" i="1"/>
  <c r="F642" i="1"/>
  <c r="B642" i="1"/>
  <c r="W641" i="1"/>
  <c r="T641" i="1"/>
  <c r="P641" i="1"/>
  <c r="J641" i="1"/>
  <c r="G641" i="1"/>
  <c r="F641" i="1"/>
  <c r="B641" i="1"/>
  <c r="W640" i="1"/>
  <c r="T640" i="1"/>
  <c r="P640" i="1"/>
  <c r="J640" i="1"/>
  <c r="G640" i="1"/>
  <c r="F640" i="1"/>
  <c r="B640" i="1"/>
  <c r="W639" i="1"/>
  <c r="T639" i="1"/>
  <c r="P639" i="1"/>
  <c r="J639" i="1"/>
  <c r="G639" i="1"/>
  <c r="F639" i="1"/>
  <c r="B639" i="1"/>
  <c r="W638" i="1"/>
  <c r="T638" i="1"/>
  <c r="P638" i="1"/>
  <c r="J638" i="1"/>
  <c r="G638" i="1"/>
  <c r="F638" i="1"/>
  <c r="B638" i="1"/>
  <c r="W637" i="1"/>
  <c r="T637" i="1"/>
  <c r="P637" i="1"/>
  <c r="J637" i="1"/>
  <c r="G637" i="1"/>
  <c r="F637" i="1"/>
  <c r="B637" i="1"/>
  <c r="W636" i="1"/>
  <c r="T636" i="1"/>
  <c r="P636" i="1"/>
  <c r="J636" i="1"/>
  <c r="G636" i="1"/>
  <c r="F636" i="1"/>
  <c r="B636" i="1"/>
  <c r="W635" i="1"/>
  <c r="T635" i="1"/>
  <c r="P635" i="1"/>
  <c r="J635" i="1"/>
  <c r="G635" i="1"/>
  <c r="F635" i="1"/>
  <c r="B635" i="1"/>
  <c r="W634" i="1"/>
  <c r="T634" i="1"/>
  <c r="P634" i="1"/>
  <c r="J634" i="1"/>
  <c r="G634" i="1"/>
  <c r="F634" i="1"/>
  <c r="B634" i="1"/>
  <c r="W633" i="1"/>
  <c r="T633" i="1"/>
  <c r="P633" i="1"/>
  <c r="J633" i="1"/>
  <c r="G633" i="1"/>
  <c r="F633" i="1"/>
  <c r="B633" i="1"/>
  <c r="W632" i="1"/>
  <c r="T632" i="1"/>
  <c r="P632" i="1"/>
  <c r="J632" i="1"/>
  <c r="G632" i="1"/>
  <c r="F632" i="1"/>
  <c r="B632" i="1"/>
  <c r="W631" i="1"/>
  <c r="T631" i="1"/>
  <c r="P631" i="1"/>
  <c r="J631" i="1"/>
  <c r="G631" i="1"/>
  <c r="F631" i="1"/>
  <c r="B631" i="1"/>
  <c r="W630" i="1"/>
  <c r="T630" i="1"/>
  <c r="P630" i="1"/>
  <c r="J630" i="1"/>
  <c r="G630" i="1"/>
  <c r="F630" i="1"/>
  <c r="B630" i="1"/>
  <c r="W629" i="1"/>
  <c r="T629" i="1"/>
  <c r="P629" i="1"/>
  <c r="J629" i="1"/>
  <c r="G629" i="1"/>
  <c r="F629" i="1"/>
  <c r="B629" i="1"/>
  <c r="W628" i="1"/>
  <c r="T628" i="1"/>
  <c r="P628" i="1"/>
  <c r="J628" i="1"/>
  <c r="G628" i="1"/>
  <c r="F628" i="1"/>
  <c r="B628" i="1"/>
  <c r="W627" i="1"/>
  <c r="T627" i="1"/>
  <c r="P627" i="1"/>
  <c r="J627" i="1"/>
  <c r="G627" i="1"/>
  <c r="F627" i="1"/>
  <c r="B627" i="1"/>
  <c r="W626" i="1"/>
  <c r="T626" i="1"/>
  <c r="P626" i="1"/>
  <c r="J626" i="1"/>
  <c r="G626" i="1"/>
  <c r="F626" i="1"/>
  <c r="B626" i="1"/>
  <c r="W625" i="1"/>
  <c r="T625" i="1"/>
  <c r="P625" i="1"/>
  <c r="J625" i="1"/>
  <c r="G625" i="1"/>
  <c r="F625" i="1"/>
  <c r="B625" i="1"/>
  <c r="W624" i="1"/>
  <c r="T624" i="1"/>
  <c r="P624" i="1"/>
  <c r="J624" i="1"/>
  <c r="G624" i="1"/>
  <c r="F624" i="1"/>
  <c r="B624" i="1"/>
  <c r="W623" i="1"/>
  <c r="T623" i="1"/>
  <c r="P623" i="1"/>
  <c r="J623" i="1"/>
  <c r="G623" i="1"/>
  <c r="F623" i="1"/>
  <c r="B623" i="1"/>
  <c r="W622" i="1"/>
  <c r="T622" i="1"/>
  <c r="P622" i="1"/>
  <c r="J622" i="1"/>
  <c r="G622" i="1"/>
  <c r="F622" i="1"/>
  <c r="B622" i="1"/>
  <c r="W621" i="1"/>
  <c r="T621" i="1"/>
  <c r="P621" i="1"/>
  <c r="J621" i="1"/>
  <c r="G621" i="1"/>
  <c r="F621" i="1"/>
  <c r="B621" i="1"/>
  <c r="W620" i="1"/>
  <c r="T620" i="1"/>
  <c r="P620" i="1"/>
  <c r="J620" i="1"/>
  <c r="G620" i="1"/>
  <c r="F620" i="1"/>
  <c r="B620" i="1"/>
  <c r="W619" i="1"/>
  <c r="T619" i="1"/>
  <c r="P619" i="1"/>
  <c r="J619" i="1"/>
  <c r="G619" i="1"/>
  <c r="F619" i="1"/>
  <c r="B619" i="1"/>
  <c r="W618" i="1"/>
  <c r="T618" i="1"/>
  <c r="P618" i="1"/>
  <c r="J618" i="1"/>
  <c r="G618" i="1"/>
  <c r="F618" i="1"/>
  <c r="B618" i="1"/>
  <c r="W617" i="1"/>
  <c r="T617" i="1"/>
  <c r="P617" i="1"/>
  <c r="J617" i="1"/>
  <c r="G617" i="1"/>
  <c r="F617" i="1"/>
  <c r="B617" i="1"/>
  <c r="W616" i="1"/>
  <c r="T616" i="1"/>
  <c r="P616" i="1"/>
  <c r="J616" i="1"/>
  <c r="G616" i="1"/>
  <c r="F616" i="1"/>
  <c r="B616" i="1"/>
  <c r="W615" i="1"/>
  <c r="T615" i="1"/>
  <c r="P615" i="1"/>
  <c r="J615" i="1"/>
  <c r="G615" i="1"/>
  <c r="F615" i="1"/>
  <c r="B615" i="1"/>
  <c r="W614" i="1"/>
  <c r="T614" i="1"/>
  <c r="P614" i="1"/>
  <c r="J614" i="1"/>
  <c r="G614" i="1"/>
  <c r="F614" i="1"/>
  <c r="B614" i="1"/>
  <c r="W613" i="1"/>
  <c r="T613" i="1"/>
  <c r="P613" i="1"/>
  <c r="J613" i="1"/>
  <c r="G613" i="1"/>
  <c r="F613" i="1"/>
  <c r="B613" i="1"/>
  <c r="W612" i="1"/>
  <c r="T612" i="1"/>
  <c r="P612" i="1"/>
  <c r="J612" i="1"/>
  <c r="G612" i="1"/>
  <c r="F612" i="1"/>
  <c r="B612" i="1"/>
  <c r="W611" i="1"/>
  <c r="T611" i="1"/>
  <c r="P611" i="1"/>
  <c r="J611" i="1"/>
  <c r="G611" i="1"/>
  <c r="F611" i="1"/>
  <c r="B611" i="1"/>
  <c r="W610" i="1"/>
  <c r="T610" i="1"/>
  <c r="P610" i="1"/>
  <c r="J610" i="1"/>
  <c r="G610" i="1"/>
  <c r="F610" i="1"/>
  <c r="B610" i="1"/>
  <c r="W609" i="1"/>
  <c r="T609" i="1"/>
  <c r="P609" i="1"/>
  <c r="J609" i="1"/>
  <c r="G609" i="1"/>
  <c r="F609" i="1"/>
  <c r="B609" i="1"/>
  <c r="W608" i="1"/>
  <c r="T608" i="1"/>
  <c r="P608" i="1"/>
  <c r="J608" i="1"/>
  <c r="G608" i="1"/>
  <c r="F608" i="1"/>
  <c r="B608" i="1"/>
  <c r="W607" i="1"/>
  <c r="T607" i="1"/>
  <c r="P607" i="1"/>
  <c r="J607" i="1"/>
  <c r="G607" i="1"/>
  <c r="F607" i="1"/>
  <c r="B607" i="1"/>
  <c r="W606" i="1"/>
  <c r="T606" i="1"/>
  <c r="P606" i="1"/>
  <c r="J606" i="1"/>
  <c r="G606" i="1"/>
  <c r="F606" i="1"/>
  <c r="B606" i="1"/>
  <c r="W605" i="1"/>
  <c r="T605" i="1"/>
  <c r="P605" i="1"/>
  <c r="J605" i="1"/>
  <c r="G605" i="1"/>
  <c r="F605" i="1"/>
  <c r="B605" i="1"/>
  <c r="W604" i="1"/>
  <c r="T604" i="1"/>
  <c r="P604" i="1"/>
  <c r="J604" i="1"/>
  <c r="G604" i="1"/>
  <c r="F604" i="1"/>
  <c r="B604" i="1"/>
  <c r="W603" i="1"/>
  <c r="T603" i="1"/>
  <c r="P603" i="1"/>
  <c r="J603" i="1"/>
  <c r="G603" i="1"/>
  <c r="F603" i="1"/>
  <c r="B603" i="1"/>
  <c r="W602" i="1"/>
  <c r="T602" i="1"/>
  <c r="P602" i="1"/>
  <c r="J602" i="1"/>
  <c r="G602" i="1"/>
  <c r="F602" i="1"/>
  <c r="B602" i="1"/>
  <c r="W601" i="1"/>
  <c r="T601" i="1"/>
  <c r="P601" i="1"/>
  <c r="J601" i="1"/>
  <c r="G601" i="1"/>
  <c r="F601" i="1"/>
  <c r="B601" i="1"/>
  <c r="W600" i="1"/>
  <c r="T600" i="1"/>
  <c r="P600" i="1"/>
  <c r="J600" i="1"/>
  <c r="G600" i="1"/>
  <c r="F600" i="1"/>
  <c r="B600" i="1"/>
  <c r="W599" i="1"/>
  <c r="T599" i="1"/>
  <c r="P599" i="1"/>
  <c r="J599" i="1"/>
  <c r="G599" i="1"/>
  <c r="F599" i="1"/>
  <c r="B599" i="1"/>
  <c r="W598" i="1"/>
  <c r="T598" i="1"/>
  <c r="P598" i="1"/>
  <c r="J598" i="1"/>
  <c r="G598" i="1"/>
  <c r="F598" i="1"/>
  <c r="B598" i="1"/>
  <c r="W597" i="1"/>
  <c r="T597" i="1"/>
  <c r="P597" i="1"/>
  <c r="J597" i="1"/>
  <c r="G597" i="1"/>
  <c r="F597" i="1"/>
  <c r="B597" i="1"/>
  <c r="W596" i="1"/>
  <c r="T596" i="1"/>
  <c r="P596" i="1"/>
  <c r="J596" i="1"/>
  <c r="G596" i="1"/>
  <c r="F596" i="1"/>
  <c r="B596" i="1"/>
  <c r="W595" i="1"/>
  <c r="T595" i="1"/>
  <c r="P595" i="1"/>
  <c r="J595" i="1"/>
  <c r="G595" i="1"/>
  <c r="F595" i="1"/>
  <c r="B595" i="1"/>
  <c r="W594" i="1"/>
  <c r="T594" i="1"/>
  <c r="P594" i="1"/>
  <c r="J594" i="1"/>
  <c r="G594" i="1"/>
  <c r="F594" i="1"/>
  <c r="B594" i="1"/>
  <c r="W593" i="1"/>
  <c r="T593" i="1"/>
  <c r="P593" i="1"/>
  <c r="J593" i="1"/>
  <c r="G593" i="1"/>
  <c r="F593" i="1"/>
  <c r="B593" i="1"/>
  <c r="W592" i="1"/>
  <c r="T592" i="1"/>
  <c r="P592" i="1"/>
  <c r="J592" i="1"/>
  <c r="G592" i="1"/>
  <c r="F592" i="1"/>
  <c r="B592" i="1"/>
  <c r="W591" i="1"/>
  <c r="T591" i="1"/>
  <c r="P591" i="1"/>
  <c r="J591" i="1"/>
  <c r="G591" i="1"/>
  <c r="F591" i="1"/>
  <c r="B591" i="1"/>
  <c r="W590" i="1"/>
  <c r="T590" i="1"/>
  <c r="P590" i="1"/>
  <c r="J590" i="1"/>
  <c r="G590" i="1"/>
  <c r="F590" i="1"/>
  <c r="B590" i="1"/>
  <c r="W589" i="1"/>
  <c r="T589" i="1"/>
  <c r="P589" i="1"/>
  <c r="J589" i="1"/>
  <c r="G589" i="1"/>
  <c r="F589" i="1"/>
  <c r="B589" i="1"/>
  <c r="W588" i="1"/>
  <c r="T588" i="1"/>
  <c r="P588" i="1"/>
  <c r="J588" i="1"/>
  <c r="G588" i="1"/>
  <c r="F588" i="1"/>
  <c r="B588" i="1"/>
  <c r="W587" i="1"/>
  <c r="T587" i="1"/>
  <c r="P587" i="1"/>
  <c r="J587" i="1"/>
  <c r="G587" i="1"/>
  <c r="F587" i="1"/>
  <c r="B587" i="1"/>
  <c r="W586" i="1"/>
  <c r="T586" i="1"/>
  <c r="P586" i="1"/>
  <c r="J586" i="1"/>
  <c r="G586" i="1"/>
  <c r="F586" i="1"/>
  <c r="B586" i="1"/>
  <c r="W585" i="1"/>
  <c r="T585" i="1"/>
  <c r="P585" i="1"/>
  <c r="J585" i="1"/>
  <c r="G585" i="1"/>
  <c r="F585" i="1"/>
  <c r="B585" i="1"/>
  <c r="W584" i="1"/>
  <c r="T584" i="1"/>
  <c r="P584" i="1"/>
  <c r="J584" i="1"/>
  <c r="G584" i="1"/>
  <c r="F584" i="1"/>
  <c r="B584" i="1"/>
  <c r="W583" i="1"/>
  <c r="T583" i="1"/>
  <c r="P583" i="1"/>
  <c r="J583" i="1"/>
  <c r="G583" i="1"/>
  <c r="F583" i="1"/>
  <c r="B583" i="1"/>
  <c r="W582" i="1"/>
  <c r="T582" i="1"/>
  <c r="P582" i="1"/>
  <c r="J582" i="1"/>
  <c r="G582" i="1"/>
  <c r="F582" i="1"/>
  <c r="B582" i="1"/>
  <c r="W581" i="1"/>
  <c r="T581" i="1"/>
  <c r="P581" i="1"/>
  <c r="J581" i="1"/>
  <c r="G581" i="1"/>
  <c r="F581" i="1"/>
  <c r="B581" i="1"/>
  <c r="W580" i="1"/>
  <c r="T580" i="1"/>
  <c r="P580" i="1"/>
  <c r="J580" i="1"/>
  <c r="G580" i="1"/>
  <c r="F580" i="1"/>
  <c r="B580" i="1"/>
  <c r="W579" i="1"/>
  <c r="T579" i="1"/>
  <c r="P579" i="1"/>
  <c r="J579" i="1"/>
  <c r="G579" i="1"/>
  <c r="F579" i="1"/>
  <c r="B579" i="1"/>
  <c r="W578" i="1"/>
  <c r="T578" i="1"/>
  <c r="P578" i="1"/>
  <c r="J578" i="1"/>
  <c r="G578" i="1"/>
  <c r="F578" i="1"/>
  <c r="B578" i="1"/>
  <c r="W577" i="1"/>
  <c r="T577" i="1"/>
  <c r="P577" i="1"/>
  <c r="J577" i="1"/>
  <c r="G577" i="1"/>
  <c r="F577" i="1"/>
  <c r="B577" i="1"/>
  <c r="W576" i="1"/>
  <c r="T576" i="1"/>
  <c r="P576" i="1"/>
  <c r="J576" i="1"/>
  <c r="G576" i="1"/>
  <c r="F576" i="1"/>
  <c r="B576" i="1"/>
  <c r="W575" i="1"/>
  <c r="T575" i="1"/>
  <c r="P575" i="1"/>
  <c r="J575" i="1"/>
  <c r="G575" i="1"/>
  <c r="F575" i="1"/>
  <c r="B575" i="1"/>
  <c r="W574" i="1"/>
  <c r="T574" i="1"/>
  <c r="P574" i="1"/>
  <c r="J574" i="1"/>
  <c r="G574" i="1"/>
  <c r="F574" i="1"/>
  <c r="B574" i="1"/>
  <c r="W573" i="1"/>
  <c r="T573" i="1"/>
  <c r="P573" i="1"/>
  <c r="J573" i="1"/>
  <c r="G573" i="1"/>
  <c r="F573" i="1"/>
  <c r="B573" i="1"/>
  <c r="W572" i="1"/>
  <c r="T572" i="1"/>
  <c r="P572" i="1"/>
  <c r="J572" i="1"/>
  <c r="G572" i="1"/>
  <c r="F572" i="1"/>
  <c r="B572" i="1"/>
  <c r="W571" i="1"/>
  <c r="T571" i="1"/>
  <c r="P571" i="1"/>
  <c r="J571" i="1"/>
  <c r="G571" i="1"/>
  <c r="F571" i="1"/>
  <c r="B571" i="1"/>
  <c r="W570" i="1"/>
  <c r="T570" i="1"/>
  <c r="P570" i="1"/>
  <c r="J570" i="1"/>
  <c r="G570" i="1"/>
  <c r="F570" i="1"/>
  <c r="B570" i="1"/>
  <c r="W569" i="1"/>
  <c r="T569" i="1"/>
  <c r="P569" i="1"/>
  <c r="J569" i="1"/>
  <c r="G569" i="1"/>
  <c r="F569" i="1"/>
  <c r="B569" i="1"/>
  <c r="W568" i="1"/>
  <c r="T568" i="1"/>
  <c r="P568" i="1"/>
  <c r="J568" i="1"/>
  <c r="G568" i="1"/>
  <c r="F568" i="1"/>
  <c r="B568" i="1"/>
  <c r="W567" i="1"/>
  <c r="T567" i="1"/>
  <c r="P567" i="1"/>
  <c r="J567" i="1"/>
  <c r="G567" i="1"/>
  <c r="F567" i="1"/>
  <c r="B567" i="1"/>
  <c r="W566" i="1"/>
  <c r="T566" i="1"/>
  <c r="P566" i="1"/>
  <c r="J566" i="1"/>
  <c r="G566" i="1"/>
  <c r="F566" i="1"/>
  <c r="B566" i="1"/>
  <c r="W565" i="1"/>
  <c r="T565" i="1"/>
  <c r="P565" i="1"/>
  <c r="J565" i="1"/>
  <c r="G565" i="1"/>
  <c r="F565" i="1"/>
  <c r="B565" i="1"/>
  <c r="W564" i="1"/>
  <c r="T564" i="1"/>
  <c r="P564" i="1"/>
  <c r="J564" i="1"/>
  <c r="G564" i="1"/>
  <c r="F564" i="1"/>
  <c r="B564" i="1"/>
  <c r="W563" i="1"/>
  <c r="T563" i="1"/>
  <c r="P563" i="1"/>
  <c r="J563" i="1"/>
  <c r="G563" i="1"/>
  <c r="F563" i="1"/>
  <c r="B563" i="1"/>
  <c r="W562" i="1"/>
  <c r="T562" i="1"/>
  <c r="P562" i="1"/>
  <c r="J562" i="1"/>
  <c r="G562" i="1"/>
  <c r="F562" i="1"/>
  <c r="B562" i="1"/>
  <c r="W561" i="1"/>
  <c r="T561" i="1"/>
  <c r="P561" i="1"/>
  <c r="J561" i="1"/>
  <c r="G561" i="1"/>
  <c r="F561" i="1"/>
  <c r="B561" i="1"/>
  <c r="W560" i="1"/>
  <c r="T560" i="1"/>
  <c r="P560" i="1"/>
  <c r="J560" i="1"/>
  <c r="G560" i="1"/>
  <c r="F560" i="1"/>
  <c r="B560" i="1"/>
  <c r="W559" i="1"/>
  <c r="T559" i="1"/>
  <c r="P559" i="1"/>
  <c r="J559" i="1"/>
  <c r="G559" i="1"/>
  <c r="F559" i="1"/>
  <c r="B559" i="1"/>
  <c r="W558" i="1"/>
  <c r="T558" i="1"/>
  <c r="P558" i="1"/>
  <c r="J558" i="1"/>
  <c r="G558" i="1"/>
  <c r="F558" i="1"/>
  <c r="B558" i="1"/>
  <c r="W557" i="1"/>
  <c r="T557" i="1"/>
  <c r="P557" i="1"/>
  <c r="J557" i="1"/>
  <c r="G557" i="1"/>
  <c r="F557" i="1"/>
  <c r="B557" i="1"/>
  <c r="W556" i="1"/>
  <c r="T556" i="1"/>
  <c r="P556" i="1"/>
  <c r="J556" i="1"/>
  <c r="G556" i="1"/>
  <c r="F556" i="1"/>
  <c r="B556" i="1"/>
  <c r="W555" i="1"/>
  <c r="T555" i="1"/>
  <c r="P555" i="1"/>
  <c r="J555" i="1"/>
  <c r="G555" i="1"/>
  <c r="F555" i="1"/>
  <c r="B555" i="1"/>
  <c r="W554" i="1"/>
  <c r="T554" i="1"/>
  <c r="P554" i="1"/>
  <c r="J554" i="1"/>
  <c r="G554" i="1"/>
  <c r="F554" i="1"/>
  <c r="B554" i="1"/>
  <c r="W553" i="1"/>
  <c r="T553" i="1"/>
  <c r="P553" i="1"/>
  <c r="J553" i="1"/>
  <c r="G553" i="1"/>
  <c r="F553" i="1"/>
  <c r="B553" i="1"/>
  <c r="W552" i="1"/>
  <c r="T552" i="1"/>
  <c r="P552" i="1"/>
  <c r="J552" i="1"/>
  <c r="G552" i="1"/>
  <c r="F552" i="1"/>
  <c r="B552" i="1"/>
  <c r="W551" i="1"/>
  <c r="T551" i="1"/>
  <c r="P551" i="1"/>
  <c r="J551" i="1"/>
  <c r="G551" i="1"/>
  <c r="F551" i="1"/>
  <c r="B551" i="1"/>
  <c r="W550" i="1"/>
  <c r="T550" i="1"/>
  <c r="P550" i="1"/>
  <c r="J550" i="1"/>
  <c r="G550" i="1"/>
  <c r="F550" i="1"/>
  <c r="B550" i="1"/>
  <c r="W549" i="1"/>
  <c r="T549" i="1"/>
  <c r="P549" i="1"/>
  <c r="J549" i="1"/>
  <c r="G549" i="1"/>
  <c r="F549" i="1"/>
  <c r="B549" i="1"/>
  <c r="W548" i="1"/>
  <c r="T548" i="1"/>
  <c r="P548" i="1"/>
  <c r="J548" i="1"/>
  <c r="G548" i="1"/>
  <c r="F548" i="1"/>
  <c r="B548" i="1"/>
  <c r="W547" i="1"/>
  <c r="T547" i="1"/>
  <c r="P547" i="1"/>
  <c r="J547" i="1"/>
  <c r="G547" i="1"/>
  <c r="F547" i="1"/>
  <c r="B547" i="1"/>
  <c r="W546" i="1"/>
  <c r="T546" i="1"/>
  <c r="P546" i="1"/>
  <c r="J546" i="1"/>
  <c r="G546" i="1"/>
  <c r="F546" i="1"/>
  <c r="B546" i="1"/>
  <c r="W545" i="1"/>
  <c r="T545" i="1"/>
  <c r="P545" i="1"/>
  <c r="J545" i="1"/>
  <c r="G545" i="1"/>
  <c r="F545" i="1"/>
  <c r="B545" i="1"/>
  <c r="W544" i="1"/>
  <c r="T544" i="1"/>
  <c r="P544" i="1"/>
  <c r="J544" i="1"/>
  <c r="G544" i="1"/>
  <c r="F544" i="1"/>
  <c r="B544" i="1"/>
  <c r="W543" i="1"/>
  <c r="T543" i="1"/>
  <c r="P543" i="1"/>
  <c r="J543" i="1"/>
  <c r="G543" i="1"/>
  <c r="F543" i="1"/>
  <c r="B543" i="1"/>
  <c r="W542" i="1"/>
  <c r="T542" i="1"/>
  <c r="P542" i="1"/>
  <c r="J542" i="1"/>
  <c r="G542" i="1"/>
  <c r="F542" i="1"/>
  <c r="B542" i="1"/>
  <c r="W541" i="1"/>
  <c r="T541" i="1"/>
  <c r="P541" i="1"/>
  <c r="J541" i="1"/>
  <c r="G541" i="1"/>
  <c r="F541" i="1"/>
  <c r="B541" i="1"/>
  <c r="W540" i="1"/>
  <c r="T540" i="1"/>
  <c r="P540" i="1"/>
  <c r="J540" i="1"/>
  <c r="G540" i="1"/>
  <c r="F540" i="1"/>
  <c r="B540" i="1"/>
  <c r="W539" i="1"/>
  <c r="T539" i="1"/>
  <c r="P539" i="1"/>
  <c r="J539" i="1"/>
  <c r="G539" i="1"/>
  <c r="F539" i="1"/>
  <c r="B539" i="1"/>
  <c r="W538" i="1"/>
  <c r="T538" i="1"/>
  <c r="P538" i="1"/>
  <c r="J538" i="1"/>
  <c r="G538" i="1"/>
  <c r="F538" i="1"/>
  <c r="B538" i="1"/>
  <c r="W537" i="1"/>
  <c r="T537" i="1"/>
  <c r="P537" i="1"/>
  <c r="J537" i="1"/>
  <c r="G537" i="1"/>
  <c r="F537" i="1"/>
  <c r="B537" i="1"/>
  <c r="W536" i="1"/>
  <c r="T536" i="1"/>
  <c r="P536" i="1"/>
  <c r="J536" i="1"/>
  <c r="G536" i="1"/>
  <c r="F536" i="1"/>
  <c r="B536" i="1"/>
  <c r="W535" i="1"/>
  <c r="T535" i="1"/>
  <c r="P535" i="1"/>
  <c r="J535" i="1"/>
  <c r="G535" i="1"/>
  <c r="F535" i="1"/>
  <c r="B535" i="1"/>
  <c r="W534" i="1"/>
  <c r="T534" i="1"/>
  <c r="P534" i="1"/>
  <c r="J534" i="1"/>
  <c r="G534" i="1"/>
  <c r="F534" i="1"/>
  <c r="B534" i="1"/>
  <c r="W533" i="1"/>
  <c r="T533" i="1"/>
  <c r="P533" i="1"/>
  <c r="J533" i="1"/>
  <c r="G533" i="1"/>
  <c r="F533" i="1"/>
  <c r="B533" i="1"/>
  <c r="W532" i="1"/>
  <c r="T532" i="1"/>
  <c r="P532" i="1"/>
  <c r="J532" i="1"/>
  <c r="G532" i="1"/>
  <c r="F532" i="1"/>
  <c r="B532" i="1"/>
  <c r="W531" i="1"/>
  <c r="T531" i="1"/>
  <c r="P531" i="1"/>
  <c r="J531" i="1"/>
  <c r="G531" i="1"/>
  <c r="F531" i="1"/>
  <c r="B531" i="1"/>
  <c r="W530" i="1"/>
  <c r="T530" i="1"/>
  <c r="P530" i="1"/>
  <c r="J530" i="1"/>
  <c r="G530" i="1"/>
  <c r="F530" i="1"/>
  <c r="B530" i="1"/>
  <c r="W529" i="1"/>
  <c r="T529" i="1"/>
  <c r="P529" i="1"/>
  <c r="J529" i="1"/>
  <c r="G529" i="1"/>
  <c r="F529" i="1"/>
  <c r="B529" i="1"/>
  <c r="W528" i="1"/>
  <c r="T528" i="1"/>
  <c r="P528" i="1"/>
  <c r="J528" i="1"/>
  <c r="G528" i="1"/>
  <c r="F528" i="1"/>
  <c r="B528" i="1"/>
  <c r="W527" i="1"/>
  <c r="T527" i="1"/>
  <c r="P527" i="1"/>
  <c r="J527" i="1"/>
  <c r="G527" i="1"/>
  <c r="F527" i="1"/>
  <c r="B527" i="1"/>
  <c r="W526" i="1"/>
  <c r="T526" i="1"/>
  <c r="P526" i="1"/>
  <c r="J526" i="1"/>
  <c r="G526" i="1"/>
  <c r="F526" i="1"/>
  <c r="B526" i="1"/>
  <c r="W525" i="1"/>
  <c r="T525" i="1"/>
  <c r="P525" i="1"/>
  <c r="J525" i="1"/>
  <c r="G525" i="1"/>
  <c r="F525" i="1"/>
  <c r="B525" i="1"/>
  <c r="W524" i="1"/>
  <c r="T524" i="1"/>
  <c r="P524" i="1"/>
  <c r="J524" i="1"/>
  <c r="G524" i="1"/>
  <c r="F524" i="1"/>
  <c r="B524" i="1"/>
  <c r="W523" i="1"/>
  <c r="T523" i="1"/>
  <c r="P523" i="1"/>
  <c r="J523" i="1"/>
  <c r="G523" i="1"/>
  <c r="F523" i="1"/>
  <c r="B523" i="1"/>
  <c r="W522" i="1"/>
  <c r="T522" i="1"/>
  <c r="P522" i="1"/>
  <c r="J522" i="1"/>
  <c r="G522" i="1"/>
  <c r="F522" i="1"/>
  <c r="B522" i="1"/>
  <c r="W521" i="1"/>
  <c r="T521" i="1"/>
  <c r="P521" i="1"/>
  <c r="J521" i="1"/>
  <c r="G521" i="1"/>
  <c r="F521" i="1"/>
  <c r="B521" i="1"/>
  <c r="W520" i="1"/>
  <c r="T520" i="1"/>
  <c r="P520" i="1"/>
  <c r="J520" i="1"/>
  <c r="G520" i="1"/>
  <c r="F520" i="1"/>
  <c r="B520" i="1"/>
  <c r="W519" i="1"/>
  <c r="T519" i="1"/>
  <c r="P519" i="1"/>
  <c r="J519" i="1"/>
  <c r="G519" i="1"/>
  <c r="F519" i="1"/>
  <c r="B519" i="1"/>
  <c r="W518" i="1"/>
  <c r="T518" i="1"/>
  <c r="P518" i="1"/>
  <c r="J518" i="1"/>
  <c r="G518" i="1"/>
  <c r="F518" i="1"/>
  <c r="B518" i="1"/>
  <c r="W517" i="1"/>
  <c r="T517" i="1"/>
  <c r="P517" i="1"/>
  <c r="J517" i="1"/>
  <c r="G517" i="1"/>
  <c r="F517" i="1"/>
  <c r="B517" i="1"/>
  <c r="W516" i="1"/>
  <c r="T516" i="1"/>
  <c r="P516" i="1"/>
  <c r="J516" i="1"/>
  <c r="G516" i="1"/>
  <c r="F516" i="1"/>
  <c r="B516" i="1"/>
  <c r="W515" i="1"/>
  <c r="T515" i="1"/>
  <c r="P515" i="1"/>
  <c r="J515" i="1"/>
  <c r="G515" i="1"/>
  <c r="F515" i="1"/>
  <c r="B515" i="1"/>
  <c r="W514" i="1"/>
  <c r="T514" i="1"/>
  <c r="P514" i="1"/>
  <c r="J514" i="1"/>
  <c r="G514" i="1"/>
  <c r="F514" i="1"/>
  <c r="B514" i="1"/>
  <c r="W513" i="1"/>
  <c r="T513" i="1"/>
  <c r="P513" i="1"/>
  <c r="J513" i="1"/>
  <c r="G513" i="1"/>
  <c r="F513" i="1"/>
  <c r="B513" i="1"/>
  <c r="W512" i="1"/>
  <c r="T512" i="1"/>
  <c r="P512" i="1"/>
  <c r="J512" i="1"/>
  <c r="G512" i="1"/>
  <c r="F512" i="1"/>
  <c r="B512" i="1"/>
  <c r="W511" i="1"/>
  <c r="T511" i="1"/>
  <c r="P511" i="1"/>
  <c r="J511" i="1"/>
  <c r="G511" i="1"/>
  <c r="F511" i="1"/>
  <c r="B511" i="1"/>
  <c r="W510" i="1"/>
  <c r="T510" i="1"/>
  <c r="P510" i="1"/>
  <c r="J510" i="1"/>
  <c r="G510" i="1"/>
  <c r="F510" i="1"/>
  <c r="B510" i="1"/>
  <c r="W509" i="1"/>
  <c r="T509" i="1"/>
  <c r="P509" i="1"/>
  <c r="J509" i="1"/>
  <c r="G509" i="1"/>
  <c r="F509" i="1"/>
  <c r="B509" i="1"/>
  <c r="W508" i="1"/>
  <c r="T508" i="1"/>
  <c r="P508" i="1"/>
  <c r="J508" i="1"/>
  <c r="G508" i="1"/>
  <c r="F508" i="1"/>
  <c r="B508" i="1"/>
  <c r="W507" i="1"/>
  <c r="T507" i="1"/>
  <c r="P507" i="1"/>
  <c r="J507" i="1"/>
  <c r="G507" i="1"/>
  <c r="F507" i="1"/>
  <c r="B507" i="1"/>
  <c r="W506" i="1"/>
  <c r="T506" i="1"/>
  <c r="P506" i="1"/>
  <c r="J506" i="1"/>
  <c r="G506" i="1"/>
  <c r="F506" i="1"/>
  <c r="B506" i="1"/>
  <c r="W505" i="1"/>
  <c r="T505" i="1"/>
  <c r="P505" i="1"/>
  <c r="J505" i="1"/>
  <c r="G505" i="1"/>
  <c r="F505" i="1"/>
  <c r="B505" i="1"/>
  <c r="W504" i="1"/>
  <c r="T504" i="1"/>
  <c r="P504" i="1"/>
  <c r="J504" i="1"/>
  <c r="G504" i="1"/>
  <c r="F504" i="1"/>
  <c r="B504" i="1"/>
  <c r="W503" i="1"/>
  <c r="T503" i="1"/>
  <c r="P503" i="1"/>
  <c r="J503" i="1"/>
  <c r="G503" i="1"/>
  <c r="F503" i="1"/>
  <c r="B503" i="1"/>
  <c r="W502" i="1"/>
  <c r="T502" i="1"/>
  <c r="P502" i="1"/>
  <c r="J502" i="1"/>
  <c r="G502" i="1"/>
  <c r="F502" i="1"/>
  <c r="B502" i="1"/>
  <c r="W501" i="1"/>
  <c r="T501" i="1"/>
  <c r="P501" i="1"/>
  <c r="J501" i="1"/>
  <c r="G501" i="1"/>
  <c r="F501" i="1"/>
  <c r="B501" i="1"/>
  <c r="W500" i="1"/>
  <c r="T500" i="1"/>
  <c r="P500" i="1"/>
  <c r="J500" i="1"/>
  <c r="G500" i="1"/>
  <c r="F500" i="1"/>
  <c r="B500" i="1"/>
  <c r="W499" i="1"/>
  <c r="T499" i="1"/>
  <c r="P499" i="1"/>
  <c r="J499" i="1"/>
  <c r="G499" i="1"/>
  <c r="F499" i="1"/>
  <c r="B499" i="1"/>
  <c r="W498" i="1"/>
  <c r="T498" i="1"/>
  <c r="P498" i="1"/>
  <c r="J498" i="1"/>
  <c r="G498" i="1"/>
  <c r="F498" i="1"/>
  <c r="B498" i="1"/>
  <c r="W497" i="1"/>
  <c r="T497" i="1"/>
  <c r="P497" i="1"/>
  <c r="J497" i="1"/>
  <c r="G497" i="1"/>
  <c r="F497" i="1"/>
  <c r="B497" i="1"/>
  <c r="W496" i="1"/>
  <c r="T496" i="1"/>
  <c r="P496" i="1"/>
  <c r="J496" i="1"/>
  <c r="G496" i="1"/>
  <c r="F496" i="1"/>
  <c r="B496" i="1"/>
  <c r="W495" i="1"/>
  <c r="T495" i="1"/>
  <c r="P495" i="1"/>
  <c r="J495" i="1"/>
  <c r="G495" i="1"/>
  <c r="F495" i="1"/>
  <c r="B495" i="1"/>
  <c r="W494" i="1"/>
  <c r="T494" i="1"/>
  <c r="P494" i="1"/>
  <c r="J494" i="1"/>
  <c r="G494" i="1"/>
  <c r="F494" i="1"/>
  <c r="B494" i="1"/>
  <c r="W493" i="1"/>
  <c r="T493" i="1"/>
  <c r="P493" i="1"/>
  <c r="J493" i="1"/>
  <c r="G493" i="1"/>
  <c r="F493" i="1"/>
  <c r="B493" i="1"/>
  <c r="W492" i="1"/>
  <c r="T492" i="1"/>
  <c r="P492" i="1"/>
  <c r="J492" i="1"/>
  <c r="G492" i="1"/>
  <c r="F492" i="1"/>
  <c r="B492" i="1"/>
  <c r="W491" i="1"/>
  <c r="T491" i="1"/>
  <c r="P491" i="1"/>
  <c r="J491" i="1"/>
  <c r="G491" i="1"/>
  <c r="F491" i="1"/>
  <c r="B491" i="1"/>
  <c r="W490" i="1"/>
  <c r="T490" i="1"/>
  <c r="P490" i="1"/>
  <c r="J490" i="1"/>
  <c r="G490" i="1"/>
  <c r="F490" i="1"/>
  <c r="B490" i="1"/>
  <c r="W489" i="1"/>
  <c r="T489" i="1"/>
  <c r="P489" i="1"/>
  <c r="J489" i="1"/>
  <c r="G489" i="1"/>
  <c r="F489" i="1"/>
  <c r="B489" i="1"/>
  <c r="W488" i="1"/>
  <c r="T488" i="1"/>
  <c r="P488" i="1"/>
  <c r="J488" i="1"/>
  <c r="G488" i="1"/>
  <c r="F488" i="1"/>
  <c r="B488" i="1"/>
  <c r="W487" i="1"/>
  <c r="T487" i="1"/>
  <c r="P487" i="1"/>
  <c r="J487" i="1"/>
  <c r="G487" i="1"/>
  <c r="F487" i="1"/>
  <c r="B487" i="1"/>
  <c r="W486" i="1"/>
  <c r="T486" i="1"/>
  <c r="P486" i="1"/>
  <c r="J486" i="1"/>
  <c r="G486" i="1"/>
  <c r="F486" i="1"/>
  <c r="B486" i="1"/>
  <c r="W485" i="1"/>
  <c r="T485" i="1"/>
  <c r="P485" i="1"/>
  <c r="J485" i="1"/>
  <c r="G485" i="1"/>
  <c r="F485" i="1"/>
  <c r="B485" i="1"/>
  <c r="W484" i="1"/>
  <c r="T484" i="1"/>
  <c r="P484" i="1"/>
  <c r="J484" i="1"/>
  <c r="G484" i="1"/>
  <c r="F484" i="1"/>
  <c r="B484" i="1"/>
  <c r="W483" i="1"/>
  <c r="T483" i="1"/>
  <c r="P483" i="1"/>
  <c r="J483" i="1"/>
  <c r="G483" i="1"/>
  <c r="F483" i="1"/>
  <c r="B483" i="1"/>
  <c r="W482" i="1"/>
  <c r="T482" i="1"/>
  <c r="P482" i="1"/>
  <c r="J482" i="1"/>
  <c r="G482" i="1"/>
  <c r="F482" i="1"/>
  <c r="B482" i="1"/>
  <c r="W481" i="1"/>
  <c r="T481" i="1"/>
  <c r="P481" i="1"/>
  <c r="J481" i="1"/>
  <c r="G481" i="1"/>
  <c r="F481" i="1"/>
  <c r="B481" i="1"/>
  <c r="W480" i="1"/>
  <c r="T480" i="1"/>
  <c r="P480" i="1"/>
  <c r="J480" i="1"/>
  <c r="G480" i="1"/>
  <c r="F480" i="1"/>
  <c r="B480" i="1"/>
  <c r="W479" i="1"/>
  <c r="T479" i="1"/>
  <c r="P479" i="1"/>
  <c r="J479" i="1"/>
  <c r="G479" i="1"/>
  <c r="F479" i="1"/>
  <c r="B479" i="1"/>
  <c r="W478" i="1"/>
  <c r="T478" i="1"/>
  <c r="P478" i="1"/>
  <c r="J478" i="1"/>
  <c r="G478" i="1"/>
  <c r="F478" i="1"/>
  <c r="B478" i="1"/>
  <c r="W477" i="1"/>
  <c r="T477" i="1"/>
  <c r="P477" i="1"/>
  <c r="J477" i="1"/>
  <c r="G477" i="1"/>
  <c r="F477" i="1"/>
  <c r="B477" i="1"/>
  <c r="W476" i="1"/>
  <c r="T476" i="1"/>
  <c r="P476" i="1"/>
  <c r="J476" i="1"/>
  <c r="G476" i="1"/>
  <c r="F476" i="1"/>
  <c r="B476" i="1"/>
  <c r="W475" i="1"/>
  <c r="T475" i="1"/>
  <c r="P475" i="1"/>
  <c r="J475" i="1"/>
  <c r="G475" i="1"/>
  <c r="F475" i="1"/>
  <c r="B475" i="1"/>
  <c r="W474" i="1"/>
  <c r="T474" i="1"/>
  <c r="P474" i="1"/>
  <c r="J474" i="1"/>
  <c r="G474" i="1"/>
  <c r="F474" i="1"/>
  <c r="B474" i="1"/>
  <c r="W473" i="1"/>
  <c r="T473" i="1"/>
  <c r="P473" i="1"/>
  <c r="J473" i="1"/>
  <c r="G473" i="1"/>
  <c r="F473" i="1"/>
  <c r="B473" i="1"/>
  <c r="W472" i="1"/>
  <c r="T472" i="1"/>
  <c r="P472" i="1"/>
  <c r="J472" i="1"/>
  <c r="G472" i="1"/>
  <c r="F472" i="1"/>
  <c r="B472" i="1"/>
  <c r="W471" i="1"/>
  <c r="T471" i="1"/>
  <c r="P471" i="1"/>
  <c r="J471" i="1"/>
  <c r="G471" i="1"/>
  <c r="F471" i="1"/>
  <c r="B471" i="1"/>
  <c r="W470" i="1"/>
  <c r="T470" i="1"/>
  <c r="P470" i="1"/>
  <c r="J470" i="1"/>
  <c r="G470" i="1"/>
  <c r="F470" i="1"/>
  <c r="B470" i="1"/>
  <c r="W469" i="1"/>
  <c r="T469" i="1"/>
  <c r="P469" i="1"/>
  <c r="J469" i="1"/>
  <c r="G469" i="1"/>
  <c r="F469" i="1"/>
  <c r="B469" i="1"/>
  <c r="W468" i="1"/>
  <c r="T468" i="1"/>
  <c r="P468" i="1"/>
  <c r="J468" i="1"/>
  <c r="G468" i="1"/>
  <c r="F468" i="1"/>
  <c r="B468" i="1"/>
  <c r="W467" i="1"/>
  <c r="T467" i="1"/>
  <c r="P467" i="1"/>
  <c r="J467" i="1"/>
  <c r="G467" i="1"/>
  <c r="F467" i="1"/>
  <c r="B467" i="1"/>
  <c r="W466" i="1"/>
  <c r="T466" i="1"/>
  <c r="P466" i="1"/>
  <c r="J466" i="1"/>
  <c r="G466" i="1"/>
  <c r="F466" i="1"/>
  <c r="B466" i="1"/>
  <c r="W465" i="1"/>
  <c r="T465" i="1"/>
  <c r="P465" i="1"/>
  <c r="J465" i="1"/>
  <c r="G465" i="1"/>
  <c r="F465" i="1"/>
  <c r="B465" i="1"/>
  <c r="W464" i="1"/>
  <c r="T464" i="1"/>
  <c r="P464" i="1"/>
  <c r="J464" i="1"/>
  <c r="G464" i="1"/>
  <c r="F464" i="1"/>
  <c r="B464" i="1"/>
  <c r="W463" i="1"/>
  <c r="T463" i="1"/>
  <c r="P463" i="1"/>
  <c r="J463" i="1"/>
  <c r="G463" i="1"/>
  <c r="F463" i="1"/>
  <c r="B463" i="1"/>
  <c r="W462" i="1"/>
  <c r="T462" i="1"/>
  <c r="P462" i="1"/>
  <c r="J462" i="1"/>
  <c r="G462" i="1"/>
  <c r="F462" i="1"/>
  <c r="B462" i="1"/>
  <c r="W461" i="1"/>
  <c r="T461" i="1"/>
  <c r="P461" i="1"/>
  <c r="J461" i="1"/>
  <c r="G461" i="1"/>
  <c r="F461" i="1"/>
  <c r="B461" i="1"/>
  <c r="W460" i="1"/>
  <c r="T460" i="1"/>
  <c r="P460" i="1"/>
  <c r="J460" i="1"/>
  <c r="G460" i="1"/>
  <c r="F460" i="1"/>
  <c r="B460" i="1"/>
  <c r="W459" i="1"/>
  <c r="T459" i="1"/>
  <c r="P459" i="1"/>
  <c r="J459" i="1"/>
  <c r="G459" i="1"/>
  <c r="F459" i="1"/>
  <c r="B459" i="1"/>
  <c r="W458" i="1"/>
  <c r="T458" i="1"/>
  <c r="P458" i="1"/>
  <c r="J458" i="1"/>
  <c r="G458" i="1"/>
  <c r="F458" i="1"/>
  <c r="B458" i="1"/>
  <c r="W457" i="1"/>
  <c r="T457" i="1"/>
  <c r="P457" i="1"/>
  <c r="J457" i="1"/>
  <c r="G457" i="1"/>
  <c r="F457" i="1"/>
  <c r="B457" i="1"/>
  <c r="W456" i="1"/>
  <c r="T456" i="1"/>
  <c r="P456" i="1"/>
  <c r="J456" i="1"/>
  <c r="G456" i="1"/>
  <c r="F456" i="1"/>
  <c r="B456" i="1"/>
  <c r="W455" i="1"/>
  <c r="T455" i="1"/>
  <c r="P455" i="1"/>
  <c r="J455" i="1"/>
  <c r="G455" i="1"/>
  <c r="F455" i="1"/>
  <c r="B455" i="1"/>
  <c r="W454" i="1"/>
  <c r="T454" i="1"/>
  <c r="P454" i="1"/>
  <c r="J454" i="1"/>
  <c r="G454" i="1"/>
  <c r="F454" i="1"/>
  <c r="B454" i="1"/>
  <c r="W453" i="1"/>
  <c r="T453" i="1"/>
  <c r="P453" i="1"/>
  <c r="J453" i="1"/>
  <c r="G453" i="1"/>
  <c r="F453" i="1"/>
  <c r="B453" i="1"/>
  <c r="W452" i="1"/>
  <c r="T452" i="1"/>
  <c r="P452" i="1"/>
  <c r="J452" i="1"/>
  <c r="G452" i="1"/>
  <c r="F452" i="1"/>
  <c r="B452" i="1"/>
  <c r="W451" i="1"/>
  <c r="T451" i="1"/>
  <c r="P451" i="1"/>
  <c r="J451" i="1"/>
  <c r="G451" i="1"/>
  <c r="F451" i="1"/>
  <c r="B451" i="1"/>
  <c r="W450" i="1"/>
  <c r="T450" i="1"/>
  <c r="P450" i="1"/>
  <c r="J450" i="1"/>
  <c r="G450" i="1"/>
  <c r="F450" i="1"/>
  <c r="B450" i="1"/>
  <c r="W449" i="1"/>
  <c r="T449" i="1"/>
  <c r="P449" i="1"/>
  <c r="J449" i="1"/>
  <c r="G449" i="1"/>
  <c r="F449" i="1"/>
  <c r="B449" i="1"/>
  <c r="W448" i="1"/>
  <c r="T448" i="1"/>
  <c r="P448" i="1"/>
  <c r="J448" i="1"/>
  <c r="G448" i="1"/>
  <c r="F448" i="1"/>
  <c r="B448" i="1"/>
  <c r="W447" i="1"/>
  <c r="T447" i="1"/>
  <c r="P447" i="1"/>
  <c r="J447" i="1"/>
  <c r="G447" i="1"/>
  <c r="F447" i="1"/>
  <c r="B447" i="1"/>
  <c r="W446" i="1"/>
  <c r="T446" i="1"/>
  <c r="P446" i="1"/>
  <c r="J446" i="1"/>
  <c r="G446" i="1"/>
  <c r="F446" i="1"/>
  <c r="B446" i="1"/>
  <c r="W445" i="1"/>
  <c r="T445" i="1"/>
  <c r="P445" i="1"/>
  <c r="J445" i="1"/>
  <c r="G445" i="1"/>
  <c r="F445" i="1"/>
  <c r="B445" i="1"/>
  <c r="W444" i="1"/>
  <c r="T444" i="1"/>
  <c r="P444" i="1"/>
  <c r="J444" i="1"/>
  <c r="G444" i="1"/>
  <c r="F444" i="1"/>
  <c r="B444" i="1"/>
  <c r="W443" i="1"/>
  <c r="T443" i="1"/>
  <c r="P443" i="1"/>
  <c r="J443" i="1"/>
  <c r="G443" i="1"/>
  <c r="F443" i="1"/>
  <c r="B443" i="1"/>
  <c r="W442" i="1"/>
  <c r="T442" i="1"/>
  <c r="P442" i="1"/>
  <c r="J442" i="1"/>
  <c r="G442" i="1"/>
  <c r="F442" i="1"/>
  <c r="B442" i="1"/>
  <c r="W441" i="1"/>
  <c r="T441" i="1"/>
  <c r="P441" i="1"/>
  <c r="J441" i="1"/>
  <c r="G441" i="1"/>
  <c r="F441" i="1"/>
  <c r="B441" i="1"/>
  <c r="W440" i="1"/>
  <c r="T440" i="1"/>
  <c r="P440" i="1"/>
  <c r="J440" i="1"/>
  <c r="G440" i="1"/>
  <c r="F440" i="1"/>
  <c r="B440" i="1"/>
  <c r="W439" i="1"/>
  <c r="T439" i="1"/>
  <c r="P439" i="1"/>
  <c r="J439" i="1"/>
  <c r="G439" i="1"/>
  <c r="F439" i="1"/>
  <c r="B439" i="1"/>
  <c r="W438" i="1"/>
  <c r="T438" i="1"/>
  <c r="P438" i="1"/>
  <c r="J438" i="1"/>
  <c r="G438" i="1"/>
  <c r="F438" i="1"/>
  <c r="B438" i="1"/>
  <c r="W437" i="1"/>
  <c r="T437" i="1"/>
  <c r="P437" i="1"/>
  <c r="J437" i="1"/>
  <c r="G437" i="1"/>
  <c r="F437" i="1"/>
  <c r="B437" i="1"/>
  <c r="W436" i="1"/>
  <c r="T436" i="1"/>
  <c r="P436" i="1"/>
  <c r="J436" i="1"/>
  <c r="G436" i="1"/>
  <c r="F436" i="1"/>
  <c r="B436" i="1"/>
  <c r="W435" i="1"/>
  <c r="T435" i="1"/>
  <c r="P435" i="1"/>
  <c r="J435" i="1"/>
  <c r="G435" i="1"/>
  <c r="F435" i="1"/>
  <c r="B435" i="1"/>
  <c r="W434" i="1"/>
  <c r="T434" i="1"/>
  <c r="P434" i="1"/>
  <c r="J434" i="1"/>
  <c r="G434" i="1"/>
  <c r="F434" i="1"/>
  <c r="B434" i="1"/>
  <c r="W433" i="1"/>
  <c r="T433" i="1"/>
  <c r="P433" i="1"/>
  <c r="J433" i="1"/>
  <c r="G433" i="1"/>
  <c r="F433" i="1"/>
  <c r="B433" i="1"/>
  <c r="W432" i="1"/>
  <c r="T432" i="1"/>
  <c r="P432" i="1"/>
  <c r="J432" i="1"/>
  <c r="G432" i="1"/>
  <c r="F432" i="1"/>
  <c r="B432" i="1"/>
  <c r="W431" i="1"/>
  <c r="T431" i="1"/>
  <c r="P431" i="1"/>
  <c r="J431" i="1"/>
  <c r="G431" i="1"/>
  <c r="F431" i="1"/>
  <c r="B431" i="1"/>
  <c r="W430" i="1"/>
  <c r="T430" i="1"/>
  <c r="P430" i="1"/>
  <c r="J430" i="1"/>
  <c r="G430" i="1"/>
  <c r="F430" i="1"/>
  <c r="B430" i="1"/>
  <c r="W429" i="1"/>
  <c r="T429" i="1"/>
  <c r="P429" i="1"/>
  <c r="J429" i="1"/>
  <c r="G429" i="1"/>
  <c r="F429" i="1"/>
  <c r="B429" i="1"/>
  <c r="W428" i="1"/>
  <c r="T428" i="1"/>
  <c r="P428" i="1"/>
  <c r="J428" i="1"/>
  <c r="G428" i="1"/>
  <c r="F428" i="1"/>
  <c r="B428" i="1"/>
  <c r="W427" i="1"/>
  <c r="T427" i="1"/>
  <c r="P427" i="1"/>
  <c r="J427" i="1"/>
  <c r="G427" i="1"/>
  <c r="F427" i="1"/>
  <c r="B427" i="1"/>
  <c r="W426" i="1"/>
  <c r="T426" i="1"/>
  <c r="P426" i="1"/>
  <c r="J426" i="1"/>
  <c r="G426" i="1"/>
  <c r="F426" i="1"/>
  <c r="B426" i="1"/>
  <c r="W425" i="1"/>
  <c r="T425" i="1"/>
  <c r="P425" i="1"/>
  <c r="J425" i="1"/>
  <c r="G425" i="1"/>
  <c r="F425" i="1"/>
  <c r="B425" i="1"/>
  <c r="W424" i="1"/>
  <c r="T424" i="1"/>
  <c r="P424" i="1"/>
  <c r="J424" i="1"/>
  <c r="G424" i="1"/>
  <c r="F424" i="1"/>
  <c r="B424" i="1"/>
  <c r="W423" i="1"/>
  <c r="T423" i="1"/>
  <c r="P423" i="1"/>
  <c r="J423" i="1"/>
  <c r="G423" i="1"/>
  <c r="F423" i="1"/>
  <c r="B423" i="1"/>
  <c r="W422" i="1"/>
  <c r="T422" i="1"/>
  <c r="P422" i="1"/>
  <c r="J422" i="1"/>
  <c r="G422" i="1"/>
  <c r="F422" i="1"/>
  <c r="B422" i="1"/>
  <c r="W421" i="1"/>
  <c r="T421" i="1"/>
  <c r="P421" i="1"/>
  <c r="J421" i="1"/>
  <c r="G421" i="1"/>
  <c r="F421" i="1"/>
  <c r="B421" i="1"/>
  <c r="W420" i="1"/>
  <c r="T420" i="1"/>
  <c r="P420" i="1"/>
  <c r="J420" i="1"/>
  <c r="G420" i="1"/>
  <c r="F420" i="1"/>
  <c r="B420" i="1"/>
  <c r="W419" i="1"/>
  <c r="T419" i="1"/>
  <c r="P419" i="1"/>
  <c r="J419" i="1"/>
  <c r="G419" i="1"/>
  <c r="F419" i="1"/>
  <c r="B419" i="1"/>
  <c r="W418" i="1"/>
  <c r="T418" i="1"/>
  <c r="P418" i="1"/>
  <c r="J418" i="1"/>
  <c r="G418" i="1"/>
  <c r="F418" i="1"/>
  <c r="B418" i="1"/>
  <c r="W417" i="1"/>
  <c r="T417" i="1"/>
  <c r="P417" i="1"/>
  <c r="J417" i="1"/>
  <c r="G417" i="1"/>
  <c r="F417" i="1"/>
  <c r="B417" i="1"/>
  <c r="W416" i="1"/>
  <c r="T416" i="1"/>
  <c r="P416" i="1"/>
  <c r="J416" i="1"/>
  <c r="G416" i="1"/>
  <c r="F416" i="1"/>
  <c r="B416" i="1"/>
  <c r="W415" i="1"/>
  <c r="T415" i="1"/>
  <c r="P415" i="1"/>
  <c r="J415" i="1"/>
  <c r="G415" i="1"/>
  <c r="F415" i="1"/>
  <c r="B415" i="1"/>
  <c r="W414" i="1"/>
  <c r="T414" i="1"/>
  <c r="P414" i="1"/>
  <c r="J414" i="1"/>
  <c r="G414" i="1"/>
  <c r="F414" i="1"/>
  <c r="B414" i="1"/>
  <c r="W413" i="1"/>
  <c r="T413" i="1"/>
  <c r="P413" i="1"/>
  <c r="J413" i="1"/>
  <c r="G413" i="1"/>
  <c r="F413" i="1"/>
  <c r="B413" i="1"/>
  <c r="W412" i="1"/>
  <c r="T412" i="1"/>
  <c r="P412" i="1"/>
  <c r="J412" i="1"/>
  <c r="G412" i="1"/>
  <c r="F412" i="1"/>
  <c r="B412" i="1"/>
  <c r="W411" i="1"/>
  <c r="T411" i="1"/>
  <c r="P411" i="1"/>
  <c r="J411" i="1"/>
  <c r="G411" i="1"/>
  <c r="F411" i="1"/>
  <c r="B411" i="1"/>
  <c r="W410" i="1"/>
  <c r="T410" i="1"/>
  <c r="P410" i="1"/>
  <c r="J410" i="1"/>
  <c r="G410" i="1"/>
  <c r="F410" i="1"/>
  <c r="B410" i="1"/>
  <c r="W409" i="1"/>
  <c r="T409" i="1"/>
  <c r="P409" i="1"/>
  <c r="J409" i="1"/>
  <c r="G409" i="1"/>
  <c r="F409" i="1"/>
  <c r="B409" i="1"/>
  <c r="W408" i="1"/>
  <c r="T408" i="1"/>
  <c r="P408" i="1"/>
  <c r="J408" i="1"/>
  <c r="G408" i="1"/>
  <c r="F408" i="1"/>
  <c r="B408" i="1"/>
  <c r="W407" i="1"/>
  <c r="T407" i="1"/>
  <c r="P407" i="1"/>
  <c r="J407" i="1"/>
  <c r="G407" i="1"/>
  <c r="F407" i="1"/>
  <c r="B407" i="1"/>
  <c r="W406" i="1"/>
  <c r="T406" i="1"/>
  <c r="P406" i="1"/>
  <c r="J406" i="1"/>
  <c r="G406" i="1"/>
  <c r="F406" i="1"/>
  <c r="B406" i="1"/>
  <c r="W405" i="1"/>
  <c r="T405" i="1"/>
  <c r="P405" i="1"/>
  <c r="J405" i="1"/>
  <c r="G405" i="1"/>
  <c r="F405" i="1"/>
  <c r="B405" i="1"/>
  <c r="W404" i="1"/>
  <c r="T404" i="1"/>
  <c r="P404" i="1"/>
  <c r="J404" i="1"/>
  <c r="G404" i="1"/>
  <c r="F404" i="1"/>
  <c r="B404" i="1"/>
  <c r="W403" i="1"/>
  <c r="T403" i="1"/>
  <c r="P403" i="1"/>
  <c r="J403" i="1"/>
  <c r="G403" i="1"/>
  <c r="F403" i="1"/>
  <c r="B403" i="1"/>
  <c r="W402" i="1"/>
  <c r="T402" i="1"/>
  <c r="P402" i="1"/>
  <c r="J402" i="1"/>
  <c r="G402" i="1"/>
  <c r="F402" i="1"/>
  <c r="B402" i="1"/>
  <c r="W401" i="1"/>
  <c r="T401" i="1"/>
  <c r="P401" i="1"/>
  <c r="J401" i="1"/>
  <c r="G401" i="1"/>
  <c r="F401" i="1"/>
  <c r="B401" i="1"/>
  <c r="W400" i="1"/>
  <c r="T400" i="1"/>
  <c r="P400" i="1"/>
  <c r="J400" i="1"/>
  <c r="G400" i="1"/>
  <c r="F400" i="1"/>
  <c r="B400" i="1"/>
  <c r="W399" i="1"/>
  <c r="T399" i="1"/>
  <c r="P399" i="1"/>
  <c r="J399" i="1"/>
  <c r="G399" i="1"/>
  <c r="F399" i="1"/>
  <c r="B399" i="1"/>
  <c r="W398" i="1"/>
  <c r="T398" i="1"/>
  <c r="P398" i="1"/>
  <c r="J398" i="1"/>
  <c r="G398" i="1"/>
  <c r="F398" i="1"/>
  <c r="B398" i="1"/>
  <c r="W397" i="1"/>
  <c r="T397" i="1"/>
  <c r="P397" i="1"/>
  <c r="J397" i="1"/>
  <c r="G397" i="1"/>
  <c r="F397" i="1"/>
  <c r="B397" i="1"/>
  <c r="W396" i="1"/>
  <c r="T396" i="1"/>
  <c r="P396" i="1"/>
  <c r="J396" i="1"/>
  <c r="G396" i="1"/>
  <c r="F396" i="1"/>
  <c r="B396" i="1"/>
  <c r="W395" i="1"/>
  <c r="T395" i="1"/>
  <c r="P395" i="1"/>
  <c r="J395" i="1"/>
  <c r="G395" i="1"/>
  <c r="F395" i="1"/>
  <c r="B395" i="1"/>
  <c r="W394" i="1"/>
  <c r="T394" i="1"/>
  <c r="P394" i="1"/>
  <c r="J394" i="1"/>
  <c r="G394" i="1"/>
  <c r="F394" i="1"/>
  <c r="B394" i="1"/>
  <c r="W393" i="1"/>
  <c r="T393" i="1"/>
  <c r="P393" i="1"/>
  <c r="J393" i="1"/>
  <c r="G393" i="1"/>
  <c r="F393" i="1"/>
  <c r="B393" i="1"/>
  <c r="W392" i="1"/>
  <c r="T392" i="1"/>
  <c r="P392" i="1"/>
  <c r="J392" i="1"/>
  <c r="G392" i="1"/>
  <c r="F392" i="1"/>
  <c r="B392" i="1"/>
  <c r="W391" i="1"/>
  <c r="T391" i="1"/>
  <c r="P391" i="1"/>
  <c r="J391" i="1"/>
  <c r="G391" i="1"/>
  <c r="F391" i="1"/>
  <c r="B391" i="1"/>
  <c r="W390" i="1"/>
  <c r="T390" i="1"/>
  <c r="P390" i="1"/>
  <c r="J390" i="1"/>
  <c r="G390" i="1"/>
  <c r="F390" i="1"/>
  <c r="B390" i="1"/>
  <c r="W389" i="1"/>
  <c r="T389" i="1"/>
  <c r="P389" i="1"/>
  <c r="J389" i="1"/>
  <c r="G389" i="1"/>
  <c r="F389" i="1"/>
  <c r="B389" i="1"/>
  <c r="W388" i="1"/>
  <c r="T388" i="1"/>
  <c r="P388" i="1"/>
  <c r="J388" i="1"/>
  <c r="G388" i="1"/>
  <c r="F388" i="1"/>
  <c r="B388" i="1"/>
  <c r="W387" i="1"/>
  <c r="T387" i="1"/>
  <c r="P387" i="1"/>
  <c r="J387" i="1"/>
  <c r="G387" i="1"/>
  <c r="F387" i="1"/>
  <c r="B387" i="1"/>
  <c r="W386" i="1"/>
  <c r="T386" i="1"/>
  <c r="P386" i="1"/>
  <c r="J386" i="1"/>
  <c r="G386" i="1"/>
  <c r="F386" i="1"/>
  <c r="B386" i="1"/>
  <c r="W385" i="1"/>
  <c r="T385" i="1"/>
  <c r="P385" i="1"/>
  <c r="J385" i="1"/>
  <c r="G385" i="1"/>
  <c r="F385" i="1"/>
  <c r="B385" i="1"/>
  <c r="W384" i="1"/>
  <c r="T384" i="1"/>
  <c r="P384" i="1"/>
  <c r="J384" i="1"/>
  <c r="G384" i="1"/>
  <c r="F384" i="1"/>
  <c r="B384" i="1"/>
  <c r="W383" i="1"/>
  <c r="T383" i="1"/>
  <c r="P383" i="1"/>
  <c r="J383" i="1"/>
  <c r="G383" i="1"/>
  <c r="F383" i="1"/>
  <c r="B383" i="1"/>
  <c r="W382" i="1"/>
  <c r="T382" i="1"/>
  <c r="P382" i="1"/>
  <c r="J382" i="1"/>
  <c r="G382" i="1"/>
  <c r="F382" i="1"/>
  <c r="B382" i="1"/>
  <c r="W381" i="1"/>
  <c r="T381" i="1"/>
  <c r="P381" i="1"/>
  <c r="J381" i="1"/>
  <c r="G381" i="1"/>
  <c r="F381" i="1"/>
  <c r="B381" i="1"/>
  <c r="W380" i="1"/>
  <c r="T380" i="1"/>
  <c r="P380" i="1"/>
  <c r="J380" i="1"/>
  <c r="G380" i="1"/>
  <c r="F380" i="1"/>
  <c r="B380" i="1"/>
  <c r="W379" i="1"/>
  <c r="T379" i="1"/>
  <c r="P379" i="1"/>
  <c r="J379" i="1"/>
  <c r="G379" i="1"/>
  <c r="F379" i="1"/>
  <c r="B379" i="1"/>
  <c r="W378" i="1"/>
  <c r="T378" i="1"/>
  <c r="P378" i="1"/>
  <c r="J378" i="1"/>
  <c r="G378" i="1"/>
  <c r="F378" i="1"/>
  <c r="B378" i="1"/>
  <c r="W377" i="1"/>
  <c r="T377" i="1"/>
  <c r="P377" i="1"/>
  <c r="J377" i="1"/>
  <c r="G377" i="1"/>
  <c r="F377" i="1"/>
  <c r="B377" i="1"/>
  <c r="W376" i="1"/>
  <c r="T376" i="1"/>
  <c r="P376" i="1"/>
  <c r="J376" i="1"/>
  <c r="G376" i="1"/>
  <c r="F376" i="1"/>
  <c r="B376" i="1"/>
  <c r="W375" i="1"/>
  <c r="T375" i="1"/>
  <c r="P375" i="1"/>
  <c r="J375" i="1"/>
  <c r="G375" i="1"/>
  <c r="F375" i="1"/>
  <c r="B375" i="1"/>
  <c r="W374" i="1"/>
  <c r="T374" i="1"/>
  <c r="P374" i="1"/>
  <c r="J374" i="1"/>
  <c r="G374" i="1"/>
  <c r="F374" i="1"/>
  <c r="B374" i="1"/>
  <c r="W373" i="1"/>
  <c r="T373" i="1"/>
  <c r="P373" i="1"/>
  <c r="J373" i="1"/>
  <c r="G373" i="1"/>
  <c r="F373" i="1"/>
  <c r="B373" i="1"/>
  <c r="W372" i="1"/>
  <c r="T372" i="1"/>
  <c r="P372" i="1"/>
  <c r="J372" i="1"/>
  <c r="G372" i="1"/>
  <c r="F372" i="1"/>
  <c r="B372" i="1"/>
  <c r="W371" i="1"/>
  <c r="T371" i="1"/>
  <c r="P371" i="1"/>
  <c r="J371" i="1"/>
  <c r="G371" i="1"/>
  <c r="F371" i="1"/>
  <c r="B371" i="1"/>
  <c r="W370" i="1"/>
  <c r="T370" i="1"/>
  <c r="P370" i="1"/>
  <c r="J370" i="1"/>
  <c r="G370" i="1"/>
  <c r="F370" i="1"/>
  <c r="B370" i="1"/>
  <c r="W369" i="1"/>
  <c r="T369" i="1"/>
  <c r="P369" i="1"/>
  <c r="J369" i="1"/>
  <c r="G369" i="1"/>
  <c r="F369" i="1"/>
  <c r="B369" i="1"/>
  <c r="W368" i="1"/>
  <c r="T368" i="1"/>
  <c r="P368" i="1"/>
  <c r="J368" i="1"/>
  <c r="G368" i="1"/>
  <c r="F368" i="1"/>
  <c r="B368" i="1"/>
  <c r="W367" i="1"/>
  <c r="T367" i="1"/>
  <c r="P367" i="1"/>
  <c r="J367" i="1"/>
  <c r="G367" i="1"/>
  <c r="F367" i="1"/>
  <c r="B367" i="1"/>
  <c r="W366" i="1"/>
  <c r="T366" i="1"/>
  <c r="P366" i="1"/>
  <c r="J366" i="1"/>
  <c r="G366" i="1"/>
  <c r="F366" i="1"/>
  <c r="B366" i="1"/>
  <c r="W365" i="1"/>
  <c r="T365" i="1"/>
  <c r="P365" i="1"/>
  <c r="J365" i="1"/>
  <c r="G365" i="1"/>
  <c r="F365" i="1"/>
  <c r="B365" i="1"/>
  <c r="W364" i="1"/>
  <c r="T364" i="1"/>
  <c r="P364" i="1"/>
  <c r="J364" i="1"/>
  <c r="G364" i="1"/>
  <c r="F364" i="1"/>
  <c r="B364" i="1"/>
  <c r="W363" i="1"/>
  <c r="T363" i="1"/>
  <c r="P363" i="1"/>
  <c r="J363" i="1"/>
  <c r="G363" i="1"/>
  <c r="F363" i="1"/>
  <c r="B363" i="1"/>
  <c r="W362" i="1"/>
  <c r="T362" i="1"/>
  <c r="P362" i="1"/>
  <c r="J362" i="1"/>
  <c r="G362" i="1"/>
  <c r="F362" i="1"/>
  <c r="B362" i="1"/>
  <c r="W361" i="1"/>
  <c r="T361" i="1"/>
  <c r="P361" i="1"/>
  <c r="J361" i="1"/>
  <c r="G361" i="1"/>
  <c r="F361" i="1"/>
  <c r="B361" i="1"/>
  <c r="W360" i="1"/>
  <c r="T360" i="1"/>
  <c r="P360" i="1"/>
  <c r="J360" i="1"/>
  <c r="G360" i="1"/>
  <c r="F360" i="1"/>
  <c r="B360" i="1"/>
  <c r="W359" i="1"/>
  <c r="T359" i="1"/>
  <c r="P359" i="1"/>
  <c r="J359" i="1"/>
  <c r="G359" i="1"/>
  <c r="F359" i="1"/>
  <c r="B359" i="1"/>
  <c r="W358" i="1"/>
  <c r="T358" i="1"/>
  <c r="P358" i="1"/>
  <c r="J358" i="1"/>
  <c r="G358" i="1"/>
  <c r="F358" i="1"/>
  <c r="B358" i="1"/>
  <c r="W357" i="1"/>
  <c r="T357" i="1"/>
  <c r="P357" i="1"/>
  <c r="J357" i="1"/>
  <c r="G357" i="1"/>
  <c r="F357" i="1"/>
  <c r="B357" i="1"/>
  <c r="W356" i="1"/>
  <c r="T356" i="1"/>
  <c r="P356" i="1"/>
  <c r="J356" i="1"/>
  <c r="G356" i="1"/>
  <c r="F356" i="1"/>
  <c r="B356" i="1"/>
  <c r="W355" i="1"/>
  <c r="T355" i="1"/>
  <c r="P355" i="1"/>
  <c r="J355" i="1"/>
  <c r="G355" i="1"/>
  <c r="F355" i="1"/>
  <c r="B355" i="1"/>
  <c r="W354" i="1"/>
  <c r="T354" i="1"/>
  <c r="P354" i="1"/>
  <c r="J354" i="1"/>
  <c r="G354" i="1"/>
  <c r="F354" i="1"/>
  <c r="B354" i="1"/>
  <c r="W353" i="1"/>
  <c r="T353" i="1"/>
  <c r="P353" i="1"/>
  <c r="J353" i="1"/>
  <c r="G353" i="1"/>
  <c r="F353" i="1"/>
  <c r="B353" i="1"/>
  <c r="W352" i="1"/>
  <c r="T352" i="1"/>
  <c r="P352" i="1"/>
  <c r="J352" i="1"/>
  <c r="G352" i="1"/>
  <c r="F352" i="1"/>
  <c r="B352" i="1"/>
  <c r="W351" i="1"/>
  <c r="T351" i="1"/>
  <c r="P351" i="1"/>
  <c r="J351" i="1"/>
  <c r="G351" i="1"/>
  <c r="F351" i="1"/>
  <c r="B351" i="1"/>
  <c r="W350" i="1"/>
  <c r="T350" i="1"/>
  <c r="P350" i="1"/>
  <c r="J350" i="1"/>
  <c r="G350" i="1"/>
  <c r="F350" i="1"/>
  <c r="B350" i="1"/>
  <c r="W349" i="1"/>
  <c r="T349" i="1"/>
  <c r="P349" i="1"/>
  <c r="J349" i="1"/>
  <c r="G349" i="1"/>
  <c r="F349" i="1"/>
  <c r="B349" i="1"/>
  <c r="W348" i="1"/>
  <c r="T348" i="1"/>
  <c r="P348" i="1"/>
  <c r="J348" i="1"/>
  <c r="G348" i="1"/>
  <c r="F348" i="1"/>
  <c r="B348" i="1"/>
  <c r="W347" i="1"/>
  <c r="T347" i="1"/>
  <c r="P347" i="1"/>
  <c r="J347" i="1"/>
  <c r="G347" i="1"/>
  <c r="F347" i="1"/>
  <c r="B347" i="1"/>
  <c r="W346" i="1"/>
  <c r="T346" i="1"/>
  <c r="P346" i="1"/>
  <c r="J346" i="1"/>
  <c r="G346" i="1"/>
  <c r="F346" i="1"/>
  <c r="B346" i="1"/>
  <c r="W345" i="1"/>
  <c r="T345" i="1"/>
  <c r="P345" i="1"/>
  <c r="J345" i="1"/>
  <c r="G345" i="1"/>
  <c r="F345" i="1"/>
  <c r="B345" i="1"/>
  <c r="W344" i="1"/>
  <c r="T344" i="1"/>
  <c r="P344" i="1"/>
  <c r="J344" i="1"/>
  <c r="G344" i="1"/>
  <c r="F344" i="1"/>
  <c r="B344" i="1"/>
  <c r="W343" i="1"/>
  <c r="T343" i="1"/>
  <c r="P343" i="1"/>
  <c r="J343" i="1"/>
  <c r="G343" i="1"/>
  <c r="F343" i="1"/>
  <c r="B343" i="1"/>
  <c r="W342" i="1"/>
  <c r="T342" i="1"/>
  <c r="P342" i="1"/>
  <c r="J342" i="1"/>
  <c r="G342" i="1"/>
  <c r="F342" i="1"/>
  <c r="B342" i="1"/>
  <c r="W341" i="1"/>
  <c r="T341" i="1"/>
  <c r="P341" i="1"/>
  <c r="J341" i="1"/>
  <c r="G341" i="1"/>
  <c r="F341" i="1"/>
  <c r="B341" i="1"/>
  <c r="W340" i="1"/>
  <c r="T340" i="1"/>
  <c r="P340" i="1"/>
  <c r="J340" i="1"/>
  <c r="G340" i="1"/>
  <c r="F340" i="1"/>
  <c r="B340" i="1"/>
  <c r="W339" i="1"/>
  <c r="T339" i="1"/>
  <c r="P339" i="1"/>
  <c r="J339" i="1"/>
  <c r="G339" i="1"/>
  <c r="F339" i="1"/>
  <c r="B339" i="1"/>
  <c r="W338" i="1"/>
  <c r="T338" i="1"/>
  <c r="P338" i="1"/>
  <c r="J338" i="1"/>
  <c r="G338" i="1"/>
  <c r="F338" i="1"/>
  <c r="B338" i="1"/>
  <c r="W337" i="1"/>
  <c r="T337" i="1"/>
  <c r="P337" i="1"/>
  <c r="J337" i="1"/>
  <c r="G337" i="1"/>
  <c r="F337" i="1"/>
  <c r="B337" i="1"/>
  <c r="W336" i="1"/>
  <c r="T336" i="1"/>
  <c r="P336" i="1"/>
  <c r="J336" i="1"/>
  <c r="G336" i="1"/>
  <c r="F336" i="1"/>
  <c r="B336" i="1"/>
  <c r="W335" i="1"/>
  <c r="T335" i="1"/>
  <c r="P335" i="1"/>
  <c r="J335" i="1"/>
  <c r="G335" i="1"/>
  <c r="F335" i="1"/>
  <c r="B335" i="1"/>
  <c r="W334" i="1"/>
  <c r="T334" i="1"/>
  <c r="P334" i="1"/>
  <c r="J334" i="1"/>
  <c r="G334" i="1"/>
  <c r="F334" i="1"/>
  <c r="B334" i="1"/>
  <c r="W333" i="1"/>
  <c r="T333" i="1"/>
  <c r="P333" i="1"/>
  <c r="J333" i="1"/>
  <c r="G333" i="1"/>
  <c r="F333" i="1"/>
  <c r="B333" i="1"/>
  <c r="W332" i="1"/>
  <c r="T332" i="1"/>
  <c r="P332" i="1"/>
  <c r="J332" i="1"/>
  <c r="G332" i="1"/>
  <c r="F332" i="1"/>
  <c r="B332" i="1"/>
  <c r="W331" i="1"/>
  <c r="T331" i="1"/>
  <c r="P331" i="1"/>
  <c r="J331" i="1"/>
  <c r="G331" i="1"/>
  <c r="F331" i="1"/>
  <c r="B331" i="1"/>
  <c r="W330" i="1"/>
  <c r="T330" i="1"/>
  <c r="P330" i="1"/>
  <c r="J330" i="1"/>
  <c r="G330" i="1"/>
  <c r="F330" i="1"/>
  <c r="B330" i="1"/>
  <c r="W329" i="1"/>
  <c r="T329" i="1"/>
  <c r="P329" i="1"/>
  <c r="J329" i="1"/>
  <c r="G329" i="1"/>
  <c r="F329" i="1"/>
  <c r="B329" i="1"/>
  <c r="W328" i="1"/>
  <c r="T328" i="1"/>
  <c r="P328" i="1"/>
  <c r="J328" i="1"/>
  <c r="G328" i="1"/>
  <c r="F328" i="1"/>
  <c r="B328" i="1"/>
  <c r="W327" i="1"/>
  <c r="T327" i="1"/>
  <c r="P327" i="1"/>
  <c r="J327" i="1"/>
  <c r="G327" i="1"/>
  <c r="F327" i="1"/>
  <c r="B327" i="1"/>
  <c r="W326" i="1"/>
  <c r="T326" i="1"/>
  <c r="P326" i="1"/>
  <c r="J326" i="1"/>
  <c r="G326" i="1"/>
  <c r="F326" i="1"/>
  <c r="B326" i="1"/>
  <c r="W325" i="1"/>
  <c r="T325" i="1"/>
  <c r="P325" i="1"/>
  <c r="J325" i="1"/>
  <c r="G325" i="1"/>
  <c r="F325" i="1"/>
  <c r="B325" i="1"/>
  <c r="W324" i="1"/>
  <c r="T324" i="1"/>
  <c r="P324" i="1"/>
  <c r="J324" i="1"/>
  <c r="G324" i="1"/>
  <c r="F324" i="1"/>
  <c r="B324" i="1"/>
  <c r="W323" i="1"/>
  <c r="T323" i="1"/>
  <c r="P323" i="1"/>
  <c r="J323" i="1"/>
  <c r="G323" i="1"/>
  <c r="F323" i="1"/>
  <c r="B323" i="1"/>
  <c r="W322" i="1"/>
  <c r="T322" i="1"/>
  <c r="P322" i="1"/>
  <c r="J322" i="1"/>
  <c r="G322" i="1"/>
  <c r="F322" i="1"/>
  <c r="B322" i="1"/>
  <c r="W321" i="1"/>
  <c r="T321" i="1"/>
  <c r="P321" i="1"/>
  <c r="J321" i="1"/>
  <c r="G321" i="1"/>
  <c r="F321" i="1"/>
  <c r="B321" i="1"/>
  <c r="W320" i="1"/>
  <c r="T320" i="1"/>
  <c r="P320" i="1"/>
  <c r="J320" i="1"/>
  <c r="G320" i="1"/>
  <c r="F320" i="1"/>
  <c r="B320" i="1"/>
  <c r="W319" i="1"/>
  <c r="T319" i="1"/>
  <c r="P319" i="1"/>
  <c r="J319" i="1"/>
  <c r="G319" i="1"/>
  <c r="F319" i="1"/>
  <c r="B319" i="1"/>
  <c r="W318" i="1"/>
  <c r="T318" i="1"/>
  <c r="P318" i="1"/>
  <c r="J318" i="1"/>
  <c r="G318" i="1"/>
  <c r="F318" i="1"/>
  <c r="B318" i="1"/>
  <c r="W317" i="1"/>
  <c r="T317" i="1"/>
  <c r="P317" i="1"/>
  <c r="J317" i="1"/>
  <c r="G317" i="1"/>
  <c r="F317" i="1"/>
  <c r="B317" i="1"/>
  <c r="W316" i="1"/>
  <c r="T316" i="1"/>
  <c r="P316" i="1"/>
  <c r="J316" i="1"/>
  <c r="G316" i="1"/>
  <c r="F316" i="1"/>
  <c r="B316" i="1"/>
  <c r="W315" i="1"/>
  <c r="T315" i="1"/>
  <c r="P315" i="1"/>
  <c r="J315" i="1"/>
  <c r="G315" i="1"/>
  <c r="F315" i="1"/>
  <c r="B315" i="1"/>
  <c r="W314" i="1"/>
  <c r="T314" i="1"/>
  <c r="P314" i="1"/>
  <c r="J314" i="1"/>
  <c r="G314" i="1"/>
  <c r="F314" i="1"/>
  <c r="B314" i="1"/>
  <c r="W313" i="1"/>
  <c r="T313" i="1"/>
  <c r="P313" i="1"/>
  <c r="J313" i="1"/>
  <c r="G313" i="1"/>
  <c r="F313" i="1"/>
  <c r="B313" i="1"/>
  <c r="W312" i="1"/>
  <c r="T312" i="1"/>
  <c r="P312" i="1"/>
  <c r="J312" i="1"/>
  <c r="G312" i="1"/>
  <c r="F312" i="1"/>
  <c r="B312" i="1"/>
  <c r="W311" i="1"/>
  <c r="T311" i="1"/>
  <c r="P311" i="1"/>
  <c r="J311" i="1"/>
  <c r="G311" i="1"/>
  <c r="F311" i="1"/>
  <c r="B311" i="1"/>
  <c r="W310" i="1"/>
  <c r="T310" i="1"/>
  <c r="P310" i="1"/>
  <c r="J310" i="1"/>
  <c r="G310" i="1"/>
  <c r="F310" i="1"/>
  <c r="B310" i="1"/>
  <c r="W309" i="1"/>
  <c r="T309" i="1"/>
  <c r="P309" i="1"/>
  <c r="J309" i="1"/>
  <c r="G309" i="1"/>
  <c r="F309" i="1"/>
  <c r="B309" i="1"/>
  <c r="W308" i="1"/>
  <c r="T308" i="1"/>
  <c r="P308" i="1"/>
  <c r="J308" i="1"/>
  <c r="G308" i="1"/>
  <c r="F308" i="1"/>
  <c r="B308" i="1"/>
  <c r="W307" i="1"/>
  <c r="T307" i="1"/>
  <c r="P307" i="1"/>
  <c r="J307" i="1"/>
  <c r="G307" i="1"/>
  <c r="F307" i="1"/>
  <c r="B307" i="1"/>
  <c r="W306" i="1"/>
  <c r="T306" i="1"/>
  <c r="P306" i="1"/>
  <c r="J306" i="1"/>
  <c r="G306" i="1"/>
  <c r="F306" i="1"/>
  <c r="B306" i="1"/>
  <c r="W305" i="1"/>
  <c r="T305" i="1"/>
  <c r="P305" i="1"/>
  <c r="J305" i="1"/>
  <c r="G305" i="1"/>
  <c r="F305" i="1"/>
  <c r="B305" i="1"/>
  <c r="W304" i="1"/>
  <c r="T304" i="1"/>
  <c r="P304" i="1"/>
  <c r="J304" i="1"/>
  <c r="G304" i="1"/>
  <c r="F304" i="1"/>
  <c r="B304" i="1"/>
  <c r="W303" i="1"/>
  <c r="T303" i="1"/>
  <c r="P303" i="1"/>
  <c r="J303" i="1"/>
  <c r="G303" i="1"/>
  <c r="F303" i="1"/>
  <c r="B303" i="1"/>
  <c r="W302" i="1"/>
  <c r="T302" i="1"/>
  <c r="P302" i="1"/>
  <c r="J302" i="1"/>
  <c r="G302" i="1"/>
  <c r="F302" i="1"/>
  <c r="B302" i="1"/>
  <c r="W301" i="1"/>
  <c r="T301" i="1"/>
  <c r="P301" i="1"/>
  <c r="J301" i="1"/>
  <c r="G301" i="1"/>
  <c r="F301" i="1"/>
  <c r="B301" i="1"/>
  <c r="W300" i="1"/>
  <c r="T300" i="1"/>
  <c r="P300" i="1"/>
  <c r="J300" i="1"/>
  <c r="G300" i="1"/>
  <c r="F300" i="1"/>
  <c r="B300" i="1"/>
  <c r="W299" i="1"/>
  <c r="T299" i="1"/>
  <c r="P299" i="1"/>
  <c r="J299" i="1"/>
  <c r="G299" i="1"/>
  <c r="F299" i="1"/>
  <c r="B299" i="1"/>
  <c r="W298" i="1"/>
  <c r="T298" i="1"/>
  <c r="P298" i="1"/>
  <c r="J298" i="1"/>
  <c r="G298" i="1"/>
  <c r="F298" i="1"/>
  <c r="B298" i="1"/>
  <c r="W297" i="1"/>
  <c r="T297" i="1"/>
  <c r="P297" i="1"/>
  <c r="J297" i="1"/>
  <c r="G297" i="1"/>
  <c r="F297" i="1"/>
  <c r="B297" i="1"/>
  <c r="W296" i="1"/>
  <c r="T296" i="1"/>
  <c r="P296" i="1"/>
  <c r="J296" i="1"/>
  <c r="G296" i="1"/>
  <c r="F296" i="1"/>
  <c r="B296" i="1"/>
  <c r="W295" i="1"/>
  <c r="T295" i="1"/>
  <c r="P295" i="1"/>
  <c r="J295" i="1"/>
  <c r="G295" i="1"/>
  <c r="F295" i="1"/>
  <c r="B295" i="1"/>
  <c r="W294" i="1"/>
  <c r="T294" i="1"/>
  <c r="P294" i="1"/>
  <c r="J294" i="1"/>
  <c r="G294" i="1"/>
  <c r="F294" i="1"/>
  <c r="B294" i="1"/>
  <c r="W293" i="1"/>
  <c r="T293" i="1"/>
  <c r="P293" i="1"/>
  <c r="J293" i="1"/>
  <c r="G293" i="1"/>
  <c r="F293" i="1"/>
  <c r="B293" i="1"/>
  <c r="W292" i="1"/>
  <c r="T292" i="1"/>
  <c r="P292" i="1"/>
  <c r="J292" i="1"/>
  <c r="G292" i="1"/>
  <c r="F292" i="1"/>
  <c r="B292" i="1"/>
  <c r="W291" i="1"/>
  <c r="T291" i="1"/>
  <c r="P291" i="1"/>
  <c r="J291" i="1"/>
  <c r="G291" i="1"/>
  <c r="F291" i="1"/>
  <c r="B291" i="1"/>
  <c r="W290" i="1"/>
  <c r="T290" i="1"/>
  <c r="P290" i="1"/>
  <c r="J290" i="1"/>
  <c r="G290" i="1"/>
  <c r="F290" i="1"/>
  <c r="B290" i="1"/>
  <c r="W289" i="1"/>
  <c r="T289" i="1"/>
  <c r="P289" i="1"/>
  <c r="J289" i="1"/>
  <c r="G289" i="1"/>
  <c r="F289" i="1"/>
  <c r="B289" i="1"/>
  <c r="W288" i="1"/>
  <c r="T288" i="1"/>
  <c r="P288" i="1"/>
  <c r="J288" i="1"/>
  <c r="G288" i="1"/>
  <c r="F288" i="1"/>
  <c r="B288" i="1"/>
  <c r="W287" i="1"/>
  <c r="T287" i="1"/>
  <c r="P287" i="1"/>
  <c r="J287" i="1"/>
  <c r="G287" i="1"/>
  <c r="F287" i="1"/>
  <c r="B287" i="1"/>
  <c r="W286" i="1"/>
  <c r="T286" i="1"/>
  <c r="P286" i="1"/>
  <c r="J286" i="1"/>
  <c r="G286" i="1"/>
  <c r="F286" i="1"/>
  <c r="B286" i="1"/>
  <c r="W285" i="1"/>
  <c r="T285" i="1"/>
  <c r="P285" i="1"/>
  <c r="J285" i="1"/>
  <c r="G285" i="1"/>
  <c r="F285" i="1"/>
  <c r="B285" i="1"/>
  <c r="W284" i="1"/>
  <c r="T284" i="1"/>
  <c r="P284" i="1"/>
  <c r="J284" i="1"/>
  <c r="G284" i="1"/>
  <c r="F284" i="1"/>
  <c r="B284" i="1"/>
  <c r="W283" i="1"/>
  <c r="T283" i="1"/>
  <c r="P283" i="1"/>
  <c r="J283" i="1"/>
  <c r="G283" i="1"/>
  <c r="F283" i="1"/>
  <c r="B283" i="1"/>
  <c r="W282" i="1"/>
  <c r="T282" i="1"/>
  <c r="P282" i="1"/>
  <c r="J282" i="1"/>
  <c r="G282" i="1"/>
  <c r="F282" i="1"/>
  <c r="B282" i="1"/>
  <c r="W281" i="1"/>
  <c r="T281" i="1"/>
  <c r="P281" i="1"/>
  <c r="J281" i="1"/>
  <c r="G281" i="1"/>
  <c r="F281" i="1"/>
  <c r="B281" i="1"/>
  <c r="W280" i="1"/>
  <c r="T280" i="1"/>
  <c r="P280" i="1"/>
  <c r="J280" i="1"/>
  <c r="G280" i="1"/>
  <c r="F280" i="1"/>
  <c r="B280" i="1"/>
  <c r="W279" i="1"/>
  <c r="T279" i="1"/>
  <c r="P279" i="1"/>
  <c r="J279" i="1"/>
  <c r="G279" i="1"/>
  <c r="F279" i="1"/>
  <c r="B279" i="1"/>
  <c r="W278" i="1"/>
  <c r="T278" i="1"/>
  <c r="P278" i="1"/>
  <c r="J278" i="1"/>
  <c r="G278" i="1"/>
  <c r="F278" i="1"/>
  <c r="B278" i="1"/>
  <c r="W277" i="1"/>
  <c r="T277" i="1"/>
  <c r="P277" i="1"/>
  <c r="J277" i="1"/>
  <c r="G277" i="1"/>
  <c r="F277" i="1"/>
  <c r="B277" i="1"/>
  <c r="W276" i="1"/>
  <c r="T276" i="1"/>
  <c r="P276" i="1"/>
  <c r="J276" i="1"/>
  <c r="G276" i="1"/>
  <c r="F276" i="1"/>
  <c r="B276" i="1"/>
  <c r="W275" i="1"/>
  <c r="T275" i="1"/>
  <c r="P275" i="1"/>
  <c r="J275" i="1"/>
  <c r="G275" i="1"/>
  <c r="F275" i="1"/>
  <c r="B275" i="1"/>
  <c r="W274" i="1"/>
  <c r="T274" i="1"/>
  <c r="P274" i="1"/>
  <c r="J274" i="1"/>
  <c r="G274" i="1"/>
  <c r="F274" i="1"/>
  <c r="B274" i="1"/>
  <c r="W273" i="1"/>
  <c r="T273" i="1"/>
  <c r="P273" i="1"/>
  <c r="J273" i="1"/>
  <c r="G273" i="1"/>
  <c r="F273" i="1"/>
  <c r="B273" i="1"/>
  <c r="W272" i="1"/>
  <c r="T272" i="1"/>
  <c r="P272" i="1"/>
  <c r="J272" i="1"/>
  <c r="G272" i="1"/>
  <c r="F272" i="1"/>
  <c r="B272" i="1"/>
  <c r="W271" i="1"/>
  <c r="T271" i="1"/>
  <c r="P271" i="1"/>
  <c r="J271" i="1"/>
  <c r="G271" i="1"/>
  <c r="F271" i="1"/>
  <c r="B271" i="1"/>
  <c r="W270" i="1"/>
  <c r="T270" i="1"/>
  <c r="P270" i="1"/>
  <c r="J270" i="1"/>
  <c r="G270" i="1"/>
  <c r="F270" i="1"/>
  <c r="B270" i="1"/>
  <c r="W269" i="1"/>
  <c r="T269" i="1"/>
  <c r="P269" i="1"/>
  <c r="J269" i="1"/>
  <c r="G269" i="1"/>
  <c r="F269" i="1"/>
  <c r="B269" i="1"/>
  <c r="W268" i="1"/>
  <c r="T268" i="1"/>
  <c r="P268" i="1"/>
  <c r="J268" i="1"/>
  <c r="G268" i="1"/>
  <c r="F268" i="1"/>
  <c r="B268" i="1"/>
  <c r="W267" i="1"/>
  <c r="T267" i="1"/>
  <c r="P267" i="1"/>
  <c r="J267" i="1"/>
  <c r="G267" i="1"/>
  <c r="F267" i="1"/>
  <c r="B267" i="1"/>
  <c r="W266" i="1"/>
  <c r="T266" i="1"/>
  <c r="P266" i="1"/>
  <c r="J266" i="1"/>
  <c r="G266" i="1"/>
  <c r="F266" i="1"/>
  <c r="B266" i="1"/>
  <c r="W265" i="1"/>
  <c r="T265" i="1"/>
  <c r="P265" i="1"/>
  <c r="J265" i="1"/>
  <c r="G265" i="1"/>
  <c r="F265" i="1"/>
  <c r="B265" i="1"/>
  <c r="W264" i="1"/>
  <c r="T264" i="1"/>
  <c r="P264" i="1"/>
  <c r="J264" i="1"/>
  <c r="G264" i="1"/>
  <c r="F264" i="1"/>
  <c r="B264" i="1"/>
  <c r="W263" i="1"/>
  <c r="T263" i="1"/>
  <c r="P263" i="1"/>
  <c r="J263" i="1"/>
  <c r="G263" i="1"/>
  <c r="F263" i="1"/>
  <c r="B263" i="1"/>
  <c r="W262" i="1"/>
  <c r="T262" i="1"/>
  <c r="P262" i="1"/>
  <c r="J262" i="1"/>
  <c r="G262" i="1"/>
  <c r="F262" i="1"/>
  <c r="B262" i="1"/>
  <c r="W261" i="1"/>
  <c r="T261" i="1"/>
  <c r="P261" i="1"/>
  <c r="J261" i="1"/>
  <c r="G261" i="1"/>
  <c r="F261" i="1"/>
  <c r="B261" i="1"/>
  <c r="W260" i="1"/>
  <c r="T260" i="1"/>
  <c r="P260" i="1"/>
  <c r="J260" i="1"/>
  <c r="G260" i="1"/>
  <c r="F260" i="1"/>
  <c r="B260" i="1"/>
  <c r="W259" i="1"/>
  <c r="T259" i="1"/>
  <c r="P259" i="1"/>
  <c r="J259" i="1"/>
  <c r="G259" i="1"/>
  <c r="F259" i="1"/>
  <c r="B259" i="1"/>
  <c r="W258" i="1"/>
  <c r="T258" i="1"/>
  <c r="P258" i="1"/>
  <c r="J258" i="1"/>
  <c r="G258" i="1"/>
  <c r="F258" i="1"/>
  <c r="B258" i="1"/>
  <c r="W257" i="1"/>
  <c r="T257" i="1"/>
  <c r="P257" i="1"/>
  <c r="J257" i="1"/>
  <c r="G257" i="1"/>
  <c r="F257" i="1"/>
  <c r="B257" i="1"/>
  <c r="W256" i="1"/>
  <c r="T256" i="1"/>
  <c r="P256" i="1"/>
  <c r="J256" i="1"/>
  <c r="G256" i="1"/>
  <c r="F256" i="1"/>
  <c r="B256" i="1"/>
  <c r="W255" i="1"/>
  <c r="T255" i="1"/>
  <c r="P255" i="1"/>
  <c r="J255" i="1"/>
  <c r="G255" i="1"/>
  <c r="F255" i="1"/>
  <c r="B255" i="1"/>
  <c r="W254" i="1"/>
  <c r="T254" i="1"/>
  <c r="P254" i="1"/>
  <c r="J254" i="1"/>
  <c r="G254" i="1"/>
  <c r="F254" i="1"/>
  <c r="B254" i="1"/>
  <c r="W253" i="1"/>
  <c r="T253" i="1"/>
  <c r="P253" i="1"/>
  <c r="J253" i="1"/>
  <c r="G253" i="1"/>
  <c r="F253" i="1"/>
  <c r="B253" i="1"/>
  <c r="W252" i="1"/>
  <c r="T252" i="1"/>
  <c r="P252" i="1"/>
  <c r="J252" i="1"/>
  <c r="G252" i="1"/>
  <c r="F252" i="1"/>
  <c r="B252" i="1"/>
  <c r="W251" i="1"/>
  <c r="T251" i="1"/>
  <c r="P251" i="1"/>
  <c r="J251" i="1"/>
  <c r="G251" i="1"/>
  <c r="F251" i="1"/>
  <c r="B251" i="1"/>
  <c r="W250" i="1"/>
  <c r="T250" i="1"/>
  <c r="P250" i="1"/>
  <c r="J250" i="1"/>
  <c r="G250" i="1"/>
  <c r="F250" i="1"/>
  <c r="B250" i="1"/>
  <c r="W249" i="1"/>
  <c r="T249" i="1"/>
  <c r="P249" i="1"/>
  <c r="J249" i="1"/>
  <c r="G249" i="1"/>
  <c r="F249" i="1"/>
  <c r="B249" i="1"/>
  <c r="W248" i="1"/>
  <c r="T248" i="1"/>
  <c r="P248" i="1"/>
  <c r="J248" i="1"/>
  <c r="G248" i="1"/>
  <c r="F248" i="1"/>
  <c r="B248" i="1"/>
  <c r="W247" i="1"/>
  <c r="T247" i="1"/>
  <c r="P247" i="1"/>
  <c r="J247" i="1"/>
  <c r="G247" i="1"/>
  <c r="F247" i="1"/>
  <c r="B247" i="1"/>
  <c r="W246" i="1"/>
  <c r="T246" i="1"/>
  <c r="P246" i="1"/>
  <c r="J246" i="1"/>
  <c r="G246" i="1"/>
  <c r="F246" i="1"/>
  <c r="B246" i="1"/>
  <c r="W245" i="1"/>
  <c r="T245" i="1"/>
  <c r="P245" i="1"/>
  <c r="J245" i="1"/>
  <c r="G245" i="1"/>
  <c r="F245" i="1"/>
  <c r="B245" i="1"/>
  <c r="W244" i="1"/>
  <c r="T244" i="1"/>
  <c r="P244" i="1"/>
  <c r="J244" i="1"/>
  <c r="G244" i="1"/>
  <c r="F244" i="1"/>
  <c r="B244" i="1"/>
  <c r="W243" i="1"/>
  <c r="T243" i="1"/>
  <c r="P243" i="1"/>
  <c r="J243" i="1"/>
  <c r="G243" i="1"/>
  <c r="F243" i="1"/>
  <c r="B243" i="1"/>
  <c r="W242" i="1"/>
  <c r="T242" i="1"/>
  <c r="P242" i="1"/>
  <c r="J242" i="1"/>
  <c r="G242" i="1"/>
  <c r="F242" i="1"/>
  <c r="B242" i="1"/>
  <c r="W241" i="1"/>
  <c r="T241" i="1"/>
  <c r="P241" i="1"/>
  <c r="J241" i="1"/>
  <c r="G241" i="1"/>
  <c r="F241" i="1"/>
  <c r="B241" i="1"/>
  <c r="W240" i="1"/>
  <c r="T240" i="1"/>
  <c r="P240" i="1"/>
  <c r="J240" i="1"/>
  <c r="G240" i="1"/>
  <c r="F240" i="1"/>
  <c r="B240" i="1"/>
  <c r="W239" i="1"/>
  <c r="T239" i="1"/>
  <c r="P239" i="1"/>
  <c r="J239" i="1"/>
  <c r="G239" i="1"/>
  <c r="F239" i="1"/>
  <c r="B239" i="1"/>
  <c r="W238" i="1"/>
  <c r="T238" i="1"/>
  <c r="P238" i="1"/>
  <c r="J238" i="1"/>
  <c r="G238" i="1"/>
  <c r="F238" i="1"/>
  <c r="B238" i="1"/>
  <c r="W237" i="1"/>
  <c r="T237" i="1"/>
  <c r="P237" i="1"/>
  <c r="J237" i="1"/>
  <c r="G237" i="1"/>
  <c r="F237" i="1"/>
  <c r="B237" i="1"/>
  <c r="W236" i="1"/>
  <c r="T236" i="1"/>
  <c r="P236" i="1"/>
  <c r="J236" i="1"/>
  <c r="G236" i="1"/>
  <c r="F236" i="1"/>
  <c r="B236" i="1"/>
  <c r="W235" i="1"/>
  <c r="T235" i="1"/>
  <c r="P235" i="1"/>
  <c r="J235" i="1"/>
  <c r="G235" i="1"/>
  <c r="F235" i="1"/>
  <c r="B235" i="1"/>
  <c r="W234" i="1"/>
  <c r="T234" i="1"/>
  <c r="P234" i="1"/>
  <c r="J234" i="1"/>
  <c r="G234" i="1"/>
  <c r="F234" i="1"/>
  <c r="B234" i="1"/>
  <c r="W233" i="1"/>
  <c r="T233" i="1"/>
  <c r="P233" i="1"/>
  <c r="J233" i="1"/>
  <c r="G233" i="1"/>
  <c r="F233" i="1"/>
  <c r="B233" i="1"/>
  <c r="W232" i="1"/>
  <c r="T232" i="1"/>
  <c r="P232" i="1"/>
  <c r="J232" i="1"/>
  <c r="G232" i="1"/>
  <c r="F232" i="1"/>
  <c r="B232" i="1"/>
  <c r="W231" i="1"/>
  <c r="T231" i="1"/>
  <c r="P231" i="1"/>
  <c r="J231" i="1"/>
  <c r="G231" i="1"/>
  <c r="F231" i="1"/>
  <c r="B231" i="1"/>
  <c r="W230" i="1"/>
  <c r="T230" i="1"/>
  <c r="P230" i="1"/>
  <c r="J230" i="1"/>
  <c r="G230" i="1"/>
  <c r="F230" i="1"/>
  <c r="B230" i="1"/>
  <c r="W229" i="1"/>
  <c r="T229" i="1"/>
  <c r="P229" i="1"/>
  <c r="J229" i="1"/>
  <c r="G229" i="1"/>
  <c r="F229" i="1"/>
  <c r="B229" i="1"/>
  <c r="W228" i="1"/>
  <c r="T228" i="1"/>
  <c r="P228" i="1"/>
  <c r="J228" i="1"/>
  <c r="G228" i="1"/>
  <c r="F228" i="1"/>
  <c r="B228" i="1"/>
  <c r="W227" i="1"/>
  <c r="T227" i="1"/>
  <c r="P227" i="1"/>
  <c r="J227" i="1"/>
  <c r="G227" i="1"/>
  <c r="F227" i="1"/>
  <c r="B227" i="1"/>
  <c r="W226" i="1"/>
  <c r="T226" i="1"/>
  <c r="P226" i="1"/>
  <c r="J226" i="1"/>
  <c r="G226" i="1"/>
  <c r="F226" i="1"/>
  <c r="B226" i="1"/>
  <c r="W225" i="1"/>
  <c r="T225" i="1"/>
  <c r="P225" i="1"/>
  <c r="J225" i="1"/>
  <c r="G225" i="1"/>
  <c r="F225" i="1"/>
  <c r="B225" i="1"/>
  <c r="W224" i="1"/>
  <c r="T224" i="1"/>
  <c r="P224" i="1"/>
  <c r="J224" i="1"/>
  <c r="G224" i="1"/>
  <c r="F224" i="1"/>
  <c r="B224" i="1"/>
  <c r="W223" i="1"/>
  <c r="T223" i="1"/>
  <c r="P223" i="1"/>
  <c r="J223" i="1"/>
  <c r="G223" i="1"/>
  <c r="F223" i="1"/>
  <c r="B223" i="1"/>
  <c r="W222" i="1"/>
  <c r="T222" i="1"/>
  <c r="P222" i="1"/>
  <c r="J222" i="1"/>
  <c r="G222" i="1"/>
  <c r="F222" i="1"/>
  <c r="B222" i="1"/>
  <c r="W221" i="1"/>
  <c r="T221" i="1"/>
  <c r="P221" i="1"/>
  <c r="J221" i="1"/>
  <c r="G221" i="1"/>
  <c r="F221" i="1"/>
  <c r="B221" i="1"/>
  <c r="W220" i="1"/>
  <c r="T220" i="1"/>
  <c r="P220" i="1"/>
  <c r="J220" i="1"/>
  <c r="G220" i="1"/>
  <c r="F220" i="1"/>
  <c r="B220" i="1"/>
  <c r="W219" i="1"/>
  <c r="T219" i="1"/>
  <c r="P219" i="1"/>
  <c r="J219" i="1"/>
  <c r="G219" i="1"/>
  <c r="F219" i="1"/>
  <c r="B219" i="1"/>
  <c r="W218" i="1"/>
  <c r="T218" i="1"/>
  <c r="P218" i="1"/>
  <c r="J218" i="1"/>
  <c r="G218" i="1"/>
  <c r="F218" i="1"/>
  <c r="B218" i="1"/>
  <c r="W217" i="1"/>
  <c r="T217" i="1"/>
  <c r="P217" i="1"/>
  <c r="J217" i="1"/>
  <c r="G217" i="1"/>
  <c r="F217" i="1"/>
  <c r="B217" i="1"/>
  <c r="W216" i="1"/>
  <c r="T216" i="1"/>
  <c r="P216" i="1"/>
  <c r="J216" i="1"/>
  <c r="G216" i="1"/>
  <c r="F216" i="1"/>
  <c r="B216" i="1"/>
  <c r="W215" i="1"/>
  <c r="T215" i="1"/>
  <c r="P215" i="1"/>
  <c r="J215" i="1"/>
  <c r="G215" i="1"/>
  <c r="F215" i="1"/>
  <c r="B215" i="1"/>
  <c r="W214" i="1"/>
  <c r="T214" i="1"/>
  <c r="P214" i="1"/>
  <c r="J214" i="1"/>
  <c r="G214" i="1"/>
  <c r="F214" i="1"/>
  <c r="B214" i="1"/>
  <c r="W213" i="1"/>
  <c r="T213" i="1"/>
  <c r="P213" i="1"/>
  <c r="J213" i="1"/>
  <c r="G213" i="1"/>
  <c r="F213" i="1"/>
  <c r="B213" i="1"/>
  <c r="W212" i="1"/>
  <c r="T212" i="1"/>
  <c r="P212" i="1"/>
  <c r="J212" i="1"/>
  <c r="G212" i="1"/>
  <c r="F212" i="1"/>
  <c r="B212" i="1"/>
  <c r="W211" i="1"/>
  <c r="T211" i="1"/>
  <c r="P211" i="1"/>
  <c r="J211" i="1"/>
  <c r="G211" i="1"/>
  <c r="F211" i="1"/>
  <c r="B211" i="1"/>
  <c r="W210" i="1"/>
  <c r="T210" i="1"/>
  <c r="P210" i="1"/>
  <c r="J210" i="1"/>
  <c r="G210" i="1"/>
  <c r="F210" i="1"/>
  <c r="B210" i="1"/>
  <c r="W209" i="1"/>
  <c r="T209" i="1"/>
  <c r="P209" i="1"/>
  <c r="J209" i="1"/>
  <c r="G209" i="1"/>
  <c r="F209" i="1"/>
  <c r="B209" i="1"/>
  <c r="W208" i="1"/>
  <c r="T208" i="1"/>
  <c r="P208" i="1"/>
  <c r="J208" i="1"/>
  <c r="G208" i="1"/>
  <c r="F208" i="1"/>
  <c r="B208" i="1"/>
  <c r="W207" i="1"/>
  <c r="T207" i="1"/>
  <c r="P207" i="1"/>
  <c r="J207" i="1"/>
  <c r="G207" i="1"/>
  <c r="F207" i="1"/>
  <c r="B207" i="1"/>
  <c r="W206" i="1"/>
  <c r="T206" i="1"/>
  <c r="P206" i="1"/>
  <c r="J206" i="1"/>
  <c r="G206" i="1"/>
  <c r="F206" i="1"/>
  <c r="B206" i="1"/>
  <c r="W205" i="1"/>
  <c r="T205" i="1"/>
  <c r="P205" i="1"/>
  <c r="J205" i="1"/>
  <c r="G205" i="1"/>
  <c r="F205" i="1"/>
  <c r="B205" i="1"/>
  <c r="W204" i="1"/>
  <c r="T204" i="1"/>
  <c r="P204" i="1"/>
  <c r="J204" i="1"/>
  <c r="G204" i="1"/>
  <c r="F204" i="1"/>
  <c r="B204" i="1"/>
  <c r="W203" i="1"/>
  <c r="T203" i="1"/>
  <c r="P203" i="1"/>
  <c r="J203" i="1"/>
  <c r="G203" i="1"/>
  <c r="F203" i="1"/>
  <c r="B203" i="1"/>
  <c r="W202" i="1"/>
  <c r="T202" i="1"/>
  <c r="P202" i="1"/>
  <c r="J202" i="1"/>
  <c r="G202" i="1"/>
  <c r="F202" i="1"/>
  <c r="B202" i="1"/>
  <c r="W201" i="1"/>
  <c r="T201" i="1"/>
  <c r="P201" i="1"/>
  <c r="J201" i="1"/>
  <c r="G201" i="1"/>
  <c r="F201" i="1"/>
  <c r="B201" i="1"/>
  <c r="W200" i="1"/>
  <c r="T200" i="1"/>
  <c r="P200" i="1"/>
  <c r="J200" i="1"/>
  <c r="G200" i="1"/>
  <c r="F200" i="1"/>
  <c r="B200" i="1"/>
  <c r="W199" i="1"/>
  <c r="T199" i="1"/>
  <c r="P199" i="1"/>
  <c r="J199" i="1"/>
  <c r="G199" i="1"/>
  <c r="F199" i="1"/>
  <c r="B199" i="1"/>
  <c r="W198" i="1"/>
  <c r="T198" i="1"/>
  <c r="P198" i="1"/>
  <c r="J198" i="1"/>
  <c r="G198" i="1"/>
  <c r="F198" i="1"/>
  <c r="B198" i="1"/>
  <c r="W197" i="1"/>
  <c r="T197" i="1"/>
  <c r="P197" i="1"/>
  <c r="J197" i="1"/>
  <c r="G197" i="1"/>
  <c r="F197" i="1"/>
  <c r="B197" i="1"/>
  <c r="W196" i="1"/>
  <c r="T196" i="1"/>
  <c r="P196" i="1"/>
  <c r="J196" i="1"/>
  <c r="G196" i="1"/>
  <c r="F196" i="1"/>
  <c r="B196" i="1"/>
  <c r="W195" i="1"/>
  <c r="T195" i="1"/>
  <c r="P195" i="1"/>
  <c r="J195" i="1"/>
  <c r="G195" i="1"/>
  <c r="F195" i="1"/>
  <c r="B195" i="1"/>
  <c r="W194" i="1"/>
  <c r="T194" i="1"/>
  <c r="P194" i="1"/>
  <c r="J194" i="1"/>
  <c r="G194" i="1"/>
  <c r="F194" i="1"/>
  <c r="B194" i="1"/>
  <c r="W193" i="1"/>
  <c r="T193" i="1"/>
  <c r="P193" i="1"/>
  <c r="J193" i="1"/>
  <c r="G193" i="1"/>
  <c r="F193" i="1"/>
  <c r="B193" i="1"/>
  <c r="W192" i="1"/>
  <c r="T192" i="1"/>
  <c r="P192" i="1"/>
  <c r="J192" i="1"/>
  <c r="G192" i="1"/>
  <c r="F192" i="1"/>
  <c r="B192" i="1"/>
  <c r="W191" i="1"/>
  <c r="T191" i="1"/>
  <c r="P191" i="1"/>
  <c r="J191" i="1"/>
  <c r="G191" i="1"/>
  <c r="F191" i="1"/>
  <c r="B191" i="1"/>
  <c r="W190" i="1"/>
  <c r="T190" i="1"/>
  <c r="P190" i="1"/>
  <c r="J190" i="1"/>
  <c r="G190" i="1"/>
  <c r="F190" i="1"/>
  <c r="B190" i="1"/>
  <c r="W189" i="1"/>
  <c r="T189" i="1"/>
  <c r="P189" i="1"/>
  <c r="J189" i="1"/>
  <c r="G189" i="1"/>
  <c r="F189" i="1"/>
  <c r="B189" i="1"/>
  <c r="W188" i="1"/>
  <c r="T188" i="1"/>
  <c r="P188" i="1"/>
  <c r="J188" i="1"/>
  <c r="G188" i="1"/>
  <c r="F188" i="1"/>
  <c r="B188" i="1"/>
  <c r="W187" i="1"/>
  <c r="T187" i="1"/>
  <c r="P187" i="1"/>
  <c r="J187" i="1"/>
  <c r="G187" i="1"/>
  <c r="F187" i="1"/>
  <c r="B187" i="1"/>
  <c r="W186" i="1"/>
  <c r="T186" i="1"/>
  <c r="P186" i="1"/>
  <c r="J186" i="1"/>
  <c r="G186" i="1"/>
  <c r="F186" i="1"/>
  <c r="B186" i="1"/>
  <c r="W185" i="1"/>
  <c r="T185" i="1"/>
  <c r="P185" i="1"/>
  <c r="J185" i="1"/>
  <c r="G185" i="1"/>
  <c r="F185" i="1"/>
  <c r="B185" i="1"/>
  <c r="W184" i="1"/>
  <c r="T184" i="1"/>
  <c r="P184" i="1"/>
  <c r="J184" i="1"/>
  <c r="G184" i="1"/>
  <c r="F184" i="1"/>
  <c r="B184" i="1"/>
  <c r="W183" i="1"/>
  <c r="T183" i="1"/>
  <c r="P183" i="1"/>
  <c r="J183" i="1"/>
  <c r="G183" i="1"/>
  <c r="F183" i="1"/>
  <c r="B183" i="1"/>
  <c r="W182" i="1"/>
  <c r="T182" i="1"/>
  <c r="P182" i="1"/>
  <c r="J182" i="1"/>
  <c r="G182" i="1"/>
  <c r="F182" i="1"/>
  <c r="B182" i="1"/>
  <c r="W181" i="1"/>
  <c r="T181" i="1"/>
  <c r="P181" i="1"/>
  <c r="J181" i="1"/>
  <c r="G181" i="1"/>
  <c r="F181" i="1"/>
  <c r="B181" i="1"/>
  <c r="W180" i="1"/>
  <c r="T180" i="1"/>
  <c r="P180" i="1"/>
  <c r="J180" i="1"/>
  <c r="G180" i="1"/>
  <c r="F180" i="1"/>
  <c r="B180" i="1"/>
  <c r="W179" i="1"/>
  <c r="T179" i="1"/>
  <c r="P179" i="1"/>
  <c r="J179" i="1"/>
  <c r="G179" i="1"/>
  <c r="F179" i="1"/>
  <c r="B179" i="1"/>
  <c r="W178" i="1"/>
  <c r="T178" i="1"/>
  <c r="P178" i="1"/>
  <c r="J178" i="1"/>
  <c r="G178" i="1"/>
  <c r="F178" i="1"/>
  <c r="B178" i="1"/>
  <c r="W177" i="1"/>
  <c r="T177" i="1"/>
  <c r="P177" i="1"/>
  <c r="J177" i="1"/>
  <c r="G177" i="1"/>
  <c r="F177" i="1"/>
  <c r="B177" i="1"/>
  <c r="W176" i="1"/>
  <c r="T176" i="1"/>
  <c r="P176" i="1"/>
  <c r="J176" i="1"/>
  <c r="G176" i="1"/>
  <c r="F176" i="1"/>
  <c r="B176" i="1"/>
  <c r="W175" i="1"/>
  <c r="T175" i="1"/>
  <c r="P175" i="1"/>
  <c r="J175" i="1"/>
  <c r="G175" i="1"/>
  <c r="F175" i="1"/>
  <c r="B175" i="1"/>
  <c r="W174" i="1"/>
  <c r="T174" i="1"/>
  <c r="P174" i="1"/>
  <c r="J174" i="1"/>
  <c r="G174" i="1"/>
  <c r="F174" i="1"/>
  <c r="B174" i="1"/>
  <c r="W173" i="1"/>
  <c r="T173" i="1"/>
  <c r="P173" i="1"/>
  <c r="J173" i="1"/>
  <c r="G173" i="1"/>
  <c r="F173" i="1"/>
  <c r="B173" i="1"/>
  <c r="W172" i="1"/>
  <c r="T172" i="1"/>
  <c r="P172" i="1"/>
  <c r="J172" i="1"/>
  <c r="G172" i="1"/>
  <c r="F172" i="1"/>
  <c r="B172" i="1"/>
  <c r="W171" i="1"/>
  <c r="T171" i="1"/>
  <c r="P171" i="1"/>
  <c r="J171" i="1"/>
  <c r="G171" i="1"/>
  <c r="F171" i="1"/>
  <c r="B171" i="1"/>
  <c r="W170" i="1"/>
  <c r="T170" i="1"/>
  <c r="P170" i="1"/>
  <c r="J170" i="1"/>
  <c r="G170" i="1"/>
  <c r="F170" i="1"/>
  <c r="B170" i="1"/>
  <c r="W169" i="1"/>
  <c r="T169" i="1"/>
  <c r="P169" i="1"/>
  <c r="J169" i="1"/>
  <c r="G169" i="1"/>
  <c r="F169" i="1"/>
  <c r="B169" i="1"/>
  <c r="W168" i="1"/>
  <c r="T168" i="1"/>
  <c r="P168" i="1"/>
  <c r="J168" i="1"/>
  <c r="G168" i="1"/>
  <c r="F168" i="1"/>
  <c r="B168" i="1"/>
  <c r="W167" i="1"/>
  <c r="T167" i="1"/>
  <c r="P167" i="1"/>
  <c r="J167" i="1"/>
  <c r="G167" i="1"/>
  <c r="F167" i="1"/>
  <c r="B167" i="1"/>
  <c r="W166" i="1"/>
  <c r="T166" i="1"/>
  <c r="P166" i="1"/>
  <c r="J166" i="1"/>
  <c r="G166" i="1"/>
  <c r="F166" i="1"/>
  <c r="B166" i="1"/>
  <c r="W165" i="1"/>
  <c r="T165" i="1"/>
  <c r="P165" i="1"/>
  <c r="J165" i="1"/>
  <c r="G165" i="1"/>
  <c r="F165" i="1"/>
  <c r="B165" i="1"/>
  <c r="W164" i="1"/>
  <c r="T164" i="1"/>
  <c r="P164" i="1"/>
  <c r="J164" i="1"/>
  <c r="G164" i="1"/>
  <c r="F164" i="1"/>
  <c r="B164" i="1"/>
  <c r="W163" i="1"/>
  <c r="T163" i="1"/>
  <c r="P163" i="1"/>
  <c r="J163" i="1"/>
  <c r="G163" i="1"/>
  <c r="F163" i="1"/>
  <c r="B163" i="1"/>
  <c r="W162" i="1"/>
  <c r="T162" i="1"/>
  <c r="P162" i="1"/>
  <c r="J162" i="1"/>
  <c r="G162" i="1"/>
  <c r="F162" i="1"/>
  <c r="B162" i="1"/>
  <c r="W161" i="1"/>
  <c r="T161" i="1"/>
  <c r="P161" i="1"/>
  <c r="J161" i="1"/>
  <c r="G161" i="1"/>
  <c r="F161" i="1"/>
  <c r="B161" i="1"/>
  <c r="W160" i="1"/>
  <c r="T160" i="1"/>
  <c r="P160" i="1"/>
  <c r="J160" i="1"/>
  <c r="G160" i="1"/>
  <c r="F160" i="1"/>
  <c r="B160" i="1"/>
  <c r="W159" i="1"/>
  <c r="T159" i="1"/>
  <c r="P159" i="1"/>
  <c r="J159" i="1"/>
  <c r="G159" i="1"/>
  <c r="F159" i="1"/>
  <c r="B159" i="1"/>
  <c r="W158" i="1"/>
  <c r="T158" i="1"/>
  <c r="P158" i="1"/>
  <c r="J158" i="1"/>
  <c r="G158" i="1"/>
  <c r="F158" i="1"/>
  <c r="B158" i="1"/>
  <c r="W157" i="1"/>
  <c r="T157" i="1"/>
  <c r="P157" i="1"/>
  <c r="J157" i="1"/>
  <c r="G157" i="1"/>
  <c r="F157" i="1"/>
  <c r="B157" i="1"/>
  <c r="W156" i="1"/>
  <c r="T156" i="1"/>
  <c r="P156" i="1"/>
  <c r="J156" i="1"/>
  <c r="G156" i="1"/>
  <c r="F156" i="1"/>
  <c r="B156" i="1"/>
  <c r="W155" i="1"/>
  <c r="T155" i="1"/>
  <c r="P155" i="1"/>
  <c r="J155" i="1"/>
  <c r="G155" i="1"/>
  <c r="F155" i="1"/>
  <c r="B155" i="1"/>
  <c r="W154" i="1"/>
  <c r="T154" i="1"/>
  <c r="P154" i="1"/>
  <c r="J154" i="1"/>
  <c r="G154" i="1"/>
  <c r="F154" i="1"/>
  <c r="B154" i="1"/>
  <c r="W153" i="1"/>
  <c r="T153" i="1"/>
  <c r="P153" i="1"/>
  <c r="J153" i="1"/>
  <c r="G153" i="1"/>
  <c r="F153" i="1"/>
  <c r="B153" i="1"/>
  <c r="W152" i="1"/>
  <c r="T152" i="1"/>
  <c r="P152" i="1"/>
  <c r="J152" i="1"/>
  <c r="G152" i="1"/>
  <c r="F152" i="1"/>
  <c r="B152" i="1"/>
  <c r="W151" i="1"/>
  <c r="T151" i="1"/>
  <c r="P151" i="1"/>
  <c r="J151" i="1"/>
  <c r="G151" i="1"/>
  <c r="F151" i="1"/>
  <c r="B151" i="1"/>
  <c r="W150" i="1"/>
  <c r="T150" i="1"/>
  <c r="P150" i="1"/>
  <c r="J150" i="1"/>
  <c r="G150" i="1"/>
  <c r="F150" i="1"/>
  <c r="B150" i="1"/>
  <c r="W149" i="1"/>
  <c r="T149" i="1"/>
  <c r="P149" i="1"/>
  <c r="J149" i="1"/>
  <c r="G149" i="1"/>
  <c r="F149" i="1"/>
  <c r="B149" i="1"/>
  <c r="W148" i="1"/>
  <c r="T148" i="1"/>
  <c r="P148" i="1"/>
  <c r="J148" i="1"/>
  <c r="G148" i="1"/>
  <c r="F148" i="1"/>
  <c r="B148" i="1"/>
  <c r="W147" i="1"/>
  <c r="T147" i="1"/>
  <c r="P147" i="1"/>
  <c r="J147" i="1"/>
  <c r="G147" i="1"/>
  <c r="F147" i="1"/>
  <c r="B147" i="1"/>
  <c r="W146" i="1"/>
  <c r="T146" i="1"/>
  <c r="P146" i="1"/>
  <c r="J146" i="1"/>
  <c r="G146" i="1"/>
  <c r="F146" i="1"/>
  <c r="B146" i="1"/>
  <c r="W145" i="1"/>
  <c r="T145" i="1"/>
  <c r="P145" i="1"/>
  <c r="J145" i="1"/>
  <c r="G145" i="1"/>
  <c r="F145" i="1"/>
  <c r="B145" i="1"/>
  <c r="W144" i="1"/>
  <c r="T144" i="1"/>
  <c r="P144" i="1"/>
  <c r="J144" i="1"/>
  <c r="G144" i="1"/>
  <c r="F144" i="1"/>
  <c r="B144" i="1"/>
  <c r="W143" i="1"/>
  <c r="T143" i="1"/>
  <c r="P143" i="1"/>
  <c r="J143" i="1"/>
  <c r="G143" i="1"/>
  <c r="F143" i="1"/>
  <c r="B143" i="1"/>
  <c r="W142" i="1"/>
  <c r="T142" i="1"/>
  <c r="P142" i="1"/>
  <c r="J142" i="1"/>
  <c r="G142" i="1"/>
  <c r="F142" i="1"/>
  <c r="B142" i="1"/>
  <c r="W141" i="1"/>
  <c r="T141" i="1"/>
  <c r="P141" i="1"/>
  <c r="J141" i="1"/>
  <c r="G141" i="1"/>
  <c r="F141" i="1"/>
  <c r="B141" i="1"/>
  <c r="W140" i="1"/>
  <c r="T140" i="1"/>
  <c r="P140" i="1"/>
  <c r="J140" i="1"/>
  <c r="G140" i="1"/>
  <c r="F140" i="1"/>
  <c r="B140" i="1"/>
  <c r="W139" i="1"/>
  <c r="T139" i="1"/>
  <c r="P139" i="1"/>
  <c r="J139" i="1"/>
  <c r="G139" i="1"/>
  <c r="F139" i="1"/>
  <c r="B139" i="1"/>
  <c r="W138" i="1"/>
  <c r="T138" i="1"/>
  <c r="P138" i="1"/>
  <c r="J138" i="1"/>
  <c r="G138" i="1"/>
  <c r="F138" i="1"/>
  <c r="B138" i="1"/>
  <c r="W137" i="1"/>
  <c r="T137" i="1"/>
  <c r="P137" i="1"/>
  <c r="J137" i="1"/>
  <c r="G137" i="1"/>
  <c r="F137" i="1"/>
  <c r="B137" i="1"/>
  <c r="W136" i="1"/>
  <c r="T136" i="1"/>
  <c r="P136" i="1"/>
  <c r="J136" i="1"/>
  <c r="G136" i="1"/>
  <c r="F136" i="1"/>
  <c r="B136" i="1"/>
  <c r="W135" i="1"/>
  <c r="T135" i="1"/>
  <c r="P135" i="1"/>
  <c r="J135" i="1"/>
  <c r="G135" i="1"/>
  <c r="F135" i="1"/>
  <c r="B135" i="1"/>
  <c r="W134" i="1"/>
  <c r="T134" i="1"/>
  <c r="P134" i="1"/>
  <c r="J134" i="1"/>
  <c r="G134" i="1"/>
  <c r="F134" i="1"/>
  <c r="B134" i="1"/>
  <c r="W133" i="1"/>
  <c r="T133" i="1"/>
  <c r="P133" i="1"/>
  <c r="J133" i="1"/>
  <c r="G133" i="1"/>
  <c r="F133" i="1"/>
  <c r="B133" i="1"/>
  <c r="W132" i="1"/>
  <c r="T132" i="1"/>
  <c r="P132" i="1"/>
  <c r="J132" i="1"/>
  <c r="G132" i="1"/>
  <c r="F132" i="1"/>
  <c r="B132" i="1"/>
  <c r="W131" i="1"/>
  <c r="T131" i="1"/>
  <c r="P131" i="1"/>
  <c r="J131" i="1"/>
  <c r="G131" i="1"/>
  <c r="F131" i="1"/>
  <c r="B131" i="1"/>
  <c r="W130" i="1"/>
  <c r="T130" i="1"/>
  <c r="P130" i="1"/>
  <c r="J130" i="1"/>
  <c r="G130" i="1"/>
  <c r="F130" i="1"/>
  <c r="B130" i="1"/>
  <c r="W129" i="1"/>
  <c r="T129" i="1"/>
  <c r="P129" i="1"/>
  <c r="J129" i="1"/>
  <c r="G129" i="1"/>
  <c r="F129" i="1"/>
  <c r="B129" i="1"/>
  <c r="W128" i="1"/>
  <c r="T128" i="1"/>
  <c r="P128" i="1"/>
  <c r="J128" i="1"/>
  <c r="G128" i="1"/>
  <c r="F128" i="1"/>
  <c r="B128" i="1"/>
  <c r="W127" i="1"/>
  <c r="T127" i="1"/>
  <c r="P127" i="1"/>
  <c r="J127" i="1"/>
  <c r="G127" i="1"/>
  <c r="F127" i="1"/>
  <c r="B127" i="1"/>
  <c r="W126" i="1"/>
  <c r="T126" i="1"/>
  <c r="P126" i="1"/>
  <c r="J126" i="1"/>
  <c r="G126" i="1"/>
  <c r="F126" i="1"/>
  <c r="B126" i="1"/>
  <c r="W125" i="1"/>
  <c r="T125" i="1"/>
  <c r="P125" i="1"/>
  <c r="J125" i="1"/>
  <c r="G125" i="1"/>
  <c r="F125" i="1"/>
  <c r="B125" i="1"/>
  <c r="W124" i="1"/>
  <c r="T124" i="1"/>
  <c r="P124" i="1"/>
  <c r="J124" i="1"/>
  <c r="G124" i="1"/>
  <c r="F124" i="1"/>
  <c r="B124" i="1"/>
  <c r="W123" i="1"/>
  <c r="T123" i="1"/>
  <c r="P123" i="1"/>
  <c r="J123" i="1"/>
  <c r="G123" i="1"/>
  <c r="F123" i="1"/>
  <c r="B123" i="1"/>
  <c r="W122" i="1"/>
  <c r="T122" i="1"/>
  <c r="P122" i="1"/>
  <c r="J122" i="1"/>
  <c r="G122" i="1"/>
  <c r="F122" i="1"/>
  <c r="B122" i="1"/>
  <c r="W121" i="1"/>
  <c r="T121" i="1"/>
  <c r="P121" i="1"/>
  <c r="J121" i="1"/>
  <c r="G121" i="1"/>
  <c r="F121" i="1"/>
  <c r="B121" i="1"/>
  <c r="W120" i="1"/>
  <c r="T120" i="1"/>
  <c r="P120" i="1"/>
  <c r="J120" i="1"/>
  <c r="G120" i="1"/>
  <c r="F120" i="1"/>
  <c r="B120" i="1"/>
  <c r="W119" i="1"/>
  <c r="T119" i="1"/>
  <c r="P119" i="1"/>
  <c r="J119" i="1"/>
  <c r="G119" i="1"/>
  <c r="F119" i="1"/>
  <c r="B119" i="1"/>
  <c r="W118" i="1"/>
  <c r="T118" i="1"/>
  <c r="P118" i="1"/>
  <c r="J118" i="1"/>
  <c r="G118" i="1"/>
  <c r="F118" i="1"/>
  <c r="B118" i="1"/>
  <c r="W117" i="1"/>
  <c r="T117" i="1"/>
  <c r="P117" i="1"/>
  <c r="J117" i="1"/>
  <c r="G117" i="1"/>
  <c r="F117" i="1"/>
  <c r="B117" i="1"/>
  <c r="W116" i="1"/>
  <c r="T116" i="1"/>
  <c r="P116" i="1"/>
  <c r="J116" i="1"/>
  <c r="G116" i="1"/>
  <c r="F116" i="1"/>
  <c r="B116" i="1"/>
  <c r="W115" i="1"/>
  <c r="T115" i="1"/>
  <c r="P115" i="1"/>
  <c r="J115" i="1"/>
  <c r="G115" i="1"/>
  <c r="F115" i="1"/>
  <c r="B115" i="1"/>
  <c r="W114" i="1"/>
  <c r="T114" i="1"/>
  <c r="P114" i="1"/>
  <c r="J114" i="1"/>
  <c r="G114" i="1"/>
  <c r="F114" i="1"/>
  <c r="B114" i="1"/>
  <c r="W113" i="1"/>
  <c r="T113" i="1"/>
  <c r="P113" i="1"/>
  <c r="J113" i="1"/>
  <c r="G113" i="1"/>
  <c r="F113" i="1"/>
  <c r="B113" i="1"/>
  <c r="W112" i="1"/>
  <c r="T112" i="1"/>
  <c r="P112" i="1"/>
  <c r="J112" i="1"/>
  <c r="G112" i="1"/>
  <c r="F112" i="1"/>
  <c r="B112" i="1"/>
  <c r="W111" i="1"/>
  <c r="T111" i="1"/>
  <c r="P111" i="1"/>
  <c r="J111" i="1"/>
  <c r="G111" i="1"/>
  <c r="F111" i="1"/>
  <c r="B111" i="1"/>
  <c r="W110" i="1"/>
  <c r="T110" i="1"/>
  <c r="P110" i="1"/>
  <c r="J110" i="1"/>
  <c r="G110" i="1"/>
  <c r="F110" i="1"/>
  <c r="B110" i="1"/>
  <c r="W109" i="1"/>
  <c r="T109" i="1"/>
  <c r="P109" i="1"/>
  <c r="J109" i="1"/>
  <c r="G109" i="1"/>
  <c r="F109" i="1"/>
  <c r="B109" i="1"/>
  <c r="W108" i="1"/>
  <c r="T108" i="1"/>
  <c r="P108" i="1"/>
  <c r="J108" i="1"/>
  <c r="G108" i="1"/>
  <c r="F108" i="1"/>
  <c r="B108" i="1"/>
  <c r="W107" i="1"/>
  <c r="T107" i="1"/>
  <c r="P107" i="1"/>
  <c r="J107" i="1"/>
  <c r="G107" i="1"/>
  <c r="F107" i="1"/>
  <c r="B107" i="1"/>
  <c r="W106" i="1"/>
  <c r="T106" i="1"/>
  <c r="P106" i="1"/>
  <c r="J106" i="1"/>
  <c r="G106" i="1"/>
  <c r="F106" i="1"/>
  <c r="B106" i="1"/>
  <c r="W105" i="1"/>
  <c r="T105" i="1"/>
  <c r="P105" i="1"/>
  <c r="J105" i="1"/>
  <c r="G105" i="1"/>
  <c r="F105" i="1"/>
  <c r="B105" i="1"/>
  <c r="W104" i="1"/>
  <c r="T104" i="1"/>
  <c r="P104" i="1"/>
  <c r="J104" i="1"/>
  <c r="G104" i="1"/>
  <c r="F104" i="1"/>
  <c r="B104" i="1"/>
  <c r="W103" i="1"/>
  <c r="T103" i="1"/>
  <c r="P103" i="1"/>
  <c r="J103" i="1"/>
  <c r="G103" i="1"/>
  <c r="F103" i="1"/>
  <c r="B103" i="1"/>
  <c r="W102" i="1"/>
  <c r="T102" i="1"/>
  <c r="P102" i="1"/>
  <c r="J102" i="1"/>
  <c r="G102" i="1"/>
  <c r="F102" i="1"/>
  <c r="B102" i="1"/>
  <c r="W101" i="1"/>
  <c r="T101" i="1"/>
  <c r="P101" i="1"/>
  <c r="J101" i="1"/>
  <c r="G101" i="1"/>
  <c r="F101" i="1"/>
  <c r="B101" i="1"/>
  <c r="W100" i="1"/>
  <c r="T100" i="1"/>
  <c r="P100" i="1"/>
  <c r="J100" i="1"/>
  <c r="G100" i="1"/>
  <c r="F100" i="1"/>
  <c r="B100" i="1"/>
  <c r="W99" i="1"/>
  <c r="T99" i="1"/>
  <c r="P99" i="1"/>
  <c r="J99" i="1"/>
  <c r="G99" i="1"/>
  <c r="F99" i="1"/>
  <c r="B99" i="1"/>
  <c r="W98" i="1"/>
  <c r="T98" i="1"/>
  <c r="P98" i="1"/>
  <c r="J98" i="1"/>
  <c r="G98" i="1"/>
  <c r="F98" i="1"/>
  <c r="B98" i="1"/>
  <c r="W97" i="1"/>
  <c r="T97" i="1"/>
  <c r="P97" i="1"/>
  <c r="J97" i="1"/>
  <c r="G97" i="1"/>
  <c r="F97" i="1"/>
  <c r="B97" i="1"/>
  <c r="W96" i="1"/>
  <c r="T96" i="1"/>
  <c r="P96" i="1"/>
  <c r="J96" i="1"/>
  <c r="G96" i="1"/>
  <c r="F96" i="1"/>
  <c r="B96" i="1"/>
  <c r="W95" i="1"/>
  <c r="T95" i="1"/>
  <c r="P95" i="1"/>
  <c r="J95" i="1"/>
  <c r="G95" i="1"/>
  <c r="F95" i="1"/>
  <c r="B95" i="1"/>
  <c r="W94" i="1"/>
  <c r="T94" i="1"/>
  <c r="P94" i="1"/>
  <c r="J94" i="1"/>
  <c r="G94" i="1"/>
  <c r="F94" i="1"/>
  <c r="B94" i="1"/>
  <c r="W93" i="1"/>
  <c r="T93" i="1"/>
  <c r="P93" i="1"/>
  <c r="J93" i="1"/>
  <c r="G93" i="1"/>
  <c r="F93" i="1"/>
  <c r="B93" i="1"/>
  <c r="W92" i="1"/>
  <c r="T92" i="1"/>
  <c r="P92" i="1"/>
  <c r="J92" i="1"/>
  <c r="G92" i="1"/>
  <c r="F92" i="1"/>
  <c r="B92" i="1"/>
  <c r="W91" i="1"/>
  <c r="T91" i="1"/>
  <c r="P91" i="1"/>
  <c r="J91" i="1"/>
  <c r="G91" i="1"/>
  <c r="F91" i="1"/>
  <c r="B91" i="1"/>
  <c r="W90" i="1"/>
  <c r="T90" i="1"/>
  <c r="P90" i="1"/>
  <c r="J90" i="1"/>
  <c r="G90" i="1"/>
  <c r="F90" i="1"/>
  <c r="B90" i="1"/>
  <c r="W89" i="1"/>
  <c r="T89" i="1"/>
  <c r="P89" i="1"/>
  <c r="J89" i="1"/>
  <c r="G89" i="1"/>
  <c r="F89" i="1"/>
  <c r="B89" i="1"/>
  <c r="W88" i="1"/>
  <c r="T88" i="1"/>
  <c r="P88" i="1"/>
  <c r="J88" i="1"/>
  <c r="G88" i="1"/>
  <c r="F88" i="1"/>
  <c r="B88" i="1"/>
  <c r="W87" i="1"/>
  <c r="T87" i="1"/>
  <c r="P87" i="1"/>
  <c r="J87" i="1"/>
  <c r="G87" i="1"/>
  <c r="F87" i="1"/>
  <c r="B87" i="1"/>
  <c r="W86" i="1"/>
  <c r="T86" i="1"/>
  <c r="P86" i="1"/>
  <c r="J86" i="1"/>
  <c r="G86" i="1"/>
  <c r="F86" i="1"/>
  <c r="B86" i="1"/>
  <c r="W85" i="1"/>
  <c r="T85" i="1"/>
  <c r="P85" i="1"/>
  <c r="J85" i="1"/>
  <c r="G85" i="1"/>
  <c r="F85" i="1"/>
  <c r="B85" i="1"/>
  <c r="W84" i="1"/>
  <c r="T84" i="1"/>
  <c r="P84" i="1"/>
  <c r="J84" i="1"/>
  <c r="G84" i="1"/>
  <c r="F84" i="1"/>
  <c r="B84" i="1"/>
  <c r="W83" i="1"/>
  <c r="T83" i="1"/>
  <c r="P83" i="1"/>
  <c r="J83" i="1"/>
  <c r="G83" i="1"/>
  <c r="F83" i="1"/>
  <c r="B83" i="1"/>
  <c r="W82" i="1"/>
  <c r="T82" i="1"/>
  <c r="P82" i="1"/>
  <c r="J82" i="1"/>
  <c r="G82" i="1"/>
  <c r="F82" i="1"/>
  <c r="B82" i="1"/>
  <c r="W81" i="1"/>
  <c r="T81" i="1"/>
  <c r="P81" i="1"/>
  <c r="J81" i="1"/>
  <c r="G81" i="1"/>
  <c r="F81" i="1"/>
  <c r="B81" i="1"/>
  <c r="W80" i="1"/>
  <c r="T80" i="1"/>
  <c r="P80" i="1"/>
  <c r="J80" i="1"/>
  <c r="G80" i="1"/>
  <c r="F80" i="1"/>
  <c r="B80" i="1"/>
  <c r="W79" i="1"/>
  <c r="T79" i="1"/>
  <c r="P79" i="1"/>
  <c r="J79" i="1"/>
  <c r="G79" i="1"/>
  <c r="F79" i="1"/>
  <c r="B79" i="1"/>
  <c r="W78" i="1"/>
  <c r="T78" i="1"/>
  <c r="P78" i="1"/>
  <c r="J78" i="1"/>
  <c r="G78" i="1"/>
  <c r="F78" i="1"/>
  <c r="B78" i="1"/>
  <c r="W77" i="1"/>
  <c r="T77" i="1"/>
  <c r="P77" i="1"/>
  <c r="J77" i="1"/>
  <c r="G77" i="1"/>
  <c r="F77" i="1"/>
  <c r="B77" i="1"/>
  <c r="W76" i="1"/>
  <c r="T76" i="1"/>
  <c r="P76" i="1"/>
  <c r="J76" i="1"/>
  <c r="G76" i="1"/>
  <c r="F76" i="1"/>
  <c r="B76" i="1"/>
  <c r="W75" i="1"/>
  <c r="T75" i="1"/>
  <c r="P75" i="1"/>
  <c r="J75" i="1"/>
  <c r="G75" i="1"/>
  <c r="F75" i="1"/>
  <c r="B75" i="1"/>
  <c r="W74" i="1"/>
  <c r="T74" i="1"/>
  <c r="P74" i="1"/>
  <c r="J74" i="1"/>
  <c r="G74" i="1"/>
  <c r="F74" i="1"/>
  <c r="B74" i="1"/>
  <c r="W73" i="1"/>
  <c r="T73" i="1"/>
  <c r="P73" i="1"/>
  <c r="J73" i="1"/>
  <c r="G73" i="1"/>
  <c r="F73" i="1"/>
  <c r="B73" i="1"/>
  <c r="W72" i="1"/>
  <c r="T72" i="1"/>
  <c r="P72" i="1"/>
  <c r="J72" i="1"/>
  <c r="G72" i="1"/>
  <c r="F72" i="1"/>
  <c r="B72" i="1"/>
  <c r="W71" i="1"/>
  <c r="T71" i="1"/>
  <c r="P71" i="1"/>
  <c r="J71" i="1"/>
  <c r="G71" i="1"/>
  <c r="F71" i="1"/>
  <c r="B71" i="1"/>
  <c r="W70" i="1"/>
  <c r="T70" i="1"/>
  <c r="P70" i="1"/>
  <c r="J70" i="1"/>
  <c r="G70" i="1"/>
  <c r="F70" i="1"/>
  <c r="B70" i="1"/>
  <c r="W69" i="1"/>
  <c r="T69" i="1"/>
  <c r="P69" i="1"/>
  <c r="J69" i="1"/>
  <c r="G69" i="1"/>
  <c r="F69" i="1"/>
  <c r="B69" i="1"/>
  <c r="W68" i="1"/>
  <c r="T68" i="1"/>
  <c r="P68" i="1"/>
  <c r="J68" i="1"/>
  <c r="G68" i="1"/>
  <c r="F68" i="1"/>
  <c r="B68" i="1"/>
  <c r="W67" i="1"/>
  <c r="T67" i="1"/>
  <c r="P67" i="1"/>
  <c r="J67" i="1"/>
  <c r="G67" i="1"/>
  <c r="F67" i="1"/>
  <c r="B67" i="1"/>
  <c r="W66" i="1"/>
  <c r="T66" i="1"/>
  <c r="P66" i="1"/>
  <c r="J66" i="1"/>
  <c r="G66" i="1"/>
  <c r="F66" i="1"/>
  <c r="B66" i="1"/>
  <c r="W65" i="1"/>
  <c r="T65" i="1"/>
  <c r="P65" i="1"/>
  <c r="J65" i="1"/>
  <c r="G65" i="1"/>
  <c r="F65" i="1"/>
  <c r="B65" i="1"/>
  <c r="W64" i="1"/>
  <c r="T64" i="1"/>
  <c r="P64" i="1"/>
  <c r="J64" i="1"/>
  <c r="G64" i="1"/>
  <c r="F64" i="1"/>
  <c r="B64" i="1"/>
  <c r="W63" i="1"/>
  <c r="T63" i="1"/>
  <c r="P63" i="1"/>
  <c r="J63" i="1"/>
  <c r="G63" i="1"/>
  <c r="F63" i="1"/>
  <c r="B63" i="1"/>
  <c r="W62" i="1"/>
  <c r="T62" i="1"/>
  <c r="P62" i="1"/>
  <c r="J62" i="1"/>
  <c r="G62" i="1"/>
  <c r="F62" i="1"/>
  <c r="B62" i="1"/>
  <c r="W61" i="1"/>
  <c r="T61" i="1"/>
  <c r="P61" i="1"/>
  <c r="J61" i="1"/>
  <c r="G61" i="1"/>
  <c r="F61" i="1"/>
  <c r="B61" i="1"/>
  <c r="W60" i="1"/>
  <c r="T60" i="1"/>
  <c r="P60" i="1"/>
  <c r="J60" i="1"/>
  <c r="G60" i="1"/>
  <c r="F60" i="1"/>
  <c r="B60" i="1"/>
  <c r="W59" i="1"/>
  <c r="T59" i="1"/>
  <c r="P59" i="1"/>
  <c r="J59" i="1"/>
  <c r="G59" i="1"/>
  <c r="F59" i="1"/>
  <c r="B59" i="1"/>
  <c r="W58" i="1"/>
  <c r="T58" i="1"/>
  <c r="P58" i="1"/>
  <c r="J58" i="1"/>
  <c r="G58" i="1"/>
  <c r="F58" i="1"/>
  <c r="B58" i="1"/>
  <c r="W57" i="1"/>
  <c r="T57" i="1"/>
  <c r="P57" i="1"/>
  <c r="J57" i="1"/>
  <c r="G57" i="1"/>
  <c r="F57" i="1"/>
  <c r="B57" i="1"/>
  <c r="W56" i="1"/>
  <c r="T56" i="1"/>
  <c r="P56" i="1"/>
  <c r="J56" i="1"/>
  <c r="G56" i="1"/>
  <c r="F56" i="1"/>
  <c r="B56" i="1"/>
  <c r="W55" i="1"/>
  <c r="T55" i="1"/>
  <c r="P55" i="1"/>
  <c r="J55" i="1"/>
  <c r="G55" i="1"/>
  <c r="F55" i="1"/>
  <c r="B55" i="1"/>
  <c r="W54" i="1"/>
  <c r="T54" i="1"/>
  <c r="P54" i="1"/>
  <c r="J54" i="1"/>
  <c r="G54" i="1"/>
  <c r="F54" i="1"/>
  <c r="B54" i="1"/>
  <c r="W53" i="1"/>
  <c r="T53" i="1"/>
  <c r="P53" i="1"/>
  <c r="J53" i="1"/>
  <c r="G53" i="1"/>
  <c r="F53" i="1"/>
  <c r="B53" i="1"/>
  <c r="W52" i="1"/>
  <c r="T52" i="1"/>
  <c r="P52" i="1"/>
  <c r="J52" i="1"/>
  <c r="G52" i="1"/>
  <c r="F52" i="1"/>
  <c r="B52" i="1"/>
  <c r="W51" i="1"/>
  <c r="T51" i="1"/>
  <c r="P51" i="1"/>
  <c r="J51" i="1"/>
  <c r="G51" i="1"/>
  <c r="F51" i="1"/>
  <c r="B51" i="1"/>
  <c r="W50" i="1"/>
  <c r="T50" i="1"/>
  <c r="P50" i="1"/>
  <c r="J50" i="1"/>
  <c r="G50" i="1"/>
  <c r="F50" i="1"/>
  <c r="B50" i="1"/>
  <c r="W49" i="1"/>
  <c r="T49" i="1"/>
  <c r="P49" i="1"/>
  <c r="J49" i="1"/>
  <c r="G49" i="1"/>
  <c r="F49" i="1"/>
  <c r="B49" i="1"/>
  <c r="W48" i="1"/>
  <c r="T48" i="1"/>
  <c r="P48" i="1"/>
  <c r="J48" i="1"/>
  <c r="G48" i="1"/>
  <c r="F48" i="1"/>
  <c r="B48" i="1"/>
  <c r="W47" i="1"/>
  <c r="T47" i="1"/>
  <c r="P47" i="1"/>
  <c r="J47" i="1"/>
  <c r="G47" i="1"/>
  <c r="F47" i="1"/>
  <c r="B47" i="1"/>
  <c r="W46" i="1"/>
  <c r="T46" i="1"/>
  <c r="P46" i="1"/>
  <c r="J46" i="1"/>
  <c r="G46" i="1"/>
  <c r="F46" i="1"/>
  <c r="B46" i="1"/>
  <c r="W45" i="1"/>
  <c r="T45" i="1"/>
  <c r="P45" i="1"/>
  <c r="J45" i="1"/>
  <c r="G45" i="1"/>
  <c r="F45" i="1"/>
  <c r="B45" i="1"/>
  <c r="W44" i="1"/>
  <c r="T44" i="1"/>
  <c r="P44" i="1"/>
  <c r="J44" i="1"/>
  <c r="G44" i="1"/>
  <c r="F44" i="1"/>
  <c r="B44" i="1"/>
  <c r="W43" i="1"/>
  <c r="T43" i="1"/>
  <c r="P43" i="1"/>
  <c r="J43" i="1"/>
  <c r="G43" i="1"/>
  <c r="F43" i="1"/>
  <c r="B43" i="1"/>
  <c r="W42" i="1"/>
  <c r="T42" i="1"/>
  <c r="P42" i="1"/>
  <c r="J42" i="1"/>
  <c r="G42" i="1"/>
  <c r="F42" i="1"/>
  <c r="B42" i="1"/>
  <c r="W41" i="1"/>
  <c r="T41" i="1"/>
  <c r="P41" i="1"/>
  <c r="J41" i="1"/>
  <c r="G41" i="1"/>
  <c r="F41" i="1"/>
  <c r="B41" i="1"/>
  <c r="W40" i="1"/>
  <c r="T40" i="1"/>
  <c r="P40" i="1"/>
  <c r="J40" i="1"/>
  <c r="G40" i="1"/>
  <c r="F40" i="1"/>
  <c r="B40" i="1"/>
  <c r="W39" i="1"/>
  <c r="T39" i="1"/>
  <c r="P39" i="1"/>
  <c r="J39" i="1"/>
  <c r="G39" i="1"/>
  <c r="F39" i="1"/>
  <c r="B39" i="1"/>
  <c r="W38" i="1"/>
  <c r="T38" i="1"/>
  <c r="P38" i="1"/>
  <c r="J38" i="1"/>
  <c r="G38" i="1"/>
  <c r="F38" i="1"/>
  <c r="B38" i="1"/>
  <c r="W37" i="1"/>
  <c r="T37" i="1"/>
  <c r="P37" i="1"/>
  <c r="J37" i="1"/>
  <c r="G37" i="1"/>
  <c r="F37" i="1"/>
  <c r="B37" i="1"/>
  <c r="W36" i="1"/>
  <c r="T36" i="1"/>
  <c r="P36" i="1"/>
  <c r="J36" i="1"/>
  <c r="G36" i="1"/>
  <c r="F36" i="1"/>
  <c r="B36" i="1"/>
  <c r="W35" i="1"/>
  <c r="T35" i="1"/>
  <c r="P35" i="1"/>
  <c r="J35" i="1"/>
  <c r="G35" i="1"/>
  <c r="F35" i="1"/>
  <c r="B35" i="1"/>
  <c r="W34" i="1"/>
  <c r="T34" i="1"/>
  <c r="P34" i="1"/>
  <c r="J34" i="1"/>
  <c r="G34" i="1"/>
  <c r="F34" i="1"/>
  <c r="B34" i="1"/>
  <c r="W33" i="1"/>
  <c r="T33" i="1"/>
  <c r="P33" i="1"/>
  <c r="J33" i="1"/>
  <c r="G33" i="1"/>
  <c r="F33" i="1"/>
  <c r="B33" i="1"/>
  <c r="W32" i="1"/>
  <c r="T32" i="1"/>
  <c r="P32" i="1"/>
  <c r="J32" i="1"/>
  <c r="G32" i="1"/>
  <c r="F32" i="1"/>
  <c r="B32" i="1"/>
  <c r="W31" i="1"/>
  <c r="T31" i="1"/>
  <c r="P31" i="1"/>
  <c r="J31" i="1"/>
  <c r="G31" i="1"/>
  <c r="F31" i="1"/>
  <c r="B31" i="1"/>
  <c r="W30" i="1"/>
  <c r="T30" i="1"/>
  <c r="P30" i="1"/>
  <c r="J30" i="1"/>
  <c r="G30" i="1"/>
  <c r="F30" i="1"/>
  <c r="B30" i="1"/>
  <c r="W29" i="1"/>
  <c r="T29" i="1"/>
  <c r="P29" i="1"/>
  <c r="J29" i="1"/>
  <c r="G29" i="1"/>
  <c r="F29" i="1"/>
  <c r="B29" i="1"/>
  <c r="W28" i="1"/>
  <c r="T28" i="1"/>
  <c r="P28" i="1"/>
  <c r="J28" i="1"/>
  <c r="G28" i="1"/>
  <c r="F28" i="1"/>
  <c r="B28" i="1"/>
  <c r="W27" i="1"/>
  <c r="T27" i="1"/>
  <c r="P27" i="1"/>
  <c r="J27" i="1"/>
  <c r="G27" i="1"/>
  <c r="F27" i="1"/>
  <c r="B27" i="1"/>
  <c r="W26" i="1"/>
  <c r="T26" i="1"/>
  <c r="P26" i="1"/>
  <c r="J26" i="1"/>
  <c r="G26" i="1"/>
  <c r="F26" i="1"/>
  <c r="B26" i="1"/>
  <c r="W25" i="1"/>
  <c r="T25" i="1"/>
  <c r="P25" i="1"/>
  <c r="J25" i="1"/>
  <c r="G25" i="1"/>
  <c r="F25" i="1"/>
  <c r="B25" i="1"/>
  <c r="W24" i="1"/>
  <c r="T24" i="1"/>
  <c r="P24" i="1"/>
  <c r="J24" i="1"/>
  <c r="G24" i="1"/>
  <c r="F24" i="1"/>
  <c r="B24" i="1"/>
  <c r="W23" i="1"/>
  <c r="T23" i="1"/>
  <c r="P23" i="1"/>
  <c r="J23" i="1"/>
  <c r="G23" i="1"/>
  <c r="F23" i="1"/>
  <c r="B23" i="1"/>
  <c r="W22" i="1"/>
  <c r="T22" i="1"/>
  <c r="P22" i="1"/>
  <c r="J22" i="1"/>
  <c r="G22" i="1"/>
  <c r="F22" i="1"/>
  <c r="B22" i="1"/>
  <c r="W21" i="1"/>
  <c r="T21" i="1"/>
  <c r="P21" i="1"/>
  <c r="J21" i="1"/>
  <c r="G21" i="1"/>
  <c r="F21" i="1"/>
  <c r="B21" i="1"/>
  <c r="W20" i="1"/>
  <c r="T20" i="1"/>
  <c r="P20" i="1"/>
  <c r="J20" i="1"/>
  <c r="G20" i="1"/>
  <c r="F20" i="1"/>
  <c r="B20" i="1"/>
  <c r="W19" i="1"/>
  <c r="T19" i="1"/>
  <c r="P19" i="1"/>
  <c r="J19" i="1"/>
  <c r="G19" i="1"/>
  <c r="F19" i="1"/>
  <c r="B19" i="1"/>
  <c r="W18" i="1"/>
  <c r="T18" i="1"/>
  <c r="P18" i="1"/>
  <c r="J18" i="1"/>
  <c r="G18" i="1"/>
  <c r="F18" i="1"/>
  <c r="B18" i="1"/>
  <c r="W17" i="1"/>
  <c r="T17" i="1"/>
  <c r="P17" i="1"/>
  <c r="J17" i="1"/>
  <c r="G17" i="1"/>
  <c r="F17" i="1"/>
  <c r="B17" i="1"/>
  <c r="W16" i="1"/>
  <c r="T16" i="1"/>
  <c r="P16" i="1"/>
  <c r="J16" i="1"/>
  <c r="G16" i="1"/>
  <c r="F16" i="1"/>
  <c r="B16" i="1"/>
  <c r="W15" i="1"/>
  <c r="T15" i="1"/>
  <c r="P15" i="1"/>
  <c r="J15" i="1"/>
  <c r="G15" i="1"/>
  <c r="F15" i="1"/>
  <c r="B15" i="1"/>
  <c r="W14" i="1"/>
  <c r="T14" i="1"/>
  <c r="P14" i="1"/>
  <c r="J14" i="1"/>
  <c r="G14" i="1"/>
  <c r="F14" i="1"/>
  <c r="B14" i="1"/>
  <c r="W13" i="1"/>
  <c r="T13" i="1"/>
  <c r="P13" i="1"/>
  <c r="J13" i="1"/>
  <c r="G13" i="1"/>
  <c r="F13" i="1"/>
  <c r="B13" i="1"/>
  <c r="W12" i="1"/>
  <c r="T12" i="1"/>
  <c r="P12" i="1"/>
  <c r="J12" i="1"/>
  <c r="G12" i="1"/>
  <c r="F12" i="1"/>
  <c r="B12" i="1"/>
  <c r="W11" i="1"/>
  <c r="T11" i="1"/>
  <c r="P11" i="1"/>
  <c r="J11" i="1"/>
  <c r="G11" i="1"/>
  <c r="F11" i="1"/>
  <c r="B11" i="1"/>
  <c r="W10" i="1"/>
  <c r="T10" i="1"/>
  <c r="P10" i="1"/>
  <c r="J10" i="1"/>
  <c r="G10" i="1"/>
  <c r="F10" i="1"/>
  <c r="B10" i="1"/>
  <c r="W9" i="1"/>
  <c r="T9" i="1"/>
  <c r="P9" i="1"/>
  <c r="J9" i="1"/>
  <c r="G9" i="1"/>
  <c r="F9" i="1"/>
  <c r="B9" i="1"/>
  <c r="W8" i="1"/>
  <c r="T8" i="1"/>
  <c r="P8" i="1"/>
  <c r="J8" i="1"/>
  <c r="G8" i="1"/>
  <c r="F8" i="1"/>
  <c r="B8" i="1"/>
  <c r="W7" i="1"/>
  <c r="T7" i="1"/>
  <c r="P7" i="1"/>
  <c r="J7" i="1"/>
  <c r="G7" i="1"/>
  <c r="F7" i="1"/>
  <c r="B7" i="1"/>
  <c r="W6" i="1"/>
  <c r="T6" i="1"/>
  <c r="P6" i="1"/>
  <c r="J6" i="1"/>
  <c r="G6" i="1"/>
  <c r="F6" i="1"/>
  <c r="B6" i="1"/>
  <c r="W5" i="1"/>
  <c r="T5" i="1"/>
  <c r="P5" i="1"/>
  <c r="J5" i="1"/>
  <c r="G5" i="1"/>
  <c r="F5" i="1"/>
  <c r="B5" i="1"/>
  <c r="W4" i="1"/>
  <c r="T4" i="1"/>
  <c r="P4" i="1"/>
  <c r="J4" i="1"/>
  <c r="G4" i="1"/>
  <c r="F4" i="1"/>
  <c r="B4" i="1"/>
  <c r="W3" i="1"/>
  <c r="T3" i="1"/>
  <c r="P3" i="1"/>
  <c r="J3" i="1"/>
  <c r="G3" i="1"/>
  <c r="F3" i="1"/>
  <c r="B3" i="1"/>
  <c r="W2" i="1"/>
  <c r="T2" i="1"/>
  <c r="P2" i="1"/>
  <c r="J2" i="1"/>
  <c r="G2" i="1"/>
  <c r="F2" i="1"/>
  <c r="B2" i="1"/>
  <c r="B5" i="4" l="1"/>
  <c r="B6" i="4"/>
  <c r="B7" i="4"/>
</calcChain>
</file>

<file path=xl/sharedStrings.xml><?xml version="1.0" encoding="utf-8"?>
<sst xmlns="http://schemas.openxmlformats.org/spreadsheetml/2006/main" count="129" uniqueCount="82">
  <si>
    <t>male</t>
  </si>
  <si>
    <t>currentSmoker</t>
  </si>
  <si>
    <t>prevalentStroke</t>
  </si>
  <si>
    <t>prevalentHyp</t>
  </si>
  <si>
    <t>diabetes</t>
  </si>
  <si>
    <t>sysBP</t>
  </si>
  <si>
    <t>diaBP</t>
  </si>
  <si>
    <t>TenYearCHD</t>
  </si>
  <si>
    <t>cigsPerDay_Clean</t>
  </si>
  <si>
    <t>BPMeds_Clean</t>
  </si>
  <si>
    <t>totChol_Clean</t>
  </si>
  <si>
    <t>heartRate_Clean</t>
  </si>
  <si>
    <t>glucose_Clean</t>
  </si>
  <si>
    <t>BMI_Clean</t>
  </si>
  <si>
    <t>education_clean</t>
  </si>
  <si>
    <t>smoker_Category</t>
  </si>
  <si>
    <t>BMI_Category</t>
  </si>
  <si>
    <t>High_Cholesterol_Flag</t>
  </si>
  <si>
    <t>age_group</t>
  </si>
  <si>
    <t>Primary</t>
  </si>
  <si>
    <t>Secondary</t>
  </si>
  <si>
    <t>Graduate</t>
  </si>
  <si>
    <t>Post Graduate</t>
  </si>
  <si>
    <t>Education_Level</t>
  </si>
  <si>
    <t>HLOOKUP(E2, LookUP_Table!$A$6:$D$7, 2, FALSE)</t>
  </si>
  <si>
    <t>IFERROR(VLOOKUP(E2, LookUP_Table!$A$1:$B$4, 2, FALSE), "")</t>
  </si>
  <si>
    <t>Lookup</t>
  </si>
  <si>
    <t>Pivot 1: Smokers vs Heart Disease</t>
  </si>
  <si>
    <t>Row Labels</t>
  </si>
  <si>
    <t>Non-Smoker</t>
  </si>
  <si>
    <t>Smoker</t>
  </si>
  <si>
    <t>Grand Total</t>
  </si>
  <si>
    <t>Insight:See if smokers have more heart disease.</t>
  </si>
  <si>
    <t>Normal</t>
  </si>
  <si>
    <t>Obese</t>
  </si>
  <si>
    <t>Overweight</t>
  </si>
  <si>
    <t>Underweight</t>
  </si>
  <si>
    <t>Middle Age</t>
  </si>
  <si>
    <t>Senior</t>
  </si>
  <si>
    <t>Young</t>
  </si>
  <si>
    <t>Pivot 3: Age Group vs CHD %</t>
  </si>
  <si>
    <t>Pivot 4: Education Level vs CHD</t>
  </si>
  <si>
    <t>Insight:Lower education groups (Primary/Secondary) show slightly higher CHD cases.</t>
  </si>
  <si>
    <t>"Primary" and "Secondary" education groups often work in high-stress,</t>
  </si>
  <si>
    <t>physically demanding, or sedentary jobs with fewer wellness benefits.</t>
  </si>
  <si>
    <t>Pivot 5: Gender vs CHD</t>
  </si>
  <si>
    <t>gender</t>
  </si>
  <si>
    <t>Insight:Males have a slightly higher risk of CHD compared to females.</t>
  </si>
  <si>
    <t>Female</t>
  </si>
  <si>
    <t>Male</t>
  </si>
  <si>
    <t>possibly because they already have hypertension.</t>
  </si>
  <si>
    <t>Pivot 6: Glucose Level High vs CHD</t>
  </si>
  <si>
    <t>glucose_category</t>
  </si>
  <si>
    <t>High</t>
  </si>
  <si>
    <t>Diabetes</t>
  </si>
  <si>
    <t>Average of TenYearCHD</t>
  </si>
  <si>
    <t>Pivot 8: High Cholesterol vs CHD</t>
  </si>
  <si>
    <t>Pivot 7: Blood Pressure Medication vs CHD</t>
  </si>
  <si>
    <t>Insight:Patients on blood pressure medication show slightly higher CHD,</t>
  </si>
  <si>
    <t>Insight:
High cholesterol individuals have significantly higher CHD cases.</t>
  </si>
  <si>
    <t>Insight:
Individuals with high glucose (pre-diabetic/diabetic) show increased CHD risk.</t>
  </si>
  <si>
    <t>Pivot 9 : Age Group + Gender vs CHD %</t>
  </si>
  <si>
    <t>Column Labels</t>
  </si>
  <si>
    <t>Pivot 1: BMI_Category vs Heart Disease</t>
  </si>
  <si>
    <t>Total Patients</t>
  </si>
  <si>
    <t>Total CHD Cases</t>
  </si>
  <si>
    <t>CHD %</t>
  </si>
  <si>
    <t>Total Smokers</t>
  </si>
  <si>
    <t>Obese %</t>
  </si>
  <si>
    <t>Non-CHD Cases</t>
  </si>
  <si>
    <t>Column1</t>
  </si>
  <si>
    <t>Column2</t>
  </si>
  <si>
    <t>Heart Disease % by Smoking Status</t>
  </si>
  <si>
    <t>Heart Disease % by BMI Category</t>
  </si>
  <si>
    <t>Obese individuals have the highest heart disease risk (19.48%).</t>
  </si>
  <si>
    <t>Heart Disease % by Age Group</t>
  </si>
  <si>
    <t>Insight:Heart disease risk increases significantly with age; seniors are most affected.</t>
  </si>
  <si>
    <t>Insight:smoking effect stronger in seniors</t>
  </si>
  <si>
    <t>Pivot 10 :Age Group + Smoker Category VS CHD %</t>
  </si>
  <si>
    <t xml:space="preserve">Insights: Senior males face the highest risk of heart disease (28.62%), </t>
  </si>
  <si>
    <t>while the overall risk significantly increases with age for both genders.</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</si>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</sst>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Times New Roman"/>
      <family val="2"/>
    </font>
    <font>
      <sz val="11"/>
      <color theme="1"/>
      <name val="Times New Roman"/>
      <family val="2"/>
    </font>
    <font>
      <sz val="18"/>
      <color theme="3"/>
      <name val="Calibri Light"/>
      <family val="2"/>
      <scheme val="major"/>
    </font>
    <font>
      <b/>
      <sz val="15"/>
      <color theme="3"/>
      <name val="Times New Roman"/>
      <family val="2"/>
    </font>
    <font>
      <b/>
      <sz val="13"/>
      <color theme="3"/>
      <name val="Times New Roman"/>
      <family val="2"/>
    </font>
    <font>
      <b/>
      <sz val="11"/>
      <color theme="3"/>
      <name val="Times New Roman"/>
      <family val="2"/>
    </font>
    <font>
      <sz val="11"/>
      <color rgb="FF006100"/>
      <name val="Times New Roman"/>
      <family val="2"/>
    </font>
    <font>
      <sz val="11"/>
      <color rgb="FF9C0006"/>
      <name val="Times New Roman"/>
      <family val="2"/>
    </font>
    <font>
      <sz val="11"/>
      <color rgb="FF9C5700"/>
      <name val="Times New Roman"/>
      <family val="2"/>
    </font>
    <font>
      <sz val="11"/>
      <color rgb="FF3F3F76"/>
      <name val="Times New Roman"/>
      <family val="2"/>
    </font>
    <font>
      <b/>
      <sz val="11"/>
      <color rgb="FF3F3F3F"/>
      <name val="Times New Roman"/>
      <family val="2"/>
    </font>
    <font>
      <b/>
      <sz val="11"/>
      <color rgb="FFFA7D00"/>
      <name val="Times New Roman"/>
      <family val="2"/>
    </font>
    <font>
      <sz val="11"/>
      <color rgb="FFFA7D00"/>
      <name val="Times New Roman"/>
      <family val="2"/>
    </font>
    <font>
      <b/>
      <sz val="11"/>
      <color theme="0"/>
      <name val="Times New Roman"/>
      <family val="2"/>
    </font>
    <font>
      <sz val="11"/>
      <color rgb="FFFF0000"/>
      <name val="Times New Roman"/>
      <family val="2"/>
    </font>
    <font>
      <i/>
      <sz val="11"/>
      <color rgb="FF7F7F7F"/>
      <name val="Times New Roman"/>
      <family val="2"/>
    </font>
    <font>
      <b/>
      <sz val="11"/>
      <color theme="1"/>
      <name val="Times New Roman"/>
      <family val="2"/>
    </font>
    <font>
      <sz val="11"/>
      <color theme="0"/>
      <name val="Times New Roman"/>
      <family val="2"/>
    </font>
    <font>
      <sz val="11"/>
      <name val="Times New Roman"/>
      <family val="1"/>
    </font>
    <font>
      <b/>
      <sz val="11"/>
      <color theme="1"/>
      <name val="Times New Roman"/>
      <family val="1"/>
    </font>
    <font>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wrapText="1"/>
    </xf>
    <xf numFmtId="0" fontId="0" fillId="0" borderId="10" xfId="0" applyBorder="1" applyAlignment="1">
      <alignment vertical="center" wrapText="1"/>
    </xf>
    <xf numFmtId="0" fontId="19" fillId="0" borderId="11" xfId="0" applyFont="1" applyBorder="1" applyAlignment="1">
      <alignment wrapText="1"/>
    </xf>
    <xf numFmtId="0" fontId="20" fillId="0" borderId="11" xfId="0" applyFont="1" applyBorder="1" applyAlignment="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b/>
        <i val="0"/>
        <color theme="0"/>
      </font>
      <fill>
        <patternFill patternType="solid">
          <fgColor auto="1"/>
          <bgColor rgb="FFC00000"/>
        </patternFill>
      </fill>
    </dxf>
    <dxf>
      <font>
        <b/>
        <i val="0"/>
        <color theme="5"/>
      </font>
    </dxf>
    <dxf>
      <font>
        <b/>
        <i val="0"/>
        <color rgb="FFC00000"/>
      </font>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c:f>
              <c:strCache>
                <c:ptCount val="1"/>
                <c:pt idx="0">
                  <c:v>Total</c:v>
                </c:pt>
              </c:strCache>
            </c:strRef>
          </c:tx>
          <c:spPr>
            <a:solidFill>
              <a:schemeClr val="accent1"/>
            </a:solidFill>
            <a:ln>
              <a:noFill/>
            </a:ln>
            <a:effectLst/>
          </c:spPr>
          <c:invertIfNegative val="0"/>
          <c:cat>
            <c:strRef>
              <c:f>'Pivot Analysis'!$A$3:$A$5</c:f>
              <c:strCache>
                <c:ptCount val="2"/>
                <c:pt idx="0">
                  <c:v>Non-Smoker</c:v>
                </c:pt>
                <c:pt idx="1">
                  <c:v>Smoker</c:v>
                </c:pt>
              </c:strCache>
            </c:strRef>
          </c:cat>
          <c:val>
            <c:numRef>
              <c:f>'Pivot Analysis'!$B$3:$B$5</c:f>
              <c:numCache>
                <c:formatCode>0.00%</c:formatCode>
                <c:ptCount val="2"/>
                <c:pt idx="0">
                  <c:v>0.14498834498834498</c:v>
                </c:pt>
                <c:pt idx="1">
                  <c:v>0.15894988066825777</c:v>
                </c:pt>
              </c:numCache>
            </c:numRef>
          </c:val>
          <c:extLst>
            <c:ext xmlns:c16="http://schemas.microsoft.com/office/drawing/2014/chart" uri="{C3380CC4-5D6E-409C-BE32-E72D297353CC}">
              <c16:uniqueId val="{00000001-8AB0-40C5-AF33-E1092F42C6AC}"/>
            </c:ext>
          </c:extLst>
        </c:ser>
        <c:dLbls>
          <c:showLegendKey val="0"/>
          <c:showVal val="0"/>
          <c:showCatName val="0"/>
          <c:showSerName val="0"/>
          <c:showPercent val="0"/>
          <c:showBubbleSize val="0"/>
        </c:dLbls>
        <c:gapWidth val="219"/>
        <c:axId val="1284700240"/>
        <c:axId val="1291349680"/>
      </c:barChart>
      <c:catAx>
        <c:axId val="128470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349680"/>
        <c:crosses val="autoZero"/>
        <c:auto val="1"/>
        <c:lblAlgn val="ctr"/>
        <c:lblOffset val="100"/>
        <c:noMultiLvlLbl val="0"/>
      </c:catAx>
      <c:valAx>
        <c:axId val="1291349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70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Analysis'!$B$18</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Analysis'!$A$19:$A$23</c:f>
              <c:strCache>
                <c:ptCount val="4"/>
                <c:pt idx="0">
                  <c:v>Normal</c:v>
                </c:pt>
                <c:pt idx="1">
                  <c:v>Obese</c:v>
                </c:pt>
                <c:pt idx="2">
                  <c:v>Overweight</c:v>
                </c:pt>
                <c:pt idx="3">
                  <c:v>Underweight</c:v>
                </c:pt>
              </c:strCache>
            </c:strRef>
          </c:cat>
          <c:val>
            <c:numRef>
              <c:f>'Pivot Analysis'!$B$19:$B$23</c:f>
              <c:numCache>
                <c:formatCode>0.00%</c:formatCode>
                <c:ptCount val="4"/>
                <c:pt idx="0">
                  <c:v>0.1213903743315508</c:v>
                </c:pt>
                <c:pt idx="1">
                  <c:v>0.19480519480519481</c:v>
                </c:pt>
                <c:pt idx="2">
                  <c:v>0.17136414881623449</c:v>
                </c:pt>
                <c:pt idx="3">
                  <c:v>0.14035087719298245</c:v>
                </c:pt>
              </c:numCache>
            </c:numRef>
          </c:val>
          <c:extLst>
            <c:ext xmlns:c16="http://schemas.microsoft.com/office/drawing/2014/chart" uri="{C3380CC4-5D6E-409C-BE32-E72D297353CC}">
              <c16:uniqueId val="{00000001-C53A-49AE-BF20-20D6CB92B3C5}"/>
            </c:ext>
          </c:extLst>
        </c:ser>
        <c:dLbls>
          <c:dLblPos val="outEnd"/>
          <c:showLegendKey val="0"/>
          <c:showVal val="1"/>
          <c:showCatName val="0"/>
          <c:showSerName val="0"/>
          <c:showPercent val="0"/>
          <c:showBubbleSize val="0"/>
        </c:dLbls>
        <c:gapWidth val="444"/>
        <c:overlap val="-90"/>
        <c:axId val="1070035392"/>
        <c:axId val="687439024"/>
      </c:barChart>
      <c:catAx>
        <c:axId val="1070035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87439024"/>
        <c:crosses val="autoZero"/>
        <c:auto val="1"/>
        <c:lblAlgn val="ctr"/>
        <c:lblOffset val="100"/>
        <c:noMultiLvlLbl val="0"/>
      </c:catAx>
      <c:valAx>
        <c:axId val="687439024"/>
        <c:scaling>
          <c:orientation val="minMax"/>
        </c:scaling>
        <c:delete val="1"/>
        <c:axPos val="l"/>
        <c:numFmt formatCode="0.00%" sourceLinked="1"/>
        <c:majorTickMark val="none"/>
        <c:minorTickMark val="none"/>
        <c:tickLblPos val="nextTo"/>
        <c:crossAx val="107003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Analysis'!$A$35:$A$38</c:f>
              <c:strCache>
                <c:ptCount val="3"/>
                <c:pt idx="0">
                  <c:v>Middle Age</c:v>
                </c:pt>
                <c:pt idx="1">
                  <c:v>Senior</c:v>
                </c:pt>
                <c:pt idx="2">
                  <c:v>Young</c:v>
                </c:pt>
              </c:strCache>
            </c:strRef>
          </c:cat>
          <c:val>
            <c:numRef>
              <c:f>'Pivot Analysis'!$B$35:$B$38</c:f>
              <c:numCache>
                <c:formatCode>0.00%</c:formatCode>
                <c:ptCount val="3"/>
                <c:pt idx="0">
                  <c:v>0.12336290663286861</c:v>
                </c:pt>
                <c:pt idx="1">
                  <c:v>0.24981017463933181</c:v>
                </c:pt>
                <c:pt idx="2">
                  <c:v>4.1366906474820143E-2</c:v>
                </c:pt>
              </c:numCache>
            </c:numRef>
          </c:val>
          <c:extLst>
            <c:ext xmlns:c16="http://schemas.microsoft.com/office/drawing/2014/chart" uri="{C3380CC4-5D6E-409C-BE32-E72D297353CC}">
              <c16:uniqueId val="{00000001-28E3-4A06-B873-835DCE0264B4}"/>
            </c:ext>
          </c:extLst>
        </c:ser>
        <c:dLbls>
          <c:dLblPos val="outEnd"/>
          <c:showLegendKey val="0"/>
          <c:showVal val="1"/>
          <c:showCatName val="0"/>
          <c:showSerName val="0"/>
          <c:showPercent val="0"/>
          <c:showBubbleSize val="0"/>
        </c:dLbls>
        <c:gapWidth val="444"/>
        <c:overlap val="-90"/>
        <c:axId val="1164887696"/>
        <c:axId val="1069048800"/>
      </c:barChart>
      <c:catAx>
        <c:axId val="1164887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69048800"/>
        <c:crosses val="autoZero"/>
        <c:auto val="1"/>
        <c:lblAlgn val="ctr"/>
        <c:lblOffset val="100"/>
        <c:noMultiLvlLbl val="0"/>
      </c:catAx>
      <c:valAx>
        <c:axId val="1069048800"/>
        <c:scaling>
          <c:orientation val="minMax"/>
        </c:scaling>
        <c:delete val="1"/>
        <c:axPos val="l"/>
        <c:numFmt formatCode="0.00%" sourceLinked="1"/>
        <c:majorTickMark val="none"/>
        <c:minorTickMark val="none"/>
        <c:tickLblPos val="nextTo"/>
        <c:crossAx val="116488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Analysis'!$B$49</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Analysis'!$A$50:$A$54</c:f>
              <c:strCache>
                <c:ptCount val="4"/>
                <c:pt idx="0">
                  <c:v>Graduate</c:v>
                </c:pt>
                <c:pt idx="1">
                  <c:v>Post Graduate</c:v>
                </c:pt>
                <c:pt idx="2">
                  <c:v>Primary</c:v>
                </c:pt>
                <c:pt idx="3">
                  <c:v>Secondary</c:v>
                </c:pt>
              </c:strCache>
            </c:strRef>
          </c:cat>
          <c:val>
            <c:numRef>
              <c:f>'Pivot Analysis'!$B$50:$B$54</c:f>
              <c:numCache>
                <c:formatCode>0.00%</c:formatCode>
                <c:ptCount val="4"/>
                <c:pt idx="0">
                  <c:v>0.12772133526850507</c:v>
                </c:pt>
                <c:pt idx="1">
                  <c:v>0.14799154334038056</c:v>
                </c:pt>
                <c:pt idx="2">
                  <c:v>0.18575342465753425</c:v>
                </c:pt>
                <c:pt idx="3">
                  <c:v>0.11731843575418995</c:v>
                </c:pt>
              </c:numCache>
            </c:numRef>
          </c:val>
          <c:extLst>
            <c:ext xmlns:c16="http://schemas.microsoft.com/office/drawing/2014/chart" uri="{C3380CC4-5D6E-409C-BE32-E72D297353CC}">
              <c16:uniqueId val="{00000001-98B2-4C23-91DB-3DD641631432}"/>
            </c:ext>
          </c:extLst>
        </c:ser>
        <c:dLbls>
          <c:dLblPos val="outEnd"/>
          <c:showLegendKey val="0"/>
          <c:showVal val="1"/>
          <c:showCatName val="0"/>
          <c:showSerName val="0"/>
          <c:showPercent val="0"/>
          <c:showBubbleSize val="0"/>
        </c:dLbls>
        <c:gapWidth val="444"/>
        <c:overlap val="-90"/>
        <c:axId val="1352886352"/>
        <c:axId val="1301289008"/>
      </c:barChart>
      <c:catAx>
        <c:axId val="1352886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01289008"/>
        <c:crosses val="autoZero"/>
        <c:auto val="1"/>
        <c:lblAlgn val="ctr"/>
        <c:lblOffset val="100"/>
        <c:noMultiLvlLbl val="0"/>
      </c:catAx>
      <c:valAx>
        <c:axId val="1301289008"/>
        <c:scaling>
          <c:orientation val="minMax"/>
        </c:scaling>
        <c:delete val="1"/>
        <c:axPos val="l"/>
        <c:numFmt formatCode="0.00%" sourceLinked="1"/>
        <c:majorTickMark val="none"/>
        <c:minorTickMark val="none"/>
        <c:tickLblPos val="nextTo"/>
        <c:crossAx val="135288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Analysis!PivotTable10</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'Pivot Analysis'!$B$68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3871-4EE6-B21C-1A458F9F674D}"/>
              </c:ext>
            </c:extLst>
          </c:dPt>
          <c:dPt>
            <c:idx val="1"/>
            <c:invertIfNegative val="0"/>
            <c:bubble3D val="0"/>
            <c:extLst>
              <c:ext xmlns:c16="http://schemas.microsoft.com/office/drawing/2014/chart" uri="{C3380CC4-5D6E-409C-BE32-E72D297353CC}">
                <c16:uniqueId val="{00000003-3871-4EE6-B21C-1A458F9F674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Analysis'!$A$69:$A$71</c:f>
              <c:strCache>
                <c:ptCount val="2"/>
                <c:pt idx="0">
                  <c:v>Female</c:v>
                </c:pt>
                <c:pt idx="1">
                  <c:v>Male</c:v>
                </c:pt>
              </c:strCache>
            </c:strRef>
          </c:cat>
          <c:val>
            <c:numRef>
              <c:f>'Pivot Analysis'!$B$69:$B$71</c:f>
              <c:numCache>
                <c:formatCode>0.00%</c:formatCode>
                <c:ptCount val="2"/>
                <c:pt idx="0">
                  <c:v>0.1243801652892562</c:v>
                </c:pt>
                <c:pt idx="1">
                  <c:v>0.18846153846153846</c:v>
                </c:pt>
              </c:numCache>
            </c:numRef>
          </c:val>
          <c:extLst>
            <c:ext xmlns:c16="http://schemas.microsoft.com/office/drawing/2014/chart" uri="{C3380CC4-5D6E-409C-BE32-E72D297353CC}">
              <c16:uniqueId val="{00000001-072A-45D2-8546-8A394767811C}"/>
            </c:ext>
          </c:extLst>
        </c:ser>
        <c:dLbls>
          <c:dLblPos val="inEnd"/>
          <c:showLegendKey val="0"/>
          <c:showVal val="1"/>
          <c:showCatName val="0"/>
          <c:showSerName val="0"/>
          <c:showPercent val="0"/>
          <c:showBubbleSize val="0"/>
        </c:dLbls>
        <c:gapWidth val="65"/>
        <c:axId val="1732493215"/>
        <c:axId val="1839445263"/>
      </c:barChart>
      <c:valAx>
        <c:axId val="18394452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32493215"/>
        <c:crosses val="autoZero"/>
        <c:crossBetween val="between"/>
      </c:valAx>
      <c:catAx>
        <c:axId val="17324932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9445263"/>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Analysis'!$B$82</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Analysis'!$A$83:$A$85</c:f>
              <c:strCache>
                <c:ptCount val="2"/>
                <c:pt idx="0">
                  <c:v>Normal</c:v>
                </c:pt>
                <c:pt idx="1">
                  <c:v>Diabetes</c:v>
                </c:pt>
              </c:strCache>
            </c:strRef>
          </c:cat>
          <c:val>
            <c:numRef>
              <c:f>'Pivot Analysis'!$B$83:$B$85</c:f>
              <c:numCache>
                <c:formatCode>0.00%</c:formatCode>
                <c:ptCount val="2"/>
                <c:pt idx="0">
                  <c:v>0.15118223071411513</c:v>
                </c:pt>
                <c:pt idx="1">
                  <c:v>0.20754716981132076</c:v>
                </c:pt>
              </c:numCache>
            </c:numRef>
          </c:val>
          <c:extLst>
            <c:ext xmlns:c16="http://schemas.microsoft.com/office/drawing/2014/chart" uri="{C3380CC4-5D6E-409C-BE32-E72D297353CC}">
              <c16:uniqueId val="{00000002-DEDB-41F7-8666-9F847668D396}"/>
            </c:ext>
          </c:extLst>
        </c:ser>
        <c:dLbls>
          <c:dLblPos val="outEnd"/>
          <c:showLegendKey val="0"/>
          <c:showVal val="1"/>
          <c:showCatName val="0"/>
          <c:showSerName val="0"/>
          <c:showPercent val="0"/>
          <c:showBubbleSize val="0"/>
        </c:dLbls>
        <c:gapWidth val="444"/>
        <c:overlap val="-90"/>
        <c:axId val="1764346543"/>
        <c:axId val="1118306047"/>
      </c:barChart>
      <c:catAx>
        <c:axId val="176434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18306047"/>
        <c:crosses val="autoZero"/>
        <c:auto val="1"/>
        <c:lblAlgn val="ctr"/>
        <c:lblOffset val="100"/>
        <c:noMultiLvlLbl val="0"/>
      </c:catAx>
      <c:valAx>
        <c:axId val="1118306047"/>
        <c:scaling>
          <c:orientation val="minMax"/>
        </c:scaling>
        <c:delete val="1"/>
        <c:axPos val="l"/>
        <c:numFmt formatCode="0.00%" sourceLinked="1"/>
        <c:majorTickMark val="none"/>
        <c:minorTickMark val="none"/>
        <c:tickLblPos val="nextTo"/>
        <c:crossAx val="176434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Analysis'!$B$96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E9F-4D48-943C-896B650505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E9F-4D48-943C-896B6505056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Analysis'!$A$97:$A$99</c:f>
              <c:strCache>
                <c:ptCount val="2"/>
                <c:pt idx="0">
                  <c:v>0</c:v>
                </c:pt>
                <c:pt idx="1">
                  <c:v>1</c:v>
                </c:pt>
              </c:strCache>
            </c:strRef>
          </c:cat>
          <c:val>
            <c:numRef>
              <c:f>'Pivot Analysis'!$B$97:$B$99</c:f>
              <c:numCache>
                <c:formatCode>0.00%</c:formatCode>
                <c:ptCount val="2"/>
                <c:pt idx="0">
                  <c:v>0.14650145772594753</c:v>
                </c:pt>
                <c:pt idx="1">
                  <c:v>0.33064516129032256</c:v>
                </c:pt>
              </c:numCache>
            </c:numRef>
          </c:val>
          <c:extLst>
            <c:ext xmlns:c16="http://schemas.microsoft.com/office/drawing/2014/chart" uri="{C3380CC4-5D6E-409C-BE32-E72D297353CC}">
              <c16:uniqueId val="{00000001-B4A4-4D3E-AADC-4ACF0DD5DE9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Analysis!PivotTable8</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Analysis'!$B$113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48E-43F6-AA6C-992197C7C9F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48E-43F6-AA6C-992197C7C9F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Analysis'!$A$114:$A$116</c:f>
              <c:strCache>
                <c:ptCount val="2"/>
                <c:pt idx="0">
                  <c:v>High</c:v>
                </c:pt>
                <c:pt idx="1">
                  <c:v>Normal</c:v>
                </c:pt>
              </c:strCache>
            </c:strRef>
          </c:cat>
          <c:val>
            <c:numRef>
              <c:f>'Pivot Analysis'!$B$114:$B$116</c:f>
              <c:numCache>
                <c:formatCode>0.00%</c:formatCode>
                <c:ptCount val="2"/>
                <c:pt idx="0">
                  <c:v>0.17928730512249444</c:v>
                </c:pt>
                <c:pt idx="1">
                  <c:v>0.13175122749590834</c:v>
                </c:pt>
              </c:numCache>
            </c:numRef>
          </c:val>
          <c:extLst>
            <c:ext xmlns:c16="http://schemas.microsoft.com/office/drawing/2014/chart" uri="{C3380CC4-5D6E-409C-BE32-E72D297353CC}">
              <c16:uniqueId val="{00000001-A2AA-4A18-BD2C-65DAEA3CED6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Analysis'!$B$132:$B$133</c:f>
              <c:strCache>
                <c:ptCount val="1"/>
                <c:pt idx="0">
                  <c:v>Female</c:v>
                </c:pt>
              </c:strCache>
            </c:strRef>
          </c:tx>
          <c:spPr>
            <a:solidFill>
              <a:schemeClr val="accent1"/>
            </a:solidFill>
            <a:ln>
              <a:noFill/>
            </a:ln>
            <a:effectLst/>
          </c:spPr>
          <c:invertIfNegative val="0"/>
          <c:cat>
            <c:strRef>
              <c:f>'Pivot Analysis'!$A$134:$A$137</c:f>
              <c:strCache>
                <c:ptCount val="3"/>
                <c:pt idx="0">
                  <c:v>Middle Age</c:v>
                </c:pt>
                <c:pt idx="1">
                  <c:v>Senior</c:v>
                </c:pt>
                <c:pt idx="2">
                  <c:v>Young</c:v>
                </c:pt>
              </c:strCache>
            </c:strRef>
          </c:cat>
          <c:val>
            <c:numRef>
              <c:f>'Pivot Analysis'!$B$134:$B$137</c:f>
              <c:numCache>
                <c:formatCode>0.00%</c:formatCode>
                <c:ptCount val="3"/>
                <c:pt idx="0">
                  <c:v>8.8938714499252614E-2</c:v>
                </c:pt>
                <c:pt idx="1">
                  <c:v>0.22464698331193839</c:v>
                </c:pt>
                <c:pt idx="2">
                  <c:v>2.3102310231023101E-2</c:v>
                </c:pt>
              </c:numCache>
            </c:numRef>
          </c:val>
          <c:extLst>
            <c:ext xmlns:c16="http://schemas.microsoft.com/office/drawing/2014/chart" uri="{C3380CC4-5D6E-409C-BE32-E72D297353CC}">
              <c16:uniqueId val="{00000003-3AD3-4CC0-95DF-F8D139E1568D}"/>
            </c:ext>
          </c:extLst>
        </c:ser>
        <c:ser>
          <c:idx val="1"/>
          <c:order val="1"/>
          <c:tx>
            <c:strRef>
              <c:f>'Pivot Analysis'!$C$132:$C$133</c:f>
              <c:strCache>
                <c:ptCount val="1"/>
                <c:pt idx="0">
                  <c:v>Male</c:v>
                </c:pt>
              </c:strCache>
            </c:strRef>
          </c:tx>
          <c:spPr>
            <a:solidFill>
              <a:schemeClr val="accent2"/>
            </a:solidFill>
            <a:ln>
              <a:noFill/>
            </a:ln>
            <a:effectLst/>
          </c:spPr>
          <c:invertIfNegative val="0"/>
          <c:cat>
            <c:strRef>
              <c:f>'Pivot Analysis'!$A$134:$A$137</c:f>
              <c:strCache>
                <c:ptCount val="3"/>
                <c:pt idx="0">
                  <c:v>Middle Age</c:v>
                </c:pt>
                <c:pt idx="1">
                  <c:v>Senior</c:v>
                </c:pt>
                <c:pt idx="2">
                  <c:v>Young</c:v>
                </c:pt>
              </c:strCache>
            </c:strRef>
          </c:cat>
          <c:val>
            <c:numRef>
              <c:f>'Pivot Analysis'!$C$134:$C$137</c:f>
              <c:numCache>
                <c:formatCode>0.00%</c:formatCode>
                <c:ptCount val="3"/>
                <c:pt idx="0">
                  <c:v>0.16812439261418854</c:v>
                </c:pt>
                <c:pt idx="1">
                  <c:v>0.28624535315985128</c:v>
                </c:pt>
                <c:pt idx="2">
                  <c:v>6.3241106719367585E-2</c:v>
                </c:pt>
              </c:numCache>
            </c:numRef>
          </c:val>
          <c:extLst>
            <c:ext xmlns:c16="http://schemas.microsoft.com/office/drawing/2014/chart" uri="{C3380CC4-5D6E-409C-BE32-E72D297353CC}">
              <c16:uniqueId val="{00000001-D737-4176-9255-ED0420F6C7EC}"/>
            </c:ext>
          </c:extLst>
        </c:ser>
        <c:dLbls>
          <c:showLegendKey val="0"/>
          <c:showVal val="0"/>
          <c:showCatName val="0"/>
          <c:showSerName val="0"/>
          <c:showPercent val="0"/>
          <c:showBubbleSize val="0"/>
        </c:dLbls>
        <c:gapWidth val="219"/>
        <c:overlap val="-27"/>
        <c:axId val="1806736783"/>
        <c:axId val="1809588783"/>
      </c:barChart>
      <c:catAx>
        <c:axId val="180673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88783"/>
        <c:crosses val="autoZero"/>
        <c:auto val="1"/>
        <c:lblAlgn val="ctr"/>
        <c:lblOffset val="100"/>
        <c:noMultiLvlLbl val="0"/>
      </c:catAx>
      <c:valAx>
        <c:axId val="1809588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3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Analysis!PivotTable11</c:name>
    <c:fmtId val="0"/>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Analysis'!$B$154:$B$155</c:f>
              <c:strCache>
                <c:ptCount val="1"/>
                <c:pt idx="0">
                  <c:v>Non-Smoker</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Analysis'!$A$156:$A$159</c:f>
              <c:strCache>
                <c:ptCount val="3"/>
                <c:pt idx="0">
                  <c:v>Middle Age</c:v>
                </c:pt>
                <c:pt idx="1">
                  <c:v>Senior</c:v>
                </c:pt>
                <c:pt idx="2">
                  <c:v>Young</c:v>
                </c:pt>
              </c:strCache>
            </c:strRef>
          </c:cat>
          <c:val>
            <c:numRef>
              <c:f>'Pivot Analysis'!$B$156:$B$159</c:f>
              <c:numCache>
                <c:formatCode>0.00%</c:formatCode>
                <c:ptCount val="3"/>
                <c:pt idx="0">
                  <c:v>9.9530516431924884E-2</c:v>
                </c:pt>
                <c:pt idx="1">
                  <c:v>0.23501762632197415</c:v>
                </c:pt>
                <c:pt idx="2">
                  <c:v>2.1834061135371178E-2</c:v>
                </c:pt>
              </c:numCache>
            </c:numRef>
          </c:val>
          <c:extLst>
            <c:ext xmlns:c16="http://schemas.microsoft.com/office/drawing/2014/chart" uri="{C3380CC4-5D6E-409C-BE32-E72D297353CC}">
              <c16:uniqueId val="{00000001-6AA8-421A-8507-C1D665C4FEB0}"/>
            </c:ext>
          </c:extLst>
        </c:ser>
        <c:ser>
          <c:idx val="1"/>
          <c:order val="1"/>
          <c:tx>
            <c:strRef>
              <c:f>'Pivot Analysis'!$C$154:$C$155</c:f>
              <c:strCache>
                <c:ptCount val="1"/>
                <c:pt idx="0">
                  <c:v>Smoker</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Analysis'!$A$156:$A$159</c:f>
              <c:strCache>
                <c:ptCount val="3"/>
                <c:pt idx="0">
                  <c:v>Middle Age</c:v>
                </c:pt>
                <c:pt idx="1">
                  <c:v>Senior</c:v>
                </c:pt>
                <c:pt idx="2">
                  <c:v>Young</c:v>
                </c:pt>
              </c:strCache>
            </c:strRef>
          </c:cat>
          <c:val>
            <c:numRef>
              <c:f>'Pivot Analysis'!$C$156:$C$159</c:f>
              <c:numCache>
                <c:formatCode>0.00%</c:formatCode>
                <c:ptCount val="3"/>
                <c:pt idx="0">
                  <c:v>0.14285714285714285</c:v>
                </c:pt>
                <c:pt idx="1">
                  <c:v>0.27682403433476394</c:v>
                </c:pt>
                <c:pt idx="2">
                  <c:v>5.5045871559633031E-2</c:v>
                </c:pt>
              </c:numCache>
            </c:numRef>
          </c:val>
          <c:extLst>
            <c:ext xmlns:c16="http://schemas.microsoft.com/office/drawing/2014/chart" uri="{C3380CC4-5D6E-409C-BE32-E72D297353CC}">
              <c16:uniqueId val="{00000002-6AA8-421A-8507-C1D665C4FEB0}"/>
            </c:ext>
          </c:extLst>
        </c:ser>
        <c:dLbls>
          <c:dLblPos val="outEnd"/>
          <c:showLegendKey val="0"/>
          <c:showVal val="1"/>
          <c:showCatName val="0"/>
          <c:showSerName val="0"/>
          <c:showPercent val="0"/>
          <c:showBubbleSize val="0"/>
        </c:dLbls>
        <c:gapWidth val="444"/>
        <c:overlap val="-90"/>
        <c:axId val="1097785312"/>
        <c:axId val="1087127664"/>
      </c:barChart>
      <c:catAx>
        <c:axId val="1097785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87127664"/>
        <c:crosses val="autoZero"/>
        <c:auto val="1"/>
        <c:lblAlgn val="ctr"/>
        <c:lblOffset val="100"/>
        <c:noMultiLvlLbl val="0"/>
      </c:catAx>
      <c:valAx>
        <c:axId val="1087127664"/>
        <c:scaling>
          <c:orientation val="minMax"/>
        </c:scaling>
        <c:delete val="1"/>
        <c:axPos val="l"/>
        <c:numFmt formatCode="0.00%" sourceLinked="1"/>
        <c:majorTickMark val="none"/>
        <c:minorTickMark val="none"/>
        <c:tickLblPos val="nextTo"/>
        <c:crossAx val="109778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c:f>
              <c:strCache>
                <c:ptCount val="1"/>
                <c:pt idx="0">
                  <c:v>Total</c:v>
                </c:pt>
              </c:strCache>
            </c:strRef>
          </c:tx>
          <c:spPr>
            <a:solidFill>
              <a:schemeClr val="accent1"/>
            </a:solidFill>
            <a:ln>
              <a:noFill/>
            </a:ln>
            <a:effectLst/>
          </c:spPr>
          <c:invertIfNegative val="0"/>
          <c:cat>
            <c:strRef>
              <c:f>'Pivot Analysis'!$A$3:$A$5</c:f>
              <c:strCache>
                <c:ptCount val="2"/>
                <c:pt idx="0">
                  <c:v>Non-Smoker</c:v>
                </c:pt>
                <c:pt idx="1">
                  <c:v>Smoker</c:v>
                </c:pt>
              </c:strCache>
            </c:strRef>
          </c:cat>
          <c:val>
            <c:numRef>
              <c:f>'Pivot Analysis'!$B$3:$B$5</c:f>
              <c:numCache>
                <c:formatCode>0.00%</c:formatCode>
                <c:ptCount val="2"/>
                <c:pt idx="0">
                  <c:v>0.14498834498834498</c:v>
                </c:pt>
                <c:pt idx="1">
                  <c:v>0.15894988066825777</c:v>
                </c:pt>
              </c:numCache>
            </c:numRef>
          </c:val>
          <c:extLst>
            <c:ext xmlns:c16="http://schemas.microsoft.com/office/drawing/2014/chart" uri="{C3380CC4-5D6E-409C-BE32-E72D297353CC}">
              <c16:uniqueId val="{00000000-901C-4A60-B87E-AFC3E7BABC7C}"/>
            </c:ext>
          </c:extLst>
        </c:ser>
        <c:dLbls>
          <c:showLegendKey val="0"/>
          <c:showVal val="0"/>
          <c:showCatName val="0"/>
          <c:showSerName val="0"/>
          <c:showPercent val="0"/>
          <c:showBubbleSize val="0"/>
        </c:dLbls>
        <c:gapWidth val="219"/>
        <c:axId val="1284700240"/>
        <c:axId val="1291349680"/>
      </c:barChart>
      <c:catAx>
        <c:axId val="128470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349680"/>
        <c:crosses val="autoZero"/>
        <c:auto val="1"/>
        <c:lblAlgn val="ctr"/>
        <c:lblOffset val="100"/>
        <c:noMultiLvlLbl val="0"/>
      </c:catAx>
      <c:valAx>
        <c:axId val="1291349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70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Analysis!PivotTable2</c:name>
    <c:fmtId val="13"/>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Analysis'!$B$18</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Analysis'!$A$19:$A$23</c:f>
              <c:strCache>
                <c:ptCount val="4"/>
                <c:pt idx="0">
                  <c:v>Normal</c:v>
                </c:pt>
                <c:pt idx="1">
                  <c:v>Obese</c:v>
                </c:pt>
                <c:pt idx="2">
                  <c:v>Overweight</c:v>
                </c:pt>
                <c:pt idx="3">
                  <c:v>Underweight</c:v>
                </c:pt>
              </c:strCache>
            </c:strRef>
          </c:cat>
          <c:val>
            <c:numRef>
              <c:f>'Pivot Analysis'!$B$19:$B$23</c:f>
              <c:numCache>
                <c:formatCode>0.00%</c:formatCode>
                <c:ptCount val="4"/>
                <c:pt idx="0">
                  <c:v>0.1213903743315508</c:v>
                </c:pt>
                <c:pt idx="1">
                  <c:v>0.19480519480519481</c:v>
                </c:pt>
                <c:pt idx="2">
                  <c:v>0.17136414881623449</c:v>
                </c:pt>
                <c:pt idx="3">
                  <c:v>0.14035087719298245</c:v>
                </c:pt>
              </c:numCache>
            </c:numRef>
          </c:val>
          <c:extLst>
            <c:ext xmlns:c16="http://schemas.microsoft.com/office/drawing/2014/chart" uri="{C3380CC4-5D6E-409C-BE32-E72D297353CC}">
              <c16:uniqueId val="{00000000-1861-4E09-885F-E8C5702C5401}"/>
            </c:ext>
          </c:extLst>
        </c:ser>
        <c:dLbls>
          <c:dLblPos val="outEnd"/>
          <c:showLegendKey val="0"/>
          <c:showVal val="1"/>
          <c:showCatName val="0"/>
          <c:showSerName val="0"/>
          <c:showPercent val="0"/>
          <c:showBubbleSize val="0"/>
        </c:dLbls>
        <c:gapWidth val="444"/>
        <c:overlap val="-90"/>
        <c:axId val="1070035392"/>
        <c:axId val="687439024"/>
      </c:barChart>
      <c:catAx>
        <c:axId val="1070035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87439024"/>
        <c:crosses val="autoZero"/>
        <c:auto val="1"/>
        <c:lblAlgn val="ctr"/>
        <c:lblOffset val="100"/>
        <c:noMultiLvlLbl val="0"/>
      </c:catAx>
      <c:valAx>
        <c:axId val="687439024"/>
        <c:scaling>
          <c:orientation val="minMax"/>
        </c:scaling>
        <c:delete val="1"/>
        <c:axPos val="l"/>
        <c:numFmt formatCode="0.00%" sourceLinked="1"/>
        <c:majorTickMark val="none"/>
        <c:minorTickMark val="none"/>
        <c:tickLblPos val="nextTo"/>
        <c:crossAx val="107003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Analysis!PivotTable3</c:name>
    <c:fmtId val="12"/>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Analysis'!$A$35:$A$38</c:f>
              <c:strCache>
                <c:ptCount val="3"/>
                <c:pt idx="0">
                  <c:v>Middle Age</c:v>
                </c:pt>
                <c:pt idx="1">
                  <c:v>Senior</c:v>
                </c:pt>
                <c:pt idx="2">
                  <c:v>Young</c:v>
                </c:pt>
              </c:strCache>
            </c:strRef>
          </c:cat>
          <c:val>
            <c:numRef>
              <c:f>'Pivot Analysis'!$B$35:$B$38</c:f>
              <c:numCache>
                <c:formatCode>0.00%</c:formatCode>
                <c:ptCount val="3"/>
                <c:pt idx="0">
                  <c:v>0.12336290663286861</c:v>
                </c:pt>
                <c:pt idx="1">
                  <c:v>0.24981017463933181</c:v>
                </c:pt>
                <c:pt idx="2">
                  <c:v>4.1366906474820143E-2</c:v>
                </c:pt>
              </c:numCache>
            </c:numRef>
          </c:val>
          <c:extLst>
            <c:ext xmlns:c16="http://schemas.microsoft.com/office/drawing/2014/chart" uri="{C3380CC4-5D6E-409C-BE32-E72D297353CC}">
              <c16:uniqueId val="{00000000-E72D-4922-8096-7198E026E136}"/>
            </c:ext>
          </c:extLst>
        </c:ser>
        <c:dLbls>
          <c:dLblPos val="outEnd"/>
          <c:showLegendKey val="0"/>
          <c:showVal val="1"/>
          <c:showCatName val="0"/>
          <c:showSerName val="0"/>
          <c:showPercent val="0"/>
          <c:showBubbleSize val="0"/>
        </c:dLbls>
        <c:gapWidth val="444"/>
        <c:overlap val="-90"/>
        <c:axId val="1164887696"/>
        <c:axId val="1069048800"/>
      </c:barChart>
      <c:catAx>
        <c:axId val="1164887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69048800"/>
        <c:crosses val="autoZero"/>
        <c:auto val="1"/>
        <c:lblAlgn val="ctr"/>
        <c:lblOffset val="100"/>
        <c:noMultiLvlLbl val="0"/>
      </c:catAx>
      <c:valAx>
        <c:axId val="1069048800"/>
        <c:scaling>
          <c:orientation val="minMax"/>
        </c:scaling>
        <c:delete val="1"/>
        <c:axPos val="l"/>
        <c:numFmt formatCode="0.00%" sourceLinked="1"/>
        <c:majorTickMark val="none"/>
        <c:minorTickMark val="none"/>
        <c:tickLblPos val="nextTo"/>
        <c:crossAx val="116488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Analysis!PivotTable4</c:name>
    <c:fmtId val="8"/>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Analysis'!$B$49</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Analysis'!$A$50:$A$54</c:f>
              <c:strCache>
                <c:ptCount val="4"/>
                <c:pt idx="0">
                  <c:v>Graduate</c:v>
                </c:pt>
                <c:pt idx="1">
                  <c:v>Post Graduate</c:v>
                </c:pt>
                <c:pt idx="2">
                  <c:v>Primary</c:v>
                </c:pt>
                <c:pt idx="3">
                  <c:v>Secondary</c:v>
                </c:pt>
              </c:strCache>
            </c:strRef>
          </c:cat>
          <c:val>
            <c:numRef>
              <c:f>'Pivot Analysis'!$B$50:$B$54</c:f>
              <c:numCache>
                <c:formatCode>0.00%</c:formatCode>
                <c:ptCount val="4"/>
                <c:pt idx="0">
                  <c:v>0.12772133526850507</c:v>
                </c:pt>
                <c:pt idx="1">
                  <c:v>0.14799154334038056</c:v>
                </c:pt>
                <c:pt idx="2">
                  <c:v>0.18575342465753425</c:v>
                </c:pt>
                <c:pt idx="3">
                  <c:v>0.11731843575418995</c:v>
                </c:pt>
              </c:numCache>
            </c:numRef>
          </c:val>
          <c:extLst>
            <c:ext xmlns:c16="http://schemas.microsoft.com/office/drawing/2014/chart" uri="{C3380CC4-5D6E-409C-BE32-E72D297353CC}">
              <c16:uniqueId val="{00000000-ED1B-4C5F-8F81-3318BD1FAE9E}"/>
            </c:ext>
          </c:extLst>
        </c:ser>
        <c:dLbls>
          <c:dLblPos val="outEnd"/>
          <c:showLegendKey val="0"/>
          <c:showVal val="1"/>
          <c:showCatName val="0"/>
          <c:showSerName val="0"/>
          <c:showPercent val="0"/>
          <c:showBubbleSize val="0"/>
        </c:dLbls>
        <c:gapWidth val="444"/>
        <c:overlap val="-90"/>
        <c:axId val="1352886352"/>
        <c:axId val="1301289008"/>
      </c:barChart>
      <c:catAx>
        <c:axId val="1352886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01289008"/>
        <c:crosses val="autoZero"/>
        <c:auto val="1"/>
        <c:lblAlgn val="ctr"/>
        <c:lblOffset val="100"/>
        <c:noMultiLvlLbl val="0"/>
      </c:catAx>
      <c:valAx>
        <c:axId val="1301289008"/>
        <c:scaling>
          <c:orientation val="minMax"/>
        </c:scaling>
        <c:delete val="1"/>
        <c:axPos val="l"/>
        <c:numFmt formatCode="0.00%" sourceLinked="1"/>
        <c:majorTickMark val="none"/>
        <c:minorTickMark val="none"/>
        <c:tickLblPos val="nextTo"/>
        <c:crossAx val="135288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Analysis!PivotTable10</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Analysis'!$B$68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0-3EA6-4ADC-94B1-6B4240424609}"/>
              </c:ext>
            </c:extLst>
          </c:dPt>
          <c:dPt>
            <c:idx val="1"/>
            <c:invertIfNegative val="0"/>
            <c:bubble3D val="0"/>
            <c:extLst>
              <c:ext xmlns:c16="http://schemas.microsoft.com/office/drawing/2014/chart" uri="{C3380CC4-5D6E-409C-BE32-E72D297353CC}">
                <c16:uniqueId val="{00000001-3EA6-4ADC-94B1-6B424042460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Analysis'!$A$69:$A$71</c:f>
              <c:strCache>
                <c:ptCount val="2"/>
                <c:pt idx="0">
                  <c:v>Female</c:v>
                </c:pt>
                <c:pt idx="1">
                  <c:v>Male</c:v>
                </c:pt>
              </c:strCache>
            </c:strRef>
          </c:cat>
          <c:val>
            <c:numRef>
              <c:f>'Pivot Analysis'!$B$69:$B$71</c:f>
              <c:numCache>
                <c:formatCode>0.00%</c:formatCode>
                <c:ptCount val="2"/>
                <c:pt idx="0">
                  <c:v>0.1243801652892562</c:v>
                </c:pt>
                <c:pt idx="1">
                  <c:v>0.18846153846153846</c:v>
                </c:pt>
              </c:numCache>
            </c:numRef>
          </c:val>
          <c:extLst>
            <c:ext xmlns:c16="http://schemas.microsoft.com/office/drawing/2014/chart" uri="{C3380CC4-5D6E-409C-BE32-E72D297353CC}">
              <c16:uniqueId val="{00000002-3EA6-4ADC-94B1-6B4240424609}"/>
            </c:ext>
          </c:extLst>
        </c:ser>
        <c:dLbls>
          <c:dLblPos val="inEnd"/>
          <c:showLegendKey val="0"/>
          <c:showVal val="1"/>
          <c:showCatName val="0"/>
          <c:showSerName val="0"/>
          <c:showPercent val="0"/>
          <c:showBubbleSize val="0"/>
        </c:dLbls>
        <c:gapWidth val="65"/>
        <c:axId val="1732493215"/>
        <c:axId val="1839445263"/>
      </c:barChart>
      <c:valAx>
        <c:axId val="18394452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32493215"/>
        <c:crosses val="autoZero"/>
        <c:crossBetween val="between"/>
      </c:valAx>
      <c:catAx>
        <c:axId val="17324932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9445263"/>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Analysis!PivotTable6</c:name>
    <c:fmtId val="8"/>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Analysis'!$B$82</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Analysis'!$A$83:$A$85</c:f>
              <c:strCache>
                <c:ptCount val="2"/>
                <c:pt idx="0">
                  <c:v>Normal</c:v>
                </c:pt>
                <c:pt idx="1">
                  <c:v>Diabetes</c:v>
                </c:pt>
              </c:strCache>
            </c:strRef>
          </c:cat>
          <c:val>
            <c:numRef>
              <c:f>'Pivot Analysis'!$B$83:$B$85</c:f>
              <c:numCache>
                <c:formatCode>0.00%</c:formatCode>
                <c:ptCount val="2"/>
                <c:pt idx="0">
                  <c:v>0.15118223071411513</c:v>
                </c:pt>
                <c:pt idx="1">
                  <c:v>0.20754716981132076</c:v>
                </c:pt>
              </c:numCache>
            </c:numRef>
          </c:val>
          <c:extLst>
            <c:ext xmlns:c16="http://schemas.microsoft.com/office/drawing/2014/chart" uri="{C3380CC4-5D6E-409C-BE32-E72D297353CC}">
              <c16:uniqueId val="{00000000-7016-4B60-824E-97F7F3BF43F2}"/>
            </c:ext>
          </c:extLst>
        </c:ser>
        <c:dLbls>
          <c:dLblPos val="outEnd"/>
          <c:showLegendKey val="0"/>
          <c:showVal val="1"/>
          <c:showCatName val="0"/>
          <c:showSerName val="0"/>
          <c:showPercent val="0"/>
          <c:showBubbleSize val="0"/>
        </c:dLbls>
        <c:gapWidth val="444"/>
        <c:overlap val="-90"/>
        <c:axId val="1764346543"/>
        <c:axId val="1118306047"/>
      </c:barChart>
      <c:catAx>
        <c:axId val="176434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18306047"/>
        <c:crosses val="autoZero"/>
        <c:auto val="1"/>
        <c:lblAlgn val="ctr"/>
        <c:lblOffset val="100"/>
        <c:noMultiLvlLbl val="0"/>
      </c:catAx>
      <c:valAx>
        <c:axId val="1118306047"/>
        <c:scaling>
          <c:orientation val="minMax"/>
        </c:scaling>
        <c:delete val="1"/>
        <c:axPos val="l"/>
        <c:numFmt formatCode="0.00%" sourceLinked="1"/>
        <c:majorTickMark val="none"/>
        <c:minorTickMark val="none"/>
        <c:tickLblPos val="nextTo"/>
        <c:crossAx val="176434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Analysis!PivotTable7</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Analysis'!$B$96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4F7-43EB-A695-62820BD729C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4F7-43EB-A695-62820BD729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Analysis'!$A$97:$A$99</c:f>
              <c:strCache>
                <c:ptCount val="2"/>
                <c:pt idx="0">
                  <c:v>0</c:v>
                </c:pt>
                <c:pt idx="1">
                  <c:v>1</c:v>
                </c:pt>
              </c:strCache>
            </c:strRef>
          </c:cat>
          <c:val>
            <c:numRef>
              <c:f>'Pivot Analysis'!$B$97:$B$99</c:f>
              <c:numCache>
                <c:formatCode>0.00%</c:formatCode>
                <c:ptCount val="2"/>
                <c:pt idx="0">
                  <c:v>0.14650145772594753</c:v>
                </c:pt>
                <c:pt idx="1">
                  <c:v>0.33064516129032256</c:v>
                </c:pt>
              </c:numCache>
            </c:numRef>
          </c:val>
          <c:extLst>
            <c:ext xmlns:c16="http://schemas.microsoft.com/office/drawing/2014/chart" uri="{C3380CC4-5D6E-409C-BE32-E72D297353CC}">
              <c16:uniqueId val="{00000004-84F7-43EB-A695-62820BD729C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Analysis!PivotTable8</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Analysis'!$B$113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693-45F2-9BEB-8D88F4EA56F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693-45F2-9BEB-8D88F4EA56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Analysis'!$A$114:$A$116</c:f>
              <c:strCache>
                <c:ptCount val="2"/>
                <c:pt idx="0">
                  <c:v>High</c:v>
                </c:pt>
                <c:pt idx="1">
                  <c:v>Normal</c:v>
                </c:pt>
              </c:strCache>
            </c:strRef>
          </c:cat>
          <c:val>
            <c:numRef>
              <c:f>'Pivot Analysis'!$B$114:$B$116</c:f>
              <c:numCache>
                <c:formatCode>0.00%</c:formatCode>
                <c:ptCount val="2"/>
                <c:pt idx="0">
                  <c:v>0.17928730512249444</c:v>
                </c:pt>
                <c:pt idx="1">
                  <c:v>0.13175122749590834</c:v>
                </c:pt>
              </c:numCache>
            </c:numRef>
          </c:val>
          <c:extLst>
            <c:ext xmlns:c16="http://schemas.microsoft.com/office/drawing/2014/chart" uri="{C3380CC4-5D6E-409C-BE32-E72D297353CC}">
              <c16:uniqueId val="{00000004-D693-45F2-9BEB-8D88F4EA56F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Analysis!PivotTable9</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Analysis'!$B$132:$B$133</c:f>
              <c:strCache>
                <c:ptCount val="1"/>
                <c:pt idx="0">
                  <c:v>Female</c:v>
                </c:pt>
              </c:strCache>
            </c:strRef>
          </c:tx>
          <c:spPr>
            <a:solidFill>
              <a:schemeClr val="accent1"/>
            </a:solidFill>
            <a:ln>
              <a:noFill/>
            </a:ln>
            <a:effectLst/>
          </c:spPr>
          <c:invertIfNegative val="0"/>
          <c:cat>
            <c:strRef>
              <c:f>'Pivot Analysis'!$A$134:$A$137</c:f>
              <c:strCache>
                <c:ptCount val="3"/>
                <c:pt idx="0">
                  <c:v>Middle Age</c:v>
                </c:pt>
                <c:pt idx="1">
                  <c:v>Senior</c:v>
                </c:pt>
                <c:pt idx="2">
                  <c:v>Young</c:v>
                </c:pt>
              </c:strCache>
            </c:strRef>
          </c:cat>
          <c:val>
            <c:numRef>
              <c:f>'Pivot Analysis'!$B$134:$B$137</c:f>
              <c:numCache>
                <c:formatCode>0.00%</c:formatCode>
                <c:ptCount val="3"/>
                <c:pt idx="0">
                  <c:v>8.8938714499252614E-2</c:v>
                </c:pt>
                <c:pt idx="1">
                  <c:v>0.22464698331193839</c:v>
                </c:pt>
                <c:pt idx="2">
                  <c:v>2.3102310231023101E-2</c:v>
                </c:pt>
              </c:numCache>
            </c:numRef>
          </c:val>
          <c:extLst>
            <c:ext xmlns:c16="http://schemas.microsoft.com/office/drawing/2014/chart" uri="{C3380CC4-5D6E-409C-BE32-E72D297353CC}">
              <c16:uniqueId val="{00000000-ABF4-4CF6-8F41-FA2B8D6EEB53}"/>
            </c:ext>
          </c:extLst>
        </c:ser>
        <c:ser>
          <c:idx val="1"/>
          <c:order val="1"/>
          <c:tx>
            <c:strRef>
              <c:f>'Pivot Analysis'!$C$132:$C$133</c:f>
              <c:strCache>
                <c:ptCount val="1"/>
                <c:pt idx="0">
                  <c:v>Male</c:v>
                </c:pt>
              </c:strCache>
            </c:strRef>
          </c:tx>
          <c:spPr>
            <a:solidFill>
              <a:schemeClr val="accent2"/>
            </a:solidFill>
            <a:ln>
              <a:noFill/>
            </a:ln>
            <a:effectLst/>
          </c:spPr>
          <c:invertIfNegative val="0"/>
          <c:cat>
            <c:strRef>
              <c:f>'Pivot Analysis'!$A$134:$A$137</c:f>
              <c:strCache>
                <c:ptCount val="3"/>
                <c:pt idx="0">
                  <c:v>Middle Age</c:v>
                </c:pt>
                <c:pt idx="1">
                  <c:v>Senior</c:v>
                </c:pt>
                <c:pt idx="2">
                  <c:v>Young</c:v>
                </c:pt>
              </c:strCache>
            </c:strRef>
          </c:cat>
          <c:val>
            <c:numRef>
              <c:f>'Pivot Analysis'!$C$134:$C$137</c:f>
              <c:numCache>
                <c:formatCode>0.00%</c:formatCode>
                <c:ptCount val="3"/>
                <c:pt idx="0">
                  <c:v>0.16812439261418854</c:v>
                </c:pt>
                <c:pt idx="1">
                  <c:v>0.28624535315985128</c:v>
                </c:pt>
                <c:pt idx="2">
                  <c:v>6.3241106719367585E-2</c:v>
                </c:pt>
              </c:numCache>
            </c:numRef>
          </c:val>
          <c:extLst>
            <c:ext xmlns:c16="http://schemas.microsoft.com/office/drawing/2014/chart" uri="{C3380CC4-5D6E-409C-BE32-E72D297353CC}">
              <c16:uniqueId val="{00000001-ABF4-4CF6-8F41-FA2B8D6EEB53}"/>
            </c:ext>
          </c:extLst>
        </c:ser>
        <c:dLbls>
          <c:showLegendKey val="0"/>
          <c:showVal val="0"/>
          <c:showCatName val="0"/>
          <c:showSerName val="0"/>
          <c:showPercent val="0"/>
          <c:showBubbleSize val="0"/>
        </c:dLbls>
        <c:gapWidth val="219"/>
        <c:overlap val="-27"/>
        <c:axId val="1806736783"/>
        <c:axId val="1809588783"/>
      </c:barChart>
      <c:catAx>
        <c:axId val="180673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88783"/>
        <c:crosses val="autoZero"/>
        <c:auto val="1"/>
        <c:lblAlgn val="ctr"/>
        <c:lblOffset val="100"/>
        <c:noMultiLvlLbl val="0"/>
      </c:catAx>
      <c:valAx>
        <c:axId val="1809588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3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[framingham_cleaned.xlsx]Pivot Analysis!PivotTable11</c:name>
    <c:fmtId val="17"/>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Analysis'!$B$154:$B$155</c:f>
              <c:strCache>
                <c:ptCount val="1"/>
                <c:pt idx="0">
                  <c:v>Non-Smoker</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Analysis'!$A$156:$A$159</c:f>
              <c:strCache>
                <c:ptCount val="3"/>
                <c:pt idx="0">
                  <c:v>Middle Age</c:v>
                </c:pt>
                <c:pt idx="1">
                  <c:v>Senior</c:v>
                </c:pt>
                <c:pt idx="2">
                  <c:v>Young</c:v>
                </c:pt>
              </c:strCache>
            </c:strRef>
          </c:cat>
          <c:val>
            <c:numRef>
              <c:f>'Pivot Analysis'!$B$156:$B$159</c:f>
              <c:numCache>
                <c:formatCode>0.00%</c:formatCode>
                <c:ptCount val="3"/>
                <c:pt idx="0">
                  <c:v>9.9530516431924884E-2</c:v>
                </c:pt>
                <c:pt idx="1">
                  <c:v>0.23501762632197415</c:v>
                </c:pt>
                <c:pt idx="2">
                  <c:v>2.1834061135371178E-2</c:v>
                </c:pt>
              </c:numCache>
            </c:numRef>
          </c:val>
          <c:extLst>
            <c:ext xmlns:c16="http://schemas.microsoft.com/office/drawing/2014/chart" uri="{C3380CC4-5D6E-409C-BE32-E72D297353CC}">
              <c16:uniqueId val="{00000000-3CEB-48EF-9410-DB1FD94293D4}"/>
            </c:ext>
          </c:extLst>
        </c:ser>
        <c:ser>
          <c:idx val="1"/>
          <c:order val="1"/>
          <c:tx>
            <c:strRef>
              <c:f>'Pivot Analysis'!$C$154:$C$155</c:f>
              <c:strCache>
                <c:ptCount val="1"/>
                <c:pt idx="0">
                  <c:v>Smoker</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Analysis'!$A$156:$A$159</c:f>
              <c:strCache>
                <c:ptCount val="3"/>
                <c:pt idx="0">
                  <c:v>Middle Age</c:v>
                </c:pt>
                <c:pt idx="1">
                  <c:v>Senior</c:v>
                </c:pt>
                <c:pt idx="2">
                  <c:v>Young</c:v>
                </c:pt>
              </c:strCache>
            </c:strRef>
          </c:cat>
          <c:val>
            <c:numRef>
              <c:f>'Pivot Analysis'!$C$156:$C$159</c:f>
              <c:numCache>
                <c:formatCode>0.00%</c:formatCode>
                <c:ptCount val="3"/>
                <c:pt idx="0">
                  <c:v>0.14285714285714285</c:v>
                </c:pt>
                <c:pt idx="1">
                  <c:v>0.27682403433476394</c:v>
                </c:pt>
                <c:pt idx="2">
                  <c:v>5.5045871559633031E-2</c:v>
                </c:pt>
              </c:numCache>
            </c:numRef>
          </c:val>
          <c:extLst>
            <c:ext xmlns:c16="http://schemas.microsoft.com/office/drawing/2014/chart" uri="{C3380CC4-5D6E-409C-BE32-E72D297353CC}">
              <c16:uniqueId val="{00000001-3CEB-48EF-9410-DB1FD94293D4}"/>
            </c:ext>
          </c:extLst>
        </c:ser>
        <c:dLbls>
          <c:dLblPos val="outEnd"/>
          <c:showLegendKey val="0"/>
          <c:showVal val="1"/>
          <c:showCatName val="0"/>
          <c:showSerName val="0"/>
          <c:showPercent val="0"/>
          <c:showBubbleSize val="0"/>
        </c:dLbls>
        <c:gapWidth val="444"/>
        <c:overlap val="-90"/>
        <c:axId val="1097785312"/>
        <c:axId val="1087127664"/>
      </c:barChart>
      <c:catAx>
        <c:axId val="1097785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87127664"/>
        <c:crosses val="autoZero"/>
        <c:auto val="1"/>
        <c:lblAlgn val="ctr"/>
        <c:lblOffset val="100"/>
        <c:noMultiLvlLbl val="0"/>
      </c:catAx>
      <c:valAx>
        <c:axId val="1087127664"/>
        <c:scaling>
          <c:orientation val="minMax"/>
        </c:scaling>
        <c:delete val="1"/>
        <c:axPos val="l"/>
        <c:numFmt formatCode="0.00%" sourceLinked="1"/>
        <c:majorTickMark val="none"/>
        <c:minorTickMark val="none"/>
        <c:tickLblPos val="nextTo"/>
        <c:crossAx val="109778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4</xdr:col>
      <xdr:colOff>511175</xdr:colOff>
      <xdr:row>0</xdr:row>
      <xdr:rowOff>168275</xdr:rowOff>
    </xdr:from>
    <xdr:to>
      <xdr:col>11</xdr:col>
      <xdr:colOff>76200</xdr:colOff>
      <xdr:row>12</xdr:row>
      <xdr:rowOff>76200</xdr:rowOff>
    </xdr:to>
    <xdr:graphicFrame macro="">
      <xdr:nvGraphicFramePr>
        <xdr:cNvPr id="2" name="Chart 1">
          <a:extLst>
            <a:ext uri="{FF2B5EF4-FFF2-40B4-BE49-F238E27FC236}">
              <a16:creationId xmlns:a16="http://schemas.microsoft.com/office/drawing/2014/main" id="{E088F217-95B8-4218-BBD3-0B776E014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599721</xdr:colOff>
      <xdr:row>14</xdr:row>
      <xdr:rowOff>148872</xdr:rowOff>
    </xdr:from>
    <xdr:to>
      <xdr:col>10</xdr:col>
      <xdr:colOff>529167</xdr:colOff>
      <xdr:row>28</xdr:row>
      <xdr:rowOff>14111</xdr:rowOff>
    </xdr:to>
    <xdr:graphicFrame macro="">
      <xdr:nvGraphicFramePr>
        <xdr:cNvPr id="3" name="Chart 2">
          <a:extLst>
            <a:ext uri="{FF2B5EF4-FFF2-40B4-BE49-F238E27FC236}">
              <a16:creationId xmlns:a16="http://schemas.microsoft.com/office/drawing/2014/main" id="{8CE4BE51-AF74-468C-94A9-94A9FCDDE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592666</xdr:colOff>
      <xdr:row>28</xdr:row>
      <xdr:rowOff>134761</xdr:rowOff>
    </xdr:from>
    <xdr:to>
      <xdr:col>10</xdr:col>
      <xdr:colOff>585611</xdr:colOff>
      <xdr:row>44</xdr:row>
      <xdr:rowOff>0</xdr:rowOff>
    </xdr:to>
    <xdr:graphicFrame macro="">
      <xdr:nvGraphicFramePr>
        <xdr:cNvPr id="4" name="Chart 3">
          <a:extLst>
            <a:ext uri="{FF2B5EF4-FFF2-40B4-BE49-F238E27FC236}">
              <a16:creationId xmlns:a16="http://schemas.microsoft.com/office/drawing/2014/main" id="{738F88EC-99A7-4207-88A3-2CAEE846B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289278</xdr:colOff>
      <xdr:row>45</xdr:row>
      <xdr:rowOff>14816</xdr:rowOff>
    </xdr:from>
    <xdr:to>
      <xdr:col>14</xdr:col>
      <xdr:colOff>7056</xdr:colOff>
      <xdr:row>60</xdr:row>
      <xdr:rowOff>112183</xdr:rowOff>
    </xdr:to>
    <xdr:graphicFrame macro="">
      <xdr:nvGraphicFramePr>
        <xdr:cNvPr id="5" name="Chart 4">
          <a:extLst>
            <a:ext uri="{FF2B5EF4-FFF2-40B4-BE49-F238E27FC236}">
              <a16:creationId xmlns:a16="http://schemas.microsoft.com/office/drawing/2014/main" id="{3AFB8A15-D84B-45B4-81C6-D394BB043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280778</xdr:colOff>
      <xdr:row>61</xdr:row>
      <xdr:rowOff>127918</xdr:rowOff>
    </xdr:from>
    <xdr:to>
      <xdr:col>12</xdr:col>
      <xdr:colOff>351929</xdr:colOff>
      <xdr:row>75</xdr:row>
      <xdr:rowOff>7651</xdr:rowOff>
    </xdr:to>
    <xdr:graphicFrame macro="">
      <xdr:nvGraphicFramePr>
        <xdr:cNvPr id="9" name="Chart 8">
          <a:extLst>
            <a:ext uri="{FF2B5EF4-FFF2-40B4-BE49-F238E27FC236}">
              <a16:creationId xmlns:a16="http://schemas.microsoft.com/office/drawing/2014/main" id="{56D12D86-E30B-4AE6-A032-58C6A03DE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365284</xdr:colOff>
      <xdr:row>76</xdr:row>
      <xdr:rowOff>157692</xdr:rowOff>
    </xdr:from>
    <xdr:to>
      <xdr:col>12</xdr:col>
      <xdr:colOff>36079</xdr:colOff>
      <xdr:row>89</xdr:row>
      <xdr:rowOff>50510</xdr:rowOff>
    </xdr:to>
    <xdr:graphicFrame macro="">
      <xdr:nvGraphicFramePr>
        <xdr:cNvPr id="7" name="Chart 6">
          <a:extLst>
            <a:ext uri="{FF2B5EF4-FFF2-40B4-BE49-F238E27FC236}">
              <a16:creationId xmlns:a16="http://schemas.microsoft.com/office/drawing/2014/main" id="{0575705A-8479-4B13-9FB1-403FA8BDF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366346</xdr:colOff>
      <xdr:row>90</xdr:row>
      <xdr:rowOff>147515</xdr:rowOff>
    </xdr:from>
    <xdr:to>
      <xdr:col>12</xdr:col>
      <xdr:colOff>136770</xdr:colOff>
      <xdr:row>106</xdr:row>
      <xdr:rowOff>19539</xdr:rowOff>
    </xdr:to>
    <xdr:graphicFrame macro="">
      <xdr:nvGraphicFramePr>
        <xdr:cNvPr id="8" name="Chart 7">
          <a:extLst>
            <a:ext uri="{FF2B5EF4-FFF2-40B4-BE49-F238E27FC236}">
              <a16:creationId xmlns:a16="http://schemas.microsoft.com/office/drawing/2014/main" id="{FB797A62-1849-4005-B3FE-7D811E852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366345</xdr:colOff>
      <xdr:row>107</xdr:row>
      <xdr:rowOff>108438</xdr:rowOff>
    </xdr:from>
    <xdr:to>
      <xdr:col>13</xdr:col>
      <xdr:colOff>68384</xdr:colOff>
      <xdr:row>123</xdr:row>
      <xdr:rowOff>58615</xdr:rowOff>
    </xdr:to>
    <xdr:graphicFrame macro="">
      <xdr:nvGraphicFramePr>
        <xdr:cNvPr id="10" name="Chart 9">
          <a:extLst>
            <a:ext uri="{FF2B5EF4-FFF2-40B4-BE49-F238E27FC236}">
              <a16:creationId xmlns:a16="http://schemas.microsoft.com/office/drawing/2014/main" id="{A62D7238-0B7E-4B06-A25E-E5DBC1808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356576</xdr:colOff>
      <xdr:row>128</xdr:row>
      <xdr:rowOff>49824</xdr:rowOff>
    </xdr:from>
    <xdr:to>
      <xdr:col>14</xdr:col>
      <xdr:colOff>83038</xdr:colOff>
      <xdr:row>143</xdr:row>
      <xdr:rowOff>155331</xdr:rowOff>
    </xdr:to>
    <xdr:graphicFrame macro="">
      <xdr:nvGraphicFramePr>
        <xdr:cNvPr id="11" name="Chart 10">
          <a:extLst>
            <a:ext uri="{FF2B5EF4-FFF2-40B4-BE49-F238E27FC236}">
              <a16:creationId xmlns:a16="http://schemas.microsoft.com/office/drawing/2014/main" id="{649CCF80-2285-4941-9916-A8F07C9D5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284843</xdr:colOff>
      <xdr:row>0</xdr:row>
      <xdr:rowOff>177800</xdr:rowOff>
    </xdr:from>
    <xdr:to>
      <xdr:col>15</xdr:col>
      <xdr:colOff>290287</xdr:colOff>
      <xdr:row>14</xdr:row>
      <xdr:rowOff>66669</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C737CBA7-4A44-4078-81AE-C26E90A9DF3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467920" y="177800"/>
              <a:ext cx="1822519" cy="2350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507093</xdr:colOff>
      <xdr:row>0</xdr:row>
      <xdr:rowOff>136979</xdr:rowOff>
    </xdr:from>
    <xdr:to>
      <xdr:col>18</xdr:col>
      <xdr:colOff>512536</xdr:colOff>
      <xdr:row>14</xdr:row>
      <xdr:rowOff>25848</xdr:rowOff>
    </xdr:to>
    <mc:AlternateContent xmlns:mc="http://schemas.openxmlformats.org/markup-compatibility/2006" xmlns:a14="http://schemas.microsoft.com/office/drawing/2010/main">
      <mc:Choice Requires="a14">
        <xdr:graphicFrame macro="">
          <xdr:nvGraphicFramePr>
            <xdr:cNvPr id="12" name="age_group">
              <a:extLst>
                <a:ext uri="{FF2B5EF4-FFF2-40B4-BE49-F238E27FC236}">
                  <a16:creationId xmlns:a16="http://schemas.microsoft.com/office/drawing/2014/main" id="{8B418149-94E4-45E5-AA87-9BBA1B152101}"/>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1507247" y="136979"/>
              <a:ext cx="1822521" cy="2350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94342</xdr:colOff>
      <xdr:row>0</xdr:row>
      <xdr:rowOff>114300</xdr:rowOff>
    </xdr:from>
    <xdr:to>
      <xdr:col>22</xdr:col>
      <xdr:colOff>99784</xdr:colOff>
      <xdr:row>14</xdr:row>
      <xdr:rowOff>3169</xdr:rowOff>
    </xdr:to>
    <mc:AlternateContent xmlns:mc="http://schemas.openxmlformats.org/markup-compatibility/2006" xmlns:a14="http://schemas.microsoft.com/office/drawing/2010/main">
      <mc:Choice Requires="a14">
        <xdr:graphicFrame macro="">
          <xdr:nvGraphicFramePr>
            <xdr:cNvPr id="13" name="smoker_Category">
              <a:extLst>
                <a:ext uri="{FF2B5EF4-FFF2-40B4-BE49-F238E27FC236}">
                  <a16:creationId xmlns:a16="http://schemas.microsoft.com/office/drawing/2014/main" id="{87B98116-B351-40B9-A6D0-3CDAECF1F5DA}"/>
                </a:ext>
              </a:extLst>
            </xdr:cNvPr>
            <xdr:cNvGraphicFramePr/>
          </xdr:nvGraphicFramePr>
          <xdr:xfrm>
            <a:off x="0" y="0"/>
            <a:ext cx="0" cy="0"/>
          </xdr:xfrm>
          <a:graphic>
            <a:graphicData uri="http://schemas.microsoft.com/office/drawing/2010/slicer">
              <sle:slicer xmlns:sle="http://schemas.microsoft.com/office/drawing/2010/slicer" name="smoker_Category"/>
            </a:graphicData>
          </a:graphic>
        </xdr:graphicFrame>
      </mc:Choice>
      <mc:Fallback xmlns="">
        <xdr:sp macro="" textlink="">
          <xdr:nvSpPr>
            <xdr:cNvPr id="0" name=""/>
            <xdr:cNvSpPr>
              <a:spLocks noTextEdit="1"/>
            </xdr:cNvSpPr>
          </xdr:nvSpPr>
          <xdr:spPr>
            <a:xfrm>
              <a:off x="13517265" y="114300"/>
              <a:ext cx="1822520" cy="2350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307521</xdr:colOff>
      <xdr:row>14</xdr:row>
      <xdr:rowOff>173264</xdr:rowOff>
    </xdr:from>
    <xdr:to>
      <xdr:col>15</xdr:col>
      <xdr:colOff>312965</xdr:colOff>
      <xdr:row>28</xdr:row>
      <xdr:rowOff>62133</xdr:rowOff>
    </xdr:to>
    <mc:AlternateContent xmlns:mc="http://schemas.openxmlformats.org/markup-compatibility/2006" xmlns:a14="http://schemas.microsoft.com/office/drawing/2010/main">
      <mc:Choice Requires="a14">
        <xdr:graphicFrame macro="">
          <xdr:nvGraphicFramePr>
            <xdr:cNvPr id="14" name="BMI_Category">
              <a:extLst>
                <a:ext uri="{FF2B5EF4-FFF2-40B4-BE49-F238E27FC236}">
                  <a16:creationId xmlns:a16="http://schemas.microsoft.com/office/drawing/2014/main" id="{F0F060E0-DE3B-4666-A762-A0123101CFA5}"/>
                </a:ext>
              </a:extLst>
            </xdr:cNvPr>
            <xdr:cNvGraphicFramePr/>
          </xdr:nvGraphicFramePr>
          <xdr:xfrm>
            <a:off x="0" y="0"/>
            <a:ext cx="0" cy="0"/>
          </xdr:xfrm>
          <a:graphic>
            <a:graphicData uri="http://schemas.microsoft.com/office/drawing/2010/slicer">
              <sle:slicer xmlns:sle="http://schemas.microsoft.com/office/drawing/2010/slicer" name="BMI_Category"/>
            </a:graphicData>
          </a:graphic>
        </xdr:graphicFrame>
      </mc:Choice>
      <mc:Fallback xmlns="">
        <xdr:sp macro="" textlink="">
          <xdr:nvSpPr>
            <xdr:cNvPr id="0" name=""/>
            <xdr:cNvSpPr>
              <a:spLocks noTextEdit="1"/>
            </xdr:cNvSpPr>
          </xdr:nvSpPr>
          <xdr:spPr>
            <a:xfrm>
              <a:off x="9490598" y="2635110"/>
              <a:ext cx="1822519" cy="2350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585108</xdr:colOff>
      <xdr:row>14</xdr:row>
      <xdr:rowOff>129721</xdr:rowOff>
    </xdr:from>
    <xdr:to>
      <xdr:col>19</xdr:col>
      <xdr:colOff>4397</xdr:colOff>
      <xdr:row>28</xdr:row>
      <xdr:rowOff>18590</xdr:rowOff>
    </xdr:to>
    <mc:AlternateContent xmlns:mc="http://schemas.openxmlformats.org/markup-compatibility/2006" xmlns:a14="http://schemas.microsoft.com/office/drawing/2010/main">
      <mc:Choice Requires="a14">
        <xdr:graphicFrame macro="">
          <xdr:nvGraphicFramePr>
            <xdr:cNvPr id="15" name="High_Cholesterol_Flag">
              <a:extLst>
                <a:ext uri="{FF2B5EF4-FFF2-40B4-BE49-F238E27FC236}">
                  <a16:creationId xmlns:a16="http://schemas.microsoft.com/office/drawing/2014/main" id="{448336CB-D707-45A3-8613-1EC67FA560FF}"/>
                </a:ext>
              </a:extLst>
            </xdr:cNvPr>
            <xdr:cNvGraphicFramePr/>
          </xdr:nvGraphicFramePr>
          <xdr:xfrm>
            <a:off x="0" y="0"/>
            <a:ext cx="0" cy="0"/>
          </xdr:xfrm>
          <a:graphic>
            <a:graphicData uri="http://schemas.microsoft.com/office/drawing/2010/slicer">
              <sle:slicer xmlns:sle="http://schemas.microsoft.com/office/drawing/2010/slicer" name="High_Cholesterol_Flag"/>
            </a:graphicData>
          </a:graphic>
        </xdr:graphicFrame>
      </mc:Choice>
      <mc:Fallback xmlns="">
        <xdr:sp macro="" textlink="">
          <xdr:nvSpPr>
            <xdr:cNvPr id="0" name=""/>
            <xdr:cNvSpPr>
              <a:spLocks noTextEdit="1"/>
            </xdr:cNvSpPr>
          </xdr:nvSpPr>
          <xdr:spPr>
            <a:xfrm>
              <a:off x="11585262" y="2591567"/>
              <a:ext cx="1842059" cy="2350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129442</xdr:colOff>
      <xdr:row>14</xdr:row>
      <xdr:rowOff>106973</xdr:rowOff>
    </xdr:from>
    <xdr:to>
      <xdr:col>22</xdr:col>
      <xdr:colOff>141164</xdr:colOff>
      <xdr:row>28</xdr:row>
      <xdr:rowOff>73996</xdr:rowOff>
    </xdr:to>
    <mc:AlternateContent xmlns:mc="http://schemas.openxmlformats.org/markup-compatibility/2006" xmlns:a14="http://schemas.microsoft.com/office/drawing/2010/main">
      <mc:Choice Requires="a14">
        <xdr:graphicFrame macro="">
          <xdr:nvGraphicFramePr>
            <xdr:cNvPr id="17" name="TenYearCHD">
              <a:extLst>
                <a:ext uri="{FF2B5EF4-FFF2-40B4-BE49-F238E27FC236}">
                  <a16:creationId xmlns:a16="http://schemas.microsoft.com/office/drawing/2014/main" id="{A3AAB123-59DB-4896-BDE7-97C1875D8F0F}"/>
                </a:ext>
              </a:extLst>
            </xdr:cNvPr>
            <xdr:cNvGraphicFramePr/>
          </xdr:nvGraphicFramePr>
          <xdr:xfrm>
            <a:off x="0" y="0"/>
            <a:ext cx="0" cy="0"/>
          </xdr:xfrm>
          <a:graphic>
            <a:graphicData uri="http://schemas.microsoft.com/office/drawing/2010/slicer">
              <sle:slicer xmlns:sle="http://schemas.microsoft.com/office/drawing/2010/slicer" name="TenYearCHD"/>
            </a:graphicData>
          </a:graphic>
        </xdr:graphicFrame>
      </mc:Choice>
      <mc:Fallback xmlns="">
        <xdr:sp macro="" textlink="">
          <xdr:nvSpPr>
            <xdr:cNvPr id="0" name=""/>
            <xdr:cNvSpPr>
              <a:spLocks noTextEdit="1"/>
            </xdr:cNvSpPr>
          </xdr:nvSpPr>
          <xdr:spPr>
            <a:xfrm>
              <a:off x="13552365" y="2568819"/>
              <a:ext cx="1828800" cy="2428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357909</xdr:colOff>
      <xdr:row>150</xdr:row>
      <xdr:rowOff>158172</xdr:rowOff>
    </xdr:from>
    <xdr:to>
      <xdr:col>14</xdr:col>
      <xdr:colOff>34636</xdr:colOff>
      <xdr:row>166</xdr:row>
      <xdr:rowOff>130463</xdr:rowOff>
    </xdr:to>
    <xdr:graphicFrame macro="">
      <xdr:nvGraphicFramePr>
        <xdr:cNvPr id="18" name="Chart 17">
          <a:extLst>
            <a:ext uri="{FF2B5EF4-FFF2-40B4-BE49-F238E27FC236}">
              <a16:creationId xmlns:a16="http://schemas.microsoft.com/office/drawing/2014/main" id="{A0970CD2-44D0-47C8-8C43-56C1ED4771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4602</xdr:colOff>
      <xdr:row>0</xdr:row>
      <xdr:rowOff>168274</xdr:rowOff>
    </xdr:from>
    <xdr:to>
      <xdr:col>7</xdr:col>
      <xdr:colOff>7135</xdr:colOff>
      <xdr:row>14</xdr:row>
      <xdr:rowOff>7134</xdr:rowOff>
    </xdr:to>
    <xdr:graphicFrame macro="">
      <xdr:nvGraphicFramePr>
        <xdr:cNvPr id="2" name="Chart 1">
          <a:extLst>
            <a:ext uri="{FF2B5EF4-FFF2-40B4-BE49-F238E27FC236}">
              <a16:creationId xmlns:a16="http://schemas.microsoft.com/office/drawing/2014/main" id="{71C520D3-10A9-46AB-B8F6-FB31CB786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284843</xdr:colOff>
      <xdr:row>15</xdr:row>
      <xdr:rowOff>177800</xdr:rowOff>
    </xdr:from>
    <xdr:to>
      <xdr:col>29</xdr:col>
      <xdr:colOff>290287</xdr:colOff>
      <xdr:row>29</xdr:row>
      <xdr:rowOff>66668</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a16="http://schemas.microsoft.com/office/drawing/2014/main" id="{CFC10908-68CD-46B1-ACB2-EC8D86D5294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925896" y="2935037"/>
              <a:ext cx="1810180" cy="2462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507093</xdr:colOff>
      <xdr:row>15</xdr:row>
      <xdr:rowOff>136979</xdr:rowOff>
    </xdr:from>
    <xdr:to>
      <xdr:col>32</xdr:col>
      <xdr:colOff>512536</xdr:colOff>
      <xdr:row>29</xdr:row>
      <xdr:rowOff>25847</xdr:rowOff>
    </xdr:to>
    <mc:AlternateContent xmlns:mc="http://schemas.openxmlformats.org/markup-compatibility/2006" xmlns:a14="http://schemas.microsoft.com/office/drawing/2010/main">
      <mc:Choice Requires="a14">
        <xdr:graphicFrame macro="">
          <xdr:nvGraphicFramePr>
            <xdr:cNvPr id="12" name="age_group 1">
              <a:extLst>
                <a:ext uri="{FF2B5EF4-FFF2-40B4-BE49-F238E27FC236}">
                  <a16:creationId xmlns:a16="http://schemas.microsoft.com/office/drawing/2014/main" id="{90084CAC-E5F5-4717-9DA4-8007E1E75233}"/>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7952882" y="2894216"/>
              <a:ext cx="1810180" cy="2462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94342</xdr:colOff>
      <xdr:row>15</xdr:row>
      <xdr:rowOff>114300</xdr:rowOff>
    </xdr:from>
    <xdr:to>
      <xdr:col>36</xdr:col>
      <xdr:colOff>99784</xdr:colOff>
      <xdr:row>29</xdr:row>
      <xdr:rowOff>3168</xdr:rowOff>
    </xdr:to>
    <mc:AlternateContent xmlns:mc="http://schemas.openxmlformats.org/markup-compatibility/2006" xmlns:a14="http://schemas.microsoft.com/office/drawing/2010/main">
      <mc:Choice Requires="a14">
        <xdr:graphicFrame macro="">
          <xdr:nvGraphicFramePr>
            <xdr:cNvPr id="13" name="smoker_Category 1">
              <a:extLst>
                <a:ext uri="{FF2B5EF4-FFF2-40B4-BE49-F238E27FC236}">
                  <a16:creationId xmlns:a16="http://schemas.microsoft.com/office/drawing/2014/main" id="{B5E663BD-B597-435A-A5CE-4959334A1F5E}"/>
                </a:ext>
              </a:extLst>
            </xdr:cNvPr>
            <xdr:cNvGraphicFramePr/>
          </xdr:nvGraphicFramePr>
          <xdr:xfrm>
            <a:off x="0" y="0"/>
            <a:ext cx="0" cy="0"/>
          </xdr:xfrm>
          <a:graphic>
            <a:graphicData uri="http://schemas.microsoft.com/office/drawing/2010/slicer">
              <sle:slicer xmlns:sle="http://schemas.microsoft.com/office/drawing/2010/slicer" name="smoker_Category 1"/>
            </a:graphicData>
          </a:graphic>
        </xdr:graphicFrame>
      </mc:Choice>
      <mc:Fallback xmlns="">
        <xdr:sp macro="" textlink="">
          <xdr:nvSpPr>
            <xdr:cNvPr id="0" name=""/>
            <xdr:cNvSpPr>
              <a:spLocks noTextEdit="1"/>
            </xdr:cNvSpPr>
          </xdr:nvSpPr>
          <xdr:spPr>
            <a:xfrm>
              <a:off x="19946447" y="2871537"/>
              <a:ext cx="1810179" cy="2462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307521</xdr:colOff>
      <xdr:row>29</xdr:row>
      <xdr:rowOff>173264</xdr:rowOff>
    </xdr:from>
    <xdr:to>
      <xdr:col>29</xdr:col>
      <xdr:colOff>312965</xdr:colOff>
      <xdr:row>43</xdr:row>
      <xdr:rowOff>62133</xdr:rowOff>
    </xdr:to>
    <mc:AlternateContent xmlns:mc="http://schemas.openxmlformats.org/markup-compatibility/2006" xmlns:a14="http://schemas.microsoft.com/office/drawing/2010/main">
      <mc:Choice Requires="a14">
        <xdr:graphicFrame macro="">
          <xdr:nvGraphicFramePr>
            <xdr:cNvPr id="14" name="BMI_Category 1">
              <a:extLst>
                <a:ext uri="{FF2B5EF4-FFF2-40B4-BE49-F238E27FC236}">
                  <a16:creationId xmlns:a16="http://schemas.microsoft.com/office/drawing/2014/main" id="{3F2786DA-93B9-42DF-B667-A14DC10B85C8}"/>
                </a:ext>
              </a:extLst>
            </xdr:cNvPr>
            <xdr:cNvGraphicFramePr/>
          </xdr:nvGraphicFramePr>
          <xdr:xfrm>
            <a:off x="0" y="0"/>
            <a:ext cx="0" cy="0"/>
          </xdr:xfrm>
          <a:graphic>
            <a:graphicData uri="http://schemas.microsoft.com/office/drawing/2010/slicer">
              <sle:slicer xmlns:sle="http://schemas.microsoft.com/office/drawing/2010/slicer" name="BMI_Category 1"/>
            </a:graphicData>
          </a:graphic>
        </xdr:graphicFrame>
      </mc:Choice>
      <mc:Fallback xmlns="">
        <xdr:sp macro="" textlink="">
          <xdr:nvSpPr>
            <xdr:cNvPr id="0" name=""/>
            <xdr:cNvSpPr>
              <a:spLocks noTextEdit="1"/>
            </xdr:cNvSpPr>
          </xdr:nvSpPr>
          <xdr:spPr>
            <a:xfrm>
              <a:off x="15948574" y="5503922"/>
              <a:ext cx="1810180" cy="2462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585108</xdr:colOff>
      <xdr:row>29</xdr:row>
      <xdr:rowOff>129721</xdr:rowOff>
    </xdr:from>
    <xdr:to>
      <xdr:col>33</xdr:col>
      <xdr:colOff>4397</xdr:colOff>
      <xdr:row>43</xdr:row>
      <xdr:rowOff>18590</xdr:rowOff>
    </xdr:to>
    <mc:AlternateContent xmlns:mc="http://schemas.openxmlformats.org/markup-compatibility/2006" xmlns:a14="http://schemas.microsoft.com/office/drawing/2010/main">
      <mc:Choice Requires="a14">
        <xdr:graphicFrame macro="">
          <xdr:nvGraphicFramePr>
            <xdr:cNvPr id="15" name="High_Cholesterol_Flag 1">
              <a:extLst>
                <a:ext uri="{FF2B5EF4-FFF2-40B4-BE49-F238E27FC236}">
                  <a16:creationId xmlns:a16="http://schemas.microsoft.com/office/drawing/2014/main" id="{E549EA5D-B838-4145-9211-35AC67A6517A}"/>
                </a:ext>
              </a:extLst>
            </xdr:cNvPr>
            <xdr:cNvGraphicFramePr/>
          </xdr:nvGraphicFramePr>
          <xdr:xfrm>
            <a:off x="0" y="0"/>
            <a:ext cx="0" cy="0"/>
          </xdr:xfrm>
          <a:graphic>
            <a:graphicData uri="http://schemas.microsoft.com/office/drawing/2010/slicer">
              <sle:slicer xmlns:sle="http://schemas.microsoft.com/office/drawing/2010/slicer" name="High_Cholesterol_Flag 1"/>
            </a:graphicData>
          </a:graphic>
        </xdr:graphicFrame>
      </mc:Choice>
      <mc:Fallback xmlns="">
        <xdr:sp macro="" textlink="">
          <xdr:nvSpPr>
            <xdr:cNvPr id="0" name=""/>
            <xdr:cNvSpPr>
              <a:spLocks noTextEdit="1"/>
            </xdr:cNvSpPr>
          </xdr:nvSpPr>
          <xdr:spPr>
            <a:xfrm>
              <a:off x="18030897" y="5460379"/>
              <a:ext cx="1825605" cy="2462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129442</xdr:colOff>
      <xdr:row>29</xdr:row>
      <xdr:rowOff>106973</xdr:rowOff>
    </xdr:from>
    <xdr:to>
      <xdr:col>36</xdr:col>
      <xdr:colOff>141164</xdr:colOff>
      <xdr:row>43</xdr:row>
      <xdr:rowOff>73996</xdr:rowOff>
    </xdr:to>
    <mc:AlternateContent xmlns:mc="http://schemas.openxmlformats.org/markup-compatibility/2006" xmlns:a14="http://schemas.microsoft.com/office/drawing/2010/main">
      <mc:Choice Requires="a14">
        <xdr:graphicFrame macro="">
          <xdr:nvGraphicFramePr>
            <xdr:cNvPr id="16" name="TenYearCHD 1">
              <a:extLst>
                <a:ext uri="{FF2B5EF4-FFF2-40B4-BE49-F238E27FC236}">
                  <a16:creationId xmlns:a16="http://schemas.microsoft.com/office/drawing/2014/main" id="{9FDF0D01-E6C7-4A38-8908-92FF9FBC00A9}"/>
                </a:ext>
              </a:extLst>
            </xdr:cNvPr>
            <xdr:cNvGraphicFramePr/>
          </xdr:nvGraphicFramePr>
          <xdr:xfrm>
            <a:off x="0" y="0"/>
            <a:ext cx="0" cy="0"/>
          </xdr:xfrm>
          <a:graphic>
            <a:graphicData uri="http://schemas.microsoft.com/office/drawing/2010/slicer">
              <sle:slicer xmlns:sle="http://schemas.microsoft.com/office/drawing/2010/slicer" name="TenYearCHD 1"/>
            </a:graphicData>
          </a:graphic>
        </xdr:graphicFrame>
      </mc:Choice>
      <mc:Fallback xmlns="">
        <xdr:sp macro="" textlink="">
          <xdr:nvSpPr>
            <xdr:cNvPr id="0" name=""/>
            <xdr:cNvSpPr>
              <a:spLocks noTextEdit="1"/>
            </xdr:cNvSpPr>
          </xdr:nvSpPr>
          <xdr:spPr>
            <a:xfrm>
              <a:off x="19981547" y="5437631"/>
              <a:ext cx="1816459" cy="2540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7135</xdr:colOff>
      <xdr:row>1</xdr:row>
      <xdr:rowOff>0</xdr:rowOff>
    </xdr:from>
    <xdr:to>
      <xdr:col>13</xdr:col>
      <xdr:colOff>531894</xdr:colOff>
      <xdr:row>14</xdr:row>
      <xdr:rowOff>44791</xdr:rowOff>
    </xdr:to>
    <xdr:graphicFrame macro="">
      <xdr:nvGraphicFramePr>
        <xdr:cNvPr id="18" name="Chart 17">
          <a:extLst>
            <a:ext uri="{FF2B5EF4-FFF2-40B4-BE49-F238E27FC236}">
              <a16:creationId xmlns:a16="http://schemas.microsoft.com/office/drawing/2014/main" id="{E0BE0BCD-5C47-4254-B897-A32E77732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xdr:row>
      <xdr:rowOff>0</xdr:rowOff>
    </xdr:from>
    <xdr:to>
      <xdr:col>20</xdr:col>
      <xdr:colOff>599081</xdr:colOff>
      <xdr:row>16</xdr:row>
      <xdr:rowOff>38421</xdr:rowOff>
    </xdr:to>
    <xdr:graphicFrame macro="">
      <xdr:nvGraphicFramePr>
        <xdr:cNvPr id="19" name="Chart 18">
          <a:extLst>
            <a:ext uri="{FF2B5EF4-FFF2-40B4-BE49-F238E27FC236}">
              <a16:creationId xmlns:a16="http://schemas.microsoft.com/office/drawing/2014/main" id="{949E67FB-4451-437F-BFF3-B06ABAF5F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0</xdr:rowOff>
    </xdr:from>
    <xdr:to>
      <xdr:col>7</xdr:col>
      <xdr:colOff>323914</xdr:colOff>
      <xdr:row>35</xdr:row>
      <xdr:rowOff>97366</xdr:rowOff>
    </xdr:to>
    <xdr:graphicFrame macro="">
      <xdr:nvGraphicFramePr>
        <xdr:cNvPr id="20" name="Chart 19">
          <a:extLst>
            <a:ext uri="{FF2B5EF4-FFF2-40B4-BE49-F238E27FC236}">
              <a16:creationId xmlns:a16="http://schemas.microsoft.com/office/drawing/2014/main" id="{1A05F57B-334A-4144-B5F3-C1EEA20C8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20</xdr:row>
      <xdr:rowOff>0</xdr:rowOff>
    </xdr:from>
    <xdr:to>
      <xdr:col>14</xdr:col>
      <xdr:colOff>71151</xdr:colOff>
      <xdr:row>33</xdr:row>
      <xdr:rowOff>52914</xdr:rowOff>
    </xdr:to>
    <xdr:graphicFrame macro="">
      <xdr:nvGraphicFramePr>
        <xdr:cNvPr id="21" name="Chart 20">
          <a:extLst>
            <a:ext uri="{FF2B5EF4-FFF2-40B4-BE49-F238E27FC236}">
              <a16:creationId xmlns:a16="http://schemas.microsoft.com/office/drawing/2014/main" id="{27633CB9-B9BE-4718-95CB-60BFCE23D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20</xdr:row>
      <xdr:rowOff>0</xdr:rowOff>
    </xdr:from>
    <xdr:to>
      <xdr:col>20</xdr:col>
      <xdr:colOff>276931</xdr:colOff>
      <xdr:row>32</xdr:row>
      <xdr:rowOff>66000</xdr:rowOff>
    </xdr:to>
    <xdr:graphicFrame macro="">
      <xdr:nvGraphicFramePr>
        <xdr:cNvPr id="22" name="Chart 21">
          <a:extLst>
            <a:ext uri="{FF2B5EF4-FFF2-40B4-BE49-F238E27FC236}">
              <a16:creationId xmlns:a16="http://schemas.microsoft.com/office/drawing/2014/main" id="{1EB68494-BCBF-4196-9985-BD2CD4A29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37</xdr:row>
      <xdr:rowOff>0</xdr:rowOff>
    </xdr:from>
    <xdr:to>
      <xdr:col>5</xdr:col>
      <xdr:colOff>376560</xdr:colOff>
      <xdr:row>52</xdr:row>
      <xdr:rowOff>45205</xdr:rowOff>
    </xdr:to>
    <xdr:graphicFrame macro="">
      <xdr:nvGraphicFramePr>
        <xdr:cNvPr id="23" name="Chart 22">
          <a:extLst>
            <a:ext uri="{FF2B5EF4-FFF2-40B4-BE49-F238E27FC236}">
              <a16:creationId xmlns:a16="http://schemas.microsoft.com/office/drawing/2014/main" id="{4CC4E618-3C79-4903-80D3-D3C4A8EF6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37</xdr:row>
      <xdr:rowOff>0</xdr:rowOff>
    </xdr:from>
    <xdr:to>
      <xdr:col>13</xdr:col>
      <xdr:colOff>317797</xdr:colOff>
      <xdr:row>52</xdr:row>
      <xdr:rowOff>123358</xdr:rowOff>
    </xdr:to>
    <xdr:graphicFrame macro="">
      <xdr:nvGraphicFramePr>
        <xdr:cNvPr id="24" name="Chart 23">
          <a:extLst>
            <a:ext uri="{FF2B5EF4-FFF2-40B4-BE49-F238E27FC236}">
              <a16:creationId xmlns:a16="http://schemas.microsoft.com/office/drawing/2014/main" id="{903D4AEC-7930-4CA9-82C0-9402783B4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37</xdr:row>
      <xdr:rowOff>0</xdr:rowOff>
    </xdr:from>
    <xdr:to>
      <xdr:col>22</xdr:col>
      <xdr:colOff>342220</xdr:colOff>
      <xdr:row>52</xdr:row>
      <xdr:rowOff>105506</xdr:rowOff>
    </xdr:to>
    <xdr:graphicFrame macro="">
      <xdr:nvGraphicFramePr>
        <xdr:cNvPr id="25" name="Chart 24">
          <a:extLst>
            <a:ext uri="{FF2B5EF4-FFF2-40B4-BE49-F238E27FC236}">
              <a16:creationId xmlns:a16="http://schemas.microsoft.com/office/drawing/2014/main" id="{4DBC0150-E7B6-4A64-B626-34287E1AA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538789</xdr:colOff>
      <xdr:row>56</xdr:row>
      <xdr:rowOff>-1</xdr:rowOff>
    </xdr:from>
    <xdr:to>
      <xdr:col>15</xdr:col>
      <xdr:colOff>115454</xdr:colOff>
      <xdr:row>78</xdr:row>
      <xdr:rowOff>57726</xdr:rowOff>
    </xdr:to>
    <xdr:graphicFrame macro="">
      <xdr:nvGraphicFramePr>
        <xdr:cNvPr id="26" name="Chart 25">
          <a:extLst>
            <a:ext uri="{FF2B5EF4-FFF2-40B4-BE49-F238E27FC236}">
              <a16:creationId xmlns:a16="http://schemas.microsoft.com/office/drawing/2014/main" id="{276633F8-248C-437D-9BA7-6D621B2C0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ika Singh" refreshedDate="46074.523503124998" createdVersion="6" refreshedVersion="6" minRefreshableVersion="3" recordCount="4240" xr:uid="{0249184B-8006-496F-AB04-311183357B19}">
  <cacheSource type="worksheet">
    <worksheetSource ref="A1:X4241" sheet="framingham"/>
  </cacheSource>
  <cacheFields count="31">
    <cacheField name="male" numFmtId="0">
      <sharedItems containsSemiMixedTypes="0" containsString="0" containsNumber="1" containsInteger="1" minValue="0" maxValue="1"/>
    </cacheField>
    <cacheField name="gender" numFmtId="0">
      <sharedItems count="2">
        <s v="Female"/>
        <s v="Male"/>
      </sharedItems>
    </cacheField>
    <cacheField name="age" numFmtId="0">
      <sharedItems containsSemiMixedTypes="0" containsString="0" containsNumber="1" containsInteger="1" minValue="32" maxValue="70"/>
    </cacheField>
    <cacheField name="age_group" numFmtId="0">
      <sharedItems count="3">
        <s v="Young"/>
        <s v="Middle Age"/>
        <s v="Senior"/>
      </sharedItems>
    </cacheField>
    <cacheField name="education" numFmtId="0">
      <sharedItems containsMixedTypes="1" containsNumber="1" containsInteger="1" minValue="1" maxValue="4"/>
    </cacheField>
    <cacheField name="education_clean" numFmtId="0">
      <sharedItems containsSemiMixedTypes="0" containsString="0" containsNumber="1" containsInteger="1" minValue="1" maxValue="4"/>
    </cacheField>
    <cacheField name="Lookup" numFmtId="0">
      <sharedItems/>
    </cacheField>
    <cacheField name="Education_Level" numFmtId="0">
      <sharedItems count="4">
        <s v="Secondary"/>
        <s v="Graduate"/>
        <s v="Primary"/>
        <s v="Post Graduate"/>
      </sharedItems>
    </cacheField>
    <cacheField name="currentSmoker" numFmtId="0">
      <sharedItems containsSemiMixedTypes="0" containsString="0" containsNumber="1" containsInteger="1" minValue="0" maxValue="1"/>
    </cacheField>
    <cacheField name="cigsPerDay" numFmtId="0">
      <sharedItems containsMixedTypes="1" containsNumber="1" containsInteger="1" minValue="0" maxValue="70"/>
    </cacheField>
    <cacheField name="cigsPerDay_Clean" numFmtId="0">
      <sharedItems containsSemiMixedTypes="0" containsString="0" containsNumber="1" containsInteger="1" minValue="0" maxValue="70"/>
    </cacheField>
    <cacheField name="smoker_Category" numFmtId="0">
      <sharedItems count="2">
        <s v="Smoker"/>
        <s v="Non-Smoker"/>
      </sharedItems>
    </cacheField>
    <cacheField name="BPMeds" numFmtId="0">
      <sharedItems containsMixedTypes="1" containsNumber="1" containsInteger="1" minValue="0" maxValue="1"/>
    </cacheField>
    <cacheField name="BPMeds_Clean" numFmtId="0">
      <sharedItems containsSemiMixedTypes="0" containsString="0" containsNumber="1" containsInteger="1" minValue="0" maxValue="1" count="2">
        <n v="0"/>
        <n v="1"/>
      </sharedItems>
    </cacheField>
    <cacheField name="prevalentStroke" numFmtId="0">
      <sharedItems containsSemiMixedTypes="0" containsString="0" containsNumber="1" containsInteger="1" minValue="0" maxValue="1"/>
    </cacheField>
    <cacheField name="prevalentHyp" numFmtId="0">
      <sharedItems containsSemiMixedTypes="0" containsString="0" containsNumber="1" containsInteger="1" minValue="0" maxValue="1"/>
    </cacheField>
    <cacheField name="diabetes" numFmtId="0">
      <sharedItems containsSemiMixedTypes="0" containsString="0" containsNumber="1" containsInteger="1" minValue="0" maxValue="1"/>
    </cacheField>
    <cacheField name="totChol" numFmtId="0">
      <sharedItems containsMixedTypes="1" containsNumber="1" containsInteger="1" minValue="107" maxValue="696"/>
    </cacheField>
    <cacheField name="totChol_Clean" numFmtId="0">
      <sharedItems containsSemiMixedTypes="0" containsString="0" containsNumber="1" minValue="107" maxValue="696"/>
    </cacheField>
    <cacheField name="High_Cholesterol_Flag" numFmtId="0">
      <sharedItems count="2">
        <s v="High"/>
        <s v="Normal"/>
      </sharedItems>
    </cacheField>
    <cacheField name="sysBP" numFmtId="0">
      <sharedItems containsSemiMixedTypes="0" containsString="0" containsNumber="1" minValue="83.5" maxValue="295"/>
    </cacheField>
    <cacheField name="diaBP" numFmtId="0">
      <sharedItems containsSemiMixedTypes="0" containsString="0" containsNumber="1" minValue="48" maxValue="142.5"/>
    </cacheField>
    <cacheField name="BMI" numFmtId="0">
      <sharedItems containsMixedTypes="1" containsNumber="1" minValue="15.54" maxValue="56.8"/>
    </cacheField>
    <cacheField name="BMI_Clean" numFmtId="0">
      <sharedItems containsSemiMixedTypes="0" containsString="0" containsNumber="1" minValue="15.54" maxValue="56.8"/>
    </cacheField>
    <cacheField name="BMI_Category" numFmtId="0">
      <sharedItems count="4">
        <s v="Overweight"/>
        <s v="Normal"/>
        <s v="Obese"/>
        <s v="Underweight"/>
      </sharedItems>
    </cacheField>
    <cacheField name="heartRate" numFmtId="0">
      <sharedItems containsMixedTypes="1" containsNumber="1" containsInteger="1" minValue="44" maxValue="143"/>
    </cacheField>
    <cacheField name="heartRate_Clean" numFmtId="0">
      <sharedItems containsSemiMixedTypes="0" containsString="0" containsNumber="1" minValue="44" maxValue="143"/>
    </cacheField>
    <cacheField name="glucose" numFmtId="0">
      <sharedItems containsMixedTypes="1" containsNumber="1" containsInteger="1" minValue="40" maxValue="394"/>
    </cacheField>
    <cacheField name="glucose_Clean" numFmtId="0">
      <sharedItems containsSemiMixedTypes="0" containsString="0" containsNumber="1" minValue="40" maxValue="394"/>
    </cacheField>
    <cacheField name="glucose_category" numFmtId="0">
      <sharedItems count="3">
        <s v="Normal"/>
        <s v="Diabetes"/>
        <s v="High" u="1"/>
      </sharedItems>
    </cacheField>
    <cacheField name="TenYearCHD"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626769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0">
  <r>
    <n v="0"/>
    <x v="0"/>
    <n v="32"/>
    <x v="0"/>
    <n v="2"/>
    <n v="2"/>
    <s v="Secondary"/>
    <x v="0"/>
    <n v="1"/>
    <n v="15"/>
    <n v="15"/>
    <x v="0"/>
    <n v="0"/>
    <x v="0"/>
    <n v="0"/>
    <n v="0"/>
    <n v="0"/>
    <n v="242"/>
    <n v="242"/>
    <x v="0"/>
    <n v="111"/>
    <n v="70"/>
    <n v="29.84"/>
    <n v="29.84"/>
    <x v="0"/>
    <n v="80"/>
    <n v="80"/>
    <n v="88"/>
    <n v="88"/>
    <x v="0"/>
    <x v="0"/>
  </r>
  <r>
    <n v="0"/>
    <x v="0"/>
    <n v="33"/>
    <x v="0"/>
    <n v="3"/>
    <n v="3"/>
    <s v="Graduate"/>
    <x v="1"/>
    <n v="1"/>
    <n v="15"/>
    <n v="15"/>
    <x v="0"/>
    <n v="0"/>
    <x v="0"/>
    <n v="0"/>
    <n v="0"/>
    <n v="0"/>
    <n v="199"/>
    <n v="199"/>
    <x v="1"/>
    <n v="116"/>
    <n v="81"/>
    <n v="21.61"/>
    <n v="21.61"/>
    <x v="1"/>
    <n v="75"/>
    <n v="75"/>
    <n v="93"/>
    <n v="93"/>
    <x v="0"/>
    <x v="0"/>
  </r>
  <r>
    <n v="0"/>
    <x v="0"/>
    <n v="33"/>
    <x v="0"/>
    <n v="1"/>
    <n v="1"/>
    <s v="Primary"/>
    <x v="2"/>
    <n v="0"/>
    <n v="0"/>
    <n v="0"/>
    <x v="1"/>
    <n v="0"/>
    <x v="0"/>
    <n v="0"/>
    <n v="0"/>
    <n v="0"/>
    <n v="158"/>
    <n v="158"/>
    <x v="1"/>
    <n v="108"/>
    <n v="67"/>
    <n v="19.84"/>
    <n v="19.84"/>
    <x v="1"/>
    <n v="86"/>
    <n v="86"/>
    <n v="69"/>
    <n v="69"/>
    <x v="0"/>
    <x v="0"/>
  </r>
  <r>
    <n v="1"/>
    <x v="1"/>
    <n v="33"/>
    <x v="0"/>
    <n v="2"/>
    <n v="2"/>
    <s v="Secondary"/>
    <x v="0"/>
    <n v="0"/>
    <n v="0"/>
    <n v="0"/>
    <x v="1"/>
    <n v="0"/>
    <x v="0"/>
    <n v="0"/>
    <n v="1"/>
    <n v="0"/>
    <n v="165"/>
    <n v="165"/>
    <x v="1"/>
    <n v="141.5"/>
    <n v="95"/>
    <n v="26.74"/>
    <n v="26.74"/>
    <x v="0"/>
    <n v="54"/>
    <n v="54"/>
    <n v="77"/>
    <n v="77"/>
    <x v="0"/>
    <x v="0"/>
  </r>
  <r>
    <n v="0"/>
    <x v="0"/>
    <n v="33"/>
    <x v="0"/>
    <n v="2"/>
    <n v="2"/>
    <s v="Secondary"/>
    <x v="0"/>
    <n v="1"/>
    <n v="5"/>
    <n v="5"/>
    <x v="0"/>
    <n v="0"/>
    <x v="0"/>
    <n v="0"/>
    <n v="0"/>
    <n v="0"/>
    <n v="200"/>
    <n v="200"/>
    <x v="1"/>
    <n v="119"/>
    <n v="74"/>
    <n v="23.8"/>
    <n v="23.8"/>
    <x v="1"/>
    <n v="75"/>
    <n v="75"/>
    <n v="74"/>
    <n v="74"/>
    <x v="0"/>
    <x v="0"/>
  </r>
  <r>
    <n v="1"/>
    <x v="1"/>
    <n v="33"/>
    <x v="0"/>
    <n v="4"/>
    <n v="4"/>
    <s v="Post Graduate"/>
    <x v="3"/>
    <n v="0"/>
    <n v="0"/>
    <n v="0"/>
    <x v="1"/>
    <n v="0"/>
    <x v="0"/>
    <n v="0"/>
    <n v="0"/>
    <n v="0"/>
    <n v="165"/>
    <n v="165"/>
    <x v="1"/>
    <n v="136"/>
    <n v="75"/>
    <n v="24.95"/>
    <n v="24.95"/>
    <x v="1"/>
    <n v="88"/>
    <n v="88"/>
    <n v="90"/>
    <n v="90"/>
    <x v="0"/>
    <x v="0"/>
  </r>
  <r>
    <n v="0"/>
    <x v="0"/>
    <n v="34"/>
    <x v="0"/>
    <s v="NA"/>
    <n v="1"/>
    <s v="Primary"/>
    <x v="2"/>
    <n v="0"/>
    <n v="0"/>
    <n v="0"/>
    <x v="1"/>
    <n v="0"/>
    <x v="0"/>
    <n v="0"/>
    <n v="0"/>
    <n v="0"/>
    <n v="163"/>
    <n v="163"/>
    <x v="1"/>
    <n v="107"/>
    <n v="71"/>
    <n v="23.88"/>
    <n v="23.88"/>
    <x v="1"/>
    <n v="73"/>
    <n v="73"/>
    <n v="80"/>
    <n v="80"/>
    <x v="0"/>
    <x v="0"/>
  </r>
  <r>
    <n v="0"/>
    <x v="0"/>
    <n v="34"/>
    <x v="0"/>
    <n v="3"/>
    <n v="3"/>
    <s v="Graduate"/>
    <x v="1"/>
    <n v="1"/>
    <n v="10"/>
    <n v="10"/>
    <x v="0"/>
    <n v="0"/>
    <x v="0"/>
    <n v="0"/>
    <n v="0"/>
    <n v="0"/>
    <n v="206"/>
    <n v="206"/>
    <x v="1"/>
    <n v="101"/>
    <n v="63"/>
    <n v="21.5"/>
    <n v="21.5"/>
    <x v="1"/>
    <n v="75"/>
    <n v="75"/>
    <n v="66"/>
    <n v="66"/>
    <x v="0"/>
    <x v="0"/>
  </r>
  <r>
    <n v="0"/>
    <x v="0"/>
    <n v="34"/>
    <x v="0"/>
    <n v="2"/>
    <n v="2"/>
    <s v="Secondary"/>
    <x v="0"/>
    <n v="0"/>
    <n v="0"/>
    <n v="0"/>
    <x v="1"/>
    <n v="0"/>
    <x v="0"/>
    <n v="0"/>
    <n v="0"/>
    <n v="0"/>
    <n v="189"/>
    <n v="189"/>
    <x v="1"/>
    <n v="108"/>
    <n v="66"/>
    <n v="20.81"/>
    <n v="20.81"/>
    <x v="1"/>
    <n v="78"/>
    <n v="78"/>
    <n v="88"/>
    <n v="88"/>
    <x v="0"/>
    <x v="0"/>
  </r>
  <r>
    <n v="1"/>
    <x v="1"/>
    <n v="34"/>
    <x v="0"/>
    <n v="2"/>
    <n v="2"/>
    <s v="Secondary"/>
    <x v="0"/>
    <n v="1"/>
    <n v="25"/>
    <n v="25"/>
    <x v="0"/>
    <n v="0"/>
    <x v="0"/>
    <n v="0"/>
    <n v="0"/>
    <n v="0"/>
    <n v="250"/>
    <n v="250"/>
    <x v="0"/>
    <n v="119"/>
    <n v="77"/>
    <n v="29.04"/>
    <n v="29.04"/>
    <x v="0"/>
    <n v="63"/>
    <n v="63"/>
    <n v="80"/>
    <n v="80"/>
    <x v="0"/>
    <x v="0"/>
  </r>
  <r>
    <n v="1"/>
    <x v="1"/>
    <n v="34"/>
    <x v="0"/>
    <n v="1"/>
    <n v="1"/>
    <s v="Primary"/>
    <x v="2"/>
    <n v="1"/>
    <n v="10"/>
    <n v="10"/>
    <x v="0"/>
    <n v="0"/>
    <x v="0"/>
    <n v="0"/>
    <n v="0"/>
    <n v="0"/>
    <n v="210"/>
    <n v="210"/>
    <x v="1"/>
    <n v="120"/>
    <n v="85"/>
    <n v="24.39"/>
    <n v="24.39"/>
    <x v="1"/>
    <n v="68"/>
    <n v="68"/>
    <s v="NA"/>
    <n v="81.96365524402907"/>
    <x v="0"/>
    <x v="0"/>
  </r>
  <r>
    <n v="0"/>
    <x v="0"/>
    <n v="34"/>
    <x v="0"/>
    <n v="2"/>
    <n v="2"/>
    <s v="Secondary"/>
    <x v="0"/>
    <n v="1"/>
    <n v="20"/>
    <n v="20"/>
    <x v="0"/>
    <n v="0"/>
    <x v="0"/>
    <n v="0"/>
    <n v="0"/>
    <n v="0"/>
    <n v="220"/>
    <n v="220"/>
    <x v="1"/>
    <n v="117.5"/>
    <n v="67.5"/>
    <n v="20.79"/>
    <n v="20.79"/>
    <x v="1"/>
    <n v="63"/>
    <n v="63"/>
    <n v="86"/>
    <n v="86"/>
    <x v="0"/>
    <x v="0"/>
  </r>
  <r>
    <n v="1"/>
    <x v="1"/>
    <n v="34"/>
    <x v="0"/>
    <n v="4"/>
    <n v="4"/>
    <s v="Post Graduate"/>
    <x v="3"/>
    <n v="0"/>
    <n v="0"/>
    <n v="0"/>
    <x v="1"/>
    <n v="0"/>
    <x v="0"/>
    <n v="0"/>
    <n v="0"/>
    <n v="0"/>
    <n v="227"/>
    <n v="227"/>
    <x v="1"/>
    <n v="131.5"/>
    <n v="84"/>
    <n v="25.41"/>
    <n v="25.41"/>
    <x v="0"/>
    <n v="60"/>
    <n v="60"/>
    <n v="87"/>
    <n v="87"/>
    <x v="0"/>
    <x v="0"/>
  </r>
  <r>
    <n v="0"/>
    <x v="0"/>
    <n v="34"/>
    <x v="0"/>
    <n v="2"/>
    <n v="2"/>
    <s v="Secondary"/>
    <x v="0"/>
    <n v="0"/>
    <n v="0"/>
    <n v="0"/>
    <x v="1"/>
    <n v="0"/>
    <x v="0"/>
    <n v="0"/>
    <n v="0"/>
    <n v="0"/>
    <n v="170"/>
    <n v="170"/>
    <x v="1"/>
    <n v="121"/>
    <n v="74"/>
    <n v="20.82"/>
    <n v="20.82"/>
    <x v="1"/>
    <n v="67"/>
    <n v="67"/>
    <n v="83"/>
    <n v="83"/>
    <x v="0"/>
    <x v="0"/>
  </r>
  <r>
    <n v="0"/>
    <x v="0"/>
    <n v="34"/>
    <x v="0"/>
    <n v="1"/>
    <n v="1"/>
    <s v="Primary"/>
    <x v="2"/>
    <n v="1"/>
    <n v="20"/>
    <n v="20"/>
    <x v="0"/>
    <n v="0"/>
    <x v="0"/>
    <n v="0"/>
    <n v="0"/>
    <n v="0"/>
    <n v="175"/>
    <n v="175"/>
    <x v="1"/>
    <n v="117.5"/>
    <n v="73.5"/>
    <n v="22.15"/>
    <n v="22.15"/>
    <x v="1"/>
    <n v="65"/>
    <n v="65"/>
    <n v="75"/>
    <n v="75"/>
    <x v="0"/>
    <x v="0"/>
  </r>
  <r>
    <n v="0"/>
    <x v="0"/>
    <n v="34"/>
    <x v="0"/>
    <n v="2"/>
    <n v="2"/>
    <s v="Secondary"/>
    <x v="0"/>
    <n v="1"/>
    <n v="40"/>
    <n v="40"/>
    <x v="0"/>
    <n v="0"/>
    <x v="0"/>
    <n v="0"/>
    <n v="0"/>
    <n v="0"/>
    <n v="184"/>
    <n v="184"/>
    <x v="1"/>
    <n v="118"/>
    <n v="77"/>
    <n v="25.56"/>
    <n v="25.56"/>
    <x v="0"/>
    <n v="86"/>
    <n v="86"/>
    <s v="NA"/>
    <n v="81.96365524402907"/>
    <x v="0"/>
    <x v="0"/>
  </r>
  <r>
    <n v="0"/>
    <x v="0"/>
    <n v="34"/>
    <x v="0"/>
    <n v="2"/>
    <n v="2"/>
    <s v="Secondary"/>
    <x v="0"/>
    <n v="1"/>
    <n v="10"/>
    <n v="10"/>
    <x v="0"/>
    <n v="0"/>
    <x v="0"/>
    <n v="0"/>
    <n v="0"/>
    <n v="0"/>
    <n v="159"/>
    <n v="159"/>
    <x v="1"/>
    <n v="92.5"/>
    <n v="70"/>
    <n v="22.15"/>
    <n v="22.15"/>
    <x v="1"/>
    <n v="65"/>
    <n v="65"/>
    <n v="68"/>
    <n v="68"/>
    <x v="0"/>
    <x v="0"/>
  </r>
  <r>
    <n v="0"/>
    <x v="0"/>
    <n v="34"/>
    <x v="0"/>
    <n v="2"/>
    <n v="2"/>
    <s v="Secondary"/>
    <x v="0"/>
    <n v="0"/>
    <n v="0"/>
    <n v="0"/>
    <x v="1"/>
    <n v="0"/>
    <x v="0"/>
    <n v="0"/>
    <n v="0"/>
    <n v="0"/>
    <n v="226"/>
    <n v="226"/>
    <x v="1"/>
    <n v="112.5"/>
    <n v="77.5"/>
    <n v="24.99"/>
    <n v="24.99"/>
    <x v="1"/>
    <n v="100"/>
    <n v="100"/>
    <n v="72"/>
    <n v="72"/>
    <x v="0"/>
    <x v="0"/>
  </r>
  <r>
    <n v="1"/>
    <x v="1"/>
    <n v="34"/>
    <x v="0"/>
    <n v="3"/>
    <n v="3"/>
    <s v="Graduate"/>
    <x v="1"/>
    <n v="1"/>
    <n v="20"/>
    <n v="20"/>
    <x v="0"/>
    <n v="0"/>
    <x v="0"/>
    <n v="0"/>
    <n v="0"/>
    <n v="0"/>
    <n v="155"/>
    <n v="155"/>
    <x v="1"/>
    <n v="117.5"/>
    <n v="72.5"/>
    <n v="23.51"/>
    <n v="23.51"/>
    <x v="1"/>
    <n v="85"/>
    <n v="85"/>
    <n v="65"/>
    <n v="65"/>
    <x v="0"/>
    <x v="0"/>
  </r>
  <r>
    <n v="0"/>
    <x v="0"/>
    <n v="34"/>
    <x v="0"/>
    <n v="2"/>
    <n v="2"/>
    <s v="Secondary"/>
    <x v="0"/>
    <n v="1"/>
    <n v="20"/>
    <n v="20"/>
    <x v="0"/>
    <n v="0"/>
    <x v="0"/>
    <n v="0"/>
    <n v="0"/>
    <n v="0"/>
    <n v="180"/>
    <n v="180"/>
    <x v="1"/>
    <n v="111"/>
    <n v="56"/>
    <n v="21.51"/>
    <n v="21.51"/>
    <x v="1"/>
    <n v="91"/>
    <n v="91"/>
    <n v="78"/>
    <n v="78"/>
    <x v="0"/>
    <x v="0"/>
  </r>
  <r>
    <n v="1"/>
    <x v="1"/>
    <n v="34"/>
    <x v="0"/>
    <n v="1"/>
    <n v="1"/>
    <s v="Primary"/>
    <x v="2"/>
    <n v="1"/>
    <n v="5"/>
    <n v="5"/>
    <x v="0"/>
    <n v="0"/>
    <x v="0"/>
    <n v="0"/>
    <n v="0"/>
    <n v="0"/>
    <n v="185"/>
    <n v="185"/>
    <x v="1"/>
    <n v="100.5"/>
    <n v="66"/>
    <n v="24.42"/>
    <n v="24.42"/>
    <x v="1"/>
    <n v="70"/>
    <n v="70"/>
    <n v="115"/>
    <n v="115"/>
    <x v="0"/>
    <x v="0"/>
  </r>
  <r>
    <n v="0"/>
    <x v="0"/>
    <n v="34"/>
    <x v="0"/>
    <s v="NA"/>
    <n v="1"/>
    <s v="Primary"/>
    <x v="2"/>
    <n v="1"/>
    <n v="10"/>
    <n v="10"/>
    <x v="0"/>
    <n v="0"/>
    <x v="0"/>
    <n v="0"/>
    <n v="0"/>
    <n v="0"/>
    <n v="185"/>
    <n v="185"/>
    <x v="1"/>
    <n v="108.5"/>
    <n v="86"/>
    <n v="19.68"/>
    <n v="19.68"/>
    <x v="1"/>
    <n v="75"/>
    <n v="75"/>
    <s v="NA"/>
    <n v="81.96365524402907"/>
    <x v="0"/>
    <x v="0"/>
  </r>
  <r>
    <n v="0"/>
    <x v="0"/>
    <n v="34"/>
    <x v="0"/>
    <n v="3"/>
    <n v="3"/>
    <s v="Graduate"/>
    <x v="1"/>
    <n v="0"/>
    <n v="0"/>
    <n v="0"/>
    <x v="1"/>
    <n v="0"/>
    <x v="0"/>
    <n v="0"/>
    <n v="0"/>
    <n v="0"/>
    <n v="227"/>
    <n v="227"/>
    <x v="1"/>
    <n v="102"/>
    <n v="68"/>
    <n v="24.96"/>
    <n v="24.96"/>
    <x v="1"/>
    <n v="80"/>
    <n v="80"/>
    <n v="75"/>
    <n v="75"/>
    <x v="0"/>
    <x v="0"/>
  </r>
  <r>
    <n v="0"/>
    <x v="0"/>
    <n v="34"/>
    <x v="0"/>
    <n v="3"/>
    <n v="3"/>
    <s v="Graduate"/>
    <x v="1"/>
    <n v="0"/>
    <n v="0"/>
    <n v="0"/>
    <x v="1"/>
    <n v="0"/>
    <x v="0"/>
    <n v="0"/>
    <n v="0"/>
    <n v="0"/>
    <n v="196"/>
    <n v="196"/>
    <x v="1"/>
    <n v="108.5"/>
    <n v="68"/>
    <n v="25.67"/>
    <n v="25.67"/>
    <x v="0"/>
    <n v="60"/>
    <n v="60"/>
    <n v="82"/>
    <n v="82"/>
    <x v="0"/>
    <x v="0"/>
  </r>
  <r>
    <n v="1"/>
    <x v="1"/>
    <n v="35"/>
    <x v="0"/>
    <n v="2"/>
    <n v="2"/>
    <s v="Secondary"/>
    <x v="0"/>
    <n v="1"/>
    <n v="20"/>
    <n v="20"/>
    <x v="0"/>
    <n v="0"/>
    <x v="0"/>
    <n v="0"/>
    <n v="1"/>
    <n v="0"/>
    <n v="225"/>
    <n v="225"/>
    <x v="1"/>
    <n v="132"/>
    <n v="91"/>
    <n v="26.09"/>
    <n v="26.09"/>
    <x v="0"/>
    <n v="73"/>
    <n v="73"/>
    <n v="83"/>
    <n v="83"/>
    <x v="0"/>
    <x v="0"/>
  </r>
  <r>
    <n v="0"/>
    <x v="0"/>
    <n v="35"/>
    <x v="0"/>
    <n v="2"/>
    <n v="2"/>
    <s v="Secondary"/>
    <x v="0"/>
    <n v="0"/>
    <n v="0"/>
    <n v="0"/>
    <x v="1"/>
    <n v="0"/>
    <x v="0"/>
    <n v="0"/>
    <n v="0"/>
    <n v="0"/>
    <n v="208"/>
    <n v="208"/>
    <x v="1"/>
    <n v="122.5"/>
    <n v="72.5"/>
    <n v="22"/>
    <n v="22"/>
    <x v="1"/>
    <n v="65"/>
    <n v="65"/>
    <s v="NA"/>
    <n v="81.96365524402907"/>
    <x v="0"/>
    <x v="0"/>
  </r>
  <r>
    <n v="0"/>
    <x v="0"/>
    <n v="35"/>
    <x v="0"/>
    <n v="2"/>
    <n v="2"/>
    <s v="Secondary"/>
    <x v="0"/>
    <n v="1"/>
    <n v="15"/>
    <n v="15"/>
    <x v="0"/>
    <n v="0"/>
    <x v="0"/>
    <n v="0"/>
    <n v="0"/>
    <n v="0"/>
    <n v="177"/>
    <n v="177"/>
    <x v="1"/>
    <n v="110"/>
    <n v="70"/>
    <n v="25.71"/>
    <n v="25.71"/>
    <x v="0"/>
    <n v="65"/>
    <n v="65"/>
    <n v="84"/>
    <n v="84"/>
    <x v="0"/>
    <x v="0"/>
  </r>
  <r>
    <n v="1"/>
    <x v="1"/>
    <n v="35"/>
    <x v="0"/>
    <n v="2"/>
    <n v="2"/>
    <s v="Secondary"/>
    <x v="0"/>
    <n v="1"/>
    <n v="20"/>
    <n v="20"/>
    <x v="0"/>
    <n v="0"/>
    <x v="0"/>
    <n v="0"/>
    <n v="0"/>
    <n v="0"/>
    <n v="231"/>
    <n v="231"/>
    <x v="1"/>
    <n v="122"/>
    <n v="72.5"/>
    <n v="22.78"/>
    <n v="22.78"/>
    <x v="1"/>
    <n v="72"/>
    <n v="72"/>
    <n v="93"/>
    <n v="93"/>
    <x v="0"/>
    <x v="0"/>
  </r>
  <r>
    <n v="0"/>
    <x v="0"/>
    <n v="35"/>
    <x v="0"/>
    <n v="2"/>
    <n v="2"/>
    <s v="Secondary"/>
    <x v="0"/>
    <n v="0"/>
    <n v="0"/>
    <n v="0"/>
    <x v="1"/>
    <n v="0"/>
    <x v="0"/>
    <n v="0"/>
    <n v="0"/>
    <n v="0"/>
    <n v="170"/>
    <n v="170"/>
    <x v="1"/>
    <n v="98.5"/>
    <n v="69.5"/>
    <n v="19.64"/>
    <n v="19.64"/>
    <x v="1"/>
    <n v="71"/>
    <n v="71"/>
    <n v="77"/>
    <n v="77"/>
    <x v="0"/>
    <x v="0"/>
  </r>
  <r>
    <n v="0"/>
    <x v="0"/>
    <n v="35"/>
    <x v="0"/>
    <n v="2"/>
    <n v="2"/>
    <s v="Secondary"/>
    <x v="0"/>
    <n v="1"/>
    <n v="30"/>
    <n v="30"/>
    <x v="0"/>
    <n v="0"/>
    <x v="0"/>
    <n v="0"/>
    <n v="0"/>
    <n v="0"/>
    <n v="245"/>
    <n v="245"/>
    <x v="0"/>
    <n v="148"/>
    <n v="84"/>
    <n v="23.74"/>
    <n v="23.74"/>
    <x v="1"/>
    <n v="60"/>
    <n v="60"/>
    <n v="73"/>
    <n v="73"/>
    <x v="0"/>
    <x v="0"/>
  </r>
  <r>
    <n v="1"/>
    <x v="1"/>
    <n v="35"/>
    <x v="0"/>
    <n v="3"/>
    <n v="3"/>
    <s v="Graduate"/>
    <x v="1"/>
    <n v="1"/>
    <n v="40"/>
    <n v="40"/>
    <x v="0"/>
    <n v="0"/>
    <x v="0"/>
    <n v="0"/>
    <n v="0"/>
    <n v="0"/>
    <n v="175"/>
    <n v="175"/>
    <x v="1"/>
    <n v="112"/>
    <n v="62.5"/>
    <n v="21.03"/>
    <n v="21.03"/>
    <x v="1"/>
    <n v="73"/>
    <n v="73"/>
    <n v="69"/>
    <n v="69"/>
    <x v="0"/>
    <x v="1"/>
  </r>
  <r>
    <n v="0"/>
    <x v="0"/>
    <n v="35"/>
    <x v="0"/>
    <n v="2"/>
    <n v="2"/>
    <s v="Secondary"/>
    <x v="0"/>
    <n v="1"/>
    <n v="20"/>
    <n v="20"/>
    <x v="0"/>
    <n v="0"/>
    <x v="0"/>
    <n v="0"/>
    <n v="0"/>
    <n v="0"/>
    <n v="231"/>
    <n v="231"/>
    <x v="1"/>
    <n v="150"/>
    <n v="90"/>
    <n v="23.09"/>
    <n v="23.09"/>
    <x v="1"/>
    <n v="83"/>
    <n v="83"/>
    <n v="72"/>
    <n v="72"/>
    <x v="0"/>
    <x v="0"/>
  </r>
  <r>
    <n v="0"/>
    <x v="0"/>
    <n v="35"/>
    <x v="0"/>
    <n v="2"/>
    <n v="2"/>
    <s v="Secondary"/>
    <x v="0"/>
    <n v="0"/>
    <n v="0"/>
    <n v="0"/>
    <x v="1"/>
    <n v="0"/>
    <x v="0"/>
    <n v="0"/>
    <n v="0"/>
    <n v="0"/>
    <n v="254"/>
    <n v="254"/>
    <x v="0"/>
    <n v="95"/>
    <n v="57"/>
    <n v="24.55"/>
    <n v="24.55"/>
    <x v="1"/>
    <n v="61"/>
    <n v="61"/>
    <s v="NA"/>
    <n v="81.96365524402907"/>
    <x v="0"/>
    <x v="0"/>
  </r>
  <r>
    <n v="1"/>
    <x v="1"/>
    <n v="35"/>
    <x v="0"/>
    <n v="1"/>
    <n v="1"/>
    <s v="Primary"/>
    <x v="2"/>
    <n v="1"/>
    <n v="40"/>
    <n v="40"/>
    <x v="0"/>
    <n v="0"/>
    <x v="0"/>
    <n v="0"/>
    <n v="1"/>
    <n v="0"/>
    <n v="265"/>
    <n v="265"/>
    <x v="0"/>
    <n v="167.5"/>
    <n v="104.5"/>
    <n v="26.59"/>
    <n v="26.59"/>
    <x v="0"/>
    <n v="102"/>
    <n v="102"/>
    <s v="NA"/>
    <n v="81.96365524402907"/>
    <x v="0"/>
    <x v="0"/>
  </r>
  <r>
    <n v="0"/>
    <x v="0"/>
    <n v="35"/>
    <x v="0"/>
    <n v="2"/>
    <n v="2"/>
    <s v="Secondary"/>
    <x v="0"/>
    <n v="0"/>
    <n v="0"/>
    <n v="0"/>
    <x v="1"/>
    <n v="0"/>
    <x v="0"/>
    <n v="0"/>
    <n v="0"/>
    <n v="0"/>
    <n v="248"/>
    <n v="248"/>
    <x v="0"/>
    <n v="107"/>
    <n v="73"/>
    <n v="20.64"/>
    <n v="20.64"/>
    <x v="1"/>
    <n v="90"/>
    <n v="90"/>
    <n v="80"/>
    <n v="80"/>
    <x v="0"/>
    <x v="0"/>
  </r>
  <r>
    <n v="1"/>
    <x v="1"/>
    <n v="35"/>
    <x v="0"/>
    <n v="2"/>
    <n v="2"/>
    <s v="Secondary"/>
    <x v="0"/>
    <n v="0"/>
    <n v="0"/>
    <n v="0"/>
    <x v="1"/>
    <n v="0"/>
    <x v="0"/>
    <n v="0"/>
    <n v="0"/>
    <n v="0"/>
    <n v="290"/>
    <n v="290"/>
    <x v="0"/>
    <n v="108"/>
    <n v="72"/>
    <n v="22.91"/>
    <n v="22.91"/>
    <x v="1"/>
    <n v="55"/>
    <n v="55"/>
    <n v="84"/>
    <n v="84"/>
    <x v="0"/>
    <x v="0"/>
  </r>
  <r>
    <n v="0"/>
    <x v="0"/>
    <n v="35"/>
    <x v="0"/>
    <n v="3"/>
    <n v="3"/>
    <s v="Graduate"/>
    <x v="1"/>
    <n v="1"/>
    <n v="5"/>
    <n v="5"/>
    <x v="0"/>
    <n v="0"/>
    <x v="0"/>
    <n v="0"/>
    <n v="0"/>
    <n v="0"/>
    <n v="154"/>
    <n v="154"/>
    <x v="1"/>
    <n v="125"/>
    <n v="75"/>
    <n v="23.1"/>
    <n v="23.1"/>
    <x v="1"/>
    <n v="110"/>
    <n v="110"/>
    <n v="75"/>
    <n v="75"/>
    <x v="0"/>
    <x v="0"/>
  </r>
  <r>
    <n v="1"/>
    <x v="1"/>
    <n v="35"/>
    <x v="0"/>
    <n v="2"/>
    <n v="2"/>
    <s v="Secondary"/>
    <x v="0"/>
    <n v="0"/>
    <n v="0"/>
    <n v="0"/>
    <x v="1"/>
    <n v="0"/>
    <x v="0"/>
    <n v="0"/>
    <n v="0"/>
    <n v="0"/>
    <n v="242"/>
    <n v="242"/>
    <x v="0"/>
    <n v="136.5"/>
    <n v="95"/>
    <n v="24.43"/>
    <n v="24.43"/>
    <x v="1"/>
    <n v="75"/>
    <n v="75"/>
    <n v="88"/>
    <n v="88"/>
    <x v="0"/>
    <x v="0"/>
  </r>
  <r>
    <n v="0"/>
    <x v="0"/>
    <n v="35"/>
    <x v="0"/>
    <n v="3"/>
    <n v="3"/>
    <s v="Graduate"/>
    <x v="1"/>
    <n v="0"/>
    <n v="0"/>
    <n v="0"/>
    <x v="1"/>
    <n v="0"/>
    <x v="0"/>
    <n v="0"/>
    <n v="0"/>
    <n v="0"/>
    <s v="NA"/>
    <n v="236.69952267303103"/>
    <x v="1"/>
    <n v="127.5"/>
    <n v="80"/>
    <n v="23.08"/>
    <n v="23.08"/>
    <x v="1"/>
    <n v="95"/>
    <n v="95"/>
    <n v="85"/>
    <n v="85"/>
    <x v="0"/>
    <x v="0"/>
  </r>
  <r>
    <n v="1"/>
    <x v="1"/>
    <n v="35"/>
    <x v="0"/>
    <n v="1"/>
    <n v="1"/>
    <s v="Primary"/>
    <x v="2"/>
    <n v="1"/>
    <n v="15"/>
    <n v="15"/>
    <x v="0"/>
    <n v="0"/>
    <x v="0"/>
    <n v="0"/>
    <n v="0"/>
    <n v="0"/>
    <n v="210"/>
    <n v="210"/>
    <x v="1"/>
    <n v="99"/>
    <n v="67"/>
    <n v="22.39"/>
    <n v="22.39"/>
    <x v="1"/>
    <n v="57"/>
    <n v="57"/>
    <n v="75"/>
    <n v="75"/>
    <x v="0"/>
    <x v="0"/>
  </r>
  <r>
    <n v="0"/>
    <x v="0"/>
    <n v="35"/>
    <x v="0"/>
    <n v="2"/>
    <n v="2"/>
    <s v="Secondary"/>
    <x v="0"/>
    <n v="0"/>
    <n v="0"/>
    <n v="0"/>
    <x v="1"/>
    <n v="0"/>
    <x v="0"/>
    <n v="0"/>
    <n v="0"/>
    <n v="0"/>
    <n v="216"/>
    <n v="216"/>
    <x v="1"/>
    <n v="130"/>
    <n v="68"/>
    <n v="25.94"/>
    <n v="25.94"/>
    <x v="0"/>
    <n v="75"/>
    <n v="75"/>
    <n v="90"/>
    <n v="90"/>
    <x v="0"/>
    <x v="0"/>
  </r>
  <r>
    <n v="0"/>
    <x v="0"/>
    <n v="35"/>
    <x v="0"/>
    <n v="2"/>
    <n v="2"/>
    <s v="Secondary"/>
    <x v="0"/>
    <n v="1"/>
    <n v="5"/>
    <n v="5"/>
    <x v="0"/>
    <n v="0"/>
    <x v="0"/>
    <n v="0"/>
    <n v="0"/>
    <n v="0"/>
    <n v="186"/>
    <n v="186"/>
    <x v="1"/>
    <n v="106"/>
    <n v="78"/>
    <n v="24.73"/>
    <n v="24.73"/>
    <x v="1"/>
    <n v="60"/>
    <n v="60"/>
    <n v="70"/>
    <n v="70"/>
    <x v="0"/>
    <x v="0"/>
  </r>
  <r>
    <n v="1"/>
    <x v="1"/>
    <n v="35"/>
    <x v="0"/>
    <n v="4"/>
    <n v="4"/>
    <s v="Post Graduate"/>
    <x v="3"/>
    <n v="1"/>
    <n v="10"/>
    <n v="10"/>
    <x v="0"/>
    <n v="0"/>
    <x v="0"/>
    <n v="0"/>
    <n v="0"/>
    <n v="0"/>
    <n v="300"/>
    <n v="300"/>
    <x v="0"/>
    <n v="120"/>
    <n v="84"/>
    <n v="24.69"/>
    <n v="24.69"/>
    <x v="1"/>
    <n v="75"/>
    <n v="75"/>
    <n v="99"/>
    <n v="99"/>
    <x v="0"/>
    <x v="0"/>
  </r>
  <r>
    <n v="1"/>
    <x v="1"/>
    <n v="35"/>
    <x v="0"/>
    <n v="3"/>
    <n v="3"/>
    <s v="Graduate"/>
    <x v="1"/>
    <n v="1"/>
    <n v="15"/>
    <n v="15"/>
    <x v="0"/>
    <n v="0"/>
    <x v="0"/>
    <n v="0"/>
    <n v="0"/>
    <n v="0"/>
    <n v="215"/>
    <n v="215"/>
    <x v="1"/>
    <n v="133"/>
    <n v="86"/>
    <n v="28.7"/>
    <n v="28.7"/>
    <x v="0"/>
    <n v="86"/>
    <n v="86"/>
    <n v="84"/>
    <n v="84"/>
    <x v="0"/>
    <x v="0"/>
  </r>
  <r>
    <n v="0"/>
    <x v="0"/>
    <n v="35"/>
    <x v="0"/>
    <n v="1"/>
    <n v="1"/>
    <s v="Primary"/>
    <x v="2"/>
    <n v="0"/>
    <n v="0"/>
    <n v="0"/>
    <x v="1"/>
    <n v="0"/>
    <x v="0"/>
    <n v="0"/>
    <n v="0"/>
    <n v="0"/>
    <n v="170"/>
    <n v="170"/>
    <x v="1"/>
    <n v="110"/>
    <n v="69"/>
    <n v="23.48"/>
    <n v="23.48"/>
    <x v="1"/>
    <n v="75"/>
    <n v="75"/>
    <n v="83"/>
    <n v="83"/>
    <x v="0"/>
    <x v="0"/>
  </r>
  <r>
    <n v="1"/>
    <x v="1"/>
    <n v="35"/>
    <x v="0"/>
    <n v="3"/>
    <n v="3"/>
    <s v="Graduate"/>
    <x v="1"/>
    <n v="1"/>
    <n v="15"/>
    <n v="15"/>
    <x v="0"/>
    <n v="0"/>
    <x v="0"/>
    <n v="0"/>
    <n v="0"/>
    <n v="0"/>
    <n v="196"/>
    <n v="196"/>
    <x v="1"/>
    <n v="107.5"/>
    <n v="66.5"/>
    <n v="22.64"/>
    <n v="22.64"/>
    <x v="1"/>
    <n v="45"/>
    <n v="45"/>
    <n v="79"/>
    <n v="79"/>
    <x v="0"/>
    <x v="0"/>
  </r>
  <r>
    <n v="1"/>
    <x v="1"/>
    <n v="35"/>
    <x v="0"/>
    <n v="2"/>
    <n v="2"/>
    <s v="Secondary"/>
    <x v="0"/>
    <n v="1"/>
    <n v="3"/>
    <n v="3"/>
    <x v="0"/>
    <n v="0"/>
    <x v="0"/>
    <n v="0"/>
    <n v="1"/>
    <n v="0"/>
    <n v="282"/>
    <n v="282"/>
    <x v="0"/>
    <n v="111"/>
    <n v="84"/>
    <n v="29.42"/>
    <n v="29.42"/>
    <x v="0"/>
    <n v="80"/>
    <n v="80"/>
    <s v="NA"/>
    <n v="81.96365524402907"/>
    <x v="0"/>
    <x v="0"/>
  </r>
  <r>
    <n v="0"/>
    <x v="0"/>
    <n v="35"/>
    <x v="0"/>
    <n v="2"/>
    <n v="2"/>
    <s v="Secondary"/>
    <x v="0"/>
    <n v="0"/>
    <n v="0"/>
    <n v="0"/>
    <x v="1"/>
    <n v="0"/>
    <x v="0"/>
    <n v="0"/>
    <n v="0"/>
    <n v="0"/>
    <n v="274"/>
    <n v="274"/>
    <x v="0"/>
    <n v="104"/>
    <n v="61"/>
    <s v="NA"/>
    <n v="25.80080075811421"/>
    <x v="0"/>
    <n v="60"/>
    <n v="60"/>
    <n v="68"/>
    <n v="68"/>
    <x v="0"/>
    <x v="0"/>
  </r>
  <r>
    <n v="0"/>
    <x v="0"/>
    <n v="35"/>
    <x v="0"/>
    <n v="2"/>
    <n v="2"/>
    <s v="Secondary"/>
    <x v="0"/>
    <n v="0"/>
    <n v="0"/>
    <n v="0"/>
    <x v="1"/>
    <n v="0"/>
    <x v="0"/>
    <n v="0"/>
    <n v="0"/>
    <n v="0"/>
    <n v="165"/>
    <n v="165"/>
    <x v="1"/>
    <n v="117.5"/>
    <n v="72.5"/>
    <n v="27.86"/>
    <n v="27.86"/>
    <x v="0"/>
    <n v="63"/>
    <n v="63"/>
    <n v="67"/>
    <n v="67"/>
    <x v="0"/>
    <x v="0"/>
  </r>
  <r>
    <n v="0"/>
    <x v="0"/>
    <n v="35"/>
    <x v="0"/>
    <n v="2"/>
    <n v="2"/>
    <s v="Secondary"/>
    <x v="0"/>
    <n v="0"/>
    <n v="0"/>
    <n v="0"/>
    <x v="1"/>
    <n v="0"/>
    <x v="0"/>
    <n v="0"/>
    <n v="0"/>
    <n v="0"/>
    <n v="197"/>
    <n v="197"/>
    <x v="1"/>
    <n v="109"/>
    <n v="73"/>
    <n v="26.38"/>
    <n v="26.38"/>
    <x v="0"/>
    <n v="71"/>
    <n v="71"/>
    <n v="95"/>
    <n v="95"/>
    <x v="0"/>
    <x v="0"/>
  </r>
  <r>
    <n v="0"/>
    <x v="0"/>
    <n v="35"/>
    <x v="0"/>
    <n v="2"/>
    <n v="2"/>
    <s v="Secondary"/>
    <x v="0"/>
    <n v="0"/>
    <n v="0"/>
    <n v="0"/>
    <x v="1"/>
    <n v="0"/>
    <x v="0"/>
    <n v="0"/>
    <n v="0"/>
    <n v="0"/>
    <n v="135"/>
    <n v="135"/>
    <x v="1"/>
    <n v="105"/>
    <n v="69"/>
    <n v="22.88"/>
    <n v="22.88"/>
    <x v="1"/>
    <n v="70"/>
    <n v="70"/>
    <n v="76"/>
    <n v="76"/>
    <x v="0"/>
    <x v="0"/>
  </r>
  <r>
    <n v="1"/>
    <x v="1"/>
    <n v="35"/>
    <x v="0"/>
    <s v="NA"/>
    <n v="1"/>
    <s v="Primary"/>
    <x v="2"/>
    <n v="0"/>
    <n v="0"/>
    <n v="0"/>
    <x v="1"/>
    <n v="0"/>
    <x v="0"/>
    <n v="0"/>
    <n v="0"/>
    <n v="0"/>
    <n v="275"/>
    <n v="275"/>
    <x v="0"/>
    <n v="132.5"/>
    <n v="79"/>
    <n v="34.04"/>
    <n v="34.04"/>
    <x v="2"/>
    <n v="75"/>
    <n v="75"/>
    <n v="80"/>
    <n v="80"/>
    <x v="0"/>
    <x v="0"/>
  </r>
  <r>
    <n v="0"/>
    <x v="0"/>
    <n v="35"/>
    <x v="0"/>
    <n v="3"/>
    <n v="3"/>
    <s v="Graduate"/>
    <x v="1"/>
    <n v="0"/>
    <n v="0"/>
    <n v="0"/>
    <x v="1"/>
    <n v="0"/>
    <x v="0"/>
    <n v="0"/>
    <n v="0"/>
    <n v="0"/>
    <n v="219"/>
    <n v="219"/>
    <x v="1"/>
    <n v="116"/>
    <n v="74"/>
    <n v="21.63"/>
    <n v="21.63"/>
    <x v="1"/>
    <n v="75"/>
    <n v="75"/>
    <n v="68"/>
    <n v="68"/>
    <x v="0"/>
    <x v="0"/>
  </r>
  <r>
    <n v="0"/>
    <x v="0"/>
    <n v="35"/>
    <x v="0"/>
    <n v="2"/>
    <n v="2"/>
    <s v="Secondary"/>
    <x v="0"/>
    <n v="1"/>
    <n v="5"/>
    <n v="5"/>
    <x v="0"/>
    <n v="0"/>
    <x v="0"/>
    <n v="0"/>
    <n v="0"/>
    <n v="0"/>
    <n v="165"/>
    <n v="165"/>
    <x v="1"/>
    <n v="106"/>
    <n v="64"/>
    <n v="19.14"/>
    <n v="19.14"/>
    <x v="1"/>
    <n v="68"/>
    <n v="68"/>
    <n v="70"/>
    <n v="70"/>
    <x v="0"/>
    <x v="0"/>
  </r>
  <r>
    <n v="1"/>
    <x v="1"/>
    <n v="35"/>
    <x v="0"/>
    <n v="2"/>
    <n v="2"/>
    <s v="Secondary"/>
    <x v="0"/>
    <n v="1"/>
    <n v="20"/>
    <n v="20"/>
    <x v="0"/>
    <n v="0"/>
    <x v="0"/>
    <n v="0"/>
    <n v="0"/>
    <n v="0"/>
    <n v="200"/>
    <n v="200"/>
    <x v="1"/>
    <n v="131"/>
    <n v="87"/>
    <n v="23.93"/>
    <n v="23.93"/>
    <x v="1"/>
    <n v="71"/>
    <n v="71"/>
    <n v="70"/>
    <n v="70"/>
    <x v="0"/>
    <x v="0"/>
  </r>
  <r>
    <n v="1"/>
    <x v="1"/>
    <n v="35"/>
    <x v="0"/>
    <n v="2"/>
    <n v="2"/>
    <s v="Secondary"/>
    <x v="0"/>
    <n v="1"/>
    <n v="20"/>
    <n v="20"/>
    <x v="0"/>
    <n v="0"/>
    <x v="0"/>
    <n v="0"/>
    <n v="0"/>
    <n v="0"/>
    <n v="234"/>
    <n v="234"/>
    <x v="1"/>
    <n v="122.5"/>
    <n v="76.5"/>
    <n v="25.16"/>
    <n v="25.16"/>
    <x v="0"/>
    <n v="75"/>
    <n v="75"/>
    <n v="85"/>
    <n v="85"/>
    <x v="0"/>
    <x v="0"/>
  </r>
  <r>
    <n v="0"/>
    <x v="0"/>
    <n v="35"/>
    <x v="0"/>
    <n v="2"/>
    <n v="2"/>
    <s v="Secondary"/>
    <x v="0"/>
    <n v="1"/>
    <n v="1"/>
    <n v="1"/>
    <x v="0"/>
    <n v="0"/>
    <x v="0"/>
    <n v="0"/>
    <n v="0"/>
    <n v="0"/>
    <n v="194"/>
    <n v="194"/>
    <x v="1"/>
    <n v="100.5"/>
    <n v="69"/>
    <n v="17.920000000000002"/>
    <n v="17.920000000000002"/>
    <x v="3"/>
    <n v="75"/>
    <n v="75"/>
    <n v="73"/>
    <n v="73"/>
    <x v="0"/>
    <x v="0"/>
  </r>
  <r>
    <n v="0"/>
    <x v="0"/>
    <n v="35"/>
    <x v="0"/>
    <n v="2"/>
    <n v="2"/>
    <s v="Secondary"/>
    <x v="0"/>
    <n v="1"/>
    <n v="20"/>
    <n v="20"/>
    <x v="0"/>
    <n v="0"/>
    <x v="0"/>
    <n v="0"/>
    <n v="0"/>
    <n v="0"/>
    <n v="168"/>
    <n v="168"/>
    <x v="1"/>
    <n v="83.5"/>
    <n v="55"/>
    <n v="16.71"/>
    <n v="16.71"/>
    <x v="3"/>
    <n v="79"/>
    <n v="79"/>
    <n v="63"/>
    <n v="63"/>
    <x v="0"/>
    <x v="1"/>
  </r>
  <r>
    <n v="1"/>
    <x v="1"/>
    <n v="35"/>
    <x v="0"/>
    <n v="2"/>
    <n v="2"/>
    <s v="Secondary"/>
    <x v="0"/>
    <n v="0"/>
    <n v="0"/>
    <n v="0"/>
    <x v="1"/>
    <n v="0"/>
    <x v="0"/>
    <n v="0"/>
    <n v="1"/>
    <n v="0"/>
    <n v="245"/>
    <n v="245"/>
    <x v="0"/>
    <n v="159"/>
    <n v="95.5"/>
    <n v="26.23"/>
    <n v="26.23"/>
    <x v="0"/>
    <n v="110"/>
    <n v="110"/>
    <s v="NA"/>
    <n v="81.96365524402907"/>
    <x v="0"/>
    <x v="0"/>
  </r>
  <r>
    <n v="0"/>
    <x v="0"/>
    <n v="35"/>
    <x v="0"/>
    <n v="3"/>
    <n v="3"/>
    <s v="Graduate"/>
    <x v="1"/>
    <n v="0"/>
    <n v="0"/>
    <n v="0"/>
    <x v="1"/>
    <n v="0"/>
    <x v="0"/>
    <n v="0"/>
    <n v="0"/>
    <n v="0"/>
    <n v="190"/>
    <n v="190"/>
    <x v="1"/>
    <n v="115"/>
    <n v="77"/>
    <n v="23.95"/>
    <n v="23.95"/>
    <x v="1"/>
    <n v="70"/>
    <n v="70"/>
    <n v="80"/>
    <n v="80"/>
    <x v="0"/>
    <x v="0"/>
  </r>
  <r>
    <n v="1"/>
    <x v="1"/>
    <n v="35"/>
    <x v="0"/>
    <n v="2"/>
    <n v="2"/>
    <s v="Secondary"/>
    <x v="0"/>
    <n v="1"/>
    <n v="20"/>
    <n v="20"/>
    <x v="0"/>
    <n v="0"/>
    <x v="0"/>
    <n v="0"/>
    <n v="0"/>
    <n v="0"/>
    <n v="227"/>
    <n v="227"/>
    <x v="1"/>
    <n v="106"/>
    <n v="73"/>
    <n v="29.27"/>
    <n v="29.27"/>
    <x v="0"/>
    <n v="70"/>
    <n v="70"/>
    <n v="79"/>
    <n v="79"/>
    <x v="0"/>
    <x v="0"/>
  </r>
  <r>
    <n v="1"/>
    <x v="1"/>
    <n v="35"/>
    <x v="0"/>
    <n v="2"/>
    <n v="2"/>
    <s v="Secondary"/>
    <x v="0"/>
    <n v="1"/>
    <n v="20"/>
    <n v="20"/>
    <x v="0"/>
    <n v="0"/>
    <x v="0"/>
    <n v="0"/>
    <n v="0"/>
    <n v="0"/>
    <n v="223"/>
    <n v="223"/>
    <x v="1"/>
    <n v="128"/>
    <n v="82"/>
    <n v="19.989999999999998"/>
    <n v="19.989999999999998"/>
    <x v="1"/>
    <n v="80"/>
    <n v="80"/>
    <n v="67"/>
    <n v="67"/>
    <x v="0"/>
    <x v="0"/>
  </r>
  <r>
    <n v="0"/>
    <x v="0"/>
    <n v="35"/>
    <x v="0"/>
    <n v="2"/>
    <n v="2"/>
    <s v="Secondary"/>
    <x v="0"/>
    <n v="1"/>
    <n v="20"/>
    <n v="20"/>
    <x v="0"/>
    <n v="0"/>
    <x v="0"/>
    <n v="0"/>
    <n v="0"/>
    <n v="0"/>
    <n v="185"/>
    <n v="185"/>
    <x v="1"/>
    <n v="131.5"/>
    <n v="84"/>
    <n v="20.32"/>
    <n v="20.32"/>
    <x v="1"/>
    <n v="64"/>
    <n v="64"/>
    <n v="76"/>
    <n v="76"/>
    <x v="0"/>
    <x v="0"/>
  </r>
  <r>
    <n v="0"/>
    <x v="0"/>
    <n v="35"/>
    <x v="0"/>
    <n v="2"/>
    <n v="2"/>
    <s v="Secondary"/>
    <x v="0"/>
    <n v="0"/>
    <n v="0"/>
    <n v="0"/>
    <x v="1"/>
    <n v="0"/>
    <x v="0"/>
    <n v="0"/>
    <n v="0"/>
    <n v="0"/>
    <n v="175"/>
    <n v="175"/>
    <x v="1"/>
    <n v="121.5"/>
    <n v="74.5"/>
    <n v="20.86"/>
    <n v="20.86"/>
    <x v="1"/>
    <n v="92"/>
    <n v="92"/>
    <n v="93"/>
    <n v="93"/>
    <x v="0"/>
    <x v="0"/>
  </r>
  <r>
    <n v="0"/>
    <x v="0"/>
    <n v="35"/>
    <x v="0"/>
    <n v="4"/>
    <n v="4"/>
    <s v="Post Graduate"/>
    <x v="3"/>
    <n v="1"/>
    <n v="3"/>
    <n v="3"/>
    <x v="0"/>
    <n v="0"/>
    <x v="0"/>
    <n v="0"/>
    <n v="0"/>
    <n v="0"/>
    <n v="185"/>
    <n v="185"/>
    <x v="1"/>
    <n v="100"/>
    <n v="66.5"/>
    <n v="24.08"/>
    <n v="24.08"/>
    <x v="1"/>
    <n v="55"/>
    <n v="55"/>
    <n v="75"/>
    <n v="75"/>
    <x v="0"/>
    <x v="0"/>
  </r>
  <r>
    <n v="0"/>
    <x v="0"/>
    <n v="35"/>
    <x v="0"/>
    <n v="2"/>
    <n v="2"/>
    <s v="Secondary"/>
    <x v="0"/>
    <n v="0"/>
    <n v="0"/>
    <n v="0"/>
    <x v="1"/>
    <n v="0"/>
    <x v="0"/>
    <n v="0"/>
    <n v="0"/>
    <n v="0"/>
    <n v="234"/>
    <n v="234"/>
    <x v="1"/>
    <n v="107.5"/>
    <n v="70"/>
    <n v="29.22"/>
    <n v="29.22"/>
    <x v="0"/>
    <n v="73"/>
    <n v="73"/>
    <s v="NA"/>
    <n v="81.96365524402907"/>
    <x v="0"/>
    <x v="0"/>
  </r>
  <r>
    <n v="1"/>
    <x v="1"/>
    <n v="36"/>
    <x v="0"/>
    <n v="4"/>
    <n v="4"/>
    <s v="Post Graduate"/>
    <x v="3"/>
    <n v="1"/>
    <n v="35"/>
    <n v="35"/>
    <x v="0"/>
    <n v="0"/>
    <x v="0"/>
    <n v="0"/>
    <n v="0"/>
    <n v="0"/>
    <n v="295"/>
    <n v="295"/>
    <x v="0"/>
    <n v="102"/>
    <n v="68"/>
    <n v="28.15"/>
    <n v="28.15"/>
    <x v="0"/>
    <n v="60"/>
    <n v="60"/>
    <n v="63"/>
    <n v="63"/>
    <x v="0"/>
    <x v="0"/>
  </r>
  <r>
    <n v="1"/>
    <x v="1"/>
    <n v="36"/>
    <x v="0"/>
    <n v="3"/>
    <n v="3"/>
    <s v="Graduate"/>
    <x v="1"/>
    <n v="0"/>
    <n v="0"/>
    <n v="0"/>
    <x v="1"/>
    <n v="0"/>
    <x v="0"/>
    <n v="0"/>
    <n v="0"/>
    <n v="0"/>
    <n v="180"/>
    <n v="180"/>
    <x v="1"/>
    <n v="111"/>
    <n v="73"/>
    <n v="27.78"/>
    <n v="27.78"/>
    <x v="0"/>
    <n v="71"/>
    <n v="71"/>
    <n v="80"/>
    <n v="80"/>
    <x v="0"/>
    <x v="0"/>
  </r>
  <r>
    <n v="1"/>
    <x v="1"/>
    <n v="36"/>
    <x v="0"/>
    <n v="3"/>
    <n v="3"/>
    <s v="Graduate"/>
    <x v="1"/>
    <n v="1"/>
    <n v="20"/>
    <n v="20"/>
    <x v="0"/>
    <s v="NA"/>
    <x v="0"/>
    <n v="0"/>
    <n v="1"/>
    <n v="0"/>
    <n v="194"/>
    <n v="194"/>
    <x v="1"/>
    <n v="139"/>
    <n v="93"/>
    <n v="24.33"/>
    <n v="24.33"/>
    <x v="1"/>
    <n v="80"/>
    <n v="80"/>
    <n v="62"/>
    <n v="62"/>
    <x v="1"/>
    <x v="0"/>
  </r>
  <r>
    <n v="0"/>
    <x v="0"/>
    <n v="36"/>
    <x v="0"/>
    <n v="2"/>
    <n v="2"/>
    <s v="Secondary"/>
    <x v="0"/>
    <n v="1"/>
    <n v="15"/>
    <n v="15"/>
    <x v="0"/>
    <n v="0"/>
    <x v="0"/>
    <n v="0"/>
    <n v="0"/>
    <n v="0"/>
    <n v="197"/>
    <n v="197"/>
    <x v="1"/>
    <n v="113"/>
    <n v="72.5"/>
    <n v="22.73"/>
    <n v="22.73"/>
    <x v="1"/>
    <n v="70"/>
    <n v="70"/>
    <n v="65"/>
    <n v="65"/>
    <x v="0"/>
    <x v="0"/>
  </r>
  <r>
    <n v="1"/>
    <x v="1"/>
    <n v="36"/>
    <x v="0"/>
    <n v="4"/>
    <n v="4"/>
    <s v="Post Graduate"/>
    <x v="3"/>
    <n v="0"/>
    <n v="0"/>
    <n v="0"/>
    <x v="1"/>
    <n v="0"/>
    <x v="0"/>
    <n v="0"/>
    <n v="0"/>
    <n v="0"/>
    <n v="210"/>
    <n v="210"/>
    <x v="1"/>
    <n v="112"/>
    <n v="85.5"/>
    <n v="21.93"/>
    <n v="21.93"/>
    <x v="1"/>
    <n v="71"/>
    <n v="71"/>
    <n v="77"/>
    <n v="77"/>
    <x v="0"/>
    <x v="0"/>
  </r>
  <r>
    <n v="0"/>
    <x v="0"/>
    <n v="36"/>
    <x v="0"/>
    <n v="3"/>
    <n v="3"/>
    <s v="Graduate"/>
    <x v="1"/>
    <n v="1"/>
    <n v="20"/>
    <n v="20"/>
    <x v="0"/>
    <n v="0"/>
    <x v="0"/>
    <n v="0"/>
    <n v="0"/>
    <n v="0"/>
    <n v="159"/>
    <n v="159"/>
    <x v="1"/>
    <n v="121.5"/>
    <n v="73"/>
    <n v="20.41"/>
    <n v="20.41"/>
    <x v="1"/>
    <n v="72"/>
    <n v="72"/>
    <n v="75"/>
    <n v="75"/>
    <x v="0"/>
    <x v="0"/>
  </r>
  <r>
    <n v="1"/>
    <x v="1"/>
    <n v="36"/>
    <x v="0"/>
    <n v="1"/>
    <n v="1"/>
    <s v="Primary"/>
    <x v="2"/>
    <n v="1"/>
    <n v="40"/>
    <n v="40"/>
    <x v="0"/>
    <n v="0"/>
    <x v="0"/>
    <n v="0"/>
    <n v="0"/>
    <n v="0"/>
    <n v="215"/>
    <n v="215"/>
    <x v="1"/>
    <n v="118"/>
    <n v="76"/>
    <n v="18.989999999999998"/>
    <n v="18.989999999999998"/>
    <x v="1"/>
    <n v="96"/>
    <n v="96"/>
    <n v="97"/>
    <n v="97"/>
    <x v="0"/>
    <x v="0"/>
  </r>
  <r>
    <n v="0"/>
    <x v="0"/>
    <n v="36"/>
    <x v="0"/>
    <n v="2"/>
    <n v="2"/>
    <s v="Secondary"/>
    <x v="0"/>
    <n v="1"/>
    <n v="20"/>
    <n v="20"/>
    <x v="0"/>
    <n v="0"/>
    <x v="0"/>
    <n v="0"/>
    <n v="0"/>
    <n v="0"/>
    <n v="150"/>
    <n v="150"/>
    <x v="1"/>
    <n v="117.5"/>
    <n v="77.5"/>
    <n v="23.71"/>
    <n v="23.71"/>
    <x v="1"/>
    <n v="50"/>
    <n v="50"/>
    <n v="74"/>
    <n v="74"/>
    <x v="0"/>
    <x v="0"/>
  </r>
  <r>
    <n v="0"/>
    <x v="0"/>
    <n v="36"/>
    <x v="0"/>
    <n v="1"/>
    <n v="1"/>
    <s v="Primary"/>
    <x v="2"/>
    <n v="1"/>
    <n v="3"/>
    <n v="3"/>
    <x v="0"/>
    <n v="0"/>
    <x v="0"/>
    <n v="0"/>
    <n v="0"/>
    <n v="0"/>
    <n v="135"/>
    <n v="135"/>
    <x v="1"/>
    <n v="108"/>
    <n v="74"/>
    <n v="22.53"/>
    <n v="22.53"/>
    <x v="1"/>
    <n v="73"/>
    <n v="73"/>
    <n v="75"/>
    <n v="75"/>
    <x v="0"/>
    <x v="0"/>
  </r>
  <r>
    <n v="1"/>
    <x v="1"/>
    <n v="36"/>
    <x v="0"/>
    <n v="4"/>
    <n v="4"/>
    <s v="Post Graduate"/>
    <x v="3"/>
    <n v="0"/>
    <n v="0"/>
    <n v="0"/>
    <x v="1"/>
    <n v="0"/>
    <x v="0"/>
    <n v="0"/>
    <n v="1"/>
    <n v="0"/>
    <n v="212"/>
    <n v="212"/>
    <x v="1"/>
    <n v="168"/>
    <n v="98"/>
    <n v="29.77"/>
    <n v="29.77"/>
    <x v="0"/>
    <n v="72"/>
    <n v="72"/>
    <n v="75"/>
    <n v="75"/>
    <x v="0"/>
    <x v="0"/>
  </r>
  <r>
    <n v="0"/>
    <x v="0"/>
    <n v="36"/>
    <x v="0"/>
    <n v="2"/>
    <n v="2"/>
    <s v="Secondary"/>
    <x v="0"/>
    <n v="1"/>
    <n v="5"/>
    <n v="5"/>
    <x v="0"/>
    <n v="0"/>
    <x v="0"/>
    <n v="0"/>
    <n v="0"/>
    <n v="0"/>
    <n v="228"/>
    <n v="228"/>
    <x v="1"/>
    <n v="111"/>
    <n v="68"/>
    <n v="23.86"/>
    <n v="23.86"/>
    <x v="1"/>
    <n v="88"/>
    <n v="88"/>
    <n v="68"/>
    <n v="68"/>
    <x v="0"/>
    <x v="0"/>
  </r>
  <r>
    <n v="1"/>
    <x v="1"/>
    <n v="36"/>
    <x v="0"/>
    <n v="4"/>
    <n v="4"/>
    <s v="Post Graduate"/>
    <x v="3"/>
    <n v="1"/>
    <n v="30"/>
    <n v="30"/>
    <x v="0"/>
    <n v="0"/>
    <x v="0"/>
    <n v="0"/>
    <n v="0"/>
    <n v="0"/>
    <n v="155"/>
    <n v="155"/>
    <x v="1"/>
    <n v="126"/>
    <n v="72"/>
    <n v="25.14"/>
    <n v="25.14"/>
    <x v="0"/>
    <n v="50"/>
    <n v="50"/>
    <n v="70"/>
    <n v="70"/>
    <x v="0"/>
    <x v="0"/>
  </r>
  <r>
    <n v="1"/>
    <x v="1"/>
    <n v="36"/>
    <x v="0"/>
    <s v="NA"/>
    <n v="1"/>
    <s v="Primary"/>
    <x v="2"/>
    <n v="1"/>
    <n v="20"/>
    <n v="20"/>
    <x v="0"/>
    <n v="0"/>
    <x v="0"/>
    <n v="0"/>
    <n v="1"/>
    <n v="0"/>
    <n v="304"/>
    <n v="304"/>
    <x v="0"/>
    <n v="118"/>
    <n v="90"/>
    <n v="32.630000000000003"/>
    <n v="32.630000000000003"/>
    <x v="2"/>
    <n v="71"/>
    <n v="71"/>
    <n v="80"/>
    <n v="80"/>
    <x v="0"/>
    <x v="1"/>
  </r>
  <r>
    <n v="1"/>
    <x v="1"/>
    <n v="36"/>
    <x v="0"/>
    <n v="3"/>
    <n v="3"/>
    <s v="Graduate"/>
    <x v="1"/>
    <n v="0"/>
    <n v="0"/>
    <n v="0"/>
    <x v="1"/>
    <n v="0"/>
    <x v="0"/>
    <n v="0"/>
    <n v="0"/>
    <n v="0"/>
    <n v="174"/>
    <n v="174"/>
    <x v="1"/>
    <n v="131"/>
    <n v="86"/>
    <n v="26.23"/>
    <n v="26.23"/>
    <x v="0"/>
    <n v="75"/>
    <n v="75"/>
    <n v="64"/>
    <n v="64"/>
    <x v="0"/>
    <x v="0"/>
  </r>
  <r>
    <n v="1"/>
    <x v="1"/>
    <n v="36"/>
    <x v="0"/>
    <n v="2"/>
    <n v="2"/>
    <s v="Secondary"/>
    <x v="0"/>
    <n v="1"/>
    <n v="20"/>
    <n v="20"/>
    <x v="0"/>
    <n v="0"/>
    <x v="0"/>
    <n v="0"/>
    <n v="0"/>
    <n v="0"/>
    <n v="226"/>
    <n v="226"/>
    <x v="1"/>
    <n v="124"/>
    <n v="76"/>
    <n v="25.84"/>
    <n v="25.84"/>
    <x v="0"/>
    <n v="75"/>
    <n v="75"/>
    <n v="70"/>
    <n v="70"/>
    <x v="0"/>
    <x v="0"/>
  </r>
  <r>
    <n v="1"/>
    <x v="1"/>
    <n v="36"/>
    <x v="0"/>
    <n v="1"/>
    <n v="1"/>
    <s v="Primary"/>
    <x v="2"/>
    <n v="0"/>
    <n v="0"/>
    <n v="0"/>
    <x v="1"/>
    <n v="0"/>
    <x v="0"/>
    <n v="0"/>
    <n v="1"/>
    <n v="0"/>
    <n v="182"/>
    <n v="182"/>
    <x v="1"/>
    <n v="145"/>
    <n v="102"/>
    <n v="30.92"/>
    <n v="30.92"/>
    <x v="2"/>
    <n v="72"/>
    <n v="72"/>
    <n v="70"/>
    <n v="70"/>
    <x v="0"/>
    <x v="0"/>
  </r>
  <r>
    <n v="1"/>
    <x v="1"/>
    <n v="36"/>
    <x v="0"/>
    <n v="4"/>
    <n v="4"/>
    <s v="Post Graduate"/>
    <x v="3"/>
    <n v="0"/>
    <n v="0"/>
    <n v="0"/>
    <x v="1"/>
    <n v="0"/>
    <x v="0"/>
    <n v="0"/>
    <n v="0"/>
    <n v="0"/>
    <n v="194"/>
    <n v="194"/>
    <x v="1"/>
    <n v="117"/>
    <n v="90"/>
    <n v="27.08"/>
    <n v="27.08"/>
    <x v="0"/>
    <n v="73"/>
    <n v="73"/>
    <n v="87"/>
    <n v="87"/>
    <x v="0"/>
    <x v="0"/>
  </r>
  <r>
    <n v="0"/>
    <x v="0"/>
    <n v="36"/>
    <x v="0"/>
    <n v="1"/>
    <n v="1"/>
    <s v="Primary"/>
    <x v="2"/>
    <n v="0"/>
    <n v="0"/>
    <n v="0"/>
    <x v="1"/>
    <n v="0"/>
    <x v="0"/>
    <n v="0"/>
    <n v="0"/>
    <n v="0"/>
    <n v="200"/>
    <n v="200"/>
    <x v="1"/>
    <n v="112"/>
    <n v="76"/>
    <n v="26.03"/>
    <n v="26.03"/>
    <x v="0"/>
    <n v="75"/>
    <n v="75"/>
    <n v="62"/>
    <n v="62"/>
    <x v="0"/>
    <x v="0"/>
  </r>
  <r>
    <n v="0"/>
    <x v="0"/>
    <n v="36"/>
    <x v="0"/>
    <n v="2"/>
    <n v="2"/>
    <s v="Secondary"/>
    <x v="0"/>
    <n v="0"/>
    <n v="0"/>
    <n v="0"/>
    <x v="1"/>
    <n v="0"/>
    <x v="0"/>
    <n v="0"/>
    <n v="0"/>
    <n v="0"/>
    <n v="165"/>
    <n v="165"/>
    <x v="1"/>
    <n v="110"/>
    <n v="75.5"/>
    <n v="26.13"/>
    <n v="26.13"/>
    <x v="0"/>
    <n v="86"/>
    <n v="86"/>
    <s v="NA"/>
    <n v="81.96365524402907"/>
    <x v="0"/>
    <x v="0"/>
  </r>
  <r>
    <n v="1"/>
    <x v="1"/>
    <n v="36"/>
    <x v="0"/>
    <n v="4"/>
    <n v="4"/>
    <s v="Post Graduate"/>
    <x v="3"/>
    <n v="0"/>
    <n v="0"/>
    <n v="0"/>
    <x v="1"/>
    <n v="0"/>
    <x v="0"/>
    <n v="0"/>
    <n v="1"/>
    <n v="0"/>
    <n v="237"/>
    <n v="237"/>
    <x v="1"/>
    <n v="142"/>
    <n v="82"/>
    <n v="27.5"/>
    <n v="27.5"/>
    <x v="0"/>
    <n v="53"/>
    <n v="53"/>
    <n v="87"/>
    <n v="87"/>
    <x v="0"/>
    <x v="0"/>
  </r>
  <r>
    <n v="0"/>
    <x v="0"/>
    <n v="36"/>
    <x v="0"/>
    <n v="1"/>
    <n v="1"/>
    <s v="Primary"/>
    <x v="2"/>
    <n v="1"/>
    <n v="15"/>
    <n v="15"/>
    <x v="0"/>
    <n v="0"/>
    <x v="0"/>
    <n v="0"/>
    <n v="0"/>
    <n v="0"/>
    <n v="178"/>
    <n v="178"/>
    <x v="1"/>
    <n v="102.5"/>
    <n v="65"/>
    <n v="20.87"/>
    <n v="20.87"/>
    <x v="1"/>
    <n v="75"/>
    <n v="75"/>
    <n v="94"/>
    <n v="94"/>
    <x v="0"/>
    <x v="0"/>
  </r>
  <r>
    <n v="0"/>
    <x v="0"/>
    <n v="36"/>
    <x v="0"/>
    <n v="2"/>
    <n v="2"/>
    <s v="Secondary"/>
    <x v="0"/>
    <n v="0"/>
    <n v="0"/>
    <n v="0"/>
    <x v="1"/>
    <n v="0"/>
    <x v="0"/>
    <n v="0"/>
    <n v="0"/>
    <n v="0"/>
    <n v="212"/>
    <n v="212"/>
    <x v="1"/>
    <n v="102"/>
    <n v="69"/>
    <n v="33.36"/>
    <n v="33.36"/>
    <x v="2"/>
    <n v="55"/>
    <n v="55"/>
    <n v="71"/>
    <n v="71"/>
    <x v="0"/>
    <x v="0"/>
  </r>
  <r>
    <n v="1"/>
    <x v="1"/>
    <n v="36"/>
    <x v="0"/>
    <n v="2"/>
    <n v="2"/>
    <s v="Secondary"/>
    <x v="0"/>
    <n v="1"/>
    <n v="20"/>
    <n v="20"/>
    <x v="0"/>
    <n v="0"/>
    <x v="0"/>
    <n v="0"/>
    <n v="1"/>
    <n v="0"/>
    <n v="280"/>
    <n v="280"/>
    <x v="0"/>
    <n v="151"/>
    <n v="96"/>
    <n v="25.35"/>
    <n v="25.35"/>
    <x v="0"/>
    <n v="78"/>
    <n v="78"/>
    <n v="94"/>
    <n v="94"/>
    <x v="0"/>
    <x v="0"/>
  </r>
  <r>
    <n v="0"/>
    <x v="0"/>
    <n v="36"/>
    <x v="0"/>
    <n v="2"/>
    <n v="2"/>
    <s v="Secondary"/>
    <x v="0"/>
    <n v="1"/>
    <n v="1"/>
    <n v="1"/>
    <x v="0"/>
    <n v="0"/>
    <x v="0"/>
    <n v="0"/>
    <n v="0"/>
    <n v="0"/>
    <n v="160"/>
    <n v="160"/>
    <x v="1"/>
    <n v="98"/>
    <n v="66"/>
    <n v="25.07"/>
    <n v="25.07"/>
    <x v="0"/>
    <n v="68"/>
    <n v="68"/>
    <n v="73"/>
    <n v="73"/>
    <x v="0"/>
    <x v="1"/>
  </r>
  <r>
    <n v="1"/>
    <x v="1"/>
    <n v="36"/>
    <x v="0"/>
    <n v="1"/>
    <n v="1"/>
    <s v="Primary"/>
    <x v="2"/>
    <n v="0"/>
    <n v="0"/>
    <n v="0"/>
    <x v="1"/>
    <n v="0"/>
    <x v="0"/>
    <n v="0"/>
    <n v="1"/>
    <n v="0"/>
    <n v="167"/>
    <n v="167"/>
    <x v="1"/>
    <n v="155"/>
    <n v="74"/>
    <n v="19.420000000000002"/>
    <n v="19.420000000000002"/>
    <x v="1"/>
    <n v="125"/>
    <n v="125"/>
    <n v="81"/>
    <n v="81"/>
    <x v="0"/>
    <x v="0"/>
  </r>
  <r>
    <n v="0"/>
    <x v="0"/>
    <n v="36"/>
    <x v="0"/>
    <n v="3"/>
    <n v="3"/>
    <s v="Graduate"/>
    <x v="1"/>
    <n v="0"/>
    <n v="0"/>
    <n v="0"/>
    <x v="1"/>
    <n v="0"/>
    <x v="0"/>
    <n v="0"/>
    <n v="0"/>
    <n v="0"/>
    <n v="185"/>
    <n v="185"/>
    <x v="1"/>
    <n v="123"/>
    <n v="69"/>
    <n v="18.98"/>
    <n v="18.98"/>
    <x v="1"/>
    <n v="79"/>
    <n v="79"/>
    <n v="75"/>
    <n v="75"/>
    <x v="0"/>
    <x v="0"/>
  </r>
  <r>
    <n v="1"/>
    <x v="1"/>
    <n v="36"/>
    <x v="0"/>
    <n v="2"/>
    <n v="2"/>
    <s v="Secondary"/>
    <x v="0"/>
    <n v="1"/>
    <n v="20"/>
    <n v="20"/>
    <x v="0"/>
    <n v="0"/>
    <x v="0"/>
    <n v="0"/>
    <n v="1"/>
    <n v="0"/>
    <n v="248"/>
    <n v="248"/>
    <x v="0"/>
    <n v="135"/>
    <n v="94.5"/>
    <n v="36.520000000000003"/>
    <n v="36.520000000000003"/>
    <x v="2"/>
    <n v="65"/>
    <n v="65"/>
    <n v="85"/>
    <n v="85"/>
    <x v="0"/>
    <x v="0"/>
  </r>
  <r>
    <n v="0"/>
    <x v="0"/>
    <n v="36"/>
    <x v="0"/>
    <n v="4"/>
    <n v="4"/>
    <s v="Post Graduate"/>
    <x v="3"/>
    <n v="1"/>
    <n v="10"/>
    <n v="10"/>
    <x v="0"/>
    <n v="0"/>
    <x v="0"/>
    <n v="0"/>
    <n v="0"/>
    <n v="0"/>
    <n v="214"/>
    <n v="214"/>
    <x v="1"/>
    <n v="119"/>
    <n v="76"/>
    <n v="21.67"/>
    <n v="21.67"/>
    <x v="1"/>
    <n v="67"/>
    <n v="67"/>
    <n v="75"/>
    <n v="75"/>
    <x v="0"/>
    <x v="0"/>
  </r>
  <r>
    <n v="0"/>
    <x v="0"/>
    <n v="36"/>
    <x v="0"/>
    <n v="2"/>
    <n v="2"/>
    <s v="Secondary"/>
    <x v="0"/>
    <n v="0"/>
    <n v="0"/>
    <n v="0"/>
    <x v="1"/>
    <n v="0"/>
    <x v="0"/>
    <n v="0"/>
    <n v="0"/>
    <n v="1"/>
    <n v="208"/>
    <n v="208"/>
    <x v="1"/>
    <n v="156.5"/>
    <n v="105"/>
    <n v="33.82"/>
    <n v="33.82"/>
    <x v="2"/>
    <n v="95"/>
    <n v="95"/>
    <n v="186"/>
    <n v="186"/>
    <x v="0"/>
    <x v="0"/>
  </r>
  <r>
    <n v="1"/>
    <x v="1"/>
    <n v="36"/>
    <x v="0"/>
    <n v="2"/>
    <n v="2"/>
    <s v="Secondary"/>
    <x v="0"/>
    <n v="0"/>
    <n v="0"/>
    <n v="0"/>
    <x v="1"/>
    <n v="0"/>
    <x v="0"/>
    <n v="0"/>
    <n v="0"/>
    <n v="0"/>
    <n v="245"/>
    <n v="245"/>
    <x v="0"/>
    <n v="131.5"/>
    <n v="89"/>
    <n v="26.33"/>
    <n v="26.33"/>
    <x v="0"/>
    <n v="100"/>
    <n v="100"/>
    <n v="62"/>
    <n v="62"/>
    <x v="0"/>
    <x v="0"/>
  </r>
  <r>
    <n v="0"/>
    <x v="0"/>
    <n v="36"/>
    <x v="0"/>
    <n v="3"/>
    <n v="3"/>
    <s v="Graduate"/>
    <x v="1"/>
    <n v="0"/>
    <n v="0"/>
    <n v="0"/>
    <x v="1"/>
    <n v="0"/>
    <x v="0"/>
    <n v="0"/>
    <n v="0"/>
    <n v="0"/>
    <n v="230"/>
    <n v="230"/>
    <x v="1"/>
    <n v="112.5"/>
    <n v="73.5"/>
    <n v="22.36"/>
    <n v="22.36"/>
    <x v="1"/>
    <n v="63"/>
    <n v="63"/>
    <n v="65"/>
    <n v="65"/>
    <x v="0"/>
    <x v="0"/>
  </r>
  <r>
    <n v="1"/>
    <x v="1"/>
    <n v="36"/>
    <x v="0"/>
    <n v="4"/>
    <n v="4"/>
    <s v="Post Graduate"/>
    <x v="3"/>
    <n v="1"/>
    <n v="15"/>
    <n v="15"/>
    <x v="0"/>
    <n v="0"/>
    <x v="0"/>
    <n v="0"/>
    <n v="0"/>
    <n v="0"/>
    <n v="155"/>
    <n v="155"/>
    <x v="1"/>
    <n v="123"/>
    <n v="78"/>
    <n v="22.05"/>
    <n v="22.05"/>
    <x v="1"/>
    <n v="67"/>
    <n v="67"/>
    <n v="78"/>
    <n v="78"/>
    <x v="0"/>
    <x v="0"/>
  </r>
  <r>
    <n v="1"/>
    <x v="1"/>
    <n v="36"/>
    <x v="0"/>
    <n v="4"/>
    <n v="4"/>
    <s v="Post Graduate"/>
    <x v="3"/>
    <n v="0"/>
    <n v="0"/>
    <n v="0"/>
    <x v="1"/>
    <n v="0"/>
    <x v="0"/>
    <n v="0"/>
    <n v="0"/>
    <n v="0"/>
    <n v="172"/>
    <n v="172"/>
    <x v="1"/>
    <n v="122.5"/>
    <n v="82.5"/>
    <n v="28.53"/>
    <n v="28.53"/>
    <x v="0"/>
    <n v="82"/>
    <n v="82"/>
    <n v="75"/>
    <n v="75"/>
    <x v="0"/>
    <x v="0"/>
  </r>
  <r>
    <n v="1"/>
    <x v="1"/>
    <n v="36"/>
    <x v="0"/>
    <n v="4"/>
    <n v="4"/>
    <s v="Post Graduate"/>
    <x v="3"/>
    <n v="0"/>
    <n v="0"/>
    <n v="0"/>
    <x v="1"/>
    <n v="0"/>
    <x v="0"/>
    <n v="0"/>
    <n v="0"/>
    <n v="0"/>
    <n v="234"/>
    <n v="234"/>
    <x v="1"/>
    <n v="133"/>
    <n v="88"/>
    <n v="26.78"/>
    <n v="26.78"/>
    <x v="0"/>
    <n v="58"/>
    <n v="58"/>
    <n v="100"/>
    <n v="100"/>
    <x v="0"/>
    <x v="0"/>
  </r>
  <r>
    <n v="0"/>
    <x v="0"/>
    <n v="36"/>
    <x v="0"/>
    <n v="3"/>
    <n v="3"/>
    <s v="Graduate"/>
    <x v="1"/>
    <n v="0"/>
    <n v="0"/>
    <n v="0"/>
    <x v="1"/>
    <n v="0"/>
    <x v="0"/>
    <n v="0"/>
    <n v="0"/>
    <n v="0"/>
    <n v="295"/>
    <n v="295"/>
    <x v="0"/>
    <n v="114.5"/>
    <n v="72"/>
    <n v="24.11"/>
    <n v="24.11"/>
    <x v="1"/>
    <n v="85"/>
    <n v="85"/>
    <s v="NA"/>
    <n v="81.96365524402907"/>
    <x v="0"/>
    <x v="0"/>
  </r>
  <r>
    <n v="1"/>
    <x v="1"/>
    <n v="36"/>
    <x v="0"/>
    <n v="4"/>
    <n v="4"/>
    <s v="Post Graduate"/>
    <x v="3"/>
    <n v="0"/>
    <n v="0"/>
    <n v="0"/>
    <x v="1"/>
    <n v="0"/>
    <x v="0"/>
    <n v="0"/>
    <n v="0"/>
    <n v="0"/>
    <n v="219"/>
    <n v="219"/>
    <x v="1"/>
    <n v="121"/>
    <n v="66"/>
    <n v="20.86"/>
    <n v="20.86"/>
    <x v="1"/>
    <n v="74"/>
    <n v="74"/>
    <n v="76"/>
    <n v="76"/>
    <x v="0"/>
    <x v="0"/>
  </r>
  <r>
    <n v="0"/>
    <x v="0"/>
    <n v="36"/>
    <x v="0"/>
    <n v="3"/>
    <n v="3"/>
    <s v="Graduate"/>
    <x v="1"/>
    <n v="1"/>
    <n v="25"/>
    <n v="25"/>
    <x v="0"/>
    <n v="0"/>
    <x v="0"/>
    <n v="0"/>
    <n v="0"/>
    <n v="0"/>
    <n v="220"/>
    <n v="220"/>
    <x v="1"/>
    <n v="125"/>
    <n v="85"/>
    <n v="21.34"/>
    <n v="21.34"/>
    <x v="1"/>
    <n v="95"/>
    <n v="95"/>
    <n v="82"/>
    <n v="82"/>
    <x v="0"/>
    <x v="0"/>
  </r>
  <r>
    <n v="1"/>
    <x v="1"/>
    <n v="36"/>
    <x v="0"/>
    <n v="2"/>
    <n v="2"/>
    <s v="Secondary"/>
    <x v="0"/>
    <n v="1"/>
    <n v="20"/>
    <n v="20"/>
    <x v="0"/>
    <n v="0"/>
    <x v="0"/>
    <n v="0"/>
    <n v="0"/>
    <n v="0"/>
    <n v="242"/>
    <n v="242"/>
    <x v="0"/>
    <n v="118.5"/>
    <n v="84.5"/>
    <n v="24.04"/>
    <n v="24.04"/>
    <x v="1"/>
    <n v="78"/>
    <n v="78"/>
    <n v="103"/>
    <n v="103"/>
    <x v="0"/>
    <x v="1"/>
  </r>
  <r>
    <n v="0"/>
    <x v="0"/>
    <n v="36"/>
    <x v="0"/>
    <n v="2"/>
    <n v="2"/>
    <s v="Secondary"/>
    <x v="0"/>
    <n v="1"/>
    <n v="20"/>
    <n v="20"/>
    <x v="0"/>
    <n v="0"/>
    <x v="0"/>
    <n v="0"/>
    <n v="0"/>
    <n v="0"/>
    <n v="272"/>
    <n v="272"/>
    <x v="0"/>
    <n v="113"/>
    <n v="66.5"/>
    <n v="20.69"/>
    <n v="20.69"/>
    <x v="1"/>
    <n v="67"/>
    <n v="67"/>
    <n v="59"/>
    <n v="59"/>
    <x v="0"/>
    <x v="0"/>
  </r>
  <r>
    <n v="1"/>
    <x v="1"/>
    <n v="36"/>
    <x v="0"/>
    <n v="2"/>
    <n v="2"/>
    <s v="Secondary"/>
    <x v="0"/>
    <n v="1"/>
    <n v="20"/>
    <n v="20"/>
    <x v="0"/>
    <n v="0"/>
    <x v="0"/>
    <n v="0"/>
    <n v="0"/>
    <n v="0"/>
    <n v="204"/>
    <n v="204"/>
    <x v="1"/>
    <n v="132.5"/>
    <n v="82.5"/>
    <n v="21.27"/>
    <n v="21.27"/>
    <x v="1"/>
    <n v="70"/>
    <n v="70"/>
    <n v="84"/>
    <n v="84"/>
    <x v="0"/>
    <x v="0"/>
  </r>
  <r>
    <n v="0"/>
    <x v="0"/>
    <n v="36"/>
    <x v="0"/>
    <n v="3"/>
    <n v="3"/>
    <s v="Graduate"/>
    <x v="1"/>
    <n v="1"/>
    <n v="5"/>
    <n v="5"/>
    <x v="0"/>
    <n v="0"/>
    <x v="0"/>
    <n v="0"/>
    <n v="0"/>
    <n v="0"/>
    <n v="200"/>
    <n v="200"/>
    <x v="1"/>
    <n v="121.5"/>
    <n v="72.5"/>
    <n v="23.09"/>
    <n v="23.09"/>
    <x v="1"/>
    <n v="75"/>
    <n v="75"/>
    <n v="75"/>
    <n v="75"/>
    <x v="0"/>
    <x v="0"/>
  </r>
  <r>
    <n v="0"/>
    <x v="0"/>
    <n v="36"/>
    <x v="0"/>
    <n v="1"/>
    <n v="1"/>
    <s v="Primary"/>
    <x v="2"/>
    <n v="0"/>
    <n v="0"/>
    <n v="0"/>
    <x v="1"/>
    <n v="0"/>
    <x v="0"/>
    <n v="0"/>
    <n v="0"/>
    <n v="0"/>
    <n v="165"/>
    <n v="165"/>
    <x v="1"/>
    <n v="115"/>
    <n v="71"/>
    <n v="21.27"/>
    <n v="21.27"/>
    <x v="1"/>
    <n v="64"/>
    <n v="64"/>
    <n v="86"/>
    <n v="86"/>
    <x v="0"/>
    <x v="0"/>
  </r>
  <r>
    <n v="0"/>
    <x v="0"/>
    <n v="36"/>
    <x v="0"/>
    <n v="1"/>
    <n v="1"/>
    <s v="Primary"/>
    <x v="2"/>
    <n v="1"/>
    <n v="15"/>
    <n v="15"/>
    <x v="0"/>
    <n v="0"/>
    <x v="0"/>
    <n v="0"/>
    <n v="0"/>
    <n v="0"/>
    <n v="164"/>
    <n v="164"/>
    <x v="1"/>
    <n v="100"/>
    <n v="64"/>
    <n v="19.87"/>
    <n v="19.87"/>
    <x v="1"/>
    <n v="85"/>
    <n v="85"/>
    <n v="65"/>
    <n v="65"/>
    <x v="0"/>
    <x v="0"/>
  </r>
  <r>
    <n v="0"/>
    <x v="0"/>
    <n v="36"/>
    <x v="0"/>
    <n v="2"/>
    <n v="2"/>
    <s v="Secondary"/>
    <x v="0"/>
    <n v="0"/>
    <n v="0"/>
    <n v="0"/>
    <x v="1"/>
    <n v="0"/>
    <x v="0"/>
    <n v="0"/>
    <n v="0"/>
    <n v="0"/>
    <n v="213"/>
    <n v="213"/>
    <x v="1"/>
    <n v="126"/>
    <n v="80"/>
    <n v="19.53"/>
    <n v="19.53"/>
    <x v="1"/>
    <n v="95"/>
    <n v="95"/>
    <n v="79"/>
    <n v="79"/>
    <x v="0"/>
    <x v="0"/>
  </r>
  <r>
    <n v="1"/>
    <x v="1"/>
    <n v="36"/>
    <x v="0"/>
    <n v="1"/>
    <n v="1"/>
    <s v="Primary"/>
    <x v="2"/>
    <n v="1"/>
    <n v="15"/>
    <n v="15"/>
    <x v="0"/>
    <n v="0"/>
    <x v="0"/>
    <n v="0"/>
    <n v="0"/>
    <n v="0"/>
    <n v="300"/>
    <n v="300"/>
    <x v="0"/>
    <n v="102"/>
    <n v="66.5"/>
    <n v="25.68"/>
    <n v="25.68"/>
    <x v="0"/>
    <n v="100"/>
    <n v="100"/>
    <n v="100"/>
    <n v="100"/>
    <x v="0"/>
    <x v="0"/>
  </r>
  <r>
    <n v="1"/>
    <x v="1"/>
    <n v="36"/>
    <x v="0"/>
    <n v="4"/>
    <n v="4"/>
    <s v="Post Graduate"/>
    <x v="3"/>
    <n v="1"/>
    <n v="35"/>
    <n v="35"/>
    <x v="0"/>
    <n v="0"/>
    <x v="0"/>
    <n v="0"/>
    <n v="0"/>
    <n v="0"/>
    <n v="240"/>
    <n v="240"/>
    <x v="1"/>
    <n v="114"/>
    <n v="76"/>
    <n v="25.82"/>
    <n v="25.82"/>
    <x v="0"/>
    <n v="66"/>
    <n v="66"/>
    <s v="NA"/>
    <n v="81.96365524402907"/>
    <x v="0"/>
    <x v="0"/>
  </r>
  <r>
    <n v="1"/>
    <x v="1"/>
    <n v="36"/>
    <x v="0"/>
    <n v="3"/>
    <n v="3"/>
    <s v="Graduate"/>
    <x v="1"/>
    <n v="1"/>
    <n v="15"/>
    <n v="15"/>
    <x v="0"/>
    <n v="0"/>
    <x v="0"/>
    <n v="0"/>
    <n v="0"/>
    <n v="0"/>
    <n v="245"/>
    <n v="245"/>
    <x v="0"/>
    <n v="122"/>
    <n v="74.5"/>
    <n v="24.27"/>
    <n v="24.27"/>
    <x v="1"/>
    <n v="79"/>
    <n v="79"/>
    <n v="85"/>
    <n v="85"/>
    <x v="0"/>
    <x v="0"/>
  </r>
  <r>
    <n v="1"/>
    <x v="1"/>
    <n v="36"/>
    <x v="0"/>
    <n v="2"/>
    <n v="2"/>
    <s v="Secondary"/>
    <x v="0"/>
    <n v="1"/>
    <n v="25"/>
    <n v="25"/>
    <x v="0"/>
    <n v="0"/>
    <x v="0"/>
    <n v="0"/>
    <n v="0"/>
    <n v="0"/>
    <n v="210"/>
    <n v="210"/>
    <x v="1"/>
    <n v="117"/>
    <n v="84"/>
    <n v="28.35"/>
    <n v="28.35"/>
    <x v="0"/>
    <n v="75"/>
    <n v="75"/>
    <n v="96"/>
    <n v="96"/>
    <x v="0"/>
    <x v="0"/>
  </r>
  <r>
    <n v="0"/>
    <x v="0"/>
    <n v="36"/>
    <x v="0"/>
    <n v="3"/>
    <n v="3"/>
    <s v="Graduate"/>
    <x v="1"/>
    <n v="0"/>
    <n v="0"/>
    <n v="0"/>
    <x v="1"/>
    <n v="0"/>
    <x v="0"/>
    <n v="0"/>
    <n v="1"/>
    <n v="0"/>
    <n v="264"/>
    <n v="264"/>
    <x v="0"/>
    <n v="123"/>
    <n v="94.5"/>
    <n v="28.59"/>
    <n v="28.59"/>
    <x v="0"/>
    <n v="75"/>
    <n v="75"/>
    <n v="70"/>
    <n v="70"/>
    <x v="0"/>
    <x v="0"/>
  </r>
  <r>
    <n v="1"/>
    <x v="1"/>
    <n v="36"/>
    <x v="0"/>
    <n v="2"/>
    <n v="2"/>
    <s v="Secondary"/>
    <x v="0"/>
    <n v="1"/>
    <n v="30"/>
    <n v="30"/>
    <x v="0"/>
    <n v="0"/>
    <x v="0"/>
    <n v="0"/>
    <n v="0"/>
    <n v="0"/>
    <n v="310"/>
    <n v="310"/>
    <x v="0"/>
    <n v="126"/>
    <n v="87"/>
    <n v="28.09"/>
    <n v="28.09"/>
    <x v="0"/>
    <n v="78"/>
    <n v="78"/>
    <n v="78"/>
    <n v="78"/>
    <x v="0"/>
    <x v="0"/>
  </r>
  <r>
    <n v="1"/>
    <x v="1"/>
    <n v="36"/>
    <x v="0"/>
    <n v="2"/>
    <n v="2"/>
    <s v="Secondary"/>
    <x v="0"/>
    <n v="0"/>
    <n v="0"/>
    <n v="0"/>
    <x v="1"/>
    <n v="0"/>
    <x v="0"/>
    <n v="0"/>
    <n v="0"/>
    <n v="0"/>
    <n v="186"/>
    <n v="186"/>
    <x v="1"/>
    <n v="121"/>
    <n v="79.5"/>
    <n v="27.08"/>
    <n v="27.08"/>
    <x v="0"/>
    <n v="56"/>
    <n v="56"/>
    <n v="65"/>
    <n v="65"/>
    <x v="0"/>
    <x v="0"/>
  </r>
  <r>
    <n v="0"/>
    <x v="0"/>
    <n v="36"/>
    <x v="0"/>
    <n v="1"/>
    <n v="1"/>
    <s v="Primary"/>
    <x v="2"/>
    <n v="0"/>
    <n v="0"/>
    <n v="0"/>
    <x v="1"/>
    <n v="0"/>
    <x v="0"/>
    <n v="0"/>
    <n v="0"/>
    <n v="0"/>
    <n v="200"/>
    <n v="200"/>
    <x v="1"/>
    <n v="108"/>
    <n v="62"/>
    <n v="20.79"/>
    <n v="20.79"/>
    <x v="1"/>
    <n v="75"/>
    <n v="75"/>
    <n v="69"/>
    <n v="69"/>
    <x v="0"/>
    <x v="0"/>
  </r>
  <r>
    <n v="0"/>
    <x v="0"/>
    <n v="36"/>
    <x v="0"/>
    <n v="1"/>
    <n v="1"/>
    <s v="Primary"/>
    <x v="2"/>
    <n v="0"/>
    <n v="0"/>
    <n v="0"/>
    <x v="1"/>
    <n v="0"/>
    <x v="0"/>
    <n v="0"/>
    <n v="0"/>
    <n v="0"/>
    <n v="180"/>
    <n v="180"/>
    <x v="1"/>
    <n v="116"/>
    <n v="85.5"/>
    <n v="26.32"/>
    <n v="26.32"/>
    <x v="0"/>
    <n v="95"/>
    <n v="95"/>
    <n v="81"/>
    <n v="81"/>
    <x v="0"/>
    <x v="0"/>
  </r>
  <r>
    <n v="1"/>
    <x v="1"/>
    <n v="36"/>
    <x v="0"/>
    <n v="2"/>
    <n v="2"/>
    <s v="Secondary"/>
    <x v="0"/>
    <n v="0"/>
    <n v="0"/>
    <n v="0"/>
    <x v="1"/>
    <n v="0"/>
    <x v="0"/>
    <n v="0"/>
    <n v="1"/>
    <n v="0"/>
    <n v="183"/>
    <n v="183"/>
    <x v="1"/>
    <n v="140"/>
    <n v="85"/>
    <n v="24.39"/>
    <n v="24.39"/>
    <x v="1"/>
    <n v="67"/>
    <n v="67"/>
    <n v="84"/>
    <n v="84"/>
    <x v="0"/>
    <x v="0"/>
  </r>
  <r>
    <n v="1"/>
    <x v="1"/>
    <n v="36"/>
    <x v="0"/>
    <n v="4"/>
    <n v="4"/>
    <s v="Post Graduate"/>
    <x v="3"/>
    <n v="1"/>
    <n v="20"/>
    <n v="20"/>
    <x v="0"/>
    <n v="0"/>
    <x v="0"/>
    <n v="0"/>
    <n v="0"/>
    <n v="0"/>
    <n v="155"/>
    <n v="155"/>
    <x v="1"/>
    <n v="127.5"/>
    <n v="77.5"/>
    <n v="30.2"/>
    <n v="30.2"/>
    <x v="2"/>
    <n v="56"/>
    <n v="56"/>
    <n v="61"/>
    <n v="61"/>
    <x v="0"/>
    <x v="0"/>
  </r>
  <r>
    <n v="0"/>
    <x v="0"/>
    <n v="36"/>
    <x v="0"/>
    <n v="1"/>
    <n v="1"/>
    <s v="Primary"/>
    <x v="2"/>
    <n v="0"/>
    <n v="0"/>
    <n v="0"/>
    <x v="1"/>
    <n v="0"/>
    <x v="0"/>
    <n v="0"/>
    <n v="0"/>
    <n v="0"/>
    <n v="211"/>
    <n v="211"/>
    <x v="1"/>
    <n v="100"/>
    <n v="61.5"/>
    <n v="22.19"/>
    <n v="22.19"/>
    <x v="1"/>
    <n v="60"/>
    <n v="60"/>
    <n v="73"/>
    <n v="73"/>
    <x v="0"/>
    <x v="0"/>
  </r>
  <r>
    <n v="1"/>
    <x v="1"/>
    <n v="36"/>
    <x v="0"/>
    <n v="2"/>
    <n v="2"/>
    <s v="Secondary"/>
    <x v="0"/>
    <n v="0"/>
    <n v="0"/>
    <n v="0"/>
    <x v="1"/>
    <n v="0"/>
    <x v="0"/>
    <n v="0"/>
    <n v="0"/>
    <n v="0"/>
    <n v="176"/>
    <n v="176"/>
    <x v="1"/>
    <n v="125"/>
    <n v="85"/>
    <n v="25.88"/>
    <n v="25.88"/>
    <x v="0"/>
    <n v="70"/>
    <n v="70"/>
    <n v="83"/>
    <n v="83"/>
    <x v="0"/>
    <x v="0"/>
  </r>
  <r>
    <n v="0"/>
    <x v="0"/>
    <n v="36"/>
    <x v="0"/>
    <n v="2"/>
    <n v="2"/>
    <s v="Secondary"/>
    <x v="0"/>
    <n v="1"/>
    <n v="15"/>
    <n v="15"/>
    <x v="0"/>
    <n v="0"/>
    <x v="0"/>
    <n v="0"/>
    <n v="0"/>
    <n v="0"/>
    <n v="204"/>
    <n v="204"/>
    <x v="1"/>
    <n v="112"/>
    <n v="78"/>
    <n v="28.74"/>
    <n v="28.74"/>
    <x v="0"/>
    <n v="85"/>
    <n v="85"/>
    <n v="82"/>
    <n v="82"/>
    <x v="0"/>
    <x v="0"/>
  </r>
  <r>
    <n v="0"/>
    <x v="0"/>
    <n v="36"/>
    <x v="0"/>
    <n v="3"/>
    <n v="3"/>
    <s v="Graduate"/>
    <x v="1"/>
    <n v="1"/>
    <n v="20"/>
    <n v="20"/>
    <x v="0"/>
    <n v="0"/>
    <x v="0"/>
    <n v="0"/>
    <n v="0"/>
    <n v="0"/>
    <n v="214"/>
    <n v="214"/>
    <x v="1"/>
    <n v="107.5"/>
    <n v="66"/>
    <n v="22.02"/>
    <n v="22.02"/>
    <x v="1"/>
    <n v="80"/>
    <n v="80"/>
    <n v="103"/>
    <n v="103"/>
    <x v="0"/>
    <x v="0"/>
  </r>
  <r>
    <n v="1"/>
    <x v="1"/>
    <n v="36"/>
    <x v="0"/>
    <n v="1"/>
    <n v="1"/>
    <s v="Primary"/>
    <x v="2"/>
    <n v="1"/>
    <n v="20"/>
    <n v="20"/>
    <x v="0"/>
    <n v="0"/>
    <x v="0"/>
    <n v="0"/>
    <n v="0"/>
    <n v="0"/>
    <n v="242"/>
    <n v="242"/>
    <x v="0"/>
    <n v="115"/>
    <n v="75"/>
    <n v="25.64"/>
    <n v="25.64"/>
    <x v="0"/>
    <n v="83"/>
    <n v="83"/>
    <n v="83"/>
    <n v="83"/>
    <x v="0"/>
    <x v="0"/>
  </r>
  <r>
    <n v="0"/>
    <x v="0"/>
    <n v="36"/>
    <x v="0"/>
    <n v="2"/>
    <n v="2"/>
    <s v="Secondary"/>
    <x v="0"/>
    <n v="1"/>
    <n v="20"/>
    <n v="20"/>
    <x v="0"/>
    <n v="0"/>
    <x v="0"/>
    <n v="0"/>
    <n v="0"/>
    <n v="0"/>
    <n v="177"/>
    <n v="177"/>
    <x v="1"/>
    <n v="115"/>
    <n v="63.5"/>
    <n v="22.54"/>
    <n v="22.54"/>
    <x v="1"/>
    <n v="71"/>
    <n v="71"/>
    <n v="73"/>
    <n v="73"/>
    <x v="0"/>
    <x v="0"/>
  </r>
  <r>
    <n v="0"/>
    <x v="0"/>
    <n v="36"/>
    <x v="0"/>
    <n v="3"/>
    <n v="3"/>
    <s v="Graduate"/>
    <x v="1"/>
    <n v="1"/>
    <n v="15"/>
    <n v="15"/>
    <x v="0"/>
    <n v="0"/>
    <x v="0"/>
    <n v="0"/>
    <n v="0"/>
    <n v="0"/>
    <n v="180"/>
    <n v="180"/>
    <x v="1"/>
    <n v="105"/>
    <n v="60"/>
    <n v="25.97"/>
    <n v="25.97"/>
    <x v="0"/>
    <n v="102"/>
    <n v="102"/>
    <s v="NA"/>
    <n v="81.96365524402907"/>
    <x v="0"/>
    <x v="0"/>
  </r>
  <r>
    <n v="0"/>
    <x v="0"/>
    <n v="36"/>
    <x v="0"/>
    <n v="2"/>
    <n v="2"/>
    <s v="Secondary"/>
    <x v="0"/>
    <n v="1"/>
    <n v="43"/>
    <n v="43"/>
    <x v="0"/>
    <n v="0"/>
    <x v="0"/>
    <n v="0"/>
    <n v="0"/>
    <n v="0"/>
    <n v="201"/>
    <n v="201"/>
    <x v="1"/>
    <n v="124"/>
    <n v="73"/>
    <n v="25.25"/>
    <n v="25.25"/>
    <x v="0"/>
    <n v="95"/>
    <n v="95"/>
    <n v="100"/>
    <n v="100"/>
    <x v="0"/>
    <x v="0"/>
  </r>
  <r>
    <n v="0"/>
    <x v="0"/>
    <n v="36"/>
    <x v="0"/>
    <n v="2"/>
    <n v="2"/>
    <s v="Secondary"/>
    <x v="0"/>
    <n v="0"/>
    <n v="0"/>
    <n v="0"/>
    <x v="1"/>
    <n v="0"/>
    <x v="0"/>
    <n v="0"/>
    <n v="0"/>
    <n v="0"/>
    <n v="203"/>
    <n v="203"/>
    <x v="1"/>
    <n v="112.5"/>
    <n v="73.5"/>
    <n v="24.47"/>
    <n v="24.47"/>
    <x v="1"/>
    <n v="70"/>
    <n v="70"/>
    <n v="73"/>
    <n v="73"/>
    <x v="0"/>
    <x v="0"/>
  </r>
  <r>
    <n v="1"/>
    <x v="1"/>
    <n v="36"/>
    <x v="0"/>
    <n v="1"/>
    <n v="1"/>
    <s v="Primary"/>
    <x v="2"/>
    <n v="1"/>
    <n v="20"/>
    <n v="20"/>
    <x v="0"/>
    <n v="0"/>
    <x v="0"/>
    <n v="0"/>
    <n v="0"/>
    <n v="0"/>
    <n v="252"/>
    <n v="252"/>
    <x v="0"/>
    <n v="126"/>
    <n v="77"/>
    <n v="25.23"/>
    <n v="25.23"/>
    <x v="0"/>
    <n v="75"/>
    <n v="75"/>
    <n v="63"/>
    <n v="63"/>
    <x v="0"/>
    <x v="0"/>
  </r>
  <r>
    <n v="1"/>
    <x v="1"/>
    <n v="36"/>
    <x v="0"/>
    <n v="4"/>
    <n v="4"/>
    <s v="Post Graduate"/>
    <x v="3"/>
    <n v="1"/>
    <n v="40"/>
    <n v="40"/>
    <x v="0"/>
    <n v="0"/>
    <x v="0"/>
    <n v="0"/>
    <n v="0"/>
    <n v="0"/>
    <n v="200"/>
    <n v="200"/>
    <x v="1"/>
    <n v="103"/>
    <n v="67.5"/>
    <n v="30.82"/>
    <n v="30.82"/>
    <x v="2"/>
    <n v="67"/>
    <n v="67"/>
    <n v="72"/>
    <n v="72"/>
    <x v="0"/>
    <x v="0"/>
  </r>
  <r>
    <n v="1"/>
    <x v="1"/>
    <n v="36"/>
    <x v="0"/>
    <n v="2"/>
    <n v="2"/>
    <s v="Secondary"/>
    <x v="0"/>
    <n v="0"/>
    <n v="0"/>
    <n v="0"/>
    <x v="1"/>
    <n v="0"/>
    <x v="0"/>
    <n v="0"/>
    <n v="0"/>
    <n v="0"/>
    <n v="163"/>
    <n v="163"/>
    <x v="1"/>
    <n v="111"/>
    <n v="73"/>
    <n v="30.18"/>
    <n v="30.18"/>
    <x v="2"/>
    <n v="70"/>
    <n v="70"/>
    <n v="90"/>
    <n v="90"/>
    <x v="0"/>
    <x v="0"/>
  </r>
  <r>
    <n v="0"/>
    <x v="0"/>
    <n v="36"/>
    <x v="0"/>
    <n v="2"/>
    <n v="2"/>
    <s v="Secondary"/>
    <x v="0"/>
    <n v="0"/>
    <n v="0"/>
    <n v="0"/>
    <x v="1"/>
    <n v="0"/>
    <x v="0"/>
    <n v="0"/>
    <n v="0"/>
    <n v="0"/>
    <n v="209"/>
    <n v="209"/>
    <x v="1"/>
    <n v="107"/>
    <n v="73.5"/>
    <n v="21.59"/>
    <n v="21.59"/>
    <x v="1"/>
    <n v="75"/>
    <n v="75"/>
    <n v="73"/>
    <n v="73"/>
    <x v="0"/>
    <x v="0"/>
  </r>
  <r>
    <n v="0"/>
    <x v="0"/>
    <n v="36"/>
    <x v="0"/>
    <n v="1"/>
    <n v="1"/>
    <s v="Primary"/>
    <x v="2"/>
    <n v="1"/>
    <n v="5"/>
    <n v="5"/>
    <x v="0"/>
    <n v="0"/>
    <x v="0"/>
    <n v="0"/>
    <n v="0"/>
    <n v="0"/>
    <n v="195"/>
    <n v="195"/>
    <x v="1"/>
    <n v="109"/>
    <n v="69"/>
    <n v="23.24"/>
    <n v="23.24"/>
    <x v="1"/>
    <n v="70"/>
    <n v="70"/>
    <n v="70"/>
    <n v="70"/>
    <x v="0"/>
    <x v="0"/>
  </r>
  <r>
    <n v="1"/>
    <x v="1"/>
    <n v="36"/>
    <x v="0"/>
    <n v="2"/>
    <n v="2"/>
    <s v="Secondary"/>
    <x v="0"/>
    <n v="1"/>
    <n v="20"/>
    <n v="20"/>
    <x v="0"/>
    <n v="0"/>
    <x v="0"/>
    <n v="0"/>
    <n v="0"/>
    <n v="0"/>
    <n v="226"/>
    <n v="226"/>
    <x v="1"/>
    <n v="124.5"/>
    <n v="84.5"/>
    <n v="21.63"/>
    <n v="21.63"/>
    <x v="1"/>
    <n v="68"/>
    <n v="68"/>
    <n v="74"/>
    <n v="74"/>
    <x v="0"/>
    <x v="0"/>
  </r>
  <r>
    <n v="1"/>
    <x v="1"/>
    <n v="36"/>
    <x v="0"/>
    <n v="2"/>
    <n v="2"/>
    <s v="Secondary"/>
    <x v="0"/>
    <n v="1"/>
    <n v="25"/>
    <n v="25"/>
    <x v="0"/>
    <n v="0"/>
    <x v="0"/>
    <n v="0"/>
    <n v="0"/>
    <n v="0"/>
    <n v="215"/>
    <n v="215"/>
    <x v="1"/>
    <n v="110"/>
    <n v="67"/>
    <n v="23.1"/>
    <n v="23.1"/>
    <x v="1"/>
    <n v="63"/>
    <n v="63"/>
    <n v="84"/>
    <n v="84"/>
    <x v="0"/>
    <x v="0"/>
  </r>
  <r>
    <n v="1"/>
    <x v="1"/>
    <n v="36"/>
    <x v="0"/>
    <n v="1"/>
    <n v="1"/>
    <s v="Primary"/>
    <x v="2"/>
    <n v="0"/>
    <n v="0"/>
    <n v="0"/>
    <x v="1"/>
    <n v="0"/>
    <x v="0"/>
    <n v="0"/>
    <n v="0"/>
    <n v="0"/>
    <n v="233"/>
    <n v="233"/>
    <x v="1"/>
    <n v="128"/>
    <n v="86.5"/>
    <n v="35.31"/>
    <n v="35.31"/>
    <x v="2"/>
    <n v="83"/>
    <n v="83"/>
    <n v="76"/>
    <n v="76"/>
    <x v="0"/>
    <x v="0"/>
  </r>
  <r>
    <n v="1"/>
    <x v="1"/>
    <n v="36"/>
    <x v="0"/>
    <n v="1"/>
    <n v="1"/>
    <s v="Primary"/>
    <x v="2"/>
    <n v="1"/>
    <n v="20"/>
    <n v="20"/>
    <x v="0"/>
    <n v="0"/>
    <x v="0"/>
    <n v="0"/>
    <n v="0"/>
    <n v="0"/>
    <n v="203"/>
    <n v="203"/>
    <x v="1"/>
    <n v="101.5"/>
    <n v="67"/>
    <n v="24.43"/>
    <n v="24.43"/>
    <x v="1"/>
    <n v="65"/>
    <n v="65"/>
    <n v="74"/>
    <n v="74"/>
    <x v="0"/>
    <x v="0"/>
  </r>
  <r>
    <n v="0"/>
    <x v="0"/>
    <n v="36"/>
    <x v="0"/>
    <n v="1"/>
    <n v="1"/>
    <s v="Primary"/>
    <x v="2"/>
    <n v="1"/>
    <n v="5"/>
    <n v="5"/>
    <x v="0"/>
    <n v="0"/>
    <x v="0"/>
    <n v="0"/>
    <n v="0"/>
    <n v="0"/>
    <n v="180"/>
    <n v="180"/>
    <x v="1"/>
    <n v="118"/>
    <n v="80"/>
    <n v="29.59"/>
    <n v="29.59"/>
    <x v="0"/>
    <n v="75"/>
    <n v="75"/>
    <n v="84"/>
    <n v="84"/>
    <x v="0"/>
    <x v="0"/>
  </r>
  <r>
    <n v="0"/>
    <x v="0"/>
    <n v="36"/>
    <x v="0"/>
    <n v="1"/>
    <n v="1"/>
    <s v="Primary"/>
    <x v="2"/>
    <n v="1"/>
    <n v="5"/>
    <n v="5"/>
    <x v="0"/>
    <n v="0"/>
    <x v="0"/>
    <n v="0"/>
    <n v="1"/>
    <n v="0"/>
    <n v="222"/>
    <n v="222"/>
    <x v="1"/>
    <n v="147"/>
    <n v="94"/>
    <n v="26.79"/>
    <n v="26.79"/>
    <x v="0"/>
    <n v="76"/>
    <n v="76"/>
    <n v="71"/>
    <n v="71"/>
    <x v="0"/>
    <x v="0"/>
  </r>
  <r>
    <n v="1"/>
    <x v="1"/>
    <n v="36"/>
    <x v="0"/>
    <n v="2"/>
    <n v="2"/>
    <s v="Secondary"/>
    <x v="0"/>
    <n v="0"/>
    <n v="0"/>
    <n v="0"/>
    <x v="1"/>
    <n v="0"/>
    <x v="0"/>
    <n v="0"/>
    <n v="0"/>
    <n v="0"/>
    <n v="197"/>
    <n v="197"/>
    <x v="1"/>
    <n v="115"/>
    <n v="65"/>
    <n v="20.420000000000002"/>
    <n v="20.420000000000002"/>
    <x v="1"/>
    <n v="68"/>
    <n v="68"/>
    <n v="77"/>
    <n v="77"/>
    <x v="0"/>
    <x v="0"/>
  </r>
  <r>
    <n v="0"/>
    <x v="0"/>
    <n v="36"/>
    <x v="0"/>
    <n v="3"/>
    <n v="3"/>
    <s v="Graduate"/>
    <x v="1"/>
    <n v="1"/>
    <n v="15"/>
    <n v="15"/>
    <x v="0"/>
    <n v="0"/>
    <x v="0"/>
    <n v="0"/>
    <n v="0"/>
    <n v="0"/>
    <n v="202"/>
    <n v="202"/>
    <x v="1"/>
    <n v="105.5"/>
    <n v="67"/>
    <n v="22.66"/>
    <n v="22.66"/>
    <x v="1"/>
    <n v="90"/>
    <n v="90"/>
    <n v="63"/>
    <n v="63"/>
    <x v="0"/>
    <x v="0"/>
  </r>
  <r>
    <n v="0"/>
    <x v="0"/>
    <n v="36"/>
    <x v="0"/>
    <n v="3"/>
    <n v="3"/>
    <s v="Graduate"/>
    <x v="1"/>
    <n v="0"/>
    <n v="0"/>
    <n v="0"/>
    <x v="1"/>
    <n v="0"/>
    <x v="0"/>
    <n v="0"/>
    <n v="0"/>
    <n v="0"/>
    <n v="188"/>
    <n v="188"/>
    <x v="1"/>
    <n v="112"/>
    <n v="78"/>
    <n v="22.54"/>
    <n v="22.54"/>
    <x v="1"/>
    <n v="63"/>
    <n v="63"/>
    <n v="73"/>
    <n v="73"/>
    <x v="0"/>
    <x v="0"/>
  </r>
  <r>
    <n v="0"/>
    <x v="0"/>
    <n v="36"/>
    <x v="0"/>
    <n v="4"/>
    <n v="4"/>
    <s v="Post Graduate"/>
    <x v="3"/>
    <n v="1"/>
    <n v="9"/>
    <n v="9"/>
    <x v="0"/>
    <n v="0"/>
    <x v="0"/>
    <n v="0"/>
    <n v="0"/>
    <n v="0"/>
    <n v="212"/>
    <n v="212"/>
    <x v="1"/>
    <n v="127"/>
    <n v="83"/>
    <n v="26.82"/>
    <n v="26.82"/>
    <x v="0"/>
    <n v="75"/>
    <n v="75"/>
    <n v="75"/>
    <n v="75"/>
    <x v="0"/>
    <x v="0"/>
  </r>
  <r>
    <n v="1"/>
    <x v="1"/>
    <n v="36"/>
    <x v="0"/>
    <n v="2"/>
    <n v="2"/>
    <s v="Secondary"/>
    <x v="0"/>
    <n v="0"/>
    <n v="0"/>
    <n v="0"/>
    <x v="1"/>
    <n v="0"/>
    <x v="0"/>
    <n v="0"/>
    <n v="0"/>
    <n v="0"/>
    <n v="230"/>
    <n v="230"/>
    <x v="1"/>
    <n v="122"/>
    <n v="78"/>
    <n v="26.53"/>
    <n v="26.53"/>
    <x v="0"/>
    <n v="45"/>
    <n v="45"/>
    <n v="78"/>
    <n v="78"/>
    <x v="0"/>
    <x v="0"/>
  </r>
  <r>
    <n v="0"/>
    <x v="0"/>
    <n v="36"/>
    <x v="0"/>
    <n v="2"/>
    <n v="2"/>
    <s v="Secondary"/>
    <x v="0"/>
    <n v="1"/>
    <n v="25"/>
    <n v="25"/>
    <x v="0"/>
    <n v="0"/>
    <x v="0"/>
    <n v="0"/>
    <n v="0"/>
    <n v="0"/>
    <n v="190"/>
    <n v="190"/>
    <x v="1"/>
    <n v="122"/>
    <n v="83"/>
    <n v="23.07"/>
    <n v="23.07"/>
    <x v="1"/>
    <n v="85"/>
    <n v="85"/>
    <s v="NA"/>
    <n v="81.96365524402907"/>
    <x v="0"/>
    <x v="0"/>
  </r>
  <r>
    <n v="1"/>
    <x v="1"/>
    <n v="36"/>
    <x v="0"/>
    <n v="2"/>
    <n v="2"/>
    <s v="Secondary"/>
    <x v="0"/>
    <n v="0"/>
    <n v="0"/>
    <n v="0"/>
    <x v="1"/>
    <n v="0"/>
    <x v="0"/>
    <n v="0"/>
    <n v="1"/>
    <n v="0"/>
    <n v="153"/>
    <n v="153"/>
    <x v="1"/>
    <n v="143"/>
    <n v="87"/>
    <n v="28.3"/>
    <n v="28.3"/>
    <x v="0"/>
    <n v="63"/>
    <n v="63"/>
    <n v="82"/>
    <n v="82"/>
    <x v="0"/>
    <x v="0"/>
  </r>
  <r>
    <n v="0"/>
    <x v="0"/>
    <n v="36"/>
    <x v="0"/>
    <n v="1"/>
    <n v="1"/>
    <s v="Primary"/>
    <x v="2"/>
    <n v="0"/>
    <n v="0"/>
    <n v="0"/>
    <x v="1"/>
    <n v="0"/>
    <x v="0"/>
    <n v="0"/>
    <n v="0"/>
    <n v="0"/>
    <n v="195"/>
    <n v="195"/>
    <x v="1"/>
    <n v="116"/>
    <n v="76"/>
    <n v="22.16"/>
    <n v="22.16"/>
    <x v="1"/>
    <n v="88"/>
    <n v="88"/>
    <n v="77"/>
    <n v="77"/>
    <x v="0"/>
    <x v="0"/>
  </r>
  <r>
    <n v="0"/>
    <x v="0"/>
    <n v="36"/>
    <x v="0"/>
    <n v="2"/>
    <n v="2"/>
    <s v="Secondary"/>
    <x v="0"/>
    <n v="1"/>
    <n v="15"/>
    <n v="15"/>
    <x v="0"/>
    <n v="0"/>
    <x v="0"/>
    <n v="0"/>
    <n v="0"/>
    <n v="0"/>
    <n v="257"/>
    <n v="257"/>
    <x v="0"/>
    <n v="103"/>
    <n v="72.5"/>
    <n v="27.86"/>
    <n v="27.86"/>
    <x v="0"/>
    <n v="80"/>
    <n v="80"/>
    <n v="65"/>
    <n v="65"/>
    <x v="0"/>
    <x v="0"/>
  </r>
  <r>
    <n v="1"/>
    <x v="1"/>
    <n v="37"/>
    <x v="0"/>
    <n v="2"/>
    <n v="2"/>
    <s v="Secondary"/>
    <x v="0"/>
    <n v="0"/>
    <n v="0"/>
    <n v="0"/>
    <x v="1"/>
    <n v="0"/>
    <x v="0"/>
    <n v="0"/>
    <n v="1"/>
    <n v="0"/>
    <n v="225"/>
    <n v="225"/>
    <x v="1"/>
    <n v="124.5"/>
    <n v="92.5"/>
    <n v="38.53"/>
    <n v="38.53"/>
    <x v="2"/>
    <n v="95"/>
    <n v="95"/>
    <n v="83"/>
    <n v="83"/>
    <x v="0"/>
    <x v="0"/>
  </r>
  <r>
    <n v="0"/>
    <x v="0"/>
    <n v="37"/>
    <x v="0"/>
    <s v="NA"/>
    <n v="1"/>
    <s v="Primary"/>
    <x v="2"/>
    <n v="0"/>
    <n v="0"/>
    <n v="0"/>
    <x v="1"/>
    <n v="0"/>
    <x v="0"/>
    <n v="0"/>
    <n v="0"/>
    <n v="0"/>
    <n v="200"/>
    <n v="200"/>
    <x v="1"/>
    <n v="119"/>
    <n v="79"/>
    <n v="33.29"/>
    <n v="33.29"/>
    <x v="2"/>
    <n v="67"/>
    <n v="67"/>
    <n v="87"/>
    <n v="87"/>
    <x v="0"/>
    <x v="0"/>
  </r>
  <r>
    <n v="0"/>
    <x v="0"/>
    <n v="37"/>
    <x v="0"/>
    <n v="2"/>
    <n v="2"/>
    <s v="Secondary"/>
    <x v="0"/>
    <n v="1"/>
    <n v="5"/>
    <n v="5"/>
    <x v="0"/>
    <n v="0"/>
    <x v="0"/>
    <n v="0"/>
    <n v="0"/>
    <n v="0"/>
    <n v="185"/>
    <n v="185"/>
    <x v="1"/>
    <n v="100"/>
    <n v="68"/>
    <n v="18.38"/>
    <n v="18.38"/>
    <x v="3"/>
    <n v="70"/>
    <n v="70"/>
    <n v="72"/>
    <n v="72"/>
    <x v="0"/>
    <x v="0"/>
  </r>
  <r>
    <n v="0"/>
    <x v="0"/>
    <n v="37"/>
    <x v="0"/>
    <n v="4"/>
    <n v="4"/>
    <s v="Post Graduate"/>
    <x v="3"/>
    <n v="1"/>
    <n v="40"/>
    <n v="40"/>
    <x v="0"/>
    <n v="0"/>
    <x v="0"/>
    <n v="0"/>
    <n v="0"/>
    <n v="0"/>
    <n v="205"/>
    <n v="205"/>
    <x v="1"/>
    <n v="110"/>
    <n v="78"/>
    <n v="24.43"/>
    <n v="24.43"/>
    <x v="1"/>
    <n v="80"/>
    <n v="80"/>
    <n v="75"/>
    <n v="75"/>
    <x v="0"/>
    <x v="0"/>
  </r>
  <r>
    <n v="0"/>
    <x v="0"/>
    <n v="37"/>
    <x v="0"/>
    <n v="1"/>
    <n v="1"/>
    <s v="Primary"/>
    <x v="2"/>
    <n v="0"/>
    <n v="0"/>
    <n v="0"/>
    <x v="1"/>
    <n v="0"/>
    <x v="0"/>
    <n v="0"/>
    <n v="0"/>
    <n v="0"/>
    <n v="300"/>
    <n v="300"/>
    <x v="0"/>
    <n v="112"/>
    <n v="60"/>
    <n v="23.67"/>
    <n v="23.67"/>
    <x v="1"/>
    <n v="81"/>
    <n v="81"/>
    <n v="75"/>
    <n v="75"/>
    <x v="0"/>
    <x v="0"/>
  </r>
  <r>
    <n v="0"/>
    <x v="0"/>
    <n v="37"/>
    <x v="0"/>
    <n v="4"/>
    <n v="4"/>
    <s v="Post Graduate"/>
    <x v="3"/>
    <n v="1"/>
    <n v="20"/>
    <n v="20"/>
    <x v="0"/>
    <n v="0"/>
    <x v="0"/>
    <n v="0"/>
    <n v="0"/>
    <n v="0"/>
    <n v="186"/>
    <n v="186"/>
    <x v="1"/>
    <n v="135"/>
    <n v="91"/>
    <n v="21.48"/>
    <n v="21.48"/>
    <x v="1"/>
    <n v="66"/>
    <n v="66"/>
    <n v="84"/>
    <n v="84"/>
    <x v="0"/>
    <x v="0"/>
  </r>
  <r>
    <n v="0"/>
    <x v="0"/>
    <n v="37"/>
    <x v="0"/>
    <s v="NA"/>
    <n v="1"/>
    <s v="Primary"/>
    <x v="2"/>
    <n v="1"/>
    <n v="20"/>
    <n v="20"/>
    <x v="0"/>
    <n v="0"/>
    <x v="0"/>
    <n v="0"/>
    <n v="0"/>
    <n v="0"/>
    <n v="223"/>
    <n v="223"/>
    <x v="1"/>
    <n v="115"/>
    <n v="72"/>
    <n v="22.71"/>
    <n v="22.71"/>
    <x v="1"/>
    <n v="76"/>
    <n v="76"/>
    <n v="63"/>
    <n v="63"/>
    <x v="0"/>
    <x v="0"/>
  </r>
  <r>
    <n v="1"/>
    <x v="1"/>
    <n v="37"/>
    <x v="0"/>
    <n v="2"/>
    <n v="2"/>
    <s v="Secondary"/>
    <x v="0"/>
    <n v="0"/>
    <n v="0"/>
    <n v="0"/>
    <x v="1"/>
    <n v="0"/>
    <x v="0"/>
    <n v="0"/>
    <n v="0"/>
    <n v="0"/>
    <n v="218"/>
    <n v="218"/>
    <x v="1"/>
    <n v="130"/>
    <n v="89"/>
    <n v="22.7"/>
    <n v="22.7"/>
    <x v="1"/>
    <n v="77"/>
    <n v="77"/>
    <n v="88"/>
    <n v="88"/>
    <x v="0"/>
    <x v="0"/>
  </r>
  <r>
    <n v="1"/>
    <x v="1"/>
    <n v="37"/>
    <x v="0"/>
    <n v="1"/>
    <n v="1"/>
    <s v="Primary"/>
    <x v="2"/>
    <n v="1"/>
    <n v="20"/>
    <n v="20"/>
    <x v="0"/>
    <n v="0"/>
    <x v="0"/>
    <n v="0"/>
    <n v="0"/>
    <n v="0"/>
    <n v="245"/>
    <n v="245"/>
    <x v="0"/>
    <n v="138"/>
    <n v="84"/>
    <n v="27.45"/>
    <n v="27.45"/>
    <x v="0"/>
    <n v="67"/>
    <n v="67"/>
    <n v="76"/>
    <n v="76"/>
    <x v="0"/>
    <x v="0"/>
  </r>
  <r>
    <n v="1"/>
    <x v="1"/>
    <n v="37"/>
    <x v="0"/>
    <n v="3"/>
    <n v="3"/>
    <s v="Graduate"/>
    <x v="1"/>
    <n v="1"/>
    <n v="30"/>
    <n v="30"/>
    <x v="0"/>
    <n v="0"/>
    <x v="0"/>
    <n v="0"/>
    <n v="0"/>
    <n v="0"/>
    <n v="243"/>
    <n v="243"/>
    <x v="0"/>
    <n v="128"/>
    <n v="84"/>
    <n v="27.47"/>
    <n v="27.47"/>
    <x v="0"/>
    <n v="80"/>
    <n v="80"/>
    <s v="NA"/>
    <n v="81.96365524402907"/>
    <x v="0"/>
    <x v="0"/>
  </r>
  <r>
    <n v="0"/>
    <x v="0"/>
    <n v="37"/>
    <x v="0"/>
    <n v="2"/>
    <n v="2"/>
    <s v="Secondary"/>
    <x v="0"/>
    <n v="1"/>
    <n v="20"/>
    <n v="20"/>
    <x v="0"/>
    <n v="0"/>
    <x v="0"/>
    <n v="0"/>
    <n v="0"/>
    <n v="0"/>
    <n v="250"/>
    <n v="250"/>
    <x v="0"/>
    <n v="138"/>
    <n v="90"/>
    <n v="19.559999999999999"/>
    <n v="19.559999999999999"/>
    <x v="1"/>
    <n v="96"/>
    <n v="96"/>
    <n v="74"/>
    <n v="74"/>
    <x v="0"/>
    <x v="0"/>
  </r>
  <r>
    <n v="1"/>
    <x v="1"/>
    <n v="37"/>
    <x v="0"/>
    <n v="2"/>
    <n v="2"/>
    <s v="Secondary"/>
    <x v="0"/>
    <n v="0"/>
    <n v="0"/>
    <n v="0"/>
    <x v="1"/>
    <n v="0"/>
    <x v="0"/>
    <n v="0"/>
    <n v="0"/>
    <n v="0"/>
    <n v="176"/>
    <n v="176"/>
    <x v="1"/>
    <n v="125"/>
    <n v="80"/>
    <n v="26.75"/>
    <n v="26.75"/>
    <x v="0"/>
    <n v="72"/>
    <n v="72"/>
    <n v="65"/>
    <n v="65"/>
    <x v="0"/>
    <x v="0"/>
  </r>
  <r>
    <n v="1"/>
    <x v="1"/>
    <n v="37"/>
    <x v="0"/>
    <n v="3"/>
    <n v="3"/>
    <s v="Graduate"/>
    <x v="1"/>
    <n v="1"/>
    <n v="20"/>
    <n v="20"/>
    <x v="0"/>
    <n v="0"/>
    <x v="0"/>
    <n v="0"/>
    <n v="0"/>
    <n v="0"/>
    <n v="292"/>
    <n v="292"/>
    <x v="0"/>
    <n v="130"/>
    <n v="85"/>
    <n v="28.07"/>
    <n v="28.07"/>
    <x v="0"/>
    <n v="91"/>
    <n v="91"/>
    <n v="81"/>
    <n v="81"/>
    <x v="0"/>
    <x v="0"/>
  </r>
  <r>
    <n v="0"/>
    <x v="0"/>
    <n v="37"/>
    <x v="0"/>
    <n v="4"/>
    <n v="4"/>
    <s v="Post Graduate"/>
    <x v="3"/>
    <n v="1"/>
    <n v="20"/>
    <n v="20"/>
    <x v="0"/>
    <n v="0"/>
    <x v="0"/>
    <n v="0"/>
    <n v="0"/>
    <n v="0"/>
    <n v="240"/>
    <n v="240"/>
    <x v="1"/>
    <n v="120"/>
    <n v="79"/>
    <n v="23.09"/>
    <n v="23.09"/>
    <x v="1"/>
    <n v="75"/>
    <n v="75"/>
    <n v="80"/>
    <n v="80"/>
    <x v="0"/>
    <x v="0"/>
  </r>
  <r>
    <n v="0"/>
    <x v="0"/>
    <n v="37"/>
    <x v="0"/>
    <n v="2"/>
    <n v="2"/>
    <s v="Secondary"/>
    <x v="0"/>
    <n v="1"/>
    <n v="30"/>
    <n v="30"/>
    <x v="0"/>
    <n v="0"/>
    <x v="0"/>
    <n v="0"/>
    <n v="0"/>
    <n v="0"/>
    <s v="NA"/>
    <n v="236.69952267303103"/>
    <x v="1"/>
    <n v="115"/>
    <n v="79"/>
    <n v="28.41"/>
    <n v="28.41"/>
    <x v="0"/>
    <n v="85"/>
    <n v="85"/>
    <s v="NA"/>
    <n v="81.96365524402907"/>
    <x v="0"/>
    <x v="0"/>
  </r>
  <r>
    <n v="1"/>
    <x v="1"/>
    <n v="37"/>
    <x v="0"/>
    <n v="1"/>
    <n v="1"/>
    <s v="Primary"/>
    <x v="2"/>
    <n v="0"/>
    <n v="0"/>
    <n v="0"/>
    <x v="1"/>
    <n v="0"/>
    <x v="0"/>
    <n v="0"/>
    <n v="0"/>
    <n v="0"/>
    <n v="300"/>
    <n v="300"/>
    <x v="0"/>
    <n v="118.5"/>
    <n v="85.5"/>
    <n v="25.83"/>
    <n v="25.83"/>
    <x v="0"/>
    <n v="68"/>
    <n v="68"/>
    <n v="82"/>
    <n v="82"/>
    <x v="0"/>
    <x v="0"/>
  </r>
  <r>
    <n v="1"/>
    <x v="1"/>
    <n v="37"/>
    <x v="0"/>
    <n v="4"/>
    <n v="4"/>
    <s v="Post Graduate"/>
    <x v="3"/>
    <n v="0"/>
    <n v="0"/>
    <n v="0"/>
    <x v="1"/>
    <n v="0"/>
    <x v="0"/>
    <n v="0"/>
    <n v="0"/>
    <n v="0"/>
    <n v="166"/>
    <n v="166"/>
    <x v="1"/>
    <n v="128.5"/>
    <n v="83"/>
    <n v="26.81"/>
    <n v="26.81"/>
    <x v="0"/>
    <n v="58"/>
    <n v="58"/>
    <n v="108"/>
    <n v="108"/>
    <x v="0"/>
    <x v="0"/>
  </r>
  <r>
    <n v="0"/>
    <x v="0"/>
    <n v="37"/>
    <x v="0"/>
    <n v="1"/>
    <n v="1"/>
    <s v="Primary"/>
    <x v="2"/>
    <n v="1"/>
    <n v="20"/>
    <n v="20"/>
    <x v="0"/>
    <n v="0"/>
    <x v="0"/>
    <n v="0"/>
    <n v="0"/>
    <n v="0"/>
    <n v="168"/>
    <n v="168"/>
    <x v="1"/>
    <n v="117"/>
    <n v="74"/>
    <n v="21.51"/>
    <n v="21.51"/>
    <x v="1"/>
    <n v="67"/>
    <n v="67"/>
    <n v="77"/>
    <n v="77"/>
    <x v="0"/>
    <x v="0"/>
  </r>
  <r>
    <n v="0"/>
    <x v="0"/>
    <n v="37"/>
    <x v="0"/>
    <n v="3"/>
    <n v="3"/>
    <s v="Graduate"/>
    <x v="1"/>
    <n v="0"/>
    <n v="0"/>
    <n v="0"/>
    <x v="1"/>
    <s v="NA"/>
    <x v="0"/>
    <n v="0"/>
    <n v="0"/>
    <n v="0"/>
    <n v="145"/>
    <n v="145"/>
    <x v="1"/>
    <n v="105"/>
    <n v="73"/>
    <n v="23.44"/>
    <n v="23.44"/>
    <x v="1"/>
    <n v="58"/>
    <n v="58"/>
    <n v="80"/>
    <n v="80"/>
    <x v="1"/>
    <x v="0"/>
  </r>
  <r>
    <n v="1"/>
    <x v="1"/>
    <n v="37"/>
    <x v="0"/>
    <n v="1"/>
    <n v="1"/>
    <s v="Primary"/>
    <x v="2"/>
    <n v="1"/>
    <n v="15"/>
    <n v="15"/>
    <x v="0"/>
    <n v="0"/>
    <x v="0"/>
    <n v="0"/>
    <n v="0"/>
    <n v="0"/>
    <n v="231"/>
    <n v="231"/>
    <x v="1"/>
    <n v="135"/>
    <n v="79"/>
    <n v="28.46"/>
    <n v="28.46"/>
    <x v="0"/>
    <n v="73"/>
    <n v="73"/>
    <n v="67"/>
    <n v="67"/>
    <x v="0"/>
    <x v="0"/>
  </r>
  <r>
    <n v="1"/>
    <x v="1"/>
    <n v="37"/>
    <x v="0"/>
    <n v="2"/>
    <n v="2"/>
    <s v="Secondary"/>
    <x v="0"/>
    <n v="0"/>
    <n v="0"/>
    <n v="0"/>
    <x v="1"/>
    <n v="0"/>
    <x v="0"/>
    <n v="0"/>
    <n v="0"/>
    <n v="0"/>
    <n v="205"/>
    <n v="205"/>
    <x v="1"/>
    <n v="129"/>
    <n v="86"/>
    <n v="27.27"/>
    <n v="27.27"/>
    <x v="0"/>
    <n v="60"/>
    <n v="60"/>
    <n v="76"/>
    <n v="76"/>
    <x v="0"/>
    <x v="0"/>
  </r>
  <r>
    <n v="0"/>
    <x v="0"/>
    <n v="37"/>
    <x v="0"/>
    <n v="2"/>
    <n v="2"/>
    <s v="Secondary"/>
    <x v="0"/>
    <n v="1"/>
    <n v="10"/>
    <n v="10"/>
    <x v="0"/>
    <n v="0"/>
    <x v="0"/>
    <n v="0"/>
    <n v="0"/>
    <n v="0"/>
    <n v="217"/>
    <n v="217"/>
    <x v="1"/>
    <n v="110"/>
    <n v="78.5"/>
    <n v="32.26"/>
    <n v="32.26"/>
    <x v="2"/>
    <n v="110"/>
    <n v="110"/>
    <n v="84"/>
    <n v="84"/>
    <x v="0"/>
    <x v="0"/>
  </r>
  <r>
    <n v="1"/>
    <x v="1"/>
    <n v="37"/>
    <x v="0"/>
    <n v="3"/>
    <n v="3"/>
    <s v="Graduate"/>
    <x v="1"/>
    <n v="0"/>
    <n v="0"/>
    <n v="0"/>
    <x v="1"/>
    <n v="0"/>
    <x v="0"/>
    <n v="0"/>
    <n v="0"/>
    <n v="0"/>
    <n v="238"/>
    <n v="238"/>
    <x v="1"/>
    <n v="121"/>
    <n v="80"/>
    <n v="28.95"/>
    <n v="28.95"/>
    <x v="0"/>
    <n v="70"/>
    <n v="70"/>
    <n v="67"/>
    <n v="67"/>
    <x v="0"/>
    <x v="0"/>
  </r>
  <r>
    <n v="0"/>
    <x v="0"/>
    <n v="37"/>
    <x v="0"/>
    <n v="2"/>
    <n v="2"/>
    <s v="Secondary"/>
    <x v="0"/>
    <n v="1"/>
    <n v="20"/>
    <n v="20"/>
    <x v="0"/>
    <n v="0"/>
    <x v="0"/>
    <n v="0"/>
    <n v="0"/>
    <n v="0"/>
    <n v="229"/>
    <n v="229"/>
    <x v="1"/>
    <n v="111"/>
    <n v="70"/>
    <n v="20.239999999999998"/>
    <n v="20.239999999999998"/>
    <x v="1"/>
    <n v="80"/>
    <n v="80"/>
    <n v="70"/>
    <n v="70"/>
    <x v="0"/>
    <x v="0"/>
  </r>
  <r>
    <n v="0"/>
    <x v="0"/>
    <n v="37"/>
    <x v="0"/>
    <n v="1"/>
    <n v="1"/>
    <s v="Primary"/>
    <x v="2"/>
    <n v="1"/>
    <n v="10"/>
    <n v="10"/>
    <x v="0"/>
    <n v="0"/>
    <x v="0"/>
    <n v="0"/>
    <n v="0"/>
    <n v="0"/>
    <n v="205"/>
    <n v="205"/>
    <x v="1"/>
    <n v="120.5"/>
    <n v="67.5"/>
    <n v="22.89"/>
    <n v="22.89"/>
    <x v="1"/>
    <n v="75"/>
    <n v="75"/>
    <n v="113"/>
    <n v="113"/>
    <x v="0"/>
    <x v="0"/>
  </r>
  <r>
    <n v="0"/>
    <x v="0"/>
    <n v="37"/>
    <x v="0"/>
    <n v="2"/>
    <n v="2"/>
    <s v="Secondary"/>
    <x v="0"/>
    <n v="0"/>
    <n v="0"/>
    <n v="0"/>
    <x v="1"/>
    <n v="0"/>
    <x v="0"/>
    <n v="0"/>
    <n v="0"/>
    <n v="0"/>
    <n v="159"/>
    <n v="159"/>
    <x v="1"/>
    <n v="112"/>
    <n v="69"/>
    <n v="26.98"/>
    <n v="26.98"/>
    <x v="0"/>
    <n v="86"/>
    <n v="86"/>
    <s v="NA"/>
    <n v="81.96365524402907"/>
    <x v="0"/>
    <x v="0"/>
  </r>
  <r>
    <n v="0"/>
    <x v="0"/>
    <n v="37"/>
    <x v="0"/>
    <n v="4"/>
    <n v="4"/>
    <s v="Post Graduate"/>
    <x v="3"/>
    <n v="0"/>
    <n v="0"/>
    <n v="0"/>
    <x v="1"/>
    <n v="0"/>
    <x v="0"/>
    <n v="0"/>
    <n v="0"/>
    <n v="0"/>
    <n v="169"/>
    <n v="169"/>
    <x v="1"/>
    <n v="117.5"/>
    <n v="77.5"/>
    <n v="28.44"/>
    <n v="28.44"/>
    <x v="0"/>
    <n v="90"/>
    <n v="90"/>
    <s v="NA"/>
    <n v="81.96365524402907"/>
    <x v="0"/>
    <x v="0"/>
  </r>
  <r>
    <n v="0"/>
    <x v="0"/>
    <n v="37"/>
    <x v="0"/>
    <n v="1"/>
    <n v="1"/>
    <s v="Primary"/>
    <x v="2"/>
    <n v="0"/>
    <n v="0"/>
    <n v="0"/>
    <x v="1"/>
    <n v="0"/>
    <x v="0"/>
    <n v="0"/>
    <n v="0"/>
    <n v="0"/>
    <n v="261"/>
    <n v="261"/>
    <x v="0"/>
    <n v="123"/>
    <n v="75"/>
    <n v="26.72"/>
    <n v="26.72"/>
    <x v="0"/>
    <n v="90"/>
    <n v="90"/>
    <n v="85"/>
    <n v="85"/>
    <x v="0"/>
    <x v="0"/>
  </r>
  <r>
    <n v="0"/>
    <x v="0"/>
    <n v="37"/>
    <x v="0"/>
    <n v="1"/>
    <n v="1"/>
    <s v="Primary"/>
    <x v="2"/>
    <n v="1"/>
    <n v="5"/>
    <n v="5"/>
    <x v="0"/>
    <n v="0"/>
    <x v="0"/>
    <n v="0"/>
    <n v="0"/>
    <n v="0"/>
    <n v="279"/>
    <n v="279"/>
    <x v="0"/>
    <n v="110"/>
    <n v="72.5"/>
    <n v="24.89"/>
    <n v="24.89"/>
    <x v="1"/>
    <n v="67"/>
    <n v="67"/>
    <n v="70"/>
    <n v="70"/>
    <x v="0"/>
    <x v="0"/>
  </r>
  <r>
    <n v="1"/>
    <x v="1"/>
    <n v="37"/>
    <x v="0"/>
    <n v="2"/>
    <n v="2"/>
    <s v="Secondary"/>
    <x v="0"/>
    <n v="1"/>
    <n v="30"/>
    <n v="30"/>
    <x v="0"/>
    <n v="0"/>
    <x v="0"/>
    <n v="0"/>
    <n v="0"/>
    <n v="0"/>
    <n v="246"/>
    <n v="246"/>
    <x v="0"/>
    <n v="124"/>
    <n v="83"/>
    <n v="30.93"/>
    <n v="30.93"/>
    <x v="2"/>
    <n v="60"/>
    <n v="60"/>
    <n v="85"/>
    <n v="85"/>
    <x v="0"/>
    <x v="0"/>
  </r>
  <r>
    <n v="1"/>
    <x v="1"/>
    <n v="37"/>
    <x v="0"/>
    <n v="1"/>
    <n v="1"/>
    <s v="Primary"/>
    <x v="2"/>
    <n v="1"/>
    <n v="30"/>
    <n v="30"/>
    <x v="0"/>
    <n v="0"/>
    <x v="0"/>
    <n v="0"/>
    <n v="0"/>
    <n v="0"/>
    <n v="275"/>
    <n v="275"/>
    <x v="0"/>
    <n v="127"/>
    <n v="80"/>
    <n v="27.22"/>
    <n v="27.22"/>
    <x v="0"/>
    <n v="85"/>
    <n v="85"/>
    <n v="93"/>
    <n v="93"/>
    <x v="0"/>
    <x v="0"/>
  </r>
  <r>
    <n v="1"/>
    <x v="1"/>
    <n v="37"/>
    <x v="0"/>
    <n v="4"/>
    <n v="4"/>
    <s v="Post Graduate"/>
    <x v="3"/>
    <n v="1"/>
    <n v="60"/>
    <n v="60"/>
    <x v="0"/>
    <n v="0"/>
    <x v="0"/>
    <n v="0"/>
    <n v="0"/>
    <n v="0"/>
    <n v="254"/>
    <n v="254"/>
    <x v="0"/>
    <n v="122.5"/>
    <n v="82.5"/>
    <n v="23.87"/>
    <n v="23.87"/>
    <x v="1"/>
    <n v="88"/>
    <n v="88"/>
    <n v="83"/>
    <n v="83"/>
    <x v="0"/>
    <x v="0"/>
  </r>
  <r>
    <n v="0"/>
    <x v="0"/>
    <n v="37"/>
    <x v="0"/>
    <n v="4"/>
    <n v="4"/>
    <s v="Post Graduate"/>
    <x v="3"/>
    <n v="0"/>
    <n v="0"/>
    <n v="0"/>
    <x v="1"/>
    <n v="0"/>
    <x v="0"/>
    <n v="0"/>
    <n v="1"/>
    <n v="0"/>
    <n v="240"/>
    <n v="240"/>
    <x v="1"/>
    <n v="125"/>
    <n v="96"/>
    <n v="27.17"/>
    <n v="27.17"/>
    <x v="0"/>
    <n v="75"/>
    <n v="75"/>
    <s v="NA"/>
    <n v="81.96365524402907"/>
    <x v="0"/>
    <x v="0"/>
  </r>
  <r>
    <n v="0"/>
    <x v="0"/>
    <n v="37"/>
    <x v="0"/>
    <n v="4"/>
    <n v="4"/>
    <s v="Post Graduate"/>
    <x v="3"/>
    <n v="0"/>
    <n v="0"/>
    <n v="0"/>
    <x v="1"/>
    <n v="0"/>
    <x v="0"/>
    <n v="0"/>
    <n v="0"/>
    <n v="0"/>
    <n v="169"/>
    <n v="169"/>
    <x v="1"/>
    <n v="104"/>
    <n v="66"/>
    <n v="20.84"/>
    <n v="20.84"/>
    <x v="1"/>
    <n v="70"/>
    <n v="70"/>
    <n v="72"/>
    <n v="72"/>
    <x v="0"/>
    <x v="0"/>
  </r>
  <r>
    <n v="0"/>
    <x v="0"/>
    <n v="37"/>
    <x v="0"/>
    <n v="3"/>
    <n v="3"/>
    <s v="Graduate"/>
    <x v="1"/>
    <n v="0"/>
    <n v="0"/>
    <n v="0"/>
    <x v="1"/>
    <n v="0"/>
    <x v="0"/>
    <n v="0"/>
    <n v="0"/>
    <n v="0"/>
    <n v="190"/>
    <n v="190"/>
    <x v="1"/>
    <n v="102"/>
    <n v="65"/>
    <n v="20.68"/>
    <n v="20.68"/>
    <x v="1"/>
    <n v="89"/>
    <n v="89"/>
    <n v="87"/>
    <n v="87"/>
    <x v="0"/>
    <x v="0"/>
  </r>
  <r>
    <n v="1"/>
    <x v="1"/>
    <n v="37"/>
    <x v="0"/>
    <n v="2"/>
    <n v="2"/>
    <s v="Secondary"/>
    <x v="0"/>
    <n v="1"/>
    <n v="20"/>
    <n v="20"/>
    <x v="0"/>
    <n v="0"/>
    <x v="0"/>
    <n v="0"/>
    <n v="0"/>
    <n v="0"/>
    <n v="272"/>
    <n v="272"/>
    <x v="0"/>
    <n v="114.5"/>
    <n v="80"/>
    <n v="27.6"/>
    <n v="27.6"/>
    <x v="0"/>
    <n v="63"/>
    <n v="63"/>
    <n v="57"/>
    <n v="57"/>
    <x v="0"/>
    <x v="0"/>
  </r>
  <r>
    <n v="1"/>
    <x v="1"/>
    <n v="37"/>
    <x v="0"/>
    <n v="3"/>
    <n v="3"/>
    <s v="Graduate"/>
    <x v="1"/>
    <n v="0"/>
    <n v="0"/>
    <n v="0"/>
    <x v="1"/>
    <n v="0"/>
    <x v="0"/>
    <n v="0"/>
    <n v="0"/>
    <n v="0"/>
    <n v="197"/>
    <n v="197"/>
    <x v="1"/>
    <n v="104"/>
    <n v="65"/>
    <n v="22.9"/>
    <n v="22.9"/>
    <x v="1"/>
    <n v="57"/>
    <n v="57"/>
    <n v="97"/>
    <n v="97"/>
    <x v="0"/>
    <x v="0"/>
  </r>
  <r>
    <n v="1"/>
    <x v="1"/>
    <n v="37"/>
    <x v="0"/>
    <n v="2"/>
    <n v="2"/>
    <s v="Secondary"/>
    <x v="0"/>
    <n v="1"/>
    <n v="15"/>
    <n v="15"/>
    <x v="0"/>
    <n v="0"/>
    <x v="0"/>
    <n v="0"/>
    <n v="0"/>
    <n v="0"/>
    <n v="158"/>
    <n v="158"/>
    <x v="1"/>
    <n v="129"/>
    <n v="87"/>
    <n v="24.66"/>
    <n v="24.66"/>
    <x v="1"/>
    <n v="62"/>
    <n v="62"/>
    <n v="67"/>
    <n v="67"/>
    <x v="0"/>
    <x v="0"/>
  </r>
  <r>
    <n v="1"/>
    <x v="1"/>
    <n v="37"/>
    <x v="0"/>
    <n v="2"/>
    <n v="2"/>
    <s v="Secondary"/>
    <x v="0"/>
    <n v="0"/>
    <n v="0"/>
    <n v="0"/>
    <x v="1"/>
    <n v="0"/>
    <x v="0"/>
    <n v="0"/>
    <n v="0"/>
    <n v="0"/>
    <n v="178"/>
    <n v="178"/>
    <x v="1"/>
    <n v="127"/>
    <n v="81"/>
    <n v="33.07"/>
    <n v="33.07"/>
    <x v="2"/>
    <n v="82"/>
    <n v="82"/>
    <s v="NA"/>
    <n v="81.96365524402907"/>
    <x v="0"/>
    <x v="0"/>
  </r>
  <r>
    <n v="1"/>
    <x v="1"/>
    <n v="37"/>
    <x v="0"/>
    <n v="1"/>
    <n v="1"/>
    <s v="Primary"/>
    <x v="2"/>
    <n v="1"/>
    <n v="20"/>
    <n v="20"/>
    <x v="0"/>
    <n v="0"/>
    <x v="0"/>
    <n v="0"/>
    <n v="0"/>
    <n v="0"/>
    <n v="261"/>
    <n v="261"/>
    <x v="0"/>
    <n v="111.5"/>
    <n v="72.5"/>
    <n v="26.48"/>
    <n v="26.48"/>
    <x v="0"/>
    <n v="73"/>
    <n v="73"/>
    <n v="74"/>
    <n v="74"/>
    <x v="0"/>
    <x v="0"/>
  </r>
  <r>
    <n v="1"/>
    <x v="1"/>
    <n v="37"/>
    <x v="0"/>
    <n v="2"/>
    <n v="2"/>
    <s v="Secondary"/>
    <x v="0"/>
    <n v="1"/>
    <n v="20"/>
    <n v="20"/>
    <x v="0"/>
    <n v="0"/>
    <x v="0"/>
    <n v="0"/>
    <n v="0"/>
    <n v="0"/>
    <n v="211"/>
    <n v="211"/>
    <x v="1"/>
    <n v="116.5"/>
    <n v="77.5"/>
    <n v="24.5"/>
    <n v="24.5"/>
    <x v="1"/>
    <n v="68"/>
    <n v="68"/>
    <n v="78"/>
    <n v="78"/>
    <x v="0"/>
    <x v="1"/>
  </r>
  <r>
    <n v="0"/>
    <x v="0"/>
    <n v="37"/>
    <x v="0"/>
    <n v="1"/>
    <n v="1"/>
    <s v="Primary"/>
    <x v="2"/>
    <n v="1"/>
    <n v="20"/>
    <n v="20"/>
    <x v="0"/>
    <n v="0"/>
    <x v="0"/>
    <n v="0"/>
    <n v="0"/>
    <n v="0"/>
    <n v="166"/>
    <n v="166"/>
    <x v="1"/>
    <n v="112"/>
    <n v="73.5"/>
    <n v="21.64"/>
    <n v="21.64"/>
    <x v="1"/>
    <n v="75"/>
    <n v="75"/>
    <n v="93"/>
    <n v="93"/>
    <x v="0"/>
    <x v="1"/>
  </r>
  <r>
    <n v="0"/>
    <x v="0"/>
    <n v="37"/>
    <x v="0"/>
    <n v="4"/>
    <n v="4"/>
    <s v="Post Graduate"/>
    <x v="3"/>
    <n v="1"/>
    <n v="3"/>
    <n v="3"/>
    <x v="0"/>
    <n v="0"/>
    <x v="0"/>
    <n v="0"/>
    <n v="0"/>
    <n v="0"/>
    <n v="160"/>
    <n v="160"/>
    <x v="1"/>
    <n v="104"/>
    <n v="61"/>
    <n v="20.22"/>
    <n v="20.22"/>
    <x v="1"/>
    <n v="85"/>
    <n v="85"/>
    <n v="100"/>
    <n v="100"/>
    <x v="0"/>
    <x v="0"/>
  </r>
  <r>
    <n v="1"/>
    <x v="1"/>
    <n v="37"/>
    <x v="0"/>
    <n v="1"/>
    <n v="1"/>
    <s v="Primary"/>
    <x v="2"/>
    <n v="1"/>
    <n v="30"/>
    <n v="30"/>
    <x v="0"/>
    <n v="0"/>
    <x v="0"/>
    <n v="0"/>
    <n v="0"/>
    <n v="0"/>
    <n v="179"/>
    <n v="179"/>
    <x v="1"/>
    <n v="125"/>
    <n v="82"/>
    <n v="19.53"/>
    <n v="19.53"/>
    <x v="1"/>
    <n v="60"/>
    <n v="60"/>
    <n v="70"/>
    <n v="70"/>
    <x v="0"/>
    <x v="1"/>
  </r>
  <r>
    <n v="0"/>
    <x v="0"/>
    <n v="37"/>
    <x v="0"/>
    <n v="2"/>
    <n v="2"/>
    <s v="Secondary"/>
    <x v="0"/>
    <n v="1"/>
    <n v="20"/>
    <n v="20"/>
    <x v="0"/>
    <n v="0"/>
    <x v="0"/>
    <n v="0"/>
    <n v="0"/>
    <n v="0"/>
    <n v="164"/>
    <n v="164"/>
    <x v="1"/>
    <n v="96.5"/>
    <n v="67"/>
    <n v="24.99"/>
    <n v="24.99"/>
    <x v="1"/>
    <n v="68"/>
    <n v="68"/>
    <n v="67"/>
    <n v="67"/>
    <x v="0"/>
    <x v="0"/>
  </r>
  <r>
    <n v="0"/>
    <x v="0"/>
    <n v="37"/>
    <x v="0"/>
    <n v="2"/>
    <n v="2"/>
    <s v="Secondary"/>
    <x v="0"/>
    <n v="1"/>
    <n v="20"/>
    <n v="20"/>
    <x v="0"/>
    <n v="0"/>
    <x v="0"/>
    <n v="0"/>
    <n v="0"/>
    <n v="0"/>
    <n v="154"/>
    <n v="154"/>
    <x v="1"/>
    <n v="106"/>
    <n v="59.5"/>
    <n v="22.71"/>
    <n v="22.71"/>
    <x v="1"/>
    <n v="72"/>
    <n v="72"/>
    <n v="50"/>
    <n v="50"/>
    <x v="0"/>
    <x v="0"/>
  </r>
  <r>
    <n v="1"/>
    <x v="1"/>
    <n v="37"/>
    <x v="0"/>
    <n v="2"/>
    <n v="2"/>
    <s v="Secondary"/>
    <x v="0"/>
    <n v="1"/>
    <n v="1"/>
    <n v="1"/>
    <x v="0"/>
    <n v="0"/>
    <x v="0"/>
    <n v="0"/>
    <n v="1"/>
    <n v="0"/>
    <n v="165"/>
    <n v="165"/>
    <x v="1"/>
    <n v="134.5"/>
    <n v="91"/>
    <n v="27.97"/>
    <n v="27.97"/>
    <x v="0"/>
    <n v="86"/>
    <n v="86"/>
    <n v="80"/>
    <n v="80"/>
    <x v="0"/>
    <x v="0"/>
  </r>
  <r>
    <n v="0"/>
    <x v="0"/>
    <n v="37"/>
    <x v="0"/>
    <n v="2"/>
    <n v="2"/>
    <s v="Secondary"/>
    <x v="0"/>
    <n v="0"/>
    <n v="0"/>
    <n v="0"/>
    <x v="1"/>
    <n v="0"/>
    <x v="0"/>
    <n v="0"/>
    <n v="0"/>
    <n v="0"/>
    <n v="209"/>
    <n v="209"/>
    <x v="1"/>
    <n v="115"/>
    <n v="69"/>
    <n v="24.66"/>
    <n v="24.66"/>
    <x v="1"/>
    <n v="72"/>
    <n v="72"/>
    <n v="77"/>
    <n v="77"/>
    <x v="0"/>
    <x v="0"/>
  </r>
  <r>
    <n v="0"/>
    <x v="0"/>
    <n v="37"/>
    <x v="0"/>
    <n v="2"/>
    <n v="2"/>
    <s v="Secondary"/>
    <x v="0"/>
    <n v="1"/>
    <n v="43"/>
    <n v="43"/>
    <x v="0"/>
    <n v="0"/>
    <x v="0"/>
    <n v="0"/>
    <n v="0"/>
    <n v="0"/>
    <n v="167"/>
    <n v="167"/>
    <x v="1"/>
    <n v="118"/>
    <n v="76"/>
    <n v="19.61"/>
    <n v="19.61"/>
    <x v="1"/>
    <n v="65"/>
    <n v="65"/>
    <n v="67"/>
    <n v="67"/>
    <x v="0"/>
    <x v="0"/>
  </r>
  <r>
    <n v="1"/>
    <x v="1"/>
    <n v="37"/>
    <x v="0"/>
    <n v="4"/>
    <n v="4"/>
    <s v="Post Graduate"/>
    <x v="3"/>
    <n v="0"/>
    <n v="0"/>
    <n v="0"/>
    <x v="1"/>
    <n v="0"/>
    <x v="0"/>
    <n v="0"/>
    <n v="1"/>
    <n v="0"/>
    <n v="230"/>
    <n v="230"/>
    <x v="1"/>
    <n v="123"/>
    <n v="92"/>
    <n v="28.61"/>
    <n v="28.61"/>
    <x v="0"/>
    <n v="71"/>
    <n v="71"/>
    <n v="80"/>
    <n v="80"/>
    <x v="0"/>
    <x v="0"/>
  </r>
  <r>
    <n v="0"/>
    <x v="0"/>
    <n v="37"/>
    <x v="0"/>
    <n v="1"/>
    <n v="1"/>
    <s v="Primary"/>
    <x v="2"/>
    <n v="1"/>
    <n v="1"/>
    <n v="1"/>
    <x v="0"/>
    <n v="0"/>
    <x v="0"/>
    <n v="0"/>
    <n v="1"/>
    <n v="0"/>
    <n v="274"/>
    <n v="274"/>
    <x v="0"/>
    <n v="197.5"/>
    <n v="125"/>
    <n v="43.48"/>
    <n v="43.48"/>
    <x v="2"/>
    <n v="68"/>
    <n v="68"/>
    <n v="94"/>
    <n v="94"/>
    <x v="0"/>
    <x v="0"/>
  </r>
  <r>
    <n v="1"/>
    <x v="1"/>
    <n v="37"/>
    <x v="0"/>
    <n v="4"/>
    <n v="4"/>
    <s v="Post Graduate"/>
    <x v="3"/>
    <n v="0"/>
    <n v="0"/>
    <n v="0"/>
    <x v="1"/>
    <n v="0"/>
    <x v="0"/>
    <n v="0"/>
    <n v="0"/>
    <n v="0"/>
    <n v="266"/>
    <n v="266"/>
    <x v="0"/>
    <n v="110"/>
    <n v="72.5"/>
    <n v="26.09"/>
    <n v="26.09"/>
    <x v="0"/>
    <n v="77"/>
    <n v="77"/>
    <n v="73"/>
    <n v="73"/>
    <x v="0"/>
    <x v="1"/>
  </r>
  <r>
    <n v="1"/>
    <x v="1"/>
    <n v="37"/>
    <x v="0"/>
    <n v="1"/>
    <n v="1"/>
    <s v="Primary"/>
    <x v="2"/>
    <n v="1"/>
    <n v="25"/>
    <n v="25"/>
    <x v="0"/>
    <n v="0"/>
    <x v="0"/>
    <n v="0"/>
    <n v="0"/>
    <n v="0"/>
    <n v="243"/>
    <n v="243"/>
    <x v="0"/>
    <n v="125"/>
    <n v="75"/>
    <n v="29.19"/>
    <n v="29.19"/>
    <x v="0"/>
    <n v="60"/>
    <n v="60"/>
    <n v="78"/>
    <n v="78"/>
    <x v="0"/>
    <x v="0"/>
  </r>
  <r>
    <n v="1"/>
    <x v="1"/>
    <n v="37"/>
    <x v="0"/>
    <n v="2"/>
    <n v="2"/>
    <s v="Secondary"/>
    <x v="0"/>
    <n v="1"/>
    <n v="20"/>
    <n v="20"/>
    <x v="0"/>
    <n v="0"/>
    <x v="0"/>
    <n v="0"/>
    <n v="0"/>
    <n v="0"/>
    <n v="232"/>
    <n v="232"/>
    <x v="1"/>
    <n v="129"/>
    <n v="74"/>
    <n v="24.46"/>
    <n v="24.46"/>
    <x v="1"/>
    <n v="86"/>
    <n v="86"/>
    <n v="88"/>
    <n v="88"/>
    <x v="0"/>
    <x v="0"/>
  </r>
  <r>
    <n v="0"/>
    <x v="0"/>
    <n v="37"/>
    <x v="0"/>
    <n v="4"/>
    <n v="4"/>
    <s v="Post Graduate"/>
    <x v="3"/>
    <n v="1"/>
    <n v="10"/>
    <n v="10"/>
    <x v="0"/>
    <n v="0"/>
    <x v="0"/>
    <n v="0"/>
    <n v="0"/>
    <n v="0"/>
    <n v="156"/>
    <n v="156"/>
    <x v="1"/>
    <n v="120"/>
    <n v="87"/>
    <n v="21.8"/>
    <n v="21.8"/>
    <x v="1"/>
    <n v="66"/>
    <n v="66"/>
    <n v="89"/>
    <n v="89"/>
    <x v="0"/>
    <x v="0"/>
  </r>
  <r>
    <n v="0"/>
    <x v="0"/>
    <n v="37"/>
    <x v="0"/>
    <n v="2"/>
    <n v="2"/>
    <s v="Secondary"/>
    <x v="0"/>
    <n v="1"/>
    <n v="9"/>
    <n v="9"/>
    <x v="0"/>
    <n v="0"/>
    <x v="0"/>
    <n v="0"/>
    <n v="0"/>
    <n v="0"/>
    <n v="185"/>
    <n v="185"/>
    <x v="1"/>
    <n v="115"/>
    <n v="76"/>
    <n v="23.55"/>
    <n v="23.55"/>
    <x v="1"/>
    <n v="85"/>
    <n v="85"/>
    <n v="80"/>
    <n v="80"/>
    <x v="0"/>
    <x v="0"/>
  </r>
  <r>
    <n v="1"/>
    <x v="1"/>
    <n v="37"/>
    <x v="0"/>
    <n v="2"/>
    <n v="2"/>
    <s v="Secondary"/>
    <x v="0"/>
    <n v="1"/>
    <n v="9"/>
    <n v="9"/>
    <x v="0"/>
    <n v="0"/>
    <x v="0"/>
    <n v="0"/>
    <n v="0"/>
    <n v="0"/>
    <n v="237"/>
    <n v="237"/>
    <x v="1"/>
    <n v="102"/>
    <n v="72"/>
    <n v="19.68"/>
    <n v="19.68"/>
    <x v="1"/>
    <n v="67"/>
    <n v="67"/>
    <n v="83"/>
    <n v="83"/>
    <x v="0"/>
    <x v="0"/>
  </r>
  <r>
    <n v="1"/>
    <x v="1"/>
    <n v="37"/>
    <x v="0"/>
    <n v="4"/>
    <n v="4"/>
    <s v="Post Graduate"/>
    <x v="3"/>
    <n v="1"/>
    <n v="16"/>
    <n v="16"/>
    <x v="0"/>
    <n v="0"/>
    <x v="0"/>
    <n v="0"/>
    <n v="0"/>
    <n v="0"/>
    <n v="212"/>
    <n v="212"/>
    <x v="1"/>
    <n v="120"/>
    <n v="72"/>
    <n v="23.51"/>
    <n v="23.51"/>
    <x v="1"/>
    <n v="75"/>
    <n v="75"/>
    <n v="80"/>
    <n v="80"/>
    <x v="0"/>
    <x v="0"/>
  </r>
  <r>
    <n v="0"/>
    <x v="0"/>
    <n v="37"/>
    <x v="0"/>
    <n v="1"/>
    <n v="1"/>
    <s v="Primary"/>
    <x v="2"/>
    <n v="1"/>
    <n v="20"/>
    <n v="20"/>
    <x v="0"/>
    <n v="0"/>
    <x v="0"/>
    <n v="0"/>
    <n v="0"/>
    <n v="0"/>
    <n v="200"/>
    <n v="200"/>
    <x v="1"/>
    <n v="112.5"/>
    <n v="68"/>
    <n v="25.87"/>
    <n v="25.87"/>
    <x v="0"/>
    <n v="65"/>
    <n v="65"/>
    <n v="67"/>
    <n v="67"/>
    <x v="0"/>
    <x v="0"/>
  </r>
  <r>
    <n v="0"/>
    <x v="0"/>
    <n v="37"/>
    <x v="0"/>
    <n v="3"/>
    <n v="3"/>
    <s v="Graduate"/>
    <x v="1"/>
    <n v="1"/>
    <n v="15"/>
    <n v="15"/>
    <x v="0"/>
    <n v="0"/>
    <x v="0"/>
    <n v="0"/>
    <n v="0"/>
    <n v="0"/>
    <n v="222"/>
    <n v="222"/>
    <x v="1"/>
    <n v="110"/>
    <n v="71"/>
    <n v="18.3"/>
    <n v="18.3"/>
    <x v="3"/>
    <n v="80"/>
    <n v="80"/>
    <n v="67"/>
    <n v="67"/>
    <x v="0"/>
    <x v="0"/>
  </r>
  <r>
    <n v="1"/>
    <x v="1"/>
    <n v="37"/>
    <x v="0"/>
    <n v="2"/>
    <n v="2"/>
    <s v="Secondary"/>
    <x v="0"/>
    <n v="1"/>
    <n v="20"/>
    <n v="20"/>
    <x v="0"/>
    <n v="0"/>
    <x v="0"/>
    <n v="0"/>
    <n v="0"/>
    <n v="0"/>
    <n v="309"/>
    <n v="309"/>
    <x v="0"/>
    <n v="107.5"/>
    <n v="80"/>
    <n v="25.23"/>
    <n v="25.23"/>
    <x v="0"/>
    <n v="65"/>
    <n v="65"/>
    <n v="84"/>
    <n v="84"/>
    <x v="0"/>
    <x v="0"/>
  </r>
  <r>
    <n v="0"/>
    <x v="0"/>
    <n v="37"/>
    <x v="0"/>
    <n v="2"/>
    <n v="2"/>
    <s v="Secondary"/>
    <x v="0"/>
    <n v="0"/>
    <n v="0"/>
    <n v="0"/>
    <x v="1"/>
    <n v="0"/>
    <x v="0"/>
    <n v="0"/>
    <n v="0"/>
    <n v="0"/>
    <n v="249"/>
    <n v="249"/>
    <x v="0"/>
    <n v="108"/>
    <n v="74"/>
    <n v="23.28"/>
    <n v="23.28"/>
    <x v="1"/>
    <n v="82"/>
    <n v="82"/>
    <n v="66"/>
    <n v="66"/>
    <x v="0"/>
    <x v="0"/>
  </r>
  <r>
    <n v="1"/>
    <x v="1"/>
    <n v="37"/>
    <x v="0"/>
    <n v="2"/>
    <n v="2"/>
    <s v="Secondary"/>
    <x v="0"/>
    <n v="1"/>
    <n v="30"/>
    <n v="30"/>
    <x v="0"/>
    <n v="0"/>
    <x v="0"/>
    <n v="0"/>
    <n v="0"/>
    <n v="0"/>
    <n v="179"/>
    <n v="179"/>
    <x v="1"/>
    <n v="131.5"/>
    <n v="81"/>
    <n v="24.99"/>
    <n v="24.99"/>
    <x v="1"/>
    <n v="64"/>
    <n v="64"/>
    <n v="68"/>
    <n v="68"/>
    <x v="0"/>
    <x v="0"/>
  </r>
  <r>
    <n v="1"/>
    <x v="1"/>
    <n v="37"/>
    <x v="0"/>
    <n v="3"/>
    <n v="3"/>
    <s v="Graduate"/>
    <x v="1"/>
    <n v="1"/>
    <n v="20"/>
    <n v="20"/>
    <x v="0"/>
    <n v="0"/>
    <x v="0"/>
    <n v="0"/>
    <n v="0"/>
    <n v="0"/>
    <n v="205"/>
    <n v="205"/>
    <x v="1"/>
    <n v="142"/>
    <n v="80"/>
    <n v="27.93"/>
    <n v="27.93"/>
    <x v="0"/>
    <n v="100"/>
    <n v="100"/>
    <n v="103"/>
    <n v="103"/>
    <x v="0"/>
    <x v="0"/>
  </r>
  <r>
    <n v="0"/>
    <x v="0"/>
    <n v="37"/>
    <x v="0"/>
    <n v="2"/>
    <n v="2"/>
    <s v="Secondary"/>
    <x v="0"/>
    <n v="0"/>
    <n v="0"/>
    <n v="0"/>
    <x v="1"/>
    <n v="0"/>
    <x v="0"/>
    <n v="0"/>
    <n v="0"/>
    <n v="0"/>
    <n v="217"/>
    <n v="217"/>
    <x v="1"/>
    <n v="126"/>
    <n v="80"/>
    <n v="25.91"/>
    <n v="25.91"/>
    <x v="0"/>
    <n v="75"/>
    <n v="75"/>
    <n v="62"/>
    <n v="62"/>
    <x v="0"/>
    <x v="0"/>
  </r>
  <r>
    <n v="1"/>
    <x v="1"/>
    <n v="37"/>
    <x v="0"/>
    <n v="3"/>
    <n v="3"/>
    <s v="Graduate"/>
    <x v="1"/>
    <n v="0"/>
    <n v="0"/>
    <n v="0"/>
    <x v="1"/>
    <n v="0"/>
    <x v="0"/>
    <n v="0"/>
    <n v="0"/>
    <n v="0"/>
    <n v="257"/>
    <n v="257"/>
    <x v="0"/>
    <n v="105"/>
    <n v="70"/>
    <n v="31.47"/>
    <n v="31.47"/>
    <x v="2"/>
    <n v="75"/>
    <n v="75"/>
    <n v="80"/>
    <n v="80"/>
    <x v="0"/>
    <x v="0"/>
  </r>
  <r>
    <n v="1"/>
    <x v="1"/>
    <n v="37"/>
    <x v="0"/>
    <n v="3"/>
    <n v="3"/>
    <s v="Graduate"/>
    <x v="1"/>
    <n v="1"/>
    <s v="NA"/>
    <n v="9"/>
    <x v="0"/>
    <n v="0"/>
    <x v="0"/>
    <n v="0"/>
    <n v="0"/>
    <n v="0"/>
    <n v="188"/>
    <n v="188"/>
    <x v="1"/>
    <n v="123.5"/>
    <n v="77"/>
    <n v="26.62"/>
    <n v="26.62"/>
    <x v="0"/>
    <n v="65"/>
    <n v="65"/>
    <n v="80"/>
    <n v="80"/>
    <x v="0"/>
    <x v="0"/>
  </r>
  <r>
    <n v="1"/>
    <x v="1"/>
    <n v="37"/>
    <x v="0"/>
    <n v="4"/>
    <n v="4"/>
    <s v="Post Graduate"/>
    <x v="3"/>
    <n v="0"/>
    <n v="0"/>
    <n v="0"/>
    <x v="1"/>
    <n v="0"/>
    <x v="0"/>
    <n v="0"/>
    <n v="0"/>
    <n v="0"/>
    <n v="253"/>
    <n v="253"/>
    <x v="0"/>
    <n v="122"/>
    <n v="81"/>
    <n v="27.98"/>
    <n v="27.98"/>
    <x v="0"/>
    <n v="75"/>
    <n v="75"/>
    <n v="93"/>
    <n v="93"/>
    <x v="0"/>
    <x v="0"/>
  </r>
  <r>
    <n v="0"/>
    <x v="0"/>
    <n v="37"/>
    <x v="0"/>
    <n v="1"/>
    <n v="1"/>
    <s v="Primary"/>
    <x v="2"/>
    <n v="0"/>
    <n v="0"/>
    <n v="0"/>
    <x v="1"/>
    <n v="0"/>
    <x v="0"/>
    <n v="0"/>
    <n v="0"/>
    <n v="0"/>
    <n v="184"/>
    <n v="184"/>
    <x v="1"/>
    <n v="137.5"/>
    <n v="88.5"/>
    <n v="16.48"/>
    <n v="16.48"/>
    <x v="3"/>
    <n v="100"/>
    <n v="100"/>
    <n v="68"/>
    <n v="68"/>
    <x v="0"/>
    <x v="0"/>
  </r>
  <r>
    <n v="0"/>
    <x v="0"/>
    <n v="37"/>
    <x v="0"/>
    <n v="4"/>
    <n v="4"/>
    <s v="Post Graduate"/>
    <x v="3"/>
    <n v="0"/>
    <n v="0"/>
    <n v="0"/>
    <x v="1"/>
    <n v="0"/>
    <x v="0"/>
    <n v="0"/>
    <n v="0"/>
    <n v="0"/>
    <n v="165"/>
    <n v="165"/>
    <x v="1"/>
    <n v="108"/>
    <n v="75"/>
    <n v="21.84"/>
    <n v="21.84"/>
    <x v="1"/>
    <n v="75"/>
    <n v="75"/>
    <n v="83"/>
    <n v="83"/>
    <x v="0"/>
    <x v="0"/>
  </r>
  <r>
    <n v="0"/>
    <x v="0"/>
    <n v="37"/>
    <x v="0"/>
    <n v="3"/>
    <n v="3"/>
    <s v="Graduate"/>
    <x v="1"/>
    <n v="1"/>
    <n v="20"/>
    <n v="20"/>
    <x v="0"/>
    <n v="0"/>
    <x v="0"/>
    <n v="0"/>
    <n v="0"/>
    <n v="0"/>
    <n v="254"/>
    <n v="254"/>
    <x v="0"/>
    <n v="119"/>
    <n v="62.5"/>
    <n v="28.78"/>
    <n v="28.78"/>
    <x v="0"/>
    <n v="70"/>
    <n v="70"/>
    <n v="69"/>
    <n v="69"/>
    <x v="0"/>
    <x v="0"/>
  </r>
  <r>
    <n v="1"/>
    <x v="1"/>
    <n v="37"/>
    <x v="0"/>
    <n v="4"/>
    <n v="4"/>
    <s v="Post Graduate"/>
    <x v="3"/>
    <n v="1"/>
    <n v="30"/>
    <n v="30"/>
    <x v="0"/>
    <n v="0"/>
    <x v="0"/>
    <n v="0"/>
    <n v="0"/>
    <n v="0"/>
    <n v="210"/>
    <n v="210"/>
    <x v="1"/>
    <n v="120"/>
    <n v="72"/>
    <n v="23.8"/>
    <n v="23.8"/>
    <x v="1"/>
    <n v="75"/>
    <n v="75"/>
    <n v="97"/>
    <n v="97"/>
    <x v="0"/>
    <x v="0"/>
  </r>
  <r>
    <n v="1"/>
    <x v="1"/>
    <n v="37"/>
    <x v="0"/>
    <n v="2"/>
    <n v="2"/>
    <s v="Secondary"/>
    <x v="0"/>
    <n v="1"/>
    <n v="30"/>
    <n v="30"/>
    <x v="0"/>
    <n v="0"/>
    <x v="0"/>
    <n v="0"/>
    <n v="0"/>
    <n v="0"/>
    <n v="249"/>
    <n v="249"/>
    <x v="0"/>
    <n v="112"/>
    <n v="70"/>
    <n v="22.79"/>
    <n v="22.79"/>
    <x v="1"/>
    <n v="56"/>
    <n v="56"/>
    <n v="76"/>
    <n v="76"/>
    <x v="0"/>
    <x v="0"/>
  </r>
  <r>
    <n v="0"/>
    <x v="0"/>
    <n v="37"/>
    <x v="0"/>
    <n v="1"/>
    <n v="1"/>
    <s v="Primary"/>
    <x v="2"/>
    <n v="0"/>
    <n v="0"/>
    <n v="0"/>
    <x v="1"/>
    <n v="0"/>
    <x v="0"/>
    <n v="0"/>
    <n v="0"/>
    <n v="0"/>
    <n v="192"/>
    <n v="192"/>
    <x v="1"/>
    <n v="112"/>
    <n v="67"/>
    <n v="24.61"/>
    <n v="24.61"/>
    <x v="1"/>
    <n v="80"/>
    <n v="80"/>
    <n v="58"/>
    <n v="58"/>
    <x v="0"/>
    <x v="0"/>
  </r>
  <r>
    <n v="0"/>
    <x v="0"/>
    <n v="37"/>
    <x v="0"/>
    <n v="1"/>
    <n v="1"/>
    <s v="Primary"/>
    <x v="2"/>
    <n v="0"/>
    <n v="0"/>
    <n v="0"/>
    <x v="1"/>
    <n v="0"/>
    <x v="0"/>
    <n v="0"/>
    <n v="0"/>
    <n v="0"/>
    <n v="209"/>
    <n v="209"/>
    <x v="1"/>
    <n v="110"/>
    <n v="77.5"/>
    <n v="17.93"/>
    <n v="17.93"/>
    <x v="3"/>
    <n v="77"/>
    <n v="77"/>
    <n v="80"/>
    <n v="80"/>
    <x v="0"/>
    <x v="0"/>
  </r>
  <r>
    <n v="1"/>
    <x v="1"/>
    <n v="37"/>
    <x v="0"/>
    <n v="2"/>
    <n v="2"/>
    <s v="Secondary"/>
    <x v="0"/>
    <n v="0"/>
    <n v="0"/>
    <n v="0"/>
    <x v="1"/>
    <n v="0"/>
    <x v="0"/>
    <n v="0"/>
    <n v="0"/>
    <n v="0"/>
    <n v="212"/>
    <n v="212"/>
    <x v="1"/>
    <n v="114.5"/>
    <n v="77"/>
    <n v="31.22"/>
    <n v="31.22"/>
    <x v="2"/>
    <n v="87"/>
    <n v="87"/>
    <n v="68"/>
    <n v="68"/>
    <x v="0"/>
    <x v="0"/>
  </r>
  <r>
    <n v="0"/>
    <x v="0"/>
    <n v="37"/>
    <x v="0"/>
    <n v="1"/>
    <n v="1"/>
    <s v="Primary"/>
    <x v="2"/>
    <n v="1"/>
    <n v="15"/>
    <n v="15"/>
    <x v="0"/>
    <n v="0"/>
    <x v="0"/>
    <n v="0"/>
    <n v="0"/>
    <n v="0"/>
    <n v="275"/>
    <n v="275"/>
    <x v="0"/>
    <n v="118"/>
    <n v="71"/>
    <n v="23.1"/>
    <n v="23.1"/>
    <x v="1"/>
    <n v="64"/>
    <n v="64"/>
    <n v="95"/>
    <n v="95"/>
    <x v="0"/>
    <x v="0"/>
  </r>
  <r>
    <n v="0"/>
    <x v="0"/>
    <n v="37"/>
    <x v="0"/>
    <n v="2"/>
    <n v="2"/>
    <s v="Secondary"/>
    <x v="0"/>
    <n v="1"/>
    <n v="20"/>
    <n v="20"/>
    <x v="0"/>
    <n v="0"/>
    <x v="0"/>
    <n v="0"/>
    <n v="0"/>
    <n v="0"/>
    <n v="257"/>
    <n v="257"/>
    <x v="0"/>
    <n v="141"/>
    <n v="93"/>
    <n v="41.29"/>
    <n v="41.29"/>
    <x v="2"/>
    <n v="80"/>
    <n v="80"/>
    <n v="58"/>
    <n v="58"/>
    <x v="0"/>
    <x v="0"/>
  </r>
  <r>
    <n v="1"/>
    <x v="1"/>
    <n v="37"/>
    <x v="0"/>
    <n v="4"/>
    <n v="4"/>
    <s v="Post Graduate"/>
    <x v="3"/>
    <n v="0"/>
    <n v="0"/>
    <n v="0"/>
    <x v="1"/>
    <n v="0"/>
    <x v="0"/>
    <n v="0"/>
    <n v="1"/>
    <n v="0"/>
    <n v="195"/>
    <n v="195"/>
    <x v="1"/>
    <n v="141"/>
    <n v="84"/>
    <n v="25.66"/>
    <n v="25.66"/>
    <x v="0"/>
    <n v="83"/>
    <n v="83"/>
    <n v="117"/>
    <n v="117"/>
    <x v="0"/>
    <x v="0"/>
  </r>
  <r>
    <n v="1"/>
    <x v="1"/>
    <n v="37"/>
    <x v="0"/>
    <n v="2"/>
    <n v="2"/>
    <s v="Secondary"/>
    <x v="0"/>
    <n v="0"/>
    <n v="0"/>
    <n v="0"/>
    <x v="1"/>
    <n v="0"/>
    <x v="0"/>
    <n v="0"/>
    <n v="0"/>
    <n v="0"/>
    <n v="228"/>
    <n v="228"/>
    <x v="1"/>
    <n v="113"/>
    <n v="83"/>
    <n v="24.81"/>
    <n v="24.81"/>
    <x v="1"/>
    <n v="58"/>
    <n v="58"/>
    <n v="73"/>
    <n v="73"/>
    <x v="0"/>
    <x v="0"/>
  </r>
  <r>
    <n v="0"/>
    <x v="0"/>
    <n v="37"/>
    <x v="0"/>
    <n v="2"/>
    <n v="2"/>
    <s v="Secondary"/>
    <x v="0"/>
    <n v="0"/>
    <n v="0"/>
    <n v="0"/>
    <x v="1"/>
    <n v="0"/>
    <x v="0"/>
    <n v="0"/>
    <n v="0"/>
    <n v="0"/>
    <n v="185"/>
    <n v="185"/>
    <x v="1"/>
    <n v="99"/>
    <n v="59"/>
    <n v="22.52"/>
    <n v="22.52"/>
    <x v="1"/>
    <n v="70"/>
    <n v="70"/>
    <n v="69"/>
    <n v="69"/>
    <x v="0"/>
    <x v="0"/>
  </r>
  <r>
    <n v="0"/>
    <x v="0"/>
    <n v="37"/>
    <x v="0"/>
    <n v="1"/>
    <n v="1"/>
    <s v="Primary"/>
    <x v="2"/>
    <n v="0"/>
    <n v="0"/>
    <n v="0"/>
    <x v="1"/>
    <n v="0"/>
    <x v="0"/>
    <n v="0"/>
    <n v="0"/>
    <n v="0"/>
    <n v="181"/>
    <n v="181"/>
    <x v="1"/>
    <n v="120.5"/>
    <n v="80"/>
    <n v="26.29"/>
    <n v="26.29"/>
    <x v="0"/>
    <n v="71"/>
    <n v="71"/>
    <n v="67"/>
    <n v="67"/>
    <x v="0"/>
    <x v="0"/>
  </r>
  <r>
    <n v="1"/>
    <x v="1"/>
    <n v="37"/>
    <x v="0"/>
    <n v="4"/>
    <n v="4"/>
    <s v="Post Graduate"/>
    <x v="3"/>
    <n v="1"/>
    <n v="30"/>
    <n v="30"/>
    <x v="0"/>
    <n v="0"/>
    <x v="0"/>
    <n v="0"/>
    <n v="0"/>
    <n v="0"/>
    <n v="170"/>
    <n v="170"/>
    <x v="1"/>
    <n v="111"/>
    <n v="74"/>
    <n v="26"/>
    <n v="26"/>
    <x v="0"/>
    <n v="80"/>
    <n v="80"/>
    <n v="67"/>
    <n v="67"/>
    <x v="0"/>
    <x v="0"/>
  </r>
  <r>
    <n v="1"/>
    <x v="1"/>
    <n v="37"/>
    <x v="0"/>
    <n v="2"/>
    <n v="2"/>
    <s v="Secondary"/>
    <x v="0"/>
    <n v="1"/>
    <n v="20"/>
    <n v="20"/>
    <x v="0"/>
    <n v="0"/>
    <x v="0"/>
    <n v="0"/>
    <n v="0"/>
    <n v="0"/>
    <n v="220"/>
    <n v="220"/>
    <x v="1"/>
    <n v="130"/>
    <n v="83"/>
    <n v="26.71"/>
    <n v="26.71"/>
    <x v="0"/>
    <n v="68"/>
    <n v="68"/>
    <s v="NA"/>
    <n v="81.96365524402907"/>
    <x v="0"/>
    <x v="0"/>
  </r>
  <r>
    <n v="1"/>
    <x v="1"/>
    <n v="37"/>
    <x v="0"/>
    <n v="1"/>
    <n v="1"/>
    <s v="Primary"/>
    <x v="2"/>
    <n v="1"/>
    <n v="30"/>
    <n v="30"/>
    <x v="0"/>
    <n v="0"/>
    <x v="0"/>
    <n v="0"/>
    <n v="0"/>
    <n v="0"/>
    <n v="189"/>
    <n v="189"/>
    <x v="1"/>
    <n v="127"/>
    <n v="85"/>
    <n v="32.35"/>
    <n v="32.35"/>
    <x v="2"/>
    <n v="88"/>
    <n v="88"/>
    <n v="84"/>
    <n v="84"/>
    <x v="0"/>
    <x v="0"/>
  </r>
  <r>
    <n v="0"/>
    <x v="0"/>
    <n v="37"/>
    <x v="0"/>
    <n v="1"/>
    <n v="1"/>
    <s v="Primary"/>
    <x v="2"/>
    <n v="1"/>
    <n v="9"/>
    <n v="9"/>
    <x v="0"/>
    <n v="0"/>
    <x v="0"/>
    <n v="0"/>
    <n v="0"/>
    <n v="0"/>
    <n v="205"/>
    <n v="205"/>
    <x v="1"/>
    <n v="111"/>
    <n v="60.5"/>
    <n v="21.8"/>
    <n v="21.8"/>
    <x v="1"/>
    <n v="65"/>
    <n v="65"/>
    <n v="82"/>
    <n v="82"/>
    <x v="0"/>
    <x v="0"/>
  </r>
  <r>
    <n v="1"/>
    <x v="1"/>
    <n v="37"/>
    <x v="0"/>
    <n v="1"/>
    <n v="1"/>
    <s v="Primary"/>
    <x v="2"/>
    <n v="1"/>
    <n v="20"/>
    <n v="20"/>
    <x v="0"/>
    <n v="0"/>
    <x v="0"/>
    <n v="0"/>
    <n v="0"/>
    <n v="0"/>
    <n v="315"/>
    <n v="315"/>
    <x v="0"/>
    <n v="118"/>
    <n v="79.5"/>
    <n v="22.52"/>
    <n v="22.52"/>
    <x v="1"/>
    <n v="82"/>
    <n v="82"/>
    <n v="70"/>
    <n v="70"/>
    <x v="0"/>
    <x v="0"/>
  </r>
  <r>
    <n v="1"/>
    <x v="1"/>
    <n v="37"/>
    <x v="0"/>
    <s v="NA"/>
    <n v="1"/>
    <s v="Primary"/>
    <x v="2"/>
    <n v="1"/>
    <n v="20"/>
    <n v="20"/>
    <x v="0"/>
    <n v="0"/>
    <x v="0"/>
    <n v="0"/>
    <n v="0"/>
    <n v="0"/>
    <n v="184"/>
    <n v="184"/>
    <x v="1"/>
    <n v="113"/>
    <n v="81"/>
    <n v="22.16"/>
    <n v="22.16"/>
    <x v="1"/>
    <n v="85"/>
    <n v="85"/>
    <n v="63"/>
    <n v="63"/>
    <x v="0"/>
    <x v="0"/>
  </r>
  <r>
    <n v="0"/>
    <x v="0"/>
    <n v="37"/>
    <x v="0"/>
    <n v="2"/>
    <n v="2"/>
    <s v="Secondary"/>
    <x v="0"/>
    <n v="0"/>
    <n v="0"/>
    <n v="0"/>
    <x v="1"/>
    <n v="0"/>
    <x v="0"/>
    <n v="0"/>
    <n v="0"/>
    <n v="0"/>
    <n v="160"/>
    <n v="160"/>
    <x v="1"/>
    <n v="137"/>
    <n v="82"/>
    <n v="21.03"/>
    <n v="21.03"/>
    <x v="1"/>
    <n v="94"/>
    <n v="94"/>
    <n v="113"/>
    <n v="113"/>
    <x v="0"/>
    <x v="0"/>
  </r>
  <r>
    <n v="0"/>
    <x v="0"/>
    <n v="37"/>
    <x v="0"/>
    <n v="3"/>
    <n v="3"/>
    <s v="Graduate"/>
    <x v="1"/>
    <n v="1"/>
    <n v="40"/>
    <n v="40"/>
    <x v="0"/>
    <n v="0"/>
    <x v="0"/>
    <n v="0"/>
    <n v="0"/>
    <n v="0"/>
    <n v="224"/>
    <n v="224"/>
    <x v="1"/>
    <n v="109"/>
    <n v="72"/>
    <n v="22.81"/>
    <n v="22.81"/>
    <x v="1"/>
    <n v="77"/>
    <n v="77"/>
    <n v="93"/>
    <n v="93"/>
    <x v="0"/>
    <x v="0"/>
  </r>
  <r>
    <n v="0"/>
    <x v="0"/>
    <n v="37"/>
    <x v="0"/>
    <n v="1"/>
    <n v="1"/>
    <s v="Primary"/>
    <x v="2"/>
    <n v="0"/>
    <n v="0"/>
    <n v="0"/>
    <x v="1"/>
    <n v="0"/>
    <x v="0"/>
    <n v="0"/>
    <n v="0"/>
    <n v="0"/>
    <n v="208"/>
    <n v="208"/>
    <x v="1"/>
    <n v="118.5"/>
    <n v="70"/>
    <n v="25.09"/>
    <n v="25.09"/>
    <x v="0"/>
    <n v="70"/>
    <n v="70"/>
    <n v="85"/>
    <n v="85"/>
    <x v="0"/>
    <x v="0"/>
  </r>
  <r>
    <n v="0"/>
    <x v="0"/>
    <n v="37"/>
    <x v="0"/>
    <n v="3"/>
    <n v="3"/>
    <s v="Graduate"/>
    <x v="1"/>
    <n v="1"/>
    <n v="15"/>
    <n v="15"/>
    <x v="0"/>
    <n v="0"/>
    <x v="0"/>
    <n v="0"/>
    <n v="0"/>
    <n v="0"/>
    <n v="173"/>
    <n v="173"/>
    <x v="1"/>
    <n v="101"/>
    <n v="69"/>
    <n v="20.02"/>
    <n v="20.02"/>
    <x v="1"/>
    <n v="63"/>
    <n v="63"/>
    <n v="73"/>
    <n v="73"/>
    <x v="0"/>
    <x v="0"/>
  </r>
  <r>
    <n v="0"/>
    <x v="0"/>
    <n v="38"/>
    <x v="0"/>
    <n v="2"/>
    <n v="2"/>
    <s v="Secondary"/>
    <x v="0"/>
    <n v="1"/>
    <n v="20"/>
    <n v="20"/>
    <x v="0"/>
    <n v="0"/>
    <x v="0"/>
    <n v="0"/>
    <n v="1"/>
    <n v="0"/>
    <n v="221"/>
    <n v="221"/>
    <x v="1"/>
    <n v="140"/>
    <n v="90"/>
    <n v="21.35"/>
    <n v="21.35"/>
    <x v="1"/>
    <n v="95"/>
    <n v="95"/>
    <n v="70"/>
    <n v="70"/>
    <x v="0"/>
    <x v="1"/>
  </r>
  <r>
    <n v="0"/>
    <x v="0"/>
    <n v="38"/>
    <x v="0"/>
    <n v="2"/>
    <n v="2"/>
    <s v="Secondary"/>
    <x v="0"/>
    <n v="1"/>
    <n v="5"/>
    <n v="5"/>
    <x v="0"/>
    <n v="0"/>
    <x v="0"/>
    <n v="0"/>
    <n v="0"/>
    <n v="0"/>
    <n v="195"/>
    <n v="195"/>
    <x v="1"/>
    <n v="122"/>
    <n v="84.5"/>
    <n v="23.24"/>
    <n v="23.24"/>
    <x v="1"/>
    <n v="75"/>
    <n v="75"/>
    <n v="78"/>
    <n v="78"/>
    <x v="0"/>
    <x v="0"/>
  </r>
  <r>
    <n v="1"/>
    <x v="1"/>
    <n v="38"/>
    <x v="0"/>
    <n v="1"/>
    <n v="1"/>
    <s v="Primary"/>
    <x v="2"/>
    <n v="1"/>
    <n v="20"/>
    <n v="20"/>
    <x v="0"/>
    <n v="0"/>
    <x v="0"/>
    <n v="0"/>
    <n v="0"/>
    <n v="0"/>
    <n v="223"/>
    <n v="223"/>
    <x v="1"/>
    <n v="107"/>
    <n v="73"/>
    <n v="23.01"/>
    <n v="23.01"/>
    <x v="1"/>
    <n v="65"/>
    <n v="65"/>
    <n v="78"/>
    <n v="78"/>
    <x v="0"/>
    <x v="0"/>
  </r>
  <r>
    <n v="1"/>
    <x v="1"/>
    <n v="38"/>
    <x v="0"/>
    <n v="4"/>
    <n v="4"/>
    <s v="Post Graduate"/>
    <x v="3"/>
    <n v="0"/>
    <n v="0"/>
    <n v="0"/>
    <x v="1"/>
    <n v="0"/>
    <x v="0"/>
    <n v="0"/>
    <n v="0"/>
    <n v="0"/>
    <n v="235"/>
    <n v="235"/>
    <x v="1"/>
    <n v="118"/>
    <n v="77"/>
    <n v="25.87"/>
    <n v="25.87"/>
    <x v="0"/>
    <n v="60"/>
    <n v="60"/>
    <n v="82"/>
    <n v="82"/>
    <x v="0"/>
    <x v="0"/>
  </r>
  <r>
    <n v="0"/>
    <x v="0"/>
    <n v="38"/>
    <x v="0"/>
    <n v="3"/>
    <n v="3"/>
    <s v="Graduate"/>
    <x v="1"/>
    <n v="1"/>
    <n v="3"/>
    <n v="3"/>
    <x v="0"/>
    <n v="1"/>
    <x v="1"/>
    <n v="0"/>
    <n v="1"/>
    <n v="0"/>
    <s v="NA"/>
    <n v="236.69952267303103"/>
    <x v="1"/>
    <n v="125"/>
    <n v="80"/>
    <n v="22.79"/>
    <n v="22.79"/>
    <x v="1"/>
    <n v="98"/>
    <n v="98"/>
    <s v="NA"/>
    <n v="81.96365524402907"/>
    <x v="0"/>
    <x v="0"/>
  </r>
  <r>
    <n v="1"/>
    <x v="1"/>
    <n v="38"/>
    <x v="0"/>
    <n v="2"/>
    <n v="2"/>
    <s v="Secondary"/>
    <x v="0"/>
    <n v="0"/>
    <n v="0"/>
    <n v="0"/>
    <x v="1"/>
    <n v="0"/>
    <x v="0"/>
    <n v="0"/>
    <n v="0"/>
    <n v="0"/>
    <n v="220"/>
    <n v="220"/>
    <x v="1"/>
    <n v="122"/>
    <n v="80.5"/>
    <n v="21.66"/>
    <n v="21.66"/>
    <x v="1"/>
    <n v="73"/>
    <n v="73"/>
    <n v="77"/>
    <n v="77"/>
    <x v="0"/>
    <x v="0"/>
  </r>
  <r>
    <n v="1"/>
    <x v="1"/>
    <n v="38"/>
    <x v="0"/>
    <n v="2"/>
    <n v="2"/>
    <s v="Secondary"/>
    <x v="0"/>
    <n v="1"/>
    <n v="20"/>
    <n v="20"/>
    <x v="0"/>
    <n v="0"/>
    <x v="0"/>
    <n v="0"/>
    <n v="1"/>
    <n v="0"/>
    <n v="253"/>
    <n v="253"/>
    <x v="0"/>
    <n v="133"/>
    <n v="92"/>
    <n v="28.82"/>
    <n v="28.82"/>
    <x v="0"/>
    <n v="80"/>
    <n v="80"/>
    <n v="63"/>
    <n v="63"/>
    <x v="0"/>
    <x v="1"/>
  </r>
  <r>
    <n v="0"/>
    <x v="0"/>
    <n v="38"/>
    <x v="0"/>
    <n v="2"/>
    <n v="2"/>
    <s v="Secondary"/>
    <x v="0"/>
    <n v="0"/>
    <n v="0"/>
    <n v="0"/>
    <x v="1"/>
    <n v="0"/>
    <x v="0"/>
    <n v="0"/>
    <n v="0"/>
    <n v="0"/>
    <n v="171"/>
    <n v="171"/>
    <x v="1"/>
    <n v="111"/>
    <n v="68"/>
    <n v="18.760000000000002"/>
    <n v="18.760000000000002"/>
    <x v="1"/>
    <n v="90"/>
    <n v="90"/>
    <n v="83"/>
    <n v="83"/>
    <x v="0"/>
    <x v="0"/>
  </r>
  <r>
    <n v="0"/>
    <x v="0"/>
    <n v="38"/>
    <x v="0"/>
    <n v="2"/>
    <n v="2"/>
    <s v="Secondary"/>
    <x v="0"/>
    <n v="1"/>
    <n v="9"/>
    <n v="9"/>
    <x v="0"/>
    <n v="0"/>
    <x v="0"/>
    <n v="0"/>
    <n v="0"/>
    <n v="0"/>
    <n v="180"/>
    <n v="180"/>
    <x v="1"/>
    <n v="124"/>
    <n v="66"/>
    <n v="29.29"/>
    <n v="29.29"/>
    <x v="0"/>
    <n v="85"/>
    <n v="85"/>
    <n v="68"/>
    <n v="68"/>
    <x v="0"/>
    <x v="0"/>
  </r>
  <r>
    <n v="1"/>
    <x v="1"/>
    <n v="38"/>
    <x v="0"/>
    <n v="1"/>
    <n v="1"/>
    <s v="Primary"/>
    <x v="2"/>
    <n v="1"/>
    <n v="20"/>
    <n v="20"/>
    <x v="0"/>
    <n v="0"/>
    <x v="0"/>
    <n v="0"/>
    <n v="0"/>
    <n v="0"/>
    <n v="268"/>
    <n v="268"/>
    <x v="0"/>
    <n v="117"/>
    <n v="83"/>
    <n v="33.61"/>
    <n v="33.61"/>
    <x v="2"/>
    <n v="72"/>
    <n v="72"/>
    <s v="NA"/>
    <n v="81.96365524402907"/>
    <x v="0"/>
    <x v="0"/>
  </r>
  <r>
    <n v="0"/>
    <x v="0"/>
    <n v="38"/>
    <x v="0"/>
    <n v="2"/>
    <n v="2"/>
    <s v="Secondary"/>
    <x v="0"/>
    <n v="0"/>
    <n v="0"/>
    <n v="0"/>
    <x v="1"/>
    <n v="0"/>
    <x v="0"/>
    <n v="0"/>
    <n v="0"/>
    <n v="0"/>
    <n v="186"/>
    <n v="186"/>
    <x v="1"/>
    <n v="105"/>
    <n v="57"/>
    <n v="21.1"/>
    <n v="21.1"/>
    <x v="1"/>
    <n v="85"/>
    <n v="85"/>
    <n v="68"/>
    <n v="68"/>
    <x v="0"/>
    <x v="0"/>
  </r>
  <r>
    <n v="1"/>
    <x v="1"/>
    <n v="38"/>
    <x v="0"/>
    <n v="1"/>
    <n v="1"/>
    <s v="Primary"/>
    <x v="2"/>
    <n v="0"/>
    <n v="0"/>
    <n v="0"/>
    <x v="1"/>
    <n v="0"/>
    <x v="0"/>
    <n v="0"/>
    <n v="0"/>
    <n v="0"/>
    <n v="319"/>
    <n v="319"/>
    <x v="0"/>
    <n v="121"/>
    <n v="86"/>
    <n v="29.77"/>
    <n v="29.77"/>
    <x v="0"/>
    <n v="72"/>
    <n v="72"/>
    <n v="77"/>
    <n v="77"/>
    <x v="0"/>
    <x v="0"/>
  </r>
  <r>
    <n v="0"/>
    <x v="0"/>
    <n v="38"/>
    <x v="0"/>
    <n v="3"/>
    <n v="3"/>
    <s v="Graduate"/>
    <x v="1"/>
    <n v="1"/>
    <n v="10"/>
    <n v="10"/>
    <x v="0"/>
    <n v="0"/>
    <x v="0"/>
    <n v="0"/>
    <n v="0"/>
    <n v="0"/>
    <n v="203"/>
    <n v="203"/>
    <x v="1"/>
    <n v="100"/>
    <n v="70"/>
    <n v="22.73"/>
    <n v="22.73"/>
    <x v="1"/>
    <n v="63"/>
    <n v="63"/>
    <n v="80"/>
    <n v="80"/>
    <x v="0"/>
    <x v="0"/>
  </r>
  <r>
    <n v="0"/>
    <x v="0"/>
    <n v="38"/>
    <x v="0"/>
    <n v="2"/>
    <n v="2"/>
    <s v="Secondary"/>
    <x v="0"/>
    <n v="1"/>
    <n v="15"/>
    <n v="15"/>
    <x v="0"/>
    <n v="0"/>
    <x v="0"/>
    <n v="0"/>
    <n v="0"/>
    <n v="0"/>
    <n v="176"/>
    <n v="176"/>
    <x v="1"/>
    <n v="110"/>
    <n v="80"/>
    <n v="24.03"/>
    <n v="24.03"/>
    <x v="1"/>
    <n v="100"/>
    <n v="100"/>
    <n v="113"/>
    <n v="113"/>
    <x v="0"/>
    <x v="0"/>
  </r>
  <r>
    <n v="1"/>
    <x v="1"/>
    <n v="38"/>
    <x v="0"/>
    <n v="4"/>
    <n v="4"/>
    <s v="Post Graduate"/>
    <x v="3"/>
    <n v="1"/>
    <n v="10"/>
    <n v="10"/>
    <x v="0"/>
    <n v="0"/>
    <x v="0"/>
    <n v="0"/>
    <n v="0"/>
    <n v="0"/>
    <n v="168"/>
    <n v="168"/>
    <x v="1"/>
    <n v="113"/>
    <n v="69.5"/>
    <n v="23.68"/>
    <n v="23.68"/>
    <x v="1"/>
    <n v="58"/>
    <n v="58"/>
    <s v="NA"/>
    <n v="81.96365524402907"/>
    <x v="0"/>
    <x v="1"/>
  </r>
  <r>
    <n v="1"/>
    <x v="1"/>
    <n v="38"/>
    <x v="0"/>
    <n v="2"/>
    <n v="2"/>
    <s v="Secondary"/>
    <x v="0"/>
    <n v="1"/>
    <n v="30"/>
    <n v="30"/>
    <x v="0"/>
    <n v="0"/>
    <x v="0"/>
    <n v="0"/>
    <n v="1"/>
    <n v="0"/>
    <n v="195"/>
    <n v="195"/>
    <x v="1"/>
    <n v="146"/>
    <n v="104"/>
    <n v="29.6"/>
    <n v="29.6"/>
    <x v="0"/>
    <n v="75"/>
    <n v="75"/>
    <n v="80"/>
    <n v="80"/>
    <x v="0"/>
    <x v="0"/>
  </r>
  <r>
    <n v="1"/>
    <x v="1"/>
    <n v="38"/>
    <x v="0"/>
    <n v="2"/>
    <n v="2"/>
    <s v="Secondary"/>
    <x v="0"/>
    <n v="1"/>
    <n v="40"/>
    <n v="40"/>
    <x v="0"/>
    <n v="0"/>
    <x v="0"/>
    <n v="0"/>
    <n v="1"/>
    <n v="0"/>
    <n v="245"/>
    <n v="245"/>
    <x v="0"/>
    <n v="154"/>
    <n v="95.5"/>
    <n v="30.02"/>
    <n v="30.02"/>
    <x v="2"/>
    <n v="92"/>
    <n v="92"/>
    <n v="87"/>
    <n v="87"/>
    <x v="0"/>
    <x v="0"/>
  </r>
  <r>
    <n v="0"/>
    <x v="0"/>
    <n v="38"/>
    <x v="0"/>
    <s v="NA"/>
    <n v="1"/>
    <s v="Primary"/>
    <x v="2"/>
    <n v="1"/>
    <n v="1"/>
    <n v="1"/>
    <x v="0"/>
    <n v="0"/>
    <x v="0"/>
    <n v="0"/>
    <n v="0"/>
    <n v="0"/>
    <n v="300"/>
    <n v="300"/>
    <x v="0"/>
    <n v="122"/>
    <n v="84"/>
    <n v="27.26"/>
    <n v="27.26"/>
    <x v="0"/>
    <n v="96"/>
    <n v="96"/>
    <n v="68"/>
    <n v="68"/>
    <x v="0"/>
    <x v="0"/>
  </r>
  <r>
    <n v="1"/>
    <x v="1"/>
    <n v="38"/>
    <x v="0"/>
    <s v="NA"/>
    <n v="1"/>
    <s v="Primary"/>
    <x v="2"/>
    <n v="1"/>
    <n v="25"/>
    <n v="25"/>
    <x v="0"/>
    <n v="0"/>
    <x v="0"/>
    <n v="0"/>
    <n v="1"/>
    <n v="0"/>
    <n v="210"/>
    <n v="210"/>
    <x v="1"/>
    <n v="145.5"/>
    <n v="87"/>
    <n v="24.67"/>
    <n v="24.67"/>
    <x v="1"/>
    <n v="72"/>
    <n v="72"/>
    <n v="89"/>
    <n v="89"/>
    <x v="0"/>
    <x v="0"/>
  </r>
  <r>
    <n v="0"/>
    <x v="0"/>
    <n v="38"/>
    <x v="0"/>
    <n v="3"/>
    <n v="3"/>
    <s v="Graduate"/>
    <x v="1"/>
    <n v="0"/>
    <n v="0"/>
    <n v="0"/>
    <x v="1"/>
    <n v="0"/>
    <x v="0"/>
    <n v="0"/>
    <n v="0"/>
    <n v="0"/>
    <n v="171"/>
    <n v="171"/>
    <x v="1"/>
    <n v="110"/>
    <n v="71"/>
    <n v="21.8"/>
    <n v="21.8"/>
    <x v="1"/>
    <n v="82"/>
    <n v="82"/>
    <n v="78"/>
    <n v="78"/>
    <x v="0"/>
    <x v="0"/>
  </r>
  <r>
    <n v="0"/>
    <x v="0"/>
    <n v="38"/>
    <x v="0"/>
    <n v="2"/>
    <n v="2"/>
    <s v="Secondary"/>
    <x v="0"/>
    <n v="0"/>
    <n v="0"/>
    <n v="0"/>
    <x v="1"/>
    <n v="0"/>
    <x v="0"/>
    <n v="0"/>
    <n v="0"/>
    <n v="0"/>
    <n v="227"/>
    <n v="227"/>
    <x v="1"/>
    <n v="117.5"/>
    <n v="77.5"/>
    <n v="30.24"/>
    <n v="30.24"/>
    <x v="2"/>
    <n v="85"/>
    <n v="85"/>
    <s v="NA"/>
    <n v="81.96365524402907"/>
    <x v="0"/>
    <x v="0"/>
  </r>
  <r>
    <n v="1"/>
    <x v="1"/>
    <n v="38"/>
    <x v="0"/>
    <n v="2"/>
    <n v="2"/>
    <s v="Secondary"/>
    <x v="0"/>
    <n v="0"/>
    <n v="0"/>
    <n v="0"/>
    <x v="1"/>
    <n v="0"/>
    <x v="0"/>
    <n v="0"/>
    <n v="0"/>
    <n v="0"/>
    <n v="208"/>
    <n v="208"/>
    <x v="1"/>
    <n v="121.5"/>
    <n v="74"/>
    <n v="27.05"/>
    <n v="27.05"/>
    <x v="0"/>
    <n v="53"/>
    <n v="53"/>
    <n v="90"/>
    <n v="90"/>
    <x v="0"/>
    <x v="0"/>
  </r>
  <r>
    <n v="1"/>
    <x v="1"/>
    <n v="38"/>
    <x v="0"/>
    <n v="1"/>
    <n v="1"/>
    <s v="Primary"/>
    <x v="2"/>
    <n v="1"/>
    <n v="10"/>
    <n v="10"/>
    <x v="0"/>
    <n v="0"/>
    <x v="0"/>
    <n v="0"/>
    <n v="0"/>
    <n v="0"/>
    <n v="219"/>
    <n v="219"/>
    <x v="1"/>
    <n v="115"/>
    <n v="71"/>
    <n v="24.58"/>
    <n v="24.58"/>
    <x v="1"/>
    <n v="65"/>
    <n v="65"/>
    <n v="93"/>
    <n v="93"/>
    <x v="0"/>
    <x v="0"/>
  </r>
  <r>
    <n v="1"/>
    <x v="1"/>
    <n v="38"/>
    <x v="0"/>
    <n v="2"/>
    <n v="2"/>
    <s v="Secondary"/>
    <x v="0"/>
    <n v="1"/>
    <n v="5"/>
    <n v="5"/>
    <x v="0"/>
    <n v="0"/>
    <x v="0"/>
    <n v="0"/>
    <n v="0"/>
    <n v="0"/>
    <n v="243"/>
    <n v="243"/>
    <x v="0"/>
    <n v="130.5"/>
    <n v="85.5"/>
    <n v="19.53"/>
    <n v="19.53"/>
    <x v="1"/>
    <n v="85"/>
    <n v="85"/>
    <n v="79"/>
    <n v="79"/>
    <x v="0"/>
    <x v="0"/>
  </r>
  <r>
    <n v="0"/>
    <x v="0"/>
    <n v="38"/>
    <x v="0"/>
    <n v="2"/>
    <n v="2"/>
    <s v="Secondary"/>
    <x v="0"/>
    <n v="1"/>
    <n v="20"/>
    <n v="20"/>
    <x v="0"/>
    <n v="0"/>
    <x v="0"/>
    <n v="0"/>
    <n v="0"/>
    <n v="0"/>
    <n v="229"/>
    <n v="229"/>
    <x v="1"/>
    <n v="117.5"/>
    <n v="67.5"/>
    <n v="23.47"/>
    <n v="23.47"/>
    <x v="1"/>
    <n v="78"/>
    <n v="78"/>
    <n v="80"/>
    <n v="80"/>
    <x v="0"/>
    <x v="0"/>
  </r>
  <r>
    <n v="1"/>
    <x v="1"/>
    <n v="38"/>
    <x v="0"/>
    <n v="2"/>
    <n v="2"/>
    <s v="Secondary"/>
    <x v="0"/>
    <n v="0"/>
    <n v="0"/>
    <n v="0"/>
    <x v="1"/>
    <n v="0"/>
    <x v="0"/>
    <n v="1"/>
    <n v="0"/>
    <n v="0"/>
    <n v="224"/>
    <n v="224"/>
    <x v="1"/>
    <n v="127.5"/>
    <n v="81"/>
    <n v="20.39"/>
    <n v="20.39"/>
    <x v="1"/>
    <n v="80"/>
    <n v="80"/>
    <n v="90"/>
    <n v="90"/>
    <x v="0"/>
    <x v="0"/>
  </r>
  <r>
    <n v="0"/>
    <x v="0"/>
    <n v="38"/>
    <x v="0"/>
    <n v="1"/>
    <n v="1"/>
    <s v="Primary"/>
    <x v="2"/>
    <n v="1"/>
    <n v="15"/>
    <n v="15"/>
    <x v="0"/>
    <n v="0"/>
    <x v="0"/>
    <n v="0"/>
    <n v="0"/>
    <n v="0"/>
    <n v="199"/>
    <n v="199"/>
    <x v="1"/>
    <n v="112"/>
    <n v="68.5"/>
    <n v="23.88"/>
    <n v="23.88"/>
    <x v="1"/>
    <n v="85"/>
    <n v="85"/>
    <n v="67"/>
    <n v="67"/>
    <x v="0"/>
    <x v="0"/>
  </r>
  <r>
    <n v="1"/>
    <x v="1"/>
    <n v="38"/>
    <x v="0"/>
    <n v="1"/>
    <n v="1"/>
    <s v="Primary"/>
    <x v="2"/>
    <n v="1"/>
    <n v="15"/>
    <n v="15"/>
    <x v="0"/>
    <n v="0"/>
    <x v="0"/>
    <n v="0"/>
    <n v="0"/>
    <n v="0"/>
    <n v="220"/>
    <n v="220"/>
    <x v="1"/>
    <n v="119.5"/>
    <n v="85.5"/>
    <n v="31.39"/>
    <n v="31.39"/>
    <x v="2"/>
    <n v="70"/>
    <n v="70"/>
    <n v="85"/>
    <n v="85"/>
    <x v="0"/>
    <x v="0"/>
  </r>
  <r>
    <n v="0"/>
    <x v="0"/>
    <n v="38"/>
    <x v="0"/>
    <s v="NA"/>
    <n v="1"/>
    <s v="Primary"/>
    <x v="2"/>
    <n v="1"/>
    <n v="20"/>
    <n v="20"/>
    <x v="0"/>
    <n v="0"/>
    <x v="0"/>
    <n v="0"/>
    <n v="0"/>
    <n v="0"/>
    <n v="199"/>
    <n v="199"/>
    <x v="1"/>
    <n v="117"/>
    <n v="78.5"/>
    <n v="18.18"/>
    <n v="18.18"/>
    <x v="3"/>
    <n v="90"/>
    <n v="90"/>
    <n v="73"/>
    <n v="73"/>
    <x v="0"/>
    <x v="0"/>
  </r>
  <r>
    <n v="0"/>
    <x v="0"/>
    <n v="38"/>
    <x v="0"/>
    <n v="2"/>
    <n v="2"/>
    <s v="Secondary"/>
    <x v="0"/>
    <n v="1"/>
    <n v="1"/>
    <n v="1"/>
    <x v="0"/>
    <n v="0"/>
    <x v="0"/>
    <n v="0"/>
    <n v="0"/>
    <n v="0"/>
    <n v="200"/>
    <n v="200"/>
    <x v="1"/>
    <n v="124"/>
    <n v="84"/>
    <n v="20.67"/>
    <n v="20.67"/>
    <x v="1"/>
    <n v="80"/>
    <n v="80"/>
    <n v="75"/>
    <n v="75"/>
    <x v="0"/>
    <x v="0"/>
  </r>
  <r>
    <n v="0"/>
    <x v="0"/>
    <n v="38"/>
    <x v="0"/>
    <s v="NA"/>
    <n v="1"/>
    <s v="Primary"/>
    <x v="2"/>
    <n v="1"/>
    <n v="5"/>
    <n v="5"/>
    <x v="0"/>
    <n v="0"/>
    <x v="0"/>
    <n v="0"/>
    <n v="0"/>
    <n v="0"/>
    <n v="190"/>
    <n v="190"/>
    <x v="1"/>
    <n v="121"/>
    <n v="79"/>
    <n v="25.59"/>
    <n v="25.59"/>
    <x v="0"/>
    <n v="90"/>
    <n v="90"/>
    <n v="84"/>
    <n v="84"/>
    <x v="0"/>
    <x v="0"/>
  </r>
  <r>
    <n v="0"/>
    <x v="0"/>
    <n v="38"/>
    <x v="0"/>
    <n v="2"/>
    <n v="2"/>
    <s v="Secondary"/>
    <x v="0"/>
    <n v="1"/>
    <n v="9"/>
    <n v="9"/>
    <x v="0"/>
    <n v="0"/>
    <x v="0"/>
    <n v="0"/>
    <n v="0"/>
    <n v="0"/>
    <n v="196"/>
    <n v="196"/>
    <x v="1"/>
    <n v="127"/>
    <n v="80"/>
    <n v="24.6"/>
    <n v="24.6"/>
    <x v="1"/>
    <n v="74"/>
    <n v="74"/>
    <s v="NA"/>
    <n v="81.96365524402907"/>
    <x v="0"/>
    <x v="0"/>
  </r>
  <r>
    <n v="1"/>
    <x v="1"/>
    <n v="38"/>
    <x v="0"/>
    <n v="2"/>
    <n v="2"/>
    <s v="Secondary"/>
    <x v="0"/>
    <n v="1"/>
    <n v="20"/>
    <n v="20"/>
    <x v="0"/>
    <n v="0"/>
    <x v="0"/>
    <n v="0"/>
    <n v="0"/>
    <n v="0"/>
    <n v="180"/>
    <n v="180"/>
    <x v="1"/>
    <n v="123"/>
    <n v="69"/>
    <n v="22.7"/>
    <n v="22.7"/>
    <x v="1"/>
    <n v="72"/>
    <n v="72"/>
    <n v="70"/>
    <n v="70"/>
    <x v="0"/>
    <x v="0"/>
  </r>
  <r>
    <n v="0"/>
    <x v="0"/>
    <n v="38"/>
    <x v="0"/>
    <n v="3"/>
    <n v="3"/>
    <s v="Graduate"/>
    <x v="1"/>
    <n v="1"/>
    <n v="15"/>
    <n v="15"/>
    <x v="0"/>
    <n v="0"/>
    <x v="0"/>
    <n v="0"/>
    <n v="0"/>
    <n v="0"/>
    <n v="215"/>
    <n v="215"/>
    <x v="1"/>
    <n v="129.5"/>
    <n v="85.5"/>
    <n v="24.24"/>
    <n v="24.24"/>
    <x v="1"/>
    <n v="75"/>
    <n v="75"/>
    <s v="NA"/>
    <n v="81.96365524402907"/>
    <x v="0"/>
    <x v="0"/>
  </r>
  <r>
    <n v="1"/>
    <x v="1"/>
    <n v="38"/>
    <x v="0"/>
    <n v="1"/>
    <n v="1"/>
    <s v="Primary"/>
    <x v="2"/>
    <n v="1"/>
    <n v="15"/>
    <n v="15"/>
    <x v="0"/>
    <n v="0"/>
    <x v="0"/>
    <n v="0"/>
    <n v="0"/>
    <n v="0"/>
    <n v="180"/>
    <n v="180"/>
    <x v="1"/>
    <n v="111"/>
    <n v="61"/>
    <n v="21.51"/>
    <n v="21.51"/>
    <x v="1"/>
    <n v="66"/>
    <n v="66"/>
    <n v="75"/>
    <n v="75"/>
    <x v="0"/>
    <x v="0"/>
  </r>
  <r>
    <n v="1"/>
    <x v="1"/>
    <n v="38"/>
    <x v="0"/>
    <n v="2"/>
    <n v="2"/>
    <s v="Secondary"/>
    <x v="0"/>
    <n v="1"/>
    <n v="20"/>
    <n v="20"/>
    <x v="0"/>
    <n v="0"/>
    <x v="0"/>
    <n v="0"/>
    <n v="1"/>
    <n v="0"/>
    <n v="309"/>
    <n v="309"/>
    <x v="0"/>
    <n v="148"/>
    <n v="109"/>
    <n v="30.85"/>
    <n v="30.85"/>
    <x v="2"/>
    <n v="95"/>
    <n v="95"/>
    <s v="NA"/>
    <n v="81.96365524402907"/>
    <x v="0"/>
    <x v="0"/>
  </r>
  <r>
    <n v="1"/>
    <x v="1"/>
    <n v="38"/>
    <x v="0"/>
    <n v="2"/>
    <n v="2"/>
    <s v="Secondary"/>
    <x v="0"/>
    <n v="0"/>
    <n v="0"/>
    <n v="0"/>
    <x v="1"/>
    <n v="0"/>
    <x v="0"/>
    <n v="0"/>
    <n v="0"/>
    <n v="0"/>
    <n v="209"/>
    <n v="209"/>
    <x v="1"/>
    <n v="137"/>
    <n v="82.5"/>
    <n v="26.69"/>
    <n v="26.69"/>
    <x v="0"/>
    <n v="62"/>
    <n v="62"/>
    <n v="84"/>
    <n v="84"/>
    <x v="0"/>
    <x v="0"/>
  </r>
  <r>
    <n v="0"/>
    <x v="0"/>
    <n v="38"/>
    <x v="0"/>
    <n v="3"/>
    <n v="3"/>
    <s v="Graduate"/>
    <x v="1"/>
    <n v="0"/>
    <n v="0"/>
    <n v="0"/>
    <x v="1"/>
    <n v="0"/>
    <x v="0"/>
    <n v="0"/>
    <n v="0"/>
    <n v="0"/>
    <n v="171"/>
    <n v="171"/>
    <x v="1"/>
    <n v="125.5"/>
    <n v="86"/>
    <n v="26.57"/>
    <n v="26.57"/>
    <x v="0"/>
    <n v="75"/>
    <n v="75"/>
    <n v="71"/>
    <n v="71"/>
    <x v="0"/>
    <x v="0"/>
  </r>
  <r>
    <n v="0"/>
    <x v="0"/>
    <n v="38"/>
    <x v="0"/>
    <n v="4"/>
    <n v="4"/>
    <s v="Post Graduate"/>
    <x v="3"/>
    <n v="0"/>
    <n v="0"/>
    <n v="0"/>
    <x v="1"/>
    <n v="0"/>
    <x v="0"/>
    <n v="0"/>
    <n v="0"/>
    <n v="0"/>
    <n v="220"/>
    <n v="220"/>
    <x v="1"/>
    <n v="107"/>
    <n v="73.5"/>
    <n v="23.09"/>
    <n v="23.09"/>
    <x v="1"/>
    <n v="61"/>
    <n v="61"/>
    <n v="80"/>
    <n v="80"/>
    <x v="0"/>
    <x v="0"/>
  </r>
  <r>
    <n v="0"/>
    <x v="0"/>
    <n v="38"/>
    <x v="0"/>
    <n v="3"/>
    <n v="3"/>
    <s v="Graduate"/>
    <x v="1"/>
    <n v="0"/>
    <n v="0"/>
    <n v="0"/>
    <x v="1"/>
    <n v="0"/>
    <x v="0"/>
    <n v="0"/>
    <n v="0"/>
    <n v="0"/>
    <n v="174"/>
    <n v="174"/>
    <x v="1"/>
    <n v="101"/>
    <n v="68"/>
    <n v="27.47"/>
    <n v="27.47"/>
    <x v="0"/>
    <n v="85"/>
    <n v="85"/>
    <s v="NA"/>
    <n v="81.96365524402907"/>
    <x v="0"/>
    <x v="0"/>
  </r>
  <r>
    <n v="0"/>
    <x v="0"/>
    <n v="38"/>
    <x v="0"/>
    <n v="2"/>
    <n v="2"/>
    <s v="Secondary"/>
    <x v="0"/>
    <n v="0"/>
    <n v="0"/>
    <n v="0"/>
    <x v="1"/>
    <n v="0"/>
    <x v="0"/>
    <n v="0"/>
    <n v="0"/>
    <n v="0"/>
    <n v="239"/>
    <n v="239"/>
    <x v="1"/>
    <n v="128"/>
    <n v="84.5"/>
    <n v="33.49"/>
    <n v="33.49"/>
    <x v="2"/>
    <n v="75"/>
    <n v="75"/>
    <n v="80"/>
    <n v="80"/>
    <x v="0"/>
    <x v="0"/>
  </r>
  <r>
    <n v="1"/>
    <x v="1"/>
    <n v="38"/>
    <x v="0"/>
    <n v="2"/>
    <n v="2"/>
    <s v="Secondary"/>
    <x v="0"/>
    <n v="1"/>
    <n v="43"/>
    <n v="43"/>
    <x v="0"/>
    <n v="0"/>
    <x v="0"/>
    <n v="0"/>
    <n v="1"/>
    <n v="0"/>
    <n v="170"/>
    <n v="170"/>
    <x v="1"/>
    <n v="130"/>
    <n v="94"/>
    <n v="23.9"/>
    <n v="23.9"/>
    <x v="1"/>
    <n v="110"/>
    <n v="110"/>
    <n v="75"/>
    <n v="75"/>
    <x v="0"/>
    <x v="0"/>
  </r>
  <r>
    <n v="0"/>
    <x v="0"/>
    <n v="38"/>
    <x v="0"/>
    <n v="2"/>
    <n v="2"/>
    <s v="Secondary"/>
    <x v="0"/>
    <n v="1"/>
    <n v="10"/>
    <n v="10"/>
    <x v="0"/>
    <n v="0"/>
    <x v="0"/>
    <n v="0"/>
    <n v="0"/>
    <n v="0"/>
    <n v="155"/>
    <n v="155"/>
    <x v="1"/>
    <n v="96"/>
    <n v="61"/>
    <n v="24.19"/>
    <n v="24.19"/>
    <x v="1"/>
    <n v="60"/>
    <n v="60"/>
    <n v="68"/>
    <n v="68"/>
    <x v="0"/>
    <x v="0"/>
  </r>
  <r>
    <n v="0"/>
    <x v="0"/>
    <n v="38"/>
    <x v="0"/>
    <n v="2"/>
    <n v="2"/>
    <s v="Secondary"/>
    <x v="0"/>
    <n v="1"/>
    <n v="9"/>
    <n v="9"/>
    <x v="0"/>
    <n v="0"/>
    <x v="0"/>
    <n v="0"/>
    <n v="0"/>
    <n v="0"/>
    <n v="160"/>
    <n v="160"/>
    <x v="1"/>
    <n v="102.5"/>
    <n v="67.5"/>
    <n v="21.16"/>
    <n v="21.16"/>
    <x v="1"/>
    <n v="90"/>
    <n v="90"/>
    <n v="68"/>
    <n v="68"/>
    <x v="0"/>
    <x v="0"/>
  </r>
  <r>
    <n v="1"/>
    <x v="1"/>
    <n v="38"/>
    <x v="0"/>
    <n v="3"/>
    <n v="3"/>
    <s v="Graduate"/>
    <x v="1"/>
    <n v="0"/>
    <n v="0"/>
    <n v="0"/>
    <x v="1"/>
    <n v="0"/>
    <x v="0"/>
    <n v="0"/>
    <n v="1"/>
    <n v="0"/>
    <n v="252"/>
    <n v="252"/>
    <x v="0"/>
    <n v="125"/>
    <n v="92"/>
    <n v="24.72"/>
    <n v="24.72"/>
    <x v="1"/>
    <n v="60"/>
    <n v="60"/>
    <n v="69"/>
    <n v="69"/>
    <x v="0"/>
    <x v="0"/>
  </r>
  <r>
    <n v="1"/>
    <x v="1"/>
    <n v="38"/>
    <x v="0"/>
    <n v="2"/>
    <n v="2"/>
    <s v="Secondary"/>
    <x v="0"/>
    <n v="1"/>
    <n v="15"/>
    <n v="15"/>
    <x v="0"/>
    <n v="0"/>
    <x v="0"/>
    <n v="0"/>
    <n v="0"/>
    <n v="0"/>
    <n v="233"/>
    <n v="233"/>
    <x v="1"/>
    <n v="137"/>
    <n v="75"/>
    <n v="20.55"/>
    <n v="20.55"/>
    <x v="1"/>
    <n v="100"/>
    <n v="100"/>
    <n v="107"/>
    <n v="107"/>
    <x v="0"/>
    <x v="0"/>
  </r>
  <r>
    <n v="1"/>
    <x v="1"/>
    <n v="38"/>
    <x v="0"/>
    <n v="2"/>
    <n v="2"/>
    <s v="Secondary"/>
    <x v="0"/>
    <n v="0"/>
    <n v="0"/>
    <n v="0"/>
    <x v="1"/>
    <n v="0"/>
    <x v="0"/>
    <n v="0"/>
    <n v="1"/>
    <n v="0"/>
    <n v="199"/>
    <n v="199"/>
    <x v="1"/>
    <n v="135"/>
    <n v="90"/>
    <n v="32.19"/>
    <n v="32.19"/>
    <x v="2"/>
    <n v="67"/>
    <n v="67"/>
    <n v="85"/>
    <n v="85"/>
    <x v="0"/>
    <x v="0"/>
  </r>
  <r>
    <n v="0"/>
    <x v="0"/>
    <n v="38"/>
    <x v="0"/>
    <n v="2"/>
    <n v="2"/>
    <s v="Secondary"/>
    <x v="0"/>
    <n v="0"/>
    <n v="0"/>
    <n v="0"/>
    <x v="1"/>
    <n v="0"/>
    <x v="0"/>
    <n v="0"/>
    <n v="0"/>
    <n v="0"/>
    <n v="287"/>
    <n v="287"/>
    <x v="0"/>
    <n v="113"/>
    <n v="80"/>
    <n v="24.56"/>
    <n v="24.56"/>
    <x v="1"/>
    <n v="100"/>
    <n v="100"/>
    <n v="75"/>
    <n v="75"/>
    <x v="0"/>
    <x v="0"/>
  </r>
  <r>
    <n v="1"/>
    <x v="1"/>
    <n v="38"/>
    <x v="0"/>
    <n v="1"/>
    <n v="1"/>
    <s v="Primary"/>
    <x v="2"/>
    <n v="0"/>
    <n v="0"/>
    <n v="0"/>
    <x v="1"/>
    <n v="0"/>
    <x v="0"/>
    <n v="0"/>
    <n v="0"/>
    <n v="0"/>
    <n v="198"/>
    <n v="198"/>
    <x v="1"/>
    <n v="119"/>
    <n v="73"/>
    <n v="30.27"/>
    <n v="30.27"/>
    <x v="2"/>
    <n v="68"/>
    <n v="68"/>
    <n v="70"/>
    <n v="70"/>
    <x v="0"/>
    <x v="0"/>
  </r>
  <r>
    <n v="0"/>
    <x v="0"/>
    <n v="38"/>
    <x v="0"/>
    <n v="3"/>
    <n v="3"/>
    <s v="Graduate"/>
    <x v="1"/>
    <n v="1"/>
    <n v="5"/>
    <n v="5"/>
    <x v="0"/>
    <n v="0"/>
    <x v="0"/>
    <n v="0"/>
    <n v="0"/>
    <n v="0"/>
    <n v="187"/>
    <n v="187"/>
    <x v="1"/>
    <n v="118"/>
    <n v="78"/>
    <n v="30.06"/>
    <n v="30.06"/>
    <x v="2"/>
    <n v="64"/>
    <n v="64"/>
    <n v="63"/>
    <n v="63"/>
    <x v="0"/>
    <x v="0"/>
  </r>
  <r>
    <n v="0"/>
    <x v="0"/>
    <n v="38"/>
    <x v="0"/>
    <n v="2"/>
    <n v="2"/>
    <s v="Secondary"/>
    <x v="0"/>
    <n v="1"/>
    <n v="7"/>
    <n v="7"/>
    <x v="0"/>
    <n v="0"/>
    <x v="0"/>
    <n v="0"/>
    <n v="0"/>
    <n v="0"/>
    <n v="160"/>
    <n v="160"/>
    <x v="1"/>
    <n v="95"/>
    <n v="65"/>
    <n v="21.99"/>
    <n v="21.99"/>
    <x v="1"/>
    <n v="72"/>
    <n v="72"/>
    <n v="77"/>
    <n v="77"/>
    <x v="0"/>
    <x v="0"/>
  </r>
  <r>
    <n v="1"/>
    <x v="1"/>
    <n v="38"/>
    <x v="0"/>
    <n v="1"/>
    <n v="1"/>
    <s v="Primary"/>
    <x v="2"/>
    <n v="1"/>
    <n v="30"/>
    <n v="30"/>
    <x v="0"/>
    <n v="0"/>
    <x v="0"/>
    <n v="0"/>
    <n v="1"/>
    <n v="0"/>
    <n v="239"/>
    <n v="239"/>
    <x v="1"/>
    <n v="141"/>
    <n v="98"/>
    <n v="27.8"/>
    <n v="27.8"/>
    <x v="0"/>
    <n v="90"/>
    <n v="90"/>
    <n v="85"/>
    <n v="85"/>
    <x v="0"/>
    <x v="0"/>
  </r>
  <r>
    <n v="1"/>
    <x v="1"/>
    <n v="38"/>
    <x v="0"/>
    <n v="3"/>
    <n v="3"/>
    <s v="Graduate"/>
    <x v="1"/>
    <n v="1"/>
    <n v="20"/>
    <n v="20"/>
    <x v="0"/>
    <n v="0"/>
    <x v="0"/>
    <n v="0"/>
    <n v="0"/>
    <n v="0"/>
    <n v="250"/>
    <n v="250"/>
    <x v="0"/>
    <n v="118"/>
    <n v="80"/>
    <n v="31.22"/>
    <n v="31.22"/>
    <x v="2"/>
    <n v="95"/>
    <n v="95"/>
    <s v="NA"/>
    <n v="81.96365524402907"/>
    <x v="0"/>
    <x v="0"/>
  </r>
  <r>
    <n v="0"/>
    <x v="0"/>
    <n v="38"/>
    <x v="0"/>
    <n v="2"/>
    <n v="2"/>
    <s v="Secondary"/>
    <x v="0"/>
    <n v="0"/>
    <n v="0"/>
    <n v="0"/>
    <x v="1"/>
    <n v="0"/>
    <x v="0"/>
    <n v="0"/>
    <n v="0"/>
    <n v="0"/>
    <n v="255"/>
    <n v="255"/>
    <x v="0"/>
    <n v="125"/>
    <n v="85"/>
    <n v="23.05"/>
    <n v="23.05"/>
    <x v="1"/>
    <n v="72"/>
    <n v="72"/>
    <n v="73"/>
    <n v="73"/>
    <x v="0"/>
    <x v="0"/>
  </r>
  <r>
    <n v="1"/>
    <x v="1"/>
    <n v="38"/>
    <x v="0"/>
    <n v="1"/>
    <n v="1"/>
    <s v="Primary"/>
    <x v="2"/>
    <n v="1"/>
    <n v="9"/>
    <n v="9"/>
    <x v="0"/>
    <n v="0"/>
    <x v="0"/>
    <n v="0"/>
    <n v="0"/>
    <n v="0"/>
    <n v="274"/>
    <n v="274"/>
    <x v="0"/>
    <n v="120"/>
    <n v="80"/>
    <n v="25.17"/>
    <n v="25.17"/>
    <x v="0"/>
    <n v="80"/>
    <n v="80"/>
    <n v="68"/>
    <n v="68"/>
    <x v="0"/>
    <x v="0"/>
  </r>
  <r>
    <n v="0"/>
    <x v="0"/>
    <n v="38"/>
    <x v="0"/>
    <n v="2"/>
    <n v="2"/>
    <s v="Secondary"/>
    <x v="0"/>
    <n v="1"/>
    <n v="12"/>
    <n v="12"/>
    <x v="0"/>
    <n v="0"/>
    <x v="0"/>
    <n v="0"/>
    <n v="0"/>
    <n v="0"/>
    <n v="209"/>
    <n v="209"/>
    <x v="1"/>
    <n v="122.5"/>
    <n v="76.5"/>
    <n v="24.51"/>
    <n v="24.51"/>
    <x v="1"/>
    <n v="90"/>
    <n v="90"/>
    <n v="73"/>
    <n v="73"/>
    <x v="0"/>
    <x v="0"/>
  </r>
  <r>
    <n v="0"/>
    <x v="0"/>
    <n v="38"/>
    <x v="0"/>
    <n v="2"/>
    <n v="2"/>
    <s v="Secondary"/>
    <x v="0"/>
    <n v="1"/>
    <n v="30"/>
    <n v="30"/>
    <x v="0"/>
    <n v="0"/>
    <x v="0"/>
    <n v="0"/>
    <n v="0"/>
    <n v="0"/>
    <n v="255"/>
    <n v="255"/>
    <x v="0"/>
    <n v="123.5"/>
    <n v="84.5"/>
    <n v="25.33"/>
    <n v="25.33"/>
    <x v="0"/>
    <n v="77"/>
    <n v="77"/>
    <n v="88"/>
    <n v="88"/>
    <x v="0"/>
    <x v="0"/>
  </r>
  <r>
    <n v="1"/>
    <x v="1"/>
    <n v="38"/>
    <x v="0"/>
    <n v="2"/>
    <n v="2"/>
    <s v="Secondary"/>
    <x v="0"/>
    <n v="1"/>
    <n v="43"/>
    <n v="43"/>
    <x v="0"/>
    <n v="0"/>
    <x v="0"/>
    <n v="0"/>
    <n v="1"/>
    <n v="0"/>
    <n v="265"/>
    <n v="265"/>
    <x v="0"/>
    <n v="129"/>
    <n v="85"/>
    <n v="31.61"/>
    <n v="31.61"/>
    <x v="2"/>
    <n v="68"/>
    <n v="68"/>
    <n v="68"/>
    <n v="68"/>
    <x v="0"/>
    <x v="0"/>
  </r>
  <r>
    <n v="1"/>
    <x v="1"/>
    <n v="38"/>
    <x v="0"/>
    <n v="2"/>
    <n v="2"/>
    <s v="Secondary"/>
    <x v="0"/>
    <n v="1"/>
    <n v="20"/>
    <n v="20"/>
    <x v="0"/>
    <n v="0"/>
    <x v="0"/>
    <n v="0"/>
    <n v="0"/>
    <n v="0"/>
    <n v="268"/>
    <n v="268"/>
    <x v="0"/>
    <n v="134"/>
    <n v="78"/>
    <n v="31.62"/>
    <n v="31.62"/>
    <x v="2"/>
    <n v="80"/>
    <n v="80"/>
    <s v="NA"/>
    <n v="81.96365524402907"/>
    <x v="0"/>
    <x v="0"/>
  </r>
  <r>
    <n v="0"/>
    <x v="0"/>
    <n v="38"/>
    <x v="0"/>
    <n v="2"/>
    <n v="2"/>
    <s v="Secondary"/>
    <x v="0"/>
    <n v="1"/>
    <n v="9"/>
    <n v="9"/>
    <x v="0"/>
    <n v="0"/>
    <x v="0"/>
    <n v="0"/>
    <n v="0"/>
    <n v="0"/>
    <n v="266"/>
    <n v="266"/>
    <x v="0"/>
    <n v="118"/>
    <n v="75"/>
    <n v="21.79"/>
    <n v="21.79"/>
    <x v="1"/>
    <n v="85"/>
    <n v="85"/>
    <s v="NA"/>
    <n v="81.96365524402907"/>
    <x v="0"/>
    <x v="0"/>
  </r>
  <r>
    <n v="1"/>
    <x v="1"/>
    <n v="38"/>
    <x v="0"/>
    <n v="2"/>
    <n v="2"/>
    <s v="Secondary"/>
    <x v="0"/>
    <n v="1"/>
    <n v="20"/>
    <n v="20"/>
    <x v="0"/>
    <n v="0"/>
    <x v="0"/>
    <n v="0"/>
    <n v="0"/>
    <n v="0"/>
    <n v="279"/>
    <n v="279"/>
    <x v="0"/>
    <n v="124"/>
    <n v="87"/>
    <n v="26.68"/>
    <n v="26.68"/>
    <x v="0"/>
    <n v="76"/>
    <n v="76"/>
    <n v="75"/>
    <n v="75"/>
    <x v="0"/>
    <x v="0"/>
  </r>
  <r>
    <n v="0"/>
    <x v="0"/>
    <n v="38"/>
    <x v="0"/>
    <n v="1"/>
    <n v="1"/>
    <s v="Primary"/>
    <x v="2"/>
    <n v="0"/>
    <n v="0"/>
    <n v="0"/>
    <x v="1"/>
    <n v="0"/>
    <x v="0"/>
    <n v="0"/>
    <n v="0"/>
    <n v="0"/>
    <n v="293"/>
    <n v="293"/>
    <x v="0"/>
    <n v="124"/>
    <n v="78"/>
    <n v="23.66"/>
    <n v="23.66"/>
    <x v="1"/>
    <n v="78"/>
    <n v="78"/>
    <n v="76"/>
    <n v="76"/>
    <x v="0"/>
    <x v="0"/>
  </r>
  <r>
    <n v="0"/>
    <x v="0"/>
    <n v="38"/>
    <x v="0"/>
    <n v="3"/>
    <n v="3"/>
    <s v="Graduate"/>
    <x v="1"/>
    <n v="1"/>
    <n v="5"/>
    <n v="5"/>
    <x v="0"/>
    <n v="0"/>
    <x v="0"/>
    <n v="0"/>
    <n v="0"/>
    <n v="0"/>
    <n v="192"/>
    <n v="192"/>
    <x v="1"/>
    <n v="130"/>
    <n v="80"/>
    <n v="27.51"/>
    <n v="27.51"/>
    <x v="0"/>
    <n v="75"/>
    <n v="75"/>
    <n v="90"/>
    <n v="90"/>
    <x v="0"/>
    <x v="0"/>
  </r>
  <r>
    <n v="0"/>
    <x v="0"/>
    <n v="38"/>
    <x v="0"/>
    <n v="1"/>
    <n v="1"/>
    <s v="Primary"/>
    <x v="2"/>
    <n v="1"/>
    <n v="10"/>
    <n v="10"/>
    <x v="0"/>
    <n v="0"/>
    <x v="0"/>
    <n v="0"/>
    <n v="0"/>
    <n v="0"/>
    <n v="212"/>
    <n v="212"/>
    <x v="1"/>
    <n v="107"/>
    <n v="67.5"/>
    <n v="20.399999999999999"/>
    <n v="20.399999999999999"/>
    <x v="1"/>
    <n v="110"/>
    <n v="110"/>
    <n v="87"/>
    <n v="87"/>
    <x v="0"/>
    <x v="0"/>
  </r>
  <r>
    <n v="1"/>
    <x v="1"/>
    <n v="38"/>
    <x v="0"/>
    <n v="2"/>
    <n v="2"/>
    <s v="Secondary"/>
    <x v="0"/>
    <n v="1"/>
    <n v="20"/>
    <n v="20"/>
    <x v="0"/>
    <n v="0"/>
    <x v="0"/>
    <n v="0"/>
    <n v="0"/>
    <n v="0"/>
    <n v="225"/>
    <n v="225"/>
    <x v="1"/>
    <n v="125"/>
    <n v="79"/>
    <n v="26.23"/>
    <n v="26.23"/>
    <x v="0"/>
    <n v="70"/>
    <n v="70"/>
    <n v="74"/>
    <n v="74"/>
    <x v="0"/>
    <x v="0"/>
  </r>
  <r>
    <n v="0"/>
    <x v="0"/>
    <n v="38"/>
    <x v="0"/>
    <n v="2"/>
    <n v="2"/>
    <s v="Secondary"/>
    <x v="0"/>
    <n v="0"/>
    <n v="0"/>
    <n v="0"/>
    <x v="1"/>
    <n v="0"/>
    <x v="0"/>
    <n v="0"/>
    <n v="0"/>
    <n v="0"/>
    <n v="167"/>
    <n v="167"/>
    <x v="1"/>
    <n v="102.5"/>
    <n v="60"/>
    <n v="22.58"/>
    <n v="22.58"/>
    <x v="1"/>
    <n v="60"/>
    <n v="60"/>
    <n v="57"/>
    <n v="57"/>
    <x v="0"/>
    <x v="0"/>
  </r>
  <r>
    <n v="0"/>
    <x v="0"/>
    <n v="38"/>
    <x v="0"/>
    <n v="2"/>
    <n v="2"/>
    <s v="Secondary"/>
    <x v="0"/>
    <n v="0"/>
    <n v="0"/>
    <n v="0"/>
    <x v="1"/>
    <n v="0"/>
    <x v="0"/>
    <n v="0"/>
    <n v="0"/>
    <n v="0"/>
    <n v="251"/>
    <n v="251"/>
    <x v="0"/>
    <n v="126"/>
    <n v="76"/>
    <n v="29.19"/>
    <n v="29.19"/>
    <x v="0"/>
    <n v="60"/>
    <n v="60"/>
    <n v="66"/>
    <n v="66"/>
    <x v="0"/>
    <x v="0"/>
  </r>
  <r>
    <n v="1"/>
    <x v="1"/>
    <n v="38"/>
    <x v="0"/>
    <n v="2"/>
    <n v="2"/>
    <s v="Secondary"/>
    <x v="0"/>
    <n v="1"/>
    <n v="20"/>
    <n v="20"/>
    <x v="0"/>
    <n v="0"/>
    <x v="0"/>
    <n v="0"/>
    <n v="0"/>
    <n v="0"/>
    <n v="227"/>
    <n v="227"/>
    <x v="1"/>
    <n v="108"/>
    <n v="65.5"/>
    <n v="25.45"/>
    <n v="25.45"/>
    <x v="0"/>
    <n v="85"/>
    <n v="85"/>
    <n v="110"/>
    <n v="110"/>
    <x v="0"/>
    <x v="0"/>
  </r>
  <r>
    <n v="0"/>
    <x v="0"/>
    <n v="38"/>
    <x v="0"/>
    <n v="3"/>
    <n v="3"/>
    <s v="Graduate"/>
    <x v="1"/>
    <n v="0"/>
    <n v="0"/>
    <n v="0"/>
    <x v="1"/>
    <n v="0"/>
    <x v="0"/>
    <n v="0"/>
    <n v="0"/>
    <n v="0"/>
    <n v="162"/>
    <n v="162"/>
    <x v="1"/>
    <n v="105"/>
    <n v="70"/>
    <n v="21.35"/>
    <n v="21.35"/>
    <x v="1"/>
    <n v="72"/>
    <n v="72"/>
    <n v="71"/>
    <n v="71"/>
    <x v="0"/>
    <x v="0"/>
  </r>
  <r>
    <n v="0"/>
    <x v="0"/>
    <n v="38"/>
    <x v="0"/>
    <n v="4"/>
    <n v="4"/>
    <s v="Post Graduate"/>
    <x v="3"/>
    <n v="0"/>
    <n v="0"/>
    <n v="0"/>
    <x v="1"/>
    <n v="0"/>
    <x v="0"/>
    <n v="0"/>
    <n v="0"/>
    <n v="0"/>
    <n v="150"/>
    <n v="150"/>
    <x v="1"/>
    <n v="108"/>
    <n v="70.5"/>
    <n v="20.420000000000002"/>
    <n v="20.420000000000002"/>
    <x v="1"/>
    <n v="72"/>
    <n v="72"/>
    <n v="88"/>
    <n v="88"/>
    <x v="0"/>
    <x v="0"/>
  </r>
  <r>
    <n v="0"/>
    <x v="0"/>
    <n v="38"/>
    <x v="0"/>
    <n v="4"/>
    <n v="4"/>
    <s v="Post Graduate"/>
    <x v="3"/>
    <n v="1"/>
    <n v="20"/>
    <n v="20"/>
    <x v="0"/>
    <n v="0"/>
    <x v="0"/>
    <n v="0"/>
    <n v="0"/>
    <n v="0"/>
    <n v="282"/>
    <n v="282"/>
    <x v="0"/>
    <n v="135"/>
    <n v="80"/>
    <n v="29.14"/>
    <n v="29.14"/>
    <x v="0"/>
    <n v="75"/>
    <n v="75"/>
    <n v="89"/>
    <n v="89"/>
    <x v="0"/>
    <x v="0"/>
  </r>
  <r>
    <n v="0"/>
    <x v="0"/>
    <n v="38"/>
    <x v="0"/>
    <n v="1"/>
    <n v="1"/>
    <s v="Primary"/>
    <x v="2"/>
    <n v="0"/>
    <n v="0"/>
    <n v="0"/>
    <x v="1"/>
    <n v="0"/>
    <x v="0"/>
    <n v="0"/>
    <n v="0"/>
    <n v="0"/>
    <n v="196"/>
    <n v="196"/>
    <x v="1"/>
    <n v="100"/>
    <n v="80"/>
    <n v="22.9"/>
    <n v="22.9"/>
    <x v="1"/>
    <n v="78"/>
    <n v="78"/>
    <n v="74"/>
    <n v="74"/>
    <x v="0"/>
    <x v="0"/>
  </r>
  <r>
    <n v="1"/>
    <x v="1"/>
    <n v="38"/>
    <x v="0"/>
    <n v="3"/>
    <n v="3"/>
    <s v="Graduate"/>
    <x v="1"/>
    <n v="0"/>
    <n v="0"/>
    <n v="0"/>
    <x v="1"/>
    <n v="0"/>
    <x v="0"/>
    <n v="0"/>
    <n v="0"/>
    <n v="0"/>
    <n v="244"/>
    <n v="244"/>
    <x v="0"/>
    <n v="118.5"/>
    <n v="88"/>
    <n v="28.68"/>
    <n v="28.68"/>
    <x v="0"/>
    <n v="77"/>
    <n v="77"/>
    <n v="65"/>
    <n v="65"/>
    <x v="0"/>
    <x v="1"/>
  </r>
  <r>
    <n v="1"/>
    <x v="1"/>
    <n v="38"/>
    <x v="0"/>
    <n v="1"/>
    <n v="1"/>
    <s v="Primary"/>
    <x v="2"/>
    <n v="0"/>
    <n v="0"/>
    <n v="0"/>
    <x v="1"/>
    <n v="0"/>
    <x v="0"/>
    <n v="0"/>
    <n v="0"/>
    <n v="0"/>
    <n v="221"/>
    <n v="221"/>
    <x v="1"/>
    <n v="130"/>
    <n v="87"/>
    <n v="26.43"/>
    <n v="26.43"/>
    <x v="0"/>
    <n v="72"/>
    <n v="72"/>
    <n v="55"/>
    <n v="55"/>
    <x v="0"/>
    <x v="0"/>
  </r>
  <r>
    <n v="1"/>
    <x v="1"/>
    <n v="38"/>
    <x v="0"/>
    <n v="2"/>
    <n v="2"/>
    <s v="Secondary"/>
    <x v="0"/>
    <n v="1"/>
    <n v="7"/>
    <n v="7"/>
    <x v="0"/>
    <n v="0"/>
    <x v="0"/>
    <n v="0"/>
    <n v="0"/>
    <n v="0"/>
    <n v="229"/>
    <n v="229"/>
    <x v="1"/>
    <n v="116"/>
    <n v="70"/>
    <n v="26.65"/>
    <n v="26.65"/>
    <x v="0"/>
    <n v="77"/>
    <n v="77"/>
    <n v="71"/>
    <n v="71"/>
    <x v="0"/>
    <x v="0"/>
  </r>
  <r>
    <n v="1"/>
    <x v="1"/>
    <n v="38"/>
    <x v="0"/>
    <s v="NA"/>
    <n v="1"/>
    <s v="Primary"/>
    <x v="2"/>
    <n v="0"/>
    <n v="0"/>
    <n v="0"/>
    <x v="1"/>
    <n v="0"/>
    <x v="0"/>
    <n v="0"/>
    <n v="0"/>
    <n v="0"/>
    <n v="221"/>
    <n v="221"/>
    <x v="1"/>
    <n v="119"/>
    <n v="84"/>
    <n v="26.89"/>
    <n v="26.89"/>
    <x v="0"/>
    <n v="66"/>
    <n v="66"/>
    <n v="82"/>
    <n v="82"/>
    <x v="0"/>
    <x v="0"/>
  </r>
  <r>
    <n v="1"/>
    <x v="1"/>
    <n v="38"/>
    <x v="0"/>
    <n v="3"/>
    <n v="3"/>
    <s v="Graduate"/>
    <x v="1"/>
    <n v="0"/>
    <n v="0"/>
    <n v="0"/>
    <x v="1"/>
    <n v="0"/>
    <x v="0"/>
    <n v="0"/>
    <n v="0"/>
    <n v="0"/>
    <n v="305"/>
    <n v="305"/>
    <x v="0"/>
    <n v="130"/>
    <n v="95"/>
    <n v="23.1"/>
    <n v="23.1"/>
    <x v="1"/>
    <n v="65"/>
    <n v="65"/>
    <n v="78"/>
    <n v="78"/>
    <x v="0"/>
    <x v="1"/>
  </r>
  <r>
    <n v="1"/>
    <x v="1"/>
    <n v="38"/>
    <x v="0"/>
    <n v="4"/>
    <n v="4"/>
    <s v="Post Graduate"/>
    <x v="3"/>
    <n v="0"/>
    <n v="0"/>
    <n v="0"/>
    <x v="1"/>
    <n v="0"/>
    <x v="0"/>
    <n v="0"/>
    <n v="0"/>
    <n v="0"/>
    <n v="328"/>
    <n v="328"/>
    <x v="0"/>
    <n v="124"/>
    <n v="82"/>
    <n v="29.08"/>
    <n v="29.08"/>
    <x v="0"/>
    <n v="82"/>
    <n v="82"/>
    <n v="69"/>
    <n v="69"/>
    <x v="0"/>
    <x v="0"/>
  </r>
  <r>
    <n v="1"/>
    <x v="1"/>
    <n v="38"/>
    <x v="0"/>
    <n v="2"/>
    <n v="2"/>
    <s v="Secondary"/>
    <x v="0"/>
    <n v="1"/>
    <n v="50"/>
    <n v="50"/>
    <x v="0"/>
    <n v="0"/>
    <x v="0"/>
    <n v="0"/>
    <n v="0"/>
    <n v="0"/>
    <n v="300"/>
    <n v="300"/>
    <x v="0"/>
    <n v="120"/>
    <n v="74"/>
    <n v="28.74"/>
    <n v="28.74"/>
    <x v="0"/>
    <n v="70"/>
    <n v="70"/>
    <n v="78"/>
    <n v="78"/>
    <x v="0"/>
    <x v="0"/>
  </r>
  <r>
    <n v="0"/>
    <x v="0"/>
    <n v="38"/>
    <x v="0"/>
    <n v="2"/>
    <n v="2"/>
    <s v="Secondary"/>
    <x v="0"/>
    <n v="1"/>
    <n v="10"/>
    <n v="10"/>
    <x v="0"/>
    <n v="0"/>
    <x v="0"/>
    <n v="0"/>
    <n v="0"/>
    <n v="0"/>
    <n v="309"/>
    <n v="309"/>
    <x v="0"/>
    <n v="113"/>
    <n v="68"/>
    <n v="21.35"/>
    <n v="21.35"/>
    <x v="1"/>
    <n v="60"/>
    <n v="60"/>
    <n v="75"/>
    <n v="75"/>
    <x v="0"/>
    <x v="1"/>
  </r>
  <r>
    <n v="1"/>
    <x v="1"/>
    <n v="38"/>
    <x v="0"/>
    <n v="4"/>
    <n v="4"/>
    <s v="Post Graduate"/>
    <x v="3"/>
    <n v="0"/>
    <n v="0"/>
    <n v="0"/>
    <x v="1"/>
    <n v="0"/>
    <x v="0"/>
    <n v="0"/>
    <n v="0"/>
    <n v="0"/>
    <n v="240"/>
    <n v="240"/>
    <x v="1"/>
    <n v="122.5"/>
    <n v="80"/>
    <n v="23.97"/>
    <n v="23.97"/>
    <x v="1"/>
    <n v="60"/>
    <n v="60"/>
    <n v="43"/>
    <n v="43"/>
    <x v="0"/>
    <x v="0"/>
  </r>
  <r>
    <n v="1"/>
    <x v="1"/>
    <n v="38"/>
    <x v="0"/>
    <n v="3"/>
    <n v="3"/>
    <s v="Graduate"/>
    <x v="1"/>
    <n v="1"/>
    <n v="20"/>
    <n v="20"/>
    <x v="0"/>
    <n v="0"/>
    <x v="0"/>
    <n v="0"/>
    <n v="0"/>
    <n v="0"/>
    <n v="238"/>
    <n v="238"/>
    <x v="1"/>
    <n v="119"/>
    <n v="83.5"/>
    <n v="24.18"/>
    <n v="24.18"/>
    <x v="1"/>
    <n v="68"/>
    <n v="68"/>
    <n v="71"/>
    <n v="71"/>
    <x v="0"/>
    <x v="0"/>
  </r>
  <r>
    <n v="0"/>
    <x v="0"/>
    <n v="38"/>
    <x v="0"/>
    <n v="4"/>
    <n v="4"/>
    <s v="Post Graduate"/>
    <x v="3"/>
    <n v="1"/>
    <n v="15"/>
    <n v="15"/>
    <x v="0"/>
    <n v="0"/>
    <x v="0"/>
    <n v="0"/>
    <n v="0"/>
    <n v="0"/>
    <n v="178"/>
    <n v="178"/>
    <x v="1"/>
    <n v="96"/>
    <n v="67"/>
    <n v="20.399999999999999"/>
    <n v="20.399999999999999"/>
    <x v="1"/>
    <n v="65"/>
    <n v="65"/>
    <n v="82"/>
    <n v="82"/>
    <x v="0"/>
    <x v="0"/>
  </r>
  <r>
    <n v="0"/>
    <x v="0"/>
    <n v="38"/>
    <x v="0"/>
    <n v="1"/>
    <n v="1"/>
    <s v="Primary"/>
    <x v="2"/>
    <n v="1"/>
    <n v="10"/>
    <n v="10"/>
    <x v="0"/>
    <n v="0"/>
    <x v="0"/>
    <n v="0"/>
    <n v="0"/>
    <n v="0"/>
    <n v="220"/>
    <n v="220"/>
    <x v="1"/>
    <n v="114"/>
    <n v="73.5"/>
    <n v="27.06"/>
    <n v="27.06"/>
    <x v="0"/>
    <n v="68"/>
    <n v="68"/>
    <n v="67"/>
    <n v="67"/>
    <x v="0"/>
    <x v="0"/>
  </r>
  <r>
    <n v="1"/>
    <x v="1"/>
    <n v="38"/>
    <x v="0"/>
    <n v="2"/>
    <n v="2"/>
    <s v="Secondary"/>
    <x v="0"/>
    <n v="0"/>
    <n v="0"/>
    <n v="0"/>
    <x v="1"/>
    <n v="0"/>
    <x v="0"/>
    <n v="0"/>
    <n v="0"/>
    <n v="0"/>
    <n v="148"/>
    <n v="148"/>
    <x v="1"/>
    <n v="115"/>
    <n v="75"/>
    <n v="26.49"/>
    <n v="26.49"/>
    <x v="0"/>
    <n v="75"/>
    <n v="75"/>
    <n v="74"/>
    <n v="74"/>
    <x v="0"/>
    <x v="0"/>
  </r>
  <r>
    <n v="1"/>
    <x v="1"/>
    <n v="38"/>
    <x v="0"/>
    <n v="1"/>
    <n v="1"/>
    <s v="Primary"/>
    <x v="2"/>
    <n v="0"/>
    <n v="0"/>
    <n v="0"/>
    <x v="1"/>
    <n v="0"/>
    <x v="0"/>
    <n v="0"/>
    <n v="0"/>
    <n v="0"/>
    <n v="203"/>
    <n v="203"/>
    <x v="1"/>
    <n v="116"/>
    <n v="81"/>
    <n v="30.19"/>
    <n v="30.19"/>
    <x v="2"/>
    <n v="62"/>
    <n v="62"/>
    <n v="80"/>
    <n v="80"/>
    <x v="0"/>
    <x v="1"/>
  </r>
  <r>
    <n v="0"/>
    <x v="0"/>
    <n v="38"/>
    <x v="0"/>
    <n v="2"/>
    <n v="2"/>
    <s v="Secondary"/>
    <x v="0"/>
    <n v="1"/>
    <n v="10"/>
    <n v="10"/>
    <x v="0"/>
    <n v="0"/>
    <x v="0"/>
    <n v="0"/>
    <n v="0"/>
    <n v="0"/>
    <n v="186"/>
    <n v="186"/>
    <x v="1"/>
    <n v="166"/>
    <n v="96"/>
    <n v="33.14"/>
    <n v="33.14"/>
    <x v="2"/>
    <n v="75"/>
    <n v="75"/>
    <n v="75"/>
    <n v="75"/>
    <x v="0"/>
    <x v="0"/>
  </r>
  <r>
    <n v="1"/>
    <x v="1"/>
    <n v="38"/>
    <x v="0"/>
    <n v="2"/>
    <n v="2"/>
    <s v="Secondary"/>
    <x v="0"/>
    <n v="0"/>
    <n v="0"/>
    <n v="0"/>
    <x v="1"/>
    <n v="0"/>
    <x v="0"/>
    <n v="0"/>
    <n v="0"/>
    <n v="0"/>
    <n v="278"/>
    <n v="278"/>
    <x v="0"/>
    <n v="136.5"/>
    <n v="87"/>
    <n v="29.84"/>
    <n v="29.84"/>
    <x v="0"/>
    <n v="91"/>
    <n v="91"/>
    <n v="75"/>
    <n v="75"/>
    <x v="0"/>
    <x v="0"/>
  </r>
  <r>
    <n v="1"/>
    <x v="1"/>
    <n v="38"/>
    <x v="0"/>
    <n v="1"/>
    <n v="1"/>
    <s v="Primary"/>
    <x v="2"/>
    <n v="1"/>
    <n v="20"/>
    <n v="20"/>
    <x v="0"/>
    <n v="0"/>
    <x v="0"/>
    <n v="0"/>
    <n v="0"/>
    <n v="0"/>
    <n v="113"/>
    <n v="113"/>
    <x v="1"/>
    <n v="120"/>
    <n v="83.5"/>
    <n v="30.34"/>
    <n v="30.34"/>
    <x v="2"/>
    <n v="78"/>
    <n v="78"/>
    <n v="85"/>
    <n v="85"/>
    <x v="0"/>
    <x v="0"/>
  </r>
  <r>
    <n v="0"/>
    <x v="0"/>
    <n v="38"/>
    <x v="0"/>
    <n v="3"/>
    <n v="3"/>
    <s v="Graduate"/>
    <x v="1"/>
    <n v="0"/>
    <n v="0"/>
    <n v="0"/>
    <x v="1"/>
    <n v="0"/>
    <x v="0"/>
    <n v="0"/>
    <n v="0"/>
    <n v="0"/>
    <n v="155"/>
    <n v="155"/>
    <x v="1"/>
    <n v="122"/>
    <n v="81"/>
    <n v="27.14"/>
    <n v="27.14"/>
    <x v="0"/>
    <n v="64"/>
    <n v="64"/>
    <n v="70"/>
    <n v="70"/>
    <x v="0"/>
    <x v="0"/>
  </r>
  <r>
    <n v="1"/>
    <x v="1"/>
    <n v="38"/>
    <x v="0"/>
    <n v="2"/>
    <n v="2"/>
    <s v="Secondary"/>
    <x v="0"/>
    <n v="0"/>
    <n v="0"/>
    <n v="0"/>
    <x v="1"/>
    <n v="0"/>
    <x v="0"/>
    <n v="0"/>
    <n v="0"/>
    <n v="0"/>
    <n v="150"/>
    <n v="150"/>
    <x v="1"/>
    <n v="109"/>
    <n v="75"/>
    <n v="21.43"/>
    <n v="21.43"/>
    <x v="1"/>
    <n v="64"/>
    <n v="64"/>
    <n v="67"/>
    <n v="67"/>
    <x v="0"/>
    <x v="0"/>
  </r>
  <r>
    <n v="0"/>
    <x v="0"/>
    <n v="38"/>
    <x v="0"/>
    <n v="2"/>
    <n v="2"/>
    <s v="Secondary"/>
    <x v="0"/>
    <n v="1"/>
    <n v="20"/>
    <n v="20"/>
    <x v="0"/>
    <n v="0"/>
    <x v="0"/>
    <n v="0"/>
    <n v="0"/>
    <n v="0"/>
    <n v="195"/>
    <n v="195"/>
    <x v="1"/>
    <n v="116"/>
    <n v="72"/>
    <n v="24.45"/>
    <n v="24.45"/>
    <x v="1"/>
    <n v="75"/>
    <n v="75"/>
    <n v="90"/>
    <n v="90"/>
    <x v="0"/>
    <x v="0"/>
  </r>
  <r>
    <n v="1"/>
    <x v="1"/>
    <n v="38"/>
    <x v="0"/>
    <n v="1"/>
    <n v="1"/>
    <s v="Primary"/>
    <x v="2"/>
    <n v="0"/>
    <n v="0"/>
    <n v="0"/>
    <x v="1"/>
    <n v="0"/>
    <x v="0"/>
    <n v="0"/>
    <n v="0"/>
    <n v="0"/>
    <n v="205"/>
    <n v="205"/>
    <x v="1"/>
    <n v="125"/>
    <n v="85"/>
    <n v="28.03"/>
    <n v="28.03"/>
    <x v="0"/>
    <n v="60"/>
    <n v="60"/>
    <n v="84"/>
    <n v="84"/>
    <x v="0"/>
    <x v="0"/>
  </r>
  <r>
    <n v="0"/>
    <x v="0"/>
    <n v="38"/>
    <x v="0"/>
    <n v="2"/>
    <n v="2"/>
    <s v="Secondary"/>
    <x v="0"/>
    <n v="0"/>
    <n v="0"/>
    <n v="0"/>
    <x v="1"/>
    <n v="0"/>
    <x v="0"/>
    <n v="0"/>
    <n v="0"/>
    <n v="0"/>
    <n v="215"/>
    <n v="215"/>
    <x v="1"/>
    <n v="106.5"/>
    <n v="75"/>
    <n v="23.82"/>
    <n v="23.82"/>
    <x v="1"/>
    <n v="60"/>
    <n v="60"/>
    <n v="67"/>
    <n v="67"/>
    <x v="0"/>
    <x v="0"/>
  </r>
  <r>
    <n v="1"/>
    <x v="1"/>
    <n v="38"/>
    <x v="0"/>
    <n v="4"/>
    <n v="4"/>
    <s v="Post Graduate"/>
    <x v="3"/>
    <n v="1"/>
    <n v="20"/>
    <n v="20"/>
    <x v="0"/>
    <n v="0"/>
    <x v="0"/>
    <n v="0"/>
    <n v="0"/>
    <n v="0"/>
    <n v="215"/>
    <n v="215"/>
    <x v="1"/>
    <n v="110"/>
    <n v="80"/>
    <s v="NA"/>
    <n v="25.80080075811421"/>
    <x v="0"/>
    <n v="100"/>
    <n v="100"/>
    <n v="73"/>
    <n v="73"/>
    <x v="0"/>
    <x v="0"/>
  </r>
  <r>
    <n v="0"/>
    <x v="0"/>
    <n v="38"/>
    <x v="0"/>
    <n v="2"/>
    <n v="2"/>
    <s v="Secondary"/>
    <x v="0"/>
    <n v="0"/>
    <n v="0"/>
    <n v="0"/>
    <x v="1"/>
    <n v="0"/>
    <x v="0"/>
    <n v="0"/>
    <n v="0"/>
    <n v="0"/>
    <n v="159"/>
    <n v="159"/>
    <x v="1"/>
    <n v="132"/>
    <n v="85"/>
    <n v="28.21"/>
    <n v="28.21"/>
    <x v="0"/>
    <n v="69"/>
    <n v="69"/>
    <n v="76"/>
    <n v="76"/>
    <x v="0"/>
    <x v="0"/>
  </r>
  <r>
    <n v="0"/>
    <x v="0"/>
    <n v="38"/>
    <x v="0"/>
    <n v="2"/>
    <n v="2"/>
    <s v="Secondary"/>
    <x v="0"/>
    <n v="1"/>
    <n v="5"/>
    <n v="5"/>
    <x v="0"/>
    <n v="0"/>
    <x v="0"/>
    <n v="0"/>
    <n v="0"/>
    <n v="0"/>
    <n v="179"/>
    <n v="179"/>
    <x v="1"/>
    <n v="116.5"/>
    <n v="72.5"/>
    <n v="21.49"/>
    <n v="21.49"/>
    <x v="1"/>
    <n v="70"/>
    <n v="70"/>
    <n v="76"/>
    <n v="76"/>
    <x v="0"/>
    <x v="0"/>
  </r>
  <r>
    <n v="1"/>
    <x v="1"/>
    <n v="38"/>
    <x v="0"/>
    <n v="1"/>
    <n v="1"/>
    <s v="Primary"/>
    <x v="2"/>
    <n v="1"/>
    <n v="20"/>
    <n v="20"/>
    <x v="0"/>
    <n v="0"/>
    <x v="0"/>
    <n v="0"/>
    <n v="0"/>
    <n v="0"/>
    <n v="265"/>
    <n v="265"/>
    <x v="0"/>
    <n v="123"/>
    <n v="86"/>
    <n v="28.88"/>
    <n v="28.88"/>
    <x v="0"/>
    <n v="85"/>
    <n v="85"/>
    <n v="80"/>
    <n v="80"/>
    <x v="0"/>
    <x v="0"/>
  </r>
  <r>
    <n v="0"/>
    <x v="0"/>
    <n v="38"/>
    <x v="0"/>
    <n v="1"/>
    <n v="1"/>
    <s v="Primary"/>
    <x v="2"/>
    <n v="1"/>
    <n v="9"/>
    <n v="9"/>
    <x v="0"/>
    <n v="0"/>
    <x v="0"/>
    <n v="0"/>
    <n v="0"/>
    <n v="0"/>
    <n v="224"/>
    <n v="224"/>
    <x v="1"/>
    <n v="90"/>
    <n v="70"/>
    <n v="18.18"/>
    <n v="18.18"/>
    <x v="3"/>
    <n v="75"/>
    <n v="75"/>
    <n v="57"/>
    <n v="57"/>
    <x v="0"/>
    <x v="0"/>
  </r>
  <r>
    <n v="1"/>
    <x v="1"/>
    <n v="38"/>
    <x v="0"/>
    <n v="2"/>
    <n v="2"/>
    <s v="Secondary"/>
    <x v="0"/>
    <n v="1"/>
    <n v="20"/>
    <n v="20"/>
    <x v="0"/>
    <n v="0"/>
    <x v="0"/>
    <n v="0"/>
    <n v="0"/>
    <n v="0"/>
    <n v="220"/>
    <n v="220"/>
    <x v="1"/>
    <n v="126"/>
    <n v="88"/>
    <n v="24.46"/>
    <n v="24.46"/>
    <x v="1"/>
    <n v="77"/>
    <n v="77"/>
    <n v="74"/>
    <n v="74"/>
    <x v="0"/>
    <x v="0"/>
  </r>
  <r>
    <n v="0"/>
    <x v="0"/>
    <n v="38"/>
    <x v="0"/>
    <n v="2"/>
    <n v="2"/>
    <s v="Secondary"/>
    <x v="0"/>
    <n v="1"/>
    <n v="2"/>
    <n v="2"/>
    <x v="0"/>
    <n v="0"/>
    <x v="0"/>
    <n v="0"/>
    <n v="0"/>
    <n v="0"/>
    <n v="172"/>
    <n v="172"/>
    <x v="1"/>
    <n v="98"/>
    <n v="53"/>
    <n v="22.18"/>
    <n v="22.18"/>
    <x v="1"/>
    <n v="68"/>
    <n v="68"/>
    <n v="82"/>
    <n v="82"/>
    <x v="0"/>
    <x v="0"/>
  </r>
  <r>
    <n v="1"/>
    <x v="1"/>
    <n v="38"/>
    <x v="0"/>
    <n v="4"/>
    <n v="4"/>
    <s v="Post Graduate"/>
    <x v="3"/>
    <n v="1"/>
    <n v="10"/>
    <n v="10"/>
    <x v="0"/>
    <n v="0"/>
    <x v="0"/>
    <n v="0"/>
    <n v="0"/>
    <n v="0"/>
    <n v="226"/>
    <n v="226"/>
    <x v="1"/>
    <n v="142"/>
    <n v="93"/>
    <n v="29.76"/>
    <n v="29.76"/>
    <x v="0"/>
    <n v="105"/>
    <n v="105"/>
    <n v="63"/>
    <n v="63"/>
    <x v="0"/>
    <x v="0"/>
  </r>
  <r>
    <n v="0"/>
    <x v="0"/>
    <n v="38"/>
    <x v="0"/>
    <n v="4"/>
    <n v="4"/>
    <s v="Post Graduate"/>
    <x v="3"/>
    <n v="1"/>
    <n v="3"/>
    <n v="3"/>
    <x v="0"/>
    <n v="0"/>
    <x v="0"/>
    <n v="0"/>
    <n v="0"/>
    <n v="0"/>
    <n v="177"/>
    <n v="177"/>
    <x v="1"/>
    <n v="126"/>
    <n v="80"/>
    <n v="23.84"/>
    <n v="23.84"/>
    <x v="1"/>
    <n v="90"/>
    <n v="90"/>
    <n v="79"/>
    <n v="79"/>
    <x v="0"/>
    <x v="0"/>
  </r>
  <r>
    <n v="1"/>
    <x v="1"/>
    <n v="38"/>
    <x v="0"/>
    <n v="4"/>
    <n v="4"/>
    <s v="Post Graduate"/>
    <x v="3"/>
    <n v="1"/>
    <n v="30"/>
    <n v="30"/>
    <x v="0"/>
    <n v="0"/>
    <x v="0"/>
    <n v="0"/>
    <n v="0"/>
    <n v="0"/>
    <n v="275"/>
    <n v="275"/>
    <x v="0"/>
    <n v="117.5"/>
    <n v="85"/>
    <n v="28.94"/>
    <n v="28.94"/>
    <x v="0"/>
    <n v="72"/>
    <n v="72"/>
    <n v="74"/>
    <n v="74"/>
    <x v="0"/>
    <x v="0"/>
  </r>
  <r>
    <n v="0"/>
    <x v="0"/>
    <n v="38"/>
    <x v="0"/>
    <n v="4"/>
    <n v="4"/>
    <s v="Post Graduate"/>
    <x v="3"/>
    <n v="1"/>
    <n v="15"/>
    <n v="15"/>
    <x v="0"/>
    <n v="0"/>
    <x v="0"/>
    <n v="0"/>
    <n v="1"/>
    <n v="0"/>
    <n v="267"/>
    <n v="267"/>
    <x v="0"/>
    <n v="179.5"/>
    <n v="97"/>
    <n v="20.440000000000001"/>
    <n v="20.440000000000001"/>
    <x v="1"/>
    <n v="76"/>
    <n v="76"/>
    <n v="67"/>
    <n v="67"/>
    <x v="0"/>
    <x v="0"/>
  </r>
  <r>
    <n v="0"/>
    <x v="0"/>
    <n v="38"/>
    <x v="0"/>
    <n v="2"/>
    <n v="2"/>
    <s v="Secondary"/>
    <x v="0"/>
    <n v="1"/>
    <n v="5"/>
    <n v="5"/>
    <x v="0"/>
    <n v="0"/>
    <x v="0"/>
    <n v="0"/>
    <n v="0"/>
    <n v="0"/>
    <n v="193"/>
    <n v="193"/>
    <x v="1"/>
    <n v="107"/>
    <n v="73"/>
    <n v="20.73"/>
    <n v="20.73"/>
    <x v="1"/>
    <n v="85"/>
    <n v="85"/>
    <n v="72"/>
    <n v="72"/>
    <x v="0"/>
    <x v="0"/>
  </r>
  <r>
    <n v="0"/>
    <x v="0"/>
    <n v="38"/>
    <x v="0"/>
    <n v="2"/>
    <n v="2"/>
    <s v="Secondary"/>
    <x v="0"/>
    <n v="1"/>
    <n v="10"/>
    <n v="10"/>
    <x v="0"/>
    <n v="0"/>
    <x v="0"/>
    <n v="0"/>
    <n v="0"/>
    <n v="0"/>
    <n v="226"/>
    <n v="226"/>
    <x v="1"/>
    <n v="117.5"/>
    <n v="72"/>
    <n v="20.71"/>
    <n v="20.71"/>
    <x v="1"/>
    <n v="72"/>
    <n v="72"/>
    <n v="73"/>
    <n v="73"/>
    <x v="0"/>
    <x v="0"/>
  </r>
  <r>
    <n v="0"/>
    <x v="0"/>
    <n v="38"/>
    <x v="0"/>
    <n v="1"/>
    <n v="1"/>
    <s v="Primary"/>
    <x v="2"/>
    <n v="1"/>
    <n v="9"/>
    <n v="9"/>
    <x v="0"/>
    <n v="0"/>
    <x v="0"/>
    <n v="0"/>
    <n v="0"/>
    <n v="0"/>
    <n v="220"/>
    <n v="220"/>
    <x v="1"/>
    <n v="105"/>
    <n v="69"/>
    <n v="24.69"/>
    <n v="24.69"/>
    <x v="1"/>
    <n v="110"/>
    <n v="110"/>
    <n v="87"/>
    <n v="87"/>
    <x v="0"/>
    <x v="0"/>
  </r>
  <r>
    <n v="1"/>
    <x v="1"/>
    <n v="38"/>
    <x v="0"/>
    <n v="3"/>
    <n v="3"/>
    <s v="Graduate"/>
    <x v="1"/>
    <n v="1"/>
    <n v="23"/>
    <n v="23"/>
    <x v="0"/>
    <n v="0"/>
    <x v="0"/>
    <n v="0"/>
    <n v="1"/>
    <n v="0"/>
    <n v="165"/>
    <n v="165"/>
    <x v="1"/>
    <n v="128"/>
    <n v="80"/>
    <n v="25.62"/>
    <n v="25.62"/>
    <x v="0"/>
    <n v="90"/>
    <n v="90"/>
    <n v="85"/>
    <n v="85"/>
    <x v="0"/>
    <x v="0"/>
  </r>
  <r>
    <n v="1"/>
    <x v="1"/>
    <n v="38"/>
    <x v="0"/>
    <n v="2"/>
    <n v="2"/>
    <s v="Secondary"/>
    <x v="0"/>
    <n v="1"/>
    <n v="20"/>
    <n v="20"/>
    <x v="0"/>
    <n v="0"/>
    <x v="0"/>
    <n v="0"/>
    <n v="0"/>
    <n v="0"/>
    <n v="200"/>
    <n v="200"/>
    <x v="1"/>
    <n v="123"/>
    <n v="85"/>
    <n v="25.63"/>
    <n v="25.63"/>
    <x v="0"/>
    <n v="90"/>
    <n v="90"/>
    <n v="84"/>
    <n v="84"/>
    <x v="0"/>
    <x v="0"/>
  </r>
  <r>
    <n v="1"/>
    <x v="1"/>
    <n v="38"/>
    <x v="0"/>
    <n v="2"/>
    <n v="2"/>
    <s v="Secondary"/>
    <x v="0"/>
    <n v="1"/>
    <n v="15"/>
    <n v="15"/>
    <x v="0"/>
    <n v="0"/>
    <x v="0"/>
    <n v="0"/>
    <n v="0"/>
    <n v="0"/>
    <n v="150"/>
    <n v="150"/>
    <x v="1"/>
    <n v="123"/>
    <n v="76"/>
    <n v="20.39"/>
    <n v="20.39"/>
    <x v="1"/>
    <n v="60"/>
    <n v="60"/>
    <n v="82"/>
    <n v="82"/>
    <x v="0"/>
    <x v="0"/>
  </r>
  <r>
    <n v="1"/>
    <x v="1"/>
    <n v="38"/>
    <x v="0"/>
    <n v="1"/>
    <n v="1"/>
    <s v="Primary"/>
    <x v="2"/>
    <n v="0"/>
    <n v="0"/>
    <n v="0"/>
    <x v="1"/>
    <n v="0"/>
    <x v="0"/>
    <n v="0"/>
    <n v="0"/>
    <n v="0"/>
    <n v="184"/>
    <n v="184"/>
    <x v="1"/>
    <n v="102"/>
    <n v="73"/>
    <n v="25.69"/>
    <n v="25.69"/>
    <x v="0"/>
    <n v="86"/>
    <n v="86"/>
    <n v="78"/>
    <n v="78"/>
    <x v="0"/>
    <x v="0"/>
  </r>
  <r>
    <n v="1"/>
    <x v="1"/>
    <n v="38"/>
    <x v="0"/>
    <n v="2"/>
    <n v="2"/>
    <s v="Secondary"/>
    <x v="0"/>
    <n v="0"/>
    <n v="0"/>
    <n v="0"/>
    <x v="1"/>
    <n v="0"/>
    <x v="0"/>
    <n v="0"/>
    <n v="1"/>
    <n v="0"/>
    <n v="256"/>
    <n v="256"/>
    <x v="0"/>
    <n v="123"/>
    <n v="92"/>
    <n v="25.42"/>
    <n v="25.42"/>
    <x v="0"/>
    <n v="62"/>
    <n v="62"/>
    <n v="82"/>
    <n v="82"/>
    <x v="0"/>
    <x v="0"/>
  </r>
  <r>
    <n v="1"/>
    <x v="1"/>
    <n v="38"/>
    <x v="0"/>
    <n v="1"/>
    <n v="1"/>
    <s v="Primary"/>
    <x v="2"/>
    <n v="1"/>
    <n v="30"/>
    <n v="30"/>
    <x v="0"/>
    <n v="0"/>
    <x v="0"/>
    <n v="0"/>
    <n v="0"/>
    <n v="0"/>
    <n v="281"/>
    <n v="281"/>
    <x v="0"/>
    <n v="111"/>
    <n v="72.5"/>
    <n v="27.22"/>
    <n v="27.22"/>
    <x v="0"/>
    <n v="95"/>
    <n v="95"/>
    <n v="80"/>
    <n v="80"/>
    <x v="0"/>
    <x v="0"/>
  </r>
  <r>
    <n v="1"/>
    <x v="1"/>
    <n v="38"/>
    <x v="0"/>
    <n v="1"/>
    <n v="1"/>
    <s v="Primary"/>
    <x v="2"/>
    <n v="1"/>
    <n v="15"/>
    <n v="15"/>
    <x v="0"/>
    <n v="0"/>
    <x v="0"/>
    <n v="0"/>
    <n v="0"/>
    <n v="0"/>
    <n v="183"/>
    <n v="183"/>
    <x v="1"/>
    <n v="107.5"/>
    <n v="71"/>
    <n v="23.74"/>
    <n v="23.74"/>
    <x v="1"/>
    <n v="57"/>
    <n v="57"/>
    <n v="74"/>
    <n v="74"/>
    <x v="0"/>
    <x v="0"/>
  </r>
  <r>
    <n v="0"/>
    <x v="0"/>
    <n v="38"/>
    <x v="0"/>
    <n v="3"/>
    <n v="3"/>
    <s v="Graduate"/>
    <x v="1"/>
    <n v="0"/>
    <n v="0"/>
    <n v="0"/>
    <x v="1"/>
    <n v="0"/>
    <x v="0"/>
    <n v="0"/>
    <n v="0"/>
    <n v="0"/>
    <n v="240"/>
    <n v="240"/>
    <x v="1"/>
    <n v="126.5"/>
    <n v="75.5"/>
    <n v="24.38"/>
    <n v="24.38"/>
    <x v="1"/>
    <n v="71"/>
    <n v="71"/>
    <n v="64"/>
    <n v="64"/>
    <x v="0"/>
    <x v="0"/>
  </r>
  <r>
    <n v="0"/>
    <x v="0"/>
    <n v="38"/>
    <x v="0"/>
    <n v="1"/>
    <n v="1"/>
    <s v="Primary"/>
    <x v="2"/>
    <n v="1"/>
    <n v="5"/>
    <n v="5"/>
    <x v="0"/>
    <n v="0"/>
    <x v="0"/>
    <n v="0"/>
    <n v="0"/>
    <n v="0"/>
    <n v="201"/>
    <n v="201"/>
    <x v="1"/>
    <n v="123.5"/>
    <n v="78"/>
    <n v="27.14"/>
    <n v="27.14"/>
    <x v="0"/>
    <n v="79"/>
    <n v="79"/>
    <n v="77"/>
    <n v="77"/>
    <x v="0"/>
    <x v="0"/>
  </r>
  <r>
    <n v="1"/>
    <x v="1"/>
    <n v="38"/>
    <x v="0"/>
    <n v="3"/>
    <n v="3"/>
    <s v="Graduate"/>
    <x v="1"/>
    <n v="1"/>
    <n v="20"/>
    <n v="20"/>
    <x v="0"/>
    <n v="0"/>
    <x v="0"/>
    <n v="0"/>
    <n v="0"/>
    <n v="0"/>
    <n v="270"/>
    <n v="270"/>
    <x v="0"/>
    <n v="120"/>
    <n v="75"/>
    <n v="23.76"/>
    <n v="23.76"/>
    <x v="1"/>
    <n v="83"/>
    <n v="83"/>
    <n v="96"/>
    <n v="96"/>
    <x v="0"/>
    <x v="0"/>
  </r>
  <r>
    <n v="0"/>
    <x v="0"/>
    <n v="38"/>
    <x v="0"/>
    <n v="3"/>
    <n v="3"/>
    <s v="Graduate"/>
    <x v="1"/>
    <n v="1"/>
    <n v="25"/>
    <n v="25"/>
    <x v="0"/>
    <n v="0"/>
    <x v="0"/>
    <n v="0"/>
    <n v="0"/>
    <n v="0"/>
    <n v="205"/>
    <n v="205"/>
    <x v="1"/>
    <n v="117.5"/>
    <n v="77"/>
    <n v="21.44"/>
    <n v="21.44"/>
    <x v="1"/>
    <n v="100"/>
    <n v="100"/>
    <s v="NA"/>
    <n v="81.96365524402907"/>
    <x v="0"/>
    <x v="0"/>
  </r>
  <r>
    <n v="0"/>
    <x v="0"/>
    <n v="38"/>
    <x v="0"/>
    <n v="1"/>
    <n v="1"/>
    <s v="Primary"/>
    <x v="2"/>
    <n v="0"/>
    <n v="0"/>
    <n v="0"/>
    <x v="1"/>
    <n v="0"/>
    <x v="0"/>
    <n v="0"/>
    <n v="0"/>
    <n v="0"/>
    <n v="182"/>
    <n v="182"/>
    <x v="1"/>
    <n v="138"/>
    <n v="72"/>
    <n v="21.67"/>
    <n v="21.67"/>
    <x v="1"/>
    <n v="85"/>
    <n v="85"/>
    <n v="108"/>
    <n v="108"/>
    <x v="0"/>
    <x v="0"/>
  </r>
  <r>
    <n v="0"/>
    <x v="0"/>
    <n v="38"/>
    <x v="0"/>
    <n v="1"/>
    <n v="1"/>
    <s v="Primary"/>
    <x v="2"/>
    <n v="1"/>
    <n v="30"/>
    <n v="30"/>
    <x v="0"/>
    <n v="0"/>
    <x v="0"/>
    <n v="0"/>
    <n v="0"/>
    <n v="0"/>
    <n v="164"/>
    <n v="164"/>
    <x v="1"/>
    <n v="113"/>
    <n v="68"/>
    <n v="25.75"/>
    <n v="25.75"/>
    <x v="0"/>
    <n v="70"/>
    <n v="70"/>
    <n v="75"/>
    <n v="75"/>
    <x v="0"/>
    <x v="0"/>
  </r>
  <r>
    <n v="0"/>
    <x v="0"/>
    <n v="38"/>
    <x v="0"/>
    <n v="3"/>
    <n v="3"/>
    <s v="Graduate"/>
    <x v="1"/>
    <n v="1"/>
    <n v="20"/>
    <n v="20"/>
    <x v="0"/>
    <n v="0"/>
    <x v="0"/>
    <n v="0"/>
    <n v="0"/>
    <n v="0"/>
    <n v="175"/>
    <n v="175"/>
    <x v="1"/>
    <n v="112"/>
    <n v="73"/>
    <n v="19.489999999999998"/>
    <n v="19.489999999999998"/>
    <x v="1"/>
    <n v="70"/>
    <n v="70"/>
    <n v="71"/>
    <n v="71"/>
    <x v="0"/>
    <x v="0"/>
  </r>
  <r>
    <n v="1"/>
    <x v="1"/>
    <n v="38"/>
    <x v="0"/>
    <n v="1"/>
    <n v="1"/>
    <s v="Primary"/>
    <x v="2"/>
    <n v="1"/>
    <n v="9"/>
    <n v="9"/>
    <x v="0"/>
    <n v="0"/>
    <x v="0"/>
    <n v="0"/>
    <n v="0"/>
    <n v="0"/>
    <n v="163"/>
    <n v="163"/>
    <x v="1"/>
    <n v="117.5"/>
    <n v="75"/>
    <n v="28.3"/>
    <n v="28.3"/>
    <x v="0"/>
    <n v="75"/>
    <n v="75"/>
    <n v="70"/>
    <n v="70"/>
    <x v="0"/>
    <x v="0"/>
  </r>
  <r>
    <n v="0"/>
    <x v="0"/>
    <n v="38"/>
    <x v="0"/>
    <n v="2"/>
    <n v="2"/>
    <s v="Secondary"/>
    <x v="0"/>
    <n v="1"/>
    <n v="3"/>
    <n v="3"/>
    <x v="0"/>
    <n v="0"/>
    <x v="0"/>
    <n v="0"/>
    <n v="0"/>
    <n v="0"/>
    <n v="180"/>
    <n v="180"/>
    <x v="1"/>
    <n v="115"/>
    <n v="86"/>
    <n v="24.91"/>
    <n v="24.91"/>
    <x v="1"/>
    <n v="70"/>
    <n v="70"/>
    <s v="NA"/>
    <n v="81.96365524402907"/>
    <x v="0"/>
    <x v="0"/>
  </r>
  <r>
    <n v="0"/>
    <x v="0"/>
    <n v="38"/>
    <x v="0"/>
    <n v="2"/>
    <n v="2"/>
    <s v="Secondary"/>
    <x v="0"/>
    <n v="1"/>
    <n v="35"/>
    <n v="35"/>
    <x v="0"/>
    <n v="0"/>
    <x v="0"/>
    <n v="0"/>
    <n v="0"/>
    <n v="0"/>
    <n v="192"/>
    <n v="192"/>
    <x v="1"/>
    <n v="107"/>
    <n v="71"/>
    <n v="24.28"/>
    <n v="24.28"/>
    <x v="1"/>
    <n v="75"/>
    <n v="75"/>
    <s v="NA"/>
    <n v="81.96365524402907"/>
    <x v="0"/>
    <x v="0"/>
  </r>
  <r>
    <n v="0"/>
    <x v="0"/>
    <n v="38"/>
    <x v="0"/>
    <n v="1"/>
    <n v="1"/>
    <s v="Primary"/>
    <x v="2"/>
    <n v="0"/>
    <n v="0"/>
    <n v="0"/>
    <x v="1"/>
    <n v="0"/>
    <x v="0"/>
    <n v="0"/>
    <n v="0"/>
    <n v="0"/>
    <n v="214"/>
    <n v="214"/>
    <x v="1"/>
    <n v="115"/>
    <n v="90"/>
    <n v="25.69"/>
    <n v="25.69"/>
    <x v="0"/>
    <n v="80"/>
    <n v="80"/>
    <n v="65"/>
    <n v="65"/>
    <x v="0"/>
    <x v="0"/>
  </r>
  <r>
    <n v="0"/>
    <x v="0"/>
    <n v="38"/>
    <x v="0"/>
    <n v="3"/>
    <n v="3"/>
    <s v="Graduate"/>
    <x v="1"/>
    <n v="0"/>
    <n v="0"/>
    <n v="0"/>
    <x v="1"/>
    <n v="0"/>
    <x v="0"/>
    <n v="0"/>
    <n v="0"/>
    <n v="0"/>
    <n v="185"/>
    <n v="185"/>
    <x v="1"/>
    <n v="100"/>
    <n v="72"/>
    <n v="22.15"/>
    <n v="22.15"/>
    <x v="1"/>
    <n v="85"/>
    <n v="85"/>
    <n v="83"/>
    <n v="83"/>
    <x v="0"/>
    <x v="0"/>
  </r>
  <r>
    <n v="1"/>
    <x v="1"/>
    <n v="38"/>
    <x v="0"/>
    <n v="2"/>
    <n v="2"/>
    <s v="Secondary"/>
    <x v="0"/>
    <n v="1"/>
    <n v="30"/>
    <n v="30"/>
    <x v="0"/>
    <n v="0"/>
    <x v="0"/>
    <n v="0"/>
    <n v="1"/>
    <n v="0"/>
    <n v="266"/>
    <n v="266"/>
    <x v="0"/>
    <n v="149"/>
    <n v="91"/>
    <n v="31.08"/>
    <n v="31.08"/>
    <x v="2"/>
    <n v="69"/>
    <n v="69"/>
    <n v="61"/>
    <n v="61"/>
    <x v="0"/>
    <x v="0"/>
  </r>
  <r>
    <n v="0"/>
    <x v="0"/>
    <n v="38"/>
    <x v="0"/>
    <n v="4"/>
    <n v="4"/>
    <s v="Post Graduate"/>
    <x v="3"/>
    <n v="0"/>
    <n v="0"/>
    <n v="0"/>
    <x v="1"/>
    <n v="0"/>
    <x v="0"/>
    <n v="0"/>
    <n v="0"/>
    <n v="0"/>
    <n v="254"/>
    <n v="254"/>
    <x v="0"/>
    <n v="120.5"/>
    <n v="76"/>
    <n v="22.73"/>
    <n v="22.73"/>
    <x v="1"/>
    <n v="75"/>
    <n v="75"/>
    <n v="78"/>
    <n v="78"/>
    <x v="0"/>
    <x v="0"/>
  </r>
  <r>
    <n v="1"/>
    <x v="1"/>
    <n v="38"/>
    <x v="0"/>
    <n v="4"/>
    <n v="4"/>
    <s v="Post Graduate"/>
    <x v="3"/>
    <n v="1"/>
    <n v="15"/>
    <n v="15"/>
    <x v="0"/>
    <n v="0"/>
    <x v="0"/>
    <n v="0"/>
    <n v="0"/>
    <n v="0"/>
    <n v="248"/>
    <n v="248"/>
    <x v="0"/>
    <n v="110"/>
    <n v="61"/>
    <n v="22.17"/>
    <n v="22.17"/>
    <x v="1"/>
    <n v="85"/>
    <n v="85"/>
    <n v="55"/>
    <n v="55"/>
    <x v="0"/>
    <x v="1"/>
  </r>
  <r>
    <n v="0"/>
    <x v="0"/>
    <n v="38"/>
    <x v="0"/>
    <n v="3"/>
    <n v="3"/>
    <s v="Graduate"/>
    <x v="1"/>
    <n v="1"/>
    <n v="20"/>
    <n v="20"/>
    <x v="0"/>
    <n v="0"/>
    <x v="0"/>
    <n v="0"/>
    <n v="0"/>
    <n v="0"/>
    <n v="167"/>
    <n v="167"/>
    <x v="1"/>
    <n v="105"/>
    <n v="70"/>
    <n v="19.760000000000002"/>
    <n v="19.760000000000002"/>
    <x v="1"/>
    <n v="80"/>
    <n v="80"/>
    <n v="80"/>
    <n v="80"/>
    <x v="0"/>
    <x v="0"/>
  </r>
  <r>
    <n v="1"/>
    <x v="1"/>
    <n v="38"/>
    <x v="0"/>
    <n v="4"/>
    <n v="4"/>
    <s v="Post Graduate"/>
    <x v="3"/>
    <n v="0"/>
    <n v="0"/>
    <n v="0"/>
    <x v="1"/>
    <n v="0"/>
    <x v="0"/>
    <n v="0"/>
    <n v="0"/>
    <n v="0"/>
    <n v="210"/>
    <n v="210"/>
    <x v="1"/>
    <n v="116.5"/>
    <n v="74"/>
    <n v="21.19"/>
    <n v="21.19"/>
    <x v="1"/>
    <n v="65"/>
    <n v="65"/>
    <n v="89"/>
    <n v="89"/>
    <x v="0"/>
    <x v="0"/>
  </r>
  <r>
    <n v="1"/>
    <x v="1"/>
    <n v="38"/>
    <x v="0"/>
    <n v="1"/>
    <n v="1"/>
    <s v="Primary"/>
    <x v="2"/>
    <n v="1"/>
    <n v="9"/>
    <n v="9"/>
    <x v="0"/>
    <n v="0"/>
    <x v="0"/>
    <n v="0"/>
    <n v="0"/>
    <n v="0"/>
    <n v="305"/>
    <n v="305"/>
    <x v="0"/>
    <n v="114"/>
    <n v="80"/>
    <n v="28.61"/>
    <n v="28.61"/>
    <x v="0"/>
    <n v="75"/>
    <n v="75"/>
    <n v="71"/>
    <n v="71"/>
    <x v="0"/>
    <x v="0"/>
  </r>
  <r>
    <n v="0"/>
    <x v="0"/>
    <n v="38"/>
    <x v="0"/>
    <n v="3"/>
    <n v="3"/>
    <s v="Graduate"/>
    <x v="1"/>
    <n v="1"/>
    <n v="35"/>
    <n v="35"/>
    <x v="0"/>
    <n v="0"/>
    <x v="0"/>
    <n v="0"/>
    <n v="0"/>
    <n v="0"/>
    <n v="164"/>
    <n v="164"/>
    <x v="1"/>
    <n v="110"/>
    <n v="76"/>
    <n v="23.85"/>
    <n v="23.85"/>
    <x v="1"/>
    <n v="68"/>
    <n v="68"/>
    <n v="83"/>
    <n v="83"/>
    <x v="0"/>
    <x v="0"/>
  </r>
  <r>
    <n v="1"/>
    <x v="1"/>
    <n v="38"/>
    <x v="0"/>
    <n v="2"/>
    <n v="2"/>
    <s v="Secondary"/>
    <x v="0"/>
    <n v="0"/>
    <n v="0"/>
    <n v="0"/>
    <x v="1"/>
    <n v="0"/>
    <x v="0"/>
    <n v="0"/>
    <n v="0"/>
    <n v="0"/>
    <n v="155"/>
    <n v="155"/>
    <x v="1"/>
    <n v="131.5"/>
    <n v="77.5"/>
    <n v="25.94"/>
    <n v="25.94"/>
    <x v="0"/>
    <n v="74"/>
    <n v="74"/>
    <n v="84"/>
    <n v="84"/>
    <x v="0"/>
    <x v="0"/>
  </r>
  <r>
    <n v="0"/>
    <x v="0"/>
    <n v="38"/>
    <x v="0"/>
    <n v="3"/>
    <n v="3"/>
    <s v="Graduate"/>
    <x v="1"/>
    <n v="0"/>
    <n v="0"/>
    <n v="0"/>
    <x v="1"/>
    <n v="0"/>
    <x v="0"/>
    <n v="0"/>
    <n v="0"/>
    <n v="0"/>
    <n v="159"/>
    <n v="159"/>
    <x v="1"/>
    <n v="108"/>
    <n v="72"/>
    <n v="27.68"/>
    <n v="27.68"/>
    <x v="0"/>
    <n v="70"/>
    <n v="70"/>
    <n v="84"/>
    <n v="84"/>
    <x v="0"/>
    <x v="0"/>
  </r>
  <r>
    <n v="1"/>
    <x v="1"/>
    <n v="38"/>
    <x v="0"/>
    <n v="4"/>
    <n v="4"/>
    <s v="Post Graduate"/>
    <x v="3"/>
    <n v="0"/>
    <n v="0"/>
    <n v="0"/>
    <x v="1"/>
    <n v="0"/>
    <x v="0"/>
    <n v="0"/>
    <n v="0"/>
    <n v="0"/>
    <n v="197"/>
    <n v="197"/>
    <x v="1"/>
    <n v="121"/>
    <n v="82"/>
    <n v="24.57"/>
    <n v="24.57"/>
    <x v="1"/>
    <n v="60"/>
    <n v="60"/>
    <n v="74"/>
    <n v="74"/>
    <x v="0"/>
    <x v="0"/>
  </r>
  <r>
    <n v="0"/>
    <x v="0"/>
    <n v="38"/>
    <x v="0"/>
    <n v="2"/>
    <n v="2"/>
    <s v="Secondary"/>
    <x v="0"/>
    <n v="0"/>
    <n v="0"/>
    <n v="0"/>
    <x v="1"/>
    <n v="0"/>
    <x v="0"/>
    <n v="0"/>
    <n v="0"/>
    <n v="0"/>
    <n v="175"/>
    <n v="175"/>
    <x v="1"/>
    <n v="142"/>
    <n v="86"/>
    <n v="22.01"/>
    <n v="22.01"/>
    <x v="1"/>
    <n v="82"/>
    <n v="82"/>
    <n v="73"/>
    <n v="73"/>
    <x v="0"/>
    <x v="0"/>
  </r>
  <r>
    <n v="1"/>
    <x v="1"/>
    <n v="38"/>
    <x v="0"/>
    <n v="3"/>
    <n v="3"/>
    <s v="Graduate"/>
    <x v="1"/>
    <n v="0"/>
    <n v="0"/>
    <n v="0"/>
    <x v="1"/>
    <n v="0"/>
    <x v="0"/>
    <n v="0"/>
    <n v="1"/>
    <n v="0"/>
    <n v="216"/>
    <n v="216"/>
    <x v="1"/>
    <n v="124"/>
    <n v="84"/>
    <n v="28.12"/>
    <n v="28.12"/>
    <x v="0"/>
    <n v="63"/>
    <n v="63"/>
    <n v="75"/>
    <n v="75"/>
    <x v="0"/>
    <x v="0"/>
  </r>
  <r>
    <n v="0"/>
    <x v="0"/>
    <n v="38"/>
    <x v="0"/>
    <n v="4"/>
    <n v="4"/>
    <s v="Post Graduate"/>
    <x v="3"/>
    <n v="0"/>
    <n v="0"/>
    <n v="0"/>
    <x v="1"/>
    <n v="0"/>
    <x v="0"/>
    <n v="0"/>
    <n v="0"/>
    <n v="0"/>
    <n v="227"/>
    <n v="227"/>
    <x v="1"/>
    <n v="99"/>
    <n v="62"/>
    <n v="27.16"/>
    <n v="27.16"/>
    <x v="0"/>
    <n v="75"/>
    <n v="75"/>
    <n v="90"/>
    <n v="90"/>
    <x v="0"/>
    <x v="0"/>
  </r>
  <r>
    <n v="0"/>
    <x v="0"/>
    <n v="38"/>
    <x v="0"/>
    <n v="1"/>
    <n v="1"/>
    <s v="Primary"/>
    <x v="2"/>
    <n v="1"/>
    <n v="20"/>
    <n v="20"/>
    <x v="0"/>
    <n v="0"/>
    <x v="0"/>
    <n v="0"/>
    <n v="0"/>
    <n v="0"/>
    <n v="214"/>
    <n v="214"/>
    <x v="1"/>
    <n v="101"/>
    <n v="70"/>
    <n v="21.83"/>
    <n v="21.83"/>
    <x v="1"/>
    <n v="75"/>
    <n v="75"/>
    <n v="77"/>
    <n v="77"/>
    <x v="0"/>
    <x v="0"/>
  </r>
  <r>
    <n v="1"/>
    <x v="1"/>
    <n v="38"/>
    <x v="0"/>
    <n v="2"/>
    <n v="2"/>
    <s v="Secondary"/>
    <x v="0"/>
    <n v="0"/>
    <n v="0"/>
    <n v="0"/>
    <x v="1"/>
    <n v="0"/>
    <x v="0"/>
    <n v="0"/>
    <n v="0"/>
    <n v="0"/>
    <n v="235"/>
    <n v="235"/>
    <x v="1"/>
    <n v="121"/>
    <n v="83"/>
    <n v="25.85"/>
    <n v="25.85"/>
    <x v="0"/>
    <n v="92"/>
    <n v="92"/>
    <n v="75"/>
    <n v="75"/>
    <x v="0"/>
    <x v="0"/>
  </r>
  <r>
    <n v="0"/>
    <x v="0"/>
    <n v="38"/>
    <x v="0"/>
    <n v="2"/>
    <n v="2"/>
    <s v="Secondary"/>
    <x v="0"/>
    <n v="0"/>
    <n v="0"/>
    <n v="0"/>
    <x v="1"/>
    <n v="0"/>
    <x v="0"/>
    <n v="0"/>
    <n v="0"/>
    <n v="0"/>
    <n v="169"/>
    <n v="169"/>
    <x v="1"/>
    <n v="115"/>
    <n v="60"/>
    <n v="26.87"/>
    <n v="26.87"/>
    <x v="0"/>
    <n v="65"/>
    <n v="65"/>
    <n v="60"/>
    <n v="60"/>
    <x v="0"/>
    <x v="0"/>
  </r>
  <r>
    <n v="0"/>
    <x v="0"/>
    <n v="38"/>
    <x v="0"/>
    <n v="2"/>
    <n v="2"/>
    <s v="Secondary"/>
    <x v="0"/>
    <n v="0"/>
    <n v="0"/>
    <n v="0"/>
    <x v="1"/>
    <n v="0"/>
    <x v="0"/>
    <n v="0"/>
    <n v="0"/>
    <n v="0"/>
    <n v="216"/>
    <n v="216"/>
    <x v="1"/>
    <n v="142"/>
    <n v="72"/>
    <n v="22.01"/>
    <n v="22.01"/>
    <x v="1"/>
    <n v="63"/>
    <n v="63"/>
    <n v="75"/>
    <n v="75"/>
    <x v="0"/>
    <x v="0"/>
  </r>
  <r>
    <n v="1"/>
    <x v="1"/>
    <n v="39"/>
    <x v="0"/>
    <n v="4"/>
    <n v="4"/>
    <s v="Post Graduate"/>
    <x v="3"/>
    <n v="0"/>
    <n v="0"/>
    <n v="0"/>
    <x v="1"/>
    <n v="0"/>
    <x v="0"/>
    <n v="0"/>
    <n v="0"/>
    <n v="0"/>
    <n v="195"/>
    <n v="195"/>
    <x v="1"/>
    <n v="106"/>
    <n v="70"/>
    <n v="26.97"/>
    <n v="26.97"/>
    <x v="0"/>
    <n v="80"/>
    <n v="80"/>
    <n v="77"/>
    <n v="77"/>
    <x v="0"/>
    <x v="0"/>
  </r>
  <r>
    <n v="0"/>
    <x v="0"/>
    <n v="39"/>
    <x v="0"/>
    <n v="2"/>
    <n v="2"/>
    <s v="Secondary"/>
    <x v="0"/>
    <n v="1"/>
    <n v="9"/>
    <n v="9"/>
    <x v="0"/>
    <n v="0"/>
    <x v="0"/>
    <n v="0"/>
    <n v="0"/>
    <n v="0"/>
    <n v="226"/>
    <n v="226"/>
    <x v="1"/>
    <n v="114"/>
    <n v="64"/>
    <n v="22.35"/>
    <n v="22.35"/>
    <x v="1"/>
    <n v="85"/>
    <n v="85"/>
    <s v="NA"/>
    <n v="81.96365524402907"/>
    <x v="0"/>
    <x v="0"/>
  </r>
  <r>
    <n v="0"/>
    <x v="0"/>
    <n v="39"/>
    <x v="0"/>
    <n v="2"/>
    <n v="2"/>
    <s v="Secondary"/>
    <x v="0"/>
    <n v="1"/>
    <n v="20"/>
    <n v="20"/>
    <x v="0"/>
    <n v="0"/>
    <x v="0"/>
    <n v="0"/>
    <n v="0"/>
    <n v="0"/>
    <n v="209"/>
    <n v="209"/>
    <x v="1"/>
    <n v="115"/>
    <n v="75"/>
    <n v="22.54"/>
    <n v="22.54"/>
    <x v="1"/>
    <n v="90"/>
    <n v="90"/>
    <s v="NA"/>
    <n v="81.96365524402907"/>
    <x v="0"/>
    <x v="0"/>
  </r>
  <r>
    <n v="1"/>
    <x v="1"/>
    <n v="39"/>
    <x v="0"/>
    <n v="2"/>
    <n v="2"/>
    <s v="Secondary"/>
    <x v="0"/>
    <n v="0"/>
    <n v="0"/>
    <n v="0"/>
    <x v="1"/>
    <n v="0"/>
    <x v="0"/>
    <n v="0"/>
    <n v="1"/>
    <n v="0"/>
    <n v="285"/>
    <n v="285"/>
    <x v="0"/>
    <n v="155"/>
    <n v="110"/>
    <n v="32.51"/>
    <n v="32.51"/>
    <x v="2"/>
    <n v="84"/>
    <n v="84"/>
    <n v="70"/>
    <n v="70"/>
    <x v="0"/>
    <x v="1"/>
  </r>
  <r>
    <n v="1"/>
    <x v="1"/>
    <n v="39"/>
    <x v="0"/>
    <n v="2"/>
    <n v="2"/>
    <s v="Secondary"/>
    <x v="0"/>
    <n v="1"/>
    <n v="15"/>
    <n v="15"/>
    <x v="0"/>
    <n v="0"/>
    <x v="0"/>
    <n v="0"/>
    <n v="0"/>
    <n v="0"/>
    <n v="256"/>
    <n v="256"/>
    <x v="0"/>
    <n v="132.5"/>
    <n v="80"/>
    <n v="24.8"/>
    <n v="24.8"/>
    <x v="1"/>
    <n v="75"/>
    <n v="75"/>
    <n v="97"/>
    <n v="97"/>
    <x v="0"/>
    <x v="0"/>
  </r>
  <r>
    <n v="0"/>
    <x v="0"/>
    <n v="39"/>
    <x v="0"/>
    <n v="4"/>
    <n v="4"/>
    <s v="Post Graduate"/>
    <x v="3"/>
    <n v="0"/>
    <n v="0"/>
    <n v="0"/>
    <x v="1"/>
    <n v="0"/>
    <x v="0"/>
    <n v="0"/>
    <n v="0"/>
    <n v="0"/>
    <n v="241"/>
    <n v="241"/>
    <x v="0"/>
    <n v="105"/>
    <n v="75"/>
    <n v="26.12"/>
    <n v="26.12"/>
    <x v="0"/>
    <n v="68"/>
    <n v="68"/>
    <n v="87"/>
    <n v="87"/>
    <x v="0"/>
    <x v="0"/>
  </r>
  <r>
    <n v="1"/>
    <x v="1"/>
    <n v="39"/>
    <x v="0"/>
    <n v="1"/>
    <n v="1"/>
    <s v="Primary"/>
    <x v="2"/>
    <n v="1"/>
    <n v="40"/>
    <n v="40"/>
    <x v="0"/>
    <n v="0"/>
    <x v="0"/>
    <n v="0"/>
    <n v="0"/>
    <n v="0"/>
    <n v="209"/>
    <n v="209"/>
    <x v="1"/>
    <n v="134"/>
    <n v="82"/>
    <n v="28.34"/>
    <n v="28.34"/>
    <x v="0"/>
    <n v="70"/>
    <n v="70"/>
    <n v="75"/>
    <n v="75"/>
    <x v="0"/>
    <x v="0"/>
  </r>
  <r>
    <n v="1"/>
    <x v="1"/>
    <n v="39"/>
    <x v="0"/>
    <n v="2"/>
    <n v="2"/>
    <s v="Secondary"/>
    <x v="0"/>
    <n v="0"/>
    <n v="0"/>
    <n v="0"/>
    <x v="1"/>
    <n v="0"/>
    <x v="0"/>
    <n v="0"/>
    <n v="0"/>
    <n v="0"/>
    <n v="167"/>
    <n v="167"/>
    <x v="1"/>
    <n v="109"/>
    <n v="78"/>
    <n v="21.19"/>
    <n v="21.19"/>
    <x v="1"/>
    <n v="68"/>
    <n v="68"/>
    <n v="71"/>
    <n v="71"/>
    <x v="0"/>
    <x v="0"/>
  </r>
  <r>
    <n v="0"/>
    <x v="0"/>
    <n v="39"/>
    <x v="0"/>
    <n v="3"/>
    <n v="3"/>
    <s v="Graduate"/>
    <x v="1"/>
    <n v="1"/>
    <n v="12"/>
    <n v="12"/>
    <x v="0"/>
    <n v="0"/>
    <x v="0"/>
    <n v="0"/>
    <n v="0"/>
    <n v="0"/>
    <n v="200"/>
    <n v="200"/>
    <x v="1"/>
    <n v="111"/>
    <n v="64"/>
    <n v="19.239999999999998"/>
    <n v="19.239999999999998"/>
    <x v="1"/>
    <n v="68"/>
    <n v="68"/>
    <n v="60"/>
    <n v="60"/>
    <x v="0"/>
    <x v="0"/>
  </r>
  <r>
    <n v="0"/>
    <x v="0"/>
    <n v="39"/>
    <x v="0"/>
    <n v="1"/>
    <n v="1"/>
    <s v="Primary"/>
    <x v="2"/>
    <n v="1"/>
    <n v="5"/>
    <n v="5"/>
    <x v="0"/>
    <n v="0"/>
    <x v="0"/>
    <n v="0"/>
    <n v="0"/>
    <n v="0"/>
    <n v="236"/>
    <n v="236"/>
    <x v="1"/>
    <n v="117.5"/>
    <n v="71"/>
    <n v="27.27"/>
    <n v="27.27"/>
    <x v="0"/>
    <n v="77"/>
    <n v="77"/>
    <n v="74"/>
    <n v="74"/>
    <x v="0"/>
    <x v="0"/>
  </r>
  <r>
    <n v="0"/>
    <x v="0"/>
    <n v="39"/>
    <x v="0"/>
    <n v="1"/>
    <n v="1"/>
    <s v="Primary"/>
    <x v="2"/>
    <n v="0"/>
    <n v="0"/>
    <n v="0"/>
    <x v="1"/>
    <n v="0"/>
    <x v="0"/>
    <n v="0"/>
    <n v="0"/>
    <n v="0"/>
    <n v="182"/>
    <n v="182"/>
    <x v="1"/>
    <n v="109"/>
    <n v="70"/>
    <n v="20.59"/>
    <n v="20.59"/>
    <x v="1"/>
    <n v="72"/>
    <n v="72"/>
    <n v="66"/>
    <n v="66"/>
    <x v="0"/>
    <x v="0"/>
  </r>
  <r>
    <n v="1"/>
    <x v="1"/>
    <n v="39"/>
    <x v="0"/>
    <n v="1"/>
    <n v="1"/>
    <s v="Primary"/>
    <x v="2"/>
    <n v="1"/>
    <n v="30"/>
    <n v="30"/>
    <x v="0"/>
    <n v="0"/>
    <x v="0"/>
    <n v="0"/>
    <n v="0"/>
    <n v="0"/>
    <n v="300"/>
    <n v="300"/>
    <x v="0"/>
    <n v="139"/>
    <n v="90"/>
    <n v="30.96"/>
    <n v="30.96"/>
    <x v="2"/>
    <n v="73"/>
    <n v="73"/>
    <n v="107"/>
    <n v="107"/>
    <x v="0"/>
    <x v="0"/>
  </r>
  <r>
    <n v="0"/>
    <x v="0"/>
    <n v="39"/>
    <x v="0"/>
    <n v="4"/>
    <n v="4"/>
    <s v="Post Graduate"/>
    <x v="3"/>
    <n v="0"/>
    <n v="0"/>
    <n v="0"/>
    <x v="1"/>
    <n v="0"/>
    <x v="0"/>
    <n v="0"/>
    <n v="0"/>
    <n v="0"/>
    <n v="260"/>
    <n v="260"/>
    <x v="0"/>
    <n v="100"/>
    <n v="74.5"/>
    <n v="20.51"/>
    <n v="20.51"/>
    <x v="1"/>
    <n v="96"/>
    <n v="96"/>
    <n v="66"/>
    <n v="66"/>
    <x v="0"/>
    <x v="0"/>
  </r>
  <r>
    <n v="1"/>
    <x v="1"/>
    <n v="39"/>
    <x v="0"/>
    <n v="2"/>
    <n v="2"/>
    <s v="Secondary"/>
    <x v="0"/>
    <n v="0"/>
    <n v="0"/>
    <n v="0"/>
    <x v="1"/>
    <n v="0"/>
    <x v="0"/>
    <n v="0"/>
    <n v="0"/>
    <n v="0"/>
    <n v="258"/>
    <n v="258"/>
    <x v="0"/>
    <n v="105"/>
    <n v="69"/>
    <n v="24.1"/>
    <n v="24.1"/>
    <x v="1"/>
    <n v="52"/>
    <n v="52"/>
    <n v="79"/>
    <n v="79"/>
    <x v="0"/>
    <x v="0"/>
  </r>
  <r>
    <n v="0"/>
    <x v="0"/>
    <n v="39"/>
    <x v="0"/>
    <n v="3"/>
    <n v="3"/>
    <s v="Graduate"/>
    <x v="1"/>
    <n v="1"/>
    <n v="20"/>
    <n v="20"/>
    <x v="0"/>
    <n v="0"/>
    <x v="0"/>
    <n v="0"/>
    <n v="0"/>
    <n v="0"/>
    <n v="269"/>
    <n v="269"/>
    <x v="0"/>
    <n v="97"/>
    <n v="64"/>
    <n v="23.09"/>
    <n v="23.09"/>
    <x v="1"/>
    <n v="82"/>
    <n v="82"/>
    <n v="67"/>
    <n v="67"/>
    <x v="0"/>
    <x v="0"/>
  </r>
  <r>
    <n v="1"/>
    <x v="1"/>
    <n v="39"/>
    <x v="0"/>
    <n v="1"/>
    <n v="1"/>
    <s v="Primary"/>
    <x v="2"/>
    <n v="1"/>
    <n v="20"/>
    <n v="20"/>
    <x v="0"/>
    <n v="0"/>
    <x v="0"/>
    <n v="0"/>
    <n v="0"/>
    <n v="0"/>
    <n v="258"/>
    <n v="258"/>
    <x v="0"/>
    <n v="110"/>
    <n v="65"/>
    <n v="19.97"/>
    <n v="19.97"/>
    <x v="1"/>
    <n v="65"/>
    <n v="65"/>
    <n v="85"/>
    <n v="85"/>
    <x v="0"/>
    <x v="0"/>
  </r>
  <r>
    <n v="0"/>
    <x v="0"/>
    <n v="39"/>
    <x v="0"/>
    <n v="2"/>
    <n v="2"/>
    <s v="Secondary"/>
    <x v="0"/>
    <n v="0"/>
    <n v="0"/>
    <n v="0"/>
    <x v="1"/>
    <s v="NA"/>
    <x v="0"/>
    <n v="0"/>
    <n v="0"/>
    <n v="0"/>
    <n v="242"/>
    <n v="242"/>
    <x v="0"/>
    <n v="113"/>
    <n v="85"/>
    <n v="25.54"/>
    <n v="25.54"/>
    <x v="0"/>
    <n v="85"/>
    <n v="85"/>
    <n v="104"/>
    <n v="104"/>
    <x v="1"/>
    <x v="0"/>
  </r>
  <r>
    <n v="1"/>
    <x v="1"/>
    <n v="39"/>
    <x v="0"/>
    <n v="2"/>
    <n v="2"/>
    <s v="Secondary"/>
    <x v="0"/>
    <n v="1"/>
    <n v="20"/>
    <n v="20"/>
    <x v="0"/>
    <n v="0"/>
    <x v="0"/>
    <n v="0"/>
    <n v="0"/>
    <n v="0"/>
    <n v="222"/>
    <n v="222"/>
    <x v="1"/>
    <n v="97.5"/>
    <n v="57.5"/>
    <n v="23.22"/>
    <n v="23.22"/>
    <x v="1"/>
    <n v="73"/>
    <n v="73"/>
    <n v="64"/>
    <n v="64"/>
    <x v="0"/>
    <x v="0"/>
  </r>
  <r>
    <n v="1"/>
    <x v="1"/>
    <n v="39"/>
    <x v="0"/>
    <n v="1"/>
    <n v="1"/>
    <s v="Primary"/>
    <x v="2"/>
    <n v="1"/>
    <n v="20"/>
    <n v="20"/>
    <x v="0"/>
    <n v="0"/>
    <x v="0"/>
    <n v="0"/>
    <n v="1"/>
    <n v="0"/>
    <n v="220"/>
    <n v="220"/>
    <x v="1"/>
    <n v="145"/>
    <n v="99"/>
    <n v="26.5"/>
    <n v="26.5"/>
    <x v="0"/>
    <n v="73"/>
    <n v="73"/>
    <n v="90"/>
    <n v="90"/>
    <x v="0"/>
    <x v="0"/>
  </r>
  <r>
    <n v="1"/>
    <x v="1"/>
    <n v="39"/>
    <x v="0"/>
    <n v="1"/>
    <n v="1"/>
    <s v="Primary"/>
    <x v="2"/>
    <n v="1"/>
    <n v="30"/>
    <n v="30"/>
    <x v="0"/>
    <n v="0"/>
    <x v="0"/>
    <n v="0"/>
    <n v="0"/>
    <n v="0"/>
    <n v="196"/>
    <n v="196"/>
    <x v="1"/>
    <n v="121"/>
    <n v="83"/>
    <n v="25.38"/>
    <n v="25.38"/>
    <x v="0"/>
    <n v="90"/>
    <n v="90"/>
    <n v="68"/>
    <n v="68"/>
    <x v="0"/>
    <x v="0"/>
  </r>
  <r>
    <n v="1"/>
    <x v="1"/>
    <n v="39"/>
    <x v="0"/>
    <n v="1"/>
    <n v="1"/>
    <s v="Primary"/>
    <x v="2"/>
    <n v="1"/>
    <n v="30"/>
    <n v="30"/>
    <x v="0"/>
    <n v="0"/>
    <x v="0"/>
    <n v="0"/>
    <n v="1"/>
    <n v="0"/>
    <n v="220"/>
    <n v="220"/>
    <x v="1"/>
    <n v="135"/>
    <n v="85"/>
    <n v="27.17"/>
    <n v="27.17"/>
    <x v="0"/>
    <n v="70"/>
    <n v="70"/>
    <n v="81"/>
    <n v="81"/>
    <x v="0"/>
    <x v="0"/>
  </r>
  <r>
    <n v="1"/>
    <x v="1"/>
    <n v="39"/>
    <x v="0"/>
    <n v="2"/>
    <n v="2"/>
    <s v="Secondary"/>
    <x v="0"/>
    <n v="0"/>
    <n v="0"/>
    <n v="0"/>
    <x v="1"/>
    <n v="0"/>
    <x v="0"/>
    <n v="0"/>
    <n v="0"/>
    <n v="0"/>
    <n v="235"/>
    <n v="235"/>
    <x v="1"/>
    <n v="120"/>
    <n v="80"/>
    <n v="27.23"/>
    <n v="27.23"/>
    <x v="0"/>
    <n v="62"/>
    <n v="62"/>
    <n v="87"/>
    <n v="87"/>
    <x v="0"/>
    <x v="0"/>
  </r>
  <r>
    <n v="0"/>
    <x v="0"/>
    <n v="39"/>
    <x v="0"/>
    <n v="2"/>
    <n v="2"/>
    <s v="Secondary"/>
    <x v="0"/>
    <n v="0"/>
    <n v="0"/>
    <n v="0"/>
    <x v="1"/>
    <n v="0"/>
    <x v="0"/>
    <n v="0"/>
    <n v="0"/>
    <n v="0"/>
    <n v="167"/>
    <n v="167"/>
    <x v="1"/>
    <n v="127.5"/>
    <n v="86.5"/>
    <n v="28.28"/>
    <n v="28.28"/>
    <x v="0"/>
    <n v="72"/>
    <n v="72"/>
    <n v="82"/>
    <n v="82"/>
    <x v="0"/>
    <x v="0"/>
  </r>
  <r>
    <n v="0"/>
    <x v="0"/>
    <n v="39"/>
    <x v="0"/>
    <n v="2"/>
    <n v="2"/>
    <s v="Secondary"/>
    <x v="0"/>
    <n v="1"/>
    <n v="20"/>
    <n v="20"/>
    <x v="0"/>
    <n v="0"/>
    <x v="0"/>
    <n v="0"/>
    <n v="0"/>
    <n v="0"/>
    <n v="185"/>
    <n v="185"/>
    <x v="1"/>
    <n v="111"/>
    <n v="67"/>
    <n v="23.87"/>
    <n v="23.87"/>
    <x v="1"/>
    <n v="70"/>
    <n v="70"/>
    <n v="87"/>
    <n v="87"/>
    <x v="0"/>
    <x v="0"/>
  </r>
  <r>
    <n v="1"/>
    <x v="1"/>
    <n v="39"/>
    <x v="0"/>
    <n v="3"/>
    <n v="3"/>
    <s v="Graduate"/>
    <x v="1"/>
    <n v="0"/>
    <n v="0"/>
    <n v="0"/>
    <x v="1"/>
    <n v="0"/>
    <x v="0"/>
    <n v="0"/>
    <n v="0"/>
    <n v="0"/>
    <n v="202"/>
    <n v="202"/>
    <x v="1"/>
    <n v="136.5"/>
    <n v="79"/>
    <n v="24.35"/>
    <n v="24.35"/>
    <x v="1"/>
    <n v="73"/>
    <n v="73"/>
    <n v="60"/>
    <n v="60"/>
    <x v="0"/>
    <x v="0"/>
  </r>
  <r>
    <n v="0"/>
    <x v="0"/>
    <n v="39"/>
    <x v="0"/>
    <n v="2"/>
    <n v="2"/>
    <s v="Secondary"/>
    <x v="0"/>
    <n v="0"/>
    <n v="0"/>
    <n v="0"/>
    <x v="1"/>
    <n v="0"/>
    <x v="0"/>
    <n v="0"/>
    <n v="0"/>
    <n v="0"/>
    <n v="190"/>
    <n v="190"/>
    <x v="1"/>
    <n v="120"/>
    <n v="80"/>
    <n v="27.16"/>
    <n v="27.16"/>
    <x v="0"/>
    <n v="70"/>
    <n v="70"/>
    <n v="85"/>
    <n v="85"/>
    <x v="0"/>
    <x v="0"/>
  </r>
  <r>
    <n v="1"/>
    <x v="1"/>
    <n v="39"/>
    <x v="0"/>
    <n v="1"/>
    <n v="1"/>
    <s v="Primary"/>
    <x v="2"/>
    <n v="1"/>
    <n v="5"/>
    <n v="5"/>
    <x v="0"/>
    <n v="0"/>
    <x v="0"/>
    <n v="0"/>
    <n v="1"/>
    <n v="0"/>
    <n v="227"/>
    <n v="227"/>
    <x v="1"/>
    <n v="132"/>
    <n v="92"/>
    <n v="26.47"/>
    <n v="26.47"/>
    <x v="0"/>
    <n v="63"/>
    <n v="63"/>
    <n v="74"/>
    <n v="74"/>
    <x v="0"/>
    <x v="0"/>
  </r>
  <r>
    <n v="0"/>
    <x v="0"/>
    <n v="39"/>
    <x v="0"/>
    <n v="2"/>
    <n v="2"/>
    <s v="Secondary"/>
    <x v="0"/>
    <n v="0"/>
    <n v="0"/>
    <n v="0"/>
    <x v="1"/>
    <n v="0"/>
    <x v="0"/>
    <n v="0"/>
    <n v="1"/>
    <n v="0"/>
    <n v="252"/>
    <n v="252"/>
    <x v="0"/>
    <n v="128"/>
    <n v="93"/>
    <n v="30.36"/>
    <n v="30.36"/>
    <x v="2"/>
    <n v="105"/>
    <n v="105"/>
    <n v="63"/>
    <n v="63"/>
    <x v="0"/>
    <x v="0"/>
  </r>
  <r>
    <n v="0"/>
    <x v="0"/>
    <n v="39"/>
    <x v="0"/>
    <n v="3"/>
    <n v="3"/>
    <s v="Graduate"/>
    <x v="1"/>
    <n v="1"/>
    <n v="30"/>
    <n v="30"/>
    <x v="0"/>
    <n v="0"/>
    <x v="0"/>
    <n v="0"/>
    <n v="1"/>
    <n v="0"/>
    <n v="277"/>
    <n v="277"/>
    <x v="0"/>
    <n v="148"/>
    <n v="100"/>
    <n v="24.12"/>
    <n v="24.12"/>
    <x v="1"/>
    <n v="85"/>
    <n v="85"/>
    <n v="72"/>
    <n v="72"/>
    <x v="0"/>
    <x v="0"/>
  </r>
  <r>
    <n v="1"/>
    <x v="1"/>
    <n v="39"/>
    <x v="0"/>
    <n v="4"/>
    <n v="4"/>
    <s v="Post Graduate"/>
    <x v="3"/>
    <n v="1"/>
    <n v="15"/>
    <n v="15"/>
    <x v="0"/>
    <n v="0"/>
    <x v="0"/>
    <n v="0"/>
    <n v="0"/>
    <n v="0"/>
    <n v="232"/>
    <n v="232"/>
    <x v="1"/>
    <n v="115"/>
    <n v="72.5"/>
    <n v="30.22"/>
    <n v="30.22"/>
    <x v="2"/>
    <n v="90"/>
    <n v="90"/>
    <n v="105"/>
    <n v="105"/>
    <x v="0"/>
    <x v="1"/>
  </r>
  <r>
    <n v="1"/>
    <x v="1"/>
    <n v="39"/>
    <x v="0"/>
    <n v="2"/>
    <n v="2"/>
    <s v="Secondary"/>
    <x v="0"/>
    <n v="0"/>
    <n v="0"/>
    <n v="0"/>
    <x v="1"/>
    <n v="0"/>
    <x v="0"/>
    <n v="0"/>
    <n v="0"/>
    <n v="0"/>
    <n v="203"/>
    <n v="203"/>
    <x v="1"/>
    <n v="117.5"/>
    <n v="77.5"/>
    <n v="27.29"/>
    <n v="27.29"/>
    <x v="0"/>
    <n v="88"/>
    <n v="88"/>
    <n v="60"/>
    <n v="60"/>
    <x v="0"/>
    <x v="0"/>
  </r>
  <r>
    <n v="0"/>
    <x v="0"/>
    <n v="39"/>
    <x v="0"/>
    <n v="2"/>
    <n v="2"/>
    <s v="Secondary"/>
    <x v="0"/>
    <n v="0"/>
    <n v="0"/>
    <n v="0"/>
    <x v="1"/>
    <n v="0"/>
    <x v="0"/>
    <n v="0"/>
    <n v="0"/>
    <n v="0"/>
    <n v="250"/>
    <n v="250"/>
    <x v="0"/>
    <n v="123"/>
    <n v="92.5"/>
    <n v="29.23"/>
    <n v="29.23"/>
    <x v="0"/>
    <n v="90"/>
    <n v="90"/>
    <n v="71"/>
    <n v="71"/>
    <x v="0"/>
    <x v="0"/>
  </r>
  <r>
    <n v="0"/>
    <x v="0"/>
    <n v="39"/>
    <x v="0"/>
    <n v="1"/>
    <n v="1"/>
    <s v="Primary"/>
    <x v="2"/>
    <n v="1"/>
    <n v="3"/>
    <n v="3"/>
    <x v="0"/>
    <n v="0"/>
    <x v="0"/>
    <n v="0"/>
    <n v="0"/>
    <n v="0"/>
    <n v="273"/>
    <n v="273"/>
    <x v="0"/>
    <n v="116"/>
    <n v="86"/>
    <n v="28.73"/>
    <n v="28.73"/>
    <x v="0"/>
    <n v="75"/>
    <n v="75"/>
    <s v="NA"/>
    <n v="81.96365524402907"/>
    <x v="0"/>
    <x v="0"/>
  </r>
  <r>
    <n v="0"/>
    <x v="0"/>
    <n v="39"/>
    <x v="0"/>
    <n v="1"/>
    <n v="1"/>
    <s v="Primary"/>
    <x v="2"/>
    <n v="1"/>
    <n v="20"/>
    <n v="20"/>
    <x v="0"/>
    <n v="0"/>
    <x v="0"/>
    <n v="0"/>
    <n v="0"/>
    <n v="0"/>
    <n v="160"/>
    <n v="160"/>
    <x v="1"/>
    <n v="128.5"/>
    <n v="74.5"/>
    <n v="20.56"/>
    <n v="20.56"/>
    <x v="1"/>
    <n v="60"/>
    <n v="60"/>
    <n v="83"/>
    <n v="83"/>
    <x v="0"/>
    <x v="0"/>
  </r>
  <r>
    <n v="0"/>
    <x v="0"/>
    <n v="39"/>
    <x v="0"/>
    <n v="2"/>
    <n v="2"/>
    <s v="Secondary"/>
    <x v="0"/>
    <n v="0"/>
    <n v="0"/>
    <n v="0"/>
    <x v="1"/>
    <n v="0"/>
    <x v="0"/>
    <n v="0"/>
    <n v="0"/>
    <n v="0"/>
    <n v="195"/>
    <n v="195"/>
    <x v="1"/>
    <n v="105"/>
    <n v="70"/>
    <n v="26.97"/>
    <n v="26.97"/>
    <x v="0"/>
    <n v="80"/>
    <n v="80"/>
    <n v="64"/>
    <n v="64"/>
    <x v="0"/>
    <x v="0"/>
  </r>
  <r>
    <n v="1"/>
    <x v="1"/>
    <n v="39"/>
    <x v="0"/>
    <n v="2"/>
    <n v="2"/>
    <s v="Secondary"/>
    <x v="0"/>
    <n v="1"/>
    <n v="20"/>
    <n v="20"/>
    <x v="0"/>
    <n v="0"/>
    <x v="0"/>
    <n v="0"/>
    <n v="0"/>
    <n v="0"/>
    <n v="212"/>
    <n v="212"/>
    <x v="1"/>
    <n v="107.5"/>
    <n v="67.5"/>
    <n v="27.43"/>
    <n v="27.43"/>
    <x v="0"/>
    <n v="87"/>
    <n v="87"/>
    <n v="77"/>
    <n v="77"/>
    <x v="0"/>
    <x v="0"/>
  </r>
  <r>
    <n v="0"/>
    <x v="0"/>
    <n v="39"/>
    <x v="0"/>
    <n v="2"/>
    <n v="2"/>
    <s v="Secondary"/>
    <x v="0"/>
    <n v="1"/>
    <n v="20"/>
    <n v="20"/>
    <x v="0"/>
    <n v="0"/>
    <x v="0"/>
    <n v="0"/>
    <n v="0"/>
    <n v="0"/>
    <n v="240"/>
    <n v="240"/>
    <x v="1"/>
    <n v="120"/>
    <n v="80"/>
    <n v="24.79"/>
    <n v="24.79"/>
    <x v="1"/>
    <n v="81"/>
    <n v="81"/>
    <n v="75"/>
    <n v="75"/>
    <x v="0"/>
    <x v="0"/>
  </r>
  <r>
    <n v="1"/>
    <x v="1"/>
    <n v="39"/>
    <x v="0"/>
    <n v="2"/>
    <n v="2"/>
    <s v="Secondary"/>
    <x v="0"/>
    <n v="1"/>
    <n v="20"/>
    <n v="20"/>
    <x v="0"/>
    <n v="0"/>
    <x v="0"/>
    <n v="0"/>
    <n v="0"/>
    <n v="0"/>
    <n v="188"/>
    <n v="188"/>
    <x v="1"/>
    <n v="120"/>
    <n v="74"/>
    <n v="26.48"/>
    <n v="26.48"/>
    <x v="0"/>
    <n v="65"/>
    <n v="65"/>
    <n v="80"/>
    <n v="80"/>
    <x v="0"/>
    <x v="0"/>
  </r>
  <r>
    <n v="0"/>
    <x v="0"/>
    <n v="39"/>
    <x v="0"/>
    <n v="3"/>
    <n v="3"/>
    <s v="Graduate"/>
    <x v="1"/>
    <n v="0"/>
    <n v="0"/>
    <n v="0"/>
    <x v="1"/>
    <n v="0"/>
    <x v="0"/>
    <n v="0"/>
    <n v="0"/>
    <n v="0"/>
    <n v="152"/>
    <n v="152"/>
    <x v="1"/>
    <n v="114"/>
    <n v="66.5"/>
    <n v="24.56"/>
    <n v="24.56"/>
    <x v="1"/>
    <n v="70"/>
    <n v="70"/>
    <n v="71"/>
    <n v="71"/>
    <x v="0"/>
    <x v="0"/>
  </r>
  <r>
    <n v="1"/>
    <x v="1"/>
    <n v="39"/>
    <x v="0"/>
    <n v="2"/>
    <n v="2"/>
    <s v="Secondary"/>
    <x v="0"/>
    <n v="1"/>
    <n v="40"/>
    <n v="40"/>
    <x v="0"/>
    <n v="0"/>
    <x v="0"/>
    <n v="0"/>
    <n v="0"/>
    <n v="0"/>
    <n v="207"/>
    <n v="207"/>
    <x v="1"/>
    <n v="131"/>
    <n v="82"/>
    <n v="24.25"/>
    <n v="24.25"/>
    <x v="1"/>
    <n v="73"/>
    <n v="73"/>
    <n v="83"/>
    <n v="83"/>
    <x v="0"/>
    <x v="0"/>
  </r>
  <r>
    <n v="1"/>
    <x v="1"/>
    <n v="39"/>
    <x v="0"/>
    <n v="4"/>
    <n v="4"/>
    <s v="Post Graduate"/>
    <x v="3"/>
    <n v="0"/>
    <n v="0"/>
    <n v="0"/>
    <x v="1"/>
    <n v="0"/>
    <x v="0"/>
    <n v="0"/>
    <n v="0"/>
    <n v="0"/>
    <n v="220"/>
    <n v="220"/>
    <x v="1"/>
    <n v="107"/>
    <n v="76.5"/>
    <n v="22.45"/>
    <n v="22.45"/>
    <x v="1"/>
    <n v="66"/>
    <n v="66"/>
    <n v="78"/>
    <n v="78"/>
    <x v="0"/>
    <x v="0"/>
  </r>
  <r>
    <n v="1"/>
    <x v="1"/>
    <n v="39"/>
    <x v="0"/>
    <n v="2"/>
    <n v="2"/>
    <s v="Secondary"/>
    <x v="0"/>
    <n v="1"/>
    <n v="30"/>
    <n v="30"/>
    <x v="0"/>
    <n v="0"/>
    <x v="0"/>
    <n v="0"/>
    <n v="0"/>
    <n v="0"/>
    <n v="225"/>
    <n v="225"/>
    <x v="1"/>
    <n v="128"/>
    <n v="86.5"/>
    <n v="25.13"/>
    <n v="25.13"/>
    <x v="0"/>
    <n v="74"/>
    <n v="74"/>
    <n v="100"/>
    <n v="100"/>
    <x v="0"/>
    <x v="0"/>
  </r>
  <r>
    <n v="0"/>
    <x v="0"/>
    <n v="39"/>
    <x v="0"/>
    <n v="1"/>
    <n v="1"/>
    <s v="Primary"/>
    <x v="2"/>
    <n v="1"/>
    <n v="20"/>
    <n v="20"/>
    <x v="0"/>
    <n v="0"/>
    <x v="0"/>
    <n v="0"/>
    <n v="0"/>
    <n v="0"/>
    <n v="233"/>
    <n v="233"/>
    <x v="1"/>
    <n v="126"/>
    <n v="85"/>
    <n v="22.89"/>
    <n v="22.89"/>
    <x v="1"/>
    <n v="80"/>
    <n v="80"/>
    <n v="87"/>
    <n v="87"/>
    <x v="0"/>
    <x v="0"/>
  </r>
  <r>
    <n v="1"/>
    <x v="1"/>
    <n v="39"/>
    <x v="0"/>
    <n v="1"/>
    <n v="1"/>
    <s v="Primary"/>
    <x v="2"/>
    <n v="0"/>
    <n v="0"/>
    <n v="0"/>
    <x v="1"/>
    <n v="0"/>
    <x v="0"/>
    <n v="0"/>
    <n v="0"/>
    <n v="0"/>
    <n v="224"/>
    <n v="224"/>
    <x v="1"/>
    <n v="108"/>
    <n v="66"/>
    <n v="28.57"/>
    <n v="28.57"/>
    <x v="0"/>
    <n v="90"/>
    <n v="90"/>
    <n v="97"/>
    <n v="97"/>
    <x v="0"/>
    <x v="0"/>
  </r>
  <r>
    <n v="1"/>
    <x v="1"/>
    <n v="39"/>
    <x v="0"/>
    <n v="1"/>
    <n v="1"/>
    <s v="Primary"/>
    <x v="2"/>
    <n v="1"/>
    <n v="30"/>
    <n v="30"/>
    <x v="0"/>
    <n v="0"/>
    <x v="0"/>
    <n v="0"/>
    <n v="1"/>
    <n v="0"/>
    <n v="253"/>
    <n v="253"/>
    <x v="0"/>
    <n v="159"/>
    <n v="115"/>
    <n v="32.659999999999997"/>
    <n v="32.659999999999997"/>
    <x v="2"/>
    <n v="110"/>
    <n v="110"/>
    <n v="74"/>
    <n v="74"/>
    <x v="0"/>
    <x v="0"/>
  </r>
  <r>
    <n v="0"/>
    <x v="0"/>
    <n v="39"/>
    <x v="0"/>
    <n v="1"/>
    <n v="1"/>
    <s v="Primary"/>
    <x v="2"/>
    <n v="1"/>
    <n v="5"/>
    <n v="5"/>
    <x v="0"/>
    <n v="0"/>
    <x v="0"/>
    <n v="0"/>
    <n v="0"/>
    <n v="0"/>
    <n v="170"/>
    <n v="170"/>
    <x v="1"/>
    <n v="137.5"/>
    <n v="77.5"/>
    <n v="27.35"/>
    <n v="27.35"/>
    <x v="0"/>
    <n v="67"/>
    <n v="67"/>
    <n v="70"/>
    <n v="70"/>
    <x v="0"/>
    <x v="0"/>
  </r>
  <r>
    <n v="0"/>
    <x v="0"/>
    <n v="39"/>
    <x v="0"/>
    <n v="2"/>
    <n v="2"/>
    <s v="Secondary"/>
    <x v="0"/>
    <n v="1"/>
    <n v="15"/>
    <n v="15"/>
    <x v="0"/>
    <n v="0"/>
    <x v="0"/>
    <n v="0"/>
    <n v="0"/>
    <n v="0"/>
    <n v="284"/>
    <n v="284"/>
    <x v="0"/>
    <n v="115.5"/>
    <n v="65.5"/>
    <n v="20.39"/>
    <n v="20.39"/>
    <x v="1"/>
    <n v="64"/>
    <n v="64"/>
    <n v="78"/>
    <n v="78"/>
    <x v="0"/>
    <x v="0"/>
  </r>
  <r>
    <n v="1"/>
    <x v="1"/>
    <n v="39"/>
    <x v="0"/>
    <n v="1"/>
    <n v="1"/>
    <s v="Primary"/>
    <x v="2"/>
    <n v="0"/>
    <n v="0"/>
    <n v="0"/>
    <x v="1"/>
    <n v="0"/>
    <x v="0"/>
    <n v="0"/>
    <n v="0"/>
    <n v="0"/>
    <n v="160"/>
    <n v="160"/>
    <x v="1"/>
    <n v="124"/>
    <n v="90"/>
    <n v="26.82"/>
    <n v="26.82"/>
    <x v="0"/>
    <n v="50"/>
    <n v="50"/>
    <n v="67"/>
    <n v="67"/>
    <x v="0"/>
    <x v="0"/>
  </r>
  <r>
    <n v="1"/>
    <x v="1"/>
    <n v="39"/>
    <x v="0"/>
    <n v="2"/>
    <n v="2"/>
    <s v="Secondary"/>
    <x v="0"/>
    <n v="0"/>
    <n v="0"/>
    <n v="0"/>
    <x v="1"/>
    <n v="0"/>
    <x v="0"/>
    <n v="0"/>
    <n v="0"/>
    <n v="0"/>
    <n v="247"/>
    <n v="247"/>
    <x v="0"/>
    <n v="113"/>
    <n v="80"/>
    <n v="28.59"/>
    <n v="28.59"/>
    <x v="0"/>
    <n v="80"/>
    <n v="80"/>
    <n v="82"/>
    <n v="82"/>
    <x v="0"/>
    <x v="0"/>
  </r>
  <r>
    <n v="1"/>
    <x v="1"/>
    <n v="39"/>
    <x v="0"/>
    <n v="2"/>
    <n v="2"/>
    <s v="Secondary"/>
    <x v="0"/>
    <n v="1"/>
    <n v="30"/>
    <n v="30"/>
    <x v="0"/>
    <n v="0"/>
    <x v="0"/>
    <n v="0"/>
    <n v="0"/>
    <n v="0"/>
    <n v="199"/>
    <n v="199"/>
    <x v="1"/>
    <n v="124"/>
    <n v="86"/>
    <n v="23.39"/>
    <n v="23.39"/>
    <x v="1"/>
    <n v="76"/>
    <n v="76"/>
    <n v="72"/>
    <n v="72"/>
    <x v="0"/>
    <x v="0"/>
  </r>
  <r>
    <n v="1"/>
    <x v="1"/>
    <n v="39"/>
    <x v="0"/>
    <n v="1"/>
    <n v="1"/>
    <s v="Primary"/>
    <x v="2"/>
    <n v="1"/>
    <n v="20"/>
    <n v="20"/>
    <x v="0"/>
    <n v="0"/>
    <x v="0"/>
    <n v="0"/>
    <n v="1"/>
    <n v="0"/>
    <n v="222"/>
    <n v="222"/>
    <x v="1"/>
    <n v="141.5"/>
    <n v="91"/>
    <n v="27.06"/>
    <n v="27.06"/>
    <x v="0"/>
    <n v="63"/>
    <n v="63"/>
    <n v="73"/>
    <n v="73"/>
    <x v="0"/>
    <x v="0"/>
  </r>
  <r>
    <n v="0"/>
    <x v="0"/>
    <n v="39"/>
    <x v="0"/>
    <n v="1"/>
    <n v="1"/>
    <s v="Primary"/>
    <x v="2"/>
    <n v="1"/>
    <n v="1"/>
    <n v="1"/>
    <x v="0"/>
    <n v="0"/>
    <x v="0"/>
    <n v="0"/>
    <n v="0"/>
    <n v="0"/>
    <n v="175"/>
    <n v="175"/>
    <x v="1"/>
    <n v="105.5"/>
    <n v="64.5"/>
    <n v="25.83"/>
    <n v="25.83"/>
    <x v="0"/>
    <n v="72"/>
    <n v="72"/>
    <n v="72"/>
    <n v="72"/>
    <x v="0"/>
    <x v="0"/>
  </r>
  <r>
    <n v="0"/>
    <x v="0"/>
    <n v="39"/>
    <x v="0"/>
    <n v="2"/>
    <n v="2"/>
    <s v="Secondary"/>
    <x v="0"/>
    <n v="1"/>
    <n v="20"/>
    <n v="20"/>
    <x v="0"/>
    <n v="0"/>
    <x v="0"/>
    <n v="0"/>
    <n v="0"/>
    <n v="0"/>
    <n v="149"/>
    <n v="149"/>
    <x v="1"/>
    <n v="122"/>
    <n v="72"/>
    <n v="21.3"/>
    <n v="21.3"/>
    <x v="1"/>
    <n v="85"/>
    <n v="85"/>
    <n v="75"/>
    <n v="75"/>
    <x v="0"/>
    <x v="0"/>
  </r>
  <r>
    <n v="1"/>
    <x v="1"/>
    <n v="39"/>
    <x v="0"/>
    <n v="2"/>
    <n v="2"/>
    <s v="Secondary"/>
    <x v="0"/>
    <n v="1"/>
    <n v="20"/>
    <n v="20"/>
    <x v="0"/>
    <n v="0"/>
    <x v="0"/>
    <n v="0"/>
    <n v="0"/>
    <n v="0"/>
    <n v="310"/>
    <n v="310"/>
    <x v="0"/>
    <n v="134"/>
    <n v="90"/>
    <n v="35.11"/>
    <n v="35.11"/>
    <x v="2"/>
    <n v="69"/>
    <n v="69"/>
    <n v="88"/>
    <n v="88"/>
    <x v="0"/>
    <x v="0"/>
  </r>
  <r>
    <n v="0"/>
    <x v="0"/>
    <n v="39"/>
    <x v="0"/>
    <n v="2"/>
    <n v="2"/>
    <s v="Secondary"/>
    <x v="0"/>
    <n v="0"/>
    <n v="0"/>
    <n v="0"/>
    <x v="1"/>
    <n v="0"/>
    <x v="0"/>
    <n v="0"/>
    <n v="0"/>
    <n v="0"/>
    <n v="201"/>
    <n v="201"/>
    <x v="1"/>
    <n v="151"/>
    <n v="94"/>
    <n v="31.48"/>
    <n v="31.48"/>
    <x v="2"/>
    <n v="80"/>
    <n v="80"/>
    <n v="74"/>
    <n v="74"/>
    <x v="0"/>
    <x v="0"/>
  </r>
  <r>
    <n v="0"/>
    <x v="0"/>
    <n v="39"/>
    <x v="0"/>
    <n v="3"/>
    <n v="3"/>
    <s v="Graduate"/>
    <x v="1"/>
    <n v="0"/>
    <n v="0"/>
    <n v="0"/>
    <x v="1"/>
    <n v="0"/>
    <x v="0"/>
    <n v="0"/>
    <n v="0"/>
    <n v="0"/>
    <n v="180"/>
    <n v="180"/>
    <x v="1"/>
    <n v="124"/>
    <n v="83"/>
    <n v="22.91"/>
    <n v="22.91"/>
    <x v="1"/>
    <n v="66"/>
    <n v="66"/>
    <n v="77"/>
    <n v="77"/>
    <x v="0"/>
    <x v="0"/>
  </r>
  <r>
    <n v="0"/>
    <x v="0"/>
    <n v="39"/>
    <x v="0"/>
    <n v="2"/>
    <n v="2"/>
    <s v="Secondary"/>
    <x v="0"/>
    <n v="0"/>
    <n v="0"/>
    <n v="0"/>
    <x v="1"/>
    <n v="0"/>
    <x v="0"/>
    <n v="0"/>
    <n v="0"/>
    <n v="0"/>
    <s v="NA"/>
    <n v="236.69952267303103"/>
    <x v="1"/>
    <n v="126"/>
    <n v="71"/>
    <n v="27.73"/>
    <n v="27.73"/>
    <x v="0"/>
    <n v="73"/>
    <n v="73"/>
    <s v="NA"/>
    <n v="81.96365524402907"/>
    <x v="0"/>
    <x v="0"/>
  </r>
  <r>
    <n v="0"/>
    <x v="0"/>
    <n v="39"/>
    <x v="0"/>
    <n v="2"/>
    <n v="2"/>
    <s v="Secondary"/>
    <x v="0"/>
    <n v="1"/>
    <n v="20"/>
    <n v="20"/>
    <x v="0"/>
    <n v="0"/>
    <x v="0"/>
    <n v="0"/>
    <n v="0"/>
    <n v="0"/>
    <n v="190"/>
    <n v="190"/>
    <x v="1"/>
    <n v="137"/>
    <n v="81"/>
    <n v="19.57"/>
    <n v="19.57"/>
    <x v="1"/>
    <n v="80"/>
    <n v="80"/>
    <n v="85"/>
    <n v="85"/>
    <x v="0"/>
    <x v="1"/>
  </r>
  <r>
    <n v="1"/>
    <x v="1"/>
    <n v="39"/>
    <x v="0"/>
    <n v="1"/>
    <n v="1"/>
    <s v="Primary"/>
    <x v="2"/>
    <n v="1"/>
    <n v="40"/>
    <n v="40"/>
    <x v="0"/>
    <n v="0"/>
    <x v="0"/>
    <n v="0"/>
    <n v="0"/>
    <n v="0"/>
    <n v="251"/>
    <n v="251"/>
    <x v="0"/>
    <n v="115"/>
    <n v="77"/>
    <n v="24.01"/>
    <n v="24.01"/>
    <x v="1"/>
    <n v="65"/>
    <n v="65"/>
    <n v="98"/>
    <n v="98"/>
    <x v="0"/>
    <x v="0"/>
  </r>
  <r>
    <n v="0"/>
    <x v="0"/>
    <n v="39"/>
    <x v="0"/>
    <n v="1"/>
    <n v="1"/>
    <s v="Primary"/>
    <x v="2"/>
    <n v="1"/>
    <n v="15"/>
    <n v="15"/>
    <x v="0"/>
    <n v="0"/>
    <x v="0"/>
    <n v="0"/>
    <n v="0"/>
    <n v="0"/>
    <n v="255"/>
    <n v="255"/>
    <x v="0"/>
    <n v="142"/>
    <n v="85.5"/>
    <n v="24.89"/>
    <n v="24.89"/>
    <x v="1"/>
    <n v="100"/>
    <n v="100"/>
    <n v="108"/>
    <n v="108"/>
    <x v="0"/>
    <x v="0"/>
  </r>
  <r>
    <n v="1"/>
    <x v="1"/>
    <n v="39"/>
    <x v="0"/>
    <n v="1"/>
    <n v="1"/>
    <s v="Primary"/>
    <x v="2"/>
    <n v="0"/>
    <n v="0"/>
    <n v="0"/>
    <x v="1"/>
    <n v="0"/>
    <x v="0"/>
    <n v="0"/>
    <n v="0"/>
    <n v="0"/>
    <n v="213"/>
    <n v="213"/>
    <x v="1"/>
    <n v="130"/>
    <n v="72"/>
    <n v="22.32"/>
    <n v="22.32"/>
    <x v="1"/>
    <n v="80"/>
    <n v="80"/>
    <n v="78"/>
    <n v="78"/>
    <x v="0"/>
    <x v="0"/>
  </r>
  <r>
    <n v="0"/>
    <x v="0"/>
    <n v="39"/>
    <x v="0"/>
    <n v="1"/>
    <n v="1"/>
    <s v="Primary"/>
    <x v="2"/>
    <n v="0"/>
    <n v="0"/>
    <n v="0"/>
    <x v="1"/>
    <n v="0"/>
    <x v="0"/>
    <n v="0"/>
    <n v="0"/>
    <n v="0"/>
    <n v="229"/>
    <n v="229"/>
    <x v="1"/>
    <n v="125"/>
    <n v="80"/>
    <n v="24.1"/>
    <n v="24.1"/>
    <x v="1"/>
    <n v="75"/>
    <n v="75"/>
    <n v="58"/>
    <n v="58"/>
    <x v="0"/>
    <x v="0"/>
  </r>
  <r>
    <n v="1"/>
    <x v="1"/>
    <n v="39"/>
    <x v="0"/>
    <n v="1"/>
    <n v="1"/>
    <s v="Primary"/>
    <x v="2"/>
    <n v="1"/>
    <n v="60"/>
    <n v="60"/>
    <x v="0"/>
    <n v="0"/>
    <x v="0"/>
    <n v="0"/>
    <n v="0"/>
    <n v="0"/>
    <n v="215"/>
    <n v="215"/>
    <x v="1"/>
    <n v="112"/>
    <n v="65"/>
    <n v="23.6"/>
    <n v="23.6"/>
    <x v="1"/>
    <n v="59"/>
    <n v="59"/>
    <n v="78"/>
    <n v="78"/>
    <x v="0"/>
    <x v="0"/>
  </r>
  <r>
    <n v="0"/>
    <x v="0"/>
    <n v="39"/>
    <x v="0"/>
    <n v="3"/>
    <n v="3"/>
    <s v="Graduate"/>
    <x v="1"/>
    <n v="0"/>
    <n v="0"/>
    <n v="0"/>
    <x v="1"/>
    <n v="0"/>
    <x v="0"/>
    <n v="0"/>
    <n v="0"/>
    <n v="0"/>
    <n v="194"/>
    <n v="194"/>
    <x v="1"/>
    <n v="115"/>
    <n v="70"/>
    <n v="25.73"/>
    <n v="25.73"/>
    <x v="0"/>
    <n v="70"/>
    <n v="70"/>
    <n v="54"/>
    <n v="54"/>
    <x v="0"/>
    <x v="0"/>
  </r>
  <r>
    <n v="1"/>
    <x v="1"/>
    <n v="39"/>
    <x v="0"/>
    <n v="4"/>
    <n v="4"/>
    <s v="Post Graduate"/>
    <x v="3"/>
    <n v="1"/>
    <n v="20"/>
    <n v="20"/>
    <x v="0"/>
    <n v="0"/>
    <x v="0"/>
    <n v="0"/>
    <n v="0"/>
    <n v="0"/>
    <n v="217"/>
    <n v="217"/>
    <x v="1"/>
    <n v="107"/>
    <n v="73"/>
    <n v="23.98"/>
    <n v="23.98"/>
    <x v="1"/>
    <n v="73"/>
    <n v="73"/>
    <n v="67"/>
    <n v="67"/>
    <x v="0"/>
    <x v="0"/>
  </r>
  <r>
    <n v="0"/>
    <x v="0"/>
    <n v="39"/>
    <x v="0"/>
    <n v="2"/>
    <n v="2"/>
    <s v="Secondary"/>
    <x v="0"/>
    <n v="1"/>
    <n v="20"/>
    <n v="20"/>
    <x v="0"/>
    <n v="0"/>
    <x v="0"/>
    <n v="0"/>
    <n v="0"/>
    <n v="0"/>
    <n v="323"/>
    <n v="323"/>
    <x v="0"/>
    <n v="131.5"/>
    <n v="85"/>
    <n v="24.79"/>
    <n v="24.79"/>
    <x v="1"/>
    <n v="68"/>
    <n v="68"/>
    <n v="93"/>
    <n v="93"/>
    <x v="0"/>
    <x v="0"/>
  </r>
  <r>
    <n v="0"/>
    <x v="0"/>
    <n v="39"/>
    <x v="0"/>
    <n v="2"/>
    <n v="2"/>
    <s v="Secondary"/>
    <x v="0"/>
    <n v="1"/>
    <n v="40"/>
    <n v="40"/>
    <x v="0"/>
    <n v="0"/>
    <x v="0"/>
    <n v="0"/>
    <n v="0"/>
    <n v="0"/>
    <s v="NA"/>
    <n v="236.69952267303103"/>
    <x v="1"/>
    <n v="98"/>
    <n v="62"/>
    <n v="23.68"/>
    <n v="23.68"/>
    <x v="1"/>
    <n v="70"/>
    <n v="70"/>
    <s v="NA"/>
    <n v="81.96365524402907"/>
    <x v="0"/>
    <x v="0"/>
  </r>
  <r>
    <n v="0"/>
    <x v="0"/>
    <n v="39"/>
    <x v="0"/>
    <n v="3"/>
    <n v="3"/>
    <s v="Graduate"/>
    <x v="1"/>
    <n v="1"/>
    <n v="30"/>
    <n v="30"/>
    <x v="0"/>
    <n v="0"/>
    <x v="0"/>
    <n v="0"/>
    <n v="1"/>
    <n v="0"/>
    <n v="235"/>
    <n v="235"/>
    <x v="1"/>
    <n v="196"/>
    <n v="116"/>
    <n v="29.7"/>
    <n v="29.7"/>
    <x v="0"/>
    <n v="73"/>
    <n v="73"/>
    <n v="87"/>
    <n v="87"/>
    <x v="0"/>
    <x v="1"/>
  </r>
  <r>
    <n v="0"/>
    <x v="0"/>
    <n v="39"/>
    <x v="0"/>
    <n v="3"/>
    <n v="3"/>
    <s v="Graduate"/>
    <x v="1"/>
    <n v="1"/>
    <n v="3"/>
    <n v="3"/>
    <x v="0"/>
    <n v="0"/>
    <x v="0"/>
    <n v="0"/>
    <n v="0"/>
    <n v="0"/>
    <n v="186"/>
    <n v="186"/>
    <x v="1"/>
    <n v="114"/>
    <n v="77"/>
    <n v="21.01"/>
    <n v="21.01"/>
    <x v="1"/>
    <n v="80"/>
    <n v="80"/>
    <n v="85"/>
    <n v="85"/>
    <x v="0"/>
    <x v="0"/>
  </r>
  <r>
    <n v="1"/>
    <x v="1"/>
    <n v="39"/>
    <x v="0"/>
    <n v="1"/>
    <n v="1"/>
    <s v="Primary"/>
    <x v="2"/>
    <n v="1"/>
    <n v="20"/>
    <n v="20"/>
    <x v="0"/>
    <n v="0"/>
    <x v="0"/>
    <n v="0"/>
    <n v="0"/>
    <n v="0"/>
    <n v="325"/>
    <n v="325"/>
    <x v="0"/>
    <n v="122"/>
    <n v="82"/>
    <n v="26.04"/>
    <n v="26.04"/>
    <x v="0"/>
    <n v="58"/>
    <n v="58"/>
    <n v="93"/>
    <n v="93"/>
    <x v="0"/>
    <x v="0"/>
  </r>
  <r>
    <n v="0"/>
    <x v="0"/>
    <n v="39"/>
    <x v="0"/>
    <n v="4"/>
    <n v="4"/>
    <s v="Post Graduate"/>
    <x v="3"/>
    <n v="1"/>
    <n v="15"/>
    <n v="15"/>
    <x v="0"/>
    <n v="0"/>
    <x v="0"/>
    <n v="0"/>
    <n v="0"/>
    <n v="0"/>
    <n v="229"/>
    <n v="229"/>
    <x v="1"/>
    <n v="113.5"/>
    <n v="72.5"/>
    <n v="22.33"/>
    <n v="22.33"/>
    <x v="1"/>
    <n v="84"/>
    <n v="84"/>
    <n v="82"/>
    <n v="82"/>
    <x v="0"/>
    <x v="0"/>
  </r>
  <r>
    <n v="0"/>
    <x v="0"/>
    <n v="39"/>
    <x v="0"/>
    <n v="3"/>
    <n v="3"/>
    <s v="Graduate"/>
    <x v="1"/>
    <n v="0"/>
    <n v="0"/>
    <n v="0"/>
    <x v="1"/>
    <n v="0"/>
    <x v="0"/>
    <n v="0"/>
    <n v="0"/>
    <n v="0"/>
    <n v="195"/>
    <n v="195"/>
    <x v="1"/>
    <n v="119"/>
    <n v="84"/>
    <n v="24.6"/>
    <n v="24.6"/>
    <x v="1"/>
    <n v="65"/>
    <n v="65"/>
    <n v="73"/>
    <n v="73"/>
    <x v="0"/>
    <x v="0"/>
  </r>
  <r>
    <n v="1"/>
    <x v="1"/>
    <n v="39"/>
    <x v="0"/>
    <n v="3"/>
    <n v="3"/>
    <s v="Graduate"/>
    <x v="1"/>
    <n v="1"/>
    <n v="20"/>
    <n v="20"/>
    <x v="0"/>
    <n v="0"/>
    <x v="0"/>
    <n v="0"/>
    <n v="0"/>
    <n v="0"/>
    <n v="148"/>
    <n v="148"/>
    <x v="1"/>
    <n v="101"/>
    <n v="62"/>
    <n v="24.47"/>
    <n v="24.47"/>
    <x v="1"/>
    <n v="70"/>
    <n v="70"/>
    <n v="81"/>
    <n v="81"/>
    <x v="0"/>
    <x v="0"/>
  </r>
  <r>
    <n v="0"/>
    <x v="0"/>
    <n v="39"/>
    <x v="0"/>
    <n v="1"/>
    <n v="1"/>
    <s v="Primary"/>
    <x v="2"/>
    <n v="0"/>
    <n v="0"/>
    <n v="0"/>
    <x v="1"/>
    <n v="0"/>
    <x v="0"/>
    <n v="0"/>
    <n v="0"/>
    <n v="0"/>
    <n v="164"/>
    <n v="164"/>
    <x v="1"/>
    <n v="112"/>
    <n v="63"/>
    <n v="22.01"/>
    <n v="22.01"/>
    <x v="1"/>
    <n v="60"/>
    <n v="60"/>
    <n v="85"/>
    <n v="85"/>
    <x v="0"/>
    <x v="0"/>
  </r>
  <r>
    <n v="1"/>
    <x v="1"/>
    <n v="39"/>
    <x v="0"/>
    <n v="2"/>
    <n v="2"/>
    <s v="Secondary"/>
    <x v="0"/>
    <n v="1"/>
    <n v="30"/>
    <n v="30"/>
    <x v="0"/>
    <n v="0"/>
    <x v="0"/>
    <n v="0"/>
    <n v="0"/>
    <n v="0"/>
    <n v="257"/>
    <n v="257"/>
    <x v="0"/>
    <n v="118"/>
    <n v="76"/>
    <n v="22.92"/>
    <n v="22.92"/>
    <x v="1"/>
    <n v="73"/>
    <n v="73"/>
    <n v="76"/>
    <n v="76"/>
    <x v="0"/>
    <x v="1"/>
  </r>
  <r>
    <n v="0"/>
    <x v="0"/>
    <n v="39"/>
    <x v="0"/>
    <n v="2"/>
    <n v="2"/>
    <s v="Secondary"/>
    <x v="0"/>
    <n v="1"/>
    <n v="20"/>
    <n v="20"/>
    <x v="0"/>
    <n v="0"/>
    <x v="0"/>
    <n v="0"/>
    <n v="0"/>
    <n v="0"/>
    <n v="247"/>
    <n v="247"/>
    <x v="0"/>
    <n v="122"/>
    <n v="70"/>
    <n v="18.7"/>
    <n v="18.7"/>
    <x v="1"/>
    <n v="70"/>
    <n v="70"/>
    <n v="65"/>
    <n v="65"/>
    <x v="0"/>
    <x v="0"/>
  </r>
  <r>
    <n v="0"/>
    <x v="0"/>
    <n v="39"/>
    <x v="0"/>
    <n v="4"/>
    <n v="4"/>
    <s v="Post Graduate"/>
    <x v="3"/>
    <n v="1"/>
    <n v="9"/>
    <n v="9"/>
    <x v="0"/>
    <n v="0"/>
    <x v="0"/>
    <n v="0"/>
    <n v="0"/>
    <n v="0"/>
    <n v="191"/>
    <n v="191"/>
    <x v="1"/>
    <n v="119"/>
    <n v="78"/>
    <n v="20.93"/>
    <n v="20.93"/>
    <x v="1"/>
    <n v="65"/>
    <n v="65"/>
    <n v="73"/>
    <n v="73"/>
    <x v="0"/>
    <x v="0"/>
  </r>
  <r>
    <n v="0"/>
    <x v="0"/>
    <n v="39"/>
    <x v="0"/>
    <n v="3"/>
    <n v="3"/>
    <s v="Graduate"/>
    <x v="1"/>
    <n v="1"/>
    <n v="20"/>
    <n v="20"/>
    <x v="0"/>
    <n v="0"/>
    <x v="0"/>
    <n v="0"/>
    <n v="0"/>
    <n v="0"/>
    <n v="190"/>
    <n v="190"/>
    <x v="1"/>
    <n v="106"/>
    <n v="72"/>
    <n v="25.64"/>
    <n v="25.64"/>
    <x v="0"/>
    <n v="75"/>
    <n v="75"/>
    <n v="75"/>
    <n v="75"/>
    <x v="0"/>
    <x v="0"/>
  </r>
  <r>
    <n v="0"/>
    <x v="0"/>
    <n v="39"/>
    <x v="0"/>
    <n v="2"/>
    <n v="2"/>
    <s v="Secondary"/>
    <x v="0"/>
    <n v="0"/>
    <n v="0"/>
    <n v="0"/>
    <x v="1"/>
    <n v="1"/>
    <x v="1"/>
    <n v="0"/>
    <n v="1"/>
    <n v="0"/>
    <n v="283"/>
    <n v="283"/>
    <x v="0"/>
    <n v="159"/>
    <n v="105"/>
    <n v="30.06"/>
    <n v="30.06"/>
    <x v="2"/>
    <n v="80"/>
    <n v="80"/>
    <n v="76"/>
    <n v="76"/>
    <x v="0"/>
    <x v="0"/>
  </r>
  <r>
    <n v="1"/>
    <x v="1"/>
    <n v="39"/>
    <x v="0"/>
    <n v="4"/>
    <n v="4"/>
    <s v="Post Graduate"/>
    <x v="3"/>
    <n v="0"/>
    <n v="0"/>
    <n v="0"/>
    <x v="1"/>
    <n v="0"/>
    <x v="0"/>
    <n v="0"/>
    <n v="1"/>
    <n v="0"/>
    <n v="320"/>
    <n v="320"/>
    <x v="0"/>
    <n v="123"/>
    <n v="90"/>
    <n v="24.44"/>
    <n v="24.44"/>
    <x v="1"/>
    <n v="85"/>
    <n v="85"/>
    <n v="69"/>
    <n v="69"/>
    <x v="0"/>
    <x v="0"/>
  </r>
  <r>
    <n v="1"/>
    <x v="1"/>
    <n v="39"/>
    <x v="0"/>
    <n v="2"/>
    <n v="2"/>
    <s v="Secondary"/>
    <x v="0"/>
    <n v="0"/>
    <n v="0"/>
    <n v="0"/>
    <x v="1"/>
    <n v="0"/>
    <x v="0"/>
    <n v="0"/>
    <n v="1"/>
    <n v="0"/>
    <n v="196"/>
    <n v="196"/>
    <x v="1"/>
    <n v="124.5"/>
    <n v="99"/>
    <n v="28.41"/>
    <n v="28.41"/>
    <x v="0"/>
    <n v="83"/>
    <n v="83"/>
    <n v="73"/>
    <n v="73"/>
    <x v="0"/>
    <x v="0"/>
  </r>
  <r>
    <n v="0"/>
    <x v="0"/>
    <n v="39"/>
    <x v="0"/>
    <n v="1"/>
    <n v="1"/>
    <s v="Primary"/>
    <x v="2"/>
    <n v="0"/>
    <n v="0"/>
    <n v="0"/>
    <x v="1"/>
    <n v="0"/>
    <x v="0"/>
    <n v="0"/>
    <n v="0"/>
    <n v="0"/>
    <n v="214"/>
    <n v="214"/>
    <x v="1"/>
    <n v="123"/>
    <n v="78"/>
    <n v="38.06"/>
    <n v="38.06"/>
    <x v="2"/>
    <n v="66"/>
    <n v="66"/>
    <n v="62"/>
    <n v="62"/>
    <x v="0"/>
    <x v="0"/>
  </r>
  <r>
    <n v="0"/>
    <x v="0"/>
    <n v="39"/>
    <x v="0"/>
    <n v="3"/>
    <n v="3"/>
    <s v="Graduate"/>
    <x v="1"/>
    <n v="1"/>
    <n v="5"/>
    <n v="5"/>
    <x v="0"/>
    <n v="0"/>
    <x v="0"/>
    <n v="0"/>
    <n v="0"/>
    <n v="0"/>
    <n v="184"/>
    <n v="184"/>
    <x v="1"/>
    <n v="96"/>
    <n v="72"/>
    <n v="18.16"/>
    <n v="18.16"/>
    <x v="3"/>
    <n v="100"/>
    <n v="100"/>
    <s v="NA"/>
    <n v="81.96365524402907"/>
    <x v="0"/>
    <x v="0"/>
  </r>
  <r>
    <n v="0"/>
    <x v="0"/>
    <n v="39"/>
    <x v="0"/>
    <n v="1"/>
    <n v="1"/>
    <s v="Primary"/>
    <x v="2"/>
    <n v="1"/>
    <n v="15"/>
    <n v="15"/>
    <x v="0"/>
    <n v="0"/>
    <x v="0"/>
    <n v="0"/>
    <n v="1"/>
    <n v="0"/>
    <n v="280"/>
    <n v="280"/>
    <x v="0"/>
    <n v="152"/>
    <n v="104"/>
    <n v="24.22"/>
    <n v="24.22"/>
    <x v="1"/>
    <n v="90"/>
    <n v="90"/>
    <n v="82"/>
    <n v="82"/>
    <x v="0"/>
    <x v="0"/>
  </r>
  <r>
    <n v="0"/>
    <x v="0"/>
    <n v="39"/>
    <x v="0"/>
    <n v="2"/>
    <n v="2"/>
    <s v="Secondary"/>
    <x v="0"/>
    <n v="1"/>
    <n v="1"/>
    <n v="1"/>
    <x v="0"/>
    <n v="0"/>
    <x v="0"/>
    <n v="0"/>
    <n v="0"/>
    <n v="0"/>
    <n v="225"/>
    <n v="225"/>
    <x v="1"/>
    <n v="112"/>
    <n v="74"/>
    <n v="27.26"/>
    <n v="27.26"/>
    <x v="0"/>
    <n v="85"/>
    <n v="85"/>
    <n v="85"/>
    <n v="85"/>
    <x v="0"/>
    <x v="0"/>
  </r>
  <r>
    <n v="0"/>
    <x v="0"/>
    <n v="39"/>
    <x v="0"/>
    <n v="3"/>
    <n v="3"/>
    <s v="Graduate"/>
    <x v="1"/>
    <n v="0"/>
    <n v="0"/>
    <n v="0"/>
    <x v="1"/>
    <n v="0"/>
    <x v="0"/>
    <n v="0"/>
    <n v="1"/>
    <n v="0"/>
    <n v="220"/>
    <n v="220"/>
    <x v="1"/>
    <n v="137.5"/>
    <n v="101.5"/>
    <n v="22.85"/>
    <n v="22.85"/>
    <x v="1"/>
    <n v="60"/>
    <n v="60"/>
    <n v="88"/>
    <n v="88"/>
    <x v="0"/>
    <x v="0"/>
  </r>
  <r>
    <n v="0"/>
    <x v="0"/>
    <n v="39"/>
    <x v="0"/>
    <n v="1"/>
    <n v="1"/>
    <s v="Primary"/>
    <x v="2"/>
    <n v="1"/>
    <n v="10"/>
    <n v="10"/>
    <x v="0"/>
    <n v="0"/>
    <x v="0"/>
    <n v="0"/>
    <n v="0"/>
    <n v="0"/>
    <n v="226"/>
    <n v="226"/>
    <x v="1"/>
    <n v="95"/>
    <n v="59"/>
    <n v="22.88"/>
    <n v="22.88"/>
    <x v="1"/>
    <n v="80"/>
    <n v="80"/>
    <n v="83"/>
    <n v="83"/>
    <x v="0"/>
    <x v="0"/>
  </r>
  <r>
    <n v="1"/>
    <x v="1"/>
    <n v="39"/>
    <x v="0"/>
    <n v="1"/>
    <n v="1"/>
    <s v="Primary"/>
    <x v="2"/>
    <n v="1"/>
    <n v="30"/>
    <n v="30"/>
    <x v="0"/>
    <n v="0"/>
    <x v="0"/>
    <n v="0"/>
    <n v="0"/>
    <n v="0"/>
    <n v="292"/>
    <n v="292"/>
    <x v="0"/>
    <n v="120"/>
    <n v="85"/>
    <n v="31.09"/>
    <n v="31.09"/>
    <x v="2"/>
    <n v="85"/>
    <n v="85"/>
    <s v="NA"/>
    <n v="81.96365524402907"/>
    <x v="0"/>
    <x v="0"/>
  </r>
  <r>
    <n v="1"/>
    <x v="1"/>
    <n v="39"/>
    <x v="0"/>
    <n v="2"/>
    <n v="2"/>
    <s v="Secondary"/>
    <x v="0"/>
    <n v="0"/>
    <n v="0"/>
    <n v="0"/>
    <x v="1"/>
    <n v="0"/>
    <x v="0"/>
    <n v="0"/>
    <n v="0"/>
    <n v="0"/>
    <n v="262"/>
    <n v="262"/>
    <x v="0"/>
    <n v="126"/>
    <n v="91"/>
    <n v="31.38"/>
    <n v="31.38"/>
    <x v="2"/>
    <n v="72"/>
    <n v="72"/>
    <n v="84"/>
    <n v="84"/>
    <x v="0"/>
    <x v="0"/>
  </r>
  <r>
    <n v="0"/>
    <x v="0"/>
    <n v="39"/>
    <x v="0"/>
    <n v="2"/>
    <n v="2"/>
    <s v="Secondary"/>
    <x v="0"/>
    <n v="1"/>
    <n v="15"/>
    <n v="15"/>
    <x v="0"/>
    <n v="0"/>
    <x v="0"/>
    <n v="0"/>
    <n v="0"/>
    <n v="0"/>
    <n v="216"/>
    <n v="216"/>
    <x v="1"/>
    <n v="116"/>
    <n v="72"/>
    <n v="24.25"/>
    <n v="24.25"/>
    <x v="1"/>
    <n v="76"/>
    <n v="76"/>
    <n v="71"/>
    <n v="71"/>
    <x v="0"/>
    <x v="0"/>
  </r>
  <r>
    <n v="0"/>
    <x v="0"/>
    <n v="39"/>
    <x v="0"/>
    <n v="3"/>
    <n v="3"/>
    <s v="Graduate"/>
    <x v="1"/>
    <n v="0"/>
    <n v="0"/>
    <n v="0"/>
    <x v="1"/>
    <n v="0"/>
    <x v="0"/>
    <n v="0"/>
    <n v="0"/>
    <n v="0"/>
    <n v="179"/>
    <n v="179"/>
    <x v="1"/>
    <n v="120"/>
    <n v="82"/>
    <n v="21.51"/>
    <n v="21.51"/>
    <x v="1"/>
    <n v="96"/>
    <n v="96"/>
    <s v="NA"/>
    <n v="81.96365524402907"/>
    <x v="0"/>
    <x v="0"/>
  </r>
  <r>
    <n v="0"/>
    <x v="0"/>
    <n v="39"/>
    <x v="0"/>
    <n v="3"/>
    <n v="3"/>
    <s v="Graduate"/>
    <x v="1"/>
    <n v="0"/>
    <n v="0"/>
    <n v="0"/>
    <x v="1"/>
    <n v="0"/>
    <x v="0"/>
    <n v="0"/>
    <n v="0"/>
    <n v="1"/>
    <n v="209"/>
    <n v="209"/>
    <x v="1"/>
    <n v="104"/>
    <n v="72"/>
    <n v="23.96"/>
    <n v="23.96"/>
    <x v="1"/>
    <n v="90"/>
    <n v="90"/>
    <n v="103"/>
    <n v="103"/>
    <x v="0"/>
    <x v="0"/>
  </r>
  <r>
    <n v="1"/>
    <x v="1"/>
    <n v="39"/>
    <x v="0"/>
    <n v="2"/>
    <n v="2"/>
    <s v="Secondary"/>
    <x v="0"/>
    <n v="1"/>
    <n v="25"/>
    <n v="25"/>
    <x v="0"/>
    <n v="0"/>
    <x v="0"/>
    <n v="0"/>
    <n v="0"/>
    <n v="0"/>
    <n v="217"/>
    <n v="217"/>
    <x v="1"/>
    <n v="119"/>
    <n v="85"/>
    <n v="23.32"/>
    <n v="23.32"/>
    <x v="1"/>
    <n v="66"/>
    <n v="66"/>
    <n v="96"/>
    <n v="96"/>
    <x v="0"/>
    <x v="0"/>
  </r>
  <r>
    <n v="0"/>
    <x v="0"/>
    <n v="39"/>
    <x v="0"/>
    <n v="4"/>
    <n v="4"/>
    <s v="Post Graduate"/>
    <x v="3"/>
    <n v="1"/>
    <n v="9"/>
    <n v="9"/>
    <x v="0"/>
    <n v="0"/>
    <x v="0"/>
    <n v="0"/>
    <n v="0"/>
    <n v="0"/>
    <n v="180"/>
    <n v="180"/>
    <x v="1"/>
    <n v="113"/>
    <n v="73"/>
    <n v="17.649999999999999"/>
    <n v="17.649999999999999"/>
    <x v="3"/>
    <n v="70"/>
    <n v="70"/>
    <n v="73"/>
    <n v="73"/>
    <x v="0"/>
    <x v="0"/>
  </r>
  <r>
    <n v="0"/>
    <x v="0"/>
    <n v="39"/>
    <x v="0"/>
    <n v="2"/>
    <n v="2"/>
    <s v="Secondary"/>
    <x v="0"/>
    <n v="0"/>
    <n v="0"/>
    <n v="0"/>
    <x v="1"/>
    <n v="0"/>
    <x v="0"/>
    <n v="0"/>
    <n v="0"/>
    <n v="0"/>
    <n v="195"/>
    <n v="195"/>
    <x v="1"/>
    <n v="137"/>
    <n v="93"/>
    <n v="26.39"/>
    <n v="26.39"/>
    <x v="0"/>
    <n v="88"/>
    <n v="88"/>
    <n v="75"/>
    <n v="75"/>
    <x v="0"/>
    <x v="0"/>
  </r>
  <r>
    <n v="0"/>
    <x v="0"/>
    <n v="39"/>
    <x v="0"/>
    <n v="4"/>
    <n v="4"/>
    <s v="Post Graduate"/>
    <x v="3"/>
    <n v="1"/>
    <n v="9"/>
    <n v="9"/>
    <x v="0"/>
    <n v="0"/>
    <x v="0"/>
    <n v="0"/>
    <n v="0"/>
    <n v="0"/>
    <n v="170"/>
    <n v="170"/>
    <x v="1"/>
    <n v="110.5"/>
    <n v="69"/>
    <n v="22.19"/>
    <n v="22.19"/>
    <x v="1"/>
    <n v="60"/>
    <n v="60"/>
    <n v="103"/>
    <n v="103"/>
    <x v="0"/>
    <x v="0"/>
  </r>
  <r>
    <n v="1"/>
    <x v="1"/>
    <n v="39"/>
    <x v="0"/>
    <n v="1"/>
    <n v="1"/>
    <s v="Primary"/>
    <x v="2"/>
    <n v="0"/>
    <n v="0"/>
    <n v="0"/>
    <x v="1"/>
    <n v="0"/>
    <x v="0"/>
    <n v="0"/>
    <n v="0"/>
    <n v="0"/>
    <n v="190"/>
    <n v="190"/>
    <x v="1"/>
    <n v="114"/>
    <n v="70"/>
    <n v="27.8"/>
    <n v="27.8"/>
    <x v="0"/>
    <n v="60"/>
    <n v="60"/>
    <n v="80"/>
    <n v="80"/>
    <x v="0"/>
    <x v="0"/>
  </r>
  <r>
    <n v="1"/>
    <x v="1"/>
    <n v="39"/>
    <x v="0"/>
    <n v="1"/>
    <n v="1"/>
    <s v="Primary"/>
    <x v="2"/>
    <n v="1"/>
    <n v="20"/>
    <n v="20"/>
    <x v="0"/>
    <n v="0"/>
    <x v="0"/>
    <n v="0"/>
    <n v="0"/>
    <n v="1"/>
    <n v="195"/>
    <n v="195"/>
    <x v="1"/>
    <n v="106"/>
    <n v="80"/>
    <n v="23.57"/>
    <n v="23.57"/>
    <x v="1"/>
    <n v="85"/>
    <n v="85"/>
    <n v="132"/>
    <n v="132"/>
    <x v="0"/>
    <x v="0"/>
  </r>
  <r>
    <n v="1"/>
    <x v="1"/>
    <n v="39"/>
    <x v="0"/>
    <n v="4"/>
    <n v="4"/>
    <s v="Post Graduate"/>
    <x v="3"/>
    <n v="1"/>
    <n v="30"/>
    <n v="30"/>
    <x v="0"/>
    <n v="0"/>
    <x v="0"/>
    <n v="0"/>
    <n v="0"/>
    <n v="0"/>
    <n v="255"/>
    <n v="255"/>
    <x v="0"/>
    <n v="108"/>
    <n v="75"/>
    <n v="23.9"/>
    <n v="23.9"/>
    <x v="1"/>
    <n v="67"/>
    <n v="67"/>
    <n v="70"/>
    <n v="70"/>
    <x v="0"/>
    <x v="0"/>
  </r>
  <r>
    <n v="1"/>
    <x v="1"/>
    <n v="39"/>
    <x v="0"/>
    <n v="4"/>
    <n v="4"/>
    <s v="Post Graduate"/>
    <x v="3"/>
    <n v="0"/>
    <n v="0"/>
    <n v="0"/>
    <x v="1"/>
    <n v="0"/>
    <x v="0"/>
    <n v="0"/>
    <n v="1"/>
    <n v="0"/>
    <n v="208"/>
    <n v="208"/>
    <x v="1"/>
    <n v="146"/>
    <n v="92"/>
    <n v="25.91"/>
    <n v="25.91"/>
    <x v="0"/>
    <n v="69"/>
    <n v="69"/>
    <n v="74"/>
    <n v="74"/>
    <x v="0"/>
    <x v="0"/>
  </r>
  <r>
    <n v="0"/>
    <x v="0"/>
    <n v="39"/>
    <x v="0"/>
    <n v="2"/>
    <n v="2"/>
    <s v="Secondary"/>
    <x v="0"/>
    <n v="1"/>
    <n v="9"/>
    <n v="9"/>
    <x v="0"/>
    <n v="0"/>
    <x v="0"/>
    <n v="0"/>
    <n v="0"/>
    <n v="0"/>
    <n v="270"/>
    <n v="270"/>
    <x v="0"/>
    <n v="110"/>
    <n v="78"/>
    <n v="22"/>
    <n v="22"/>
    <x v="1"/>
    <n v="75"/>
    <n v="75"/>
    <n v="68"/>
    <n v="68"/>
    <x v="0"/>
    <x v="0"/>
  </r>
  <r>
    <n v="0"/>
    <x v="0"/>
    <n v="39"/>
    <x v="0"/>
    <n v="2"/>
    <n v="2"/>
    <s v="Secondary"/>
    <x v="0"/>
    <n v="0"/>
    <n v="0"/>
    <n v="0"/>
    <x v="1"/>
    <n v="0"/>
    <x v="0"/>
    <n v="0"/>
    <n v="0"/>
    <n v="0"/>
    <n v="175"/>
    <n v="175"/>
    <x v="1"/>
    <n v="114"/>
    <n v="68"/>
    <n v="24.2"/>
    <n v="24.2"/>
    <x v="1"/>
    <n v="80"/>
    <n v="80"/>
    <n v="93"/>
    <n v="93"/>
    <x v="0"/>
    <x v="0"/>
  </r>
  <r>
    <n v="0"/>
    <x v="0"/>
    <n v="39"/>
    <x v="0"/>
    <n v="3"/>
    <n v="3"/>
    <s v="Graduate"/>
    <x v="1"/>
    <n v="0"/>
    <n v="0"/>
    <n v="0"/>
    <x v="1"/>
    <n v="0"/>
    <x v="0"/>
    <n v="0"/>
    <n v="0"/>
    <n v="0"/>
    <n v="201"/>
    <n v="201"/>
    <x v="1"/>
    <n v="121"/>
    <n v="78.5"/>
    <n v="24.26"/>
    <n v="24.26"/>
    <x v="1"/>
    <n v="67"/>
    <n v="67"/>
    <n v="90"/>
    <n v="90"/>
    <x v="0"/>
    <x v="0"/>
  </r>
  <r>
    <n v="0"/>
    <x v="0"/>
    <n v="39"/>
    <x v="0"/>
    <n v="3"/>
    <n v="3"/>
    <s v="Graduate"/>
    <x v="1"/>
    <n v="0"/>
    <n v="0"/>
    <n v="0"/>
    <x v="1"/>
    <n v="0"/>
    <x v="0"/>
    <n v="0"/>
    <n v="0"/>
    <n v="0"/>
    <n v="240"/>
    <n v="240"/>
    <x v="1"/>
    <n v="118"/>
    <n v="84"/>
    <n v="25.57"/>
    <n v="25.57"/>
    <x v="0"/>
    <n v="80"/>
    <n v="80"/>
    <n v="75"/>
    <n v="75"/>
    <x v="0"/>
    <x v="0"/>
  </r>
  <r>
    <n v="1"/>
    <x v="1"/>
    <n v="39"/>
    <x v="0"/>
    <n v="2"/>
    <n v="2"/>
    <s v="Secondary"/>
    <x v="0"/>
    <n v="1"/>
    <n v="20"/>
    <n v="20"/>
    <x v="0"/>
    <n v="0"/>
    <x v="0"/>
    <n v="0"/>
    <n v="0"/>
    <n v="0"/>
    <n v="190"/>
    <n v="190"/>
    <x v="1"/>
    <n v="118"/>
    <n v="70"/>
    <n v="23.57"/>
    <n v="23.57"/>
    <x v="1"/>
    <n v="64"/>
    <n v="64"/>
    <n v="69"/>
    <n v="69"/>
    <x v="0"/>
    <x v="0"/>
  </r>
  <r>
    <n v="0"/>
    <x v="0"/>
    <n v="39"/>
    <x v="0"/>
    <n v="2"/>
    <n v="2"/>
    <s v="Secondary"/>
    <x v="0"/>
    <n v="1"/>
    <n v="20"/>
    <n v="20"/>
    <x v="0"/>
    <n v="0"/>
    <x v="0"/>
    <n v="0"/>
    <n v="0"/>
    <n v="0"/>
    <n v="236"/>
    <n v="236"/>
    <x v="1"/>
    <n v="127"/>
    <n v="78"/>
    <n v="17.510000000000002"/>
    <n v="17.510000000000002"/>
    <x v="3"/>
    <n v="75"/>
    <n v="75"/>
    <n v="76"/>
    <n v="76"/>
    <x v="0"/>
    <x v="0"/>
  </r>
  <r>
    <n v="0"/>
    <x v="0"/>
    <n v="39"/>
    <x v="0"/>
    <n v="2"/>
    <n v="2"/>
    <s v="Secondary"/>
    <x v="0"/>
    <n v="1"/>
    <n v="9"/>
    <n v="9"/>
    <x v="0"/>
    <n v="0"/>
    <x v="0"/>
    <n v="0"/>
    <n v="0"/>
    <n v="0"/>
    <n v="254"/>
    <n v="254"/>
    <x v="0"/>
    <n v="112.5"/>
    <n v="75"/>
    <n v="22.91"/>
    <n v="22.91"/>
    <x v="1"/>
    <n v="72"/>
    <n v="72"/>
    <s v="NA"/>
    <n v="81.96365524402907"/>
    <x v="0"/>
    <x v="0"/>
  </r>
  <r>
    <n v="1"/>
    <x v="1"/>
    <n v="39"/>
    <x v="0"/>
    <n v="1"/>
    <n v="1"/>
    <s v="Primary"/>
    <x v="2"/>
    <n v="1"/>
    <n v="20"/>
    <n v="20"/>
    <x v="0"/>
    <n v="0"/>
    <x v="0"/>
    <n v="0"/>
    <n v="0"/>
    <n v="0"/>
    <n v="232"/>
    <n v="232"/>
    <x v="1"/>
    <n v="122.5"/>
    <n v="78.5"/>
    <n v="26.11"/>
    <n v="26.11"/>
    <x v="0"/>
    <n v="80"/>
    <n v="80"/>
    <n v="73"/>
    <n v="73"/>
    <x v="0"/>
    <x v="0"/>
  </r>
  <r>
    <n v="0"/>
    <x v="0"/>
    <n v="39"/>
    <x v="0"/>
    <n v="1"/>
    <n v="1"/>
    <s v="Primary"/>
    <x v="2"/>
    <n v="0"/>
    <n v="0"/>
    <n v="0"/>
    <x v="1"/>
    <n v="0"/>
    <x v="0"/>
    <n v="0"/>
    <n v="0"/>
    <n v="0"/>
    <n v="227"/>
    <n v="227"/>
    <x v="1"/>
    <n v="138"/>
    <n v="89"/>
    <n v="26.74"/>
    <n v="26.74"/>
    <x v="0"/>
    <n v="95"/>
    <n v="95"/>
    <n v="60"/>
    <n v="60"/>
    <x v="0"/>
    <x v="0"/>
  </r>
  <r>
    <n v="0"/>
    <x v="0"/>
    <n v="39"/>
    <x v="0"/>
    <n v="2"/>
    <n v="2"/>
    <s v="Secondary"/>
    <x v="0"/>
    <n v="1"/>
    <n v="20"/>
    <n v="20"/>
    <x v="0"/>
    <n v="0"/>
    <x v="0"/>
    <n v="0"/>
    <n v="0"/>
    <n v="0"/>
    <n v="206"/>
    <n v="206"/>
    <x v="1"/>
    <n v="102.5"/>
    <n v="65"/>
    <n v="19.8"/>
    <n v="19.8"/>
    <x v="1"/>
    <n v="80"/>
    <n v="80"/>
    <n v="85"/>
    <n v="85"/>
    <x v="0"/>
    <x v="0"/>
  </r>
  <r>
    <n v="0"/>
    <x v="0"/>
    <n v="39"/>
    <x v="0"/>
    <n v="4"/>
    <n v="4"/>
    <s v="Post Graduate"/>
    <x v="3"/>
    <n v="0"/>
    <n v="0"/>
    <n v="0"/>
    <x v="1"/>
    <n v="0"/>
    <x v="0"/>
    <n v="0"/>
    <n v="0"/>
    <n v="0"/>
    <n v="229"/>
    <n v="229"/>
    <x v="1"/>
    <n v="119"/>
    <n v="63.5"/>
    <s v="NA"/>
    <n v="25.80080075811421"/>
    <x v="0"/>
    <n v="76"/>
    <n v="76"/>
    <n v="83"/>
    <n v="83"/>
    <x v="0"/>
    <x v="0"/>
  </r>
  <r>
    <n v="0"/>
    <x v="0"/>
    <n v="39"/>
    <x v="0"/>
    <n v="2"/>
    <n v="2"/>
    <s v="Secondary"/>
    <x v="0"/>
    <n v="1"/>
    <n v="20"/>
    <n v="20"/>
    <x v="0"/>
    <n v="0"/>
    <x v="0"/>
    <n v="0"/>
    <n v="0"/>
    <n v="0"/>
    <n v="180"/>
    <n v="180"/>
    <x v="1"/>
    <n v="112.5"/>
    <n v="85"/>
    <n v="25.31"/>
    <n v="25.31"/>
    <x v="0"/>
    <n v="75"/>
    <n v="75"/>
    <n v="58"/>
    <n v="58"/>
    <x v="0"/>
    <x v="0"/>
  </r>
  <r>
    <n v="0"/>
    <x v="0"/>
    <n v="39"/>
    <x v="0"/>
    <n v="4"/>
    <n v="4"/>
    <s v="Post Graduate"/>
    <x v="3"/>
    <n v="1"/>
    <n v="15"/>
    <n v="15"/>
    <x v="0"/>
    <n v="0"/>
    <x v="0"/>
    <n v="0"/>
    <n v="0"/>
    <n v="0"/>
    <n v="226"/>
    <n v="226"/>
    <x v="1"/>
    <n v="115"/>
    <n v="80"/>
    <n v="25.19"/>
    <n v="25.19"/>
    <x v="0"/>
    <n v="72"/>
    <n v="72"/>
    <n v="74"/>
    <n v="74"/>
    <x v="0"/>
    <x v="0"/>
  </r>
  <r>
    <n v="0"/>
    <x v="0"/>
    <n v="39"/>
    <x v="0"/>
    <n v="1"/>
    <n v="1"/>
    <s v="Primary"/>
    <x v="2"/>
    <n v="0"/>
    <n v="0"/>
    <n v="0"/>
    <x v="1"/>
    <n v="0"/>
    <x v="0"/>
    <n v="0"/>
    <n v="0"/>
    <n v="0"/>
    <n v="205"/>
    <n v="205"/>
    <x v="1"/>
    <n v="139.5"/>
    <n v="87"/>
    <n v="20.7"/>
    <n v="20.7"/>
    <x v="1"/>
    <n v="67"/>
    <n v="67"/>
    <n v="85"/>
    <n v="85"/>
    <x v="0"/>
    <x v="0"/>
  </r>
  <r>
    <n v="0"/>
    <x v="0"/>
    <n v="39"/>
    <x v="0"/>
    <n v="2"/>
    <n v="2"/>
    <s v="Secondary"/>
    <x v="0"/>
    <n v="0"/>
    <n v="0"/>
    <n v="0"/>
    <x v="1"/>
    <n v="0"/>
    <x v="0"/>
    <n v="0"/>
    <n v="0"/>
    <n v="0"/>
    <n v="253"/>
    <n v="253"/>
    <x v="0"/>
    <n v="127"/>
    <n v="68"/>
    <n v="23.29"/>
    <n v="23.29"/>
    <x v="1"/>
    <n v="85"/>
    <n v="85"/>
    <n v="75"/>
    <n v="75"/>
    <x v="0"/>
    <x v="0"/>
  </r>
  <r>
    <n v="0"/>
    <x v="0"/>
    <n v="39"/>
    <x v="0"/>
    <s v="NA"/>
    <n v="1"/>
    <s v="Primary"/>
    <x v="2"/>
    <n v="0"/>
    <n v="0"/>
    <n v="0"/>
    <x v="1"/>
    <n v="0"/>
    <x v="0"/>
    <n v="0"/>
    <n v="0"/>
    <n v="0"/>
    <n v="185"/>
    <n v="185"/>
    <x v="1"/>
    <n v="109"/>
    <n v="78"/>
    <n v="29.68"/>
    <n v="29.68"/>
    <x v="0"/>
    <n v="63"/>
    <n v="63"/>
    <n v="93"/>
    <n v="93"/>
    <x v="0"/>
    <x v="0"/>
  </r>
  <r>
    <n v="1"/>
    <x v="1"/>
    <n v="39"/>
    <x v="0"/>
    <n v="2"/>
    <n v="2"/>
    <s v="Secondary"/>
    <x v="0"/>
    <n v="1"/>
    <n v="20"/>
    <n v="20"/>
    <x v="0"/>
    <n v="0"/>
    <x v="0"/>
    <n v="0"/>
    <n v="0"/>
    <n v="0"/>
    <n v="285"/>
    <n v="285"/>
    <x v="0"/>
    <n v="120"/>
    <n v="77.5"/>
    <n v="28.33"/>
    <n v="28.33"/>
    <x v="0"/>
    <n v="95"/>
    <n v="95"/>
    <n v="79"/>
    <n v="79"/>
    <x v="0"/>
    <x v="0"/>
  </r>
  <r>
    <n v="0"/>
    <x v="0"/>
    <n v="39"/>
    <x v="0"/>
    <n v="1"/>
    <n v="1"/>
    <s v="Primary"/>
    <x v="2"/>
    <n v="0"/>
    <n v="0"/>
    <n v="0"/>
    <x v="1"/>
    <n v="0"/>
    <x v="0"/>
    <n v="0"/>
    <n v="0"/>
    <n v="0"/>
    <n v="153"/>
    <n v="153"/>
    <x v="1"/>
    <n v="107"/>
    <n v="82"/>
    <n v="20.99"/>
    <n v="20.99"/>
    <x v="1"/>
    <n v="75"/>
    <n v="75"/>
    <n v="82"/>
    <n v="82"/>
    <x v="0"/>
    <x v="0"/>
  </r>
  <r>
    <n v="0"/>
    <x v="0"/>
    <n v="39"/>
    <x v="0"/>
    <n v="2"/>
    <n v="2"/>
    <s v="Secondary"/>
    <x v="0"/>
    <n v="0"/>
    <n v="0"/>
    <n v="0"/>
    <x v="1"/>
    <n v="0"/>
    <x v="0"/>
    <n v="0"/>
    <n v="0"/>
    <n v="0"/>
    <n v="252"/>
    <n v="252"/>
    <x v="0"/>
    <n v="125"/>
    <n v="86"/>
    <n v="20.74"/>
    <n v="20.74"/>
    <x v="1"/>
    <n v="75"/>
    <n v="75"/>
    <n v="93"/>
    <n v="93"/>
    <x v="0"/>
    <x v="0"/>
  </r>
  <r>
    <n v="1"/>
    <x v="1"/>
    <n v="39"/>
    <x v="0"/>
    <n v="1"/>
    <n v="1"/>
    <s v="Primary"/>
    <x v="2"/>
    <n v="1"/>
    <n v="20"/>
    <n v="20"/>
    <x v="0"/>
    <n v="0"/>
    <x v="0"/>
    <n v="0"/>
    <n v="0"/>
    <n v="0"/>
    <n v="202"/>
    <n v="202"/>
    <x v="1"/>
    <n v="108"/>
    <n v="74"/>
    <n v="25.51"/>
    <n v="25.51"/>
    <x v="0"/>
    <n v="64"/>
    <n v="64"/>
    <n v="104"/>
    <n v="104"/>
    <x v="0"/>
    <x v="0"/>
  </r>
  <r>
    <n v="1"/>
    <x v="1"/>
    <n v="39"/>
    <x v="0"/>
    <n v="1"/>
    <n v="1"/>
    <s v="Primary"/>
    <x v="2"/>
    <n v="0"/>
    <n v="0"/>
    <n v="0"/>
    <x v="1"/>
    <n v="0"/>
    <x v="0"/>
    <n v="0"/>
    <n v="0"/>
    <n v="0"/>
    <n v="188"/>
    <n v="188"/>
    <x v="1"/>
    <n v="105"/>
    <n v="65"/>
    <n v="22.85"/>
    <n v="22.85"/>
    <x v="1"/>
    <n v="63"/>
    <n v="63"/>
    <n v="76"/>
    <n v="76"/>
    <x v="0"/>
    <x v="0"/>
  </r>
  <r>
    <n v="0"/>
    <x v="0"/>
    <n v="39"/>
    <x v="0"/>
    <n v="4"/>
    <n v="4"/>
    <s v="Post Graduate"/>
    <x v="3"/>
    <n v="0"/>
    <n v="0"/>
    <n v="0"/>
    <x v="1"/>
    <n v="0"/>
    <x v="0"/>
    <n v="0"/>
    <n v="0"/>
    <n v="0"/>
    <n v="216"/>
    <n v="216"/>
    <x v="1"/>
    <n v="126"/>
    <n v="86"/>
    <n v="22.72"/>
    <n v="22.72"/>
    <x v="1"/>
    <n v="90"/>
    <n v="90"/>
    <n v="70"/>
    <n v="70"/>
    <x v="0"/>
    <x v="0"/>
  </r>
  <r>
    <n v="1"/>
    <x v="1"/>
    <n v="39"/>
    <x v="0"/>
    <n v="2"/>
    <n v="2"/>
    <s v="Secondary"/>
    <x v="0"/>
    <n v="1"/>
    <n v="9"/>
    <n v="9"/>
    <x v="0"/>
    <n v="0"/>
    <x v="0"/>
    <n v="0"/>
    <n v="0"/>
    <n v="0"/>
    <n v="273"/>
    <n v="273"/>
    <x v="0"/>
    <n v="148"/>
    <n v="103"/>
    <n v="28.62"/>
    <n v="28.62"/>
    <x v="0"/>
    <n v="75"/>
    <n v="75"/>
    <n v="74"/>
    <n v="74"/>
    <x v="0"/>
    <x v="0"/>
  </r>
  <r>
    <n v="1"/>
    <x v="1"/>
    <n v="39"/>
    <x v="0"/>
    <n v="4"/>
    <n v="4"/>
    <s v="Post Graduate"/>
    <x v="3"/>
    <n v="1"/>
    <n v="15"/>
    <n v="15"/>
    <x v="0"/>
    <n v="0"/>
    <x v="0"/>
    <n v="0"/>
    <n v="0"/>
    <n v="0"/>
    <n v="208"/>
    <n v="208"/>
    <x v="1"/>
    <n v="135"/>
    <n v="80"/>
    <n v="20.71"/>
    <n v="20.71"/>
    <x v="1"/>
    <n v="70"/>
    <n v="70"/>
    <s v="NA"/>
    <n v="81.96365524402907"/>
    <x v="0"/>
    <x v="0"/>
  </r>
  <r>
    <n v="1"/>
    <x v="1"/>
    <n v="39"/>
    <x v="0"/>
    <n v="2"/>
    <n v="2"/>
    <s v="Secondary"/>
    <x v="0"/>
    <n v="0"/>
    <n v="0"/>
    <n v="0"/>
    <x v="1"/>
    <n v="0"/>
    <x v="0"/>
    <n v="0"/>
    <n v="0"/>
    <n v="0"/>
    <n v="216"/>
    <n v="216"/>
    <x v="1"/>
    <n v="122.5"/>
    <n v="77"/>
    <n v="24.06"/>
    <n v="24.06"/>
    <x v="1"/>
    <n v="60"/>
    <n v="60"/>
    <n v="67"/>
    <n v="67"/>
    <x v="0"/>
    <x v="0"/>
  </r>
  <r>
    <n v="0"/>
    <x v="0"/>
    <n v="39"/>
    <x v="0"/>
    <n v="2"/>
    <n v="2"/>
    <s v="Secondary"/>
    <x v="0"/>
    <n v="0"/>
    <n v="0"/>
    <n v="0"/>
    <x v="1"/>
    <n v="0"/>
    <x v="0"/>
    <n v="0"/>
    <n v="0"/>
    <n v="0"/>
    <n v="337"/>
    <n v="337"/>
    <x v="0"/>
    <n v="120"/>
    <n v="79.5"/>
    <n v="23.07"/>
    <n v="23.07"/>
    <x v="1"/>
    <n v="68"/>
    <n v="68"/>
    <n v="77"/>
    <n v="77"/>
    <x v="0"/>
    <x v="0"/>
  </r>
  <r>
    <n v="1"/>
    <x v="1"/>
    <n v="39"/>
    <x v="0"/>
    <n v="2"/>
    <n v="2"/>
    <s v="Secondary"/>
    <x v="0"/>
    <n v="1"/>
    <s v="NA"/>
    <n v="9"/>
    <x v="0"/>
    <n v="0"/>
    <x v="0"/>
    <n v="0"/>
    <n v="0"/>
    <n v="0"/>
    <n v="285"/>
    <n v="285"/>
    <x v="0"/>
    <n v="121"/>
    <n v="82"/>
    <n v="27.62"/>
    <n v="27.62"/>
    <x v="0"/>
    <n v="85"/>
    <n v="85"/>
    <n v="65"/>
    <n v="65"/>
    <x v="0"/>
    <x v="0"/>
  </r>
  <r>
    <n v="1"/>
    <x v="1"/>
    <n v="39"/>
    <x v="0"/>
    <n v="3"/>
    <n v="3"/>
    <s v="Graduate"/>
    <x v="1"/>
    <n v="0"/>
    <n v="0"/>
    <n v="0"/>
    <x v="1"/>
    <n v="0"/>
    <x v="0"/>
    <n v="0"/>
    <n v="0"/>
    <n v="0"/>
    <n v="221"/>
    <n v="221"/>
    <x v="1"/>
    <n v="126"/>
    <n v="80"/>
    <n v="23.9"/>
    <n v="23.9"/>
    <x v="1"/>
    <n v="64"/>
    <n v="64"/>
    <n v="80"/>
    <n v="80"/>
    <x v="0"/>
    <x v="0"/>
  </r>
  <r>
    <n v="0"/>
    <x v="0"/>
    <n v="39"/>
    <x v="0"/>
    <n v="1"/>
    <n v="1"/>
    <s v="Primary"/>
    <x v="2"/>
    <n v="0"/>
    <n v="0"/>
    <n v="0"/>
    <x v="1"/>
    <n v="0"/>
    <x v="0"/>
    <n v="0"/>
    <n v="0"/>
    <n v="0"/>
    <n v="243"/>
    <n v="243"/>
    <x v="0"/>
    <n v="116"/>
    <n v="79"/>
    <n v="22.44"/>
    <n v="22.44"/>
    <x v="1"/>
    <n v="85"/>
    <n v="85"/>
    <n v="82"/>
    <n v="82"/>
    <x v="0"/>
    <x v="0"/>
  </r>
  <r>
    <n v="1"/>
    <x v="1"/>
    <n v="39"/>
    <x v="0"/>
    <n v="2"/>
    <n v="2"/>
    <s v="Secondary"/>
    <x v="0"/>
    <n v="1"/>
    <n v="30"/>
    <n v="30"/>
    <x v="0"/>
    <n v="0"/>
    <x v="0"/>
    <n v="0"/>
    <n v="1"/>
    <n v="0"/>
    <n v="292"/>
    <n v="292"/>
    <x v="0"/>
    <n v="153"/>
    <n v="100"/>
    <n v="28.09"/>
    <n v="28.09"/>
    <x v="0"/>
    <n v="110"/>
    <n v="110"/>
    <n v="69"/>
    <n v="69"/>
    <x v="0"/>
    <x v="1"/>
  </r>
  <r>
    <n v="0"/>
    <x v="0"/>
    <n v="39"/>
    <x v="0"/>
    <n v="2"/>
    <n v="2"/>
    <s v="Secondary"/>
    <x v="0"/>
    <n v="1"/>
    <n v="5"/>
    <n v="5"/>
    <x v="0"/>
    <n v="0"/>
    <x v="0"/>
    <n v="0"/>
    <n v="0"/>
    <n v="0"/>
    <n v="188"/>
    <n v="188"/>
    <x v="1"/>
    <n v="113"/>
    <n v="81"/>
    <n v="26.44"/>
    <n v="26.44"/>
    <x v="0"/>
    <n v="85"/>
    <n v="85"/>
    <n v="87"/>
    <n v="87"/>
    <x v="0"/>
    <x v="0"/>
  </r>
  <r>
    <n v="0"/>
    <x v="0"/>
    <n v="39"/>
    <x v="0"/>
    <n v="1"/>
    <n v="1"/>
    <s v="Primary"/>
    <x v="2"/>
    <n v="0"/>
    <n v="0"/>
    <n v="0"/>
    <x v="1"/>
    <n v="0"/>
    <x v="0"/>
    <n v="0"/>
    <n v="1"/>
    <n v="0"/>
    <n v="219"/>
    <n v="219"/>
    <x v="1"/>
    <n v="161"/>
    <n v="103"/>
    <n v="29.06"/>
    <n v="29.06"/>
    <x v="0"/>
    <n v="94"/>
    <n v="94"/>
    <n v="106"/>
    <n v="106"/>
    <x v="0"/>
    <x v="0"/>
  </r>
  <r>
    <n v="1"/>
    <x v="1"/>
    <n v="39"/>
    <x v="0"/>
    <n v="2"/>
    <n v="2"/>
    <s v="Secondary"/>
    <x v="0"/>
    <n v="1"/>
    <n v="20"/>
    <n v="20"/>
    <x v="0"/>
    <n v="0"/>
    <x v="0"/>
    <n v="0"/>
    <n v="0"/>
    <n v="0"/>
    <n v="230"/>
    <n v="230"/>
    <x v="1"/>
    <n v="134"/>
    <n v="92"/>
    <n v="28.44"/>
    <n v="28.44"/>
    <x v="0"/>
    <n v="75"/>
    <n v="75"/>
    <n v="56"/>
    <n v="56"/>
    <x v="0"/>
    <x v="0"/>
  </r>
  <r>
    <n v="0"/>
    <x v="0"/>
    <n v="39"/>
    <x v="0"/>
    <n v="1"/>
    <n v="1"/>
    <s v="Primary"/>
    <x v="2"/>
    <n v="0"/>
    <n v="0"/>
    <n v="0"/>
    <x v="1"/>
    <n v="0"/>
    <x v="0"/>
    <n v="0"/>
    <n v="0"/>
    <n v="0"/>
    <n v="275"/>
    <n v="275"/>
    <x v="0"/>
    <n v="131"/>
    <n v="80"/>
    <n v="25.79"/>
    <n v="25.79"/>
    <x v="0"/>
    <n v="94"/>
    <n v="94"/>
    <n v="84"/>
    <n v="84"/>
    <x v="0"/>
    <x v="0"/>
  </r>
  <r>
    <n v="0"/>
    <x v="0"/>
    <n v="39"/>
    <x v="0"/>
    <n v="2"/>
    <n v="2"/>
    <s v="Secondary"/>
    <x v="0"/>
    <n v="1"/>
    <n v="10"/>
    <n v="10"/>
    <x v="0"/>
    <n v="0"/>
    <x v="0"/>
    <n v="0"/>
    <n v="0"/>
    <n v="0"/>
    <n v="194"/>
    <n v="194"/>
    <x v="1"/>
    <n v="112.5"/>
    <n v="77.5"/>
    <n v="21.51"/>
    <n v="21.51"/>
    <x v="1"/>
    <n v="67"/>
    <n v="67"/>
    <n v="84"/>
    <n v="84"/>
    <x v="0"/>
    <x v="0"/>
  </r>
  <r>
    <n v="1"/>
    <x v="1"/>
    <n v="39"/>
    <x v="0"/>
    <n v="2"/>
    <n v="2"/>
    <s v="Secondary"/>
    <x v="0"/>
    <n v="1"/>
    <n v="1"/>
    <n v="1"/>
    <x v="0"/>
    <n v="0"/>
    <x v="0"/>
    <n v="0"/>
    <n v="1"/>
    <n v="0"/>
    <n v="250"/>
    <n v="250"/>
    <x v="0"/>
    <n v="148"/>
    <n v="94"/>
    <n v="30.08"/>
    <n v="30.08"/>
    <x v="2"/>
    <n v="85"/>
    <n v="85"/>
    <s v="NA"/>
    <n v="81.96365524402907"/>
    <x v="0"/>
    <x v="0"/>
  </r>
  <r>
    <n v="0"/>
    <x v="0"/>
    <n v="39"/>
    <x v="0"/>
    <n v="1"/>
    <n v="1"/>
    <s v="Primary"/>
    <x v="2"/>
    <n v="0"/>
    <n v="0"/>
    <n v="0"/>
    <x v="1"/>
    <n v="0"/>
    <x v="0"/>
    <n v="0"/>
    <n v="0"/>
    <n v="0"/>
    <n v="186"/>
    <n v="186"/>
    <x v="1"/>
    <n v="124"/>
    <n v="80"/>
    <n v="29.7"/>
    <n v="29.7"/>
    <x v="0"/>
    <n v="75"/>
    <n v="75"/>
    <n v="102"/>
    <n v="102"/>
    <x v="0"/>
    <x v="0"/>
  </r>
  <r>
    <n v="0"/>
    <x v="0"/>
    <n v="39"/>
    <x v="0"/>
    <n v="2"/>
    <n v="2"/>
    <s v="Secondary"/>
    <x v="0"/>
    <n v="0"/>
    <n v="0"/>
    <n v="0"/>
    <x v="1"/>
    <n v="0"/>
    <x v="0"/>
    <n v="0"/>
    <n v="1"/>
    <n v="0"/>
    <n v="200"/>
    <n v="200"/>
    <x v="1"/>
    <n v="141"/>
    <n v="87"/>
    <n v="24.04"/>
    <n v="24.04"/>
    <x v="1"/>
    <n v="75"/>
    <n v="75"/>
    <n v="70"/>
    <n v="70"/>
    <x v="0"/>
    <x v="0"/>
  </r>
  <r>
    <n v="1"/>
    <x v="1"/>
    <n v="39"/>
    <x v="0"/>
    <n v="1"/>
    <n v="1"/>
    <s v="Primary"/>
    <x v="2"/>
    <n v="1"/>
    <n v="20"/>
    <n v="20"/>
    <x v="0"/>
    <n v="0"/>
    <x v="0"/>
    <n v="0"/>
    <n v="0"/>
    <n v="0"/>
    <n v="228"/>
    <n v="228"/>
    <x v="1"/>
    <n v="122.5"/>
    <n v="87"/>
    <n v="31.6"/>
    <n v="31.6"/>
    <x v="2"/>
    <n v="100"/>
    <n v="100"/>
    <n v="73"/>
    <n v="73"/>
    <x v="0"/>
    <x v="0"/>
  </r>
  <r>
    <n v="1"/>
    <x v="1"/>
    <n v="39"/>
    <x v="0"/>
    <n v="1"/>
    <n v="1"/>
    <s v="Primary"/>
    <x v="2"/>
    <n v="1"/>
    <n v="40"/>
    <n v="40"/>
    <x v="0"/>
    <n v="0"/>
    <x v="0"/>
    <n v="0"/>
    <n v="1"/>
    <n v="0"/>
    <n v="215"/>
    <n v="215"/>
    <x v="1"/>
    <n v="145.5"/>
    <n v="92.5"/>
    <n v="28.35"/>
    <n v="28.35"/>
    <x v="0"/>
    <n v="75"/>
    <n v="75"/>
    <n v="94"/>
    <n v="94"/>
    <x v="0"/>
    <x v="0"/>
  </r>
  <r>
    <n v="0"/>
    <x v="0"/>
    <n v="39"/>
    <x v="0"/>
    <n v="2"/>
    <n v="2"/>
    <s v="Secondary"/>
    <x v="0"/>
    <n v="0"/>
    <n v="0"/>
    <n v="0"/>
    <x v="1"/>
    <n v="0"/>
    <x v="0"/>
    <n v="0"/>
    <n v="0"/>
    <n v="0"/>
    <n v="197"/>
    <n v="197"/>
    <x v="1"/>
    <n v="134"/>
    <n v="78"/>
    <n v="30.36"/>
    <n v="30.36"/>
    <x v="2"/>
    <n v="100"/>
    <n v="100"/>
    <n v="83"/>
    <n v="83"/>
    <x v="0"/>
    <x v="0"/>
  </r>
  <r>
    <n v="1"/>
    <x v="1"/>
    <n v="39"/>
    <x v="0"/>
    <n v="2"/>
    <n v="2"/>
    <s v="Secondary"/>
    <x v="0"/>
    <n v="1"/>
    <n v="30"/>
    <n v="30"/>
    <x v="0"/>
    <n v="0"/>
    <x v="0"/>
    <n v="0"/>
    <n v="1"/>
    <n v="0"/>
    <n v="186"/>
    <n v="186"/>
    <x v="1"/>
    <n v="162"/>
    <n v="109"/>
    <n v="29.72"/>
    <n v="29.72"/>
    <x v="0"/>
    <n v="90"/>
    <n v="90"/>
    <n v="129"/>
    <n v="129"/>
    <x v="0"/>
    <x v="0"/>
  </r>
  <r>
    <n v="0"/>
    <x v="0"/>
    <n v="39"/>
    <x v="0"/>
    <n v="3"/>
    <n v="3"/>
    <s v="Graduate"/>
    <x v="1"/>
    <n v="1"/>
    <n v="20"/>
    <n v="20"/>
    <x v="0"/>
    <n v="0"/>
    <x v="0"/>
    <n v="0"/>
    <n v="0"/>
    <n v="0"/>
    <n v="190"/>
    <n v="190"/>
    <x v="1"/>
    <n v="85"/>
    <n v="70"/>
    <n v="22.43"/>
    <n v="22.43"/>
    <x v="1"/>
    <n v="88"/>
    <n v="88"/>
    <n v="60"/>
    <n v="60"/>
    <x v="0"/>
    <x v="0"/>
  </r>
  <r>
    <n v="0"/>
    <x v="0"/>
    <n v="39"/>
    <x v="0"/>
    <n v="2"/>
    <n v="2"/>
    <s v="Secondary"/>
    <x v="0"/>
    <n v="0"/>
    <n v="0"/>
    <n v="0"/>
    <x v="1"/>
    <n v="0"/>
    <x v="0"/>
    <n v="0"/>
    <n v="0"/>
    <n v="0"/>
    <n v="205"/>
    <n v="205"/>
    <x v="1"/>
    <n v="104"/>
    <n v="74"/>
    <n v="20.55"/>
    <n v="20.55"/>
    <x v="1"/>
    <n v="68"/>
    <n v="68"/>
    <s v="NA"/>
    <n v="81.96365524402907"/>
    <x v="0"/>
    <x v="0"/>
  </r>
  <r>
    <n v="1"/>
    <x v="1"/>
    <n v="39"/>
    <x v="0"/>
    <n v="4"/>
    <n v="4"/>
    <s v="Post Graduate"/>
    <x v="3"/>
    <n v="1"/>
    <n v="3"/>
    <n v="3"/>
    <x v="0"/>
    <n v="0"/>
    <x v="0"/>
    <n v="0"/>
    <n v="1"/>
    <n v="0"/>
    <n v="230"/>
    <n v="230"/>
    <x v="1"/>
    <n v="140"/>
    <n v="97"/>
    <n v="25.31"/>
    <n v="25.31"/>
    <x v="0"/>
    <n v="72"/>
    <n v="72"/>
    <s v="NA"/>
    <n v="81.96365524402907"/>
    <x v="0"/>
    <x v="0"/>
  </r>
  <r>
    <n v="0"/>
    <x v="0"/>
    <n v="39"/>
    <x v="0"/>
    <n v="2"/>
    <n v="2"/>
    <s v="Secondary"/>
    <x v="0"/>
    <n v="0"/>
    <n v="0"/>
    <n v="0"/>
    <x v="1"/>
    <n v="0"/>
    <x v="0"/>
    <n v="0"/>
    <n v="1"/>
    <n v="0"/>
    <n v="226"/>
    <n v="226"/>
    <x v="1"/>
    <n v="146"/>
    <n v="86"/>
    <n v="24.41"/>
    <n v="24.41"/>
    <x v="1"/>
    <n v="85"/>
    <n v="85"/>
    <n v="85"/>
    <n v="85"/>
    <x v="0"/>
    <x v="0"/>
  </r>
  <r>
    <n v="1"/>
    <x v="1"/>
    <n v="39"/>
    <x v="0"/>
    <n v="2"/>
    <n v="2"/>
    <s v="Secondary"/>
    <x v="0"/>
    <n v="1"/>
    <n v="40"/>
    <n v="40"/>
    <x v="0"/>
    <n v="0"/>
    <x v="0"/>
    <n v="0"/>
    <n v="0"/>
    <n v="0"/>
    <n v="218"/>
    <n v="218"/>
    <x v="1"/>
    <n v="112.5"/>
    <n v="60"/>
    <n v="24"/>
    <n v="24"/>
    <x v="1"/>
    <n v="65"/>
    <n v="65"/>
    <s v="NA"/>
    <n v="81.96365524402907"/>
    <x v="0"/>
    <x v="0"/>
  </r>
  <r>
    <n v="1"/>
    <x v="1"/>
    <n v="39"/>
    <x v="0"/>
    <n v="2"/>
    <n v="2"/>
    <s v="Secondary"/>
    <x v="0"/>
    <n v="1"/>
    <n v="15"/>
    <n v="15"/>
    <x v="0"/>
    <n v="0"/>
    <x v="0"/>
    <n v="0"/>
    <n v="0"/>
    <n v="0"/>
    <n v="318"/>
    <n v="318"/>
    <x v="0"/>
    <n v="118"/>
    <n v="75.5"/>
    <n v="27.52"/>
    <n v="27.52"/>
    <x v="0"/>
    <n v="65"/>
    <n v="65"/>
    <n v="70"/>
    <n v="70"/>
    <x v="0"/>
    <x v="0"/>
  </r>
  <r>
    <n v="1"/>
    <x v="1"/>
    <n v="39"/>
    <x v="0"/>
    <n v="2"/>
    <n v="2"/>
    <s v="Secondary"/>
    <x v="0"/>
    <n v="1"/>
    <n v="10"/>
    <n v="10"/>
    <x v="0"/>
    <n v="0"/>
    <x v="0"/>
    <n v="0"/>
    <n v="0"/>
    <n v="0"/>
    <n v="215"/>
    <n v="215"/>
    <x v="1"/>
    <n v="102"/>
    <n v="64.5"/>
    <n v="24.5"/>
    <n v="24.5"/>
    <x v="1"/>
    <n v="68"/>
    <n v="68"/>
    <n v="62"/>
    <n v="62"/>
    <x v="0"/>
    <x v="0"/>
  </r>
  <r>
    <n v="1"/>
    <x v="1"/>
    <n v="39"/>
    <x v="0"/>
    <n v="2"/>
    <n v="2"/>
    <s v="Secondary"/>
    <x v="0"/>
    <n v="1"/>
    <n v="25"/>
    <n v="25"/>
    <x v="0"/>
    <n v="0"/>
    <x v="0"/>
    <n v="0"/>
    <n v="0"/>
    <n v="0"/>
    <n v="206"/>
    <n v="206"/>
    <x v="1"/>
    <n v="124"/>
    <n v="78"/>
    <n v="19.98"/>
    <n v="19.98"/>
    <x v="1"/>
    <n v="69"/>
    <n v="69"/>
    <n v="80"/>
    <n v="80"/>
    <x v="0"/>
    <x v="0"/>
  </r>
  <r>
    <n v="0"/>
    <x v="0"/>
    <n v="39"/>
    <x v="0"/>
    <n v="3"/>
    <n v="3"/>
    <s v="Graduate"/>
    <x v="1"/>
    <n v="1"/>
    <n v="8"/>
    <n v="8"/>
    <x v="0"/>
    <n v="0"/>
    <x v="0"/>
    <n v="0"/>
    <n v="0"/>
    <n v="0"/>
    <n v="192"/>
    <n v="192"/>
    <x v="1"/>
    <n v="109"/>
    <n v="61"/>
    <n v="23.36"/>
    <n v="23.36"/>
    <x v="1"/>
    <n v="64"/>
    <n v="64"/>
    <n v="84"/>
    <n v="84"/>
    <x v="0"/>
    <x v="0"/>
  </r>
  <r>
    <n v="0"/>
    <x v="0"/>
    <n v="39"/>
    <x v="0"/>
    <n v="3"/>
    <n v="3"/>
    <s v="Graduate"/>
    <x v="1"/>
    <n v="0"/>
    <n v="0"/>
    <n v="0"/>
    <x v="1"/>
    <n v="0"/>
    <x v="0"/>
    <n v="0"/>
    <n v="0"/>
    <n v="0"/>
    <n v="190"/>
    <n v="190"/>
    <x v="1"/>
    <n v="133"/>
    <n v="87"/>
    <n v="32.090000000000003"/>
    <n v="32.090000000000003"/>
    <x v="2"/>
    <n v="56"/>
    <n v="56"/>
    <n v="80"/>
    <n v="80"/>
    <x v="0"/>
    <x v="0"/>
  </r>
  <r>
    <n v="0"/>
    <x v="0"/>
    <n v="39"/>
    <x v="0"/>
    <n v="4"/>
    <n v="4"/>
    <s v="Post Graduate"/>
    <x v="3"/>
    <n v="0"/>
    <n v="0"/>
    <n v="0"/>
    <x v="1"/>
    <n v="0"/>
    <x v="0"/>
    <n v="0"/>
    <n v="0"/>
    <n v="0"/>
    <n v="181"/>
    <n v="181"/>
    <x v="1"/>
    <n v="112"/>
    <n v="71"/>
    <n v="21.8"/>
    <n v="21.8"/>
    <x v="1"/>
    <n v="77"/>
    <n v="77"/>
    <n v="67"/>
    <n v="67"/>
    <x v="0"/>
    <x v="0"/>
  </r>
  <r>
    <n v="0"/>
    <x v="0"/>
    <n v="39"/>
    <x v="0"/>
    <n v="2"/>
    <n v="2"/>
    <s v="Secondary"/>
    <x v="0"/>
    <n v="0"/>
    <n v="0"/>
    <n v="0"/>
    <x v="1"/>
    <n v="0"/>
    <x v="0"/>
    <n v="0"/>
    <n v="0"/>
    <n v="0"/>
    <n v="202"/>
    <n v="202"/>
    <x v="1"/>
    <n v="100.5"/>
    <n v="67"/>
    <n v="21.33"/>
    <n v="21.33"/>
    <x v="1"/>
    <n v="63"/>
    <n v="63"/>
    <s v="NA"/>
    <n v="81.96365524402907"/>
    <x v="0"/>
    <x v="0"/>
  </r>
  <r>
    <n v="0"/>
    <x v="0"/>
    <n v="39"/>
    <x v="0"/>
    <n v="4"/>
    <n v="4"/>
    <s v="Post Graduate"/>
    <x v="3"/>
    <n v="1"/>
    <n v="25"/>
    <n v="25"/>
    <x v="0"/>
    <n v="0"/>
    <x v="0"/>
    <n v="0"/>
    <n v="0"/>
    <n v="0"/>
    <n v="200"/>
    <n v="200"/>
    <x v="1"/>
    <n v="110"/>
    <n v="68"/>
    <n v="20.239999999999998"/>
    <n v="20.239999999999998"/>
    <x v="1"/>
    <n v="79"/>
    <n v="79"/>
    <n v="62"/>
    <n v="62"/>
    <x v="0"/>
    <x v="0"/>
  </r>
  <r>
    <n v="0"/>
    <x v="0"/>
    <n v="39"/>
    <x v="0"/>
    <n v="1"/>
    <n v="1"/>
    <s v="Primary"/>
    <x v="2"/>
    <n v="0"/>
    <n v="0"/>
    <n v="0"/>
    <x v="1"/>
    <n v="0"/>
    <x v="0"/>
    <n v="0"/>
    <n v="1"/>
    <n v="0"/>
    <n v="173"/>
    <n v="173"/>
    <x v="1"/>
    <n v="109"/>
    <n v="82"/>
    <n v="27.27"/>
    <n v="27.27"/>
    <x v="0"/>
    <n v="85"/>
    <n v="85"/>
    <s v="NA"/>
    <n v="81.96365524402907"/>
    <x v="0"/>
    <x v="0"/>
  </r>
  <r>
    <n v="0"/>
    <x v="0"/>
    <n v="39"/>
    <x v="0"/>
    <n v="3"/>
    <n v="3"/>
    <s v="Graduate"/>
    <x v="1"/>
    <n v="1"/>
    <s v="NA"/>
    <n v="9"/>
    <x v="0"/>
    <n v="0"/>
    <x v="0"/>
    <n v="0"/>
    <n v="0"/>
    <n v="0"/>
    <n v="197"/>
    <n v="197"/>
    <x v="1"/>
    <n v="126.5"/>
    <n v="76.5"/>
    <n v="19.71"/>
    <n v="19.71"/>
    <x v="1"/>
    <n v="55"/>
    <n v="55"/>
    <n v="63"/>
    <n v="63"/>
    <x v="0"/>
    <x v="0"/>
  </r>
  <r>
    <n v="1"/>
    <x v="1"/>
    <n v="39"/>
    <x v="0"/>
    <n v="1"/>
    <n v="1"/>
    <s v="Primary"/>
    <x v="2"/>
    <n v="1"/>
    <n v="43"/>
    <n v="43"/>
    <x v="0"/>
    <n v="0"/>
    <x v="0"/>
    <n v="0"/>
    <n v="1"/>
    <n v="0"/>
    <n v="291"/>
    <n v="291"/>
    <x v="0"/>
    <n v="177.5"/>
    <n v="100"/>
    <n v="25.74"/>
    <n v="25.74"/>
    <x v="0"/>
    <n v="67"/>
    <n v="67"/>
    <n v="91"/>
    <n v="91"/>
    <x v="0"/>
    <x v="0"/>
  </r>
  <r>
    <n v="0"/>
    <x v="0"/>
    <n v="39"/>
    <x v="0"/>
    <n v="2"/>
    <n v="2"/>
    <s v="Secondary"/>
    <x v="0"/>
    <n v="1"/>
    <n v="40"/>
    <n v="40"/>
    <x v="0"/>
    <n v="0"/>
    <x v="0"/>
    <n v="0"/>
    <n v="0"/>
    <n v="0"/>
    <s v="NA"/>
    <n v="236.69952267303103"/>
    <x v="1"/>
    <n v="105"/>
    <n v="67.5"/>
    <n v="24.43"/>
    <n v="24.43"/>
    <x v="1"/>
    <n v="90"/>
    <n v="90"/>
    <s v="NA"/>
    <n v="81.96365524402907"/>
    <x v="0"/>
    <x v="0"/>
  </r>
  <r>
    <n v="0"/>
    <x v="0"/>
    <n v="39"/>
    <x v="0"/>
    <n v="3"/>
    <n v="3"/>
    <s v="Graduate"/>
    <x v="1"/>
    <n v="0"/>
    <n v="0"/>
    <n v="0"/>
    <x v="1"/>
    <n v="0"/>
    <x v="0"/>
    <n v="0"/>
    <n v="0"/>
    <n v="0"/>
    <n v="213"/>
    <n v="213"/>
    <x v="1"/>
    <n v="125"/>
    <n v="87"/>
    <n v="16.73"/>
    <n v="16.73"/>
    <x v="3"/>
    <n v="110"/>
    <n v="110"/>
    <n v="75"/>
    <n v="75"/>
    <x v="0"/>
    <x v="0"/>
  </r>
  <r>
    <n v="1"/>
    <x v="1"/>
    <n v="39"/>
    <x v="0"/>
    <n v="4"/>
    <n v="4"/>
    <s v="Post Graduate"/>
    <x v="3"/>
    <n v="1"/>
    <n v="1"/>
    <n v="1"/>
    <x v="0"/>
    <n v="0"/>
    <x v="0"/>
    <n v="0"/>
    <n v="0"/>
    <n v="0"/>
    <n v="163"/>
    <n v="163"/>
    <x v="1"/>
    <n v="129"/>
    <n v="84"/>
    <n v="21.01"/>
    <n v="21.01"/>
    <x v="1"/>
    <n v="60"/>
    <n v="60"/>
    <n v="120"/>
    <n v="120"/>
    <x v="0"/>
    <x v="0"/>
  </r>
  <r>
    <n v="1"/>
    <x v="1"/>
    <n v="39"/>
    <x v="0"/>
    <n v="1"/>
    <n v="1"/>
    <s v="Primary"/>
    <x v="2"/>
    <n v="1"/>
    <n v="20"/>
    <n v="20"/>
    <x v="0"/>
    <n v="0"/>
    <x v="0"/>
    <n v="0"/>
    <n v="0"/>
    <n v="0"/>
    <n v="186"/>
    <n v="186"/>
    <x v="1"/>
    <n v="126"/>
    <n v="67"/>
    <n v="22.04"/>
    <n v="22.04"/>
    <x v="1"/>
    <n v="63"/>
    <n v="63"/>
    <n v="72"/>
    <n v="72"/>
    <x v="0"/>
    <x v="0"/>
  </r>
  <r>
    <n v="1"/>
    <x v="1"/>
    <n v="39"/>
    <x v="0"/>
    <n v="4"/>
    <n v="4"/>
    <s v="Post Graduate"/>
    <x v="3"/>
    <n v="1"/>
    <n v="9"/>
    <n v="9"/>
    <x v="0"/>
    <n v="0"/>
    <x v="0"/>
    <n v="0"/>
    <n v="0"/>
    <n v="0"/>
    <n v="271"/>
    <n v="271"/>
    <x v="0"/>
    <n v="118"/>
    <n v="74"/>
    <n v="22.66"/>
    <n v="22.66"/>
    <x v="1"/>
    <n v="79"/>
    <n v="79"/>
    <n v="76"/>
    <n v="76"/>
    <x v="0"/>
    <x v="0"/>
  </r>
  <r>
    <n v="1"/>
    <x v="1"/>
    <n v="39"/>
    <x v="0"/>
    <n v="1"/>
    <n v="1"/>
    <s v="Primary"/>
    <x v="2"/>
    <n v="1"/>
    <n v="15"/>
    <n v="15"/>
    <x v="0"/>
    <n v="0"/>
    <x v="0"/>
    <n v="0"/>
    <n v="0"/>
    <n v="0"/>
    <n v="181"/>
    <n v="181"/>
    <x v="1"/>
    <n v="115"/>
    <n v="75"/>
    <n v="21.99"/>
    <n v="21.99"/>
    <x v="1"/>
    <n v="67"/>
    <n v="67"/>
    <s v="NA"/>
    <n v="81.96365524402907"/>
    <x v="0"/>
    <x v="0"/>
  </r>
  <r>
    <n v="0"/>
    <x v="0"/>
    <n v="39"/>
    <x v="0"/>
    <n v="3"/>
    <n v="3"/>
    <s v="Graduate"/>
    <x v="1"/>
    <n v="0"/>
    <n v="0"/>
    <n v="0"/>
    <x v="1"/>
    <n v="0"/>
    <x v="0"/>
    <n v="0"/>
    <n v="0"/>
    <n v="0"/>
    <n v="181"/>
    <n v="181"/>
    <x v="1"/>
    <n v="103"/>
    <n v="62"/>
    <n v="20.68"/>
    <n v="20.68"/>
    <x v="1"/>
    <n v="70"/>
    <n v="70"/>
    <n v="69"/>
    <n v="69"/>
    <x v="0"/>
    <x v="0"/>
  </r>
  <r>
    <n v="0"/>
    <x v="0"/>
    <n v="39"/>
    <x v="0"/>
    <n v="1"/>
    <n v="1"/>
    <s v="Primary"/>
    <x v="2"/>
    <n v="0"/>
    <n v="0"/>
    <n v="0"/>
    <x v="1"/>
    <n v="0"/>
    <x v="0"/>
    <n v="0"/>
    <n v="0"/>
    <n v="0"/>
    <n v="195"/>
    <n v="195"/>
    <x v="1"/>
    <n v="129.5"/>
    <n v="93.5"/>
    <n v="34.840000000000003"/>
    <n v="34.840000000000003"/>
    <x v="2"/>
    <n v="85"/>
    <n v="85"/>
    <n v="85"/>
    <n v="85"/>
    <x v="0"/>
    <x v="0"/>
  </r>
  <r>
    <n v="1"/>
    <x v="1"/>
    <n v="39"/>
    <x v="0"/>
    <n v="1"/>
    <n v="1"/>
    <s v="Primary"/>
    <x v="2"/>
    <n v="1"/>
    <n v="20"/>
    <n v="20"/>
    <x v="0"/>
    <n v="0"/>
    <x v="0"/>
    <n v="0"/>
    <n v="0"/>
    <n v="0"/>
    <n v="253"/>
    <n v="253"/>
    <x v="0"/>
    <n v="104"/>
    <n v="64"/>
    <n v="27.48"/>
    <n v="27.48"/>
    <x v="0"/>
    <n v="65"/>
    <n v="65"/>
    <n v="74"/>
    <n v="74"/>
    <x v="0"/>
    <x v="0"/>
  </r>
  <r>
    <n v="0"/>
    <x v="0"/>
    <n v="39"/>
    <x v="0"/>
    <n v="3"/>
    <n v="3"/>
    <s v="Graduate"/>
    <x v="1"/>
    <n v="0"/>
    <n v="0"/>
    <n v="0"/>
    <x v="1"/>
    <n v="0"/>
    <x v="0"/>
    <n v="0"/>
    <n v="0"/>
    <n v="0"/>
    <n v="195"/>
    <n v="195"/>
    <x v="1"/>
    <n v="97.5"/>
    <n v="60"/>
    <n v="20.62"/>
    <n v="20.62"/>
    <x v="1"/>
    <n v="64"/>
    <n v="64"/>
    <n v="68"/>
    <n v="68"/>
    <x v="0"/>
    <x v="0"/>
  </r>
  <r>
    <n v="1"/>
    <x v="1"/>
    <n v="39"/>
    <x v="0"/>
    <n v="2"/>
    <n v="2"/>
    <s v="Secondary"/>
    <x v="0"/>
    <n v="1"/>
    <n v="20"/>
    <n v="20"/>
    <x v="0"/>
    <n v="0"/>
    <x v="0"/>
    <n v="0"/>
    <n v="0"/>
    <n v="0"/>
    <n v="287"/>
    <n v="287"/>
    <x v="0"/>
    <n v="136"/>
    <n v="86"/>
    <n v="19"/>
    <n v="19"/>
    <x v="1"/>
    <n v="112"/>
    <n v="112"/>
    <n v="83"/>
    <n v="83"/>
    <x v="0"/>
    <x v="0"/>
  </r>
  <r>
    <n v="0"/>
    <x v="0"/>
    <n v="39"/>
    <x v="0"/>
    <n v="3"/>
    <n v="3"/>
    <s v="Graduate"/>
    <x v="1"/>
    <n v="1"/>
    <n v="30"/>
    <n v="30"/>
    <x v="0"/>
    <n v="0"/>
    <x v="0"/>
    <n v="0"/>
    <n v="0"/>
    <n v="0"/>
    <n v="196"/>
    <n v="196"/>
    <x v="1"/>
    <n v="133"/>
    <n v="86"/>
    <n v="20.91"/>
    <n v="20.91"/>
    <x v="1"/>
    <n v="85"/>
    <n v="85"/>
    <n v="80"/>
    <n v="80"/>
    <x v="0"/>
    <x v="0"/>
  </r>
  <r>
    <n v="0"/>
    <x v="0"/>
    <n v="40"/>
    <x v="1"/>
    <n v="4"/>
    <n v="4"/>
    <s v="Post Graduate"/>
    <x v="3"/>
    <n v="1"/>
    <n v="20"/>
    <n v="20"/>
    <x v="0"/>
    <n v="0"/>
    <x v="0"/>
    <n v="0"/>
    <n v="0"/>
    <n v="0"/>
    <n v="205"/>
    <n v="205"/>
    <x v="1"/>
    <n v="158"/>
    <n v="102"/>
    <n v="25.45"/>
    <n v="25.45"/>
    <x v="0"/>
    <n v="75"/>
    <n v="75"/>
    <n v="87"/>
    <n v="87"/>
    <x v="0"/>
    <x v="1"/>
  </r>
  <r>
    <n v="0"/>
    <x v="0"/>
    <n v="40"/>
    <x v="1"/>
    <n v="2"/>
    <n v="2"/>
    <s v="Secondary"/>
    <x v="0"/>
    <n v="0"/>
    <n v="0"/>
    <n v="0"/>
    <x v="1"/>
    <n v="0"/>
    <x v="0"/>
    <n v="0"/>
    <n v="0"/>
    <n v="0"/>
    <n v="205"/>
    <n v="205"/>
    <x v="1"/>
    <n v="100"/>
    <n v="60"/>
    <s v="NA"/>
    <n v="25.80080075811421"/>
    <x v="0"/>
    <n v="60"/>
    <n v="60"/>
    <n v="72"/>
    <n v="72"/>
    <x v="0"/>
    <x v="1"/>
  </r>
  <r>
    <n v="1"/>
    <x v="1"/>
    <n v="40"/>
    <x v="1"/>
    <n v="1"/>
    <n v="1"/>
    <s v="Primary"/>
    <x v="2"/>
    <n v="1"/>
    <n v="43"/>
    <n v="43"/>
    <x v="0"/>
    <n v="0"/>
    <x v="0"/>
    <n v="0"/>
    <n v="1"/>
    <n v="0"/>
    <n v="290"/>
    <n v="290"/>
    <x v="0"/>
    <n v="138"/>
    <n v="90"/>
    <n v="27.54"/>
    <n v="27.54"/>
    <x v="0"/>
    <n v="85"/>
    <n v="85"/>
    <n v="73"/>
    <n v="73"/>
    <x v="0"/>
    <x v="1"/>
  </r>
  <r>
    <n v="1"/>
    <x v="1"/>
    <n v="40"/>
    <x v="1"/>
    <n v="3"/>
    <n v="3"/>
    <s v="Graduate"/>
    <x v="1"/>
    <n v="0"/>
    <n v="0"/>
    <n v="0"/>
    <x v="1"/>
    <n v="0"/>
    <x v="0"/>
    <n v="0"/>
    <n v="0"/>
    <n v="0"/>
    <n v="154"/>
    <n v="154"/>
    <x v="1"/>
    <n v="117.5"/>
    <n v="72.5"/>
    <n v="26.82"/>
    <n v="26.82"/>
    <x v="0"/>
    <n v="80"/>
    <n v="80"/>
    <n v="87"/>
    <n v="87"/>
    <x v="0"/>
    <x v="0"/>
  </r>
  <r>
    <n v="0"/>
    <x v="0"/>
    <n v="40"/>
    <x v="1"/>
    <n v="2"/>
    <n v="2"/>
    <s v="Secondary"/>
    <x v="0"/>
    <n v="0"/>
    <n v="0"/>
    <n v="0"/>
    <x v="1"/>
    <n v="0"/>
    <x v="0"/>
    <n v="0"/>
    <n v="0"/>
    <n v="0"/>
    <n v="173"/>
    <n v="173"/>
    <x v="1"/>
    <n v="106"/>
    <n v="82"/>
    <n v="23.05"/>
    <n v="23.05"/>
    <x v="1"/>
    <n v="85"/>
    <n v="85"/>
    <n v="83"/>
    <n v="83"/>
    <x v="0"/>
    <x v="0"/>
  </r>
  <r>
    <n v="1"/>
    <x v="1"/>
    <n v="40"/>
    <x v="1"/>
    <n v="3"/>
    <n v="3"/>
    <s v="Graduate"/>
    <x v="1"/>
    <n v="1"/>
    <n v="43"/>
    <n v="43"/>
    <x v="0"/>
    <n v="0"/>
    <x v="0"/>
    <n v="0"/>
    <n v="0"/>
    <n v="0"/>
    <n v="238"/>
    <n v="238"/>
    <x v="1"/>
    <n v="129"/>
    <n v="88"/>
    <n v="26.32"/>
    <n v="26.32"/>
    <x v="0"/>
    <n v="95"/>
    <n v="95"/>
    <n v="60"/>
    <n v="60"/>
    <x v="0"/>
    <x v="0"/>
  </r>
  <r>
    <n v="0"/>
    <x v="0"/>
    <n v="40"/>
    <x v="1"/>
    <n v="2"/>
    <n v="2"/>
    <s v="Secondary"/>
    <x v="0"/>
    <n v="1"/>
    <n v="20"/>
    <n v="20"/>
    <x v="0"/>
    <n v="0"/>
    <x v="0"/>
    <n v="0"/>
    <n v="0"/>
    <n v="0"/>
    <n v="197"/>
    <n v="197"/>
    <x v="1"/>
    <n v="124"/>
    <n v="76"/>
    <n v="18.059999999999999"/>
    <n v="18.059999999999999"/>
    <x v="3"/>
    <n v="90"/>
    <n v="90"/>
    <n v="69"/>
    <n v="69"/>
    <x v="0"/>
    <x v="0"/>
  </r>
  <r>
    <n v="0"/>
    <x v="0"/>
    <n v="40"/>
    <x v="1"/>
    <n v="2"/>
    <n v="2"/>
    <s v="Secondary"/>
    <x v="0"/>
    <n v="1"/>
    <n v="20"/>
    <n v="20"/>
    <x v="0"/>
    <n v="0"/>
    <x v="0"/>
    <n v="0"/>
    <n v="0"/>
    <n v="1"/>
    <s v="NA"/>
    <n v="236.69952267303103"/>
    <x v="1"/>
    <n v="114"/>
    <n v="65"/>
    <n v="21.19"/>
    <n v="21.19"/>
    <x v="1"/>
    <n v="61"/>
    <n v="61"/>
    <s v="NA"/>
    <n v="81.96365524402907"/>
    <x v="0"/>
    <x v="1"/>
  </r>
  <r>
    <n v="0"/>
    <x v="0"/>
    <n v="40"/>
    <x v="1"/>
    <n v="3"/>
    <n v="3"/>
    <s v="Graduate"/>
    <x v="1"/>
    <n v="1"/>
    <n v="20"/>
    <n v="20"/>
    <x v="0"/>
    <n v="0"/>
    <x v="0"/>
    <n v="0"/>
    <n v="0"/>
    <n v="0"/>
    <n v="210"/>
    <n v="210"/>
    <x v="1"/>
    <n v="118"/>
    <n v="79"/>
    <n v="21.21"/>
    <n v="21.21"/>
    <x v="1"/>
    <n v="130"/>
    <n v="130"/>
    <n v="84"/>
    <n v="84"/>
    <x v="0"/>
    <x v="0"/>
  </r>
  <r>
    <n v="1"/>
    <x v="1"/>
    <n v="40"/>
    <x v="1"/>
    <n v="2"/>
    <n v="2"/>
    <s v="Secondary"/>
    <x v="0"/>
    <n v="1"/>
    <n v="20"/>
    <n v="20"/>
    <x v="0"/>
    <n v="0"/>
    <x v="0"/>
    <n v="0"/>
    <n v="0"/>
    <n v="0"/>
    <n v="283"/>
    <n v="283"/>
    <x v="0"/>
    <n v="146"/>
    <n v="95"/>
    <n v="23.27"/>
    <n v="23.27"/>
    <x v="1"/>
    <n v="80"/>
    <n v="80"/>
    <n v="64"/>
    <n v="64"/>
    <x v="0"/>
    <x v="1"/>
  </r>
  <r>
    <n v="1"/>
    <x v="1"/>
    <n v="40"/>
    <x v="1"/>
    <n v="3"/>
    <n v="3"/>
    <s v="Graduate"/>
    <x v="1"/>
    <n v="1"/>
    <n v="35"/>
    <n v="35"/>
    <x v="0"/>
    <n v="0"/>
    <x v="0"/>
    <n v="0"/>
    <n v="0"/>
    <n v="0"/>
    <n v="185"/>
    <n v="185"/>
    <x v="1"/>
    <n v="133"/>
    <n v="80"/>
    <n v="21.86"/>
    <n v="21.86"/>
    <x v="1"/>
    <n v="63"/>
    <n v="63"/>
    <n v="58"/>
    <n v="58"/>
    <x v="0"/>
    <x v="0"/>
  </r>
  <r>
    <n v="0"/>
    <x v="0"/>
    <n v="40"/>
    <x v="1"/>
    <n v="2"/>
    <n v="2"/>
    <s v="Secondary"/>
    <x v="0"/>
    <n v="0"/>
    <n v="0"/>
    <n v="0"/>
    <x v="1"/>
    <n v="0"/>
    <x v="0"/>
    <n v="0"/>
    <n v="0"/>
    <n v="0"/>
    <n v="290"/>
    <n v="290"/>
    <x v="0"/>
    <n v="122"/>
    <n v="85"/>
    <n v="24.06"/>
    <n v="24.06"/>
    <x v="1"/>
    <n v="87"/>
    <n v="87"/>
    <n v="70"/>
    <n v="70"/>
    <x v="0"/>
    <x v="0"/>
  </r>
  <r>
    <n v="1"/>
    <x v="1"/>
    <n v="40"/>
    <x v="1"/>
    <n v="1"/>
    <n v="1"/>
    <s v="Primary"/>
    <x v="2"/>
    <n v="1"/>
    <n v="35"/>
    <n v="35"/>
    <x v="0"/>
    <n v="0"/>
    <x v="0"/>
    <n v="0"/>
    <n v="0"/>
    <n v="0"/>
    <n v="195"/>
    <n v="195"/>
    <x v="1"/>
    <n v="122.5"/>
    <n v="66.5"/>
    <n v="19.98"/>
    <n v="19.98"/>
    <x v="1"/>
    <n v="60"/>
    <n v="60"/>
    <n v="72"/>
    <n v="72"/>
    <x v="0"/>
    <x v="0"/>
  </r>
  <r>
    <n v="0"/>
    <x v="0"/>
    <n v="40"/>
    <x v="1"/>
    <n v="2"/>
    <n v="2"/>
    <s v="Secondary"/>
    <x v="0"/>
    <n v="0"/>
    <n v="0"/>
    <n v="0"/>
    <x v="1"/>
    <n v="0"/>
    <x v="0"/>
    <n v="0"/>
    <n v="0"/>
    <n v="0"/>
    <n v="195"/>
    <n v="195"/>
    <x v="1"/>
    <n v="109.5"/>
    <n v="72"/>
    <n v="22.36"/>
    <n v="22.36"/>
    <x v="1"/>
    <n v="70"/>
    <n v="70"/>
    <n v="85"/>
    <n v="85"/>
    <x v="0"/>
    <x v="0"/>
  </r>
  <r>
    <n v="1"/>
    <x v="1"/>
    <n v="40"/>
    <x v="1"/>
    <n v="4"/>
    <n v="4"/>
    <s v="Post Graduate"/>
    <x v="3"/>
    <n v="1"/>
    <n v="30"/>
    <n v="30"/>
    <x v="0"/>
    <n v="0"/>
    <x v="0"/>
    <n v="0"/>
    <n v="0"/>
    <n v="0"/>
    <n v="212"/>
    <n v="212"/>
    <x v="1"/>
    <n v="120"/>
    <n v="80"/>
    <n v="24.01"/>
    <n v="24.01"/>
    <x v="1"/>
    <n v="65"/>
    <n v="65"/>
    <n v="57"/>
    <n v="57"/>
    <x v="0"/>
    <x v="0"/>
  </r>
  <r>
    <n v="0"/>
    <x v="0"/>
    <n v="40"/>
    <x v="1"/>
    <n v="2"/>
    <n v="2"/>
    <s v="Secondary"/>
    <x v="0"/>
    <n v="1"/>
    <n v="15"/>
    <n v="15"/>
    <x v="0"/>
    <n v="0"/>
    <x v="0"/>
    <n v="0"/>
    <n v="0"/>
    <n v="0"/>
    <n v="284"/>
    <n v="284"/>
    <x v="0"/>
    <n v="124"/>
    <n v="83"/>
    <n v="27.9"/>
    <n v="27.9"/>
    <x v="0"/>
    <n v="75"/>
    <n v="75"/>
    <n v="71"/>
    <n v="71"/>
    <x v="0"/>
    <x v="0"/>
  </r>
  <r>
    <n v="1"/>
    <x v="1"/>
    <n v="40"/>
    <x v="1"/>
    <n v="4"/>
    <n v="4"/>
    <s v="Post Graduate"/>
    <x v="3"/>
    <n v="1"/>
    <n v="43"/>
    <n v="43"/>
    <x v="0"/>
    <n v="0"/>
    <x v="0"/>
    <n v="0"/>
    <n v="1"/>
    <n v="0"/>
    <n v="258"/>
    <n v="258"/>
    <x v="0"/>
    <n v="135"/>
    <n v="93"/>
    <n v="31.69"/>
    <n v="31.69"/>
    <x v="2"/>
    <n v="75"/>
    <n v="75"/>
    <n v="57"/>
    <n v="57"/>
    <x v="0"/>
    <x v="0"/>
  </r>
  <r>
    <n v="0"/>
    <x v="0"/>
    <n v="40"/>
    <x v="1"/>
    <n v="3"/>
    <n v="3"/>
    <s v="Graduate"/>
    <x v="1"/>
    <n v="1"/>
    <n v="10"/>
    <n v="10"/>
    <x v="0"/>
    <n v="0"/>
    <x v="0"/>
    <n v="0"/>
    <n v="0"/>
    <n v="0"/>
    <n v="210"/>
    <n v="210"/>
    <x v="1"/>
    <n v="103"/>
    <n v="71"/>
    <n v="24.4"/>
    <n v="24.4"/>
    <x v="1"/>
    <n v="73"/>
    <n v="73"/>
    <n v="68"/>
    <n v="68"/>
    <x v="0"/>
    <x v="1"/>
  </r>
  <r>
    <n v="0"/>
    <x v="0"/>
    <n v="40"/>
    <x v="1"/>
    <n v="3"/>
    <n v="3"/>
    <s v="Graduate"/>
    <x v="1"/>
    <n v="1"/>
    <n v="20"/>
    <n v="20"/>
    <x v="0"/>
    <n v="0"/>
    <x v="0"/>
    <n v="0"/>
    <n v="0"/>
    <n v="0"/>
    <n v="247"/>
    <n v="247"/>
    <x v="0"/>
    <n v="125"/>
    <n v="83"/>
    <n v="22.55"/>
    <n v="22.55"/>
    <x v="1"/>
    <n v="85"/>
    <n v="85"/>
    <n v="80"/>
    <n v="80"/>
    <x v="0"/>
    <x v="0"/>
  </r>
  <r>
    <n v="0"/>
    <x v="0"/>
    <n v="40"/>
    <x v="1"/>
    <n v="2"/>
    <n v="2"/>
    <s v="Secondary"/>
    <x v="0"/>
    <n v="0"/>
    <n v="0"/>
    <n v="0"/>
    <x v="1"/>
    <n v="0"/>
    <x v="0"/>
    <n v="0"/>
    <n v="0"/>
    <n v="0"/>
    <n v="242"/>
    <n v="242"/>
    <x v="0"/>
    <n v="110"/>
    <n v="75"/>
    <n v="16.690000000000001"/>
    <n v="16.690000000000001"/>
    <x v="3"/>
    <n v="58"/>
    <n v="58"/>
    <n v="68"/>
    <n v="68"/>
    <x v="0"/>
    <x v="0"/>
  </r>
  <r>
    <n v="1"/>
    <x v="1"/>
    <n v="40"/>
    <x v="1"/>
    <n v="2"/>
    <n v="2"/>
    <s v="Secondary"/>
    <x v="0"/>
    <n v="1"/>
    <n v="30"/>
    <n v="30"/>
    <x v="0"/>
    <n v="0"/>
    <x v="0"/>
    <n v="0"/>
    <n v="0"/>
    <n v="0"/>
    <n v="197"/>
    <n v="197"/>
    <x v="1"/>
    <n v="116"/>
    <n v="73"/>
    <n v="24.01"/>
    <n v="24.01"/>
    <x v="1"/>
    <n v="80"/>
    <n v="80"/>
    <n v="83"/>
    <n v="83"/>
    <x v="0"/>
    <x v="0"/>
  </r>
  <r>
    <n v="0"/>
    <x v="0"/>
    <n v="40"/>
    <x v="1"/>
    <n v="3"/>
    <n v="3"/>
    <s v="Graduate"/>
    <x v="1"/>
    <n v="1"/>
    <n v="1"/>
    <n v="1"/>
    <x v="0"/>
    <n v="0"/>
    <x v="0"/>
    <n v="0"/>
    <n v="0"/>
    <n v="0"/>
    <n v="205"/>
    <n v="205"/>
    <x v="1"/>
    <n v="125"/>
    <n v="73.5"/>
    <n v="20.68"/>
    <n v="20.68"/>
    <x v="1"/>
    <n v="83"/>
    <n v="83"/>
    <n v="99"/>
    <n v="99"/>
    <x v="0"/>
    <x v="0"/>
  </r>
  <r>
    <n v="0"/>
    <x v="0"/>
    <n v="40"/>
    <x v="1"/>
    <n v="2"/>
    <n v="2"/>
    <s v="Secondary"/>
    <x v="0"/>
    <n v="0"/>
    <n v="0"/>
    <n v="0"/>
    <x v="1"/>
    <n v="0"/>
    <x v="0"/>
    <n v="0"/>
    <n v="0"/>
    <n v="0"/>
    <n v="197"/>
    <n v="197"/>
    <x v="1"/>
    <n v="107"/>
    <n v="61"/>
    <n v="23.65"/>
    <n v="23.65"/>
    <x v="1"/>
    <n v="80"/>
    <n v="80"/>
    <n v="80"/>
    <n v="80"/>
    <x v="0"/>
    <x v="0"/>
  </r>
  <r>
    <n v="0"/>
    <x v="0"/>
    <n v="40"/>
    <x v="1"/>
    <n v="2"/>
    <n v="2"/>
    <s v="Secondary"/>
    <x v="0"/>
    <n v="0"/>
    <n v="0"/>
    <n v="0"/>
    <x v="1"/>
    <n v="0"/>
    <x v="0"/>
    <n v="0"/>
    <n v="0"/>
    <n v="0"/>
    <n v="162"/>
    <n v="162"/>
    <x v="1"/>
    <n v="109"/>
    <n v="71"/>
    <n v="20.99"/>
    <n v="20.99"/>
    <x v="1"/>
    <n v="66"/>
    <n v="66"/>
    <n v="85"/>
    <n v="85"/>
    <x v="0"/>
    <x v="0"/>
  </r>
  <r>
    <n v="1"/>
    <x v="1"/>
    <n v="40"/>
    <x v="1"/>
    <n v="2"/>
    <n v="2"/>
    <s v="Secondary"/>
    <x v="0"/>
    <n v="1"/>
    <n v="30"/>
    <n v="30"/>
    <x v="0"/>
    <n v="0"/>
    <x v="0"/>
    <n v="0"/>
    <n v="0"/>
    <n v="0"/>
    <n v="219"/>
    <n v="219"/>
    <x v="1"/>
    <n v="131"/>
    <n v="85.5"/>
    <n v="31.96"/>
    <n v="31.96"/>
    <x v="2"/>
    <n v="77"/>
    <n v="77"/>
    <n v="74"/>
    <n v="74"/>
    <x v="0"/>
    <x v="0"/>
  </r>
  <r>
    <n v="0"/>
    <x v="0"/>
    <n v="40"/>
    <x v="1"/>
    <n v="2"/>
    <n v="2"/>
    <s v="Secondary"/>
    <x v="0"/>
    <n v="0"/>
    <n v="0"/>
    <n v="0"/>
    <x v="1"/>
    <n v="0"/>
    <x v="0"/>
    <n v="0"/>
    <n v="0"/>
    <n v="0"/>
    <n v="230"/>
    <n v="230"/>
    <x v="1"/>
    <n v="123.5"/>
    <n v="81"/>
    <n v="27.91"/>
    <n v="27.91"/>
    <x v="0"/>
    <n v="95"/>
    <n v="95"/>
    <n v="65"/>
    <n v="65"/>
    <x v="0"/>
    <x v="0"/>
  </r>
  <r>
    <n v="1"/>
    <x v="1"/>
    <n v="40"/>
    <x v="1"/>
    <n v="3"/>
    <n v="3"/>
    <s v="Graduate"/>
    <x v="1"/>
    <n v="1"/>
    <n v="20"/>
    <n v="20"/>
    <x v="0"/>
    <n v="0"/>
    <x v="0"/>
    <n v="0"/>
    <n v="0"/>
    <n v="0"/>
    <n v="193"/>
    <n v="193"/>
    <x v="1"/>
    <n v="129"/>
    <n v="73"/>
    <n v="19.11"/>
    <n v="19.11"/>
    <x v="1"/>
    <n v="76"/>
    <n v="76"/>
    <n v="80"/>
    <n v="80"/>
    <x v="0"/>
    <x v="0"/>
  </r>
  <r>
    <n v="1"/>
    <x v="1"/>
    <n v="40"/>
    <x v="1"/>
    <n v="4"/>
    <n v="4"/>
    <s v="Post Graduate"/>
    <x v="3"/>
    <n v="1"/>
    <n v="30"/>
    <n v="30"/>
    <x v="0"/>
    <n v="0"/>
    <x v="0"/>
    <n v="0"/>
    <n v="1"/>
    <n v="0"/>
    <n v="267"/>
    <n v="267"/>
    <x v="0"/>
    <n v="146"/>
    <n v="93.5"/>
    <n v="27.47"/>
    <n v="27.47"/>
    <x v="0"/>
    <n v="87"/>
    <n v="87"/>
    <n v="89"/>
    <n v="89"/>
    <x v="0"/>
    <x v="0"/>
  </r>
  <r>
    <n v="1"/>
    <x v="1"/>
    <n v="40"/>
    <x v="1"/>
    <n v="1"/>
    <n v="1"/>
    <s v="Primary"/>
    <x v="2"/>
    <n v="0"/>
    <n v="0"/>
    <n v="0"/>
    <x v="1"/>
    <n v="0"/>
    <x v="0"/>
    <n v="0"/>
    <n v="0"/>
    <n v="0"/>
    <n v="206"/>
    <n v="206"/>
    <x v="1"/>
    <n v="110"/>
    <n v="67.5"/>
    <n v="25.88"/>
    <n v="25.88"/>
    <x v="0"/>
    <n v="62"/>
    <n v="62"/>
    <n v="80"/>
    <n v="80"/>
    <x v="0"/>
    <x v="0"/>
  </r>
  <r>
    <n v="0"/>
    <x v="0"/>
    <n v="40"/>
    <x v="1"/>
    <n v="3"/>
    <n v="3"/>
    <s v="Graduate"/>
    <x v="1"/>
    <n v="0"/>
    <n v="0"/>
    <n v="0"/>
    <x v="1"/>
    <n v="0"/>
    <x v="0"/>
    <n v="0"/>
    <n v="0"/>
    <n v="0"/>
    <n v="251"/>
    <n v="251"/>
    <x v="0"/>
    <n v="135"/>
    <n v="87"/>
    <n v="31.6"/>
    <n v="31.6"/>
    <x v="2"/>
    <n v="75"/>
    <n v="75"/>
    <n v="80"/>
    <n v="80"/>
    <x v="0"/>
    <x v="0"/>
  </r>
  <r>
    <n v="0"/>
    <x v="0"/>
    <n v="40"/>
    <x v="1"/>
    <n v="3"/>
    <n v="3"/>
    <s v="Graduate"/>
    <x v="1"/>
    <n v="0"/>
    <n v="0"/>
    <n v="0"/>
    <x v="1"/>
    <n v="0"/>
    <x v="0"/>
    <n v="0"/>
    <n v="0"/>
    <n v="0"/>
    <n v="152"/>
    <n v="152"/>
    <x v="1"/>
    <n v="122"/>
    <n v="78"/>
    <n v="18.920000000000002"/>
    <n v="18.920000000000002"/>
    <x v="1"/>
    <n v="65"/>
    <n v="65"/>
    <n v="80"/>
    <n v="80"/>
    <x v="0"/>
    <x v="0"/>
  </r>
  <r>
    <n v="1"/>
    <x v="1"/>
    <n v="40"/>
    <x v="1"/>
    <n v="2"/>
    <n v="2"/>
    <s v="Secondary"/>
    <x v="0"/>
    <n v="1"/>
    <n v="15"/>
    <n v="15"/>
    <x v="0"/>
    <n v="0"/>
    <x v="0"/>
    <n v="0"/>
    <n v="0"/>
    <n v="0"/>
    <n v="246"/>
    <n v="246"/>
    <x v="0"/>
    <n v="141"/>
    <n v="102"/>
    <n v="26.17"/>
    <n v="26.17"/>
    <x v="0"/>
    <n v="85"/>
    <n v="85"/>
    <n v="67"/>
    <n v="67"/>
    <x v="0"/>
    <x v="0"/>
  </r>
  <r>
    <n v="0"/>
    <x v="0"/>
    <n v="40"/>
    <x v="1"/>
    <n v="1"/>
    <n v="1"/>
    <s v="Primary"/>
    <x v="2"/>
    <n v="1"/>
    <n v="20"/>
    <n v="20"/>
    <x v="0"/>
    <n v="0"/>
    <x v="0"/>
    <n v="0"/>
    <n v="0"/>
    <n v="0"/>
    <n v="220"/>
    <n v="220"/>
    <x v="1"/>
    <n v="120"/>
    <n v="75"/>
    <n v="19.32"/>
    <n v="19.32"/>
    <x v="1"/>
    <n v="78"/>
    <n v="78"/>
    <s v="NA"/>
    <n v="81.96365524402907"/>
    <x v="0"/>
    <x v="0"/>
  </r>
  <r>
    <n v="0"/>
    <x v="0"/>
    <n v="40"/>
    <x v="1"/>
    <n v="2"/>
    <n v="2"/>
    <s v="Secondary"/>
    <x v="0"/>
    <n v="0"/>
    <n v="0"/>
    <n v="0"/>
    <x v="1"/>
    <n v="0"/>
    <x v="0"/>
    <n v="0"/>
    <n v="0"/>
    <n v="0"/>
    <n v="314"/>
    <n v="314"/>
    <x v="0"/>
    <n v="124"/>
    <n v="86.5"/>
    <n v="26.79"/>
    <n v="26.79"/>
    <x v="0"/>
    <n v="70"/>
    <n v="70"/>
    <n v="66"/>
    <n v="66"/>
    <x v="0"/>
    <x v="0"/>
  </r>
  <r>
    <n v="1"/>
    <x v="1"/>
    <n v="40"/>
    <x v="1"/>
    <n v="2"/>
    <n v="2"/>
    <s v="Secondary"/>
    <x v="0"/>
    <n v="1"/>
    <n v="30"/>
    <n v="30"/>
    <x v="0"/>
    <n v="0"/>
    <x v="0"/>
    <n v="0"/>
    <n v="0"/>
    <n v="0"/>
    <n v="165"/>
    <n v="165"/>
    <x v="1"/>
    <n v="128"/>
    <n v="83"/>
    <n v="24.71"/>
    <n v="24.71"/>
    <x v="1"/>
    <n v="69"/>
    <n v="69"/>
    <n v="60"/>
    <n v="60"/>
    <x v="0"/>
    <x v="0"/>
  </r>
  <r>
    <n v="0"/>
    <x v="0"/>
    <n v="40"/>
    <x v="1"/>
    <n v="2"/>
    <n v="2"/>
    <s v="Secondary"/>
    <x v="0"/>
    <n v="1"/>
    <n v="30"/>
    <n v="30"/>
    <x v="0"/>
    <n v="0"/>
    <x v="0"/>
    <n v="0"/>
    <n v="0"/>
    <n v="0"/>
    <n v="202"/>
    <n v="202"/>
    <x v="1"/>
    <n v="104"/>
    <n v="76"/>
    <n v="19.93"/>
    <n v="19.93"/>
    <x v="1"/>
    <n v="70"/>
    <n v="70"/>
    <n v="62"/>
    <n v="62"/>
    <x v="0"/>
    <x v="1"/>
  </r>
  <r>
    <n v="1"/>
    <x v="1"/>
    <n v="40"/>
    <x v="1"/>
    <n v="1"/>
    <n v="1"/>
    <s v="Primary"/>
    <x v="2"/>
    <n v="1"/>
    <n v="20"/>
    <n v="20"/>
    <x v="0"/>
    <n v="0"/>
    <x v="0"/>
    <n v="0"/>
    <n v="1"/>
    <n v="0"/>
    <n v="229"/>
    <n v="229"/>
    <x v="1"/>
    <n v="152"/>
    <n v="103"/>
    <n v="32.729999999999997"/>
    <n v="32.729999999999997"/>
    <x v="2"/>
    <n v="85"/>
    <n v="85"/>
    <n v="72"/>
    <n v="72"/>
    <x v="0"/>
    <x v="0"/>
  </r>
  <r>
    <n v="0"/>
    <x v="0"/>
    <n v="40"/>
    <x v="1"/>
    <n v="3"/>
    <n v="3"/>
    <s v="Graduate"/>
    <x v="1"/>
    <n v="0"/>
    <n v="0"/>
    <n v="0"/>
    <x v="1"/>
    <n v="0"/>
    <x v="0"/>
    <n v="0"/>
    <n v="0"/>
    <n v="0"/>
    <n v="240"/>
    <n v="240"/>
    <x v="1"/>
    <n v="108"/>
    <n v="72"/>
    <n v="17.64"/>
    <n v="17.64"/>
    <x v="3"/>
    <n v="78"/>
    <n v="78"/>
    <s v="NA"/>
    <n v="81.96365524402907"/>
    <x v="0"/>
    <x v="0"/>
  </r>
  <r>
    <n v="0"/>
    <x v="0"/>
    <n v="40"/>
    <x v="1"/>
    <n v="1"/>
    <n v="1"/>
    <s v="Primary"/>
    <x v="2"/>
    <n v="0"/>
    <n v="0"/>
    <n v="0"/>
    <x v="1"/>
    <n v="0"/>
    <x v="0"/>
    <n v="0"/>
    <n v="0"/>
    <n v="0"/>
    <n v="340"/>
    <n v="340"/>
    <x v="0"/>
    <n v="149"/>
    <n v="81"/>
    <n v="28.46"/>
    <n v="28.46"/>
    <x v="0"/>
    <n v="110"/>
    <n v="110"/>
    <n v="99"/>
    <n v="99"/>
    <x v="0"/>
    <x v="0"/>
  </r>
  <r>
    <n v="0"/>
    <x v="0"/>
    <n v="40"/>
    <x v="1"/>
    <n v="1"/>
    <n v="1"/>
    <s v="Primary"/>
    <x v="2"/>
    <n v="0"/>
    <n v="0"/>
    <n v="0"/>
    <x v="1"/>
    <n v="0"/>
    <x v="0"/>
    <n v="0"/>
    <n v="0"/>
    <n v="0"/>
    <n v="187"/>
    <n v="187"/>
    <x v="1"/>
    <n v="105"/>
    <n v="74"/>
    <n v="23.26"/>
    <n v="23.26"/>
    <x v="1"/>
    <n v="80"/>
    <n v="80"/>
    <n v="69"/>
    <n v="69"/>
    <x v="0"/>
    <x v="0"/>
  </r>
  <r>
    <n v="1"/>
    <x v="1"/>
    <n v="40"/>
    <x v="1"/>
    <n v="2"/>
    <n v="2"/>
    <s v="Secondary"/>
    <x v="0"/>
    <n v="0"/>
    <n v="0"/>
    <n v="0"/>
    <x v="1"/>
    <n v="0"/>
    <x v="0"/>
    <n v="0"/>
    <n v="0"/>
    <n v="0"/>
    <n v="185"/>
    <n v="185"/>
    <x v="1"/>
    <n v="102"/>
    <n v="72"/>
    <n v="24.08"/>
    <n v="24.08"/>
    <x v="1"/>
    <n v="63"/>
    <n v="63"/>
    <n v="83"/>
    <n v="83"/>
    <x v="0"/>
    <x v="0"/>
  </r>
  <r>
    <n v="0"/>
    <x v="0"/>
    <n v="40"/>
    <x v="1"/>
    <n v="2"/>
    <n v="2"/>
    <s v="Secondary"/>
    <x v="0"/>
    <n v="1"/>
    <n v="10"/>
    <n v="10"/>
    <x v="0"/>
    <n v="0"/>
    <x v="0"/>
    <n v="0"/>
    <n v="0"/>
    <n v="0"/>
    <n v="216"/>
    <n v="216"/>
    <x v="1"/>
    <n v="112.5"/>
    <n v="76.5"/>
    <n v="27.22"/>
    <n v="27.22"/>
    <x v="0"/>
    <n v="75"/>
    <n v="75"/>
    <n v="77"/>
    <n v="77"/>
    <x v="0"/>
    <x v="0"/>
  </r>
  <r>
    <n v="0"/>
    <x v="0"/>
    <n v="40"/>
    <x v="1"/>
    <n v="1"/>
    <n v="1"/>
    <s v="Primary"/>
    <x v="2"/>
    <n v="1"/>
    <n v="9"/>
    <n v="9"/>
    <x v="0"/>
    <n v="0"/>
    <x v="0"/>
    <n v="0"/>
    <n v="0"/>
    <n v="0"/>
    <n v="239"/>
    <n v="239"/>
    <x v="1"/>
    <n v="118"/>
    <n v="78"/>
    <n v="23.48"/>
    <n v="23.48"/>
    <x v="1"/>
    <n v="85"/>
    <n v="85"/>
    <n v="75"/>
    <n v="75"/>
    <x v="0"/>
    <x v="1"/>
  </r>
  <r>
    <n v="0"/>
    <x v="0"/>
    <n v="40"/>
    <x v="1"/>
    <n v="3"/>
    <n v="3"/>
    <s v="Graduate"/>
    <x v="1"/>
    <n v="0"/>
    <n v="0"/>
    <n v="0"/>
    <x v="1"/>
    <n v="0"/>
    <x v="0"/>
    <n v="0"/>
    <n v="1"/>
    <n v="0"/>
    <n v="159"/>
    <n v="159"/>
    <x v="1"/>
    <n v="145"/>
    <n v="90"/>
    <n v="20.329999999999998"/>
    <n v="20.329999999999998"/>
    <x v="1"/>
    <n v="82"/>
    <n v="82"/>
    <n v="83"/>
    <n v="83"/>
    <x v="0"/>
    <x v="0"/>
  </r>
  <r>
    <n v="1"/>
    <x v="1"/>
    <n v="40"/>
    <x v="1"/>
    <n v="1"/>
    <n v="1"/>
    <s v="Primary"/>
    <x v="2"/>
    <n v="1"/>
    <n v="30"/>
    <n v="30"/>
    <x v="0"/>
    <n v="0"/>
    <x v="0"/>
    <n v="0"/>
    <n v="0"/>
    <n v="0"/>
    <n v="202"/>
    <n v="202"/>
    <x v="1"/>
    <n v="112.5"/>
    <n v="64.5"/>
    <n v="22.85"/>
    <n v="22.85"/>
    <x v="1"/>
    <n v="69"/>
    <n v="69"/>
    <n v="103"/>
    <n v="103"/>
    <x v="0"/>
    <x v="0"/>
  </r>
  <r>
    <n v="1"/>
    <x v="1"/>
    <n v="40"/>
    <x v="1"/>
    <n v="2"/>
    <n v="2"/>
    <s v="Secondary"/>
    <x v="0"/>
    <n v="1"/>
    <n v="30"/>
    <n v="30"/>
    <x v="0"/>
    <n v="0"/>
    <x v="0"/>
    <n v="0"/>
    <n v="1"/>
    <n v="0"/>
    <n v="282"/>
    <n v="282"/>
    <x v="0"/>
    <n v="130"/>
    <n v="80"/>
    <n v="23.9"/>
    <n v="23.9"/>
    <x v="1"/>
    <n v="66"/>
    <n v="66"/>
    <n v="68"/>
    <n v="68"/>
    <x v="0"/>
    <x v="0"/>
  </r>
  <r>
    <n v="1"/>
    <x v="1"/>
    <n v="40"/>
    <x v="1"/>
    <n v="1"/>
    <n v="1"/>
    <s v="Primary"/>
    <x v="2"/>
    <n v="1"/>
    <n v="10"/>
    <n v="10"/>
    <x v="0"/>
    <n v="0"/>
    <x v="0"/>
    <n v="0"/>
    <n v="0"/>
    <n v="0"/>
    <n v="304"/>
    <n v="304"/>
    <x v="0"/>
    <n v="125"/>
    <n v="86"/>
    <n v="30.07"/>
    <n v="30.07"/>
    <x v="2"/>
    <n v="80"/>
    <n v="80"/>
    <n v="84"/>
    <n v="84"/>
    <x v="0"/>
    <x v="0"/>
  </r>
  <r>
    <n v="0"/>
    <x v="0"/>
    <n v="40"/>
    <x v="1"/>
    <n v="1"/>
    <n v="1"/>
    <s v="Primary"/>
    <x v="2"/>
    <n v="1"/>
    <n v="15"/>
    <n v="15"/>
    <x v="0"/>
    <n v="0"/>
    <x v="0"/>
    <n v="0"/>
    <n v="0"/>
    <n v="0"/>
    <n v="199"/>
    <n v="199"/>
    <x v="1"/>
    <n v="122"/>
    <n v="82"/>
    <n v="22.16"/>
    <n v="22.16"/>
    <x v="1"/>
    <n v="85"/>
    <n v="85"/>
    <n v="77"/>
    <n v="77"/>
    <x v="0"/>
    <x v="0"/>
  </r>
  <r>
    <n v="0"/>
    <x v="0"/>
    <n v="40"/>
    <x v="1"/>
    <n v="2"/>
    <n v="2"/>
    <s v="Secondary"/>
    <x v="0"/>
    <n v="0"/>
    <n v="0"/>
    <n v="0"/>
    <x v="1"/>
    <n v="0"/>
    <x v="0"/>
    <n v="0"/>
    <n v="0"/>
    <n v="0"/>
    <n v="208"/>
    <n v="208"/>
    <x v="1"/>
    <n v="116"/>
    <n v="75"/>
    <n v="18.52"/>
    <n v="18.52"/>
    <x v="1"/>
    <n v="80"/>
    <n v="80"/>
    <n v="82"/>
    <n v="82"/>
    <x v="0"/>
    <x v="0"/>
  </r>
  <r>
    <n v="1"/>
    <x v="1"/>
    <n v="40"/>
    <x v="1"/>
    <n v="1"/>
    <n v="1"/>
    <s v="Primary"/>
    <x v="2"/>
    <n v="0"/>
    <n v="0"/>
    <n v="0"/>
    <x v="1"/>
    <n v="0"/>
    <x v="0"/>
    <n v="0"/>
    <n v="0"/>
    <n v="0"/>
    <n v="137"/>
    <n v="137"/>
    <x v="1"/>
    <n v="127"/>
    <n v="82"/>
    <n v="27.04"/>
    <n v="27.04"/>
    <x v="0"/>
    <n v="60"/>
    <n v="60"/>
    <n v="71"/>
    <n v="71"/>
    <x v="0"/>
    <x v="0"/>
  </r>
  <r>
    <n v="1"/>
    <x v="1"/>
    <n v="40"/>
    <x v="1"/>
    <n v="2"/>
    <n v="2"/>
    <s v="Secondary"/>
    <x v="0"/>
    <n v="0"/>
    <n v="0"/>
    <n v="0"/>
    <x v="1"/>
    <n v="0"/>
    <x v="0"/>
    <n v="0"/>
    <n v="0"/>
    <n v="0"/>
    <n v="208"/>
    <n v="208"/>
    <x v="1"/>
    <n v="148"/>
    <n v="100"/>
    <n v="32.840000000000003"/>
    <n v="32.840000000000003"/>
    <x v="2"/>
    <n v="85"/>
    <n v="85"/>
    <n v="102"/>
    <n v="102"/>
    <x v="0"/>
    <x v="0"/>
  </r>
  <r>
    <n v="0"/>
    <x v="0"/>
    <n v="40"/>
    <x v="1"/>
    <n v="2"/>
    <n v="2"/>
    <s v="Secondary"/>
    <x v="0"/>
    <n v="0"/>
    <n v="0"/>
    <n v="0"/>
    <x v="1"/>
    <n v="0"/>
    <x v="0"/>
    <n v="0"/>
    <n v="0"/>
    <n v="0"/>
    <n v="205"/>
    <n v="205"/>
    <x v="1"/>
    <n v="97"/>
    <n v="63"/>
    <n v="26.56"/>
    <n v="26.56"/>
    <x v="0"/>
    <n v="83"/>
    <n v="83"/>
    <n v="80"/>
    <n v="80"/>
    <x v="0"/>
    <x v="0"/>
  </r>
  <r>
    <n v="1"/>
    <x v="1"/>
    <n v="40"/>
    <x v="1"/>
    <n v="1"/>
    <n v="1"/>
    <s v="Primary"/>
    <x v="2"/>
    <n v="1"/>
    <n v="30"/>
    <n v="30"/>
    <x v="0"/>
    <n v="0"/>
    <x v="0"/>
    <n v="0"/>
    <n v="1"/>
    <n v="0"/>
    <n v="154"/>
    <n v="154"/>
    <x v="1"/>
    <n v="125"/>
    <n v="94"/>
    <n v="29.29"/>
    <n v="29.29"/>
    <x v="0"/>
    <n v="73"/>
    <n v="73"/>
    <n v="84"/>
    <n v="84"/>
    <x v="0"/>
    <x v="0"/>
  </r>
  <r>
    <n v="0"/>
    <x v="0"/>
    <n v="40"/>
    <x v="1"/>
    <n v="2"/>
    <n v="2"/>
    <s v="Secondary"/>
    <x v="0"/>
    <n v="0"/>
    <n v="0"/>
    <n v="0"/>
    <x v="1"/>
    <n v="0"/>
    <x v="0"/>
    <n v="0"/>
    <n v="0"/>
    <n v="0"/>
    <n v="233"/>
    <n v="233"/>
    <x v="1"/>
    <n v="108.5"/>
    <n v="75"/>
    <n v="28.3"/>
    <n v="28.3"/>
    <x v="0"/>
    <n v="60"/>
    <n v="60"/>
    <n v="73"/>
    <n v="73"/>
    <x v="0"/>
    <x v="0"/>
  </r>
  <r>
    <n v="0"/>
    <x v="0"/>
    <n v="40"/>
    <x v="1"/>
    <n v="4"/>
    <n v="4"/>
    <s v="Post Graduate"/>
    <x v="3"/>
    <n v="1"/>
    <n v="15"/>
    <n v="15"/>
    <x v="0"/>
    <n v="0"/>
    <x v="0"/>
    <n v="0"/>
    <n v="0"/>
    <n v="0"/>
    <n v="244"/>
    <n v="244"/>
    <x v="0"/>
    <n v="110"/>
    <n v="73"/>
    <n v="21.84"/>
    <n v="21.84"/>
    <x v="1"/>
    <n v="88"/>
    <n v="88"/>
    <n v="67"/>
    <n v="67"/>
    <x v="0"/>
    <x v="0"/>
  </r>
  <r>
    <n v="1"/>
    <x v="1"/>
    <n v="40"/>
    <x v="1"/>
    <n v="1"/>
    <n v="1"/>
    <s v="Primary"/>
    <x v="2"/>
    <n v="0"/>
    <n v="0"/>
    <n v="0"/>
    <x v="1"/>
    <n v="0"/>
    <x v="0"/>
    <n v="0"/>
    <n v="1"/>
    <n v="0"/>
    <n v="175"/>
    <n v="175"/>
    <x v="1"/>
    <n v="173"/>
    <n v="59"/>
    <n v="27.99"/>
    <n v="27.99"/>
    <x v="0"/>
    <n v="70"/>
    <n v="70"/>
    <n v="75"/>
    <n v="75"/>
    <x v="0"/>
    <x v="1"/>
  </r>
  <r>
    <n v="1"/>
    <x v="1"/>
    <n v="40"/>
    <x v="1"/>
    <n v="1"/>
    <n v="1"/>
    <s v="Primary"/>
    <x v="2"/>
    <n v="0"/>
    <n v="0"/>
    <n v="0"/>
    <x v="1"/>
    <n v="0"/>
    <x v="0"/>
    <n v="0"/>
    <n v="0"/>
    <n v="0"/>
    <n v="204"/>
    <n v="204"/>
    <x v="1"/>
    <n v="115"/>
    <n v="83"/>
    <n v="25.05"/>
    <n v="25.05"/>
    <x v="0"/>
    <n v="75"/>
    <n v="75"/>
    <n v="76"/>
    <n v="76"/>
    <x v="0"/>
    <x v="0"/>
  </r>
  <r>
    <n v="1"/>
    <x v="1"/>
    <n v="40"/>
    <x v="1"/>
    <n v="4"/>
    <n v="4"/>
    <s v="Post Graduate"/>
    <x v="3"/>
    <n v="1"/>
    <n v="20"/>
    <n v="20"/>
    <x v="0"/>
    <n v="0"/>
    <x v="0"/>
    <n v="0"/>
    <n v="0"/>
    <n v="0"/>
    <n v="229"/>
    <n v="229"/>
    <x v="1"/>
    <n v="137"/>
    <n v="85"/>
    <n v="35.200000000000003"/>
    <n v="35.200000000000003"/>
    <x v="2"/>
    <n v="66"/>
    <n v="66"/>
    <n v="55"/>
    <n v="55"/>
    <x v="0"/>
    <x v="0"/>
  </r>
  <r>
    <n v="0"/>
    <x v="0"/>
    <n v="40"/>
    <x v="1"/>
    <n v="2"/>
    <n v="2"/>
    <s v="Secondary"/>
    <x v="0"/>
    <n v="0"/>
    <n v="0"/>
    <n v="0"/>
    <x v="1"/>
    <n v="0"/>
    <x v="0"/>
    <n v="0"/>
    <n v="1"/>
    <n v="0"/>
    <n v="204"/>
    <n v="204"/>
    <x v="1"/>
    <n v="122"/>
    <n v="94"/>
    <n v="29.86"/>
    <n v="29.86"/>
    <x v="0"/>
    <n v="87"/>
    <n v="87"/>
    <n v="82"/>
    <n v="82"/>
    <x v="0"/>
    <x v="0"/>
  </r>
  <r>
    <n v="0"/>
    <x v="0"/>
    <n v="40"/>
    <x v="1"/>
    <n v="2"/>
    <n v="2"/>
    <s v="Secondary"/>
    <x v="0"/>
    <n v="0"/>
    <n v="0"/>
    <n v="0"/>
    <x v="1"/>
    <n v="0"/>
    <x v="0"/>
    <n v="0"/>
    <n v="0"/>
    <n v="0"/>
    <n v="219"/>
    <n v="219"/>
    <x v="1"/>
    <n v="100"/>
    <n v="60"/>
    <n v="19.78"/>
    <n v="19.78"/>
    <x v="1"/>
    <n v="72"/>
    <n v="72"/>
    <n v="60"/>
    <n v="60"/>
    <x v="0"/>
    <x v="0"/>
  </r>
  <r>
    <n v="1"/>
    <x v="1"/>
    <n v="40"/>
    <x v="1"/>
    <n v="2"/>
    <n v="2"/>
    <s v="Secondary"/>
    <x v="0"/>
    <n v="0"/>
    <n v="0"/>
    <n v="0"/>
    <x v="1"/>
    <n v="0"/>
    <x v="0"/>
    <n v="0"/>
    <n v="0"/>
    <n v="0"/>
    <n v="234"/>
    <n v="234"/>
    <x v="1"/>
    <n v="127"/>
    <n v="79"/>
    <n v="26.56"/>
    <n v="26.56"/>
    <x v="0"/>
    <n v="60"/>
    <n v="60"/>
    <n v="92"/>
    <n v="92"/>
    <x v="0"/>
    <x v="0"/>
  </r>
  <r>
    <n v="0"/>
    <x v="0"/>
    <n v="40"/>
    <x v="1"/>
    <n v="2"/>
    <n v="2"/>
    <s v="Secondary"/>
    <x v="0"/>
    <n v="0"/>
    <n v="0"/>
    <n v="0"/>
    <x v="1"/>
    <n v="0"/>
    <x v="0"/>
    <n v="0"/>
    <n v="0"/>
    <n v="0"/>
    <n v="185"/>
    <n v="185"/>
    <x v="1"/>
    <n v="117.5"/>
    <n v="72"/>
    <n v="21.12"/>
    <n v="21.12"/>
    <x v="1"/>
    <n v="70"/>
    <n v="70"/>
    <n v="79"/>
    <n v="79"/>
    <x v="0"/>
    <x v="0"/>
  </r>
  <r>
    <n v="0"/>
    <x v="0"/>
    <n v="40"/>
    <x v="1"/>
    <n v="3"/>
    <n v="3"/>
    <s v="Graduate"/>
    <x v="1"/>
    <n v="1"/>
    <n v="15"/>
    <n v="15"/>
    <x v="0"/>
    <n v="0"/>
    <x v="0"/>
    <n v="0"/>
    <n v="0"/>
    <n v="0"/>
    <n v="304"/>
    <n v="304"/>
    <x v="0"/>
    <n v="121"/>
    <n v="88"/>
    <n v="22.52"/>
    <n v="22.52"/>
    <x v="1"/>
    <n v="60"/>
    <n v="60"/>
    <n v="80"/>
    <n v="80"/>
    <x v="0"/>
    <x v="0"/>
  </r>
  <r>
    <n v="0"/>
    <x v="0"/>
    <n v="40"/>
    <x v="1"/>
    <n v="2"/>
    <n v="2"/>
    <s v="Secondary"/>
    <x v="0"/>
    <n v="0"/>
    <n v="0"/>
    <n v="0"/>
    <x v="1"/>
    <n v="0"/>
    <x v="0"/>
    <n v="0"/>
    <n v="0"/>
    <n v="0"/>
    <n v="190"/>
    <n v="190"/>
    <x v="1"/>
    <n v="112"/>
    <n v="80"/>
    <n v="26.13"/>
    <n v="26.13"/>
    <x v="0"/>
    <n v="93"/>
    <n v="93"/>
    <n v="78"/>
    <n v="78"/>
    <x v="0"/>
    <x v="0"/>
  </r>
  <r>
    <n v="1"/>
    <x v="1"/>
    <n v="40"/>
    <x v="1"/>
    <n v="4"/>
    <n v="4"/>
    <s v="Post Graduate"/>
    <x v="3"/>
    <n v="0"/>
    <n v="0"/>
    <n v="0"/>
    <x v="1"/>
    <n v="0"/>
    <x v="0"/>
    <n v="0"/>
    <n v="1"/>
    <n v="0"/>
    <n v="213"/>
    <n v="213"/>
    <x v="1"/>
    <n v="145"/>
    <n v="100.5"/>
    <n v="27.34"/>
    <n v="27.34"/>
    <x v="0"/>
    <n v="95"/>
    <n v="95"/>
    <n v="117"/>
    <n v="117"/>
    <x v="0"/>
    <x v="0"/>
  </r>
  <r>
    <n v="1"/>
    <x v="1"/>
    <n v="40"/>
    <x v="1"/>
    <n v="3"/>
    <n v="3"/>
    <s v="Graduate"/>
    <x v="1"/>
    <n v="0"/>
    <n v="0"/>
    <n v="0"/>
    <x v="1"/>
    <n v="0"/>
    <x v="0"/>
    <n v="0"/>
    <n v="1"/>
    <n v="0"/>
    <n v="286"/>
    <n v="286"/>
    <x v="0"/>
    <n v="111"/>
    <n v="95.5"/>
    <n v="29.42"/>
    <n v="29.42"/>
    <x v="0"/>
    <n v="70"/>
    <n v="70"/>
    <n v="89"/>
    <n v="89"/>
    <x v="0"/>
    <x v="0"/>
  </r>
  <r>
    <n v="1"/>
    <x v="1"/>
    <n v="40"/>
    <x v="1"/>
    <n v="2"/>
    <n v="2"/>
    <s v="Secondary"/>
    <x v="0"/>
    <n v="1"/>
    <n v="20"/>
    <n v="20"/>
    <x v="0"/>
    <n v="0"/>
    <x v="0"/>
    <n v="0"/>
    <n v="0"/>
    <n v="0"/>
    <n v="203"/>
    <n v="203"/>
    <x v="1"/>
    <n v="112.5"/>
    <n v="70"/>
    <n v="22.71"/>
    <n v="22.71"/>
    <x v="1"/>
    <n v="75"/>
    <n v="75"/>
    <n v="72"/>
    <n v="72"/>
    <x v="0"/>
    <x v="0"/>
  </r>
  <r>
    <n v="0"/>
    <x v="0"/>
    <n v="40"/>
    <x v="1"/>
    <n v="2"/>
    <n v="2"/>
    <s v="Secondary"/>
    <x v="0"/>
    <n v="0"/>
    <n v="0"/>
    <n v="0"/>
    <x v="1"/>
    <n v="0"/>
    <x v="0"/>
    <n v="0"/>
    <n v="0"/>
    <n v="0"/>
    <n v="164"/>
    <n v="164"/>
    <x v="1"/>
    <n v="135"/>
    <n v="75"/>
    <s v="NA"/>
    <n v="25.80080075811421"/>
    <x v="0"/>
    <n v="75"/>
    <n v="75"/>
    <n v="85"/>
    <n v="85"/>
    <x v="0"/>
    <x v="0"/>
  </r>
  <r>
    <n v="0"/>
    <x v="0"/>
    <n v="40"/>
    <x v="1"/>
    <n v="2"/>
    <n v="2"/>
    <s v="Secondary"/>
    <x v="0"/>
    <n v="0"/>
    <n v="0"/>
    <n v="0"/>
    <x v="1"/>
    <n v="0"/>
    <x v="0"/>
    <n v="0"/>
    <n v="0"/>
    <n v="0"/>
    <n v="168"/>
    <n v="168"/>
    <x v="1"/>
    <n v="111"/>
    <n v="78"/>
    <n v="20.82"/>
    <n v="20.82"/>
    <x v="1"/>
    <n v="65"/>
    <n v="65"/>
    <n v="74"/>
    <n v="74"/>
    <x v="0"/>
    <x v="0"/>
  </r>
  <r>
    <n v="1"/>
    <x v="1"/>
    <n v="40"/>
    <x v="1"/>
    <s v="NA"/>
    <n v="1"/>
    <s v="Primary"/>
    <x v="2"/>
    <n v="1"/>
    <n v="20"/>
    <n v="20"/>
    <x v="0"/>
    <n v="0"/>
    <x v="0"/>
    <n v="0"/>
    <n v="0"/>
    <n v="0"/>
    <n v="266"/>
    <n v="266"/>
    <x v="0"/>
    <n v="101"/>
    <n v="73"/>
    <s v="NA"/>
    <n v="25.80080075811421"/>
    <x v="0"/>
    <n v="70"/>
    <n v="70"/>
    <n v="64"/>
    <n v="64"/>
    <x v="0"/>
    <x v="0"/>
  </r>
  <r>
    <n v="0"/>
    <x v="0"/>
    <n v="40"/>
    <x v="1"/>
    <s v="NA"/>
    <n v="1"/>
    <s v="Primary"/>
    <x v="2"/>
    <n v="0"/>
    <n v="0"/>
    <n v="0"/>
    <x v="1"/>
    <n v="0"/>
    <x v="0"/>
    <n v="0"/>
    <n v="0"/>
    <n v="0"/>
    <n v="228"/>
    <n v="228"/>
    <x v="1"/>
    <n v="116"/>
    <n v="78"/>
    <n v="27.72"/>
    <n v="27.72"/>
    <x v="0"/>
    <n v="62"/>
    <n v="62"/>
    <n v="75"/>
    <n v="75"/>
    <x v="0"/>
    <x v="0"/>
  </r>
  <r>
    <n v="1"/>
    <x v="1"/>
    <n v="40"/>
    <x v="1"/>
    <n v="2"/>
    <n v="2"/>
    <s v="Secondary"/>
    <x v="0"/>
    <n v="1"/>
    <n v="10"/>
    <n v="10"/>
    <x v="0"/>
    <n v="0"/>
    <x v="0"/>
    <n v="0"/>
    <n v="0"/>
    <n v="0"/>
    <n v="195"/>
    <n v="195"/>
    <x v="1"/>
    <n v="110"/>
    <n v="70"/>
    <n v="24.75"/>
    <n v="24.75"/>
    <x v="1"/>
    <n v="79"/>
    <n v="79"/>
    <s v="NA"/>
    <n v="81.96365524402907"/>
    <x v="0"/>
    <x v="0"/>
  </r>
  <r>
    <n v="0"/>
    <x v="0"/>
    <n v="40"/>
    <x v="1"/>
    <n v="2"/>
    <n v="2"/>
    <s v="Secondary"/>
    <x v="0"/>
    <n v="1"/>
    <n v="5"/>
    <n v="5"/>
    <x v="0"/>
    <n v="0"/>
    <x v="0"/>
    <n v="0"/>
    <n v="0"/>
    <n v="0"/>
    <n v="174"/>
    <n v="174"/>
    <x v="1"/>
    <n v="130"/>
    <n v="86"/>
    <n v="25.05"/>
    <n v="25.05"/>
    <x v="0"/>
    <n v="80"/>
    <n v="80"/>
    <n v="83"/>
    <n v="83"/>
    <x v="0"/>
    <x v="0"/>
  </r>
  <r>
    <n v="0"/>
    <x v="0"/>
    <n v="40"/>
    <x v="1"/>
    <n v="3"/>
    <n v="3"/>
    <s v="Graduate"/>
    <x v="1"/>
    <n v="1"/>
    <n v="10"/>
    <n v="10"/>
    <x v="0"/>
    <n v="0"/>
    <x v="0"/>
    <n v="0"/>
    <n v="1"/>
    <n v="0"/>
    <n v="187"/>
    <n v="187"/>
    <x v="1"/>
    <n v="144"/>
    <n v="90"/>
    <n v="22.17"/>
    <n v="22.17"/>
    <x v="1"/>
    <n v="90"/>
    <n v="90"/>
    <n v="93"/>
    <n v="93"/>
    <x v="0"/>
    <x v="0"/>
  </r>
  <r>
    <n v="0"/>
    <x v="0"/>
    <n v="40"/>
    <x v="1"/>
    <n v="4"/>
    <n v="4"/>
    <s v="Post Graduate"/>
    <x v="3"/>
    <n v="1"/>
    <n v="15"/>
    <n v="15"/>
    <x v="0"/>
    <n v="0"/>
    <x v="0"/>
    <n v="0"/>
    <n v="0"/>
    <n v="0"/>
    <n v="155"/>
    <n v="155"/>
    <x v="1"/>
    <n v="121"/>
    <n v="86"/>
    <n v="23.16"/>
    <n v="23.16"/>
    <x v="1"/>
    <n v="70"/>
    <n v="70"/>
    <n v="59"/>
    <n v="59"/>
    <x v="0"/>
    <x v="0"/>
  </r>
  <r>
    <n v="0"/>
    <x v="0"/>
    <n v="40"/>
    <x v="1"/>
    <n v="2"/>
    <n v="2"/>
    <s v="Secondary"/>
    <x v="0"/>
    <n v="1"/>
    <n v="20"/>
    <n v="20"/>
    <x v="0"/>
    <n v="0"/>
    <x v="0"/>
    <n v="0"/>
    <n v="0"/>
    <n v="0"/>
    <n v="271"/>
    <n v="271"/>
    <x v="0"/>
    <n v="138.5"/>
    <n v="88"/>
    <n v="27.24"/>
    <n v="27.24"/>
    <x v="0"/>
    <n v="80"/>
    <n v="80"/>
    <s v="NA"/>
    <n v="81.96365524402907"/>
    <x v="0"/>
    <x v="1"/>
  </r>
  <r>
    <n v="1"/>
    <x v="1"/>
    <n v="40"/>
    <x v="1"/>
    <n v="1"/>
    <n v="1"/>
    <s v="Primary"/>
    <x v="2"/>
    <n v="0"/>
    <n v="0"/>
    <n v="0"/>
    <x v="1"/>
    <n v="0"/>
    <x v="0"/>
    <n v="0"/>
    <n v="1"/>
    <n v="0"/>
    <n v="265"/>
    <n v="265"/>
    <x v="0"/>
    <n v="133.5"/>
    <n v="81.5"/>
    <n v="23.78"/>
    <n v="23.78"/>
    <x v="1"/>
    <n v="75"/>
    <n v="75"/>
    <n v="84"/>
    <n v="84"/>
    <x v="0"/>
    <x v="0"/>
  </r>
  <r>
    <n v="1"/>
    <x v="1"/>
    <n v="40"/>
    <x v="1"/>
    <n v="2"/>
    <n v="2"/>
    <s v="Secondary"/>
    <x v="0"/>
    <n v="1"/>
    <n v="1"/>
    <n v="1"/>
    <x v="0"/>
    <n v="0"/>
    <x v="0"/>
    <n v="0"/>
    <n v="0"/>
    <n v="0"/>
    <n v="234"/>
    <n v="234"/>
    <x v="1"/>
    <n v="116"/>
    <n v="79.5"/>
    <n v="24.77"/>
    <n v="24.77"/>
    <x v="1"/>
    <n v="62"/>
    <n v="62"/>
    <n v="87"/>
    <n v="87"/>
    <x v="0"/>
    <x v="0"/>
  </r>
  <r>
    <n v="1"/>
    <x v="1"/>
    <n v="40"/>
    <x v="1"/>
    <n v="4"/>
    <n v="4"/>
    <s v="Post Graduate"/>
    <x v="3"/>
    <n v="0"/>
    <n v="0"/>
    <n v="0"/>
    <x v="1"/>
    <n v="0"/>
    <x v="0"/>
    <n v="0"/>
    <n v="0"/>
    <n v="0"/>
    <n v="209"/>
    <n v="209"/>
    <x v="1"/>
    <n v="123.5"/>
    <n v="83"/>
    <n v="28.06"/>
    <n v="28.06"/>
    <x v="0"/>
    <n v="72"/>
    <n v="72"/>
    <n v="63"/>
    <n v="63"/>
    <x v="0"/>
    <x v="0"/>
  </r>
  <r>
    <n v="0"/>
    <x v="0"/>
    <n v="40"/>
    <x v="1"/>
    <n v="4"/>
    <n v="4"/>
    <s v="Post Graduate"/>
    <x v="3"/>
    <n v="1"/>
    <n v="3"/>
    <n v="3"/>
    <x v="0"/>
    <n v="0"/>
    <x v="0"/>
    <n v="0"/>
    <n v="0"/>
    <n v="0"/>
    <n v="188"/>
    <n v="188"/>
    <x v="1"/>
    <n v="105"/>
    <n v="65"/>
    <n v="21.15"/>
    <n v="21.15"/>
    <x v="1"/>
    <n v="58"/>
    <n v="58"/>
    <n v="70"/>
    <n v="70"/>
    <x v="0"/>
    <x v="0"/>
  </r>
  <r>
    <n v="1"/>
    <x v="1"/>
    <n v="40"/>
    <x v="1"/>
    <n v="1"/>
    <n v="1"/>
    <s v="Primary"/>
    <x v="2"/>
    <n v="1"/>
    <n v="20"/>
    <n v="20"/>
    <x v="0"/>
    <n v="0"/>
    <x v="0"/>
    <n v="0"/>
    <n v="0"/>
    <n v="0"/>
    <n v="160"/>
    <n v="160"/>
    <x v="1"/>
    <n v="123"/>
    <n v="79"/>
    <n v="21.19"/>
    <n v="21.19"/>
    <x v="1"/>
    <n v="85"/>
    <n v="85"/>
    <n v="93"/>
    <n v="93"/>
    <x v="0"/>
    <x v="0"/>
  </r>
  <r>
    <n v="0"/>
    <x v="0"/>
    <n v="40"/>
    <x v="1"/>
    <n v="3"/>
    <n v="3"/>
    <s v="Graduate"/>
    <x v="1"/>
    <n v="1"/>
    <n v="1"/>
    <n v="1"/>
    <x v="0"/>
    <n v="0"/>
    <x v="0"/>
    <n v="0"/>
    <n v="0"/>
    <n v="0"/>
    <n v="236"/>
    <n v="236"/>
    <x v="1"/>
    <n v="135"/>
    <n v="83"/>
    <n v="23.48"/>
    <n v="23.48"/>
    <x v="1"/>
    <n v="95"/>
    <n v="95"/>
    <n v="90"/>
    <n v="90"/>
    <x v="0"/>
    <x v="0"/>
  </r>
  <r>
    <n v="0"/>
    <x v="0"/>
    <n v="40"/>
    <x v="1"/>
    <n v="3"/>
    <n v="3"/>
    <s v="Graduate"/>
    <x v="1"/>
    <n v="0"/>
    <n v="0"/>
    <n v="0"/>
    <x v="1"/>
    <n v="0"/>
    <x v="0"/>
    <n v="0"/>
    <n v="0"/>
    <n v="0"/>
    <n v="180"/>
    <n v="180"/>
    <x v="1"/>
    <n v="136.5"/>
    <n v="89"/>
    <n v="17.61"/>
    <n v="17.61"/>
    <x v="3"/>
    <n v="84"/>
    <n v="84"/>
    <n v="77"/>
    <n v="77"/>
    <x v="0"/>
    <x v="0"/>
  </r>
  <r>
    <n v="1"/>
    <x v="1"/>
    <n v="40"/>
    <x v="1"/>
    <n v="2"/>
    <n v="2"/>
    <s v="Secondary"/>
    <x v="0"/>
    <n v="0"/>
    <n v="0"/>
    <n v="0"/>
    <x v="1"/>
    <n v="0"/>
    <x v="0"/>
    <n v="0"/>
    <n v="0"/>
    <n v="0"/>
    <n v="190"/>
    <n v="190"/>
    <x v="1"/>
    <n v="121.5"/>
    <n v="74.5"/>
    <n v="29.35"/>
    <n v="29.35"/>
    <x v="0"/>
    <n v="73"/>
    <n v="73"/>
    <n v="93"/>
    <n v="93"/>
    <x v="0"/>
    <x v="0"/>
  </r>
  <r>
    <n v="0"/>
    <x v="0"/>
    <n v="40"/>
    <x v="1"/>
    <n v="1"/>
    <n v="1"/>
    <s v="Primary"/>
    <x v="2"/>
    <n v="0"/>
    <n v="0"/>
    <n v="0"/>
    <x v="1"/>
    <n v="0"/>
    <x v="0"/>
    <n v="0"/>
    <n v="0"/>
    <n v="0"/>
    <n v="236"/>
    <n v="236"/>
    <x v="1"/>
    <n v="98"/>
    <n v="75"/>
    <n v="26.63"/>
    <n v="26.63"/>
    <x v="0"/>
    <n v="70"/>
    <n v="70"/>
    <s v="NA"/>
    <n v="81.96365524402907"/>
    <x v="0"/>
    <x v="0"/>
  </r>
  <r>
    <n v="0"/>
    <x v="0"/>
    <n v="40"/>
    <x v="1"/>
    <n v="1"/>
    <n v="1"/>
    <s v="Primary"/>
    <x v="2"/>
    <n v="0"/>
    <n v="0"/>
    <n v="0"/>
    <x v="1"/>
    <n v="0"/>
    <x v="0"/>
    <n v="0"/>
    <n v="0"/>
    <n v="0"/>
    <n v="290"/>
    <n v="290"/>
    <x v="0"/>
    <n v="125"/>
    <n v="90"/>
    <n v="32.81"/>
    <n v="32.81"/>
    <x v="2"/>
    <n v="85"/>
    <n v="85"/>
    <n v="87"/>
    <n v="87"/>
    <x v="0"/>
    <x v="0"/>
  </r>
  <r>
    <n v="1"/>
    <x v="1"/>
    <n v="40"/>
    <x v="1"/>
    <n v="2"/>
    <n v="2"/>
    <s v="Secondary"/>
    <x v="0"/>
    <n v="1"/>
    <n v="5"/>
    <n v="5"/>
    <x v="0"/>
    <n v="0"/>
    <x v="0"/>
    <n v="0"/>
    <n v="0"/>
    <n v="0"/>
    <n v="282"/>
    <n v="282"/>
    <x v="0"/>
    <n v="120"/>
    <n v="87"/>
    <n v="22.98"/>
    <n v="22.98"/>
    <x v="1"/>
    <n v="60"/>
    <n v="60"/>
    <s v="NA"/>
    <n v="81.96365524402907"/>
    <x v="0"/>
    <x v="0"/>
  </r>
  <r>
    <n v="1"/>
    <x v="1"/>
    <n v="40"/>
    <x v="1"/>
    <n v="2"/>
    <n v="2"/>
    <s v="Secondary"/>
    <x v="0"/>
    <n v="0"/>
    <n v="0"/>
    <n v="0"/>
    <x v="1"/>
    <n v="0"/>
    <x v="0"/>
    <n v="0"/>
    <n v="0"/>
    <n v="0"/>
    <n v="222"/>
    <n v="222"/>
    <x v="1"/>
    <n v="112"/>
    <n v="82"/>
    <n v="23.71"/>
    <n v="23.71"/>
    <x v="1"/>
    <n v="77"/>
    <n v="77"/>
    <n v="85"/>
    <n v="85"/>
    <x v="0"/>
    <x v="0"/>
  </r>
  <r>
    <n v="0"/>
    <x v="0"/>
    <n v="40"/>
    <x v="1"/>
    <n v="1"/>
    <n v="1"/>
    <s v="Primary"/>
    <x v="2"/>
    <n v="0"/>
    <n v="0"/>
    <n v="0"/>
    <x v="1"/>
    <n v="0"/>
    <x v="0"/>
    <n v="0"/>
    <n v="0"/>
    <n v="0"/>
    <n v="144"/>
    <n v="144"/>
    <x v="1"/>
    <n v="122.5"/>
    <n v="80"/>
    <n v="27.46"/>
    <n v="27.46"/>
    <x v="0"/>
    <n v="72"/>
    <n v="72"/>
    <n v="123"/>
    <n v="123"/>
    <x v="0"/>
    <x v="1"/>
  </r>
  <r>
    <n v="0"/>
    <x v="0"/>
    <n v="40"/>
    <x v="1"/>
    <n v="2"/>
    <n v="2"/>
    <s v="Secondary"/>
    <x v="0"/>
    <n v="0"/>
    <n v="0"/>
    <n v="0"/>
    <x v="1"/>
    <n v="0"/>
    <x v="0"/>
    <n v="0"/>
    <n v="0"/>
    <n v="0"/>
    <n v="195"/>
    <n v="195"/>
    <x v="1"/>
    <n v="132"/>
    <n v="81"/>
    <n v="24.26"/>
    <n v="24.26"/>
    <x v="1"/>
    <n v="80"/>
    <n v="80"/>
    <n v="86"/>
    <n v="86"/>
    <x v="0"/>
    <x v="0"/>
  </r>
  <r>
    <n v="0"/>
    <x v="0"/>
    <n v="40"/>
    <x v="1"/>
    <n v="3"/>
    <n v="3"/>
    <s v="Graduate"/>
    <x v="1"/>
    <n v="1"/>
    <n v="20"/>
    <n v="20"/>
    <x v="0"/>
    <n v="0"/>
    <x v="0"/>
    <n v="0"/>
    <n v="0"/>
    <n v="0"/>
    <n v="237"/>
    <n v="237"/>
    <x v="1"/>
    <n v="112.5"/>
    <n v="77.5"/>
    <n v="23.58"/>
    <n v="23.58"/>
    <x v="1"/>
    <n v="75"/>
    <n v="75"/>
    <n v="84"/>
    <n v="84"/>
    <x v="0"/>
    <x v="0"/>
  </r>
  <r>
    <n v="1"/>
    <x v="1"/>
    <n v="40"/>
    <x v="1"/>
    <n v="1"/>
    <n v="1"/>
    <s v="Primary"/>
    <x v="2"/>
    <n v="1"/>
    <n v="3"/>
    <n v="3"/>
    <x v="0"/>
    <n v="0"/>
    <x v="0"/>
    <n v="0"/>
    <n v="0"/>
    <n v="0"/>
    <n v="165"/>
    <n v="165"/>
    <x v="1"/>
    <n v="117"/>
    <n v="77"/>
    <n v="21.71"/>
    <n v="21.71"/>
    <x v="1"/>
    <n v="50"/>
    <n v="50"/>
    <n v="66"/>
    <n v="66"/>
    <x v="0"/>
    <x v="0"/>
  </r>
  <r>
    <n v="0"/>
    <x v="0"/>
    <n v="40"/>
    <x v="1"/>
    <n v="4"/>
    <n v="4"/>
    <s v="Post Graduate"/>
    <x v="3"/>
    <n v="1"/>
    <n v="20"/>
    <n v="20"/>
    <x v="0"/>
    <n v="0"/>
    <x v="0"/>
    <n v="0"/>
    <n v="0"/>
    <n v="0"/>
    <n v="182"/>
    <n v="182"/>
    <x v="1"/>
    <n v="95.5"/>
    <n v="64"/>
    <n v="25.21"/>
    <n v="25.21"/>
    <x v="0"/>
    <n v="60"/>
    <n v="60"/>
    <n v="72"/>
    <n v="72"/>
    <x v="0"/>
    <x v="0"/>
  </r>
  <r>
    <n v="0"/>
    <x v="0"/>
    <n v="40"/>
    <x v="1"/>
    <n v="1"/>
    <n v="1"/>
    <s v="Primary"/>
    <x v="2"/>
    <n v="1"/>
    <n v="20"/>
    <n v="20"/>
    <x v="0"/>
    <n v="0"/>
    <x v="0"/>
    <n v="0"/>
    <n v="0"/>
    <n v="0"/>
    <n v="237"/>
    <n v="237"/>
    <x v="1"/>
    <n v="130"/>
    <n v="72"/>
    <n v="23.54"/>
    <n v="23.54"/>
    <x v="1"/>
    <n v="75"/>
    <n v="75"/>
    <n v="80"/>
    <n v="80"/>
    <x v="0"/>
    <x v="0"/>
  </r>
  <r>
    <n v="0"/>
    <x v="0"/>
    <n v="40"/>
    <x v="1"/>
    <n v="2"/>
    <n v="2"/>
    <s v="Secondary"/>
    <x v="0"/>
    <n v="1"/>
    <n v="10"/>
    <n v="10"/>
    <x v="0"/>
    <n v="0"/>
    <x v="0"/>
    <n v="0"/>
    <n v="0"/>
    <n v="0"/>
    <n v="169"/>
    <n v="169"/>
    <x v="1"/>
    <n v="123.5"/>
    <n v="77.5"/>
    <n v="23.09"/>
    <n v="23.09"/>
    <x v="1"/>
    <n v="71"/>
    <n v="71"/>
    <s v="NA"/>
    <n v="81.96365524402907"/>
    <x v="0"/>
    <x v="0"/>
  </r>
  <r>
    <n v="0"/>
    <x v="0"/>
    <n v="40"/>
    <x v="1"/>
    <n v="3"/>
    <n v="3"/>
    <s v="Graduate"/>
    <x v="1"/>
    <n v="1"/>
    <n v="5"/>
    <n v="5"/>
    <x v="0"/>
    <n v="0"/>
    <x v="0"/>
    <n v="0"/>
    <n v="0"/>
    <n v="0"/>
    <n v="143"/>
    <n v="143"/>
    <x v="1"/>
    <n v="125.5"/>
    <n v="80"/>
    <n v="21.99"/>
    <n v="21.99"/>
    <x v="1"/>
    <n v="71"/>
    <n v="71"/>
    <n v="95"/>
    <n v="95"/>
    <x v="0"/>
    <x v="0"/>
  </r>
  <r>
    <n v="0"/>
    <x v="0"/>
    <n v="40"/>
    <x v="1"/>
    <n v="4"/>
    <n v="4"/>
    <s v="Post Graduate"/>
    <x v="3"/>
    <n v="1"/>
    <n v="10"/>
    <n v="10"/>
    <x v="0"/>
    <n v="0"/>
    <x v="0"/>
    <n v="0"/>
    <n v="0"/>
    <n v="0"/>
    <n v="200"/>
    <n v="200"/>
    <x v="1"/>
    <n v="116"/>
    <n v="69"/>
    <n v="23.9"/>
    <n v="23.9"/>
    <x v="1"/>
    <n v="75"/>
    <n v="75"/>
    <n v="78"/>
    <n v="78"/>
    <x v="0"/>
    <x v="0"/>
  </r>
  <r>
    <n v="1"/>
    <x v="1"/>
    <n v="40"/>
    <x v="1"/>
    <n v="2"/>
    <n v="2"/>
    <s v="Secondary"/>
    <x v="0"/>
    <n v="1"/>
    <n v="30"/>
    <n v="30"/>
    <x v="0"/>
    <n v="0"/>
    <x v="0"/>
    <n v="0"/>
    <n v="0"/>
    <n v="0"/>
    <n v="162"/>
    <n v="162"/>
    <x v="1"/>
    <n v="129"/>
    <n v="76.5"/>
    <n v="24.12"/>
    <n v="24.12"/>
    <x v="1"/>
    <n v="70"/>
    <n v="70"/>
    <n v="73"/>
    <n v="73"/>
    <x v="0"/>
    <x v="0"/>
  </r>
  <r>
    <n v="1"/>
    <x v="1"/>
    <n v="40"/>
    <x v="1"/>
    <n v="1"/>
    <n v="1"/>
    <s v="Primary"/>
    <x v="2"/>
    <n v="1"/>
    <n v="20"/>
    <n v="20"/>
    <x v="0"/>
    <n v="0"/>
    <x v="0"/>
    <n v="0"/>
    <n v="0"/>
    <n v="0"/>
    <n v="297"/>
    <n v="297"/>
    <x v="0"/>
    <n v="105"/>
    <n v="73"/>
    <n v="27.15"/>
    <n v="27.15"/>
    <x v="0"/>
    <n v="67"/>
    <n v="67"/>
    <n v="88"/>
    <n v="88"/>
    <x v="0"/>
    <x v="0"/>
  </r>
  <r>
    <n v="1"/>
    <x v="1"/>
    <n v="40"/>
    <x v="1"/>
    <n v="3"/>
    <n v="3"/>
    <s v="Graduate"/>
    <x v="1"/>
    <n v="1"/>
    <n v="40"/>
    <n v="40"/>
    <x v="0"/>
    <n v="0"/>
    <x v="0"/>
    <n v="0"/>
    <n v="0"/>
    <n v="0"/>
    <n v="208"/>
    <n v="208"/>
    <x v="1"/>
    <n v="120"/>
    <n v="80"/>
    <n v="25.98"/>
    <n v="25.98"/>
    <x v="0"/>
    <n v="75"/>
    <n v="75"/>
    <n v="66"/>
    <n v="66"/>
    <x v="0"/>
    <x v="0"/>
  </r>
  <r>
    <n v="0"/>
    <x v="0"/>
    <n v="40"/>
    <x v="1"/>
    <n v="2"/>
    <n v="2"/>
    <s v="Secondary"/>
    <x v="0"/>
    <n v="0"/>
    <n v="0"/>
    <n v="0"/>
    <x v="1"/>
    <n v="0"/>
    <x v="0"/>
    <n v="0"/>
    <n v="1"/>
    <n v="0"/>
    <n v="254"/>
    <n v="254"/>
    <x v="0"/>
    <n v="132"/>
    <n v="92"/>
    <n v="23.45"/>
    <n v="23.45"/>
    <x v="1"/>
    <n v="75"/>
    <n v="75"/>
    <n v="62"/>
    <n v="62"/>
    <x v="0"/>
    <x v="0"/>
  </r>
  <r>
    <n v="1"/>
    <x v="1"/>
    <n v="40"/>
    <x v="1"/>
    <n v="2"/>
    <n v="2"/>
    <s v="Secondary"/>
    <x v="0"/>
    <n v="1"/>
    <n v="20"/>
    <n v="20"/>
    <x v="0"/>
    <n v="0"/>
    <x v="0"/>
    <n v="0"/>
    <n v="0"/>
    <n v="0"/>
    <n v="193"/>
    <n v="193"/>
    <x v="1"/>
    <n v="122"/>
    <n v="78"/>
    <n v="28.4"/>
    <n v="28.4"/>
    <x v="0"/>
    <n v="70"/>
    <n v="70"/>
    <n v="93"/>
    <n v="93"/>
    <x v="0"/>
    <x v="0"/>
  </r>
  <r>
    <n v="0"/>
    <x v="0"/>
    <n v="40"/>
    <x v="1"/>
    <n v="2"/>
    <n v="2"/>
    <s v="Secondary"/>
    <x v="0"/>
    <n v="0"/>
    <n v="0"/>
    <n v="0"/>
    <x v="1"/>
    <n v="0"/>
    <x v="0"/>
    <n v="0"/>
    <n v="0"/>
    <n v="0"/>
    <n v="267"/>
    <n v="267"/>
    <x v="0"/>
    <n v="150"/>
    <n v="93"/>
    <n v="31.77"/>
    <n v="31.77"/>
    <x v="2"/>
    <n v="93"/>
    <n v="93"/>
    <n v="74"/>
    <n v="74"/>
    <x v="0"/>
    <x v="0"/>
  </r>
  <r>
    <n v="0"/>
    <x v="0"/>
    <n v="40"/>
    <x v="1"/>
    <n v="3"/>
    <n v="3"/>
    <s v="Graduate"/>
    <x v="1"/>
    <n v="0"/>
    <n v="0"/>
    <n v="0"/>
    <x v="1"/>
    <n v="0"/>
    <x v="0"/>
    <n v="0"/>
    <n v="0"/>
    <n v="0"/>
    <n v="226"/>
    <n v="226"/>
    <x v="1"/>
    <n v="118"/>
    <n v="72"/>
    <n v="24.75"/>
    <n v="24.75"/>
    <x v="1"/>
    <n v="87"/>
    <n v="87"/>
    <n v="79"/>
    <n v="79"/>
    <x v="0"/>
    <x v="0"/>
  </r>
  <r>
    <n v="1"/>
    <x v="1"/>
    <n v="40"/>
    <x v="1"/>
    <n v="1"/>
    <n v="1"/>
    <s v="Primary"/>
    <x v="2"/>
    <n v="1"/>
    <n v="20"/>
    <n v="20"/>
    <x v="0"/>
    <n v="0"/>
    <x v="0"/>
    <n v="0"/>
    <n v="0"/>
    <n v="0"/>
    <n v="332"/>
    <n v="332"/>
    <x v="0"/>
    <n v="114"/>
    <n v="76"/>
    <n v="26.51"/>
    <n v="26.51"/>
    <x v="0"/>
    <n v="70"/>
    <n v="70"/>
    <n v="90"/>
    <n v="90"/>
    <x v="0"/>
    <x v="0"/>
  </r>
  <r>
    <n v="1"/>
    <x v="1"/>
    <n v="40"/>
    <x v="1"/>
    <n v="3"/>
    <n v="3"/>
    <s v="Graduate"/>
    <x v="1"/>
    <n v="1"/>
    <n v="8"/>
    <n v="8"/>
    <x v="0"/>
    <n v="0"/>
    <x v="0"/>
    <n v="0"/>
    <n v="1"/>
    <n v="0"/>
    <n v="302"/>
    <n v="302"/>
    <x v="0"/>
    <n v="122"/>
    <n v="95"/>
    <n v="23.81"/>
    <n v="23.81"/>
    <x v="1"/>
    <n v="80"/>
    <n v="80"/>
    <n v="82"/>
    <n v="82"/>
    <x v="0"/>
    <x v="0"/>
  </r>
  <r>
    <n v="0"/>
    <x v="0"/>
    <n v="40"/>
    <x v="1"/>
    <n v="2"/>
    <n v="2"/>
    <s v="Secondary"/>
    <x v="0"/>
    <n v="1"/>
    <n v="20"/>
    <n v="20"/>
    <x v="0"/>
    <n v="0"/>
    <x v="0"/>
    <n v="0"/>
    <n v="0"/>
    <n v="0"/>
    <n v="261"/>
    <n v="261"/>
    <x v="0"/>
    <n v="112"/>
    <n v="67"/>
    <n v="21.83"/>
    <n v="21.83"/>
    <x v="1"/>
    <n v="75"/>
    <n v="75"/>
    <n v="61"/>
    <n v="61"/>
    <x v="0"/>
    <x v="0"/>
  </r>
  <r>
    <n v="0"/>
    <x v="0"/>
    <n v="40"/>
    <x v="1"/>
    <n v="2"/>
    <n v="2"/>
    <s v="Secondary"/>
    <x v="0"/>
    <n v="0"/>
    <n v="0"/>
    <n v="0"/>
    <x v="1"/>
    <n v="0"/>
    <x v="0"/>
    <n v="0"/>
    <n v="0"/>
    <n v="0"/>
    <n v="212"/>
    <n v="212"/>
    <x v="1"/>
    <n v="110"/>
    <n v="70"/>
    <n v="22.98"/>
    <n v="22.98"/>
    <x v="1"/>
    <n v="85"/>
    <n v="85"/>
    <n v="85"/>
    <n v="85"/>
    <x v="0"/>
    <x v="0"/>
  </r>
  <r>
    <n v="0"/>
    <x v="0"/>
    <n v="40"/>
    <x v="1"/>
    <n v="2"/>
    <n v="2"/>
    <s v="Secondary"/>
    <x v="0"/>
    <n v="0"/>
    <n v="0"/>
    <n v="0"/>
    <x v="1"/>
    <n v="0"/>
    <x v="0"/>
    <n v="0"/>
    <n v="0"/>
    <n v="0"/>
    <n v="178"/>
    <n v="178"/>
    <x v="1"/>
    <n v="119"/>
    <n v="78.5"/>
    <n v="23.28"/>
    <n v="23.28"/>
    <x v="1"/>
    <n v="72"/>
    <n v="72"/>
    <n v="75"/>
    <n v="75"/>
    <x v="0"/>
    <x v="0"/>
  </r>
  <r>
    <n v="0"/>
    <x v="0"/>
    <n v="40"/>
    <x v="1"/>
    <n v="3"/>
    <n v="3"/>
    <s v="Graduate"/>
    <x v="1"/>
    <n v="0"/>
    <n v="0"/>
    <n v="0"/>
    <x v="1"/>
    <n v="0"/>
    <x v="0"/>
    <n v="0"/>
    <n v="0"/>
    <n v="0"/>
    <n v="274"/>
    <n v="274"/>
    <x v="0"/>
    <n v="132.5"/>
    <n v="85.5"/>
    <n v="24.87"/>
    <n v="24.87"/>
    <x v="1"/>
    <n v="100"/>
    <n v="100"/>
    <n v="70"/>
    <n v="70"/>
    <x v="0"/>
    <x v="0"/>
  </r>
  <r>
    <n v="0"/>
    <x v="0"/>
    <n v="40"/>
    <x v="1"/>
    <n v="3"/>
    <n v="3"/>
    <s v="Graduate"/>
    <x v="1"/>
    <n v="0"/>
    <n v="0"/>
    <n v="0"/>
    <x v="1"/>
    <n v="0"/>
    <x v="0"/>
    <n v="0"/>
    <n v="0"/>
    <n v="0"/>
    <n v="188"/>
    <n v="188"/>
    <x v="1"/>
    <n v="123"/>
    <n v="76.5"/>
    <n v="28"/>
    <n v="28"/>
    <x v="0"/>
    <n v="58"/>
    <n v="58"/>
    <n v="76"/>
    <n v="76"/>
    <x v="0"/>
    <x v="0"/>
  </r>
  <r>
    <n v="1"/>
    <x v="1"/>
    <n v="40"/>
    <x v="1"/>
    <n v="4"/>
    <n v="4"/>
    <s v="Post Graduate"/>
    <x v="3"/>
    <n v="1"/>
    <n v="19"/>
    <n v="19"/>
    <x v="0"/>
    <n v="1"/>
    <x v="1"/>
    <n v="0"/>
    <n v="1"/>
    <n v="0"/>
    <n v="233"/>
    <n v="233"/>
    <x v="1"/>
    <n v="122"/>
    <n v="87"/>
    <n v="24.91"/>
    <n v="24.91"/>
    <x v="1"/>
    <n v="65"/>
    <n v="65"/>
    <n v="69"/>
    <n v="69"/>
    <x v="0"/>
    <x v="0"/>
  </r>
  <r>
    <n v="0"/>
    <x v="0"/>
    <n v="40"/>
    <x v="1"/>
    <n v="2"/>
    <n v="2"/>
    <s v="Secondary"/>
    <x v="0"/>
    <n v="0"/>
    <n v="0"/>
    <n v="0"/>
    <x v="1"/>
    <n v="0"/>
    <x v="0"/>
    <n v="0"/>
    <n v="1"/>
    <n v="0"/>
    <n v="170"/>
    <n v="170"/>
    <x v="1"/>
    <n v="142.5"/>
    <n v="95"/>
    <n v="36.79"/>
    <n v="36.79"/>
    <x v="2"/>
    <n v="100"/>
    <n v="100"/>
    <n v="62"/>
    <n v="62"/>
    <x v="0"/>
    <x v="0"/>
  </r>
  <r>
    <n v="0"/>
    <x v="0"/>
    <n v="40"/>
    <x v="1"/>
    <n v="2"/>
    <n v="2"/>
    <s v="Secondary"/>
    <x v="0"/>
    <n v="1"/>
    <n v="20"/>
    <n v="20"/>
    <x v="0"/>
    <n v="0"/>
    <x v="0"/>
    <n v="0"/>
    <n v="0"/>
    <n v="0"/>
    <n v="235"/>
    <n v="235"/>
    <x v="1"/>
    <n v="120"/>
    <n v="80"/>
    <n v="22.37"/>
    <n v="22.37"/>
    <x v="1"/>
    <n v="85"/>
    <n v="85"/>
    <s v="NA"/>
    <n v="81.96365524402907"/>
    <x v="0"/>
    <x v="0"/>
  </r>
  <r>
    <n v="1"/>
    <x v="1"/>
    <n v="40"/>
    <x v="1"/>
    <n v="2"/>
    <n v="2"/>
    <s v="Secondary"/>
    <x v="0"/>
    <n v="1"/>
    <n v="20"/>
    <n v="20"/>
    <x v="0"/>
    <n v="0"/>
    <x v="0"/>
    <n v="0"/>
    <n v="0"/>
    <n v="0"/>
    <n v="275"/>
    <n v="275"/>
    <x v="0"/>
    <n v="112.5"/>
    <n v="85"/>
    <n v="28.04"/>
    <n v="28.04"/>
    <x v="0"/>
    <n v="73"/>
    <n v="73"/>
    <n v="71"/>
    <n v="71"/>
    <x v="0"/>
    <x v="1"/>
  </r>
  <r>
    <n v="0"/>
    <x v="0"/>
    <n v="40"/>
    <x v="1"/>
    <n v="2"/>
    <n v="2"/>
    <s v="Secondary"/>
    <x v="0"/>
    <n v="1"/>
    <n v="3"/>
    <n v="3"/>
    <x v="0"/>
    <n v="0"/>
    <x v="0"/>
    <n v="0"/>
    <n v="0"/>
    <n v="0"/>
    <s v="NA"/>
    <n v="236.69952267303103"/>
    <x v="1"/>
    <n v="130"/>
    <n v="84"/>
    <n v="31.57"/>
    <n v="31.57"/>
    <x v="2"/>
    <n v="72"/>
    <n v="72"/>
    <n v="112"/>
    <n v="112"/>
    <x v="0"/>
    <x v="0"/>
  </r>
  <r>
    <n v="1"/>
    <x v="1"/>
    <n v="40"/>
    <x v="1"/>
    <n v="2"/>
    <n v="2"/>
    <s v="Secondary"/>
    <x v="0"/>
    <n v="1"/>
    <n v="30"/>
    <n v="30"/>
    <x v="0"/>
    <n v="1"/>
    <x v="1"/>
    <n v="0"/>
    <n v="1"/>
    <n v="0"/>
    <n v="287"/>
    <n v="287"/>
    <x v="0"/>
    <n v="141"/>
    <n v="86"/>
    <n v="27.42"/>
    <n v="27.42"/>
    <x v="0"/>
    <n v="80"/>
    <n v="80"/>
    <n v="94"/>
    <n v="94"/>
    <x v="0"/>
    <x v="0"/>
  </r>
  <r>
    <n v="0"/>
    <x v="0"/>
    <n v="40"/>
    <x v="1"/>
    <n v="1"/>
    <n v="1"/>
    <s v="Primary"/>
    <x v="2"/>
    <n v="1"/>
    <n v="5"/>
    <n v="5"/>
    <x v="0"/>
    <n v="0"/>
    <x v="0"/>
    <n v="0"/>
    <n v="0"/>
    <n v="0"/>
    <n v="155"/>
    <n v="155"/>
    <x v="1"/>
    <n v="120"/>
    <n v="73.5"/>
    <n v="21.32"/>
    <n v="21.32"/>
    <x v="1"/>
    <n v="65"/>
    <n v="65"/>
    <n v="78"/>
    <n v="78"/>
    <x v="0"/>
    <x v="0"/>
  </r>
  <r>
    <n v="0"/>
    <x v="0"/>
    <n v="40"/>
    <x v="1"/>
    <n v="2"/>
    <n v="2"/>
    <s v="Secondary"/>
    <x v="0"/>
    <n v="1"/>
    <n v="20"/>
    <n v="20"/>
    <x v="0"/>
    <n v="0"/>
    <x v="0"/>
    <n v="0"/>
    <n v="0"/>
    <n v="0"/>
    <n v="250"/>
    <n v="250"/>
    <x v="0"/>
    <n v="104"/>
    <n v="74"/>
    <n v="18.75"/>
    <n v="18.75"/>
    <x v="1"/>
    <n v="90"/>
    <n v="90"/>
    <s v="NA"/>
    <n v="81.96365524402907"/>
    <x v="0"/>
    <x v="0"/>
  </r>
  <r>
    <n v="0"/>
    <x v="0"/>
    <n v="40"/>
    <x v="1"/>
    <n v="1"/>
    <n v="1"/>
    <s v="Primary"/>
    <x v="2"/>
    <n v="1"/>
    <n v="10"/>
    <n v="10"/>
    <x v="0"/>
    <n v="0"/>
    <x v="0"/>
    <n v="0"/>
    <n v="0"/>
    <n v="0"/>
    <n v="209"/>
    <n v="209"/>
    <x v="1"/>
    <n v="96"/>
    <n v="67"/>
    <n v="23.46"/>
    <n v="23.46"/>
    <x v="1"/>
    <n v="52"/>
    <n v="52"/>
    <n v="70"/>
    <n v="70"/>
    <x v="0"/>
    <x v="0"/>
  </r>
  <r>
    <n v="0"/>
    <x v="0"/>
    <n v="40"/>
    <x v="1"/>
    <n v="2"/>
    <n v="2"/>
    <s v="Secondary"/>
    <x v="0"/>
    <n v="0"/>
    <n v="0"/>
    <n v="0"/>
    <x v="1"/>
    <n v="0"/>
    <x v="0"/>
    <n v="0"/>
    <n v="0"/>
    <n v="0"/>
    <n v="159"/>
    <n v="159"/>
    <x v="1"/>
    <n v="142"/>
    <n v="90.5"/>
    <n v="22.31"/>
    <n v="22.31"/>
    <x v="1"/>
    <n v="100"/>
    <n v="100"/>
    <s v="NA"/>
    <n v="81.96365524402907"/>
    <x v="0"/>
    <x v="0"/>
  </r>
  <r>
    <n v="1"/>
    <x v="1"/>
    <n v="40"/>
    <x v="1"/>
    <n v="2"/>
    <n v="2"/>
    <s v="Secondary"/>
    <x v="0"/>
    <n v="1"/>
    <n v="25"/>
    <n v="25"/>
    <x v="0"/>
    <n v="0"/>
    <x v="0"/>
    <n v="0"/>
    <n v="0"/>
    <n v="0"/>
    <n v="335"/>
    <n v="335"/>
    <x v="0"/>
    <n v="136.5"/>
    <n v="84"/>
    <n v="23.6"/>
    <n v="23.6"/>
    <x v="1"/>
    <n v="85"/>
    <n v="85"/>
    <n v="76"/>
    <n v="76"/>
    <x v="0"/>
    <x v="0"/>
  </r>
  <r>
    <n v="0"/>
    <x v="0"/>
    <n v="40"/>
    <x v="1"/>
    <n v="1"/>
    <n v="1"/>
    <s v="Primary"/>
    <x v="2"/>
    <n v="1"/>
    <n v="5"/>
    <n v="5"/>
    <x v="0"/>
    <n v="0"/>
    <x v="0"/>
    <n v="0"/>
    <n v="0"/>
    <n v="0"/>
    <n v="220"/>
    <n v="220"/>
    <x v="1"/>
    <n v="113"/>
    <n v="78"/>
    <n v="24.29"/>
    <n v="24.29"/>
    <x v="1"/>
    <n v="68"/>
    <n v="68"/>
    <s v="NA"/>
    <n v="81.96365524402907"/>
    <x v="0"/>
    <x v="0"/>
  </r>
  <r>
    <n v="0"/>
    <x v="0"/>
    <n v="40"/>
    <x v="1"/>
    <n v="2"/>
    <n v="2"/>
    <s v="Secondary"/>
    <x v="0"/>
    <n v="1"/>
    <n v="15"/>
    <n v="15"/>
    <x v="0"/>
    <n v="0"/>
    <x v="0"/>
    <n v="0"/>
    <n v="1"/>
    <n v="0"/>
    <n v="232"/>
    <n v="232"/>
    <x v="1"/>
    <n v="140"/>
    <n v="92"/>
    <n v="26.56"/>
    <n v="26.56"/>
    <x v="0"/>
    <n v="75"/>
    <n v="75"/>
    <n v="73"/>
    <n v="73"/>
    <x v="0"/>
    <x v="0"/>
  </r>
  <r>
    <n v="1"/>
    <x v="1"/>
    <n v="40"/>
    <x v="1"/>
    <n v="1"/>
    <n v="1"/>
    <s v="Primary"/>
    <x v="2"/>
    <n v="1"/>
    <n v="20"/>
    <n v="20"/>
    <x v="0"/>
    <n v="0"/>
    <x v="0"/>
    <n v="0"/>
    <n v="0"/>
    <n v="0"/>
    <n v="228"/>
    <n v="228"/>
    <x v="1"/>
    <n v="131"/>
    <n v="80"/>
    <n v="26.77"/>
    <n v="26.77"/>
    <x v="0"/>
    <n v="64"/>
    <n v="64"/>
    <n v="74"/>
    <n v="74"/>
    <x v="0"/>
    <x v="0"/>
  </r>
  <r>
    <n v="0"/>
    <x v="0"/>
    <n v="40"/>
    <x v="1"/>
    <n v="1"/>
    <n v="1"/>
    <s v="Primary"/>
    <x v="2"/>
    <n v="1"/>
    <n v="20"/>
    <n v="20"/>
    <x v="0"/>
    <n v="0"/>
    <x v="0"/>
    <n v="0"/>
    <n v="0"/>
    <n v="0"/>
    <n v="187"/>
    <n v="187"/>
    <x v="1"/>
    <n v="107"/>
    <n v="74"/>
    <n v="22.37"/>
    <n v="22.37"/>
    <x v="1"/>
    <n v="60"/>
    <n v="60"/>
    <n v="67"/>
    <n v="67"/>
    <x v="0"/>
    <x v="0"/>
  </r>
  <r>
    <n v="0"/>
    <x v="0"/>
    <n v="40"/>
    <x v="1"/>
    <n v="2"/>
    <n v="2"/>
    <s v="Secondary"/>
    <x v="0"/>
    <n v="1"/>
    <n v="9"/>
    <n v="9"/>
    <x v="0"/>
    <n v="0"/>
    <x v="0"/>
    <n v="0"/>
    <n v="0"/>
    <n v="0"/>
    <n v="240"/>
    <n v="240"/>
    <x v="1"/>
    <n v="115"/>
    <n v="72"/>
    <n v="18.82"/>
    <n v="18.82"/>
    <x v="1"/>
    <n v="80"/>
    <n v="80"/>
    <n v="68"/>
    <n v="68"/>
    <x v="0"/>
    <x v="0"/>
  </r>
  <r>
    <n v="0"/>
    <x v="0"/>
    <n v="40"/>
    <x v="1"/>
    <n v="2"/>
    <n v="2"/>
    <s v="Secondary"/>
    <x v="0"/>
    <n v="0"/>
    <n v="0"/>
    <n v="0"/>
    <x v="1"/>
    <n v="0"/>
    <x v="0"/>
    <n v="0"/>
    <n v="0"/>
    <n v="0"/>
    <n v="215"/>
    <n v="215"/>
    <x v="1"/>
    <n v="110"/>
    <n v="70"/>
    <n v="19.64"/>
    <n v="19.64"/>
    <x v="1"/>
    <n v="70"/>
    <n v="70"/>
    <n v="87"/>
    <n v="87"/>
    <x v="0"/>
    <x v="0"/>
  </r>
  <r>
    <n v="0"/>
    <x v="0"/>
    <n v="40"/>
    <x v="1"/>
    <n v="2"/>
    <n v="2"/>
    <s v="Secondary"/>
    <x v="0"/>
    <n v="1"/>
    <n v="9"/>
    <n v="9"/>
    <x v="0"/>
    <n v="0"/>
    <x v="0"/>
    <n v="0"/>
    <n v="0"/>
    <n v="0"/>
    <n v="193"/>
    <n v="193"/>
    <x v="1"/>
    <n v="105"/>
    <n v="60"/>
    <n v="22.54"/>
    <n v="22.54"/>
    <x v="1"/>
    <n v="75"/>
    <n v="75"/>
    <n v="85"/>
    <n v="85"/>
    <x v="0"/>
    <x v="0"/>
  </r>
  <r>
    <n v="1"/>
    <x v="1"/>
    <n v="40"/>
    <x v="1"/>
    <n v="1"/>
    <n v="1"/>
    <s v="Primary"/>
    <x v="2"/>
    <n v="1"/>
    <n v="20"/>
    <n v="20"/>
    <x v="0"/>
    <n v="0"/>
    <x v="0"/>
    <n v="0"/>
    <n v="0"/>
    <n v="0"/>
    <n v="201"/>
    <n v="201"/>
    <x v="1"/>
    <n v="121.5"/>
    <n v="76.5"/>
    <n v="29.38"/>
    <n v="29.38"/>
    <x v="0"/>
    <n v="74"/>
    <n v="74"/>
    <n v="94"/>
    <n v="94"/>
    <x v="0"/>
    <x v="0"/>
  </r>
  <r>
    <n v="0"/>
    <x v="0"/>
    <n v="40"/>
    <x v="1"/>
    <n v="1"/>
    <n v="1"/>
    <s v="Primary"/>
    <x v="2"/>
    <n v="1"/>
    <n v="50"/>
    <n v="50"/>
    <x v="0"/>
    <s v="NA"/>
    <x v="0"/>
    <n v="0"/>
    <n v="0"/>
    <n v="0"/>
    <n v="220"/>
    <n v="220"/>
    <x v="1"/>
    <n v="124"/>
    <n v="79"/>
    <n v="20.7"/>
    <n v="20.7"/>
    <x v="1"/>
    <n v="90"/>
    <n v="90"/>
    <n v="57"/>
    <n v="57"/>
    <x v="1"/>
    <x v="0"/>
  </r>
  <r>
    <n v="1"/>
    <x v="1"/>
    <n v="40"/>
    <x v="1"/>
    <n v="3"/>
    <n v="3"/>
    <s v="Graduate"/>
    <x v="1"/>
    <n v="1"/>
    <n v="15"/>
    <n v="15"/>
    <x v="0"/>
    <n v="0"/>
    <x v="0"/>
    <n v="0"/>
    <n v="0"/>
    <n v="0"/>
    <n v="203"/>
    <n v="203"/>
    <x v="1"/>
    <n v="123"/>
    <n v="82"/>
    <n v="24.74"/>
    <n v="24.74"/>
    <x v="1"/>
    <n v="75"/>
    <n v="75"/>
    <n v="78"/>
    <n v="78"/>
    <x v="0"/>
    <x v="0"/>
  </r>
  <r>
    <n v="1"/>
    <x v="1"/>
    <n v="40"/>
    <x v="1"/>
    <n v="2"/>
    <n v="2"/>
    <s v="Secondary"/>
    <x v="0"/>
    <n v="1"/>
    <n v="20"/>
    <n v="20"/>
    <x v="0"/>
    <n v="0"/>
    <x v="0"/>
    <n v="0"/>
    <n v="0"/>
    <n v="0"/>
    <n v="152"/>
    <n v="152"/>
    <x v="1"/>
    <n v="119"/>
    <n v="86"/>
    <n v="23.35"/>
    <n v="23.35"/>
    <x v="1"/>
    <n v="75"/>
    <n v="75"/>
    <n v="66"/>
    <n v="66"/>
    <x v="0"/>
    <x v="0"/>
  </r>
  <r>
    <n v="0"/>
    <x v="0"/>
    <n v="40"/>
    <x v="1"/>
    <n v="2"/>
    <n v="2"/>
    <s v="Secondary"/>
    <x v="0"/>
    <n v="0"/>
    <n v="0"/>
    <n v="0"/>
    <x v="1"/>
    <n v="0"/>
    <x v="0"/>
    <n v="0"/>
    <n v="0"/>
    <n v="0"/>
    <s v="NA"/>
    <n v="236.69952267303103"/>
    <x v="1"/>
    <n v="119"/>
    <n v="81"/>
    <n v="24.6"/>
    <n v="24.6"/>
    <x v="1"/>
    <n v="75"/>
    <n v="75"/>
    <s v="NA"/>
    <n v="81.96365524402907"/>
    <x v="0"/>
    <x v="0"/>
  </r>
  <r>
    <n v="1"/>
    <x v="1"/>
    <n v="40"/>
    <x v="1"/>
    <n v="2"/>
    <n v="2"/>
    <s v="Secondary"/>
    <x v="0"/>
    <n v="1"/>
    <n v="10"/>
    <n v="10"/>
    <x v="0"/>
    <n v="0"/>
    <x v="0"/>
    <n v="0"/>
    <n v="0"/>
    <n v="0"/>
    <n v="250"/>
    <n v="250"/>
    <x v="0"/>
    <n v="109"/>
    <n v="78"/>
    <n v="25.75"/>
    <n v="25.75"/>
    <x v="0"/>
    <n v="65"/>
    <n v="65"/>
    <s v="NA"/>
    <n v="81.96365524402907"/>
    <x v="0"/>
    <x v="0"/>
  </r>
  <r>
    <n v="0"/>
    <x v="0"/>
    <n v="40"/>
    <x v="1"/>
    <n v="3"/>
    <n v="3"/>
    <s v="Graduate"/>
    <x v="1"/>
    <n v="1"/>
    <n v="30"/>
    <n v="30"/>
    <x v="0"/>
    <n v="0"/>
    <x v="0"/>
    <n v="0"/>
    <n v="0"/>
    <n v="0"/>
    <n v="280"/>
    <n v="280"/>
    <x v="0"/>
    <n v="115"/>
    <n v="81"/>
    <n v="21.32"/>
    <n v="21.32"/>
    <x v="1"/>
    <n v="62"/>
    <n v="62"/>
    <n v="84"/>
    <n v="84"/>
    <x v="0"/>
    <x v="0"/>
  </r>
  <r>
    <n v="0"/>
    <x v="0"/>
    <n v="40"/>
    <x v="1"/>
    <n v="4"/>
    <n v="4"/>
    <s v="Post Graduate"/>
    <x v="3"/>
    <n v="1"/>
    <n v="3"/>
    <n v="3"/>
    <x v="0"/>
    <n v="0"/>
    <x v="0"/>
    <n v="0"/>
    <n v="0"/>
    <n v="0"/>
    <n v="230"/>
    <n v="230"/>
    <x v="1"/>
    <n v="107.5"/>
    <n v="75"/>
    <n v="26.38"/>
    <n v="26.38"/>
    <x v="0"/>
    <n v="75"/>
    <n v="75"/>
    <n v="76"/>
    <n v="76"/>
    <x v="0"/>
    <x v="0"/>
  </r>
  <r>
    <n v="1"/>
    <x v="1"/>
    <n v="40"/>
    <x v="1"/>
    <n v="3"/>
    <n v="3"/>
    <s v="Graduate"/>
    <x v="1"/>
    <n v="1"/>
    <n v="70"/>
    <n v="70"/>
    <x v="0"/>
    <n v="0"/>
    <x v="0"/>
    <n v="0"/>
    <n v="1"/>
    <n v="0"/>
    <n v="210"/>
    <n v="210"/>
    <x v="1"/>
    <n v="132"/>
    <n v="86"/>
    <n v="31.57"/>
    <n v="31.57"/>
    <x v="2"/>
    <n v="98"/>
    <n v="98"/>
    <n v="80"/>
    <n v="80"/>
    <x v="0"/>
    <x v="0"/>
  </r>
  <r>
    <n v="0"/>
    <x v="0"/>
    <n v="40"/>
    <x v="1"/>
    <n v="1"/>
    <n v="1"/>
    <s v="Primary"/>
    <x v="2"/>
    <n v="1"/>
    <n v="15"/>
    <n v="15"/>
    <x v="0"/>
    <n v="0"/>
    <x v="0"/>
    <n v="0"/>
    <n v="0"/>
    <n v="0"/>
    <n v="220"/>
    <n v="220"/>
    <x v="1"/>
    <n v="131.5"/>
    <n v="82.5"/>
    <n v="24.35"/>
    <n v="24.35"/>
    <x v="1"/>
    <n v="80"/>
    <n v="80"/>
    <n v="78"/>
    <n v="78"/>
    <x v="0"/>
    <x v="0"/>
  </r>
  <r>
    <n v="1"/>
    <x v="1"/>
    <n v="40"/>
    <x v="1"/>
    <n v="4"/>
    <n v="4"/>
    <s v="Post Graduate"/>
    <x v="3"/>
    <n v="0"/>
    <n v="0"/>
    <n v="0"/>
    <x v="1"/>
    <n v="0"/>
    <x v="0"/>
    <n v="0"/>
    <n v="1"/>
    <n v="0"/>
    <n v="192"/>
    <n v="192"/>
    <x v="1"/>
    <n v="141.5"/>
    <n v="108.5"/>
    <n v="36.01"/>
    <n v="36.01"/>
    <x v="2"/>
    <n v="76"/>
    <n v="76"/>
    <n v="78"/>
    <n v="78"/>
    <x v="0"/>
    <x v="0"/>
  </r>
  <r>
    <n v="0"/>
    <x v="0"/>
    <n v="40"/>
    <x v="1"/>
    <n v="2"/>
    <n v="2"/>
    <s v="Secondary"/>
    <x v="0"/>
    <n v="0"/>
    <n v="0"/>
    <n v="0"/>
    <x v="1"/>
    <n v="0"/>
    <x v="0"/>
    <n v="0"/>
    <n v="0"/>
    <n v="0"/>
    <n v="230"/>
    <n v="230"/>
    <x v="1"/>
    <n v="127"/>
    <n v="72"/>
    <n v="29.62"/>
    <n v="29.62"/>
    <x v="0"/>
    <n v="85"/>
    <n v="85"/>
    <n v="70"/>
    <n v="70"/>
    <x v="0"/>
    <x v="0"/>
  </r>
  <r>
    <n v="0"/>
    <x v="0"/>
    <n v="40"/>
    <x v="1"/>
    <n v="2"/>
    <n v="2"/>
    <s v="Secondary"/>
    <x v="0"/>
    <n v="1"/>
    <n v="3"/>
    <n v="3"/>
    <x v="0"/>
    <n v="0"/>
    <x v="0"/>
    <n v="0"/>
    <n v="0"/>
    <n v="0"/>
    <n v="256"/>
    <n v="256"/>
    <x v="0"/>
    <n v="124"/>
    <n v="79"/>
    <n v="24.23"/>
    <n v="24.23"/>
    <x v="1"/>
    <n v="80"/>
    <n v="80"/>
    <n v="81"/>
    <n v="81"/>
    <x v="0"/>
    <x v="0"/>
  </r>
  <r>
    <n v="0"/>
    <x v="0"/>
    <n v="40"/>
    <x v="1"/>
    <n v="1"/>
    <n v="1"/>
    <s v="Primary"/>
    <x v="2"/>
    <n v="1"/>
    <n v="43"/>
    <n v="43"/>
    <x v="0"/>
    <n v="0"/>
    <x v="0"/>
    <n v="0"/>
    <n v="1"/>
    <n v="0"/>
    <n v="226"/>
    <n v="226"/>
    <x v="1"/>
    <n v="138"/>
    <n v="99"/>
    <n v="35.020000000000003"/>
    <n v="35.020000000000003"/>
    <x v="2"/>
    <n v="95"/>
    <n v="95"/>
    <n v="73"/>
    <n v="73"/>
    <x v="0"/>
    <x v="0"/>
  </r>
  <r>
    <n v="0"/>
    <x v="0"/>
    <n v="40"/>
    <x v="1"/>
    <n v="3"/>
    <n v="3"/>
    <s v="Graduate"/>
    <x v="1"/>
    <n v="1"/>
    <n v="9"/>
    <n v="9"/>
    <x v="0"/>
    <n v="0"/>
    <x v="0"/>
    <n v="0"/>
    <n v="0"/>
    <n v="0"/>
    <n v="189"/>
    <n v="189"/>
    <x v="1"/>
    <n v="115"/>
    <n v="81"/>
    <n v="22.73"/>
    <n v="22.73"/>
    <x v="1"/>
    <n v="80"/>
    <n v="80"/>
    <n v="103"/>
    <n v="103"/>
    <x v="0"/>
    <x v="0"/>
  </r>
  <r>
    <n v="0"/>
    <x v="0"/>
    <n v="40"/>
    <x v="1"/>
    <n v="2"/>
    <n v="2"/>
    <s v="Secondary"/>
    <x v="0"/>
    <n v="0"/>
    <n v="0"/>
    <n v="0"/>
    <x v="1"/>
    <n v="0"/>
    <x v="0"/>
    <n v="0"/>
    <n v="0"/>
    <n v="0"/>
    <n v="196"/>
    <n v="196"/>
    <x v="1"/>
    <n v="126"/>
    <n v="85"/>
    <n v="22.81"/>
    <n v="22.81"/>
    <x v="1"/>
    <n v="73"/>
    <n v="73"/>
    <n v="96"/>
    <n v="96"/>
    <x v="0"/>
    <x v="0"/>
  </r>
  <r>
    <n v="0"/>
    <x v="0"/>
    <n v="40"/>
    <x v="1"/>
    <n v="1"/>
    <n v="1"/>
    <s v="Primary"/>
    <x v="2"/>
    <n v="1"/>
    <n v="20"/>
    <n v="20"/>
    <x v="0"/>
    <n v="0"/>
    <x v="0"/>
    <n v="0"/>
    <n v="0"/>
    <n v="0"/>
    <n v="272"/>
    <n v="272"/>
    <x v="0"/>
    <n v="123"/>
    <n v="75"/>
    <n v="23.08"/>
    <n v="23.08"/>
    <x v="1"/>
    <n v="80"/>
    <n v="80"/>
    <n v="63"/>
    <n v="63"/>
    <x v="0"/>
    <x v="0"/>
  </r>
  <r>
    <n v="1"/>
    <x v="1"/>
    <n v="40"/>
    <x v="1"/>
    <n v="4"/>
    <n v="4"/>
    <s v="Post Graduate"/>
    <x v="3"/>
    <n v="1"/>
    <n v="30"/>
    <n v="30"/>
    <x v="0"/>
    <n v="0"/>
    <x v="0"/>
    <n v="0"/>
    <n v="0"/>
    <n v="0"/>
    <n v="205"/>
    <n v="205"/>
    <x v="1"/>
    <n v="131"/>
    <n v="81"/>
    <n v="23.74"/>
    <n v="23.74"/>
    <x v="1"/>
    <n v="66"/>
    <n v="66"/>
    <n v="87"/>
    <n v="87"/>
    <x v="0"/>
    <x v="0"/>
  </r>
  <r>
    <n v="0"/>
    <x v="0"/>
    <n v="40"/>
    <x v="1"/>
    <n v="2"/>
    <n v="2"/>
    <s v="Secondary"/>
    <x v="0"/>
    <n v="1"/>
    <n v="43"/>
    <n v="43"/>
    <x v="0"/>
    <n v="0"/>
    <x v="0"/>
    <n v="0"/>
    <n v="0"/>
    <n v="0"/>
    <n v="224"/>
    <n v="224"/>
    <x v="1"/>
    <n v="106"/>
    <n v="72"/>
    <n v="23.59"/>
    <n v="23.59"/>
    <x v="1"/>
    <n v="82"/>
    <n v="82"/>
    <n v="71"/>
    <n v="71"/>
    <x v="0"/>
    <x v="0"/>
  </r>
  <r>
    <n v="0"/>
    <x v="0"/>
    <n v="40"/>
    <x v="1"/>
    <n v="2"/>
    <n v="2"/>
    <s v="Secondary"/>
    <x v="0"/>
    <n v="1"/>
    <n v="20"/>
    <n v="20"/>
    <x v="0"/>
    <n v="0"/>
    <x v="0"/>
    <n v="0"/>
    <n v="0"/>
    <n v="0"/>
    <n v="165"/>
    <n v="165"/>
    <x v="1"/>
    <n v="101"/>
    <n v="59"/>
    <n v="23.06"/>
    <n v="23.06"/>
    <x v="1"/>
    <n v="60"/>
    <n v="60"/>
    <n v="76"/>
    <n v="76"/>
    <x v="0"/>
    <x v="0"/>
  </r>
  <r>
    <n v="1"/>
    <x v="1"/>
    <n v="40"/>
    <x v="1"/>
    <n v="1"/>
    <n v="1"/>
    <s v="Primary"/>
    <x v="2"/>
    <n v="1"/>
    <n v="43"/>
    <n v="43"/>
    <x v="0"/>
    <n v="0"/>
    <x v="0"/>
    <n v="0"/>
    <n v="0"/>
    <n v="0"/>
    <n v="216"/>
    <n v="216"/>
    <x v="1"/>
    <n v="138"/>
    <n v="91"/>
    <n v="22.67"/>
    <n v="22.67"/>
    <x v="1"/>
    <n v="72"/>
    <n v="72"/>
    <s v="NA"/>
    <n v="81.96365524402907"/>
    <x v="0"/>
    <x v="1"/>
  </r>
  <r>
    <n v="0"/>
    <x v="0"/>
    <n v="40"/>
    <x v="1"/>
    <n v="1"/>
    <n v="1"/>
    <s v="Primary"/>
    <x v="2"/>
    <n v="1"/>
    <n v="3"/>
    <n v="3"/>
    <x v="0"/>
    <n v="0"/>
    <x v="0"/>
    <n v="0"/>
    <n v="0"/>
    <n v="0"/>
    <n v="173"/>
    <n v="173"/>
    <x v="1"/>
    <n v="125"/>
    <n v="75"/>
    <n v="25.67"/>
    <n v="25.67"/>
    <x v="0"/>
    <n v="65"/>
    <n v="65"/>
    <n v="102"/>
    <n v="102"/>
    <x v="0"/>
    <x v="0"/>
  </r>
  <r>
    <n v="1"/>
    <x v="1"/>
    <n v="40"/>
    <x v="1"/>
    <n v="1"/>
    <n v="1"/>
    <s v="Primary"/>
    <x v="2"/>
    <n v="1"/>
    <n v="20"/>
    <n v="20"/>
    <x v="0"/>
    <n v="0"/>
    <x v="0"/>
    <n v="0"/>
    <n v="1"/>
    <n v="0"/>
    <n v="208"/>
    <n v="208"/>
    <x v="1"/>
    <n v="119"/>
    <n v="66"/>
    <n v="28.09"/>
    <n v="28.09"/>
    <x v="0"/>
    <n v="75"/>
    <n v="75"/>
    <n v="66"/>
    <n v="66"/>
    <x v="0"/>
    <x v="0"/>
  </r>
  <r>
    <n v="1"/>
    <x v="1"/>
    <n v="40"/>
    <x v="1"/>
    <n v="4"/>
    <n v="4"/>
    <s v="Post Graduate"/>
    <x v="3"/>
    <n v="1"/>
    <n v="25"/>
    <n v="25"/>
    <x v="0"/>
    <n v="0"/>
    <x v="0"/>
    <n v="0"/>
    <n v="0"/>
    <n v="0"/>
    <n v="258"/>
    <n v="258"/>
    <x v="0"/>
    <n v="112"/>
    <n v="78"/>
    <n v="28.57"/>
    <n v="28.57"/>
    <x v="0"/>
    <n v="80"/>
    <n v="80"/>
    <n v="70"/>
    <n v="70"/>
    <x v="0"/>
    <x v="0"/>
  </r>
  <r>
    <n v="0"/>
    <x v="0"/>
    <n v="40"/>
    <x v="1"/>
    <n v="1"/>
    <n v="1"/>
    <s v="Primary"/>
    <x v="2"/>
    <n v="0"/>
    <n v="0"/>
    <n v="0"/>
    <x v="1"/>
    <n v="0"/>
    <x v="0"/>
    <n v="0"/>
    <n v="0"/>
    <n v="0"/>
    <n v="156"/>
    <n v="156"/>
    <x v="1"/>
    <n v="110"/>
    <n v="74"/>
    <n v="20.79"/>
    <n v="20.79"/>
    <x v="1"/>
    <n v="56"/>
    <n v="56"/>
    <n v="76"/>
    <n v="76"/>
    <x v="0"/>
    <x v="0"/>
  </r>
  <r>
    <n v="0"/>
    <x v="0"/>
    <n v="40"/>
    <x v="1"/>
    <n v="2"/>
    <n v="2"/>
    <s v="Secondary"/>
    <x v="0"/>
    <n v="0"/>
    <n v="0"/>
    <n v="0"/>
    <x v="1"/>
    <n v="0"/>
    <x v="0"/>
    <n v="0"/>
    <n v="0"/>
    <n v="0"/>
    <n v="185"/>
    <n v="185"/>
    <x v="1"/>
    <n v="111"/>
    <n v="79"/>
    <n v="22.9"/>
    <n v="22.9"/>
    <x v="1"/>
    <n v="75"/>
    <n v="75"/>
    <n v="81"/>
    <n v="81"/>
    <x v="0"/>
    <x v="0"/>
  </r>
  <r>
    <n v="0"/>
    <x v="0"/>
    <n v="40"/>
    <x v="1"/>
    <n v="2"/>
    <n v="2"/>
    <s v="Secondary"/>
    <x v="0"/>
    <n v="1"/>
    <n v="20"/>
    <n v="20"/>
    <x v="0"/>
    <n v="0"/>
    <x v="0"/>
    <n v="0"/>
    <n v="0"/>
    <n v="0"/>
    <n v="242"/>
    <n v="242"/>
    <x v="0"/>
    <n v="112.5"/>
    <n v="62.5"/>
    <n v="27.65"/>
    <n v="27.65"/>
    <x v="0"/>
    <n v="75"/>
    <n v="75"/>
    <n v="70"/>
    <n v="70"/>
    <x v="0"/>
    <x v="0"/>
  </r>
  <r>
    <n v="0"/>
    <x v="0"/>
    <n v="40"/>
    <x v="1"/>
    <n v="1"/>
    <n v="1"/>
    <s v="Primary"/>
    <x v="2"/>
    <n v="1"/>
    <n v="20"/>
    <n v="20"/>
    <x v="0"/>
    <n v="0"/>
    <x v="0"/>
    <n v="0"/>
    <n v="0"/>
    <n v="0"/>
    <n v="231"/>
    <n v="231"/>
    <x v="1"/>
    <n v="129"/>
    <n v="87"/>
    <n v="23.29"/>
    <n v="23.29"/>
    <x v="1"/>
    <n v="89"/>
    <n v="89"/>
    <n v="99"/>
    <n v="99"/>
    <x v="0"/>
    <x v="0"/>
  </r>
  <r>
    <n v="1"/>
    <x v="1"/>
    <n v="40"/>
    <x v="1"/>
    <n v="3"/>
    <n v="3"/>
    <s v="Graduate"/>
    <x v="1"/>
    <n v="1"/>
    <n v="15"/>
    <n v="15"/>
    <x v="0"/>
    <n v="0"/>
    <x v="0"/>
    <n v="0"/>
    <n v="0"/>
    <n v="0"/>
    <n v="211"/>
    <n v="211"/>
    <x v="1"/>
    <n v="122"/>
    <n v="81"/>
    <n v="30.55"/>
    <n v="30.55"/>
    <x v="2"/>
    <n v="75"/>
    <n v="75"/>
    <n v="91"/>
    <n v="91"/>
    <x v="0"/>
    <x v="0"/>
  </r>
  <r>
    <n v="1"/>
    <x v="1"/>
    <n v="40"/>
    <x v="1"/>
    <n v="4"/>
    <n v="4"/>
    <s v="Post Graduate"/>
    <x v="3"/>
    <n v="0"/>
    <n v="0"/>
    <n v="0"/>
    <x v="1"/>
    <n v="0"/>
    <x v="0"/>
    <n v="0"/>
    <n v="0"/>
    <n v="0"/>
    <n v="161"/>
    <n v="161"/>
    <x v="1"/>
    <n v="122"/>
    <n v="85"/>
    <n v="30.8"/>
    <n v="30.8"/>
    <x v="2"/>
    <n v="75"/>
    <n v="75"/>
    <n v="85"/>
    <n v="85"/>
    <x v="0"/>
    <x v="1"/>
  </r>
  <r>
    <n v="0"/>
    <x v="0"/>
    <n v="40"/>
    <x v="1"/>
    <n v="1"/>
    <n v="1"/>
    <s v="Primary"/>
    <x v="2"/>
    <n v="1"/>
    <n v="5"/>
    <n v="5"/>
    <x v="0"/>
    <n v="0"/>
    <x v="0"/>
    <n v="0"/>
    <n v="0"/>
    <n v="0"/>
    <n v="209"/>
    <n v="209"/>
    <x v="1"/>
    <n v="130"/>
    <n v="84.5"/>
    <n v="39.94"/>
    <n v="39.94"/>
    <x v="2"/>
    <n v="77"/>
    <n v="77"/>
    <n v="104"/>
    <n v="104"/>
    <x v="0"/>
    <x v="1"/>
  </r>
  <r>
    <n v="1"/>
    <x v="1"/>
    <n v="40"/>
    <x v="1"/>
    <n v="2"/>
    <n v="2"/>
    <s v="Secondary"/>
    <x v="0"/>
    <n v="1"/>
    <n v="15"/>
    <n v="15"/>
    <x v="0"/>
    <n v="0"/>
    <x v="0"/>
    <n v="0"/>
    <n v="0"/>
    <n v="0"/>
    <n v="200"/>
    <n v="200"/>
    <x v="1"/>
    <n v="122.5"/>
    <n v="75"/>
    <n v="20.25"/>
    <n v="20.25"/>
    <x v="1"/>
    <n v="60"/>
    <n v="60"/>
    <n v="67"/>
    <n v="67"/>
    <x v="0"/>
    <x v="0"/>
  </r>
  <r>
    <n v="0"/>
    <x v="0"/>
    <n v="40"/>
    <x v="1"/>
    <n v="2"/>
    <n v="2"/>
    <s v="Secondary"/>
    <x v="0"/>
    <n v="1"/>
    <n v="15"/>
    <n v="15"/>
    <x v="0"/>
    <n v="0"/>
    <x v="0"/>
    <n v="0"/>
    <n v="0"/>
    <n v="0"/>
    <s v="NA"/>
    <n v="236.69952267303103"/>
    <x v="1"/>
    <n v="131.5"/>
    <n v="80"/>
    <n v="24.73"/>
    <n v="24.73"/>
    <x v="1"/>
    <n v="100"/>
    <n v="100"/>
    <s v="NA"/>
    <n v="81.96365524402907"/>
    <x v="0"/>
    <x v="0"/>
  </r>
  <r>
    <n v="1"/>
    <x v="1"/>
    <n v="40"/>
    <x v="1"/>
    <n v="2"/>
    <n v="2"/>
    <s v="Secondary"/>
    <x v="0"/>
    <n v="0"/>
    <n v="0"/>
    <n v="0"/>
    <x v="1"/>
    <n v="0"/>
    <x v="0"/>
    <n v="0"/>
    <n v="0"/>
    <n v="0"/>
    <n v="193"/>
    <n v="193"/>
    <x v="1"/>
    <n v="130"/>
    <n v="89"/>
    <n v="28.32"/>
    <n v="28.32"/>
    <x v="0"/>
    <n v="96"/>
    <n v="96"/>
    <n v="84"/>
    <n v="84"/>
    <x v="0"/>
    <x v="0"/>
  </r>
  <r>
    <n v="0"/>
    <x v="0"/>
    <n v="40"/>
    <x v="1"/>
    <n v="3"/>
    <n v="3"/>
    <s v="Graduate"/>
    <x v="1"/>
    <n v="1"/>
    <n v="9"/>
    <n v="9"/>
    <x v="0"/>
    <n v="0"/>
    <x v="0"/>
    <n v="0"/>
    <n v="0"/>
    <n v="0"/>
    <n v="180"/>
    <n v="180"/>
    <x v="1"/>
    <n v="118"/>
    <n v="86.5"/>
    <n v="22.69"/>
    <n v="22.69"/>
    <x v="1"/>
    <n v="89"/>
    <n v="89"/>
    <n v="67"/>
    <n v="67"/>
    <x v="0"/>
    <x v="0"/>
  </r>
  <r>
    <n v="0"/>
    <x v="0"/>
    <n v="40"/>
    <x v="1"/>
    <n v="2"/>
    <n v="2"/>
    <s v="Secondary"/>
    <x v="0"/>
    <n v="1"/>
    <n v="1"/>
    <n v="1"/>
    <x v="0"/>
    <n v="0"/>
    <x v="0"/>
    <n v="0"/>
    <n v="0"/>
    <n v="0"/>
    <n v="178"/>
    <n v="178"/>
    <x v="1"/>
    <n v="142"/>
    <n v="84"/>
    <n v="34.46"/>
    <n v="34.46"/>
    <x v="2"/>
    <n v="88"/>
    <n v="88"/>
    <n v="77"/>
    <n v="77"/>
    <x v="0"/>
    <x v="0"/>
  </r>
  <r>
    <n v="1"/>
    <x v="1"/>
    <n v="40"/>
    <x v="1"/>
    <n v="2"/>
    <n v="2"/>
    <s v="Secondary"/>
    <x v="0"/>
    <n v="1"/>
    <n v="20"/>
    <n v="20"/>
    <x v="0"/>
    <n v="0"/>
    <x v="0"/>
    <n v="0"/>
    <n v="0"/>
    <n v="0"/>
    <n v="186"/>
    <n v="186"/>
    <x v="1"/>
    <n v="131"/>
    <n v="81"/>
    <n v="22.14"/>
    <n v="22.14"/>
    <x v="1"/>
    <n v="86"/>
    <n v="86"/>
    <n v="87"/>
    <n v="87"/>
    <x v="0"/>
    <x v="0"/>
  </r>
  <r>
    <n v="1"/>
    <x v="1"/>
    <n v="40"/>
    <x v="1"/>
    <n v="3"/>
    <n v="3"/>
    <s v="Graduate"/>
    <x v="1"/>
    <n v="1"/>
    <n v="20"/>
    <n v="20"/>
    <x v="0"/>
    <n v="0"/>
    <x v="0"/>
    <n v="0"/>
    <n v="0"/>
    <n v="0"/>
    <n v="248"/>
    <n v="248"/>
    <x v="0"/>
    <n v="136.5"/>
    <n v="78"/>
    <n v="24.6"/>
    <n v="24.6"/>
    <x v="1"/>
    <n v="90"/>
    <n v="90"/>
    <n v="99"/>
    <n v="99"/>
    <x v="0"/>
    <x v="0"/>
  </r>
  <r>
    <n v="0"/>
    <x v="0"/>
    <n v="40"/>
    <x v="1"/>
    <n v="1"/>
    <n v="1"/>
    <s v="Primary"/>
    <x v="2"/>
    <n v="1"/>
    <n v="20"/>
    <n v="20"/>
    <x v="0"/>
    <n v="0"/>
    <x v="0"/>
    <n v="0"/>
    <n v="0"/>
    <n v="0"/>
    <n v="214"/>
    <n v="214"/>
    <x v="1"/>
    <n v="109.5"/>
    <n v="69"/>
    <n v="20.32"/>
    <n v="20.32"/>
    <x v="1"/>
    <n v="80"/>
    <n v="80"/>
    <n v="81"/>
    <n v="81"/>
    <x v="0"/>
    <x v="0"/>
  </r>
  <r>
    <n v="0"/>
    <x v="0"/>
    <n v="40"/>
    <x v="1"/>
    <n v="2"/>
    <n v="2"/>
    <s v="Secondary"/>
    <x v="0"/>
    <n v="1"/>
    <n v="20"/>
    <n v="20"/>
    <x v="0"/>
    <n v="0"/>
    <x v="0"/>
    <n v="0"/>
    <n v="0"/>
    <n v="0"/>
    <n v="176"/>
    <n v="176"/>
    <x v="1"/>
    <n v="99"/>
    <n v="59"/>
    <n v="22.13"/>
    <n v="22.13"/>
    <x v="1"/>
    <n v="65"/>
    <n v="65"/>
    <n v="78"/>
    <n v="78"/>
    <x v="0"/>
    <x v="0"/>
  </r>
  <r>
    <n v="1"/>
    <x v="1"/>
    <n v="40"/>
    <x v="1"/>
    <n v="1"/>
    <n v="1"/>
    <s v="Primary"/>
    <x v="2"/>
    <n v="1"/>
    <n v="20"/>
    <n v="20"/>
    <x v="0"/>
    <n v="0"/>
    <x v="0"/>
    <n v="0"/>
    <n v="0"/>
    <n v="0"/>
    <n v="290"/>
    <n v="290"/>
    <x v="0"/>
    <n v="120"/>
    <n v="89"/>
    <n v="27.99"/>
    <n v="27.99"/>
    <x v="0"/>
    <n v="80"/>
    <n v="80"/>
    <n v="66"/>
    <n v="66"/>
    <x v="0"/>
    <x v="0"/>
  </r>
  <r>
    <n v="0"/>
    <x v="0"/>
    <n v="40"/>
    <x v="1"/>
    <n v="1"/>
    <n v="1"/>
    <s v="Primary"/>
    <x v="2"/>
    <n v="1"/>
    <n v="5"/>
    <n v="5"/>
    <x v="0"/>
    <n v="0"/>
    <x v="0"/>
    <n v="0"/>
    <n v="0"/>
    <n v="0"/>
    <n v="199"/>
    <n v="199"/>
    <x v="1"/>
    <n v="97"/>
    <n v="64.5"/>
    <n v="23.41"/>
    <n v="23.41"/>
    <x v="1"/>
    <n v="71"/>
    <n v="71"/>
    <s v="NA"/>
    <n v="81.96365524402907"/>
    <x v="0"/>
    <x v="0"/>
  </r>
  <r>
    <n v="1"/>
    <x v="1"/>
    <n v="40"/>
    <x v="1"/>
    <n v="3"/>
    <n v="3"/>
    <s v="Graduate"/>
    <x v="1"/>
    <n v="1"/>
    <n v="30"/>
    <n v="30"/>
    <x v="0"/>
    <n v="0"/>
    <x v="0"/>
    <n v="0"/>
    <n v="0"/>
    <n v="0"/>
    <n v="190"/>
    <n v="190"/>
    <x v="1"/>
    <n v="110"/>
    <n v="70"/>
    <n v="24.63"/>
    <n v="24.63"/>
    <x v="1"/>
    <n v="60"/>
    <n v="60"/>
    <n v="72"/>
    <n v="72"/>
    <x v="0"/>
    <x v="0"/>
  </r>
  <r>
    <n v="1"/>
    <x v="1"/>
    <n v="40"/>
    <x v="1"/>
    <n v="4"/>
    <n v="4"/>
    <s v="Post Graduate"/>
    <x v="3"/>
    <n v="1"/>
    <n v="40"/>
    <n v="40"/>
    <x v="0"/>
    <n v="0"/>
    <x v="0"/>
    <n v="0"/>
    <n v="0"/>
    <n v="0"/>
    <n v="334"/>
    <n v="334"/>
    <x v="0"/>
    <n v="120"/>
    <n v="77"/>
    <n v="22.66"/>
    <n v="22.66"/>
    <x v="1"/>
    <n v="82"/>
    <n v="82"/>
    <n v="92"/>
    <n v="92"/>
    <x v="0"/>
    <x v="0"/>
  </r>
  <r>
    <n v="1"/>
    <x v="1"/>
    <n v="40"/>
    <x v="1"/>
    <n v="2"/>
    <n v="2"/>
    <s v="Secondary"/>
    <x v="0"/>
    <n v="0"/>
    <n v="0"/>
    <n v="0"/>
    <x v="1"/>
    <n v="0"/>
    <x v="0"/>
    <n v="0"/>
    <n v="0"/>
    <n v="0"/>
    <n v="192"/>
    <n v="192"/>
    <x v="1"/>
    <n v="128"/>
    <n v="81"/>
    <n v="25.41"/>
    <n v="25.41"/>
    <x v="0"/>
    <n v="75"/>
    <n v="75"/>
    <n v="76"/>
    <n v="76"/>
    <x v="0"/>
    <x v="0"/>
  </r>
  <r>
    <n v="1"/>
    <x v="1"/>
    <n v="40"/>
    <x v="1"/>
    <n v="4"/>
    <n v="4"/>
    <s v="Post Graduate"/>
    <x v="3"/>
    <n v="0"/>
    <n v="0"/>
    <n v="0"/>
    <x v="1"/>
    <n v="0"/>
    <x v="0"/>
    <n v="0"/>
    <n v="1"/>
    <n v="0"/>
    <n v="240"/>
    <n v="240"/>
    <x v="1"/>
    <n v="150"/>
    <n v="98"/>
    <n v="40.380000000000003"/>
    <n v="40.380000000000003"/>
    <x v="2"/>
    <n v="70"/>
    <n v="70"/>
    <n v="74"/>
    <n v="74"/>
    <x v="0"/>
    <x v="0"/>
  </r>
  <r>
    <n v="0"/>
    <x v="0"/>
    <n v="40"/>
    <x v="1"/>
    <n v="2"/>
    <n v="2"/>
    <s v="Secondary"/>
    <x v="0"/>
    <n v="0"/>
    <n v="0"/>
    <n v="0"/>
    <x v="1"/>
    <n v="0"/>
    <x v="0"/>
    <n v="0"/>
    <n v="0"/>
    <n v="0"/>
    <n v="202"/>
    <n v="202"/>
    <x v="1"/>
    <n v="139"/>
    <n v="85"/>
    <n v="22.01"/>
    <n v="22.01"/>
    <x v="1"/>
    <n v="85"/>
    <n v="85"/>
    <n v="64"/>
    <n v="64"/>
    <x v="0"/>
    <x v="0"/>
  </r>
  <r>
    <n v="1"/>
    <x v="1"/>
    <n v="40"/>
    <x v="1"/>
    <n v="1"/>
    <n v="1"/>
    <s v="Primary"/>
    <x v="2"/>
    <n v="1"/>
    <n v="20"/>
    <n v="20"/>
    <x v="0"/>
    <n v="0"/>
    <x v="0"/>
    <n v="0"/>
    <n v="0"/>
    <n v="0"/>
    <n v="191"/>
    <n v="191"/>
    <x v="1"/>
    <n v="130.5"/>
    <n v="63"/>
    <n v="23.92"/>
    <n v="23.92"/>
    <x v="1"/>
    <n v="79"/>
    <n v="79"/>
    <n v="66"/>
    <n v="66"/>
    <x v="0"/>
    <x v="0"/>
  </r>
  <r>
    <n v="1"/>
    <x v="1"/>
    <n v="40"/>
    <x v="1"/>
    <n v="2"/>
    <n v="2"/>
    <s v="Secondary"/>
    <x v="0"/>
    <n v="1"/>
    <n v="20"/>
    <n v="20"/>
    <x v="0"/>
    <n v="0"/>
    <x v="0"/>
    <n v="0"/>
    <n v="0"/>
    <n v="0"/>
    <n v="211"/>
    <n v="211"/>
    <x v="1"/>
    <n v="117"/>
    <n v="76"/>
    <n v="25.74"/>
    <n v="25.74"/>
    <x v="0"/>
    <n v="70"/>
    <n v="70"/>
    <n v="79"/>
    <n v="79"/>
    <x v="0"/>
    <x v="0"/>
  </r>
  <r>
    <n v="0"/>
    <x v="0"/>
    <n v="40"/>
    <x v="1"/>
    <n v="1"/>
    <n v="1"/>
    <s v="Primary"/>
    <x v="2"/>
    <n v="0"/>
    <n v="0"/>
    <n v="0"/>
    <x v="1"/>
    <n v="0"/>
    <x v="0"/>
    <n v="0"/>
    <n v="0"/>
    <n v="0"/>
    <n v="190"/>
    <n v="190"/>
    <x v="1"/>
    <n v="122"/>
    <n v="78"/>
    <n v="28.18"/>
    <n v="28.18"/>
    <x v="0"/>
    <n v="86"/>
    <n v="86"/>
    <n v="87"/>
    <n v="87"/>
    <x v="0"/>
    <x v="0"/>
  </r>
  <r>
    <n v="1"/>
    <x v="1"/>
    <n v="40"/>
    <x v="1"/>
    <n v="4"/>
    <n v="4"/>
    <s v="Post Graduate"/>
    <x v="3"/>
    <n v="1"/>
    <n v="20"/>
    <n v="20"/>
    <x v="0"/>
    <n v="0"/>
    <x v="0"/>
    <n v="0"/>
    <n v="0"/>
    <n v="0"/>
    <n v="242"/>
    <n v="242"/>
    <x v="0"/>
    <n v="115"/>
    <n v="74"/>
    <n v="23.09"/>
    <n v="23.09"/>
    <x v="1"/>
    <n v="68"/>
    <n v="68"/>
    <n v="80"/>
    <n v="80"/>
    <x v="0"/>
    <x v="0"/>
  </r>
  <r>
    <n v="0"/>
    <x v="0"/>
    <n v="40"/>
    <x v="1"/>
    <n v="2"/>
    <n v="2"/>
    <s v="Secondary"/>
    <x v="0"/>
    <n v="0"/>
    <n v="0"/>
    <n v="0"/>
    <x v="1"/>
    <s v="NA"/>
    <x v="0"/>
    <n v="0"/>
    <n v="0"/>
    <n v="0"/>
    <n v="157"/>
    <n v="157"/>
    <x v="1"/>
    <n v="131"/>
    <n v="85"/>
    <n v="27.38"/>
    <n v="27.38"/>
    <x v="0"/>
    <n v="95"/>
    <n v="95"/>
    <n v="78"/>
    <n v="78"/>
    <x v="1"/>
    <x v="0"/>
  </r>
  <r>
    <n v="0"/>
    <x v="0"/>
    <n v="40"/>
    <x v="1"/>
    <s v="NA"/>
    <n v="1"/>
    <s v="Primary"/>
    <x v="2"/>
    <n v="1"/>
    <n v="9"/>
    <n v="9"/>
    <x v="0"/>
    <n v="0"/>
    <x v="0"/>
    <n v="0"/>
    <n v="0"/>
    <n v="0"/>
    <n v="262"/>
    <n v="262"/>
    <x v="0"/>
    <n v="97"/>
    <n v="71"/>
    <n v="22.14"/>
    <n v="22.14"/>
    <x v="1"/>
    <n v="72"/>
    <n v="72"/>
    <n v="80"/>
    <n v="80"/>
    <x v="0"/>
    <x v="0"/>
  </r>
  <r>
    <n v="1"/>
    <x v="1"/>
    <n v="40"/>
    <x v="1"/>
    <n v="2"/>
    <n v="2"/>
    <s v="Secondary"/>
    <x v="0"/>
    <n v="1"/>
    <n v="5"/>
    <n v="5"/>
    <x v="0"/>
    <n v="0"/>
    <x v="0"/>
    <n v="0"/>
    <n v="0"/>
    <n v="0"/>
    <n v="193"/>
    <n v="193"/>
    <x v="1"/>
    <n v="130"/>
    <n v="86.5"/>
    <n v="23.48"/>
    <n v="23.48"/>
    <x v="1"/>
    <n v="88"/>
    <n v="88"/>
    <n v="78"/>
    <n v="78"/>
    <x v="0"/>
    <x v="0"/>
  </r>
  <r>
    <n v="1"/>
    <x v="1"/>
    <n v="40"/>
    <x v="1"/>
    <n v="1"/>
    <n v="1"/>
    <s v="Primary"/>
    <x v="2"/>
    <n v="1"/>
    <n v="43"/>
    <n v="43"/>
    <x v="0"/>
    <n v="0"/>
    <x v="0"/>
    <n v="0"/>
    <n v="0"/>
    <n v="0"/>
    <n v="325"/>
    <n v="325"/>
    <x v="0"/>
    <n v="112"/>
    <n v="67"/>
    <n v="25.09"/>
    <n v="25.09"/>
    <x v="0"/>
    <n v="78"/>
    <n v="78"/>
    <n v="94"/>
    <n v="94"/>
    <x v="0"/>
    <x v="0"/>
  </r>
  <r>
    <n v="0"/>
    <x v="0"/>
    <n v="40"/>
    <x v="1"/>
    <n v="2"/>
    <n v="2"/>
    <s v="Secondary"/>
    <x v="0"/>
    <n v="1"/>
    <n v="20"/>
    <n v="20"/>
    <x v="0"/>
    <n v="0"/>
    <x v="0"/>
    <n v="0"/>
    <n v="0"/>
    <n v="0"/>
    <n v="213"/>
    <n v="213"/>
    <x v="1"/>
    <n v="130"/>
    <n v="80"/>
    <n v="19.98"/>
    <n v="19.98"/>
    <x v="1"/>
    <n v="96"/>
    <n v="96"/>
    <n v="76"/>
    <n v="76"/>
    <x v="0"/>
    <x v="0"/>
  </r>
  <r>
    <n v="0"/>
    <x v="0"/>
    <n v="40"/>
    <x v="1"/>
    <n v="3"/>
    <n v="3"/>
    <s v="Graduate"/>
    <x v="1"/>
    <n v="0"/>
    <n v="0"/>
    <n v="0"/>
    <x v="1"/>
    <n v="0"/>
    <x v="0"/>
    <n v="0"/>
    <n v="1"/>
    <n v="0"/>
    <n v="202"/>
    <n v="202"/>
    <x v="1"/>
    <n v="158"/>
    <n v="103"/>
    <n v="28.35"/>
    <n v="28.35"/>
    <x v="0"/>
    <n v="125"/>
    <n v="125"/>
    <n v="80"/>
    <n v="80"/>
    <x v="0"/>
    <x v="0"/>
  </r>
  <r>
    <n v="0"/>
    <x v="0"/>
    <n v="40"/>
    <x v="1"/>
    <n v="3"/>
    <n v="3"/>
    <s v="Graduate"/>
    <x v="1"/>
    <n v="0"/>
    <n v="0"/>
    <n v="0"/>
    <x v="1"/>
    <n v="0"/>
    <x v="0"/>
    <n v="0"/>
    <n v="0"/>
    <n v="0"/>
    <n v="220"/>
    <n v="220"/>
    <x v="1"/>
    <n v="136"/>
    <n v="80.5"/>
    <n v="22.72"/>
    <n v="22.72"/>
    <x v="1"/>
    <n v="80"/>
    <n v="80"/>
    <n v="70"/>
    <n v="70"/>
    <x v="0"/>
    <x v="0"/>
  </r>
  <r>
    <n v="0"/>
    <x v="0"/>
    <n v="40"/>
    <x v="1"/>
    <n v="2"/>
    <n v="2"/>
    <s v="Secondary"/>
    <x v="0"/>
    <n v="1"/>
    <n v="20"/>
    <n v="20"/>
    <x v="0"/>
    <n v="0"/>
    <x v="0"/>
    <n v="0"/>
    <n v="0"/>
    <n v="0"/>
    <n v="221"/>
    <n v="221"/>
    <x v="1"/>
    <n v="93"/>
    <n v="62.5"/>
    <n v="18.84"/>
    <n v="18.84"/>
    <x v="1"/>
    <n v="64"/>
    <n v="64"/>
    <n v="73"/>
    <n v="73"/>
    <x v="0"/>
    <x v="0"/>
  </r>
  <r>
    <n v="1"/>
    <x v="1"/>
    <n v="40"/>
    <x v="1"/>
    <n v="3"/>
    <n v="3"/>
    <s v="Graduate"/>
    <x v="1"/>
    <n v="0"/>
    <n v="0"/>
    <n v="0"/>
    <x v="1"/>
    <n v="0"/>
    <x v="0"/>
    <n v="0"/>
    <n v="0"/>
    <n v="0"/>
    <n v="213"/>
    <n v="213"/>
    <x v="1"/>
    <n v="149"/>
    <n v="83"/>
    <n v="26.68"/>
    <n v="26.68"/>
    <x v="0"/>
    <n v="69"/>
    <n v="69"/>
    <n v="94"/>
    <n v="94"/>
    <x v="0"/>
    <x v="0"/>
  </r>
  <r>
    <n v="1"/>
    <x v="1"/>
    <n v="40"/>
    <x v="1"/>
    <n v="1"/>
    <n v="1"/>
    <s v="Primary"/>
    <x v="2"/>
    <n v="1"/>
    <n v="40"/>
    <n v="40"/>
    <x v="0"/>
    <n v="0"/>
    <x v="0"/>
    <n v="0"/>
    <n v="0"/>
    <n v="0"/>
    <n v="169"/>
    <n v="169"/>
    <x v="1"/>
    <n v="127"/>
    <n v="81"/>
    <n v="25.82"/>
    <n v="25.82"/>
    <x v="0"/>
    <n v="80"/>
    <n v="80"/>
    <n v="83"/>
    <n v="83"/>
    <x v="0"/>
    <x v="0"/>
  </r>
  <r>
    <n v="0"/>
    <x v="0"/>
    <n v="40"/>
    <x v="1"/>
    <n v="2"/>
    <n v="2"/>
    <s v="Secondary"/>
    <x v="0"/>
    <n v="1"/>
    <n v="9"/>
    <n v="9"/>
    <x v="0"/>
    <n v="0"/>
    <x v="0"/>
    <n v="0"/>
    <n v="0"/>
    <n v="0"/>
    <n v="207"/>
    <n v="207"/>
    <x v="1"/>
    <n v="124"/>
    <n v="78"/>
    <n v="22.9"/>
    <n v="22.9"/>
    <x v="1"/>
    <n v="46"/>
    <n v="46"/>
    <n v="66"/>
    <n v="66"/>
    <x v="0"/>
    <x v="0"/>
  </r>
  <r>
    <n v="1"/>
    <x v="1"/>
    <n v="40"/>
    <x v="1"/>
    <n v="3"/>
    <n v="3"/>
    <s v="Graduate"/>
    <x v="1"/>
    <n v="0"/>
    <n v="0"/>
    <n v="0"/>
    <x v="1"/>
    <n v="0"/>
    <x v="0"/>
    <n v="0"/>
    <n v="1"/>
    <n v="0"/>
    <n v="185"/>
    <n v="185"/>
    <x v="1"/>
    <n v="141"/>
    <n v="98"/>
    <n v="25.6"/>
    <n v="25.6"/>
    <x v="0"/>
    <n v="67"/>
    <n v="67"/>
    <n v="72"/>
    <n v="72"/>
    <x v="0"/>
    <x v="0"/>
  </r>
  <r>
    <n v="0"/>
    <x v="0"/>
    <n v="41"/>
    <x v="1"/>
    <n v="3"/>
    <n v="3"/>
    <s v="Graduate"/>
    <x v="1"/>
    <n v="0"/>
    <n v="0"/>
    <n v="0"/>
    <x v="1"/>
    <n v="1"/>
    <x v="1"/>
    <n v="0"/>
    <n v="1"/>
    <n v="0"/>
    <n v="332"/>
    <n v="332"/>
    <x v="0"/>
    <n v="124"/>
    <n v="88"/>
    <n v="31.31"/>
    <n v="31.31"/>
    <x v="2"/>
    <n v="65"/>
    <n v="65"/>
    <n v="84"/>
    <n v="84"/>
    <x v="0"/>
    <x v="0"/>
  </r>
  <r>
    <n v="1"/>
    <x v="1"/>
    <n v="41"/>
    <x v="1"/>
    <n v="2"/>
    <n v="2"/>
    <s v="Secondary"/>
    <x v="0"/>
    <n v="0"/>
    <n v="0"/>
    <n v="0"/>
    <x v="1"/>
    <n v="0"/>
    <x v="0"/>
    <n v="0"/>
    <n v="0"/>
    <n v="0"/>
    <n v="195"/>
    <n v="195"/>
    <x v="1"/>
    <n v="139"/>
    <n v="88"/>
    <n v="26.88"/>
    <n v="26.88"/>
    <x v="0"/>
    <n v="85"/>
    <n v="85"/>
    <n v="65"/>
    <n v="65"/>
    <x v="0"/>
    <x v="0"/>
  </r>
  <r>
    <n v="0"/>
    <x v="0"/>
    <n v="41"/>
    <x v="1"/>
    <n v="2"/>
    <n v="2"/>
    <s v="Secondary"/>
    <x v="0"/>
    <n v="1"/>
    <n v="1"/>
    <n v="1"/>
    <x v="0"/>
    <n v="0"/>
    <x v="0"/>
    <n v="0"/>
    <n v="0"/>
    <n v="0"/>
    <n v="237"/>
    <n v="237"/>
    <x v="1"/>
    <n v="122"/>
    <n v="78"/>
    <n v="23.28"/>
    <n v="23.28"/>
    <x v="1"/>
    <n v="75"/>
    <n v="75"/>
    <n v="74"/>
    <n v="74"/>
    <x v="0"/>
    <x v="0"/>
  </r>
  <r>
    <n v="0"/>
    <x v="0"/>
    <n v="41"/>
    <x v="1"/>
    <n v="1"/>
    <n v="1"/>
    <s v="Primary"/>
    <x v="2"/>
    <n v="1"/>
    <n v="20"/>
    <n v="20"/>
    <x v="0"/>
    <n v="0"/>
    <x v="0"/>
    <n v="0"/>
    <n v="1"/>
    <n v="0"/>
    <n v="189"/>
    <n v="189"/>
    <x v="1"/>
    <n v="150"/>
    <n v="106"/>
    <n v="33.799999999999997"/>
    <n v="33.799999999999997"/>
    <x v="2"/>
    <n v="85"/>
    <n v="85"/>
    <n v="75"/>
    <n v="75"/>
    <x v="0"/>
    <x v="0"/>
  </r>
  <r>
    <n v="1"/>
    <x v="1"/>
    <n v="41"/>
    <x v="1"/>
    <n v="2"/>
    <n v="2"/>
    <s v="Secondary"/>
    <x v="0"/>
    <n v="1"/>
    <n v="43"/>
    <n v="43"/>
    <x v="0"/>
    <n v="0"/>
    <x v="0"/>
    <n v="0"/>
    <n v="1"/>
    <n v="0"/>
    <n v="274"/>
    <n v="274"/>
    <x v="0"/>
    <n v="152"/>
    <n v="90"/>
    <n v="30.58"/>
    <n v="30.58"/>
    <x v="2"/>
    <n v="85"/>
    <n v="85"/>
    <n v="65"/>
    <n v="65"/>
    <x v="0"/>
    <x v="0"/>
  </r>
  <r>
    <n v="1"/>
    <x v="1"/>
    <n v="41"/>
    <x v="1"/>
    <n v="4"/>
    <n v="4"/>
    <s v="Post Graduate"/>
    <x v="3"/>
    <n v="1"/>
    <n v="43"/>
    <n v="43"/>
    <x v="0"/>
    <n v="0"/>
    <x v="0"/>
    <n v="0"/>
    <n v="0"/>
    <n v="0"/>
    <n v="252"/>
    <n v="252"/>
    <x v="0"/>
    <n v="124"/>
    <n v="86"/>
    <n v="28.56"/>
    <n v="28.56"/>
    <x v="0"/>
    <n v="100"/>
    <n v="100"/>
    <n v="70"/>
    <n v="70"/>
    <x v="0"/>
    <x v="0"/>
  </r>
  <r>
    <n v="1"/>
    <x v="1"/>
    <n v="41"/>
    <x v="1"/>
    <n v="2"/>
    <n v="2"/>
    <s v="Secondary"/>
    <x v="0"/>
    <n v="0"/>
    <n v="0"/>
    <n v="0"/>
    <x v="1"/>
    <n v="0"/>
    <x v="0"/>
    <n v="0"/>
    <n v="0"/>
    <n v="0"/>
    <n v="274"/>
    <n v="274"/>
    <x v="0"/>
    <n v="121"/>
    <n v="61.5"/>
    <n v="25.42"/>
    <n v="25.42"/>
    <x v="0"/>
    <n v="80"/>
    <n v="80"/>
    <n v="76"/>
    <n v="76"/>
    <x v="0"/>
    <x v="0"/>
  </r>
  <r>
    <n v="0"/>
    <x v="0"/>
    <n v="41"/>
    <x v="1"/>
    <n v="1"/>
    <n v="1"/>
    <s v="Primary"/>
    <x v="2"/>
    <n v="0"/>
    <n v="0"/>
    <n v="0"/>
    <x v="1"/>
    <n v="0"/>
    <x v="0"/>
    <n v="0"/>
    <n v="1"/>
    <n v="0"/>
    <n v="265"/>
    <n v="265"/>
    <x v="0"/>
    <n v="136"/>
    <n v="98"/>
    <n v="42.15"/>
    <n v="42.15"/>
    <x v="2"/>
    <n v="90"/>
    <n v="90"/>
    <s v="NA"/>
    <n v="81.96365524402907"/>
    <x v="0"/>
    <x v="0"/>
  </r>
  <r>
    <n v="1"/>
    <x v="1"/>
    <n v="41"/>
    <x v="1"/>
    <n v="2"/>
    <n v="2"/>
    <s v="Secondary"/>
    <x v="0"/>
    <n v="0"/>
    <n v="0"/>
    <n v="0"/>
    <x v="1"/>
    <n v="0"/>
    <x v="0"/>
    <n v="0"/>
    <n v="0"/>
    <n v="0"/>
    <n v="223"/>
    <n v="223"/>
    <x v="1"/>
    <n v="112.5"/>
    <n v="80"/>
    <n v="29.44"/>
    <n v="29.44"/>
    <x v="0"/>
    <n v="75"/>
    <n v="75"/>
    <n v="58"/>
    <n v="58"/>
    <x v="0"/>
    <x v="0"/>
  </r>
  <r>
    <n v="0"/>
    <x v="0"/>
    <n v="41"/>
    <x v="1"/>
    <n v="2"/>
    <n v="2"/>
    <s v="Secondary"/>
    <x v="0"/>
    <n v="0"/>
    <n v="0"/>
    <n v="0"/>
    <x v="1"/>
    <n v="0"/>
    <x v="0"/>
    <n v="0"/>
    <n v="0"/>
    <n v="0"/>
    <n v="213"/>
    <n v="213"/>
    <x v="1"/>
    <n v="112"/>
    <n v="73"/>
    <n v="24.81"/>
    <n v="24.81"/>
    <x v="1"/>
    <n v="62"/>
    <n v="62"/>
    <n v="74"/>
    <n v="74"/>
    <x v="0"/>
    <x v="0"/>
  </r>
  <r>
    <n v="0"/>
    <x v="0"/>
    <n v="41"/>
    <x v="1"/>
    <n v="3"/>
    <n v="3"/>
    <s v="Graduate"/>
    <x v="1"/>
    <n v="1"/>
    <n v="30"/>
    <n v="30"/>
    <x v="0"/>
    <n v="0"/>
    <x v="0"/>
    <n v="0"/>
    <n v="1"/>
    <n v="0"/>
    <n v="187"/>
    <n v="187"/>
    <x v="1"/>
    <n v="154"/>
    <n v="100"/>
    <n v="20.5"/>
    <n v="20.5"/>
    <x v="1"/>
    <n v="66"/>
    <n v="66"/>
    <n v="78"/>
    <n v="78"/>
    <x v="0"/>
    <x v="1"/>
  </r>
  <r>
    <n v="1"/>
    <x v="1"/>
    <n v="41"/>
    <x v="1"/>
    <n v="4"/>
    <n v="4"/>
    <s v="Post Graduate"/>
    <x v="3"/>
    <n v="1"/>
    <n v="20"/>
    <n v="20"/>
    <x v="0"/>
    <n v="1"/>
    <x v="1"/>
    <n v="0"/>
    <n v="1"/>
    <n v="0"/>
    <n v="244"/>
    <n v="244"/>
    <x v="0"/>
    <n v="139"/>
    <n v="86"/>
    <n v="30.77"/>
    <n v="30.77"/>
    <x v="2"/>
    <n v="60"/>
    <n v="60"/>
    <n v="67"/>
    <n v="67"/>
    <x v="0"/>
    <x v="0"/>
  </r>
  <r>
    <n v="1"/>
    <x v="1"/>
    <n v="41"/>
    <x v="1"/>
    <n v="1"/>
    <n v="1"/>
    <s v="Primary"/>
    <x v="2"/>
    <n v="1"/>
    <n v="40"/>
    <n v="40"/>
    <x v="0"/>
    <n v="0"/>
    <x v="0"/>
    <n v="0"/>
    <n v="0"/>
    <n v="0"/>
    <n v="239"/>
    <n v="239"/>
    <x v="1"/>
    <n v="119.5"/>
    <n v="70"/>
    <n v="29.79"/>
    <n v="29.79"/>
    <x v="0"/>
    <n v="70"/>
    <n v="70"/>
    <s v="NA"/>
    <n v="81.96365524402907"/>
    <x v="0"/>
    <x v="0"/>
  </r>
  <r>
    <n v="1"/>
    <x v="1"/>
    <n v="41"/>
    <x v="1"/>
    <n v="2"/>
    <n v="2"/>
    <s v="Secondary"/>
    <x v="0"/>
    <n v="0"/>
    <n v="0"/>
    <n v="0"/>
    <x v="1"/>
    <n v="0"/>
    <x v="0"/>
    <n v="0"/>
    <n v="0"/>
    <n v="0"/>
    <n v="245"/>
    <n v="245"/>
    <x v="0"/>
    <n v="134"/>
    <n v="98"/>
    <n v="24.26"/>
    <n v="24.26"/>
    <x v="1"/>
    <n v="85"/>
    <n v="85"/>
    <n v="78"/>
    <n v="78"/>
    <x v="0"/>
    <x v="0"/>
  </r>
  <r>
    <n v="1"/>
    <x v="1"/>
    <n v="41"/>
    <x v="1"/>
    <n v="2"/>
    <n v="2"/>
    <s v="Secondary"/>
    <x v="0"/>
    <n v="1"/>
    <n v="40"/>
    <n v="40"/>
    <x v="0"/>
    <n v="0"/>
    <x v="0"/>
    <n v="0"/>
    <n v="0"/>
    <n v="0"/>
    <n v="310"/>
    <n v="310"/>
    <x v="0"/>
    <n v="117.5"/>
    <n v="80"/>
    <n v="26.74"/>
    <n v="26.74"/>
    <x v="0"/>
    <n v="80"/>
    <n v="80"/>
    <n v="78"/>
    <n v="78"/>
    <x v="0"/>
    <x v="0"/>
  </r>
  <r>
    <n v="1"/>
    <x v="1"/>
    <n v="41"/>
    <x v="1"/>
    <n v="2"/>
    <n v="2"/>
    <s v="Secondary"/>
    <x v="0"/>
    <n v="0"/>
    <n v="0"/>
    <n v="0"/>
    <x v="1"/>
    <n v="0"/>
    <x v="0"/>
    <n v="0"/>
    <n v="0"/>
    <n v="0"/>
    <n v="173"/>
    <n v="173"/>
    <x v="1"/>
    <n v="130"/>
    <n v="80"/>
    <n v="28.39"/>
    <n v="28.39"/>
    <x v="0"/>
    <n v="65"/>
    <n v="65"/>
    <n v="61"/>
    <n v="61"/>
    <x v="0"/>
    <x v="0"/>
  </r>
  <r>
    <n v="1"/>
    <x v="1"/>
    <n v="41"/>
    <x v="1"/>
    <n v="2"/>
    <n v="2"/>
    <s v="Secondary"/>
    <x v="0"/>
    <n v="0"/>
    <n v="0"/>
    <n v="0"/>
    <x v="1"/>
    <n v="0"/>
    <x v="0"/>
    <n v="0"/>
    <n v="1"/>
    <n v="0"/>
    <n v="270"/>
    <n v="270"/>
    <x v="0"/>
    <n v="157"/>
    <n v="101"/>
    <n v="33.11"/>
    <n v="33.11"/>
    <x v="2"/>
    <n v="75"/>
    <n v="75"/>
    <n v="75"/>
    <n v="75"/>
    <x v="0"/>
    <x v="0"/>
  </r>
  <r>
    <n v="0"/>
    <x v="0"/>
    <n v="41"/>
    <x v="1"/>
    <n v="4"/>
    <n v="4"/>
    <s v="Post Graduate"/>
    <x v="3"/>
    <n v="1"/>
    <n v="15"/>
    <n v="15"/>
    <x v="0"/>
    <n v="0"/>
    <x v="0"/>
    <n v="0"/>
    <n v="0"/>
    <n v="0"/>
    <n v="207"/>
    <n v="207"/>
    <x v="1"/>
    <n v="111"/>
    <n v="60"/>
    <n v="18.48"/>
    <n v="18.48"/>
    <x v="3"/>
    <n v="60"/>
    <n v="60"/>
    <n v="76"/>
    <n v="76"/>
    <x v="0"/>
    <x v="0"/>
  </r>
  <r>
    <n v="1"/>
    <x v="1"/>
    <n v="41"/>
    <x v="1"/>
    <n v="1"/>
    <n v="1"/>
    <s v="Primary"/>
    <x v="2"/>
    <n v="1"/>
    <n v="20"/>
    <n v="20"/>
    <x v="0"/>
    <n v="0"/>
    <x v="0"/>
    <n v="0"/>
    <n v="0"/>
    <n v="0"/>
    <n v="238"/>
    <n v="238"/>
    <x v="1"/>
    <n v="128"/>
    <n v="86"/>
    <n v="26.09"/>
    <n v="26.09"/>
    <x v="0"/>
    <n v="80"/>
    <n v="80"/>
    <n v="72"/>
    <n v="72"/>
    <x v="0"/>
    <x v="0"/>
  </r>
  <r>
    <n v="1"/>
    <x v="1"/>
    <n v="41"/>
    <x v="1"/>
    <n v="1"/>
    <n v="1"/>
    <s v="Primary"/>
    <x v="2"/>
    <n v="1"/>
    <n v="30"/>
    <n v="30"/>
    <x v="0"/>
    <n v="0"/>
    <x v="0"/>
    <n v="0"/>
    <n v="0"/>
    <n v="0"/>
    <n v="198"/>
    <n v="198"/>
    <x v="1"/>
    <n v="106"/>
    <n v="71"/>
    <n v="21.51"/>
    <n v="21.51"/>
    <x v="1"/>
    <n v="85"/>
    <n v="85"/>
    <n v="84"/>
    <n v="84"/>
    <x v="0"/>
    <x v="0"/>
  </r>
  <r>
    <n v="1"/>
    <x v="1"/>
    <n v="41"/>
    <x v="1"/>
    <n v="3"/>
    <n v="3"/>
    <s v="Graduate"/>
    <x v="1"/>
    <n v="0"/>
    <n v="0"/>
    <n v="0"/>
    <x v="1"/>
    <n v="0"/>
    <x v="0"/>
    <n v="0"/>
    <n v="0"/>
    <n v="0"/>
    <n v="215"/>
    <n v="215"/>
    <x v="1"/>
    <n v="113"/>
    <n v="68"/>
    <n v="25.13"/>
    <n v="25.13"/>
    <x v="0"/>
    <n v="65"/>
    <n v="65"/>
    <n v="87"/>
    <n v="87"/>
    <x v="0"/>
    <x v="0"/>
  </r>
  <r>
    <n v="0"/>
    <x v="0"/>
    <n v="41"/>
    <x v="1"/>
    <n v="2"/>
    <n v="2"/>
    <s v="Secondary"/>
    <x v="0"/>
    <n v="0"/>
    <n v="0"/>
    <n v="0"/>
    <x v="1"/>
    <n v="0"/>
    <x v="0"/>
    <n v="0"/>
    <n v="0"/>
    <n v="0"/>
    <n v="277"/>
    <n v="277"/>
    <x v="0"/>
    <n v="113.5"/>
    <n v="75"/>
    <n v="29.73"/>
    <n v="29.73"/>
    <x v="0"/>
    <n v="63"/>
    <n v="63"/>
    <n v="90"/>
    <n v="90"/>
    <x v="0"/>
    <x v="0"/>
  </r>
  <r>
    <n v="0"/>
    <x v="0"/>
    <n v="41"/>
    <x v="1"/>
    <n v="1"/>
    <n v="1"/>
    <s v="Primary"/>
    <x v="2"/>
    <n v="0"/>
    <n v="0"/>
    <n v="0"/>
    <x v="1"/>
    <n v="0"/>
    <x v="0"/>
    <n v="0"/>
    <n v="0"/>
    <n v="0"/>
    <n v="179"/>
    <n v="179"/>
    <x v="1"/>
    <n v="116"/>
    <n v="67"/>
    <n v="18.579999999999998"/>
    <n v="18.579999999999998"/>
    <x v="1"/>
    <n v="73"/>
    <n v="73"/>
    <n v="68"/>
    <n v="68"/>
    <x v="0"/>
    <x v="0"/>
  </r>
  <r>
    <n v="1"/>
    <x v="1"/>
    <n v="41"/>
    <x v="1"/>
    <n v="2"/>
    <n v="2"/>
    <s v="Secondary"/>
    <x v="0"/>
    <n v="0"/>
    <n v="0"/>
    <n v="0"/>
    <x v="1"/>
    <n v="0"/>
    <x v="0"/>
    <n v="0"/>
    <n v="0"/>
    <n v="0"/>
    <n v="218"/>
    <n v="218"/>
    <x v="1"/>
    <n v="137"/>
    <n v="86"/>
    <n v="25.52"/>
    <n v="25.52"/>
    <x v="0"/>
    <n v="60"/>
    <n v="60"/>
    <n v="88"/>
    <n v="88"/>
    <x v="0"/>
    <x v="0"/>
  </r>
  <r>
    <n v="0"/>
    <x v="0"/>
    <n v="41"/>
    <x v="1"/>
    <n v="2"/>
    <n v="2"/>
    <s v="Secondary"/>
    <x v="0"/>
    <n v="1"/>
    <n v="20"/>
    <n v="20"/>
    <x v="0"/>
    <n v="0"/>
    <x v="0"/>
    <n v="0"/>
    <n v="0"/>
    <n v="0"/>
    <n v="208"/>
    <n v="208"/>
    <x v="1"/>
    <n v="119"/>
    <n v="82"/>
    <n v="25.25"/>
    <n v="25.25"/>
    <x v="0"/>
    <n v="73"/>
    <n v="73"/>
    <s v="NA"/>
    <n v="81.96365524402907"/>
    <x v="0"/>
    <x v="0"/>
  </r>
  <r>
    <n v="0"/>
    <x v="0"/>
    <n v="41"/>
    <x v="1"/>
    <n v="2"/>
    <n v="2"/>
    <s v="Secondary"/>
    <x v="0"/>
    <n v="1"/>
    <n v="5"/>
    <n v="5"/>
    <x v="0"/>
    <n v="0"/>
    <x v="0"/>
    <n v="0"/>
    <n v="0"/>
    <n v="0"/>
    <n v="220"/>
    <n v="220"/>
    <x v="1"/>
    <n v="108.5"/>
    <n v="80"/>
    <n v="20.18"/>
    <n v="20.18"/>
    <x v="1"/>
    <n v="94"/>
    <n v="94"/>
    <s v="NA"/>
    <n v="81.96365524402907"/>
    <x v="0"/>
    <x v="0"/>
  </r>
  <r>
    <n v="0"/>
    <x v="0"/>
    <n v="41"/>
    <x v="1"/>
    <n v="3"/>
    <n v="3"/>
    <s v="Graduate"/>
    <x v="1"/>
    <n v="1"/>
    <n v="11"/>
    <n v="11"/>
    <x v="0"/>
    <n v="0"/>
    <x v="0"/>
    <n v="0"/>
    <n v="0"/>
    <n v="0"/>
    <n v="201"/>
    <n v="201"/>
    <x v="1"/>
    <n v="108"/>
    <n v="71"/>
    <n v="20.47"/>
    <n v="20.47"/>
    <x v="1"/>
    <n v="76"/>
    <n v="76"/>
    <n v="75"/>
    <n v="75"/>
    <x v="0"/>
    <x v="0"/>
  </r>
  <r>
    <n v="0"/>
    <x v="0"/>
    <n v="41"/>
    <x v="1"/>
    <n v="2"/>
    <n v="2"/>
    <s v="Secondary"/>
    <x v="0"/>
    <n v="0"/>
    <n v="0"/>
    <n v="0"/>
    <x v="1"/>
    <n v="0"/>
    <x v="0"/>
    <n v="0"/>
    <n v="0"/>
    <n v="0"/>
    <n v="237"/>
    <n v="237"/>
    <x v="1"/>
    <n v="125"/>
    <n v="83"/>
    <n v="24.56"/>
    <n v="24.56"/>
    <x v="1"/>
    <n v="73"/>
    <n v="73"/>
    <n v="61"/>
    <n v="61"/>
    <x v="0"/>
    <x v="0"/>
  </r>
  <r>
    <n v="0"/>
    <x v="0"/>
    <n v="41"/>
    <x v="1"/>
    <n v="1"/>
    <n v="1"/>
    <s v="Primary"/>
    <x v="2"/>
    <n v="1"/>
    <n v="4"/>
    <n v="4"/>
    <x v="0"/>
    <n v="0"/>
    <x v="0"/>
    <n v="0"/>
    <n v="0"/>
    <n v="0"/>
    <n v="176"/>
    <n v="176"/>
    <x v="1"/>
    <n v="113"/>
    <n v="75"/>
    <n v="22.29"/>
    <n v="22.29"/>
    <x v="1"/>
    <n v="80"/>
    <n v="80"/>
    <n v="55"/>
    <n v="55"/>
    <x v="0"/>
    <x v="0"/>
  </r>
  <r>
    <n v="1"/>
    <x v="1"/>
    <n v="41"/>
    <x v="1"/>
    <n v="2"/>
    <n v="2"/>
    <s v="Secondary"/>
    <x v="0"/>
    <n v="1"/>
    <n v="10"/>
    <n v="10"/>
    <x v="0"/>
    <n v="0"/>
    <x v="0"/>
    <n v="0"/>
    <n v="0"/>
    <n v="0"/>
    <n v="210"/>
    <n v="210"/>
    <x v="1"/>
    <n v="121.5"/>
    <n v="82.5"/>
    <n v="23.27"/>
    <n v="23.27"/>
    <x v="1"/>
    <n v="78"/>
    <n v="78"/>
    <n v="89"/>
    <n v="89"/>
    <x v="0"/>
    <x v="0"/>
  </r>
  <r>
    <n v="0"/>
    <x v="0"/>
    <n v="41"/>
    <x v="1"/>
    <n v="1"/>
    <n v="1"/>
    <s v="Primary"/>
    <x v="2"/>
    <n v="1"/>
    <n v="5"/>
    <n v="5"/>
    <x v="0"/>
    <n v="0"/>
    <x v="0"/>
    <n v="0"/>
    <n v="0"/>
    <n v="0"/>
    <n v="210"/>
    <n v="210"/>
    <x v="1"/>
    <n v="116"/>
    <n v="75.5"/>
    <n v="23.54"/>
    <n v="23.54"/>
    <x v="1"/>
    <n v="67"/>
    <n v="67"/>
    <s v="NA"/>
    <n v="81.96365524402907"/>
    <x v="0"/>
    <x v="0"/>
  </r>
  <r>
    <n v="0"/>
    <x v="0"/>
    <n v="41"/>
    <x v="1"/>
    <n v="1"/>
    <n v="1"/>
    <s v="Primary"/>
    <x v="2"/>
    <n v="1"/>
    <n v="30"/>
    <n v="30"/>
    <x v="0"/>
    <n v="0"/>
    <x v="0"/>
    <n v="0"/>
    <n v="0"/>
    <n v="0"/>
    <s v="NA"/>
    <n v="236.69952267303103"/>
    <x v="1"/>
    <n v="122.5"/>
    <n v="80"/>
    <n v="18.86"/>
    <n v="18.86"/>
    <x v="1"/>
    <n v="105"/>
    <n v="105"/>
    <s v="NA"/>
    <n v="81.96365524402907"/>
    <x v="0"/>
    <x v="0"/>
  </r>
  <r>
    <n v="1"/>
    <x v="1"/>
    <n v="41"/>
    <x v="1"/>
    <n v="2"/>
    <n v="2"/>
    <s v="Secondary"/>
    <x v="0"/>
    <n v="1"/>
    <n v="5"/>
    <n v="5"/>
    <x v="0"/>
    <n v="0"/>
    <x v="0"/>
    <n v="0"/>
    <n v="0"/>
    <n v="0"/>
    <n v="218"/>
    <n v="218"/>
    <x v="1"/>
    <n v="129.5"/>
    <n v="93"/>
    <n v="27.8"/>
    <n v="27.8"/>
    <x v="0"/>
    <n v="58"/>
    <n v="58"/>
    <n v="83"/>
    <n v="83"/>
    <x v="0"/>
    <x v="0"/>
  </r>
  <r>
    <n v="0"/>
    <x v="0"/>
    <n v="41"/>
    <x v="1"/>
    <n v="2"/>
    <n v="2"/>
    <s v="Secondary"/>
    <x v="0"/>
    <n v="1"/>
    <n v="20"/>
    <n v="20"/>
    <x v="0"/>
    <n v="0"/>
    <x v="0"/>
    <n v="0"/>
    <n v="0"/>
    <n v="0"/>
    <n v="195"/>
    <n v="195"/>
    <x v="1"/>
    <n v="148"/>
    <n v="108"/>
    <n v="18.21"/>
    <n v="18.21"/>
    <x v="3"/>
    <n v="76"/>
    <n v="76"/>
    <n v="69"/>
    <n v="69"/>
    <x v="0"/>
    <x v="0"/>
  </r>
  <r>
    <n v="0"/>
    <x v="0"/>
    <n v="41"/>
    <x v="1"/>
    <n v="1"/>
    <n v="1"/>
    <s v="Primary"/>
    <x v="2"/>
    <n v="1"/>
    <n v="5"/>
    <n v="5"/>
    <x v="0"/>
    <n v="0"/>
    <x v="0"/>
    <n v="0"/>
    <n v="0"/>
    <n v="0"/>
    <n v="240"/>
    <n v="240"/>
    <x v="1"/>
    <n v="107"/>
    <n v="68.5"/>
    <n v="23.47"/>
    <n v="23.47"/>
    <x v="1"/>
    <n v="65"/>
    <n v="65"/>
    <n v="83"/>
    <n v="83"/>
    <x v="0"/>
    <x v="0"/>
  </r>
  <r>
    <n v="1"/>
    <x v="1"/>
    <n v="41"/>
    <x v="1"/>
    <n v="2"/>
    <n v="2"/>
    <s v="Secondary"/>
    <x v="0"/>
    <n v="1"/>
    <n v="20"/>
    <n v="20"/>
    <x v="0"/>
    <n v="0"/>
    <x v="0"/>
    <n v="0"/>
    <n v="0"/>
    <n v="0"/>
    <n v="255"/>
    <n v="255"/>
    <x v="0"/>
    <n v="126"/>
    <n v="78"/>
    <n v="25.48"/>
    <n v="25.48"/>
    <x v="0"/>
    <n v="80"/>
    <n v="80"/>
    <n v="76"/>
    <n v="76"/>
    <x v="0"/>
    <x v="0"/>
  </r>
  <r>
    <n v="1"/>
    <x v="1"/>
    <n v="41"/>
    <x v="1"/>
    <n v="2"/>
    <n v="2"/>
    <s v="Secondary"/>
    <x v="0"/>
    <n v="1"/>
    <n v="20"/>
    <n v="20"/>
    <x v="0"/>
    <n v="0"/>
    <x v="0"/>
    <n v="0"/>
    <n v="1"/>
    <n v="0"/>
    <n v="196"/>
    <n v="196"/>
    <x v="1"/>
    <n v="147.5"/>
    <n v="92.5"/>
    <n v="22.72"/>
    <n v="22.72"/>
    <x v="1"/>
    <n v="75"/>
    <n v="75"/>
    <n v="71"/>
    <n v="71"/>
    <x v="0"/>
    <x v="0"/>
  </r>
  <r>
    <n v="0"/>
    <x v="0"/>
    <n v="41"/>
    <x v="1"/>
    <n v="2"/>
    <n v="2"/>
    <s v="Secondary"/>
    <x v="0"/>
    <n v="1"/>
    <n v="10"/>
    <n v="10"/>
    <x v="0"/>
    <n v="0"/>
    <x v="0"/>
    <n v="0"/>
    <n v="0"/>
    <n v="0"/>
    <n v="193"/>
    <n v="193"/>
    <x v="1"/>
    <n v="134.5"/>
    <n v="83"/>
    <n v="22.28"/>
    <n v="22.28"/>
    <x v="1"/>
    <n v="85"/>
    <n v="85"/>
    <n v="127"/>
    <n v="127"/>
    <x v="0"/>
    <x v="0"/>
  </r>
  <r>
    <n v="0"/>
    <x v="0"/>
    <n v="41"/>
    <x v="1"/>
    <n v="3"/>
    <n v="3"/>
    <s v="Graduate"/>
    <x v="1"/>
    <n v="0"/>
    <n v="0"/>
    <n v="0"/>
    <x v="1"/>
    <n v="0"/>
    <x v="0"/>
    <n v="0"/>
    <n v="0"/>
    <n v="0"/>
    <n v="239"/>
    <n v="239"/>
    <x v="1"/>
    <n v="123"/>
    <n v="70"/>
    <n v="20.2"/>
    <n v="20.2"/>
    <x v="1"/>
    <n v="65"/>
    <n v="65"/>
    <s v="NA"/>
    <n v="81.96365524402907"/>
    <x v="0"/>
    <x v="0"/>
  </r>
  <r>
    <n v="1"/>
    <x v="1"/>
    <n v="41"/>
    <x v="1"/>
    <n v="4"/>
    <n v="4"/>
    <s v="Post Graduate"/>
    <x v="3"/>
    <n v="0"/>
    <n v="0"/>
    <n v="0"/>
    <x v="1"/>
    <n v="0"/>
    <x v="0"/>
    <n v="0"/>
    <n v="0"/>
    <n v="0"/>
    <n v="210"/>
    <n v="210"/>
    <x v="1"/>
    <n v="124"/>
    <n v="79"/>
    <n v="25.26"/>
    <n v="25.26"/>
    <x v="0"/>
    <n v="85"/>
    <n v="85"/>
    <n v="91"/>
    <n v="91"/>
    <x v="0"/>
    <x v="0"/>
  </r>
  <r>
    <n v="0"/>
    <x v="0"/>
    <n v="41"/>
    <x v="1"/>
    <n v="2"/>
    <n v="2"/>
    <s v="Secondary"/>
    <x v="0"/>
    <n v="0"/>
    <n v="0"/>
    <n v="0"/>
    <x v="1"/>
    <n v="0"/>
    <x v="0"/>
    <n v="0"/>
    <n v="0"/>
    <n v="0"/>
    <n v="168"/>
    <n v="168"/>
    <x v="1"/>
    <n v="102"/>
    <n v="64"/>
    <n v="23.64"/>
    <n v="23.64"/>
    <x v="1"/>
    <n v="60"/>
    <n v="60"/>
    <n v="75"/>
    <n v="75"/>
    <x v="0"/>
    <x v="0"/>
  </r>
  <r>
    <n v="1"/>
    <x v="1"/>
    <n v="41"/>
    <x v="1"/>
    <n v="2"/>
    <n v="2"/>
    <s v="Secondary"/>
    <x v="0"/>
    <n v="1"/>
    <n v="30"/>
    <n v="30"/>
    <x v="0"/>
    <n v="0"/>
    <x v="0"/>
    <n v="0"/>
    <n v="1"/>
    <n v="0"/>
    <n v="176"/>
    <n v="176"/>
    <x v="1"/>
    <n v="146"/>
    <n v="88"/>
    <n v="24.04"/>
    <n v="24.04"/>
    <x v="1"/>
    <n v="78"/>
    <n v="78"/>
    <n v="83"/>
    <n v="83"/>
    <x v="0"/>
    <x v="0"/>
  </r>
  <r>
    <n v="0"/>
    <x v="0"/>
    <n v="41"/>
    <x v="1"/>
    <n v="3"/>
    <n v="3"/>
    <s v="Graduate"/>
    <x v="1"/>
    <n v="1"/>
    <n v="3"/>
    <n v="3"/>
    <x v="0"/>
    <n v="0"/>
    <x v="0"/>
    <n v="0"/>
    <n v="0"/>
    <n v="0"/>
    <n v="140"/>
    <n v="140"/>
    <x v="1"/>
    <n v="110"/>
    <n v="60"/>
    <n v="23.38"/>
    <n v="23.38"/>
    <x v="1"/>
    <n v="65"/>
    <n v="65"/>
    <n v="82"/>
    <n v="82"/>
    <x v="0"/>
    <x v="0"/>
  </r>
  <r>
    <n v="1"/>
    <x v="1"/>
    <n v="41"/>
    <x v="1"/>
    <n v="1"/>
    <n v="1"/>
    <s v="Primary"/>
    <x v="2"/>
    <n v="0"/>
    <n v="0"/>
    <n v="0"/>
    <x v="1"/>
    <n v="0"/>
    <x v="0"/>
    <n v="0"/>
    <n v="0"/>
    <n v="0"/>
    <n v="324"/>
    <n v="324"/>
    <x v="0"/>
    <n v="129.5"/>
    <n v="92.5"/>
    <n v="34.99"/>
    <n v="34.99"/>
    <x v="2"/>
    <n v="79"/>
    <n v="79"/>
    <n v="103"/>
    <n v="103"/>
    <x v="0"/>
    <x v="0"/>
  </r>
  <r>
    <n v="1"/>
    <x v="1"/>
    <n v="41"/>
    <x v="1"/>
    <n v="2"/>
    <n v="2"/>
    <s v="Secondary"/>
    <x v="0"/>
    <n v="1"/>
    <n v="30"/>
    <n v="30"/>
    <x v="0"/>
    <n v="0"/>
    <x v="0"/>
    <n v="0"/>
    <n v="0"/>
    <n v="0"/>
    <n v="193"/>
    <n v="193"/>
    <x v="1"/>
    <n v="100"/>
    <n v="60"/>
    <n v="29.69"/>
    <n v="29.69"/>
    <x v="0"/>
    <n v="60"/>
    <n v="60"/>
    <n v="69"/>
    <n v="69"/>
    <x v="0"/>
    <x v="0"/>
  </r>
  <r>
    <n v="0"/>
    <x v="0"/>
    <n v="41"/>
    <x v="1"/>
    <n v="4"/>
    <n v="4"/>
    <s v="Post Graduate"/>
    <x v="3"/>
    <n v="0"/>
    <n v="0"/>
    <n v="0"/>
    <x v="1"/>
    <n v="0"/>
    <x v="0"/>
    <n v="0"/>
    <n v="0"/>
    <n v="0"/>
    <n v="257"/>
    <n v="257"/>
    <x v="0"/>
    <n v="122"/>
    <n v="73"/>
    <n v="24.17"/>
    <n v="24.17"/>
    <x v="1"/>
    <n v="96"/>
    <n v="96"/>
    <n v="104"/>
    <n v="104"/>
    <x v="0"/>
    <x v="0"/>
  </r>
  <r>
    <n v="0"/>
    <x v="0"/>
    <n v="41"/>
    <x v="1"/>
    <n v="2"/>
    <n v="2"/>
    <s v="Secondary"/>
    <x v="0"/>
    <n v="1"/>
    <n v="3"/>
    <n v="3"/>
    <x v="0"/>
    <n v="0"/>
    <x v="0"/>
    <n v="0"/>
    <n v="0"/>
    <n v="0"/>
    <n v="223"/>
    <n v="223"/>
    <x v="1"/>
    <n v="119"/>
    <n v="73"/>
    <n v="24.22"/>
    <n v="24.22"/>
    <x v="1"/>
    <n v="72"/>
    <n v="72"/>
    <n v="77"/>
    <n v="77"/>
    <x v="0"/>
    <x v="0"/>
  </r>
  <r>
    <n v="0"/>
    <x v="0"/>
    <n v="41"/>
    <x v="1"/>
    <n v="1"/>
    <n v="1"/>
    <s v="Primary"/>
    <x v="2"/>
    <n v="1"/>
    <n v="15"/>
    <n v="15"/>
    <x v="0"/>
    <n v="0"/>
    <x v="0"/>
    <n v="0"/>
    <n v="0"/>
    <n v="0"/>
    <n v="242"/>
    <n v="242"/>
    <x v="0"/>
    <n v="139"/>
    <n v="80"/>
    <n v="19.68"/>
    <n v="19.68"/>
    <x v="1"/>
    <n v="72"/>
    <n v="72"/>
    <n v="60"/>
    <n v="60"/>
    <x v="0"/>
    <x v="0"/>
  </r>
  <r>
    <n v="0"/>
    <x v="0"/>
    <n v="41"/>
    <x v="1"/>
    <n v="4"/>
    <n v="4"/>
    <s v="Post Graduate"/>
    <x v="3"/>
    <n v="0"/>
    <n v="0"/>
    <n v="0"/>
    <x v="1"/>
    <n v="0"/>
    <x v="0"/>
    <n v="0"/>
    <n v="0"/>
    <n v="0"/>
    <n v="205"/>
    <n v="205"/>
    <x v="1"/>
    <n v="110"/>
    <n v="69"/>
    <n v="25.99"/>
    <n v="25.99"/>
    <x v="0"/>
    <n v="75"/>
    <n v="75"/>
    <n v="67"/>
    <n v="67"/>
    <x v="0"/>
    <x v="0"/>
  </r>
  <r>
    <n v="1"/>
    <x v="1"/>
    <n v="41"/>
    <x v="1"/>
    <n v="1"/>
    <n v="1"/>
    <s v="Primary"/>
    <x v="2"/>
    <n v="0"/>
    <n v="0"/>
    <n v="0"/>
    <x v="1"/>
    <n v="0"/>
    <x v="0"/>
    <n v="0"/>
    <n v="0"/>
    <n v="0"/>
    <n v="255"/>
    <n v="255"/>
    <x v="0"/>
    <n v="120.5"/>
    <n v="85.5"/>
    <n v="30.85"/>
    <n v="30.85"/>
    <x v="2"/>
    <n v="100"/>
    <n v="100"/>
    <n v="79"/>
    <n v="79"/>
    <x v="0"/>
    <x v="0"/>
  </r>
  <r>
    <n v="0"/>
    <x v="0"/>
    <n v="41"/>
    <x v="1"/>
    <n v="2"/>
    <n v="2"/>
    <s v="Secondary"/>
    <x v="0"/>
    <n v="1"/>
    <n v="3"/>
    <n v="3"/>
    <x v="0"/>
    <n v="0"/>
    <x v="0"/>
    <n v="0"/>
    <n v="0"/>
    <n v="0"/>
    <n v="226"/>
    <n v="226"/>
    <x v="1"/>
    <n v="130"/>
    <n v="80"/>
    <n v="25.25"/>
    <n v="25.25"/>
    <x v="0"/>
    <n v="75"/>
    <n v="75"/>
    <n v="73"/>
    <n v="73"/>
    <x v="0"/>
    <x v="0"/>
  </r>
  <r>
    <n v="1"/>
    <x v="1"/>
    <n v="41"/>
    <x v="1"/>
    <s v="NA"/>
    <n v="1"/>
    <s v="Primary"/>
    <x v="2"/>
    <n v="0"/>
    <n v="0"/>
    <n v="0"/>
    <x v="1"/>
    <n v="0"/>
    <x v="0"/>
    <n v="0"/>
    <n v="0"/>
    <n v="0"/>
    <n v="190"/>
    <n v="190"/>
    <x v="1"/>
    <n v="124"/>
    <n v="83"/>
    <n v="27.02"/>
    <n v="27.02"/>
    <x v="0"/>
    <n v="75"/>
    <n v="75"/>
    <n v="87"/>
    <n v="87"/>
    <x v="0"/>
    <x v="0"/>
  </r>
  <r>
    <n v="0"/>
    <x v="0"/>
    <n v="41"/>
    <x v="1"/>
    <n v="2"/>
    <n v="2"/>
    <s v="Secondary"/>
    <x v="0"/>
    <n v="0"/>
    <n v="0"/>
    <n v="0"/>
    <x v="1"/>
    <n v="0"/>
    <x v="0"/>
    <n v="0"/>
    <n v="0"/>
    <n v="0"/>
    <n v="187"/>
    <n v="187"/>
    <x v="1"/>
    <n v="108"/>
    <n v="64"/>
    <n v="23.63"/>
    <n v="23.63"/>
    <x v="1"/>
    <n v="72"/>
    <n v="72"/>
    <n v="70"/>
    <n v="70"/>
    <x v="0"/>
    <x v="0"/>
  </r>
  <r>
    <n v="1"/>
    <x v="1"/>
    <n v="41"/>
    <x v="1"/>
    <n v="1"/>
    <n v="1"/>
    <s v="Primary"/>
    <x v="2"/>
    <n v="1"/>
    <n v="15"/>
    <n v="15"/>
    <x v="0"/>
    <s v="NA"/>
    <x v="0"/>
    <n v="0"/>
    <n v="0"/>
    <n v="0"/>
    <n v="198"/>
    <n v="198"/>
    <x v="1"/>
    <n v="114.5"/>
    <n v="80"/>
    <n v="22.53"/>
    <n v="22.53"/>
    <x v="1"/>
    <n v="72"/>
    <n v="72"/>
    <n v="75"/>
    <n v="75"/>
    <x v="1"/>
    <x v="0"/>
  </r>
  <r>
    <n v="1"/>
    <x v="1"/>
    <n v="41"/>
    <x v="1"/>
    <n v="2"/>
    <n v="2"/>
    <s v="Secondary"/>
    <x v="0"/>
    <n v="1"/>
    <n v="20"/>
    <n v="20"/>
    <x v="0"/>
    <n v="0"/>
    <x v="0"/>
    <n v="0"/>
    <n v="0"/>
    <n v="0"/>
    <n v="260"/>
    <n v="260"/>
    <x v="0"/>
    <n v="120"/>
    <n v="72.5"/>
    <n v="26.36"/>
    <n v="26.36"/>
    <x v="0"/>
    <n v="73"/>
    <n v="73"/>
    <n v="88"/>
    <n v="88"/>
    <x v="0"/>
    <x v="0"/>
  </r>
  <r>
    <n v="0"/>
    <x v="0"/>
    <n v="41"/>
    <x v="1"/>
    <n v="2"/>
    <n v="2"/>
    <s v="Secondary"/>
    <x v="0"/>
    <n v="1"/>
    <n v="20"/>
    <n v="20"/>
    <x v="0"/>
    <n v="0"/>
    <x v="0"/>
    <n v="0"/>
    <n v="0"/>
    <n v="0"/>
    <n v="235"/>
    <n v="235"/>
    <x v="1"/>
    <n v="144"/>
    <n v="88"/>
    <n v="24.16"/>
    <n v="24.16"/>
    <x v="1"/>
    <n v="95"/>
    <n v="95"/>
    <n v="82"/>
    <n v="82"/>
    <x v="0"/>
    <x v="0"/>
  </r>
  <r>
    <n v="1"/>
    <x v="1"/>
    <n v="41"/>
    <x v="1"/>
    <n v="2"/>
    <n v="2"/>
    <s v="Secondary"/>
    <x v="0"/>
    <n v="1"/>
    <n v="20"/>
    <n v="20"/>
    <x v="0"/>
    <n v="0"/>
    <x v="0"/>
    <n v="0"/>
    <n v="1"/>
    <n v="0"/>
    <n v="245"/>
    <n v="245"/>
    <x v="0"/>
    <n v="146"/>
    <n v="86"/>
    <n v="24.5"/>
    <n v="24.5"/>
    <x v="1"/>
    <n v="80"/>
    <n v="80"/>
    <n v="72"/>
    <n v="72"/>
    <x v="0"/>
    <x v="0"/>
  </r>
  <r>
    <n v="0"/>
    <x v="0"/>
    <n v="41"/>
    <x v="1"/>
    <n v="1"/>
    <n v="1"/>
    <s v="Primary"/>
    <x v="2"/>
    <n v="1"/>
    <n v="15"/>
    <n v="15"/>
    <x v="0"/>
    <n v="0"/>
    <x v="0"/>
    <n v="0"/>
    <n v="0"/>
    <n v="0"/>
    <n v="190"/>
    <n v="190"/>
    <x v="1"/>
    <n v="95"/>
    <n v="57"/>
    <n v="20"/>
    <n v="20"/>
    <x v="1"/>
    <n v="75"/>
    <n v="75"/>
    <n v="77"/>
    <n v="77"/>
    <x v="0"/>
    <x v="0"/>
  </r>
  <r>
    <n v="1"/>
    <x v="1"/>
    <n v="41"/>
    <x v="1"/>
    <n v="2"/>
    <n v="2"/>
    <s v="Secondary"/>
    <x v="0"/>
    <n v="1"/>
    <n v="30"/>
    <n v="30"/>
    <x v="0"/>
    <n v="0"/>
    <x v="0"/>
    <n v="0"/>
    <n v="0"/>
    <n v="0"/>
    <n v="293"/>
    <n v="293"/>
    <x v="0"/>
    <n v="115"/>
    <n v="77.5"/>
    <n v="26.26"/>
    <n v="26.26"/>
    <x v="0"/>
    <n v="85"/>
    <n v="85"/>
    <n v="57"/>
    <n v="57"/>
    <x v="0"/>
    <x v="0"/>
  </r>
  <r>
    <n v="1"/>
    <x v="1"/>
    <n v="41"/>
    <x v="1"/>
    <n v="4"/>
    <n v="4"/>
    <s v="Post Graduate"/>
    <x v="3"/>
    <n v="0"/>
    <n v="0"/>
    <n v="0"/>
    <x v="1"/>
    <n v="0"/>
    <x v="0"/>
    <n v="0"/>
    <n v="1"/>
    <n v="0"/>
    <n v="206"/>
    <n v="206"/>
    <x v="1"/>
    <n v="124"/>
    <n v="90"/>
    <n v="30.69"/>
    <n v="30.69"/>
    <x v="2"/>
    <n v="75"/>
    <n v="75"/>
    <n v="83"/>
    <n v="83"/>
    <x v="0"/>
    <x v="0"/>
  </r>
  <r>
    <n v="0"/>
    <x v="0"/>
    <n v="41"/>
    <x v="1"/>
    <n v="2"/>
    <n v="2"/>
    <s v="Secondary"/>
    <x v="0"/>
    <n v="0"/>
    <n v="0"/>
    <n v="0"/>
    <x v="1"/>
    <n v="0"/>
    <x v="0"/>
    <n v="0"/>
    <n v="0"/>
    <n v="0"/>
    <n v="235"/>
    <n v="235"/>
    <x v="1"/>
    <n v="143.5"/>
    <n v="90"/>
    <n v="26.22"/>
    <n v="26.22"/>
    <x v="0"/>
    <n v="70"/>
    <n v="70"/>
    <n v="83"/>
    <n v="83"/>
    <x v="0"/>
    <x v="0"/>
  </r>
  <r>
    <n v="0"/>
    <x v="0"/>
    <n v="41"/>
    <x v="1"/>
    <n v="1"/>
    <n v="1"/>
    <s v="Primary"/>
    <x v="2"/>
    <n v="1"/>
    <n v="43"/>
    <n v="43"/>
    <x v="0"/>
    <n v="0"/>
    <x v="0"/>
    <n v="0"/>
    <n v="1"/>
    <n v="0"/>
    <n v="306"/>
    <n v="306"/>
    <x v="0"/>
    <n v="199"/>
    <n v="106"/>
    <n v="38.75"/>
    <n v="38.75"/>
    <x v="2"/>
    <n v="100"/>
    <n v="100"/>
    <n v="75"/>
    <n v="75"/>
    <x v="0"/>
    <x v="0"/>
  </r>
  <r>
    <n v="0"/>
    <x v="0"/>
    <n v="41"/>
    <x v="1"/>
    <n v="1"/>
    <n v="1"/>
    <s v="Primary"/>
    <x v="2"/>
    <n v="1"/>
    <n v="20"/>
    <n v="20"/>
    <x v="0"/>
    <n v="0"/>
    <x v="0"/>
    <n v="0"/>
    <n v="0"/>
    <n v="0"/>
    <n v="223"/>
    <n v="223"/>
    <x v="1"/>
    <n v="114"/>
    <n v="72"/>
    <n v="26.42"/>
    <n v="26.42"/>
    <x v="0"/>
    <n v="78"/>
    <n v="78"/>
    <s v="NA"/>
    <n v="81.96365524402907"/>
    <x v="0"/>
    <x v="0"/>
  </r>
  <r>
    <n v="0"/>
    <x v="0"/>
    <n v="41"/>
    <x v="1"/>
    <n v="1"/>
    <n v="1"/>
    <s v="Primary"/>
    <x v="2"/>
    <n v="1"/>
    <n v="15"/>
    <n v="15"/>
    <x v="0"/>
    <n v="0"/>
    <x v="0"/>
    <n v="0"/>
    <n v="0"/>
    <n v="0"/>
    <n v="249"/>
    <n v="249"/>
    <x v="0"/>
    <n v="107.5"/>
    <n v="75"/>
    <n v="23.69"/>
    <n v="23.69"/>
    <x v="1"/>
    <n v="83"/>
    <n v="83"/>
    <n v="78"/>
    <n v="78"/>
    <x v="0"/>
    <x v="0"/>
  </r>
  <r>
    <n v="0"/>
    <x v="0"/>
    <n v="41"/>
    <x v="1"/>
    <n v="1"/>
    <n v="1"/>
    <s v="Primary"/>
    <x v="2"/>
    <n v="0"/>
    <n v="0"/>
    <n v="0"/>
    <x v="1"/>
    <s v="NA"/>
    <x v="0"/>
    <n v="0"/>
    <n v="0"/>
    <n v="0"/>
    <n v="179"/>
    <n v="179"/>
    <x v="1"/>
    <n v="121"/>
    <n v="83"/>
    <n v="23.04"/>
    <n v="23.04"/>
    <x v="1"/>
    <n v="66"/>
    <n v="66"/>
    <n v="90"/>
    <n v="90"/>
    <x v="1"/>
    <x v="0"/>
  </r>
  <r>
    <n v="1"/>
    <x v="1"/>
    <n v="41"/>
    <x v="1"/>
    <n v="2"/>
    <n v="2"/>
    <s v="Secondary"/>
    <x v="0"/>
    <n v="0"/>
    <n v="0"/>
    <n v="0"/>
    <x v="1"/>
    <n v="0"/>
    <x v="0"/>
    <n v="0"/>
    <n v="0"/>
    <n v="0"/>
    <n v="247"/>
    <n v="247"/>
    <x v="0"/>
    <n v="104"/>
    <n v="73"/>
    <n v="23.7"/>
    <n v="23.7"/>
    <x v="1"/>
    <n v="68"/>
    <n v="68"/>
    <n v="68"/>
    <n v="68"/>
    <x v="0"/>
    <x v="0"/>
  </r>
  <r>
    <n v="1"/>
    <x v="1"/>
    <n v="41"/>
    <x v="1"/>
    <n v="2"/>
    <n v="2"/>
    <s v="Secondary"/>
    <x v="0"/>
    <n v="1"/>
    <n v="40"/>
    <n v="40"/>
    <x v="0"/>
    <n v="0"/>
    <x v="0"/>
    <n v="0"/>
    <n v="1"/>
    <n v="0"/>
    <n v="313"/>
    <n v="313"/>
    <x v="0"/>
    <n v="114"/>
    <n v="79"/>
    <n v="25.63"/>
    <n v="25.63"/>
    <x v="0"/>
    <n v="60"/>
    <n v="60"/>
    <n v="93"/>
    <n v="93"/>
    <x v="0"/>
    <x v="0"/>
  </r>
  <r>
    <n v="0"/>
    <x v="0"/>
    <n v="41"/>
    <x v="1"/>
    <n v="4"/>
    <n v="4"/>
    <s v="Post Graduate"/>
    <x v="3"/>
    <n v="0"/>
    <n v="0"/>
    <n v="0"/>
    <x v="1"/>
    <n v="0"/>
    <x v="0"/>
    <n v="0"/>
    <n v="0"/>
    <n v="0"/>
    <n v="159"/>
    <n v="159"/>
    <x v="1"/>
    <n v="119"/>
    <n v="76"/>
    <n v="27.49"/>
    <n v="27.49"/>
    <x v="0"/>
    <n v="55"/>
    <n v="55"/>
    <n v="70"/>
    <n v="70"/>
    <x v="0"/>
    <x v="0"/>
  </r>
  <r>
    <n v="1"/>
    <x v="1"/>
    <n v="41"/>
    <x v="1"/>
    <n v="2"/>
    <n v="2"/>
    <s v="Secondary"/>
    <x v="0"/>
    <n v="1"/>
    <n v="20"/>
    <n v="20"/>
    <x v="0"/>
    <n v="0"/>
    <x v="0"/>
    <n v="0"/>
    <n v="0"/>
    <n v="0"/>
    <n v="180"/>
    <n v="180"/>
    <x v="1"/>
    <n v="127"/>
    <n v="86"/>
    <n v="20.72"/>
    <n v="20.72"/>
    <x v="1"/>
    <n v="73"/>
    <n v="73"/>
    <n v="63"/>
    <n v="63"/>
    <x v="0"/>
    <x v="0"/>
  </r>
  <r>
    <n v="1"/>
    <x v="1"/>
    <n v="41"/>
    <x v="1"/>
    <n v="1"/>
    <n v="1"/>
    <s v="Primary"/>
    <x v="2"/>
    <n v="1"/>
    <n v="20"/>
    <n v="20"/>
    <x v="0"/>
    <n v="0"/>
    <x v="0"/>
    <n v="0"/>
    <n v="0"/>
    <n v="0"/>
    <n v="192"/>
    <n v="192"/>
    <x v="1"/>
    <n v="122"/>
    <n v="82"/>
    <n v="25.03"/>
    <n v="25.03"/>
    <x v="0"/>
    <n v="83"/>
    <n v="83"/>
    <n v="66"/>
    <n v="66"/>
    <x v="0"/>
    <x v="0"/>
  </r>
  <r>
    <n v="0"/>
    <x v="0"/>
    <n v="41"/>
    <x v="1"/>
    <n v="2"/>
    <n v="2"/>
    <s v="Secondary"/>
    <x v="0"/>
    <n v="1"/>
    <n v="10"/>
    <n v="10"/>
    <x v="0"/>
    <n v="0"/>
    <x v="0"/>
    <n v="0"/>
    <n v="0"/>
    <n v="0"/>
    <n v="169"/>
    <n v="169"/>
    <x v="1"/>
    <n v="119"/>
    <n v="72"/>
    <n v="19.78"/>
    <n v="19.78"/>
    <x v="1"/>
    <n v="60"/>
    <n v="60"/>
    <n v="74"/>
    <n v="74"/>
    <x v="0"/>
    <x v="0"/>
  </r>
  <r>
    <n v="0"/>
    <x v="0"/>
    <n v="41"/>
    <x v="1"/>
    <n v="1"/>
    <n v="1"/>
    <s v="Primary"/>
    <x v="2"/>
    <n v="0"/>
    <n v="0"/>
    <n v="0"/>
    <x v="1"/>
    <n v="0"/>
    <x v="0"/>
    <n v="0"/>
    <n v="0"/>
    <n v="0"/>
    <n v="197"/>
    <n v="197"/>
    <x v="1"/>
    <n v="121"/>
    <n v="84"/>
    <n v="23.07"/>
    <n v="23.07"/>
    <x v="1"/>
    <n v="80"/>
    <n v="80"/>
    <s v="NA"/>
    <n v="81.96365524402907"/>
    <x v="0"/>
    <x v="0"/>
  </r>
  <r>
    <n v="0"/>
    <x v="0"/>
    <n v="41"/>
    <x v="1"/>
    <n v="1"/>
    <n v="1"/>
    <s v="Primary"/>
    <x v="2"/>
    <n v="0"/>
    <n v="0"/>
    <n v="0"/>
    <x v="1"/>
    <n v="0"/>
    <x v="0"/>
    <n v="0"/>
    <n v="1"/>
    <n v="0"/>
    <n v="235"/>
    <n v="235"/>
    <x v="1"/>
    <n v="158"/>
    <n v="93"/>
    <n v="22.18"/>
    <n v="22.18"/>
    <x v="1"/>
    <n v="78"/>
    <n v="78"/>
    <n v="70"/>
    <n v="70"/>
    <x v="0"/>
    <x v="0"/>
  </r>
  <r>
    <n v="0"/>
    <x v="0"/>
    <n v="41"/>
    <x v="1"/>
    <n v="4"/>
    <n v="4"/>
    <s v="Post Graduate"/>
    <x v="3"/>
    <n v="1"/>
    <n v="5"/>
    <n v="5"/>
    <x v="0"/>
    <n v="0"/>
    <x v="0"/>
    <n v="0"/>
    <n v="0"/>
    <n v="0"/>
    <n v="209"/>
    <n v="209"/>
    <x v="1"/>
    <n v="122.5"/>
    <n v="90"/>
    <n v="20.79"/>
    <n v="20.79"/>
    <x v="1"/>
    <n v="90"/>
    <n v="90"/>
    <s v="NA"/>
    <n v="81.96365524402907"/>
    <x v="0"/>
    <x v="0"/>
  </r>
  <r>
    <n v="0"/>
    <x v="0"/>
    <n v="41"/>
    <x v="1"/>
    <n v="3"/>
    <n v="3"/>
    <s v="Graduate"/>
    <x v="1"/>
    <n v="0"/>
    <n v="0"/>
    <n v="0"/>
    <x v="1"/>
    <n v="0"/>
    <x v="0"/>
    <n v="0"/>
    <n v="0"/>
    <n v="0"/>
    <n v="233"/>
    <n v="233"/>
    <x v="1"/>
    <n v="115"/>
    <n v="70"/>
    <n v="25.03"/>
    <n v="25.03"/>
    <x v="0"/>
    <n v="68"/>
    <n v="68"/>
    <n v="97"/>
    <n v="97"/>
    <x v="0"/>
    <x v="0"/>
  </r>
  <r>
    <n v="1"/>
    <x v="1"/>
    <n v="41"/>
    <x v="1"/>
    <n v="3"/>
    <n v="3"/>
    <s v="Graduate"/>
    <x v="1"/>
    <n v="0"/>
    <n v="0"/>
    <n v="0"/>
    <x v="1"/>
    <n v="0"/>
    <x v="0"/>
    <n v="0"/>
    <n v="0"/>
    <n v="0"/>
    <n v="256"/>
    <n v="256"/>
    <x v="0"/>
    <n v="107"/>
    <n v="73"/>
    <n v="26.38"/>
    <n v="26.38"/>
    <x v="0"/>
    <n v="60"/>
    <n v="60"/>
    <n v="65"/>
    <n v="65"/>
    <x v="0"/>
    <x v="0"/>
  </r>
  <r>
    <n v="0"/>
    <x v="0"/>
    <n v="41"/>
    <x v="1"/>
    <n v="2"/>
    <n v="2"/>
    <s v="Secondary"/>
    <x v="0"/>
    <n v="1"/>
    <n v="9"/>
    <n v="9"/>
    <x v="0"/>
    <n v="0"/>
    <x v="0"/>
    <n v="0"/>
    <n v="0"/>
    <n v="0"/>
    <n v="200"/>
    <n v="200"/>
    <x v="1"/>
    <n v="124"/>
    <n v="76"/>
    <n v="24.2"/>
    <n v="24.2"/>
    <x v="1"/>
    <n v="80"/>
    <n v="80"/>
    <n v="86"/>
    <n v="86"/>
    <x v="0"/>
    <x v="0"/>
  </r>
  <r>
    <n v="1"/>
    <x v="1"/>
    <n v="41"/>
    <x v="1"/>
    <n v="2"/>
    <n v="2"/>
    <s v="Secondary"/>
    <x v="0"/>
    <n v="1"/>
    <n v="30"/>
    <n v="30"/>
    <x v="0"/>
    <n v="0"/>
    <x v="0"/>
    <n v="0"/>
    <n v="0"/>
    <n v="0"/>
    <n v="224"/>
    <n v="224"/>
    <x v="1"/>
    <n v="114"/>
    <n v="68"/>
    <n v="21.42"/>
    <n v="21.42"/>
    <x v="1"/>
    <n v="66"/>
    <n v="66"/>
    <n v="107"/>
    <n v="107"/>
    <x v="0"/>
    <x v="0"/>
  </r>
  <r>
    <n v="1"/>
    <x v="1"/>
    <n v="41"/>
    <x v="1"/>
    <n v="3"/>
    <n v="3"/>
    <s v="Graduate"/>
    <x v="1"/>
    <n v="0"/>
    <n v="0"/>
    <n v="0"/>
    <x v="1"/>
    <n v="0"/>
    <x v="0"/>
    <n v="0"/>
    <n v="1"/>
    <n v="0"/>
    <n v="250"/>
    <n v="250"/>
    <x v="0"/>
    <n v="150"/>
    <n v="92"/>
    <n v="33.29"/>
    <n v="33.29"/>
    <x v="2"/>
    <n v="85"/>
    <n v="85"/>
    <n v="85"/>
    <n v="85"/>
    <x v="0"/>
    <x v="0"/>
  </r>
  <r>
    <n v="1"/>
    <x v="1"/>
    <n v="41"/>
    <x v="1"/>
    <n v="1"/>
    <n v="1"/>
    <s v="Primary"/>
    <x v="2"/>
    <n v="1"/>
    <n v="40"/>
    <n v="40"/>
    <x v="0"/>
    <n v="0"/>
    <x v="0"/>
    <n v="0"/>
    <n v="0"/>
    <n v="0"/>
    <n v="224"/>
    <n v="224"/>
    <x v="1"/>
    <n v="126"/>
    <n v="79"/>
    <n v="22.94"/>
    <n v="22.94"/>
    <x v="1"/>
    <n v="53"/>
    <n v="53"/>
    <n v="68"/>
    <n v="68"/>
    <x v="0"/>
    <x v="0"/>
  </r>
  <r>
    <n v="0"/>
    <x v="0"/>
    <n v="41"/>
    <x v="1"/>
    <n v="3"/>
    <n v="3"/>
    <s v="Graduate"/>
    <x v="1"/>
    <n v="0"/>
    <n v="0"/>
    <n v="0"/>
    <x v="1"/>
    <n v="0"/>
    <x v="0"/>
    <n v="0"/>
    <n v="0"/>
    <n v="0"/>
    <n v="192"/>
    <n v="192"/>
    <x v="1"/>
    <n v="103"/>
    <n v="72.5"/>
    <n v="22.72"/>
    <n v="22.72"/>
    <x v="1"/>
    <n v="61"/>
    <n v="61"/>
    <n v="70"/>
    <n v="70"/>
    <x v="0"/>
    <x v="0"/>
  </r>
  <r>
    <n v="0"/>
    <x v="0"/>
    <n v="41"/>
    <x v="1"/>
    <n v="1"/>
    <n v="1"/>
    <s v="Primary"/>
    <x v="2"/>
    <n v="0"/>
    <n v="0"/>
    <n v="0"/>
    <x v="1"/>
    <n v="0"/>
    <x v="0"/>
    <n v="0"/>
    <n v="0"/>
    <n v="0"/>
    <n v="177"/>
    <n v="177"/>
    <x v="1"/>
    <n v="107"/>
    <n v="76"/>
    <n v="22.37"/>
    <n v="22.37"/>
    <x v="1"/>
    <n v="75"/>
    <n v="75"/>
    <n v="65"/>
    <n v="65"/>
    <x v="0"/>
    <x v="0"/>
  </r>
  <r>
    <n v="1"/>
    <x v="1"/>
    <n v="41"/>
    <x v="1"/>
    <n v="2"/>
    <n v="2"/>
    <s v="Secondary"/>
    <x v="0"/>
    <n v="0"/>
    <n v="0"/>
    <n v="0"/>
    <x v="1"/>
    <n v="0"/>
    <x v="0"/>
    <n v="0"/>
    <n v="1"/>
    <n v="0"/>
    <n v="248"/>
    <n v="248"/>
    <x v="0"/>
    <n v="140"/>
    <n v="87"/>
    <n v="30.34"/>
    <n v="30.34"/>
    <x v="2"/>
    <n v="96"/>
    <n v="96"/>
    <s v="NA"/>
    <n v="81.96365524402907"/>
    <x v="0"/>
    <x v="0"/>
  </r>
  <r>
    <n v="0"/>
    <x v="0"/>
    <n v="41"/>
    <x v="1"/>
    <n v="3"/>
    <n v="3"/>
    <s v="Graduate"/>
    <x v="1"/>
    <n v="1"/>
    <n v="15"/>
    <n v="15"/>
    <x v="0"/>
    <n v="0"/>
    <x v="0"/>
    <n v="0"/>
    <n v="0"/>
    <n v="0"/>
    <n v="195"/>
    <n v="195"/>
    <x v="1"/>
    <n v="120.5"/>
    <n v="76"/>
    <n v="22.91"/>
    <n v="22.91"/>
    <x v="1"/>
    <n v="75"/>
    <n v="75"/>
    <n v="70"/>
    <n v="70"/>
    <x v="0"/>
    <x v="1"/>
  </r>
  <r>
    <n v="0"/>
    <x v="0"/>
    <n v="41"/>
    <x v="1"/>
    <n v="4"/>
    <n v="4"/>
    <s v="Post Graduate"/>
    <x v="3"/>
    <n v="0"/>
    <n v="0"/>
    <n v="0"/>
    <x v="1"/>
    <n v="0"/>
    <x v="0"/>
    <n v="0"/>
    <n v="0"/>
    <n v="0"/>
    <n v="206"/>
    <n v="206"/>
    <x v="1"/>
    <n v="130"/>
    <n v="88"/>
    <n v="22.25"/>
    <n v="22.25"/>
    <x v="1"/>
    <n v="85"/>
    <n v="85"/>
    <n v="79"/>
    <n v="79"/>
    <x v="0"/>
    <x v="0"/>
  </r>
  <r>
    <n v="1"/>
    <x v="1"/>
    <n v="41"/>
    <x v="1"/>
    <n v="2"/>
    <n v="2"/>
    <s v="Secondary"/>
    <x v="0"/>
    <n v="0"/>
    <n v="0"/>
    <n v="0"/>
    <x v="1"/>
    <n v="0"/>
    <x v="0"/>
    <n v="0"/>
    <n v="0"/>
    <n v="0"/>
    <n v="298"/>
    <n v="298"/>
    <x v="0"/>
    <n v="132"/>
    <n v="85.5"/>
    <n v="31.06"/>
    <n v="31.06"/>
    <x v="2"/>
    <n v="58"/>
    <n v="58"/>
    <n v="90"/>
    <n v="90"/>
    <x v="0"/>
    <x v="0"/>
  </r>
  <r>
    <n v="0"/>
    <x v="0"/>
    <n v="41"/>
    <x v="1"/>
    <n v="1"/>
    <n v="1"/>
    <s v="Primary"/>
    <x v="2"/>
    <n v="0"/>
    <n v="0"/>
    <n v="0"/>
    <x v="1"/>
    <n v="0"/>
    <x v="0"/>
    <n v="0"/>
    <n v="0"/>
    <n v="0"/>
    <n v="203"/>
    <n v="203"/>
    <x v="1"/>
    <n v="124"/>
    <n v="86"/>
    <n v="28.25"/>
    <n v="28.25"/>
    <x v="0"/>
    <n v="83"/>
    <n v="83"/>
    <n v="80"/>
    <n v="80"/>
    <x v="0"/>
    <x v="0"/>
  </r>
  <r>
    <n v="1"/>
    <x v="1"/>
    <n v="41"/>
    <x v="1"/>
    <n v="3"/>
    <n v="3"/>
    <s v="Graduate"/>
    <x v="1"/>
    <n v="0"/>
    <n v="0"/>
    <n v="0"/>
    <x v="1"/>
    <n v="0"/>
    <x v="0"/>
    <n v="0"/>
    <n v="1"/>
    <n v="0"/>
    <n v="230"/>
    <n v="230"/>
    <x v="1"/>
    <n v="150"/>
    <n v="101"/>
    <n v="28.54"/>
    <n v="28.54"/>
    <x v="0"/>
    <n v="75"/>
    <n v="75"/>
    <n v="65"/>
    <n v="65"/>
    <x v="0"/>
    <x v="0"/>
  </r>
  <r>
    <n v="0"/>
    <x v="0"/>
    <n v="41"/>
    <x v="1"/>
    <n v="2"/>
    <n v="2"/>
    <s v="Secondary"/>
    <x v="0"/>
    <n v="1"/>
    <n v="15"/>
    <n v="15"/>
    <x v="0"/>
    <n v="0"/>
    <x v="0"/>
    <n v="0"/>
    <n v="0"/>
    <n v="0"/>
    <n v="235"/>
    <n v="235"/>
    <x v="1"/>
    <n v="107.5"/>
    <n v="68"/>
    <n v="21.1"/>
    <n v="21.1"/>
    <x v="1"/>
    <n v="80"/>
    <n v="80"/>
    <n v="113"/>
    <n v="113"/>
    <x v="0"/>
    <x v="0"/>
  </r>
  <r>
    <n v="1"/>
    <x v="1"/>
    <n v="41"/>
    <x v="1"/>
    <s v="NA"/>
    <n v="1"/>
    <s v="Primary"/>
    <x v="2"/>
    <n v="0"/>
    <n v="0"/>
    <n v="0"/>
    <x v="1"/>
    <n v="0"/>
    <x v="0"/>
    <n v="0"/>
    <n v="0"/>
    <n v="0"/>
    <n v="260"/>
    <n v="260"/>
    <x v="0"/>
    <n v="128"/>
    <n v="84"/>
    <n v="31.61"/>
    <n v="31.61"/>
    <x v="2"/>
    <n v="66"/>
    <n v="66"/>
    <n v="48"/>
    <n v="48"/>
    <x v="0"/>
    <x v="0"/>
  </r>
  <r>
    <n v="1"/>
    <x v="1"/>
    <n v="41"/>
    <x v="1"/>
    <n v="4"/>
    <n v="4"/>
    <s v="Post Graduate"/>
    <x v="3"/>
    <n v="1"/>
    <n v="10"/>
    <n v="10"/>
    <x v="0"/>
    <n v="0"/>
    <x v="0"/>
    <n v="0"/>
    <n v="0"/>
    <n v="0"/>
    <n v="213"/>
    <n v="213"/>
    <x v="1"/>
    <n v="120"/>
    <n v="78"/>
    <n v="28.78"/>
    <n v="28.78"/>
    <x v="0"/>
    <n v="80"/>
    <n v="80"/>
    <n v="70"/>
    <n v="70"/>
    <x v="0"/>
    <x v="0"/>
  </r>
  <r>
    <n v="1"/>
    <x v="1"/>
    <n v="41"/>
    <x v="1"/>
    <n v="2"/>
    <n v="2"/>
    <s v="Secondary"/>
    <x v="0"/>
    <n v="1"/>
    <n v="20"/>
    <n v="20"/>
    <x v="0"/>
    <n v="0"/>
    <x v="0"/>
    <n v="0"/>
    <n v="0"/>
    <n v="0"/>
    <n v="199"/>
    <n v="199"/>
    <x v="1"/>
    <n v="139"/>
    <n v="80"/>
    <n v="25.51"/>
    <n v="25.51"/>
    <x v="0"/>
    <n v="62"/>
    <n v="62"/>
    <n v="62"/>
    <n v="62"/>
    <x v="0"/>
    <x v="1"/>
  </r>
  <r>
    <n v="0"/>
    <x v="0"/>
    <n v="41"/>
    <x v="1"/>
    <n v="4"/>
    <n v="4"/>
    <s v="Post Graduate"/>
    <x v="3"/>
    <n v="0"/>
    <n v="0"/>
    <n v="0"/>
    <x v="1"/>
    <n v="0"/>
    <x v="0"/>
    <n v="0"/>
    <n v="0"/>
    <n v="0"/>
    <n v="204"/>
    <n v="204"/>
    <x v="1"/>
    <n v="129"/>
    <n v="86"/>
    <n v="20.72"/>
    <n v="20.72"/>
    <x v="1"/>
    <n v="60"/>
    <n v="60"/>
    <n v="70"/>
    <n v="70"/>
    <x v="0"/>
    <x v="0"/>
  </r>
  <r>
    <n v="0"/>
    <x v="0"/>
    <n v="41"/>
    <x v="1"/>
    <n v="4"/>
    <n v="4"/>
    <s v="Post Graduate"/>
    <x v="3"/>
    <n v="1"/>
    <n v="9"/>
    <n v="9"/>
    <x v="0"/>
    <n v="0"/>
    <x v="0"/>
    <n v="0"/>
    <n v="0"/>
    <n v="0"/>
    <n v="218"/>
    <n v="218"/>
    <x v="1"/>
    <n v="102"/>
    <n v="67"/>
    <n v="19.23"/>
    <n v="19.23"/>
    <x v="1"/>
    <n v="78"/>
    <n v="78"/>
    <n v="78"/>
    <n v="78"/>
    <x v="0"/>
    <x v="0"/>
  </r>
  <r>
    <n v="0"/>
    <x v="0"/>
    <n v="41"/>
    <x v="1"/>
    <n v="1"/>
    <n v="1"/>
    <s v="Primary"/>
    <x v="2"/>
    <n v="0"/>
    <n v="0"/>
    <n v="0"/>
    <x v="1"/>
    <n v="0"/>
    <x v="0"/>
    <n v="0"/>
    <n v="0"/>
    <n v="0"/>
    <n v="156"/>
    <n v="156"/>
    <x v="1"/>
    <n v="121"/>
    <n v="88"/>
    <n v="23.57"/>
    <n v="23.57"/>
    <x v="1"/>
    <n v="70"/>
    <n v="70"/>
    <n v="86"/>
    <n v="86"/>
    <x v="0"/>
    <x v="0"/>
  </r>
  <r>
    <n v="0"/>
    <x v="0"/>
    <n v="41"/>
    <x v="1"/>
    <n v="3"/>
    <n v="3"/>
    <s v="Graduate"/>
    <x v="1"/>
    <n v="0"/>
    <n v="0"/>
    <n v="0"/>
    <x v="1"/>
    <n v="0"/>
    <x v="0"/>
    <n v="0"/>
    <n v="0"/>
    <n v="0"/>
    <n v="228"/>
    <n v="228"/>
    <x v="1"/>
    <n v="108"/>
    <n v="62"/>
    <n v="23.92"/>
    <n v="23.92"/>
    <x v="1"/>
    <n v="63"/>
    <n v="63"/>
    <n v="99"/>
    <n v="99"/>
    <x v="0"/>
    <x v="0"/>
  </r>
  <r>
    <n v="0"/>
    <x v="0"/>
    <n v="41"/>
    <x v="1"/>
    <n v="2"/>
    <n v="2"/>
    <s v="Secondary"/>
    <x v="0"/>
    <n v="1"/>
    <n v="9"/>
    <n v="9"/>
    <x v="0"/>
    <n v="0"/>
    <x v="0"/>
    <n v="0"/>
    <n v="0"/>
    <n v="0"/>
    <n v="280"/>
    <n v="280"/>
    <x v="0"/>
    <n v="129"/>
    <n v="89"/>
    <n v="39.69"/>
    <n v="39.69"/>
    <x v="2"/>
    <n v="110"/>
    <n v="110"/>
    <n v="65"/>
    <n v="65"/>
    <x v="0"/>
    <x v="0"/>
  </r>
  <r>
    <n v="0"/>
    <x v="0"/>
    <n v="41"/>
    <x v="1"/>
    <n v="1"/>
    <n v="1"/>
    <s v="Primary"/>
    <x v="2"/>
    <n v="1"/>
    <n v="20"/>
    <n v="20"/>
    <x v="0"/>
    <n v="0"/>
    <x v="0"/>
    <n v="0"/>
    <n v="0"/>
    <n v="0"/>
    <n v="326"/>
    <n v="326"/>
    <x v="0"/>
    <n v="124"/>
    <n v="78"/>
    <n v="25.27"/>
    <n v="25.27"/>
    <x v="0"/>
    <n v="88"/>
    <n v="88"/>
    <n v="67"/>
    <n v="67"/>
    <x v="0"/>
    <x v="0"/>
  </r>
  <r>
    <n v="0"/>
    <x v="0"/>
    <n v="41"/>
    <x v="1"/>
    <n v="2"/>
    <n v="2"/>
    <s v="Secondary"/>
    <x v="0"/>
    <n v="0"/>
    <n v="0"/>
    <n v="0"/>
    <x v="1"/>
    <n v="0"/>
    <x v="0"/>
    <n v="0"/>
    <n v="0"/>
    <n v="0"/>
    <n v="185"/>
    <n v="185"/>
    <x v="1"/>
    <n v="125"/>
    <n v="88"/>
    <n v="24.88"/>
    <n v="24.88"/>
    <x v="1"/>
    <n v="107"/>
    <n v="107"/>
    <n v="75"/>
    <n v="75"/>
    <x v="0"/>
    <x v="0"/>
  </r>
  <r>
    <n v="0"/>
    <x v="0"/>
    <n v="41"/>
    <x v="1"/>
    <n v="2"/>
    <n v="2"/>
    <s v="Secondary"/>
    <x v="0"/>
    <n v="0"/>
    <n v="0"/>
    <n v="0"/>
    <x v="1"/>
    <n v="0"/>
    <x v="0"/>
    <n v="0"/>
    <n v="0"/>
    <n v="0"/>
    <n v="197"/>
    <n v="197"/>
    <x v="1"/>
    <n v="113"/>
    <n v="70"/>
    <n v="23.78"/>
    <n v="23.78"/>
    <x v="1"/>
    <n v="65"/>
    <n v="65"/>
    <n v="90"/>
    <n v="90"/>
    <x v="0"/>
    <x v="0"/>
  </r>
  <r>
    <n v="1"/>
    <x v="1"/>
    <n v="41"/>
    <x v="1"/>
    <n v="1"/>
    <n v="1"/>
    <s v="Primary"/>
    <x v="2"/>
    <n v="0"/>
    <n v="0"/>
    <n v="0"/>
    <x v="1"/>
    <n v="0"/>
    <x v="0"/>
    <n v="0"/>
    <n v="0"/>
    <n v="0"/>
    <n v="181"/>
    <n v="181"/>
    <x v="1"/>
    <n v="125"/>
    <n v="79"/>
    <n v="19.09"/>
    <n v="19.09"/>
    <x v="1"/>
    <n v="60"/>
    <n v="60"/>
    <n v="70"/>
    <n v="70"/>
    <x v="0"/>
    <x v="0"/>
  </r>
  <r>
    <n v="0"/>
    <x v="0"/>
    <n v="41"/>
    <x v="1"/>
    <n v="1"/>
    <n v="1"/>
    <s v="Primary"/>
    <x v="2"/>
    <n v="0"/>
    <n v="0"/>
    <n v="0"/>
    <x v="1"/>
    <n v="0"/>
    <x v="0"/>
    <n v="0"/>
    <n v="1"/>
    <n v="0"/>
    <n v="317"/>
    <n v="317"/>
    <x v="0"/>
    <n v="149.5"/>
    <n v="93"/>
    <n v="35.42"/>
    <n v="35.42"/>
    <x v="2"/>
    <n v="68"/>
    <n v="68"/>
    <n v="87"/>
    <n v="87"/>
    <x v="0"/>
    <x v="0"/>
  </r>
  <r>
    <n v="1"/>
    <x v="1"/>
    <n v="41"/>
    <x v="1"/>
    <n v="2"/>
    <n v="2"/>
    <s v="Secondary"/>
    <x v="0"/>
    <n v="1"/>
    <n v="30"/>
    <n v="30"/>
    <x v="0"/>
    <n v="0"/>
    <x v="0"/>
    <n v="0"/>
    <n v="0"/>
    <n v="0"/>
    <n v="228"/>
    <n v="228"/>
    <x v="1"/>
    <n v="113"/>
    <n v="82.5"/>
    <n v="25.67"/>
    <n v="25.67"/>
    <x v="0"/>
    <n v="67"/>
    <n v="67"/>
    <n v="70"/>
    <n v="70"/>
    <x v="0"/>
    <x v="0"/>
  </r>
  <r>
    <n v="0"/>
    <x v="0"/>
    <n v="41"/>
    <x v="1"/>
    <n v="1"/>
    <n v="1"/>
    <s v="Primary"/>
    <x v="2"/>
    <n v="1"/>
    <n v="20"/>
    <n v="20"/>
    <x v="0"/>
    <n v="0"/>
    <x v="0"/>
    <n v="0"/>
    <n v="1"/>
    <n v="0"/>
    <n v="167"/>
    <n v="167"/>
    <x v="1"/>
    <n v="147.5"/>
    <n v="87.5"/>
    <n v="32.520000000000003"/>
    <n v="32.520000000000003"/>
    <x v="2"/>
    <n v="75"/>
    <n v="75"/>
    <n v="80"/>
    <n v="80"/>
    <x v="0"/>
    <x v="0"/>
  </r>
  <r>
    <n v="0"/>
    <x v="0"/>
    <n v="41"/>
    <x v="1"/>
    <n v="2"/>
    <n v="2"/>
    <s v="Secondary"/>
    <x v="0"/>
    <n v="0"/>
    <n v="0"/>
    <n v="0"/>
    <x v="1"/>
    <n v="0"/>
    <x v="0"/>
    <n v="0"/>
    <n v="0"/>
    <n v="0"/>
    <n v="180"/>
    <n v="180"/>
    <x v="1"/>
    <n v="115"/>
    <n v="84"/>
    <n v="20.11"/>
    <n v="20.11"/>
    <x v="1"/>
    <n v="75"/>
    <n v="75"/>
    <n v="64"/>
    <n v="64"/>
    <x v="0"/>
    <x v="0"/>
  </r>
  <r>
    <n v="1"/>
    <x v="1"/>
    <n v="41"/>
    <x v="1"/>
    <n v="3"/>
    <n v="3"/>
    <s v="Graduate"/>
    <x v="1"/>
    <n v="1"/>
    <n v="20"/>
    <n v="20"/>
    <x v="0"/>
    <n v="0"/>
    <x v="0"/>
    <n v="0"/>
    <n v="1"/>
    <n v="0"/>
    <n v="240"/>
    <n v="240"/>
    <x v="1"/>
    <n v="166"/>
    <n v="71"/>
    <n v="35.53"/>
    <n v="35.53"/>
    <x v="2"/>
    <n v="90"/>
    <n v="90"/>
    <n v="57"/>
    <n v="57"/>
    <x v="0"/>
    <x v="0"/>
  </r>
  <r>
    <n v="0"/>
    <x v="0"/>
    <n v="41"/>
    <x v="1"/>
    <n v="1"/>
    <n v="1"/>
    <s v="Primary"/>
    <x v="2"/>
    <n v="0"/>
    <n v="0"/>
    <n v="0"/>
    <x v="1"/>
    <n v="0"/>
    <x v="0"/>
    <n v="0"/>
    <n v="0"/>
    <n v="0"/>
    <n v="295"/>
    <n v="295"/>
    <x v="0"/>
    <n v="118"/>
    <n v="83"/>
    <n v="29.01"/>
    <n v="29.01"/>
    <x v="0"/>
    <n v="75"/>
    <n v="75"/>
    <n v="75"/>
    <n v="75"/>
    <x v="0"/>
    <x v="0"/>
  </r>
  <r>
    <n v="1"/>
    <x v="1"/>
    <n v="41"/>
    <x v="1"/>
    <n v="3"/>
    <n v="3"/>
    <s v="Graduate"/>
    <x v="1"/>
    <n v="1"/>
    <n v="30"/>
    <n v="30"/>
    <x v="0"/>
    <n v="0"/>
    <x v="0"/>
    <n v="0"/>
    <n v="1"/>
    <n v="0"/>
    <n v="292"/>
    <n v="292"/>
    <x v="0"/>
    <n v="152"/>
    <n v="73"/>
    <n v="25.21"/>
    <n v="25.21"/>
    <x v="0"/>
    <n v="75"/>
    <n v="75"/>
    <n v="112"/>
    <n v="112"/>
    <x v="0"/>
    <x v="0"/>
  </r>
  <r>
    <n v="0"/>
    <x v="0"/>
    <n v="41"/>
    <x v="1"/>
    <n v="3"/>
    <n v="3"/>
    <s v="Graduate"/>
    <x v="1"/>
    <n v="0"/>
    <n v="0"/>
    <n v="0"/>
    <x v="1"/>
    <n v="0"/>
    <x v="0"/>
    <n v="0"/>
    <n v="0"/>
    <n v="0"/>
    <n v="180"/>
    <n v="180"/>
    <x v="1"/>
    <n v="124"/>
    <n v="75.5"/>
    <n v="24.2"/>
    <n v="24.2"/>
    <x v="1"/>
    <n v="68"/>
    <n v="68"/>
    <s v="NA"/>
    <n v="81.96365524402907"/>
    <x v="0"/>
    <x v="0"/>
  </r>
  <r>
    <n v="1"/>
    <x v="1"/>
    <n v="41"/>
    <x v="1"/>
    <n v="4"/>
    <n v="4"/>
    <s v="Post Graduate"/>
    <x v="3"/>
    <n v="0"/>
    <n v="0"/>
    <n v="0"/>
    <x v="1"/>
    <n v="0"/>
    <x v="0"/>
    <n v="0"/>
    <n v="0"/>
    <n v="0"/>
    <n v="178"/>
    <n v="178"/>
    <x v="1"/>
    <n v="135"/>
    <n v="80"/>
    <n v="26.91"/>
    <n v="26.91"/>
    <x v="0"/>
    <n v="75"/>
    <n v="75"/>
    <s v="NA"/>
    <n v="81.96365524402907"/>
    <x v="0"/>
    <x v="0"/>
  </r>
  <r>
    <n v="1"/>
    <x v="1"/>
    <n v="41"/>
    <x v="1"/>
    <n v="1"/>
    <n v="1"/>
    <s v="Primary"/>
    <x v="2"/>
    <n v="1"/>
    <n v="3"/>
    <n v="3"/>
    <x v="0"/>
    <n v="0"/>
    <x v="0"/>
    <n v="0"/>
    <n v="0"/>
    <n v="0"/>
    <n v="309"/>
    <n v="309"/>
    <x v="0"/>
    <n v="113"/>
    <n v="74"/>
    <n v="25.4"/>
    <n v="25.4"/>
    <x v="0"/>
    <n v="75"/>
    <n v="75"/>
    <n v="64"/>
    <n v="64"/>
    <x v="0"/>
    <x v="0"/>
  </r>
  <r>
    <n v="1"/>
    <x v="1"/>
    <n v="41"/>
    <x v="1"/>
    <n v="1"/>
    <n v="1"/>
    <s v="Primary"/>
    <x v="2"/>
    <n v="1"/>
    <n v="15"/>
    <n v="15"/>
    <x v="0"/>
    <n v="0"/>
    <x v="0"/>
    <n v="0"/>
    <n v="0"/>
    <n v="0"/>
    <n v="265"/>
    <n v="265"/>
    <x v="0"/>
    <n v="130"/>
    <n v="80"/>
    <n v="26.58"/>
    <n v="26.58"/>
    <x v="0"/>
    <n v="84"/>
    <n v="84"/>
    <n v="63"/>
    <n v="63"/>
    <x v="0"/>
    <x v="0"/>
  </r>
  <r>
    <n v="0"/>
    <x v="0"/>
    <n v="41"/>
    <x v="1"/>
    <n v="2"/>
    <n v="2"/>
    <s v="Secondary"/>
    <x v="0"/>
    <n v="1"/>
    <n v="7"/>
    <n v="7"/>
    <x v="0"/>
    <n v="0"/>
    <x v="0"/>
    <n v="0"/>
    <n v="0"/>
    <n v="0"/>
    <n v="260"/>
    <n v="260"/>
    <x v="0"/>
    <n v="101"/>
    <n v="68"/>
    <n v="22.49"/>
    <n v="22.49"/>
    <x v="1"/>
    <n v="80"/>
    <n v="80"/>
    <n v="77"/>
    <n v="77"/>
    <x v="0"/>
    <x v="0"/>
  </r>
  <r>
    <n v="1"/>
    <x v="1"/>
    <n v="41"/>
    <x v="1"/>
    <n v="2"/>
    <n v="2"/>
    <s v="Secondary"/>
    <x v="0"/>
    <n v="1"/>
    <n v="20"/>
    <n v="20"/>
    <x v="0"/>
    <n v="0"/>
    <x v="0"/>
    <n v="0"/>
    <n v="1"/>
    <n v="0"/>
    <n v="236"/>
    <n v="236"/>
    <x v="1"/>
    <n v="127"/>
    <n v="84"/>
    <n v="31.12"/>
    <n v="31.12"/>
    <x v="2"/>
    <n v="80"/>
    <n v="80"/>
    <n v="83"/>
    <n v="83"/>
    <x v="0"/>
    <x v="1"/>
  </r>
  <r>
    <n v="0"/>
    <x v="0"/>
    <n v="41"/>
    <x v="1"/>
    <n v="2"/>
    <n v="2"/>
    <s v="Secondary"/>
    <x v="0"/>
    <n v="1"/>
    <n v="9"/>
    <n v="9"/>
    <x v="0"/>
    <n v="1"/>
    <x v="1"/>
    <n v="1"/>
    <n v="1"/>
    <n v="0"/>
    <n v="180"/>
    <n v="180"/>
    <x v="1"/>
    <n v="114"/>
    <n v="70"/>
    <n v="22.41"/>
    <n v="22.41"/>
    <x v="1"/>
    <n v="92"/>
    <n v="92"/>
    <s v="NA"/>
    <n v="81.96365524402907"/>
    <x v="0"/>
    <x v="0"/>
  </r>
  <r>
    <n v="0"/>
    <x v="0"/>
    <n v="41"/>
    <x v="1"/>
    <n v="1"/>
    <n v="1"/>
    <s v="Primary"/>
    <x v="2"/>
    <n v="0"/>
    <n v="0"/>
    <n v="0"/>
    <x v="1"/>
    <n v="0"/>
    <x v="0"/>
    <n v="0"/>
    <n v="0"/>
    <n v="0"/>
    <n v="170"/>
    <n v="170"/>
    <x v="1"/>
    <n v="113.5"/>
    <n v="65.5"/>
    <n v="31.71"/>
    <n v="31.71"/>
    <x v="2"/>
    <n v="73"/>
    <n v="73"/>
    <n v="93"/>
    <n v="93"/>
    <x v="0"/>
    <x v="0"/>
  </r>
  <r>
    <n v="1"/>
    <x v="1"/>
    <n v="41"/>
    <x v="1"/>
    <n v="4"/>
    <n v="4"/>
    <s v="Post Graduate"/>
    <x v="3"/>
    <n v="0"/>
    <n v="0"/>
    <n v="0"/>
    <x v="1"/>
    <n v="0"/>
    <x v="0"/>
    <n v="0"/>
    <n v="0"/>
    <n v="0"/>
    <n v="197"/>
    <n v="197"/>
    <x v="1"/>
    <n v="134"/>
    <n v="87"/>
    <n v="25.48"/>
    <n v="25.48"/>
    <x v="0"/>
    <n v="75"/>
    <n v="75"/>
    <n v="75"/>
    <n v="75"/>
    <x v="0"/>
    <x v="0"/>
  </r>
  <r>
    <n v="0"/>
    <x v="0"/>
    <n v="41"/>
    <x v="1"/>
    <n v="1"/>
    <n v="1"/>
    <s v="Primary"/>
    <x v="2"/>
    <n v="1"/>
    <n v="5"/>
    <n v="5"/>
    <x v="0"/>
    <n v="0"/>
    <x v="0"/>
    <n v="0"/>
    <n v="0"/>
    <n v="0"/>
    <n v="209"/>
    <n v="209"/>
    <x v="1"/>
    <n v="107"/>
    <n v="65"/>
    <n v="27.27"/>
    <n v="27.27"/>
    <x v="0"/>
    <n v="84"/>
    <n v="84"/>
    <n v="87"/>
    <n v="87"/>
    <x v="0"/>
    <x v="0"/>
  </r>
  <r>
    <n v="0"/>
    <x v="0"/>
    <n v="41"/>
    <x v="1"/>
    <n v="1"/>
    <n v="1"/>
    <s v="Primary"/>
    <x v="2"/>
    <n v="0"/>
    <n v="0"/>
    <n v="0"/>
    <x v="1"/>
    <n v="0"/>
    <x v="0"/>
    <n v="0"/>
    <n v="0"/>
    <n v="0"/>
    <n v="228"/>
    <n v="228"/>
    <x v="1"/>
    <n v="93"/>
    <n v="71"/>
    <n v="31.57"/>
    <n v="31.57"/>
    <x v="2"/>
    <n v="50"/>
    <n v="50"/>
    <n v="85"/>
    <n v="85"/>
    <x v="0"/>
    <x v="0"/>
  </r>
  <r>
    <n v="0"/>
    <x v="0"/>
    <n v="41"/>
    <x v="1"/>
    <n v="2"/>
    <n v="2"/>
    <s v="Secondary"/>
    <x v="0"/>
    <n v="1"/>
    <n v="1"/>
    <n v="1"/>
    <x v="0"/>
    <n v="0"/>
    <x v="0"/>
    <n v="0"/>
    <n v="0"/>
    <n v="0"/>
    <n v="189"/>
    <n v="189"/>
    <x v="1"/>
    <n v="113.5"/>
    <n v="61"/>
    <n v="23.08"/>
    <n v="23.08"/>
    <x v="1"/>
    <n v="55"/>
    <n v="55"/>
    <n v="73"/>
    <n v="73"/>
    <x v="0"/>
    <x v="0"/>
  </r>
  <r>
    <n v="0"/>
    <x v="0"/>
    <n v="41"/>
    <x v="1"/>
    <n v="2"/>
    <n v="2"/>
    <s v="Secondary"/>
    <x v="0"/>
    <n v="0"/>
    <n v="0"/>
    <n v="0"/>
    <x v="1"/>
    <n v="0"/>
    <x v="0"/>
    <n v="0"/>
    <n v="0"/>
    <n v="0"/>
    <n v="232"/>
    <n v="232"/>
    <x v="1"/>
    <n v="117.5"/>
    <n v="77.5"/>
    <n v="20.62"/>
    <n v="20.62"/>
    <x v="1"/>
    <n v="53"/>
    <n v="53"/>
    <n v="75"/>
    <n v="75"/>
    <x v="0"/>
    <x v="0"/>
  </r>
  <r>
    <n v="0"/>
    <x v="0"/>
    <n v="41"/>
    <x v="1"/>
    <n v="2"/>
    <n v="2"/>
    <s v="Secondary"/>
    <x v="0"/>
    <n v="0"/>
    <n v="0"/>
    <n v="0"/>
    <x v="1"/>
    <n v="0"/>
    <x v="0"/>
    <n v="0"/>
    <n v="0"/>
    <n v="0"/>
    <n v="177"/>
    <n v="177"/>
    <x v="1"/>
    <n v="108"/>
    <n v="73"/>
    <n v="24.73"/>
    <n v="24.73"/>
    <x v="1"/>
    <n v="80"/>
    <n v="80"/>
    <n v="72"/>
    <n v="72"/>
    <x v="0"/>
    <x v="0"/>
  </r>
  <r>
    <n v="1"/>
    <x v="1"/>
    <n v="41"/>
    <x v="1"/>
    <n v="2"/>
    <n v="2"/>
    <s v="Secondary"/>
    <x v="0"/>
    <n v="1"/>
    <n v="20"/>
    <n v="20"/>
    <x v="0"/>
    <n v="0"/>
    <x v="0"/>
    <n v="0"/>
    <n v="0"/>
    <n v="0"/>
    <n v="264"/>
    <n v="264"/>
    <x v="0"/>
    <n v="126.5"/>
    <n v="82"/>
    <n v="23.96"/>
    <n v="23.96"/>
    <x v="1"/>
    <n v="75"/>
    <n v="75"/>
    <n v="78"/>
    <n v="78"/>
    <x v="0"/>
    <x v="1"/>
  </r>
  <r>
    <n v="0"/>
    <x v="0"/>
    <n v="41"/>
    <x v="1"/>
    <n v="1"/>
    <n v="1"/>
    <s v="Primary"/>
    <x v="2"/>
    <n v="1"/>
    <n v="20"/>
    <n v="20"/>
    <x v="0"/>
    <n v="0"/>
    <x v="0"/>
    <n v="0"/>
    <n v="0"/>
    <n v="0"/>
    <n v="190"/>
    <n v="190"/>
    <x v="1"/>
    <n v="135"/>
    <n v="81"/>
    <n v="24.38"/>
    <n v="24.38"/>
    <x v="1"/>
    <n v="65"/>
    <n v="65"/>
    <s v="NA"/>
    <n v="81.96365524402907"/>
    <x v="0"/>
    <x v="0"/>
  </r>
  <r>
    <n v="1"/>
    <x v="1"/>
    <n v="41"/>
    <x v="1"/>
    <n v="1"/>
    <n v="1"/>
    <s v="Primary"/>
    <x v="2"/>
    <n v="1"/>
    <n v="20"/>
    <n v="20"/>
    <x v="0"/>
    <n v="0"/>
    <x v="0"/>
    <n v="0"/>
    <n v="0"/>
    <n v="0"/>
    <n v="163"/>
    <n v="163"/>
    <x v="1"/>
    <n v="102"/>
    <n v="59.5"/>
    <n v="22.27"/>
    <n v="22.27"/>
    <x v="1"/>
    <n v="67"/>
    <n v="67"/>
    <n v="82"/>
    <n v="82"/>
    <x v="0"/>
    <x v="0"/>
  </r>
  <r>
    <n v="1"/>
    <x v="1"/>
    <n v="41"/>
    <x v="1"/>
    <n v="3"/>
    <n v="3"/>
    <s v="Graduate"/>
    <x v="1"/>
    <n v="1"/>
    <n v="20"/>
    <n v="20"/>
    <x v="0"/>
    <n v="0"/>
    <x v="0"/>
    <n v="0"/>
    <n v="0"/>
    <n v="0"/>
    <n v="217"/>
    <n v="217"/>
    <x v="1"/>
    <n v="110"/>
    <n v="79"/>
    <n v="21.27"/>
    <n v="21.27"/>
    <x v="1"/>
    <n v="100"/>
    <n v="100"/>
    <n v="95"/>
    <n v="95"/>
    <x v="0"/>
    <x v="0"/>
  </r>
  <r>
    <n v="1"/>
    <x v="1"/>
    <n v="41"/>
    <x v="1"/>
    <n v="1"/>
    <n v="1"/>
    <s v="Primary"/>
    <x v="2"/>
    <n v="1"/>
    <n v="40"/>
    <n v="40"/>
    <x v="0"/>
    <n v="0"/>
    <x v="0"/>
    <n v="0"/>
    <n v="0"/>
    <n v="0"/>
    <n v="260"/>
    <n v="260"/>
    <x v="0"/>
    <n v="137.5"/>
    <n v="80"/>
    <n v="26.89"/>
    <n v="26.89"/>
    <x v="0"/>
    <n v="75"/>
    <n v="75"/>
    <n v="55"/>
    <n v="55"/>
    <x v="0"/>
    <x v="1"/>
  </r>
  <r>
    <n v="0"/>
    <x v="0"/>
    <n v="41"/>
    <x v="1"/>
    <n v="2"/>
    <n v="2"/>
    <s v="Secondary"/>
    <x v="0"/>
    <n v="0"/>
    <n v="0"/>
    <n v="0"/>
    <x v="1"/>
    <n v="0"/>
    <x v="0"/>
    <n v="0"/>
    <n v="1"/>
    <n v="0"/>
    <n v="188"/>
    <n v="188"/>
    <x v="1"/>
    <n v="142.5"/>
    <n v="87.5"/>
    <n v="39.21"/>
    <n v="39.21"/>
    <x v="2"/>
    <n v="70"/>
    <n v="70"/>
    <s v="NA"/>
    <n v="81.96365524402907"/>
    <x v="0"/>
    <x v="0"/>
  </r>
  <r>
    <n v="0"/>
    <x v="0"/>
    <n v="41"/>
    <x v="1"/>
    <n v="4"/>
    <n v="4"/>
    <s v="Post Graduate"/>
    <x v="3"/>
    <n v="1"/>
    <n v="17"/>
    <n v="17"/>
    <x v="0"/>
    <n v="0"/>
    <x v="0"/>
    <n v="0"/>
    <n v="1"/>
    <n v="0"/>
    <n v="261"/>
    <n v="261"/>
    <x v="0"/>
    <n v="147.5"/>
    <n v="97"/>
    <n v="31.65"/>
    <n v="31.65"/>
    <x v="2"/>
    <n v="75"/>
    <n v="75"/>
    <n v="73"/>
    <n v="73"/>
    <x v="0"/>
    <x v="0"/>
  </r>
  <r>
    <n v="0"/>
    <x v="0"/>
    <n v="41"/>
    <x v="1"/>
    <n v="3"/>
    <n v="3"/>
    <s v="Graduate"/>
    <x v="1"/>
    <n v="1"/>
    <n v="3"/>
    <n v="3"/>
    <x v="0"/>
    <n v="0"/>
    <x v="0"/>
    <n v="0"/>
    <n v="0"/>
    <n v="0"/>
    <n v="232"/>
    <n v="232"/>
    <x v="1"/>
    <n v="125"/>
    <n v="80"/>
    <n v="25.38"/>
    <n v="25.38"/>
    <x v="0"/>
    <n v="72"/>
    <n v="72"/>
    <n v="79"/>
    <n v="79"/>
    <x v="0"/>
    <x v="0"/>
  </r>
  <r>
    <n v="1"/>
    <x v="1"/>
    <n v="41"/>
    <x v="1"/>
    <n v="2"/>
    <n v="2"/>
    <s v="Secondary"/>
    <x v="0"/>
    <n v="1"/>
    <n v="20"/>
    <n v="20"/>
    <x v="0"/>
    <n v="0"/>
    <x v="0"/>
    <n v="0"/>
    <n v="1"/>
    <n v="0"/>
    <n v="196"/>
    <n v="196"/>
    <x v="1"/>
    <n v="154"/>
    <n v="99"/>
    <n v="23.46"/>
    <n v="23.46"/>
    <x v="1"/>
    <n v="82"/>
    <n v="82"/>
    <n v="56"/>
    <n v="56"/>
    <x v="0"/>
    <x v="0"/>
  </r>
  <r>
    <n v="0"/>
    <x v="0"/>
    <n v="41"/>
    <x v="1"/>
    <n v="1"/>
    <n v="1"/>
    <s v="Primary"/>
    <x v="2"/>
    <n v="1"/>
    <n v="5"/>
    <n v="5"/>
    <x v="0"/>
    <n v="0"/>
    <x v="0"/>
    <n v="0"/>
    <n v="0"/>
    <n v="0"/>
    <n v="192"/>
    <n v="192"/>
    <x v="1"/>
    <n v="123"/>
    <n v="72"/>
    <n v="19.16"/>
    <n v="19.16"/>
    <x v="1"/>
    <n v="62"/>
    <n v="62"/>
    <n v="90"/>
    <n v="90"/>
    <x v="0"/>
    <x v="1"/>
  </r>
  <r>
    <n v="0"/>
    <x v="0"/>
    <n v="41"/>
    <x v="1"/>
    <n v="1"/>
    <n v="1"/>
    <s v="Primary"/>
    <x v="2"/>
    <n v="0"/>
    <n v="0"/>
    <n v="0"/>
    <x v="1"/>
    <n v="0"/>
    <x v="0"/>
    <n v="0"/>
    <n v="0"/>
    <n v="0"/>
    <n v="193"/>
    <n v="193"/>
    <x v="1"/>
    <n v="127"/>
    <n v="83"/>
    <n v="21.49"/>
    <n v="21.49"/>
    <x v="1"/>
    <n v="60"/>
    <n v="60"/>
    <n v="80"/>
    <n v="80"/>
    <x v="0"/>
    <x v="0"/>
  </r>
  <r>
    <n v="1"/>
    <x v="1"/>
    <n v="41"/>
    <x v="1"/>
    <n v="2"/>
    <n v="2"/>
    <s v="Secondary"/>
    <x v="0"/>
    <n v="1"/>
    <n v="20"/>
    <n v="20"/>
    <x v="0"/>
    <n v="0"/>
    <x v="0"/>
    <n v="0"/>
    <n v="1"/>
    <n v="0"/>
    <n v="293"/>
    <n v="293"/>
    <x v="0"/>
    <n v="132"/>
    <n v="86"/>
    <n v="24.62"/>
    <n v="24.62"/>
    <x v="1"/>
    <n v="65"/>
    <n v="65"/>
    <n v="75"/>
    <n v="75"/>
    <x v="0"/>
    <x v="0"/>
  </r>
  <r>
    <n v="1"/>
    <x v="1"/>
    <n v="41"/>
    <x v="1"/>
    <n v="2"/>
    <n v="2"/>
    <s v="Secondary"/>
    <x v="0"/>
    <n v="1"/>
    <n v="20"/>
    <n v="20"/>
    <x v="0"/>
    <n v="0"/>
    <x v="0"/>
    <n v="0"/>
    <n v="0"/>
    <n v="0"/>
    <n v="201"/>
    <n v="201"/>
    <x v="1"/>
    <n v="122"/>
    <n v="76.5"/>
    <n v="23.81"/>
    <n v="23.81"/>
    <x v="1"/>
    <n v="70"/>
    <n v="70"/>
    <n v="73"/>
    <n v="73"/>
    <x v="0"/>
    <x v="0"/>
  </r>
  <r>
    <n v="0"/>
    <x v="0"/>
    <n v="41"/>
    <x v="1"/>
    <n v="1"/>
    <n v="1"/>
    <s v="Primary"/>
    <x v="2"/>
    <n v="1"/>
    <n v="20"/>
    <n v="20"/>
    <x v="0"/>
    <s v="NA"/>
    <x v="0"/>
    <n v="0"/>
    <n v="0"/>
    <n v="0"/>
    <n v="203"/>
    <n v="203"/>
    <x v="1"/>
    <n v="120"/>
    <n v="70"/>
    <n v="21.26"/>
    <n v="21.26"/>
    <x v="1"/>
    <n v="80"/>
    <n v="80"/>
    <n v="63"/>
    <n v="63"/>
    <x v="1"/>
    <x v="0"/>
  </r>
  <r>
    <n v="0"/>
    <x v="0"/>
    <n v="41"/>
    <x v="1"/>
    <n v="1"/>
    <n v="1"/>
    <s v="Primary"/>
    <x v="2"/>
    <n v="1"/>
    <n v="25"/>
    <n v="25"/>
    <x v="0"/>
    <n v="0"/>
    <x v="0"/>
    <n v="0"/>
    <n v="0"/>
    <n v="0"/>
    <n v="172"/>
    <n v="172"/>
    <x v="1"/>
    <n v="108"/>
    <n v="73"/>
    <n v="22.5"/>
    <n v="22.5"/>
    <x v="1"/>
    <n v="85"/>
    <n v="85"/>
    <n v="73"/>
    <n v="73"/>
    <x v="0"/>
    <x v="0"/>
  </r>
  <r>
    <n v="0"/>
    <x v="0"/>
    <n v="41"/>
    <x v="1"/>
    <n v="2"/>
    <n v="2"/>
    <s v="Secondary"/>
    <x v="0"/>
    <n v="1"/>
    <n v="2"/>
    <n v="2"/>
    <x v="0"/>
    <n v="0"/>
    <x v="0"/>
    <n v="0"/>
    <n v="0"/>
    <n v="0"/>
    <n v="159"/>
    <n v="159"/>
    <x v="1"/>
    <n v="99"/>
    <n v="62"/>
    <n v="19.09"/>
    <n v="19.09"/>
    <x v="1"/>
    <n v="80"/>
    <n v="80"/>
    <n v="67"/>
    <n v="67"/>
    <x v="0"/>
    <x v="0"/>
  </r>
  <r>
    <n v="0"/>
    <x v="0"/>
    <n v="41"/>
    <x v="1"/>
    <n v="3"/>
    <n v="3"/>
    <s v="Graduate"/>
    <x v="1"/>
    <n v="1"/>
    <n v="15"/>
    <n v="15"/>
    <x v="0"/>
    <n v="0"/>
    <x v="0"/>
    <n v="0"/>
    <n v="0"/>
    <n v="0"/>
    <n v="205"/>
    <n v="205"/>
    <x v="1"/>
    <n v="120"/>
    <n v="80"/>
    <n v="20.67"/>
    <n v="20.67"/>
    <x v="1"/>
    <n v="86"/>
    <n v="86"/>
    <n v="64"/>
    <n v="64"/>
    <x v="0"/>
    <x v="0"/>
  </r>
  <r>
    <n v="0"/>
    <x v="0"/>
    <n v="41"/>
    <x v="1"/>
    <n v="1"/>
    <n v="1"/>
    <s v="Primary"/>
    <x v="2"/>
    <n v="0"/>
    <n v="0"/>
    <n v="0"/>
    <x v="1"/>
    <n v="0"/>
    <x v="0"/>
    <n v="0"/>
    <n v="0"/>
    <n v="0"/>
    <n v="225"/>
    <n v="225"/>
    <x v="1"/>
    <n v="110"/>
    <n v="60"/>
    <n v="25.54"/>
    <n v="25.54"/>
    <x v="0"/>
    <n v="75"/>
    <n v="75"/>
    <n v="58"/>
    <n v="58"/>
    <x v="0"/>
    <x v="0"/>
  </r>
  <r>
    <n v="0"/>
    <x v="0"/>
    <n v="41"/>
    <x v="1"/>
    <n v="2"/>
    <n v="2"/>
    <s v="Secondary"/>
    <x v="0"/>
    <n v="1"/>
    <n v="16"/>
    <n v="16"/>
    <x v="0"/>
    <n v="0"/>
    <x v="0"/>
    <n v="0"/>
    <n v="1"/>
    <n v="0"/>
    <n v="243"/>
    <n v="243"/>
    <x v="0"/>
    <n v="159"/>
    <n v="100"/>
    <n v="27.78"/>
    <n v="27.78"/>
    <x v="0"/>
    <n v="78"/>
    <n v="78"/>
    <n v="71"/>
    <n v="71"/>
    <x v="0"/>
    <x v="0"/>
  </r>
  <r>
    <n v="0"/>
    <x v="0"/>
    <n v="41"/>
    <x v="1"/>
    <n v="1"/>
    <n v="1"/>
    <s v="Primary"/>
    <x v="2"/>
    <n v="0"/>
    <n v="0"/>
    <n v="0"/>
    <x v="1"/>
    <n v="0"/>
    <x v="0"/>
    <n v="0"/>
    <n v="0"/>
    <n v="0"/>
    <n v="181"/>
    <n v="181"/>
    <x v="1"/>
    <n v="112"/>
    <n v="75.5"/>
    <n v="25.14"/>
    <n v="25.14"/>
    <x v="0"/>
    <n v="72"/>
    <n v="72"/>
    <n v="95"/>
    <n v="95"/>
    <x v="0"/>
    <x v="0"/>
  </r>
  <r>
    <n v="1"/>
    <x v="1"/>
    <n v="41"/>
    <x v="1"/>
    <n v="2"/>
    <n v="2"/>
    <s v="Secondary"/>
    <x v="0"/>
    <n v="0"/>
    <n v="0"/>
    <n v="0"/>
    <x v="1"/>
    <n v="0"/>
    <x v="0"/>
    <n v="0"/>
    <n v="0"/>
    <n v="0"/>
    <n v="245"/>
    <n v="245"/>
    <x v="0"/>
    <n v="139"/>
    <n v="84"/>
    <n v="28.76"/>
    <n v="28.76"/>
    <x v="0"/>
    <n v="95"/>
    <n v="95"/>
    <n v="68"/>
    <n v="68"/>
    <x v="0"/>
    <x v="0"/>
  </r>
  <r>
    <n v="1"/>
    <x v="1"/>
    <n v="41"/>
    <x v="1"/>
    <n v="2"/>
    <n v="2"/>
    <s v="Secondary"/>
    <x v="0"/>
    <n v="1"/>
    <n v="20"/>
    <n v="20"/>
    <x v="0"/>
    <n v="0"/>
    <x v="0"/>
    <n v="0"/>
    <n v="0"/>
    <n v="0"/>
    <n v="212"/>
    <n v="212"/>
    <x v="1"/>
    <n v="112"/>
    <n v="63.5"/>
    <n v="25.2"/>
    <n v="25.2"/>
    <x v="0"/>
    <n v="80"/>
    <n v="80"/>
    <n v="76"/>
    <n v="76"/>
    <x v="0"/>
    <x v="1"/>
  </r>
  <r>
    <n v="1"/>
    <x v="1"/>
    <n v="41"/>
    <x v="1"/>
    <n v="2"/>
    <n v="2"/>
    <s v="Secondary"/>
    <x v="0"/>
    <n v="1"/>
    <n v="25"/>
    <n v="25"/>
    <x v="0"/>
    <n v="0"/>
    <x v="0"/>
    <n v="0"/>
    <n v="0"/>
    <n v="0"/>
    <n v="232"/>
    <n v="232"/>
    <x v="1"/>
    <n v="129"/>
    <n v="83"/>
    <n v="28.08"/>
    <n v="28.08"/>
    <x v="0"/>
    <n v="75"/>
    <n v="75"/>
    <n v="68"/>
    <n v="68"/>
    <x v="0"/>
    <x v="0"/>
  </r>
  <r>
    <n v="1"/>
    <x v="1"/>
    <n v="41"/>
    <x v="1"/>
    <n v="1"/>
    <n v="1"/>
    <s v="Primary"/>
    <x v="2"/>
    <n v="1"/>
    <n v="20"/>
    <n v="20"/>
    <x v="0"/>
    <n v="0"/>
    <x v="0"/>
    <n v="0"/>
    <n v="1"/>
    <n v="0"/>
    <n v="260"/>
    <n v="260"/>
    <x v="0"/>
    <n v="151"/>
    <n v="85"/>
    <n v="33.08"/>
    <n v="33.08"/>
    <x v="2"/>
    <n v="95"/>
    <n v="95"/>
    <n v="91"/>
    <n v="91"/>
    <x v="0"/>
    <x v="1"/>
  </r>
  <r>
    <n v="0"/>
    <x v="0"/>
    <n v="41"/>
    <x v="1"/>
    <n v="2"/>
    <n v="2"/>
    <s v="Secondary"/>
    <x v="0"/>
    <n v="1"/>
    <n v="9"/>
    <n v="9"/>
    <x v="0"/>
    <n v="0"/>
    <x v="0"/>
    <n v="0"/>
    <n v="0"/>
    <n v="0"/>
    <n v="206"/>
    <n v="206"/>
    <x v="1"/>
    <n v="122"/>
    <n v="78"/>
    <n v="22.54"/>
    <n v="22.54"/>
    <x v="1"/>
    <n v="85"/>
    <n v="85"/>
    <s v="NA"/>
    <n v="81.96365524402907"/>
    <x v="0"/>
    <x v="0"/>
  </r>
  <r>
    <n v="0"/>
    <x v="0"/>
    <n v="41"/>
    <x v="1"/>
    <n v="1"/>
    <n v="1"/>
    <s v="Primary"/>
    <x v="2"/>
    <n v="0"/>
    <n v="0"/>
    <n v="0"/>
    <x v="1"/>
    <n v="0"/>
    <x v="0"/>
    <n v="0"/>
    <n v="0"/>
    <n v="0"/>
    <n v="199"/>
    <n v="199"/>
    <x v="1"/>
    <n v="117"/>
    <n v="86"/>
    <n v="34.54"/>
    <n v="34.54"/>
    <x v="2"/>
    <n v="72"/>
    <n v="72"/>
    <n v="84"/>
    <n v="84"/>
    <x v="0"/>
    <x v="0"/>
  </r>
  <r>
    <n v="1"/>
    <x v="1"/>
    <n v="41"/>
    <x v="1"/>
    <s v="NA"/>
    <n v="1"/>
    <s v="Primary"/>
    <x v="2"/>
    <n v="0"/>
    <n v="0"/>
    <n v="0"/>
    <x v="1"/>
    <n v="0"/>
    <x v="0"/>
    <n v="0"/>
    <n v="0"/>
    <n v="0"/>
    <n v="280"/>
    <n v="280"/>
    <x v="0"/>
    <n v="117.5"/>
    <n v="80"/>
    <n v="28.68"/>
    <n v="28.68"/>
    <x v="0"/>
    <n v="65"/>
    <n v="65"/>
    <n v="65"/>
    <n v="65"/>
    <x v="0"/>
    <x v="0"/>
  </r>
  <r>
    <n v="0"/>
    <x v="0"/>
    <n v="41"/>
    <x v="1"/>
    <n v="3"/>
    <n v="3"/>
    <s v="Graduate"/>
    <x v="1"/>
    <n v="0"/>
    <n v="0"/>
    <n v="0"/>
    <x v="1"/>
    <n v="0"/>
    <x v="0"/>
    <n v="0"/>
    <n v="0"/>
    <n v="0"/>
    <n v="166"/>
    <n v="166"/>
    <x v="1"/>
    <n v="128.5"/>
    <n v="74.5"/>
    <n v="21.02"/>
    <n v="21.02"/>
    <x v="1"/>
    <n v="81"/>
    <n v="81"/>
    <s v="NA"/>
    <n v="81.96365524402907"/>
    <x v="0"/>
    <x v="0"/>
  </r>
  <r>
    <n v="0"/>
    <x v="0"/>
    <n v="41"/>
    <x v="1"/>
    <n v="2"/>
    <n v="2"/>
    <s v="Secondary"/>
    <x v="0"/>
    <n v="1"/>
    <n v="5"/>
    <n v="5"/>
    <x v="0"/>
    <n v="0"/>
    <x v="0"/>
    <n v="0"/>
    <n v="0"/>
    <n v="0"/>
    <n v="226"/>
    <n v="226"/>
    <x v="1"/>
    <n v="125.5"/>
    <n v="82"/>
    <n v="23.8"/>
    <n v="23.8"/>
    <x v="1"/>
    <n v="67"/>
    <n v="67"/>
    <n v="75"/>
    <n v="75"/>
    <x v="0"/>
    <x v="0"/>
  </r>
  <r>
    <n v="0"/>
    <x v="0"/>
    <n v="41"/>
    <x v="1"/>
    <n v="3"/>
    <n v="3"/>
    <s v="Graduate"/>
    <x v="1"/>
    <n v="1"/>
    <n v="15"/>
    <n v="15"/>
    <x v="0"/>
    <n v="0"/>
    <x v="0"/>
    <n v="0"/>
    <n v="1"/>
    <n v="0"/>
    <n v="268"/>
    <n v="268"/>
    <x v="0"/>
    <n v="140"/>
    <n v="92.5"/>
    <n v="24.71"/>
    <n v="24.71"/>
    <x v="1"/>
    <n v="75"/>
    <n v="75"/>
    <n v="90"/>
    <n v="90"/>
    <x v="0"/>
    <x v="0"/>
  </r>
  <r>
    <n v="0"/>
    <x v="0"/>
    <n v="41"/>
    <x v="1"/>
    <n v="4"/>
    <n v="4"/>
    <s v="Post Graduate"/>
    <x v="3"/>
    <n v="1"/>
    <n v="20"/>
    <n v="20"/>
    <x v="0"/>
    <n v="0"/>
    <x v="0"/>
    <n v="0"/>
    <n v="0"/>
    <n v="0"/>
    <n v="243"/>
    <n v="243"/>
    <x v="0"/>
    <n v="97"/>
    <n v="63"/>
    <n v="22.53"/>
    <n v="22.53"/>
    <x v="1"/>
    <n v="76"/>
    <n v="76"/>
    <n v="64"/>
    <n v="64"/>
    <x v="0"/>
    <x v="0"/>
  </r>
  <r>
    <n v="1"/>
    <x v="1"/>
    <n v="41"/>
    <x v="1"/>
    <n v="2"/>
    <n v="2"/>
    <s v="Secondary"/>
    <x v="0"/>
    <n v="1"/>
    <n v="40"/>
    <n v="40"/>
    <x v="0"/>
    <n v="0"/>
    <x v="0"/>
    <n v="0"/>
    <n v="0"/>
    <n v="0"/>
    <n v="242"/>
    <n v="242"/>
    <x v="0"/>
    <n v="124.5"/>
    <n v="86.5"/>
    <n v="28.8"/>
    <n v="28.8"/>
    <x v="0"/>
    <n v="87"/>
    <n v="87"/>
    <n v="67"/>
    <n v="67"/>
    <x v="0"/>
    <x v="0"/>
  </r>
  <r>
    <n v="1"/>
    <x v="1"/>
    <n v="41"/>
    <x v="1"/>
    <n v="3"/>
    <n v="3"/>
    <s v="Graduate"/>
    <x v="1"/>
    <n v="0"/>
    <n v="0"/>
    <n v="0"/>
    <x v="1"/>
    <n v="0"/>
    <x v="0"/>
    <n v="0"/>
    <n v="1"/>
    <n v="0"/>
    <n v="240"/>
    <n v="240"/>
    <x v="1"/>
    <n v="158"/>
    <n v="102"/>
    <n v="23.68"/>
    <n v="23.68"/>
    <x v="1"/>
    <n v="75"/>
    <n v="75"/>
    <n v="81"/>
    <n v="81"/>
    <x v="0"/>
    <x v="0"/>
  </r>
  <r>
    <n v="0"/>
    <x v="0"/>
    <n v="41"/>
    <x v="1"/>
    <n v="2"/>
    <n v="2"/>
    <s v="Secondary"/>
    <x v="0"/>
    <n v="1"/>
    <n v="20"/>
    <n v="20"/>
    <x v="0"/>
    <s v="NA"/>
    <x v="0"/>
    <n v="0"/>
    <n v="0"/>
    <n v="0"/>
    <n v="220"/>
    <n v="220"/>
    <x v="1"/>
    <n v="126"/>
    <n v="78"/>
    <n v="20.7"/>
    <n v="20.7"/>
    <x v="1"/>
    <n v="86"/>
    <n v="86"/>
    <n v="79"/>
    <n v="79"/>
    <x v="1"/>
    <x v="0"/>
  </r>
  <r>
    <n v="0"/>
    <x v="0"/>
    <n v="41"/>
    <x v="1"/>
    <n v="1"/>
    <n v="1"/>
    <s v="Primary"/>
    <x v="2"/>
    <n v="0"/>
    <n v="0"/>
    <n v="0"/>
    <x v="1"/>
    <n v="0"/>
    <x v="0"/>
    <n v="0"/>
    <n v="0"/>
    <n v="0"/>
    <n v="252"/>
    <n v="252"/>
    <x v="0"/>
    <n v="133"/>
    <n v="90"/>
    <n v="26.83"/>
    <n v="26.83"/>
    <x v="0"/>
    <n v="83"/>
    <n v="83"/>
    <n v="64"/>
    <n v="64"/>
    <x v="0"/>
    <x v="0"/>
  </r>
  <r>
    <n v="1"/>
    <x v="1"/>
    <n v="41"/>
    <x v="1"/>
    <n v="4"/>
    <n v="4"/>
    <s v="Post Graduate"/>
    <x v="3"/>
    <n v="1"/>
    <n v="30"/>
    <n v="30"/>
    <x v="0"/>
    <n v="0"/>
    <x v="0"/>
    <n v="0"/>
    <n v="0"/>
    <n v="0"/>
    <n v="289"/>
    <n v="289"/>
    <x v="0"/>
    <n v="109"/>
    <n v="74"/>
    <n v="25.8"/>
    <n v="25.8"/>
    <x v="0"/>
    <n v="70"/>
    <n v="70"/>
    <n v="86"/>
    <n v="86"/>
    <x v="0"/>
    <x v="0"/>
  </r>
  <r>
    <n v="0"/>
    <x v="0"/>
    <n v="41"/>
    <x v="1"/>
    <n v="2"/>
    <n v="2"/>
    <s v="Secondary"/>
    <x v="0"/>
    <n v="1"/>
    <n v="20"/>
    <n v="20"/>
    <x v="0"/>
    <n v="0"/>
    <x v="0"/>
    <n v="0"/>
    <n v="0"/>
    <n v="0"/>
    <n v="235"/>
    <n v="235"/>
    <x v="1"/>
    <n v="129"/>
    <n v="94"/>
    <n v="23.71"/>
    <n v="23.71"/>
    <x v="1"/>
    <n v="102"/>
    <n v="102"/>
    <n v="81"/>
    <n v="81"/>
    <x v="0"/>
    <x v="0"/>
  </r>
  <r>
    <n v="0"/>
    <x v="0"/>
    <n v="41"/>
    <x v="1"/>
    <n v="1"/>
    <n v="1"/>
    <s v="Primary"/>
    <x v="2"/>
    <n v="1"/>
    <s v="NA"/>
    <n v="9"/>
    <x v="0"/>
    <n v="0"/>
    <x v="0"/>
    <n v="0"/>
    <n v="0"/>
    <n v="0"/>
    <n v="171"/>
    <n v="171"/>
    <x v="1"/>
    <n v="135"/>
    <n v="82.5"/>
    <n v="24.35"/>
    <n v="24.35"/>
    <x v="1"/>
    <n v="79"/>
    <n v="79"/>
    <n v="82"/>
    <n v="82"/>
    <x v="0"/>
    <x v="0"/>
  </r>
  <r>
    <n v="1"/>
    <x v="1"/>
    <n v="41"/>
    <x v="1"/>
    <n v="2"/>
    <n v="2"/>
    <s v="Secondary"/>
    <x v="0"/>
    <n v="0"/>
    <n v="0"/>
    <n v="0"/>
    <x v="1"/>
    <n v="0"/>
    <x v="0"/>
    <n v="0"/>
    <n v="0"/>
    <n v="0"/>
    <n v="246"/>
    <n v="246"/>
    <x v="0"/>
    <n v="111.5"/>
    <n v="67"/>
    <n v="18.760000000000002"/>
    <n v="18.760000000000002"/>
    <x v="1"/>
    <n v="65"/>
    <n v="65"/>
    <n v="60"/>
    <n v="60"/>
    <x v="0"/>
    <x v="0"/>
  </r>
  <r>
    <n v="0"/>
    <x v="0"/>
    <n v="41"/>
    <x v="1"/>
    <n v="1"/>
    <n v="1"/>
    <s v="Primary"/>
    <x v="2"/>
    <n v="0"/>
    <n v="0"/>
    <n v="0"/>
    <x v="1"/>
    <n v="0"/>
    <x v="0"/>
    <n v="0"/>
    <n v="0"/>
    <n v="0"/>
    <n v="179"/>
    <n v="179"/>
    <x v="1"/>
    <n v="111"/>
    <n v="79"/>
    <n v="25.87"/>
    <n v="25.87"/>
    <x v="0"/>
    <n v="85"/>
    <n v="85"/>
    <n v="82"/>
    <n v="82"/>
    <x v="0"/>
    <x v="0"/>
  </r>
  <r>
    <n v="0"/>
    <x v="0"/>
    <n v="41"/>
    <x v="1"/>
    <n v="4"/>
    <n v="4"/>
    <s v="Post Graduate"/>
    <x v="3"/>
    <n v="0"/>
    <n v="0"/>
    <n v="0"/>
    <x v="1"/>
    <n v="0"/>
    <x v="0"/>
    <n v="0"/>
    <n v="0"/>
    <n v="0"/>
    <n v="240"/>
    <n v="240"/>
    <x v="1"/>
    <n v="118"/>
    <n v="81"/>
    <n v="25.48"/>
    <n v="25.48"/>
    <x v="0"/>
    <n v="80"/>
    <n v="80"/>
    <n v="80"/>
    <n v="80"/>
    <x v="0"/>
    <x v="0"/>
  </r>
  <r>
    <n v="1"/>
    <x v="1"/>
    <n v="41"/>
    <x v="1"/>
    <n v="4"/>
    <n v="4"/>
    <s v="Post Graduate"/>
    <x v="3"/>
    <n v="1"/>
    <n v="40"/>
    <n v="40"/>
    <x v="0"/>
    <n v="0"/>
    <x v="0"/>
    <n v="0"/>
    <n v="0"/>
    <n v="0"/>
    <n v="254"/>
    <n v="254"/>
    <x v="0"/>
    <n v="141"/>
    <n v="100"/>
    <n v="27.68"/>
    <n v="27.68"/>
    <x v="0"/>
    <n v="110"/>
    <n v="110"/>
    <s v="NA"/>
    <n v="81.96365524402907"/>
    <x v="0"/>
    <x v="1"/>
  </r>
  <r>
    <n v="0"/>
    <x v="0"/>
    <n v="41"/>
    <x v="1"/>
    <n v="2"/>
    <n v="2"/>
    <s v="Secondary"/>
    <x v="0"/>
    <n v="1"/>
    <n v="14"/>
    <n v="14"/>
    <x v="0"/>
    <n v="0"/>
    <x v="0"/>
    <n v="0"/>
    <n v="1"/>
    <n v="0"/>
    <n v="188"/>
    <n v="188"/>
    <x v="1"/>
    <n v="145"/>
    <n v="99"/>
    <n v="28.6"/>
    <n v="28.6"/>
    <x v="0"/>
    <n v="85"/>
    <n v="85"/>
    <n v="74"/>
    <n v="74"/>
    <x v="0"/>
    <x v="0"/>
  </r>
  <r>
    <n v="1"/>
    <x v="1"/>
    <n v="41"/>
    <x v="1"/>
    <n v="2"/>
    <n v="2"/>
    <s v="Secondary"/>
    <x v="0"/>
    <n v="1"/>
    <n v="15"/>
    <n v="15"/>
    <x v="0"/>
    <n v="0"/>
    <x v="0"/>
    <n v="0"/>
    <n v="0"/>
    <n v="0"/>
    <n v="200"/>
    <n v="200"/>
    <x v="1"/>
    <n v="118"/>
    <n v="87"/>
    <n v="21.28"/>
    <n v="21.28"/>
    <x v="1"/>
    <n v="73"/>
    <n v="73"/>
    <n v="71"/>
    <n v="71"/>
    <x v="0"/>
    <x v="0"/>
  </r>
  <r>
    <n v="1"/>
    <x v="1"/>
    <n v="41"/>
    <x v="1"/>
    <n v="2"/>
    <n v="2"/>
    <s v="Secondary"/>
    <x v="0"/>
    <n v="1"/>
    <n v="20"/>
    <n v="20"/>
    <x v="0"/>
    <n v="0"/>
    <x v="0"/>
    <n v="0"/>
    <n v="0"/>
    <n v="0"/>
    <n v="206"/>
    <n v="206"/>
    <x v="1"/>
    <n v="124"/>
    <n v="89"/>
    <n v="27.63"/>
    <n v="27.63"/>
    <x v="0"/>
    <n v="80"/>
    <n v="80"/>
    <n v="70"/>
    <n v="70"/>
    <x v="0"/>
    <x v="0"/>
  </r>
  <r>
    <n v="1"/>
    <x v="1"/>
    <n v="41"/>
    <x v="1"/>
    <n v="2"/>
    <n v="2"/>
    <s v="Secondary"/>
    <x v="0"/>
    <n v="1"/>
    <n v="15"/>
    <n v="15"/>
    <x v="0"/>
    <n v="0"/>
    <x v="0"/>
    <n v="0"/>
    <n v="0"/>
    <n v="1"/>
    <n v="155"/>
    <n v="155"/>
    <x v="1"/>
    <n v="107"/>
    <n v="81"/>
    <n v="20.96"/>
    <n v="20.96"/>
    <x v="1"/>
    <n v="90"/>
    <n v="90"/>
    <n v="191"/>
    <n v="191"/>
    <x v="0"/>
    <x v="0"/>
  </r>
  <r>
    <n v="1"/>
    <x v="1"/>
    <n v="41"/>
    <x v="1"/>
    <n v="2"/>
    <n v="2"/>
    <s v="Secondary"/>
    <x v="0"/>
    <n v="1"/>
    <n v="15"/>
    <n v="15"/>
    <x v="0"/>
    <n v="0"/>
    <x v="0"/>
    <n v="0"/>
    <n v="0"/>
    <n v="0"/>
    <n v="239"/>
    <n v="239"/>
    <x v="1"/>
    <n v="101"/>
    <n v="69"/>
    <n v="26.95"/>
    <n v="26.95"/>
    <x v="0"/>
    <n v="80"/>
    <n v="80"/>
    <s v="NA"/>
    <n v="81.96365524402907"/>
    <x v="0"/>
    <x v="0"/>
  </r>
  <r>
    <n v="0"/>
    <x v="0"/>
    <n v="41"/>
    <x v="1"/>
    <n v="2"/>
    <n v="2"/>
    <s v="Secondary"/>
    <x v="0"/>
    <n v="1"/>
    <n v="5"/>
    <n v="5"/>
    <x v="0"/>
    <n v="0"/>
    <x v="0"/>
    <n v="0"/>
    <n v="0"/>
    <n v="0"/>
    <n v="205"/>
    <n v="205"/>
    <x v="1"/>
    <n v="105"/>
    <n v="74"/>
    <n v="20.85"/>
    <n v="20.85"/>
    <x v="1"/>
    <n v="87"/>
    <n v="87"/>
    <s v="NA"/>
    <n v="81.96365524402907"/>
    <x v="0"/>
    <x v="0"/>
  </r>
  <r>
    <n v="1"/>
    <x v="1"/>
    <n v="41"/>
    <x v="1"/>
    <n v="2"/>
    <n v="2"/>
    <s v="Secondary"/>
    <x v="0"/>
    <n v="1"/>
    <n v="43"/>
    <n v="43"/>
    <x v="0"/>
    <n v="0"/>
    <x v="0"/>
    <n v="0"/>
    <n v="0"/>
    <n v="0"/>
    <n v="249"/>
    <n v="249"/>
    <x v="0"/>
    <n v="125"/>
    <n v="87"/>
    <n v="27.13"/>
    <n v="27.13"/>
    <x v="0"/>
    <n v="75"/>
    <n v="75"/>
    <n v="81"/>
    <n v="81"/>
    <x v="0"/>
    <x v="1"/>
  </r>
  <r>
    <n v="0"/>
    <x v="0"/>
    <n v="41"/>
    <x v="1"/>
    <n v="4"/>
    <n v="4"/>
    <s v="Post Graduate"/>
    <x v="3"/>
    <n v="0"/>
    <n v="0"/>
    <n v="0"/>
    <x v="1"/>
    <n v="0"/>
    <x v="0"/>
    <n v="0"/>
    <n v="0"/>
    <n v="0"/>
    <n v="199"/>
    <n v="199"/>
    <x v="1"/>
    <n v="111"/>
    <n v="70"/>
    <n v="21.99"/>
    <n v="21.99"/>
    <x v="1"/>
    <n v="65"/>
    <n v="65"/>
    <n v="82"/>
    <n v="82"/>
    <x v="0"/>
    <x v="0"/>
  </r>
  <r>
    <n v="1"/>
    <x v="1"/>
    <n v="41"/>
    <x v="1"/>
    <n v="3"/>
    <n v="3"/>
    <s v="Graduate"/>
    <x v="1"/>
    <n v="1"/>
    <n v="30"/>
    <n v="30"/>
    <x v="0"/>
    <n v="0"/>
    <x v="0"/>
    <n v="0"/>
    <n v="0"/>
    <n v="0"/>
    <n v="210"/>
    <n v="210"/>
    <x v="1"/>
    <n v="132.5"/>
    <n v="85"/>
    <n v="28.62"/>
    <n v="28.62"/>
    <x v="0"/>
    <n v="68"/>
    <n v="68"/>
    <n v="70"/>
    <n v="70"/>
    <x v="0"/>
    <x v="0"/>
  </r>
  <r>
    <n v="0"/>
    <x v="0"/>
    <n v="41"/>
    <x v="1"/>
    <n v="1"/>
    <n v="1"/>
    <s v="Primary"/>
    <x v="2"/>
    <n v="0"/>
    <n v="0"/>
    <n v="0"/>
    <x v="1"/>
    <n v="0"/>
    <x v="0"/>
    <n v="0"/>
    <n v="1"/>
    <n v="0"/>
    <n v="229"/>
    <n v="229"/>
    <x v="1"/>
    <n v="150"/>
    <n v="89"/>
    <n v="36.07"/>
    <n v="36.07"/>
    <x v="2"/>
    <n v="75"/>
    <n v="75"/>
    <n v="92"/>
    <n v="92"/>
    <x v="0"/>
    <x v="0"/>
  </r>
  <r>
    <n v="0"/>
    <x v="0"/>
    <n v="42"/>
    <x v="1"/>
    <n v="2"/>
    <n v="2"/>
    <s v="Secondary"/>
    <x v="0"/>
    <n v="1"/>
    <n v="30"/>
    <n v="30"/>
    <x v="0"/>
    <n v="0"/>
    <x v="0"/>
    <n v="0"/>
    <n v="0"/>
    <n v="0"/>
    <n v="190"/>
    <n v="190"/>
    <x v="1"/>
    <n v="108"/>
    <n v="70.5"/>
    <n v="21.59"/>
    <n v="21.59"/>
    <x v="1"/>
    <n v="72"/>
    <n v="72"/>
    <n v="85"/>
    <n v="85"/>
    <x v="0"/>
    <x v="0"/>
  </r>
  <r>
    <n v="0"/>
    <x v="0"/>
    <n v="42"/>
    <x v="1"/>
    <n v="1"/>
    <n v="1"/>
    <s v="Primary"/>
    <x v="2"/>
    <n v="1"/>
    <n v="1"/>
    <n v="1"/>
    <x v="0"/>
    <n v="0"/>
    <x v="0"/>
    <n v="0"/>
    <n v="1"/>
    <n v="0"/>
    <n v="233"/>
    <n v="233"/>
    <x v="1"/>
    <n v="153"/>
    <n v="101"/>
    <n v="28.93"/>
    <n v="28.93"/>
    <x v="0"/>
    <n v="60"/>
    <n v="60"/>
    <n v="90"/>
    <n v="90"/>
    <x v="0"/>
    <x v="0"/>
  </r>
  <r>
    <n v="1"/>
    <x v="1"/>
    <n v="42"/>
    <x v="1"/>
    <n v="3"/>
    <n v="3"/>
    <s v="Graduate"/>
    <x v="1"/>
    <n v="1"/>
    <n v="10"/>
    <n v="10"/>
    <x v="0"/>
    <n v="0"/>
    <x v="0"/>
    <n v="0"/>
    <n v="0"/>
    <n v="0"/>
    <n v="175"/>
    <n v="175"/>
    <x v="1"/>
    <n v="116"/>
    <n v="72.5"/>
    <n v="28.61"/>
    <n v="28.61"/>
    <x v="0"/>
    <n v="63"/>
    <n v="63"/>
    <n v="95"/>
    <n v="95"/>
    <x v="0"/>
    <x v="0"/>
  </r>
  <r>
    <n v="0"/>
    <x v="0"/>
    <n v="42"/>
    <x v="1"/>
    <n v="1"/>
    <n v="1"/>
    <s v="Primary"/>
    <x v="2"/>
    <n v="1"/>
    <n v="20"/>
    <n v="20"/>
    <x v="0"/>
    <n v="0"/>
    <x v="0"/>
    <n v="0"/>
    <n v="0"/>
    <n v="0"/>
    <n v="173"/>
    <n v="173"/>
    <x v="1"/>
    <n v="100"/>
    <n v="63"/>
    <n v="23.25"/>
    <n v="23.25"/>
    <x v="1"/>
    <n v="65"/>
    <n v="65"/>
    <n v="99"/>
    <n v="99"/>
    <x v="0"/>
    <x v="0"/>
  </r>
  <r>
    <n v="0"/>
    <x v="0"/>
    <n v="42"/>
    <x v="1"/>
    <n v="4"/>
    <n v="4"/>
    <s v="Post Graduate"/>
    <x v="3"/>
    <n v="0"/>
    <n v="0"/>
    <n v="0"/>
    <x v="1"/>
    <n v="0"/>
    <x v="0"/>
    <n v="0"/>
    <n v="0"/>
    <n v="0"/>
    <n v="250"/>
    <n v="250"/>
    <x v="0"/>
    <n v="115"/>
    <n v="79"/>
    <n v="26.93"/>
    <n v="26.93"/>
    <x v="0"/>
    <n v="65"/>
    <n v="65"/>
    <n v="79"/>
    <n v="79"/>
    <x v="0"/>
    <x v="0"/>
  </r>
  <r>
    <n v="0"/>
    <x v="0"/>
    <n v="42"/>
    <x v="1"/>
    <n v="1"/>
    <n v="1"/>
    <s v="Primary"/>
    <x v="2"/>
    <n v="1"/>
    <n v="15"/>
    <n v="15"/>
    <x v="0"/>
    <n v="0"/>
    <x v="0"/>
    <n v="0"/>
    <n v="0"/>
    <n v="0"/>
    <n v="214"/>
    <n v="214"/>
    <x v="1"/>
    <n v="110"/>
    <n v="67"/>
    <n v="22.54"/>
    <n v="22.54"/>
    <x v="1"/>
    <n v="80"/>
    <n v="80"/>
    <n v="75"/>
    <n v="75"/>
    <x v="0"/>
    <x v="0"/>
  </r>
  <r>
    <n v="1"/>
    <x v="1"/>
    <n v="42"/>
    <x v="1"/>
    <n v="3"/>
    <n v="3"/>
    <s v="Graduate"/>
    <x v="1"/>
    <n v="1"/>
    <n v="10"/>
    <n v="10"/>
    <x v="0"/>
    <n v="0"/>
    <x v="0"/>
    <n v="0"/>
    <n v="0"/>
    <n v="0"/>
    <n v="225"/>
    <n v="225"/>
    <x v="1"/>
    <n v="128"/>
    <n v="82"/>
    <n v="26.79"/>
    <n v="26.79"/>
    <x v="0"/>
    <n v="70"/>
    <n v="70"/>
    <n v="85"/>
    <n v="85"/>
    <x v="0"/>
    <x v="0"/>
  </r>
  <r>
    <n v="1"/>
    <x v="1"/>
    <n v="42"/>
    <x v="1"/>
    <n v="2"/>
    <n v="2"/>
    <s v="Secondary"/>
    <x v="0"/>
    <n v="1"/>
    <n v="20"/>
    <n v="20"/>
    <x v="0"/>
    <n v="0"/>
    <x v="0"/>
    <n v="0"/>
    <n v="0"/>
    <n v="0"/>
    <n v="216"/>
    <n v="216"/>
    <x v="1"/>
    <n v="125"/>
    <n v="86.5"/>
    <n v="23.25"/>
    <n v="23.25"/>
    <x v="1"/>
    <n v="65"/>
    <n v="65"/>
    <n v="57"/>
    <n v="57"/>
    <x v="0"/>
    <x v="0"/>
  </r>
  <r>
    <n v="0"/>
    <x v="0"/>
    <n v="42"/>
    <x v="1"/>
    <n v="3"/>
    <n v="3"/>
    <s v="Graduate"/>
    <x v="1"/>
    <n v="0"/>
    <n v="0"/>
    <n v="0"/>
    <x v="1"/>
    <n v="0"/>
    <x v="0"/>
    <n v="0"/>
    <n v="0"/>
    <n v="0"/>
    <n v="464"/>
    <n v="464"/>
    <x v="0"/>
    <n v="128"/>
    <n v="87"/>
    <n v="22.9"/>
    <n v="22.9"/>
    <x v="1"/>
    <n v="72"/>
    <n v="72"/>
    <n v="72"/>
    <n v="72"/>
    <x v="0"/>
    <x v="1"/>
  </r>
  <r>
    <n v="1"/>
    <x v="1"/>
    <n v="42"/>
    <x v="1"/>
    <n v="2"/>
    <n v="2"/>
    <s v="Secondary"/>
    <x v="0"/>
    <n v="0"/>
    <n v="0"/>
    <n v="0"/>
    <x v="1"/>
    <n v="0"/>
    <x v="0"/>
    <n v="0"/>
    <n v="0"/>
    <n v="0"/>
    <n v="227"/>
    <n v="227"/>
    <x v="1"/>
    <n v="144"/>
    <n v="78"/>
    <n v="23.75"/>
    <n v="23.75"/>
    <x v="1"/>
    <n v="62"/>
    <n v="62"/>
    <n v="97"/>
    <n v="97"/>
    <x v="0"/>
    <x v="1"/>
  </r>
  <r>
    <n v="0"/>
    <x v="0"/>
    <n v="42"/>
    <x v="1"/>
    <n v="1"/>
    <n v="1"/>
    <s v="Primary"/>
    <x v="2"/>
    <n v="0"/>
    <n v="0"/>
    <n v="0"/>
    <x v="1"/>
    <n v="0"/>
    <x v="0"/>
    <n v="0"/>
    <n v="0"/>
    <n v="0"/>
    <n v="165"/>
    <n v="165"/>
    <x v="1"/>
    <n v="108"/>
    <n v="72.5"/>
    <n v="24.85"/>
    <n v="24.85"/>
    <x v="1"/>
    <n v="82"/>
    <n v="82"/>
    <n v="87"/>
    <n v="87"/>
    <x v="0"/>
    <x v="0"/>
  </r>
  <r>
    <n v="0"/>
    <x v="0"/>
    <n v="42"/>
    <x v="1"/>
    <n v="2"/>
    <n v="2"/>
    <s v="Secondary"/>
    <x v="0"/>
    <n v="0"/>
    <n v="0"/>
    <n v="0"/>
    <x v="1"/>
    <n v="0"/>
    <x v="0"/>
    <n v="0"/>
    <n v="0"/>
    <n v="0"/>
    <n v="185"/>
    <n v="185"/>
    <x v="1"/>
    <n v="127.5"/>
    <n v="91"/>
    <n v="23.78"/>
    <n v="23.78"/>
    <x v="1"/>
    <n v="67"/>
    <n v="67"/>
    <n v="59"/>
    <n v="59"/>
    <x v="0"/>
    <x v="0"/>
  </r>
  <r>
    <n v="0"/>
    <x v="0"/>
    <n v="42"/>
    <x v="1"/>
    <n v="3"/>
    <n v="3"/>
    <s v="Graduate"/>
    <x v="1"/>
    <n v="1"/>
    <n v="30"/>
    <n v="30"/>
    <x v="0"/>
    <n v="0"/>
    <x v="0"/>
    <n v="0"/>
    <n v="0"/>
    <n v="0"/>
    <n v="218"/>
    <n v="218"/>
    <x v="1"/>
    <n v="126"/>
    <n v="87"/>
    <n v="22.5"/>
    <n v="22.5"/>
    <x v="1"/>
    <n v="75"/>
    <n v="75"/>
    <n v="73"/>
    <n v="73"/>
    <x v="0"/>
    <x v="0"/>
  </r>
  <r>
    <n v="0"/>
    <x v="0"/>
    <n v="42"/>
    <x v="1"/>
    <n v="1"/>
    <n v="1"/>
    <s v="Primary"/>
    <x v="2"/>
    <n v="1"/>
    <n v="20"/>
    <n v="20"/>
    <x v="0"/>
    <n v="0"/>
    <x v="0"/>
    <n v="0"/>
    <n v="0"/>
    <n v="0"/>
    <n v="237"/>
    <n v="237"/>
    <x v="1"/>
    <n v="105"/>
    <n v="75"/>
    <n v="23.85"/>
    <n v="23.85"/>
    <x v="1"/>
    <n v="70"/>
    <n v="70"/>
    <n v="87"/>
    <n v="87"/>
    <x v="0"/>
    <x v="0"/>
  </r>
  <r>
    <n v="0"/>
    <x v="0"/>
    <n v="42"/>
    <x v="1"/>
    <n v="2"/>
    <n v="2"/>
    <s v="Secondary"/>
    <x v="0"/>
    <n v="1"/>
    <n v="20"/>
    <n v="20"/>
    <x v="0"/>
    <n v="0"/>
    <x v="0"/>
    <n v="0"/>
    <n v="0"/>
    <n v="0"/>
    <n v="200"/>
    <n v="200"/>
    <x v="1"/>
    <n v="95"/>
    <n v="55"/>
    <n v="23.68"/>
    <n v="23.68"/>
    <x v="1"/>
    <n v="60"/>
    <n v="60"/>
    <n v="83"/>
    <n v="83"/>
    <x v="0"/>
    <x v="0"/>
  </r>
  <r>
    <n v="0"/>
    <x v="0"/>
    <n v="42"/>
    <x v="1"/>
    <n v="2"/>
    <n v="2"/>
    <s v="Secondary"/>
    <x v="0"/>
    <n v="0"/>
    <n v="0"/>
    <n v="0"/>
    <x v="1"/>
    <n v="0"/>
    <x v="0"/>
    <n v="0"/>
    <n v="1"/>
    <n v="0"/>
    <n v="246"/>
    <n v="246"/>
    <x v="0"/>
    <n v="125"/>
    <n v="80"/>
    <n v="29.02"/>
    <n v="29.02"/>
    <x v="0"/>
    <n v="100"/>
    <n v="100"/>
    <n v="98"/>
    <n v="98"/>
    <x v="0"/>
    <x v="0"/>
  </r>
  <r>
    <n v="0"/>
    <x v="0"/>
    <n v="42"/>
    <x v="1"/>
    <n v="2"/>
    <n v="2"/>
    <s v="Secondary"/>
    <x v="0"/>
    <n v="1"/>
    <n v="15"/>
    <n v="15"/>
    <x v="0"/>
    <n v="0"/>
    <x v="0"/>
    <n v="0"/>
    <n v="0"/>
    <n v="0"/>
    <n v="177"/>
    <n v="177"/>
    <x v="1"/>
    <n v="112.5"/>
    <n v="70"/>
    <n v="20.62"/>
    <n v="20.62"/>
    <x v="1"/>
    <n v="86"/>
    <n v="86"/>
    <n v="83"/>
    <n v="83"/>
    <x v="0"/>
    <x v="0"/>
  </r>
  <r>
    <n v="0"/>
    <x v="0"/>
    <n v="42"/>
    <x v="1"/>
    <n v="3"/>
    <n v="3"/>
    <s v="Graduate"/>
    <x v="1"/>
    <n v="0"/>
    <n v="0"/>
    <n v="0"/>
    <x v="1"/>
    <n v="0"/>
    <x v="0"/>
    <n v="0"/>
    <n v="0"/>
    <n v="0"/>
    <n v="188"/>
    <n v="188"/>
    <x v="1"/>
    <n v="122.5"/>
    <n v="75"/>
    <n v="24.56"/>
    <n v="24.56"/>
    <x v="1"/>
    <n v="89"/>
    <n v="89"/>
    <n v="68"/>
    <n v="68"/>
    <x v="0"/>
    <x v="0"/>
  </r>
  <r>
    <n v="1"/>
    <x v="1"/>
    <n v="42"/>
    <x v="1"/>
    <n v="4"/>
    <n v="4"/>
    <s v="Post Graduate"/>
    <x v="3"/>
    <n v="0"/>
    <n v="0"/>
    <n v="0"/>
    <x v="1"/>
    <n v="0"/>
    <x v="0"/>
    <n v="0"/>
    <n v="0"/>
    <n v="0"/>
    <n v="253"/>
    <n v="253"/>
    <x v="0"/>
    <n v="116"/>
    <n v="72"/>
    <n v="21.96"/>
    <n v="21.96"/>
    <x v="1"/>
    <n v="60"/>
    <n v="60"/>
    <n v="88"/>
    <n v="88"/>
    <x v="0"/>
    <x v="0"/>
  </r>
  <r>
    <n v="0"/>
    <x v="0"/>
    <n v="42"/>
    <x v="1"/>
    <n v="3"/>
    <n v="3"/>
    <s v="Graduate"/>
    <x v="1"/>
    <n v="1"/>
    <n v="15"/>
    <n v="15"/>
    <x v="0"/>
    <n v="0"/>
    <x v="0"/>
    <n v="0"/>
    <n v="0"/>
    <n v="0"/>
    <n v="216"/>
    <n v="216"/>
    <x v="1"/>
    <n v="120"/>
    <n v="70"/>
    <n v="21.93"/>
    <n v="21.93"/>
    <x v="1"/>
    <n v="88"/>
    <n v="88"/>
    <n v="88"/>
    <n v="88"/>
    <x v="0"/>
    <x v="0"/>
  </r>
  <r>
    <n v="1"/>
    <x v="1"/>
    <n v="42"/>
    <x v="1"/>
    <n v="1"/>
    <n v="1"/>
    <s v="Primary"/>
    <x v="2"/>
    <n v="1"/>
    <n v="35"/>
    <n v="35"/>
    <x v="0"/>
    <n v="0"/>
    <x v="0"/>
    <n v="0"/>
    <n v="0"/>
    <n v="0"/>
    <n v="218"/>
    <n v="218"/>
    <x v="1"/>
    <n v="116"/>
    <n v="86"/>
    <n v="17.809999999999999"/>
    <n v="17.809999999999999"/>
    <x v="3"/>
    <n v="85"/>
    <n v="85"/>
    <n v="69"/>
    <n v="69"/>
    <x v="0"/>
    <x v="0"/>
  </r>
  <r>
    <n v="0"/>
    <x v="0"/>
    <n v="42"/>
    <x v="1"/>
    <n v="1"/>
    <n v="1"/>
    <s v="Primary"/>
    <x v="2"/>
    <n v="1"/>
    <n v="30"/>
    <n v="30"/>
    <x v="0"/>
    <n v="0"/>
    <x v="0"/>
    <n v="0"/>
    <n v="0"/>
    <n v="0"/>
    <n v="187"/>
    <n v="187"/>
    <x v="1"/>
    <n v="96"/>
    <n v="67"/>
    <n v="24.23"/>
    <n v="24.23"/>
    <x v="1"/>
    <n v="72"/>
    <n v="72"/>
    <n v="84"/>
    <n v="84"/>
    <x v="0"/>
    <x v="0"/>
  </r>
  <r>
    <n v="0"/>
    <x v="0"/>
    <n v="42"/>
    <x v="1"/>
    <n v="4"/>
    <n v="4"/>
    <s v="Post Graduate"/>
    <x v="3"/>
    <n v="1"/>
    <n v="7"/>
    <n v="7"/>
    <x v="0"/>
    <n v="0"/>
    <x v="0"/>
    <n v="0"/>
    <n v="0"/>
    <n v="0"/>
    <n v="273"/>
    <n v="273"/>
    <x v="0"/>
    <n v="111"/>
    <n v="73"/>
    <n v="19.27"/>
    <n v="19.27"/>
    <x v="1"/>
    <n v="60"/>
    <n v="60"/>
    <n v="89"/>
    <n v="89"/>
    <x v="0"/>
    <x v="0"/>
  </r>
  <r>
    <n v="1"/>
    <x v="1"/>
    <n v="42"/>
    <x v="1"/>
    <n v="1"/>
    <n v="1"/>
    <s v="Primary"/>
    <x v="2"/>
    <n v="1"/>
    <n v="20"/>
    <n v="20"/>
    <x v="0"/>
    <n v="0"/>
    <x v="0"/>
    <n v="0"/>
    <n v="0"/>
    <n v="0"/>
    <n v="223"/>
    <n v="223"/>
    <x v="1"/>
    <n v="115"/>
    <n v="70"/>
    <n v="24.58"/>
    <n v="24.58"/>
    <x v="1"/>
    <n v="72"/>
    <n v="72"/>
    <n v="81"/>
    <n v="81"/>
    <x v="0"/>
    <x v="0"/>
  </r>
  <r>
    <n v="1"/>
    <x v="1"/>
    <n v="42"/>
    <x v="1"/>
    <n v="2"/>
    <n v="2"/>
    <s v="Secondary"/>
    <x v="0"/>
    <n v="0"/>
    <n v="0"/>
    <n v="0"/>
    <x v="1"/>
    <n v="0"/>
    <x v="0"/>
    <n v="0"/>
    <n v="1"/>
    <n v="0"/>
    <n v="249"/>
    <n v="249"/>
    <x v="0"/>
    <n v="142.5"/>
    <n v="90"/>
    <n v="26.14"/>
    <n v="26.14"/>
    <x v="0"/>
    <n v="59"/>
    <n v="59"/>
    <n v="82"/>
    <n v="82"/>
    <x v="0"/>
    <x v="0"/>
  </r>
  <r>
    <n v="1"/>
    <x v="1"/>
    <n v="42"/>
    <x v="1"/>
    <n v="1"/>
    <n v="1"/>
    <s v="Primary"/>
    <x v="2"/>
    <n v="0"/>
    <n v="0"/>
    <n v="0"/>
    <x v="1"/>
    <n v="0"/>
    <x v="0"/>
    <n v="0"/>
    <n v="0"/>
    <n v="0"/>
    <n v="160"/>
    <n v="160"/>
    <x v="1"/>
    <n v="100"/>
    <n v="73"/>
    <n v="22.56"/>
    <n v="22.56"/>
    <x v="1"/>
    <n v="64"/>
    <n v="64"/>
    <n v="93"/>
    <n v="93"/>
    <x v="0"/>
    <x v="0"/>
  </r>
  <r>
    <n v="0"/>
    <x v="0"/>
    <n v="42"/>
    <x v="1"/>
    <n v="3"/>
    <n v="3"/>
    <s v="Graduate"/>
    <x v="1"/>
    <n v="1"/>
    <n v="10"/>
    <n v="10"/>
    <x v="0"/>
    <n v="0"/>
    <x v="0"/>
    <n v="0"/>
    <n v="0"/>
    <n v="0"/>
    <n v="192"/>
    <n v="192"/>
    <x v="1"/>
    <n v="96.5"/>
    <n v="71"/>
    <n v="26.03"/>
    <n v="26.03"/>
    <x v="0"/>
    <n v="61"/>
    <n v="61"/>
    <n v="68"/>
    <n v="68"/>
    <x v="0"/>
    <x v="0"/>
  </r>
  <r>
    <n v="1"/>
    <x v="1"/>
    <n v="42"/>
    <x v="1"/>
    <n v="3"/>
    <n v="3"/>
    <s v="Graduate"/>
    <x v="1"/>
    <n v="1"/>
    <n v="25"/>
    <n v="25"/>
    <x v="0"/>
    <n v="0"/>
    <x v="0"/>
    <n v="0"/>
    <n v="0"/>
    <n v="0"/>
    <n v="256"/>
    <n v="256"/>
    <x v="0"/>
    <n v="121.5"/>
    <n v="74"/>
    <n v="23.59"/>
    <n v="23.59"/>
    <x v="1"/>
    <n v="70"/>
    <n v="70"/>
    <n v="115"/>
    <n v="115"/>
    <x v="0"/>
    <x v="1"/>
  </r>
  <r>
    <n v="1"/>
    <x v="1"/>
    <n v="42"/>
    <x v="1"/>
    <n v="2"/>
    <n v="2"/>
    <s v="Secondary"/>
    <x v="0"/>
    <n v="0"/>
    <n v="0"/>
    <n v="0"/>
    <x v="1"/>
    <n v="0"/>
    <x v="0"/>
    <n v="0"/>
    <n v="0"/>
    <n v="0"/>
    <n v="228"/>
    <n v="228"/>
    <x v="1"/>
    <n v="130"/>
    <n v="92"/>
    <n v="24.86"/>
    <n v="24.86"/>
    <x v="1"/>
    <n v="85"/>
    <n v="85"/>
    <n v="76"/>
    <n v="76"/>
    <x v="0"/>
    <x v="0"/>
  </r>
  <r>
    <n v="0"/>
    <x v="0"/>
    <n v="42"/>
    <x v="1"/>
    <n v="1"/>
    <n v="1"/>
    <s v="Primary"/>
    <x v="2"/>
    <n v="0"/>
    <n v="0"/>
    <n v="0"/>
    <x v="1"/>
    <n v="0"/>
    <x v="0"/>
    <n v="0"/>
    <n v="0"/>
    <n v="0"/>
    <n v="197"/>
    <n v="197"/>
    <x v="1"/>
    <n v="105"/>
    <n v="84"/>
    <n v="25.75"/>
    <n v="25.75"/>
    <x v="0"/>
    <n v="70"/>
    <n v="70"/>
    <n v="67"/>
    <n v="67"/>
    <x v="0"/>
    <x v="0"/>
  </r>
  <r>
    <n v="0"/>
    <x v="0"/>
    <n v="42"/>
    <x v="1"/>
    <n v="1"/>
    <n v="1"/>
    <s v="Primary"/>
    <x v="2"/>
    <n v="0"/>
    <n v="0"/>
    <n v="0"/>
    <x v="1"/>
    <n v="0"/>
    <x v="0"/>
    <n v="0"/>
    <n v="0"/>
    <n v="0"/>
    <n v="241"/>
    <n v="241"/>
    <x v="0"/>
    <n v="118.5"/>
    <n v="80.5"/>
    <n v="32.36"/>
    <n v="32.36"/>
    <x v="2"/>
    <n v="95"/>
    <n v="95"/>
    <n v="75"/>
    <n v="75"/>
    <x v="0"/>
    <x v="0"/>
  </r>
  <r>
    <n v="1"/>
    <x v="1"/>
    <n v="42"/>
    <x v="1"/>
    <n v="2"/>
    <n v="2"/>
    <s v="Secondary"/>
    <x v="0"/>
    <n v="1"/>
    <n v="30"/>
    <n v="30"/>
    <x v="0"/>
    <n v="0"/>
    <x v="0"/>
    <n v="0"/>
    <n v="0"/>
    <n v="0"/>
    <n v="256"/>
    <n v="256"/>
    <x v="0"/>
    <n v="111"/>
    <n v="62"/>
    <n v="21.67"/>
    <n v="21.67"/>
    <x v="1"/>
    <n v="74"/>
    <n v="74"/>
    <n v="74"/>
    <n v="74"/>
    <x v="0"/>
    <x v="0"/>
  </r>
  <r>
    <n v="1"/>
    <x v="1"/>
    <n v="42"/>
    <x v="1"/>
    <n v="1"/>
    <n v="1"/>
    <s v="Primary"/>
    <x v="2"/>
    <n v="0"/>
    <n v="0"/>
    <n v="0"/>
    <x v="1"/>
    <n v="0"/>
    <x v="0"/>
    <n v="0"/>
    <n v="0"/>
    <n v="0"/>
    <n v="163"/>
    <n v="163"/>
    <x v="1"/>
    <n v="135"/>
    <n v="82"/>
    <n v="25.75"/>
    <n v="25.75"/>
    <x v="0"/>
    <n v="65"/>
    <n v="65"/>
    <n v="77"/>
    <n v="77"/>
    <x v="0"/>
    <x v="0"/>
  </r>
  <r>
    <n v="0"/>
    <x v="0"/>
    <n v="42"/>
    <x v="1"/>
    <n v="1"/>
    <n v="1"/>
    <s v="Primary"/>
    <x v="2"/>
    <n v="1"/>
    <n v="20"/>
    <n v="20"/>
    <x v="0"/>
    <n v="0"/>
    <x v="0"/>
    <n v="0"/>
    <n v="1"/>
    <n v="0"/>
    <n v="199"/>
    <n v="199"/>
    <x v="1"/>
    <n v="141"/>
    <n v="92"/>
    <n v="43.69"/>
    <n v="43.69"/>
    <x v="2"/>
    <n v="80"/>
    <n v="80"/>
    <n v="60"/>
    <n v="60"/>
    <x v="0"/>
    <x v="1"/>
  </r>
  <r>
    <n v="0"/>
    <x v="0"/>
    <n v="42"/>
    <x v="1"/>
    <n v="1"/>
    <n v="1"/>
    <s v="Primary"/>
    <x v="2"/>
    <n v="1"/>
    <n v="10"/>
    <n v="10"/>
    <x v="0"/>
    <n v="0"/>
    <x v="0"/>
    <n v="0"/>
    <n v="0"/>
    <n v="0"/>
    <n v="194"/>
    <n v="194"/>
    <x v="1"/>
    <n v="111"/>
    <n v="67.5"/>
    <n v="21.34"/>
    <n v="21.34"/>
    <x v="1"/>
    <n v="73"/>
    <n v="73"/>
    <n v="47"/>
    <n v="47"/>
    <x v="0"/>
    <x v="0"/>
  </r>
  <r>
    <n v="0"/>
    <x v="0"/>
    <n v="42"/>
    <x v="1"/>
    <n v="1"/>
    <n v="1"/>
    <s v="Primary"/>
    <x v="2"/>
    <n v="1"/>
    <n v="9"/>
    <n v="9"/>
    <x v="0"/>
    <n v="0"/>
    <x v="0"/>
    <n v="0"/>
    <n v="0"/>
    <n v="0"/>
    <n v="218"/>
    <n v="218"/>
    <x v="1"/>
    <n v="109.5"/>
    <n v="67"/>
    <n v="23.48"/>
    <n v="23.48"/>
    <x v="1"/>
    <n v="65"/>
    <n v="65"/>
    <n v="71"/>
    <n v="71"/>
    <x v="0"/>
    <x v="0"/>
  </r>
  <r>
    <n v="1"/>
    <x v="1"/>
    <n v="42"/>
    <x v="1"/>
    <n v="1"/>
    <n v="1"/>
    <s v="Primary"/>
    <x v="2"/>
    <n v="0"/>
    <n v="0"/>
    <n v="0"/>
    <x v="1"/>
    <n v="0"/>
    <x v="0"/>
    <n v="0"/>
    <n v="0"/>
    <n v="0"/>
    <n v="266"/>
    <n v="266"/>
    <x v="0"/>
    <n v="139"/>
    <n v="88"/>
    <n v="23.61"/>
    <n v="23.61"/>
    <x v="1"/>
    <n v="75"/>
    <n v="75"/>
    <n v="78"/>
    <n v="78"/>
    <x v="0"/>
    <x v="0"/>
  </r>
  <r>
    <n v="1"/>
    <x v="1"/>
    <n v="42"/>
    <x v="1"/>
    <n v="1"/>
    <n v="1"/>
    <s v="Primary"/>
    <x v="2"/>
    <n v="1"/>
    <n v="30"/>
    <n v="30"/>
    <x v="0"/>
    <n v="0"/>
    <x v="0"/>
    <n v="0"/>
    <n v="0"/>
    <n v="0"/>
    <n v="232"/>
    <n v="232"/>
    <x v="1"/>
    <n v="111.5"/>
    <n v="70"/>
    <n v="28.3"/>
    <n v="28.3"/>
    <x v="0"/>
    <n v="90"/>
    <n v="90"/>
    <n v="80"/>
    <n v="80"/>
    <x v="0"/>
    <x v="0"/>
  </r>
  <r>
    <n v="0"/>
    <x v="0"/>
    <n v="42"/>
    <x v="1"/>
    <n v="2"/>
    <n v="2"/>
    <s v="Secondary"/>
    <x v="0"/>
    <n v="1"/>
    <n v="10"/>
    <n v="10"/>
    <x v="0"/>
    <n v="0"/>
    <x v="0"/>
    <n v="0"/>
    <n v="0"/>
    <n v="0"/>
    <n v="242"/>
    <n v="242"/>
    <x v="0"/>
    <n v="100"/>
    <n v="66"/>
    <n v="21.85"/>
    <n v="21.85"/>
    <x v="1"/>
    <n v="75"/>
    <n v="75"/>
    <s v="NA"/>
    <n v="81.96365524402907"/>
    <x v="0"/>
    <x v="0"/>
  </r>
  <r>
    <n v="1"/>
    <x v="1"/>
    <n v="42"/>
    <x v="1"/>
    <n v="2"/>
    <n v="2"/>
    <s v="Secondary"/>
    <x v="0"/>
    <n v="1"/>
    <n v="5"/>
    <n v="5"/>
    <x v="0"/>
    <n v="0"/>
    <x v="0"/>
    <n v="0"/>
    <n v="0"/>
    <n v="0"/>
    <n v="200"/>
    <n v="200"/>
    <x v="1"/>
    <n v="131"/>
    <n v="88"/>
    <n v="25.09"/>
    <n v="25.09"/>
    <x v="0"/>
    <n v="81"/>
    <n v="81"/>
    <n v="88"/>
    <n v="88"/>
    <x v="0"/>
    <x v="0"/>
  </r>
  <r>
    <n v="0"/>
    <x v="0"/>
    <n v="42"/>
    <x v="1"/>
    <n v="4"/>
    <n v="4"/>
    <s v="Post Graduate"/>
    <x v="3"/>
    <n v="0"/>
    <n v="0"/>
    <n v="0"/>
    <x v="1"/>
    <n v="0"/>
    <x v="0"/>
    <n v="0"/>
    <n v="0"/>
    <n v="0"/>
    <n v="183"/>
    <n v="183"/>
    <x v="1"/>
    <n v="111"/>
    <n v="71"/>
    <n v="19.78"/>
    <n v="19.78"/>
    <x v="1"/>
    <n v="66"/>
    <n v="66"/>
    <n v="81"/>
    <n v="81"/>
    <x v="0"/>
    <x v="0"/>
  </r>
  <r>
    <n v="1"/>
    <x v="1"/>
    <n v="42"/>
    <x v="1"/>
    <n v="2"/>
    <n v="2"/>
    <s v="Secondary"/>
    <x v="0"/>
    <n v="0"/>
    <n v="0"/>
    <n v="0"/>
    <x v="1"/>
    <n v="0"/>
    <x v="0"/>
    <n v="0"/>
    <n v="1"/>
    <n v="0"/>
    <n v="164"/>
    <n v="164"/>
    <x v="1"/>
    <n v="141.5"/>
    <n v="98"/>
    <n v="32.520000000000003"/>
    <n v="32.520000000000003"/>
    <x v="2"/>
    <n v="72"/>
    <n v="72"/>
    <n v="76"/>
    <n v="76"/>
    <x v="0"/>
    <x v="0"/>
  </r>
  <r>
    <n v="1"/>
    <x v="1"/>
    <n v="42"/>
    <x v="1"/>
    <n v="4"/>
    <n v="4"/>
    <s v="Post Graduate"/>
    <x v="3"/>
    <n v="1"/>
    <n v="20"/>
    <n v="20"/>
    <x v="0"/>
    <n v="0"/>
    <x v="0"/>
    <n v="0"/>
    <n v="0"/>
    <n v="0"/>
    <n v="270"/>
    <n v="270"/>
    <x v="0"/>
    <n v="112"/>
    <n v="77"/>
    <n v="24.77"/>
    <n v="24.77"/>
    <x v="1"/>
    <n v="73"/>
    <n v="73"/>
    <n v="85"/>
    <n v="85"/>
    <x v="0"/>
    <x v="0"/>
  </r>
  <r>
    <n v="0"/>
    <x v="0"/>
    <n v="42"/>
    <x v="1"/>
    <s v="NA"/>
    <n v="1"/>
    <s v="Primary"/>
    <x v="2"/>
    <n v="1"/>
    <n v="9"/>
    <n v="9"/>
    <x v="0"/>
    <n v="0"/>
    <x v="0"/>
    <n v="0"/>
    <n v="0"/>
    <n v="0"/>
    <n v="165"/>
    <n v="165"/>
    <x v="1"/>
    <n v="139"/>
    <n v="91"/>
    <n v="26.54"/>
    <n v="26.54"/>
    <x v="0"/>
    <n v="83"/>
    <n v="83"/>
    <n v="83"/>
    <n v="83"/>
    <x v="0"/>
    <x v="0"/>
  </r>
  <r>
    <n v="0"/>
    <x v="0"/>
    <n v="42"/>
    <x v="1"/>
    <n v="1"/>
    <n v="1"/>
    <s v="Primary"/>
    <x v="2"/>
    <n v="1"/>
    <n v="20"/>
    <n v="20"/>
    <x v="0"/>
    <n v="0"/>
    <x v="0"/>
    <n v="0"/>
    <n v="0"/>
    <n v="0"/>
    <n v="209"/>
    <n v="209"/>
    <x v="1"/>
    <n v="105"/>
    <n v="65"/>
    <n v="23.8"/>
    <n v="23.8"/>
    <x v="1"/>
    <n v="69"/>
    <n v="69"/>
    <n v="64"/>
    <n v="64"/>
    <x v="0"/>
    <x v="0"/>
  </r>
  <r>
    <n v="1"/>
    <x v="1"/>
    <n v="42"/>
    <x v="1"/>
    <n v="1"/>
    <n v="1"/>
    <s v="Primary"/>
    <x v="2"/>
    <n v="1"/>
    <n v="30"/>
    <n v="30"/>
    <x v="0"/>
    <n v="0"/>
    <x v="0"/>
    <n v="0"/>
    <n v="1"/>
    <n v="0"/>
    <n v="240"/>
    <n v="240"/>
    <x v="1"/>
    <n v="169"/>
    <n v="96"/>
    <n v="32.4"/>
    <n v="32.4"/>
    <x v="2"/>
    <n v="90"/>
    <n v="90"/>
    <s v="NA"/>
    <n v="81.96365524402907"/>
    <x v="0"/>
    <x v="0"/>
  </r>
  <r>
    <n v="0"/>
    <x v="0"/>
    <n v="42"/>
    <x v="1"/>
    <n v="3"/>
    <n v="3"/>
    <s v="Graduate"/>
    <x v="1"/>
    <n v="1"/>
    <n v="10"/>
    <n v="10"/>
    <x v="0"/>
    <n v="0"/>
    <x v="0"/>
    <n v="0"/>
    <n v="0"/>
    <n v="0"/>
    <n v="253"/>
    <n v="253"/>
    <x v="0"/>
    <n v="109"/>
    <n v="74"/>
    <n v="24.38"/>
    <n v="24.38"/>
    <x v="1"/>
    <n v="88"/>
    <n v="88"/>
    <n v="60"/>
    <n v="60"/>
    <x v="0"/>
    <x v="0"/>
  </r>
  <r>
    <n v="0"/>
    <x v="0"/>
    <n v="42"/>
    <x v="1"/>
    <n v="3"/>
    <n v="3"/>
    <s v="Graduate"/>
    <x v="1"/>
    <n v="1"/>
    <n v="20"/>
    <n v="20"/>
    <x v="0"/>
    <n v="0"/>
    <x v="0"/>
    <n v="0"/>
    <n v="0"/>
    <n v="0"/>
    <n v="304"/>
    <n v="304"/>
    <x v="0"/>
    <n v="119"/>
    <n v="76"/>
    <n v="32.520000000000003"/>
    <n v="32.520000000000003"/>
    <x v="2"/>
    <n v="64"/>
    <n v="64"/>
    <n v="80"/>
    <n v="80"/>
    <x v="0"/>
    <x v="0"/>
  </r>
  <r>
    <n v="1"/>
    <x v="1"/>
    <n v="42"/>
    <x v="1"/>
    <n v="4"/>
    <n v="4"/>
    <s v="Post Graduate"/>
    <x v="3"/>
    <n v="0"/>
    <n v="0"/>
    <n v="0"/>
    <x v="1"/>
    <n v="0"/>
    <x v="0"/>
    <n v="0"/>
    <n v="1"/>
    <n v="0"/>
    <n v="245"/>
    <n v="245"/>
    <x v="0"/>
    <n v="142.5"/>
    <n v="85"/>
    <n v="35.450000000000003"/>
    <n v="35.450000000000003"/>
    <x v="2"/>
    <n v="62"/>
    <n v="62"/>
    <s v="NA"/>
    <n v="81.96365524402907"/>
    <x v="0"/>
    <x v="0"/>
  </r>
  <r>
    <n v="0"/>
    <x v="0"/>
    <n v="42"/>
    <x v="1"/>
    <n v="1"/>
    <n v="1"/>
    <s v="Primary"/>
    <x v="2"/>
    <n v="0"/>
    <n v="0"/>
    <n v="0"/>
    <x v="1"/>
    <n v="0"/>
    <x v="0"/>
    <n v="0"/>
    <n v="0"/>
    <n v="0"/>
    <n v="271"/>
    <n v="271"/>
    <x v="0"/>
    <n v="115"/>
    <n v="77"/>
    <n v="28.68"/>
    <n v="28.68"/>
    <x v="0"/>
    <n v="66"/>
    <n v="66"/>
    <n v="82"/>
    <n v="82"/>
    <x v="0"/>
    <x v="0"/>
  </r>
  <r>
    <n v="0"/>
    <x v="0"/>
    <n v="42"/>
    <x v="1"/>
    <n v="2"/>
    <n v="2"/>
    <s v="Secondary"/>
    <x v="0"/>
    <n v="1"/>
    <n v="15"/>
    <n v="15"/>
    <x v="0"/>
    <n v="0"/>
    <x v="0"/>
    <n v="0"/>
    <n v="0"/>
    <n v="0"/>
    <n v="197"/>
    <n v="197"/>
    <x v="1"/>
    <n v="124"/>
    <n v="81"/>
    <n v="21.5"/>
    <n v="21.5"/>
    <x v="1"/>
    <n v="80"/>
    <n v="80"/>
    <n v="63"/>
    <n v="63"/>
    <x v="0"/>
    <x v="0"/>
  </r>
  <r>
    <n v="1"/>
    <x v="1"/>
    <n v="42"/>
    <x v="1"/>
    <n v="4"/>
    <n v="4"/>
    <s v="Post Graduate"/>
    <x v="3"/>
    <n v="0"/>
    <n v="0"/>
    <n v="0"/>
    <x v="1"/>
    <n v="0"/>
    <x v="0"/>
    <n v="0"/>
    <n v="0"/>
    <n v="0"/>
    <n v="195"/>
    <n v="195"/>
    <x v="1"/>
    <n v="112"/>
    <n v="74.5"/>
    <n v="23.37"/>
    <n v="23.37"/>
    <x v="1"/>
    <n v="58"/>
    <n v="58"/>
    <n v="110"/>
    <n v="110"/>
    <x v="0"/>
    <x v="0"/>
  </r>
  <r>
    <n v="1"/>
    <x v="1"/>
    <n v="42"/>
    <x v="1"/>
    <n v="3"/>
    <n v="3"/>
    <s v="Graduate"/>
    <x v="1"/>
    <n v="1"/>
    <s v="NA"/>
    <n v="9"/>
    <x v="0"/>
    <n v="0"/>
    <x v="0"/>
    <n v="0"/>
    <n v="0"/>
    <n v="0"/>
    <n v="225"/>
    <n v="225"/>
    <x v="1"/>
    <n v="122.5"/>
    <n v="80"/>
    <n v="25.54"/>
    <n v="25.54"/>
    <x v="0"/>
    <n v="90"/>
    <n v="90"/>
    <n v="90"/>
    <n v="90"/>
    <x v="0"/>
    <x v="0"/>
  </r>
  <r>
    <n v="0"/>
    <x v="0"/>
    <n v="42"/>
    <x v="1"/>
    <n v="3"/>
    <n v="3"/>
    <s v="Graduate"/>
    <x v="1"/>
    <n v="1"/>
    <n v="5"/>
    <n v="5"/>
    <x v="0"/>
    <n v="0"/>
    <x v="0"/>
    <n v="0"/>
    <n v="0"/>
    <n v="0"/>
    <n v="152"/>
    <n v="152"/>
    <x v="1"/>
    <n v="122"/>
    <n v="76"/>
    <n v="21.26"/>
    <n v="21.26"/>
    <x v="1"/>
    <n v="85"/>
    <n v="85"/>
    <n v="78"/>
    <n v="78"/>
    <x v="0"/>
    <x v="0"/>
  </r>
  <r>
    <n v="0"/>
    <x v="0"/>
    <n v="42"/>
    <x v="1"/>
    <n v="2"/>
    <n v="2"/>
    <s v="Secondary"/>
    <x v="0"/>
    <n v="0"/>
    <n v="0"/>
    <n v="0"/>
    <x v="1"/>
    <n v="0"/>
    <x v="0"/>
    <n v="0"/>
    <n v="1"/>
    <n v="0"/>
    <n v="230"/>
    <n v="230"/>
    <x v="1"/>
    <n v="142.5"/>
    <n v="97.5"/>
    <n v="29.94"/>
    <n v="29.94"/>
    <x v="0"/>
    <n v="75"/>
    <n v="75"/>
    <n v="75"/>
    <n v="75"/>
    <x v="0"/>
    <x v="0"/>
  </r>
  <r>
    <n v="1"/>
    <x v="1"/>
    <n v="42"/>
    <x v="1"/>
    <n v="4"/>
    <n v="4"/>
    <s v="Post Graduate"/>
    <x v="3"/>
    <n v="0"/>
    <n v="0"/>
    <n v="0"/>
    <x v="1"/>
    <n v="0"/>
    <x v="0"/>
    <n v="0"/>
    <n v="0"/>
    <n v="0"/>
    <n v="225"/>
    <n v="225"/>
    <x v="1"/>
    <n v="110"/>
    <n v="73"/>
    <n v="27.67"/>
    <n v="27.67"/>
    <x v="0"/>
    <n v="65"/>
    <n v="65"/>
    <n v="65"/>
    <n v="65"/>
    <x v="0"/>
    <x v="0"/>
  </r>
  <r>
    <n v="0"/>
    <x v="0"/>
    <n v="42"/>
    <x v="1"/>
    <n v="1"/>
    <n v="1"/>
    <s v="Primary"/>
    <x v="2"/>
    <n v="0"/>
    <n v="0"/>
    <n v="0"/>
    <x v="1"/>
    <n v="0"/>
    <x v="0"/>
    <n v="0"/>
    <n v="0"/>
    <n v="0"/>
    <n v="249"/>
    <n v="249"/>
    <x v="0"/>
    <n v="101"/>
    <n v="70"/>
    <n v="21.74"/>
    <n v="21.74"/>
    <x v="1"/>
    <n v="94"/>
    <n v="94"/>
    <n v="60"/>
    <n v="60"/>
    <x v="0"/>
    <x v="0"/>
  </r>
  <r>
    <n v="1"/>
    <x v="1"/>
    <n v="42"/>
    <x v="1"/>
    <s v="NA"/>
    <n v="1"/>
    <s v="Primary"/>
    <x v="2"/>
    <n v="1"/>
    <n v="30"/>
    <n v="30"/>
    <x v="0"/>
    <n v="0"/>
    <x v="0"/>
    <n v="0"/>
    <n v="0"/>
    <n v="0"/>
    <n v="224"/>
    <n v="224"/>
    <x v="1"/>
    <n v="127.5"/>
    <n v="89"/>
    <n v="29.84"/>
    <n v="29.84"/>
    <x v="0"/>
    <n v="79"/>
    <n v="79"/>
    <n v="75"/>
    <n v="75"/>
    <x v="0"/>
    <x v="0"/>
  </r>
  <r>
    <n v="0"/>
    <x v="0"/>
    <n v="42"/>
    <x v="1"/>
    <n v="3"/>
    <n v="3"/>
    <s v="Graduate"/>
    <x v="1"/>
    <n v="1"/>
    <n v="20"/>
    <n v="20"/>
    <x v="0"/>
    <n v="0"/>
    <x v="0"/>
    <n v="0"/>
    <n v="0"/>
    <n v="0"/>
    <n v="175"/>
    <n v="175"/>
    <x v="1"/>
    <n v="132"/>
    <n v="86"/>
    <n v="20.53"/>
    <n v="20.53"/>
    <x v="1"/>
    <n v="80"/>
    <n v="80"/>
    <n v="88"/>
    <n v="88"/>
    <x v="0"/>
    <x v="0"/>
  </r>
  <r>
    <n v="0"/>
    <x v="0"/>
    <n v="42"/>
    <x v="1"/>
    <n v="1"/>
    <n v="1"/>
    <s v="Primary"/>
    <x v="2"/>
    <n v="1"/>
    <n v="15"/>
    <n v="15"/>
    <x v="0"/>
    <n v="0"/>
    <x v="0"/>
    <n v="0"/>
    <n v="0"/>
    <n v="0"/>
    <n v="228"/>
    <n v="228"/>
    <x v="1"/>
    <n v="131"/>
    <n v="85"/>
    <n v="25.08"/>
    <n v="25.08"/>
    <x v="0"/>
    <n v="72"/>
    <n v="72"/>
    <s v="NA"/>
    <n v="81.96365524402907"/>
    <x v="0"/>
    <x v="0"/>
  </r>
  <r>
    <n v="0"/>
    <x v="0"/>
    <n v="42"/>
    <x v="1"/>
    <n v="1"/>
    <n v="1"/>
    <s v="Primary"/>
    <x v="2"/>
    <n v="0"/>
    <n v="0"/>
    <n v="0"/>
    <x v="1"/>
    <n v="0"/>
    <x v="0"/>
    <n v="0"/>
    <n v="0"/>
    <n v="0"/>
    <n v="170"/>
    <n v="170"/>
    <x v="1"/>
    <n v="113"/>
    <n v="79"/>
    <n v="21.31"/>
    <n v="21.31"/>
    <x v="1"/>
    <n v="70"/>
    <n v="70"/>
    <n v="65"/>
    <n v="65"/>
    <x v="0"/>
    <x v="1"/>
  </r>
  <r>
    <n v="1"/>
    <x v="1"/>
    <n v="42"/>
    <x v="1"/>
    <n v="3"/>
    <n v="3"/>
    <s v="Graduate"/>
    <x v="1"/>
    <n v="1"/>
    <n v="20"/>
    <n v="20"/>
    <x v="0"/>
    <n v="0"/>
    <x v="0"/>
    <n v="0"/>
    <n v="0"/>
    <n v="0"/>
    <n v="231"/>
    <n v="231"/>
    <x v="1"/>
    <n v="123"/>
    <n v="87"/>
    <n v="21.48"/>
    <n v="21.48"/>
    <x v="1"/>
    <n v="75"/>
    <n v="75"/>
    <n v="44"/>
    <n v="44"/>
    <x v="0"/>
    <x v="0"/>
  </r>
  <r>
    <n v="0"/>
    <x v="0"/>
    <n v="42"/>
    <x v="1"/>
    <n v="3"/>
    <n v="3"/>
    <s v="Graduate"/>
    <x v="1"/>
    <n v="0"/>
    <n v="0"/>
    <n v="0"/>
    <x v="1"/>
    <n v="0"/>
    <x v="0"/>
    <n v="0"/>
    <n v="1"/>
    <n v="0"/>
    <n v="230"/>
    <n v="230"/>
    <x v="1"/>
    <n v="142.5"/>
    <n v="79"/>
    <n v="25.15"/>
    <n v="25.15"/>
    <x v="0"/>
    <n v="82"/>
    <n v="82"/>
    <n v="99"/>
    <n v="99"/>
    <x v="0"/>
    <x v="0"/>
  </r>
  <r>
    <n v="1"/>
    <x v="1"/>
    <n v="42"/>
    <x v="1"/>
    <n v="1"/>
    <n v="1"/>
    <s v="Primary"/>
    <x v="2"/>
    <n v="1"/>
    <n v="20"/>
    <n v="20"/>
    <x v="0"/>
    <n v="0"/>
    <x v="0"/>
    <n v="0"/>
    <n v="0"/>
    <n v="0"/>
    <n v="220"/>
    <n v="220"/>
    <x v="1"/>
    <n v="112.5"/>
    <n v="80"/>
    <n v="29"/>
    <n v="29"/>
    <x v="0"/>
    <n v="60"/>
    <n v="60"/>
    <n v="60"/>
    <n v="60"/>
    <x v="0"/>
    <x v="0"/>
  </r>
  <r>
    <n v="1"/>
    <x v="1"/>
    <n v="42"/>
    <x v="1"/>
    <n v="1"/>
    <n v="1"/>
    <s v="Primary"/>
    <x v="2"/>
    <n v="1"/>
    <n v="20"/>
    <n v="20"/>
    <x v="0"/>
    <n v="0"/>
    <x v="0"/>
    <n v="0"/>
    <n v="0"/>
    <n v="0"/>
    <n v="410"/>
    <n v="410"/>
    <x v="0"/>
    <n v="116"/>
    <n v="83"/>
    <n v="21.68"/>
    <n v="21.68"/>
    <x v="1"/>
    <n v="90"/>
    <n v="90"/>
    <n v="83"/>
    <n v="83"/>
    <x v="0"/>
    <x v="0"/>
  </r>
  <r>
    <n v="0"/>
    <x v="0"/>
    <n v="42"/>
    <x v="1"/>
    <n v="4"/>
    <n v="4"/>
    <s v="Post Graduate"/>
    <x v="3"/>
    <n v="0"/>
    <n v="0"/>
    <n v="0"/>
    <x v="1"/>
    <n v="0"/>
    <x v="0"/>
    <n v="0"/>
    <n v="0"/>
    <n v="0"/>
    <n v="182"/>
    <n v="182"/>
    <x v="1"/>
    <n v="138"/>
    <n v="91"/>
    <n v="20.02"/>
    <n v="20.02"/>
    <x v="1"/>
    <n v="90"/>
    <n v="90"/>
    <n v="74"/>
    <n v="74"/>
    <x v="0"/>
    <x v="0"/>
  </r>
  <r>
    <n v="0"/>
    <x v="0"/>
    <n v="42"/>
    <x v="1"/>
    <n v="1"/>
    <n v="1"/>
    <s v="Primary"/>
    <x v="2"/>
    <n v="1"/>
    <n v="20"/>
    <n v="20"/>
    <x v="0"/>
    <n v="0"/>
    <x v="0"/>
    <n v="0"/>
    <n v="0"/>
    <n v="0"/>
    <n v="248"/>
    <n v="248"/>
    <x v="0"/>
    <n v="106"/>
    <n v="70"/>
    <n v="20.77"/>
    <n v="20.77"/>
    <x v="1"/>
    <n v="68"/>
    <n v="68"/>
    <s v="NA"/>
    <n v="81.96365524402907"/>
    <x v="0"/>
    <x v="0"/>
  </r>
  <r>
    <n v="0"/>
    <x v="0"/>
    <n v="42"/>
    <x v="1"/>
    <n v="4"/>
    <n v="4"/>
    <s v="Post Graduate"/>
    <x v="3"/>
    <n v="0"/>
    <n v="0"/>
    <n v="0"/>
    <x v="1"/>
    <n v="0"/>
    <x v="0"/>
    <n v="0"/>
    <n v="0"/>
    <n v="0"/>
    <n v="212"/>
    <n v="212"/>
    <x v="1"/>
    <n v="110"/>
    <n v="65"/>
    <n v="23.64"/>
    <n v="23.64"/>
    <x v="1"/>
    <n v="53"/>
    <n v="53"/>
    <n v="63"/>
    <n v="63"/>
    <x v="0"/>
    <x v="0"/>
  </r>
  <r>
    <n v="1"/>
    <x v="1"/>
    <n v="42"/>
    <x v="1"/>
    <n v="1"/>
    <n v="1"/>
    <s v="Primary"/>
    <x v="2"/>
    <n v="1"/>
    <n v="25"/>
    <n v="25"/>
    <x v="0"/>
    <n v="0"/>
    <x v="0"/>
    <n v="0"/>
    <n v="0"/>
    <n v="0"/>
    <n v="231"/>
    <n v="231"/>
    <x v="1"/>
    <n v="122"/>
    <n v="84"/>
    <n v="27.63"/>
    <n v="27.63"/>
    <x v="0"/>
    <n v="66"/>
    <n v="66"/>
    <n v="72"/>
    <n v="72"/>
    <x v="0"/>
    <x v="0"/>
  </r>
  <r>
    <n v="0"/>
    <x v="0"/>
    <n v="42"/>
    <x v="1"/>
    <n v="2"/>
    <n v="2"/>
    <s v="Secondary"/>
    <x v="0"/>
    <n v="1"/>
    <n v="20"/>
    <n v="20"/>
    <x v="0"/>
    <n v="0"/>
    <x v="0"/>
    <n v="0"/>
    <n v="0"/>
    <n v="0"/>
    <n v="246"/>
    <n v="246"/>
    <x v="0"/>
    <n v="120"/>
    <n v="70"/>
    <n v="19.420000000000002"/>
    <n v="19.420000000000002"/>
    <x v="1"/>
    <n v="72"/>
    <n v="72"/>
    <n v="78"/>
    <n v="78"/>
    <x v="0"/>
    <x v="0"/>
  </r>
  <r>
    <n v="1"/>
    <x v="1"/>
    <n v="42"/>
    <x v="1"/>
    <n v="2"/>
    <n v="2"/>
    <s v="Secondary"/>
    <x v="0"/>
    <n v="1"/>
    <n v="20"/>
    <n v="20"/>
    <x v="0"/>
    <n v="0"/>
    <x v="0"/>
    <n v="0"/>
    <n v="0"/>
    <n v="0"/>
    <n v="204"/>
    <n v="204"/>
    <x v="1"/>
    <n v="110"/>
    <n v="73"/>
    <n v="23.72"/>
    <n v="23.72"/>
    <x v="1"/>
    <n v="60"/>
    <n v="60"/>
    <n v="75"/>
    <n v="75"/>
    <x v="0"/>
    <x v="0"/>
  </r>
  <r>
    <n v="1"/>
    <x v="1"/>
    <n v="42"/>
    <x v="1"/>
    <n v="2"/>
    <n v="2"/>
    <s v="Secondary"/>
    <x v="0"/>
    <n v="1"/>
    <n v="35"/>
    <n v="35"/>
    <x v="0"/>
    <n v="0"/>
    <x v="0"/>
    <n v="0"/>
    <n v="1"/>
    <n v="0"/>
    <n v="211"/>
    <n v="211"/>
    <x v="1"/>
    <n v="138"/>
    <n v="90"/>
    <n v="25.49"/>
    <n v="25.49"/>
    <x v="0"/>
    <n v="69"/>
    <n v="69"/>
    <n v="73"/>
    <n v="73"/>
    <x v="0"/>
    <x v="0"/>
  </r>
  <r>
    <n v="0"/>
    <x v="0"/>
    <n v="42"/>
    <x v="1"/>
    <n v="3"/>
    <n v="3"/>
    <s v="Graduate"/>
    <x v="1"/>
    <n v="0"/>
    <n v="0"/>
    <n v="0"/>
    <x v="1"/>
    <n v="0"/>
    <x v="0"/>
    <n v="0"/>
    <n v="0"/>
    <n v="0"/>
    <n v="256"/>
    <n v="256"/>
    <x v="0"/>
    <n v="129"/>
    <n v="85.5"/>
    <n v="31.84"/>
    <n v="31.84"/>
    <x v="2"/>
    <n v="95"/>
    <n v="95"/>
    <n v="74"/>
    <n v="74"/>
    <x v="0"/>
    <x v="0"/>
  </r>
  <r>
    <n v="0"/>
    <x v="0"/>
    <n v="42"/>
    <x v="1"/>
    <n v="2"/>
    <n v="2"/>
    <s v="Secondary"/>
    <x v="0"/>
    <n v="1"/>
    <n v="20"/>
    <n v="20"/>
    <x v="0"/>
    <n v="0"/>
    <x v="0"/>
    <n v="0"/>
    <n v="1"/>
    <n v="0"/>
    <n v="196"/>
    <n v="196"/>
    <x v="1"/>
    <n v="145"/>
    <n v="87"/>
    <n v="29.65"/>
    <n v="29.65"/>
    <x v="0"/>
    <n v="97"/>
    <n v="97"/>
    <n v="60"/>
    <n v="60"/>
    <x v="0"/>
    <x v="0"/>
  </r>
  <r>
    <n v="0"/>
    <x v="0"/>
    <n v="42"/>
    <x v="1"/>
    <n v="2"/>
    <n v="2"/>
    <s v="Secondary"/>
    <x v="0"/>
    <n v="0"/>
    <n v="0"/>
    <n v="0"/>
    <x v="1"/>
    <n v="0"/>
    <x v="0"/>
    <n v="0"/>
    <n v="0"/>
    <n v="0"/>
    <n v="211"/>
    <n v="211"/>
    <x v="1"/>
    <n v="134"/>
    <n v="82"/>
    <n v="20.93"/>
    <n v="20.93"/>
    <x v="1"/>
    <n v="75"/>
    <n v="75"/>
    <n v="80"/>
    <n v="80"/>
    <x v="0"/>
    <x v="1"/>
  </r>
  <r>
    <n v="1"/>
    <x v="1"/>
    <n v="42"/>
    <x v="1"/>
    <n v="3"/>
    <n v="3"/>
    <s v="Graduate"/>
    <x v="1"/>
    <n v="0"/>
    <n v="0"/>
    <n v="0"/>
    <x v="1"/>
    <n v="0"/>
    <x v="0"/>
    <n v="0"/>
    <n v="0"/>
    <n v="0"/>
    <n v="283"/>
    <n v="283"/>
    <x v="0"/>
    <n v="137"/>
    <n v="91"/>
    <n v="25.41"/>
    <n v="25.41"/>
    <x v="0"/>
    <n v="75"/>
    <n v="75"/>
    <n v="67"/>
    <n v="67"/>
    <x v="0"/>
    <x v="0"/>
  </r>
  <r>
    <n v="0"/>
    <x v="0"/>
    <n v="42"/>
    <x v="1"/>
    <n v="3"/>
    <n v="3"/>
    <s v="Graduate"/>
    <x v="1"/>
    <n v="0"/>
    <n v="0"/>
    <n v="0"/>
    <x v="1"/>
    <n v="0"/>
    <x v="0"/>
    <n v="0"/>
    <n v="0"/>
    <n v="0"/>
    <n v="252"/>
    <n v="252"/>
    <x v="0"/>
    <n v="102"/>
    <n v="72.5"/>
    <n v="22.85"/>
    <n v="22.85"/>
    <x v="1"/>
    <n v="60"/>
    <n v="60"/>
    <s v="NA"/>
    <n v="81.96365524402907"/>
    <x v="0"/>
    <x v="0"/>
  </r>
  <r>
    <n v="1"/>
    <x v="1"/>
    <n v="42"/>
    <x v="1"/>
    <n v="3"/>
    <n v="3"/>
    <s v="Graduate"/>
    <x v="1"/>
    <n v="1"/>
    <n v="20"/>
    <n v="20"/>
    <x v="0"/>
    <n v="0"/>
    <x v="0"/>
    <n v="0"/>
    <n v="0"/>
    <n v="0"/>
    <n v="220"/>
    <n v="220"/>
    <x v="1"/>
    <n v="119"/>
    <n v="73.5"/>
    <n v="23.31"/>
    <n v="23.31"/>
    <x v="1"/>
    <n v="67"/>
    <n v="67"/>
    <n v="63"/>
    <n v="63"/>
    <x v="0"/>
    <x v="0"/>
  </r>
  <r>
    <n v="0"/>
    <x v="0"/>
    <n v="42"/>
    <x v="1"/>
    <n v="2"/>
    <n v="2"/>
    <s v="Secondary"/>
    <x v="0"/>
    <n v="1"/>
    <n v="18"/>
    <n v="18"/>
    <x v="0"/>
    <n v="0"/>
    <x v="0"/>
    <n v="0"/>
    <n v="0"/>
    <n v="0"/>
    <n v="219"/>
    <n v="219"/>
    <x v="1"/>
    <n v="126"/>
    <n v="73"/>
    <n v="22.65"/>
    <n v="22.65"/>
    <x v="1"/>
    <n v="80"/>
    <n v="80"/>
    <n v="65"/>
    <n v="65"/>
    <x v="0"/>
    <x v="1"/>
  </r>
  <r>
    <n v="0"/>
    <x v="0"/>
    <n v="42"/>
    <x v="1"/>
    <n v="2"/>
    <n v="2"/>
    <s v="Secondary"/>
    <x v="0"/>
    <n v="1"/>
    <n v="25"/>
    <n v="25"/>
    <x v="0"/>
    <n v="0"/>
    <x v="0"/>
    <n v="0"/>
    <n v="0"/>
    <n v="0"/>
    <n v="286"/>
    <n v="286"/>
    <x v="0"/>
    <n v="133.5"/>
    <n v="80"/>
    <n v="26.25"/>
    <n v="26.25"/>
    <x v="0"/>
    <n v="75"/>
    <n v="75"/>
    <n v="65"/>
    <n v="65"/>
    <x v="0"/>
    <x v="0"/>
  </r>
  <r>
    <n v="0"/>
    <x v="0"/>
    <n v="42"/>
    <x v="1"/>
    <n v="3"/>
    <n v="3"/>
    <s v="Graduate"/>
    <x v="1"/>
    <n v="1"/>
    <n v="20"/>
    <n v="20"/>
    <x v="0"/>
    <n v="0"/>
    <x v="0"/>
    <n v="0"/>
    <n v="0"/>
    <n v="0"/>
    <n v="193"/>
    <n v="193"/>
    <x v="1"/>
    <n v="129"/>
    <n v="91.5"/>
    <n v="27.78"/>
    <n v="27.78"/>
    <x v="0"/>
    <n v="95"/>
    <n v="95"/>
    <n v="74"/>
    <n v="74"/>
    <x v="0"/>
    <x v="0"/>
  </r>
  <r>
    <n v="0"/>
    <x v="0"/>
    <n v="42"/>
    <x v="1"/>
    <n v="3"/>
    <n v="3"/>
    <s v="Graduate"/>
    <x v="1"/>
    <n v="0"/>
    <n v="0"/>
    <n v="0"/>
    <x v="1"/>
    <n v="0"/>
    <x v="0"/>
    <n v="0"/>
    <n v="0"/>
    <n v="0"/>
    <n v="190"/>
    <n v="190"/>
    <x v="1"/>
    <n v="121"/>
    <n v="85.5"/>
    <n v="22.19"/>
    <n v="22.19"/>
    <x v="1"/>
    <n v="87"/>
    <n v="87"/>
    <n v="85"/>
    <n v="85"/>
    <x v="0"/>
    <x v="0"/>
  </r>
  <r>
    <n v="1"/>
    <x v="1"/>
    <n v="42"/>
    <x v="1"/>
    <n v="1"/>
    <n v="1"/>
    <s v="Primary"/>
    <x v="2"/>
    <n v="1"/>
    <n v="20"/>
    <n v="20"/>
    <x v="0"/>
    <n v="0"/>
    <x v="0"/>
    <n v="0"/>
    <n v="0"/>
    <n v="0"/>
    <n v="319"/>
    <n v="319"/>
    <x v="0"/>
    <n v="116"/>
    <n v="74"/>
    <n v="26.62"/>
    <n v="26.62"/>
    <x v="0"/>
    <n v="83"/>
    <n v="83"/>
    <n v="136"/>
    <n v="136"/>
    <x v="0"/>
    <x v="0"/>
  </r>
  <r>
    <n v="0"/>
    <x v="0"/>
    <n v="42"/>
    <x v="1"/>
    <n v="1"/>
    <n v="1"/>
    <s v="Primary"/>
    <x v="2"/>
    <n v="1"/>
    <n v="9"/>
    <n v="9"/>
    <x v="0"/>
    <n v="0"/>
    <x v="0"/>
    <n v="0"/>
    <n v="1"/>
    <n v="0"/>
    <n v="274"/>
    <n v="274"/>
    <x v="0"/>
    <n v="135"/>
    <n v="90"/>
    <n v="22.19"/>
    <n v="22.19"/>
    <x v="1"/>
    <n v="70"/>
    <n v="70"/>
    <s v="NA"/>
    <n v="81.96365524402907"/>
    <x v="0"/>
    <x v="0"/>
  </r>
  <r>
    <n v="1"/>
    <x v="1"/>
    <n v="42"/>
    <x v="1"/>
    <n v="1"/>
    <n v="1"/>
    <s v="Primary"/>
    <x v="2"/>
    <n v="1"/>
    <n v="20"/>
    <n v="20"/>
    <x v="0"/>
    <n v="0"/>
    <x v="0"/>
    <n v="0"/>
    <n v="0"/>
    <n v="0"/>
    <n v="225"/>
    <n v="225"/>
    <x v="1"/>
    <n v="110"/>
    <n v="80"/>
    <n v="22.51"/>
    <n v="22.51"/>
    <x v="1"/>
    <n v="65"/>
    <n v="65"/>
    <n v="77"/>
    <n v="77"/>
    <x v="0"/>
    <x v="1"/>
  </r>
  <r>
    <n v="0"/>
    <x v="0"/>
    <n v="42"/>
    <x v="1"/>
    <n v="2"/>
    <n v="2"/>
    <s v="Secondary"/>
    <x v="0"/>
    <n v="0"/>
    <n v="0"/>
    <n v="0"/>
    <x v="1"/>
    <n v="0"/>
    <x v="0"/>
    <n v="0"/>
    <n v="0"/>
    <n v="0"/>
    <n v="233"/>
    <n v="233"/>
    <x v="1"/>
    <n v="132"/>
    <n v="82"/>
    <n v="26.81"/>
    <n v="26.81"/>
    <x v="0"/>
    <n v="69"/>
    <n v="69"/>
    <n v="71"/>
    <n v="71"/>
    <x v="0"/>
    <x v="0"/>
  </r>
  <r>
    <n v="0"/>
    <x v="0"/>
    <n v="42"/>
    <x v="1"/>
    <n v="4"/>
    <n v="4"/>
    <s v="Post Graduate"/>
    <x v="3"/>
    <n v="1"/>
    <n v="5"/>
    <n v="5"/>
    <x v="0"/>
    <n v="0"/>
    <x v="0"/>
    <n v="0"/>
    <n v="0"/>
    <n v="0"/>
    <n v="228"/>
    <n v="228"/>
    <x v="1"/>
    <n v="127.5"/>
    <n v="80"/>
    <n v="27.54"/>
    <n v="27.54"/>
    <x v="0"/>
    <n v="75"/>
    <n v="75"/>
    <s v="NA"/>
    <n v="81.96365524402907"/>
    <x v="0"/>
    <x v="0"/>
  </r>
  <r>
    <n v="1"/>
    <x v="1"/>
    <n v="42"/>
    <x v="1"/>
    <n v="4"/>
    <n v="4"/>
    <s v="Post Graduate"/>
    <x v="3"/>
    <n v="1"/>
    <n v="20"/>
    <n v="20"/>
    <x v="0"/>
    <n v="0"/>
    <x v="0"/>
    <n v="0"/>
    <n v="0"/>
    <n v="0"/>
    <n v="274"/>
    <n v="274"/>
    <x v="0"/>
    <n v="120"/>
    <n v="83.5"/>
    <n v="23.95"/>
    <n v="23.95"/>
    <x v="1"/>
    <n v="80"/>
    <n v="80"/>
    <n v="79"/>
    <n v="79"/>
    <x v="0"/>
    <x v="0"/>
  </r>
  <r>
    <n v="0"/>
    <x v="0"/>
    <n v="42"/>
    <x v="1"/>
    <n v="2"/>
    <n v="2"/>
    <s v="Secondary"/>
    <x v="0"/>
    <n v="0"/>
    <n v="0"/>
    <n v="0"/>
    <x v="1"/>
    <n v="0"/>
    <x v="0"/>
    <n v="0"/>
    <n v="0"/>
    <n v="0"/>
    <n v="232"/>
    <n v="232"/>
    <x v="1"/>
    <n v="113"/>
    <n v="69"/>
    <n v="21.29"/>
    <n v="21.29"/>
    <x v="1"/>
    <n v="68"/>
    <n v="68"/>
    <n v="70"/>
    <n v="70"/>
    <x v="0"/>
    <x v="0"/>
  </r>
  <r>
    <n v="0"/>
    <x v="0"/>
    <n v="42"/>
    <x v="1"/>
    <n v="2"/>
    <n v="2"/>
    <s v="Secondary"/>
    <x v="0"/>
    <n v="1"/>
    <n v="9"/>
    <n v="9"/>
    <x v="0"/>
    <n v="0"/>
    <x v="0"/>
    <n v="0"/>
    <n v="0"/>
    <n v="0"/>
    <n v="185"/>
    <n v="185"/>
    <x v="1"/>
    <n v="123"/>
    <n v="74"/>
    <n v="24.41"/>
    <n v="24.41"/>
    <x v="1"/>
    <n v="83"/>
    <n v="83"/>
    <n v="92"/>
    <n v="92"/>
    <x v="0"/>
    <x v="0"/>
  </r>
  <r>
    <n v="1"/>
    <x v="1"/>
    <n v="42"/>
    <x v="1"/>
    <n v="1"/>
    <n v="1"/>
    <s v="Primary"/>
    <x v="2"/>
    <n v="0"/>
    <n v="0"/>
    <n v="0"/>
    <x v="1"/>
    <n v="0"/>
    <x v="0"/>
    <n v="0"/>
    <n v="0"/>
    <n v="0"/>
    <n v="258"/>
    <n v="258"/>
    <x v="0"/>
    <n v="110"/>
    <n v="69"/>
    <n v="26.25"/>
    <n v="26.25"/>
    <x v="0"/>
    <n v="60"/>
    <n v="60"/>
    <n v="73"/>
    <n v="73"/>
    <x v="0"/>
    <x v="0"/>
  </r>
  <r>
    <n v="0"/>
    <x v="0"/>
    <n v="42"/>
    <x v="1"/>
    <n v="3"/>
    <n v="3"/>
    <s v="Graduate"/>
    <x v="1"/>
    <n v="1"/>
    <n v="15"/>
    <n v="15"/>
    <x v="0"/>
    <n v="0"/>
    <x v="0"/>
    <n v="0"/>
    <n v="0"/>
    <n v="0"/>
    <n v="212"/>
    <n v="212"/>
    <x v="1"/>
    <n v="115"/>
    <n v="72"/>
    <n v="23.72"/>
    <n v="23.72"/>
    <x v="1"/>
    <n v="73"/>
    <n v="73"/>
    <n v="100"/>
    <n v="100"/>
    <x v="0"/>
    <x v="0"/>
  </r>
  <r>
    <n v="0"/>
    <x v="0"/>
    <n v="42"/>
    <x v="1"/>
    <n v="4"/>
    <n v="4"/>
    <s v="Post Graduate"/>
    <x v="3"/>
    <n v="0"/>
    <n v="0"/>
    <n v="0"/>
    <x v="1"/>
    <n v="0"/>
    <x v="0"/>
    <n v="0"/>
    <n v="1"/>
    <n v="0"/>
    <n v="165"/>
    <n v="165"/>
    <x v="1"/>
    <n v="146"/>
    <n v="90"/>
    <n v="28.78"/>
    <n v="28.78"/>
    <x v="0"/>
    <n v="60"/>
    <n v="60"/>
    <n v="74"/>
    <n v="74"/>
    <x v="0"/>
    <x v="0"/>
  </r>
  <r>
    <n v="0"/>
    <x v="0"/>
    <n v="42"/>
    <x v="1"/>
    <n v="1"/>
    <n v="1"/>
    <s v="Primary"/>
    <x v="2"/>
    <n v="1"/>
    <n v="30"/>
    <n v="30"/>
    <x v="0"/>
    <n v="0"/>
    <x v="0"/>
    <n v="0"/>
    <n v="0"/>
    <n v="0"/>
    <n v="240"/>
    <n v="240"/>
    <x v="1"/>
    <n v="127"/>
    <n v="90"/>
    <n v="38.54"/>
    <n v="38.54"/>
    <x v="2"/>
    <n v="75"/>
    <n v="75"/>
    <n v="69"/>
    <n v="69"/>
    <x v="0"/>
    <x v="0"/>
  </r>
  <r>
    <n v="1"/>
    <x v="1"/>
    <n v="42"/>
    <x v="1"/>
    <n v="1"/>
    <n v="1"/>
    <s v="Primary"/>
    <x v="2"/>
    <n v="1"/>
    <n v="30"/>
    <n v="30"/>
    <x v="0"/>
    <n v="0"/>
    <x v="0"/>
    <n v="0"/>
    <n v="0"/>
    <n v="0"/>
    <n v="232"/>
    <n v="232"/>
    <x v="1"/>
    <n v="130"/>
    <n v="91"/>
    <n v="25.77"/>
    <n v="25.77"/>
    <x v="0"/>
    <n v="72"/>
    <n v="72"/>
    <n v="70"/>
    <n v="70"/>
    <x v="0"/>
    <x v="0"/>
  </r>
  <r>
    <n v="1"/>
    <x v="1"/>
    <n v="42"/>
    <x v="1"/>
    <n v="3"/>
    <n v="3"/>
    <s v="Graduate"/>
    <x v="1"/>
    <n v="1"/>
    <n v="43"/>
    <n v="43"/>
    <x v="0"/>
    <n v="0"/>
    <x v="0"/>
    <n v="0"/>
    <n v="1"/>
    <n v="0"/>
    <n v="272"/>
    <n v="272"/>
    <x v="0"/>
    <n v="128"/>
    <n v="83"/>
    <n v="33.26"/>
    <n v="33.26"/>
    <x v="2"/>
    <n v="80"/>
    <n v="80"/>
    <n v="63"/>
    <n v="63"/>
    <x v="0"/>
    <x v="1"/>
  </r>
  <r>
    <n v="1"/>
    <x v="1"/>
    <n v="42"/>
    <x v="1"/>
    <n v="1"/>
    <n v="1"/>
    <s v="Primary"/>
    <x v="2"/>
    <n v="1"/>
    <n v="20"/>
    <n v="20"/>
    <x v="0"/>
    <n v="0"/>
    <x v="0"/>
    <n v="0"/>
    <n v="0"/>
    <n v="0"/>
    <n v="190"/>
    <n v="190"/>
    <x v="1"/>
    <n v="121.5"/>
    <n v="79"/>
    <n v="24.2"/>
    <n v="24.2"/>
    <x v="1"/>
    <n v="92"/>
    <n v="92"/>
    <n v="77"/>
    <n v="77"/>
    <x v="0"/>
    <x v="0"/>
  </r>
  <r>
    <n v="0"/>
    <x v="0"/>
    <n v="42"/>
    <x v="1"/>
    <n v="2"/>
    <n v="2"/>
    <s v="Secondary"/>
    <x v="0"/>
    <n v="1"/>
    <n v="10"/>
    <n v="10"/>
    <x v="0"/>
    <n v="0"/>
    <x v="0"/>
    <n v="0"/>
    <n v="0"/>
    <n v="0"/>
    <n v="359"/>
    <n v="359"/>
    <x v="0"/>
    <n v="115"/>
    <n v="71"/>
    <n v="24.46"/>
    <n v="24.46"/>
    <x v="1"/>
    <n v="75"/>
    <n v="75"/>
    <n v="68"/>
    <n v="68"/>
    <x v="0"/>
    <x v="0"/>
  </r>
  <r>
    <n v="1"/>
    <x v="1"/>
    <n v="42"/>
    <x v="1"/>
    <n v="1"/>
    <n v="1"/>
    <s v="Primary"/>
    <x v="2"/>
    <n v="1"/>
    <n v="20"/>
    <n v="20"/>
    <x v="0"/>
    <n v="0"/>
    <x v="0"/>
    <n v="0"/>
    <n v="0"/>
    <n v="0"/>
    <n v="182"/>
    <n v="182"/>
    <x v="1"/>
    <n v="120"/>
    <n v="83"/>
    <n v="27.26"/>
    <n v="27.26"/>
    <x v="0"/>
    <n v="85"/>
    <n v="85"/>
    <n v="87"/>
    <n v="87"/>
    <x v="0"/>
    <x v="0"/>
  </r>
  <r>
    <n v="1"/>
    <x v="1"/>
    <n v="42"/>
    <x v="1"/>
    <n v="4"/>
    <n v="4"/>
    <s v="Post Graduate"/>
    <x v="3"/>
    <n v="1"/>
    <n v="20"/>
    <n v="20"/>
    <x v="0"/>
    <n v="0"/>
    <x v="0"/>
    <n v="0"/>
    <n v="1"/>
    <n v="0"/>
    <n v="260"/>
    <n v="260"/>
    <x v="0"/>
    <n v="132"/>
    <n v="86"/>
    <n v="29.76"/>
    <n v="29.76"/>
    <x v="0"/>
    <n v="75"/>
    <n v="75"/>
    <n v="66"/>
    <n v="66"/>
    <x v="0"/>
    <x v="0"/>
  </r>
  <r>
    <n v="1"/>
    <x v="1"/>
    <n v="42"/>
    <x v="1"/>
    <n v="4"/>
    <n v="4"/>
    <s v="Post Graduate"/>
    <x v="3"/>
    <n v="1"/>
    <n v="20"/>
    <n v="20"/>
    <x v="0"/>
    <n v="0"/>
    <x v="0"/>
    <n v="0"/>
    <n v="0"/>
    <n v="0"/>
    <n v="166"/>
    <n v="166"/>
    <x v="1"/>
    <n v="110"/>
    <n v="70"/>
    <n v="19.97"/>
    <n v="19.97"/>
    <x v="1"/>
    <n v="75"/>
    <n v="75"/>
    <n v="69"/>
    <n v="69"/>
    <x v="0"/>
    <x v="0"/>
  </r>
  <r>
    <n v="0"/>
    <x v="0"/>
    <n v="42"/>
    <x v="1"/>
    <n v="4"/>
    <n v="4"/>
    <s v="Post Graduate"/>
    <x v="3"/>
    <n v="1"/>
    <n v="6"/>
    <n v="6"/>
    <x v="0"/>
    <n v="0"/>
    <x v="0"/>
    <n v="0"/>
    <n v="0"/>
    <n v="0"/>
    <n v="219"/>
    <n v="219"/>
    <x v="1"/>
    <n v="120"/>
    <n v="70"/>
    <n v="24.1"/>
    <n v="24.1"/>
    <x v="1"/>
    <n v="57"/>
    <n v="57"/>
    <n v="73"/>
    <n v="73"/>
    <x v="0"/>
    <x v="0"/>
  </r>
  <r>
    <n v="0"/>
    <x v="0"/>
    <n v="42"/>
    <x v="1"/>
    <n v="1"/>
    <n v="1"/>
    <s v="Primary"/>
    <x v="2"/>
    <n v="0"/>
    <n v="0"/>
    <n v="0"/>
    <x v="1"/>
    <n v="0"/>
    <x v="0"/>
    <n v="0"/>
    <n v="0"/>
    <n v="0"/>
    <n v="199"/>
    <n v="199"/>
    <x v="1"/>
    <n v="111"/>
    <n v="71"/>
    <n v="27.23"/>
    <n v="27.23"/>
    <x v="0"/>
    <n v="67"/>
    <n v="67"/>
    <n v="107"/>
    <n v="107"/>
    <x v="0"/>
    <x v="0"/>
  </r>
  <r>
    <n v="0"/>
    <x v="0"/>
    <n v="42"/>
    <x v="1"/>
    <n v="2"/>
    <n v="2"/>
    <s v="Secondary"/>
    <x v="0"/>
    <n v="1"/>
    <n v="9"/>
    <n v="9"/>
    <x v="0"/>
    <n v="0"/>
    <x v="0"/>
    <n v="0"/>
    <n v="0"/>
    <n v="0"/>
    <n v="281"/>
    <n v="281"/>
    <x v="0"/>
    <n v="115.5"/>
    <n v="79"/>
    <n v="22.9"/>
    <n v="22.9"/>
    <x v="1"/>
    <n v="80"/>
    <n v="80"/>
    <n v="71"/>
    <n v="71"/>
    <x v="0"/>
    <x v="0"/>
  </r>
  <r>
    <n v="0"/>
    <x v="0"/>
    <n v="42"/>
    <x v="1"/>
    <n v="3"/>
    <n v="3"/>
    <s v="Graduate"/>
    <x v="1"/>
    <n v="0"/>
    <n v="0"/>
    <n v="0"/>
    <x v="1"/>
    <n v="0"/>
    <x v="0"/>
    <n v="0"/>
    <n v="0"/>
    <n v="0"/>
    <n v="270"/>
    <n v="270"/>
    <x v="0"/>
    <n v="126"/>
    <n v="86"/>
    <n v="23.98"/>
    <n v="23.98"/>
    <x v="1"/>
    <n v="80"/>
    <n v="80"/>
    <n v="77"/>
    <n v="77"/>
    <x v="0"/>
    <x v="0"/>
  </r>
  <r>
    <n v="1"/>
    <x v="1"/>
    <n v="42"/>
    <x v="1"/>
    <n v="2"/>
    <n v="2"/>
    <s v="Secondary"/>
    <x v="0"/>
    <n v="1"/>
    <n v="5"/>
    <n v="5"/>
    <x v="0"/>
    <n v="0"/>
    <x v="0"/>
    <n v="0"/>
    <n v="0"/>
    <n v="0"/>
    <n v="355"/>
    <n v="355"/>
    <x v="0"/>
    <n v="113"/>
    <n v="81"/>
    <n v="26.17"/>
    <n v="26.17"/>
    <x v="0"/>
    <n v="90"/>
    <n v="90"/>
    <n v="71"/>
    <n v="71"/>
    <x v="0"/>
    <x v="0"/>
  </r>
  <r>
    <n v="0"/>
    <x v="0"/>
    <n v="42"/>
    <x v="1"/>
    <n v="2"/>
    <n v="2"/>
    <s v="Secondary"/>
    <x v="0"/>
    <n v="0"/>
    <n v="0"/>
    <n v="0"/>
    <x v="1"/>
    <n v="0"/>
    <x v="0"/>
    <n v="0"/>
    <n v="1"/>
    <n v="0"/>
    <n v="196"/>
    <n v="196"/>
    <x v="1"/>
    <n v="136"/>
    <n v="88"/>
    <n v="34.549999999999997"/>
    <n v="34.549999999999997"/>
    <x v="2"/>
    <n v="75"/>
    <n v="75"/>
    <n v="78"/>
    <n v="78"/>
    <x v="0"/>
    <x v="0"/>
  </r>
  <r>
    <n v="1"/>
    <x v="1"/>
    <n v="42"/>
    <x v="1"/>
    <n v="2"/>
    <n v="2"/>
    <s v="Secondary"/>
    <x v="0"/>
    <n v="1"/>
    <n v="9"/>
    <n v="9"/>
    <x v="0"/>
    <n v="0"/>
    <x v="0"/>
    <n v="0"/>
    <n v="0"/>
    <n v="0"/>
    <n v="205"/>
    <n v="205"/>
    <x v="1"/>
    <n v="110"/>
    <n v="73"/>
    <n v="22.4"/>
    <n v="22.4"/>
    <x v="1"/>
    <n v="61"/>
    <n v="61"/>
    <n v="66"/>
    <n v="66"/>
    <x v="0"/>
    <x v="0"/>
  </r>
  <r>
    <n v="1"/>
    <x v="1"/>
    <n v="42"/>
    <x v="1"/>
    <n v="3"/>
    <n v="3"/>
    <s v="Graduate"/>
    <x v="1"/>
    <n v="1"/>
    <n v="20"/>
    <n v="20"/>
    <x v="0"/>
    <n v="0"/>
    <x v="0"/>
    <n v="0"/>
    <n v="0"/>
    <n v="0"/>
    <n v="230"/>
    <n v="230"/>
    <x v="1"/>
    <n v="112"/>
    <n v="66"/>
    <n v="25.31"/>
    <n v="25.31"/>
    <x v="0"/>
    <n v="80"/>
    <n v="80"/>
    <n v="69"/>
    <n v="69"/>
    <x v="0"/>
    <x v="0"/>
  </r>
  <r>
    <n v="0"/>
    <x v="0"/>
    <n v="42"/>
    <x v="1"/>
    <n v="2"/>
    <n v="2"/>
    <s v="Secondary"/>
    <x v="0"/>
    <n v="1"/>
    <n v="30"/>
    <n v="30"/>
    <x v="0"/>
    <n v="0"/>
    <x v="0"/>
    <n v="0"/>
    <n v="0"/>
    <n v="0"/>
    <n v="201"/>
    <n v="201"/>
    <x v="1"/>
    <n v="141"/>
    <n v="84.5"/>
    <n v="26.58"/>
    <n v="26.58"/>
    <x v="0"/>
    <n v="90"/>
    <n v="90"/>
    <n v="97"/>
    <n v="97"/>
    <x v="0"/>
    <x v="0"/>
  </r>
  <r>
    <n v="1"/>
    <x v="1"/>
    <n v="42"/>
    <x v="1"/>
    <n v="1"/>
    <n v="1"/>
    <s v="Primary"/>
    <x v="2"/>
    <n v="1"/>
    <s v="NA"/>
    <n v="9"/>
    <x v="0"/>
    <n v="0"/>
    <x v="0"/>
    <n v="0"/>
    <n v="0"/>
    <n v="0"/>
    <n v="226"/>
    <n v="226"/>
    <x v="1"/>
    <n v="119"/>
    <n v="80"/>
    <n v="25.29"/>
    <n v="25.29"/>
    <x v="0"/>
    <n v="62"/>
    <n v="62"/>
    <n v="98"/>
    <n v="98"/>
    <x v="0"/>
    <x v="0"/>
  </r>
  <r>
    <n v="0"/>
    <x v="0"/>
    <n v="42"/>
    <x v="1"/>
    <n v="2"/>
    <n v="2"/>
    <s v="Secondary"/>
    <x v="0"/>
    <n v="1"/>
    <n v="15"/>
    <n v="15"/>
    <x v="0"/>
    <n v="0"/>
    <x v="0"/>
    <n v="0"/>
    <n v="0"/>
    <n v="0"/>
    <n v="216"/>
    <n v="216"/>
    <x v="1"/>
    <n v="119"/>
    <n v="75"/>
    <n v="27.01"/>
    <n v="27.01"/>
    <x v="0"/>
    <n v="70"/>
    <n v="70"/>
    <n v="73"/>
    <n v="73"/>
    <x v="0"/>
    <x v="0"/>
  </r>
  <r>
    <n v="0"/>
    <x v="0"/>
    <n v="42"/>
    <x v="1"/>
    <n v="1"/>
    <n v="1"/>
    <s v="Primary"/>
    <x v="2"/>
    <n v="0"/>
    <n v="0"/>
    <n v="0"/>
    <x v="1"/>
    <n v="0"/>
    <x v="0"/>
    <n v="0"/>
    <n v="0"/>
    <n v="0"/>
    <n v="193"/>
    <n v="193"/>
    <x v="1"/>
    <n v="137.5"/>
    <n v="82.5"/>
    <n v="30.55"/>
    <n v="30.55"/>
    <x v="2"/>
    <n v="63"/>
    <n v="63"/>
    <n v="69"/>
    <n v="69"/>
    <x v="0"/>
    <x v="0"/>
  </r>
  <r>
    <n v="0"/>
    <x v="0"/>
    <n v="42"/>
    <x v="1"/>
    <n v="2"/>
    <n v="2"/>
    <s v="Secondary"/>
    <x v="0"/>
    <n v="1"/>
    <n v="10"/>
    <n v="10"/>
    <x v="0"/>
    <n v="0"/>
    <x v="0"/>
    <n v="0"/>
    <n v="0"/>
    <n v="0"/>
    <n v="173"/>
    <n v="173"/>
    <x v="1"/>
    <n v="105"/>
    <n v="70"/>
    <n v="21.98"/>
    <n v="21.98"/>
    <x v="1"/>
    <n v="60"/>
    <n v="60"/>
    <n v="79"/>
    <n v="79"/>
    <x v="0"/>
    <x v="0"/>
  </r>
  <r>
    <n v="0"/>
    <x v="0"/>
    <n v="42"/>
    <x v="1"/>
    <n v="1"/>
    <n v="1"/>
    <s v="Primary"/>
    <x v="2"/>
    <n v="1"/>
    <n v="20"/>
    <n v="20"/>
    <x v="0"/>
    <n v="0"/>
    <x v="0"/>
    <n v="0"/>
    <n v="0"/>
    <n v="0"/>
    <n v="171"/>
    <n v="171"/>
    <x v="1"/>
    <n v="111"/>
    <n v="81"/>
    <n v="29.47"/>
    <n v="29.47"/>
    <x v="0"/>
    <n v="75"/>
    <n v="75"/>
    <n v="77"/>
    <n v="77"/>
    <x v="0"/>
    <x v="0"/>
  </r>
  <r>
    <n v="0"/>
    <x v="0"/>
    <n v="42"/>
    <x v="1"/>
    <n v="1"/>
    <n v="1"/>
    <s v="Primary"/>
    <x v="2"/>
    <n v="0"/>
    <n v="0"/>
    <n v="0"/>
    <x v="1"/>
    <n v="0"/>
    <x v="0"/>
    <n v="0"/>
    <n v="0"/>
    <n v="0"/>
    <n v="158"/>
    <n v="158"/>
    <x v="1"/>
    <n v="127.5"/>
    <n v="90"/>
    <n v="31.75"/>
    <n v="31.75"/>
    <x v="2"/>
    <n v="120"/>
    <n v="120"/>
    <n v="92"/>
    <n v="92"/>
    <x v="0"/>
    <x v="0"/>
  </r>
  <r>
    <n v="1"/>
    <x v="1"/>
    <n v="42"/>
    <x v="1"/>
    <n v="2"/>
    <n v="2"/>
    <s v="Secondary"/>
    <x v="0"/>
    <n v="1"/>
    <n v="20"/>
    <n v="20"/>
    <x v="0"/>
    <n v="0"/>
    <x v="0"/>
    <n v="0"/>
    <n v="0"/>
    <n v="0"/>
    <n v="272"/>
    <n v="272"/>
    <x v="0"/>
    <n v="125.5"/>
    <n v="80.5"/>
    <n v="25.35"/>
    <n v="25.35"/>
    <x v="0"/>
    <n v="66"/>
    <n v="66"/>
    <n v="71"/>
    <n v="71"/>
    <x v="0"/>
    <x v="0"/>
  </r>
  <r>
    <n v="0"/>
    <x v="0"/>
    <n v="42"/>
    <x v="1"/>
    <n v="3"/>
    <n v="3"/>
    <s v="Graduate"/>
    <x v="1"/>
    <n v="0"/>
    <n v="0"/>
    <n v="0"/>
    <x v="1"/>
    <n v="0"/>
    <x v="0"/>
    <n v="0"/>
    <n v="0"/>
    <n v="0"/>
    <n v="212"/>
    <n v="212"/>
    <x v="1"/>
    <n v="116"/>
    <n v="68"/>
    <n v="21.49"/>
    <n v="21.49"/>
    <x v="1"/>
    <n v="72"/>
    <n v="72"/>
    <n v="79"/>
    <n v="79"/>
    <x v="0"/>
    <x v="0"/>
  </r>
  <r>
    <n v="0"/>
    <x v="0"/>
    <n v="42"/>
    <x v="1"/>
    <n v="2"/>
    <n v="2"/>
    <s v="Secondary"/>
    <x v="0"/>
    <n v="0"/>
    <n v="0"/>
    <n v="0"/>
    <x v="1"/>
    <n v="0"/>
    <x v="0"/>
    <n v="0"/>
    <n v="0"/>
    <n v="0"/>
    <n v="233"/>
    <n v="233"/>
    <x v="1"/>
    <n v="127"/>
    <n v="82"/>
    <n v="30.22"/>
    <n v="30.22"/>
    <x v="2"/>
    <n v="70"/>
    <n v="70"/>
    <s v="NA"/>
    <n v="81.96365524402907"/>
    <x v="0"/>
    <x v="0"/>
  </r>
  <r>
    <n v="0"/>
    <x v="0"/>
    <n v="42"/>
    <x v="1"/>
    <n v="4"/>
    <n v="4"/>
    <s v="Post Graduate"/>
    <x v="3"/>
    <n v="0"/>
    <n v="0"/>
    <n v="0"/>
    <x v="1"/>
    <n v="0"/>
    <x v="0"/>
    <n v="0"/>
    <n v="0"/>
    <n v="0"/>
    <n v="278"/>
    <n v="278"/>
    <x v="0"/>
    <n v="118.5"/>
    <n v="72"/>
    <n v="21.99"/>
    <n v="21.99"/>
    <x v="1"/>
    <n v="72"/>
    <n v="72"/>
    <n v="78"/>
    <n v="78"/>
    <x v="0"/>
    <x v="0"/>
  </r>
  <r>
    <n v="1"/>
    <x v="1"/>
    <n v="42"/>
    <x v="1"/>
    <n v="2"/>
    <n v="2"/>
    <s v="Secondary"/>
    <x v="0"/>
    <n v="1"/>
    <n v="20"/>
    <n v="20"/>
    <x v="0"/>
    <n v="0"/>
    <x v="0"/>
    <n v="0"/>
    <n v="0"/>
    <n v="0"/>
    <n v="238"/>
    <n v="238"/>
    <x v="1"/>
    <n v="133"/>
    <n v="88"/>
    <n v="28.84"/>
    <n v="28.84"/>
    <x v="0"/>
    <n v="80"/>
    <n v="80"/>
    <n v="58"/>
    <n v="58"/>
    <x v="0"/>
    <x v="0"/>
  </r>
  <r>
    <n v="1"/>
    <x v="1"/>
    <n v="42"/>
    <x v="1"/>
    <n v="1"/>
    <n v="1"/>
    <s v="Primary"/>
    <x v="2"/>
    <n v="1"/>
    <n v="20"/>
    <n v="20"/>
    <x v="0"/>
    <n v="0"/>
    <x v="0"/>
    <n v="0"/>
    <n v="0"/>
    <n v="0"/>
    <n v="241"/>
    <n v="241"/>
    <x v="0"/>
    <n v="118"/>
    <n v="85"/>
    <n v="30.03"/>
    <n v="30.03"/>
    <x v="2"/>
    <n v="68"/>
    <n v="68"/>
    <n v="74"/>
    <n v="74"/>
    <x v="0"/>
    <x v="1"/>
  </r>
  <r>
    <n v="1"/>
    <x v="1"/>
    <n v="42"/>
    <x v="1"/>
    <n v="4"/>
    <n v="4"/>
    <s v="Post Graduate"/>
    <x v="3"/>
    <n v="1"/>
    <n v="40"/>
    <n v="40"/>
    <x v="0"/>
    <n v="0"/>
    <x v="0"/>
    <n v="0"/>
    <n v="1"/>
    <n v="0"/>
    <n v="218"/>
    <n v="218"/>
    <x v="1"/>
    <n v="129"/>
    <n v="90"/>
    <n v="23.22"/>
    <n v="23.22"/>
    <x v="1"/>
    <n v="70"/>
    <n v="70"/>
    <n v="73"/>
    <n v="73"/>
    <x v="0"/>
    <x v="0"/>
  </r>
  <r>
    <n v="1"/>
    <x v="1"/>
    <n v="42"/>
    <x v="1"/>
    <n v="2"/>
    <n v="2"/>
    <s v="Secondary"/>
    <x v="0"/>
    <n v="1"/>
    <n v="20"/>
    <n v="20"/>
    <x v="0"/>
    <n v="0"/>
    <x v="0"/>
    <n v="0"/>
    <n v="1"/>
    <n v="0"/>
    <n v="220"/>
    <n v="220"/>
    <x v="1"/>
    <n v="131"/>
    <n v="90"/>
    <n v="24.21"/>
    <n v="24.21"/>
    <x v="1"/>
    <n v="62"/>
    <n v="62"/>
    <n v="79"/>
    <n v="79"/>
    <x v="0"/>
    <x v="0"/>
  </r>
  <r>
    <n v="1"/>
    <x v="1"/>
    <n v="42"/>
    <x v="1"/>
    <n v="2"/>
    <n v="2"/>
    <s v="Secondary"/>
    <x v="0"/>
    <n v="1"/>
    <n v="20"/>
    <n v="20"/>
    <x v="0"/>
    <n v="0"/>
    <x v="0"/>
    <n v="0"/>
    <n v="0"/>
    <n v="0"/>
    <n v="184"/>
    <n v="184"/>
    <x v="1"/>
    <n v="114.5"/>
    <n v="76"/>
    <n v="29.89"/>
    <n v="29.89"/>
    <x v="0"/>
    <n v="66"/>
    <n v="66"/>
    <n v="59"/>
    <n v="59"/>
    <x v="0"/>
    <x v="0"/>
  </r>
  <r>
    <n v="0"/>
    <x v="0"/>
    <n v="42"/>
    <x v="1"/>
    <n v="2"/>
    <n v="2"/>
    <s v="Secondary"/>
    <x v="0"/>
    <n v="0"/>
    <n v="0"/>
    <n v="0"/>
    <x v="1"/>
    <n v="0"/>
    <x v="0"/>
    <n v="0"/>
    <n v="1"/>
    <n v="0"/>
    <n v="263"/>
    <n v="263"/>
    <x v="0"/>
    <n v="150"/>
    <n v="88"/>
    <n v="23.68"/>
    <n v="23.68"/>
    <x v="1"/>
    <n v="96"/>
    <n v="96"/>
    <n v="78"/>
    <n v="78"/>
    <x v="0"/>
    <x v="0"/>
  </r>
  <r>
    <n v="0"/>
    <x v="0"/>
    <n v="42"/>
    <x v="1"/>
    <n v="1"/>
    <n v="1"/>
    <s v="Primary"/>
    <x v="2"/>
    <n v="1"/>
    <n v="20"/>
    <n v="20"/>
    <x v="0"/>
    <n v="0"/>
    <x v="0"/>
    <n v="0"/>
    <n v="0"/>
    <n v="0"/>
    <n v="228"/>
    <n v="228"/>
    <x v="1"/>
    <n v="122"/>
    <n v="85"/>
    <n v="23.99"/>
    <n v="23.99"/>
    <x v="1"/>
    <n v="69"/>
    <n v="69"/>
    <n v="68"/>
    <n v="68"/>
    <x v="0"/>
    <x v="0"/>
  </r>
  <r>
    <n v="1"/>
    <x v="1"/>
    <n v="42"/>
    <x v="1"/>
    <s v="NA"/>
    <n v="1"/>
    <s v="Primary"/>
    <x v="2"/>
    <n v="1"/>
    <n v="15"/>
    <n v="15"/>
    <x v="0"/>
    <n v="1"/>
    <x v="1"/>
    <n v="0"/>
    <n v="1"/>
    <n v="0"/>
    <n v="222"/>
    <n v="222"/>
    <x v="1"/>
    <n v="143"/>
    <n v="92"/>
    <n v="27.38"/>
    <n v="27.38"/>
    <x v="0"/>
    <n v="78"/>
    <n v="78"/>
    <n v="89"/>
    <n v="89"/>
    <x v="0"/>
    <x v="0"/>
  </r>
  <r>
    <n v="0"/>
    <x v="0"/>
    <n v="42"/>
    <x v="1"/>
    <n v="2"/>
    <n v="2"/>
    <s v="Secondary"/>
    <x v="0"/>
    <n v="1"/>
    <n v="20"/>
    <n v="20"/>
    <x v="0"/>
    <n v="0"/>
    <x v="0"/>
    <n v="0"/>
    <n v="0"/>
    <n v="0"/>
    <n v="223"/>
    <n v="223"/>
    <x v="1"/>
    <n v="129"/>
    <n v="79"/>
    <n v="28.04"/>
    <n v="28.04"/>
    <x v="0"/>
    <n v="98"/>
    <n v="98"/>
    <n v="100"/>
    <n v="100"/>
    <x v="0"/>
    <x v="0"/>
  </r>
  <r>
    <n v="0"/>
    <x v="0"/>
    <n v="42"/>
    <x v="1"/>
    <n v="2"/>
    <n v="2"/>
    <s v="Secondary"/>
    <x v="0"/>
    <n v="0"/>
    <n v="0"/>
    <n v="0"/>
    <x v="1"/>
    <n v="0"/>
    <x v="0"/>
    <n v="0"/>
    <n v="0"/>
    <n v="0"/>
    <n v="183"/>
    <n v="183"/>
    <x v="1"/>
    <n v="120"/>
    <n v="76"/>
    <n v="21.12"/>
    <n v="21.12"/>
    <x v="1"/>
    <n v="100"/>
    <n v="100"/>
    <n v="72"/>
    <n v="72"/>
    <x v="0"/>
    <x v="0"/>
  </r>
  <r>
    <n v="0"/>
    <x v="0"/>
    <n v="42"/>
    <x v="1"/>
    <n v="2"/>
    <n v="2"/>
    <s v="Secondary"/>
    <x v="0"/>
    <n v="0"/>
    <n v="0"/>
    <n v="0"/>
    <x v="1"/>
    <n v="0"/>
    <x v="0"/>
    <n v="0"/>
    <n v="0"/>
    <n v="0"/>
    <n v="176"/>
    <n v="176"/>
    <x v="1"/>
    <n v="136"/>
    <n v="87"/>
    <n v="30.91"/>
    <n v="30.91"/>
    <x v="2"/>
    <n v="80"/>
    <n v="80"/>
    <n v="73"/>
    <n v="73"/>
    <x v="0"/>
    <x v="0"/>
  </r>
  <r>
    <n v="1"/>
    <x v="1"/>
    <n v="42"/>
    <x v="1"/>
    <n v="1"/>
    <n v="1"/>
    <s v="Primary"/>
    <x v="2"/>
    <n v="1"/>
    <n v="20"/>
    <n v="20"/>
    <x v="0"/>
    <n v="0"/>
    <x v="0"/>
    <n v="0"/>
    <n v="0"/>
    <n v="0"/>
    <n v="234"/>
    <n v="234"/>
    <x v="1"/>
    <n v="125"/>
    <n v="86"/>
    <n v="28.09"/>
    <n v="28.09"/>
    <x v="0"/>
    <n v="70"/>
    <n v="70"/>
    <n v="70"/>
    <n v="70"/>
    <x v="0"/>
    <x v="0"/>
  </r>
  <r>
    <n v="1"/>
    <x v="1"/>
    <n v="42"/>
    <x v="1"/>
    <n v="4"/>
    <n v="4"/>
    <s v="Post Graduate"/>
    <x v="3"/>
    <n v="0"/>
    <n v="0"/>
    <n v="0"/>
    <x v="1"/>
    <n v="0"/>
    <x v="0"/>
    <n v="0"/>
    <n v="0"/>
    <n v="0"/>
    <n v="191"/>
    <n v="191"/>
    <x v="1"/>
    <n v="118"/>
    <n v="80"/>
    <n v="24.98"/>
    <n v="24.98"/>
    <x v="1"/>
    <n v="62"/>
    <n v="62"/>
    <n v="63"/>
    <n v="63"/>
    <x v="0"/>
    <x v="0"/>
  </r>
  <r>
    <n v="0"/>
    <x v="0"/>
    <n v="42"/>
    <x v="1"/>
    <n v="1"/>
    <n v="1"/>
    <s v="Primary"/>
    <x v="2"/>
    <n v="0"/>
    <n v="0"/>
    <n v="0"/>
    <x v="1"/>
    <n v="0"/>
    <x v="0"/>
    <n v="0"/>
    <n v="0"/>
    <n v="0"/>
    <n v="245"/>
    <n v="245"/>
    <x v="0"/>
    <n v="117.5"/>
    <n v="90"/>
    <n v="22.65"/>
    <n v="22.65"/>
    <x v="1"/>
    <n v="85"/>
    <n v="85"/>
    <n v="96"/>
    <n v="96"/>
    <x v="0"/>
    <x v="0"/>
  </r>
  <r>
    <n v="0"/>
    <x v="0"/>
    <n v="42"/>
    <x v="1"/>
    <n v="1"/>
    <n v="1"/>
    <s v="Primary"/>
    <x v="2"/>
    <n v="1"/>
    <n v="43"/>
    <n v="43"/>
    <x v="0"/>
    <n v="0"/>
    <x v="0"/>
    <n v="0"/>
    <n v="0"/>
    <n v="0"/>
    <n v="290"/>
    <n v="290"/>
    <x v="0"/>
    <n v="136"/>
    <n v="88"/>
    <n v="34.71"/>
    <n v="34.71"/>
    <x v="2"/>
    <n v="110"/>
    <n v="110"/>
    <s v="NA"/>
    <n v="81.96365524402907"/>
    <x v="0"/>
    <x v="0"/>
  </r>
  <r>
    <n v="1"/>
    <x v="1"/>
    <n v="42"/>
    <x v="1"/>
    <s v="NA"/>
    <n v="1"/>
    <s v="Primary"/>
    <x v="2"/>
    <n v="1"/>
    <n v="5"/>
    <n v="5"/>
    <x v="0"/>
    <n v="0"/>
    <x v="0"/>
    <n v="0"/>
    <n v="1"/>
    <n v="0"/>
    <n v="184"/>
    <n v="184"/>
    <x v="1"/>
    <n v="149"/>
    <n v="95"/>
    <n v="28.77"/>
    <n v="28.77"/>
    <x v="0"/>
    <n v="80"/>
    <n v="80"/>
    <n v="94"/>
    <n v="94"/>
    <x v="0"/>
    <x v="0"/>
  </r>
  <r>
    <n v="0"/>
    <x v="0"/>
    <n v="42"/>
    <x v="1"/>
    <n v="3"/>
    <n v="3"/>
    <s v="Graduate"/>
    <x v="1"/>
    <n v="0"/>
    <n v="0"/>
    <n v="0"/>
    <x v="1"/>
    <n v="0"/>
    <x v="0"/>
    <n v="0"/>
    <n v="0"/>
    <n v="0"/>
    <n v="260"/>
    <n v="260"/>
    <x v="0"/>
    <n v="118.5"/>
    <n v="74.5"/>
    <n v="22.19"/>
    <n v="22.19"/>
    <x v="1"/>
    <n v="60"/>
    <n v="60"/>
    <n v="75"/>
    <n v="75"/>
    <x v="0"/>
    <x v="0"/>
  </r>
  <r>
    <n v="0"/>
    <x v="0"/>
    <n v="42"/>
    <x v="1"/>
    <n v="2"/>
    <n v="2"/>
    <s v="Secondary"/>
    <x v="0"/>
    <n v="1"/>
    <n v="20"/>
    <n v="20"/>
    <x v="0"/>
    <n v="0"/>
    <x v="0"/>
    <n v="0"/>
    <n v="0"/>
    <n v="0"/>
    <n v="310"/>
    <n v="310"/>
    <x v="0"/>
    <n v="124"/>
    <n v="72.5"/>
    <n v="22.32"/>
    <n v="22.32"/>
    <x v="1"/>
    <n v="96"/>
    <n v="96"/>
    <n v="74"/>
    <n v="74"/>
    <x v="0"/>
    <x v="0"/>
  </r>
  <r>
    <n v="1"/>
    <x v="1"/>
    <n v="42"/>
    <x v="1"/>
    <n v="1"/>
    <n v="1"/>
    <s v="Primary"/>
    <x v="2"/>
    <n v="1"/>
    <n v="30"/>
    <n v="30"/>
    <x v="0"/>
    <n v="0"/>
    <x v="0"/>
    <n v="0"/>
    <n v="0"/>
    <n v="0"/>
    <n v="270"/>
    <n v="270"/>
    <x v="0"/>
    <n v="122"/>
    <n v="82"/>
    <n v="30.31"/>
    <n v="30.31"/>
    <x v="2"/>
    <n v="72"/>
    <n v="72"/>
    <n v="142"/>
    <n v="142"/>
    <x v="0"/>
    <x v="0"/>
  </r>
  <r>
    <n v="1"/>
    <x v="1"/>
    <n v="42"/>
    <x v="1"/>
    <n v="1"/>
    <n v="1"/>
    <s v="Primary"/>
    <x v="2"/>
    <n v="1"/>
    <n v="20"/>
    <n v="20"/>
    <x v="0"/>
    <n v="0"/>
    <x v="0"/>
    <n v="0"/>
    <n v="0"/>
    <n v="0"/>
    <n v="234"/>
    <n v="234"/>
    <x v="1"/>
    <n v="103"/>
    <n v="71"/>
    <n v="21.88"/>
    <n v="21.88"/>
    <x v="1"/>
    <n v="68"/>
    <n v="68"/>
    <n v="82"/>
    <n v="82"/>
    <x v="0"/>
    <x v="1"/>
  </r>
  <r>
    <n v="1"/>
    <x v="1"/>
    <n v="42"/>
    <x v="1"/>
    <n v="2"/>
    <n v="2"/>
    <s v="Secondary"/>
    <x v="0"/>
    <n v="1"/>
    <n v="20"/>
    <n v="20"/>
    <x v="0"/>
    <n v="0"/>
    <x v="0"/>
    <n v="0"/>
    <n v="0"/>
    <n v="0"/>
    <n v="223"/>
    <n v="223"/>
    <x v="1"/>
    <n v="119.5"/>
    <n v="87"/>
    <n v="23.56"/>
    <n v="23.56"/>
    <x v="1"/>
    <n v="70"/>
    <n v="70"/>
    <n v="73"/>
    <n v="73"/>
    <x v="0"/>
    <x v="0"/>
  </r>
  <r>
    <n v="1"/>
    <x v="1"/>
    <n v="42"/>
    <x v="1"/>
    <n v="3"/>
    <n v="3"/>
    <s v="Graduate"/>
    <x v="1"/>
    <n v="0"/>
    <n v="0"/>
    <n v="0"/>
    <x v="1"/>
    <n v="0"/>
    <x v="0"/>
    <n v="0"/>
    <n v="1"/>
    <n v="0"/>
    <n v="252"/>
    <n v="252"/>
    <x v="0"/>
    <n v="151.5"/>
    <n v="95"/>
    <n v="25.74"/>
    <n v="25.74"/>
    <x v="0"/>
    <n v="78"/>
    <n v="78"/>
    <n v="73"/>
    <n v="73"/>
    <x v="0"/>
    <x v="0"/>
  </r>
  <r>
    <n v="0"/>
    <x v="0"/>
    <n v="42"/>
    <x v="1"/>
    <n v="1"/>
    <n v="1"/>
    <s v="Primary"/>
    <x v="2"/>
    <n v="1"/>
    <n v="20"/>
    <n v="20"/>
    <x v="0"/>
    <n v="0"/>
    <x v="0"/>
    <n v="0"/>
    <n v="0"/>
    <n v="0"/>
    <n v="225"/>
    <n v="225"/>
    <x v="1"/>
    <n v="111"/>
    <n v="71"/>
    <n v="23.43"/>
    <n v="23.43"/>
    <x v="1"/>
    <n v="95"/>
    <n v="95"/>
    <n v="85"/>
    <n v="85"/>
    <x v="0"/>
    <x v="0"/>
  </r>
  <r>
    <n v="1"/>
    <x v="1"/>
    <n v="42"/>
    <x v="1"/>
    <n v="1"/>
    <n v="1"/>
    <s v="Primary"/>
    <x v="2"/>
    <n v="0"/>
    <n v="0"/>
    <n v="0"/>
    <x v="1"/>
    <n v="0"/>
    <x v="0"/>
    <n v="0"/>
    <n v="1"/>
    <n v="0"/>
    <n v="327"/>
    <n v="327"/>
    <x v="0"/>
    <n v="134"/>
    <n v="93"/>
    <n v="25.14"/>
    <n v="25.14"/>
    <x v="0"/>
    <n v="70"/>
    <n v="70"/>
    <n v="72"/>
    <n v="72"/>
    <x v="0"/>
    <x v="1"/>
  </r>
  <r>
    <n v="1"/>
    <x v="1"/>
    <n v="42"/>
    <x v="1"/>
    <n v="1"/>
    <n v="1"/>
    <s v="Primary"/>
    <x v="2"/>
    <n v="1"/>
    <n v="5"/>
    <n v="5"/>
    <x v="0"/>
    <n v="0"/>
    <x v="0"/>
    <n v="0"/>
    <n v="0"/>
    <n v="0"/>
    <n v="197"/>
    <n v="197"/>
    <x v="1"/>
    <n v="102"/>
    <n v="70.5"/>
    <n v="24.68"/>
    <n v="24.68"/>
    <x v="1"/>
    <n v="83"/>
    <n v="83"/>
    <n v="45"/>
    <n v="45"/>
    <x v="0"/>
    <x v="0"/>
  </r>
  <r>
    <n v="0"/>
    <x v="0"/>
    <n v="42"/>
    <x v="1"/>
    <n v="2"/>
    <n v="2"/>
    <s v="Secondary"/>
    <x v="0"/>
    <n v="0"/>
    <n v="0"/>
    <n v="0"/>
    <x v="1"/>
    <n v="0"/>
    <x v="0"/>
    <n v="0"/>
    <n v="0"/>
    <n v="0"/>
    <n v="218"/>
    <n v="218"/>
    <x v="1"/>
    <n v="122"/>
    <n v="75"/>
    <n v="18.11"/>
    <n v="18.11"/>
    <x v="3"/>
    <n v="100"/>
    <n v="100"/>
    <n v="85"/>
    <n v="85"/>
    <x v="0"/>
    <x v="0"/>
  </r>
  <r>
    <n v="0"/>
    <x v="0"/>
    <n v="42"/>
    <x v="1"/>
    <n v="1"/>
    <n v="1"/>
    <s v="Primary"/>
    <x v="2"/>
    <n v="1"/>
    <n v="9"/>
    <n v="9"/>
    <x v="0"/>
    <n v="0"/>
    <x v="0"/>
    <n v="0"/>
    <n v="0"/>
    <n v="0"/>
    <n v="200"/>
    <n v="200"/>
    <x v="1"/>
    <n v="119"/>
    <n v="75"/>
    <n v="22.91"/>
    <n v="22.91"/>
    <x v="1"/>
    <n v="57"/>
    <n v="57"/>
    <n v="69"/>
    <n v="69"/>
    <x v="0"/>
    <x v="0"/>
  </r>
  <r>
    <n v="0"/>
    <x v="0"/>
    <n v="42"/>
    <x v="1"/>
    <n v="1"/>
    <n v="1"/>
    <s v="Primary"/>
    <x v="2"/>
    <n v="1"/>
    <n v="9"/>
    <n v="9"/>
    <x v="0"/>
    <n v="0"/>
    <x v="0"/>
    <n v="0"/>
    <n v="0"/>
    <n v="0"/>
    <n v="231"/>
    <n v="231"/>
    <x v="1"/>
    <n v="110"/>
    <n v="80"/>
    <n v="19.12"/>
    <n v="19.12"/>
    <x v="1"/>
    <n v="78"/>
    <n v="78"/>
    <n v="70"/>
    <n v="70"/>
    <x v="0"/>
    <x v="0"/>
  </r>
  <r>
    <n v="0"/>
    <x v="0"/>
    <n v="42"/>
    <x v="1"/>
    <n v="3"/>
    <n v="3"/>
    <s v="Graduate"/>
    <x v="1"/>
    <n v="0"/>
    <n v="0"/>
    <n v="0"/>
    <x v="1"/>
    <n v="0"/>
    <x v="0"/>
    <n v="0"/>
    <n v="0"/>
    <n v="0"/>
    <n v="204"/>
    <n v="204"/>
    <x v="1"/>
    <n v="108"/>
    <n v="70.5"/>
    <n v="27.71"/>
    <n v="27.71"/>
    <x v="0"/>
    <n v="75"/>
    <n v="75"/>
    <n v="65"/>
    <n v="65"/>
    <x v="0"/>
    <x v="0"/>
  </r>
  <r>
    <n v="0"/>
    <x v="0"/>
    <n v="42"/>
    <x v="1"/>
    <n v="4"/>
    <n v="4"/>
    <s v="Post Graduate"/>
    <x v="3"/>
    <n v="0"/>
    <n v="0"/>
    <n v="0"/>
    <x v="1"/>
    <n v="0"/>
    <x v="0"/>
    <n v="0"/>
    <n v="0"/>
    <n v="0"/>
    <n v="238"/>
    <n v="238"/>
    <x v="1"/>
    <n v="125"/>
    <n v="77.5"/>
    <n v="22.9"/>
    <n v="22.9"/>
    <x v="1"/>
    <n v="95"/>
    <n v="95"/>
    <n v="77"/>
    <n v="77"/>
    <x v="0"/>
    <x v="0"/>
  </r>
  <r>
    <n v="1"/>
    <x v="1"/>
    <n v="42"/>
    <x v="1"/>
    <n v="2"/>
    <n v="2"/>
    <s v="Secondary"/>
    <x v="0"/>
    <n v="0"/>
    <n v="0"/>
    <n v="0"/>
    <x v="1"/>
    <n v="0"/>
    <x v="0"/>
    <n v="0"/>
    <n v="0"/>
    <n v="0"/>
    <n v="240"/>
    <n v="240"/>
    <x v="1"/>
    <n v="132"/>
    <n v="89.5"/>
    <n v="29.35"/>
    <n v="29.35"/>
    <x v="0"/>
    <n v="75"/>
    <n v="75"/>
    <n v="103"/>
    <n v="103"/>
    <x v="0"/>
    <x v="0"/>
  </r>
  <r>
    <n v="1"/>
    <x v="1"/>
    <n v="42"/>
    <x v="1"/>
    <n v="4"/>
    <n v="4"/>
    <s v="Post Graduate"/>
    <x v="3"/>
    <n v="0"/>
    <n v="0"/>
    <n v="0"/>
    <x v="1"/>
    <n v="0"/>
    <x v="0"/>
    <n v="0"/>
    <n v="0"/>
    <n v="0"/>
    <n v="236"/>
    <n v="236"/>
    <x v="1"/>
    <n v="124"/>
    <n v="80"/>
    <n v="21.5"/>
    <n v="21.5"/>
    <x v="1"/>
    <n v="65"/>
    <n v="65"/>
    <n v="60"/>
    <n v="60"/>
    <x v="0"/>
    <x v="0"/>
  </r>
  <r>
    <n v="0"/>
    <x v="0"/>
    <n v="42"/>
    <x v="1"/>
    <n v="2"/>
    <n v="2"/>
    <s v="Secondary"/>
    <x v="0"/>
    <n v="1"/>
    <n v="9"/>
    <n v="9"/>
    <x v="0"/>
    <n v="0"/>
    <x v="0"/>
    <n v="0"/>
    <n v="0"/>
    <n v="0"/>
    <n v="195"/>
    <n v="195"/>
    <x v="1"/>
    <n v="126"/>
    <n v="81"/>
    <n v="22.26"/>
    <n v="22.26"/>
    <x v="1"/>
    <n v="84"/>
    <n v="84"/>
    <n v="77"/>
    <n v="77"/>
    <x v="0"/>
    <x v="0"/>
  </r>
  <r>
    <n v="1"/>
    <x v="1"/>
    <n v="42"/>
    <x v="1"/>
    <n v="2"/>
    <n v="2"/>
    <s v="Secondary"/>
    <x v="0"/>
    <n v="1"/>
    <n v="15"/>
    <n v="15"/>
    <x v="0"/>
    <n v="0"/>
    <x v="0"/>
    <n v="0"/>
    <n v="1"/>
    <n v="0"/>
    <n v="453"/>
    <n v="453"/>
    <x v="0"/>
    <n v="158"/>
    <n v="108"/>
    <n v="28.89"/>
    <n v="28.89"/>
    <x v="0"/>
    <n v="90"/>
    <n v="90"/>
    <n v="110"/>
    <n v="110"/>
    <x v="0"/>
    <x v="0"/>
  </r>
  <r>
    <n v="1"/>
    <x v="1"/>
    <n v="42"/>
    <x v="1"/>
    <n v="1"/>
    <n v="1"/>
    <s v="Primary"/>
    <x v="2"/>
    <n v="1"/>
    <n v="20"/>
    <n v="20"/>
    <x v="0"/>
    <n v="0"/>
    <x v="0"/>
    <n v="0"/>
    <n v="1"/>
    <n v="0"/>
    <n v="306"/>
    <n v="306"/>
    <x v="0"/>
    <n v="196"/>
    <n v="109"/>
    <n v="27.72"/>
    <n v="27.72"/>
    <x v="0"/>
    <n v="102"/>
    <n v="102"/>
    <n v="87"/>
    <n v="87"/>
    <x v="0"/>
    <x v="0"/>
  </r>
  <r>
    <n v="1"/>
    <x v="1"/>
    <n v="42"/>
    <x v="1"/>
    <n v="1"/>
    <n v="1"/>
    <s v="Primary"/>
    <x v="2"/>
    <n v="1"/>
    <s v="NA"/>
    <n v="9"/>
    <x v="0"/>
    <n v="0"/>
    <x v="0"/>
    <n v="0"/>
    <n v="0"/>
    <n v="0"/>
    <n v="196"/>
    <n v="196"/>
    <x v="1"/>
    <n v="123"/>
    <n v="73"/>
    <n v="22.06"/>
    <n v="22.06"/>
    <x v="1"/>
    <n v="66"/>
    <n v="66"/>
    <s v="NA"/>
    <n v="81.96365524402907"/>
    <x v="0"/>
    <x v="0"/>
  </r>
  <r>
    <n v="0"/>
    <x v="0"/>
    <n v="42"/>
    <x v="1"/>
    <n v="2"/>
    <n v="2"/>
    <s v="Secondary"/>
    <x v="0"/>
    <n v="0"/>
    <n v="0"/>
    <n v="0"/>
    <x v="1"/>
    <n v="0"/>
    <x v="0"/>
    <n v="1"/>
    <n v="0"/>
    <n v="0"/>
    <n v="206"/>
    <n v="206"/>
    <x v="1"/>
    <n v="101"/>
    <n v="75"/>
    <n v="18.73"/>
    <n v="18.73"/>
    <x v="1"/>
    <n v="55"/>
    <n v="55"/>
    <n v="84"/>
    <n v="84"/>
    <x v="0"/>
    <x v="0"/>
  </r>
  <r>
    <n v="0"/>
    <x v="0"/>
    <n v="42"/>
    <x v="1"/>
    <n v="1"/>
    <n v="1"/>
    <s v="Primary"/>
    <x v="2"/>
    <n v="0"/>
    <n v="0"/>
    <n v="0"/>
    <x v="1"/>
    <n v="0"/>
    <x v="0"/>
    <n v="0"/>
    <n v="0"/>
    <n v="0"/>
    <n v="216"/>
    <n v="216"/>
    <x v="1"/>
    <n v="124"/>
    <n v="82"/>
    <n v="28.74"/>
    <n v="28.74"/>
    <x v="0"/>
    <n v="70"/>
    <n v="70"/>
    <n v="67"/>
    <n v="67"/>
    <x v="0"/>
    <x v="0"/>
  </r>
  <r>
    <n v="0"/>
    <x v="0"/>
    <n v="42"/>
    <x v="1"/>
    <n v="2"/>
    <n v="2"/>
    <s v="Secondary"/>
    <x v="0"/>
    <n v="1"/>
    <n v="2"/>
    <n v="2"/>
    <x v="0"/>
    <n v="0"/>
    <x v="0"/>
    <n v="0"/>
    <n v="0"/>
    <n v="0"/>
    <n v="230"/>
    <n v="230"/>
    <x v="1"/>
    <n v="124"/>
    <n v="80"/>
    <n v="24.87"/>
    <n v="24.87"/>
    <x v="1"/>
    <n v="90"/>
    <n v="90"/>
    <n v="77"/>
    <n v="77"/>
    <x v="0"/>
    <x v="0"/>
  </r>
  <r>
    <n v="1"/>
    <x v="1"/>
    <n v="42"/>
    <x v="1"/>
    <n v="2"/>
    <n v="2"/>
    <s v="Secondary"/>
    <x v="0"/>
    <n v="1"/>
    <n v="30"/>
    <n v="30"/>
    <x v="0"/>
    <n v="0"/>
    <x v="0"/>
    <n v="0"/>
    <n v="0"/>
    <n v="0"/>
    <n v="283"/>
    <n v="283"/>
    <x v="0"/>
    <n v="145"/>
    <n v="95"/>
    <n v="27.53"/>
    <n v="27.53"/>
    <x v="0"/>
    <n v="75"/>
    <n v="75"/>
    <n v="84"/>
    <n v="84"/>
    <x v="0"/>
    <x v="0"/>
  </r>
  <r>
    <n v="1"/>
    <x v="1"/>
    <n v="42"/>
    <x v="1"/>
    <n v="1"/>
    <n v="1"/>
    <s v="Primary"/>
    <x v="2"/>
    <n v="0"/>
    <n v="0"/>
    <n v="0"/>
    <x v="1"/>
    <n v="0"/>
    <x v="0"/>
    <n v="0"/>
    <n v="0"/>
    <n v="0"/>
    <n v="186"/>
    <n v="186"/>
    <x v="1"/>
    <n v="134"/>
    <n v="86.5"/>
    <n v="25.71"/>
    <n v="25.71"/>
    <x v="0"/>
    <n v="88"/>
    <n v="88"/>
    <n v="92"/>
    <n v="92"/>
    <x v="0"/>
    <x v="0"/>
  </r>
  <r>
    <n v="0"/>
    <x v="0"/>
    <n v="42"/>
    <x v="1"/>
    <n v="2"/>
    <n v="2"/>
    <s v="Secondary"/>
    <x v="0"/>
    <n v="0"/>
    <n v="0"/>
    <n v="0"/>
    <x v="1"/>
    <n v="0"/>
    <x v="0"/>
    <n v="0"/>
    <n v="0"/>
    <n v="0"/>
    <n v="234"/>
    <n v="234"/>
    <x v="1"/>
    <n v="124"/>
    <n v="80.5"/>
    <n v="20.059999999999999"/>
    <n v="20.059999999999999"/>
    <x v="1"/>
    <n v="75"/>
    <n v="75"/>
    <s v="NA"/>
    <n v="81.96365524402907"/>
    <x v="0"/>
    <x v="0"/>
  </r>
  <r>
    <n v="1"/>
    <x v="1"/>
    <n v="42"/>
    <x v="1"/>
    <n v="1"/>
    <n v="1"/>
    <s v="Primary"/>
    <x v="2"/>
    <n v="0"/>
    <n v="0"/>
    <n v="0"/>
    <x v="1"/>
    <n v="0"/>
    <x v="0"/>
    <n v="0"/>
    <n v="0"/>
    <n v="0"/>
    <n v="242"/>
    <n v="242"/>
    <x v="0"/>
    <n v="121"/>
    <n v="80"/>
    <n v="27.83"/>
    <n v="27.83"/>
    <x v="0"/>
    <n v="72"/>
    <n v="72"/>
    <s v="NA"/>
    <n v="81.96365524402907"/>
    <x v="0"/>
    <x v="0"/>
  </r>
  <r>
    <n v="0"/>
    <x v="0"/>
    <n v="42"/>
    <x v="1"/>
    <n v="2"/>
    <n v="2"/>
    <s v="Secondary"/>
    <x v="0"/>
    <n v="1"/>
    <n v="3"/>
    <n v="3"/>
    <x v="0"/>
    <n v="0"/>
    <x v="0"/>
    <n v="0"/>
    <n v="0"/>
    <n v="0"/>
    <n v="220"/>
    <n v="220"/>
    <x v="1"/>
    <n v="129"/>
    <n v="81"/>
    <n v="19.739999999999998"/>
    <n v="19.739999999999998"/>
    <x v="1"/>
    <n v="80"/>
    <n v="80"/>
    <n v="61"/>
    <n v="61"/>
    <x v="0"/>
    <x v="0"/>
  </r>
  <r>
    <n v="0"/>
    <x v="0"/>
    <n v="42"/>
    <x v="1"/>
    <n v="3"/>
    <n v="3"/>
    <s v="Graduate"/>
    <x v="1"/>
    <n v="0"/>
    <n v="0"/>
    <n v="0"/>
    <x v="1"/>
    <n v="0"/>
    <x v="0"/>
    <n v="0"/>
    <n v="0"/>
    <n v="0"/>
    <n v="215"/>
    <n v="215"/>
    <x v="1"/>
    <n v="111"/>
    <n v="72"/>
    <n v="25.38"/>
    <n v="25.38"/>
    <x v="0"/>
    <n v="77"/>
    <n v="77"/>
    <n v="55"/>
    <n v="55"/>
    <x v="0"/>
    <x v="0"/>
  </r>
  <r>
    <n v="1"/>
    <x v="1"/>
    <n v="42"/>
    <x v="1"/>
    <n v="1"/>
    <n v="1"/>
    <s v="Primary"/>
    <x v="2"/>
    <n v="1"/>
    <n v="20"/>
    <n v="20"/>
    <x v="0"/>
    <n v="0"/>
    <x v="0"/>
    <n v="0"/>
    <n v="0"/>
    <n v="0"/>
    <n v="143"/>
    <n v="143"/>
    <x v="1"/>
    <n v="119"/>
    <n v="73"/>
    <n v="22.04"/>
    <n v="22.04"/>
    <x v="1"/>
    <n v="60"/>
    <n v="60"/>
    <n v="70"/>
    <n v="70"/>
    <x v="0"/>
    <x v="0"/>
  </r>
  <r>
    <n v="0"/>
    <x v="0"/>
    <n v="42"/>
    <x v="1"/>
    <n v="2"/>
    <n v="2"/>
    <s v="Secondary"/>
    <x v="0"/>
    <n v="0"/>
    <n v="0"/>
    <n v="0"/>
    <x v="1"/>
    <n v="0"/>
    <x v="0"/>
    <n v="0"/>
    <n v="0"/>
    <n v="0"/>
    <n v="205"/>
    <n v="205"/>
    <x v="1"/>
    <n v="112"/>
    <n v="65"/>
    <n v="27.35"/>
    <n v="27.35"/>
    <x v="0"/>
    <n v="79"/>
    <n v="79"/>
    <n v="60"/>
    <n v="60"/>
    <x v="0"/>
    <x v="0"/>
  </r>
  <r>
    <n v="1"/>
    <x v="1"/>
    <n v="42"/>
    <x v="1"/>
    <n v="2"/>
    <n v="2"/>
    <s v="Secondary"/>
    <x v="0"/>
    <n v="1"/>
    <n v="30"/>
    <n v="30"/>
    <x v="0"/>
    <n v="0"/>
    <x v="0"/>
    <n v="0"/>
    <n v="1"/>
    <n v="0"/>
    <n v="270"/>
    <n v="270"/>
    <x v="0"/>
    <n v="129.5"/>
    <n v="100"/>
    <n v="30.13"/>
    <n v="30.13"/>
    <x v="2"/>
    <n v="82"/>
    <n v="82"/>
    <n v="88"/>
    <n v="88"/>
    <x v="0"/>
    <x v="1"/>
  </r>
  <r>
    <n v="0"/>
    <x v="0"/>
    <n v="42"/>
    <x v="1"/>
    <n v="2"/>
    <n v="2"/>
    <s v="Secondary"/>
    <x v="0"/>
    <n v="0"/>
    <n v="0"/>
    <n v="0"/>
    <x v="1"/>
    <n v="0"/>
    <x v="0"/>
    <n v="0"/>
    <n v="0"/>
    <n v="0"/>
    <n v="172"/>
    <n v="172"/>
    <x v="1"/>
    <n v="120.5"/>
    <n v="80"/>
    <n v="19.93"/>
    <n v="19.93"/>
    <x v="1"/>
    <n v="80"/>
    <n v="80"/>
    <n v="61"/>
    <n v="61"/>
    <x v="0"/>
    <x v="0"/>
  </r>
  <r>
    <n v="1"/>
    <x v="1"/>
    <n v="42"/>
    <x v="1"/>
    <n v="2"/>
    <n v="2"/>
    <s v="Secondary"/>
    <x v="0"/>
    <n v="1"/>
    <n v="30"/>
    <n v="30"/>
    <x v="0"/>
    <n v="0"/>
    <x v="0"/>
    <n v="0"/>
    <n v="0"/>
    <n v="0"/>
    <n v="209"/>
    <n v="209"/>
    <x v="1"/>
    <n v="130"/>
    <n v="86"/>
    <n v="24.01"/>
    <n v="24.01"/>
    <x v="1"/>
    <n v="60"/>
    <n v="60"/>
    <n v="55"/>
    <n v="55"/>
    <x v="0"/>
    <x v="0"/>
  </r>
  <r>
    <n v="1"/>
    <x v="1"/>
    <n v="42"/>
    <x v="1"/>
    <n v="3"/>
    <n v="3"/>
    <s v="Graduate"/>
    <x v="1"/>
    <n v="1"/>
    <n v="30"/>
    <n v="30"/>
    <x v="0"/>
    <n v="0"/>
    <x v="0"/>
    <n v="0"/>
    <n v="0"/>
    <n v="0"/>
    <n v="240"/>
    <n v="240"/>
    <x v="1"/>
    <n v="133.5"/>
    <n v="97.5"/>
    <n v="28.94"/>
    <n v="28.94"/>
    <x v="0"/>
    <n v="86"/>
    <n v="86"/>
    <n v="73"/>
    <n v="73"/>
    <x v="0"/>
    <x v="1"/>
  </r>
  <r>
    <n v="1"/>
    <x v="1"/>
    <n v="42"/>
    <x v="1"/>
    <n v="1"/>
    <n v="1"/>
    <s v="Primary"/>
    <x v="2"/>
    <n v="0"/>
    <n v="0"/>
    <n v="0"/>
    <x v="1"/>
    <n v="0"/>
    <x v="0"/>
    <n v="0"/>
    <n v="0"/>
    <n v="0"/>
    <n v="214"/>
    <n v="214"/>
    <x v="1"/>
    <n v="120"/>
    <n v="81"/>
    <n v="28.47"/>
    <n v="28.47"/>
    <x v="0"/>
    <n v="78"/>
    <n v="78"/>
    <n v="77"/>
    <n v="77"/>
    <x v="0"/>
    <x v="0"/>
  </r>
  <r>
    <n v="0"/>
    <x v="0"/>
    <n v="42"/>
    <x v="1"/>
    <n v="1"/>
    <n v="1"/>
    <s v="Primary"/>
    <x v="2"/>
    <n v="0"/>
    <n v="0"/>
    <n v="0"/>
    <x v="1"/>
    <n v="0"/>
    <x v="0"/>
    <n v="0"/>
    <n v="0"/>
    <n v="0"/>
    <n v="179"/>
    <n v="179"/>
    <x v="1"/>
    <n v="115"/>
    <n v="78"/>
    <n v="25.75"/>
    <n v="25.75"/>
    <x v="0"/>
    <n v="80"/>
    <n v="80"/>
    <n v="77"/>
    <n v="77"/>
    <x v="0"/>
    <x v="0"/>
  </r>
  <r>
    <n v="0"/>
    <x v="0"/>
    <n v="42"/>
    <x v="1"/>
    <n v="2"/>
    <n v="2"/>
    <s v="Secondary"/>
    <x v="0"/>
    <n v="1"/>
    <n v="20"/>
    <n v="20"/>
    <x v="0"/>
    <n v="0"/>
    <x v="0"/>
    <n v="0"/>
    <n v="0"/>
    <n v="0"/>
    <n v="235"/>
    <n v="235"/>
    <x v="1"/>
    <n v="128"/>
    <n v="86"/>
    <n v="24.05"/>
    <n v="24.05"/>
    <x v="1"/>
    <n v="66"/>
    <n v="66"/>
    <n v="70"/>
    <n v="70"/>
    <x v="0"/>
    <x v="0"/>
  </r>
  <r>
    <n v="0"/>
    <x v="0"/>
    <n v="42"/>
    <x v="1"/>
    <n v="2"/>
    <n v="2"/>
    <s v="Secondary"/>
    <x v="0"/>
    <n v="0"/>
    <n v="0"/>
    <n v="0"/>
    <x v="1"/>
    <n v="0"/>
    <x v="0"/>
    <n v="0"/>
    <n v="0"/>
    <n v="0"/>
    <n v="238"/>
    <n v="238"/>
    <x v="1"/>
    <n v="118"/>
    <n v="80"/>
    <n v="33.19"/>
    <n v="33.19"/>
    <x v="2"/>
    <n v="75"/>
    <n v="75"/>
    <n v="76"/>
    <n v="76"/>
    <x v="0"/>
    <x v="0"/>
  </r>
  <r>
    <n v="1"/>
    <x v="1"/>
    <n v="42"/>
    <x v="1"/>
    <n v="3"/>
    <n v="3"/>
    <s v="Graduate"/>
    <x v="1"/>
    <n v="0"/>
    <n v="0"/>
    <n v="0"/>
    <x v="1"/>
    <n v="0"/>
    <x v="0"/>
    <n v="0"/>
    <n v="0"/>
    <n v="0"/>
    <n v="235"/>
    <n v="235"/>
    <x v="1"/>
    <n v="103"/>
    <n v="70"/>
    <n v="21.48"/>
    <n v="21.48"/>
    <x v="1"/>
    <n v="67"/>
    <n v="67"/>
    <n v="73"/>
    <n v="73"/>
    <x v="0"/>
    <x v="0"/>
  </r>
  <r>
    <n v="1"/>
    <x v="1"/>
    <n v="42"/>
    <x v="1"/>
    <n v="1"/>
    <n v="1"/>
    <s v="Primary"/>
    <x v="2"/>
    <n v="1"/>
    <n v="43"/>
    <n v="43"/>
    <x v="0"/>
    <n v="0"/>
    <x v="0"/>
    <n v="0"/>
    <n v="0"/>
    <n v="0"/>
    <n v="226"/>
    <n v="226"/>
    <x v="1"/>
    <n v="108"/>
    <n v="78"/>
    <n v="22.54"/>
    <n v="22.54"/>
    <x v="1"/>
    <n v="85"/>
    <n v="85"/>
    <n v="68"/>
    <n v="68"/>
    <x v="0"/>
    <x v="0"/>
  </r>
  <r>
    <n v="0"/>
    <x v="0"/>
    <n v="42"/>
    <x v="1"/>
    <n v="2"/>
    <n v="2"/>
    <s v="Secondary"/>
    <x v="0"/>
    <n v="1"/>
    <n v="10"/>
    <n v="10"/>
    <x v="0"/>
    <n v="0"/>
    <x v="0"/>
    <n v="0"/>
    <n v="1"/>
    <n v="0"/>
    <n v="199"/>
    <n v="199"/>
    <x v="1"/>
    <n v="143"/>
    <n v="79"/>
    <n v="18.68"/>
    <n v="18.68"/>
    <x v="1"/>
    <n v="92"/>
    <n v="92"/>
    <n v="76"/>
    <n v="76"/>
    <x v="0"/>
    <x v="0"/>
  </r>
  <r>
    <n v="0"/>
    <x v="0"/>
    <n v="42"/>
    <x v="1"/>
    <n v="2"/>
    <n v="2"/>
    <s v="Secondary"/>
    <x v="0"/>
    <n v="0"/>
    <n v="0"/>
    <n v="0"/>
    <x v="1"/>
    <n v="0"/>
    <x v="0"/>
    <n v="0"/>
    <n v="1"/>
    <n v="0"/>
    <n v="236"/>
    <n v="236"/>
    <x v="1"/>
    <n v="160.5"/>
    <n v="100"/>
    <n v="27.01"/>
    <n v="27.01"/>
    <x v="0"/>
    <n v="85"/>
    <n v="85"/>
    <n v="74"/>
    <n v="74"/>
    <x v="0"/>
    <x v="0"/>
  </r>
  <r>
    <n v="1"/>
    <x v="1"/>
    <n v="42"/>
    <x v="1"/>
    <n v="2"/>
    <n v="2"/>
    <s v="Secondary"/>
    <x v="0"/>
    <n v="1"/>
    <n v="40"/>
    <n v="40"/>
    <x v="0"/>
    <n v="0"/>
    <x v="0"/>
    <n v="0"/>
    <n v="0"/>
    <n v="0"/>
    <n v="245"/>
    <n v="245"/>
    <x v="0"/>
    <n v="105"/>
    <n v="70"/>
    <n v="22.41"/>
    <n v="22.41"/>
    <x v="1"/>
    <n v="65"/>
    <n v="65"/>
    <n v="69"/>
    <n v="69"/>
    <x v="0"/>
    <x v="0"/>
  </r>
  <r>
    <n v="0"/>
    <x v="0"/>
    <n v="43"/>
    <x v="1"/>
    <n v="2"/>
    <n v="2"/>
    <s v="Secondary"/>
    <x v="0"/>
    <n v="0"/>
    <n v="0"/>
    <n v="0"/>
    <x v="1"/>
    <n v="0"/>
    <x v="0"/>
    <n v="0"/>
    <n v="1"/>
    <n v="0"/>
    <n v="228"/>
    <n v="228"/>
    <x v="1"/>
    <n v="180"/>
    <n v="110"/>
    <n v="30.3"/>
    <n v="30.3"/>
    <x v="2"/>
    <n v="77"/>
    <n v="77"/>
    <n v="99"/>
    <n v="99"/>
    <x v="0"/>
    <x v="0"/>
  </r>
  <r>
    <n v="1"/>
    <x v="1"/>
    <n v="43"/>
    <x v="1"/>
    <n v="1"/>
    <n v="1"/>
    <s v="Primary"/>
    <x v="2"/>
    <n v="1"/>
    <n v="30"/>
    <n v="30"/>
    <x v="0"/>
    <n v="0"/>
    <x v="0"/>
    <n v="0"/>
    <n v="1"/>
    <n v="0"/>
    <n v="225"/>
    <n v="225"/>
    <x v="1"/>
    <n v="162"/>
    <n v="107"/>
    <n v="23.61"/>
    <n v="23.61"/>
    <x v="1"/>
    <n v="93"/>
    <n v="93"/>
    <n v="88"/>
    <n v="88"/>
    <x v="0"/>
    <x v="0"/>
  </r>
  <r>
    <n v="0"/>
    <x v="0"/>
    <n v="43"/>
    <x v="1"/>
    <n v="2"/>
    <n v="2"/>
    <s v="Secondary"/>
    <x v="0"/>
    <n v="0"/>
    <n v="0"/>
    <n v="0"/>
    <x v="1"/>
    <n v="0"/>
    <x v="0"/>
    <n v="0"/>
    <n v="0"/>
    <n v="0"/>
    <n v="247"/>
    <n v="247"/>
    <x v="0"/>
    <n v="131"/>
    <n v="88"/>
    <n v="27.64"/>
    <n v="27.64"/>
    <x v="0"/>
    <n v="72"/>
    <n v="72"/>
    <n v="61"/>
    <n v="61"/>
    <x v="0"/>
    <x v="0"/>
  </r>
  <r>
    <n v="0"/>
    <x v="0"/>
    <n v="43"/>
    <x v="1"/>
    <n v="1"/>
    <n v="1"/>
    <s v="Primary"/>
    <x v="2"/>
    <n v="0"/>
    <n v="0"/>
    <n v="0"/>
    <x v="1"/>
    <n v="0"/>
    <x v="0"/>
    <n v="0"/>
    <n v="0"/>
    <n v="0"/>
    <n v="185"/>
    <n v="185"/>
    <x v="1"/>
    <n v="123.5"/>
    <n v="77.5"/>
    <n v="29.89"/>
    <n v="29.89"/>
    <x v="0"/>
    <n v="70"/>
    <n v="70"/>
    <s v="NA"/>
    <n v="81.96365524402907"/>
    <x v="0"/>
    <x v="0"/>
  </r>
  <r>
    <n v="1"/>
    <x v="1"/>
    <n v="43"/>
    <x v="1"/>
    <n v="4"/>
    <n v="4"/>
    <s v="Post Graduate"/>
    <x v="3"/>
    <n v="1"/>
    <n v="43"/>
    <n v="43"/>
    <x v="0"/>
    <n v="0"/>
    <x v="0"/>
    <n v="0"/>
    <n v="0"/>
    <n v="0"/>
    <n v="226"/>
    <n v="226"/>
    <x v="1"/>
    <n v="115"/>
    <n v="85.5"/>
    <n v="27.57"/>
    <n v="27.57"/>
    <x v="0"/>
    <n v="75"/>
    <n v="75"/>
    <n v="75"/>
    <n v="75"/>
    <x v="0"/>
    <x v="0"/>
  </r>
  <r>
    <n v="0"/>
    <x v="0"/>
    <n v="43"/>
    <x v="1"/>
    <n v="2"/>
    <n v="2"/>
    <s v="Secondary"/>
    <x v="0"/>
    <n v="1"/>
    <n v="10"/>
    <n v="10"/>
    <x v="0"/>
    <n v="0"/>
    <x v="0"/>
    <n v="0"/>
    <n v="0"/>
    <n v="0"/>
    <n v="243"/>
    <n v="243"/>
    <x v="0"/>
    <n v="116.5"/>
    <n v="80"/>
    <n v="26.87"/>
    <n v="26.87"/>
    <x v="0"/>
    <n v="68"/>
    <n v="68"/>
    <n v="78"/>
    <n v="78"/>
    <x v="0"/>
    <x v="0"/>
  </r>
  <r>
    <n v="1"/>
    <x v="1"/>
    <n v="43"/>
    <x v="1"/>
    <n v="1"/>
    <n v="1"/>
    <s v="Primary"/>
    <x v="2"/>
    <n v="1"/>
    <n v="15"/>
    <n v="15"/>
    <x v="0"/>
    <n v="0"/>
    <x v="0"/>
    <n v="0"/>
    <n v="0"/>
    <n v="0"/>
    <n v="210"/>
    <n v="210"/>
    <x v="1"/>
    <n v="115"/>
    <n v="77.5"/>
    <n v="25.1"/>
    <n v="25.1"/>
    <x v="0"/>
    <n v="70"/>
    <n v="70"/>
    <n v="68"/>
    <n v="68"/>
    <x v="0"/>
    <x v="0"/>
  </r>
  <r>
    <n v="1"/>
    <x v="1"/>
    <n v="43"/>
    <x v="1"/>
    <n v="4"/>
    <n v="4"/>
    <s v="Post Graduate"/>
    <x v="3"/>
    <n v="1"/>
    <s v="NA"/>
    <n v="9"/>
    <x v="0"/>
    <n v="0"/>
    <x v="0"/>
    <n v="0"/>
    <n v="0"/>
    <n v="0"/>
    <n v="222"/>
    <n v="222"/>
    <x v="1"/>
    <n v="109.5"/>
    <n v="69"/>
    <n v="25.5"/>
    <n v="25.5"/>
    <x v="0"/>
    <n v="75"/>
    <n v="75"/>
    <s v="NA"/>
    <n v="81.96365524402907"/>
    <x v="0"/>
    <x v="0"/>
  </r>
  <r>
    <n v="0"/>
    <x v="0"/>
    <n v="43"/>
    <x v="1"/>
    <n v="2"/>
    <n v="2"/>
    <s v="Secondary"/>
    <x v="0"/>
    <n v="0"/>
    <n v="0"/>
    <n v="0"/>
    <x v="1"/>
    <n v="0"/>
    <x v="0"/>
    <n v="0"/>
    <n v="0"/>
    <n v="0"/>
    <n v="266"/>
    <n v="266"/>
    <x v="0"/>
    <n v="131"/>
    <n v="81"/>
    <n v="24.03"/>
    <n v="24.03"/>
    <x v="1"/>
    <n v="100"/>
    <n v="100"/>
    <n v="94"/>
    <n v="94"/>
    <x v="0"/>
    <x v="0"/>
  </r>
  <r>
    <n v="1"/>
    <x v="1"/>
    <n v="43"/>
    <x v="1"/>
    <n v="1"/>
    <n v="1"/>
    <s v="Primary"/>
    <x v="2"/>
    <n v="1"/>
    <n v="40"/>
    <n v="40"/>
    <x v="0"/>
    <n v="0"/>
    <x v="0"/>
    <n v="0"/>
    <n v="0"/>
    <n v="0"/>
    <n v="240"/>
    <n v="240"/>
    <x v="1"/>
    <n v="100"/>
    <n v="72.5"/>
    <n v="24.3"/>
    <n v="24.3"/>
    <x v="1"/>
    <n v="70"/>
    <n v="70"/>
    <n v="65"/>
    <n v="65"/>
    <x v="0"/>
    <x v="0"/>
  </r>
  <r>
    <n v="1"/>
    <x v="1"/>
    <n v="43"/>
    <x v="1"/>
    <n v="2"/>
    <n v="2"/>
    <s v="Secondary"/>
    <x v="0"/>
    <n v="1"/>
    <n v="30"/>
    <n v="30"/>
    <x v="0"/>
    <n v="0"/>
    <x v="0"/>
    <n v="0"/>
    <n v="0"/>
    <n v="0"/>
    <n v="185"/>
    <n v="185"/>
    <x v="1"/>
    <n v="125"/>
    <n v="65"/>
    <n v="20.65"/>
    <n v="20.65"/>
    <x v="1"/>
    <n v="96"/>
    <n v="96"/>
    <n v="76"/>
    <n v="76"/>
    <x v="0"/>
    <x v="0"/>
  </r>
  <r>
    <n v="0"/>
    <x v="0"/>
    <n v="43"/>
    <x v="1"/>
    <n v="3"/>
    <n v="3"/>
    <s v="Graduate"/>
    <x v="1"/>
    <n v="0"/>
    <n v="0"/>
    <n v="0"/>
    <x v="1"/>
    <n v="0"/>
    <x v="0"/>
    <n v="0"/>
    <n v="0"/>
    <n v="0"/>
    <n v="263"/>
    <n v="263"/>
    <x v="0"/>
    <n v="115"/>
    <n v="82.5"/>
    <n v="25.91"/>
    <n v="25.91"/>
    <x v="0"/>
    <n v="105"/>
    <n v="105"/>
    <s v="NA"/>
    <n v="81.96365524402907"/>
    <x v="0"/>
    <x v="0"/>
  </r>
  <r>
    <n v="0"/>
    <x v="0"/>
    <n v="43"/>
    <x v="1"/>
    <n v="1"/>
    <n v="1"/>
    <s v="Primary"/>
    <x v="2"/>
    <n v="0"/>
    <n v="0"/>
    <n v="0"/>
    <x v="1"/>
    <n v="0"/>
    <x v="0"/>
    <n v="0"/>
    <n v="0"/>
    <n v="0"/>
    <n v="257"/>
    <n v="257"/>
    <x v="0"/>
    <n v="160"/>
    <n v="85"/>
    <n v="21.95"/>
    <n v="21.95"/>
    <x v="1"/>
    <n v="100"/>
    <n v="100"/>
    <n v="84"/>
    <n v="84"/>
    <x v="0"/>
    <x v="0"/>
  </r>
  <r>
    <n v="0"/>
    <x v="0"/>
    <n v="43"/>
    <x v="1"/>
    <n v="4"/>
    <n v="4"/>
    <s v="Post Graduate"/>
    <x v="3"/>
    <n v="0"/>
    <n v="0"/>
    <n v="0"/>
    <x v="1"/>
    <n v="0"/>
    <x v="0"/>
    <n v="0"/>
    <n v="0"/>
    <n v="0"/>
    <n v="213"/>
    <n v="213"/>
    <x v="1"/>
    <n v="100"/>
    <n v="70"/>
    <n v="20.059999999999999"/>
    <n v="20.059999999999999"/>
    <x v="1"/>
    <n v="68"/>
    <n v="68"/>
    <s v="NA"/>
    <n v="81.96365524402907"/>
    <x v="0"/>
    <x v="0"/>
  </r>
  <r>
    <n v="1"/>
    <x v="1"/>
    <n v="43"/>
    <x v="1"/>
    <n v="3"/>
    <n v="3"/>
    <s v="Graduate"/>
    <x v="1"/>
    <n v="0"/>
    <n v="0"/>
    <n v="0"/>
    <x v="1"/>
    <n v="0"/>
    <x v="0"/>
    <n v="0"/>
    <n v="0"/>
    <n v="0"/>
    <n v="200"/>
    <n v="200"/>
    <x v="1"/>
    <n v="133"/>
    <n v="78"/>
    <n v="26.72"/>
    <n v="26.72"/>
    <x v="0"/>
    <n v="55"/>
    <n v="55"/>
    <n v="71"/>
    <n v="71"/>
    <x v="0"/>
    <x v="0"/>
  </r>
  <r>
    <n v="0"/>
    <x v="0"/>
    <n v="43"/>
    <x v="1"/>
    <n v="1"/>
    <n v="1"/>
    <s v="Primary"/>
    <x v="2"/>
    <n v="1"/>
    <n v="1"/>
    <n v="1"/>
    <x v="0"/>
    <n v="0"/>
    <x v="0"/>
    <n v="0"/>
    <n v="0"/>
    <n v="0"/>
    <n v="186"/>
    <n v="186"/>
    <x v="1"/>
    <n v="120"/>
    <n v="72"/>
    <n v="24.33"/>
    <n v="24.33"/>
    <x v="1"/>
    <n v="80"/>
    <n v="80"/>
    <n v="86"/>
    <n v="86"/>
    <x v="0"/>
    <x v="0"/>
  </r>
  <r>
    <n v="1"/>
    <x v="1"/>
    <n v="43"/>
    <x v="1"/>
    <n v="4"/>
    <n v="4"/>
    <s v="Post Graduate"/>
    <x v="3"/>
    <n v="1"/>
    <n v="25"/>
    <n v="25"/>
    <x v="0"/>
    <n v="0"/>
    <x v="0"/>
    <n v="0"/>
    <n v="0"/>
    <n v="0"/>
    <n v="245"/>
    <n v="245"/>
    <x v="0"/>
    <n v="126"/>
    <n v="88.5"/>
    <n v="23.16"/>
    <n v="23.16"/>
    <x v="1"/>
    <n v="92"/>
    <n v="92"/>
    <s v="NA"/>
    <n v="81.96365524402907"/>
    <x v="0"/>
    <x v="1"/>
  </r>
  <r>
    <n v="0"/>
    <x v="0"/>
    <n v="43"/>
    <x v="1"/>
    <n v="3"/>
    <n v="3"/>
    <s v="Graduate"/>
    <x v="1"/>
    <n v="0"/>
    <n v="0"/>
    <n v="0"/>
    <x v="1"/>
    <n v="0"/>
    <x v="0"/>
    <n v="0"/>
    <n v="1"/>
    <n v="0"/>
    <n v="240"/>
    <n v="240"/>
    <x v="1"/>
    <n v="141"/>
    <n v="91"/>
    <n v="29.25"/>
    <n v="29.25"/>
    <x v="0"/>
    <n v="78"/>
    <n v="78"/>
    <n v="65"/>
    <n v="65"/>
    <x v="0"/>
    <x v="0"/>
  </r>
  <r>
    <n v="1"/>
    <x v="1"/>
    <n v="43"/>
    <x v="1"/>
    <n v="2"/>
    <n v="2"/>
    <s v="Secondary"/>
    <x v="0"/>
    <n v="1"/>
    <n v="40"/>
    <n v="40"/>
    <x v="0"/>
    <n v="0"/>
    <x v="0"/>
    <n v="0"/>
    <n v="1"/>
    <n v="0"/>
    <n v="220"/>
    <n v="220"/>
    <x v="1"/>
    <n v="165"/>
    <n v="105"/>
    <n v="31.07"/>
    <n v="31.07"/>
    <x v="2"/>
    <n v="75"/>
    <n v="75"/>
    <n v="114"/>
    <n v="114"/>
    <x v="0"/>
    <x v="0"/>
  </r>
  <r>
    <n v="0"/>
    <x v="0"/>
    <n v="43"/>
    <x v="1"/>
    <n v="4"/>
    <n v="4"/>
    <s v="Post Graduate"/>
    <x v="3"/>
    <n v="1"/>
    <n v="20"/>
    <n v="20"/>
    <x v="0"/>
    <n v="0"/>
    <x v="0"/>
    <n v="0"/>
    <n v="0"/>
    <n v="0"/>
    <n v="265"/>
    <n v="265"/>
    <x v="0"/>
    <n v="107"/>
    <n v="68"/>
    <n v="21.08"/>
    <n v="21.08"/>
    <x v="1"/>
    <n v="90"/>
    <n v="90"/>
    <n v="95"/>
    <n v="95"/>
    <x v="0"/>
    <x v="0"/>
  </r>
  <r>
    <n v="1"/>
    <x v="1"/>
    <n v="43"/>
    <x v="1"/>
    <n v="2"/>
    <n v="2"/>
    <s v="Secondary"/>
    <x v="0"/>
    <n v="1"/>
    <n v="20"/>
    <n v="20"/>
    <x v="0"/>
    <n v="0"/>
    <x v="0"/>
    <n v="0"/>
    <n v="1"/>
    <n v="0"/>
    <n v="243"/>
    <n v="243"/>
    <x v="0"/>
    <n v="155"/>
    <n v="100"/>
    <n v="24.89"/>
    <n v="24.89"/>
    <x v="1"/>
    <n v="80"/>
    <n v="80"/>
    <n v="63"/>
    <n v="63"/>
    <x v="0"/>
    <x v="0"/>
  </r>
  <r>
    <n v="1"/>
    <x v="1"/>
    <n v="43"/>
    <x v="1"/>
    <n v="1"/>
    <n v="1"/>
    <s v="Primary"/>
    <x v="2"/>
    <n v="0"/>
    <n v="0"/>
    <n v="0"/>
    <x v="1"/>
    <n v="0"/>
    <x v="0"/>
    <n v="0"/>
    <n v="0"/>
    <n v="0"/>
    <n v="245"/>
    <n v="245"/>
    <x v="0"/>
    <n v="105"/>
    <n v="59.5"/>
    <n v="30.55"/>
    <n v="30.55"/>
    <x v="2"/>
    <n v="85"/>
    <n v="85"/>
    <n v="77"/>
    <n v="77"/>
    <x v="0"/>
    <x v="0"/>
  </r>
  <r>
    <n v="1"/>
    <x v="1"/>
    <n v="43"/>
    <x v="1"/>
    <n v="2"/>
    <n v="2"/>
    <s v="Secondary"/>
    <x v="0"/>
    <n v="1"/>
    <n v="35"/>
    <n v="35"/>
    <x v="0"/>
    <n v="0"/>
    <x v="0"/>
    <n v="0"/>
    <n v="0"/>
    <n v="0"/>
    <n v="207"/>
    <n v="207"/>
    <x v="1"/>
    <n v="117"/>
    <n v="65"/>
    <n v="24.42"/>
    <n v="24.42"/>
    <x v="1"/>
    <n v="60"/>
    <n v="60"/>
    <n v="100"/>
    <n v="100"/>
    <x v="0"/>
    <x v="0"/>
  </r>
  <r>
    <n v="0"/>
    <x v="0"/>
    <n v="43"/>
    <x v="1"/>
    <n v="1"/>
    <n v="1"/>
    <s v="Primary"/>
    <x v="2"/>
    <n v="0"/>
    <n v="0"/>
    <n v="0"/>
    <x v="1"/>
    <n v="0"/>
    <x v="0"/>
    <n v="0"/>
    <n v="0"/>
    <n v="0"/>
    <n v="145"/>
    <n v="145"/>
    <x v="1"/>
    <n v="112"/>
    <n v="83"/>
    <n v="22.36"/>
    <n v="22.36"/>
    <x v="1"/>
    <n v="90"/>
    <n v="90"/>
    <n v="70"/>
    <n v="70"/>
    <x v="0"/>
    <x v="0"/>
  </r>
  <r>
    <n v="1"/>
    <x v="1"/>
    <n v="43"/>
    <x v="1"/>
    <n v="1"/>
    <n v="1"/>
    <s v="Primary"/>
    <x v="2"/>
    <n v="1"/>
    <n v="43"/>
    <n v="43"/>
    <x v="0"/>
    <n v="0"/>
    <x v="0"/>
    <n v="0"/>
    <n v="0"/>
    <n v="0"/>
    <n v="215"/>
    <n v="215"/>
    <x v="1"/>
    <n v="122"/>
    <n v="76"/>
    <n v="26.84"/>
    <n v="26.84"/>
    <x v="0"/>
    <n v="85"/>
    <n v="85"/>
    <n v="74"/>
    <n v="74"/>
    <x v="0"/>
    <x v="0"/>
  </r>
  <r>
    <n v="1"/>
    <x v="1"/>
    <n v="43"/>
    <x v="1"/>
    <n v="4"/>
    <n v="4"/>
    <s v="Post Graduate"/>
    <x v="3"/>
    <n v="1"/>
    <n v="30"/>
    <n v="30"/>
    <x v="0"/>
    <n v="0"/>
    <x v="0"/>
    <n v="0"/>
    <n v="0"/>
    <n v="0"/>
    <n v="292"/>
    <n v="292"/>
    <x v="0"/>
    <n v="121"/>
    <n v="75"/>
    <n v="21.73"/>
    <n v="21.73"/>
    <x v="1"/>
    <n v="84"/>
    <n v="84"/>
    <n v="82"/>
    <n v="82"/>
    <x v="0"/>
    <x v="0"/>
  </r>
  <r>
    <n v="0"/>
    <x v="0"/>
    <n v="43"/>
    <x v="1"/>
    <n v="2"/>
    <n v="2"/>
    <s v="Secondary"/>
    <x v="0"/>
    <n v="1"/>
    <n v="15"/>
    <n v="15"/>
    <x v="0"/>
    <n v="0"/>
    <x v="0"/>
    <n v="0"/>
    <n v="0"/>
    <n v="0"/>
    <n v="199"/>
    <n v="199"/>
    <x v="1"/>
    <n v="137"/>
    <n v="81"/>
    <n v="21.85"/>
    <n v="21.85"/>
    <x v="1"/>
    <n v="70"/>
    <n v="70"/>
    <n v="72"/>
    <n v="72"/>
    <x v="0"/>
    <x v="1"/>
  </r>
  <r>
    <n v="0"/>
    <x v="0"/>
    <n v="43"/>
    <x v="1"/>
    <s v="NA"/>
    <n v="1"/>
    <s v="Primary"/>
    <x v="2"/>
    <n v="1"/>
    <n v="20"/>
    <n v="20"/>
    <x v="0"/>
    <n v="0"/>
    <x v="0"/>
    <n v="0"/>
    <n v="0"/>
    <n v="0"/>
    <n v="276"/>
    <n v="276"/>
    <x v="0"/>
    <n v="127.5"/>
    <n v="85"/>
    <n v="25.09"/>
    <n v="25.09"/>
    <x v="0"/>
    <n v="85"/>
    <n v="85"/>
    <n v="74"/>
    <n v="74"/>
    <x v="0"/>
    <x v="0"/>
  </r>
  <r>
    <n v="0"/>
    <x v="0"/>
    <n v="43"/>
    <x v="1"/>
    <n v="3"/>
    <n v="3"/>
    <s v="Graduate"/>
    <x v="1"/>
    <n v="0"/>
    <n v="0"/>
    <n v="0"/>
    <x v="1"/>
    <n v="0"/>
    <x v="0"/>
    <n v="0"/>
    <n v="0"/>
    <n v="0"/>
    <n v="214"/>
    <n v="214"/>
    <x v="1"/>
    <n v="121.5"/>
    <n v="78"/>
    <n v="26.11"/>
    <n v="26.11"/>
    <x v="0"/>
    <n v="90"/>
    <n v="90"/>
    <n v="82"/>
    <n v="82"/>
    <x v="0"/>
    <x v="0"/>
  </r>
  <r>
    <n v="1"/>
    <x v="1"/>
    <n v="43"/>
    <x v="1"/>
    <n v="2"/>
    <n v="2"/>
    <s v="Secondary"/>
    <x v="0"/>
    <n v="0"/>
    <n v="0"/>
    <n v="0"/>
    <x v="1"/>
    <n v="0"/>
    <x v="0"/>
    <n v="0"/>
    <n v="1"/>
    <n v="0"/>
    <n v="214"/>
    <n v="214"/>
    <x v="1"/>
    <n v="132"/>
    <n v="84"/>
    <n v="26.77"/>
    <n v="26.77"/>
    <x v="0"/>
    <n v="65"/>
    <n v="65"/>
    <n v="102"/>
    <n v="102"/>
    <x v="0"/>
    <x v="1"/>
  </r>
  <r>
    <n v="0"/>
    <x v="0"/>
    <n v="43"/>
    <x v="1"/>
    <n v="4"/>
    <n v="4"/>
    <s v="Post Graduate"/>
    <x v="3"/>
    <n v="1"/>
    <n v="20"/>
    <n v="20"/>
    <x v="0"/>
    <n v="0"/>
    <x v="0"/>
    <n v="0"/>
    <n v="0"/>
    <n v="0"/>
    <n v="201"/>
    <n v="201"/>
    <x v="1"/>
    <n v="129"/>
    <n v="92"/>
    <n v="24.54"/>
    <n v="24.54"/>
    <x v="1"/>
    <n v="88"/>
    <n v="88"/>
    <n v="63"/>
    <n v="63"/>
    <x v="0"/>
    <x v="0"/>
  </r>
  <r>
    <n v="1"/>
    <x v="1"/>
    <n v="43"/>
    <x v="1"/>
    <n v="4"/>
    <n v="4"/>
    <s v="Post Graduate"/>
    <x v="3"/>
    <n v="0"/>
    <n v="0"/>
    <n v="0"/>
    <x v="1"/>
    <n v="0"/>
    <x v="0"/>
    <n v="0"/>
    <n v="1"/>
    <n v="0"/>
    <n v="260"/>
    <n v="260"/>
    <x v="0"/>
    <n v="129"/>
    <n v="90"/>
    <n v="25.29"/>
    <n v="25.29"/>
    <x v="0"/>
    <n v="70"/>
    <n v="70"/>
    <n v="62"/>
    <n v="62"/>
    <x v="0"/>
    <x v="0"/>
  </r>
  <r>
    <n v="0"/>
    <x v="0"/>
    <n v="43"/>
    <x v="1"/>
    <n v="3"/>
    <n v="3"/>
    <s v="Graduate"/>
    <x v="1"/>
    <n v="0"/>
    <n v="0"/>
    <n v="0"/>
    <x v="1"/>
    <n v="0"/>
    <x v="0"/>
    <n v="0"/>
    <n v="0"/>
    <n v="0"/>
    <n v="202"/>
    <n v="202"/>
    <x v="1"/>
    <n v="115.5"/>
    <n v="68"/>
    <n v="23.33"/>
    <n v="23.33"/>
    <x v="1"/>
    <n v="76"/>
    <n v="76"/>
    <n v="73"/>
    <n v="73"/>
    <x v="0"/>
    <x v="0"/>
  </r>
  <r>
    <n v="0"/>
    <x v="0"/>
    <n v="43"/>
    <x v="1"/>
    <n v="4"/>
    <n v="4"/>
    <s v="Post Graduate"/>
    <x v="3"/>
    <n v="0"/>
    <n v="0"/>
    <n v="0"/>
    <x v="1"/>
    <n v="0"/>
    <x v="0"/>
    <n v="0"/>
    <n v="0"/>
    <n v="0"/>
    <n v="229"/>
    <n v="229"/>
    <x v="1"/>
    <n v="118"/>
    <n v="77"/>
    <n v="25.32"/>
    <n v="25.32"/>
    <x v="0"/>
    <n v="78"/>
    <n v="78"/>
    <n v="103"/>
    <n v="103"/>
    <x v="0"/>
    <x v="0"/>
  </r>
  <r>
    <n v="0"/>
    <x v="0"/>
    <n v="43"/>
    <x v="1"/>
    <n v="1"/>
    <n v="1"/>
    <s v="Primary"/>
    <x v="2"/>
    <n v="0"/>
    <n v="0"/>
    <n v="0"/>
    <x v="1"/>
    <n v="0"/>
    <x v="0"/>
    <n v="0"/>
    <n v="0"/>
    <n v="0"/>
    <n v="175"/>
    <n v="175"/>
    <x v="1"/>
    <n v="117"/>
    <n v="67"/>
    <n v="22.36"/>
    <n v="22.36"/>
    <x v="1"/>
    <n v="58"/>
    <n v="58"/>
    <n v="70"/>
    <n v="70"/>
    <x v="0"/>
    <x v="0"/>
  </r>
  <r>
    <n v="1"/>
    <x v="1"/>
    <n v="43"/>
    <x v="1"/>
    <n v="4"/>
    <n v="4"/>
    <s v="Post Graduate"/>
    <x v="3"/>
    <n v="1"/>
    <n v="40"/>
    <n v="40"/>
    <x v="0"/>
    <n v="0"/>
    <x v="0"/>
    <n v="0"/>
    <n v="0"/>
    <n v="0"/>
    <n v="263"/>
    <n v="263"/>
    <x v="0"/>
    <n v="114"/>
    <n v="81"/>
    <n v="25.68"/>
    <n v="25.68"/>
    <x v="0"/>
    <n v="70"/>
    <n v="70"/>
    <n v="74"/>
    <n v="74"/>
    <x v="0"/>
    <x v="1"/>
  </r>
  <r>
    <n v="1"/>
    <x v="1"/>
    <n v="43"/>
    <x v="1"/>
    <n v="2"/>
    <n v="2"/>
    <s v="Secondary"/>
    <x v="0"/>
    <n v="1"/>
    <n v="9"/>
    <n v="9"/>
    <x v="0"/>
    <n v="0"/>
    <x v="0"/>
    <n v="0"/>
    <n v="0"/>
    <n v="0"/>
    <n v="229"/>
    <n v="229"/>
    <x v="1"/>
    <n v="131"/>
    <n v="87"/>
    <n v="23.31"/>
    <n v="23.31"/>
    <x v="1"/>
    <n v="80"/>
    <n v="80"/>
    <n v="74"/>
    <n v="74"/>
    <x v="0"/>
    <x v="0"/>
  </r>
  <r>
    <n v="0"/>
    <x v="0"/>
    <n v="43"/>
    <x v="1"/>
    <n v="3"/>
    <n v="3"/>
    <s v="Graduate"/>
    <x v="1"/>
    <n v="0"/>
    <n v="0"/>
    <n v="0"/>
    <x v="1"/>
    <n v="0"/>
    <x v="0"/>
    <n v="0"/>
    <n v="0"/>
    <n v="0"/>
    <n v="209"/>
    <n v="209"/>
    <x v="1"/>
    <n v="115"/>
    <n v="75"/>
    <n v="27.99"/>
    <n v="27.99"/>
    <x v="0"/>
    <n v="80"/>
    <n v="80"/>
    <n v="90"/>
    <n v="90"/>
    <x v="0"/>
    <x v="0"/>
  </r>
  <r>
    <n v="0"/>
    <x v="0"/>
    <n v="43"/>
    <x v="1"/>
    <n v="2"/>
    <n v="2"/>
    <s v="Secondary"/>
    <x v="0"/>
    <n v="1"/>
    <n v="2"/>
    <n v="2"/>
    <x v="0"/>
    <n v="0"/>
    <x v="0"/>
    <n v="0"/>
    <n v="0"/>
    <n v="0"/>
    <n v="213"/>
    <n v="213"/>
    <x v="1"/>
    <n v="113"/>
    <n v="77"/>
    <n v="29.34"/>
    <n v="29.34"/>
    <x v="0"/>
    <n v="100"/>
    <n v="100"/>
    <n v="73"/>
    <n v="73"/>
    <x v="0"/>
    <x v="0"/>
  </r>
  <r>
    <n v="0"/>
    <x v="0"/>
    <n v="43"/>
    <x v="1"/>
    <s v="NA"/>
    <n v="1"/>
    <s v="Primary"/>
    <x v="2"/>
    <n v="0"/>
    <n v="0"/>
    <n v="0"/>
    <x v="1"/>
    <n v="0"/>
    <x v="0"/>
    <n v="0"/>
    <n v="0"/>
    <n v="0"/>
    <n v="204"/>
    <n v="204"/>
    <x v="1"/>
    <n v="132"/>
    <n v="88"/>
    <n v="28.59"/>
    <n v="28.59"/>
    <x v="0"/>
    <n v="80"/>
    <n v="80"/>
    <n v="83"/>
    <n v="83"/>
    <x v="0"/>
    <x v="0"/>
  </r>
  <r>
    <n v="1"/>
    <x v="1"/>
    <n v="43"/>
    <x v="1"/>
    <n v="2"/>
    <n v="2"/>
    <s v="Secondary"/>
    <x v="0"/>
    <n v="0"/>
    <n v="0"/>
    <n v="0"/>
    <x v="1"/>
    <n v="0"/>
    <x v="0"/>
    <n v="0"/>
    <n v="0"/>
    <n v="0"/>
    <n v="241"/>
    <n v="241"/>
    <x v="0"/>
    <n v="132.5"/>
    <n v="87.5"/>
    <n v="32.020000000000003"/>
    <n v="32.020000000000003"/>
    <x v="2"/>
    <n v="63"/>
    <n v="63"/>
    <n v="83"/>
    <n v="83"/>
    <x v="0"/>
    <x v="0"/>
  </r>
  <r>
    <n v="0"/>
    <x v="0"/>
    <n v="43"/>
    <x v="1"/>
    <n v="3"/>
    <n v="3"/>
    <s v="Graduate"/>
    <x v="1"/>
    <n v="1"/>
    <n v="10"/>
    <n v="10"/>
    <x v="0"/>
    <s v="NA"/>
    <x v="0"/>
    <n v="0"/>
    <n v="0"/>
    <n v="0"/>
    <n v="186"/>
    <n v="186"/>
    <x v="1"/>
    <n v="111"/>
    <n v="82"/>
    <n v="23.22"/>
    <n v="23.22"/>
    <x v="1"/>
    <n v="75"/>
    <n v="75"/>
    <n v="82"/>
    <n v="82"/>
    <x v="1"/>
    <x v="0"/>
  </r>
  <r>
    <n v="1"/>
    <x v="1"/>
    <n v="43"/>
    <x v="1"/>
    <n v="2"/>
    <n v="2"/>
    <s v="Secondary"/>
    <x v="0"/>
    <n v="1"/>
    <n v="38"/>
    <n v="38"/>
    <x v="0"/>
    <n v="0"/>
    <x v="0"/>
    <n v="0"/>
    <n v="0"/>
    <n v="0"/>
    <n v="207"/>
    <n v="207"/>
    <x v="1"/>
    <n v="130"/>
    <n v="86"/>
    <n v="24.96"/>
    <n v="24.96"/>
    <x v="1"/>
    <n v="75"/>
    <n v="75"/>
    <n v="103"/>
    <n v="103"/>
    <x v="0"/>
    <x v="0"/>
  </r>
  <r>
    <n v="0"/>
    <x v="0"/>
    <n v="43"/>
    <x v="1"/>
    <n v="2"/>
    <n v="2"/>
    <s v="Secondary"/>
    <x v="0"/>
    <n v="0"/>
    <n v="0"/>
    <n v="0"/>
    <x v="1"/>
    <n v="0"/>
    <x v="0"/>
    <n v="0"/>
    <n v="0"/>
    <n v="0"/>
    <n v="237"/>
    <n v="237"/>
    <x v="1"/>
    <n v="130"/>
    <n v="80"/>
    <n v="22.71"/>
    <n v="22.71"/>
    <x v="1"/>
    <n v="65"/>
    <n v="65"/>
    <s v="NA"/>
    <n v="81.96365524402907"/>
    <x v="0"/>
    <x v="0"/>
  </r>
  <r>
    <n v="0"/>
    <x v="0"/>
    <n v="43"/>
    <x v="1"/>
    <n v="2"/>
    <n v="2"/>
    <s v="Secondary"/>
    <x v="0"/>
    <n v="0"/>
    <n v="0"/>
    <n v="0"/>
    <x v="1"/>
    <n v="0"/>
    <x v="0"/>
    <n v="0"/>
    <n v="0"/>
    <n v="0"/>
    <n v="232"/>
    <n v="232"/>
    <x v="1"/>
    <n v="138"/>
    <n v="88"/>
    <n v="22.53"/>
    <n v="22.53"/>
    <x v="1"/>
    <n v="70"/>
    <n v="70"/>
    <n v="96"/>
    <n v="96"/>
    <x v="0"/>
    <x v="0"/>
  </r>
  <r>
    <n v="0"/>
    <x v="0"/>
    <n v="43"/>
    <x v="1"/>
    <n v="2"/>
    <n v="2"/>
    <s v="Secondary"/>
    <x v="0"/>
    <n v="0"/>
    <n v="0"/>
    <n v="0"/>
    <x v="1"/>
    <n v="1"/>
    <x v="1"/>
    <n v="0"/>
    <n v="1"/>
    <n v="0"/>
    <n v="234"/>
    <n v="234"/>
    <x v="1"/>
    <n v="127"/>
    <n v="88"/>
    <n v="33.17"/>
    <n v="33.17"/>
    <x v="2"/>
    <n v="85"/>
    <n v="85"/>
    <s v="NA"/>
    <n v="81.96365524402907"/>
    <x v="0"/>
    <x v="0"/>
  </r>
  <r>
    <n v="0"/>
    <x v="0"/>
    <n v="43"/>
    <x v="1"/>
    <n v="3"/>
    <n v="3"/>
    <s v="Graduate"/>
    <x v="1"/>
    <n v="1"/>
    <n v="20"/>
    <n v="20"/>
    <x v="0"/>
    <n v="0"/>
    <x v="0"/>
    <n v="0"/>
    <n v="0"/>
    <n v="0"/>
    <n v="292"/>
    <n v="292"/>
    <x v="0"/>
    <n v="109"/>
    <n v="73"/>
    <n v="22.87"/>
    <n v="22.87"/>
    <x v="1"/>
    <n v="90"/>
    <n v="90"/>
    <n v="93"/>
    <n v="93"/>
    <x v="0"/>
    <x v="0"/>
  </r>
  <r>
    <n v="1"/>
    <x v="1"/>
    <n v="43"/>
    <x v="1"/>
    <n v="4"/>
    <n v="4"/>
    <s v="Post Graduate"/>
    <x v="3"/>
    <n v="0"/>
    <n v="0"/>
    <n v="0"/>
    <x v="1"/>
    <n v="0"/>
    <x v="0"/>
    <n v="0"/>
    <n v="0"/>
    <n v="0"/>
    <n v="262"/>
    <n v="262"/>
    <x v="0"/>
    <n v="121"/>
    <n v="79"/>
    <n v="24.01"/>
    <n v="24.01"/>
    <x v="1"/>
    <n v="85"/>
    <n v="85"/>
    <n v="87"/>
    <n v="87"/>
    <x v="0"/>
    <x v="0"/>
  </r>
  <r>
    <n v="0"/>
    <x v="0"/>
    <n v="43"/>
    <x v="1"/>
    <n v="1"/>
    <n v="1"/>
    <s v="Primary"/>
    <x v="2"/>
    <n v="1"/>
    <n v="10"/>
    <n v="10"/>
    <x v="0"/>
    <n v="0"/>
    <x v="0"/>
    <n v="0"/>
    <n v="0"/>
    <n v="0"/>
    <n v="216"/>
    <n v="216"/>
    <x v="1"/>
    <n v="116"/>
    <n v="74"/>
    <n v="22.65"/>
    <n v="22.65"/>
    <x v="1"/>
    <n v="90"/>
    <n v="90"/>
    <s v="NA"/>
    <n v="81.96365524402907"/>
    <x v="0"/>
    <x v="0"/>
  </r>
  <r>
    <n v="1"/>
    <x v="1"/>
    <n v="43"/>
    <x v="1"/>
    <n v="2"/>
    <n v="2"/>
    <s v="Secondary"/>
    <x v="0"/>
    <n v="1"/>
    <n v="20"/>
    <n v="20"/>
    <x v="0"/>
    <n v="0"/>
    <x v="0"/>
    <n v="0"/>
    <n v="0"/>
    <n v="0"/>
    <n v="153"/>
    <n v="153"/>
    <x v="1"/>
    <n v="130"/>
    <n v="83.5"/>
    <n v="19.84"/>
    <n v="19.84"/>
    <x v="1"/>
    <n v="63"/>
    <n v="63"/>
    <s v="NA"/>
    <n v="81.96365524402907"/>
    <x v="0"/>
    <x v="0"/>
  </r>
  <r>
    <n v="0"/>
    <x v="0"/>
    <n v="43"/>
    <x v="1"/>
    <n v="2"/>
    <n v="2"/>
    <s v="Secondary"/>
    <x v="0"/>
    <n v="1"/>
    <n v="15"/>
    <n v="15"/>
    <x v="0"/>
    <n v="0"/>
    <x v="0"/>
    <n v="0"/>
    <n v="1"/>
    <n v="0"/>
    <n v="174"/>
    <n v="174"/>
    <x v="1"/>
    <n v="158.5"/>
    <n v="100.5"/>
    <n v="35.99"/>
    <n v="35.99"/>
    <x v="2"/>
    <n v="82"/>
    <n v="82"/>
    <n v="88"/>
    <n v="88"/>
    <x v="0"/>
    <x v="0"/>
  </r>
  <r>
    <n v="1"/>
    <x v="1"/>
    <n v="43"/>
    <x v="1"/>
    <n v="1"/>
    <n v="1"/>
    <s v="Primary"/>
    <x v="2"/>
    <n v="1"/>
    <n v="25"/>
    <n v="25"/>
    <x v="0"/>
    <n v="0"/>
    <x v="0"/>
    <n v="0"/>
    <n v="0"/>
    <n v="0"/>
    <n v="201"/>
    <n v="201"/>
    <x v="1"/>
    <n v="121"/>
    <n v="82"/>
    <n v="23.84"/>
    <n v="23.84"/>
    <x v="1"/>
    <n v="70"/>
    <n v="70"/>
    <n v="91"/>
    <n v="91"/>
    <x v="0"/>
    <x v="0"/>
  </r>
  <r>
    <n v="0"/>
    <x v="0"/>
    <n v="43"/>
    <x v="1"/>
    <n v="3"/>
    <n v="3"/>
    <s v="Graduate"/>
    <x v="1"/>
    <n v="1"/>
    <n v="20"/>
    <n v="20"/>
    <x v="0"/>
    <n v="0"/>
    <x v="0"/>
    <n v="0"/>
    <n v="0"/>
    <n v="0"/>
    <n v="232"/>
    <n v="232"/>
    <x v="1"/>
    <n v="122"/>
    <n v="70"/>
    <n v="23.09"/>
    <n v="23.09"/>
    <x v="1"/>
    <n v="67"/>
    <n v="67"/>
    <n v="77"/>
    <n v="77"/>
    <x v="0"/>
    <x v="0"/>
  </r>
  <r>
    <n v="0"/>
    <x v="0"/>
    <n v="43"/>
    <x v="1"/>
    <n v="2"/>
    <n v="2"/>
    <s v="Secondary"/>
    <x v="0"/>
    <n v="1"/>
    <n v="20"/>
    <n v="20"/>
    <x v="0"/>
    <n v="0"/>
    <x v="0"/>
    <n v="0"/>
    <n v="0"/>
    <n v="0"/>
    <n v="195"/>
    <n v="195"/>
    <x v="1"/>
    <n v="104"/>
    <n v="57"/>
    <n v="20.86"/>
    <n v="20.86"/>
    <x v="1"/>
    <n v="75"/>
    <n v="75"/>
    <n v="78"/>
    <n v="78"/>
    <x v="0"/>
    <x v="0"/>
  </r>
  <r>
    <n v="0"/>
    <x v="0"/>
    <n v="43"/>
    <x v="1"/>
    <n v="2"/>
    <n v="2"/>
    <s v="Secondary"/>
    <x v="0"/>
    <n v="0"/>
    <n v="0"/>
    <n v="0"/>
    <x v="1"/>
    <n v="0"/>
    <x v="0"/>
    <n v="0"/>
    <n v="0"/>
    <n v="0"/>
    <n v="213"/>
    <n v="213"/>
    <x v="1"/>
    <n v="96"/>
    <n v="62"/>
    <n v="19.38"/>
    <n v="19.38"/>
    <x v="1"/>
    <n v="74"/>
    <n v="74"/>
    <n v="80"/>
    <n v="80"/>
    <x v="0"/>
    <x v="0"/>
  </r>
  <r>
    <n v="0"/>
    <x v="0"/>
    <n v="43"/>
    <x v="1"/>
    <n v="2"/>
    <n v="2"/>
    <s v="Secondary"/>
    <x v="0"/>
    <n v="0"/>
    <n v="0"/>
    <n v="0"/>
    <x v="1"/>
    <n v="0"/>
    <x v="0"/>
    <n v="0"/>
    <n v="0"/>
    <n v="0"/>
    <n v="255"/>
    <n v="255"/>
    <x v="0"/>
    <n v="130"/>
    <n v="85"/>
    <n v="29.56"/>
    <n v="29.56"/>
    <x v="0"/>
    <n v="80"/>
    <n v="80"/>
    <n v="78"/>
    <n v="78"/>
    <x v="0"/>
    <x v="0"/>
  </r>
  <r>
    <n v="0"/>
    <x v="0"/>
    <n v="43"/>
    <x v="1"/>
    <n v="4"/>
    <n v="4"/>
    <s v="Post Graduate"/>
    <x v="3"/>
    <n v="0"/>
    <n v="0"/>
    <n v="0"/>
    <x v="1"/>
    <n v="0"/>
    <x v="0"/>
    <n v="0"/>
    <n v="0"/>
    <n v="0"/>
    <n v="240"/>
    <n v="240"/>
    <x v="1"/>
    <n v="110.5"/>
    <n v="66"/>
    <n v="24.09"/>
    <n v="24.09"/>
    <x v="1"/>
    <n v="67"/>
    <n v="67"/>
    <n v="80"/>
    <n v="80"/>
    <x v="0"/>
    <x v="0"/>
  </r>
  <r>
    <n v="0"/>
    <x v="0"/>
    <n v="43"/>
    <x v="1"/>
    <n v="1"/>
    <n v="1"/>
    <s v="Primary"/>
    <x v="2"/>
    <n v="0"/>
    <n v="0"/>
    <n v="0"/>
    <x v="1"/>
    <n v="0"/>
    <x v="0"/>
    <n v="0"/>
    <n v="1"/>
    <n v="1"/>
    <n v="231"/>
    <n v="231"/>
    <x v="1"/>
    <n v="155.5"/>
    <n v="99.5"/>
    <n v="34.950000000000003"/>
    <n v="34.950000000000003"/>
    <x v="2"/>
    <n v="68"/>
    <n v="68"/>
    <n v="274"/>
    <n v="274"/>
    <x v="0"/>
    <x v="1"/>
  </r>
  <r>
    <n v="1"/>
    <x v="1"/>
    <n v="43"/>
    <x v="1"/>
    <n v="4"/>
    <n v="4"/>
    <s v="Post Graduate"/>
    <x v="3"/>
    <n v="1"/>
    <n v="20"/>
    <n v="20"/>
    <x v="0"/>
    <n v="0"/>
    <x v="0"/>
    <n v="0"/>
    <n v="0"/>
    <n v="0"/>
    <n v="202"/>
    <n v="202"/>
    <x v="1"/>
    <n v="104"/>
    <n v="69"/>
    <n v="25.82"/>
    <n v="25.82"/>
    <x v="0"/>
    <n v="59"/>
    <n v="59"/>
    <n v="63"/>
    <n v="63"/>
    <x v="0"/>
    <x v="0"/>
  </r>
  <r>
    <n v="0"/>
    <x v="0"/>
    <n v="43"/>
    <x v="1"/>
    <n v="1"/>
    <n v="1"/>
    <s v="Primary"/>
    <x v="2"/>
    <n v="1"/>
    <n v="20"/>
    <n v="20"/>
    <x v="0"/>
    <n v="0"/>
    <x v="0"/>
    <n v="0"/>
    <n v="0"/>
    <n v="0"/>
    <n v="259"/>
    <n v="259"/>
    <x v="0"/>
    <n v="120"/>
    <n v="87"/>
    <n v="19.88"/>
    <n v="19.88"/>
    <x v="1"/>
    <n v="86"/>
    <n v="86"/>
    <n v="71"/>
    <n v="71"/>
    <x v="0"/>
    <x v="0"/>
  </r>
  <r>
    <n v="0"/>
    <x v="0"/>
    <n v="43"/>
    <x v="1"/>
    <n v="2"/>
    <n v="2"/>
    <s v="Secondary"/>
    <x v="0"/>
    <n v="0"/>
    <n v="0"/>
    <n v="0"/>
    <x v="1"/>
    <n v="0"/>
    <x v="0"/>
    <n v="0"/>
    <n v="1"/>
    <n v="0"/>
    <n v="170"/>
    <n v="170"/>
    <x v="1"/>
    <n v="134"/>
    <n v="90"/>
    <n v="32.93"/>
    <n v="32.93"/>
    <x v="2"/>
    <n v="95"/>
    <n v="95"/>
    <n v="73"/>
    <n v="73"/>
    <x v="0"/>
    <x v="0"/>
  </r>
  <r>
    <n v="0"/>
    <x v="0"/>
    <n v="43"/>
    <x v="1"/>
    <n v="4"/>
    <n v="4"/>
    <s v="Post Graduate"/>
    <x v="3"/>
    <n v="1"/>
    <n v="15"/>
    <n v="15"/>
    <x v="0"/>
    <n v="0"/>
    <x v="0"/>
    <n v="0"/>
    <n v="0"/>
    <n v="0"/>
    <n v="203"/>
    <n v="203"/>
    <x v="1"/>
    <n v="110"/>
    <n v="71.5"/>
    <n v="24.56"/>
    <n v="24.56"/>
    <x v="1"/>
    <n v="96"/>
    <n v="96"/>
    <n v="65"/>
    <n v="65"/>
    <x v="0"/>
    <x v="0"/>
  </r>
  <r>
    <n v="0"/>
    <x v="0"/>
    <n v="43"/>
    <x v="1"/>
    <n v="3"/>
    <n v="3"/>
    <s v="Graduate"/>
    <x v="1"/>
    <n v="1"/>
    <n v="1"/>
    <n v="1"/>
    <x v="0"/>
    <n v="0"/>
    <x v="0"/>
    <n v="0"/>
    <n v="0"/>
    <n v="0"/>
    <n v="270"/>
    <n v="270"/>
    <x v="0"/>
    <n v="145.5"/>
    <n v="82"/>
    <n v="21.1"/>
    <n v="21.1"/>
    <x v="1"/>
    <n v="80"/>
    <n v="80"/>
    <n v="87"/>
    <n v="87"/>
    <x v="0"/>
    <x v="0"/>
  </r>
  <r>
    <n v="0"/>
    <x v="0"/>
    <n v="43"/>
    <x v="1"/>
    <n v="3"/>
    <n v="3"/>
    <s v="Graduate"/>
    <x v="1"/>
    <n v="1"/>
    <n v="5"/>
    <n v="5"/>
    <x v="0"/>
    <n v="0"/>
    <x v="0"/>
    <n v="0"/>
    <n v="0"/>
    <n v="0"/>
    <n v="250"/>
    <n v="250"/>
    <x v="0"/>
    <n v="110"/>
    <n v="70"/>
    <n v="21.14"/>
    <n v="21.14"/>
    <x v="1"/>
    <n v="64"/>
    <n v="64"/>
    <n v="85"/>
    <n v="85"/>
    <x v="0"/>
    <x v="0"/>
  </r>
  <r>
    <n v="0"/>
    <x v="0"/>
    <n v="43"/>
    <x v="1"/>
    <n v="2"/>
    <n v="2"/>
    <s v="Secondary"/>
    <x v="0"/>
    <n v="0"/>
    <n v="0"/>
    <n v="0"/>
    <x v="1"/>
    <n v="0"/>
    <x v="0"/>
    <n v="0"/>
    <n v="0"/>
    <n v="0"/>
    <n v="190"/>
    <n v="190"/>
    <x v="1"/>
    <n v="111"/>
    <n v="74"/>
    <n v="24.47"/>
    <n v="24.47"/>
    <x v="1"/>
    <n v="72"/>
    <n v="72"/>
    <s v="NA"/>
    <n v="81.96365524402907"/>
    <x v="0"/>
    <x v="0"/>
  </r>
  <r>
    <n v="1"/>
    <x v="1"/>
    <n v="43"/>
    <x v="1"/>
    <n v="4"/>
    <n v="4"/>
    <s v="Post Graduate"/>
    <x v="3"/>
    <n v="1"/>
    <n v="40"/>
    <n v="40"/>
    <x v="0"/>
    <n v="0"/>
    <x v="0"/>
    <n v="0"/>
    <n v="0"/>
    <n v="0"/>
    <n v="226"/>
    <n v="226"/>
    <x v="1"/>
    <n v="103.5"/>
    <n v="60"/>
    <n v="26.11"/>
    <n v="26.11"/>
    <x v="0"/>
    <n v="90"/>
    <n v="90"/>
    <n v="67"/>
    <n v="67"/>
    <x v="0"/>
    <x v="1"/>
  </r>
  <r>
    <n v="1"/>
    <x v="1"/>
    <n v="43"/>
    <x v="1"/>
    <n v="3"/>
    <n v="3"/>
    <s v="Graduate"/>
    <x v="1"/>
    <n v="1"/>
    <n v="15"/>
    <n v="15"/>
    <x v="0"/>
    <n v="0"/>
    <x v="0"/>
    <n v="0"/>
    <n v="0"/>
    <n v="0"/>
    <n v="224"/>
    <n v="224"/>
    <x v="1"/>
    <n v="97"/>
    <n v="64"/>
    <n v="23.05"/>
    <n v="23.05"/>
    <x v="1"/>
    <n v="75"/>
    <n v="75"/>
    <n v="68"/>
    <n v="68"/>
    <x v="0"/>
    <x v="0"/>
  </r>
  <r>
    <n v="1"/>
    <x v="1"/>
    <n v="43"/>
    <x v="1"/>
    <n v="1"/>
    <n v="1"/>
    <s v="Primary"/>
    <x v="2"/>
    <n v="1"/>
    <n v="20"/>
    <n v="20"/>
    <x v="0"/>
    <n v="0"/>
    <x v="0"/>
    <n v="0"/>
    <n v="0"/>
    <n v="0"/>
    <n v="180"/>
    <n v="180"/>
    <x v="1"/>
    <n v="131"/>
    <n v="92"/>
    <n v="27.18"/>
    <n v="27.18"/>
    <x v="0"/>
    <n v="65"/>
    <n v="65"/>
    <n v="85"/>
    <n v="85"/>
    <x v="0"/>
    <x v="1"/>
  </r>
  <r>
    <n v="0"/>
    <x v="0"/>
    <n v="43"/>
    <x v="1"/>
    <n v="3"/>
    <n v="3"/>
    <s v="Graduate"/>
    <x v="1"/>
    <n v="1"/>
    <n v="15"/>
    <n v="15"/>
    <x v="0"/>
    <n v="0"/>
    <x v="0"/>
    <n v="0"/>
    <n v="0"/>
    <n v="0"/>
    <n v="233"/>
    <n v="233"/>
    <x v="1"/>
    <n v="100"/>
    <n v="70"/>
    <n v="22.9"/>
    <n v="22.9"/>
    <x v="1"/>
    <n v="75"/>
    <n v="75"/>
    <n v="78"/>
    <n v="78"/>
    <x v="0"/>
    <x v="0"/>
  </r>
  <r>
    <n v="0"/>
    <x v="0"/>
    <n v="43"/>
    <x v="1"/>
    <n v="1"/>
    <n v="1"/>
    <s v="Primary"/>
    <x v="2"/>
    <n v="0"/>
    <n v="0"/>
    <n v="0"/>
    <x v="1"/>
    <n v="0"/>
    <x v="0"/>
    <n v="0"/>
    <n v="0"/>
    <n v="0"/>
    <n v="249"/>
    <n v="249"/>
    <x v="0"/>
    <n v="155"/>
    <n v="93.5"/>
    <n v="21.99"/>
    <n v="21.99"/>
    <x v="1"/>
    <n v="85"/>
    <n v="85"/>
    <n v="115"/>
    <n v="115"/>
    <x v="0"/>
    <x v="0"/>
  </r>
  <r>
    <n v="1"/>
    <x v="1"/>
    <n v="43"/>
    <x v="1"/>
    <n v="1"/>
    <n v="1"/>
    <s v="Primary"/>
    <x v="2"/>
    <n v="0"/>
    <n v="0"/>
    <n v="0"/>
    <x v="1"/>
    <n v="0"/>
    <x v="0"/>
    <n v="0"/>
    <n v="0"/>
    <n v="0"/>
    <n v="126"/>
    <n v="126"/>
    <x v="1"/>
    <n v="152"/>
    <n v="96.5"/>
    <n v="25.65"/>
    <n v="25.65"/>
    <x v="0"/>
    <n v="86"/>
    <n v="86"/>
    <s v="NA"/>
    <n v="81.96365524402907"/>
    <x v="0"/>
    <x v="0"/>
  </r>
  <r>
    <n v="0"/>
    <x v="0"/>
    <n v="43"/>
    <x v="1"/>
    <n v="3"/>
    <n v="3"/>
    <s v="Graduate"/>
    <x v="1"/>
    <n v="0"/>
    <n v="0"/>
    <n v="0"/>
    <x v="1"/>
    <n v="0"/>
    <x v="0"/>
    <n v="0"/>
    <n v="0"/>
    <n v="0"/>
    <n v="192"/>
    <n v="192"/>
    <x v="1"/>
    <n v="107.5"/>
    <n v="67.5"/>
    <n v="21.22"/>
    <n v="21.22"/>
    <x v="1"/>
    <n v="67"/>
    <n v="67"/>
    <s v="NA"/>
    <n v="81.96365524402907"/>
    <x v="0"/>
    <x v="0"/>
  </r>
  <r>
    <n v="0"/>
    <x v="0"/>
    <n v="43"/>
    <x v="1"/>
    <n v="3"/>
    <n v="3"/>
    <s v="Graduate"/>
    <x v="1"/>
    <n v="1"/>
    <n v="8"/>
    <n v="8"/>
    <x v="0"/>
    <n v="0"/>
    <x v="0"/>
    <n v="0"/>
    <n v="0"/>
    <n v="0"/>
    <n v="192"/>
    <n v="192"/>
    <x v="1"/>
    <n v="119.5"/>
    <n v="69.5"/>
    <n v="24.67"/>
    <n v="24.67"/>
    <x v="1"/>
    <n v="90"/>
    <n v="90"/>
    <n v="83"/>
    <n v="83"/>
    <x v="0"/>
    <x v="0"/>
  </r>
  <r>
    <n v="1"/>
    <x v="1"/>
    <n v="43"/>
    <x v="1"/>
    <n v="2"/>
    <n v="2"/>
    <s v="Secondary"/>
    <x v="0"/>
    <n v="0"/>
    <n v="0"/>
    <n v="0"/>
    <x v="1"/>
    <n v="1"/>
    <x v="1"/>
    <n v="0"/>
    <n v="1"/>
    <n v="0"/>
    <n v="234"/>
    <n v="234"/>
    <x v="1"/>
    <n v="173"/>
    <n v="96"/>
    <n v="27.99"/>
    <n v="27.99"/>
    <x v="0"/>
    <n v="100"/>
    <n v="100"/>
    <n v="76"/>
    <n v="76"/>
    <x v="0"/>
    <x v="0"/>
  </r>
  <r>
    <n v="0"/>
    <x v="0"/>
    <n v="43"/>
    <x v="1"/>
    <n v="4"/>
    <n v="4"/>
    <s v="Post Graduate"/>
    <x v="3"/>
    <n v="0"/>
    <n v="0"/>
    <n v="0"/>
    <x v="1"/>
    <n v="0"/>
    <x v="0"/>
    <n v="0"/>
    <n v="1"/>
    <n v="0"/>
    <n v="240"/>
    <n v="240"/>
    <x v="1"/>
    <n v="141.5"/>
    <n v="93"/>
    <n v="38.43"/>
    <n v="38.43"/>
    <x v="2"/>
    <n v="72"/>
    <n v="72"/>
    <n v="77"/>
    <n v="77"/>
    <x v="0"/>
    <x v="0"/>
  </r>
  <r>
    <n v="0"/>
    <x v="0"/>
    <n v="43"/>
    <x v="1"/>
    <n v="2"/>
    <n v="2"/>
    <s v="Secondary"/>
    <x v="0"/>
    <n v="1"/>
    <n v="15"/>
    <n v="15"/>
    <x v="0"/>
    <n v="0"/>
    <x v="0"/>
    <n v="0"/>
    <n v="0"/>
    <n v="0"/>
    <n v="165"/>
    <n v="165"/>
    <x v="1"/>
    <n v="113"/>
    <n v="79"/>
    <n v="28.96"/>
    <n v="28.96"/>
    <x v="0"/>
    <n v="75"/>
    <n v="75"/>
    <n v="72"/>
    <n v="72"/>
    <x v="0"/>
    <x v="0"/>
  </r>
  <r>
    <n v="1"/>
    <x v="1"/>
    <n v="43"/>
    <x v="1"/>
    <n v="4"/>
    <n v="4"/>
    <s v="Post Graduate"/>
    <x v="3"/>
    <n v="1"/>
    <n v="30"/>
    <n v="30"/>
    <x v="0"/>
    <n v="0"/>
    <x v="0"/>
    <n v="0"/>
    <n v="1"/>
    <n v="0"/>
    <s v="NA"/>
    <n v="236.69952267303103"/>
    <x v="1"/>
    <n v="152"/>
    <n v="87"/>
    <n v="26.77"/>
    <n v="26.77"/>
    <x v="0"/>
    <n v="77"/>
    <n v="77"/>
    <s v="NA"/>
    <n v="81.96365524402907"/>
    <x v="0"/>
    <x v="1"/>
  </r>
  <r>
    <n v="1"/>
    <x v="1"/>
    <n v="43"/>
    <x v="1"/>
    <n v="3"/>
    <n v="3"/>
    <s v="Graduate"/>
    <x v="1"/>
    <n v="1"/>
    <n v="20"/>
    <n v="20"/>
    <x v="0"/>
    <n v="0"/>
    <x v="0"/>
    <n v="0"/>
    <n v="1"/>
    <n v="0"/>
    <n v="206"/>
    <n v="206"/>
    <x v="1"/>
    <n v="162.5"/>
    <n v="93.5"/>
    <n v="29.01"/>
    <n v="29.01"/>
    <x v="0"/>
    <n v="90"/>
    <n v="90"/>
    <n v="77"/>
    <n v="77"/>
    <x v="0"/>
    <x v="0"/>
  </r>
  <r>
    <n v="0"/>
    <x v="0"/>
    <n v="43"/>
    <x v="1"/>
    <n v="1"/>
    <n v="1"/>
    <s v="Primary"/>
    <x v="2"/>
    <n v="0"/>
    <n v="0"/>
    <n v="0"/>
    <x v="1"/>
    <n v="0"/>
    <x v="0"/>
    <n v="0"/>
    <n v="0"/>
    <n v="0"/>
    <n v="229"/>
    <n v="229"/>
    <x v="1"/>
    <n v="124"/>
    <n v="79"/>
    <n v="30.28"/>
    <n v="30.28"/>
    <x v="2"/>
    <n v="72"/>
    <n v="72"/>
    <n v="77"/>
    <n v="77"/>
    <x v="0"/>
    <x v="0"/>
  </r>
  <r>
    <n v="1"/>
    <x v="1"/>
    <n v="43"/>
    <x v="1"/>
    <n v="2"/>
    <n v="2"/>
    <s v="Secondary"/>
    <x v="0"/>
    <n v="1"/>
    <n v="20"/>
    <n v="20"/>
    <x v="0"/>
    <n v="0"/>
    <x v="0"/>
    <n v="0"/>
    <n v="0"/>
    <n v="0"/>
    <n v="226"/>
    <n v="226"/>
    <x v="1"/>
    <n v="132.5"/>
    <n v="85"/>
    <n v="26.64"/>
    <n v="26.64"/>
    <x v="0"/>
    <n v="72"/>
    <n v="72"/>
    <n v="58"/>
    <n v="58"/>
    <x v="0"/>
    <x v="0"/>
  </r>
  <r>
    <n v="1"/>
    <x v="1"/>
    <n v="43"/>
    <x v="1"/>
    <n v="4"/>
    <n v="4"/>
    <s v="Post Graduate"/>
    <x v="3"/>
    <n v="0"/>
    <n v="0"/>
    <n v="0"/>
    <x v="1"/>
    <n v="0"/>
    <x v="0"/>
    <n v="0"/>
    <n v="0"/>
    <n v="0"/>
    <n v="179"/>
    <n v="179"/>
    <x v="1"/>
    <n v="125"/>
    <n v="80"/>
    <n v="23.05"/>
    <n v="23.05"/>
    <x v="1"/>
    <n v="63"/>
    <n v="63"/>
    <s v="NA"/>
    <n v="81.96365524402907"/>
    <x v="0"/>
    <x v="0"/>
  </r>
  <r>
    <n v="1"/>
    <x v="1"/>
    <n v="43"/>
    <x v="1"/>
    <n v="2"/>
    <n v="2"/>
    <s v="Secondary"/>
    <x v="0"/>
    <n v="1"/>
    <n v="15"/>
    <n v="15"/>
    <x v="0"/>
    <n v="0"/>
    <x v="0"/>
    <n v="0"/>
    <n v="0"/>
    <n v="0"/>
    <n v="240"/>
    <n v="240"/>
    <x v="1"/>
    <n v="137"/>
    <n v="86"/>
    <n v="26.32"/>
    <n v="26.32"/>
    <x v="0"/>
    <n v="100"/>
    <n v="100"/>
    <s v="NA"/>
    <n v="81.96365524402907"/>
    <x v="0"/>
    <x v="0"/>
  </r>
  <r>
    <n v="0"/>
    <x v="0"/>
    <n v="43"/>
    <x v="1"/>
    <n v="1"/>
    <n v="1"/>
    <s v="Primary"/>
    <x v="2"/>
    <n v="1"/>
    <n v="20"/>
    <n v="20"/>
    <x v="0"/>
    <n v="0"/>
    <x v="0"/>
    <n v="0"/>
    <n v="0"/>
    <n v="0"/>
    <n v="245"/>
    <n v="245"/>
    <x v="0"/>
    <n v="112.5"/>
    <n v="80"/>
    <n v="23.43"/>
    <n v="23.43"/>
    <x v="1"/>
    <n v="90"/>
    <n v="90"/>
    <n v="77"/>
    <n v="77"/>
    <x v="0"/>
    <x v="0"/>
  </r>
  <r>
    <n v="1"/>
    <x v="1"/>
    <n v="43"/>
    <x v="1"/>
    <n v="1"/>
    <n v="1"/>
    <s v="Primary"/>
    <x v="2"/>
    <n v="1"/>
    <n v="15"/>
    <n v="15"/>
    <x v="0"/>
    <n v="0"/>
    <x v="0"/>
    <n v="0"/>
    <n v="0"/>
    <n v="0"/>
    <n v="249"/>
    <n v="249"/>
    <x v="0"/>
    <n v="145"/>
    <n v="85"/>
    <n v="28.77"/>
    <n v="28.77"/>
    <x v="0"/>
    <n v="75"/>
    <n v="75"/>
    <n v="100"/>
    <n v="100"/>
    <x v="0"/>
    <x v="0"/>
  </r>
  <r>
    <n v="1"/>
    <x v="1"/>
    <n v="43"/>
    <x v="1"/>
    <n v="4"/>
    <n v="4"/>
    <s v="Post Graduate"/>
    <x v="3"/>
    <n v="0"/>
    <n v="0"/>
    <n v="0"/>
    <x v="1"/>
    <n v="0"/>
    <x v="0"/>
    <n v="0"/>
    <n v="0"/>
    <n v="0"/>
    <n v="217"/>
    <n v="217"/>
    <x v="1"/>
    <n v="115"/>
    <n v="80"/>
    <n v="28.82"/>
    <n v="28.82"/>
    <x v="0"/>
    <n v="52"/>
    <n v="52"/>
    <n v="70"/>
    <n v="70"/>
    <x v="0"/>
    <x v="0"/>
  </r>
  <r>
    <n v="1"/>
    <x v="1"/>
    <n v="43"/>
    <x v="1"/>
    <n v="1"/>
    <n v="1"/>
    <s v="Primary"/>
    <x v="2"/>
    <n v="1"/>
    <n v="30"/>
    <n v="30"/>
    <x v="0"/>
    <n v="0"/>
    <x v="0"/>
    <n v="0"/>
    <n v="0"/>
    <n v="0"/>
    <n v="262"/>
    <n v="262"/>
    <x v="0"/>
    <n v="105"/>
    <n v="72.5"/>
    <n v="28.36"/>
    <n v="28.36"/>
    <x v="0"/>
    <n v="82"/>
    <n v="82"/>
    <n v="70"/>
    <n v="70"/>
    <x v="0"/>
    <x v="0"/>
  </r>
  <r>
    <n v="1"/>
    <x v="1"/>
    <n v="43"/>
    <x v="1"/>
    <n v="1"/>
    <n v="1"/>
    <s v="Primary"/>
    <x v="2"/>
    <n v="1"/>
    <n v="20"/>
    <n v="20"/>
    <x v="0"/>
    <n v="0"/>
    <x v="0"/>
    <n v="0"/>
    <n v="0"/>
    <n v="0"/>
    <n v="179"/>
    <n v="179"/>
    <x v="1"/>
    <n v="129"/>
    <n v="81"/>
    <n v="19.05"/>
    <n v="19.05"/>
    <x v="1"/>
    <n v="63"/>
    <n v="63"/>
    <n v="77"/>
    <n v="77"/>
    <x v="0"/>
    <x v="0"/>
  </r>
  <r>
    <n v="1"/>
    <x v="1"/>
    <n v="43"/>
    <x v="1"/>
    <n v="1"/>
    <n v="1"/>
    <s v="Primary"/>
    <x v="2"/>
    <n v="1"/>
    <n v="20"/>
    <n v="20"/>
    <x v="0"/>
    <n v="0"/>
    <x v="0"/>
    <n v="0"/>
    <n v="0"/>
    <n v="1"/>
    <n v="309"/>
    <n v="309"/>
    <x v="0"/>
    <n v="124"/>
    <n v="85"/>
    <n v="26.91"/>
    <n v="26.91"/>
    <x v="0"/>
    <n v="70"/>
    <n v="70"/>
    <n v="215"/>
    <n v="215"/>
    <x v="0"/>
    <x v="0"/>
  </r>
  <r>
    <n v="0"/>
    <x v="0"/>
    <n v="43"/>
    <x v="1"/>
    <n v="2"/>
    <n v="2"/>
    <s v="Secondary"/>
    <x v="0"/>
    <n v="1"/>
    <n v="15"/>
    <n v="15"/>
    <x v="0"/>
    <n v="1"/>
    <x v="1"/>
    <n v="0"/>
    <n v="1"/>
    <n v="0"/>
    <n v="172"/>
    <n v="172"/>
    <x v="1"/>
    <n v="149"/>
    <n v="82"/>
    <n v="22.35"/>
    <n v="22.35"/>
    <x v="1"/>
    <n v="60"/>
    <n v="60"/>
    <n v="64"/>
    <n v="64"/>
    <x v="0"/>
    <x v="0"/>
  </r>
  <r>
    <n v="0"/>
    <x v="0"/>
    <n v="43"/>
    <x v="1"/>
    <n v="3"/>
    <n v="3"/>
    <s v="Graduate"/>
    <x v="1"/>
    <n v="0"/>
    <n v="0"/>
    <n v="0"/>
    <x v="1"/>
    <n v="0"/>
    <x v="0"/>
    <n v="0"/>
    <n v="0"/>
    <n v="0"/>
    <n v="232"/>
    <n v="232"/>
    <x v="1"/>
    <n v="126"/>
    <n v="73"/>
    <n v="20.43"/>
    <n v="20.43"/>
    <x v="1"/>
    <n v="72"/>
    <n v="72"/>
    <n v="75"/>
    <n v="75"/>
    <x v="0"/>
    <x v="0"/>
  </r>
  <r>
    <n v="0"/>
    <x v="0"/>
    <n v="43"/>
    <x v="1"/>
    <n v="2"/>
    <n v="2"/>
    <s v="Secondary"/>
    <x v="0"/>
    <n v="0"/>
    <n v="0"/>
    <n v="0"/>
    <x v="1"/>
    <n v="0"/>
    <x v="0"/>
    <n v="0"/>
    <n v="0"/>
    <n v="0"/>
    <n v="273"/>
    <n v="273"/>
    <x v="0"/>
    <n v="119"/>
    <n v="72"/>
    <n v="24.59"/>
    <n v="24.59"/>
    <x v="1"/>
    <n v="90"/>
    <n v="90"/>
    <n v="75"/>
    <n v="75"/>
    <x v="0"/>
    <x v="0"/>
  </r>
  <r>
    <n v="0"/>
    <x v="0"/>
    <n v="43"/>
    <x v="1"/>
    <n v="1"/>
    <n v="1"/>
    <s v="Primary"/>
    <x v="2"/>
    <n v="1"/>
    <n v="1"/>
    <n v="1"/>
    <x v="0"/>
    <n v="0"/>
    <x v="0"/>
    <n v="0"/>
    <n v="0"/>
    <n v="0"/>
    <n v="256"/>
    <n v="256"/>
    <x v="0"/>
    <n v="129"/>
    <n v="86"/>
    <n v="25.89"/>
    <n v="25.89"/>
    <x v="0"/>
    <n v="96"/>
    <n v="96"/>
    <n v="72"/>
    <n v="72"/>
    <x v="0"/>
    <x v="0"/>
  </r>
  <r>
    <n v="0"/>
    <x v="0"/>
    <n v="43"/>
    <x v="1"/>
    <n v="2"/>
    <n v="2"/>
    <s v="Secondary"/>
    <x v="0"/>
    <n v="0"/>
    <n v="0"/>
    <n v="0"/>
    <x v="1"/>
    <n v="0"/>
    <x v="0"/>
    <n v="0"/>
    <n v="0"/>
    <n v="0"/>
    <n v="308"/>
    <n v="308"/>
    <x v="0"/>
    <n v="110"/>
    <n v="70"/>
    <n v="24.83"/>
    <n v="24.83"/>
    <x v="1"/>
    <n v="55"/>
    <n v="55"/>
    <n v="83"/>
    <n v="83"/>
    <x v="0"/>
    <x v="0"/>
  </r>
  <r>
    <n v="0"/>
    <x v="0"/>
    <n v="43"/>
    <x v="1"/>
    <n v="2"/>
    <n v="2"/>
    <s v="Secondary"/>
    <x v="0"/>
    <n v="0"/>
    <n v="0"/>
    <n v="0"/>
    <x v="1"/>
    <n v="0"/>
    <x v="0"/>
    <n v="0"/>
    <n v="0"/>
    <n v="0"/>
    <n v="202"/>
    <n v="202"/>
    <x v="1"/>
    <n v="121.5"/>
    <n v="86.5"/>
    <n v="20.82"/>
    <n v="20.82"/>
    <x v="1"/>
    <n v="92"/>
    <n v="92"/>
    <n v="77"/>
    <n v="77"/>
    <x v="0"/>
    <x v="1"/>
  </r>
  <r>
    <n v="0"/>
    <x v="0"/>
    <n v="43"/>
    <x v="1"/>
    <n v="1"/>
    <n v="1"/>
    <s v="Primary"/>
    <x v="2"/>
    <n v="0"/>
    <n v="0"/>
    <n v="0"/>
    <x v="1"/>
    <n v="0"/>
    <x v="0"/>
    <n v="0"/>
    <n v="0"/>
    <n v="0"/>
    <n v="260"/>
    <n v="260"/>
    <x v="0"/>
    <n v="127"/>
    <n v="79.5"/>
    <n v="26.01"/>
    <n v="26.01"/>
    <x v="0"/>
    <n v="63"/>
    <n v="63"/>
    <n v="77"/>
    <n v="77"/>
    <x v="0"/>
    <x v="0"/>
  </r>
  <r>
    <n v="0"/>
    <x v="0"/>
    <n v="43"/>
    <x v="1"/>
    <n v="1"/>
    <n v="1"/>
    <s v="Primary"/>
    <x v="2"/>
    <n v="1"/>
    <n v="15"/>
    <n v="15"/>
    <x v="0"/>
    <n v="0"/>
    <x v="0"/>
    <n v="0"/>
    <n v="0"/>
    <n v="0"/>
    <n v="315"/>
    <n v="315"/>
    <x v="0"/>
    <n v="132.5"/>
    <n v="76.5"/>
    <n v="31.54"/>
    <n v="31.54"/>
    <x v="2"/>
    <n v="95"/>
    <n v="95"/>
    <s v="NA"/>
    <n v="81.96365524402907"/>
    <x v="0"/>
    <x v="0"/>
  </r>
  <r>
    <n v="1"/>
    <x v="1"/>
    <n v="43"/>
    <x v="1"/>
    <n v="1"/>
    <n v="1"/>
    <s v="Primary"/>
    <x v="2"/>
    <n v="1"/>
    <n v="20"/>
    <n v="20"/>
    <x v="0"/>
    <n v="0"/>
    <x v="0"/>
    <n v="0"/>
    <n v="0"/>
    <n v="0"/>
    <n v="263"/>
    <n v="263"/>
    <x v="0"/>
    <n v="132"/>
    <n v="90"/>
    <n v="28.85"/>
    <n v="28.85"/>
    <x v="0"/>
    <n v="72"/>
    <n v="72"/>
    <n v="71"/>
    <n v="71"/>
    <x v="0"/>
    <x v="0"/>
  </r>
  <r>
    <n v="0"/>
    <x v="0"/>
    <n v="43"/>
    <x v="1"/>
    <n v="1"/>
    <n v="1"/>
    <s v="Primary"/>
    <x v="2"/>
    <n v="1"/>
    <n v="10"/>
    <n v="10"/>
    <x v="0"/>
    <n v="0"/>
    <x v="0"/>
    <n v="0"/>
    <n v="0"/>
    <n v="0"/>
    <n v="249"/>
    <n v="249"/>
    <x v="0"/>
    <n v="108"/>
    <n v="76"/>
    <n v="27.49"/>
    <n v="27.49"/>
    <x v="0"/>
    <n v="80"/>
    <n v="80"/>
    <n v="76"/>
    <n v="76"/>
    <x v="0"/>
    <x v="0"/>
  </r>
  <r>
    <n v="1"/>
    <x v="1"/>
    <n v="43"/>
    <x v="1"/>
    <n v="2"/>
    <n v="2"/>
    <s v="Secondary"/>
    <x v="0"/>
    <n v="1"/>
    <n v="20"/>
    <n v="20"/>
    <x v="0"/>
    <n v="0"/>
    <x v="0"/>
    <n v="0"/>
    <n v="0"/>
    <n v="0"/>
    <n v="275"/>
    <n v="275"/>
    <x v="0"/>
    <n v="111"/>
    <n v="76"/>
    <n v="23.95"/>
    <n v="23.95"/>
    <x v="1"/>
    <n v="68"/>
    <n v="68"/>
    <n v="65"/>
    <n v="65"/>
    <x v="0"/>
    <x v="0"/>
  </r>
  <r>
    <n v="1"/>
    <x v="1"/>
    <n v="43"/>
    <x v="1"/>
    <n v="1"/>
    <n v="1"/>
    <s v="Primary"/>
    <x v="2"/>
    <n v="0"/>
    <n v="0"/>
    <n v="0"/>
    <x v="1"/>
    <n v="1"/>
    <x v="1"/>
    <n v="0"/>
    <n v="1"/>
    <n v="0"/>
    <n v="210"/>
    <n v="210"/>
    <x v="1"/>
    <n v="181"/>
    <n v="97.5"/>
    <n v="21.83"/>
    <n v="21.83"/>
    <x v="1"/>
    <n v="75"/>
    <n v="75"/>
    <n v="55"/>
    <n v="55"/>
    <x v="0"/>
    <x v="0"/>
  </r>
  <r>
    <n v="1"/>
    <x v="1"/>
    <n v="43"/>
    <x v="1"/>
    <n v="4"/>
    <n v="4"/>
    <s v="Post Graduate"/>
    <x v="3"/>
    <n v="0"/>
    <n v="0"/>
    <n v="0"/>
    <x v="1"/>
    <n v="0"/>
    <x v="0"/>
    <n v="0"/>
    <n v="1"/>
    <n v="0"/>
    <n v="367"/>
    <n v="367"/>
    <x v="0"/>
    <n v="141"/>
    <n v="82.5"/>
    <n v="25.62"/>
    <n v="25.62"/>
    <x v="0"/>
    <n v="92"/>
    <n v="92"/>
    <n v="90"/>
    <n v="90"/>
    <x v="0"/>
    <x v="0"/>
  </r>
  <r>
    <n v="0"/>
    <x v="0"/>
    <n v="43"/>
    <x v="1"/>
    <n v="2"/>
    <n v="2"/>
    <s v="Secondary"/>
    <x v="0"/>
    <n v="1"/>
    <n v="20"/>
    <n v="20"/>
    <x v="0"/>
    <n v="0"/>
    <x v="0"/>
    <n v="0"/>
    <n v="0"/>
    <n v="0"/>
    <n v="208"/>
    <n v="208"/>
    <x v="1"/>
    <n v="119"/>
    <n v="69"/>
    <n v="19.48"/>
    <n v="19.48"/>
    <x v="1"/>
    <n v="67"/>
    <n v="67"/>
    <n v="73"/>
    <n v="73"/>
    <x v="0"/>
    <x v="0"/>
  </r>
  <r>
    <n v="0"/>
    <x v="0"/>
    <n v="43"/>
    <x v="1"/>
    <n v="1"/>
    <n v="1"/>
    <s v="Primary"/>
    <x v="2"/>
    <n v="0"/>
    <n v="0"/>
    <n v="0"/>
    <x v="1"/>
    <n v="0"/>
    <x v="0"/>
    <n v="0"/>
    <n v="0"/>
    <n v="0"/>
    <n v="230"/>
    <n v="230"/>
    <x v="1"/>
    <n v="116"/>
    <n v="86"/>
    <n v="27.78"/>
    <n v="27.78"/>
    <x v="0"/>
    <n v="62"/>
    <n v="62"/>
    <n v="78"/>
    <n v="78"/>
    <x v="0"/>
    <x v="0"/>
  </r>
  <r>
    <n v="0"/>
    <x v="0"/>
    <n v="43"/>
    <x v="1"/>
    <n v="3"/>
    <n v="3"/>
    <s v="Graduate"/>
    <x v="1"/>
    <n v="1"/>
    <n v="1"/>
    <n v="1"/>
    <x v="0"/>
    <n v="0"/>
    <x v="0"/>
    <n v="0"/>
    <n v="0"/>
    <n v="0"/>
    <n v="185"/>
    <n v="185"/>
    <x v="1"/>
    <n v="125"/>
    <n v="84"/>
    <n v="23.18"/>
    <n v="23.18"/>
    <x v="1"/>
    <n v="75"/>
    <n v="75"/>
    <n v="55"/>
    <n v="55"/>
    <x v="0"/>
    <x v="0"/>
  </r>
  <r>
    <n v="0"/>
    <x v="0"/>
    <n v="43"/>
    <x v="1"/>
    <n v="2"/>
    <n v="2"/>
    <s v="Secondary"/>
    <x v="0"/>
    <n v="0"/>
    <n v="0"/>
    <n v="0"/>
    <x v="1"/>
    <n v="0"/>
    <x v="0"/>
    <n v="0"/>
    <n v="0"/>
    <n v="0"/>
    <n v="194"/>
    <n v="194"/>
    <x v="1"/>
    <n v="122.5"/>
    <n v="82"/>
    <n v="35.159999999999997"/>
    <n v="35.159999999999997"/>
    <x v="2"/>
    <n v="75"/>
    <n v="75"/>
    <n v="80"/>
    <n v="80"/>
    <x v="0"/>
    <x v="0"/>
  </r>
  <r>
    <n v="1"/>
    <x v="1"/>
    <n v="43"/>
    <x v="1"/>
    <n v="1"/>
    <n v="1"/>
    <s v="Primary"/>
    <x v="2"/>
    <n v="1"/>
    <n v="20"/>
    <n v="20"/>
    <x v="0"/>
    <n v="0"/>
    <x v="0"/>
    <n v="0"/>
    <n v="0"/>
    <n v="0"/>
    <n v="175"/>
    <n v="175"/>
    <x v="1"/>
    <n v="103"/>
    <n v="64.5"/>
    <n v="17.809999999999999"/>
    <n v="17.809999999999999"/>
    <x v="3"/>
    <n v="86"/>
    <n v="86"/>
    <n v="78"/>
    <n v="78"/>
    <x v="0"/>
    <x v="0"/>
  </r>
  <r>
    <n v="1"/>
    <x v="1"/>
    <n v="43"/>
    <x v="1"/>
    <n v="1"/>
    <n v="1"/>
    <s v="Primary"/>
    <x v="2"/>
    <n v="1"/>
    <n v="20"/>
    <n v="20"/>
    <x v="0"/>
    <n v="0"/>
    <x v="0"/>
    <n v="0"/>
    <n v="0"/>
    <n v="0"/>
    <n v="206"/>
    <n v="206"/>
    <x v="1"/>
    <n v="133.5"/>
    <n v="89.5"/>
    <n v="21.73"/>
    <n v="21.73"/>
    <x v="1"/>
    <n v="86"/>
    <n v="86"/>
    <n v="89"/>
    <n v="89"/>
    <x v="0"/>
    <x v="0"/>
  </r>
  <r>
    <n v="0"/>
    <x v="0"/>
    <n v="43"/>
    <x v="1"/>
    <n v="2"/>
    <n v="2"/>
    <s v="Secondary"/>
    <x v="0"/>
    <n v="1"/>
    <n v="15"/>
    <n v="15"/>
    <x v="0"/>
    <n v="0"/>
    <x v="0"/>
    <n v="0"/>
    <n v="0"/>
    <n v="0"/>
    <n v="230"/>
    <n v="230"/>
    <x v="1"/>
    <n v="118"/>
    <n v="70.5"/>
    <n v="26.24"/>
    <n v="26.24"/>
    <x v="0"/>
    <n v="100"/>
    <n v="100"/>
    <n v="67"/>
    <n v="67"/>
    <x v="0"/>
    <x v="0"/>
  </r>
  <r>
    <n v="1"/>
    <x v="1"/>
    <n v="43"/>
    <x v="1"/>
    <n v="4"/>
    <n v="4"/>
    <s v="Post Graduate"/>
    <x v="3"/>
    <n v="1"/>
    <n v="25"/>
    <n v="25"/>
    <x v="0"/>
    <n v="0"/>
    <x v="0"/>
    <n v="0"/>
    <n v="0"/>
    <n v="0"/>
    <n v="296"/>
    <n v="296"/>
    <x v="0"/>
    <n v="137"/>
    <n v="90"/>
    <n v="23.97"/>
    <n v="23.97"/>
    <x v="1"/>
    <n v="72"/>
    <n v="72"/>
    <n v="97"/>
    <n v="97"/>
    <x v="0"/>
    <x v="0"/>
  </r>
  <r>
    <n v="1"/>
    <x v="1"/>
    <n v="43"/>
    <x v="1"/>
    <n v="1"/>
    <n v="1"/>
    <s v="Primary"/>
    <x v="2"/>
    <n v="1"/>
    <n v="30"/>
    <n v="30"/>
    <x v="0"/>
    <n v="0"/>
    <x v="0"/>
    <n v="0"/>
    <n v="0"/>
    <n v="0"/>
    <n v="252"/>
    <n v="252"/>
    <x v="0"/>
    <n v="112"/>
    <n v="78"/>
    <n v="24.25"/>
    <n v="24.25"/>
    <x v="1"/>
    <n v="90"/>
    <n v="90"/>
    <n v="65"/>
    <n v="65"/>
    <x v="0"/>
    <x v="1"/>
  </r>
  <r>
    <n v="1"/>
    <x v="1"/>
    <n v="43"/>
    <x v="1"/>
    <n v="2"/>
    <n v="2"/>
    <s v="Secondary"/>
    <x v="0"/>
    <n v="0"/>
    <n v="0"/>
    <n v="0"/>
    <x v="1"/>
    <n v="0"/>
    <x v="0"/>
    <n v="0"/>
    <n v="0"/>
    <n v="0"/>
    <n v="206"/>
    <n v="206"/>
    <x v="1"/>
    <n v="107.5"/>
    <n v="73.5"/>
    <n v="24.17"/>
    <n v="24.17"/>
    <x v="1"/>
    <n v="60"/>
    <n v="60"/>
    <n v="71"/>
    <n v="71"/>
    <x v="0"/>
    <x v="1"/>
  </r>
  <r>
    <n v="0"/>
    <x v="0"/>
    <n v="43"/>
    <x v="1"/>
    <n v="3"/>
    <n v="3"/>
    <s v="Graduate"/>
    <x v="1"/>
    <n v="1"/>
    <n v="20"/>
    <n v="20"/>
    <x v="0"/>
    <n v="0"/>
    <x v="0"/>
    <n v="0"/>
    <n v="0"/>
    <n v="0"/>
    <n v="276"/>
    <n v="276"/>
    <x v="0"/>
    <n v="138"/>
    <n v="88"/>
    <n v="20.399999999999999"/>
    <n v="20.399999999999999"/>
    <x v="1"/>
    <n v="82"/>
    <n v="82"/>
    <n v="70"/>
    <n v="70"/>
    <x v="0"/>
    <x v="0"/>
  </r>
  <r>
    <n v="0"/>
    <x v="0"/>
    <n v="43"/>
    <x v="1"/>
    <n v="1"/>
    <n v="1"/>
    <s v="Primary"/>
    <x v="2"/>
    <n v="1"/>
    <n v="10"/>
    <n v="10"/>
    <x v="0"/>
    <n v="0"/>
    <x v="0"/>
    <n v="0"/>
    <n v="0"/>
    <n v="0"/>
    <n v="269"/>
    <n v="269"/>
    <x v="0"/>
    <n v="139"/>
    <n v="96"/>
    <n v="24.38"/>
    <n v="24.38"/>
    <x v="1"/>
    <n v="77"/>
    <n v="77"/>
    <n v="71"/>
    <n v="71"/>
    <x v="0"/>
    <x v="0"/>
  </r>
  <r>
    <n v="1"/>
    <x v="1"/>
    <n v="43"/>
    <x v="1"/>
    <n v="2"/>
    <n v="2"/>
    <s v="Secondary"/>
    <x v="0"/>
    <n v="0"/>
    <n v="0"/>
    <n v="0"/>
    <x v="1"/>
    <n v="0"/>
    <x v="0"/>
    <n v="0"/>
    <n v="1"/>
    <n v="0"/>
    <n v="177"/>
    <n v="177"/>
    <x v="1"/>
    <n v="147.5"/>
    <n v="92"/>
    <n v="24.81"/>
    <n v="24.81"/>
    <x v="1"/>
    <n v="64"/>
    <n v="64"/>
    <n v="90"/>
    <n v="90"/>
    <x v="0"/>
    <x v="0"/>
  </r>
  <r>
    <n v="0"/>
    <x v="0"/>
    <n v="43"/>
    <x v="1"/>
    <n v="4"/>
    <n v="4"/>
    <s v="Post Graduate"/>
    <x v="3"/>
    <n v="1"/>
    <n v="15"/>
    <n v="15"/>
    <x v="0"/>
    <n v="0"/>
    <x v="0"/>
    <n v="0"/>
    <n v="0"/>
    <n v="0"/>
    <n v="205"/>
    <n v="205"/>
    <x v="1"/>
    <n v="128.5"/>
    <n v="96"/>
    <n v="22.34"/>
    <n v="22.34"/>
    <x v="1"/>
    <n v="100"/>
    <n v="100"/>
    <s v="NA"/>
    <n v="81.96365524402907"/>
    <x v="0"/>
    <x v="0"/>
  </r>
  <r>
    <n v="1"/>
    <x v="1"/>
    <n v="43"/>
    <x v="1"/>
    <n v="2"/>
    <n v="2"/>
    <s v="Secondary"/>
    <x v="0"/>
    <n v="1"/>
    <n v="20"/>
    <n v="20"/>
    <x v="0"/>
    <n v="0"/>
    <x v="0"/>
    <n v="0"/>
    <n v="0"/>
    <n v="0"/>
    <n v="195"/>
    <n v="195"/>
    <x v="1"/>
    <n v="113"/>
    <n v="81"/>
    <n v="34.32"/>
    <n v="34.32"/>
    <x v="2"/>
    <n v="70"/>
    <n v="70"/>
    <n v="87"/>
    <n v="87"/>
    <x v="0"/>
    <x v="0"/>
  </r>
  <r>
    <n v="0"/>
    <x v="0"/>
    <n v="43"/>
    <x v="1"/>
    <n v="4"/>
    <n v="4"/>
    <s v="Post Graduate"/>
    <x v="3"/>
    <n v="1"/>
    <n v="9"/>
    <n v="9"/>
    <x v="0"/>
    <n v="0"/>
    <x v="0"/>
    <n v="0"/>
    <n v="0"/>
    <n v="0"/>
    <n v="207"/>
    <n v="207"/>
    <x v="1"/>
    <n v="95.5"/>
    <n v="70"/>
    <n v="19.78"/>
    <n v="19.78"/>
    <x v="1"/>
    <n v="93"/>
    <n v="93"/>
    <n v="79"/>
    <n v="79"/>
    <x v="0"/>
    <x v="0"/>
  </r>
  <r>
    <n v="1"/>
    <x v="1"/>
    <n v="43"/>
    <x v="1"/>
    <n v="3"/>
    <n v="3"/>
    <s v="Graduate"/>
    <x v="1"/>
    <n v="0"/>
    <n v="0"/>
    <n v="0"/>
    <x v="1"/>
    <n v="0"/>
    <x v="0"/>
    <n v="0"/>
    <n v="0"/>
    <n v="0"/>
    <n v="237"/>
    <n v="237"/>
    <x v="1"/>
    <n v="104"/>
    <n v="74"/>
    <n v="23.02"/>
    <n v="23.02"/>
    <x v="1"/>
    <n v="60"/>
    <n v="60"/>
    <n v="77"/>
    <n v="77"/>
    <x v="0"/>
    <x v="0"/>
  </r>
  <r>
    <n v="0"/>
    <x v="0"/>
    <n v="43"/>
    <x v="1"/>
    <n v="1"/>
    <n v="1"/>
    <s v="Primary"/>
    <x v="2"/>
    <n v="0"/>
    <n v="0"/>
    <n v="0"/>
    <x v="1"/>
    <n v="0"/>
    <x v="0"/>
    <n v="0"/>
    <n v="0"/>
    <n v="0"/>
    <n v="202"/>
    <n v="202"/>
    <x v="1"/>
    <n v="124"/>
    <n v="92"/>
    <n v="21.26"/>
    <n v="21.26"/>
    <x v="1"/>
    <n v="75"/>
    <n v="75"/>
    <n v="74"/>
    <n v="74"/>
    <x v="0"/>
    <x v="0"/>
  </r>
  <r>
    <n v="0"/>
    <x v="0"/>
    <n v="43"/>
    <x v="1"/>
    <n v="2"/>
    <n v="2"/>
    <s v="Secondary"/>
    <x v="0"/>
    <n v="1"/>
    <n v="15"/>
    <n v="15"/>
    <x v="0"/>
    <n v="0"/>
    <x v="0"/>
    <n v="0"/>
    <n v="0"/>
    <n v="0"/>
    <n v="300"/>
    <n v="300"/>
    <x v="0"/>
    <n v="120"/>
    <n v="78"/>
    <n v="28.18"/>
    <n v="28.18"/>
    <x v="0"/>
    <n v="75"/>
    <n v="75"/>
    <n v="106"/>
    <n v="106"/>
    <x v="0"/>
    <x v="1"/>
  </r>
  <r>
    <n v="0"/>
    <x v="0"/>
    <n v="43"/>
    <x v="1"/>
    <n v="1"/>
    <n v="1"/>
    <s v="Primary"/>
    <x v="2"/>
    <n v="1"/>
    <n v="20"/>
    <n v="20"/>
    <x v="0"/>
    <n v="0"/>
    <x v="0"/>
    <n v="0"/>
    <n v="0"/>
    <n v="0"/>
    <n v="200"/>
    <n v="200"/>
    <x v="1"/>
    <n v="115"/>
    <n v="80"/>
    <n v="26.66"/>
    <n v="26.66"/>
    <x v="0"/>
    <n v="60"/>
    <n v="60"/>
    <n v="81"/>
    <n v="81"/>
    <x v="0"/>
    <x v="0"/>
  </r>
  <r>
    <n v="0"/>
    <x v="0"/>
    <n v="43"/>
    <x v="1"/>
    <n v="3"/>
    <n v="3"/>
    <s v="Graduate"/>
    <x v="1"/>
    <n v="1"/>
    <n v="20"/>
    <n v="20"/>
    <x v="0"/>
    <n v="0"/>
    <x v="0"/>
    <n v="0"/>
    <n v="0"/>
    <n v="0"/>
    <n v="202"/>
    <n v="202"/>
    <x v="1"/>
    <n v="114"/>
    <n v="78"/>
    <n v="26.61"/>
    <n v="26.61"/>
    <x v="0"/>
    <n v="82"/>
    <n v="82"/>
    <n v="87"/>
    <n v="87"/>
    <x v="0"/>
    <x v="0"/>
  </r>
  <r>
    <n v="1"/>
    <x v="1"/>
    <n v="43"/>
    <x v="1"/>
    <n v="3"/>
    <n v="3"/>
    <s v="Graduate"/>
    <x v="1"/>
    <n v="0"/>
    <n v="0"/>
    <n v="0"/>
    <x v="1"/>
    <n v="0"/>
    <x v="0"/>
    <n v="0"/>
    <n v="0"/>
    <n v="0"/>
    <n v="199"/>
    <n v="199"/>
    <x v="1"/>
    <n v="124.5"/>
    <n v="84.5"/>
    <n v="24.45"/>
    <n v="24.45"/>
    <x v="1"/>
    <n v="74"/>
    <n v="74"/>
    <s v="NA"/>
    <n v="81.96365524402907"/>
    <x v="0"/>
    <x v="0"/>
  </r>
  <r>
    <n v="0"/>
    <x v="0"/>
    <n v="43"/>
    <x v="1"/>
    <n v="3"/>
    <n v="3"/>
    <s v="Graduate"/>
    <x v="1"/>
    <n v="1"/>
    <n v="5"/>
    <n v="5"/>
    <x v="0"/>
    <n v="0"/>
    <x v="0"/>
    <n v="0"/>
    <n v="0"/>
    <n v="0"/>
    <n v="214"/>
    <n v="214"/>
    <x v="1"/>
    <n v="121"/>
    <n v="84"/>
    <n v="24.68"/>
    <n v="24.68"/>
    <x v="1"/>
    <n v="80"/>
    <n v="80"/>
    <n v="74"/>
    <n v="74"/>
    <x v="0"/>
    <x v="0"/>
  </r>
  <r>
    <n v="1"/>
    <x v="1"/>
    <n v="43"/>
    <x v="1"/>
    <n v="2"/>
    <n v="2"/>
    <s v="Secondary"/>
    <x v="0"/>
    <n v="0"/>
    <n v="0"/>
    <n v="0"/>
    <x v="1"/>
    <n v="0"/>
    <x v="0"/>
    <n v="0"/>
    <n v="1"/>
    <n v="0"/>
    <n v="245"/>
    <n v="245"/>
    <x v="0"/>
    <n v="144.5"/>
    <n v="95"/>
    <n v="27.15"/>
    <n v="27.15"/>
    <x v="0"/>
    <n v="70"/>
    <n v="70"/>
    <n v="45"/>
    <n v="45"/>
    <x v="0"/>
    <x v="0"/>
  </r>
  <r>
    <n v="0"/>
    <x v="0"/>
    <n v="43"/>
    <x v="1"/>
    <n v="2"/>
    <n v="2"/>
    <s v="Secondary"/>
    <x v="0"/>
    <n v="0"/>
    <n v="0"/>
    <n v="0"/>
    <x v="1"/>
    <n v="0"/>
    <x v="0"/>
    <n v="0"/>
    <n v="0"/>
    <n v="0"/>
    <n v="232"/>
    <n v="232"/>
    <x v="1"/>
    <n v="127"/>
    <n v="79"/>
    <n v="30.79"/>
    <n v="30.79"/>
    <x v="2"/>
    <n v="75"/>
    <n v="75"/>
    <n v="54"/>
    <n v="54"/>
    <x v="0"/>
    <x v="0"/>
  </r>
  <r>
    <n v="1"/>
    <x v="1"/>
    <n v="43"/>
    <x v="1"/>
    <n v="3"/>
    <n v="3"/>
    <s v="Graduate"/>
    <x v="1"/>
    <n v="1"/>
    <n v="30"/>
    <n v="30"/>
    <x v="0"/>
    <n v="0"/>
    <x v="0"/>
    <n v="0"/>
    <n v="0"/>
    <n v="0"/>
    <n v="218"/>
    <n v="218"/>
    <x v="1"/>
    <n v="121"/>
    <n v="69"/>
    <n v="24.21"/>
    <n v="24.21"/>
    <x v="1"/>
    <n v="65"/>
    <n v="65"/>
    <n v="103"/>
    <n v="103"/>
    <x v="0"/>
    <x v="0"/>
  </r>
  <r>
    <n v="0"/>
    <x v="0"/>
    <n v="43"/>
    <x v="1"/>
    <n v="1"/>
    <n v="1"/>
    <s v="Primary"/>
    <x v="2"/>
    <n v="1"/>
    <n v="25"/>
    <n v="25"/>
    <x v="0"/>
    <n v="0"/>
    <x v="0"/>
    <n v="0"/>
    <n v="1"/>
    <n v="0"/>
    <n v="258"/>
    <n v="258"/>
    <x v="0"/>
    <n v="161.5"/>
    <n v="96"/>
    <n v="38.96"/>
    <n v="38.96"/>
    <x v="2"/>
    <n v="88"/>
    <n v="88"/>
    <n v="84"/>
    <n v="84"/>
    <x v="0"/>
    <x v="0"/>
  </r>
  <r>
    <n v="1"/>
    <x v="1"/>
    <n v="43"/>
    <x v="1"/>
    <n v="3"/>
    <n v="3"/>
    <s v="Graduate"/>
    <x v="1"/>
    <n v="1"/>
    <n v="10"/>
    <n v="10"/>
    <x v="0"/>
    <n v="0"/>
    <x v="0"/>
    <n v="0"/>
    <n v="0"/>
    <n v="0"/>
    <n v="285"/>
    <n v="285"/>
    <x v="0"/>
    <n v="100.5"/>
    <n v="66"/>
    <n v="22.05"/>
    <n v="22.05"/>
    <x v="1"/>
    <n v="65"/>
    <n v="65"/>
    <n v="75"/>
    <n v="75"/>
    <x v="0"/>
    <x v="0"/>
  </r>
  <r>
    <n v="1"/>
    <x v="1"/>
    <n v="43"/>
    <x v="1"/>
    <n v="1"/>
    <n v="1"/>
    <s v="Primary"/>
    <x v="2"/>
    <n v="1"/>
    <n v="15"/>
    <n v="15"/>
    <x v="0"/>
    <n v="0"/>
    <x v="0"/>
    <n v="0"/>
    <n v="0"/>
    <n v="0"/>
    <n v="175"/>
    <n v="175"/>
    <x v="1"/>
    <n v="125"/>
    <n v="76"/>
    <n v="24.92"/>
    <n v="24.92"/>
    <x v="1"/>
    <n v="80"/>
    <n v="80"/>
    <n v="95"/>
    <n v="95"/>
    <x v="0"/>
    <x v="0"/>
  </r>
  <r>
    <n v="0"/>
    <x v="0"/>
    <n v="43"/>
    <x v="1"/>
    <n v="4"/>
    <n v="4"/>
    <s v="Post Graduate"/>
    <x v="3"/>
    <n v="1"/>
    <n v="30"/>
    <n v="30"/>
    <x v="0"/>
    <n v="0"/>
    <x v="0"/>
    <n v="0"/>
    <n v="0"/>
    <n v="0"/>
    <n v="235"/>
    <n v="235"/>
    <x v="1"/>
    <n v="128.5"/>
    <n v="80"/>
    <n v="18.829999999999998"/>
    <n v="18.829999999999998"/>
    <x v="1"/>
    <n v="90"/>
    <n v="90"/>
    <n v="70"/>
    <n v="70"/>
    <x v="0"/>
    <x v="0"/>
  </r>
  <r>
    <n v="0"/>
    <x v="0"/>
    <n v="43"/>
    <x v="1"/>
    <n v="2"/>
    <n v="2"/>
    <s v="Secondary"/>
    <x v="0"/>
    <n v="1"/>
    <n v="20"/>
    <n v="20"/>
    <x v="0"/>
    <n v="0"/>
    <x v="0"/>
    <n v="0"/>
    <n v="0"/>
    <n v="0"/>
    <n v="291"/>
    <n v="291"/>
    <x v="0"/>
    <n v="106"/>
    <n v="65"/>
    <n v="23.83"/>
    <n v="23.83"/>
    <x v="1"/>
    <n v="68"/>
    <n v="68"/>
    <n v="82"/>
    <n v="82"/>
    <x v="0"/>
    <x v="0"/>
  </r>
  <r>
    <n v="0"/>
    <x v="0"/>
    <n v="43"/>
    <x v="1"/>
    <n v="2"/>
    <n v="2"/>
    <s v="Secondary"/>
    <x v="0"/>
    <n v="1"/>
    <n v="20"/>
    <n v="20"/>
    <x v="0"/>
    <n v="0"/>
    <x v="0"/>
    <n v="0"/>
    <n v="0"/>
    <n v="0"/>
    <n v="276"/>
    <n v="276"/>
    <x v="0"/>
    <n v="99"/>
    <n v="62"/>
    <n v="22.17"/>
    <n v="22.17"/>
    <x v="1"/>
    <n v="60"/>
    <n v="60"/>
    <n v="80"/>
    <n v="80"/>
    <x v="0"/>
    <x v="0"/>
  </r>
  <r>
    <n v="0"/>
    <x v="0"/>
    <n v="43"/>
    <x v="1"/>
    <n v="2"/>
    <n v="2"/>
    <s v="Secondary"/>
    <x v="0"/>
    <n v="1"/>
    <n v="20"/>
    <n v="20"/>
    <x v="0"/>
    <n v="0"/>
    <x v="0"/>
    <n v="0"/>
    <n v="1"/>
    <n v="0"/>
    <n v="286"/>
    <n v="286"/>
    <x v="0"/>
    <n v="164"/>
    <n v="89"/>
    <n v="24.44"/>
    <n v="24.44"/>
    <x v="1"/>
    <n v="75"/>
    <n v="75"/>
    <n v="87"/>
    <n v="87"/>
    <x v="0"/>
    <x v="0"/>
  </r>
  <r>
    <n v="0"/>
    <x v="0"/>
    <n v="43"/>
    <x v="1"/>
    <n v="1"/>
    <n v="1"/>
    <s v="Primary"/>
    <x v="2"/>
    <n v="0"/>
    <n v="0"/>
    <n v="0"/>
    <x v="1"/>
    <n v="0"/>
    <x v="0"/>
    <n v="0"/>
    <n v="1"/>
    <n v="0"/>
    <n v="210"/>
    <n v="210"/>
    <x v="1"/>
    <n v="138.5"/>
    <n v="95.5"/>
    <n v="23.09"/>
    <n v="23.09"/>
    <x v="1"/>
    <n v="75"/>
    <n v="75"/>
    <s v="NA"/>
    <n v="81.96365524402907"/>
    <x v="0"/>
    <x v="0"/>
  </r>
  <r>
    <n v="1"/>
    <x v="1"/>
    <n v="43"/>
    <x v="1"/>
    <n v="2"/>
    <n v="2"/>
    <s v="Secondary"/>
    <x v="0"/>
    <n v="1"/>
    <n v="20"/>
    <n v="20"/>
    <x v="0"/>
    <n v="0"/>
    <x v="0"/>
    <n v="0"/>
    <n v="1"/>
    <n v="0"/>
    <n v="192"/>
    <n v="192"/>
    <x v="1"/>
    <n v="143"/>
    <n v="88"/>
    <n v="27.94"/>
    <n v="27.94"/>
    <x v="0"/>
    <n v="75"/>
    <n v="75"/>
    <n v="79"/>
    <n v="79"/>
    <x v="0"/>
    <x v="0"/>
  </r>
  <r>
    <n v="0"/>
    <x v="0"/>
    <n v="43"/>
    <x v="1"/>
    <n v="2"/>
    <n v="2"/>
    <s v="Secondary"/>
    <x v="0"/>
    <n v="1"/>
    <n v="20"/>
    <n v="20"/>
    <x v="0"/>
    <n v="0"/>
    <x v="0"/>
    <n v="0"/>
    <n v="0"/>
    <n v="0"/>
    <n v="250"/>
    <n v="250"/>
    <x v="0"/>
    <n v="123"/>
    <n v="74"/>
    <n v="26.01"/>
    <n v="26.01"/>
    <x v="0"/>
    <n v="75"/>
    <n v="75"/>
    <n v="90"/>
    <n v="90"/>
    <x v="0"/>
    <x v="0"/>
  </r>
  <r>
    <n v="1"/>
    <x v="1"/>
    <n v="43"/>
    <x v="1"/>
    <n v="3"/>
    <n v="3"/>
    <s v="Graduate"/>
    <x v="1"/>
    <n v="1"/>
    <n v="20"/>
    <n v="20"/>
    <x v="0"/>
    <n v="0"/>
    <x v="0"/>
    <n v="0"/>
    <n v="0"/>
    <n v="0"/>
    <n v="240"/>
    <n v="240"/>
    <x v="1"/>
    <n v="147.5"/>
    <n v="88"/>
    <n v="25.6"/>
    <n v="25.6"/>
    <x v="0"/>
    <n v="65"/>
    <n v="65"/>
    <n v="113"/>
    <n v="113"/>
    <x v="0"/>
    <x v="0"/>
  </r>
  <r>
    <n v="1"/>
    <x v="1"/>
    <n v="43"/>
    <x v="1"/>
    <n v="1"/>
    <n v="1"/>
    <s v="Primary"/>
    <x v="2"/>
    <n v="1"/>
    <n v="40"/>
    <n v="40"/>
    <x v="0"/>
    <n v="0"/>
    <x v="0"/>
    <n v="0"/>
    <n v="1"/>
    <n v="0"/>
    <n v="212"/>
    <n v="212"/>
    <x v="1"/>
    <n v="135"/>
    <n v="86"/>
    <n v="30.22"/>
    <n v="30.22"/>
    <x v="2"/>
    <n v="100"/>
    <n v="100"/>
    <n v="75"/>
    <n v="75"/>
    <x v="0"/>
    <x v="0"/>
  </r>
  <r>
    <n v="1"/>
    <x v="1"/>
    <n v="43"/>
    <x v="1"/>
    <n v="2"/>
    <n v="2"/>
    <s v="Secondary"/>
    <x v="0"/>
    <n v="1"/>
    <n v="45"/>
    <n v="45"/>
    <x v="0"/>
    <n v="0"/>
    <x v="0"/>
    <n v="0"/>
    <n v="1"/>
    <n v="0"/>
    <n v="201"/>
    <n v="201"/>
    <x v="1"/>
    <n v="126"/>
    <n v="82"/>
    <n v="29.48"/>
    <n v="29.48"/>
    <x v="0"/>
    <n v="76"/>
    <n v="76"/>
    <n v="92"/>
    <n v="92"/>
    <x v="0"/>
    <x v="0"/>
  </r>
  <r>
    <n v="1"/>
    <x v="1"/>
    <n v="43"/>
    <x v="1"/>
    <n v="2"/>
    <n v="2"/>
    <s v="Secondary"/>
    <x v="0"/>
    <n v="0"/>
    <n v="0"/>
    <n v="0"/>
    <x v="1"/>
    <n v="0"/>
    <x v="0"/>
    <n v="0"/>
    <n v="0"/>
    <n v="0"/>
    <n v="210"/>
    <n v="210"/>
    <x v="1"/>
    <n v="127.5"/>
    <n v="82.5"/>
    <n v="27.94"/>
    <n v="27.94"/>
    <x v="0"/>
    <n v="78"/>
    <n v="78"/>
    <n v="80"/>
    <n v="80"/>
    <x v="0"/>
    <x v="0"/>
  </r>
  <r>
    <n v="1"/>
    <x v="1"/>
    <n v="43"/>
    <x v="1"/>
    <n v="2"/>
    <n v="2"/>
    <s v="Secondary"/>
    <x v="0"/>
    <n v="1"/>
    <n v="40"/>
    <n v="40"/>
    <x v="0"/>
    <n v="0"/>
    <x v="0"/>
    <n v="0"/>
    <n v="1"/>
    <n v="0"/>
    <n v="188"/>
    <n v="188"/>
    <x v="1"/>
    <n v="137"/>
    <n v="87"/>
    <n v="26.28"/>
    <n v="26.28"/>
    <x v="0"/>
    <n v="75"/>
    <n v="75"/>
    <n v="73"/>
    <n v="73"/>
    <x v="0"/>
    <x v="0"/>
  </r>
  <r>
    <n v="0"/>
    <x v="0"/>
    <n v="43"/>
    <x v="1"/>
    <n v="4"/>
    <n v="4"/>
    <s v="Post Graduate"/>
    <x v="3"/>
    <n v="0"/>
    <n v="0"/>
    <n v="0"/>
    <x v="1"/>
    <n v="0"/>
    <x v="0"/>
    <n v="0"/>
    <n v="0"/>
    <n v="0"/>
    <n v="223"/>
    <n v="223"/>
    <x v="1"/>
    <n v="100"/>
    <n v="70"/>
    <n v="22.73"/>
    <n v="22.73"/>
    <x v="1"/>
    <n v="63"/>
    <n v="63"/>
    <n v="68"/>
    <n v="68"/>
    <x v="0"/>
    <x v="0"/>
  </r>
  <r>
    <n v="0"/>
    <x v="0"/>
    <n v="43"/>
    <x v="1"/>
    <n v="2"/>
    <n v="2"/>
    <s v="Secondary"/>
    <x v="0"/>
    <n v="1"/>
    <n v="20"/>
    <n v="20"/>
    <x v="0"/>
    <n v="0"/>
    <x v="0"/>
    <n v="0"/>
    <n v="0"/>
    <n v="0"/>
    <n v="163"/>
    <n v="163"/>
    <x v="1"/>
    <n v="104.5"/>
    <n v="65"/>
    <n v="17.84"/>
    <n v="17.84"/>
    <x v="3"/>
    <n v="75"/>
    <n v="75"/>
    <n v="71"/>
    <n v="71"/>
    <x v="0"/>
    <x v="1"/>
  </r>
  <r>
    <n v="0"/>
    <x v="0"/>
    <n v="43"/>
    <x v="1"/>
    <n v="1"/>
    <n v="1"/>
    <s v="Primary"/>
    <x v="2"/>
    <n v="1"/>
    <n v="20"/>
    <n v="20"/>
    <x v="0"/>
    <n v="0"/>
    <x v="0"/>
    <n v="0"/>
    <n v="0"/>
    <n v="0"/>
    <n v="204"/>
    <n v="204"/>
    <x v="1"/>
    <n v="133"/>
    <n v="86.5"/>
    <n v="26.01"/>
    <n v="26.01"/>
    <x v="0"/>
    <n v="100"/>
    <n v="100"/>
    <n v="79"/>
    <n v="79"/>
    <x v="0"/>
    <x v="0"/>
  </r>
  <r>
    <n v="1"/>
    <x v="1"/>
    <n v="43"/>
    <x v="1"/>
    <n v="2"/>
    <n v="2"/>
    <s v="Secondary"/>
    <x v="0"/>
    <n v="0"/>
    <n v="0"/>
    <n v="0"/>
    <x v="1"/>
    <n v="0"/>
    <x v="0"/>
    <n v="0"/>
    <n v="0"/>
    <n v="0"/>
    <n v="200"/>
    <n v="200"/>
    <x v="1"/>
    <n v="141"/>
    <n v="89"/>
    <n v="26.59"/>
    <n v="26.59"/>
    <x v="0"/>
    <n v="80"/>
    <n v="80"/>
    <n v="105"/>
    <n v="105"/>
    <x v="0"/>
    <x v="0"/>
  </r>
  <r>
    <n v="1"/>
    <x v="1"/>
    <n v="43"/>
    <x v="1"/>
    <n v="4"/>
    <n v="4"/>
    <s v="Post Graduate"/>
    <x v="3"/>
    <n v="1"/>
    <n v="20"/>
    <n v="20"/>
    <x v="0"/>
    <n v="0"/>
    <x v="0"/>
    <n v="0"/>
    <n v="0"/>
    <n v="0"/>
    <n v="184"/>
    <n v="184"/>
    <x v="1"/>
    <n v="127.5"/>
    <n v="81"/>
    <n v="28.31"/>
    <n v="28.31"/>
    <x v="0"/>
    <n v="108"/>
    <n v="108"/>
    <n v="75"/>
    <n v="75"/>
    <x v="0"/>
    <x v="0"/>
  </r>
  <r>
    <n v="0"/>
    <x v="0"/>
    <n v="43"/>
    <x v="1"/>
    <n v="4"/>
    <n v="4"/>
    <s v="Post Graduate"/>
    <x v="3"/>
    <n v="1"/>
    <n v="10"/>
    <n v="10"/>
    <x v="0"/>
    <n v="0"/>
    <x v="0"/>
    <n v="0"/>
    <n v="0"/>
    <n v="0"/>
    <n v="214"/>
    <n v="214"/>
    <x v="1"/>
    <n v="133"/>
    <n v="86"/>
    <n v="22.72"/>
    <n v="22.72"/>
    <x v="1"/>
    <n v="74"/>
    <n v="74"/>
    <n v="77"/>
    <n v="77"/>
    <x v="0"/>
    <x v="0"/>
  </r>
  <r>
    <n v="0"/>
    <x v="0"/>
    <n v="43"/>
    <x v="1"/>
    <n v="2"/>
    <n v="2"/>
    <s v="Secondary"/>
    <x v="0"/>
    <n v="1"/>
    <n v="5"/>
    <n v="5"/>
    <x v="0"/>
    <n v="0"/>
    <x v="0"/>
    <n v="0"/>
    <n v="0"/>
    <n v="0"/>
    <n v="250"/>
    <n v="250"/>
    <x v="0"/>
    <n v="112.5"/>
    <n v="76.5"/>
    <n v="25.23"/>
    <n v="25.23"/>
    <x v="0"/>
    <n v="66"/>
    <n v="66"/>
    <n v="63"/>
    <n v="63"/>
    <x v="0"/>
    <x v="0"/>
  </r>
  <r>
    <n v="1"/>
    <x v="1"/>
    <n v="43"/>
    <x v="1"/>
    <n v="2"/>
    <n v="2"/>
    <s v="Secondary"/>
    <x v="0"/>
    <n v="1"/>
    <n v="43"/>
    <n v="43"/>
    <x v="0"/>
    <n v="0"/>
    <x v="0"/>
    <n v="0"/>
    <n v="0"/>
    <n v="0"/>
    <n v="240"/>
    <n v="240"/>
    <x v="1"/>
    <n v="126"/>
    <n v="79"/>
    <n v="21.38"/>
    <n v="21.38"/>
    <x v="1"/>
    <n v="88"/>
    <n v="88"/>
    <n v="40"/>
    <n v="40"/>
    <x v="0"/>
    <x v="0"/>
  </r>
  <r>
    <n v="0"/>
    <x v="0"/>
    <n v="43"/>
    <x v="1"/>
    <n v="1"/>
    <n v="1"/>
    <s v="Primary"/>
    <x v="2"/>
    <n v="1"/>
    <n v="15"/>
    <n v="15"/>
    <x v="0"/>
    <n v="0"/>
    <x v="0"/>
    <n v="0"/>
    <n v="0"/>
    <n v="0"/>
    <n v="179"/>
    <n v="179"/>
    <x v="1"/>
    <n v="101"/>
    <n v="68.5"/>
    <n v="19.829999999999998"/>
    <n v="19.829999999999998"/>
    <x v="1"/>
    <n v="79"/>
    <n v="79"/>
    <n v="76"/>
    <n v="76"/>
    <x v="0"/>
    <x v="0"/>
  </r>
  <r>
    <n v="1"/>
    <x v="1"/>
    <n v="43"/>
    <x v="1"/>
    <n v="1"/>
    <n v="1"/>
    <s v="Primary"/>
    <x v="2"/>
    <n v="1"/>
    <n v="30"/>
    <n v="30"/>
    <x v="0"/>
    <n v="0"/>
    <x v="0"/>
    <n v="0"/>
    <n v="1"/>
    <n v="0"/>
    <n v="310"/>
    <n v="310"/>
    <x v="0"/>
    <n v="140"/>
    <n v="92"/>
    <n v="26"/>
    <n v="26"/>
    <x v="0"/>
    <n v="90"/>
    <n v="90"/>
    <n v="88"/>
    <n v="88"/>
    <x v="0"/>
    <x v="0"/>
  </r>
  <r>
    <n v="1"/>
    <x v="1"/>
    <n v="43"/>
    <x v="1"/>
    <n v="2"/>
    <n v="2"/>
    <s v="Secondary"/>
    <x v="0"/>
    <n v="0"/>
    <n v="0"/>
    <n v="0"/>
    <x v="1"/>
    <n v="0"/>
    <x v="0"/>
    <n v="0"/>
    <n v="0"/>
    <n v="0"/>
    <n v="222"/>
    <n v="222"/>
    <x v="1"/>
    <n v="115"/>
    <n v="72.5"/>
    <n v="25.46"/>
    <n v="25.46"/>
    <x v="0"/>
    <n v="75"/>
    <n v="75"/>
    <n v="69"/>
    <n v="69"/>
    <x v="0"/>
    <x v="0"/>
  </r>
  <r>
    <n v="1"/>
    <x v="1"/>
    <n v="43"/>
    <x v="1"/>
    <n v="4"/>
    <n v="4"/>
    <s v="Post Graduate"/>
    <x v="3"/>
    <n v="1"/>
    <n v="20"/>
    <n v="20"/>
    <x v="0"/>
    <n v="0"/>
    <x v="0"/>
    <n v="0"/>
    <n v="0"/>
    <n v="0"/>
    <n v="198"/>
    <n v="198"/>
    <x v="1"/>
    <n v="116"/>
    <n v="74"/>
    <n v="23.99"/>
    <n v="23.99"/>
    <x v="1"/>
    <n v="75"/>
    <n v="75"/>
    <n v="78"/>
    <n v="78"/>
    <x v="0"/>
    <x v="0"/>
  </r>
  <r>
    <n v="1"/>
    <x v="1"/>
    <n v="43"/>
    <x v="1"/>
    <n v="4"/>
    <n v="4"/>
    <s v="Post Graduate"/>
    <x v="3"/>
    <n v="1"/>
    <n v="20"/>
    <n v="20"/>
    <x v="0"/>
    <n v="0"/>
    <x v="0"/>
    <n v="0"/>
    <n v="0"/>
    <n v="0"/>
    <n v="171"/>
    <n v="171"/>
    <x v="1"/>
    <n v="110"/>
    <n v="74.5"/>
    <n v="25.09"/>
    <n v="25.09"/>
    <x v="0"/>
    <n v="70"/>
    <n v="70"/>
    <n v="85"/>
    <n v="85"/>
    <x v="0"/>
    <x v="0"/>
  </r>
  <r>
    <n v="0"/>
    <x v="0"/>
    <n v="43"/>
    <x v="1"/>
    <n v="2"/>
    <n v="2"/>
    <s v="Secondary"/>
    <x v="0"/>
    <n v="1"/>
    <n v="30"/>
    <n v="30"/>
    <x v="0"/>
    <n v="0"/>
    <x v="0"/>
    <n v="0"/>
    <n v="0"/>
    <n v="0"/>
    <n v="199"/>
    <n v="199"/>
    <x v="1"/>
    <n v="104"/>
    <n v="79"/>
    <n v="20.12"/>
    <n v="20.12"/>
    <x v="1"/>
    <n v="72"/>
    <n v="72"/>
    <n v="64"/>
    <n v="64"/>
    <x v="0"/>
    <x v="0"/>
  </r>
  <r>
    <n v="1"/>
    <x v="1"/>
    <n v="43"/>
    <x v="1"/>
    <n v="2"/>
    <n v="2"/>
    <s v="Secondary"/>
    <x v="0"/>
    <n v="0"/>
    <n v="0"/>
    <n v="0"/>
    <x v="1"/>
    <n v="0"/>
    <x v="0"/>
    <n v="0"/>
    <n v="1"/>
    <n v="0"/>
    <n v="285"/>
    <n v="285"/>
    <x v="0"/>
    <n v="129"/>
    <n v="95"/>
    <n v="26.64"/>
    <n v="26.64"/>
    <x v="0"/>
    <n v="60"/>
    <n v="60"/>
    <n v="74"/>
    <n v="74"/>
    <x v="0"/>
    <x v="0"/>
  </r>
  <r>
    <n v="0"/>
    <x v="0"/>
    <n v="43"/>
    <x v="1"/>
    <n v="2"/>
    <n v="2"/>
    <s v="Secondary"/>
    <x v="0"/>
    <n v="1"/>
    <n v="15"/>
    <n v="15"/>
    <x v="0"/>
    <n v="0"/>
    <x v="0"/>
    <n v="0"/>
    <n v="0"/>
    <n v="0"/>
    <n v="190"/>
    <n v="190"/>
    <x v="1"/>
    <n v="103"/>
    <n v="67.5"/>
    <n v="24.08"/>
    <n v="24.08"/>
    <x v="1"/>
    <n v="89"/>
    <n v="89"/>
    <n v="69"/>
    <n v="69"/>
    <x v="0"/>
    <x v="0"/>
  </r>
  <r>
    <n v="1"/>
    <x v="1"/>
    <n v="43"/>
    <x v="1"/>
    <n v="4"/>
    <n v="4"/>
    <s v="Post Graduate"/>
    <x v="3"/>
    <n v="1"/>
    <n v="20"/>
    <n v="20"/>
    <x v="0"/>
    <n v="0"/>
    <x v="0"/>
    <n v="0"/>
    <n v="0"/>
    <n v="0"/>
    <n v="187"/>
    <n v="187"/>
    <x v="1"/>
    <n v="129.5"/>
    <n v="88"/>
    <n v="25.62"/>
    <n v="25.62"/>
    <x v="0"/>
    <n v="80"/>
    <n v="80"/>
    <n v="75"/>
    <n v="75"/>
    <x v="0"/>
    <x v="0"/>
  </r>
  <r>
    <n v="1"/>
    <x v="1"/>
    <n v="44"/>
    <x v="1"/>
    <n v="2"/>
    <n v="2"/>
    <s v="Secondary"/>
    <x v="0"/>
    <n v="1"/>
    <n v="30"/>
    <n v="30"/>
    <x v="0"/>
    <n v="0"/>
    <x v="0"/>
    <n v="0"/>
    <n v="1"/>
    <n v="0"/>
    <n v="270"/>
    <n v="270"/>
    <x v="0"/>
    <n v="137.5"/>
    <n v="90"/>
    <n v="21.96"/>
    <n v="21.96"/>
    <x v="1"/>
    <n v="75"/>
    <n v="75"/>
    <n v="83"/>
    <n v="83"/>
    <x v="0"/>
    <x v="0"/>
  </r>
  <r>
    <n v="1"/>
    <x v="1"/>
    <n v="44"/>
    <x v="1"/>
    <n v="2"/>
    <n v="2"/>
    <s v="Secondary"/>
    <x v="0"/>
    <n v="0"/>
    <n v="0"/>
    <n v="0"/>
    <x v="1"/>
    <n v="0"/>
    <x v="0"/>
    <n v="0"/>
    <n v="0"/>
    <n v="0"/>
    <n v="185"/>
    <n v="185"/>
    <x v="1"/>
    <n v="115"/>
    <n v="69"/>
    <n v="22.29"/>
    <n v="22.29"/>
    <x v="1"/>
    <n v="65"/>
    <n v="65"/>
    <n v="82"/>
    <n v="82"/>
    <x v="0"/>
    <x v="0"/>
  </r>
  <r>
    <n v="0"/>
    <x v="0"/>
    <n v="44"/>
    <x v="1"/>
    <n v="2"/>
    <n v="2"/>
    <s v="Secondary"/>
    <x v="0"/>
    <n v="1"/>
    <n v="10"/>
    <n v="10"/>
    <x v="0"/>
    <n v="0"/>
    <x v="0"/>
    <n v="0"/>
    <n v="0"/>
    <n v="0"/>
    <n v="221"/>
    <n v="221"/>
    <x v="1"/>
    <n v="110"/>
    <n v="76"/>
    <n v="22.16"/>
    <n v="22.16"/>
    <x v="1"/>
    <n v="64"/>
    <n v="64"/>
    <n v="83"/>
    <n v="83"/>
    <x v="0"/>
    <x v="1"/>
  </r>
  <r>
    <n v="0"/>
    <x v="0"/>
    <n v="44"/>
    <x v="1"/>
    <n v="1"/>
    <n v="1"/>
    <s v="Primary"/>
    <x v="2"/>
    <n v="0"/>
    <n v="0"/>
    <n v="0"/>
    <x v="1"/>
    <n v="0"/>
    <x v="0"/>
    <n v="0"/>
    <n v="0"/>
    <n v="0"/>
    <n v="202"/>
    <n v="202"/>
    <x v="1"/>
    <n v="155"/>
    <n v="85"/>
    <n v="24.04"/>
    <n v="24.04"/>
    <x v="1"/>
    <n v="83"/>
    <n v="83"/>
    <n v="68"/>
    <n v="68"/>
    <x v="0"/>
    <x v="0"/>
  </r>
  <r>
    <n v="0"/>
    <x v="0"/>
    <n v="44"/>
    <x v="1"/>
    <n v="3"/>
    <n v="3"/>
    <s v="Graduate"/>
    <x v="1"/>
    <n v="1"/>
    <n v="20"/>
    <n v="20"/>
    <x v="0"/>
    <s v="NA"/>
    <x v="0"/>
    <n v="0"/>
    <n v="0"/>
    <n v="0"/>
    <n v="213"/>
    <n v="213"/>
    <x v="1"/>
    <n v="115"/>
    <n v="72.5"/>
    <n v="21.16"/>
    <n v="21.16"/>
    <x v="1"/>
    <n v="80"/>
    <n v="80"/>
    <n v="89"/>
    <n v="89"/>
    <x v="1"/>
    <x v="0"/>
  </r>
  <r>
    <n v="1"/>
    <x v="1"/>
    <n v="44"/>
    <x v="1"/>
    <n v="2"/>
    <n v="2"/>
    <s v="Secondary"/>
    <x v="0"/>
    <n v="0"/>
    <n v="0"/>
    <n v="0"/>
    <x v="1"/>
    <n v="0"/>
    <x v="0"/>
    <n v="0"/>
    <n v="0"/>
    <n v="0"/>
    <n v="244"/>
    <n v="244"/>
    <x v="0"/>
    <n v="128"/>
    <n v="77"/>
    <n v="25.95"/>
    <n v="25.95"/>
    <x v="0"/>
    <n v="75"/>
    <n v="75"/>
    <n v="90"/>
    <n v="90"/>
    <x v="0"/>
    <x v="0"/>
  </r>
  <r>
    <n v="0"/>
    <x v="0"/>
    <n v="44"/>
    <x v="1"/>
    <n v="3"/>
    <n v="3"/>
    <s v="Graduate"/>
    <x v="1"/>
    <n v="0"/>
    <n v="0"/>
    <n v="0"/>
    <x v="1"/>
    <n v="0"/>
    <x v="0"/>
    <n v="0"/>
    <n v="0"/>
    <n v="0"/>
    <n v="270"/>
    <n v="270"/>
    <x v="0"/>
    <n v="131.5"/>
    <n v="76"/>
    <n v="22.19"/>
    <n v="22.19"/>
    <x v="1"/>
    <n v="68"/>
    <n v="68"/>
    <n v="113"/>
    <n v="113"/>
    <x v="0"/>
    <x v="0"/>
  </r>
  <r>
    <n v="1"/>
    <x v="1"/>
    <n v="44"/>
    <x v="1"/>
    <n v="3"/>
    <n v="3"/>
    <s v="Graduate"/>
    <x v="1"/>
    <n v="1"/>
    <n v="15"/>
    <n v="15"/>
    <x v="0"/>
    <n v="0"/>
    <x v="0"/>
    <n v="0"/>
    <n v="0"/>
    <n v="0"/>
    <n v="340"/>
    <n v="340"/>
    <x v="0"/>
    <n v="125"/>
    <n v="78"/>
    <n v="26.41"/>
    <n v="26.41"/>
    <x v="0"/>
    <n v="56"/>
    <n v="56"/>
    <n v="90"/>
    <n v="90"/>
    <x v="0"/>
    <x v="0"/>
  </r>
  <r>
    <n v="1"/>
    <x v="1"/>
    <n v="44"/>
    <x v="1"/>
    <n v="1"/>
    <n v="1"/>
    <s v="Primary"/>
    <x v="2"/>
    <n v="1"/>
    <n v="20"/>
    <n v="20"/>
    <x v="0"/>
    <n v="0"/>
    <x v="0"/>
    <n v="0"/>
    <n v="0"/>
    <n v="0"/>
    <n v="197"/>
    <n v="197"/>
    <x v="1"/>
    <n v="118"/>
    <n v="81"/>
    <n v="17.440000000000001"/>
    <n v="17.440000000000001"/>
    <x v="3"/>
    <n v="70"/>
    <n v="70"/>
    <n v="75"/>
    <n v="75"/>
    <x v="0"/>
    <x v="0"/>
  </r>
  <r>
    <n v="1"/>
    <x v="1"/>
    <n v="44"/>
    <x v="1"/>
    <n v="1"/>
    <n v="1"/>
    <s v="Primary"/>
    <x v="2"/>
    <n v="1"/>
    <n v="10"/>
    <n v="10"/>
    <x v="0"/>
    <n v="0"/>
    <x v="0"/>
    <n v="0"/>
    <n v="1"/>
    <n v="0"/>
    <n v="229"/>
    <n v="229"/>
    <x v="1"/>
    <n v="177.5"/>
    <n v="120"/>
    <n v="39.880000000000003"/>
    <n v="39.880000000000003"/>
    <x v="2"/>
    <n v="104"/>
    <n v="104"/>
    <n v="78"/>
    <n v="78"/>
    <x v="0"/>
    <x v="0"/>
  </r>
  <r>
    <n v="0"/>
    <x v="0"/>
    <n v="44"/>
    <x v="1"/>
    <n v="1"/>
    <n v="1"/>
    <s v="Primary"/>
    <x v="2"/>
    <n v="0"/>
    <n v="0"/>
    <n v="0"/>
    <x v="1"/>
    <n v="0"/>
    <x v="0"/>
    <n v="0"/>
    <n v="0"/>
    <n v="0"/>
    <n v="175"/>
    <n v="175"/>
    <x v="1"/>
    <n v="135"/>
    <n v="81"/>
    <n v="26.38"/>
    <n v="26.38"/>
    <x v="0"/>
    <n v="71"/>
    <n v="71"/>
    <s v="NA"/>
    <n v="81.96365524402907"/>
    <x v="0"/>
    <x v="0"/>
  </r>
  <r>
    <n v="1"/>
    <x v="1"/>
    <n v="44"/>
    <x v="1"/>
    <n v="1"/>
    <n v="1"/>
    <s v="Primary"/>
    <x v="2"/>
    <n v="0"/>
    <n v="0"/>
    <n v="0"/>
    <x v="1"/>
    <s v="NA"/>
    <x v="0"/>
    <n v="0"/>
    <n v="0"/>
    <n v="1"/>
    <n v="190"/>
    <n v="190"/>
    <x v="1"/>
    <n v="122"/>
    <n v="81"/>
    <n v="36.119999999999997"/>
    <n v="36.119999999999997"/>
    <x v="2"/>
    <n v="70"/>
    <n v="70"/>
    <n v="143"/>
    <n v="143"/>
    <x v="1"/>
    <x v="0"/>
  </r>
  <r>
    <n v="1"/>
    <x v="1"/>
    <n v="44"/>
    <x v="1"/>
    <n v="3"/>
    <n v="3"/>
    <s v="Graduate"/>
    <x v="1"/>
    <n v="0"/>
    <n v="0"/>
    <n v="0"/>
    <x v="1"/>
    <n v="0"/>
    <x v="0"/>
    <n v="0"/>
    <n v="0"/>
    <n v="0"/>
    <n v="243"/>
    <n v="243"/>
    <x v="0"/>
    <n v="146"/>
    <n v="91"/>
    <n v="26.72"/>
    <n v="26.72"/>
    <x v="0"/>
    <n v="80"/>
    <n v="80"/>
    <n v="104"/>
    <n v="104"/>
    <x v="0"/>
    <x v="0"/>
  </r>
  <r>
    <n v="0"/>
    <x v="0"/>
    <n v="44"/>
    <x v="1"/>
    <n v="1"/>
    <n v="1"/>
    <s v="Primary"/>
    <x v="2"/>
    <n v="0"/>
    <n v="0"/>
    <n v="0"/>
    <x v="1"/>
    <n v="0"/>
    <x v="0"/>
    <n v="0"/>
    <n v="0"/>
    <n v="0"/>
    <n v="173"/>
    <n v="173"/>
    <x v="1"/>
    <n v="136.5"/>
    <n v="77.5"/>
    <n v="26.62"/>
    <n v="26.62"/>
    <x v="0"/>
    <n v="66"/>
    <n v="66"/>
    <n v="72"/>
    <n v="72"/>
    <x v="0"/>
    <x v="0"/>
  </r>
  <r>
    <n v="0"/>
    <x v="0"/>
    <n v="44"/>
    <x v="1"/>
    <n v="3"/>
    <n v="3"/>
    <s v="Graduate"/>
    <x v="1"/>
    <n v="1"/>
    <n v="15"/>
    <n v="15"/>
    <x v="0"/>
    <n v="0"/>
    <x v="0"/>
    <n v="0"/>
    <n v="0"/>
    <n v="0"/>
    <n v="198"/>
    <n v="198"/>
    <x v="1"/>
    <n v="112"/>
    <n v="68"/>
    <n v="22.17"/>
    <n v="22.17"/>
    <x v="1"/>
    <n v="70"/>
    <n v="70"/>
    <s v="NA"/>
    <n v="81.96365524402907"/>
    <x v="0"/>
    <x v="0"/>
  </r>
  <r>
    <n v="0"/>
    <x v="0"/>
    <n v="44"/>
    <x v="1"/>
    <n v="2"/>
    <n v="2"/>
    <s v="Secondary"/>
    <x v="0"/>
    <n v="1"/>
    <n v="10"/>
    <n v="10"/>
    <x v="0"/>
    <n v="0"/>
    <x v="0"/>
    <n v="0"/>
    <n v="0"/>
    <n v="0"/>
    <n v="152"/>
    <n v="152"/>
    <x v="1"/>
    <n v="110"/>
    <n v="64"/>
    <n v="25.71"/>
    <n v="25.71"/>
    <x v="0"/>
    <n v="75"/>
    <n v="75"/>
    <n v="83"/>
    <n v="83"/>
    <x v="0"/>
    <x v="0"/>
  </r>
  <r>
    <n v="1"/>
    <x v="1"/>
    <n v="44"/>
    <x v="1"/>
    <n v="2"/>
    <n v="2"/>
    <s v="Secondary"/>
    <x v="0"/>
    <n v="1"/>
    <n v="20"/>
    <n v="20"/>
    <x v="0"/>
    <n v="0"/>
    <x v="0"/>
    <n v="0"/>
    <n v="1"/>
    <n v="0"/>
    <n v="319"/>
    <n v="319"/>
    <x v="0"/>
    <n v="158"/>
    <n v="90"/>
    <n v="29.15"/>
    <n v="29.15"/>
    <x v="0"/>
    <n v="89"/>
    <n v="89"/>
    <n v="100"/>
    <n v="100"/>
    <x v="0"/>
    <x v="1"/>
  </r>
  <r>
    <n v="0"/>
    <x v="0"/>
    <n v="44"/>
    <x v="1"/>
    <n v="1"/>
    <n v="1"/>
    <s v="Primary"/>
    <x v="2"/>
    <n v="1"/>
    <n v="5"/>
    <n v="5"/>
    <x v="0"/>
    <n v="0"/>
    <x v="0"/>
    <n v="0"/>
    <n v="1"/>
    <n v="0"/>
    <n v="181"/>
    <n v="181"/>
    <x v="1"/>
    <n v="150"/>
    <n v="101"/>
    <n v="23.74"/>
    <n v="23.74"/>
    <x v="1"/>
    <n v="95"/>
    <n v="95"/>
    <n v="86"/>
    <n v="86"/>
    <x v="0"/>
    <x v="0"/>
  </r>
  <r>
    <n v="1"/>
    <x v="1"/>
    <n v="44"/>
    <x v="1"/>
    <n v="1"/>
    <n v="1"/>
    <s v="Primary"/>
    <x v="2"/>
    <n v="1"/>
    <n v="20"/>
    <n v="20"/>
    <x v="0"/>
    <n v="0"/>
    <x v="0"/>
    <n v="0"/>
    <n v="0"/>
    <n v="0"/>
    <n v="277"/>
    <n v="277"/>
    <x v="0"/>
    <n v="114"/>
    <n v="81"/>
    <n v="27.51"/>
    <n v="27.51"/>
    <x v="0"/>
    <n v="62"/>
    <n v="62"/>
    <n v="76"/>
    <n v="76"/>
    <x v="0"/>
    <x v="0"/>
  </r>
  <r>
    <n v="0"/>
    <x v="0"/>
    <n v="44"/>
    <x v="1"/>
    <n v="3"/>
    <n v="3"/>
    <s v="Graduate"/>
    <x v="1"/>
    <n v="1"/>
    <n v="10"/>
    <n v="10"/>
    <x v="0"/>
    <n v="0"/>
    <x v="0"/>
    <n v="0"/>
    <n v="0"/>
    <n v="0"/>
    <n v="250"/>
    <n v="250"/>
    <x v="0"/>
    <n v="136.5"/>
    <n v="83.5"/>
    <n v="21.33"/>
    <n v="21.33"/>
    <x v="1"/>
    <n v="70"/>
    <n v="70"/>
    <n v="95"/>
    <n v="95"/>
    <x v="0"/>
    <x v="1"/>
  </r>
  <r>
    <n v="0"/>
    <x v="0"/>
    <n v="44"/>
    <x v="1"/>
    <n v="3"/>
    <n v="3"/>
    <s v="Graduate"/>
    <x v="1"/>
    <n v="1"/>
    <n v="15"/>
    <n v="15"/>
    <x v="0"/>
    <n v="0"/>
    <x v="0"/>
    <n v="0"/>
    <n v="0"/>
    <n v="0"/>
    <n v="242"/>
    <n v="242"/>
    <x v="0"/>
    <n v="135"/>
    <n v="89"/>
    <n v="23.29"/>
    <n v="23.29"/>
    <x v="1"/>
    <n v="70"/>
    <n v="70"/>
    <n v="77"/>
    <n v="77"/>
    <x v="0"/>
    <x v="0"/>
  </r>
  <r>
    <n v="1"/>
    <x v="1"/>
    <n v="44"/>
    <x v="1"/>
    <n v="1"/>
    <n v="1"/>
    <s v="Primary"/>
    <x v="2"/>
    <n v="0"/>
    <n v="0"/>
    <n v="0"/>
    <x v="1"/>
    <n v="0"/>
    <x v="0"/>
    <n v="0"/>
    <n v="0"/>
    <n v="0"/>
    <n v="198"/>
    <n v="198"/>
    <x v="1"/>
    <n v="119"/>
    <n v="82"/>
    <n v="28.04"/>
    <n v="28.04"/>
    <x v="0"/>
    <n v="75"/>
    <n v="75"/>
    <n v="66"/>
    <n v="66"/>
    <x v="0"/>
    <x v="0"/>
  </r>
  <r>
    <n v="1"/>
    <x v="1"/>
    <n v="44"/>
    <x v="1"/>
    <n v="2"/>
    <n v="2"/>
    <s v="Secondary"/>
    <x v="0"/>
    <n v="0"/>
    <n v="0"/>
    <n v="0"/>
    <x v="1"/>
    <n v="0"/>
    <x v="0"/>
    <n v="0"/>
    <n v="1"/>
    <n v="0"/>
    <n v="254"/>
    <n v="254"/>
    <x v="0"/>
    <n v="123"/>
    <n v="90"/>
    <n v="24.44"/>
    <n v="24.44"/>
    <x v="1"/>
    <n v="66"/>
    <n v="66"/>
    <n v="72"/>
    <n v="72"/>
    <x v="0"/>
    <x v="0"/>
  </r>
  <r>
    <n v="1"/>
    <x v="1"/>
    <n v="44"/>
    <x v="1"/>
    <n v="2"/>
    <n v="2"/>
    <s v="Secondary"/>
    <x v="0"/>
    <n v="1"/>
    <n v="20"/>
    <n v="20"/>
    <x v="0"/>
    <n v="0"/>
    <x v="0"/>
    <n v="0"/>
    <n v="0"/>
    <n v="0"/>
    <n v="157"/>
    <n v="157"/>
    <x v="1"/>
    <n v="108"/>
    <n v="70"/>
    <n v="20.56"/>
    <n v="20.56"/>
    <x v="1"/>
    <n v="60"/>
    <n v="60"/>
    <n v="82"/>
    <n v="82"/>
    <x v="0"/>
    <x v="0"/>
  </r>
  <r>
    <n v="1"/>
    <x v="1"/>
    <n v="44"/>
    <x v="1"/>
    <n v="1"/>
    <n v="1"/>
    <s v="Primary"/>
    <x v="2"/>
    <n v="1"/>
    <n v="40"/>
    <n v="40"/>
    <x v="0"/>
    <n v="0"/>
    <x v="0"/>
    <n v="0"/>
    <n v="0"/>
    <n v="0"/>
    <n v="200"/>
    <n v="200"/>
    <x v="1"/>
    <n v="120"/>
    <n v="80"/>
    <n v="31.44"/>
    <n v="31.44"/>
    <x v="2"/>
    <n v="68"/>
    <n v="68"/>
    <n v="74"/>
    <n v="74"/>
    <x v="0"/>
    <x v="0"/>
  </r>
  <r>
    <n v="1"/>
    <x v="1"/>
    <n v="44"/>
    <x v="1"/>
    <n v="1"/>
    <n v="1"/>
    <s v="Primary"/>
    <x v="2"/>
    <n v="1"/>
    <n v="30"/>
    <n v="30"/>
    <x v="0"/>
    <n v="0"/>
    <x v="0"/>
    <n v="0"/>
    <n v="0"/>
    <n v="0"/>
    <n v="334"/>
    <n v="334"/>
    <x v="0"/>
    <n v="131"/>
    <n v="74"/>
    <n v="28.82"/>
    <n v="28.82"/>
    <x v="0"/>
    <n v="80"/>
    <n v="80"/>
    <n v="77"/>
    <n v="77"/>
    <x v="0"/>
    <x v="1"/>
  </r>
  <r>
    <n v="1"/>
    <x v="1"/>
    <n v="44"/>
    <x v="1"/>
    <n v="2"/>
    <n v="2"/>
    <s v="Secondary"/>
    <x v="0"/>
    <n v="1"/>
    <n v="20"/>
    <n v="20"/>
    <x v="0"/>
    <n v="0"/>
    <x v="0"/>
    <n v="0"/>
    <n v="1"/>
    <n v="0"/>
    <n v="205"/>
    <n v="205"/>
    <x v="1"/>
    <n v="160"/>
    <n v="108"/>
    <n v="22.92"/>
    <n v="22.92"/>
    <x v="1"/>
    <n v="83"/>
    <n v="83"/>
    <n v="76"/>
    <n v="76"/>
    <x v="0"/>
    <x v="0"/>
  </r>
  <r>
    <n v="0"/>
    <x v="0"/>
    <n v="44"/>
    <x v="1"/>
    <n v="3"/>
    <n v="3"/>
    <s v="Graduate"/>
    <x v="1"/>
    <n v="1"/>
    <n v="9"/>
    <n v="9"/>
    <x v="0"/>
    <n v="0"/>
    <x v="0"/>
    <n v="0"/>
    <n v="0"/>
    <n v="0"/>
    <n v="226"/>
    <n v="226"/>
    <x v="1"/>
    <n v="114"/>
    <n v="83"/>
    <n v="24.16"/>
    <n v="24.16"/>
    <x v="1"/>
    <n v="80"/>
    <n v="80"/>
    <s v="NA"/>
    <n v="81.96365524402907"/>
    <x v="0"/>
    <x v="0"/>
  </r>
  <r>
    <n v="0"/>
    <x v="0"/>
    <n v="44"/>
    <x v="1"/>
    <n v="1"/>
    <n v="1"/>
    <s v="Primary"/>
    <x v="2"/>
    <n v="0"/>
    <n v="0"/>
    <n v="0"/>
    <x v="1"/>
    <n v="0"/>
    <x v="0"/>
    <n v="0"/>
    <n v="0"/>
    <n v="0"/>
    <n v="219"/>
    <n v="219"/>
    <x v="1"/>
    <n v="129"/>
    <n v="90"/>
    <n v="33.47"/>
    <n v="33.47"/>
    <x v="2"/>
    <n v="88"/>
    <n v="88"/>
    <n v="73"/>
    <n v="73"/>
    <x v="0"/>
    <x v="0"/>
  </r>
  <r>
    <n v="1"/>
    <x v="1"/>
    <n v="44"/>
    <x v="1"/>
    <n v="2"/>
    <n v="2"/>
    <s v="Secondary"/>
    <x v="0"/>
    <n v="1"/>
    <n v="20"/>
    <n v="20"/>
    <x v="0"/>
    <n v="0"/>
    <x v="0"/>
    <n v="0"/>
    <n v="0"/>
    <n v="0"/>
    <n v="225"/>
    <n v="225"/>
    <x v="1"/>
    <n v="128"/>
    <n v="82"/>
    <n v="26.79"/>
    <n v="26.79"/>
    <x v="0"/>
    <n v="82"/>
    <n v="82"/>
    <n v="85"/>
    <n v="85"/>
    <x v="0"/>
    <x v="0"/>
  </r>
  <r>
    <n v="1"/>
    <x v="1"/>
    <n v="44"/>
    <x v="1"/>
    <n v="2"/>
    <n v="2"/>
    <s v="Secondary"/>
    <x v="0"/>
    <n v="1"/>
    <n v="30"/>
    <n v="30"/>
    <x v="0"/>
    <n v="0"/>
    <x v="0"/>
    <n v="0"/>
    <n v="0"/>
    <n v="0"/>
    <n v="217"/>
    <n v="217"/>
    <x v="1"/>
    <n v="126"/>
    <n v="85"/>
    <n v="28.49"/>
    <n v="28.49"/>
    <x v="0"/>
    <n v="65"/>
    <n v="65"/>
    <n v="68"/>
    <n v="68"/>
    <x v="0"/>
    <x v="0"/>
  </r>
  <r>
    <n v="1"/>
    <x v="1"/>
    <n v="44"/>
    <x v="1"/>
    <n v="1"/>
    <n v="1"/>
    <s v="Primary"/>
    <x v="2"/>
    <n v="0"/>
    <n v="0"/>
    <n v="0"/>
    <x v="1"/>
    <n v="0"/>
    <x v="0"/>
    <n v="0"/>
    <n v="0"/>
    <n v="0"/>
    <n v="268"/>
    <n v="268"/>
    <x v="0"/>
    <n v="114"/>
    <n v="83"/>
    <n v="31.16"/>
    <n v="31.16"/>
    <x v="2"/>
    <n v="75"/>
    <n v="75"/>
    <n v="76"/>
    <n v="76"/>
    <x v="0"/>
    <x v="0"/>
  </r>
  <r>
    <n v="0"/>
    <x v="0"/>
    <n v="44"/>
    <x v="1"/>
    <n v="1"/>
    <n v="1"/>
    <s v="Primary"/>
    <x v="2"/>
    <n v="0"/>
    <n v="0"/>
    <n v="0"/>
    <x v="1"/>
    <n v="0"/>
    <x v="0"/>
    <n v="0"/>
    <n v="0"/>
    <n v="0"/>
    <n v="195"/>
    <n v="195"/>
    <x v="1"/>
    <n v="118"/>
    <n v="86"/>
    <n v="23.09"/>
    <n v="23.09"/>
    <x v="1"/>
    <n v="70"/>
    <n v="70"/>
    <n v="75"/>
    <n v="75"/>
    <x v="0"/>
    <x v="0"/>
  </r>
  <r>
    <n v="0"/>
    <x v="0"/>
    <n v="44"/>
    <x v="1"/>
    <n v="1"/>
    <n v="1"/>
    <s v="Primary"/>
    <x v="2"/>
    <n v="1"/>
    <n v="1"/>
    <n v="1"/>
    <x v="0"/>
    <n v="0"/>
    <x v="0"/>
    <n v="0"/>
    <n v="0"/>
    <n v="0"/>
    <n v="217"/>
    <n v="217"/>
    <x v="1"/>
    <n v="124.5"/>
    <n v="82"/>
    <n v="22.36"/>
    <n v="22.36"/>
    <x v="1"/>
    <n v="87"/>
    <n v="87"/>
    <n v="68"/>
    <n v="68"/>
    <x v="0"/>
    <x v="0"/>
  </r>
  <r>
    <n v="1"/>
    <x v="1"/>
    <n v="44"/>
    <x v="1"/>
    <n v="1"/>
    <n v="1"/>
    <s v="Primary"/>
    <x v="2"/>
    <n v="1"/>
    <n v="40"/>
    <n v="40"/>
    <x v="0"/>
    <n v="0"/>
    <x v="0"/>
    <n v="0"/>
    <n v="1"/>
    <n v="0"/>
    <n v="262"/>
    <n v="262"/>
    <x v="0"/>
    <n v="147"/>
    <n v="103"/>
    <n v="25.38"/>
    <n v="25.38"/>
    <x v="0"/>
    <n v="68"/>
    <n v="68"/>
    <s v="NA"/>
    <n v="81.96365524402907"/>
    <x v="0"/>
    <x v="0"/>
  </r>
  <r>
    <n v="0"/>
    <x v="0"/>
    <n v="44"/>
    <x v="1"/>
    <n v="2"/>
    <n v="2"/>
    <s v="Secondary"/>
    <x v="0"/>
    <n v="0"/>
    <n v="0"/>
    <n v="0"/>
    <x v="1"/>
    <n v="0"/>
    <x v="0"/>
    <n v="0"/>
    <n v="1"/>
    <n v="0"/>
    <n v="187"/>
    <n v="187"/>
    <x v="1"/>
    <n v="122"/>
    <n v="83"/>
    <n v="30.4"/>
    <n v="30.4"/>
    <x v="2"/>
    <n v="85"/>
    <n v="85"/>
    <n v="75"/>
    <n v="75"/>
    <x v="0"/>
    <x v="0"/>
  </r>
  <r>
    <n v="1"/>
    <x v="1"/>
    <n v="44"/>
    <x v="1"/>
    <n v="2"/>
    <n v="2"/>
    <s v="Secondary"/>
    <x v="0"/>
    <n v="0"/>
    <n v="0"/>
    <n v="0"/>
    <x v="1"/>
    <n v="0"/>
    <x v="0"/>
    <n v="0"/>
    <n v="0"/>
    <n v="0"/>
    <n v="169"/>
    <n v="169"/>
    <x v="1"/>
    <n v="116"/>
    <n v="62"/>
    <n v="19.440000000000001"/>
    <n v="19.440000000000001"/>
    <x v="1"/>
    <n v="53"/>
    <n v="53"/>
    <n v="87"/>
    <n v="87"/>
    <x v="0"/>
    <x v="0"/>
  </r>
  <r>
    <n v="1"/>
    <x v="1"/>
    <n v="44"/>
    <x v="1"/>
    <n v="1"/>
    <n v="1"/>
    <s v="Primary"/>
    <x v="2"/>
    <n v="0"/>
    <n v="0"/>
    <n v="0"/>
    <x v="1"/>
    <n v="0"/>
    <x v="0"/>
    <n v="0"/>
    <n v="0"/>
    <n v="0"/>
    <n v="271"/>
    <n v="271"/>
    <x v="0"/>
    <n v="132.5"/>
    <n v="90"/>
    <n v="24.06"/>
    <n v="24.06"/>
    <x v="1"/>
    <n v="94"/>
    <n v="94"/>
    <n v="95"/>
    <n v="95"/>
    <x v="0"/>
    <x v="0"/>
  </r>
  <r>
    <n v="1"/>
    <x v="1"/>
    <n v="44"/>
    <x v="1"/>
    <n v="4"/>
    <n v="4"/>
    <s v="Post Graduate"/>
    <x v="3"/>
    <n v="1"/>
    <n v="4"/>
    <n v="4"/>
    <x v="0"/>
    <n v="0"/>
    <x v="0"/>
    <n v="0"/>
    <n v="1"/>
    <n v="0"/>
    <n v="220"/>
    <n v="220"/>
    <x v="1"/>
    <n v="135"/>
    <n v="91"/>
    <n v="27.23"/>
    <n v="27.23"/>
    <x v="0"/>
    <n v="70"/>
    <n v="70"/>
    <n v="88"/>
    <n v="88"/>
    <x v="0"/>
    <x v="0"/>
  </r>
  <r>
    <n v="0"/>
    <x v="0"/>
    <n v="44"/>
    <x v="1"/>
    <n v="2"/>
    <n v="2"/>
    <s v="Secondary"/>
    <x v="0"/>
    <n v="0"/>
    <n v="0"/>
    <n v="0"/>
    <x v="1"/>
    <n v="0"/>
    <x v="0"/>
    <n v="0"/>
    <n v="0"/>
    <n v="0"/>
    <n v="210"/>
    <n v="210"/>
    <x v="1"/>
    <n v="138"/>
    <n v="92"/>
    <n v="23.13"/>
    <n v="23.13"/>
    <x v="1"/>
    <n v="70"/>
    <n v="70"/>
    <n v="92"/>
    <n v="92"/>
    <x v="0"/>
    <x v="0"/>
  </r>
  <r>
    <n v="0"/>
    <x v="0"/>
    <n v="44"/>
    <x v="1"/>
    <n v="2"/>
    <n v="2"/>
    <s v="Secondary"/>
    <x v="0"/>
    <n v="1"/>
    <n v="30"/>
    <n v="30"/>
    <x v="0"/>
    <n v="0"/>
    <x v="0"/>
    <n v="0"/>
    <n v="0"/>
    <n v="0"/>
    <n v="245"/>
    <n v="245"/>
    <x v="0"/>
    <n v="125"/>
    <n v="80.5"/>
    <n v="24.58"/>
    <n v="24.58"/>
    <x v="1"/>
    <n v="64"/>
    <n v="64"/>
    <n v="80"/>
    <n v="80"/>
    <x v="0"/>
    <x v="0"/>
  </r>
  <r>
    <n v="1"/>
    <x v="1"/>
    <n v="44"/>
    <x v="1"/>
    <n v="2"/>
    <n v="2"/>
    <s v="Secondary"/>
    <x v="0"/>
    <n v="1"/>
    <n v="35"/>
    <n v="35"/>
    <x v="0"/>
    <n v="0"/>
    <x v="0"/>
    <n v="0"/>
    <n v="1"/>
    <n v="0"/>
    <n v="217"/>
    <n v="217"/>
    <x v="1"/>
    <n v="144"/>
    <n v="99"/>
    <n v="25.16"/>
    <n v="25.16"/>
    <x v="0"/>
    <n v="68"/>
    <n v="68"/>
    <n v="60"/>
    <n v="60"/>
    <x v="0"/>
    <x v="0"/>
  </r>
  <r>
    <n v="1"/>
    <x v="1"/>
    <n v="44"/>
    <x v="1"/>
    <s v="NA"/>
    <n v="1"/>
    <s v="Primary"/>
    <x v="2"/>
    <n v="1"/>
    <n v="4"/>
    <n v="4"/>
    <x v="0"/>
    <n v="0"/>
    <x v="0"/>
    <n v="0"/>
    <n v="0"/>
    <n v="0"/>
    <n v="196"/>
    <n v="196"/>
    <x v="1"/>
    <n v="107"/>
    <n v="73"/>
    <n v="24.36"/>
    <n v="24.36"/>
    <x v="1"/>
    <n v="60"/>
    <n v="60"/>
    <n v="71"/>
    <n v="71"/>
    <x v="0"/>
    <x v="0"/>
  </r>
  <r>
    <n v="1"/>
    <x v="1"/>
    <n v="44"/>
    <x v="1"/>
    <n v="2"/>
    <n v="2"/>
    <s v="Secondary"/>
    <x v="0"/>
    <n v="0"/>
    <n v="0"/>
    <n v="0"/>
    <x v="1"/>
    <n v="0"/>
    <x v="0"/>
    <n v="0"/>
    <n v="1"/>
    <n v="0"/>
    <n v="248"/>
    <n v="248"/>
    <x v="0"/>
    <n v="174"/>
    <n v="110"/>
    <n v="31.74"/>
    <n v="31.74"/>
    <x v="2"/>
    <n v="75"/>
    <n v="75"/>
    <n v="100"/>
    <n v="100"/>
    <x v="0"/>
    <x v="0"/>
  </r>
  <r>
    <n v="1"/>
    <x v="1"/>
    <n v="44"/>
    <x v="1"/>
    <n v="1"/>
    <n v="1"/>
    <s v="Primary"/>
    <x v="2"/>
    <n v="1"/>
    <n v="30"/>
    <n v="30"/>
    <x v="0"/>
    <n v="0"/>
    <x v="0"/>
    <n v="0"/>
    <n v="1"/>
    <n v="0"/>
    <n v="230"/>
    <n v="230"/>
    <x v="1"/>
    <n v="128"/>
    <n v="87"/>
    <n v="26.02"/>
    <n v="26.02"/>
    <x v="0"/>
    <n v="70"/>
    <n v="70"/>
    <n v="73"/>
    <n v="73"/>
    <x v="0"/>
    <x v="0"/>
  </r>
  <r>
    <n v="1"/>
    <x v="1"/>
    <n v="44"/>
    <x v="1"/>
    <n v="1"/>
    <n v="1"/>
    <s v="Primary"/>
    <x v="2"/>
    <n v="1"/>
    <n v="20"/>
    <n v="20"/>
    <x v="0"/>
    <n v="0"/>
    <x v="0"/>
    <n v="0"/>
    <n v="0"/>
    <n v="0"/>
    <n v="214"/>
    <n v="214"/>
    <x v="1"/>
    <n v="128"/>
    <n v="94"/>
    <n v="23.51"/>
    <n v="23.51"/>
    <x v="1"/>
    <n v="72"/>
    <n v="72"/>
    <n v="66"/>
    <n v="66"/>
    <x v="0"/>
    <x v="0"/>
  </r>
  <r>
    <n v="0"/>
    <x v="0"/>
    <n v="44"/>
    <x v="1"/>
    <n v="4"/>
    <n v="4"/>
    <s v="Post Graduate"/>
    <x v="3"/>
    <n v="1"/>
    <n v="25"/>
    <n v="25"/>
    <x v="0"/>
    <n v="0"/>
    <x v="0"/>
    <n v="0"/>
    <n v="0"/>
    <n v="0"/>
    <n v="200"/>
    <n v="200"/>
    <x v="1"/>
    <n v="111"/>
    <n v="79"/>
    <n v="27.29"/>
    <n v="27.29"/>
    <x v="0"/>
    <n v="95"/>
    <n v="95"/>
    <n v="74"/>
    <n v="74"/>
    <x v="0"/>
    <x v="0"/>
  </r>
  <r>
    <n v="1"/>
    <x v="1"/>
    <n v="44"/>
    <x v="1"/>
    <n v="1"/>
    <n v="1"/>
    <s v="Primary"/>
    <x v="2"/>
    <n v="1"/>
    <n v="15"/>
    <n v="15"/>
    <x v="0"/>
    <n v="0"/>
    <x v="0"/>
    <n v="0"/>
    <n v="1"/>
    <n v="0"/>
    <n v="232"/>
    <n v="232"/>
    <x v="1"/>
    <n v="141"/>
    <n v="104"/>
    <n v="27.38"/>
    <n v="27.38"/>
    <x v="0"/>
    <n v="75"/>
    <n v="75"/>
    <s v="NA"/>
    <n v="81.96365524402907"/>
    <x v="0"/>
    <x v="1"/>
  </r>
  <r>
    <n v="1"/>
    <x v="1"/>
    <n v="44"/>
    <x v="1"/>
    <n v="1"/>
    <n v="1"/>
    <s v="Primary"/>
    <x v="2"/>
    <n v="1"/>
    <n v="10"/>
    <n v="10"/>
    <x v="0"/>
    <n v="0"/>
    <x v="0"/>
    <n v="0"/>
    <n v="0"/>
    <n v="0"/>
    <n v="220"/>
    <n v="220"/>
    <x v="1"/>
    <n v="105"/>
    <n v="70"/>
    <n v="21.01"/>
    <n v="21.01"/>
    <x v="1"/>
    <n v="58"/>
    <n v="58"/>
    <n v="68"/>
    <n v="68"/>
    <x v="0"/>
    <x v="0"/>
  </r>
  <r>
    <n v="1"/>
    <x v="1"/>
    <n v="44"/>
    <x v="1"/>
    <n v="3"/>
    <n v="3"/>
    <s v="Graduate"/>
    <x v="1"/>
    <n v="1"/>
    <n v="23"/>
    <n v="23"/>
    <x v="0"/>
    <n v="0"/>
    <x v="0"/>
    <n v="0"/>
    <n v="0"/>
    <n v="0"/>
    <n v="272"/>
    <n v="272"/>
    <x v="0"/>
    <n v="115"/>
    <n v="76"/>
    <n v="24.16"/>
    <n v="24.16"/>
    <x v="1"/>
    <n v="80"/>
    <n v="80"/>
    <n v="77"/>
    <n v="77"/>
    <x v="0"/>
    <x v="0"/>
  </r>
  <r>
    <n v="1"/>
    <x v="1"/>
    <n v="44"/>
    <x v="1"/>
    <n v="1"/>
    <n v="1"/>
    <s v="Primary"/>
    <x v="2"/>
    <n v="1"/>
    <n v="20"/>
    <n v="20"/>
    <x v="0"/>
    <n v="0"/>
    <x v="0"/>
    <n v="0"/>
    <n v="0"/>
    <n v="0"/>
    <n v="271"/>
    <n v="271"/>
    <x v="0"/>
    <n v="136"/>
    <n v="90"/>
    <n v="25.24"/>
    <n v="25.24"/>
    <x v="0"/>
    <n v="80"/>
    <n v="80"/>
    <n v="64"/>
    <n v="64"/>
    <x v="0"/>
    <x v="0"/>
  </r>
  <r>
    <n v="0"/>
    <x v="0"/>
    <n v="44"/>
    <x v="1"/>
    <n v="1"/>
    <n v="1"/>
    <s v="Primary"/>
    <x v="2"/>
    <n v="0"/>
    <n v="0"/>
    <n v="0"/>
    <x v="1"/>
    <n v="0"/>
    <x v="0"/>
    <n v="0"/>
    <n v="0"/>
    <n v="0"/>
    <n v="206"/>
    <n v="206"/>
    <x v="1"/>
    <n v="121"/>
    <n v="81"/>
    <n v="24.12"/>
    <n v="24.12"/>
    <x v="1"/>
    <n v="64"/>
    <n v="64"/>
    <n v="77"/>
    <n v="77"/>
    <x v="0"/>
    <x v="0"/>
  </r>
  <r>
    <n v="0"/>
    <x v="0"/>
    <n v="44"/>
    <x v="1"/>
    <n v="2"/>
    <n v="2"/>
    <s v="Secondary"/>
    <x v="0"/>
    <n v="0"/>
    <n v="0"/>
    <n v="0"/>
    <x v="1"/>
    <n v="0"/>
    <x v="0"/>
    <n v="0"/>
    <n v="1"/>
    <n v="0"/>
    <n v="169"/>
    <n v="169"/>
    <x v="1"/>
    <n v="179"/>
    <n v="107"/>
    <n v="44.55"/>
    <n v="44.55"/>
    <x v="2"/>
    <n v="70"/>
    <n v="70"/>
    <n v="77"/>
    <n v="77"/>
    <x v="0"/>
    <x v="0"/>
  </r>
  <r>
    <n v="1"/>
    <x v="1"/>
    <n v="44"/>
    <x v="1"/>
    <n v="2"/>
    <n v="2"/>
    <s v="Secondary"/>
    <x v="0"/>
    <n v="1"/>
    <n v="20"/>
    <n v="20"/>
    <x v="0"/>
    <n v="0"/>
    <x v="0"/>
    <n v="0"/>
    <n v="1"/>
    <n v="0"/>
    <n v="264"/>
    <n v="264"/>
    <x v="0"/>
    <n v="138"/>
    <n v="92"/>
    <n v="28.32"/>
    <n v="28.32"/>
    <x v="0"/>
    <n v="63"/>
    <n v="63"/>
    <n v="67"/>
    <n v="67"/>
    <x v="0"/>
    <x v="0"/>
  </r>
  <r>
    <n v="0"/>
    <x v="0"/>
    <n v="44"/>
    <x v="1"/>
    <n v="1"/>
    <n v="1"/>
    <s v="Primary"/>
    <x v="2"/>
    <n v="1"/>
    <n v="9"/>
    <n v="9"/>
    <x v="0"/>
    <n v="0"/>
    <x v="0"/>
    <n v="0"/>
    <n v="0"/>
    <n v="0"/>
    <n v="185"/>
    <n v="185"/>
    <x v="1"/>
    <n v="133"/>
    <n v="69"/>
    <n v="22.34"/>
    <n v="22.34"/>
    <x v="1"/>
    <n v="70"/>
    <n v="70"/>
    <n v="76"/>
    <n v="76"/>
    <x v="0"/>
    <x v="0"/>
  </r>
  <r>
    <n v="1"/>
    <x v="1"/>
    <n v="44"/>
    <x v="1"/>
    <n v="2"/>
    <n v="2"/>
    <s v="Secondary"/>
    <x v="0"/>
    <n v="0"/>
    <n v="0"/>
    <n v="0"/>
    <x v="1"/>
    <n v="0"/>
    <x v="0"/>
    <n v="0"/>
    <n v="0"/>
    <n v="0"/>
    <n v="286"/>
    <n v="286"/>
    <x v="0"/>
    <n v="112.5"/>
    <n v="72.5"/>
    <n v="24.72"/>
    <n v="24.72"/>
    <x v="1"/>
    <n v="85"/>
    <n v="85"/>
    <n v="76"/>
    <n v="76"/>
    <x v="0"/>
    <x v="0"/>
  </r>
  <r>
    <n v="0"/>
    <x v="0"/>
    <n v="44"/>
    <x v="1"/>
    <n v="1"/>
    <n v="1"/>
    <s v="Primary"/>
    <x v="2"/>
    <n v="0"/>
    <n v="0"/>
    <n v="0"/>
    <x v="1"/>
    <n v="0"/>
    <x v="0"/>
    <n v="0"/>
    <n v="0"/>
    <n v="0"/>
    <n v="197"/>
    <n v="197"/>
    <x v="1"/>
    <n v="125.5"/>
    <n v="82.5"/>
    <n v="25.13"/>
    <n v="25.13"/>
    <x v="0"/>
    <n v="79"/>
    <n v="79"/>
    <n v="50"/>
    <n v="50"/>
    <x v="0"/>
    <x v="0"/>
  </r>
  <r>
    <n v="1"/>
    <x v="1"/>
    <n v="44"/>
    <x v="1"/>
    <n v="4"/>
    <n v="4"/>
    <s v="Post Graduate"/>
    <x v="3"/>
    <n v="0"/>
    <n v="0"/>
    <n v="0"/>
    <x v="1"/>
    <n v="0"/>
    <x v="0"/>
    <n v="0"/>
    <n v="0"/>
    <n v="0"/>
    <n v="211"/>
    <n v="211"/>
    <x v="1"/>
    <n v="130"/>
    <n v="85.5"/>
    <n v="26.98"/>
    <n v="26.98"/>
    <x v="0"/>
    <n v="60"/>
    <n v="60"/>
    <n v="82"/>
    <n v="82"/>
    <x v="0"/>
    <x v="0"/>
  </r>
  <r>
    <n v="0"/>
    <x v="0"/>
    <n v="44"/>
    <x v="1"/>
    <n v="1"/>
    <n v="1"/>
    <s v="Primary"/>
    <x v="2"/>
    <n v="1"/>
    <n v="20"/>
    <n v="20"/>
    <x v="0"/>
    <n v="0"/>
    <x v="0"/>
    <n v="0"/>
    <n v="0"/>
    <n v="0"/>
    <n v="173"/>
    <n v="173"/>
    <x v="1"/>
    <n v="121.5"/>
    <n v="69"/>
    <n v="23.72"/>
    <n v="23.72"/>
    <x v="1"/>
    <n v="75"/>
    <n v="75"/>
    <n v="77"/>
    <n v="77"/>
    <x v="0"/>
    <x v="0"/>
  </r>
  <r>
    <n v="0"/>
    <x v="0"/>
    <n v="44"/>
    <x v="1"/>
    <n v="3"/>
    <n v="3"/>
    <s v="Graduate"/>
    <x v="1"/>
    <n v="1"/>
    <n v="20"/>
    <n v="20"/>
    <x v="0"/>
    <n v="0"/>
    <x v="0"/>
    <n v="0"/>
    <n v="0"/>
    <n v="0"/>
    <n v="240"/>
    <n v="240"/>
    <x v="1"/>
    <n v="109"/>
    <n v="71"/>
    <n v="23.75"/>
    <n v="23.75"/>
    <x v="1"/>
    <n v="70"/>
    <n v="70"/>
    <n v="83"/>
    <n v="83"/>
    <x v="0"/>
    <x v="0"/>
  </r>
  <r>
    <n v="1"/>
    <x v="1"/>
    <n v="44"/>
    <x v="1"/>
    <s v="NA"/>
    <n v="1"/>
    <s v="Primary"/>
    <x v="2"/>
    <n v="1"/>
    <n v="40"/>
    <n v="40"/>
    <x v="0"/>
    <n v="0"/>
    <x v="0"/>
    <n v="0"/>
    <n v="1"/>
    <n v="0"/>
    <n v="312"/>
    <n v="312"/>
    <x v="0"/>
    <n v="157"/>
    <n v="97"/>
    <n v="29.91"/>
    <n v="29.91"/>
    <x v="0"/>
    <n v="85"/>
    <n v="85"/>
    <n v="74"/>
    <n v="74"/>
    <x v="0"/>
    <x v="1"/>
  </r>
  <r>
    <n v="1"/>
    <x v="1"/>
    <n v="44"/>
    <x v="1"/>
    <n v="1"/>
    <n v="1"/>
    <s v="Primary"/>
    <x v="2"/>
    <n v="1"/>
    <n v="40"/>
    <n v="40"/>
    <x v="0"/>
    <n v="0"/>
    <x v="0"/>
    <n v="0"/>
    <n v="0"/>
    <n v="0"/>
    <n v="227"/>
    <n v="227"/>
    <x v="1"/>
    <n v="146.5"/>
    <n v="97"/>
    <n v="26.92"/>
    <n v="26.92"/>
    <x v="0"/>
    <n v="80"/>
    <n v="80"/>
    <n v="67"/>
    <n v="67"/>
    <x v="0"/>
    <x v="0"/>
  </r>
  <r>
    <n v="0"/>
    <x v="0"/>
    <n v="44"/>
    <x v="1"/>
    <n v="1"/>
    <n v="1"/>
    <s v="Primary"/>
    <x v="2"/>
    <n v="0"/>
    <n v="0"/>
    <n v="0"/>
    <x v="1"/>
    <n v="0"/>
    <x v="0"/>
    <n v="0"/>
    <n v="0"/>
    <n v="0"/>
    <n v="212"/>
    <n v="212"/>
    <x v="1"/>
    <n v="132"/>
    <n v="82"/>
    <n v="28.72"/>
    <n v="28.72"/>
    <x v="0"/>
    <n v="75"/>
    <n v="75"/>
    <n v="73"/>
    <n v="73"/>
    <x v="0"/>
    <x v="0"/>
  </r>
  <r>
    <n v="1"/>
    <x v="1"/>
    <n v="44"/>
    <x v="1"/>
    <n v="2"/>
    <n v="2"/>
    <s v="Secondary"/>
    <x v="0"/>
    <n v="0"/>
    <n v="0"/>
    <n v="0"/>
    <x v="1"/>
    <n v="1"/>
    <x v="1"/>
    <n v="0"/>
    <n v="1"/>
    <n v="0"/>
    <n v="228"/>
    <n v="228"/>
    <x v="1"/>
    <n v="178"/>
    <n v="123"/>
    <n v="31.55"/>
    <n v="31.55"/>
    <x v="2"/>
    <n v="78"/>
    <n v="78"/>
    <s v="NA"/>
    <n v="81.96365524402907"/>
    <x v="0"/>
    <x v="0"/>
  </r>
  <r>
    <n v="1"/>
    <x v="1"/>
    <n v="44"/>
    <x v="1"/>
    <n v="1"/>
    <n v="1"/>
    <s v="Primary"/>
    <x v="2"/>
    <n v="1"/>
    <n v="40"/>
    <n v="40"/>
    <x v="0"/>
    <n v="0"/>
    <x v="0"/>
    <n v="0"/>
    <n v="1"/>
    <n v="0"/>
    <n v="201"/>
    <n v="201"/>
    <x v="1"/>
    <n v="142.5"/>
    <n v="104.5"/>
    <n v="34.590000000000003"/>
    <n v="34.590000000000003"/>
    <x v="2"/>
    <n v="67"/>
    <n v="67"/>
    <n v="67"/>
    <n v="67"/>
    <x v="0"/>
    <x v="0"/>
  </r>
  <r>
    <n v="0"/>
    <x v="0"/>
    <n v="44"/>
    <x v="1"/>
    <n v="1"/>
    <n v="1"/>
    <s v="Primary"/>
    <x v="2"/>
    <n v="0"/>
    <n v="0"/>
    <n v="0"/>
    <x v="1"/>
    <n v="0"/>
    <x v="0"/>
    <n v="0"/>
    <n v="0"/>
    <n v="0"/>
    <n v="229"/>
    <n v="229"/>
    <x v="1"/>
    <n v="119"/>
    <n v="75.5"/>
    <n v="25.09"/>
    <n v="25.09"/>
    <x v="0"/>
    <n v="70"/>
    <n v="70"/>
    <n v="88"/>
    <n v="88"/>
    <x v="0"/>
    <x v="1"/>
  </r>
  <r>
    <n v="0"/>
    <x v="0"/>
    <n v="44"/>
    <x v="1"/>
    <n v="3"/>
    <n v="3"/>
    <s v="Graduate"/>
    <x v="1"/>
    <n v="1"/>
    <n v="20"/>
    <n v="20"/>
    <x v="0"/>
    <n v="0"/>
    <x v="0"/>
    <n v="0"/>
    <n v="0"/>
    <n v="0"/>
    <n v="245"/>
    <n v="245"/>
    <x v="0"/>
    <n v="95"/>
    <n v="50"/>
    <n v="21.65"/>
    <n v="21.65"/>
    <x v="1"/>
    <n v="82"/>
    <n v="82"/>
    <s v="NA"/>
    <n v="81.96365524402907"/>
    <x v="0"/>
    <x v="0"/>
  </r>
  <r>
    <n v="0"/>
    <x v="0"/>
    <n v="44"/>
    <x v="1"/>
    <n v="2"/>
    <n v="2"/>
    <s v="Secondary"/>
    <x v="0"/>
    <n v="1"/>
    <n v="20"/>
    <n v="20"/>
    <x v="0"/>
    <n v="0"/>
    <x v="0"/>
    <n v="0"/>
    <n v="0"/>
    <n v="0"/>
    <n v="243"/>
    <n v="243"/>
    <x v="0"/>
    <n v="129"/>
    <n v="88"/>
    <n v="30.85"/>
    <n v="30.85"/>
    <x v="2"/>
    <n v="90"/>
    <n v="90"/>
    <n v="83"/>
    <n v="83"/>
    <x v="0"/>
    <x v="0"/>
  </r>
  <r>
    <n v="1"/>
    <x v="1"/>
    <n v="44"/>
    <x v="1"/>
    <n v="4"/>
    <n v="4"/>
    <s v="Post Graduate"/>
    <x v="3"/>
    <n v="1"/>
    <n v="35"/>
    <n v="35"/>
    <x v="0"/>
    <n v="0"/>
    <x v="0"/>
    <n v="0"/>
    <n v="1"/>
    <n v="0"/>
    <n v="198"/>
    <n v="198"/>
    <x v="1"/>
    <n v="143.5"/>
    <n v="90"/>
    <n v="27.99"/>
    <n v="27.99"/>
    <x v="0"/>
    <n v="50"/>
    <n v="50"/>
    <s v="NA"/>
    <n v="81.96365524402907"/>
    <x v="0"/>
    <x v="1"/>
  </r>
  <r>
    <n v="1"/>
    <x v="1"/>
    <n v="44"/>
    <x v="1"/>
    <n v="1"/>
    <n v="1"/>
    <s v="Primary"/>
    <x v="2"/>
    <n v="1"/>
    <n v="20"/>
    <n v="20"/>
    <x v="0"/>
    <n v="0"/>
    <x v="0"/>
    <n v="0"/>
    <n v="0"/>
    <n v="0"/>
    <n v="260"/>
    <n v="260"/>
    <x v="0"/>
    <n v="134"/>
    <n v="80"/>
    <n v="22.25"/>
    <n v="22.25"/>
    <x v="1"/>
    <n v="87"/>
    <n v="87"/>
    <n v="81"/>
    <n v="81"/>
    <x v="0"/>
    <x v="0"/>
  </r>
  <r>
    <n v="0"/>
    <x v="0"/>
    <n v="44"/>
    <x v="1"/>
    <n v="1"/>
    <n v="1"/>
    <s v="Primary"/>
    <x v="2"/>
    <n v="0"/>
    <n v="0"/>
    <n v="0"/>
    <x v="1"/>
    <n v="0"/>
    <x v="0"/>
    <n v="0"/>
    <n v="0"/>
    <n v="0"/>
    <n v="192"/>
    <n v="192"/>
    <x v="1"/>
    <n v="112"/>
    <n v="62"/>
    <n v="30.47"/>
    <n v="30.47"/>
    <x v="2"/>
    <n v="75"/>
    <n v="75"/>
    <n v="82"/>
    <n v="82"/>
    <x v="0"/>
    <x v="0"/>
  </r>
  <r>
    <n v="1"/>
    <x v="1"/>
    <n v="44"/>
    <x v="1"/>
    <n v="1"/>
    <n v="1"/>
    <s v="Primary"/>
    <x v="2"/>
    <n v="0"/>
    <n v="0"/>
    <n v="0"/>
    <x v="1"/>
    <n v="0"/>
    <x v="0"/>
    <n v="0"/>
    <n v="0"/>
    <n v="0"/>
    <n v="273"/>
    <n v="273"/>
    <x v="0"/>
    <n v="120"/>
    <n v="80"/>
    <n v="29.89"/>
    <n v="29.89"/>
    <x v="0"/>
    <n v="76"/>
    <n v="76"/>
    <n v="87"/>
    <n v="87"/>
    <x v="0"/>
    <x v="0"/>
  </r>
  <r>
    <n v="1"/>
    <x v="1"/>
    <n v="44"/>
    <x v="1"/>
    <n v="1"/>
    <n v="1"/>
    <s v="Primary"/>
    <x v="2"/>
    <n v="1"/>
    <n v="20"/>
    <n v="20"/>
    <x v="0"/>
    <n v="0"/>
    <x v="0"/>
    <n v="0"/>
    <n v="0"/>
    <n v="0"/>
    <n v="163"/>
    <n v="163"/>
    <x v="1"/>
    <n v="105"/>
    <n v="72.5"/>
    <n v="21.02"/>
    <n v="21.02"/>
    <x v="1"/>
    <n v="67"/>
    <n v="67"/>
    <n v="62"/>
    <n v="62"/>
    <x v="0"/>
    <x v="0"/>
  </r>
  <r>
    <n v="0"/>
    <x v="0"/>
    <n v="44"/>
    <x v="1"/>
    <n v="1"/>
    <n v="1"/>
    <s v="Primary"/>
    <x v="2"/>
    <n v="0"/>
    <n v="0"/>
    <n v="0"/>
    <x v="1"/>
    <n v="0"/>
    <x v="0"/>
    <n v="0"/>
    <n v="0"/>
    <n v="0"/>
    <n v="240"/>
    <n v="240"/>
    <x v="1"/>
    <n v="127.5"/>
    <n v="87"/>
    <n v="22.19"/>
    <n v="22.19"/>
    <x v="1"/>
    <n v="60"/>
    <n v="60"/>
    <s v="NA"/>
    <n v="81.96365524402907"/>
    <x v="0"/>
    <x v="0"/>
  </r>
  <r>
    <n v="0"/>
    <x v="0"/>
    <n v="44"/>
    <x v="1"/>
    <n v="4"/>
    <n v="4"/>
    <s v="Post Graduate"/>
    <x v="3"/>
    <n v="1"/>
    <n v="5"/>
    <n v="5"/>
    <x v="0"/>
    <n v="0"/>
    <x v="0"/>
    <n v="0"/>
    <n v="0"/>
    <n v="0"/>
    <n v="265"/>
    <n v="265"/>
    <x v="0"/>
    <n v="110"/>
    <n v="78"/>
    <n v="20.88"/>
    <n v="20.88"/>
    <x v="1"/>
    <n v="60"/>
    <n v="60"/>
    <n v="68"/>
    <n v="68"/>
    <x v="0"/>
    <x v="0"/>
  </r>
  <r>
    <n v="1"/>
    <x v="1"/>
    <n v="44"/>
    <x v="1"/>
    <n v="4"/>
    <n v="4"/>
    <s v="Post Graduate"/>
    <x v="3"/>
    <n v="0"/>
    <n v="0"/>
    <n v="0"/>
    <x v="1"/>
    <n v="0"/>
    <x v="0"/>
    <n v="0"/>
    <n v="1"/>
    <n v="0"/>
    <n v="249"/>
    <n v="249"/>
    <x v="0"/>
    <n v="182"/>
    <n v="111"/>
    <n v="39.04"/>
    <n v="39.04"/>
    <x v="2"/>
    <n v="90"/>
    <n v="90"/>
    <n v="67"/>
    <n v="67"/>
    <x v="0"/>
    <x v="0"/>
  </r>
  <r>
    <n v="1"/>
    <x v="1"/>
    <n v="44"/>
    <x v="1"/>
    <n v="2"/>
    <n v="2"/>
    <s v="Secondary"/>
    <x v="0"/>
    <n v="1"/>
    <n v="15"/>
    <n v="15"/>
    <x v="0"/>
    <n v="0"/>
    <x v="0"/>
    <n v="0"/>
    <n v="0"/>
    <n v="0"/>
    <n v="209"/>
    <n v="209"/>
    <x v="1"/>
    <n v="127"/>
    <n v="86"/>
    <n v="26.41"/>
    <n v="26.41"/>
    <x v="0"/>
    <n v="85"/>
    <n v="85"/>
    <n v="88"/>
    <n v="88"/>
    <x v="0"/>
    <x v="0"/>
  </r>
  <r>
    <n v="1"/>
    <x v="1"/>
    <n v="44"/>
    <x v="1"/>
    <n v="2"/>
    <n v="2"/>
    <s v="Secondary"/>
    <x v="0"/>
    <n v="1"/>
    <n v="30"/>
    <n v="30"/>
    <x v="0"/>
    <n v="0"/>
    <x v="0"/>
    <n v="0"/>
    <n v="0"/>
    <n v="0"/>
    <n v="339"/>
    <n v="339"/>
    <x v="0"/>
    <n v="97"/>
    <n v="62"/>
    <n v="22.19"/>
    <n v="22.19"/>
    <x v="1"/>
    <n v="90"/>
    <n v="90"/>
    <n v="85"/>
    <n v="85"/>
    <x v="0"/>
    <x v="0"/>
  </r>
  <r>
    <n v="1"/>
    <x v="1"/>
    <n v="44"/>
    <x v="1"/>
    <n v="1"/>
    <n v="1"/>
    <s v="Primary"/>
    <x v="2"/>
    <n v="1"/>
    <n v="20"/>
    <n v="20"/>
    <x v="0"/>
    <n v="0"/>
    <x v="0"/>
    <n v="0"/>
    <n v="0"/>
    <n v="0"/>
    <n v="258"/>
    <n v="258"/>
    <x v="0"/>
    <n v="116"/>
    <n v="67"/>
    <n v="28.3"/>
    <n v="28.3"/>
    <x v="0"/>
    <n v="75"/>
    <n v="75"/>
    <n v="79"/>
    <n v="79"/>
    <x v="0"/>
    <x v="0"/>
  </r>
  <r>
    <n v="1"/>
    <x v="1"/>
    <n v="44"/>
    <x v="1"/>
    <n v="1"/>
    <n v="1"/>
    <s v="Primary"/>
    <x v="2"/>
    <n v="1"/>
    <n v="20"/>
    <n v="20"/>
    <x v="0"/>
    <n v="0"/>
    <x v="0"/>
    <n v="0"/>
    <n v="0"/>
    <n v="0"/>
    <n v="193"/>
    <n v="193"/>
    <x v="1"/>
    <n v="134"/>
    <n v="88"/>
    <n v="23.77"/>
    <n v="23.77"/>
    <x v="1"/>
    <n v="75"/>
    <n v="75"/>
    <n v="77"/>
    <n v="77"/>
    <x v="0"/>
    <x v="0"/>
  </r>
  <r>
    <n v="0"/>
    <x v="0"/>
    <n v="44"/>
    <x v="1"/>
    <n v="1"/>
    <n v="1"/>
    <s v="Primary"/>
    <x v="2"/>
    <n v="1"/>
    <n v="5"/>
    <n v="5"/>
    <x v="0"/>
    <n v="0"/>
    <x v="0"/>
    <n v="0"/>
    <n v="0"/>
    <n v="0"/>
    <n v="205"/>
    <n v="205"/>
    <x v="1"/>
    <n v="120"/>
    <n v="83.5"/>
    <n v="24.3"/>
    <n v="24.3"/>
    <x v="1"/>
    <n v="67"/>
    <n v="67"/>
    <n v="77"/>
    <n v="77"/>
    <x v="0"/>
    <x v="0"/>
  </r>
  <r>
    <n v="1"/>
    <x v="1"/>
    <n v="44"/>
    <x v="1"/>
    <n v="1"/>
    <n v="1"/>
    <s v="Primary"/>
    <x v="2"/>
    <n v="1"/>
    <n v="20"/>
    <n v="20"/>
    <x v="0"/>
    <n v="0"/>
    <x v="0"/>
    <n v="0"/>
    <n v="0"/>
    <n v="0"/>
    <n v="213"/>
    <n v="213"/>
    <x v="1"/>
    <n v="116"/>
    <n v="77.5"/>
    <n v="26.09"/>
    <n v="26.09"/>
    <x v="0"/>
    <n v="75"/>
    <n v="75"/>
    <n v="83"/>
    <n v="83"/>
    <x v="0"/>
    <x v="0"/>
  </r>
  <r>
    <n v="0"/>
    <x v="0"/>
    <n v="44"/>
    <x v="1"/>
    <n v="1"/>
    <n v="1"/>
    <s v="Primary"/>
    <x v="2"/>
    <n v="1"/>
    <n v="10"/>
    <n v="10"/>
    <x v="0"/>
    <n v="0"/>
    <x v="0"/>
    <n v="0"/>
    <n v="1"/>
    <n v="0"/>
    <n v="229"/>
    <n v="229"/>
    <x v="1"/>
    <n v="146"/>
    <n v="78"/>
    <n v="25.25"/>
    <n v="25.25"/>
    <x v="0"/>
    <n v="69"/>
    <n v="69"/>
    <n v="75"/>
    <n v="75"/>
    <x v="0"/>
    <x v="0"/>
  </r>
  <r>
    <n v="0"/>
    <x v="0"/>
    <n v="44"/>
    <x v="1"/>
    <n v="1"/>
    <n v="1"/>
    <s v="Primary"/>
    <x v="2"/>
    <n v="1"/>
    <n v="9"/>
    <n v="9"/>
    <x v="0"/>
    <n v="0"/>
    <x v="0"/>
    <n v="0"/>
    <n v="0"/>
    <n v="0"/>
    <n v="212"/>
    <n v="212"/>
    <x v="1"/>
    <n v="128"/>
    <n v="81.5"/>
    <n v="27.51"/>
    <n v="27.51"/>
    <x v="0"/>
    <n v="80"/>
    <n v="80"/>
    <n v="87"/>
    <n v="87"/>
    <x v="0"/>
    <x v="0"/>
  </r>
  <r>
    <n v="0"/>
    <x v="0"/>
    <n v="44"/>
    <x v="1"/>
    <n v="2"/>
    <n v="2"/>
    <s v="Secondary"/>
    <x v="0"/>
    <n v="1"/>
    <n v="3"/>
    <n v="3"/>
    <x v="0"/>
    <n v="0"/>
    <x v="0"/>
    <n v="0"/>
    <n v="0"/>
    <n v="0"/>
    <n v="288"/>
    <n v="288"/>
    <x v="0"/>
    <n v="150"/>
    <n v="89"/>
    <n v="21.11"/>
    <n v="21.11"/>
    <x v="1"/>
    <n v="90"/>
    <n v="90"/>
    <n v="97"/>
    <n v="97"/>
    <x v="0"/>
    <x v="0"/>
  </r>
  <r>
    <n v="0"/>
    <x v="0"/>
    <n v="44"/>
    <x v="1"/>
    <n v="1"/>
    <n v="1"/>
    <s v="Primary"/>
    <x v="2"/>
    <n v="1"/>
    <n v="5"/>
    <n v="5"/>
    <x v="0"/>
    <n v="0"/>
    <x v="0"/>
    <n v="0"/>
    <n v="0"/>
    <n v="0"/>
    <n v="214"/>
    <n v="214"/>
    <x v="1"/>
    <n v="102"/>
    <n v="68"/>
    <n v="32.82"/>
    <n v="32.82"/>
    <x v="2"/>
    <n v="88"/>
    <n v="88"/>
    <n v="80"/>
    <n v="80"/>
    <x v="0"/>
    <x v="0"/>
  </r>
  <r>
    <n v="1"/>
    <x v="1"/>
    <n v="44"/>
    <x v="1"/>
    <n v="4"/>
    <n v="4"/>
    <s v="Post Graduate"/>
    <x v="3"/>
    <n v="1"/>
    <n v="43"/>
    <n v="43"/>
    <x v="0"/>
    <n v="0"/>
    <x v="0"/>
    <n v="0"/>
    <n v="0"/>
    <n v="0"/>
    <n v="275"/>
    <n v="275"/>
    <x v="0"/>
    <n v="127"/>
    <n v="82.5"/>
    <n v="27.43"/>
    <n v="27.43"/>
    <x v="0"/>
    <n v="77"/>
    <n v="77"/>
    <n v="76"/>
    <n v="76"/>
    <x v="0"/>
    <x v="0"/>
  </r>
  <r>
    <n v="0"/>
    <x v="0"/>
    <n v="44"/>
    <x v="1"/>
    <n v="1"/>
    <n v="1"/>
    <s v="Primary"/>
    <x v="2"/>
    <n v="0"/>
    <n v="0"/>
    <n v="0"/>
    <x v="1"/>
    <n v="0"/>
    <x v="0"/>
    <n v="0"/>
    <n v="0"/>
    <n v="0"/>
    <n v="242"/>
    <n v="242"/>
    <x v="0"/>
    <n v="124"/>
    <n v="72.5"/>
    <n v="23.07"/>
    <n v="23.07"/>
    <x v="1"/>
    <n v="67"/>
    <n v="67"/>
    <n v="83"/>
    <n v="83"/>
    <x v="0"/>
    <x v="0"/>
  </r>
  <r>
    <n v="1"/>
    <x v="1"/>
    <n v="44"/>
    <x v="1"/>
    <n v="4"/>
    <n v="4"/>
    <s v="Post Graduate"/>
    <x v="3"/>
    <n v="0"/>
    <n v="0"/>
    <n v="0"/>
    <x v="1"/>
    <n v="0"/>
    <x v="0"/>
    <n v="0"/>
    <n v="0"/>
    <n v="0"/>
    <n v="201"/>
    <n v="201"/>
    <x v="1"/>
    <n v="120"/>
    <n v="81"/>
    <n v="26.49"/>
    <n v="26.49"/>
    <x v="0"/>
    <n v="70"/>
    <n v="70"/>
    <n v="78"/>
    <n v="78"/>
    <x v="0"/>
    <x v="0"/>
  </r>
  <r>
    <n v="0"/>
    <x v="0"/>
    <n v="44"/>
    <x v="1"/>
    <n v="2"/>
    <n v="2"/>
    <s v="Secondary"/>
    <x v="0"/>
    <n v="1"/>
    <n v="10"/>
    <n v="10"/>
    <x v="0"/>
    <n v="0"/>
    <x v="0"/>
    <n v="0"/>
    <n v="0"/>
    <n v="0"/>
    <n v="223"/>
    <n v="223"/>
    <x v="1"/>
    <n v="96"/>
    <n v="59"/>
    <n v="23.82"/>
    <n v="23.82"/>
    <x v="1"/>
    <n v="67"/>
    <n v="67"/>
    <n v="87"/>
    <n v="87"/>
    <x v="0"/>
    <x v="0"/>
  </r>
  <r>
    <n v="1"/>
    <x v="1"/>
    <n v="44"/>
    <x v="1"/>
    <n v="2"/>
    <n v="2"/>
    <s v="Secondary"/>
    <x v="0"/>
    <n v="1"/>
    <n v="20"/>
    <n v="20"/>
    <x v="0"/>
    <n v="0"/>
    <x v="0"/>
    <n v="0"/>
    <n v="0"/>
    <n v="0"/>
    <n v="246"/>
    <n v="246"/>
    <x v="0"/>
    <n v="142"/>
    <n v="92"/>
    <n v="23.85"/>
    <n v="23.85"/>
    <x v="1"/>
    <n v="76"/>
    <n v="76"/>
    <n v="65"/>
    <n v="65"/>
    <x v="0"/>
    <x v="1"/>
  </r>
  <r>
    <n v="0"/>
    <x v="0"/>
    <n v="44"/>
    <x v="1"/>
    <n v="2"/>
    <n v="2"/>
    <s v="Secondary"/>
    <x v="0"/>
    <n v="1"/>
    <n v="20"/>
    <n v="20"/>
    <x v="0"/>
    <n v="0"/>
    <x v="0"/>
    <n v="0"/>
    <n v="0"/>
    <n v="0"/>
    <n v="295"/>
    <n v="295"/>
    <x v="0"/>
    <n v="114"/>
    <n v="85"/>
    <n v="23.1"/>
    <n v="23.1"/>
    <x v="1"/>
    <n v="85"/>
    <n v="85"/>
    <n v="84"/>
    <n v="84"/>
    <x v="0"/>
    <x v="0"/>
  </r>
  <r>
    <n v="1"/>
    <x v="1"/>
    <n v="44"/>
    <x v="1"/>
    <n v="4"/>
    <n v="4"/>
    <s v="Post Graduate"/>
    <x v="3"/>
    <n v="1"/>
    <n v="25"/>
    <n v="25"/>
    <x v="0"/>
    <n v="0"/>
    <x v="0"/>
    <n v="0"/>
    <n v="0"/>
    <n v="0"/>
    <n v="210"/>
    <n v="210"/>
    <x v="1"/>
    <n v="103"/>
    <n v="78"/>
    <n v="34.89"/>
    <n v="34.89"/>
    <x v="2"/>
    <n v="62"/>
    <n v="62"/>
    <n v="77"/>
    <n v="77"/>
    <x v="0"/>
    <x v="0"/>
  </r>
  <r>
    <n v="1"/>
    <x v="1"/>
    <n v="44"/>
    <x v="1"/>
    <n v="2"/>
    <n v="2"/>
    <s v="Secondary"/>
    <x v="0"/>
    <n v="1"/>
    <n v="30"/>
    <n v="30"/>
    <x v="0"/>
    <n v="0"/>
    <x v="0"/>
    <n v="0"/>
    <n v="0"/>
    <n v="0"/>
    <n v="240"/>
    <n v="240"/>
    <x v="1"/>
    <n v="134"/>
    <n v="88"/>
    <n v="31.62"/>
    <n v="31.62"/>
    <x v="2"/>
    <n v="70"/>
    <n v="70"/>
    <n v="61"/>
    <n v="61"/>
    <x v="0"/>
    <x v="0"/>
  </r>
  <r>
    <n v="1"/>
    <x v="1"/>
    <n v="44"/>
    <x v="1"/>
    <n v="2"/>
    <n v="2"/>
    <s v="Secondary"/>
    <x v="0"/>
    <n v="0"/>
    <n v="0"/>
    <n v="0"/>
    <x v="1"/>
    <n v="0"/>
    <x v="0"/>
    <n v="0"/>
    <n v="0"/>
    <n v="0"/>
    <n v="267"/>
    <n v="267"/>
    <x v="0"/>
    <n v="131"/>
    <n v="79"/>
    <n v="30.32"/>
    <n v="30.32"/>
    <x v="2"/>
    <n v="70"/>
    <n v="70"/>
    <n v="79"/>
    <n v="79"/>
    <x v="0"/>
    <x v="0"/>
  </r>
  <r>
    <n v="1"/>
    <x v="1"/>
    <n v="44"/>
    <x v="1"/>
    <n v="2"/>
    <n v="2"/>
    <s v="Secondary"/>
    <x v="0"/>
    <n v="1"/>
    <n v="20"/>
    <n v="20"/>
    <x v="0"/>
    <n v="0"/>
    <x v="0"/>
    <n v="0"/>
    <n v="0"/>
    <n v="0"/>
    <n v="211"/>
    <n v="211"/>
    <x v="1"/>
    <n v="145"/>
    <n v="88"/>
    <n v="23.39"/>
    <n v="23.39"/>
    <x v="1"/>
    <n v="60"/>
    <n v="60"/>
    <n v="79"/>
    <n v="79"/>
    <x v="0"/>
    <x v="0"/>
  </r>
  <r>
    <n v="1"/>
    <x v="1"/>
    <n v="44"/>
    <x v="1"/>
    <n v="1"/>
    <n v="1"/>
    <s v="Primary"/>
    <x v="2"/>
    <n v="1"/>
    <n v="15"/>
    <n v="15"/>
    <x v="0"/>
    <n v="0"/>
    <x v="0"/>
    <n v="0"/>
    <n v="1"/>
    <n v="0"/>
    <n v="274"/>
    <n v="274"/>
    <x v="0"/>
    <n v="150"/>
    <n v="95"/>
    <n v="25.46"/>
    <n v="25.46"/>
    <x v="0"/>
    <n v="75"/>
    <n v="75"/>
    <n v="70"/>
    <n v="70"/>
    <x v="0"/>
    <x v="0"/>
  </r>
  <r>
    <n v="1"/>
    <x v="1"/>
    <n v="44"/>
    <x v="1"/>
    <n v="4"/>
    <n v="4"/>
    <s v="Post Graduate"/>
    <x v="3"/>
    <n v="1"/>
    <n v="20"/>
    <n v="20"/>
    <x v="0"/>
    <n v="0"/>
    <x v="0"/>
    <n v="0"/>
    <n v="0"/>
    <n v="0"/>
    <n v="225"/>
    <n v="225"/>
    <x v="1"/>
    <n v="130"/>
    <n v="77.5"/>
    <n v="21.19"/>
    <n v="21.19"/>
    <x v="1"/>
    <n v="92"/>
    <n v="92"/>
    <n v="82"/>
    <n v="82"/>
    <x v="0"/>
    <x v="0"/>
  </r>
  <r>
    <n v="0"/>
    <x v="0"/>
    <n v="44"/>
    <x v="1"/>
    <n v="1"/>
    <n v="1"/>
    <s v="Primary"/>
    <x v="2"/>
    <n v="1"/>
    <n v="9"/>
    <n v="9"/>
    <x v="0"/>
    <n v="0"/>
    <x v="0"/>
    <n v="0"/>
    <n v="0"/>
    <n v="0"/>
    <n v="231"/>
    <n v="231"/>
    <x v="1"/>
    <n v="103"/>
    <n v="73"/>
    <n v="22.02"/>
    <n v="22.02"/>
    <x v="1"/>
    <n v="72"/>
    <n v="72"/>
    <n v="83"/>
    <n v="83"/>
    <x v="0"/>
    <x v="0"/>
  </r>
  <r>
    <n v="1"/>
    <x v="1"/>
    <n v="44"/>
    <x v="1"/>
    <n v="1"/>
    <n v="1"/>
    <s v="Primary"/>
    <x v="2"/>
    <n v="0"/>
    <n v="0"/>
    <n v="0"/>
    <x v="1"/>
    <n v="0"/>
    <x v="0"/>
    <n v="0"/>
    <n v="0"/>
    <n v="0"/>
    <n v="229"/>
    <n v="229"/>
    <x v="1"/>
    <n v="132"/>
    <n v="94"/>
    <n v="34.39"/>
    <n v="34.39"/>
    <x v="2"/>
    <n v="110"/>
    <n v="110"/>
    <n v="80"/>
    <n v="80"/>
    <x v="0"/>
    <x v="1"/>
  </r>
  <r>
    <n v="0"/>
    <x v="0"/>
    <n v="44"/>
    <x v="1"/>
    <n v="3"/>
    <n v="3"/>
    <s v="Graduate"/>
    <x v="1"/>
    <n v="0"/>
    <n v="0"/>
    <n v="0"/>
    <x v="1"/>
    <n v="0"/>
    <x v="0"/>
    <n v="0"/>
    <n v="0"/>
    <n v="0"/>
    <n v="244"/>
    <n v="244"/>
    <x v="0"/>
    <n v="132.5"/>
    <n v="87"/>
    <n v="24.17"/>
    <n v="24.17"/>
    <x v="1"/>
    <n v="58"/>
    <n v="58"/>
    <n v="86"/>
    <n v="86"/>
    <x v="0"/>
    <x v="0"/>
  </r>
  <r>
    <n v="0"/>
    <x v="0"/>
    <n v="44"/>
    <x v="1"/>
    <n v="4"/>
    <n v="4"/>
    <s v="Post Graduate"/>
    <x v="3"/>
    <n v="0"/>
    <n v="0"/>
    <n v="0"/>
    <x v="1"/>
    <n v="0"/>
    <x v="0"/>
    <n v="0"/>
    <n v="0"/>
    <n v="0"/>
    <n v="205"/>
    <n v="205"/>
    <x v="1"/>
    <n v="109"/>
    <n v="73"/>
    <n v="17.48"/>
    <n v="17.48"/>
    <x v="3"/>
    <n v="75"/>
    <n v="75"/>
    <n v="57"/>
    <n v="57"/>
    <x v="0"/>
    <x v="0"/>
  </r>
  <r>
    <n v="0"/>
    <x v="0"/>
    <n v="44"/>
    <x v="1"/>
    <n v="2"/>
    <n v="2"/>
    <s v="Secondary"/>
    <x v="0"/>
    <n v="0"/>
    <n v="0"/>
    <n v="0"/>
    <x v="1"/>
    <n v="0"/>
    <x v="0"/>
    <n v="0"/>
    <n v="0"/>
    <n v="0"/>
    <n v="226"/>
    <n v="226"/>
    <x v="1"/>
    <n v="123"/>
    <n v="82"/>
    <n v="24.67"/>
    <n v="24.67"/>
    <x v="1"/>
    <n v="72"/>
    <n v="72"/>
    <n v="70"/>
    <n v="70"/>
    <x v="0"/>
    <x v="0"/>
  </r>
  <r>
    <n v="1"/>
    <x v="1"/>
    <n v="44"/>
    <x v="1"/>
    <n v="4"/>
    <n v="4"/>
    <s v="Post Graduate"/>
    <x v="3"/>
    <n v="1"/>
    <n v="20"/>
    <n v="20"/>
    <x v="0"/>
    <n v="0"/>
    <x v="0"/>
    <n v="0"/>
    <n v="1"/>
    <n v="0"/>
    <n v="230"/>
    <n v="230"/>
    <x v="1"/>
    <n v="138"/>
    <n v="98"/>
    <n v="25.12"/>
    <n v="25.12"/>
    <x v="0"/>
    <n v="75"/>
    <n v="75"/>
    <n v="93"/>
    <n v="93"/>
    <x v="0"/>
    <x v="0"/>
  </r>
  <r>
    <n v="0"/>
    <x v="0"/>
    <n v="44"/>
    <x v="1"/>
    <n v="3"/>
    <n v="3"/>
    <s v="Graduate"/>
    <x v="1"/>
    <n v="1"/>
    <n v="30"/>
    <n v="30"/>
    <x v="0"/>
    <n v="0"/>
    <x v="0"/>
    <n v="0"/>
    <n v="0"/>
    <n v="0"/>
    <n v="188"/>
    <n v="188"/>
    <x v="1"/>
    <n v="122.5"/>
    <n v="67.5"/>
    <n v="23.13"/>
    <n v="23.13"/>
    <x v="1"/>
    <n v="94"/>
    <n v="94"/>
    <n v="85"/>
    <n v="85"/>
    <x v="0"/>
    <x v="0"/>
  </r>
  <r>
    <n v="1"/>
    <x v="1"/>
    <n v="44"/>
    <x v="1"/>
    <n v="3"/>
    <n v="3"/>
    <s v="Graduate"/>
    <x v="1"/>
    <n v="1"/>
    <n v="15"/>
    <n v="15"/>
    <x v="0"/>
    <n v="0"/>
    <x v="0"/>
    <n v="0"/>
    <n v="0"/>
    <n v="0"/>
    <n v="237"/>
    <n v="237"/>
    <x v="1"/>
    <n v="124"/>
    <n v="83"/>
    <n v="27.17"/>
    <n v="27.17"/>
    <x v="0"/>
    <n v="70"/>
    <n v="70"/>
    <n v="88"/>
    <n v="88"/>
    <x v="0"/>
    <x v="0"/>
  </r>
  <r>
    <n v="1"/>
    <x v="1"/>
    <n v="44"/>
    <x v="1"/>
    <s v="NA"/>
    <n v="1"/>
    <s v="Primary"/>
    <x v="2"/>
    <n v="0"/>
    <n v="0"/>
    <n v="0"/>
    <x v="1"/>
    <n v="0"/>
    <x v="0"/>
    <n v="0"/>
    <n v="0"/>
    <n v="0"/>
    <n v="253"/>
    <n v="253"/>
    <x v="0"/>
    <n v="152.5"/>
    <n v="87.5"/>
    <n v="26.84"/>
    <n v="26.84"/>
    <x v="0"/>
    <n v="56"/>
    <n v="56"/>
    <s v="NA"/>
    <n v="81.96365524402907"/>
    <x v="0"/>
    <x v="0"/>
  </r>
  <r>
    <n v="0"/>
    <x v="0"/>
    <n v="44"/>
    <x v="1"/>
    <n v="1"/>
    <n v="1"/>
    <s v="Primary"/>
    <x v="2"/>
    <n v="1"/>
    <n v="20"/>
    <n v="20"/>
    <x v="0"/>
    <n v="0"/>
    <x v="0"/>
    <n v="0"/>
    <n v="0"/>
    <n v="0"/>
    <n v="160"/>
    <n v="160"/>
    <x v="1"/>
    <n v="131"/>
    <n v="81.5"/>
    <n v="25.71"/>
    <n v="25.71"/>
    <x v="0"/>
    <n v="75"/>
    <n v="75"/>
    <n v="70"/>
    <n v="70"/>
    <x v="0"/>
    <x v="0"/>
  </r>
  <r>
    <n v="0"/>
    <x v="0"/>
    <n v="44"/>
    <x v="1"/>
    <n v="2"/>
    <n v="2"/>
    <s v="Secondary"/>
    <x v="0"/>
    <n v="1"/>
    <n v="3"/>
    <n v="3"/>
    <x v="0"/>
    <n v="0"/>
    <x v="0"/>
    <n v="0"/>
    <n v="0"/>
    <n v="0"/>
    <n v="244"/>
    <n v="244"/>
    <x v="0"/>
    <n v="105"/>
    <n v="60"/>
    <n v="23.24"/>
    <n v="23.24"/>
    <x v="1"/>
    <n v="76"/>
    <n v="76"/>
    <s v="NA"/>
    <n v="81.96365524402907"/>
    <x v="0"/>
    <x v="0"/>
  </r>
  <r>
    <n v="1"/>
    <x v="1"/>
    <n v="44"/>
    <x v="1"/>
    <n v="2"/>
    <n v="2"/>
    <s v="Secondary"/>
    <x v="0"/>
    <n v="1"/>
    <n v="40"/>
    <n v="40"/>
    <x v="0"/>
    <n v="0"/>
    <x v="0"/>
    <n v="0"/>
    <n v="0"/>
    <n v="0"/>
    <n v="189"/>
    <n v="189"/>
    <x v="1"/>
    <n v="130"/>
    <n v="90"/>
    <n v="22.33"/>
    <n v="22.33"/>
    <x v="1"/>
    <n v="90"/>
    <n v="90"/>
    <n v="64"/>
    <n v="64"/>
    <x v="0"/>
    <x v="0"/>
  </r>
  <r>
    <n v="1"/>
    <x v="1"/>
    <n v="44"/>
    <x v="1"/>
    <n v="1"/>
    <n v="1"/>
    <s v="Primary"/>
    <x v="2"/>
    <n v="0"/>
    <n v="0"/>
    <n v="0"/>
    <x v="1"/>
    <n v="0"/>
    <x v="0"/>
    <n v="0"/>
    <n v="0"/>
    <n v="0"/>
    <n v="234"/>
    <n v="234"/>
    <x v="1"/>
    <n v="135"/>
    <n v="88"/>
    <n v="25.65"/>
    <n v="25.65"/>
    <x v="0"/>
    <n v="52"/>
    <n v="52"/>
    <n v="83"/>
    <n v="83"/>
    <x v="0"/>
    <x v="0"/>
  </r>
  <r>
    <n v="1"/>
    <x v="1"/>
    <n v="44"/>
    <x v="1"/>
    <n v="1"/>
    <n v="1"/>
    <s v="Primary"/>
    <x v="2"/>
    <n v="0"/>
    <n v="0"/>
    <n v="0"/>
    <x v="1"/>
    <n v="0"/>
    <x v="0"/>
    <n v="0"/>
    <n v="1"/>
    <n v="0"/>
    <n v="260"/>
    <n v="260"/>
    <x v="0"/>
    <n v="127"/>
    <n v="80"/>
    <n v="31.69"/>
    <n v="31.69"/>
    <x v="2"/>
    <n v="69"/>
    <n v="69"/>
    <n v="73"/>
    <n v="73"/>
    <x v="0"/>
    <x v="0"/>
  </r>
  <r>
    <n v="1"/>
    <x v="1"/>
    <n v="44"/>
    <x v="1"/>
    <n v="2"/>
    <n v="2"/>
    <s v="Secondary"/>
    <x v="0"/>
    <n v="1"/>
    <n v="40"/>
    <n v="40"/>
    <x v="0"/>
    <n v="0"/>
    <x v="0"/>
    <n v="0"/>
    <n v="0"/>
    <n v="0"/>
    <n v="232"/>
    <n v="232"/>
    <x v="1"/>
    <n v="125"/>
    <n v="86"/>
    <n v="23.23"/>
    <n v="23.23"/>
    <x v="1"/>
    <n v="72"/>
    <n v="72"/>
    <n v="80"/>
    <n v="80"/>
    <x v="0"/>
    <x v="0"/>
  </r>
  <r>
    <n v="0"/>
    <x v="0"/>
    <n v="44"/>
    <x v="1"/>
    <n v="1"/>
    <n v="1"/>
    <s v="Primary"/>
    <x v="2"/>
    <n v="1"/>
    <n v="10"/>
    <n v="10"/>
    <x v="0"/>
    <n v="0"/>
    <x v="0"/>
    <n v="0"/>
    <n v="0"/>
    <n v="0"/>
    <n v="310"/>
    <n v="310"/>
    <x v="0"/>
    <n v="141"/>
    <n v="76"/>
    <n v="20.52"/>
    <n v="20.52"/>
    <x v="1"/>
    <n v="52"/>
    <n v="52"/>
    <n v="90"/>
    <n v="90"/>
    <x v="0"/>
    <x v="0"/>
  </r>
  <r>
    <n v="1"/>
    <x v="1"/>
    <n v="44"/>
    <x v="1"/>
    <n v="1"/>
    <n v="1"/>
    <s v="Primary"/>
    <x v="2"/>
    <n v="0"/>
    <n v="0"/>
    <n v="0"/>
    <x v="1"/>
    <n v="0"/>
    <x v="0"/>
    <n v="0"/>
    <n v="0"/>
    <n v="0"/>
    <n v="195"/>
    <n v="195"/>
    <x v="1"/>
    <n v="114"/>
    <n v="79"/>
    <n v="25.01"/>
    <n v="25.01"/>
    <x v="0"/>
    <n v="60"/>
    <n v="60"/>
    <n v="76"/>
    <n v="76"/>
    <x v="0"/>
    <x v="0"/>
  </r>
  <r>
    <n v="0"/>
    <x v="0"/>
    <n v="44"/>
    <x v="1"/>
    <n v="1"/>
    <n v="1"/>
    <s v="Primary"/>
    <x v="2"/>
    <n v="1"/>
    <n v="8"/>
    <n v="8"/>
    <x v="0"/>
    <n v="0"/>
    <x v="0"/>
    <n v="0"/>
    <n v="0"/>
    <n v="0"/>
    <n v="351"/>
    <n v="351"/>
    <x v="0"/>
    <n v="106"/>
    <n v="65"/>
    <n v="25.34"/>
    <n v="25.34"/>
    <x v="0"/>
    <n v="95"/>
    <n v="95"/>
    <n v="69"/>
    <n v="69"/>
    <x v="0"/>
    <x v="0"/>
  </r>
  <r>
    <n v="1"/>
    <x v="1"/>
    <n v="44"/>
    <x v="1"/>
    <n v="1"/>
    <n v="1"/>
    <s v="Primary"/>
    <x v="2"/>
    <n v="0"/>
    <n v="0"/>
    <n v="0"/>
    <x v="1"/>
    <n v="0"/>
    <x v="0"/>
    <n v="0"/>
    <n v="0"/>
    <n v="0"/>
    <n v="238"/>
    <n v="238"/>
    <x v="1"/>
    <n v="132"/>
    <n v="86"/>
    <n v="27.22"/>
    <n v="27.22"/>
    <x v="0"/>
    <n v="75"/>
    <n v="75"/>
    <n v="85"/>
    <n v="85"/>
    <x v="0"/>
    <x v="0"/>
  </r>
  <r>
    <n v="0"/>
    <x v="0"/>
    <n v="44"/>
    <x v="1"/>
    <n v="3"/>
    <n v="3"/>
    <s v="Graduate"/>
    <x v="1"/>
    <n v="0"/>
    <n v="0"/>
    <n v="0"/>
    <x v="1"/>
    <n v="0"/>
    <x v="0"/>
    <n v="0"/>
    <n v="0"/>
    <n v="0"/>
    <n v="213"/>
    <n v="213"/>
    <x v="1"/>
    <n v="126"/>
    <n v="76"/>
    <n v="19.05"/>
    <n v="19.05"/>
    <x v="1"/>
    <n v="85"/>
    <n v="85"/>
    <n v="84"/>
    <n v="84"/>
    <x v="0"/>
    <x v="0"/>
  </r>
  <r>
    <n v="1"/>
    <x v="1"/>
    <n v="44"/>
    <x v="1"/>
    <n v="1"/>
    <n v="1"/>
    <s v="Primary"/>
    <x v="2"/>
    <n v="1"/>
    <n v="9"/>
    <n v="9"/>
    <x v="0"/>
    <n v="0"/>
    <x v="0"/>
    <n v="0"/>
    <n v="0"/>
    <n v="0"/>
    <n v="273"/>
    <n v="273"/>
    <x v="0"/>
    <n v="114"/>
    <n v="83"/>
    <n v="27.33"/>
    <n v="27.33"/>
    <x v="0"/>
    <n v="70"/>
    <n v="70"/>
    <n v="65"/>
    <n v="65"/>
    <x v="0"/>
    <x v="0"/>
  </r>
  <r>
    <n v="0"/>
    <x v="0"/>
    <n v="44"/>
    <x v="1"/>
    <n v="2"/>
    <n v="2"/>
    <s v="Secondary"/>
    <x v="0"/>
    <n v="1"/>
    <n v="9"/>
    <n v="9"/>
    <x v="0"/>
    <n v="0"/>
    <x v="0"/>
    <n v="0"/>
    <n v="1"/>
    <n v="0"/>
    <s v="NA"/>
    <n v="236.69952267303103"/>
    <x v="1"/>
    <n v="147.5"/>
    <n v="96"/>
    <n v="30.57"/>
    <n v="30.57"/>
    <x v="2"/>
    <n v="78"/>
    <n v="78"/>
    <s v="NA"/>
    <n v="81.96365524402907"/>
    <x v="0"/>
    <x v="1"/>
  </r>
  <r>
    <n v="0"/>
    <x v="0"/>
    <n v="44"/>
    <x v="1"/>
    <n v="2"/>
    <n v="2"/>
    <s v="Secondary"/>
    <x v="0"/>
    <n v="1"/>
    <n v="8"/>
    <n v="8"/>
    <x v="0"/>
    <n v="0"/>
    <x v="0"/>
    <n v="0"/>
    <n v="0"/>
    <n v="0"/>
    <n v="179"/>
    <n v="179"/>
    <x v="1"/>
    <n v="122"/>
    <n v="70"/>
    <n v="24.37"/>
    <n v="24.37"/>
    <x v="1"/>
    <n v="72"/>
    <n v="72"/>
    <s v="NA"/>
    <n v="81.96365524402907"/>
    <x v="0"/>
    <x v="0"/>
  </r>
  <r>
    <n v="1"/>
    <x v="1"/>
    <n v="44"/>
    <x v="1"/>
    <n v="3"/>
    <n v="3"/>
    <s v="Graduate"/>
    <x v="1"/>
    <n v="1"/>
    <n v="30"/>
    <n v="30"/>
    <x v="0"/>
    <n v="0"/>
    <x v="0"/>
    <n v="0"/>
    <n v="0"/>
    <n v="0"/>
    <n v="363"/>
    <n v="363"/>
    <x v="0"/>
    <n v="140"/>
    <n v="87"/>
    <n v="26.44"/>
    <n v="26.44"/>
    <x v="0"/>
    <n v="95"/>
    <n v="95"/>
    <n v="79"/>
    <n v="79"/>
    <x v="0"/>
    <x v="0"/>
  </r>
  <r>
    <n v="0"/>
    <x v="0"/>
    <n v="44"/>
    <x v="1"/>
    <n v="1"/>
    <n v="1"/>
    <s v="Primary"/>
    <x v="2"/>
    <n v="0"/>
    <n v="0"/>
    <n v="0"/>
    <x v="1"/>
    <n v="0"/>
    <x v="0"/>
    <n v="0"/>
    <n v="0"/>
    <n v="0"/>
    <n v="200"/>
    <n v="200"/>
    <x v="1"/>
    <n v="128"/>
    <n v="82"/>
    <n v="23.24"/>
    <n v="23.24"/>
    <x v="1"/>
    <n v="80"/>
    <n v="80"/>
    <n v="73"/>
    <n v="73"/>
    <x v="0"/>
    <x v="0"/>
  </r>
  <r>
    <n v="0"/>
    <x v="0"/>
    <n v="44"/>
    <x v="1"/>
    <n v="4"/>
    <n v="4"/>
    <s v="Post Graduate"/>
    <x v="3"/>
    <n v="0"/>
    <n v="0"/>
    <n v="0"/>
    <x v="1"/>
    <n v="0"/>
    <x v="0"/>
    <n v="0"/>
    <n v="1"/>
    <n v="1"/>
    <n v="254"/>
    <n v="254"/>
    <x v="0"/>
    <n v="145"/>
    <n v="85"/>
    <n v="21.27"/>
    <n v="21.27"/>
    <x v="1"/>
    <n v="75"/>
    <n v="75"/>
    <n v="137"/>
    <n v="137"/>
    <x v="0"/>
    <x v="0"/>
  </r>
  <r>
    <n v="1"/>
    <x v="1"/>
    <n v="44"/>
    <x v="1"/>
    <n v="1"/>
    <n v="1"/>
    <s v="Primary"/>
    <x v="2"/>
    <n v="1"/>
    <n v="20"/>
    <n v="20"/>
    <x v="0"/>
    <n v="0"/>
    <x v="0"/>
    <n v="0"/>
    <n v="1"/>
    <n v="0"/>
    <n v="316"/>
    <n v="316"/>
    <x v="0"/>
    <n v="135"/>
    <n v="95"/>
    <n v="25.48"/>
    <n v="25.48"/>
    <x v="0"/>
    <n v="75"/>
    <n v="75"/>
    <n v="68"/>
    <n v="68"/>
    <x v="0"/>
    <x v="0"/>
  </r>
  <r>
    <n v="1"/>
    <x v="1"/>
    <n v="44"/>
    <x v="1"/>
    <n v="3"/>
    <n v="3"/>
    <s v="Graduate"/>
    <x v="1"/>
    <n v="0"/>
    <n v="0"/>
    <n v="0"/>
    <x v="1"/>
    <n v="0"/>
    <x v="0"/>
    <n v="0"/>
    <n v="0"/>
    <n v="0"/>
    <n v="216"/>
    <n v="216"/>
    <x v="1"/>
    <n v="113.5"/>
    <n v="77"/>
    <n v="28.23"/>
    <n v="28.23"/>
    <x v="0"/>
    <n v="64"/>
    <n v="64"/>
    <n v="77"/>
    <n v="77"/>
    <x v="0"/>
    <x v="0"/>
  </r>
  <r>
    <n v="0"/>
    <x v="0"/>
    <n v="44"/>
    <x v="1"/>
    <n v="2"/>
    <n v="2"/>
    <s v="Secondary"/>
    <x v="0"/>
    <n v="0"/>
    <n v="0"/>
    <n v="0"/>
    <x v="1"/>
    <n v="0"/>
    <x v="0"/>
    <n v="0"/>
    <n v="0"/>
    <n v="0"/>
    <n v="194"/>
    <n v="194"/>
    <x v="1"/>
    <n v="117"/>
    <n v="78"/>
    <n v="24.94"/>
    <n v="24.94"/>
    <x v="1"/>
    <n v="65"/>
    <n v="65"/>
    <n v="79"/>
    <n v="79"/>
    <x v="0"/>
    <x v="0"/>
  </r>
  <r>
    <n v="0"/>
    <x v="0"/>
    <n v="44"/>
    <x v="1"/>
    <n v="2"/>
    <n v="2"/>
    <s v="Secondary"/>
    <x v="0"/>
    <n v="1"/>
    <n v="5"/>
    <n v="5"/>
    <x v="0"/>
    <n v="0"/>
    <x v="0"/>
    <n v="0"/>
    <n v="0"/>
    <n v="0"/>
    <n v="175"/>
    <n v="175"/>
    <x v="1"/>
    <n v="130"/>
    <n v="80"/>
    <n v="19.18"/>
    <n v="19.18"/>
    <x v="1"/>
    <n v="75"/>
    <n v="75"/>
    <n v="117"/>
    <n v="117"/>
    <x v="0"/>
    <x v="0"/>
  </r>
  <r>
    <n v="1"/>
    <x v="1"/>
    <n v="44"/>
    <x v="1"/>
    <n v="4"/>
    <n v="4"/>
    <s v="Post Graduate"/>
    <x v="3"/>
    <n v="1"/>
    <n v="25"/>
    <n v="25"/>
    <x v="0"/>
    <n v="0"/>
    <x v="0"/>
    <n v="0"/>
    <n v="0"/>
    <n v="1"/>
    <n v="241"/>
    <n v="241"/>
    <x v="0"/>
    <n v="111"/>
    <n v="78"/>
    <n v="27.78"/>
    <n v="27.78"/>
    <x v="0"/>
    <n v="85"/>
    <n v="85"/>
    <n v="167"/>
    <n v="167"/>
    <x v="0"/>
    <x v="1"/>
  </r>
  <r>
    <n v="0"/>
    <x v="0"/>
    <n v="44"/>
    <x v="1"/>
    <n v="1"/>
    <n v="1"/>
    <s v="Primary"/>
    <x v="2"/>
    <n v="0"/>
    <n v="0"/>
    <n v="0"/>
    <x v="1"/>
    <n v="0"/>
    <x v="0"/>
    <n v="0"/>
    <n v="0"/>
    <n v="0"/>
    <n v="178"/>
    <n v="178"/>
    <x v="1"/>
    <n v="113"/>
    <n v="78"/>
    <n v="31.93"/>
    <n v="31.93"/>
    <x v="2"/>
    <n v="64"/>
    <n v="64"/>
    <n v="74"/>
    <n v="74"/>
    <x v="0"/>
    <x v="0"/>
  </r>
  <r>
    <n v="0"/>
    <x v="0"/>
    <n v="44"/>
    <x v="1"/>
    <n v="2"/>
    <n v="2"/>
    <s v="Secondary"/>
    <x v="0"/>
    <n v="1"/>
    <n v="3"/>
    <n v="3"/>
    <x v="0"/>
    <n v="0"/>
    <x v="0"/>
    <n v="0"/>
    <n v="0"/>
    <n v="0"/>
    <n v="239"/>
    <n v="239"/>
    <x v="1"/>
    <n v="103"/>
    <n v="67"/>
    <n v="26.58"/>
    <n v="26.58"/>
    <x v="0"/>
    <n v="66"/>
    <n v="66"/>
    <n v="73"/>
    <n v="73"/>
    <x v="0"/>
    <x v="0"/>
  </r>
  <r>
    <n v="1"/>
    <x v="1"/>
    <n v="44"/>
    <x v="1"/>
    <n v="1"/>
    <n v="1"/>
    <s v="Primary"/>
    <x v="2"/>
    <n v="1"/>
    <n v="40"/>
    <n v="40"/>
    <x v="0"/>
    <n v="0"/>
    <x v="0"/>
    <n v="0"/>
    <n v="0"/>
    <n v="0"/>
    <n v="158"/>
    <n v="158"/>
    <x v="1"/>
    <n v="150.5"/>
    <n v="87"/>
    <n v="21.44"/>
    <n v="21.44"/>
    <x v="1"/>
    <n v="75"/>
    <n v="75"/>
    <n v="98"/>
    <n v="98"/>
    <x v="0"/>
    <x v="1"/>
  </r>
  <r>
    <n v="1"/>
    <x v="1"/>
    <n v="44"/>
    <x v="1"/>
    <n v="1"/>
    <n v="1"/>
    <s v="Primary"/>
    <x v="2"/>
    <n v="0"/>
    <n v="0"/>
    <n v="0"/>
    <x v="1"/>
    <n v="0"/>
    <x v="0"/>
    <n v="0"/>
    <n v="1"/>
    <n v="0"/>
    <n v="229"/>
    <n v="229"/>
    <x v="1"/>
    <n v="142"/>
    <n v="92"/>
    <n v="25.21"/>
    <n v="25.21"/>
    <x v="0"/>
    <n v="72"/>
    <n v="72"/>
    <n v="76"/>
    <n v="76"/>
    <x v="0"/>
    <x v="0"/>
  </r>
  <r>
    <n v="1"/>
    <x v="1"/>
    <n v="44"/>
    <x v="1"/>
    <n v="2"/>
    <n v="2"/>
    <s v="Secondary"/>
    <x v="0"/>
    <n v="0"/>
    <n v="0"/>
    <n v="0"/>
    <x v="1"/>
    <n v="0"/>
    <x v="0"/>
    <n v="0"/>
    <n v="0"/>
    <n v="0"/>
    <n v="210"/>
    <n v="210"/>
    <x v="1"/>
    <n v="133"/>
    <n v="85.5"/>
    <n v="25.14"/>
    <n v="25.14"/>
    <x v="0"/>
    <n v="75"/>
    <n v="75"/>
    <n v="90"/>
    <n v="90"/>
    <x v="0"/>
    <x v="0"/>
  </r>
  <r>
    <n v="0"/>
    <x v="0"/>
    <n v="44"/>
    <x v="1"/>
    <n v="4"/>
    <n v="4"/>
    <s v="Post Graduate"/>
    <x v="3"/>
    <n v="1"/>
    <n v="1"/>
    <n v="1"/>
    <x v="0"/>
    <n v="0"/>
    <x v="0"/>
    <n v="0"/>
    <n v="0"/>
    <n v="0"/>
    <n v="253"/>
    <n v="253"/>
    <x v="0"/>
    <n v="118"/>
    <n v="68"/>
    <n v="22.72"/>
    <n v="22.72"/>
    <x v="1"/>
    <n v="68"/>
    <n v="68"/>
    <n v="110"/>
    <n v="110"/>
    <x v="0"/>
    <x v="0"/>
  </r>
  <r>
    <n v="1"/>
    <x v="1"/>
    <n v="44"/>
    <x v="1"/>
    <n v="3"/>
    <n v="3"/>
    <s v="Graduate"/>
    <x v="1"/>
    <n v="1"/>
    <n v="3"/>
    <n v="3"/>
    <x v="0"/>
    <n v="0"/>
    <x v="0"/>
    <n v="0"/>
    <n v="1"/>
    <n v="0"/>
    <n v="352"/>
    <n v="352"/>
    <x v="0"/>
    <n v="164"/>
    <n v="119"/>
    <n v="28.92"/>
    <n v="28.92"/>
    <x v="0"/>
    <n v="73"/>
    <n v="73"/>
    <n v="72"/>
    <n v="72"/>
    <x v="0"/>
    <x v="1"/>
  </r>
  <r>
    <n v="0"/>
    <x v="0"/>
    <n v="44"/>
    <x v="1"/>
    <n v="1"/>
    <n v="1"/>
    <s v="Primary"/>
    <x v="2"/>
    <n v="1"/>
    <n v="20"/>
    <n v="20"/>
    <x v="0"/>
    <n v="0"/>
    <x v="0"/>
    <n v="0"/>
    <n v="0"/>
    <n v="0"/>
    <n v="302"/>
    <n v="302"/>
    <x v="0"/>
    <n v="116"/>
    <n v="77"/>
    <n v="22.67"/>
    <n v="22.67"/>
    <x v="1"/>
    <n v="75"/>
    <n v="75"/>
    <n v="98"/>
    <n v="98"/>
    <x v="0"/>
    <x v="0"/>
  </r>
  <r>
    <n v="0"/>
    <x v="0"/>
    <n v="44"/>
    <x v="1"/>
    <n v="4"/>
    <n v="4"/>
    <s v="Post Graduate"/>
    <x v="3"/>
    <n v="0"/>
    <n v="0"/>
    <n v="0"/>
    <x v="1"/>
    <n v="0"/>
    <x v="0"/>
    <n v="0"/>
    <n v="0"/>
    <n v="0"/>
    <n v="216"/>
    <n v="216"/>
    <x v="1"/>
    <n v="113"/>
    <n v="74"/>
    <n v="22.19"/>
    <n v="22.19"/>
    <x v="1"/>
    <n v="80"/>
    <n v="80"/>
    <n v="76"/>
    <n v="76"/>
    <x v="0"/>
    <x v="0"/>
  </r>
  <r>
    <n v="0"/>
    <x v="0"/>
    <n v="44"/>
    <x v="1"/>
    <s v="NA"/>
    <n v="1"/>
    <s v="Primary"/>
    <x v="2"/>
    <n v="1"/>
    <n v="30"/>
    <n v="30"/>
    <x v="0"/>
    <n v="0"/>
    <x v="0"/>
    <n v="0"/>
    <n v="0"/>
    <n v="0"/>
    <n v="292"/>
    <n v="292"/>
    <x v="0"/>
    <n v="110"/>
    <n v="65"/>
    <n v="22.55"/>
    <n v="22.55"/>
    <x v="1"/>
    <n v="62"/>
    <n v="62"/>
    <n v="78"/>
    <n v="78"/>
    <x v="0"/>
    <x v="0"/>
  </r>
  <r>
    <n v="0"/>
    <x v="0"/>
    <n v="44"/>
    <x v="1"/>
    <n v="1"/>
    <n v="1"/>
    <s v="Primary"/>
    <x v="2"/>
    <n v="1"/>
    <n v="9"/>
    <n v="9"/>
    <x v="0"/>
    <n v="0"/>
    <x v="0"/>
    <n v="0"/>
    <n v="0"/>
    <n v="0"/>
    <n v="140"/>
    <n v="140"/>
    <x v="1"/>
    <n v="118"/>
    <n v="74"/>
    <n v="26.51"/>
    <n v="26.51"/>
    <x v="0"/>
    <n v="80"/>
    <n v="80"/>
    <n v="82"/>
    <n v="82"/>
    <x v="0"/>
    <x v="0"/>
  </r>
  <r>
    <n v="1"/>
    <x v="1"/>
    <n v="44"/>
    <x v="1"/>
    <n v="1"/>
    <n v="1"/>
    <s v="Primary"/>
    <x v="2"/>
    <n v="1"/>
    <n v="20"/>
    <n v="20"/>
    <x v="0"/>
    <n v="0"/>
    <x v="0"/>
    <n v="0"/>
    <n v="1"/>
    <n v="0"/>
    <n v="246"/>
    <n v="246"/>
    <x v="0"/>
    <n v="136"/>
    <n v="94"/>
    <n v="24.56"/>
    <n v="24.56"/>
    <x v="1"/>
    <n v="85"/>
    <n v="85"/>
    <n v="86"/>
    <n v="86"/>
    <x v="0"/>
    <x v="0"/>
  </r>
  <r>
    <n v="0"/>
    <x v="0"/>
    <n v="44"/>
    <x v="1"/>
    <n v="2"/>
    <n v="2"/>
    <s v="Secondary"/>
    <x v="0"/>
    <n v="1"/>
    <n v="20"/>
    <n v="20"/>
    <x v="0"/>
    <n v="0"/>
    <x v="0"/>
    <n v="0"/>
    <n v="1"/>
    <n v="0"/>
    <n v="270"/>
    <n v="270"/>
    <x v="0"/>
    <n v="167.5"/>
    <n v="92.5"/>
    <n v="21.28"/>
    <n v="21.28"/>
    <x v="1"/>
    <n v="85"/>
    <n v="85"/>
    <n v="77"/>
    <n v="77"/>
    <x v="0"/>
    <x v="0"/>
  </r>
  <r>
    <n v="0"/>
    <x v="0"/>
    <n v="44"/>
    <x v="1"/>
    <n v="2"/>
    <n v="2"/>
    <s v="Secondary"/>
    <x v="0"/>
    <n v="1"/>
    <n v="15"/>
    <n v="15"/>
    <x v="0"/>
    <n v="0"/>
    <x v="0"/>
    <n v="0"/>
    <n v="0"/>
    <n v="0"/>
    <n v="244"/>
    <n v="244"/>
    <x v="0"/>
    <n v="101"/>
    <n v="66"/>
    <n v="25.38"/>
    <n v="25.38"/>
    <x v="0"/>
    <n v="85"/>
    <n v="85"/>
    <n v="76"/>
    <n v="76"/>
    <x v="0"/>
    <x v="0"/>
  </r>
  <r>
    <n v="0"/>
    <x v="0"/>
    <n v="44"/>
    <x v="1"/>
    <n v="4"/>
    <n v="4"/>
    <s v="Post Graduate"/>
    <x v="3"/>
    <n v="1"/>
    <n v="5"/>
    <n v="5"/>
    <x v="0"/>
    <n v="0"/>
    <x v="0"/>
    <n v="0"/>
    <n v="0"/>
    <n v="0"/>
    <n v="231"/>
    <n v="231"/>
    <x v="1"/>
    <n v="133"/>
    <n v="89"/>
    <n v="29.29"/>
    <n v="29.29"/>
    <x v="0"/>
    <n v="70"/>
    <n v="70"/>
    <n v="83"/>
    <n v="83"/>
    <x v="0"/>
    <x v="0"/>
  </r>
  <r>
    <n v="0"/>
    <x v="0"/>
    <n v="44"/>
    <x v="1"/>
    <n v="4"/>
    <n v="4"/>
    <s v="Post Graduate"/>
    <x v="3"/>
    <n v="0"/>
    <n v="0"/>
    <n v="0"/>
    <x v="1"/>
    <n v="0"/>
    <x v="0"/>
    <n v="0"/>
    <n v="0"/>
    <n v="0"/>
    <n v="205"/>
    <n v="205"/>
    <x v="1"/>
    <n v="116"/>
    <n v="70"/>
    <n v="21.99"/>
    <n v="21.99"/>
    <x v="1"/>
    <n v="68"/>
    <n v="68"/>
    <n v="85"/>
    <n v="85"/>
    <x v="0"/>
    <x v="0"/>
  </r>
  <r>
    <n v="0"/>
    <x v="0"/>
    <n v="44"/>
    <x v="1"/>
    <n v="2"/>
    <n v="2"/>
    <s v="Secondary"/>
    <x v="0"/>
    <n v="0"/>
    <n v="0"/>
    <n v="0"/>
    <x v="1"/>
    <n v="1"/>
    <x v="1"/>
    <n v="0"/>
    <n v="1"/>
    <n v="0"/>
    <n v="208"/>
    <n v="208"/>
    <x v="1"/>
    <n v="142"/>
    <n v="88"/>
    <n v="31.29"/>
    <n v="31.29"/>
    <x v="2"/>
    <n v="69"/>
    <n v="69"/>
    <n v="77"/>
    <n v="77"/>
    <x v="0"/>
    <x v="0"/>
  </r>
  <r>
    <n v="1"/>
    <x v="1"/>
    <n v="44"/>
    <x v="1"/>
    <n v="4"/>
    <n v="4"/>
    <s v="Post Graduate"/>
    <x v="3"/>
    <n v="0"/>
    <n v="0"/>
    <n v="0"/>
    <x v="1"/>
    <n v="0"/>
    <x v="0"/>
    <n v="0"/>
    <n v="0"/>
    <n v="0"/>
    <n v="175"/>
    <n v="175"/>
    <x v="1"/>
    <n v="104"/>
    <n v="78"/>
    <n v="26.26"/>
    <n v="26.26"/>
    <x v="0"/>
    <n v="55"/>
    <n v="55"/>
    <n v="82"/>
    <n v="82"/>
    <x v="0"/>
    <x v="0"/>
  </r>
  <r>
    <n v="0"/>
    <x v="0"/>
    <n v="44"/>
    <x v="1"/>
    <n v="3"/>
    <n v="3"/>
    <s v="Graduate"/>
    <x v="1"/>
    <n v="1"/>
    <n v="20"/>
    <n v="20"/>
    <x v="0"/>
    <n v="0"/>
    <x v="0"/>
    <n v="0"/>
    <n v="1"/>
    <n v="0"/>
    <n v="284"/>
    <n v="284"/>
    <x v="0"/>
    <n v="143"/>
    <n v="92"/>
    <n v="21.19"/>
    <n v="21.19"/>
    <x v="1"/>
    <n v="84"/>
    <n v="84"/>
    <n v="88"/>
    <n v="88"/>
    <x v="0"/>
    <x v="0"/>
  </r>
  <r>
    <n v="0"/>
    <x v="0"/>
    <n v="44"/>
    <x v="1"/>
    <n v="1"/>
    <n v="1"/>
    <s v="Primary"/>
    <x v="2"/>
    <n v="1"/>
    <n v="7"/>
    <n v="7"/>
    <x v="0"/>
    <n v="0"/>
    <x v="0"/>
    <n v="0"/>
    <n v="0"/>
    <n v="0"/>
    <n v="189"/>
    <n v="189"/>
    <x v="1"/>
    <n v="107.5"/>
    <n v="78"/>
    <n v="26.95"/>
    <n v="26.95"/>
    <x v="0"/>
    <n v="60"/>
    <n v="60"/>
    <s v="NA"/>
    <n v="81.96365524402907"/>
    <x v="0"/>
    <x v="0"/>
  </r>
  <r>
    <n v="0"/>
    <x v="0"/>
    <n v="44"/>
    <x v="1"/>
    <n v="3"/>
    <n v="3"/>
    <s v="Graduate"/>
    <x v="1"/>
    <n v="0"/>
    <n v="0"/>
    <n v="0"/>
    <x v="1"/>
    <n v="0"/>
    <x v="0"/>
    <n v="0"/>
    <n v="0"/>
    <n v="0"/>
    <n v="257"/>
    <n v="257"/>
    <x v="0"/>
    <n v="129"/>
    <n v="93"/>
    <n v="27.56"/>
    <n v="27.56"/>
    <x v="0"/>
    <n v="75"/>
    <n v="75"/>
    <n v="76"/>
    <n v="76"/>
    <x v="0"/>
    <x v="0"/>
  </r>
  <r>
    <n v="1"/>
    <x v="1"/>
    <n v="44"/>
    <x v="1"/>
    <n v="1"/>
    <n v="1"/>
    <s v="Primary"/>
    <x v="2"/>
    <n v="0"/>
    <n v="0"/>
    <n v="0"/>
    <x v="1"/>
    <n v="0"/>
    <x v="0"/>
    <n v="0"/>
    <n v="1"/>
    <n v="0"/>
    <n v="212"/>
    <n v="212"/>
    <x v="1"/>
    <n v="130"/>
    <n v="94"/>
    <n v="26.97"/>
    <n v="26.97"/>
    <x v="0"/>
    <n v="80"/>
    <n v="80"/>
    <n v="64"/>
    <n v="64"/>
    <x v="0"/>
    <x v="0"/>
  </r>
  <r>
    <n v="0"/>
    <x v="0"/>
    <n v="44"/>
    <x v="1"/>
    <n v="2"/>
    <n v="2"/>
    <s v="Secondary"/>
    <x v="0"/>
    <n v="1"/>
    <n v="10"/>
    <n v="10"/>
    <x v="0"/>
    <n v="0"/>
    <x v="0"/>
    <n v="0"/>
    <n v="0"/>
    <n v="0"/>
    <n v="222"/>
    <n v="222"/>
    <x v="1"/>
    <n v="130"/>
    <n v="86"/>
    <n v="27.42"/>
    <n v="27.42"/>
    <x v="0"/>
    <n v="100"/>
    <n v="100"/>
    <n v="84"/>
    <n v="84"/>
    <x v="0"/>
    <x v="0"/>
  </r>
  <r>
    <n v="0"/>
    <x v="0"/>
    <n v="44"/>
    <x v="1"/>
    <n v="2"/>
    <n v="2"/>
    <s v="Secondary"/>
    <x v="0"/>
    <n v="1"/>
    <n v="10"/>
    <n v="10"/>
    <x v="0"/>
    <n v="0"/>
    <x v="0"/>
    <n v="0"/>
    <n v="1"/>
    <n v="0"/>
    <n v="174"/>
    <n v="174"/>
    <x v="1"/>
    <n v="174"/>
    <n v="130"/>
    <n v="33.99"/>
    <n v="33.99"/>
    <x v="2"/>
    <n v="80"/>
    <n v="80"/>
    <n v="63"/>
    <n v="63"/>
    <x v="0"/>
    <x v="0"/>
  </r>
  <r>
    <n v="0"/>
    <x v="0"/>
    <n v="44"/>
    <x v="1"/>
    <n v="3"/>
    <n v="3"/>
    <s v="Graduate"/>
    <x v="1"/>
    <n v="0"/>
    <n v="0"/>
    <n v="0"/>
    <x v="1"/>
    <n v="0"/>
    <x v="0"/>
    <n v="0"/>
    <n v="0"/>
    <n v="0"/>
    <n v="180"/>
    <n v="180"/>
    <x v="1"/>
    <n v="120"/>
    <n v="80"/>
    <n v="21.67"/>
    <n v="21.67"/>
    <x v="1"/>
    <n v="60"/>
    <n v="60"/>
    <s v="NA"/>
    <n v="81.96365524402907"/>
    <x v="0"/>
    <x v="1"/>
  </r>
  <r>
    <n v="0"/>
    <x v="0"/>
    <n v="44"/>
    <x v="1"/>
    <n v="1"/>
    <n v="1"/>
    <s v="Primary"/>
    <x v="2"/>
    <n v="1"/>
    <n v="20"/>
    <n v="20"/>
    <x v="0"/>
    <n v="0"/>
    <x v="0"/>
    <n v="0"/>
    <n v="0"/>
    <n v="0"/>
    <n v="205"/>
    <n v="205"/>
    <x v="1"/>
    <n v="132.5"/>
    <n v="82.5"/>
    <n v="30.98"/>
    <n v="30.98"/>
    <x v="2"/>
    <n v="72"/>
    <n v="72"/>
    <n v="66"/>
    <n v="66"/>
    <x v="0"/>
    <x v="0"/>
  </r>
  <r>
    <n v="1"/>
    <x v="1"/>
    <n v="44"/>
    <x v="1"/>
    <n v="1"/>
    <n v="1"/>
    <s v="Primary"/>
    <x v="2"/>
    <n v="1"/>
    <n v="25"/>
    <n v="25"/>
    <x v="0"/>
    <n v="0"/>
    <x v="0"/>
    <n v="0"/>
    <n v="0"/>
    <n v="0"/>
    <n v="254"/>
    <n v="254"/>
    <x v="0"/>
    <n v="123"/>
    <n v="82"/>
    <n v="24.56"/>
    <n v="24.56"/>
    <x v="1"/>
    <n v="87"/>
    <n v="87"/>
    <n v="68"/>
    <n v="68"/>
    <x v="0"/>
    <x v="0"/>
  </r>
  <r>
    <n v="0"/>
    <x v="0"/>
    <n v="44"/>
    <x v="1"/>
    <n v="4"/>
    <n v="4"/>
    <s v="Post Graduate"/>
    <x v="3"/>
    <n v="1"/>
    <n v="10"/>
    <n v="10"/>
    <x v="0"/>
    <n v="0"/>
    <x v="0"/>
    <n v="0"/>
    <n v="0"/>
    <n v="0"/>
    <n v="170"/>
    <n v="170"/>
    <x v="1"/>
    <n v="107"/>
    <n v="70.5"/>
    <n v="19.28"/>
    <n v="19.28"/>
    <x v="1"/>
    <n v="63"/>
    <n v="63"/>
    <s v="NA"/>
    <n v="81.96365524402907"/>
    <x v="0"/>
    <x v="0"/>
  </r>
  <r>
    <n v="1"/>
    <x v="1"/>
    <n v="44"/>
    <x v="1"/>
    <n v="1"/>
    <n v="1"/>
    <s v="Primary"/>
    <x v="2"/>
    <n v="0"/>
    <n v="0"/>
    <n v="0"/>
    <x v="1"/>
    <n v="0"/>
    <x v="0"/>
    <n v="0"/>
    <n v="1"/>
    <n v="1"/>
    <n v="208"/>
    <n v="208"/>
    <x v="1"/>
    <n v="175"/>
    <n v="101"/>
    <n v="27.93"/>
    <n v="27.93"/>
    <x v="0"/>
    <n v="95"/>
    <n v="95"/>
    <n v="193"/>
    <n v="193"/>
    <x v="0"/>
    <x v="0"/>
  </r>
  <r>
    <n v="0"/>
    <x v="0"/>
    <n v="44"/>
    <x v="1"/>
    <n v="1"/>
    <n v="1"/>
    <s v="Primary"/>
    <x v="2"/>
    <n v="0"/>
    <n v="0"/>
    <n v="0"/>
    <x v="1"/>
    <n v="0"/>
    <x v="0"/>
    <n v="0"/>
    <n v="0"/>
    <n v="0"/>
    <n v="160"/>
    <n v="160"/>
    <x v="1"/>
    <n v="107"/>
    <n v="69"/>
    <n v="18.63"/>
    <n v="18.63"/>
    <x v="1"/>
    <n v="125"/>
    <n v="125"/>
    <n v="78"/>
    <n v="78"/>
    <x v="0"/>
    <x v="0"/>
  </r>
  <r>
    <n v="1"/>
    <x v="1"/>
    <n v="44"/>
    <x v="1"/>
    <n v="2"/>
    <n v="2"/>
    <s v="Secondary"/>
    <x v="0"/>
    <n v="1"/>
    <n v="20"/>
    <n v="20"/>
    <x v="0"/>
    <n v="0"/>
    <x v="0"/>
    <n v="0"/>
    <n v="0"/>
    <n v="0"/>
    <n v="311"/>
    <n v="311"/>
    <x v="0"/>
    <n v="115"/>
    <n v="80"/>
    <n v="25.43"/>
    <n v="25.43"/>
    <x v="0"/>
    <n v="68"/>
    <n v="68"/>
    <n v="90"/>
    <n v="90"/>
    <x v="0"/>
    <x v="0"/>
  </r>
  <r>
    <n v="1"/>
    <x v="1"/>
    <n v="44"/>
    <x v="1"/>
    <n v="2"/>
    <n v="2"/>
    <s v="Secondary"/>
    <x v="0"/>
    <n v="0"/>
    <n v="0"/>
    <n v="0"/>
    <x v="1"/>
    <n v="0"/>
    <x v="0"/>
    <n v="0"/>
    <n v="0"/>
    <n v="0"/>
    <n v="254"/>
    <n v="254"/>
    <x v="0"/>
    <n v="130"/>
    <n v="80"/>
    <n v="28.15"/>
    <n v="28.15"/>
    <x v="0"/>
    <n v="80"/>
    <n v="80"/>
    <n v="74"/>
    <n v="74"/>
    <x v="0"/>
    <x v="0"/>
  </r>
  <r>
    <n v="1"/>
    <x v="1"/>
    <n v="44"/>
    <x v="1"/>
    <n v="1"/>
    <n v="1"/>
    <s v="Primary"/>
    <x v="2"/>
    <n v="0"/>
    <n v="0"/>
    <n v="0"/>
    <x v="1"/>
    <n v="0"/>
    <x v="0"/>
    <n v="0"/>
    <n v="0"/>
    <n v="0"/>
    <n v="160"/>
    <n v="160"/>
    <x v="1"/>
    <n v="118.5"/>
    <n v="87"/>
    <n v="25.81"/>
    <n v="25.81"/>
    <x v="0"/>
    <n v="54"/>
    <n v="54"/>
    <s v="NA"/>
    <n v="81.96365524402907"/>
    <x v="0"/>
    <x v="0"/>
  </r>
  <r>
    <n v="0"/>
    <x v="0"/>
    <n v="44"/>
    <x v="1"/>
    <n v="1"/>
    <n v="1"/>
    <s v="Primary"/>
    <x v="2"/>
    <n v="0"/>
    <n v="0"/>
    <n v="0"/>
    <x v="1"/>
    <n v="0"/>
    <x v="0"/>
    <n v="0"/>
    <n v="0"/>
    <n v="0"/>
    <n v="230"/>
    <n v="230"/>
    <x v="1"/>
    <n v="130"/>
    <n v="81.5"/>
    <n v="25.74"/>
    <n v="25.74"/>
    <x v="0"/>
    <n v="88"/>
    <n v="88"/>
    <n v="77"/>
    <n v="77"/>
    <x v="0"/>
    <x v="0"/>
  </r>
  <r>
    <n v="1"/>
    <x v="1"/>
    <n v="44"/>
    <x v="1"/>
    <n v="1"/>
    <n v="1"/>
    <s v="Primary"/>
    <x v="2"/>
    <n v="1"/>
    <n v="20"/>
    <n v="20"/>
    <x v="0"/>
    <n v="0"/>
    <x v="0"/>
    <n v="0"/>
    <n v="0"/>
    <n v="0"/>
    <n v="232"/>
    <n v="232"/>
    <x v="1"/>
    <n v="137.5"/>
    <n v="87.5"/>
    <n v="30.03"/>
    <n v="30.03"/>
    <x v="2"/>
    <n v="88"/>
    <n v="88"/>
    <n v="70"/>
    <n v="70"/>
    <x v="0"/>
    <x v="0"/>
  </r>
  <r>
    <n v="0"/>
    <x v="0"/>
    <n v="44"/>
    <x v="1"/>
    <n v="3"/>
    <n v="3"/>
    <s v="Graduate"/>
    <x v="1"/>
    <n v="0"/>
    <n v="0"/>
    <n v="0"/>
    <x v="1"/>
    <n v="0"/>
    <x v="0"/>
    <n v="0"/>
    <n v="0"/>
    <n v="0"/>
    <n v="180"/>
    <n v="180"/>
    <x v="1"/>
    <n v="110"/>
    <n v="70"/>
    <n v="23.98"/>
    <n v="23.98"/>
    <x v="1"/>
    <n v="92"/>
    <n v="92"/>
    <n v="67"/>
    <n v="67"/>
    <x v="0"/>
    <x v="1"/>
  </r>
  <r>
    <n v="0"/>
    <x v="0"/>
    <n v="44"/>
    <x v="1"/>
    <n v="1"/>
    <n v="1"/>
    <s v="Primary"/>
    <x v="2"/>
    <n v="1"/>
    <n v="15"/>
    <n v="15"/>
    <x v="0"/>
    <n v="0"/>
    <x v="0"/>
    <n v="0"/>
    <n v="0"/>
    <n v="0"/>
    <n v="210"/>
    <n v="210"/>
    <x v="1"/>
    <n v="126.5"/>
    <n v="87"/>
    <n v="19.16"/>
    <n v="19.16"/>
    <x v="1"/>
    <n v="86"/>
    <n v="86"/>
    <s v="NA"/>
    <n v="81.96365524402907"/>
    <x v="0"/>
    <x v="0"/>
  </r>
  <r>
    <n v="0"/>
    <x v="0"/>
    <n v="45"/>
    <x v="1"/>
    <n v="2"/>
    <n v="2"/>
    <s v="Secondary"/>
    <x v="0"/>
    <n v="1"/>
    <n v="20"/>
    <n v="20"/>
    <x v="0"/>
    <n v="0"/>
    <x v="0"/>
    <n v="0"/>
    <n v="0"/>
    <n v="0"/>
    <n v="313"/>
    <n v="313"/>
    <x v="0"/>
    <n v="100"/>
    <n v="71"/>
    <n v="21.68"/>
    <n v="21.68"/>
    <x v="1"/>
    <n v="79"/>
    <n v="79"/>
    <n v="78"/>
    <n v="78"/>
    <x v="0"/>
    <x v="0"/>
  </r>
  <r>
    <n v="0"/>
    <x v="0"/>
    <n v="45"/>
    <x v="1"/>
    <n v="1"/>
    <n v="1"/>
    <s v="Primary"/>
    <x v="2"/>
    <n v="0"/>
    <n v="0"/>
    <n v="0"/>
    <x v="1"/>
    <n v="0"/>
    <x v="0"/>
    <n v="0"/>
    <n v="1"/>
    <n v="0"/>
    <n v="183"/>
    <n v="183"/>
    <x v="1"/>
    <n v="151"/>
    <n v="101"/>
    <n v="45.8"/>
    <n v="45.8"/>
    <x v="2"/>
    <n v="80"/>
    <n v="80"/>
    <n v="63"/>
    <n v="63"/>
    <x v="0"/>
    <x v="0"/>
  </r>
  <r>
    <n v="0"/>
    <x v="0"/>
    <n v="45"/>
    <x v="1"/>
    <n v="3"/>
    <n v="3"/>
    <s v="Graduate"/>
    <x v="1"/>
    <n v="1"/>
    <n v="9"/>
    <n v="9"/>
    <x v="0"/>
    <n v="0"/>
    <x v="0"/>
    <n v="0"/>
    <n v="0"/>
    <n v="0"/>
    <n v="268"/>
    <n v="268"/>
    <x v="0"/>
    <n v="110"/>
    <n v="64"/>
    <n v="20.68"/>
    <n v="20.68"/>
    <x v="1"/>
    <n v="63"/>
    <n v="63"/>
    <n v="71"/>
    <n v="71"/>
    <x v="0"/>
    <x v="0"/>
  </r>
  <r>
    <n v="0"/>
    <x v="0"/>
    <n v="45"/>
    <x v="1"/>
    <n v="4"/>
    <n v="4"/>
    <s v="Post Graduate"/>
    <x v="3"/>
    <n v="1"/>
    <n v="15"/>
    <n v="15"/>
    <x v="0"/>
    <n v="0"/>
    <x v="0"/>
    <n v="0"/>
    <n v="0"/>
    <n v="0"/>
    <n v="224"/>
    <n v="224"/>
    <x v="1"/>
    <n v="117"/>
    <n v="74.5"/>
    <n v="16.75"/>
    <n v="16.75"/>
    <x v="3"/>
    <n v="68"/>
    <n v="68"/>
    <n v="87"/>
    <n v="87"/>
    <x v="0"/>
    <x v="0"/>
  </r>
  <r>
    <n v="1"/>
    <x v="1"/>
    <n v="45"/>
    <x v="1"/>
    <n v="3"/>
    <n v="3"/>
    <s v="Graduate"/>
    <x v="1"/>
    <n v="1"/>
    <n v="40"/>
    <n v="40"/>
    <x v="0"/>
    <s v="NA"/>
    <x v="0"/>
    <n v="0"/>
    <n v="0"/>
    <n v="0"/>
    <n v="278"/>
    <n v="278"/>
    <x v="0"/>
    <n v="135"/>
    <n v="84"/>
    <n v="23.79"/>
    <n v="23.79"/>
    <x v="1"/>
    <n v="75"/>
    <n v="75"/>
    <n v="79"/>
    <n v="79"/>
    <x v="1"/>
    <x v="1"/>
  </r>
  <r>
    <n v="1"/>
    <x v="1"/>
    <n v="45"/>
    <x v="1"/>
    <n v="4"/>
    <n v="4"/>
    <s v="Post Graduate"/>
    <x v="3"/>
    <n v="1"/>
    <n v="18"/>
    <n v="18"/>
    <x v="0"/>
    <n v="0"/>
    <x v="0"/>
    <n v="0"/>
    <n v="0"/>
    <n v="0"/>
    <n v="176"/>
    <n v="176"/>
    <x v="1"/>
    <n v="124"/>
    <n v="84"/>
    <n v="20.27"/>
    <n v="20.27"/>
    <x v="1"/>
    <n v="77"/>
    <n v="77"/>
    <n v="75"/>
    <n v="75"/>
    <x v="0"/>
    <x v="0"/>
  </r>
  <r>
    <n v="1"/>
    <x v="1"/>
    <n v="45"/>
    <x v="1"/>
    <n v="1"/>
    <n v="1"/>
    <s v="Primary"/>
    <x v="2"/>
    <n v="1"/>
    <n v="43"/>
    <n v="43"/>
    <x v="0"/>
    <n v="0"/>
    <x v="0"/>
    <n v="0"/>
    <n v="1"/>
    <n v="0"/>
    <n v="191"/>
    <n v="191"/>
    <x v="1"/>
    <n v="139.5"/>
    <n v="75"/>
    <n v="22.3"/>
    <n v="22.3"/>
    <x v="1"/>
    <n v="77"/>
    <n v="77"/>
    <s v="NA"/>
    <n v="81.96365524402907"/>
    <x v="0"/>
    <x v="0"/>
  </r>
  <r>
    <n v="0"/>
    <x v="0"/>
    <n v="45"/>
    <x v="1"/>
    <n v="3"/>
    <n v="3"/>
    <s v="Graduate"/>
    <x v="1"/>
    <n v="0"/>
    <n v="0"/>
    <n v="0"/>
    <x v="1"/>
    <n v="0"/>
    <x v="0"/>
    <n v="0"/>
    <n v="0"/>
    <n v="0"/>
    <n v="246"/>
    <n v="246"/>
    <x v="0"/>
    <n v="134"/>
    <n v="81"/>
    <n v="21.99"/>
    <n v="21.99"/>
    <x v="1"/>
    <n v="85"/>
    <n v="85"/>
    <n v="76"/>
    <n v="76"/>
    <x v="0"/>
    <x v="0"/>
  </r>
  <r>
    <n v="1"/>
    <x v="1"/>
    <n v="45"/>
    <x v="1"/>
    <n v="2"/>
    <n v="2"/>
    <s v="Secondary"/>
    <x v="0"/>
    <n v="0"/>
    <n v="0"/>
    <n v="0"/>
    <x v="1"/>
    <n v="0"/>
    <x v="0"/>
    <n v="0"/>
    <n v="0"/>
    <n v="0"/>
    <n v="203"/>
    <n v="203"/>
    <x v="1"/>
    <n v="107.5"/>
    <n v="72.5"/>
    <n v="22.32"/>
    <n v="22.32"/>
    <x v="1"/>
    <n v="75"/>
    <n v="75"/>
    <n v="83"/>
    <n v="83"/>
    <x v="0"/>
    <x v="0"/>
  </r>
  <r>
    <n v="1"/>
    <x v="1"/>
    <n v="45"/>
    <x v="1"/>
    <n v="1"/>
    <n v="1"/>
    <s v="Primary"/>
    <x v="2"/>
    <n v="1"/>
    <n v="9"/>
    <n v="9"/>
    <x v="0"/>
    <n v="0"/>
    <x v="0"/>
    <n v="0"/>
    <n v="1"/>
    <n v="0"/>
    <n v="265"/>
    <n v="265"/>
    <x v="0"/>
    <n v="156.5"/>
    <n v="86"/>
    <n v="24.15"/>
    <n v="24.15"/>
    <x v="1"/>
    <n v="75"/>
    <n v="75"/>
    <n v="76"/>
    <n v="76"/>
    <x v="0"/>
    <x v="1"/>
  </r>
  <r>
    <n v="0"/>
    <x v="0"/>
    <n v="45"/>
    <x v="1"/>
    <n v="3"/>
    <n v="3"/>
    <s v="Graduate"/>
    <x v="1"/>
    <n v="0"/>
    <n v="0"/>
    <n v="0"/>
    <x v="1"/>
    <n v="0"/>
    <x v="0"/>
    <n v="0"/>
    <n v="0"/>
    <n v="0"/>
    <n v="129"/>
    <n v="129"/>
    <x v="1"/>
    <n v="109"/>
    <n v="69"/>
    <n v="22.36"/>
    <n v="22.36"/>
    <x v="1"/>
    <n v="75"/>
    <n v="75"/>
    <s v="NA"/>
    <n v="81.96365524402907"/>
    <x v="0"/>
    <x v="0"/>
  </r>
  <r>
    <n v="0"/>
    <x v="0"/>
    <n v="45"/>
    <x v="1"/>
    <s v="NA"/>
    <n v="1"/>
    <s v="Primary"/>
    <x v="2"/>
    <n v="1"/>
    <n v="30"/>
    <n v="30"/>
    <x v="0"/>
    <n v="0"/>
    <x v="0"/>
    <n v="0"/>
    <n v="0"/>
    <n v="0"/>
    <n v="203"/>
    <n v="203"/>
    <x v="1"/>
    <n v="131"/>
    <n v="85"/>
    <n v="23.47"/>
    <n v="23.47"/>
    <x v="1"/>
    <n v="94"/>
    <n v="94"/>
    <n v="70"/>
    <n v="70"/>
    <x v="0"/>
    <x v="0"/>
  </r>
  <r>
    <n v="1"/>
    <x v="1"/>
    <n v="45"/>
    <x v="1"/>
    <n v="1"/>
    <n v="1"/>
    <s v="Primary"/>
    <x v="2"/>
    <n v="1"/>
    <n v="5"/>
    <n v="5"/>
    <x v="0"/>
    <n v="0"/>
    <x v="0"/>
    <n v="0"/>
    <n v="0"/>
    <n v="0"/>
    <n v="272"/>
    <n v="272"/>
    <x v="0"/>
    <n v="140"/>
    <n v="94"/>
    <n v="27.87"/>
    <n v="27.87"/>
    <x v="0"/>
    <n v="61"/>
    <n v="61"/>
    <n v="79"/>
    <n v="79"/>
    <x v="0"/>
    <x v="0"/>
  </r>
  <r>
    <n v="0"/>
    <x v="0"/>
    <n v="45"/>
    <x v="1"/>
    <n v="3"/>
    <n v="3"/>
    <s v="Graduate"/>
    <x v="1"/>
    <n v="0"/>
    <n v="0"/>
    <n v="0"/>
    <x v="1"/>
    <n v="0"/>
    <x v="0"/>
    <n v="0"/>
    <n v="1"/>
    <n v="0"/>
    <n v="231"/>
    <n v="231"/>
    <x v="1"/>
    <n v="157.5"/>
    <n v="104.5"/>
    <n v="22.86"/>
    <n v="22.86"/>
    <x v="1"/>
    <n v="75"/>
    <n v="75"/>
    <n v="92"/>
    <n v="92"/>
    <x v="0"/>
    <x v="0"/>
  </r>
  <r>
    <n v="0"/>
    <x v="0"/>
    <n v="45"/>
    <x v="1"/>
    <n v="2"/>
    <n v="2"/>
    <s v="Secondary"/>
    <x v="0"/>
    <n v="1"/>
    <n v="20"/>
    <n v="20"/>
    <x v="0"/>
    <n v="0"/>
    <x v="0"/>
    <n v="0"/>
    <n v="0"/>
    <n v="0"/>
    <n v="285"/>
    <n v="285"/>
    <x v="0"/>
    <n v="116"/>
    <n v="87"/>
    <n v="23.85"/>
    <n v="23.85"/>
    <x v="1"/>
    <n v="65"/>
    <n v="65"/>
    <n v="55"/>
    <n v="55"/>
    <x v="0"/>
    <x v="1"/>
  </r>
  <r>
    <n v="1"/>
    <x v="1"/>
    <n v="45"/>
    <x v="1"/>
    <n v="4"/>
    <n v="4"/>
    <s v="Post Graduate"/>
    <x v="3"/>
    <n v="1"/>
    <n v="20"/>
    <n v="20"/>
    <x v="0"/>
    <n v="0"/>
    <x v="0"/>
    <n v="0"/>
    <n v="0"/>
    <n v="0"/>
    <n v="226"/>
    <n v="226"/>
    <x v="1"/>
    <n v="119"/>
    <n v="75"/>
    <n v="25.34"/>
    <n v="25.34"/>
    <x v="0"/>
    <n v="70"/>
    <n v="70"/>
    <n v="66"/>
    <n v="66"/>
    <x v="0"/>
    <x v="0"/>
  </r>
  <r>
    <n v="1"/>
    <x v="1"/>
    <n v="45"/>
    <x v="1"/>
    <n v="1"/>
    <n v="1"/>
    <s v="Primary"/>
    <x v="2"/>
    <n v="1"/>
    <n v="20"/>
    <n v="20"/>
    <x v="0"/>
    <n v="0"/>
    <x v="0"/>
    <n v="0"/>
    <n v="0"/>
    <n v="0"/>
    <n v="246"/>
    <n v="246"/>
    <x v="0"/>
    <n v="111"/>
    <n v="72"/>
    <n v="21.79"/>
    <n v="21.79"/>
    <x v="1"/>
    <n v="75"/>
    <n v="75"/>
    <n v="118"/>
    <n v="118"/>
    <x v="0"/>
    <x v="0"/>
  </r>
  <r>
    <n v="0"/>
    <x v="0"/>
    <n v="45"/>
    <x v="1"/>
    <n v="2"/>
    <n v="2"/>
    <s v="Secondary"/>
    <x v="0"/>
    <n v="0"/>
    <n v="0"/>
    <n v="0"/>
    <x v="1"/>
    <n v="0"/>
    <x v="0"/>
    <n v="0"/>
    <n v="1"/>
    <n v="0"/>
    <n v="304"/>
    <n v="304"/>
    <x v="0"/>
    <n v="148"/>
    <n v="106"/>
    <n v="22.98"/>
    <n v="22.98"/>
    <x v="1"/>
    <n v="98"/>
    <n v="98"/>
    <n v="72"/>
    <n v="72"/>
    <x v="0"/>
    <x v="0"/>
  </r>
  <r>
    <n v="0"/>
    <x v="0"/>
    <n v="45"/>
    <x v="1"/>
    <n v="2"/>
    <n v="2"/>
    <s v="Secondary"/>
    <x v="0"/>
    <n v="0"/>
    <n v="0"/>
    <n v="0"/>
    <x v="1"/>
    <n v="0"/>
    <x v="0"/>
    <n v="0"/>
    <n v="1"/>
    <n v="0"/>
    <n v="226"/>
    <n v="226"/>
    <x v="1"/>
    <n v="180"/>
    <n v="99"/>
    <n v="45.79"/>
    <n v="45.79"/>
    <x v="2"/>
    <n v="110"/>
    <n v="110"/>
    <s v="NA"/>
    <n v="81.96365524402907"/>
    <x v="0"/>
    <x v="0"/>
  </r>
  <r>
    <n v="1"/>
    <x v="1"/>
    <n v="45"/>
    <x v="1"/>
    <n v="1"/>
    <n v="1"/>
    <s v="Primary"/>
    <x v="2"/>
    <n v="1"/>
    <n v="30"/>
    <n v="30"/>
    <x v="0"/>
    <n v="0"/>
    <x v="0"/>
    <n v="0"/>
    <n v="0"/>
    <n v="0"/>
    <n v="240"/>
    <n v="240"/>
    <x v="1"/>
    <n v="141"/>
    <n v="89"/>
    <n v="25.01"/>
    <n v="25.01"/>
    <x v="0"/>
    <n v="95"/>
    <n v="95"/>
    <n v="76"/>
    <n v="76"/>
    <x v="0"/>
    <x v="0"/>
  </r>
  <r>
    <n v="1"/>
    <x v="1"/>
    <n v="45"/>
    <x v="1"/>
    <n v="3"/>
    <n v="3"/>
    <s v="Graduate"/>
    <x v="1"/>
    <n v="1"/>
    <n v="30"/>
    <n v="30"/>
    <x v="0"/>
    <n v="0"/>
    <x v="0"/>
    <n v="0"/>
    <n v="1"/>
    <n v="0"/>
    <n v="233"/>
    <n v="233"/>
    <x v="1"/>
    <n v="151"/>
    <n v="95"/>
    <n v="29.17"/>
    <n v="29.17"/>
    <x v="0"/>
    <n v="78"/>
    <n v="78"/>
    <n v="95"/>
    <n v="95"/>
    <x v="0"/>
    <x v="0"/>
  </r>
  <r>
    <n v="1"/>
    <x v="1"/>
    <n v="45"/>
    <x v="1"/>
    <n v="1"/>
    <n v="1"/>
    <s v="Primary"/>
    <x v="2"/>
    <n v="0"/>
    <n v="0"/>
    <n v="0"/>
    <x v="1"/>
    <n v="0"/>
    <x v="0"/>
    <n v="0"/>
    <n v="0"/>
    <n v="0"/>
    <n v="258"/>
    <n v="258"/>
    <x v="0"/>
    <n v="114"/>
    <n v="80"/>
    <n v="26.6"/>
    <n v="26.6"/>
    <x v="0"/>
    <n v="80"/>
    <n v="80"/>
    <n v="68"/>
    <n v="68"/>
    <x v="0"/>
    <x v="0"/>
  </r>
  <r>
    <n v="0"/>
    <x v="0"/>
    <n v="45"/>
    <x v="1"/>
    <n v="1"/>
    <n v="1"/>
    <s v="Primary"/>
    <x v="2"/>
    <n v="0"/>
    <n v="0"/>
    <n v="0"/>
    <x v="1"/>
    <n v="0"/>
    <x v="0"/>
    <n v="0"/>
    <n v="0"/>
    <n v="0"/>
    <n v="220"/>
    <n v="220"/>
    <x v="1"/>
    <n v="126"/>
    <n v="82"/>
    <n v="23.87"/>
    <n v="23.87"/>
    <x v="1"/>
    <n v="79"/>
    <n v="79"/>
    <n v="90"/>
    <n v="90"/>
    <x v="0"/>
    <x v="0"/>
  </r>
  <r>
    <n v="1"/>
    <x v="1"/>
    <n v="45"/>
    <x v="1"/>
    <n v="4"/>
    <n v="4"/>
    <s v="Post Graduate"/>
    <x v="3"/>
    <n v="1"/>
    <n v="30"/>
    <n v="30"/>
    <x v="0"/>
    <n v="0"/>
    <x v="0"/>
    <n v="0"/>
    <n v="0"/>
    <n v="0"/>
    <n v="307"/>
    <n v="307"/>
    <x v="0"/>
    <n v="110"/>
    <n v="78"/>
    <n v="28.57"/>
    <n v="28.57"/>
    <x v="0"/>
    <n v="68"/>
    <n v="68"/>
    <n v="69"/>
    <n v="69"/>
    <x v="0"/>
    <x v="0"/>
  </r>
  <r>
    <n v="1"/>
    <x v="1"/>
    <n v="45"/>
    <x v="1"/>
    <n v="4"/>
    <n v="4"/>
    <s v="Post Graduate"/>
    <x v="3"/>
    <n v="1"/>
    <n v="5"/>
    <n v="5"/>
    <x v="0"/>
    <n v="0"/>
    <x v="0"/>
    <n v="0"/>
    <n v="1"/>
    <n v="0"/>
    <n v="227"/>
    <n v="227"/>
    <x v="1"/>
    <n v="166"/>
    <n v="102"/>
    <n v="29.32"/>
    <n v="29.32"/>
    <x v="0"/>
    <n v="58"/>
    <n v="58"/>
    <n v="85"/>
    <n v="85"/>
    <x v="0"/>
    <x v="0"/>
  </r>
  <r>
    <n v="0"/>
    <x v="0"/>
    <n v="45"/>
    <x v="1"/>
    <n v="2"/>
    <n v="2"/>
    <s v="Secondary"/>
    <x v="0"/>
    <n v="0"/>
    <n v="0"/>
    <n v="0"/>
    <x v="1"/>
    <n v="0"/>
    <x v="0"/>
    <n v="0"/>
    <n v="1"/>
    <n v="0"/>
    <n v="215"/>
    <n v="215"/>
    <x v="1"/>
    <n v="152.5"/>
    <n v="82"/>
    <n v="25.92"/>
    <n v="25.92"/>
    <x v="0"/>
    <n v="100"/>
    <n v="100"/>
    <n v="75"/>
    <n v="75"/>
    <x v="0"/>
    <x v="0"/>
  </r>
  <r>
    <n v="0"/>
    <x v="0"/>
    <n v="45"/>
    <x v="1"/>
    <n v="3"/>
    <n v="3"/>
    <s v="Graduate"/>
    <x v="1"/>
    <n v="1"/>
    <n v="20"/>
    <n v="20"/>
    <x v="0"/>
    <n v="0"/>
    <x v="0"/>
    <n v="0"/>
    <n v="0"/>
    <n v="0"/>
    <n v="156"/>
    <n v="156"/>
    <x v="1"/>
    <n v="119"/>
    <n v="83"/>
    <n v="22.02"/>
    <n v="22.02"/>
    <x v="1"/>
    <n v="68"/>
    <n v="68"/>
    <n v="78"/>
    <n v="78"/>
    <x v="0"/>
    <x v="0"/>
  </r>
  <r>
    <n v="0"/>
    <x v="0"/>
    <n v="45"/>
    <x v="1"/>
    <n v="3"/>
    <n v="3"/>
    <s v="Graduate"/>
    <x v="1"/>
    <n v="0"/>
    <n v="0"/>
    <n v="0"/>
    <x v="1"/>
    <n v="0"/>
    <x v="0"/>
    <n v="0"/>
    <n v="0"/>
    <n v="0"/>
    <n v="231"/>
    <n v="231"/>
    <x v="1"/>
    <n v="107.5"/>
    <n v="57.5"/>
    <s v="NA"/>
    <n v="25.80080075811421"/>
    <x v="0"/>
    <n v="81"/>
    <n v="81"/>
    <s v="NA"/>
    <n v="81.96365524402907"/>
    <x v="0"/>
    <x v="0"/>
  </r>
  <r>
    <n v="0"/>
    <x v="0"/>
    <n v="45"/>
    <x v="1"/>
    <n v="1"/>
    <n v="1"/>
    <s v="Primary"/>
    <x v="2"/>
    <n v="0"/>
    <n v="0"/>
    <n v="0"/>
    <x v="1"/>
    <n v="0"/>
    <x v="0"/>
    <n v="0"/>
    <n v="0"/>
    <n v="0"/>
    <n v="211"/>
    <n v="211"/>
    <x v="1"/>
    <n v="127.5"/>
    <n v="80"/>
    <n v="27.05"/>
    <n v="27.05"/>
    <x v="0"/>
    <n v="72"/>
    <n v="72"/>
    <n v="68"/>
    <n v="68"/>
    <x v="0"/>
    <x v="1"/>
  </r>
  <r>
    <n v="0"/>
    <x v="0"/>
    <n v="45"/>
    <x v="1"/>
    <n v="3"/>
    <n v="3"/>
    <s v="Graduate"/>
    <x v="1"/>
    <n v="1"/>
    <n v="15"/>
    <n v="15"/>
    <x v="0"/>
    <n v="0"/>
    <x v="0"/>
    <n v="0"/>
    <n v="0"/>
    <n v="0"/>
    <n v="210"/>
    <n v="210"/>
    <x v="1"/>
    <n v="127"/>
    <n v="76.5"/>
    <n v="21.67"/>
    <n v="21.67"/>
    <x v="1"/>
    <n v="83"/>
    <n v="83"/>
    <n v="72"/>
    <n v="72"/>
    <x v="0"/>
    <x v="0"/>
  </r>
  <r>
    <n v="0"/>
    <x v="0"/>
    <n v="45"/>
    <x v="1"/>
    <n v="3"/>
    <n v="3"/>
    <s v="Graduate"/>
    <x v="1"/>
    <n v="0"/>
    <n v="0"/>
    <n v="0"/>
    <x v="1"/>
    <n v="0"/>
    <x v="0"/>
    <n v="0"/>
    <n v="0"/>
    <n v="0"/>
    <n v="222"/>
    <n v="222"/>
    <x v="1"/>
    <n v="121"/>
    <n v="78.5"/>
    <n v="24.58"/>
    <n v="24.58"/>
    <x v="1"/>
    <n v="78"/>
    <n v="78"/>
    <s v="NA"/>
    <n v="81.96365524402907"/>
    <x v="0"/>
    <x v="0"/>
  </r>
  <r>
    <n v="1"/>
    <x v="1"/>
    <n v="45"/>
    <x v="1"/>
    <n v="3"/>
    <n v="3"/>
    <s v="Graduate"/>
    <x v="1"/>
    <n v="0"/>
    <n v="0"/>
    <n v="0"/>
    <x v="1"/>
    <n v="0"/>
    <x v="0"/>
    <n v="0"/>
    <n v="0"/>
    <n v="0"/>
    <n v="162"/>
    <n v="162"/>
    <x v="1"/>
    <n v="125"/>
    <n v="89"/>
    <n v="27.98"/>
    <n v="27.98"/>
    <x v="0"/>
    <n v="85"/>
    <n v="85"/>
    <n v="83"/>
    <n v="83"/>
    <x v="0"/>
    <x v="0"/>
  </r>
  <r>
    <n v="0"/>
    <x v="0"/>
    <n v="45"/>
    <x v="1"/>
    <n v="2"/>
    <n v="2"/>
    <s v="Secondary"/>
    <x v="0"/>
    <n v="0"/>
    <n v="0"/>
    <n v="0"/>
    <x v="1"/>
    <n v="0"/>
    <x v="0"/>
    <n v="0"/>
    <n v="0"/>
    <n v="0"/>
    <n v="262"/>
    <n v="262"/>
    <x v="0"/>
    <n v="133"/>
    <n v="83"/>
    <n v="22.19"/>
    <n v="22.19"/>
    <x v="1"/>
    <n v="76"/>
    <n v="76"/>
    <n v="92"/>
    <n v="92"/>
    <x v="0"/>
    <x v="1"/>
  </r>
  <r>
    <n v="1"/>
    <x v="1"/>
    <n v="45"/>
    <x v="1"/>
    <n v="3"/>
    <n v="3"/>
    <s v="Graduate"/>
    <x v="1"/>
    <n v="0"/>
    <n v="0"/>
    <n v="0"/>
    <x v="1"/>
    <n v="1"/>
    <x v="1"/>
    <n v="0"/>
    <n v="1"/>
    <n v="0"/>
    <n v="258"/>
    <n v="258"/>
    <x v="0"/>
    <n v="126"/>
    <n v="82"/>
    <n v="27.18"/>
    <n v="27.18"/>
    <x v="0"/>
    <n v="72"/>
    <n v="72"/>
    <n v="70"/>
    <n v="70"/>
    <x v="0"/>
    <x v="0"/>
  </r>
  <r>
    <n v="1"/>
    <x v="1"/>
    <n v="45"/>
    <x v="1"/>
    <n v="1"/>
    <n v="1"/>
    <s v="Primary"/>
    <x v="2"/>
    <n v="1"/>
    <n v="20"/>
    <n v="20"/>
    <x v="0"/>
    <n v="0"/>
    <x v="0"/>
    <n v="0"/>
    <n v="0"/>
    <n v="0"/>
    <n v="255"/>
    <n v="255"/>
    <x v="0"/>
    <n v="130"/>
    <n v="82.5"/>
    <n v="28.56"/>
    <n v="28.56"/>
    <x v="0"/>
    <n v="82"/>
    <n v="82"/>
    <n v="94"/>
    <n v="94"/>
    <x v="0"/>
    <x v="0"/>
  </r>
  <r>
    <n v="0"/>
    <x v="0"/>
    <n v="45"/>
    <x v="1"/>
    <n v="3"/>
    <n v="3"/>
    <s v="Graduate"/>
    <x v="1"/>
    <n v="1"/>
    <n v="20"/>
    <n v="20"/>
    <x v="0"/>
    <n v="0"/>
    <x v="0"/>
    <n v="0"/>
    <n v="0"/>
    <n v="0"/>
    <n v="196"/>
    <n v="196"/>
    <x v="1"/>
    <n v="123"/>
    <n v="71"/>
    <n v="20.56"/>
    <n v="20.56"/>
    <x v="1"/>
    <n v="80"/>
    <n v="80"/>
    <n v="76"/>
    <n v="76"/>
    <x v="0"/>
    <x v="0"/>
  </r>
  <r>
    <n v="0"/>
    <x v="0"/>
    <n v="45"/>
    <x v="1"/>
    <n v="2"/>
    <n v="2"/>
    <s v="Secondary"/>
    <x v="0"/>
    <n v="1"/>
    <n v="2"/>
    <n v="2"/>
    <x v="0"/>
    <n v="0"/>
    <x v="0"/>
    <n v="0"/>
    <n v="0"/>
    <n v="0"/>
    <n v="258"/>
    <n v="258"/>
    <x v="0"/>
    <n v="111"/>
    <n v="72"/>
    <n v="26.24"/>
    <n v="26.24"/>
    <x v="0"/>
    <n v="70"/>
    <n v="70"/>
    <n v="65"/>
    <n v="65"/>
    <x v="0"/>
    <x v="0"/>
  </r>
  <r>
    <n v="1"/>
    <x v="1"/>
    <n v="45"/>
    <x v="1"/>
    <n v="2"/>
    <n v="2"/>
    <s v="Secondary"/>
    <x v="0"/>
    <n v="1"/>
    <n v="20"/>
    <n v="20"/>
    <x v="0"/>
    <n v="0"/>
    <x v="0"/>
    <n v="0"/>
    <n v="0"/>
    <n v="1"/>
    <n v="279"/>
    <n v="279"/>
    <x v="0"/>
    <n v="138"/>
    <n v="86"/>
    <n v="30.63"/>
    <n v="30.63"/>
    <x v="2"/>
    <n v="80"/>
    <n v="80"/>
    <n v="144"/>
    <n v="144"/>
    <x v="0"/>
    <x v="0"/>
  </r>
  <r>
    <n v="1"/>
    <x v="1"/>
    <n v="45"/>
    <x v="1"/>
    <n v="4"/>
    <n v="4"/>
    <s v="Post Graduate"/>
    <x v="3"/>
    <n v="1"/>
    <n v="3"/>
    <n v="3"/>
    <x v="0"/>
    <n v="0"/>
    <x v="0"/>
    <n v="0"/>
    <n v="1"/>
    <n v="0"/>
    <n v="218"/>
    <n v="218"/>
    <x v="1"/>
    <n v="145"/>
    <n v="90"/>
    <n v="26.65"/>
    <n v="26.65"/>
    <x v="0"/>
    <n v="76"/>
    <n v="76"/>
    <n v="70"/>
    <n v="70"/>
    <x v="0"/>
    <x v="1"/>
  </r>
  <r>
    <n v="1"/>
    <x v="1"/>
    <n v="45"/>
    <x v="1"/>
    <n v="2"/>
    <n v="2"/>
    <s v="Secondary"/>
    <x v="0"/>
    <n v="1"/>
    <n v="20"/>
    <n v="20"/>
    <x v="0"/>
    <n v="0"/>
    <x v="0"/>
    <n v="0"/>
    <n v="0"/>
    <n v="0"/>
    <n v="207"/>
    <n v="207"/>
    <x v="1"/>
    <n v="117"/>
    <n v="80"/>
    <n v="20.170000000000002"/>
    <n v="20.170000000000002"/>
    <x v="1"/>
    <n v="75"/>
    <n v="75"/>
    <n v="59"/>
    <n v="59"/>
    <x v="0"/>
    <x v="0"/>
  </r>
  <r>
    <n v="0"/>
    <x v="0"/>
    <n v="45"/>
    <x v="1"/>
    <s v="NA"/>
    <n v="1"/>
    <s v="Primary"/>
    <x v="2"/>
    <n v="1"/>
    <n v="20"/>
    <n v="20"/>
    <x v="0"/>
    <n v="0"/>
    <x v="0"/>
    <n v="0"/>
    <n v="0"/>
    <n v="0"/>
    <n v="215"/>
    <n v="215"/>
    <x v="1"/>
    <n v="107"/>
    <n v="75"/>
    <n v="22.14"/>
    <n v="22.14"/>
    <x v="1"/>
    <n v="79"/>
    <n v="79"/>
    <n v="105"/>
    <n v="105"/>
    <x v="0"/>
    <x v="0"/>
  </r>
  <r>
    <n v="0"/>
    <x v="0"/>
    <n v="45"/>
    <x v="1"/>
    <n v="1"/>
    <n v="1"/>
    <s v="Primary"/>
    <x v="2"/>
    <n v="1"/>
    <n v="5"/>
    <n v="5"/>
    <x v="0"/>
    <n v="0"/>
    <x v="0"/>
    <n v="0"/>
    <n v="0"/>
    <n v="0"/>
    <n v="170"/>
    <n v="170"/>
    <x v="1"/>
    <n v="109.5"/>
    <n v="69"/>
    <n v="17.38"/>
    <n v="17.38"/>
    <x v="3"/>
    <n v="88"/>
    <n v="88"/>
    <n v="66"/>
    <n v="66"/>
    <x v="0"/>
    <x v="0"/>
  </r>
  <r>
    <n v="1"/>
    <x v="1"/>
    <n v="45"/>
    <x v="1"/>
    <n v="2"/>
    <n v="2"/>
    <s v="Secondary"/>
    <x v="0"/>
    <n v="0"/>
    <n v="0"/>
    <n v="0"/>
    <x v="1"/>
    <n v="0"/>
    <x v="0"/>
    <n v="0"/>
    <n v="0"/>
    <n v="0"/>
    <n v="232"/>
    <n v="232"/>
    <x v="1"/>
    <n v="122.5"/>
    <n v="82.5"/>
    <n v="27.55"/>
    <n v="27.55"/>
    <x v="0"/>
    <n v="74"/>
    <n v="74"/>
    <n v="59"/>
    <n v="59"/>
    <x v="0"/>
    <x v="1"/>
  </r>
  <r>
    <n v="0"/>
    <x v="0"/>
    <n v="45"/>
    <x v="1"/>
    <n v="4"/>
    <n v="4"/>
    <s v="Post Graduate"/>
    <x v="3"/>
    <n v="1"/>
    <n v="20"/>
    <n v="20"/>
    <x v="0"/>
    <n v="0"/>
    <x v="0"/>
    <n v="0"/>
    <n v="0"/>
    <n v="0"/>
    <n v="192"/>
    <n v="192"/>
    <x v="1"/>
    <n v="132"/>
    <n v="79"/>
    <n v="24.53"/>
    <n v="24.53"/>
    <x v="1"/>
    <n v="68"/>
    <n v="68"/>
    <n v="112"/>
    <n v="112"/>
    <x v="0"/>
    <x v="0"/>
  </r>
  <r>
    <n v="0"/>
    <x v="0"/>
    <n v="45"/>
    <x v="1"/>
    <n v="2"/>
    <n v="2"/>
    <s v="Secondary"/>
    <x v="0"/>
    <n v="0"/>
    <n v="0"/>
    <n v="0"/>
    <x v="1"/>
    <n v="0"/>
    <x v="0"/>
    <n v="0"/>
    <n v="1"/>
    <n v="0"/>
    <n v="222"/>
    <n v="222"/>
    <x v="1"/>
    <n v="167"/>
    <n v="107"/>
    <n v="25.56"/>
    <n v="25.56"/>
    <x v="0"/>
    <n v="82"/>
    <n v="82"/>
    <n v="88"/>
    <n v="88"/>
    <x v="0"/>
    <x v="0"/>
  </r>
  <r>
    <n v="0"/>
    <x v="0"/>
    <n v="45"/>
    <x v="1"/>
    <n v="4"/>
    <n v="4"/>
    <s v="Post Graduate"/>
    <x v="3"/>
    <n v="0"/>
    <n v="0"/>
    <n v="0"/>
    <x v="1"/>
    <n v="0"/>
    <x v="0"/>
    <n v="0"/>
    <n v="0"/>
    <n v="0"/>
    <n v="250"/>
    <n v="250"/>
    <x v="0"/>
    <n v="116"/>
    <n v="79"/>
    <n v="28.59"/>
    <n v="28.59"/>
    <x v="0"/>
    <n v="93"/>
    <n v="93"/>
    <n v="87"/>
    <n v="87"/>
    <x v="0"/>
    <x v="0"/>
  </r>
  <r>
    <n v="1"/>
    <x v="1"/>
    <n v="45"/>
    <x v="1"/>
    <n v="1"/>
    <n v="1"/>
    <s v="Primary"/>
    <x v="2"/>
    <n v="1"/>
    <n v="15"/>
    <n v="15"/>
    <x v="0"/>
    <n v="0"/>
    <x v="0"/>
    <n v="0"/>
    <n v="0"/>
    <n v="0"/>
    <n v="221"/>
    <n v="221"/>
    <x v="1"/>
    <n v="131"/>
    <n v="84"/>
    <n v="28.58"/>
    <n v="28.58"/>
    <x v="0"/>
    <n v="85"/>
    <n v="85"/>
    <n v="72"/>
    <n v="72"/>
    <x v="0"/>
    <x v="0"/>
  </r>
  <r>
    <n v="0"/>
    <x v="0"/>
    <n v="45"/>
    <x v="1"/>
    <n v="3"/>
    <n v="3"/>
    <s v="Graduate"/>
    <x v="1"/>
    <n v="0"/>
    <n v="0"/>
    <n v="0"/>
    <x v="1"/>
    <n v="0"/>
    <x v="0"/>
    <n v="0"/>
    <n v="0"/>
    <n v="0"/>
    <n v="186"/>
    <n v="186"/>
    <x v="1"/>
    <n v="104.5"/>
    <n v="71"/>
    <n v="31.35"/>
    <n v="31.35"/>
    <x v="2"/>
    <n v="55"/>
    <n v="55"/>
    <s v="NA"/>
    <n v="81.96365524402907"/>
    <x v="0"/>
    <x v="0"/>
  </r>
  <r>
    <n v="0"/>
    <x v="0"/>
    <n v="45"/>
    <x v="1"/>
    <n v="3"/>
    <n v="3"/>
    <s v="Graduate"/>
    <x v="1"/>
    <n v="1"/>
    <n v="9"/>
    <n v="9"/>
    <x v="0"/>
    <n v="0"/>
    <x v="0"/>
    <n v="0"/>
    <n v="1"/>
    <n v="0"/>
    <n v="261"/>
    <n v="261"/>
    <x v="0"/>
    <n v="140"/>
    <n v="88"/>
    <n v="21.44"/>
    <n v="21.44"/>
    <x v="1"/>
    <n v="70"/>
    <n v="70"/>
    <n v="78"/>
    <n v="78"/>
    <x v="0"/>
    <x v="0"/>
  </r>
  <r>
    <n v="1"/>
    <x v="1"/>
    <n v="45"/>
    <x v="1"/>
    <n v="1"/>
    <n v="1"/>
    <s v="Primary"/>
    <x v="2"/>
    <n v="0"/>
    <n v="0"/>
    <n v="0"/>
    <x v="1"/>
    <n v="0"/>
    <x v="0"/>
    <n v="0"/>
    <n v="0"/>
    <n v="0"/>
    <n v="172"/>
    <n v="172"/>
    <x v="1"/>
    <n v="119"/>
    <n v="84"/>
    <n v="28.25"/>
    <n v="28.25"/>
    <x v="0"/>
    <n v="58"/>
    <n v="58"/>
    <n v="98"/>
    <n v="98"/>
    <x v="0"/>
    <x v="0"/>
  </r>
  <r>
    <n v="0"/>
    <x v="0"/>
    <n v="45"/>
    <x v="1"/>
    <n v="1"/>
    <n v="1"/>
    <s v="Primary"/>
    <x v="2"/>
    <n v="0"/>
    <n v="0"/>
    <n v="0"/>
    <x v="1"/>
    <n v="0"/>
    <x v="0"/>
    <n v="0"/>
    <n v="0"/>
    <n v="0"/>
    <n v="244"/>
    <n v="244"/>
    <x v="0"/>
    <n v="112.5"/>
    <n v="77.5"/>
    <n v="25.97"/>
    <n v="25.97"/>
    <x v="0"/>
    <n v="75"/>
    <n v="75"/>
    <s v="NA"/>
    <n v="81.96365524402907"/>
    <x v="0"/>
    <x v="0"/>
  </r>
  <r>
    <n v="0"/>
    <x v="0"/>
    <n v="45"/>
    <x v="1"/>
    <n v="3"/>
    <n v="3"/>
    <s v="Graduate"/>
    <x v="1"/>
    <n v="0"/>
    <n v="0"/>
    <n v="0"/>
    <x v="1"/>
    <n v="0"/>
    <x v="0"/>
    <n v="0"/>
    <n v="0"/>
    <n v="0"/>
    <n v="225"/>
    <n v="225"/>
    <x v="1"/>
    <n v="108.5"/>
    <n v="71.5"/>
    <n v="25.74"/>
    <n v="25.74"/>
    <x v="0"/>
    <n v="72"/>
    <n v="72"/>
    <n v="80"/>
    <n v="80"/>
    <x v="0"/>
    <x v="0"/>
  </r>
  <r>
    <n v="1"/>
    <x v="1"/>
    <n v="45"/>
    <x v="1"/>
    <n v="1"/>
    <n v="1"/>
    <s v="Primary"/>
    <x v="2"/>
    <n v="0"/>
    <n v="0"/>
    <n v="0"/>
    <x v="1"/>
    <n v="0"/>
    <x v="0"/>
    <n v="0"/>
    <n v="1"/>
    <n v="0"/>
    <n v="218"/>
    <n v="218"/>
    <x v="1"/>
    <n v="128"/>
    <n v="90"/>
    <n v="32.15"/>
    <n v="32.15"/>
    <x v="2"/>
    <n v="80"/>
    <n v="80"/>
    <n v="77"/>
    <n v="77"/>
    <x v="0"/>
    <x v="0"/>
  </r>
  <r>
    <n v="0"/>
    <x v="0"/>
    <n v="45"/>
    <x v="1"/>
    <n v="2"/>
    <n v="2"/>
    <s v="Secondary"/>
    <x v="0"/>
    <n v="0"/>
    <n v="0"/>
    <n v="0"/>
    <x v="1"/>
    <n v="0"/>
    <x v="0"/>
    <n v="0"/>
    <n v="0"/>
    <n v="0"/>
    <n v="218"/>
    <n v="218"/>
    <x v="1"/>
    <n v="110"/>
    <n v="70"/>
    <n v="20.239999999999998"/>
    <n v="20.239999999999998"/>
    <x v="1"/>
    <n v="80"/>
    <n v="80"/>
    <n v="78"/>
    <n v="78"/>
    <x v="0"/>
    <x v="0"/>
  </r>
  <r>
    <n v="0"/>
    <x v="0"/>
    <n v="45"/>
    <x v="1"/>
    <n v="2"/>
    <n v="2"/>
    <s v="Secondary"/>
    <x v="0"/>
    <n v="1"/>
    <n v="15"/>
    <n v="15"/>
    <x v="0"/>
    <n v="0"/>
    <x v="0"/>
    <n v="0"/>
    <n v="0"/>
    <n v="0"/>
    <n v="222"/>
    <n v="222"/>
    <x v="1"/>
    <n v="95"/>
    <n v="58"/>
    <n v="21.68"/>
    <n v="21.68"/>
    <x v="1"/>
    <n v="75"/>
    <n v="75"/>
    <n v="77"/>
    <n v="77"/>
    <x v="0"/>
    <x v="0"/>
  </r>
  <r>
    <n v="1"/>
    <x v="1"/>
    <n v="45"/>
    <x v="1"/>
    <n v="2"/>
    <n v="2"/>
    <s v="Secondary"/>
    <x v="0"/>
    <n v="1"/>
    <n v="20"/>
    <n v="20"/>
    <x v="0"/>
    <n v="0"/>
    <x v="0"/>
    <n v="0"/>
    <n v="0"/>
    <n v="0"/>
    <n v="194"/>
    <n v="194"/>
    <x v="1"/>
    <n v="133"/>
    <n v="83"/>
    <n v="20.41"/>
    <n v="20.41"/>
    <x v="1"/>
    <n v="55"/>
    <n v="55"/>
    <n v="76"/>
    <n v="76"/>
    <x v="0"/>
    <x v="1"/>
  </r>
  <r>
    <n v="0"/>
    <x v="0"/>
    <n v="45"/>
    <x v="1"/>
    <n v="2"/>
    <n v="2"/>
    <s v="Secondary"/>
    <x v="0"/>
    <n v="1"/>
    <n v="20"/>
    <n v="20"/>
    <x v="0"/>
    <n v="0"/>
    <x v="0"/>
    <n v="0"/>
    <n v="0"/>
    <n v="0"/>
    <n v="217"/>
    <n v="217"/>
    <x v="1"/>
    <n v="109"/>
    <n v="72"/>
    <n v="33.65"/>
    <n v="33.65"/>
    <x v="2"/>
    <n v="75"/>
    <n v="75"/>
    <n v="68"/>
    <n v="68"/>
    <x v="0"/>
    <x v="0"/>
  </r>
  <r>
    <n v="1"/>
    <x v="1"/>
    <n v="45"/>
    <x v="1"/>
    <n v="3"/>
    <n v="3"/>
    <s v="Graduate"/>
    <x v="1"/>
    <n v="1"/>
    <n v="23"/>
    <n v="23"/>
    <x v="0"/>
    <n v="0"/>
    <x v="0"/>
    <n v="0"/>
    <n v="0"/>
    <n v="0"/>
    <n v="263"/>
    <n v="263"/>
    <x v="0"/>
    <n v="115"/>
    <n v="76"/>
    <n v="24.94"/>
    <n v="24.94"/>
    <x v="1"/>
    <n v="68"/>
    <n v="68"/>
    <n v="78"/>
    <n v="78"/>
    <x v="0"/>
    <x v="0"/>
  </r>
  <r>
    <n v="0"/>
    <x v="0"/>
    <n v="45"/>
    <x v="1"/>
    <n v="2"/>
    <n v="2"/>
    <s v="Secondary"/>
    <x v="0"/>
    <n v="0"/>
    <n v="0"/>
    <n v="0"/>
    <x v="1"/>
    <n v="0"/>
    <x v="0"/>
    <n v="0"/>
    <n v="0"/>
    <n v="0"/>
    <n v="262"/>
    <n v="262"/>
    <x v="0"/>
    <n v="116"/>
    <n v="66"/>
    <n v="21.56"/>
    <n v="21.56"/>
    <x v="1"/>
    <n v="66"/>
    <n v="66"/>
    <n v="76"/>
    <n v="76"/>
    <x v="0"/>
    <x v="0"/>
  </r>
  <r>
    <n v="0"/>
    <x v="0"/>
    <n v="45"/>
    <x v="1"/>
    <n v="1"/>
    <n v="1"/>
    <s v="Primary"/>
    <x v="2"/>
    <n v="0"/>
    <n v="0"/>
    <n v="0"/>
    <x v="1"/>
    <n v="0"/>
    <x v="0"/>
    <n v="0"/>
    <n v="1"/>
    <n v="0"/>
    <n v="172"/>
    <n v="172"/>
    <x v="1"/>
    <n v="137"/>
    <n v="92.5"/>
    <n v="30.35"/>
    <n v="30.35"/>
    <x v="2"/>
    <n v="90"/>
    <n v="90"/>
    <n v="83"/>
    <n v="83"/>
    <x v="0"/>
    <x v="1"/>
  </r>
  <r>
    <n v="0"/>
    <x v="0"/>
    <n v="45"/>
    <x v="1"/>
    <n v="4"/>
    <n v="4"/>
    <s v="Post Graduate"/>
    <x v="3"/>
    <n v="0"/>
    <n v="0"/>
    <n v="0"/>
    <x v="1"/>
    <n v="0"/>
    <x v="0"/>
    <n v="0"/>
    <n v="0"/>
    <n v="0"/>
    <n v="220"/>
    <n v="220"/>
    <x v="1"/>
    <n v="108"/>
    <n v="81"/>
    <n v="25.68"/>
    <n v="25.68"/>
    <x v="0"/>
    <n v="75"/>
    <n v="75"/>
    <n v="70"/>
    <n v="70"/>
    <x v="0"/>
    <x v="0"/>
  </r>
  <r>
    <n v="0"/>
    <x v="0"/>
    <n v="45"/>
    <x v="1"/>
    <n v="2"/>
    <n v="2"/>
    <s v="Secondary"/>
    <x v="0"/>
    <n v="1"/>
    <n v="20"/>
    <n v="20"/>
    <x v="0"/>
    <n v="1"/>
    <x v="1"/>
    <n v="0"/>
    <n v="1"/>
    <n v="0"/>
    <n v="213"/>
    <n v="213"/>
    <x v="1"/>
    <n v="150"/>
    <n v="90"/>
    <n v="22.35"/>
    <n v="22.35"/>
    <x v="1"/>
    <n v="65"/>
    <n v="65"/>
    <n v="72"/>
    <n v="72"/>
    <x v="0"/>
    <x v="0"/>
  </r>
  <r>
    <n v="1"/>
    <x v="1"/>
    <n v="45"/>
    <x v="1"/>
    <n v="3"/>
    <n v="3"/>
    <s v="Graduate"/>
    <x v="1"/>
    <n v="1"/>
    <n v="30"/>
    <n v="30"/>
    <x v="0"/>
    <n v="0"/>
    <x v="0"/>
    <n v="0"/>
    <n v="1"/>
    <n v="0"/>
    <n v="270"/>
    <n v="270"/>
    <x v="0"/>
    <n v="140"/>
    <n v="94"/>
    <n v="30.39"/>
    <n v="30.39"/>
    <x v="2"/>
    <n v="75"/>
    <n v="75"/>
    <n v="80"/>
    <n v="80"/>
    <x v="0"/>
    <x v="0"/>
  </r>
  <r>
    <n v="0"/>
    <x v="0"/>
    <n v="45"/>
    <x v="1"/>
    <n v="2"/>
    <n v="2"/>
    <s v="Secondary"/>
    <x v="0"/>
    <n v="1"/>
    <n v="20"/>
    <n v="20"/>
    <x v="0"/>
    <n v="0"/>
    <x v="0"/>
    <n v="0"/>
    <n v="1"/>
    <n v="0"/>
    <n v="234"/>
    <n v="234"/>
    <x v="1"/>
    <n v="189"/>
    <n v="87"/>
    <n v="23.1"/>
    <n v="23.1"/>
    <x v="1"/>
    <n v="96"/>
    <n v="96"/>
    <n v="90"/>
    <n v="90"/>
    <x v="0"/>
    <x v="0"/>
  </r>
  <r>
    <n v="1"/>
    <x v="1"/>
    <n v="45"/>
    <x v="1"/>
    <n v="1"/>
    <n v="1"/>
    <s v="Primary"/>
    <x v="2"/>
    <n v="1"/>
    <n v="10"/>
    <n v="10"/>
    <x v="0"/>
    <n v="0"/>
    <x v="0"/>
    <n v="0"/>
    <n v="0"/>
    <n v="0"/>
    <n v="150"/>
    <n v="150"/>
    <x v="1"/>
    <n v="105.5"/>
    <n v="57.5"/>
    <n v="23.21"/>
    <n v="23.21"/>
    <x v="1"/>
    <n v="70"/>
    <n v="70"/>
    <n v="87"/>
    <n v="87"/>
    <x v="0"/>
    <x v="0"/>
  </r>
  <r>
    <n v="0"/>
    <x v="0"/>
    <n v="45"/>
    <x v="1"/>
    <n v="3"/>
    <n v="3"/>
    <s v="Graduate"/>
    <x v="1"/>
    <n v="1"/>
    <n v="8"/>
    <n v="8"/>
    <x v="0"/>
    <n v="0"/>
    <x v="0"/>
    <n v="0"/>
    <n v="0"/>
    <n v="0"/>
    <n v="195"/>
    <n v="195"/>
    <x v="1"/>
    <n v="111"/>
    <n v="79"/>
    <n v="23.22"/>
    <n v="23.22"/>
    <x v="1"/>
    <n v="86"/>
    <n v="86"/>
    <n v="85"/>
    <n v="85"/>
    <x v="0"/>
    <x v="0"/>
  </r>
  <r>
    <n v="0"/>
    <x v="0"/>
    <n v="45"/>
    <x v="1"/>
    <n v="3"/>
    <n v="3"/>
    <s v="Graduate"/>
    <x v="1"/>
    <n v="1"/>
    <n v="20"/>
    <n v="20"/>
    <x v="0"/>
    <n v="0"/>
    <x v="0"/>
    <n v="0"/>
    <n v="0"/>
    <n v="0"/>
    <n v="184"/>
    <n v="184"/>
    <x v="1"/>
    <n v="147"/>
    <n v="88"/>
    <n v="23.48"/>
    <n v="23.48"/>
    <x v="1"/>
    <n v="66"/>
    <n v="66"/>
    <n v="76"/>
    <n v="76"/>
    <x v="0"/>
    <x v="0"/>
  </r>
  <r>
    <n v="1"/>
    <x v="1"/>
    <n v="45"/>
    <x v="1"/>
    <n v="2"/>
    <n v="2"/>
    <s v="Secondary"/>
    <x v="0"/>
    <n v="1"/>
    <n v="5"/>
    <n v="5"/>
    <x v="0"/>
    <n v="0"/>
    <x v="0"/>
    <n v="0"/>
    <n v="1"/>
    <n v="0"/>
    <n v="238"/>
    <n v="238"/>
    <x v="1"/>
    <n v="141"/>
    <n v="87"/>
    <n v="26.46"/>
    <n v="26.46"/>
    <x v="0"/>
    <n v="54"/>
    <n v="54"/>
    <n v="68"/>
    <n v="68"/>
    <x v="0"/>
    <x v="0"/>
  </r>
  <r>
    <n v="0"/>
    <x v="0"/>
    <n v="45"/>
    <x v="1"/>
    <n v="3"/>
    <n v="3"/>
    <s v="Graduate"/>
    <x v="1"/>
    <n v="0"/>
    <n v="0"/>
    <n v="0"/>
    <x v="1"/>
    <n v="0"/>
    <x v="0"/>
    <n v="0"/>
    <n v="0"/>
    <n v="0"/>
    <n v="237"/>
    <n v="237"/>
    <x v="1"/>
    <n v="118"/>
    <n v="84"/>
    <n v="22.53"/>
    <n v="22.53"/>
    <x v="1"/>
    <n v="68"/>
    <n v="68"/>
    <n v="78"/>
    <n v="78"/>
    <x v="0"/>
    <x v="0"/>
  </r>
  <r>
    <n v="1"/>
    <x v="1"/>
    <n v="45"/>
    <x v="1"/>
    <n v="3"/>
    <n v="3"/>
    <s v="Graduate"/>
    <x v="1"/>
    <n v="1"/>
    <n v="35"/>
    <n v="35"/>
    <x v="0"/>
    <n v="0"/>
    <x v="0"/>
    <n v="0"/>
    <n v="0"/>
    <n v="0"/>
    <n v="161"/>
    <n v="161"/>
    <x v="1"/>
    <n v="122"/>
    <n v="82"/>
    <n v="26.09"/>
    <n v="26.09"/>
    <x v="0"/>
    <n v="65"/>
    <n v="65"/>
    <n v="91"/>
    <n v="91"/>
    <x v="0"/>
    <x v="0"/>
  </r>
  <r>
    <n v="1"/>
    <x v="1"/>
    <n v="45"/>
    <x v="1"/>
    <n v="3"/>
    <n v="3"/>
    <s v="Graduate"/>
    <x v="1"/>
    <n v="1"/>
    <s v="NA"/>
    <n v="9"/>
    <x v="0"/>
    <n v="0"/>
    <x v="0"/>
    <n v="0"/>
    <n v="1"/>
    <n v="0"/>
    <n v="170"/>
    <n v="170"/>
    <x v="1"/>
    <n v="145.5"/>
    <n v="99"/>
    <n v="26.74"/>
    <n v="26.74"/>
    <x v="0"/>
    <n v="83"/>
    <n v="83"/>
    <n v="85"/>
    <n v="85"/>
    <x v="0"/>
    <x v="0"/>
  </r>
  <r>
    <n v="0"/>
    <x v="0"/>
    <n v="45"/>
    <x v="1"/>
    <n v="1"/>
    <n v="1"/>
    <s v="Primary"/>
    <x v="2"/>
    <n v="0"/>
    <n v="0"/>
    <n v="0"/>
    <x v="1"/>
    <n v="0"/>
    <x v="0"/>
    <n v="0"/>
    <n v="0"/>
    <n v="0"/>
    <n v="244"/>
    <n v="244"/>
    <x v="0"/>
    <n v="119"/>
    <n v="73"/>
    <n v="26.51"/>
    <n v="26.51"/>
    <x v="0"/>
    <n v="80"/>
    <n v="80"/>
    <n v="80"/>
    <n v="80"/>
    <x v="0"/>
    <x v="0"/>
  </r>
  <r>
    <n v="1"/>
    <x v="1"/>
    <n v="45"/>
    <x v="1"/>
    <n v="3"/>
    <n v="3"/>
    <s v="Graduate"/>
    <x v="1"/>
    <n v="1"/>
    <n v="30"/>
    <n v="30"/>
    <x v="0"/>
    <n v="0"/>
    <x v="0"/>
    <n v="0"/>
    <n v="0"/>
    <n v="0"/>
    <n v="250"/>
    <n v="250"/>
    <x v="0"/>
    <n v="126"/>
    <n v="89.5"/>
    <n v="28.68"/>
    <n v="28.68"/>
    <x v="0"/>
    <n v="75"/>
    <n v="75"/>
    <n v="92"/>
    <n v="92"/>
    <x v="0"/>
    <x v="0"/>
  </r>
  <r>
    <n v="1"/>
    <x v="1"/>
    <n v="45"/>
    <x v="1"/>
    <n v="1"/>
    <n v="1"/>
    <s v="Primary"/>
    <x v="2"/>
    <n v="1"/>
    <n v="3"/>
    <n v="3"/>
    <x v="0"/>
    <n v="0"/>
    <x v="0"/>
    <n v="0"/>
    <n v="0"/>
    <n v="0"/>
    <n v="280"/>
    <n v="280"/>
    <x v="0"/>
    <n v="128"/>
    <n v="82"/>
    <n v="29.17"/>
    <n v="29.17"/>
    <x v="0"/>
    <n v="60"/>
    <n v="60"/>
    <n v="62"/>
    <n v="62"/>
    <x v="0"/>
    <x v="0"/>
  </r>
  <r>
    <n v="0"/>
    <x v="0"/>
    <n v="45"/>
    <x v="1"/>
    <n v="2"/>
    <n v="2"/>
    <s v="Secondary"/>
    <x v="0"/>
    <n v="1"/>
    <n v="9"/>
    <n v="9"/>
    <x v="0"/>
    <n v="0"/>
    <x v="0"/>
    <n v="0"/>
    <n v="0"/>
    <n v="0"/>
    <n v="208"/>
    <n v="208"/>
    <x v="1"/>
    <n v="137"/>
    <n v="82"/>
    <n v="24.35"/>
    <n v="24.35"/>
    <x v="1"/>
    <n v="85"/>
    <n v="85"/>
    <s v="NA"/>
    <n v="81.96365524402907"/>
    <x v="0"/>
    <x v="0"/>
  </r>
  <r>
    <n v="0"/>
    <x v="0"/>
    <n v="45"/>
    <x v="1"/>
    <n v="2"/>
    <n v="2"/>
    <s v="Secondary"/>
    <x v="0"/>
    <n v="0"/>
    <n v="0"/>
    <n v="0"/>
    <x v="1"/>
    <n v="0"/>
    <x v="0"/>
    <n v="0"/>
    <n v="0"/>
    <n v="0"/>
    <n v="229"/>
    <n v="229"/>
    <x v="1"/>
    <n v="130"/>
    <n v="80"/>
    <n v="21.72"/>
    <n v="21.72"/>
    <x v="1"/>
    <n v="75"/>
    <n v="75"/>
    <n v="77"/>
    <n v="77"/>
    <x v="0"/>
    <x v="0"/>
  </r>
  <r>
    <n v="1"/>
    <x v="1"/>
    <n v="45"/>
    <x v="1"/>
    <n v="2"/>
    <n v="2"/>
    <s v="Secondary"/>
    <x v="0"/>
    <n v="1"/>
    <n v="10"/>
    <n v="10"/>
    <x v="0"/>
    <s v="NA"/>
    <x v="0"/>
    <n v="0"/>
    <n v="1"/>
    <n v="0"/>
    <n v="232"/>
    <n v="232"/>
    <x v="1"/>
    <n v="136"/>
    <n v="85"/>
    <n v="30.29"/>
    <n v="30.29"/>
    <x v="2"/>
    <n v="70"/>
    <n v="70"/>
    <n v="66"/>
    <n v="66"/>
    <x v="1"/>
    <x v="0"/>
  </r>
  <r>
    <n v="1"/>
    <x v="1"/>
    <n v="45"/>
    <x v="1"/>
    <s v="NA"/>
    <n v="1"/>
    <s v="Primary"/>
    <x v="2"/>
    <n v="1"/>
    <n v="3"/>
    <n v="3"/>
    <x v="0"/>
    <n v="0"/>
    <x v="0"/>
    <n v="0"/>
    <n v="0"/>
    <n v="0"/>
    <n v="215"/>
    <n v="215"/>
    <x v="1"/>
    <n v="144"/>
    <n v="110"/>
    <n v="25.71"/>
    <n v="25.71"/>
    <x v="0"/>
    <n v="58"/>
    <n v="58"/>
    <n v="85"/>
    <n v="85"/>
    <x v="0"/>
    <x v="0"/>
  </r>
  <r>
    <n v="0"/>
    <x v="0"/>
    <n v="45"/>
    <x v="1"/>
    <n v="2"/>
    <n v="2"/>
    <s v="Secondary"/>
    <x v="0"/>
    <n v="1"/>
    <n v="20"/>
    <n v="20"/>
    <x v="0"/>
    <n v="0"/>
    <x v="0"/>
    <n v="0"/>
    <n v="0"/>
    <n v="0"/>
    <n v="255"/>
    <n v="255"/>
    <x v="0"/>
    <n v="111"/>
    <n v="72"/>
    <n v="17.32"/>
    <n v="17.32"/>
    <x v="3"/>
    <n v="88"/>
    <n v="88"/>
    <n v="65"/>
    <n v="65"/>
    <x v="0"/>
    <x v="0"/>
  </r>
  <r>
    <n v="0"/>
    <x v="0"/>
    <n v="45"/>
    <x v="1"/>
    <n v="2"/>
    <n v="2"/>
    <s v="Secondary"/>
    <x v="0"/>
    <n v="1"/>
    <n v="3"/>
    <n v="3"/>
    <x v="0"/>
    <n v="0"/>
    <x v="0"/>
    <n v="0"/>
    <n v="0"/>
    <n v="0"/>
    <n v="250"/>
    <n v="250"/>
    <x v="0"/>
    <n v="130"/>
    <n v="80"/>
    <n v="20.239999999999998"/>
    <n v="20.239999999999998"/>
    <x v="1"/>
    <n v="90"/>
    <n v="90"/>
    <n v="86"/>
    <n v="86"/>
    <x v="0"/>
    <x v="0"/>
  </r>
  <r>
    <n v="1"/>
    <x v="1"/>
    <n v="45"/>
    <x v="1"/>
    <n v="2"/>
    <n v="2"/>
    <s v="Secondary"/>
    <x v="0"/>
    <n v="1"/>
    <n v="25"/>
    <n v="25"/>
    <x v="0"/>
    <n v="0"/>
    <x v="0"/>
    <n v="0"/>
    <n v="0"/>
    <n v="0"/>
    <n v="288"/>
    <n v="288"/>
    <x v="0"/>
    <n v="124"/>
    <n v="81"/>
    <n v="27.94"/>
    <n v="27.94"/>
    <x v="0"/>
    <n v="69"/>
    <n v="69"/>
    <n v="118"/>
    <n v="118"/>
    <x v="0"/>
    <x v="0"/>
  </r>
  <r>
    <n v="1"/>
    <x v="1"/>
    <n v="45"/>
    <x v="1"/>
    <n v="1"/>
    <n v="1"/>
    <s v="Primary"/>
    <x v="2"/>
    <n v="0"/>
    <n v="0"/>
    <n v="0"/>
    <x v="1"/>
    <n v="0"/>
    <x v="0"/>
    <n v="0"/>
    <n v="0"/>
    <n v="0"/>
    <n v="258"/>
    <n v="258"/>
    <x v="0"/>
    <n v="128"/>
    <n v="79"/>
    <n v="32.03"/>
    <n v="32.03"/>
    <x v="2"/>
    <n v="70"/>
    <n v="70"/>
    <n v="75"/>
    <n v="75"/>
    <x v="0"/>
    <x v="0"/>
  </r>
  <r>
    <n v="1"/>
    <x v="1"/>
    <n v="45"/>
    <x v="1"/>
    <n v="4"/>
    <n v="4"/>
    <s v="Post Graduate"/>
    <x v="3"/>
    <n v="1"/>
    <n v="20"/>
    <n v="20"/>
    <x v="0"/>
    <n v="0"/>
    <x v="0"/>
    <n v="0"/>
    <n v="0"/>
    <n v="0"/>
    <n v="202"/>
    <n v="202"/>
    <x v="1"/>
    <n v="99"/>
    <n v="76"/>
    <n v="24.61"/>
    <n v="24.61"/>
    <x v="1"/>
    <n v="94"/>
    <n v="94"/>
    <s v="NA"/>
    <n v="81.96365524402907"/>
    <x v="0"/>
    <x v="0"/>
  </r>
  <r>
    <n v="0"/>
    <x v="0"/>
    <n v="45"/>
    <x v="1"/>
    <n v="1"/>
    <n v="1"/>
    <s v="Primary"/>
    <x v="2"/>
    <n v="1"/>
    <n v="10"/>
    <n v="10"/>
    <x v="0"/>
    <n v="0"/>
    <x v="0"/>
    <n v="0"/>
    <n v="0"/>
    <n v="0"/>
    <n v="230"/>
    <n v="230"/>
    <x v="1"/>
    <n v="116"/>
    <n v="75"/>
    <n v="21.35"/>
    <n v="21.35"/>
    <x v="1"/>
    <n v="92"/>
    <n v="92"/>
    <n v="77"/>
    <n v="77"/>
    <x v="0"/>
    <x v="0"/>
  </r>
  <r>
    <n v="0"/>
    <x v="0"/>
    <n v="45"/>
    <x v="1"/>
    <n v="4"/>
    <n v="4"/>
    <s v="Post Graduate"/>
    <x v="3"/>
    <n v="1"/>
    <n v="15"/>
    <n v="15"/>
    <x v="0"/>
    <n v="0"/>
    <x v="0"/>
    <n v="0"/>
    <n v="0"/>
    <n v="0"/>
    <n v="239"/>
    <n v="239"/>
    <x v="1"/>
    <n v="112"/>
    <n v="70"/>
    <n v="23.48"/>
    <n v="23.48"/>
    <x v="1"/>
    <n v="68"/>
    <n v="68"/>
    <n v="95"/>
    <n v="95"/>
    <x v="0"/>
    <x v="0"/>
  </r>
  <r>
    <n v="1"/>
    <x v="1"/>
    <n v="45"/>
    <x v="1"/>
    <n v="2"/>
    <n v="2"/>
    <s v="Secondary"/>
    <x v="0"/>
    <n v="1"/>
    <n v="20"/>
    <n v="20"/>
    <x v="0"/>
    <n v="0"/>
    <x v="0"/>
    <n v="0"/>
    <n v="0"/>
    <n v="0"/>
    <n v="239"/>
    <n v="239"/>
    <x v="1"/>
    <n v="116"/>
    <n v="68"/>
    <n v="26"/>
    <n v="26"/>
    <x v="0"/>
    <n v="78"/>
    <n v="78"/>
    <n v="79"/>
    <n v="79"/>
    <x v="0"/>
    <x v="0"/>
  </r>
  <r>
    <n v="0"/>
    <x v="0"/>
    <n v="45"/>
    <x v="1"/>
    <n v="3"/>
    <n v="3"/>
    <s v="Graduate"/>
    <x v="1"/>
    <n v="1"/>
    <n v="5"/>
    <n v="5"/>
    <x v="0"/>
    <n v="0"/>
    <x v="0"/>
    <n v="0"/>
    <n v="0"/>
    <n v="0"/>
    <n v="268"/>
    <n v="268"/>
    <x v="0"/>
    <n v="100"/>
    <n v="70"/>
    <n v="23.45"/>
    <n v="23.45"/>
    <x v="1"/>
    <n v="73"/>
    <n v="73"/>
    <n v="87"/>
    <n v="87"/>
    <x v="0"/>
    <x v="0"/>
  </r>
  <r>
    <n v="0"/>
    <x v="0"/>
    <n v="45"/>
    <x v="1"/>
    <n v="1"/>
    <n v="1"/>
    <s v="Primary"/>
    <x v="2"/>
    <n v="0"/>
    <n v="0"/>
    <n v="0"/>
    <x v="1"/>
    <n v="0"/>
    <x v="0"/>
    <n v="0"/>
    <n v="0"/>
    <n v="0"/>
    <n v="285"/>
    <n v="285"/>
    <x v="0"/>
    <n v="107.5"/>
    <n v="80"/>
    <n v="28.06"/>
    <n v="28.06"/>
    <x v="0"/>
    <n v="74"/>
    <n v="74"/>
    <s v="NA"/>
    <n v="81.96365524402907"/>
    <x v="0"/>
    <x v="0"/>
  </r>
  <r>
    <n v="0"/>
    <x v="0"/>
    <n v="45"/>
    <x v="1"/>
    <n v="1"/>
    <n v="1"/>
    <s v="Primary"/>
    <x v="2"/>
    <n v="0"/>
    <n v="0"/>
    <n v="0"/>
    <x v="1"/>
    <n v="0"/>
    <x v="0"/>
    <n v="0"/>
    <n v="0"/>
    <n v="0"/>
    <n v="238"/>
    <n v="238"/>
    <x v="1"/>
    <n v="127.5"/>
    <n v="83.5"/>
    <n v="27.73"/>
    <n v="27.73"/>
    <x v="0"/>
    <n v="90"/>
    <n v="90"/>
    <n v="78"/>
    <n v="78"/>
    <x v="0"/>
    <x v="0"/>
  </r>
  <r>
    <n v="1"/>
    <x v="1"/>
    <n v="45"/>
    <x v="1"/>
    <n v="1"/>
    <n v="1"/>
    <s v="Primary"/>
    <x v="2"/>
    <n v="0"/>
    <n v="0"/>
    <n v="0"/>
    <x v="1"/>
    <n v="0"/>
    <x v="0"/>
    <n v="0"/>
    <n v="1"/>
    <n v="0"/>
    <n v="218"/>
    <n v="218"/>
    <x v="1"/>
    <n v="133"/>
    <n v="87"/>
    <n v="31.9"/>
    <n v="31.9"/>
    <x v="2"/>
    <n v="88"/>
    <n v="88"/>
    <n v="115"/>
    <n v="115"/>
    <x v="0"/>
    <x v="0"/>
  </r>
  <r>
    <n v="0"/>
    <x v="0"/>
    <n v="45"/>
    <x v="1"/>
    <n v="3"/>
    <n v="3"/>
    <s v="Graduate"/>
    <x v="1"/>
    <n v="1"/>
    <n v="3"/>
    <n v="3"/>
    <x v="0"/>
    <n v="0"/>
    <x v="0"/>
    <n v="0"/>
    <n v="0"/>
    <n v="0"/>
    <n v="152"/>
    <n v="152"/>
    <x v="1"/>
    <n v="118.5"/>
    <n v="76"/>
    <n v="25.38"/>
    <n v="25.38"/>
    <x v="0"/>
    <n v="74"/>
    <n v="74"/>
    <n v="68"/>
    <n v="68"/>
    <x v="0"/>
    <x v="0"/>
  </r>
  <r>
    <n v="1"/>
    <x v="1"/>
    <n v="45"/>
    <x v="1"/>
    <n v="2"/>
    <n v="2"/>
    <s v="Secondary"/>
    <x v="0"/>
    <n v="1"/>
    <n v="9"/>
    <n v="9"/>
    <x v="0"/>
    <n v="0"/>
    <x v="0"/>
    <n v="0"/>
    <n v="1"/>
    <n v="0"/>
    <n v="188"/>
    <n v="188"/>
    <x v="1"/>
    <n v="132"/>
    <n v="91"/>
    <n v="28.04"/>
    <n v="28.04"/>
    <x v="0"/>
    <n v="70"/>
    <n v="70"/>
    <n v="77"/>
    <n v="77"/>
    <x v="0"/>
    <x v="0"/>
  </r>
  <r>
    <n v="0"/>
    <x v="0"/>
    <n v="45"/>
    <x v="1"/>
    <n v="2"/>
    <n v="2"/>
    <s v="Secondary"/>
    <x v="0"/>
    <n v="0"/>
    <n v="0"/>
    <n v="0"/>
    <x v="1"/>
    <n v="0"/>
    <x v="0"/>
    <n v="0"/>
    <n v="0"/>
    <n v="0"/>
    <n v="260"/>
    <n v="260"/>
    <x v="0"/>
    <n v="98"/>
    <n v="74"/>
    <n v="19.16"/>
    <n v="19.16"/>
    <x v="1"/>
    <n v="73"/>
    <n v="73"/>
    <n v="76"/>
    <n v="76"/>
    <x v="0"/>
    <x v="0"/>
  </r>
  <r>
    <n v="1"/>
    <x v="1"/>
    <n v="45"/>
    <x v="1"/>
    <n v="2"/>
    <n v="2"/>
    <s v="Secondary"/>
    <x v="0"/>
    <n v="0"/>
    <n v="0"/>
    <n v="0"/>
    <x v="1"/>
    <n v="0"/>
    <x v="0"/>
    <n v="0"/>
    <n v="0"/>
    <n v="0"/>
    <n v="215"/>
    <n v="215"/>
    <x v="1"/>
    <n v="104"/>
    <n v="72"/>
    <n v="30.34"/>
    <n v="30.34"/>
    <x v="2"/>
    <n v="70"/>
    <n v="70"/>
    <n v="79"/>
    <n v="79"/>
    <x v="0"/>
    <x v="0"/>
  </r>
  <r>
    <n v="1"/>
    <x v="1"/>
    <n v="45"/>
    <x v="1"/>
    <n v="1"/>
    <n v="1"/>
    <s v="Primary"/>
    <x v="2"/>
    <n v="1"/>
    <n v="1"/>
    <n v="1"/>
    <x v="0"/>
    <n v="0"/>
    <x v="0"/>
    <n v="0"/>
    <n v="1"/>
    <n v="0"/>
    <n v="277"/>
    <n v="277"/>
    <x v="0"/>
    <n v="140"/>
    <n v="84"/>
    <n v="28.74"/>
    <n v="28.74"/>
    <x v="0"/>
    <n v="69"/>
    <n v="69"/>
    <n v="74"/>
    <n v="74"/>
    <x v="0"/>
    <x v="0"/>
  </r>
  <r>
    <n v="0"/>
    <x v="0"/>
    <n v="45"/>
    <x v="1"/>
    <n v="2"/>
    <n v="2"/>
    <s v="Secondary"/>
    <x v="0"/>
    <n v="1"/>
    <n v="7"/>
    <n v="7"/>
    <x v="0"/>
    <n v="0"/>
    <x v="0"/>
    <n v="0"/>
    <n v="0"/>
    <n v="0"/>
    <n v="199"/>
    <n v="199"/>
    <x v="1"/>
    <n v="124"/>
    <n v="78"/>
    <n v="21.94"/>
    <n v="21.94"/>
    <x v="1"/>
    <n v="85"/>
    <n v="85"/>
    <n v="78"/>
    <n v="78"/>
    <x v="0"/>
    <x v="0"/>
  </r>
  <r>
    <n v="0"/>
    <x v="0"/>
    <n v="45"/>
    <x v="1"/>
    <n v="1"/>
    <n v="1"/>
    <s v="Primary"/>
    <x v="2"/>
    <n v="1"/>
    <n v="5"/>
    <n v="5"/>
    <x v="0"/>
    <n v="0"/>
    <x v="0"/>
    <n v="0"/>
    <n v="1"/>
    <n v="0"/>
    <n v="228"/>
    <n v="228"/>
    <x v="1"/>
    <n v="191.5"/>
    <n v="95.5"/>
    <n v="27.94"/>
    <n v="27.94"/>
    <x v="0"/>
    <n v="95"/>
    <n v="95"/>
    <s v="NA"/>
    <n v="81.96365524402907"/>
    <x v="0"/>
    <x v="0"/>
  </r>
  <r>
    <n v="0"/>
    <x v="0"/>
    <n v="45"/>
    <x v="1"/>
    <n v="4"/>
    <n v="4"/>
    <s v="Post Graduate"/>
    <x v="3"/>
    <n v="0"/>
    <n v="0"/>
    <n v="0"/>
    <x v="1"/>
    <n v="0"/>
    <x v="0"/>
    <n v="0"/>
    <n v="0"/>
    <n v="0"/>
    <n v="253"/>
    <n v="253"/>
    <x v="0"/>
    <n v="135"/>
    <n v="85"/>
    <n v="24.35"/>
    <n v="24.35"/>
    <x v="1"/>
    <n v="78"/>
    <n v="78"/>
    <n v="84"/>
    <n v="84"/>
    <x v="0"/>
    <x v="0"/>
  </r>
  <r>
    <n v="1"/>
    <x v="1"/>
    <n v="45"/>
    <x v="1"/>
    <n v="4"/>
    <n v="4"/>
    <s v="Post Graduate"/>
    <x v="3"/>
    <n v="0"/>
    <n v="0"/>
    <n v="0"/>
    <x v="1"/>
    <n v="0"/>
    <x v="0"/>
    <n v="0"/>
    <n v="0"/>
    <n v="0"/>
    <n v="221"/>
    <n v="221"/>
    <x v="1"/>
    <n v="105"/>
    <n v="70"/>
    <n v="23.95"/>
    <n v="23.95"/>
    <x v="1"/>
    <n v="52"/>
    <n v="52"/>
    <n v="83"/>
    <n v="83"/>
    <x v="0"/>
    <x v="0"/>
  </r>
  <r>
    <n v="0"/>
    <x v="0"/>
    <n v="45"/>
    <x v="1"/>
    <n v="2"/>
    <n v="2"/>
    <s v="Secondary"/>
    <x v="0"/>
    <n v="1"/>
    <n v="20"/>
    <n v="20"/>
    <x v="0"/>
    <n v="0"/>
    <x v="0"/>
    <n v="0"/>
    <n v="0"/>
    <n v="0"/>
    <n v="280"/>
    <n v="280"/>
    <x v="0"/>
    <n v="116"/>
    <n v="69"/>
    <n v="26.45"/>
    <n v="26.45"/>
    <x v="0"/>
    <n v="99"/>
    <n v="99"/>
    <n v="92"/>
    <n v="92"/>
    <x v="0"/>
    <x v="0"/>
  </r>
  <r>
    <n v="1"/>
    <x v="1"/>
    <n v="45"/>
    <x v="1"/>
    <n v="2"/>
    <n v="2"/>
    <s v="Secondary"/>
    <x v="0"/>
    <n v="0"/>
    <n v="0"/>
    <n v="0"/>
    <x v="1"/>
    <n v="0"/>
    <x v="0"/>
    <n v="0"/>
    <n v="0"/>
    <n v="0"/>
    <n v="279"/>
    <n v="279"/>
    <x v="0"/>
    <n v="143.5"/>
    <n v="90"/>
    <n v="21.07"/>
    <n v="21.07"/>
    <x v="1"/>
    <n v="90"/>
    <n v="90"/>
    <n v="87"/>
    <n v="87"/>
    <x v="0"/>
    <x v="0"/>
  </r>
  <r>
    <n v="1"/>
    <x v="1"/>
    <n v="45"/>
    <x v="1"/>
    <n v="2"/>
    <n v="2"/>
    <s v="Secondary"/>
    <x v="0"/>
    <n v="1"/>
    <n v="20"/>
    <n v="20"/>
    <x v="0"/>
    <n v="0"/>
    <x v="0"/>
    <n v="0"/>
    <n v="0"/>
    <n v="0"/>
    <n v="212"/>
    <n v="212"/>
    <x v="1"/>
    <n v="119"/>
    <n v="72"/>
    <n v="22.33"/>
    <n v="22.33"/>
    <x v="1"/>
    <n v="60"/>
    <n v="60"/>
    <n v="91"/>
    <n v="91"/>
    <x v="0"/>
    <x v="0"/>
  </r>
  <r>
    <n v="0"/>
    <x v="0"/>
    <n v="45"/>
    <x v="1"/>
    <n v="2"/>
    <n v="2"/>
    <s v="Secondary"/>
    <x v="0"/>
    <n v="1"/>
    <n v="15"/>
    <n v="15"/>
    <x v="0"/>
    <n v="0"/>
    <x v="0"/>
    <n v="0"/>
    <n v="0"/>
    <n v="0"/>
    <n v="200"/>
    <n v="200"/>
    <x v="1"/>
    <n v="117.5"/>
    <n v="83.5"/>
    <n v="23.68"/>
    <n v="23.68"/>
    <x v="1"/>
    <n v="77"/>
    <n v="77"/>
    <n v="73"/>
    <n v="73"/>
    <x v="0"/>
    <x v="0"/>
  </r>
  <r>
    <n v="0"/>
    <x v="0"/>
    <n v="45"/>
    <x v="1"/>
    <n v="3"/>
    <n v="3"/>
    <s v="Graduate"/>
    <x v="1"/>
    <n v="1"/>
    <n v="10"/>
    <n v="10"/>
    <x v="0"/>
    <n v="0"/>
    <x v="0"/>
    <n v="0"/>
    <n v="0"/>
    <n v="0"/>
    <n v="210"/>
    <n v="210"/>
    <x v="1"/>
    <n v="121"/>
    <n v="82"/>
    <n v="23.08"/>
    <n v="23.08"/>
    <x v="1"/>
    <n v="85"/>
    <n v="85"/>
    <n v="71"/>
    <n v="71"/>
    <x v="0"/>
    <x v="1"/>
  </r>
  <r>
    <n v="0"/>
    <x v="0"/>
    <n v="45"/>
    <x v="1"/>
    <n v="1"/>
    <n v="1"/>
    <s v="Primary"/>
    <x v="2"/>
    <n v="0"/>
    <n v="0"/>
    <n v="0"/>
    <x v="1"/>
    <n v="0"/>
    <x v="0"/>
    <n v="0"/>
    <n v="0"/>
    <n v="0"/>
    <n v="175"/>
    <n v="175"/>
    <x v="1"/>
    <n v="114"/>
    <n v="74"/>
    <n v="30.53"/>
    <n v="30.53"/>
    <x v="2"/>
    <n v="72"/>
    <n v="72"/>
    <n v="105"/>
    <n v="105"/>
    <x v="0"/>
    <x v="0"/>
  </r>
  <r>
    <n v="1"/>
    <x v="1"/>
    <n v="45"/>
    <x v="1"/>
    <n v="3"/>
    <n v="3"/>
    <s v="Graduate"/>
    <x v="1"/>
    <n v="1"/>
    <n v="20"/>
    <n v="20"/>
    <x v="0"/>
    <n v="1"/>
    <x v="1"/>
    <n v="0"/>
    <n v="1"/>
    <n v="0"/>
    <n v="238"/>
    <n v="238"/>
    <x v="1"/>
    <n v="175"/>
    <n v="114"/>
    <n v="31.14"/>
    <n v="31.14"/>
    <x v="2"/>
    <n v="78"/>
    <n v="78"/>
    <n v="70"/>
    <n v="70"/>
    <x v="0"/>
    <x v="0"/>
  </r>
  <r>
    <n v="1"/>
    <x v="1"/>
    <n v="45"/>
    <x v="1"/>
    <n v="1"/>
    <n v="1"/>
    <s v="Primary"/>
    <x v="2"/>
    <n v="1"/>
    <n v="20"/>
    <n v="20"/>
    <x v="0"/>
    <n v="0"/>
    <x v="0"/>
    <n v="0"/>
    <n v="0"/>
    <n v="0"/>
    <n v="234"/>
    <n v="234"/>
    <x v="1"/>
    <n v="126"/>
    <n v="80"/>
    <n v="23.14"/>
    <n v="23.14"/>
    <x v="1"/>
    <n v="72"/>
    <n v="72"/>
    <n v="88"/>
    <n v="88"/>
    <x v="0"/>
    <x v="0"/>
  </r>
  <r>
    <n v="0"/>
    <x v="0"/>
    <n v="45"/>
    <x v="1"/>
    <n v="3"/>
    <n v="3"/>
    <s v="Graduate"/>
    <x v="1"/>
    <n v="1"/>
    <n v="20"/>
    <n v="20"/>
    <x v="0"/>
    <n v="0"/>
    <x v="0"/>
    <n v="0"/>
    <n v="0"/>
    <n v="0"/>
    <n v="230"/>
    <n v="230"/>
    <x v="1"/>
    <n v="138"/>
    <n v="85"/>
    <n v="22.54"/>
    <n v="22.54"/>
    <x v="1"/>
    <n v="66"/>
    <n v="66"/>
    <n v="67"/>
    <n v="67"/>
    <x v="0"/>
    <x v="0"/>
  </r>
  <r>
    <n v="0"/>
    <x v="0"/>
    <n v="45"/>
    <x v="1"/>
    <n v="2"/>
    <n v="2"/>
    <s v="Secondary"/>
    <x v="0"/>
    <n v="1"/>
    <n v="30"/>
    <n v="30"/>
    <x v="0"/>
    <n v="0"/>
    <x v="0"/>
    <n v="0"/>
    <n v="1"/>
    <n v="0"/>
    <n v="181"/>
    <n v="181"/>
    <x v="1"/>
    <n v="138.5"/>
    <n v="90"/>
    <n v="26.32"/>
    <n v="26.32"/>
    <x v="0"/>
    <n v="90"/>
    <n v="90"/>
    <s v="NA"/>
    <n v="81.96365524402907"/>
    <x v="0"/>
    <x v="0"/>
  </r>
  <r>
    <n v="0"/>
    <x v="0"/>
    <n v="45"/>
    <x v="1"/>
    <n v="1"/>
    <n v="1"/>
    <s v="Primary"/>
    <x v="2"/>
    <n v="0"/>
    <n v="0"/>
    <n v="0"/>
    <x v="1"/>
    <n v="0"/>
    <x v="0"/>
    <n v="0"/>
    <n v="0"/>
    <n v="0"/>
    <n v="290"/>
    <n v="290"/>
    <x v="0"/>
    <n v="124"/>
    <n v="72.5"/>
    <n v="24.24"/>
    <n v="24.24"/>
    <x v="1"/>
    <n v="92"/>
    <n v="92"/>
    <n v="87"/>
    <n v="87"/>
    <x v="0"/>
    <x v="0"/>
  </r>
  <r>
    <n v="0"/>
    <x v="0"/>
    <n v="45"/>
    <x v="1"/>
    <n v="1"/>
    <n v="1"/>
    <s v="Primary"/>
    <x v="2"/>
    <n v="0"/>
    <n v="0"/>
    <n v="0"/>
    <x v="1"/>
    <n v="0"/>
    <x v="0"/>
    <n v="0"/>
    <n v="0"/>
    <n v="0"/>
    <n v="210"/>
    <n v="210"/>
    <x v="1"/>
    <n v="120"/>
    <n v="72"/>
    <n v="22.01"/>
    <n v="22.01"/>
    <x v="1"/>
    <n v="75"/>
    <n v="75"/>
    <n v="93"/>
    <n v="93"/>
    <x v="0"/>
    <x v="0"/>
  </r>
  <r>
    <n v="0"/>
    <x v="0"/>
    <n v="45"/>
    <x v="1"/>
    <n v="3"/>
    <n v="3"/>
    <s v="Graduate"/>
    <x v="1"/>
    <n v="0"/>
    <n v="0"/>
    <n v="0"/>
    <x v="1"/>
    <n v="0"/>
    <x v="0"/>
    <n v="0"/>
    <n v="0"/>
    <n v="0"/>
    <n v="254"/>
    <n v="254"/>
    <x v="0"/>
    <n v="104"/>
    <n v="73"/>
    <n v="19.46"/>
    <n v="19.46"/>
    <x v="1"/>
    <n v="60"/>
    <n v="60"/>
    <n v="77"/>
    <n v="77"/>
    <x v="0"/>
    <x v="0"/>
  </r>
  <r>
    <n v="0"/>
    <x v="0"/>
    <n v="45"/>
    <x v="1"/>
    <n v="2"/>
    <n v="2"/>
    <s v="Secondary"/>
    <x v="0"/>
    <n v="0"/>
    <n v="0"/>
    <n v="0"/>
    <x v="1"/>
    <n v="0"/>
    <x v="0"/>
    <n v="0"/>
    <n v="1"/>
    <n v="0"/>
    <n v="258"/>
    <n v="258"/>
    <x v="0"/>
    <n v="148.5"/>
    <n v="88"/>
    <n v="23.46"/>
    <n v="23.46"/>
    <x v="1"/>
    <n v="85"/>
    <n v="85"/>
    <n v="90"/>
    <n v="90"/>
    <x v="0"/>
    <x v="0"/>
  </r>
  <r>
    <n v="0"/>
    <x v="0"/>
    <n v="45"/>
    <x v="1"/>
    <n v="4"/>
    <n v="4"/>
    <s v="Post Graduate"/>
    <x v="3"/>
    <n v="0"/>
    <n v="0"/>
    <n v="0"/>
    <x v="1"/>
    <n v="0"/>
    <x v="0"/>
    <n v="0"/>
    <n v="1"/>
    <n v="0"/>
    <n v="252"/>
    <n v="252"/>
    <x v="0"/>
    <n v="160"/>
    <n v="105"/>
    <n v="31.72"/>
    <n v="31.72"/>
    <x v="2"/>
    <n v="65"/>
    <n v="65"/>
    <n v="83"/>
    <n v="83"/>
    <x v="0"/>
    <x v="0"/>
  </r>
  <r>
    <n v="1"/>
    <x v="1"/>
    <n v="45"/>
    <x v="1"/>
    <n v="1"/>
    <n v="1"/>
    <s v="Primary"/>
    <x v="2"/>
    <n v="1"/>
    <n v="20"/>
    <n v="20"/>
    <x v="0"/>
    <n v="0"/>
    <x v="0"/>
    <n v="0"/>
    <n v="0"/>
    <n v="0"/>
    <n v="264"/>
    <n v="264"/>
    <x v="0"/>
    <n v="118.5"/>
    <n v="81"/>
    <n v="26.35"/>
    <n v="26.35"/>
    <x v="0"/>
    <n v="75"/>
    <n v="75"/>
    <n v="90"/>
    <n v="90"/>
    <x v="0"/>
    <x v="1"/>
  </r>
  <r>
    <n v="1"/>
    <x v="1"/>
    <n v="45"/>
    <x v="1"/>
    <n v="3"/>
    <n v="3"/>
    <s v="Graduate"/>
    <x v="1"/>
    <n v="1"/>
    <n v="15"/>
    <n v="15"/>
    <x v="0"/>
    <n v="0"/>
    <x v="0"/>
    <n v="0"/>
    <n v="0"/>
    <n v="0"/>
    <n v="266"/>
    <n v="266"/>
    <x v="0"/>
    <n v="109"/>
    <n v="70"/>
    <n v="23.72"/>
    <n v="23.72"/>
    <x v="1"/>
    <n v="75"/>
    <n v="75"/>
    <n v="71"/>
    <n v="71"/>
    <x v="0"/>
    <x v="0"/>
  </r>
  <r>
    <n v="0"/>
    <x v="0"/>
    <n v="45"/>
    <x v="1"/>
    <n v="1"/>
    <n v="1"/>
    <s v="Primary"/>
    <x v="2"/>
    <n v="0"/>
    <n v="0"/>
    <n v="0"/>
    <x v="1"/>
    <n v="0"/>
    <x v="0"/>
    <n v="0"/>
    <n v="0"/>
    <n v="0"/>
    <n v="282"/>
    <n v="282"/>
    <x v="0"/>
    <n v="115"/>
    <n v="71"/>
    <n v="22.54"/>
    <n v="22.54"/>
    <x v="1"/>
    <n v="60"/>
    <n v="60"/>
    <n v="96"/>
    <n v="96"/>
    <x v="0"/>
    <x v="0"/>
  </r>
  <r>
    <n v="0"/>
    <x v="0"/>
    <n v="45"/>
    <x v="1"/>
    <n v="3"/>
    <n v="3"/>
    <s v="Graduate"/>
    <x v="1"/>
    <n v="0"/>
    <n v="0"/>
    <n v="0"/>
    <x v="1"/>
    <n v="0"/>
    <x v="0"/>
    <n v="0"/>
    <n v="0"/>
    <n v="0"/>
    <n v="271"/>
    <n v="271"/>
    <x v="0"/>
    <n v="121"/>
    <n v="77"/>
    <n v="23.96"/>
    <n v="23.96"/>
    <x v="1"/>
    <n v="68"/>
    <n v="68"/>
    <n v="82"/>
    <n v="82"/>
    <x v="0"/>
    <x v="0"/>
  </r>
  <r>
    <n v="1"/>
    <x v="1"/>
    <n v="45"/>
    <x v="1"/>
    <n v="2"/>
    <n v="2"/>
    <s v="Secondary"/>
    <x v="0"/>
    <n v="1"/>
    <n v="5"/>
    <n v="5"/>
    <x v="0"/>
    <n v="0"/>
    <x v="0"/>
    <n v="0"/>
    <n v="0"/>
    <n v="0"/>
    <n v="217"/>
    <n v="217"/>
    <x v="1"/>
    <n v="130"/>
    <n v="82"/>
    <n v="26.95"/>
    <n v="26.95"/>
    <x v="0"/>
    <n v="50"/>
    <n v="50"/>
    <n v="85"/>
    <n v="85"/>
    <x v="0"/>
    <x v="0"/>
  </r>
  <r>
    <n v="1"/>
    <x v="1"/>
    <n v="45"/>
    <x v="1"/>
    <n v="1"/>
    <n v="1"/>
    <s v="Primary"/>
    <x v="2"/>
    <n v="1"/>
    <n v="3"/>
    <n v="3"/>
    <x v="0"/>
    <n v="0"/>
    <x v="0"/>
    <n v="0"/>
    <n v="0"/>
    <n v="0"/>
    <s v="NA"/>
    <n v="236.69952267303103"/>
    <x v="1"/>
    <n v="126"/>
    <n v="85"/>
    <n v="28.24"/>
    <n v="28.24"/>
    <x v="0"/>
    <n v="72"/>
    <n v="72"/>
    <s v="NA"/>
    <n v="81.96365524402907"/>
    <x v="0"/>
    <x v="0"/>
  </r>
  <r>
    <n v="0"/>
    <x v="0"/>
    <n v="45"/>
    <x v="1"/>
    <n v="1"/>
    <n v="1"/>
    <s v="Primary"/>
    <x v="2"/>
    <n v="0"/>
    <n v="0"/>
    <n v="0"/>
    <x v="1"/>
    <n v="0"/>
    <x v="0"/>
    <n v="0"/>
    <n v="0"/>
    <n v="0"/>
    <n v="195"/>
    <n v="195"/>
    <x v="1"/>
    <n v="129.5"/>
    <n v="83"/>
    <n v="25.74"/>
    <n v="25.74"/>
    <x v="0"/>
    <n v="77"/>
    <n v="77"/>
    <n v="74"/>
    <n v="74"/>
    <x v="0"/>
    <x v="0"/>
  </r>
  <r>
    <n v="1"/>
    <x v="1"/>
    <n v="45"/>
    <x v="1"/>
    <n v="2"/>
    <n v="2"/>
    <s v="Secondary"/>
    <x v="0"/>
    <n v="0"/>
    <n v="0"/>
    <n v="0"/>
    <x v="1"/>
    <n v="0"/>
    <x v="0"/>
    <n v="0"/>
    <n v="0"/>
    <n v="0"/>
    <n v="201"/>
    <n v="201"/>
    <x v="1"/>
    <n v="107.5"/>
    <n v="64.5"/>
    <n v="23.85"/>
    <n v="23.85"/>
    <x v="1"/>
    <n v="88"/>
    <n v="88"/>
    <s v="NA"/>
    <n v="81.96365524402907"/>
    <x v="0"/>
    <x v="0"/>
  </r>
  <r>
    <n v="0"/>
    <x v="0"/>
    <n v="45"/>
    <x v="1"/>
    <n v="2"/>
    <n v="2"/>
    <s v="Secondary"/>
    <x v="0"/>
    <n v="1"/>
    <n v="20"/>
    <n v="20"/>
    <x v="0"/>
    <n v="0"/>
    <x v="0"/>
    <n v="0"/>
    <n v="0"/>
    <n v="0"/>
    <n v="311"/>
    <n v="311"/>
    <x v="0"/>
    <n v="117.5"/>
    <n v="76"/>
    <n v="26.27"/>
    <n v="26.27"/>
    <x v="0"/>
    <n v="68"/>
    <n v="68"/>
    <n v="67"/>
    <n v="67"/>
    <x v="0"/>
    <x v="1"/>
  </r>
  <r>
    <n v="1"/>
    <x v="1"/>
    <n v="45"/>
    <x v="1"/>
    <n v="2"/>
    <n v="2"/>
    <s v="Secondary"/>
    <x v="0"/>
    <n v="1"/>
    <s v="NA"/>
    <n v="9"/>
    <x v="0"/>
    <n v="0"/>
    <x v="0"/>
    <n v="0"/>
    <n v="0"/>
    <n v="0"/>
    <n v="248"/>
    <n v="248"/>
    <x v="0"/>
    <n v="121"/>
    <n v="72"/>
    <n v="27.88"/>
    <n v="27.88"/>
    <x v="0"/>
    <n v="64"/>
    <n v="64"/>
    <n v="88"/>
    <n v="88"/>
    <x v="0"/>
    <x v="0"/>
  </r>
  <r>
    <n v="1"/>
    <x v="1"/>
    <n v="45"/>
    <x v="1"/>
    <n v="4"/>
    <n v="4"/>
    <s v="Post Graduate"/>
    <x v="3"/>
    <n v="1"/>
    <n v="20"/>
    <n v="20"/>
    <x v="0"/>
    <n v="0"/>
    <x v="0"/>
    <n v="0"/>
    <n v="1"/>
    <n v="0"/>
    <n v="271"/>
    <n v="271"/>
    <x v="0"/>
    <n v="164"/>
    <n v="98"/>
    <n v="26.05"/>
    <n v="26.05"/>
    <x v="0"/>
    <n v="94"/>
    <n v="94"/>
    <n v="81"/>
    <n v="81"/>
    <x v="0"/>
    <x v="1"/>
  </r>
  <r>
    <n v="0"/>
    <x v="0"/>
    <n v="45"/>
    <x v="1"/>
    <n v="2"/>
    <n v="2"/>
    <s v="Secondary"/>
    <x v="0"/>
    <n v="0"/>
    <n v="0"/>
    <n v="0"/>
    <x v="1"/>
    <n v="0"/>
    <x v="0"/>
    <n v="0"/>
    <n v="0"/>
    <n v="0"/>
    <n v="155"/>
    <n v="155"/>
    <x v="1"/>
    <n v="116"/>
    <n v="81.5"/>
    <n v="25.56"/>
    <n v="25.56"/>
    <x v="0"/>
    <n v="72"/>
    <n v="72"/>
    <n v="82"/>
    <n v="82"/>
    <x v="0"/>
    <x v="0"/>
  </r>
  <r>
    <n v="1"/>
    <x v="1"/>
    <n v="45"/>
    <x v="1"/>
    <n v="1"/>
    <n v="1"/>
    <s v="Primary"/>
    <x v="2"/>
    <n v="1"/>
    <n v="20"/>
    <n v="20"/>
    <x v="0"/>
    <n v="0"/>
    <x v="0"/>
    <n v="0"/>
    <n v="0"/>
    <n v="0"/>
    <n v="218"/>
    <n v="218"/>
    <x v="1"/>
    <n v="130"/>
    <n v="87"/>
    <n v="24.1"/>
    <n v="24.1"/>
    <x v="1"/>
    <n v="72"/>
    <n v="72"/>
    <n v="64"/>
    <n v="64"/>
    <x v="0"/>
    <x v="0"/>
  </r>
  <r>
    <n v="0"/>
    <x v="0"/>
    <n v="45"/>
    <x v="1"/>
    <n v="2"/>
    <n v="2"/>
    <s v="Secondary"/>
    <x v="0"/>
    <n v="1"/>
    <n v="20"/>
    <n v="20"/>
    <x v="0"/>
    <n v="0"/>
    <x v="0"/>
    <n v="0"/>
    <n v="1"/>
    <n v="0"/>
    <n v="297"/>
    <n v="297"/>
    <x v="0"/>
    <n v="142"/>
    <n v="91"/>
    <n v="35.020000000000003"/>
    <n v="35.020000000000003"/>
    <x v="2"/>
    <n v="87"/>
    <n v="87"/>
    <n v="86"/>
    <n v="86"/>
    <x v="0"/>
    <x v="0"/>
  </r>
  <r>
    <n v="1"/>
    <x v="1"/>
    <n v="45"/>
    <x v="1"/>
    <n v="1"/>
    <n v="1"/>
    <s v="Primary"/>
    <x v="2"/>
    <n v="0"/>
    <n v="0"/>
    <n v="0"/>
    <x v="1"/>
    <n v="0"/>
    <x v="0"/>
    <n v="0"/>
    <n v="0"/>
    <n v="0"/>
    <n v="275"/>
    <n v="275"/>
    <x v="0"/>
    <n v="105"/>
    <n v="86"/>
    <n v="32.92"/>
    <n v="32.92"/>
    <x v="2"/>
    <n v="75"/>
    <n v="75"/>
    <n v="92"/>
    <n v="92"/>
    <x v="0"/>
    <x v="0"/>
  </r>
  <r>
    <n v="1"/>
    <x v="1"/>
    <n v="45"/>
    <x v="1"/>
    <n v="1"/>
    <n v="1"/>
    <s v="Primary"/>
    <x v="2"/>
    <n v="1"/>
    <n v="6"/>
    <n v="6"/>
    <x v="0"/>
    <n v="0"/>
    <x v="0"/>
    <n v="0"/>
    <n v="0"/>
    <n v="0"/>
    <n v="216"/>
    <n v="216"/>
    <x v="1"/>
    <n v="127.5"/>
    <n v="82.5"/>
    <n v="27.15"/>
    <n v="27.15"/>
    <x v="0"/>
    <n v="70"/>
    <n v="70"/>
    <n v="67"/>
    <n v="67"/>
    <x v="0"/>
    <x v="0"/>
  </r>
  <r>
    <n v="0"/>
    <x v="0"/>
    <n v="45"/>
    <x v="1"/>
    <n v="4"/>
    <n v="4"/>
    <s v="Post Graduate"/>
    <x v="3"/>
    <n v="0"/>
    <n v="0"/>
    <n v="0"/>
    <x v="1"/>
    <n v="0"/>
    <x v="0"/>
    <n v="0"/>
    <n v="0"/>
    <n v="0"/>
    <n v="201"/>
    <n v="201"/>
    <x v="1"/>
    <n v="128.5"/>
    <n v="73"/>
    <n v="24.56"/>
    <n v="24.56"/>
    <x v="1"/>
    <n v="85"/>
    <n v="85"/>
    <n v="82"/>
    <n v="82"/>
    <x v="0"/>
    <x v="0"/>
  </r>
  <r>
    <n v="0"/>
    <x v="0"/>
    <n v="45"/>
    <x v="1"/>
    <n v="2"/>
    <n v="2"/>
    <s v="Secondary"/>
    <x v="0"/>
    <n v="1"/>
    <n v="1"/>
    <n v="1"/>
    <x v="0"/>
    <n v="0"/>
    <x v="0"/>
    <n v="0"/>
    <n v="1"/>
    <n v="0"/>
    <n v="285"/>
    <n v="285"/>
    <x v="0"/>
    <n v="132.5"/>
    <n v="97.5"/>
    <n v="24.74"/>
    <n v="24.74"/>
    <x v="1"/>
    <n v="98"/>
    <n v="98"/>
    <n v="77"/>
    <n v="77"/>
    <x v="0"/>
    <x v="0"/>
  </r>
  <r>
    <n v="1"/>
    <x v="1"/>
    <n v="45"/>
    <x v="1"/>
    <n v="2"/>
    <n v="2"/>
    <s v="Secondary"/>
    <x v="0"/>
    <n v="1"/>
    <n v="20"/>
    <n v="20"/>
    <x v="0"/>
    <n v="0"/>
    <x v="0"/>
    <n v="0"/>
    <n v="0"/>
    <n v="0"/>
    <n v="229"/>
    <n v="229"/>
    <x v="1"/>
    <n v="117"/>
    <n v="78"/>
    <n v="22.79"/>
    <n v="22.79"/>
    <x v="1"/>
    <n v="85"/>
    <n v="85"/>
    <n v="86"/>
    <n v="86"/>
    <x v="0"/>
    <x v="0"/>
  </r>
  <r>
    <n v="0"/>
    <x v="0"/>
    <n v="45"/>
    <x v="1"/>
    <n v="3"/>
    <n v="3"/>
    <s v="Graduate"/>
    <x v="1"/>
    <n v="1"/>
    <n v="20"/>
    <n v="20"/>
    <x v="0"/>
    <n v="0"/>
    <x v="0"/>
    <n v="0"/>
    <n v="0"/>
    <n v="0"/>
    <n v="198"/>
    <n v="198"/>
    <x v="1"/>
    <n v="119"/>
    <n v="80"/>
    <n v="22.18"/>
    <n v="22.18"/>
    <x v="1"/>
    <n v="78"/>
    <n v="78"/>
    <n v="79"/>
    <n v="79"/>
    <x v="0"/>
    <x v="0"/>
  </r>
  <r>
    <n v="0"/>
    <x v="0"/>
    <n v="45"/>
    <x v="1"/>
    <n v="1"/>
    <n v="1"/>
    <s v="Primary"/>
    <x v="2"/>
    <n v="0"/>
    <n v="0"/>
    <n v="0"/>
    <x v="1"/>
    <n v="0"/>
    <x v="0"/>
    <n v="0"/>
    <n v="0"/>
    <n v="0"/>
    <n v="288"/>
    <n v="288"/>
    <x v="0"/>
    <n v="135"/>
    <n v="88"/>
    <n v="25.23"/>
    <n v="25.23"/>
    <x v="0"/>
    <n v="85"/>
    <n v="85"/>
    <n v="79"/>
    <n v="79"/>
    <x v="0"/>
    <x v="0"/>
  </r>
  <r>
    <n v="1"/>
    <x v="1"/>
    <n v="45"/>
    <x v="1"/>
    <n v="4"/>
    <n v="4"/>
    <s v="Post Graduate"/>
    <x v="3"/>
    <n v="1"/>
    <n v="20"/>
    <n v="20"/>
    <x v="0"/>
    <n v="0"/>
    <x v="0"/>
    <n v="0"/>
    <n v="0"/>
    <n v="0"/>
    <n v="257"/>
    <n v="257"/>
    <x v="0"/>
    <n v="117.5"/>
    <n v="82.5"/>
    <n v="24.62"/>
    <n v="24.62"/>
    <x v="1"/>
    <n v="58"/>
    <n v="58"/>
    <n v="86"/>
    <n v="86"/>
    <x v="0"/>
    <x v="0"/>
  </r>
  <r>
    <n v="0"/>
    <x v="0"/>
    <n v="45"/>
    <x v="1"/>
    <n v="4"/>
    <n v="4"/>
    <s v="Post Graduate"/>
    <x v="3"/>
    <n v="0"/>
    <n v="0"/>
    <n v="0"/>
    <x v="1"/>
    <n v="0"/>
    <x v="0"/>
    <n v="0"/>
    <n v="0"/>
    <n v="0"/>
    <n v="333"/>
    <n v="333"/>
    <x v="0"/>
    <n v="122"/>
    <n v="80"/>
    <n v="24.39"/>
    <n v="24.39"/>
    <x v="1"/>
    <n v="75"/>
    <n v="75"/>
    <n v="80"/>
    <n v="80"/>
    <x v="0"/>
    <x v="0"/>
  </r>
  <r>
    <n v="1"/>
    <x v="1"/>
    <n v="45"/>
    <x v="1"/>
    <n v="1"/>
    <n v="1"/>
    <s v="Primary"/>
    <x v="2"/>
    <n v="1"/>
    <n v="25"/>
    <n v="25"/>
    <x v="0"/>
    <n v="0"/>
    <x v="0"/>
    <n v="0"/>
    <n v="1"/>
    <n v="0"/>
    <n v="232"/>
    <n v="232"/>
    <x v="1"/>
    <n v="165"/>
    <n v="86"/>
    <n v="23.86"/>
    <n v="23.86"/>
    <x v="1"/>
    <n v="78"/>
    <n v="78"/>
    <n v="68"/>
    <n v="68"/>
    <x v="0"/>
    <x v="0"/>
  </r>
  <r>
    <n v="0"/>
    <x v="0"/>
    <n v="45"/>
    <x v="1"/>
    <n v="3"/>
    <n v="3"/>
    <s v="Graduate"/>
    <x v="1"/>
    <n v="0"/>
    <n v="0"/>
    <n v="0"/>
    <x v="1"/>
    <n v="0"/>
    <x v="0"/>
    <n v="0"/>
    <n v="0"/>
    <n v="0"/>
    <n v="230"/>
    <n v="230"/>
    <x v="1"/>
    <n v="128.5"/>
    <n v="87.5"/>
    <n v="23.75"/>
    <n v="23.75"/>
    <x v="1"/>
    <n v="82"/>
    <n v="82"/>
    <n v="62"/>
    <n v="62"/>
    <x v="0"/>
    <x v="0"/>
  </r>
  <r>
    <n v="1"/>
    <x v="1"/>
    <n v="45"/>
    <x v="1"/>
    <s v="NA"/>
    <n v="1"/>
    <s v="Primary"/>
    <x v="2"/>
    <n v="1"/>
    <n v="20"/>
    <n v="20"/>
    <x v="0"/>
    <n v="0"/>
    <x v="0"/>
    <n v="0"/>
    <n v="0"/>
    <n v="0"/>
    <n v="200"/>
    <n v="200"/>
    <x v="1"/>
    <n v="113"/>
    <n v="75.5"/>
    <n v="21.51"/>
    <n v="21.51"/>
    <x v="1"/>
    <n v="88"/>
    <n v="88"/>
    <n v="72"/>
    <n v="72"/>
    <x v="0"/>
    <x v="0"/>
  </r>
  <r>
    <n v="1"/>
    <x v="1"/>
    <n v="45"/>
    <x v="1"/>
    <n v="1"/>
    <n v="1"/>
    <s v="Primary"/>
    <x v="2"/>
    <n v="0"/>
    <n v="0"/>
    <n v="0"/>
    <x v="1"/>
    <n v="0"/>
    <x v="0"/>
    <n v="0"/>
    <n v="0"/>
    <n v="0"/>
    <n v="252"/>
    <n v="252"/>
    <x v="0"/>
    <n v="124"/>
    <n v="89"/>
    <n v="22.82"/>
    <n v="22.82"/>
    <x v="1"/>
    <n v="82"/>
    <n v="82"/>
    <n v="71"/>
    <n v="71"/>
    <x v="0"/>
    <x v="0"/>
  </r>
  <r>
    <n v="0"/>
    <x v="0"/>
    <n v="45"/>
    <x v="1"/>
    <n v="1"/>
    <n v="1"/>
    <s v="Primary"/>
    <x v="2"/>
    <n v="1"/>
    <n v="5"/>
    <n v="5"/>
    <x v="0"/>
    <n v="0"/>
    <x v="0"/>
    <n v="0"/>
    <n v="1"/>
    <n v="0"/>
    <n v="268"/>
    <n v="268"/>
    <x v="0"/>
    <n v="130"/>
    <n v="94"/>
    <n v="34.270000000000003"/>
    <n v="34.270000000000003"/>
    <x v="2"/>
    <n v="85"/>
    <n v="85"/>
    <n v="93"/>
    <n v="93"/>
    <x v="0"/>
    <x v="0"/>
  </r>
  <r>
    <n v="1"/>
    <x v="1"/>
    <n v="45"/>
    <x v="1"/>
    <n v="4"/>
    <n v="4"/>
    <s v="Post Graduate"/>
    <x v="3"/>
    <n v="0"/>
    <n v="0"/>
    <n v="0"/>
    <x v="1"/>
    <n v="0"/>
    <x v="0"/>
    <n v="0"/>
    <n v="0"/>
    <n v="1"/>
    <n v="189"/>
    <n v="189"/>
    <x v="1"/>
    <n v="132"/>
    <n v="78"/>
    <n v="28.4"/>
    <n v="28.4"/>
    <x v="0"/>
    <n v="75"/>
    <n v="75"/>
    <n v="177"/>
    <n v="177"/>
    <x v="0"/>
    <x v="0"/>
  </r>
  <r>
    <n v="0"/>
    <x v="0"/>
    <n v="45"/>
    <x v="1"/>
    <n v="3"/>
    <n v="3"/>
    <s v="Graduate"/>
    <x v="1"/>
    <n v="0"/>
    <n v="0"/>
    <n v="0"/>
    <x v="1"/>
    <n v="0"/>
    <x v="0"/>
    <n v="0"/>
    <n v="0"/>
    <n v="0"/>
    <n v="297"/>
    <n v="297"/>
    <x v="0"/>
    <n v="134"/>
    <n v="93"/>
    <n v="28.81"/>
    <n v="28.81"/>
    <x v="0"/>
    <n v="92"/>
    <n v="92"/>
    <n v="74"/>
    <n v="74"/>
    <x v="0"/>
    <x v="0"/>
  </r>
  <r>
    <n v="1"/>
    <x v="1"/>
    <n v="45"/>
    <x v="1"/>
    <n v="3"/>
    <n v="3"/>
    <s v="Graduate"/>
    <x v="1"/>
    <n v="0"/>
    <n v="0"/>
    <n v="0"/>
    <x v="1"/>
    <n v="0"/>
    <x v="0"/>
    <n v="0"/>
    <n v="0"/>
    <n v="0"/>
    <n v="185"/>
    <n v="185"/>
    <x v="1"/>
    <n v="108"/>
    <n v="70"/>
    <n v="20.5"/>
    <n v="20.5"/>
    <x v="1"/>
    <n v="60"/>
    <n v="60"/>
    <n v="87"/>
    <n v="87"/>
    <x v="0"/>
    <x v="0"/>
  </r>
  <r>
    <n v="0"/>
    <x v="0"/>
    <n v="45"/>
    <x v="1"/>
    <n v="2"/>
    <n v="2"/>
    <s v="Secondary"/>
    <x v="0"/>
    <n v="1"/>
    <n v="3"/>
    <n v="3"/>
    <x v="0"/>
    <n v="0"/>
    <x v="0"/>
    <n v="0"/>
    <n v="0"/>
    <n v="0"/>
    <n v="220"/>
    <n v="220"/>
    <x v="1"/>
    <n v="133.5"/>
    <n v="85.5"/>
    <n v="25.38"/>
    <n v="25.38"/>
    <x v="0"/>
    <n v="65"/>
    <n v="65"/>
    <n v="73"/>
    <n v="73"/>
    <x v="0"/>
    <x v="0"/>
  </r>
  <r>
    <n v="0"/>
    <x v="0"/>
    <n v="45"/>
    <x v="1"/>
    <n v="2"/>
    <n v="2"/>
    <s v="Secondary"/>
    <x v="0"/>
    <n v="1"/>
    <n v="10"/>
    <n v="10"/>
    <x v="0"/>
    <n v="0"/>
    <x v="0"/>
    <n v="0"/>
    <n v="1"/>
    <n v="0"/>
    <n v="232"/>
    <n v="232"/>
    <x v="1"/>
    <n v="163"/>
    <n v="101"/>
    <n v="23.26"/>
    <n v="23.26"/>
    <x v="1"/>
    <n v="100"/>
    <n v="100"/>
    <n v="74"/>
    <n v="74"/>
    <x v="0"/>
    <x v="0"/>
  </r>
  <r>
    <n v="1"/>
    <x v="1"/>
    <n v="45"/>
    <x v="1"/>
    <n v="1"/>
    <n v="1"/>
    <s v="Primary"/>
    <x v="2"/>
    <n v="1"/>
    <n v="20"/>
    <n v="20"/>
    <x v="0"/>
    <n v="0"/>
    <x v="0"/>
    <n v="0"/>
    <n v="0"/>
    <n v="0"/>
    <n v="212"/>
    <n v="212"/>
    <x v="1"/>
    <n v="118"/>
    <n v="71"/>
    <n v="21.03"/>
    <n v="21.03"/>
    <x v="1"/>
    <n v="66"/>
    <n v="66"/>
    <n v="83"/>
    <n v="83"/>
    <x v="0"/>
    <x v="0"/>
  </r>
  <r>
    <n v="1"/>
    <x v="1"/>
    <n v="45"/>
    <x v="1"/>
    <n v="3"/>
    <n v="3"/>
    <s v="Graduate"/>
    <x v="1"/>
    <n v="1"/>
    <n v="20"/>
    <n v="20"/>
    <x v="0"/>
    <n v="0"/>
    <x v="0"/>
    <n v="0"/>
    <n v="0"/>
    <n v="0"/>
    <n v="207"/>
    <n v="207"/>
    <x v="1"/>
    <n v="111"/>
    <n v="72"/>
    <n v="21.49"/>
    <n v="21.49"/>
    <x v="1"/>
    <n v="67"/>
    <n v="67"/>
    <n v="87"/>
    <n v="87"/>
    <x v="0"/>
    <x v="0"/>
  </r>
  <r>
    <n v="0"/>
    <x v="0"/>
    <n v="45"/>
    <x v="1"/>
    <n v="1"/>
    <n v="1"/>
    <s v="Primary"/>
    <x v="2"/>
    <n v="0"/>
    <n v="0"/>
    <n v="0"/>
    <x v="1"/>
    <n v="0"/>
    <x v="0"/>
    <n v="0"/>
    <n v="0"/>
    <n v="0"/>
    <n v="219"/>
    <n v="219"/>
    <x v="1"/>
    <n v="123.5"/>
    <n v="80.5"/>
    <n v="24.45"/>
    <n v="24.45"/>
    <x v="1"/>
    <n v="65"/>
    <n v="65"/>
    <n v="83"/>
    <n v="83"/>
    <x v="0"/>
    <x v="0"/>
  </r>
  <r>
    <n v="1"/>
    <x v="1"/>
    <n v="45"/>
    <x v="1"/>
    <n v="1"/>
    <n v="1"/>
    <s v="Primary"/>
    <x v="2"/>
    <n v="0"/>
    <n v="0"/>
    <n v="0"/>
    <x v="1"/>
    <n v="0"/>
    <x v="0"/>
    <n v="0"/>
    <n v="0"/>
    <n v="0"/>
    <n v="213"/>
    <n v="213"/>
    <x v="1"/>
    <n v="130"/>
    <n v="80"/>
    <n v="27.25"/>
    <n v="27.25"/>
    <x v="0"/>
    <n v="68"/>
    <n v="68"/>
    <n v="75"/>
    <n v="75"/>
    <x v="0"/>
    <x v="0"/>
  </r>
  <r>
    <n v="1"/>
    <x v="1"/>
    <n v="45"/>
    <x v="1"/>
    <n v="4"/>
    <n v="4"/>
    <s v="Post Graduate"/>
    <x v="3"/>
    <n v="1"/>
    <n v="10"/>
    <n v="10"/>
    <x v="0"/>
    <n v="0"/>
    <x v="0"/>
    <n v="0"/>
    <n v="1"/>
    <n v="0"/>
    <n v="255"/>
    <n v="255"/>
    <x v="0"/>
    <n v="111"/>
    <n v="80"/>
    <n v="30.92"/>
    <n v="30.92"/>
    <x v="2"/>
    <n v="72"/>
    <n v="72"/>
    <n v="80"/>
    <n v="80"/>
    <x v="0"/>
    <x v="0"/>
  </r>
  <r>
    <n v="1"/>
    <x v="1"/>
    <n v="45"/>
    <x v="1"/>
    <n v="3"/>
    <n v="3"/>
    <s v="Graduate"/>
    <x v="1"/>
    <n v="0"/>
    <n v="0"/>
    <n v="0"/>
    <x v="1"/>
    <n v="0"/>
    <x v="0"/>
    <n v="0"/>
    <n v="0"/>
    <n v="0"/>
    <n v="347"/>
    <n v="347"/>
    <x v="0"/>
    <n v="157"/>
    <n v="98"/>
    <n v="26.63"/>
    <n v="26.63"/>
    <x v="0"/>
    <n v="88"/>
    <n v="88"/>
    <n v="80"/>
    <n v="80"/>
    <x v="0"/>
    <x v="0"/>
  </r>
  <r>
    <n v="1"/>
    <x v="1"/>
    <n v="45"/>
    <x v="1"/>
    <n v="1"/>
    <n v="1"/>
    <s v="Primary"/>
    <x v="2"/>
    <n v="1"/>
    <n v="20"/>
    <n v="20"/>
    <x v="0"/>
    <n v="0"/>
    <x v="0"/>
    <n v="0"/>
    <n v="1"/>
    <n v="0"/>
    <n v="256"/>
    <n v="256"/>
    <x v="0"/>
    <n v="144"/>
    <n v="96"/>
    <n v="26.6"/>
    <n v="26.6"/>
    <x v="0"/>
    <n v="75"/>
    <n v="75"/>
    <n v="83"/>
    <n v="83"/>
    <x v="0"/>
    <x v="0"/>
  </r>
  <r>
    <n v="0"/>
    <x v="0"/>
    <n v="45"/>
    <x v="1"/>
    <n v="1"/>
    <n v="1"/>
    <s v="Primary"/>
    <x v="2"/>
    <n v="0"/>
    <n v="0"/>
    <n v="0"/>
    <x v="1"/>
    <n v="0"/>
    <x v="0"/>
    <n v="0"/>
    <n v="0"/>
    <n v="0"/>
    <n v="285"/>
    <n v="285"/>
    <x v="0"/>
    <n v="120"/>
    <n v="80"/>
    <n v="27.45"/>
    <n v="27.45"/>
    <x v="0"/>
    <n v="84"/>
    <n v="84"/>
    <n v="93"/>
    <n v="93"/>
    <x v="0"/>
    <x v="0"/>
  </r>
  <r>
    <n v="0"/>
    <x v="0"/>
    <n v="45"/>
    <x v="1"/>
    <n v="4"/>
    <n v="4"/>
    <s v="Post Graduate"/>
    <x v="3"/>
    <n v="1"/>
    <n v="10"/>
    <n v="10"/>
    <x v="0"/>
    <n v="0"/>
    <x v="0"/>
    <n v="0"/>
    <n v="0"/>
    <n v="0"/>
    <n v="202"/>
    <n v="202"/>
    <x v="1"/>
    <n v="93.5"/>
    <n v="58"/>
    <n v="21.25"/>
    <n v="21.25"/>
    <x v="1"/>
    <n v="60"/>
    <n v="60"/>
    <n v="60"/>
    <n v="60"/>
    <x v="0"/>
    <x v="0"/>
  </r>
  <r>
    <n v="1"/>
    <x v="1"/>
    <n v="45"/>
    <x v="1"/>
    <n v="3"/>
    <n v="3"/>
    <s v="Graduate"/>
    <x v="1"/>
    <n v="1"/>
    <n v="30"/>
    <n v="30"/>
    <x v="0"/>
    <n v="0"/>
    <x v="0"/>
    <n v="0"/>
    <n v="1"/>
    <n v="0"/>
    <n v="233"/>
    <n v="233"/>
    <x v="1"/>
    <n v="147"/>
    <n v="101"/>
    <n v="24.32"/>
    <n v="24.32"/>
    <x v="1"/>
    <n v="75"/>
    <n v="75"/>
    <n v="99"/>
    <n v="99"/>
    <x v="0"/>
    <x v="0"/>
  </r>
  <r>
    <n v="1"/>
    <x v="1"/>
    <n v="45"/>
    <x v="1"/>
    <n v="1"/>
    <n v="1"/>
    <s v="Primary"/>
    <x v="2"/>
    <n v="0"/>
    <n v="0"/>
    <n v="0"/>
    <x v="1"/>
    <n v="0"/>
    <x v="0"/>
    <n v="0"/>
    <n v="0"/>
    <n v="0"/>
    <n v="220"/>
    <n v="220"/>
    <x v="1"/>
    <n v="139"/>
    <n v="74"/>
    <n v="27.34"/>
    <n v="27.34"/>
    <x v="0"/>
    <n v="70"/>
    <n v="70"/>
    <n v="100"/>
    <n v="100"/>
    <x v="0"/>
    <x v="0"/>
  </r>
  <r>
    <n v="0"/>
    <x v="0"/>
    <n v="45"/>
    <x v="1"/>
    <n v="1"/>
    <n v="1"/>
    <s v="Primary"/>
    <x v="2"/>
    <n v="1"/>
    <n v="2"/>
    <n v="2"/>
    <x v="0"/>
    <n v="0"/>
    <x v="0"/>
    <n v="0"/>
    <n v="0"/>
    <n v="0"/>
    <n v="291"/>
    <n v="291"/>
    <x v="0"/>
    <n v="125"/>
    <n v="82"/>
    <n v="21.26"/>
    <n v="21.26"/>
    <x v="1"/>
    <n v="75"/>
    <n v="75"/>
    <n v="72"/>
    <n v="72"/>
    <x v="0"/>
    <x v="0"/>
  </r>
  <r>
    <n v="0"/>
    <x v="0"/>
    <n v="45"/>
    <x v="1"/>
    <n v="1"/>
    <n v="1"/>
    <s v="Primary"/>
    <x v="2"/>
    <n v="0"/>
    <n v="0"/>
    <n v="0"/>
    <x v="1"/>
    <n v="0"/>
    <x v="0"/>
    <n v="0"/>
    <n v="0"/>
    <n v="0"/>
    <n v="235"/>
    <n v="235"/>
    <x v="1"/>
    <n v="106"/>
    <n v="58"/>
    <n v="26.79"/>
    <n v="26.79"/>
    <x v="0"/>
    <n v="75"/>
    <n v="75"/>
    <n v="79"/>
    <n v="79"/>
    <x v="0"/>
    <x v="0"/>
  </r>
  <r>
    <n v="1"/>
    <x v="1"/>
    <n v="45"/>
    <x v="1"/>
    <n v="1"/>
    <n v="1"/>
    <s v="Primary"/>
    <x v="2"/>
    <n v="1"/>
    <n v="20"/>
    <n v="20"/>
    <x v="0"/>
    <n v="0"/>
    <x v="0"/>
    <n v="0"/>
    <n v="0"/>
    <n v="0"/>
    <n v="241"/>
    <n v="241"/>
    <x v="0"/>
    <n v="129"/>
    <n v="80"/>
    <n v="27.11"/>
    <n v="27.11"/>
    <x v="0"/>
    <n v="65"/>
    <n v="65"/>
    <n v="65"/>
    <n v="65"/>
    <x v="0"/>
    <x v="1"/>
  </r>
  <r>
    <n v="1"/>
    <x v="1"/>
    <n v="45"/>
    <x v="1"/>
    <n v="4"/>
    <n v="4"/>
    <s v="Post Graduate"/>
    <x v="3"/>
    <n v="1"/>
    <n v="43"/>
    <n v="43"/>
    <x v="0"/>
    <n v="0"/>
    <x v="0"/>
    <n v="0"/>
    <n v="0"/>
    <n v="0"/>
    <n v="216"/>
    <n v="216"/>
    <x v="1"/>
    <n v="137.5"/>
    <n v="85"/>
    <n v="24.24"/>
    <n v="24.24"/>
    <x v="1"/>
    <n v="83"/>
    <n v="83"/>
    <n v="105"/>
    <n v="105"/>
    <x v="0"/>
    <x v="0"/>
  </r>
  <r>
    <n v="0"/>
    <x v="0"/>
    <n v="46"/>
    <x v="1"/>
    <n v="2"/>
    <n v="2"/>
    <s v="Secondary"/>
    <x v="0"/>
    <n v="0"/>
    <n v="0"/>
    <n v="0"/>
    <x v="1"/>
    <n v="0"/>
    <x v="0"/>
    <n v="0"/>
    <n v="0"/>
    <n v="0"/>
    <n v="250"/>
    <n v="250"/>
    <x v="0"/>
    <n v="121"/>
    <n v="81"/>
    <n v="28.73"/>
    <n v="28.73"/>
    <x v="0"/>
    <n v="95"/>
    <n v="95"/>
    <n v="76"/>
    <n v="76"/>
    <x v="0"/>
    <x v="0"/>
  </r>
  <r>
    <n v="0"/>
    <x v="0"/>
    <n v="46"/>
    <x v="1"/>
    <n v="3"/>
    <n v="3"/>
    <s v="Graduate"/>
    <x v="1"/>
    <n v="1"/>
    <n v="23"/>
    <n v="23"/>
    <x v="0"/>
    <n v="0"/>
    <x v="0"/>
    <n v="0"/>
    <n v="0"/>
    <n v="0"/>
    <n v="285"/>
    <n v="285"/>
    <x v="0"/>
    <n v="130"/>
    <n v="84"/>
    <n v="23.1"/>
    <n v="23.1"/>
    <x v="1"/>
    <n v="85"/>
    <n v="85"/>
    <n v="85"/>
    <n v="85"/>
    <x v="0"/>
    <x v="0"/>
  </r>
  <r>
    <n v="1"/>
    <x v="1"/>
    <n v="46"/>
    <x v="1"/>
    <n v="1"/>
    <n v="1"/>
    <s v="Primary"/>
    <x v="2"/>
    <n v="1"/>
    <n v="15"/>
    <n v="15"/>
    <x v="0"/>
    <n v="0"/>
    <x v="0"/>
    <n v="0"/>
    <n v="1"/>
    <n v="0"/>
    <n v="294"/>
    <n v="294"/>
    <x v="0"/>
    <n v="142"/>
    <n v="94"/>
    <n v="26.31"/>
    <n v="26.31"/>
    <x v="0"/>
    <n v="98"/>
    <n v="98"/>
    <n v="64"/>
    <n v="64"/>
    <x v="0"/>
    <x v="0"/>
  </r>
  <r>
    <n v="0"/>
    <x v="0"/>
    <n v="46"/>
    <x v="1"/>
    <n v="2"/>
    <n v="2"/>
    <s v="Secondary"/>
    <x v="0"/>
    <n v="1"/>
    <n v="20"/>
    <n v="20"/>
    <x v="0"/>
    <n v="0"/>
    <x v="0"/>
    <n v="0"/>
    <n v="0"/>
    <n v="0"/>
    <n v="291"/>
    <n v="291"/>
    <x v="0"/>
    <n v="112"/>
    <n v="78"/>
    <n v="23.38"/>
    <n v="23.38"/>
    <x v="1"/>
    <n v="80"/>
    <n v="80"/>
    <n v="89"/>
    <n v="89"/>
    <x v="0"/>
    <x v="1"/>
  </r>
  <r>
    <n v="1"/>
    <x v="1"/>
    <n v="46"/>
    <x v="1"/>
    <n v="1"/>
    <n v="1"/>
    <s v="Primary"/>
    <x v="2"/>
    <n v="1"/>
    <n v="20"/>
    <n v="20"/>
    <x v="0"/>
    <n v="0"/>
    <x v="0"/>
    <n v="0"/>
    <n v="0"/>
    <n v="0"/>
    <n v="261"/>
    <n v="261"/>
    <x v="0"/>
    <n v="119"/>
    <n v="77.5"/>
    <n v="23.59"/>
    <n v="23.59"/>
    <x v="1"/>
    <n v="75"/>
    <n v="75"/>
    <n v="74"/>
    <n v="74"/>
    <x v="0"/>
    <x v="0"/>
  </r>
  <r>
    <n v="0"/>
    <x v="0"/>
    <n v="46"/>
    <x v="1"/>
    <n v="1"/>
    <n v="1"/>
    <s v="Primary"/>
    <x v="2"/>
    <n v="1"/>
    <n v="10"/>
    <n v="10"/>
    <x v="0"/>
    <n v="0"/>
    <x v="0"/>
    <n v="0"/>
    <n v="0"/>
    <n v="0"/>
    <n v="250"/>
    <n v="250"/>
    <x v="0"/>
    <n v="116"/>
    <n v="71"/>
    <n v="20.350000000000001"/>
    <n v="20.350000000000001"/>
    <x v="1"/>
    <n v="88"/>
    <n v="88"/>
    <n v="94"/>
    <n v="94"/>
    <x v="0"/>
    <x v="0"/>
  </r>
  <r>
    <n v="0"/>
    <x v="0"/>
    <n v="46"/>
    <x v="1"/>
    <n v="1"/>
    <n v="1"/>
    <s v="Primary"/>
    <x v="2"/>
    <n v="1"/>
    <n v="3"/>
    <n v="3"/>
    <x v="0"/>
    <n v="0"/>
    <x v="0"/>
    <n v="0"/>
    <n v="0"/>
    <n v="0"/>
    <n v="237"/>
    <n v="237"/>
    <x v="1"/>
    <n v="112"/>
    <n v="70"/>
    <n v="20.2"/>
    <n v="20.2"/>
    <x v="1"/>
    <n v="75"/>
    <n v="75"/>
    <n v="62"/>
    <n v="62"/>
    <x v="0"/>
    <x v="0"/>
  </r>
  <r>
    <n v="0"/>
    <x v="0"/>
    <n v="46"/>
    <x v="1"/>
    <n v="1"/>
    <n v="1"/>
    <s v="Primary"/>
    <x v="2"/>
    <n v="0"/>
    <n v="0"/>
    <n v="0"/>
    <x v="1"/>
    <n v="0"/>
    <x v="0"/>
    <n v="0"/>
    <n v="1"/>
    <n v="0"/>
    <n v="200"/>
    <n v="200"/>
    <x v="1"/>
    <n v="135"/>
    <n v="97"/>
    <n v="36.81"/>
    <n v="36.81"/>
    <x v="2"/>
    <n v="100"/>
    <n v="100"/>
    <n v="97"/>
    <n v="97"/>
    <x v="0"/>
    <x v="0"/>
  </r>
  <r>
    <n v="1"/>
    <x v="1"/>
    <n v="46"/>
    <x v="1"/>
    <n v="1"/>
    <n v="1"/>
    <s v="Primary"/>
    <x v="2"/>
    <n v="1"/>
    <n v="30"/>
    <n v="30"/>
    <x v="0"/>
    <n v="0"/>
    <x v="0"/>
    <n v="0"/>
    <n v="0"/>
    <n v="0"/>
    <n v="270"/>
    <n v="270"/>
    <x v="0"/>
    <n v="131"/>
    <n v="81"/>
    <n v="26.4"/>
    <n v="26.4"/>
    <x v="0"/>
    <n v="75"/>
    <n v="75"/>
    <n v="83"/>
    <n v="83"/>
    <x v="0"/>
    <x v="0"/>
  </r>
  <r>
    <n v="0"/>
    <x v="0"/>
    <n v="46"/>
    <x v="1"/>
    <n v="3"/>
    <n v="3"/>
    <s v="Graduate"/>
    <x v="1"/>
    <n v="0"/>
    <n v="0"/>
    <n v="0"/>
    <x v="1"/>
    <n v="0"/>
    <x v="0"/>
    <n v="0"/>
    <n v="0"/>
    <n v="0"/>
    <n v="165"/>
    <n v="165"/>
    <x v="1"/>
    <n v="108"/>
    <n v="81"/>
    <n v="24.19"/>
    <n v="24.19"/>
    <x v="1"/>
    <n v="80"/>
    <n v="80"/>
    <n v="72"/>
    <n v="72"/>
    <x v="0"/>
    <x v="0"/>
  </r>
  <r>
    <n v="0"/>
    <x v="0"/>
    <n v="46"/>
    <x v="1"/>
    <n v="2"/>
    <n v="2"/>
    <s v="Secondary"/>
    <x v="0"/>
    <n v="1"/>
    <n v="20"/>
    <n v="20"/>
    <x v="0"/>
    <n v="0"/>
    <x v="0"/>
    <n v="0"/>
    <n v="1"/>
    <n v="0"/>
    <n v="197"/>
    <n v="197"/>
    <x v="1"/>
    <n v="144"/>
    <n v="78"/>
    <n v="22.51"/>
    <n v="22.51"/>
    <x v="1"/>
    <n v="72"/>
    <n v="72"/>
    <n v="60"/>
    <n v="60"/>
    <x v="0"/>
    <x v="0"/>
  </r>
  <r>
    <n v="1"/>
    <x v="1"/>
    <n v="46"/>
    <x v="1"/>
    <n v="4"/>
    <n v="4"/>
    <s v="Post Graduate"/>
    <x v="3"/>
    <n v="0"/>
    <n v="0"/>
    <n v="0"/>
    <x v="1"/>
    <n v="0"/>
    <x v="0"/>
    <n v="0"/>
    <n v="1"/>
    <n v="0"/>
    <n v="220"/>
    <n v="220"/>
    <x v="1"/>
    <n v="136.5"/>
    <n v="99.5"/>
    <n v="27.78"/>
    <n v="27.78"/>
    <x v="0"/>
    <n v="80"/>
    <n v="80"/>
    <n v="70"/>
    <n v="70"/>
    <x v="0"/>
    <x v="0"/>
  </r>
  <r>
    <n v="1"/>
    <x v="1"/>
    <n v="46"/>
    <x v="1"/>
    <n v="1"/>
    <n v="1"/>
    <s v="Primary"/>
    <x v="2"/>
    <n v="1"/>
    <n v="30"/>
    <n v="30"/>
    <x v="0"/>
    <s v="NA"/>
    <x v="0"/>
    <n v="0"/>
    <n v="1"/>
    <n v="0"/>
    <n v="253"/>
    <n v="253"/>
    <x v="0"/>
    <n v="147"/>
    <n v="85"/>
    <n v="30.62"/>
    <n v="30.62"/>
    <x v="2"/>
    <n v="100"/>
    <n v="100"/>
    <n v="75"/>
    <n v="75"/>
    <x v="1"/>
    <x v="0"/>
  </r>
  <r>
    <n v="0"/>
    <x v="0"/>
    <n v="46"/>
    <x v="1"/>
    <n v="1"/>
    <n v="1"/>
    <s v="Primary"/>
    <x v="2"/>
    <n v="0"/>
    <n v="0"/>
    <n v="0"/>
    <x v="1"/>
    <n v="0"/>
    <x v="0"/>
    <n v="0"/>
    <n v="0"/>
    <n v="0"/>
    <n v="219"/>
    <n v="219"/>
    <x v="1"/>
    <n v="150"/>
    <n v="81"/>
    <n v="25.43"/>
    <n v="25.43"/>
    <x v="0"/>
    <n v="69"/>
    <n v="69"/>
    <n v="93"/>
    <n v="93"/>
    <x v="0"/>
    <x v="0"/>
  </r>
  <r>
    <n v="0"/>
    <x v="0"/>
    <n v="46"/>
    <x v="1"/>
    <n v="1"/>
    <n v="1"/>
    <s v="Primary"/>
    <x v="2"/>
    <n v="0"/>
    <n v="0"/>
    <n v="0"/>
    <x v="1"/>
    <n v="0"/>
    <x v="0"/>
    <n v="0"/>
    <n v="0"/>
    <n v="0"/>
    <n v="254"/>
    <n v="254"/>
    <x v="0"/>
    <n v="136"/>
    <n v="87"/>
    <n v="31.24"/>
    <n v="31.24"/>
    <x v="2"/>
    <n v="88"/>
    <n v="88"/>
    <n v="80"/>
    <n v="80"/>
    <x v="0"/>
    <x v="0"/>
  </r>
  <r>
    <n v="0"/>
    <x v="0"/>
    <n v="46"/>
    <x v="1"/>
    <n v="2"/>
    <n v="2"/>
    <s v="Secondary"/>
    <x v="0"/>
    <n v="1"/>
    <n v="20"/>
    <n v="20"/>
    <x v="0"/>
    <n v="0"/>
    <x v="0"/>
    <n v="0"/>
    <n v="0"/>
    <n v="0"/>
    <n v="188"/>
    <n v="188"/>
    <x v="1"/>
    <n v="97"/>
    <n v="65"/>
    <n v="21.17"/>
    <n v="21.17"/>
    <x v="1"/>
    <n v="68"/>
    <n v="68"/>
    <n v="60"/>
    <n v="60"/>
    <x v="0"/>
    <x v="0"/>
  </r>
  <r>
    <n v="0"/>
    <x v="0"/>
    <n v="46"/>
    <x v="1"/>
    <n v="1"/>
    <n v="1"/>
    <s v="Primary"/>
    <x v="2"/>
    <n v="1"/>
    <n v="30"/>
    <n v="30"/>
    <x v="0"/>
    <n v="0"/>
    <x v="0"/>
    <n v="0"/>
    <n v="0"/>
    <n v="0"/>
    <n v="219"/>
    <n v="219"/>
    <x v="1"/>
    <n v="107"/>
    <n v="69"/>
    <n v="21.4"/>
    <n v="21.4"/>
    <x v="1"/>
    <n v="66"/>
    <n v="66"/>
    <s v="NA"/>
    <n v="81.96365524402907"/>
    <x v="0"/>
    <x v="0"/>
  </r>
  <r>
    <n v="0"/>
    <x v="0"/>
    <n v="46"/>
    <x v="1"/>
    <n v="2"/>
    <n v="2"/>
    <s v="Secondary"/>
    <x v="0"/>
    <n v="0"/>
    <n v="0"/>
    <n v="0"/>
    <x v="1"/>
    <n v="0"/>
    <x v="0"/>
    <n v="0"/>
    <n v="0"/>
    <n v="0"/>
    <n v="259"/>
    <n v="259"/>
    <x v="0"/>
    <n v="138"/>
    <n v="88"/>
    <n v="25.11"/>
    <n v="25.11"/>
    <x v="0"/>
    <n v="65"/>
    <n v="65"/>
    <s v="NA"/>
    <n v="81.96365524402907"/>
    <x v="0"/>
    <x v="0"/>
  </r>
  <r>
    <n v="0"/>
    <x v="0"/>
    <n v="46"/>
    <x v="1"/>
    <n v="1"/>
    <n v="1"/>
    <s v="Primary"/>
    <x v="2"/>
    <n v="1"/>
    <n v="15"/>
    <n v="15"/>
    <x v="0"/>
    <n v="0"/>
    <x v="0"/>
    <n v="0"/>
    <n v="0"/>
    <n v="0"/>
    <n v="244"/>
    <n v="244"/>
    <x v="0"/>
    <n v="98"/>
    <n v="57"/>
    <n v="24.01"/>
    <n v="24.01"/>
    <x v="1"/>
    <n v="84"/>
    <n v="84"/>
    <n v="95"/>
    <n v="95"/>
    <x v="0"/>
    <x v="1"/>
  </r>
  <r>
    <n v="1"/>
    <x v="1"/>
    <n v="46"/>
    <x v="1"/>
    <n v="1"/>
    <n v="1"/>
    <s v="Primary"/>
    <x v="2"/>
    <n v="1"/>
    <n v="30"/>
    <n v="30"/>
    <x v="0"/>
    <n v="0"/>
    <x v="0"/>
    <n v="0"/>
    <n v="0"/>
    <n v="0"/>
    <n v="198"/>
    <n v="198"/>
    <x v="1"/>
    <n v="128"/>
    <n v="85"/>
    <n v="29"/>
    <n v="29"/>
    <x v="0"/>
    <n v="75"/>
    <n v="75"/>
    <n v="77"/>
    <n v="77"/>
    <x v="0"/>
    <x v="0"/>
  </r>
  <r>
    <n v="0"/>
    <x v="0"/>
    <n v="46"/>
    <x v="1"/>
    <n v="2"/>
    <n v="2"/>
    <s v="Secondary"/>
    <x v="0"/>
    <n v="0"/>
    <n v="0"/>
    <n v="0"/>
    <x v="1"/>
    <n v="0"/>
    <x v="0"/>
    <n v="0"/>
    <n v="1"/>
    <n v="0"/>
    <n v="184"/>
    <n v="184"/>
    <x v="1"/>
    <n v="188"/>
    <n v="123"/>
    <n v="34.36"/>
    <n v="34.36"/>
    <x v="2"/>
    <n v="90"/>
    <n v="90"/>
    <s v="NA"/>
    <n v="81.96365524402907"/>
    <x v="0"/>
    <x v="0"/>
  </r>
  <r>
    <n v="0"/>
    <x v="0"/>
    <n v="46"/>
    <x v="1"/>
    <s v="NA"/>
    <n v="1"/>
    <s v="Primary"/>
    <x v="2"/>
    <n v="1"/>
    <n v="20"/>
    <n v="20"/>
    <x v="0"/>
    <n v="0"/>
    <x v="0"/>
    <n v="0"/>
    <n v="0"/>
    <n v="0"/>
    <n v="212"/>
    <n v="212"/>
    <x v="1"/>
    <n v="122.5"/>
    <n v="75.5"/>
    <n v="23.51"/>
    <n v="23.51"/>
    <x v="1"/>
    <n v="67"/>
    <n v="67"/>
    <n v="103"/>
    <n v="103"/>
    <x v="0"/>
    <x v="0"/>
  </r>
  <r>
    <n v="0"/>
    <x v="0"/>
    <n v="46"/>
    <x v="1"/>
    <n v="2"/>
    <n v="2"/>
    <s v="Secondary"/>
    <x v="0"/>
    <n v="0"/>
    <n v="0"/>
    <n v="0"/>
    <x v="1"/>
    <n v="0"/>
    <x v="0"/>
    <n v="0"/>
    <n v="0"/>
    <n v="0"/>
    <n v="232"/>
    <n v="232"/>
    <x v="1"/>
    <n v="90"/>
    <n v="60"/>
    <n v="19.2"/>
    <n v="19.2"/>
    <x v="1"/>
    <n v="60"/>
    <n v="60"/>
    <n v="82"/>
    <n v="82"/>
    <x v="0"/>
    <x v="0"/>
  </r>
  <r>
    <n v="1"/>
    <x v="1"/>
    <n v="46"/>
    <x v="1"/>
    <n v="4"/>
    <n v="4"/>
    <s v="Post Graduate"/>
    <x v="3"/>
    <n v="1"/>
    <n v="45"/>
    <n v="45"/>
    <x v="0"/>
    <n v="0"/>
    <x v="0"/>
    <n v="0"/>
    <n v="0"/>
    <n v="0"/>
    <n v="209"/>
    <n v="209"/>
    <x v="1"/>
    <n v="112.5"/>
    <n v="65"/>
    <n v="27.48"/>
    <n v="27.48"/>
    <x v="0"/>
    <n v="75"/>
    <n v="75"/>
    <n v="78"/>
    <n v="78"/>
    <x v="0"/>
    <x v="0"/>
  </r>
  <r>
    <n v="0"/>
    <x v="0"/>
    <n v="46"/>
    <x v="1"/>
    <n v="4"/>
    <n v="4"/>
    <s v="Post Graduate"/>
    <x v="3"/>
    <n v="0"/>
    <n v="0"/>
    <n v="0"/>
    <x v="1"/>
    <n v="0"/>
    <x v="0"/>
    <n v="0"/>
    <n v="0"/>
    <n v="0"/>
    <n v="190"/>
    <n v="190"/>
    <x v="1"/>
    <n v="107.5"/>
    <n v="80"/>
    <n v="25.13"/>
    <n v="25.13"/>
    <x v="0"/>
    <n v="72"/>
    <n v="72"/>
    <n v="75"/>
    <n v="75"/>
    <x v="0"/>
    <x v="0"/>
  </r>
  <r>
    <n v="1"/>
    <x v="1"/>
    <n v="46"/>
    <x v="1"/>
    <n v="2"/>
    <n v="2"/>
    <s v="Secondary"/>
    <x v="0"/>
    <n v="1"/>
    <n v="20"/>
    <n v="20"/>
    <x v="0"/>
    <n v="0"/>
    <x v="0"/>
    <n v="0"/>
    <n v="0"/>
    <n v="0"/>
    <n v="235"/>
    <n v="235"/>
    <x v="1"/>
    <n v="150"/>
    <n v="96.5"/>
    <n v="27.22"/>
    <n v="27.22"/>
    <x v="0"/>
    <n v="94"/>
    <n v="94"/>
    <n v="78"/>
    <n v="78"/>
    <x v="0"/>
    <x v="0"/>
  </r>
  <r>
    <n v="0"/>
    <x v="0"/>
    <n v="46"/>
    <x v="1"/>
    <n v="3"/>
    <n v="3"/>
    <s v="Graduate"/>
    <x v="1"/>
    <n v="1"/>
    <n v="15"/>
    <n v="15"/>
    <x v="0"/>
    <n v="0"/>
    <x v="0"/>
    <n v="0"/>
    <n v="0"/>
    <n v="0"/>
    <n v="247"/>
    <n v="247"/>
    <x v="0"/>
    <n v="125"/>
    <n v="80"/>
    <n v="21.51"/>
    <n v="21.51"/>
    <x v="1"/>
    <n v="60"/>
    <n v="60"/>
    <n v="80"/>
    <n v="80"/>
    <x v="0"/>
    <x v="0"/>
  </r>
  <r>
    <n v="0"/>
    <x v="0"/>
    <n v="46"/>
    <x v="1"/>
    <n v="3"/>
    <n v="3"/>
    <s v="Graduate"/>
    <x v="1"/>
    <n v="1"/>
    <n v="10"/>
    <n v="10"/>
    <x v="0"/>
    <n v="0"/>
    <x v="0"/>
    <n v="0"/>
    <n v="0"/>
    <n v="0"/>
    <n v="269"/>
    <n v="269"/>
    <x v="0"/>
    <n v="134"/>
    <n v="78"/>
    <n v="26.8"/>
    <n v="26.8"/>
    <x v="0"/>
    <n v="105"/>
    <n v="105"/>
    <n v="104"/>
    <n v="104"/>
    <x v="0"/>
    <x v="0"/>
  </r>
  <r>
    <n v="0"/>
    <x v="0"/>
    <n v="46"/>
    <x v="1"/>
    <n v="3"/>
    <n v="3"/>
    <s v="Graduate"/>
    <x v="1"/>
    <n v="1"/>
    <n v="20"/>
    <n v="20"/>
    <x v="0"/>
    <n v="0"/>
    <x v="0"/>
    <n v="0"/>
    <n v="0"/>
    <n v="0"/>
    <n v="218"/>
    <n v="218"/>
    <x v="1"/>
    <n v="115.5"/>
    <n v="62"/>
    <n v="23.48"/>
    <n v="23.48"/>
    <x v="1"/>
    <n v="65"/>
    <n v="65"/>
    <n v="77"/>
    <n v="77"/>
    <x v="0"/>
    <x v="0"/>
  </r>
  <r>
    <n v="1"/>
    <x v="1"/>
    <n v="46"/>
    <x v="1"/>
    <n v="1"/>
    <n v="1"/>
    <s v="Primary"/>
    <x v="2"/>
    <n v="1"/>
    <n v="20"/>
    <n v="20"/>
    <x v="0"/>
    <n v="0"/>
    <x v="0"/>
    <n v="0"/>
    <n v="0"/>
    <n v="0"/>
    <n v="269"/>
    <n v="269"/>
    <x v="0"/>
    <n v="135"/>
    <n v="95"/>
    <n v="26.55"/>
    <n v="26.55"/>
    <x v="0"/>
    <n v="75"/>
    <n v="75"/>
    <n v="92"/>
    <n v="92"/>
    <x v="0"/>
    <x v="0"/>
  </r>
  <r>
    <n v="1"/>
    <x v="1"/>
    <n v="46"/>
    <x v="1"/>
    <n v="2"/>
    <n v="2"/>
    <s v="Secondary"/>
    <x v="0"/>
    <n v="1"/>
    <n v="30"/>
    <n v="30"/>
    <x v="0"/>
    <n v="0"/>
    <x v="0"/>
    <n v="0"/>
    <n v="0"/>
    <n v="0"/>
    <n v="216"/>
    <n v="216"/>
    <x v="1"/>
    <n v="107"/>
    <n v="73"/>
    <n v="31.46"/>
    <n v="31.46"/>
    <x v="2"/>
    <n v="100"/>
    <n v="100"/>
    <s v="NA"/>
    <n v="81.96365524402907"/>
    <x v="0"/>
    <x v="0"/>
  </r>
  <r>
    <n v="0"/>
    <x v="0"/>
    <n v="46"/>
    <x v="1"/>
    <n v="3"/>
    <n v="3"/>
    <s v="Graduate"/>
    <x v="1"/>
    <n v="1"/>
    <n v="1"/>
    <n v="1"/>
    <x v="0"/>
    <n v="0"/>
    <x v="0"/>
    <n v="0"/>
    <n v="0"/>
    <n v="0"/>
    <n v="241"/>
    <n v="241"/>
    <x v="0"/>
    <n v="130"/>
    <n v="82"/>
    <n v="34.840000000000003"/>
    <n v="34.840000000000003"/>
    <x v="2"/>
    <n v="62"/>
    <n v="62"/>
    <n v="93"/>
    <n v="93"/>
    <x v="0"/>
    <x v="0"/>
  </r>
  <r>
    <n v="0"/>
    <x v="0"/>
    <n v="46"/>
    <x v="1"/>
    <n v="2"/>
    <n v="2"/>
    <s v="Secondary"/>
    <x v="0"/>
    <n v="0"/>
    <n v="0"/>
    <n v="0"/>
    <x v="1"/>
    <n v="0"/>
    <x v="0"/>
    <n v="0"/>
    <n v="0"/>
    <n v="0"/>
    <n v="213"/>
    <n v="213"/>
    <x v="1"/>
    <n v="115"/>
    <n v="72.5"/>
    <n v="19.98"/>
    <n v="19.98"/>
    <x v="1"/>
    <n v="80"/>
    <n v="80"/>
    <n v="107"/>
    <n v="107"/>
    <x v="0"/>
    <x v="0"/>
  </r>
  <r>
    <n v="0"/>
    <x v="0"/>
    <n v="46"/>
    <x v="1"/>
    <n v="4"/>
    <n v="4"/>
    <s v="Post Graduate"/>
    <x v="3"/>
    <n v="1"/>
    <n v="5"/>
    <n v="5"/>
    <x v="0"/>
    <n v="0"/>
    <x v="0"/>
    <n v="0"/>
    <n v="0"/>
    <n v="0"/>
    <n v="240"/>
    <n v="240"/>
    <x v="1"/>
    <n v="125"/>
    <n v="74"/>
    <n v="22.89"/>
    <n v="22.89"/>
    <x v="1"/>
    <n v="87"/>
    <n v="87"/>
    <n v="76"/>
    <n v="76"/>
    <x v="0"/>
    <x v="0"/>
  </r>
  <r>
    <n v="0"/>
    <x v="0"/>
    <n v="46"/>
    <x v="1"/>
    <n v="1"/>
    <n v="1"/>
    <s v="Primary"/>
    <x v="2"/>
    <n v="1"/>
    <n v="5"/>
    <n v="5"/>
    <x v="0"/>
    <n v="0"/>
    <x v="0"/>
    <n v="0"/>
    <n v="0"/>
    <n v="0"/>
    <n v="220"/>
    <n v="220"/>
    <x v="1"/>
    <n v="123"/>
    <n v="88"/>
    <n v="32.49"/>
    <n v="32.49"/>
    <x v="2"/>
    <n v="94"/>
    <n v="94"/>
    <n v="79"/>
    <n v="79"/>
    <x v="0"/>
    <x v="1"/>
  </r>
  <r>
    <n v="1"/>
    <x v="1"/>
    <n v="46"/>
    <x v="1"/>
    <n v="3"/>
    <n v="3"/>
    <s v="Graduate"/>
    <x v="1"/>
    <n v="1"/>
    <n v="20"/>
    <n v="20"/>
    <x v="0"/>
    <n v="0"/>
    <x v="0"/>
    <n v="0"/>
    <n v="0"/>
    <n v="0"/>
    <n v="270"/>
    <n v="270"/>
    <x v="0"/>
    <n v="120.5"/>
    <n v="78"/>
    <n v="22.54"/>
    <n v="22.54"/>
    <x v="1"/>
    <n v="83"/>
    <n v="83"/>
    <n v="83"/>
    <n v="83"/>
    <x v="0"/>
    <x v="1"/>
  </r>
  <r>
    <n v="0"/>
    <x v="0"/>
    <n v="46"/>
    <x v="1"/>
    <n v="1"/>
    <n v="1"/>
    <s v="Primary"/>
    <x v="2"/>
    <n v="1"/>
    <n v="20"/>
    <n v="20"/>
    <x v="0"/>
    <n v="0"/>
    <x v="0"/>
    <n v="0"/>
    <n v="0"/>
    <n v="0"/>
    <n v="203"/>
    <n v="203"/>
    <x v="1"/>
    <n v="117"/>
    <n v="68"/>
    <n v="21.5"/>
    <n v="21.5"/>
    <x v="1"/>
    <n v="110"/>
    <n v="110"/>
    <n v="85"/>
    <n v="85"/>
    <x v="0"/>
    <x v="0"/>
  </r>
  <r>
    <n v="0"/>
    <x v="0"/>
    <n v="46"/>
    <x v="1"/>
    <n v="3"/>
    <n v="3"/>
    <s v="Graduate"/>
    <x v="1"/>
    <n v="1"/>
    <n v="20"/>
    <n v="20"/>
    <x v="0"/>
    <n v="0"/>
    <x v="0"/>
    <n v="0"/>
    <n v="0"/>
    <n v="0"/>
    <n v="253"/>
    <n v="253"/>
    <x v="0"/>
    <n v="118"/>
    <n v="82"/>
    <n v="19.7"/>
    <n v="19.7"/>
    <x v="1"/>
    <n v="100"/>
    <n v="100"/>
    <n v="70"/>
    <n v="70"/>
    <x v="0"/>
    <x v="0"/>
  </r>
  <r>
    <n v="1"/>
    <x v="1"/>
    <n v="46"/>
    <x v="1"/>
    <n v="1"/>
    <n v="1"/>
    <s v="Primary"/>
    <x v="2"/>
    <n v="1"/>
    <n v="20"/>
    <n v="20"/>
    <x v="0"/>
    <n v="0"/>
    <x v="0"/>
    <n v="0"/>
    <n v="1"/>
    <n v="0"/>
    <n v="208"/>
    <n v="208"/>
    <x v="1"/>
    <n v="164"/>
    <n v="107"/>
    <n v="20.63"/>
    <n v="20.63"/>
    <x v="1"/>
    <n v="63"/>
    <n v="63"/>
    <n v="70"/>
    <n v="70"/>
    <x v="0"/>
    <x v="1"/>
  </r>
  <r>
    <n v="0"/>
    <x v="0"/>
    <n v="46"/>
    <x v="1"/>
    <n v="1"/>
    <n v="1"/>
    <s v="Primary"/>
    <x v="2"/>
    <n v="0"/>
    <n v="0"/>
    <n v="0"/>
    <x v="1"/>
    <n v="0"/>
    <x v="0"/>
    <n v="0"/>
    <n v="1"/>
    <n v="0"/>
    <n v="238"/>
    <n v="238"/>
    <x v="1"/>
    <n v="162"/>
    <n v="87.5"/>
    <n v="26.95"/>
    <n v="26.95"/>
    <x v="0"/>
    <n v="100"/>
    <n v="100"/>
    <n v="93"/>
    <n v="93"/>
    <x v="0"/>
    <x v="0"/>
  </r>
  <r>
    <n v="0"/>
    <x v="0"/>
    <n v="46"/>
    <x v="1"/>
    <n v="2"/>
    <n v="2"/>
    <s v="Secondary"/>
    <x v="0"/>
    <n v="0"/>
    <n v="0"/>
    <n v="0"/>
    <x v="1"/>
    <n v="0"/>
    <x v="0"/>
    <n v="0"/>
    <n v="0"/>
    <n v="0"/>
    <n v="225"/>
    <n v="225"/>
    <x v="1"/>
    <n v="116"/>
    <n v="79"/>
    <n v="29.21"/>
    <n v="29.21"/>
    <x v="0"/>
    <n v="60"/>
    <n v="60"/>
    <n v="70"/>
    <n v="70"/>
    <x v="0"/>
    <x v="0"/>
  </r>
  <r>
    <n v="0"/>
    <x v="0"/>
    <n v="46"/>
    <x v="1"/>
    <n v="2"/>
    <n v="2"/>
    <s v="Secondary"/>
    <x v="0"/>
    <n v="0"/>
    <n v="0"/>
    <n v="0"/>
    <x v="1"/>
    <n v="0"/>
    <x v="0"/>
    <n v="0"/>
    <n v="0"/>
    <n v="0"/>
    <n v="304"/>
    <n v="304"/>
    <x v="0"/>
    <n v="131.5"/>
    <n v="78.5"/>
    <n v="21.02"/>
    <n v="21.02"/>
    <x v="1"/>
    <n v="68"/>
    <n v="68"/>
    <n v="112"/>
    <n v="112"/>
    <x v="0"/>
    <x v="0"/>
  </r>
  <r>
    <n v="0"/>
    <x v="0"/>
    <n v="46"/>
    <x v="1"/>
    <n v="1"/>
    <n v="1"/>
    <s v="Primary"/>
    <x v="2"/>
    <n v="1"/>
    <n v="40"/>
    <n v="40"/>
    <x v="0"/>
    <n v="0"/>
    <x v="0"/>
    <n v="0"/>
    <n v="0"/>
    <n v="0"/>
    <n v="253"/>
    <n v="253"/>
    <x v="0"/>
    <n v="118"/>
    <n v="74"/>
    <n v="26.42"/>
    <n v="26.42"/>
    <x v="0"/>
    <n v="75"/>
    <n v="75"/>
    <n v="64"/>
    <n v="64"/>
    <x v="0"/>
    <x v="1"/>
  </r>
  <r>
    <n v="0"/>
    <x v="0"/>
    <n v="46"/>
    <x v="1"/>
    <n v="2"/>
    <n v="2"/>
    <s v="Secondary"/>
    <x v="0"/>
    <n v="0"/>
    <n v="0"/>
    <n v="0"/>
    <x v="1"/>
    <n v="0"/>
    <x v="0"/>
    <n v="0"/>
    <n v="0"/>
    <n v="0"/>
    <n v="270"/>
    <n v="270"/>
    <x v="0"/>
    <n v="122"/>
    <n v="76"/>
    <n v="21.35"/>
    <n v="21.35"/>
    <x v="1"/>
    <n v="77"/>
    <n v="77"/>
    <n v="88"/>
    <n v="88"/>
    <x v="0"/>
    <x v="0"/>
  </r>
  <r>
    <n v="1"/>
    <x v="1"/>
    <n v="46"/>
    <x v="1"/>
    <n v="3"/>
    <n v="3"/>
    <s v="Graduate"/>
    <x v="1"/>
    <n v="0"/>
    <n v="0"/>
    <n v="0"/>
    <x v="1"/>
    <n v="0"/>
    <x v="0"/>
    <n v="0"/>
    <n v="0"/>
    <n v="0"/>
    <n v="216"/>
    <n v="216"/>
    <x v="1"/>
    <n v="124"/>
    <n v="85"/>
    <n v="29.91"/>
    <n v="29.91"/>
    <x v="0"/>
    <n v="100"/>
    <n v="100"/>
    <n v="103"/>
    <n v="103"/>
    <x v="0"/>
    <x v="0"/>
  </r>
  <r>
    <n v="1"/>
    <x v="1"/>
    <n v="46"/>
    <x v="1"/>
    <n v="2"/>
    <n v="2"/>
    <s v="Secondary"/>
    <x v="0"/>
    <n v="0"/>
    <n v="0"/>
    <n v="0"/>
    <x v="1"/>
    <n v="0"/>
    <x v="0"/>
    <n v="0"/>
    <n v="0"/>
    <n v="0"/>
    <n v="217"/>
    <n v="217"/>
    <x v="1"/>
    <n v="117.5"/>
    <n v="77.5"/>
    <n v="32.4"/>
    <n v="32.4"/>
    <x v="2"/>
    <n v="55"/>
    <n v="55"/>
    <n v="83"/>
    <n v="83"/>
    <x v="0"/>
    <x v="0"/>
  </r>
  <r>
    <n v="0"/>
    <x v="0"/>
    <n v="46"/>
    <x v="1"/>
    <n v="3"/>
    <n v="3"/>
    <s v="Graduate"/>
    <x v="1"/>
    <n v="0"/>
    <n v="0"/>
    <n v="0"/>
    <x v="1"/>
    <n v="0"/>
    <x v="0"/>
    <n v="0"/>
    <n v="0"/>
    <n v="0"/>
    <n v="197"/>
    <n v="197"/>
    <x v="1"/>
    <n v="105.5"/>
    <n v="67"/>
    <n v="23.14"/>
    <n v="23.14"/>
    <x v="1"/>
    <n v="60"/>
    <n v="60"/>
    <n v="69"/>
    <n v="69"/>
    <x v="0"/>
    <x v="0"/>
  </r>
  <r>
    <n v="1"/>
    <x v="1"/>
    <n v="46"/>
    <x v="1"/>
    <n v="1"/>
    <n v="1"/>
    <s v="Primary"/>
    <x v="2"/>
    <n v="1"/>
    <n v="9"/>
    <n v="9"/>
    <x v="0"/>
    <n v="0"/>
    <x v="0"/>
    <n v="0"/>
    <n v="1"/>
    <n v="0"/>
    <n v="346"/>
    <n v="346"/>
    <x v="0"/>
    <n v="137"/>
    <n v="97"/>
    <n v="29.11"/>
    <n v="29.11"/>
    <x v="0"/>
    <n v="75"/>
    <n v="75"/>
    <n v="82"/>
    <n v="82"/>
    <x v="0"/>
    <x v="0"/>
  </r>
  <r>
    <n v="0"/>
    <x v="0"/>
    <n v="46"/>
    <x v="1"/>
    <n v="2"/>
    <n v="2"/>
    <s v="Secondary"/>
    <x v="0"/>
    <n v="0"/>
    <n v="0"/>
    <n v="0"/>
    <x v="1"/>
    <n v="0"/>
    <x v="0"/>
    <n v="0"/>
    <n v="0"/>
    <n v="0"/>
    <n v="253"/>
    <n v="253"/>
    <x v="0"/>
    <n v="118"/>
    <n v="79"/>
    <n v="26.61"/>
    <n v="26.61"/>
    <x v="0"/>
    <n v="85"/>
    <n v="85"/>
    <n v="83"/>
    <n v="83"/>
    <x v="0"/>
    <x v="0"/>
  </r>
  <r>
    <n v="0"/>
    <x v="0"/>
    <n v="46"/>
    <x v="1"/>
    <n v="3"/>
    <n v="3"/>
    <s v="Graduate"/>
    <x v="1"/>
    <n v="0"/>
    <n v="0"/>
    <n v="0"/>
    <x v="1"/>
    <n v="0"/>
    <x v="0"/>
    <n v="0"/>
    <n v="1"/>
    <n v="0"/>
    <n v="259"/>
    <n v="259"/>
    <x v="0"/>
    <n v="173"/>
    <n v="102"/>
    <n v="27.22"/>
    <n v="27.22"/>
    <x v="0"/>
    <n v="85"/>
    <n v="85"/>
    <n v="75"/>
    <n v="75"/>
    <x v="0"/>
    <x v="0"/>
  </r>
  <r>
    <n v="0"/>
    <x v="0"/>
    <n v="46"/>
    <x v="1"/>
    <n v="1"/>
    <n v="1"/>
    <s v="Primary"/>
    <x v="2"/>
    <n v="1"/>
    <n v="10"/>
    <n v="10"/>
    <x v="0"/>
    <n v="0"/>
    <x v="0"/>
    <n v="0"/>
    <n v="0"/>
    <n v="0"/>
    <n v="392"/>
    <n v="392"/>
    <x v="0"/>
    <n v="113"/>
    <n v="68"/>
    <n v="23.35"/>
    <n v="23.35"/>
    <x v="1"/>
    <n v="70"/>
    <n v="70"/>
    <n v="63"/>
    <n v="63"/>
    <x v="0"/>
    <x v="0"/>
  </r>
  <r>
    <n v="0"/>
    <x v="0"/>
    <n v="46"/>
    <x v="1"/>
    <n v="3"/>
    <n v="3"/>
    <s v="Graduate"/>
    <x v="1"/>
    <n v="1"/>
    <n v="5"/>
    <n v="5"/>
    <x v="0"/>
    <n v="0"/>
    <x v="0"/>
    <n v="0"/>
    <n v="0"/>
    <n v="0"/>
    <n v="291"/>
    <n v="291"/>
    <x v="0"/>
    <n v="107.5"/>
    <n v="65"/>
    <n v="24.1"/>
    <n v="24.1"/>
    <x v="1"/>
    <n v="82"/>
    <n v="82"/>
    <n v="78"/>
    <n v="78"/>
    <x v="0"/>
    <x v="0"/>
  </r>
  <r>
    <n v="1"/>
    <x v="1"/>
    <n v="46"/>
    <x v="1"/>
    <n v="1"/>
    <n v="1"/>
    <s v="Primary"/>
    <x v="2"/>
    <n v="0"/>
    <n v="0"/>
    <n v="0"/>
    <x v="1"/>
    <n v="0"/>
    <x v="0"/>
    <n v="0"/>
    <n v="0"/>
    <n v="0"/>
    <n v="205"/>
    <n v="205"/>
    <x v="1"/>
    <n v="118"/>
    <n v="76.5"/>
    <n v="23.48"/>
    <n v="23.48"/>
    <x v="1"/>
    <n v="75"/>
    <n v="75"/>
    <n v="77"/>
    <n v="77"/>
    <x v="0"/>
    <x v="0"/>
  </r>
  <r>
    <n v="1"/>
    <x v="1"/>
    <n v="46"/>
    <x v="1"/>
    <n v="3"/>
    <n v="3"/>
    <s v="Graduate"/>
    <x v="1"/>
    <n v="0"/>
    <n v="0"/>
    <n v="0"/>
    <x v="1"/>
    <n v="0"/>
    <x v="0"/>
    <n v="0"/>
    <n v="1"/>
    <n v="0"/>
    <n v="256"/>
    <n v="256"/>
    <x v="0"/>
    <n v="138"/>
    <n v="105"/>
    <n v="26.97"/>
    <n v="26.97"/>
    <x v="0"/>
    <n v="98"/>
    <n v="98"/>
    <n v="100"/>
    <n v="100"/>
    <x v="0"/>
    <x v="0"/>
  </r>
  <r>
    <n v="1"/>
    <x v="1"/>
    <n v="46"/>
    <x v="1"/>
    <n v="3"/>
    <n v="3"/>
    <s v="Graduate"/>
    <x v="1"/>
    <n v="0"/>
    <n v="0"/>
    <n v="0"/>
    <x v="1"/>
    <n v="0"/>
    <x v="0"/>
    <n v="0"/>
    <n v="1"/>
    <n v="0"/>
    <n v="305"/>
    <n v="305"/>
    <x v="0"/>
    <n v="150"/>
    <n v="88"/>
    <n v="26.82"/>
    <n v="26.82"/>
    <x v="0"/>
    <n v="75"/>
    <n v="75"/>
    <n v="75"/>
    <n v="75"/>
    <x v="0"/>
    <x v="0"/>
  </r>
  <r>
    <n v="0"/>
    <x v="0"/>
    <n v="46"/>
    <x v="1"/>
    <n v="3"/>
    <n v="3"/>
    <s v="Graduate"/>
    <x v="1"/>
    <n v="1"/>
    <n v="20"/>
    <n v="20"/>
    <x v="0"/>
    <n v="1"/>
    <x v="1"/>
    <n v="0"/>
    <n v="1"/>
    <n v="0"/>
    <n v="248"/>
    <n v="248"/>
    <x v="0"/>
    <n v="128"/>
    <n v="76"/>
    <n v="28.87"/>
    <n v="28.87"/>
    <x v="0"/>
    <n v="80"/>
    <n v="80"/>
    <n v="77"/>
    <n v="77"/>
    <x v="0"/>
    <x v="0"/>
  </r>
  <r>
    <n v="0"/>
    <x v="0"/>
    <n v="46"/>
    <x v="1"/>
    <n v="3"/>
    <n v="3"/>
    <s v="Graduate"/>
    <x v="1"/>
    <n v="0"/>
    <n v="0"/>
    <n v="0"/>
    <x v="1"/>
    <n v="0"/>
    <x v="0"/>
    <n v="0"/>
    <n v="0"/>
    <n v="0"/>
    <n v="190"/>
    <n v="190"/>
    <x v="1"/>
    <n v="128"/>
    <n v="74"/>
    <n v="23.01"/>
    <n v="23.01"/>
    <x v="1"/>
    <n v="95"/>
    <n v="95"/>
    <n v="78"/>
    <n v="78"/>
    <x v="0"/>
    <x v="0"/>
  </r>
  <r>
    <n v="1"/>
    <x v="1"/>
    <n v="46"/>
    <x v="1"/>
    <n v="2"/>
    <n v="2"/>
    <s v="Secondary"/>
    <x v="0"/>
    <n v="1"/>
    <n v="43"/>
    <n v="43"/>
    <x v="0"/>
    <n v="0"/>
    <x v="0"/>
    <n v="0"/>
    <n v="1"/>
    <n v="0"/>
    <n v="259"/>
    <n v="259"/>
    <x v="0"/>
    <n v="125"/>
    <n v="89"/>
    <n v="24.8"/>
    <n v="24.8"/>
    <x v="1"/>
    <n v="100"/>
    <n v="100"/>
    <n v="57"/>
    <n v="57"/>
    <x v="0"/>
    <x v="0"/>
  </r>
  <r>
    <n v="0"/>
    <x v="0"/>
    <n v="46"/>
    <x v="1"/>
    <n v="1"/>
    <n v="1"/>
    <s v="Primary"/>
    <x v="2"/>
    <n v="0"/>
    <n v="0"/>
    <n v="0"/>
    <x v="1"/>
    <n v="0"/>
    <x v="0"/>
    <n v="0"/>
    <n v="0"/>
    <n v="0"/>
    <n v="248"/>
    <n v="248"/>
    <x v="0"/>
    <n v="115"/>
    <n v="82"/>
    <n v="28.92"/>
    <n v="28.92"/>
    <x v="0"/>
    <n v="93"/>
    <n v="93"/>
    <n v="100"/>
    <n v="100"/>
    <x v="0"/>
    <x v="0"/>
  </r>
  <r>
    <n v="1"/>
    <x v="1"/>
    <n v="46"/>
    <x v="1"/>
    <n v="3"/>
    <n v="3"/>
    <s v="Graduate"/>
    <x v="1"/>
    <n v="0"/>
    <n v="0"/>
    <n v="0"/>
    <x v="1"/>
    <n v="0"/>
    <x v="0"/>
    <n v="0"/>
    <n v="1"/>
    <n v="0"/>
    <n v="295"/>
    <n v="295"/>
    <x v="0"/>
    <n v="172.5"/>
    <n v="116.5"/>
    <n v="27.18"/>
    <n v="27.18"/>
    <x v="0"/>
    <n v="70"/>
    <n v="70"/>
    <n v="77"/>
    <n v="77"/>
    <x v="0"/>
    <x v="0"/>
  </r>
  <r>
    <n v="0"/>
    <x v="0"/>
    <n v="46"/>
    <x v="1"/>
    <n v="3"/>
    <n v="3"/>
    <s v="Graduate"/>
    <x v="1"/>
    <n v="1"/>
    <n v="10"/>
    <n v="10"/>
    <x v="0"/>
    <n v="0"/>
    <x v="0"/>
    <n v="0"/>
    <n v="0"/>
    <n v="0"/>
    <n v="251"/>
    <n v="251"/>
    <x v="0"/>
    <n v="121"/>
    <n v="81"/>
    <n v="23.05"/>
    <n v="23.05"/>
    <x v="1"/>
    <n v="75"/>
    <n v="75"/>
    <n v="84"/>
    <n v="84"/>
    <x v="0"/>
    <x v="0"/>
  </r>
  <r>
    <n v="0"/>
    <x v="0"/>
    <n v="46"/>
    <x v="1"/>
    <n v="2"/>
    <n v="2"/>
    <s v="Secondary"/>
    <x v="0"/>
    <n v="1"/>
    <n v="20"/>
    <n v="20"/>
    <x v="0"/>
    <n v="0"/>
    <x v="0"/>
    <n v="0"/>
    <n v="0"/>
    <n v="0"/>
    <n v="161"/>
    <n v="161"/>
    <x v="1"/>
    <n v="100"/>
    <n v="64"/>
    <n v="20.66"/>
    <n v="20.66"/>
    <x v="1"/>
    <n v="75"/>
    <n v="75"/>
    <n v="60"/>
    <n v="60"/>
    <x v="0"/>
    <x v="0"/>
  </r>
  <r>
    <n v="0"/>
    <x v="0"/>
    <n v="46"/>
    <x v="1"/>
    <n v="2"/>
    <n v="2"/>
    <s v="Secondary"/>
    <x v="0"/>
    <n v="1"/>
    <n v="20"/>
    <n v="20"/>
    <x v="0"/>
    <n v="0"/>
    <x v="0"/>
    <n v="0"/>
    <n v="0"/>
    <n v="0"/>
    <n v="250"/>
    <n v="250"/>
    <x v="0"/>
    <n v="115"/>
    <n v="74"/>
    <n v="22.7"/>
    <n v="22.7"/>
    <x v="1"/>
    <n v="100"/>
    <n v="100"/>
    <n v="69"/>
    <n v="69"/>
    <x v="0"/>
    <x v="0"/>
  </r>
  <r>
    <n v="1"/>
    <x v="1"/>
    <n v="46"/>
    <x v="1"/>
    <n v="1"/>
    <n v="1"/>
    <s v="Primary"/>
    <x v="2"/>
    <n v="1"/>
    <n v="20"/>
    <n v="20"/>
    <x v="0"/>
    <n v="0"/>
    <x v="0"/>
    <n v="0"/>
    <n v="0"/>
    <n v="0"/>
    <n v="279"/>
    <n v="279"/>
    <x v="0"/>
    <n v="118"/>
    <n v="82"/>
    <n v="22.78"/>
    <n v="22.78"/>
    <x v="1"/>
    <n v="58"/>
    <n v="58"/>
    <n v="74"/>
    <n v="74"/>
    <x v="0"/>
    <x v="0"/>
  </r>
  <r>
    <n v="1"/>
    <x v="1"/>
    <n v="46"/>
    <x v="1"/>
    <n v="1"/>
    <n v="1"/>
    <s v="Primary"/>
    <x v="2"/>
    <n v="1"/>
    <n v="5"/>
    <n v="5"/>
    <x v="0"/>
    <n v="0"/>
    <x v="0"/>
    <n v="0"/>
    <n v="0"/>
    <n v="0"/>
    <n v="198"/>
    <n v="198"/>
    <x v="1"/>
    <n v="109"/>
    <n v="81"/>
    <n v="23.28"/>
    <n v="23.28"/>
    <x v="1"/>
    <n v="62"/>
    <n v="62"/>
    <n v="85"/>
    <n v="85"/>
    <x v="0"/>
    <x v="1"/>
  </r>
  <r>
    <n v="0"/>
    <x v="0"/>
    <n v="46"/>
    <x v="1"/>
    <n v="2"/>
    <n v="2"/>
    <s v="Secondary"/>
    <x v="0"/>
    <n v="1"/>
    <n v="3"/>
    <n v="3"/>
    <x v="0"/>
    <n v="0"/>
    <x v="0"/>
    <n v="0"/>
    <n v="0"/>
    <n v="0"/>
    <n v="214"/>
    <n v="214"/>
    <x v="1"/>
    <n v="128"/>
    <n v="71"/>
    <n v="21.82"/>
    <n v="21.82"/>
    <x v="1"/>
    <n v="63"/>
    <n v="63"/>
    <n v="66"/>
    <n v="66"/>
    <x v="0"/>
    <x v="0"/>
  </r>
  <r>
    <n v="1"/>
    <x v="1"/>
    <n v="46"/>
    <x v="1"/>
    <n v="1"/>
    <n v="1"/>
    <s v="Primary"/>
    <x v="2"/>
    <n v="1"/>
    <n v="20"/>
    <n v="20"/>
    <x v="0"/>
    <n v="0"/>
    <x v="0"/>
    <n v="0"/>
    <n v="0"/>
    <n v="0"/>
    <n v="210"/>
    <n v="210"/>
    <x v="1"/>
    <n v="103"/>
    <n v="73"/>
    <n v="18"/>
    <n v="18"/>
    <x v="3"/>
    <n v="78"/>
    <n v="78"/>
    <s v="NA"/>
    <n v="81.96365524402907"/>
    <x v="0"/>
    <x v="0"/>
  </r>
  <r>
    <n v="0"/>
    <x v="0"/>
    <n v="46"/>
    <x v="1"/>
    <n v="2"/>
    <n v="2"/>
    <s v="Secondary"/>
    <x v="0"/>
    <n v="0"/>
    <n v="0"/>
    <n v="0"/>
    <x v="1"/>
    <n v="0"/>
    <x v="0"/>
    <n v="0"/>
    <n v="0"/>
    <n v="0"/>
    <n v="165"/>
    <n v="165"/>
    <x v="1"/>
    <n v="127.5"/>
    <n v="87"/>
    <n v="23.29"/>
    <n v="23.29"/>
    <x v="1"/>
    <n v="70"/>
    <n v="70"/>
    <n v="75"/>
    <n v="75"/>
    <x v="0"/>
    <x v="0"/>
  </r>
  <r>
    <n v="1"/>
    <x v="1"/>
    <n v="46"/>
    <x v="1"/>
    <n v="3"/>
    <n v="3"/>
    <s v="Graduate"/>
    <x v="1"/>
    <n v="1"/>
    <n v="10"/>
    <n v="10"/>
    <x v="0"/>
    <n v="0"/>
    <x v="0"/>
    <n v="0"/>
    <n v="0"/>
    <n v="0"/>
    <n v="214"/>
    <n v="214"/>
    <x v="1"/>
    <n v="118"/>
    <n v="82"/>
    <n v="29.41"/>
    <n v="29.41"/>
    <x v="0"/>
    <n v="66"/>
    <n v="66"/>
    <n v="94"/>
    <n v="94"/>
    <x v="0"/>
    <x v="0"/>
  </r>
  <r>
    <n v="0"/>
    <x v="0"/>
    <n v="46"/>
    <x v="1"/>
    <n v="1"/>
    <n v="1"/>
    <s v="Primary"/>
    <x v="2"/>
    <n v="1"/>
    <n v="20"/>
    <n v="20"/>
    <x v="0"/>
    <n v="0"/>
    <x v="0"/>
    <n v="0"/>
    <n v="0"/>
    <n v="0"/>
    <n v="182"/>
    <n v="182"/>
    <x v="1"/>
    <n v="117"/>
    <n v="78"/>
    <n v="22.15"/>
    <n v="22.15"/>
    <x v="1"/>
    <n v="72"/>
    <n v="72"/>
    <n v="59"/>
    <n v="59"/>
    <x v="0"/>
    <x v="0"/>
  </r>
  <r>
    <n v="0"/>
    <x v="0"/>
    <n v="46"/>
    <x v="1"/>
    <n v="2"/>
    <n v="2"/>
    <s v="Secondary"/>
    <x v="0"/>
    <n v="1"/>
    <n v="20"/>
    <n v="20"/>
    <x v="0"/>
    <n v="0"/>
    <x v="0"/>
    <n v="0"/>
    <n v="1"/>
    <n v="0"/>
    <n v="271"/>
    <n v="271"/>
    <x v="0"/>
    <n v="158"/>
    <n v="94"/>
    <n v="25.17"/>
    <n v="25.17"/>
    <x v="0"/>
    <n v="78"/>
    <n v="78"/>
    <n v="71"/>
    <n v="71"/>
    <x v="0"/>
    <x v="0"/>
  </r>
  <r>
    <n v="0"/>
    <x v="0"/>
    <n v="46"/>
    <x v="1"/>
    <n v="3"/>
    <n v="3"/>
    <s v="Graduate"/>
    <x v="1"/>
    <n v="0"/>
    <n v="0"/>
    <n v="0"/>
    <x v="1"/>
    <n v="0"/>
    <x v="0"/>
    <n v="0"/>
    <n v="1"/>
    <n v="0"/>
    <n v="237"/>
    <n v="237"/>
    <x v="1"/>
    <n v="196"/>
    <n v="120"/>
    <n v="31.64"/>
    <n v="31.64"/>
    <x v="2"/>
    <n v="58"/>
    <n v="58"/>
    <n v="60"/>
    <n v="60"/>
    <x v="0"/>
    <x v="1"/>
  </r>
  <r>
    <n v="0"/>
    <x v="0"/>
    <n v="46"/>
    <x v="1"/>
    <n v="2"/>
    <n v="2"/>
    <s v="Secondary"/>
    <x v="0"/>
    <n v="0"/>
    <n v="0"/>
    <n v="0"/>
    <x v="1"/>
    <n v="0"/>
    <x v="0"/>
    <n v="0"/>
    <n v="0"/>
    <n v="0"/>
    <n v="190"/>
    <n v="190"/>
    <x v="1"/>
    <n v="126.5"/>
    <n v="85"/>
    <n v="19.03"/>
    <n v="19.03"/>
    <x v="1"/>
    <n v="80"/>
    <n v="80"/>
    <n v="75"/>
    <n v="75"/>
    <x v="0"/>
    <x v="0"/>
  </r>
  <r>
    <n v="1"/>
    <x v="1"/>
    <n v="46"/>
    <x v="1"/>
    <n v="1"/>
    <n v="1"/>
    <s v="Primary"/>
    <x v="2"/>
    <n v="1"/>
    <n v="5"/>
    <n v="5"/>
    <x v="0"/>
    <n v="0"/>
    <x v="0"/>
    <n v="0"/>
    <n v="0"/>
    <n v="0"/>
    <n v="221"/>
    <n v="221"/>
    <x v="1"/>
    <n v="125"/>
    <n v="88"/>
    <n v="24.81"/>
    <n v="24.81"/>
    <x v="1"/>
    <n v="72"/>
    <n v="72"/>
    <n v="87"/>
    <n v="87"/>
    <x v="0"/>
    <x v="0"/>
  </r>
  <r>
    <n v="0"/>
    <x v="0"/>
    <n v="46"/>
    <x v="1"/>
    <n v="2"/>
    <n v="2"/>
    <s v="Secondary"/>
    <x v="0"/>
    <n v="0"/>
    <n v="0"/>
    <n v="0"/>
    <x v="1"/>
    <n v="0"/>
    <x v="0"/>
    <n v="0"/>
    <n v="0"/>
    <n v="0"/>
    <n v="244"/>
    <n v="244"/>
    <x v="0"/>
    <n v="107.5"/>
    <n v="70"/>
    <n v="22.72"/>
    <n v="22.72"/>
    <x v="1"/>
    <n v="47"/>
    <n v="47"/>
    <n v="88"/>
    <n v="88"/>
    <x v="0"/>
    <x v="0"/>
  </r>
  <r>
    <n v="0"/>
    <x v="0"/>
    <n v="46"/>
    <x v="1"/>
    <n v="1"/>
    <n v="1"/>
    <s v="Primary"/>
    <x v="2"/>
    <n v="0"/>
    <n v="0"/>
    <n v="0"/>
    <x v="1"/>
    <n v="0"/>
    <x v="0"/>
    <n v="0"/>
    <n v="0"/>
    <n v="0"/>
    <n v="222"/>
    <n v="222"/>
    <x v="1"/>
    <n v="131"/>
    <n v="80"/>
    <n v="25.46"/>
    <n v="25.46"/>
    <x v="0"/>
    <n v="72"/>
    <n v="72"/>
    <n v="72"/>
    <n v="72"/>
    <x v="0"/>
    <x v="0"/>
  </r>
  <r>
    <n v="0"/>
    <x v="0"/>
    <n v="46"/>
    <x v="1"/>
    <n v="1"/>
    <n v="1"/>
    <s v="Primary"/>
    <x v="2"/>
    <n v="0"/>
    <n v="0"/>
    <n v="0"/>
    <x v="1"/>
    <n v="0"/>
    <x v="0"/>
    <n v="0"/>
    <n v="1"/>
    <n v="0"/>
    <n v="239"/>
    <n v="239"/>
    <x v="1"/>
    <n v="166.5"/>
    <n v="107"/>
    <n v="19.27"/>
    <n v="19.27"/>
    <x v="1"/>
    <n v="110"/>
    <n v="110"/>
    <n v="70"/>
    <n v="70"/>
    <x v="0"/>
    <x v="0"/>
  </r>
  <r>
    <n v="0"/>
    <x v="0"/>
    <n v="46"/>
    <x v="1"/>
    <n v="2"/>
    <n v="2"/>
    <s v="Secondary"/>
    <x v="0"/>
    <n v="0"/>
    <n v="0"/>
    <n v="0"/>
    <x v="1"/>
    <n v="0"/>
    <x v="0"/>
    <n v="0"/>
    <n v="1"/>
    <n v="0"/>
    <n v="264"/>
    <n v="264"/>
    <x v="0"/>
    <n v="150"/>
    <n v="99"/>
    <n v="26.67"/>
    <n v="26.67"/>
    <x v="0"/>
    <n v="80"/>
    <n v="80"/>
    <n v="102"/>
    <n v="102"/>
    <x v="0"/>
    <x v="0"/>
  </r>
  <r>
    <n v="0"/>
    <x v="0"/>
    <n v="46"/>
    <x v="1"/>
    <n v="1"/>
    <n v="1"/>
    <s v="Primary"/>
    <x v="2"/>
    <n v="0"/>
    <n v="0"/>
    <n v="0"/>
    <x v="1"/>
    <n v="0"/>
    <x v="0"/>
    <n v="0"/>
    <n v="0"/>
    <n v="0"/>
    <n v="265"/>
    <n v="265"/>
    <x v="0"/>
    <n v="115"/>
    <n v="79.5"/>
    <n v="30"/>
    <n v="30"/>
    <x v="2"/>
    <n v="50"/>
    <n v="50"/>
    <n v="61"/>
    <n v="61"/>
    <x v="0"/>
    <x v="0"/>
  </r>
  <r>
    <n v="1"/>
    <x v="1"/>
    <n v="46"/>
    <x v="1"/>
    <n v="1"/>
    <n v="1"/>
    <s v="Primary"/>
    <x v="2"/>
    <n v="0"/>
    <n v="0"/>
    <n v="0"/>
    <x v="1"/>
    <n v="0"/>
    <x v="0"/>
    <n v="0"/>
    <n v="1"/>
    <n v="0"/>
    <n v="235"/>
    <n v="235"/>
    <x v="1"/>
    <n v="136.5"/>
    <n v="92"/>
    <n v="22.92"/>
    <n v="22.92"/>
    <x v="1"/>
    <n v="68"/>
    <n v="68"/>
    <n v="89"/>
    <n v="89"/>
    <x v="0"/>
    <x v="0"/>
  </r>
  <r>
    <n v="0"/>
    <x v="0"/>
    <n v="46"/>
    <x v="1"/>
    <n v="1"/>
    <n v="1"/>
    <s v="Primary"/>
    <x v="2"/>
    <n v="0"/>
    <n v="0"/>
    <n v="0"/>
    <x v="1"/>
    <n v="0"/>
    <x v="0"/>
    <n v="0"/>
    <n v="0"/>
    <n v="0"/>
    <n v="295"/>
    <n v="295"/>
    <x v="0"/>
    <n v="145"/>
    <n v="90"/>
    <n v="25.87"/>
    <n v="25.87"/>
    <x v="0"/>
    <n v="90"/>
    <n v="90"/>
    <n v="79"/>
    <n v="79"/>
    <x v="0"/>
    <x v="0"/>
  </r>
  <r>
    <n v="1"/>
    <x v="1"/>
    <n v="46"/>
    <x v="1"/>
    <n v="1"/>
    <n v="1"/>
    <s v="Primary"/>
    <x v="2"/>
    <n v="0"/>
    <n v="0"/>
    <n v="0"/>
    <x v="1"/>
    <n v="0"/>
    <x v="0"/>
    <n v="0"/>
    <n v="0"/>
    <n v="0"/>
    <n v="222"/>
    <n v="222"/>
    <x v="1"/>
    <n v="120.5"/>
    <n v="73.5"/>
    <n v="27.23"/>
    <n v="27.23"/>
    <x v="0"/>
    <n v="77"/>
    <n v="77"/>
    <n v="60"/>
    <n v="60"/>
    <x v="0"/>
    <x v="0"/>
  </r>
  <r>
    <n v="0"/>
    <x v="0"/>
    <n v="46"/>
    <x v="1"/>
    <n v="2"/>
    <n v="2"/>
    <s v="Secondary"/>
    <x v="0"/>
    <n v="0"/>
    <n v="0"/>
    <n v="0"/>
    <x v="1"/>
    <n v="0"/>
    <x v="0"/>
    <n v="0"/>
    <n v="0"/>
    <n v="0"/>
    <n v="212"/>
    <n v="212"/>
    <x v="1"/>
    <n v="132"/>
    <n v="82"/>
    <n v="34.520000000000003"/>
    <n v="34.520000000000003"/>
    <x v="2"/>
    <n v="80"/>
    <n v="80"/>
    <n v="72"/>
    <n v="72"/>
    <x v="0"/>
    <x v="0"/>
  </r>
  <r>
    <n v="0"/>
    <x v="0"/>
    <n v="46"/>
    <x v="1"/>
    <n v="2"/>
    <n v="2"/>
    <s v="Secondary"/>
    <x v="0"/>
    <n v="1"/>
    <n v="5"/>
    <n v="5"/>
    <x v="0"/>
    <n v="0"/>
    <x v="0"/>
    <n v="0"/>
    <n v="0"/>
    <n v="0"/>
    <n v="174"/>
    <n v="174"/>
    <x v="1"/>
    <n v="115.5"/>
    <n v="65"/>
    <n v="29.84"/>
    <n v="29.84"/>
    <x v="0"/>
    <n v="73"/>
    <n v="73"/>
    <n v="80"/>
    <n v="80"/>
    <x v="0"/>
    <x v="0"/>
  </r>
  <r>
    <n v="0"/>
    <x v="0"/>
    <n v="46"/>
    <x v="1"/>
    <n v="4"/>
    <n v="4"/>
    <s v="Post Graduate"/>
    <x v="3"/>
    <n v="1"/>
    <n v="5"/>
    <n v="5"/>
    <x v="0"/>
    <n v="0"/>
    <x v="0"/>
    <n v="0"/>
    <n v="0"/>
    <n v="0"/>
    <n v="228"/>
    <n v="228"/>
    <x v="1"/>
    <n v="110"/>
    <n v="80"/>
    <n v="19.739999999999998"/>
    <n v="19.739999999999998"/>
    <x v="1"/>
    <n v="90"/>
    <n v="90"/>
    <n v="127"/>
    <n v="127"/>
    <x v="0"/>
    <x v="0"/>
  </r>
  <r>
    <n v="1"/>
    <x v="1"/>
    <n v="46"/>
    <x v="1"/>
    <n v="2"/>
    <n v="2"/>
    <s v="Secondary"/>
    <x v="0"/>
    <n v="0"/>
    <n v="0"/>
    <n v="0"/>
    <x v="1"/>
    <n v="0"/>
    <x v="0"/>
    <n v="0"/>
    <n v="0"/>
    <n v="0"/>
    <n v="280"/>
    <n v="280"/>
    <x v="0"/>
    <n v="142"/>
    <n v="91"/>
    <n v="28.09"/>
    <n v="28.09"/>
    <x v="0"/>
    <n v="85"/>
    <n v="85"/>
    <n v="65"/>
    <n v="65"/>
    <x v="0"/>
    <x v="0"/>
  </r>
  <r>
    <n v="0"/>
    <x v="0"/>
    <n v="46"/>
    <x v="1"/>
    <n v="2"/>
    <n v="2"/>
    <s v="Secondary"/>
    <x v="0"/>
    <n v="0"/>
    <n v="0"/>
    <n v="0"/>
    <x v="1"/>
    <n v="0"/>
    <x v="0"/>
    <n v="0"/>
    <n v="0"/>
    <n v="0"/>
    <n v="242"/>
    <n v="242"/>
    <x v="0"/>
    <n v="129"/>
    <n v="85"/>
    <n v="27.4"/>
    <n v="27.4"/>
    <x v="0"/>
    <n v="80"/>
    <n v="80"/>
    <s v="NA"/>
    <n v="81.96365524402907"/>
    <x v="0"/>
    <x v="1"/>
  </r>
  <r>
    <n v="0"/>
    <x v="0"/>
    <n v="46"/>
    <x v="1"/>
    <n v="1"/>
    <n v="1"/>
    <s v="Primary"/>
    <x v="2"/>
    <n v="1"/>
    <n v="20"/>
    <n v="20"/>
    <x v="0"/>
    <n v="0"/>
    <x v="0"/>
    <n v="0"/>
    <n v="0"/>
    <n v="0"/>
    <n v="185"/>
    <n v="185"/>
    <x v="1"/>
    <n v="137"/>
    <n v="90"/>
    <n v="25.2"/>
    <n v="25.2"/>
    <x v="0"/>
    <n v="82"/>
    <n v="82"/>
    <s v="NA"/>
    <n v="81.96365524402907"/>
    <x v="0"/>
    <x v="0"/>
  </r>
  <r>
    <n v="0"/>
    <x v="0"/>
    <n v="46"/>
    <x v="1"/>
    <n v="3"/>
    <n v="3"/>
    <s v="Graduate"/>
    <x v="1"/>
    <n v="0"/>
    <n v="0"/>
    <n v="0"/>
    <x v="1"/>
    <n v="0"/>
    <x v="0"/>
    <n v="0"/>
    <n v="1"/>
    <n v="0"/>
    <n v="230"/>
    <n v="230"/>
    <x v="1"/>
    <n v="154"/>
    <n v="98"/>
    <n v="28.23"/>
    <n v="28.23"/>
    <x v="0"/>
    <n v="75"/>
    <n v="75"/>
    <n v="90"/>
    <n v="90"/>
    <x v="0"/>
    <x v="0"/>
  </r>
  <r>
    <n v="1"/>
    <x v="1"/>
    <n v="46"/>
    <x v="1"/>
    <n v="1"/>
    <n v="1"/>
    <s v="Primary"/>
    <x v="2"/>
    <n v="1"/>
    <n v="15"/>
    <n v="15"/>
    <x v="0"/>
    <n v="0"/>
    <x v="0"/>
    <n v="0"/>
    <n v="1"/>
    <n v="0"/>
    <n v="405"/>
    <n v="405"/>
    <x v="0"/>
    <n v="181.5"/>
    <n v="102.5"/>
    <n v="26.33"/>
    <n v="26.33"/>
    <x v="0"/>
    <n v="98"/>
    <n v="98"/>
    <n v="97"/>
    <n v="97"/>
    <x v="0"/>
    <x v="1"/>
  </r>
  <r>
    <n v="1"/>
    <x v="1"/>
    <n v="46"/>
    <x v="1"/>
    <n v="2"/>
    <n v="2"/>
    <s v="Secondary"/>
    <x v="0"/>
    <n v="0"/>
    <n v="0"/>
    <n v="0"/>
    <x v="1"/>
    <n v="0"/>
    <x v="0"/>
    <n v="0"/>
    <n v="0"/>
    <n v="0"/>
    <n v="270"/>
    <n v="270"/>
    <x v="0"/>
    <n v="138"/>
    <n v="97"/>
    <n v="33.79"/>
    <n v="33.79"/>
    <x v="2"/>
    <n v="90"/>
    <n v="90"/>
    <n v="65"/>
    <n v="65"/>
    <x v="0"/>
    <x v="0"/>
  </r>
  <r>
    <n v="1"/>
    <x v="1"/>
    <n v="46"/>
    <x v="1"/>
    <n v="4"/>
    <n v="4"/>
    <s v="Post Graduate"/>
    <x v="3"/>
    <n v="1"/>
    <n v="20"/>
    <n v="20"/>
    <x v="0"/>
    <n v="0"/>
    <x v="0"/>
    <n v="0"/>
    <n v="0"/>
    <n v="0"/>
    <n v="233"/>
    <n v="233"/>
    <x v="1"/>
    <n v="108"/>
    <n v="74"/>
    <n v="23.97"/>
    <n v="23.97"/>
    <x v="1"/>
    <n v="85"/>
    <n v="85"/>
    <n v="82"/>
    <n v="82"/>
    <x v="0"/>
    <x v="0"/>
  </r>
  <r>
    <n v="0"/>
    <x v="0"/>
    <n v="46"/>
    <x v="1"/>
    <n v="2"/>
    <n v="2"/>
    <s v="Secondary"/>
    <x v="0"/>
    <n v="0"/>
    <n v="0"/>
    <n v="0"/>
    <x v="1"/>
    <n v="0"/>
    <x v="0"/>
    <n v="0"/>
    <n v="0"/>
    <n v="0"/>
    <n v="275"/>
    <n v="275"/>
    <x v="0"/>
    <n v="116"/>
    <n v="88.5"/>
    <n v="28.04"/>
    <n v="28.04"/>
    <x v="0"/>
    <n v="70"/>
    <n v="70"/>
    <n v="70"/>
    <n v="70"/>
    <x v="0"/>
    <x v="0"/>
  </r>
  <r>
    <n v="0"/>
    <x v="0"/>
    <n v="46"/>
    <x v="1"/>
    <n v="1"/>
    <n v="1"/>
    <s v="Primary"/>
    <x v="2"/>
    <n v="0"/>
    <n v="0"/>
    <n v="0"/>
    <x v="1"/>
    <n v="0"/>
    <x v="0"/>
    <n v="0"/>
    <n v="1"/>
    <n v="0"/>
    <n v="233"/>
    <n v="233"/>
    <x v="1"/>
    <n v="174"/>
    <n v="100"/>
    <n v="26.72"/>
    <n v="26.72"/>
    <x v="0"/>
    <n v="85"/>
    <n v="85"/>
    <n v="73"/>
    <n v="73"/>
    <x v="0"/>
    <x v="0"/>
  </r>
  <r>
    <n v="0"/>
    <x v="0"/>
    <n v="46"/>
    <x v="1"/>
    <n v="1"/>
    <n v="1"/>
    <s v="Primary"/>
    <x v="2"/>
    <n v="0"/>
    <n v="0"/>
    <n v="0"/>
    <x v="1"/>
    <n v="0"/>
    <x v="0"/>
    <n v="0"/>
    <n v="0"/>
    <n v="0"/>
    <n v="200"/>
    <n v="200"/>
    <x v="1"/>
    <n v="133"/>
    <n v="84"/>
    <n v="26.15"/>
    <n v="26.15"/>
    <x v="0"/>
    <n v="70"/>
    <n v="70"/>
    <n v="83"/>
    <n v="83"/>
    <x v="0"/>
    <x v="0"/>
  </r>
  <r>
    <n v="1"/>
    <x v="1"/>
    <n v="46"/>
    <x v="1"/>
    <n v="4"/>
    <n v="4"/>
    <s v="Post Graduate"/>
    <x v="3"/>
    <n v="1"/>
    <n v="20"/>
    <n v="20"/>
    <x v="0"/>
    <n v="0"/>
    <x v="0"/>
    <n v="0"/>
    <n v="0"/>
    <n v="0"/>
    <n v="259"/>
    <n v="259"/>
    <x v="0"/>
    <n v="101"/>
    <n v="71"/>
    <n v="20.100000000000001"/>
    <n v="20.100000000000001"/>
    <x v="1"/>
    <n v="80"/>
    <n v="80"/>
    <n v="73"/>
    <n v="73"/>
    <x v="0"/>
    <x v="0"/>
  </r>
  <r>
    <n v="1"/>
    <x v="1"/>
    <n v="46"/>
    <x v="1"/>
    <n v="2"/>
    <n v="2"/>
    <s v="Secondary"/>
    <x v="0"/>
    <n v="1"/>
    <n v="20"/>
    <n v="20"/>
    <x v="0"/>
    <n v="0"/>
    <x v="0"/>
    <n v="0"/>
    <n v="1"/>
    <n v="0"/>
    <n v="181"/>
    <n v="181"/>
    <x v="1"/>
    <n v="122"/>
    <n v="87.5"/>
    <n v="29.15"/>
    <n v="29.15"/>
    <x v="0"/>
    <n v="80"/>
    <n v="80"/>
    <n v="83"/>
    <n v="83"/>
    <x v="0"/>
    <x v="0"/>
  </r>
  <r>
    <n v="0"/>
    <x v="0"/>
    <n v="46"/>
    <x v="1"/>
    <n v="3"/>
    <n v="3"/>
    <s v="Graduate"/>
    <x v="1"/>
    <n v="0"/>
    <n v="0"/>
    <n v="0"/>
    <x v="1"/>
    <n v="0"/>
    <x v="0"/>
    <n v="0"/>
    <n v="0"/>
    <n v="0"/>
    <n v="230"/>
    <n v="230"/>
    <x v="1"/>
    <n v="115"/>
    <n v="75"/>
    <n v="22.9"/>
    <n v="22.9"/>
    <x v="1"/>
    <n v="58"/>
    <n v="58"/>
    <n v="79"/>
    <n v="79"/>
    <x v="0"/>
    <x v="0"/>
  </r>
  <r>
    <n v="1"/>
    <x v="1"/>
    <n v="46"/>
    <x v="1"/>
    <n v="2"/>
    <n v="2"/>
    <s v="Secondary"/>
    <x v="0"/>
    <n v="1"/>
    <n v="20"/>
    <n v="20"/>
    <x v="0"/>
    <n v="0"/>
    <x v="0"/>
    <n v="0"/>
    <n v="0"/>
    <n v="0"/>
    <n v="275"/>
    <n v="275"/>
    <x v="0"/>
    <n v="137"/>
    <n v="88"/>
    <n v="29.28"/>
    <n v="29.28"/>
    <x v="0"/>
    <n v="110"/>
    <n v="110"/>
    <n v="88"/>
    <n v="88"/>
    <x v="0"/>
    <x v="0"/>
  </r>
  <r>
    <n v="0"/>
    <x v="0"/>
    <n v="46"/>
    <x v="1"/>
    <n v="3"/>
    <n v="3"/>
    <s v="Graduate"/>
    <x v="1"/>
    <n v="0"/>
    <n v="0"/>
    <n v="0"/>
    <x v="1"/>
    <n v="0"/>
    <x v="0"/>
    <n v="0"/>
    <n v="0"/>
    <n v="0"/>
    <n v="193"/>
    <n v="193"/>
    <x v="1"/>
    <n v="110"/>
    <n v="68"/>
    <n v="22.19"/>
    <n v="22.19"/>
    <x v="1"/>
    <n v="68"/>
    <n v="68"/>
    <n v="65"/>
    <n v="65"/>
    <x v="0"/>
    <x v="0"/>
  </r>
  <r>
    <n v="1"/>
    <x v="1"/>
    <n v="46"/>
    <x v="1"/>
    <n v="1"/>
    <n v="1"/>
    <s v="Primary"/>
    <x v="2"/>
    <n v="1"/>
    <n v="9"/>
    <n v="9"/>
    <x v="0"/>
    <n v="0"/>
    <x v="0"/>
    <n v="0"/>
    <n v="1"/>
    <n v="0"/>
    <n v="216"/>
    <n v="216"/>
    <x v="1"/>
    <n v="126"/>
    <n v="85"/>
    <n v="30.1"/>
    <n v="30.1"/>
    <x v="2"/>
    <n v="80"/>
    <n v="80"/>
    <n v="70"/>
    <n v="70"/>
    <x v="0"/>
    <x v="0"/>
  </r>
  <r>
    <n v="1"/>
    <x v="1"/>
    <n v="46"/>
    <x v="1"/>
    <n v="3"/>
    <n v="3"/>
    <s v="Graduate"/>
    <x v="1"/>
    <n v="0"/>
    <n v="0"/>
    <n v="0"/>
    <x v="1"/>
    <n v="0"/>
    <x v="0"/>
    <n v="0"/>
    <n v="1"/>
    <n v="0"/>
    <n v="300"/>
    <n v="300"/>
    <x v="0"/>
    <n v="146"/>
    <n v="98.5"/>
    <n v="30.41"/>
    <n v="30.41"/>
    <x v="2"/>
    <n v="60"/>
    <n v="60"/>
    <n v="79"/>
    <n v="79"/>
    <x v="0"/>
    <x v="0"/>
  </r>
  <r>
    <n v="0"/>
    <x v="0"/>
    <n v="46"/>
    <x v="1"/>
    <n v="2"/>
    <n v="2"/>
    <s v="Secondary"/>
    <x v="0"/>
    <n v="1"/>
    <n v="15"/>
    <n v="15"/>
    <x v="0"/>
    <n v="0"/>
    <x v="0"/>
    <n v="0"/>
    <n v="0"/>
    <n v="0"/>
    <n v="232"/>
    <n v="232"/>
    <x v="1"/>
    <n v="115"/>
    <n v="70"/>
    <n v="25.18"/>
    <n v="25.18"/>
    <x v="0"/>
    <n v="75"/>
    <n v="75"/>
    <n v="59"/>
    <n v="59"/>
    <x v="0"/>
    <x v="1"/>
  </r>
  <r>
    <n v="1"/>
    <x v="1"/>
    <n v="46"/>
    <x v="1"/>
    <n v="2"/>
    <n v="2"/>
    <s v="Secondary"/>
    <x v="0"/>
    <n v="0"/>
    <n v="0"/>
    <n v="0"/>
    <x v="1"/>
    <n v="0"/>
    <x v="0"/>
    <n v="0"/>
    <n v="0"/>
    <n v="0"/>
    <n v="226"/>
    <n v="226"/>
    <x v="1"/>
    <n v="140"/>
    <n v="86"/>
    <n v="31.93"/>
    <n v="31.93"/>
    <x v="2"/>
    <n v="85"/>
    <n v="85"/>
    <n v="72"/>
    <n v="72"/>
    <x v="0"/>
    <x v="0"/>
  </r>
  <r>
    <n v="1"/>
    <x v="1"/>
    <n v="46"/>
    <x v="1"/>
    <n v="4"/>
    <n v="4"/>
    <s v="Post Graduate"/>
    <x v="3"/>
    <n v="1"/>
    <n v="9"/>
    <n v="9"/>
    <x v="0"/>
    <n v="0"/>
    <x v="0"/>
    <n v="0"/>
    <n v="1"/>
    <n v="0"/>
    <n v="260"/>
    <n v="260"/>
    <x v="0"/>
    <n v="137.5"/>
    <n v="94"/>
    <n v="32.369999999999997"/>
    <n v="32.369999999999997"/>
    <x v="2"/>
    <n v="78"/>
    <n v="78"/>
    <n v="78"/>
    <n v="78"/>
    <x v="0"/>
    <x v="0"/>
  </r>
  <r>
    <n v="1"/>
    <x v="1"/>
    <n v="46"/>
    <x v="1"/>
    <n v="1"/>
    <n v="1"/>
    <s v="Primary"/>
    <x v="2"/>
    <n v="1"/>
    <n v="20"/>
    <n v="20"/>
    <x v="0"/>
    <n v="0"/>
    <x v="0"/>
    <n v="0"/>
    <n v="0"/>
    <n v="0"/>
    <n v="219"/>
    <n v="219"/>
    <x v="1"/>
    <n v="118"/>
    <n v="79"/>
    <n v="24.17"/>
    <n v="24.17"/>
    <x v="1"/>
    <n v="70"/>
    <n v="70"/>
    <n v="90"/>
    <n v="90"/>
    <x v="0"/>
    <x v="0"/>
  </r>
  <r>
    <n v="1"/>
    <x v="1"/>
    <n v="46"/>
    <x v="1"/>
    <n v="1"/>
    <n v="1"/>
    <s v="Primary"/>
    <x v="2"/>
    <n v="0"/>
    <n v="0"/>
    <n v="0"/>
    <x v="1"/>
    <n v="0"/>
    <x v="0"/>
    <n v="0"/>
    <n v="0"/>
    <n v="0"/>
    <n v="220"/>
    <n v="220"/>
    <x v="1"/>
    <n v="119"/>
    <n v="80"/>
    <n v="25.86"/>
    <n v="25.86"/>
    <x v="0"/>
    <n v="75"/>
    <n v="75"/>
    <n v="95"/>
    <n v="95"/>
    <x v="0"/>
    <x v="0"/>
  </r>
  <r>
    <n v="0"/>
    <x v="0"/>
    <n v="46"/>
    <x v="1"/>
    <n v="1"/>
    <n v="1"/>
    <s v="Primary"/>
    <x v="2"/>
    <n v="0"/>
    <n v="0"/>
    <n v="0"/>
    <x v="1"/>
    <n v="0"/>
    <x v="0"/>
    <n v="0"/>
    <n v="0"/>
    <n v="0"/>
    <n v="208"/>
    <n v="208"/>
    <x v="1"/>
    <n v="122"/>
    <n v="76"/>
    <n v="18.399999999999999"/>
    <n v="18.399999999999999"/>
    <x v="3"/>
    <n v="75"/>
    <n v="75"/>
    <n v="70"/>
    <n v="70"/>
    <x v="0"/>
    <x v="0"/>
  </r>
  <r>
    <n v="0"/>
    <x v="0"/>
    <n v="46"/>
    <x v="1"/>
    <n v="4"/>
    <n v="4"/>
    <s v="Post Graduate"/>
    <x v="3"/>
    <n v="0"/>
    <n v="0"/>
    <n v="0"/>
    <x v="1"/>
    <n v="0"/>
    <x v="0"/>
    <n v="0"/>
    <n v="0"/>
    <n v="0"/>
    <n v="192"/>
    <n v="192"/>
    <x v="1"/>
    <n v="122"/>
    <n v="83"/>
    <n v="23.99"/>
    <n v="23.99"/>
    <x v="1"/>
    <n v="78"/>
    <n v="78"/>
    <n v="106"/>
    <n v="106"/>
    <x v="0"/>
    <x v="0"/>
  </r>
  <r>
    <n v="1"/>
    <x v="1"/>
    <n v="46"/>
    <x v="1"/>
    <n v="1"/>
    <n v="1"/>
    <s v="Primary"/>
    <x v="2"/>
    <n v="1"/>
    <n v="60"/>
    <n v="60"/>
    <x v="0"/>
    <n v="0"/>
    <x v="0"/>
    <n v="0"/>
    <n v="0"/>
    <n v="0"/>
    <n v="285"/>
    <n v="285"/>
    <x v="0"/>
    <n v="121"/>
    <n v="82"/>
    <n v="27.62"/>
    <n v="27.62"/>
    <x v="0"/>
    <n v="70"/>
    <n v="70"/>
    <n v="79"/>
    <n v="79"/>
    <x v="0"/>
    <x v="0"/>
  </r>
  <r>
    <n v="1"/>
    <x v="1"/>
    <n v="46"/>
    <x v="1"/>
    <n v="2"/>
    <n v="2"/>
    <s v="Secondary"/>
    <x v="0"/>
    <n v="1"/>
    <n v="20"/>
    <n v="20"/>
    <x v="0"/>
    <n v="0"/>
    <x v="0"/>
    <n v="0"/>
    <n v="1"/>
    <n v="0"/>
    <n v="238"/>
    <n v="238"/>
    <x v="1"/>
    <n v="140.5"/>
    <n v="92.5"/>
    <n v="26.97"/>
    <n v="26.97"/>
    <x v="0"/>
    <n v="75"/>
    <n v="75"/>
    <n v="83"/>
    <n v="83"/>
    <x v="0"/>
    <x v="0"/>
  </r>
  <r>
    <n v="0"/>
    <x v="0"/>
    <n v="46"/>
    <x v="1"/>
    <n v="2"/>
    <n v="2"/>
    <s v="Secondary"/>
    <x v="0"/>
    <n v="1"/>
    <n v="20"/>
    <n v="20"/>
    <x v="0"/>
    <n v="0"/>
    <x v="0"/>
    <n v="0"/>
    <n v="0"/>
    <n v="0"/>
    <n v="211"/>
    <n v="211"/>
    <x v="1"/>
    <n v="120"/>
    <n v="84"/>
    <n v="22.53"/>
    <n v="22.53"/>
    <x v="1"/>
    <n v="94"/>
    <n v="94"/>
    <n v="87"/>
    <n v="87"/>
    <x v="0"/>
    <x v="0"/>
  </r>
  <r>
    <n v="1"/>
    <x v="1"/>
    <n v="46"/>
    <x v="1"/>
    <n v="1"/>
    <n v="1"/>
    <s v="Primary"/>
    <x v="2"/>
    <n v="1"/>
    <n v="9"/>
    <n v="9"/>
    <x v="0"/>
    <n v="0"/>
    <x v="0"/>
    <n v="0"/>
    <n v="0"/>
    <n v="0"/>
    <n v="255"/>
    <n v="255"/>
    <x v="0"/>
    <n v="113.5"/>
    <n v="72.5"/>
    <n v="23.22"/>
    <n v="23.22"/>
    <x v="1"/>
    <n v="60"/>
    <n v="60"/>
    <s v="NA"/>
    <n v="81.96365524402907"/>
    <x v="0"/>
    <x v="0"/>
  </r>
  <r>
    <n v="0"/>
    <x v="0"/>
    <n v="46"/>
    <x v="1"/>
    <n v="1"/>
    <n v="1"/>
    <s v="Primary"/>
    <x v="2"/>
    <n v="0"/>
    <n v="0"/>
    <n v="0"/>
    <x v="1"/>
    <n v="0"/>
    <x v="0"/>
    <n v="0"/>
    <n v="0"/>
    <n v="0"/>
    <n v="284"/>
    <n v="284"/>
    <x v="0"/>
    <n v="147"/>
    <n v="82"/>
    <n v="25.6"/>
    <n v="25.6"/>
    <x v="0"/>
    <n v="80"/>
    <n v="80"/>
    <s v="NA"/>
    <n v="81.96365524402907"/>
    <x v="0"/>
    <x v="0"/>
  </r>
  <r>
    <n v="0"/>
    <x v="0"/>
    <n v="46"/>
    <x v="1"/>
    <n v="2"/>
    <n v="2"/>
    <s v="Secondary"/>
    <x v="0"/>
    <n v="0"/>
    <n v="0"/>
    <n v="0"/>
    <x v="1"/>
    <n v="0"/>
    <x v="0"/>
    <n v="0"/>
    <n v="1"/>
    <n v="0"/>
    <n v="214"/>
    <n v="214"/>
    <x v="1"/>
    <n v="144"/>
    <n v="79"/>
    <n v="23.62"/>
    <n v="23.62"/>
    <x v="1"/>
    <n v="96"/>
    <n v="96"/>
    <n v="80"/>
    <n v="80"/>
    <x v="0"/>
    <x v="0"/>
  </r>
  <r>
    <n v="1"/>
    <x v="1"/>
    <n v="46"/>
    <x v="1"/>
    <n v="2"/>
    <n v="2"/>
    <s v="Secondary"/>
    <x v="0"/>
    <n v="1"/>
    <n v="43"/>
    <n v="43"/>
    <x v="0"/>
    <n v="0"/>
    <x v="0"/>
    <n v="0"/>
    <n v="1"/>
    <n v="0"/>
    <n v="272"/>
    <n v="272"/>
    <x v="0"/>
    <n v="145"/>
    <n v="88"/>
    <n v="28.12"/>
    <n v="28.12"/>
    <x v="0"/>
    <n v="103"/>
    <n v="103"/>
    <n v="65"/>
    <n v="65"/>
    <x v="0"/>
    <x v="0"/>
  </r>
  <r>
    <n v="1"/>
    <x v="1"/>
    <n v="46"/>
    <x v="1"/>
    <n v="4"/>
    <n v="4"/>
    <s v="Post Graduate"/>
    <x v="3"/>
    <n v="1"/>
    <n v="40"/>
    <n v="40"/>
    <x v="0"/>
    <n v="0"/>
    <x v="0"/>
    <n v="0"/>
    <n v="0"/>
    <n v="0"/>
    <n v="165"/>
    <n v="165"/>
    <x v="1"/>
    <n v="107"/>
    <n v="82"/>
    <n v="24.67"/>
    <n v="24.67"/>
    <x v="1"/>
    <n v="60"/>
    <n v="60"/>
    <n v="77"/>
    <n v="77"/>
    <x v="0"/>
    <x v="0"/>
  </r>
  <r>
    <n v="1"/>
    <x v="1"/>
    <n v="46"/>
    <x v="1"/>
    <n v="4"/>
    <n v="4"/>
    <s v="Post Graduate"/>
    <x v="3"/>
    <n v="1"/>
    <n v="20"/>
    <n v="20"/>
    <x v="0"/>
    <n v="0"/>
    <x v="0"/>
    <n v="0"/>
    <n v="1"/>
    <n v="0"/>
    <n v="238"/>
    <n v="238"/>
    <x v="1"/>
    <n v="163.5"/>
    <n v="102"/>
    <n v="28.65"/>
    <n v="28.65"/>
    <x v="0"/>
    <n v="73"/>
    <n v="73"/>
    <n v="100"/>
    <n v="100"/>
    <x v="0"/>
    <x v="0"/>
  </r>
  <r>
    <n v="1"/>
    <x v="1"/>
    <n v="46"/>
    <x v="1"/>
    <n v="1"/>
    <n v="1"/>
    <s v="Primary"/>
    <x v="2"/>
    <n v="1"/>
    <n v="20"/>
    <n v="20"/>
    <x v="0"/>
    <n v="0"/>
    <x v="0"/>
    <n v="0"/>
    <n v="0"/>
    <n v="0"/>
    <n v="273"/>
    <n v="273"/>
    <x v="0"/>
    <n v="132.5"/>
    <n v="69"/>
    <n v="26.83"/>
    <n v="26.83"/>
    <x v="0"/>
    <n v="120"/>
    <n v="120"/>
    <n v="88"/>
    <n v="88"/>
    <x v="0"/>
    <x v="0"/>
  </r>
  <r>
    <n v="1"/>
    <x v="1"/>
    <n v="46"/>
    <x v="1"/>
    <n v="1"/>
    <n v="1"/>
    <s v="Primary"/>
    <x v="2"/>
    <n v="1"/>
    <n v="15"/>
    <n v="15"/>
    <x v="0"/>
    <n v="0"/>
    <x v="0"/>
    <n v="0"/>
    <n v="1"/>
    <n v="0"/>
    <n v="212"/>
    <n v="212"/>
    <x v="1"/>
    <n v="132"/>
    <n v="92"/>
    <n v="22.08"/>
    <n v="22.08"/>
    <x v="1"/>
    <n v="63"/>
    <n v="63"/>
    <s v="NA"/>
    <n v="81.96365524402907"/>
    <x v="0"/>
    <x v="0"/>
  </r>
  <r>
    <n v="1"/>
    <x v="1"/>
    <n v="46"/>
    <x v="1"/>
    <n v="1"/>
    <n v="1"/>
    <s v="Primary"/>
    <x v="2"/>
    <n v="1"/>
    <n v="43"/>
    <n v="43"/>
    <x v="0"/>
    <n v="0"/>
    <x v="0"/>
    <n v="0"/>
    <n v="0"/>
    <n v="0"/>
    <n v="237"/>
    <n v="237"/>
    <x v="1"/>
    <n v="105"/>
    <n v="72.5"/>
    <n v="33.49"/>
    <n v="33.49"/>
    <x v="2"/>
    <n v="67"/>
    <n v="67"/>
    <n v="79"/>
    <n v="79"/>
    <x v="0"/>
    <x v="0"/>
  </r>
  <r>
    <n v="0"/>
    <x v="0"/>
    <n v="46"/>
    <x v="1"/>
    <n v="1"/>
    <n v="1"/>
    <s v="Primary"/>
    <x v="2"/>
    <n v="0"/>
    <n v="0"/>
    <n v="0"/>
    <x v="1"/>
    <n v="0"/>
    <x v="0"/>
    <n v="0"/>
    <n v="0"/>
    <n v="0"/>
    <n v="229"/>
    <n v="229"/>
    <x v="1"/>
    <n v="127.5"/>
    <n v="80"/>
    <n v="22.34"/>
    <n v="22.34"/>
    <x v="1"/>
    <n v="84"/>
    <n v="84"/>
    <n v="77"/>
    <n v="77"/>
    <x v="0"/>
    <x v="0"/>
  </r>
  <r>
    <n v="0"/>
    <x v="0"/>
    <n v="46"/>
    <x v="1"/>
    <n v="2"/>
    <n v="2"/>
    <s v="Secondary"/>
    <x v="0"/>
    <n v="1"/>
    <n v="18"/>
    <n v="18"/>
    <x v="0"/>
    <n v="0"/>
    <x v="0"/>
    <n v="0"/>
    <n v="0"/>
    <n v="0"/>
    <n v="290"/>
    <n v="290"/>
    <x v="0"/>
    <n v="131"/>
    <n v="84"/>
    <n v="18.28"/>
    <n v="18.28"/>
    <x v="3"/>
    <n v="75"/>
    <n v="75"/>
    <n v="68"/>
    <n v="68"/>
    <x v="0"/>
    <x v="0"/>
  </r>
  <r>
    <n v="1"/>
    <x v="1"/>
    <n v="46"/>
    <x v="1"/>
    <n v="1"/>
    <n v="1"/>
    <s v="Primary"/>
    <x v="2"/>
    <n v="0"/>
    <n v="0"/>
    <n v="0"/>
    <x v="1"/>
    <n v="0"/>
    <x v="0"/>
    <n v="0"/>
    <n v="1"/>
    <n v="0"/>
    <n v="328"/>
    <n v="328"/>
    <x v="0"/>
    <n v="130"/>
    <n v="86.5"/>
    <n v="27.17"/>
    <n v="27.17"/>
    <x v="0"/>
    <n v="65"/>
    <n v="65"/>
    <n v="82"/>
    <n v="82"/>
    <x v="0"/>
    <x v="0"/>
  </r>
  <r>
    <n v="0"/>
    <x v="0"/>
    <n v="46"/>
    <x v="1"/>
    <n v="3"/>
    <n v="3"/>
    <s v="Graduate"/>
    <x v="1"/>
    <n v="1"/>
    <n v="30"/>
    <n v="30"/>
    <x v="0"/>
    <n v="0"/>
    <x v="0"/>
    <n v="0"/>
    <n v="0"/>
    <n v="0"/>
    <n v="196"/>
    <n v="196"/>
    <x v="1"/>
    <n v="114"/>
    <n v="75"/>
    <n v="21.01"/>
    <n v="21.01"/>
    <x v="1"/>
    <n v="60"/>
    <n v="60"/>
    <n v="69"/>
    <n v="69"/>
    <x v="0"/>
    <x v="0"/>
  </r>
  <r>
    <n v="1"/>
    <x v="1"/>
    <n v="46"/>
    <x v="1"/>
    <n v="3"/>
    <n v="3"/>
    <s v="Graduate"/>
    <x v="1"/>
    <n v="0"/>
    <n v="0"/>
    <n v="0"/>
    <x v="1"/>
    <n v="0"/>
    <x v="0"/>
    <n v="0"/>
    <n v="0"/>
    <n v="0"/>
    <n v="297"/>
    <n v="297"/>
    <x v="0"/>
    <n v="133"/>
    <n v="92"/>
    <n v="25.98"/>
    <n v="25.98"/>
    <x v="0"/>
    <n v="69"/>
    <n v="69"/>
    <n v="64"/>
    <n v="64"/>
    <x v="0"/>
    <x v="0"/>
  </r>
  <r>
    <n v="0"/>
    <x v="0"/>
    <n v="46"/>
    <x v="1"/>
    <n v="1"/>
    <n v="1"/>
    <s v="Primary"/>
    <x v="2"/>
    <n v="1"/>
    <n v="30"/>
    <n v="30"/>
    <x v="0"/>
    <n v="0"/>
    <x v="0"/>
    <n v="0"/>
    <n v="0"/>
    <n v="0"/>
    <n v="303"/>
    <n v="303"/>
    <x v="0"/>
    <n v="115"/>
    <n v="78"/>
    <n v="22.5"/>
    <n v="22.5"/>
    <x v="1"/>
    <n v="70"/>
    <n v="70"/>
    <n v="67"/>
    <n v="67"/>
    <x v="0"/>
    <x v="0"/>
  </r>
  <r>
    <n v="1"/>
    <x v="1"/>
    <n v="46"/>
    <x v="1"/>
    <n v="1"/>
    <n v="1"/>
    <s v="Primary"/>
    <x v="2"/>
    <n v="1"/>
    <n v="20"/>
    <n v="20"/>
    <x v="0"/>
    <n v="0"/>
    <x v="0"/>
    <n v="0"/>
    <n v="0"/>
    <n v="0"/>
    <n v="182"/>
    <n v="182"/>
    <x v="1"/>
    <n v="120"/>
    <n v="78"/>
    <n v="20.23"/>
    <n v="20.23"/>
    <x v="1"/>
    <n v="75"/>
    <n v="75"/>
    <n v="85"/>
    <n v="85"/>
    <x v="0"/>
    <x v="0"/>
  </r>
  <r>
    <n v="0"/>
    <x v="0"/>
    <n v="46"/>
    <x v="1"/>
    <n v="4"/>
    <n v="4"/>
    <s v="Post Graduate"/>
    <x v="3"/>
    <n v="1"/>
    <n v="10"/>
    <n v="10"/>
    <x v="0"/>
    <n v="0"/>
    <x v="0"/>
    <n v="0"/>
    <n v="0"/>
    <n v="0"/>
    <n v="229"/>
    <n v="229"/>
    <x v="1"/>
    <n v="97.5"/>
    <n v="72"/>
    <n v="18.989999999999998"/>
    <n v="18.989999999999998"/>
    <x v="1"/>
    <n v="80"/>
    <n v="80"/>
    <s v="NA"/>
    <n v="81.96365524402907"/>
    <x v="0"/>
    <x v="1"/>
  </r>
  <r>
    <n v="1"/>
    <x v="1"/>
    <n v="46"/>
    <x v="1"/>
    <n v="1"/>
    <n v="1"/>
    <s v="Primary"/>
    <x v="2"/>
    <n v="1"/>
    <n v="30"/>
    <n v="30"/>
    <x v="0"/>
    <n v="0"/>
    <x v="0"/>
    <n v="0"/>
    <n v="1"/>
    <n v="0"/>
    <n v="187"/>
    <n v="187"/>
    <x v="1"/>
    <n v="140"/>
    <n v="94"/>
    <n v="24.3"/>
    <n v="24.3"/>
    <x v="1"/>
    <n v="100"/>
    <n v="100"/>
    <n v="67"/>
    <n v="67"/>
    <x v="0"/>
    <x v="1"/>
  </r>
  <r>
    <n v="0"/>
    <x v="0"/>
    <n v="46"/>
    <x v="1"/>
    <n v="1"/>
    <n v="1"/>
    <s v="Primary"/>
    <x v="2"/>
    <n v="0"/>
    <n v="0"/>
    <n v="0"/>
    <x v="1"/>
    <n v="0"/>
    <x v="0"/>
    <n v="0"/>
    <n v="1"/>
    <n v="0"/>
    <n v="313"/>
    <n v="313"/>
    <x v="0"/>
    <n v="170"/>
    <n v="107"/>
    <n v="27.78"/>
    <n v="27.78"/>
    <x v="0"/>
    <n v="95"/>
    <n v="95"/>
    <n v="62"/>
    <n v="62"/>
    <x v="0"/>
    <x v="0"/>
  </r>
  <r>
    <n v="1"/>
    <x v="1"/>
    <n v="46"/>
    <x v="1"/>
    <n v="1"/>
    <n v="1"/>
    <s v="Primary"/>
    <x v="2"/>
    <n v="1"/>
    <n v="40"/>
    <n v="40"/>
    <x v="0"/>
    <n v="0"/>
    <x v="0"/>
    <n v="0"/>
    <n v="0"/>
    <n v="0"/>
    <n v="210"/>
    <n v="210"/>
    <x v="1"/>
    <n v="154"/>
    <n v="91"/>
    <n v="26.25"/>
    <n v="26.25"/>
    <x v="0"/>
    <n v="88"/>
    <n v="88"/>
    <n v="82"/>
    <n v="82"/>
    <x v="0"/>
    <x v="0"/>
  </r>
  <r>
    <n v="0"/>
    <x v="0"/>
    <n v="46"/>
    <x v="1"/>
    <n v="3"/>
    <n v="3"/>
    <s v="Graduate"/>
    <x v="1"/>
    <n v="1"/>
    <n v="6"/>
    <n v="6"/>
    <x v="0"/>
    <n v="0"/>
    <x v="0"/>
    <n v="0"/>
    <n v="1"/>
    <n v="0"/>
    <n v="315"/>
    <n v="315"/>
    <x v="0"/>
    <n v="165"/>
    <n v="85"/>
    <n v="32.89"/>
    <n v="32.89"/>
    <x v="2"/>
    <n v="110"/>
    <n v="110"/>
    <n v="91"/>
    <n v="91"/>
    <x v="0"/>
    <x v="0"/>
  </r>
  <r>
    <n v="0"/>
    <x v="0"/>
    <n v="46"/>
    <x v="1"/>
    <n v="4"/>
    <n v="4"/>
    <s v="Post Graduate"/>
    <x v="3"/>
    <n v="0"/>
    <n v="0"/>
    <n v="0"/>
    <x v="1"/>
    <n v="0"/>
    <x v="0"/>
    <n v="0"/>
    <n v="0"/>
    <n v="0"/>
    <n v="255"/>
    <n v="255"/>
    <x v="0"/>
    <n v="117"/>
    <n v="77"/>
    <n v="26.35"/>
    <n v="26.35"/>
    <x v="0"/>
    <n v="90"/>
    <n v="90"/>
    <n v="76"/>
    <n v="76"/>
    <x v="0"/>
    <x v="0"/>
  </r>
  <r>
    <n v="1"/>
    <x v="1"/>
    <n v="46"/>
    <x v="1"/>
    <n v="1"/>
    <n v="1"/>
    <s v="Primary"/>
    <x v="2"/>
    <n v="0"/>
    <n v="0"/>
    <n v="0"/>
    <x v="1"/>
    <n v="0"/>
    <x v="0"/>
    <n v="0"/>
    <n v="1"/>
    <n v="0"/>
    <n v="185"/>
    <n v="185"/>
    <x v="1"/>
    <n v="121"/>
    <n v="85"/>
    <n v="31.31"/>
    <n v="31.31"/>
    <x v="2"/>
    <n v="80"/>
    <n v="80"/>
    <n v="97"/>
    <n v="97"/>
    <x v="0"/>
    <x v="0"/>
  </r>
  <r>
    <n v="1"/>
    <x v="1"/>
    <n v="46"/>
    <x v="1"/>
    <n v="1"/>
    <n v="1"/>
    <s v="Primary"/>
    <x v="2"/>
    <n v="1"/>
    <n v="43"/>
    <n v="43"/>
    <x v="0"/>
    <n v="0"/>
    <x v="0"/>
    <n v="0"/>
    <n v="0"/>
    <n v="0"/>
    <n v="270"/>
    <n v="270"/>
    <x v="0"/>
    <n v="116.5"/>
    <n v="87"/>
    <n v="28.53"/>
    <n v="28.53"/>
    <x v="0"/>
    <n v="75"/>
    <n v="75"/>
    <n v="71"/>
    <n v="71"/>
    <x v="0"/>
    <x v="0"/>
  </r>
  <r>
    <n v="0"/>
    <x v="0"/>
    <n v="46"/>
    <x v="1"/>
    <n v="1"/>
    <n v="1"/>
    <s v="Primary"/>
    <x v="2"/>
    <n v="0"/>
    <n v="0"/>
    <n v="0"/>
    <x v="1"/>
    <n v="0"/>
    <x v="0"/>
    <n v="0"/>
    <n v="0"/>
    <n v="0"/>
    <n v="193"/>
    <n v="193"/>
    <x v="1"/>
    <n v="124.5"/>
    <n v="72"/>
    <n v="26.84"/>
    <n v="26.84"/>
    <x v="0"/>
    <n v="75"/>
    <n v="75"/>
    <n v="80"/>
    <n v="80"/>
    <x v="0"/>
    <x v="0"/>
  </r>
  <r>
    <n v="0"/>
    <x v="0"/>
    <n v="46"/>
    <x v="1"/>
    <n v="1"/>
    <n v="1"/>
    <s v="Primary"/>
    <x v="2"/>
    <n v="1"/>
    <n v="20"/>
    <n v="20"/>
    <x v="0"/>
    <n v="0"/>
    <x v="0"/>
    <n v="0"/>
    <n v="0"/>
    <n v="0"/>
    <n v="250"/>
    <n v="250"/>
    <x v="0"/>
    <n v="112.5"/>
    <n v="60"/>
    <n v="22.72"/>
    <n v="22.72"/>
    <x v="1"/>
    <n v="82"/>
    <n v="82"/>
    <n v="74"/>
    <n v="74"/>
    <x v="0"/>
    <x v="0"/>
  </r>
  <r>
    <n v="0"/>
    <x v="0"/>
    <n v="46"/>
    <x v="1"/>
    <n v="3"/>
    <n v="3"/>
    <s v="Graduate"/>
    <x v="1"/>
    <n v="1"/>
    <n v="20"/>
    <n v="20"/>
    <x v="0"/>
    <n v="0"/>
    <x v="0"/>
    <n v="0"/>
    <n v="0"/>
    <n v="0"/>
    <n v="267"/>
    <n v="267"/>
    <x v="0"/>
    <n v="119"/>
    <n v="65"/>
    <n v="29.15"/>
    <n v="29.15"/>
    <x v="0"/>
    <n v="83"/>
    <n v="83"/>
    <n v="75"/>
    <n v="75"/>
    <x v="0"/>
    <x v="1"/>
  </r>
  <r>
    <n v="0"/>
    <x v="0"/>
    <n v="46"/>
    <x v="1"/>
    <n v="3"/>
    <n v="3"/>
    <s v="Graduate"/>
    <x v="1"/>
    <n v="0"/>
    <n v="0"/>
    <n v="0"/>
    <x v="1"/>
    <n v="0"/>
    <x v="0"/>
    <n v="0"/>
    <n v="0"/>
    <n v="0"/>
    <n v="193"/>
    <n v="193"/>
    <x v="1"/>
    <n v="106.5"/>
    <n v="70.5"/>
    <n v="26.18"/>
    <n v="26.18"/>
    <x v="0"/>
    <n v="75"/>
    <n v="75"/>
    <s v="NA"/>
    <n v="81.96365524402907"/>
    <x v="0"/>
    <x v="0"/>
  </r>
  <r>
    <n v="1"/>
    <x v="1"/>
    <n v="46"/>
    <x v="1"/>
    <n v="1"/>
    <n v="1"/>
    <s v="Primary"/>
    <x v="2"/>
    <n v="1"/>
    <n v="20"/>
    <n v="20"/>
    <x v="0"/>
    <n v="0"/>
    <x v="0"/>
    <n v="0"/>
    <n v="1"/>
    <n v="0"/>
    <n v="253"/>
    <n v="253"/>
    <x v="0"/>
    <n v="159"/>
    <n v="100"/>
    <n v="27.31"/>
    <n v="27.31"/>
    <x v="0"/>
    <n v="64"/>
    <n v="64"/>
    <n v="70"/>
    <n v="70"/>
    <x v="0"/>
    <x v="0"/>
  </r>
  <r>
    <n v="1"/>
    <x v="1"/>
    <n v="46"/>
    <x v="1"/>
    <n v="2"/>
    <n v="2"/>
    <s v="Secondary"/>
    <x v="0"/>
    <n v="1"/>
    <n v="20"/>
    <n v="20"/>
    <x v="0"/>
    <n v="0"/>
    <x v="0"/>
    <n v="0"/>
    <n v="0"/>
    <n v="0"/>
    <n v="179"/>
    <n v="179"/>
    <x v="1"/>
    <n v="111"/>
    <n v="80"/>
    <n v="20.87"/>
    <n v="20.87"/>
    <x v="1"/>
    <n v="72"/>
    <n v="72"/>
    <n v="76"/>
    <n v="76"/>
    <x v="0"/>
    <x v="0"/>
  </r>
  <r>
    <n v="1"/>
    <x v="1"/>
    <n v="46"/>
    <x v="1"/>
    <n v="2"/>
    <n v="2"/>
    <s v="Secondary"/>
    <x v="0"/>
    <n v="1"/>
    <n v="30"/>
    <n v="30"/>
    <x v="0"/>
    <n v="0"/>
    <x v="0"/>
    <n v="0"/>
    <n v="0"/>
    <n v="0"/>
    <n v="250"/>
    <n v="250"/>
    <x v="0"/>
    <n v="123"/>
    <n v="76"/>
    <n v="21.66"/>
    <n v="21.66"/>
    <x v="1"/>
    <n v="55"/>
    <n v="55"/>
    <n v="78"/>
    <n v="78"/>
    <x v="0"/>
    <x v="0"/>
  </r>
  <r>
    <n v="0"/>
    <x v="0"/>
    <n v="46"/>
    <x v="1"/>
    <n v="2"/>
    <n v="2"/>
    <s v="Secondary"/>
    <x v="0"/>
    <n v="0"/>
    <n v="0"/>
    <n v="0"/>
    <x v="1"/>
    <n v="0"/>
    <x v="0"/>
    <n v="0"/>
    <n v="0"/>
    <n v="0"/>
    <n v="221"/>
    <n v="221"/>
    <x v="1"/>
    <n v="108"/>
    <n v="73"/>
    <n v="20.059999999999999"/>
    <n v="20.059999999999999"/>
    <x v="1"/>
    <n v="73"/>
    <n v="73"/>
    <n v="85"/>
    <n v="85"/>
    <x v="0"/>
    <x v="0"/>
  </r>
  <r>
    <n v="0"/>
    <x v="0"/>
    <n v="46"/>
    <x v="1"/>
    <n v="1"/>
    <n v="1"/>
    <s v="Primary"/>
    <x v="2"/>
    <n v="0"/>
    <n v="0"/>
    <n v="0"/>
    <x v="1"/>
    <n v="0"/>
    <x v="0"/>
    <n v="0"/>
    <n v="0"/>
    <n v="0"/>
    <n v="217"/>
    <n v="217"/>
    <x v="1"/>
    <n v="131.5"/>
    <n v="77"/>
    <n v="20.25"/>
    <n v="20.25"/>
    <x v="1"/>
    <n v="65"/>
    <n v="65"/>
    <n v="76"/>
    <n v="76"/>
    <x v="0"/>
    <x v="0"/>
  </r>
  <r>
    <n v="0"/>
    <x v="0"/>
    <n v="46"/>
    <x v="1"/>
    <n v="2"/>
    <n v="2"/>
    <s v="Secondary"/>
    <x v="0"/>
    <n v="1"/>
    <n v="20"/>
    <n v="20"/>
    <x v="0"/>
    <n v="0"/>
    <x v="0"/>
    <n v="0"/>
    <n v="0"/>
    <n v="0"/>
    <n v="275"/>
    <n v="275"/>
    <x v="0"/>
    <n v="126"/>
    <n v="71"/>
    <n v="24.91"/>
    <n v="24.91"/>
    <x v="1"/>
    <n v="80"/>
    <n v="80"/>
    <n v="71"/>
    <n v="71"/>
    <x v="0"/>
    <x v="0"/>
  </r>
  <r>
    <n v="0"/>
    <x v="0"/>
    <n v="46"/>
    <x v="1"/>
    <n v="1"/>
    <n v="1"/>
    <s v="Primary"/>
    <x v="2"/>
    <n v="1"/>
    <n v="43"/>
    <n v="43"/>
    <x v="0"/>
    <n v="0"/>
    <x v="0"/>
    <n v="0"/>
    <n v="0"/>
    <n v="0"/>
    <n v="262"/>
    <n v="262"/>
    <x v="0"/>
    <n v="121"/>
    <n v="78"/>
    <n v="24.24"/>
    <n v="24.24"/>
    <x v="1"/>
    <n v="75"/>
    <n v="75"/>
    <n v="72"/>
    <n v="72"/>
    <x v="0"/>
    <x v="0"/>
  </r>
  <r>
    <n v="1"/>
    <x v="1"/>
    <n v="46"/>
    <x v="1"/>
    <n v="1"/>
    <n v="1"/>
    <s v="Primary"/>
    <x v="2"/>
    <n v="1"/>
    <n v="30"/>
    <n v="30"/>
    <x v="0"/>
    <n v="0"/>
    <x v="0"/>
    <n v="0"/>
    <n v="0"/>
    <n v="1"/>
    <n v="217"/>
    <n v="217"/>
    <x v="1"/>
    <n v="115"/>
    <n v="72"/>
    <n v="21.34"/>
    <n v="21.34"/>
    <x v="1"/>
    <n v="90"/>
    <n v="90"/>
    <n v="73"/>
    <n v="73"/>
    <x v="0"/>
    <x v="0"/>
  </r>
  <r>
    <n v="0"/>
    <x v="0"/>
    <n v="46"/>
    <x v="1"/>
    <n v="1"/>
    <n v="1"/>
    <s v="Primary"/>
    <x v="2"/>
    <n v="1"/>
    <n v="7"/>
    <n v="7"/>
    <x v="0"/>
    <n v="1"/>
    <x v="1"/>
    <n v="0"/>
    <n v="1"/>
    <n v="0"/>
    <n v="280"/>
    <n v="280"/>
    <x v="0"/>
    <n v="202"/>
    <n v="124"/>
    <n v="28.06"/>
    <n v="28.06"/>
    <x v="0"/>
    <n v="66"/>
    <n v="66"/>
    <n v="63"/>
    <n v="63"/>
    <x v="0"/>
    <x v="1"/>
  </r>
  <r>
    <n v="0"/>
    <x v="0"/>
    <n v="46"/>
    <x v="1"/>
    <n v="1"/>
    <n v="1"/>
    <s v="Primary"/>
    <x v="2"/>
    <n v="1"/>
    <n v="15"/>
    <n v="15"/>
    <x v="0"/>
    <n v="0"/>
    <x v="0"/>
    <n v="0"/>
    <n v="0"/>
    <n v="0"/>
    <n v="210"/>
    <n v="210"/>
    <x v="1"/>
    <n v="117"/>
    <n v="78.5"/>
    <n v="22.54"/>
    <n v="22.54"/>
    <x v="1"/>
    <n v="72"/>
    <n v="72"/>
    <n v="115"/>
    <n v="115"/>
    <x v="0"/>
    <x v="0"/>
  </r>
  <r>
    <n v="0"/>
    <x v="0"/>
    <n v="46"/>
    <x v="1"/>
    <n v="3"/>
    <n v="3"/>
    <s v="Graduate"/>
    <x v="1"/>
    <n v="1"/>
    <n v="25"/>
    <n v="25"/>
    <x v="0"/>
    <n v="0"/>
    <x v="0"/>
    <n v="0"/>
    <n v="0"/>
    <n v="0"/>
    <n v="165"/>
    <n v="165"/>
    <x v="1"/>
    <n v="99.5"/>
    <n v="66"/>
    <n v="21.67"/>
    <n v="21.67"/>
    <x v="1"/>
    <n v="72"/>
    <n v="72"/>
    <n v="66"/>
    <n v="66"/>
    <x v="0"/>
    <x v="0"/>
  </r>
  <r>
    <n v="0"/>
    <x v="0"/>
    <n v="46"/>
    <x v="1"/>
    <n v="1"/>
    <n v="1"/>
    <s v="Primary"/>
    <x v="2"/>
    <n v="1"/>
    <n v="3"/>
    <n v="3"/>
    <x v="0"/>
    <n v="0"/>
    <x v="0"/>
    <n v="0"/>
    <n v="0"/>
    <n v="0"/>
    <n v="193"/>
    <n v="193"/>
    <x v="1"/>
    <n v="118"/>
    <n v="92"/>
    <n v="21.14"/>
    <n v="21.14"/>
    <x v="1"/>
    <n v="75"/>
    <n v="75"/>
    <n v="78"/>
    <n v="78"/>
    <x v="0"/>
    <x v="0"/>
  </r>
  <r>
    <n v="0"/>
    <x v="0"/>
    <n v="46"/>
    <x v="1"/>
    <n v="2"/>
    <n v="2"/>
    <s v="Secondary"/>
    <x v="0"/>
    <n v="1"/>
    <n v="15"/>
    <n v="15"/>
    <x v="0"/>
    <n v="0"/>
    <x v="0"/>
    <n v="0"/>
    <n v="1"/>
    <n v="0"/>
    <n v="207"/>
    <n v="207"/>
    <x v="1"/>
    <n v="144"/>
    <n v="88"/>
    <n v="23.65"/>
    <n v="23.65"/>
    <x v="1"/>
    <n v="85"/>
    <n v="85"/>
    <n v="86"/>
    <n v="86"/>
    <x v="0"/>
    <x v="0"/>
  </r>
  <r>
    <n v="0"/>
    <x v="0"/>
    <n v="46"/>
    <x v="1"/>
    <n v="3"/>
    <n v="3"/>
    <s v="Graduate"/>
    <x v="1"/>
    <n v="1"/>
    <n v="20"/>
    <n v="20"/>
    <x v="0"/>
    <n v="0"/>
    <x v="0"/>
    <n v="0"/>
    <n v="0"/>
    <n v="0"/>
    <n v="200"/>
    <n v="200"/>
    <x v="1"/>
    <n v="112.5"/>
    <n v="71"/>
    <n v="18.68"/>
    <n v="18.68"/>
    <x v="1"/>
    <n v="80"/>
    <n v="80"/>
    <n v="77"/>
    <n v="77"/>
    <x v="0"/>
    <x v="0"/>
  </r>
  <r>
    <n v="0"/>
    <x v="0"/>
    <n v="46"/>
    <x v="1"/>
    <n v="1"/>
    <n v="1"/>
    <s v="Primary"/>
    <x v="2"/>
    <n v="1"/>
    <n v="20"/>
    <n v="20"/>
    <x v="0"/>
    <n v="0"/>
    <x v="0"/>
    <n v="0"/>
    <n v="1"/>
    <n v="0"/>
    <n v="275"/>
    <n v="275"/>
    <x v="0"/>
    <n v="170"/>
    <n v="118"/>
    <n v="36.119999999999997"/>
    <n v="36.119999999999997"/>
    <x v="2"/>
    <n v="82"/>
    <n v="82"/>
    <n v="84"/>
    <n v="84"/>
    <x v="0"/>
    <x v="0"/>
  </r>
  <r>
    <n v="1"/>
    <x v="1"/>
    <n v="46"/>
    <x v="1"/>
    <n v="3"/>
    <n v="3"/>
    <s v="Graduate"/>
    <x v="1"/>
    <n v="1"/>
    <n v="30"/>
    <n v="30"/>
    <x v="0"/>
    <n v="0"/>
    <x v="0"/>
    <n v="0"/>
    <n v="1"/>
    <n v="0"/>
    <n v="154"/>
    <n v="154"/>
    <x v="1"/>
    <n v="141"/>
    <n v="90"/>
    <n v="22.76"/>
    <n v="22.76"/>
    <x v="1"/>
    <n v="65"/>
    <n v="65"/>
    <n v="65"/>
    <n v="65"/>
    <x v="0"/>
    <x v="0"/>
  </r>
  <r>
    <n v="0"/>
    <x v="0"/>
    <n v="46"/>
    <x v="1"/>
    <n v="1"/>
    <n v="1"/>
    <s v="Primary"/>
    <x v="2"/>
    <n v="0"/>
    <n v="0"/>
    <n v="0"/>
    <x v="1"/>
    <n v="0"/>
    <x v="0"/>
    <n v="0"/>
    <n v="1"/>
    <n v="0"/>
    <n v="212"/>
    <n v="212"/>
    <x v="1"/>
    <n v="148"/>
    <n v="91.5"/>
    <n v="26.22"/>
    <n v="26.22"/>
    <x v="0"/>
    <n v="62"/>
    <n v="62"/>
    <n v="75"/>
    <n v="75"/>
    <x v="0"/>
    <x v="0"/>
  </r>
  <r>
    <n v="0"/>
    <x v="0"/>
    <n v="46"/>
    <x v="1"/>
    <n v="3"/>
    <n v="3"/>
    <s v="Graduate"/>
    <x v="1"/>
    <n v="1"/>
    <n v="15"/>
    <n v="15"/>
    <x v="0"/>
    <n v="0"/>
    <x v="0"/>
    <n v="0"/>
    <n v="1"/>
    <n v="0"/>
    <n v="274"/>
    <n v="274"/>
    <x v="0"/>
    <n v="158"/>
    <n v="97"/>
    <n v="22.83"/>
    <n v="22.83"/>
    <x v="1"/>
    <n v="92"/>
    <n v="92"/>
    <n v="78"/>
    <n v="78"/>
    <x v="0"/>
    <x v="0"/>
  </r>
  <r>
    <n v="0"/>
    <x v="0"/>
    <n v="46"/>
    <x v="1"/>
    <n v="3"/>
    <n v="3"/>
    <s v="Graduate"/>
    <x v="1"/>
    <n v="1"/>
    <n v="10"/>
    <n v="10"/>
    <x v="0"/>
    <n v="0"/>
    <x v="0"/>
    <n v="0"/>
    <n v="0"/>
    <n v="0"/>
    <n v="205"/>
    <n v="205"/>
    <x v="1"/>
    <n v="115"/>
    <n v="75"/>
    <n v="19.48"/>
    <n v="19.48"/>
    <x v="1"/>
    <n v="55"/>
    <n v="55"/>
    <n v="78"/>
    <n v="78"/>
    <x v="0"/>
    <x v="0"/>
  </r>
  <r>
    <n v="1"/>
    <x v="1"/>
    <n v="46"/>
    <x v="1"/>
    <n v="1"/>
    <n v="1"/>
    <s v="Primary"/>
    <x v="2"/>
    <n v="1"/>
    <n v="20"/>
    <n v="20"/>
    <x v="0"/>
    <n v="0"/>
    <x v="0"/>
    <n v="0"/>
    <n v="0"/>
    <n v="0"/>
    <n v="288"/>
    <n v="288"/>
    <x v="0"/>
    <n v="131"/>
    <n v="81"/>
    <n v="25.94"/>
    <n v="25.94"/>
    <x v="0"/>
    <n v="90"/>
    <n v="90"/>
    <n v="80"/>
    <n v="80"/>
    <x v="0"/>
    <x v="0"/>
  </r>
  <r>
    <n v="0"/>
    <x v="0"/>
    <n v="46"/>
    <x v="1"/>
    <n v="2"/>
    <n v="2"/>
    <s v="Secondary"/>
    <x v="0"/>
    <n v="1"/>
    <n v="15"/>
    <n v="15"/>
    <x v="0"/>
    <n v="0"/>
    <x v="0"/>
    <n v="0"/>
    <n v="0"/>
    <n v="1"/>
    <n v="233"/>
    <n v="233"/>
    <x v="1"/>
    <n v="106"/>
    <n v="60"/>
    <n v="20.84"/>
    <n v="20.84"/>
    <x v="1"/>
    <n v="75"/>
    <n v="75"/>
    <n v="348"/>
    <n v="348"/>
    <x v="0"/>
    <x v="0"/>
  </r>
  <r>
    <n v="0"/>
    <x v="0"/>
    <n v="46"/>
    <x v="1"/>
    <n v="1"/>
    <n v="1"/>
    <s v="Primary"/>
    <x v="2"/>
    <n v="0"/>
    <n v="0"/>
    <n v="0"/>
    <x v="1"/>
    <n v="0"/>
    <x v="0"/>
    <n v="0"/>
    <n v="0"/>
    <n v="0"/>
    <n v="199"/>
    <n v="199"/>
    <x v="1"/>
    <n v="102"/>
    <n v="56"/>
    <n v="21.96"/>
    <n v="21.96"/>
    <x v="1"/>
    <n v="80"/>
    <n v="80"/>
    <n v="84"/>
    <n v="84"/>
    <x v="0"/>
    <x v="0"/>
  </r>
  <r>
    <n v="0"/>
    <x v="0"/>
    <n v="46"/>
    <x v="1"/>
    <n v="2"/>
    <n v="2"/>
    <s v="Secondary"/>
    <x v="0"/>
    <n v="1"/>
    <n v="20"/>
    <n v="20"/>
    <x v="0"/>
    <n v="0"/>
    <x v="0"/>
    <n v="0"/>
    <n v="0"/>
    <n v="0"/>
    <n v="291"/>
    <n v="291"/>
    <x v="0"/>
    <n v="124"/>
    <n v="81"/>
    <n v="22.02"/>
    <n v="22.02"/>
    <x v="1"/>
    <n v="78"/>
    <n v="78"/>
    <s v="NA"/>
    <n v="81.96365524402907"/>
    <x v="0"/>
    <x v="1"/>
  </r>
  <r>
    <n v="1"/>
    <x v="1"/>
    <n v="46"/>
    <x v="1"/>
    <s v="NA"/>
    <n v="1"/>
    <s v="Primary"/>
    <x v="2"/>
    <n v="0"/>
    <n v="0"/>
    <n v="0"/>
    <x v="1"/>
    <n v="0"/>
    <x v="0"/>
    <n v="0"/>
    <n v="0"/>
    <n v="0"/>
    <n v="188"/>
    <n v="188"/>
    <x v="1"/>
    <n v="135"/>
    <n v="95"/>
    <n v="26.84"/>
    <n v="26.84"/>
    <x v="0"/>
    <n v="60"/>
    <n v="60"/>
    <n v="78"/>
    <n v="78"/>
    <x v="0"/>
    <x v="0"/>
  </r>
  <r>
    <n v="0"/>
    <x v="0"/>
    <n v="46"/>
    <x v="1"/>
    <n v="1"/>
    <n v="1"/>
    <s v="Primary"/>
    <x v="2"/>
    <n v="1"/>
    <n v="10"/>
    <n v="10"/>
    <x v="0"/>
    <n v="0"/>
    <x v="0"/>
    <n v="0"/>
    <n v="0"/>
    <n v="0"/>
    <n v="263"/>
    <n v="263"/>
    <x v="0"/>
    <n v="110"/>
    <n v="65"/>
    <n v="27.27"/>
    <n v="27.27"/>
    <x v="0"/>
    <n v="84"/>
    <n v="84"/>
    <n v="73"/>
    <n v="73"/>
    <x v="0"/>
    <x v="0"/>
  </r>
  <r>
    <n v="0"/>
    <x v="0"/>
    <n v="46"/>
    <x v="1"/>
    <n v="1"/>
    <n v="1"/>
    <s v="Primary"/>
    <x v="2"/>
    <n v="0"/>
    <n v="0"/>
    <n v="0"/>
    <x v="1"/>
    <n v="0"/>
    <x v="0"/>
    <n v="0"/>
    <n v="0"/>
    <n v="0"/>
    <n v="212"/>
    <n v="212"/>
    <x v="1"/>
    <n v="118"/>
    <n v="79"/>
    <n v="26.83"/>
    <n v="26.83"/>
    <x v="0"/>
    <n v="70"/>
    <n v="70"/>
    <n v="72"/>
    <n v="72"/>
    <x v="0"/>
    <x v="0"/>
  </r>
  <r>
    <n v="0"/>
    <x v="0"/>
    <n v="46"/>
    <x v="1"/>
    <n v="1"/>
    <n v="1"/>
    <s v="Primary"/>
    <x v="2"/>
    <n v="1"/>
    <n v="10"/>
    <n v="10"/>
    <x v="0"/>
    <n v="0"/>
    <x v="0"/>
    <n v="0"/>
    <n v="0"/>
    <n v="0"/>
    <n v="202"/>
    <n v="202"/>
    <x v="1"/>
    <n v="157"/>
    <n v="94"/>
    <n v="19.37"/>
    <n v="19.37"/>
    <x v="1"/>
    <n v="88"/>
    <n v="88"/>
    <n v="65"/>
    <n v="65"/>
    <x v="0"/>
    <x v="0"/>
  </r>
  <r>
    <n v="0"/>
    <x v="0"/>
    <n v="46"/>
    <x v="1"/>
    <n v="2"/>
    <n v="2"/>
    <s v="Secondary"/>
    <x v="0"/>
    <n v="0"/>
    <n v="0"/>
    <n v="0"/>
    <x v="1"/>
    <n v="0"/>
    <x v="0"/>
    <n v="0"/>
    <n v="0"/>
    <n v="0"/>
    <n v="203"/>
    <n v="203"/>
    <x v="1"/>
    <n v="129"/>
    <n v="77"/>
    <n v="29.29"/>
    <n v="29.29"/>
    <x v="0"/>
    <n v="102"/>
    <n v="102"/>
    <n v="97"/>
    <n v="97"/>
    <x v="0"/>
    <x v="0"/>
  </r>
  <r>
    <n v="0"/>
    <x v="0"/>
    <n v="46"/>
    <x v="1"/>
    <n v="1"/>
    <n v="1"/>
    <s v="Primary"/>
    <x v="2"/>
    <n v="0"/>
    <n v="0"/>
    <n v="0"/>
    <x v="1"/>
    <n v="0"/>
    <x v="0"/>
    <n v="0"/>
    <n v="0"/>
    <n v="0"/>
    <n v="325"/>
    <n v="325"/>
    <x v="0"/>
    <n v="119"/>
    <n v="86"/>
    <n v="35.130000000000003"/>
    <n v="35.130000000000003"/>
    <x v="2"/>
    <n v="68"/>
    <n v="68"/>
    <n v="64"/>
    <n v="64"/>
    <x v="0"/>
    <x v="0"/>
  </r>
  <r>
    <n v="1"/>
    <x v="1"/>
    <n v="46"/>
    <x v="1"/>
    <n v="4"/>
    <n v="4"/>
    <s v="Post Graduate"/>
    <x v="3"/>
    <n v="1"/>
    <n v="20"/>
    <n v="20"/>
    <x v="0"/>
    <n v="0"/>
    <x v="0"/>
    <n v="0"/>
    <n v="0"/>
    <n v="0"/>
    <n v="200"/>
    <n v="200"/>
    <x v="1"/>
    <n v="110"/>
    <n v="72"/>
    <n v="28.61"/>
    <n v="28.61"/>
    <x v="0"/>
    <n v="70"/>
    <n v="70"/>
    <n v="75"/>
    <n v="75"/>
    <x v="0"/>
    <x v="0"/>
  </r>
  <r>
    <n v="0"/>
    <x v="0"/>
    <n v="46"/>
    <x v="1"/>
    <n v="3"/>
    <n v="3"/>
    <s v="Graduate"/>
    <x v="1"/>
    <n v="0"/>
    <n v="0"/>
    <n v="0"/>
    <x v="1"/>
    <n v="0"/>
    <x v="0"/>
    <n v="0"/>
    <n v="0"/>
    <n v="0"/>
    <n v="277"/>
    <n v="277"/>
    <x v="0"/>
    <n v="122.5"/>
    <n v="77.5"/>
    <n v="27.42"/>
    <n v="27.42"/>
    <x v="0"/>
    <n v="63"/>
    <n v="63"/>
    <n v="77"/>
    <n v="77"/>
    <x v="0"/>
    <x v="0"/>
  </r>
  <r>
    <n v="1"/>
    <x v="1"/>
    <n v="46"/>
    <x v="1"/>
    <n v="2"/>
    <n v="2"/>
    <s v="Secondary"/>
    <x v="0"/>
    <n v="0"/>
    <n v="0"/>
    <n v="0"/>
    <x v="1"/>
    <n v="0"/>
    <x v="0"/>
    <n v="0"/>
    <n v="1"/>
    <n v="0"/>
    <n v="254"/>
    <n v="254"/>
    <x v="0"/>
    <n v="135"/>
    <n v="100"/>
    <n v="27.86"/>
    <n v="27.86"/>
    <x v="0"/>
    <n v="83"/>
    <n v="83"/>
    <n v="75"/>
    <n v="75"/>
    <x v="0"/>
    <x v="0"/>
  </r>
  <r>
    <n v="0"/>
    <x v="0"/>
    <n v="46"/>
    <x v="1"/>
    <n v="3"/>
    <n v="3"/>
    <s v="Graduate"/>
    <x v="1"/>
    <n v="1"/>
    <n v="1"/>
    <n v="1"/>
    <x v="0"/>
    <n v="0"/>
    <x v="0"/>
    <n v="0"/>
    <n v="1"/>
    <n v="0"/>
    <n v="332"/>
    <n v="332"/>
    <x v="0"/>
    <n v="162.5"/>
    <n v="92.5"/>
    <n v="26.13"/>
    <n v="26.13"/>
    <x v="0"/>
    <n v="67"/>
    <n v="67"/>
    <n v="67"/>
    <n v="67"/>
    <x v="0"/>
    <x v="0"/>
  </r>
  <r>
    <n v="0"/>
    <x v="0"/>
    <n v="46"/>
    <x v="1"/>
    <n v="3"/>
    <n v="3"/>
    <s v="Graduate"/>
    <x v="1"/>
    <n v="1"/>
    <n v="20"/>
    <n v="20"/>
    <x v="0"/>
    <n v="0"/>
    <x v="0"/>
    <n v="0"/>
    <n v="0"/>
    <n v="0"/>
    <n v="259"/>
    <n v="259"/>
    <x v="0"/>
    <n v="129"/>
    <n v="83"/>
    <n v="22.91"/>
    <n v="22.91"/>
    <x v="1"/>
    <n v="66"/>
    <n v="66"/>
    <n v="84"/>
    <n v="84"/>
    <x v="0"/>
    <x v="0"/>
  </r>
  <r>
    <n v="1"/>
    <x v="1"/>
    <n v="46"/>
    <x v="1"/>
    <n v="2"/>
    <n v="2"/>
    <s v="Secondary"/>
    <x v="0"/>
    <n v="1"/>
    <n v="20"/>
    <n v="20"/>
    <x v="0"/>
    <n v="0"/>
    <x v="0"/>
    <n v="0"/>
    <n v="0"/>
    <n v="0"/>
    <n v="214"/>
    <n v="214"/>
    <x v="1"/>
    <n v="110"/>
    <n v="73"/>
    <n v="18.100000000000001"/>
    <n v="18.100000000000001"/>
    <x v="3"/>
    <n v="60"/>
    <n v="60"/>
    <n v="60"/>
    <n v="60"/>
    <x v="0"/>
    <x v="0"/>
  </r>
  <r>
    <n v="0"/>
    <x v="0"/>
    <n v="46"/>
    <x v="1"/>
    <n v="1"/>
    <n v="1"/>
    <s v="Primary"/>
    <x v="2"/>
    <n v="0"/>
    <n v="0"/>
    <n v="0"/>
    <x v="1"/>
    <n v="0"/>
    <x v="0"/>
    <n v="0"/>
    <n v="1"/>
    <n v="0"/>
    <n v="246"/>
    <n v="246"/>
    <x v="0"/>
    <n v="142.5"/>
    <n v="95"/>
    <n v="24.28"/>
    <n v="24.28"/>
    <x v="1"/>
    <n v="88"/>
    <n v="88"/>
    <n v="99"/>
    <n v="99"/>
    <x v="0"/>
    <x v="0"/>
  </r>
  <r>
    <n v="0"/>
    <x v="0"/>
    <n v="46"/>
    <x v="1"/>
    <n v="2"/>
    <n v="2"/>
    <s v="Secondary"/>
    <x v="0"/>
    <n v="0"/>
    <n v="0"/>
    <n v="0"/>
    <x v="1"/>
    <n v="0"/>
    <x v="0"/>
    <n v="0"/>
    <n v="0"/>
    <n v="0"/>
    <n v="247"/>
    <n v="247"/>
    <x v="0"/>
    <n v="115"/>
    <n v="71"/>
    <n v="27.72"/>
    <n v="27.72"/>
    <x v="0"/>
    <n v="82"/>
    <n v="82"/>
    <n v="69"/>
    <n v="69"/>
    <x v="0"/>
    <x v="0"/>
  </r>
  <r>
    <n v="0"/>
    <x v="0"/>
    <n v="46"/>
    <x v="1"/>
    <n v="2"/>
    <n v="2"/>
    <s v="Secondary"/>
    <x v="0"/>
    <n v="0"/>
    <n v="0"/>
    <n v="0"/>
    <x v="1"/>
    <n v="0"/>
    <x v="0"/>
    <n v="0"/>
    <n v="0"/>
    <n v="0"/>
    <n v="229"/>
    <n v="229"/>
    <x v="1"/>
    <n v="125"/>
    <n v="80"/>
    <n v="27.27"/>
    <n v="27.27"/>
    <x v="0"/>
    <n v="66"/>
    <n v="66"/>
    <n v="80"/>
    <n v="80"/>
    <x v="0"/>
    <x v="0"/>
  </r>
  <r>
    <n v="0"/>
    <x v="0"/>
    <n v="46"/>
    <x v="1"/>
    <n v="2"/>
    <n v="2"/>
    <s v="Secondary"/>
    <x v="0"/>
    <n v="1"/>
    <n v="7"/>
    <n v="7"/>
    <x v="0"/>
    <n v="1"/>
    <x v="1"/>
    <n v="0"/>
    <n v="1"/>
    <n v="0"/>
    <n v="282"/>
    <n v="282"/>
    <x v="0"/>
    <n v="176"/>
    <n v="98"/>
    <n v="33.020000000000003"/>
    <n v="33.020000000000003"/>
    <x v="2"/>
    <n v="85"/>
    <n v="85"/>
    <n v="78"/>
    <n v="78"/>
    <x v="0"/>
    <x v="0"/>
  </r>
  <r>
    <n v="1"/>
    <x v="1"/>
    <n v="46"/>
    <x v="1"/>
    <n v="1"/>
    <n v="1"/>
    <s v="Primary"/>
    <x v="2"/>
    <n v="1"/>
    <n v="20"/>
    <n v="20"/>
    <x v="0"/>
    <n v="0"/>
    <x v="0"/>
    <n v="0"/>
    <n v="0"/>
    <n v="0"/>
    <n v="247"/>
    <n v="247"/>
    <x v="0"/>
    <n v="134"/>
    <n v="96"/>
    <n v="32.47"/>
    <n v="32.47"/>
    <x v="2"/>
    <n v="80"/>
    <n v="80"/>
    <n v="72"/>
    <n v="72"/>
    <x v="0"/>
    <x v="0"/>
  </r>
  <r>
    <n v="0"/>
    <x v="0"/>
    <n v="46"/>
    <x v="1"/>
    <n v="1"/>
    <n v="1"/>
    <s v="Primary"/>
    <x v="2"/>
    <n v="0"/>
    <n v="0"/>
    <n v="0"/>
    <x v="1"/>
    <n v="0"/>
    <x v="0"/>
    <n v="0"/>
    <n v="0"/>
    <n v="0"/>
    <n v="222"/>
    <n v="222"/>
    <x v="1"/>
    <n v="116"/>
    <n v="80"/>
    <n v="24.62"/>
    <n v="24.62"/>
    <x v="1"/>
    <n v="75"/>
    <n v="75"/>
    <n v="87"/>
    <n v="87"/>
    <x v="0"/>
    <x v="0"/>
  </r>
  <r>
    <n v="0"/>
    <x v="0"/>
    <n v="46"/>
    <x v="1"/>
    <n v="1"/>
    <n v="1"/>
    <s v="Primary"/>
    <x v="2"/>
    <n v="0"/>
    <n v="0"/>
    <n v="0"/>
    <x v="1"/>
    <n v="0"/>
    <x v="0"/>
    <n v="0"/>
    <n v="0"/>
    <n v="0"/>
    <n v="213"/>
    <n v="213"/>
    <x v="1"/>
    <n v="136"/>
    <n v="77"/>
    <n v="31.02"/>
    <n v="31.02"/>
    <x v="2"/>
    <n v="75"/>
    <n v="75"/>
    <n v="73"/>
    <n v="73"/>
    <x v="0"/>
    <x v="0"/>
  </r>
  <r>
    <n v="1"/>
    <x v="1"/>
    <n v="47"/>
    <x v="1"/>
    <n v="4"/>
    <n v="4"/>
    <s v="Post Graduate"/>
    <x v="3"/>
    <n v="1"/>
    <n v="20"/>
    <n v="20"/>
    <x v="0"/>
    <n v="0"/>
    <x v="0"/>
    <n v="0"/>
    <n v="0"/>
    <n v="0"/>
    <n v="294"/>
    <n v="294"/>
    <x v="0"/>
    <n v="102"/>
    <n v="68"/>
    <n v="24.18"/>
    <n v="24.18"/>
    <x v="1"/>
    <n v="62"/>
    <n v="62"/>
    <n v="66"/>
    <n v="66"/>
    <x v="0"/>
    <x v="1"/>
  </r>
  <r>
    <n v="0"/>
    <x v="0"/>
    <n v="47"/>
    <x v="1"/>
    <n v="2"/>
    <n v="2"/>
    <s v="Secondary"/>
    <x v="0"/>
    <n v="1"/>
    <n v="20"/>
    <n v="20"/>
    <x v="0"/>
    <n v="0"/>
    <x v="0"/>
    <n v="0"/>
    <n v="0"/>
    <n v="0"/>
    <n v="237"/>
    <n v="237"/>
    <x v="1"/>
    <n v="130"/>
    <n v="78"/>
    <n v="19.66"/>
    <n v="19.66"/>
    <x v="1"/>
    <n v="80"/>
    <n v="80"/>
    <n v="75"/>
    <n v="75"/>
    <x v="0"/>
    <x v="0"/>
  </r>
  <r>
    <n v="0"/>
    <x v="0"/>
    <n v="47"/>
    <x v="1"/>
    <n v="2"/>
    <n v="2"/>
    <s v="Secondary"/>
    <x v="0"/>
    <n v="1"/>
    <n v="20"/>
    <n v="20"/>
    <x v="0"/>
    <n v="0"/>
    <x v="0"/>
    <n v="0"/>
    <n v="0"/>
    <n v="0"/>
    <n v="300"/>
    <n v="300"/>
    <x v="0"/>
    <n v="112.5"/>
    <n v="60"/>
    <n v="20.13"/>
    <n v="20.13"/>
    <x v="1"/>
    <n v="76"/>
    <n v="76"/>
    <n v="83"/>
    <n v="83"/>
    <x v="0"/>
    <x v="0"/>
  </r>
  <r>
    <n v="0"/>
    <x v="0"/>
    <n v="47"/>
    <x v="1"/>
    <n v="2"/>
    <n v="2"/>
    <s v="Secondary"/>
    <x v="0"/>
    <n v="1"/>
    <n v="20"/>
    <n v="20"/>
    <x v="0"/>
    <n v="0"/>
    <x v="0"/>
    <n v="0"/>
    <n v="0"/>
    <n v="0"/>
    <n v="220"/>
    <n v="220"/>
    <x v="1"/>
    <n v="132.5"/>
    <n v="87"/>
    <n v="27.98"/>
    <n v="27.98"/>
    <x v="0"/>
    <n v="65"/>
    <n v="65"/>
    <n v="75"/>
    <n v="75"/>
    <x v="0"/>
    <x v="0"/>
  </r>
  <r>
    <n v="0"/>
    <x v="0"/>
    <n v="47"/>
    <x v="1"/>
    <n v="3"/>
    <n v="3"/>
    <s v="Graduate"/>
    <x v="1"/>
    <n v="0"/>
    <n v="0"/>
    <n v="0"/>
    <x v="1"/>
    <n v="0"/>
    <x v="0"/>
    <n v="0"/>
    <n v="1"/>
    <n v="0"/>
    <n v="219"/>
    <n v="219"/>
    <x v="1"/>
    <n v="153"/>
    <n v="98"/>
    <n v="22.02"/>
    <n v="22.02"/>
    <x v="1"/>
    <n v="80"/>
    <n v="80"/>
    <n v="92"/>
    <n v="92"/>
    <x v="0"/>
    <x v="0"/>
  </r>
  <r>
    <n v="0"/>
    <x v="0"/>
    <n v="47"/>
    <x v="1"/>
    <n v="2"/>
    <n v="2"/>
    <s v="Secondary"/>
    <x v="0"/>
    <n v="0"/>
    <n v="0"/>
    <n v="0"/>
    <x v="1"/>
    <n v="0"/>
    <x v="0"/>
    <n v="0"/>
    <n v="0"/>
    <n v="0"/>
    <n v="174"/>
    <n v="174"/>
    <x v="1"/>
    <n v="118"/>
    <n v="86.5"/>
    <n v="26.15"/>
    <n v="26.15"/>
    <x v="0"/>
    <n v="110"/>
    <n v="110"/>
    <n v="86"/>
    <n v="86"/>
    <x v="0"/>
    <x v="0"/>
  </r>
  <r>
    <n v="1"/>
    <x v="1"/>
    <n v="47"/>
    <x v="1"/>
    <n v="1"/>
    <n v="1"/>
    <s v="Primary"/>
    <x v="2"/>
    <n v="1"/>
    <n v="20"/>
    <n v="20"/>
    <x v="0"/>
    <n v="0"/>
    <x v="0"/>
    <n v="0"/>
    <n v="0"/>
    <n v="0"/>
    <n v="284"/>
    <n v="284"/>
    <x v="0"/>
    <n v="137"/>
    <n v="91"/>
    <n v="27.33"/>
    <n v="27.33"/>
    <x v="0"/>
    <n v="73"/>
    <n v="73"/>
    <n v="61"/>
    <n v="61"/>
    <x v="0"/>
    <x v="0"/>
  </r>
  <r>
    <n v="0"/>
    <x v="0"/>
    <n v="47"/>
    <x v="1"/>
    <n v="1"/>
    <n v="1"/>
    <s v="Primary"/>
    <x v="2"/>
    <n v="1"/>
    <n v="25"/>
    <n v="25"/>
    <x v="0"/>
    <n v="0"/>
    <x v="0"/>
    <n v="0"/>
    <n v="1"/>
    <n v="1"/>
    <n v="258"/>
    <n v="258"/>
    <x v="0"/>
    <n v="195"/>
    <n v="90"/>
    <s v="NA"/>
    <n v="25.80080075811421"/>
    <x v="0"/>
    <n v="86"/>
    <n v="86"/>
    <s v="NA"/>
    <n v="81.96365524402907"/>
    <x v="0"/>
    <x v="1"/>
  </r>
  <r>
    <n v="0"/>
    <x v="0"/>
    <n v="47"/>
    <x v="1"/>
    <n v="3"/>
    <n v="3"/>
    <s v="Graduate"/>
    <x v="1"/>
    <n v="0"/>
    <n v="0"/>
    <n v="0"/>
    <x v="1"/>
    <n v="0"/>
    <x v="0"/>
    <n v="0"/>
    <n v="0"/>
    <n v="0"/>
    <n v="250"/>
    <n v="250"/>
    <x v="0"/>
    <n v="114"/>
    <n v="77"/>
    <n v="24.16"/>
    <n v="24.16"/>
    <x v="1"/>
    <n v="80"/>
    <n v="80"/>
    <n v="93"/>
    <n v="93"/>
    <x v="0"/>
    <x v="0"/>
  </r>
  <r>
    <n v="0"/>
    <x v="0"/>
    <n v="47"/>
    <x v="1"/>
    <n v="2"/>
    <n v="2"/>
    <s v="Secondary"/>
    <x v="0"/>
    <n v="1"/>
    <n v="3"/>
    <n v="3"/>
    <x v="0"/>
    <n v="0"/>
    <x v="0"/>
    <n v="0"/>
    <n v="0"/>
    <n v="0"/>
    <n v="155"/>
    <n v="155"/>
    <x v="1"/>
    <n v="122.5"/>
    <n v="77.5"/>
    <n v="21.34"/>
    <n v="21.34"/>
    <x v="1"/>
    <n v="65"/>
    <n v="65"/>
    <n v="78"/>
    <n v="78"/>
    <x v="0"/>
    <x v="0"/>
  </r>
  <r>
    <n v="0"/>
    <x v="0"/>
    <n v="47"/>
    <x v="1"/>
    <n v="1"/>
    <n v="1"/>
    <s v="Primary"/>
    <x v="2"/>
    <n v="0"/>
    <n v="0"/>
    <n v="0"/>
    <x v="1"/>
    <n v="0"/>
    <x v="0"/>
    <n v="0"/>
    <n v="0"/>
    <n v="0"/>
    <n v="234"/>
    <n v="234"/>
    <x v="1"/>
    <n v="127.5"/>
    <n v="83.5"/>
    <n v="27.65"/>
    <n v="27.65"/>
    <x v="0"/>
    <n v="85"/>
    <n v="85"/>
    <n v="89"/>
    <n v="89"/>
    <x v="0"/>
    <x v="0"/>
  </r>
  <r>
    <n v="0"/>
    <x v="0"/>
    <n v="47"/>
    <x v="1"/>
    <n v="2"/>
    <n v="2"/>
    <s v="Secondary"/>
    <x v="0"/>
    <n v="1"/>
    <n v="10"/>
    <n v="10"/>
    <x v="0"/>
    <n v="1"/>
    <x v="1"/>
    <n v="0"/>
    <n v="1"/>
    <n v="0"/>
    <n v="186"/>
    <n v="186"/>
    <x v="1"/>
    <n v="150"/>
    <n v="85"/>
    <n v="22.53"/>
    <n v="22.53"/>
    <x v="1"/>
    <n v="62"/>
    <n v="62"/>
    <n v="93"/>
    <n v="93"/>
    <x v="0"/>
    <x v="0"/>
  </r>
  <r>
    <n v="0"/>
    <x v="0"/>
    <n v="47"/>
    <x v="1"/>
    <n v="1"/>
    <n v="1"/>
    <s v="Primary"/>
    <x v="2"/>
    <n v="0"/>
    <n v="0"/>
    <n v="0"/>
    <x v="1"/>
    <n v="0"/>
    <x v="0"/>
    <n v="0"/>
    <n v="1"/>
    <n v="0"/>
    <n v="222"/>
    <n v="222"/>
    <x v="1"/>
    <n v="162.5"/>
    <n v="92.5"/>
    <n v="23.45"/>
    <n v="23.45"/>
    <x v="1"/>
    <n v="78"/>
    <n v="78"/>
    <n v="80"/>
    <n v="80"/>
    <x v="0"/>
    <x v="0"/>
  </r>
  <r>
    <n v="0"/>
    <x v="0"/>
    <n v="47"/>
    <x v="1"/>
    <n v="3"/>
    <n v="3"/>
    <s v="Graduate"/>
    <x v="1"/>
    <n v="1"/>
    <n v="5"/>
    <n v="5"/>
    <x v="0"/>
    <n v="0"/>
    <x v="0"/>
    <n v="0"/>
    <n v="0"/>
    <n v="0"/>
    <n v="196"/>
    <n v="196"/>
    <x v="1"/>
    <n v="134"/>
    <n v="86"/>
    <n v="26.2"/>
    <n v="26.2"/>
    <x v="0"/>
    <n v="71"/>
    <n v="71"/>
    <s v="NA"/>
    <n v="81.96365524402907"/>
    <x v="0"/>
    <x v="0"/>
  </r>
  <r>
    <n v="1"/>
    <x v="1"/>
    <n v="47"/>
    <x v="1"/>
    <n v="3"/>
    <n v="3"/>
    <s v="Graduate"/>
    <x v="1"/>
    <n v="1"/>
    <n v="25"/>
    <n v="25"/>
    <x v="0"/>
    <n v="0"/>
    <x v="0"/>
    <n v="0"/>
    <n v="0"/>
    <n v="0"/>
    <n v="261"/>
    <n v="261"/>
    <x v="0"/>
    <n v="105"/>
    <n v="74"/>
    <n v="20.57"/>
    <n v="20.57"/>
    <x v="1"/>
    <n v="85"/>
    <n v="85"/>
    <n v="75"/>
    <n v="75"/>
    <x v="0"/>
    <x v="0"/>
  </r>
  <r>
    <n v="1"/>
    <x v="1"/>
    <n v="47"/>
    <x v="1"/>
    <n v="2"/>
    <n v="2"/>
    <s v="Secondary"/>
    <x v="0"/>
    <n v="1"/>
    <n v="18"/>
    <n v="18"/>
    <x v="0"/>
    <n v="0"/>
    <x v="0"/>
    <n v="0"/>
    <n v="1"/>
    <n v="0"/>
    <n v="439"/>
    <n v="439"/>
    <x v="0"/>
    <n v="145"/>
    <n v="74"/>
    <n v="22.42"/>
    <n v="22.42"/>
    <x v="1"/>
    <n v="100"/>
    <n v="100"/>
    <n v="90"/>
    <n v="90"/>
    <x v="0"/>
    <x v="1"/>
  </r>
  <r>
    <n v="0"/>
    <x v="0"/>
    <n v="47"/>
    <x v="1"/>
    <n v="2"/>
    <n v="2"/>
    <s v="Secondary"/>
    <x v="0"/>
    <n v="0"/>
    <n v="0"/>
    <n v="0"/>
    <x v="1"/>
    <n v="0"/>
    <x v="0"/>
    <n v="0"/>
    <n v="0"/>
    <n v="0"/>
    <n v="223"/>
    <n v="223"/>
    <x v="1"/>
    <n v="120"/>
    <n v="74"/>
    <n v="20.27"/>
    <n v="20.27"/>
    <x v="1"/>
    <n v="80"/>
    <n v="80"/>
    <n v="76"/>
    <n v="76"/>
    <x v="0"/>
    <x v="0"/>
  </r>
  <r>
    <n v="0"/>
    <x v="0"/>
    <n v="47"/>
    <x v="1"/>
    <n v="2"/>
    <n v="2"/>
    <s v="Secondary"/>
    <x v="0"/>
    <n v="1"/>
    <n v="15"/>
    <n v="15"/>
    <x v="0"/>
    <n v="0"/>
    <x v="0"/>
    <n v="0"/>
    <n v="0"/>
    <n v="0"/>
    <n v="246"/>
    <n v="246"/>
    <x v="0"/>
    <n v="113"/>
    <n v="75"/>
    <n v="21.66"/>
    <n v="21.66"/>
    <x v="1"/>
    <n v="68"/>
    <n v="68"/>
    <n v="68"/>
    <n v="68"/>
    <x v="0"/>
    <x v="0"/>
  </r>
  <r>
    <n v="0"/>
    <x v="0"/>
    <n v="47"/>
    <x v="1"/>
    <n v="2"/>
    <n v="2"/>
    <s v="Secondary"/>
    <x v="0"/>
    <n v="1"/>
    <n v="20"/>
    <n v="20"/>
    <x v="0"/>
    <n v="0"/>
    <x v="0"/>
    <n v="0"/>
    <n v="0"/>
    <n v="0"/>
    <n v="272"/>
    <n v="272"/>
    <x v="0"/>
    <n v="127.5"/>
    <n v="87.5"/>
    <n v="22.35"/>
    <n v="22.35"/>
    <x v="1"/>
    <n v="80"/>
    <n v="80"/>
    <n v="72"/>
    <n v="72"/>
    <x v="0"/>
    <x v="0"/>
  </r>
  <r>
    <n v="0"/>
    <x v="0"/>
    <n v="47"/>
    <x v="1"/>
    <n v="3"/>
    <n v="3"/>
    <s v="Graduate"/>
    <x v="1"/>
    <n v="0"/>
    <n v="0"/>
    <n v="0"/>
    <x v="1"/>
    <n v="0"/>
    <x v="0"/>
    <n v="0"/>
    <n v="0"/>
    <n v="0"/>
    <n v="294"/>
    <n v="294"/>
    <x v="0"/>
    <n v="109"/>
    <n v="72.5"/>
    <n v="28.59"/>
    <n v="28.59"/>
    <x v="0"/>
    <n v="82"/>
    <n v="82"/>
    <n v="77"/>
    <n v="77"/>
    <x v="0"/>
    <x v="0"/>
  </r>
  <r>
    <n v="1"/>
    <x v="1"/>
    <n v="47"/>
    <x v="1"/>
    <n v="1"/>
    <n v="1"/>
    <s v="Primary"/>
    <x v="2"/>
    <n v="1"/>
    <n v="30"/>
    <n v="30"/>
    <x v="0"/>
    <n v="0"/>
    <x v="0"/>
    <n v="0"/>
    <n v="0"/>
    <n v="0"/>
    <n v="143"/>
    <n v="143"/>
    <x v="1"/>
    <n v="114"/>
    <n v="79"/>
    <n v="26.59"/>
    <n v="26.59"/>
    <x v="0"/>
    <n v="69"/>
    <n v="69"/>
    <n v="72"/>
    <n v="72"/>
    <x v="0"/>
    <x v="1"/>
  </r>
  <r>
    <n v="0"/>
    <x v="0"/>
    <n v="47"/>
    <x v="1"/>
    <n v="4"/>
    <n v="4"/>
    <s v="Post Graduate"/>
    <x v="3"/>
    <n v="0"/>
    <n v="0"/>
    <n v="0"/>
    <x v="1"/>
    <n v="0"/>
    <x v="0"/>
    <n v="0"/>
    <n v="0"/>
    <n v="0"/>
    <n v="230"/>
    <n v="230"/>
    <x v="1"/>
    <n v="119"/>
    <n v="87"/>
    <n v="29.23"/>
    <n v="29.23"/>
    <x v="0"/>
    <n v="75"/>
    <n v="75"/>
    <s v="NA"/>
    <n v="81.96365524402907"/>
    <x v="0"/>
    <x v="0"/>
  </r>
  <r>
    <n v="1"/>
    <x v="1"/>
    <n v="47"/>
    <x v="1"/>
    <n v="4"/>
    <n v="4"/>
    <s v="Post Graduate"/>
    <x v="3"/>
    <n v="1"/>
    <n v="9"/>
    <n v="9"/>
    <x v="0"/>
    <n v="0"/>
    <x v="0"/>
    <n v="0"/>
    <n v="0"/>
    <n v="0"/>
    <n v="184"/>
    <n v="184"/>
    <x v="1"/>
    <n v="107"/>
    <n v="66.5"/>
    <n v="16.87"/>
    <n v="16.87"/>
    <x v="3"/>
    <n v="65"/>
    <n v="65"/>
    <n v="70"/>
    <n v="70"/>
    <x v="0"/>
    <x v="0"/>
  </r>
  <r>
    <n v="1"/>
    <x v="1"/>
    <n v="47"/>
    <x v="1"/>
    <n v="3"/>
    <n v="3"/>
    <s v="Graduate"/>
    <x v="1"/>
    <n v="1"/>
    <n v="20"/>
    <n v="20"/>
    <x v="0"/>
    <n v="0"/>
    <x v="0"/>
    <n v="0"/>
    <n v="1"/>
    <n v="0"/>
    <n v="177"/>
    <n v="177"/>
    <x v="1"/>
    <n v="150"/>
    <n v="101"/>
    <n v="28.96"/>
    <n v="28.96"/>
    <x v="0"/>
    <n v="75"/>
    <n v="75"/>
    <n v="60"/>
    <n v="60"/>
    <x v="0"/>
    <x v="0"/>
  </r>
  <r>
    <n v="1"/>
    <x v="1"/>
    <n v="47"/>
    <x v="1"/>
    <n v="2"/>
    <n v="2"/>
    <s v="Secondary"/>
    <x v="0"/>
    <n v="0"/>
    <n v="0"/>
    <n v="0"/>
    <x v="1"/>
    <n v="0"/>
    <x v="0"/>
    <n v="0"/>
    <n v="1"/>
    <n v="0"/>
    <n v="219"/>
    <n v="219"/>
    <x v="1"/>
    <n v="132"/>
    <n v="91"/>
    <n v="27.93"/>
    <n v="27.93"/>
    <x v="0"/>
    <n v="75"/>
    <n v="75"/>
    <n v="80"/>
    <n v="80"/>
    <x v="0"/>
    <x v="1"/>
  </r>
  <r>
    <n v="0"/>
    <x v="0"/>
    <n v="47"/>
    <x v="1"/>
    <n v="2"/>
    <n v="2"/>
    <s v="Secondary"/>
    <x v="0"/>
    <n v="1"/>
    <n v="10"/>
    <n v="10"/>
    <x v="0"/>
    <n v="0"/>
    <x v="0"/>
    <n v="0"/>
    <n v="0"/>
    <n v="0"/>
    <n v="191"/>
    <n v="191"/>
    <x v="1"/>
    <n v="125"/>
    <n v="72.5"/>
    <n v="23.81"/>
    <n v="23.81"/>
    <x v="1"/>
    <n v="75"/>
    <n v="75"/>
    <n v="85"/>
    <n v="85"/>
    <x v="0"/>
    <x v="0"/>
  </r>
  <r>
    <n v="0"/>
    <x v="0"/>
    <n v="47"/>
    <x v="1"/>
    <n v="2"/>
    <n v="2"/>
    <s v="Secondary"/>
    <x v="0"/>
    <n v="1"/>
    <n v="20"/>
    <n v="20"/>
    <x v="0"/>
    <n v="0"/>
    <x v="0"/>
    <n v="0"/>
    <n v="0"/>
    <n v="0"/>
    <n v="328"/>
    <n v="328"/>
    <x v="0"/>
    <n v="134"/>
    <n v="87"/>
    <n v="22.34"/>
    <n v="22.34"/>
    <x v="1"/>
    <n v="92"/>
    <n v="92"/>
    <n v="99"/>
    <n v="99"/>
    <x v="0"/>
    <x v="0"/>
  </r>
  <r>
    <n v="0"/>
    <x v="0"/>
    <n v="47"/>
    <x v="1"/>
    <n v="2"/>
    <n v="2"/>
    <s v="Secondary"/>
    <x v="0"/>
    <n v="1"/>
    <n v="6"/>
    <n v="6"/>
    <x v="0"/>
    <n v="0"/>
    <x v="0"/>
    <n v="0"/>
    <n v="0"/>
    <n v="0"/>
    <n v="234"/>
    <n v="234"/>
    <x v="1"/>
    <n v="128"/>
    <n v="91"/>
    <n v="25.59"/>
    <n v="25.59"/>
    <x v="0"/>
    <n v="80"/>
    <n v="80"/>
    <n v="93"/>
    <n v="93"/>
    <x v="0"/>
    <x v="0"/>
  </r>
  <r>
    <n v="0"/>
    <x v="0"/>
    <n v="47"/>
    <x v="1"/>
    <n v="1"/>
    <n v="1"/>
    <s v="Primary"/>
    <x v="2"/>
    <n v="0"/>
    <n v="0"/>
    <n v="0"/>
    <x v="1"/>
    <n v="0"/>
    <x v="0"/>
    <n v="0"/>
    <n v="0"/>
    <n v="0"/>
    <n v="232"/>
    <n v="232"/>
    <x v="1"/>
    <n v="113.5"/>
    <n v="73"/>
    <n v="28.78"/>
    <n v="28.78"/>
    <x v="0"/>
    <n v="75"/>
    <n v="75"/>
    <n v="77"/>
    <n v="77"/>
    <x v="0"/>
    <x v="0"/>
  </r>
  <r>
    <n v="1"/>
    <x v="1"/>
    <n v="47"/>
    <x v="1"/>
    <s v="NA"/>
    <n v="1"/>
    <s v="Primary"/>
    <x v="2"/>
    <n v="1"/>
    <n v="25"/>
    <n v="25"/>
    <x v="0"/>
    <n v="0"/>
    <x v="0"/>
    <n v="0"/>
    <n v="1"/>
    <n v="0"/>
    <n v="236"/>
    <n v="236"/>
    <x v="1"/>
    <n v="154"/>
    <n v="93"/>
    <n v="24.49"/>
    <n v="24.49"/>
    <x v="1"/>
    <n v="94"/>
    <n v="94"/>
    <n v="76"/>
    <n v="76"/>
    <x v="0"/>
    <x v="1"/>
  </r>
  <r>
    <n v="0"/>
    <x v="0"/>
    <n v="47"/>
    <x v="1"/>
    <n v="2"/>
    <n v="2"/>
    <s v="Secondary"/>
    <x v="0"/>
    <n v="1"/>
    <n v="2"/>
    <n v="2"/>
    <x v="0"/>
    <n v="0"/>
    <x v="0"/>
    <n v="0"/>
    <n v="0"/>
    <n v="0"/>
    <n v="232"/>
    <n v="232"/>
    <x v="1"/>
    <n v="133"/>
    <n v="86"/>
    <n v="20.149999999999999"/>
    <n v="20.149999999999999"/>
    <x v="1"/>
    <n v="72"/>
    <n v="72"/>
    <n v="74"/>
    <n v="74"/>
    <x v="0"/>
    <x v="0"/>
  </r>
  <r>
    <n v="0"/>
    <x v="0"/>
    <n v="47"/>
    <x v="1"/>
    <n v="1"/>
    <n v="1"/>
    <s v="Primary"/>
    <x v="2"/>
    <n v="1"/>
    <n v="40"/>
    <n v="40"/>
    <x v="0"/>
    <n v="0"/>
    <x v="0"/>
    <n v="0"/>
    <n v="1"/>
    <n v="0"/>
    <n v="247"/>
    <n v="247"/>
    <x v="0"/>
    <n v="160"/>
    <n v="85"/>
    <n v="27.05"/>
    <n v="27.05"/>
    <x v="0"/>
    <n v="75"/>
    <n v="75"/>
    <n v="77"/>
    <n v="77"/>
    <x v="0"/>
    <x v="0"/>
  </r>
  <r>
    <n v="0"/>
    <x v="0"/>
    <n v="47"/>
    <x v="1"/>
    <n v="3"/>
    <n v="3"/>
    <s v="Graduate"/>
    <x v="1"/>
    <n v="1"/>
    <n v="20"/>
    <n v="20"/>
    <x v="0"/>
    <n v="0"/>
    <x v="0"/>
    <n v="0"/>
    <n v="0"/>
    <n v="0"/>
    <n v="215"/>
    <n v="215"/>
    <x v="1"/>
    <n v="128"/>
    <n v="85"/>
    <n v="20.89"/>
    <n v="20.89"/>
    <x v="1"/>
    <n v="75"/>
    <n v="75"/>
    <n v="90"/>
    <n v="90"/>
    <x v="0"/>
    <x v="0"/>
  </r>
  <r>
    <n v="0"/>
    <x v="0"/>
    <n v="47"/>
    <x v="1"/>
    <n v="3"/>
    <n v="3"/>
    <s v="Graduate"/>
    <x v="1"/>
    <n v="0"/>
    <n v="0"/>
    <n v="0"/>
    <x v="1"/>
    <n v="0"/>
    <x v="0"/>
    <n v="0"/>
    <n v="0"/>
    <n v="0"/>
    <n v="274"/>
    <n v="274"/>
    <x v="0"/>
    <n v="127"/>
    <n v="86"/>
    <n v="21.93"/>
    <n v="21.93"/>
    <x v="1"/>
    <n v="90"/>
    <n v="90"/>
    <n v="83"/>
    <n v="83"/>
    <x v="0"/>
    <x v="0"/>
  </r>
  <r>
    <n v="0"/>
    <x v="0"/>
    <n v="47"/>
    <x v="1"/>
    <n v="2"/>
    <n v="2"/>
    <s v="Secondary"/>
    <x v="0"/>
    <n v="0"/>
    <n v="0"/>
    <n v="0"/>
    <x v="1"/>
    <n v="0"/>
    <x v="0"/>
    <n v="0"/>
    <n v="1"/>
    <n v="0"/>
    <n v="202"/>
    <n v="202"/>
    <x v="1"/>
    <n v="140"/>
    <n v="82"/>
    <n v="22.88"/>
    <n v="22.88"/>
    <x v="1"/>
    <n v="75"/>
    <n v="75"/>
    <n v="95"/>
    <n v="95"/>
    <x v="0"/>
    <x v="0"/>
  </r>
  <r>
    <n v="1"/>
    <x v="1"/>
    <n v="47"/>
    <x v="1"/>
    <n v="4"/>
    <n v="4"/>
    <s v="Post Graduate"/>
    <x v="3"/>
    <n v="0"/>
    <n v="0"/>
    <n v="0"/>
    <x v="1"/>
    <n v="0"/>
    <x v="0"/>
    <n v="0"/>
    <n v="0"/>
    <n v="0"/>
    <n v="194"/>
    <n v="194"/>
    <x v="1"/>
    <n v="115"/>
    <n v="82"/>
    <n v="28.23"/>
    <n v="28.23"/>
    <x v="0"/>
    <n v="48"/>
    <n v="48"/>
    <n v="76"/>
    <n v="76"/>
    <x v="0"/>
    <x v="0"/>
  </r>
  <r>
    <n v="1"/>
    <x v="1"/>
    <n v="47"/>
    <x v="1"/>
    <n v="2"/>
    <n v="2"/>
    <s v="Secondary"/>
    <x v="0"/>
    <n v="1"/>
    <n v="9"/>
    <n v="9"/>
    <x v="0"/>
    <n v="0"/>
    <x v="0"/>
    <n v="0"/>
    <n v="0"/>
    <n v="0"/>
    <n v="201"/>
    <n v="201"/>
    <x v="1"/>
    <n v="122"/>
    <n v="67"/>
    <n v="20.12"/>
    <n v="20.12"/>
    <x v="1"/>
    <n v="68"/>
    <n v="68"/>
    <s v="NA"/>
    <n v="81.96365524402907"/>
    <x v="0"/>
    <x v="0"/>
  </r>
  <r>
    <n v="1"/>
    <x v="1"/>
    <n v="47"/>
    <x v="1"/>
    <n v="1"/>
    <n v="1"/>
    <s v="Primary"/>
    <x v="2"/>
    <n v="1"/>
    <n v="30"/>
    <n v="30"/>
    <x v="0"/>
    <n v="0"/>
    <x v="0"/>
    <n v="0"/>
    <n v="0"/>
    <n v="0"/>
    <n v="210"/>
    <n v="210"/>
    <x v="1"/>
    <n v="112"/>
    <n v="66"/>
    <n v="24.58"/>
    <n v="24.58"/>
    <x v="1"/>
    <n v="70"/>
    <n v="70"/>
    <n v="84"/>
    <n v="84"/>
    <x v="0"/>
    <x v="1"/>
  </r>
  <r>
    <n v="1"/>
    <x v="1"/>
    <n v="47"/>
    <x v="1"/>
    <n v="2"/>
    <n v="2"/>
    <s v="Secondary"/>
    <x v="0"/>
    <n v="1"/>
    <n v="15"/>
    <n v="15"/>
    <x v="0"/>
    <n v="0"/>
    <x v="0"/>
    <n v="0"/>
    <n v="0"/>
    <n v="0"/>
    <n v="253"/>
    <n v="253"/>
    <x v="0"/>
    <n v="137"/>
    <n v="87"/>
    <n v="24.5"/>
    <n v="24.5"/>
    <x v="1"/>
    <n v="80"/>
    <n v="80"/>
    <n v="81"/>
    <n v="81"/>
    <x v="0"/>
    <x v="0"/>
  </r>
  <r>
    <n v="0"/>
    <x v="0"/>
    <n v="47"/>
    <x v="1"/>
    <s v="NA"/>
    <n v="1"/>
    <s v="Primary"/>
    <x v="2"/>
    <n v="0"/>
    <n v="0"/>
    <n v="0"/>
    <x v="1"/>
    <n v="0"/>
    <x v="0"/>
    <n v="0"/>
    <n v="0"/>
    <n v="0"/>
    <n v="279"/>
    <n v="279"/>
    <x v="0"/>
    <n v="154.5"/>
    <n v="103.5"/>
    <n v="27.12"/>
    <n v="27.12"/>
    <x v="0"/>
    <n v="79"/>
    <n v="79"/>
    <n v="60"/>
    <n v="60"/>
    <x v="0"/>
    <x v="0"/>
  </r>
  <r>
    <n v="0"/>
    <x v="0"/>
    <n v="47"/>
    <x v="1"/>
    <n v="2"/>
    <n v="2"/>
    <s v="Secondary"/>
    <x v="0"/>
    <n v="0"/>
    <n v="0"/>
    <n v="0"/>
    <x v="1"/>
    <n v="0"/>
    <x v="0"/>
    <n v="0"/>
    <n v="0"/>
    <n v="0"/>
    <n v="195"/>
    <n v="195"/>
    <x v="1"/>
    <n v="126"/>
    <n v="75"/>
    <s v="NA"/>
    <n v="25.80080075811421"/>
    <x v="0"/>
    <n v="60"/>
    <n v="60"/>
    <s v="NA"/>
    <n v="81.96365524402907"/>
    <x v="0"/>
    <x v="1"/>
  </r>
  <r>
    <n v="1"/>
    <x v="1"/>
    <n v="47"/>
    <x v="1"/>
    <n v="2"/>
    <n v="2"/>
    <s v="Secondary"/>
    <x v="0"/>
    <n v="1"/>
    <n v="20"/>
    <n v="20"/>
    <x v="0"/>
    <n v="0"/>
    <x v="0"/>
    <n v="0"/>
    <n v="0"/>
    <n v="0"/>
    <n v="200"/>
    <n v="200"/>
    <x v="1"/>
    <n v="126"/>
    <n v="86"/>
    <n v="26.84"/>
    <n v="26.84"/>
    <x v="0"/>
    <n v="80"/>
    <n v="80"/>
    <n v="96"/>
    <n v="96"/>
    <x v="0"/>
    <x v="0"/>
  </r>
  <r>
    <n v="0"/>
    <x v="0"/>
    <n v="47"/>
    <x v="1"/>
    <n v="4"/>
    <n v="4"/>
    <s v="Post Graduate"/>
    <x v="3"/>
    <n v="0"/>
    <n v="0"/>
    <n v="0"/>
    <x v="1"/>
    <n v="0"/>
    <x v="0"/>
    <n v="0"/>
    <n v="0"/>
    <n v="0"/>
    <n v="242"/>
    <n v="242"/>
    <x v="0"/>
    <n v="145"/>
    <n v="87.5"/>
    <n v="22.01"/>
    <n v="22.01"/>
    <x v="1"/>
    <n v="58"/>
    <n v="58"/>
    <n v="73"/>
    <n v="73"/>
    <x v="0"/>
    <x v="0"/>
  </r>
  <r>
    <n v="0"/>
    <x v="0"/>
    <n v="47"/>
    <x v="1"/>
    <n v="1"/>
    <n v="1"/>
    <s v="Primary"/>
    <x v="2"/>
    <n v="1"/>
    <n v="20"/>
    <n v="20"/>
    <x v="0"/>
    <n v="0"/>
    <x v="0"/>
    <n v="0"/>
    <n v="0"/>
    <n v="0"/>
    <n v="195"/>
    <n v="195"/>
    <x v="1"/>
    <n v="134"/>
    <n v="81"/>
    <n v="21.4"/>
    <n v="21.4"/>
    <x v="1"/>
    <n v="85"/>
    <n v="85"/>
    <s v="NA"/>
    <n v="81.96365524402907"/>
    <x v="0"/>
    <x v="0"/>
  </r>
  <r>
    <n v="0"/>
    <x v="0"/>
    <n v="47"/>
    <x v="1"/>
    <n v="4"/>
    <n v="4"/>
    <s v="Post Graduate"/>
    <x v="3"/>
    <n v="1"/>
    <n v="3"/>
    <n v="3"/>
    <x v="0"/>
    <n v="0"/>
    <x v="0"/>
    <n v="0"/>
    <n v="0"/>
    <n v="0"/>
    <n v="231"/>
    <n v="231"/>
    <x v="1"/>
    <n v="133.5"/>
    <n v="76"/>
    <n v="25.77"/>
    <n v="25.77"/>
    <x v="0"/>
    <n v="75"/>
    <n v="75"/>
    <n v="73"/>
    <n v="73"/>
    <x v="0"/>
    <x v="0"/>
  </r>
  <r>
    <n v="1"/>
    <x v="1"/>
    <n v="47"/>
    <x v="1"/>
    <n v="3"/>
    <n v="3"/>
    <s v="Graduate"/>
    <x v="1"/>
    <n v="1"/>
    <n v="15"/>
    <n v="15"/>
    <x v="0"/>
    <n v="0"/>
    <x v="0"/>
    <n v="0"/>
    <n v="1"/>
    <n v="0"/>
    <n v="220"/>
    <n v="220"/>
    <x v="1"/>
    <n v="127"/>
    <n v="93"/>
    <n v="30.7"/>
    <n v="30.7"/>
    <x v="2"/>
    <n v="82"/>
    <n v="82"/>
    <n v="57"/>
    <n v="57"/>
    <x v="0"/>
    <x v="0"/>
  </r>
  <r>
    <n v="0"/>
    <x v="0"/>
    <n v="47"/>
    <x v="1"/>
    <n v="1"/>
    <n v="1"/>
    <s v="Primary"/>
    <x v="2"/>
    <n v="1"/>
    <n v="15"/>
    <n v="15"/>
    <x v="0"/>
    <n v="0"/>
    <x v="0"/>
    <n v="0"/>
    <n v="0"/>
    <n v="0"/>
    <n v="285"/>
    <n v="285"/>
    <x v="0"/>
    <n v="122"/>
    <n v="70"/>
    <n v="23.48"/>
    <n v="23.48"/>
    <x v="1"/>
    <n v="83"/>
    <n v="83"/>
    <n v="82"/>
    <n v="82"/>
    <x v="0"/>
    <x v="0"/>
  </r>
  <r>
    <n v="0"/>
    <x v="0"/>
    <n v="47"/>
    <x v="1"/>
    <n v="1"/>
    <n v="1"/>
    <s v="Primary"/>
    <x v="2"/>
    <n v="0"/>
    <n v="0"/>
    <n v="0"/>
    <x v="1"/>
    <n v="0"/>
    <x v="0"/>
    <n v="0"/>
    <n v="0"/>
    <n v="0"/>
    <n v="230"/>
    <n v="230"/>
    <x v="1"/>
    <n v="123"/>
    <n v="71"/>
    <n v="26.98"/>
    <n v="26.98"/>
    <x v="0"/>
    <n v="83"/>
    <n v="83"/>
    <n v="73"/>
    <n v="73"/>
    <x v="0"/>
    <x v="0"/>
  </r>
  <r>
    <n v="1"/>
    <x v="1"/>
    <n v="47"/>
    <x v="1"/>
    <n v="1"/>
    <n v="1"/>
    <s v="Primary"/>
    <x v="2"/>
    <n v="0"/>
    <n v="0"/>
    <n v="0"/>
    <x v="1"/>
    <n v="0"/>
    <x v="0"/>
    <n v="0"/>
    <n v="0"/>
    <n v="0"/>
    <n v="197"/>
    <n v="197"/>
    <x v="1"/>
    <n v="115"/>
    <n v="81"/>
    <n v="22.41"/>
    <n v="22.41"/>
    <x v="1"/>
    <n v="50"/>
    <n v="50"/>
    <n v="66"/>
    <n v="66"/>
    <x v="0"/>
    <x v="0"/>
  </r>
  <r>
    <n v="1"/>
    <x v="1"/>
    <n v="47"/>
    <x v="1"/>
    <n v="2"/>
    <n v="2"/>
    <s v="Secondary"/>
    <x v="0"/>
    <n v="1"/>
    <n v="50"/>
    <n v="50"/>
    <x v="0"/>
    <n v="0"/>
    <x v="0"/>
    <n v="0"/>
    <n v="0"/>
    <n v="0"/>
    <n v="217"/>
    <n v="217"/>
    <x v="1"/>
    <n v="145"/>
    <n v="89"/>
    <n v="28.88"/>
    <n v="28.88"/>
    <x v="0"/>
    <n v="82"/>
    <n v="82"/>
    <n v="75"/>
    <n v="75"/>
    <x v="0"/>
    <x v="0"/>
  </r>
  <r>
    <n v="1"/>
    <x v="1"/>
    <n v="47"/>
    <x v="1"/>
    <s v="NA"/>
    <n v="1"/>
    <s v="Primary"/>
    <x v="2"/>
    <n v="0"/>
    <n v="0"/>
    <n v="0"/>
    <x v="1"/>
    <n v="0"/>
    <x v="0"/>
    <n v="0"/>
    <n v="0"/>
    <n v="0"/>
    <n v="292"/>
    <n v="292"/>
    <x v="0"/>
    <n v="123"/>
    <n v="87"/>
    <n v="21.97"/>
    <n v="21.97"/>
    <x v="1"/>
    <n v="80"/>
    <n v="80"/>
    <n v="78"/>
    <n v="78"/>
    <x v="0"/>
    <x v="0"/>
  </r>
  <r>
    <n v="0"/>
    <x v="0"/>
    <n v="47"/>
    <x v="1"/>
    <n v="3"/>
    <n v="3"/>
    <s v="Graduate"/>
    <x v="1"/>
    <n v="1"/>
    <n v="2"/>
    <n v="2"/>
    <x v="0"/>
    <n v="0"/>
    <x v="0"/>
    <n v="0"/>
    <n v="0"/>
    <n v="0"/>
    <n v="232"/>
    <n v="232"/>
    <x v="1"/>
    <n v="110"/>
    <n v="70"/>
    <n v="25.86"/>
    <n v="25.86"/>
    <x v="0"/>
    <n v="76"/>
    <n v="76"/>
    <n v="82"/>
    <n v="82"/>
    <x v="0"/>
    <x v="0"/>
  </r>
  <r>
    <n v="0"/>
    <x v="0"/>
    <n v="47"/>
    <x v="1"/>
    <n v="1"/>
    <n v="1"/>
    <s v="Primary"/>
    <x v="2"/>
    <n v="1"/>
    <n v="20"/>
    <n v="20"/>
    <x v="0"/>
    <n v="0"/>
    <x v="0"/>
    <n v="0"/>
    <n v="1"/>
    <n v="0"/>
    <n v="325"/>
    <n v="325"/>
    <x v="0"/>
    <n v="160"/>
    <n v="95"/>
    <n v="32.07"/>
    <n v="32.07"/>
    <x v="2"/>
    <n v="95"/>
    <n v="95"/>
    <n v="87"/>
    <n v="87"/>
    <x v="0"/>
    <x v="0"/>
  </r>
  <r>
    <n v="0"/>
    <x v="0"/>
    <n v="47"/>
    <x v="1"/>
    <n v="1"/>
    <n v="1"/>
    <s v="Primary"/>
    <x v="2"/>
    <n v="0"/>
    <n v="0"/>
    <n v="0"/>
    <x v="1"/>
    <n v="0"/>
    <x v="0"/>
    <n v="0"/>
    <n v="0"/>
    <n v="0"/>
    <n v="278"/>
    <n v="278"/>
    <x v="0"/>
    <n v="156"/>
    <n v="96"/>
    <n v="27.86"/>
    <n v="27.86"/>
    <x v="0"/>
    <n v="80"/>
    <n v="80"/>
    <n v="70"/>
    <n v="70"/>
    <x v="0"/>
    <x v="0"/>
  </r>
  <r>
    <n v="0"/>
    <x v="0"/>
    <n v="47"/>
    <x v="1"/>
    <n v="4"/>
    <n v="4"/>
    <s v="Post Graduate"/>
    <x v="3"/>
    <n v="1"/>
    <n v="20"/>
    <n v="20"/>
    <x v="0"/>
    <n v="0"/>
    <x v="0"/>
    <n v="0"/>
    <n v="0"/>
    <n v="0"/>
    <n v="241"/>
    <n v="241"/>
    <x v="0"/>
    <n v="122.5"/>
    <n v="77"/>
    <n v="22.18"/>
    <n v="22.18"/>
    <x v="1"/>
    <n v="90"/>
    <n v="90"/>
    <n v="78"/>
    <n v="78"/>
    <x v="0"/>
    <x v="0"/>
  </r>
  <r>
    <n v="0"/>
    <x v="0"/>
    <n v="47"/>
    <x v="1"/>
    <n v="1"/>
    <n v="1"/>
    <s v="Primary"/>
    <x v="2"/>
    <n v="1"/>
    <n v="43"/>
    <n v="43"/>
    <x v="0"/>
    <n v="0"/>
    <x v="0"/>
    <n v="0"/>
    <n v="0"/>
    <n v="0"/>
    <n v="252"/>
    <n v="252"/>
    <x v="0"/>
    <n v="132.5"/>
    <n v="85"/>
    <n v="20.05"/>
    <n v="20.05"/>
    <x v="1"/>
    <n v="72"/>
    <n v="72"/>
    <n v="80"/>
    <n v="80"/>
    <x v="0"/>
    <x v="0"/>
  </r>
  <r>
    <n v="0"/>
    <x v="0"/>
    <n v="47"/>
    <x v="1"/>
    <n v="2"/>
    <n v="2"/>
    <s v="Secondary"/>
    <x v="0"/>
    <n v="1"/>
    <n v="9"/>
    <n v="9"/>
    <x v="0"/>
    <n v="0"/>
    <x v="0"/>
    <n v="0"/>
    <n v="1"/>
    <n v="0"/>
    <n v="253"/>
    <n v="253"/>
    <x v="0"/>
    <n v="129"/>
    <n v="81"/>
    <n v="22.18"/>
    <n v="22.18"/>
    <x v="1"/>
    <n v="70"/>
    <n v="70"/>
    <n v="122"/>
    <n v="122"/>
    <x v="0"/>
    <x v="1"/>
  </r>
  <r>
    <n v="0"/>
    <x v="0"/>
    <n v="47"/>
    <x v="1"/>
    <n v="2"/>
    <n v="2"/>
    <s v="Secondary"/>
    <x v="0"/>
    <n v="0"/>
    <n v="0"/>
    <n v="0"/>
    <x v="1"/>
    <n v="0"/>
    <x v="0"/>
    <n v="0"/>
    <n v="0"/>
    <n v="0"/>
    <n v="187"/>
    <n v="187"/>
    <x v="1"/>
    <n v="127.5"/>
    <n v="90"/>
    <n v="24.63"/>
    <n v="24.63"/>
    <x v="1"/>
    <n v="110"/>
    <n v="110"/>
    <n v="72"/>
    <n v="72"/>
    <x v="0"/>
    <x v="1"/>
  </r>
  <r>
    <n v="1"/>
    <x v="1"/>
    <n v="47"/>
    <x v="1"/>
    <n v="1"/>
    <n v="1"/>
    <s v="Primary"/>
    <x v="2"/>
    <n v="0"/>
    <n v="0"/>
    <n v="0"/>
    <x v="1"/>
    <n v="0"/>
    <x v="0"/>
    <n v="0"/>
    <n v="0"/>
    <n v="0"/>
    <n v="219"/>
    <n v="219"/>
    <x v="1"/>
    <n v="116"/>
    <n v="82"/>
    <n v="24.05"/>
    <n v="24.05"/>
    <x v="1"/>
    <n v="58"/>
    <n v="58"/>
    <n v="87"/>
    <n v="87"/>
    <x v="0"/>
    <x v="0"/>
  </r>
  <r>
    <n v="1"/>
    <x v="1"/>
    <n v="47"/>
    <x v="1"/>
    <n v="1"/>
    <n v="1"/>
    <s v="Primary"/>
    <x v="2"/>
    <n v="0"/>
    <n v="0"/>
    <n v="0"/>
    <x v="1"/>
    <n v="0"/>
    <x v="0"/>
    <n v="0"/>
    <n v="0"/>
    <n v="0"/>
    <n v="271"/>
    <n v="271"/>
    <x v="0"/>
    <n v="147"/>
    <n v="97"/>
    <n v="24.99"/>
    <n v="24.99"/>
    <x v="1"/>
    <n v="90"/>
    <n v="90"/>
    <n v="78"/>
    <n v="78"/>
    <x v="0"/>
    <x v="0"/>
  </r>
  <r>
    <n v="0"/>
    <x v="0"/>
    <n v="47"/>
    <x v="1"/>
    <n v="3"/>
    <n v="3"/>
    <s v="Graduate"/>
    <x v="1"/>
    <n v="0"/>
    <n v="0"/>
    <n v="0"/>
    <x v="1"/>
    <n v="0"/>
    <x v="0"/>
    <n v="0"/>
    <n v="1"/>
    <n v="0"/>
    <n v="248"/>
    <n v="248"/>
    <x v="0"/>
    <n v="143.5"/>
    <n v="109"/>
    <n v="32.43"/>
    <n v="32.43"/>
    <x v="2"/>
    <n v="76"/>
    <n v="76"/>
    <n v="66"/>
    <n v="66"/>
    <x v="0"/>
    <x v="0"/>
  </r>
  <r>
    <n v="0"/>
    <x v="0"/>
    <n v="47"/>
    <x v="1"/>
    <n v="1"/>
    <n v="1"/>
    <s v="Primary"/>
    <x v="2"/>
    <n v="0"/>
    <n v="0"/>
    <n v="0"/>
    <x v="1"/>
    <n v="0"/>
    <x v="0"/>
    <n v="0"/>
    <n v="1"/>
    <n v="0"/>
    <n v="305"/>
    <n v="305"/>
    <x v="0"/>
    <n v="128"/>
    <n v="92.5"/>
    <n v="27.64"/>
    <n v="27.64"/>
    <x v="0"/>
    <n v="75"/>
    <n v="75"/>
    <n v="62"/>
    <n v="62"/>
    <x v="0"/>
    <x v="0"/>
  </r>
  <r>
    <n v="0"/>
    <x v="0"/>
    <n v="47"/>
    <x v="1"/>
    <n v="3"/>
    <n v="3"/>
    <s v="Graduate"/>
    <x v="1"/>
    <n v="1"/>
    <n v="3"/>
    <n v="3"/>
    <x v="0"/>
    <n v="0"/>
    <x v="0"/>
    <n v="0"/>
    <n v="0"/>
    <n v="0"/>
    <n v="246"/>
    <n v="246"/>
    <x v="0"/>
    <n v="120"/>
    <n v="78"/>
    <n v="24.71"/>
    <n v="24.71"/>
    <x v="1"/>
    <n v="63"/>
    <n v="63"/>
    <n v="75"/>
    <n v="75"/>
    <x v="0"/>
    <x v="0"/>
  </r>
  <r>
    <n v="0"/>
    <x v="0"/>
    <n v="47"/>
    <x v="1"/>
    <n v="1"/>
    <n v="1"/>
    <s v="Primary"/>
    <x v="2"/>
    <n v="0"/>
    <n v="0"/>
    <n v="0"/>
    <x v="1"/>
    <n v="1"/>
    <x v="1"/>
    <n v="0"/>
    <n v="1"/>
    <n v="0"/>
    <n v="277"/>
    <n v="277"/>
    <x v="0"/>
    <n v="138.5"/>
    <n v="99"/>
    <n v="39.64"/>
    <n v="39.64"/>
    <x v="2"/>
    <n v="85"/>
    <n v="85"/>
    <n v="81"/>
    <n v="81"/>
    <x v="0"/>
    <x v="1"/>
  </r>
  <r>
    <n v="1"/>
    <x v="1"/>
    <n v="47"/>
    <x v="1"/>
    <n v="2"/>
    <n v="2"/>
    <s v="Secondary"/>
    <x v="0"/>
    <n v="0"/>
    <n v="0"/>
    <n v="0"/>
    <x v="1"/>
    <n v="0"/>
    <x v="0"/>
    <n v="0"/>
    <n v="0"/>
    <n v="0"/>
    <s v="NA"/>
    <n v="236.69952267303103"/>
    <x v="1"/>
    <n v="142"/>
    <n v="96"/>
    <n v="28.21"/>
    <n v="28.21"/>
    <x v="0"/>
    <n v="75"/>
    <n v="75"/>
    <s v="NA"/>
    <n v="81.96365524402907"/>
    <x v="0"/>
    <x v="1"/>
  </r>
  <r>
    <n v="0"/>
    <x v="0"/>
    <n v="47"/>
    <x v="1"/>
    <n v="2"/>
    <n v="2"/>
    <s v="Secondary"/>
    <x v="0"/>
    <n v="0"/>
    <n v="0"/>
    <n v="0"/>
    <x v="1"/>
    <n v="0"/>
    <x v="0"/>
    <n v="0"/>
    <n v="1"/>
    <n v="0"/>
    <n v="215"/>
    <n v="215"/>
    <x v="1"/>
    <n v="202"/>
    <n v="132"/>
    <n v="20.49"/>
    <n v="20.49"/>
    <x v="1"/>
    <n v="100"/>
    <n v="100"/>
    <n v="77"/>
    <n v="77"/>
    <x v="0"/>
    <x v="0"/>
  </r>
  <r>
    <n v="0"/>
    <x v="0"/>
    <n v="47"/>
    <x v="1"/>
    <n v="3"/>
    <n v="3"/>
    <s v="Graduate"/>
    <x v="1"/>
    <n v="0"/>
    <n v="0"/>
    <n v="0"/>
    <x v="1"/>
    <n v="0"/>
    <x v="0"/>
    <n v="0"/>
    <n v="1"/>
    <n v="0"/>
    <n v="250"/>
    <n v="250"/>
    <x v="0"/>
    <n v="167"/>
    <n v="96.5"/>
    <n v="23.79"/>
    <n v="23.79"/>
    <x v="1"/>
    <n v="65"/>
    <n v="65"/>
    <s v="NA"/>
    <n v="81.96365524402907"/>
    <x v="0"/>
    <x v="0"/>
  </r>
  <r>
    <n v="0"/>
    <x v="0"/>
    <n v="47"/>
    <x v="1"/>
    <n v="1"/>
    <n v="1"/>
    <s v="Primary"/>
    <x v="2"/>
    <n v="0"/>
    <n v="0"/>
    <n v="0"/>
    <x v="1"/>
    <n v="0"/>
    <x v="0"/>
    <n v="0"/>
    <n v="0"/>
    <n v="0"/>
    <n v="289"/>
    <n v="289"/>
    <x v="0"/>
    <n v="126.5"/>
    <n v="84"/>
    <n v="21.71"/>
    <n v="21.71"/>
    <x v="1"/>
    <n v="69"/>
    <n v="69"/>
    <n v="70"/>
    <n v="70"/>
    <x v="0"/>
    <x v="0"/>
  </r>
  <r>
    <n v="0"/>
    <x v="0"/>
    <n v="47"/>
    <x v="1"/>
    <n v="2"/>
    <n v="2"/>
    <s v="Secondary"/>
    <x v="0"/>
    <n v="1"/>
    <s v="NA"/>
    <n v="9"/>
    <x v="0"/>
    <n v="0"/>
    <x v="0"/>
    <n v="0"/>
    <n v="0"/>
    <n v="0"/>
    <n v="365"/>
    <n v="365"/>
    <x v="0"/>
    <n v="127"/>
    <n v="76"/>
    <n v="24.44"/>
    <n v="24.44"/>
    <x v="1"/>
    <n v="72"/>
    <n v="72"/>
    <n v="80"/>
    <n v="80"/>
    <x v="0"/>
    <x v="0"/>
  </r>
  <r>
    <n v="0"/>
    <x v="0"/>
    <n v="47"/>
    <x v="1"/>
    <n v="1"/>
    <n v="1"/>
    <s v="Primary"/>
    <x v="2"/>
    <n v="1"/>
    <n v="40"/>
    <n v="40"/>
    <x v="0"/>
    <n v="0"/>
    <x v="0"/>
    <n v="0"/>
    <n v="0"/>
    <n v="0"/>
    <n v="221"/>
    <n v="221"/>
    <x v="1"/>
    <n v="144"/>
    <n v="91"/>
    <n v="35.78"/>
    <n v="35.78"/>
    <x v="2"/>
    <n v="85"/>
    <n v="85"/>
    <n v="66"/>
    <n v="66"/>
    <x v="0"/>
    <x v="0"/>
  </r>
  <r>
    <n v="0"/>
    <x v="0"/>
    <n v="47"/>
    <x v="1"/>
    <n v="1"/>
    <n v="1"/>
    <s v="Primary"/>
    <x v="2"/>
    <n v="0"/>
    <n v="0"/>
    <n v="0"/>
    <x v="1"/>
    <n v="0"/>
    <x v="0"/>
    <n v="0"/>
    <n v="0"/>
    <n v="0"/>
    <n v="210"/>
    <n v="210"/>
    <x v="1"/>
    <n v="113"/>
    <n v="65"/>
    <n v="21.33"/>
    <n v="21.33"/>
    <x v="1"/>
    <n v="66"/>
    <n v="66"/>
    <n v="62"/>
    <n v="62"/>
    <x v="0"/>
    <x v="0"/>
  </r>
  <r>
    <n v="0"/>
    <x v="0"/>
    <n v="47"/>
    <x v="1"/>
    <n v="1"/>
    <n v="1"/>
    <s v="Primary"/>
    <x v="2"/>
    <n v="0"/>
    <n v="0"/>
    <n v="0"/>
    <x v="1"/>
    <n v="0"/>
    <x v="0"/>
    <n v="0"/>
    <n v="0"/>
    <n v="0"/>
    <n v="228"/>
    <n v="228"/>
    <x v="1"/>
    <n v="118"/>
    <n v="84"/>
    <n v="18.670000000000002"/>
    <n v="18.670000000000002"/>
    <x v="1"/>
    <n v="75"/>
    <n v="75"/>
    <n v="90"/>
    <n v="90"/>
    <x v="0"/>
    <x v="0"/>
  </r>
  <r>
    <n v="1"/>
    <x v="1"/>
    <n v="47"/>
    <x v="1"/>
    <n v="1"/>
    <n v="1"/>
    <s v="Primary"/>
    <x v="2"/>
    <n v="1"/>
    <n v="30"/>
    <n v="30"/>
    <x v="0"/>
    <n v="0"/>
    <x v="0"/>
    <n v="0"/>
    <n v="0"/>
    <n v="0"/>
    <n v="260"/>
    <n v="260"/>
    <x v="0"/>
    <n v="111"/>
    <n v="70"/>
    <n v="23.46"/>
    <n v="23.46"/>
    <x v="1"/>
    <n v="66"/>
    <n v="66"/>
    <n v="71"/>
    <n v="71"/>
    <x v="0"/>
    <x v="0"/>
  </r>
  <r>
    <n v="0"/>
    <x v="0"/>
    <n v="47"/>
    <x v="1"/>
    <n v="1"/>
    <n v="1"/>
    <s v="Primary"/>
    <x v="2"/>
    <n v="1"/>
    <n v="9"/>
    <n v="9"/>
    <x v="0"/>
    <n v="0"/>
    <x v="0"/>
    <n v="0"/>
    <n v="0"/>
    <n v="0"/>
    <n v="261"/>
    <n v="261"/>
    <x v="0"/>
    <n v="133"/>
    <n v="77"/>
    <n v="27.96"/>
    <n v="27.96"/>
    <x v="0"/>
    <n v="87"/>
    <n v="87"/>
    <n v="105"/>
    <n v="105"/>
    <x v="0"/>
    <x v="0"/>
  </r>
  <r>
    <n v="1"/>
    <x v="1"/>
    <n v="47"/>
    <x v="1"/>
    <n v="2"/>
    <n v="2"/>
    <s v="Secondary"/>
    <x v="0"/>
    <n v="1"/>
    <n v="30"/>
    <n v="30"/>
    <x v="0"/>
    <n v="0"/>
    <x v="0"/>
    <n v="0"/>
    <n v="0"/>
    <n v="0"/>
    <n v="260"/>
    <n v="260"/>
    <x v="0"/>
    <n v="126"/>
    <n v="91"/>
    <n v="27.01"/>
    <n v="27.01"/>
    <x v="0"/>
    <n v="75"/>
    <n v="75"/>
    <n v="84"/>
    <n v="84"/>
    <x v="0"/>
    <x v="0"/>
  </r>
  <r>
    <n v="1"/>
    <x v="1"/>
    <n v="47"/>
    <x v="1"/>
    <s v="NA"/>
    <n v="1"/>
    <s v="Primary"/>
    <x v="2"/>
    <n v="1"/>
    <n v="1"/>
    <n v="1"/>
    <x v="0"/>
    <n v="0"/>
    <x v="0"/>
    <n v="0"/>
    <n v="0"/>
    <n v="0"/>
    <n v="183"/>
    <n v="183"/>
    <x v="1"/>
    <n v="112.5"/>
    <n v="73"/>
    <n v="24.27"/>
    <n v="24.27"/>
    <x v="1"/>
    <n v="68"/>
    <n v="68"/>
    <n v="80"/>
    <n v="80"/>
    <x v="0"/>
    <x v="0"/>
  </r>
  <r>
    <n v="0"/>
    <x v="0"/>
    <n v="47"/>
    <x v="1"/>
    <n v="1"/>
    <n v="1"/>
    <s v="Primary"/>
    <x v="2"/>
    <n v="0"/>
    <n v="0"/>
    <n v="0"/>
    <x v="1"/>
    <n v="0"/>
    <x v="0"/>
    <n v="0"/>
    <n v="1"/>
    <n v="0"/>
    <n v="190"/>
    <n v="190"/>
    <x v="1"/>
    <n v="160"/>
    <n v="96"/>
    <n v="28.02"/>
    <n v="28.02"/>
    <x v="0"/>
    <n v="94"/>
    <n v="94"/>
    <n v="64"/>
    <n v="64"/>
    <x v="0"/>
    <x v="0"/>
  </r>
  <r>
    <n v="1"/>
    <x v="1"/>
    <n v="47"/>
    <x v="1"/>
    <n v="1"/>
    <n v="1"/>
    <s v="Primary"/>
    <x v="2"/>
    <n v="0"/>
    <n v="0"/>
    <n v="0"/>
    <x v="1"/>
    <n v="0"/>
    <x v="0"/>
    <n v="0"/>
    <n v="0"/>
    <n v="0"/>
    <n v="265"/>
    <n v="265"/>
    <x v="0"/>
    <n v="137.5"/>
    <n v="88.5"/>
    <n v="23.75"/>
    <n v="23.75"/>
    <x v="1"/>
    <n v="83"/>
    <n v="83"/>
    <n v="90"/>
    <n v="90"/>
    <x v="0"/>
    <x v="0"/>
  </r>
  <r>
    <n v="1"/>
    <x v="1"/>
    <n v="47"/>
    <x v="1"/>
    <n v="2"/>
    <n v="2"/>
    <s v="Secondary"/>
    <x v="0"/>
    <n v="1"/>
    <n v="15"/>
    <n v="15"/>
    <x v="0"/>
    <n v="0"/>
    <x v="0"/>
    <n v="0"/>
    <n v="1"/>
    <n v="0"/>
    <n v="225"/>
    <n v="225"/>
    <x v="1"/>
    <n v="137"/>
    <n v="97"/>
    <n v="27.31"/>
    <n v="27.31"/>
    <x v="0"/>
    <n v="66"/>
    <n v="66"/>
    <s v="NA"/>
    <n v="81.96365524402907"/>
    <x v="0"/>
    <x v="0"/>
  </r>
  <r>
    <n v="0"/>
    <x v="0"/>
    <n v="47"/>
    <x v="1"/>
    <n v="4"/>
    <n v="4"/>
    <s v="Post Graduate"/>
    <x v="3"/>
    <n v="1"/>
    <n v="20"/>
    <n v="20"/>
    <x v="0"/>
    <n v="0"/>
    <x v="0"/>
    <n v="0"/>
    <n v="0"/>
    <n v="0"/>
    <n v="261"/>
    <n v="261"/>
    <x v="0"/>
    <n v="120"/>
    <n v="77.5"/>
    <n v="23.26"/>
    <n v="23.26"/>
    <x v="1"/>
    <n v="85"/>
    <n v="85"/>
    <s v="NA"/>
    <n v="81.96365524402907"/>
    <x v="0"/>
    <x v="0"/>
  </r>
  <r>
    <n v="1"/>
    <x v="1"/>
    <n v="47"/>
    <x v="1"/>
    <n v="4"/>
    <n v="4"/>
    <s v="Post Graduate"/>
    <x v="3"/>
    <n v="0"/>
    <n v="0"/>
    <n v="0"/>
    <x v="1"/>
    <n v="0"/>
    <x v="0"/>
    <n v="0"/>
    <n v="0"/>
    <n v="0"/>
    <n v="190"/>
    <n v="190"/>
    <x v="1"/>
    <n v="120"/>
    <n v="81"/>
    <n v="24.54"/>
    <n v="24.54"/>
    <x v="1"/>
    <n v="60"/>
    <n v="60"/>
    <n v="73"/>
    <n v="73"/>
    <x v="0"/>
    <x v="0"/>
  </r>
  <r>
    <n v="1"/>
    <x v="1"/>
    <n v="47"/>
    <x v="1"/>
    <n v="1"/>
    <n v="1"/>
    <s v="Primary"/>
    <x v="2"/>
    <n v="1"/>
    <n v="20"/>
    <n v="20"/>
    <x v="0"/>
    <n v="0"/>
    <x v="0"/>
    <n v="0"/>
    <n v="0"/>
    <n v="0"/>
    <n v="234"/>
    <n v="234"/>
    <x v="1"/>
    <n v="120"/>
    <n v="73"/>
    <n v="24.45"/>
    <n v="24.45"/>
    <x v="1"/>
    <n v="80"/>
    <n v="80"/>
    <s v="NA"/>
    <n v="81.96365524402907"/>
    <x v="0"/>
    <x v="0"/>
  </r>
  <r>
    <n v="1"/>
    <x v="1"/>
    <n v="47"/>
    <x v="1"/>
    <n v="3"/>
    <n v="3"/>
    <s v="Graduate"/>
    <x v="1"/>
    <n v="0"/>
    <n v="0"/>
    <n v="0"/>
    <x v="1"/>
    <n v="0"/>
    <x v="0"/>
    <n v="0"/>
    <n v="0"/>
    <n v="1"/>
    <n v="199"/>
    <n v="199"/>
    <x v="1"/>
    <n v="161"/>
    <n v="102"/>
    <n v="29.17"/>
    <n v="29.17"/>
    <x v="0"/>
    <n v="58"/>
    <n v="58"/>
    <s v="NA"/>
    <n v="81.96365524402907"/>
    <x v="0"/>
    <x v="0"/>
  </r>
  <r>
    <n v="0"/>
    <x v="0"/>
    <n v="47"/>
    <x v="1"/>
    <n v="1"/>
    <n v="1"/>
    <s v="Primary"/>
    <x v="2"/>
    <n v="1"/>
    <n v="9"/>
    <n v="9"/>
    <x v="0"/>
    <n v="0"/>
    <x v="0"/>
    <n v="0"/>
    <n v="0"/>
    <n v="0"/>
    <n v="214"/>
    <n v="214"/>
    <x v="1"/>
    <n v="118"/>
    <n v="72"/>
    <n v="24.08"/>
    <n v="24.08"/>
    <x v="1"/>
    <n v="60"/>
    <n v="60"/>
    <s v="NA"/>
    <n v="81.96365524402907"/>
    <x v="0"/>
    <x v="0"/>
  </r>
  <r>
    <n v="0"/>
    <x v="0"/>
    <n v="47"/>
    <x v="1"/>
    <n v="4"/>
    <n v="4"/>
    <s v="Post Graduate"/>
    <x v="3"/>
    <n v="1"/>
    <n v="4"/>
    <n v="4"/>
    <x v="0"/>
    <n v="0"/>
    <x v="0"/>
    <n v="0"/>
    <n v="0"/>
    <n v="0"/>
    <n v="243"/>
    <n v="243"/>
    <x v="0"/>
    <n v="121"/>
    <n v="61"/>
    <n v="20.32"/>
    <n v="20.32"/>
    <x v="1"/>
    <n v="84"/>
    <n v="84"/>
    <n v="110"/>
    <n v="110"/>
    <x v="0"/>
    <x v="0"/>
  </r>
  <r>
    <n v="1"/>
    <x v="1"/>
    <n v="47"/>
    <x v="1"/>
    <n v="2"/>
    <n v="2"/>
    <s v="Secondary"/>
    <x v="0"/>
    <n v="1"/>
    <n v="20"/>
    <n v="20"/>
    <x v="0"/>
    <n v="0"/>
    <x v="0"/>
    <n v="0"/>
    <n v="0"/>
    <n v="0"/>
    <n v="210"/>
    <n v="210"/>
    <x v="1"/>
    <n v="131"/>
    <n v="74"/>
    <n v="18.88"/>
    <n v="18.88"/>
    <x v="1"/>
    <n v="60"/>
    <n v="60"/>
    <n v="86"/>
    <n v="86"/>
    <x v="0"/>
    <x v="0"/>
  </r>
  <r>
    <n v="0"/>
    <x v="0"/>
    <n v="47"/>
    <x v="1"/>
    <n v="3"/>
    <n v="3"/>
    <s v="Graduate"/>
    <x v="1"/>
    <n v="1"/>
    <n v="9"/>
    <n v="9"/>
    <x v="0"/>
    <n v="0"/>
    <x v="0"/>
    <n v="0"/>
    <n v="0"/>
    <n v="0"/>
    <n v="250"/>
    <n v="250"/>
    <x v="0"/>
    <n v="98"/>
    <n v="73"/>
    <n v="24.39"/>
    <n v="24.39"/>
    <x v="1"/>
    <n v="60"/>
    <n v="60"/>
    <n v="88"/>
    <n v="88"/>
    <x v="0"/>
    <x v="0"/>
  </r>
  <r>
    <n v="1"/>
    <x v="1"/>
    <n v="47"/>
    <x v="1"/>
    <n v="3"/>
    <n v="3"/>
    <s v="Graduate"/>
    <x v="1"/>
    <n v="1"/>
    <n v="25"/>
    <n v="25"/>
    <x v="0"/>
    <n v="0"/>
    <x v="0"/>
    <n v="0"/>
    <n v="0"/>
    <n v="0"/>
    <n v="173"/>
    <n v="173"/>
    <x v="1"/>
    <n v="117.5"/>
    <n v="77.5"/>
    <n v="20.23"/>
    <n v="20.23"/>
    <x v="1"/>
    <n v="68"/>
    <n v="68"/>
    <n v="75"/>
    <n v="75"/>
    <x v="0"/>
    <x v="0"/>
  </r>
  <r>
    <n v="0"/>
    <x v="0"/>
    <n v="47"/>
    <x v="1"/>
    <n v="4"/>
    <n v="4"/>
    <s v="Post Graduate"/>
    <x v="3"/>
    <n v="1"/>
    <n v="10"/>
    <n v="10"/>
    <x v="0"/>
    <n v="0"/>
    <x v="0"/>
    <n v="0"/>
    <n v="0"/>
    <n v="0"/>
    <n v="205"/>
    <n v="205"/>
    <x v="1"/>
    <n v="107"/>
    <n v="68"/>
    <n v="23.29"/>
    <n v="23.29"/>
    <x v="1"/>
    <n v="90"/>
    <n v="90"/>
    <n v="108"/>
    <n v="108"/>
    <x v="0"/>
    <x v="0"/>
  </r>
  <r>
    <n v="1"/>
    <x v="1"/>
    <n v="47"/>
    <x v="1"/>
    <n v="2"/>
    <n v="2"/>
    <s v="Secondary"/>
    <x v="0"/>
    <n v="1"/>
    <n v="20"/>
    <n v="20"/>
    <x v="0"/>
    <n v="0"/>
    <x v="0"/>
    <n v="0"/>
    <n v="0"/>
    <n v="0"/>
    <n v="344"/>
    <n v="344"/>
    <x v="0"/>
    <n v="102.5"/>
    <n v="71"/>
    <n v="27.73"/>
    <n v="27.73"/>
    <x v="0"/>
    <n v="65"/>
    <n v="65"/>
    <n v="80"/>
    <n v="80"/>
    <x v="0"/>
    <x v="0"/>
  </r>
  <r>
    <n v="1"/>
    <x v="1"/>
    <n v="47"/>
    <x v="1"/>
    <n v="1"/>
    <n v="1"/>
    <s v="Primary"/>
    <x v="2"/>
    <n v="1"/>
    <n v="20"/>
    <n v="20"/>
    <x v="0"/>
    <n v="0"/>
    <x v="0"/>
    <n v="0"/>
    <n v="1"/>
    <n v="0"/>
    <n v="286"/>
    <n v="286"/>
    <x v="0"/>
    <n v="148"/>
    <n v="98"/>
    <n v="29.98"/>
    <n v="29.98"/>
    <x v="0"/>
    <n v="80"/>
    <n v="80"/>
    <n v="93"/>
    <n v="93"/>
    <x v="0"/>
    <x v="1"/>
  </r>
  <r>
    <n v="0"/>
    <x v="0"/>
    <n v="47"/>
    <x v="1"/>
    <n v="1"/>
    <n v="1"/>
    <s v="Primary"/>
    <x v="2"/>
    <n v="1"/>
    <n v="1"/>
    <n v="1"/>
    <x v="0"/>
    <n v="0"/>
    <x v="0"/>
    <n v="0"/>
    <n v="1"/>
    <n v="1"/>
    <n v="160"/>
    <n v="160"/>
    <x v="1"/>
    <n v="197"/>
    <n v="109"/>
    <n v="34.909999999999997"/>
    <n v="34.909999999999997"/>
    <x v="2"/>
    <n v="82"/>
    <n v="82"/>
    <n v="320"/>
    <n v="320"/>
    <x v="0"/>
    <x v="1"/>
  </r>
  <r>
    <n v="0"/>
    <x v="0"/>
    <n v="47"/>
    <x v="1"/>
    <n v="3"/>
    <n v="3"/>
    <s v="Graduate"/>
    <x v="1"/>
    <n v="0"/>
    <n v="0"/>
    <n v="0"/>
    <x v="1"/>
    <n v="0"/>
    <x v="0"/>
    <n v="0"/>
    <n v="0"/>
    <n v="0"/>
    <n v="205"/>
    <n v="205"/>
    <x v="1"/>
    <n v="106"/>
    <n v="75"/>
    <n v="23.44"/>
    <n v="23.44"/>
    <x v="1"/>
    <n v="75"/>
    <n v="75"/>
    <n v="97"/>
    <n v="97"/>
    <x v="0"/>
    <x v="0"/>
  </r>
  <r>
    <n v="1"/>
    <x v="1"/>
    <n v="47"/>
    <x v="1"/>
    <n v="4"/>
    <n v="4"/>
    <s v="Post Graduate"/>
    <x v="3"/>
    <n v="1"/>
    <n v="10"/>
    <n v="10"/>
    <x v="0"/>
    <n v="0"/>
    <x v="0"/>
    <n v="0"/>
    <n v="1"/>
    <n v="0"/>
    <n v="214"/>
    <n v="214"/>
    <x v="1"/>
    <n v="132"/>
    <n v="95"/>
    <n v="24.23"/>
    <n v="24.23"/>
    <x v="1"/>
    <n v="70"/>
    <n v="70"/>
    <n v="77"/>
    <n v="77"/>
    <x v="0"/>
    <x v="0"/>
  </r>
  <r>
    <n v="0"/>
    <x v="0"/>
    <n v="47"/>
    <x v="1"/>
    <n v="1"/>
    <n v="1"/>
    <s v="Primary"/>
    <x v="2"/>
    <n v="0"/>
    <n v="0"/>
    <n v="0"/>
    <x v="1"/>
    <n v="0"/>
    <x v="0"/>
    <n v="0"/>
    <n v="0"/>
    <n v="0"/>
    <n v="205"/>
    <n v="205"/>
    <x v="1"/>
    <n v="122"/>
    <n v="78"/>
    <n v="23.78"/>
    <n v="23.78"/>
    <x v="1"/>
    <n v="67"/>
    <n v="67"/>
    <n v="83"/>
    <n v="83"/>
    <x v="0"/>
    <x v="0"/>
  </r>
  <r>
    <n v="0"/>
    <x v="0"/>
    <n v="47"/>
    <x v="1"/>
    <n v="2"/>
    <n v="2"/>
    <s v="Secondary"/>
    <x v="0"/>
    <n v="1"/>
    <n v="43"/>
    <n v="43"/>
    <x v="0"/>
    <n v="0"/>
    <x v="0"/>
    <n v="0"/>
    <n v="1"/>
    <n v="0"/>
    <n v="218"/>
    <n v="218"/>
    <x v="1"/>
    <n v="147"/>
    <n v="81"/>
    <n v="20.39"/>
    <n v="20.39"/>
    <x v="1"/>
    <n v="75"/>
    <n v="75"/>
    <s v="NA"/>
    <n v="81.96365524402907"/>
    <x v="0"/>
    <x v="0"/>
  </r>
  <r>
    <n v="0"/>
    <x v="0"/>
    <n v="47"/>
    <x v="1"/>
    <n v="3"/>
    <n v="3"/>
    <s v="Graduate"/>
    <x v="1"/>
    <n v="1"/>
    <n v="5"/>
    <n v="5"/>
    <x v="0"/>
    <n v="0"/>
    <x v="0"/>
    <n v="0"/>
    <n v="0"/>
    <n v="0"/>
    <n v="237"/>
    <n v="237"/>
    <x v="1"/>
    <n v="110"/>
    <n v="77"/>
    <n v="25.62"/>
    <n v="25.62"/>
    <x v="0"/>
    <n v="100"/>
    <n v="100"/>
    <n v="83"/>
    <n v="83"/>
    <x v="0"/>
    <x v="0"/>
  </r>
  <r>
    <n v="0"/>
    <x v="0"/>
    <n v="47"/>
    <x v="1"/>
    <n v="1"/>
    <n v="1"/>
    <s v="Primary"/>
    <x v="2"/>
    <n v="0"/>
    <n v="0"/>
    <n v="0"/>
    <x v="1"/>
    <n v="0"/>
    <x v="0"/>
    <n v="0"/>
    <n v="0"/>
    <n v="0"/>
    <n v="266"/>
    <n v="266"/>
    <x v="0"/>
    <n v="107"/>
    <n v="77"/>
    <n v="30.61"/>
    <n v="30.61"/>
    <x v="2"/>
    <n v="75"/>
    <n v="75"/>
    <n v="64"/>
    <n v="64"/>
    <x v="0"/>
    <x v="0"/>
  </r>
  <r>
    <n v="0"/>
    <x v="0"/>
    <n v="47"/>
    <x v="1"/>
    <n v="3"/>
    <n v="3"/>
    <s v="Graduate"/>
    <x v="1"/>
    <n v="1"/>
    <s v="NA"/>
    <n v="9"/>
    <x v="0"/>
    <n v="0"/>
    <x v="0"/>
    <n v="0"/>
    <n v="0"/>
    <n v="0"/>
    <n v="321"/>
    <n v="321"/>
    <x v="0"/>
    <n v="132"/>
    <n v="88"/>
    <n v="28.14"/>
    <n v="28.14"/>
    <x v="0"/>
    <n v="90"/>
    <n v="90"/>
    <n v="74"/>
    <n v="74"/>
    <x v="0"/>
    <x v="0"/>
  </r>
  <r>
    <n v="1"/>
    <x v="1"/>
    <n v="47"/>
    <x v="1"/>
    <n v="4"/>
    <n v="4"/>
    <s v="Post Graduate"/>
    <x v="3"/>
    <n v="1"/>
    <n v="15"/>
    <n v="15"/>
    <x v="0"/>
    <n v="0"/>
    <x v="0"/>
    <n v="0"/>
    <n v="1"/>
    <n v="1"/>
    <n v="210"/>
    <n v="210"/>
    <x v="1"/>
    <n v="163.5"/>
    <n v="97"/>
    <n v="28.24"/>
    <n v="28.24"/>
    <x v="0"/>
    <n v="105"/>
    <n v="105"/>
    <n v="183"/>
    <n v="183"/>
    <x v="0"/>
    <x v="0"/>
  </r>
  <r>
    <n v="0"/>
    <x v="0"/>
    <n v="47"/>
    <x v="1"/>
    <n v="2"/>
    <n v="2"/>
    <s v="Secondary"/>
    <x v="0"/>
    <n v="0"/>
    <n v="0"/>
    <n v="0"/>
    <x v="1"/>
    <n v="0"/>
    <x v="0"/>
    <n v="0"/>
    <n v="0"/>
    <n v="1"/>
    <n v="221"/>
    <n v="221"/>
    <x v="1"/>
    <n v="140"/>
    <n v="94"/>
    <n v="28.84"/>
    <n v="28.84"/>
    <x v="0"/>
    <n v="80"/>
    <n v="80"/>
    <n v="85"/>
    <n v="85"/>
    <x v="0"/>
    <x v="0"/>
  </r>
  <r>
    <n v="0"/>
    <x v="0"/>
    <n v="47"/>
    <x v="1"/>
    <n v="1"/>
    <n v="1"/>
    <s v="Primary"/>
    <x v="2"/>
    <n v="1"/>
    <n v="9"/>
    <n v="9"/>
    <x v="0"/>
    <n v="0"/>
    <x v="0"/>
    <n v="0"/>
    <n v="1"/>
    <n v="1"/>
    <n v="214"/>
    <n v="214"/>
    <x v="1"/>
    <n v="144"/>
    <n v="92"/>
    <n v="22.73"/>
    <n v="22.73"/>
    <x v="1"/>
    <n v="72"/>
    <n v="72"/>
    <n v="57"/>
    <n v="57"/>
    <x v="0"/>
    <x v="0"/>
  </r>
  <r>
    <n v="0"/>
    <x v="0"/>
    <n v="47"/>
    <x v="1"/>
    <s v="NA"/>
    <n v="1"/>
    <s v="Primary"/>
    <x v="2"/>
    <n v="1"/>
    <n v="20"/>
    <n v="20"/>
    <x v="0"/>
    <n v="0"/>
    <x v="0"/>
    <n v="0"/>
    <n v="0"/>
    <n v="0"/>
    <n v="304"/>
    <n v="304"/>
    <x v="0"/>
    <n v="110"/>
    <n v="72"/>
    <n v="20.88"/>
    <n v="20.88"/>
    <x v="1"/>
    <n v="85"/>
    <n v="85"/>
    <n v="75"/>
    <n v="75"/>
    <x v="0"/>
    <x v="1"/>
  </r>
  <r>
    <n v="1"/>
    <x v="1"/>
    <n v="47"/>
    <x v="1"/>
    <n v="3"/>
    <n v="3"/>
    <s v="Graduate"/>
    <x v="1"/>
    <n v="1"/>
    <n v="20"/>
    <n v="20"/>
    <x v="0"/>
    <n v="0"/>
    <x v="0"/>
    <n v="0"/>
    <n v="0"/>
    <n v="0"/>
    <n v="281"/>
    <n v="281"/>
    <x v="0"/>
    <n v="119"/>
    <n v="81"/>
    <n v="23.72"/>
    <n v="23.72"/>
    <x v="1"/>
    <n v="80"/>
    <n v="80"/>
    <n v="65"/>
    <n v="65"/>
    <x v="0"/>
    <x v="0"/>
  </r>
  <r>
    <n v="0"/>
    <x v="0"/>
    <n v="47"/>
    <x v="1"/>
    <n v="3"/>
    <n v="3"/>
    <s v="Graduate"/>
    <x v="1"/>
    <n v="1"/>
    <n v="20"/>
    <n v="20"/>
    <x v="0"/>
    <n v="0"/>
    <x v="0"/>
    <n v="0"/>
    <n v="0"/>
    <n v="0"/>
    <n v="167"/>
    <n v="167"/>
    <x v="1"/>
    <n v="115"/>
    <n v="70"/>
    <n v="22.71"/>
    <n v="22.71"/>
    <x v="1"/>
    <n v="75"/>
    <n v="75"/>
    <n v="100"/>
    <n v="100"/>
    <x v="0"/>
    <x v="0"/>
  </r>
  <r>
    <n v="0"/>
    <x v="0"/>
    <n v="47"/>
    <x v="1"/>
    <n v="2"/>
    <n v="2"/>
    <s v="Secondary"/>
    <x v="0"/>
    <n v="1"/>
    <n v="20"/>
    <n v="20"/>
    <x v="0"/>
    <n v="0"/>
    <x v="0"/>
    <n v="0"/>
    <n v="0"/>
    <n v="0"/>
    <s v="NA"/>
    <n v="236.69952267303103"/>
    <x v="1"/>
    <n v="121"/>
    <n v="70"/>
    <n v="23.09"/>
    <n v="23.09"/>
    <x v="1"/>
    <n v="80"/>
    <n v="80"/>
    <n v="83"/>
    <n v="83"/>
    <x v="0"/>
    <x v="0"/>
  </r>
  <r>
    <n v="1"/>
    <x v="1"/>
    <n v="47"/>
    <x v="1"/>
    <n v="1"/>
    <n v="1"/>
    <s v="Primary"/>
    <x v="2"/>
    <n v="0"/>
    <n v="0"/>
    <n v="0"/>
    <x v="1"/>
    <n v="0"/>
    <x v="0"/>
    <n v="0"/>
    <n v="0"/>
    <n v="0"/>
    <n v="259"/>
    <n v="259"/>
    <x v="0"/>
    <n v="139"/>
    <n v="79"/>
    <n v="29.34"/>
    <n v="29.34"/>
    <x v="0"/>
    <n v="70"/>
    <n v="70"/>
    <n v="71"/>
    <n v="71"/>
    <x v="0"/>
    <x v="1"/>
  </r>
  <r>
    <n v="0"/>
    <x v="0"/>
    <n v="47"/>
    <x v="1"/>
    <n v="2"/>
    <n v="2"/>
    <s v="Secondary"/>
    <x v="0"/>
    <n v="1"/>
    <n v="11"/>
    <n v="11"/>
    <x v="0"/>
    <n v="0"/>
    <x v="0"/>
    <n v="0"/>
    <n v="0"/>
    <n v="0"/>
    <n v="229"/>
    <n v="229"/>
    <x v="1"/>
    <n v="127"/>
    <n v="76.5"/>
    <n v="23.48"/>
    <n v="23.48"/>
    <x v="1"/>
    <n v="65"/>
    <n v="65"/>
    <n v="64"/>
    <n v="64"/>
    <x v="0"/>
    <x v="0"/>
  </r>
  <r>
    <n v="0"/>
    <x v="0"/>
    <n v="47"/>
    <x v="1"/>
    <n v="1"/>
    <n v="1"/>
    <s v="Primary"/>
    <x v="2"/>
    <n v="0"/>
    <n v="0"/>
    <n v="0"/>
    <x v="1"/>
    <n v="0"/>
    <x v="0"/>
    <n v="1"/>
    <n v="0"/>
    <n v="0"/>
    <n v="220"/>
    <n v="220"/>
    <x v="1"/>
    <n v="124"/>
    <n v="75.5"/>
    <n v="24.71"/>
    <n v="24.71"/>
    <x v="1"/>
    <n v="65"/>
    <n v="65"/>
    <n v="68"/>
    <n v="68"/>
    <x v="0"/>
    <x v="0"/>
  </r>
  <r>
    <n v="0"/>
    <x v="0"/>
    <n v="47"/>
    <x v="1"/>
    <n v="1"/>
    <n v="1"/>
    <s v="Primary"/>
    <x v="2"/>
    <n v="0"/>
    <n v="0"/>
    <n v="0"/>
    <x v="1"/>
    <n v="0"/>
    <x v="0"/>
    <n v="0"/>
    <n v="0"/>
    <n v="0"/>
    <n v="346"/>
    <n v="346"/>
    <x v="0"/>
    <n v="118.5"/>
    <n v="81"/>
    <n v="34.56"/>
    <n v="34.56"/>
    <x v="2"/>
    <n v="70"/>
    <n v="70"/>
    <s v="NA"/>
    <n v="81.96365524402907"/>
    <x v="0"/>
    <x v="0"/>
  </r>
  <r>
    <n v="0"/>
    <x v="0"/>
    <n v="47"/>
    <x v="1"/>
    <n v="2"/>
    <n v="2"/>
    <s v="Secondary"/>
    <x v="0"/>
    <n v="1"/>
    <n v="30"/>
    <n v="30"/>
    <x v="0"/>
    <n v="0"/>
    <x v="0"/>
    <n v="0"/>
    <n v="0"/>
    <n v="0"/>
    <n v="198"/>
    <n v="198"/>
    <x v="1"/>
    <n v="143"/>
    <n v="87"/>
    <n v="20.86"/>
    <n v="20.86"/>
    <x v="1"/>
    <n v="85"/>
    <n v="85"/>
    <n v="79"/>
    <n v="79"/>
    <x v="0"/>
    <x v="1"/>
  </r>
  <r>
    <n v="1"/>
    <x v="1"/>
    <n v="47"/>
    <x v="1"/>
    <n v="1"/>
    <n v="1"/>
    <s v="Primary"/>
    <x v="2"/>
    <n v="1"/>
    <n v="30"/>
    <n v="30"/>
    <x v="0"/>
    <n v="0"/>
    <x v="0"/>
    <n v="0"/>
    <n v="1"/>
    <n v="0"/>
    <n v="190"/>
    <n v="190"/>
    <x v="1"/>
    <n v="147.5"/>
    <n v="92.5"/>
    <n v="31.31"/>
    <n v="31.31"/>
    <x v="2"/>
    <n v="77"/>
    <n v="77"/>
    <n v="82"/>
    <n v="82"/>
    <x v="0"/>
    <x v="0"/>
  </r>
  <r>
    <n v="0"/>
    <x v="0"/>
    <n v="47"/>
    <x v="1"/>
    <n v="3"/>
    <n v="3"/>
    <s v="Graduate"/>
    <x v="1"/>
    <n v="0"/>
    <n v="0"/>
    <n v="0"/>
    <x v="1"/>
    <n v="0"/>
    <x v="0"/>
    <n v="0"/>
    <n v="0"/>
    <n v="0"/>
    <n v="231"/>
    <n v="231"/>
    <x v="1"/>
    <n v="102.5"/>
    <n v="66"/>
    <n v="23.4"/>
    <n v="23.4"/>
    <x v="1"/>
    <n v="70"/>
    <n v="70"/>
    <n v="78"/>
    <n v="78"/>
    <x v="0"/>
    <x v="0"/>
  </r>
  <r>
    <n v="0"/>
    <x v="0"/>
    <n v="47"/>
    <x v="1"/>
    <n v="1"/>
    <n v="1"/>
    <s v="Primary"/>
    <x v="2"/>
    <n v="0"/>
    <n v="0"/>
    <n v="0"/>
    <x v="1"/>
    <n v="0"/>
    <x v="0"/>
    <n v="0"/>
    <n v="0"/>
    <n v="0"/>
    <n v="205"/>
    <n v="205"/>
    <x v="1"/>
    <n v="133"/>
    <n v="93"/>
    <n v="27.82"/>
    <n v="27.82"/>
    <x v="0"/>
    <n v="68"/>
    <n v="68"/>
    <n v="60"/>
    <n v="60"/>
    <x v="0"/>
    <x v="0"/>
  </r>
  <r>
    <n v="0"/>
    <x v="0"/>
    <n v="47"/>
    <x v="1"/>
    <n v="3"/>
    <n v="3"/>
    <s v="Graduate"/>
    <x v="1"/>
    <n v="1"/>
    <n v="20"/>
    <n v="20"/>
    <x v="0"/>
    <n v="0"/>
    <x v="0"/>
    <n v="0"/>
    <n v="0"/>
    <n v="0"/>
    <n v="221"/>
    <n v="221"/>
    <x v="1"/>
    <n v="116.5"/>
    <n v="81"/>
    <n v="25.85"/>
    <n v="25.85"/>
    <x v="0"/>
    <n v="65"/>
    <n v="65"/>
    <n v="75"/>
    <n v="75"/>
    <x v="0"/>
    <x v="0"/>
  </r>
  <r>
    <n v="1"/>
    <x v="1"/>
    <n v="47"/>
    <x v="1"/>
    <n v="1"/>
    <n v="1"/>
    <s v="Primary"/>
    <x v="2"/>
    <n v="1"/>
    <n v="15"/>
    <n v="15"/>
    <x v="0"/>
    <n v="0"/>
    <x v="0"/>
    <n v="0"/>
    <n v="0"/>
    <n v="0"/>
    <n v="206"/>
    <n v="206"/>
    <x v="1"/>
    <n v="125"/>
    <n v="72"/>
    <n v="21.14"/>
    <n v="21.14"/>
    <x v="1"/>
    <n v="80"/>
    <n v="80"/>
    <n v="74"/>
    <n v="74"/>
    <x v="0"/>
    <x v="0"/>
  </r>
  <r>
    <n v="1"/>
    <x v="1"/>
    <n v="47"/>
    <x v="1"/>
    <n v="4"/>
    <n v="4"/>
    <s v="Post Graduate"/>
    <x v="3"/>
    <n v="0"/>
    <n v="0"/>
    <n v="0"/>
    <x v="1"/>
    <n v="0"/>
    <x v="0"/>
    <n v="0"/>
    <n v="1"/>
    <n v="0"/>
    <n v="254"/>
    <n v="254"/>
    <x v="0"/>
    <n v="138"/>
    <n v="96"/>
    <n v="29.73"/>
    <n v="29.73"/>
    <x v="0"/>
    <n v="63"/>
    <n v="63"/>
    <n v="69"/>
    <n v="69"/>
    <x v="0"/>
    <x v="0"/>
  </r>
  <r>
    <n v="1"/>
    <x v="1"/>
    <n v="47"/>
    <x v="1"/>
    <n v="1"/>
    <n v="1"/>
    <s v="Primary"/>
    <x v="2"/>
    <n v="1"/>
    <n v="43"/>
    <n v="43"/>
    <x v="0"/>
    <n v="1"/>
    <x v="1"/>
    <n v="0"/>
    <n v="1"/>
    <n v="0"/>
    <n v="237"/>
    <n v="237"/>
    <x v="1"/>
    <n v="182"/>
    <n v="110"/>
    <n v="28.88"/>
    <n v="28.88"/>
    <x v="0"/>
    <n v="72"/>
    <n v="72"/>
    <n v="83"/>
    <n v="83"/>
    <x v="0"/>
    <x v="0"/>
  </r>
  <r>
    <n v="0"/>
    <x v="0"/>
    <n v="47"/>
    <x v="1"/>
    <n v="2"/>
    <n v="2"/>
    <s v="Secondary"/>
    <x v="0"/>
    <n v="1"/>
    <n v="30"/>
    <n v="30"/>
    <x v="0"/>
    <n v="0"/>
    <x v="0"/>
    <n v="0"/>
    <n v="0"/>
    <n v="0"/>
    <n v="175"/>
    <n v="175"/>
    <x v="1"/>
    <n v="107"/>
    <n v="69"/>
    <n v="23.64"/>
    <n v="23.64"/>
    <x v="1"/>
    <n v="92"/>
    <n v="92"/>
    <n v="70"/>
    <n v="70"/>
    <x v="0"/>
    <x v="0"/>
  </r>
  <r>
    <n v="0"/>
    <x v="0"/>
    <n v="47"/>
    <x v="1"/>
    <n v="1"/>
    <n v="1"/>
    <s v="Primary"/>
    <x v="2"/>
    <n v="1"/>
    <n v="20"/>
    <n v="20"/>
    <x v="0"/>
    <n v="0"/>
    <x v="0"/>
    <n v="0"/>
    <n v="1"/>
    <n v="0"/>
    <n v="226"/>
    <n v="226"/>
    <x v="1"/>
    <n v="122.5"/>
    <n v="80"/>
    <n v="24.62"/>
    <n v="24.62"/>
    <x v="1"/>
    <n v="72"/>
    <n v="72"/>
    <n v="68"/>
    <n v="68"/>
    <x v="0"/>
    <x v="0"/>
  </r>
  <r>
    <n v="0"/>
    <x v="0"/>
    <n v="47"/>
    <x v="1"/>
    <n v="3"/>
    <n v="3"/>
    <s v="Graduate"/>
    <x v="1"/>
    <n v="1"/>
    <n v="20"/>
    <n v="20"/>
    <x v="0"/>
    <n v="0"/>
    <x v="0"/>
    <n v="0"/>
    <n v="0"/>
    <n v="0"/>
    <s v="NA"/>
    <n v="236.69952267303103"/>
    <x v="1"/>
    <n v="120"/>
    <n v="77.5"/>
    <n v="23.39"/>
    <n v="23.39"/>
    <x v="1"/>
    <n v="82"/>
    <n v="82"/>
    <s v="NA"/>
    <n v="81.96365524402907"/>
    <x v="0"/>
    <x v="0"/>
  </r>
  <r>
    <n v="0"/>
    <x v="0"/>
    <n v="47"/>
    <x v="1"/>
    <n v="1"/>
    <n v="1"/>
    <s v="Primary"/>
    <x v="2"/>
    <n v="0"/>
    <n v="0"/>
    <n v="0"/>
    <x v="1"/>
    <n v="0"/>
    <x v="0"/>
    <n v="0"/>
    <n v="1"/>
    <n v="0"/>
    <n v="190"/>
    <n v="190"/>
    <x v="1"/>
    <n v="162"/>
    <n v="85"/>
    <n v="30.59"/>
    <n v="30.59"/>
    <x v="2"/>
    <n v="65"/>
    <n v="65"/>
    <n v="80"/>
    <n v="80"/>
    <x v="0"/>
    <x v="0"/>
  </r>
  <r>
    <n v="0"/>
    <x v="0"/>
    <n v="47"/>
    <x v="1"/>
    <n v="2"/>
    <n v="2"/>
    <s v="Secondary"/>
    <x v="0"/>
    <n v="1"/>
    <n v="20"/>
    <n v="20"/>
    <x v="0"/>
    <n v="0"/>
    <x v="0"/>
    <n v="0"/>
    <n v="1"/>
    <n v="1"/>
    <n v="211"/>
    <n v="211"/>
    <x v="1"/>
    <n v="159.5"/>
    <n v="82.5"/>
    <n v="34.08"/>
    <n v="34.08"/>
    <x v="2"/>
    <n v="86"/>
    <n v="86"/>
    <n v="250"/>
    <n v="250"/>
    <x v="0"/>
    <x v="1"/>
  </r>
  <r>
    <n v="0"/>
    <x v="0"/>
    <n v="47"/>
    <x v="1"/>
    <n v="2"/>
    <n v="2"/>
    <s v="Secondary"/>
    <x v="0"/>
    <n v="1"/>
    <n v="20"/>
    <n v="20"/>
    <x v="0"/>
    <n v="0"/>
    <x v="0"/>
    <n v="0"/>
    <n v="1"/>
    <n v="0"/>
    <n v="308"/>
    <n v="308"/>
    <x v="0"/>
    <n v="138"/>
    <n v="94"/>
    <n v="24.33"/>
    <n v="24.33"/>
    <x v="1"/>
    <n v="70"/>
    <n v="70"/>
    <n v="90"/>
    <n v="90"/>
    <x v="0"/>
    <x v="0"/>
  </r>
  <r>
    <n v="0"/>
    <x v="0"/>
    <n v="47"/>
    <x v="1"/>
    <n v="2"/>
    <n v="2"/>
    <s v="Secondary"/>
    <x v="0"/>
    <n v="1"/>
    <n v="5"/>
    <n v="5"/>
    <x v="0"/>
    <n v="0"/>
    <x v="0"/>
    <n v="0"/>
    <n v="0"/>
    <n v="0"/>
    <n v="236"/>
    <n v="236"/>
    <x v="1"/>
    <n v="128"/>
    <n v="81"/>
    <n v="27.42"/>
    <n v="27.42"/>
    <x v="0"/>
    <n v="60"/>
    <n v="60"/>
    <n v="93"/>
    <n v="93"/>
    <x v="0"/>
    <x v="0"/>
  </r>
  <r>
    <n v="0"/>
    <x v="0"/>
    <n v="47"/>
    <x v="1"/>
    <n v="1"/>
    <n v="1"/>
    <s v="Primary"/>
    <x v="2"/>
    <n v="1"/>
    <n v="20"/>
    <n v="20"/>
    <x v="0"/>
    <n v="0"/>
    <x v="0"/>
    <n v="0"/>
    <n v="0"/>
    <n v="1"/>
    <n v="186"/>
    <n v="186"/>
    <x v="1"/>
    <n v="139"/>
    <n v="85"/>
    <n v="27.9"/>
    <n v="27.9"/>
    <x v="0"/>
    <n v="80"/>
    <n v="80"/>
    <n v="125"/>
    <n v="125"/>
    <x v="0"/>
    <x v="0"/>
  </r>
  <r>
    <n v="1"/>
    <x v="1"/>
    <n v="47"/>
    <x v="1"/>
    <n v="1"/>
    <n v="1"/>
    <s v="Primary"/>
    <x v="2"/>
    <n v="1"/>
    <n v="30"/>
    <n v="30"/>
    <x v="0"/>
    <n v="0"/>
    <x v="0"/>
    <n v="0"/>
    <n v="0"/>
    <n v="0"/>
    <n v="277"/>
    <n v="277"/>
    <x v="0"/>
    <n v="137"/>
    <n v="86"/>
    <n v="26.25"/>
    <n v="26.25"/>
    <x v="0"/>
    <n v="75"/>
    <n v="75"/>
    <n v="85"/>
    <n v="85"/>
    <x v="0"/>
    <x v="0"/>
  </r>
  <r>
    <n v="1"/>
    <x v="1"/>
    <n v="47"/>
    <x v="1"/>
    <n v="2"/>
    <n v="2"/>
    <s v="Secondary"/>
    <x v="0"/>
    <n v="1"/>
    <n v="20"/>
    <n v="20"/>
    <x v="0"/>
    <n v="0"/>
    <x v="0"/>
    <n v="0"/>
    <n v="1"/>
    <n v="1"/>
    <n v="296"/>
    <n v="296"/>
    <x v="0"/>
    <n v="141"/>
    <n v="93"/>
    <n v="28.5"/>
    <n v="28.5"/>
    <x v="0"/>
    <n v="68"/>
    <n v="68"/>
    <n v="332"/>
    <n v="332"/>
    <x v="0"/>
    <x v="1"/>
  </r>
  <r>
    <n v="1"/>
    <x v="1"/>
    <n v="47"/>
    <x v="1"/>
    <n v="4"/>
    <n v="4"/>
    <s v="Post Graduate"/>
    <x v="3"/>
    <n v="0"/>
    <n v="0"/>
    <n v="0"/>
    <x v="1"/>
    <n v="0"/>
    <x v="0"/>
    <n v="0"/>
    <n v="1"/>
    <n v="0"/>
    <n v="270"/>
    <n v="270"/>
    <x v="0"/>
    <n v="152.5"/>
    <n v="108"/>
    <n v="26.09"/>
    <n v="26.09"/>
    <x v="0"/>
    <n v="90"/>
    <n v="90"/>
    <n v="88"/>
    <n v="88"/>
    <x v="0"/>
    <x v="1"/>
  </r>
  <r>
    <n v="0"/>
    <x v="0"/>
    <n v="47"/>
    <x v="1"/>
    <n v="3"/>
    <n v="3"/>
    <s v="Graduate"/>
    <x v="1"/>
    <n v="0"/>
    <n v="0"/>
    <n v="0"/>
    <x v="1"/>
    <n v="0"/>
    <x v="0"/>
    <n v="0"/>
    <n v="0"/>
    <n v="0"/>
    <n v="230"/>
    <n v="230"/>
    <x v="1"/>
    <n v="137"/>
    <n v="79"/>
    <n v="27.13"/>
    <n v="27.13"/>
    <x v="0"/>
    <n v="75"/>
    <n v="75"/>
    <n v="76"/>
    <n v="76"/>
    <x v="0"/>
    <x v="1"/>
  </r>
  <r>
    <n v="0"/>
    <x v="0"/>
    <n v="47"/>
    <x v="1"/>
    <n v="1"/>
    <n v="1"/>
    <s v="Primary"/>
    <x v="2"/>
    <n v="1"/>
    <n v="30"/>
    <n v="30"/>
    <x v="0"/>
    <n v="0"/>
    <x v="0"/>
    <n v="0"/>
    <n v="0"/>
    <n v="0"/>
    <n v="260"/>
    <n v="260"/>
    <x v="0"/>
    <n v="126.5"/>
    <n v="81"/>
    <n v="26.58"/>
    <n v="26.58"/>
    <x v="0"/>
    <n v="90"/>
    <n v="90"/>
    <n v="82"/>
    <n v="82"/>
    <x v="0"/>
    <x v="0"/>
  </r>
  <r>
    <n v="0"/>
    <x v="0"/>
    <n v="47"/>
    <x v="1"/>
    <n v="1"/>
    <n v="1"/>
    <s v="Primary"/>
    <x v="2"/>
    <n v="0"/>
    <n v="0"/>
    <n v="0"/>
    <x v="1"/>
    <n v="0"/>
    <x v="0"/>
    <n v="0"/>
    <n v="0"/>
    <n v="0"/>
    <n v="200"/>
    <n v="200"/>
    <x v="1"/>
    <n v="126"/>
    <n v="86"/>
    <n v="26.32"/>
    <n v="26.32"/>
    <x v="0"/>
    <n v="73"/>
    <n v="73"/>
    <n v="92"/>
    <n v="92"/>
    <x v="0"/>
    <x v="1"/>
  </r>
  <r>
    <n v="1"/>
    <x v="1"/>
    <n v="47"/>
    <x v="1"/>
    <n v="2"/>
    <n v="2"/>
    <s v="Secondary"/>
    <x v="0"/>
    <n v="1"/>
    <n v="30"/>
    <n v="30"/>
    <x v="0"/>
    <n v="0"/>
    <x v="0"/>
    <n v="0"/>
    <n v="0"/>
    <n v="0"/>
    <n v="271"/>
    <n v="271"/>
    <x v="0"/>
    <n v="150"/>
    <n v="74"/>
    <n v="20.7"/>
    <n v="20.7"/>
    <x v="1"/>
    <n v="70"/>
    <n v="70"/>
    <s v="NA"/>
    <n v="81.96365524402907"/>
    <x v="0"/>
    <x v="0"/>
  </r>
  <r>
    <n v="1"/>
    <x v="1"/>
    <n v="47"/>
    <x v="1"/>
    <n v="2"/>
    <n v="2"/>
    <s v="Secondary"/>
    <x v="0"/>
    <n v="1"/>
    <n v="20"/>
    <n v="20"/>
    <x v="0"/>
    <n v="0"/>
    <x v="0"/>
    <n v="0"/>
    <n v="0"/>
    <n v="0"/>
    <n v="119"/>
    <n v="119"/>
    <x v="1"/>
    <n v="117"/>
    <n v="78.5"/>
    <n v="26.4"/>
    <n v="26.4"/>
    <x v="0"/>
    <n v="75"/>
    <n v="75"/>
    <n v="78"/>
    <n v="78"/>
    <x v="0"/>
    <x v="0"/>
  </r>
  <r>
    <n v="1"/>
    <x v="1"/>
    <n v="47"/>
    <x v="1"/>
    <s v="NA"/>
    <n v="1"/>
    <s v="Primary"/>
    <x v="2"/>
    <n v="0"/>
    <n v="0"/>
    <n v="0"/>
    <x v="1"/>
    <n v="0"/>
    <x v="0"/>
    <n v="0"/>
    <n v="1"/>
    <n v="0"/>
    <n v="254"/>
    <n v="254"/>
    <x v="0"/>
    <n v="137.5"/>
    <n v="91"/>
    <n v="31.98"/>
    <n v="31.98"/>
    <x v="2"/>
    <n v="75"/>
    <n v="75"/>
    <n v="69"/>
    <n v="69"/>
    <x v="0"/>
    <x v="0"/>
  </r>
  <r>
    <n v="1"/>
    <x v="1"/>
    <n v="47"/>
    <x v="1"/>
    <n v="1"/>
    <n v="1"/>
    <s v="Primary"/>
    <x v="2"/>
    <n v="1"/>
    <n v="20"/>
    <n v="20"/>
    <x v="0"/>
    <n v="0"/>
    <x v="0"/>
    <n v="0"/>
    <n v="1"/>
    <n v="0"/>
    <n v="290"/>
    <n v="290"/>
    <x v="0"/>
    <n v="143"/>
    <n v="88"/>
    <n v="27.4"/>
    <n v="27.4"/>
    <x v="0"/>
    <n v="96"/>
    <n v="96"/>
    <n v="77"/>
    <n v="77"/>
    <x v="0"/>
    <x v="0"/>
  </r>
  <r>
    <n v="1"/>
    <x v="1"/>
    <n v="47"/>
    <x v="1"/>
    <n v="1"/>
    <n v="1"/>
    <s v="Primary"/>
    <x v="2"/>
    <n v="0"/>
    <n v="0"/>
    <n v="0"/>
    <x v="1"/>
    <n v="0"/>
    <x v="0"/>
    <n v="0"/>
    <n v="1"/>
    <n v="0"/>
    <n v="283"/>
    <n v="283"/>
    <x v="0"/>
    <n v="146.5"/>
    <n v="97.5"/>
    <n v="26.25"/>
    <n v="26.25"/>
    <x v="0"/>
    <n v="66"/>
    <n v="66"/>
    <n v="73"/>
    <n v="73"/>
    <x v="0"/>
    <x v="0"/>
  </r>
  <r>
    <n v="1"/>
    <x v="1"/>
    <n v="47"/>
    <x v="1"/>
    <n v="2"/>
    <n v="2"/>
    <s v="Secondary"/>
    <x v="0"/>
    <n v="1"/>
    <n v="20"/>
    <n v="20"/>
    <x v="0"/>
    <n v="0"/>
    <x v="0"/>
    <n v="0"/>
    <n v="1"/>
    <n v="0"/>
    <n v="234"/>
    <n v="234"/>
    <x v="1"/>
    <n v="162"/>
    <n v="110"/>
    <n v="27.51"/>
    <n v="27.51"/>
    <x v="0"/>
    <n v="80"/>
    <n v="80"/>
    <n v="85"/>
    <n v="85"/>
    <x v="0"/>
    <x v="0"/>
  </r>
  <r>
    <n v="1"/>
    <x v="1"/>
    <n v="47"/>
    <x v="1"/>
    <n v="4"/>
    <n v="4"/>
    <s v="Post Graduate"/>
    <x v="3"/>
    <n v="1"/>
    <n v="43"/>
    <n v="43"/>
    <x v="0"/>
    <n v="0"/>
    <x v="0"/>
    <n v="0"/>
    <n v="0"/>
    <n v="0"/>
    <n v="227"/>
    <n v="227"/>
    <x v="1"/>
    <n v="126"/>
    <n v="84"/>
    <n v="19.14"/>
    <n v="19.14"/>
    <x v="1"/>
    <n v="68"/>
    <n v="68"/>
    <n v="74"/>
    <n v="74"/>
    <x v="0"/>
    <x v="1"/>
  </r>
  <r>
    <n v="0"/>
    <x v="0"/>
    <n v="47"/>
    <x v="1"/>
    <n v="3"/>
    <n v="3"/>
    <s v="Graduate"/>
    <x v="1"/>
    <n v="1"/>
    <n v="9"/>
    <n v="9"/>
    <x v="0"/>
    <s v="NA"/>
    <x v="0"/>
    <n v="0"/>
    <n v="0"/>
    <n v="0"/>
    <n v="221"/>
    <n v="221"/>
    <x v="1"/>
    <n v="127.5"/>
    <n v="75"/>
    <n v="23.78"/>
    <n v="23.78"/>
    <x v="1"/>
    <n v="69"/>
    <n v="69"/>
    <n v="73"/>
    <n v="73"/>
    <x v="1"/>
    <x v="0"/>
  </r>
  <r>
    <n v="1"/>
    <x v="1"/>
    <n v="47"/>
    <x v="1"/>
    <n v="2"/>
    <n v="2"/>
    <s v="Secondary"/>
    <x v="0"/>
    <n v="1"/>
    <n v="3"/>
    <n v="3"/>
    <x v="0"/>
    <n v="0"/>
    <x v="0"/>
    <n v="0"/>
    <n v="0"/>
    <n v="0"/>
    <n v="198"/>
    <n v="198"/>
    <x v="1"/>
    <n v="120"/>
    <n v="80"/>
    <n v="25.23"/>
    <n v="25.23"/>
    <x v="0"/>
    <n v="75"/>
    <n v="75"/>
    <n v="76"/>
    <n v="76"/>
    <x v="0"/>
    <x v="0"/>
  </r>
  <r>
    <n v="1"/>
    <x v="1"/>
    <n v="48"/>
    <x v="1"/>
    <n v="1"/>
    <n v="1"/>
    <s v="Primary"/>
    <x v="2"/>
    <n v="1"/>
    <n v="20"/>
    <n v="20"/>
    <x v="0"/>
    <n v="0"/>
    <x v="0"/>
    <n v="0"/>
    <n v="0"/>
    <n v="0"/>
    <n v="245"/>
    <n v="245"/>
    <x v="0"/>
    <n v="127.5"/>
    <n v="80"/>
    <n v="25.34"/>
    <n v="25.34"/>
    <x v="0"/>
    <n v="75"/>
    <n v="75"/>
    <n v="70"/>
    <n v="70"/>
    <x v="0"/>
    <x v="0"/>
  </r>
  <r>
    <n v="1"/>
    <x v="1"/>
    <n v="48"/>
    <x v="1"/>
    <n v="3"/>
    <n v="3"/>
    <s v="Graduate"/>
    <x v="1"/>
    <n v="1"/>
    <n v="10"/>
    <n v="10"/>
    <x v="0"/>
    <n v="0"/>
    <x v="0"/>
    <n v="0"/>
    <n v="1"/>
    <n v="0"/>
    <n v="232"/>
    <n v="232"/>
    <x v="1"/>
    <n v="138"/>
    <n v="90"/>
    <n v="22.37"/>
    <n v="22.37"/>
    <x v="1"/>
    <n v="64"/>
    <n v="64"/>
    <n v="72"/>
    <n v="72"/>
    <x v="0"/>
    <x v="0"/>
  </r>
  <r>
    <n v="0"/>
    <x v="0"/>
    <n v="48"/>
    <x v="1"/>
    <n v="1"/>
    <n v="1"/>
    <s v="Primary"/>
    <x v="2"/>
    <n v="0"/>
    <n v="0"/>
    <n v="0"/>
    <x v="1"/>
    <n v="0"/>
    <x v="0"/>
    <n v="0"/>
    <n v="1"/>
    <n v="0"/>
    <n v="265"/>
    <n v="265"/>
    <x v="0"/>
    <n v="145"/>
    <n v="77"/>
    <n v="24.23"/>
    <n v="24.23"/>
    <x v="1"/>
    <n v="74"/>
    <n v="74"/>
    <n v="64"/>
    <n v="64"/>
    <x v="0"/>
    <x v="0"/>
  </r>
  <r>
    <n v="1"/>
    <x v="1"/>
    <n v="48"/>
    <x v="1"/>
    <n v="4"/>
    <n v="4"/>
    <s v="Post Graduate"/>
    <x v="3"/>
    <n v="0"/>
    <n v="0"/>
    <n v="0"/>
    <x v="1"/>
    <n v="0"/>
    <x v="0"/>
    <n v="0"/>
    <n v="0"/>
    <n v="0"/>
    <n v="233"/>
    <n v="233"/>
    <x v="1"/>
    <n v="138"/>
    <n v="88.5"/>
    <n v="23.62"/>
    <n v="23.62"/>
    <x v="1"/>
    <n v="86"/>
    <n v="86"/>
    <n v="68"/>
    <n v="68"/>
    <x v="0"/>
    <x v="0"/>
  </r>
  <r>
    <n v="1"/>
    <x v="1"/>
    <n v="48"/>
    <x v="1"/>
    <n v="4"/>
    <n v="4"/>
    <s v="Post Graduate"/>
    <x v="3"/>
    <n v="0"/>
    <n v="0"/>
    <n v="0"/>
    <x v="1"/>
    <n v="0"/>
    <x v="0"/>
    <n v="0"/>
    <n v="1"/>
    <n v="0"/>
    <n v="293"/>
    <n v="293"/>
    <x v="0"/>
    <n v="149"/>
    <n v="100"/>
    <n v="31.61"/>
    <n v="31.61"/>
    <x v="2"/>
    <n v="87"/>
    <n v="87"/>
    <n v="76"/>
    <n v="76"/>
    <x v="0"/>
    <x v="1"/>
  </r>
  <r>
    <n v="1"/>
    <x v="1"/>
    <n v="48"/>
    <x v="1"/>
    <n v="1"/>
    <n v="1"/>
    <s v="Primary"/>
    <x v="2"/>
    <n v="1"/>
    <n v="20"/>
    <n v="20"/>
    <x v="0"/>
    <n v="0"/>
    <x v="0"/>
    <n v="0"/>
    <n v="0"/>
    <n v="0"/>
    <n v="210"/>
    <n v="210"/>
    <x v="1"/>
    <n v="109"/>
    <n v="77"/>
    <n v="24.12"/>
    <n v="24.12"/>
    <x v="1"/>
    <n v="73"/>
    <n v="73"/>
    <n v="79"/>
    <n v="79"/>
    <x v="0"/>
    <x v="1"/>
  </r>
  <r>
    <n v="1"/>
    <x v="1"/>
    <n v="48"/>
    <x v="1"/>
    <n v="1"/>
    <n v="1"/>
    <s v="Primary"/>
    <x v="2"/>
    <n v="1"/>
    <n v="10"/>
    <n v="10"/>
    <x v="0"/>
    <n v="0"/>
    <x v="0"/>
    <n v="0"/>
    <n v="0"/>
    <n v="0"/>
    <n v="308"/>
    <n v="308"/>
    <x v="0"/>
    <n v="117"/>
    <n v="76"/>
    <n v="30.85"/>
    <n v="30.85"/>
    <x v="2"/>
    <n v="65"/>
    <n v="65"/>
    <n v="54"/>
    <n v="54"/>
    <x v="0"/>
    <x v="1"/>
  </r>
  <r>
    <n v="0"/>
    <x v="0"/>
    <n v="48"/>
    <x v="1"/>
    <n v="2"/>
    <n v="2"/>
    <s v="Secondary"/>
    <x v="0"/>
    <n v="0"/>
    <n v="0"/>
    <n v="0"/>
    <x v="1"/>
    <n v="0"/>
    <x v="0"/>
    <n v="0"/>
    <n v="0"/>
    <n v="0"/>
    <n v="196"/>
    <n v="196"/>
    <x v="1"/>
    <n v="96"/>
    <n v="70"/>
    <n v="22.72"/>
    <n v="22.72"/>
    <x v="1"/>
    <n v="60"/>
    <n v="60"/>
    <n v="68"/>
    <n v="68"/>
    <x v="0"/>
    <x v="0"/>
  </r>
  <r>
    <n v="1"/>
    <x v="1"/>
    <n v="48"/>
    <x v="1"/>
    <n v="2"/>
    <n v="2"/>
    <s v="Secondary"/>
    <x v="0"/>
    <n v="0"/>
    <n v="0"/>
    <n v="0"/>
    <x v="1"/>
    <n v="0"/>
    <x v="0"/>
    <n v="0"/>
    <n v="0"/>
    <n v="0"/>
    <n v="232"/>
    <n v="232"/>
    <x v="1"/>
    <n v="112.5"/>
    <n v="79"/>
    <n v="28.62"/>
    <n v="28.62"/>
    <x v="0"/>
    <n v="85"/>
    <n v="85"/>
    <n v="100"/>
    <n v="100"/>
    <x v="0"/>
    <x v="0"/>
  </r>
  <r>
    <n v="0"/>
    <x v="0"/>
    <n v="48"/>
    <x v="1"/>
    <n v="1"/>
    <n v="1"/>
    <s v="Primary"/>
    <x v="2"/>
    <n v="0"/>
    <n v="0"/>
    <n v="0"/>
    <x v="1"/>
    <n v="0"/>
    <x v="0"/>
    <n v="0"/>
    <n v="0"/>
    <n v="0"/>
    <n v="164"/>
    <n v="164"/>
    <x v="1"/>
    <n v="159"/>
    <n v="90"/>
    <n v="26.73"/>
    <n v="26.73"/>
    <x v="0"/>
    <n v="80"/>
    <n v="80"/>
    <n v="63"/>
    <n v="63"/>
    <x v="0"/>
    <x v="0"/>
  </r>
  <r>
    <n v="1"/>
    <x v="1"/>
    <n v="48"/>
    <x v="1"/>
    <n v="4"/>
    <n v="4"/>
    <s v="Post Graduate"/>
    <x v="3"/>
    <n v="0"/>
    <n v="0"/>
    <n v="0"/>
    <x v="1"/>
    <n v="0"/>
    <x v="0"/>
    <n v="0"/>
    <n v="0"/>
    <n v="0"/>
    <n v="323"/>
    <n v="323"/>
    <x v="0"/>
    <n v="116"/>
    <n v="72"/>
    <n v="26.22"/>
    <n v="26.22"/>
    <x v="0"/>
    <n v="69"/>
    <n v="69"/>
    <n v="99"/>
    <n v="99"/>
    <x v="0"/>
    <x v="0"/>
  </r>
  <r>
    <n v="0"/>
    <x v="0"/>
    <n v="48"/>
    <x v="1"/>
    <n v="3"/>
    <n v="3"/>
    <s v="Graduate"/>
    <x v="1"/>
    <n v="0"/>
    <n v="0"/>
    <n v="0"/>
    <x v="1"/>
    <n v="0"/>
    <x v="0"/>
    <n v="0"/>
    <n v="0"/>
    <n v="0"/>
    <n v="230"/>
    <n v="230"/>
    <x v="1"/>
    <n v="129"/>
    <n v="84.5"/>
    <n v="24.73"/>
    <n v="24.73"/>
    <x v="1"/>
    <n v="78"/>
    <n v="78"/>
    <s v="NA"/>
    <n v="81.96365524402907"/>
    <x v="0"/>
    <x v="0"/>
  </r>
  <r>
    <n v="0"/>
    <x v="0"/>
    <n v="48"/>
    <x v="1"/>
    <n v="1"/>
    <n v="1"/>
    <s v="Primary"/>
    <x v="2"/>
    <n v="1"/>
    <n v="1"/>
    <n v="1"/>
    <x v="0"/>
    <n v="0"/>
    <x v="0"/>
    <n v="0"/>
    <n v="0"/>
    <n v="0"/>
    <n v="197"/>
    <n v="197"/>
    <x v="1"/>
    <n v="101"/>
    <n v="67"/>
    <n v="21.35"/>
    <n v="21.35"/>
    <x v="1"/>
    <n v="88"/>
    <n v="88"/>
    <n v="100"/>
    <n v="100"/>
    <x v="0"/>
    <x v="0"/>
  </r>
  <r>
    <n v="0"/>
    <x v="0"/>
    <n v="48"/>
    <x v="1"/>
    <n v="4"/>
    <n v="4"/>
    <s v="Post Graduate"/>
    <x v="3"/>
    <n v="0"/>
    <n v="0"/>
    <n v="0"/>
    <x v="1"/>
    <n v="0"/>
    <x v="0"/>
    <n v="0"/>
    <n v="0"/>
    <n v="0"/>
    <n v="200"/>
    <n v="200"/>
    <x v="1"/>
    <n v="118"/>
    <n v="78"/>
    <n v="24.53"/>
    <n v="24.53"/>
    <x v="1"/>
    <n v="63"/>
    <n v="63"/>
    <n v="98"/>
    <n v="98"/>
    <x v="0"/>
    <x v="0"/>
  </r>
  <r>
    <n v="0"/>
    <x v="0"/>
    <n v="48"/>
    <x v="1"/>
    <n v="3"/>
    <n v="3"/>
    <s v="Graduate"/>
    <x v="1"/>
    <n v="0"/>
    <n v="0"/>
    <n v="0"/>
    <x v="1"/>
    <n v="0"/>
    <x v="0"/>
    <n v="0"/>
    <n v="0"/>
    <n v="0"/>
    <n v="310"/>
    <n v="310"/>
    <x v="0"/>
    <n v="124"/>
    <n v="74"/>
    <n v="25.94"/>
    <n v="25.94"/>
    <x v="0"/>
    <n v="70"/>
    <n v="70"/>
    <n v="73"/>
    <n v="73"/>
    <x v="0"/>
    <x v="0"/>
  </r>
  <r>
    <n v="0"/>
    <x v="0"/>
    <n v="48"/>
    <x v="1"/>
    <n v="1"/>
    <n v="1"/>
    <s v="Primary"/>
    <x v="2"/>
    <n v="1"/>
    <n v="10"/>
    <n v="10"/>
    <x v="0"/>
    <n v="0"/>
    <x v="0"/>
    <n v="0"/>
    <n v="1"/>
    <n v="0"/>
    <n v="268"/>
    <n v="268"/>
    <x v="0"/>
    <n v="117.5"/>
    <n v="80"/>
    <n v="36.11"/>
    <n v="36.11"/>
    <x v="2"/>
    <n v="72"/>
    <n v="72"/>
    <n v="67"/>
    <n v="67"/>
    <x v="0"/>
    <x v="0"/>
  </r>
  <r>
    <n v="0"/>
    <x v="0"/>
    <n v="48"/>
    <x v="1"/>
    <n v="3"/>
    <n v="3"/>
    <s v="Graduate"/>
    <x v="1"/>
    <n v="1"/>
    <n v="10"/>
    <n v="10"/>
    <x v="0"/>
    <n v="0"/>
    <x v="0"/>
    <n v="0"/>
    <n v="0"/>
    <n v="0"/>
    <n v="266"/>
    <n v="266"/>
    <x v="0"/>
    <n v="115"/>
    <n v="75"/>
    <n v="31.16"/>
    <n v="31.16"/>
    <x v="2"/>
    <n v="75"/>
    <n v="75"/>
    <n v="90"/>
    <n v="90"/>
    <x v="0"/>
    <x v="0"/>
  </r>
  <r>
    <n v="0"/>
    <x v="0"/>
    <n v="48"/>
    <x v="1"/>
    <n v="4"/>
    <n v="4"/>
    <s v="Post Graduate"/>
    <x v="3"/>
    <n v="1"/>
    <n v="9"/>
    <n v="9"/>
    <x v="0"/>
    <n v="0"/>
    <x v="0"/>
    <n v="0"/>
    <n v="0"/>
    <n v="0"/>
    <n v="195"/>
    <n v="195"/>
    <x v="1"/>
    <n v="109"/>
    <n v="71"/>
    <n v="21.1"/>
    <n v="21.1"/>
    <x v="1"/>
    <n v="73"/>
    <n v="73"/>
    <n v="65"/>
    <n v="65"/>
    <x v="0"/>
    <x v="0"/>
  </r>
  <r>
    <n v="1"/>
    <x v="1"/>
    <n v="48"/>
    <x v="1"/>
    <n v="1"/>
    <n v="1"/>
    <s v="Primary"/>
    <x v="2"/>
    <n v="0"/>
    <n v="0"/>
    <n v="0"/>
    <x v="1"/>
    <n v="0"/>
    <x v="0"/>
    <n v="0"/>
    <n v="1"/>
    <n v="0"/>
    <n v="245"/>
    <n v="245"/>
    <x v="0"/>
    <n v="144"/>
    <n v="96.5"/>
    <n v="32.58"/>
    <n v="32.58"/>
    <x v="2"/>
    <n v="75"/>
    <n v="75"/>
    <n v="77"/>
    <n v="77"/>
    <x v="0"/>
    <x v="0"/>
  </r>
  <r>
    <n v="1"/>
    <x v="1"/>
    <n v="48"/>
    <x v="1"/>
    <n v="1"/>
    <n v="1"/>
    <s v="Primary"/>
    <x v="2"/>
    <n v="1"/>
    <n v="15"/>
    <n v="15"/>
    <x v="0"/>
    <n v="0"/>
    <x v="0"/>
    <n v="0"/>
    <n v="0"/>
    <n v="0"/>
    <n v="170"/>
    <n v="170"/>
    <x v="1"/>
    <n v="132"/>
    <n v="91"/>
    <n v="27.61"/>
    <n v="27.61"/>
    <x v="0"/>
    <n v="78"/>
    <n v="78"/>
    <n v="57"/>
    <n v="57"/>
    <x v="0"/>
    <x v="1"/>
  </r>
  <r>
    <n v="1"/>
    <x v="1"/>
    <n v="48"/>
    <x v="1"/>
    <n v="1"/>
    <n v="1"/>
    <s v="Primary"/>
    <x v="2"/>
    <n v="1"/>
    <n v="20"/>
    <n v="20"/>
    <x v="0"/>
    <n v="0"/>
    <x v="0"/>
    <n v="0"/>
    <n v="0"/>
    <n v="0"/>
    <n v="253"/>
    <n v="253"/>
    <x v="0"/>
    <n v="118.5"/>
    <n v="73"/>
    <n v="26.25"/>
    <n v="26.25"/>
    <x v="0"/>
    <n v="69"/>
    <n v="69"/>
    <n v="70"/>
    <n v="70"/>
    <x v="0"/>
    <x v="0"/>
  </r>
  <r>
    <n v="0"/>
    <x v="0"/>
    <n v="48"/>
    <x v="1"/>
    <n v="2"/>
    <n v="2"/>
    <s v="Secondary"/>
    <x v="0"/>
    <n v="0"/>
    <n v="0"/>
    <n v="0"/>
    <x v="1"/>
    <n v="0"/>
    <x v="0"/>
    <n v="0"/>
    <n v="0"/>
    <n v="0"/>
    <n v="240"/>
    <n v="240"/>
    <x v="1"/>
    <n v="119"/>
    <n v="80"/>
    <n v="31.67"/>
    <n v="31.67"/>
    <x v="2"/>
    <n v="60"/>
    <n v="60"/>
    <n v="79"/>
    <n v="79"/>
    <x v="0"/>
    <x v="0"/>
  </r>
  <r>
    <n v="1"/>
    <x v="1"/>
    <n v="48"/>
    <x v="1"/>
    <n v="2"/>
    <n v="2"/>
    <s v="Secondary"/>
    <x v="0"/>
    <n v="0"/>
    <n v="0"/>
    <n v="0"/>
    <x v="1"/>
    <n v="0"/>
    <x v="0"/>
    <n v="0"/>
    <n v="0"/>
    <n v="0"/>
    <n v="215"/>
    <n v="215"/>
    <x v="1"/>
    <n v="127"/>
    <n v="81"/>
    <n v="24.87"/>
    <n v="24.87"/>
    <x v="1"/>
    <n v="76"/>
    <n v="76"/>
    <n v="76"/>
    <n v="76"/>
    <x v="0"/>
    <x v="0"/>
  </r>
  <r>
    <n v="0"/>
    <x v="0"/>
    <n v="48"/>
    <x v="1"/>
    <n v="3"/>
    <n v="3"/>
    <s v="Graduate"/>
    <x v="1"/>
    <n v="0"/>
    <n v="0"/>
    <n v="0"/>
    <x v="1"/>
    <n v="0"/>
    <x v="0"/>
    <n v="0"/>
    <n v="0"/>
    <n v="0"/>
    <n v="197"/>
    <n v="197"/>
    <x v="1"/>
    <n v="107"/>
    <n v="73"/>
    <n v="19.78"/>
    <n v="19.78"/>
    <x v="1"/>
    <n v="63"/>
    <n v="63"/>
    <n v="76"/>
    <n v="76"/>
    <x v="0"/>
    <x v="0"/>
  </r>
  <r>
    <n v="0"/>
    <x v="0"/>
    <n v="48"/>
    <x v="1"/>
    <n v="1"/>
    <n v="1"/>
    <s v="Primary"/>
    <x v="2"/>
    <n v="1"/>
    <n v="5"/>
    <n v="5"/>
    <x v="0"/>
    <n v="0"/>
    <x v="0"/>
    <n v="0"/>
    <n v="0"/>
    <n v="0"/>
    <n v="296"/>
    <n v="296"/>
    <x v="0"/>
    <n v="117"/>
    <n v="73"/>
    <n v="24.59"/>
    <n v="24.59"/>
    <x v="1"/>
    <n v="70"/>
    <n v="70"/>
    <n v="78"/>
    <n v="78"/>
    <x v="0"/>
    <x v="0"/>
  </r>
  <r>
    <n v="1"/>
    <x v="1"/>
    <n v="48"/>
    <x v="1"/>
    <s v="NA"/>
    <n v="1"/>
    <s v="Primary"/>
    <x v="2"/>
    <n v="0"/>
    <n v="0"/>
    <n v="0"/>
    <x v="1"/>
    <n v="0"/>
    <x v="0"/>
    <n v="0"/>
    <n v="0"/>
    <n v="0"/>
    <n v="222"/>
    <n v="222"/>
    <x v="1"/>
    <n v="113"/>
    <n v="71.5"/>
    <n v="30.5"/>
    <n v="30.5"/>
    <x v="2"/>
    <n v="78"/>
    <n v="78"/>
    <n v="80"/>
    <n v="80"/>
    <x v="0"/>
    <x v="0"/>
  </r>
  <r>
    <n v="0"/>
    <x v="0"/>
    <n v="48"/>
    <x v="1"/>
    <n v="4"/>
    <n v="4"/>
    <s v="Post Graduate"/>
    <x v="3"/>
    <n v="1"/>
    <n v="3"/>
    <n v="3"/>
    <x v="0"/>
    <n v="0"/>
    <x v="0"/>
    <n v="0"/>
    <n v="0"/>
    <n v="0"/>
    <n v="249"/>
    <n v="249"/>
    <x v="0"/>
    <n v="132"/>
    <n v="78"/>
    <n v="23.1"/>
    <n v="23.1"/>
    <x v="1"/>
    <n v="70"/>
    <n v="70"/>
    <n v="137"/>
    <n v="137"/>
    <x v="0"/>
    <x v="0"/>
  </r>
  <r>
    <n v="1"/>
    <x v="1"/>
    <n v="48"/>
    <x v="1"/>
    <s v="NA"/>
    <n v="1"/>
    <s v="Primary"/>
    <x v="2"/>
    <n v="0"/>
    <n v="0"/>
    <n v="0"/>
    <x v="1"/>
    <n v="0"/>
    <x v="0"/>
    <n v="0"/>
    <n v="1"/>
    <n v="0"/>
    <n v="202"/>
    <n v="202"/>
    <x v="1"/>
    <n v="138"/>
    <n v="96"/>
    <n v="27.97"/>
    <n v="27.97"/>
    <x v="0"/>
    <n v="68"/>
    <n v="68"/>
    <n v="85"/>
    <n v="85"/>
    <x v="0"/>
    <x v="0"/>
  </r>
  <r>
    <n v="0"/>
    <x v="0"/>
    <n v="48"/>
    <x v="1"/>
    <n v="1"/>
    <n v="1"/>
    <s v="Primary"/>
    <x v="2"/>
    <n v="0"/>
    <n v="0"/>
    <n v="0"/>
    <x v="1"/>
    <n v="0"/>
    <x v="0"/>
    <n v="0"/>
    <n v="0"/>
    <n v="0"/>
    <n v="222"/>
    <n v="222"/>
    <x v="1"/>
    <n v="119"/>
    <n v="85"/>
    <n v="30.46"/>
    <n v="30.46"/>
    <x v="2"/>
    <n v="77"/>
    <n v="77"/>
    <n v="80"/>
    <n v="80"/>
    <x v="0"/>
    <x v="0"/>
  </r>
  <r>
    <n v="0"/>
    <x v="0"/>
    <n v="48"/>
    <x v="1"/>
    <n v="3"/>
    <n v="3"/>
    <s v="Graduate"/>
    <x v="1"/>
    <n v="0"/>
    <n v="0"/>
    <n v="0"/>
    <x v="1"/>
    <n v="0"/>
    <x v="0"/>
    <n v="0"/>
    <n v="0"/>
    <n v="0"/>
    <n v="231"/>
    <n v="231"/>
    <x v="1"/>
    <n v="131"/>
    <n v="80"/>
    <n v="21.14"/>
    <n v="21.14"/>
    <x v="1"/>
    <n v="70"/>
    <n v="70"/>
    <n v="85"/>
    <n v="85"/>
    <x v="0"/>
    <x v="0"/>
  </r>
  <r>
    <n v="1"/>
    <x v="1"/>
    <n v="48"/>
    <x v="1"/>
    <n v="2"/>
    <n v="2"/>
    <s v="Secondary"/>
    <x v="0"/>
    <n v="0"/>
    <n v="0"/>
    <n v="0"/>
    <x v="1"/>
    <n v="0"/>
    <x v="0"/>
    <n v="0"/>
    <n v="0"/>
    <n v="0"/>
    <n v="247"/>
    <n v="247"/>
    <x v="0"/>
    <n v="131"/>
    <n v="79"/>
    <n v="22.12"/>
    <n v="22.12"/>
    <x v="1"/>
    <n v="78"/>
    <n v="78"/>
    <n v="83"/>
    <n v="83"/>
    <x v="0"/>
    <x v="0"/>
  </r>
  <r>
    <n v="0"/>
    <x v="0"/>
    <n v="48"/>
    <x v="1"/>
    <n v="1"/>
    <n v="1"/>
    <s v="Primary"/>
    <x v="2"/>
    <n v="0"/>
    <n v="0"/>
    <n v="0"/>
    <x v="1"/>
    <n v="0"/>
    <x v="0"/>
    <n v="0"/>
    <n v="0"/>
    <n v="0"/>
    <n v="224"/>
    <n v="224"/>
    <x v="1"/>
    <n v="131"/>
    <n v="92"/>
    <n v="26.13"/>
    <n v="26.13"/>
    <x v="0"/>
    <n v="68"/>
    <n v="68"/>
    <s v="NA"/>
    <n v="81.96365524402907"/>
    <x v="0"/>
    <x v="0"/>
  </r>
  <r>
    <n v="1"/>
    <x v="1"/>
    <n v="48"/>
    <x v="1"/>
    <s v="NA"/>
    <n v="1"/>
    <s v="Primary"/>
    <x v="2"/>
    <n v="1"/>
    <n v="9"/>
    <n v="9"/>
    <x v="0"/>
    <n v="0"/>
    <x v="0"/>
    <n v="0"/>
    <n v="1"/>
    <n v="0"/>
    <n v="203"/>
    <n v="203"/>
    <x v="1"/>
    <n v="117.5"/>
    <n v="92"/>
    <n v="27.75"/>
    <n v="27.75"/>
    <x v="0"/>
    <n v="80"/>
    <n v="80"/>
    <n v="115"/>
    <n v="115"/>
    <x v="0"/>
    <x v="0"/>
  </r>
  <r>
    <n v="1"/>
    <x v="1"/>
    <n v="48"/>
    <x v="1"/>
    <n v="1"/>
    <n v="1"/>
    <s v="Primary"/>
    <x v="2"/>
    <n v="1"/>
    <n v="30"/>
    <n v="30"/>
    <x v="0"/>
    <n v="0"/>
    <x v="0"/>
    <n v="0"/>
    <n v="0"/>
    <n v="0"/>
    <n v="150"/>
    <n v="150"/>
    <x v="1"/>
    <n v="127.5"/>
    <n v="75"/>
    <n v="26.6"/>
    <n v="26.6"/>
    <x v="0"/>
    <n v="75"/>
    <n v="75"/>
    <n v="112"/>
    <n v="112"/>
    <x v="0"/>
    <x v="0"/>
  </r>
  <r>
    <n v="0"/>
    <x v="0"/>
    <n v="48"/>
    <x v="1"/>
    <n v="3"/>
    <n v="3"/>
    <s v="Graduate"/>
    <x v="1"/>
    <n v="1"/>
    <n v="5"/>
    <n v="5"/>
    <x v="0"/>
    <n v="0"/>
    <x v="0"/>
    <n v="0"/>
    <n v="0"/>
    <n v="0"/>
    <n v="192"/>
    <n v="192"/>
    <x v="1"/>
    <n v="135"/>
    <n v="82.5"/>
    <n v="32.67"/>
    <n v="32.67"/>
    <x v="2"/>
    <n v="67"/>
    <n v="67"/>
    <n v="69"/>
    <n v="69"/>
    <x v="0"/>
    <x v="0"/>
  </r>
  <r>
    <n v="1"/>
    <x v="1"/>
    <n v="48"/>
    <x v="1"/>
    <n v="1"/>
    <n v="1"/>
    <s v="Primary"/>
    <x v="2"/>
    <n v="0"/>
    <n v="0"/>
    <n v="0"/>
    <x v="1"/>
    <n v="0"/>
    <x v="0"/>
    <n v="0"/>
    <n v="0"/>
    <n v="0"/>
    <n v="270"/>
    <n v="270"/>
    <x v="0"/>
    <n v="131"/>
    <n v="88"/>
    <n v="27.13"/>
    <n v="27.13"/>
    <x v="0"/>
    <n v="63"/>
    <n v="63"/>
    <n v="55"/>
    <n v="55"/>
    <x v="0"/>
    <x v="0"/>
  </r>
  <r>
    <n v="1"/>
    <x v="1"/>
    <n v="48"/>
    <x v="1"/>
    <n v="2"/>
    <n v="2"/>
    <s v="Secondary"/>
    <x v="0"/>
    <n v="0"/>
    <n v="0"/>
    <n v="0"/>
    <x v="1"/>
    <n v="0"/>
    <x v="0"/>
    <n v="0"/>
    <n v="0"/>
    <n v="0"/>
    <n v="287"/>
    <n v="287"/>
    <x v="0"/>
    <n v="141.5"/>
    <n v="82"/>
    <n v="27.88"/>
    <n v="27.88"/>
    <x v="0"/>
    <n v="84"/>
    <n v="84"/>
    <s v="NA"/>
    <n v="81.96365524402907"/>
    <x v="0"/>
    <x v="0"/>
  </r>
  <r>
    <n v="0"/>
    <x v="0"/>
    <n v="48"/>
    <x v="1"/>
    <n v="2"/>
    <n v="2"/>
    <s v="Secondary"/>
    <x v="0"/>
    <n v="0"/>
    <n v="0"/>
    <n v="0"/>
    <x v="1"/>
    <n v="0"/>
    <x v="0"/>
    <n v="0"/>
    <n v="0"/>
    <n v="0"/>
    <n v="273"/>
    <n v="273"/>
    <x v="0"/>
    <n v="132"/>
    <n v="85"/>
    <n v="26.03"/>
    <n v="26.03"/>
    <x v="0"/>
    <n v="70"/>
    <n v="70"/>
    <n v="78"/>
    <n v="78"/>
    <x v="0"/>
    <x v="0"/>
  </r>
  <r>
    <n v="1"/>
    <x v="1"/>
    <n v="48"/>
    <x v="1"/>
    <n v="1"/>
    <n v="1"/>
    <s v="Primary"/>
    <x v="2"/>
    <n v="0"/>
    <n v="0"/>
    <n v="0"/>
    <x v="1"/>
    <n v="0"/>
    <x v="0"/>
    <n v="0"/>
    <n v="0"/>
    <n v="0"/>
    <n v="181"/>
    <n v="181"/>
    <x v="1"/>
    <n v="153"/>
    <n v="93"/>
    <n v="29.34"/>
    <n v="29.34"/>
    <x v="0"/>
    <n v="103"/>
    <n v="103"/>
    <n v="88"/>
    <n v="88"/>
    <x v="0"/>
    <x v="0"/>
  </r>
  <r>
    <n v="0"/>
    <x v="0"/>
    <n v="48"/>
    <x v="1"/>
    <n v="1"/>
    <n v="1"/>
    <s v="Primary"/>
    <x v="2"/>
    <n v="0"/>
    <n v="0"/>
    <n v="0"/>
    <x v="1"/>
    <n v="0"/>
    <x v="0"/>
    <n v="0"/>
    <n v="1"/>
    <n v="0"/>
    <n v="169"/>
    <n v="169"/>
    <x v="1"/>
    <n v="243"/>
    <n v="142.5"/>
    <n v="28.49"/>
    <n v="28.49"/>
    <x v="0"/>
    <n v="85"/>
    <n v="85"/>
    <n v="77"/>
    <n v="77"/>
    <x v="0"/>
    <x v="0"/>
  </r>
  <r>
    <n v="1"/>
    <x v="1"/>
    <n v="48"/>
    <x v="1"/>
    <n v="2"/>
    <n v="2"/>
    <s v="Secondary"/>
    <x v="0"/>
    <n v="1"/>
    <n v="40"/>
    <n v="40"/>
    <x v="0"/>
    <n v="0"/>
    <x v="0"/>
    <n v="0"/>
    <n v="0"/>
    <n v="0"/>
    <n v="226"/>
    <n v="226"/>
    <x v="1"/>
    <n v="117.5"/>
    <n v="80"/>
    <n v="26.18"/>
    <n v="26.18"/>
    <x v="0"/>
    <n v="60"/>
    <n v="60"/>
    <n v="66"/>
    <n v="66"/>
    <x v="0"/>
    <x v="0"/>
  </r>
  <r>
    <n v="0"/>
    <x v="0"/>
    <n v="48"/>
    <x v="1"/>
    <n v="1"/>
    <n v="1"/>
    <s v="Primary"/>
    <x v="2"/>
    <n v="1"/>
    <n v="25"/>
    <n v="25"/>
    <x v="0"/>
    <n v="0"/>
    <x v="0"/>
    <n v="0"/>
    <n v="0"/>
    <n v="1"/>
    <n v="304"/>
    <n v="304"/>
    <x v="0"/>
    <n v="102"/>
    <n v="66.5"/>
    <n v="28.9"/>
    <n v="28.9"/>
    <x v="0"/>
    <n v="100"/>
    <n v="100"/>
    <n v="66"/>
    <n v="66"/>
    <x v="0"/>
    <x v="1"/>
  </r>
  <r>
    <n v="0"/>
    <x v="0"/>
    <n v="48"/>
    <x v="1"/>
    <n v="2"/>
    <n v="2"/>
    <s v="Secondary"/>
    <x v="0"/>
    <n v="0"/>
    <n v="0"/>
    <n v="0"/>
    <x v="1"/>
    <n v="0"/>
    <x v="0"/>
    <n v="0"/>
    <n v="1"/>
    <n v="0"/>
    <n v="211"/>
    <n v="211"/>
    <x v="1"/>
    <n v="149"/>
    <n v="100"/>
    <n v="30.91"/>
    <n v="30.91"/>
    <x v="2"/>
    <n v="78"/>
    <n v="78"/>
    <n v="62"/>
    <n v="62"/>
    <x v="0"/>
    <x v="0"/>
  </r>
  <r>
    <n v="0"/>
    <x v="0"/>
    <n v="48"/>
    <x v="1"/>
    <n v="3"/>
    <n v="3"/>
    <s v="Graduate"/>
    <x v="1"/>
    <n v="1"/>
    <n v="3"/>
    <n v="3"/>
    <x v="0"/>
    <n v="0"/>
    <x v="0"/>
    <n v="0"/>
    <n v="0"/>
    <n v="0"/>
    <n v="246"/>
    <n v="246"/>
    <x v="0"/>
    <n v="129"/>
    <n v="86"/>
    <n v="25.04"/>
    <n v="25.04"/>
    <x v="0"/>
    <n v="80"/>
    <n v="80"/>
    <n v="87"/>
    <n v="87"/>
    <x v="0"/>
    <x v="0"/>
  </r>
  <r>
    <n v="1"/>
    <x v="1"/>
    <n v="48"/>
    <x v="1"/>
    <n v="1"/>
    <n v="1"/>
    <s v="Primary"/>
    <x v="2"/>
    <n v="1"/>
    <n v="30"/>
    <n v="30"/>
    <x v="0"/>
    <n v="0"/>
    <x v="0"/>
    <n v="0"/>
    <n v="0"/>
    <n v="0"/>
    <n v="212"/>
    <n v="212"/>
    <x v="1"/>
    <n v="139"/>
    <n v="86"/>
    <n v="20.27"/>
    <n v="20.27"/>
    <x v="1"/>
    <n v="66"/>
    <n v="66"/>
    <n v="62"/>
    <n v="62"/>
    <x v="0"/>
    <x v="1"/>
  </r>
  <r>
    <n v="0"/>
    <x v="0"/>
    <n v="48"/>
    <x v="1"/>
    <n v="1"/>
    <n v="1"/>
    <s v="Primary"/>
    <x v="2"/>
    <n v="0"/>
    <n v="0"/>
    <n v="0"/>
    <x v="1"/>
    <n v="0"/>
    <x v="0"/>
    <n v="0"/>
    <n v="0"/>
    <n v="0"/>
    <n v="250"/>
    <n v="250"/>
    <x v="0"/>
    <n v="117"/>
    <n v="81"/>
    <n v="27.04"/>
    <n v="27.04"/>
    <x v="0"/>
    <n v="80"/>
    <n v="80"/>
    <n v="65"/>
    <n v="65"/>
    <x v="0"/>
    <x v="0"/>
  </r>
  <r>
    <n v="0"/>
    <x v="0"/>
    <n v="48"/>
    <x v="1"/>
    <n v="2"/>
    <n v="2"/>
    <s v="Secondary"/>
    <x v="0"/>
    <n v="1"/>
    <n v="20"/>
    <n v="20"/>
    <x v="0"/>
    <n v="0"/>
    <x v="0"/>
    <n v="0"/>
    <n v="1"/>
    <n v="0"/>
    <s v="NA"/>
    <n v="236.69952267303103"/>
    <x v="1"/>
    <n v="153.5"/>
    <n v="95"/>
    <n v="26.35"/>
    <n v="26.35"/>
    <x v="0"/>
    <n v="100"/>
    <n v="100"/>
    <s v="NA"/>
    <n v="81.96365524402907"/>
    <x v="0"/>
    <x v="0"/>
  </r>
  <r>
    <n v="0"/>
    <x v="0"/>
    <n v="48"/>
    <x v="1"/>
    <n v="2"/>
    <n v="2"/>
    <s v="Secondary"/>
    <x v="0"/>
    <n v="0"/>
    <n v="0"/>
    <n v="0"/>
    <x v="1"/>
    <n v="0"/>
    <x v="0"/>
    <n v="0"/>
    <n v="0"/>
    <n v="0"/>
    <n v="231"/>
    <n v="231"/>
    <x v="1"/>
    <n v="115"/>
    <n v="69"/>
    <n v="25.48"/>
    <n v="25.48"/>
    <x v="0"/>
    <n v="90"/>
    <n v="90"/>
    <n v="77"/>
    <n v="77"/>
    <x v="0"/>
    <x v="0"/>
  </r>
  <r>
    <n v="0"/>
    <x v="0"/>
    <n v="48"/>
    <x v="1"/>
    <n v="1"/>
    <n v="1"/>
    <s v="Primary"/>
    <x v="2"/>
    <n v="0"/>
    <n v="0"/>
    <n v="0"/>
    <x v="1"/>
    <n v="0"/>
    <x v="0"/>
    <n v="0"/>
    <n v="0"/>
    <n v="0"/>
    <n v="205"/>
    <n v="205"/>
    <x v="1"/>
    <n v="112"/>
    <n v="71"/>
    <n v="17.11"/>
    <n v="17.11"/>
    <x v="3"/>
    <n v="73"/>
    <n v="73"/>
    <n v="75"/>
    <n v="75"/>
    <x v="0"/>
    <x v="0"/>
  </r>
  <r>
    <n v="0"/>
    <x v="0"/>
    <n v="48"/>
    <x v="1"/>
    <n v="3"/>
    <n v="3"/>
    <s v="Graduate"/>
    <x v="1"/>
    <n v="0"/>
    <n v="0"/>
    <n v="0"/>
    <x v="1"/>
    <n v="0"/>
    <x v="0"/>
    <n v="0"/>
    <n v="0"/>
    <n v="0"/>
    <n v="258"/>
    <n v="258"/>
    <x v="0"/>
    <n v="109.5"/>
    <n v="74"/>
    <n v="26.73"/>
    <n v="26.73"/>
    <x v="0"/>
    <n v="68"/>
    <n v="68"/>
    <s v="NA"/>
    <n v="81.96365524402907"/>
    <x v="0"/>
    <x v="0"/>
  </r>
  <r>
    <n v="0"/>
    <x v="0"/>
    <n v="48"/>
    <x v="1"/>
    <n v="1"/>
    <n v="1"/>
    <s v="Primary"/>
    <x v="2"/>
    <n v="0"/>
    <n v="0"/>
    <n v="0"/>
    <x v="1"/>
    <n v="0"/>
    <x v="0"/>
    <n v="0"/>
    <n v="0"/>
    <n v="0"/>
    <n v="193"/>
    <n v="193"/>
    <x v="1"/>
    <n v="138.5"/>
    <n v="87.5"/>
    <n v="25.1"/>
    <n v="25.1"/>
    <x v="0"/>
    <n v="64"/>
    <n v="64"/>
    <n v="90"/>
    <n v="90"/>
    <x v="0"/>
    <x v="0"/>
  </r>
  <r>
    <n v="1"/>
    <x v="1"/>
    <n v="48"/>
    <x v="1"/>
    <n v="4"/>
    <n v="4"/>
    <s v="Post Graduate"/>
    <x v="3"/>
    <n v="1"/>
    <n v="20"/>
    <n v="20"/>
    <x v="0"/>
    <n v="0"/>
    <x v="0"/>
    <n v="0"/>
    <n v="0"/>
    <n v="0"/>
    <n v="212"/>
    <n v="212"/>
    <x v="1"/>
    <n v="120"/>
    <n v="72"/>
    <n v="22.01"/>
    <n v="22.01"/>
    <x v="1"/>
    <n v="72"/>
    <n v="72"/>
    <n v="77"/>
    <n v="77"/>
    <x v="0"/>
    <x v="0"/>
  </r>
  <r>
    <n v="0"/>
    <x v="0"/>
    <n v="48"/>
    <x v="1"/>
    <n v="2"/>
    <n v="2"/>
    <s v="Secondary"/>
    <x v="0"/>
    <n v="0"/>
    <n v="0"/>
    <n v="0"/>
    <x v="1"/>
    <n v="0"/>
    <x v="0"/>
    <n v="0"/>
    <n v="0"/>
    <n v="0"/>
    <n v="271"/>
    <n v="271"/>
    <x v="0"/>
    <n v="110"/>
    <n v="74"/>
    <n v="21.79"/>
    <n v="21.79"/>
    <x v="1"/>
    <n v="56"/>
    <n v="56"/>
    <n v="67"/>
    <n v="67"/>
    <x v="0"/>
    <x v="0"/>
  </r>
  <r>
    <n v="0"/>
    <x v="0"/>
    <n v="48"/>
    <x v="1"/>
    <n v="3"/>
    <n v="3"/>
    <s v="Graduate"/>
    <x v="1"/>
    <n v="1"/>
    <n v="1"/>
    <n v="1"/>
    <x v="0"/>
    <n v="0"/>
    <x v="0"/>
    <n v="0"/>
    <n v="0"/>
    <n v="0"/>
    <n v="234"/>
    <n v="234"/>
    <x v="1"/>
    <n v="120"/>
    <n v="81"/>
    <n v="23.22"/>
    <n v="23.22"/>
    <x v="1"/>
    <n v="67"/>
    <n v="67"/>
    <n v="83"/>
    <n v="83"/>
    <x v="0"/>
    <x v="0"/>
  </r>
  <r>
    <n v="1"/>
    <x v="1"/>
    <n v="48"/>
    <x v="1"/>
    <n v="1"/>
    <n v="1"/>
    <s v="Primary"/>
    <x v="2"/>
    <n v="1"/>
    <n v="20"/>
    <n v="20"/>
    <x v="0"/>
    <n v="0"/>
    <x v="0"/>
    <n v="0"/>
    <n v="0"/>
    <n v="0"/>
    <n v="268"/>
    <n v="268"/>
    <x v="0"/>
    <n v="116.5"/>
    <n v="82"/>
    <n v="21.34"/>
    <n v="21.34"/>
    <x v="1"/>
    <n v="60"/>
    <n v="60"/>
    <n v="82"/>
    <n v="82"/>
    <x v="0"/>
    <x v="0"/>
  </r>
  <r>
    <n v="0"/>
    <x v="0"/>
    <n v="48"/>
    <x v="1"/>
    <n v="1"/>
    <n v="1"/>
    <s v="Primary"/>
    <x v="2"/>
    <n v="0"/>
    <n v="0"/>
    <n v="0"/>
    <x v="1"/>
    <n v="0"/>
    <x v="0"/>
    <n v="0"/>
    <n v="0"/>
    <n v="0"/>
    <n v="255"/>
    <n v="255"/>
    <x v="0"/>
    <n v="120"/>
    <n v="77.5"/>
    <n v="28.6"/>
    <n v="28.6"/>
    <x v="0"/>
    <n v="75"/>
    <n v="75"/>
    <n v="75"/>
    <n v="75"/>
    <x v="0"/>
    <x v="0"/>
  </r>
  <r>
    <n v="1"/>
    <x v="1"/>
    <n v="48"/>
    <x v="1"/>
    <n v="2"/>
    <n v="2"/>
    <s v="Secondary"/>
    <x v="0"/>
    <n v="1"/>
    <n v="17"/>
    <n v="17"/>
    <x v="0"/>
    <n v="0"/>
    <x v="0"/>
    <n v="0"/>
    <n v="1"/>
    <n v="0"/>
    <n v="250"/>
    <n v="250"/>
    <x v="0"/>
    <n v="177"/>
    <n v="124"/>
    <n v="26.4"/>
    <n v="26.4"/>
    <x v="0"/>
    <n v="75"/>
    <n v="75"/>
    <n v="69"/>
    <n v="69"/>
    <x v="0"/>
    <x v="1"/>
  </r>
  <r>
    <n v="1"/>
    <x v="1"/>
    <n v="48"/>
    <x v="1"/>
    <n v="3"/>
    <n v="3"/>
    <s v="Graduate"/>
    <x v="1"/>
    <n v="0"/>
    <n v="0"/>
    <n v="0"/>
    <x v="1"/>
    <n v="0"/>
    <x v="0"/>
    <n v="0"/>
    <n v="0"/>
    <n v="0"/>
    <n v="235"/>
    <n v="235"/>
    <x v="1"/>
    <n v="150.5"/>
    <n v="98"/>
    <n v="32.4"/>
    <n v="32.4"/>
    <x v="2"/>
    <n v="75"/>
    <n v="75"/>
    <n v="92"/>
    <n v="92"/>
    <x v="0"/>
    <x v="0"/>
  </r>
  <r>
    <n v="0"/>
    <x v="0"/>
    <n v="48"/>
    <x v="1"/>
    <n v="3"/>
    <n v="3"/>
    <s v="Graduate"/>
    <x v="1"/>
    <n v="0"/>
    <n v="0"/>
    <n v="0"/>
    <x v="1"/>
    <n v="0"/>
    <x v="0"/>
    <n v="0"/>
    <n v="0"/>
    <n v="0"/>
    <n v="253"/>
    <n v="253"/>
    <x v="0"/>
    <n v="124"/>
    <n v="77"/>
    <n v="20.27"/>
    <n v="20.27"/>
    <x v="1"/>
    <n v="65"/>
    <n v="65"/>
    <n v="72"/>
    <n v="72"/>
    <x v="0"/>
    <x v="0"/>
  </r>
  <r>
    <n v="1"/>
    <x v="1"/>
    <n v="48"/>
    <x v="1"/>
    <n v="1"/>
    <n v="1"/>
    <s v="Primary"/>
    <x v="2"/>
    <n v="1"/>
    <n v="35"/>
    <n v="35"/>
    <x v="0"/>
    <n v="0"/>
    <x v="0"/>
    <n v="0"/>
    <n v="0"/>
    <n v="0"/>
    <n v="188"/>
    <n v="188"/>
    <x v="1"/>
    <n v="120"/>
    <n v="82.5"/>
    <n v="31.67"/>
    <n v="31.67"/>
    <x v="2"/>
    <n v="80"/>
    <n v="80"/>
    <n v="68"/>
    <n v="68"/>
    <x v="0"/>
    <x v="0"/>
  </r>
  <r>
    <n v="1"/>
    <x v="1"/>
    <n v="48"/>
    <x v="1"/>
    <n v="1"/>
    <n v="1"/>
    <s v="Primary"/>
    <x v="2"/>
    <n v="1"/>
    <n v="60"/>
    <n v="60"/>
    <x v="0"/>
    <n v="0"/>
    <x v="0"/>
    <n v="0"/>
    <n v="0"/>
    <n v="0"/>
    <n v="252"/>
    <n v="252"/>
    <x v="0"/>
    <n v="104"/>
    <n v="73.5"/>
    <n v="23.03"/>
    <n v="23.03"/>
    <x v="1"/>
    <n v="70"/>
    <n v="70"/>
    <n v="77"/>
    <n v="77"/>
    <x v="0"/>
    <x v="0"/>
  </r>
  <r>
    <n v="1"/>
    <x v="1"/>
    <n v="48"/>
    <x v="1"/>
    <n v="4"/>
    <n v="4"/>
    <s v="Post Graduate"/>
    <x v="3"/>
    <n v="1"/>
    <n v="20"/>
    <n v="20"/>
    <x v="0"/>
    <n v="0"/>
    <x v="0"/>
    <n v="0"/>
    <n v="1"/>
    <n v="1"/>
    <n v="230"/>
    <n v="230"/>
    <x v="1"/>
    <n v="135.5"/>
    <n v="90"/>
    <n v="25.34"/>
    <n v="25.34"/>
    <x v="0"/>
    <n v="95"/>
    <n v="95"/>
    <n v="91"/>
    <n v="91"/>
    <x v="0"/>
    <x v="0"/>
  </r>
  <r>
    <n v="0"/>
    <x v="0"/>
    <n v="48"/>
    <x v="1"/>
    <n v="1"/>
    <n v="1"/>
    <s v="Primary"/>
    <x v="2"/>
    <n v="0"/>
    <n v="0"/>
    <n v="0"/>
    <x v="1"/>
    <n v="0"/>
    <x v="0"/>
    <n v="0"/>
    <n v="0"/>
    <n v="0"/>
    <n v="186"/>
    <n v="186"/>
    <x v="1"/>
    <n v="107"/>
    <n v="76"/>
    <n v="26.39"/>
    <n v="26.39"/>
    <x v="0"/>
    <n v="65"/>
    <n v="65"/>
    <n v="90"/>
    <n v="90"/>
    <x v="0"/>
    <x v="0"/>
  </r>
  <r>
    <n v="0"/>
    <x v="0"/>
    <n v="48"/>
    <x v="1"/>
    <n v="1"/>
    <n v="1"/>
    <s v="Primary"/>
    <x v="2"/>
    <n v="1"/>
    <n v="10"/>
    <n v="10"/>
    <x v="0"/>
    <n v="0"/>
    <x v="0"/>
    <n v="0"/>
    <n v="1"/>
    <n v="0"/>
    <n v="188"/>
    <n v="188"/>
    <x v="1"/>
    <n v="170"/>
    <n v="110"/>
    <n v="26.03"/>
    <n v="26.03"/>
    <x v="0"/>
    <n v="90"/>
    <n v="90"/>
    <n v="118"/>
    <n v="118"/>
    <x v="0"/>
    <x v="0"/>
  </r>
  <r>
    <n v="0"/>
    <x v="0"/>
    <n v="48"/>
    <x v="1"/>
    <n v="1"/>
    <n v="1"/>
    <s v="Primary"/>
    <x v="2"/>
    <n v="1"/>
    <n v="15"/>
    <n v="15"/>
    <x v="0"/>
    <n v="0"/>
    <x v="0"/>
    <n v="0"/>
    <n v="0"/>
    <n v="0"/>
    <n v="229"/>
    <n v="229"/>
    <x v="1"/>
    <n v="111"/>
    <n v="85"/>
    <n v="24.1"/>
    <n v="24.1"/>
    <x v="1"/>
    <n v="75"/>
    <n v="75"/>
    <n v="74"/>
    <n v="74"/>
    <x v="0"/>
    <x v="0"/>
  </r>
  <r>
    <n v="0"/>
    <x v="0"/>
    <n v="48"/>
    <x v="1"/>
    <s v="NA"/>
    <n v="1"/>
    <s v="Primary"/>
    <x v="2"/>
    <n v="0"/>
    <n v="0"/>
    <n v="0"/>
    <x v="1"/>
    <n v="0"/>
    <x v="0"/>
    <n v="0"/>
    <n v="1"/>
    <n v="0"/>
    <n v="249"/>
    <n v="249"/>
    <x v="0"/>
    <n v="174"/>
    <n v="101.5"/>
    <n v="28.69"/>
    <n v="28.69"/>
    <x v="0"/>
    <n v="74"/>
    <n v="74"/>
    <n v="76"/>
    <n v="76"/>
    <x v="0"/>
    <x v="0"/>
  </r>
  <r>
    <n v="1"/>
    <x v="1"/>
    <n v="48"/>
    <x v="1"/>
    <n v="2"/>
    <n v="2"/>
    <s v="Secondary"/>
    <x v="0"/>
    <n v="1"/>
    <n v="43"/>
    <n v="43"/>
    <x v="0"/>
    <n v="0"/>
    <x v="0"/>
    <n v="0"/>
    <n v="0"/>
    <n v="0"/>
    <n v="176"/>
    <n v="176"/>
    <x v="1"/>
    <n v="116"/>
    <n v="86"/>
    <n v="21.45"/>
    <n v="21.45"/>
    <x v="1"/>
    <n v="62"/>
    <n v="62"/>
    <n v="76"/>
    <n v="76"/>
    <x v="0"/>
    <x v="0"/>
  </r>
  <r>
    <n v="1"/>
    <x v="1"/>
    <n v="48"/>
    <x v="1"/>
    <n v="4"/>
    <n v="4"/>
    <s v="Post Graduate"/>
    <x v="3"/>
    <n v="1"/>
    <n v="20"/>
    <n v="20"/>
    <x v="0"/>
    <n v="0"/>
    <x v="0"/>
    <n v="0"/>
    <n v="0"/>
    <n v="0"/>
    <n v="236"/>
    <n v="236"/>
    <x v="1"/>
    <n v="112.5"/>
    <n v="75"/>
    <n v="30.43"/>
    <n v="30.43"/>
    <x v="2"/>
    <n v="72"/>
    <n v="72"/>
    <n v="67"/>
    <n v="67"/>
    <x v="0"/>
    <x v="0"/>
  </r>
  <r>
    <n v="0"/>
    <x v="0"/>
    <n v="48"/>
    <x v="1"/>
    <n v="1"/>
    <n v="1"/>
    <s v="Primary"/>
    <x v="2"/>
    <n v="0"/>
    <n v="0"/>
    <n v="0"/>
    <x v="1"/>
    <n v="0"/>
    <x v="0"/>
    <n v="0"/>
    <n v="0"/>
    <n v="0"/>
    <n v="279"/>
    <n v="279"/>
    <x v="0"/>
    <n v="128.5"/>
    <n v="73.5"/>
    <n v="27.49"/>
    <n v="27.49"/>
    <x v="0"/>
    <n v="72"/>
    <n v="72"/>
    <n v="77"/>
    <n v="77"/>
    <x v="0"/>
    <x v="0"/>
  </r>
  <r>
    <n v="0"/>
    <x v="0"/>
    <n v="48"/>
    <x v="1"/>
    <n v="3"/>
    <n v="3"/>
    <s v="Graduate"/>
    <x v="1"/>
    <n v="1"/>
    <n v="20"/>
    <n v="20"/>
    <x v="0"/>
    <n v="0"/>
    <x v="0"/>
    <n v="0"/>
    <n v="0"/>
    <n v="0"/>
    <n v="253"/>
    <n v="253"/>
    <x v="0"/>
    <n v="105"/>
    <n v="59"/>
    <n v="19.420000000000002"/>
    <n v="19.420000000000002"/>
    <x v="1"/>
    <n v="62"/>
    <n v="62"/>
    <n v="83"/>
    <n v="83"/>
    <x v="0"/>
    <x v="0"/>
  </r>
  <r>
    <n v="1"/>
    <x v="1"/>
    <n v="48"/>
    <x v="1"/>
    <n v="3"/>
    <n v="3"/>
    <s v="Graduate"/>
    <x v="1"/>
    <n v="1"/>
    <n v="25"/>
    <n v="25"/>
    <x v="0"/>
    <n v="0"/>
    <x v="0"/>
    <n v="0"/>
    <n v="0"/>
    <n v="0"/>
    <n v="200"/>
    <n v="200"/>
    <x v="1"/>
    <n v="126.5"/>
    <n v="91.5"/>
    <n v="30.34"/>
    <n v="30.34"/>
    <x v="2"/>
    <n v="75"/>
    <n v="75"/>
    <s v="NA"/>
    <n v="81.96365524402907"/>
    <x v="0"/>
    <x v="0"/>
  </r>
  <r>
    <n v="0"/>
    <x v="0"/>
    <n v="48"/>
    <x v="1"/>
    <n v="1"/>
    <n v="1"/>
    <s v="Primary"/>
    <x v="2"/>
    <n v="0"/>
    <n v="0"/>
    <n v="0"/>
    <x v="1"/>
    <n v="0"/>
    <x v="0"/>
    <n v="0"/>
    <n v="0"/>
    <n v="0"/>
    <n v="270"/>
    <n v="270"/>
    <x v="0"/>
    <n v="134"/>
    <n v="87"/>
    <n v="24.91"/>
    <n v="24.91"/>
    <x v="1"/>
    <n v="75"/>
    <n v="75"/>
    <n v="77"/>
    <n v="77"/>
    <x v="0"/>
    <x v="0"/>
  </r>
  <r>
    <n v="1"/>
    <x v="1"/>
    <n v="48"/>
    <x v="1"/>
    <n v="3"/>
    <n v="3"/>
    <s v="Graduate"/>
    <x v="1"/>
    <n v="0"/>
    <n v="0"/>
    <n v="0"/>
    <x v="1"/>
    <n v="0"/>
    <x v="0"/>
    <n v="0"/>
    <n v="1"/>
    <n v="0"/>
    <n v="234"/>
    <n v="234"/>
    <x v="1"/>
    <n v="141"/>
    <n v="98"/>
    <n v="21.06"/>
    <n v="21.06"/>
    <x v="1"/>
    <n v="53"/>
    <n v="53"/>
    <n v="82"/>
    <n v="82"/>
    <x v="0"/>
    <x v="0"/>
  </r>
  <r>
    <n v="1"/>
    <x v="1"/>
    <n v="48"/>
    <x v="1"/>
    <n v="1"/>
    <n v="1"/>
    <s v="Primary"/>
    <x v="2"/>
    <n v="1"/>
    <n v="1"/>
    <n v="1"/>
    <x v="0"/>
    <n v="0"/>
    <x v="0"/>
    <n v="0"/>
    <n v="0"/>
    <n v="0"/>
    <n v="259"/>
    <n v="259"/>
    <x v="0"/>
    <n v="130"/>
    <n v="95"/>
    <n v="23.68"/>
    <n v="23.68"/>
    <x v="1"/>
    <n v="68"/>
    <n v="68"/>
    <s v="NA"/>
    <n v="81.96365524402907"/>
    <x v="0"/>
    <x v="0"/>
  </r>
  <r>
    <n v="1"/>
    <x v="1"/>
    <n v="48"/>
    <x v="1"/>
    <n v="1"/>
    <n v="1"/>
    <s v="Primary"/>
    <x v="2"/>
    <n v="0"/>
    <n v="0"/>
    <n v="0"/>
    <x v="1"/>
    <n v="0"/>
    <x v="0"/>
    <n v="0"/>
    <n v="0"/>
    <n v="0"/>
    <n v="210"/>
    <n v="210"/>
    <x v="1"/>
    <n v="134"/>
    <n v="83"/>
    <n v="25.08"/>
    <n v="25.08"/>
    <x v="0"/>
    <n v="75"/>
    <n v="75"/>
    <n v="107"/>
    <n v="107"/>
    <x v="0"/>
    <x v="0"/>
  </r>
  <r>
    <n v="0"/>
    <x v="0"/>
    <n v="48"/>
    <x v="1"/>
    <n v="1"/>
    <n v="1"/>
    <s v="Primary"/>
    <x v="2"/>
    <n v="1"/>
    <n v="2"/>
    <n v="2"/>
    <x v="0"/>
    <n v="0"/>
    <x v="0"/>
    <n v="0"/>
    <n v="0"/>
    <n v="0"/>
    <s v="NA"/>
    <n v="236.69952267303103"/>
    <x v="1"/>
    <n v="129"/>
    <n v="90"/>
    <n v="16.61"/>
    <n v="16.61"/>
    <x v="3"/>
    <n v="80"/>
    <n v="80"/>
    <s v="NA"/>
    <n v="81.96365524402907"/>
    <x v="0"/>
    <x v="1"/>
  </r>
  <r>
    <n v="0"/>
    <x v="0"/>
    <n v="48"/>
    <x v="1"/>
    <n v="1"/>
    <n v="1"/>
    <s v="Primary"/>
    <x v="2"/>
    <n v="1"/>
    <n v="35"/>
    <n v="35"/>
    <x v="0"/>
    <n v="0"/>
    <x v="0"/>
    <n v="0"/>
    <n v="1"/>
    <n v="0"/>
    <n v="174"/>
    <n v="174"/>
    <x v="1"/>
    <n v="154"/>
    <n v="84"/>
    <n v="31.76"/>
    <n v="31.76"/>
    <x v="2"/>
    <n v="72"/>
    <n v="72"/>
    <n v="90"/>
    <n v="90"/>
    <x v="0"/>
    <x v="0"/>
  </r>
  <r>
    <n v="0"/>
    <x v="0"/>
    <n v="48"/>
    <x v="1"/>
    <n v="1"/>
    <n v="1"/>
    <s v="Primary"/>
    <x v="2"/>
    <n v="0"/>
    <n v="0"/>
    <n v="0"/>
    <x v="1"/>
    <n v="0"/>
    <x v="0"/>
    <n v="0"/>
    <n v="1"/>
    <n v="0"/>
    <n v="246"/>
    <n v="246"/>
    <x v="0"/>
    <n v="165"/>
    <n v="84"/>
    <n v="27.6"/>
    <n v="27.6"/>
    <x v="0"/>
    <n v="122"/>
    <n v="122"/>
    <n v="73"/>
    <n v="73"/>
    <x v="0"/>
    <x v="0"/>
  </r>
  <r>
    <n v="1"/>
    <x v="1"/>
    <n v="48"/>
    <x v="1"/>
    <n v="4"/>
    <n v="4"/>
    <s v="Post Graduate"/>
    <x v="3"/>
    <n v="0"/>
    <n v="0"/>
    <n v="0"/>
    <x v="1"/>
    <n v="0"/>
    <x v="0"/>
    <n v="0"/>
    <n v="1"/>
    <n v="0"/>
    <n v="205"/>
    <n v="205"/>
    <x v="1"/>
    <n v="148"/>
    <n v="103"/>
    <n v="28.31"/>
    <n v="28.31"/>
    <x v="0"/>
    <n v="75"/>
    <n v="75"/>
    <n v="60"/>
    <n v="60"/>
    <x v="0"/>
    <x v="0"/>
  </r>
  <r>
    <n v="1"/>
    <x v="1"/>
    <n v="48"/>
    <x v="1"/>
    <n v="1"/>
    <n v="1"/>
    <s v="Primary"/>
    <x v="2"/>
    <n v="0"/>
    <n v="0"/>
    <n v="0"/>
    <x v="1"/>
    <n v="0"/>
    <x v="0"/>
    <n v="0"/>
    <n v="1"/>
    <n v="0"/>
    <n v="232"/>
    <n v="232"/>
    <x v="1"/>
    <n v="130.5"/>
    <n v="90"/>
    <n v="29.07"/>
    <n v="29.07"/>
    <x v="0"/>
    <n v="85"/>
    <n v="85"/>
    <n v="118"/>
    <n v="118"/>
    <x v="0"/>
    <x v="0"/>
  </r>
  <r>
    <n v="0"/>
    <x v="0"/>
    <n v="48"/>
    <x v="1"/>
    <n v="2"/>
    <n v="2"/>
    <s v="Secondary"/>
    <x v="0"/>
    <n v="0"/>
    <n v="0"/>
    <n v="0"/>
    <x v="1"/>
    <n v="0"/>
    <x v="0"/>
    <n v="0"/>
    <n v="0"/>
    <n v="0"/>
    <n v="237"/>
    <n v="237"/>
    <x v="1"/>
    <n v="124.5"/>
    <n v="66.5"/>
    <n v="33.29"/>
    <n v="33.29"/>
    <x v="2"/>
    <n v="80"/>
    <n v="80"/>
    <n v="91"/>
    <n v="91"/>
    <x v="0"/>
    <x v="0"/>
  </r>
  <r>
    <n v="1"/>
    <x v="1"/>
    <n v="48"/>
    <x v="1"/>
    <n v="2"/>
    <n v="2"/>
    <s v="Secondary"/>
    <x v="0"/>
    <n v="0"/>
    <n v="0"/>
    <n v="0"/>
    <x v="1"/>
    <n v="0"/>
    <x v="0"/>
    <n v="0"/>
    <n v="1"/>
    <n v="0"/>
    <n v="251"/>
    <n v="251"/>
    <x v="0"/>
    <n v="148"/>
    <n v="91"/>
    <n v="25.79"/>
    <n v="25.79"/>
    <x v="0"/>
    <n v="75"/>
    <n v="75"/>
    <n v="83"/>
    <n v="83"/>
    <x v="0"/>
    <x v="0"/>
  </r>
  <r>
    <n v="1"/>
    <x v="1"/>
    <n v="48"/>
    <x v="1"/>
    <n v="2"/>
    <n v="2"/>
    <s v="Secondary"/>
    <x v="0"/>
    <n v="0"/>
    <n v="0"/>
    <n v="0"/>
    <x v="1"/>
    <n v="1"/>
    <x v="1"/>
    <n v="0"/>
    <n v="1"/>
    <n v="0"/>
    <n v="336"/>
    <n v="336"/>
    <x v="0"/>
    <n v="183"/>
    <n v="108"/>
    <n v="28.11"/>
    <n v="28.11"/>
    <x v="0"/>
    <n v="106"/>
    <n v="106"/>
    <n v="96"/>
    <n v="96"/>
    <x v="0"/>
    <x v="0"/>
  </r>
  <r>
    <n v="0"/>
    <x v="0"/>
    <n v="48"/>
    <x v="1"/>
    <n v="1"/>
    <n v="1"/>
    <s v="Primary"/>
    <x v="2"/>
    <n v="0"/>
    <n v="0"/>
    <n v="0"/>
    <x v="1"/>
    <n v="0"/>
    <x v="0"/>
    <n v="0"/>
    <n v="1"/>
    <n v="0"/>
    <n v="202"/>
    <n v="202"/>
    <x v="1"/>
    <n v="171"/>
    <n v="97"/>
    <n v="32.67"/>
    <n v="32.67"/>
    <x v="2"/>
    <n v="95"/>
    <n v="95"/>
    <n v="78"/>
    <n v="78"/>
    <x v="0"/>
    <x v="0"/>
  </r>
  <r>
    <n v="0"/>
    <x v="0"/>
    <n v="48"/>
    <x v="1"/>
    <n v="1"/>
    <n v="1"/>
    <s v="Primary"/>
    <x v="2"/>
    <n v="1"/>
    <n v="20"/>
    <n v="20"/>
    <x v="0"/>
    <n v="0"/>
    <x v="0"/>
    <n v="0"/>
    <n v="1"/>
    <n v="0"/>
    <n v="252"/>
    <n v="252"/>
    <x v="0"/>
    <n v="143"/>
    <n v="81"/>
    <n v="24"/>
    <n v="24"/>
    <x v="1"/>
    <n v="85"/>
    <n v="85"/>
    <n v="101"/>
    <n v="101"/>
    <x v="0"/>
    <x v="0"/>
  </r>
  <r>
    <n v="1"/>
    <x v="1"/>
    <n v="48"/>
    <x v="1"/>
    <n v="4"/>
    <n v="4"/>
    <s v="Post Graduate"/>
    <x v="3"/>
    <n v="1"/>
    <n v="25"/>
    <n v="25"/>
    <x v="0"/>
    <n v="0"/>
    <x v="0"/>
    <n v="0"/>
    <n v="1"/>
    <n v="0"/>
    <n v="216"/>
    <n v="216"/>
    <x v="1"/>
    <n v="144"/>
    <n v="79"/>
    <n v="25.09"/>
    <n v="25.09"/>
    <x v="0"/>
    <n v="67"/>
    <n v="67"/>
    <n v="85"/>
    <n v="85"/>
    <x v="0"/>
    <x v="0"/>
  </r>
  <r>
    <n v="0"/>
    <x v="0"/>
    <n v="48"/>
    <x v="1"/>
    <n v="4"/>
    <n v="4"/>
    <s v="Post Graduate"/>
    <x v="3"/>
    <n v="1"/>
    <n v="17"/>
    <n v="17"/>
    <x v="0"/>
    <n v="0"/>
    <x v="0"/>
    <n v="0"/>
    <n v="0"/>
    <n v="0"/>
    <n v="299"/>
    <n v="299"/>
    <x v="0"/>
    <n v="132"/>
    <n v="81"/>
    <n v="24.35"/>
    <n v="24.35"/>
    <x v="1"/>
    <n v="75"/>
    <n v="75"/>
    <n v="70"/>
    <n v="70"/>
    <x v="0"/>
    <x v="0"/>
  </r>
  <r>
    <n v="1"/>
    <x v="1"/>
    <n v="48"/>
    <x v="1"/>
    <n v="2"/>
    <n v="2"/>
    <s v="Secondary"/>
    <x v="0"/>
    <n v="1"/>
    <n v="20"/>
    <n v="20"/>
    <x v="0"/>
    <n v="0"/>
    <x v="0"/>
    <n v="0"/>
    <n v="0"/>
    <n v="0"/>
    <n v="210"/>
    <n v="210"/>
    <x v="1"/>
    <n v="134.5"/>
    <n v="84"/>
    <n v="27.97"/>
    <n v="27.97"/>
    <x v="0"/>
    <n v="65"/>
    <n v="65"/>
    <n v="87"/>
    <n v="87"/>
    <x v="0"/>
    <x v="0"/>
  </r>
  <r>
    <n v="1"/>
    <x v="1"/>
    <n v="48"/>
    <x v="1"/>
    <n v="2"/>
    <n v="2"/>
    <s v="Secondary"/>
    <x v="0"/>
    <n v="1"/>
    <n v="17"/>
    <n v="17"/>
    <x v="0"/>
    <n v="0"/>
    <x v="0"/>
    <n v="0"/>
    <n v="0"/>
    <n v="0"/>
    <n v="218"/>
    <n v="218"/>
    <x v="1"/>
    <n v="113"/>
    <n v="79"/>
    <n v="27.33"/>
    <n v="27.33"/>
    <x v="0"/>
    <n v="62"/>
    <n v="62"/>
    <n v="73"/>
    <n v="73"/>
    <x v="0"/>
    <x v="0"/>
  </r>
  <r>
    <n v="0"/>
    <x v="0"/>
    <n v="48"/>
    <x v="1"/>
    <n v="2"/>
    <n v="2"/>
    <s v="Secondary"/>
    <x v="0"/>
    <n v="1"/>
    <n v="25"/>
    <n v="25"/>
    <x v="0"/>
    <n v="0"/>
    <x v="0"/>
    <n v="0"/>
    <n v="0"/>
    <n v="0"/>
    <n v="250"/>
    <n v="250"/>
    <x v="0"/>
    <n v="103"/>
    <n v="76.5"/>
    <n v="23.25"/>
    <n v="23.25"/>
    <x v="1"/>
    <n v="72"/>
    <n v="72"/>
    <n v="66"/>
    <n v="66"/>
    <x v="0"/>
    <x v="0"/>
  </r>
  <r>
    <n v="1"/>
    <x v="1"/>
    <n v="48"/>
    <x v="1"/>
    <n v="3"/>
    <n v="3"/>
    <s v="Graduate"/>
    <x v="1"/>
    <n v="0"/>
    <n v="0"/>
    <n v="0"/>
    <x v="1"/>
    <n v="0"/>
    <x v="0"/>
    <n v="0"/>
    <n v="0"/>
    <n v="0"/>
    <n v="243"/>
    <n v="243"/>
    <x v="0"/>
    <n v="116"/>
    <n v="82"/>
    <n v="26.09"/>
    <n v="26.09"/>
    <x v="0"/>
    <n v="80"/>
    <n v="80"/>
    <n v="85"/>
    <n v="85"/>
    <x v="0"/>
    <x v="0"/>
  </r>
  <r>
    <n v="1"/>
    <x v="1"/>
    <n v="48"/>
    <x v="1"/>
    <n v="3"/>
    <n v="3"/>
    <s v="Graduate"/>
    <x v="1"/>
    <n v="1"/>
    <n v="20"/>
    <n v="20"/>
    <x v="0"/>
    <n v="0"/>
    <x v="0"/>
    <n v="0"/>
    <n v="0"/>
    <n v="0"/>
    <n v="187"/>
    <n v="187"/>
    <x v="1"/>
    <n v="102"/>
    <n v="69"/>
    <n v="24.24"/>
    <n v="24.24"/>
    <x v="1"/>
    <n v="68"/>
    <n v="68"/>
    <n v="72"/>
    <n v="72"/>
    <x v="0"/>
    <x v="0"/>
  </r>
  <r>
    <n v="1"/>
    <x v="1"/>
    <n v="48"/>
    <x v="1"/>
    <n v="4"/>
    <n v="4"/>
    <s v="Post Graduate"/>
    <x v="3"/>
    <n v="1"/>
    <n v="20"/>
    <n v="20"/>
    <x v="0"/>
    <n v="0"/>
    <x v="0"/>
    <n v="0"/>
    <n v="1"/>
    <n v="0"/>
    <n v="259"/>
    <n v="259"/>
    <x v="0"/>
    <n v="135"/>
    <n v="90"/>
    <n v="20.72"/>
    <n v="20.72"/>
    <x v="1"/>
    <n v="102"/>
    <n v="102"/>
    <n v="81"/>
    <n v="81"/>
    <x v="0"/>
    <x v="1"/>
  </r>
  <r>
    <n v="0"/>
    <x v="0"/>
    <n v="48"/>
    <x v="1"/>
    <n v="2"/>
    <n v="2"/>
    <s v="Secondary"/>
    <x v="0"/>
    <n v="1"/>
    <n v="20"/>
    <n v="20"/>
    <x v="0"/>
    <n v="0"/>
    <x v="0"/>
    <n v="0"/>
    <n v="0"/>
    <n v="0"/>
    <n v="271"/>
    <n v="271"/>
    <x v="0"/>
    <n v="130"/>
    <n v="84"/>
    <n v="21.97"/>
    <n v="21.97"/>
    <x v="1"/>
    <n v="120"/>
    <n v="120"/>
    <n v="85"/>
    <n v="85"/>
    <x v="0"/>
    <x v="0"/>
  </r>
  <r>
    <n v="1"/>
    <x v="1"/>
    <n v="48"/>
    <x v="1"/>
    <n v="1"/>
    <n v="1"/>
    <s v="Primary"/>
    <x v="2"/>
    <n v="0"/>
    <n v="0"/>
    <n v="0"/>
    <x v="1"/>
    <n v="0"/>
    <x v="0"/>
    <n v="0"/>
    <n v="0"/>
    <n v="0"/>
    <n v="201"/>
    <n v="201"/>
    <x v="1"/>
    <n v="117.5"/>
    <n v="80"/>
    <n v="23.68"/>
    <n v="23.68"/>
    <x v="1"/>
    <n v="66"/>
    <n v="66"/>
    <n v="85"/>
    <n v="85"/>
    <x v="0"/>
    <x v="0"/>
  </r>
  <r>
    <n v="0"/>
    <x v="0"/>
    <n v="48"/>
    <x v="1"/>
    <n v="3"/>
    <n v="3"/>
    <s v="Graduate"/>
    <x v="1"/>
    <n v="1"/>
    <n v="9"/>
    <n v="9"/>
    <x v="0"/>
    <n v="0"/>
    <x v="0"/>
    <n v="0"/>
    <n v="1"/>
    <n v="0"/>
    <n v="266"/>
    <n v="266"/>
    <x v="0"/>
    <n v="155"/>
    <n v="100"/>
    <n v="27.86"/>
    <n v="27.86"/>
    <x v="0"/>
    <n v="75"/>
    <n v="75"/>
    <n v="84"/>
    <n v="84"/>
    <x v="0"/>
    <x v="0"/>
  </r>
  <r>
    <n v="0"/>
    <x v="0"/>
    <n v="48"/>
    <x v="1"/>
    <n v="1"/>
    <n v="1"/>
    <s v="Primary"/>
    <x v="2"/>
    <n v="0"/>
    <n v="0"/>
    <n v="0"/>
    <x v="1"/>
    <n v="0"/>
    <x v="0"/>
    <n v="0"/>
    <n v="1"/>
    <n v="0"/>
    <n v="234"/>
    <n v="234"/>
    <x v="1"/>
    <n v="144"/>
    <n v="90"/>
    <n v="29.34"/>
    <n v="29.34"/>
    <x v="0"/>
    <n v="72"/>
    <n v="72"/>
    <n v="70"/>
    <n v="70"/>
    <x v="0"/>
    <x v="0"/>
  </r>
  <r>
    <n v="0"/>
    <x v="0"/>
    <n v="48"/>
    <x v="1"/>
    <n v="4"/>
    <n v="4"/>
    <s v="Post Graduate"/>
    <x v="3"/>
    <n v="0"/>
    <n v="0"/>
    <n v="0"/>
    <x v="1"/>
    <n v="0"/>
    <x v="0"/>
    <n v="0"/>
    <n v="0"/>
    <n v="0"/>
    <n v="240"/>
    <n v="240"/>
    <x v="1"/>
    <n v="123"/>
    <n v="80"/>
    <n v="24.57"/>
    <n v="24.57"/>
    <x v="1"/>
    <n v="66"/>
    <n v="66"/>
    <n v="74"/>
    <n v="74"/>
    <x v="0"/>
    <x v="0"/>
  </r>
  <r>
    <n v="1"/>
    <x v="1"/>
    <n v="48"/>
    <x v="1"/>
    <n v="1"/>
    <n v="1"/>
    <s v="Primary"/>
    <x v="2"/>
    <n v="0"/>
    <n v="0"/>
    <n v="0"/>
    <x v="1"/>
    <n v="0"/>
    <x v="0"/>
    <n v="0"/>
    <n v="0"/>
    <n v="0"/>
    <n v="251"/>
    <n v="251"/>
    <x v="0"/>
    <n v="112"/>
    <n v="77"/>
    <n v="30.28"/>
    <n v="30.28"/>
    <x v="2"/>
    <n v="80"/>
    <n v="80"/>
    <n v="88"/>
    <n v="88"/>
    <x v="0"/>
    <x v="0"/>
  </r>
  <r>
    <n v="0"/>
    <x v="0"/>
    <n v="48"/>
    <x v="1"/>
    <n v="2"/>
    <n v="2"/>
    <s v="Secondary"/>
    <x v="0"/>
    <n v="1"/>
    <n v="20"/>
    <n v="20"/>
    <x v="0"/>
    <n v="0"/>
    <x v="0"/>
    <n v="0"/>
    <n v="0"/>
    <n v="0"/>
    <n v="211"/>
    <n v="211"/>
    <x v="1"/>
    <n v="130"/>
    <n v="73"/>
    <n v="19.72"/>
    <n v="19.72"/>
    <x v="1"/>
    <n v="82"/>
    <n v="82"/>
    <s v="NA"/>
    <n v="81.96365524402907"/>
    <x v="0"/>
    <x v="1"/>
  </r>
  <r>
    <n v="0"/>
    <x v="0"/>
    <n v="48"/>
    <x v="1"/>
    <n v="1"/>
    <n v="1"/>
    <s v="Primary"/>
    <x v="2"/>
    <n v="0"/>
    <n v="0"/>
    <n v="0"/>
    <x v="1"/>
    <n v="0"/>
    <x v="0"/>
    <n v="0"/>
    <n v="0"/>
    <n v="0"/>
    <n v="225"/>
    <n v="225"/>
    <x v="1"/>
    <n v="132"/>
    <n v="80"/>
    <n v="21.35"/>
    <n v="21.35"/>
    <x v="1"/>
    <n v="60"/>
    <n v="60"/>
    <n v="74"/>
    <n v="74"/>
    <x v="0"/>
    <x v="0"/>
  </r>
  <r>
    <n v="0"/>
    <x v="0"/>
    <n v="48"/>
    <x v="1"/>
    <n v="3"/>
    <n v="3"/>
    <s v="Graduate"/>
    <x v="1"/>
    <n v="1"/>
    <n v="5"/>
    <n v="5"/>
    <x v="0"/>
    <n v="0"/>
    <x v="0"/>
    <n v="0"/>
    <n v="0"/>
    <n v="0"/>
    <n v="172"/>
    <n v="172"/>
    <x v="1"/>
    <n v="114"/>
    <n v="80"/>
    <n v="21.33"/>
    <n v="21.33"/>
    <x v="1"/>
    <n v="60"/>
    <n v="60"/>
    <s v="NA"/>
    <n v="81.96365524402907"/>
    <x v="0"/>
    <x v="0"/>
  </r>
  <r>
    <n v="0"/>
    <x v="0"/>
    <n v="48"/>
    <x v="1"/>
    <n v="1"/>
    <n v="1"/>
    <s v="Primary"/>
    <x v="2"/>
    <n v="1"/>
    <n v="10"/>
    <n v="10"/>
    <x v="0"/>
    <n v="0"/>
    <x v="0"/>
    <n v="0"/>
    <n v="0"/>
    <n v="0"/>
    <n v="195"/>
    <n v="195"/>
    <x v="1"/>
    <n v="121"/>
    <n v="78"/>
    <n v="26.27"/>
    <n v="26.27"/>
    <x v="0"/>
    <n v="75"/>
    <n v="75"/>
    <n v="80"/>
    <n v="80"/>
    <x v="0"/>
    <x v="0"/>
  </r>
  <r>
    <n v="0"/>
    <x v="0"/>
    <n v="48"/>
    <x v="1"/>
    <n v="1"/>
    <n v="1"/>
    <s v="Primary"/>
    <x v="2"/>
    <n v="0"/>
    <n v="0"/>
    <n v="0"/>
    <x v="1"/>
    <n v="0"/>
    <x v="0"/>
    <n v="0"/>
    <n v="1"/>
    <n v="0"/>
    <n v="275"/>
    <n v="275"/>
    <x v="0"/>
    <n v="177"/>
    <n v="101"/>
    <n v="25.22"/>
    <n v="25.22"/>
    <x v="0"/>
    <n v="75"/>
    <n v="75"/>
    <n v="82"/>
    <n v="82"/>
    <x v="0"/>
    <x v="1"/>
  </r>
  <r>
    <n v="0"/>
    <x v="0"/>
    <n v="48"/>
    <x v="1"/>
    <n v="2"/>
    <n v="2"/>
    <s v="Secondary"/>
    <x v="0"/>
    <n v="1"/>
    <n v="20"/>
    <n v="20"/>
    <x v="0"/>
    <n v="0"/>
    <x v="0"/>
    <n v="0"/>
    <n v="0"/>
    <n v="0"/>
    <n v="182"/>
    <n v="182"/>
    <x v="1"/>
    <n v="121"/>
    <n v="72"/>
    <n v="26.39"/>
    <n v="26.39"/>
    <x v="0"/>
    <n v="76"/>
    <n v="76"/>
    <s v="NA"/>
    <n v="81.96365524402907"/>
    <x v="0"/>
    <x v="0"/>
  </r>
  <r>
    <n v="0"/>
    <x v="0"/>
    <n v="48"/>
    <x v="1"/>
    <n v="1"/>
    <n v="1"/>
    <s v="Primary"/>
    <x v="2"/>
    <n v="1"/>
    <n v="20"/>
    <n v="20"/>
    <x v="0"/>
    <n v="0"/>
    <x v="0"/>
    <n v="0"/>
    <n v="0"/>
    <n v="0"/>
    <s v="NA"/>
    <n v="236.69952267303103"/>
    <x v="1"/>
    <n v="117.5"/>
    <n v="67.5"/>
    <n v="28.62"/>
    <n v="28.62"/>
    <x v="0"/>
    <n v="75"/>
    <n v="75"/>
    <n v="68"/>
    <n v="68"/>
    <x v="0"/>
    <x v="1"/>
  </r>
  <r>
    <n v="1"/>
    <x v="1"/>
    <n v="48"/>
    <x v="1"/>
    <n v="2"/>
    <n v="2"/>
    <s v="Secondary"/>
    <x v="0"/>
    <n v="1"/>
    <n v="15"/>
    <n v="15"/>
    <x v="0"/>
    <n v="0"/>
    <x v="0"/>
    <n v="0"/>
    <n v="0"/>
    <n v="0"/>
    <n v="214"/>
    <n v="214"/>
    <x v="1"/>
    <n v="114"/>
    <n v="80"/>
    <n v="26.27"/>
    <n v="26.27"/>
    <x v="0"/>
    <n v="95"/>
    <n v="95"/>
    <n v="99"/>
    <n v="99"/>
    <x v="0"/>
    <x v="0"/>
  </r>
  <r>
    <n v="1"/>
    <x v="1"/>
    <n v="48"/>
    <x v="1"/>
    <n v="2"/>
    <n v="2"/>
    <s v="Secondary"/>
    <x v="0"/>
    <n v="1"/>
    <n v="20"/>
    <n v="20"/>
    <x v="0"/>
    <n v="0"/>
    <x v="0"/>
    <n v="0"/>
    <n v="0"/>
    <n v="0"/>
    <n v="194"/>
    <n v="194"/>
    <x v="1"/>
    <n v="102.5"/>
    <n v="69"/>
    <n v="18.55"/>
    <n v="18.55"/>
    <x v="1"/>
    <n v="79"/>
    <n v="79"/>
    <n v="83"/>
    <n v="83"/>
    <x v="0"/>
    <x v="0"/>
  </r>
  <r>
    <n v="1"/>
    <x v="1"/>
    <n v="48"/>
    <x v="1"/>
    <n v="2"/>
    <n v="2"/>
    <s v="Secondary"/>
    <x v="0"/>
    <n v="0"/>
    <n v="0"/>
    <n v="0"/>
    <x v="1"/>
    <n v="0"/>
    <x v="0"/>
    <n v="0"/>
    <n v="0"/>
    <n v="0"/>
    <n v="263"/>
    <n v="263"/>
    <x v="0"/>
    <n v="114"/>
    <n v="80"/>
    <n v="25.14"/>
    <n v="25.14"/>
    <x v="0"/>
    <n v="80"/>
    <n v="80"/>
    <n v="77"/>
    <n v="77"/>
    <x v="0"/>
    <x v="0"/>
  </r>
  <r>
    <n v="1"/>
    <x v="1"/>
    <n v="48"/>
    <x v="1"/>
    <n v="1"/>
    <n v="1"/>
    <s v="Primary"/>
    <x v="2"/>
    <n v="1"/>
    <n v="20"/>
    <n v="20"/>
    <x v="0"/>
    <n v="0"/>
    <x v="0"/>
    <n v="0"/>
    <n v="0"/>
    <n v="0"/>
    <n v="285"/>
    <n v="285"/>
    <x v="0"/>
    <n v="116"/>
    <n v="81"/>
    <n v="23.1"/>
    <n v="23.1"/>
    <x v="1"/>
    <n v="100"/>
    <n v="100"/>
    <n v="58"/>
    <n v="58"/>
    <x v="0"/>
    <x v="0"/>
  </r>
  <r>
    <n v="1"/>
    <x v="1"/>
    <n v="48"/>
    <x v="1"/>
    <n v="2"/>
    <n v="2"/>
    <s v="Secondary"/>
    <x v="0"/>
    <n v="1"/>
    <n v="20"/>
    <n v="20"/>
    <x v="0"/>
    <n v="0"/>
    <x v="0"/>
    <n v="0"/>
    <n v="0"/>
    <n v="1"/>
    <n v="172"/>
    <n v="172"/>
    <x v="1"/>
    <n v="131"/>
    <n v="79"/>
    <n v="35.119999999999997"/>
    <n v="35.119999999999997"/>
    <x v="2"/>
    <n v="75"/>
    <n v="75"/>
    <n v="108"/>
    <n v="108"/>
    <x v="0"/>
    <x v="0"/>
  </r>
  <r>
    <n v="0"/>
    <x v="0"/>
    <n v="48"/>
    <x v="1"/>
    <n v="1"/>
    <n v="1"/>
    <s v="Primary"/>
    <x v="2"/>
    <n v="0"/>
    <n v="0"/>
    <n v="0"/>
    <x v="1"/>
    <n v="0"/>
    <x v="0"/>
    <n v="0"/>
    <n v="0"/>
    <n v="0"/>
    <n v="186"/>
    <n v="186"/>
    <x v="1"/>
    <n v="113"/>
    <n v="78"/>
    <n v="22.98"/>
    <n v="22.98"/>
    <x v="1"/>
    <n v="64"/>
    <n v="64"/>
    <s v="NA"/>
    <n v="81.96365524402907"/>
    <x v="0"/>
    <x v="0"/>
  </r>
  <r>
    <n v="0"/>
    <x v="0"/>
    <n v="48"/>
    <x v="1"/>
    <n v="3"/>
    <n v="3"/>
    <s v="Graduate"/>
    <x v="1"/>
    <n v="1"/>
    <n v="20"/>
    <n v="20"/>
    <x v="0"/>
    <n v="0"/>
    <x v="0"/>
    <n v="0"/>
    <n v="0"/>
    <n v="0"/>
    <n v="215"/>
    <n v="215"/>
    <x v="1"/>
    <n v="114"/>
    <n v="64"/>
    <n v="21.51"/>
    <n v="21.51"/>
    <x v="1"/>
    <n v="74"/>
    <n v="74"/>
    <n v="64"/>
    <n v="64"/>
    <x v="0"/>
    <x v="0"/>
  </r>
  <r>
    <n v="0"/>
    <x v="0"/>
    <n v="48"/>
    <x v="1"/>
    <n v="4"/>
    <n v="4"/>
    <s v="Post Graduate"/>
    <x v="3"/>
    <n v="1"/>
    <n v="3"/>
    <n v="3"/>
    <x v="0"/>
    <n v="0"/>
    <x v="0"/>
    <n v="0"/>
    <n v="1"/>
    <n v="0"/>
    <n v="247"/>
    <n v="247"/>
    <x v="0"/>
    <n v="142.5"/>
    <n v="86.5"/>
    <n v="24.87"/>
    <n v="24.87"/>
    <x v="1"/>
    <n v="53"/>
    <n v="53"/>
    <n v="68"/>
    <n v="68"/>
    <x v="0"/>
    <x v="0"/>
  </r>
  <r>
    <n v="1"/>
    <x v="1"/>
    <n v="48"/>
    <x v="1"/>
    <n v="4"/>
    <n v="4"/>
    <s v="Post Graduate"/>
    <x v="3"/>
    <n v="1"/>
    <n v="30"/>
    <n v="30"/>
    <x v="0"/>
    <n v="0"/>
    <x v="0"/>
    <n v="0"/>
    <n v="0"/>
    <n v="0"/>
    <n v="178"/>
    <n v="178"/>
    <x v="1"/>
    <n v="132.5"/>
    <n v="73"/>
    <n v="24.67"/>
    <n v="24.67"/>
    <x v="1"/>
    <n v="80"/>
    <n v="80"/>
    <n v="70"/>
    <n v="70"/>
    <x v="0"/>
    <x v="0"/>
  </r>
  <r>
    <n v="1"/>
    <x v="1"/>
    <n v="48"/>
    <x v="1"/>
    <n v="2"/>
    <n v="2"/>
    <s v="Secondary"/>
    <x v="0"/>
    <n v="1"/>
    <n v="20"/>
    <n v="20"/>
    <x v="0"/>
    <n v="0"/>
    <x v="0"/>
    <n v="0"/>
    <n v="1"/>
    <n v="0"/>
    <n v="230"/>
    <n v="230"/>
    <x v="1"/>
    <n v="140.5"/>
    <n v="89"/>
    <n v="23.34"/>
    <n v="23.34"/>
    <x v="1"/>
    <n v="66"/>
    <n v="66"/>
    <n v="80"/>
    <n v="80"/>
    <x v="0"/>
    <x v="1"/>
  </r>
  <r>
    <n v="1"/>
    <x v="1"/>
    <n v="48"/>
    <x v="1"/>
    <n v="2"/>
    <n v="2"/>
    <s v="Secondary"/>
    <x v="0"/>
    <n v="1"/>
    <n v="43"/>
    <n v="43"/>
    <x v="0"/>
    <n v="0"/>
    <x v="0"/>
    <n v="0"/>
    <n v="1"/>
    <n v="0"/>
    <n v="210"/>
    <n v="210"/>
    <x v="1"/>
    <n v="162.5"/>
    <n v="87.5"/>
    <n v="24.32"/>
    <n v="24.32"/>
    <x v="1"/>
    <n v="95"/>
    <n v="95"/>
    <s v="NA"/>
    <n v="81.96365524402907"/>
    <x v="0"/>
    <x v="0"/>
  </r>
  <r>
    <n v="0"/>
    <x v="0"/>
    <n v="48"/>
    <x v="1"/>
    <n v="4"/>
    <n v="4"/>
    <s v="Post Graduate"/>
    <x v="3"/>
    <n v="1"/>
    <n v="9"/>
    <n v="9"/>
    <x v="0"/>
    <n v="0"/>
    <x v="0"/>
    <n v="0"/>
    <n v="0"/>
    <n v="0"/>
    <n v="280"/>
    <n v="280"/>
    <x v="0"/>
    <n v="105"/>
    <n v="85"/>
    <n v="25.5"/>
    <n v="25.5"/>
    <x v="0"/>
    <n v="85"/>
    <n v="85"/>
    <n v="79"/>
    <n v="79"/>
    <x v="0"/>
    <x v="0"/>
  </r>
  <r>
    <n v="1"/>
    <x v="1"/>
    <n v="48"/>
    <x v="1"/>
    <n v="2"/>
    <n v="2"/>
    <s v="Secondary"/>
    <x v="0"/>
    <n v="1"/>
    <n v="20"/>
    <n v="20"/>
    <x v="0"/>
    <n v="0"/>
    <x v="0"/>
    <n v="0"/>
    <n v="1"/>
    <n v="0"/>
    <n v="258"/>
    <n v="258"/>
    <x v="0"/>
    <n v="150"/>
    <n v="105"/>
    <n v="25.94"/>
    <n v="25.94"/>
    <x v="0"/>
    <n v="83"/>
    <n v="83"/>
    <n v="60"/>
    <n v="60"/>
    <x v="0"/>
    <x v="0"/>
  </r>
  <r>
    <n v="0"/>
    <x v="0"/>
    <n v="48"/>
    <x v="1"/>
    <n v="2"/>
    <n v="2"/>
    <s v="Secondary"/>
    <x v="0"/>
    <n v="1"/>
    <n v="5"/>
    <n v="5"/>
    <x v="0"/>
    <n v="0"/>
    <x v="0"/>
    <n v="0"/>
    <n v="1"/>
    <n v="0"/>
    <n v="150"/>
    <n v="150"/>
    <x v="1"/>
    <n v="175"/>
    <n v="110"/>
    <n v="26.4"/>
    <n v="26.4"/>
    <x v="0"/>
    <n v="100"/>
    <n v="100"/>
    <s v="NA"/>
    <n v="81.96365524402907"/>
    <x v="0"/>
    <x v="0"/>
  </r>
  <r>
    <n v="0"/>
    <x v="0"/>
    <n v="48"/>
    <x v="1"/>
    <n v="3"/>
    <n v="3"/>
    <s v="Graduate"/>
    <x v="1"/>
    <n v="1"/>
    <n v="9"/>
    <n v="9"/>
    <x v="0"/>
    <n v="0"/>
    <x v="0"/>
    <n v="0"/>
    <n v="0"/>
    <n v="0"/>
    <n v="248"/>
    <n v="248"/>
    <x v="0"/>
    <n v="114.5"/>
    <n v="70"/>
    <n v="27.69"/>
    <n v="27.69"/>
    <x v="0"/>
    <n v="95"/>
    <n v="95"/>
    <n v="75"/>
    <n v="75"/>
    <x v="0"/>
    <x v="0"/>
  </r>
  <r>
    <n v="1"/>
    <x v="1"/>
    <n v="48"/>
    <x v="1"/>
    <n v="2"/>
    <n v="2"/>
    <s v="Secondary"/>
    <x v="0"/>
    <n v="0"/>
    <n v="0"/>
    <n v="0"/>
    <x v="1"/>
    <n v="0"/>
    <x v="0"/>
    <n v="0"/>
    <n v="0"/>
    <n v="0"/>
    <n v="274"/>
    <n v="274"/>
    <x v="0"/>
    <n v="134"/>
    <n v="84"/>
    <n v="31.78"/>
    <n v="31.78"/>
    <x v="2"/>
    <n v="85"/>
    <n v="85"/>
    <n v="80"/>
    <n v="80"/>
    <x v="0"/>
    <x v="0"/>
  </r>
  <r>
    <n v="0"/>
    <x v="0"/>
    <n v="48"/>
    <x v="1"/>
    <n v="1"/>
    <n v="1"/>
    <s v="Primary"/>
    <x v="2"/>
    <n v="1"/>
    <n v="5"/>
    <n v="5"/>
    <x v="0"/>
    <n v="0"/>
    <x v="0"/>
    <n v="0"/>
    <n v="0"/>
    <n v="0"/>
    <n v="235"/>
    <n v="235"/>
    <x v="1"/>
    <n v="120"/>
    <n v="81"/>
    <n v="23.36"/>
    <n v="23.36"/>
    <x v="1"/>
    <n v="86"/>
    <n v="86"/>
    <n v="80"/>
    <n v="80"/>
    <x v="0"/>
    <x v="0"/>
  </r>
  <r>
    <n v="1"/>
    <x v="1"/>
    <n v="48"/>
    <x v="1"/>
    <n v="4"/>
    <n v="4"/>
    <s v="Post Graduate"/>
    <x v="3"/>
    <n v="0"/>
    <n v="0"/>
    <n v="0"/>
    <x v="1"/>
    <n v="0"/>
    <x v="0"/>
    <n v="0"/>
    <n v="0"/>
    <n v="0"/>
    <n v="195"/>
    <n v="195"/>
    <x v="1"/>
    <n v="124"/>
    <n v="80"/>
    <n v="23.96"/>
    <n v="23.96"/>
    <x v="1"/>
    <n v="52"/>
    <n v="52"/>
    <n v="73"/>
    <n v="73"/>
    <x v="0"/>
    <x v="0"/>
  </r>
  <r>
    <n v="1"/>
    <x v="1"/>
    <n v="48"/>
    <x v="1"/>
    <n v="2"/>
    <n v="2"/>
    <s v="Secondary"/>
    <x v="0"/>
    <n v="1"/>
    <n v="30"/>
    <n v="30"/>
    <x v="0"/>
    <n v="0"/>
    <x v="0"/>
    <n v="0"/>
    <n v="0"/>
    <n v="0"/>
    <n v="208"/>
    <n v="208"/>
    <x v="1"/>
    <n v="138.5"/>
    <n v="85.5"/>
    <n v="23.85"/>
    <n v="23.85"/>
    <x v="1"/>
    <n v="82"/>
    <n v="82"/>
    <n v="64"/>
    <n v="64"/>
    <x v="0"/>
    <x v="0"/>
  </r>
  <r>
    <n v="0"/>
    <x v="0"/>
    <n v="48"/>
    <x v="1"/>
    <n v="3"/>
    <n v="3"/>
    <s v="Graduate"/>
    <x v="1"/>
    <n v="1"/>
    <n v="20"/>
    <n v="20"/>
    <x v="0"/>
    <n v="0"/>
    <x v="0"/>
    <n v="0"/>
    <n v="0"/>
    <n v="0"/>
    <n v="259"/>
    <n v="259"/>
    <x v="0"/>
    <n v="129"/>
    <n v="81"/>
    <n v="21.08"/>
    <n v="21.08"/>
    <x v="1"/>
    <n v="75"/>
    <n v="75"/>
    <n v="65"/>
    <n v="65"/>
    <x v="0"/>
    <x v="0"/>
  </r>
  <r>
    <n v="0"/>
    <x v="0"/>
    <n v="48"/>
    <x v="1"/>
    <n v="1"/>
    <n v="1"/>
    <s v="Primary"/>
    <x v="2"/>
    <n v="1"/>
    <n v="30"/>
    <n v="30"/>
    <x v="0"/>
    <n v="0"/>
    <x v="0"/>
    <n v="0"/>
    <n v="0"/>
    <n v="0"/>
    <n v="305"/>
    <n v="305"/>
    <x v="0"/>
    <n v="118.5"/>
    <n v="73"/>
    <n v="20.99"/>
    <n v="20.99"/>
    <x v="1"/>
    <n v="70"/>
    <n v="70"/>
    <n v="84"/>
    <n v="84"/>
    <x v="0"/>
    <x v="0"/>
  </r>
  <r>
    <n v="0"/>
    <x v="0"/>
    <n v="48"/>
    <x v="1"/>
    <n v="1"/>
    <n v="1"/>
    <s v="Primary"/>
    <x v="2"/>
    <n v="0"/>
    <n v="0"/>
    <n v="0"/>
    <x v="1"/>
    <n v="0"/>
    <x v="0"/>
    <n v="0"/>
    <n v="0"/>
    <n v="0"/>
    <n v="215"/>
    <n v="215"/>
    <x v="1"/>
    <n v="128"/>
    <n v="86.5"/>
    <n v="22.72"/>
    <n v="22.72"/>
    <x v="1"/>
    <n v="89"/>
    <n v="89"/>
    <n v="85"/>
    <n v="85"/>
    <x v="0"/>
    <x v="0"/>
  </r>
  <r>
    <n v="0"/>
    <x v="0"/>
    <n v="48"/>
    <x v="1"/>
    <n v="1"/>
    <n v="1"/>
    <s v="Primary"/>
    <x v="2"/>
    <n v="1"/>
    <n v="4"/>
    <n v="4"/>
    <x v="0"/>
    <n v="0"/>
    <x v="0"/>
    <n v="0"/>
    <n v="0"/>
    <n v="0"/>
    <n v="253"/>
    <n v="253"/>
    <x v="0"/>
    <n v="120"/>
    <n v="77.5"/>
    <n v="24.53"/>
    <n v="24.53"/>
    <x v="1"/>
    <n v="70"/>
    <n v="70"/>
    <n v="98"/>
    <n v="98"/>
    <x v="0"/>
    <x v="0"/>
  </r>
  <r>
    <n v="1"/>
    <x v="1"/>
    <n v="48"/>
    <x v="1"/>
    <s v="NA"/>
    <n v="1"/>
    <s v="Primary"/>
    <x v="2"/>
    <n v="1"/>
    <n v="40"/>
    <n v="40"/>
    <x v="0"/>
    <n v="0"/>
    <x v="0"/>
    <n v="0"/>
    <n v="0"/>
    <n v="0"/>
    <n v="247"/>
    <n v="247"/>
    <x v="0"/>
    <n v="133"/>
    <n v="77.5"/>
    <n v="33.99"/>
    <n v="33.99"/>
    <x v="2"/>
    <n v="81"/>
    <n v="81"/>
    <n v="95"/>
    <n v="95"/>
    <x v="0"/>
    <x v="1"/>
  </r>
  <r>
    <n v="1"/>
    <x v="1"/>
    <n v="48"/>
    <x v="1"/>
    <n v="3"/>
    <n v="3"/>
    <s v="Graduate"/>
    <x v="1"/>
    <n v="0"/>
    <n v="0"/>
    <n v="0"/>
    <x v="1"/>
    <n v="0"/>
    <x v="0"/>
    <n v="0"/>
    <n v="0"/>
    <n v="0"/>
    <n v="175"/>
    <n v="175"/>
    <x v="1"/>
    <n v="131"/>
    <n v="52"/>
    <n v="24.95"/>
    <n v="24.95"/>
    <x v="1"/>
    <n v="75"/>
    <n v="75"/>
    <n v="77"/>
    <n v="77"/>
    <x v="0"/>
    <x v="0"/>
  </r>
  <r>
    <n v="1"/>
    <x v="1"/>
    <n v="48"/>
    <x v="1"/>
    <n v="1"/>
    <n v="1"/>
    <s v="Primary"/>
    <x v="2"/>
    <n v="1"/>
    <n v="15"/>
    <n v="15"/>
    <x v="0"/>
    <n v="0"/>
    <x v="0"/>
    <n v="0"/>
    <n v="0"/>
    <n v="0"/>
    <n v="240"/>
    <n v="240"/>
    <x v="1"/>
    <n v="126"/>
    <n v="84"/>
    <n v="25.82"/>
    <n v="25.82"/>
    <x v="0"/>
    <n v="73"/>
    <n v="73"/>
    <n v="60"/>
    <n v="60"/>
    <x v="0"/>
    <x v="0"/>
  </r>
  <r>
    <n v="1"/>
    <x v="1"/>
    <n v="48"/>
    <x v="1"/>
    <n v="1"/>
    <n v="1"/>
    <s v="Primary"/>
    <x v="2"/>
    <n v="0"/>
    <n v="0"/>
    <n v="0"/>
    <x v="1"/>
    <n v="0"/>
    <x v="0"/>
    <n v="0"/>
    <n v="1"/>
    <n v="0"/>
    <n v="306"/>
    <n v="306"/>
    <x v="0"/>
    <n v="140"/>
    <n v="94"/>
    <n v="23.95"/>
    <n v="23.95"/>
    <x v="1"/>
    <n v="65"/>
    <n v="65"/>
    <n v="70"/>
    <n v="70"/>
    <x v="0"/>
    <x v="0"/>
  </r>
  <r>
    <n v="0"/>
    <x v="0"/>
    <n v="48"/>
    <x v="1"/>
    <n v="1"/>
    <n v="1"/>
    <s v="Primary"/>
    <x v="2"/>
    <n v="1"/>
    <n v="5"/>
    <n v="5"/>
    <x v="0"/>
    <n v="0"/>
    <x v="0"/>
    <n v="0"/>
    <n v="0"/>
    <n v="0"/>
    <n v="262"/>
    <n v="262"/>
    <x v="0"/>
    <n v="141"/>
    <n v="88"/>
    <n v="25.21"/>
    <n v="25.21"/>
    <x v="0"/>
    <n v="80"/>
    <n v="80"/>
    <s v="NA"/>
    <n v="81.96365524402907"/>
    <x v="0"/>
    <x v="0"/>
  </r>
  <r>
    <n v="0"/>
    <x v="0"/>
    <n v="48"/>
    <x v="1"/>
    <n v="3"/>
    <n v="3"/>
    <s v="Graduate"/>
    <x v="1"/>
    <n v="0"/>
    <n v="0"/>
    <n v="0"/>
    <x v="1"/>
    <n v="0"/>
    <x v="0"/>
    <n v="0"/>
    <n v="0"/>
    <n v="0"/>
    <n v="281"/>
    <n v="281"/>
    <x v="0"/>
    <n v="127"/>
    <n v="79.5"/>
    <n v="22.83"/>
    <n v="22.83"/>
    <x v="1"/>
    <n v="84"/>
    <n v="84"/>
    <n v="80"/>
    <n v="80"/>
    <x v="0"/>
    <x v="0"/>
  </r>
  <r>
    <n v="1"/>
    <x v="1"/>
    <n v="48"/>
    <x v="1"/>
    <n v="1"/>
    <n v="1"/>
    <s v="Primary"/>
    <x v="2"/>
    <n v="1"/>
    <n v="20"/>
    <n v="20"/>
    <x v="0"/>
    <n v="0"/>
    <x v="0"/>
    <n v="0"/>
    <n v="0"/>
    <n v="0"/>
    <n v="170"/>
    <n v="170"/>
    <x v="1"/>
    <n v="122"/>
    <n v="70"/>
    <n v="23.62"/>
    <n v="23.62"/>
    <x v="1"/>
    <n v="90"/>
    <n v="90"/>
    <n v="73"/>
    <n v="73"/>
    <x v="0"/>
    <x v="1"/>
  </r>
  <r>
    <n v="0"/>
    <x v="0"/>
    <n v="48"/>
    <x v="1"/>
    <n v="4"/>
    <n v="4"/>
    <s v="Post Graduate"/>
    <x v="3"/>
    <n v="0"/>
    <n v="0"/>
    <n v="0"/>
    <x v="1"/>
    <n v="0"/>
    <x v="0"/>
    <n v="0"/>
    <n v="0"/>
    <n v="0"/>
    <n v="241"/>
    <n v="241"/>
    <x v="0"/>
    <n v="129"/>
    <n v="86"/>
    <n v="20.41"/>
    <n v="20.41"/>
    <x v="1"/>
    <n v="65"/>
    <n v="65"/>
    <n v="67"/>
    <n v="67"/>
    <x v="0"/>
    <x v="0"/>
  </r>
  <r>
    <n v="1"/>
    <x v="1"/>
    <n v="48"/>
    <x v="1"/>
    <n v="2"/>
    <n v="2"/>
    <s v="Secondary"/>
    <x v="0"/>
    <n v="0"/>
    <n v="0"/>
    <n v="0"/>
    <x v="1"/>
    <n v="0"/>
    <x v="0"/>
    <n v="0"/>
    <n v="0"/>
    <n v="0"/>
    <n v="165"/>
    <n v="165"/>
    <x v="1"/>
    <n v="115"/>
    <n v="80"/>
    <n v="26.79"/>
    <n v="26.79"/>
    <x v="0"/>
    <n v="75"/>
    <n v="75"/>
    <n v="78"/>
    <n v="78"/>
    <x v="0"/>
    <x v="0"/>
  </r>
  <r>
    <n v="1"/>
    <x v="1"/>
    <n v="48"/>
    <x v="1"/>
    <n v="1"/>
    <n v="1"/>
    <s v="Primary"/>
    <x v="2"/>
    <n v="1"/>
    <n v="30"/>
    <n v="30"/>
    <x v="0"/>
    <n v="0"/>
    <x v="0"/>
    <n v="0"/>
    <n v="0"/>
    <n v="0"/>
    <n v="205"/>
    <n v="205"/>
    <x v="1"/>
    <n v="108"/>
    <n v="75"/>
    <n v="17.5"/>
    <n v="17.5"/>
    <x v="3"/>
    <n v="63"/>
    <n v="63"/>
    <n v="70"/>
    <n v="70"/>
    <x v="0"/>
    <x v="0"/>
  </r>
  <r>
    <n v="0"/>
    <x v="0"/>
    <n v="48"/>
    <x v="1"/>
    <n v="3"/>
    <n v="3"/>
    <s v="Graduate"/>
    <x v="1"/>
    <n v="0"/>
    <n v="0"/>
    <n v="0"/>
    <x v="1"/>
    <n v="0"/>
    <x v="0"/>
    <n v="0"/>
    <n v="0"/>
    <n v="0"/>
    <n v="309"/>
    <n v="309"/>
    <x v="0"/>
    <n v="136"/>
    <n v="90"/>
    <n v="26.83"/>
    <n v="26.83"/>
    <x v="0"/>
    <n v="70"/>
    <n v="70"/>
    <n v="75"/>
    <n v="75"/>
    <x v="0"/>
    <x v="0"/>
  </r>
  <r>
    <n v="0"/>
    <x v="0"/>
    <n v="48"/>
    <x v="1"/>
    <n v="2"/>
    <n v="2"/>
    <s v="Secondary"/>
    <x v="0"/>
    <n v="1"/>
    <n v="20"/>
    <n v="20"/>
    <x v="0"/>
    <n v="0"/>
    <x v="0"/>
    <n v="0"/>
    <n v="0"/>
    <n v="0"/>
    <n v="246"/>
    <n v="246"/>
    <x v="0"/>
    <n v="113"/>
    <n v="87"/>
    <n v="18.010000000000002"/>
    <n v="18.010000000000002"/>
    <x v="3"/>
    <n v="60"/>
    <n v="60"/>
    <n v="63"/>
    <n v="63"/>
    <x v="0"/>
    <x v="0"/>
  </r>
  <r>
    <n v="1"/>
    <x v="1"/>
    <n v="48"/>
    <x v="1"/>
    <n v="4"/>
    <n v="4"/>
    <s v="Post Graduate"/>
    <x v="3"/>
    <n v="1"/>
    <n v="5"/>
    <n v="5"/>
    <x v="0"/>
    <n v="0"/>
    <x v="0"/>
    <n v="0"/>
    <n v="0"/>
    <n v="0"/>
    <n v="150"/>
    <n v="150"/>
    <x v="1"/>
    <n v="123"/>
    <n v="72.5"/>
    <n v="25.1"/>
    <n v="25.1"/>
    <x v="0"/>
    <n v="78"/>
    <n v="78"/>
    <s v="NA"/>
    <n v="81.96365524402907"/>
    <x v="0"/>
    <x v="0"/>
  </r>
  <r>
    <n v="1"/>
    <x v="1"/>
    <n v="48"/>
    <x v="1"/>
    <n v="1"/>
    <n v="1"/>
    <s v="Primary"/>
    <x v="2"/>
    <n v="0"/>
    <n v="0"/>
    <n v="0"/>
    <x v="1"/>
    <n v="0"/>
    <x v="0"/>
    <n v="0"/>
    <n v="0"/>
    <n v="0"/>
    <n v="235"/>
    <n v="235"/>
    <x v="1"/>
    <n v="135"/>
    <n v="88"/>
    <n v="27.61"/>
    <n v="27.61"/>
    <x v="0"/>
    <n v="92"/>
    <n v="92"/>
    <n v="137"/>
    <n v="137"/>
    <x v="0"/>
    <x v="0"/>
  </r>
  <r>
    <n v="0"/>
    <x v="0"/>
    <n v="48"/>
    <x v="1"/>
    <n v="1"/>
    <n v="1"/>
    <s v="Primary"/>
    <x v="2"/>
    <n v="0"/>
    <n v="0"/>
    <n v="0"/>
    <x v="1"/>
    <n v="0"/>
    <x v="0"/>
    <n v="0"/>
    <n v="0"/>
    <n v="0"/>
    <n v="244"/>
    <n v="244"/>
    <x v="0"/>
    <n v="117"/>
    <n v="81.5"/>
    <n v="28.96"/>
    <n v="28.96"/>
    <x v="0"/>
    <n v="67"/>
    <n v="67"/>
    <n v="78"/>
    <n v="78"/>
    <x v="0"/>
    <x v="0"/>
  </r>
  <r>
    <n v="0"/>
    <x v="0"/>
    <n v="48"/>
    <x v="1"/>
    <n v="3"/>
    <n v="3"/>
    <s v="Graduate"/>
    <x v="1"/>
    <n v="0"/>
    <n v="0"/>
    <n v="0"/>
    <x v="1"/>
    <n v="0"/>
    <x v="0"/>
    <n v="0"/>
    <n v="0"/>
    <n v="0"/>
    <n v="202"/>
    <n v="202"/>
    <x v="1"/>
    <n v="146.5"/>
    <n v="79"/>
    <n v="22.19"/>
    <n v="22.19"/>
    <x v="1"/>
    <n v="82"/>
    <n v="82"/>
    <n v="95"/>
    <n v="95"/>
    <x v="0"/>
    <x v="0"/>
  </r>
  <r>
    <n v="1"/>
    <x v="1"/>
    <n v="48"/>
    <x v="1"/>
    <n v="4"/>
    <n v="4"/>
    <s v="Post Graduate"/>
    <x v="3"/>
    <n v="0"/>
    <n v="0"/>
    <n v="0"/>
    <x v="1"/>
    <n v="0"/>
    <x v="0"/>
    <n v="0"/>
    <n v="0"/>
    <n v="0"/>
    <n v="240"/>
    <n v="240"/>
    <x v="1"/>
    <n v="136"/>
    <n v="95.5"/>
    <n v="26.36"/>
    <n v="26.36"/>
    <x v="0"/>
    <n v="75"/>
    <n v="75"/>
    <n v="73"/>
    <n v="73"/>
    <x v="0"/>
    <x v="0"/>
  </r>
  <r>
    <n v="0"/>
    <x v="0"/>
    <n v="48"/>
    <x v="1"/>
    <n v="1"/>
    <n v="1"/>
    <s v="Primary"/>
    <x v="2"/>
    <n v="0"/>
    <n v="0"/>
    <n v="0"/>
    <x v="1"/>
    <n v="0"/>
    <x v="0"/>
    <n v="0"/>
    <n v="0"/>
    <n v="0"/>
    <n v="227"/>
    <n v="227"/>
    <x v="1"/>
    <n v="100"/>
    <n v="76"/>
    <n v="29.45"/>
    <n v="29.45"/>
    <x v="0"/>
    <n v="75"/>
    <n v="75"/>
    <n v="67"/>
    <n v="67"/>
    <x v="0"/>
    <x v="1"/>
  </r>
  <r>
    <n v="1"/>
    <x v="1"/>
    <n v="48"/>
    <x v="1"/>
    <n v="4"/>
    <n v="4"/>
    <s v="Post Graduate"/>
    <x v="3"/>
    <n v="0"/>
    <n v="0"/>
    <n v="0"/>
    <x v="1"/>
    <n v="0"/>
    <x v="0"/>
    <n v="0"/>
    <n v="1"/>
    <n v="0"/>
    <n v="273"/>
    <n v="273"/>
    <x v="0"/>
    <n v="140"/>
    <n v="90"/>
    <n v="27.48"/>
    <n v="27.48"/>
    <x v="0"/>
    <n v="67"/>
    <n v="67"/>
    <n v="78"/>
    <n v="78"/>
    <x v="0"/>
    <x v="0"/>
  </r>
  <r>
    <n v="1"/>
    <x v="1"/>
    <n v="48"/>
    <x v="1"/>
    <s v="NA"/>
    <n v="1"/>
    <s v="Primary"/>
    <x v="2"/>
    <n v="1"/>
    <n v="60"/>
    <n v="60"/>
    <x v="0"/>
    <n v="0"/>
    <x v="0"/>
    <n v="0"/>
    <n v="0"/>
    <n v="0"/>
    <n v="232"/>
    <n v="232"/>
    <x v="1"/>
    <n v="136"/>
    <n v="81"/>
    <n v="25.83"/>
    <n v="25.83"/>
    <x v="0"/>
    <n v="80"/>
    <n v="80"/>
    <n v="78"/>
    <n v="78"/>
    <x v="0"/>
    <x v="0"/>
  </r>
  <r>
    <n v="1"/>
    <x v="1"/>
    <n v="48"/>
    <x v="1"/>
    <n v="4"/>
    <n v="4"/>
    <s v="Post Graduate"/>
    <x v="3"/>
    <n v="1"/>
    <n v="15"/>
    <n v="15"/>
    <x v="0"/>
    <n v="0"/>
    <x v="0"/>
    <n v="0"/>
    <n v="0"/>
    <n v="0"/>
    <n v="194"/>
    <n v="194"/>
    <x v="1"/>
    <n v="134.5"/>
    <n v="90.5"/>
    <n v="25.68"/>
    <n v="25.68"/>
    <x v="0"/>
    <n v="60"/>
    <n v="60"/>
    <n v="72"/>
    <n v="72"/>
    <x v="0"/>
    <x v="0"/>
  </r>
  <r>
    <n v="1"/>
    <x v="1"/>
    <n v="48"/>
    <x v="1"/>
    <n v="1"/>
    <n v="1"/>
    <s v="Primary"/>
    <x v="2"/>
    <n v="1"/>
    <n v="35"/>
    <n v="35"/>
    <x v="0"/>
    <n v="0"/>
    <x v="0"/>
    <n v="0"/>
    <n v="0"/>
    <n v="0"/>
    <n v="263"/>
    <n v="263"/>
    <x v="0"/>
    <n v="132"/>
    <n v="91"/>
    <n v="40.08"/>
    <n v="40.08"/>
    <x v="2"/>
    <n v="90"/>
    <n v="90"/>
    <n v="91"/>
    <n v="91"/>
    <x v="0"/>
    <x v="1"/>
  </r>
  <r>
    <n v="0"/>
    <x v="0"/>
    <n v="48"/>
    <x v="1"/>
    <n v="4"/>
    <n v="4"/>
    <s v="Post Graduate"/>
    <x v="3"/>
    <n v="1"/>
    <n v="9"/>
    <n v="9"/>
    <x v="0"/>
    <n v="0"/>
    <x v="0"/>
    <n v="0"/>
    <n v="1"/>
    <n v="0"/>
    <n v="340"/>
    <n v="340"/>
    <x v="0"/>
    <n v="143"/>
    <n v="93"/>
    <n v="23.08"/>
    <n v="23.08"/>
    <x v="1"/>
    <n v="85"/>
    <n v="85"/>
    <n v="83"/>
    <n v="83"/>
    <x v="0"/>
    <x v="0"/>
  </r>
  <r>
    <n v="0"/>
    <x v="0"/>
    <n v="48"/>
    <x v="1"/>
    <n v="1"/>
    <n v="1"/>
    <s v="Primary"/>
    <x v="2"/>
    <n v="0"/>
    <n v="0"/>
    <n v="0"/>
    <x v="1"/>
    <n v="0"/>
    <x v="0"/>
    <n v="0"/>
    <n v="1"/>
    <n v="0"/>
    <n v="224"/>
    <n v="224"/>
    <x v="1"/>
    <n v="152.5"/>
    <n v="90"/>
    <n v="29.8"/>
    <n v="29.8"/>
    <x v="0"/>
    <n v="67"/>
    <n v="67"/>
    <n v="85"/>
    <n v="85"/>
    <x v="0"/>
    <x v="0"/>
  </r>
  <r>
    <n v="0"/>
    <x v="0"/>
    <n v="48"/>
    <x v="1"/>
    <n v="1"/>
    <n v="1"/>
    <s v="Primary"/>
    <x v="2"/>
    <n v="0"/>
    <n v="0"/>
    <n v="0"/>
    <x v="1"/>
    <n v="0"/>
    <x v="0"/>
    <n v="0"/>
    <n v="0"/>
    <n v="0"/>
    <n v="274"/>
    <n v="274"/>
    <x v="0"/>
    <n v="110"/>
    <n v="84"/>
    <n v="22.51"/>
    <n v="22.51"/>
    <x v="1"/>
    <n v="110"/>
    <n v="110"/>
    <n v="78"/>
    <n v="78"/>
    <x v="0"/>
    <x v="0"/>
  </r>
  <r>
    <n v="0"/>
    <x v="0"/>
    <n v="48"/>
    <x v="1"/>
    <n v="3"/>
    <n v="3"/>
    <s v="Graduate"/>
    <x v="1"/>
    <n v="0"/>
    <n v="0"/>
    <n v="0"/>
    <x v="1"/>
    <n v="0"/>
    <x v="0"/>
    <n v="0"/>
    <n v="0"/>
    <n v="0"/>
    <n v="262"/>
    <n v="262"/>
    <x v="0"/>
    <n v="125"/>
    <n v="80"/>
    <n v="25.23"/>
    <n v="25.23"/>
    <x v="0"/>
    <n v="85"/>
    <n v="85"/>
    <n v="72"/>
    <n v="72"/>
    <x v="0"/>
    <x v="0"/>
  </r>
  <r>
    <n v="1"/>
    <x v="1"/>
    <n v="48"/>
    <x v="1"/>
    <n v="1"/>
    <n v="1"/>
    <s v="Primary"/>
    <x v="2"/>
    <n v="0"/>
    <n v="0"/>
    <n v="0"/>
    <x v="1"/>
    <n v="0"/>
    <x v="0"/>
    <n v="0"/>
    <n v="0"/>
    <n v="0"/>
    <n v="231"/>
    <n v="231"/>
    <x v="1"/>
    <n v="121"/>
    <n v="81"/>
    <n v="27.56"/>
    <n v="27.56"/>
    <x v="0"/>
    <n v="70"/>
    <n v="70"/>
    <n v="85"/>
    <n v="85"/>
    <x v="0"/>
    <x v="0"/>
  </r>
  <r>
    <n v="1"/>
    <x v="1"/>
    <n v="48"/>
    <x v="1"/>
    <n v="2"/>
    <n v="2"/>
    <s v="Secondary"/>
    <x v="0"/>
    <n v="1"/>
    <n v="40"/>
    <n v="40"/>
    <x v="0"/>
    <n v="0"/>
    <x v="0"/>
    <n v="0"/>
    <n v="0"/>
    <n v="0"/>
    <n v="228"/>
    <n v="228"/>
    <x v="1"/>
    <n v="110"/>
    <n v="70"/>
    <n v="21.47"/>
    <n v="21.47"/>
    <x v="1"/>
    <n v="70"/>
    <n v="70"/>
    <n v="76"/>
    <n v="76"/>
    <x v="0"/>
    <x v="0"/>
  </r>
  <r>
    <n v="1"/>
    <x v="1"/>
    <n v="48"/>
    <x v="1"/>
    <n v="1"/>
    <n v="1"/>
    <s v="Primary"/>
    <x v="2"/>
    <n v="0"/>
    <n v="0"/>
    <n v="0"/>
    <x v="1"/>
    <n v="0"/>
    <x v="0"/>
    <n v="0"/>
    <n v="1"/>
    <n v="0"/>
    <n v="259"/>
    <n v="259"/>
    <x v="0"/>
    <n v="147.5"/>
    <n v="87.5"/>
    <n v="25.1"/>
    <n v="25.1"/>
    <x v="0"/>
    <n v="65"/>
    <n v="65"/>
    <n v="73"/>
    <n v="73"/>
    <x v="0"/>
    <x v="1"/>
  </r>
  <r>
    <n v="0"/>
    <x v="0"/>
    <n v="48"/>
    <x v="1"/>
    <n v="3"/>
    <n v="3"/>
    <s v="Graduate"/>
    <x v="1"/>
    <n v="0"/>
    <n v="0"/>
    <n v="0"/>
    <x v="1"/>
    <n v="0"/>
    <x v="0"/>
    <n v="0"/>
    <n v="1"/>
    <n v="0"/>
    <n v="205"/>
    <n v="205"/>
    <x v="1"/>
    <n v="140"/>
    <n v="99"/>
    <n v="24.41"/>
    <n v="24.41"/>
    <x v="1"/>
    <n v="100"/>
    <n v="100"/>
    <n v="92"/>
    <n v="92"/>
    <x v="0"/>
    <x v="0"/>
  </r>
  <r>
    <n v="1"/>
    <x v="1"/>
    <n v="48"/>
    <x v="1"/>
    <n v="2"/>
    <n v="2"/>
    <s v="Secondary"/>
    <x v="0"/>
    <n v="1"/>
    <n v="25"/>
    <n v="25"/>
    <x v="0"/>
    <n v="0"/>
    <x v="0"/>
    <n v="0"/>
    <n v="1"/>
    <n v="0"/>
    <n v="249"/>
    <n v="249"/>
    <x v="0"/>
    <n v="132"/>
    <n v="95"/>
    <n v="29.79"/>
    <n v="29.79"/>
    <x v="0"/>
    <n v="90"/>
    <n v="90"/>
    <n v="53"/>
    <n v="53"/>
    <x v="0"/>
    <x v="0"/>
  </r>
  <r>
    <n v="1"/>
    <x v="1"/>
    <n v="48"/>
    <x v="1"/>
    <n v="2"/>
    <n v="2"/>
    <s v="Secondary"/>
    <x v="0"/>
    <n v="1"/>
    <n v="10"/>
    <n v="10"/>
    <x v="0"/>
    <n v="0"/>
    <x v="0"/>
    <n v="0"/>
    <n v="0"/>
    <n v="0"/>
    <n v="260"/>
    <n v="260"/>
    <x v="0"/>
    <n v="124.5"/>
    <n v="75.5"/>
    <n v="20.420000000000002"/>
    <n v="20.420000000000002"/>
    <x v="1"/>
    <n v="68"/>
    <n v="68"/>
    <n v="85"/>
    <n v="85"/>
    <x v="0"/>
    <x v="0"/>
  </r>
  <r>
    <n v="0"/>
    <x v="0"/>
    <n v="48"/>
    <x v="1"/>
    <n v="1"/>
    <n v="1"/>
    <s v="Primary"/>
    <x v="2"/>
    <n v="0"/>
    <n v="0"/>
    <n v="0"/>
    <x v="1"/>
    <n v="0"/>
    <x v="0"/>
    <n v="0"/>
    <n v="0"/>
    <n v="0"/>
    <n v="202"/>
    <n v="202"/>
    <x v="1"/>
    <n v="111.5"/>
    <n v="72"/>
    <n v="26.18"/>
    <n v="26.18"/>
    <x v="0"/>
    <n v="74"/>
    <n v="74"/>
    <n v="77"/>
    <n v="77"/>
    <x v="0"/>
    <x v="0"/>
  </r>
  <r>
    <n v="1"/>
    <x v="1"/>
    <n v="48"/>
    <x v="1"/>
    <n v="4"/>
    <n v="4"/>
    <s v="Post Graduate"/>
    <x v="3"/>
    <n v="1"/>
    <n v="20"/>
    <n v="20"/>
    <x v="0"/>
    <n v="0"/>
    <x v="0"/>
    <n v="0"/>
    <n v="0"/>
    <n v="0"/>
    <n v="245"/>
    <n v="245"/>
    <x v="0"/>
    <n v="118"/>
    <n v="73"/>
    <n v="21.84"/>
    <n v="21.84"/>
    <x v="1"/>
    <n v="75"/>
    <n v="75"/>
    <n v="102"/>
    <n v="102"/>
    <x v="0"/>
    <x v="0"/>
  </r>
  <r>
    <n v="1"/>
    <x v="1"/>
    <n v="48"/>
    <x v="1"/>
    <n v="1"/>
    <n v="1"/>
    <s v="Primary"/>
    <x v="2"/>
    <n v="1"/>
    <n v="30"/>
    <n v="30"/>
    <x v="0"/>
    <n v="0"/>
    <x v="0"/>
    <n v="0"/>
    <n v="1"/>
    <n v="0"/>
    <n v="215"/>
    <n v="215"/>
    <x v="1"/>
    <n v="133"/>
    <n v="90"/>
    <n v="27.24"/>
    <n v="27.24"/>
    <x v="0"/>
    <n v="75"/>
    <n v="75"/>
    <n v="50"/>
    <n v="50"/>
    <x v="0"/>
    <x v="1"/>
  </r>
  <r>
    <n v="0"/>
    <x v="0"/>
    <n v="48"/>
    <x v="1"/>
    <n v="3"/>
    <n v="3"/>
    <s v="Graduate"/>
    <x v="1"/>
    <n v="0"/>
    <n v="0"/>
    <n v="0"/>
    <x v="1"/>
    <n v="0"/>
    <x v="0"/>
    <n v="0"/>
    <n v="0"/>
    <n v="0"/>
    <n v="193"/>
    <n v="193"/>
    <x v="1"/>
    <n v="127"/>
    <n v="81"/>
    <n v="25.85"/>
    <n v="25.85"/>
    <x v="0"/>
    <n v="58"/>
    <n v="58"/>
    <n v="70"/>
    <n v="70"/>
    <x v="0"/>
    <x v="0"/>
  </r>
  <r>
    <n v="0"/>
    <x v="0"/>
    <n v="48"/>
    <x v="1"/>
    <n v="2"/>
    <n v="2"/>
    <s v="Secondary"/>
    <x v="0"/>
    <n v="0"/>
    <n v="0"/>
    <n v="0"/>
    <x v="1"/>
    <n v="0"/>
    <x v="0"/>
    <n v="0"/>
    <n v="1"/>
    <n v="0"/>
    <n v="224"/>
    <n v="224"/>
    <x v="1"/>
    <n v="192.5"/>
    <n v="115"/>
    <n v="23.03"/>
    <n v="23.03"/>
    <x v="1"/>
    <n v="67"/>
    <n v="67"/>
    <n v="85"/>
    <n v="85"/>
    <x v="0"/>
    <x v="1"/>
  </r>
  <r>
    <n v="0"/>
    <x v="0"/>
    <n v="48"/>
    <x v="1"/>
    <n v="1"/>
    <n v="1"/>
    <s v="Primary"/>
    <x v="2"/>
    <n v="0"/>
    <n v="0"/>
    <n v="0"/>
    <x v="1"/>
    <n v="0"/>
    <x v="0"/>
    <n v="0"/>
    <n v="0"/>
    <n v="0"/>
    <n v="287"/>
    <n v="287"/>
    <x v="0"/>
    <n v="155"/>
    <n v="80"/>
    <n v="28.54"/>
    <n v="28.54"/>
    <x v="0"/>
    <n v="75"/>
    <n v="75"/>
    <n v="75"/>
    <n v="75"/>
    <x v="0"/>
    <x v="0"/>
  </r>
  <r>
    <n v="1"/>
    <x v="1"/>
    <n v="48"/>
    <x v="1"/>
    <n v="4"/>
    <n v="4"/>
    <s v="Post Graduate"/>
    <x v="3"/>
    <n v="0"/>
    <n v="0"/>
    <n v="0"/>
    <x v="1"/>
    <n v="0"/>
    <x v="0"/>
    <n v="0"/>
    <n v="0"/>
    <n v="0"/>
    <n v="206"/>
    <n v="206"/>
    <x v="1"/>
    <n v="118"/>
    <n v="81"/>
    <n v="28.13"/>
    <n v="28.13"/>
    <x v="0"/>
    <n v="72"/>
    <n v="72"/>
    <n v="87"/>
    <n v="87"/>
    <x v="0"/>
    <x v="0"/>
  </r>
  <r>
    <n v="0"/>
    <x v="0"/>
    <n v="48"/>
    <x v="1"/>
    <n v="1"/>
    <n v="1"/>
    <s v="Primary"/>
    <x v="2"/>
    <n v="1"/>
    <n v="20"/>
    <n v="20"/>
    <x v="0"/>
    <n v="0"/>
    <x v="0"/>
    <n v="0"/>
    <n v="0"/>
    <n v="0"/>
    <n v="202"/>
    <n v="202"/>
    <x v="1"/>
    <n v="128"/>
    <n v="74"/>
    <n v="25.11"/>
    <n v="25.11"/>
    <x v="0"/>
    <n v="80"/>
    <n v="80"/>
    <n v="75"/>
    <n v="75"/>
    <x v="0"/>
    <x v="0"/>
  </r>
  <r>
    <n v="1"/>
    <x v="1"/>
    <n v="48"/>
    <x v="1"/>
    <n v="2"/>
    <n v="2"/>
    <s v="Secondary"/>
    <x v="0"/>
    <n v="1"/>
    <n v="43"/>
    <n v="43"/>
    <x v="0"/>
    <n v="0"/>
    <x v="0"/>
    <n v="0"/>
    <n v="1"/>
    <n v="0"/>
    <n v="209"/>
    <n v="209"/>
    <x v="1"/>
    <n v="144"/>
    <n v="88"/>
    <n v="29.11"/>
    <n v="29.11"/>
    <x v="0"/>
    <n v="84"/>
    <n v="84"/>
    <n v="60"/>
    <n v="60"/>
    <x v="0"/>
    <x v="0"/>
  </r>
  <r>
    <n v="1"/>
    <x v="1"/>
    <n v="48"/>
    <x v="1"/>
    <n v="2"/>
    <n v="2"/>
    <s v="Secondary"/>
    <x v="0"/>
    <n v="0"/>
    <n v="0"/>
    <n v="0"/>
    <x v="1"/>
    <n v="0"/>
    <x v="0"/>
    <n v="0"/>
    <n v="0"/>
    <n v="0"/>
    <n v="193"/>
    <n v="193"/>
    <x v="1"/>
    <n v="141"/>
    <n v="95"/>
    <n v="27.89"/>
    <n v="27.89"/>
    <x v="0"/>
    <n v="75"/>
    <n v="75"/>
    <n v="84"/>
    <n v="84"/>
    <x v="0"/>
    <x v="1"/>
  </r>
  <r>
    <n v="1"/>
    <x v="1"/>
    <n v="48"/>
    <x v="1"/>
    <n v="1"/>
    <n v="1"/>
    <s v="Primary"/>
    <x v="2"/>
    <n v="0"/>
    <n v="0"/>
    <n v="0"/>
    <x v="1"/>
    <n v="0"/>
    <x v="0"/>
    <n v="0"/>
    <n v="0"/>
    <n v="0"/>
    <n v="204"/>
    <n v="204"/>
    <x v="1"/>
    <n v="125"/>
    <n v="84.5"/>
    <n v="22.37"/>
    <n v="22.37"/>
    <x v="1"/>
    <n v="65"/>
    <n v="65"/>
    <n v="75"/>
    <n v="75"/>
    <x v="0"/>
    <x v="0"/>
  </r>
  <r>
    <n v="0"/>
    <x v="0"/>
    <n v="48"/>
    <x v="1"/>
    <n v="2"/>
    <n v="2"/>
    <s v="Secondary"/>
    <x v="0"/>
    <n v="1"/>
    <n v="20"/>
    <n v="20"/>
    <x v="0"/>
    <s v="NA"/>
    <x v="0"/>
    <n v="0"/>
    <n v="0"/>
    <n v="0"/>
    <n v="248"/>
    <n v="248"/>
    <x v="0"/>
    <n v="131"/>
    <n v="72"/>
    <n v="22"/>
    <n v="22"/>
    <x v="1"/>
    <n v="84"/>
    <n v="84"/>
    <n v="86"/>
    <n v="86"/>
    <x v="1"/>
    <x v="0"/>
  </r>
  <r>
    <n v="0"/>
    <x v="0"/>
    <n v="49"/>
    <x v="1"/>
    <n v="2"/>
    <n v="2"/>
    <s v="Secondary"/>
    <x v="0"/>
    <n v="0"/>
    <n v="0"/>
    <n v="0"/>
    <x v="1"/>
    <n v="0"/>
    <x v="0"/>
    <n v="0"/>
    <n v="0"/>
    <n v="0"/>
    <n v="208"/>
    <n v="208"/>
    <x v="1"/>
    <n v="96"/>
    <n v="63"/>
    <n v="20.68"/>
    <n v="20.68"/>
    <x v="1"/>
    <n v="65"/>
    <n v="65"/>
    <n v="98"/>
    <n v="98"/>
    <x v="0"/>
    <x v="0"/>
  </r>
  <r>
    <n v="1"/>
    <x v="1"/>
    <n v="49"/>
    <x v="1"/>
    <n v="1"/>
    <n v="1"/>
    <s v="Primary"/>
    <x v="2"/>
    <n v="1"/>
    <n v="2"/>
    <n v="2"/>
    <x v="0"/>
    <n v="0"/>
    <x v="0"/>
    <n v="0"/>
    <n v="1"/>
    <n v="0"/>
    <n v="255"/>
    <n v="255"/>
    <x v="0"/>
    <n v="143.5"/>
    <n v="81"/>
    <n v="25.65"/>
    <n v="25.65"/>
    <x v="0"/>
    <n v="75"/>
    <n v="75"/>
    <n v="80"/>
    <n v="80"/>
    <x v="0"/>
    <x v="0"/>
  </r>
  <r>
    <n v="1"/>
    <x v="1"/>
    <n v="49"/>
    <x v="1"/>
    <n v="1"/>
    <n v="1"/>
    <s v="Primary"/>
    <x v="2"/>
    <n v="1"/>
    <n v="20"/>
    <n v="20"/>
    <x v="0"/>
    <n v="0"/>
    <x v="0"/>
    <n v="0"/>
    <n v="0"/>
    <n v="0"/>
    <n v="197"/>
    <n v="197"/>
    <x v="1"/>
    <n v="123"/>
    <n v="69"/>
    <n v="29.62"/>
    <n v="29.62"/>
    <x v="0"/>
    <n v="76"/>
    <n v="76"/>
    <n v="60"/>
    <n v="60"/>
    <x v="0"/>
    <x v="0"/>
  </r>
  <r>
    <n v="1"/>
    <x v="1"/>
    <n v="49"/>
    <x v="1"/>
    <n v="4"/>
    <n v="4"/>
    <s v="Post Graduate"/>
    <x v="3"/>
    <n v="1"/>
    <s v="NA"/>
    <n v="9"/>
    <x v="0"/>
    <n v="0"/>
    <x v="0"/>
    <n v="0"/>
    <n v="0"/>
    <n v="0"/>
    <n v="256"/>
    <n v="256"/>
    <x v="0"/>
    <n v="127.5"/>
    <n v="81.5"/>
    <n v="28.21"/>
    <n v="28.21"/>
    <x v="0"/>
    <n v="93"/>
    <n v="93"/>
    <n v="85"/>
    <n v="85"/>
    <x v="0"/>
    <x v="1"/>
  </r>
  <r>
    <n v="0"/>
    <x v="0"/>
    <n v="49"/>
    <x v="1"/>
    <n v="1"/>
    <n v="1"/>
    <s v="Primary"/>
    <x v="2"/>
    <n v="0"/>
    <n v="0"/>
    <n v="0"/>
    <x v="1"/>
    <n v="0"/>
    <x v="0"/>
    <n v="0"/>
    <n v="1"/>
    <n v="0"/>
    <n v="265"/>
    <n v="265"/>
    <x v="0"/>
    <n v="150"/>
    <n v="77.5"/>
    <n v="21.83"/>
    <n v="21.83"/>
    <x v="1"/>
    <n v="96"/>
    <n v="96"/>
    <n v="107"/>
    <n v="107"/>
    <x v="0"/>
    <x v="0"/>
  </r>
  <r>
    <n v="0"/>
    <x v="0"/>
    <n v="49"/>
    <x v="1"/>
    <n v="3"/>
    <n v="3"/>
    <s v="Graduate"/>
    <x v="1"/>
    <n v="0"/>
    <n v="0"/>
    <n v="0"/>
    <x v="1"/>
    <n v="1"/>
    <x v="1"/>
    <n v="0"/>
    <n v="1"/>
    <n v="0"/>
    <n v="254"/>
    <n v="254"/>
    <x v="0"/>
    <n v="191"/>
    <n v="124.5"/>
    <n v="28.35"/>
    <n v="28.35"/>
    <x v="0"/>
    <n v="78"/>
    <n v="78"/>
    <n v="54"/>
    <n v="54"/>
    <x v="0"/>
    <x v="0"/>
  </r>
  <r>
    <n v="0"/>
    <x v="0"/>
    <n v="49"/>
    <x v="1"/>
    <n v="2"/>
    <n v="2"/>
    <s v="Secondary"/>
    <x v="0"/>
    <n v="1"/>
    <n v="9"/>
    <n v="9"/>
    <x v="0"/>
    <n v="0"/>
    <x v="0"/>
    <n v="0"/>
    <n v="0"/>
    <n v="0"/>
    <n v="226"/>
    <n v="226"/>
    <x v="1"/>
    <n v="106"/>
    <n v="71"/>
    <n v="22.89"/>
    <n v="22.89"/>
    <x v="1"/>
    <n v="85"/>
    <n v="85"/>
    <n v="57"/>
    <n v="57"/>
    <x v="0"/>
    <x v="0"/>
  </r>
  <r>
    <n v="1"/>
    <x v="1"/>
    <n v="49"/>
    <x v="1"/>
    <n v="1"/>
    <n v="1"/>
    <s v="Primary"/>
    <x v="2"/>
    <n v="1"/>
    <n v="30"/>
    <n v="30"/>
    <x v="0"/>
    <n v="0"/>
    <x v="0"/>
    <n v="0"/>
    <n v="0"/>
    <n v="0"/>
    <n v="237"/>
    <n v="237"/>
    <x v="1"/>
    <n v="114"/>
    <n v="85.5"/>
    <n v="28.57"/>
    <n v="28.57"/>
    <x v="0"/>
    <n v="88"/>
    <n v="88"/>
    <n v="92"/>
    <n v="92"/>
    <x v="0"/>
    <x v="0"/>
  </r>
  <r>
    <n v="1"/>
    <x v="1"/>
    <n v="49"/>
    <x v="1"/>
    <n v="1"/>
    <n v="1"/>
    <s v="Primary"/>
    <x v="2"/>
    <n v="1"/>
    <n v="20"/>
    <n v="20"/>
    <x v="0"/>
    <n v="0"/>
    <x v="0"/>
    <n v="0"/>
    <n v="0"/>
    <n v="0"/>
    <n v="221"/>
    <n v="221"/>
    <x v="1"/>
    <n v="101"/>
    <n v="61"/>
    <n v="23.94"/>
    <n v="23.94"/>
    <x v="1"/>
    <n v="75"/>
    <n v="75"/>
    <n v="79"/>
    <n v="79"/>
    <x v="0"/>
    <x v="0"/>
  </r>
  <r>
    <n v="1"/>
    <x v="1"/>
    <n v="49"/>
    <x v="1"/>
    <n v="2"/>
    <n v="2"/>
    <s v="Secondary"/>
    <x v="0"/>
    <n v="1"/>
    <n v="40"/>
    <n v="40"/>
    <x v="0"/>
    <n v="0"/>
    <x v="0"/>
    <n v="0"/>
    <n v="1"/>
    <n v="0"/>
    <n v="240"/>
    <n v="240"/>
    <x v="1"/>
    <n v="148"/>
    <n v="85"/>
    <n v="29.69"/>
    <n v="29.69"/>
    <x v="0"/>
    <n v="65"/>
    <n v="65"/>
    <n v="68"/>
    <n v="68"/>
    <x v="0"/>
    <x v="0"/>
  </r>
  <r>
    <n v="1"/>
    <x v="1"/>
    <n v="49"/>
    <x v="1"/>
    <n v="2"/>
    <n v="2"/>
    <s v="Secondary"/>
    <x v="0"/>
    <n v="1"/>
    <n v="5"/>
    <n v="5"/>
    <x v="0"/>
    <n v="0"/>
    <x v="0"/>
    <n v="0"/>
    <n v="0"/>
    <n v="0"/>
    <n v="187"/>
    <n v="187"/>
    <x v="1"/>
    <n v="110"/>
    <n v="67"/>
    <n v="19.260000000000002"/>
    <n v="19.260000000000002"/>
    <x v="1"/>
    <n v="78"/>
    <n v="78"/>
    <n v="85"/>
    <n v="85"/>
    <x v="0"/>
    <x v="0"/>
  </r>
  <r>
    <n v="0"/>
    <x v="0"/>
    <n v="49"/>
    <x v="1"/>
    <n v="1"/>
    <n v="1"/>
    <s v="Primary"/>
    <x v="2"/>
    <n v="0"/>
    <n v="0"/>
    <n v="0"/>
    <x v="1"/>
    <n v="0"/>
    <x v="0"/>
    <n v="0"/>
    <n v="0"/>
    <n v="0"/>
    <n v="305"/>
    <n v="305"/>
    <x v="0"/>
    <n v="135"/>
    <n v="89"/>
    <n v="25.04"/>
    <n v="25.04"/>
    <x v="0"/>
    <n v="62"/>
    <n v="62"/>
    <n v="117"/>
    <n v="117"/>
    <x v="0"/>
    <x v="0"/>
  </r>
  <r>
    <n v="1"/>
    <x v="1"/>
    <n v="49"/>
    <x v="1"/>
    <n v="1"/>
    <n v="1"/>
    <s v="Primary"/>
    <x v="2"/>
    <n v="0"/>
    <n v="0"/>
    <n v="0"/>
    <x v="1"/>
    <n v="0"/>
    <x v="0"/>
    <n v="0"/>
    <n v="0"/>
    <n v="0"/>
    <n v="168"/>
    <n v="168"/>
    <x v="1"/>
    <n v="127"/>
    <n v="74"/>
    <n v="27.38"/>
    <n v="27.38"/>
    <x v="0"/>
    <n v="63"/>
    <n v="63"/>
    <n v="85"/>
    <n v="85"/>
    <x v="0"/>
    <x v="0"/>
  </r>
  <r>
    <n v="1"/>
    <x v="1"/>
    <n v="49"/>
    <x v="1"/>
    <n v="1"/>
    <n v="1"/>
    <s v="Primary"/>
    <x v="2"/>
    <n v="1"/>
    <n v="15"/>
    <n v="15"/>
    <x v="0"/>
    <n v="0"/>
    <x v="0"/>
    <n v="0"/>
    <n v="0"/>
    <n v="0"/>
    <n v="215"/>
    <n v="215"/>
    <x v="1"/>
    <n v="122.5"/>
    <n v="76"/>
    <n v="27.17"/>
    <n v="27.17"/>
    <x v="0"/>
    <n v="58"/>
    <n v="58"/>
    <n v="61"/>
    <n v="61"/>
    <x v="0"/>
    <x v="0"/>
  </r>
  <r>
    <n v="0"/>
    <x v="0"/>
    <n v="49"/>
    <x v="1"/>
    <n v="2"/>
    <n v="2"/>
    <s v="Secondary"/>
    <x v="0"/>
    <n v="1"/>
    <n v="20"/>
    <n v="20"/>
    <x v="0"/>
    <n v="0"/>
    <x v="0"/>
    <n v="0"/>
    <n v="0"/>
    <n v="0"/>
    <n v="229"/>
    <n v="229"/>
    <x v="1"/>
    <n v="118.5"/>
    <n v="76.5"/>
    <n v="21.42"/>
    <n v="21.42"/>
    <x v="1"/>
    <n v="76"/>
    <n v="76"/>
    <s v="NA"/>
    <n v="81.96365524402907"/>
    <x v="0"/>
    <x v="0"/>
  </r>
  <r>
    <n v="0"/>
    <x v="0"/>
    <n v="49"/>
    <x v="1"/>
    <n v="3"/>
    <n v="3"/>
    <s v="Graduate"/>
    <x v="1"/>
    <n v="0"/>
    <n v="0"/>
    <n v="0"/>
    <x v="1"/>
    <n v="1"/>
    <x v="1"/>
    <n v="0"/>
    <n v="1"/>
    <n v="0"/>
    <n v="300"/>
    <n v="300"/>
    <x v="0"/>
    <n v="131"/>
    <n v="88"/>
    <n v="26.85"/>
    <n v="26.85"/>
    <x v="0"/>
    <n v="70"/>
    <n v="70"/>
    <n v="73"/>
    <n v="73"/>
    <x v="0"/>
    <x v="1"/>
  </r>
  <r>
    <n v="0"/>
    <x v="0"/>
    <n v="49"/>
    <x v="1"/>
    <n v="3"/>
    <n v="3"/>
    <s v="Graduate"/>
    <x v="1"/>
    <n v="1"/>
    <n v="3"/>
    <n v="3"/>
    <x v="0"/>
    <n v="0"/>
    <x v="0"/>
    <n v="0"/>
    <n v="0"/>
    <n v="0"/>
    <n v="247"/>
    <n v="247"/>
    <x v="0"/>
    <n v="121"/>
    <n v="82"/>
    <n v="29.07"/>
    <n v="29.07"/>
    <x v="0"/>
    <n v="72"/>
    <n v="72"/>
    <n v="69"/>
    <n v="69"/>
    <x v="0"/>
    <x v="0"/>
  </r>
  <r>
    <n v="0"/>
    <x v="0"/>
    <n v="49"/>
    <x v="1"/>
    <n v="2"/>
    <n v="2"/>
    <s v="Secondary"/>
    <x v="0"/>
    <n v="0"/>
    <n v="0"/>
    <n v="0"/>
    <x v="1"/>
    <n v="0"/>
    <x v="0"/>
    <n v="0"/>
    <n v="1"/>
    <n v="0"/>
    <n v="285"/>
    <n v="285"/>
    <x v="0"/>
    <n v="138"/>
    <n v="91"/>
    <n v="25.94"/>
    <n v="25.94"/>
    <x v="0"/>
    <n v="83"/>
    <n v="83"/>
    <n v="84"/>
    <n v="84"/>
    <x v="0"/>
    <x v="0"/>
  </r>
  <r>
    <n v="0"/>
    <x v="0"/>
    <n v="49"/>
    <x v="1"/>
    <n v="1"/>
    <n v="1"/>
    <s v="Primary"/>
    <x v="2"/>
    <n v="0"/>
    <n v="0"/>
    <n v="0"/>
    <x v="1"/>
    <n v="0"/>
    <x v="0"/>
    <n v="0"/>
    <n v="1"/>
    <n v="0"/>
    <n v="262"/>
    <n v="262"/>
    <x v="0"/>
    <n v="145"/>
    <n v="81"/>
    <n v="23.1"/>
    <n v="23.1"/>
    <x v="1"/>
    <n v="75"/>
    <n v="75"/>
    <n v="83"/>
    <n v="83"/>
    <x v="0"/>
    <x v="0"/>
  </r>
  <r>
    <n v="0"/>
    <x v="0"/>
    <n v="49"/>
    <x v="1"/>
    <n v="3"/>
    <n v="3"/>
    <s v="Graduate"/>
    <x v="1"/>
    <n v="1"/>
    <n v="1"/>
    <n v="1"/>
    <x v="0"/>
    <n v="0"/>
    <x v="0"/>
    <n v="0"/>
    <n v="0"/>
    <n v="0"/>
    <n v="248"/>
    <n v="248"/>
    <x v="0"/>
    <n v="137"/>
    <n v="79"/>
    <n v="21.6"/>
    <n v="21.6"/>
    <x v="1"/>
    <n v="85"/>
    <n v="85"/>
    <n v="74"/>
    <n v="74"/>
    <x v="0"/>
    <x v="0"/>
  </r>
  <r>
    <n v="1"/>
    <x v="1"/>
    <n v="49"/>
    <x v="1"/>
    <n v="2"/>
    <n v="2"/>
    <s v="Secondary"/>
    <x v="0"/>
    <n v="1"/>
    <n v="20"/>
    <n v="20"/>
    <x v="0"/>
    <n v="0"/>
    <x v="0"/>
    <n v="0"/>
    <n v="1"/>
    <n v="0"/>
    <n v="212"/>
    <n v="212"/>
    <x v="1"/>
    <n v="141"/>
    <n v="99"/>
    <n v="25.94"/>
    <n v="25.94"/>
    <x v="0"/>
    <n v="60"/>
    <n v="60"/>
    <n v="70"/>
    <n v="70"/>
    <x v="0"/>
    <x v="0"/>
  </r>
  <r>
    <n v="1"/>
    <x v="1"/>
    <n v="49"/>
    <x v="1"/>
    <n v="4"/>
    <n v="4"/>
    <s v="Post Graduate"/>
    <x v="3"/>
    <n v="0"/>
    <n v="0"/>
    <n v="0"/>
    <x v="1"/>
    <n v="1"/>
    <x v="1"/>
    <n v="0"/>
    <n v="1"/>
    <n v="0"/>
    <n v="215"/>
    <n v="215"/>
    <x v="1"/>
    <n v="183"/>
    <n v="114.5"/>
    <n v="29.25"/>
    <n v="29.25"/>
    <x v="0"/>
    <n v="85"/>
    <n v="85"/>
    <n v="90"/>
    <n v="90"/>
    <x v="0"/>
    <x v="1"/>
  </r>
  <r>
    <n v="1"/>
    <x v="1"/>
    <n v="49"/>
    <x v="1"/>
    <n v="4"/>
    <n v="4"/>
    <s v="Post Graduate"/>
    <x v="3"/>
    <n v="1"/>
    <n v="40"/>
    <n v="40"/>
    <x v="0"/>
    <n v="0"/>
    <x v="0"/>
    <n v="0"/>
    <n v="0"/>
    <n v="0"/>
    <n v="222"/>
    <n v="222"/>
    <x v="1"/>
    <n v="118.5"/>
    <n v="82"/>
    <n v="28.47"/>
    <n v="28.47"/>
    <x v="0"/>
    <n v="88"/>
    <n v="88"/>
    <n v="87"/>
    <n v="87"/>
    <x v="0"/>
    <x v="0"/>
  </r>
  <r>
    <n v="1"/>
    <x v="1"/>
    <n v="49"/>
    <x v="1"/>
    <n v="3"/>
    <n v="3"/>
    <s v="Graduate"/>
    <x v="1"/>
    <n v="1"/>
    <n v="3"/>
    <n v="3"/>
    <x v="0"/>
    <n v="0"/>
    <x v="0"/>
    <n v="0"/>
    <n v="0"/>
    <n v="0"/>
    <n v="219"/>
    <n v="219"/>
    <x v="1"/>
    <n v="130"/>
    <n v="82"/>
    <n v="24.35"/>
    <n v="24.35"/>
    <x v="1"/>
    <n v="60"/>
    <n v="60"/>
    <n v="65"/>
    <n v="65"/>
    <x v="0"/>
    <x v="0"/>
  </r>
  <r>
    <n v="1"/>
    <x v="1"/>
    <n v="49"/>
    <x v="1"/>
    <n v="2"/>
    <n v="2"/>
    <s v="Secondary"/>
    <x v="0"/>
    <n v="1"/>
    <n v="5"/>
    <n v="5"/>
    <x v="0"/>
    <n v="0"/>
    <x v="0"/>
    <n v="0"/>
    <n v="0"/>
    <n v="0"/>
    <n v="260"/>
    <n v="260"/>
    <x v="0"/>
    <n v="111"/>
    <n v="70"/>
    <n v="24.24"/>
    <n v="24.24"/>
    <x v="1"/>
    <n v="75"/>
    <n v="75"/>
    <n v="87"/>
    <n v="87"/>
    <x v="0"/>
    <x v="0"/>
  </r>
  <r>
    <n v="1"/>
    <x v="1"/>
    <n v="49"/>
    <x v="1"/>
    <n v="4"/>
    <n v="4"/>
    <s v="Post Graduate"/>
    <x v="3"/>
    <n v="1"/>
    <n v="30"/>
    <n v="30"/>
    <x v="0"/>
    <n v="0"/>
    <x v="0"/>
    <n v="0"/>
    <n v="1"/>
    <n v="0"/>
    <n v="240"/>
    <n v="240"/>
    <x v="1"/>
    <n v="137"/>
    <n v="96.5"/>
    <n v="23.38"/>
    <n v="23.38"/>
    <x v="1"/>
    <n v="75"/>
    <n v="75"/>
    <n v="118"/>
    <n v="118"/>
    <x v="0"/>
    <x v="0"/>
  </r>
  <r>
    <n v="1"/>
    <x v="1"/>
    <n v="49"/>
    <x v="1"/>
    <n v="1"/>
    <n v="1"/>
    <s v="Primary"/>
    <x v="2"/>
    <n v="1"/>
    <n v="30"/>
    <n v="30"/>
    <x v="0"/>
    <n v="0"/>
    <x v="0"/>
    <n v="0"/>
    <n v="0"/>
    <n v="0"/>
    <n v="238"/>
    <n v="238"/>
    <x v="1"/>
    <n v="118"/>
    <n v="66"/>
    <n v="26.91"/>
    <n v="26.91"/>
    <x v="0"/>
    <n v="90"/>
    <n v="90"/>
    <n v="82"/>
    <n v="82"/>
    <x v="0"/>
    <x v="0"/>
  </r>
  <r>
    <n v="1"/>
    <x v="1"/>
    <n v="49"/>
    <x v="1"/>
    <n v="4"/>
    <n v="4"/>
    <s v="Post Graduate"/>
    <x v="3"/>
    <n v="0"/>
    <n v="0"/>
    <n v="0"/>
    <x v="1"/>
    <n v="0"/>
    <x v="0"/>
    <n v="0"/>
    <n v="0"/>
    <n v="0"/>
    <n v="264"/>
    <n v="264"/>
    <x v="0"/>
    <n v="127.5"/>
    <n v="81"/>
    <n v="25.16"/>
    <n v="25.16"/>
    <x v="0"/>
    <n v="76"/>
    <n v="76"/>
    <n v="70"/>
    <n v="70"/>
    <x v="0"/>
    <x v="0"/>
  </r>
  <r>
    <n v="1"/>
    <x v="1"/>
    <n v="49"/>
    <x v="1"/>
    <n v="1"/>
    <n v="1"/>
    <s v="Primary"/>
    <x v="2"/>
    <n v="0"/>
    <n v="0"/>
    <n v="0"/>
    <x v="1"/>
    <n v="0"/>
    <x v="0"/>
    <n v="0"/>
    <n v="1"/>
    <n v="0"/>
    <n v="152"/>
    <n v="152"/>
    <x v="1"/>
    <n v="120"/>
    <n v="90"/>
    <n v="23.03"/>
    <n v="23.03"/>
    <x v="1"/>
    <n v="77"/>
    <n v="77"/>
    <n v="93"/>
    <n v="93"/>
    <x v="0"/>
    <x v="0"/>
  </r>
  <r>
    <n v="0"/>
    <x v="0"/>
    <n v="49"/>
    <x v="1"/>
    <n v="2"/>
    <n v="2"/>
    <s v="Secondary"/>
    <x v="0"/>
    <n v="1"/>
    <n v="15"/>
    <n v="15"/>
    <x v="0"/>
    <n v="0"/>
    <x v="0"/>
    <n v="0"/>
    <n v="0"/>
    <n v="0"/>
    <s v="NA"/>
    <n v="236.69952267303103"/>
    <x v="1"/>
    <n v="108"/>
    <n v="76"/>
    <n v="19.25"/>
    <n v="19.25"/>
    <x v="1"/>
    <n v="85"/>
    <n v="85"/>
    <n v="102"/>
    <n v="102"/>
    <x v="0"/>
    <x v="0"/>
  </r>
  <r>
    <n v="0"/>
    <x v="0"/>
    <n v="49"/>
    <x v="1"/>
    <n v="2"/>
    <n v="2"/>
    <s v="Secondary"/>
    <x v="0"/>
    <n v="0"/>
    <n v="0"/>
    <n v="0"/>
    <x v="1"/>
    <n v="0"/>
    <x v="0"/>
    <n v="0"/>
    <n v="0"/>
    <n v="0"/>
    <n v="261"/>
    <n v="261"/>
    <x v="0"/>
    <n v="123.5"/>
    <n v="84"/>
    <n v="20.94"/>
    <n v="20.94"/>
    <x v="1"/>
    <n v="75"/>
    <n v="75"/>
    <n v="75"/>
    <n v="75"/>
    <x v="0"/>
    <x v="0"/>
  </r>
  <r>
    <n v="1"/>
    <x v="1"/>
    <n v="49"/>
    <x v="1"/>
    <n v="1"/>
    <n v="1"/>
    <s v="Primary"/>
    <x v="2"/>
    <n v="1"/>
    <n v="30"/>
    <n v="30"/>
    <x v="0"/>
    <n v="0"/>
    <x v="0"/>
    <n v="0"/>
    <n v="0"/>
    <n v="0"/>
    <n v="199"/>
    <n v="199"/>
    <x v="1"/>
    <n v="107.5"/>
    <n v="71"/>
    <n v="26.62"/>
    <n v="26.62"/>
    <x v="0"/>
    <n v="70"/>
    <n v="70"/>
    <n v="68"/>
    <n v="68"/>
    <x v="0"/>
    <x v="0"/>
  </r>
  <r>
    <n v="0"/>
    <x v="0"/>
    <n v="49"/>
    <x v="1"/>
    <n v="1"/>
    <n v="1"/>
    <s v="Primary"/>
    <x v="2"/>
    <n v="1"/>
    <s v="NA"/>
    <n v="9"/>
    <x v="0"/>
    <n v="0"/>
    <x v="0"/>
    <n v="0"/>
    <n v="0"/>
    <n v="0"/>
    <n v="280"/>
    <n v="280"/>
    <x v="0"/>
    <n v="120"/>
    <n v="80"/>
    <n v="22.33"/>
    <n v="22.33"/>
    <x v="1"/>
    <n v="90"/>
    <n v="90"/>
    <n v="75"/>
    <n v="75"/>
    <x v="0"/>
    <x v="0"/>
  </r>
  <r>
    <n v="0"/>
    <x v="0"/>
    <n v="49"/>
    <x v="1"/>
    <n v="2"/>
    <n v="2"/>
    <s v="Secondary"/>
    <x v="0"/>
    <n v="1"/>
    <n v="30"/>
    <n v="30"/>
    <x v="0"/>
    <n v="0"/>
    <x v="0"/>
    <n v="0"/>
    <n v="0"/>
    <n v="0"/>
    <n v="265"/>
    <n v="265"/>
    <x v="0"/>
    <n v="144"/>
    <n v="86"/>
    <n v="25.57"/>
    <n v="25.57"/>
    <x v="0"/>
    <n v="82"/>
    <n v="82"/>
    <n v="68"/>
    <n v="68"/>
    <x v="0"/>
    <x v="0"/>
  </r>
  <r>
    <n v="1"/>
    <x v="1"/>
    <n v="49"/>
    <x v="1"/>
    <n v="3"/>
    <n v="3"/>
    <s v="Graduate"/>
    <x v="1"/>
    <n v="0"/>
    <n v="0"/>
    <n v="0"/>
    <x v="1"/>
    <n v="0"/>
    <x v="0"/>
    <n v="0"/>
    <n v="1"/>
    <n v="0"/>
    <n v="221"/>
    <n v="221"/>
    <x v="1"/>
    <n v="175"/>
    <n v="107.5"/>
    <n v="25.97"/>
    <n v="25.97"/>
    <x v="0"/>
    <n v="63"/>
    <n v="63"/>
    <n v="78"/>
    <n v="78"/>
    <x v="0"/>
    <x v="0"/>
  </r>
  <r>
    <n v="1"/>
    <x v="1"/>
    <n v="49"/>
    <x v="1"/>
    <n v="3"/>
    <n v="3"/>
    <s v="Graduate"/>
    <x v="1"/>
    <n v="0"/>
    <n v="0"/>
    <n v="0"/>
    <x v="1"/>
    <n v="0"/>
    <x v="0"/>
    <n v="0"/>
    <n v="1"/>
    <n v="0"/>
    <n v="267"/>
    <n v="267"/>
    <x v="0"/>
    <n v="160.5"/>
    <n v="109"/>
    <n v="28.33"/>
    <n v="28.33"/>
    <x v="0"/>
    <n v="70"/>
    <n v="70"/>
    <n v="75"/>
    <n v="75"/>
    <x v="0"/>
    <x v="1"/>
  </r>
  <r>
    <n v="0"/>
    <x v="0"/>
    <n v="49"/>
    <x v="1"/>
    <n v="1"/>
    <n v="1"/>
    <s v="Primary"/>
    <x v="2"/>
    <n v="0"/>
    <n v="0"/>
    <n v="0"/>
    <x v="1"/>
    <n v="0"/>
    <x v="0"/>
    <n v="0"/>
    <n v="0"/>
    <n v="0"/>
    <n v="246"/>
    <n v="246"/>
    <x v="0"/>
    <n v="138"/>
    <n v="92"/>
    <n v="28.23"/>
    <n v="28.23"/>
    <x v="0"/>
    <n v="72"/>
    <n v="72"/>
    <n v="91"/>
    <n v="91"/>
    <x v="0"/>
    <x v="0"/>
  </r>
  <r>
    <n v="0"/>
    <x v="0"/>
    <n v="49"/>
    <x v="1"/>
    <n v="1"/>
    <n v="1"/>
    <s v="Primary"/>
    <x v="2"/>
    <n v="0"/>
    <n v="0"/>
    <n v="0"/>
    <x v="1"/>
    <n v="0"/>
    <x v="0"/>
    <n v="0"/>
    <n v="1"/>
    <n v="0"/>
    <n v="309"/>
    <n v="309"/>
    <x v="0"/>
    <n v="155"/>
    <n v="85"/>
    <n v="23.06"/>
    <n v="23.06"/>
    <x v="1"/>
    <n v="70"/>
    <n v="70"/>
    <n v="63"/>
    <n v="63"/>
    <x v="0"/>
    <x v="0"/>
  </r>
  <r>
    <n v="0"/>
    <x v="0"/>
    <n v="49"/>
    <x v="1"/>
    <n v="3"/>
    <n v="3"/>
    <s v="Graduate"/>
    <x v="1"/>
    <n v="0"/>
    <n v="0"/>
    <n v="0"/>
    <x v="1"/>
    <n v="0"/>
    <x v="0"/>
    <n v="0"/>
    <n v="0"/>
    <n v="0"/>
    <n v="222"/>
    <n v="222"/>
    <x v="1"/>
    <n v="118"/>
    <n v="78"/>
    <n v="21.18"/>
    <n v="21.18"/>
    <x v="1"/>
    <n v="70"/>
    <n v="70"/>
    <n v="73"/>
    <n v="73"/>
    <x v="0"/>
    <x v="0"/>
  </r>
  <r>
    <n v="0"/>
    <x v="0"/>
    <n v="49"/>
    <x v="1"/>
    <n v="1"/>
    <n v="1"/>
    <s v="Primary"/>
    <x v="2"/>
    <n v="1"/>
    <n v="9"/>
    <n v="9"/>
    <x v="0"/>
    <n v="0"/>
    <x v="0"/>
    <n v="0"/>
    <n v="1"/>
    <n v="0"/>
    <n v="266"/>
    <n v="266"/>
    <x v="0"/>
    <n v="159"/>
    <n v="88"/>
    <n v="20.66"/>
    <n v="20.66"/>
    <x v="1"/>
    <n v="76"/>
    <n v="76"/>
    <n v="84"/>
    <n v="84"/>
    <x v="0"/>
    <x v="0"/>
  </r>
  <r>
    <n v="0"/>
    <x v="0"/>
    <n v="49"/>
    <x v="1"/>
    <n v="1"/>
    <n v="1"/>
    <s v="Primary"/>
    <x v="2"/>
    <n v="0"/>
    <n v="0"/>
    <n v="0"/>
    <x v="1"/>
    <n v="0"/>
    <x v="0"/>
    <n v="0"/>
    <n v="0"/>
    <n v="0"/>
    <n v="270"/>
    <n v="270"/>
    <x v="0"/>
    <n v="126.5"/>
    <n v="67.5"/>
    <n v="26.56"/>
    <n v="26.56"/>
    <x v="0"/>
    <n v="70"/>
    <n v="70"/>
    <n v="77"/>
    <n v="77"/>
    <x v="0"/>
    <x v="0"/>
  </r>
  <r>
    <n v="1"/>
    <x v="1"/>
    <n v="49"/>
    <x v="1"/>
    <n v="2"/>
    <n v="2"/>
    <s v="Secondary"/>
    <x v="0"/>
    <n v="0"/>
    <n v="0"/>
    <n v="0"/>
    <x v="1"/>
    <n v="0"/>
    <x v="0"/>
    <n v="0"/>
    <n v="1"/>
    <n v="0"/>
    <n v="271"/>
    <n v="271"/>
    <x v="0"/>
    <n v="140"/>
    <n v="108"/>
    <n v="27.66"/>
    <n v="27.66"/>
    <x v="0"/>
    <n v="82"/>
    <n v="82"/>
    <n v="77"/>
    <n v="77"/>
    <x v="0"/>
    <x v="0"/>
  </r>
  <r>
    <n v="0"/>
    <x v="0"/>
    <n v="49"/>
    <x v="1"/>
    <n v="1"/>
    <n v="1"/>
    <s v="Primary"/>
    <x v="2"/>
    <n v="0"/>
    <n v="0"/>
    <n v="0"/>
    <x v="1"/>
    <n v="0"/>
    <x v="0"/>
    <n v="0"/>
    <n v="0"/>
    <n v="0"/>
    <n v="250"/>
    <n v="250"/>
    <x v="0"/>
    <n v="133.5"/>
    <n v="87.5"/>
    <n v="29.45"/>
    <n v="29.45"/>
    <x v="0"/>
    <n v="83"/>
    <n v="83"/>
    <n v="84"/>
    <n v="84"/>
    <x v="0"/>
    <x v="0"/>
  </r>
  <r>
    <n v="0"/>
    <x v="0"/>
    <n v="49"/>
    <x v="1"/>
    <n v="1"/>
    <n v="1"/>
    <s v="Primary"/>
    <x v="2"/>
    <n v="0"/>
    <n v="0"/>
    <n v="0"/>
    <x v="1"/>
    <n v="0"/>
    <x v="0"/>
    <n v="0"/>
    <n v="0"/>
    <n v="0"/>
    <n v="211"/>
    <n v="211"/>
    <x v="1"/>
    <n v="103.5"/>
    <n v="66.5"/>
    <n v="24.17"/>
    <n v="24.17"/>
    <x v="1"/>
    <n v="75"/>
    <n v="75"/>
    <n v="87"/>
    <n v="87"/>
    <x v="0"/>
    <x v="1"/>
  </r>
  <r>
    <n v="0"/>
    <x v="0"/>
    <n v="49"/>
    <x v="1"/>
    <n v="3"/>
    <n v="3"/>
    <s v="Graduate"/>
    <x v="1"/>
    <n v="1"/>
    <n v="10"/>
    <n v="10"/>
    <x v="0"/>
    <n v="0"/>
    <x v="0"/>
    <n v="0"/>
    <n v="0"/>
    <n v="0"/>
    <n v="260"/>
    <n v="260"/>
    <x v="0"/>
    <n v="123"/>
    <n v="80"/>
    <n v="23.1"/>
    <n v="23.1"/>
    <x v="1"/>
    <n v="63"/>
    <n v="63"/>
    <n v="65"/>
    <n v="65"/>
    <x v="0"/>
    <x v="1"/>
  </r>
  <r>
    <n v="1"/>
    <x v="1"/>
    <n v="49"/>
    <x v="1"/>
    <n v="2"/>
    <n v="2"/>
    <s v="Secondary"/>
    <x v="0"/>
    <n v="1"/>
    <n v="20"/>
    <n v="20"/>
    <x v="0"/>
    <n v="0"/>
    <x v="0"/>
    <n v="0"/>
    <n v="0"/>
    <n v="0"/>
    <n v="278"/>
    <n v="278"/>
    <x v="0"/>
    <n v="135"/>
    <n v="76"/>
    <n v="29.03"/>
    <n v="29.03"/>
    <x v="0"/>
    <n v="82"/>
    <n v="82"/>
    <n v="75"/>
    <n v="75"/>
    <x v="0"/>
    <x v="1"/>
  </r>
  <r>
    <n v="0"/>
    <x v="0"/>
    <n v="49"/>
    <x v="1"/>
    <n v="3"/>
    <n v="3"/>
    <s v="Graduate"/>
    <x v="1"/>
    <n v="1"/>
    <n v="1"/>
    <n v="1"/>
    <x v="0"/>
    <n v="0"/>
    <x v="0"/>
    <n v="0"/>
    <n v="0"/>
    <n v="0"/>
    <n v="186"/>
    <n v="186"/>
    <x v="1"/>
    <n v="120"/>
    <n v="74"/>
    <n v="19.39"/>
    <n v="19.39"/>
    <x v="1"/>
    <n v="80"/>
    <n v="80"/>
    <n v="69"/>
    <n v="69"/>
    <x v="0"/>
    <x v="0"/>
  </r>
  <r>
    <n v="0"/>
    <x v="0"/>
    <n v="49"/>
    <x v="1"/>
    <n v="2"/>
    <n v="2"/>
    <s v="Secondary"/>
    <x v="0"/>
    <n v="0"/>
    <n v="0"/>
    <n v="0"/>
    <x v="1"/>
    <n v="0"/>
    <x v="0"/>
    <n v="0"/>
    <n v="0"/>
    <n v="0"/>
    <n v="290"/>
    <n v="290"/>
    <x v="0"/>
    <n v="137.5"/>
    <n v="92"/>
    <n v="24.46"/>
    <n v="24.46"/>
    <x v="1"/>
    <n v="80"/>
    <n v="80"/>
    <n v="74"/>
    <n v="74"/>
    <x v="0"/>
    <x v="0"/>
  </r>
  <r>
    <n v="1"/>
    <x v="1"/>
    <n v="49"/>
    <x v="1"/>
    <n v="2"/>
    <n v="2"/>
    <s v="Secondary"/>
    <x v="0"/>
    <n v="1"/>
    <n v="20"/>
    <n v="20"/>
    <x v="0"/>
    <n v="0"/>
    <x v="0"/>
    <n v="0"/>
    <n v="1"/>
    <n v="0"/>
    <n v="273"/>
    <n v="273"/>
    <x v="0"/>
    <n v="142"/>
    <n v="108"/>
    <n v="23.19"/>
    <n v="23.19"/>
    <x v="1"/>
    <n v="95"/>
    <n v="95"/>
    <n v="72"/>
    <n v="72"/>
    <x v="0"/>
    <x v="0"/>
  </r>
  <r>
    <n v="0"/>
    <x v="0"/>
    <n v="49"/>
    <x v="1"/>
    <n v="2"/>
    <n v="2"/>
    <s v="Secondary"/>
    <x v="0"/>
    <n v="0"/>
    <n v="0"/>
    <n v="0"/>
    <x v="1"/>
    <n v="0"/>
    <x v="0"/>
    <n v="0"/>
    <n v="0"/>
    <n v="0"/>
    <n v="170"/>
    <n v="170"/>
    <x v="1"/>
    <n v="112"/>
    <n v="79"/>
    <n v="21"/>
    <n v="21"/>
    <x v="1"/>
    <n v="60"/>
    <n v="60"/>
    <n v="80"/>
    <n v="80"/>
    <x v="0"/>
    <x v="0"/>
  </r>
  <r>
    <n v="0"/>
    <x v="0"/>
    <n v="49"/>
    <x v="1"/>
    <n v="3"/>
    <n v="3"/>
    <s v="Graduate"/>
    <x v="1"/>
    <n v="0"/>
    <n v="0"/>
    <n v="0"/>
    <x v="1"/>
    <n v="0"/>
    <x v="0"/>
    <n v="0"/>
    <n v="0"/>
    <n v="0"/>
    <n v="241"/>
    <n v="241"/>
    <x v="0"/>
    <n v="120"/>
    <n v="70.5"/>
    <n v="23.29"/>
    <n v="23.29"/>
    <x v="1"/>
    <n v="87"/>
    <n v="87"/>
    <n v="84"/>
    <n v="84"/>
    <x v="0"/>
    <x v="0"/>
  </r>
  <r>
    <n v="0"/>
    <x v="0"/>
    <n v="49"/>
    <x v="1"/>
    <n v="2"/>
    <n v="2"/>
    <s v="Secondary"/>
    <x v="0"/>
    <n v="1"/>
    <s v="NA"/>
    <n v="9"/>
    <x v="0"/>
    <n v="0"/>
    <x v="0"/>
    <n v="0"/>
    <n v="1"/>
    <n v="0"/>
    <n v="233"/>
    <n v="233"/>
    <x v="1"/>
    <n v="158"/>
    <n v="102"/>
    <n v="25.31"/>
    <n v="25.31"/>
    <x v="0"/>
    <n v="90"/>
    <n v="90"/>
    <n v="72"/>
    <n v="72"/>
    <x v="0"/>
    <x v="0"/>
  </r>
  <r>
    <n v="0"/>
    <x v="0"/>
    <n v="49"/>
    <x v="1"/>
    <n v="1"/>
    <n v="1"/>
    <s v="Primary"/>
    <x v="2"/>
    <n v="0"/>
    <n v="0"/>
    <n v="0"/>
    <x v="1"/>
    <n v="0"/>
    <x v="0"/>
    <n v="0"/>
    <n v="0"/>
    <n v="0"/>
    <n v="225"/>
    <n v="225"/>
    <x v="1"/>
    <n v="115.5"/>
    <n v="72.5"/>
    <n v="21.83"/>
    <n v="21.83"/>
    <x v="1"/>
    <n v="69"/>
    <n v="69"/>
    <s v="NA"/>
    <n v="81.96365524402907"/>
    <x v="0"/>
    <x v="1"/>
  </r>
  <r>
    <n v="0"/>
    <x v="0"/>
    <n v="49"/>
    <x v="1"/>
    <n v="2"/>
    <n v="2"/>
    <s v="Secondary"/>
    <x v="0"/>
    <n v="1"/>
    <n v="11"/>
    <n v="11"/>
    <x v="0"/>
    <n v="0"/>
    <x v="0"/>
    <n v="0"/>
    <n v="0"/>
    <n v="0"/>
    <n v="206"/>
    <n v="206"/>
    <x v="1"/>
    <n v="107"/>
    <n v="74"/>
    <n v="20.23"/>
    <n v="20.23"/>
    <x v="1"/>
    <n v="65"/>
    <n v="65"/>
    <n v="83"/>
    <n v="83"/>
    <x v="0"/>
    <x v="0"/>
  </r>
  <r>
    <n v="1"/>
    <x v="1"/>
    <n v="49"/>
    <x v="1"/>
    <n v="3"/>
    <n v="3"/>
    <s v="Graduate"/>
    <x v="1"/>
    <n v="1"/>
    <n v="40"/>
    <n v="40"/>
    <x v="0"/>
    <n v="0"/>
    <x v="0"/>
    <n v="0"/>
    <n v="1"/>
    <n v="0"/>
    <n v="260"/>
    <n v="260"/>
    <x v="0"/>
    <n v="142"/>
    <n v="54"/>
    <n v="25.4"/>
    <n v="25.4"/>
    <x v="0"/>
    <n v="67"/>
    <n v="67"/>
    <n v="95"/>
    <n v="95"/>
    <x v="0"/>
    <x v="1"/>
  </r>
  <r>
    <n v="0"/>
    <x v="0"/>
    <n v="49"/>
    <x v="1"/>
    <n v="3"/>
    <n v="3"/>
    <s v="Graduate"/>
    <x v="1"/>
    <n v="0"/>
    <n v="0"/>
    <n v="0"/>
    <x v="1"/>
    <n v="0"/>
    <x v="0"/>
    <n v="0"/>
    <n v="0"/>
    <n v="0"/>
    <n v="286"/>
    <n v="286"/>
    <x v="0"/>
    <n v="119"/>
    <n v="85.5"/>
    <n v="22.29"/>
    <n v="22.29"/>
    <x v="1"/>
    <n v="60"/>
    <n v="60"/>
    <n v="72"/>
    <n v="72"/>
    <x v="0"/>
    <x v="0"/>
  </r>
  <r>
    <n v="0"/>
    <x v="0"/>
    <n v="49"/>
    <x v="1"/>
    <n v="2"/>
    <n v="2"/>
    <s v="Secondary"/>
    <x v="0"/>
    <n v="0"/>
    <n v="0"/>
    <n v="0"/>
    <x v="1"/>
    <n v="0"/>
    <x v="0"/>
    <n v="0"/>
    <n v="0"/>
    <n v="0"/>
    <n v="275"/>
    <n v="275"/>
    <x v="0"/>
    <n v="155"/>
    <n v="89"/>
    <n v="25.01"/>
    <n v="25.01"/>
    <x v="0"/>
    <n v="74"/>
    <n v="74"/>
    <n v="85"/>
    <n v="85"/>
    <x v="0"/>
    <x v="0"/>
  </r>
  <r>
    <n v="0"/>
    <x v="0"/>
    <n v="49"/>
    <x v="1"/>
    <n v="3"/>
    <n v="3"/>
    <s v="Graduate"/>
    <x v="1"/>
    <n v="0"/>
    <n v="0"/>
    <n v="0"/>
    <x v="1"/>
    <n v="0"/>
    <x v="0"/>
    <n v="0"/>
    <n v="0"/>
    <n v="0"/>
    <n v="203"/>
    <n v="203"/>
    <x v="1"/>
    <n v="128"/>
    <n v="72"/>
    <n v="24.87"/>
    <n v="24.87"/>
    <x v="1"/>
    <n v="75"/>
    <n v="75"/>
    <n v="82"/>
    <n v="82"/>
    <x v="0"/>
    <x v="0"/>
  </r>
  <r>
    <n v="1"/>
    <x v="1"/>
    <n v="49"/>
    <x v="1"/>
    <n v="2"/>
    <n v="2"/>
    <s v="Secondary"/>
    <x v="0"/>
    <n v="1"/>
    <n v="50"/>
    <n v="50"/>
    <x v="0"/>
    <n v="0"/>
    <x v="0"/>
    <n v="0"/>
    <n v="0"/>
    <n v="0"/>
    <n v="252"/>
    <n v="252"/>
    <x v="0"/>
    <n v="156"/>
    <n v="91"/>
    <n v="25.35"/>
    <n v="25.35"/>
    <x v="0"/>
    <n v="70"/>
    <n v="70"/>
    <n v="114"/>
    <n v="114"/>
    <x v="0"/>
    <x v="1"/>
  </r>
  <r>
    <n v="1"/>
    <x v="1"/>
    <n v="49"/>
    <x v="1"/>
    <n v="1"/>
    <n v="1"/>
    <s v="Primary"/>
    <x v="2"/>
    <n v="1"/>
    <n v="20"/>
    <n v="20"/>
    <x v="0"/>
    <n v="0"/>
    <x v="0"/>
    <n v="0"/>
    <n v="0"/>
    <n v="0"/>
    <n v="222"/>
    <n v="222"/>
    <x v="1"/>
    <n v="124"/>
    <n v="86"/>
    <n v="27.25"/>
    <n v="27.25"/>
    <x v="0"/>
    <n v="80"/>
    <n v="80"/>
    <s v="NA"/>
    <n v="81.96365524402907"/>
    <x v="0"/>
    <x v="0"/>
  </r>
  <r>
    <n v="0"/>
    <x v="0"/>
    <n v="49"/>
    <x v="1"/>
    <n v="1"/>
    <n v="1"/>
    <s v="Primary"/>
    <x v="2"/>
    <n v="0"/>
    <n v="0"/>
    <n v="0"/>
    <x v="1"/>
    <n v="0"/>
    <x v="0"/>
    <n v="0"/>
    <n v="0"/>
    <n v="0"/>
    <n v="307"/>
    <n v="307"/>
    <x v="0"/>
    <n v="112.5"/>
    <n v="70"/>
    <n v="23.86"/>
    <n v="23.86"/>
    <x v="1"/>
    <n v="60"/>
    <n v="60"/>
    <n v="72"/>
    <n v="72"/>
    <x v="0"/>
    <x v="0"/>
  </r>
  <r>
    <n v="0"/>
    <x v="0"/>
    <n v="49"/>
    <x v="1"/>
    <n v="3"/>
    <n v="3"/>
    <s v="Graduate"/>
    <x v="1"/>
    <n v="0"/>
    <n v="0"/>
    <n v="0"/>
    <x v="1"/>
    <n v="0"/>
    <x v="0"/>
    <n v="0"/>
    <n v="0"/>
    <n v="0"/>
    <n v="238"/>
    <n v="238"/>
    <x v="1"/>
    <n v="97"/>
    <n v="67"/>
    <n v="23.17"/>
    <n v="23.17"/>
    <x v="1"/>
    <n v="75"/>
    <n v="75"/>
    <n v="77"/>
    <n v="77"/>
    <x v="0"/>
    <x v="0"/>
  </r>
  <r>
    <n v="0"/>
    <x v="0"/>
    <n v="49"/>
    <x v="1"/>
    <n v="1"/>
    <n v="1"/>
    <s v="Primary"/>
    <x v="2"/>
    <n v="0"/>
    <n v="0"/>
    <n v="0"/>
    <x v="1"/>
    <n v="0"/>
    <x v="0"/>
    <n v="0"/>
    <n v="0"/>
    <n v="0"/>
    <n v="193"/>
    <n v="193"/>
    <x v="1"/>
    <n v="134"/>
    <n v="88"/>
    <n v="25.77"/>
    <n v="25.77"/>
    <x v="0"/>
    <n v="69"/>
    <n v="69"/>
    <n v="76"/>
    <n v="76"/>
    <x v="0"/>
    <x v="0"/>
  </r>
  <r>
    <n v="0"/>
    <x v="0"/>
    <n v="49"/>
    <x v="1"/>
    <n v="4"/>
    <n v="4"/>
    <s v="Post Graduate"/>
    <x v="3"/>
    <n v="0"/>
    <n v="0"/>
    <n v="0"/>
    <x v="1"/>
    <n v="0"/>
    <x v="0"/>
    <n v="0"/>
    <n v="0"/>
    <n v="0"/>
    <n v="224"/>
    <n v="224"/>
    <x v="1"/>
    <n v="130"/>
    <n v="87"/>
    <n v="29.01"/>
    <n v="29.01"/>
    <x v="0"/>
    <n v="75"/>
    <n v="75"/>
    <n v="73"/>
    <n v="73"/>
    <x v="0"/>
    <x v="0"/>
  </r>
  <r>
    <n v="0"/>
    <x v="0"/>
    <n v="49"/>
    <x v="1"/>
    <n v="2"/>
    <n v="2"/>
    <s v="Secondary"/>
    <x v="0"/>
    <n v="1"/>
    <n v="20"/>
    <n v="20"/>
    <x v="0"/>
    <n v="0"/>
    <x v="0"/>
    <n v="0"/>
    <n v="0"/>
    <n v="0"/>
    <n v="283"/>
    <n v="283"/>
    <x v="0"/>
    <n v="127"/>
    <n v="86"/>
    <n v="23.68"/>
    <n v="23.68"/>
    <x v="1"/>
    <n v="95"/>
    <n v="95"/>
    <n v="78"/>
    <n v="78"/>
    <x v="0"/>
    <x v="0"/>
  </r>
  <r>
    <n v="1"/>
    <x v="1"/>
    <n v="49"/>
    <x v="1"/>
    <n v="1"/>
    <n v="1"/>
    <s v="Primary"/>
    <x v="2"/>
    <n v="1"/>
    <n v="20"/>
    <n v="20"/>
    <x v="0"/>
    <n v="0"/>
    <x v="0"/>
    <n v="0"/>
    <n v="0"/>
    <n v="0"/>
    <n v="247"/>
    <n v="247"/>
    <x v="0"/>
    <n v="150"/>
    <n v="88"/>
    <n v="27.92"/>
    <n v="27.92"/>
    <x v="0"/>
    <n v="75"/>
    <n v="75"/>
    <n v="74"/>
    <n v="74"/>
    <x v="0"/>
    <x v="1"/>
  </r>
  <r>
    <n v="0"/>
    <x v="0"/>
    <n v="49"/>
    <x v="1"/>
    <n v="2"/>
    <n v="2"/>
    <s v="Secondary"/>
    <x v="0"/>
    <n v="1"/>
    <n v="30"/>
    <n v="30"/>
    <x v="0"/>
    <n v="1"/>
    <x v="1"/>
    <n v="0"/>
    <n v="1"/>
    <n v="0"/>
    <n v="350"/>
    <n v="350"/>
    <x v="0"/>
    <n v="174"/>
    <n v="90"/>
    <n v="18.440000000000001"/>
    <n v="18.440000000000001"/>
    <x v="3"/>
    <n v="110"/>
    <n v="110"/>
    <n v="78"/>
    <n v="78"/>
    <x v="0"/>
    <x v="0"/>
  </r>
  <r>
    <n v="0"/>
    <x v="0"/>
    <n v="49"/>
    <x v="1"/>
    <n v="2"/>
    <n v="2"/>
    <s v="Secondary"/>
    <x v="0"/>
    <n v="1"/>
    <n v="1"/>
    <n v="1"/>
    <x v="0"/>
    <n v="0"/>
    <x v="0"/>
    <n v="0"/>
    <n v="0"/>
    <n v="0"/>
    <n v="240"/>
    <n v="240"/>
    <x v="1"/>
    <n v="110"/>
    <n v="71"/>
    <n v="22.02"/>
    <n v="22.02"/>
    <x v="1"/>
    <n v="73"/>
    <n v="73"/>
    <n v="84"/>
    <n v="84"/>
    <x v="0"/>
    <x v="0"/>
  </r>
  <r>
    <n v="1"/>
    <x v="1"/>
    <n v="49"/>
    <x v="1"/>
    <n v="1"/>
    <n v="1"/>
    <s v="Primary"/>
    <x v="2"/>
    <n v="1"/>
    <n v="20"/>
    <n v="20"/>
    <x v="0"/>
    <n v="0"/>
    <x v="0"/>
    <n v="0"/>
    <n v="0"/>
    <n v="0"/>
    <n v="206"/>
    <n v="206"/>
    <x v="1"/>
    <n v="101"/>
    <n v="69"/>
    <n v="28.4"/>
    <n v="28.4"/>
    <x v="0"/>
    <n v="85"/>
    <n v="85"/>
    <n v="82"/>
    <n v="82"/>
    <x v="0"/>
    <x v="0"/>
  </r>
  <r>
    <n v="0"/>
    <x v="0"/>
    <n v="49"/>
    <x v="1"/>
    <n v="1"/>
    <n v="1"/>
    <s v="Primary"/>
    <x v="2"/>
    <n v="1"/>
    <n v="9"/>
    <n v="9"/>
    <x v="0"/>
    <n v="0"/>
    <x v="0"/>
    <n v="0"/>
    <n v="0"/>
    <n v="0"/>
    <n v="235"/>
    <n v="235"/>
    <x v="1"/>
    <n v="109"/>
    <n v="70"/>
    <n v="28.66"/>
    <n v="28.66"/>
    <x v="0"/>
    <n v="74"/>
    <n v="74"/>
    <n v="73"/>
    <n v="73"/>
    <x v="0"/>
    <x v="1"/>
  </r>
  <r>
    <n v="1"/>
    <x v="1"/>
    <n v="49"/>
    <x v="1"/>
    <n v="2"/>
    <n v="2"/>
    <s v="Secondary"/>
    <x v="0"/>
    <n v="0"/>
    <n v="0"/>
    <n v="0"/>
    <x v="1"/>
    <n v="0"/>
    <x v="0"/>
    <n v="0"/>
    <n v="0"/>
    <n v="0"/>
    <n v="215"/>
    <n v="215"/>
    <x v="1"/>
    <n v="132"/>
    <n v="85"/>
    <n v="33.14"/>
    <n v="33.14"/>
    <x v="2"/>
    <n v="81"/>
    <n v="81"/>
    <n v="75"/>
    <n v="75"/>
    <x v="0"/>
    <x v="1"/>
  </r>
  <r>
    <n v="0"/>
    <x v="0"/>
    <n v="49"/>
    <x v="1"/>
    <s v="NA"/>
    <n v="1"/>
    <s v="Primary"/>
    <x v="2"/>
    <n v="0"/>
    <n v="0"/>
    <n v="0"/>
    <x v="1"/>
    <n v="0"/>
    <x v="0"/>
    <n v="0"/>
    <n v="0"/>
    <n v="0"/>
    <n v="246"/>
    <n v="246"/>
    <x v="0"/>
    <n v="107"/>
    <n v="73"/>
    <n v="29.36"/>
    <n v="29.36"/>
    <x v="0"/>
    <n v="79"/>
    <n v="79"/>
    <n v="80"/>
    <n v="80"/>
    <x v="0"/>
    <x v="0"/>
  </r>
  <r>
    <n v="0"/>
    <x v="0"/>
    <n v="49"/>
    <x v="1"/>
    <n v="1"/>
    <n v="1"/>
    <s v="Primary"/>
    <x v="2"/>
    <n v="0"/>
    <n v="0"/>
    <n v="0"/>
    <x v="1"/>
    <n v="0"/>
    <x v="0"/>
    <n v="0"/>
    <n v="1"/>
    <n v="0"/>
    <n v="205"/>
    <n v="205"/>
    <x v="1"/>
    <n v="137"/>
    <n v="95"/>
    <n v="25.29"/>
    <n v="25.29"/>
    <x v="0"/>
    <n v="100"/>
    <n v="100"/>
    <n v="74"/>
    <n v="74"/>
    <x v="0"/>
    <x v="1"/>
  </r>
  <r>
    <n v="0"/>
    <x v="0"/>
    <n v="49"/>
    <x v="1"/>
    <n v="1"/>
    <n v="1"/>
    <s v="Primary"/>
    <x v="2"/>
    <n v="1"/>
    <s v="NA"/>
    <n v="9"/>
    <x v="0"/>
    <n v="0"/>
    <x v="0"/>
    <n v="0"/>
    <n v="0"/>
    <n v="0"/>
    <n v="252"/>
    <n v="252"/>
    <x v="0"/>
    <n v="123"/>
    <n v="69"/>
    <n v="21.45"/>
    <n v="21.45"/>
    <x v="1"/>
    <n v="72"/>
    <n v="72"/>
    <n v="89"/>
    <n v="89"/>
    <x v="0"/>
    <x v="0"/>
  </r>
  <r>
    <n v="0"/>
    <x v="0"/>
    <n v="49"/>
    <x v="1"/>
    <n v="1"/>
    <n v="1"/>
    <s v="Primary"/>
    <x v="2"/>
    <n v="1"/>
    <n v="20"/>
    <n v="20"/>
    <x v="0"/>
    <n v="0"/>
    <x v="0"/>
    <n v="0"/>
    <n v="0"/>
    <n v="0"/>
    <n v="323"/>
    <n v="323"/>
    <x v="0"/>
    <n v="123.5"/>
    <n v="78"/>
    <n v="22.86"/>
    <n v="22.86"/>
    <x v="1"/>
    <n v="92"/>
    <n v="92"/>
    <n v="63"/>
    <n v="63"/>
    <x v="0"/>
    <x v="1"/>
  </r>
  <r>
    <n v="1"/>
    <x v="1"/>
    <n v="49"/>
    <x v="1"/>
    <n v="3"/>
    <n v="3"/>
    <s v="Graduate"/>
    <x v="1"/>
    <n v="1"/>
    <n v="20"/>
    <n v="20"/>
    <x v="0"/>
    <n v="0"/>
    <x v="0"/>
    <n v="0"/>
    <n v="1"/>
    <n v="0"/>
    <n v="193"/>
    <n v="193"/>
    <x v="1"/>
    <n v="172"/>
    <n v="105"/>
    <n v="19.7"/>
    <n v="19.7"/>
    <x v="1"/>
    <n v="90"/>
    <n v="90"/>
    <n v="77"/>
    <n v="77"/>
    <x v="0"/>
    <x v="1"/>
  </r>
  <r>
    <n v="1"/>
    <x v="1"/>
    <n v="49"/>
    <x v="1"/>
    <n v="2"/>
    <n v="2"/>
    <s v="Secondary"/>
    <x v="0"/>
    <n v="1"/>
    <n v="9"/>
    <n v="9"/>
    <x v="0"/>
    <n v="0"/>
    <x v="0"/>
    <n v="0"/>
    <n v="0"/>
    <n v="0"/>
    <n v="193"/>
    <n v="193"/>
    <x v="1"/>
    <n v="115"/>
    <n v="79"/>
    <n v="21.86"/>
    <n v="21.86"/>
    <x v="1"/>
    <n v="48"/>
    <n v="48"/>
    <n v="88"/>
    <n v="88"/>
    <x v="0"/>
    <x v="0"/>
  </r>
  <r>
    <n v="1"/>
    <x v="1"/>
    <n v="49"/>
    <x v="1"/>
    <n v="3"/>
    <n v="3"/>
    <s v="Graduate"/>
    <x v="1"/>
    <n v="1"/>
    <n v="20"/>
    <n v="20"/>
    <x v="0"/>
    <n v="0"/>
    <x v="0"/>
    <n v="0"/>
    <n v="0"/>
    <n v="0"/>
    <n v="189"/>
    <n v="189"/>
    <x v="1"/>
    <n v="132"/>
    <n v="76"/>
    <n v="20.260000000000002"/>
    <n v="20.260000000000002"/>
    <x v="1"/>
    <n v="75"/>
    <n v="75"/>
    <n v="60"/>
    <n v="60"/>
    <x v="0"/>
    <x v="0"/>
  </r>
  <r>
    <n v="0"/>
    <x v="0"/>
    <n v="49"/>
    <x v="1"/>
    <n v="3"/>
    <n v="3"/>
    <s v="Graduate"/>
    <x v="1"/>
    <n v="0"/>
    <n v="0"/>
    <n v="0"/>
    <x v="1"/>
    <n v="0"/>
    <x v="0"/>
    <n v="0"/>
    <n v="0"/>
    <n v="0"/>
    <n v="224"/>
    <n v="224"/>
    <x v="1"/>
    <n v="126"/>
    <n v="82.5"/>
    <n v="27.49"/>
    <n v="27.49"/>
    <x v="0"/>
    <n v="100"/>
    <n v="100"/>
    <n v="67"/>
    <n v="67"/>
    <x v="0"/>
    <x v="0"/>
  </r>
  <r>
    <n v="0"/>
    <x v="0"/>
    <n v="49"/>
    <x v="1"/>
    <n v="4"/>
    <n v="4"/>
    <s v="Post Graduate"/>
    <x v="3"/>
    <n v="1"/>
    <n v="9"/>
    <n v="9"/>
    <x v="0"/>
    <n v="0"/>
    <x v="0"/>
    <n v="0"/>
    <n v="1"/>
    <n v="0"/>
    <n v="231"/>
    <n v="231"/>
    <x v="1"/>
    <n v="137"/>
    <n v="96.5"/>
    <n v="29.3"/>
    <n v="29.3"/>
    <x v="0"/>
    <n v="70"/>
    <n v="70"/>
    <s v="NA"/>
    <n v="81.96365524402907"/>
    <x v="0"/>
    <x v="0"/>
  </r>
  <r>
    <n v="1"/>
    <x v="1"/>
    <n v="49"/>
    <x v="1"/>
    <n v="1"/>
    <n v="1"/>
    <s v="Primary"/>
    <x v="2"/>
    <n v="0"/>
    <n v="0"/>
    <n v="0"/>
    <x v="1"/>
    <n v="0"/>
    <x v="0"/>
    <n v="0"/>
    <n v="1"/>
    <n v="0"/>
    <n v="304"/>
    <n v="304"/>
    <x v="0"/>
    <n v="147"/>
    <n v="102"/>
    <n v="31.67"/>
    <n v="31.67"/>
    <x v="2"/>
    <n v="70"/>
    <n v="70"/>
    <n v="77"/>
    <n v="77"/>
    <x v="0"/>
    <x v="0"/>
  </r>
  <r>
    <n v="0"/>
    <x v="0"/>
    <n v="49"/>
    <x v="1"/>
    <n v="4"/>
    <n v="4"/>
    <s v="Post Graduate"/>
    <x v="3"/>
    <n v="0"/>
    <n v="0"/>
    <n v="0"/>
    <x v="1"/>
    <n v="0"/>
    <x v="0"/>
    <n v="0"/>
    <n v="1"/>
    <n v="0"/>
    <n v="168"/>
    <n v="168"/>
    <x v="1"/>
    <n v="165"/>
    <n v="99"/>
    <n v="27.1"/>
    <n v="27.1"/>
    <x v="0"/>
    <n v="73"/>
    <n v="73"/>
    <n v="86"/>
    <n v="86"/>
    <x v="0"/>
    <x v="0"/>
  </r>
  <r>
    <n v="1"/>
    <x v="1"/>
    <n v="49"/>
    <x v="1"/>
    <n v="1"/>
    <n v="1"/>
    <s v="Primary"/>
    <x v="2"/>
    <n v="1"/>
    <n v="20"/>
    <n v="20"/>
    <x v="0"/>
    <n v="0"/>
    <x v="0"/>
    <n v="0"/>
    <n v="0"/>
    <n v="0"/>
    <n v="288"/>
    <n v="288"/>
    <x v="0"/>
    <n v="128"/>
    <n v="89"/>
    <n v="35.96"/>
    <n v="35.96"/>
    <x v="2"/>
    <n v="73"/>
    <n v="73"/>
    <n v="75"/>
    <n v="75"/>
    <x v="0"/>
    <x v="0"/>
  </r>
  <r>
    <n v="0"/>
    <x v="0"/>
    <n v="49"/>
    <x v="1"/>
    <n v="1"/>
    <n v="1"/>
    <s v="Primary"/>
    <x v="2"/>
    <n v="1"/>
    <n v="10"/>
    <n v="10"/>
    <x v="0"/>
    <n v="0"/>
    <x v="0"/>
    <n v="0"/>
    <n v="0"/>
    <n v="0"/>
    <n v="288"/>
    <n v="288"/>
    <x v="0"/>
    <n v="99"/>
    <n v="60"/>
    <n v="22.19"/>
    <n v="22.19"/>
    <x v="1"/>
    <n v="77"/>
    <n v="77"/>
    <n v="76"/>
    <n v="76"/>
    <x v="0"/>
    <x v="0"/>
  </r>
  <r>
    <n v="1"/>
    <x v="1"/>
    <n v="49"/>
    <x v="1"/>
    <n v="2"/>
    <n v="2"/>
    <s v="Secondary"/>
    <x v="0"/>
    <n v="1"/>
    <n v="60"/>
    <n v="60"/>
    <x v="0"/>
    <n v="0"/>
    <x v="0"/>
    <n v="0"/>
    <n v="0"/>
    <n v="0"/>
    <n v="213"/>
    <n v="213"/>
    <x v="1"/>
    <n v="123"/>
    <n v="75"/>
    <n v="24.84"/>
    <n v="24.84"/>
    <x v="1"/>
    <n v="70"/>
    <n v="70"/>
    <s v="NA"/>
    <n v="81.96365524402907"/>
    <x v="0"/>
    <x v="1"/>
  </r>
  <r>
    <n v="0"/>
    <x v="0"/>
    <n v="49"/>
    <x v="1"/>
    <n v="2"/>
    <n v="2"/>
    <s v="Secondary"/>
    <x v="0"/>
    <n v="0"/>
    <n v="0"/>
    <n v="0"/>
    <x v="1"/>
    <n v="0"/>
    <x v="0"/>
    <n v="0"/>
    <n v="1"/>
    <n v="0"/>
    <n v="239"/>
    <n v="239"/>
    <x v="1"/>
    <n v="143"/>
    <n v="93"/>
    <n v="28.38"/>
    <n v="28.38"/>
    <x v="0"/>
    <n v="75"/>
    <n v="75"/>
    <n v="87"/>
    <n v="87"/>
    <x v="0"/>
    <x v="0"/>
  </r>
  <r>
    <n v="1"/>
    <x v="1"/>
    <n v="49"/>
    <x v="1"/>
    <n v="4"/>
    <n v="4"/>
    <s v="Post Graduate"/>
    <x v="3"/>
    <n v="0"/>
    <n v="0"/>
    <n v="0"/>
    <x v="1"/>
    <n v="1"/>
    <x v="1"/>
    <n v="0"/>
    <n v="1"/>
    <n v="0"/>
    <n v="280"/>
    <n v="280"/>
    <x v="0"/>
    <n v="166"/>
    <n v="98"/>
    <n v="23.03"/>
    <n v="23.03"/>
    <x v="1"/>
    <n v="70"/>
    <n v="70"/>
    <n v="72"/>
    <n v="72"/>
    <x v="0"/>
    <x v="1"/>
  </r>
  <r>
    <n v="1"/>
    <x v="1"/>
    <n v="49"/>
    <x v="1"/>
    <n v="3"/>
    <n v="3"/>
    <s v="Graduate"/>
    <x v="1"/>
    <n v="1"/>
    <n v="25"/>
    <n v="25"/>
    <x v="0"/>
    <n v="0"/>
    <x v="0"/>
    <n v="0"/>
    <n v="0"/>
    <n v="0"/>
    <n v="282"/>
    <n v="282"/>
    <x v="0"/>
    <n v="134"/>
    <n v="79"/>
    <n v="26.87"/>
    <n v="26.87"/>
    <x v="0"/>
    <n v="67"/>
    <n v="67"/>
    <n v="78"/>
    <n v="78"/>
    <x v="0"/>
    <x v="0"/>
  </r>
  <r>
    <n v="0"/>
    <x v="0"/>
    <n v="49"/>
    <x v="1"/>
    <n v="1"/>
    <n v="1"/>
    <s v="Primary"/>
    <x v="2"/>
    <n v="0"/>
    <n v="0"/>
    <n v="0"/>
    <x v="1"/>
    <n v="0"/>
    <x v="0"/>
    <n v="0"/>
    <n v="0"/>
    <n v="0"/>
    <n v="257"/>
    <n v="257"/>
    <x v="0"/>
    <n v="115"/>
    <n v="75"/>
    <n v="25.61"/>
    <n v="25.61"/>
    <x v="0"/>
    <n v="72"/>
    <n v="72"/>
    <n v="74"/>
    <n v="74"/>
    <x v="0"/>
    <x v="0"/>
  </r>
  <r>
    <n v="1"/>
    <x v="1"/>
    <n v="49"/>
    <x v="1"/>
    <n v="2"/>
    <n v="2"/>
    <s v="Secondary"/>
    <x v="0"/>
    <n v="1"/>
    <n v="20"/>
    <n v="20"/>
    <x v="0"/>
    <n v="0"/>
    <x v="0"/>
    <n v="0"/>
    <n v="1"/>
    <n v="0"/>
    <n v="291"/>
    <n v="291"/>
    <x v="0"/>
    <n v="160"/>
    <n v="99"/>
    <n v="29.91"/>
    <n v="29.91"/>
    <x v="0"/>
    <n v="85"/>
    <n v="85"/>
    <n v="88"/>
    <n v="88"/>
    <x v="0"/>
    <x v="0"/>
  </r>
  <r>
    <n v="1"/>
    <x v="1"/>
    <n v="49"/>
    <x v="1"/>
    <n v="2"/>
    <n v="2"/>
    <s v="Secondary"/>
    <x v="0"/>
    <n v="1"/>
    <n v="17"/>
    <n v="17"/>
    <x v="0"/>
    <n v="0"/>
    <x v="0"/>
    <n v="0"/>
    <n v="0"/>
    <n v="0"/>
    <n v="211"/>
    <n v="211"/>
    <x v="1"/>
    <n v="128"/>
    <n v="89"/>
    <n v="31.07"/>
    <n v="31.07"/>
    <x v="2"/>
    <n v="75"/>
    <n v="75"/>
    <n v="76"/>
    <n v="76"/>
    <x v="0"/>
    <x v="1"/>
  </r>
  <r>
    <n v="0"/>
    <x v="0"/>
    <n v="49"/>
    <x v="1"/>
    <n v="4"/>
    <n v="4"/>
    <s v="Post Graduate"/>
    <x v="3"/>
    <n v="0"/>
    <n v="0"/>
    <n v="0"/>
    <x v="1"/>
    <n v="0"/>
    <x v="0"/>
    <n v="0"/>
    <n v="0"/>
    <n v="0"/>
    <n v="189"/>
    <n v="189"/>
    <x v="1"/>
    <n v="102"/>
    <n v="66.5"/>
    <n v="23.88"/>
    <n v="23.88"/>
    <x v="1"/>
    <n v="70"/>
    <n v="70"/>
    <n v="70"/>
    <n v="70"/>
    <x v="0"/>
    <x v="0"/>
  </r>
  <r>
    <n v="1"/>
    <x v="1"/>
    <n v="49"/>
    <x v="1"/>
    <n v="1"/>
    <n v="1"/>
    <s v="Primary"/>
    <x v="2"/>
    <n v="0"/>
    <n v="0"/>
    <n v="0"/>
    <x v="1"/>
    <n v="0"/>
    <x v="0"/>
    <n v="0"/>
    <n v="0"/>
    <n v="1"/>
    <n v="248"/>
    <n v="248"/>
    <x v="0"/>
    <n v="130.5"/>
    <n v="82"/>
    <n v="27.29"/>
    <n v="27.29"/>
    <x v="0"/>
    <n v="52"/>
    <n v="52"/>
    <n v="254"/>
    <n v="254"/>
    <x v="0"/>
    <x v="0"/>
  </r>
  <r>
    <n v="0"/>
    <x v="0"/>
    <n v="49"/>
    <x v="1"/>
    <s v="NA"/>
    <n v="1"/>
    <s v="Primary"/>
    <x v="2"/>
    <n v="0"/>
    <n v="0"/>
    <n v="0"/>
    <x v="1"/>
    <n v="0"/>
    <x v="0"/>
    <n v="0"/>
    <n v="1"/>
    <n v="0"/>
    <n v="254"/>
    <n v="254"/>
    <x v="0"/>
    <n v="142"/>
    <n v="87"/>
    <n v="27.94"/>
    <n v="27.94"/>
    <x v="0"/>
    <n v="60"/>
    <n v="60"/>
    <n v="63"/>
    <n v="63"/>
    <x v="0"/>
    <x v="0"/>
  </r>
  <r>
    <n v="0"/>
    <x v="0"/>
    <n v="49"/>
    <x v="1"/>
    <n v="3"/>
    <n v="3"/>
    <s v="Graduate"/>
    <x v="1"/>
    <n v="0"/>
    <n v="0"/>
    <n v="0"/>
    <x v="1"/>
    <n v="0"/>
    <x v="0"/>
    <n v="0"/>
    <n v="0"/>
    <n v="0"/>
    <n v="228"/>
    <n v="228"/>
    <x v="1"/>
    <n v="124"/>
    <n v="72"/>
    <n v="21.18"/>
    <n v="21.18"/>
    <x v="1"/>
    <n v="74"/>
    <n v="74"/>
    <n v="88"/>
    <n v="88"/>
    <x v="0"/>
    <x v="0"/>
  </r>
  <r>
    <n v="0"/>
    <x v="0"/>
    <n v="49"/>
    <x v="1"/>
    <n v="4"/>
    <n v="4"/>
    <s v="Post Graduate"/>
    <x v="3"/>
    <n v="1"/>
    <n v="20"/>
    <n v="20"/>
    <x v="0"/>
    <n v="1"/>
    <x v="1"/>
    <n v="0"/>
    <n v="1"/>
    <n v="0"/>
    <n v="262"/>
    <n v="262"/>
    <x v="0"/>
    <n v="147.5"/>
    <n v="97.5"/>
    <n v="24.96"/>
    <n v="24.96"/>
    <x v="1"/>
    <n v="60"/>
    <n v="60"/>
    <n v="67"/>
    <n v="67"/>
    <x v="0"/>
    <x v="0"/>
  </r>
  <r>
    <n v="0"/>
    <x v="0"/>
    <n v="49"/>
    <x v="1"/>
    <n v="2"/>
    <n v="2"/>
    <s v="Secondary"/>
    <x v="0"/>
    <n v="1"/>
    <n v="20"/>
    <n v="20"/>
    <x v="0"/>
    <n v="0"/>
    <x v="0"/>
    <n v="0"/>
    <n v="0"/>
    <n v="0"/>
    <n v="239"/>
    <n v="239"/>
    <x v="1"/>
    <n v="123"/>
    <n v="72"/>
    <n v="23.35"/>
    <n v="23.35"/>
    <x v="1"/>
    <n v="62"/>
    <n v="62"/>
    <s v="NA"/>
    <n v="81.96365524402907"/>
    <x v="0"/>
    <x v="0"/>
  </r>
  <r>
    <n v="0"/>
    <x v="0"/>
    <n v="49"/>
    <x v="1"/>
    <n v="2"/>
    <n v="2"/>
    <s v="Secondary"/>
    <x v="0"/>
    <n v="1"/>
    <n v="20"/>
    <n v="20"/>
    <x v="0"/>
    <n v="0"/>
    <x v="0"/>
    <n v="0"/>
    <n v="0"/>
    <n v="0"/>
    <n v="273"/>
    <n v="273"/>
    <x v="0"/>
    <n v="147"/>
    <n v="89"/>
    <n v="24.26"/>
    <n v="24.26"/>
    <x v="1"/>
    <n v="85"/>
    <n v="85"/>
    <n v="62"/>
    <n v="62"/>
    <x v="0"/>
    <x v="0"/>
  </r>
  <r>
    <n v="0"/>
    <x v="0"/>
    <n v="49"/>
    <x v="1"/>
    <n v="1"/>
    <n v="1"/>
    <s v="Primary"/>
    <x v="2"/>
    <n v="0"/>
    <n v="0"/>
    <n v="0"/>
    <x v="1"/>
    <n v="0"/>
    <x v="0"/>
    <n v="0"/>
    <n v="1"/>
    <n v="0"/>
    <n v="254"/>
    <n v="254"/>
    <x v="0"/>
    <n v="131"/>
    <n v="92"/>
    <n v="29.22"/>
    <n v="29.22"/>
    <x v="0"/>
    <n v="75"/>
    <n v="75"/>
    <n v="65"/>
    <n v="65"/>
    <x v="0"/>
    <x v="0"/>
  </r>
  <r>
    <n v="1"/>
    <x v="1"/>
    <n v="49"/>
    <x v="1"/>
    <n v="2"/>
    <n v="2"/>
    <s v="Secondary"/>
    <x v="0"/>
    <n v="1"/>
    <n v="9"/>
    <n v="9"/>
    <x v="0"/>
    <n v="0"/>
    <x v="0"/>
    <n v="0"/>
    <n v="1"/>
    <n v="0"/>
    <n v="278"/>
    <n v="278"/>
    <x v="0"/>
    <n v="152"/>
    <n v="93"/>
    <n v="29.76"/>
    <n v="29.76"/>
    <x v="0"/>
    <n v="64"/>
    <n v="64"/>
    <n v="63"/>
    <n v="63"/>
    <x v="0"/>
    <x v="1"/>
  </r>
  <r>
    <n v="0"/>
    <x v="0"/>
    <n v="49"/>
    <x v="1"/>
    <n v="1"/>
    <n v="1"/>
    <s v="Primary"/>
    <x v="2"/>
    <n v="1"/>
    <s v="NA"/>
    <n v="9"/>
    <x v="0"/>
    <n v="0"/>
    <x v="0"/>
    <n v="0"/>
    <n v="1"/>
    <n v="0"/>
    <n v="214"/>
    <n v="214"/>
    <x v="1"/>
    <n v="172"/>
    <n v="111"/>
    <n v="40.51"/>
    <n v="40.51"/>
    <x v="2"/>
    <n v="80"/>
    <n v="80"/>
    <n v="70"/>
    <n v="70"/>
    <x v="0"/>
    <x v="1"/>
  </r>
  <r>
    <n v="0"/>
    <x v="0"/>
    <n v="49"/>
    <x v="1"/>
    <n v="1"/>
    <n v="1"/>
    <s v="Primary"/>
    <x v="2"/>
    <n v="0"/>
    <n v="0"/>
    <n v="0"/>
    <x v="1"/>
    <n v="0"/>
    <x v="0"/>
    <n v="0"/>
    <n v="0"/>
    <n v="0"/>
    <n v="286"/>
    <n v="286"/>
    <x v="0"/>
    <n v="144"/>
    <n v="91"/>
    <n v="29.35"/>
    <n v="29.35"/>
    <x v="0"/>
    <n v="65"/>
    <n v="65"/>
    <n v="67"/>
    <n v="67"/>
    <x v="0"/>
    <x v="0"/>
  </r>
  <r>
    <n v="0"/>
    <x v="0"/>
    <n v="49"/>
    <x v="1"/>
    <n v="3"/>
    <n v="3"/>
    <s v="Graduate"/>
    <x v="1"/>
    <n v="0"/>
    <n v="0"/>
    <n v="0"/>
    <x v="1"/>
    <n v="0"/>
    <x v="0"/>
    <n v="0"/>
    <n v="0"/>
    <n v="0"/>
    <n v="278"/>
    <n v="278"/>
    <x v="0"/>
    <n v="131"/>
    <n v="93"/>
    <n v="31.4"/>
    <n v="31.4"/>
    <x v="2"/>
    <n v="80"/>
    <n v="80"/>
    <n v="66"/>
    <n v="66"/>
    <x v="0"/>
    <x v="0"/>
  </r>
  <r>
    <n v="0"/>
    <x v="0"/>
    <n v="49"/>
    <x v="1"/>
    <n v="2"/>
    <n v="2"/>
    <s v="Secondary"/>
    <x v="0"/>
    <n v="0"/>
    <n v="0"/>
    <n v="0"/>
    <x v="1"/>
    <n v="0"/>
    <x v="0"/>
    <n v="0"/>
    <n v="0"/>
    <n v="0"/>
    <n v="165"/>
    <n v="165"/>
    <x v="1"/>
    <n v="120"/>
    <n v="66.5"/>
    <n v="21.45"/>
    <n v="21.45"/>
    <x v="1"/>
    <n v="71"/>
    <n v="71"/>
    <n v="74"/>
    <n v="74"/>
    <x v="0"/>
    <x v="0"/>
  </r>
  <r>
    <n v="0"/>
    <x v="0"/>
    <n v="49"/>
    <x v="1"/>
    <n v="1"/>
    <n v="1"/>
    <s v="Primary"/>
    <x v="2"/>
    <n v="1"/>
    <n v="20"/>
    <n v="20"/>
    <x v="0"/>
    <n v="0"/>
    <x v="0"/>
    <n v="0"/>
    <n v="0"/>
    <n v="0"/>
    <n v="277"/>
    <n v="277"/>
    <x v="0"/>
    <n v="120"/>
    <n v="80"/>
    <n v="19.72"/>
    <n v="19.72"/>
    <x v="1"/>
    <n v="60"/>
    <n v="60"/>
    <n v="75"/>
    <n v="75"/>
    <x v="0"/>
    <x v="0"/>
  </r>
  <r>
    <n v="0"/>
    <x v="0"/>
    <n v="49"/>
    <x v="1"/>
    <n v="1"/>
    <n v="1"/>
    <s v="Primary"/>
    <x v="2"/>
    <n v="0"/>
    <n v="0"/>
    <n v="0"/>
    <x v="1"/>
    <n v="0"/>
    <x v="0"/>
    <n v="0"/>
    <n v="0"/>
    <n v="0"/>
    <n v="224"/>
    <n v="224"/>
    <x v="1"/>
    <n v="140"/>
    <n v="88"/>
    <n v="23.79"/>
    <n v="23.79"/>
    <x v="1"/>
    <n v="80"/>
    <n v="80"/>
    <n v="86"/>
    <n v="86"/>
    <x v="0"/>
    <x v="0"/>
  </r>
  <r>
    <n v="0"/>
    <x v="0"/>
    <n v="49"/>
    <x v="1"/>
    <n v="4"/>
    <n v="4"/>
    <s v="Post Graduate"/>
    <x v="3"/>
    <n v="0"/>
    <n v="0"/>
    <n v="0"/>
    <x v="1"/>
    <n v="0"/>
    <x v="0"/>
    <n v="0"/>
    <n v="0"/>
    <n v="0"/>
    <n v="232"/>
    <n v="232"/>
    <x v="1"/>
    <n v="125"/>
    <n v="83"/>
    <n v="22.17"/>
    <n v="22.17"/>
    <x v="1"/>
    <n v="70"/>
    <n v="70"/>
    <n v="77"/>
    <n v="77"/>
    <x v="0"/>
    <x v="0"/>
  </r>
  <r>
    <n v="1"/>
    <x v="1"/>
    <n v="49"/>
    <x v="1"/>
    <n v="1"/>
    <n v="1"/>
    <s v="Primary"/>
    <x v="2"/>
    <n v="1"/>
    <n v="20"/>
    <n v="20"/>
    <x v="0"/>
    <n v="0"/>
    <x v="0"/>
    <n v="0"/>
    <n v="1"/>
    <n v="0"/>
    <n v="270"/>
    <n v="270"/>
    <x v="0"/>
    <n v="160.5"/>
    <n v="106.5"/>
    <n v="30.33"/>
    <n v="30.33"/>
    <x v="2"/>
    <n v="75"/>
    <n v="75"/>
    <n v="65"/>
    <n v="65"/>
    <x v="0"/>
    <x v="0"/>
  </r>
  <r>
    <n v="0"/>
    <x v="0"/>
    <n v="49"/>
    <x v="1"/>
    <n v="2"/>
    <n v="2"/>
    <s v="Secondary"/>
    <x v="0"/>
    <n v="1"/>
    <n v="20"/>
    <n v="20"/>
    <x v="0"/>
    <n v="0"/>
    <x v="0"/>
    <n v="0"/>
    <n v="0"/>
    <n v="0"/>
    <n v="346"/>
    <n v="346"/>
    <x v="0"/>
    <n v="130"/>
    <n v="80"/>
    <n v="22.54"/>
    <n v="22.54"/>
    <x v="1"/>
    <n v="83"/>
    <n v="83"/>
    <n v="77"/>
    <n v="77"/>
    <x v="0"/>
    <x v="0"/>
  </r>
  <r>
    <n v="0"/>
    <x v="0"/>
    <n v="49"/>
    <x v="1"/>
    <n v="2"/>
    <n v="2"/>
    <s v="Secondary"/>
    <x v="0"/>
    <n v="0"/>
    <n v="0"/>
    <n v="0"/>
    <x v="1"/>
    <n v="0"/>
    <x v="0"/>
    <n v="0"/>
    <n v="1"/>
    <n v="0"/>
    <n v="221"/>
    <n v="221"/>
    <x v="1"/>
    <n v="136"/>
    <n v="90"/>
    <n v="28.3"/>
    <n v="28.3"/>
    <x v="0"/>
    <n v="100"/>
    <n v="100"/>
    <n v="80"/>
    <n v="80"/>
    <x v="0"/>
    <x v="0"/>
  </r>
  <r>
    <n v="0"/>
    <x v="0"/>
    <n v="49"/>
    <x v="1"/>
    <n v="1"/>
    <n v="1"/>
    <s v="Primary"/>
    <x v="2"/>
    <n v="1"/>
    <n v="1"/>
    <n v="1"/>
    <x v="0"/>
    <n v="0"/>
    <x v="0"/>
    <n v="0"/>
    <n v="0"/>
    <n v="0"/>
    <n v="185"/>
    <n v="185"/>
    <x v="1"/>
    <n v="108"/>
    <n v="70"/>
    <n v="20.13"/>
    <n v="20.13"/>
    <x v="1"/>
    <n v="107"/>
    <n v="107"/>
    <n v="58"/>
    <n v="58"/>
    <x v="0"/>
    <x v="0"/>
  </r>
  <r>
    <n v="0"/>
    <x v="0"/>
    <n v="49"/>
    <x v="1"/>
    <n v="3"/>
    <n v="3"/>
    <s v="Graduate"/>
    <x v="1"/>
    <n v="0"/>
    <n v="0"/>
    <n v="0"/>
    <x v="1"/>
    <n v="0"/>
    <x v="0"/>
    <n v="0"/>
    <n v="0"/>
    <n v="0"/>
    <n v="210"/>
    <n v="210"/>
    <x v="1"/>
    <n v="116"/>
    <n v="76"/>
    <n v="28.86"/>
    <n v="28.86"/>
    <x v="0"/>
    <n v="65"/>
    <n v="65"/>
    <n v="71"/>
    <n v="71"/>
    <x v="0"/>
    <x v="0"/>
  </r>
  <r>
    <n v="0"/>
    <x v="0"/>
    <n v="49"/>
    <x v="1"/>
    <n v="1"/>
    <n v="1"/>
    <s v="Primary"/>
    <x v="2"/>
    <n v="0"/>
    <n v="0"/>
    <n v="0"/>
    <x v="1"/>
    <n v="0"/>
    <x v="0"/>
    <n v="0"/>
    <n v="1"/>
    <n v="0"/>
    <n v="233"/>
    <n v="233"/>
    <x v="1"/>
    <n v="149"/>
    <n v="91.5"/>
    <n v="26.03"/>
    <n v="26.03"/>
    <x v="0"/>
    <n v="68"/>
    <n v="68"/>
    <s v="NA"/>
    <n v="81.96365524402907"/>
    <x v="0"/>
    <x v="0"/>
  </r>
  <r>
    <n v="0"/>
    <x v="0"/>
    <n v="49"/>
    <x v="1"/>
    <n v="3"/>
    <n v="3"/>
    <s v="Graduate"/>
    <x v="1"/>
    <n v="0"/>
    <n v="0"/>
    <n v="0"/>
    <x v="1"/>
    <n v="0"/>
    <x v="0"/>
    <n v="0"/>
    <n v="0"/>
    <n v="0"/>
    <n v="273"/>
    <n v="273"/>
    <x v="0"/>
    <n v="154"/>
    <n v="80"/>
    <n v="20.260000000000002"/>
    <n v="20.260000000000002"/>
    <x v="1"/>
    <n v="75"/>
    <n v="75"/>
    <n v="63"/>
    <n v="63"/>
    <x v="0"/>
    <x v="0"/>
  </r>
  <r>
    <n v="0"/>
    <x v="0"/>
    <n v="49"/>
    <x v="1"/>
    <n v="1"/>
    <n v="1"/>
    <s v="Primary"/>
    <x v="2"/>
    <n v="0"/>
    <n v="0"/>
    <n v="0"/>
    <x v="1"/>
    <n v="1"/>
    <x v="1"/>
    <n v="0"/>
    <n v="1"/>
    <n v="0"/>
    <n v="184"/>
    <n v="184"/>
    <x v="1"/>
    <n v="121"/>
    <n v="82"/>
    <n v="21.14"/>
    <n v="21.14"/>
    <x v="1"/>
    <n v="60"/>
    <n v="60"/>
    <n v="78"/>
    <n v="78"/>
    <x v="0"/>
    <x v="1"/>
  </r>
  <r>
    <n v="1"/>
    <x v="1"/>
    <n v="49"/>
    <x v="1"/>
    <n v="3"/>
    <n v="3"/>
    <s v="Graduate"/>
    <x v="1"/>
    <n v="1"/>
    <n v="40"/>
    <n v="40"/>
    <x v="0"/>
    <n v="0"/>
    <x v="0"/>
    <n v="0"/>
    <n v="0"/>
    <n v="0"/>
    <n v="167"/>
    <n v="167"/>
    <x v="1"/>
    <n v="119"/>
    <n v="67"/>
    <n v="25.83"/>
    <n v="25.83"/>
    <x v="0"/>
    <n v="79"/>
    <n v="79"/>
    <n v="83"/>
    <n v="83"/>
    <x v="0"/>
    <x v="0"/>
  </r>
  <r>
    <n v="0"/>
    <x v="0"/>
    <n v="49"/>
    <x v="1"/>
    <n v="2"/>
    <n v="2"/>
    <s v="Secondary"/>
    <x v="0"/>
    <n v="0"/>
    <n v="0"/>
    <n v="0"/>
    <x v="1"/>
    <n v="0"/>
    <x v="0"/>
    <n v="0"/>
    <n v="0"/>
    <n v="0"/>
    <n v="308"/>
    <n v="308"/>
    <x v="0"/>
    <n v="128"/>
    <n v="78"/>
    <n v="24.82"/>
    <n v="24.82"/>
    <x v="1"/>
    <n v="80"/>
    <n v="80"/>
    <n v="70"/>
    <n v="70"/>
    <x v="0"/>
    <x v="0"/>
  </r>
  <r>
    <n v="1"/>
    <x v="1"/>
    <n v="49"/>
    <x v="1"/>
    <n v="2"/>
    <n v="2"/>
    <s v="Secondary"/>
    <x v="0"/>
    <n v="0"/>
    <n v="0"/>
    <n v="0"/>
    <x v="1"/>
    <n v="0"/>
    <x v="0"/>
    <n v="0"/>
    <n v="0"/>
    <n v="0"/>
    <n v="220"/>
    <n v="220"/>
    <x v="1"/>
    <n v="114"/>
    <n v="82"/>
    <n v="24.68"/>
    <n v="24.68"/>
    <x v="1"/>
    <n v="69"/>
    <n v="69"/>
    <n v="60"/>
    <n v="60"/>
    <x v="0"/>
    <x v="0"/>
  </r>
  <r>
    <n v="1"/>
    <x v="1"/>
    <n v="49"/>
    <x v="1"/>
    <n v="1"/>
    <n v="1"/>
    <s v="Primary"/>
    <x v="2"/>
    <n v="1"/>
    <n v="20"/>
    <n v="20"/>
    <x v="0"/>
    <n v="0"/>
    <x v="0"/>
    <n v="0"/>
    <n v="0"/>
    <n v="0"/>
    <n v="155"/>
    <n v="155"/>
    <x v="1"/>
    <n v="128"/>
    <n v="82"/>
    <n v="23.58"/>
    <n v="23.58"/>
    <x v="1"/>
    <n v="69"/>
    <n v="69"/>
    <n v="77"/>
    <n v="77"/>
    <x v="0"/>
    <x v="0"/>
  </r>
  <r>
    <n v="1"/>
    <x v="1"/>
    <n v="49"/>
    <x v="1"/>
    <n v="4"/>
    <n v="4"/>
    <s v="Post Graduate"/>
    <x v="3"/>
    <n v="1"/>
    <n v="15"/>
    <n v="15"/>
    <x v="0"/>
    <n v="0"/>
    <x v="0"/>
    <n v="0"/>
    <n v="1"/>
    <n v="0"/>
    <n v="309"/>
    <n v="309"/>
    <x v="0"/>
    <n v="145"/>
    <n v="92"/>
    <n v="32.130000000000003"/>
    <n v="32.130000000000003"/>
    <x v="2"/>
    <n v="60"/>
    <n v="60"/>
    <n v="73"/>
    <n v="73"/>
    <x v="0"/>
    <x v="0"/>
  </r>
  <r>
    <n v="1"/>
    <x v="1"/>
    <n v="49"/>
    <x v="1"/>
    <n v="2"/>
    <n v="2"/>
    <s v="Secondary"/>
    <x v="0"/>
    <n v="1"/>
    <n v="3"/>
    <n v="3"/>
    <x v="0"/>
    <n v="0"/>
    <x v="0"/>
    <n v="0"/>
    <n v="1"/>
    <n v="0"/>
    <n v="246"/>
    <n v="246"/>
    <x v="0"/>
    <n v="141"/>
    <n v="92"/>
    <n v="27.92"/>
    <n v="27.92"/>
    <x v="0"/>
    <n v="75"/>
    <n v="75"/>
    <n v="76"/>
    <n v="76"/>
    <x v="0"/>
    <x v="0"/>
  </r>
  <r>
    <n v="1"/>
    <x v="1"/>
    <n v="49"/>
    <x v="1"/>
    <n v="3"/>
    <n v="3"/>
    <s v="Graduate"/>
    <x v="1"/>
    <n v="1"/>
    <n v="15"/>
    <n v="15"/>
    <x v="0"/>
    <n v="0"/>
    <x v="0"/>
    <n v="0"/>
    <n v="0"/>
    <n v="0"/>
    <n v="208"/>
    <n v="208"/>
    <x v="1"/>
    <n v="118"/>
    <n v="73"/>
    <n v="24.16"/>
    <n v="24.16"/>
    <x v="1"/>
    <n v="75"/>
    <n v="75"/>
    <n v="75"/>
    <n v="75"/>
    <x v="0"/>
    <x v="0"/>
  </r>
  <r>
    <n v="1"/>
    <x v="1"/>
    <n v="49"/>
    <x v="1"/>
    <n v="2"/>
    <n v="2"/>
    <s v="Secondary"/>
    <x v="0"/>
    <n v="1"/>
    <n v="2"/>
    <n v="2"/>
    <x v="0"/>
    <n v="0"/>
    <x v="0"/>
    <n v="0"/>
    <n v="0"/>
    <n v="0"/>
    <n v="262"/>
    <n v="262"/>
    <x v="0"/>
    <n v="115"/>
    <n v="83"/>
    <n v="22.86"/>
    <n v="22.86"/>
    <x v="1"/>
    <n v="65"/>
    <n v="65"/>
    <n v="57"/>
    <n v="57"/>
    <x v="0"/>
    <x v="1"/>
  </r>
  <r>
    <n v="0"/>
    <x v="0"/>
    <n v="49"/>
    <x v="1"/>
    <n v="3"/>
    <n v="3"/>
    <s v="Graduate"/>
    <x v="1"/>
    <n v="0"/>
    <n v="0"/>
    <n v="0"/>
    <x v="1"/>
    <n v="0"/>
    <x v="0"/>
    <n v="0"/>
    <n v="0"/>
    <n v="0"/>
    <n v="203"/>
    <n v="203"/>
    <x v="1"/>
    <n v="125"/>
    <n v="70"/>
    <n v="22.52"/>
    <n v="22.52"/>
    <x v="1"/>
    <n v="72"/>
    <n v="72"/>
    <s v="NA"/>
    <n v="81.96365524402907"/>
    <x v="0"/>
    <x v="0"/>
  </r>
  <r>
    <n v="0"/>
    <x v="0"/>
    <n v="49"/>
    <x v="1"/>
    <n v="1"/>
    <n v="1"/>
    <s v="Primary"/>
    <x v="2"/>
    <n v="1"/>
    <n v="5"/>
    <n v="5"/>
    <x v="0"/>
    <n v="0"/>
    <x v="0"/>
    <n v="0"/>
    <n v="0"/>
    <n v="0"/>
    <n v="350"/>
    <n v="350"/>
    <x v="0"/>
    <n v="135"/>
    <n v="86.5"/>
    <n v="25.56"/>
    <n v="25.56"/>
    <x v="0"/>
    <n v="75"/>
    <n v="75"/>
    <n v="83"/>
    <n v="83"/>
    <x v="0"/>
    <x v="1"/>
  </r>
  <r>
    <n v="0"/>
    <x v="0"/>
    <n v="49"/>
    <x v="1"/>
    <n v="3"/>
    <n v="3"/>
    <s v="Graduate"/>
    <x v="1"/>
    <n v="1"/>
    <n v="15"/>
    <n v="15"/>
    <x v="0"/>
    <n v="0"/>
    <x v="0"/>
    <n v="0"/>
    <n v="0"/>
    <n v="0"/>
    <n v="267"/>
    <n v="267"/>
    <x v="0"/>
    <n v="107"/>
    <n v="74"/>
    <n v="27.8"/>
    <n v="27.8"/>
    <x v="0"/>
    <n v="65"/>
    <n v="65"/>
    <n v="75"/>
    <n v="75"/>
    <x v="0"/>
    <x v="0"/>
  </r>
  <r>
    <n v="0"/>
    <x v="0"/>
    <n v="49"/>
    <x v="1"/>
    <n v="3"/>
    <n v="3"/>
    <s v="Graduate"/>
    <x v="1"/>
    <n v="1"/>
    <n v="4"/>
    <n v="4"/>
    <x v="0"/>
    <n v="0"/>
    <x v="0"/>
    <n v="0"/>
    <n v="1"/>
    <n v="0"/>
    <n v="227"/>
    <n v="227"/>
    <x v="1"/>
    <n v="150"/>
    <n v="91"/>
    <n v="24.3"/>
    <n v="24.3"/>
    <x v="1"/>
    <n v="88"/>
    <n v="88"/>
    <n v="83"/>
    <n v="83"/>
    <x v="0"/>
    <x v="0"/>
  </r>
  <r>
    <n v="1"/>
    <x v="1"/>
    <n v="49"/>
    <x v="1"/>
    <n v="2"/>
    <n v="2"/>
    <s v="Secondary"/>
    <x v="0"/>
    <n v="0"/>
    <n v="0"/>
    <n v="0"/>
    <x v="1"/>
    <n v="0"/>
    <x v="0"/>
    <n v="0"/>
    <n v="0"/>
    <n v="0"/>
    <n v="239"/>
    <n v="239"/>
    <x v="1"/>
    <n v="116"/>
    <n v="84"/>
    <n v="31.47"/>
    <n v="31.47"/>
    <x v="2"/>
    <n v="88"/>
    <n v="88"/>
    <n v="76"/>
    <n v="76"/>
    <x v="0"/>
    <x v="0"/>
  </r>
  <r>
    <n v="0"/>
    <x v="0"/>
    <n v="49"/>
    <x v="1"/>
    <n v="1"/>
    <n v="1"/>
    <s v="Primary"/>
    <x v="2"/>
    <n v="1"/>
    <n v="15"/>
    <n v="15"/>
    <x v="0"/>
    <n v="0"/>
    <x v="0"/>
    <n v="0"/>
    <n v="0"/>
    <n v="0"/>
    <n v="233"/>
    <n v="233"/>
    <x v="1"/>
    <n v="112.5"/>
    <n v="80"/>
    <n v="27.87"/>
    <n v="27.87"/>
    <x v="0"/>
    <n v="96"/>
    <n v="96"/>
    <n v="80"/>
    <n v="80"/>
    <x v="0"/>
    <x v="0"/>
  </r>
  <r>
    <n v="1"/>
    <x v="1"/>
    <n v="49"/>
    <x v="1"/>
    <n v="3"/>
    <n v="3"/>
    <s v="Graduate"/>
    <x v="1"/>
    <n v="0"/>
    <n v="0"/>
    <n v="0"/>
    <x v="1"/>
    <n v="0"/>
    <x v="0"/>
    <n v="0"/>
    <n v="0"/>
    <n v="0"/>
    <n v="230"/>
    <n v="230"/>
    <x v="1"/>
    <n v="108"/>
    <n v="68"/>
    <n v="26.17"/>
    <n v="26.17"/>
    <x v="0"/>
    <n v="68"/>
    <n v="68"/>
    <n v="82"/>
    <n v="82"/>
    <x v="0"/>
    <x v="0"/>
  </r>
  <r>
    <n v="1"/>
    <x v="1"/>
    <n v="49"/>
    <x v="1"/>
    <n v="3"/>
    <n v="3"/>
    <s v="Graduate"/>
    <x v="1"/>
    <n v="1"/>
    <n v="10"/>
    <n v="10"/>
    <x v="0"/>
    <n v="0"/>
    <x v="0"/>
    <n v="0"/>
    <n v="0"/>
    <n v="0"/>
    <n v="305"/>
    <n v="305"/>
    <x v="0"/>
    <n v="135"/>
    <n v="82"/>
    <n v="26.29"/>
    <n v="26.29"/>
    <x v="0"/>
    <n v="84"/>
    <n v="84"/>
    <n v="65"/>
    <n v="65"/>
    <x v="0"/>
    <x v="0"/>
  </r>
  <r>
    <n v="0"/>
    <x v="0"/>
    <n v="49"/>
    <x v="1"/>
    <n v="3"/>
    <n v="3"/>
    <s v="Graduate"/>
    <x v="1"/>
    <n v="1"/>
    <n v="8"/>
    <n v="8"/>
    <x v="0"/>
    <n v="0"/>
    <x v="0"/>
    <n v="0"/>
    <n v="0"/>
    <n v="0"/>
    <n v="215"/>
    <n v="215"/>
    <x v="1"/>
    <n v="106"/>
    <n v="63"/>
    <n v="19.22"/>
    <n v="19.22"/>
    <x v="1"/>
    <n v="60"/>
    <n v="60"/>
    <n v="66"/>
    <n v="66"/>
    <x v="0"/>
    <x v="0"/>
  </r>
  <r>
    <n v="0"/>
    <x v="0"/>
    <n v="50"/>
    <x v="1"/>
    <n v="1"/>
    <n v="1"/>
    <s v="Primary"/>
    <x v="2"/>
    <n v="0"/>
    <n v="0"/>
    <n v="0"/>
    <x v="1"/>
    <n v="0"/>
    <x v="0"/>
    <n v="0"/>
    <n v="0"/>
    <n v="0"/>
    <n v="254"/>
    <n v="254"/>
    <x v="0"/>
    <n v="133"/>
    <n v="76"/>
    <n v="22.91"/>
    <n v="22.91"/>
    <x v="1"/>
    <n v="75"/>
    <n v="75"/>
    <n v="76"/>
    <n v="76"/>
    <x v="0"/>
    <x v="0"/>
  </r>
  <r>
    <n v="1"/>
    <x v="1"/>
    <n v="50"/>
    <x v="1"/>
    <n v="1"/>
    <n v="1"/>
    <s v="Primary"/>
    <x v="2"/>
    <n v="0"/>
    <n v="0"/>
    <n v="0"/>
    <x v="1"/>
    <n v="0"/>
    <x v="0"/>
    <n v="0"/>
    <n v="1"/>
    <n v="0"/>
    <n v="257"/>
    <n v="257"/>
    <x v="0"/>
    <n v="127"/>
    <n v="82"/>
    <n v="32.229999999999997"/>
    <n v="32.229999999999997"/>
    <x v="2"/>
    <n v="75"/>
    <n v="75"/>
    <n v="117"/>
    <n v="117"/>
    <x v="0"/>
    <x v="1"/>
  </r>
  <r>
    <n v="1"/>
    <x v="1"/>
    <n v="50"/>
    <x v="1"/>
    <n v="3"/>
    <n v="3"/>
    <s v="Graduate"/>
    <x v="1"/>
    <n v="1"/>
    <n v="40"/>
    <n v="40"/>
    <x v="0"/>
    <n v="0"/>
    <x v="0"/>
    <n v="0"/>
    <n v="1"/>
    <n v="0"/>
    <n v="175"/>
    <n v="175"/>
    <x v="1"/>
    <n v="157"/>
    <n v="88"/>
    <n v="25.09"/>
    <n v="25.09"/>
    <x v="0"/>
    <n v="88"/>
    <n v="88"/>
    <n v="85"/>
    <n v="85"/>
    <x v="0"/>
    <x v="0"/>
  </r>
  <r>
    <n v="0"/>
    <x v="0"/>
    <n v="50"/>
    <x v="1"/>
    <n v="3"/>
    <n v="3"/>
    <s v="Graduate"/>
    <x v="1"/>
    <n v="1"/>
    <n v="15"/>
    <n v="15"/>
    <x v="0"/>
    <n v="0"/>
    <x v="0"/>
    <n v="0"/>
    <n v="0"/>
    <n v="0"/>
    <n v="150"/>
    <n v="150"/>
    <x v="1"/>
    <n v="121"/>
    <n v="84"/>
    <n v="28.69"/>
    <n v="28.69"/>
    <x v="0"/>
    <n v="75"/>
    <n v="75"/>
    <n v="88"/>
    <n v="88"/>
    <x v="0"/>
    <x v="0"/>
  </r>
  <r>
    <n v="1"/>
    <x v="1"/>
    <n v="50"/>
    <x v="1"/>
    <n v="1"/>
    <n v="1"/>
    <s v="Primary"/>
    <x v="2"/>
    <n v="0"/>
    <n v="0"/>
    <n v="0"/>
    <x v="1"/>
    <n v="0"/>
    <x v="0"/>
    <n v="0"/>
    <n v="0"/>
    <n v="0"/>
    <n v="301"/>
    <n v="301"/>
    <x v="0"/>
    <n v="117.5"/>
    <n v="80"/>
    <n v="28.04"/>
    <n v="28.04"/>
    <x v="0"/>
    <n v="60"/>
    <n v="60"/>
    <n v="72"/>
    <n v="72"/>
    <x v="0"/>
    <x v="0"/>
  </r>
  <r>
    <n v="0"/>
    <x v="0"/>
    <n v="50"/>
    <x v="1"/>
    <n v="2"/>
    <n v="2"/>
    <s v="Secondary"/>
    <x v="0"/>
    <n v="1"/>
    <n v="20"/>
    <n v="20"/>
    <x v="0"/>
    <n v="0"/>
    <x v="0"/>
    <n v="0"/>
    <n v="0"/>
    <n v="0"/>
    <n v="265"/>
    <n v="265"/>
    <x v="0"/>
    <n v="110"/>
    <n v="74"/>
    <n v="25.26"/>
    <n v="25.26"/>
    <x v="0"/>
    <n v="80"/>
    <n v="80"/>
    <n v="88"/>
    <n v="88"/>
    <x v="0"/>
    <x v="0"/>
  </r>
  <r>
    <n v="0"/>
    <x v="0"/>
    <n v="50"/>
    <x v="1"/>
    <n v="1"/>
    <n v="1"/>
    <s v="Primary"/>
    <x v="2"/>
    <n v="0"/>
    <n v="0"/>
    <n v="0"/>
    <x v="1"/>
    <n v="0"/>
    <x v="0"/>
    <n v="0"/>
    <n v="0"/>
    <n v="0"/>
    <n v="273"/>
    <n v="273"/>
    <x v="0"/>
    <n v="131"/>
    <n v="93"/>
    <n v="27.61"/>
    <n v="27.61"/>
    <x v="0"/>
    <n v="80"/>
    <n v="80"/>
    <n v="94"/>
    <n v="94"/>
    <x v="0"/>
    <x v="0"/>
  </r>
  <r>
    <n v="0"/>
    <x v="0"/>
    <n v="50"/>
    <x v="1"/>
    <n v="2"/>
    <n v="2"/>
    <s v="Secondary"/>
    <x v="0"/>
    <n v="0"/>
    <n v="0"/>
    <n v="0"/>
    <x v="1"/>
    <n v="0"/>
    <x v="0"/>
    <n v="0"/>
    <n v="0"/>
    <n v="0"/>
    <n v="312"/>
    <n v="312"/>
    <x v="0"/>
    <n v="125"/>
    <n v="85"/>
    <n v="27.07"/>
    <n v="27.07"/>
    <x v="0"/>
    <n v="88"/>
    <n v="88"/>
    <n v="94"/>
    <n v="94"/>
    <x v="0"/>
    <x v="0"/>
  </r>
  <r>
    <n v="1"/>
    <x v="1"/>
    <n v="50"/>
    <x v="1"/>
    <n v="2"/>
    <n v="2"/>
    <s v="Secondary"/>
    <x v="0"/>
    <n v="1"/>
    <n v="40"/>
    <n v="40"/>
    <x v="0"/>
    <n v="0"/>
    <x v="0"/>
    <n v="0"/>
    <n v="0"/>
    <n v="0"/>
    <n v="225"/>
    <n v="225"/>
    <x v="1"/>
    <n v="137"/>
    <n v="89.5"/>
    <n v="25.77"/>
    <n v="25.77"/>
    <x v="0"/>
    <n v="70"/>
    <n v="70"/>
    <n v="91"/>
    <n v="91"/>
    <x v="0"/>
    <x v="0"/>
  </r>
  <r>
    <n v="0"/>
    <x v="0"/>
    <n v="50"/>
    <x v="1"/>
    <n v="2"/>
    <n v="2"/>
    <s v="Secondary"/>
    <x v="0"/>
    <n v="1"/>
    <n v="8"/>
    <n v="8"/>
    <x v="0"/>
    <n v="0"/>
    <x v="0"/>
    <n v="0"/>
    <n v="0"/>
    <n v="1"/>
    <n v="292"/>
    <n v="292"/>
    <x v="0"/>
    <n v="132"/>
    <n v="82"/>
    <n v="22.54"/>
    <n v="22.54"/>
    <x v="1"/>
    <n v="80"/>
    <n v="80"/>
    <n v="110"/>
    <n v="110"/>
    <x v="0"/>
    <x v="0"/>
  </r>
  <r>
    <n v="1"/>
    <x v="1"/>
    <n v="50"/>
    <x v="1"/>
    <n v="1"/>
    <n v="1"/>
    <s v="Primary"/>
    <x v="2"/>
    <n v="0"/>
    <n v="0"/>
    <n v="0"/>
    <x v="1"/>
    <n v="0"/>
    <x v="0"/>
    <n v="0"/>
    <n v="1"/>
    <n v="0"/>
    <n v="227"/>
    <n v="227"/>
    <x v="1"/>
    <n v="152"/>
    <n v="99"/>
    <n v="29.46"/>
    <n v="29.46"/>
    <x v="0"/>
    <n v="78"/>
    <n v="78"/>
    <n v="115"/>
    <n v="115"/>
    <x v="0"/>
    <x v="0"/>
  </r>
  <r>
    <n v="1"/>
    <x v="1"/>
    <n v="50"/>
    <x v="1"/>
    <n v="1"/>
    <n v="1"/>
    <s v="Primary"/>
    <x v="2"/>
    <n v="0"/>
    <n v="0"/>
    <n v="0"/>
    <x v="1"/>
    <n v="0"/>
    <x v="0"/>
    <n v="0"/>
    <n v="1"/>
    <n v="0"/>
    <n v="219"/>
    <n v="219"/>
    <x v="1"/>
    <n v="145"/>
    <n v="100"/>
    <n v="26.26"/>
    <n v="26.26"/>
    <x v="0"/>
    <n v="78"/>
    <n v="78"/>
    <n v="108"/>
    <n v="108"/>
    <x v="0"/>
    <x v="0"/>
  </r>
  <r>
    <n v="0"/>
    <x v="0"/>
    <n v="50"/>
    <x v="1"/>
    <n v="3"/>
    <n v="3"/>
    <s v="Graduate"/>
    <x v="1"/>
    <n v="0"/>
    <n v="0"/>
    <n v="0"/>
    <x v="1"/>
    <n v="0"/>
    <x v="0"/>
    <n v="0"/>
    <n v="1"/>
    <n v="0"/>
    <n v="258"/>
    <n v="258"/>
    <x v="0"/>
    <n v="144"/>
    <n v="88"/>
    <n v="24.19"/>
    <n v="24.19"/>
    <x v="1"/>
    <n v="100"/>
    <n v="100"/>
    <n v="83"/>
    <n v="83"/>
    <x v="0"/>
    <x v="0"/>
  </r>
  <r>
    <n v="0"/>
    <x v="0"/>
    <n v="50"/>
    <x v="1"/>
    <n v="1"/>
    <n v="1"/>
    <s v="Primary"/>
    <x v="2"/>
    <n v="0"/>
    <n v="0"/>
    <n v="0"/>
    <x v="1"/>
    <n v="0"/>
    <x v="0"/>
    <n v="0"/>
    <n v="0"/>
    <n v="0"/>
    <n v="296"/>
    <n v="296"/>
    <x v="0"/>
    <n v="134.5"/>
    <n v="89"/>
    <n v="24.91"/>
    <n v="24.91"/>
    <x v="1"/>
    <n v="63"/>
    <n v="63"/>
    <n v="76"/>
    <n v="76"/>
    <x v="0"/>
    <x v="0"/>
  </r>
  <r>
    <n v="0"/>
    <x v="0"/>
    <n v="50"/>
    <x v="1"/>
    <n v="4"/>
    <n v="4"/>
    <s v="Post Graduate"/>
    <x v="3"/>
    <n v="0"/>
    <n v="0"/>
    <n v="0"/>
    <x v="1"/>
    <n v="0"/>
    <x v="0"/>
    <n v="0"/>
    <n v="0"/>
    <n v="0"/>
    <n v="261"/>
    <n v="261"/>
    <x v="0"/>
    <n v="129"/>
    <n v="80"/>
    <n v="23.06"/>
    <n v="23.06"/>
    <x v="1"/>
    <n v="85"/>
    <n v="85"/>
    <n v="90"/>
    <n v="90"/>
    <x v="0"/>
    <x v="0"/>
  </r>
  <r>
    <n v="1"/>
    <x v="1"/>
    <n v="50"/>
    <x v="1"/>
    <n v="3"/>
    <n v="3"/>
    <s v="Graduate"/>
    <x v="1"/>
    <n v="1"/>
    <n v="30"/>
    <n v="30"/>
    <x v="0"/>
    <n v="0"/>
    <x v="0"/>
    <n v="0"/>
    <n v="0"/>
    <n v="0"/>
    <n v="210"/>
    <n v="210"/>
    <x v="1"/>
    <n v="121.5"/>
    <n v="78"/>
    <n v="26.29"/>
    <n v="26.29"/>
    <x v="0"/>
    <n v="88"/>
    <n v="88"/>
    <n v="77"/>
    <n v="77"/>
    <x v="0"/>
    <x v="0"/>
  </r>
  <r>
    <n v="0"/>
    <x v="0"/>
    <n v="50"/>
    <x v="1"/>
    <n v="1"/>
    <n v="1"/>
    <s v="Primary"/>
    <x v="2"/>
    <n v="1"/>
    <n v="20"/>
    <n v="20"/>
    <x v="0"/>
    <n v="0"/>
    <x v="0"/>
    <n v="0"/>
    <n v="1"/>
    <n v="0"/>
    <n v="213"/>
    <n v="213"/>
    <x v="1"/>
    <n v="140"/>
    <n v="82"/>
    <n v="22.18"/>
    <n v="22.18"/>
    <x v="1"/>
    <n v="64"/>
    <n v="64"/>
    <n v="72"/>
    <n v="72"/>
    <x v="0"/>
    <x v="0"/>
  </r>
  <r>
    <n v="0"/>
    <x v="0"/>
    <n v="50"/>
    <x v="1"/>
    <n v="2"/>
    <n v="2"/>
    <s v="Secondary"/>
    <x v="0"/>
    <n v="0"/>
    <n v="0"/>
    <n v="0"/>
    <x v="1"/>
    <n v="0"/>
    <x v="0"/>
    <n v="0"/>
    <n v="0"/>
    <n v="0"/>
    <n v="214"/>
    <n v="214"/>
    <x v="1"/>
    <n v="129"/>
    <n v="76"/>
    <n v="26.39"/>
    <n v="26.39"/>
    <x v="0"/>
    <n v="80"/>
    <n v="80"/>
    <n v="75"/>
    <n v="75"/>
    <x v="0"/>
    <x v="0"/>
  </r>
  <r>
    <n v="1"/>
    <x v="1"/>
    <n v="50"/>
    <x v="1"/>
    <n v="1"/>
    <n v="1"/>
    <s v="Primary"/>
    <x v="2"/>
    <n v="0"/>
    <n v="0"/>
    <n v="0"/>
    <x v="1"/>
    <n v="0"/>
    <x v="0"/>
    <n v="0"/>
    <n v="1"/>
    <n v="0"/>
    <n v="230"/>
    <n v="230"/>
    <x v="1"/>
    <n v="133"/>
    <n v="91"/>
    <n v="25.74"/>
    <n v="25.74"/>
    <x v="0"/>
    <n v="72"/>
    <n v="72"/>
    <n v="70"/>
    <n v="70"/>
    <x v="0"/>
    <x v="0"/>
  </r>
  <r>
    <n v="1"/>
    <x v="1"/>
    <n v="50"/>
    <x v="1"/>
    <n v="3"/>
    <n v="3"/>
    <s v="Graduate"/>
    <x v="1"/>
    <n v="1"/>
    <n v="3"/>
    <n v="3"/>
    <x v="0"/>
    <n v="0"/>
    <x v="0"/>
    <n v="0"/>
    <n v="0"/>
    <n v="0"/>
    <n v="200"/>
    <n v="200"/>
    <x v="1"/>
    <n v="105"/>
    <n v="68"/>
    <n v="23.3"/>
    <n v="23.3"/>
    <x v="1"/>
    <n v="65"/>
    <n v="65"/>
    <n v="68"/>
    <n v="68"/>
    <x v="0"/>
    <x v="0"/>
  </r>
  <r>
    <n v="0"/>
    <x v="0"/>
    <n v="50"/>
    <x v="1"/>
    <n v="1"/>
    <n v="1"/>
    <s v="Primary"/>
    <x v="2"/>
    <n v="1"/>
    <n v="30"/>
    <n v="30"/>
    <x v="0"/>
    <n v="0"/>
    <x v="0"/>
    <n v="0"/>
    <n v="0"/>
    <n v="0"/>
    <n v="203"/>
    <n v="203"/>
    <x v="1"/>
    <n v="128.5"/>
    <n v="82"/>
    <n v="18.989999999999998"/>
    <n v="18.989999999999998"/>
    <x v="1"/>
    <n v="55"/>
    <n v="55"/>
    <n v="84"/>
    <n v="84"/>
    <x v="0"/>
    <x v="0"/>
  </r>
  <r>
    <n v="1"/>
    <x v="1"/>
    <n v="50"/>
    <x v="1"/>
    <n v="4"/>
    <n v="4"/>
    <s v="Post Graduate"/>
    <x v="3"/>
    <n v="1"/>
    <n v="43"/>
    <n v="43"/>
    <x v="0"/>
    <n v="1"/>
    <x v="1"/>
    <n v="0"/>
    <n v="1"/>
    <n v="0"/>
    <n v="255"/>
    <n v="255"/>
    <x v="0"/>
    <n v="126.5"/>
    <n v="92.5"/>
    <n v="25.35"/>
    <n v="25.35"/>
    <x v="0"/>
    <n v="90"/>
    <n v="90"/>
    <n v="74"/>
    <n v="74"/>
    <x v="0"/>
    <x v="0"/>
  </r>
  <r>
    <n v="1"/>
    <x v="1"/>
    <n v="50"/>
    <x v="1"/>
    <n v="1"/>
    <n v="1"/>
    <s v="Primary"/>
    <x v="2"/>
    <n v="1"/>
    <n v="20"/>
    <n v="20"/>
    <x v="0"/>
    <n v="0"/>
    <x v="0"/>
    <n v="0"/>
    <n v="0"/>
    <n v="0"/>
    <n v="329"/>
    <n v="329"/>
    <x v="0"/>
    <n v="126"/>
    <n v="84"/>
    <n v="21.45"/>
    <n v="21.45"/>
    <x v="1"/>
    <n v="65"/>
    <n v="65"/>
    <n v="65"/>
    <n v="65"/>
    <x v="0"/>
    <x v="0"/>
  </r>
  <r>
    <n v="1"/>
    <x v="1"/>
    <n v="50"/>
    <x v="1"/>
    <n v="4"/>
    <n v="4"/>
    <s v="Post Graduate"/>
    <x v="3"/>
    <n v="1"/>
    <n v="25"/>
    <n v="25"/>
    <x v="0"/>
    <n v="0"/>
    <x v="0"/>
    <n v="0"/>
    <n v="0"/>
    <n v="0"/>
    <n v="215"/>
    <n v="215"/>
    <x v="1"/>
    <n v="134"/>
    <n v="80"/>
    <n v="29.98"/>
    <n v="29.98"/>
    <x v="0"/>
    <n v="67"/>
    <n v="67"/>
    <n v="75"/>
    <n v="75"/>
    <x v="0"/>
    <x v="0"/>
  </r>
  <r>
    <n v="1"/>
    <x v="1"/>
    <n v="50"/>
    <x v="1"/>
    <n v="2"/>
    <n v="2"/>
    <s v="Secondary"/>
    <x v="0"/>
    <n v="0"/>
    <n v="0"/>
    <n v="0"/>
    <x v="1"/>
    <n v="0"/>
    <x v="0"/>
    <n v="0"/>
    <n v="0"/>
    <n v="0"/>
    <n v="296"/>
    <n v="296"/>
    <x v="0"/>
    <n v="129"/>
    <n v="85"/>
    <n v="25.86"/>
    <n v="25.86"/>
    <x v="0"/>
    <n v="56"/>
    <n v="56"/>
    <n v="106"/>
    <n v="106"/>
    <x v="0"/>
    <x v="1"/>
  </r>
  <r>
    <n v="1"/>
    <x v="1"/>
    <n v="50"/>
    <x v="1"/>
    <n v="4"/>
    <n v="4"/>
    <s v="Post Graduate"/>
    <x v="3"/>
    <n v="1"/>
    <n v="9"/>
    <n v="9"/>
    <x v="0"/>
    <s v="NA"/>
    <x v="0"/>
    <n v="0"/>
    <n v="0"/>
    <n v="0"/>
    <n v="296"/>
    <n v="296"/>
    <x v="0"/>
    <n v="119"/>
    <n v="90"/>
    <n v="23.55"/>
    <n v="23.55"/>
    <x v="1"/>
    <n v="75"/>
    <n v="75"/>
    <n v="69"/>
    <n v="69"/>
    <x v="1"/>
    <x v="1"/>
  </r>
  <r>
    <n v="1"/>
    <x v="1"/>
    <n v="50"/>
    <x v="1"/>
    <n v="3"/>
    <n v="3"/>
    <s v="Graduate"/>
    <x v="1"/>
    <n v="0"/>
    <n v="0"/>
    <n v="0"/>
    <x v="1"/>
    <n v="0"/>
    <x v="0"/>
    <n v="0"/>
    <n v="0"/>
    <n v="0"/>
    <n v="232"/>
    <n v="232"/>
    <x v="1"/>
    <n v="127.5"/>
    <n v="85"/>
    <n v="25.09"/>
    <n v="25.09"/>
    <x v="0"/>
    <n v="75"/>
    <n v="75"/>
    <n v="79"/>
    <n v="79"/>
    <x v="0"/>
    <x v="0"/>
  </r>
  <r>
    <n v="0"/>
    <x v="0"/>
    <n v="50"/>
    <x v="1"/>
    <n v="2"/>
    <n v="2"/>
    <s v="Secondary"/>
    <x v="0"/>
    <n v="0"/>
    <n v="0"/>
    <n v="0"/>
    <x v="1"/>
    <n v="0"/>
    <x v="0"/>
    <n v="0"/>
    <n v="1"/>
    <n v="0"/>
    <n v="173"/>
    <n v="173"/>
    <x v="1"/>
    <n v="147"/>
    <n v="90"/>
    <n v="24.06"/>
    <n v="24.06"/>
    <x v="1"/>
    <n v="63"/>
    <n v="63"/>
    <n v="85"/>
    <n v="85"/>
    <x v="0"/>
    <x v="0"/>
  </r>
  <r>
    <n v="0"/>
    <x v="0"/>
    <n v="50"/>
    <x v="1"/>
    <n v="1"/>
    <n v="1"/>
    <s v="Primary"/>
    <x v="2"/>
    <n v="1"/>
    <n v="20"/>
    <n v="20"/>
    <x v="0"/>
    <n v="0"/>
    <x v="0"/>
    <n v="0"/>
    <n v="0"/>
    <n v="0"/>
    <n v="221"/>
    <n v="221"/>
    <x v="1"/>
    <n v="112"/>
    <n v="69"/>
    <n v="24.07"/>
    <n v="24.07"/>
    <x v="1"/>
    <n v="80"/>
    <n v="80"/>
    <n v="79"/>
    <n v="79"/>
    <x v="0"/>
    <x v="0"/>
  </r>
  <r>
    <n v="1"/>
    <x v="1"/>
    <n v="50"/>
    <x v="1"/>
    <n v="1"/>
    <n v="1"/>
    <s v="Primary"/>
    <x v="2"/>
    <n v="1"/>
    <n v="20"/>
    <n v="20"/>
    <x v="0"/>
    <n v="0"/>
    <x v="0"/>
    <n v="0"/>
    <n v="1"/>
    <n v="0"/>
    <n v="272"/>
    <n v="272"/>
    <x v="0"/>
    <n v="159"/>
    <n v="109"/>
    <n v="31.27"/>
    <n v="31.27"/>
    <x v="2"/>
    <n v="80"/>
    <n v="80"/>
    <n v="68"/>
    <n v="68"/>
    <x v="0"/>
    <x v="0"/>
  </r>
  <r>
    <n v="0"/>
    <x v="0"/>
    <n v="50"/>
    <x v="1"/>
    <n v="1"/>
    <n v="1"/>
    <s v="Primary"/>
    <x v="2"/>
    <n v="1"/>
    <n v="10"/>
    <n v="10"/>
    <x v="0"/>
    <n v="0"/>
    <x v="0"/>
    <n v="0"/>
    <n v="0"/>
    <n v="0"/>
    <n v="177"/>
    <n v="177"/>
    <x v="1"/>
    <n v="121"/>
    <n v="67"/>
    <n v="22.02"/>
    <n v="22.02"/>
    <x v="1"/>
    <n v="71"/>
    <n v="71"/>
    <n v="77"/>
    <n v="77"/>
    <x v="0"/>
    <x v="0"/>
  </r>
  <r>
    <n v="1"/>
    <x v="1"/>
    <n v="50"/>
    <x v="1"/>
    <n v="1"/>
    <n v="1"/>
    <s v="Primary"/>
    <x v="2"/>
    <n v="0"/>
    <n v="0"/>
    <n v="0"/>
    <x v="1"/>
    <n v="0"/>
    <x v="0"/>
    <n v="0"/>
    <n v="0"/>
    <n v="0"/>
    <n v="240"/>
    <n v="240"/>
    <x v="1"/>
    <n v="145"/>
    <n v="94"/>
    <n v="28.86"/>
    <n v="28.86"/>
    <x v="0"/>
    <n v="60"/>
    <n v="60"/>
    <n v="68"/>
    <n v="68"/>
    <x v="0"/>
    <x v="0"/>
  </r>
  <r>
    <n v="0"/>
    <x v="0"/>
    <n v="50"/>
    <x v="1"/>
    <n v="3"/>
    <n v="3"/>
    <s v="Graduate"/>
    <x v="1"/>
    <n v="0"/>
    <n v="0"/>
    <n v="0"/>
    <x v="1"/>
    <n v="0"/>
    <x v="0"/>
    <n v="0"/>
    <n v="1"/>
    <n v="0"/>
    <n v="224"/>
    <n v="224"/>
    <x v="1"/>
    <n v="149"/>
    <n v="90"/>
    <n v="29.94"/>
    <n v="29.94"/>
    <x v="0"/>
    <n v="100"/>
    <n v="100"/>
    <n v="85"/>
    <n v="85"/>
    <x v="0"/>
    <x v="0"/>
  </r>
  <r>
    <n v="1"/>
    <x v="1"/>
    <n v="50"/>
    <x v="1"/>
    <n v="1"/>
    <n v="1"/>
    <s v="Primary"/>
    <x v="2"/>
    <n v="0"/>
    <n v="0"/>
    <n v="0"/>
    <x v="1"/>
    <n v="0"/>
    <x v="0"/>
    <n v="0"/>
    <n v="0"/>
    <n v="0"/>
    <n v="220"/>
    <n v="220"/>
    <x v="1"/>
    <n v="124"/>
    <n v="82"/>
    <n v="24.54"/>
    <n v="24.54"/>
    <x v="1"/>
    <n v="54"/>
    <n v="54"/>
    <n v="83"/>
    <n v="83"/>
    <x v="0"/>
    <x v="0"/>
  </r>
  <r>
    <n v="1"/>
    <x v="1"/>
    <n v="50"/>
    <x v="1"/>
    <n v="4"/>
    <n v="4"/>
    <s v="Post Graduate"/>
    <x v="3"/>
    <n v="0"/>
    <n v="0"/>
    <n v="0"/>
    <x v="1"/>
    <n v="0"/>
    <x v="0"/>
    <n v="0"/>
    <n v="0"/>
    <n v="0"/>
    <n v="220"/>
    <n v="220"/>
    <x v="1"/>
    <n v="114"/>
    <n v="78"/>
    <n v="26.26"/>
    <n v="26.26"/>
    <x v="0"/>
    <n v="79"/>
    <n v="79"/>
    <n v="83"/>
    <n v="83"/>
    <x v="0"/>
    <x v="1"/>
  </r>
  <r>
    <n v="0"/>
    <x v="0"/>
    <n v="50"/>
    <x v="1"/>
    <n v="4"/>
    <n v="4"/>
    <s v="Post Graduate"/>
    <x v="3"/>
    <n v="0"/>
    <n v="0"/>
    <n v="0"/>
    <x v="1"/>
    <n v="0"/>
    <x v="0"/>
    <n v="0"/>
    <n v="0"/>
    <n v="0"/>
    <n v="274"/>
    <n v="274"/>
    <x v="0"/>
    <n v="125"/>
    <n v="87"/>
    <n v="21.67"/>
    <n v="21.67"/>
    <x v="1"/>
    <n v="75"/>
    <n v="75"/>
    <n v="73"/>
    <n v="73"/>
    <x v="0"/>
    <x v="0"/>
  </r>
  <r>
    <n v="1"/>
    <x v="1"/>
    <n v="50"/>
    <x v="1"/>
    <n v="2"/>
    <n v="2"/>
    <s v="Secondary"/>
    <x v="0"/>
    <n v="1"/>
    <n v="30"/>
    <n v="30"/>
    <x v="0"/>
    <n v="0"/>
    <x v="0"/>
    <n v="0"/>
    <n v="0"/>
    <n v="0"/>
    <n v="249"/>
    <n v="249"/>
    <x v="0"/>
    <n v="133"/>
    <n v="88"/>
    <n v="28.5"/>
    <n v="28.5"/>
    <x v="0"/>
    <n v="75"/>
    <n v="75"/>
    <n v="75"/>
    <n v="75"/>
    <x v="0"/>
    <x v="1"/>
  </r>
  <r>
    <n v="0"/>
    <x v="0"/>
    <n v="50"/>
    <x v="1"/>
    <n v="1"/>
    <n v="1"/>
    <s v="Primary"/>
    <x v="2"/>
    <n v="1"/>
    <n v="20"/>
    <n v="20"/>
    <x v="0"/>
    <n v="0"/>
    <x v="0"/>
    <n v="0"/>
    <n v="0"/>
    <n v="0"/>
    <n v="242"/>
    <n v="242"/>
    <x v="0"/>
    <n v="116"/>
    <n v="69"/>
    <n v="21.65"/>
    <n v="21.65"/>
    <x v="1"/>
    <n v="75"/>
    <n v="75"/>
    <n v="73"/>
    <n v="73"/>
    <x v="0"/>
    <x v="0"/>
  </r>
  <r>
    <n v="1"/>
    <x v="1"/>
    <n v="50"/>
    <x v="1"/>
    <n v="1"/>
    <n v="1"/>
    <s v="Primary"/>
    <x v="2"/>
    <n v="1"/>
    <n v="20"/>
    <n v="20"/>
    <x v="0"/>
    <n v="0"/>
    <x v="0"/>
    <n v="0"/>
    <n v="0"/>
    <n v="0"/>
    <n v="261"/>
    <n v="261"/>
    <x v="0"/>
    <n v="114"/>
    <n v="64"/>
    <n v="22.32"/>
    <n v="22.32"/>
    <x v="1"/>
    <n v="85"/>
    <n v="85"/>
    <n v="71"/>
    <n v="71"/>
    <x v="0"/>
    <x v="0"/>
  </r>
  <r>
    <n v="0"/>
    <x v="0"/>
    <n v="50"/>
    <x v="1"/>
    <n v="2"/>
    <n v="2"/>
    <s v="Secondary"/>
    <x v="0"/>
    <n v="1"/>
    <n v="10"/>
    <n v="10"/>
    <x v="0"/>
    <n v="0"/>
    <x v="0"/>
    <n v="0"/>
    <n v="1"/>
    <n v="0"/>
    <n v="298"/>
    <n v="298"/>
    <x v="0"/>
    <n v="156"/>
    <n v="90"/>
    <n v="24.24"/>
    <n v="24.24"/>
    <x v="1"/>
    <n v="75"/>
    <n v="75"/>
    <n v="100"/>
    <n v="100"/>
    <x v="0"/>
    <x v="0"/>
  </r>
  <r>
    <n v="1"/>
    <x v="1"/>
    <n v="50"/>
    <x v="1"/>
    <s v="NA"/>
    <n v="1"/>
    <s v="Primary"/>
    <x v="2"/>
    <n v="0"/>
    <n v="0"/>
    <n v="0"/>
    <x v="1"/>
    <n v="0"/>
    <x v="0"/>
    <n v="0"/>
    <n v="0"/>
    <n v="0"/>
    <n v="200"/>
    <n v="200"/>
    <x v="1"/>
    <n v="126"/>
    <n v="88"/>
    <n v="26.73"/>
    <n v="26.73"/>
    <x v="0"/>
    <n v="80"/>
    <n v="80"/>
    <n v="76"/>
    <n v="76"/>
    <x v="0"/>
    <x v="1"/>
  </r>
  <r>
    <n v="0"/>
    <x v="0"/>
    <n v="50"/>
    <x v="1"/>
    <n v="1"/>
    <n v="1"/>
    <s v="Primary"/>
    <x v="2"/>
    <n v="0"/>
    <n v="0"/>
    <n v="0"/>
    <x v="1"/>
    <n v="0"/>
    <x v="0"/>
    <n v="0"/>
    <n v="1"/>
    <n v="0"/>
    <n v="240"/>
    <n v="240"/>
    <x v="1"/>
    <n v="163"/>
    <n v="105"/>
    <n v="31.37"/>
    <n v="31.37"/>
    <x v="2"/>
    <n v="89"/>
    <n v="89"/>
    <n v="75"/>
    <n v="75"/>
    <x v="0"/>
    <x v="0"/>
  </r>
  <r>
    <n v="1"/>
    <x v="1"/>
    <n v="50"/>
    <x v="1"/>
    <n v="1"/>
    <n v="1"/>
    <s v="Primary"/>
    <x v="2"/>
    <n v="0"/>
    <n v="0"/>
    <n v="0"/>
    <x v="1"/>
    <n v="0"/>
    <x v="0"/>
    <n v="0"/>
    <n v="0"/>
    <n v="0"/>
    <n v="253"/>
    <n v="253"/>
    <x v="0"/>
    <n v="131"/>
    <n v="87"/>
    <n v="26.54"/>
    <n v="26.54"/>
    <x v="0"/>
    <n v="90"/>
    <n v="90"/>
    <n v="76"/>
    <n v="76"/>
    <x v="0"/>
    <x v="0"/>
  </r>
  <r>
    <n v="1"/>
    <x v="1"/>
    <n v="50"/>
    <x v="1"/>
    <n v="4"/>
    <n v="4"/>
    <s v="Post Graduate"/>
    <x v="3"/>
    <n v="1"/>
    <n v="15"/>
    <n v="15"/>
    <x v="0"/>
    <n v="0"/>
    <x v="0"/>
    <n v="0"/>
    <n v="0"/>
    <n v="0"/>
    <n v="212"/>
    <n v="212"/>
    <x v="1"/>
    <n v="132"/>
    <n v="87"/>
    <n v="25.9"/>
    <n v="25.9"/>
    <x v="0"/>
    <n v="75"/>
    <n v="75"/>
    <n v="83"/>
    <n v="83"/>
    <x v="0"/>
    <x v="0"/>
  </r>
  <r>
    <n v="1"/>
    <x v="1"/>
    <n v="50"/>
    <x v="1"/>
    <n v="2"/>
    <n v="2"/>
    <s v="Secondary"/>
    <x v="0"/>
    <n v="1"/>
    <n v="40"/>
    <n v="40"/>
    <x v="0"/>
    <n v="0"/>
    <x v="0"/>
    <n v="0"/>
    <n v="0"/>
    <n v="0"/>
    <n v="238"/>
    <n v="238"/>
    <x v="1"/>
    <n v="127.5"/>
    <n v="85"/>
    <n v="27.82"/>
    <n v="27.82"/>
    <x v="0"/>
    <n v="80"/>
    <n v="80"/>
    <n v="69"/>
    <n v="69"/>
    <x v="0"/>
    <x v="0"/>
  </r>
  <r>
    <n v="1"/>
    <x v="1"/>
    <n v="50"/>
    <x v="1"/>
    <n v="3"/>
    <n v="3"/>
    <s v="Graduate"/>
    <x v="1"/>
    <n v="1"/>
    <n v="25"/>
    <n v="25"/>
    <x v="0"/>
    <n v="0"/>
    <x v="0"/>
    <n v="0"/>
    <n v="0"/>
    <n v="0"/>
    <n v="240"/>
    <n v="240"/>
    <x v="1"/>
    <n v="112"/>
    <n v="82"/>
    <n v="24.39"/>
    <n v="24.39"/>
    <x v="1"/>
    <n v="66"/>
    <n v="66"/>
    <n v="62"/>
    <n v="62"/>
    <x v="0"/>
    <x v="0"/>
  </r>
  <r>
    <n v="1"/>
    <x v="1"/>
    <n v="50"/>
    <x v="1"/>
    <n v="1"/>
    <n v="1"/>
    <s v="Primary"/>
    <x v="2"/>
    <n v="1"/>
    <n v="60"/>
    <n v="60"/>
    <x v="0"/>
    <n v="0"/>
    <x v="0"/>
    <n v="0"/>
    <n v="1"/>
    <n v="0"/>
    <n v="340"/>
    <n v="340"/>
    <x v="0"/>
    <n v="134"/>
    <n v="95"/>
    <n v="30.46"/>
    <n v="30.46"/>
    <x v="2"/>
    <n v="85"/>
    <n v="85"/>
    <n v="86"/>
    <n v="86"/>
    <x v="0"/>
    <x v="0"/>
  </r>
  <r>
    <n v="0"/>
    <x v="0"/>
    <n v="50"/>
    <x v="1"/>
    <n v="2"/>
    <n v="2"/>
    <s v="Secondary"/>
    <x v="0"/>
    <n v="0"/>
    <n v="0"/>
    <n v="0"/>
    <x v="1"/>
    <n v="0"/>
    <x v="0"/>
    <n v="0"/>
    <n v="1"/>
    <n v="0"/>
    <n v="215"/>
    <n v="215"/>
    <x v="1"/>
    <n v="130.5"/>
    <n v="98"/>
    <n v="24.94"/>
    <n v="24.94"/>
    <x v="1"/>
    <n v="68"/>
    <n v="68"/>
    <n v="100"/>
    <n v="100"/>
    <x v="0"/>
    <x v="0"/>
  </r>
  <r>
    <n v="0"/>
    <x v="0"/>
    <n v="50"/>
    <x v="1"/>
    <n v="4"/>
    <n v="4"/>
    <s v="Post Graduate"/>
    <x v="3"/>
    <n v="0"/>
    <n v="0"/>
    <n v="0"/>
    <x v="1"/>
    <n v="0"/>
    <x v="0"/>
    <n v="0"/>
    <n v="0"/>
    <n v="0"/>
    <n v="243"/>
    <n v="243"/>
    <x v="0"/>
    <n v="131"/>
    <n v="80"/>
    <n v="23.24"/>
    <n v="23.24"/>
    <x v="1"/>
    <n v="110"/>
    <n v="110"/>
    <s v="NA"/>
    <n v="81.96365524402907"/>
    <x v="0"/>
    <x v="0"/>
  </r>
  <r>
    <n v="1"/>
    <x v="1"/>
    <n v="50"/>
    <x v="1"/>
    <n v="2"/>
    <n v="2"/>
    <s v="Secondary"/>
    <x v="0"/>
    <n v="1"/>
    <n v="10"/>
    <n v="10"/>
    <x v="0"/>
    <n v="0"/>
    <x v="0"/>
    <n v="0"/>
    <n v="0"/>
    <n v="0"/>
    <n v="180"/>
    <n v="180"/>
    <x v="1"/>
    <n v="116"/>
    <n v="82"/>
    <n v="30.11"/>
    <n v="30.11"/>
    <x v="2"/>
    <n v="80"/>
    <n v="80"/>
    <n v="92"/>
    <n v="92"/>
    <x v="0"/>
    <x v="0"/>
  </r>
  <r>
    <n v="0"/>
    <x v="0"/>
    <n v="50"/>
    <x v="1"/>
    <s v="NA"/>
    <n v="1"/>
    <s v="Primary"/>
    <x v="2"/>
    <n v="1"/>
    <n v="15"/>
    <n v="15"/>
    <x v="0"/>
    <n v="0"/>
    <x v="0"/>
    <n v="0"/>
    <n v="1"/>
    <n v="0"/>
    <n v="253"/>
    <n v="253"/>
    <x v="0"/>
    <n v="132"/>
    <n v="84.5"/>
    <n v="27.96"/>
    <n v="27.96"/>
    <x v="0"/>
    <n v="88"/>
    <n v="88"/>
    <n v="73"/>
    <n v="73"/>
    <x v="0"/>
    <x v="0"/>
  </r>
  <r>
    <n v="0"/>
    <x v="0"/>
    <n v="50"/>
    <x v="1"/>
    <n v="1"/>
    <n v="1"/>
    <s v="Primary"/>
    <x v="2"/>
    <n v="1"/>
    <n v="9"/>
    <n v="9"/>
    <x v="0"/>
    <n v="0"/>
    <x v="0"/>
    <n v="0"/>
    <n v="0"/>
    <n v="0"/>
    <n v="229"/>
    <n v="229"/>
    <x v="1"/>
    <n v="114"/>
    <n v="68"/>
    <n v="23.2"/>
    <n v="23.2"/>
    <x v="1"/>
    <n v="90"/>
    <n v="90"/>
    <n v="70"/>
    <n v="70"/>
    <x v="0"/>
    <x v="0"/>
  </r>
  <r>
    <n v="1"/>
    <x v="1"/>
    <n v="50"/>
    <x v="1"/>
    <n v="2"/>
    <n v="2"/>
    <s v="Secondary"/>
    <x v="0"/>
    <n v="1"/>
    <n v="30"/>
    <n v="30"/>
    <x v="0"/>
    <n v="0"/>
    <x v="0"/>
    <n v="0"/>
    <n v="0"/>
    <n v="0"/>
    <n v="258"/>
    <n v="258"/>
    <x v="0"/>
    <n v="124"/>
    <n v="78"/>
    <n v="24.33"/>
    <n v="24.33"/>
    <x v="1"/>
    <n v="72"/>
    <n v="72"/>
    <n v="83"/>
    <n v="83"/>
    <x v="0"/>
    <x v="0"/>
  </r>
  <r>
    <n v="0"/>
    <x v="0"/>
    <n v="50"/>
    <x v="1"/>
    <n v="3"/>
    <n v="3"/>
    <s v="Graduate"/>
    <x v="1"/>
    <n v="0"/>
    <n v="0"/>
    <n v="0"/>
    <x v="1"/>
    <n v="0"/>
    <x v="0"/>
    <n v="0"/>
    <n v="0"/>
    <n v="0"/>
    <n v="208"/>
    <n v="208"/>
    <x v="1"/>
    <n v="126.5"/>
    <n v="84"/>
    <n v="22.01"/>
    <n v="22.01"/>
    <x v="1"/>
    <n v="75"/>
    <n v="75"/>
    <n v="79"/>
    <n v="79"/>
    <x v="0"/>
    <x v="0"/>
  </r>
  <r>
    <n v="1"/>
    <x v="1"/>
    <n v="50"/>
    <x v="1"/>
    <n v="1"/>
    <n v="1"/>
    <s v="Primary"/>
    <x v="2"/>
    <n v="0"/>
    <n v="0"/>
    <n v="0"/>
    <x v="1"/>
    <n v="0"/>
    <x v="0"/>
    <n v="0"/>
    <n v="1"/>
    <n v="0"/>
    <n v="208"/>
    <n v="208"/>
    <x v="1"/>
    <n v="166.5"/>
    <n v="106.5"/>
    <n v="29.13"/>
    <n v="29.13"/>
    <x v="0"/>
    <n v="85"/>
    <n v="85"/>
    <n v="84"/>
    <n v="84"/>
    <x v="0"/>
    <x v="1"/>
  </r>
  <r>
    <n v="1"/>
    <x v="1"/>
    <n v="50"/>
    <x v="1"/>
    <n v="1"/>
    <n v="1"/>
    <s v="Primary"/>
    <x v="2"/>
    <n v="1"/>
    <n v="20"/>
    <n v="20"/>
    <x v="0"/>
    <n v="0"/>
    <x v="0"/>
    <n v="0"/>
    <n v="0"/>
    <n v="0"/>
    <n v="193"/>
    <n v="193"/>
    <x v="1"/>
    <n v="149"/>
    <n v="96"/>
    <n v="28.55"/>
    <n v="28.55"/>
    <x v="0"/>
    <n v="88"/>
    <n v="88"/>
    <s v="NA"/>
    <n v="81.96365524402907"/>
    <x v="0"/>
    <x v="0"/>
  </r>
  <r>
    <n v="0"/>
    <x v="0"/>
    <n v="50"/>
    <x v="1"/>
    <n v="3"/>
    <n v="3"/>
    <s v="Graduate"/>
    <x v="1"/>
    <n v="0"/>
    <n v="0"/>
    <n v="0"/>
    <x v="1"/>
    <n v="0"/>
    <x v="0"/>
    <n v="0"/>
    <n v="0"/>
    <n v="0"/>
    <n v="229"/>
    <n v="229"/>
    <x v="1"/>
    <n v="105"/>
    <n v="72.5"/>
    <n v="26.25"/>
    <n v="26.25"/>
    <x v="0"/>
    <n v="90"/>
    <n v="90"/>
    <n v="79"/>
    <n v="79"/>
    <x v="0"/>
    <x v="0"/>
  </r>
  <r>
    <n v="0"/>
    <x v="0"/>
    <n v="50"/>
    <x v="1"/>
    <n v="2"/>
    <n v="2"/>
    <s v="Secondary"/>
    <x v="0"/>
    <n v="1"/>
    <n v="20"/>
    <n v="20"/>
    <x v="0"/>
    <n v="0"/>
    <x v="0"/>
    <n v="0"/>
    <n v="0"/>
    <n v="0"/>
    <n v="235"/>
    <n v="235"/>
    <x v="1"/>
    <n v="121"/>
    <n v="78"/>
    <n v="23.01"/>
    <n v="23.01"/>
    <x v="1"/>
    <n v="52"/>
    <n v="52"/>
    <n v="78"/>
    <n v="78"/>
    <x v="0"/>
    <x v="0"/>
  </r>
  <r>
    <n v="1"/>
    <x v="1"/>
    <n v="50"/>
    <x v="1"/>
    <n v="1"/>
    <n v="1"/>
    <s v="Primary"/>
    <x v="2"/>
    <n v="0"/>
    <n v="0"/>
    <n v="0"/>
    <x v="1"/>
    <n v="0"/>
    <x v="0"/>
    <n v="0"/>
    <n v="0"/>
    <n v="0"/>
    <n v="227"/>
    <n v="227"/>
    <x v="1"/>
    <n v="114"/>
    <n v="87"/>
    <n v="33.1"/>
    <n v="33.1"/>
    <x v="2"/>
    <n v="92"/>
    <n v="92"/>
    <n v="120"/>
    <n v="120"/>
    <x v="0"/>
    <x v="0"/>
  </r>
  <r>
    <n v="0"/>
    <x v="0"/>
    <n v="50"/>
    <x v="1"/>
    <n v="1"/>
    <n v="1"/>
    <s v="Primary"/>
    <x v="2"/>
    <n v="1"/>
    <n v="30"/>
    <n v="30"/>
    <x v="0"/>
    <n v="0"/>
    <x v="0"/>
    <n v="0"/>
    <n v="1"/>
    <n v="0"/>
    <n v="287"/>
    <n v="287"/>
    <x v="0"/>
    <n v="147.5"/>
    <n v="87.5"/>
    <n v="30.36"/>
    <n v="30.36"/>
    <x v="2"/>
    <n v="64"/>
    <n v="64"/>
    <n v="72"/>
    <n v="72"/>
    <x v="0"/>
    <x v="0"/>
  </r>
  <r>
    <n v="0"/>
    <x v="0"/>
    <n v="50"/>
    <x v="1"/>
    <n v="2"/>
    <n v="2"/>
    <s v="Secondary"/>
    <x v="0"/>
    <n v="0"/>
    <n v="0"/>
    <n v="0"/>
    <x v="1"/>
    <n v="0"/>
    <x v="0"/>
    <n v="0"/>
    <n v="0"/>
    <n v="0"/>
    <n v="225"/>
    <n v="225"/>
    <x v="1"/>
    <n v="132"/>
    <n v="81"/>
    <n v="23.62"/>
    <n v="23.62"/>
    <x v="1"/>
    <n v="74"/>
    <n v="74"/>
    <n v="103"/>
    <n v="103"/>
    <x v="0"/>
    <x v="0"/>
  </r>
  <r>
    <n v="0"/>
    <x v="0"/>
    <n v="50"/>
    <x v="1"/>
    <n v="2"/>
    <n v="2"/>
    <s v="Secondary"/>
    <x v="0"/>
    <n v="0"/>
    <n v="0"/>
    <n v="0"/>
    <x v="1"/>
    <n v="1"/>
    <x v="1"/>
    <n v="0"/>
    <n v="1"/>
    <n v="0"/>
    <n v="241"/>
    <n v="241"/>
    <x v="0"/>
    <n v="132"/>
    <n v="85"/>
    <n v="23.81"/>
    <n v="23.81"/>
    <x v="1"/>
    <n v="55"/>
    <n v="55"/>
    <n v="84"/>
    <n v="84"/>
    <x v="0"/>
    <x v="0"/>
  </r>
  <r>
    <n v="1"/>
    <x v="1"/>
    <n v="50"/>
    <x v="1"/>
    <n v="3"/>
    <n v="3"/>
    <s v="Graduate"/>
    <x v="1"/>
    <n v="1"/>
    <n v="30"/>
    <n v="30"/>
    <x v="0"/>
    <n v="0"/>
    <x v="0"/>
    <n v="0"/>
    <n v="1"/>
    <n v="0"/>
    <s v="NA"/>
    <n v="236.69952267303103"/>
    <x v="1"/>
    <n v="152.5"/>
    <n v="105"/>
    <n v="35.85"/>
    <n v="35.85"/>
    <x v="2"/>
    <n v="72"/>
    <n v="72"/>
    <s v="NA"/>
    <n v="81.96365524402907"/>
    <x v="0"/>
    <x v="0"/>
  </r>
  <r>
    <n v="0"/>
    <x v="0"/>
    <n v="50"/>
    <x v="1"/>
    <n v="2"/>
    <n v="2"/>
    <s v="Secondary"/>
    <x v="0"/>
    <n v="0"/>
    <n v="0"/>
    <n v="0"/>
    <x v="1"/>
    <n v="0"/>
    <x v="0"/>
    <n v="0"/>
    <n v="0"/>
    <n v="0"/>
    <n v="216"/>
    <n v="216"/>
    <x v="1"/>
    <n v="100"/>
    <n v="70"/>
    <n v="23.88"/>
    <n v="23.88"/>
    <x v="1"/>
    <n v="70"/>
    <n v="70"/>
    <n v="73"/>
    <n v="73"/>
    <x v="0"/>
    <x v="0"/>
  </r>
  <r>
    <n v="1"/>
    <x v="1"/>
    <n v="50"/>
    <x v="1"/>
    <n v="1"/>
    <n v="1"/>
    <s v="Primary"/>
    <x v="2"/>
    <n v="1"/>
    <n v="30"/>
    <n v="30"/>
    <x v="0"/>
    <n v="0"/>
    <x v="0"/>
    <n v="0"/>
    <n v="0"/>
    <n v="0"/>
    <n v="234"/>
    <n v="234"/>
    <x v="1"/>
    <n v="122"/>
    <n v="81.5"/>
    <n v="29.64"/>
    <n v="29.64"/>
    <x v="0"/>
    <n v="64"/>
    <n v="64"/>
    <n v="76"/>
    <n v="76"/>
    <x v="0"/>
    <x v="0"/>
  </r>
  <r>
    <n v="0"/>
    <x v="0"/>
    <n v="50"/>
    <x v="1"/>
    <n v="1"/>
    <n v="1"/>
    <s v="Primary"/>
    <x v="2"/>
    <n v="0"/>
    <n v="0"/>
    <n v="0"/>
    <x v="1"/>
    <n v="0"/>
    <x v="0"/>
    <n v="0"/>
    <n v="0"/>
    <n v="0"/>
    <n v="281"/>
    <n v="281"/>
    <x v="0"/>
    <n v="107.5"/>
    <n v="74"/>
    <n v="23.44"/>
    <n v="23.44"/>
    <x v="1"/>
    <n v="85"/>
    <n v="85"/>
    <n v="79"/>
    <n v="79"/>
    <x v="0"/>
    <x v="0"/>
  </r>
  <r>
    <n v="1"/>
    <x v="1"/>
    <n v="50"/>
    <x v="1"/>
    <n v="4"/>
    <n v="4"/>
    <s v="Post Graduate"/>
    <x v="3"/>
    <n v="0"/>
    <n v="0"/>
    <n v="0"/>
    <x v="1"/>
    <n v="0"/>
    <x v="0"/>
    <n v="0"/>
    <n v="1"/>
    <n v="0"/>
    <n v="259"/>
    <n v="259"/>
    <x v="0"/>
    <n v="171"/>
    <n v="120"/>
    <n v="29.38"/>
    <n v="29.38"/>
    <x v="0"/>
    <n v="72"/>
    <n v="72"/>
    <n v="85"/>
    <n v="85"/>
    <x v="0"/>
    <x v="1"/>
  </r>
  <r>
    <n v="1"/>
    <x v="1"/>
    <n v="50"/>
    <x v="1"/>
    <n v="4"/>
    <n v="4"/>
    <s v="Post Graduate"/>
    <x v="3"/>
    <n v="1"/>
    <n v="35"/>
    <n v="35"/>
    <x v="0"/>
    <n v="0"/>
    <x v="0"/>
    <n v="0"/>
    <n v="0"/>
    <n v="0"/>
    <n v="236"/>
    <n v="236"/>
    <x v="1"/>
    <n v="102"/>
    <n v="69"/>
    <n v="21.98"/>
    <n v="21.98"/>
    <x v="1"/>
    <n v="70"/>
    <n v="70"/>
    <n v="73"/>
    <n v="73"/>
    <x v="0"/>
    <x v="0"/>
  </r>
  <r>
    <n v="0"/>
    <x v="0"/>
    <n v="50"/>
    <x v="1"/>
    <n v="3"/>
    <n v="3"/>
    <s v="Graduate"/>
    <x v="1"/>
    <n v="0"/>
    <n v="0"/>
    <n v="0"/>
    <x v="1"/>
    <n v="0"/>
    <x v="0"/>
    <n v="0"/>
    <n v="1"/>
    <n v="0"/>
    <n v="243"/>
    <n v="243"/>
    <x v="0"/>
    <n v="157"/>
    <n v="98"/>
    <n v="23.82"/>
    <n v="23.82"/>
    <x v="1"/>
    <n v="70"/>
    <n v="70"/>
    <n v="78"/>
    <n v="78"/>
    <x v="0"/>
    <x v="1"/>
  </r>
  <r>
    <n v="0"/>
    <x v="0"/>
    <n v="50"/>
    <x v="1"/>
    <n v="4"/>
    <n v="4"/>
    <s v="Post Graduate"/>
    <x v="3"/>
    <n v="0"/>
    <n v="0"/>
    <n v="0"/>
    <x v="1"/>
    <n v="0"/>
    <x v="0"/>
    <n v="0"/>
    <n v="0"/>
    <n v="0"/>
    <n v="305"/>
    <n v="305"/>
    <x v="0"/>
    <n v="114"/>
    <n v="80"/>
    <n v="24.33"/>
    <n v="24.33"/>
    <x v="1"/>
    <n v="55"/>
    <n v="55"/>
    <n v="80"/>
    <n v="80"/>
    <x v="0"/>
    <x v="0"/>
  </r>
  <r>
    <n v="1"/>
    <x v="1"/>
    <n v="50"/>
    <x v="1"/>
    <n v="4"/>
    <n v="4"/>
    <s v="Post Graduate"/>
    <x v="3"/>
    <n v="0"/>
    <n v="0"/>
    <n v="0"/>
    <x v="1"/>
    <n v="0"/>
    <x v="0"/>
    <n v="0"/>
    <n v="0"/>
    <n v="0"/>
    <n v="227"/>
    <n v="227"/>
    <x v="1"/>
    <n v="132"/>
    <n v="59"/>
    <n v="25.12"/>
    <n v="25.12"/>
    <x v="0"/>
    <n v="57"/>
    <n v="57"/>
    <s v="NA"/>
    <n v="81.96365524402907"/>
    <x v="0"/>
    <x v="0"/>
  </r>
  <r>
    <n v="0"/>
    <x v="0"/>
    <n v="50"/>
    <x v="1"/>
    <n v="2"/>
    <n v="2"/>
    <s v="Secondary"/>
    <x v="0"/>
    <n v="0"/>
    <n v="0"/>
    <n v="0"/>
    <x v="1"/>
    <n v="0"/>
    <x v="0"/>
    <n v="0"/>
    <n v="1"/>
    <n v="0"/>
    <n v="259"/>
    <n v="259"/>
    <x v="0"/>
    <n v="152"/>
    <n v="97"/>
    <n v="33.68"/>
    <n v="33.68"/>
    <x v="2"/>
    <n v="75"/>
    <n v="75"/>
    <n v="76"/>
    <n v="76"/>
    <x v="0"/>
    <x v="0"/>
  </r>
  <r>
    <n v="0"/>
    <x v="0"/>
    <n v="50"/>
    <x v="1"/>
    <n v="2"/>
    <n v="2"/>
    <s v="Secondary"/>
    <x v="0"/>
    <n v="0"/>
    <n v="0"/>
    <n v="0"/>
    <x v="1"/>
    <n v="0"/>
    <x v="0"/>
    <n v="0"/>
    <n v="0"/>
    <n v="0"/>
    <n v="232"/>
    <n v="232"/>
    <x v="1"/>
    <n v="120"/>
    <n v="75"/>
    <n v="23.88"/>
    <n v="23.88"/>
    <x v="1"/>
    <n v="60"/>
    <n v="60"/>
    <n v="74"/>
    <n v="74"/>
    <x v="0"/>
    <x v="0"/>
  </r>
  <r>
    <n v="0"/>
    <x v="0"/>
    <n v="50"/>
    <x v="1"/>
    <n v="2"/>
    <n v="2"/>
    <s v="Secondary"/>
    <x v="0"/>
    <n v="1"/>
    <n v="20"/>
    <n v="20"/>
    <x v="0"/>
    <n v="0"/>
    <x v="0"/>
    <n v="0"/>
    <n v="0"/>
    <n v="0"/>
    <n v="202"/>
    <n v="202"/>
    <x v="1"/>
    <n v="138"/>
    <n v="72"/>
    <n v="25.03"/>
    <n v="25.03"/>
    <x v="0"/>
    <n v="110"/>
    <n v="110"/>
    <n v="98"/>
    <n v="98"/>
    <x v="0"/>
    <x v="0"/>
  </r>
  <r>
    <n v="1"/>
    <x v="1"/>
    <n v="50"/>
    <x v="1"/>
    <n v="4"/>
    <n v="4"/>
    <s v="Post Graduate"/>
    <x v="3"/>
    <n v="1"/>
    <n v="20"/>
    <n v="20"/>
    <x v="0"/>
    <n v="0"/>
    <x v="0"/>
    <n v="0"/>
    <n v="1"/>
    <n v="0"/>
    <n v="250"/>
    <n v="250"/>
    <x v="0"/>
    <n v="148"/>
    <n v="108"/>
    <n v="24"/>
    <n v="24"/>
    <x v="1"/>
    <n v="80"/>
    <n v="80"/>
    <n v="86"/>
    <n v="86"/>
    <x v="0"/>
    <x v="0"/>
  </r>
  <r>
    <n v="0"/>
    <x v="0"/>
    <n v="50"/>
    <x v="1"/>
    <n v="3"/>
    <n v="3"/>
    <s v="Graduate"/>
    <x v="1"/>
    <n v="1"/>
    <n v="10"/>
    <n v="10"/>
    <x v="0"/>
    <n v="0"/>
    <x v="0"/>
    <n v="0"/>
    <n v="1"/>
    <n v="0"/>
    <n v="240"/>
    <n v="240"/>
    <x v="1"/>
    <n v="176.5"/>
    <n v="115"/>
    <n v="27.71"/>
    <n v="27.71"/>
    <x v="0"/>
    <n v="70"/>
    <n v="70"/>
    <n v="83"/>
    <n v="83"/>
    <x v="0"/>
    <x v="0"/>
  </r>
  <r>
    <n v="0"/>
    <x v="0"/>
    <n v="50"/>
    <x v="1"/>
    <n v="1"/>
    <n v="1"/>
    <s v="Primary"/>
    <x v="2"/>
    <n v="1"/>
    <n v="15"/>
    <n v="15"/>
    <x v="0"/>
    <n v="0"/>
    <x v="0"/>
    <n v="0"/>
    <n v="0"/>
    <n v="0"/>
    <n v="168"/>
    <n v="168"/>
    <x v="1"/>
    <n v="120"/>
    <n v="80"/>
    <n v="25.26"/>
    <n v="25.26"/>
    <x v="0"/>
    <n v="96"/>
    <n v="96"/>
    <n v="60"/>
    <n v="60"/>
    <x v="0"/>
    <x v="1"/>
  </r>
  <r>
    <n v="1"/>
    <x v="1"/>
    <n v="50"/>
    <x v="1"/>
    <n v="4"/>
    <n v="4"/>
    <s v="Post Graduate"/>
    <x v="3"/>
    <n v="1"/>
    <n v="20"/>
    <n v="20"/>
    <x v="0"/>
    <n v="0"/>
    <x v="0"/>
    <n v="0"/>
    <n v="1"/>
    <n v="0"/>
    <n v="261"/>
    <n v="261"/>
    <x v="0"/>
    <n v="180"/>
    <n v="100"/>
    <n v="25.9"/>
    <n v="25.9"/>
    <x v="0"/>
    <n v="92"/>
    <n v="92"/>
    <n v="66"/>
    <n v="66"/>
    <x v="0"/>
    <x v="1"/>
  </r>
  <r>
    <n v="0"/>
    <x v="0"/>
    <n v="50"/>
    <x v="1"/>
    <n v="3"/>
    <n v="3"/>
    <s v="Graduate"/>
    <x v="1"/>
    <n v="0"/>
    <n v="0"/>
    <n v="0"/>
    <x v="1"/>
    <n v="0"/>
    <x v="0"/>
    <n v="0"/>
    <n v="1"/>
    <n v="0"/>
    <s v="NA"/>
    <n v="236.69952267303103"/>
    <x v="1"/>
    <n v="165"/>
    <n v="100"/>
    <n v="24.59"/>
    <n v="24.59"/>
    <x v="1"/>
    <n v="75"/>
    <n v="75"/>
    <s v="NA"/>
    <n v="81.96365524402907"/>
    <x v="0"/>
    <x v="1"/>
  </r>
  <r>
    <n v="0"/>
    <x v="0"/>
    <n v="50"/>
    <x v="1"/>
    <n v="3"/>
    <n v="3"/>
    <s v="Graduate"/>
    <x v="1"/>
    <n v="0"/>
    <n v="0"/>
    <n v="0"/>
    <x v="1"/>
    <n v="0"/>
    <x v="0"/>
    <n v="0"/>
    <n v="1"/>
    <n v="0"/>
    <n v="254"/>
    <n v="254"/>
    <x v="0"/>
    <n v="132"/>
    <n v="96"/>
    <n v="29.35"/>
    <n v="29.35"/>
    <x v="0"/>
    <n v="90"/>
    <n v="90"/>
    <n v="67"/>
    <n v="67"/>
    <x v="0"/>
    <x v="0"/>
  </r>
  <r>
    <n v="0"/>
    <x v="0"/>
    <n v="50"/>
    <x v="1"/>
    <n v="2"/>
    <n v="2"/>
    <s v="Secondary"/>
    <x v="0"/>
    <n v="0"/>
    <n v="0"/>
    <n v="0"/>
    <x v="1"/>
    <n v="0"/>
    <x v="0"/>
    <n v="0"/>
    <n v="1"/>
    <n v="0"/>
    <n v="190"/>
    <n v="190"/>
    <x v="1"/>
    <n v="148"/>
    <n v="92.5"/>
    <n v="22.99"/>
    <n v="22.99"/>
    <x v="1"/>
    <n v="80"/>
    <n v="80"/>
    <n v="90"/>
    <n v="90"/>
    <x v="0"/>
    <x v="0"/>
  </r>
  <r>
    <n v="0"/>
    <x v="0"/>
    <n v="50"/>
    <x v="1"/>
    <n v="1"/>
    <n v="1"/>
    <s v="Primary"/>
    <x v="2"/>
    <n v="0"/>
    <n v="0"/>
    <n v="0"/>
    <x v="1"/>
    <n v="0"/>
    <x v="0"/>
    <n v="0"/>
    <n v="0"/>
    <n v="0"/>
    <n v="189"/>
    <n v="189"/>
    <x v="1"/>
    <n v="144"/>
    <n v="88"/>
    <n v="39.08"/>
    <n v="39.08"/>
    <x v="2"/>
    <n v="60"/>
    <n v="60"/>
    <n v="87"/>
    <n v="87"/>
    <x v="0"/>
    <x v="1"/>
  </r>
  <r>
    <n v="1"/>
    <x v="1"/>
    <n v="50"/>
    <x v="1"/>
    <n v="4"/>
    <n v="4"/>
    <s v="Post Graduate"/>
    <x v="3"/>
    <n v="0"/>
    <n v="0"/>
    <n v="0"/>
    <x v="1"/>
    <n v="0"/>
    <x v="0"/>
    <n v="0"/>
    <n v="0"/>
    <n v="0"/>
    <n v="259"/>
    <n v="259"/>
    <x v="0"/>
    <n v="132.5"/>
    <n v="92"/>
    <n v="30.41"/>
    <n v="30.41"/>
    <x v="2"/>
    <n v="68"/>
    <n v="68"/>
    <n v="75"/>
    <n v="75"/>
    <x v="0"/>
    <x v="0"/>
  </r>
  <r>
    <n v="0"/>
    <x v="0"/>
    <n v="50"/>
    <x v="1"/>
    <n v="2"/>
    <n v="2"/>
    <s v="Secondary"/>
    <x v="0"/>
    <n v="1"/>
    <n v="9"/>
    <n v="9"/>
    <x v="0"/>
    <n v="0"/>
    <x v="0"/>
    <n v="0"/>
    <n v="1"/>
    <n v="0"/>
    <n v="161"/>
    <n v="161"/>
    <x v="1"/>
    <n v="145"/>
    <n v="89"/>
    <n v="20.3"/>
    <n v="20.3"/>
    <x v="1"/>
    <n v="66"/>
    <n v="66"/>
    <n v="81"/>
    <n v="81"/>
    <x v="0"/>
    <x v="0"/>
  </r>
  <r>
    <n v="0"/>
    <x v="0"/>
    <n v="50"/>
    <x v="1"/>
    <n v="4"/>
    <n v="4"/>
    <s v="Post Graduate"/>
    <x v="3"/>
    <n v="1"/>
    <n v="30"/>
    <n v="30"/>
    <x v="0"/>
    <n v="0"/>
    <x v="0"/>
    <n v="0"/>
    <n v="1"/>
    <n v="0"/>
    <n v="214"/>
    <n v="214"/>
    <x v="1"/>
    <n v="176"/>
    <n v="113"/>
    <n v="22.17"/>
    <n v="22.17"/>
    <x v="1"/>
    <n v="68"/>
    <n v="68"/>
    <n v="71"/>
    <n v="71"/>
    <x v="0"/>
    <x v="0"/>
  </r>
  <r>
    <n v="0"/>
    <x v="0"/>
    <n v="50"/>
    <x v="1"/>
    <n v="2"/>
    <n v="2"/>
    <s v="Secondary"/>
    <x v="0"/>
    <n v="1"/>
    <n v="10"/>
    <n v="10"/>
    <x v="0"/>
    <n v="0"/>
    <x v="0"/>
    <n v="0"/>
    <n v="0"/>
    <n v="0"/>
    <n v="220"/>
    <n v="220"/>
    <x v="1"/>
    <n v="122"/>
    <n v="80"/>
    <n v="24.22"/>
    <n v="24.22"/>
    <x v="1"/>
    <n v="75"/>
    <n v="75"/>
    <n v="72"/>
    <n v="72"/>
    <x v="0"/>
    <x v="0"/>
  </r>
  <r>
    <n v="0"/>
    <x v="0"/>
    <n v="50"/>
    <x v="1"/>
    <n v="1"/>
    <n v="1"/>
    <s v="Primary"/>
    <x v="2"/>
    <n v="0"/>
    <n v="0"/>
    <n v="0"/>
    <x v="1"/>
    <n v="0"/>
    <x v="0"/>
    <n v="0"/>
    <n v="1"/>
    <n v="0"/>
    <n v="212"/>
    <n v="212"/>
    <x v="1"/>
    <n v="169"/>
    <n v="117"/>
    <n v="27.08"/>
    <n v="27.08"/>
    <x v="0"/>
    <n v="100"/>
    <n v="100"/>
    <n v="68"/>
    <n v="68"/>
    <x v="0"/>
    <x v="0"/>
  </r>
  <r>
    <n v="1"/>
    <x v="1"/>
    <n v="50"/>
    <x v="1"/>
    <n v="1"/>
    <n v="1"/>
    <s v="Primary"/>
    <x v="2"/>
    <n v="0"/>
    <n v="0"/>
    <n v="0"/>
    <x v="1"/>
    <n v="0"/>
    <x v="0"/>
    <n v="0"/>
    <n v="1"/>
    <n v="0"/>
    <n v="167"/>
    <n v="167"/>
    <x v="1"/>
    <n v="159"/>
    <n v="95"/>
    <n v="25.2"/>
    <n v="25.2"/>
    <x v="0"/>
    <n v="75"/>
    <n v="75"/>
    <n v="87"/>
    <n v="87"/>
    <x v="0"/>
    <x v="0"/>
  </r>
  <r>
    <n v="0"/>
    <x v="0"/>
    <n v="50"/>
    <x v="1"/>
    <n v="1"/>
    <n v="1"/>
    <s v="Primary"/>
    <x v="2"/>
    <n v="1"/>
    <n v="20"/>
    <n v="20"/>
    <x v="0"/>
    <n v="0"/>
    <x v="0"/>
    <n v="0"/>
    <n v="1"/>
    <n v="0"/>
    <n v="248"/>
    <n v="248"/>
    <x v="0"/>
    <n v="154.5"/>
    <n v="104"/>
    <n v="19.88"/>
    <n v="19.88"/>
    <x v="1"/>
    <n v="75"/>
    <n v="75"/>
    <n v="87"/>
    <n v="87"/>
    <x v="0"/>
    <x v="0"/>
  </r>
  <r>
    <n v="0"/>
    <x v="0"/>
    <n v="50"/>
    <x v="1"/>
    <n v="1"/>
    <n v="1"/>
    <s v="Primary"/>
    <x v="2"/>
    <n v="0"/>
    <n v="0"/>
    <n v="0"/>
    <x v="1"/>
    <n v="0"/>
    <x v="0"/>
    <n v="0"/>
    <n v="1"/>
    <n v="0"/>
    <n v="312"/>
    <n v="312"/>
    <x v="0"/>
    <n v="165"/>
    <n v="90"/>
    <n v="30.47"/>
    <n v="30.47"/>
    <x v="2"/>
    <n v="72"/>
    <n v="72"/>
    <n v="83"/>
    <n v="83"/>
    <x v="0"/>
    <x v="0"/>
  </r>
  <r>
    <n v="1"/>
    <x v="1"/>
    <n v="50"/>
    <x v="1"/>
    <n v="1"/>
    <n v="1"/>
    <s v="Primary"/>
    <x v="2"/>
    <n v="1"/>
    <n v="35"/>
    <n v="35"/>
    <x v="0"/>
    <n v="0"/>
    <x v="0"/>
    <n v="0"/>
    <n v="0"/>
    <n v="0"/>
    <n v="293"/>
    <n v="293"/>
    <x v="0"/>
    <n v="150"/>
    <n v="85"/>
    <n v="26.09"/>
    <n v="26.09"/>
    <x v="0"/>
    <n v="67"/>
    <n v="67"/>
    <n v="68"/>
    <n v="68"/>
    <x v="0"/>
    <x v="1"/>
  </r>
  <r>
    <n v="0"/>
    <x v="0"/>
    <n v="50"/>
    <x v="1"/>
    <n v="4"/>
    <n v="4"/>
    <s v="Post Graduate"/>
    <x v="3"/>
    <n v="1"/>
    <n v="30"/>
    <n v="30"/>
    <x v="0"/>
    <n v="0"/>
    <x v="0"/>
    <n v="0"/>
    <n v="0"/>
    <n v="0"/>
    <n v="243"/>
    <n v="243"/>
    <x v="0"/>
    <n v="128"/>
    <n v="76"/>
    <n v="25.65"/>
    <n v="25.65"/>
    <x v="0"/>
    <n v="69"/>
    <n v="69"/>
    <n v="80"/>
    <n v="80"/>
    <x v="0"/>
    <x v="0"/>
  </r>
  <r>
    <n v="1"/>
    <x v="1"/>
    <n v="50"/>
    <x v="1"/>
    <s v="NA"/>
    <n v="1"/>
    <s v="Primary"/>
    <x v="2"/>
    <n v="1"/>
    <n v="9"/>
    <n v="9"/>
    <x v="0"/>
    <n v="0"/>
    <x v="0"/>
    <n v="0"/>
    <n v="0"/>
    <n v="0"/>
    <n v="206"/>
    <n v="206"/>
    <x v="1"/>
    <n v="140"/>
    <n v="92"/>
    <n v="28.21"/>
    <n v="28.21"/>
    <x v="0"/>
    <n v="85"/>
    <n v="85"/>
    <s v="NA"/>
    <n v="81.96365524402907"/>
    <x v="0"/>
    <x v="1"/>
  </r>
  <r>
    <n v="0"/>
    <x v="0"/>
    <n v="50"/>
    <x v="1"/>
    <n v="2"/>
    <n v="2"/>
    <s v="Secondary"/>
    <x v="0"/>
    <n v="1"/>
    <n v="30"/>
    <n v="30"/>
    <x v="0"/>
    <n v="0"/>
    <x v="0"/>
    <n v="0"/>
    <n v="1"/>
    <n v="0"/>
    <n v="308"/>
    <n v="308"/>
    <x v="0"/>
    <n v="145.5"/>
    <n v="96"/>
    <n v="25.61"/>
    <n v="25.61"/>
    <x v="0"/>
    <n v="72"/>
    <n v="72"/>
    <s v="NA"/>
    <n v="81.96365524402907"/>
    <x v="0"/>
    <x v="0"/>
  </r>
  <r>
    <n v="0"/>
    <x v="0"/>
    <n v="50"/>
    <x v="1"/>
    <n v="1"/>
    <n v="1"/>
    <s v="Primary"/>
    <x v="2"/>
    <n v="0"/>
    <n v="0"/>
    <n v="0"/>
    <x v="1"/>
    <n v="0"/>
    <x v="0"/>
    <n v="0"/>
    <n v="0"/>
    <n v="0"/>
    <n v="280"/>
    <n v="280"/>
    <x v="0"/>
    <n v="126"/>
    <n v="76"/>
    <n v="21.82"/>
    <n v="21.82"/>
    <x v="1"/>
    <n v="65"/>
    <n v="65"/>
    <n v="74"/>
    <n v="74"/>
    <x v="0"/>
    <x v="0"/>
  </r>
  <r>
    <n v="1"/>
    <x v="1"/>
    <n v="50"/>
    <x v="1"/>
    <n v="3"/>
    <n v="3"/>
    <s v="Graduate"/>
    <x v="1"/>
    <n v="1"/>
    <n v="30"/>
    <n v="30"/>
    <x v="0"/>
    <n v="0"/>
    <x v="0"/>
    <n v="0"/>
    <n v="1"/>
    <n v="0"/>
    <n v="320"/>
    <n v="320"/>
    <x v="0"/>
    <n v="190"/>
    <n v="110"/>
    <n v="25.45"/>
    <n v="25.45"/>
    <x v="0"/>
    <n v="90"/>
    <n v="90"/>
    <n v="71"/>
    <n v="71"/>
    <x v="0"/>
    <x v="0"/>
  </r>
  <r>
    <n v="1"/>
    <x v="1"/>
    <n v="50"/>
    <x v="1"/>
    <n v="2"/>
    <n v="2"/>
    <s v="Secondary"/>
    <x v="0"/>
    <n v="1"/>
    <n v="20"/>
    <n v="20"/>
    <x v="0"/>
    <n v="0"/>
    <x v="0"/>
    <n v="0"/>
    <n v="0"/>
    <n v="0"/>
    <n v="163"/>
    <n v="163"/>
    <x v="1"/>
    <n v="96.5"/>
    <n v="72.5"/>
    <n v="20.72"/>
    <n v="20.72"/>
    <x v="1"/>
    <n v="75"/>
    <n v="75"/>
    <n v="77"/>
    <n v="77"/>
    <x v="0"/>
    <x v="0"/>
  </r>
  <r>
    <n v="0"/>
    <x v="0"/>
    <n v="50"/>
    <x v="1"/>
    <n v="3"/>
    <n v="3"/>
    <s v="Graduate"/>
    <x v="1"/>
    <n v="0"/>
    <n v="0"/>
    <n v="0"/>
    <x v="1"/>
    <n v="0"/>
    <x v="0"/>
    <n v="0"/>
    <n v="0"/>
    <n v="0"/>
    <n v="250"/>
    <n v="250"/>
    <x v="0"/>
    <n v="109"/>
    <n v="70"/>
    <n v="20.74"/>
    <n v="20.74"/>
    <x v="1"/>
    <n v="75"/>
    <n v="75"/>
    <n v="77"/>
    <n v="77"/>
    <x v="0"/>
    <x v="0"/>
  </r>
  <r>
    <n v="0"/>
    <x v="0"/>
    <n v="50"/>
    <x v="1"/>
    <n v="1"/>
    <n v="1"/>
    <s v="Primary"/>
    <x v="2"/>
    <n v="0"/>
    <n v="0"/>
    <n v="0"/>
    <x v="1"/>
    <n v="0"/>
    <x v="0"/>
    <n v="0"/>
    <n v="0"/>
    <n v="1"/>
    <n v="258"/>
    <n v="258"/>
    <x v="0"/>
    <n v="127"/>
    <n v="80"/>
    <n v="24.1"/>
    <n v="24.1"/>
    <x v="1"/>
    <n v="75"/>
    <n v="75"/>
    <n v="124"/>
    <n v="124"/>
    <x v="0"/>
    <x v="0"/>
  </r>
  <r>
    <n v="1"/>
    <x v="1"/>
    <n v="50"/>
    <x v="1"/>
    <n v="1"/>
    <n v="1"/>
    <s v="Primary"/>
    <x v="2"/>
    <n v="1"/>
    <n v="30"/>
    <n v="30"/>
    <x v="0"/>
    <n v="0"/>
    <x v="0"/>
    <n v="0"/>
    <n v="0"/>
    <n v="0"/>
    <n v="225"/>
    <n v="225"/>
    <x v="1"/>
    <n v="133.5"/>
    <n v="86"/>
    <n v="29.38"/>
    <n v="29.38"/>
    <x v="0"/>
    <n v="79"/>
    <n v="79"/>
    <n v="106"/>
    <n v="106"/>
    <x v="0"/>
    <x v="1"/>
  </r>
  <r>
    <n v="1"/>
    <x v="1"/>
    <n v="50"/>
    <x v="1"/>
    <n v="1"/>
    <n v="1"/>
    <s v="Primary"/>
    <x v="2"/>
    <n v="1"/>
    <n v="20"/>
    <n v="20"/>
    <x v="0"/>
    <n v="0"/>
    <x v="0"/>
    <n v="0"/>
    <n v="1"/>
    <n v="0"/>
    <n v="233"/>
    <n v="233"/>
    <x v="1"/>
    <n v="158"/>
    <n v="88"/>
    <n v="28.26"/>
    <n v="28.26"/>
    <x v="0"/>
    <n v="68"/>
    <n v="68"/>
    <n v="94"/>
    <n v="94"/>
    <x v="0"/>
    <x v="1"/>
  </r>
  <r>
    <n v="1"/>
    <x v="1"/>
    <n v="50"/>
    <x v="1"/>
    <n v="1"/>
    <n v="1"/>
    <s v="Primary"/>
    <x v="2"/>
    <n v="1"/>
    <n v="15"/>
    <n v="15"/>
    <x v="0"/>
    <n v="1"/>
    <x v="1"/>
    <n v="0"/>
    <n v="1"/>
    <n v="0"/>
    <n v="258"/>
    <n v="258"/>
    <x v="0"/>
    <n v="198"/>
    <n v="106"/>
    <n v="26.73"/>
    <n v="26.73"/>
    <x v="0"/>
    <n v="102"/>
    <n v="102"/>
    <n v="73"/>
    <n v="73"/>
    <x v="0"/>
    <x v="0"/>
  </r>
  <r>
    <n v="0"/>
    <x v="0"/>
    <n v="50"/>
    <x v="1"/>
    <n v="1"/>
    <n v="1"/>
    <s v="Primary"/>
    <x v="2"/>
    <n v="0"/>
    <n v="0"/>
    <n v="0"/>
    <x v="1"/>
    <n v="0"/>
    <x v="0"/>
    <n v="0"/>
    <n v="0"/>
    <n v="0"/>
    <n v="229"/>
    <n v="229"/>
    <x v="1"/>
    <n v="121"/>
    <n v="85.5"/>
    <n v="23.09"/>
    <n v="23.09"/>
    <x v="1"/>
    <n v="63"/>
    <n v="63"/>
    <n v="75"/>
    <n v="75"/>
    <x v="0"/>
    <x v="0"/>
  </r>
  <r>
    <n v="0"/>
    <x v="0"/>
    <n v="50"/>
    <x v="1"/>
    <n v="3"/>
    <n v="3"/>
    <s v="Graduate"/>
    <x v="1"/>
    <n v="1"/>
    <n v="9"/>
    <n v="9"/>
    <x v="0"/>
    <n v="0"/>
    <x v="0"/>
    <n v="0"/>
    <n v="0"/>
    <n v="1"/>
    <n v="210"/>
    <n v="210"/>
    <x v="1"/>
    <n v="134"/>
    <n v="80"/>
    <n v="18.260000000000002"/>
    <n v="18.260000000000002"/>
    <x v="3"/>
    <n v="64"/>
    <n v="64"/>
    <s v="NA"/>
    <n v="81.96365524402907"/>
    <x v="0"/>
    <x v="0"/>
  </r>
  <r>
    <n v="0"/>
    <x v="0"/>
    <n v="50"/>
    <x v="1"/>
    <n v="2"/>
    <n v="2"/>
    <s v="Secondary"/>
    <x v="0"/>
    <n v="1"/>
    <n v="20"/>
    <n v="20"/>
    <x v="0"/>
    <n v="0"/>
    <x v="0"/>
    <n v="0"/>
    <n v="0"/>
    <n v="0"/>
    <n v="275"/>
    <n v="275"/>
    <x v="0"/>
    <n v="123"/>
    <n v="83"/>
    <n v="24.29"/>
    <n v="24.29"/>
    <x v="1"/>
    <n v="90"/>
    <n v="90"/>
    <n v="64"/>
    <n v="64"/>
    <x v="0"/>
    <x v="0"/>
  </r>
  <r>
    <n v="1"/>
    <x v="1"/>
    <n v="50"/>
    <x v="1"/>
    <n v="2"/>
    <n v="2"/>
    <s v="Secondary"/>
    <x v="0"/>
    <n v="0"/>
    <n v="0"/>
    <n v="0"/>
    <x v="1"/>
    <n v="0"/>
    <x v="0"/>
    <n v="0"/>
    <n v="1"/>
    <n v="0"/>
    <n v="239"/>
    <n v="239"/>
    <x v="1"/>
    <n v="148.5"/>
    <n v="100"/>
    <n v="27.83"/>
    <n v="27.83"/>
    <x v="0"/>
    <n v="80"/>
    <n v="80"/>
    <n v="90"/>
    <n v="90"/>
    <x v="0"/>
    <x v="0"/>
  </r>
  <r>
    <n v="0"/>
    <x v="0"/>
    <n v="50"/>
    <x v="1"/>
    <n v="3"/>
    <n v="3"/>
    <s v="Graduate"/>
    <x v="1"/>
    <n v="0"/>
    <n v="0"/>
    <n v="0"/>
    <x v="1"/>
    <n v="0"/>
    <x v="0"/>
    <n v="0"/>
    <n v="1"/>
    <n v="0"/>
    <n v="305"/>
    <n v="305"/>
    <x v="0"/>
    <n v="151"/>
    <n v="106.5"/>
    <n v="25.38"/>
    <n v="25.38"/>
    <x v="0"/>
    <n v="100"/>
    <n v="100"/>
    <n v="75"/>
    <n v="75"/>
    <x v="0"/>
    <x v="0"/>
  </r>
  <r>
    <n v="0"/>
    <x v="0"/>
    <n v="50"/>
    <x v="1"/>
    <n v="4"/>
    <n v="4"/>
    <s v="Post Graduate"/>
    <x v="3"/>
    <n v="1"/>
    <n v="9"/>
    <n v="9"/>
    <x v="0"/>
    <n v="0"/>
    <x v="0"/>
    <n v="0"/>
    <n v="0"/>
    <n v="0"/>
    <n v="256"/>
    <n v="256"/>
    <x v="0"/>
    <n v="136.5"/>
    <n v="81"/>
    <n v="23.07"/>
    <n v="23.07"/>
    <x v="1"/>
    <n v="75"/>
    <n v="75"/>
    <n v="78"/>
    <n v="78"/>
    <x v="0"/>
    <x v="0"/>
  </r>
  <r>
    <n v="0"/>
    <x v="0"/>
    <n v="50"/>
    <x v="1"/>
    <n v="2"/>
    <n v="2"/>
    <s v="Secondary"/>
    <x v="0"/>
    <n v="1"/>
    <n v="20"/>
    <n v="20"/>
    <x v="0"/>
    <n v="0"/>
    <x v="0"/>
    <n v="0"/>
    <n v="0"/>
    <n v="0"/>
    <n v="258"/>
    <n v="258"/>
    <x v="0"/>
    <n v="123"/>
    <n v="70"/>
    <n v="19.72"/>
    <n v="19.72"/>
    <x v="1"/>
    <n v="80"/>
    <n v="80"/>
    <n v="71"/>
    <n v="71"/>
    <x v="0"/>
    <x v="0"/>
  </r>
  <r>
    <n v="0"/>
    <x v="0"/>
    <n v="50"/>
    <x v="1"/>
    <n v="1"/>
    <n v="1"/>
    <s v="Primary"/>
    <x v="2"/>
    <n v="0"/>
    <n v="0"/>
    <n v="0"/>
    <x v="1"/>
    <n v="0"/>
    <x v="0"/>
    <n v="0"/>
    <n v="1"/>
    <n v="0"/>
    <n v="236"/>
    <n v="236"/>
    <x v="1"/>
    <n v="152"/>
    <n v="92"/>
    <n v="24.47"/>
    <n v="24.47"/>
    <x v="1"/>
    <n v="120"/>
    <n v="120"/>
    <n v="67"/>
    <n v="67"/>
    <x v="0"/>
    <x v="1"/>
  </r>
  <r>
    <n v="1"/>
    <x v="1"/>
    <n v="50"/>
    <x v="1"/>
    <n v="2"/>
    <n v="2"/>
    <s v="Secondary"/>
    <x v="0"/>
    <n v="0"/>
    <n v="0"/>
    <n v="0"/>
    <x v="1"/>
    <n v="0"/>
    <x v="0"/>
    <n v="0"/>
    <n v="0"/>
    <n v="0"/>
    <n v="258"/>
    <n v="258"/>
    <x v="0"/>
    <n v="129"/>
    <n v="84"/>
    <n v="24.56"/>
    <n v="24.56"/>
    <x v="1"/>
    <n v="80"/>
    <n v="80"/>
    <n v="75"/>
    <n v="75"/>
    <x v="0"/>
    <x v="0"/>
  </r>
  <r>
    <n v="1"/>
    <x v="1"/>
    <n v="50"/>
    <x v="1"/>
    <s v="NA"/>
    <n v="1"/>
    <s v="Primary"/>
    <x v="2"/>
    <n v="0"/>
    <n v="0"/>
    <n v="0"/>
    <x v="1"/>
    <n v="0"/>
    <x v="0"/>
    <n v="0"/>
    <n v="0"/>
    <n v="0"/>
    <n v="268"/>
    <n v="268"/>
    <x v="0"/>
    <n v="108"/>
    <n v="69"/>
    <n v="25.14"/>
    <n v="25.14"/>
    <x v="0"/>
    <n v="65"/>
    <n v="65"/>
    <n v="67"/>
    <n v="67"/>
    <x v="0"/>
    <x v="0"/>
  </r>
  <r>
    <n v="0"/>
    <x v="0"/>
    <n v="50"/>
    <x v="1"/>
    <n v="2"/>
    <n v="2"/>
    <s v="Secondary"/>
    <x v="0"/>
    <n v="0"/>
    <n v="0"/>
    <n v="0"/>
    <x v="1"/>
    <n v="0"/>
    <x v="0"/>
    <n v="0"/>
    <n v="0"/>
    <n v="0"/>
    <n v="240"/>
    <n v="240"/>
    <x v="1"/>
    <n v="107.5"/>
    <n v="70"/>
    <n v="26.76"/>
    <n v="26.76"/>
    <x v="0"/>
    <n v="67"/>
    <n v="67"/>
    <n v="102"/>
    <n v="102"/>
    <x v="0"/>
    <x v="0"/>
  </r>
  <r>
    <n v="0"/>
    <x v="0"/>
    <n v="50"/>
    <x v="1"/>
    <n v="1"/>
    <n v="1"/>
    <s v="Primary"/>
    <x v="2"/>
    <n v="0"/>
    <n v="0"/>
    <n v="0"/>
    <x v="1"/>
    <n v="0"/>
    <x v="0"/>
    <n v="0"/>
    <n v="1"/>
    <n v="0"/>
    <n v="234"/>
    <n v="234"/>
    <x v="1"/>
    <n v="143"/>
    <n v="90"/>
    <n v="29.36"/>
    <n v="29.36"/>
    <x v="0"/>
    <n v="70"/>
    <n v="70"/>
    <n v="86"/>
    <n v="86"/>
    <x v="0"/>
    <x v="1"/>
  </r>
  <r>
    <n v="0"/>
    <x v="0"/>
    <n v="50"/>
    <x v="1"/>
    <n v="2"/>
    <n v="2"/>
    <s v="Secondary"/>
    <x v="0"/>
    <n v="1"/>
    <n v="25"/>
    <n v="25"/>
    <x v="0"/>
    <n v="0"/>
    <x v="0"/>
    <n v="0"/>
    <n v="0"/>
    <n v="0"/>
    <n v="330"/>
    <n v="330"/>
    <x v="0"/>
    <n v="119"/>
    <n v="86"/>
    <n v="26.3"/>
    <n v="26.3"/>
    <x v="0"/>
    <n v="86"/>
    <n v="86"/>
    <s v="NA"/>
    <n v="81.96365524402907"/>
    <x v="0"/>
    <x v="0"/>
  </r>
  <r>
    <n v="1"/>
    <x v="1"/>
    <n v="50"/>
    <x v="1"/>
    <n v="1"/>
    <n v="1"/>
    <s v="Primary"/>
    <x v="2"/>
    <n v="1"/>
    <n v="20"/>
    <n v="20"/>
    <x v="0"/>
    <n v="0"/>
    <x v="0"/>
    <n v="0"/>
    <n v="0"/>
    <n v="0"/>
    <n v="265"/>
    <n v="265"/>
    <x v="0"/>
    <n v="110"/>
    <n v="65"/>
    <n v="24.45"/>
    <n v="24.45"/>
    <x v="1"/>
    <n v="69"/>
    <n v="69"/>
    <n v="70"/>
    <n v="70"/>
    <x v="0"/>
    <x v="0"/>
  </r>
  <r>
    <n v="0"/>
    <x v="0"/>
    <n v="50"/>
    <x v="1"/>
    <n v="3"/>
    <n v="3"/>
    <s v="Graduate"/>
    <x v="1"/>
    <n v="1"/>
    <n v="3"/>
    <n v="3"/>
    <x v="0"/>
    <n v="0"/>
    <x v="0"/>
    <n v="0"/>
    <n v="0"/>
    <n v="0"/>
    <n v="271"/>
    <n v="271"/>
    <x v="0"/>
    <n v="112.5"/>
    <n v="60"/>
    <n v="23.29"/>
    <n v="23.29"/>
    <x v="1"/>
    <n v="60"/>
    <n v="60"/>
    <n v="61"/>
    <n v="61"/>
    <x v="0"/>
    <x v="0"/>
  </r>
  <r>
    <n v="1"/>
    <x v="1"/>
    <n v="50"/>
    <x v="1"/>
    <n v="1"/>
    <n v="1"/>
    <s v="Primary"/>
    <x v="2"/>
    <n v="1"/>
    <n v="20"/>
    <n v="20"/>
    <x v="0"/>
    <n v="0"/>
    <x v="0"/>
    <n v="0"/>
    <n v="0"/>
    <n v="0"/>
    <n v="231"/>
    <n v="231"/>
    <x v="1"/>
    <n v="126"/>
    <n v="76"/>
    <n v="20.170000000000002"/>
    <n v="20.170000000000002"/>
    <x v="1"/>
    <n v="100"/>
    <n v="100"/>
    <s v="NA"/>
    <n v="81.96365524402907"/>
    <x v="0"/>
    <x v="0"/>
  </r>
  <r>
    <n v="1"/>
    <x v="1"/>
    <n v="50"/>
    <x v="1"/>
    <n v="1"/>
    <n v="1"/>
    <s v="Primary"/>
    <x v="2"/>
    <n v="1"/>
    <n v="20"/>
    <n v="20"/>
    <x v="0"/>
    <n v="0"/>
    <x v="0"/>
    <n v="0"/>
    <n v="0"/>
    <n v="0"/>
    <n v="259"/>
    <n v="259"/>
    <x v="0"/>
    <n v="108"/>
    <n v="81"/>
    <n v="22.81"/>
    <n v="22.81"/>
    <x v="1"/>
    <n v="80"/>
    <n v="80"/>
    <n v="72"/>
    <n v="72"/>
    <x v="0"/>
    <x v="0"/>
  </r>
  <r>
    <n v="0"/>
    <x v="0"/>
    <n v="50"/>
    <x v="1"/>
    <n v="1"/>
    <n v="1"/>
    <s v="Primary"/>
    <x v="2"/>
    <n v="1"/>
    <n v="3"/>
    <n v="3"/>
    <x v="0"/>
    <n v="0"/>
    <x v="0"/>
    <n v="0"/>
    <n v="1"/>
    <n v="0"/>
    <n v="238"/>
    <n v="238"/>
    <x v="1"/>
    <n v="158"/>
    <n v="74"/>
    <n v="35.68"/>
    <n v="35.68"/>
    <x v="2"/>
    <n v="69"/>
    <n v="69"/>
    <n v="98"/>
    <n v="98"/>
    <x v="0"/>
    <x v="0"/>
  </r>
  <r>
    <n v="1"/>
    <x v="1"/>
    <n v="50"/>
    <x v="1"/>
    <n v="1"/>
    <n v="1"/>
    <s v="Primary"/>
    <x v="2"/>
    <n v="0"/>
    <n v="0"/>
    <n v="0"/>
    <x v="1"/>
    <n v="0"/>
    <x v="0"/>
    <n v="0"/>
    <n v="0"/>
    <n v="0"/>
    <n v="204"/>
    <n v="204"/>
    <x v="1"/>
    <n v="122"/>
    <n v="81"/>
    <n v="32.22"/>
    <n v="32.22"/>
    <x v="2"/>
    <n v="63"/>
    <n v="63"/>
    <n v="73"/>
    <n v="73"/>
    <x v="0"/>
    <x v="0"/>
  </r>
  <r>
    <n v="1"/>
    <x v="1"/>
    <n v="50"/>
    <x v="1"/>
    <n v="2"/>
    <n v="2"/>
    <s v="Secondary"/>
    <x v="0"/>
    <n v="1"/>
    <n v="16"/>
    <n v="16"/>
    <x v="0"/>
    <n v="0"/>
    <x v="0"/>
    <n v="0"/>
    <n v="0"/>
    <n v="0"/>
    <n v="214"/>
    <n v="214"/>
    <x v="1"/>
    <n v="114"/>
    <n v="72"/>
    <n v="22.93"/>
    <n v="22.93"/>
    <x v="1"/>
    <n v="66"/>
    <n v="66"/>
    <n v="83"/>
    <n v="83"/>
    <x v="0"/>
    <x v="0"/>
  </r>
  <r>
    <n v="0"/>
    <x v="0"/>
    <n v="50"/>
    <x v="1"/>
    <n v="1"/>
    <n v="1"/>
    <s v="Primary"/>
    <x v="2"/>
    <n v="1"/>
    <n v="20"/>
    <n v="20"/>
    <x v="0"/>
    <n v="0"/>
    <x v="0"/>
    <n v="0"/>
    <n v="0"/>
    <n v="0"/>
    <n v="195"/>
    <n v="195"/>
    <x v="1"/>
    <n v="131.5"/>
    <n v="83"/>
    <n v="24.61"/>
    <n v="24.61"/>
    <x v="1"/>
    <n v="75"/>
    <n v="75"/>
    <n v="78"/>
    <n v="78"/>
    <x v="0"/>
    <x v="0"/>
  </r>
  <r>
    <n v="1"/>
    <x v="1"/>
    <n v="50"/>
    <x v="1"/>
    <s v="NA"/>
    <n v="1"/>
    <s v="Primary"/>
    <x v="2"/>
    <n v="1"/>
    <n v="2"/>
    <n v="2"/>
    <x v="0"/>
    <n v="0"/>
    <x v="0"/>
    <n v="0"/>
    <n v="0"/>
    <n v="0"/>
    <n v="238"/>
    <n v="238"/>
    <x v="1"/>
    <n v="121"/>
    <n v="85"/>
    <n v="25.31"/>
    <n v="25.31"/>
    <x v="0"/>
    <n v="88"/>
    <n v="88"/>
    <s v="NA"/>
    <n v="81.96365524402907"/>
    <x v="0"/>
    <x v="0"/>
  </r>
  <r>
    <n v="1"/>
    <x v="1"/>
    <n v="50"/>
    <x v="1"/>
    <n v="1"/>
    <n v="1"/>
    <s v="Primary"/>
    <x v="2"/>
    <n v="1"/>
    <n v="10"/>
    <n v="10"/>
    <x v="0"/>
    <n v="0"/>
    <x v="0"/>
    <n v="0"/>
    <n v="1"/>
    <n v="0"/>
    <n v="202"/>
    <n v="202"/>
    <x v="1"/>
    <n v="189"/>
    <n v="121"/>
    <n v="33.81"/>
    <n v="33.81"/>
    <x v="2"/>
    <n v="65"/>
    <n v="65"/>
    <n v="72"/>
    <n v="72"/>
    <x v="0"/>
    <x v="1"/>
  </r>
  <r>
    <n v="0"/>
    <x v="0"/>
    <n v="50"/>
    <x v="1"/>
    <n v="2"/>
    <n v="2"/>
    <s v="Secondary"/>
    <x v="0"/>
    <n v="0"/>
    <n v="0"/>
    <n v="0"/>
    <x v="1"/>
    <n v="0"/>
    <x v="0"/>
    <n v="0"/>
    <n v="0"/>
    <n v="0"/>
    <n v="270"/>
    <n v="270"/>
    <x v="0"/>
    <n v="142.5"/>
    <n v="85"/>
    <n v="21.86"/>
    <n v="21.86"/>
    <x v="1"/>
    <n v="72"/>
    <n v="72"/>
    <n v="75"/>
    <n v="75"/>
    <x v="0"/>
    <x v="0"/>
  </r>
  <r>
    <n v="0"/>
    <x v="0"/>
    <n v="50"/>
    <x v="1"/>
    <n v="1"/>
    <n v="1"/>
    <s v="Primary"/>
    <x v="2"/>
    <n v="1"/>
    <n v="15"/>
    <n v="15"/>
    <x v="0"/>
    <n v="0"/>
    <x v="0"/>
    <n v="0"/>
    <n v="1"/>
    <n v="0"/>
    <n v="204"/>
    <n v="204"/>
    <x v="1"/>
    <n v="147"/>
    <n v="100"/>
    <n v="39.94"/>
    <n v="39.94"/>
    <x v="2"/>
    <n v="85"/>
    <n v="85"/>
    <n v="90"/>
    <n v="90"/>
    <x v="0"/>
    <x v="0"/>
  </r>
  <r>
    <n v="1"/>
    <x v="1"/>
    <n v="50"/>
    <x v="1"/>
    <n v="2"/>
    <n v="2"/>
    <s v="Secondary"/>
    <x v="0"/>
    <n v="0"/>
    <n v="0"/>
    <n v="0"/>
    <x v="1"/>
    <n v="0"/>
    <x v="0"/>
    <n v="0"/>
    <n v="1"/>
    <n v="0"/>
    <n v="252"/>
    <n v="252"/>
    <x v="0"/>
    <n v="114"/>
    <n v="75"/>
    <n v="30.89"/>
    <n v="30.89"/>
    <x v="2"/>
    <n v="60"/>
    <n v="60"/>
    <n v="69"/>
    <n v="69"/>
    <x v="0"/>
    <x v="0"/>
  </r>
  <r>
    <n v="0"/>
    <x v="0"/>
    <n v="50"/>
    <x v="1"/>
    <n v="2"/>
    <n v="2"/>
    <s v="Secondary"/>
    <x v="0"/>
    <n v="0"/>
    <n v="0"/>
    <n v="0"/>
    <x v="1"/>
    <n v="0"/>
    <x v="0"/>
    <n v="0"/>
    <n v="0"/>
    <n v="0"/>
    <n v="210"/>
    <n v="210"/>
    <x v="1"/>
    <n v="105"/>
    <n v="77"/>
    <n v="23.96"/>
    <n v="23.96"/>
    <x v="1"/>
    <n v="60"/>
    <n v="60"/>
    <n v="86"/>
    <n v="86"/>
    <x v="0"/>
    <x v="0"/>
  </r>
  <r>
    <n v="0"/>
    <x v="0"/>
    <n v="50"/>
    <x v="1"/>
    <n v="4"/>
    <n v="4"/>
    <s v="Post Graduate"/>
    <x v="3"/>
    <n v="1"/>
    <n v="30"/>
    <n v="30"/>
    <x v="0"/>
    <n v="0"/>
    <x v="0"/>
    <n v="0"/>
    <n v="0"/>
    <n v="0"/>
    <n v="165"/>
    <n v="165"/>
    <x v="1"/>
    <n v="96.5"/>
    <n v="62.5"/>
    <n v="23.48"/>
    <n v="23.48"/>
    <x v="1"/>
    <n v="87"/>
    <n v="87"/>
    <n v="78"/>
    <n v="78"/>
    <x v="0"/>
    <x v="0"/>
  </r>
  <r>
    <n v="0"/>
    <x v="0"/>
    <n v="50"/>
    <x v="1"/>
    <n v="4"/>
    <n v="4"/>
    <s v="Post Graduate"/>
    <x v="3"/>
    <n v="1"/>
    <n v="15"/>
    <n v="15"/>
    <x v="0"/>
    <n v="0"/>
    <x v="0"/>
    <n v="0"/>
    <n v="0"/>
    <n v="0"/>
    <n v="261"/>
    <n v="261"/>
    <x v="0"/>
    <n v="110"/>
    <n v="76"/>
    <n v="23.31"/>
    <n v="23.31"/>
    <x v="1"/>
    <n v="75"/>
    <n v="75"/>
    <n v="85"/>
    <n v="85"/>
    <x v="0"/>
    <x v="0"/>
  </r>
  <r>
    <n v="1"/>
    <x v="1"/>
    <n v="50"/>
    <x v="1"/>
    <n v="1"/>
    <n v="1"/>
    <s v="Primary"/>
    <x v="2"/>
    <n v="1"/>
    <n v="30"/>
    <n v="30"/>
    <x v="0"/>
    <n v="0"/>
    <x v="0"/>
    <n v="0"/>
    <n v="0"/>
    <n v="0"/>
    <n v="196"/>
    <n v="196"/>
    <x v="1"/>
    <n v="131"/>
    <n v="80"/>
    <n v="20.420000000000002"/>
    <n v="20.420000000000002"/>
    <x v="1"/>
    <n v="108"/>
    <n v="108"/>
    <s v="NA"/>
    <n v="81.96365524402907"/>
    <x v="0"/>
    <x v="0"/>
  </r>
  <r>
    <n v="1"/>
    <x v="1"/>
    <n v="50"/>
    <x v="1"/>
    <n v="3"/>
    <n v="3"/>
    <s v="Graduate"/>
    <x v="1"/>
    <n v="0"/>
    <n v="0"/>
    <n v="0"/>
    <x v="1"/>
    <n v="0"/>
    <x v="0"/>
    <n v="0"/>
    <n v="1"/>
    <n v="1"/>
    <n v="232"/>
    <n v="232"/>
    <x v="1"/>
    <n v="148.5"/>
    <n v="94"/>
    <n v="25.78"/>
    <n v="25.78"/>
    <x v="0"/>
    <n v="80"/>
    <n v="80"/>
    <n v="88"/>
    <n v="88"/>
    <x v="0"/>
    <x v="1"/>
  </r>
  <r>
    <n v="0"/>
    <x v="0"/>
    <n v="50"/>
    <x v="1"/>
    <n v="1"/>
    <n v="1"/>
    <s v="Primary"/>
    <x v="2"/>
    <n v="0"/>
    <n v="0"/>
    <n v="0"/>
    <x v="1"/>
    <n v="0"/>
    <x v="0"/>
    <n v="0"/>
    <n v="0"/>
    <n v="0"/>
    <s v="NA"/>
    <n v="236.69952267303103"/>
    <x v="1"/>
    <n v="120"/>
    <n v="75.5"/>
    <n v="24.77"/>
    <n v="24.77"/>
    <x v="1"/>
    <n v="65"/>
    <n v="65"/>
    <s v="NA"/>
    <n v="81.96365524402907"/>
    <x v="0"/>
    <x v="0"/>
  </r>
  <r>
    <n v="1"/>
    <x v="1"/>
    <n v="50"/>
    <x v="1"/>
    <n v="2"/>
    <n v="2"/>
    <s v="Secondary"/>
    <x v="0"/>
    <n v="1"/>
    <n v="20"/>
    <n v="20"/>
    <x v="0"/>
    <n v="0"/>
    <x v="0"/>
    <n v="0"/>
    <n v="0"/>
    <n v="0"/>
    <n v="262"/>
    <n v="262"/>
    <x v="0"/>
    <n v="97.5"/>
    <n v="62.5"/>
    <n v="21.55"/>
    <n v="21.55"/>
    <x v="1"/>
    <n v="80"/>
    <n v="80"/>
    <n v="84"/>
    <n v="84"/>
    <x v="0"/>
    <x v="0"/>
  </r>
  <r>
    <n v="1"/>
    <x v="1"/>
    <n v="50"/>
    <x v="1"/>
    <n v="2"/>
    <n v="2"/>
    <s v="Secondary"/>
    <x v="0"/>
    <n v="1"/>
    <n v="20"/>
    <n v="20"/>
    <x v="0"/>
    <n v="0"/>
    <x v="0"/>
    <n v="0"/>
    <n v="0"/>
    <n v="0"/>
    <n v="256"/>
    <n v="256"/>
    <x v="0"/>
    <n v="130"/>
    <n v="84"/>
    <n v="28.67"/>
    <n v="28.67"/>
    <x v="0"/>
    <n v="70"/>
    <n v="70"/>
    <n v="67"/>
    <n v="67"/>
    <x v="0"/>
    <x v="0"/>
  </r>
  <r>
    <n v="1"/>
    <x v="1"/>
    <n v="50"/>
    <x v="1"/>
    <n v="1"/>
    <n v="1"/>
    <s v="Primary"/>
    <x v="2"/>
    <n v="0"/>
    <n v="0"/>
    <n v="0"/>
    <x v="1"/>
    <n v="0"/>
    <x v="0"/>
    <n v="0"/>
    <n v="0"/>
    <n v="0"/>
    <n v="282"/>
    <n v="282"/>
    <x v="0"/>
    <n v="126.5"/>
    <n v="88"/>
    <n v="27.3"/>
    <n v="27.3"/>
    <x v="0"/>
    <n v="85"/>
    <n v="85"/>
    <n v="87"/>
    <n v="87"/>
    <x v="0"/>
    <x v="0"/>
  </r>
  <r>
    <n v="1"/>
    <x v="1"/>
    <n v="50"/>
    <x v="1"/>
    <n v="1"/>
    <n v="1"/>
    <s v="Primary"/>
    <x v="2"/>
    <n v="0"/>
    <n v="0"/>
    <n v="0"/>
    <x v="1"/>
    <n v="0"/>
    <x v="0"/>
    <n v="0"/>
    <n v="0"/>
    <n v="0"/>
    <n v="260"/>
    <n v="260"/>
    <x v="0"/>
    <n v="119"/>
    <n v="74"/>
    <n v="21.85"/>
    <n v="21.85"/>
    <x v="1"/>
    <n v="80"/>
    <n v="80"/>
    <n v="72"/>
    <n v="72"/>
    <x v="0"/>
    <x v="1"/>
  </r>
  <r>
    <n v="0"/>
    <x v="0"/>
    <n v="50"/>
    <x v="1"/>
    <n v="1"/>
    <n v="1"/>
    <s v="Primary"/>
    <x v="2"/>
    <n v="0"/>
    <n v="0"/>
    <n v="0"/>
    <x v="1"/>
    <n v="0"/>
    <x v="0"/>
    <n v="0"/>
    <n v="1"/>
    <n v="1"/>
    <n v="260"/>
    <n v="260"/>
    <x v="0"/>
    <n v="190"/>
    <n v="130"/>
    <n v="43.67"/>
    <n v="43.67"/>
    <x v="2"/>
    <n v="85"/>
    <n v="85"/>
    <n v="260"/>
    <n v="260"/>
    <x v="0"/>
    <x v="0"/>
  </r>
  <r>
    <n v="1"/>
    <x v="1"/>
    <n v="50"/>
    <x v="1"/>
    <n v="1"/>
    <n v="1"/>
    <s v="Primary"/>
    <x v="2"/>
    <n v="1"/>
    <n v="1"/>
    <n v="1"/>
    <x v="0"/>
    <n v="0"/>
    <x v="0"/>
    <n v="0"/>
    <n v="1"/>
    <n v="0"/>
    <n v="313"/>
    <n v="313"/>
    <x v="0"/>
    <n v="179"/>
    <n v="92"/>
    <n v="25.97"/>
    <n v="25.97"/>
    <x v="0"/>
    <n v="66"/>
    <n v="66"/>
    <n v="86"/>
    <n v="86"/>
    <x v="0"/>
    <x v="1"/>
  </r>
  <r>
    <n v="1"/>
    <x v="1"/>
    <n v="51"/>
    <x v="1"/>
    <n v="4"/>
    <n v="4"/>
    <s v="Post Graduate"/>
    <x v="3"/>
    <n v="0"/>
    <n v="0"/>
    <n v="0"/>
    <x v="1"/>
    <n v="0"/>
    <x v="0"/>
    <n v="0"/>
    <n v="0"/>
    <n v="0"/>
    <n v="216"/>
    <n v="216"/>
    <x v="1"/>
    <n v="112"/>
    <n v="66"/>
    <n v="23.47"/>
    <n v="23.47"/>
    <x v="1"/>
    <n v="90"/>
    <n v="90"/>
    <n v="95"/>
    <n v="95"/>
    <x v="0"/>
    <x v="0"/>
  </r>
  <r>
    <n v="0"/>
    <x v="0"/>
    <n v="51"/>
    <x v="1"/>
    <n v="1"/>
    <n v="1"/>
    <s v="Primary"/>
    <x v="2"/>
    <n v="0"/>
    <n v="0"/>
    <n v="0"/>
    <x v="1"/>
    <n v="0"/>
    <x v="0"/>
    <n v="0"/>
    <n v="0"/>
    <n v="0"/>
    <n v="244"/>
    <n v="244"/>
    <x v="0"/>
    <n v="102"/>
    <n v="71.5"/>
    <n v="27.38"/>
    <n v="27.38"/>
    <x v="0"/>
    <n v="71"/>
    <n v="71"/>
    <n v="77"/>
    <n v="77"/>
    <x v="0"/>
    <x v="0"/>
  </r>
  <r>
    <n v="1"/>
    <x v="1"/>
    <n v="51"/>
    <x v="1"/>
    <n v="3"/>
    <n v="3"/>
    <s v="Graduate"/>
    <x v="1"/>
    <n v="0"/>
    <n v="0"/>
    <n v="0"/>
    <x v="1"/>
    <n v="0"/>
    <x v="0"/>
    <n v="0"/>
    <n v="1"/>
    <n v="0"/>
    <n v="214"/>
    <n v="214"/>
    <x v="1"/>
    <n v="145"/>
    <n v="92.5"/>
    <n v="26.09"/>
    <n v="26.09"/>
    <x v="0"/>
    <n v="70"/>
    <n v="70"/>
    <s v="NA"/>
    <n v="81.96365524402907"/>
    <x v="0"/>
    <x v="0"/>
  </r>
  <r>
    <n v="1"/>
    <x v="1"/>
    <n v="51"/>
    <x v="1"/>
    <n v="4"/>
    <n v="4"/>
    <s v="Post Graduate"/>
    <x v="3"/>
    <n v="1"/>
    <n v="15"/>
    <n v="15"/>
    <x v="0"/>
    <n v="0"/>
    <x v="0"/>
    <n v="0"/>
    <n v="0"/>
    <n v="0"/>
    <n v="238"/>
    <n v="238"/>
    <x v="1"/>
    <n v="125"/>
    <n v="80"/>
    <n v="19.36"/>
    <n v="19.36"/>
    <x v="1"/>
    <n v="60"/>
    <n v="60"/>
    <n v="66"/>
    <n v="66"/>
    <x v="0"/>
    <x v="0"/>
  </r>
  <r>
    <n v="0"/>
    <x v="0"/>
    <n v="51"/>
    <x v="1"/>
    <n v="2"/>
    <n v="2"/>
    <s v="Secondary"/>
    <x v="0"/>
    <n v="0"/>
    <n v="0"/>
    <n v="0"/>
    <x v="1"/>
    <n v="0"/>
    <x v="0"/>
    <n v="0"/>
    <n v="0"/>
    <n v="0"/>
    <n v="284"/>
    <n v="284"/>
    <x v="0"/>
    <n v="132"/>
    <n v="78"/>
    <n v="21.94"/>
    <n v="21.94"/>
    <x v="1"/>
    <n v="68"/>
    <n v="68"/>
    <n v="94"/>
    <n v="94"/>
    <x v="0"/>
    <x v="1"/>
  </r>
  <r>
    <n v="1"/>
    <x v="1"/>
    <n v="51"/>
    <x v="1"/>
    <n v="3"/>
    <n v="3"/>
    <s v="Graduate"/>
    <x v="1"/>
    <n v="0"/>
    <n v="0"/>
    <n v="0"/>
    <x v="1"/>
    <n v="0"/>
    <x v="0"/>
    <n v="0"/>
    <n v="0"/>
    <n v="0"/>
    <n v="245"/>
    <n v="245"/>
    <x v="0"/>
    <n v="124"/>
    <n v="69"/>
    <n v="21.52"/>
    <n v="21.52"/>
    <x v="1"/>
    <n v="85"/>
    <n v="85"/>
    <s v="NA"/>
    <n v="81.96365524402907"/>
    <x v="0"/>
    <x v="0"/>
  </r>
  <r>
    <n v="0"/>
    <x v="0"/>
    <n v="51"/>
    <x v="1"/>
    <n v="3"/>
    <n v="3"/>
    <s v="Graduate"/>
    <x v="1"/>
    <n v="1"/>
    <n v="4"/>
    <n v="4"/>
    <x v="0"/>
    <n v="0"/>
    <x v="0"/>
    <n v="0"/>
    <n v="0"/>
    <n v="0"/>
    <n v="220"/>
    <n v="220"/>
    <x v="1"/>
    <n v="112"/>
    <n v="74"/>
    <n v="31.23"/>
    <n v="31.23"/>
    <x v="2"/>
    <n v="88"/>
    <n v="88"/>
    <n v="66"/>
    <n v="66"/>
    <x v="0"/>
    <x v="0"/>
  </r>
  <r>
    <n v="1"/>
    <x v="1"/>
    <n v="51"/>
    <x v="1"/>
    <n v="1"/>
    <n v="1"/>
    <s v="Primary"/>
    <x v="2"/>
    <n v="1"/>
    <n v="30"/>
    <n v="30"/>
    <x v="0"/>
    <n v="0"/>
    <x v="0"/>
    <n v="0"/>
    <n v="0"/>
    <n v="0"/>
    <n v="241"/>
    <n v="241"/>
    <x v="0"/>
    <n v="126.5"/>
    <n v="78.5"/>
    <n v="29.91"/>
    <n v="29.91"/>
    <x v="0"/>
    <n v="85"/>
    <n v="85"/>
    <n v="70"/>
    <n v="70"/>
    <x v="0"/>
    <x v="1"/>
  </r>
  <r>
    <n v="1"/>
    <x v="1"/>
    <n v="51"/>
    <x v="1"/>
    <n v="1"/>
    <n v="1"/>
    <s v="Primary"/>
    <x v="2"/>
    <n v="1"/>
    <n v="30"/>
    <n v="30"/>
    <x v="0"/>
    <n v="0"/>
    <x v="0"/>
    <n v="0"/>
    <n v="1"/>
    <n v="0"/>
    <n v="230"/>
    <n v="230"/>
    <x v="1"/>
    <n v="171"/>
    <n v="112"/>
    <n v="25.08"/>
    <n v="25.08"/>
    <x v="0"/>
    <n v="95"/>
    <n v="95"/>
    <n v="88"/>
    <n v="88"/>
    <x v="0"/>
    <x v="1"/>
  </r>
  <r>
    <n v="1"/>
    <x v="1"/>
    <n v="51"/>
    <x v="1"/>
    <n v="1"/>
    <n v="1"/>
    <s v="Primary"/>
    <x v="2"/>
    <n v="1"/>
    <n v="20"/>
    <n v="20"/>
    <x v="0"/>
    <n v="0"/>
    <x v="0"/>
    <n v="0"/>
    <n v="0"/>
    <n v="0"/>
    <n v="240"/>
    <n v="240"/>
    <x v="1"/>
    <n v="146.5"/>
    <n v="83"/>
    <n v="25.62"/>
    <n v="25.62"/>
    <x v="0"/>
    <n v="83"/>
    <n v="83"/>
    <n v="140"/>
    <n v="140"/>
    <x v="0"/>
    <x v="0"/>
  </r>
  <r>
    <n v="1"/>
    <x v="1"/>
    <n v="51"/>
    <x v="1"/>
    <n v="1"/>
    <n v="1"/>
    <s v="Primary"/>
    <x v="2"/>
    <n v="1"/>
    <n v="20"/>
    <n v="20"/>
    <x v="0"/>
    <n v="0"/>
    <x v="0"/>
    <n v="0"/>
    <n v="0"/>
    <n v="0"/>
    <n v="300"/>
    <n v="300"/>
    <x v="0"/>
    <n v="134"/>
    <n v="86.5"/>
    <n v="24.76"/>
    <n v="24.76"/>
    <x v="1"/>
    <n v="90"/>
    <n v="90"/>
    <n v="81"/>
    <n v="81"/>
    <x v="0"/>
    <x v="0"/>
  </r>
  <r>
    <n v="0"/>
    <x v="0"/>
    <n v="51"/>
    <x v="1"/>
    <n v="3"/>
    <n v="3"/>
    <s v="Graduate"/>
    <x v="1"/>
    <n v="1"/>
    <n v="10"/>
    <n v="10"/>
    <x v="0"/>
    <n v="0"/>
    <x v="0"/>
    <n v="0"/>
    <n v="0"/>
    <n v="0"/>
    <n v="234"/>
    <n v="234"/>
    <x v="1"/>
    <n v="98"/>
    <n v="68"/>
    <n v="18.8"/>
    <n v="18.8"/>
    <x v="1"/>
    <n v="79"/>
    <n v="79"/>
    <s v="NA"/>
    <n v="81.96365524402907"/>
    <x v="0"/>
    <x v="1"/>
  </r>
  <r>
    <n v="0"/>
    <x v="0"/>
    <n v="51"/>
    <x v="1"/>
    <n v="4"/>
    <n v="4"/>
    <s v="Post Graduate"/>
    <x v="3"/>
    <n v="1"/>
    <n v="9"/>
    <n v="9"/>
    <x v="0"/>
    <n v="0"/>
    <x v="0"/>
    <n v="0"/>
    <n v="1"/>
    <n v="0"/>
    <n v="320"/>
    <n v="320"/>
    <x v="0"/>
    <n v="145"/>
    <n v="85"/>
    <n v="24.03"/>
    <n v="24.03"/>
    <x v="1"/>
    <n v="75"/>
    <n v="75"/>
    <n v="98"/>
    <n v="98"/>
    <x v="0"/>
    <x v="0"/>
  </r>
  <r>
    <n v="0"/>
    <x v="0"/>
    <n v="51"/>
    <x v="1"/>
    <n v="2"/>
    <n v="2"/>
    <s v="Secondary"/>
    <x v="0"/>
    <n v="0"/>
    <n v="0"/>
    <n v="0"/>
    <x v="1"/>
    <n v="0"/>
    <x v="0"/>
    <n v="0"/>
    <n v="0"/>
    <n v="0"/>
    <n v="220"/>
    <n v="220"/>
    <x v="1"/>
    <n v="98"/>
    <n v="64.5"/>
    <n v="21.14"/>
    <n v="21.14"/>
    <x v="1"/>
    <n v="80"/>
    <n v="80"/>
    <n v="79"/>
    <n v="79"/>
    <x v="0"/>
    <x v="0"/>
  </r>
  <r>
    <n v="1"/>
    <x v="1"/>
    <n v="51"/>
    <x v="1"/>
    <n v="2"/>
    <n v="2"/>
    <s v="Secondary"/>
    <x v="0"/>
    <n v="1"/>
    <n v="13"/>
    <n v="13"/>
    <x v="0"/>
    <n v="0"/>
    <x v="0"/>
    <n v="0"/>
    <n v="0"/>
    <n v="0"/>
    <n v="245"/>
    <n v="245"/>
    <x v="0"/>
    <n v="137"/>
    <n v="76"/>
    <n v="22.26"/>
    <n v="22.26"/>
    <x v="1"/>
    <n v="83"/>
    <n v="83"/>
    <n v="73"/>
    <n v="73"/>
    <x v="0"/>
    <x v="0"/>
  </r>
  <r>
    <n v="0"/>
    <x v="0"/>
    <n v="51"/>
    <x v="1"/>
    <n v="3"/>
    <n v="3"/>
    <s v="Graduate"/>
    <x v="1"/>
    <n v="1"/>
    <n v="5"/>
    <n v="5"/>
    <x v="0"/>
    <n v="0"/>
    <x v="0"/>
    <n v="0"/>
    <n v="0"/>
    <n v="0"/>
    <n v="248"/>
    <n v="248"/>
    <x v="0"/>
    <n v="139"/>
    <n v="81"/>
    <n v="31.16"/>
    <n v="31.16"/>
    <x v="2"/>
    <n v="68"/>
    <n v="68"/>
    <n v="95"/>
    <n v="95"/>
    <x v="0"/>
    <x v="0"/>
  </r>
  <r>
    <n v="0"/>
    <x v="0"/>
    <n v="51"/>
    <x v="1"/>
    <n v="1"/>
    <n v="1"/>
    <s v="Primary"/>
    <x v="2"/>
    <n v="0"/>
    <n v="0"/>
    <n v="0"/>
    <x v="1"/>
    <n v="0"/>
    <x v="0"/>
    <n v="0"/>
    <n v="1"/>
    <n v="0"/>
    <n v="287"/>
    <n v="287"/>
    <x v="0"/>
    <n v="139"/>
    <n v="92"/>
    <n v="37.479999999999997"/>
    <n v="37.479999999999997"/>
    <x v="2"/>
    <n v="75"/>
    <n v="75"/>
    <n v="74"/>
    <n v="74"/>
    <x v="0"/>
    <x v="1"/>
  </r>
  <r>
    <n v="0"/>
    <x v="0"/>
    <n v="51"/>
    <x v="1"/>
    <n v="2"/>
    <n v="2"/>
    <s v="Secondary"/>
    <x v="0"/>
    <n v="1"/>
    <n v="18"/>
    <n v="18"/>
    <x v="0"/>
    <n v="0"/>
    <x v="0"/>
    <n v="0"/>
    <n v="1"/>
    <n v="0"/>
    <n v="176"/>
    <n v="176"/>
    <x v="1"/>
    <n v="146"/>
    <n v="94"/>
    <n v="27.42"/>
    <n v="27.42"/>
    <x v="0"/>
    <n v="80"/>
    <n v="80"/>
    <n v="85"/>
    <n v="85"/>
    <x v="0"/>
    <x v="0"/>
  </r>
  <r>
    <n v="0"/>
    <x v="0"/>
    <n v="51"/>
    <x v="1"/>
    <n v="3"/>
    <n v="3"/>
    <s v="Graduate"/>
    <x v="1"/>
    <n v="1"/>
    <n v="3"/>
    <n v="3"/>
    <x v="0"/>
    <n v="0"/>
    <x v="0"/>
    <n v="0"/>
    <n v="1"/>
    <n v="0"/>
    <n v="398"/>
    <n v="398"/>
    <x v="0"/>
    <n v="161"/>
    <n v="96"/>
    <n v="23.63"/>
    <n v="23.63"/>
    <x v="1"/>
    <n v="77"/>
    <n v="77"/>
    <n v="83"/>
    <n v="83"/>
    <x v="0"/>
    <x v="0"/>
  </r>
  <r>
    <n v="0"/>
    <x v="0"/>
    <n v="51"/>
    <x v="1"/>
    <n v="1"/>
    <n v="1"/>
    <s v="Primary"/>
    <x v="2"/>
    <n v="1"/>
    <n v="20"/>
    <n v="20"/>
    <x v="0"/>
    <n v="0"/>
    <x v="0"/>
    <n v="0"/>
    <n v="0"/>
    <n v="0"/>
    <n v="264"/>
    <n v="264"/>
    <x v="0"/>
    <n v="139.5"/>
    <n v="89"/>
    <n v="29.38"/>
    <n v="29.38"/>
    <x v="0"/>
    <n v="70"/>
    <n v="70"/>
    <n v="76"/>
    <n v="76"/>
    <x v="0"/>
    <x v="1"/>
  </r>
  <r>
    <n v="1"/>
    <x v="1"/>
    <n v="51"/>
    <x v="1"/>
    <n v="1"/>
    <n v="1"/>
    <s v="Primary"/>
    <x v="2"/>
    <n v="0"/>
    <n v="0"/>
    <n v="0"/>
    <x v="1"/>
    <n v="0"/>
    <x v="0"/>
    <n v="0"/>
    <n v="0"/>
    <n v="0"/>
    <n v="250"/>
    <n v="250"/>
    <x v="0"/>
    <n v="125"/>
    <n v="80"/>
    <n v="26.98"/>
    <n v="26.98"/>
    <x v="0"/>
    <n v="67"/>
    <n v="67"/>
    <n v="108"/>
    <n v="108"/>
    <x v="0"/>
    <x v="0"/>
  </r>
  <r>
    <n v="1"/>
    <x v="1"/>
    <n v="51"/>
    <x v="1"/>
    <n v="1"/>
    <n v="1"/>
    <s v="Primary"/>
    <x v="2"/>
    <n v="1"/>
    <n v="20"/>
    <n v="20"/>
    <x v="0"/>
    <n v="0"/>
    <x v="0"/>
    <n v="0"/>
    <n v="0"/>
    <n v="0"/>
    <n v="243"/>
    <n v="243"/>
    <x v="0"/>
    <n v="130"/>
    <n v="86.5"/>
    <n v="29.86"/>
    <n v="29.86"/>
    <x v="0"/>
    <n v="85"/>
    <n v="85"/>
    <n v="74"/>
    <n v="74"/>
    <x v="0"/>
    <x v="1"/>
  </r>
  <r>
    <n v="0"/>
    <x v="0"/>
    <n v="51"/>
    <x v="1"/>
    <n v="1"/>
    <n v="1"/>
    <s v="Primary"/>
    <x v="2"/>
    <n v="0"/>
    <n v="0"/>
    <n v="0"/>
    <x v="1"/>
    <n v="0"/>
    <x v="0"/>
    <n v="0"/>
    <n v="0"/>
    <n v="0"/>
    <n v="197"/>
    <n v="197"/>
    <x v="1"/>
    <n v="126"/>
    <n v="86"/>
    <n v="24.16"/>
    <n v="24.16"/>
    <x v="1"/>
    <n v="75"/>
    <n v="75"/>
    <s v="NA"/>
    <n v="81.96365524402907"/>
    <x v="0"/>
    <x v="0"/>
  </r>
  <r>
    <n v="0"/>
    <x v="0"/>
    <n v="51"/>
    <x v="1"/>
    <n v="1"/>
    <n v="1"/>
    <s v="Primary"/>
    <x v="2"/>
    <n v="0"/>
    <n v="0"/>
    <n v="0"/>
    <x v="1"/>
    <n v="0"/>
    <x v="0"/>
    <n v="0"/>
    <n v="1"/>
    <n v="0"/>
    <n v="160"/>
    <n v="160"/>
    <x v="1"/>
    <n v="140.5"/>
    <n v="84"/>
    <n v="26.28"/>
    <n v="26.28"/>
    <x v="0"/>
    <n v="76"/>
    <n v="76"/>
    <n v="122"/>
    <n v="122"/>
    <x v="0"/>
    <x v="0"/>
  </r>
  <r>
    <n v="0"/>
    <x v="0"/>
    <n v="51"/>
    <x v="1"/>
    <n v="2"/>
    <n v="2"/>
    <s v="Secondary"/>
    <x v="0"/>
    <n v="0"/>
    <n v="0"/>
    <n v="0"/>
    <x v="1"/>
    <n v="1"/>
    <x v="1"/>
    <n v="0"/>
    <n v="1"/>
    <n v="0"/>
    <n v="283"/>
    <n v="283"/>
    <x v="0"/>
    <n v="152"/>
    <n v="99"/>
    <n v="31.63"/>
    <n v="31.63"/>
    <x v="2"/>
    <n v="62"/>
    <n v="62"/>
    <n v="73"/>
    <n v="73"/>
    <x v="0"/>
    <x v="0"/>
  </r>
  <r>
    <n v="0"/>
    <x v="0"/>
    <n v="51"/>
    <x v="1"/>
    <n v="1"/>
    <n v="1"/>
    <s v="Primary"/>
    <x v="2"/>
    <n v="0"/>
    <n v="0"/>
    <n v="0"/>
    <x v="1"/>
    <n v="0"/>
    <x v="0"/>
    <n v="0"/>
    <n v="1"/>
    <n v="0"/>
    <n v="225"/>
    <n v="225"/>
    <x v="1"/>
    <n v="155"/>
    <n v="92.5"/>
    <n v="23.84"/>
    <n v="23.84"/>
    <x v="1"/>
    <n v="72"/>
    <n v="72"/>
    <n v="63"/>
    <n v="63"/>
    <x v="0"/>
    <x v="0"/>
  </r>
  <r>
    <n v="1"/>
    <x v="1"/>
    <n v="51"/>
    <x v="1"/>
    <n v="1"/>
    <n v="1"/>
    <s v="Primary"/>
    <x v="2"/>
    <n v="1"/>
    <n v="20"/>
    <n v="20"/>
    <x v="0"/>
    <n v="0"/>
    <x v="0"/>
    <n v="0"/>
    <n v="1"/>
    <n v="0"/>
    <n v="239"/>
    <n v="239"/>
    <x v="1"/>
    <n v="168"/>
    <n v="102"/>
    <n v="30.38"/>
    <n v="30.38"/>
    <x v="2"/>
    <n v="82"/>
    <n v="82"/>
    <n v="68"/>
    <n v="68"/>
    <x v="0"/>
    <x v="1"/>
  </r>
  <r>
    <n v="0"/>
    <x v="0"/>
    <n v="51"/>
    <x v="1"/>
    <n v="3"/>
    <n v="3"/>
    <s v="Graduate"/>
    <x v="1"/>
    <n v="0"/>
    <n v="0"/>
    <n v="0"/>
    <x v="1"/>
    <n v="0"/>
    <x v="0"/>
    <n v="0"/>
    <n v="0"/>
    <n v="0"/>
    <n v="257"/>
    <n v="257"/>
    <x v="0"/>
    <n v="128"/>
    <n v="77"/>
    <n v="24.94"/>
    <n v="24.94"/>
    <x v="1"/>
    <n v="68"/>
    <n v="68"/>
    <n v="88"/>
    <n v="88"/>
    <x v="0"/>
    <x v="0"/>
  </r>
  <r>
    <n v="0"/>
    <x v="0"/>
    <n v="51"/>
    <x v="1"/>
    <n v="2"/>
    <n v="2"/>
    <s v="Secondary"/>
    <x v="0"/>
    <n v="1"/>
    <n v="30"/>
    <n v="30"/>
    <x v="0"/>
    <n v="0"/>
    <x v="0"/>
    <n v="0"/>
    <n v="1"/>
    <n v="0"/>
    <n v="295"/>
    <n v="295"/>
    <x v="0"/>
    <n v="176"/>
    <n v="99"/>
    <n v="26.27"/>
    <n v="26.27"/>
    <x v="0"/>
    <n v="82"/>
    <n v="82"/>
    <s v="NA"/>
    <n v="81.96365524402907"/>
    <x v="0"/>
    <x v="0"/>
  </r>
  <r>
    <n v="0"/>
    <x v="0"/>
    <n v="51"/>
    <x v="1"/>
    <n v="1"/>
    <n v="1"/>
    <s v="Primary"/>
    <x v="2"/>
    <n v="1"/>
    <n v="30"/>
    <n v="30"/>
    <x v="0"/>
    <n v="0"/>
    <x v="0"/>
    <n v="0"/>
    <n v="0"/>
    <n v="0"/>
    <n v="272"/>
    <n v="272"/>
    <x v="0"/>
    <n v="133"/>
    <n v="91"/>
    <n v="28.5"/>
    <n v="28.5"/>
    <x v="0"/>
    <n v="72"/>
    <n v="72"/>
    <s v="NA"/>
    <n v="81.96365524402907"/>
    <x v="0"/>
    <x v="0"/>
  </r>
  <r>
    <n v="0"/>
    <x v="0"/>
    <n v="51"/>
    <x v="1"/>
    <n v="2"/>
    <n v="2"/>
    <s v="Secondary"/>
    <x v="0"/>
    <n v="1"/>
    <n v="1"/>
    <n v="1"/>
    <x v="0"/>
    <n v="0"/>
    <x v="0"/>
    <n v="0"/>
    <n v="0"/>
    <n v="0"/>
    <n v="220"/>
    <n v="220"/>
    <x v="1"/>
    <n v="142"/>
    <n v="82.5"/>
    <n v="21.02"/>
    <n v="21.02"/>
    <x v="1"/>
    <n v="56"/>
    <n v="56"/>
    <n v="78"/>
    <n v="78"/>
    <x v="0"/>
    <x v="0"/>
  </r>
  <r>
    <n v="1"/>
    <x v="1"/>
    <n v="51"/>
    <x v="1"/>
    <n v="1"/>
    <n v="1"/>
    <s v="Primary"/>
    <x v="2"/>
    <n v="1"/>
    <n v="20"/>
    <n v="20"/>
    <x v="0"/>
    <n v="0"/>
    <x v="0"/>
    <n v="0"/>
    <n v="0"/>
    <n v="0"/>
    <n v="219"/>
    <n v="219"/>
    <x v="1"/>
    <n v="125"/>
    <n v="71"/>
    <n v="21.19"/>
    <n v="21.19"/>
    <x v="1"/>
    <n v="77"/>
    <n v="77"/>
    <n v="75"/>
    <n v="75"/>
    <x v="0"/>
    <x v="1"/>
  </r>
  <r>
    <n v="0"/>
    <x v="0"/>
    <n v="51"/>
    <x v="1"/>
    <n v="2"/>
    <n v="2"/>
    <s v="Secondary"/>
    <x v="0"/>
    <n v="0"/>
    <n v="0"/>
    <n v="0"/>
    <x v="1"/>
    <n v="0"/>
    <x v="0"/>
    <n v="0"/>
    <n v="1"/>
    <n v="0"/>
    <n v="206"/>
    <n v="206"/>
    <x v="1"/>
    <n v="146"/>
    <n v="77"/>
    <n v="23.58"/>
    <n v="23.58"/>
    <x v="1"/>
    <n v="87"/>
    <n v="87"/>
    <n v="90"/>
    <n v="90"/>
    <x v="0"/>
    <x v="0"/>
  </r>
  <r>
    <n v="0"/>
    <x v="0"/>
    <n v="51"/>
    <x v="1"/>
    <n v="3"/>
    <n v="3"/>
    <s v="Graduate"/>
    <x v="1"/>
    <n v="0"/>
    <n v="0"/>
    <n v="0"/>
    <x v="1"/>
    <n v="0"/>
    <x v="0"/>
    <n v="0"/>
    <n v="1"/>
    <n v="0"/>
    <n v="214"/>
    <n v="214"/>
    <x v="1"/>
    <n v="153.5"/>
    <n v="103.5"/>
    <n v="23.45"/>
    <n v="23.45"/>
    <x v="1"/>
    <n v="70"/>
    <n v="70"/>
    <n v="71"/>
    <n v="71"/>
    <x v="0"/>
    <x v="0"/>
  </r>
  <r>
    <n v="1"/>
    <x v="1"/>
    <n v="51"/>
    <x v="1"/>
    <n v="1"/>
    <n v="1"/>
    <s v="Primary"/>
    <x v="2"/>
    <n v="1"/>
    <n v="20"/>
    <n v="20"/>
    <x v="0"/>
    <n v="0"/>
    <x v="0"/>
    <n v="0"/>
    <n v="1"/>
    <n v="0"/>
    <n v="246"/>
    <n v="246"/>
    <x v="0"/>
    <n v="128"/>
    <n v="69"/>
    <n v="27.57"/>
    <n v="27.57"/>
    <x v="0"/>
    <n v="80"/>
    <n v="80"/>
    <n v="72"/>
    <n v="72"/>
    <x v="0"/>
    <x v="1"/>
  </r>
  <r>
    <n v="0"/>
    <x v="0"/>
    <n v="51"/>
    <x v="1"/>
    <n v="2"/>
    <n v="2"/>
    <s v="Secondary"/>
    <x v="0"/>
    <n v="0"/>
    <n v="0"/>
    <n v="0"/>
    <x v="1"/>
    <n v="0"/>
    <x v="0"/>
    <n v="0"/>
    <n v="0"/>
    <n v="0"/>
    <n v="234"/>
    <n v="234"/>
    <x v="1"/>
    <n v="114"/>
    <n v="85"/>
    <n v="28.68"/>
    <n v="28.68"/>
    <x v="0"/>
    <n v="72"/>
    <n v="72"/>
    <n v="84"/>
    <n v="84"/>
    <x v="0"/>
    <x v="0"/>
  </r>
  <r>
    <n v="0"/>
    <x v="0"/>
    <n v="51"/>
    <x v="1"/>
    <n v="2"/>
    <n v="2"/>
    <s v="Secondary"/>
    <x v="0"/>
    <n v="0"/>
    <n v="0"/>
    <n v="0"/>
    <x v="1"/>
    <n v="1"/>
    <x v="1"/>
    <n v="0"/>
    <n v="1"/>
    <n v="0"/>
    <n v="358"/>
    <n v="358"/>
    <x v="0"/>
    <n v="134"/>
    <n v="87"/>
    <n v="29.36"/>
    <n v="29.36"/>
    <x v="0"/>
    <n v="75"/>
    <n v="75"/>
    <n v="87"/>
    <n v="87"/>
    <x v="0"/>
    <x v="1"/>
  </r>
  <r>
    <n v="1"/>
    <x v="1"/>
    <n v="51"/>
    <x v="1"/>
    <n v="4"/>
    <n v="4"/>
    <s v="Post Graduate"/>
    <x v="3"/>
    <n v="1"/>
    <n v="10"/>
    <n v="10"/>
    <x v="0"/>
    <n v="0"/>
    <x v="0"/>
    <n v="0"/>
    <n v="0"/>
    <n v="0"/>
    <n v="185"/>
    <n v="185"/>
    <x v="1"/>
    <n v="125"/>
    <n v="85"/>
    <n v="29.43"/>
    <n v="29.43"/>
    <x v="0"/>
    <n v="56"/>
    <n v="56"/>
    <n v="72"/>
    <n v="72"/>
    <x v="0"/>
    <x v="1"/>
  </r>
  <r>
    <n v="0"/>
    <x v="0"/>
    <n v="51"/>
    <x v="1"/>
    <n v="1"/>
    <n v="1"/>
    <s v="Primary"/>
    <x v="2"/>
    <n v="1"/>
    <n v="15"/>
    <n v="15"/>
    <x v="0"/>
    <n v="0"/>
    <x v="0"/>
    <n v="0"/>
    <n v="0"/>
    <n v="0"/>
    <n v="345"/>
    <n v="345"/>
    <x v="0"/>
    <n v="142"/>
    <n v="88"/>
    <n v="19.05"/>
    <n v="19.05"/>
    <x v="1"/>
    <n v="80"/>
    <n v="80"/>
    <n v="73"/>
    <n v="73"/>
    <x v="0"/>
    <x v="0"/>
  </r>
  <r>
    <n v="1"/>
    <x v="1"/>
    <n v="51"/>
    <x v="1"/>
    <n v="3"/>
    <n v="3"/>
    <s v="Graduate"/>
    <x v="1"/>
    <n v="1"/>
    <n v="20"/>
    <n v="20"/>
    <x v="0"/>
    <n v="0"/>
    <x v="0"/>
    <n v="0"/>
    <n v="1"/>
    <n v="0"/>
    <n v="260"/>
    <n v="260"/>
    <x v="0"/>
    <n v="123"/>
    <n v="72"/>
    <n v="26.83"/>
    <n v="26.83"/>
    <x v="0"/>
    <n v="65"/>
    <n v="65"/>
    <n v="65"/>
    <n v="65"/>
    <x v="0"/>
    <x v="1"/>
  </r>
  <r>
    <n v="0"/>
    <x v="0"/>
    <n v="51"/>
    <x v="1"/>
    <n v="2"/>
    <n v="2"/>
    <s v="Secondary"/>
    <x v="0"/>
    <n v="0"/>
    <n v="0"/>
    <n v="0"/>
    <x v="1"/>
    <n v="0"/>
    <x v="0"/>
    <n v="0"/>
    <n v="0"/>
    <n v="0"/>
    <n v="239"/>
    <n v="239"/>
    <x v="1"/>
    <n v="127.5"/>
    <n v="77.5"/>
    <n v="26.65"/>
    <n v="26.65"/>
    <x v="0"/>
    <n v="70"/>
    <n v="70"/>
    <n v="79"/>
    <n v="79"/>
    <x v="0"/>
    <x v="0"/>
  </r>
  <r>
    <n v="0"/>
    <x v="0"/>
    <n v="51"/>
    <x v="1"/>
    <n v="3"/>
    <n v="3"/>
    <s v="Graduate"/>
    <x v="1"/>
    <n v="0"/>
    <n v="0"/>
    <n v="0"/>
    <x v="1"/>
    <n v="0"/>
    <x v="0"/>
    <n v="0"/>
    <n v="0"/>
    <n v="0"/>
    <n v="214"/>
    <n v="214"/>
    <x v="1"/>
    <n v="139"/>
    <n v="93"/>
    <n v="29.8"/>
    <n v="29.8"/>
    <x v="0"/>
    <n v="67"/>
    <n v="67"/>
    <n v="82"/>
    <n v="82"/>
    <x v="0"/>
    <x v="0"/>
  </r>
  <r>
    <n v="1"/>
    <x v="1"/>
    <n v="51"/>
    <x v="1"/>
    <n v="1"/>
    <n v="1"/>
    <s v="Primary"/>
    <x v="2"/>
    <n v="1"/>
    <n v="50"/>
    <n v="50"/>
    <x v="0"/>
    <n v="0"/>
    <x v="0"/>
    <n v="0"/>
    <n v="0"/>
    <n v="0"/>
    <n v="335"/>
    <n v="335"/>
    <x v="0"/>
    <n v="125.5"/>
    <n v="94"/>
    <n v="27.77"/>
    <n v="27.77"/>
    <x v="0"/>
    <n v="80"/>
    <n v="80"/>
    <n v="67"/>
    <n v="67"/>
    <x v="0"/>
    <x v="0"/>
  </r>
  <r>
    <n v="0"/>
    <x v="0"/>
    <n v="51"/>
    <x v="1"/>
    <n v="3"/>
    <n v="3"/>
    <s v="Graduate"/>
    <x v="1"/>
    <n v="0"/>
    <n v="0"/>
    <n v="0"/>
    <x v="1"/>
    <n v="0"/>
    <x v="0"/>
    <n v="0"/>
    <n v="0"/>
    <n v="0"/>
    <n v="260"/>
    <n v="260"/>
    <x v="0"/>
    <n v="107.5"/>
    <n v="70"/>
    <n v="23.53"/>
    <n v="23.53"/>
    <x v="1"/>
    <n v="80"/>
    <n v="80"/>
    <n v="67"/>
    <n v="67"/>
    <x v="0"/>
    <x v="0"/>
  </r>
  <r>
    <n v="0"/>
    <x v="0"/>
    <n v="51"/>
    <x v="1"/>
    <n v="2"/>
    <n v="2"/>
    <s v="Secondary"/>
    <x v="0"/>
    <n v="0"/>
    <n v="0"/>
    <n v="0"/>
    <x v="1"/>
    <n v="0"/>
    <x v="0"/>
    <n v="0"/>
    <n v="1"/>
    <n v="0"/>
    <n v="320"/>
    <n v="320"/>
    <x v="0"/>
    <n v="142.5"/>
    <n v="93.5"/>
    <n v="33.659999999999997"/>
    <n v="33.659999999999997"/>
    <x v="2"/>
    <n v="65"/>
    <n v="65"/>
    <n v="80"/>
    <n v="80"/>
    <x v="0"/>
    <x v="0"/>
  </r>
  <r>
    <n v="1"/>
    <x v="1"/>
    <n v="51"/>
    <x v="1"/>
    <n v="4"/>
    <n v="4"/>
    <s v="Post Graduate"/>
    <x v="3"/>
    <n v="1"/>
    <n v="10"/>
    <n v="10"/>
    <x v="0"/>
    <n v="0"/>
    <x v="0"/>
    <n v="0"/>
    <n v="1"/>
    <n v="0"/>
    <n v="269"/>
    <n v="269"/>
    <x v="0"/>
    <n v="134"/>
    <n v="92"/>
    <n v="30.39"/>
    <n v="30.39"/>
    <x v="2"/>
    <n v="85"/>
    <n v="85"/>
    <n v="81"/>
    <n v="81"/>
    <x v="0"/>
    <x v="0"/>
  </r>
  <r>
    <n v="0"/>
    <x v="0"/>
    <n v="51"/>
    <x v="1"/>
    <n v="3"/>
    <n v="3"/>
    <s v="Graduate"/>
    <x v="1"/>
    <n v="1"/>
    <n v="15"/>
    <n v="15"/>
    <x v="0"/>
    <n v="0"/>
    <x v="0"/>
    <n v="0"/>
    <n v="0"/>
    <n v="0"/>
    <n v="326"/>
    <n v="326"/>
    <x v="0"/>
    <n v="101"/>
    <n v="67"/>
    <n v="22.73"/>
    <n v="22.73"/>
    <x v="1"/>
    <n v="69"/>
    <n v="69"/>
    <n v="87"/>
    <n v="87"/>
    <x v="0"/>
    <x v="0"/>
  </r>
  <r>
    <n v="0"/>
    <x v="0"/>
    <n v="51"/>
    <x v="1"/>
    <n v="1"/>
    <n v="1"/>
    <s v="Primary"/>
    <x v="2"/>
    <n v="0"/>
    <n v="0"/>
    <n v="0"/>
    <x v="1"/>
    <n v="0"/>
    <x v="0"/>
    <n v="0"/>
    <n v="0"/>
    <n v="0"/>
    <n v="226"/>
    <n v="226"/>
    <x v="1"/>
    <n v="130"/>
    <n v="80"/>
    <n v="23.24"/>
    <n v="23.24"/>
    <x v="1"/>
    <n v="60"/>
    <n v="60"/>
    <n v="63"/>
    <n v="63"/>
    <x v="0"/>
    <x v="0"/>
  </r>
  <r>
    <n v="0"/>
    <x v="0"/>
    <n v="51"/>
    <x v="1"/>
    <n v="1"/>
    <n v="1"/>
    <s v="Primary"/>
    <x v="2"/>
    <n v="0"/>
    <n v="0"/>
    <n v="0"/>
    <x v="1"/>
    <n v="0"/>
    <x v="0"/>
    <n v="0"/>
    <n v="1"/>
    <n v="0"/>
    <n v="216"/>
    <n v="216"/>
    <x v="1"/>
    <n v="154"/>
    <n v="98"/>
    <n v="32.35"/>
    <n v="32.35"/>
    <x v="2"/>
    <n v="75"/>
    <n v="75"/>
    <n v="103"/>
    <n v="103"/>
    <x v="0"/>
    <x v="0"/>
  </r>
  <r>
    <n v="0"/>
    <x v="0"/>
    <n v="51"/>
    <x v="1"/>
    <n v="1"/>
    <n v="1"/>
    <s v="Primary"/>
    <x v="2"/>
    <n v="1"/>
    <n v="3"/>
    <n v="3"/>
    <x v="0"/>
    <n v="0"/>
    <x v="0"/>
    <n v="0"/>
    <n v="0"/>
    <n v="0"/>
    <n v="246"/>
    <n v="246"/>
    <x v="0"/>
    <n v="111.5"/>
    <n v="74"/>
    <n v="25.09"/>
    <n v="25.09"/>
    <x v="0"/>
    <n v="78"/>
    <n v="78"/>
    <n v="78"/>
    <n v="78"/>
    <x v="0"/>
    <x v="0"/>
  </r>
  <r>
    <n v="0"/>
    <x v="0"/>
    <n v="51"/>
    <x v="1"/>
    <s v="NA"/>
    <n v="1"/>
    <s v="Primary"/>
    <x v="2"/>
    <n v="1"/>
    <n v="20"/>
    <n v="20"/>
    <x v="0"/>
    <n v="0"/>
    <x v="0"/>
    <n v="0"/>
    <n v="0"/>
    <n v="0"/>
    <n v="168"/>
    <n v="168"/>
    <x v="1"/>
    <n v="128"/>
    <n v="80"/>
    <n v="23.08"/>
    <n v="23.08"/>
    <x v="1"/>
    <n v="75"/>
    <n v="75"/>
    <n v="93"/>
    <n v="93"/>
    <x v="0"/>
    <x v="0"/>
  </r>
  <r>
    <n v="1"/>
    <x v="1"/>
    <n v="51"/>
    <x v="1"/>
    <n v="2"/>
    <n v="2"/>
    <s v="Secondary"/>
    <x v="0"/>
    <n v="1"/>
    <n v="20"/>
    <n v="20"/>
    <x v="0"/>
    <n v="0"/>
    <x v="0"/>
    <n v="0"/>
    <n v="1"/>
    <n v="0"/>
    <n v="261"/>
    <n v="261"/>
    <x v="0"/>
    <n v="161"/>
    <n v="105"/>
    <n v="27.47"/>
    <n v="27.47"/>
    <x v="0"/>
    <n v="70"/>
    <n v="70"/>
    <s v="NA"/>
    <n v="81.96365524402907"/>
    <x v="0"/>
    <x v="0"/>
  </r>
  <r>
    <n v="0"/>
    <x v="0"/>
    <n v="51"/>
    <x v="1"/>
    <n v="1"/>
    <n v="1"/>
    <s v="Primary"/>
    <x v="2"/>
    <n v="0"/>
    <n v="0"/>
    <n v="0"/>
    <x v="1"/>
    <n v="0"/>
    <x v="0"/>
    <n v="0"/>
    <n v="0"/>
    <n v="0"/>
    <n v="226"/>
    <n v="226"/>
    <x v="1"/>
    <n v="131"/>
    <n v="87"/>
    <n v="24.36"/>
    <n v="24.36"/>
    <x v="1"/>
    <n v="75"/>
    <n v="75"/>
    <n v="73"/>
    <n v="73"/>
    <x v="0"/>
    <x v="0"/>
  </r>
  <r>
    <n v="0"/>
    <x v="0"/>
    <n v="51"/>
    <x v="1"/>
    <n v="1"/>
    <n v="1"/>
    <s v="Primary"/>
    <x v="2"/>
    <n v="1"/>
    <n v="10"/>
    <n v="10"/>
    <x v="0"/>
    <n v="0"/>
    <x v="0"/>
    <n v="0"/>
    <n v="1"/>
    <n v="0"/>
    <n v="201"/>
    <n v="201"/>
    <x v="1"/>
    <n v="147.5"/>
    <n v="95"/>
    <n v="22.34"/>
    <n v="22.34"/>
    <x v="1"/>
    <n v="100"/>
    <n v="100"/>
    <n v="67"/>
    <n v="67"/>
    <x v="0"/>
    <x v="0"/>
  </r>
  <r>
    <n v="0"/>
    <x v="0"/>
    <n v="51"/>
    <x v="1"/>
    <n v="1"/>
    <n v="1"/>
    <s v="Primary"/>
    <x v="2"/>
    <n v="1"/>
    <n v="20"/>
    <n v="20"/>
    <x v="0"/>
    <n v="0"/>
    <x v="0"/>
    <n v="0"/>
    <n v="0"/>
    <n v="0"/>
    <n v="262"/>
    <n v="262"/>
    <x v="0"/>
    <n v="102"/>
    <n v="64"/>
    <n v="28.06"/>
    <n v="28.06"/>
    <x v="0"/>
    <n v="80"/>
    <n v="80"/>
    <n v="66"/>
    <n v="66"/>
    <x v="0"/>
    <x v="0"/>
  </r>
  <r>
    <n v="0"/>
    <x v="0"/>
    <n v="51"/>
    <x v="1"/>
    <n v="1"/>
    <n v="1"/>
    <s v="Primary"/>
    <x v="2"/>
    <n v="0"/>
    <n v="0"/>
    <n v="0"/>
    <x v="1"/>
    <n v="0"/>
    <x v="0"/>
    <n v="0"/>
    <n v="0"/>
    <n v="0"/>
    <s v="NA"/>
    <n v="236.69952267303103"/>
    <x v="1"/>
    <n v="130"/>
    <n v="89.5"/>
    <s v="NA"/>
    <n v="25.80080075811421"/>
    <x v="0"/>
    <n v="80"/>
    <n v="80"/>
    <s v="NA"/>
    <n v="81.96365524402907"/>
    <x v="0"/>
    <x v="0"/>
  </r>
  <r>
    <n v="0"/>
    <x v="0"/>
    <n v="51"/>
    <x v="1"/>
    <n v="1"/>
    <n v="1"/>
    <s v="Primary"/>
    <x v="2"/>
    <n v="1"/>
    <n v="25"/>
    <n v="25"/>
    <x v="0"/>
    <n v="0"/>
    <x v="0"/>
    <n v="0"/>
    <n v="0"/>
    <n v="0"/>
    <n v="327"/>
    <n v="327"/>
    <x v="0"/>
    <n v="117"/>
    <n v="70"/>
    <n v="18.52"/>
    <n v="18.52"/>
    <x v="1"/>
    <n v="90"/>
    <n v="90"/>
    <n v="76"/>
    <n v="76"/>
    <x v="0"/>
    <x v="1"/>
  </r>
  <r>
    <n v="0"/>
    <x v="0"/>
    <n v="51"/>
    <x v="1"/>
    <n v="2"/>
    <n v="2"/>
    <s v="Secondary"/>
    <x v="0"/>
    <n v="0"/>
    <n v="0"/>
    <n v="0"/>
    <x v="1"/>
    <n v="0"/>
    <x v="0"/>
    <n v="0"/>
    <n v="0"/>
    <n v="0"/>
    <n v="285"/>
    <n v="285"/>
    <x v="0"/>
    <n v="136.5"/>
    <n v="86.5"/>
    <n v="24.81"/>
    <n v="24.81"/>
    <x v="1"/>
    <n v="70"/>
    <n v="70"/>
    <n v="83"/>
    <n v="83"/>
    <x v="0"/>
    <x v="0"/>
  </r>
  <r>
    <n v="0"/>
    <x v="0"/>
    <n v="51"/>
    <x v="1"/>
    <n v="3"/>
    <n v="3"/>
    <s v="Graduate"/>
    <x v="1"/>
    <n v="0"/>
    <n v="0"/>
    <n v="0"/>
    <x v="1"/>
    <n v="0"/>
    <x v="0"/>
    <n v="0"/>
    <n v="0"/>
    <n v="0"/>
    <n v="230"/>
    <n v="230"/>
    <x v="1"/>
    <n v="134"/>
    <n v="84"/>
    <n v="23.54"/>
    <n v="23.54"/>
    <x v="1"/>
    <n v="80"/>
    <n v="80"/>
    <n v="78"/>
    <n v="78"/>
    <x v="0"/>
    <x v="0"/>
  </r>
  <r>
    <n v="1"/>
    <x v="1"/>
    <n v="51"/>
    <x v="1"/>
    <n v="1"/>
    <n v="1"/>
    <s v="Primary"/>
    <x v="2"/>
    <n v="1"/>
    <n v="43"/>
    <n v="43"/>
    <x v="0"/>
    <n v="0"/>
    <x v="0"/>
    <n v="0"/>
    <n v="1"/>
    <n v="0"/>
    <n v="176"/>
    <n v="176"/>
    <x v="1"/>
    <n v="140"/>
    <n v="88"/>
    <n v="27.56"/>
    <n v="27.56"/>
    <x v="0"/>
    <n v="110"/>
    <n v="110"/>
    <n v="83"/>
    <n v="83"/>
    <x v="0"/>
    <x v="0"/>
  </r>
  <r>
    <n v="1"/>
    <x v="1"/>
    <n v="51"/>
    <x v="1"/>
    <n v="2"/>
    <n v="2"/>
    <s v="Secondary"/>
    <x v="0"/>
    <n v="1"/>
    <n v="20"/>
    <n v="20"/>
    <x v="0"/>
    <n v="0"/>
    <x v="0"/>
    <n v="0"/>
    <n v="0"/>
    <n v="0"/>
    <n v="244"/>
    <n v="244"/>
    <x v="0"/>
    <n v="129"/>
    <n v="72"/>
    <n v="22.67"/>
    <n v="22.67"/>
    <x v="1"/>
    <n v="60"/>
    <n v="60"/>
    <n v="80"/>
    <n v="80"/>
    <x v="0"/>
    <x v="0"/>
  </r>
  <r>
    <n v="0"/>
    <x v="0"/>
    <n v="51"/>
    <x v="1"/>
    <n v="1"/>
    <n v="1"/>
    <s v="Primary"/>
    <x v="2"/>
    <n v="1"/>
    <n v="20"/>
    <n v="20"/>
    <x v="0"/>
    <n v="0"/>
    <x v="0"/>
    <n v="0"/>
    <n v="0"/>
    <n v="0"/>
    <n v="300"/>
    <n v="300"/>
    <x v="0"/>
    <n v="128"/>
    <n v="78"/>
    <n v="26.69"/>
    <n v="26.69"/>
    <x v="0"/>
    <n v="65"/>
    <n v="65"/>
    <n v="97"/>
    <n v="97"/>
    <x v="0"/>
    <x v="0"/>
  </r>
  <r>
    <n v="1"/>
    <x v="1"/>
    <n v="51"/>
    <x v="1"/>
    <n v="1"/>
    <n v="1"/>
    <s v="Primary"/>
    <x v="2"/>
    <n v="0"/>
    <n v="0"/>
    <n v="0"/>
    <x v="1"/>
    <s v="NA"/>
    <x v="0"/>
    <n v="0"/>
    <n v="0"/>
    <n v="0"/>
    <n v="166"/>
    <n v="166"/>
    <x v="1"/>
    <n v="115"/>
    <n v="82.5"/>
    <n v="26.69"/>
    <n v="26.69"/>
    <x v="0"/>
    <n v="64"/>
    <n v="64"/>
    <n v="67"/>
    <n v="67"/>
    <x v="1"/>
    <x v="0"/>
  </r>
  <r>
    <n v="1"/>
    <x v="1"/>
    <n v="51"/>
    <x v="1"/>
    <n v="3"/>
    <n v="3"/>
    <s v="Graduate"/>
    <x v="1"/>
    <n v="0"/>
    <n v="0"/>
    <n v="0"/>
    <x v="1"/>
    <n v="0"/>
    <x v="0"/>
    <n v="0"/>
    <n v="0"/>
    <n v="0"/>
    <n v="215"/>
    <n v="215"/>
    <x v="1"/>
    <n v="147"/>
    <n v="96"/>
    <n v="28.59"/>
    <n v="28.59"/>
    <x v="0"/>
    <n v="65"/>
    <n v="65"/>
    <n v="100"/>
    <n v="100"/>
    <x v="0"/>
    <x v="0"/>
  </r>
  <r>
    <n v="1"/>
    <x v="1"/>
    <n v="51"/>
    <x v="1"/>
    <n v="1"/>
    <n v="1"/>
    <s v="Primary"/>
    <x v="2"/>
    <n v="1"/>
    <n v="20"/>
    <n v="20"/>
    <x v="0"/>
    <n v="0"/>
    <x v="0"/>
    <n v="0"/>
    <n v="0"/>
    <n v="0"/>
    <n v="256"/>
    <n v="256"/>
    <x v="0"/>
    <n v="130"/>
    <n v="75"/>
    <n v="28.76"/>
    <n v="28.76"/>
    <x v="0"/>
    <n v="60"/>
    <n v="60"/>
    <n v="83"/>
    <n v="83"/>
    <x v="0"/>
    <x v="0"/>
  </r>
  <r>
    <n v="0"/>
    <x v="0"/>
    <n v="51"/>
    <x v="1"/>
    <n v="1"/>
    <n v="1"/>
    <s v="Primary"/>
    <x v="2"/>
    <n v="0"/>
    <n v="0"/>
    <n v="0"/>
    <x v="1"/>
    <n v="0"/>
    <x v="0"/>
    <n v="0"/>
    <n v="0"/>
    <n v="0"/>
    <n v="246"/>
    <n v="246"/>
    <x v="0"/>
    <n v="135"/>
    <n v="82"/>
    <n v="24.67"/>
    <n v="24.67"/>
    <x v="1"/>
    <n v="70"/>
    <n v="70"/>
    <n v="77"/>
    <n v="77"/>
    <x v="0"/>
    <x v="0"/>
  </r>
  <r>
    <n v="0"/>
    <x v="0"/>
    <n v="51"/>
    <x v="1"/>
    <n v="3"/>
    <n v="3"/>
    <s v="Graduate"/>
    <x v="1"/>
    <n v="0"/>
    <n v="0"/>
    <n v="0"/>
    <x v="1"/>
    <n v="0"/>
    <x v="0"/>
    <n v="0"/>
    <n v="0"/>
    <n v="0"/>
    <n v="216"/>
    <n v="216"/>
    <x v="1"/>
    <n v="128"/>
    <n v="83.5"/>
    <n v="24.41"/>
    <n v="24.41"/>
    <x v="1"/>
    <n v="72"/>
    <n v="72"/>
    <n v="75"/>
    <n v="75"/>
    <x v="0"/>
    <x v="0"/>
  </r>
  <r>
    <n v="0"/>
    <x v="0"/>
    <n v="51"/>
    <x v="1"/>
    <n v="2"/>
    <n v="2"/>
    <s v="Secondary"/>
    <x v="0"/>
    <n v="0"/>
    <n v="0"/>
    <n v="0"/>
    <x v="1"/>
    <n v="0"/>
    <x v="0"/>
    <n v="0"/>
    <n v="0"/>
    <n v="0"/>
    <n v="224"/>
    <n v="224"/>
    <x v="1"/>
    <n v="111.5"/>
    <n v="77"/>
    <n v="24.08"/>
    <n v="24.08"/>
    <x v="1"/>
    <n v="63"/>
    <n v="63"/>
    <n v="74"/>
    <n v="74"/>
    <x v="0"/>
    <x v="0"/>
  </r>
  <r>
    <n v="0"/>
    <x v="0"/>
    <n v="51"/>
    <x v="1"/>
    <s v="NA"/>
    <n v="1"/>
    <s v="Primary"/>
    <x v="2"/>
    <n v="1"/>
    <n v="15"/>
    <n v="15"/>
    <x v="0"/>
    <n v="0"/>
    <x v="0"/>
    <n v="0"/>
    <n v="1"/>
    <n v="0"/>
    <n v="240"/>
    <n v="240"/>
    <x v="1"/>
    <n v="180"/>
    <n v="107.5"/>
    <n v="25.33"/>
    <n v="25.33"/>
    <x v="0"/>
    <n v="68"/>
    <n v="68"/>
    <n v="80"/>
    <n v="80"/>
    <x v="0"/>
    <x v="0"/>
  </r>
  <r>
    <n v="1"/>
    <x v="1"/>
    <n v="51"/>
    <x v="1"/>
    <n v="1"/>
    <n v="1"/>
    <s v="Primary"/>
    <x v="2"/>
    <n v="1"/>
    <n v="20"/>
    <n v="20"/>
    <x v="0"/>
    <n v="0"/>
    <x v="0"/>
    <n v="0"/>
    <n v="0"/>
    <n v="0"/>
    <s v="NA"/>
    <n v="236.69952267303103"/>
    <x v="1"/>
    <n v="112.5"/>
    <n v="74"/>
    <n v="26.37"/>
    <n v="26.37"/>
    <x v="0"/>
    <n v="70"/>
    <n v="70"/>
    <s v="NA"/>
    <n v="81.96365524402907"/>
    <x v="0"/>
    <x v="0"/>
  </r>
  <r>
    <n v="0"/>
    <x v="0"/>
    <n v="51"/>
    <x v="1"/>
    <n v="2"/>
    <n v="2"/>
    <s v="Secondary"/>
    <x v="0"/>
    <n v="0"/>
    <n v="0"/>
    <n v="0"/>
    <x v="1"/>
    <n v="0"/>
    <x v="0"/>
    <n v="0"/>
    <n v="1"/>
    <n v="0"/>
    <n v="351"/>
    <n v="351"/>
    <x v="0"/>
    <n v="134"/>
    <n v="97.5"/>
    <n v="21.66"/>
    <n v="21.66"/>
    <x v="1"/>
    <n v="100"/>
    <n v="100"/>
    <s v="NA"/>
    <n v="81.96365524402907"/>
    <x v="0"/>
    <x v="0"/>
  </r>
  <r>
    <n v="1"/>
    <x v="1"/>
    <n v="51"/>
    <x v="1"/>
    <n v="3"/>
    <n v="3"/>
    <s v="Graduate"/>
    <x v="1"/>
    <n v="1"/>
    <n v="20"/>
    <n v="20"/>
    <x v="0"/>
    <n v="0"/>
    <x v="0"/>
    <n v="0"/>
    <n v="0"/>
    <n v="0"/>
    <n v="163"/>
    <n v="163"/>
    <x v="1"/>
    <n v="126"/>
    <n v="78"/>
    <n v="26.56"/>
    <n v="26.56"/>
    <x v="0"/>
    <n v="63"/>
    <n v="63"/>
    <n v="78"/>
    <n v="78"/>
    <x v="0"/>
    <x v="0"/>
  </r>
  <r>
    <n v="0"/>
    <x v="0"/>
    <n v="51"/>
    <x v="1"/>
    <n v="1"/>
    <n v="1"/>
    <s v="Primary"/>
    <x v="2"/>
    <n v="1"/>
    <n v="20"/>
    <n v="20"/>
    <x v="0"/>
    <n v="0"/>
    <x v="0"/>
    <n v="0"/>
    <n v="1"/>
    <n v="0"/>
    <n v="195"/>
    <n v="195"/>
    <x v="1"/>
    <n v="154"/>
    <n v="96"/>
    <n v="28.38"/>
    <n v="28.38"/>
    <x v="0"/>
    <n v="75"/>
    <n v="75"/>
    <n v="75"/>
    <n v="75"/>
    <x v="0"/>
    <x v="0"/>
  </r>
  <r>
    <n v="1"/>
    <x v="1"/>
    <n v="51"/>
    <x v="1"/>
    <n v="2"/>
    <n v="2"/>
    <s v="Secondary"/>
    <x v="0"/>
    <n v="1"/>
    <n v="6"/>
    <n v="6"/>
    <x v="0"/>
    <n v="0"/>
    <x v="0"/>
    <n v="0"/>
    <n v="0"/>
    <n v="0"/>
    <n v="234"/>
    <n v="234"/>
    <x v="1"/>
    <n v="129"/>
    <n v="94"/>
    <n v="23.9"/>
    <n v="23.9"/>
    <x v="1"/>
    <n v="65"/>
    <n v="65"/>
    <n v="96"/>
    <n v="96"/>
    <x v="0"/>
    <x v="0"/>
  </r>
  <r>
    <n v="0"/>
    <x v="0"/>
    <n v="51"/>
    <x v="1"/>
    <n v="2"/>
    <n v="2"/>
    <s v="Secondary"/>
    <x v="0"/>
    <n v="1"/>
    <n v="20"/>
    <n v="20"/>
    <x v="0"/>
    <n v="0"/>
    <x v="0"/>
    <n v="0"/>
    <n v="1"/>
    <n v="0"/>
    <n v="293"/>
    <n v="293"/>
    <x v="0"/>
    <n v="151"/>
    <n v="92"/>
    <n v="30.67"/>
    <n v="30.67"/>
    <x v="2"/>
    <n v="80"/>
    <n v="80"/>
    <n v="77"/>
    <n v="77"/>
    <x v="0"/>
    <x v="0"/>
  </r>
  <r>
    <n v="0"/>
    <x v="0"/>
    <n v="51"/>
    <x v="1"/>
    <n v="2"/>
    <n v="2"/>
    <s v="Secondary"/>
    <x v="0"/>
    <n v="0"/>
    <n v="0"/>
    <n v="0"/>
    <x v="1"/>
    <n v="0"/>
    <x v="0"/>
    <n v="0"/>
    <n v="0"/>
    <n v="0"/>
    <n v="235"/>
    <n v="235"/>
    <x v="1"/>
    <n v="110.5"/>
    <n v="69"/>
    <n v="21.8"/>
    <n v="21.8"/>
    <x v="1"/>
    <n v="70"/>
    <n v="70"/>
    <n v="86"/>
    <n v="86"/>
    <x v="0"/>
    <x v="0"/>
  </r>
  <r>
    <n v="0"/>
    <x v="0"/>
    <n v="51"/>
    <x v="1"/>
    <n v="2"/>
    <n v="2"/>
    <s v="Secondary"/>
    <x v="0"/>
    <n v="1"/>
    <n v="5"/>
    <n v="5"/>
    <x v="0"/>
    <n v="0"/>
    <x v="0"/>
    <n v="0"/>
    <n v="0"/>
    <n v="0"/>
    <n v="192"/>
    <n v="192"/>
    <x v="1"/>
    <n v="133"/>
    <n v="87"/>
    <n v="20.72"/>
    <n v="20.72"/>
    <x v="1"/>
    <n v="78"/>
    <n v="78"/>
    <n v="77"/>
    <n v="77"/>
    <x v="0"/>
    <x v="0"/>
  </r>
  <r>
    <n v="0"/>
    <x v="0"/>
    <n v="51"/>
    <x v="1"/>
    <n v="2"/>
    <n v="2"/>
    <s v="Secondary"/>
    <x v="0"/>
    <n v="0"/>
    <n v="0"/>
    <n v="0"/>
    <x v="1"/>
    <n v="0"/>
    <x v="0"/>
    <n v="0"/>
    <n v="0"/>
    <n v="0"/>
    <n v="233"/>
    <n v="233"/>
    <x v="1"/>
    <n v="120"/>
    <n v="81"/>
    <n v="28.25"/>
    <n v="28.25"/>
    <x v="0"/>
    <n v="80"/>
    <n v="80"/>
    <n v="75"/>
    <n v="75"/>
    <x v="0"/>
    <x v="0"/>
  </r>
  <r>
    <n v="1"/>
    <x v="1"/>
    <n v="51"/>
    <x v="1"/>
    <n v="1"/>
    <n v="1"/>
    <s v="Primary"/>
    <x v="2"/>
    <n v="1"/>
    <n v="15"/>
    <n v="15"/>
    <x v="0"/>
    <n v="0"/>
    <x v="0"/>
    <n v="0"/>
    <n v="0"/>
    <n v="0"/>
    <n v="220"/>
    <n v="220"/>
    <x v="1"/>
    <n v="125"/>
    <n v="82"/>
    <n v="24.1"/>
    <n v="24.1"/>
    <x v="1"/>
    <n v="60"/>
    <n v="60"/>
    <n v="73"/>
    <n v="73"/>
    <x v="0"/>
    <x v="1"/>
  </r>
  <r>
    <n v="0"/>
    <x v="0"/>
    <n v="51"/>
    <x v="1"/>
    <n v="2"/>
    <n v="2"/>
    <s v="Secondary"/>
    <x v="0"/>
    <n v="1"/>
    <n v="10"/>
    <n v="10"/>
    <x v="0"/>
    <n v="0"/>
    <x v="0"/>
    <n v="0"/>
    <n v="0"/>
    <n v="0"/>
    <n v="255"/>
    <n v="255"/>
    <x v="0"/>
    <n v="102.5"/>
    <n v="64.5"/>
    <n v="24.14"/>
    <n v="24.14"/>
    <x v="1"/>
    <n v="65"/>
    <n v="65"/>
    <n v="71"/>
    <n v="71"/>
    <x v="0"/>
    <x v="0"/>
  </r>
  <r>
    <n v="1"/>
    <x v="1"/>
    <n v="51"/>
    <x v="1"/>
    <n v="2"/>
    <n v="2"/>
    <s v="Secondary"/>
    <x v="0"/>
    <n v="0"/>
    <n v="0"/>
    <n v="0"/>
    <x v="1"/>
    <n v="0"/>
    <x v="0"/>
    <n v="0"/>
    <n v="0"/>
    <n v="0"/>
    <n v="223"/>
    <n v="223"/>
    <x v="1"/>
    <n v="117.5"/>
    <n v="77.5"/>
    <n v="27.78"/>
    <n v="27.78"/>
    <x v="0"/>
    <n v="68"/>
    <n v="68"/>
    <n v="97"/>
    <n v="97"/>
    <x v="0"/>
    <x v="0"/>
  </r>
  <r>
    <n v="1"/>
    <x v="1"/>
    <n v="51"/>
    <x v="1"/>
    <n v="1"/>
    <n v="1"/>
    <s v="Primary"/>
    <x v="2"/>
    <n v="0"/>
    <n v="0"/>
    <n v="0"/>
    <x v="1"/>
    <n v="0"/>
    <x v="0"/>
    <n v="0"/>
    <n v="1"/>
    <n v="0"/>
    <n v="205"/>
    <n v="205"/>
    <x v="1"/>
    <n v="125"/>
    <n v="94"/>
    <n v="29.11"/>
    <n v="29.11"/>
    <x v="0"/>
    <n v="72"/>
    <n v="72"/>
    <n v="90"/>
    <n v="90"/>
    <x v="0"/>
    <x v="0"/>
  </r>
  <r>
    <n v="1"/>
    <x v="1"/>
    <n v="51"/>
    <x v="1"/>
    <n v="2"/>
    <n v="2"/>
    <s v="Secondary"/>
    <x v="0"/>
    <n v="1"/>
    <n v="20"/>
    <n v="20"/>
    <x v="0"/>
    <n v="0"/>
    <x v="0"/>
    <n v="0"/>
    <n v="0"/>
    <n v="0"/>
    <n v="227"/>
    <n v="227"/>
    <x v="1"/>
    <n v="139"/>
    <n v="74"/>
    <n v="29.29"/>
    <n v="29.29"/>
    <x v="0"/>
    <n v="80"/>
    <n v="80"/>
    <n v="67"/>
    <n v="67"/>
    <x v="0"/>
    <x v="0"/>
  </r>
  <r>
    <n v="0"/>
    <x v="0"/>
    <n v="51"/>
    <x v="1"/>
    <n v="2"/>
    <n v="2"/>
    <s v="Secondary"/>
    <x v="0"/>
    <n v="1"/>
    <n v="6"/>
    <n v="6"/>
    <x v="0"/>
    <n v="0"/>
    <x v="0"/>
    <n v="0"/>
    <n v="0"/>
    <n v="0"/>
    <n v="190"/>
    <n v="190"/>
    <x v="1"/>
    <n v="131.5"/>
    <n v="89"/>
    <n v="23.66"/>
    <n v="23.66"/>
    <x v="1"/>
    <n v="92"/>
    <n v="92"/>
    <n v="100"/>
    <n v="100"/>
    <x v="0"/>
    <x v="0"/>
  </r>
  <r>
    <n v="0"/>
    <x v="0"/>
    <n v="51"/>
    <x v="1"/>
    <n v="1"/>
    <n v="1"/>
    <s v="Primary"/>
    <x v="2"/>
    <n v="0"/>
    <n v="0"/>
    <n v="0"/>
    <x v="1"/>
    <n v="0"/>
    <x v="0"/>
    <n v="0"/>
    <n v="0"/>
    <n v="0"/>
    <n v="226"/>
    <n v="226"/>
    <x v="1"/>
    <n v="105"/>
    <n v="71"/>
    <n v="27.73"/>
    <n v="27.73"/>
    <x v="0"/>
    <n v="68"/>
    <n v="68"/>
    <n v="79"/>
    <n v="79"/>
    <x v="0"/>
    <x v="0"/>
  </r>
  <r>
    <n v="0"/>
    <x v="0"/>
    <n v="51"/>
    <x v="1"/>
    <n v="1"/>
    <n v="1"/>
    <s v="Primary"/>
    <x v="2"/>
    <n v="0"/>
    <n v="0"/>
    <n v="0"/>
    <x v="1"/>
    <n v="1"/>
    <x v="1"/>
    <n v="0"/>
    <n v="1"/>
    <n v="0"/>
    <n v="227"/>
    <n v="227"/>
    <x v="1"/>
    <n v="160"/>
    <n v="90"/>
    <n v="23.48"/>
    <n v="23.48"/>
    <x v="1"/>
    <n v="88"/>
    <n v="88"/>
    <n v="57"/>
    <n v="57"/>
    <x v="0"/>
    <x v="0"/>
  </r>
  <r>
    <n v="1"/>
    <x v="1"/>
    <n v="51"/>
    <x v="1"/>
    <n v="4"/>
    <n v="4"/>
    <s v="Post Graduate"/>
    <x v="3"/>
    <n v="1"/>
    <n v="10"/>
    <n v="10"/>
    <x v="0"/>
    <n v="0"/>
    <x v="0"/>
    <n v="0"/>
    <n v="0"/>
    <n v="0"/>
    <n v="231"/>
    <n v="231"/>
    <x v="1"/>
    <n v="110"/>
    <n v="72"/>
    <n v="21.19"/>
    <n v="21.19"/>
    <x v="1"/>
    <n v="75"/>
    <n v="75"/>
    <n v="81"/>
    <n v="81"/>
    <x v="0"/>
    <x v="0"/>
  </r>
  <r>
    <n v="0"/>
    <x v="0"/>
    <n v="51"/>
    <x v="1"/>
    <n v="1"/>
    <n v="1"/>
    <s v="Primary"/>
    <x v="2"/>
    <n v="0"/>
    <n v="0"/>
    <n v="0"/>
    <x v="1"/>
    <n v="0"/>
    <x v="0"/>
    <n v="0"/>
    <n v="1"/>
    <n v="0"/>
    <n v="285"/>
    <n v="285"/>
    <x v="0"/>
    <n v="151.5"/>
    <n v="79"/>
    <n v="26.91"/>
    <n v="26.91"/>
    <x v="0"/>
    <n v="84"/>
    <n v="84"/>
    <n v="76"/>
    <n v="76"/>
    <x v="0"/>
    <x v="0"/>
  </r>
  <r>
    <n v="1"/>
    <x v="1"/>
    <n v="51"/>
    <x v="1"/>
    <n v="1"/>
    <n v="1"/>
    <s v="Primary"/>
    <x v="2"/>
    <n v="1"/>
    <n v="15"/>
    <n v="15"/>
    <x v="0"/>
    <n v="0"/>
    <x v="0"/>
    <n v="0"/>
    <n v="0"/>
    <n v="0"/>
    <n v="339"/>
    <n v="339"/>
    <x v="0"/>
    <n v="137.5"/>
    <n v="81"/>
    <n v="24.22"/>
    <n v="24.22"/>
    <x v="1"/>
    <n v="80"/>
    <n v="80"/>
    <n v="85"/>
    <n v="85"/>
    <x v="0"/>
    <x v="1"/>
  </r>
  <r>
    <n v="1"/>
    <x v="1"/>
    <n v="51"/>
    <x v="1"/>
    <n v="4"/>
    <n v="4"/>
    <s v="Post Graduate"/>
    <x v="3"/>
    <n v="1"/>
    <n v="20"/>
    <n v="20"/>
    <x v="0"/>
    <n v="0"/>
    <x v="0"/>
    <n v="0"/>
    <n v="0"/>
    <n v="0"/>
    <n v="215"/>
    <n v="215"/>
    <x v="1"/>
    <n v="115"/>
    <n v="69"/>
    <n v="25.7"/>
    <n v="25.7"/>
    <x v="0"/>
    <n v="68"/>
    <n v="68"/>
    <n v="77"/>
    <n v="77"/>
    <x v="0"/>
    <x v="0"/>
  </r>
  <r>
    <n v="0"/>
    <x v="0"/>
    <n v="51"/>
    <x v="1"/>
    <n v="1"/>
    <n v="1"/>
    <s v="Primary"/>
    <x v="2"/>
    <n v="0"/>
    <n v="0"/>
    <n v="0"/>
    <x v="1"/>
    <n v="0"/>
    <x v="0"/>
    <n v="0"/>
    <n v="0"/>
    <n v="0"/>
    <n v="198"/>
    <n v="198"/>
    <x v="1"/>
    <n v="128"/>
    <n v="90"/>
    <n v="26.32"/>
    <n v="26.32"/>
    <x v="0"/>
    <n v="70"/>
    <n v="70"/>
    <n v="75"/>
    <n v="75"/>
    <x v="0"/>
    <x v="0"/>
  </r>
  <r>
    <n v="1"/>
    <x v="1"/>
    <n v="51"/>
    <x v="1"/>
    <n v="1"/>
    <n v="1"/>
    <s v="Primary"/>
    <x v="2"/>
    <n v="1"/>
    <n v="7"/>
    <n v="7"/>
    <x v="0"/>
    <n v="0"/>
    <x v="0"/>
    <n v="0"/>
    <n v="1"/>
    <n v="0"/>
    <n v="133"/>
    <n v="133"/>
    <x v="1"/>
    <n v="138"/>
    <n v="78"/>
    <n v="16.98"/>
    <n v="16.98"/>
    <x v="3"/>
    <n v="80"/>
    <n v="80"/>
    <n v="65"/>
    <n v="65"/>
    <x v="0"/>
    <x v="1"/>
  </r>
  <r>
    <n v="1"/>
    <x v="1"/>
    <n v="51"/>
    <x v="1"/>
    <n v="1"/>
    <n v="1"/>
    <s v="Primary"/>
    <x v="2"/>
    <n v="1"/>
    <n v="15"/>
    <n v="15"/>
    <x v="0"/>
    <n v="0"/>
    <x v="0"/>
    <n v="0"/>
    <n v="0"/>
    <n v="0"/>
    <n v="212"/>
    <n v="212"/>
    <x v="1"/>
    <n v="146"/>
    <n v="89"/>
    <n v="24.49"/>
    <n v="24.49"/>
    <x v="1"/>
    <n v="100"/>
    <n v="100"/>
    <n v="132"/>
    <n v="132"/>
    <x v="0"/>
    <x v="1"/>
  </r>
  <r>
    <n v="0"/>
    <x v="0"/>
    <n v="51"/>
    <x v="1"/>
    <n v="3"/>
    <n v="3"/>
    <s v="Graduate"/>
    <x v="1"/>
    <n v="0"/>
    <n v="0"/>
    <n v="0"/>
    <x v="1"/>
    <n v="0"/>
    <x v="0"/>
    <n v="0"/>
    <n v="1"/>
    <n v="0"/>
    <n v="304"/>
    <n v="304"/>
    <x v="0"/>
    <n v="132"/>
    <n v="80"/>
    <n v="25.15"/>
    <n v="25.15"/>
    <x v="0"/>
    <n v="85"/>
    <n v="85"/>
    <n v="106"/>
    <n v="106"/>
    <x v="0"/>
    <x v="0"/>
  </r>
  <r>
    <n v="1"/>
    <x v="1"/>
    <n v="51"/>
    <x v="1"/>
    <n v="1"/>
    <n v="1"/>
    <s v="Primary"/>
    <x v="2"/>
    <n v="0"/>
    <n v="0"/>
    <n v="0"/>
    <x v="1"/>
    <n v="0"/>
    <x v="0"/>
    <n v="0"/>
    <n v="0"/>
    <n v="0"/>
    <n v="237"/>
    <n v="237"/>
    <x v="1"/>
    <n v="135"/>
    <n v="87.5"/>
    <n v="24.87"/>
    <n v="24.87"/>
    <x v="1"/>
    <n v="65"/>
    <n v="65"/>
    <n v="63"/>
    <n v="63"/>
    <x v="0"/>
    <x v="0"/>
  </r>
  <r>
    <n v="1"/>
    <x v="1"/>
    <n v="51"/>
    <x v="1"/>
    <n v="1"/>
    <n v="1"/>
    <s v="Primary"/>
    <x v="2"/>
    <n v="1"/>
    <n v="40"/>
    <n v="40"/>
    <x v="0"/>
    <n v="0"/>
    <x v="0"/>
    <n v="0"/>
    <n v="0"/>
    <n v="0"/>
    <n v="264"/>
    <n v="264"/>
    <x v="0"/>
    <n v="119"/>
    <n v="82"/>
    <n v="28.55"/>
    <n v="28.55"/>
    <x v="0"/>
    <n v="85"/>
    <n v="85"/>
    <n v="63"/>
    <n v="63"/>
    <x v="0"/>
    <x v="0"/>
  </r>
  <r>
    <n v="0"/>
    <x v="0"/>
    <n v="51"/>
    <x v="1"/>
    <n v="1"/>
    <n v="1"/>
    <s v="Primary"/>
    <x v="2"/>
    <n v="0"/>
    <n v="0"/>
    <n v="0"/>
    <x v="1"/>
    <n v="0"/>
    <x v="0"/>
    <n v="0"/>
    <n v="1"/>
    <n v="0"/>
    <n v="292"/>
    <n v="292"/>
    <x v="0"/>
    <n v="166"/>
    <n v="89"/>
    <n v="27.51"/>
    <n v="27.51"/>
    <x v="0"/>
    <n v="68"/>
    <n v="68"/>
    <n v="88"/>
    <n v="88"/>
    <x v="0"/>
    <x v="0"/>
  </r>
  <r>
    <n v="1"/>
    <x v="1"/>
    <n v="51"/>
    <x v="1"/>
    <n v="3"/>
    <n v="3"/>
    <s v="Graduate"/>
    <x v="1"/>
    <n v="0"/>
    <n v="0"/>
    <n v="0"/>
    <x v="1"/>
    <n v="0"/>
    <x v="0"/>
    <n v="0"/>
    <n v="0"/>
    <n v="0"/>
    <n v="218"/>
    <n v="218"/>
    <x v="1"/>
    <n v="115"/>
    <n v="75"/>
    <n v="25.62"/>
    <n v="25.62"/>
    <x v="0"/>
    <n v="82"/>
    <n v="82"/>
    <n v="62"/>
    <n v="62"/>
    <x v="0"/>
    <x v="0"/>
  </r>
  <r>
    <n v="1"/>
    <x v="1"/>
    <n v="51"/>
    <x v="1"/>
    <n v="1"/>
    <n v="1"/>
    <s v="Primary"/>
    <x v="2"/>
    <n v="1"/>
    <n v="30"/>
    <n v="30"/>
    <x v="0"/>
    <n v="0"/>
    <x v="0"/>
    <n v="0"/>
    <n v="0"/>
    <n v="0"/>
    <n v="240"/>
    <n v="240"/>
    <x v="1"/>
    <n v="127"/>
    <n v="80"/>
    <n v="28.85"/>
    <n v="28.85"/>
    <x v="0"/>
    <n v="70"/>
    <n v="70"/>
    <n v="67"/>
    <n v="67"/>
    <x v="0"/>
    <x v="1"/>
  </r>
  <r>
    <n v="0"/>
    <x v="0"/>
    <n v="51"/>
    <x v="1"/>
    <n v="3"/>
    <n v="3"/>
    <s v="Graduate"/>
    <x v="1"/>
    <n v="0"/>
    <n v="0"/>
    <n v="0"/>
    <x v="1"/>
    <n v="0"/>
    <x v="0"/>
    <n v="0"/>
    <n v="0"/>
    <n v="0"/>
    <n v="250"/>
    <n v="250"/>
    <x v="0"/>
    <n v="148.5"/>
    <n v="90"/>
    <n v="24.58"/>
    <n v="24.58"/>
    <x v="1"/>
    <n v="80"/>
    <n v="80"/>
    <s v="NA"/>
    <n v="81.96365524402907"/>
    <x v="0"/>
    <x v="0"/>
  </r>
  <r>
    <n v="1"/>
    <x v="1"/>
    <n v="51"/>
    <x v="1"/>
    <n v="2"/>
    <n v="2"/>
    <s v="Secondary"/>
    <x v="0"/>
    <n v="1"/>
    <n v="20"/>
    <n v="20"/>
    <x v="0"/>
    <n v="0"/>
    <x v="0"/>
    <n v="0"/>
    <n v="0"/>
    <n v="0"/>
    <n v="274"/>
    <n v="274"/>
    <x v="0"/>
    <n v="108"/>
    <n v="75"/>
    <n v="23.6"/>
    <n v="23.6"/>
    <x v="1"/>
    <n v="70"/>
    <n v="70"/>
    <n v="68"/>
    <n v="68"/>
    <x v="0"/>
    <x v="0"/>
  </r>
  <r>
    <n v="0"/>
    <x v="0"/>
    <n v="51"/>
    <x v="1"/>
    <n v="1"/>
    <n v="1"/>
    <s v="Primary"/>
    <x v="2"/>
    <n v="1"/>
    <n v="15"/>
    <n v="15"/>
    <x v="0"/>
    <n v="0"/>
    <x v="0"/>
    <n v="0"/>
    <n v="0"/>
    <n v="0"/>
    <n v="352"/>
    <n v="352"/>
    <x v="0"/>
    <n v="136.5"/>
    <n v="87"/>
    <n v="25.79"/>
    <n v="25.79"/>
    <x v="0"/>
    <n v="73"/>
    <n v="73"/>
    <n v="67"/>
    <n v="67"/>
    <x v="0"/>
    <x v="0"/>
  </r>
  <r>
    <n v="1"/>
    <x v="1"/>
    <n v="51"/>
    <x v="1"/>
    <n v="4"/>
    <n v="4"/>
    <s v="Post Graduate"/>
    <x v="3"/>
    <n v="0"/>
    <n v="0"/>
    <n v="0"/>
    <x v="1"/>
    <n v="0"/>
    <x v="0"/>
    <n v="0"/>
    <n v="1"/>
    <n v="0"/>
    <n v="200"/>
    <n v="200"/>
    <x v="1"/>
    <n v="115"/>
    <n v="76"/>
    <n v="31.04"/>
    <n v="31.04"/>
    <x v="2"/>
    <n v="78"/>
    <n v="78"/>
    <s v="NA"/>
    <n v="81.96365524402907"/>
    <x v="0"/>
    <x v="1"/>
  </r>
  <r>
    <n v="0"/>
    <x v="0"/>
    <n v="51"/>
    <x v="1"/>
    <n v="1"/>
    <n v="1"/>
    <s v="Primary"/>
    <x v="2"/>
    <n v="0"/>
    <n v="0"/>
    <n v="0"/>
    <x v="1"/>
    <n v="0"/>
    <x v="0"/>
    <n v="0"/>
    <n v="1"/>
    <n v="0"/>
    <n v="177"/>
    <n v="177"/>
    <x v="1"/>
    <n v="141"/>
    <n v="92"/>
    <n v="29.64"/>
    <n v="29.64"/>
    <x v="0"/>
    <n v="72"/>
    <n v="72"/>
    <n v="130"/>
    <n v="130"/>
    <x v="0"/>
    <x v="1"/>
  </r>
  <r>
    <n v="1"/>
    <x v="1"/>
    <n v="51"/>
    <x v="1"/>
    <n v="4"/>
    <n v="4"/>
    <s v="Post Graduate"/>
    <x v="3"/>
    <n v="0"/>
    <n v="0"/>
    <n v="0"/>
    <x v="1"/>
    <n v="0"/>
    <x v="0"/>
    <n v="0"/>
    <n v="0"/>
    <n v="0"/>
    <n v="260"/>
    <n v="260"/>
    <x v="0"/>
    <n v="127.5"/>
    <n v="92"/>
    <n v="32.979999999999997"/>
    <n v="32.979999999999997"/>
    <x v="2"/>
    <n v="56"/>
    <n v="56"/>
    <n v="93"/>
    <n v="93"/>
    <x v="0"/>
    <x v="0"/>
  </r>
  <r>
    <n v="0"/>
    <x v="0"/>
    <n v="51"/>
    <x v="1"/>
    <n v="2"/>
    <n v="2"/>
    <s v="Secondary"/>
    <x v="0"/>
    <n v="0"/>
    <n v="0"/>
    <n v="0"/>
    <x v="1"/>
    <n v="0"/>
    <x v="0"/>
    <n v="0"/>
    <n v="1"/>
    <n v="0"/>
    <n v="262"/>
    <n v="262"/>
    <x v="0"/>
    <n v="150.5"/>
    <n v="95"/>
    <n v="30.79"/>
    <n v="30.79"/>
    <x v="2"/>
    <n v="75"/>
    <n v="75"/>
    <n v="77"/>
    <n v="77"/>
    <x v="0"/>
    <x v="0"/>
  </r>
  <r>
    <n v="0"/>
    <x v="0"/>
    <n v="51"/>
    <x v="1"/>
    <n v="1"/>
    <n v="1"/>
    <s v="Primary"/>
    <x v="2"/>
    <n v="0"/>
    <n v="0"/>
    <n v="0"/>
    <x v="1"/>
    <n v="0"/>
    <x v="0"/>
    <n v="0"/>
    <n v="0"/>
    <n v="0"/>
    <n v="236"/>
    <n v="236"/>
    <x v="1"/>
    <n v="115"/>
    <n v="71"/>
    <n v="23.48"/>
    <n v="23.48"/>
    <x v="1"/>
    <n v="80"/>
    <n v="80"/>
    <n v="84"/>
    <n v="84"/>
    <x v="0"/>
    <x v="0"/>
  </r>
  <r>
    <n v="0"/>
    <x v="0"/>
    <n v="51"/>
    <x v="1"/>
    <n v="3"/>
    <n v="3"/>
    <s v="Graduate"/>
    <x v="1"/>
    <n v="0"/>
    <n v="0"/>
    <n v="0"/>
    <x v="1"/>
    <n v="0"/>
    <x v="0"/>
    <n v="0"/>
    <n v="1"/>
    <n v="0"/>
    <n v="198"/>
    <n v="198"/>
    <x v="1"/>
    <n v="142.5"/>
    <n v="80"/>
    <n v="23.86"/>
    <n v="23.86"/>
    <x v="1"/>
    <n v="76"/>
    <n v="76"/>
    <n v="100"/>
    <n v="100"/>
    <x v="0"/>
    <x v="0"/>
  </r>
  <r>
    <n v="1"/>
    <x v="1"/>
    <n v="51"/>
    <x v="1"/>
    <s v="NA"/>
    <n v="1"/>
    <s v="Primary"/>
    <x v="2"/>
    <n v="0"/>
    <n v="0"/>
    <n v="0"/>
    <x v="1"/>
    <n v="0"/>
    <x v="0"/>
    <n v="0"/>
    <n v="1"/>
    <n v="0"/>
    <n v="275"/>
    <n v="275"/>
    <x v="0"/>
    <n v="159"/>
    <n v="99"/>
    <n v="28.57"/>
    <n v="28.57"/>
    <x v="0"/>
    <n v="60"/>
    <n v="60"/>
    <n v="88"/>
    <n v="88"/>
    <x v="0"/>
    <x v="1"/>
  </r>
  <r>
    <n v="1"/>
    <x v="1"/>
    <n v="51"/>
    <x v="1"/>
    <s v="NA"/>
    <n v="1"/>
    <s v="Primary"/>
    <x v="2"/>
    <n v="1"/>
    <n v="9"/>
    <n v="9"/>
    <x v="0"/>
    <n v="0"/>
    <x v="0"/>
    <n v="0"/>
    <n v="1"/>
    <n v="0"/>
    <n v="696"/>
    <n v="696"/>
    <x v="0"/>
    <n v="157"/>
    <n v="87"/>
    <n v="24.44"/>
    <n v="24.44"/>
    <x v="1"/>
    <n v="95"/>
    <n v="95"/>
    <n v="84"/>
    <n v="84"/>
    <x v="0"/>
    <x v="0"/>
  </r>
  <r>
    <n v="0"/>
    <x v="0"/>
    <n v="51"/>
    <x v="1"/>
    <n v="3"/>
    <n v="3"/>
    <s v="Graduate"/>
    <x v="1"/>
    <n v="0"/>
    <n v="0"/>
    <n v="0"/>
    <x v="1"/>
    <n v="0"/>
    <x v="0"/>
    <n v="0"/>
    <n v="0"/>
    <n v="0"/>
    <n v="204"/>
    <n v="204"/>
    <x v="1"/>
    <n v="119"/>
    <n v="80"/>
    <n v="24.03"/>
    <n v="24.03"/>
    <x v="1"/>
    <n v="85"/>
    <n v="85"/>
    <n v="87"/>
    <n v="87"/>
    <x v="0"/>
    <x v="0"/>
  </r>
  <r>
    <n v="1"/>
    <x v="1"/>
    <n v="51"/>
    <x v="1"/>
    <n v="4"/>
    <n v="4"/>
    <s v="Post Graduate"/>
    <x v="3"/>
    <n v="0"/>
    <n v="0"/>
    <n v="0"/>
    <x v="1"/>
    <n v="0"/>
    <x v="0"/>
    <n v="0"/>
    <n v="0"/>
    <n v="0"/>
    <n v="230"/>
    <n v="230"/>
    <x v="1"/>
    <n v="115.5"/>
    <n v="85"/>
    <n v="30.75"/>
    <n v="30.75"/>
    <x v="2"/>
    <n v="48"/>
    <n v="48"/>
    <n v="85"/>
    <n v="85"/>
    <x v="0"/>
    <x v="0"/>
  </r>
  <r>
    <n v="1"/>
    <x v="1"/>
    <n v="51"/>
    <x v="1"/>
    <n v="1"/>
    <n v="1"/>
    <s v="Primary"/>
    <x v="2"/>
    <n v="1"/>
    <n v="40"/>
    <n v="40"/>
    <x v="0"/>
    <n v="0"/>
    <x v="0"/>
    <n v="0"/>
    <n v="0"/>
    <n v="0"/>
    <n v="212"/>
    <n v="212"/>
    <x v="1"/>
    <n v="122.5"/>
    <n v="73"/>
    <n v="22.34"/>
    <n v="22.34"/>
    <x v="1"/>
    <n v="75"/>
    <n v="75"/>
    <n v="74"/>
    <n v="74"/>
    <x v="0"/>
    <x v="0"/>
  </r>
  <r>
    <n v="1"/>
    <x v="1"/>
    <n v="51"/>
    <x v="1"/>
    <n v="4"/>
    <n v="4"/>
    <s v="Post Graduate"/>
    <x v="3"/>
    <n v="1"/>
    <n v="30"/>
    <n v="30"/>
    <x v="0"/>
    <n v="0"/>
    <x v="0"/>
    <n v="0"/>
    <n v="0"/>
    <n v="0"/>
    <n v="342"/>
    <n v="342"/>
    <x v="0"/>
    <n v="110"/>
    <n v="70"/>
    <n v="28.86"/>
    <n v="28.86"/>
    <x v="0"/>
    <n v="72"/>
    <n v="72"/>
    <n v="87"/>
    <n v="87"/>
    <x v="0"/>
    <x v="1"/>
  </r>
  <r>
    <n v="0"/>
    <x v="0"/>
    <n v="51"/>
    <x v="1"/>
    <n v="1"/>
    <n v="1"/>
    <s v="Primary"/>
    <x v="2"/>
    <n v="1"/>
    <n v="2"/>
    <n v="2"/>
    <x v="0"/>
    <n v="0"/>
    <x v="0"/>
    <n v="0"/>
    <n v="0"/>
    <n v="0"/>
    <n v="261"/>
    <n v="261"/>
    <x v="0"/>
    <n v="127"/>
    <n v="81"/>
    <n v="20.239999999999998"/>
    <n v="20.239999999999998"/>
    <x v="1"/>
    <n v="75"/>
    <n v="75"/>
    <n v="96"/>
    <n v="96"/>
    <x v="0"/>
    <x v="0"/>
  </r>
  <r>
    <n v="0"/>
    <x v="0"/>
    <n v="51"/>
    <x v="1"/>
    <n v="2"/>
    <n v="2"/>
    <s v="Secondary"/>
    <x v="0"/>
    <n v="1"/>
    <n v="20"/>
    <n v="20"/>
    <x v="0"/>
    <n v="0"/>
    <x v="0"/>
    <n v="0"/>
    <n v="0"/>
    <n v="0"/>
    <n v="326"/>
    <n v="326"/>
    <x v="0"/>
    <n v="112"/>
    <n v="83"/>
    <n v="20.82"/>
    <n v="20.82"/>
    <x v="1"/>
    <n v="104"/>
    <n v="104"/>
    <n v="70"/>
    <n v="70"/>
    <x v="0"/>
    <x v="1"/>
  </r>
  <r>
    <n v="1"/>
    <x v="1"/>
    <n v="51"/>
    <x v="1"/>
    <n v="2"/>
    <n v="2"/>
    <s v="Secondary"/>
    <x v="0"/>
    <n v="1"/>
    <n v="5"/>
    <n v="5"/>
    <x v="0"/>
    <n v="0"/>
    <x v="0"/>
    <n v="0"/>
    <n v="1"/>
    <n v="0"/>
    <n v="290"/>
    <n v="290"/>
    <x v="0"/>
    <n v="168"/>
    <n v="103"/>
    <n v="29.11"/>
    <n v="29.11"/>
    <x v="0"/>
    <n v="80"/>
    <n v="80"/>
    <n v="64"/>
    <n v="64"/>
    <x v="0"/>
    <x v="1"/>
  </r>
  <r>
    <n v="0"/>
    <x v="0"/>
    <n v="51"/>
    <x v="1"/>
    <n v="2"/>
    <n v="2"/>
    <s v="Secondary"/>
    <x v="0"/>
    <n v="0"/>
    <n v="0"/>
    <n v="0"/>
    <x v="1"/>
    <n v="0"/>
    <x v="0"/>
    <n v="0"/>
    <n v="1"/>
    <n v="0"/>
    <n v="261"/>
    <n v="261"/>
    <x v="0"/>
    <n v="142"/>
    <n v="90"/>
    <n v="28.58"/>
    <n v="28.58"/>
    <x v="0"/>
    <n v="95"/>
    <n v="95"/>
    <n v="84"/>
    <n v="84"/>
    <x v="0"/>
    <x v="0"/>
  </r>
  <r>
    <n v="1"/>
    <x v="1"/>
    <n v="51"/>
    <x v="1"/>
    <n v="4"/>
    <n v="4"/>
    <s v="Post Graduate"/>
    <x v="3"/>
    <n v="0"/>
    <n v="0"/>
    <n v="0"/>
    <x v="1"/>
    <s v="NA"/>
    <x v="0"/>
    <n v="0"/>
    <n v="0"/>
    <n v="0"/>
    <n v="154"/>
    <n v="154"/>
    <x v="1"/>
    <n v="98"/>
    <n v="66"/>
    <n v="22.86"/>
    <n v="22.86"/>
    <x v="1"/>
    <n v="63"/>
    <n v="63"/>
    <n v="82"/>
    <n v="82"/>
    <x v="1"/>
    <x v="0"/>
  </r>
  <r>
    <n v="1"/>
    <x v="1"/>
    <n v="51"/>
    <x v="1"/>
    <n v="2"/>
    <n v="2"/>
    <s v="Secondary"/>
    <x v="0"/>
    <n v="0"/>
    <n v="0"/>
    <n v="0"/>
    <x v="1"/>
    <n v="0"/>
    <x v="0"/>
    <n v="0"/>
    <n v="1"/>
    <n v="0"/>
    <n v="227"/>
    <n v="227"/>
    <x v="1"/>
    <n v="158"/>
    <n v="105"/>
    <n v="27.22"/>
    <n v="27.22"/>
    <x v="0"/>
    <n v="60"/>
    <n v="60"/>
    <n v="96"/>
    <n v="96"/>
    <x v="0"/>
    <x v="1"/>
  </r>
  <r>
    <n v="0"/>
    <x v="0"/>
    <n v="51"/>
    <x v="1"/>
    <n v="4"/>
    <n v="4"/>
    <s v="Post Graduate"/>
    <x v="3"/>
    <n v="1"/>
    <n v="10"/>
    <n v="10"/>
    <x v="0"/>
    <n v="0"/>
    <x v="0"/>
    <n v="0"/>
    <n v="0"/>
    <n v="0"/>
    <n v="240"/>
    <n v="240"/>
    <x v="1"/>
    <n v="112"/>
    <n v="83"/>
    <n v="24.1"/>
    <n v="24.1"/>
    <x v="1"/>
    <n v="75"/>
    <n v="75"/>
    <n v="77"/>
    <n v="77"/>
    <x v="0"/>
    <x v="0"/>
  </r>
  <r>
    <n v="0"/>
    <x v="0"/>
    <n v="51"/>
    <x v="1"/>
    <n v="1"/>
    <n v="1"/>
    <s v="Primary"/>
    <x v="2"/>
    <n v="0"/>
    <n v="0"/>
    <n v="0"/>
    <x v="1"/>
    <n v="0"/>
    <x v="0"/>
    <n v="0"/>
    <n v="1"/>
    <n v="0"/>
    <n v="230"/>
    <n v="230"/>
    <x v="1"/>
    <n v="168.5"/>
    <n v="97"/>
    <n v="26.36"/>
    <n v="26.36"/>
    <x v="0"/>
    <n v="57"/>
    <n v="57"/>
    <n v="77"/>
    <n v="77"/>
    <x v="0"/>
    <x v="0"/>
  </r>
  <r>
    <n v="1"/>
    <x v="1"/>
    <n v="51"/>
    <x v="1"/>
    <n v="1"/>
    <n v="1"/>
    <s v="Primary"/>
    <x v="2"/>
    <n v="1"/>
    <n v="9"/>
    <n v="9"/>
    <x v="0"/>
    <n v="0"/>
    <x v="0"/>
    <n v="0"/>
    <n v="0"/>
    <n v="0"/>
    <n v="255"/>
    <n v="255"/>
    <x v="0"/>
    <n v="115"/>
    <n v="67"/>
    <n v="26.97"/>
    <n v="26.97"/>
    <x v="0"/>
    <n v="83"/>
    <n v="83"/>
    <n v="58"/>
    <n v="58"/>
    <x v="0"/>
    <x v="0"/>
  </r>
  <r>
    <n v="0"/>
    <x v="0"/>
    <n v="51"/>
    <x v="1"/>
    <n v="3"/>
    <n v="3"/>
    <s v="Graduate"/>
    <x v="1"/>
    <n v="0"/>
    <n v="0"/>
    <n v="0"/>
    <x v="1"/>
    <n v="0"/>
    <x v="0"/>
    <n v="0"/>
    <n v="0"/>
    <n v="0"/>
    <n v="242"/>
    <n v="242"/>
    <x v="0"/>
    <n v="108"/>
    <n v="77"/>
    <n v="22.91"/>
    <n v="22.91"/>
    <x v="1"/>
    <n v="68"/>
    <n v="68"/>
    <n v="80"/>
    <n v="80"/>
    <x v="0"/>
    <x v="0"/>
  </r>
  <r>
    <n v="1"/>
    <x v="1"/>
    <n v="51"/>
    <x v="1"/>
    <n v="4"/>
    <n v="4"/>
    <s v="Post Graduate"/>
    <x v="3"/>
    <n v="1"/>
    <n v="9"/>
    <n v="9"/>
    <x v="0"/>
    <n v="0"/>
    <x v="0"/>
    <n v="0"/>
    <n v="1"/>
    <n v="0"/>
    <n v="251"/>
    <n v="251"/>
    <x v="0"/>
    <n v="160"/>
    <n v="98"/>
    <n v="24.63"/>
    <n v="24.63"/>
    <x v="1"/>
    <n v="98"/>
    <n v="98"/>
    <n v="85"/>
    <n v="85"/>
    <x v="0"/>
    <x v="0"/>
  </r>
  <r>
    <n v="0"/>
    <x v="0"/>
    <n v="51"/>
    <x v="1"/>
    <n v="2"/>
    <n v="2"/>
    <s v="Secondary"/>
    <x v="0"/>
    <n v="1"/>
    <n v="15"/>
    <n v="15"/>
    <x v="0"/>
    <n v="0"/>
    <x v="0"/>
    <n v="0"/>
    <n v="0"/>
    <n v="0"/>
    <n v="220"/>
    <n v="220"/>
    <x v="1"/>
    <n v="137"/>
    <n v="79"/>
    <n v="21.66"/>
    <n v="21.66"/>
    <x v="1"/>
    <n v="80"/>
    <n v="80"/>
    <n v="74"/>
    <n v="74"/>
    <x v="0"/>
    <x v="0"/>
  </r>
  <r>
    <n v="0"/>
    <x v="0"/>
    <n v="51"/>
    <x v="1"/>
    <n v="1"/>
    <n v="1"/>
    <s v="Primary"/>
    <x v="2"/>
    <n v="0"/>
    <n v="0"/>
    <n v="0"/>
    <x v="1"/>
    <n v="0"/>
    <x v="0"/>
    <n v="0"/>
    <n v="1"/>
    <n v="0"/>
    <n v="190"/>
    <n v="190"/>
    <x v="1"/>
    <n v="153"/>
    <n v="102.5"/>
    <n v="39.22"/>
    <n v="39.22"/>
    <x v="2"/>
    <n v="100"/>
    <n v="100"/>
    <n v="69"/>
    <n v="69"/>
    <x v="0"/>
    <x v="0"/>
  </r>
  <r>
    <n v="0"/>
    <x v="0"/>
    <n v="51"/>
    <x v="1"/>
    <n v="2"/>
    <n v="2"/>
    <s v="Secondary"/>
    <x v="0"/>
    <n v="1"/>
    <n v="5"/>
    <n v="5"/>
    <x v="0"/>
    <n v="0"/>
    <x v="0"/>
    <n v="0"/>
    <n v="0"/>
    <n v="0"/>
    <n v="315"/>
    <n v="315"/>
    <x v="0"/>
    <n v="119"/>
    <n v="75"/>
    <n v="25.79"/>
    <n v="25.79"/>
    <x v="0"/>
    <n v="75"/>
    <n v="75"/>
    <n v="55"/>
    <n v="55"/>
    <x v="0"/>
    <x v="0"/>
  </r>
  <r>
    <n v="0"/>
    <x v="0"/>
    <n v="51"/>
    <x v="1"/>
    <n v="2"/>
    <n v="2"/>
    <s v="Secondary"/>
    <x v="0"/>
    <n v="0"/>
    <n v="0"/>
    <n v="0"/>
    <x v="1"/>
    <n v="0"/>
    <x v="0"/>
    <n v="0"/>
    <n v="0"/>
    <n v="0"/>
    <n v="295"/>
    <n v="295"/>
    <x v="0"/>
    <n v="131"/>
    <n v="87"/>
    <n v="24.41"/>
    <n v="24.41"/>
    <x v="1"/>
    <n v="85"/>
    <n v="85"/>
    <n v="77"/>
    <n v="77"/>
    <x v="0"/>
    <x v="0"/>
  </r>
  <r>
    <n v="1"/>
    <x v="1"/>
    <n v="51"/>
    <x v="1"/>
    <n v="1"/>
    <n v="1"/>
    <s v="Primary"/>
    <x v="2"/>
    <n v="1"/>
    <n v="40"/>
    <n v="40"/>
    <x v="0"/>
    <n v="0"/>
    <x v="0"/>
    <n v="0"/>
    <n v="1"/>
    <n v="0"/>
    <n v="227"/>
    <n v="227"/>
    <x v="1"/>
    <n v="162.5"/>
    <n v="104"/>
    <n v="34.97"/>
    <n v="34.97"/>
    <x v="2"/>
    <n v="90"/>
    <n v="90"/>
    <n v="65"/>
    <n v="65"/>
    <x v="0"/>
    <x v="1"/>
  </r>
  <r>
    <n v="0"/>
    <x v="0"/>
    <n v="51"/>
    <x v="1"/>
    <n v="3"/>
    <n v="3"/>
    <s v="Graduate"/>
    <x v="1"/>
    <n v="1"/>
    <n v="15"/>
    <n v="15"/>
    <x v="0"/>
    <n v="0"/>
    <x v="0"/>
    <n v="0"/>
    <n v="1"/>
    <n v="0"/>
    <n v="275"/>
    <n v="275"/>
    <x v="0"/>
    <n v="150"/>
    <n v="99"/>
    <n v="23.17"/>
    <n v="23.17"/>
    <x v="1"/>
    <n v="75"/>
    <n v="75"/>
    <n v="65"/>
    <n v="65"/>
    <x v="0"/>
    <x v="0"/>
  </r>
  <r>
    <n v="1"/>
    <x v="1"/>
    <n v="51"/>
    <x v="1"/>
    <s v="NA"/>
    <n v="1"/>
    <s v="Primary"/>
    <x v="2"/>
    <n v="0"/>
    <n v="0"/>
    <n v="0"/>
    <x v="1"/>
    <n v="0"/>
    <x v="0"/>
    <n v="0"/>
    <n v="0"/>
    <n v="0"/>
    <n v="219"/>
    <n v="219"/>
    <x v="1"/>
    <n v="125"/>
    <n v="84"/>
    <n v="20.12"/>
    <n v="20.12"/>
    <x v="1"/>
    <n v="72"/>
    <n v="72"/>
    <n v="76"/>
    <n v="76"/>
    <x v="0"/>
    <x v="0"/>
  </r>
  <r>
    <n v="0"/>
    <x v="0"/>
    <n v="51"/>
    <x v="1"/>
    <n v="2"/>
    <n v="2"/>
    <s v="Secondary"/>
    <x v="0"/>
    <n v="0"/>
    <n v="0"/>
    <n v="0"/>
    <x v="1"/>
    <n v="0"/>
    <x v="0"/>
    <n v="0"/>
    <n v="1"/>
    <n v="0"/>
    <n v="346"/>
    <n v="346"/>
    <x v="0"/>
    <n v="152"/>
    <n v="96.5"/>
    <n v="25.29"/>
    <n v="25.29"/>
    <x v="0"/>
    <n v="102"/>
    <n v="102"/>
    <n v="79"/>
    <n v="79"/>
    <x v="0"/>
    <x v="0"/>
  </r>
  <r>
    <n v="1"/>
    <x v="1"/>
    <n v="51"/>
    <x v="1"/>
    <n v="4"/>
    <n v="4"/>
    <s v="Post Graduate"/>
    <x v="3"/>
    <n v="0"/>
    <n v="0"/>
    <n v="0"/>
    <x v="1"/>
    <n v="0"/>
    <x v="0"/>
    <n v="0"/>
    <n v="0"/>
    <n v="0"/>
    <n v="199"/>
    <n v="199"/>
    <x v="1"/>
    <n v="113"/>
    <n v="68"/>
    <n v="22.46"/>
    <n v="22.46"/>
    <x v="1"/>
    <n v="58"/>
    <n v="58"/>
    <n v="68"/>
    <n v="68"/>
    <x v="0"/>
    <x v="0"/>
  </r>
  <r>
    <n v="0"/>
    <x v="0"/>
    <n v="51"/>
    <x v="1"/>
    <n v="4"/>
    <n v="4"/>
    <s v="Post Graduate"/>
    <x v="3"/>
    <n v="0"/>
    <n v="0"/>
    <n v="0"/>
    <x v="1"/>
    <n v="0"/>
    <x v="0"/>
    <n v="0"/>
    <n v="0"/>
    <n v="0"/>
    <n v="239"/>
    <n v="239"/>
    <x v="1"/>
    <n v="110"/>
    <n v="73"/>
    <n v="22.62"/>
    <n v="22.62"/>
    <x v="1"/>
    <n v="87"/>
    <n v="87"/>
    <s v="NA"/>
    <n v="81.96365524402907"/>
    <x v="0"/>
    <x v="0"/>
  </r>
  <r>
    <n v="0"/>
    <x v="0"/>
    <n v="51"/>
    <x v="1"/>
    <n v="3"/>
    <n v="3"/>
    <s v="Graduate"/>
    <x v="1"/>
    <n v="1"/>
    <n v="43"/>
    <n v="43"/>
    <x v="0"/>
    <n v="0"/>
    <x v="0"/>
    <n v="0"/>
    <n v="0"/>
    <n v="0"/>
    <s v="NA"/>
    <n v="236.69952267303103"/>
    <x v="1"/>
    <n v="122"/>
    <n v="76"/>
    <n v="25.73"/>
    <n v="25.73"/>
    <x v="0"/>
    <n v="80"/>
    <n v="80"/>
    <s v="NA"/>
    <n v="81.96365524402907"/>
    <x v="0"/>
    <x v="0"/>
  </r>
  <r>
    <n v="0"/>
    <x v="0"/>
    <n v="51"/>
    <x v="1"/>
    <n v="3"/>
    <n v="3"/>
    <s v="Graduate"/>
    <x v="1"/>
    <n v="0"/>
    <n v="0"/>
    <n v="0"/>
    <x v="1"/>
    <n v="0"/>
    <x v="0"/>
    <n v="0"/>
    <n v="0"/>
    <n v="0"/>
    <n v="264"/>
    <n v="264"/>
    <x v="0"/>
    <n v="135"/>
    <n v="83"/>
    <n v="26.68"/>
    <n v="26.68"/>
    <x v="0"/>
    <n v="60"/>
    <n v="60"/>
    <n v="74"/>
    <n v="74"/>
    <x v="0"/>
    <x v="0"/>
  </r>
  <r>
    <n v="1"/>
    <x v="1"/>
    <n v="51"/>
    <x v="1"/>
    <n v="1"/>
    <n v="1"/>
    <s v="Primary"/>
    <x v="2"/>
    <n v="1"/>
    <n v="30"/>
    <n v="30"/>
    <x v="0"/>
    <n v="0"/>
    <x v="0"/>
    <n v="0"/>
    <n v="0"/>
    <n v="0"/>
    <n v="241"/>
    <n v="241"/>
    <x v="0"/>
    <n v="118"/>
    <n v="79"/>
    <n v="20.09"/>
    <n v="20.09"/>
    <x v="1"/>
    <n v="70"/>
    <n v="70"/>
    <n v="56"/>
    <n v="56"/>
    <x v="0"/>
    <x v="0"/>
  </r>
  <r>
    <n v="1"/>
    <x v="1"/>
    <n v="51"/>
    <x v="1"/>
    <n v="1"/>
    <n v="1"/>
    <s v="Primary"/>
    <x v="2"/>
    <n v="0"/>
    <n v="0"/>
    <n v="0"/>
    <x v="1"/>
    <n v="0"/>
    <x v="0"/>
    <n v="0"/>
    <n v="1"/>
    <n v="0"/>
    <n v="220"/>
    <n v="220"/>
    <x v="1"/>
    <n v="151"/>
    <n v="87.5"/>
    <n v="22.01"/>
    <n v="22.01"/>
    <x v="1"/>
    <n v="80"/>
    <n v="80"/>
    <n v="86"/>
    <n v="86"/>
    <x v="0"/>
    <x v="0"/>
  </r>
  <r>
    <n v="0"/>
    <x v="0"/>
    <n v="51"/>
    <x v="1"/>
    <n v="2"/>
    <n v="2"/>
    <s v="Secondary"/>
    <x v="0"/>
    <n v="0"/>
    <n v="0"/>
    <n v="0"/>
    <x v="1"/>
    <n v="0"/>
    <x v="0"/>
    <n v="0"/>
    <n v="1"/>
    <n v="0"/>
    <n v="238"/>
    <n v="238"/>
    <x v="1"/>
    <n v="123"/>
    <n v="80"/>
    <n v="22.19"/>
    <n v="22.19"/>
    <x v="1"/>
    <n v="80"/>
    <n v="80"/>
    <n v="100"/>
    <n v="100"/>
    <x v="0"/>
    <x v="0"/>
  </r>
  <r>
    <n v="1"/>
    <x v="1"/>
    <n v="51"/>
    <x v="1"/>
    <n v="1"/>
    <n v="1"/>
    <s v="Primary"/>
    <x v="2"/>
    <n v="1"/>
    <n v="20"/>
    <n v="20"/>
    <x v="0"/>
    <n v="0"/>
    <x v="0"/>
    <n v="0"/>
    <n v="0"/>
    <n v="0"/>
    <n v="195"/>
    <n v="195"/>
    <x v="1"/>
    <n v="122"/>
    <n v="72"/>
    <n v="21.51"/>
    <n v="21.51"/>
    <x v="1"/>
    <n v="82"/>
    <n v="82"/>
    <n v="64"/>
    <n v="64"/>
    <x v="0"/>
    <x v="1"/>
  </r>
  <r>
    <n v="1"/>
    <x v="1"/>
    <n v="51"/>
    <x v="1"/>
    <n v="3"/>
    <n v="3"/>
    <s v="Graduate"/>
    <x v="1"/>
    <n v="0"/>
    <n v="0"/>
    <n v="0"/>
    <x v="1"/>
    <n v="0"/>
    <x v="0"/>
    <n v="0"/>
    <n v="1"/>
    <n v="0"/>
    <n v="268"/>
    <n v="268"/>
    <x v="0"/>
    <n v="206"/>
    <n v="116"/>
    <n v="26.35"/>
    <n v="26.35"/>
    <x v="0"/>
    <n v="98"/>
    <n v="98"/>
    <n v="70"/>
    <n v="70"/>
    <x v="0"/>
    <x v="1"/>
  </r>
  <r>
    <n v="1"/>
    <x v="1"/>
    <n v="51"/>
    <x v="1"/>
    <n v="2"/>
    <n v="2"/>
    <s v="Secondary"/>
    <x v="0"/>
    <n v="1"/>
    <n v="15"/>
    <n v="15"/>
    <x v="0"/>
    <n v="0"/>
    <x v="0"/>
    <n v="0"/>
    <n v="0"/>
    <n v="0"/>
    <n v="267"/>
    <n v="267"/>
    <x v="0"/>
    <n v="129.5"/>
    <n v="80"/>
    <n v="25.98"/>
    <n v="25.98"/>
    <x v="0"/>
    <n v="70"/>
    <n v="70"/>
    <n v="79"/>
    <n v="79"/>
    <x v="0"/>
    <x v="0"/>
  </r>
  <r>
    <n v="0"/>
    <x v="0"/>
    <n v="51"/>
    <x v="1"/>
    <n v="1"/>
    <n v="1"/>
    <s v="Primary"/>
    <x v="2"/>
    <n v="1"/>
    <n v="9"/>
    <n v="9"/>
    <x v="0"/>
    <n v="0"/>
    <x v="0"/>
    <n v="0"/>
    <n v="0"/>
    <n v="0"/>
    <n v="340"/>
    <n v="340"/>
    <x v="0"/>
    <n v="152"/>
    <n v="76"/>
    <n v="25.74"/>
    <n v="25.74"/>
    <x v="0"/>
    <n v="70"/>
    <n v="70"/>
    <s v="NA"/>
    <n v="81.96365524402907"/>
    <x v="0"/>
    <x v="0"/>
  </r>
  <r>
    <n v="0"/>
    <x v="0"/>
    <n v="51"/>
    <x v="1"/>
    <n v="3"/>
    <n v="3"/>
    <s v="Graduate"/>
    <x v="1"/>
    <n v="1"/>
    <n v="20"/>
    <n v="20"/>
    <x v="0"/>
    <n v="0"/>
    <x v="0"/>
    <n v="0"/>
    <n v="1"/>
    <n v="0"/>
    <n v="251"/>
    <n v="251"/>
    <x v="0"/>
    <n v="140"/>
    <n v="80"/>
    <n v="25.6"/>
    <n v="25.6"/>
    <x v="0"/>
    <n v="75"/>
    <n v="75"/>
    <s v="NA"/>
    <n v="81.96365524402907"/>
    <x v="0"/>
    <x v="0"/>
  </r>
  <r>
    <n v="1"/>
    <x v="1"/>
    <n v="51"/>
    <x v="1"/>
    <n v="3"/>
    <n v="3"/>
    <s v="Graduate"/>
    <x v="1"/>
    <n v="1"/>
    <n v="43"/>
    <n v="43"/>
    <x v="0"/>
    <n v="0"/>
    <x v="0"/>
    <n v="0"/>
    <n v="0"/>
    <n v="0"/>
    <n v="207"/>
    <n v="207"/>
    <x v="1"/>
    <n v="126.5"/>
    <n v="80"/>
    <n v="19.71"/>
    <n v="19.71"/>
    <x v="1"/>
    <n v="65"/>
    <n v="65"/>
    <n v="68"/>
    <n v="68"/>
    <x v="0"/>
    <x v="0"/>
  </r>
  <r>
    <n v="1"/>
    <x v="1"/>
    <n v="52"/>
    <x v="1"/>
    <n v="1"/>
    <n v="1"/>
    <s v="Primary"/>
    <x v="2"/>
    <n v="0"/>
    <n v="0"/>
    <n v="0"/>
    <x v="1"/>
    <n v="0"/>
    <x v="0"/>
    <n v="0"/>
    <n v="1"/>
    <n v="0"/>
    <n v="260"/>
    <n v="260"/>
    <x v="0"/>
    <n v="141.5"/>
    <n v="89"/>
    <n v="26.36"/>
    <n v="26.36"/>
    <x v="0"/>
    <n v="76"/>
    <n v="76"/>
    <n v="79"/>
    <n v="79"/>
    <x v="0"/>
    <x v="0"/>
  </r>
  <r>
    <n v="0"/>
    <x v="0"/>
    <n v="52"/>
    <x v="1"/>
    <n v="1"/>
    <n v="1"/>
    <s v="Primary"/>
    <x v="2"/>
    <n v="0"/>
    <n v="0"/>
    <n v="0"/>
    <x v="1"/>
    <n v="0"/>
    <x v="0"/>
    <n v="0"/>
    <n v="0"/>
    <n v="0"/>
    <n v="234"/>
    <n v="234"/>
    <x v="1"/>
    <n v="148"/>
    <n v="78"/>
    <n v="34.17"/>
    <n v="34.17"/>
    <x v="2"/>
    <n v="70"/>
    <n v="70"/>
    <n v="113"/>
    <n v="113"/>
    <x v="0"/>
    <x v="0"/>
  </r>
  <r>
    <n v="0"/>
    <x v="0"/>
    <n v="52"/>
    <x v="1"/>
    <n v="3"/>
    <n v="3"/>
    <s v="Graduate"/>
    <x v="1"/>
    <n v="1"/>
    <n v="20"/>
    <n v="20"/>
    <x v="0"/>
    <n v="0"/>
    <x v="0"/>
    <n v="0"/>
    <n v="0"/>
    <n v="0"/>
    <n v="215"/>
    <n v="215"/>
    <x v="1"/>
    <n v="132"/>
    <n v="82"/>
    <n v="25.11"/>
    <n v="25.11"/>
    <x v="0"/>
    <n v="71"/>
    <n v="71"/>
    <n v="75"/>
    <n v="75"/>
    <x v="0"/>
    <x v="0"/>
  </r>
  <r>
    <n v="1"/>
    <x v="1"/>
    <n v="52"/>
    <x v="1"/>
    <n v="1"/>
    <n v="1"/>
    <s v="Primary"/>
    <x v="2"/>
    <n v="0"/>
    <n v="0"/>
    <n v="0"/>
    <x v="1"/>
    <n v="0"/>
    <x v="0"/>
    <n v="0"/>
    <n v="1"/>
    <n v="1"/>
    <n v="178"/>
    <n v="178"/>
    <x v="1"/>
    <n v="160"/>
    <n v="98"/>
    <n v="40.11"/>
    <n v="40.11"/>
    <x v="2"/>
    <n v="75"/>
    <n v="75"/>
    <n v="225"/>
    <n v="225"/>
    <x v="0"/>
    <x v="0"/>
  </r>
  <r>
    <n v="0"/>
    <x v="0"/>
    <n v="52"/>
    <x v="1"/>
    <n v="1"/>
    <n v="1"/>
    <s v="Primary"/>
    <x v="2"/>
    <n v="0"/>
    <n v="0"/>
    <n v="0"/>
    <x v="1"/>
    <n v="1"/>
    <x v="1"/>
    <n v="0"/>
    <n v="1"/>
    <n v="0"/>
    <s v="NA"/>
    <n v="236.69952267303103"/>
    <x v="1"/>
    <n v="148"/>
    <n v="92"/>
    <n v="25.09"/>
    <n v="25.09"/>
    <x v="0"/>
    <n v="70"/>
    <n v="70"/>
    <s v="NA"/>
    <n v="81.96365524402907"/>
    <x v="0"/>
    <x v="1"/>
  </r>
  <r>
    <n v="0"/>
    <x v="0"/>
    <n v="52"/>
    <x v="1"/>
    <n v="4"/>
    <n v="4"/>
    <s v="Post Graduate"/>
    <x v="3"/>
    <n v="0"/>
    <n v="0"/>
    <n v="0"/>
    <x v="1"/>
    <n v="0"/>
    <x v="0"/>
    <n v="0"/>
    <n v="0"/>
    <n v="0"/>
    <n v="302"/>
    <n v="302"/>
    <x v="0"/>
    <n v="110"/>
    <n v="67.5"/>
    <n v="23.51"/>
    <n v="23.51"/>
    <x v="1"/>
    <n v="63"/>
    <n v="63"/>
    <n v="87"/>
    <n v="87"/>
    <x v="0"/>
    <x v="0"/>
  </r>
  <r>
    <n v="0"/>
    <x v="0"/>
    <n v="52"/>
    <x v="1"/>
    <n v="1"/>
    <n v="1"/>
    <s v="Primary"/>
    <x v="2"/>
    <n v="1"/>
    <n v="15"/>
    <n v="15"/>
    <x v="0"/>
    <n v="0"/>
    <x v="0"/>
    <n v="0"/>
    <n v="0"/>
    <n v="0"/>
    <n v="170"/>
    <n v="170"/>
    <x v="1"/>
    <n v="124"/>
    <n v="78"/>
    <n v="26.03"/>
    <n v="26.03"/>
    <x v="0"/>
    <n v="75"/>
    <n v="75"/>
    <n v="82"/>
    <n v="82"/>
    <x v="0"/>
    <x v="0"/>
  </r>
  <r>
    <n v="0"/>
    <x v="0"/>
    <n v="52"/>
    <x v="1"/>
    <n v="1"/>
    <n v="1"/>
    <s v="Primary"/>
    <x v="2"/>
    <n v="0"/>
    <n v="0"/>
    <n v="0"/>
    <x v="1"/>
    <n v="0"/>
    <x v="0"/>
    <n v="0"/>
    <n v="0"/>
    <n v="0"/>
    <n v="235"/>
    <n v="235"/>
    <x v="1"/>
    <n v="129.5"/>
    <n v="83"/>
    <n v="28.86"/>
    <n v="28.86"/>
    <x v="0"/>
    <n v="65"/>
    <n v="65"/>
    <n v="79"/>
    <n v="79"/>
    <x v="0"/>
    <x v="1"/>
  </r>
  <r>
    <n v="0"/>
    <x v="0"/>
    <n v="52"/>
    <x v="1"/>
    <n v="2"/>
    <n v="2"/>
    <s v="Secondary"/>
    <x v="0"/>
    <n v="0"/>
    <n v="0"/>
    <n v="0"/>
    <x v="1"/>
    <n v="0"/>
    <x v="0"/>
    <n v="0"/>
    <n v="1"/>
    <n v="0"/>
    <n v="216"/>
    <n v="216"/>
    <x v="1"/>
    <n v="158"/>
    <n v="98"/>
    <n v="24.53"/>
    <n v="24.53"/>
    <x v="1"/>
    <n v="70"/>
    <n v="70"/>
    <n v="86"/>
    <n v="86"/>
    <x v="0"/>
    <x v="0"/>
  </r>
  <r>
    <n v="1"/>
    <x v="1"/>
    <n v="52"/>
    <x v="1"/>
    <n v="2"/>
    <n v="2"/>
    <s v="Secondary"/>
    <x v="0"/>
    <n v="1"/>
    <n v="15"/>
    <n v="15"/>
    <x v="0"/>
    <n v="0"/>
    <x v="0"/>
    <n v="0"/>
    <n v="0"/>
    <n v="0"/>
    <n v="240"/>
    <n v="240"/>
    <x v="1"/>
    <n v="94"/>
    <n v="66.5"/>
    <n v="22.93"/>
    <n v="22.93"/>
    <x v="1"/>
    <n v="70"/>
    <n v="70"/>
    <n v="88"/>
    <n v="88"/>
    <x v="0"/>
    <x v="0"/>
  </r>
  <r>
    <n v="0"/>
    <x v="0"/>
    <n v="52"/>
    <x v="1"/>
    <n v="3"/>
    <n v="3"/>
    <s v="Graduate"/>
    <x v="1"/>
    <n v="0"/>
    <n v="0"/>
    <n v="0"/>
    <x v="1"/>
    <n v="0"/>
    <x v="0"/>
    <n v="0"/>
    <n v="0"/>
    <n v="0"/>
    <n v="254"/>
    <n v="254"/>
    <x v="0"/>
    <n v="126.5"/>
    <n v="93"/>
    <n v="26.79"/>
    <n v="26.79"/>
    <x v="0"/>
    <n v="75"/>
    <n v="75"/>
    <n v="65"/>
    <n v="65"/>
    <x v="0"/>
    <x v="0"/>
  </r>
  <r>
    <n v="1"/>
    <x v="1"/>
    <n v="52"/>
    <x v="1"/>
    <n v="3"/>
    <n v="3"/>
    <s v="Graduate"/>
    <x v="1"/>
    <n v="0"/>
    <n v="0"/>
    <n v="0"/>
    <x v="1"/>
    <n v="0"/>
    <x v="0"/>
    <n v="0"/>
    <n v="1"/>
    <n v="1"/>
    <n v="240"/>
    <n v="240"/>
    <x v="1"/>
    <n v="146"/>
    <n v="89"/>
    <n v="24.59"/>
    <n v="24.59"/>
    <x v="1"/>
    <n v="64"/>
    <n v="64"/>
    <n v="73"/>
    <n v="73"/>
    <x v="0"/>
    <x v="0"/>
  </r>
  <r>
    <n v="1"/>
    <x v="1"/>
    <n v="52"/>
    <x v="1"/>
    <n v="1"/>
    <n v="1"/>
    <s v="Primary"/>
    <x v="2"/>
    <n v="0"/>
    <n v="0"/>
    <n v="0"/>
    <x v="1"/>
    <n v="0"/>
    <x v="0"/>
    <n v="0"/>
    <n v="0"/>
    <n v="0"/>
    <n v="215"/>
    <n v="215"/>
    <x v="1"/>
    <n v="129"/>
    <n v="80"/>
    <n v="29.29"/>
    <n v="29.29"/>
    <x v="0"/>
    <n v="70"/>
    <n v="70"/>
    <n v="87"/>
    <n v="87"/>
    <x v="0"/>
    <x v="0"/>
  </r>
  <r>
    <n v="0"/>
    <x v="0"/>
    <n v="52"/>
    <x v="1"/>
    <s v="NA"/>
    <n v="1"/>
    <s v="Primary"/>
    <x v="2"/>
    <n v="0"/>
    <n v="0"/>
    <n v="0"/>
    <x v="1"/>
    <n v="0"/>
    <x v="0"/>
    <n v="0"/>
    <n v="0"/>
    <n v="0"/>
    <n v="268"/>
    <n v="268"/>
    <x v="0"/>
    <n v="109"/>
    <n v="70"/>
    <n v="23.74"/>
    <n v="23.74"/>
    <x v="1"/>
    <n v="75"/>
    <n v="75"/>
    <n v="78"/>
    <n v="78"/>
    <x v="0"/>
    <x v="0"/>
  </r>
  <r>
    <n v="0"/>
    <x v="0"/>
    <n v="52"/>
    <x v="1"/>
    <n v="2"/>
    <n v="2"/>
    <s v="Secondary"/>
    <x v="0"/>
    <n v="0"/>
    <n v="0"/>
    <n v="0"/>
    <x v="1"/>
    <n v="0"/>
    <x v="0"/>
    <n v="0"/>
    <n v="1"/>
    <n v="0"/>
    <n v="225"/>
    <n v="225"/>
    <x v="1"/>
    <n v="157.5"/>
    <n v="80.5"/>
    <n v="24.36"/>
    <n v="24.36"/>
    <x v="1"/>
    <n v="79"/>
    <n v="79"/>
    <s v="NA"/>
    <n v="81.96365524402907"/>
    <x v="0"/>
    <x v="0"/>
  </r>
  <r>
    <n v="0"/>
    <x v="0"/>
    <n v="52"/>
    <x v="1"/>
    <n v="1"/>
    <n v="1"/>
    <s v="Primary"/>
    <x v="2"/>
    <n v="0"/>
    <n v="0"/>
    <n v="0"/>
    <x v="1"/>
    <n v="0"/>
    <x v="0"/>
    <n v="0"/>
    <n v="0"/>
    <n v="0"/>
    <n v="245"/>
    <n v="245"/>
    <x v="0"/>
    <n v="145"/>
    <n v="89"/>
    <n v="25.02"/>
    <n v="25.02"/>
    <x v="0"/>
    <n v="90"/>
    <n v="90"/>
    <n v="80"/>
    <n v="80"/>
    <x v="0"/>
    <x v="0"/>
  </r>
  <r>
    <n v="0"/>
    <x v="0"/>
    <n v="52"/>
    <x v="1"/>
    <n v="1"/>
    <n v="1"/>
    <s v="Primary"/>
    <x v="2"/>
    <n v="1"/>
    <n v="25"/>
    <n v="25"/>
    <x v="0"/>
    <n v="0"/>
    <x v="0"/>
    <n v="0"/>
    <n v="0"/>
    <n v="0"/>
    <n v="235"/>
    <n v="235"/>
    <x v="1"/>
    <n v="119"/>
    <n v="82"/>
    <n v="24.25"/>
    <n v="24.25"/>
    <x v="1"/>
    <n v="77"/>
    <n v="77"/>
    <n v="79"/>
    <n v="79"/>
    <x v="0"/>
    <x v="0"/>
  </r>
  <r>
    <n v="0"/>
    <x v="0"/>
    <n v="52"/>
    <x v="1"/>
    <n v="1"/>
    <n v="1"/>
    <s v="Primary"/>
    <x v="2"/>
    <n v="0"/>
    <n v="0"/>
    <n v="0"/>
    <x v="1"/>
    <n v="0"/>
    <x v="0"/>
    <n v="0"/>
    <n v="0"/>
    <n v="0"/>
    <n v="248"/>
    <n v="248"/>
    <x v="0"/>
    <n v="155"/>
    <n v="93"/>
    <n v="23.09"/>
    <n v="23.09"/>
    <x v="1"/>
    <n v="75"/>
    <n v="75"/>
    <n v="70"/>
    <n v="70"/>
    <x v="0"/>
    <x v="0"/>
  </r>
  <r>
    <n v="1"/>
    <x v="1"/>
    <n v="52"/>
    <x v="1"/>
    <n v="1"/>
    <n v="1"/>
    <s v="Primary"/>
    <x v="2"/>
    <n v="1"/>
    <n v="25"/>
    <n v="25"/>
    <x v="0"/>
    <n v="0"/>
    <x v="0"/>
    <n v="0"/>
    <n v="1"/>
    <n v="0"/>
    <n v="206"/>
    <n v="206"/>
    <x v="1"/>
    <n v="173"/>
    <n v="117"/>
    <n v="29.63"/>
    <n v="29.63"/>
    <x v="0"/>
    <n v="75"/>
    <n v="75"/>
    <n v="77"/>
    <n v="77"/>
    <x v="0"/>
    <x v="1"/>
  </r>
  <r>
    <n v="1"/>
    <x v="1"/>
    <n v="52"/>
    <x v="1"/>
    <n v="2"/>
    <n v="2"/>
    <s v="Secondary"/>
    <x v="0"/>
    <n v="1"/>
    <n v="20"/>
    <n v="20"/>
    <x v="0"/>
    <n v="0"/>
    <x v="0"/>
    <n v="0"/>
    <n v="0"/>
    <n v="0"/>
    <n v="215"/>
    <n v="215"/>
    <x v="1"/>
    <n v="98"/>
    <n v="65"/>
    <n v="20.87"/>
    <n v="20.87"/>
    <x v="1"/>
    <n v="68"/>
    <n v="68"/>
    <n v="76"/>
    <n v="76"/>
    <x v="0"/>
    <x v="0"/>
  </r>
  <r>
    <n v="0"/>
    <x v="0"/>
    <n v="52"/>
    <x v="1"/>
    <n v="1"/>
    <n v="1"/>
    <s v="Primary"/>
    <x v="2"/>
    <n v="1"/>
    <n v="3"/>
    <n v="3"/>
    <x v="0"/>
    <n v="0"/>
    <x v="0"/>
    <n v="0"/>
    <n v="1"/>
    <n v="0"/>
    <n v="210"/>
    <n v="210"/>
    <x v="1"/>
    <n v="185"/>
    <n v="114"/>
    <n v="27.01"/>
    <n v="27.01"/>
    <x v="0"/>
    <n v="70"/>
    <n v="70"/>
    <n v="83"/>
    <n v="83"/>
    <x v="0"/>
    <x v="0"/>
  </r>
  <r>
    <n v="0"/>
    <x v="0"/>
    <n v="52"/>
    <x v="1"/>
    <n v="2"/>
    <n v="2"/>
    <s v="Secondary"/>
    <x v="0"/>
    <n v="1"/>
    <n v="20"/>
    <n v="20"/>
    <x v="0"/>
    <n v="0"/>
    <x v="0"/>
    <n v="0"/>
    <n v="0"/>
    <n v="0"/>
    <n v="244"/>
    <n v="244"/>
    <x v="0"/>
    <n v="127.5"/>
    <n v="72.5"/>
    <n v="24.29"/>
    <n v="24.29"/>
    <x v="1"/>
    <n v="67"/>
    <n v="67"/>
    <n v="118"/>
    <n v="118"/>
    <x v="0"/>
    <x v="0"/>
  </r>
  <r>
    <n v="0"/>
    <x v="0"/>
    <n v="52"/>
    <x v="1"/>
    <n v="2"/>
    <n v="2"/>
    <s v="Secondary"/>
    <x v="0"/>
    <n v="1"/>
    <n v="20"/>
    <n v="20"/>
    <x v="0"/>
    <n v="0"/>
    <x v="0"/>
    <n v="0"/>
    <n v="0"/>
    <n v="0"/>
    <n v="190"/>
    <n v="190"/>
    <x v="1"/>
    <n v="117"/>
    <n v="75"/>
    <n v="21.48"/>
    <n v="21.48"/>
    <x v="1"/>
    <n v="67"/>
    <n v="67"/>
    <n v="67"/>
    <n v="67"/>
    <x v="0"/>
    <x v="0"/>
  </r>
  <r>
    <n v="1"/>
    <x v="1"/>
    <n v="52"/>
    <x v="1"/>
    <n v="2"/>
    <n v="2"/>
    <s v="Secondary"/>
    <x v="0"/>
    <n v="0"/>
    <n v="0"/>
    <n v="0"/>
    <x v="1"/>
    <n v="0"/>
    <x v="0"/>
    <n v="0"/>
    <n v="1"/>
    <n v="0"/>
    <n v="196"/>
    <n v="196"/>
    <x v="1"/>
    <n v="126"/>
    <n v="80"/>
    <n v="22.32"/>
    <n v="22.32"/>
    <x v="1"/>
    <n v="104"/>
    <n v="104"/>
    <n v="74"/>
    <n v="74"/>
    <x v="0"/>
    <x v="0"/>
  </r>
  <r>
    <n v="1"/>
    <x v="1"/>
    <n v="52"/>
    <x v="1"/>
    <n v="1"/>
    <n v="1"/>
    <s v="Primary"/>
    <x v="2"/>
    <n v="1"/>
    <n v="1"/>
    <n v="1"/>
    <x v="0"/>
    <n v="0"/>
    <x v="0"/>
    <n v="0"/>
    <n v="0"/>
    <n v="0"/>
    <n v="211"/>
    <n v="211"/>
    <x v="1"/>
    <n v="118.5"/>
    <n v="82.5"/>
    <n v="24.83"/>
    <n v="24.83"/>
    <x v="1"/>
    <n v="76"/>
    <n v="76"/>
    <n v="80"/>
    <n v="80"/>
    <x v="0"/>
    <x v="0"/>
  </r>
  <r>
    <n v="0"/>
    <x v="0"/>
    <n v="52"/>
    <x v="1"/>
    <n v="3"/>
    <n v="3"/>
    <s v="Graduate"/>
    <x v="1"/>
    <n v="0"/>
    <n v="0"/>
    <n v="0"/>
    <x v="1"/>
    <n v="0"/>
    <x v="0"/>
    <n v="0"/>
    <n v="0"/>
    <n v="0"/>
    <n v="272"/>
    <n v="272"/>
    <x v="0"/>
    <n v="118.5"/>
    <n v="69"/>
    <n v="18.98"/>
    <n v="18.98"/>
    <x v="1"/>
    <n v="70"/>
    <n v="70"/>
    <n v="75"/>
    <n v="75"/>
    <x v="0"/>
    <x v="0"/>
  </r>
  <r>
    <n v="0"/>
    <x v="0"/>
    <n v="52"/>
    <x v="1"/>
    <n v="1"/>
    <n v="1"/>
    <s v="Primary"/>
    <x v="2"/>
    <n v="0"/>
    <n v="0"/>
    <n v="0"/>
    <x v="1"/>
    <n v="0"/>
    <x v="0"/>
    <n v="0"/>
    <n v="1"/>
    <n v="0"/>
    <n v="247"/>
    <n v="247"/>
    <x v="0"/>
    <n v="146"/>
    <n v="88"/>
    <n v="27.26"/>
    <n v="27.26"/>
    <x v="0"/>
    <n v="69"/>
    <n v="69"/>
    <n v="63"/>
    <n v="63"/>
    <x v="0"/>
    <x v="0"/>
  </r>
  <r>
    <n v="1"/>
    <x v="1"/>
    <n v="52"/>
    <x v="1"/>
    <n v="3"/>
    <n v="3"/>
    <s v="Graduate"/>
    <x v="1"/>
    <n v="0"/>
    <n v="0"/>
    <n v="0"/>
    <x v="1"/>
    <n v="0"/>
    <x v="0"/>
    <n v="0"/>
    <n v="0"/>
    <n v="0"/>
    <n v="205"/>
    <n v="205"/>
    <x v="1"/>
    <n v="122"/>
    <n v="73"/>
    <n v="22.73"/>
    <n v="22.73"/>
    <x v="1"/>
    <n v="70"/>
    <n v="70"/>
    <n v="85"/>
    <n v="85"/>
    <x v="0"/>
    <x v="0"/>
  </r>
  <r>
    <n v="1"/>
    <x v="1"/>
    <n v="52"/>
    <x v="1"/>
    <n v="4"/>
    <n v="4"/>
    <s v="Post Graduate"/>
    <x v="3"/>
    <n v="1"/>
    <n v="20"/>
    <n v="20"/>
    <x v="0"/>
    <n v="0"/>
    <x v="0"/>
    <n v="0"/>
    <n v="1"/>
    <n v="0"/>
    <n v="225"/>
    <n v="225"/>
    <x v="1"/>
    <n v="156"/>
    <n v="98"/>
    <n v="30.93"/>
    <n v="30.93"/>
    <x v="2"/>
    <n v="80"/>
    <n v="80"/>
    <n v="100"/>
    <n v="100"/>
    <x v="0"/>
    <x v="1"/>
  </r>
  <r>
    <n v="1"/>
    <x v="1"/>
    <n v="52"/>
    <x v="1"/>
    <n v="3"/>
    <n v="3"/>
    <s v="Graduate"/>
    <x v="1"/>
    <n v="1"/>
    <n v="20"/>
    <n v="20"/>
    <x v="0"/>
    <n v="0"/>
    <x v="0"/>
    <n v="0"/>
    <n v="0"/>
    <n v="0"/>
    <n v="265"/>
    <n v="265"/>
    <x v="0"/>
    <n v="106"/>
    <n v="79"/>
    <n v="26.48"/>
    <n v="26.48"/>
    <x v="0"/>
    <n v="80"/>
    <n v="80"/>
    <n v="163"/>
    <n v="163"/>
    <x v="0"/>
    <x v="1"/>
  </r>
  <r>
    <n v="1"/>
    <x v="1"/>
    <n v="52"/>
    <x v="1"/>
    <n v="1"/>
    <n v="1"/>
    <s v="Primary"/>
    <x v="2"/>
    <n v="1"/>
    <n v="3"/>
    <n v="3"/>
    <x v="0"/>
    <n v="0"/>
    <x v="0"/>
    <n v="0"/>
    <n v="1"/>
    <n v="0"/>
    <n v="199"/>
    <n v="199"/>
    <x v="1"/>
    <n v="134"/>
    <n v="98"/>
    <n v="27.78"/>
    <n v="27.78"/>
    <x v="0"/>
    <n v="75"/>
    <n v="75"/>
    <n v="89"/>
    <n v="89"/>
    <x v="0"/>
    <x v="1"/>
  </r>
  <r>
    <n v="1"/>
    <x v="1"/>
    <n v="52"/>
    <x v="1"/>
    <n v="3"/>
    <n v="3"/>
    <s v="Graduate"/>
    <x v="1"/>
    <n v="1"/>
    <n v="15"/>
    <n v="15"/>
    <x v="0"/>
    <n v="0"/>
    <x v="0"/>
    <n v="0"/>
    <n v="0"/>
    <n v="0"/>
    <n v="225"/>
    <n v="225"/>
    <x v="1"/>
    <n v="131"/>
    <n v="74"/>
    <n v="24.54"/>
    <n v="24.54"/>
    <x v="1"/>
    <n v="65"/>
    <n v="65"/>
    <n v="77"/>
    <n v="77"/>
    <x v="0"/>
    <x v="1"/>
  </r>
  <r>
    <n v="0"/>
    <x v="0"/>
    <n v="52"/>
    <x v="1"/>
    <n v="4"/>
    <n v="4"/>
    <s v="Post Graduate"/>
    <x v="3"/>
    <n v="0"/>
    <n v="0"/>
    <n v="0"/>
    <x v="1"/>
    <n v="0"/>
    <x v="0"/>
    <n v="0"/>
    <n v="1"/>
    <n v="0"/>
    <n v="240"/>
    <n v="240"/>
    <x v="1"/>
    <n v="177"/>
    <n v="103.5"/>
    <n v="24.39"/>
    <n v="24.39"/>
    <x v="1"/>
    <n v="86"/>
    <n v="86"/>
    <n v="75"/>
    <n v="75"/>
    <x v="0"/>
    <x v="1"/>
  </r>
  <r>
    <n v="0"/>
    <x v="0"/>
    <n v="52"/>
    <x v="1"/>
    <n v="1"/>
    <n v="1"/>
    <s v="Primary"/>
    <x v="2"/>
    <n v="0"/>
    <n v="0"/>
    <n v="0"/>
    <x v="1"/>
    <n v="0"/>
    <x v="0"/>
    <n v="0"/>
    <n v="0"/>
    <n v="0"/>
    <n v="245"/>
    <n v="245"/>
    <x v="0"/>
    <n v="131"/>
    <n v="80"/>
    <n v="32.04"/>
    <n v="32.04"/>
    <x v="2"/>
    <n v="80"/>
    <n v="80"/>
    <n v="81"/>
    <n v="81"/>
    <x v="0"/>
    <x v="0"/>
  </r>
  <r>
    <n v="1"/>
    <x v="1"/>
    <n v="52"/>
    <x v="1"/>
    <n v="1"/>
    <n v="1"/>
    <s v="Primary"/>
    <x v="2"/>
    <n v="0"/>
    <n v="0"/>
    <n v="0"/>
    <x v="1"/>
    <n v="0"/>
    <x v="0"/>
    <n v="0"/>
    <n v="0"/>
    <n v="0"/>
    <n v="200"/>
    <n v="200"/>
    <x v="1"/>
    <n v="114"/>
    <n v="77"/>
    <n v="28.28"/>
    <n v="28.28"/>
    <x v="0"/>
    <n v="66"/>
    <n v="66"/>
    <n v="84"/>
    <n v="84"/>
    <x v="0"/>
    <x v="0"/>
  </r>
  <r>
    <n v="0"/>
    <x v="0"/>
    <n v="52"/>
    <x v="1"/>
    <n v="1"/>
    <n v="1"/>
    <s v="Primary"/>
    <x v="2"/>
    <n v="1"/>
    <n v="10"/>
    <n v="10"/>
    <x v="0"/>
    <n v="0"/>
    <x v="0"/>
    <n v="0"/>
    <n v="0"/>
    <n v="0"/>
    <n v="246"/>
    <n v="246"/>
    <x v="0"/>
    <n v="113.5"/>
    <n v="66.5"/>
    <n v="19.47"/>
    <n v="19.47"/>
    <x v="1"/>
    <n v="85"/>
    <n v="85"/>
    <n v="60"/>
    <n v="60"/>
    <x v="0"/>
    <x v="0"/>
  </r>
  <r>
    <n v="1"/>
    <x v="1"/>
    <n v="52"/>
    <x v="1"/>
    <n v="1"/>
    <n v="1"/>
    <s v="Primary"/>
    <x v="2"/>
    <n v="0"/>
    <n v="0"/>
    <n v="0"/>
    <x v="1"/>
    <n v="0"/>
    <x v="0"/>
    <n v="0"/>
    <n v="0"/>
    <n v="0"/>
    <n v="200"/>
    <n v="200"/>
    <x v="1"/>
    <n v="113"/>
    <n v="76.5"/>
    <n v="27.22"/>
    <n v="27.22"/>
    <x v="0"/>
    <n v="72"/>
    <n v="72"/>
    <n v="73"/>
    <n v="73"/>
    <x v="0"/>
    <x v="0"/>
  </r>
  <r>
    <n v="0"/>
    <x v="0"/>
    <n v="52"/>
    <x v="1"/>
    <n v="2"/>
    <n v="2"/>
    <s v="Secondary"/>
    <x v="0"/>
    <n v="0"/>
    <n v="0"/>
    <n v="0"/>
    <x v="1"/>
    <n v="0"/>
    <x v="0"/>
    <n v="0"/>
    <n v="1"/>
    <n v="1"/>
    <n v="600"/>
    <n v="600"/>
    <x v="0"/>
    <n v="159.5"/>
    <n v="94"/>
    <n v="28.27"/>
    <n v="28.27"/>
    <x v="0"/>
    <n v="78"/>
    <n v="78"/>
    <n v="140"/>
    <n v="140"/>
    <x v="0"/>
    <x v="1"/>
  </r>
  <r>
    <n v="0"/>
    <x v="0"/>
    <n v="52"/>
    <x v="1"/>
    <n v="2"/>
    <n v="2"/>
    <s v="Secondary"/>
    <x v="0"/>
    <n v="0"/>
    <n v="0"/>
    <n v="0"/>
    <x v="1"/>
    <n v="0"/>
    <x v="0"/>
    <n v="0"/>
    <n v="1"/>
    <n v="0"/>
    <n v="215"/>
    <n v="215"/>
    <x v="1"/>
    <n v="159"/>
    <n v="64"/>
    <n v="24.56"/>
    <n v="24.56"/>
    <x v="1"/>
    <n v="58"/>
    <n v="58"/>
    <n v="124"/>
    <n v="124"/>
    <x v="0"/>
    <x v="1"/>
  </r>
  <r>
    <n v="0"/>
    <x v="0"/>
    <n v="52"/>
    <x v="1"/>
    <n v="2"/>
    <n v="2"/>
    <s v="Secondary"/>
    <x v="0"/>
    <n v="1"/>
    <n v="20"/>
    <n v="20"/>
    <x v="0"/>
    <n v="0"/>
    <x v="0"/>
    <n v="0"/>
    <n v="1"/>
    <n v="1"/>
    <n v="334"/>
    <n v="334"/>
    <x v="0"/>
    <n v="147"/>
    <n v="86"/>
    <n v="29.01"/>
    <n v="29.01"/>
    <x v="0"/>
    <n v="80"/>
    <n v="80"/>
    <n v="63"/>
    <n v="63"/>
    <x v="0"/>
    <x v="0"/>
  </r>
  <r>
    <n v="1"/>
    <x v="1"/>
    <n v="52"/>
    <x v="1"/>
    <n v="1"/>
    <n v="1"/>
    <s v="Primary"/>
    <x v="2"/>
    <n v="0"/>
    <n v="0"/>
    <n v="0"/>
    <x v="1"/>
    <n v="0"/>
    <x v="0"/>
    <n v="0"/>
    <n v="0"/>
    <n v="0"/>
    <n v="206"/>
    <n v="206"/>
    <x v="1"/>
    <n v="110"/>
    <n v="78"/>
    <n v="33.03"/>
    <n v="33.03"/>
    <x v="2"/>
    <n v="65"/>
    <n v="65"/>
    <n v="62"/>
    <n v="62"/>
    <x v="0"/>
    <x v="0"/>
  </r>
  <r>
    <n v="0"/>
    <x v="0"/>
    <n v="52"/>
    <x v="1"/>
    <n v="1"/>
    <n v="1"/>
    <s v="Primary"/>
    <x v="2"/>
    <n v="1"/>
    <n v="1"/>
    <n v="1"/>
    <x v="0"/>
    <n v="0"/>
    <x v="0"/>
    <n v="0"/>
    <n v="0"/>
    <n v="0"/>
    <n v="234"/>
    <n v="234"/>
    <x v="1"/>
    <n v="111"/>
    <n v="81"/>
    <n v="22.35"/>
    <n v="22.35"/>
    <x v="1"/>
    <n v="70"/>
    <n v="70"/>
    <n v="77"/>
    <n v="77"/>
    <x v="0"/>
    <x v="0"/>
  </r>
  <r>
    <n v="1"/>
    <x v="1"/>
    <n v="52"/>
    <x v="1"/>
    <n v="1"/>
    <n v="1"/>
    <s v="Primary"/>
    <x v="2"/>
    <n v="0"/>
    <n v="0"/>
    <n v="0"/>
    <x v="1"/>
    <n v="0"/>
    <x v="0"/>
    <n v="0"/>
    <n v="1"/>
    <n v="0"/>
    <n v="318"/>
    <n v="318"/>
    <x v="0"/>
    <n v="144"/>
    <n v="85"/>
    <n v="27.66"/>
    <n v="27.66"/>
    <x v="0"/>
    <n v="78"/>
    <n v="78"/>
    <n v="64"/>
    <n v="64"/>
    <x v="0"/>
    <x v="0"/>
  </r>
  <r>
    <n v="1"/>
    <x v="1"/>
    <n v="52"/>
    <x v="1"/>
    <n v="2"/>
    <n v="2"/>
    <s v="Secondary"/>
    <x v="0"/>
    <n v="1"/>
    <n v="30"/>
    <n v="30"/>
    <x v="0"/>
    <n v="0"/>
    <x v="0"/>
    <n v="0"/>
    <n v="1"/>
    <n v="0"/>
    <n v="312"/>
    <n v="312"/>
    <x v="0"/>
    <n v="148"/>
    <n v="99"/>
    <n v="26.73"/>
    <n v="26.73"/>
    <x v="0"/>
    <n v="75"/>
    <n v="75"/>
    <n v="65"/>
    <n v="65"/>
    <x v="0"/>
    <x v="0"/>
  </r>
  <r>
    <n v="0"/>
    <x v="0"/>
    <n v="52"/>
    <x v="1"/>
    <n v="1"/>
    <n v="1"/>
    <s v="Primary"/>
    <x v="2"/>
    <n v="0"/>
    <n v="0"/>
    <n v="0"/>
    <x v="1"/>
    <n v="0"/>
    <x v="0"/>
    <n v="0"/>
    <n v="0"/>
    <n v="0"/>
    <s v="NA"/>
    <n v="236.69952267303103"/>
    <x v="1"/>
    <n v="129"/>
    <n v="80"/>
    <n v="28.06"/>
    <n v="28.06"/>
    <x v="0"/>
    <n v="90"/>
    <n v="90"/>
    <s v="NA"/>
    <n v="81.96365524402907"/>
    <x v="0"/>
    <x v="1"/>
  </r>
  <r>
    <n v="1"/>
    <x v="1"/>
    <n v="52"/>
    <x v="1"/>
    <n v="1"/>
    <n v="1"/>
    <s v="Primary"/>
    <x v="2"/>
    <n v="1"/>
    <n v="15"/>
    <n v="15"/>
    <x v="0"/>
    <n v="0"/>
    <x v="0"/>
    <n v="0"/>
    <n v="0"/>
    <n v="0"/>
    <n v="240"/>
    <n v="240"/>
    <x v="1"/>
    <n v="120"/>
    <n v="77"/>
    <n v="32.270000000000003"/>
    <n v="32.270000000000003"/>
    <x v="2"/>
    <n v="80"/>
    <n v="80"/>
    <n v="62"/>
    <n v="62"/>
    <x v="0"/>
    <x v="0"/>
  </r>
  <r>
    <n v="1"/>
    <x v="1"/>
    <n v="52"/>
    <x v="1"/>
    <n v="1"/>
    <n v="1"/>
    <s v="Primary"/>
    <x v="2"/>
    <n v="1"/>
    <n v="25"/>
    <n v="25"/>
    <x v="0"/>
    <n v="0"/>
    <x v="0"/>
    <n v="0"/>
    <n v="0"/>
    <n v="0"/>
    <n v="271"/>
    <n v="271"/>
    <x v="0"/>
    <n v="121"/>
    <n v="73"/>
    <n v="21.85"/>
    <n v="21.85"/>
    <x v="1"/>
    <n v="70"/>
    <n v="70"/>
    <n v="86"/>
    <n v="86"/>
    <x v="0"/>
    <x v="1"/>
  </r>
  <r>
    <n v="0"/>
    <x v="0"/>
    <n v="52"/>
    <x v="1"/>
    <n v="3"/>
    <n v="3"/>
    <s v="Graduate"/>
    <x v="1"/>
    <n v="0"/>
    <n v="0"/>
    <n v="0"/>
    <x v="1"/>
    <n v="0"/>
    <x v="0"/>
    <n v="0"/>
    <n v="0"/>
    <n v="0"/>
    <n v="275"/>
    <n v="275"/>
    <x v="0"/>
    <n v="137"/>
    <n v="85"/>
    <n v="25.89"/>
    <n v="25.89"/>
    <x v="0"/>
    <n v="70"/>
    <n v="70"/>
    <s v="NA"/>
    <n v="81.96365524402907"/>
    <x v="0"/>
    <x v="0"/>
  </r>
  <r>
    <n v="1"/>
    <x v="1"/>
    <n v="52"/>
    <x v="1"/>
    <n v="2"/>
    <n v="2"/>
    <s v="Secondary"/>
    <x v="0"/>
    <n v="0"/>
    <n v="0"/>
    <n v="0"/>
    <x v="1"/>
    <n v="0"/>
    <x v="0"/>
    <n v="0"/>
    <n v="0"/>
    <n v="0"/>
    <n v="310"/>
    <n v="310"/>
    <x v="0"/>
    <n v="135"/>
    <n v="89"/>
    <n v="29.51"/>
    <n v="29.51"/>
    <x v="0"/>
    <n v="64"/>
    <n v="64"/>
    <n v="74"/>
    <n v="74"/>
    <x v="0"/>
    <x v="1"/>
  </r>
  <r>
    <n v="1"/>
    <x v="1"/>
    <n v="52"/>
    <x v="1"/>
    <n v="2"/>
    <n v="2"/>
    <s v="Secondary"/>
    <x v="0"/>
    <n v="1"/>
    <n v="20"/>
    <n v="20"/>
    <x v="0"/>
    <n v="0"/>
    <x v="0"/>
    <n v="0"/>
    <n v="0"/>
    <n v="1"/>
    <n v="258"/>
    <n v="258"/>
    <x v="0"/>
    <n v="132"/>
    <n v="80"/>
    <n v="27.52"/>
    <n v="27.52"/>
    <x v="0"/>
    <n v="90"/>
    <n v="90"/>
    <n v="268"/>
    <n v="268"/>
    <x v="0"/>
    <x v="1"/>
  </r>
  <r>
    <n v="1"/>
    <x v="1"/>
    <n v="52"/>
    <x v="1"/>
    <n v="1"/>
    <n v="1"/>
    <s v="Primary"/>
    <x v="2"/>
    <n v="1"/>
    <n v="20"/>
    <n v="20"/>
    <x v="0"/>
    <n v="0"/>
    <x v="0"/>
    <n v="0"/>
    <n v="0"/>
    <n v="0"/>
    <n v="262"/>
    <n v="262"/>
    <x v="0"/>
    <n v="100"/>
    <n v="68"/>
    <n v="18.649999999999999"/>
    <n v="18.649999999999999"/>
    <x v="1"/>
    <n v="70"/>
    <n v="70"/>
    <n v="74"/>
    <n v="74"/>
    <x v="0"/>
    <x v="0"/>
  </r>
  <r>
    <n v="0"/>
    <x v="0"/>
    <n v="52"/>
    <x v="1"/>
    <n v="3"/>
    <n v="3"/>
    <s v="Graduate"/>
    <x v="1"/>
    <n v="0"/>
    <n v="0"/>
    <n v="0"/>
    <x v="1"/>
    <n v="0"/>
    <x v="0"/>
    <n v="0"/>
    <n v="0"/>
    <n v="0"/>
    <n v="234"/>
    <n v="234"/>
    <x v="1"/>
    <n v="126"/>
    <n v="85"/>
    <n v="26.36"/>
    <n v="26.36"/>
    <x v="0"/>
    <n v="72"/>
    <n v="72"/>
    <n v="96"/>
    <n v="96"/>
    <x v="0"/>
    <x v="0"/>
  </r>
  <r>
    <n v="1"/>
    <x v="1"/>
    <n v="52"/>
    <x v="1"/>
    <n v="1"/>
    <n v="1"/>
    <s v="Primary"/>
    <x v="2"/>
    <n v="0"/>
    <n v="0"/>
    <n v="0"/>
    <x v="1"/>
    <n v="0"/>
    <x v="0"/>
    <n v="0"/>
    <n v="0"/>
    <n v="0"/>
    <n v="265"/>
    <n v="265"/>
    <x v="0"/>
    <n v="143"/>
    <n v="94.5"/>
    <n v="26"/>
    <n v="26"/>
    <x v="0"/>
    <n v="50"/>
    <n v="50"/>
    <n v="75"/>
    <n v="75"/>
    <x v="0"/>
    <x v="0"/>
  </r>
  <r>
    <n v="1"/>
    <x v="1"/>
    <n v="52"/>
    <x v="1"/>
    <n v="3"/>
    <n v="3"/>
    <s v="Graduate"/>
    <x v="1"/>
    <n v="0"/>
    <n v="0"/>
    <n v="0"/>
    <x v="1"/>
    <n v="0"/>
    <x v="0"/>
    <n v="0"/>
    <n v="1"/>
    <n v="0"/>
    <n v="238"/>
    <n v="238"/>
    <x v="1"/>
    <n v="131"/>
    <n v="99"/>
    <n v="31.19"/>
    <n v="31.19"/>
    <x v="2"/>
    <n v="96"/>
    <n v="96"/>
    <n v="86"/>
    <n v="86"/>
    <x v="0"/>
    <x v="0"/>
  </r>
  <r>
    <n v="1"/>
    <x v="1"/>
    <n v="52"/>
    <x v="1"/>
    <n v="4"/>
    <n v="4"/>
    <s v="Post Graduate"/>
    <x v="3"/>
    <n v="1"/>
    <n v="20"/>
    <n v="20"/>
    <x v="0"/>
    <n v="0"/>
    <x v="0"/>
    <n v="0"/>
    <n v="0"/>
    <n v="0"/>
    <n v="167"/>
    <n v="167"/>
    <x v="1"/>
    <n v="134"/>
    <n v="80"/>
    <n v="29.77"/>
    <n v="29.77"/>
    <x v="0"/>
    <n v="72"/>
    <n v="72"/>
    <n v="102"/>
    <n v="102"/>
    <x v="0"/>
    <x v="0"/>
  </r>
  <r>
    <n v="1"/>
    <x v="1"/>
    <n v="52"/>
    <x v="1"/>
    <n v="1"/>
    <n v="1"/>
    <s v="Primary"/>
    <x v="2"/>
    <n v="1"/>
    <n v="20"/>
    <n v="20"/>
    <x v="0"/>
    <n v="0"/>
    <x v="0"/>
    <n v="0"/>
    <n v="0"/>
    <n v="0"/>
    <n v="233"/>
    <n v="233"/>
    <x v="1"/>
    <n v="114"/>
    <n v="78"/>
    <n v="22.81"/>
    <n v="22.81"/>
    <x v="1"/>
    <n v="50"/>
    <n v="50"/>
    <n v="73"/>
    <n v="73"/>
    <x v="0"/>
    <x v="0"/>
  </r>
  <r>
    <n v="0"/>
    <x v="0"/>
    <n v="52"/>
    <x v="1"/>
    <n v="3"/>
    <n v="3"/>
    <s v="Graduate"/>
    <x v="1"/>
    <n v="0"/>
    <n v="0"/>
    <n v="0"/>
    <x v="1"/>
    <n v="0"/>
    <x v="0"/>
    <n v="0"/>
    <n v="0"/>
    <n v="0"/>
    <n v="272"/>
    <n v="272"/>
    <x v="0"/>
    <n v="112.5"/>
    <n v="75.5"/>
    <n v="22.69"/>
    <n v="22.69"/>
    <x v="1"/>
    <n v="90"/>
    <n v="90"/>
    <n v="83"/>
    <n v="83"/>
    <x v="0"/>
    <x v="0"/>
  </r>
  <r>
    <n v="1"/>
    <x v="1"/>
    <n v="52"/>
    <x v="1"/>
    <n v="2"/>
    <n v="2"/>
    <s v="Secondary"/>
    <x v="0"/>
    <n v="0"/>
    <n v="0"/>
    <n v="0"/>
    <x v="1"/>
    <n v="0"/>
    <x v="0"/>
    <n v="0"/>
    <n v="0"/>
    <n v="0"/>
    <n v="219"/>
    <n v="219"/>
    <x v="1"/>
    <n v="136"/>
    <n v="76"/>
    <n v="24.49"/>
    <n v="24.49"/>
    <x v="1"/>
    <n v="52"/>
    <n v="52"/>
    <n v="73"/>
    <n v="73"/>
    <x v="0"/>
    <x v="1"/>
  </r>
  <r>
    <n v="1"/>
    <x v="1"/>
    <n v="52"/>
    <x v="1"/>
    <n v="1"/>
    <n v="1"/>
    <s v="Primary"/>
    <x v="2"/>
    <n v="1"/>
    <n v="2"/>
    <n v="2"/>
    <x v="0"/>
    <n v="0"/>
    <x v="0"/>
    <n v="0"/>
    <n v="0"/>
    <n v="0"/>
    <n v="246"/>
    <n v="246"/>
    <x v="0"/>
    <n v="122"/>
    <n v="81"/>
    <n v="27.61"/>
    <n v="27.61"/>
    <x v="0"/>
    <n v="90"/>
    <n v="90"/>
    <n v="98"/>
    <n v="98"/>
    <x v="0"/>
    <x v="0"/>
  </r>
  <r>
    <n v="1"/>
    <x v="1"/>
    <n v="52"/>
    <x v="1"/>
    <n v="1"/>
    <n v="1"/>
    <s v="Primary"/>
    <x v="2"/>
    <n v="0"/>
    <n v="0"/>
    <n v="0"/>
    <x v="1"/>
    <n v="0"/>
    <x v="0"/>
    <n v="0"/>
    <n v="0"/>
    <n v="0"/>
    <n v="222"/>
    <n v="222"/>
    <x v="1"/>
    <n v="110"/>
    <n v="71"/>
    <n v="29.82"/>
    <n v="29.82"/>
    <x v="0"/>
    <n v="66"/>
    <n v="66"/>
    <n v="104"/>
    <n v="104"/>
    <x v="0"/>
    <x v="0"/>
  </r>
  <r>
    <n v="0"/>
    <x v="0"/>
    <n v="52"/>
    <x v="1"/>
    <n v="2"/>
    <n v="2"/>
    <s v="Secondary"/>
    <x v="0"/>
    <n v="0"/>
    <n v="0"/>
    <n v="0"/>
    <x v="1"/>
    <n v="0"/>
    <x v="0"/>
    <n v="0"/>
    <n v="0"/>
    <n v="0"/>
    <n v="221"/>
    <n v="221"/>
    <x v="1"/>
    <n v="124"/>
    <n v="69"/>
    <n v="23.37"/>
    <n v="23.37"/>
    <x v="1"/>
    <n v="58"/>
    <n v="58"/>
    <n v="81"/>
    <n v="81"/>
    <x v="0"/>
    <x v="0"/>
  </r>
  <r>
    <n v="0"/>
    <x v="0"/>
    <n v="52"/>
    <x v="1"/>
    <n v="1"/>
    <n v="1"/>
    <s v="Primary"/>
    <x v="2"/>
    <n v="0"/>
    <n v="0"/>
    <n v="0"/>
    <x v="1"/>
    <n v="0"/>
    <x v="0"/>
    <n v="0"/>
    <n v="1"/>
    <n v="0"/>
    <n v="225"/>
    <n v="225"/>
    <x v="1"/>
    <n v="159"/>
    <n v="95"/>
    <n v="30.18"/>
    <n v="30.18"/>
    <x v="2"/>
    <n v="71"/>
    <n v="71"/>
    <n v="114"/>
    <n v="114"/>
    <x v="0"/>
    <x v="0"/>
  </r>
  <r>
    <n v="0"/>
    <x v="0"/>
    <n v="52"/>
    <x v="1"/>
    <n v="1"/>
    <n v="1"/>
    <s v="Primary"/>
    <x v="2"/>
    <n v="0"/>
    <n v="0"/>
    <n v="0"/>
    <x v="1"/>
    <n v="0"/>
    <x v="0"/>
    <n v="0"/>
    <n v="0"/>
    <n v="0"/>
    <s v="NA"/>
    <n v="236.69952267303103"/>
    <x v="1"/>
    <n v="129"/>
    <n v="83"/>
    <n v="32.57"/>
    <n v="32.57"/>
    <x v="2"/>
    <n v="65"/>
    <n v="65"/>
    <s v="NA"/>
    <n v="81.96365524402907"/>
    <x v="0"/>
    <x v="0"/>
  </r>
  <r>
    <n v="0"/>
    <x v="0"/>
    <n v="52"/>
    <x v="1"/>
    <n v="1"/>
    <n v="1"/>
    <s v="Primary"/>
    <x v="2"/>
    <n v="1"/>
    <n v="20"/>
    <n v="20"/>
    <x v="0"/>
    <n v="1"/>
    <x v="1"/>
    <n v="0"/>
    <n v="1"/>
    <n v="0"/>
    <n v="161"/>
    <n v="161"/>
    <x v="1"/>
    <n v="180"/>
    <n v="114"/>
    <n v="32.520000000000003"/>
    <n v="32.520000000000003"/>
    <x v="2"/>
    <n v="105"/>
    <n v="105"/>
    <n v="104"/>
    <n v="104"/>
    <x v="0"/>
    <x v="0"/>
  </r>
  <r>
    <n v="0"/>
    <x v="0"/>
    <n v="52"/>
    <x v="1"/>
    <n v="1"/>
    <n v="1"/>
    <s v="Primary"/>
    <x v="2"/>
    <n v="0"/>
    <n v="0"/>
    <n v="0"/>
    <x v="1"/>
    <n v="0"/>
    <x v="0"/>
    <n v="0"/>
    <n v="0"/>
    <n v="0"/>
    <n v="223"/>
    <n v="223"/>
    <x v="1"/>
    <n v="132"/>
    <n v="82"/>
    <n v="26.06"/>
    <n v="26.06"/>
    <x v="0"/>
    <n v="75"/>
    <n v="75"/>
    <n v="63"/>
    <n v="63"/>
    <x v="0"/>
    <x v="0"/>
  </r>
  <r>
    <n v="0"/>
    <x v="0"/>
    <n v="52"/>
    <x v="1"/>
    <n v="4"/>
    <n v="4"/>
    <s v="Post Graduate"/>
    <x v="3"/>
    <n v="1"/>
    <n v="20"/>
    <n v="20"/>
    <x v="0"/>
    <n v="0"/>
    <x v="0"/>
    <n v="0"/>
    <n v="0"/>
    <n v="0"/>
    <s v="NA"/>
    <n v="236.69952267303103"/>
    <x v="1"/>
    <n v="110"/>
    <n v="70"/>
    <n v="22.52"/>
    <n v="22.52"/>
    <x v="1"/>
    <n v="75"/>
    <n v="75"/>
    <s v="NA"/>
    <n v="81.96365524402907"/>
    <x v="0"/>
    <x v="0"/>
  </r>
  <r>
    <n v="0"/>
    <x v="0"/>
    <n v="52"/>
    <x v="1"/>
    <n v="3"/>
    <n v="3"/>
    <s v="Graduate"/>
    <x v="1"/>
    <n v="1"/>
    <n v="9"/>
    <n v="9"/>
    <x v="0"/>
    <n v="0"/>
    <x v="0"/>
    <n v="0"/>
    <n v="0"/>
    <n v="0"/>
    <n v="249"/>
    <n v="249"/>
    <x v="0"/>
    <n v="112"/>
    <n v="75"/>
    <n v="22.54"/>
    <n v="22.54"/>
    <x v="1"/>
    <n v="72"/>
    <n v="72"/>
    <n v="71"/>
    <n v="71"/>
    <x v="0"/>
    <x v="1"/>
  </r>
  <r>
    <n v="0"/>
    <x v="0"/>
    <n v="52"/>
    <x v="1"/>
    <n v="2"/>
    <n v="2"/>
    <s v="Secondary"/>
    <x v="0"/>
    <n v="0"/>
    <n v="0"/>
    <n v="0"/>
    <x v="1"/>
    <n v="0"/>
    <x v="0"/>
    <n v="0"/>
    <n v="1"/>
    <n v="0"/>
    <n v="279"/>
    <n v="279"/>
    <x v="0"/>
    <n v="148"/>
    <n v="99"/>
    <n v="26.64"/>
    <n v="26.64"/>
    <x v="0"/>
    <n v="86"/>
    <n v="86"/>
    <n v="85"/>
    <n v="85"/>
    <x v="0"/>
    <x v="0"/>
  </r>
  <r>
    <n v="1"/>
    <x v="1"/>
    <n v="52"/>
    <x v="1"/>
    <n v="4"/>
    <n v="4"/>
    <s v="Post Graduate"/>
    <x v="3"/>
    <n v="1"/>
    <n v="15"/>
    <n v="15"/>
    <x v="0"/>
    <n v="0"/>
    <x v="0"/>
    <n v="0"/>
    <n v="0"/>
    <n v="0"/>
    <n v="190"/>
    <n v="190"/>
    <x v="1"/>
    <n v="118"/>
    <n v="80"/>
    <n v="24.47"/>
    <n v="24.47"/>
    <x v="1"/>
    <n v="50"/>
    <n v="50"/>
    <n v="88"/>
    <n v="88"/>
    <x v="0"/>
    <x v="0"/>
  </r>
  <r>
    <n v="0"/>
    <x v="0"/>
    <n v="52"/>
    <x v="1"/>
    <n v="1"/>
    <n v="1"/>
    <s v="Primary"/>
    <x v="2"/>
    <n v="0"/>
    <n v="0"/>
    <n v="0"/>
    <x v="1"/>
    <n v="0"/>
    <x v="0"/>
    <n v="0"/>
    <n v="0"/>
    <n v="0"/>
    <n v="275"/>
    <n v="275"/>
    <x v="0"/>
    <n v="112"/>
    <n v="71"/>
    <n v="25.68"/>
    <n v="25.68"/>
    <x v="0"/>
    <n v="80"/>
    <n v="80"/>
    <s v="NA"/>
    <n v="81.96365524402907"/>
    <x v="0"/>
    <x v="0"/>
  </r>
  <r>
    <n v="0"/>
    <x v="0"/>
    <n v="52"/>
    <x v="1"/>
    <n v="1"/>
    <n v="1"/>
    <s v="Primary"/>
    <x v="2"/>
    <n v="0"/>
    <n v="0"/>
    <n v="0"/>
    <x v="1"/>
    <n v="0"/>
    <x v="0"/>
    <n v="0"/>
    <n v="0"/>
    <n v="0"/>
    <n v="210"/>
    <n v="210"/>
    <x v="1"/>
    <n v="146.5"/>
    <n v="82"/>
    <n v="32.270000000000003"/>
    <n v="32.270000000000003"/>
    <x v="2"/>
    <n v="85"/>
    <n v="85"/>
    <n v="72"/>
    <n v="72"/>
    <x v="0"/>
    <x v="0"/>
  </r>
  <r>
    <n v="1"/>
    <x v="1"/>
    <n v="52"/>
    <x v="1"/>
    <n v="1"/>
    <n v="1"/>
    <s v="Primary"/>
    <x v="2"/>
    <n v="0"/>
    <n v="0"/>
    <n v="0"/>
    <x v="1"/>
    <n v="0"/>
    <x v="0"/>
    <n v="0"/>
    <n v="0"/>
    <n v="0"/>
    <n v="266"/>
    <n v="266"/>
    <x v="0"/>
    <n v="117"/>
    <n v="78"/>
    <n v="27.39"/>
    <n v="27.39"/>
    <x v="0"/>
    <n v="70"/>
    <n v="70"/>
    <n v="88"/>
    <n v="88"/>
    <x v="0"/>
    <x v="0"/>
  </r>
  <r>
    <n v="0"/>
    <x v="0"/>
    <n v="52"/>
    <x v="1"/>
    <n v="1"/>
    <n v="1"/>
    <s v="Primary"/>
    <x v="2"/>
    <n v="0"/>
    <n v="0"/>
    <n v="0"/>
    <x v="1"/>
    <n v="0"/>
    <x v="0"/>
    <n v="0"/>
    <n v="1"/>
    <n v="0"/>
    <n v="245"/>
    <n v="245"/>
    <x v="0"/>
    <n v="148"/>
    <n v="92"/>
    <n v="22.7"/>
    <n v="22.7"/>
    <x v="1"/>
    <n v="70"/>
    <n v="70"/>
    <n v="60"/>
    <n v="60"/>
    <x v="0"/>
    <x v="0"/>
  </r>
  <r>
    <n v="1"/>
    <x v="1"/>
    <n v="52"/>
    <x v="1"/>
    <n v="1"/>
    <n v="1"/>
    <s v="Primary"/>
    <x v="2"/>
    <n v="1"/>
    <n v="30"/>
    <n v="30"/>
    <x v="0"/>
    <n v="1"/>
    <x v="1"/>
    <n v="0"/>
    <n v="1"/>
    <n v="0"/>
    <n v="238"/>
    <n v="238"/>
    <x v="1"/>
    <n v="184"/>
    <n v="102"/>
    <n v="28.88"/>
    <n v="28.88"/>
    <x v="0"/>
    <n v="90"/>
    <n v="90"/>
    <n v="94"/>
    <n v="94"/>
    <x v="0"/>
    <x v="1"/>
  </r>
  <r>
    <n v="0"/>
    <x v="0"/>
    <n v="52"/>
    <x v="1"/>
    <n v="1"/>
    <n v="1"/>
    <s v="Primary"/>
    <x v="2"/>
    <n v="1"/>
    <n v="20"/>
    <n v="20"/>
    <x v="0"/>
    <n v="0"/>
    <x v="0"/>
    <n v="0"/>
    <n v="0"/>
    <n v="0"/>
    <n v="232"/>
    <n v="232"/>
    <x v="1"/>
    <n v="115"/>
    <n v="80"/>
    <n v="28.79"/>
    <n v="28.79"/>
    <x v="0"/>
    <n v="72"/>
    <n v="72"/>
    <n v="68"/>
    <n v="68"/>
    <x v="0"/>
    <x v="0"/>
  </r>
  <r>
    <n v="1"/>
    <x v="1"/>
    <n v="52"/>
    <x v="1"/>
    <n v="2"/>
    <n v="2"/>
    <s v="Secondary"/>
    <x v="0"/>
    <n v="1"/>
    <n v="20"/>
    <n v="20"/>
    <x v="0"/>
    <n v="0"/>
    <x v="0"/>
    <n v="1"/>
    <n v="1"/>
    <n v="0"/>
    <n v="260"/>
    <n v="260"/>
    <x v="0"/>
    <n v="158"/>
    <n v="96"/>
    <n v="21.17"/>
    <n v="21.17"/>
    <x v="1"/>
    <n v="74"/>
    <n v="74"/>
    <n v="82"/>
    <n v="82"/>
    <x v="0"/>
    <x v="0"/>
  </r>
  <r>
    <n v="0"/>
    <x v="0"/>
    <n v="52"/>
    <x v="1"/>
    <n v="1"/>
    <n v="1"/>
    <s v="Primary"/>
    <x v="2"/>
    <n v="0"/>
    <n v="0"/>
    <n v="0"/>
    <x v="1"/>
    <n v="0"/>
    <x v="0"/>
    <n v="0"/>
    <n v="0"/>
    <n v="0"/>
    <n v="234"/>
    <n v="234"/>
    <x v="1"/>
    <n v="130"/>
    <n v="75"/>
    <n v="28.35"/>
    <n v="28.35"/>
    <x v="0"/>
    <n v="82"/>
    <n v="82"/>
    <n v="72"/>
    <n v="72"/>
    <x v="0"/>
    <x v="0"/>
  </r>
  <r>
    <n v="1"/>
    <x v="1"/>
    <n v="52"/>
    <x v="1"/>
    <n v="4"/>
    <n v="4"/>
    <s v="Post Graduate"/>
    <x v="3"/>
    <n v="0"/>
    <n v="0"/>
    <n v="0"/>
    <x v="1"/>
    <n v="0"/>
    <x v="0"/>
    <n v="0"/>
    <n v="0"/>
    <n v="0"/>
    <n v="285"/>
    <n v="285"/>
    <x v="0"/>
    <n v="110"/>
    <n v="79"/>
    <n v="23.41"/>
    <n v="23.41"/>
    <x v="1"/>
    <n v="67"/>
    <n v="67"/>
    <n v="65"/>
    <n v="65"/>
    <x v="0"/>
    <x v="0"/>
  </r>
  <r>
    <n v="1"/>
    <x v="1"/>
    <n v="52"/>
    <x v="1"/>
    <n v="1"/>
    <n v="1"/>
    <s v="Primary"/>
    <x v="2"/>
    <n v="0"/>
    <n v="0"/>
    <n v="0"/>
    <x v="1"/>
    <n v="0"/>
    <x v="0"/>
    <n v="0"/>
    <n v="0"/>
    <n v="1"/>
    <n v="219"/>
    <n v="219"/>
    <x v="1"/>
    <n v="125"/>
    <n v="82"/>
    <n v="24.06"/>
    <n v="24.06"/>
    <x v="1"/>
    <n v="73"/>
    <n v="73"/>
    <n v="173"/>
    <n v="173"/>
    <x v="0"/>
    <x v="1"/>
  </r>
  <r>
    <n v="1"/>
    <x v="1"/>
    <n v="52"/>
    <x v="1"/>
    <n v="4"/>
    <n v="4"/>
    <s v="Post Graduate"/>
    <x v="3"/>
    <n v="1"/>
    <n v="30"/>
    <n v="30"/>
    <x v="0"/>
    <n v="0"/>
    <x v="0"/>
    <n v="0"/>
    <n v="0"/>
    <n v="0"/>
    <n v="346"/>
    <n v="346"/>
    <x v="0"/>
    <n v="133"/>
    <n v="96"/>
    <n v="25.95"/>
    <n v="25.95"/>
    <x v="0"/>
    <n v="65"/>
    <n v="65"/>
    <n v="126"/>
    <n v="126"/>
    <x v="0"/>
    <x v="1"/>
  </r>
  <r>
    <n v="0"/>
    <x v="0"/>
    <n v="52"/>
    <x v="1"/>
    <n v="1"/>
    <n v="1"/>
    <s v="Primary"/>
    <x v="2"/>
    <n v="0"/>
    <n v="0"/>
    <n v="0"/>
    <x v="1"/>
    <n v="0"/>
    <x v="0"/>
    <n v="0"/>
    <n v="0"/>
    <n v="0"/>
    <n v="279"/>
    <n v="279"/>
    <x v="0"/>
    <n v="135"/>
    <n v="86"/>
    <n v="27.02"/>
    <n v="27.02"/>
    <x v="0"/>
    <n v="100"/>
    <n v="100"/>
    <n v="72"/>
    <n v="72"/>
    <x v="0"/>
    <x v="1"/>
  </r>
  <r>
    <n v="0"/>
    <x v="0"/>
    <n v="52"/>
    <x v="1"/>
    <n v="3"/>
    <n v="3"/>
    <s v="Graduate"/>
    <x v="1"/>
    <n v="1"/>
    <n v="20"/>
    <n v="20"/>
    <x v="0"/>
    <n v="0"/>
    <x v="0"/>
    <n v="0"/>
    <n v="0"/>
    <n v="0"/>
    <n v="248"/>
    <n v="248"/>
    <x v="0"/>
    <n v="128"/>
    <n v="74"/>
    <n v="21.84"/>
    <n v="21.84"/>
    <x v="1"/>
    <n v="65"/>
    <n v="65"/>
    <n v="79"/>
    <n v="79"/>
    <x v="0"/>
    <x v="0"/>
  </r>
  <r>
    <n v="1"/>
    <x v="1"/>
    <n v="52"/>
    <x v="1"/>
    <n v="2"/>
    <n v="2"/>
    <s v="Secondary"/>
    <x v="0"/>
    <n v="0"/>
    <n v="0"/>
    <n v="0"/>
    <x v="1"/>
    <n v="0"/>
    <x v="0"/>
    <n v="1"/>
    <n v="0"/>
    <n v="0"/>
    <n v="202"/>
    <n v="202"/>
    <x v="1"/>
    <n v="136"/>
    <n v="94"/>
    <n v="29.93"/>
    <n v="29.93"/>
    <x v="0"/>
    <n v="83"/>
    <n v="83"/>
    <n v="67"/>
    <n v="67"/>
    <x v="0"/>
    <x v="1"/>
  </r>
  <r>
    <n v="1"/>
    <x v="1"/>
    <n v="52"/>
    <x v="1"/>
    <n v="4"/>
    <n v="4"/>
    <s v="Post Graduate"/>
    <x v="3"/>
    <n v="0"/>
    <n v="0"/>
    <n v="0"/>
    <x v="1"/>
    <n v="0"/>
    <x v="0"/>
    <n v="0"/>
    <n v="0"/>
    <n v="0"/>
    <n v="224"/>
    <n v="224"/>
    <x v="1"/>
    <n v="128"/>
    <n v="82"/>
    <n v="23.96"/>
    <n v="23.96"/>
    <x v="1"/>
    <n v="70"/>
    <n v="70"/>
    <n v="68"/>
    <n v="68"/>
    <x v="0"/>
    <x v="0"/>
  </r>
  <r>
    <n v="1"/>
    <x v="1"/>
    <n v="52"/>
    <x v="1"/>
    <n v="1"/>
    <n v="1"/>
    <s v="Primary"/>
    <x v="2"/>
    <n v="1"/>
    <n v="20"/>
    <n v="20"/>
    <x v="0"/>
    <n v="0"/>
    <x v="0"/>
    <n v="0"/>
    <n v="1"/>
    <n v="0"/>
    <n v="200"/>
    <n v="200"/>
    <x v="1"/>
    <n v="141"/>
    <n v="81.5"/>
    <n v="26.56"/>
    <n v="26.56"/>
    <x v="0"/>
    <n v="70"/>
    <n v="70"/>
    <n v="85"/>
    <n v="85"/>
    <x v="0"/>
    <x v="0"/>
  </r>
  <r>
    <n v="0"/>
    <x v="0"/>
    <n v="52"/>
    <x v="1"/>
    <n v="1"/>
    <n v="1"/>
    <s v="Primary"/>
    <x v="2"/>
    <n v="0"/>
    <n v="0"/>
    <n v="0"/>
    <x v="1"/>
    <n v="0"/>
    <x v="0"/>
    <n v="0"/>
    <n v="1"/>
    <n v="0"/>
    <n v="215"/>
    <n v="215"/>
    <x v="1"/>
    <n v="180"/>
    <n v="108"/>
    <n v="37.020000000000003"/>
    <n v="37.020000000000003"/>
    <x v="2"/>
    <n v="60"/>
    <n v="60"/>
    <n v="89"/>
    <n v="89"/>
    <x v="0"/>
    <x v="0"/>
  </r>
  <r>
    <n v="0"/>
    <x v="0"/>
    <n v="52"/>
    <x v="1"/>
    <n v="3"/>
    <n v="3"/>
    <s v="Graduate"/>
    <x v="1"/>
    <n v="0"/>
    <n v="0"/>
    <n v="0"/>
    <x v="1"/>
    <n v="0"/>
    <x v="0"/>
    <n v="0"/>
    <n v="1"/>
    <n v="0"/>
    <n v="350"/>
    <n v="350"/>
    <x v="0"/>
    <n v="175"/>
    <n v="85"/>
    <n v="30.99"/>
    <n v="30.99"/>
    <x v="2"/>
    <n v="92"/>
    <n v="92"/>
    <n v="63"/>
    <n v="63"/>
    <x v="0"/>
    <x v="0"/>
  </r>
  <r>
    <n v="0"/>
    <x v="0"/>
    <n v="52"/>
    <x v="1"/>
    <n v="1"/>
    <n v="1"/>
    <s v="Primary"/>
    <x v="2"/>
    <n v="0"/>
    <n v="0"/>
    <n v="0"/>
    <x v="1"/>
    <s v="NA"/>
    <x v="0"/>
    <n v="0"/>
    <n v="1"/>
    <n v="0"/>
    <n v="252"/>
    <n v="252"/>
    <x v="0"/>
    <n v="208"/>
    <n v="136"/>
    <n v="25.79"/>
    <n v="25.79"/>
    <x v="0"/>
    <n v="92"/>
    <n v="92"/>
    <n v="82"/>
    <n v="82"/>
    <x v="1"/>
    <x v="0"/>
  </r>
  <r>
    <n v="0"/>
    <x v="0"/>
    <n v="52"/>
    <x v="1"/>
    <n v="1"/>
    <n v="1"/>
    <s v="Primary"/>
    <x v="2"/>
    <n v="0"/>
    <n v="0"/>
    <n v="0"/>
    <x v="1"/>
    <n v="0"/>
    <x v="0"/>
    <n v="0"/>
    <n v="0"/>
    <n v="0"/>
    <n v="211"/>
    <n v="211"/>
    <x v="1"/>
    <n v="129"/>
    <n v="73"/>
    <n v="29.09"/>
    <n v="29.09"/>
    <x v="0"/>
    <n v="62"/>
    <n v="62"/>
    <n v="117"/>
    <n v="117"/>
    <x v="0"/>
    <x v="0"/>
  </r>
  <r>
    <n v="0"/>
    <x v="0"/>
    <n v="52"/>
    <x v="1"/>
    <n v="4"/>
    <n v="4"/>
    <s v="Post Graduate"/>
    <x v="3"/>
    <n v="0"/>
    <n v="0"/>
    <n v="0"/>
    <x v="1"/>
    <n v="0"/>
    <x v="0"/>
    <n v="0"/>
    <n v="1"/>
    <n v="0"/>
    <n v="240"/>
    <n v="240"/>
    <x v="1"/>
    <n v="139"/>
    <n v="80"/>
    <n v="22"/>
    <n v="22"/>
    <x v="1"/>
    <n v="68"/>
    <n v="68"/>
    <s v="NA"/>
    <n v="81.96365524402907"/>
    <x v="0"/>
    <x v="0"/>
  </r>
  <r>
    <n v="1"/>
    <x v="1"/>
    <n v="52"/>
    <x v="1"/>
    <n v="3"/>
    <n v="3"/>
    <s v="Graduate"/>
    <x v="1"/>
    <n v="1"/>
    <n v="30"/>
    <n v="30"/>
    <x v="0"/>
    <n v="0"/>
    <x v="0"/>
    <n v="0"/>
    <n v="0"/>
    <n v="0"/>
    <n v="248"/>
    <n v="248"/>
    <x v="0"/>
    <n v="119"/>
    <n v="82"/>
    <n v="26.55"/>
    <n v="26.55"/>
    <x v="0"/>
    <n v="65"/>
    <n v="65"/>
    <n v="100"/>
    <n v="100"/>
    <x v="0"/>
    <x v="0"/>
  </r>
  <r>
    <n v="1"/>
    <x v="1"/>
    <n v="52"/>
    <x v="1"/>
    <n v="2"/>
    <n v="2"/>
    <s v="Secondary"/>
    <x v="0"/>
    <n v="0"/>
    <n v="0"/>
    <n v="0"/>
    <x v="1"/>
    <n v="0"/>
    <x v="0"/>
    <n v="0"/>
    <n v="0"/>
    <n v="0"/>
    <n v="210"/>
    <n v="210"/>
    <x v="1"/>
    <n v="128"/>
    <n v="87"/>
    <n v="26.25"/>
    <n v="26.25"/>
    <x v="0"/>
    <n v="67"/>
    <n v="67"/>
    <n v="61"/>
    <n v="61"/>
    <x v="0"/>
    <x v="0"/>
  </r>
  <r>
    <n v="0"/>
    <x v="0"/>
    <n v="52"/>
    <x v="1"/>
    <n v="1"/>
    <n v="1"/>
    <s v="Primary"/>
    <x v="2"/>
    <n v="0"/>
    <n v="0"/>
    <n v="0"/>
    <x v="1"/>
    <n v="0"/>
    <x v="0"/>
    <n v="1"/>
    <n v="1"/>
    <n v="0"/>
    <n v="291"/>
    <n v="291"/>
    <x v="0"/>
    <n v="150"/>
    <n v="94"/>
    <n v="28.68"/>
    <n v="28.68"/>
    <x v="0"/>
    <n v="67"/>
    <n v="67"/>
    <n v="74"/>
    <n v="74"/>
    <x v="0"/>
    <x v="0"/>
  </r>
  <r>
    <n v="0"/>
    <x v="0"/>
    <n v="52"/>
    <x v="1"/>
    <n v="3"/>
    <n v="3"/>
    <s v="Graduate"/>
    <x v="1"/>
    <n v="0"/>
    <n v="0"/>
    <n v="0"/>
    <x v="1"/>
    <n v="0"/>
    <x v="0"/>
    <n v="0"/>
    <n v="0"/>
    <n v="0"/>
    <n v="325"/>
    <n v="325"/>
    <x v="0"/>
    <n v="119.5"/>
    <n v="86"/>
    <n v="24.56"/>
    <n v="24.56"/>
    <x v="1"/>
    <n v="64"/>
    <n v="64"/>
    <s v="NA"/>
    <n v="81.96365524402907"/>
    <x v="0"/>
    <x v="1"/>
  </r>
  <r>
    <n v="0"/>
    <x v="0"/>
    <n v="52"/>
    <x v="1"/>
    <n v="2"/>
    <n v="2"/>
    <s v="Secondary"/>
    <x v="0"/>
    <n v="0"/>
    <n v="0"/>
    <n v="0"/>
    <x v="1"/>
    <n v="0"/>
    <x v="0"/>
    <n v="0"/>
    <n v="1"/>
    <n v="0"/>
    <n v="260"/>
    <n v="260"/>
    <x v="0"/>
    <n v="171"/>
    <n v="118"/>
    <n v="28.33"/>
    <n v="28.33"/>
    <x v="0"/>
    <n v="69"/>
    <n v="69"/>
    <n v="80"/>
    <n v="80"/>
    <x v="0"/>
    <x v="1"/>
  </r>
  <r>
    <n v="0"/>
    <x v="0"/>
    <n v="52"/>
    <x v="1"/>
    <n v="1"/>
    <n v="1"/>
    <s v="Primary"/>
    <x v="2"/>
    <n v="0"/>
    <n v="0"/>
    <n v="0"/>
    <x v="1"/>
    <n v="0"/>
    <x v="0"/>
    <n v="0"/>
    <n v="1"/>
    <n v="0"/>
    <n v="220"/>
    <n v="220"/>
    <x v="1"/>
    <n v="163"/>
    <n v="87"/>
    <n v="25.12"/>
    <n v="25.12"/>
    <x v="0"/>
    <n v="100"/>
    <n v="100"/>
    <n v="94"/>
    <n v="94"/>
    <x v="0"/>
    <x v="0"/>
  </r>
  <r>
    <n v="0"/>
    <x v="0"/>
    <n v="52"/>
    <x v="1"/>
    <n v="1"/>
    <n v="1"/>
    <s v="Primary"/>
    <x v="2"/>
    <n v="0"/>
    <n v="0"/>
    <n v="0"/>
    <x v="1"/>
    <n v="0"/>
    <x v="0"/>
    <n v="0"/>
    <n v="0"/>
    <n v="0"/>
    <n v="208"/>
    <n v="208"/>
    <x v="1"/>
    <n v="141"/>
    <n v="85"/>
    <n v="24.85"/>
    <n v="24.85"/>
    <x v="1"/>
    <n v="75"/>
    <n v="75"/>
    <n v="68"/>
    <n v="68"/>
    <x v="0"/>
    <x v="0"/>
  </r>
  <r>
    <n v="1"/>
    <x v="1"/>
    <n v="52"/>
    <x v="1"/>
    <n v="2"/>
    <n v="2"/>
    <s v="Secondary"/>
    <x v="0"/>
    <n v="1"/>
    <n v="20"/>
    <n v="20"/>
    <x v="0"/>
    <n v="0"/>
    <x v="0"/>
    <n v="0"/>
    <n v="0"/>
    <n v="0"/>
    <n v="240"/>
    <n v="240"/>
    <x v="1"/>
    <n v="135"/>
    <n v="82"/>
    <n v="27.73"/>
    <n v="27.73"/>
    <x v="0"/>
    <n v="100"/>
    <n v="100"/>
    <n v="87"/>
    <n v="87"/>
    <x v="0"/>
    <x v="0"/>
  </r>
  <r>
    <n v="0"/>
    <x v="0"/>
    <n v="52"/>
    <x v="1"/>
    <n v="1"/>
    <n v="1"/>
    <s v="Primary"/>
    <x v="2"/>
    <n v="0"/>
    <n v="0"/>
    <n v="0"/>
    <x v="1"/>
    <n v="0"/>
    <x v="0"/>
    <n v="0"/>
    <n v="0"/>
    <n v="0"/>
    <n v="280"/>
    <n v="280"/>
    <x v="0"/>
    <n v="118"/>
    <n v="71"/>
    <n v="21.84"/>
    <n v="21.84"/>
    <x v="1"/>
    <n v="96"/>
    <n v="96"/>
    <n v="62"/>
    <n v="62"/>
    <x v="0"/>
    <x v="0"/>
  </r>
  <r>
    <n v="1"/>
    <x v="1"/>
    <n v="52"/>
    <x v="1"/>
    <s v="NA"/>
    <n v="1"/>
    <s v="Primary"/>
    <x v="2"/>
    <n v="0"/>
    <n v="0"/>
    <n v="0"/>
    <x v="1"/>
    <n v="0"/>
    <x v="0"/>
    <n v="0"/>
    <n v="0"/>
    <n v="0"/>
    <n v="340"/>
    <n v="340"/>
    <x v="0"/>
    <n v="114"/>
    <n v="83"/>
    <n v="31.02"/>
    <n v="31.02"/>
    <x v="2"/>
    <n v="78"/>
    <n v="78"/>
    <n v="80"/>
    <n v="80"/>
    <x v="0"/>
    <x v="0"/>
  </r>
  <r>
    <n v="0"/>
    <x v="0"/>
    <n v="52"/>
    <x v="1"/>
    <n v="1"/>
    <n v="1"/>
    <s v="Primary"/>
    <x v="2"/>
    <n v="0"/>
    <n v="0"/>
    <n v="0"/>
    <x v="1"/>
    <n v="0"/>
    <x v="0"/>
    <n v="0"/>
    <n v="0"/>
    <n v="0"/>
    <n v="263"/>
    <n v="263"/>
    <x v="0"/>
    <n v="132.5"/>
    <n v="87"/>
    <n v="30.42"/>
    <n v="30.42"/>
    <x v="2"/>
    <n v="75"/>
    <n v="75"/>
    <n v="64"/>
    <n v="64"/>
    <x v="0"/>
    <x v="0"/>
  </r>
  <r>
    <n v="1"/>
    <x v="1"/>
    <n v="52"/>
    <x v="1"/>
    <n v="1"/>
    <n v="1"/>
    <s v="Primary"/>
    <x v="2"/>
    <n v="0"/>
    <n v="0"/>
    <n v="0"/>
    <x v="1"/>
    <n v="0"/>
    <x v="0"/>
    <n v="0"/>
    <n v="1"/>
    <n v="1"/>
    <n v="258"/>
    <n v="258"/>
    <x v="0"/>
    <n v="177"/>
    <n v="111"/>
    <n v="30.38"/>
    <n v="30.38"/>
    <x v="2"/>
    <n v="80"/>
    <n v="80"/>
    <n v="270"/>
    <n v="270"/>
    <x v="0"/>
    <x v="1"/>
  </r>
  <r>
    <n v="0"/>
    <x v="0"/>
    <n v="52"/>
    <x v="1"/>
    <n v="3"/>
    <n v="3"/>
    <s v="Graduate"/>
    <x v="1"/>
    <n v="0"/>
    <n v="0"/>
    <n v="0"/>
    <x v="1"/>
    <n v="0"/>
    <x v="0"/>
    <n v="0"/>
    <n v="0"/>
    <n v="0"/>
    <n v="265"/>
    <n v="265"/>
    <x v="0"/>
    <n v="130"/>
    <n v="84"/>
    <n v="27.09"/>
    <n v="27.09"/>
    <x v="0"/>
    <n v="63"/>
    <n v="63"/>
    <n v="69"/>
    <n v="69"/>
    <x v="0"/>
    <x v="0"/>
  </r>
  <r>
    <n v="1"/>
    <x v="1"/>
    <n v="52"/>
    <x v="1"/>
    <n v="4"/>
    <n v="4"/>
    <s v="Post Graduate"/>
    <x v="3"/>
    <n v="1"/>
    <n v="20"/>
    <n v="20"/>
    <x v="0"/>
    <n v="0"/>
    <x v="0"/>
    <n v="0"/>
    <n v="1"/>
    <n v="0"/>
    <n v="200"/>
    <n v="200"/>
    <x v="1"/>
    <n v="131"/>
    <n v="94"/>
    <n v="26.77"/>
    <n v="26.77"/>
    <x v="0"/>
    <n v="70"/>
    <n v="70"/>
    <n v="82"/>
    <n v="82"/>
    <x v="0"/>
    <x v="0"/>
  </r>
  <r>
    <n v="0"/>
    <x v="0"/>
    <n v="52"/>
    <x v="1"/>
    <n v="2"/>
    <n v="2"/>
    <s v="Secondary"/>
    <x v="0"/>
    <n v="0"/>
    <n v="0"/>
    <n v="0"/>
    <x v="1"/>
    <n v="0"/>
    <x v="0"/>
    <n v="0"/>
    <n v="0"/>
    <n v="0"/>
    <n v="300"/>
    <n v="300"/>
    <x v="0"/>
    <n v="137"/>
    <n v="79"/>
    <n v="25.4"/>
    <n v="25.4"/>
    <x v="0"/>
    <n v="86"/>
    <n v="86"/>
    <n v="73"/>
    <n v="73"/>
    <x v="0"/>
    <x v="0"/>
  </r>
  <r>
    <n v="0"/>
    <x v="0"/>
    <n v="52"/>
    <x v="1"/>
    <n v="1"/>
    <n v="1"/>
    <s v="Primary"/>
    <x v="2"/>
    <n v="0"/>
    <n v="0"/>
    <n v="0"/>
    <x v="1"/>
    <n v="0"/>
    <x v="0"/>
    <n v="0"/>
    <n v="0"/>
    <n v="0"/>
    <n v="280"/>
    <n v="280"/>
    <x v="0"/>
    <n v="127.5"/>
    <n v="81.5"/>
    <n v="33.9"/>
    <n v="33.9"/>
    <x v="2"/>
    <n v="82"/>
    <n v="82"/>
    <n v="70"/>
    <n v="70"/>
    <x v="0"/>
    <x v="0"/>
  </r>
  <r>
    <n v="1"/>
    <x v="1"/>
    <n v="52"/>
    <x v="1"/>
    <n v="2"/>
    <n v="2"/>
    <s v="Secondary"/>
    <x v="0"/>
    <n v="1"/>
    <n v="20"/>
    <n v="20"/>
    <x v="0"/>
    <n v="0"/>
    <x v="0"/>
    <n v="0"/>
    <n v="0"/>
    <n v="0"/>
    <n v="243"/>
    <n v="243"/>
    <x v="0"/>
    <n v="116"/>
    <n v="64"/>
    <n v="23.78"/>
    <n v="23.78"/>
    <x v="1"/>
    <n v="69"/>
    <n v="69"/>
    <n v="70"/>
    <n v="70"/>
    <x v="0"/>
    <x v="0"/>
  </r>
  <r>
    <n v="1"/>
    <x v="1"/>
    <n v="52"/>
    <x v="1"/>
    <n v="2"/>
    <n v="2"/>
    <s v="Secondary"/>
    <x v="0"/>
    <n v="0"/>
    <n v="0"/>
    <n v="0"/>
    <x v="1"/>
    <n v="0"/>
    <x v="0"/>
    <n v="0"/>
    <n v="0"/>
    <n v="0"/>
    <n v="214"/>
    <n v="214"/>
    <x v="1"/>
    <n v="98"/>
    <n v="67"/>
    <n v="23.43"/>
    <n v="23.43"/>
    <x v="1"/>
    <n v="68"/>
    <n v="68"/>
    <n v="90"/>
    <n v="90"/>
    <x v="0"/>
    <x v="0"/>
  </r>
  <r>
    <n v="0"/>
    <x v="0"/>
    <n v="52"/>
    <x v="1"/>
    <n v="4"/>
    <n v="4"/>
    <s v="Post Graduate"/>
    <x v="3"/>
    <n v="1"/>
    <n v="20"/>
    <n v="20"/>
    <x v="0"/>
    <n v="0"/>
    <x v="0"/>
    <n v="0"/>
    <n v="0"/>
    <n v="0"/>
    <n v="254"/>
    <n v="254"/>
    <x v="0"/>
    <n v="114"/>
    <n v="80"/>
    <n v="16.59"/>
    <n v="16.59"/>
    <x v="3"/>
    <n v="75"/>
    <n v="75"/>
    <n v="74"/>
    <n v="74"/>
    <x v="0"/>
    <x v="0"/>
  </r>
  <r>
    <n v="1"/>
    <x v="1"/>
    <n v="52"/>
    <x v="1"/>
    <n v="1"/>
    <n v="1"/>
    <s v="Primary"/>
    <x v="2"/>
    <n v="0"/>
    <n v="0"/>
    <n v="0"/>
    <x v="1"/>
    <n v="0"/>
    <x v="0"/>
    <n v="0"/>
    <n v="0"/>
    <n v="0"/>
    <n v="222"/>
    <n v="222"/>
    <x v="1"/>
    <n v="125"/>
    <n v="76"/>
    <n v="25.23"/>
    <n v="25.23"/>
    <x v="0"/>
    <n v="60"/>
    <n v="60"/>
    <n v="77"/>
    <n v="77"/>
    <x v="0"/>
    <x v="0"/>
  </r>
  <r>
    <n v="0"/>
    <x v="0"/>
    <n v="52"/>
    <x v="1"/>
    <n v="2"/>
    <n v="2"/>
    <s v="Secondary"/>
    <x v="0"/>
    <n v="0"/>
    <n v="0"/>
    <n v="0"/>
    <x v="1"/>
    <n v="0"/>
    <x v="0"/>
    <n v="0"/>
    <n v="0"/>
    <n v="0"/>
    <n v="246"/>
    <n v="246"/>
    <x v="0"/>
    <n v="136"/>
    <n v="84"/>
    <n v="20.149999999999999"/>
    <n v="20.149999999999999"/>
    <x v="1"/>
    <n v="101"/>
    <n v="101"/>
    <n v="86"/>
    <n v="86"/>
    <x v="0"/>
    <x v="0"/>
  </r>
  <r>
    <n v="1"/>
    <x v="1"/>
    <n v="52"/>
    <x v="1"/>
    <n v="3"/>
    <n v="3"/>
    <s v="Graduate"/>
    <x v="1"/>
    <n v="1"/>
    <n v="20"/>
    <n v="20"/>
    <x v="0"/>
    <n v="0"/>
    <x v="0"/>
    <n v="0"/>
    <n v="0"/>
    <n v="0"/>
    <n v="205"/>
    <n v="205"/>
    <x v="1"/>
    <n v="136.5"/>
    <n v="92.5"/>
    <n v="31.05"/>
    <n v="31.05"/>
    <x v="2"/>
    <n v="70"/>
    <n v="70"/>
    <s v="NA"/>
    <n v="81.96365524402907"/>
    <x v="0"/>
    <x v="1"/>
  </r>
  <r>
    <n v="1"/>
    <x v="1"/>
    <n v="52"/>
    <x v="1"/>
    <n v="3"/>
    <n v="3"/>
    <s v="Graduate"/>
    <x v="1"/>
    <n v="1"/>
    <n v="35"/>
    <n v="35"/>
    <x v="0"/>
    <n v="0"/>
    <x v="0"/>
    <n v="0"/>
    <n v="1"/>
    <n v="1"/>
    <n v="281"/>
    <n v="281"/>
    <x v="0"/>
    <n v="133"/>
    <n v="93"/>
    <n v="32.270000000000003"/>
    <n v="32.270000000000003"/>
    <x v="2"/>
    <n v="115"/>
    <n v="115"/>
    <n v="80"/>
    <n v="80"/>
    <x v="0"/>
    <x v="0"/>
  </r>
  <r>
    <n v="0"/>
    <x v="0"/>
    <n v="52"/>
    <x v="1"/>
    <n v="3"/>
    <n v="3"/>
    <s v="Graduate"/>
    <x v="1"/>
    <n v="1"/>
    <n v="9"/>
    <n v="9"/>
    <x v="0"/>
    <s v="NA"/>
    <x v="0"/>
    <n v="0"/>
    <n v="0"/>
    <n v="0"/>
    <n v="275"/>
    <n v="275"/>
    <x v="0"/>
    <n v="102"/>
    <n v="70.5"/>
    <n v="20.399999999999999"/>
    <n v="20.399999999999999"/>
    <x v="1"/>
    <n v="65"/>
    <n v="65"/>
    <s v="NA"/>
    <n v="81.96365524402907"/>
    <x v="1"/>
    <x v="0"/>
  </r>
  <r>
    <n v="0"/>
    <x v="0"/>
    <n v="52"/>
    <x v="1"/>
    <n v="4"/>
    <n v="4"/>
    <s v="Post Graduate"/>
    <x v="3"/>
    <n v="0"/>
    <n v="0"/>
    <n v="0"/>
    <x v="1"/>
    <n v="1"/>
    <x v="1"/>
    <n v="0"/>
    <n v="1"/>
    <n v="0"/>
    <n v="264"/>
    <n v="264"/>
    <x v="0"/>
    <n v="181"/>
    <n v="112.5"/>
    <n v="24.8"/>
    <n v="24.8"/>
    <x v="1"/>
    <n v="74"/>
    <n v="74"/>
    <n v="77"/>
    <n v="77"/>
    <x v="0"/>
    <x v="1"/>
  </r>
  <r>
    <n v="1"/>
    <x v="1"/>
    <n v="52"/>
    <x v="1"/>
    <n v="1"/>
    <n v="1"/>
    <s v="Primary"/>
    <x v="2"/>
    <n v="1"/>
    <n v="15"/>
    <n v="15"/>
    <x v="0"/>
    <n v="0"/>
    <x v="0"/>
    <n v="0"/>
    <n v="0"/>
    <n v="0"/>
    <n v="212"/>
    <n v="212"/>
    <x v="1"/>
    <n v="138"/>
    <n v="86.5"/>
    <n v="24.88"/>
    <n v="24.88"/>
    <x v="1"/>
    <n v="60"/>
    <n v="60"/>
    <s v="NA"/>
    <n v="81.96365524402907"/>
    <x v="0"/>
    <x v="0"/>
  </r>
  <r>
    <n v="1"/>
    <x v="1"/>
    <n v="52"/>
    <x v="1"/>
    <n v="1"/>
    <n v="1"/>
    <s v="Primary"/>
    <x v="2"/>
    <n v="1"/>
    <n v="15"/>
    <n v="15"/>
    <x v="0"/>
    <n v="0"/>
    <x v="0"/>
    <n v="0"/>
    <n v="1"/>
    <n v="0"/>
    <n v="253"/>
    <n v="253"/>
    <x v="0"/>
    <n v="159"/>
    <n v="89"/>
    <n v="23.68"/>
    <n v="23.68"/>
    <x v="1"/>
    <n v="100"/>
    <n v="100"/>
    <s v="NA"/>
    <n v="81.96365524402907"/>
    <x v="0"/>
    <x v="1"/>
  </r>
  <r>
    <n v="1"/>
    <x v="1"/>
    <n v="52"/>
    <x v="1"/>
    <n v="4"/>
    <n v="4"/>
    <s v="Post Graduate"/>
    <x v="3"/>
    <n v="0"/>
    <n v="0"/>
    <n v="0"/>
    <x v="1"/>
    <n v="0"/>
    <x v="0"/>
    <n v="0"/>
    <n v="0"/>
    <n v="0"/>
    <n v="225"/>
    <n v="225"/>
    <x v="1"/>
    <n v="132"/>
    <n v="88"/>
    <n v="23.35"/>
    <n v="23.35"/>
    <x v="1"/>
    <n v="72"/>
    <n v="72"/>
    <n v="69"/>
    <n v="69"/>
    <x v="0"/>
    <x v="0"/>
  </r>
  <r>
    <n v="1"/>
    <x v="1"/>
    <n v="52"/>
    <x v="1"/>
    <n v="1"/>
    <n v="1"/>
    <s v="Primary"/>
    <x v="2"/>
    <n v="0"/>
    <n v="0"/>
    <n v="0"/>
    <x v="1"/>
    <n v="0"/>
    <x v="0"/>
    <n v="0"/>
    <n v="1"/>
    <n v="0"/>
    <n v="220"/>
    <n v="220"/>
    <x v="1"/>
    <n v="151"/>
    <n v="102"/>
    <n v="25.82"/>
    <n v="25.82"/>
    <x v="0"/>
    <n v="95"/>
    <n v="95"/>
    <n v="85"/>
    <n v="85"/>
    <x v="0"/>
    <x v="0"/>
  </r>
  <r>
    <n v="1"/>
    <x v="1"/>
    <n v="52"/>
    <x v="1"/>
    <n v="1"/>
    <n v="1"/>
    <s v="Primary"/>
    <x v="2"/>
    <n v="0"/>
    <n v="0"/>
    <n v="0"/>
    <x v="1"/>
    <n v="0"/>
    <x v="0"/>
    <n v="0"/>
    <n v="0"/>
    <n v="0"/>
    <n v="285"/>
    <n v="285"/>
    <x v="0"/>
    <n v="135"/>
    <n v="86"/>
    <n v="27.78"/>
    <n v="27.78"/>
    <x v="0"/>
    <n v="88"/>
    <n v="88"/>
    <n v="93"/>
    <n v="93"/>
    <x v="0"/>
    <x v="0"/>
  </r>
  <r>
    <n v="0"/>
    <x v="0"/>
    <n v="52"/>
    <x v="1"/>
    <n v="3"/>
    <n v="3"/>
    <s v="Graduate"/>
    <x v="1"/>
    <n v="1"/>
    <n v="20"/>
    <n v="20"/>
    <x v="0"/>
    <n v="0"/>
    <x v="0"/>
    <n v="0"/>
    <n v="1"/>
    <n v="0"/>
    <n v="287"/>
    <n v="287"/>
    <x v="0"/>
    <n v="139"/>
    <n v="88"/>
    <n v="26.55"/>
    <n v="26.55"/>
    <x v="0"/>
    <n v="110"/>
    <n v="110"/>
    <s v="NA"/>
    <n v="81.96365524402907"/>
    <x v="0"/>
    <x v="1"/>
  </r>
  <r>
    <n v="0"/>
    <x v="0"/>
    <n v="52"/>
    <x v="1"/>
    <n v="4"/>
    <n v="4"/>
    <s v="Post Graduate"/>
    <x v="3"/>
    <n v="0"/>
    <n v="0"/>
    <n v="0"/>
    <x v="1"/>
    <n v="0"/>
    <x v="0"/>
    <n v="0"/>
    <n v="0"/>
    <n v="0"/>
    <n v="216"/>
    <n v="216"/>
    <x v="1"/>
    <n v="125"/>
    <n v="72"/>
    <n v="24.98"/>
    <n v="24.98"/>
    <x v="1"/>
    <n v="75"/>
    <n v="75"/>
    <n v="95"/>
    <n v="95"/>
    <x v="0"/>
    <x v="0"/>
  </r>
  <r>
    <n v="1"/>
    <x v="1"/>
    <n v="52"/>
    <x v="1"/>
    <n v="1"/>
    <n v="1"/>
    <s v="Primary"/>
    <x v="2"/>
    <n v="0"/>
    <n v="0"/>
    <n v="0"/>
    <x v="1"/>
    <n v="0"/>
    <x v="0"/>
    <n v="0"/>
    <n v="0"/>
    <n v="0"/>
    <n v="248"/>
    <n v="248"/>
    <x v="0"/>
    <n v="128"/>
    <n v="83.5"/>
    <n v="25.88"/>
    <n v="25.88"/>
    <x v="0"/>
    <n v="68"/>
    <n v="68"/>
    <n v="75"/>
    <n v="75"/>
    <x v="0"/>
    <x v="0"/>
  </r>
  <r>
    <n v="1"/>
    <x v="1"/>
    <n v="52"/>
    <x v="1"/>
    <n v="1"/>
    <n v="1"/>
    <s v="Primary"/>
    <x v="2"/>
    <n v="1"/>
    <n v="30"/>
    <n v="30"/>
    <x v="0"/>
    <n v="0"/>
    <x v="0"/>
    <n v="0"/>
    <n v="0"/>
    <n v="0"/>
    <n v="223"/>
    <n v="223"/>
    <x v="1"/>
    <n v="133"/>
    <n v="82"/>
    <n v="21.18"/>
    <n v="21.18"/>
    <x v="1"/>
    <n v="66"/>
    <n v="66"/>
    <n v="77"/>
    <n v="77"/>
    <x v="0"/>
    <x v="0"/>
  </r>
  <r>
    <n v="0"/>
    <x v="0"/>
    <n v="52"/>
    <x v="1"/>
    <n v="2"/>
    <n v="2"/>
    <s v="Secondary"/>
    <x v="0"/>
    <n v="0"/>
    <n v="0"/>
    <n v="0"/>
    <x v="1"/>
    <n v="0"/>
    <x v="0"/>
    <n v="0"/>
    <n v="0"/>
    <n v="0"/>
    <n v="193"/>
    <n v="193"/>
    <x v="1"/>
    <n v="146"/>
    <n v="89"/>
    <n v="25.37"/>
    <n v="25.37"/>
    <x v="0"/>
    <n v="115"/>
    <n v="115"/>
    <n v="84"/>
    <n v="84"/>
    <x v="0"/>
    <x v="0"/>
  </r>
  <r>
    <n v="1"/>
    <x v="1"/>
    <n v="52"/>
    <x v="1"/>
    <n v="1"/>
    <n v="1"/>
    <s v="Primary"/>
    <x v="2"/>
    <n v="0"/>
    <n v="0"/>
    <n v="0"/>
    <x v="1"/>
    <n v="0"/>
    <x v="0"/>
    <n v="0"/>
    <n v="1"/>
    <n v="0"/>
    <n v="170"/>
    <n v="170"/>
    <x v="1"/>
    <n v="153"/>
    <n v="102.5"/>
    <n v="29.35"/>
    <n v="29.35"/>
    <x v="0"/>
    <n v="91"/>
    <n v="91"/>
    <n v="67"/>
    <n v="67"/>
    <x v="0"/>
    <x v="0"/>
  </r>
  <r>
    <n v="1"/>
    <x v="1"/>
    <n v="52"/>
    <x v="1"/>
    <n v="3"/>
    <n v="3"/>
    <s v="Graduate"/>
    <x v="1"/>
    <n v="0"/>
    <n v="0"/>
    <n v="0"/>
    <x v="1"/>
    <n v="0"/>
    <x v="0"/>
    <n v="0"/>
    <n v="0"/>
    <n v="0"/>
    <n v="225"/>
    <n v="225"/>
    <x v="1"/>
    <n v="119"/>
    <n v="65"/>
    <n v="26.89"/>
    <n v="26.89"/>
    <x v="0"/>
    <n v="62"/>
    <n v="62"/>
    <n v="74"/>
    <n v="74"/>
    <x v="0"/>
    <x v="0"/>
  </r>
  <r>
    <n v="1"/>
    <x v="1"/>
    <n v="52"/>
    <x v="1"/>
    <n v="1"/>
    <n v="1"/>
    <s v="Primary"/>
    <x v="2"/>
    <n v="1"/>
    <n v="20"/>
    <n v="20"/>
    <x v="0"/>
    <n v="0"/>
    <x v="0"/>
    <n v="0"/>
    <n v="0"/>
    <n v="0"/>
    <n v="239"/>
    <n v="239"/>
    <x v="1"/>
    <n v="125"/>
    <n v="88"/>
    <n v="23.86"/>
    <n v="23.86"/>
    <x v="1"/>
    <n v="67"/>
    <n v="67"/>
    <n v="123"/>
    <n v="123"/>
    <x v="0"/>
    <x v="0"/>
  </r>
  <r>
    <n v="1"/>
    <x v="1"/>
    <n v="52"/>
    <x v="1"/>
    <n v="3"/>
    <n v="3"/>
    <s v="Graduate"/>
    <x v="1"/>
    <n v="0"/>
    <n v="0"/>
    <n v="0"/>
    <x v="1"/>
    <n v="0"/>
    <x v="0"/>
    <n v="0"/>
    <n v="1"/>
    <n v="0"/>
    <n v="232"/>
    <n v="232"/>
    <x v="1"/>
    <n v="154"/>
    <n v="92"/>
    <n v="26.51"/>
    <n v="26.51"/>
    <x v="0"/>
    <n v="90"/>
    <n v="90"/>
    <n v="74"/>
    <n v="74"/>
    <x v="0"/>
    <x v="0"/>
  </r>
  <r>
    <n v="0"/>
    <x v="0"/>
    <n v="52"/>
    <x v="1"/>
    <n v="2"/>
    <n v="2"/>
    <s v="Secondary"/>
    <x v="0"/>
    <n v="1"/>
    <n v="20"/>
    <n v="20"/>
    <x v="0"/>
    <n v="0"/>
    <x v="0"/>
    <n v="0"/>
    <n v="0"/>
    <n v="0"/>
    <n v="410"/>
    <n v="410"/>
    <x v="0"/>
    <n v="105"/>
    <n v="67.5"/>
    <n v="27.33"/>
    <n v="27.33"/>
    <x v="0"/>
    <n v="75"/>
    <n v="75"/>
    <n v="90"/>
    <n v="90"/>
    <x v="0"/>
    <x v="0"/>
  </r>
  <r>
    <n v="0"/>
    <x v="0"/>
    <n v="52"/>
    <x v="1"/>
    <n v="1"/>
    <n v="1"/>
    <s v="Primary"/>
    <x v="2"/>
    <n v="1"/>
    <n v="10"/>
    <n v="10"/>
    <x v="0"/>
    <n v="0"/>
    <x v="0"/>
    <n v="0"/>
    <n v="0"/>
    <n v="0"/>
    <n v="188"/>
    <n v="188"/>
    <x v="1"/>
    <n v="130"/>
    <n v="71"/>
    <n v="23.88"/>
    <n v="23.88"/>
    <x v="1"/>
    <n v="80"/>
    <n v="80"/>
    <n v="89"/>
    <n v="89"/>
    <x v="0"/>
    <x v="0"/>
  </r>
  <r>
    <n v="1"/>
    <x v="1"/>
    <n v="52"/>
    <x v="1"/>
    <n v="2"/>
    <n v="2"/>
    <s v="Secondary"/>
    <x v="0"/>
    <n v="1"/>
    <n v="30"/>
    <n v="30"/>
    <x v="0"/>
    <n v="0"/>
    <x v="0"/>
    <n v="0"/>
    <n v="0"/>
    <n v="0"/>
    <n v="222"/>
    <n v="222"/>
    <x v="1"/>
    <n v="108"/>
    <n v="70"/>
    <n v="23.09"/>
    <n v="23.09"/>
    <x v="1"/>
    <n v="72"/>
    <n v="72"/>
    <n v="61"/>
    <n v="61"/>
    <x v="0"/>
    <x v="0"/>
  </r>
  <r>
    <n v="0"/>
    <x v="0"/>
    <n v="52"/>
    <x v="1"/>
    <n v="2"/>
    <n v="2"/>
    <s v="Secondary"/>
    <x v="0"/>
    <n v="0"/>
    <n v="0"/>
    <n v="0"/>
    <x v="1"/>
    <n v="0"/>
    <x v="0"/>
    <n v="0"/>
    <n v="0"/>
    <n v="0"/>
    <n v="209"/>
    <n v="209"/>
    <x v="1"/>
    <n v="111"/>
    <n v="79"/>
    <n v="23.63"/>
    <n v="23.63"/>
    <x v="1"/>
    <n v="96"/>
    <n v="96"/>
    <n v="70"/>
    <n v="70"/>
    <x v="0"/>
    <x v="0"/>
  </r>
  <r>
    <n v="1"/>
    <x v="1"/>
    <n v="52"/>
    <x v="1"/>
    <s v="NA"/>
    <n v="1"/>
    <s v="Primary"/>
    <x v="2"/>
    <n v="0"/>
    <n v="0"/>
    <n v="0"/>
    <x v="1"/>
    <n v="0"/>
    <x v="0"/>
    <n v="0"/>
    <n v="0"/>
    <n v="1"/>
    <n v="232"/>
    <n v="232"/>
    <x v="1"/>
    <n v="130"/>
    <n v="74"/>
    <n v="32.520000000000003"/>
    <n v="32.520000000000003"/>
    <x v="2"/>
    <n v="95"/>
    <n v="95"/>
    <n v="248"/>
    <n v="248"/>
    <x v="0"/>
    <x v="1"/>
  </r>
  <r>
    <n v="1"/>
    <x v="1"/>
    <n v="52"/>
    <x v="1"/>
    <n v="1"/>
    <n v="1"/>
    <s v="Primary"/>
    <x v="2"/>
    <n v="1"/>
    <n v="20"/>
    <n v="20"/>
    <x v="0"/>
    <n v="0"/>
    <x v="0"/>
    <n v="0"/>
    <n v="1"/>
    <n v="0"/>
    <n v="232"/>
    <n v="232"/>
    <x v="1"/>
    <n v="155"/>
    <n v="80.5"/>
    <n v="29.6"/>
    <n v="29.6"/>
    <x v="0"/>
    <n v="72"/>
    <n v="72"/>
    <n v="67"/>
    <n v="67"/>
    <x v="0"/>
    <x v="0"/>
  </r>
  <r>
    <n v="0"/>
    <x v="0"/>
    <n v="52"/>
    <x v="1"/>
    <n v="1"/>
    <n v="1"/>
    <s v="Primary"/>
    <x v="2"/>
    <n v="0"/>
    <n v="0"/>
    <n v="0"/>
    <x v="1"/>
    <n v="0"/>
    <x v="0"/>
    <n v="0"/>
    <n v="1"/>
    <n v="0"/>
    <n v="203"/>
    <n v="203"/>
    <x v="1"/>
    <n v="129"/>
    <n v="97"/>
    <n v="37.58"/>
    <n v="37.58"/>
    <x v="2"/>
    <n v="90"/>
    <n v="90"/>
    <n v="77"/>
    <n v="77"/>
    <x v="0"/>
    <x v="0"/>
  </r>
  <r>
    <n v="0"/>
    <x v="0"/>
    <n v="52"/>
    <x v="1"/>
    <n v="2"/>
    <n v="2"/>
    <s v="Secondary"/>
    <x v="0"/>
    <n v="1"/>
    <s v="NA"/>
    <n v="9"/>
    <x v="0"/>
    <n v="0"/>
    <x v="0"/>
    <n v="0"/>
    <n v="1"/>
    <n v="0"/>
    <n v="292"/>
    <n v="292"/>
    <x v="0"/>
    <n v="157"/>
    <n v="112"/>
    <n v="29.56"/>
    <n v="29.56"/>
    <x v="0"/>
    <n v="95"/>
    <n v="95"/>
    <n v="84"/>
    <n v="84"/>
    <x v="0"/>
    <x v="0"/>
  </r>
  <r>
    <n v="1"/>
    <x v="1"/>
    <n v="52"/>
    <x v="1"/>
    <n v="1"/>
    <n v="1"/>
    <s v="Primary"/>
    <x v="2"/>
    <n v="1"/>
    <n v="20"/>
    <n v="20"/>
    <x v="0"/>
    <n v="0"/>
    <x v="0"/>
    <n v="0"/>
    <n v="1"/>
    <n v="0"/>
    <n v="283"/>
    <n v="283"/>
    <x v="0"/>
    <n v="145"/>
    <n v="79"/>
    <n v="30.12"/>
    <n v="30.12"/>
    <x v="2"/>
    <n v="72"/>
    <n v="72"/>
    <s v="NA"/>
    <n v="81.96365524402907"/>
    <x v="0"/>
    <x v="1"/>
  </r>
  <r>
    <n v="0"/>
    <x v="0"/>
    <n v="52"/>
    <x v="1"/>
    <n v="1"/>
    <n v="1"/>
    <s v="Primary"/>
    <x v="2"/>
    <n v="0"/>
    <n v="0"/>
    <n v="0"/>
    <x v="1"/>
    <n v="0"/>
    <x v="0"/>
    <n v="0"/>
    <n v="0"/>
    <n v="0"/>
    <n v="292"/>
    <n v="292"/>
    <x v="0"/>
    <n v="125"/>
    <n v="87"/>
    <n v="31.92"/>
    <n v="31.92"/>
    <x v="2"/>
    <n v="75"/>
    <n v="75"/>
    <n v="67"/>
    <n v="67"/>
    <x v="0"/>
    <x v="0"/>
  </r>
  <r>
    <n v="0"/>
    <x v="0"/>
    <n v="52"/>
    <x v="1"/>
    <n v="4"/>
    <n v="4"/>
    <s v="Post Graduate"/>
    <x v="3"/>
    <n v="0"/>
    <n v="0"/>
    <n v="0"/>
    <x v="1"/>
    <n v="0"/>
    <x v="0"/>
    <n v="0"/>
    <n v="0"/>
    <n v="0"/>
    <n v="309"/>
    <n v="309"/>
    <x v="0"/>
    <n v="142"/>
    <n v="87"/>
    <n v="24.22"/>
    <n v="24.22"/>
    <x v="1"/>
    <n v="86"/>
    <n v="86"/>
    <n v="110"/>
    <n v="110"/>
    <x v="0"/>
    <x v="0"/>
  </r>
  <r>
    <n v="0"/>
    <x v="0"/>
    <n v="52"/>
    <x v="1"/>
    <n v="2"/>
    <n v="2"/>
    <s v="Secondary"/>
    <x v="0"/>
    <n v="1"/>
    <n v="5"/>
    <n v="5"/>
    <x v="0"/>
    <n v="0"/>
    <x v="0"/>
    <n v="1"/>
    <n v="1"/>
    <n v="0"/>
    <n v="205"/>
    <n v="205"/>
    <x v="1"/>
    <n v="159"/>
    <n v="110"/>
    <n v="28.18"/>
    <n v="28.18"/>
    <x v="0"/>
    <n v="75"/>
    <n v="75"/>
    <n v="83"/>
    <n v="83"/>
    <x v="0"/>
    <x v="1"/>
  </r>
  <r>
    <n v="1"/>
    <x v="1"/>
    <n v="52"/>
    <x v="1"/>
    <n v="1"/>
    <n v="1"/>
    <s v="Primary"/>
    <x v="2"/>
    <n v="1"/>
    <n v="20"/>
    <n v="20"/>
    <x v="0"/>
    <n v="0"/>
    <x v="0"/>
    <n v="0"/>
    <n v="0"/>
    <n v="0"/>
    <n v="225"/>
    <n v="225"/>
    <x v="1"/>
    <n v="126"/>
    <n v="75"/>
    <n v="22.18"/>
    <n v="22.18"/>
    <x v="1"/>
    <n v="85"/>
    <n v="85"/>
    <n v="100"/>
    <n v="100"/>
    <x v="0"/>
    <x v="1"/>
  </r>
  <r>
    <n v="0"/>
    <x v="0"/>
    <n v="52"/>
    <x v="1"/>
    <n v="2"/>
    <n v="2"/>
    <s v="Secondary"/>
    <x v="0"/>
    <n v="0"/>
    <n v="0"/>
    <n v="0"/>
    <x v="1"/>
    <n v="0"/>
    <x v="0"/>
    <n v="0"/>
    <n v="1"/>
    <n v="0"/>
    <n v="296"/>
    <n v="296"/>
    <x v="0"/>
    <n v="140"/>
    <n v="93"/>
    <n v="26.81"/>
    <n v="26.81"/>
    <x v="0"/>
    <n v="88"/>
    <n v="88"/>
    <n v="74"/>
    <n v="74"/>
    <x v="0"/>
    <x v="0"/>
  </r>
  <r>
    <n v="1"/>
    <x v="1"/>
    <n v="52"/>
    <x v="1"/>
    <n v="2"/>
    <n v="2"/>
    <s v="Secondary"/>
    <x v="0"/>
    <n v="0"/>
    <n v="0"/>
    <n v="0"/>
    <x v="1"/>
    <n v="0"/>
    <x v="0"/>
    <n v="0"/>
    <n v="1"/>
    <n v="1"/>
    <n v="269"/>
    <n v="269"/>
    <x v="0"/>
    <n v="157.5"/>
    <n v="83"/>
    <n v="26.6"/>
    <n v="26.6"/>
    <x v="0"/>
    <n v="70"/>
    <n v="70"/>
    <n v="80"/>
    <n v="80"/>
    <x v="0"/>
    <x v="0"/>
  </r>
  <r>
    <n v="1"/>
    <x v="1"/>
    <n v="52"/>
    <x v="1"/>
    <n v="1"/>
    <n v="1"/>
    <s v="Primary"/>
    <x v="2"/>
    <n v="0"/>
    <n v="0"/>
    <n v="0"/>
    <x v="1"/>
    <n v="0"/>
    <x v="0"/>
    <n v="0"/>
    <n v="0"/>
    <n v="0"/>
    <n v="266"/>
    <n v="266"/>
    <x v="0"/>
    <n v="107"/>
    <n v="75"/>
    <n v="25.64"/>
    <n v="25.64"/>
    <x v="0"/>
    <n v="82"/>
    <n v="82"/>
    <n v="98"/>
    <n v="98"/>
    <x v="0"/>
    <x v="0"/>
  </r>
  <r>
    <n v="0"/>
    <x v="0"/>
    <n v="52"/>
    <x v="1"/>
    <n v="2"/>
    <n v="2"/>
    <s v="Secondary"/>
    <x v="0"/>
    <n v="1"/>
    <n v="9"/>
    <n v="9"/>
    <x v="0"/>
    <n v="0"/>
    <x v="0"/>
    <n v="0"/>
    <n v="0"/>
    <n v="0"/>
    <n v="218"/>
    <n v="218"/>
    <x v="1"/>
    <n v="121.5"/>
    <n v="57"/>
    <n v="20.78"/>
    <n v="20.78"/>
    <x v="1"/>
    <n v="79"/>
    <n v="79"/>
    <n v="85"/>
    <n v="85"/>
    <x v="0"/>
    <x v="0"/>
  </r>
  <r>
    <n v="0"/>
    <x v="0"/>
    <n v="52"/>
    <x v="1"/>
    <n v="1"/>
    <n v="1"/>
    <s v="Primary"/>
    <x v="2"/>
    <n v="1"/>
    <n v="30"/>
    <n v="30"/>
    <x v="0"/>
    <n v="0"/>
    <x v="0"/>
    <n v="0"/>
    <n v="1"/>
    <n v="0"/>
    <n v="240"/>
    <n v="240"/>
    <x v="1"/>
    <n v="157.5"/>
    <n v="105"/>
    <n v="29.64"/>
    <n v="29.64"/>
    <x v="0"/>
    <n v="72"/>
    <n v="72"/>
    <n v="80"/>
    <n v="80"/>
    <x v="0"/>
    <x v="0"/>
  </r>
  <r>
    <n v="0"/>
    <x v="0"/>
    <n v="52"/>
    <x v="1"/>
    <n v="1"/>
    <n v="1"/>
    <s v="Primary"/>
    <x v="2"/>
    <n v="0"/>
    <n v="0"/>
    <n v="0"/>
    <x v="1"/>
    <n v="0"/>
    <x v="0"/>
    <n v="0"/>
    <n v="0"/>
    <n v="0"/>
    <n v="265"/>
    <n v="265"/>
    <x v="0"/>
    <n v="137.5"/>
    <n v="84.5"/>
    <n v="26.91"/>
    <n v="26.91"/>
    <x v="0"/>
    <n v="72"/>
    <n v="72"/>
    <n v="86"/>
    <n v="86"/>
    <x v="0"/>
    <x v="0"/>
  </r>
  <r>
    <n v="0"/>
    <x v="0"/>
    <n v="52"/>
    <x v="1"/>
    <n v="2"/>
    <n v="2"/>
    <s v="Secondary"/>
    <x v="0"/>
    <n v="0"/>
    <n v="0"/>
    <n v="0"/>
    <x v="1"/>
    <n v="0"/>
    <x v="0"/>
    <n v="0"/>
    <n v="0"/>
    <n v="0"/>
    <n v="269"/>
    <n v="269"/>
    <x v="0"/>
    <n v="133.5"/>
    <n v="83"/>
    <n v="21.47"/>
    <n v="21.47"/>
    <x v="1"/>
    <n v="80"/>
    <n v="80"/>
    <n v="107"/>
    <n v="107"/>
    <x v="0"/>
    <x v="0"/>
  </r>
  <r>
    <n v="0"/>
    <x v="0"/>
    <n v="53"/>
    <x v="1"/>
    <n v="3"/>
    <n v="3"/>
    <s v="Graduate"/>
    <x v="1"/>
    <n v="0"/>
    <n v="0"/>
    <n v="0"/>
    <x v="1"/>
    <n v="1"/>
    <x v="1"/>
    <n v="0"/>
    <n v="1"/>
    <n v="1"/>
    <n v="311"/>
    <n v="311"/>
    <x v="0"/>
    <n v="206"/>
    <n v="92"/>
    <n v="21.51"/>
    <n v="21.51"/>
    <x v="1"/>
    <n v="76"/>
    <n v="76"/>
    <n v="215"/>
    <n v="215"/>
    <x v="0"/>
    <x v="1"/>
  </r>
  <r>
    <n v="1"/>
    <x v="1"/>
    <n v="53"/>
    <x v="1"/>
    <n v="1"/>
    <n v="1"/>
    <s v="Primary"/>
    <x v="2"/>
    <n v="1"/>
    <n v="20"/>
    <n v="20"/>
    <x v="0"/>
    <n v="0"/>
    <x v="0"/>
    <n v="0"/>
    <n v="0"/>
    <n v="0"/>
    <n v="220"/>
    <n v="220"/>
    <x v="1"/>
    <n v="123.5"/>
    <n v="75"/>
    <n v="19.64"/>
    <n v="19.64"/>
    <x v="1"/>
    <n v="78"/>
    <n v="78"/>
    <n v="73"/>
    <n v="73"/>
    <x v="0"/>
    <x v="0"/>
  </r>
  <r>
    <n v="0"/>
    <x v="0"/>
    <n v="53"/>
    <x v="1"/>
    <n v="2"/>
    <n v="2"/>
    <s v="Secondary"/>
    <x v="0"/>
    <n v="0"/>
    <n v="0"/>
    <n v="0"/>
    <x v="1"/>
    <n v="0"/>
    <x v="0"/>
    <n v="0"/>
    <n v="0"/>
    <n v="0"/>
    <n v="210"/>
    <n v="210"/>
    <x v="1"/>
    <n v="138"/>
    <n v="86.5"/>
    <n v="22.49"/>
    <n v="22.49"/>
    <x v="1"/>
    <n v="88"/>
    <n v="88"/>
    <n v="87"/>
    <n v="87"/>
    <x v="0"/>
    <x v="0"/>
  </r>
  <r>
    <n v="1"/>
    <x v="1"/>
    <n v="53"/>
    <x v="1"/>
    <n v="1"/>
    <n v="1"/>
    <s v="Primary"/>
    <x v="2"/>
    <n v="1"/>
    <n v="20"/>
    <n v="20"/>
    <x v="0"/>
    <n v="0"/>
    <x v="0"/>
    <n v="0"/>
    <n v="0"/>
    <n v="0"/>
    <n v="188"/>
    <n v="188"/>
    <x v="1"/>
    <n v="138"/>
    <n v="89"/>
    <n v="18.23"/>
    <n v="18.23"/>
    <x v="3"/>
    <n v="60"/>
    <n v="60"/>
    <n v="75"/>
    <n v="75"/>
    <x v="0"/>
    <x v="0"/>
  </r>
  <r>
    <n v="1"/>
    <x v="1"/>
    <n v="53"/>
    <x v="1"/>
    <n v="1"/>
    <n v="1"/>
    <s v="Primary"/>
    <x v="2"/>
    <n v="1"/>
    <n v="30"/>
    <n v="30"/>
    <x v="0"/>
    <n v="0"/>
    <x v="0"/>
    <n v="0"/>
    <n v="0"/>
    <n v="0"/>
    <n v="244"/>
    <n v="244"/>
    <x v="0"/>
    <n v="106"/>
    <n v="67.5"/>
    <n v="21.84"/>
    <n v="21.84"/>
    <x v="1"/>
    <n v="88"/>
    <n v="88"/>
    <n v="65"/>
    <n v="65"/>
    <x v="0"/>
    <x v="0"/>
  </r>
  <r>
    <n v="0"/>
    <x v="0"/>
    <n v="53"/>
    <x v="1"/>
    <n v="1"/>
    <n v="1"/>
    <s v="Primary"/>
    <x v="2"/>
    <n v="1"/>
    <n v="15"/>
    <n v="15"/>
    <x v="0"/>
    <n v="0"/>
    <x v="0"/>
    <n v="0"/>
    <n v="0"/>
    <n v="0"/>
    <n v="225"/>
    <n v="225"/>
    <x v="1"/>
    <n v="128"/>
    <n v="77"/>
    <n v="23.95"/>
    <n v="23.95"/>
    <x v="1"/>
    <n v="80"/>
    <n v="80"/>
    <n v="78"/>
    <n v="78"/>
    <x v="0"/>
    <x v="0"/>
  </r>
  <r>
    <n v="1"/>
    <x v="1"/>
    <n v="53"/>
    <x v="1"/>
    <n v="4"/>
    <n v="4"/>
    <s v="Post Graduate"/>
    <x v="3"/>
    <n v="1"/>
    <n v="30"/>
    <n v="30"/>
    <x v="0"/>
    <n v="0"/>
    <x v="0"/>
    <n v="0"/>
    <n v="0"/>
    <n v="0"/>
    <n v="189"/>
    <n v="189"/>
    <x v="1"/>
    <n v="110"/>
    <n v="67.5"/>
    <n v="23.59"/>
    <n v="23.59"/>
    <x v="1"/>
    <n v="60"/>
    <n v="60"/>
    <n v="63"/>
    <n v="63"/>
    <x v="0"/>
    <x v="0"/>
  </r>
  <r>
    <n v="1"/>
    <x v="1"/>
    <n v="53"/>
    <x v="1"/>
    <n v="2"/>
    <n v="2"/>
    <s v="Secondary"/>
    <x v="0"/>
    <n v="0"/>
    <n v="0"/>
    <n v="0"/>
    <x v="1"/>
    <n v="0"/>
    <x v="0"/>
    <n v="0"/>
    <n v="0"/>
    <n v="0"/>
    <n v="193"/>
    <n v="193"/>
    <x v="1"/>
    <n v="142"/>
    <n v="89"/>
    <n v="29.56"/>
    <n v="29.56"/>
    <x v="0"/>
    <n v="70"/>
    <n v="70"/>
    <n v="78"/>
    <n v="78"/>
    <x v="0"/>
    <x v="0"/>
  </r>
  <r>
    <n v="0"/>
    <x v="0"/>
    <n v="53"/>
    <x v="1"/>
    <n v="1"/>
    <n v="1"/>
    <s v="Primary"/>
    <x v="2"/>
    <n v="0"/>
    <n v="0"/>
    <n v="0"/>
    <x v="1"/>
    <n v="0"/>
    <x v="0"/>
    <n v="0"/>
    <n v="1"/>
    <n v="0"/>
    <n v="303"/>
    <n v="303"/>
    <x v="0"/>
    <n v="128"/>
    <n v="91"/>
    <n v="27.35"/>
    <n v="27.35"/>
    <x v="0"/>
    <n v="60"/>
    <n v="60"/>
    <n v="77"/>
    <n v="77"/>
    <x v="0"/>
    <x v="1"/>
  </r>
  <r>
    <n v="0"/>
    <x v="0"/>
    <n v="53"/>
    <x v="1"/>
    <n v="2"/>
    <n v="2"/>
    <s v="Secondary"/>
    <x v="0"/>
    <n v="1"/>
    <n v="20"/>
    <n v="20"/>
    <x v="0"/>
    <n v="0"/>
    <x v="0"/>
    <n v="0"/>
    <n v="0"/>
    <n v="0"/>
    <n v="262"/>
    <n v="262"/>
    <x v="0"/>
    <n v="127.5"/>
    <n v="86"/>
    <n v="24.11"/>
    <n v="24.11"/>
    <x v="1"/>
    <n v="87"/>
    <n v="87"/>
    <n v="73"/>
    <n v="73"/>
    <x v="0"/>
    <x v="0"/>
  </r>
  <r>
    <n v="0"/>
    <x v="0"/>
    <n v="53"/>
    <x v="1"/>
    <n v="2"/>
    <n v="2"/>
    <s v="Secondary"/>
    <x v="0"/>
    <n v="1"/>
    <n v="20"/>
    <n v="20"/>
    <x v="0"/>
    <n v="0"/>
    <x v="0"/>
    <n v="0"/>
    <n v="0"/>
    <n v="0"/>
    <n v="240"/>
    <n v="240"/>
    <x v="1"/>
    <n v="131"/>
    <n v="82"/>
    <n v="24.22"/>
    <n v="24.22"/>
    <x v="1"/>
    <n v="66"/>
    <n v="66"/>
    <n v="80"/>
    <n v="80"/>
    <x v="0"/>
    <x v="0"/>
  </r>
  <r>
    <n v="0"/>
    <x v="0"/>
    <n v="53"/>
    <x v="1"/>
    <n v="2"/>
    <n v="2"/>
    <s v="Secondary"/>
    <x v="0"/>
    <n v="0"/>
    <n v="0"/>
    <n v="0"/>
    <x v="1"/>
    <n v="1"/>
    <x v="1"/>
    <n v="0"/>
    <n v="1"/>
    <n v="0"/>
    <n v="250"/>
    <n v="250"/>
    <x v="0"/>
    <n v="144"/>
    <n v="98"/>
    <n v="28.78"/>
    <n v="28.78"/>
    <x v="0"/>
    <n v="90"/>
    <n v="90"/>
    <n v="78"/>
    <n v="78"/>
    <x v="0"/>
    <x v="0"/>
  </r>
  <r>
    <n v="0"/>
    <x v="0"/>
    <n v="53"/>
    <x v="1"/>
    <n v="2"/>
    <n v="2"/>
    <s v="Secondary"/>
    <x v="0"/>
    <n v="1"/>
    <n v="10"/>
    <n v="10"/>
    <x v="0"/>
    <n v="0"/>
    <x v="0"/>
    <n v="0"/>
    <n v="0"/>
    <n v="0"/>
    <n v="276"/>
    <n v="276"/>
    <x v="0"/>
    <n v="130"/>
    <n v="86"/>
    <n v="27.09"/>
    <n v="27.09"/>
    <x v="0"/>
    <n v="75"/>
    <n v="75"/>
    <n v="56"/>
    <n v="56"/>
    <x v="0"/>
    <x v="0"/>
  </r>
  <r>
    <n v="1"/>
    <x v="1"/>
    <n v="53"/>
    <x v="1"/>
    <n v="1"/>
    <n v="1"/>
    <s v="Primary"/>
    <x v="2"/>
    <n v="0"/>
    <n v="0"/>
    <n v="0"/>
    <x v="1"/>
    <n v="0"/>
    <x v="0"/>
    <n v="0"/>
    <n v="1"/>
    <n v="0"/>
    <n v="202"/>
    <n v="202"/>
    <x v="1"/>
    <n v="140.5"/>
    <n v="90"/>
    <n v="25.82"/>
    <n v="25.82"/>
    <x v="0"/>
    <n v="85"/>
    <n v="85"/>
    <n v="74"/>
    <n v="74"/>
    <x v="0"/>
    <x v="0"/>
  </r>
  <r>
    <n v="0"/>
    <x v="0"/>
    <n v="53"/>
    <x v="1"/>
    <n v="1"/>
    <n v="1"/>
    <s v="Primary"/>
    <x v="2"/>
    <n v="0"/>
    <n v="0"/>
    <n v="0"/>
    <x v="1"/>
    <n v="0"/>
    <x v="0"/>
    <n v="0"/>
    <n v="1"/>
    <n v="0"/>
    <n v="174"/>
    <n v="174"/>
    <x v="1"/>
    <n v="165"/>
    <n v="93"/>
    <n v="27.45"/>
    <n v="27.45"/>
    <x v="0"/>
    <n v="108"/>
    <n v="108"/>
    <s v="NA"/>
    <n v="81.96365524402907"/>
    <x v="0"/>
    <x v="0"/>
  </r>
  <r>
    <n v="0"/>
    <x v="0"/>
    <n v="53"/>
    <x v="1"/>
    <n v="3"/>
    <n v="3"/>
    <s v="Graduate"/>
    <x v="1"/>
    <n v="1"/>
    <n v="14"/>
    <n v="14"/>
    <x v="0"/>
    <n v="0"/>
    <x v="0"/>
    <n v="0"/>
    <n v="0"/>
    <n v="0"/>
    <n v="252"/>
    <n v="252"/>
    <x v="0"/>
    <n v="120"/>
    <n v="74"/>
    <n v="21.14"/>
    <n v="21.14"/>
    <x v="1"/>
    <n v="68"/>
    <n v="68"/>
    <s v="NA"/>
    <n v="81.96365524402907"/>
    <x v="0"/>
    <x v="0"/>
  </r>
  <r>
    <n v="1"/>
    <x v="1"/>
    <n v="53"/>
    <x v="1"/>
    <n v="1"/>
    <n v="1"/>
    <s v="Primary"/>
    <x v="2"/>
    <n v="1"/>
    <n v="50"/>
    <n v="50"/>
    <x v="0"/>
    <n v="0"/>
    <x v="0"/>
    <n v="0"/>
    <n v="0"/>
    <n v="0"/>
    <n v="306"/>
    <n v="306"/>
    <x v="0"/>
    <n v="127"/>
    <n v="82.5"/>
    <n v="31.22"/>
    <n v="31.22"/>
    <x v="2"/>
    <n v="72"/>
    <n v="72"/>
    <s v="NA"/>
    <n v="81.96365524402907"/>
    <x v="0"/>
    <x v="0"/>
  </r>
  <r>
    <n v="1"/>
    <x v="1"/>
    <n v="53"/>
    <x v="1"/>
    <n v="3"/>
    <n v="3"/>
    <s v="Graduate"/>
    <x v="1"/>
    <n v="1"/>
    <n v="15"/>
    <n v="15"/>
    <x v="0"/>
    <n v="0"/>
    <x v="0"/>
    <n v="1"/>
    <n v="0"/>
    <n v="0"/>
    <n v="161"/>
    <n v="161"/>
    <x v="1"/>
    <n v="116"/>
    <n v="74.5"/>
    <n v="19.82"/>
    <n v="19.82"/>
    <x v="1"/>
    <n v="80"/>
    <n v="80"/>
    <n v="90"/>
    <n v="90"/>
    <x v="0"/>
    <x v="0"/>
  </r>
  <r>
    <n v="0"/>
    <x v="0"/>
    <n v="53"/>
    <x v="1"/>
    <n v="2"/>
    <n v="2"/>
    <s v="Secondary"/>
    <x v="0"/>
    <n v="0"/>
    <n v="0"/>
    <n v="0"/>
    <x v="1"/>
    <n v="0"/>
    <x v="0"/>
    <n v="0"/>
    <n v="0"/>
    <n v="0"/>
    <n v="235"/>
    <n v="235"/>
    <x v="1"/>
    <n v="132"/>
    <n v="84"/>
    <n v="30.1"/>
    <n v="30.1"/>
    <x v="2"/>
    <n v="80"/>
    <n v="80"/>
    <n v="63"/>
    <n v="63"/>
    <x v="0"/>
    <x v="0"/>
  </r>
  <r>
    <n v="0"/>
    <x v="0"/>
    <n v="53"/>
    <x v="1"/>
    <n v="3"/>
    <n v="3"/>
    <s v="Graduate"/>
    <x v="1"/>
    <n v="1"/>
    <n v="9"/>
    <n v="9"/>
    <x v="0"/>
    <n v="0"/>
    <x v="0"/>
    <n v="0"/>
    <n v="0"/>
    <n v="0"/>
    <n v="210"/>
    <n v="210"/>
    <x v="1"/>
    <n v="132"/>
    <n v="84.5"/>
    <n v="27.08"/>
    <n v="27.08"/>
    <x v="0"/>
    <n v="110"/>
    <n v="110"/>
    <n v="84"/>
    <n v="84"/>
    <x v="0"/>
    <x v="1"/>
  </r>
  <r>
    <n v="0"/>
    <x v="0"/>
    <n v="53"/>
    <x v="1"/>
    <n v="2"/>
    <n v="2"/>
    <s v="Secondary"/>
    <x v="0"/>
    <n v="0"/>
    <n v="0"/>
    <n v="0"/>
    <x v="1"/>
    <n v="0"/>
    <x v="0"/>
    <n v="0"/>
    <n v="0"/>
    <n v="0"/>
    <n v="370"/>
    <n v="370"/>
    <x v="0"/>
    <n v="123"/>
    <n v="83"/>
    <n v="24.64"/>
    <n v="24.64"/>
    <x v="1"/>
    <n v="63"/>
    <n v="63"/>
    <n v="74"/>
    <n v="74"/>
    <x v="0"/>
    <x v="1"/>
  </r>
  <r>
    <n v="1"/>
    <x v="1"/>
    <n v="53"/>
    <x v="1"/>
    <n v="1"/>
    <n v="1"/>
    <s v="Primary"/>
    <x v="2"/>
    <n v="0"/>
    <n v="0"/>
    <n v="0"/>
    <x v="1"/>
    <n v="0"/>
    <x v="0"/>
    <n v="0"/>
    <n v="1"/>
    <n v="0"/>
    <n v="240"/>
    <n v="240"/>
    <x v="1"/>
    <n v="174.5"/>
    <n v="103"/>
    <n v="29.82"/>
    <n v="29.82"/>
    <x v="0"/>
    <n v="81"/>
    <n v="81"/>
    <n v="74"/>
    <n v="74"/>
    <x v="0"/>
    <x v="1"/>
  </r>
  <r>
    <n v="0"/>
    <x v="0"/>
    <n v="53"/>
    <x v="1"/>
    <n v="3"/>
    <n v="3"/>
    <s v="Graduate"/>
    <x v="1"/>
    <n v="0"/>
    <n v="0"/>
    <n v="0"/>
    <x v="1"/>
    <n v="0"/>
    <x v="0"/>
    <n v="0"/>
    <n v="1"/>
    <n v="0"/>
    <n v="156"/>
    <n v="156"/>
    <x v="1"/>
    <n v="141.5"/>
    <n v="95"/>
    <n v="39.6"/>
    <n v="39.6"/>
    <x v="2"/>
    <n v="80"/>
    <n v="80"/>
    <s v="NA"/>
    <n v="81.96365524402907"/>
    <x v="0"/>
    <x v="0"/>
  </r>
  <r>
    <n v="0"/>
    <x v="0"/>
    <n v="53"/>
    <x v="1"/>
    <n v="3"/>
    <n v="3"/>
    <s v="Graduate"/>
    <x v="1"/>
    <n v="0"/>
    <n v="0"/>
    <n v="0"/>
    <x v="1"/>
    <n v="0"/>
    <x v="0"/>
    <n v="0"/>
    <n v="0"/>
    <n v="0"/>
    <n v="245"/>
    <n v="245"/>
    <x v="0"/>
    <n v="103"/>
    <n v="68"/>
    <n v="21.8"/>
    <n v="21.8"/>
    <x v="1"/>
    <n v="60"/>
    <n v="60"/>
    <n v="63"/>
    <n v="63"/>
    <x v="0"/>
    <x v="0"/>
  </r>
  <r>
    <n v="0"/>
    <x v="0"/>
    <n v="53"/>
    <x v="1"/>
    <n v="1"/>
    <n v="1"/>
    <s v="Primary"/>
    <x v="2"/>
    <n v="1"/>
    <n v="9"/>
    <n v="9"/>
    <x v="0"/>
    <n v="0"/>
    <x v="0"/>
    <n v="0"/>
    <n v="0"/>
    <n v="0"/>
    <n v="278"/>
    <n v="278"/>
    <x v="0"/>
    <n v="131"/>
    <n v="87"/>
    <n v="33.380000000000003"/>
    <n v="33.380000000000003"/>
    <x v="2"/>
    <n v="63"/>
    <n v="63"/>
    <n v="74"/>
    <n v="74"/>
    <x v="0"/>
    <x v="1"/>
  </r>
  <r>
    <n v="1"/>
    <x v="1"/>
    <n v="53"/>
    <x v="1"/>
    <n v="2"/>
    <n v="2"/>
    <s v="Secondary"/>
    <x v="0"/>
    <n v="0"/>
    <n v="0"/>
    <n v="0"/>
    <x v="1"/>
    <n v="0"/>
    <x v="0"/>
    <n v="0"/>
    <n v="1"/>
    <n v="0"/>
    <n v="254"/>
    <n v="254"/>
    <x v="0"/>
    <n v="160"/>
    <n v="92"/>
    <n v="25.61"/>
    <n v="25.61"/>
    <x v="0"/>
    <n v="60"/>
    <n v="60"/>
    <n v="80"/>
    <n v="80"/>
    <x v="0"/>
    <x v="0"/>
  </r>
  <r>
    <n v="0"/>
    <x v="0"/>
    <n v="53"/>
    <x v="1"/>
    <n v="1"/>
    <n v="1"/>
    <s v="Primary"/>
    <x v="2"/>
    <n v="1"/>
    <n v="20"/>
    <n v="20"/>
    <x v="0"/>
    <n v="0"/>
    <x v="0"/>
    <n v="0"/>
    <n v="0"/>
    <n v="0"/>
    <n v="242"/>
    <n v="242"/>
    <x v="0"/>
    <n v="127"/>
    <n v="79"/>
    <n v="19.64"/>
    <n v="19.64"/>
    <x v="1"/>
    <n v="70"/>
    <n v="70"/>
    <n v="74"/>
    <n v="74"/>
    <x v="0"/>
    <x v="0"/>
  </r>
  <r>
    <n v="1"/>
    <x v="1"/>
    <n v="53"/>
    <x v="1"/>
    <n v="4"/>
    <n v="4"/>
    <s v="Post Graduate"/>
    <x v="3"/>
    <n v="0"/>
    <n v="0"/>
    <n v="0"/>
    <x v="1"/>
    <n v="0"/>
    <x v="0"/>
    <n v="0"/>
    <n v="0"/>
    <n v="0"/>
    <n v="292"/>
    <n v="292"/>
    <x v="0"/>
    <n v="112.5"/>
    <n v="82.5"/>
    <n v="25.04"/>
    <n v="25.04"/>
    <x v="0"/>
    <n v="67"/>
    <n v="67"/>
    <n v="82"/>
    <n v="82"/>
    <x v="0"/>
    <x v="0"/>
  </r>
  <r>
    <n v="0"/>
    <x v="0"/>
    <n v="53"/>
    <x v="1"/>
    <n v="4"/>
    <n v="4"/>
    <s v="Post Graduate"/>
    <x v="3"/>
    <n v="0"/>
    <n v="0"/>
    <n v="0"/>
    <x v="1"/>
    <n v="0"/>
    <x v="0"/>
    <n v="0"/>
    <n v="0"/>
    <n v="0"/>
    <n v="240"/>
    <n v="240"/>
    <x v="1"/>
    <n v="133.5"/>
    <n v="82.5"/>
    <n v="40.58"/>
    <n v="40.58"/>
    <x v="2"/>
    <n v="70"/>
    <n v="70"/>
    <s v="NA"/>
    <n v="81.96365524402907"/>
    <x v="0"/>
    <x v="0"/>
  </r>
  <r>
    <n v="0"/>
    <x v="0"/>
    <n v="53"/>
    <x v="1"/>
    <n v="1"/>
    <n v="1"/>
    <s v="Primary"/>
    <x v="2"/>
    <n v="0"/>
    <n v="0"/>
    <n v="0"/>
    <x v="1"/>
    <n v="0"/>
    <x v="0"/>
    <n v="0"/>
    <n v="1"/>
    <n v="1"/>
    <n v="248"/>
    <n v="248"/>
    <x v="0"/>
    <n v="200"/>
    <n v="140"/>
    <n v="43.3"/>
    <n v="43.3"/>
    <x v="2"/>
    <n v="107"/>
    <n v="107"/>
    <n v="130"/>
    <n v="130"/>
    <x v="0"/>
    <x v="1"/>
  </r>
  <r>
    <n v="0"/>
    <x v="0"/>
    <n v="53"/>
    <x v="1"/>
    <n v="2"/>
    <n v="2"/>
    <s v="Secondary"/>
    <x v="0"/>
    <n v="1"/>
    <n v="10"/>
    <n v="10"/>
    <x v="0"/>
    <n v="0"/>
    <x v="0"/>
    <n v="0"/>
    <n v="1"/>
    <n v="0"/>
    <n v="261"/>
    <n v="261"/>
    <x v="0"/>
    <n v="136"/>
    <n v="99"/>
    <n v="21.02"/>
    <n v="21.02"/>
    <x v="1"/>
    <n v="85"/>
    <n v="85"/>
    <n v="94"/>
    <n v="94"/>
    <x v="0"/>
    <x v="0"/>
  </r>
  <r>
    <n v="1"/>
    <x v="1"/>
    <n v="53"/>
    <x v="1"/>
    <n v="4"/>
    <n v="4"/>
    <s v="Post Graduate"/>
    <x v="3"/>
    <n v="1"/>
    <n v="5"/>
    <n v="5"/>
    <x v="0"/>
    <n v="0"/>
    <x v="0"/>
    <n v="0"/>
    <n v="1"/>
    <n v="0"/>
    <n v="232"/>
    <n v="232"/>
    <x v="1"/>
    <n v="134"/>
    <n v="91"/>
    <n v="25.13"/>
    <n v="25.13"/>
    <x v="0"/>
    <n v="54"/>
    <n v="54"/>
    <n v="75"/>
    <n v="75"/>
    <x v="0"/>
    <x v="0"/>
  </r>
  <r>
    <n v="1"/>
    <x v="1"/>
    <n v="53"/>
    <x v="1"/>
    <n v="1"/>
    <n v="1"/>
    <s v="Primary"/>
    <x v="2"/>
    <n v="0"/>
    <n v="0"/>
    <n v="0"/>
    <x v="1"/>
    <n v="0"/>
    <x v="0"/>
    <n v="0"/>
    <n v="0"/>
    <n v="0"/>
    <n v="220"/>
    <n v="220"/>
    <x v="1"/>
    <n v="127"/>
    <n v="76"/>
    <n v="24.27"/>
    <n v="24.27"/>
    <x v="1"/>
    <n v="75"/>
    <n v="75"/>
    <n v="74"/>
    <n v="74"/>
    <x v="0"/>
    <x v="0"/>
  </r>
  <r>
    <n v="0"/>
    <x v="0"/>
    <n v="53"/>
    <x v="1"/>
    <n v="2"/>
    <n v="2"/>
    <s v="Secondary"/>
    <x v="0"/>
    <n v="0"/>
    <n v="0"/>
    <n v="0"/>
    <x v="1"/>
    <n v="0"/>
    <x v="0"/>
    <n v="0"/>
    <n v="0"/>
    <n v="0"/>
    <n v="303"/>
    <n v="303"/>
    <x v="0"/>
    <n v="117"/>
    <n v="71"/>
    <n v="22.01"/>
    <n v="22.01"/>
    <x v="1"/>
    <n v="108"/>
    <n v="108"/>
    <n v="85"/>
    <n v="85"/>
    <x v="0"/>
    <x v="0"/>
  </r>
  <r>
    <n v="0"/>
    <x v="0"/>
    <n v="53"/>
    <x v="1"/>
    <n v="1"/>
    <n v="1"/>
    <s v="Primary"/>
    <x v="2"/>
    <n v="1"/>
    <n v="5"/>
    <n v="5"/>
    <x v="0"/>
    <n v="0"/>
    <x v="0"/>
    <n v="0"/>
    <n v="0"/>
    <n v="0"/>
    <n v="247"/>
    <n v="247"/>
    <x v="0"/>
    <n v="139"/>
    <n v="88"/>
    <n v="23.71"/>
    <n v="23.71"/>
    <x v="1"/>
    <n v="60"/>
    <n v="60"/>
    <n v="53"/>
    <n v="53"/>
    <x v="0"/>
    <x v="1"/>
  </r>
  <r>
    <n v="0"/>
    <x v="0"/>
    <n v="53"/>
    <x v="1"/>
    <n v="2"/>
    <n v="2"/>
    <s v="Secondary"/>
    <x v="0"/>
    <n v="0"/>
    <n v="0"/>
    <n v="0"/>
    <x v="1"/>
    <n v="0"/>
    <x v="0"/>
    <n v="0"/>
    <n v="1"/>
    <n v="0"/>
    <n v="219"/>
    <n v="219"/>
    <x v="1"/>
    <n v="184"/>
    <n v="109"/>
    <n v="22.73"/>
    <n v="22.73"/>
    <x v="1"/>
    <n v="80"/>
    <n v="80"/>
    <n v="73"/>
    <n v="73"/>
    <x v="0"/>
    <x v="1"/>
  </r>
  <r>
    <n v="0"/>
    <x v="0"/>
    <n v="53"/>
    <x v="1"/>
    <n v="2"/>
    <n v="2"/>
    <s v="Secondary"/>
    <x v="0"/>
    <n v="0"/>
    <n v="0"/>
    <n v="0"/>
    <x v="1"/>
    <n v="0"/>
    <x v="0"/>
    <n v="0"/>
    <n v="1"/>
    <n v="0"/>
    <n v="284"/>
    <n v="284"/>
    <x v="0"/>
    <n v="167.5"/>
    <n v="102.5"/>
    <n v="31.5"/>
    <n v="31.5"/>
    <x v="2"/>
    <n v="88"/>
    <n v="88"/>
    <n v="87"/>
    <n v="87"/>
    <x v="0"/>
    <x v="0"/>
  </r>
  <r>
    <n v="0"/>
    <x v="0"/>
    <n v="53"/>
    <x v="1"/>
    <n v="3"/>
    <n v="3"/>
    <s v="Graduate"/>
    <x v="1"/>
    <n v="0"/>
    <n v="0"/>
    <n v="0"/>
    <x v="1"/>
    <n v="0"/>
    <x v="0"/>
    <n v="0"/>
    <n v="1"/>
    <n v="0"/>
    <n v="285"/>
    <n v="285"/>
    <x v="0"/>
    <n v="160"/>
    <n v="97"/>
    <n v="31.31"/>
    <n v="31.31"/>
    <x v="2"/>
    <n v="75"/>
    <n v="75"/>
    <n v="65"/>
    <n v="65"/>
    <x v="0"/>
    <x v="0"/>
  </r>
  <r>
    <n v="0"/>
    <x v="0"/>
    <n v="53"/>
    <x v="1"/>
    <n v="2"/>
    <n v="2"/>
    <s v="Secondary"/>
    <x v="0"/>
    <n v="1"/>
    <n v="10"/>
    <n v="10"/>
    <x v="0"/>
    <n v="0"/>
    <x v="0"/>
    <n v="0"/>
    <n v="0"/>
    <n v="0"/>
    <n v="300"/>
    <n v="300"/>
    <x v="0"/>
    <n v="127"/>
    <n v="89"/>
    <n v="25.46"/>
    <n v="25.46"/>
    <x v="0"/>
    <n v="75"/>
    <n v="75"/>
    <n v="70"/>
    <n v="70"/>
    <x v="0"/>
    <x v="1"/>
  </r>
  <r>
    <n v="1"/>
    <x v="1"/>
    <n v="53"/>
    <x v="1"/>
    <n v="2"/>
    <n v="2"/>
    <s v="Secondary"/>
    <x v="0"/>
    <n v="0"/>
    <n v="0"/>
    <n v="0"/>
    <x v="1"/>
    <n v="0"/>
    <x v="0"/>
    <n v="0"/>
    <n v="1"/>
    <n v="0"/>
    <n v="287"/>
    <n v="287"/>
    <x v="0"/>
    <n v="122"/>
    <n v="80"/>
    <n v="26.26"/>
    <n v="26.26"/>
    <x v="0"/>
    <n v="77"/>
    <n v="77"/>
    <n v="85"/>
    <n v="85"/>
    <x v="0"/>
    <x v="0"/>
  </r>
  <r>
    <n v="1"/>
    <x v="1"/>
    <n v="53"/>
    <x v="1"/>
    <n v="1"/>
    <n v="1"/>
    <s v="Primary"/>
    <x v="2"/>
    <n v="1"/>
    <n v="20"/>
    <n v="20"/>
    <x v="0"/>
    <n v="0"/>
    <x v="0"/>
    <n v="0"/>
    <n v="1"/>
    <n v="0"/>
    <n v="186"/>
    <n v="186"/>
    <x v="1"/>
    <n v="167"/>
    <n v="96.5"/>
    <n v="25.09"/>
    <n v="25.09"/>
    <x v="0"/>
    <n v="112"/>
    <n v="112"/>
    <n v="113"/>
    <n v="113"/>
    <x v="0"/>
    <x v="0"/>
  </r>
  <r>
    <n v="1"/>
    <x v="1"/>
    <n v="53"/>
    <x v="1"/>
    <n v="2"/>
    <n v="2"/>
    <s v="Secondary"/>
    <x v="0"/>
    <n v="0"/>
    <n v="0"/>
    <n v="0"/>
    <x v="1"/>
    <n v="0"/>
    <x v="0"/>
    <n v="0"/>
    <n v="0"/>
    <n v="0"/>
    <n v="213"/>
    <n v="213"/>
    <x v="1"/>
    <n v="100"/>
    <n v="71"/>
    <n v="23.85"/>
    <n v="23.85"/>
    <x v="1"/>
    <n v="77"/>
    <n v="77"/>
    <n v="75"/>
    <n v="75"/>
    <x v="0"/>
    <x v="0"/>
  </r>
  <r>
    <n v="0"/>
    <x v="0"/>
    <n v="53"/>
    <x v="1"/>
    <n v="2"/>
    <n v="2"/>
    <s v="Secondary"/>
    <x v="0"/>
    <n v="0"/>
    <n v="0"/>
    <n v="0"/>
    <x v="1"/>
    <n v="0"/>
    <x v="0"/>
    <n v="0"/>
    <n v="1"/>
    <n v="0"/>
    <n v="232"/>
    <n v="232"/>
    <x v="1"/>
    <n v="147"/>
    <n v="71.5"/>
    <n v="25.45"/>
    <n v="25.45"/>
    <x v="0"/>
    <n v="85"/>
    <n v="85"/>
    <n v="74"/>
    <n v="74"/>
    <x v="0"/>
    <x v="0"/>
  </r>
  <r>
    <n v="1"/>
    <x v="1"/>
    <n v="53"/>
    <x v="1"/>
    <n v="2"/>
    <n v="2"/>
    <s v="Secondary"/>
    <x v="0"/>
    <n v="1"/>
    <n v="20"/>
    <n v="20"/>
    <x v="0"/>
    <n v="0"/>
    <x v="0"/>
    <n v="0"/>
    <n v="1"/>
    <n v="0"/>
    <n v="266"/>
    <n v="266"/>
    <x v="0"/>
    <n v="163"/>
    <n v="105"/>
    <n v="28.04"/>
    <n v="28.04"/>
    <x v="0"/>
    <n v="90"/>
    <n v="90"/>
    <n v="79"/>
    <n v="79"/>
    <x v="0"/>
    <x v="1"/>
  </r>
  <r>
    <n v="1"/>
    <x v="1"/>
    <n v="53"/>
    <x v="1"/>
    <n v="1"/>
    <n v="1"/>
    <s v="Primary"/>
    <x v="2"/>
    <n v="1"/>
    <n v="10"/>
    <n v="10"/>
    <x v="0"/>
    <n v="0"/>
    <x v="0"/>
    <n v="0"/>
    <n v="1"/>
    <n v="1"/>
    <n v="229"/>
    <n v="229"/>
    <x v="1"/>
    <n v="146.5"/>
    <n v="82"/>
    <n v="27.8"/>
    <n v="27.8"/>
    <x v="0"/>
    <n v="60"/>
    <n v="60"/>
    <n v="172"/>
    <n v="172"/>
    <x v="0"/>
    <x v="0"/>
  </r>
  <r>
    <n v="0"/>
    <x v="0"/>
    <n v="53"/>
    <x v="1"/>
    <n v="1"/>
    <n v="1"/>
    <s v="Primary"/>
    <x v="2"/>
    <n v="0"/>
    <n v="0"/>
    <n v="0"/>
    <x v="1"/>
    <n v="0"/>
    <x v="0"/>
    <n v="0"/>
    <n v="0"/>
    <n v="0"/>
    <n v="265"/>
    <n v="265"/>
    <x v="0"/>
    <n v="137"/>
    <n v="76"/>
    <n v="25.46"/>
    <n v="25.46"/>
    <x v="0"/>
    <n v="85"/>
    <n v="85"/>
    <n v="84"/>
    <n v="84"/>
    <x v="0"/>
    <x v="0"/>
  </r>
  <r>
    <n v="1"/>
    <x v="1"/>
    <n v="53"/>
    <x v="1"/>
    <n v="2"/>
    <n v="2"/>
    <s v="Secondary"/>
    <x v="0"/>
    <n v="1"/>
    <n v="9"/>
    <n v="9"/>
    <x v="0"/>
    <n v="0"/>
    <x v="0"/>
    <n v="0"/>
    <n v="1"/>
    <n v="0"/>
    <n v="230"/>
    <n v="230"/>
    <x v="1"/>
    <n v="137"/>
    <n v="99"/>
    <n v="25.77"/>
    <n v="25.77"/>
    <x v="0"/>
    <n v="83"/>
    <n v="83"/>
    <n v="79"/>
    <n v="79"/>
    <x v="0"/>
    <x v="0"/>
  </r>
  <r>
    <n v="1"/>
    <x v="1"/>
    <n v="53"/>
    <x v="1"/>
    <n v="2"/>
    <n v="2"/>
    <s v="Secondary"/>
    <x v="0"/>
    <n v="1"/>
    <n v="43"/>
    <n v="43"/>
    <x v="0"/>
    <n v="0"/>
    <x v="0"/>
    <n v="0"/>
    <n v="0"/>
    <n v="0"/>
    <n v="220"/>
    <n v="220"/>
    <x v="1"/>
    <n v="119"/>
    <n v="75"/>
    <n v="26.28"/>
    <n v="26.28"/>
    <x v="0"/>
    <n v="82"/>
    <n v="82"/>
    <n v="67"/>
    <n v="67"/>
    <x v="0"/>
    <x v="0"/>
  </r>
  <r>
    <n v="0"/>
    <x v="0"/>
    <n v="53"/>
    <x v="1"/>
    <n v="3"/>
    <n v="3"/>
    <s v="Graduate"/>
    <x v="1"/>
    <n v="0"/>
    <n v="0"/>
    <n v="0"/>
    <x v="1"/>
    <n v="0"/>
    <x v="0"/>
    <n v="0"/>
    <n v="0"/>
    <n v="0"/>
    <n v="218"/>
    <n v="218"/>
    <x v="1"/>
    <n v="125"/>
    <n v="80"/>
    <n v="24.96"/>
    <n v="24.96"/>
    <x v="1"/>
    <n v="72"/>
    <n v="72"/>
    <s v="NA"/>
    <n v="81.96365524402907"/>
    <x v="0"/>
    <x v="1"/>
  </r>
  <r>
    <n v="0"/>
    <x v="0"/>
    <n v="53"/>
    <x v="1"/>
    <n v="4"/>
    <n v="4"/>
    <s v="Post Graduate"/>
    <x v="3"/>
    <n v="0"/>
    <n v="0"/>
    <n v="0"/>
    <x v="1"/>
    <n v="0"/>
    <x v="0"/>
    <n v="0"/>
    <n v="0"/>
    <n v="0"/>
    <n v="291"/>
    <n v="291"/>
    <x v="0"/>
    <n v="114"/>
    <n v="81"/>
    <n v="26.21"/>
    <n v="26.21"/>
    <x v="0"/>
    <n v="70"/>
    <n v="70"/>
    <n v="79"/>
    <n v="79"/>
    <x v="0"/>
    <x v="0"/>
  </r>
  <r>
    <n v="0"/>
    <x v="0"/>
    <n v="53"/>
    <x v="1"/>
    <n v="3"/>
    <n v="3"/>
    <s v="Graduate"/>
    <x v="1"/>
    <n v="0"/>
    <n v="0"/>
    <n v="0"/>
    <x v="1"/>
    <n v="0"/>
    <x v="0"/>
    <n v="0"/>
    <n v="0"/>
    <n v="0"/>
    <n v="245"/>
    <n v="245"/>
    <x v="0"/>
    <n v="102"/>
    <n v="68"/>
    <n v="23.01"/>
    <n v="23.01"/>
    <x v="1"/>
    <n v="60"/>
    <n v="60"/>
    <s v="NA"/>
    <n v="81.96365524402907"/>
    <x v="0"/>
    <x v="0"/>
  </r>
  <r>
    <n v="1"/>
    <x v="1"/>
    <n v="53"/>
    <x v="1"/>
    <n v="1"/>
    <n v="1"/>
    <s v="Primary"/>
    <x v="2"/>
    <n v="1"/>
    <n v="20"/>
    <n v="20"/>
    <x v="0"/>
    <n v="0"/>
    <x v="0"/>
    <n v="0"/>
    <n v="1"/>
    <n v="0"/>
    <n v="248"/>
    <n v="248"/>
    <x v="0"/>
    <n v="165"/>
    <n v="96"/>
    <n v="24.45"/>
    <n v="24.45"/>
    <x v="1"/>
    <n v="100"/>
    <n v="100"/>
    <n v="71"/>
    <n v="71"/>
    <x v="0"/>
    <x v="0"/>
  </r>
  <r>
    <n v="0"/>
    <x v="0"/>
    <n v="53"/>
    <x v="1"/>
    <n v="1"/>
    <n v="1"/>
    <s v="Primary"/>
    <x v="2"/>
    <n v="1"/>
    <n v="3"/>
    <n v="3"/>
    <x v="0"/>
    <n v="0"/>
    <x v="0"/>
    <n v="0"/>
    <n v="1"/>
    <n v="0"/>
    <n v="268"/>
    <n v="268"/>
    <x v="0"/>
    <n v="136.5"/>
    <n v="94.5"/>
    <n v="25.51"/>
    <n v="25.51"/>
    <x v="0"/>
    <n v="100"/>
    <n v="100"/>
    <s v="NA"/>
    <n v="81.96365524402907"/>
    <x v="0"/>
    <x v="0"/>
  </r>
  <r>
    <n v="1"/>
    <x v="1"/>
    <n v="53"/>
    <x v="1"/>
    <n v="1"/>
    <n v="1"/>
    <s v="Primary"/>
    <x v="2"/>
    <n v="1"/>
    <n v="30"/>
    <n v="30"/>
    <x v="0"/>
    <n v="0"/>
    <x v="0"/>
    <n v="0"/>
    <n v="0"/>
    <n v="0"/>
    <n v="253"/>
    <n v="253"/>
    <x v="0"/>
    <n v="121"/>
    <n v="85.5"/>
    <n v="28.52"/>
    <n v="28.52"/>
    <x v="0"/>
    <n v="80"/>
    <n v="80"/>
    <n v="68"/>
    <n v="68"/>
    <x v="0"/>
    <x v="0"/>
  </r>
  <r>
    <n v="0"/>
    <x v="0"/>
    <n v="53"/>
    <x v="1"/>
    <s v="NA"/>
    <n v="1"/>
    <s v="Primary"/>
    <x v="2"/>
    <n v="0"/>
    <n v="0"/>
    <n v="0"/>
    <x v="1"/>
    <n v="0"/>
    <x v="0"/>
    <n v="0"/>
    <n v="0"/>
    <n v="0"/>
    <n v="225"/>
    <n v="225"/>
    <x v="1"/>
    <n v="125"/>
    <n v="76"/>
    <n v="30.24"/>
    <n v="30.24"/>
    <x v="2"/>
    <n v="86"/>
    <n v="86"/>
    <n v="75"/>
    <n v="75"/>
    <x v="0"/>
    <x v="0"/>
  </r>
  <r>
    <n v="0"/>
    <x v="0"/>
    <n v="53"/>
    <x v="1"/>
    <n v="1"/>
    <n v="1"/>
    <s v="Primary"/>
    <x v="2"/>
    <n v="1"/>
    <n v="20"/>
    <n v="20"/>
    <x v="0"/>
    <n v="0"/>
    <x v="0"/>
    <n v="0"/>
    <n v="1"/>
    <n v="0"/>
    <n v="235"/>
    <n v="235"/>
    <x v="1"/>
    <n v="154"/>
    <n v="98"/>
    <n v="26.91"/>
    <n v="26.91"/>
    <x v="0"/>
    <n v="80"/>
    <n v="80"/>
    <n v="65"/>
    <n v="65"/>
    <x v="0"/>
    <x v="0"/>
  </r>
  <r>
    <n v="0"/>
    <x v="0"/>
    <n v="53"/>
    <x v="1"/>
    <n v="2"/>
    <n v="2"/>
    <s v="Secondary"/>
    <x v="0"/>
    <n v="0"/>
    <n v="0"/>
    <n v="0"/>
    <x v="1"/>
    <n v="0"/>
    <x v="0"/>
    <n v="0"/>
    <n v="1"/>
    <n v="0"/>
    <n v="272"/>
    <n v="272"/>
    <x v="0"/>
    <n v="146"/>
    <n v="89"/>
    <n v="25.5"/>
    <n v="25.5"/>
    <x v="0"/>
    <n v="73"/>
    <n v="73"/>
    <n v="67"/>
    <n v="67"/>
    <x v="0"/>
    <x v="0"/>
  </r>
  <r>
    <n v="1"/>
    <x v="1"/>
    <n v="53"/>
    <x v="1"/>
    <n v="2"/>
    <n v="2"/>
    <s v="Secondary"/>
    <x v="0"/>
    <n v="1"/>
    <n v="20"/>
    <n v="20"/>
    <x v="0"/>
    <n v="0"/>
    <x v="0"/>
    <n v="0"/>
    <n v="0"/>
    <n v="0"/>
    <n v="314"/>
    <n v="314"/>
    <x v="0"/>
    <n v="128"/>
    <n v="77"/>
    <n v="24.74"/>
    <n v="24.74"/>
    <x v="1"/>
    <n v="60"/>
    <n v="60"/>
    <n v="78"/>
    <n v="78"/>
    <x v="0"/>
    <x v="0"/>
  </r>
  <r>
    <n v="0"/>
    <x v="0"/>
    <n v="53"/>
    <x v="1"/>
    <n v="1"/>
    <n v="1"/>
    <s v="Primary"/>
    <x v="2"/>
    <n v="0"/>
    <n v="0"/>
    <n v="0"/>
    <x v="1"/>
    <n v="0"/>
    <x v="0"/>
    <n v="0"/>
    <n v="0"/>
    <n v="0"/>
    <n v="234"/>
    <n v="234"/>
    <x v="1"/>
    <n v="126"/>
    <n v="73"/>
    <n v="27.6"/>
    <n v="27.6"/>
    <x v="0"/>
    <n v="75"/>
    <n v="75"/>
    <n v="90"/>
    <n v="90"/>
    <x v="0"/>
    <x v="0"/>
  </r>
  <r>
    <n v="0"/>
    <x v="0"/>
    <n v="53"/>
    <x v="1"/>
    <n v="3"/>
    <n v="3"/>
    <s v="Graduate"/>
    <x v="1"/>
    <n v="1"/>
    <n v="20"/>
    <n v="20"/>
    <x v="0"/>
    <n v="0"/>
    <x v="0"/>
    <n v="0"/>
    <n v="0"/>
    <n v="0"/>
    <n v="221"/>
    <n v="221"/>
    <x v="1"/>
    <n v="131"/>
    <n v="89"/>
    <n v="24.09"/>
    <n v="24.09"/>
    <x v="1"/>
    <n v="90"/>
    <n v="90"/>
    <n v="95"/>
    <n v="95"/>
    <x v="0"/>
    <x v="0"/>
  </r>
  <r>
    <n v="0"/>
    <x v="0"/>
    <n v="53"/>
    <x v="1"/>
    <n v="3"/>
    <n v="3"/>
    <s v="Graduate"/>
    <x v="1"/>
    <n v="0"/>
    <n v="0"/>
    <n v="0"/>
    <x v="1"/>
    <n v="0"/>
    <x v="0"/>
    <n v="0"/>
    <n v="1"/>
    <n v="0"/>
    <n v="238"/>
    <n v="238"/>
    <x v="1"/>
    <n v="172.5"/>
    <n v="91"/>
    <n v="24.16"/>
    <n v="24.16"/>
    <x v="1"/>
    <n v="112"/>
    <n v="112"/>
    <s v="NA"/>
    <n v="81.96365524402907"/>
    <x v="0"/>
    <x v="0"/>
  </r>
  <r>
    <n v="0"/>
    <x v="0"/>
    <n v="53"/>
    <x v="1"/>
    <n v="1"/>
    <n v="1"/>
    <s v="Primary"/>
    <x v="2"/>
    <n v="1"/>
    <n v="40"/>
    <n v="40"/>
    <x v="0"/>
    <n v="0"/>
    <x v="0"/>
    <n v="0"/>
    <n v="0"/>
    <n v="0"/>
    <n v="183"/>
    <n v="183"/>
    <x v="1"/>
    <n v="129"/>
    <n v="80"/>
    <n v="26.51"/>
    <n v="26.51"/>
    <x v="0"/>
    <n v="78"/>
    <n v="78"/>
    <n v="80"/>
    <n v="80"/>
    <x v="0"/>
    <x v="0"/>
  </r>
  <r>
    <n v="1"/>
    <x v="1"/>
    <n v="53"/>
    <x v="1"/>
    <n v="2"/>
    <n v="2"/>
    <s v="Secondary"/>
    <x v="0"/>
    <n v="1"/>
    <n v="20"/>
    <n v="20"/>
    <x v="0"/>
    <n v="0"/>
    <x v="0"/>
    <n v="0"/>
    <n v="0"/>
    <n v="0"/>
    <n v="211"/>
    <n v="211"/>
    <x v="1"/>
    <n v="112.5"/>
    <n v="70"/>
    <n v="22.74"/>
    <n v="22.74"/>
    <x v="1"/>
    <n v="63"/>
    <n v="63"/>
    <s v="NA"/>
    <n v="81.96365524402907"/>
    <x v="0"/>
    <x v="0"/>
  </r>
  <r>
    <n v="0"/>
    <x v="0"/>
    <n v="53"/>
    <x v="1"/>
    <n v="4"/>
    <n v="4"/>
    <s v="Post Graduate"/>
    <x v="3"/>
    <n v="1"/>
    <n v="1"/>
    <n v="1"/>
    <x v="0"/>
    <n v="0"/>
    <x v="0"/>
    <n v="0"/>
    <n v="1"/>
    <n v="0"/>
    <n v="297"/>
    <n v="297"/>
    <x v="0"/>
    <n v="164"/>
    <n v="102"/>
    <n v="24.5"/>
    <n v="24.5"/>
    <x v="1"/>
    <n v="75"/>
    <n v="75"/>
    <n v="95"/>
    <n v="95"/>
    <x v="0"/>
    <x v="0"/>
  </r>
  <r>
    <n v="0"/>
    <x v="0"/>
    <n v="53"/>
    <x v="1"/>
    <n v="2"/>
    <n v="2"/>
    <s v="Secondary"/>
    <x v="0"/>
    <n v="0"/>
    <n v="0"/>
    <n v="0"/>
    <x v="1"/>
    <n v="0"/>
    <x v="0"/>
    <n v="0"/>
    <n v="1"/>
    <n v="0"/>
    <n v="258"/>
    <n v="258"/>
    <x v="0"/>
    <n v="186"/>
    <n v="101"/>
    <n v="28.9"/>
    <n v="28.9"/>
    <x v="0"/>
    <n v="80"/>
    <n v="80"/>
    <n v="70"/>
    <n v="70"/>
    <x v="0"/>
    <x v="0"/>
  </r>
  <r>
    <n v="1"/>
    <x v="1"/>
    <n v="53"/>
    <x v="1"/>
    <n v="1"/>
    <n v="1"/>
    <s v="Primary"/>
    <x v="2"/>
    <n v="0"/>
    <n v="0"/>
    <n v="0"/>
    <x v="1"/>
    <n v="0"/>
    <x v="0"/>
    <n v="0"/>
    <n v="0"/>
    <n v="0"/>
    <n v="157"/>
    <n v="157"/>
    <x v="1"/>
    <n v="123"/>
    <n v="83"/>
    <n v="19.940000000000001"/>
    <n v="19.940000000000001"/>
    <x v="1"/>
    <n v="75"/>
    <n v="75"/>
    <n v="88"/>
    <n v="88"/>
    <x v="0"/>
    <x v="0"/>
  </r>
  <r>
    <n v="0"/>
    <x v="0"/>
    <n v="53"/>
    <x v="1"/>
    <n v="1"/>
    <n v="1"/>
    <s v="Primary"/>
    <x v="2"/>
    <n v="0"/>
    <n v="0"/>
    <n v="0"/>
    <x v="1"/>
    <n v="0"/>
    <x v="0"/>
    <n v="0"/>
    <n v="0"/>
    <n v="0"/>
    <n v="246"/>
    <n v="246"/>
    <x v="0"/>
    <n v="115"/>
    <n v="61"/>
    <n v="25.96"/>
    <n v="25.96"/>
    <x v="0"/>
    <n v="80"/>
    <n v="80"/>
    <n v="60"/>
    <n v="60"/>
    <x v="0"/>
    <x v="0"/>
  </r>
  <r>
    <n v="1"/>
    <x v="1"/>
    <n v="53"/>
    <x v="1"/>
    <n v="3"/>
    <n v="3"/>
    <s v="Graduate"/>
    <x v="1"/>
    <n v="1"/>
    <n v="15"/>
    <n v="15"/>
    <x v="0"/>
    <n v="0"/>
    <x v="0"/>
    <n v="0"/>
    <n v="1"/>
    <n v="0"/>
    <n v="233"/>
    <n v="233"/>
    <x v="1"/>
    <n v="130"/>
    <n v="94"/>
    <n v="30.63"/>
    <n v="30.63"/>
    <x v="2"/>
    <n v="75"/>
    <n v="75"/>
    <n v="75"/>
    <n v="75"/>
    <x v="0"/>
    <x v="0"/>
  </r>
  <r>
    <n v="0"/>
    <x v="0"/>
    <n v="53"/>
    <x v="1"/>
    <n v="1"/>
    <n v="1"/>
    <s v="Primary"/>
    <x v="2"/>
    <n v="0"/>
    <n v="0"/>
    <n v="0"/>
    <x v="1"/>
    <n v="0"/>
    <x v="0"/>
    <n v="0"/>
    <n v="0"/>
    <n v="0"/>
    <n v="225"/>
    <n v="225"/>
    <x v="1"/>
    <n v="92"/>
    <n v="69"/>
    <n v="24.17"/>
    <n v="24.17"/>
    <x v="1"/>
    <n v="56"/>
    <n v="56"/>
    <n v="68"/>
    <n v="68"/>
    <x v="0"/>
    <x v="0"/>
  </r>
  <r>
    <n v="0"/>
    <x v="0"/>
    <n v="53"/>
    <x v="1"/>
    <n v="2"/>
    <n v="2"/>
    <s v="Secondary"/>
    <x v="0"/>
    <n v="1"/>
    <n v="30"/>
    <n v="30"/>
    <x v="0"/>
    <n v="0"/>
    <x v="0"/>
    <n v="0"/>
    <n v="0"/>
    <n v="0"/>
    <n v="250"/>
    <n v="250"/>
    <x v="0"/>
    <n v="149.5"/>
    <n v="95"/>
    <n v="28.02"/>
    <n v="28.02"/>
    <x v="0"/>
    <n v="68"/>
    <n v="68"/>
    <s v="NA"/>
    <n v="81.96365524402907"/>
    <x v="0"/>
    <x v="0"/>
  </r>
  <r>
    <n v="1"/>
    <x v="1"/>
    <n v="53"/>
    <x v="1"/>
    <n v="2"/>
    <n v="2"/>
    <s v="Secondary"/>
    <x v="0"/>
    <n v="0"/>
    <n v="0"/>
    <n v="0"/>
    <x v="1"/>
    <n v="0"/>
    <x v="0"/>
    <n v="0"/>
    <n v="0"/>
    <n v="0"/>
    <n v="202"/>
    <n v="202"/>
    <x v="1"/>
    <n v="119"/>
    <n v="80"/>
    <n v="23.98"/>
    <n v="23.98"/>
    <x v="1"/>
    <n v="64"/>
    <n v="64"/>
    <n v="78"/>
    <n v="78"/>
    <x v="0"/>
    <x v="0"/>
  </r>
  <r>
    <n v="0"/>
    <x v="0"/>
    <n v="53"/>
    <x v="1"/>
    <n v="1"/>
    <n v="1"/>
    <s v="Primary"/>
    <x v="2"/>
    <n v="1"/>
    <n v="3"/>
    <n v="3"/>
    <x v="0"/>
    <n v="0"/>
    <x v="0"/>
    <n v="0"/>
    <n v="0"/>
    <n v="0"/>
    <n v="239"/>
    <n v="239"/>
    <x v="1"/>
    <n v="112.5"/>
    <n v="67"/>
    <n v="25.63"/>
    <n v="25.63"/>
    <x v="0"/>
    <n v="77"/>
    <n v="77"/>
    <n v="74"/>
    <n v="74"/>
    <x v="0"/>
    <x v="0"/>
  </r>
  <r>
    <n v="0"/>
    <x v="0"/>
    <n v="53"/>
    <x v="1"/>
    <s v="NA"/>
    <n v="1"/>
    <s v="Primary"/>
    <x v="2"/>
    <n v="0"/>
    <n v="0"/>
    <n v="0"/>
    <x v="1"/>
    <n v="0"/>
    <x v="0"/>
    <n v="0"/>
    <n v="0"/>
    <n v="0"/>
    <n v="185"/>
    <n v="185"/>
    <x v="1"/>
    <n v="96"/>
    <n v="72"/>
    <n v="21.35"/>
    <n v="21.35"/>
    <x v="1"/>
    <n v="60"/>
    <n v="60"/>
    <n v="82"/>
    <n v="82"/>
    <x v="0"/>
    <x v="0"/>
  </r>
  <r>
    <n v="1"/>
    <x v="1"/>
    <n v="53"/>
    <x v="1"/>
    <n v="4"/>
    <n v="4"/>
    <s v="Post Graduate"/>
    <x v="3"/>
    <n v="1"/>
    <n v="30"/>
    <n v="30"/>
    <x v="0"/>
    <n v="0"/>
    <x v="0"/>
    <n v="0"/>
    <n v="1"/>
    <n v="0"/>
    <n v="226"/>
    <n v="226"/>
    <x v="1"/>
    <n v="139"/>
    <n v="80"/>
    <n v="23.62"/>
    <n v="23.62"/>
    <x v="1"/>
    <n v="72"/>
    <n v="72"/>
    <n v="69"/>
    <n v="69"/>
    <x v="0"/>
    <x v="0"/>
  </r>
  <r>
    <n v="0"/>
    <x v="0"/>
    <n v="53"/>
    <x v="1"/>
    <n v="2"/>
    <n v="2"/>
    <s v="Secondary"/>
    <x v="0"/>
    <n v="1"/>
    <n v="20"/>
    <n v="20"/>
    <x v="0"/>
    <n v="0"/>
    <x v="0"/>
    <n v="0"/>
    <n v="0"/>
    <n v="0"/>
    <n v="317"/>
    <n v="317"/>
    <x v="0"/>
    <n v="123"/>
    <n v="81"/>
    <n v="20.329999999999998"/>
    <n v="20.329999999999998"/>
    <x v="1"/>
    <n v="80"/>
    <n v="80"/>
    <s v="NA"/>
    <n v="81.96365524402907"/>
    <x v="0"/>
    <x v="0"/>
  </r>
  <r>
    <n v="1"/>
    <x v="1"/>
    <n v="53"/>
    <x v="1"/>
    <n v="3"/>
    <n v="3"/>
    <s v="Graduate"/>
    <x v="1"/>
    <n v="1"/>
    <n v="43"/>
    <n v="43"/>
    <x v="0"/>
    <n v="0"/>
    <x v="0"/>
    <n v="0"/>
    <n v="0"/>
    <n v="0"/>
    <n v="238"/>
    <n v="238"/>
    <x v="1"/>
    <n v="126"/>
    <n v="72"/>
    <n v="23.4"/>
    <n v="23.4"/>
    <x v="1"/>
    <n v="62"/>
    <n v="62"/>
    <n v="73"/>
    <n v="73"/>
    <x v="0"/>
    <x v="0"/>
  </r>
  <r>
    <n v="0"/>
    <x v="0"/>
    <n v="53"/>
    <x v="1"/>
    <n v="1"/>
    <n v="1"/>
    <s v="Primary"/>
    <x v="2"/>
    <n v="1"/>
    <n v="9"/>
    <n v="9"/>
    <x v="0"/>
    <n v="0"/>
    <x v="0"/>
    <n v="0"/>
    <n v="0"/>
    <n v="0"/>
    <n v="309"/>
    <n v="309"/>
    <x v="0"/>
    <n v="130"/>
    <n v="86"/>
    <n v="22.37"/>
    <n v="22.37"/>
    <x v="1"/>
    <n v="82"/>
    <n v="82"/>
    <n v="80"/>
    <n v="80"/>
    <x v="0"/>
    <x v="0"/>
  </r>
  <r>
    <n v="0"/>
    <x v="0"/>
    <n v="53"/>
    <x v="1"/>
    <n v="2"/>
    <n v="2"/>
    <s v="Secondary"/>
    <x v="0"/>
    <n v="0"/>
    <n v="0"/>
    <n v="0"/>
    <x v="1"/>
    <n v="0"/>
    <x v="0"/>
    <n v="0"/>
    <n v="1"/>
    <n v="0"/>
    <n v="315"/>
    <n v="315"/>
    <x v="0"/>
    <n v="159"/>
    <n v="99"/>
    <n v="27.94"/>
    <n v="27.94"/>
    <x v="0"/>
    <n v="75"/>
    <n v="75"/>
    <s v="NA"/>
    <n v="81.96365524402907"/>
    <x v="0"/>
    <x v="0"/>
  </r>
  <r>
    <n v="0"/>
    <x v="0"/>
    <n v="53"/>
    <x v="1"/>
    <n v="3"/>
    <n v="3"/>
    <s v="Graduate"/>
    <x v="1"/>
    <n v="0"/>
    <n v="0"/>
    <n v="0"/>
    <x v="1"/>
    <n v="0"/>
    <x v="0"/>
    <n v="0"/>
    <n v="0"/>
    <n v="0"/>
    <n v="240"/>
    <n v="240"/>
    <x v="1"/>
    <n v="109"/>
    <n v="79"/>
    <s v="NA"/>
    <n v="25.80080075811421"/>
    <x v="0"/>
    <n v="92"/>
    <n v="92"/>
    <n v="80"/>
    <n v="80"/>
    <x v="0"/>
    <x v="1"/>
  </r>
  <r>
    <n v="0"/>
    <x v="0"/>
    <n v="53"/>
    <x v="1"/>
    <n v="1"/>
    <n v="1"/>
    <s v="Primary"/>
    <x v="2"/>
    <n v="0"/>
    <n v="0"/>
    <n v="0"/>
    <x v="1"/>
    <n v="0"/>
    <x v="0"/>
    <n v="0"/>
    <n v="0"/>
    <n v="0"/>
    <n v="279"/>
    <n v="279"/>
    <x v="0"/>
    <n v="132"/>
    <n v="81"/>
    <n v="26.18"/>
    <n v="26.18"/>
    <x v="0"/>
    <n v="67"/>
    <n v="67"/>
    <n v="77"/>
    <n v="77"/>
    <x v="0"/>
    <x v="0"/>
  </r>
  <r>
    <n v="1"/>
    <x v="1"/>
    <n v="53"/>
    <x v="1"/>
    <n v="1"/>
    <n v="1"/>
    <s v="Primary"/>
    <x v="2"/>
    <n v="1"/>
    <n v="20"/>
    <n v="20"/>
    <x v="0"/>
    <n v="0"/>
    <x v="0"/>
    <n v="0"/>
    <n v="0"/>
    <n v="0"/>
    <n v="260"/>
    <n v="260"/>
    <x v="0"/>
    <n v="120"/>
    <n v="80"/>
    <n v="29.35"/>
    <n v="29.35"/>
    <x v="0"/>
    <n v="64"/>
    <n v="64"/>
    <n v="73"/>
    <n v="73"/>
    <x v="0"/>
    <x v="0"/>
  </r>
  <r>
    <n v="0"/>
    <x v="0"/>
    <n v="53"/>
    <x v="1"/>
    <n v="4"/>
    <n v="4"/>
    <s v="Post Graduate"/>
    <x v="3"/>
    <n v="0"/>
    <n v="0"/>
    <n v="0"/>
    <x v="1"/>
    <n v="0"/>
    <x v="0"/>
    <n v="0"/>
    <n v="1"/>
    <n v="0"/>
    <n v="243"/>
    <n v="243"/>
    <x v="0"/>
    <n v="188.5"/>
    <n v="106.5"/>
    <n v="29.82"/>
    <n v="29.82"/>
    <x v="0"/>
    <n v="68"/>
    <n v="68"/>
    <n v="70"/>
    <n v="70"/>
    <x v="0"/>
    <x v="0"/>
  </r>
  <r>
    <n v="0"/>
    <x v="0"/>
    <n v="53"/>
    <x v="1"/>
    <n v="3"/>
    <n v="3"/>
    <s v="Graduate"/>
    <x v="1"/>
    <n v="0"/>
    <n v="0"/>
    <n v="0"/>
    <x v="1"/>
    <n v="0"/>
    <x v="0"/>
    <n v="0"/>
    <n v="0"/>
    <n v="0"/>
    <n v="260"/>
    <n v="260"/>
    <x v="0"/>
    <n v="139"/>
    <n v="80"/>
    <n v="20.309999999999999"/>
    <n v="20.309999999999999"/>
    <x v="1"/>
    <n v="72"/>
    <n v="72"/>
    <n v="76"/>
    <n v="76"/>
    <x v="0"/>
    <x v="0"/>
  </r>
  <r>
    <n v="0"/>
    <x v="0"/>
    <n v="53"/>
    <x v="1"/>
    <n v="4"/>
    <n v="4"/>
    <s v="Post Graduate"/>
    <x v="3"/>
    <n v="0"/>
    <n v="0"/>
    <n v="0"/>
    <x v="1"/>
    <n v="0"/>
    <x v="0"/>
    <n v="0"/>
    <n v="1"/>
    <n v="0"/>
    <n v="243"/>
    <n v="243"/>
    <x v="0"/>
    <n v="164"/>
    <n v="111"/>
    <n v="39.53"/>
    <n v="39.53"/>
    <x v="2"/>
    <n v="100"/>
    <n v="100"/>
    <n v="70"/>
    <n v="70"/>
    <x v="0"/>
    <x v="0"/>
  </r>
  <r>
    <n v="0"/>
    <x v="0"/>
    <n v="53"/>
    <x v="1"/>
    <n v="4"/>
    <n v="4"/>
    <s v="Post Graduate"/>
    <x v="3"/>
    <n v="0"/>
    <n v="0"/>
    <n v="0"/>
    <x v="1"/>
    <n v="0"/>
    <x v="0"/>
    <n v="0"/>
    <n v="1"/>
    <n v="0"/>
    <n v="310"/>
    <n v="310"/>
    <x v="0"/>
    <n v="146"/>
    <n v="91"/>
    <n v="29.3"/>
    <n v="29.3"/>
    <x v="0"/>
    <n v="75"/>
    <n v="75"/>
    <n v="72"/>
    <n v="72"/>
    <x v="0"/>
    <x v="1"/>
  </r>
  <r>
    <n v="0"/>
    <x v="0"/>
    <n v="53"/>
    <x v="1"/>
    <n v="1"/>
    <n v="1"/>
    <s v="Primary"/>
    <x v="2"/>
    <n v="0"/>
    <n v="0"/>
    <n v="0"/>
    <x v="1"/>
    <n v="0"/>
    <x v="0"/>
    <n v="0"/>
    <n v="1"/>
    <n v="0"/>
    <n v="180"/>
    <n v="180"/>
    <x v="1"/>
    <n v="184.5"/>
    <n v="110.5"/>
    <n v="27.49"/>
    <n v="27.49"/>
    <x v="0"/>
    <n v="62"/>
    <n v="62"/>
    <n v="74"/>
    <n v="74"/>
    <x v="0"/>
    <x v="0"/>
  </r>
  <r>
    <n v="0"/>
    <x v="0"/>
    <n v="53"/>
    <x v="1"/>
    <n v="2"/>
    <n v="2"/>
    <s v="Secondary"/>
    <x v="0"/>
    <n v="0"/>
    <n v="0"/>
    <n v="0"/>
    <x v="1"/>
    <n v="0"/>
    <x v="0"/>
    <n v="0"/>
    <n v="1"/>
    <n v="0"/>
    <n v="185"/>
    <n v="185"/>
    <x v="1"/>
    <n v="202.5"/>
    <n v="85"/>
    <n v="24.65"/>
    <n v="24.65"/>
    <x v="1"/>
    <n v="107"/>
    <n v="107"/>
    <n v="104"/>
    <n v="104"/>
    <x v="0"/>
    <x v="0"/>
  </r>
  <r>
    <n v="1"/>
    <x v="1"/>
    <n v="53"/>
    <x v="1"/>
    <n v="1"/>
    <n v="1"/>
    <s v="Primary"/>
    <x v="2"/>
    <n v="0"/>
    <n v="0"/>
    <n v="0"/>
    <x v="1"/>
    <n v="0"/>
    <x v="0"/>
    <n v="0"/>
    <n v="0"/>
    <n v="0"/>
    <n v="235"/>
    <n v="235"/>
    <x v="1"/>
    <n v="130"/>
    <n v="80"/>
    <n v="28.15"/>
    <n v="28.15"/>
    <x v="0"/>
    <n v="84"/>
    <n v="84"/>
    <n v="78"/>
    <n v="78"/>
    <x v="0"/>
    <x v="1"/>
  </r>
  <r>
    <n v="1"/>
    <x v="1"/>
    <n v="53"/>
    <x v="1"/>
    <n v="1"/>
    <n v="1"/>
    <s v="Primary"/>
    <x v="2"/>
    <n v="0"/>
    <n v="0"/>
    <n v="0"/>
    <x v="1"/>
    <n v="0"/>
    <x v="0"/>
    <n v="0"/>
    <n v="1"/>
    <n v="0"/>
    <n v="219"/>
    <n v="219"/>
    <x v="1"/>
    <n v="141"/>
    <n v="105"/>
    <n v="26.86"/>
    <n v="26.86"/>
    <x v="0"/>
    <n v="62"/>
    <n v="62"/>
    <n v="60"/>
    <n v="60"/>
    <x v="0"/>
    <x v="0"/>
  </r>
  <r>
    <n v="1"/>
    <x v="1"/>
    <n v="53"/>
    <x v="1"/>
    <n v="1"/>
    <n v="1"/>
    <s v="Primary"/>
    <x v="2"/>
    <n v="1"/>
    <n v="20"/>
    <n v="20"/>
    <x v="0"/>
    <n v="0"/>
    <x v="0"/>
    <n v="0"/>
    <n v="1"/>
    <n v="0"/>
    <n v="216"/>
    <n v="216"/>
    <x v="1"/>
    <n v="110"/>
    <n v="79"/>
    <n v="24.76"/>
    <n v="24.76"/>
    <x v="1"/>
    <n v="75"/>
    <n v="75"/>
    <n v="74"/>
    <n v="74"/>
    <x v="0"/>
    <x v="0"/>
  </r>
  <r>
    <n v="0"/>
    <x v="0"/>
    <n v="53"/>
    <x v="1"/>
    <n v="1"/>
    <n v="1"/>
    <s v="Primary"/>
    <x v="2"/>
    <n v="0"/>
    <n v="0"/>
    <n v="0"/>
    <x v="1"/>
    <n v="0"/>
    <x v="0"/>
    <n v="0"/>
    <n v="0"/>
    <n v="0"/>
    <n v="237"/>
    <n v="237"/>
    <x v="1"/>
    <n v="126"/>
    <n v="84"/>
    <n v="27.04"/>
    <n v="27.04"/>
    <x v="0"/>
    <n v="66"/>
    <n v="66"/>
    <n v="88"/>
    <n v="88"/>
    <x v="0"/>
    <x v="1"/>
  </r>
  <r>
    <n v="1"/>
    <x v="1"/>
    <n v="53"/>
    <x v="1"/>
    <n v="4"/>
    <n v="4"/>
    <s v="Post Graduate"/>
    <x v="3"/>
    <n v="0"/>
    <n v="0"/>
    <n v="0"/>
    <x v="1"/>
    <n v="0"/>
    <x v="0"/>
    <n v="0"/>
    <n v="0"/>
    <n v="0"/>
    <n v="207"/>
    <n v="207"/>
    <x v="1"/>
    <n v="102.5"/>
    <n v="72.5"/>
    <n v="26.5"/>
    <n v="26.5"/>
    <x v="0"/>
    <n v="72"/>
    <n v="72"/>
    <n v="95"/>
    <n v="95"/>
    <x v="0"/>
    <x v="0"/>
  </r>
  <r>
    <n v="0"/>
    <x v="0"/>
    <n v="53"/>
    <x v="1"/>
    <n v="3"/>
    <n v="3"/>
    <s v="Graduate"/>
    <x v="1"/>
    <n v="1"/>
    <n v="9"/>
    <n v="9"/>
    <x v="0"/>
    <n v="0"/>
    <x v="0"/>
    <n v="0"/>
    <n v="0"/>
    <n v="0"/>
    <n v="304"/>
    <n v="304"/>
    <x v="0"/>
    <n v="119"/>
    <n v="72.5"/>
    <n v="22.91"/>
    <n v="22.91"/>
    <x v="1"/>
    <n v="53"/>
    <n v="53"/>
    <s v="NA"/>
    <n v="81.96365524402907"/>
    <x v="0"/>
    <x v="0"/>
  </r>
  <r>
    <n v="1"/>
    <x v="1"/>
    <n v="53"/>
    <x v="1"/>
    <n v="4"/>
    <n v="4"/>
    <s v="Post Graduate"/>
    <x v="3"/>
    <n v="0"/>
    <n v="0"/>
    <n v="0"/>
    <x v="1"/>
    <n v="0"/>
    <x v="0"/>
    <n v="0"/>
    <n v="0"/>
    <n v="0"/>
    <n v="241"/>
    <n v="241"/>
    <x v="0"/>
    <n v="113"/>
    <n v="84"/>
    <n v="28.27"/>
    <n v="28.27"/>
    <x v="0"/>
    <n v="62"/>
    <n v="62"/>
    <n v="73"/>
    <n v="73"/>
    <x v="0"/>
    <x v="0"/>
  </r>
  <r>
    <n v="0"/>
    <x v="0"/>
    <n v="53"/>
    <x v="1"/>
    <n v="2"/>
    <n v="2"/>
    <s v="Secondary"/>
    <x v="0"/>
    <n v="0"/>
    <n v="0"/>
    <n v="0"/>
    <x v="1"/>
    <n v="0"/>
    <x v="0"/>
    <n v="0"/>
    <n v="0"/>
    <n v="0"/>
    <n v="213"/>
    <n v="213"/>
    <x v="1"/>
    <n v="133"/>
    <n v="89"/>
    <n v="17.89"/>
    <n v="17.89"/>
    <x v="3"/>
    <n v="75"/>
    <n v="75"/>
    <n v="73"/>
    <n v="73"/>
    <x v="0"/>
    <x v="0"/>
  </r>
  <r>
    <n v="0"/>
    <x v="0"/>
    <n v="53"/>
    <x v="1"/>
    <n v="1"/>
    <n v="1"/>
    <s v="Primary"/>
    <x v="2"/>
    <n v="0"/>
    <n v="0"/>
    <n v="0"/>
    <x v="1"/>
    <n v="0"/>
    <x v="0"/>
    <n v="0"/>
    <n v="1"/>
    <n v="0"/>
    <n v="342"/>
    <n v="342"/>
    <x v="0"/>
    <n v="144"/>
    <n v="96"/>
    <n v="32.6"/>
    <n v="32.6"/>
    <x v="2"/>
    <n v="75"/>
    <n v="75"/>
    <s v="NA"/>
    <n v="81.96365524402907"/>
    <x v="0"/>
    <x v="0"/>
  </r>
  <r>
    <n v="1"/>
    <x v="1"/>
    <n v="53"/>
    <x v="1"/>
    <n v="3"/>
    <n v="3"/>
    <s v="Graduate"/>
    <x v="1"/>
    <n v="1"/>
    <n v="30"/>
    <n v="30"/>
    <x v="0"/>
    <n v="1"/>
    <x v="1"/>
    <n v="0"/>
    <n v="1"/>
    <n v="0"/>
    <n v="190"/>
    <n v="190"/>
    <x v="1"/>
    <n v="141"/>
    <n v="115"/>
    <n v="21.01"/>
    <n v="21.01"/>
    <x v="1"/>
    <n v="115"/>
    <n v="115"/>
    <n v="86"/>
    <n v="86"/>
    <x v="0"/>
    <x v="1"/>
  </r>
  <r>
    <n v="1"/>
    <x v="1"/>
    <n v="53"/>
    <x v="1"/>
    <n v="3"/>
    <n v="3"/>
    <s v="Graduate"/>
    <x v="1"/>
    <n v="1"/>
    <n v="43"/>
    <n v="43"/>
    <x v="0"/>
    <n v="0"/>
    <x v="0"/>
    <n v="0"/>
    <n v="1"/>
    <n v="0"/>
    <n v="193"/>
    <n v="193"/>
    <x v="1"/>
    <n v="142.5"/>
    <n v="100"/>
    <n v="24.15"/>
    <n v="24.15"/>
    <x v="1"/>
    <n v="82"/>
    <n v="82"/>
    <n v="69"/>
    <n v="69"/>
    <x v="0"/>
    <x v="0"/>
  </r>
  <r>
    <n v="0"/>
    <x v="0"/>
    <n v="53"/>
    <x v="1"/>
    <n v="1"/>
    <n v="1"/>
    <s v="Primary"/>
    <x v="2"/>
    <n v="0"/>
    <n v="0"/>
    <n v="0"/>
    <x v="1"/>
    <n v="0"/>
    <x v="0"/>
    <n v="0"/>
    <n v="1"/>
    <n v="0"/>
    <n v="268"/>
    <n v="268"/>
    <x v="0"/>
    <n v="156"/>
    <n v="100"/>
    <n v="26.73"/>
    <n v="26.73"/>
    <x v="0"/>
    <n v="85"/>
    <n v="85"/>
    <n v="69"/>
    <n v="69"/>
    <x v="0"/>
    <x v="0"/>
  </r>
  <r>
    <n v="0"/>
    <x v="0"/>
    <n v="53"/>
    <x v="1"/>
    <n v="3"/>
    <n v="3"/>
    <s v="Graduate"/>
    <x v="1"/>
    <n v="0"/>
    <n v="0"/>
    <n v="0"/>
    <x v="1"/>
    <n v="0"/>
    <x v="0"/>
    <n v="0"/>
    <n v="0"/>
    <n v="0"/>
    <n v="280"/>
    <n v="280"/>
    <x v="0"/>
    <n v="135"/>
    <n v="87"/>
    <n v="27.17"/>
    <n v="27.17"/>
    <x v="0"/>
    <n v="80"/>
    <n v="80"/>
    <n v="80"/>
    <n v="80"/>
    <x v="0"/>
    <x v="0"/>
  </r>
  <r>
    <n v="0"/>
    <x v="0"/>
    <n v="53"/>
    <x v="1"/>
    <n v="1"/>
    <n v="1"/>
    <s v="Primary"/>
    <x v="2"/>
    <n v="0"/>
    <n v="0"/>
    <n v="0"/>
    <x v="1"/>
    <n v="0"/>
    <x v="0"/>
    <n v="0"/>
    <n v="0"/>
    <n v="0"/>
    <n v="328"/>
    <n v="328"/>
    <x v="0"/>
    <n v="121"/>
    <n v="70"/>
    <n v="30.75"/>
    <n v="30.75"/>
    <x v="2"/>
    <n v="90"/>
    <n v="90"/>
    <n v="77"/>
    <n v="77"/>
    <x v="0"/>
    <x v="0"/>
  </r>
  <r>
    <n v="1"/>
    <x v="1"/>
    <n v="53"/>
    <x v="1"/>
    <n v="1"/>
    <n v="1"/>
    <s v="Primary"/>
    <x v="2"/>
    <n v="1"/>
    <n v="15"/>
    <n v="15"/>
    <x v="0"/>
    <n v="0"/>
    <x v="0"/>
    <n v="0"/>
    <n v="1"/>
    <n v="0"/>
    <n v="260"/>
    <n v="260"/>
    <x v="0"/>
    <n v="142"/>
    <n v="88"/>
    <n v="23.65"/>
    <n v="23.65"/>
    <x v="1"/>
    <n v="96"/>
    <n v="96"/>
    <n v="77"/>
    <n v="77"/>
    <x v="0"/>
    <x v="0"/>
  </r>
  <r>
    <n v="0"/>
    <x v="0"/>
    <n v="53"/>
    <x v="1"/>
    <n v="1"/>
    <n v="1"/>
    <s v="Primary"/>
    <x v="2"/>
    <n v="1"/>
    <n v="20"/>
    <n v="20"/>
    <x v="0"/>
    <n v="0"/>
    <x v="0"/>
    <n v="0"/>
    <n v="1"/>
    <n v="0"/>
    <n v="181"/>
    <n v="181"/>
    <x v="1"/>
    <n v="163.5"/>
    <n v="87"/>
    <n v="34.69"/>
    <n v="34.69"/>
    <x v="2"/>
    <n v="80"/>
    <n v="80"/>
    <n v="71"/>
    <n v="71"/>
    <x v="0"/>
    <x v="0"/>
  </r>
  <r>
    <n v="1"/>
    <x v="1"/>
    <n v="53"/>
    <x v="1"/>
    <n v="2"/>
    <n v="2"/>
    <s v="Secondary"/>
    <x v="0"/>
    <n v="1"/>
    <s v="NA"/>
    <n v="9"/>
    <x v="0"/>
    <n v="0"/>
    <x v="0"/>
    <n v="0"/>
    <n v="0"/>
    <n v="0"/>
    <n v="276"/>
    <n v="276"/>
    <x v="0"/>
    <n v="130"/>
    <n v="86"/>
    <n v="24.21"/>
    <n v="24.21"/>
    <x v="1"/>
    <n v="58"/>
    <n v="58"/>
    <n v="82"/>
    <n v="82"/>
    <x v="0"/>
    <x v="0"/>
  </r>
  <r>
    <n v="1"/>
    <x v="1"/>
    <n v="53"/>
    <x v="1"/>
    <n v="2"/>
    <n v="2"/>
    <s v="Secondary"/>
    <x v="0"/>
    <n v="1"/>
    <n v="20"/>
    <n v="20"/>
    <x v="0"/>
    <n v="0"/>
    <x v="0"/>
    <n v="0"/>
    <n v="0"/>
    <n v="0"/>
    <n v="239"/>
    <n v="239"/>
    <x v="1"/>
    <n v="122"/>
    <n v="82"/>
    <n v="29.4"/>
    <n v="29.4"/>
    <x v="0"/>
    <n v="70"/>
    <n v="70"/>
    <n v="84"/>
    <n v="84"/>
    <x v="0"/>
    <x v="0"/>
  </r>
  <r>
    <n v="1"/>
    <x v="1"/>
    <n v="53"/>
    <x v="1"/>
    <n v="4"/>
    <n v="4"/>
    <s v="Post Graduate"/>
    <x v="3"/>
    <n v="0"/>
    <n v="0"/>
    <n v="0"/>
    <x v="1"/>
    <n v="0"/>
    <x v="0"/>
    <n v="0"/>
    <n v="0"/>
    <n v="0"/>
    <n v="225"/>
    <n v="225"/>
    <x v="1"/>
    <n v="108.5"/>
    <n v="73"/>
    <n v="26.55"/>
    <n v="26.55"/>
    <x v="0"/>
    <n v="54"/>
    <n v="54"/>
    <n v="73"/>
    <n v="73"/>
    <x v="0"/>
    <x v="0"/>
  </r>
  <r>
    <n v="1"/>
    <x v="1"/>
    <n v="53"/>
    <x v="1"/>
    <n v="3"/>
    <n v="3"/>
    <s v="Graduate"/>
    <x v="1"/>
    <n v="1"/>
    <n v="20"/>
    <n v="20"/>
    <x v="0"/>
    <n v="0"/>
    <x v="0"/>
    <n v="0"/>
    <n v="1"/>
    <n v="0"/>
    <n v="204"/>
    <n v="204"/>
    <x v="1"/>
    <n v="152"/>
    <n v="74"/>
    <n v="24.8"/>
    <n v="24.8"/>
    <x v="1"/>
    <n v="78"/>
    <n v="78"/>
    <n v="89"/>
    <n v="89"/>
    <x v="0"/>
    <x v="0"/>
  </r>
  <r>
    <n v="0"/>
    <x v="0"/>
    <n v="53"/>
    <x v="1"/>
    <n v="3"/>
    <n v="3"/>
    <s v="Graduate"/>
    <x v="1"/>
    <n v="1"/>
    <n v="30"/>
    <n v="30"/>
    <x v="0"/>
    <n v="0"/>
    <x v="0"/>
    <n v="0"/>
    <n v="1"/>
    <n v="0"/>
    <n v="268"/>
    <n v="268"/>
    <x v="0"/>
    <n v="163"/>
    <n v="97"/>
    <n v="27.88"/>
    <n v="27.88"/>
    <x v="0"/>
    <n v="80"/>
    <n v="80"/>
    <n v="65"/>
    <n v="65"/>
    <x v="0"/>
    <x v="0"/>
  </r>
  <r>
    <n v="0"/>
    <x v="0"/>
    <n v="53"/>
    <x v="1"/>
    <n v="1"/>
    <n v="1"/>
    <s v="Primary"/>
    <x v="2"/>
    <n v="0"/>
    <n v="0"/>
    <n v="0"/>
    <x v="1"/>
    <n v="0"/>
    <x v="0"/>
    <n v="0"/>
    <n v="0"/>
    <n v="0"/>
    <n v="265"/>
    <n v="265"/>
    <x v="0"/>
    <n v="132"/>
    <n v="80"/>
    <n v="26.25"/>
    <n v="26.25"/>
    <x v="0"/>
    <n v="67"/>
    <n v="67"/>
    <n v="76"/>
    <n v="76"/>
    <x v="0"/>
    <x v="1"/>
  </r>
  <r>
    <n v="1"/>
    <x v="1"/>
    <n v="53"/>
    <x v="1"/>
    <n v="3"/>
    <n v="3"/>
    <s v="Graduate"/>
    <x v="1"/>
    <n v="0"/>
    <n v="0"/>
    <n v="0"/>
    <x v="1"/>
    <n v="0"/>
    <x v="0"/>
    <n v="0"/>
    <n v="0"/>
    <n v="0"/>
    <n v="253"/>
    <n v="253"/>
    <x v="0"/>
    <n v="115"/>
    <n v="81"/>
    <n v="28.09"/>
    <n v="28.09"/>
    <x v="0"/>
    <n v="70"/>
    <n v="70"/>
    <n v="84"/>
    <n v="84"/>
    <x v="0"/>
    <x v="0"/>
  </r>
  <r>
    <n v="0"/>
    <x v="0"/>
    <n v="53"/>
    <x v="1"/>
    <n v="1"/>
    <n v="1"/>
    <s v="Primary"/>
    <x v="2"/>
    <n v="0"/>
    <n v="0"/>
    <n v="0"/>
    <x v="1"/>
    <n v="0"/>
    <x v="0"/>
    <n v="0"/>
    <n v="1"/>
    <n v="0"/>
    <n v="267"/>
    <n v="267"/>
    <x v="0"/>
    <n v="152"/>
    <n v="89"/>
    <n v="28.49"/>
    <n v="28.49"/>
    <x v="0"/>
    <n v="94"/>
    <n v="94"/>
    <n v="103"/>
    <n v="103"/>
    <x v="0"/>
    <x v="0"/>
  </r>
  <r>
    <n v="0"/>
    <x v="0"/>
    <n v="53"/>
    <x v="1"/>
    <n v="1"/>
    <n v="1"/>
    <s v="Primary"/>
    <x v="2"/>
    <n v="0"/>
    <n v="0"/>
    <n v="0"/>
    <x v="1"/>
    <n v="0"/>
    <x v="0"/>
    <n v="0"/>
    <n v="0"/>
    <n v="0"/>
    <n v="307"/>
    <n v="307"/>
    <x v="0"/>
    <n v="142"/>
    <n v="94"/>
    <n v="25.7"/>
    <n v="25.7"/>
    <x v="0"/>
    <n v="85"/>
    <n v="85"/>
    <n v="60"/>
    <n v="60"/>
    <x v="0"/>
    <x v="0"/>
  </r>
  <r>
    <n v="1"/>
    <x v="1"/>
    <n v="53"/>
    <x v="1"/>
    <n v="1"/>
    <n v="1"/>
    <s v="Primary"/>
    <x v="2"/>
    <n v="1"/>
    <n v="11"/>
    <n v="11"/>
    <x v="0"/>
    <n v="1"/>
    <x v="1"/>
    <n v="0"/>
    <n v="1"/>
    <n v="0"/>
    <n v="228"/>
    <n v="228"/>
    <x v="1"/>
    <n v="132.5"/>
    <n v="55"/>
    <n v="19.97"/>
    <n v="19.97"/>
    <x v="1"/>
    <n v="90"/>
    <n v="90"/>
    <n v="83"/>
    <n v="83"/>
    <x v="0"/>
    <x v="1"/>
  </r>
  <r>
    <n v="0"/>
    <x v="0"/>
    <n v="53"/>
    <x v="1"/>
    <n v="4"/>
    <n v="4"/>
    <s v="Post Graduate"/>
    <x v="3"/>
    <n v="0"/>
    <n v="0"/>
    <n v="0"/>
    <x v="1"/>
    <n v="0"/>
    <x v="0"/>
    <n v="0"/>
    <n v="0"/>
    <n v="0"/>
    <n v="219"/>
    <n v="219"/>
    <x v="1"/>
    <n v="108"/>
    <n v="65"/>
    <n v="22.19"/>
    <n v="22.19"/>
    <x v="1"/>
    <n v="70"/>
    <n v="70"/>
    <n v="76"/>
    <n v="76"/>
    <x v="0"/>
    <x v="0"/>
  </r>
  <r>
    <n v="0"/>
    <x v="0"/>
    <n v="53"/>
    <x v="1"/>
    <n v="2"/>
    <n v="2"/>
    <s v="Secondary"/>
    <x v="0"/>
    <n v="1"/>
    <n v="20"/>
    <n v="20"/>
    <x v="0"/>
    <n v="0"/>
    <x v="0"/>
    <n v="0"/>
    <n v="1"/>
    <n v="0"/>
    <n v="256"/>
    <n v="256"/>
    <x v="0"/>
    <n v="128"/>
    <n v="90"/>
    <n v="23.65"/>
    <n v="23.65"/>
    <x v="1"/>
    <n v="105"/>
    <n v="105"/>
    <n v="102"/>
    <n v="102"/>
    <x v="0"/>
    <x v="0"/>
  </r>
  <r>
    <n v="1"/>
    <x v="1"/>
    <n v="53"/>
    <x v="1"/>
    <n v="2"/>
    <n v="2"/>
    <s v="Secondary"/>
    <x v="0"/>
    <n v="0"/>
    <n v="0"/>
    <n v="0"/>
    <x v="1"/>
    <n v="0"/>
    <x v="0"/>
    <n v="0"/>
    <n v="1"/>
    <n v="0"/>
    <n v="325"/>
    <n v="325"/>
    <x v="0"/>
    <n v="172.5"/>
    <n v="112.5"/>
    <n v="28.47"/>
    <n v="28.47"/>
    <x v="0"/>
    <n v="75"/>
    <n v="75"/>
    <n v="74"/>
    <n v="74"/>
    <x v="0"/>
    <x v="0"/>
  </r>
  <r>
    <n v="0"/>
    <x v="0"/>
    <n v="53"/>
    <x v="1"/>
    <n v="3"/>
    <n v="3"/>
    <s v="Graduate"/>
    <x v="1"/>
    <n v="0"/>
    <n v="0"/>
    <n v="0"/>
    <x v="1"/>
    <n v="0"/>
    <x v="0"/>
    <n v="0"/>
    <n v="0"/>
    <n v="0"/>
    <n v="294"/>
    <n v="294"/>
    <x v="0"/>
    <n v="156"/>
    <n v="95"/>
    <n v="26.05"/>
    <n v="26.05"/>
    <x v="0"/>
    <n v="94"/>
    <n v="94"/>
    <n v="115"/>
    <n v="115"/>
    <x v="0"/>
    <x v="0"/>
  </r>
  <r>
    <n v="0"/>
    <x v="0"/>
    <n v="53"/>
    <x v="1"/>
    <n v="1"/>
    <n v="1"/>
    <s v="Primary"/>
    <x v="2"/>
    <n v="1"/>
    <n v="20"/>
    <n v="20"/>
    <x v="0"/>
    <n v="0"/>
    <x v="0"/>
    <n v="0"/>
    <n v="0"/>
    <n v="0"/>
    <n v="222"/>
    <n v="222"/>
    <x v="1"/>
    <n v="123"/>
    <n v="82"/>
    <n v="25.52"/>
    <n v="25.52"/>
    <x v="0"/>
    <n v="72"/>
    <n v="72"/>
    <n v="67"/>
    <n v="67"/>
    <x v="0"/>
    <x v="0"/>
  </r>
  <r>
    <n v="0"/>
    <x v="0"/>
    <n v="53"/>
    <x v="1"/>
    <n v="2"/>
    <n v="2"/>
    <s v="Secondary"/>
    <x v="0"/>
    <n v="0"/>
    <n v="0"/>
    <n v="0"/>
    <x v="1"/>
    <n v="0"/>
    <x v="0"/>
    <n v="0"/>
    <n v="1"/>
    <n v="0"/>
    <n v="366"/>
    <n v="366"/>
    <x v="0"/>
    <n v="148"/>
    <n v="88"/>
    <n v="32.520000000000003"/>
    <n v="32.520000000000003"/>
    <x v="2"/>
    <n v="85"/>
    <n v="85"/>
    <s v="NA"/>
    <n v="81.96365524402907"/>
    <x v="0"/>
    <x v="0"/>
  </r>
  <r>
    <n v="1"/>
    <x v="1"/>
    <n v="53"/>
    <x v="1"/>
    <n v="1"/>
    <n v="1"/>
    <s v="Primary"/>
    <x v="2"/>
    <n v="1"/>
    <n v="43"/>
    <n v="43"/>
    <x v="0"/>
    <n v="0"/>
    <x v="0"/>
    <n v="0"/>
    <n v="1"/>
    <n v="0"/>
    <n v="246"/>
    <n v="246"/>
    <x v="0"/>
    <n v="176"/>
    <n v="109"/>
    <n v="32.32"/>
    <n v="32.32"/>
    <x v="2"/>
    <n v="72"/>
    <n v="72"/>
    <n v="59"/>
    <n v="59"/>
    <x v="0"/>
    <x v="0"/>
  </r>
  <r>
    <n v="1"/>
    <x v="1"/>
    <n v="53"/>
    <x v="1"/>
    <n v="2"/>
    <n v="2"/>
    <s v="Secondary"/>
    <x v="0"/>
    <n v="0"/>
    <n v="0"/>
    <n v="0"/>
    <x v="1"/>
    <n v="0"/>
    <x v="0"/>
    <n v="0"/>
    <n v="0"/>
    <n v="0"/>
    <n v="196"/>
    <n v="196"/>
    <x v="1"/>
    <n v="129"/>
    <n v="80"/>
    <n v="26.32"/>
    <n v="26.32"/>
    <x v="0"/>
    <n v="75"/>
    <n v="75"/>
    <n v="89"/>
    <n v="89"/>
    <x v="0"/>
    <x v="0"/>
  </r>
  <r>
    <n v="0"/>
    <x v="0"/>
    <n v="53"/>
    <x v="1"/>
    <n v="2"/>
    <n v="2"/>
    <s v="Secondary"/>
    <x v="0"/>
    <n v="0"/>
    <n v="0"/>
    <n v="0"/>
    <x v="1"/>
    <n v="0"/>
    <x v="0"/>
    <n v="0"/>
    <n v="0"/>
    <n v="0"/>
    <n v="220"/>
    <n v="220"/>
    <x v="1"/>
    <n v="108"/>
    <n v="81"/>
    <n v="28.71"/>
    <n v="28.71"/>
    <x v="0"/>
    <n v="56"/>
    <n v="56"/>
    <s v="NA"/>
    <n v="81.96365524402907"/>
    <x v="0"/>
    <x v="0"/>
  </r>
  <r>
    <n v="1"/>
    <x v="1"/>
    <n v="53"/>
    <x v="1"/>
    <n v="1"/>
    <n v="1"/>
    <s v="Primary"/>
    <x v="2"/>
    <n v="1"/>
    <n v="40"/>
    <n v="40"/>
    <x v="0"/>
    <n v="0"/>
    <x v="0"/>
    <n v="0"/>
    <n v="1"/>
    <n v="0"/>
    <n v="270"/>
    <n v="270"/>
    <x v="0"/>
    <n v="151"/>
    <n v="89"/>
    <n v="26.76"/>
    <n v="26.76"/>
    <x v="0"/>
    <n v="75"/>
    <n v="75"/>
    <n v="75"/>
    <n v="75"/>
    <x v="0"/>
    <x v="0"/>
  </r>
  <r>
    <n v="1"/>
    <x v="1"/>
    <n v="53"/>
    <x v="1"/>
    <n v="2"/>
    <n v="2"/>
    <s v="Secondary"/>
    <x v="0"/>
    <n v="0"/>
    <n v="0"/>
    <n v="0"/>
    <x v="1"/>
    <n v="0"/>
    <x v="0"/>
    <n v="0"/>
    <n v="1"/>
    <n v="0"/>
    <n v="198"/>
    <n v="198"/>
    <x v="1"/>
    <n v="142.5"/>
    <n v="82"/>
    <n v="23.84"/>
    <n v="23.84"/>
    <x v="1"/>
    <n v="57"/>
    <n v="57"/>
    <n v="78"/>
    <n v="78"/>
    <x v="0"/>
    <x v="1"/>
  </r>
  <r>
    <n v="1"/>
    <x v="1"/>
    <n v="53"/>
    <x v="1"/>
    <n v="1"/>
    <n v="1"/>
    <s v="Primary"/>
    <x v="2"/>
    <n v="1"/>
    <n v="20"/>
    <n v="20"/>
    <x v="0"/>
    <n v="0"/>
    <x v="0"/>
    <n v="0"/>
    <n v="0"/>
    <n v="0"/>
    <n v="231"/>
    <n v="231"/>
    <x v="1"/>
    <n v="130"/>
    <n v="71.5"/>
    <n v="25.23"/>
    <n v="25.23"/>
    <x v="0"/>
    <n v="75"/>
    <n v="75"/>
    <n v="75"/>
    <n v="75"/>
    <x v="0"/>
    <x v="0"/>
  </r>
  <r>
    <n v="1"/>
    <x v="1"/>
    <n v="53"/>
    <x v="1"/>
    <n v="2"/>
    <n v="2"/>
    <s v="Secondary"/>
    <x v="0"/>
    <n v="0"/>
    <n v="0"/>
    <n v="0"/>
    <x v="1"/>
    <n v="0"/>
    <x v="0"/>
    <n v="0"/>
    <n v="0"/>
    <n v="1"/>
    <n v="234"/>
    <n v="234"/>
    <x v="1"/>
    <n v="113"/>
    <n v="68"/>
    <n v="24.8"/>
    <n v="24.8"/>
    <x v="1"/>
    <n v="76"/>
    <n v="76"/>
    <n v="108"/>
    <n v="108"/>
    <x v="0"/>
    <x v="1"/>
  </r>
  <r>
    <n v="0"/>
    <x v="0"/>
    <n v="53"/>
    <x v="1"/>
    <n v="4"/>
    <n v="4"/>
    <s v="Post Graduate"/>
    <x v="3"/>
    <n v="0"/>
    <n v="0"/>
    <n v="0"/>
    <x v="1"/>
    <n v="0"/>
    <x v="0"/>
    <n v="0"/>
    <n v="1"/>
    <n v="0"/>
    <n v="263"/>
    <n v="263"/>
    <x v="0"/>
    <n v="173"/>
    <n v="89"/>
    <n v="23.03"/>
    <n v="23.03"/>
    <x v="1"/>
    <n v="65"/>
    <n v="65"/>
    <n v="82"/>
    <n v="82"/>
    <x v="0"/>
    <x v="1"/>
  </r>
  <r>
    <n v="0"/>
    <x v="0"/>
    <n v="53"/>
    <x v="1"/>
    <n v="2"/>
    <n v="2"/>
    <s v="Secondary"/>
    <x v="0"/>
    <n v="0"/>
    <n v="0"/>
    <n v="0"/>
    <x v="1"/>
    <n v="0"/>
    <x v="0"/>
    <n v="0"/>
    <n v="1"/>
    <n v="0"/>
    <n v="230"/>
    <n v="230"/>
    <x v="1"/>
    <n v="170"/>
    <n v="113"/>
    <n v="29.55"/>
    <n v="29.55"/>
    <x v="0"/>
    <n v="115"/>
    <n v="115"/>
    <n v="115"/>
    <n v="115"/>
    <x v="0"/>
    <x v="0"/>
  </r>
  <r>
    <n v="0"/>
    <x v="0"/>
    <n v="53"/>
    <x v="1"/>
    <n v="2"/>
    <n v="2"/>
    <s v="Secondary"/>
    <x v="0"/>
    <n v="0"/>
    <n v="0"/>
    <n v="0"/>
    <x v="1"/>
    <n v="0"/>
    <x v="0"/>
    <n v="0"/>
    <n v="1"/>
    <n v="0"/>
    <n v="279"/>
    <n v="279"/>
    <x v="0"/>
    <n v="167"/>
    <n v="101"/>
    <n v="30.85"/>
    <n v="30.85"/>
    <x v="2"/>
    <n v="90"/>
    <n v="90"/>
    <n v="87"/>
    <n v="87"/>
    <x v="0"/>
    <x v="0"/>
  </r>
  <r>
    <n v="1"/>
    <x v="1"/>
    <n v="53"/>
    <x v="1"/>
    <n v="1"/>
    <n v="1"/>
    <s v="Primary"/>
    <x v="2"/>
    <n v="1"/>
    <n v="3"/>
    <n v="3"/>
    <x v="0"/>
    <n v="0"/>
    <x v="0"/>
    <n v="0"/>
    <n v="0"/>
    <n v="0"/>
    <n v="218"/>
    <n v="218"/>
    <x v="1"/>
    <n v="120"/>
    <n v="80"/>
    <n v="29.87"/>
    <n v="29.87"/>
    <x v="0"/>
    <n v="90"/>
    <n v="90"/>
    <n v="73"/>
    <n v="73"/>
    <x v="0"/>
    <x v="1"/>
  </r>
  <r>
    <n v="0"/>
    <x v="0"/>
    <n v="53"/>
    <x v="1"/>
    <n v="1"/>
    <n v="1"/>
    <s v="Primary"/>
    <x v="2"/>
    <n v="0"/>
    <n v="0"/>
    <n v="0"/>
    <x v="1"/>
    <n v="0"/>
    <x v="0"/>
    <n v="0"/>
    <n v="1"/>
    <n v="0"/>
    <n v="272"/>
    <n v="272"/>
    <x v="0"/>
    <n v="165"/>
    <n v="95"/>
    <n v="28.92"/>
    <n v="28.92"/>
    <x v="0"/>
    <n v="100"/>
    <n v="100"/>
    <n v="100"/>
    <n v="100"/>
    <x v="0"/>
    <x v="0"/>
  </r>
  <r>
    <n v="0"/>
    <x v="0"/>
    <n v="53"/>
    <x v="1"/>
    <n v="1"/>
    <n v="1"/>
    <s v="Primary"/>
    <x v="2"/>
    <n v="0"/>
    <n v="0"/>
    <n v="0"/>
    <x v="1"/>
    <n v="1"/>
    <x v="1"/>
    <n v="1"/>
    <n v="1"/>
    <n v="0"/>
    <n v="291"/>
    <n v="291"/>
    <x v="0"/>
    <n v="137"/>
    <n v="83"/>
    <n v="38.94"/>
    <n v="38.94"/>
    <x v="2"/>
    <n v="75"/>
    <n v="75"/>
    <n v="73"/>
    <n v="73"/>
    <x v="0"/>
    <x v="0"/>
  </r>
  <r>
    <n v="0"/>
    <x v="0"/>
    <n v="53"/>
    <x v="1"/>
    <n v="1"/>
    <n v="1"/>
    <s v="Primary"/>
    <x v="2"/>
    <n v="1"/>
    <n v="10"/>
    <n v="10"/>
    <x v="0"/>
    <n v="0"/>
    <x v="0"/>
    <n v="0"/>
    <n v="0"/>
    <n v="0"/>
    <n v="366"/>
    <n v="366"/>
    <x v="0"/>
    <n v="116"/>
    <n v="83"/>
    <n v="27.87"/>
    <n v="27.87"/>
    <x v="0"/>
    <n v="68"/>
    <n v="68"/>
    <s v="NA"/>
    <n v="81.96365524402907"/>
    <x v="0"/>
    <x v="0"/>
  </r>
  <r>
    <n v="1"/>
    <x v="1"/>
    <n v="53"/>
    <x v="1"/>
    <n v="1"/>
    <n v="1"/>
    <s v="Primary"/>
    <x v="2"/>
    <n v="1"/>
    <n v="40"/>
    <n v="40"/>
    <x v="0"/>
    <n v="0"/>
    <x v="0"/>
    <n v="0"/>
    <n v="0"/>
    <n v="0"/>
    <n v="232"/>
    <n v="232"/>
    <x v="1"/>
    <n v="136"/>
    <n v="73"/>
    <n v="22.26"/>
    <n v="22.26"/>
    <x v="1"/>
    <n v="73"/>
    <n v="73"/>
    <n v="73"/>
    <n v="73"/>
    <x v="0"/>
    <x v="0"/>
  </r>
  <r>
    <n v="0"/>
    <x v="0"/>
    <n v="53"/>
    <x v="1"/>
    <n v="4"/>
    <n v="4"/>
    <s v="Post Graduate"/>
    <x v="3"/>
    <n v="0"/>
    <n v="0"/>
    <n v="0"/>
    <x v="1"/>
    <n v="0"/>
    <x v="0"/>
    <n v="0"/>
    <n v="0"/>
    <n v="0"/>
    <n v="232"/>
    <n v="232"/>
    <x v="1"/>
    <n v="116"/>
    <n v="71.5"/>
    <n v="21.31"/>
    <n v="21.31"/>
    <x v="1"/>
    <n v="73"/>
    <n v="73"/>
    <n v="83"/>
    <n v="83"/>
    <x v="0"/>
    <x v="0"/>
  </r>
  <r>
    <n v="1"/>
    <x v="1"/>
    <n v="53"/>
    <x v="1"/>
    <n v="2"/>
    <n v="2"/>
    <s v="Secondary"/>
    <x v="0"/>
    <n v="0"/>
    <n v="0"/>
    <n v="0"/>
    <x v="1"/>
    <n v="0"/>
    <x v="0"/>
    <n v="0"/>
    <n v="0"/>
    <n v="0"/>
    <n v="275"/>
    <n v="275"/>
    <x v="0"/>
    <n v="109"/>
    <n v="79"/>
    <n v="27.75"/>
    <n v="27.75"/>
    <x v="0"/>
    <n v="67"/>
    <n v="67"/>
    <n v="104"/>
    <n v="104"/>
    <x v="0"/>
    <x v="0"/>
  </r>
  <r>
    <n v="1"/>
    <x v="1"/>
    <n v="53"/>
    <x v="1"/>
    <n v="3"/>
    <n v="3"/>
    <s v="Graduate"/>
    <x v="1"/>
    <n v="0"/>
    <n v="0"/>
    <n v="0"/>
    <x v="1"/>
    <n v="0"/>
    <x v="0"/>
    <n v="0"/>
    <n v="0"/>
    <n v="0"/>
    <n v="228"/>
    <n v="228"/>
    <x v="1"/>
    <n v="114"/>
    <n v="80"/>
    <n v="20.54"/>
    <n v="20.54"/>
    <x v="1"/>
    <n v="55"/>
    <n v="55"/>
    <n v="75"/>
    <n v="75"/>
    <x v="0"/>
    <x v="0"/>
  </r>
  <r>
    <n v="0"/>
    <x v="0"/>
    <n v="53"/>
    <x v="1"/>
    <n v="3"/>
    <n v="3"/>
    <s v="Graduate"/>
    <x v="1"/>
    <n v="0"/>
    <n v="0"/>
    <n v="0"/>
    <x v="1"/>
    <s v="NA"/>
    <x v="0"/>
    <n v="0"/>
    <n v="0"/>
    <n v="0"/>
    <n v="252"/>
    <n v="252"/>
    <x v="0"/>
    <n v="122.5"/>
    <n v="75.5"/>
    <n v="25.29"/>
    <n v="25.29"/>
    <x v="0"/>
    <n v="75"/>
    <n v="75"/>
    <n v="71"/>
    <n v="71"/>
    <x v="1"/>
    <x v="0"/>
  </r>
  <r>
    <n v="1"/>
    <x v="1"/>
    <n v="53"/>
    <x v="1"/>
    <n v="3"/>
    <n v="3"/>
    <s v="Graduate"/>
    <x v="1"/>
    <n v="0"/>
    <n v="0"/>
    <n v="0"/>
    <x v="1"/>
    <n v="0"/>
    <x v="0"/>
    <n v="0"/>
    <n v="1"/>
    <n v="0"/>
    <n v="289"/>
    <n v="289"/>
    <x v="0"/>
    <n v="188"/>
    <n v="110"/>
    <n v="26.7"/>
    <n v="26.7"/>
    <x v="0"/>
    <n v="70"/>
    <n v="70"/>
    <n v="63"/>
    <n v="63"/>
    <x v="0"/>
    <x v="0"/>
  </r>
  <r>
    <n v="1"/>
    <x v="1"/>
    <n v="54"/>
    <x v="1"/>
    <n v="1"/>
    <n v="1"/>
    <s v="Primary"/>
    <x v="2"/>
    <n v="1"/>
    <n v="20"/>
    <n v="20"/>
    <x v="0"/>
    <n v="0"/>
    <x v="0"/>
    <n v="0"/>
    <n v="1"/>
    <n v="0"/>
    <n v="214"/>
    <n v="214"/>
    <x v="1"/>
    <n v="147"/>
    <n v="74"/>
    <n v="24.71"/>
    <n v="24.71"/>
    <x v="1"/>
    <n v="96"/>
    <n v="96"/>
    <n v="87"/>
    <n v="87"/>
    <x v="0"/>
    <x v="0"/>
  </r>
  <r>
    <n v="1"/>
    <x v="1"/>
    <n v="54"/>
    <x v="1"/>
    <n v="2"/>
    <n v="2"/>
    <s v="Secondary"/>
    <x v="0"/>
    <n v="0"/>
    <n v="0"/>
    <n v="0"/>
    <x v="1"/>
    <n v="0"/>
    <x v="0"/>
    <n v="0"/>
    <n v="0"/>
    <n v="0"/>
    <n v="195"/>
    <n v="195"/>
    <x v="1"/>
    <n v="132"/>
    <n v="83.5"/>
    <n v="26.21"/>
    <n v="26.21"/>
    <x v="0"/>
    <n v="75"/>
    <n v="75"/>
    <n v="100"/>
    <n v="100"/>
    <x v="0"/>
    <x v="0"/>
  </r>
  <r>
    <n v="0"/>
    <x v="0"/>
    <n v="54"/>
    <x v="1"/>
    <n v="1"/>
    <n v="1"/>
    <s v="Primary"/>
    <x v="2"/>
    <n v="1"/>
    <n v="9"/>
    <n v="9"/>
    <x v="0"/>
    <n v="0"/>
    <x v="0"/>
    <n v="0"/>
    <n v="0"/>
    <n v="1"/>
    <n v="266"/>
    <n v="266"/>
    <x v="0"/>
    <n v="114"/>
    <n v="76"/>
    <n v="17.61"/>
    <n v="17.61"/>
    <x v="3"/>
    <n v="88"/>
    <n v="88"/>
    <n v="55"/>
    <n v="55"/>
    <x v="0"/>
    <x v="0"/>
  </r>
  <r>
    <n v="0"/>
    <x v="0"/>
    <n v="54"/>
    <x v="1"/>
    <n v="1"/>
    <n v="1"/>
    <s v="Primary"/>
    <x v="2"/>
    <n v="0"/>
    <n v="0"/>
    <n v="0"/>
    <x v="1"/>
    <n v="0"/>
    <x v="0"/>
    <n v="0"/>
    <n v="1"/>
    <n v="0"/>
    <n v="230"/>
    <n v="230"/>
    <x v="1"/>
    <n v="180.5"/>
    <n v="106.5"/>
    <n v="28.92"/>
    <n v="28.92"/>
    <x v="0"/>
    <n v="72"/>
    <n v="72"/>
    <n v="64"/>
    <n v="64"/>
    <x v="0"/>
    <x v="0"/>
  </r>
  <r>
    <n v="1"/>
    <x v="1"/>
    <n v="54"/>
    <x v="1"/>
    <n v="1"/>
    <n v="1"/>
    <s v="Primary"/>
    <x v="2"/>
    <n v="1"/>
    <n v="43"/>
    <n v="43"/>
    <x v="0"/>
    <n v="0"/>
    <x v="0"/>
    <n v="0"/>
    <n v="0"/>
    <n v="0"/>
    <n v="243"/>
    <n v="243"/>
    <x v="0"/>
    <n v="135"/>
    <n v="92"/>
    <n v="31.3"/>
    <n v="31.3"/>
    <x v="2"/>
    <n v="90"/>
    <n v="90"/>
    <n v="65"/>
    <n v="65"/>
    <x v="0"/>
    <x v="1"/>
  </r>
  <r>
    <n v="1"/>
    <x v="1"/>
    <n v="54"/>
    <x v="1"/>
    <n v="1"/>
    <n v="1"/>
    <s v="Primary"/>
    <x v="2"/>
    <n v="1"/>
    <n v="20"/>
    <n v="20"/>
    <x v="0"/>
    <n v="0"/>
    <x v="0"/>
    <n v="0"/>
    <n v="0"/>
    <n v="0"/>
    <n v="245"/>
    <n v="245"/>
    <x v="0"/>
    <n v="128"/>
    <n v="74"/>
    <n v="24.85"/>
    <n v="24.85"/>
    <x v="1"/>
    <n v="72"/>
    <n v="72"/>
    <n v="75"/>
    <n v="75"/>
    <x v="0"/>
    <x v="1"/>
  </r>
  <r>
    <n v="0"/>
    <x v="0"/>
    <n v="54"/>
    <x v="1"/>
    <n v="1"/>
    <n v="1"/>
    <s v="Primary"/>
    <x v="2"/>
    <n v="0"/>
    <n v="0"/>
    <n v="0"/>
    <x v="1"/>
    <n v="0"/>
    <x v="0"/>
    <n v="0"/>
    <n v="1"/>
    <n v="0"/>
    <n v="273"/>
    <n v="273"/>
    <x v="0"/>
    <n v="139"/>
    <n v="98"/>
    <n v="29.06"/>
    <n v="29.06"/>
    <x v="0"/>
    <n v="110"/>
    <n v="110"/>
    <n v="73"/>
    <n v="73"/>
    <x v="0"/>
    <x v="1"/>
  </r>
  <r>
    <n v="0"/>
    <x v="0"/>
    <n v="54"/>
    <x v="1"/>
    <n v="2"/>
    <n v="2"/>
    <s v="Secondary"/>
    <x v="0"/>
    <n v="0"/>
    <n v="0"/>
    <n v="0"/>
    <x v="1"/>
    <n v="0"/>
    <x v="0"/>
    <n v="0"/>
    <n v="0"/>
    <n v="0"/>
    <n v="270"/>
    <n v="270"/>
    <x v="0"/>
    <n v="98"/>
    <n v="64"/>
    <n v="22.02"/>
    <n v="22.02"/>
    <x v="1"/>
    <n v="67"/>
    <n v="67"/>
    <n v="75"/>
    <n v="75"/>
    <x v="0"/>
    <x v="0"/>
  </r>
  <r>
    <n v="0"/>
    <x v="0"/>
    <n v="54"/>
    <x v="1"/>
    <n v="4"/>
    <n v="4"/>
    <s v="Post Graduate"/>
    <x v="3"/>
    <n v="1"/>
    <n v="20"/>
    <n v="20"/>
    <x v="0"/>
    <n v="0"/>
    <x v="0"/>
    <n v="0"/>
    <n v="0"/>
    <n v="0"/>
    <n v="242"/>
    <n v="242"/>
    <x v="0"/>
    <n v="125"/>
    <n v="76"/>
    <n v="22.16"/>
    <n v="22.16"/>
    <x v="1"/>
    <n v="70"/>
    <n v="70"/>
    <n v="87"/>
    <n v="87"/>
    <x v="0"/>
    <x v="0"/>
  </r>
  <r>
    <n v="0"/>
    <x v="0"/>
    <n v="54"/>
    <x v="1"/>
    <n v="2"/>
    <n v="2"/>
    <s v="Secondary"/>
    <x v="0"/>
    <n v="0"/>
    <n v="0"/>
    <n v="0"/>
    <x v="1"/>
    <n v="0"/>
    <x v="0"/>
    <n v="0"/>
    <n v="0"/>
    <n v="0"/>
    <n v="288"/>
    <n v="288"/>
    <x v="0"/>
    <n v="137.5"/>
    <n v="77.5"/>
    <n v="22.19"/>
    <n v="22.19"/>
    <x v="1"/>
    <n v="68"/>
    <n v="68"/>
    <s v="NA"/>
    <n v="81.96365524402907"/>
    <x v="0"/>
    <x v="0"/>
  </r>
  <r>
    <n v="0"/>
    <x v="0"/>
    <n v="54"/>
    <x v="1"/>
    <n v="1"/>
    <n v="1"/>
    <s v="Primary"/>
    <x v="2"/>
    <n v="0"/>
    <n v="0"/>
    <n v="0"/>
    <x v="1"/>
    <n v="0"/>
    <x v="0"/>
    <n v="0"/>
    <n v="0"/>
    <n v="0"/>
    <n v="219"/>
    <n v="219"/>
    <x v="1"/>
    <n v="143.5"/>
    <n v="89"/>
    <n v="28.47"/>
    <n v="28.47"/>
    <x v="0"/>
    <n v="73"/>
    <n v="73"/>
    <n v="96"/>
    <n v="96"/>
    <x v="0"/>
    <x v="0"/>
  </r>
  <r>
    <n v="0"/>
    <x v="0"/>
    <n v="54"/>
    <x v="1"/>
    <n v="2"/>
    <n v="2"/>
    <s v="Secondary"/>
    <x v="0"/>
    <n v="1"/>
    <n v="3"/>
    <n v="3"/>
    <x v="0"/>
    <n v="0"/>
    <x v="0"/>
    <n v="0"/>
    <n v="1"/>
    <n v="1"/>
    <n v="231"/>
    <n v="231"/>
    <x v="1"/>
    <n v="127.5"/>
    <n v="83"/>
    <n v="21.31"/>
    <n v="21.31"/>
    <x v="1"/>
    <n v="70"/>
    <n v="70"/>
    <n v="115"/>
    <n v="115"/>
    <x v="0"/>
    <x v="0"/>
  </r>
  <r>
    <n v="0"/>
    <x v="0"/>
    <n v="54"/>
    <x v="1"/>
    <n v="4"/>
    <n v="4"/>
    <s v="Post Graduate"/>
    <x v="3"/>
    <n v="0"/>
    <n v="0"/>
    <n v="0"/>
    <x v="1"/>
    <n v="1"/>
    <x v="1"/>
    <n v="0"/>
    <n v="1"/>
    <n v="0"/>
    <n v="201"/>
    <n v="201"/>
    <x v="1"/>
    <n v="156"/>
    <n v="93"/>
    <n v="27.91"/>
    <n v="27.91"/>
    <x v="0"/>
    <n v="80"/>
    <n v="80"/>
    <n v="70"/>
    <n v="70"/>
    <x v="0"/>
    <x v="0"/>
  </r>
  <r>
    <n v="0"/>
    <x v="0"/>
    <n v="54"/>
    <x v="1"/>
    <n v="1"/>
    <n v="1"/>
    <s v="Primary"/>
    <x v="2"/>
    <n v="0"/>
    <n v="0"/>
    <n v="0"/>
    <x v="1"/>
    <n v="0"/>
    <x v="0"/>
    <n v="0"/>
    <n v="0"/>
    <n v="0"/>
    <n v="245"/>
    <n v="245"/>
    <x v="0"/>
    <n v="117"/>
    <n v="76"/>
    <n v="26.64"/>
    <n v="26.64"/>
    <x v="0"/>
    <n v="65"/>
    <n v="65"/>
    <n v="76"/>
    <n v="76"/>
    <x v="0"/>
    <x v="1"/>
  </r>
  <r>
    <n v="1"/>
    <x v="1"/>
    <n v="54"/>
    <x v="1"/>
    <n v="1"/>
    <n v="1"/>
    <s v="Primary"/>
    <x v="2"/>
    <n v="0"/>
    <n v="0"/>
    <n v="0"/>
    <x v="1"/>
    <n v="0"/>
    <x v="0"/>
    <n v="0"/>
    <n v="1"/>
    <n v="0"/>
    <n v="224"/>
    <n v="224"/>
    <x v="1"/>
    <n v="170"/>
    <n v="102"/>
    <n v="29.18"/>
    <n v="29.18"/>
    <x v="0"/>
    <n v="72"/>
    <n v="72"/>
    <s v="NA"/>
    <n v="81.96365524402907"/>
    <x v="0"/>
    <x v="0"/>
  </r>
  <r>
    <n v="1"/>
    <x v="1"/>
    <n v="54"/>
    <x v="1"/>
    <n v="2"/>
    <n v="2"/>
    <s v="Secondary"/>
    <x v="0"/>
    <n v="1"/>
    <n v="40"/>
    <n v="40"/>
    <x v="0"/>
    <n v="0"/>
    <x v="0"/>
    <n v="0"/>
    <n v="0"/>
    <n v="0"/>
    <n v="230"/>
    <n v="230"/>
    <x v="1"/>
    <n v="145"/>
    <n v="90"/>
    <n v="25.72"/>
    <n v="25.72"/>
    <x v="0"/>
    <n v="75"/>
    <n v="75"/>
    <n v="85"/>
    <n v="85"/>
    <x v="0"/>
    <x v="1"/>
  </r>
  <r>
    <n v="0"/>
    <x v="0"/>
    <n v="54"/>
    <x v="1"/>
    <n v="1"/>
    <n v="1"/>
    <s v="Primary"/>
    <x v="2"/>
    <n v="0"/>
    <n v="0"/>
    <n v="0"/>
    <x v="1"/>
    <n v="0"/>
    <x v="0"/>
    <n v="0"/>
    <n v="1"/>
    <n v="0"/>
    <n v="255"/>
    <n v="255"/>
    <x v="0"/>
    <n v="132.5"/>
    <n v="81"/>
    <n v="26.77"/>
    <n v="26.77"/>
    <x v="0"/>
    <n v="82"/>
    <n v="82"/>
    <s v="NA"/>
    <n v="81.96365524402907"/>
    <x v="0"/>
    <x v="0"/>
  </r>
  <r>
    <n v="0"/>
    <x v="0"/>
    <n v="54"/>
    <x v="1"/>
    <n v="1"/>
    <n v="1"/>
    <s v="Primary"/>
    <x v="2"/>
    <n v="0"/>
    <n v="0"/>
    <n v="0"/>
    <x v="1"/>
    <n v="0"/>
    <x v="0"/>
    <n v="0"/>
    <n v="0"/>
    <n v="0"/>
    <n v="275"/>
    <n v="275"/>
    <x v="0"/>
    <n v="113.5"/>
    <n v="75.5"/>
    <n v="19.63"/>
    <n v="19.63"/>
    <x v="1"/>
    <n v="66"/>
    <n v="66"/>
    <n v="78"/>
    <n v="78"/>
    <x v="0"/>
    <x v="0"/>
  </r>
  <r>
    <n v="0"/>
    <x v="0"/>
    <n v="54"/>
    <x v="1"/>
    <n v="1"/>
    <n v="1"/>
    <s v="Primary"/>
    <x v="2"/>
    <n v="0"/>
    <n v="0"/>
    <n v="0"/>
    <x v="1"/>
    <n v="0"/>
    <x v="0"/>
    <n v="0"/>
    <n v="1"/>
    <n v="0"/>
    <n v="287"/>
    <n v="287"/>
    <x v="0"/>
    <n v="145"/>
    <n v="91"/>
    <n v="23.81"/>
    <n v="23.81"/>
    <x v="1"/>
    <n v="68"/>
    <n v="68"/>
    <n v="83"/>
    <n v="83"/>
    <x v="0"/>
    <x v="0"/>
  </r>
  <r>
    <n v="0"/>
    <x v="0"/>
    <n v="54"/>
    <x v="1"/>
    <n v="4"/>
    <n v="4"/>
    <s v="Post Graduate"/>
    <x v="3"/>
    <n v="0"/>
    <n v="0"/>
    <n v="0"/>
    <x v="1"/>
    <n v="0"/>
    <x v="0"/>
    <n v="0"/>
    <n v="1"/>
    <n v="0"/>
    <n v="195"/>
    <n v="195"/>
    <x v="1"/>
    <n v="163.5"/>
    <n v="103"/>
    <n v="26.89"/>
    <n v="26.89"/>
    <x v="0"/>
    <n v="56"/>
    <n v="56"/>
    <n v="80"/>
    <n v="80"/>
    <x v="0"/>
    <x v="0"/>
  </r>
  <r>
    <n v="1"/>
    <x v="1"/>
    <n v="54"/>
    <x v="1"/>
    <n v="1"/>
    <n v="1"/>
    <s v="Primary"/>
    <x v="2"/>
    <n v="0"/>
    <n v="0"/>
    <n v="0"/>
    <x v="1"/>
    <n v="0"/>
    <x v="0"/>
    <n v="0"/>
    <n v="1"/>
    <n v="0"/>
    <n v="267"/>
    <n v="267"/>
    <x v="0"/>
    <n v="148"/>
    <n v="92.5"/>
    <n v="26.58"/>
    <n v="26.58"/>
    <x v="0"/>
    <n v="75"/>
    <n v="75"/>
    <n v="98"/>
    <n v="98"/>
    <x v="0"/>
    <x v="1"/>
  </r>
  <r>
    <n v="0"/>
    <x v="0"/>
    <n v="54"/>
    <x v="1"/>
    <n v="2"/>
    <n v="2"/>
    <s v="Secondary"/>
    <x v="0"/>
    <n v="1"/>
    <n v="5"/>
    <n v="5"/>
    <x v="0"/>
    <n v="0"/>
    <x v="0"/>
    <n v="0"/>
    <n v="0"/>
    <n v="0"/>
    <n v="272"/>
    <n v="272"/>
    <x v="0"/>
    <n v="132.5"/>
    <n v="91"/>
    <n v="23.09"/>
    <n v="23.09"/>
    <x v="1"/>
    <n v="70"/>
    <n v="70"/>
    <n v="78"/>
    <n v="78"/>
    <x v="0"/>
    <x v="1"/>
  </r>
  <r>
    <n v="0"/>
    <x v="0"/>
    <n v="54"/>
    <x v="1"/>
    <n v="1"/>
    <n v="1"/>
    <s v="Primary"/>
    <x v="2"/>
    <n v="1"/>
    <n v="1"/>
    <n v="1"/>
    <x v="0"/>
    <n v="0"/>
    <x v="0"/>
    <n v="0"/>
    <n v="0"/>
    <n v="0"/>
    <n v="262"/>
    <n v="262"/>
    <x v="0"/>
    <n v="136"/>
    <n v="86"/>
    <n v="23.28"/>
    <n v="23.28"/>
    <x v="1"/>
    <n v="75"/>
    <n v="75"/>
    <n v="69"/>
    <n v="69"/>
    <x v="0"/>
    <x v="0"/>
  </r>
  <r>
    <n v="0"/>
    <x v="0"/>
    <n v="54"/>
    <x v="1"/>
    <n v="2"/>
    <n v="2"/>
    <s v="Secondary"/>
    <x v="0"/>
    <n v="0"/>
    <n v="0"/>
    <n v="0"/>
    <x v="1"/>
    <n v="0"/>
    <x v="0"/>
    <n v="0"/>
    <n v="0"/>
    <n v="0"/>
    <n v="193"/>
    <n v="193"/>
    <x v="1"/>
    <n v="118"/>
    <n v="84"/>
    <n v="24.9"/>
    <n v="24.9"/>
    <x v="1"/>
    <n v="70"/>
    <n v="70"/>
    <n v="82"/>
    <n v="82"/>
    <x v="0"/>
    <x v="0"/>
  </r>
  <r>
    <n v="1"/>
    <x v="1"/>
    <n v="54"/>
    <x v="1"/>
    <n v="2"/>
    <n v="2"/>
    <s v="Secondary"/>
    <x v="0"/>
    <n v="0"/>
    <n v="0"/>
    <n v="0"/>
    <x v="1"/>
    <n v="0"/>
    <x v="0"/>
    <n v="0"/>
    <n v="0"/>
    <n v="0"/>
    <n v="175"/>
    <n v="175"/>
    <x v="1"/>
    <n v="116"/>
    <n v="78.5"/>
    <n v="25.82"/>
    <n v="25.82"/>
    <x v="0"/>
    <n v="94"/>
    <n v="94"/>
    <n v="67"/>
    <n v="67"/>
    <x v="0"/>
    <x v="0"/>
  </r>
  <r>
    <n v="1"/>
    <x v="1"/>
    <n v="54"/>
    <x v="1"/>
    <n v="1"/>
    <n v="1"/>
    <s v="Primary"/>
    <x v="2"/>
    <n v="1"/>
    <n v="20"/>
    <n v="20"/>
    <x v="0"/>
    <n v="0"/>
    <x v="0"/>
    <n v="0"/>
    <n v="1"/>
    <n v="0"/>
    <n v="255"/>
    <n v="255"/>
    <x v="0"/>
    <n v="142"/>
    <n v="93"/>
    <n v="22.17"/>
    <n v="22.17"/>
    <x v="1"/>
    <n v="75"/>
    <n v="75"/>
    <n v="118"/>
    <n v="118"/>
    <x v="0"/>
    <x v="0"/>
  </r>
  <r>
    <n v="0"/>
    <x v="0"/>
    <n v="54"/>
    <x v="1"/>
    <n v="3"/>
    <n v="3"/>
    <s v="Graduate"/>
    <x v="1"/>
    <n v="0"/>
    <n v="0"/>
    <n v="0"/>
    <x v="1"/>
    <n v="0"/>
    <x v="0"/>
    <n v="0"/>
    <n v="0"/>
    <n v="0"/>
    <n v="318"/>
    <n v="318"/>
    <x v="0"/>
    <n v="115"/>
    <n v="81"/>
    <n v="25.84"/>
    <n v="25.84"/>
    <x v="0"/>
    <n v="95"/>
    <n v="95"/>
    <n v="76"/>
    <n v="76"/>
    <x v="0"/>
    <x v="0"/>
  </r>
  <r>
    <n v="0"/>
    <x v="0"/>
    <n v="54"/>
    <x v="1"/>
    <n v="1"/>
    <n v="1"/>
    <s v="Primary"/>
    <x v="2"/>
    <n v="0"/>
    <n v="0"/>
    <n v="0"/>
    <x v="1"/>
    <n v="0"/>
    <x v="0"/>
    <n v="0"/>
    <n v="1"/>
    <n v="0"/>
    <n v="266"/>
    <n v="266"/>
    <x v="0"/>
    <n v="137"/>
    <n v="88"/>
    <n v="29.76"/>
    <n v="29.76"/>
    <x v="0"/>
    <n v="80"/>
    <n v="80"/>
    <n v="80"/>
    <n v="80"/>
    <x v="0"/>
    <x v="0"/>
  </r>
  <r>
    <n v="0"/>
    <x v="0"/>
    <n v="54"/>
    <x v="1"/>
    <n v="2"/>
    <n v="2"/>
    <s v="Secondary"/>
    <x v="0"/>
    <n v="1"/>
    <n v="20"/>
    <n v="20"/>
    <x v="0"/>
    <n v="0"/>
    <x v="0"/>
    <n v="0"/>
    <n v="0"/>
    <n v="0"/>
    <n v="187"/>
    <n v="187"/>
    <x v="1"/>
    <n v="133"/>
    <n v="88"/>
    <n v="31.82"/>
    <n v="31.82"/>
    <x v="2"/>
    <n v="75"/>
    <n v="75"/>
    <n v="77"/>
    <n v="77"/>
    <x v="0"/>
    <x v="0"/>
  </r>
  <r>
    <n v="0"/>
    <x v="0"/>
    <n v="54"/>
    <x v="1"/>
    <n v="1"/>
    <n v="1"/>
    <s v="Primary"/>
    <x v="2"/>
    <n v="0"/>
    <n v="0"/>
    <n v="0"/>
    <x v="1"/>
    <n v="0"/>
    <x v="0"/>
    <n v="0"/>
    <n v="1"/>
    <n v="0"/>
    <n v="237"/>
    <n v="237"/>
    <x v="1"/>
    <n v="171.5"/>
    <n v="105.5"/>
    <n v="34.25"/>
    <n v="34.25"/>
    <x v="2"/>
    <n v="91"/>
    <n v="91"/>
    <n v="104"/>
    <n v="104"/>
    <x v="0"/>
    <x v="0"/>
  </r>
  <r>
    <n v="0"/>
    <x v="0"/>
    <n v="54"/>
    <x v="1"/>
    <n v="3"/>
    <n v="3"/>
    <s v="Graduate"/>
    <x v="1"/>
    <n v="1"/>
    <n v="20"/>
    <n v="20"/>
    <x v="0"/>
    <n v="0"/>
    <x v="0"/>
    <n v="0"/>
    <n v="0"/>
    <n v="0"/>
    <n v="225"/>
    <n v="225"/>
    <x v="1"/>
    <n v="131"/>
    <n v="79"/>
    <n v="25.91"/>
    <n v="25.91"/>
    <x v="0"/>
    <n v="67"/>
    <n v="67"/>
    <n v="62"/>
    <n v="62"/>
    <x v="0"/>
    <x v="0"/>
  </r>
  <r>
    <n v="0"/>
    <x v="0"/>
    <n v="54"/>
    <x v="1"/>
    <n v="2"/>
    <n v="2"/>
    <s v="Secondary"/>
    <x v="0"/>
    <n v="0"/>
    <n v="0"/>
    <n v="0"/>
    <x v="1"/>
    <n v="0"/>
    <x v="0"/>
    <n v="0"/>
    <n v="0"/>
    <n v="0"/>
    <n v="279"/>
    <n v="279"/>
    <x v="0"/>
    <n v="127"/>
    <n v="70"/>
    <n v="23.48"/>
    <n v="23.48"/>
    <x v="1"/>
    <n v="92"/>
    <n v="92"/>
    <n v="79"/>
    <n v="79"/>
    <x v="0"/>
    <x v="0"/>
  </r>
  <r>
    <n v="1"/>
    <x v="1"/>
    <n v="54"/>
    <x v="1"/>
    <n v="1"/>
    <n v="1"/>
    <s v="Primary"/>
    <x v="2"/>
    <n v="1"/>
    <n v="9"/>
    <n v="9"/>
    <x v="0"/>
    <n v="0"/>
    <x v="0"/>
    <n v="0"/>
    <n v="0"/>
    <n v="0"/>
    <n v="241"/>
    <n v="241"/>
    <x v="0"/>
    <n v="101"/>
    <n v="72"/>
    <n v="28.35"/>
    <n v="28.35"/>
    <x v="0"/>
    <n v="69"/>
    <n v="69"/>
    <n v="70"/>
    <n v="70"/>
    <x v="0"/>
    <x v="0"/>
  </r>
  <r>
    <n v="1"/>
    <x v="1"/>
    <n v="54"/>
    <x v="1"/>
    <n v="4"/>
    <n v="4"/>
    <s v="Post Graduate"/>
    <x v="3"/>
    <n v="1"/>
    <n v="15"/>
    <n v="15"/>
    <x v="0"/>
    <n v="0"/>
    <x v="0"/>
    <n v="0"/>
    <n v="0"/>
    <n v="0"/>
    <n v="300"/>
    <n v="300"/>
    <x v="0"/>
    <n v="128"/>
    <n v="80"/>
    <n v="27.3"/>
    <n v="27.3"/>
    <x v="0"/>
    <n v="68"/>
    <n v="68"/>
    <s v="NA"/>
    <n v="81.96365524402907"/>
    <x v="0"/>
    <x v="0"/>
  </r>
  <r>
    <n v="0"/>
    <x v="0"/>
    <n v="54"/>
    <x v="1"/>
    <n v="1"/>
    <n v="1"/>
    <s v="Primary"/>
    <x v="2"/>
    <n v="0"/>
    <n v="0"/>
    <n v="0"/>
    <x v="1"/>
    <n v="0"/>
    <x v="0"/>
    <n v="0"/>
    <n v="0"/>
    <n v="0"/>
    <n v="272"/>
    <n v="272"/>
    <x v="0"/>
    <n v="146"/>
    <n v="95"/>
    <n v="23.66"/>
    <n v="23.66"/>
    <x v="1"/>
    <n v="72"/>
    <n v="72"/>
    <n v="80"/>
    <n v="80"/>
    <x v="0"/>
    <x v="0"/>
  </r>
  <r>
    <n v="0"/>
    <x v="0"/>
    <n v="54"/>
    <x v="1"/>
    <n v="1"/>
    <n v="1"/>
    <s v="Primary"/>
    <x v="2"/>
    <n v="1"/>
    <n v="20"/>
    <n v="20"/>
    <x v="0"/>
    <n v="0"/>
    <x v="0"/>
    <n v="0"/>
    <n v="0"/>
    <n v="0"/>
    <s v="NA"/>
    <n v="236.69952267303103"/>
    <x v="1"/>
    <n v="111"/>
    <n v="81"/>
    <n v="25.43"/>
    <n v="25.43"/>
    <x v="0"/>
    <n v="70"/>
    <n v="70"/>
    <s v="NA"/>
    <n v="81.96365524402907"/>
    <x v="0"/>
    <x v="0"/>
  </r>
  <r>
    <n v="1"/>
    <x v="1"/>
    <n v="54"/>
    <x v="1"/>
    <n v="1"/>
    <n v="1"/>
    <s v="Primary"/>
    <x v="2"/>
    <n v="0"/>
    <n v="0"/>
    <n v="0"/>
    <x v="1"/>
    <n v="0"/>
    <x v="0"/>
    <n v="0"/>
    <n v="0"/>
    <n v="0"/>
    <n v="225"/>
    <n v="225"/>
    <x v="1"/>
    <n v="113.5"/>
    <n v="74"/>
    <n v="25.63"/>
    <n v="25.63"/>
    <x v="0"/>
    <n v="70"/>
    <n v="70"/>
    <n v="80"/>
    <n v="80"/>
    <x v="0"/>
    <x v="0"/>
  </r>
  <r>
    <n v="1"/>
    <x v="1"/>
    <n v="54"/>
    <x v="1"/>
    <n v="1"/>
    <n v="1"/>
    <s v="Primary"/>
    <x v="2"/>
    <n v="0"/>
    <n v="0"/>
    <n v="0"/>
    <x v="1"/>
    <n v="0"/>
    <x v="0"/>
    <n v="0"/>
    <n v="0"/>
    <n v="0"/>
    <n v="254"/>
    <n v="254"/>
    <x v="0"/>
    <n v="136.5"/>
    <n v="83"/>
    <n v="20.55"/>
    <n v="20.55"/>
    <x v="1"/>
    <n v="88"/>
    <n v="88"/>
    <n v="95"/>
    <n v="95"/>
    <x v="0"/>
    <x v="0"/>
  </r>
  <r>
    <n v="1"/>
    <x v="1"/>
    <n v="54"/>
    <x v="1"/>
    <n v="1"/>
    <n v="1"/>
    <s v="Primary"/>
    <x v="2"/>
    <n v="1"/>
    <s v="NA"/>
    <n v="9"/>
    <x v="0"/>
    <n v="0"/>
    <x v="0"/>
    <n v="0"/>
    <n v="0"/>
    <n v="0"/>
    <n v="219"/>
    <n v="219"/>
    <x v="1"/>
    <n v="110"/>
    <n v="72"/>
    <n v="26.05"/>
    <n v="26.05"/>
    <x v="0"/>
    <n v="95"/>
    <n v="95"/>
    <n v="86"/>
    <n v="86"/>
    <x v="0"/>
    <x v="0"/>
  </r>
  <r>
    <n v="1"/>
    <x v="1"/>
    <n v="54"/>
    <x v="1"/>
    <n v="2"/>
    <n v="2"/>
    <s v="Secondary"/>
    <x v="0"/>
    <n v="1"/>
    <n v="30"/>
    <n v="30"/>
    <x v="0"/>
    <n v="0"/>
    <x v="0"/>
    <n v="0"/>
    <n v="0"/>
    <n v="0"/>
    <n v="215"/>
    <n v="215"/>
    <x v="1"/>
    <n v="117.5"/>
    <n v="70.5"/>
    <n v="26.77"/>
    <n v="26.77"/>
    <x v="0"/>
    <n v="60"/>
    <n v="60"/>
    <n v="75"/>
    <n v="75"/>
    <x v="0"/>
    <x v="0"/>
  </r>
  <r>
    <n v="0"/>
    <x v="0"/>
    <n v="54"/>
    <x v="1"/>
    <n v="3"/>
    <n v="3"/>
    <s v="Graduate"/>
    <x v="1"/>
    <n v="0"/>
    <n v="0"/>
    <n v="0"/>
    <x v="1"/>
    <n v="0"/>
    <x v="0"/>
    <n v="0"/>
    <n v="1"/>
    <n v="0"/>
    <n v="258"/>
    <n v="258"/>
    <x v="0"/>
    <n v="148"/>
    <n v="93"/>
    <n v="20.51"/>
    <n v="20.51"/>
    <x v="1"/>
    <n v="74"/>
    <n v="74"/>
    <n v="95"/>
    <n v="95"/>
    <x v="0"/>
    <x v="0"/>
  </r>
  <r>
    <n v="1"/>
    <x v="1"/>
    <n v="54"/>
    <x v="1"/>
    <n v="1"/>
    <n v="1"/>
    <s v="Primary"/>
    <x v="2"/>
    <n v="0"/>
    <n v="0"/>
    <n v="0"/>
    <x v="1"/>
    <n v="0"/>
    <x v="0"/>
    <n v="0"/>
    <n v="0"/>
    <n v="0"/>
    <n v="206"/>
    <n v="206"/>
    <x v="1"/>
    <n v="141"/>
    <n v="92"/>
    <n v="35.85"/>
    <n v="35.85"/>
    <x v="2"/>
    <n v="75"/>
    <n v="75"/>
    <n v="120"/>
    <n v="120"/>
    <x v="0"/>
    <x v="0"/>
  </r>
  <r>
    <n v="0"/>
    <x v="0"/>
    <n v="54"/>
    <x v="1"/>
    <n v="1"/>
    <n v="1"/>
    <s v="Primary"/>
    <x v="2"/>
    <n v="0"/>
    <n v="0"/>
    <n v="0"/>
    <x v="1"/>
    <n v="0"/>
    <x v="0"/>
    <n v="0"/>
    <n v="0"/>
    <n v="0"/>
    <n v="218"/>
    <n v="218"/>
    <x v="1"/>
    <n v="130"/>
    <n v="85"/>
    <n v="20.55"/>
    <n v="20.55"/>
    <x v="1"/>
    <n v="72"/>
    <n v="72"/>
    <n v="85"/>
    <n v="85"/>
    <x v="0"/>
    <x v="0"/>
  </r>
  <r>
    <n v="1"/>
    <x v="1"/>
    <n v="54"/>
    <x v="1"/>
    <n v="3"/>
    <n v="3"/>
    <s v="Graduate"/>
    <x v="1"/>
    <n v="1"/>
    <n v="29"/>
    <n v="29"/>
    <x v="0"/>
    <n v="0"/>
    <x v="0"/>
    <n v="0"/>
    <n v="0"/>
    <n v="0"/>
    <n v="211"/>
    <n v="211"/>
    <x v="1"/>
    <n v="120"/>
    <n v="72"/>
    <n v="25.13"/>
    <n v="25.13"/>
    <x v="0"/>
    <n v="77"/>
    <n v="77"/>
    <n v="60"/>
    <n v="60"/>
    <x v="0"/>
    <x v="0"/>
  </r>
  <r>
    <n v="0"/>
    <x v="0"/>
    <n v="54"/>
    <x v="1"/>
    <n v="1"/>
    <n v="1"/>
    <s v="Primary"/>
    <x v="2"/>
    <n v="0"/>
    <n v="0"/>
    <n v="0"/>
    <x v="1"/>
    <n v="0"/>
    <x v="0"/>
    <n v="0"/>
    <n v="1"/>
    <n v="0"/>
    <n v="302"/>
    <n v="302"/>
    <x v="0"/>
    <n v="160"/>
    <n v="94"/>
    <n v="29.4"/>
    <n v="29.4"/>
    <x v="0"/>
    <n v="75"/>
    <n v="75"/>
    <n v="75"/>
    <n v="75"/>
    <x v="0"/>
    <x v="0"/>
  </r>
  <r>
    <n v="1"/>
    <x v="1"/>
    <n v="54"/>
    <x v="1"/>
    <n v="1"/>
    <n v="1"/>
    <s v="Primary"/>
    <x v="2"/>
    <n v="0"/>
    <n v="0"/>
    <n v="0"/>
    <x v="1"/>
    <n v="0"/>
    <x v="0"/>
    <n v="0"/>
    <n v="0"/>
    <n v="0"/>
    <n v="179"/>
    <n v="179"/>
    <x v="1"/>
    <n v="103"/>
    <n v="73"/>
    <n v="21.03"/>
    <n v="21.03"/>
    <x v="1"/>
    <n v="60"/>
    <n v="60"/>
    <n v="84"/>
    <n v="84"/>
    <x v="0"/>
    <x v="0"/>
  </r>
  <r>
    <n v="0"/>
    <x v="0"/>
    <n v="54"/>
    <x v="1"/>
    <n v="1"/>
    <n v="1"/>
    <s v="Primary"/>
    <x v="2"/>
    <n v="1"/>
    <n v="5"/>
    <n v="5"/>
    <x v="0"/>
    <n v="0"/>
    <x v="0"/>
    <n v="0"/>
    <n v="1"/>
    <n v="0"/>
    <n v="298"/>
    <n v="298"/>
    <x v="0"/>
    <n v="151.5"/>
    <n v="96.5"/>
    <n v="30.29"/>
    <n v="30.29"/>
    <x v="2"/>
    <n v="64"/>
    <n v="64"/>
    <n v="77"/>
    <n v="77"/>
    <x v="0"/>
    <x v="0"/>
  </r>
  <r>
    <n v="0"/>
    <x v="0"/>
    <n v="54"/>
    <x v="1"/>
    <n v="1"/>
    <n v="1"/>
    <s v="Primary"/>
    <x v="2"/>
    <n v="1"/>
    <n v="5"/>
    <n v="5"/>
    <x v="0"/>
    <n v="0"/>
    <x v="0"/>
    <n v="0"/>
    <n v="1"/>
    <n v="0"/>
    <n v="209"/>
    <n v="209"/>
    <x v="1"/>
    <n v="139"/>
    <n v="75"/>
    <n v="25.82"/>
    <n v="25.82"/>
    <x v="0"/>
    <n v="72"/>
    <n v="72"/>
    <n v="95"/>
    <n v="95"/>
    <x v="0"/>
    <x v="0"/>
  </r>
  <r>
    <n v="1"/>
    <x v="1"/>
    <n v="54"/>
    <x v="1"/>
    <n v="1"/>
    <n v="1"/>
    <s v="Primary"/>
    <x v="2"/>
    <n v="1"/>
    <n v="35"/>
    <n v="35"/>
    <x v="0"/>
    <n v="0"/>
    <x v="0"/>
    <n v="0"/>
    <n v="0"/>
    <n v="0"/>
    <n v="240"/>
    <n v="240"/>
    <x v="1"/>
    <n v="146"/>
    <n v="91"/>
    <n v="24.41"/>
    <n v="24.41"/>
    <x v="1"/>
    <n v="82"/>
    <n v="82"/>
    <n v="70"/>
    <n v="70"/>
    <x v="0"/>
    <x v="0"/>
  </r>
  <r>
    <n v="0"/>
    <x v="0"/>
    <n v="54"/>
    <x v="1"/>
    <n v="1"/>
    <n v="1"/>
    <s v="Primary"/>
    <x v="2"/>
    <n v="0"/>
    <n v="0"/>
    <n v="0"/>
    <x v="1"/>
    <n v="0"/>
    <x v="0"/>
    <n v="0"/>
    <n v="1"/>
    <n v="0"/>
    <n v="226"/>
    <n v="226"/>
    <x v="1"/>
    <n v="148"/>
    <n v="89"/>
    <n v="34.130000000000003"/>
    <n v="34.130000000000003"/>
    <x v="2"/>
    <n v="68"/>
    <n v="68"/>
    <n v="92"/>
    <n v="92"/>
    <x v="0"/>
    <x v="0"/>
  </r>
  <r>
    <n v="1"/>
    <x v="1"/>
    <n v="54"/>
    <x v="1"/>
    <n v="1"/>
    <n v="1"/>
    <s v="Primary"/>
    <x v="2"/>
    <n v="1"/>
    <n v="30"/>
    <n v="30"/>
    <x v="0"/>
    <n v="0"/>
    <x v="0"/>
    <n v="0"/>
    <n v="0"/>
    <n v="0"/>
    <n v="333"/>
    <n v="333"/>
    <x v="0"/>
    <n v="127"/>
    <n v="74"/>
    <n v="27.97"/>
    <n v="27.97"/>
    <x v="0"/>
    <n v="90"/>
    <n v="90"/>
    <n v="62"/>
    <n v="62"/>
    <x v="0"/>
    <x v="1"/>
  </r>
  <r>
    <n v="0"/>
    <x v="0"/>
    <n v="54"/>
    <x v="1"/>
    <n v="1"/>
    <n v="1"/>
    <s v="Primary"/>
    <x v="2"/>
    <n v="0"/>
    <n v="0"/>
    <n v="0"/>
    <x v="1"/>
    <n v="0"/>
    <x v="0"/>
    <n v="0"/>
    <n v="1"/>
    <n v="0"/>
    <n v="293"/>
    <n v="293"/>
    <x v="0"/>
    <n v="132"/>
    <n v="84"/>
    <n v="26.81"/>
    <n v="26.81"/>
    <x v="0"/>
    <n v="80"/>
    <n v="80"/>
    <s v="NA"/>
    <n v="81.96365524402907"/>
    <x v="0"/>
    <x v="0"/>
  </r>
  <r>
    <n v="1"/>
    <x v="1"/>
    <n v="54"/>
    <x v="1"/>
    <n v="2"/>
    <n v="2"/>
    <s v="Secondary"/>
    <x v="0"/>
    <n v="1"/>
    <n v="30"/>
    <n v="30"/>
    <x v="0"/>
    <n v="0"/>
    <x v="0"/>
    <n v="0"/>
    <n v="0"/>
    <n v="0"/>
    <n v="219"/>
    <n v="219"/>
    <x v="1"/>
    <n v="113"/>
    <n v="70"/>
    <n v="20.41"/>
    <n v="20.41"/>
    <x v="1"/>
    <n v="80"/>
    <n v="80"/>
    <n v="53"/>
    <n v="53"/>
    <x v="0"/>
    <x v="0"/>
  </r>
  <r>
    <n v="1"/>
    <x v="1"/>
    <n v="54"/>
    <x v="1"/>
    <n v="2"/>
    <n v="2"/>
    <s v="Secondary"/>
    <x v="0"/>
    <n v="1"/>
    <n v="20"/>
    <n v="20"/>
    <x v="0"/>
    <n v="0"/>
    <x v="0"/>
    <n v="0"/>
    <n v="0"/>
    <n v="0"/>
    <n v="215"/>
    <n v="215"/>
    <x v="1"/>
    <n v="120"/>
    <n v="85"/>
    <n v="29.93"/>
    <n v="29.93"/>
    <x v="0"/>
    <n v="62"/>
    <n v="62"/>
    <n v="75"/>
    <n v="75"/>
    <x v="0"/>
    <x v="0"/>
  </r>
  <r>
    <n v="0"/>
    <x v="0"/>
    <n v="54"/>
    <x v="1"/>
    <n v="3"/>
    <n v="3"/>
    <s v="Graduate"/>
    <x v="1"/>
    <n v="0"/>
    <n v="0"/>
    <n v="0"/>
    <x v="1"/>
    <n v="0"/>
    <x v="0"/>
    <n v="0"/>
    <n v="0"/>
    <n v="0"/>
    <n v="286"/>
    <n v="286"/>
    <x v="0"/>
    <n v="110"/>
    <n v="74"/>
    <n v="26.28"/>
    <n v="26.28"/>
    <x v="0"/>
    <n v="65"/>
    <n v="65"/>
    <n v="90"/>
    <n v="90"/>
    <x v="0"/>
    <x v="0"/>
  </r>
  <r>
    <n v="0"/>
    <x v="0"/>
    <n v="54"/>
    <x v="1"/>
    <n v="3"/>
    <n v="3"/>
    <s v="Graduate"/>
    <x v="1"/>
    <n v="0"/>
    <n v="0"/>
    <n v="0"/>
    <x v="1"/>
    <n v="0"/>
    <x v="0"/>
    <n v="0"/>
    <n v="1"/>
    <n v="0"/>
    <n v="227"/>
    <n v="227"/>
    <x v="1"/>
    <n v="168"/>
    <n v="94"/>
    <n v="22.7"/>
    <n v="22.7"/>
    <x v="1"/>
    <n v="75"/>
    <n v="75"/>
    <n v="70"/>
    <n v="70"/>
    <x v="0"/>
    <x v="0"/>
  </r>
  <r>
    <n v="0"/>
    <x v="0"/>
    <n v="54"/>
    <x v="1"/>
    <n v="2"/>
    <n v="2"/>
    <s v="Secondary"/>
    <x v="0"/>
    <n v="0"/>
    <n v="0"/>
    <n v="0"/>
    <x v="1"/>
    <n v="0"/>
    <x v="0"/>
    <n v="1"/>
    <n v="0"/>
    <n v="0"/>
    <n v="321"/>
    <n v="321"/>
    <x v="0"/>
    <n v="150"/>
    <n v="93"/>
    <n v="22.5"/>
    <n v="22.5"/>
    <x v="1"/>
    <n v="75"/>
    <n v="75"/>
    <n v="131"/>
    <n v="131"/>
    <x v="0"/>
    <x v="0"/>
  </r>
  <r>
    <n v="1"/>
    <x v="1"/>
    <n v="54"/>
    <x v="1"/>
    <n v="4"/>
    <n v="4"/>
    <s v="Post Graduate"/>
    <x v="3"/>
    <n v="0"/>
    <n v="0"/>
    <n v="0"/>
    <x v="1"/>
    <n v="0"/>
    <x v="0"/>
    <n v="0"/>
    <n v="1"/>
    <n v="0"/>
    <n v="225"/>
    <n v="225"/>
    <x v="1"/>
    <n v="134.5"/>
    <n v="92.5"/>
    <n v="30.62"/>
    <n v="30.62"/>
    <x v="2"/>
    <n v="78"/>
    <n v="78"/>
    <n v="69"/>
    <n v="69"/>
    <x v="0"/>
    <x v="0"/>
  </r>
  <r>
    <n v="1"/>
    <x v="1"/>
    <n v="54"/>
    <x v="1"/>
    <n v="1"/>
    <n v="1"/>
    <s v="Primary"/>
    <x v="2"/>
    <n v="1"/>
    <n v="30"/>
    <n v="30"/>
    <x v="0"/>
    <n v="0"/>
    <x v="0"/>
    <n v="0"/>
    <n v="1"/>
    <n v="0"/>
    <n v="255"/>
    <n v="255"/>
    <x v="0"/>
    <n v="149"/>
    <n v="86"/>
    <n v="20.12"/>
    <n v="20.12"/>
    <x v="1"/>
    <n v="98"/>
    <n v="98"/>
    <n v="65"/>
    <n v="65"/>
    <x v="0"/>
    <x v="0"/>
  </r>
  <r>
    <n v="0"/>
    <x v="0"/>
    <n v="54"/>
    <x v="1"/>
    <n v="3"/>
    <n v="3"/>
    <s v="Graduate"/>
    <x v="1"/>
    <n v="0"/>
    <n v="0"/>
    <n v="0"/>
    <x v="1"/>
    <n v="0"/>
    <x v="0"/>
    <n v="0"/>
    <n v="0"/>
    <n v="0"/>
    <n v="288"/>
    <n v="288"/>
    <x v="0"/>
    <n v="124"/>
    <n v="77"/>
    <n v="29.88"/>
    <n v="29.88"/>
    <x v="0"/>
    <n v="79"/>
    <n v="79"/>
    <n v="92"/>
    <n v="92"/>
    <x v="0"/>
    <x v="0"/>
  </r>
  <r>
    <n v="1"/>
    <x v="1"/>
    <n v="54"/>
    <x v="1"/>
    <n v="3"/>
    <n v="3"/>
    <s v="Graduate"/>
    <x v="1"/>
    <n v="0"/>
    <n v="0"/>
    <n v="0"/>
    <x v="1"/>
    <n v="0"/>
    <x v="0"/>
    <n v="0"/>
    <n v="1"/>
    <n v="0"/>
    <n v="258"/>
    <n v="258"/>
    <x v="0"/>
    <n v="146"/>
    <n v="98.5"/>
    <n v="26.05"/>
    <n v="26.05"/>
    <x v="0"/>
    <n v="60"/>
    <n v="60"/>
    <n v="68"/>
    <n v="68"/>
    <x v="0"/>
    <x v="0"/>
  </r>
  <r>
    <n v="1"/>
    <x v="1"/>
    <n v="54"/>
    <x v="1"/>
    <n v="1"/>
    <n v="1"/>
    <s v="Primary"/>
    <x v="2"/>
    <n v="1"/>
    <n v="20"/>
    <n v="20"/>
    <x v="0"/>
    <n v="0"/>
    <x v="0"/>
    <n v="0"/>
    <n v="1"/>
    <n v="0"/>
    <n v="225"/>
    <n v="225"/>
    <x v="1"/>
    <n v="133"/>
    <n v="83"/>
    <n v="22.18"/>
    <n v="22.18"/>
    <x v="1"/>
    <n v="80"/>
    <n v="80"/>
    <n v="65"/>
    <n v="65"/>
    <x v="0"/>
    <x v="0"/>
  </r>
  <r>
    <n v="1"/>
    <x v="1"/>
    <n v="54"/>
    <x v="1"/>
    <n v="1"/>
    <n v="1"/>
    <s v="Primary"/>
    <x v="2"/>
    <n v="0"/>
    <n v="0"/>
    <n v="0"/>
    <x v="1"/>
    <n v="0"/>
    <x v="0"/>
    <n v="0"/>
    <n v="0"/>
    <n v="0"/>
    <n v="260"/>
    <n v="260"/>
    <x v="0"/>
    <n v="116"/>
    <n v="77"/>
    <n v="28.56"/>
    <n v="28.56"/>
    <x v="0"/>
    <n v="57"/>
    <n v="57"/>
    <n v="61"/>
    <n v="61"/>
    <x v="0"/>
    <x v="0"/>
  </r>
  <r>
    <n v="0"/>
    <x v="0"/>
    <n v="54"/>
    <x v="1"/>
    <n v="1"/>
    <n v="1"/>
    <s v="Primary"/>
    <x v="2"/>
    <n v="1"/>
    <n v="20"/>
    <n v="20"/>
    <x v="0"/>
    <n v="0"/>
    <x v="0"/>
    <n v="0"/>
    <n v="0"/>
    <n v="0"/>
    <n v="274"/>
    <n v="274"/>
    <x v="0"/>
    <n v="116"/>
    <n v="79"/>
    <n v="24.77"/>
    <n v="24.77"/>
    <x v="1"/>
    <n v="72"/>
    <n v="72"/>
    <n v="65"/>
    <n v="65"/>
    <x v="0"/>
    <x v="0"/>
  </r>
  <r>
    <n v="0"/>
    <x v="0"/>
    <n v="54"/>
    <x v="1"/>
    <n v="1"/>
    <n v="1"/>
    <s v="Primary"/>
    <x v="2"/>
    <n v="0"/>
    <n v="0"/>
    <n v="0"/>
    <x v="1"/>
    <n v="0"/>
    <x v="0"/>
    <n v="0"/>
    <n v="0"/>
    <n v="0"/>
    <n v="205"/>
    <n v="205"/>
    <x v="1"/>
    <n v="107.5"/>
    <n v="67.5"/>
    <n v="20.260000000000002"/>
    <n v="20.260000000000002"/>
    <x v="1"/>
    <n v="75"/>
    <n v="75"/>
    <n v="88"/>
    <n v="88"/>
    <x v="0"/>
    <x v="0"/>
  </r>
  <r>
    <n v="1"/>
    <x v="1"/>
    <n v="54"/>
    <x v="1"/>
    <n v="3"/>
    <n v="3"/>
    <s v="Graduate"/>
    <x v="1"/>
    <n v="1"/>
    <n v="43"/>
    <n v="43"/>
    <x v="0"/>
    <n v="0"/>
    <x v="0"/>
    <n v="0"/>
    <n v="0"/>
    <n v="0"/>
    <n v="288"/>
    <n v="288"/>
    <x v="0"/>
    <n v="145"/>
    <n v="92.5"/>
    <n v="26.2"/>
    <n v="26.2"/>
    <x v="0"/>
    <n v="72"/>
    <n v="72"/>
    <n v="98"/>
    <n v="98"/>
    <x v="0"/>
    <x v="1"/>
  </r>
  <r>
    <n v="0"/>
    <x v="0"/>
    <n v="54"/>
    <x v="1"/>
    <n v="2"/>
    <n v="2"/>
    <s v="Secondary"/>
    <x v="0"/>
    <n v="0"/>
    <n v="0"/>
    <n v="0"/>
    <x v="1"/>
    <n v="0"/>
    <x v="0"/>
    <n v="0"/>
    <n v="0"/>
    <n v="0"/>
    <n v="243"/>
    <n v="243"/>
    <x v="0"/>
    <n v="138"/>
    <n v="79"/>
    <n v="21.93"/>
    <n v="21.93"/>
    <x v="1"/>
    <n v="75"/>
    <n v="75"/>
    <n v="95"/>
    <n v="95"/>
    <x v="0"/>
    <x v="0"/>
  </r>
  <r>
    <n v="0"/>
    <x v="0"/>
    <n v="54"/>
    <x v="1"/>
    <n v="3"/>
    <n v="3"/>
    <s v="Graduate"/>
    <x v="1"/>
    <n v="0"/>
    <n v="0"/>
    <n v="0"/>
    <x v="1"/>
    <n v="0"/>
    <x v="0"/>
    <n v="0"/>
    <n v="0"/>
    <n v="0"/>
    <n v="292"/>
    <n v="292"/>
    <x v="0"/>
    <n v="137"/>
    <n v="84"/>
    <n v="24.96"/>
    <n v="24.96"/>
    <x v="1"/>
    <n v="60"/>
    <n v="60"/>
    <n v="94"/>
    <n v="94"/>
    <x v="0"/>
    <x v="0"/>
  </r>
  <r>
    <n v="1"/>
    <x v="1"/>
    <n v="54"/>
    <x v="1"/>
    <n v="2"/>
    <n v="2"/>
    <s v="Secondary"/>
    <x v="0"/>
    <n v="1"/>
    <n v="30"/>
    <n v="30"/>
    <x v="0"/>
    <n v="0"/>
    <x v="0"/>
    <n v="0"/>
    <n v="1"/>
    <n v="0"/>
    <n v="212"/>
    <n v="212"/>
    <x v="1"/>
    <n v="153"/>
    <n v="100"/>
    <n v="27.03"/>
    <n v="27.03"/>
    <x v="0"/>
    <n v="52"/>
    <n v="52"/>
    <n v="82"/>
    <n v="82"/>
    <x v="0"/>
    <x v="0"/>
  </r>
  <r>
    <n v="1"/>
    <x v="1"/>
    <n v="54"/>
    <x v="1"/>
    <n v="4"/>
    <n v="4"/>
    <s v="Post Graduate"/>
    <x v="3"/>
    <n v="1"/>
    <n v="30"/>
    <n v="30"/>
    <x v="0"/>
    <n v="0"/>
    <x v="0"/>
    <n v="0"/>
    <n v="0"/>
    <n v="0"/>
    <n v="195"/>
    <n v="195"/>
    <x v="1"/>
    <n v="113.5"/>
    <n v="72"/>
    <n v="21.78"/>
    <n v="21.78"/>
    <x v="1"/>
    <n v="65"/>
    <n v="65"/>
    <n v="67"/>
    <n v="67"/>
    <x v="0"/>
    <x v="0"/>
  </r>
  <r>
    <n v="0"/>
    <x v="0"/>
    <n v="54"/>
    <x v="1"/>
    <n v="2"/>
    <n v="2"/>
    <s v="Secondary"/>
    <x v="0"/>
    <n v="1"/>
    <n v="5"/>
    <n v="5"/>
    <x v="0"/>
    <n v="0"/>
    <x v="0"/>
    <n v="0"/>
    <n v="1"/>
    <n v="0"/>
    <n v="390"/>
    <n v="390"/>
    <x v="0"/>
    <n v="150"/>
    <n v="94"/>
    <n v="27.34"/>
    <n v="27.34"/>
    <x v="0"/>
    <n v="75"/>
    <n v="75"/>
    <n v="71"/>
    <n v="71"/>
    <x v="0"/>
    <x v="0"/>
  </r>
  <r>
    <n v="0"/>
    <x v="0"/>
    <n v="54"/>
    <x v="1"/>
    <n v="1"/>
    <n v="1"/>
    <s v="Primary"/>
    <x v="2"/>
    <n v="0"/>
    <n v="0"/>
    <n v="0"/>
    <x v="1"/>
    <n v="0"/>
    <x v="0"/>
    <n v="0"/>
    <n v="1"/>
    <n v="0"/>
    <n v="315"/>
    <n v="315"/>
    <x v="0"/>
    <n v="176"/>
    <n v="87"/>
    <n v="29.23"/>
    <n v="29.23"/>
    <x v="0"/>
    <n v="82"/>
    <n v="82"/>
    <n v="72"/>
    <n v="72"/>
    <x v="0"/>
    <x v="0"/>
  </r>
  <r>
    <n v="0"/>
    <x v="0"/>
    <n v="54"/>
    <x v="1"/>
    <n v="2"/>
    <n v="2"/>
    <s v="Secondary"/>
    <x v="0"/>
    <n v="0"/>
    <n v="0"/>
    <n v="0"/>
    <x v="1"/>
    <n v="0"/>
    <x v="0"/>
    <n v="0"/>
    <n v="0"/>
    <n v="0"/>
    <n v="253"/>
    <n v="253"/>
    <x v="0"/>
    <n v="127"/>
    <n v="68.5"/>
    <n v="22.54"/>
    <n v="22.54"/>
    <x v="1"/>
    <n v="70"/>
    <n v="70"/>
    <n v="76"/>
    <n v="76"/>
    <x v="0"/>
    <x v="0"/>
  </r>
  <r>
    <n v="0"/>
    <x v="0"/>
    <n v="54"/>
    <x v="1"/>
    <n v="3"/>
    <n v="3"/>
    <s v="Graduate"/>
    <x v="1"/>
    <n v="0"/>
    <n v="0"/>
    <n v="0"/>
    <x v="1"/>
    <n v="0"/>
    <x v="0"/>
    <n v="0"/>
    <n v="1"/>
    <n v="0"/>
    <n v="239"/>
    <n v="239"/>
    <x v="1"/>
    <n v="142.5"/>
    <n v="83.5"/>
    <n v="30.47"/>
    <n v="30.47"/>
    <x v="2"/>
    <n v="83"/>
    <n v="83"/>
    <n v="84"/>
    <n v="84"/>
    <x v="0"/>
    <x v="0"/>
  </r>
  <r>
    <n v="0"/>
    <x v="0"/>
    <n v="54"/>
    <x v="1"/>
    <n v="2"/>
    <n v="2"/>
    <s v="Secondary"/>
    <x v="0"/>
    <n v="0"/>
    <n v="0"/>
    <n v="0"/>
    <x v="1"/>
    <n v="1"/>
    <x v="1"/>
    <n v="0"/>
    <n v="1"/>
    <n v="0"/>
    <n v="199"/>
    <n v="199"/>
    <x v="1"/>
    <n v="159"/>
    <n v="102"/>
    <n v="22.91"/>
    <n v="22.91"/>
    <x v="1"/>
    <n v="66"/>
    <n v="66"/>
    <n v="93"/>
    <n v="93"/>
    <x v="0"/>
    <x v="0"/>
  </r>
  <r>
    <n v="1"/>
    <x v="1"/>
    <n v="54"/>
    <x v="1"/>
    <n v="2"/>
    <n v="2"/>
    <s v="Secondary"/>
    <x v="0"/>
    <n v="0"/>
    <n v="0"/>
    <n v="0"/>
    <x v="1"/>
    <n v="0"/>
    <x v="0"/>
    <n v="0"/>
    <n v="0"/>
    <n v="0"/>
    <n v="334"/>
    <n v="334"/>
    <x v="0"/>
    <n v="133.5"/>
    <n v="80"/>
    <n v="23.4"/>
    <n v="23.4"/>
    <x v="1"/>
    <n v="85"/>
    <n v="85"/>
    <n v="77"/>
    <n v="77"/>
    <x v="0"/>
    <x v="0"/>
  </r>
  <r>
    <n v="1"/>
    <x v="1"/>
    <n v="54"/>
    <x v="1"/>
    <n v="2"/>
    <n v="2"/>
    <s v="Secondary"/>
    <x v="0"/>
    <n v="0"/>
    <n v="0"/>
    <n v="0"/>
    <x v="1"/>
    <n v="0"/>
    <x v="0"/>
    <n v="0"/>
    <n v="1"/>
    <n v="0"/>
    <n v="207"/>
    <n v="207"/>
    <x v="1"/>
    <n v="146"/>
    <n v="98"/>
    <n v="23.63"/>
    <n v="23.63"/>
    <x v="1"/>
    <n v="65"/>
    <n v="65"/>
    <n v="91"/>
    <n v="91"/>
    <x v="0"/>
    <x v="1"/>
  </r>
  <r>
    <n v="0"/>
    <x v="0"/>
    <n v="54"/>
    <x v="1"/>
    <n v="3"/>
    <n v="3"/>
    <s v="Graduate"/>
    <x v="1"/>
    <n v="0"/>
    <n v="0"/>
    <n v="0"/>
    <x v="1"/>
    <n v="0"/>
    <x v="0"/>
    <n v="0"/>
    <n v="0"/>
    <n v="0"/>
    <n v="248"/>
    <n v="248"/>
    <x v="0"/>
    <n v="131"/>
    <n v="71"/>
    <n v="24.89"/>
    <n v="24.89"/>
    <x v="1"/>
    <n v="80"/>
    <n v="80"/>
    <n v="73"/>
    <n v="73"/>
    <x v="0"/>
    <x v="0"/>
  </r>
  <r>
    <n v="0"/>
    <x v="0"/>
    <n v="54"/>
    <x v="1"/>
    <n v="1"/>
    <n v="1"/>
    <s v="Primary"/>
    <x v="2"/>
    <n v="1"/>
    <n v="20"/>
    <n v="20"/>
    <x v="0"/>
    <n v="0"/>
    <x v="0"/>
    <n v="0"/>
    <n v="0"/>
    <n v="0"/>
    <n v="231"/>
    <n v="231"/>
    <x v="1"/>
    <n v="120"/>
    <n v="79"/>
    <n v="27.49"/>
    <n v="27.49"/>
    <x v="0"/>
    <n v="85"/>
    <n v="85"/>
    <s v="NA"/>
    <n v="81.96365524402907"/>
    <x v="0"/>
    <x v="0"/>
  </r>
  <r>
    <n v="0"/>
    <x v="0"/>
    <n v="54"/>
    <x v="1"/>
    <n v="3"/>
    <n v="3"/>
    <s v="Graduate"/>
    <x v="1"/>
    <n v="1"/>
    <n v="2"/>
    <n v="2"/>
    <x v="0"/>
    <n v="0"/>
    <x v="0"/>
    <n v="0"/>
    <n v="0"/>
    <n v="0"/>
    <n v="213"/>
    <n v="213"/>
    <x v="1"/>
    <n v="144"/>
    <n v="82"/>
    <n v="29.45"/>
    <n v="29.45"/>
    <x v="0"/>
    <n v="63"/>
    <n v="63"/>
    <n v="72"/>
    <n v="72"/>
    <x v="0"/>
    <x v="0"/>
  </r>
  <r>
    <n v="1"/>
    <x v="1"/>
    <n v="54"/>
    <x v="1"/>
    <n v="4"/>
    <n v="4"/>
    <s v="Post Graduate"/>
    <x v="3"/>
    <n v="0"/>
    <n v="0"/>
    <n v="0"/>
    <x v="1"/>
    <n v="0"/>
    <x v="0"/>
    <n v="0"/>
    <n v="0"/>
    <n v="0"/>
    <n v="226"/>
    <n v="226"/>
    <x v="1"/>
    <n v="122.5"/>
    <n v="77.5"/>
    <n v="27.93"/>
    <n v="27.93"/>
    <x v="0"/>
    <n v="92"/>
    <n v="92"/>
    <n v="71"/>
    <n v="71"/>
    <x v="0"/>
    <x v="0"/>
  </r>
  <r>
    <n v="0"/>
    <x v="0"/>
    <n v="54"/>
    <x v="1"/>
    <n v="1"/>
    <n v="1"/>
    <s v="Primary"/>
    <x v="2"/>
    <n v="0"/>
    <n v="0"/>
    <n v="0"/>
    <x v="1"/>
    <n v="0"/>
    <x v="0"/>
    <n v="0"/>
    <n v="0"/>
    <n v="0"/>
    <n v="248"/>
    <n v="248"/>
    <x v="0"/>
    <n v="131.5"/>
    <n v="83"/>
    <n v="26.84"/>
    <n v="26.84"/>
    <x v="0"/>
    <n v="67"/>
    <n v="67"/>
    <n v="63"/>
    <n v="63"/>
    <x v="0"/>
    <x v="0"/>
  </r>
  <r>
    <n v="0"/>
    <x v="0"/>
    <n v="54"/>
    <x v="1"/>
    <n v="3"/>
    <n v="3"/>
    <s v="Graduate"/>
    <x v="1"/>
    <n v="0"/>
    <n v="0"/>
    <n v="0"/>
    <x v="1"/>
    <n v="0"/>
    <x v="0"/>
    <n v="0"/>
    <n v="1"/>
    <n v="0"/>
    <n v="341"/>
    <n v="341"/>
    <x v="0"/>
    <n v="155"/>
    <n v="105"/>
    <n v="27.01"/>
    <n v="27.01"/>
    <x v="0"/>
    <n v="63"/>
    <n v="63"/>
    <n v="62"/>
    <n v="62"/>
    <x v="0"/>
    <x v="0"/>
  </r>
  <r>
    <n v="0"/>
    <x v="0"/>
    <n v="54"/>
    <x v="1"/>
    <n v="1"/>
    <n v="1"/>
    <s v="Primary"/>
    <x v="2"/>
    <n v="0"/>
    <n v="0"/>
    <n v="0"/>
    <x v="1"/>
    <n v="0"/>
    <x v="0"/>
    <n v="0"/>
    <n v="0"/>
    <n v="0"/>
    <n v="208"/>
    <n v="208"/>
    <x v="1"/>
    <n v="138"/>
    <n v="78"/>
    <n v="30.47"/>
    <n v="30.47"/>
    <x v="2"/>
    <n v="67"/>
    <n v="67"/>
    <n v="73"/>
    <n v="73"/>
    <x v="0"/>
    <x v="0"/>
  </r>
  <r>
    <n v="1"/>
    <x v="1"/>
    <n v="54"/>
    <x v="1"/>
    <n v="1"/>
    <n v="1"/>
    <s v="Primary"/>
    <x v="2"/>
    <n v="0"/>
    <n v="0"/>
    <n v="0"/>
    <x v="1"/>
    <n v="0"/>
    <x v="0"/>
    <n v="0"/>
    <n v="0"/>
    <n v="0"/>
    <n v="235"/>
    <n v="235"/>
    <x v="1"/>
    <n v="132"/>
    <n v="87"/>
    <n v="26.13"/>
    <n v="26.13"/>
    <x v="0"/>
    <n v="65"/>
    <n v="65"/>
    <n v="75"/>
    <n v="75"/>
    <x v="0"/>
    <x v="0"/>
  </r>
  <r>
    <n v="0"/>
    <x v="0"/>
    <n v="54"/>
    <x v="1"/>
    <n v="2"/>
    <n v="2"/>
    <s v="Secondary"/>
    <x v="0"/>
    <n v="0"/>
    <n v="0"/>
    <n v="0"/>
    <x v="1"/>
    <n v="0"/>
    <x v="0"/>
    <n v="0"/>
    <n v="1"/>
    <n v="0"/>
    <n v="220"/>
    <n v="220"/>
    <x v="1"/>
    <n v="142.5"/>
    <n v="83.5"/>
    <n v="25.09"/>
    <n v="25.09"/>
    <x v="0"/>
    <n v="72"/>
    <n v="72"/>
    <n v="84"/>
    <n v="84"/>
    <x v="0"/>
    <x v="0"/>
  </r>
  <r>
    <n v="1"/>
    <x v="1"/>
    <n v="54"/>
    <x v="1"/>
    <n v="1"/>
    <n v="1"/>
    <s v="Primary"/>
    <x v="2"/>
    <n v="0"/>
    <n v="0"/>
    <n v="0"/>
    <x v="1"/>
    <n v="0"/>
    <x v="0"/>
    <n v="0"/>
    <n v="1"/>
    <n v="0"/>
    <n v="230"/>
    <n v="230"/>
    <x v="1"/>
    <n v="126"/>
    <n v="93"/>
    <n v="25.36"/>
    <n v="25.36"/>
    <x v="0"/>
    <n v="80"/>
    <n v="80"/>
    <n v="84"/>
    <n v="84"/>
    <x v="0"/>
    <x v="1"/>
  </r>
  <r>
    <n v="0"/>
    <x v="0"/>
    <n v="54"/>
    <x v="1"/>
    <n v="1"/>
    <n v="1"/>
    <s v="Primary"/>
    <x v="2"/>
    <n v="0"/>
    <n v="0"/>
    <n v="0"/>
    <x v="1"/>
    <n v="0"/>
    <x v="0"/>
    <n v="0"/>
    <n v="0"/>
    <n v="0"/>
    <n v="262"/>
    <n v="262"/>
    <x v="0"/>
    <n v="113.5"/>
    <n v="80"/>
    <n v="26.42"/>
    <n v="26.42"/>
    <x v="0"/>
    <n v="75"/>
    <n v="75"/>
    <n v="67"/>
    <n v="67"/>
    <x v="0"/>
    <x v="0"/>
  </r>
  <r>
    <n v="0"/>
    <x v="0"/>
    <n v="54"/>
    <x v="1"/>
    <n v="3"/>
    <n v="3"/>
    <s v="Graduate"/>
    <x v="1"/>
    <n v="0"/>
    <n v="0"/>
    <n v="0"/>
    <x v="1"/>
    <n v="0"/>
    <x v="0"/>
    <n v="0"/>
    <n v="0"/>
    <n v="0"/>
    <n v="241"/>
    <n v="241"/>
    <x v="0"/>
    <n v="103"/>
    <n v="66"/>
    <n v="22.73"/>
    <n v="22.73"/>
    <x v="1"/>
    <n v="85"/>
    <n v="85"/>
    <n v="66"/>
    <n v="66"/>
    <x v="0"/>
    <x v="0"/>
  </r>
  <r>
    <n v="1"/>
    <x v="1"/>
    <n v="54"/>
    <x v="1"/>
    <n v="1"/>
    <n v="1"/>
    <s v="Primary"/>
    <x v="2"/>
    <n v="0"/>
    <n v="0"/>
    <n v="0"/>
    <x v="1"/>
    <n v="0"/>
    <x v="0"/>
    <n v="0"/>
    <n v="0"/>
    <n v="0"/>
    <n v="217"/>
    <n v="217"/>
    <x v="1"/>
    <n v="116"/>
    <n v="72"/>
    <n v="22.49"/>
    <n v="22.49"/>
    <x v="1"/>
    <n v="80"/>
    <n v="80"/>
    <n v="77"/>
    <n v="77"/>
    <x v="0"/>
    <x v="0"/>
  </r>
  <r>
    <n v="0"/>
    <x v="0"/>
    <n v="54"/>
    <x v="1"/>
    <n v="1"/>
    <n v="1"/>
    <s v="Primary"/>
    <x v="2"/>
    <n v="0"/>
    <n v="0"/>
    <n v="0"/>
    <x v="1"/>
    <n v="0"/>
    <x v="0"/>
    <n v="0"/>
    <n v="1"/>
    <n v="0"/>
    <n v="306"/>
    <n v="306"/>
    <x v="0"/>
    <n v="195"/>
    <n v="110"/>
    <n v="32.1"/>
    <n v="32.1"/>
    <x v="2"/>
    <n v="72"/>
    <n v="72"/>
    <n v="68"/>
    <n v="68"/>
    <x v="0"/>
    <x v="0"/>
  </r>
  <r>
    <n v="1"/>
    <x v="1"/>
    <n v="54"/>
    <x v="1"/>
    <n v="4"/>
    <n v="4"/>
    <s v="Post Graduate"/>
    <x v="3"/>
    <n v="0"/>
    <n v="0"/>
    <n v="0"/>
    <x v="1"/>
    <n v="0"/>
    <x v="0"/>
    <n v="0"/>
    <n v="1"/>
    <n v="0"/>
    <n v="180"/>
    <n v="180"/>
    <x v="1"/>
    <n v="147.5"/>
    <n v="100"/>
    <n v="25.11"/>
    <n v="25.11"/>
    <x v="0"/>
    <n v="70"/>
    <n v="70"/>
    <n v="70"/>
    <n v="70"/>
    <x v="0"/>
    <x v="1"/>
  </r>
  <r>
    <n v="1"/>
    <x v="1"/>
    <n v="54"/>
    <x v="1"/>
    <n v="3"/>
    <n v="3"/>
    <s v="Graduate"/>
    <x v="1"/>
    <n v="0"/>
    <n v="0"/>
    <n v="0"/>
    <x v="1"/>
    <n v="0"/>
    <x v="0"/>
    <n v="0"/>
    <n v="1"/>
    <n v="0"/>
    <n v="248"/>
    <n v="248"/>
    <x v="0"/>
    <n v="155"/>
    <n v="92.5"/>
    <n v="29.86"/>
    <n v="29.86"/>
    <x v="0"/>
    <n v="85"/>
    <n v="85"/>
    <n v="66"/>
    <n v="66"/>
    <x v="0"/>
    <x v="0"/>
  </r>
  <r>
    <n v="0"/>
    <x v="0"/>
    <n v="54"/>
    <x v="1"/>
    <n v="1"/>
    <n v="1"/>
    <s v="Primary"/>
    <x v="2"/>
    <n v="0"/>
    <n v="0"/>
    <n v="0"/>
    <x v="1"/>
    <n v="0"/>
    <x v="0"/>
    <n v="0"/>
    <n v="0"/>
    <n v="0"/>
    <n v="195"/>
    <n v="195"/>
    <x v="1"/>
    <n v="122"/>
    <n v="88.5"/>
    <n v="24.11"/>
    <n v="24.11"/>
    <x v="1"/>
    <n v="76"/>
    <n v="76"/>
    <n v="67"/>
    <n v="67"/>
    <x v="0"/>
    <x v="0"/>
  </r>
  <r>
    <n v="0"/>
    <x v="0"/>
    <n v="54"/>
    <x v="1"/>
    <n v="1"/>
    <n v="1"/>
    <s v="Primary"/>
    <x v="2"/>
    <n v="0"/>
    <n v="0"/>
    <n v="0"/>
    <x v="1"/>
    <n v="0"/>
    <x v="0"/>
    <n v="0"/>
    <n v="0"/>
    <n v="0"/>
    <n v="192"/>
    <n v="192"/>
    <x v="1"/>
    <n v="130"/>
    <n v="87"/>
    <n v="27.76"/>
    <n v="27.76"/>
    <x v="0"/>
    <n v="69"/>
    <n v="69"/>
    <s v="NA"/>
    <n v="81.96365524402907"/>
    <x v="0"/>
    <x v="0"/>
  </r>
  <r>
    <n v="0"/>
    <x v="0"/>
    <n v="54"/>
    <x v="1"/>
    <n v="3"/>
    <n v="3"/>
    <s v="Graduate"/>
    <x v="1"/>
    <n v="0"/>
    <n v="0"/>
    <n v="0"/>
    <x v="1"/>
    <n v="0"/>
    <x v="0"/>
    <n v="0"/>
    <n v="0"/>
    <n v="0"/>
    <n v="278"/>
    <n v="278"/>
    <x v="0"/>
    <n v="127.5"/>
    <n v="83"/>
    <n v="23.08"/>
    <n v="23.08"/>
    <x v="1"/>
    <n v="63"/>
    <n v="63"/>
    <n v="78"/>
    <n v="78"/>
    <x v="0"/>
    <x v="0"/>
  </r>
  <r>
    <n v="1"/>
    <x v="1"/>
    <n v="54"/>
    <x v="1"/>
    <n v="2"/>
    <n v="2"/>
    <s v="Secondary"/>
    <x v="0"/>
    <n v="0"/>
    <n v="0"/>
    <n v="0"/>
    <x v="1"/>
    <n v="0"/>
    <x v="0"/>
    <n v="0"/>
    <n v="1"/>
    <n v="0"/>
    <n v="165"/>
    <n v="165"/>
    <x v="1"/>
    <n v="151"/>
    <n v="100"/>
    <n v="23.74"/>
    <n v="23.74"/>
    <x v="1"/>
    <n v="92"/>
    <n v="92"/>
    <s v="NA"/>
    <n v="81.96365524402907"/>
    <x v="0"/>
    <x v="0"/>
  </r>
  <r>
    <n v="0"/>
    <x v="0"/>
    <n v="54"/>
    <x v="1"/>
    <n v="2"/>
    <n v="2"/>
    <s v="Secondary"/>
    <x v="0"/>
    <n v="0"/>
    <n v="0"/>
    <n v="0"/>
    <x v="1"/>
    <n v="0"/>
    <x v="0"/>
    <n v="0"/>
    <n v="1"/>
    <n v="0"/>
    <n v="252"/>
    <n v="252"/>
    <x v="0"/>
    <n v="146"/>
    <n v="87"/>
    <n v="33.11"/>
    <n v="33.11"/>
    <x v="2"/>
    <n v="90"/>
    <n v="90"/>
    <n v="100"/>
    <n v="100"/>
    <x v="0"/>
    <x v="0"/>
  </r>
  <r>
    <n v="1"/>
    <x v="1"/>
    <n v="54"/>
    <x v="1"/>
    <n v="1"/>
    <n v="1"/>
    <s v="Primary"/>
    <x v="2"/>
    <n v="1"/>
    <n v="30"/>
    <n v="30"/>
    <x v="0"/>
    <n v="0"/>
    <x v="0"/>
    <n v="0"/>
    <n v="1"/>
    <n v="0"/>
    <n v="177"/>
    <n v="177"/>
    <x v="1"/>
    <n v="162.5"/>
    <n v="99.5"/>
    <n v="22.97"/>
    <n v="22.97"/>
    <x v="1"/>
    <n v="65"/>
    <n v="65"/>
    <n v="93"/>
    <n v="93"/>
    <x v="0"/>
    <x v="1"/>
  </r>
  <r>
    <n v="0"/>
    <x v="0"/>
    <n v="54"/>
    <x v="1"/>
    <n v="2"/>
    <n v="2"/>
    <s v="Secondary"/>
    <x v="0"/>
    <n v="0"/>
    <n v="0"/>
    <n v="0"/>
    <x v="1"/>
    <n v="0"/>
    <x v="0"/>
    <n v="0"/>
    <n v="0"/>
    <n v="0"/>
    <n v="243"/>
    <n v="243"/>
    <x v="0"/>
    <n v="147.5"/>
    <n v="86.5"/>
    <n v="26.42"/>
    <n v="26.42"/>
    <x v="0"/>
    <n v="64"/>
    <n v="64"/>
    <s v="NA"/>
    <n v="81.96365524402907"/>
    <x v="0"/>
    <x v="0"/>
  </r>
  <r>
    <n v="1"/>
    <x v="1"/>
    <n v="54"/>
    <x v="1"/>
    <n v="3"/>
    <n v="3"/>
    <s v="Graduate"/>
    <x v="1"/>
    <n v="1"/>
    <n v="6"/>
    <n v="6"/>
    <x v="0"/>
    <n v="0"/>
    <x v="0"/>
    <n v="0"/>
    <n v="0"/>
    <n v="0"/>
    <n v="260"/>
    <n v="260"/>
    <x v="0"/>
    <n v="116"/>
    <n v="86"/>
    <n v="24.05"/>
    <n v="24.05"/>
    <x v="1"/>
    <n v="85"/>
    <n v="85"/>
    <n v="85"/>
    <n v="85"/>
    <x v="0"/>
    <x v="0"/>
  </r>
  <r>
    <n v="0"/>
    <x v="0"/>
    <n v="54"/>
    <x v="1"/>
    <n v="2"/>
    <n v="2"/>
    <s v="Secondary"/>
    <x v="0"/>
    <n v="0"/>
    <n v="0"/>
    <n v="0"/>
    <x v="1"/>
    <n v="0"/>
    <x v="0"/>
    <n v="0"/>
    <n v="0"/>
    <n v="0"/>
    <n v="240"/>
    <n v="240"/>
    <x v="1"/>
    <n v="125"/>
    <n v="87"/>
    <n v="28.76"/>
    <n v="28.76"/>
    <x v="0"/>
    <n v="76"/>
    <n v="76"/>
    <n v="76"/>
    <n v="76"/>
    <x v="0"/>
    <x v="1"/>
  </r>
  <r>
    <n v="1"/>
    <x v="1"/>
    <n v="54"/>
    <x v="1"/>
    <n v="2"/>
    <n v="2"/>
    <s v="Secondary"/>
    <x v="0"/>
    <n v="1"/>
    <n v="3"/>
    <n v="3"/>
    <x v="0"/>
    <n v="0"/>
    <x v="0"/>
    <n v="0"/>
    <n v="1"/>
    <n v="0"/>
    <n v="279"/>
    <n v="279"/>
    <x v="0"/>
    <n v="155"/>
    <n v="105"/>
    <n v="26.47"/>
    <n v="26.47"/>
    <x v="0"/>
    <n v="78"/>
    <n v="78"/>
    <n v="66"/>
    <n v="66"/>
    <x v="0"/>
    <x v="0"/>
  </r>
  <r>
    <n v="1"/>
    <x v="1"/>
    <n v="54"/>
    <x v="1"/>
    <n v="4"/>
    <n v="4"/>
    <s v="Post Graduate"/>
    <x v="3"/>
    <n v="0"/>
    <n v="0"/>
    <n v="0"/>
    <x v="1"/>
    <n v="0"/>
    <x v="0"/>
    <n v="0"/>
    <n v="0"/>
    <n v="0"/>
    <n v="265"/>
    <n v="265"/>
    <x v="0"/>
    <n v="121"/>
    <n v="82"/>
    <n v="23.52"/>
    <n v="23.52"/>
    <x v="1"/>
    <n v="60"/>
    <n v="60"/>
    <n v="67"/>
    <n v="67"/>
    <x v="0"/>
    <x v="0"/>
  </r>
  <r>
    <n v="0"/>
    <x v="0"/>
    <n v="54"/>
    <x v="1"/>
    <n v="1"/>
    <n v="1"/>
    <s v="Primary"/>
    <x v="2"/>
    <n v="0"/>
    <n v="0"/>
    <n v="0"/>
    <x v="1"/>
    <n v="0"/>
    <x v="0"/>
    <n v="0"/>
    <n v="0"/>
    <n v="0"/>
    <n v="197"/>
    <n v="197"/>
    <x v="1"/>
    <n v="138"/>
    <n v="80"/>
    <n v="31.82"/>
    <n v="31.82"/>
    <x v="2"/>
    <n v="72"/>
    <n v="72"/>
    <n v="73"/>
    <n v="73"/>
    <x v="0"/>
    <x v="0"/>
  </r>
  <r>
    <n v="1"/>
    <x v="1"/>
    <n v="54"/>
    <x v="1"/>
    <n v="3"/>
    <n v="3"/>
    <s v="Graduate"/>
    <x v="1"/>
    <n v="1"/>
    <n v="40"/>
    <n v="40"/>
    <x v="0"/>
    <n v="0"/>
    <x v="0"/>
    <n v="0"/>
    <n v="0"/>
    <n v="0"/>
    <n v="250"/>
    <n v="250"/>
    <x v="0"/>
    <n v="114"/>
    <n v="82"/>
    <n v="24.39"/>
    <n v="24.39"/>
    <x v="1"/>
    <n v="65"/>
    <n v="65"/>
    <n v="62"/>
    <n v="62"/>
    <x v="0"/>
    <x v="0"/>
  </r>
  <r>
    <n v="0"/>
    <x v="0"/>
    <n v="54"/>
    <x v="1"/>
    <n v="2"/>
    <n v="2"/>
    <s v="Secondary"/>
    <x v="0"/>
    <n v="0"/>
    <n v="0"/>
    <n v="0"/>
    <x v="1"/>
    <n v="0"/>
    <x v="0"/>
    <n v="0"/>
    <n v="1"/>
    <n v="0"/>
    <n v="320"/>
    <n v="320"/>
    <x v="0"/>
    <n v="165"/>
    <n v="84"/>
    <n v="38.31"/>
    <n v="38.31"/>
    <x v="2"/>
    <n v="80"/>
    <n v="80"/>
    <n v="99"/>
    <n v="99"/>
    <x v="0"/>
    <x v="0"/>
  </r>
  <r>
    <n v="1"/>
    <x v="1"/>
    <n v="54"/>
    <x v="1"/>
    <n v="1"/>
    <n v="1"/>
    <s v="Primary"/>
    <x v="2"/>
    <n v="0"/>
    <n v="0"/>
    <n v="0"/>
    <x v="1"/>
    <n v="0"/>
    <x v="0"/>
    <n v="0"/>
    <n v="0"/>
    <n v="0"/>
    <n v="250"/>
    <n v="250"/>
    <x v="0"/>
    <n v="123"/>
    <n v="75"/>
    <n v="25.91"/>
    <n v="25.91"/>
    <x v="0"/>
    <n v="65"/>
    <n v="65"/>
    <n v="71"/>
    <n v="71"/>
    <x v="0"/>
    <x v="0"/>
  </r>
  <r>
    <n v="0"/>
    <x v="0"/>
    <n v="54"/>
    <x v="1"/>
    <n v="1"/>
    <n v="1"/>
    <s v="Primary"/>
    <x v="2"/>
    <n v="1"/>
    <n v="5"/>
    <n v="5"/>
    <x v="0"/>
    <n v="0"/>
    <x v="0"/>
    <n v="0"/>
    <n v="0"/>
    <n v="0"/>
    <n v="267"/>
    <n v="267"/>
    <x v="0"/>
    <n v="115"/>
    <n v="72.5"/>
    <n v="20.72"/>
    <n v="20.72"/>
    <x v="1"/>
    <n v="70"/>
    <n v="70"/>
    <s v="NA"/>
    <n v="81.96365524402907"/>
    <x v="0"/>
    <x v="0"/>
  </r>
  <r>
    <n v="0"/>
    <x v="0"/>
    <n v="54"/>
    <x v="1"/>
    <n v="3"/>
    <n v="3"/>
    <s v="Graduate"/>
    <x v="1"/>
    <n v="0"/>
    <n v="0"/>
    <n v="0"/>
    <x v="1"/>
    <n v="0"/>
    <x v="0"/>
    <n v="0"/>
    <n v="0"/>
    <n v="0"/>
    <n v="230"/>
    <n v="230"/>
    <x v="1"/>
    <n v="135"/>
    <n v="85"/>
    <n v="19.18"/>
    <n v="19.18"/>
    <x v="1"/>
    <n v="86"/>
    <n v="86"/>
    <n v="89"/>
    <n v="89"/>
    <x v="0"/>
    <x v="0"/>
  </r>
  <r>
    <n v="1"/>
    <x v="1"/>
    <n v="54"/>
    <x v="1"/>
    <n v="1"/>
    <n v="1"/>
    <s v="Primary"/>
    <x v="2"/>
    <n v="1"/>
    <n v="3"/>
    <n v="3"/>
    <x v="0"/>
    <n v="0"/>
    <x v="0"/>
    <n v="0"/>
    <n v="0"/>
    <n v="0"/>
    <n v="173"/>
    <n v="173"/>
    <x v="1"/>
    <n v="121"/>
    <n v="79"/>
    <n v="26.21"/>
    <n v="26.21"/>
    <x v="0"/>
    <n v="75"/>
    <n v="75"/>
    <n v="68"/>
    <n v="68"/>
    <x v="0"/>
    <x v="0"/>
  </r>
  <r>
    <n v="0"/>
    <x v="0"/>
    <n v="54"/>
    <x v="1"/>
    <n v="1"/>
    <n v="1"/>
    <s v="Primary"/>
    <x v="2"/>
    <n v="0"/>
    <n v="0"/>
    <n v="0"/>
    <x v="1"/>
    <n v="0"/>
    <x v="0"/>
    <n v="0"/>
    <n v="0"/>
    <n v="0"/>
    <n v="241"/>
    <n v="241"/>
    <x v="0"/>
    <n v="106"/>
    <n v="77"/>
    <n v="27.64"/>
    <n v="27.64"/>
    <x v="0"/>
    <n v="78"/>
    <n v="78"/>
    <n v="74"/>
    <n v="74"/>
    <x v="0"/>
    <x v="0"/>
  </r>
  <r>
    <n v="0"/>
    <x v="0"/>
    <n v="54"/>
    <x v="1"/>
    <n v="1"/>
    <n v="1"/>
    <s v="Primary"/>
    <x v="2"/>
    <n v="0"/>
    <n v="0"/>
    <n v="0"/>
    <x v="1"/>
    <n v="0"/>
    <x v="0"/>
    <n v="0"/>
    <n v="1"/>
    <n v="0"/>
    <n v="207"/>
    <n v="207"/>
    <x v="1"/>
    <n v="158"/>
    <n v="89"/>
    <n v="31.44"/>
    <n v="31.44"/>
    <x v="2"/>
    <n v="67"/>
    <n v="67"/>
    <n v="112"/>
    <n v="112"/>
    <x v="0"/>
    <x v="0"/>
  </r>
  <r>
    <n v="0"/>
    <x v="0"/>
    <n v="54"/>
    <x v="1"/>
    <n v="2"/>
    <n v="2"/>
    <s v="Secondary"/>
    <x v="0"/>
    <n v="1"/>
    <n v="15"/>
    <n v="15"/>
    <x v="0"/>
    <n v="0"/>
    <x v="0"/>
    <n v="0"/>
    <n v="1"/>
    <n v="0"/>
    <n v="262"/>
    <n v="262"/>
    <x v="0"/>
    <n v="230"/>
    <n v="110"/>
    <n v="24.76"/>
    <n v="24.76"/>
    <x v="1"/>
    <n v="93"/>
    <n v="93"/>
    <n v="97"/>
    <n v="97"/>
    <x v="0"/>
    <x v="0"/>
  </r>
  <r>
    <n v="1"/>
    <x v="1"/>
    <n v="54"/>
    <x v="1"/>
    <n v="1"/>
    <n v="1"/>
    <s v="Primary"/>
    <x v="2"/>
    <n v="1"/>
    <n v="20"/>
    <n v="20"/>
    <x v="0"/>
    <n v="0"/>
    <x v="0"/>
    <n v="0"/>
    <n v="0"/>
    <n v="0"/>
    <n v="235"/>
    <n v="235"/>
    <x v="1"/>
    <n v="143"/>
    <n v="75"/>
    <n v="32.99"/>
    <n v="32.99"/>
    <x v="2"/>
    <n v="85"/>
    <n v="85"/>
    <n v="102"/>
    <n v="102"/>
    <x v="0"/>
    <x v="0"/>
  </r>
  <r>
    <n v="1"/>
    <x v="1"/>
    <n v="54"/>
    <x v="1"/>
    <n v="3"/>
    <n v="3"/>
    <s v="Graduate"/>
    <x v="1"/>
    <n v="1"/>
    <n v="25"/>
    <n v="25"/>
    <x v="0"/>
    <n v="0"/>
    <x v="0"/>
    <n v="0"/>
    <n v="0"/>
    <n v="0"/>
    <n v="208"/>
    <n v="208"/>
    <x v="1"/>
    <n v="137.5"/>
    <n v="82.5"/>
    <n v="25.58"/>
    <n v="25.58"/>
    <x v="0"/>
    <n v="75"/>
    <n v="75"/>
    <n v="63"/>
    <n v="63"/>
    <x v="0"/>
    <x v="1"/>
  </r>
  <r>
    <n v="0"/>
    <x v="0"/>
    <n v="54"/>
    <x v="1"/>
    <n v="1"/>
    <n v="1"/>
    <s v="Primary"/>
    <x v="2"/>
    <n v="1"/>
    <n v="10"/>
    <n v="10"/>
    <x v="0"/>
    <n v="0"/>
    <x v="0"/>
    <n v="0"/>
    <n v="0"/>
    <n v="0"/>
    <n v="240"/>
    <n v="240"/>
    <x v="1"/>
    <n v="113"/>
    <n v="73"/>
    <n v="24.21"/>
    <n v="24.21"/>
    <x v="1"/>
    <n v="80"/>
    <n v="80"/>
    <n v="77"/>
    <n v="77"/>
    <x v="0"/>
    <x v="0"/>
  </r>
  <r>
    <n v="0"/>
    <x v="0"/>
    <n v="54"/>
    <x v="1"/>
    <n v="1"/>
    <n v="1"/>
    <s v="Primary"/>
    <x v="2"/>
    <n v="0"/>
    <n v="0"/>
    <n v="0"/>
    <x v="1"/>
    <n v="0"/>
    <x v="0"/>
    <n v="0"/>
    <n v="0"/>
    <n v="1"/>
    <n v="223"/>
    <n v="223"/>
    <x v="1"/>
    <n v="110"/>
    <n v="67.5"/>
    <n v="21.22"/>
    <n v="21.22"/>
    <x v="1"/>
    <n v="78"/>
    <n v="78"/>
    <n v="294"/>
    <n v="294"/>
    <x v="0"/>
    <x v="0"/>
  </r>
  <r>
    <n v="1"/>
    <x v="1"/>
    <n v="54"/>
    <x v="1"/>
    <n v="4"/>
    <n v="4"/>
    <s v="Post Graduate"/>
    <x v="3"/>
    <n v="1"/>
    <n v="30"/>
    <n v="30"/>
    <x v="0"/>
    <s v="NA"/>
    <x v="0"/>
    <n v="0"/>
    <n v="1"/>
    <n v="0"/>
    <n v="234"/>
    <n v="234"/>
    <x v="1"/>
    <n v="152.5"/>
    <n v="80"/>
    <n v="23.5"/>
    <n v="23.5"/>
    <x v="1"/>
    <n v="75"/>
    <n v="75"/>
    <n v="75"/>
    <n v="75"/>
    <x v="1"/>
    <x v="0"/>
  </r>
  <r>
    <n v="0"/>
    <x v="0"/>
    <n v="54"/>
    <x v="1"/>
    <n v="2"/>
    <n v="2"/>
    <s v="Secondary"/>
    <x v="0"/>
    <n v="1"/>
    <n v="20"/>
    <n v="20"/>
    <x v="0"/>
    <n v="1"/>
    <x v="1"/>
    <n v="0"/>
    <n v="1"/>
    <n v="0"/>
    <n v="325"/>
    <n v="325"/>
    <x v="0"/>
    <n v="170"/>
    <n v="107"/>
    <n v="25.07"/>
    <n v="25.07"/>
    <x v="0"/>
    <n v="90"/>
    <n v="90"/>
    <n v="64"/>
    <n v="64"/>
    <x v="0"/>
    <x v="0"/>
  </r>
  <r>
    <n v="1"/>
    <x v="1"/>
    <n v="54"/>
    <x v="1"/>
    <n v="3"/>
    <n v="3"/>
    <s v="Graduate"/>
    <x v="1"/>
    <n v="1"/>
    <n v="30"/>
    <n v="30"/>
    <x v="0"/>
    <n v="0"/>
    <x v="0"/>
    <n v="0"/>
    <n v="1"/>
    <n v="0"/>
    <n v="267"/>
    <n v="267"/>
    <x v="0"/>
    <n v="141.5"/>
    <n v="91"/>
    <n v="25.36"/>
    <n v="25.36"/>
    <x v="0"/>
    <n v="92"/>
    <n v="92"/>
    <n v="87"/>
    <n v="87"/>
    <x v="0"/>
    <x v="1"/>
  </r>
  <r>
    <n v="0"/>
    <x v="0"/>
    <n v="54"/>
    <x v="1"/>
    <n v="1"/>
    <n v="1"/>
    <s v="Primary"/>
    <x v="2"/>
    <n v="0"/>
    <n v="0"/>
    <n v="0"/>
    <x v="1"/>
    <n v="0"/>
    <x v="0"/>
    <n v="0"/>
    <n v="0"/>
    <n v="0"/>
    <n v="260"/>
    <n v="260"/>
    <x v="0"/>
    <n v="173"/>
    <n v="88"/>
    <n v="27.2"/>
    <n v="27.2"/>
    <x v="0"/>
    <n v="73"/>
    <n v="73"/>
    <n v="87"/>
    <n v="87"/>
    <x v="0"/>
    <x v="0"/>
  </r>
  <r>
    <n v="0"/>
    <x v="0"/>
    <n v="54"/>
    <x v="1"/>
    <n v="1"/>
    <n v="1"/>
    <s v="Primary"/>
    <x v="2"/>
    <n v="1"/>
    <n v="17"/>
    <n v="17"/>
    <x v="0"/>
    <n v="0"/>
    <x v="0"/>
    <n v="0"/>
    <n v="0"/>
    <n v="0"/>
    <n v="205"/>
    <n v="205"/>
    <x v="1"/>
    <n v="96"/>
    <n v="66"/>
    <n v="23.26"/>
    <n v="23.26"/>
    <x v="1"/>
    <n v="85"/>
    <n v="85"/>
    <n v="75"/>
    <n v="75"/>
    <x v="0"/>
    <x v="0"/>
  </r>
  <r>
    <n v="0"/>
    <x v="0"/>
    <n v="54"/>
    <x v="1"/>
    <n v="3"/>
    <n v="3"/>
    <s v="Graduate"/>
    <x v="1"/>
    <n v="0"/>
    <n v="0"/>
    <n v="0"/>
    <x v="1"/>
    <n v="0"/>
    <x v="0"/>
    <n v="0"/>
    <n v="0"/>
    <n v="0"/>
    <n v="238"/>
    <n v="238"/>
    <x v="1"/>
    <n v="136.5"/>
    <n v="85"/>
    <n v="24.96"/>
    <n v="24.96"/>
    <x v="1"/>
    <n v="80"/>
    <n v="80"/>
    <n v="71"/>
    <n v="71"/>
    <x v="0"/>
    <x v="0"/>
  </r>
  <r>
    <n v="0"/>
    <x v="0"/>
    <n v="54"/>
    <x v="1"/>
    <n v="2"/>
    <n v="2"/>
    <s v="Secondary"/>
    <x v="0"/>
    <n v="1"/>
    <n v="10"/>
    <n v="10"/>
    <x v="0"/>
    <n v="0"/>
    <x v="0"/>
    <n v="0"/>
    <n v="1"/>
    <n v="0"/>
    <n v="246"/>
    <n v="246"/>
    <x v="0"/>
    <n v="153"/>
    <n v="80"/>
    <n v="37.299999999999997"/>
    <n v="37.299999999999997"/>
    <x v="2"/>
    <n v="92"/>
    <n v="92"/>
    <n v="74"/>
    <n v="74"/>
    <x v="0"/>
    <x v="0"/>
  </r>
  <r>
    <n v="1"/>
    <x v="1"/>
    <n v="54"/>
    <x v="1"/>
    <n v="3"/>
    <n v="3"/>
    <s v="Graduate"/>
    <x v="1"/>
    <n v="1"/>
    <n v="20"/>
    <n v="20"/>
    <x v="0"/>
    <n v="0"/>
    <x v="0"/>
    <n v="0"/>
    <n v="1"/>
    <n v="0"/>
    <n v="298"/>
    <n v="298"/>
    <x v="0"/>
    <n v="133"/>
    <n v="84"/>
    <n v="25.59"/>
    <n v="25.59"/>
    <x v="0"/>
    <n v="90"/>
    <n v="90"/>
    <n v="94"/>
    <n v="94"/>
    <x v="0"/>
    <x v="0"/>
  </r>
  <r>
    <n v="0"/>
    <x v="0"/>
    <n v="54"/>
    <x v="1"/>
    <n v="1"/>
    <n v="1"/>
    <s v="Primary"/>
    <x v="2"/>
    <n v="0"/>
    <n v="0"/>
    <n v="0"/>
    <x v="1"/>
    <n v="0"/>
    <x v="0"/>
    <n v="0"/>
    <n v="1"/>
    <n v="1"/>
    <n v="326"/>
    <n v="326"/>
    <x v="0"/>
    <n v="187"/>
    <n v="95"/>
    <n v="29.94"/>
    <n v="29.94"/>
    <x v="0"/>
    <n v="67"/>
    <n v="67"/>
    <n v="235"/>
    <n v="235"/>
    <x v="0"/>
    <x v="0"/>
  </r>
  <r>
    <n v="1"/>
    <x v="1"/>
    <n v="54"/>
    <x v="1"/>
    <n v="2"/>
    <n v="2"/>
    <s v="Secondary"/>
    <x v="0"/>
    <n v="1"/>
    <n v="40"/>
    <n v="40"/>
    <x v="0"/>
    <n v="0"/>
    <x v="0"/>
    <n v="0"/>
    <n v="0"/>
    <n v="0"/>
    <n v="245"/>
    <n v="245"/>
    <x v="0"/>
    <n v="152"/>
    <n v="82"/>
    <n v="23.71"/>
    <n v="23.71"/>
    <x v="1"/>
    <n v="75"/>
    <n v="75"/>
    <n v="75"/>
    <n v="75"/>
    <x v="0"/>
    <x v="0"/>
  </r>
  <r>
    <n v="1"/>
    <x v="1"/>
    <n v="54"/>
    <x v="1"/>
    <n v="1"/>
    <n v="1"/>
    <s v="Primary"/>
    <x v="2"/>
    <n v="1"/>
    <n v="20"/>
    <n v="20"/>
    <x v="0"/>
    <n v="0"/>
    <x v="0"/>
    <n v="0"/>
    <n v="1"/>
    <n v="0"/>
    <n v="299"/>
    <n v="299"/>
    <x v="0"/>
    <n v="146.5"/>
    <n v="92"/>
    <n v="26.38"/>
    <n v="26.38"/>
    <x v="0"/>
    <n v="100"/>
    <n v="100"/>
    <n v="71"/>
    <n v="71"/>
    <x v="0"/>
    <x v="1"/>
  </r>
  <r>
    <n v="0"/>
    <x v="0"/>
    <n v="54"/>
    <x v="1"/>
    <n v="2"/>
    <n v="2"/>
    <s v="Secondary"/>
    <x v="0"/>
    <n v="0"/>
    <n v="0"/>
    <n v="0"/>
    <x v="1"/>
    <n v="0"/>
    <x v="0"/>
    <n v="0"/>
    <n v="1"/>
    <n v="0"/>
    <n v="302"/>
    <n v="302"/>
    <x v="0"/>
    <n v="210"/>
    <n v="127.5"/>
    <n v="31.98"/>
    <n v="31.98"/>
    <x v="2"/>
    <n v="68"/>
    <n v="68"/>
    <n v="79"/>
    <n v="79"/>
    <x v="0"/>
    <x v="0"/>
  </r>
  <r>
    <n v="0"/>
    <x v="0"/>
    <n v="54"/>
    <x v="1"/>
    <n v="1"/>
    <n v="1"/>
    <s v="Primary"/>
    <x v="2"/>
    <n v="0"/>
    <n v="0"/>
    <n v="0"/>
    <x v="1"/>
    <n v="0"/>
    <x v="0"/>
    <n v="0"/>
    <n v="0"/>
    <n v="0"/>
    <n v="207"/>
    <n v="207"/>
    <x v="1"/>
    <n v="137.5"/>
    <n v="89"/>
    <n v="25.43"/>
    <n v="25.43"/>
    <x v="0"/>
    <n v="63"/>
    <n v="63"/>
    <n v="72"/>
    <n v="72"/>
    <x v="0"/>
    <x v="0"/>
  </r>
  <r>
    <n v="1"/>
    <x v="1"/>
    <n v="54"/>
    <x v="1"/>
    <n v="2"/>
    <n v="2"/>
    <s v="Secondary"/>
    <x v="0"/>
    <n v="1"/>
    <n v="20"/>
    <n v="20"/>
    <x v="0"/>
    <n v="0"/>
    <x v="0"/>
    <n v="0"/>
    <n v="0"/>
    <n v="0"/>
    <n v="261"/>
    <n v="261"/>
    <x v="0"/>
    <n v="117"/>
    <n v="74"/>
    <n v="20.88"/>
    <n v="20.88"/>
    <x v="1"/>
    <n v="80"/>
    <n v="80"/>
    <n v="77"/>
    <n v="77"/>
    <x v="0"/>
    <x v="1"/>
  </r>
  <r>
    <n v="0"/>
    <x v="0"/>
    <n v="55"/>
    <x v="2"/>
    <n v="2"/>
    <n v="2"/>
    <s v="Secondary"/>
    <x v="0"/>
    <n v="0"/>
    <n v="0"/>
    <n v="0"/>
    <x v="1"/>
    <n v="0"/>
    <x v="0"/>
    <n v="0"/>
    <n v="1"/>
    <n v="0"/>
    <n v="183"/>
    <n v="183"/>
    <x v="1"/>
    <n v="158"/>
    <n v="86"/>
    <n v="24.45"/>
    <n v="24.45"/>
    <x v="1"/>
    <n v="70"/>
    <n v="70"/>
    <n v="102"/>
    <n v="102"/>
    <x v="0"/>
    <x v="0"/>
  </r>
  <r>
    <n v="0"/>
    <x v="0"/>
    <n v="55"/>
    <x v="2"/>
    <n v="1"/>
    <n v="1"/>
    <s v="Primary"/>
    <x v="2"/>
    <n v="0"/>
    <n v="0"/>
    <n v="0"/>
    <x v="1"/>
    <n v="0"/>
    <x v="0"/>
    <n v="0"/>
    <n v="0"/>
    <n v="0"/>
    <n v="286"/>
    <n v="286"/>
    <x v="0"/>
    <n v="138"/>
    <n v="82"/>
    <n v="24.27"/>
    <n v="24.27"/>
    <x v="1"/>
    <n v="80"/>
    <n v="80"/>
    <n v="90"/>
    <n v="90"/>
    <x v="0"/>
    <x v="1"/>
  </r>
  <r>
    <n v="0"/>
    <x v="0"/>
    <n v="55"/>
    <x v="2"/>
    <n v="1"/>
    <n v="1"/>
    <s v="Primary"/>
    <x v="2"/>
    <n v="1"/>
    <n v="4"/>
    <n v="4"/>
    <x v="0"/>
    <n v="0"/>
    <x v="0"/>
    <n v="0"/>
    <n v="0"/>
    <n v="0"/>
    <n v="308"/>
    <n v="308"/>
    <x v="0"/>
    <n v="124"/>
    <n v="76"/>
    <n v="27.23"/>
    <n v="27.23"/>
    <x v="0"/>
    <n v="75"/>
    <n v="75"/>
    <n v="68"/>
    <n v="68"/>
    <x v="0"/>
    <x v="0"/>
  </r>
  <r>
    <n v="0"/>
    <x v="0"/>
    <n v="55"/>
    <x v="2"/>
    <n v="1"/>
    <n v="1"/>
    <s v="Primary"/>
    <x v="2"/>
    <n v="0"/>
    <n v="0"/>
    <n v="0"/>
    <x v="1"/>
    <n v="0"/>
    <x v="0"/>
    <n v="0"/>
    <n v="0"/>
    <n v="0"/>
    <n v="245"/>
    <n v="245"/>
    <x v="0"/>
    <n v="144.5"/>
    <n v="83.5"/>
    <n v="28.96"/>
    <n v="28.96"/>
    <x v="0"/>
    <n v="72"/>
    <n v="72"/>
    <n v="65"/>
    <n v="65"/>
    <x v="0"/>
    <x v="0"/>
  </r>
  <r>
    <n v="0"/>
    <x v="0"/>
    <n v="55"/>
    <x v="2"/>
    <n v="2"/>
    <n v="2"/>
    <s v="Secondary"/>
    <x v="0"/>
    <n v="1"/>
    <n v="9"/>
    <n v="9"/>
    <x v="0"/>
    <n v="0"/>
    <x v="0"/>
    <n v="0"/>
    <n v="0"/>
    <n v="0"/>
    <n v="248"/>
    <n v="248"/>
    <x v="0"/>
    <n v="157"/>
    <n v="82.5"/>
    <n v="22.91"/>
    <n v="22.91"/>
    <x v="1"/>
    <n v="89"/>
    <n v="89"/>
    <n v="83"/>
    <n v="83"/>
    <x v="0"/>
    <x v="0"/>
  </r>
  <r>
    <n v="0"/>
    <x v="0"/>
    <n v="55"/>
    <x v="2"/>
    <n v="1"/>
    <n v="1"/>
    <s v="Primary"/>
    <x v="2"/>
    <n v="0"/>
    <n v="0"/>
    <n v="0"/>
    <x v="1"/>
    <n v="0"/>
    <x v="0"/>
    <n v="0"/>
    <n v="0"/>
    <n v="0"/>
    <n v="291"/>
    <n v="291"/>
    <x v="0"/>
    <n v="124"/>
    <n v="85"/>
    <n v="26.89"/>
    <n v="26.89"/>
    <x v="0"/>
    <n v="75"/>
    <n v="75"/>
    <n v="80"/>
    <n v="80"/>
    <x v="0"/>
    <x v="0"/>
  </r>
  <r>
    <n v="0"/>
    <x v="0"/>
    <n v="55"/>
    <x v="2"/>
    <n v="3"/>
    <n v="3"/>
    <s v="Graduate"/>
    <x v="1"/>
    <n v="1"/>
    <n v="1"/>
    <n v="1"/>
    <x v="0"/>
    <n v="0"/>
    <x v="0"/>
    <n v="0"/>
    <n v="0"/>
    <n v="0"/>
    <n v="273"/>
    <n v="273"/>
    <x v="0"/>
    <n v="122"/>
    <n v="84"/>
    <n v="27.15"/>
    <n v="27.15"/>
    <x v="0"/>
    <n v="75"/>
    <n v="75"/>
    <n v="97"/>
    <n v="97"/>
    <x v="0"/>
    <x v="1"/>
  </r>
  <r>
    <n v="1"/>
    <x v="1"/>
    <n v="55"/>
    <x v="2"/>
    <n v="2"/>
    <n v="2"/>
    <s v="Secondary"/>
    <x v="0"/>
    <n v="1"/>
    <n v="5"/>
    <n v="5"/>
    <x v="0"/>
    <n v="0"/>
    <x v="0"/>
    <n v="0"/>
    <n v="0"/>
    <n v="0"/>
    <n v="342"/>
    <n v="342"/>
    <x v="0"/>
    <n v="107.5"/>
    <n v="73"/>
    <n v="21.97"/>
    <n v="21.97"/>
    <x v="1"/>
    <n v="54"/>
    <n v="54"/>
    <n v="74"/>
    <n v="74"/>
    <x v="0"/>
    <x v="0"/>
  </r>
  <r>
    <n v="0"/>
    <x v="0"/>
    <n v="55"/>
    <x v="2"/>
    <n v="1"/>
    <n v="1"/>
    <s v="Primary"/>
    <x v="2"/>
    <n v="0"/>
    <n v="0"/>
    <n v="0"/>
    <x v="1"/>
    <n v="0"/>
    <x v="0"/>
    <n v="0"/>
    <n v="1"/>
    <n v="0"/>
    <n v="219"/>
    <n v="219"/>
    <x v="1"/>
    <n v="140"/>
    <n v="93"/>
    <n v="27.78"/>
    <n v="27.78"/>
    <x v="0"/>
    <n v="75"/>
    <n v="75"/>
    <n v="70"/>
    <n v="70"/>
    <x v="0"/>
    <x v="0"/>
  </r>
  <r>
    <n v="0"/>
    <x v="0"/>
    <n v="55"/>
    <x v="2"/>
    <n v="1"/>
    <n v="1"/>
    <s v="Primary"/>
    <x v="2"/>
    <n v="0"/>
    <n v="0"/>
    <n v="0"/>
    <x v="1"/>
    <n v="0"/>
    <x v="0"/>
    <n v="0"/>
    <n v="0"/>
    <n v="0"/>
    <n v="220"/>
    <n v="220"/>
    <x v="1"/>
    <n v="117.5"/>
    <n v="84"/>
    <n v="26.2"/>
    <n v="26.2"/>
    <x v="0"/>
    <n v="90"/>
    <n v="90"/>
    <s v="NA"/>
    <n v="81.96365524402907"/>
    <x v="0"/>
    <x v="0"/>
  </r>
  <r>
    <n v="0"/>
    <x v="0"/>
    <n v="55"/>
    <x v="2"/>
    <n v="1"/>
    <n v="1"/>
    <s v="Primary"/>
    <x v="2"/>
    <n v="0"/>
    <n v="0"/>
    <n v="0"/>
    <x v="1"/>
    <n v="0"/>
    <x v="0"/>
    <n v="0"/>
    <n v="0"/>
    <n v="0"/>
    <n v="282"/>
    <n v="282"/>
    <x v="0"/>
    <n v="158.5"/>
    <n v="81"/>
    <n v="30.24"/>
    <n v="30.24"/>
    <x v="2"/>
    <n v="54"/>
    <n v="54"/>
    <n v="70"/>
    <n v="70"/>
    <x v="0"/>
    <x v="0"/>
  </r>
  <r>
    <n v="0"/>
    <x v="0"/>
    <n v="55"/>
    <x v="2"/>
    <n v="2"/>
    <n v="2"/>
    <s v="Secondary"/>
    <x v="0"/>
    <n v="0"/>
    <n v="0"/>
    <n v="0"/>
    <x v="1"/>
    <n v="1"/>
    <x v="1"/>
    <n v="0"/>
    <n v="1"/>
    <n v="0"/>
    <n v="368"/>
    <n v="368"/>
    <x v="0"/>
    <n v="204"/>
    <n v="94"/>
    <n v="25.2"/>
    <n v="25.2"/>
    <x v="0"/>
    <n v="100"/>
    <n v="100"/>
    <n v="81"/>
    <n v="81"/>
    <x v="0"/>
    <x v="0"/>
  </r>
  <r>
    <n v="1"/>
    <x v="1"/>
    <n v="55"/>
    <x v="2"/>
    <n v="4"/>
    <n v="4"/>
    <s v="Post Graduate"/>
    <x v="3"/>
    <n v="0"/>
    <n v="0"/>
    <n v="0"/>
    <x v="1"/>
    <n v="0"/>
    <x v="0"/>
    <n v="0"/>
    <n v="1"/>
    <n v="0"/>
    <n v="239"/>
    <n v="239"/>
    <x v="1"/>
    <n v="159"/>
    <n v="102"/>
    <n v="32.35"/>
    <n v="32.35"/>
    <x v="2"/>
    <n v="75"/>
    <n v="75"/>
    <n v="71"/>
    <n v="71"/>
    <x v="0"/>
    <x v="1"/>
  </r>
  <r>
    <n v="0"/>
    <x v="0"/>
    <n v="55"/>
    <x v="2"/>
    <n v="4"/>
    <n v="4"/>
    <s v="Post Graduate"/>
    <x v="3"/>
    <n v="0"/>
    <n v="0"/>
    <n v="0"/>
    <x v="1"/>
    <n v="0"/>
    <x v="0"/>
    <n v="0"/>
    <n v="0"/>
    <n v="0"/>
    <n v="258"/>
    <n v="258"/>
    <x v="0"/>
    <n v="123"/>
    <n v="89"/>
    <n v="31.35"/>
    <n v="31.35"/>
    <x v="2"/>
    <n v="85"/>
    <n v="85"/>
    <n v="84"/>
    <n v="84"/>
    <x v="0"/>
    <x v="0"/>
  </r>
  <r>
    <n v="0"/>
    <x v="0"/>
    <n v="55"/>
    <x v="2"/>
    <n v="3"/>
    <n v="3"/>
    <s v="Graduate"/>
    <x v="1"/>
    <n v="0"/>
    <n v="0"/>
    <n v="0"/>
    <x v="1"/>
    <n v="0"/>
    <x v="0"/>
    <n v="0"/>
    <n v="1"/>
    <n v="0"/>
    <n v="308"/>
    <n v="308"/>
    <x v="0"/>
    <n v="124"/>
    <n v="87"/>
    <n v="31.82"/>
    <n v="31.82"/>
    <x v="2"/>
    <n v="75"/>
    <n v="75"/>
    <n v="84"/>
    <n v="84"/>
    <x v="0"/>
    <x v="0"/>
  </r>
  <r>
    <n v="0"/>
    <x v="0"/>
    <n v="55"/>
    <x v="2"/>
    <n v="2"/>
    <n v="2"/>
    <s v="Secondary"/>
    <x v="0"/>
    <n v="1"/>
    <n v="3"/>
    <n v="3"/>
    <x v="0"/>
    <n v="0"/>
    <x v="0"/>
    <n v="0"/>
    <n v="1"/>
    <n v="0"/>
    <n v="323"/>
    <n v="323"/>
    <x v="0"/>
    <n v="197"/>
    <n v="118"/>
    <n v="27.51"/>
    <n v="27.51"/>
    <x v="0"/>
    <n v="80"/>
    <n v="80"/>
    <n v="112"/>
    <n v="112"/>
    <x v="0"/>
    <x v="0"/>
  </r>
  <r>
    <n v="0"/>
    <x v="0"/>
    <n v="55"/>
    <x v="2"/>
    <n v="3"/>
    <n v="3"/>
    <s v="Graduate"/>
    <x v="1"/>
    <n v="0"/>
    <n v="0"/>
    <n v="0"/>
    <x v="1"/>
    <n v="0"/>
    <x v="0"/>
    <n v="0"/>
    <n v="0"/>
    <n v="0"/>
    <n v="210"/>
    <n v="210"/>
    <x v="1"/>
    <n v="112"/>
    <n v="76"/>
    <n v="20.53"/>
    <n v="20.53"/>
    <x v="1"/>
    <n v="71"/>
    <n v="71"/>
    <n v="65"/>
    <n v="65"/>
    <x v="0"/>
    <x v="0"/>
  </r>
  <r>
    <n v="1"/>
    <x v="1"/>
    <n v="55"/>
    <x v="2"/>
    <n v="1"/>
    <n v="1"/>
    <s v="Primary"/>
    <x v="2"/>
    <n v="0"/>
    <n v="0"/>
    <n v="0"/>
    <x v="1"/>
    <n v="0"/>
    <x v="0"/>
    <n v="0"/>
    <n v="0"/>
    <n v="0"/>
    <n v="227"/>
    <n v="227"/>
    <x v="1"/>
    <n v="129"/>
    <n v="81"/>
    <n v="26.57"/>
    <n v="26.57"/>
    <x v="0"/>
    <n v="55"/>
    <n v="55"/>
    <n v="74"/>
    <n v="74"/>
    <x v="0"/>
    <x v="0"/>
  </r>
  <r>
    <n v="0"/>
    <x v="0"/>
    <n v="55"/>
    <x v="2"/>
    <n v="1"/>
    <n v="1"/>
    <s v="Primary"/>
    <x v="2"/>
    <n v="1"/>
    <n v="20"/>
    <n v="20"/>
    <x v="0"/>
    <n v="0"/>
    <x v="0"/>
    <n v="0"/>
    <n v="1"/>
    <n v="0"/>
    <n v="233"/>
    <n v="233"/>
    <x v="1"/>
    <n v="128"/>
    <n v="94"/>
    <n v="36.619999999999997"/>
    <n v="36.619999999999997"/>
    <x v="2"/>
    <n v="80"/>
    <n v="80"/>
    <n v="95"/>
    <n v="95"/>
    <x v="0"/>
    <x v="1"/>
  </r>
  <r>
    <n v="0"/>
    <x v="0"/>
    <n v="55"/>
    <x v="2"/>
    <n v="1"/>
    <n v="1"/>
    <s v="Primary"/>
    <x v="2"/>
    <n v="0"/>
    <n v="0"/>
    <n v="0"/>
    <x v="1"/>
    <n v="0"/>
    <x v="0"/>
    <n v="0"/>
    <n v="0"/>
    <n v="0"/>
    <n v="278"/>
    <n v="278"/>
    <x v="0"/>
    <n v="125"/>
    <n v="80"/>
    <n v="26.27"/>
    <n v="26.27"/>
    <x v="0"/>
    <n v="64"/>
    <n v="64"/>
    <n v="78"/>
    <n v="78"/>
    <x v="0"/>
    <x v="0"/>
  </r>
  <r>
    <n v="0"/>
    <x v="0"/>
    <n v="55"/>
    <x v="2"/>
    <n v="1"/>
    <n v="1"/>
    <s v="Primary"/>
    <x v="2"/>
    <n v="0"/>
    <n v="0"/>
    <n v="0"/>
    <x v="1"/>
    <n v="0"/>
    <x v="0"/>
    <n v="0"/>
    <n v="0"/>
    <n v="0"/>
    <n v="330"/>
    <n v="330"/>
    <x v="0"/>
    <n v="103"/>
    <n v="73"/>
    <n v="24.5"/>
    <n v="24.5"/>
    <x v="1"/>
    <n v="85"/>
    <n v="85"/>
    <n v="67"/>
    <n v="67"/>
    <x v="0"/>
    <x v="0"/>
  </r>
  <r>
    <n v="1"/>
    <x v="1"/>
    <n v="55"/>
    <x v="2"/>
    <n v="2"/>
    <n v="2"/>
    <s v="Secondary"/>
    <x v="0"/>
    <n v="1"/>
    <n v="15"/>
    <n v="15"/>
    <x v="0"/>
    <n v="0"/>
    <x v="0"/>
    <n v="0"/>
    <n v="1"/>
    <n v="0"/>
    <n v="222"/>
    <n v="222"/>
    <x v="1"/>
    <n v="155"/>
    <n v="92.5"/>
    <n v="28.35"/>
    <n v="28.35"/>
    <x v="0"/>
    <n v="67"/>
    <n v="67"/>
    <n v="68"/>
    <n v="68"/>
    <x v="0"/>
    <x v="1"/>
  </r>
  <r>
    <n v="0"/>
    <x v="0"/>
    <n v="55"/>
    <x v="2"/>
    <n v="1"/>
    <n v="1"/>
    <s v="Primary"/>
    <x v="2"/>
    <n v="0"/>
    <n v="0"/>
    <n v="0"/>
    <x v="1"/>
    <n v="0"/>
    <x v="0"/>
    <n v="0"/>
    <n v="0"/>
    <n v="0"/>
    <n v="225"/>
    <n v="225"/>
    <x v="1"/>
    <n v="136.5"/>
    <n v="85.5"/>
    <n v="20.56"/>
    <n v="20.56"/>
    <x v="1"/>
    <n v="60"/>
    <n v="60"/>
    <n v="90"/>
    <n v="90"/>
    <x v="0"/>
    <x v="0"/>
  </r>
  <r>
    <n v="1"/>
    <x v="1"/>
    <n v="55"/>
    <x v="2"/>
    <n v="1"/>
    <n v="1"/>
    <s v="Primary"/>
    <x v="2"/>
    <n v="1"/>
    <n v="20"/>
    <n v="20"/>
    <x v="0"/>
    <n v="0"/>
    <x v="0"/>
    <n v="0"/>
    <n v="1"/>
    <n v="0"/>
    <n v="220"/>
    <n v="220"/>
    <x v="1"/>
    <n v="180"/>
    <n v="108"/>
    <n v="23.59"/>
    <n v="23.59"/>
    <x v="1"/>
    <n v="82"/>
    <n v="82"/>
    <n v="90"/>
    <n v="90"/>
    <x v="0"/>
    <x v="0"/>
  </r>
  <r>
    <n v="0"/>
    <x v="0"/>
    <n v="55"/>
    <x v="2"/>
    <n v="1"/>
    <n v="1"/>
    <s v="Primary"/>
    <x v="2"/>
    <n v="0"/>
    <n v="0"/>
    <n v="0"/>
    <x v="1"/>
    <n v="0"/>
    <x v="0"/>
    <n v="0"/>
    <n v="1"/>
    <n v="0"/>
    <n v="305"/>
    <n v="305"/>
    <x v="0"/>
    <n v="168"/>
    <n v="82"/>
    <n v="26.45"/>
    <n v="26.45"/>
    <x v="0"/>
    <n v="72"/>
    <n v="72"/>
    <n v="78"/>
    <n v="78"/>
    <x v="0"/>
    <x v="0"/>
  </r>
  <r>
    <n v="0"/>
    <x v="0"/>
    <n v="55"/>
    <x v="2"/>
    <n v="1"/>
    <n v="1"/>
    <s v="Primary"/>
    <x v="2"/>
    <n v="0"/>
    <n v="0"/>
    <n v="0"/>
    <x v="1"/>
    <n v="0"/>
    <x v="0"/>
    <n v="0"/>
    <n v="0"/>
    <n v="0"/>
    <n v="244"/>
    <n v="244"/>
    <x v="0"/>
    <n v="133"/>
    <n v="80"/>
    <n v="25.01"/>
    <n v="25.01"/>
    <x v="0"/>
    <n v="75"/>
    <n v="75"/>
    <n v="70"/>
    <n v="70"/>
    <x v="0"/>
    <x v="0"/>
  </r>
  <r>
    <n v="1"/>
    <x v="1"/>
    <n v="55"/>
    <x v="2"/>
    <n v="1"/>
    <n v="1"/>
    <s v="Primary"/>
    <x v="2"/>
    <n v="0"/>
    <n v="0"/>
    <n v="0"/>
    <x v="1"/>
    <n v="0"/>
    <x v="0"/>
    <n v="0"/>
    <n v="0"/>
    <n v="0"/>
    <n v="207"/>
    <n v="207"/>
    <x v="1"/>
    <n v="122"/>
    <n v="82"/>
    <n v="24.15"/>
    <n v="24.15"/>
    <x v="1"/>
    <n v="77"/>
    <n v="77"/>
    <n v="74"/>
    <n v="74"/>
    <x v="0"/>
    <x v="0"/>
  </r>
  <r>
    <n v="0"/>
    <x v="0"/>
    <n v="55"/>
    <x v="2"/>
    <n v="1"/>
    <n v="1"/>
    <s v="Primary"/>
    <x v="2"/>
    <n v="0"/>
    <n v="0"/>
    <n v="0"/>
    <x v="1"/>
    <n v="0"/>
    <x v="0"/>
    <n v="0"/>
    <n v="0"/>
    <n v="0"/>
    <n v="273"/>
    <n v="273"/>
    <x v="0"/>
    <n v="134"/>
    <n v="92"/>
    <n v="32.17"/>
    <n v="32.17"/>
    <x v="2"/>
    <n v="75"/>
    <n v="75"/>
    <n v="67"/>
    <n v="67"/>
    <x v="0"/>
    <x v="0"/>
  </r>
  <r>
    <n v="0"/>
    <x v="0"/>
    <n v="55"/>
    <x v="2"/>
    <n v="1"/>
    <n v="1"/>
    <s v="Primary"/>
    <x v="2"/>
    <n v="0"/>
    <n v="0"/>
    <n v="0"/>
    <x v="1"/>
    <n v="0"/>
    <x v="0"/>
    <n v="0"/>
    <n v="0"/>
    <n v="0"/>
    <n v="250"/>
    <n v="250"/>
    <x v="0"/>
    <n v="127.5"/>
    <n v="83.5"/>
    <n v="30.61"/>
    <n v="30.61"/>
    <x v="2"/>
    <n v="72"/>
    <n v="72"/>
    <n v="73"/>
    <n v="73"/>
    <x v="0"/>
    <x v="0"/>
  </r>
  <r>
    <n v="1"/>
    <x v="1"/>
    <n v="55"/>
    <x v="2"/>
    <n v="1"/>
    <n v="1"/>
    <s v="Primary"/>
    <x v="2"/>
    <n v="1"/>
    <n v="25"/>
    <n v="25"/>
    <x v="0"/>
    <n v="0"/>
    <x v="0"/>
    <n v="0"/>
    <n v="1"/>
    <n v="0"/>
    <n v="230"/>
    <n v="230"/>
    <x v="1"/>
    <n v="142"/>
    <n v="74"/>
    <n v="23.65"/>
    <n v="23.65"/>
    <x v="1"/>
    <n v="72"/>
    <n v="72"/>
    <n v="82"/>
    <n v="82"/>
    <x v="0"/>
    <x v="0"/>
  </r>
  <r>
    <n v="0"/>
    <x v="0"/>
    <n v="55"/>
    <x v="2"/>
    <s v="NA"/>
    <n v="1"/>
    <s v="Primary"/>
    <x v="2"/>
    <n v="1"/>
    <n v="10"/>
    <n v="10"/>
    <x v="0"/>
    <n v="0"/>
    <x v="0"/>
    <n v="0"/>
    <n v="0"/>
    <n v="0"/>
    <n v="196"/>
    <n v="196"/>
    <x v="1"/>
    <n v="115"/>
    <n v="71"/>
    <n v="22.19"/>
    <n v="22.19"/>
    <x v="1"/>
    <n v="105"/>
    <n v="105"/>
    <n v="85"/>
    <n v="85"/>
    <x v="0"/>
    <x v="0"/>
  </r>
  <r>
    <n v="0"/>
    <x v="0"/>
    <n v="55"/>
    <x v="2"/>
    <n v="3"/>
    <n v="3"/>
    <s v="Graduate"/>
    <x v="1"/>
    <n v="0"/>
    <n v="0"/>
    <n v="0"/>
    <x v="1"/>
    <n v="0"/>
    <x v="0"/>
    <n v="0"/>
    <n v="0"/>
    <n v="0"/>
    <n v="255"/>
    <n v="255"/>
    <x v="0"/>
    <n v="125"/>
    <n v="85"/>
    <n v="22.89"/>
    <n v="22.89"/>
    <x v="1"/>
    <n v="65"/>
    <n v="65"/>
    <n v="81"/>
    <n v="81"/>
    <x v="0"/>
    <x v="0"/>
  </r>
  <r>
    <n v="0"/>
    <x v="0"/>
    <n v="55"/>
    <x v="2"/>
    <s v="NA"/>
    <n v="1"/>
    <s v="Primary"/>
    <x v="2"/>
    <n v="0"/>
    <n v="0"/>
    <n v="0"/>
    <x v="1"/>
    <n v="0"/>
    <x v="0"/>
    <n v="0"/>
    <n v="0"/>
    <n v="0"/>
    <n v="269"/>
    <n v="269"/>
    <x v="0"/>
    <n v="112.5"/>
    <n v="72.5"/>
    <n v="23.45"/>
    <n v="23.45"/>
    <x v="1"/>
    <n v="60"/>
    <n v="60"/>
    <n v="80"/>
    <n v="80"/>
    <x v="0"/>
    <x v="0"/>
  </r>
  <r>
    <n v="0"/>
    <x v="0"/>
    <n v="55"/>
    <x v="2"/>
    <n v="2"/>
    <n v="2"/>
    <s v="Secondary"/>
    <x v="0"/>
    <n v="0"/>
    <n v="0"/>
    <n v="0"/>
    <x v="1"/>
    <n v="0"/>
    <x v="0"/>
    <n v="0"/>
    <n v="1"/>
    <n v="0"/>
    <n v="250"/>
    <n v="250"/>
    <x v="0"/>
    <n v="161.5"/>
    <n v="95"/>
    <n v="27.76"/>
    <n v="27.76"/>
    <x v="0"/>
    <n v="67"/>
    <n v="67"/>
    <n v="83"/>
    <n v="83"/>
    <x v="0"/>
    <x v="0"/>
  </r>
  <r>
    <n v="0"/>
    <x v="0"/>
    <n v="55"/>
    <x v="2"/>
    <n v="2"/>
    <n v="2"/>
    <s v="Secondary"/>
    <x v="0"/>
    <n v="1"/>
    <n v="3"/>
    <n v="3"/>
    <x v="0"/>
    <n v="0"/>
    <x v="0"/>
    <n v="0"/>
    <n v="0"/>
    <n v="0"/>
    <n v="252"/>
    <n v="252"/>
    <x v="0"/>
    <n v="108.5"/>
    <n v="63.5"/>
    <n v="25.23"/>
    <n v="25.23"/>
    <x v="0"/>
    <n v="80"/>
    <n v="80"/>
    <n v="121"/>
    <n v="121"/>
    <x v="0"/>
    <x v="0"/>
  </r>
  <r>
    <n v="1"/>
    <x v="1"/>
    <n v="55"/>
    <x v="2"/>
    <n v="1"/>
    <n v="1"/>
    <s v="Primary"/>
    <x v="2"/>
    <n v="1"/>
    <n v="35"/>
    <n v="35"/>
    <x v="0"/>
    <n v="0"/>
    <x v="0"/>
    <n v="0"/>
    <n v="0"/>
    <n v="0"/>
    <n v="290"/>
    <n v="290"/>
    <x v="0"/>
    <n v="120.5"/>
    <n v="84"/>
    <n v="25.05"/>
    <n v="25.05"/>
    <x v="0"/>
    <n v="80"/>
    <n v="80"/>
    <n v="90"/>
    <n v="90"/>
    <x v="0"/>
    <x v="0"/>
  </r>
  <r>
    <n v="0"/>
    <x v="0"/>
    <n v="55"/>
    <x v="2"/>
    <n v="1"/>
    <n v="1"/>
    <s v="Primary"/>
    <x v="2"/>
    <n v="1"/>
    <n v="10"/>
    <n v="10"/>
    <x v="0"/>
    <n v="0"/>
    <x v="0"/>
    <n v="0"/>
    <n v="0"/>
    <n v="0"/>
    <n v="346"/>
    <n v="346"/>
    <x v="0"/>
    <n v="131"/>
    <n v="81"/>
    <n v="22.69"/>
    <n v="22.69"/>
    <x v="1"/>
    <n v="75"/>
    <n v="75"/>
    <n v="77"/>
    <n v="77"/>
    <x v="0"/>
    <x v="0"/>
  </r>
  <r>
    <n v="0"/>
    <x v="0"/>
    <n v="55"/>
    <x v="2"/>
    <n v="4"/>
    <n v="4"/>
    <s v="Post Graduate"/>
    <x v="3"/>
    <n v="0"/>
    <n v="0"/>
    <n v="0"/>
    <x v="1"/>
    <n v="0"/>
    <x v="0"/>
    <n v="0"/>
    <n v="0"/>
    <n v="0"/>
    <n v="230"/>
    <n v="230"/>
    <x v="1"/>
    <n v="113"/>
    <n v="82"/>
    <n v="24.99"/>
    <n v="24.99"/>
    <x v="1"/>
    <n v="68"/>
    <n v="68"/>
    <s v="NA"/>
    <n v="81.96365524402907"/>
    <x v="0"/>
    <x v="0"/>
  </r>
  <r>
    <n v="1"/>
    <x v="1"/>
    <n v="55"/>
    <x v="2"/>
    <n v="1"/>
    <n v="1"/>
    <s v="Primary"/>
    <x v="2"/>
    <n v="1"/>
    <n v="25"/>
    <n v="25"/>
    <x v="0"/>
    <n v="0"/>
    <x v="0"/>
    <n v="0"/>
    <n v="0"/>
    <n v="0"/>
    <n v="270"/>
    <n v="270"/>
    <x v="0"/>
    <n v="129"/>
    <n v="82"/>
    <n v="27.63"/>
    <n v="27.63"/>
    <x v="0"/>
    <n v="88"/>
    <n v="88"/>
    <n v="60"/>
    <n v="60"/>
    <x v="0"/>
    <x v="0"/>
  </r>
  <r>
    <n v="0"/>
    <x v="0"/>
    <n v="55"/>
    <x v="2"/>
    <n v="3"/>
    <n v="3"/>
    <s v="Graduate"/>
    <x v="1"/>
    <n v="0"/>
    <n v="0"/>
    <n v="0"/>
    <x v="1"/>
    <n v="0"/>
    <x v="0"/>
    <n v="0"/>
    <n v="0"/>
    <n v="0"/>
    <n v="265"/>
    <n v="265"/>
    <x v="0"/>
    <n v="130"/>
    <n v="84"/>
    <n v="29.66"/>
    <n v="29.66"/>
    <x v="0"/>
    <n v="76"/>
    <n v="76"/>
    <n v="69"/>
    <n v="69"/>
    <x v="0"/>
    <x v="0"/>
  </r>
  <r>
    <n v="0"/>
    <x v="0"/>
    <n v="55"/>
    <x v="2"/>
    <n v="1"/>
    <n v="1"/>
    <s v="Primary"/>
    <x v="2"/>
    <n v="0"/>
    <n v="0"/>
    <n v="0"/>
    <x v="1"/>
    <s v="NA"/>
    <x v="0"/>
    <n v="0"/>
    <n v="1"/>
    <n v="0"/>
    <n v="325"/>
    <n v="325"/>
    <x v="0"/>
    <n v="155"/>
    <n v="90"/>
    <n v="26.27"/>
    <n v="26.27"/>
    <x v="0"/>
    <n v="68"/>
    <n v="68"/>
    <n v="72"/>
    <n v="72"/>
    <x v="1"/>
    <x v="1"/>
  </r>
  <r>
    <n v="1"/>
    <x v="1"/>
    <n v="55"/>
    <x v="2"/>
    <n v="1"/>
    <n v="1"/>
    <s v="Primary"/>
    <x v="2"/>
    <n v="1"/>
    <n v="20"/>
    <n v="20"/>
    <x v="0"/>
    <n v="0"/>
    <x v="0"/>
    <n v="0"/>
    <n v="0"/>
    <n v="0"/>
    <n v="242"/>
    <n v="242"/>
    <x v="0"/>
    <n v="120"/>
    <n v="86"/>
    <n v="26.77"/>
    <n v="26.77"/>
    <x v="0"/>
    <n v="55"/>
    <n v="55"/>
    <n v="73"/>
    <n v="73"/>
    <x v="0"/>
    <x v="0"/>
  </r>
  <r>
    <n v="0"/>
    <x v="0"/>
    <n v="55"/>
    <x v="2"/>
    <n v="3"/>
    <n v="3"/>
    <s v="Graduate"/>
    <x v="1"/>
    <n v="1"/>
    <n v="3"/>
    <n v="3"/>
    <x v="0"/>
    <n v="0"/>
    <x v="0"/>
    <n v="0"/>
    <n v="0"/>
    <n v="0"/>
    <n v="222"/>
    <n v="222"/>
    <x v="1"/>
    <n v="103"/>
    <n v="61"/>
    <n v="23.18"/>
    <n v="23.18"/>
    <x v="1"/>
    <n v="68"/>
    <n v="68"/>
    <n v="75"/>
    <n v="75"/>
    <x v="0"/>
    <x v="1"/>
  </r>
  <r>
    <n v="0"/>
    <x v="0"/>
    <n v="55"/>
    <x v="2"/>
    <n v="2"/>
    <n v="2"/>
    <s v="Secondary"/>
    <x v="0"/>
    <n v="1"/>
    <n v="20"/>
    <n v="20"/>
    <x v="0"/>
    <n v="0"/>
    <x v="0"/>
    <n v="0"/>
    <n v="0"/>
    <n v="0"/>
    <n v="250"/>
    <n v="250"/>
    <x v="0"/>
    <n v="138"/>
    <n v="87"/>
    <n v="25.33"/>
    <n v="25.33"/>
    <x v="0"/>
    <n v="95"/>
    <n v="95"/>
    <s v="NA"/>
    <n v="81.96365524402907"/>
    <x v="0"/>
    <x v="1"/>
  </r>
  <r>
    <n v="1"/>
    <x v="1"/>
    <n v="55"/>
    <x v="2"/>
    <n v="1"/>
    <n v="1"/>
    <s v="Primary"/>
    <x v="2"/>
    <n v="0"/>
    <n v="0"/>
    <n v="0"/>
    <x v="1"/>
    <n v="0"/>
    <x v="0"/>
    <n v="0"/>
    <n v="1"/>
    <n v="1"/>
    <n v="180"/>
    <n v="180"/>
    <x v="1"/>
    <n v="174"/>
    <n v="100"/>
    <n v="26.83"/>
    <n v="26.83"/>
    <x v="0"/>
    <n v="71"/>
    <n v="71"/>
    <n v="78"/>
    <n v="78"/>
    <x v="0"/>
    <x v="0"/>
  </r>
  <r>
    <n v="0"/>
    <x v="0"/>
    <n v="55"/>
    <x v="2"/>
    <n v="1"/>
    <n v="1"/>
    <s v="Primary"/>
    <x v="2"/>
    <n v="0"/>
    <n v="0"/>
    <n v="0"/>
    <x v="1"/>
    <n v="0"/>
    <x v="0"/>
    <n v="0"/>
    <n v="0"/>
    <n v="0"/>
    <n v="211"/>
    <n v="211"/>
    <x v="1"/>
    <n v="136"/>
    <n v="70"/>
    <n v="34.4"/>
    <n v="34.4"/>
    <x v="2"/>
    <n v="75"/>
    <n v="75"/>
    <n v="83"/>
    <n v="83"/>
    <x v="0"/>
    <x v="0"/>
  </r>
  <r>
    <n v="1"/>
    <x v="1"/>
    <n v="55"/>
    <x v="2"/>
    <n v="1"/>
    <n v="1"/>
    <s v="Primary"/>
    <x v="2"/>
    <n v="1"/>
    <n v="40"/>
    <n v="40"/>
    <x v="0"/>
    <n v="0"/>
    <x v="0"/>
    <n v="0"/>
    <n v="0"/>
    <n v="1"/>
    <n v="205"/>
    <n v="205"/>
    <x v="1"/>
    <n v="127"/>
    <n v="76"/>
    <n v="22.24"/>
    <n v="22.24"/>
    <x v="1"/>
    <n v="90"/>
    <n v="90"/>
    <n v="325"/>
    <n v="325"/>
    <x v="0"/>
    <x v="1"/>
  </r>
  <r>
    <n v="1"/>
    <x v="1"/>
    <n v="55"/>
    <x v="2"/>
    <n v="2"/>
    <n v="2"/>
    <s v="Secondary"/>
    <x v="0"/>
    <n v="0"/>
    <n v="0"/>
    <n v="0"/>
    <x v="1"/>
    <n v="0"/>
    <x v="0"/>
    <n v="0"/>
    <n v="0"/>
    <n v="0"/>
    <n v="309"/>
    <n v="309"/>
    <x v="0"/>
    <n v="126"/>
    <n v="88"/>
    <n v="26.77"/>
    <n v="26.77"/>
    <x v="0"/>
    <n v="68"/>
    <n v="68"/>
    <s v="NA"/>
    <n v="81.96365524402907"/>
    <x v="0"/>
    <x v="0"/>
  </r>
  <r>
    <n v="0"/>
    <x v="0"/>
    <n v="55"/>
    <x v="2"/>
    <n v="2"/>
    <n v="2"/>
    <s v="Secondary"/>
    <x v="0"/>
    <n v="0"/>
    <n v="0"/>
    <n v="0"/>
    <x v="1"/>
    <n v="0"/>
    <x v="0"/>
    <n v="0"/>
    <n v="1"/>
    <n v="0"/>
    <n v="340"/>
    <n v="340"/>
    <x v="0"/>
    <n v="140"/>
    <n v="83"/>
    <n v="26.18"/>
    <n v="26.18"/>
    <x v="0"/>
    <n v="75"/>
    <n v="75"/>
    <n v="83"/>
    <n v="83"/>
    <x v="0"/>
    <x v="0"/>
  </r>
  <r>
    <n v="0"/>
    <x v="0"/>
    <n v="55"/>
    <x v="2"/>
    <n v="1"/>
    <n v="1"/>
    <s v="Primary"/>
    <x v="2"/>
    <n v="0"/>
    <n v="0"/>
    <n v="0"/>
    <x v="1"/>
    <n v="0"/>
    <x v="0"/>
    <n v="0"/>
    <n v="1"/>
    <n v="0"/>
    <n v="243"/>
    <n v="243"/>
    <x v="0"/>
    <n v="142"/>
    <n v="92"/>
    <n v="30.24"/>
    <n v="30.24"/>
    <x v="2"/>
    <n v="70"/>
    <n v="70"/>
    <n v="85"/>
    <n v="85"/>
    <x v="0"/>
    <x v="0"/>
  </r>
  <r>
    <n v="0"/>
    <x v="0"/>
    <n v="55"/>
    <x v="2"/>
    <n v="1"/>
    <n v="1"/>
    <s v="Primary"/>
    <x v="2"/>
    <n v="0"/>
    <n v="0"/>
    <n v="0"/>
    <x v="1"/>
    <n v="0"/>
    <x v="0"/>
    <n v="0"/>
    <n v="0"/>
    <n v="0"/>
    <n v="252"/>
    <n v="252"/>
    <x v="0"/>
    <n v="130"/>
    <n v="82"/>
    <n v="29.17"/>
    <n v="29.17"/>
    <x v="0"/>
    <n v="78"/>
    <n v="78"/>
    <n v="85"/>
    <n v="85"/>
    <x v="0"/>
    <x v="0"/>
  </r>
  <r>
    <n v="0"/>
    <x v="0"/>
    <n v="55"/>
    <x v="2"/>
    <n v="3"/>
    <n v="3"/>
    <s v="Graduate"/>
    <x v="1"/>
    <n v="0"/>
    <n v="0"/>
    <n v="0"/>
    <x v="1"/>
    <n v="0"/>
    <x v="0"/>
    <n v="0"/>
    <n v="1"/>
    <n v="0"/>
    <n v="329"/>
    <n v="329"/>
    <x v="0"/>
    <n v="145"/>
    <n v="82"/>
    <n v="23.43"/>
    <n v="23.43"/>
    <x v="1"/>
    <n v="70"/>
    <n v="70"/>
    <n v="95"/>
    <n v="95"/>
    <x v="0"/>
    <x v="0"/>
  </r>
  <r>
    <n v="1"/>
    <x v="1"/>
    <n v="55"/>
    <x v="2"/>
    <n v="1"/>
    <n v="1"/>
    <s v="Primary"/>
    <x v="2"/>
    <n v="0"/>
    <n v="0"/>
    <n v="0"/>
    <x v="1"/>
    <n v="0"/>
    <x v="0"/>
    <n v="0"/>
    <n v="0"/>
    <n v="0"/>
    <n v="255"/>
    <n v="255"/>
    <x v="0"/>
    <n v="129"/>
    <n v="78"/>
    <n v="26.36"/>
    <n v="26.36"/>
    <x v="0"/>
    <n v="69"/>
    <n v="69"/>
    <n v="79"/>
    <n v="79"/>
    <x v="0"/>
    <x v="0"/>
  </r>
  <r>
    <n v="0"/>
    <x v="0"/>
    <n v="55"/>
    <x v="2"/>
    <n v="1"/>
    <n v="1"/>
    <s v="Primary"/>
    <x v="2"/>
    <n v="0"/>
    <n v="0"/>
    <n v="0"/>
    <x v="1"/>
    <n v="0"/>
    <x v="0"/>
    <n v="0"/>
    <n v="0"/>
    <n v="0"/>
    <n v="230"/>
    <n v="230"/>
    <x v="1"/>
    <n v="109"/>
    <n v="70"/>
    <n v="28.27"/>
    <n v="28.27"/>
    <x v="0"/>
    <n v="72"/>
    <n v="72"/>
    <n v="73"/>
    <n v="73"/>
    <x v="0"/>
    <x v="0"/>
  </r>
  <r>
    <n v="1"/>
    <x v="1"/>
    <n v="55"/>
    <x v="2"/>
    <n v="1"/>
    <n v="1"/>
    <s v="Primary"/>
    <x v="2"/>
    <n v="1"/>
    <s v="NA"/>
    <n v="9"/>
    <x v="0"/>
    <n v="0"/>
    <x v="0"/>
    <n v="0"/>
    <n v="0"/>
    <n v="0"/>
    <n v="214"/>
    <n v="214"/>
    <x v="1"/>
    <n v="132.5"/>
    <n v="85.5"/>
    <n v="29.25"/>
    <n v="29.25"/>
    <x v="0"/>
    <n v="70"/>
    <n v="70"/>
    <n v="103"/>
    <n v="103"/>
    <x v="0"/>
    <x v="0"/>
  </r>
  <r>
    <n v="1"/>
    <x v="1"/>
    <n v="55"/>
    <x v="2"/>
    <n v="2"/>
    <n v="2"/>
    <s v="Secondary"/>
    <x v="0"/>
    <n v="0"/>
    <n v="0"/>
    <n v="0"/>
    <x v="1"/>
    <n v="0"/>
    <x v="0"/>
    <n v="0"/>
    <n v="0"/>
    <n v="0"/>
    <n v="219"/>
    <n v="219"/>
    <x v="1"/>
    <n v="115"/>
    <n v="84"/>
    <n v="26.08"/>
    <n v="26.08"/>
    <x v="0"/>
    <n v="88"/>
    <n v="88"/>
    <n v="93"/>
    <n v="93"/>
    <x v="0"/>
    <x v="0"/>
  </r>
  <r>
    <n v="0"/>
    <x v="0"/>
    <n v="55"/>
    <x v="2"/>
    <n v="2"/>
    <n v="2"/>
    <s v="Secondary"/>
    <x v="0"/>
    <n v="1"/>
    <n v="20"/>
    <n v="20"/>
    <x v="0"/>
    <n v="0"/>
    <x v="0"/>
    <n v="0"/>
    <n v="0"/>
    <n v="0"/>
    <n v="246"/>
    <n v="246"/>
    <x v="0"/>
    <n v="139"/>
    <n v="90"/>
    <n v="29"/>
    <n v="29"/>
    <x v="0"/>
    <n v="87"/>
    <n v="87"/>
    <n v="100"/>
    <n v="100"/>
    <x v="0"/>
    <x v="0"/>
  </r>
  <r>
    <n v="1"/>
    <x v="1"/>
    <n v="55"/>
    <x v="2"/>
    <n v="1"/>
    <n v="1"/>
    <s v="Primary"/>
    <x v="2"/>
    <n v="1"/>
    <n v="20"/>
    <n v="20"/>
    <x v="0"/>
    <n v="0"/>
    <x v="0"/>
    <n v="0"/>
    <n v="1"/>
    <n v="0"/>
    <n v="259"/>
    <n v="259"/>
    <x v="0"/>
    <n v="217"/>
    <n v="112"/>
    <n v="29.6"/>
    <n v="29.6"/>
    <x v="0"/>
    <n v="63"/>
    <n v="63"/>
    <n v="77"/>
    <n v="77"/>
    <x v="0"/>
    <x v="1"/>
  </r>
  <r>
    <n v="0"/>
    <x v="0"/>
    <n v="55"/>
    <x v="2"/>
    <s v="NA"/>
    <n v="1"/>
    <s v="Primary"/>
    <x v="2"/>
    <n v="0"/>
    <n v="0"/>
    <n v="0"/>
    <x v="1"/>
    <n v="0"/>
    <x v="0"/>
    <n v="0"/>
    <n v="0"/>
    <n v="0"/>
    <n v="265"/>
    <n v="265"/>
    <x v="0"/>
    <n v="123"/>
    <n v="78"/>
    <n v="24.59"/>
    <n v="24.59"/>
    <x v="1"/>
    <n v="55"/>
    <n v="55"/>
    <s v="NA"/>
    <n v="81.96365524402907"/>
    <x v="0"/>
    <x v="0"/>
  </r>
  <r>
    <n v="0"/>
    <x v="0"/>
    <n v="55"/>
    <x v="2"/>
    <n v="3"/>
    <n v="3"/>
    <s v="Graduate"/>
    <x v="1"/>
    <n v="0"/>
    <n v="0"/>
    <n v="0"/>
    <x v="1"/>
    <n v="0"/>
    <x v="0"/>
    <n v="0"/>
    <n v="0"/>
    <n v="0"/>
    <n v="269"/>
    <n v="269"/>
    <x v="0"/>
    <n v="130"/>
    <n v="85"/>
    <n v="21.05"/>
    <n v="21.05"/>
    <x v="1"/>
    <n v="72"/>
    <n v="72"/>
    <n v="74"/>
    <n v="74"/>
    <x v="0"/>
    <x v="0"/>
  </r>
  <r>
    <n v="0"/>
    <x v="0"/>
    <n v="55"/>
    <x v="2"/>
    <n v="2"/>
    <n v="2"/>
    <s v="Secondary"/>
    <x v="0"/>
    <n v="0"/>
    <n v="0"/>
    <n v="0"/>
    <x v="1"/>
    <n v="0"/>
    <x v="0"/>
    <n v="0"/>
    <n v="1"/>
    <n v="0"/>
    <n v="281"/>
    <n v="281"/>
    <x v="0"/>
    <n v="153"/>
    <n v="75"/>
    <n v="26.59"/>
    <n v="26.59"/>
    <x v="0"/>
    <n v="60"/>
    <n v="60"/>
    <n v="78"/>
    <n v="78"/>
    <x v="0"/>
    <x v="0"/>
  </r>
  <r>
    <n v="0"/>
    <x v="0"/>
    <n v="55"/>
    <x v="2"/>
    <n v="2"/>
    <n v="2"/>
    <s v="Secondary"/>
    <x v="0"/>
    <n v="1"/>
    <n v="9"/>
    <n v="9"/>
    <x v="0"/>
    <n v="0"/>
    <x v="0"/>
    <n v="0"/>
    <n v="0"/>
    <n v="0"/>
    <n v="289"/>
    <n v="289"/>
    <x v="0"/>
    <n v="141"/>
    <n v="83.5"/>
    <n v="24.99"/>
    <n v="24.99"/>
    <x v="1"/>
    <n v="76"/>
    <n v="76"/>
    <n v="76"/>
    <n v="76"/>
    <x v="0"/>
    <x v="0"/>
  </r>
  <r>
    <n v="0"/>
    <x v="0"/>
    <n v="55"/>
    <x v="2"/>
    <n v="3"/>
    <n v="3"/>
    <s v="Graduate"/>
    <x v="1"/>
    <n v="1"/>
    <n v="20"/>
    <n v="20"/>
    <x v="0"/>
    <n v="0"/>
    <x v="0"/>
    <n v="0"/>
    <n v="0"/>
    <n v="0"/>
    <n v="249"/>
    <n v="249"/>
    <x v="0"/>
    <n v="109"/>
    <n v="66.5"/>
    <n v="24.79"/>
    <n v="24.79"/>
    <x v="1"/>
    <n v="94"/>
    <n v="94"/>
    <n v="85"/>
    <n v="85"/>
    <x v="0"/>
    <x v="0"/>
  </r>
  <r>
    <n v="1"/>
    <x v="1"/>
    <n v="55"/>
    <x v="2"/>
    <n v="4"/>
    <n v="4"/>
    <s v="Post Graduate"/>
    <x v="3"/>
    <n v="0"/>
    <n v="0"/>
    <n v="0"/>
    <x v="1"/>
    <n v="0"/>
    <x v="0"/>
    <n v="0"/>
    <n v="1"/>
    <n v="0"/>
    <n v="180"/>
    <n v="180"/>
    <x v="1"/>
    <n v="170"/>
    <n v="105"/>
    <n v="26.79"/>
    <n v="26.79"/>
    <x v="0"/>
    <n v="50"/>
    <n v="50"/>
    <n v="90"/>
    <n v="90"/>
    <x v="0"/>
    <x v="0"/>
  </r>
  <r>
    <n v="0"/>
    <x v="0"/>
    <n v="55"/>
    <x v="2"/>
    <n v="2"/>
    <n v="2"/>
    <s v="Secondary"/>
    <x v="0"/>
    <n v="0"/>
    <n v="0"/>
    <n v="0"/>
    <x v="1"/>
    <n v="1"/>
    <x v="1"/>
    <n v="0"/>
    <n v="1"/>
    <n v="0"/>
    <n v="285"/>
    <n v="285"/>
    <x v="0"/>
    <n v="158"/>
    <n v="98"/>
    <n v="30.23"/>
    <n v="30.23"/>
    <x v="2"/>
    <n v="70"/>
    <n v="70"/>
    <n v="88"/>
    <n v="88"/>
    <x v="0"/>
    <x v="0"/>
  </r>
  <r>
    <n v="0"/>
    <x v="0"/>
    <n v="55"/>
    <x v="2"/>
    <n v="3"/>
    <n v="3"/>
    <s v="Graduate"/>
    <x v="1"/>
    <n v="0"/>
    <n v="0"/>
    <n v="0"/>
    <x v="1"/>
    <n v="0"/>
    <x v="0"/>
    <n v="0"/>
    <n v="0"/>
    <n v="0"/>
    <n v="195"/>
    <n v="195"/>
    <x v="1"/>
    <n v="135"/>
    <n v="80"/>
    <n v="32.909999999999997"/>
    <n v="32.909999999999997"/>
    <x v="2"/>
    <n v="100"/>
    <n v="100"/>
    <n v="75"/>
    <n v="75"/>
    <x v="0"/>
    <x v="0"/>
  </r>
  <r>
    <n v="0"/>
    <x v="0"/>
    <n v="55"/>
    <x v="2"/>
    <n v="1"/>
    <n v="1"/>
    <s v="Primary"/>
    <x v="2"/>
    <n v="1"/>
    <n v="5"/>
    <n v="5"/>
    <x v="0"/>
    <n v="0"/>
    <x v="0"/>
    <n v="0"/>
    <n v="1"/>
    <n v="0"/>
    <n v="280"/>
    <n v="280"/>
    <x v="0"/>
    <n v="144"/>
    <n v="79"/>
    <n v="19.5"/>
    <n v="19.5"/>
    <x v="1"/>
    <n v="79"/>
    <n v="79"/>
    <n v="75"/>
    <n v="75"/>
    <x v="0"/>
    <x v="1"/>
  </r>
  <r>
    <n v="0"/>
    <x v="0"/>
    <n v="55"/>
    <x v="2"/>
    <n v="1"/>
    <n v="1"/>
    <s v="Primary"/>
    <x v="2"/>
    <n v="0"/>
    <n v="0"/>
    <n v="0"/>
    <x v="1"/>
    <n v="0"/>
    <x v="0"/>
    <n v="0"/>
    <n v="1"/>
    <n v="0"/>
    <n v="200"/>
    <n v="200"/>
    <x v="1"/>
    <n v="141"/>
    <n v="92"/>
    <n v="23.48"/>
    <n v="23.48"/>
    <x v="1"/>
    <n v="65"/>
    <n v="65"/>
    <n v="84"/>
    <n v="84"/>
    <x v="0"/>
    <x v="0"/>
  </r>
  <r>
    <n v="0"/>
    <x v="0"/>
    <n v="55"/>
    <x v="2"/>
    <n v="1"/>
    <n v="1"/>
    <s v="Primary"/>
    <x v="2"/>
    <n v="0"/>
    <n v="0"/>
    <n v="0"/>
    <x v="1"/>
    <n v="0"/>
    <x v="0"/>
    <n v="0"/>
    <n v="0"/>
    <n v="0"/>
    <n v="310"/>
    <n v="310"/>
    <x v="0"/>
    <n v="135"/>
    <n v="76.5"/>
    <n v="26.31"/>
    <n v="26.31"/>
    <x v="0"/>
    <n v="110"/>
    <n v="110"/>
    <n v="74"/>
    <n v="74"/>
    <x v="0"/>
    <x v="0"/>
  </r>
  <r>
    <n v="0"/>
    <x v="0"/>
    <n v="55"/>
    <x v="2"/>
    <n v="3"/>
    <n v="3"/>
    <s v="Graduate"/>
    <x v="1"/>
    <n v="0"/>
    <n v="0"/>
    <n v="0"/>
    <x v="1"/>
    <n v="0"/>
    <x v="0"/>
    <n v="0"/>
    <n v="0"/>
    <n v="0"/>
    <n v="238"/>
    <n v="238"/>
    <x v="1"/>
    <n v="137.5"/>
    <n v="87"/>
    <n v="26.89"/>
    <n v="26.89"/>
    <x v="0"/>
    <n v="67"/>
    <n v="67"/>
    <n v="107"/>
    <n v="107"/>
    <x v="0"/>
    <x v="0"/>
  </r>
  <r>
    <n v="1"/>
    <x v="1"/>
    <n v="55"/>
    <x v="2"/>
    <n v="4"/>
    <n v="4"/>
    <s v="Post Graduate"/>
    <x v="3"/>
    <n v="0"/>
    <n v="0"/>
    <n v="0"/>
    <x v="1"/>
    <n v="0"/>
    <x v="0"/>
    <n v="0"/>
    <n v="0"/>
    <n v="1"/>
    <n v="245"/>
    <n v="245"/>
    <x v="0"/>
    <n v="133"/>
    <n v="78"/>
    <n v="29.05"/>
    <n v="29.05"/>
    <x v="0"/>
    <n v="73"/>
    <n v="73"/>
    <n v="115"/>
    <n v="115"/>
    <x v="0"/>
    <x v="0"/>
  </r>
  <r>
    <n v="0"/>
    <x v="0"/>
    <n v="55"/>
    <x v="2"/>
    <n v="2"/>
    <n v="2"/>
    <s v="Secondary"/>
    <x v="0"/>
    <n v="0"/>
    <n v="0"/>
    <n v="0"/>
    <x v="1"/>
    <n v="0"/>
    <x v="0"/>
    <n v="0"/>
    <n v="0"/>
    <n v="0"/>
    <n v="175"/>
    <n v="175"/>
    <x v="1"/>
    <n v="107.5"/>
    <n v="65"/>
    <n v="20.170000000000002"/>
    <n v="20.170000000000002"/>
    <x v="1"/>
    <n v="68"/>
    <n v="68"/>
    <n v="79"/>
    <n v="79"/>
    <x v="0"/>
    <x v="0"/>
  </r>
  <r>
    <n v="0"/>
    <x v="0"/>
    <n v="55"/>
    <x v="2"/>
    <n v="1"/>
    <n v="1"/>
    <s v="Primary"/>
    <x v="2"/>
    <n v="0"/>
    <n v="0"/>
    <n v="0"/>
    <x v="1"/>
    <n v="0"/>
    <x v="0"/>
    <n v="0"/>
    <n v="0"/>
    <n v="0"/>
    <n v="232"/>
    <n v="232"/>
    <x v="1"/>
    <n v="119"/>
    <n v="81"/>
    <n v="30"/>
    <n v="30"/>
    <x v="2"/>
    <n v="60"/>
    <n v="60"/>
    <n v="100"/>
    <n v="100"/>
    <x v="0"/>
    <x v="1"/>
  </r>
  <r>
    <n v="0"/>
    <x v="0"/>
    <n v="55"/>
    <x v="2"/>
    <n v="4"/>
    <n v="4"/>
    <s v="Post Graduate"/>
    <x v="3"/>
    <n v="1"/>
    <n v="9"/>
    <n v="9"/>
    <x v="0"/>
    <n v="0"/>
    <x v="0"/>
    <n v="0"/>
    <n v="1"/>
    <n v="0"/>
    <n v="263"/>
    <n v="263"/>
    <x v="0"/>
    <n v="155"/>
    <n v="84"/>
    <n v="27.87"/>
    <n v="27.87"/>
    <x v="0"/>
    <n v="68"/>
    <n v="68"/>
    <n v="60"/>
    <n v="60"/>
    <x v="0"/>
    <x v="0"/>
  </r>
  <r>
    <n v="1"/>
    <x v="1"/>
    <n v="55"/>
    <x v="2"/>
    <n v="1"/>
    <n v="1"/>
    <s v="Primary"/>
    <x v="2"/>
    <n v="1"/>
    <n v="20"/>
    <n v="20"/>
    <x v="0"/>
    <n v="0"/>
    <x v="0"/>
    <n v="0"/>
    <n v="1"/>
    <n v="0"/>
    <n v="244"/>
    <n v="244"/>
    <x v="0"/>
    <n v="125"/>
    <n v="93"/>
    <n v="24.5"/>
    <n v="24.5"/>
    <x v="1"/>
    <n v="75"/>
    <n v="75"/>
    <s v="NA"/>
    <n v="81.96365524402907"/>
    <x v="0"/>
    <x v="0"/>
  </r>
  <r>
    <n v="0"/>
    <x v="0"/>
    <n v="55"/>
    <x v="2"/>
    <n v="3"/>
    <n v="3"/>
    <s v="Graduate"/>
    <x v="1"/>
    <n v="1"/>
    <n v="35"/>
    <n v="35"/>
    <x v="0"/>
    <n v="0"/>
    <x v="0"/>
    <n v="0"/>
    <n v="0"/>
    <n v="0"/>
    <n v="275"/>
    <n v="275"/>
    <x v="0"/>
    <n v="144.5"/>
    <n v="88.5"/>
    <n v="27.05"/>
    <n v="27.05"/>
    <x v="0"/>
    <n v="72"/>
    <n v="72"/>
    <n v="79"/>
    <n v="79"/>
    <x v="0"/>
    <x v="1"/>
  </r>
  <r>
    <n v="1"/>
    <x v="1"/>
    <n v="55"/>
    <x v="2"/>
    <n v="1"/>
    <n v="1"/>
    <s v="Primary"/>
    <x v="2"/>
    <n v="0"/>
    <n v="0"/>
    <n v="0"/>
    <x v="1"/>
    <n v="0"/>
    <x v="0"/>
    <n v="0"/>
    <n v="0"/>
    <n v="0"/>
    <n v="298"/>
    <n v="298"/>
    <x v="0"/>
    <n v="169.5"/>
    <n v="104.5"/>
    <n v="27.51"/>
    <n v="27.51"/>
    <x v="0"/>
    <n v="76"/>
    <n v="76"/>
    <n v="78"/>
    <n v="78"/>
    <x v="0"/>
    <x v="0"/>
  </r>
  <r>
    <n v="0"/>
    <x v="0"/>
    <n v="55"/>
    <x v="2"/>
    <n v="2"/>
    <n v="2"/>
    <s v="Secondary"/>
    <x v="0"/>
    <n v="0"/>
    <n v="0"/>
    <n v="0"/>
    <x v="1"/>
    <n v="0"/>
    <x v="0"/>
    <n v="0"/>
    <n v="0"/>
    <n v="0"/>
    <n v="271"/>
    <n v="271"/>
    <x v="0"/>
    <n v="146.5"/>
    <n v="80"/>
    <n v="20.69"/>
    <n v="20.69"/>
    <x v="1"/>
    <n v="100"/>
    <n v="100"/>
    <n v="89"/>
    <n v="89"/>
    <x v="0"/>
    <x v="0"/>
  </r>
  <r>
    <n v="1"/>
    <x v="1"/>
    <n v="55"/>
    <x v="2"/>
    <n v="4"/>
    <n v="4"/>
    <s v="Post Graduate"/>
    <x v="3"/>
    <n v="0"/>
    <n v="0"/>
    <n v="0"/>
    <x v="1"/>
    <n v="0"/>
    <x v="0"/>
    <n v="0"/>
    <n v="0"/>
    <n v="0"/>
    <n v="260"/>
    <n v="260"/>
    <x v="0"/>
    <n v="120"/>
    <n v="80"/>
    <n v="28.89"/>
    <n v="28.89"/>
    <x v="0"/>
    <n v="60"/>
    <n v="60"/>
    <n v="68"/>
    <n v="68"/>
    <x v="0"/>
    <x v="0"/>
  </r>
  <r>
    <n v="0"/>
    <x v="0"/>
    <n v="55"/>
    <x v="2"/>
    <n v="1"/>
    <n v="1"/>
    <s v="Primary"/>
    <x v="2"/>
    <n v="0"/>
    <n v="0"/>
    <n v="0"/>
    <x v="1"/>
    <n v="0"/>
    <x v="0"/>
    <n v="0"/>
    <n v="1"/>
    <n v="0"/>
    <n v="232"/>
    <n v="232"/>
    <x v="1"/>
    <n v="170"/>
    <n v="92"/>
    <n v="26.09"/>
    <n v="26.09"/>
    <x v="0"/>
    <n v="96"/>
    <n v="96"/>
    <n v="74"/>
    <n v="74"/>
    <x v="0"/>
    <x v="1"/>
  </r>
  <r>
    <n v="0"/>
    <x v="0"/>
    <n v="55"/>
    <x v="2"/>
    <n v="1"/>
    <n v="1"/>
    <s v="Primary"/>
    <x v="2"/>
    <n v="0"/>
    <n v="0"/>
    <n v="0"/>
    <x v="1"/>
    <n v="0"/>
    <x v="0"/>
    <n v="0"/>
    <n v="0"/>
    <n v="0"/>
    <n v="282"/>
    <n v="282"/>
    <x v="0"/>
    <n v="127.5"/>
    <n v="69"/>
    <n v="26.76"/>
    <n v="26.76"/>
    <x v="0"/>
    <n v="76"/>
    <n v="76"/>
    <s v="NA"/>
    <n v="81.96365524402907"/>
    <x v="0"/>
    <x v="0"/>
  </r>
  <r>
    <n v="0"/>
    <x v="0"/>
    <n v="55"/>
    <x v="2"/>
    <n v="2"/>
    <n v="2"/>
    <s v="Secondary"/>
    <x v="0"/>
    <n v="0"/>
    <n v="0"/>
    <n v="0"/>
    <x v="1"/>
    <n v="0"/>
    <x v="0"/>
    <n v="0"/>
    <n v="1"/>
    <n v="0"/>
    <n v="293"/>
    <n v="293"/>
    <x v="0"/>
    <n v="165"/>
    <n v="106"/>
    <n v="24.71"/>
    <n v="24.71"/>
    <x v="1"/>
    <n v="90"/>
    <n v="90"/>
    <n v="79"/>
    <n v="79"/>
    <x v="0"/>
    <x v="0"/>
  </r>
  <r>
    <n v="1"/>
    <x v="1"/>
    <n v="55"/>
    <x v="2"/>
    <n v="1"/>
    <n v="1"/>
    <s v="Primary"/>
    <x v="2"/>
    <n v="1"/>
    <n v="30"/>
    <n v="30"/>
    <x v="0"/>
    <n v="0"/>
    <x v="0"/>
    <n v="0"/>
    <n v="0"/>
    <n v="0"/>
    <n v="230"/>
    <n v="230"/>
    <x v="1"/>
    <n v="130"/>
    <n v="85"/>
    <n v="30.16"/>
    <n v="30.16"/>
    <x v="2"/>
    <n v="72"/>
    <n v="72"/>
    <n v="108"/>
    <n v="108"/>
    <x v="0"/>
    <x v="0"/>
  </r>
  <r>
    <n v="1"/>
    <x v="1"/>
    <n v="55"/>
    <x v="2"/>
    <n v="4"/>
    <n v="4"/>
    <s v="Post Graduate"/>
    <x v="3"/>
    <n v="1"/>
    <n v="20"/>
    <n v="20"/>
    <x v="0"/>
    <n v="0"/>
    <x v="0"/>
    <n v="0"/>
    <n v="0"/>
    <n v="0"/>
    <n v="268"/>
    <n v="268"/>
    <x v="0"/>
    <n v="128"/>
    <n v="87"/>
    <n v="28.57"/>
    <n v="28.57"/>
    <x v="0"/>
    <n v="70"/>
    <n v="70"/>
    <n v="87"/>
    <n v="87"/>
    <x v="0"/>
    <x v="0"/>
  </r>
  <r>
    <n v="1"/>
    <x v="1"/>
    <n v="55"/>
    <x v="2"/>
    <n v="1"/>
    <n v="1"/>
    <s v="Primary"/>
    <x v="2"/>
    <n v="0"/>
    <n v="0"/>
    <n v="0"/>
    <x v="1"/>
    <n v="0"/>
    <x v="0"/>
    <n v="0"/>
    <n v="1"/>
    <n v="0"/>
    <n v="165"/>
    <n v="165"/>
    <x v="1"/>
    <n v="166"/>
    <n v="101"/>
    <n v="24.8"/>
    <n v="24.8"/>
    <x v="1"/>
    <n v="65"/>
    <n v="65"/>
    <n v="90"/>
    <n v="90"/>
    <x v="0"/>
    <x v="1"/>
  </r>
  <r>
    <n v="0"/>
    <x v="0"/>
    <n v="55"/>
    <x v="2"/>
    <n v="3"/>
    <n v="3"/>
    <s v="Graduate"/>
    <x v="1"/>
    <n v="0"/>
    <n v="0"/>
    <n v="0"/>
    <x v="1"/>
    <n v="0"/>
    <x v="0"/>
    <n v="0"/>
    <n v="0"/>
    <n v="0"/>
    <n v="260"/>
    <n v="260"/>
    <x v="0"/>
    <n v="136.5"/>
    <n v="87.5"/>
    <n v="25.41"/>
    <n v="25.41"/>
    <x v="0"/>
    <n v="75"/>
    <n v="75"/>
    <n v="60"/>
    <n v="60"/>
    <x v="0"/>
    <x v="0"/>
  </r>
  <r>
    <n v="0"/>
    <x v="0"/>
    <n v="55"/>
    <x v="2"/>
    <n v="1"/>
    <n v="1"/>
    <s v="Primary"/>
    <x v="2"/>
    <n v="0"/>
    <n v="0"/>
    <n v="0"/>
    <x v="1"/>
    <n v="0"/>
    <x v="0"/>
    <n v="0"/>
    <n v="0"/>
    <n v="0"/>
    <n v="215"/>
    <n v="215"/>
    <x v="1"/>
    <n v="122"/>
    <n v="86"/>
    <n v="30.61"/>
    <n v="30.61"/>
    <x v="2"/>
    <n v="79"/>
    <n v="79"/>
    <n v="87"/>
    <n v="87"/>
    <x v="0"/>
    <x v="0"/>
  </r>
  <r>
    <n v="1"/>
    <x v="1"/>
    <n v="55"/>
    <x v="2"/>
    <n v="3"/>
    <n v="3"/>
    <s v="Graduate"/>
    <x v="1"/>
    <n v="1"/>
    <n v="20"/>
    <n v="20"/>
    <x v="0"/>
    <n v="0"/>
    <x v="0"/>
    <n v="0"/>
    <n v="0"/>
    <n v="0"/>
    <n v="214"/>
    <n v="214"/>
    <x v="1"/>
    <n v="110"/>
    <n v="71"/>
    <n v="24.24"/>
    <n v="24.24"/>
    <x v="1"/>
    <n v="75"/>
    <n v="75"/>
    <n v="72"/>
    <n v="72"/>
    <x v="0"/>
    <x v="0"/>
  </r>
  <r>
    <n v="0"/>
    <x v="0"/>
    <n v="55"/>
    <x v="2"/>
    <n v="2"/>
    <n v="2"/>
    <s v="Secondary"/>
    <x v="0"/>
    <n v="1"/>
    <n v="5"/>
    <n v="5"/>
    <x v="0"/>
    <n v="0"/>
    <x v="0"/>
    <n v="0"/>
    <n v="0"/>
    <n v="0"/>
    <n v="315"/>
    <n v="315"/>
    <x v="0"/>
    <n v="123"/>
    <n v="77.5"/>
    <n v="26.21"/>
    <n v="26.21"/>
    <x v="0"/>
    <n v="75"/>
    <n v="75"/>
    <n v="84"/>
    <n v="84"/>
    <x v="0"/>
    <x v="0"/>
  </r>
  <r>
    <n v="1"/>
    <x v="1"/>
    <n v="55"/>
    <x v="2"/>
    <n v="1"/>
    <n v="1"/>
    <s v="Primary"/>
    <x v="2"/>
    <n v="1"/>
    <n v="5"/>
    <n v="5"/>
    <x v="0"/>
    <n v="0"/>
    <x v="0"/>
    <n v="0"/>
    <n v="1"/>
    <n v="0"/>
    <n v="240"/>
    <n v="240"/>
    <x v="1"/>
    <n v="135"/>
    <n v="95"/>
    <n v="28.69"/>
    <n v="28.69"/>
    <x v="0"/>
    <n v="75"/>
    <n v="75"/>
    <n v="108"/>
    <n v="108"/>
    <x v="0"/>
    <x v="0"/>
  </r>
  <r>
    <n v="1"/>
    <x v="1"/>
    <n v="55"/>
    <x v="2"/>
    <n v="3"/>
    <n v="3"/>
    <s v="Graduate"/>
    <x v="1"/>
    <n v="1"/>
    <n v="20"/>
    <n v="20"/>
    <x v="0"/>
    <n v="0"/>
    <x v="0"/>
    <n v="0"/>
    <n v="1"/>
    <n v="0"/>
    <n v="252"/>
    <n v="252"/>
    <x v="0"/>
    <n v="129"/>
    <n v="84"/>
    <n v="23.55"/>
    <n v="23.55"/>
    <x v="1"/>
    <n v="80"/>
    <n v="80"/>
    <n v="72"/>
    <n v="72"/>
    <x v="0"/>
    <x v="0"/>
  </r>
  <r>
    <n v="1"/>
    <x v="1"/>
    <n v="55"/>
    <x v="2"/>
    <n v="1"/>
    <n v="1"/>
    <s v="Primary"/>
    <x v="2"/>
    <n v="0"/>
    <n v="0"/>
    <n v="0"/>
    <x v="1"/>
    <n v="0"/>
    <x v="0"/>
    <n v="0"/>
    <n v="1"/>
    <n v="0"/>
    <n v="246"/>
    <n v="246"/>
    <x v="0"/>
    <n v="147"/>
    <n v="86.5"/>
    <n v="24.8"/>
    <n v="24.8"/>
    <x v="1"/>
    <n v="75"/>
    <n v="75"/>
    <n v="76"/>
    <n v="76"/>
    <x v="0"/>
    <x v="0"/>
  </r>
  <r>
    <n v="0"/>
    <x v="0"/>
    <n v="55"/>
    <x v="2"/>
    <n v="1"/>
    <n v="1"/>
    <s v="Primary"/>
    <x v="2"/>
    <n v="0"/>
    <n v="0"/>
    <n v="0"/>
    <x v="1"/>
    <n v="0"/>
    <x v="0"/>
    <n v="0"/>
    <n v="1"/>
    <n v="0"/>
    <n v="208"/>
    <n v="208"/>
    <x v="1"/>
    <n v="190"/>
    <n v="130"/>
    <n v="56.8"/>
    <n v="56.8"/>
    <x v="2"/>
    <n v="90"/>
    <n v="90"/>
    <n v="86"/>
    <n v="86"/>
    <x v="0"/>
    <x v="1"/>
  </r>
  <r>
    <n v="1"/>
    <x v="1"/>
    <n v="55"/>
    <x v="2"/>
    <s v="NA"/>
    <n v="1"/>
    <s v="Primary"/>
    <x v="2"/>
    <n v="0"/>
    <n v="0"/>
    <n v="0"/>
    <x v="1"/>
    <n v="0"/>
    <x v="0"/>
    <n v="0"/>
    <n v="0"/>
    <n v="0"/>
    <n v="222"/>
    <n v="222"/>
    <x v="1"/>
    <n v="129"/>
    <n v="86.5"/>
    <n v="33.76"/>
    <n v="33.76"/>
    <x v="2"/>
    <n v="95"/>
    <n v="95"/>
    <n v="92"/>
    <n v="92"/>
    <x v="0"/>
    <x v="1"/>
  </r>
  <r>
    <n v="1"/>
    <x v="1"/>
    <n v="55"/>
    <x v="2"/>
    <n v="1"/>
    <n v="1"/>
    <s v="Primary"/>
    <x v="2"/>
    <n v="1"/>
    <n v="3"/>
    <n v="3"/>
    <x v="0"/>
    <n v="0"/>
    <x v="0"/>
    <n v="0"/>
    <n v="1"/>
    <n v="0"/>
    <n v="211"/>
    <n v="211"/>
    <x v="1"/>
    <n v="142"/>
    <n v="82.5"/>
    <n v="19.809999999999999"/>
    <n v="19.809999999999999"/>
    <x v="1"/>
    <n v="90"/>
    <n v="90"/>
    <n v="70"/>
    <n v="70"/>
    <x v="0"/>
    <x v="0"/>
  </r>
  <r>
    <n v="0"/>
    <x v="0"/>
    <n v="55"/>
    <x v="2"/>
    <s v="NA"/>
    <n v="1"/>
    <s v="Primary"/>
    <x v="2"/>
    <n v="0"/>
    <n v="0"/>
    <n v="0"/>
    <x v="1"/>
    <n v="1"/>
    <x v="1"/>
    <n v="0"/>
    <n v="1"/>
    <n v="1"/>
    <n v="279"/>
    <n v="279"/>
    <x v="0"/>
    <n v="165"/>
    <n v="105.5"/>
    <n v="32.51"/>
    <n v="32.51"/>
    <x v="2"/>
    <n v="73"/>
    <n v="73"/>
    <n v="87"/>
    <n v="87"/>
    <x v="0"/>
    <x v="0"/>
  </r>
  <r>
    <n v="1"/>
    <x v="1"/>
    <n v="55"/>
    <x v="2"/>
    <n v="1"/>
    <n v="1"/>
    <s v="Primary"/>
    <x v="2"/>
    <n v="1"/>
    <n v="6"/>
    <n v="6"/>
    <x v="0"/>
    <n v="0"/>
    <x v="0"/>
    <n v="0"/>
    <n v="1"/>
    <n v="0"/>
    <n v="274"/>
    <n v="274"/>
    <x v="0"/>
    <n v="148"/>
    <n v="94"/>
    <n v="28.55"/>
    <n v="28.55"/>
    <x v="0"/>
    <n v="62"/>
    <n v="62"/>
    <n v="65"/>
    <n v="65"/>
    <x v="0"/>
    <x v="0"/>
  </r>
  <r>
    <n v="0"/>
    <x v="0"/>
    <n v="55"/>
    <x v="2"/>
    <n v="1"/>
    <n v="1"/>
    <s v="Primary"/>
    <x v="2"/>
    <n v="1"/>
    <n v="1"/>
    <n v="1"/>
    <x v="0"/>
    <n v="0"/>
    <x v="0"/>
    <n v="0"/>
    <n v="0"/>
    <n v="0"/>
    <n v="240"/>
    <n v="240"/>
    <x v="1"/>
    <n v="107.5"/>
    <n v="70"/>
    <n v="18.059999999999999"/>
    <n v="18.059999999999999"/>
    <x v="3"/>
    <n v="71"/>
    <n v="71"/>
    <n v="140"/>
    <n v="140"/>
    <x v="0"/>
    <x v="0"/>
  </r>
  <r>
    <n v="0"/>
    <x v="0"/>
    <n v="55"/>
    <x v="2"/>
    <s v="NA"/>
    <n v="1"/>
    <s v="Primary"/>
    <x v="2"/>
    <n v="0"/>
    <n v="0"/>
    <n v="0"/>
    <x v="1"/>
    <n v="0"/>
    <x v="0"/>
    <n v="0"/>
    <n v="0"/>
    <n v="0"/>
    <n v="270"/>
    <n v="270"/>
    <x v="0"/>
    <n v="117"/>
    <n v="71"/>
    <n v="23.79"/>
    <n v="23.79"/>
    <x v="1"/>
    <n v="71"/>
    <n v="71"/>
    <n v="72"/>
    <n v="72"/>
    <x v="0"/>
    <x v="0"/>
  </r>
  <r>
    <n v="1"/>
    <x v="1"/>
    <n v="55"/>
    <x v="2"/>
    <n v="1"/>
    <n v="1"/>
    <s v="Primary"/>
    <x v="2"/>
    <n v="1"/>
    <n v="45"/>
    <n v="45"/>
    <x v="0"/>
    <n v="0"/>
    <x v="0"/>
    <n v="0"/>
    <n v="0"/>
    <n v="0"/>
    <n v="345"/>
    <n v="345"/>
    <x v="0"/>
    <n v="134"/>
    <n v="89"/>
    <n v="27.38"/>
    <n v="27.38"/>
    <x v="0"/>
    <n v="72"/>
    <n v="72"/>
    <n v="60"/>
    <n v="60"/>
    <x v="0"/>
    <x v="0"/>
  </r>
  <r>
    <n v="0"/>
    <x v="0"/>
    <n v="55"/>
    <x v="2"/>
    <n v="1"/>
    <n v="1"/>
    <s v="Primary"/>
    <x v="2"/>
    <n v="0"/>
    <n v="0"/>
    <n v="0"/>
    <x v="1"/>
    <n v="0"/>
    <x v="0"/>
    <n v="0"/>
    <n v="0"/>
    <n v="0"/>
    <n v="328"/>
    <n v="328"/>
    <x v="0"/>
    <n v="106"/>
    <n v="77"/>
    <n v="29.65"/>
    <n v="29.65"/>
    <x v="0"/>
    <n v="75"/>
    <n v="75"/>
    <s v="NA"/>
    <n v="81.96365524402907"/>
    <x v="0"/>
    <x v="0"/>
  </r>
  <r>
    <n v="0"/>
    <x v="0"/>
    <n v="55"/>
    <x v="2"/>
    <n v="1"/>
    <n v="1"/>
    <s v="Primary"/>
    <x v="2"/>
    <n v="0"/>
    <n v="0"/>
    <n v="0"/>
    <x v="1"/>
    <n v="0"/>
    <x v="0"/>
    <n v="0"/>
    <n v="1"/>
    <n v="0"/>
    <n v="180"/>
    <n v="180"/>
    <x v="1"/>
    <n v="165"/>
    <n v="88"/>
    <n v="22.57"/>
    <n v="22.57"/>
    <x v="1"/>
    <n v="68"/>
    <n v="68"/>
    <n v="77"/>
    <n v="77"/>
    <x v="0"/>
    <x v="1"/>
  </r>
  <r>
    <n v="1"/>
    <x v="1"/>
    <n v="55"/>
    <x v="2"/>
    <n v="2"/>
    <n v="2"/>
    <s v="Secondary"/>
    <x v="0"/>
    <n v="1"/>
    <n v="20"/>
    <n v="20"/>
    <x v="0"/>
    <n v="0"/>
    <x v="0"/>
    <n v="0"/>
    <n v="0"/>
    <n v="0"/>
    <n v="280"/>
    <n v="280"/>
    <x v="0"/>
    <n v="134"/>
    <n v="85.5"/>
    <n v="29.86"/>
    <n v="29.86"/>
    <x v="0"/>
    <n v="80"/>
    <n v="80"/>
    <n v="75"/>
    <n v="75"/>
    <x v="0"/>
    <x v="0"/>
  </r>
  <r>
    <n v="0"/>
    <x v="0"/>
    <n v="55"/>
    <x v="2"/>
    <n v="2"/>
    <n v="2"/>
    <s v="Secondary"/>
    <x v="0"/>
    <n v="0"/>
    <n v="0"/>
    <n v="0"/>
    <x v="1"/>
    <n v="0"/>
    <x v="0"/>
    <n v="0"/>
    <n v="1"/>
    <n v="0"/>
    <n v="326"/>
    <n v="326"/>
    <x v="0"/>
    <n v="144"/>
    <n v="81"/>
    <n v="25.71"/>
    <n v="25.71"/>
    <x v="0"/>
    <n v="85"/>
    <n v="85"/>
    <s v="NA"/>
    <n v="81.96365524402907"/>
    <x v="0"/>
    <x v="0"/>
  </r>
  <r>
    <n v="0"/>
    <x v="0"/>
    <n v="55"/>
    <x v="2"/>
    <n v="3"/>
    <n v="3"/>
    <s v="Graduate"/>
    <x v="1"/>
    <n v="1"/>
    <n v="20"/>
    <n v="20"/>
    <x v="0"/>
    <n v="0"/>
    <x v="0"/>
    <n v="0"/>
    <n v="0"/>
    <n v="1"/>
    <n v="216"/>
    <n v="216"/>
    <x v="1"/>
    <n v="125"/>
    <n v="80"/>
    <n v="27.18"/>
    <n v="27.18"/>
    <x v="0"/>
    <n v="86"/>
    <n v="86"/>
    <n v="244"/>
    <n v="244"/>
    <x v="0"/>
    <x v="0"/>
  </r>
  <r>
    <n v="0"/>
    <x v="0"/>
    <n v="55"/>
    <x v="2"/>
    <n v="1"/>
    <n v="1"/>
    <s v="Primary"/>
    <x v="2"/>
    <n v="0"/>
    <n v="0"/>
    <n v="0"/>
    <x v="1"/>
    <n v="0"/>
    <x v="0"/>
    <n v="0"/>
    <n v="0"/>
    <n v="0"/>
    <n v="204"/>
    <n v="204"/>
    <x v="1"/>
    <n v="131"/>
    <n v="87"/>
    <n v="24.68"/>
    <n v="24.68"/>
    <x v="1"/>
    <n v="63"/>
    <n v="63"/>
    <n v="70"/>
    <n v="70"/>
    <x v="0"/>
    <x v="0"/>
  </r>
  <r>
    <n v="0"/>
    <x v="0"/>
    <n v="55"/>
    <x v="2"/>
    <n v="1"/>
    <n v="1"/>
    <s v="Primary"/>
    <x v="2"/>
    <n v="0"/>
    <n v="0"/>
    <n v="0"/>
    <x v="1"/>
    <n v="0"/>
    <x v="0"/>
    <n v="0"/>
    <n v="0"/>
    <n v="0"/>
    <n v="331"/>
    <n v="331"/>
    <x v="0"/>
    <n v="128"/>
    <n v="84"/>
    <n v="21.18"/>
    <n v="21.18"/>
    <x v="1"/>
    <n v="70"/>
    <n v="70"/>
    <n v="76"/>
    <n v="76"/>
    <x v="0"/>
    <x v="0"/>
  </r>
  <r>
    <n v="1"/>
    <x v="1"/>
    <n v="55"/>
    <x v="2"/>
    <n v="1"/>
    <n v="1"/>
    <s v="Primary"/>
    <x v="2"/>
    <n v="1"/>
    <n v="30"/>
    <n v="30"/>
    <x v="0"/>
    <n v="0"/>
    <x v="0"/>
    <n v="0"/>
    <n v="0"/>
    <n v="0"/>
    <n v="175"/>
    <n v="175"/>
    <x v="1"/>
    <n v="150"/>
    <n v="88"/>
    <n v="22.72"/>
    <n v="22.72"/>
    <x v="1"/>
    <n v="56"/>
    <n v="56"/>
    <s v="NA"/>
    <n v="81.96365524402907"/>
    <x v="0"/>
    <x v="1"/>
  </r>
  <r>
    <n v="0"/>
    <x v="0"/>
    <n v="55"/>
    <x v="2"/>
    <n v="1"/>
    <n v="1"/>
    <s v="Primary"/>
    <x v="2"/>
    <n v="0"/>
    <n v="0"/>
    <n v="0"/>
    <x v="1"/>
    <n v="0"/>
    <x v="0"/>
    <n v="0"/>
    <n v="1"/>
    <n v="0"/>
    <n v="226"/>
    <n v="226"/>
    <x v="1"/>
    <n v="141"/>
    <n v="84"/>
    <n v="27.6"/>
    <n v="27.6"/>
    <x v="0"/>
    <n v="69"/>
    <n v="69"/>
    <n v="73"/>
    <n v="73"/>
    <x v="0"/>
    <x v="0"/>
  </r>
  <r>
    <n v="0"/>
    <x v="0"/>
    <n v="55"/>
    <x v="2"/>
    <n v="1"/>
    <n v="1"/>
    <s v="Primary"/>
    <x v="2"/>
    <n v="0"/>
    <n v="0"/>
    <n v="0"/>
    <x v="1"/>
    <n v="0"/>
    <x v="0"/>
    <n v="0"/>
    <n v="0"/>
    <n v="0"/>
    <n v="290"/>
    <n v="290"/>
    <x v="0"/>
    <n v="132"/>
    <n v="81"/>
    <n v="27.86"/>
    <n v="27.86"/>
    <x v="0"/>
    <n v="85"/>
    <n v="85"/>
    <n v="92"/>
    <n v="92"/>
    <x v="0"/>
    <x v="0"/>
  </r>
  <r>
    <n v="1"/>
    <x v="1"/>
    <n v="55"/>
    <x v="2"/>
    <n v="2"/>
    <n v="2"/>
    <s v="Secondary"/>
    <x v="0"/>
    <n v="1"/>
    <n v="20"/>
    <n v="20"/>
    <x v="0"/>
    <n v="0"/>
    <x v="0"/>
    <n v="0"/>
    <n v="0"/>
    <n v="0"/>
    <n v="283"/>
    <n v="283"/>
    <x v="0"/>
    <n v="137"/>
    <n v="82"/>
    <n v="28.49"/>
    <n v="28.49"/>
    <x v="0"/>
    <n v="75"/>
    <n v="75"/>
    <n v="85"/>
    <n v="85"/>
    <x v="0"/>
    <x v="0"/>
  </r>
  <r>
    <n v="1"/>
    <x v="1"/>
    <n v="55"/>
    <x v="2"/>
    <n v="4"/>
    <n v="4"/>
    <s v="Post Graduate"/>
    <x v="3"/>
    <n v="0"/>
    <n v="0"/>
    <n v="0"/>
    <x v="1"/>
    <n v="0"/>
    <x v="0"/>
    <n v="0"/>
    <n v="0"/>
    <n v="0"/>
    <n v="275"/>
    <n v="275"/>
    <x v="0"/>
    <n v="115"/>
    <n v="78"/>
    <n v="28.52"/>
    <n v="28.52"/>
    <x v="0"/>
    <n v="73"/>
    <n v="73"/>
    <n v="79"/>
    <n v="79"/>
    <x v="0"/>
    <x v="1"/>
  </r>
  <r>
    <n v="1"/>
    <x v="1"/>
    <n v="55"/>
    <x v="2"/>
    <n v="3"/>
    <n v="3"/>
    <s v="Graduate"/>
    <x v="1"/>
    <n v="1"/>
    <n v="15"/>
    <n v="15"/>
    <x v="0"/>
    <n v="0"/>
    <x v="0"/>
    <n v="0"/>
    <n v="0"/>
    <n v="0"/>
    <n v="215"/>
    <n v="215"/>
    <x v="1"/>
    <n v="121.5"/>
    <n v="81.5"/>
    <n v="28.45"/>
    <n v="28.45"/>
    <x v="0"/>
    <n v="71"/>
    <n v="71"/>
    <n v="98"/>
    <n v="98"/>
    <x v="0"/>
    <x v="0"/>
  </r>
  <r>
    <n v="1"/>
    <x v="1"/>
    <n v="55"/>
    <x v="2"/>
    <n v="1"/>
    <n v="1"/>
    <s v="Primary"/>
    <x v="2"/>
    <n v="1"/>
    <n v="20"/>
    <n v="20"/>
    <x v="0"/>
    <n v="0"/>
    <x v="0"/>
    <n v="0"/>
    <n v="1"/>
    <n v="0"/>
    <n v="281"/>
    <n v="281"/>
    <x v="0"/>
    <n v="165"/>
    <n v="108"/>
    <n v="24.14"/>
    <n v="24.14"/>
    <x v="1"/>
    <n v="75"/>
    <n v="75"/>
    <n v="66"/>
    <n v="66"/>
    <x v="0"/>
    <x v="0"/>
  </r>
  <r>
    <n v="0"/>
    <x v="0"/>
    <n v="55"/>
    <x v="2"/>
    <n v="1"/>
    <n v="1"/>
    <s v="Primary"/>
    <x v="2"/>
    <n v="1"/>
    <s v="NA"/>
    <n v="9"/>
    <x v="0"/>
    <n v="0"/>
    <x v="0"/>
    <n v="0"/>
    <n v="1"/>
    <n v="0"/>
    <n v="213"/>
    <n v="213"/>
    <x v="1"/>
    <n v="163"/>
    <n v="91"/>
    <n v="28.66"/>
    <n v="28.66"/>
    <x v="0"/>
    <n v="69"/>
    <n v="69"/>
    <n v="66"/>
    <n v="66"/>
    <x v="0"/>
    <x v="0"/>
  </r>
  <r>
    <n v="0"/>
    <x v="0"/>
    <n v="55"/>
    <x v="2"/>
    <n v="1"/>
    <n v="1"/>
    <s v="Primary"/>
    <x v="2"/>
    <n v="0"/>
    <n v="0"/>
    <n v="0"/>
    <x v="1"/>
    <n v="0"/>
    <x v="0"/>
    <n v="0"/>
    <n v="0"/>
    <n v="0"/>
    <n v="235"/>
    <n v="235"/>
    <x v="1"/>
    <n v="123"/>
    <n v="81"/>
    <n v="31.44"/>
    <n v="31.44"/>
    <x v="2"/>
    <n v="75"/>
    <n v="75"/>
    <n v="78"/>
    <n v="78"/>
    <x v="0"/>
    <x v="0"/>
  </r>
  <r>
    <n v="0"/>
    <x v="0"/>
    <n v="55"/>
    <x v="2"/>
    <n v="2"/>
    <n v="2"/>
    <s v="Secondary"/>
    <x v="0"/>
    <n v="0"/>
    <n v="0"/>
    <n v="0"/>
    <x v="1"/>
    <n v="0"/>
    <x v="0"/>
    <n v="0"/>
    <n v="1"/>
    <n v="0"/>
    <n v="256"/>
    <n v="256"/>
    <x v="0"/>
    <n v="143"/>
    <n v="82.5"/>
    <n v="23.81"/>
    <n v="23.81"/>
    <x v="1"/>
    <n v="90"/>
    <n v="90"/>
    <n v="90"/>
    <n v="90"/>
    <x v="0"/>
    <x v="0"/>
  </r>
  <r>
    <n v="1"/>
    <x v="1"/>
    <n v="55"/>
    <x v="2"/>
    <n v="2"/>
    <n v="2"/>
    <s v="Secondary"/>
    <x v="0"/>
    <n v="0"/>
    <n v="0"/>
    <n v="0"/>
    <x v="1"/>
    <n v="0"/>
    <x v="0"/>
    <n v="0"/>
    <n v="0"/>
    <n v="0"/>
    <n v="202"/>
    <n v="202"/>
    <x v="1"/>
    <n v="104"/>
    <n v="76"/>
    <n v="31.68"/>
    <n v="31.68"/>
    <x v="2"/>
    <n v="62"/>
    <n v="62"/>
    <n v="74"/>
    <n v="74"/>
    <x v="0"/>
    <x v="0"/>
  </r>
  <r>
    <n v="0"/>
    <x v="0"/>
    <n v="55"/>
    <x v="2"/>
    <n v="2"/>
    <n v="2"/>
    <s v="Secondary"/>
    <x v="0"/>
    <n v="0"/>
    <n v="0"/>
    <n v="0"/>
    <x v="1"/>
    <n v="0"/>
    <x v="0"/>
    <n v="0"/>
    <n v="1"/>
    <n v="0"/>
    <n v="309"/>
    <n v="309"/>
    <x v="0"/>
    <n v="177.5"/>
    <n v="110"/>
    <n v="22.89"/>
    <n v="22.89"/>
    <x v="1"/>
    <n v="63"/>
    <n v="63"/>
    <n v="73"/>
    <n v="73"/>
    <x v="0"/>
    <x v="0"/>
  </r>
  <r>
    <n v="0"/>
    <x v="0"/>
    <n v="55"/>
    <x v="2"/>
    <n v="2"/>
    <n v="2"/>
    <s v="Secondary"/>
    <x v="0"/>
    <n v="1"/>
    <n v="9"/>
    <n v="9"/>
    <x v="0"/>
    <n v="0"/>
    <x v="0"/>
    <n v="0"/>
    <n v="1"/>
    <n v="0"/>
    <n v="265"/>
    <n v="265"/>
    <x v="0"/>
    <n v="154"/>
    <n v="87"/>
    <n v="20.92"/>
    <n v="20.92"/>
    <x v="1"/>
    <n v="96"/>
    <n v="96"/>
    <n v="66"/>
    <n v="66"/>
    <x v="0"/>
    <x v="0"/>
  </r>
  <r>
    <n v="0"/>
    <x v="0"/>
    <n v="55"/>
    <x v="2"/>
    <n v="1"/>
    <n v="1"/>
    <s v="Primary"/>
    <x v="2"/>
    <n v="0"/>
    <n v="0"/>
    <n v="0"/>
    <x v="1"/>
    <n v="0"/>
    <x v="0"/>
    <n v="0"/>
    <n v="1"/>
    <n v="0"/>
    <n v="212"/>
    <n v="212"/>
    <x v="1"/>
    <n v="161"/>
    <n v="85"/>
    <n v="28.26"/>
    <n v="28.26"/>
    <x v="0"/>
    <n v="66"/>
    <n v="66"/>
    <n v="63"/>
    <n v="63"/>
    <x v="0"/>
    <x v="1"/>
  </r>
  <r>
    <n v="1"/>
    <x v="1"/>
    <n v="55"/>
    <x v="2"/>
    <n v="1"/>
    <n v="1"/>
    <s v="Primary"/>
    <x v="2"/>
    <n v="1"/>
    <n v="3"/>
    <n v="3"/>
    <x v="0"/>
    <s v="NA"/>
    <x v="0"/>
    <n v="0"/>
    <n v="0"/>
    <n v="0"/>
    <n v="246"/>
    <n v="246"/>
    <x v="0"/>
    <n v="112.5"/>
    <n v="72.5"/>
    <n v="27.56"/>
    <n v="27.56"/>
    <x v="0"/>
    <n v="60"/>
    <n v="60"/>
    <n v="72"/>
    <n v="72"/>
    <x v="1"/>
    <x v="0"/>
  </r>
  <r>
    <n v="0"/>
    <x v="0"/>
    <n v="55"/>
    <x v="2"/>
    <n v="1"/>
    <n v="1"/>
    <s v="Primary"/>
    <x v="2"/>
    <n v="0"/>
    <n v="0"/>
    <n v="0"/>
    <x v="1"/>
    <n v="0"/>
    <x v="0"/>
    <n v="0"/>
    <n v="1"/>
    <n v="0"/>
    <n v="185"/>
    <n v="185"/>
    <x v="1"/>
    <n v="140"/>
    <n v="84"/>
    <n v="25.94"/>
    <n v="25.94"/>
    <x v="0"/>
    <n v="78"/>
    <n v="78"/>
    <n v="90"/>
    <n v="90"/>
    <x v="0"/>
    <x v="0"/>
  </r>
  <r>
    <n v="0"/>
    <x v="0"/>
    <n v="55"/>
    <x v="2"/>
    <n v="1"/>
    <n v="1"/>
    <s v="Primary"/>
    <x v="2"/>
    <n v="0"/>
    <n v="0"/>
    <n v="0"/>
    <x v="1"/>
    <n v="0"/>
    <x v="0"/>
    <n v="0"/>
    <n v="0"/>
    <n v="0"/>
    <n v="257"/>
    <n v="257"/>
    <x v="0"/>
    <n v="132"/>
    <n v="81"/>
    <n v="27.49"/>
    <n v="27.49"/>
    <x v="0"/>
    <n v="60"/>
    <n v="60"/>
    <n v="86"/>
    <n v="86"/>
    <x v="0"/>
    <x v="0"/>
  </r>
  <r>
    <n v="1"/>
    <x v="1"/>
    <n v="55"/>
    <x v="2"/>
    <n v="1"/>
    <n v="1"/>
    <s v="Primary"/>
    <x v="2"/>
    <n v="0"/>
    <n v="0"/>
    <n v="0"/>
    <x v="1"/>
    <n v="0"/>
    <x v="0"/>
    <n v="0"/>
    <n v="0"/>
    <n v="0"/>
    <n v="237"/>
    <n v="237"/>
    <x v="1"/>
    <n v="124"/>
    <n v="84"/>
    <n v="28.18"/>
    <n v="28.18"/>
    <x v="0"/>
    <n v="63"/>
    <n v="63"/>
    <n v="97"/>
    <n v="97"/>
    <x v="0"/>
    <x v="0"/>
  </r>
  <r>
    <n v="0"/>
    <x v="0"/>
    <n v="55"/>
    <x v="2"/>
    <n v="1"/>
    <n v="1"/>
    <s v="Primary"/>
    <x v="2"/>
    <n v="1"/>
    <n v="9"/>
    <n v="9"/>
    <x v="0"/>
    <n v="0"/>
    <x v="0"/>
    <n v="0"/>
    <n v="1"/>
    <n v="0"/>
    <n v="244"/>
    <n v="244"/>
    <x v="0"/>
    <n v="145.5"/>
    <n v="94"/>
    <n v="28.86"/>
    <n v="28.86"/>
    <x v="0"/>
    <n v="62"/>
    <n v="62"/>
    <n v="72"/>
    <n v="72"/>
    <x v="0"/>
    <x v="0"/>
  </r>
  <r>
    <n v="0"/>
    <x v="0"/>
    <n v="55"/>
    <x v="2"/>
    <n v="3"/>
    <n v="3"/>
    <s v="Graduate"/>
    <x v="1"/>
    <n v="0"/>
    <n v="0"/>
    <n v="0"/>
    <x v="1"/>
    <n v="0"/>
    <x v="0"/>
    <n v="0"/>
    <n v="1"/>
    <n v="0"/>
    <n v="262"/>
    <n v="262"/>
    <x v="0"/>
    <n v="122.5"/>
    <n v="84"/>
    <n v="28.68"/>
    <n v="28.68"/>
    <x v="0"/>
    <n v="66"/>
    <n v="66"/>
    <n v="76"/>
    <n v="76"/>
    <x v="0"/>
    <x v="1"/>
  </r>
  <r>
    <n v="0"/>
    <x v="0"/>
    <n v="55"/>
    <x v="2"/>
    <n v="1"/>
    <n v="1"/>
    <s v="Primary"/>
    <x v="2"/>
    <n v="0"/>
    <n v="0"/>
    <n v="0"/>
    <x v="1"/>
    <n v="0"/>
    <x v="0"/>
    <n v="0"/>
    <n v="0"/>
    <n v="0"/>
    <n v="204"/>
    <n v="204"/>
    <x v="1"/>
    <n v="100.5"/>
    <n v="62"/>
    <n v="29.44"/>
    <n v="29.44"/>
    <x v="0"/>
    <n v="82"/>
    <n v="82"/>
    <n v="88"/>
    <n v="88"/>
    <x v="0"/>
    <x v="0"/>
  </r>
  <r>
    <n v="1"/>
    <x v="1"/>
    <n v="55"/>
    <x v="2"/>
    <n v="4"/>
    <n v="4"/>
    <s v="Post Graduate"/>
    <x v="3"/>
    <n v="0"/>
    <n v="0"/>
    <n v="0"/>
    <x v="1"/>
    <n v="0"/>
    <x v="0"/>
    <n v="0"/>
    <n v="0"/>
    <n v="0"/>
    <n v="232"/>
    <n v="232"/>
    <x v="1"/>
    <n v="132.5"/>
    <n v="87"/>
    <n v="20.72"/>
    <n v="20.72"/>
    <x v="1"/>
    <n v="72"/>
    <n v="72"/>
    <n v="71"/>
    <n v="71"/>
    <x v="0"/>
    <x v="0"/>
  </r>
  <r>
    <n v="0"/>
    <x v="0"/>
    <n v="55"/>
    <x v="2"/>
    <n v="4"/>
    <n v="4"/>
    <s v="Post Graduate"/>
    <x v="3"/>
    <n v="0"/>
    <n v="0"/>
    <n v="0"/>
    <x v="1"/>
    <n v="0"/>
    <x v="0"/>
    <n v="0"/>
    <n v="1"/>
    <n v="0"/>
    <n v="260"/>
    <n v="260"/>
    <x v="0"/>
    <n v="172.5"/>
    <n v="100.5"/>
    <n v="32.270000000000003"/>
    <n v="32.270000000000003"/>
    <x v="2"/>
    <n v="58"/>
    <n v="58"/>
    <n v="72"/>
    <n v="72"/>
    <x v="0"/>
    <x v="1"/>
  </r>
  <r>
    <n v="1"/>
    <x v="1"/>
    <n v="55"/>
    <x v="2"/>
    <n v="1"/>
    <n v="1"/>
    <s v="Primary"/>
    <x v="2"/>
    <n v="0"/>
    <n v="0"/>
    <n v="0"/>
    <x v="1"/>
    <n v="0"/>
    <x v="0"/>
    <n v="0"/>
    <n v="0"/>
    <n v="0"/>
    <n v="199"/>
    <n v="199"/>
    <x v="1"/>
    <n v="134"/>
    <n v="80"/>
    <n v="26.41"/>
    <n v="26.41"/>
    <x v="0"/>
    <n v="120"/>
    <n v="120"/>
    <s v="NA"/>
    <n v="81.96365524402907"/>
    <x v="0"/>
    <x v="0"/>
  </r>
  <r>
    <n v="1"/>
    <x v="1"/>
    <n v="55"/>
    <x v="2"/>
    <n v="1"/>
    <n v="1"/>
    <s v="Primary"/>
    <x v="2"/>
    <n v="1"/>
    <n v="20"/>
    <n v="20"/>
    <x v="0"/>
    <n v="0"/>
    <x v="0"/>
    <n v="0"/>
    <n v="0"/>
    <n v="0"/>
    <n v="243"/>
    <n v="243"/>
    <x v="0"/>
    <n v="116"/>
    <n v="72"/>
    <n v="24.73"/>
    <n v="24.73"/>
    <x v="1"/>
    <n v="95"/>
    <n v="95"/>
    <n v="72"/>
    <n v="72"/>
    <x v="0"/>
    <x v="0"/>
  </r>
  <r>
    <n v="0"/>
    <x v="0"/>
    <n v="55"/>
    <x v="2"/>
    <n v="3"/>
    <n v="3"/>
    <s v="Graduate"/>
    <x v="1"/>
    <n v="0"/>
    <n v="0"/>
    <n v="0"/>
    <x v="1"/>
    <n v="0"/>
    <x v="0"/>
    <n v="0"/>
    <n v="1"/>
    <n v="0"/>
    <n v="237"/>
    <n v="237"/>
    <x v="1"/>
    <n v="153"/>
    <n v="80"/>
    <n v="28.9"/>
    <n v="28.9"/>
    <x v="0"/>
    <n v="74"/>
    <n v="74"/>
    <n v="72"/>
    <n v="72"/>
    <x v="0"/>
    <x v="0"/>
  </r>
  <r>
    <n v="0"/>
    <x v="0"/>
    <n v="55"/>
    <x v="2"/>
    <n v="1"/>
    <n v="1"/>
    <s v="Primary"/>
    <x v="2"/>
    <n v="0"/>
    <n v="0"/>
    <n v="0"/>
    <x v="1"/>
    <n v="0"/>
    <x v="0"/>
    <n v="0"/>
    <n v="0"/>
    <n v="0"/>
    <n v="250"/>
    <n v="250"/>
    <x v="0"/>
    <n v="132"/>
    <n v="88"/>
    <n v="22.62"/>
    <n v="22.62"/>
    <x v="1"/>
    <n v="78"/>
    <n v="78"/>
    <n v="70"/>
    <n v="70"/>
    <x v="0"/>
    <x v="0"/>
  </r>
  <r>
    <n v="0"/>
    <x v="0"/>
    <n v="55"/>
    <x v="2"/>
    <n v="2"/>
    <n v="2"/>
    <s v="Secondary"/>
    <x v="0"/>
    <n v="0"/>
    <n v="0"/>
    <n v="0"/>
    <x v="1"/>
    <n v="0"/>
    <x v="0"/>
    <n v="0"/>
    <n v="0"/>
    <n v="0"/>
    <n v="273"/>
    <n v="273"/>
    <x v="0"/>
    <n v="125"/>
    <n v="80"/>
    <n v="23.05"/>
    <n v="23.05"/>
    <x v="1"/>
    <n v="85"/>
    <n v="85"/>
    <n v="67"/>
    <n v="67"/>
    <x v="0"/>
    <x v="0"/>
  </r>
  <r>
    <n v="0"/>
    <x v="0"/>
    <n v="55"/>
    <x v="2"/>
    <n v="2"/>
    <n v="2"/>
    <s v="Secondary"/>
    <x v="0"/>
    <n v="0"/>
    <n v="0"/>
    <n v="0"/>
    <x v="1"/>
    <n v="0"/>
    <x v="0"/>
    <n v="0"/>
    <n v="0"/>
    <n v="0"/>
    <n v="266"/>
    <n v="266"/>
    <x v="0"/>
    <n v="131"/>
    <n v="76"/>
    <n v="26.45"/>
    <n v="26.45"/>
    <x v="0"/>
    <n v="72"/>
    <n v="72"/>
    <n v="84"/>
    <n v="84"/>
    <x v="0"/>
    <x v="0"/>
  </r>
  <r>
    <n v="0"/>
    <x v="0"/>
    <n v="55"/>
    <x v="2"/>
    <n v="1"/>
    <n v="1"/>
    <s v="Primary"/>
    <x v="2"/>
    <n v="0"/>
    <n v="0"/>
    <n v="0"/>
    <x v="1"/>
    <n v="0"/>
    <x v="0"/>
    <n v="0"/>
    <n v="1"/>
    <n v="0"/>
    <n v="268"/>
    <n v="268"/>
    <x v="0"/>
    <n v="140"/>
    <n v="88"/>
    <n v="26.99"/>
    <n v="26.99"/>
    <x v="0"/>
    <n v="85"/>
    <n v="85"/>
    <n v="117"/>
    <n v="117"/>
    <x v="0"/>
    <x v="0"/>
  </r>
  <r>
    <n v="0"/>
    <x v="0"/>
    <n v="55"/>
    <x v="2"/>
    <n v="1"/>
    <n v="1"/>
    <s v="Primary"/>
    <x v="2"/>
    <n v="0"/>
    <n v="0"/>
    <n v="0"/>
    <x v="1"/>
    <n v="0"/>
    <x v="0"/>
    <n v="0"/>
    <n v="0"/>
    <n v="0"/>
    <n v="266"/>
    <n v="266"/>
    <x v="0"/>
    <n v="107"/>
    <n v="70"/>
    <n v="24.51"/>
    <n v="24.51"/>
    <x v="1"/>
    <n v="72"/>
    <n v="72"/>
    <n v="77"/>
    <n v="77"/>
    <x v="0"/>
    <x v="0"/>
  </r>
  <r>
    <n v="1"/>
    <x v="1"/>
    <n v="55"/>
    <x v="2"/>
    <n v="1"/>
    <n v="1"/>
    <s v="Primary"/>
    <x v="2"/>
    <n v="1"/>
    <n v="40"/>
    <n v="40"/>
    <x v="0"/>
    <n v="0"/>
    <x v="0"/>
    <n v="0"/>
    <n v="0"/>
    <n v="0"/>
    <n v="242"/>
    <n v="242"/>
    <x v="0"/>
    <n v="130"/>
    <n v="85"/>
    <n v="26.79"/>
    <n v="26.79"/>
    <x v="0"/>
    <n v="80"/>
    <n v="80"/>
    <n v="93"/>
    <n v="93"/>
    <x v="0"/>
    <x v="0"/>
  </r>
  <r>
    <n v="1"/>
    <x v="1"/>
    <n v="55"/>
    <x v="2"/>
    <n v="2"/>
    <n v="2"/>
    <s v="Secondary"/>
    <x v="0"/>
    <n v="0"/>
    <n v="0"/>
    <n v="0"/>
    <x v="1"/>
    <n v="0"/>
    <x v="0"/>
    <n v="0"/>
    <n v="1"/>
    <n v="0"/>
    <n v="198"/>
    <n v="198"/>
    <x v="1"/>
    <n v="176"/>
    <n v="109"/>
    <n v="28.45"/>
    <n v="28.45"/>
    <x v="0"/>
    <n v="60"/>
    <n v="60"/>
    <n v="85"/>
    <n v="85"/>
    <x v="0"/>
    <x v="0"/>
  </r>
  <r>
    <n v="0"/>
    <x v="0"/>
    <n v="55"/>
    <x v="2"/>
    <n v="1"/>
    <n v="1"/>
    <s v="Primary"/>
    <x v="2"/>
    <n v="0"/>
    <n v="0"/>
    <n v="0"/>
    <x v="1"/>
    <n v="0"/>
    <x v="0"/>
    <n v="0"/>
    <n v="0"/>
    <n v="0"/>
    <n v="195"/>
    <n v="195"/>
    <x v="1"/>
    <n v="133.5"/>
    <n v="81.5"/>
    <n v="23.46"/>
    <n v="23.46"/>
    <x v="1"/>
    <n v="90"/>
    <n v="90"/>
    <s v="NA"/>
    <n v="81.96365524402907"/>
    <x v="0"/>
    <x v="1"/>
  </r>
  <r>
    <n v="0"/>
    <x v="0"/>
    <n v="55"/>
    <x v="2"/>
    <s v="NA"/>
    <n v="1"/>
    <s v="Primary"/>
    <x v="2"/>
    <n v="0"/>
    <n v="0"/>
    <n v="0"/>
    <x v="1"/>
    <n v="0"/>
    <x v="0"/>
    <n v="0"/>
    <n v="0"/>
    <n v="0"/>
    <n v="240"/>
    <n v="240"/>
    <x v="1"/>
    <n v="145"/>
    <n v="96"/>
    <n v="26.27"/>
    <n v="26.27"/>
    <x v="0"/>
    <n v="72"/>
    <n v="72"/>
    <s v="NA"/>
    <n v="81.96365524402907"/>
    <x v="0"/>
    <x v="0"/>
  </r>
  <r>
    <n v="1"/>
    <x v="1"/>
    <n v="55"/>
    <x v="2"/>
    <n v="1"/>
    <n v="1"/>
    <s v="Primary"/>
    <x v="2"/>
    <n v="0"/>
    <n v="0"/>
    <n v="0"/>
    <x v="1"/>
    <n v="0"/>
    <x v="0"/>
    <n v="0"/>
    <n v="0"/>
    <n v="0"/>
    <n v="231"/>
    <n v="231"/>
    <x v="1"/>
    <n v="105"/>
    <n v="82"/>
    <n v="27.73"/>
    <n v="27.73"/>
    <x v="0"/>
    <n v="75"/>
    <n v="75"/>
    <n v="66"/>
    <n v="66"/>
    <x v="0"/>
    <x v="0"/>
  </r>
  <r>
    <n v="1"/>
    <x v="1"/>
    <n v="55"/>
    <x v="2"/>
    <n v="1"/>
    <n v="1"/>
    <s v="Primary"/>
    <x v="2"/>
    <n v="1"/>
    <n v="30"/>
    <n v="30"/>
    <x v="0"/>
    <n v="0"/>
    <x v="0"/>
    <n v="0"/>
    <n v="1"/>
    <n v="0"/>
    <n v="239"/>
    <n v="239"/>
    <x v="1"/>
    <n v="144"/>
    <n v="96.5"/>
    <n v="28.82"/>
    <n v="28.82"/>
    <x v="0"/>
    <n v="70"/>
    <n v="70"/>
    <n v="102"/>
    <n v="102"/>
    <x v="0"/>
    <x v="0"/>
  </r>
  <r>
    <n v="0"/>
    <x v="0"/>
    <n v="55"/>
    <x v="2"/>
    <n v="2"/>
    <n v="2"/>
    <s v="Secondary"/>
    <x v="0"/>
    <n v="0"/>
    <n v="0"/>
    <n v="0"/>
    <x v="1"/>
    <n v="0"/>
    <x v="0"/>
    <n v="0"/>
    <n v="1"/>
    <n v="0"/>
    <n v="198"/>
    <n v="198"/>
    <x v="1"/>
    <n v="136"/>
    <n v="93"/>
    <n v="22.54"/>
    <n v="22.54"/>
    <x v="1"/>
    <n v="85"/>
    <n v="85"/>
    <n v="83"/>
    <n v="83"/>
    <x v="0"/>
    <x v="0"/>
  </r>
  <r>
    <n v="1"/>
    <x v="1"/>
    <n v="56"/>
    <x v="2"/>
    <s v="NA"/>
    <n v="1"/>
    <s v="Primary"/>
    <x v="2"/>
    <n v="0"/>
    <n v="0"/>
    <n v="0"/>
    <x v="1"/>
    <n v="0"/>
    <x v="0"/>
    <n v="0"/>
    <n v="0"/>
    <n v="0"/>
    <n v="257"/>
    <n v="257"/>
    <x v="0"/>
    <n v="153.5"/>
    <n v="102"/>
    <n v="28.09"/>
    <n v="28.09"/>
    <x v="0"/>
    <n v="72"/>
    <n v="72"/>
    <n v="75"/>
    <n v="75"/>
    <x v="0"/>
    <x v="0"/>
  </r>
  <r>
    <n v="1"/>
    <x v="1"/>
    <n v="56"/>
    <x v="2"/>
    <n v="4"/>
    <n v="4"/>
    <s v="Post Graduate"/>
    <x v="3"/>
    <n v="1"/>
    <n v="20"/>
    <n v="20"/>
    <x v="0"/>
    <n v="0"/>
    <x v="0"/>
    <n v="0"/>
    <n v="0"/>
    <n v="0"/>
    <n v="270"/>
    <n v="270"/>
    <x v="0"/>
    <n v="121"/>
    <n v="79"/>
    <n v="23.58"/>
    <n v="23.58"/>
    <x v="1"/>
    <n v="95"/>
    <n v="95"/>
    <n v="93"/>
    <n v="93"/>
    <x v="0"/>
    <x v="0"/>
  </r>
  <r>
    <n v="0"/>
    <x v="0"/>
    <n v="56"/>
    <x v="2"/>
    <n v="1"/>
    <n v="1"/>
    <s v="Primary"/>
    <x v="2"/>
    <n v="0"/>
    <n v="0"/>
    <n v="0"/>
    <x v="1"/>
    <n v="0"/>
    <x v="0"/>
    <n v="0"/>
    <n v="1"/>
    <n v="0"/>
    <n v="296"/>
    <n v="296"/>
    <x v="0"/>
    <n v="180"/>
    <n v="90"/>
    <n v="23.72"/>
    <n v="23.72"/>
    <x v="1"/>
    <n v="75"/>
    <n v="75"/>
    <n v="120"/>
    <n v="120"/>
    <x v="0"/>
    <x v="0"/>
  </r>
  <r>
    <n v="0"/>
    <x v="0"/>
    <n v="56"/>
    <x v="2"/>
    <n v="1"/>
    <n v="1"/>
    <s v="Primary"/>
    <x v="2"/>
    <n v="1"/>
    <n v="15"/>
    <n v="15"/>
    <x v="0"/>
    <n v="0"/>
    <x v="0"/>
    <n v="0"/>
    <n v="0"/>
    <n v="0"/>
    <n v="269"/>
    <n v="269"/>
    <x v="0"/>
    <n v="121"/>
    <n v="75"/>
    <n v="22.36"/>
    <n v="22.36"/>
    <x v="1"/>
    <n v="50"/>
    <n v="50"/>
    <n v="66"/>
    <n v="66"/>
    <x v="0"/>
    <x v="0"/>
  </r>
  <r>
    <n v="0"/>
    <x v="0"/>
    <n v="56"/>
    <x v="2"/>
    <n v="2"/>
    <n v="2"/>
    <s v="Secondary"/>
    <x v="0"/>
    <n v="1"/>
    <n v="20"/>
    <n v="20"/>
    <x v="0"/>
    <n v="0"/>
    <x v="0"/>
    <n v="0"/>
    <n v="0"/>
    <n v="0"/>
    <n v="246"/>
    <n v="246"/>
    <x v="0"/>
    <n v="128"/>
    <n v="64"/>
    <n v="25.54"/>
    <n v="25.54"/>
    <x v="0"/>
    <n v="92"/>
    <n v="92"/>
    <n v="92"/>
    <n v="92"/>
    <x v="0"/>
    <x v="0"/>
  </r>
  <r>
    <n v="0"/>
    <x v="0"/>
    <n v="56"/>
    <x v="2"/>
    <n v="1"/>
    <n v="1"/>
    <s v="Primary"/>
    <x v="2"/>
    <n v="1"/>
    <n v="3"/>
    <n v="3"/>
    <x v="0"/>
    <n v="0"/>
    <x v="0"/>
    <n v="0"/>
    <n v="1"/>
    <n v="0"/>
    <n v="279"/>
    <n v="279"/>
    <x v="0"/>
    <n v="136"/>
    <n v="94"/>
    <n v="32.99"/>
    <n v="32.99"/>
    <x v="2"/>
    <n v="50"/>
    <n v="50"/>
    <n v="102"/>
    <n v="102"/>
    <x v="0"/>
    <x v="0"/>
  </r>
  <r>
    <n v="1"/>
    <x v="1"/>
    <n v="56"/>
    <x v="2"/>
    <n v="1"/>
    <n v="1"/>
    <s v="Primary"/>
    <x v="2"/>
    <n v="0"/>
    <n v="0"/>
    <n v="0"/>
    <x v="1"/>
    <n v="0"/>
    <x v="0"/>
    <n v="0"/>
    <n v="1"/>
    <n v="0"/>
    <n v="215"/>
    <n v="215"/>
    <x v="1"/>
    <n v="138"/>
    <n v="97"/>
    <n v="30.76"/>
    <n v="30.76"/>
    <x v="2"/>
    <n v="68"/>
    <n v="68"/>
    <n v="69"/>
    <n v="69"/>
    <x v="0"/>
    <x v="1"/>
  </r>
  <r>
    <n v="1"/>
    <x v="1"/>
    <n v="56"/>
    <x v="2"/>
    <n v="1"/>
    <n v="1"/>
    <s v="Primary"/>
    <x v="2"/>
    <n v="1"/>
    <n v="30"/>
    <n v="30"/>
    <x v="0"/>
    <n v="0"/>
    <x v="0"/>
    <n v="0"/>
    <n v="0"/>
    <n v="0"/>
    <n v="241"/>
    <n v="241"/>
    <x v="0"/>
    <n v="109"/>
    <n v="70"/>
    <n v="20.12"/>
    <n v="20.12"/>
    <x v="1"/>
    <n v="62"/>
    <n v="62"/>
    <n v="87"/>
    <n v="87"/>
    <x v="0"/>
    <x v="1"/>
  </r>
  <r>
    <n v="0"/>
    <x v="0"/>
    <n v="56"/>
    <x v="2"/>
    <n v="1"/>
    <n v="1"/>
    <s v="Primary"/>
    <x v="2"/>
    <n v="1"/>
    <n v="20"/>
    <n v="20"/>
    <x v="0"/>
    <n v="0"/>
    <x v="0"/>
    <n v="0"/>
    <n v="0"/>
    <n v="0"/>
    <n v="212"/>
    <n v="212"/>
    <x v="1"/>
    <n v="117.5"/>
    <n v="72.5"/>
    <n v="27.3"/>
    <n v="27.3"/>
    <x v="0"/>
    <n v="75"/>
    <n v="75"/>
    <n v="75"/>
    <n v="75"/>
    <x v="0"/>
    <x v="0"/>
  </r>
  <r>
    <n v="1"/>
    <x v="1"/>
    <n v="56"/>
    <x v="2"/>
    <n v="3"/>
    <n v="3"/>
    <s v="Graduate"/>
    <x v="1"/>
    <n v="0"/>
    <n v="0"/>
    <n v="0"/>
    <x v="1"/>
    <n v="0"/>
    <x v="0"/>
    <n v="0"/>
    <n v="1"/>
    <n v="0"/>
    <n v="239"/>
    <n v="239"/>
    <x v="1"/>
    <n v="177.5"/>
    <n v="98"/>
    <n v="29.44"/>
    <n v="29.44"/>
    <x v="0"/>
    <n v="82"/>
    <n v="82"/>
    <n v="105"/>
    <n v="105"/>
    <x v="0"/>
    <x v="1"/>
  </r>
  <r>
    <n v="1"/>
    <x v="1"/>
    <n v="56"/>
    <x v="2"/>
    <n v="1"/>
    <n v="1"/>
    <s v="Primary"/>
    <x v="2"/>
    <n v="1"/>
    <n v="60"/>
    <n v="60"/>
    <x v="0"/>
    <n v="0"/>
    <x v="0"/>
    <n v="0"/>
    <n v="0"/>
    <n v="0"/>
    <n v="246"/>
    <n v="246"/>
    <x v="0"/>
    <n v="125"/>
    <n v="79"/>
    <n v="29.64"/>
    <n v="29.64"/>
    <x v="0"/>
    <n v="70"/>
    <n v="70"/>
    <n v="85"/>
    <n v="85"/>
    <x v="0"/>
    <x v="0"/>
  </r>
  <r>
    <n v="0"/>
    <x v="0"/>
    <n v="56"/>
    <x v="2"/>
    <n v="1"/>
    <n v="1"/>
    <s v="Primary"/>
    <x v="2"/>
    <n v="0"/>
    <n v="0"/>
    <n v="0"/>
    <x v="1"/>
    <n v="0"/>
    <x v="0"/>
    <n v="0"/>
    <n v="0"/>
    <n v="0"/>
    <n v="280"/>
    <n v="280"/>
    <x v="0"/>
    <n v="123"/>
    <n v="77"/>
    <n v="27.96"/>
    <n v="27.96"/>
    <x v="0"/>
    <n v="65"/>
    <n v="65"/>
    <s v="NA"/>
    <n v="81.96365524402907"/>
    <x v="0"/>
    <x v="0"/>
  </r>
  <r>
    <n v="1"/>
    <x v="1"/>
    <n v="56"/>
    <x v="2"/>
    <s v="NA"/>
    <n v="1"/>
    <s v="Primary"/>
    <x v="2"/>
    <n v="1"/>
    <n v="25"/>
    <n v="25"/>
    <x v="0"/>
    <n v="0"/>
    <x v="0"/>
    <n v="0"/>
    <n v="0"/>
    <n v="0"/>
    <n v="255"/>
    <n v="255"/>
    <x v="0"/>
    <n v="138"/>
    <n v="80"/>
    <n v="23.44"/>
    <n v="23.44"/>
    <x v="1"/>
    <n v="67"/>
    <n v="67"/>
    <n v="79"/>
    <n v="79"/>
    <x v="0"/>
    <x v="0"/>
  </r>
  <r>
    <n v="0"/>
    <x v="0"/>
    <n v="56"/>
    <x v="2"/>
    <n v="1"/>
    <n v="1"/>
    <s v="Primary"/>
    <x v="2"/>
    <n v="0"/>
    <n v="0"/>
    <n v="0"/>
    <x v="1"/>
    <n v="0"/>
    <x v="0"/>
    <n v="0"/>
    <n v="1"/>
    <n v="0"/>
    <n v="206"/>
    <n v="206"/>
    <x v="1"/>
    <n v="140"/>
    <n v="87"/>
    <n v="27.72"/>
    <n v="27.72"/>
    <x v="0"/>
    <n v="60"/>
    <n v="60"/>
    <n v="85"/>
    <n v="85"/>
    <x v="0"/>
    <x v="0"/>
  </r>
  <r>
    <n v="1"/>
    <x v="1"/>
    <n v="56"/>
    <x v="2"/>
    <n v="1"/>
    <n v="1"/>
    <s v="Primary"/>
    <x v="2"/>
    <n v="0"/>
    <n v="0"/>
    <n v="0"/>
    <x v="1"/>
    <n v="0"/>
    <x v="0"/>
    <n v="0"/>
    <n v="0"/>
    <n v="0"/>
    <n v="243"/>
    <n v="243"/>
    <x v="0"/>
    <n v="134"/>
    <n v="86"/>
    <n v="25.94"/>
    <n v="25.94"/>
    <x v="0"/>
    <n v="81"/>
    <n v="81"/>
    <n v="66"/>
    <n v="66"/>
    <x v="0"/>
    <x v="0"/>
  </r>
  <r>
    <n v="1"/>
    <x v="1"/>
    <n v="56"/>
    <x v="2"/>
    <n v="1"/>
    <n v="1"/>
    <s v="Primary"/>
    <x v="2"/>
    <n v="0"/>
    <n v="0"/>
    <n v="0"/>
    <x v="1"/>
    <n v="0"/>
    <x v="0"/>
    <n v="0"/>
    <n v="0"/>
    <n v="0"/>
    <n v="252"/>
    <n v="252"/>
    <x v="0"/>
    <n v="107"/>
    <n v="66"/>
    <n v="25.11"/>
    <n v="25.11"/>
    <x v="0"/>
    <n v="60"/>
    <n v="60"/>
    <n v="72"/>
    <n v="72"/>
    <x v="0"/>
    <x v="0"/>
  </r>
  <r>
    <n v="1"/>
    <x v="1"/>
    <n v="56"/>
    <x v="2"/>
    <n v="3"/>
    <n v="3"/>
    <s v="Graduate"/>
    <x v="1"/>
    <n v="1"/>
    <n v="20"/>
    <n v="20"/>
    <x v="0"/>
    <n v="0"/>
    <x v="0"/>
    <n v="0"/>
    <n v="0"/>
    <n v="0"/>
    <n v="340"/>
    <n v="340"/>
    <x v="0"/>
    <n v="134"/>
    <n v="89.5"/>
    <n v="21.91"/>
    <n v="21.91"/>
    <x v="1"/>
    <n v="50"/>
    <n v="50"/>
    <n v="72"/>
    <n v="72"/>
    <x v="0"/>
    <x v="1"/>
  </r>
  <r>
    <n v="1"/>
    <x v="1"/>
    <n v="56"/>
    <x v="2"/>
    <n v="4"/>
    <n v="4"/>
    <s v="Post Graduate"/>
    <x v="3"/>
    <n v="0"/>
    <n v="0"/>
    <n v="0"/>
    <x v="1"/>
    <n v="0"/>
    <x v="0"/>
    <n v="0"/>
    <n v="0"/>
    <n v="0"/>
    <n v="258"/>
    <n v="258"/>
    <x v="0"/>
    <n v="111"/>
    <n v="68.5"/>
    <n v="24.04"/>
    <n v="24.04"/>
    <x v="1"/>
    <n v="60"/>
    <n v="60"/>
    <n v="70"/>
    <n v="70"/>
    <x v="0"/>
    <x v="0"/>
  </r>
  <r>
    <n v="1"/>
    <x v="1"/>
    <n v="56"/>
    <x v="2"/>
    <n v="1"/>
    <n v="1"/>
    <s v="Primary"/>
    <x v="2"/>
    <n v="1"/>
    <n v="20"/>
    <n v="20"/>
    <x v="0"/>
    <n v="0"/>
    <x v="0"/>
    <n v="0"/>
    <n v="0"/>
    <n v="0"/>
    <n v="278"/>
    <n v="278"/>
    <x v="0"/>
    <n v="133"/>
    <n v="84"/>
    <n v="22.67"/>
    <n v="22.67"/>
    <x v="1"/>
    <n v="85"/>
    <n v="85"/>
    <n v="96"/>
    <n v="96"/>
    <x v="0"/>
    <x v="0"/>
  </r>
  <r>
    <n v="1"/>
    <x v="1"/>
    <n v="56"/>
    <x v="2"/>
    <n v="2"/>
    <n v="2"/>
    <s v="Secondary"/>
    <x v="0"/>
    <n v="0"/>
    <n v="0"/>
    <n v="0"/>
    <x v="1"/>
    <n v="0"/>
    <x v="0"/>
    <n v="0"/>
    <n v="1"/>
    <n v="0"/>
    <n v="241"/>
    <n v="241"/>
    <x v="0"/>
    <n v="130"/>
    <n v="85"/>
    <n v="25.79"/>
    <n v="25.79"/>
    <x v="0"/>
    <n v="68"/>
    <n v="68"/>
    <n v="78"/>
    <n v="78"/>
    <x v="0"/>
    <x v="0"/>
  </r>
  <r>
    <n v="0"/>
    <x v="0"/>
    <n v="56"/>
    <x v="2"/>
    <n v="1"/>
    <n v="1"/>
    <s v="Primary"/>
    <x v="2"/>
    <n v="1"/>
    <n v="5"/>
    <n v="5"/>
    <x v="0"/>
    <n v="0"/>
    <x v="0"/>
    <n v="0"/>
    <n v="0"/>
    <n v="0"/>
    <n v="266"/>
    <n v="266"/>
    <x v="0"/>
    <n v="134.5"/>
    <n v="78.5"/>
    <n v="30.78"/>
    <n v="30.78"/>
    <x v="2"/>
    <n v="79"/>
    <n v="79"/>
    <n v="84"/>
    <n v="84"/>
    <x v="0"/>
    <x v="0"/>
  </r>
  <r>
    <n v="0"/>
    <x v="0"/>
    <n v="56"/>
    <x v="2"/>
    <n v="1"/>
    <n v="1"/>
    <s v="Primary"/>
    <x v="2"/>
    <n v="1"/>
    <n v="18"/>
    <n v="18"/>
    <x v="0"/>
    <n v="0"/>
    <x v="0"/>
    <n v="0"/>
    <n v="0"/>
    <n v="0"/>
    <n v="292"/>
    <n v="292"/>
    <x v="0"/>
    <n v="111"/>
    <n v="70"/>
    <n v="23.17"/>
    <n v="23.17"/>
    <x v="1"/>
    <n v="72"/>
    <n v="72"/>
    <n v="74"/>
    <n v="74"/>
    <x v="0"/>
    <x v="0"/>
  </r>
  <r>
    <n v="0"/>
    <x v="0"/>
    <n v="56"/>
    <x v="2"/>
    <n v="4"/>
    <n v="4"/>
    <s v="Post Graduate"/>
    <x v="3"/>
    <n v="1"/>
    <n v="1"/>
    <n v="1"/>
    <x v="0"/>
    <n v="1"/>
    <x v="1"/>
    <n v="0"/>
    <n v="1"/>
    <n v="0"/>
    <n v="289"/>
    <n v="289"/>
    <x v="0"/>
    <n v="150"/>
    <n v="92"/>
    <n v="25.68"/>
    <n v="25.68"/>
    <x v="0"/>
    <n v="85"/>
    <n v="85"/>
    <n v="84"/>
    <n v="84"/>
    <x v="0"/>
    <x v="0"/>
  </r>
  <r>
    <n v="1"/>
    <x v="1"/>
    <n v="56"/>
    <x v="2"/>
    <n v="1"/>
    <n v="1"/>
    <s v="Primary"/>
    <x v="2"/>
    <n v="1"/>
    <n v="1"/>
    <n v="1"/>
    <x v="0"/>
    <n v="0"/>
    <x v="0"/>
    <n v="0"/>
    <n v="0"/>
    <n v="0"/>
    <n v="280"/>
    <n v="280"/>
    <x v="0"/>
    <n v="147"/>
    <n v="94"/>
    <n v="28.3"/>
    <n v="28.3"/>
    <x v="0"/>
    <n v="63"/>
    <n v="63"/>
    <n v="85"/>
    <n v="85"/>
    <x v="0"/>
    <x v="0"/>
  </r>
  <r>
    <n v="0"/>
    <x v="0"/>
    <n v="56"/>
    <x v="2"/>
    <n v="1"/>
    <n v="1"/>
    <s v="Primary"/>
    <x v="2"/>
    <n v="0"/>
    <n v="0"/>
    <n v="0"/>
    <x v="1"/>
    <n v="0"/>
    <x v="0"/>
    <n v="0"/>
    <n v="0"/>
    <n v="0"/>
    <n v="207"/>
    <n v="207"/>
    <x v="1"/>
    <n v="133"/>
    <n v="76"/>
    <n v="23.42"/>
    <n v="23.42"/>
    <x v="1"/>
    <n v="62"/>
    <n v="62"/>
    <n v="85"/>
    <n v="85"/>
    <x v="0"/>
    <x v="0"/>
  </r>
  <r>
    <n v="1"/>
    <x v="1"/>
    <n v="56"/>
    <x v="2"/>
    <n v="2"/>
    <n v="2"/>
    <s v="Secondary"/>
    <x v="0"/>
    <n v="1"/>
    <n v="30"/>
    <n v="30"/>
    <x v="0"/>
    <n v="0"/>
    <x v="0"/>
    <n v="0"/>
    <n v="0"/>
    <n v="0"/>
    <n v="197"/>
    <n v="197"/>
    <x v="1"/>
    <n v="113.5"/>
    <n v="74"/>
    <n v="21.03"/>
    <n v="21.03"/>
    <x v="1"/>
    <n v="90"/>
    <n v="90"/>
    <n v="81"/>
    <n v="81"/>
    <x v="0"/>
    <x v="1"/>
  </r>
  <r>
    <n v="0"/>
    <x v="0"/>
    <n v="56"/>
    <x v="2"/>
    <n v="4"/>
    <n v="4"/>
    <s v="Post Graduate"/>
    <x v="3"/>
    <n v="0"/>
    <n v="0"/>
    <n v="0"/>
    <x v="1"/>
    <n v="0"/>
    <x v="0"/>
    <n v="0"/>
    <n v="0"/>
    <n v="0"/>
    <n v="298"/>
    <n v="298"/>
    <x v="0"/>
    <n v="115"/>
    <n v="80"/>
    <n v="31.11"/>
    <n v="31.11"/>
    <x v="2"/>
    <n v="75"/>
    <n v="75"/>
    <n v="77"/>
    <n v="77"/>
    <x v="0"/>
    <x v="0"/>
  </r>
  <r>
    <n v="1"/>
    <x v="1"/>
    <n v="56"/>
    <x v="2"/>
    <n v="2"/>
    <n v="2"/>
    <s v="Secondary"/>
    <x v="0"/>
    <n v="1"/>
    <n v="20"/>
    <n v="20"/>
    <x v="0"/>
    <n v="0"/>
    <x v="0"/>
    <n v="0"/>
    <n v="1"/>
    <n v="0"/>
    <n v="285"/>
    <n v="285"/>
    <x v="0"/>
    <n v="198"/>
    <n v="107"/>
    <n v="24.87"/>
    <n v="24.87"/>
    <x v="1"/>
    <n v="80"/>
    <n v="80"/>
    <n v="97"/>
    <n v="97"/>
    <x v="0"/>
    <x v="1"/>
  </r>
  <r>
    <n v="0"/>
    <x v="0"/>
    <n v="56"/>
    <x v="2"/>
    <n v="3"/>
    <n v="3"/>
    <s v="Graduate"/>
    <x v="1"/>
    <n v="0"/>
    <n v="0"/>
    <n v="0"/>
    <x v="1"/>
    <n v="0"/>
    <x v="0"/>
    <n v="0"/>
    <n v="0"/>
    <n v="0"/>
    <n v="310"/>
    <n v="310"/>
    <x v="0"/>
    <n v="142"/>
    <n v="94"/>
    <n v="31.1"/>
    <n v="31.1"/>
    <x v="2"/>
    <n v="83"/>
    <n v="83"/>
    <n v="65"/>
    <n v="65"/>
    <x v="0"/>
    <x v="0"/>
  </r>
  <r>
    <n v="0"/>
    <x v="0"/>
    <n v="56"/>
    <x v="2"/>
    <n v="1"/>
    <n v="1"/>
    <s v="Primary"/>
    <x v="2"/>
    <n v="1"/>
    <n v="9"/>
    <n v="9"/>
    <x v="0"/>
    <n v="1"/>
    <x v="1"/>
    <n v="0"/>
    <n v="1"/>
    <n v="0"/>
    <n v="285"/>
    <n v="285"/>
    <x v="0"/>
    <n v="165"/>
    <n v="115"/>
    <n v="24.25"/>
    <n v="24.25"/>
    <x v="1"/>
    <n v="72"/>
    <n v="72"/>
    <n v="116"/>
    <n v="116"/>
    <x v="0"/>
    <x v="0"/>
  </r>
  <r>
    <n v="0"/>
    <x v="0"/>
    <n v="56"/>
    <x v="2"/>
    <s v="NA"/>
    <n v="1"/>
    <s v="Primary"/>
    <x v="2"/>
    <n v="1"/>
    <n v="3"/>
    <n v="3"/>
    <x v="0"/>
    <n v="0"/>
    <x v="0"/>
    <n v="0"/>
    <n v="0"/>
    <n v="0"/>
    <n v="289"/>
    <n v="289"/>
    <x v="0"/>
    <n v="131"/>
    <n v="86.5"/>
    <n v="21.85"/>
    <n v="21.85"/>
    <x v="1"/>
    <n v="76"/>
    <n v="76"/>
    <n v="71"/>
    <n v="71"/>
    <x v="0"/>
    <x v="0"/>
  </r>
  <r>
    <n v="0"/>
    <x v="0"/>
    <n v="56"/>
    <x v="2"/>
    <n v="3"/>
    <n v="3"/>
    <s v="Graduate"/>
    <x v="1"/>
    <n v="0"/>
    <n v="0"/>
    <n v="0"/>
    <x v="1"/>
    <n v="1"/>
    <x v="1"/>
    <n v="0"/>
    <n v="1"/>
    <n v="0"/>
    <n v="273"/>
    <n v="273"/>
    <x v="0"/>
    <n v="125"/>
    <n v="83"/>
    <n v="24.48"/>
    <n v="24.48"/>
    <x v="1"/>
    <n v="65"/>
    <n v="65"/>
    <n v="66"/>
    <n v="66"/>
    <x v="0"/>
    <x v="0"/>
  </r>
  <r>
    <n v="0"/>
    <x v="0"/>
    <n v="56"/>
    <x v="2"/>
    <n v="3"/>
    <n v="3"/>
    <s v="Graduate"/>
    <x v="1"/>
    <n v="0"/>
    <n v="0"/>
    <n v="0"/>
    <x v="1"/>
    <n v="0"/>
    <x v="0"/>
    <n v="0"/>
    <n v="0"/>
    <n v="0"/>
    <n v="267"/>
    <n v="267"/>
    <x v="0"/>
    <n v="114"/>
    <n v="71"/>
    <n v="24.81"/>
    <n v="24.81"/>
    <x v="1"/>
    <n v="78"/>
    <n v="78"/>
    <n v="90"/>
    <n v="90"/>
    <x v="0"/>
    <x v="0"/>
  </r>
  <r>
    <n v="1"/>
    <x v="1"/>
    <n v="56"/>
    <x v="2"/>
    <n v="1"/>
    <n v="1"/>
    <s v="Primary"/>
    <x v="2"/>
    <n v="0"/>
    <n v="0"/>
    <n v="0"/>
    <x v="1"/>
    <n v="0"/>
    <x v="0"/>
    <n v="0"/>
    <n v="1"/>
    <n v="0"/>
    <n v="256"/>
    <n v="256"/>
    <x v="0"/>
    <n v="147"/>
    <n v="96"/>
    <n v="30.42"/>
    <n v="30.42"/>
    <x v="2"/>
    <n v="72"/>
    <n v="72"/>
    <n v="75"/>
    <n v="75"/>
    <x v="0"/>
    <x v="0"/>
  </r>
  <r>
    <n v="0"/>
    <x v="0"/>
    <n v="56"/>
    <x v="2"/>
    <n v="2"/>
    <n v="2"/>
    <s v="Secondary"/>
    <x v="0"/>
    <n v="0"/>
    <n v="0"/>
    <n v="0"/>
    <x v="1"/>
    <n v="0"/>
    <x v="0"/>
    <n v="0"/>
    <n v="0"/>
    <n v="0"/>
    <n v="261"/>
    <n v="261"/>
    <x v="0"/>
    <n v="145"/>
    <n v="77"/>
    <n v="26.67"/>
    <n v="26.67"/>
    <x v="0"/>
    <n v="73"/>
    <n v="73"/>
    <n v="95"/>
    <n v="95"/>
    <x v="0"/>
    <x v="0"/>
  </r>
  <r>
    <n v="1"/>
    <x v="1"/>
    <n v="56"/>
    <x v="2"/>
    <n v="2"/>
    <n v="2"/>
    <s v="Secondary"/>
    <x v="0"/>
    <n v="0"/>
    <n v="0"/>
    <n v="0"/>
    <x v="1"/>
    <n v="0"/>
    <x v="0"/>
    <n v="0"/>
    <n v="1"/>
    <n v="0"/>
    <n v="322"/>
    <n v="322"/>
    <x v="0"/>
    <n v="140"/>
    <n v="90"/>
    <n v="29.47"/>
    <n v="29.47"/>
    <x v="0"/>
    <n v="58"/>
    <n v="58"/>
    <n v="64"/>
    <n v="64"/>
    <x v="0"/>
    <x v="0"/>
  </r>
  <r>
    <n v="0"/>
    <x v="0"/>
    <n v="56"/>
    <x v="2"/>
    <n v="3"/>
    <n v="3"/>
    <s v="Graduate"/>
    <x v="1"/>
    <n v="0"/>
    <n v="0"/>
    <n v="0"/>
    <x v="1"/>
    <n v="0"/>
    <x v="0"/>
    <n v="0"/>
    <n v="1"/>
    <n v="0"/>
    <n v="186"/>
    <n v="186"/>
    <x v="1"/>
    <n v="155"/>
    <n v="102"/>
    <n v="24.38"/>
    <n v="24.38"/>
    <x v="1"/>
    <n v="81"/>
    <n v="81"/>
    <n v="75"/>
    <n v="75"/>
    <x v="0"/>
    <x v="0"/>
  </r>
  <r>
    <n v="1"/>
    <x v="1"/>
    <n v="56"/>
    <x v="2"/>
    <n v="1"/>
    <n v="1"/>
    <s v="Primary"/>
    <x v="2"/>
    <n v="1"/>
    <n v="15"/>
    <n v="15"/>
    <x v="0"/>
    <n v="0"/>
    <x v="0"/>
    <n v="0"/>
    <n v="0"/>
    <n v="0"/>
    <n v="195"/>
    <n v="195"/>
    <x v="1"/>
    <n v="108"/>
    <n v="70"/>
    <n v="22.92"/>
    <n v="22.92"/>
    <x v="1"/>
    <n v="75"/>
    <n v="75"/>
    <n v="117"/>
    <n v="117"/>
    <x v="0"/>
    <x v="0"/>
  </r>
  <r>
    <n v="1"/>
    <x v="1"/>
    <n v="56"/>
    <x v="2"/>
    <n v="1"/>
    <n v="1"/>
    <s v="Primary"/>
    <x v="2"/>
    <n v="1"/>
    <n v="20"/>
    <n v="20"/>
    <x v="0"/>
    <n v="0"/>
    <x v="0"/>
    <n v="0"/>
    <n v="0"/>
    <n v="0"/>
    <n v="256"/>
    <n v="256"/>
    <x v="0"/>
    <n v="124"/>
    <n v="78"/>
    <n v="26.67"/>
    <n v="26.67"/>
    <x v="0"/>
    <n v="60"/>
    <n v="60"/>
    <n v="80"/>
    <n v="80"/>
    <x v="0"/>
    <x v="0"/>
  </r>
  <r>
    <n v="0"/>
    <x v="0"/>
    <n v="56"/>
    <x v="2"/>
    <n v="1"/>
    <n v="1"/>
    <s v="Primary"/>
    <x v="2"/>
    <n v="0"/>
    <n v="0"/>
    <n v="0"/>
    <x v="1"/>
    <n v="0"/>
    <x v="0"/>
    <n v="0"/>
    <n v="0"/>
    <n v="0"/>
    <n v="259"/>
    <n v="259"/>
    <x v="0"/>
    <n v="138"/>
    <n v="87"/>
    <n v="30.73"/>
    <n v="30.73"/>
    <x v="2"/>
    <n v="60"/>
    <n v="60"/>
    <n v="75"/>
    <n v="75"/>
    <x v="0"/>
    <x v="0"/>
  </r>
  <r>
    <n v="0"/>
    <x v="0"/>
    <n v="56"/>
    <x v="2"/>
    <n v="3"/>
    <n v="3"/>
    <s v="Graduate"/>
    <x v="1"/>
    <n v="0"/>
    <n v="0"/>
    <n v="0"/>
    <x v="1"/>
    <n v="0"/>
    <x v="0"/>
    <n v="0"/>
    <n v="0"/>
    <n v="0"/>
    <n v="248"/>
    <n v="248"/>
    <x v="0"/>
    <n v="112.5"/>
    <n v="60"/>
    <n v="22.69"/>
    <n v="22.69"/>
    <x v="1"/>
    <n v="75"/>
    <n v="75"/>
    <n v="92"/>
    <n v="92"/>
    <x v="0"/>
    <x v="0"/>
  </r>
  <r>
    <n v="0"/>
    <x v="0"/>
    <n v="56"/>
    <x v="2"/>
    <n v="2"/>
    <n v="2"/>
    <s v="Secondary"/>
    <x v="0"/>
    <n v="0"/>
    <n v="0"/>
    <n v="0"/>
    <x v="1"/>
    <n v="0"/>
    <x v="0"/>
    <n v="0"/>
    <n v="1"/>
    <n v="0"/>
    <n v="338"/>
    <n v="338"/>
    <x v="0"/>
    <n v="190"/>
    <n v="97"/>
    <n v="26.1"/>
    <n v="26.1"/>
    <x v="0"/>
    <n v="75"/>
    <n v="75"/>
    <n v="83"/>
    <n v="83"/>
    <x v="0"/>
    <x v="0"/>
  </r>
  <r>
    <n v="1"/>
    <x v="1"/>
    <n v="56"/>
    <x v="2"/>
    <n v="4"/>
    <n v="4"/>
    <s v="Post Graduate"/>
    <x v="3"/>
    <n v="0"/>
    <n v="0"/>
    <n v="0"/>
    <x v="1"/>
    <n v="0"/>
    <x v="0"/>
    <n v="0"/>
    <n v="0"/>
    <n v="0"/>
    <n v="232"/>
    <n v="232"/>
    <x v="1"/>
    <n v="126"/>
    <n v="83"/>
    <n v="25.67"/>
    <n v="25.67"/>
    <x v="0"/>
    <n v="75"/>
    <n v="75"/>
    <s v="NA"/>
    <n v="81.96365524402907"/>
    <x v="0"/>
    <x v="0"/>
  </r>
  <r>
    <n v="1"/>
    <x v="1"/>
    <n v="56"/>
    <x v="2"/>
    <n v="1"/>
    <n v="1"/>
    <s v="Primary"/>
    <x v="2"/>
    <n v="1"/>
    <n v="7"/>
    <n v="7"/>
    <x v="0"/>
    <n v="0"/>
    <x v="0"/>
    <n v="0"/>
    <n v="1"/>
    <n v="0"/>
    <n v="222"/>
    <n v="222"/>
    <x v="1"/>
    <n v="159"/>
    <n v="91.5"/>
    <n v="27.12"/>
    <n v="27.12"/>
    <x v="0"/>
    <n v="70"/>
    <n v="70"/>
    <n v="80"/>
    <n v="80"/>
    <x v="0"/>
    <x v="1"/>
  </r>
  <r>
    <n v="0"/>
    <x v="0"/>
    <n v="56"/>
    <x v="2"/>
    <n v="1"/>
    <n v="1"/>
    <s v="Primary"/>
    <x v="2"/>
    <n v="1"/>
    <n v="3"/>
    <n v="3"/>
    <x v="0"/>
    <n v="0"/>
    <x v="0"/>
    <n v="0"/>
    <n v="1"/>
    <n v="0"/>
    <n v="285"/>
    <n v="285"/>
    <x v="0"/>
    <n v="145"/>
    <n v="100"/>
    <n v="30.14"/>
    <n v="30.14"/>
    <x v="2"/>
    <n v="80"/>
    <n v="80"/>
    <n v="86"/>
    <n v="86"/>
    <x v="0"/>
    <x v="0"/>
  </r>
  <r>
    <n v="1"/>
    <x v="1"/>
    <n v="56"/>
    <x v="2"/>
    <n v="3"/>
    <n v="3"/>
    <s v="Graduate"/>
    <x v="1"/>
    <n v="0"/>
    <n v="0"/>
    <n v="0"/>
    <x v="1"/>
    <n v="0"/>
    <x v="0"/>
    <n v="0"/>
    <n v="0"/>
    <n v="1"/>
    <n v="214"/>
    <n v="214"/>
    <x v="1"/>
    <n v="115"/>
    <n v="80"/>
    <n v="25.09"/>
    <n v="25.09"/>
    <x v="0"/>
    <n v="70"/>
    <n v="70"/>
    <n v="292"/>
    <n v="292"/>
    <x v="0"/>
    <x v="1"/>
  </r>
  <r>
    <n v="0"/>
    <x v="0"/>
    <n v="56"/>
    <x v="2"/>
    <n v="1"/>
    <n v="1"/>
    <s v="Primary"/>
    <x v="2"/>
    <n v="0"/>
    <n v="0"/>
    <n v="0"/>
    <x v="1"/>
    <n v="0"/>
    <x v="0"/>
    <n v="0"/>
    <n v="0"/>
    <n v="0"/>
    <n v="254"/>
    <n v="254"/>
    <x v="0"/>
    <n v="106"/>
    <n v="65"/>
    <n v="24.08"/>
    <n v="24.08"/>
    <x v="1"/>
    <n v="75"/>
    <n v="75"/>
    <s v="NA"/>
    <n v="81.96365524402907"/>
    <x v="0"/>
    <x v="0"/>
  </r>
  <r>
    <n v="1"/>
    <x v="1"/>
    <n v="56"/>
    <x v="2"/>
    <n v="4"/>
    <n v="4"/>
    <s v="Post Graduate"/>
    <x v="3"/>
    <n v="0"/>
    <n v="0"/>
    <n v="0"/>
    <x v="1"/>
    <n v="0"/>
    <x v="0"/>
    <n v="0"/>
    <n v="0"/>
    <n v="0"/>
    <n v="296"/>
    <n v="296"/>
    <x v="0"/>
    <n v="123"/>
    <n v="86"/>
    <n v="25.59"/>
    <n v="25.59"/>
    <x v="0"/>
    <n v="70"/>
    <n v="70"/>
    <n v="63"/>
    <n v="63"/>
    <x v="0"/>
    <x v="0"/>
  </r>
  <r>
    <n v="1"/>
    <x v="1"/>
    <n v="56"/>
    <x v="2"/>
    <n v="3"/>
    <n v="3"/>
    <s v="Graduate"/>
    <x v="1"/>
    <n v="0"/>
    <n v="0"/>
    <n v="0"/>
    <x v="1"/>
    <n v="0"/>
    <x v="0"/>
    <n v="0"/>
    <n v="0"/>
    <n v="0"/>
    <n v="280"/>
    <n v="280"/>
    <x v="0"/>
    <n v="123"/>
    <n v="75"/>
    <n v="27.82"/>
    <n v="27.82"/>
    <x v="0"/>
    <n v="68"/>
    <n v="68"/>
    <n v="112"/>
    <n v="112"/>
    <x v="0"/>
    <x v="0"/>
  </r>
  <r>
    <n v="1"/>
    <x v="1"/>
    <n v="56"/>
    <x v="2"/>
    <n v="2"/>
    <n v="2"/>
    <s v="Secondary"/>
    <x v="0"/>
    <n v="1"/>
    <n v="20"/>
    <n v="20"/>
    <x v="0"/>
    <n v="0"/>
    <x v="0"/>
    <n v="0"/>
    <n v="0"/>
    <n v="0"/>
    <n v="189"/>
    <n v="189"/>
    <x v="1"/>
    <n v="120"/>
    <n v="70"/>
    <n v="21.41"/>
    <n v="21.41"/>
    <x v="1"/>
    <n v="70"/>
    <n v="70"/>
    <n v="70"/>
    <n v="70"/>
    <x v="0"/>
    <x v="0"/>
  </r>
  <r>
    <n v="1"/>
    <x v="1"/>
    <n v="56"/>
    <x v="2"/>
    <n v="3"/>
    <n v="3"/>
    <s v="Graduate"/>
    <x v="1"/>
    <n v="0"/>
    <n v="0"/>
    <n v="0"/>
    <x v="1"/>
    <n v="0"/>
    <x v="0"/>
    <n v="0"/>
    <n v="0"/>
    <n v="0"/>
    <n v="205"/>
    <n v="205"/>
    <x v="1"/>
    <n v="129"/>
    <n v="83.5"/>
    <n v="28.82"/>
    <n v="28.82"/>
    <x v="0"/>
    <n v="56"/>
    <n v="56"/>
    <n v="64"/>
    <n v="64"/>
    <x v="0"/>
    <x v="0"/>
  </r>
  <r>
    <n v="0"/>
    <x v="0"/>
    <n v="56"/>
    <x v="2"/>
    <n v="1"/>
    <n v="1"/>
    <s v="Primary"/>
    <x v="2"/>
    <n v="0"/>
    <n v="0"/>
    <n v="0"/>
    <x v="1"/>
    <n v="0"/>
    <x v="0"/>
    <n v="0"/>
    <n v="1"/>
    <n v="0"/>
    <n v="206"/>
    <n v="206"/>
    <x v="1"/>
    <n v="158"/>
    <n v="70"/>
    <n v="28.34"/>
    <n v="28.34"/>
    <x v="0"/>
    <n v="60"/>
    <n v="60"/>
    <n v="88"/>
    <n v="88"/>
    <x v="0"/>
    <x v="1"/>
  </r>
  <r>
    <n v="0"/>
    <x v="0"/>
    <n v="56"/>
    <x v="2"/>
    <n v="1"/>
    <n v="1"/>
    <s v="Primary"/>
    <x v="2"/>
    <n v="0"/>
    <n v="0"/>
    <n v="0"/>
    <x v="1"/>
    <n v="0"/>
    <x v="0"/>
    <n v="0"/>
    <n v="0"/>
    <n v="0"/>
    <n v="227"/>
    <n v="227"/>
    <x v="1"/>
    <n v="140"/>
    <n v="88"/>
    <n v="24.59"/>
    <n v="24.59"/>
    <x v="1"/>
    <n v="95"/>
    <n v="95"/>
    <n v="78"/>
    <n v="78"/>
    <x v="0"/>
    <x v="0"/>
  </r>
  <r>
    <n v="1"/>
    <x v="1"/>
    <n v="56"/>
    <x v="2"/>
    <n v="1"/>
    <n v="1"/>
    <s v="Primary"/>
    <x v="2"/>
    <n v="0"/>
    <n v="0"/>
    <n v="0"/>
    <x v="1"/>
    <n v="0"/>
    <x v="0"/>
    <n v="0"/>
    <n v="1"/>
    <n v="0"/>
    <n v="194"/>
    <n v="194"/>
    <x v="1"/>
    <n v="127"/>
    <n v="83"/>
    <n v="26.05"/>
    <n v="26.05"/>
    <x v="0"/>
    <n v="80"/>
    <n v="80"/>
    <n v="73"/>
    <n v="73"/>
    <x v="0"/>
    <x v="0"/>
  </r>
  <r>
    <n v="1"/>
    <x v="1"/>
    <n v="56"/>
    <x v="2"/>
    <n v="1"/>
    <n v="1"/>
    <s v="Primary"/>
    <x v="2"/>
    <n v="1"/>
    <n v="20"/>
    <n v="20"/>
    <x v="0"/>
    <s v="NA"/>
    <x v="0"/>
    <n v="0"/>
    <n v="0"/>
    <n v="0"/>
    <n v="191"/>
    <n v="191"/>
    <x v="1"/>
    <n v="130"/>
    <n v="70"/>
    <n v="26.09"/>
    <n v="26.09"/>
    <x v="0"/>
    <n v="75"/>
    <n v="75"/>
    <n v="97"/>
    <n v="97"/>
    <x v="1"/>
    <x v="0"/>
  </r>
  <r>
    <n v="0"/>
    <x v="0"/>
    <n v="56"/>
    <x v="2"/>
    <n v="3"/>
    <n v="3"/>
    <s v="Graduate"/>
    <x v="1"/>
    <n v="0"/>
    <n v="0"/>
    <n v="0"/>
    <x v="1"/>
    <n v="0"/>
    <x v="0"/>
    <n v="0"/>
    <n v="0"/>
    <n v="0"/>
    <n v="344"/>
    <n v="344"/>
    <x v="0"/>
    <n v="119"/>
    <n v="82"/>
    <n v="26.82"/>
    <n v="26.82"/>
    <x v="0"/>
    <n v="80"/>
    <n v="80"/>
    <n v="105"/>
    <n v="105"/>
    <x v="0"/>
    <x v="0"/>
  </r>
  <r>
    <n v="0"/>
    <x v="0"/>
    <n v="56"/>
    <x v="2"/>
    <n v="2"/>
    <n v="2"/>
    <s v="Secondary"/>
    <x v="0"/>
    <n v="1"/>
    <n v="5"/>
    <n v="5"/>
    <x v="0"/>
    <n v="0"/>
    <x v="0"/>
    <n v="0"/>
    <n v="0"/>
    <n v="0"/>
    <n v="310"/>
    <n v="310"/>
    <x v="0"/>
    <n v="128.5"/>
    <n v="82"/>
    <n v="25.36"/>
    <n v="25.36"/>
    <x v="0"/>
    <n v="70"/>
    <n v="70"/>
    <n v="85"/>
    <n v="85"/>
    <x v="0"/>
    <x v="0"/>
  </r>
  <r>
    <n v="0"/>
    <x v="0"/>
    <n v="56"/>
    <x v="2"/>
    <n v="1"/>
    <n v="1"/>
    <s v="Primary"/>
    <x v="2"/>
    <n v="0"/>
    <n v="0"/>
    <n v="0"/>
    <x v="1"/>
    <n v="0"/>
    <x v="0"/>
    <n v="0"/>
    <n v="1"/>
    <n v="0"/>
    <n v="301"/>
    <n v="301"/>
    <x v="0"/>
    <n v="127.5"/>
    <n v="91.5"/>
    <n v="25.39"/>
    <n v="25.39"/>
    <x v="0"/>
    <n v="80"/>
    <n v="80"/>
    <n v="74"/>
    <n v="74"/>
    <x v="0"/>
    <x v="0"/>
  </r>
  <r>
    <n v="1"/>
    <x v="1"/>
    <n v="56"/>
    <x v="2"/>
    <n v="1"/>
    <n v="1"/>
    <s v="Primary"/>
    <x v="2"/>
    <n v="1"/>
    <n v="20"/>
    <n v="20"/>
    <x v="0"/>
    <n v="0"/>
    <x v="0"/>
    <n v="0"/>
    <n v="1"/>
    <n v="0"/>
    <n v="217"/>
    <n v="217"/>
    <x v="1"/>
    <n v="200"/>
    <n v="120"/>
    <n v="33.71"/>
    <n v="33.71"/>
    <x v="2"/>
    <n v="68"/>
    <n v="68"/>
    <n v="72"/>
    <n v="72"/>
    <x v="0"/>
    <x v="1"/>
  </r>
  <r>
    <n v="0"/>
    <x v="0"/>
    <n v="56"/>
    <x v="2"/>
    <n v="3"/>
    <n v="3"/>
    <s v="Graduate"/>
    <x v="1"/>
    <n v="0"/>
    <n v="0"/>
    <n v="0"/>
    <x v="1"/>
    <n v="0"/>
    <x v="0"/>
    <n v="0"/>
    <n v="0"/>
    <n v="0"/>
    <n v="220"/>
    <n v="220"/>
    <x v="1"/>
    <n v="122"/>
    <n v="74"/>
    <n v="25.66"/>
    <n v="25.66"/>
    <x v="0"/>
    <n v="71"/>
    <n v="71"/>
    <n v="93"/>
    <n v="93"/>
    <x v="0"/>
    <x v="1"/>
  </r>
  <r>
    <n v="1"/>
    <x v="1"/>
    <n v="56"/>
    <x v="2"/>
    <n v="1"/>
    <n v="1"/>
    <s v="Primary"/>
    <x v="2"/>
    <n v="0"/>
    <n v="0"/>
    <n v="0"/>
    <x v="1"/>
    <n v="0"/>
    <x v="0"/>
    <n v="0"/>
    <n v="0"/>
    <n v="0"/>
    <n v="260"/>
    <n v="260"/>
    <x v="0"/>
    <n v="126.5"/>
    <n v="76"/>
    <n v="25.14"/>
    <n v="25.14"/>
    <x v="0"/>
    <n v="58"/>
    <n v="58"/>
    <n v="70"/>
    <n v="70"/>
    <x v="0"/>
    <x v="1"/>
  </r>
  <r>
    <n v="1"/>
    <x v="1"/>
    <n v="56"/>
    <x v="2"/>
    <n v="1"/>
    <n v="1"/>
    <s v="Primary"/>
    <x v="2"/>
    <n v="1"/>
    <n v="17"/>
    <n v="17"/>
    <x v="0"/>
    <n v="0"/>
    <x v="0"/>
    <n v="0"/>
    <n v="0"/>
    <n v="0"/>
    <n v="177"/>
    <n v="177"/>
    <x v="1"/>
    <n v="127"/>
    <n v="79"/>
    <n v="20.12"/>
    <n v="20.12"/>
    <x v="1"/>
    <n v="70"/>
    <n v="70"/>
    <n v="88"/>
    <n v="88"/>
    <x v="0"/>
    <x v="0"/>
  </r>
  <r>
    <n v="0"/>
    <x v="0"/>
    <n v="56"/>
    <x v="2"/>
    <n v="1"/>
    <n v="1"/>
    <s v="Primary"/>
    <x v="2"/>
    <n v="0"/>
    <n v="0"/>
    <n v="0"/>
    <x v="1"/>
    <n v="0"/>
    <x v="0"/>
    <n v="0"/>
    <n v="0"/>
    <n v="0"/>
    <n v="242"/>
    <n v="242"/>
    <x v="0"/>
    <n v="115"/>
    <n v="70"/>
    <n v="32.07"/>
    <n v="32.07"/>
    <x v="2"/>
    <n v="83"/>
    <n v="83"/>
    <s v="NA"/>
    <n v="81.96365524402907"/>
    <x v="0"/>
    <x v="0"/>
  </r>
  <r>
    <n v="0"/>
    <x v="0"/>
    <n v="56"/>
    <x v="2"/>
    <n v="2"/>
    <n v="2"/>
    <s v="Secondary"/>
    <x v="0"/>
    <n v="0"/>
    <n v="0"/>
    <n v="0"/>
    <x v="1"/>
    <n v="0"/>
    <x v="0"/>
    <n v="0"/>
    <n v="1"/>
    <n v="0"/>
    <n v="290"/>
    <n v="290"/>
    <x v="0"/>
    <n v="185"/>
    <n v="107.5"/>
    <n v="26.45"/>
    <n v="26.45"/>
    <x v="0"/>
    <n v="82"/>
    <n v="82"/>
    <n v="84"/>
    <n v="84"/>
    <x v="0"/>
    <x v="1"/>
  </r>
  <r>
    <n v="0"/>
    <x v="0"/>
    <n v="56"/>
    <x v="2"/>
    <n v="1"/>
    <n v="1"/>
    <s v="Primary"/>
    <x v="2"/>
    <n v="1"/>
    <n v="9"/>
    <n v="9"/>
    <x v="0"/>
    <s v="NA"/>
    <x v="0"/>
    <n v="0"/>
    <n v="1"/>
    <n v="0"/>
    <n v="320"/>
    <n v="320"/>
    <x v="0"/>
    <n v="142"/>
    <n v="84"/>
    <n v="27.9"/>
    <n v="27.9"/>
    <x v="0"/>
    <n v="74"/>
    <n v="74"/>
    <n v="95"/>
    <n v="95"/>
    <x v="1"/>
    <x v="1"/>
  </r>
  <r>
    <n v="0"/>
    <x v="0"/>
    <n v="56"/>
    <x v="2"/>
    <n v="3"/>
    <n v="3"/>
    <s v="Graduate"/>
    <x v="1"/>
    <n v="0"/>
    <n v="0"/>
    <n v="0"/>
    <x v="1"/>
    <n v="0"/>
    <x v="0"/>
    <n v="0"/>
    <n v="0"/>
    <n v="0"/>
    <n v="207"/>
    <n v="207"/>
    <x v="1"/>
    <n v="120"/>
    <n v="60"/>
    <n v="22.89"/>
    <n v="22.89"/>
    <x v="1"/>
    <n v="75"/>
    <n v="75"/>
    <n v="71"/>
    <n v="71"/>
    <x v="0"/>
    <x v="0"/>
  </r>
  <r>
    <n v="1"/>
    <x v="1"/>
    <n v="56"/>
    <x v="2"/>
    <n v="1"/>
    <n v="1"/>
    <s v="Primary"/>
    <x v="2"/>
    <n v="1"/>
    <n v="20"/>
    <n v="20"/>
    <x v="0"/>
    <n v="0"/>
    <x v="0"/>
    <n v="0"/>
    <n v="1"/>
    <n v="0"/>
    <n v="197"/>
    <n v="197"/>
    <x v="1"/>
    <n v="140"/>
    <n v="86"/>
    <n v="25.16"/>
    <n v="25.16"/>
    <x v="0"/>
    <n v="90"/>
    <n v="90"/>
    <n v="71"/>
    <n v="71"/>
    <x v="0"/>
    <x v="0"/>
  </r>
  <r>
    <n v="0"/>
    <x v="0"/>
    <n v="56"/>
    <x v="2"/>
    <n v="3"/>
    <n v="3"/>
    <s v="Graduate"/>
    <x v="1"/>
    <n v="0"/>
    <n v="0"/>
    <n v="0"/>
    <x v="1"/>
    <n v="0"/>
    <x v="0"/>
    <n v="0"/>
    <n v="0"/>
    <n v="0"/>
    <n v="254"/>
    <n v="254"/>
    <x v="0"/>
    <n v="113"/>
    <n v="61"/>
    <n v="25.5"/>
    <n v="25.5"/>
    <x v="0"/>
    <n v="79"/>
    <n v="79"/>
    <n v="87"/>
    <n v="87"/>
    <x v="0"/>
    <x v="0"/>
  </r>
  <r>
    <n v="1"/>
    <x v="1"/>
    <n v="56"/>
    <x v="2"/>
    <n v="4"/>
    <n v="4"/>
    <s v="Post Graduate"/>
    <x v="3"/>
    <n v="1"/>
    <n v="30"/>
    <n v="30"/>
    <x v="0"/>
    <n v="0"/>
    <x v="0"/>
    <n v="0"/>
    <n v="1"/>
    <n v="0"/>
    <n v="303"/>
    <n v="303"/>
    <x v="0"/>
    <n v="136.5"/>
    <n v="97"/>
    <n v="26.64"/>
    <n v="26.64"/>
    <x v="0"/>
    <n v="93"/>
    <n v="93"/>
    <n v="106"/>
    <n v="106"/>
    <x v="0"/>
    <x v="0"/>
  </r>
  <r>
    <n v="1"/>
    <x v="1"/>
    <n v="56"/>
    <x v="2"/>
    <n v="2"/>
    <n v="2"/>
    <s v="Secondary"/>
    <x v="0"/>
    <n v="1"/>
    <n v="20"/>
    <n v="20"/>
    <x v="0"/>
    <n v="0"/>
    <x v="0"/>
    <n v="0"/>
    <n v="1"/>
    <n v="0"/>
    <n v="205"/>
    <n v="205"/>
    <x v="1"/>
    <n v="210"/>
    <n v="130"/>
    <n v="25.49"/>
    <n v="25.49"/>
    <x v="0"/>
    <n v="95"/>
    <n v="95"/>
    <n v="127"/>
    <n v="127"/>
    <x v="0"/>
    <x v="1"/>
  </r>
  <r>
    <n v="0"/>
    <x v="0"/>
    <n v="56"/>
    <x v="2"/>
    <n v="3"/>
    <n v="3"/>
    <s v="Graduate"/>
    <x v="1"/>
    <n v="1"/>
    <n v="20"/>
    <n v="20"/>
    <x v="0"/>
    <n v="0"/>
    <x v="0"/>
    <n v="0"/>
    <n v="1"/>
    <n v="0"/>
    <n v="325"/>
    <n v="325"/>
    <x v="0"/>
    <n v="160"/>
    <n v="97.5"/>
    <n v="23.4"/>
    <n v="23.4"/>
    <x v="1"/>
    <n v="85"/>
    <n v="85"/>
    <n v="86"/>
    <n v="86"/>
    <x v="0"/>
    <x v="1"/>
  </r>
  <r>
    <n v="1"/>
    <x v="1"/>
    <n v="56"/>
    <x v="2"/>
    <n v="2"/>
    <n v="2"/>
    <s v="Secondary"/>
    <x v="0"/>
    <n v="1"/>
    <n v="20"/>
    <n v="20"/>
    <x v="0"/>
    <n v="0"/>
    <x v="0"/>
    <n v="0"/>
    <n v="0"/>
    <n v="0"/>
    <n v="270"/>
    <n v="270"/>
    <x v="0"/>
    <n v="109"/>
    <n v="75"/>
    <n v="24.58"/>
    <n v="24.58"/>
    <x v="1"/>
    <n v="67"/>
    <n v="67"/>
    <n v="64"/>
    <n v="64"/>
    <x v="0"/>
    <x v="0"/>
  </r>
  <r>
    <n v="0"/>
    <x v="0"/>
    <n v="56"/>
    <x v="2"/>
    <n v="2"/>
    <n v="2"/>
    <s v="Secondary"/>
    <x v="0"/>
    <n v="1"/>
    <n v="30"/>
    <n v="30"/>
    <x v="0"/>
    <n v="0"/>
    <x v="0"/>
    <n v="0"/>
    <n v="0"/>
    <n v="0"/>
    <n v="288"/>
    <n v="288"/>
    <x v="0"/>
    <n v="123"/>
    <n v="70"/>
    <n v="18.62"/>
    <n v="18.62"/>
    <x v="1"/>
    <n v="72"/>
    <n v="72"/>
    <n v="96"/>
    <n v="96"/>
    <x v="0"/>
    <x v="0"/>
  </r>
  <r>
    <n v="0"/>
    <x v="0"/>
    <n v="56"/>
    <x v="2"/>
    <n v="1"/>
    <n v="1"/>
    <s v="Primary"/>
    <x v="2"/>
    <n v="0"/>
    <n v="0"/>
    <n v="0"/>
    <x v="1"/>
    <n v="0"/>
    <x v="0"/>
    <n v="0"/>
    <n v="0"/>
    <n v="0"/>
    <n v="307"/>
    <n v="307"/>
    <x v="0"/>
    <n v="118"/>
    <n v="80"/>
    <n v="29.67"/>
    <n v="29.67"/>
    <x v="0"/>
    <n v="60"/>
    <n v="60"/>
    <n v="70"/>
    <n v="70"/>
    <x v="0"/>
    <x v="0"/>
  </r>
  <r>
    <n v="0"/>
    <x v="0"/>
    <n v="56"/>
    <x v="2"/>
    <n v="1"/>
    <n v="1"/>
    <s v="Primary"/>
    <x v="2"/>
    <n v="0"/>
    <n v="0"/>
    <n v="0"/>
    <x v="1"/>
    <n v="0"/>
    <x v="0"/>
    <n v="0"/>
    <n v="1"/>
    <n v="0"/>
    <n v="262"/>
    <n v="262"/>
    <x v="0"/>
    <n v="150"/>
    <n v="89"/>
    <n v="40.21"/>
    <n v="40.21"/>
    <x v="2"/>
    <n v="75"/>
    <n v="75"/>
    <n v="86"/>
    <n v="86"/>
    <x v="0"/>
    <x v="0"/>
  </r>
  <r>
    <n v="1"/>
    <x v="1"/>
    <n v="56"/>
    <x v="2"/>
    <n v="1"/>
    <n v="1"/>
    <s v="Primary"/>
    <x v="2"/>
    <n v="1"/>
    <n v="20"/>
    <n v="20"/>
    <x v="0"/>
    <n v="0"/>
    <x v="0"/>
    <n v="0"/>
    <n v="0"/>
    <n v="0"/>
    <n v="300"/>
    <n v="300"/>
    <x v="0"/>
    <n v="165"/>
    <n v="112"/>
    <n v="23.68"/>
    <n v="23.68"/>
    <x v="1"/>
    <n v="86"/>
    <n v="86"/>
    <n v="78"/>
    <n v="78"/>
    <x v="0"/>
    <x v="1"/>
  </r>
  <r>
    <n v="0"/>
    <x v="0"/>
    <n v="56"/>
    <x v="2"/>
    <n v="2"/>
    <n v="2"/>
    <s v="Secondary"/>
    <x v="0"/>
    <n v="0"/>
    <n v="0"/>
    <n v="0"/>
    <x v="1"/>
    <n v="0"/>
    <x v="0"/>
    <n v="0"/>
    <n v="0"/>
    <n v="0"/>
    <n v="280"/>
    <n v="280"/>
    <x v="0"/>
    <n v="101"/>
    <n v="71"/>
    <n v="28.22"/>
    <n v="28.22"/>
    <x v="0"/>
    <n v="79"/>
    <n v="79"/>
    <n v="67"/>
    <n v="67"/>
    <x v="0"/>
    <x v="0"/>
  </r>
  <r>
    <n v="1"/>
    <x v="1"/>
    <n v="56"/>
    <x v="2"/>
    <n v="1"/>
    <n v="1"/>
    <s v="Primary"/>
    <x v="2"/>
    <n v="0"/>
    <n v="0"/>
    <n v="0"/>
    <x v="1"/>
    <n v="1"/>
    <x v="1"/>
    <n v="0"/>
    <n v="1"/>
    <n v="0"/>
    <n v="226"/>
    <n v="226"/>
    <x v="1"/>
    <n v="175.5"/>
    <n v="113"/>
    <n v="30.77"/>
    <n v="30.77"/>
    <x v="2"/>
    <n v="60"/>
    <n v="60"/>
    <n v="70"/>
    <n v="70"/>
    <x v="0"/>
    <x v="0"/>
  </r>
  <r>
    <n v="1"/>
    <x v="1"/>
    <n v="56"/>
    <x v="2"/>
    <n v="2"/>
    <n v="2"/>
    <s v="Secondary"/>
    <x v="0"/>
    <n v="0"/>
    <n v="0"/>
    <n v="0"/>
    <x v="1"/>
    <n v="0"/>
    <x v="0"/>
    <n v="0"/>
    <n v="0"/>
    <n v="0"/>
    <n v="212"/>
    <n v="212"/>
    <x v="1"/>
    <n v="130"/>
    <n v="79"/>
    <n v="27.73"/>
    <n v="27.73"/>
    <x v="0"/>
    <n v="64"/>
    <n v="64"/>
    <n v="100"/>
    <n v="100"/>
    <x v="0"/>
    <x v="0"/>
  </r>
  <r>
    <n v="0"/>
    <x v="0"/>
    <n v="56"/>
    <x v="2"/>
    <n v="3"/>
    <n v="3"/>
    <s v="Graduate"/>
    <x v="1"/>
    <n v="0"/>
    <n v="0"/>
    <n v="0"/>
    <x v="1"/>
    <n v="0"/>
    <x v="0"/>
    <n v="0"/>
    <n v="0"/>
    <n v="0"/>
    <n v="192"/>
    <n v="192"/>
    <x v="1"/>
    <n v="122"/>
    <n v="82.5"/>
    <n v="28.61"/>
    <n v="28.61"/>
    <x v="0"/>
    <n v="68"/>
    <n v="68"/>
    <n v="58"/>
    <n v="58"/>
    <x v="0"/>
    <x v="0"/>
  </r>
  <r>
    <n v="1"/>
    <x v="1"/>
    <n v="56"/>
    <x v="2"/>
    <n v="4"/>
    <n v="4"/>
    <s v="Post Graduate"/>
    <x v="3"/>
    <n v="1"/>
    <n v="20"/>
    <n v="20"/>
    <x v="0"/>
    <n v="0"/>
    <x v="0"/>
    <n v="0"/>
    <n v="1"/>
    <n v="0"/>
    <n v="228"/>
    <n v="228"/>
    <x v="1"/>
    <n v="151.5"/>
    <n v="103"/>
    <n v="23.58"/>
    <n v="23.58"/>
    <x v="1"/>
    <n v="65"/>
    <n v="65"/>
    <n v="66"/>
    <n v="66"/>
    <x v="0"/>
    <x v="0"/>
  </r>
  <r>
    <n v="1"/>
    <x v="1"/>
    <n v="56"/>
    <x v="2"/>
    <n v="1"/>
    <n v="1"/>
    <s v="Primary"/>
    <x v="2"/>
    <n v="0"/>
    <n v="0"/>
    <n v="0"/>
    <x v="1"/>
    <n v="0"/>
    <x v="0"/>
    <n v="0"/>
    <n v="0"/>
    <n v="0"/>
    <n v="220"/>
    <n v="220"/>
    <x v="1"/>
    <n v="113"/>
    <n v="83"/>
    <n v="25.12"/>
    <n v="25.12"/>
    <x v="0"/>
    <n v="58"/>
    <n v="58"/>
    <n v="86"/>
    <n v="86"/>
    <x v="0"/>
    <x v="0"/>
  </r>
  <r>
    <n v="0"/>
    <x v="0"/>
    <n v="56"/>
    <x v="2"/>
    <n v="2"/>
    <n v="2"/>
    <s v="Secondary"/>
    <x v="0"/>
    <n v="0"/>
    <n v="0"/>
    <n v="0"/>
    <x v="1"/>
    <s v="NA"/>
    <x v="0"/>
    <n v="0"/>
    <n v="0"/>
    <n v="0"/>
    <n v="220"/>
    <n v="220"/>
    <x v="1"/>
    <n v="126.5"/>
    <n v="74.5"/>
    <n v="28.3"/>
    <n v="28.3"/>
    <x v="0"/>
    <n v="82"/>
    <n v="82"/>
    <n v="80"/>
    <n v="80"/>
    <x v="1"/>
    <x v="1"/>
  </r>
  <r>
    <n v="0"/>
    <x v="0"/>
    <n v="56"/>
    <x v="2"/>
    <n v="3"/>
    <n v="3"/>
    <s v="Graduate"/>
    <x v="1"/>
    <n v="0"/>
    <n v="0"/>
    <n v="0"/>
    <x v="1"/>
    <n v="0"/>
    <x v="0"/>
    <n v="0"/>
    <n v="1"/>
    <n v="0"/>
    <n v="287"/>
    <n v="287"/>
    <x v="0"/>
    <n v="150.5"/>
    <n v="94"/>
    <n v="26.01"/>
    <n v="26.01"/>
    <x v="0"/>
    <n v="75"/>
    <n v="75"/>
    <n v="99"/>
    <n v="99"/>
    <x v="0"/>
    <x v="0"/>
  </r>
  <r>
    <n v="0"/>
    <x v="0"/>
    <n v="56"/>
    <x v="2"/>
    <n v="1"/>
    <n v="1"/>
    <s v="Primary"/>
    <x v="2"/>
    <n v="1"/>
    <n v="20"/>
    <n v="20"/>
    <x v="0"/>
    <n v="0"/>
    <x v="0"/>
    <n v="0"/>
    <n v="0"/>
    <n v="0"/>
    <n v="240"/>
    <n v="240"/>
    <x v="1"/>
    <n v="125"/>
    <n v="79"/>
    <n v="27.38"/>
    <n v="27.38"/>
    <x v="0"/>
    <n v="80"/>
    <n v="80"/>
    <n v="82"/>
    <n v="82"/>
    <x v="0"/>
    <x v="0"/>
  </r>
  <r>
    <n v="0"/>
    <x v="0"/>
    <n v="56"/>
    <x v="2"/>
    <s v="NA"/>
    <n v="1"/>
    <s v="Primary"/>
    <x v="2"/>
    <n v="1"/>
    <n v="5"/>
    <n v="5"/>
    <x v="0"/>
    <n v="0"/>
    <x v="0"/>
    <n v="0"/>
    <n v="0"/>
    <n v="0"/>
    <n v="285"/>
    <n v="285"/>
    <x v="0"/>
    <n v="124"/>
    <n v="80"/>
    <n v="24.54"/>
    <n v="24.54"/>
    <x v="1"/>
    <n v="52"/>
    <n v="52"/>
    <n v="106"/>
    <n v="106"/>
    <x v="0"/>
    <x v="0"/>
  </r>
  <r>
    <n v="1"/>
    <x v="1"/>
    <n v="56"/>
    <x v="2"/>
    <n v="1"/>
    <n v="1"/>
    <s v="Primary"/>
    <x v="2"/>
    <n v="0"/>
    <n v="0"/>
    <n v="0"/>
    <x v="1"/>
    <n v="0"/>
    <x v="0"/>
    <n v="0"/>
    <n v="0"/>
    <n v="0"/>
    <n v="243"/>
    <n v="243"/>
    <x v="0"/>
    <n v="128.5"/>
    <n v="75"/>
    <n v="27.68"/>
    <n v="27.68"/>
    <x v="0"/>
    <n v="80"/>
    <n v="80"/>
    <n v="89"/>
    <n v="89"/>
    <x v="0"/>
    <x v="0"/>
  </r>
  <r>
    <n v="0"/>
    <x v="0"/>
    <n v="56"/>
    <x v="2"/>
    <n v="1"/>
    <n v="1"/>
    <s v="Primary"/>
    <x v="2"/>
    <n v="0"/>
    <n v="0"/>
    <n v="0"/>
    <x v="1"/>
    <n v="0"/>
    <x v="0"/>
    <n v="0"/>
    <n v="1"/>
    <n v="0"/>
    <n v="290"/>
    <n v="290"/>
    <x v="0"/>
    <n v="164.5"/>
    <n v="102"/>
    <n v="30.33"/>
    <n v="30.33"/>
    <x v="2"/>
    <n v="70"/>
    <n v="70"/>
    <n v="105"/>
    <n v="105"/>
    <x v="0"/>
    <x v="0"/>
  </r>
  <r>
    <n v="1"/>
    <x v="1"/>
    <n v="56"/>
    <x v="2"/>
    <n v="3"/>
    <n v="3"/>
    <s v="Graduate"/>
    <x v="1"/>
    <n v="0"/>
    <n v="0"/>
    <n v="0"/>
    <x v="1"/>
    <n v="0"/>
    <x v="0"/>
    <n v="0"/>
    <n v="0"/>
    <n v="0"/>
    <n v="193"/>
    <n v="193"/>
    <x v="1"/>
    <n v="114"/>
    <n v="80"/>
    <n v="28.41"/>
    <n v="28.41"/>
    <x v="0"/>
    <n v="60"/>
    <n v="60"/>
    <n v="88"/>
    <n v="88"/>
    <x v="0"/>
    <x v="0"/>
  </r>
  <r>
    <n v="1"/>
    <x v="1"/>
    <n v="56"/>
    <x v="2"/>
    <n v="1"/>
    <n v="1"/>
    <s v="Primary"/>
    <x v="2"/>
    <n v="1"/>
    <n v="43"/>
    <n v="43"/>
    <x v="0"/>
    <n v="0"/>
    <x v="0"/>
    <n v="0"/>
    <n v="1"/>
    <n v="0"/>
    <n v="240"/>
    <n v="240"/>
    <x v="1"/>
    <n v="128.5"/>
    <n v="87.5"/>
    <n v="31.5"/>
    <n v="31.5"/>
    <x v="2"/>
    <n v="80"/>
    <n v="80"/>
    <s v="NA"/>
    <n v="81.96365524402907"/>
    <x v="0"/>
    <x v="0"/>
  </r>
  <r>
    <n v="0"/>
    <x v="0"/>
    <n v="56"/>
    <x v="2"/>
    <n v="4"/>
    <n v="4"/>
    <s v="Post Graduate"/>
    <x v="3"/>
    <n v="1"/>
    <n v="3"/>
    <n v="3"/>
    <x v="0"/>
    <n v="0"/>
    <x v="0"/>
    <n v="0"/>
    <n v="0"/>
    <n v="0"/>
    <n v="266"/>
    <n v="266"/>
    <x v="0"/>
    <n v="114"/>
    <n v="72"/>
    <n v="22.64"/>
    <n v="22.64"/>
    <x v="1"/>
    <n v="65"/>
    <n v="65"/>
    <n v="83"/>
    <n v="83"/>
    <x v="0"/>
    <x v="0"/>
  </r>
  <r>
    <n v="0"/>
    <x v="0"/>
    <n v="56"/>
    <x v="2"/>
    <n v="1"/>
    <n v="1"/>
    <s v="Primary"/>
    <x v="2"/>
    <n v="1"/>
    <n v="10"/>
    <n v="10"/>
    <x v="0"/>
    <n v="1"/>
    <x v="1"/>
    <n v="0"/>
    <n v="1"/>
    <n v="1"/>
    <n v="241"/>
    <n v="241"/>
    <x v="0"/>
    <n v="174"/>
    <n v="97"/>
    <n v="29.22"/>
    <n v="29.22"/>
    <x v="0"/>
    <n v="90"/>
    <n v="90"/>
    <n v="135"/>
    <n v="135"/>
    <x v="0"/>
    <x v="1"/>
  </r>
  <r>
    <n v="1"/>
    <x v="1"/>
    <n v="56"/>
    <x v="2"/>
    <n v="2"/>
    <n v="2"/>
    <s v="Secondary"/>
    <x v="0"/>
    <n v="1"/>
    <n v="15"/>
    <n v="15"/>
    <x v="0"/>
    <n v="0"/>
    <x v="0"/>
    <n v="0"/>
    <n v="1"/>
    <n v="0"/>
    <n v="214"/>
    <n v="214"/>
    <x v="1"/>
    <n v="142"/>
    <n v="66"/>
    <n v="24.47"/>
    <n v="24.47"/>
    <x v="1"/>
    <n v="95"/>
    <n v="95"/>
    <n v="94"/>
    <n v="94"/>
    <x v="0"/>
    <x v="0"/>
  </r>
  <r>
    <n v="1"/>
    <x v="1"/>
    <n v="56"/>
    <x v="2"/>
    <n v="1"/>
    <n v="1"/>
    <s v="Primary"/>
    <x v="2"/>
    <n v="0"/>
    <n v="0"/>
    <n v="0"/>
    <x v="1"/>
    <n v="0"/>
    <x v="0"/>
    <n v="0"/>
    <n v="1"/>
    <n v="0"/>
    <n v="254"/>
    <n v="254"/>
    <x v="0"/>
    <n v="166"/>
    <n v="107"/>
    <n v="21.97"/>
    <n v="21.97"/>
    <x v="1"/>
    <n v="75"/>
    <n v="75"/>
    <n v="83"/>
    <n v="83"/>
    <x v="0"/>
    <x v="0"/>
  </r>
  <r>
    <n v="0"/>
    <x v="0"/>
    <n v="56"/>
    <x v="2"/>
    <n v="3"/>
    <n v="3"/>
    <s v="Graduate"/>
    <x v="1"/>
    <n v="0"/>
    <n v="0"/>
    <n v="0"/>
    <x v="1"/>
    <n v="0"/>
    <x v="0"/>
    <n v="0"/>
    <n v="0"/>
    <n v="0"/>
    <n v="267"/>
    <n v="267"/>
    <x v="0"/>
    <n v="122.5"/>
    <n v="85"/>
    <n v="24.22"/>
    <n v="24.22"/>
    <x v="1"/>
    <n v="92"/>
    <n v="92"/>
    <n v="100"/>
    <n v="100"/>
    <x v="0"/>
    <x v="0"/>
  </r>
  <r>
    <n v="0"/>
    <x v="0"/>
    <n v="56"/>
    <x v="2"/>
    <n v="3"/>
    <n v="3"/>
    <s v="Graduate"/>
    <x v="1"/>
    <n v="0"/>
    <n v="0"/>
    <n v="0"/>
    <x v="1"/>
    <n v="0"/>
    <x v="0"/>
    <n v="0"/>
    <n v="0"/>
    <n v="0"/>
    <n v="246"/>
    <n v="246"/>
    <x v="0"/>
    <n v="131"/>
    <n v="79"/>
    <n v="27.69"/>
    <n v="27.69"/>
    <x v="0"/>
    <n v="90"/>
    <n v="90"/>
    <n v="65"/>
    <n v="65"/>
    <x v="0"/>
    <x v="0"/>
  </r>
  <r>
    <n v="1"/>
    <x v="1"/>
    <n v="56"/>
    <x v="2"/>
    <n v="2"/>
    <n v="2"/>
    <s v="Secondary"/>
    <x v="0"/>
    <n v="1"/>
    <n v="20"/>
    <n v="20"/>
    <x v="0"/>
    <n v="0"/>
    <x v="0"/>
    <n v="0"/>
    <n v="0"/>
    <n v="0"/>
    <n v="186"/>
    <n v="186"/>
    <x v="1"/>
    <n v="116"/>
    <n v="67"/>
    <n v="24.62"/>
    <n v="24.62"/>
    <x v="1"/>
    <n v="70"/>
    <n v="70"/>
    <n v="83"/>
    <n v="83"/>
    <x v="0"/>
    <x v="0"/>
  </r>
  <r>
    <n v="0"/>
    <x v="0"/>
    <n v="56"/>
    <x v="2"/>
    <n v="1"/>
    <n v="1"/>
    <s v="Primary"/>
    <x v="2"/>
    <n v="1"/>
    <n v="10"/>
    <n v="10"/>
    <x v="0"/>
    <n v="0"/>
    <x v="0"/>
    <n v="0"/>
    <n v="0"/>
    <n v="0"/>
    <n v="225"/>
    <n v="225"/>
    <x v="1"/>
    <n v="120"/>
    <n v="70"/>
    <n v="18.46"/>
    <n v="18.46"/>
    <x v="3"/>
    <n v="57"/>
    <n v="57"/>
    <s v="NA"/>
    <n v="81.96365524402907"/>
    <x v="0"/>
    <x v="0"/>
  </r>
  <r>
    <n v="1"/>
    <x v="1"/>
    <n v="56"/>
    <x v="2"/>
    <s v="NA"/>
    <n v="1"/>
    <s v="Primary"/>
    <x v="2"/>
    <n v="1"/>
    <n v="30"/>
    <n v="30"/>
    <x v="0"/>
    <n v="0"/>
    <x v="0"/>
    <n v="0"/>
    <n v="1"/>
    <n v="0"/>
    <n v="193"/>
    <n v="193"/>
    <x v="1"/>
    <n v="139"/>
    <n v="93"/>
    <n v="28.67"/>
    <n v="28.67"/>
    <x v="0"/>
    <n v="57"/>
    <n v="57"/>
    <n v="67"/>
    <n v="67"/>
    <x v="0"/>
    <x v="1"/>
  </r>
  <r>
    <n v="1"/>
    <x v="1"/>
    <n v="56"/>
    <x v="2"/>
    <n v="1"/>
    <n v="1"/>
    <s v="Primary"/>
    <x v="2"/>
    <n v="0"/>
    <n v="0"/>
    <n v="0"/>
    <x v="1"/>
    <n v="1"/>
    <x v="1"/>
    <n v="1"/>
    <n v="1"/>
    <n v="0"/>
    <n v="208"/>
    <n v="208"/>
    <x v="1"/>
    <n v="167"/>
    <n v="92"/>
    <n v="24.66"/>
    <n v="24.66"/>
    <x v="1"/>
    <n v="60"/>
    <n v="60"/>
    <n v="75"/>
    <n v="75"/>
    <x v="0"/>
    <x v="1"/>
  </r>
  <r>
    <n v="1"/>
    <x v="1"/>
    <n v="56"/>
    <x v="2"/>
    <n v="1"/>
    <n v="1"/>
    <s v="Primary"/>
    <x v="2"/>
    <n v="0"/>
    <n v="0"/>
    <n v="0"/>
    <x v="1"/>
    <n v="0"/>
    <x v="0"/>
    <n v="0"/>
    <n v="0"/>
    <n v="0"/>
    <n v="220"/>
    <n v="220"/>
    <x v="1"/>
    <n v="132.5"/>
    <n v="82.5"/>
    <n v="29.77"/>
    <n v="29.77"/>
    <x v="0"/>
    <n v="77"/>
    <n v="77"/>
    <s v="NA"/>
    <n v="81.96365524402907"/>
    <x v="0"/>
    <x v="0"/>
  </r>
  <r>
    <n v="0"/>
    <x v="0"/>
    <n v="56"/>
    <x v="2"/>
    <n v="1"/>
    <n v="1"/>
    <s v="Primary"/>
    <x v="2"/>
    <n v="1"/>
    <n v="3"/>
    <n v="3"/>
    <x v="0"/>
    <n v="0"/>
    <x v="0"/>
    <n v="0"/>
    <n v="1"/>
    <n v="0"/>
    <n v="265"/>
    <n v="265"/>
    <x v="0"/>
    <n v="150"/>
    <n v="84"/>
    <n v="28.66"/>
    <n v="28.66"/>
    <x v="0"/>
    <n v="65"/>
    <n v="65"/>
    <n v="73"/>
    <n v="73"/>
    <x v="0"/>
    <x v="0"/>
  </r>
  <r>
    <n v="0"/>
    <x v="0"/>
    <n v="56"/>
    <x v="2"/>
    <n v="3"/>
    <n v="3"/>
    <s v="Graduate"/>
    <x v="1"/>
    <n v="1"/>
    <n v="1"/>
    <n v="1"/>
    <x v="0"/>
    <n v="0"/>
    <x v="0"/>
    <n v="0"/>
    <n v="1"/>
    <n v="0"/>
    <n v="260"/>
    <n v="260"/>
    <x v="0"/>
    <n v="120"/>
    <n v="84"/>
    <n v="36.18"/>
    <n v="36.18"/>
    <x v="2"/>
    <n v="80"/>
    <n v="80"/>
    <n v="76"/>
    <n v="76"/>
    <x v="0"/>
    <x v="0"/>
  </r>
  <r>
    <n v="0"/>
    <x v="0"/>
    <n v="56"/>
    <x v="2"/>
    <n v="2"/>
    <n v="2"/>
    <s v="Secondary"/>
    <x v="0"/>
    <n v="0"/>
    <n v="0"/>
    <n v="0"/>
    <x v="1"/>
    <n v="0"/>
    <x v="0"/>
    <n v="0"/>
    <n v="0"/>
    <n v="0"/>
    <n v="225"/>
    <n v="225"/>
    <x v="1"/>
    <n v="113"/>
    <n v="75.5"/>
    <n v="27.51"/>
    <n v="27.51"/>
    <x v="0"/>
    <n v="86"/>
    <n v="86"/>
    <n v="104"/>
    <n v="104"/>
    <x v="0"/>
    <x v="0"/>
  </r>
  <r>
    <n v="0"/>
    <x v="0"/>
    <n v="56"/>
    <x v="2"/>
    <n v="4"/>
    <n v="4"/>
    <s v="Post Graduate"/>
    <x v="3"/>
    <n v="0"/>
    <n v="0"/>
    <n v="0"/>
    <x v="1"/>
    <n v="0"/>
    <x v="0"/>
    <n v="0"/>
    <n v="1"/>
    <n v="0"/>
    <n v="246"/>
    <n v="246"/>
    <x v="0"/>
    <n v="136"/>
    <n v="87"/>
    <n v="26.21"/>
    <n v="26.21"/>
    <x v="0"/>
    <n v="80"/>
    <n v="80"/>
    <n v="72"/>
    <n v="72"/>
    <x v="0"/>
    <x v="1"/>
  </r>
  <r>
    <n v="0"/>
    <x v="0"/>
    <n v="56"/>
    <x v="2"/>
    <n v="1"/>
    <n v="1"/>
    <s v="Primary"/>
    <x v="2"/>
    <n v="0"/>
    <n v="0"/>
    <n v="0"/>
    <x v="1"/>
    <s v="NA"/>
    <x v="0"/>
    <n v="0"/>
    <n v="1"/>
    <n v="0"/>
    <n v="391"/>
    <n v="391"/>
    <x v="0"/>
    <n v="126"/>
    <n v="84"/>
    <n v="24.83"/>
    <n v="24.83"/>
    <x v="1"/>
    <n v="80"/>
    <n v="80"/>
    <n v="78"/>
    <n v="78"/>
    <x v="1"/>
    <x v="0"/>
  </r>
  <r>
    <n v="0"/>
    <x v="0"/>
    <n v="56"/>
    <x v="2"/>
    <n v="1"/>
    <n v="1"/>
    <s v="Primary"/>
    <x v="2"/>
    <n v="1"/>
    <n v="40"/>
    <n v="40"/>
    <x v="0"/>
    <n v="0"/>
    <x v="0"/>
    <n v="0"/>
    <n v="1"/>
    <n v="0"/>
    <n v="214"/>
    <n v="214"/>
    <x v="1"/>
    <n v="147"/>
    <n v="65"/>
    <n v="17.68"/>
    <n v="17.68"/>
    <x v="3"/>
    <n v="110"/>
    <n v="110"/>
    <n v="87"/>
    <n v="87"/>
    <x v="0"/>
    <x v="1"/>
  </r>
  <r>
    <n v="0"/>
    <x v="0"/>
    <n v="56"/>
    <x v="2"/>
    <n v="2"/>
    <n v="2"/>
    <s v="Secondary"/>
    <x v="0"/>
    <n v="0"/>
    <n v="0"/>
    <n v="0"/>
    <x v="1"/>
    <n v="0"/>
    <x v="0"/>
    <n v="0"/>
    <n v="1"/>
    <n v="0"/>
    <n v="233"/>
    <n v="233"/>
    <x v="1"/>
    <n v="173"/>
    <n v="98.5"/>
    <n v="21.88"/>
    <n v="21.88"/>
    <x v="1"/>
    <n v="62"/>
    <n v="62"/>
    <n v="76"/>
    <n v="76"/>
    <x v="0"/>
    <x v="0"/>
  </r>
  <r>
    <n v="0"/>
    <x v="0"/>
    <n v="56"/>
    <x v="2"/>
    <n v="2"/>
    <n v="2"/>
    <s v="Secondary"/>
    <x v="0"/>
    <n v="1"/>
    <n v="25"/>
    <n v="25"/>
    <x v="0"/>
    <n v="0"/>
    <x v="0"/>
    <n v="0"/>
    <n v="0"/>
    <n v="0"/>
    <n v="273"/>
    <n v="273"/>
    <x v="0"/>
    <n v="130.5"/>
    <n v="82"/>
    <n v="25.48"/>
    <n v="25.48"/>
    <x v="0"/>
    <n v="90"/>
    <n v="90"/>
    <n v="91"/>
    <n v="91"/>
    <x v="0"/>
    <x v="0"/>
  </r>
  <r>
    <n v="0"/>
    <x v="0"/>
    <n v="56"/>
    <x v="2"/>
    <n v="2"/>
    <n v="2"/>
    <s v="Secondary"/>
    <x v="0"/>
    <n v="0"/>
    <n v="0"/>
    <n v="0"/>
    <x v="1"/>
    <n v="0"/>
    <x v="0"/>
    <n v="0"/>
    <n v="1"/>
    <n v="0"/>
    <n v="223"/>
    <n v="223"/>
    <x v="1"/>
    <n v="144"/>
    <n v="87"/>
    <n v="21.75"/>
    <n v="21.75"/>
    <x v="1"/>
    <n v="72"/>
    <n v="72"/>
    <n v="92"/>
    <n v="92"/>
    <x v="0"/>
    <x v="0"/>
  </r>
  <r>
    <n v="0"/>
    <x v="0"/>
    <n v="56"/>
    <x v="2"/>
    <n v="2"/>
    <n v="2"/>
    <s v="Secondary"/>
    <x v="0"/>
    <n v="0"/>
    <n v="0"/>
    <n v="0"/>
    <x v="1"/>
    <n v="0"/>
    <x v="0"/>
    <n v="0"/>
    <n v="0"/>
    <n v="0"/>
    <n v="306"/>
    <n v="306"/>
    <x v="0"/>
    <n v="120"/>
    <n v="87"/>
    <n v="25.38"/>
    <n v="25.38"/>
    <x v="0"/>
    <n v="82"/>
    <n v="82"/>
    <n v="84"/>
    <n v="84"/>
    <x v="0"/>
    <x v="0"/>
  </r>
  <r>
    <n v="0"/>
    <x v="0"/>
    <n v="56"/>
    <x v="2"/>
    <n v="4"/>
    <n v="4"/>
    <s v="Post Graduate"/>
    <x v="3"/>
    <n v="0"/>
    <n v="0"/>
    <n v="0"/>
    <x v="1"/>
    <n v="0"/>
    <x v="0"/>
    <n v="0"/>
    <n v="1"/>
    <n v="0"/>
    <n v="287"/>
    <n v="287"/>
    <x v="0"/>
    <n v="169"/>
    <n v="91"/>
    <n v="26.36"/>
    <n v="26.36"/>
    <x v="0"/>
    <n v="94"/>
    <n v="94"/>
    <n v="83"/>
    <n v="83"/>
    <x v="0"/>
    <x v="0"/>
  </r>
  <r>
    <n v="0"/>
    <x v="0"/>
    <n v="56"/>
    <x v="2"/>
    <n v="2"/>
    <n v="2"/>
    <s v="Secondary"/>
    <x v="0"/>
    <n v="0"/>
    <n v="0"/>
    <n v="0"/>
    <x v="1"/>
    <n v="0"/>
    <x v="0"/>
    <n v="0"/>
    <n v="1"/>
    <n v="0"/>
    <n v="199"/>
    <n v="199"/>
    <x v="1"/>
    <n v="160"/>
    <n v="105"/>
    <n v="25.71"/>
    <n v="25.71"/>
    <x v="0"/>
    <n v="75"/>
    <n v="75"/>
    <n v="83"/>
    <n v="83"/>
    <x v="0"/>
    <x v="0"/>
  </r>
  <r>
    <n v="1"/>
    <x v="1"/>
    <n v="56"/>
    <x v="2"/>
    <n v="1"/>
    <n v="1"/>
    <s v="Primary"/>
    <x v="2"/>
    <n v="1"/>
    <n v="40"/>
    <n v="40"/>
    <x v="0"/>
    <n v="0"/>
    <x v="0"/>
    <n v="0"/>
    <n v="0"/>
    <n v="0"/>
    <n v="296"/>
    <n v="296"/>
    <x v="0"/>
    <n v="111.5"/>
    <n v="74"/>
    <n v="23.38"/>
    <n v="23.38"/>
    <x v="1"/>
    <n v="80"/>
    <n v="80"/>
    <n v="71"/>
    <n v="71"/>
    <x v="0"/>
    <x v="1"/>
  </r>
  <r>
    <n v="1"/>
    <x v="1"/>
    <n v="56"/>
    <x v="2"/>
    <n v="3"/>
    <n v="3"/>
    <s v="Graduate"/>
    <x v="1"/>
    <n v="0"/>
    <n v="0"/>
    <n v="0"/>
    <x v="1"/>
    <n v="0"/>
    <x v="0"/>
    <n v="0"/>
    <n v="0"/>
    <n v="0"/>
    <n v="177"/>
    <n v="177"/>
    <x v="1"/>
    <n v="124"/>
    <n v="77"/>
    <n v="27.81"/>
    <n v="27.81"/>
    <x v="0"/>
    <n v="60"/>
    <n v="60"/>
    <n v="88"/>
    <n v="88"/>
    <x v="0"/>
    <x v="0"/>
  </r>
  <r>
    <n v="0"/>
    <x v="0"/>
    <n v="56"/>
    <x v="2"/>
    <n v="1"/>
    <n v="1"/>
    <s v="Primary"/>
    <x v="2"/>
    <n v="1"/>
    <n v="15"/>
    <n v="15"/>
    <x v="0"/>
    <n v="0"/>
    <x v="0"/>
    <n v="0"/>
    <n v="0"/>
    <n v="0"/>
    <n v="262"/>
    <n v="262"/>
    <x v="0"/>
    <n v="126"/>
    <n v="74"/>
    <n v="27.35"/>
    <n v="27.35"/>
    <x v="0"/>
    <n v="90"/>
    <n v="90"/>
    <n v="115"/>
    <n v="115"/>
    <x v="0"/>
    <x v="0"/>
  </r>
  <r>
    <n v="0"/>
    <x v="0"/>
    <n v="56"/>
    <x v="2"/>
    <n v="1"/>
    <n v="1"/>
    <s v="Primary"/>
    <x v="2"/>
    <n v="0"/>
    <n v="0"/>
    <n v="0"/>
    <x v="1"/>
    <n v="0"/>
    <x v="0"/>
    <n v="0"/>
    <n v="1"/>
    <n v="1"/>
    <n v="273"/>
    <n v="273"/>
    <x v="0"/>
    <n v="136"/>
    <n v="80"/>
    <n v="27.73"/>
    <n v="27.73"/>
    <x v="0"/>
    <n v="90"/>
    <n v="90"/>
    <n v="210"/>
    <n v="210"/>
    <x v="0"/>
    <x v="1"/>
  </r>
  <r>
    <n v="0"/>
    <x v="0"/>
    <n v="56"/>
    <x v="2"/>
    <n v="1"/>
    <n v="1"/>
    <s v="Primary"/>
    <x v="2"/>
    <n v="1"/>
    <n v="6"/>
    <n v="6"/>
    <x v="0"/>
    <n v="0"/>
    <x v="0"/>
    <n v="0"/>
    <n v="0"/>
    <n v="0"/>
    <n v="217"/>
    <n v="217"/>
    <x v="1"/>
    <n v="134"/>
    <n v="75"/>
    <n v="29.59"/>
    <n v="29.59"/>
    <x v="0"/>
    <n v="55"/>
    <n v="55"/>
    <n v="92"/>
    <n v="92"/>
    <x v="0"/>
    <x v="0"/>
  </r>
  <r>
    <n v="0"/>
    <x v="0"/>
    <n v="56"/>
    <x v="2"/>
    <n v="2"/>
    <n v="2"/>
    <s v="Secondary"/>
    <x v="0"/>
    <n v="0"/>
    <n v="0"/>
    <n v="0"/>
    <x v="1"/>
    <n v="1"/>
    <x v="1"/>
    <n v="0"/>
    <n v="1"/>
    <n v="0"/>
    <n v="260"/>
    <n v="260"/>
    <x v="0"/>
    <n v="158"/>
    <n v="102.5"/>
    <n v="26.89"/>
    <n v="26.89"/>
    <x v="0"/>
    <n v="90"/>
    <n v="90"/>
    <n v="88"/>
    <n v="88"/>
    <x v="0"/>
    <x v="0"/>
  </r>
  <r>
    <n v="0"/>
    <x v="0"/>
    <n v="56"/>
    <x v="2"/>
    <n v="3"/>
    <n v="3"/>
    <s v="Graduate"/>
    <x v="1"/>
    <n v="1"/>
    <n v="20"/>
    <n v="20"/>
    <x v="0"/>
    <n v="0"/>
    <x v="0"/>
    <n v="0"/>
    <n v="0"/>
    <n v="0"/>
    <n v="240"/>
    <n v="240"/>
    <x v="1"/>
    <n v="112.5"/>
    <n v="71.5"/>
    <n v="24.99"/>
    <n v="24.99"/>
    <x v="1"/>
    <n v="72"/>
    <n v="72"/>
    <s v="NA"/>
    <n v="81.96365524402907"/>
    <x v="0"/>
    <x v="0"/>
  </r>
  <r>
    <n v="0"/>
    <x v="0"/>
    <n v="56"/>
    <x v="2"/>
    <n v="3"/>
    <n v="3"/>
    <s v="Graduate"/>
    <x v="1"/>
    <n v="1"/>
    <n v="5"/>
    <n v="5"/>
    <x v="0"/>
    <n v="0"/>
    <x v="0"/>
    <n v="0"/>
    <n v="0"/>
    <n v="0"/>
    <n v="230"/>
    <n v="230"/>
    <x v="1"/>
    <n v="123"/>
    <n v="78.5"/>
    <n v="24.71"/>
    <n v="24.71"/>
    <x v="1"/>
    <n v="76"/>
    <n v="76"/>
    <n v="87"/>
    <n v="87"/>
    <x v="0"/>
    <x v="1"/>
  </r>
  <r>
    <n v="1"/>
    <x v="1"/>
    <n v="56"/>
    <x v="2"/>
    <n v="4"/>
    <n v="4"/>
    <s v="Post Graduate"/>
    <x v="3"/>
    <n v="0"/>
    <n v="0"/>
    <n v="0"/>
    <x v="1"/>
    <n v="1"/>
    <x v="1"/>
    <n v="0"/>
    <n v="1"/>
    <n v="0"/>
    <n v="287"/>
    <n v="287"/>
    <x v="0"/>
    <n v="149"/>
    <n v="98"/>
    <n v="21.68"/>
    <n v="21.68"/>
    <x v="1"/>
    <n v="90"/>
    <n v="90"/>
    <n v="75"/>
    <n v="75"/>
    <x v="0"/>
    <x v="1"/>
  </r>
  <r>
    <n v="0"/>
    <x v="0"/>
    <n v="56"/>
    <x v="2"/>
    <n v="1"/>
    <n v="1"/>
    <s v="Primary"/>
    <x v="2"/>
    <n v="1"/>
    <n v="3"/>
    <n v="3"/>
    <x v="0"/>
    <n v="0"/>
    <x v="0"/>
    <n v="0"/>
    <n v="1"/>
    <n v="0"/>
    <n v="268"/>
    <n v="268"/>
    <x v="0"/>
    <n v="170"/>
    <n v="102"/>
    <n v="22.89"/>
    <n v="22.89"/>
    <x v="1"/>
    <n v="57"/>
    <n v="57"/>
    <s v="NA"/>
    <n v="81.96365524402907"/>
    <x v="0"/>
    <x v="0"/>
  </r>
  <r>
    <n v="0"/>
    <x v="0"/>
    <n v="57"/>
    <x v="2"/>
    <n v="1"/>
    <n v="1"/>
    <s v="Primary"/>
    <x v="2"/>
    <n v="1"/>
    <n v="3"/>
    <n v="3"/>
    <x v="0"/>
    <n v="0"/>
    <x v="0"/>
    <n v="0"/>
    <n v="0"/>
    <n v="0"/>
    <n v="235"/>
    <n v="235"/>
    <x v="1"/>
    <n v="126.5"/>
    <n v="80"/>
    <n v="24.88"/>
    <n v="24.88"/>
    <x v="1"/>
    <n v="83"/>
    <n v="83"/>
    <n v="72"/>
    <n v="72"/>
    <x v="0"/>
    <x v="0"/>
  </r>
  <r>
    <n v="1"/>
    <x v="1"/>
    <n v="57"/>
    <x v="2"/>
    <n v="1"/>
    <n v="1"/>
    <s v="Primary"/>
    <x v="2"/>
    <n v="0"/>
    <n v="0"/>
    <n v="0"/>
    <x v="1"/>
    <n v="0"/>
    <x v="0"/>
    <n v="0"/>
    <n v="0"/>
    <n v="0"/>
    <n v="220"/>
    <n v="220"/>
    <x v="1"/>
    <n v="136"/>
    <n v="84"/>
    <n v="26.84"/>
    <n v="26.84"/>
    <x v="0"/>
    <n v="75"/>
    <n v="75"/>
    <n v="64"/>
    <n v="64"/>
    <x v="0"/>
    <x v="1"/>
  </r>
  <r>
    <n v="0"/>
    <x v="0"/>
    <n v="57"/>
    <x v="2"/>
    <n v="1"/>
    <n v="1"/>
    <s v="Primary"/>
    <x v="2"/>
    <n v="0"/>
    <n v="0"/>
    <n v="0"/>
    <x v="1"/>
    <n v="0"/>
    <x v="0"/>
    <n v="0"/>
    <n v="1"/>
    <n v="0"/>
    <n v="266"/>
    <n v="266"/>
    <x v="0"/>
    <n v="151"/>
    <n v="95"/>
    <n v="38.39"/>
    <n v="38.39"/>
    <x v="2"/>
    <n v="96"/>
    <n v="96"/>
    <n v="109"/>
    <n v="109"/>
    <x v="0"/>
    <x v="1"/>
  </r>
  <r>
    <n v="1"/>
    <x v="1"/>
    <n v="57"/>
    <x v="2"/>
    <n v="2"/>
    <n v="2"/>
    <s v="Secondary"/>
    <x v="0"/>
    <n v="1"/>
    <n v="1"/>
    <n v="1"/>
    <x v="0"/>
    <n v="0"/>
    <x v="0"/>
    <n v="0"/>
    <n v="0"/>
    <n v="0"/>
    <n v="242"/>
    <n v="242"/>
    <x v="0"/>
    <n v="102"/>
    <n v="61"/>
    <n v="23.5"/>
    <n v="23.5"/>
    <x v="1"/>
    <n v="70"/>
    <n v="70"/>
    <n v="82"/>
    <n v="82"/>
    <x v="0"/>
    <x v="0"/>
  </r>
  <r>
    <n v="0"/>
    <x v="0"/>
    <n v="57"/>
    <x v="2"/>
    <n v="2"/>
    <n v="2"/>
    <s v="Secondary"/>
    <x v="0"/>
    <n v="0"/>
    <n v="0"/>
    <n v="0"/>
    <x v="1"/>
    <n v="0"/>
    <x v="0"/>
    <n v="0"/>
    <n v="0"/>
    <n v="0"/>
    <n v="175"/>
    <n v="175"/>
    <x v="1"/>
    <n v="123"/>
    <n v="72"/>
    <n v="22.37"/>
    <n v="22.37"/>
    <x v="1"/>
    <n v="77"/>
    <n v="77"/>
    <n v="74"/>
    <n v="74"/>
    <x v="0"/>
    <x v="0"/>
  </r>
  <r>
    <n v="1"/>
    <x v="1"/>
    <n v="57"/>
    <x v="2"/>
    <n v="1"/>
    <n v="1"/>
    <s v="Primary"/>
    <x v="2"/>
    <n v="0"/>
    <n v="0"/>
    <n v="0"/>
    <x v="1"/>
    <n v="0"/>
    <x v="0"/>
    <n v="0"/>
    <n v="1"/>
    <n v="0"/>
    <n v="176"/>
    <n v="176"/>
    <x v="1"/>
    <n v="134"/>
    <n v="97"/>
    <n v="38.14"/>
    <n v="38.14"/>
    <x v="2"/>
    <n v="68"/>
    <n v="68"/>
    <n v="94"/>
    <n v="94"/>
    <x v="0"/>
    <x v="0"/>
  </r>
  <r>
    <n v="0"/>
    <x v="0"/>
    <n v="57"/>
    <x v="2"/>
    <n v="2"/>
    <n v="2"/>
    <s v="Secondary"/>
    <x v="0"/>
    <n v="1"/>
    <n v="1"/>
    <n v="1"/>
    <x v="0"/>
    <n v="0"/>
    <x v="0"/>
    <n v="0"/>
    <n v="1"/>
    <n v="0"/>
    <n v="254"/>
    <n v="254"/>
    <x v="0"/>
    <n v="174"/>
    <n v="84.5"/>
    <n v="24.22"/>
    <n v="24.22"/>
    <x v="1"/>
    <n v="90"/>
    <n v="90"/>
    <n v="76"/>
    <n v="76"/>
    <x v="0"/>
    <x v="0"/>
  </r>
  <r>
    <n v="0"/>
    <x v="0"/>
    <n v="57"/>
    <x v="2"/>
    <n v="1"/>
    <n v="1"/>
    <s v="Primary"/>
    <x v="2"/>
    <n v="0"/>
    <n v="0"/>
    <n v="0"/>
    <x v="1"/>
    <n v="0"/>
    <x v="0"/>
    <n v="0"/>
    <n v="0"/>
    <n v="0"/>
    <n v="197"/>
    <n v="197"/>
    <x v="1"/>
    <n v="96"/>
    <n v="64"/>
    <n v="18.59"/>
    <n v="18.59"/>
    <x v="1"/>
    <n v="60"/>
    <n v="60"/>
    <n v="77"/>
    <n v="77"/>
    <x v="0"/>
    <x v="0"/>
  </r>
  <r>
    <n v="0"/>
    <x v="0"/>
    <n v="57"/>
    <x v="2"/>
    <n v="3"/>
    <n v="3"/>
    <s v="Graduate"/>
    <x v="1"/>
    <n v="1"/>
    <n v="15"/>
    <n v="15"/>
    <x v="0"/>
    <n v="0"/>
    <x v="0"/>
    <n v="0"/>
    <n v="0"/>
    <n v="0"/>
    <n v="250"/>
    <n v="250"/>
    <x v="0"/>
    <n v="125"/>
    <n v="74"/>
    <n v="21.08"/>
    <n v="21.08"/>
    <x v="1"/>
    <n v="80"/>
    <n v="80"/>
    <n v="72"/>
    <n v="72"/>
    <x v="0"/>
    <x v="0"/>
  </r>
  <r>
    <n v="1"/>
    <x v="1"/>
    <n v="57"/>
    <x v="2"/>
    <n v="4"/>
    <n v="4"/>
    <s v="Post Graduate"/>
    <x v="3"/>
    <n v="0"/>
    <n v="0"/>
    <n v="0"/>
    <x v="1"/>
    <n v="0"/>
    <x v="0"/>
    <n v="0"/>
    <n v="1"/>
    <n v="0"/>
    <n v="303"/>
    <n v="303"/>
    <x v="0"/>
    <n v="160.5"/>
    <n v="98.5"/>
    <n v="25.84"/>
    <n v="25.84"/>
    <x v="0"/>
    <n v="81"/>
    <n v="81"/>
    <n v="100"/>
    <n v="100"/>
    <x v="0"/>
    <x v="0"/>
  </r>
  <r>
    <n v="0"/>
    <x v="0"/>
    <n v="57"/>
    <x v="2"/>
    <n v="2"/>
    <n v="2"/>
    <s v="Secondary"/>
    <x v="0"/>
    <n v="0"/>
    <n v="0"/>
    <n v="0"/>
    <x v="1"/>
    <n v="0"/>
    <x v="0"/>
    <n v="0"/>
    <n v="0"/>
    <n v="0"/>
    <n v="301"/>
    <n v="301"/>
    <x v="0"/>
    <n v="119"/>
    <n v="80"/>
    <n v="24.79"/>
    <n v="24.79"/>
    <x v="1"/>
    <n v="58"/>
    <n v="58"/>
    <n v="73"/>
    <n v="73"/>
    <x v="0"/>
    <x v="0"/>
  </r>
  <r>
    <n v="1"/>
    <x v="1"/>
    <n v="57"/>
    <x v="2"/>
    <n v="1"/>
    <n v="1"/>
    <s v="Primary"/>
    <x v="2"/>
    <n v="1"/>
    <n v="10"/>
    <n v="10"/>
    <x v="0"/>
    <n v="0"/>
    <x v="0"/>
    <n v="0"/>
    <n v="1"/>
    <n v="0"/>
    <n v="250"/>
    <n v="250"/>
    <x v="0"/>
    <n v="148"/>
    <n v="91"/>
    <n v="27.6"/>
    <n v="27.6"/>
    <x v="0"/>
    <n v="88"/>
    <n v="88"/>
    <n v="103"/>
    <n v="103"/>
    <x v="0"/>
    <x v="0"/>
  </r>
  <r>
    <n v="0"/>
    <x v="0"/>
    <n v="57"/>
    <x v="2"/>
    <n v="1"/>
    <n v="1"/>
    <s v="Primary"/>
    <x v="2"/>
    <n v="0"/>
    <n v="0"/>
    <n v="0"/>
    <x v="1"/>
    <n v="0"/>
    <x v="0"/>
    <n v="0"/>
    <n v="0"/>
    <n v="0"/>
    <n v="287"/>
    <n v="287"/>
    <x v="0"/>
    <n v="136"/>
    <n v="92"/>
    <n v="26.24"/>
    <n v="26.24"/>
    <x v="0"/>
    <n v="65"/>
    <n v="65"/>
    <n v="71"/>
    <n v="71"/>
    <x v="0"/>
    <x v="0"/>
  </r>
  <r>
    <n v="0"/>
    <x v="0"/>
    <n v="57"/>
    <x v="2"/>
    <n v="2"/>
    <n v="2"/>
    <s v="Secondary"/>
    <x v="0"/>
    <n v="0"/>
    <n v="0"/>
    <n v="0"/>
    <x v="1"/>
    <n v="0"/>
    <x v="0"/>
    <n v="0"/>
    <n v="0"/>
    <n v="0"/>
    <n v="289"/>
    <n v="289"/>
    <x v="0"/>
    <n v="125"/>
    <n v="74"/>
    <n v="18.64"/>
    <n v="18.64"/>
    <x v="1"/>
    <n v="66"/>
    <n v="66"/>
    <n v="69"/>
    <n v="69"/>
    <x v="0"/>
    <x v="0"/>
  </r>
  <r>
    <n v="1"/>
    <x v="1"/>
    <n v="57"/>
    <x v="2"/>
    <n v="1"/>
    <n v="1"/>
    <s v="Primary"/>
    <x v="2"/>
    <n v="1"/>
    <n v="43"/>
    <n v="43"/>
    <x v="0"/>
    <n v="0"/>
    <x v="0"/>
    <n v="0"/>
    <n v="1"/>
    <n v="0"/>
    <n v="185"/>
    <n v="185"/>
    <x v="1"/>
    <n v="134"/>
    <n v="90.5"/>
    <n v="27.77"/>
    <n v="27.77"/>
    <x v="0"/>
    <n v="87"/>
    <n v="87"/>
    <n v="103"/>
    <n v="103"/>
    <x v="0"/>
    <x v="0"/>
  </r>
  <r>
    <n v="1"/>
    <x v="1"/>
    <n v="57"/>
    <x v="2"/>
    <n v="1"/>
    <n v="1"/>
    <s v="Primary"/>
    <x v="2"/>
    <n v="0"/>
    <n v="0"/>
    <n v="0"/>
    <x v="1"/>
    <n v="0"/>
    <x v="0"/>
    <n v="0"/>
    <n v="1"/>
    <n v="0"/>
    <n v="241"/>
    <n v="241"/>
    <x v="0"/>
    <n v="163.5"/>
    <n v="93"/>
    <n v="31.68"/>
    <n v="31.68"/>
    <x v="2"/>
    <n v="80"/>
    <n v="80"/>
    <n v="67"/>
    <n v="67"/>
    <x v="0"/>
    <x v="0"/>
  </r>
  <r>
    <n v="1"/>
    <x v="1"/>
    <n v="57"/>
    <x v="2"/>
    <n v="3"/>
    <n v="3"/>
    <s v="Graduate"/>
    <x v="1"/>
    <n v="1"/>
    <n v="40"/>
    <n v="40"/>
    <x v="0"/>
    <n v="0"/>
    <x v="0"/>
    <n v="0"/>
    <n v="0"/>
    <n v="0"/>
    <n v="280"/>
    <n v="280"/>
    <x v="0"/>
    <n v="117"/>
    <n v="80"/>
    <n v="26.56"/>
    <n v="26.56"/>
    <x v="0"/>
    <n v="75"/>
    <n v="75"/>
    <n v="60"/>
    <n v="60"/>
    <x v="0"/>
    <x v="0"/>
  </r>
  <r>
    <n v="1"/>
    <x v="1"/>
    <n v="57"/>
    <x v="2"/>
    <n v="2"/>
    <n v="2"/>
    <s v="Secondary"/>
    <x v="0"/>
    <n v="1"/>
    <n v="20"/>
    <n v="20"/>
    <x v="0"/>
    <n v="0"/>
    <x v="0"/>
    <n v="0"/>
    <n v="0"/>
    <n v="0"/>
    <n v="205"/>
    <n v="205"/>
    <x v="1"/>
    <n v="127"/>
    <n v="75"/>
    <n v="20.55"/>
    <n v="20.55"/>
    <x v="1"/>
    <n v="80"/>
    <n v="80"/>
    <n v="65"/>
    <n v="65"/>
    <x v="0"/>
    <x v="1"/>
  </r>
  <r>
    <n v="1"/>
    <x v="1"/>
    <n v="57"/>
    <x v="2"/>
    <n v="1"/>
    <n v="1"/>
    <s v="Primary"/>
    <x v="2"/>
    <n v="1"/>
    <n v="10"/>
    <n v="10"/>
    <x v="0"/>
    <n v="0"/>
    <x v="0"/>
    <n v="0"/>
    <n v="1"/>
    <n v="0"/>
    <n v="206"/>
    <n v="206"/>
    <x v="1"/>
    <n v="141"/>
    <n v="83"/>
    <n v="27.98"/>
    <n v="27.98"/>
    <x v="0"/>
    <n v="63"/>
    <n v="63"/>
    <n v="69"/>
    <n v="69"/>
    <x v="0"/>
    <x v="0"/>
  </r>
  <r>
    <n v="0"/>
    <x v="0"/>
    <n v="57"/>
    <x v="2"/>
    <n v="3"/>
    <n v="3"/>
    <s v="Graduate"/>
    <x v="1"/>
    <n v="1"/>
    <n v="20"/>
    <n v="20"/>
    <x v="0"/>
    <n v="0"/>
    <x v="0"/>
    <n v="0"/>
    <n v="0"/>
    <n v="0"/>
    <n v="200"/>
    <n v="200"/>
    <x v="1"/>
    <n v="108"/>
    <n v="77"/>
    <n v="18.55"/>
    <n v="18.55"/>
    <x v="1"/>
    <n v="70"/>
    <n v="70"/>
    <n v="87"/>
    <n v="87"/>
    <x v="0"/>
    <x v="0"/>
  </r>
  <r>
    <n v="1"/>
    <x v="1"/>
    <n v="57"/>
    <x v="2"/>
    <n v="1"/>
    <n v="1"/>
    <s v="Primary"/>
    <x v="2"/>
    <n v="1"/>
    <n v="20"/>
    <n v="20"/>
    <x v="0"/>
    <n v="0"/>
    <x v="0"/>
    <n v="0"/>
    <n v="1"/>
    <n v="0"/>
    <n v="257"/>
    <n v="257"/>
    <x v="0"/>
    <n v="158.5"/>
    <n v="107"/>
    <n v="27.1"/>
    <n v="27.1"/>
    <x v="0"/>
    <n v="66"/>
    <n v="66"/>
    <n v="67"/>
    <n v="67"/>
    <x v="0"/>
    <x v="0"/>
  </r>
  <r>
    <n v="1"/>
    <x v="1"/>
    <n v="57"/>
    <x v="2"/>
    <n v="1"/>
    <n v="1"/>
    <s v="Primary"/>
    <x v="2"/>
    <n v="1"/>
    <n v="20"/>
    <n v="20"/>
    <x v="0"/>
    <n v="0"/>
    <x v="0"/>
    <n v="0"/>
    <n v="1"/>
    <n v="0"/>
    <n v="262"/>
    <n v="262"/>
    <x v="0"/>
    <n v="131.5"/>
    <n v="92"/>
    <n v="28.3"/>
    <n v="28.3"/>
    <x v="0"/>
    <n v="70"/>
    <n v="70"/>
    <n v="78"/>
    <n v="78"/>
    <x v="0"/>
    <x v="0"/>
  </r>
  <r>
    <n v="1"/>
    <x v="1"/>
    <n v="57"/>
    <x v="2"/>
    <n v="1"/>
    <n v="1"/>
    <s v="Primary"/>
    <x v="2"/>
    <n v="1"/>
    <n v="20"/>
    <n v="20"/>
    <x v="0"/>
    <n v="0"/>
    <x v="0"/>
    <n v="0"/>
    <n v="1"/>
    <n v="0"/>
    <n v="158"/>
    <n v="158"/>
    <x v="1"/>
    <n v="154"/>
    <n v="100"/>
    <n v="24.07"/>
    <n v="24.07"/>
    <x v="1"/>
    <n v="92"/>
    <n v="92"/>
    <n v="70"/>
    <n v="70"/>
    <x v="0"/>
    <x v="1"/>
  </r>
  <r>
    <n v="0"/>
    <x v="0"/>
    <n v="57"/>
    <x v="2"/>
    <n v="1"/>
    <n v="1"/>
    <s v="Primary"/>
    <x v="2"/>
    <n v="0"/>
    <n v="0"/>
    <n v="0"/>
    <x v="1"/>
    <s v="NA"/>
    <x v="0"/>
    <n v="0"/>
    <n v="0"/>
    <n v="0"/>
    <n v="372"/>
    <n v="372"/>
    <x v="0"/>
    <n v="122"/>
    <n v="80"/>
    <n v="21.02"/>
    <n v="21.02"/>
    <x v="1"/>
    <n v="65"/>
    <n v="65"/>
    <n v="81"/>
    <n v="81"/>
    <x v="1"/>
    <x v="0"/>
  </r>
  <r>
    <n v="0"/>
    <x v="0"/>
    <n v="57"/>
    <x v="2"/>
    <n v="1"/>
    <n v="1"/>
    <s v="Primary"/>
    <x v="2"/>
    <n v="0"/>
    <n v="0"/>
    <n v="0"/>
    <x v="1"/>
    <n v="0"/>
    <x v="0"/>
    <n v="0"/>
    <n v="0"/>
    <n v="0"/>
    <n v="277"/>
    <n v="277"/>
    <x v="0"/>
    <n v="133"/>
    <n v="84"/>
    <n v="36.21"/>
    <n v="36.21"/>
    <x v="2"/>
    <n v="62"/>
    <n v="62"/>
    <n v="74"/>
    <n v="74"/>
    <x v="0"/>
    <x v="0"/>
  </r>
  <r>
    <n v="1"/>
    <x v="1"/>
    <n v="57"/>
    <x v="2"/>
    <n v="1"/>
    <n v="1"/>
    <s v="Primary"/>
    <x v="2"/>
    <n v="1"/>
    <n v="30"/>
    <n v="30"/>
    <x v="0"/>
    <n v="0"/>
    <x v="0"/>
    <n v="0"/>
    <n v="0"/>
    <n v="0"/>
    <n v="211"/>
    <n v="211"/>
    <x v="1"/>
    <n v="122"/>
    <n v="66.5"/>
    <n v="20.190000000000001"/>
    <n v="20.190000000000001"/>
    <x v="1"/>
    <n v="62"/>
    <n v="62"/>
    <n v="57"/>
    <n v="57"/>
    <x v="0"/>
    <x v="0"/>
  </r>
  <r>
    <n v="1"/>
    <x v="1"/>
    <n v="57"/>
    <x v="2"/>
    <n v="4"/>
    <n v="4"/>
    <s v="Post Graduate"/>
    <x v="3"/>
    <n v="0"/>
    <n v="0"/>
    <n v="0"/>
    <x v="1"/>
    <s v="NA"/>
    <x v="0"/>
    <n v="0"/>
    <n v="1"/>
    <n v="0"/>
    <n v="195"/>
    <n v="195"/>
    <x v="1"/>
    <n v="162"/>
    <n v="108"/>
    <n v="32.65"/>
    <n v="32.65"/>
    <x v="2"/>
    <n v="85"/>
    <n v="85"/>
    <n v="73"/>
    <n v="73"/>
    <x v="1"/>
    <x v="0"/>
  </r>
  <r>
    <n v="0"/>
    <x v="0"/>
    <n v="57"/>
    <x v="2"/>
    <n v="1"/>
    <n v="1"/>
    <s v="Primary"/>
    <x v="2"/>
    <n v="0"/>
    <n v="0"/>
    <n v="0"/>
    <x v="1"/>
    <n v="0"/>
    <x v="0"/>
    <n v="0"/>
    <n v="1"/>
    <n v="0"/>
    <n v="224"/>
    <n v="224"/>
    <x v="1"/>
    <n v="174"/>
    <n v="112"/>
    <n v="22.73"/>
    <n v="22.73"/>
    <x v="1"/>
    <n v="63"/>
    <n v="63"/>
    <n v="82"/>
    <n v="82"/>
    <x v="0"/>
    <x v="0"/>
  </r>
  <r>
    <n v="1"/>
    <x v="1"/>
    <n v="57"/>
    <x v="2"/>
    <n v="1"/>
    <n v="1"/>
    <s v="Primary"/>
    <x v="2"/>
    <n v="1"/>
    <n v="30"/>
    <n v="30"/>
    <x v="0"/>
    <n v="0"/>
    <x v="0"/>
    <n v="0"/>
    <n v="0"/>
    <n v="0"/>
    <n v="225"/>
    <n v="225"/>
    <x v="1"/>
    <n v="140"/>
    <n v="88"/>
    <n v="24.71"/>
    <n v="24.71"/>
    <x v="1"/>
    <n v="80"/>
    <n v="80"/>
    <n v="78"/>
    <n v="78"/>
    <x v="0"/>
    <x v="0"/>
  </r>
  <r>
    <n v="0"/>
    <x v="0"/>
    <n v="57"/>
    <x v="2"/>
    <n v="1"/>
    <n v="1"/>
    <s v="Primary"/>
    <x v="2"/>
    <n v="0"/>
    <n v="0"/>
    <n v="0"/>
    <x v="1"/>
    <n v="0"/>
    <x v="0"/>
    <n v="0"/>
    <n v="1"/>
    <n v="0"/>
    <n v="233"/>
    <n v="233"/>
    <x v="1"/>
    <n v="184"/>
    <n v="106"/>
    <n v="38.880000000000003"/>
    <n v="38.880000000000003"/>
    <x v="2"/>
    <n v="66"/>
    <n v="66"/>
    <n v="40"/>
    <n v="40"/>
    <x v="0"/>
    <x v="1"/>
  </r>
  <r>
    <n v="1"/>
    <x v="1"/>
    <n v="57"/>
    <x v="2"/>
    <s v="NA"/>
    <n v="1"/>
    <s v="Primary"/>
    <x v="2"/>
    <n v="0"/>
    <n v="0"/>
    <n v="0"/>
    <x v="1"/>
    <n v="0"/>
    <x v="0"/>
    <n v="0"/>
    <n v="1"/>
    <n v="0"/>
    <n v="210"/>
    <n v="210"/>
    <x v="1"/>
    <n v="158"/>
    <n v="104"/>
    <n v="30.93"/>
    <n v="30.93"/>
    <x v="2"/>
    <n v="73"/>
    <n v="73"/>
    <n v="113"/>
    <n v="113"/>
    <x v="0"/>
    <x v="0"/>
  </r>
  <r>
    <n v="0"/>
    <x v="0"/>
    <n v="57"/>
    <x v="2"/>
    <n v="2"/>
    <n v="2"/>
    <s v="Secondary"/>
    <x v="0"/>
    <n v="0"/>
    <n v="0"/>
    <n v="0"/>
    <x v="1"/>
    <n v="0"/>
    <x v="0"/>
    <n v="0"/>
    <n v="0"/>
    <n v="0"/>
    <n v="239"/>
    <n v="239"/>
    <x v="1"/>
    <n v="127"/>
    <n v="81"/>
    <n v="21.85"/>
    <n v="21.85"/>
    <x v="1"/>
    <n v="75"/>
    <n v="75"/>
    <n v="87"/>
    <n v="87"/>
    <x v="0"/>
    <x v="0"/>
  </r>
  <r>
    <n v="1"/>
    <x v="1"/>
    <n v="57"/>
    <x v="2"/>
    <n v="1"/>
    <n v="1"/>
    <s v="Primary"/>
    <x v="2"/>
    <n v="1"/>
    <n v="20"/>
    <n v="20"/>
    <x v="0"/>
    <n v="0"/>
    <x v="0"/>
    <n v="0"/>
    <n v="0"/>
    <n v="0"/>
    <n v="250"/>
    <n v="250"/>
    <x v="0"/>
    <n v="127.5"/>
    <n v="80"/>
    <n v="29.38"/>
    <n v="29.38"/>
    <x v="0"/>
    <n v="80"/>
    <n v="80"/>
    <n v="80"/>
    <n v="80"/>
    <x v="0"/>
    <x v="0"/>
  </r>
  <r>
    <n v="0"/>
    <x v="0"/>
    <n v="57"/>
    <x v="2"/>
    <n v="3"/>
    <n v="3"/>
    <s v="Graduate"/>
    <x v="1"/>
    <n v="1"/>
    <n v="5"/>
    <n v="5"/>
    <x v="0"/>
    <n v="0"/>
    <x v="0"/>
    <n v="0"/>
    <n v="0"/>
    <n v="0"/>
    <n v="272"/>
    <n v="272"/>
    <x v="0"/>
    <n v="112.5"/>
    <n v="70"/>
    <n v="23.08"/>
    <n v="23.08"/>
    <x v="1"/>
    <n v="73"/>
    <n v="73"/>
    <n v="58"/>
    <n v="58"/>
    <x v="0"/>
    <x v="0"/>
  </r>
  <r>
    <n v="0"/>
    <x v="0"/>
    <n v="57"/>
    <x v="2"/>
    <n v="3"/>
    <n v="3"/>
    <s v="Graduate"/>
    <x v="1"/>
    <n v="0"/>
    <n v="0"/>
    <n v="0"/>
    <x v="1"/>
    <n v="0"/>
    <x v="0"/>
    <n v="0"/>
    <n v="0"/>
    <n v="0"/>
    <n v="210"/>
    <n v="210"/>
    <x v="1"/>
    <n v="131"/>
    <n v="85"/>
    <n v="26.59"/>
    <n v="26.59"/>
    <x v="0"/>
    <n v="70"/>
    <n v="70"/>
    <n v="77"/>
    <n v="77"/>
    <x v="0"/>
    <x v="0"/>
  </r>
  <r>
    <n v="0"/>
    <x v="0"/>
    <n v="57"/>
    <x v="2"/>
    <s v="NA"/>
    <n v="1"/>
    <s v="Primary"/>
    <x v="2"/>
    <n v="0"/>
    <n v="0"/>
    <n v="0"/>
    <x v="1"/>
    <n v="1"/>
    <x v="1"/>
    <n v="0"/>
    <n v="1"/>
    <n v="0"/>
    <n v="190"/>
    <n v="190"/>
    <x v="1"/>
    <n v="155"/>
    <n v="85"/>
    <n v="26.08"/>
    <n v="26.08"/>
    <x v="0"/>
    <n v="55"/>
    <n v="55"/>
    <n v="66"/>
    <n v="66"/>
    <x v="0"/>
    <x v="0"/>
  </r>
  <r>
    <n v="0"/>
    <x v="0"/>
    <n v="57"/>
    <x v="2"/>
    <n v="1"/>
    <n v="1"/>
    <s v="Primary"/>
    <x v="2"/>
    <n v="0"/>
    <n v="0"/>
    <n v="0"/>
    <x v="1"/>
    <n v="0"/>
    <x v="0"/>
    <n v="0"/>
    <n v="0"/>
    <n v="0"/>
    <n v="306"/>
    <n v="306"/>
    <x v="0"/>
    <n v="135"/>
    <n v="88"/>
    <n v="28.36"/>
    <n v="28.36"/>
    <x v="0"/>
    <n v="80"/>
    <n v="80"/>
    <n v="70"/>
    <n v="70"/>
    <x v="0"/>
    <x v="0"/>
  </r>
  <r>
    <n v="0"/>
    <x v="0"/>
    <n v="57"/>
    <x v="2"/>
    <n v="4"/>
    <n v="4"/>
    <s v="Post Graduate"/>
    <x v="3"/>
    <n v="0"/>
    <n v="0"/>
    <n v="0"/>
    <x v="1"/>
    <n v="0"/>
    <x v="0"/>
    <n v="0"/>
    <n v="0"/>
    <n v="0"/>
    <n v="160"/>
    <n v="160"/>
    <x v="1"/>
    <n v="105"/>
    <n v="70"/>
    <n v="27.01"/>
    <n v="27.01"/>
    <x v="0"/>
    <n v="52"/>
    <n v="52"/>
    <n v="61"/>
    <n v="61"/>
    <x v="0"/>
    <x v="0"/>
  </r>
  <r>
    <n v="0"/>
    <x v="0"/>
    <n v="57"/>
    <x v="2"/>
    <n v="3"/>
    <n v="3"/>
    <s v="Graduate"/>
    <x v="1"/>
    <n v="1"/>
    <n v="20"/>
    <n v="20"/>
    <x v="0"/>
    <n v="1"/>
    <x v="1"/>
    <n v="0"/>
    <n v="1"/>
    <n v="0"/>
    <n v="262"/>
    <n v="262"/>
    <x v="0"/>
    <n v="140"/>
    <n v="93"/>
    <n v="22"/>
    <n v="22"/>
    <x v="1"/>
    <n v="108"/>
    <n v="108"/>
    <s v="NA"/>
    <n v="81.96365524402907"/>
    <x v="0"/>
    <x v="1"/>
  </r>
  <r>
    <n v="0"/>
    <x v="0"/>
    <n v="57"/>
    <x v="2"/>
    <n v="2"/>
    <n v="2"/>
    <s v="Secondary"/>
    <x v="0"/>
    <n v="0"/>
    <n v="0"/>
    <n v="0"/>
    <x v="1"/>
    <n v="0"/>
    <x v="0"/>
    <n v="0"/>
    <n v="0"/>
    <n v="0"/>
    <n v="309"/>
    <n v="309"/>
    <x v="0"/>
    <n v="130"/>
    <n v="75.5"/>
    <n v="25.99"/>
    <n v="25.99"/>
    <x v="0"/>
    <n v="96"/>
    <n v="96"/>
    <n v="75"/>
    <n v="75"/>
    <x v="0"/>
    <x v="0"/>
  </r>
  <r>
    <n v="1"/>
    <x v="1"/>
    <n v="57"/>
    <x v="2"/>
    <n v="1"/>
    <n v="1"/>
    <s v="Primary"/>
    <x v="2"/>
    <n v="0"/>
    <n v="0"/>
    <n v="0"/>
    <x v="1"/>
    <n v="0"/>
    <x v="0"/>
    <n v="0"/>
    <n v="0"/>
    <n v="0"/>
    <n v="200"/>
    <n v="200"/>
    <x v="1"/>
    <n v="117.5"/>
    <n v="80"/>
    <n v="25.41"/>
    <n v="25.41"/>
    <x v="0"/>
    <n v="65"/>
    <n v="65"/>
    <n v="80"/>
    <n v="80"/>
    <x v="0"/>
    <x v="0"/>
  </r>
  <r>
    <n v="0"/>
    <x v="0"/>
    <n v="57"/>
    <x v="2"/>
    <n v="1"/>
    <n v="1"/>
    <s v="Primary"/>
    <x v="2"/>
    <n v="1"/>
    <n v="1"/>
    <n v="1"/>
    <x v="0"/>
    <n v="0"/>
    <x v="0"/>
    <n v="0"/>
    <n v="1"/>
    <n v="0"/>
    <n v="229"/>
    <n v="229"/>
    <x v="1"/>
    <n v="126.5"/>
    <n v="90"/>
    <n v="26"/>
    <n v="26"/>
    <x v="0"/>
    <n v="68"/>
    <n v="68"/>
    <n v="58"/>
    <n v="58"/>
    <x v="0"/>
    <x v="0"/>
  </r>
  <r>
    <n v="0"/>
    <x v="0"/>
    <n v="57"/>
    <x v="2"/>
    <n v="4"/>
    <n v="4"/>
    <s v="Post Graduate"/>
    <x v="3"/>
    <n v="1"/>
    <n v="15"/>
    <n v="15"/>
    <x v="0"/>
    <n v="0"/>
    <x v="0"/>
    <n v="0"/>
    <n v="0"/>
    <n v="0"/>
    <n v="250"/>
    <n v="250"/>
    <x v="0"/>
    <n v="117.5"/>
    <n v="71"/>
    <n v="23.84"/>
    <n v="23.84"/>
    <x v="1"/>
    <n v="50"/>
    <n v="50"/>
    <n v="75"/>
    <n v="75"/>
    <x v="0"/>
    <x v="0"/>
  </r>
  <r>
    <n v="0"/>
    <x v="0"/>
    <n v="57"/>
    <x v="2"/>
    <n v="3"/>
    <n v="3"/>
    <s v="Graduate"/>
    <x v="1"/>
    <n v="0"/>
    <n v="0"/>
    <n v="0"/>
    <x v="1"/>
    <n v="0"/>
    <x v="0"/>
    <n v="0"/>
    <n v="1"/>
    <n v="0"/>
    <n v="366"/>
    <n v="366"/>
    <x v="0"/>
    <n v="146.5"/>
    <n v="80"/>
    <n v="24.19"/>
    <n v="24.19"/>
    <x v="1"/>
    <n v="85"/>
    <n v="85"/>
    <n v="73"/>
    <n v="73"/>
    <x v="0"/>
    <x v="0"/>
  </r>
  <r>
    <n v="0"/>
    <x v="0"/>
    <n v="57"/>
    <x v="2"/>
    <n v="1"/>
    <n v="1"/>
    <s v="Primary"/>
    <x v="2"/>
    <n v="0"/>
    <n v="0"/>
    <n v="0"/>
    <x v="1"/>
    <s v="NA"/>
    <x v="0"/>
    <n v="0"/>
    <n v="0"/>
    <n v="0"/>
    <n v="262"/>
    <n v="262"/>
    <x v="0"/>
    <n v="129"/>
    <n v="75"/>
    <n v="23.67"/>
    <n v="23.67"/>
    <x v="1"/>
    <n v="70"/>
    <n v="70"/>
    <n v="95"/>
    <n v="95"/>
    <x v="1"/>
    <x v="0"/>
  </r>
  <r>
    <n v="0"/>
    <x v="0"/>
    <n v="57"/>
    <x v="2"/>
    <n v="2"/>
    <n v="2"/>
    <s v="Secondary"/>
    <x v="0"/>
    <n v="0"/>
    <n v="0"/>
    <n v="0"/>
    <x v="1"/>
    <n v="0"/>
    <x v="0"/>
    <n v="0"/>
    <n v="0"/>
    <n v="0"/>
    <n v="333"/>
    <n v="333"/>
    <x v="0"/>
    <n v="128"/>
    <n v="84"/>
    <n v="25.69"/>
    <n v="25.69"/>
    <x v="0"/>
    <n v="75"/>
    <n v="75"/>
    <s v="NA"/>
    <n v="81.96365524402907"/>
    <x v="0"/>
    <x v="0"/>
  </r>
  <r>
    <n v="1"/>
    <x v="1"/>
    <n v="57"/>
    <x v="2"/>
    <n v="1"/>
    <n v="1"/>
    <s v="Primary"/>
    <x v="2"/>
    <n v="1"/>
    <n v="9"/>
    <n v="9"/>
    <x v="0"/>
    <n v="0"/>
    <x v="0"/>
    <n v="0"/>
    <n v="1"/>
    <n v="0"/>
    <n v="274"/>
    <n v="274"/>
    <x v="0"/>
    <n v="173"/>
    <n v="102"/>
    <n v="27.26"/>
    <n v="27.26"/>
    <x v="0"/>
    <n v="69"/>
    <n v="69"/>
    <n v="75"/>
    <n v="75"/>
    <x v="0"/>
    <x v="0"/>
  </r>
  <r>
    <n v="0"/>
    <x v="0"/>
    <n v="57"/>
    <x v="2"/>
    <n v="1"/>
    <n v="1"/>
    <s v="Primary"/>
    <x v="2"/>
    <n v="0"/>
    <n v="0"/>
    <n v="0"/>
    <x v="1"/>
    <n v="0"/>
    <x v="0"/>
    <n v="0"/>
    <n v="0"/>
    <n v="0"/>
    <n v="207"/>
    <n v="207"/>
    <x v="1"/>
    <n v="161"/>
    <n v="97"/>
    <n v="36.46"/>
    <n v="36.46"/>
    <x v="2"/>
    <n v="75"/>
    <n v="75"/>
    <n v="67"/>
    <n v="67"/>
    <x v="0"/>
    <x v="0"/>
  </r>
  <r>
    <n v="1"/>
    <x v="1"/>
    <n v="57"/>
    <x v="2"/>
    <n v="1"/>
    <n v="1"/>
    <s v="Primary"/>
    <x v="2"/>
    <n v="1"/>
    <n v="20"/>
    <n v="20"/>
    <x v="0"/>
    <n v="0"/>
    <x v="0"/>
    <n v="0"/>
    <n v="0"/>
    <n v="0"/>
    <n v="193"/>
    <n v="193"/>
    <x v="1"/>
    <n v="104"/>
    <n v="64"/>
    <n v="26"/>
    <n v="26"/>
    <x v="0"/>
    <n v="62"/>
    <n v="62"/>
    <n v="87"/>
    <n v="87"/>
    <x v="0"/>
    <x v="1"/>
  </r>
  <r>
    <n v="1"/>
    <x v="1"/>
    <n v="57"/>
    <x v="2"/>
    <n v="4"/>
    <n v="4"/>
    <s v="Post Graduate"/>
    <x v="3"/>
    <n v="1"/>
    <n v="30"/>
    <n v="30"/>
    <x v="0"/>
    <n v="0"/>
    <x v="0"/>
    <n v="0"/>
    <n v="1"/>
    <n v="0"/>
    <n v="256"/>
    <n v="256"/>
    <x v="0"/>
    <n v="135"/>
    <n v="88"/>
    <n v="29.51"/>
    <n v="29.51"/>
    <x v="0"/>
    <n v="60"/>
    <n v="60"/>
    <n v="75"/>
    <n v="75"/>
    <x v="0"/>
    <x v="0"/>
  </r>
  <r>
    <n v="1"/>
    <x v="1"/>
    <n v="57"/>
    <x v="2"/>
    <n v="2"/>
    <n v="2"/>
    <s v="Secondary"/>
    <x v="0"/>
    <n v="1"/>
    <n v="1"/>
    <n v="1"/>
    <x v="0"/>
    <n v="0"/>
    <x v="0"/>
    <n v="0"/>
    <n v="0"/>
    <n v="0"/>
    <n v="245"/>
    <n v="245"/>
    <x v="0"/>
    <n v="122"/>
    <n v="69"/>
    <n v="24.17"/>
    <n v="24.17"/>
    <x v="1"/>
    <n v="65"/>
    <n v="65"/>
    <n v="92"/>
    <n v="92"/>
    <x v="0"/>
    <x v="0"/>
  </r>
  <r>
    <n v="1"/>
    <x v="1"/>
    <n v="57"/>
    <x v="2"/>
    <n v="1"/>
    <n v="1"/>
    <s v="Primary"/>
    <x v="2"/>
    <n v="0"/>
    <n v="0"/>
    <n v="0"/>
    <x v="1"/>
    <n v="0"/>
    <x v="0"/>
    <n v="0"/>
    <n v="1"/>
    <n v="0"/>
    <n v="263"/>
    <n v="263"/>
    <x v="0"/>
    <n v="146"/>
    <n v="94"/>
    <n v="29.08"/>
    <n v="29.08"/>
    <x v="0"/>
    <n v="63"/>
    <n v="63"/>
    <s v="NA"/>
    <n v="81.96365524402907"/>
    <x v="0"/>
    <x v="0"/>
  </r>
  <r>
    <n v="1"/>
    <x v="1"/>
    <n v="57"/>
    <x v="2"/>
    <n v="3"/>
    <n v="3"/>
    <s v="Graduate"/>
    <x v="1"/>
    <n v="0"/>
    <n v="0"/>
    <n v="0"/>
    <x v="1"/>
    <n v="0"/>
    <x v="0"/>
    <n v="0"/>
    <n v="0"/>
    <n v="0"/>
    <n v="235"/>
    <n v="235"/>
    <x v="1"/>
    <n v="124"/>
    <n v="77"/>
    <n v="24.19"/>
    <n v="24.19"/>
    <x v="1"/>
    <n v="100"/>
    <n v="100"/>
    <n v="86"/>
    <n v="86"/>
    <x v="0"/>
    <x v="0"/>
  </r>
  <r>
    <n v="0"/>
    <x v="0"/>
    <n v="57"/>
    <x v="2"/>
    <n v="3"/>
    <n v="3"/>
    <s v="Graduate"/>
    <x v="1"/>
    <n v="1"/>
    <n v="1"/>
    <n v="1"/>
    <x v="0"/>
    <n v="0"/>
    <x v="0"/>
    <n v="0"/>
    <n v="0"/>
    <n v="0"/>
    <n v="289"/>
    <n v="289"/>
    <x v="0"/>
    <n v="142"/>
    <n v="83"/>
    <n v="35.17"/>
    <n v="35.17"/>
    <x v="2"/>
    <n v="68"/>
    <n v="68"/>
    <n v="72"/>
    <n v="72"/>
    <x v="0"/>
    <x v="1"/>
  </r>
  <r>
    <n v="1"/>
    <x v="1"/>
    <n v="57"/>
    <x v="2"/>
    <n v="2"/>
    <n v="2"/>
    <s v="Secondary"/>
    <x v="0"/>
    <n v="0"/>
    <n v="0"/>
    <n v="0"/>
    <x v="1"/>
    <n v="0"/>
    <x v="0"/>
    <n v="0"/>
    <n v="0"/>
    <n v="0"/>
    <n v="198"/>
    <n v="198"/>
    <x v="1"/>
    <n v="119"/>
    <n v="80"/>
    <n v="30.05"/>
    <n v="30.05"/>
    <x v="2"/>
    <n v="70"/>
    <n v="70"/>
    <n v="79"/>
    <n v="79"/>
    <x v="0"/>
    <x v="0"/>
  </r>
  <r>
    <n v="0"/>
    <x v="0"/>
    <n v="57"/>
    <x v="2"/>
    <n v="1"/>
    <n v="1"/>
    <s v="Primary"/>
    <x v="2"/>
    <n v="0"/>
    <n v="0"/>
    <n v="0"/>
    <x v="1"/>
    <n v="0"/>
    <x v="0"/>
    <n v="0"/>
    <n v="1"/>
    <n v="0"/>
    <n v="207"/>
    <n v="207"/>
    <x v="1"/>
    <n v="175"/>
    <n v="80"/>
    <n v="20.86"/>
    <n v="20.86"/>
    <x v="1"/>
    <n v="83"/>
    <n v="83"/>
    <n v="75"/>
    <n v="75"/>
    <x v="0"/>
    <x v="1"/>
  </r>
  <r>
    <n v="1"/>
    <x v="1"/>
    <n v="57"/>
    <x v="2"/>
    <n v="4"/>
    <n v="4"/>
    <s v="Post Graduate"/>
    <x v="3"/>
    <n v="0"/>
    <n v="0"/>
    <n v="0"/>
    <x v="1"/>
    <n v="0"/>
    <x v="0"/>
    <n v="0"/>
    <n v="0"/>
    <n v="0"/>
    <n v="251"/>
    <n v="251"/>
    <x v="0"/>
    <n v="114"/>
    <n v="75"/>
    <n v="26.35"/>
    <n v="26.35"/>
    <x v="0"/>
    <n v="80"/>
    <n v="80"/>
    <n v="72"/>
    <n v="72"/>
    <x v="0"/>
    <x v="0"/>
  </r>
  <r>
    <n v="1"/>
    <x v="1"/>
    <n v="57"/>
    <x v="2"/>
    <n v="3"/>
    <n v="3"/>
    <s v="Graduate"/>
    <x v="1"/>
    <n v="1"/>
    <n v="20"/>
    <n v="20"/>
    <x v="0"/>
    <n v="0"/>
    <x v="0"/>
    <n v="0"/>
    <n v="0"/>
    <n v="0"/>
    <n v="257"/>
    <n v="257"/>
    <x v="0"/>
    <n v="138.5"/>
    <n v="90"/>
    <n v="25.14"/>
    <n v="25.14"/>
    <x v="0"/>
    <n v="87"/>
    <n v="87"/>
    <n v="101"/>
    <n v="101"/>
    <x v="0"/>
    <x v="0"/>
  </r>
  <r>
    <n v="1"/>
    <x v="1"/>
    <n v="57"/>
    <x v="2"/>
    <n v="3"/>
    <n v="3"/>
    <s v="Graduate"/>
    <x v="1"/>
    <n v="0"/>
    <n v="0"/>
    <n v="0"/>
    <x v="1"/>
    <n v="0"/>
    <x v="0"/>
    <n v="0"/>
    <n v="0"/>
    <n v="0"/>
    <n v="213"/>
    <n v="213"/>
    <x v="1"/>
    <n v="141"/>
    <n v="90"/>
    <n v="30.77"/>
    <n v="30.77"/>
    <x v="2"/>
    <n v="60"/>
    <n v="60"/>
    <n v="77"/>
    <n v="77"/>
    <x v="0"/>
    <x v="1"/>
  </r>
  <r>
    <n v="1"/>
    <x v="1"/>
    <n v="57"/>
    <x v="2"/>
    <n v="1"/>
    <n v="1"/>
    <s v="Primary"/>
    <x v="2"/>
    <n v="1"/>
    <n v="20"/>
    <n v="20"/>
    <x v="0"/>
    <n v="0"/>
    <x v="0"/>
    <n v="0"/>
    <n v="0"/>
    <n v="0"/>
    <n v="265"/>
    <n v="265"/>
    <x v="0"/>
    <n v="124"/>
    <n v="81"/>
    <n v="28.18"/>
    <n v="28.18"/>
    <x v="0"/>
    <n v="73"/>
    <n v="73"/>
    <n v="100"/>
    <n v="100"/>
    <x v="0"/>
    <x v="0"/>
  </r>
  <r>
    <n v="0"/>
    <x v="0"/>
    <n v="57"/>
    <x v="2"/>
    <n v="3"/>
    <n v="3"/>
    <s v="Graduate"/>
    <x v="1"/>
    <n v="1"/>
    <n v="20"/>
    <n v="20"/>
    <x v="0"/>
    <n v="0"/>
    <x v="0"/>
    <n v="0"/>
    <n v="0"/>
    <n v="0"/>
    <n v="267"/>
    <n v="267"/>
    <x v="0"/>
    <n v="102"/>
    <n v="62"/>
    <n v="20.34"/>
    <n v="20.34"/>
    <x v="1"/>
    <n v="60"/>
    <n v="60"/>
    <s v="NA"/>
    <n v="81.96365524402907"/>
    <x v="0"/>
    <x v="0"/>
  </r>
  <r>
    <n v="1"/>
    <x v="1"/>
    <n v="57"/>
    <x v="2"/>
    <n v="1"/>
    <n v="1"/>
    <s v="Primary"/>
    <x v="2"/>
    <n v="0"/>
    <n v="0"/>
    <n v="0"/>
    <x v="1"/>
    <n v="0"/>
    <x v="0"/>
    <n v="0"/>
    <n v="0"/>
    <n v="0"/>
    <n v="258"/>
    <n v="258"/>
    <x v="0"/>
    <n v="146"/>
    <n v="76"/>
    <n v="24.94"/>
    <n v="24.94"/>
    <x v="1"/>
    <n v="63"/>
    <n v="63"/>
    <n v="87"/>
    <n v="87"/>
    <x v="0"/>
    <x v="0"/>
  </r>
  <r>
    <n v="0"/>
    <x v="0"/>
    <n v="57"/>
    <x v="2"/>
    <n v="2"/>
    <n v="2"/>
    <s v="Secondary"/>
    <x v="0"/>
    <n v="0"/>
    <n v="0"/>
    <n v="0"/>
    <x v="1"/>
    <n v="0"/>
    <x v="0"/>
    <n v="0"/>
    <n v="0"/>
    <n v="0"/>
    <n v="274"/>
    <n v="274"/>
    <x v="0"/>
    <n v="116"/>
    <n v="83"/>
    <n v="25.77"/>
    <n v="25.77"/>
    <x v="0"/>
    <n v="70"/>
    <n v="70"/>
    <n v="83"/>
    <n v="83"/>
    <x v="0"/>
    <x v="0"/>
  </r>
  <r>
    <n v="1"/>
    <x v="1"/>
    <n v="57"/>
    <x v="2"/>
    <n v="3"/>
    <n v="3"/>
    <s v="Graduate"/>
    <x v="1"/>
    <n v="0"/>
    <n v="0"/>
    <n v="0"/>
    <x v="1"/>
    <n v="0"/>
    <x v="0"/>
    <n v="0"/>
    <n v="0"/>
    <n v="0"/>
    <n v="238"/>
    <n v="238"/>
    <x v="1"/>
    <n v="128.5"/>
    <n v="87.5"/>
    <n v="25.38"/>
    <n v="25.38"/>
    <x v="0"/>
    <n v="80"/>
    <n v="80"/>
    <n v="89"/>
    <n v="89"/>
    <x v="0"/>
    <x v="0"/>
  </r>
  <r>
    <n v="1"/>
    <x v="1"/>
    <n v="57"/>
    <x v="2"/>
    <n v="3"/>
    <n v="3"/>
    <s v="Graduate"/>
    <x v="1"/>
    <n v="0"/>
    <n v="0"/>
    <n v="0"/>
    <x v="1"/>
    <n v="0"/>
    <x v="0"/>
    <n v="0"/>
    <n v="0"/>
    <n v="0"/>
    <n v="314"/>
    <n v="314"/>
    <x v="0"/>
    <n v="109.5"/>
    <n v="72"/>
    <n v="25.62"/>
    <n v="25.62"/>
    <x v="0"/>
    <n v="72"/>
    <n v="72"/>
    <n v="71"/>
    <n v="71"/>
    <x v="0"/>
    <x v="0"/>
  </r>
  <r>
    <n v="0"/>
    <x v="0"/>
    <n v="57"/>
    <x v="2"/>
    <n v="1"/>
    <n v="1"/>
    <s v="Primary"/>
    <x v="2"/>
    <n v="1"/>
    <n v="20"/>
    <n v="20"/>
    <x v="0"/>
    <n v="1"/>
    <x v="1"/>
    <n v="0"/>
    <n v="1"/>
    <n v="0"/>
    <n v="281"/>
    <n v="281"/>
    <x v="0"/>
    <n v="192"/>
    <n v="105"/>
    <n v="27.04"/>
    <n v="27.04"/>
    <x v="0"/>
    <n v="64"/>
    <n v="64"/>
    <n v="75"/>
    <n v="75"/>
    <x v="0"/>
    <x v="0"/>
  </r>
  <r>
    <n v="1"/>
    <x v="1"/>
    <n v="57"/>
    <x v="2"/>
    <n v="3"/>
    <n v="3"/>
    <s v="Graduate"/>
    <x v="1"/>
    <n v="0"/>
    <n v="0"/>
    <n v="0"/>
    <x v="1"/>
    <n v="0"/>
    <x v="0"/>
    <n v="0"/>
    <n v="0"/>
    <n v="0"/>
    <n v="272"/>
    <n v="272"/>
    <x v="0"/>
    <n v="109"/>
    <n v="77"/>
    <n v="25.57"/>
    <n v="25.57"/>
    <x v="0"/>
    <n v="75"/>
    <n v="75"/>
    <n v="89"/>
    <n v="89"/>
    <x v="0"/>
    <x v="0"/>
  </r>
  <r>
    <n v="0"/>
    <x v="0"/>
    <n v="57"/>
    <x v="2"/>
    <n v="4"/>
    <n v="4"/>
    <s v="Post Graduate"/>
    <x v="3"/>
    <n v="0"/>
    <n v="0"/>
    <n v="0"/>
    <x v="1"/>
    <s v="NA"/>
    <x v="0"/>
    <n v="0"/>
    <n v="1"/>
    <n v="0"/>
    <n v="328"/>
    <n v="328"/>
    <x v="0"/>
    <n v="181"/>
    <n v="112.5"/>
    <n v="27.05"/>
    <n v="27.05"/>
    <x v="0"/>
    <n v="85"/>
    <n v="85"/>
    <n v="94"/>
    <n v="94"/>
    <x v="1"/>
    <x v="1"/>
  </r>
  <r>
    <n v="0"/>
    <x v="0"/>
    <n v="57"/>
    <x v="2"/>
    <n v="1"/>
    <n v="1"/>
    <s v="Primary"/>
    <x v="2"/>
    <n v="1"/>
    <n v="1"/>
    <n v="1"/>
    <x v="0"/>
    <n v="0"/>
    <x v="0"/>
    <n v="0"/>
    <n v="0"/>
    <n v="0"/>
    <n v="240"/>
    <n v="240"/>
    <x v="1"/>
    <n v="142"/>
    <n v="85"/>
    <n v="22.55"/>
    <n v="22.55"/>
    <x v="1"/>
    <n v="80"/>
    <n v="80"/>
    <n v="77"/>
    <n v="77"/>
    <x v="0"/>
    <x v="0"/>
  </r>
  <r>
    <n v="1"/>
    <x v="1"/>
    <n v="57"/>
    <x v="2"/>
    <n v="1"/>
    <n v="1"/>
    <s v="Primary"/>
    <x v="2"/>
    <n v="1"/>
    <n v="20"/>
    <n v="20"/>
    <x v="0"/>
    <n v="0"/>
    <x v="0"/>
    <n v="0"/>
    <n v="0"/>
    <n v="0"/>
    <n v="198"/>
    <n v="198"/>
    <x v="1"/>
    <n v="128"/>
    <n v="85"/>
    <n v="28.18"/>
    <n v="28.18"/>
    <x v="0"/>
    <n v="85"/>
    <n v="85"/>
    <n v="99"/>
    <n v="99"/>
    <x v="0"/>
    <x v="0"/>
  </r>
  <r>
    <n v="0"/>
    <x v="0"/>
    <n v="57"/>
    <x v="2"/>
    <n v="1"/>
    <n v="1"/>
    <s v="Primary"/>
    <x v="2"/>
    <n v="0"/>
    <n v="0"/>
    <n v="0"/>
    <x v="1"/>
    <n v="0"/>
    <x v="0"/>
    <n v="0"/>
    <n v="0"/>
    <n v="0"/>
    <n v="273"/>
    <n v="273"/>
    <x v="0"/>
    <n v="131"/>
    <n v="84"/>
    <n v="22.99"/>
    <n v="22.99"/>
    <x v="1"/>
    <n v="90"/>
    <n v="90"/>
    <n v="76"/>
    <n v="76"/>
    <x v="0"/>
    <x v="0"/>
  </r>
  <r>
    <n v="1"/>
    <x v="1"/>
    <n v="57"/>
    <x v="2"/>
    <n v="1"/>
    <n v="1"/>
    <s v="Primary"/>
    <x v="2"/>
    <n v="1"/>
    <n v="20"/>
    <n v="20"/>
    <x v="0"/>
    <n v="0"/>
    <x v="0"/>
    <n v="0"/>
    <n v="1"/>
    <n v="0"/>
    <n v="235"/>
    <n v="235"/>
    <x v="1"/>
    <n v="150"/>
    <n v="95.5"/>
    <n v="27.56"/>
    <n v="27.56"/>
    <x v="0"/>
    <n v="78"/>
    <n v="78"/>
    <n v="73"/>
    <n v="73"/>
    <x v="0"/>
    <x v="0"/>
  </r>
  <r>
    <n v="1"/>
    <x v="1"/>
    <n v="57"/>
    <x v="2"/>
    <n v="1"/>
    <n v="1"/>
    <s v="Primary"/>
    <x v="2"/>
    <n v="0"/>
    <n v="0"/>
    <n v="0"/>
    <x v="1"/>
    <n v="0"/>
    <x v="0"/>
    <n v="0"/>
    <n v="0"/>
    <n v="1"/>
    <n v="300"/>
    <n v="300"/>
    <x v="0"/>
    <n v="121"/>
    <n v="74"/>
    <n v="28.09"/>
    <n v="28.09"/>
    <x v="0"/>
    <n v="80"/>
    <n v="80"/>
    <n v="155"/>
    <n v="155"/>
    <x v="0"/>
    <x v="1"/>
  </r>
  <r>
    <n v="0"/>
    <x v="0"/>
    <n v="57"/>
    <x v="2"/>
    <n v="2"/>
    <n v="2"/>
    <s v="Secondary"/>
    <x v="0"/>
    <n v="0"/>
    <n v="0"/>
    <n v="0"/>
    <x v="1"/>
    <n v="0"/>
    <x v="0"/>
    <n v="0"/>
    <n v="0"/>
    <n v="0"/>
    <n v="199"/>
    <n v="199"/>
    <x v="1"/>
    <n v="117"/>
    <n v="83"/>
    <n v="24.76"/>
    <n v="24.76"/>
    <x v="1"/>
    <n v="95"/>
    <n v="95"/>
    <n v="82"/>
    <n v="82"/>
    <x v="0"/>
    <x v="0"/>
  </r>
  <r>
    <n v="1"/>
    <x v="1"/>
    <n v="57"/>
    <x v="2"/>
    <s v="NA"/>
    <n v="1"/>
    <s v="Primary"/>
    <x v="2"/>
    <n v="1"/>
    <s v="NA"/>
    <n v="9"/>
    <x v="0"/>
    <n v="0"/>
    <x v="0"/>
    <n v="0"/>
    <n v="0"/>
    <n v="0"/>
    <n v="223"/>
    <n v="223"/>
    <x v="1"/>
    <n v="107.5"/>
    <n v="72.5"/>
    <n v="24.74"/>
    <n v="24.74"/>
    <x v="1"/>
    <n v="62"/>
    <n v="62"/>
    <n v="103"/>
    <n v="103"/>
    <x v="0"/>
    <x v="0"/>
  </r>
  <r>
    <n v="0"/>
    <x v="0"/>
    <n v="57"/>
    <x v="2"/>
    <n v="1"/>
    <n v="1"/>
    <s v="Primary"/>
    <x v="2"/>
    <n v="0"/>
    <n v="0"/>
    <n v="0"/>
    <x v="1"/>
    <n v="0"/>
    <x v="0"/>
    <n v="0"/>
    <n v="1"/>
    <n v="0"/>
    <n v="254"/>
    <n v="254"/>
    <x v="0"/>
    <n v="182.5"/>
    <n v="97"/>
    <n v="27.38"/>
    <n v="27.38"/>
    <x v="0"/>
    <n v="77"/>
    <n v="77"/>
    <n v="72"/>
    <n v="72"/>
    <x v="0"/>
    <x v="0"/>
  </r>
  <r>
    <n v="0"/>
    <x v="0"/>
    <n v="57"/>
    <x v="2"/>
    <n v="1"/>
    <n v="1"/>
    <s v="Primary"/>
    <x v="2"/>
    <n v="0"/>
    <n v="0"/>
    <n v="0"/>
    <x v="1"/>
    <n v="0"/>
    <x v="0"/>
    <n v="0"/>
    <n v="1"/>
    <n v="0"/>
    <n v="320"/>
    <n v="320"/>
    <x v="0"/>
    <n v="125"/>
    <n v="72.5"/>
    <n v="25.27"/>
    <n v="25.27"/>
    <x v="0"/>
    <n v="83"/>
    <n v="83"/>
    <n v="82"/>
    <n v="82"/>
    <x v="0"/>
    <x v="0"/>
  </r>
  <r>
    <n v="0"/>
    <x v="0"/>
    <n v="57"/>
    <x v="2"/>
    <n v="1"/>
    <n v="1"/>
    <s v="Primary"/>
    <x v="2"/>
    <n v="0"/>
    <n v="0"/>
    <n v="0"/>
    <x v="1"/>
    <n v="0"/>
    <x v="0"/>
    <n v="0"/>
    <n v="1"/>
    <n v="0"/>
    <n v="382"/>
    <n v="382"/>
    <x v="0"/>
    <n v="133"/>
    <n v="77"/>
    <n v="24.27"/>
    <n v="24.27"/>
    <x v="1"/>
    <n v="75"/>
    <n v="75"/>
    <n v="81"/>
    <n v="81"/>
    <x v="0"/>
    <x v="0"/>
  </r>
  <r>
    <n v="0"/>
    <x v="0"/>
    <n v="57"/>
    <x v="2"/>
    <n v="2"/>
    <n v="2"/>
    <s v="Secondary"/>
    <x v="0"/>
    <n v="0"/>
    <n v="0"/>
    <n v="0"/>
    <x v="1"/>
    <n v="1"/>
    <x v="1"/>
    <n v="0"/>
    <n v="1"/>
    <n v="1"/>
    <n v="318"/>
    <n v="318"/>
    <x v="0"/>
    <n v="161"/>
    <n v="90"/>
    <n v="38.11"/>
    <n v="38.11"/>
    <x v="2"/>
    <n v="68"/>
    <n v="68"/>
    <n v="112"/>
    <n v="112"/>
    <x v="0"/>
    <x v="0"/>
  </r>
  <r>
    <n v="1"/>
    <x v="1"/>
    <n v="57"/>
    <x v="2"/>
    <n v="1"/>
    <n v="1"/>
    <s v="Primary"/>
    <x v="2"/>
    <n v="0"/>
    <n v="0"/>
    <n v="0"/>
    <x v="1"/>
    <n v="0"/>
    <x v="0"/>
    <n v="0"/>
    <n v="0"/>
    <n v="0"/>
    <n v="207"/>
    <n v="207"/>
    <x v="1"/>
    <n v="111"/>
    <n v="80"/>
    <n v="37.15"/>
    <n v="37.15"/>
    <x v="2"/>
    <n v="63"/>
    <n v="63"/>
    <n v="70"/>
    <n v="70"/>
    <x v="0"/>
    <x v="0"/>
  </r>
  <r>
    <n v="0"/>
    <x v="0"/>
    <n v="57"/>
    <x v="2"/>
    <n v="1"/>
    <n v="1"/>
    <s v="Primary"/>
    <x v="2"/>
    <n v="1"/>
    <n v="20"/>
    <n v="20"/>
    <x v="0"/>
    <n v="0"/>
    <x v="0"/>
    <n v="0"/>
    <n v="0"/>
    <n v="0"/>
    <n v="252"/>
    <n v="252"/>
    <x v="0"/>
    <n v="139"/>
    <n v="82"/>
    <n v="26.36"/>
    <n v="26.36"/>
    <x v="0"/>
    <n v="84"/>
    <n v="84"/>
    <n v="70"/>
    <n v="70"/>
    <x v="0"/>
    <x v="1"/>
  </r>
  <r>
    <n v="0"/>
    <x v="0"/>
    <n v="57"/>
    <x v="2"/>
    <n v="2"/>
    <n v="2"/>
    <s v="Secondary"/>
    <x v="0"/>
    <n v="0"/>
    <n v="0"/>
    <n v="0"/>
    <x v="1"/>
    <n v="0"/>
    <x v="0"/>
    <n v="0"/>
    <n v="0"/>
    <n v="0"/>
    <n v="163"/>
    <n v="163"/>
    <x v="1"/>
    <n v="112"/>
    <n v="71"/>
    <n v="22.66"/>
    <n v="22.66"/>
    <x v="1"/>
    <n v="70"/>
    <n v="70"/>
    <n v="78"/>
    <n v="78"/>
    <x v="0"/>
    <x v="0"/>
  </r>
  <r>
    <n v="0"/>
    <x v="0"/>
    <n v="57"/>
    <x v="2"/>
    <n v="1"/>
    <n v="1"/>
    <s v="Primary"/>
    <x v="2"/>
    <n v="1"/>
    <n v="20"/>
    <n v="20"/>
    <x v="0"/>
    <n v="0"/>
    <x v="0"/>
    <n v="0"/>
    <n v="0"/>
    <n v="0"/>
    <n v="174"/>
    <n v="174"/>
    <x v="1"/>
    <n v="120"/>
    <n v="62"/>
    <n v="25.13"/>
    <n v="25.13"/>
    <x v="0"/>
    <n v="95"/>
    <n v="95"/>
    <n v="77"/>
    <n v="77"/>
    <x v="0"/>
    <x v="1"/>
  </r>
  <r>
    <n v="0"/>
    <x v="0"/>
    <n v="57"/>
    <x v="2"/>
    <n v="1"/>
    <n v="1"/>
    <s v="Primary"/>
    <x v="2"/>
    <n v="1"/>
    <n v="43"/>
    <n v="43"/>
    <x v="0"/>
    <n v="0"/>
    <x v="0"/>
    <n v="0"/>
    <n v="1"/>
    <n v="0"/>
    <n v="283"/>
    <n v="283"/>
    <x v="0"/>
    <n v="207.5"/>
    <n v="118"/>
    <n v="38.61"/>
    <n v="38.61"/>
    <x v="2"/>
    <n v="100"/>
    <n v="100"/>
    <n v="83"/>
    <n v="83"/>
    <x v="0"/>
    <x v="1"/>
  </r>
  <r>
    <n v="0"/>
    <x v="0"/>
    <n v="57"/>
    <x v="2"/>
    <n v="1"/>
    <n v="1"/>
    <s v="Primary"/>
    <x v="2"/>
    <n v="0"/>
    <n v="0"/>
    <n v="0"/>
    <x v="1"/>
    <n v="1"/>
    <x v="1"/>
    <n v="0"/>
    <n v="1"/>
    <n v="0"/>
    <n v="432"/>
    <n v="432"/>
    <x v="0"/>
    <n v="153"/>
    <n v="85"/>
    <n v="26.13"/>
    <n v="26.13"/>
    <x v="0"/>
    <n v="98"/>
    <n v="98"/>
    <n v="75"/>
    <n v="75"/>
    <x v="0"/>
    <x v="1"/>
  </r>
  <r>
    <n v="0"/>
    <x v="0"/>
    <n v="57"/>
    <x v="2"/>
    <n v="2"/>
    <n v="2"/>
    <s v="Secondary"/>
    <x v="0"/>
    <n v="0"/>
    <n v="0"/>
    <n v="0"/>
    <x v="1"/>
    <n v="0"/>
    <x v="0"/>
    <n v="0"/>
    <n v="0"/>
    <n v="0"/>
    <n v="245"/>
    <n v="245"/>
    <x v="0"/>
    <n v="134"/>
    <n v="84"/>
    <n v="29.28"/>
    <n v="29.28"/>
    <x v="0"/>
    <n v="100"/>
    <n v="100"/>
    <s v="NA"/>
    <n v="81.96365524402907"/>
    <x v="0"/>
    <x v="0"/>
  </r>
  <r>
    <n v="0"/>
    <x v="0"/>
    <n v="57"/>
    <x v="2"/>
    <s v="NA"/>
    <n v="1"/>
    <s v="Primary"/>
    <x v="2"/>
    <n v="1"/>
    <n v="20"/>
    <n v="20"/>
    <x v="0"/>
    <n v="0"/>
    <x v="0"/>
    <n v="0"/>
    <n v="1"/>
    <n v="0"/>
    <n v="246"/>
    <n v="246"/>
    <x v="0"/>
    <n v="160"/>
    <n v="92.5"/>
    <n v="30.74"/>
    <n v="30.74"/>
    <x v="2"/>
    <n v="84"/>
    <n v="84"/>
    <n v="76"/>
    <n v="76"/>
    <x v="0"/>
    <x v="0"/>
  </r>
  <r>
    <n v="0"/>
    <x v="0"/>
    <n v="57"/>
    <x v="2"/>
    <s v="NA"/>
    <n v="1"/>
    <s v="Primary"/>
    <x v="2"/>
    <n v="1"/>
    <s v="NA"/>
    <n v="9"/>
    <x v="0"/>
    <n v="0"/>
    <x v="0"/>
    <n v="0"/>
    <n v="0"/>
    <n v="0"/>
    <n v="229"/>
    <n v="229"/>
    <x v="1"/>
    <n v="115"/>
    <n v="69"/>
    <n v="24.43"/>
    <n v="24.43"/>
    <x v="1"/>
    <n v="80"/>
    <n v="80"/>
    <n v="93"/>
    <n v="93"/>
    <x v="0"/>
    <x v="0"/>
  </r>
  <r>
    <n v="1"/>
    <x v="1"/>
    <n v="57"/>
    <x v="2"/>
    <n v="1"/>
    <n v="1"/>
    <s v="Primary"/>
    <x v="2"/>
    <n v="0"/>
    <n v="0"/>
    <n v="0"/>
    <x v="1"/>
    <n v="0"/>
    <x v="0"/>
    <n v="0"/>
    <n v="1"/>
    <n v="0"/>
    <n v="287"/>
    <n v="287"/>
    <x v="0"/>
    <n v="149"/>
    <n v="86"/>
    <n v="26.33"/>
    <n v="26.33"/>
    <x v="0"/>
    <n v="62"/>
    <n v="62"/>
    <n v="65"/>
    <n v="65"/>
    <x v="0"/>
    <x v="0"/>
  </r>
  <r>
    <n v="1"/>
    <x v="1"/>
    <n v="57"/>
    <x v="2"/>
    <n v="4"/>
    <n v="4"/>
    <s v="Post Graduate"/>
    <x v="3"/>
    <n v="0"/>
    <n v="0"/>
    <n v="0"/>
    <x v="1"/>
    <n v="0"/>
    <x v="0"/>
    <n v="0"/>
    <n v="0"/>
    <n v="0"/>
    <n v="235"/>
    <n v="235"/>
    <x v="1"/>
    <n v="123"/>
    <n v="78"/>
    <n v="28.53"/>
    <n v="28.53"/>
    <x v="0"/>
    <n v="60"/>
    <n v="60"/>
    <n v="74"/>
    <n v="74"/>
    <x v="0"/>
    <x v="0"/>
  </r>
  <r>
    <n v="0"/>
    <x v="0"/>
    <n v="57"/>
    <x v="2"/>
    <n v="2"/>
    <n v="2"/>
    <s v="Secondary"/>
    <x v="0"/>
    <n v="1"/>
    <n v="20"/>
    <n v="20"/>
    <x v="0"/>
    <n v="1"/>
    <x v="1"/>
    <n v="0"/>
    <n v="1"/>
    <n v="0"/>
    <n v="315"/>
    <n v="315"/>
    <x v="0"/>
    <n v="193"/>
    <n v="109"/>
    <n v="27.99"/>
    <n v="27.99"/>
    <x v="0"/>
    <n v="70"/>
    <n v="70"/>
    <n v="74"/>
    <n v="74"/>
    <x v="0"/>
    <x v="0"/>
  </r>
  <r>
    <n v="1"/>
    <x v="1"/>
    <n v="57"/>
    <x v="2"/>
    <n v="1"/>
    <n v="1"/>
    <s v="Primary"/>
    <x v="2"/>
    <n v="1"/>
    <n v="30"/>
    <n v="30"/>
    <x v="0"/>
    <n v="0"/>
    <x v="0"/>
    <n v="0"/>
    <n v="0"/>
    <n v="0"/>
    <n v="167"/>
    <n v="167"/>
    <x v="1"/>
    <n v="127"/>
    <n v="69"/>
    <n v="28.13"/>
    <n v="28.13"/>
    <x v="0"/>
    <n v="83"/>
    <n v="83"/>
    <n v="107"/>
    <n v="107"/>
    <x v="0"/>
    <x v="0"/>
  </r>
  <r>
    <n v="1"/>
    <x v="1"/>
    <n v="57"/>
    <x v="2"/>
    <n v="1"/>
    <n v="1"/>
    <s v="Primary"/>
    <x v="2"/>
    <n v="1"/>
    <n v="30"/>
    <n v="30"/>
    <x v="0"/>
    <n v="0"/>
    <x v="0"/>
    <n v="0"/>
    <n v="1"/>
    <n v="0"/>
    <n v="249"/>
    <n v="249"/>
    <x v="0"/>
    <n v="139"/>
    <n v="83"/>
    <n v="23.81"/>
    <n v="23.81"/>
    <x v="1"/>
    <n v="85"/>
    <n v="85"/>
    <n v="76"/>
    <n v="76"/>
    <x v="0"/>
    <x v="0"/>
  </r>
  <r>
    <n v="0"/>
    <x v="0"/>
    <n v="57"/>
    <x v="2"/>
    <n v="1"/>
    <n v="1"/>
    <s v="Primary"/>
    <x v="2"/>
    <n v="0"/>
    <n v="0"/>
    <n v="0"/>
    <x v="1"/>
    <n v="0"/>
    <x v="0"/>
    <n v="0"/>
    <n v="0"/>
    <n v="0"/>
    <n v="257"/>
    <n v="257"/>
    <x v="0"/>
    <n v="133"/>
    <n v="94"/>
    <n v="17.71"/>
    <n v="17.71"/>
    <x v="3"/>
    <n v="143"/>
    <n v="143"/>
    <n v="75"/>
    <n v="75"/>
    <x v="0"/>
    <x v="0"/>
  </r>
  <r>
    <n v="0"/>
    <x v="0"/>
    <n v="57"/>
    <x v="2"/>
    <n v="1"/>
    <n v="1"/>
    <s v="Primary"/>
    <x v="2"/>
    <n v="0"/>
    <n v="0"/>
    <n v="0"/>
    <x v="1"/>
    <n v="0"/>
    <x v="0"/>
    <n v="0"/>
    <n v="0"/>
    <n v="0"/>
    <n v="219"/>
    <n v="219"/>
    <x v="1"/>
    <n v="125"/>
    <n v="83"/>
    <n v="23.22"/>
    <n v="23.22"/>
    <x v="1"/>
    <n v="65"/>
    <n v="65"/>
    <n v="115"/>
    <n v="115"/>
    <x v="0"/>
    <x v="0"/>
  </r>
  <r>
    <n v="1"/>
    <x v="1"/>
    <n v="57"/>
    <x v="2"/>
    <n v="1"/>
    <n v="1"/>
    <s v="Primary"/>
    <x v="2"/>
    <n v="0"/>
    <n v="0"/>
    <n v="0"/>
    <x v="1"/>
    <n v="0"/>
    <x v="0"/>
    <n v="0"/>
    <n v="0"/>
    <n v="0"/>
    <n v="206"/>
    <n v="206"/>
    <x v="1"/>
    <n v="124"/>
    <n v="80"/>
    <n v="23.04"/>
    <n v="23.04"/>
    <x v="1"/>
    <n v="66"/>
    <n v="66"/>
    <n v="60"/>
    <n v="60"/>
    <x v="0"/>
    <x v="0"/>
  </r>
  <r>
    <n v="0"/>
    <x v="0"/>
    <n v="57"/>
    <x v="2"/>
    <n v="1"/>
    <n v="1"/>
    <s v="Primary"/>
    <x v="2"/>
    <n v="0"/>
    <n v="0"/>
    <n v="0"/>
    <x v="1"/>
    <n v="0"/>
    <x v="0"/>
    <n v="0"/>
    <n v="0"/>
    <n v="0"/>
    <n v="194"/>
    <n v="194"/>
    <x v="1"/>
    <n v="199.5"/>
    <n v="107"/>
    <n v="26.84"/>
    <n v="26.84"/>
    <x v="0"/>
    <n v="60"/>
    <n v="60"/>
    <n v="69"/>
    <n v="69"/>
    <x v="0"/>
    <x v="1"/>
  </r>
  <r>
    <n v="1"/>
    <x v="1"/>
    <n v="57"/>
    <x v="2"/>
    <n v="1"/>
    <n v="1"/>
    <s v="Primary"/>
    <x v="2"/>
    <n v="0"/>
    <n v="0"/>
    <n v="0"/>
    <x v="1"/>
    <n v="0"/>
    <x v="0"/>
    <n v="0"/>
    <n v="0"/>
    <n v="1"/>
    <n v="213"/>
    <n v="213"/>
    <x v="1"/>
    <n v="136.5"/>
    <n v="87"/>
    <n v="25.51"/>
    <n v="25.51"/>
    <x v="0"/>
    <n v="58"/>
    <n v="58"/>
    <n v="119"/>
    <n v="119"/>
    <x v="0"/>
    <x v="0"/>
  </r>
  <r>
    <n v="1"/>
    <x v="1"/>
    <n v="57"/>
    <x v="2"/>
    <n v="1"/>
    <n v="1"/>
    <s v="Primary"/>
    <x v="2"/>
    <n v="1"/>
    <n v="3"/>
    <n v="3"/>
    <x v="0"/>
    <n v="0"/>
    <x v="0"/>
    <n v="0"/>
    <n v="1"/>
    <n v="0"/>
    <n v="225"/>
    <n v="225"/>
    <x v="1"/>
    <n v="177.5"/>
    <n v="120"/>
    <n v="25.48"/>
    <n v="25.48"/>
    <x v="0"/>
    <n v="72"/>
    <n v="72"/>
    <n v="96"/>
    <n v="96"/>
    <x v="0"/>
    <x v="1"/>
  </r>
  <r>
    <n v="0"/>
    <x v="0"/>
    <n v="57"/>
    <x v="2"/>
    <n v="4"/>
    <n v="4"/>
    <s v="Post Graduate"/>
    <x v="3"/>
    <n v="1"/>
    <n v="9"/>
    <n v="9"/>
    <x v="0"/>
    <n v="0"/>
    <x v="0"/>
    <n v="0"/>
    <n v="0"/>
    <n v="0"/>
    <n v="382"/>
    <n v="382"/>
    <x v="0"/>
    <n v="140"/>
    <n v="94"/>
    <n v="21.2"/>
    <n v="21.2"/>
    <x v="1"/>
    <n v="98"/>
    <n v="98"/>
    <n v="70"/>
    <n v="70"/>
    <x v="0"/>
    <x v="0"/>
  </r>
  <r>
    <n v="0"/>
    <x v="0"/>
    <n v="57"/>
    <x v="2"/>
    <n v="2"/>
    <n v="2"/>
    <s v="Secondary"/>
    <x v="0"/>
    <n v="0"/>
    <n v="0"/>
    <n v="0"/>
    <x v="1"/>
    <n v="0"/>
    <x v="0"/>
    <n v="0"/>
    <n v="0"/>
    <n v="0"/>
    <n v="286"/>
    <n v="286"/>
    <x v="0"/>
    <n v="153"/>
    <n v="87"/>
    <n v="27.64"/>
    <n v="27.64"/>
    <x v="0"/>
    <n v="75"/>
    <n v="75"/>
    <n v="83"/>
    <n v="83"/>
    <x v="0"/>
    <x v="0"/>
  </r>
  <r>
    <n v="1"/>
    <x v="1"/>
    <n v="57"/>
    <x v="2"/>
    <n v="4"/>
    <n v="4"/>
    <s v="Post Graduate"/>
    <x v="3"/>
    <n v="0"/>
    <n v="0"/>
    <n v="0"/>
    <x v="1"/>
    <n v="0"/>
    <x v="0"/>
    <n v="0"/>
    <n v="1"/>
    <n v="0"/>
    <n v="310"/>
    <n v="310"/>
    <x v="0"/>
    <n v="147.5"/>
    <n v="90"/>
    <n v="32.090000000000003"/>
    <n v="32.090000000000003"/>
    <x v="2"/>
    <n v="67"/>
    <n v="67"/>
    <n v="73"/>
    <n v="73"/>
    <x v="0"/>
    <x v="1"/>
  </r>
  <r>
    <n v="1"/>
    <x v="1"/>
    <n v="57"/>
    <x v="2"/>
    <n v="3"/>
    <n v="3"/>
    <s v="Graduate"/>
    <x v="1"/>
    <n v="1"/>
    <n v="15"/>
    <n v="15"/>
    <x v="0"/>
    <n v="0"/>
    <x v="0"/>
    <n v="0"/>
    <n v="0"/>
    <n v="1"/>
    <n v="245"/>
    <n v="245"/>
    <x v="0"/>
    <n v="132"/>
    <n v="77"/>
    <n v="23.01"/>
    <n v="23.01"/>
    <x v="1"/>
    <n v="76"/>
    <n v="76"/>
    <n v="207"/>
    <n v="207"/>
    <x v="0"/>
    <x v="0"/>
  </r>
  <r>
    <n v="1"/>
    <x v="1"/>
    <n v="57"/>
    <x v="2"/>
    <n v="1"/>
    <n v="1"/>
    <s v="Primary"/>
    <x v="2"/>
    <n v="0"/>
    <n v="0"/>
    <n v="0"/>
    <x v="1"/>
    <n v="0"/>
    <x v="0"/>
    <n v="0"/>
    <n v="0"/>
    <n v="0"/>
    <n v="178"/>
    <n v="178"/>
    <x v="1"/>
    <n v="123"/>
    <n v="79"/>
    <n v="26.36"/>
    <n v="26.36"/>
    <x v="0"/>
    <n v="74"/>
    <n v="74"/>
    <n v="78"/>
    <n v="78"/>
    <x v="0"/>
    <x v="1"/>
  </r>
  <r>
    <n v="1"/>
    <x v="1"/>
    <n v="57"/>
    <x v="2"/>
    <n v="1"/>
    <n v="1"/>
    <s v="Primary"/>
    <x v="2"/>
    <n v="0"/>
    <n v="0"/>
    <n v="0"/>
    <x v="1"/>
    <n v="0"/>
    <x v="0"/>
    <n v="0"/>
    <n v="0"/>
    <n v="0"/>
    <n v="242"/>
    <n v="242"/>
    <x v="0"/>
    <n v="130"/>
    <n v="74"/>
    <n v="28.9"/>
    <n v="28.9"/>
    <x v="0"/>
    <n v="60"/>
    <n v="60"/>
    <n v="53"/>
    <n v="53"/>
    <x v="0"/>
    <x v="0"/>
  </r>
  <r>
    <n v="1"/>
    <x v="1"/>
    <n v="57"/>
    <x v="2"/>
    <n v="2"/>
    <n v="2"/>
    <s v="Secondary"/>
    <x v="0"/>
    <n v="1"/>
    <n v="15"/>
    <n v="15"/>
    <x v="0"/>
    <n v="0"/>
    <x v="0"/>
    <n v="0"/>
    <n v="0"/>
    <n v="0"/>
    <n v="221"/>
    <n v="221"/>
    <x v="1"/>
    <n v="117"/>
    <n v="72"/>
    <n v="25.51"/>
    <n v="25.51"/>
    <x v="0"/>
    <n v="75"/>
    <n v="75"/>
    <n v="83"/>
    <n v="83"/>
    <x v="0"/>
    <x v="1"/>
  </r>
  <r>
    <n v="0"/>
    <x v="0"/>
    <n v="57"/>
    <x v="2"/>
    <n v="2"/>
    <n v="2"/>
    <s v="Secondary"/>
    <x v="0"/>
    <n v="1"/>
    <n v="10"/>
    <n v="10"/>
    <x v="0"/>
    <n v="0"/>
    <x v="0"/>
    <n v="0"/>
    <n v="1"/>
    <n v="0"/>
    <n v="238"/>
    <n v="238"/>
    <x v="1"/>
    <n v="133"/>
    <n v="72"/>
    <n v="18.09"/>
    <n v="18.09"/>
    <x v="3"/>
    <n v="100"/>
    <n v="100"/>
    <n v="115"/>
    <n v="115"/>
    <x v="0"/>
    <x v="0"/>
  </r>
  <r>
    <n v="0"/>
    <x v="0"/>
    <n v="57"/>
    <x v="2"/>
    <n v="1"/>
    <n v="1"/>
    <s v="Primary"/>
    <x v="2"/>
    <n v="0"/>
    <n v="0"/>
    <n v="0"/>
    <x v="1"/>
    <n v="0"/>
    <x v="0"/>
    <n v="0"/>
    <n v="1"/>
    <n v="0"/>
    <n v="285"/>
    <n v="285"/>
    <x v="0"/>
    <n v="197"/>
    <n v="72"/>
    <n v="23.41"/>
    <n v="23.41"/>
    <x v="1"/>
    <n v="68"/>
    <n v="68"/>
    <n v="78"/>
    <n v="78"/>
    <x v="0"/>
    <x v="1"/>
  </r>
  <r>
    <n v="1"/>
    <x v="1"/>
    <n v="57"/>
    <x v="2"/>
    <n v="1"/>
    <n v="1"/>
    <s v="Primary"/>
    <x v="2"/>
    <n v="1"/>
    <n v="20"/>
    <n v="20"/>
    <x v="0"/>
    <n v="0"/>
    <x v="0"/>
    <n v="0"/>
    <n v="0"/>
    <n v="0"/>
    <n v="260"/>
    <n v="260"/>
    <x v="0"/>
    <n v="123"/>
    <n v="73"/>
    <n v="27.51"/>
    <n v="27.51"/>
    <x v="0"/>
    <n v="65"/>
    <n v="65"/>
    <n v="83"/>
    <n v="83"/>
    <x v="0"/>
    <x v="1"/>
  </r>
  <r>
    <n v="0"/>
    <x v="0"/>
    <n v="57"/>
    <x v="2"/>
    <n v="2"/>
    <n v="2"/>
    <s v="Secondary"/>
    <x v="0"/>
    <n v="1"/>
    <s v="NA"/>
    <n v="9"/>
    <x v="0"/>
    <n v="0"/>
    <x v="0"/>
    <n v="0"/>
    <n v="0"/>
    <n v="0"/>
    <n v="270"/>
    <n v="270"/>
    <x v="0"/>
    <n v="120"/>
    <n v="79"/>
    <n v="24.83"/>
    <n v="24.83"/>
    <x v="1"/>
    <n v="95"/>
    <n v="95"/>
    <n v="81"/>
    <n v="81"/>
    <x v="0"/>
    <x v="0"/>
  </r>
  <r>
    <n v="0"/>
    <x v="0"/>
    <n v="57"/>
    <x v="2"/>
    <n v="1"/>
    <n v="1"/>
    <s v="Primary"/>
    <x v="2"/>
    <n v="1"/>
    <n v="1"/>
    <n v="1"/>
    <x v="0"/>
    <n v="0"/>
    <x v="0"/>
    <n v="0"/>
    <n v="1"/>
    <n v="0"/>
    <n v="254"/>
    <n v="254"/>
    <x v="0"/>
    <n v="146.5"/>
    <n v="81"/>
    <n v="41.61"/>
    <n v="41.61"/>
    <x v="2"/>
    <n v="72"/>
    <n v="72"/>
    <n v="85"/>
    <n v="85"/>
    <x v="0"/>
    <x v="1"/>
  </r>
  <r>
    <n v="1"/>
    <x v="1"/>
    <n v="57"/>
    <x v="2"/>
    <n v="1"/>
    <n v="1"/>
    <s v="Primary"/>
    <x v="2"/>
    <n v="0"/>
    <n v="0"/>
    <n v="0"/>
    <x v="1"/>
    <n v="1"/>
    <x v="1"/>
    <n v="0"/>
    <n v="1"/>
    <n v="0"/>
    <n v="321"/>
    <n v="321"/>
    <x v="0"/>
    <n v="192.5"/>
    <n v="113"/>
    <n v="25.94"/>
    <n v="25.94"/>
    <x v="0"/>
    <n v="63"/>
    <n v="63"/>
    <n v="90"/>
    <n v="90"/>
    <x v="0"/>
    <x v="1"/>
  </r>
  <r>
    <n v="0"/>
    <x v="0"/>
    <n v="57"/>
    <x v="2"/>
    <n v="1"/>
    <n v="1"/>
    <s v="Primary"/>
    <x v="2"/>
    <n v="0"/>
    <n v="0"/>
    <n v="0"/>
    <x v="1"/>
    <n v="0"/>
    <x v="0"/>
    <n v="0"/>
    <n v="1"/>
    <n v="0"/>
    <n v="277"/>
    <n v="277"/>
    <x v="0"/>
    <n v="148"/>
    <n v="89.5"/>
    <n v="31.82"/>
    <n v="31.82"/>
    <x v="2"/>
    <n v="86"/>
    <n v="86"/>
    <n v="89"/>
    <n v="89"/>
    <x v="0"/>
    <x v="0"/>
  </r>
  <r>
    <n v="0"/>
    <x v="0"/>
    <n v="57"/>
    <x v="2"/>
    <n v="4"/>
    <n v="4"/>
    <s v="Post Graduate"/>
    <x v="3"/>
    <n v="0"/>
    <n v="0"/>
    <n v="0"/>
    <x v="1"/>
    <n v="0"/>
    <x v="0"/>
    <n v="0"/>
    <n v="1"/>
    <n v="0"/>
    <n v="236"/>
    <n v="236"/>
    <x v="1"/>
    <n v="164"/>
    <n v="100"/>
    <n v="25.45"/>
    <n v="25.45"/>
    <x v="0"/>
    <n v="90"/>
    <n v="90"/>
    <n v="67"/>
    <n v="67"/>
    <x v="0"/>
    <x v="0"/>
  </r>
  <r>
    <n v="1"/>
    <x v="1"/>
    <n v="57"/>
    <x v="2"/>
    <n v="1"/>
    <n v="1"/>
    <s v="Primary"/>
    <x v="2"/>
    <n v="0"/>
    <n v="0"/>
    <n v="0"/>
    <x v="1"/>
    <n v="0"/>
    <x v="0"/>
    <n v="0"/>
    <n v="1"/>
    <n v="0"/>
    <n v="155"/>
    <n v="155"/>
    <x v="1"/>
    <n v="143"/>
    <n v="96"/>
    <n v="31.01"/>
    <n v="31.01"/>
    <x v="2"/>
    <n v="63"/>
    <n v="63"/>
    <n v="88"/>
    <n v="88"/>
    <x v="0"/>
    <x v="0"/>
  </r>
  <r>
    <n v="0"/>
    <x v="0"/>
    <n v="57"/>
    <x v="2"/>
    <n v="2"/>
    <n v="2"/>
    <s v="Secondary"/>
    <x v="0"/>
    <n v="0"/>
    <n v="0"/>
    <n v="0"/>
    <x v="1"/>
    <n v="0"/>
    <x v="0"/>
    <n v="0"/>
    <n v="1"/>
    <n v="0"/>
    <n v="250"/>
    <n v="250"/>
    <x v="0"/>
    <n v="152.5"/>
    <n v="92.5"/>
    <n v="32.31"/>
    <n v="32.31"/>
    <x v="2"/>
    <n v="75"/>
    <n v="75"/>
    <n v="94"/>
    <n v="94"/>
    <x v="0"/>
    <x v="0"/>
  </r>
  <r>
    <n v="0"/>
    <x v="0"/>
    <n v="57"/>
    <x v="2"/>
    <n v="2"/>
    <n v="2"/>
    <s v="Secondary"/>
    <x v="0"/>
    <n v="1"/>
    <n v="10"/>
    <n v="10"/>
    <x v="0"/>
    <n v="1"/>
    <x v="1"/>
    <n v="0"/>
    <n v="1"/>
    <n v="0"/>
    <n v="272"/>
    <n v="272"/>
    <x v="0"/>
    <n v="157"/>
    <n v="80"/>
    <n v="25.15"/>
    <n v="25.15"/>
    <x v="0"/>
    <n v="70"/>
    <n v="70"/>
    <n v="95"/>
    <n v="95"/>
    <x v="0"/>
    <x v="1"/>
  </r>
  <r>
    <n v="1"/>
    <x v="1"/>
    <n v="57"/>
    <x v="2"/>
    <n v="1"/>
    <n v="1"/>
    <s v="Primary"/>
    <x v="2"/>
    <n v="0"/>
    <n v="0"/>
    <n v="0"/>
    <x v="1"/>
    <n v="0"/>
    <x v="0"/>
    <n v="0"/>
    <n v="0"/>
    <n v="0"/>
    <n v="201"/>
    <n v="201"/>
    <x v="1"/>
    <n v="108.5"/>
    <n v="70.5"/>
    <n v="22.9"/>
    <n v="22.9"/>
    <x v="1"/>
    <n v="50"/>
    <n v="50"/>
    <n v="84"/>
    <n v="84"/>
    <x v="0"/>
    <x v="0"/>
  </r>
  <r>
    <n v="1"/>
    <x v="1"/>
    <n v="57"/>
    <x v="2"/>
    <n v="1"/>
    <n v="1"/>
    <s v="Primary"/>
    <x v="2"/>
    <n v="0"/>
    <n v="0"/>
    <n v="0"/>
    <x v="1"/>
    <n v="0"/>
    <x v="0"/>
    <n v="0"/>
    <n v="0"/>
    <n v="0"/>
    <n v="176"/>
    <n v="176"/>
    <x v="1"/>
    <n v="147.5"/>
    <n v="87.5"/>
    <n v="24.15"/>
    <n v="24.15"/>
    <x v="1"/>
    <n v="85"/>
    <n v="85"/>
    <n v="100"/>
    <n v="100"/>
    <x v="0"/>
    <x v="0"/>
  </r>
  <r>
    <n v="1"/>
    <x v="1"/>
    <n v="57"/>
    <x v="2"/>
    <n v="2"/>
    <n v="2"/>
    <s v="Secondary"/>
    <x v="0"/>
    <n v="1"/>
    <n v="20"/>
    <n v="20"/>
    <x v="0"/>
    <n v="0"/>
    <x v="0"/>
    <n v="0"/>
    <n v="0"/>
    <n v="0"/>
    <n v="210"/>
    <n v="210"/>
    <x v="1"/>
    <n v="120"/>
    <n v="77.5"/>
    <n v="27.14"/>
    <n v="27.14"/>
    <x v="0"/>
    <n v="77"/>
    <n v="77"/>
    <n v="71"/>
    <n v="71"/>
    <x v="0"/>
    <x v="0"/>
  </r>
  <r>
    <n v="0"/>
    <x v="0"/>
    <n v="57"/>
    <x v="2"/>
    <n v="1"/>
    <n v="1"/>
    <s v="Primary"/>
    <x v="2"/>
    <n v="0"/>
    <n v="0"/>
    <n v="0"/>
    <x v="1"/>
    <n v="0"/>
    <x v="0"/>
    <n v="0"/>
    <n v="1"/>
    <n v="0"/>
    <n v="259"/>
    <n v="259"/>
    <x v="0"/>
    <n v="170"/>
    <n v="101"/>
    <n v="38.17"/>
    <n v="38.17"/>
    <x v="2"/>
    <n v="85"/>
    <n v="85"/>
    <n v="75"/>
    <n v="75"/>
    <x v="0"/>
    <x v="0"/>
  </r>
  <r>
    <n v="0"/>
    <x v="0"/>
    <n v="57"/>
    <x v="2"/>
    <n v="1"/>
    <n v="1"/>
    <s v="Primary"/>
    <x v="2"/>
    <n v="0"/>
    <n v="0"/>
    <n v="0"/>
    <x v="1"/>
    <n v="0"/>
    <x v="0"/>
    <n v="0"/>
    <n v="1"/>
    <n v="0"/>
    <n v="212"/>
    <n v="212"/>
    <x v="1"/>
    <n v="147"/>
    <n v="85"/>
    <n v="35.19"/>
    <n v="35.19"/>
    <x v="2"/>
    <n v="65"/>
    <n v="65"/>
    <n v="85"/>
    <n v="85"/>
    <x v="0"/>
    <x v="0"/>
  </r>
  <r>
    <n v="1"/>
    <x v="1"/>
    <n v="57"/>
    <x v="2"/>
    <n v="4"/>
    <n v="4"/>
    <s v="Post Graduate"/>
    <x v="3"/>
    <n v="0"/>
    <n v="0"/>
    <n v="0"/>
    <x v="1"/>
    <n v="0"/>
    <x v="0"/>
    <n v="0"/>
    <n v="0"/>
    <n v="0"/>
    <n v="194"/>
    <n v="194"/>
    <x v="1"/>
    <n v="133"/>
    <n v="78"/>
    <n v="29.02"/>
    <n v="29.02"/>
    <x v="0"/>
    <n v="72"/>
    <n v="72"/>
    <n v="92"/>
    <n v="92"/>
    <x v="0"/>
    <x v="0"/>
  </r>
  <r>
    <n v="0"/>
    <x v="0"/>
    <n v="58"/>
    <x v="2"/>
    <n v="2"/>
    <n v="2"/>
    <s v="Secondary"/>
    <x v="0"/>
    <n v="0"/>
    <n v="0"/>
    <n v="0"/>
    <x v="1"/>
    <n v="0"/>
    <x v="0"/>
    <n v="0"/>
    <n v="1"/>
    <n v="0"/>
    <n v="195"/>
    <n v="195"/>
    <x v="1"/>
    <n v="153"/>
    <n v="80.5"/>
    <n v="23.36"/>
    <n v="23.36"/>
    <x v="1"/>
    <n v="60"/>
    <n v="60"/>
    <n v="73"/>
    <n v="73"/>
    <x v="0"/>
    <x v="0"/>
  </r>
  <r>
    <n v="0"/>
    <x v="0"/>
    <n v="58"/>
    <x v="2"/>
    <n v="2"/>
    <n v="2"/>
    <s v="Secondary"/>
    <x v="0"/>
    <n v="1"/>
    <n v="5"/>
    <n v="5"/>
    <x v="0"/>
    <n v="0"/>
    <x v="0"/>
    <n v="0"/>
    <n v="0"/>
    <n v="0"/>
    <n v="215"/>
    <n v="215"/>
    <x v="1"/>
    <n v="170"/>
    <n v="86"/>
    <n v="29.06"/>
    <n v="29.06"/>
    <x v="0"/>
    <n v="75"/>
    <n v="75"/>
    <n v="98"/>
    <n v="98"/>
    <x v="0"/>
    <x v="0"/>
  </r>
  <r>
    <n v="0"/>
    <x v="0"/>
    <n v="58"/>
    <x v="2"/>
    <n v="3"/>
    <n v="3"/>
    <s v="Graduate"/>
    <x v="1"/>
    <n v="0"/>
    <n v="0"/>
    <n v="0"/>
    <x v="1"/>
    <n v="0"/>
    <x v="0"/>
    <n v="0"/>
    <n v="1"/>
    <n v="0"/>
    <n v="287"/>
    <n v="287"/>
    <x v="0"/>
    <n v="144"/>
    <n v="84"/>
    <n v="21.81"/>
    <n v="21.81"/>
    <x v="1"/>
    <n v="69"/>
    <n v="69"/>
    <n v="68"/>
    <n v="68"/>
    <x v="0"/>
    <x v="0"/>
  </r>
  <r>
    <n v="0"/>
    <x v="0"/>
    <n v="58"/>
    <x v="2"/>
    <n v="1"/>
    <n v="1"/>
    <s v="Primary"/>
    <x v="2"/>
    <n v="0"/>
    <n v="0"/>
    <n v="0"/>
    <x v="1"/>
    <n v="0"/>
    <x v="0"/>
    <n v="0"/>
    <n v="1"/>
    <n v="0"/>
    <n v="200"/>
    <n v="200"/>
    <x v="1"/>
    <n v="158"/>
    <n v="101"/>
    <n v="23.06"/>
    <n v="23.06"/>
    <x v="1"/>
    <n v="85"/>
    <n v="85"/>
    <n v="77"/>
    <n v="77"/>
    <x v="0"/>
    <x v="1"/>
  </r>
  <r>
    <n v="0"/>
    <x v="0"/>
    <n v="58"/>
    <x v="2"/>
    <n v="2"/>
    <n v="2"/>
    <s v="Secondary"/>
    <x v="0"/>
    <n v="1"/>
    <n v="5"/>
    <n v="5"/>
    <x v="0"/>
    <n v="0"/>
    <x v="0"/>
    <n v="0"/>
    <n v="0"/>
    <n v="0"/>
    <n v="177"/>
    <n v="177"/>
    <x v="1"/>
    <n v="114"/>
    <n v="72.5"/>
    <n v="24.77"/>
    <n v="24.77"/>
    <x v="1"/>
    <n v="87"/>
    <n v="87"/>
    <s v="NA"/>
    <n v="81.96365524402907"/>
    <x v="0"/>
    <x v="0"/>
  </r>
  <r>
    <n v="0"/>
    <x v="0"/>
    <n v="58"/>
    <x v="2"/>
    <n v="3"/>
    <n v="3"/>
    <s v="Graduate"/>
    <x v="1"/>
    <n v="1"/>
    <n v="3"/>
    <n v="3"/>
    <x v="0"/>
    <n v="0"/>
    <x v="0"/>
    <n v="0"/>
    <n v="0"/>
    <n v="0"/>
    <n v="290"/>
    <n v="290"/>
    <x v="0"/>
    <n v="155"/>
    <n v="82.5"/>
    <n v="29.5"/>
    <n v="29.5"/>
    <x v="0"/>
    <n v="85"/>
    <n v="85"/>
    <n v="113"/>
    <n v="113"/>
    <x v="0"/>
    <x v="1"/>
  </r>
  <r>
    <n v="0"/>
    <x v="0"/>
    <n v="58"/>
    <x v="2"/>
    <n v="3"/>
    <n v="3"/>
    <s v="Graduate"/>
    <x v="1"/>
    <n v="0"/>
    <n v="0"/>
    <n v="0"/>
    <x v="1"/>
    <n v="0"/>
    <x v="0"/>
    <n v="0"/>
    <n v="1"/>
    <n v="0"/>
    <n v="188"/>
    <n v="188"/>
    <x v="1"/>
    <n v="160"/>
    <n v="120"/>
    <n v="35.58"/>
    <n v="35.58"/>
    <x v="2"/>
    <n v="88"/>
    <n v="88"/>
    <n v="85"/>
    <n v="85"/>
    <x v="0"/>
    <x v="0"/>
  </r>
  <r>
    <n v="0"/>
    <x v="0"/>
    <n v="58"/>
    <x v="2"/>
    <n v="1"/>
    <n v="1"/>
    <s v="Primary"/>
    <x v="2"/>
    <n v="0"/>
    <n v="0"/>
    <n v="0"/>
    <x v="1"/>
    <n v="0"/>
    <x v="0"/>
    <n v="0"/>
    <n v="0"/>
    <n v="0"/>
    <n v="234"/>
    <n v="234"/>
    <x v="1"/>
    <n v="137.5"/>
    <n v="89.5"/>
    <n v="24.25"/>
    <n v="24.25"/>
    <x v="1"/>
    <n v="58"/>
    <n v="58"/>
    <n v="72"/>
    <n v="72"/>
    <x v="0"/>
    <x v="0"/>
  </r>
  <r>
    <n v="0"/>
    <x v="0"/>
    <n v="58"/>
    <x v="2"/>
    <n v="3"/>
    <n v="3"/>
    <s v="Graduate"/>
    <x v="1"/>
    <n v="1"/>
    <n v="20"/>
    <n v="20"/>
    <x v="0"/>
    <n v="0"/>
    <x v="0"/>
    <n v="0"/>
    <n v="0"/>
    <n v="0"/>
    <n v="281"/>
    <n v="281"/>
    <x v="0"/>
    <n v="134"/>
    <n v="81"/>
    <n v="22.54"/>
    <n v="22.54"/>
    <x v="1"/>
    <n v="58"/>
    <n v="58"/>
    <n v="74"/>
    <n v="74"/>
    <x v="0"/>
    <x v="0"/>
  </r>
  <r>
    <n v="0"/>
    <x v="0"/>
    <n v="58"/>
    <x v="2"/>
    <n v="1"/>
    <n v="1"/>
    <s v="Primary"/>
    <x v="2"/>
    <n v="1"/>
    <n v="20"/>
    <n v="20"/>
    <x v="0"/>
    <n v="0"/>
    <x v="0"/>
    <n v="0"/>
    <n v="0"/>
    <n v="0"/>
    <s v="NA"/>
    <n v="236.69952267303103"/>
    <x v="1"/>
    <n v="126"/>
    <n v="77"/>
    <n v="30.08"/>
    <n v="30.08"/>
    <x v="2"/>
    <n v="78"/>
    <n v="78"/>
    <s v="NA"/>
    <n v="81.96365524402907"/>
    <x v="0"/>
    <x v="0"/>
  </r>
  <r>
    <n v="1"/>
    <x v="1"/>
    <n v="58"/>
    <x v="2"/>
    <n v="4"/>
    <n v="4"/>
    <s v="Post Graduate"/>
    <x v="3"/>
    <n v="1"/>
    <n v="30"/>
    <n v="30"/>
    <x v="0"/>
    <n v="0"/>
    <x v="0"/>
    <n v="0"/>
    <n v="0"/>
    <n v="0"/>
    <n v="234"/>
    <n v="234"/>
    <x v="1"/>
    <n v="167.5"/>
    <n v="95"/>
    <n v="27.73"/>
    <n v="27.73"/>
    <x v="0"/>
    <n v="71"/>
    <n v="71"/>
    <n v="66"/>
    <n v="66"/>
    <x v="0"/>
    <x v="0"/>
  </r>
  <r>
    <n v="0"/>
    <x v="0"/>
    <n v="58"/>
    <x v="2"/>
    <n v="2"/>
    <n v="2"/>
    <s v="Secondary"/>
    <x v="0"/>
    <n v="0"/>
    <n v="0"/>
    <n v="0"/>
    <x v="1"/>
    <n v="0"/>
    <x v="0"/>
    <n v="0"/>
    <n v="1"/>
    <n v="0"/>
    <n v="270"/>
    <n v="270"/>
    <x v="0"/>
    <n v="145"/>
    <n v="95"/>
    <n v="23.17"/>
    <n v="23.17"/>
    <x v="1"/>
    <n v="77"/>
    <n v="77"/>
    <n v="120"/>
    <n v="120"/>
    <x v="0"/>
    <x v="0"/>
  </r>
  <r>
    <n v="1"/>
    <x v="1"/>
    <n v="58"/>
    <x v="2"/>
    <n v="1"/>
    <n v="1"/>
    <s v="Primary"/>
    <x v="2"/>
    <n v="1"/>
    <n v="20"/>
    <n v="20"/>
    <x v="0"/>
    <n v="0"/>
    <x v="0"/>
    <n v="0"/>
    <n v="0"/>
    <n v="0"/>
    <n v="251"/>
    <n v="251"/>
    <x v="0"/>
    <n v="135"/>
    <n v="85.5"/>
    <n v="21.24"/>
    <n v="21.24"/>
    <x v="1"/>
    <n v="88"/>
    <n v="88"/>
    <n v="103"/>
    <n v="103"/>
    <x v="0"/>
    <x v="0"/>
  </r>
  <r>
    <n v="0"/>
    <x v="0"/>
    <n v="58"/>
    <x v="2"/>
    <n v="1"/>
    <n v="1"/>
    <s v="Primary"/>
    <x v="2"/>
    <n v="0"/>
    <n v="0"/>
    <n v="0"/>
    <x v="1"/>
    <n v="0"/>
    <x v="0"/>
    <n v="0"/>
    <n v="0"/>
    <n v="0"/>
    <n v="229"/>
    <n v="229"/>
    <x v="1"/>
    <n v="128"/>
    <n v="76"/>
    <n v="32.49"/>
    <n v="32.49"/>
    <x v="2"/>
    <n v="68"/>
    <n v="68"/>
    <n v="75"/>
    <n v="75"/>
    <x v="0"/>
    <x v="0"/>
  </r>
  <r>
    <n v="0"/>
    <x v="0"/>
    <n v="58"/>
    <x v="2"/>
    <n v="1"/>
    <n v="1"/>
    <s v="Primary"/>
    <x v="2"/>
    <n v="0"/>
    <n v="0"/>
    <n v="0"/>
    <x v="1"/>
    <n v="0"/>
    <x v="0"/>
    <n v="1"/>
    <n v="1"/>
    <n v="1"/>
    <n v="267"/>
    <n v="267"/>
    <x v="0"/>
    <n v="157"/>
    <n v="94"/>
    <n v="33.32"/>
    <n v="33.32"/>
    <x v="2"/>
    <n v="92"/>
    <n v="92"/>
    <n v="205"/>
    <n v="205"/>
    <x v="0"/>
    <x v="1"/>
  </r>
  <r>
    <n v="0"/>
    <x v="0"/>
    <n v="58"/>
    <x v="2"/>
    <n v="3"/>
    <n v="3"/>
    <s v="Graduate"/>
    <x v="1"/>
    <n v="0"/>
    <n v="0"/>
    <n v="0"/>
    <x v="1"/>
    <n v="0"/>
    <x v="0"/>
    <n v="0"/>
    <n v="0"/>
    <n v="0"/>
    <n v="326"/>
    <n v="326"/>
    <x v="0"/>
    <n v="120"/>
    <n v="70"/>
    <n v="24.69"/>
    <n v="24.69"/>
    <x v="1"/>
    <n v="63"/>
    <n v="63"/>
    <n v="68"/>
    <n v="68"/>
    <x v="0"/>
    <x v="0"/>
  </r>
  <r>
    <n v="1"/>
    <x v="1"/>
    <n v="58"/>
    <x v="2"/>
    <n v="3"/>
    <n v="3"/>
    <s v="Graduate"/>
    <x v="1"/>
    <n v="0"/>
    <n v="0"/>
    <n v="0"/>
    <x v="1"/>
    <n v="0"/>
    <x v="0"/>
    <n v="0"/>
    <n v="0"/>
    <n v="0"/>
    <n v="266"/>
    <n v="266"/>
    <x v="0"/>
    <n v="138"/>
    <n v="83"/>
    <n v="30.64"/>
    <n v="30.64"/>
    <x v="2"/>
    <n v="95"/>
    <n v="95"/>
    <n v="100"/>
    <n v="100"/>
    <x v="0"/>
    <x v="1"/>
  </r>
  <r>
    <n v="0"/>
    <x v="0"/>
    <n v="58"/>
    <x v="2"/>
    <n v="2"/>
    <n v="2"/>
    <s v="Secondary"/>
    <x v="0"/>
    <n v="1"/>
    <n v="30"/>
    <n v="30"/>
    <x v="0"/>
    <n v="0"/>
    <x v="0"/>
    <n v="0"/>
    <n v="0"/>
    <n v="0"/>
    <n v="234"/>
    <n v="234"/>
    <x v="1"/>
    <n v="113"/>
    <n v="77"/>
    <n v="20.68"/>
    <n v="20.68"/>
    <x v="1"/>
    <n v="72"/>
    <n v="72"/>
    <n v="67"/>
    <n v="67"/>
    <x v="0"/>
    <x v="0"/>
  </r>
  <r>
    <n v="0"/>
    <x v="0"/>
    <n v="58"/>
    <x v="2"/>
    <n v="2"/>
    <n v="2"/>
    <s v="Secondary"/>
    <x v="0"/>
    <n v="1"/>
    <n v="3"/>
    <n v="3"/>
    <x v="0"/>
    <n v="0"/>
    <x v="0"/>
    <n v="0"/>
    <n v="0"/>
    <n v="0"/>
    <s v="NA"/>
    <n v="236.69952267303103"/>
    <x v="1"/>
    <n v="120"/>
    <n v="80"/>
    <n v="29.25"/>
    <n v="29.25"/>
    <x v="0"/>
    <n v="78"/>
    <n v="78"/>
    <n v="75"/>
    <n v="75"/>
    <x v="0"/>
    <x v="0"/>
  </r>
  <r>
    <n v="1"/>
    <x v="1"/>
    <n v="58"/>
    <x v="2"/>
    <n v="1"/>
    <n v="1"/>
    <s v="Primary"/>
    <x v="2"/>
    <n v="1"/>
    <n v="9"/>
    <n v="9"/>
    <x v="0"/>
    <n v="0"/>
    <x v="0"/>
    <n v="0"/>
    <n v="1"/>
    <n v="0"/>
    <n v="242"/>
    <n v="242"/>
    <x v="0"/>
    <n v="164"/>
    <n v="85.5"/>
    <n v="18.84"/>
    <n v="18.84"/>
    <x v="1"/>
    <n v="76"/>
    <n v="76"/>
    <n v="106"/>
    <n v="106"/>
    <x v="0"/>
    <x v="0"/>
  </r>
  <r>
    <n v="1"/>
    <x v="1"/>
    <n v="58"/>
    <x v="2"/>
    <n v="1"/>
    <n v="1"/>
    <s v="Primary"/>
    <x v="2"/>
    <n v="1"/>
    <n v="20"/>
    <n v="20"/>
    <x v="0"/>
    <n v="0"/>
    <x v="0"/>
    <n v="0"/>
    <n v="1"/>
    <n v="0"/>
    <n v="255"/>
    <n v="255"/>
    <x v="0"/>
    <n v="146"/>
    <n v="89"/>
    <n v="27.47"/>
    <n v="27.47"/>
    <x v="0"/>
    <n v="75"/>
    <n v="75"/>
    <n v="73"/>
    <n v="73"/>
    <x v="0"/>
    <x v="1"/>
  </r>
  <r>
    <n v="1"/>
    <x v="1"/>
    <n v="58"/>
    <x v="2"/>
    <n v="4"/>
    <n v="4"/>
    <s v="Post Graduate"/>
    <x v="3"/>
    <n v="1"/>
    <n v="5"/>
    <n v="5"/>
    <x v="0"/>
    <n v="0"/>
    <x v="0"/>
    <n v="0"/>
    <n v="0"/>
    <n v="0"/>
    <n v="243"/>
    <n v="243"/>
    <x v="0"/>
    <n v="106"/>
    <n v="70.5"/>
    <n v="23.72"/>
    <n v="23.72"/>
    <x v="1"/>
    <n v="60"/>
    <n v="60"/>
    <n v="80"/>
    <n v="80"/>
    <x v="0"/>
    <x v="0"/>
  </r>
  <r>
    <n v="0"/>
    <x v="0"/>
    <n v="58"/>
    <x v="2"/>
    <n v="4"/>
    <n v="4"/>
    <s v="Post Graduate"/>
    <x v="3"/>
    <n v="0"/>
    <n v="0"/>
    <n v="0"/>
    <x v="1"/>
    <n v="0"/>
    <x v="0"/>
    <n v="0"/>
    <n v="1"/>
    <n v="0"/>
    <n v="268"/>
    <n v="268"/>
    <x v="0"/>
    <n v="151"/>
    <n v="98"/>
    <n v="20.34"/>
    <n v="20.34"/>
    <x v="1"/>
    <n v="72"/>
    <n v="72"/>
    <n v="60"/>
    <n v="60"/>
    <x v="0"/>
    <x v="0"/>
  </r>
  <r>
    <n v="1"/>
    <x v="1"/>
    <n v="58"/>
    <x v="2"/>
    <n v="1"/>
    <n v="1"/>
    <s v="Primary"/>
    <x v="2"/>
    <n v="1"/>
    <n v="1"/>
    <n v="1"/>
    <x v="0"/>
    <n v="0"/>
    <x v="0"/>
    <n v="0"/>
    <n v="0"/>
    <n v="0"/>
    <n v="240"/>
    <n v="240"/>
    <x v="1"/>
    <n v="148"/>
    <n v="81"/>
    <n v="25.67"/>
    <n v="25.67"/>
    <x v="0"/>
    <n v="90"/>
    <n v="90"/>
    <n v="78"/>
    <n v="78"/>
    <x v="0"/>
    <x v="0"/>
  </r>
  <r>
    <n v="1"/>
    <x v="1"/>
    <n v="58"/>
    <x v="2"/>
    <n v="4"/>
    <n v="4"/>
    <s v="Post Graduate"/>
    <x v="3"/>
    <n v="0"/>
    <n v="0"/>
    <n v="0"/>
    <x v="1"/>
    <n v="0"/>
    <x v="0"/>
    <n v="0"/>
    <n v="0"/>
    <n v="0"/>
    <n v="210"/>
    <n v="210"/>
    <x v="1"/>
    <n v="132"/>
    <n v="86"/>
    <n v="28.92"/>
    <n v="28.92"/>
    <x v="0"/>
    <n v="94"/>
    <n v="94"/>
    <n v="74"/>
    <n v="74"/>
    <x v="0"/>
    <x v="0"/>
  </r>
  <r>
    <n v="1"/>
    <x v="1"/>
    <n v="58"/>
    <x v="2"/>
    <n v="1"/>
    <n v="1"/>
    <s v="Primary"/>
    <x v="2"/>
    <n v="1"/>
    <n v="20"/>
    <n v="20"/>
    <x v="0"/>
    <n v="0"/>
    <x v="0"/>
    <n v="0"/>
    <n v="1"/>
    <n v="0"/>
    <n v="192"/>
    <n v="192"/>
    <x v="1"/>
    <n v="143"/>
    <n v="98"/>
    <n v="29.01"/>
    <n v="29.01"/>
    <x v="0"/>
    <n v="90"/>
    <n v="90"/>
    <n v="68"/>
    <n v="68"/>
    <x v="0"/>
    <x v="0"/>
  </r>
  <r>
    <n v="1"/>
    <x v="1"/>
    <n v="58"/>
    <x v="2"/>
    <n v="2"/>
    <n v="2"/>
    <s v="Secondary"/>
    <x v="0"/>
    <n v="1"/>
    <n v="60"/>
    <n v="60"/>
    <x v="0"/>
    <n v="0"/>
    <x v="0"/>
    <n v="0"/>
    <n v="1"/>
    <n v="0"/>
    <n v="250"/>
    <n v="250"/>
    <x v="0"/>
    <n v="150"/>
    <n v="97"/>
    <n v="32"/>
    <n v="32"/>
    <x v="2"/>
    <n v="75"/>
    <n v="75"/>
    <n v="65"/>
    <n v="65"/>
    <x v="0"/>
    <x v="0"/>
  </r>
  <r>
    <n v="0"/>
    <x v="0"/>
    <n v="58"/>
    <x v="2"/>
    <n v="2"/>
    <n v="2"/>
    <s v="Secondary"/>
    <x v="0"/>
    <n v="0"/>
    <n v="0"/>
    <n v="0"/>
    <x v="1"/>
    <n v="0"/>
    <x v="0"/>
    <n v="0"/>
    <n v="0"/>
    <n v="0"/>
    <n v="190"/>
    <n v="190"/>
    <x v="1"/>
    <n v="132"/>
    <n v="67"/>
    <n v="23.08"/>
    <n v="23.08"/>
    <x v="1"/>
    <n v="65"/>
    <n v="65"/>
    <n v="70"/>
    <n v="70"/>
    <x v="0"/>
    <x v="1"/>
  </r>
  <r>
    <n v="1"/>
    <x v="1"/>
    <n v="58"/>
    <x v="2"/>
    <n v="1"/>
    <n v="1"/>
    <s v="Primary"/>
    <x v="2"/>
    <n v="1"/>
    <n v="15"/>
    <n v="15"/>
    <x v="0"/>
    <n v="0"/>
    <x v="0"/>
    <n v="0"/>
    <n v="0"/>
    <n v="0"/>
    <n v="272"/>
    <n v="272"/>
    <x v="0"/>
    <n v="127.5"/>
    <n v="79.5"/>
    <n v="26.37"/>
    <n v="26.37"/>
    <x v="0"/>
    <n v="78"/>
    <n v="78"/>
    <n v="66"/>
    <n v="66"/>
    <x v="0"/>
    <x v="1"/>
  </r>
  <r>
    <n v="0"/>
    <x v="0"/>
    <n v="58"/>
    <x v="2"/>
    <n v="2"/>
    <n v="2"/>
    <s v="Secondary"/>
    <x v="0"/>
    <n v="0"/>
    <n v="0"/>
    <n v="0"/>
    <x v="1"/>
    <n v="0"/>
    <x v="0"/>
    <n v="0"/>
    <n v="0"/>
    <n v="0"/>
    <n v="246"/>
    <n v="246"/>
    <x v="0"/>
    <n v="132.5"/>
    <n v="82"/>
    <n v="19.09"/>
    <n v="19.09"/>
    <x v="1"/>
    <n v="59"/>
    <n v="59"/>
    <s v="NA"/>
    <n v="81.96365524402907"/>
    <x v="0"/>
    <x v="0"/>
  </r>
  <r>
    <n v="0"/>
    <x v="0"/>
    <n v="58"/>
    <x v="2"/>
    <n v="1"/>
    <n v="1"/>
    <s v="Primary"/>
    <x v="2"/>
    <n v="1"/>
    <n v="15"/>
    <n v="15"/>
    <x v="0"/>
    <n v="0"/>
    <x v="0"/>
    <n v="0"/>
    <n v="0"/>
    <n v="0"/>
    <n v="222"/>
    <n v="222"/>
    <x v="1"/>
    <n v="117"/>
    <n v="79"/>
    <n v="21.09"/>
    <n v="21.09"/>
    <x v="1"/>
    <n v="92"/>
    <n v="92"/>
    <s v="NA"/>
    <n v="81.96365524402907"/>
    <x v="0"/>
    <x v="1"/>
  </r>
  <r>
    <n v="0"/>
    <x v="0"/>
    <n v="58"/>
    <x v="2"/>
    <n v="2"/>
    <n v="2"/>
    <s v="Secondary"/>
    <x v="0"/>
    <n v="0"/>
    <n v="0"/>
    <n v="0"/>
    <x v="1"/>
    <n v="0"/>
    <x v="0"/>
    <n v="0"/>
    <n v="0"/>
    <n v="0"/>
    <n v="245"/>
    <n v="245"/>
    <x v="0"/>
    <n v="123"/>
    <n v="85.5"/>
    <n v="24.49"/>
    <n v="24.49"/>
    <x v="1"/>
    <n v="68"/>
    <n v="68"/>
    <n v="76"/>
    <n v="76"/>
    <x v="0"/>
    <x v="0"/>
  </r>
  <r>
    <n v="0"/>
    <x v="0"/>
    <n v="58"/>
    <x v="2"/>
    <n v="1"/>
    <n v="1"/>
    <s v="Primary"/>
    <x v="2"/>
    <n v="0"/>
    <n v="0"/>
    <n v="0"/>
    <x v="1"/>
    <n v="0"/>
    <x v="0"/>
    <n v="0"/>
    <n v="0"/>
    <n v="0"/>
    <n v="218"/>
    <n v="218"/>
    <x v="1"/>
    <n v="138.5"/>
    <n v="87.5"/>
    <n v="22.91"/>
    <n v="22.91"/>
    <x v="1"/>
    <n v="73"/>
    <n v="73"/>
    <s v="NA"/>
    <n v="81.96365524402907"/>
    <x v="0"/>
    <x v="0"/>
  </r>
  <r>
    <n v="1"/>
    <x v="1"/>
    <n v="58"/>
    <x v="2"/>
    <n v="1"/>
    <n v="1"/>
    <s v="Primary"/>
    <x v="2"/>
    <n v="0"/>
    <n v="0"/>
    <n v="0"/>
    <x v="1"/>
    <n v="0"/>
    <x v="0"/>
    <n v="0"/>
    <n v="1"/>
    <n v="0"/>
    <n v="264"/>
    <n v="264"/>
    <x v="0"/>
    <n v="181"/>
    <n v="90"/>
    <n v="24.49"/>
    <n v="24.49"/>
    <x v="1"/>
    <n v="75"/>
    <n v="75"/>
    <n v="71"/>
    <n v="71"/>
    <x v="0"/>
    <x v="0"/>
  </r>
  <r>
    <n v="1"/>
    <x v="1"/>
    <n v="58"/>
    <x v="2"/>
    <n v="1"/>
    <n v="1"/>
    <s v="Primary"/>
    <x v="2"/>
    <n v="1"/>
    <n v="30"/>
    <n v="30"/>
    <x v="0"/>
    <n v="0"/>
    <x v="0"/>
    <n v="0"/>
    <n v="1"/>
    <n v="0"/>
    <n v="279"/>
    <n v="279"/>
    <x v="0"/>
    <n v="180"/>
    <n v="109.5"/>
    <n v="26.04"/>
    <n v="26.04"/>
    <x v="0"/>
    <n v="75"/>
    <n v="75"/>
    <n v="82"/>
    <n v="82"/>
    <x v="0"/>
    <x v="1"/>
  </r>
  <r>
    <n v="0"/>
    <x v="0"/>
    <n v="58"/>
    <x v="2"/>
    <n v="2"/>
    <n v="2"/>
    <s v="Secondary"/>
    <x v="0"/>
    <n v="0"/>
    <n v="0"/>
    <n v="0"/>
    <x v="1"/>
    <n v="0"/>
    <x v="0"/>
    <n v="0"/>
    <n v="1"/>
    <n v="0"/>
    <n v="210"/>
    <n v="210"/>
    <x v="1"/>
    <n v="143"/>
    <n v="101"/>
    <n v="31.34"/>
    <n v="31.34"/>
    <x v="2"/>
    <n v="85"/>
    <n v="85"/>
    <n v="80"/>
    <n v="80"/>
    <x v="0"/>
    <x v="0"/>
  </r>
  <r>
    <n v="1"/>
    <x v="1"/>
    <n v="58"/>
    <x v="2"/>
    <n v="4"/>
    <n v="4"/>
    <s v="Post Graduate"/>
    <x v="3"/>
    <n v="1"/>
    <n v="20"/>
    <n v="20"/>
    <x v="0"/>
    <n v="0"/>
    <x v="0"/>
    <n v="0"/>
    <n v="1"/>
    <n v="0"/>
    <n v="213"/>
    <n v="213"/>
    <x v="1"/>
    <n v="162"/>
    <n v="99"/>
    <n v="28.3"/>
    <n v="28.3"/>
    <x v="0"/>
    <n v="60"/>
    <n v="60"/>
    <n v="70"/>
    <n v="70"/>
    <x v="0"/>
    <x v="1"/>
  </r>
  <r>
    <n v="1"/>
    <x v="1"/>
    <n v="58"/>
    <x v="2"/>
    <n v="1"/>
    <n v="1"/>
    <s v="Primary"/>
    <x v="2"/>
    <n v="1"/>
    <n v="13"/>
    <n v="13"/>
    <x v="0"/>
    <n v="0"/>
    <x v="0"/>
    <n v="0"/>
    <n v="0"/>
    <n v="0"/>
    <n v="196"/>
    <n v="196"/>
    <x v="1"/>
    <n v="120"/>
    <n v="74"/>
    <n v="20.12"/>
    <n v="20.12"/>
    <x v="1"/>
    <n v="75"/>
    <n v="75"/>
    <n v="73"/>
    <n v="73"/>
    <x v="0"/>
    <x v="0"/>
  </r>
  <r>
    <n v="1"/>
    <x v="1"/>
    <n v="58"/>
    <x v="2"/>
    <n v="1"/>
    <n v="1"/>
    <s v="Primary"/>
    <x v="2"/>
    <n v="0"/>
    <n v="0"/>
    <n v="0"/>
    <x v="1"/>
    <n v="0"/>
    <x v="0"/>
    <n v="0"/>
    <n v="0"/>
    <n v="0"/>
    <n v="220"/>
    <n v="220"/>
    <x v="1"/>
    <n v="143"/>
    <n v="104"/>
    <n v="29.85"/>
    <n v="29.85"/>
    <x v="0"/>
    <n v="75"/>
    <n v="75"/>
    <n v="87"/>
    <n v="87"/>
    <x v="0"/>
    <x v="1"/>
  </r>
  <r>
    <n v="0"/>
    <x v="0"/>
    <n v="58"/>
    <x v="2"/>
    <n v="4"/>
    <n v="4"/>
    <s v="Post Graduate"/>
    <x v="3"/>
    <n v="1"/>
    <s v="NA"/>
    <n v="9"/>
    <x v="0"/>
    <n v="0"/>
    <x v="0"/>
    <n v="0"/>
    <n v="1"/>
    <n v="0"/>
    <n v="270"/>
    <n v="270"/>
    <x v="0"/>
    <n v="195"/>
    <n v="117.5"/>
    <n v="23.35"/>
    <n v="23.35"/>
    <x v="1"/>
    <n v="75"/>
    <n v="75"/>
    <s v="NA"/>
    <n v="81.96365524402907"/>
    <x v="0"/>
    <x v="0"/>
  </r>
  <r>
    <n v="0"/>
    <x v="0"/>
    <n v="58"/>
    <x v="2"/>
    <n v="2"/>
    <n v="2"/>
    <s v="Secondary"/>
    <x v="0"/>
    <n v="0"/>
    <n v="0"/>
    <n v="0"/>
    <x v="1"/>
    <n v="0"/>
    <x v="0"/>
    <n v="0"/>
    <n v="1"/>
    <n v="0"/>
    <n v="249"/>
    <n v="249"/>
    <x v="0"/>
    <n v="151"/>
    <n v="97.5"/>
    <n v="22.88"/>
    <n v="22.88"/>
    <x v="1"/>
    <n v="75"/>
    <n v="75"/>
    <n v="84"/>
    <n v="84"/>
    <x v="0"/>
    <x v="0"/>
  </r>
  <r>
    <n v="0"/>
    <x v="0"/>
    <n v="58"/>
    <x v="2"/>
    <n v="2"/>
    <n v="2"/>
    <s v="Secondary"/>
    <x v="0"/>
    <n v="1"/>
    <n v="3"/>
    <n v="3"/>
    <x v="0"/>
    <n v="0"/>
    <x v="0"/>
    <n v="0"/>
    <n v="0"/>
    <n v="0"/>
    <n v="242"/>
    <n v="242"/>
    <x v="0"/>
    <n v="123"/>
    <n v="69"/>
    <n v="23.38"/>
    <n v="23.38"/>
    <x v="1"/>
    <n v="74"/>
    <n v="74"/>
    <n v="72"/>
    <n v="72"/>
    <x v="0"/>
    <x v="0"/>
  </r>
  <r>
    <n v="1"/>
    <x v="1"/>
    <n v="58"/>
    <x v="2"/>
    <n v="2"/>
    <n v="2"/>
    <s v="Secondary"/>
    <x v="0"/>
    <n v="1"/>
    <n v="20"/>
    <n v="20"/>
    <x v="0"/>
    <n v="0"/>
    <x v="0"/>
    <n v="0"/>
    <n v="0"/>
    <n v="0"/>
    <n v="220"/>
    <n v="220"/>
    <x v="1"/>
    <n v="129"/>
    <n v="82"/>
    <n v="26.33"/>
    <n v="26.33"/>
    <x v="0"/>
    <n v="72"/>
    <n v="72"/>
    <n v="80"/>
    <n v="80"/>
    <x v="0"/>
    <x v="1"/>
  </r>
  <r>
    <n v="1"/>
    <x v="1"/>
    <n v="58"/>
    <x v="2"/>
    <n v="1"/>
    <n v="1"/>
    <s v="Primary"/>
    <x v="2"/>
    <n v="1"/>
    <n v="30"/>
    <n v="30"/>
    <x v="0"/>
    <s v="NA"/>
    <x v="0"/>
    <n v="0"/>
    <n v="0"/>
    <n v="0"/>
    <n v="200"/>
    <n v="200"/>
    <x v="1"/>
    <n v="144"/>
    <n v="90"/>
    <n v="24.9"/>
    <n v="24.9"/>
    <x v="1"/>
    <n v="75"/>
    <n v="75"/>
    <n v="76"/>
    <n v="76"/>
    <x v="1"/>
    <x v="0"/>
  </r>
  <r>
    <n v="0"/>
    <x v="0"/>
    <n v="58"/>
    <x v="2"/>
    <n v="1"/>
    <n v="1"/>
    <s v="Primary"/>
    <x v="2"/>
    <n v="1"/>
    <n v="1"/>
    <n v="1"/>
    <x v="0"/>
    <n v="0"/>
    <x v="0"/>
    <n v="0"/>
    <n v="1"/>
    <n v="0"/>
    <n v="289"/>
    <n v="289"/>
    <x v="0"/>
    <n v="156.5"/>
    <n v="85"/>
    <n v="25.46"/>
    <n v="25.46"/>
    <x v="0"/>
    <n v="100"/>
    <n v="100"/>
    <n v="86"/>
    <n v="86"/>
    <x v="0"/>
    <x v="0"/>
  </r>
  <r>
    <n v="0"/>
    <x v="0"/>
    <n v="58"/>
    <x v="2"/>
    <n v="2"/>
    <n v="2"/>
    <s v="Secondary"/>
    <x v="0"/>
    <n v="0"/>
    <n v="0"/>
    <n v="0"/>
    <x v="1"/>
    <n v="0"/>
    <x v="0"/>
    <n v="0"/>
    <n v="1"/>
    <n v="0"/>
    <n v="312"/>
    <n v="312"/>
    <x v="0"/>
    <n v="161"/>
    <n v="100.5"/>
    <n v="21.51"/>
    <n v="21.51"/>
    <x v="1"/>
    <n v="75"/>
    <n v="75"/>
    <n v="64"/>
    <n v="64"/>
    <x v="0"/>
    <x v="1"/>
  </r>
  <r>
    <n v="0"/>
    <x v="0"/>
    <n v="58"/>
    <x v="2"/>
    <n v="1"/>
    <n v="1"/>
    <s v="Primary"/>
    <x v="2"/>
    <n v="0"/>
    <n v="0"/>
    <n v="0"/>
    <x v="1"/>
    <n v="0"/>
    <x v="0"/>
    <n v="0"/>
    <n v="1"/>
    <n v="0"/>
    <n v="223"/>
    <n v="223"/>
    <x v="1"/>
    <n v="146.5"/>
    <n v="77.5"/>
    <n v="21.47"/>
    <n v="21.47"/>
    <x v="1"/>
    <n v="75"/>
    <n v="75"/>
    <n v="85"/>
    <n v="85"/>
    <x v="0"/>
    <x v="0"/>
  </r>
  <r>
    <n v="1"/>
    <x v="1"/>
    <n v="58"/>
    <x v="2"/>
    <n v="2"/>
    <n v="2"/>
    <s v="Secondary"/>
    <x v="0"/>
    <n v="0"/>
    <n v="0"/>
    <n v="0"/>
    <x v="1"/>
    <n v="0"/>
    <x v="0"/>
    <n v="0"/>
    <n v="1"/>
    <n v="0"/>
    <n v="241"/>
    <n v="241"/>
    <x v="0"/>
    <n v="151"/>
    <n v="102"/>
    <n v="26"/>
    <n v="26"/>
    <x v="0"/>
    <n v="65"/>
    <n v="65"/>
    <n v="90"/>
    <n v="90"/>
    <x v="0"/>
    <x v="0"/>
  </r>
  <r>
    <n v="0"/>
    <x v="0"/>
    <n v="58"/>
    <x v="2"/>
    <n v="1"/>
    <n v="1"/>
    <s v="Primary"/>
    <x v="2"/>
    <n v="0"/>
    <n v="0"/>
    <n v="0"/>
    <x v="1"/>
    <n v="0"/>
    <x v="0"/>
    <n v="0"/>
    <n v="0"/>
    <n v="0"/>
    <n v="295"/>
    <n v="295"/>
    <x v="0"/>
    <n v="138"/>
    <n v="78"/>
    <n v="23.45"/>
    <n v="23.45"/>
    <x v="1"/>
    <n v="70"/>
    <n v="70"/>
    <n v="81"/>
    <n v="81"/>
    <x v="0"/>
    <x v="0"/>
  </r>
  <r>
    <n v="0"/>
    <x v="0"/>
    <n v="58"/>
    <x v="2"/>
    <n v="1"/>
    <n v="1"/>
    <s v="Primary"/>
    <x v="2"/>
    <n v="1"/>
    <n v="20"/>
    <n v="20"/>
    <x v="0"/>
    <n v="0"/>
    <x v="0"/>
    <n v="0"/>
    <n v="0"/>
    <n v="0"/>
    <n v="215"/>
    <n v="215"/>
    <x v="1"/>
    <n v="119.5"/>
    <n v="73"/>
    <n v="29.86"/>
    <n v="29.86"/>
    <x v="0"/>
    <n v="67"/>
    <n v="67"/>
    <n v="93"/>
    <n v="93"/>
    <x v="0"/>
    <x v="1"/>
  </r>
  <r>
    <n v="0"/>
    <x v="0"/>
    <n v="58"/>
    <x v="2"/>
    <n v="1"/>
    <n v="1"/>
    <s v="Primary"/>
    <x v="2"/>
    <n v="0"/>
    <n v="0"/>
    <n v="0"/>
    <x v="1"/>
    <n v="0"/>
    <x v="0"/>
    <n v="0"/>
    <n v="0"/>
    <n v="0"/>
    <n v="210"/>
    <n v="210"/>
    <x v="1"/>
    <n v="102"/>
    <n v="60"/>
    <n v="26.98"/>
    <n v="26.98"/>
    <x v="0"/>
    <n v="71"/>
    <n v="71"/>
    <n v="90"/>
    <n v="90"/>
    <x v="0"/>
    <x v="0"/>
  </r>
  <r>
    <n v="0"/>
    <x v="0"/>
    <n v="58"/>
    <x v="2"/>
    <n v="1"/>
    <n v="1"/>
    <s v="Primary"/>
    <x v="2"/>
    <n v="0"/>
    <n v="0"/>
    <n v="0"/>
    <x v="1"/>
    <n v="1"/>
    <x v="1"/>
    <n v="0"/>
    <n v="1"/>
    <n v="1"/>
    <n v="294"/>
    <n v="294"/>
    <x v="0"/>
    <n v="195"/>
    <n v="90"/>
    <n v="27.73"/>
    <n v="27.73"/>
    <x v="0"/>
    <n v="72"/>
    <n v="72"/>
    <n v="127"/>
    <n v="127"/>
    <x v="0"/>
    <x v="0"/>
  </r>
  <r>
    <n v="1"/>
    <x v="1"/>
    <n v="58"/>
    <x v="2"/>
    <n v="1"/>
    <n v="1"/>
    <s v="Primary"/>
    <x v="2"/>
    <n v="1"/>
    <n v="20"/>
    <n v="20"/>
    <x v="0"/>
    <n v="0"/>
    <x v="0"/>
    <n v="0"/>
    <n v="0"/>
    <n v="0"/>
    <n v="184"/>
    <n v="184"/>
    <x v="1"/>
    <n v="127.5"/>
    <n v="70"/>
    <n v="25.62"/>
    <n v="25.62"/>
    <x v="0"/>
    <n v="50"/>
    <n v="50"/>
    <n v="80"/>
    <n v="80"/>
    <x v="0"/>
    <x v="0"/>
  </r>
  <r>
    <n v="0"/>
    <x v="0"/>
    <n v="58"/>
    <x v="2"/>
    <n v="1"/>
    <n v="1"/>
    <s v="Primary"/>
    <x v="2"/>
    <n v="0"/>
    <n v="0"/>
    <n v="0"/>
    <x v="1"/>
    <n v="0"/>
    <x v="0"/>
    <n v="0"/>
    <n v="0"/>
    <n v="0"/>
    <n v="296"/>
    <n v="296"/>
    <x v="0"/>
    <n v="141.5"/>
    <n v="87"/>
    <n v="28.31"/>
    <n v="28.31"/>
    <x v="0"/>
    <n v="75"/>
    <n v="75"/>
    <s v="NA"/>
    <n v="81.96365524402907"/>
    <x v="0"/>
    <x v="0"/>
  </r>
  <r>
    <n v="0"/>
    <x v="0"/>
    <n v="58"/>
    <x v="2"/>
    <n v="2"/>
    <n v="2"/>
    <s v="Secondary"/>
    <x v="0"/>
    <n v="0"/>
    <n v="0"/>
    <n v="0"/>
    <x v="1"/>
    <n v="0"/>
    <x v="0"/>
    <n v="0"/>
    <n v="1"/>
    <n v="1"/>
    <n v="240"/>
    <n v="240"/>
    <x v="1"/>
    <n v="150"/>
    <n v="80"/>
    <n v="26.45"/>
    <n v="26.45"/>
    <x v="0"/>
    <n v="66"/>
    <n v="66"/>
    <n v="255"/>
    <n v="255"/>
    <x v="0"/>
    <x v="1"/>
  </r>
  <r>
    <n v="0"/>
    <x v="0"/>
    <n v="58"/>
    <x v="2"/>
    <n v="3"/>
    <n v="3"/>
    <s v="Graduate"/>
    <x v="1"/>
    <n v="0"/>
    <n v="0"/>
    <n v="0"/>
    <x v="1"/>
    <n v="0"/>
    <x v="0"/>
    <n v="0"/>
    <n v="1"/>
    <n v="0"/>
    <n v="232"/>
    <n v="232"/>
    <x v="1"/>
    <n v="145"/>
    <n v="94"/>
    <n v="26.38"/>
    <n v="26.38"/>
    <x v="0"/>
    <n v="66"/>
    <n v="66"/>
    <n v="80"/>
    <n v="80"/>
    <x v="0"/>
    <x v="0"/>
  </r>
  <r>
    <n v="0"/>
    <x v="0"/>
    <n v="58"/>
    <x v="2"/>
    <n v="1"/>
    <n v="1"/>
    <s v="Primary"/>
    <x v="2"/>
    <n v="0"/>
    <n v="0"/>
    <n v="0"/>
    <x v="1"/>
    <n v="0"/>
    <x v="0"/>
    <n v="0"/>
    <n v="0"/>
    <n v="1"/>
    <n v="260"/>
    <n v="260"/>
    <x v="0"/>
    <n v="85.5"/>
    <n v="51"/>
    <n v="20.76"/>
    <n v="20.76"/>
    <x v="1"/>
    <n v="87"/>
    <n v="87"/>
    <n v="206"/>
    <n v="206"/>
    <x v="0"/>
    <x v="1"/>
  </r>
  <r>
    <n v="0"/>
    <x v="0"/>
    <n v="58"/>
    <x v="2"/>
    <n v="1"/>
    <n v="1"/>
    <s v="Primary"/>
    <x v="2"/>
    <n v="1"/>
    <n v="1"/>
    <n v="1"/>
    <x v="0"/>
    <n v="0"/>
    <x v="0"/>
    <n v="0"/>
    <n v="1"/>
    <n v="0"/>
    <n v="244"/>
    <n v="244"/>
    <x v="0"/>
    <n v="160.5"/>
    <n v="98"/>
    <s v="NA"/>
    <n v="25.80080075811421"/>
    <x v="0"/>
    <n v="86"/>
    <n v="86"/>
    <n v="69"/>
    <n v="69"/>
    <x v="0"/>
    <x v="0"/>
  </r>
  <r>
    <n v="1"/>
    <x v="1"/>
    <n v="58"/>
    <x v="2"/>
    <n v="1"/>
    <n v="1"/>
    <s v="Primary"/>
    <x v="2"/>
    <n v="1"/>
    <n v="20"/>
    <n v="20"/>
    <x v="0"/>
    <n v="0"/>
    <x v="0"/>
    <n v="0"/>
    <n v="0"/>
    <n v="0"/>
    <n v="200"/>
    <n v="200"/>
    <x v="1"/>
    <n v="136"/>
    <n v="88"/>
    <n v="26.25"/>
    <n v="26.25"/>
    <x v="0"/>
    <n v="75"/>
    <n v="75"/>
    <n v="73"/>
    <n v="73"/>
    <x v="0"/>
    <x v="1"/>
  </r>
  <r>
    <n v="0"/>
    <x v="0"/>
    <n v="58"/>
    <x v="2"/>
    <n v="1"/>
    <n v="1"/>
    <s v="Primary"/>
    <x v="2"/>
    <n v="1"/>
    <n v="20"/>
    <n v="20"/>
    <x v="0"/>
    <n v="0"/>
    <x v="0"/>
    <n v="0"/>
    <n v="0"/>
    <n v="0"/>
    <n v="225"/>
    <n v="225"/>
    <x v="1"/>
    <n v="146"/>
    <n v="77"/>
    <n v="24.6"/>
    <n v="24.6"/>
    <x v="1"/>
    <n v="96"/>
    <n v="96"/>
    <n v="53"/>
    <n v="53"/>
    <x v="0"/>
    <x v="0"/>
  </r>
  <r>
    <n v="0"/>
    <x v="0"/>
    <n v="58"/>
    <x v="2"/>
    <n v="1"/>
    <n v="1"/>
    <s v="Primary"/>
    <x v="2"/>
    <n v="1"/>
    <n v="20"/>
    <n v="20"/>
    <x v="0"/>
    <n v="1"/>
    <x v="1"/>
    <n v="0"/>
    <n v="1"/>
    <n v="0"/>
    <n v="156"/>
    <n v="156"/>
    <x v="1"/>
    <n v="170"/>
    <n v="98"/>
    <n v="28.88"/>
    <n v="28.88"/>
    <x v="0"/>
    <n v="72"/>
    <n v="72"/>
    <s v="NA"/>
    <n v="81.96365524402907"/>
    <x v="0"/>
    <x v="1"/>
  </r>
  <r>
    <n v="1"/>
    <x v="1"/>
    <n v="58"/>
    <x v="2"/>
    <n v="2"/>
    <n v="2"/>
    <s v="Secondary"/>
    <x v="0"/>
    <n v="1"/>
    <n v="20"/>
    <n v="20"/>
    <x v="0"/>
    <n v="0"/>
    <x v="0"/>
    <n v="0"/>
    <n v="0"/>
    <n v="0"/>
    <n v="282"/>
    <n v="282"/>
    <x v="0"/>
    <n v="110"/>
    <n v="70"/>
    <n v="26.4"/>
    <n v="26.4"/>
    <x v="0"/>
    <n v="70"/>
    <n v="70"/>
    <s v="NA"/>
    <n v="81.96365524402907"/>
    <x v="0"/>
    <x v="0"/>
  </r>
  <r>
    <n v="0"/>
    <x v="0"/>
    <n v="58"/>
    <x v="2"/>
    <n v="1"/>
    <n v="1"/>
    <s v="Primary"/>
    <x v="2"/>
    <n v="1"/>
    <n v="8"/>
    <n v="8"/>
    <x v="0"/>
    <n v="1"/>
    <x v="1"/>
    <n v="0"/>
    <n v="1"/>
    <n v="0"/>
    <s v="NA"/>
    <n v="236.69952267303103"/>
    <x v="1"/>
    <n v="185"/>
    <n v="105"/>
    <n v="31.18"/>
    <n v="31.18"/>
    <x v="2"/>
    <n v="75"/>
    <n v="75"/>
    <s v="NA"/>
    <n v="81.96365524402907"/>
    <x v="0"/>
    <x v="0"/>
  </r>
  <r>
    <n v="0"/>
    <x v="0"/>
    <n v="58"/>
    <x v="2"/>
    <n v="2"/>
    <n v="2"/>
    <s v="Secondary"/>
    <x v="0"/>
    <n v="0"/>
    <n v="0"/>
    <n v="0"/>
    <x v="1"/>
    <n v="0"/>
    <x v="0"/>
    <n v="0"/>
    <n v="1"/>
    <n v="0"/>
    <n v="200"/>
    <n v="200"/>
    <x v="1"/>
    <n v="177"/>
    <n v="97"/>
    <n v="28.4"/>
    <n v="28.4"/>
    <x v="0"/>
    <n v="86"/>
    <n v="86"/>
    <n v="73"/>
    <n v="73"/>
    <x v="0"/>
    <x v="0"/>
  </r>
  <r>
    <n v="0"/>
    <x v="0"/>
    <n v="58"/>
    <x v="2"/>
    <n v="3"/>
    <n v="3"/>
    <s v="Graduate"/>
    <x v="1"/>
    <n v="0"/>
    <n v="0"/>
    <n v="0"/>
    <x v="1"/>
    <n v="0"/>
    <x v="0"/>
    <n v="0"/>
    <n v="1"/>
    <n v="0"/>
    <s v="NA"/>
    <n v="236.69952267303103"/>
    <x v="1"/>
    <n v="155"/>
    <n v="86"/>
    <n v="22.09"/>
    <n v="22.09"/>
    <x v="1"/>
    <n v="68"/>
    <n v="68"/>
    <s v="NA"/>
    <n v="81.96365524402907"/>
    <x v="0"/>
    <x v="0"/>
  </r>
  <r>
    <n v="0"/>
    <x v="0"/>
    <n v="58"/>
    <x v="2"/>
    <n v="1"/>
    <n v="1"/>
    <s v="Primary"/>
    <x v="2"/>
    <n v="0"/>
    <n v="0"/>
    <n v="0"/>
    <x v="1"/>
    <n v="0"/>
    <x v="0"/>
    <n v="0"/>
    <n v="1"/>
    <n v="0"/>
    <n v="281"/>
    <n v="281"/>
    <x v="0"/>
    <n v="150"/>
    <n v="101"/>
    <n v="36.909999999999997"/>
    <n v="36.909999999999997"/>
    <x v="2"/>
    <n v="72"/>
    <n v="72"/>
    <n v="97"/>
    <n v="97"/>
    <x v="0"/>
    <x v="1"/>
  </r>
  <r>
    <n v="0"/>
    <x v="0"/>
    <n v="58"/>
    <x v="2"/>
    <n v="1"/>
    <n v="1"/>
    <s v="Primary"/>
    <x v="2"/>
    <n v="1"/>
    <n v="20"/>
    <n v="20"/>
    <x v="0"/>
    <n v="0"/>
    <x v="0"/>
    <n v="0"/>
    <n v="1"/>
    <n v="0"/>
    <n v="260"/>
    <n v="260"/>
    <x v="0"/>
    <n v="180"/>
    <n v="100"/>
    <n v="25.56"/>
    <n v="25.56"/>
    <x v="0"/>
    <n v="100"/>
    <n v="100"/>
    <s v="NA"/>
    <n v="81.96365524402907"/>
    <x v="0"/>
    <x v="1"/>
  </r>
  <r>
    <n v="1"/>
    <x v="1"/>
    <n v="58"/>
    <x v="2"/>
    <n v="1"/>
    <n v="1"/>
    <s v="Primary"/>
    <x v="2"/>
    <n v="0"/>
    <n v="0"/>
    <n v="0"/>
    <x v="1"/>
    <n v="0"/>
    <x v="0"/>
    <n v="0"/>
    <n v="0"/>
    <n v="0"/>
    <n v="200"/>
    <n v="200"/>
    <x v="1"/>
    <n v="128"/>
    <n v="83"/>
    <n v="29.63"/>
    <n v="29.63"/>
    <x v="0"/>
    <n v="68"/>
    <n v="68"/>
    <n v="80"/>
    <n v="80"/>
    <x v="0"/>
    <x v="1"/>
  </r>
  <r>
    <n v="1"/>
    <x v="1"/>
    <n v="58"/>
    <x v="2"/>
    <n v="1"/>
    <n v="1"/>
    <s v="Primary"/>
    <x v="2"/>
    <n v="0"/>
    <n v="0"/>
    <n v="0"/>
    <x v="1"/>
    <n v="0"/>
    <x v="0"/>
    <n v="0"/>
    <n v="1"/>
    <n v="1"/>
    <n v="287"/>
    <n v="287"/>
    <x v="0"/>
    <n v="145"/>
    <n v="72.5"/>
    <n v="26.27"/>
    <n v="26.27"/>
    <x v="0"/>
    <n v="88"/>
    <n v="88"/>
    <n v="206"/>
    <n v="206"/>
    <x v="0"/>
    <x v="1"/>
  </r>
  <r>
    <n v="1"/>
    <x v="1"/>
    <n v="58"/>
    <x v="2"/>
    <n v="3"/>
    <n v="3"/>
    <s v="Graduate"/>
    <x v="1"/>
    <n v="0"/>
    <n v="0"/>
    <n v="0"/>
    <x v="1"/>
    <n v="0"/>
    <x v="0"/>
    <n v="0"/>
    <n v="0"/>
    <n v="0"/>
    <n v="189"/>
    <n v="189"/>
    <x v="1"/>
    <n v="136"/>
    <n v="86"/>
    <n v="23.97"/>
    <n v="23.97"/>
    <x v="1"/>
    <n v="71"/>
    <n v="71"/>
    <n v="60"/>
    <n v="60"/>
    <x v="0"/>
    <x v="0"/>
  </r>
  <r>
    <n v="0"/>
    <x v="0"/>
    <n v="58"/>
    <x v="2"/>
    <n v="1"/>
    <n v="1"/>
    <s v="Primary"/>
    <x v="2"/>
    <n v="0"/>
    <n v="0"/>
    <n v="0"/>
    <x v="1"/>
    <n v="1"/>
    <x v="1"/>
    <n v="0"/>
    <n v="1"/>
    <n v="0"/>
    <n v="290"/>
    <n v="290"/>
    <x v="0"/>
    <n v="145"/>
    <n v="88"/>
    <n v="36.65"/>
    <n v="36.65"/>
    <x v="2"/>
    <n v="60"/>
    <n v="60"/>
    <n v="86"/>
    <n v="86"/>
    <x v="0"/>
    <x v="0"/>
  </r>
  <r>
    <n v="1"/>
    <x v="1"/>
    <n v="58"/>
    <x v="2"/>
    <n v="1"/>
    <n v="1"/>
    <s v="Primary"/>
    <x v="2"/>
    <n v="0"/>
    <n v="0"/>
    <n v="0"/>
    <x v="1"/>
    <n v="0"/>
    <x v="0"/>
    <n v="0"/>
    <n v="1"/>
    <n v="0"/>
    <n v="333"/>
    <n v="333"/>
    <x v="0"/>
    <n v="139"/>
    <n v="96"/>
    <n v="28.38"/>
    <n v="28.38"/>
    <x v="0"/>
    <n v="75"/>
    <n v="75"/>
    <n v="78"/>
    <n v="78"/>
    <x v="0"/>
    <x v="0"/>
  </r>
  <r>
    <n v="1"/>
    <x v="1"/>
    <n v="58"/>
    <x v="2"/>
    <n v="4"/>
    <n v="4"/>
    <s v="Post Graduate"/>
    <x v="3"/>
    <n v="1"/>
    <n v="3"/>
    <n v="3"/>
    <x v="0"/>
    <n v="0"/>
    <x v="0"/>
    <n v="0"/>
    <n v="0"/>
    <n v="0"/>
    <n v="290"/>
    <n v="290"/>
    <x v="0"/>
    <n v="116.5"/>
    <n v="83"/>
    <n v="23.27"/>
    <n v="23.27"/>
    <x v="1"/>
    <n v="75"/>
    <n v="75"/>
    <n v="85"/>
    <n v="85"/>
    <x v="0"/>
    <x v="0"/>
  </r>
  <r>
    <n v="0"/>
    <x v="0"/>
    <n v="58"/>
    <x v="2"/>
    <n v="1"/>
    <n v="1"/>
    <s v="Primary"/>
    <x v="2"/>
    <n v="0"/>
    <n v="0"/>
    <n v="0"/>
    <x v="1"/>
    <n v="0"/>
    <x v="0"/>
    <n v="0"/>
    <n v="1"/>
    <n v="0"/>
    <n v="268"/>
    <n v="268"/>
    <x v="0"/>
    <n v="170"/>
    <n v="104"/>
    <n v="24.51"/>
    <n v="24.51"/>
    <x v="1"/>
    <n v="70"/>
    <n v="70"/>
    <n v="75"/>
    <n v="75"/>
    <x v="0"/>
    <x v="0"/>
  </r>
  <r>
    <n v="0"/>
    <x v="0"/>
    <n v="58"/>
    <x v="2"/>
    <n v="3"/>
    <n v="3"/>
    <s v="Graduate"/>
    <x v="1"/>
    <n v="0"/>
    <n v="0"/>
    <n v="0"/>
    <x v="1"/>
    <n v="0"/>
    <x v="0"/>
    <n v="0"/>
    <n v="1"/>
    <n v="0"/>
    <n v="241"/>
    <n v="241"/>
    <x v="0"/>
    <n v="143.5"/>
    <n v="85.5"/>
    <n v="23.96"/>
    <n v="23.96"/>
    <x v="1"/>
    <n v="96"/>
    <n v="96"/>
    <s v="NA"/>
    <n v="81.96365524402907"/>
    <x v="0"/>
    <x v="1"/>
  </r>
  <r>
    <n v="1"/>
    <x v="1"/>
    <n v="58"/>
    <x v="2"/>
    <n v="1"/>
    <n v="1"/>
    <s v="Primary"/>
    <x v="2"/>
    <n v="1"/>
    <n v="15"/>
    <n v="15"/>
    <x v="0"/>
    <n v="0"/>
    <x v="0"/>
    <n v="0"/>
    <n v="0"/>
    <n v="0"/>
    <n v="175"/>
    <n v="175"/>
    <x v="1"/>
    <n v="83.5"/>
    <n v="58"/>
    <n v="29.66"/>
    <n v="29.66"/>
    <x v="0"/>
    <n v="95"/>
    <n v="95"/>
    <n v="115"/>
    <n v="115"/>
    <x v="0"/>
    <x v="0"/>
  </r>
  <r>
    <n v="0"/>
    <x v="0"/>
    <n v="58"/>
    <x v="2"/>
    <n v="2"/>
    <n v="2"/>
    <s v="Secondary"/>
    <x v="0"/>
    <n v="0"/>
    <n v="0"/>
    <n v="0"/>
    <x v="1"/>
    <n v="0"/>
    <x v="0"/>
    <n v="0"/>
    <n v="0"/>
    <n v="0"/>
    <n v="220"/>
    <n v="220"/>
    <x v="1"/>
    <n v="121"/>
    <n v="75"/>
    <n v="25.33"/>
    <n v="25.33"/>
    <x v="0"/>
    <n v="73"/>
    <n v="73"/>
    <n v="76"/>
    <n v="76"/>
    <x v="0"/>
    <x v="0"/>
  </r>
  <r>
    <n v="1"/>
    <x v="1"/>
    <n v="58"/>
    <x v="2"/>
    <n v="2"/>
    <n v="2"/>
    <s v="Secondary"/>
    <x v="0"/>
    <n v="1"/>
    <n v="20"/>
    <n v="20"/>
    <x v="0"/>
    <n v="0"/>
    <x v="0"/>
    <n v="0"/>
    <n v="0"/>
    <n v="0"/>
    <n v="207"/>
    <n v="207"/>
    <x v="1"/>
    <n v="110"/>
    <n v="80"/>
    <n v="23.55"/>
    <n v="23.55"/>
    <x v="1"/>
    <n v="78"/>
    <n v="78"/>
    <n v="78"/>
    <n v="78"/>
    <x v="0"/>
    <x v="0"/>
  </r>
  <r>
    <n v="0"/>
    <x v="0"/>
    <n v="58"/>
    <x v="2"/>
    <n v="1"/>
    <n v="1"/>
    <s v="Primary"/>
    <x v="2"/>
    <n v="0"/>
    <n v="0"/>
    <n v="0"/>
    <x v="1"/>
    <n v="0"/>
    <x v="0"/>
    <n v="0"/>
    <n v="0"/>
    <n v="0"/>
    <n v="282"/>
    <n v="282"/>
    <x v="0"/>
    <n v="143"/>
    <n v="76"/>
    <n v="27.87"/>
    <n v="27.87"/>
    <x v="0"/>
    <n v="79"/>
    <n v="79"/>
    <n v="92"/>
    <n v="92"/>
    <x v="0"/>
    <x v="0"/>
  </r>
  <r>
    <n v="1"/>
    <x v="1"/>
    <n v="58"/>
    <x v="2"/>
    <n v="1"/>
    <n v="1"/>
    <s v="Primary"/>
    <x v="2"/>
    <n v="1"/>
    <n v="15"/>
    <n v="15"/>
    <x v="0"/>
    <n v="0"/>
    <x v="0"/>
    <n v="0"/>
    <n v="0"/>
    <n v="0"/>
    <n v="264"/>
    <n v="264"/>
    <x v="0"/>
    <n v="156"/>
    <n v="86"/>
    <n v="26.05"/>
    <n v="26.05"/>
    <x v="0"/>
    <n v="92"/>
    <n v="92"/>
    <n v="103"/>
    <n v="103"/>
    <x v="0"/>
    <x v="1"/>
  </r>
  <r>
    <n v="0"/>
    <x v="0"/>
    <n v="58"/>
    <x v="2"/>
    <n v="2"/>
    <n v="2"/>
    <s v="Secondary"/>
    <x v="0"/>
    <n v="1"/>
    <n v="20"/>
    <n v="20"/>
    <x v="0"/>
    <n v="0"/>
    <x v="0"/>
    <n v="0"/>
    <n v="1"/>
    <n v="0"/>
    <n v="231"/>
    <n v="231"/>
    <x v="1"/>
    <n v="165"/>
    <n v="94.5"/>
    <n v="27.02"/>
    <n v="27.02"/>
    <x v="0"/>
    <n v="100"/>
    <n v="100"/>
    <n v="80"/>
    <n v="80"/>
    <x v="0"/>
    <x v="0"/>
  </r>
  <r>
    <n v="1"/>
    <x v="1"/>
    <n v="58"/>
    <x v="2"/>
    <n v="1"/>
    <n v="1"/>
    <s v="Primary"/>
    <x v="2"/>
    <n v="0"/>
    <n v="0"/>
    <n v="0"/>
    <x v="1"/>
    <n v="0"/>
    <x v="0"/>
    <n v="0"/>
    <n v="1"/>
    <n v="0"/>
    <n v="279"/>
    <n v="279"/>
    <x v="0"/>
    <n v="181"/>
    <n v="74"/>
    <n v="22.49"/>
    <n v="22.49"/>
    <x v="1"/>
    <n v="66"/>
    <n v="66"/>
    <n v="65"/>
    <n v="65"/>
    <x v="0"/>
    <x v="0"/>
  </r>
  <r>
    <n v="1"/>
    <x v="1"/>
    <n v="58"/>
    <x v="2"/>
    <n v="2"/>
    <n v="2"/>
    <s v="Secondary"/>
    <x v="0"/>
    <n v="1"/>
    <n v="20"/>
    <n v="20"/>
    <x v="0"/>
    <n v="0"/>
    <x v="0"/>
    <n v="0"/>
    <n v="0"/>
    <n v="0"/>
    <n v="255"/>
    <n v="255"/>
    <x v="0"/>
    <n v="136"/>
    <n v="85.5"/>
    <n v="25.33"/>
    <n v="25.33"/>
    <x v="0"/>
    <n v="82"/>
    <n v="82"/>
    <n v="62"/>
    <n v="62"/>
    <x v="0"/>
    <x v="0"/>
  </r>
  <r>
    <n v="1"/>
    <x v="1"/>
    <n v="58"/>
    <x v="2"/>
    <n v="1"/>
    <n v="1"/>
    <s v="Primary"/>
    <x v="2"/>
    <n v="1"/>
    <n v="40"/>
    <n v="40"/>
    <x v="0"/>
    <n v="0"/>
    <x v="0"/>
    <n v="0"/>
    <n v="1"/>
    <n v="0"/>
    <n v="231"/>
    <n v="231"/>
    <x v="1"/>
    <n v="171"/>
    <n v="95"/>
    <n v="26.11"/>
    <n v="26.11"/>
    <x v="0"/>
    <n v="85"/>
    <n v="85"/>
    <n v="77"/>
    <n v="77"/>
    <x v="0"/>
    <x v="1"/>
  </r>
  <r>
    <n v="1"/>
    <x v="1"/>
    <n v="58"/>
    <x v="2"/>
    <n v="1"/>
    <n v="1"/>
    <s v="Primary"/>
    <x v="2"/>
    <n v="1"/>
    <n v="20"/>
    <n v="20"/>
    <x v="0"/>
    <n v="0"/>
    <x v="0"/>
    <n v="0"/>
    <n v="1"/>
    <n v="0"/>
    <n v="241"/>
    <n v="241"/>
    <x v="0"/>
    <n v="152.5"/>
    <n v="105"/>
    <n v="25.18"/>
    <n v="25.18"/>
    <x v="0"/>
    <n v="92"/>
    <n v="92"/>
    <n v="85"/>
    <n v="85"/>
    <x v="0"/>
    <x v="0"/>
  </r>
  <r>
    <n v="0"/>
    <x v="0"/>
    <n v="58"/>
    <x v="2"/>
    <n v="1"/>
    <n v="1"/>
    <s v="Primary"/>
    <x v="2"/>
    <n v="1"/>
    <n v="5"/>
    <n v="5"/>
    <x v="0"/>
    <n v="0"/>
    <x v="0"/>
    <n v="0"/>
    <n v="1"/>
    <n v="0"/>
    <n v="240"/>
    <n v="240"/>
    <x v="1"/>
    <n v="150"/>
    <n v="84"/>
    <n v="26.85"/>
    <n v="26.85"/>
    <x v="0"/>
    <n v="75"/>
    <n v="75"/>
    <n v="94"/>
    <n v="94"/>
    <x v="0"/>
    <x v="1"/>
  </r>
  <r>
    <n v="1"/>
    <x v="1"/>
    <n v="58"/>
    <x v="2"/>
    <n v="1"/>
    <n v="1"/>
    <s v="Primary"/>
    <x v="2"/>
    <n v="0"/>
    <n v="0"/>
    <n v="0"/>
    <x v="1"/>
    <n v="0"/>
    <x v="0"/>
    <n v="0"/>
    <n v="1"/>
    <n v="0"/>
    <n v="239"/>
    <n v="239"/>
    <x v="1"/>
    <n v="147"/>
    <n v="98"/>
    <n v="26.51"/>
    <n v="26.51"/>
    <x v="0"/>
    <n v="65"/>
    <n v="65"/>
    <n v="68"/>
    <n v="68"/>
    <x v="0"/>
    <x v="0"/>
  </r>
  <r>
    <n v="0"/>
    <x v="0"/>
    <n v="58"/>
    <x v="2"/>
    <n v="1"/>
    <n v="1"/>
    <s v="Primary"/>
    <x v="2"/>
    <n v="0"/>
    <n v="0"/>
    <n v="0"/>
    <x v="1"/>
    <n v="1"/>
    <x v="1"/>
    <n v="1"/>
    <n v="1"/>
    <n v="0"/>
    <n v="274"/>
    <n v="274"/>
    <x v="0"/>
    <n v="159"/>
    <n v="90"/>
    <n v="28.4"/>
    <n v="28.4"/>
    <x v="0"/>
    <n v="72"/>
    <n v="72"/>
    <n v="81"/>
    <n v="81"/>
    <x v="0"/>
    <x v="0"/>
  </r>
  <r>
    <n v="0"/>
    <x v="0"/>
    <n v="58"/>
    <x v="2"/>
    <n v="1"/>
    <n v="1"/>
    <s v="Primary"/>
    <x v="2"/>
    <n v="1"/>
    <n v="15"/>
    <n v="15"/>
    <x v="0"/>
    <n v="0"/>
    <x v="0"/>
    <n v="0"/>
    <n v="1"/>
    <n v="0"/>
    <n v="275"/>
    <n v="275"/>
    <x v="0"/>
    <n v="140"/>
    <n v="78"/>
    <n v="19.18"/>
    <n v="19.18"/>
    <x v="1"/>
    <n v="78"/>
    <n v="78"/>
    <n v="74"/>
    <n v="74"/>
    <x v="0"/>
    <x v="1"/>
  </r>
  <r>
    <n v="0"/>
    <x v="0"/>
    <n v="58"/>
    <x v="2"/>
    <n v="2"/>
    <n v="2"/>
    <s v="Secondary"/>
    <x v="0"/>
    <n v="0"/>
    <n v="0"/>
    <n v="0"/>
    <x v="1"/>
    <n v="0"/>
    <x v="0"/>
    <n v="0"/>
    <n v="1"/>
    <n v="0"/>
    <n v="200"/>
    <n v="200"/>
    <x v="1"/>
    <n v="161"/>
    <n v="96"/>
    <n v="25.02"/>
    <n v="25.02"/>
    <x v="0"/>
    <n v="80"/>
    <n v="80"/>
    <s v="NA"/>
    <n v="81.96365524402907"/>
    <x v="0"/>
    <x v="0"/>
  </r>
  <r>
    <n v="1"/>
    <x v="1"/>
    <n v="58"/>
    <x v="2"/>
    <n v="2"/>
    <n v="2"/>
    <s v="Secondary"/>
    <x v="0"/>
    <n v="1"/>
    <n v="3"/>
    <n v="3"/>
    <x v="0"/>
    <n v="0"/>
    <x v="0"/>
    <n v="0"/>
    <n v="0"/>
    <n v="0"/>
    <n v="187"/>
    <n v="187"/>
    <x v="1"/>
    <n v="136.5"/>
    <n v="84"/>
    <n v="25.08"/>
    <n v="25.08"/>
    <x v="0"/>
    <n v="63"/>
    <n v="63"/>
    <n v="68"/>
    <n v="68"/>
    <x v="0"/>
    <x v="0"/>
  </r>
  <r>
    <n v="1"/>
    <x v="1"/>
    <n v="58"/>
    <x v="2"/>
    <n v="2"/>
    <n v="2"/>
    <s v="Secondary"/>
    <x v="0"/>
    <n v="0"/>
    <n v="0"/>
    <n v="0"/>
    <x v="1"/>
    <n v="0"/>
    <x v="0"/>
    <n v="0"/>
    <n v="0"/>
    <n v="0"/>
    <n v="225"/>
    <n v="225"/>
    <x v="1"/>
    <n v="105.5"/>
    <n v="74"/>
    <n v="25.68"/>
    <n v="25.68"/>
    <x v="0"/>
    <n v="50"/>
    <n v="50"/>
    <n v="93"/>
    <n v="93"/>
    <x v="0"/>
    <x v="0"/>
  </r>
  <r>
    <n v="1"/>
    <x v="1"/>
    <n v="58"/>
    <x v="2"/>
    <n v="3"/>
    <n v="3"/>
    <s v="Graduate"/>
    <x v="1"/>
    <n v="1"/>
    <n v="30"/>
    <n v="30"/>
    <x v="0"/>
    <n v="0"/>
    <x v="0"/>
    <n v="0"/>
    <n v="0"/>
    <n v="0"/>
    <n v="200"/>
    <n v="200"/>
    <x v="1"/>
    <n v="112"/>
    <n v="74.5"/>
    <n v="23.37"/>
    <n v="23.37"/>
    <x v="1"/>
    <n v="75"/>
    <n v="75"/>
    <n v="62"/>
    <n v="62"/>
    <x v="0"/>
    <x v="0"/>
  </r>
  <r>
    <n v="1"/>
    <x v="1"/>
    <n v="58"/>
    <x v="2"/>
    <n v="2"/>
    <n v="2"/>
    <s v="Secondary"/>
    <x v="0"/>
    <n v="1"/>
    <s v="NA"/>
    <n v="9"/>
    <x v="0"/>
    <n v="0"/>
    <x v="0"/>
    <n v="0"/>
    <n v="0"/>
    <n v="0"/>
    <n v="235"/>
    <n v="235"/>
    <x v="1"/>
    <n v="127.5"/>
    <n v="76"/>
    <n v="21.02"/>
    <n v="21.02"/>
    <x v="1"/>
    <n v="81"/>
    <n v="81"/>
    <n v="135"/>
    <n v="135"/>
    <x v="0"/>
    <x v="0"/>
  </r>
  <r>
    <n v="0"/>
    <x v="0"/>
    <n v="58"/>
    <x v="2"/>
    <n v="2"/>
    <n v="2"/>
    <s v="Secondary"/>
    <x v="0"/>
    <n v="0"/>
    <n v="0"/>
    <n v="0"/>
    <x v="1"/>
    <n v="0"/>
    <x v="0"/>
    <n v="0"/>
    <n v="1"/>
    <n v="1"/>
    <n v="265"/>
    <n v="265"/>
    <x v="0"/>
    <n v="143.5"/>
    <n v="85"/>
    <n v="21.68"/>
    <n v="21.68"/>
    <x v="1"/>
    <n v="91"/>
    <n v="91"/>
    <n v="107"/>
    <n v="107"/>
    <x v="0"/>
    <x v="0"/>
  </r>
  <r>
    <n v="0"/>
    <x v="0"/>
    <n v="58"/>
    <x v="2"/>
    <n v="2"/>
    <n v="2"/>
    <s v="Secondary"/>
    <x v="0"/>
    <n v="1"/>
    <n v="10"/>
    <n v="10"/>
    <x v="0"/>
    <n v="0"/>
    <x v="0"/>
    <n v="0"/>
    <n v="0"/>
    <n v="0"/>
    <n v="226"/>
    <n v="226"/>
    <x v="1"/>
    <n v="125"/>
    <n v="75"/>
    <n v="24"/>
    <n v="24"/>
    <x v="1"/>
    <n v="75"/>
    <n v="75"/>
    <n v="73"/>
    <n v="73"/>
    <x v="0"/>
    <x v="0"/>
  </r>
  <r>
    <n v="1"/>
    <x v="1"/>
    <n v="58"/>
    <x v="2"/>
    <n v="4"/>
    <n v="4"/>
    <s v="Post Graduate"/>
    <x v="3"/>
    <n v="1"/>
    <n v="9"/>
    <n v="9"/>
    <x v="0"/>
    <n v="0"/>
    <x v="0"/>
    <n v="0"/>
    <n v="0"/>
    <n v="0"/>
    <n v="229"/>
    <n v="229"/>
    <x v="1"/>
    <n v="140"/>
    <n v="89.5"/>
    <n v="25.96"/>
    <n v="25.96"/>
    <x v="0"/>
    <n v="80"/>
    <n v="80"/>
    <n v="83"/>
    <n v="83"/>
    <x v="0"/>
    <x v="0"/>
  </r>
  <r>
    <n v="0"/>
    <x v="0"/>
    <n v="58"/>
    <x v="2"/>
    <n v="1"/>
    <n v="1"/>
    <s v="Primary"/>
    <x v="2"/>
    <n v="0"/>
    <n v="0"/>
    <n v="0"/>
    <x v="1"/>
    <n v="0"/>
    <x v="0"/>
    <n v="0"/>
    <n v="1"/>
    <n v="0"/>
    <n v="241"/>
    <n v="241"/>
    <x v="0"/>
    <n v="153"/>
    <n v="106"/>
    <n v="26.94"/>
    <n v="26.94"/>
    <x v="0"/>
    <n v="98"/>
    <n v="98"/>
    <n v="84"/>
    <n v="84"/>
    <x v="0"/>
    <x v="0"/>
  </r>
  <r>
    <n v="0"/>
    <x v="0"/>
    <n v="58"/>
    <x v="2"/>
    <n v="1"/>
    <n v="1"/>
    <s v="Primary"/>
    <x v="2"/>
    <n v="1"/>
    <n v="2"/>
    <n v="2"/>
    <x v="0"/>
    <n v="0"/>
    <x v="0"/>
    <n v="0"/>
    <n v="0"/>
    <n v="0"/>
    <n v="271"/>
    <n v="271"/>
    <x v="0"/>
    <n v="146"/>
    <n v="92"/>
    <n v="23.07"/>
    <n v="23.07"/>
    <x v="1"/>
    <n v="75"/>
    <n v="75"/>
    <n v="83"/>
    <n v="83"/>
    <x v="0"/>
    <x v="1"/>
  </r>
  <r>
    <n v="0"/>
    <x v="0"/>
    <n v="58"/>
    <x v="2"/>
    <n v="2"/>
    <n v="2"/>
    <s v="Secondary"/>
    <x v="0"/>
    <n v="1"/>
    <n v="20"/>
    <n v="20"/>
    <x v="0"/>
    <n v="0"/>
    <x v="0"/>
    <n v="0"/>
    <n v="1"/>
    <n v="0"/>
    <n v="206"/>
    <n v="206"/>
    <x v="1"/>
    <n v="159.5"/>
    <n v="93.5"/>
    <n v="18.53"/>
    <n v="18.53"/>
    <x v="1"/>
    <n v="75"/>
    <n v="75"/>
    <n v="58"/>
    <n v="58"/>
    <x v="0"/>
    <x v="0"/>
  </r>
  <r>
    <n v="1"/>
    <x v="1"/>
    <n v="58"/>
    <x v="2"/>
    <n v="2"/>
    <n v="2"/>
    <s v="Secondary"/>
    <x v="0"/>
    <n v="0"/>
    <n v="0"/>
    <n v="0"/>
    <x v="1"/>
    <n v="0"/>
    <x v="0"/>
    <n v="0"/>
    <n v="1"/>
    <n v="0"/>
    <n v="149"/>
    <n v="149"/>
    <x v="1"/>
    <n v="98"/>
    <n v="60"/>
    <n v="24.73"/>
    <n v="24.73"/>
    <x v="1"/>
    <n v="105"/>
    <n v="105"/>
    <n v="71"/>
    <n v="71"/>
    <x v="0"/>
    <x v="1"/>
  </r>
  <r>
    <n v="1"/>
    <x v="1"/>
    <n v="58"/>
    <x v="2"/>
    <n v="4"/>
    <n v="4"/>
    <s v="Post Graduate"/>
    <x v="3"/>
    <n v="0"/>
    <n v="0"/>
    <n v="0"/>
    <x v="1"/>
    <n v="0"/>
    <x v="0"/>
    <n v="0"/>
    <n v="1"/>
    <n v="0"/>
    <n v="320"/>
    <n v="320"/>
    <x v="0"/>
    <n v="139"/>
    <n v="81.5"/>
    <n v="23.65"/>
    <n v="23.65"/>
    <x v="1"/>
    <n v="80"/>
    <n v="80"/>
    <n v="82"/>
    <n v="82"/>
    <x v="0"/>
    <x v="1"/>
  </r>
  <r>
    <n v="0"/>
    <x v="0"/>
    <n v="58"/>
    <x v="2"/>
    <n v="1"/>
    <n v="1"/>
    <s v="Primary"/>
    <x v="2"/>
    <n v="0"/>
    <n v="0"/>
    <n v="0"/>
    <x v="1"/>
    <n v="0"/>
    <x v="0"/>
    <n v="0"/>
    <n v="0"/>
    <n v="0"/>
    <n v="292"/>
    <n v="292"/>
    <x v="0"/>
    <n v="110"/>
    <n v="83"/>
    <n v="26.98"/>
    <n v="26.98"/>
    <x v="0"/>
    <n v="65"/>
    <n v="65"/>
    <n v="73"/>
    <n v="73"/>
    <x v="0"/>
    <x v="0"/>
  </r>
  <r>
    <n v="0"/>
    <x v="0"/>
    <n v="58"/>
    <x v="2"/>
    <n v="1"/>
    <n v="1"/>
    <s v="Primary"/>
    <x v="2"/>
    <n v="1"/>
    <n v="10"/>
    <n v="10"/>
    <x v="0"/>
    <n v="0"/>
    <x v="0"/>
    <n v="0"/>
    <n v="1"/>
    <n v="0"/>
    <n v="252"/>
    <n v="252"/>
    <x v="0"/>
    <n v="135"/>
    <n v="84"/>
    <n v="28.24"/>
    <n v="28.24"/>
    <x v="0"/>
    <n v="85"/>
    <n v="85"/>
    <n v="79"/>
    <n v="79"/>
    <x v="0"/>
    <x v="0"/>
  </r>
  <r>
    <n v="1"/>
    <x v="1"/>
    <n v="58"/>
    <x v="2"/>
    <n v="3"/>
    <n v="3"/>
    <s v="Graduate"/>
    <x v="1"/>
    <n v="0"/>
    <n v="0"/>
    <n v="0"/>
    <x v="1"/>
    <n v="0"/>
    <x v="0"/>
    <n v="0"/>
    <n v="0"/>
    <n v="0"/>
    <n v="250"/>
    <n v="250"/>
    <x v="0"/>
    <n v="109"/>
    <n v="78.5"/>
    <n v="25.26"/>
    <n v="25.26"/>
    <x v="0"/>
    <n v="90"/>
    <n v="90"/>
    <n v="83"/>
    <n v="83"/>
    <x v="0"/>
    <x v="0"/>
  </r>
  <r>
    <n v="0"/>
    <x v="0"/>
    <n v="58"/>
    <x v="2"/>
    <n v="1"/>
    <n v="1"/>
    <s v="Primary"/>
    <x v="2"/>
    <n v="0"/>
    <n v="0"/>
    <n v="0"/>
    <x v="1"/>
    <n v="0"/>
    <x v="0"/>
    <n v="0"/>
    <n v="0"/>
    <n v="0"/>
    <n v="240"/>
    <n v="240"/>
    <x v="1"/>
    <n v="126"/>
    <n v="52"/>
    <n v="25.66"/>
    <n v="25.66"/>
    <x v="0"/>
    <n v="75"/>
    <n v="75"/>
    <n v="63"/>
    <n v="63"/>
    <x v="0"/>
    <x v="0"/>
  </r>
  <r>
    <n v="1"/>
    <x v="1"/>
    <n v="58"/>
    <x v="2"/>
    <n v="3"/>
    <n v="3"/>
    <s v="Graduate"/>
    <x v="1"/>
    <n v="0"/>
    <n v="0"/>
    <n v="0"/>
    <x v="1"/>
    <n v="1"/>
    <x v="1"/>
    <n v="1"/>
    <n v="1"/>
    <n v="0"/>
    <n v="241"/>
    <n v="241"/>
    <x v="0"/>
    <n v="164"/>
    <n v="97"/>
    <n v="32.18"/>
    <n v="32.18"/>
    <x v="2"/>
    <n v="65"/>
    <n v="65"/>
    <n v="54"/>
    <n v="54"/>
    <x v="0"/>
    <x v="0"/>
  </r>
  <r>
    <n v="1"/>
    <x v="1"/>
    <n v="58"/>
    <x v="2"/>
    <n v="1"/>
    <n v="1"/>
    <s v="Primary"/>
    <x v="2"/>
    <n v="1"/>
    <n v="20"/>
    <n v="20"/>
    <x v="0"/>
    <n v="0"/>
    <x v="0"/>
    <n v="0"/>
    <n v="0"/>
    <n v="0"/>
    <n v="290"/>
    <n v="290"/>
    <x v="0"/>
    <n v="124"/>
    <n v="76"/>
    <n v="21.65"/>
    <n v="21.65"/>
    <x v="1"/>
    <n v="63"/>
    <n v="63"/>
    <n v="81"/>
    <n v="81"/>
    <x v="0"/>
    <x v="0"/>
  </r>
  <r>
    <n v="0"/>
    <x v="0"/>
    <n v="58"/>
    <x v="2"/>
    <n v="2"/>
    <n v="2"/>
    <s v="Secondary"/>
    <x v="0"/>
    <n v="0"/>
    <n v="0"/>
    <n v="0"/>
    <x v="1"/>
    <n v="0"/>
    <x v="0"/>
    <n v="0"/>
    <n v="1"/>
    <n v="0"/>
    <n v="345"/>
    <n v="345"/>
    <x v="0"/>
    <n v="188"/>
    <n v="102"/>
    <n v="28.89"/>
    <n v="28.89"/>
    <x v="0"/>
    <n v="95"/>
    <n v="95"/>
    <s v="NA"/>
    <n v="81.96365524402907"/>
    <x v="0"/>
    <x v="0"/>
  </r>
  <r>
    <n v="1"/>
    <x v="1"/>
    <n v="58"/>
    <x v="2"/>
    <n v="2"/>
    <n v="2"/>
    <s v="Secondary"/>
    <x v="0"/>
    <n v="0"/>
    <n v="0"/>
    <n v="0"/>
    <x v="1"/>
    <n v="0"/>
    <x v="0"/>
    <n v="0"/>
    <n v="1"/>
    <n v="0"/>
    <n v="230"/>
    <n v="230"/>
    <x v="1"/>
    <n v="128"/>
    <n v="88"/>
    <n v="25.98"/>
    <n v="25.98"/>
    <x v="0"/>
    <n v="75"/>
    <n v="75"/>
    <n v="58"/>
    <n v="58"/>
    <x v="0"/>
    <x v="0"/>
  </r>
  <r>
    <n v="0"/>
    <x v="0"/>
    <n v="58"/>
    <x v="2"/>
    <n v="1"/>
    <n v="1"/>
    <s v="Primary"/>
    <x v="2"/>
    <n v="0"/>
    <n v="0"/>
    <n v="0"/>
    <x v="1"/>
    <n v="0"/>
    <x v="0"/>
    <n v="0"/>
    <n v="1"/>
    <n v="0"/>
    <n v="385"/>
    <n v="385"/>
    <x v="0"/>
    <n v="165"/>
    <n v="95"/>
    <n v="41.66"/>
    <n v="41.66"/>
    <x v="2"/>
    <n v="82"/>
    <n v="82"/>
    <n v="91"/>
    <n v="91"/>
    <x v="0"/>
    <x v="0"/>
  </r>
  <r>
    <n v="0"/>
    <x v="0"/>
    <n v="58"/>
    <x v="2"/>
    <n v="2"/>
    <n v="2"/>
    <s v="Secondary"/>
    <x v="0"/>
    <n v="0"/>
    <n v="0"/>
    <n v="0"/>
    <x v="1"/>
    <n v="0"/>
    <x v="0"/>
    <n v="0"/>
    <n v="1"/>
    <n v="0"/>
    <n v="166"/>
    <n v="166"/>
    <x v="1"/>
    <n v="185.5"/>
    <n v="115.5"/>
    <n v="27.97"/>
    <n v="27.97"/>
    <x v="0"/>
    <n v="100"/>
    <n v="100"/>
    <n v="85"/>
    <n v="85"/>
    <x v="0"/>
    <x v="0"/>
  </r>
  <r>
    <n v="0"/>
    <x v="0"/>
    <n v="58"/>
    <x v="2"/>
    <n v="1"/>
    <n v="1"/>
    <s v="Primary"/>
    <x v="2"/>
    <n v="0"/>
    <n v="0"/>
    <n v="0"/>
    <x v="1"/>
    <n v="0"/>
    <x v="0"/>
    <n v="0"/>
    <n v="1"/>
    <n v="0"/>
    <n v="239"/>
    <n v="239"/>
    <x v="1"/>
    <n v="121"/>
    <n v="81"/>
    <n v="35.19"/>
    <n v="35.19"/>
    <x v="2"/>
    <n v="58"/>
    <n v="58"/>
    <n v="70"/>
    <n v="70"/>
    <x v="0"/>
    <x v="0"/>
  </r>
  <r>
    <n v="1"/>
    <x v="1"/>
    <n v="58"/>
    <x v="2"/>
    <n v="4"/>
    <n v="4"/>
    <s v="Post Graduate"/>
    <x v="3"/>
    <n v="0"/>
    <n v="0"/>
    <n v="0"/>
    <x v="1"/>
    <n v="0"/>
    <x v="0"/>
    <n v="0"/>
    <n v="1"/>
    <n v="0"/>
    <n v="223"/>
    <n v="223"/>
    <x v="1"/>
    <n v="154.5"/>
    <n v="88"/>
    <n v="27.91"/>
    <n v="27.91"/>
    <x v="0"/>
    <n v="69"/>
    <n v="69"/>
    <n v="81"/>
    <n v="81"/>
    <x v="0"/>
    <x v="0"/>
  </r>
  <r>
    <n v="1"/>
    <x v="1"/>
    <n v="58"/>
    <x v="2"/>
    <n v="1"/>
    <n v="1"/>
    <s v="Primary"/>
    <x v="2"/>
    <n v="0"/>
    <n v="0"/>
    <n v="0"/>
    <x v="1"/>
    <n v="0"/>
    <x v="0"/>
    <n v="0"/>
    <n v="0"/>
    <n v="0"/>
    <s v="NA"/>
    <n v="236.69952267303103"/>
    <x v="1"/>
    <n v="116.5"/>
    <n v="71"/>
    <n v="27.04"/>
    <n v="27.04"/>
    <x v="0"/>
    <n v="70"/>
    <n v="70"/>
    <n v="86"/>
    <n v="86"/>
    <x v="0"/>
    <x v="0"/>
  </r>
  <r>
    <n v="1"/>
    <x v="1"/>
    <n v="58"/>
    <x v="2"/>
    <n v="1"/>
    <n v="1"/>
    <s v="Primary"/>
    <x v="2"/>
    <n v="0"/>
    <n v="0"/>
    <n v="0"/>
    <x v="1"/>
    <n v="0"/>
    <x v="0"/>
    <n v="0"/>
    <n v="0"/>
    <n v="0"/>
    <n v="233"/>
    <n v="233"/>
    <x v="1"/>
    <n v="125.5"/>
    <n v="84"/>
    <n v="26.05"/>
    <n v="26.05"/>
    <x v="0"/>
    <n v="67"/>
    <n v="67"/>
    <n v="76"/>
    <n v="76"/>
    <x v="0"/>
    <x v="1"/>
  </r>
  <r>
    <n v="1"/>
    <x v="1"/>
    <n v="58"/>
    <x v="2"/>
    <n v="3"/>
    <n v="3"/>
    <s v="Graduate"/>
    <x v="1"/>
    <n v="0"/>
    <n v="0"/>
    <n v="0"/>
    <x v="1"/>
    <n v="0"/>
    <x v="0"/>
    <n v="0"/>
    <n v="1"/>
    <n v="0"/>
    <n v="187"/>
    <n v="187"/>
    <x v="1"/>
    <n v="141"/>
    <n v="81"/>
    <n v="24.96"/>
    <n v="24.96"/>
    <x v="1"/>
    <n v="80"/>
    <n v="80"/>
    <n v="81"/>
    <n v="81"/>
    <x v="0"/>
    <x v="0"/>
  </r>
  <r>
    <n v="0"/>
    <x v="0"/>
    <n v="59"/>
    <x v="2"/>
    <n v="1"/>
    <n v="1"/>
    <s v="Primary"/>
    <x v="2"/>
    <n v="0"/>
    <n v="0"/>
    <n v="0"/>
    <x v="1"/>
    <n v="0"/>
    <x v="0"/>
    <n v="0"/>
    <n v="1"/>
    <n v="0"/>
    <n v="209"/>
    <n v="209"/>
    <x v="1"/>
    <n v="150"/>
    <n v="85"/>
    <n v="20.77"/>
    <n v="20.77"/>
    <x v="1"/>
    <n v="90"/>
    <n v="90"/>
    <n v="88"/>
    <n v="88"/>
    <x v="0"/>
    <x v="1"/>
  </r>
  <r>
    <n v="0"/>
    <x v="0"/>
    <n v="59"/>
    <x v="2"/>
    <n v="1"/>
    <n v="1"/>
    <s v="Primary"/>
    <x v="2"/>
    <n v="0"/>
    <n v="0"/>
    <n v="0"/>
    <x v="1"/>
    <n v="0"/>
    <x v="0"/>
    <n v="0"/>
    <n v="1"/>
    <n v="0"/>
    <n v="258"/>
    <n v="258"/>
    <x v="0"/>
    <n v="138.5"/>
    <n v="85"/>
    <n v="34.549999999999997"/>
    <n v="34.549999999999997"/>
    <x v="2"/>
    <n v="65"/>
    <n v="65"/>
    <n v="103"/>
    <n v="103"/>
    <x v="0"/>
    <x v="1"/>
  </r>
  <r>
    <n v="1"/>
    <x v="1"/>
    <n v="59"/>
    <x v="2"/>
    <n v="2"/>
    <n v="2"/>
    <s v="Secondary"/>
    <x v="0"/>
    <n v="1"/>
    <n v="30"/>
    <n v="30"/>
    <x v="0"/>
    <n v="0"/>
    <x v="0"/>
    <n v="0"/>
    <n v="0"/>
    <n v="0"/>
    <n v="303"/>
    <n v="303"/>
    <x v="0"/>
    <n v="134"/>
    <n v="89"/>
    <n v="24.07"/>
    <n v="24.07"/>
    <x v="1"/>
    <n v="78"/>
    <n v="78"/>
    <n v="75"/>
    <n v="75"/>
    <x v="0"/>
    <x v="0"/>
  </r>
  <r>
    <n v="0"/>
    <x v="0"/>
    <n v="59"/>
    <x v="2"/>
    <n v="1"/>
    <n v="1"/>
    <s v="Primary"/>
    <x v="2"/>
    <n v="1"/>
    <n v="1"/>
    <n v="1"/>
    <x v="0"/>
    <n v="0"/>
    <x v="0"/>
    <n v="0"/>
    <n v="1"/>
    <n v="0"/>
    <n v="259"/>
    <n v="259"/>
    <x v="0"/>
    <n v="141"/>
    <n v="86"/>
    <n v="25.97"/>
    <n v="25.97"/>
    <x v="0"/>
    <n v="70"/>
    <n v="70"/>
    <n v="86"/>
    <n v="86"/>
    <x v="0"/>
    <x v="0"/>
  </r>
  <r>
    <n v="0"/>
    <x v="0"/>
    <n v="59"/>
    <x v="2"/>
    <n v="2"/>
    <n v="2"/>
    <s v="Secondary"/>
    <x v="0"/>
    <n v="0"/>
    <n v="0"/>
    <n v="0"/>
    <x v="1"/>
    <n v="0"/>
    <x v="0"/>
    <n v="0"/>
    <n v="0"/>
    <n v="0"/>
    <n v="310"/>
    <n v="310"/>
    <x v="0"/>
    <n v="129"/>
    <n v="70"/>
    <n v="23.29"/>
    <n v="23.29"/>
    <x v="1"/>
    <n v="80"/>
    <n v="80"/>
    <n v="70"/>
    <n v="70"/>
    <x v="0"/>
    <x v="0"/>
  </r>
  <r>
    <n v="1"/>
    <x v="1"/>
    <n v="59"/>
    <x v="2"/>
    <n v="4"/>
    <n v="4"/>
    <s v="Post Graduate"/>
    <x v="3"/>
    <n v="1"/>
    <n v="20"/>
    <n v="20"/>
    <x v="0"/>
    <n v="0"/>
    <x v="0"/>
    <n v="0"/>
    <n v="1"/>
    <n v="0"/>
    <n v="265"/>
    <n v="265"/>
    <x v="0"/>
    <n v="155"/>
    <n v="85"/>
    <n v="27.06"/>
    <n v="27.06"/>
    <x v="0"/>
    <n v="88"/>
    <n v="88"/>
    <n v="75"/>
    <n v="75"/>
    <x v="0"/>
    <x v="0"/>
  </r>
  <r>
    <n v="0"/>
    <x v="0"/>
    <n v="59"/>
    <x v="2"/>
    <n v="1"/>
    <n v="1"/>
    <s v="Primary"/>
    <x v="2"/>
    <n v="0"/>
    <n v="0"/>
    <n v="0"/>
    <x v="1"/>
    <n v="0"/>
    <x v="0"/>
    <n v="0"/>
    <n v="1"/>
    <n v="0"/>
    <n v="246"/>
    <n v="246"/>
    <x v="0"/>
    <n v="189"/>
    <n v="111"/>
    <n v="19.88"/>
    <n v="19.88"/>
    <x v="1"/>
    <n v="90"/>
    <n v="90"/>
    <n v="85"/>
    <n v="85"/>
    <x v="0"/>
    <x v="1"/>
  </r>
  <r>
    <n v="0"/>
    <x v="0"/>
    <n v="59"/>
    <x v="2"/>
    <n v="1"/>
    <n v="1"/>
    <s v="Primary"/>
    <x v="2"/>
    <n v="0"/>
    <n v="0"/>
    <n v="0"/>
    <x v="1"/>
    <n v="0"/>
    <x v="0"/>
    <n v="0"/>
    <n v="0"/>
    <n v="0"/>
    <n v="339"/>
    <n v="339"/>
    <x v="0"/>
    <n v="110"/>
    <n v="69"/>
    <n v="26.89"/>
    <n v="26.89"/>
    <x v="0"/>
    <n v="75"/>
    <n v="75"/>
    <n v="73"/>
    <n v="73"/>
    <x v="0"/>
    <x v="0"/>
  </r>
  <r>
    <n v="1"/>
    <x v="1"/>
    <n v="59"/>
    <x v="2"/>
    <n v="2"/>
    <n v="2"/>
    <s v="Secondary"/>
    <x v="0"/>
    <n v="1"/>
    <n v="15"/>
    <n v="15"/>
    <x v="0"/>
    <n v="0"/>
    <x v="0"/>
    <n v="0"/>
    <n v="0"/>
    <n v="0"/>
    <n v="212"/>
    <n v="212"/>
    <x v="1"/>
    <n v="106"/>
    <n v="66"/>
    <n v="26.46"/>
    <n v="26.46"/>
    <x v="0"/>
    <n v="85"/>
    <n v="85"/>
    <n v="117"/>
    <n v="117"/>
    <x v="0"/>
    <x v="0"/>
  </r>
  <r>
    <n v="1"/>
    <x v="1"/>
    <n v="59"/>
    <x v="2"/>
    <n v="1"/>
    <n v="1"/>
    <s v="Primary"/>
    <x v="2"/>
    <n v="0"/>
    <n v="0"/>
    <n v="0"/>
    <x v="1"/>
    <n v="0"/>
    <x v="0"/>
    <n v="0"/>
    <n v="0"/>
    <n v="0"/>
    <n v="282"/>
    <n v="282"/>
    <x v="0"/>
    <n v="114"/>
    <n v="67"/>
    <n v="28.04"/>
    <n v="28.04"/>
    <x v="0"/>
    <n v="58"/>
    <n v="58"/>
    <n v="79"/>
    <n v="79"/>
    <x v="0"/>
    <x v="1"/>
  </r>
  <r>
    <n v="1"/>
    <x v="1"/>
    <n v="59"/>
    <x v="2"/>
    <n v="1"/>
    <n v="1"/>
    <s v="Primary"/>
    <x v="2"/>
    <n v="1"/>
    <n v="43"/>
    <n v="43"/>
    <x v="0"/>
    <n v="0"/>
    <x v="0"/>
    <n v="0"/>
    <n v="0"/>
    <n v="0"/>
    <n v="207"/>
    <n v="207"/>
    <x v="1"/>
    <n v="132.5"/>
    <n v="66"/>
    <n v="26.84"/>
    <n v="26.84"/>
    <x v="0"/>
    <n v="65"/>
    <n v="65"/>
    <n v="76"/>
    <n v="76"/>
    <x v="0"/>
    <x v="1"/>
  </r>
  <r>
    <n v="0"/>
    <x v="0"/>
    <n v="59"/>
    <x v="2"/>
    <n v="1"/>
    <n v="1"/>
    <s v="Primary"/>
    <x v="2"/>
    <n v="0"/>
    <n v="0"/>
    <n v="0"/>
    <x v="1"/>
    <n v="0"/>
    <x v="0"/>
    <n v="0"/>
    <n v="0"/>
    <n v="0"/>
    <n v="242"/>
    <n v="242"/>
    <x v="0"/>
    <n v="134"/>
    <n v="86"/>
    <n v="27.49"/>
    <n v="27.49"/>
    <x v="0"/>
    <n v="65"/>
    <n v="65"/>
    <s v="NA"/>
    <n v="81.96365524402907"/>
    <x v="0"/>
    <x v="0"/>
  </r>
  <r>
    <n v="0"/>
    <x v="0"/>
    <n v="59"/>
    <x v="2"/>
    <n v="3"/>
    <n v="3"/>
    <s v="Graduate"/>
    <x v="1"/>
    <n v="0"/>
    <n v="0"/>
    <n v="0"/>
    <x v="1"/>
    <n v="0"/>
    <x v="0"/>
    <n v="0"/>
    <n v="0"/>
    <n v="0"/>
    <n v="271"/>
    <n v="271"/>
    <x v="0"/>
    <n v="117.5"/>
    <n v="65"/>
    <n v="19.77"/>
    <n v="19.77"/>
    <x v="1"/>
    <n v="70"/>
    <n v="70"/>
    <n v="89"/>
    <n v="89"/>
    <x v="0"/>
    <x v="1"/>
  </r>
  <r>
    <n v="0"/>
    <x v="0"/>
    <n v="59"/>
    <x v="2"/>
    <n v="2"/>
    <n v="2"/>
    <s v="Secondary"/>
    <x v="0"/>
    <n v="0"/>
    <n v="0"/>
    <n v="0"/>
    <x v="1"/>
    <n v="0"/>
    <x v="0"/>
    <n v="0"/>
    <n v="1"/>
    <n v="0"/>
    <n v="320"/>
    <n v="320"/>
    <x v="0"/>
    <n v="182"/>
    <n v="98"/>
    <n v="30.28"/>
    <n v="30.28"/>
    <x v="2"/>
    <n v="88"/>
    <n v="88"/>
    <s v="NA"/>
    <n v="81.96365524402907"/>
    <x v="0"/>
    <x v="1"/>
  </r>
  <r>
    <n v="1"/>
    <x v="1"/>
    <n v="59"/>
    <x v="2"/>
    <n v="1"/>
    <n v="1"/>
    <s v="Primary"/>
    <x v="2"/>
    <n v="0"/>
    <n v="0"/>
    <n v="0"/>
    <x v="1"/>
    <n v="0"/>
    <x v="0"/>
    <n v="0"/>
    <n v="0"/>
    <n v="0"/>
    <n v="300"/>
    <n v="300"/>
    <x v="0"/>
    <n v="163"/>
    <n v="78"/>
    <n v="28.83"/>
    <n v="28.83"/>
    <x v="0"/>
    <n v="53"/>
    <n v="53"/>
    <n v="95"/>
    <n v="95"/>
    <x v="0"/>
    <x v="1"/>
  </r>
  <r>
    <n v="1"/>
    <x v="1"/>
    <n v="59"/>
    <x v="2"/>
    <n v="2"/>
    <n v="2"/>
    <s v="Secondary"/>
    <x v="0"/>
    <n v="0"/>
    <n v="0"/>
    <n v="0"/>
    <x v="1"/>
    <n v="0"/>
    <x v="0"/>
    <n v="0"/>
    <n v="1"/>
    <n v="0"/>
    <n v="207"/>
    <n v="207"/>
    <x v="1"/>
    <n v="148"/>
    <n v="98"/>
    <n v="25.63"/>
    <n v="25.63"/>
    <x v="0"/>
    <n v="80"/>
    <n v="80"/>
    <n v="93"/>
    <n v="93"/>
    <x v="0"/>
    <x v="0"/>
  </r>
  <r>
    <n v="0"/>
    <x v="0"/>
    <n v="59"/>
    <x v="2"/>
    <n v="2"/>
    <n v="2"/>
    <s v="Secondary"/>
    <x v="0"/>
    <n v="1"/>
    <n v="20"/>
    <n v="20"/>
    <x v="0"/>
    <n v="0"/>
    <x v="0"/>
    <n v="0"/>
    <n v="1"/>
    <n v="0"/>
    <n v="206"/>
    <n v="206"/>
    <x v="1"/>
    <n v="167"/>
    <n v="89.5"/>
    <n v="25.83"/>
    <n v="25.83"/>
    <x v="0"/>
    <n v="72"/>
    <n v="72"/>
    <n v="75"/>
    <n v="75"/>
    <x v="0"/>
    <x v="1"/>
  </r>
  <r>
    <n v="0"/>
    <x v="0"/>
    <n v="59"/>
    <x v="2"/>
    <n v="1"/>
    <n v="1"/>
    <s v="Primary"/>
    <x v="2"/>
    <n v="0"/>
    <n v="0"/>
    <n v="0"/>
    <x v="1"/>
    <n v="0"/>
    <x v="0"/>
    <n v="0"/>
    <n v="0"/>
    <n v="0"/>
    <n v="278"/>
    <n v="278"/>
    <x v="0"/>
    <n v="141"/>
    <n v="79"/>
    <n v="26.45"/>
    <n v="26.45"/>
    <x v="0"/>
    <n v="70"/>
    <n v="70"/>
    <n v="94"/>
    <n v="94"/>
    <x v="0"/>
    <x v="0"/>
  </r>
  <r>
    <n v="1"/>
    <x v="1"/>
    <n v="59"/>
    <x v="2"/>
    <n v="1"/>
    <n v="1"/>
    <s v="Primary"/>
    <x v="2"/>
    <n v="1"/>
    <n v="60"/>
    <n v="60"/>
    <x v="0"/>
    <n v="0"/>
    <x v="0"/>
    <n v="0"/>
    <n v="1"/>
    <n v="0"/>
    <n v="298"/>
    <n v="298"/>
    <x v="0"/>
    <n v="153.5"/>
    <n v="105"/>
    <n v="25.05"/>
    <n v="25.05"/>
    <x v="0"/>
    <n v="70"/>
    <n v="70"/>
    <n v="84"/>
    <n v="84"/>
    <x v="0"/>
    <x v="0"/>
  </r>
  <r>
    <n v="0"/>
    <x v="0"/>
    <n v="59"/>
    <x v="2"/>
    <n v="2"/>
    <n v="2"/>
    <s v="Secondary"/>
    <x v="0"/>
    <n v="1"/>
    <n v="15"/>
    <n v="15"/>
    <x v="0"/>
    <n v="0"/>
    <x v="0"/>
    <n v="0"/>
    <n v="1"/>
    <n v="0"/>
    <n v="167"/>
    <n v="167"/>
    <x v="1"/>
    <n v="156"/>
    <n v="104"/>
    <n v="15.96"/>
    <n v="15.96"/>
    <x v="3"/>
    <n v="72"/>
    <n v="72"/>
    <n v="45"/>
    <n v="45"/>
    <x v="0"/>
    <x v="1"/>
  </r>
  <r>
    <n v="0"/>
    <x v="0"/>
    <n v="59"/>
    <x v="2"/>
    <n v="4"/>
    <n v="4"/>
    <s v="Post Graduate"/>
    <x v="3"/>
    <n v="0"/>
    <n v="0"/>
    <n v="0"/>
    <x v="1"/>
    <s v="NA"/>
    <x v="0"/>
    <n v="0"/>
    <n v="1"/>
    <n v="0"/>
    <n v="240"/>
    <n v="240"/>
    <x v="1"/>
    <n v="195"/>
    <n v="118"/>
    <n v="23.82"/>
    <n v="23.82"/>
    <x v="1"/>
    <n v="80"/>
    <n v="80"/>
    <n v="73"/>
    <n v="73"/>
    <x v="1"/>
    <x v="0"/>
  </r>
  <r>
    <n v="1"/>
    <x v="1"/>
    <n v="59"/>
    <x v="2"/>
    <n v="2"/>
    <n v="2"/>
    <s v="Secondary"/>
    <x v="0"/>
    <n v="0"/>
    <n v="0"/>
    <n v="0"/>
    <x v="1"/>
    <n v="0"/>
    <x v="0"/>
    <n v="0"/>
    <n v="1"/>
    <n v="0"/>
    <n v="237"/>
    <n v="237"/>
    <x v="1"/>
    <n v="153.5"/>
    <n v="85"/>
    <n v="28.45"/>
    <n v="28.45"/>
    <x v="0"/>
    <n v="51"/>
    <n v="51"/>
    <s v="NA"/>
    <n v="81.96365524402907"/>
    <x v="0"/>
    <x v="0"/>
  </r>
  <r>
    <n v="0"/>
    <x v="0"/>
    <n v="59"/>
    <x v="2"/>
    <n v="1"/>
    <n v="1"/>
    <s v="Primary"/>
    <x v="2"/>
    <n v="0"/>
    <n v="0"/>
    <n v="0"/>
    <x v="1"/>
    <n v="0"/>
    <x v="0"/>
    <n v="0"/>
    <n v="1"/>
    <n v="0"/>
    <s v="NA"/>
    <n v="236.69952267303103"/>
    <x v="1"/>
    <n v="153.5"/>
    <n v="89.5"/>
    <n v="26.08"/>
    <n v="26.08"/>
    <x v="0"/>
    <n v="71"/>
    <n v="71"/>
    <n v="113"/>
    <n v="113"/>
    <x v="0"/>
    <x v="0"/>
  </r>
  <r>
    <n v="0"/>
    <x v="0"/>
    <n v="59"/>
    <x v="2"/>
    <n v="1"/>
    <n v="1"/>
    <s v="Primary"/>
    <x v="2"/>
    <n v="0"/>
    <n v="0"/>
    <n v="0"/>
    <x v="1"/>
    <n v="0"/>
    <x v="0"/>
    <n v="0"/>
    <n v="0"/>
    <n v="0"/>
    <n v="241"/>
    <n v="241"/>
    <x v="0"/>
    <n v="120"/>
    <n v="73"/>
    <n v="23.76"/>
    <n v="23.76"/>
    <x v="1"/>
    <n v="60"/>
    <n v="60"/>
    <n v="88"/>
    <n v="88"/>
    <x v="0"/>
    <x v="1"/>
  </r>
  <r>
    <n v="0"/>
    <x v="0"/>
    <n v="59"/>
    <x v="2"/>
    <n v="2"/>
    <n v="2"/>
    <s v="Secondary"/>
    <x v="0"/>
    <n v="1"/>
    <n v="3"/>
    <n v="3"/>
    <x v="0"/>
    <n v="0"/>
    <x v="0"/>
    <n v="0"/>
    <n v="0"/>
    <n v="0"/>
    <n v="240"/>
    <n v="240"/>
    <x v="1"/>
    <n v="122.5"/>
    <n v="67.5"/>
    <n v="25.4"/>
    <n v="25.4"/>
    <x v="0"/>
    <n v="88"/>
    <n v="88"/>
    <n v="81"/>
    <n v="81"/>
    <x v="0"/>
    <x v="0"/>
  </r>
  <r>
    <n v="0"/>
    <x v="0"/>
    <n v="59"/>
    <x v="2"/>
    <n v="2"/>
    <n v="2"/>
    <s v="Secondary"/>
    <x v="0"/>
    <n v="0"/>
    <n v="0"/>
    <n v="0"/>
    <x v="1"/>
    <n v="1"/>
    <x v="1"/>
    <n v="0"/>
    <n v="1"/>
    <n v="0"/>
    <n v="264"/>
    <n v="264"/>
    <x v="0"/>
    <n v="244"/>
    <n v="124"/>
    <n v="19.61"/>
    <n v="19.61"/>
    <x v="1"/>
    <n v="76"/>
    <n v="76"/>
    <n v="120"/>
    <n v="120"/>
    <x v="0"/>
    <x v="1"/>
  </r>
  <r>
    <n v="0"/>
    <x v="0"/>
    <n v="59"/>
    <x v="2"/>
    <n v="1"/>
    <n v="1"/>
    <s v="Primary"/>
    <x v="2"/>
    <n v="0"/>
    <n v="0"/>
    <n v="0"/>
    <x v="1"/>
    <n v="0"/>
    <x v="0"/>
    <n v="0"/>
    <n v="0"/>
    <n v="0"/>
    <n v="249"/>
    <n v="249"/>
    <x v="0"/>
    <n v="139"/>
    <n v="79.5"/>
    <n v="23.28"/>
    <n v="23.28"/>
    <x v="1"/>
    <n v="94"/>
    <n v="94"/>
    <s v="NA"/>
    <n v="81.96365524402907"/>
    <x v="0"/>
    <x v="0"/>
  </r>
  <r>
    <n v="1"/>
    <x v="1"/>
    <n v="59"/>
    <x v="2"/>
    <n v="2"/>
    <n v="2"/>
    <s v="Secondary"/>
    <x v="0"/>
    <n v="1"/>
    <n v="11"/>
    <n v="11"/>
    <x v="0"/>
    <n v="0"/>
    <x v="0"/>
    <n v="0"/>
    <n v="0"/>
    <n v="0"/>
    <n v="176"/>
    <n v="176"/>
    <x v="1"/>
    <n v="134.5"/>
    <n v="87"/>
    <n v="31.76"/>
    <n v="31.76"/>
    <x v="2"/>
    <n v="80"/>
    <n v="80"/>
    <n v="93"/>
    <n v="93"/>
    <x v="0"/>
    <x v="0"/>
  </r>
  <r>
    <n v="0"/>
    <x v="0"/>
    <n v="59"/>
    <x v="2"/>
    <n v="1"/>
    <n v="1"/>
    <s v="Primary"/>
    <x v="2"/>
    <n v="0"/>
    <n v="0"/>
    <n v="0"/>
    <x v="1"/>
    <n v="0"/>
    <x v="0"/>
    <n v="0"/>
    <n v="0"/>
    <n v="0"/>
    <n v="250"/>
    <n v="250"/>
    <x v="0"/>
    <n v="127.5"/>
    <n v="80"/>
    <n v="29.16"/>
    <n v="29.16"/>
    <x v="0"/>
    <n v="92"/>
    <n v="92"/>
    <n v="108"/>
    <n v="108"/>
    <x v="0"/>
    <x v="1"/>
  </r>
  <r>
    <n v="1"/>
    <x v="1"/>
    <n v="59"/>
    <x v="2"/>
    <n v="3"/>
    <n v="3"/>
    <s v="Graduate"/>
    <x v="1"/>
    <n v="0"/>
    <n v="0"/>
    <n v="0"/>
    <x v="1"/>
    <n v="0"/>
    <x v="0"/>
    <n v="0"/>
    <n v="0"/>
    <n v="0"/>
    <n v="236"/>
    <n v="236"/>
    <x v="1"/>
    <n v="127"/>
    <n v="83"/>
    <n v="26.53"/>
    <n v="26.53"/>
    <x v="0"/>
    <n v="57"/>
    <n v="57"/>
    <n v="86"/>
    <n v="86"/>
    <x v="0"/>
    <x v="0"/>
  </r>
  <r>
    <n v="0"/>
    <x v="0"/>
    <n v="59"/>
    <x v="2"/>
    <n v="3"/>
    <n v="3"/>
    <s v="Graduate"/>
    <x v="1"/>
    <n v="0"/>
    <n v="0"/>
    <n v="0"/>
    <x v="1"/>
    <n v="0"/>
    <x v="0"/>
    <n v="0"/>
    <n v="1"/>
    <n v="0"/>
    <n v="273"/>
    <n v="273"/>
    <x v="0"/>
    <n v="145"/>
    <n v="90"/>
    <n v="23.94"/>
    <n v="23.94"/>
    <x v="1"/>
    <n v="78"/>
    <n v="78"/>
    <n v="82"/>
    <n v="82"/>
    <x v="0"/>
    <x v="0"/>
  </r>
  <r>
    <n v="0"/>
    <x v="0"/>
    <n v="59"/>
    <x v="2"/>
    <n v="2"/>
    <n v="2"/>
    <s v="Secondary"/>
    <x v="0"/>
    <n v="0"/>
    <n v="0"/>
    <n v="0"/>
    <x v="1"/>
    <n v="1"/>
    <x v="1"/>
    <n v="0"/>
    <n v="1"/>
    <n v="0"/>
    <n v="201"/>
    <n v="201"/>
    <x v="1"/>
    <n v="148.5"/>
    <n v="90"/>
    <n v="25.85"/>
    <n v="25.85"/>
    <x v="0"/>
    <n v="65"/>
    <n v="65"/>
    <n v="83"/>
    <n v="83"/>
    <x v="0"/>
    <x v="1"/>
  </r>
  <r>
    <n v="1"/>
    <x v="1"/>
    <n v="59"/>
    <x v="2"/>
    <s v="NA"/>
    <n v="1"/>
    <s v="Primary"/>
    <x v="2"/>
    <n v="1"/>
    <n v="20"/>
    <n v="20"/>
    <x v="0"/>
    <n v="0"/>
    <x v="0"/>
    <n v="0"/>
    <n v="0"/>
    <n v="0"/>
    <n v="190"/>
    <n v="190"/>
    <x v="1"/>
    <n v="93.5"/>
    <n v="69"/>
    <n v="27.25"/>
    <n v="27.25"/>
    <x v="0"/>
    <n v="68"/>
    <n v="68"/>
    <n v="74"/>
    <n v="74"/>
    <x v="0"/>
    <x v="0"/>
  </r>
  <r>
    <n v="0"/>
    <x v="0"/>
    <n v="59"/>
    <x v="2"/>
    <n v="1"/>
    <n v="1"/>
    <s v="Primary"/>
    <x v="2"/>
    <n v="0"/>
    <n v="0"/>
    <n v="0"/>
    <x v="1"/>
    <n v="1"/>
    <x v="1"/>
    <n v="0"/>
    <n v="1"/>
    <n v="0"/>
    <n v="320"/>
    <n v="320"/>
    <x v="0"/>
    <n v="187.5"/>
    <n v="85.5"/>
    <n v="25.33"/>
    <n v="25.33"/>
    <x v="0"/>
    <n v="75"/>
    <n v="75"/>
    <n v="68"/>
    <n v="68"/>
    <x v="0"/>
    <x v="0"/>
  </r>
  <r>
    <n v="1"/>
    <x v="1"/>
    <n v="59"/>
    <x v="2"/>
    <n v="1"/>
    <n v="1"/>
    <s v="Primary"/>
    <x v="2"/>
    <n v="0"/>
    <n v="0"/>
    <n v="0"/>
    <x v="1"/>
    <n v="0"/>
    <x v="0"/>
    <n v="0"/>
    <n v="0"/>
    <n v="0"/>
    <n v="229"/>
    <n v="229"/>
    <x v="1"/>
    <n v="100.5"/>
    <n v="66"/>
    <n v="25.18"/>
    <n v="25.18"/>
    <x v="0"/>
    <n v="44"/>
    <n v="44"/>
    <n v="81"/>
    <n v="81"/>
    <x v="0"/>
    <x v="0"/>
  </r>
  <r>
    <n v="0"/>
    <x v="0"/>
    <n v="59"/>
    <x v="2"/>
    <n v="1"/>
    <n v="1"/>
    <s v="Primary"/>
    <x v="2"/>
    <n v="1"/>
    <n v="9"/>
    <n v="9"/>
    <x v="0"/>
    <n v="0"/>
    <x v="0"/>
    <n v="0"/>
    <n v="0"/>
    <n v="0"/>
    <n v="184"/>
    <n v="184"/>
    <x v="1"/>
    <n v="122"/>
    <n v="74"/>
    <n v="24.66"/>
    <n v="24.66"/>
    <x v="1"/>
    <n v="78"/>
    <n v="78"/>
    <n v="67"/>
    <n v="67"/>
    <x v="0"/>
    <x v="0"/>
  </r>
  <r>
    <n v="0"/>
    <x v="0"/>
    <n v="59"/>
    <x v="2"/>
    <n v="1"/>
    <n v="1"/>
    <s v="Primary"/>
    <x v="2"/>
    <n v="1"/>
    <n v="20"/>
    <n v="20"/>
    <x v="0"/>
    <n v="0"/>
    <x v="0"/>
    <n v="0"/>
    <n v="1"/>
    <n v="0"/>
    <n v="270"/>
    <n v="270"/>
    <x v="0"/>
    <n v="175"/>
    <n v="95"/>
    <n v="29.69"/>
    <n v="29.69"/>
    <x v="0"/>
    <n v="95"/>
    <n v="95"/>
    <n v="76"/>
    <n v="76"/>
    <x v="0"/>
    <x v="0"/>
  </r>
  <r>
    <n v="1"/>
    <x v="1"/>
    <n v="59"/>
    <x v="2"/>
    <n v="1"/>
    <n v="1"/>
    <s v="Primary"/>
    <x v="2"/>
    <n v="1"/>
    <n v="20"/>
    <n v="20"/>
    <x v="0"/>
    <n v="0"/>
    <x v="0"/>
    <n v="0"/>
    <n v="1"/>
    <n v="0"/>
    <n v="280"/>
    <n v="280"/>
    <x v="0"/>
    <n v="164"/>
    <n v="81"/>
    <n v="29.76"/>
    <n v="29.76"/>
    <x v="0"/>
    <n v="80"/>
    <n v="80"/>
    <n v="68"/>
    <n v="68"/>
    <x v="0"/>
    <x v="0"/>
  </r>
  <r>
    <n v="1"/>
    <x v="1"/>
    <n v="59"/>
    <x v="2"/>
    <n v="1"/>
    <n v="1"/>
    <s v="Primary"/>
    <x v="2"/>
    <n v="1"/>
    <n v="20"/>
    <n v="20"/>
    <x v="0"/>
    <n v="0"/>
    <x v="0"/>
    <n v="0"/>
    <n v="0"/>
    <n v="0"/>
    <n v="206"/>
    <n v="206"/>
    <x v="1"/>
    <n v="115"/>
    <n v="70"/>
    <n v="24.79"/>
    <n v="24.79"/>
    <x v="1"/>
    <n v="84"/>
    <n v="84"/>
    <n v="76"/>
    <n v="76"/>
    <x v="0"/>
    <x v="0"/>
  </r>
  <r>
    <n v="0"/>
    <x v="0"/>
    <n v="59"/>
    <x v="2"/>
    <n v="2"/>
    <n v="2"/>
    <s v="Secondary"/>
    <x v="0"/>
    <n v="1"/>
    <n v="1"/>
    <n v="1"/>
    <x v="0"/>
    <n v="0"/>
    <x v="0"/>
    <n v="0"/>
    <n v="0"/>
    <n v="0"/>
    <n v="236"/>
    <n v="236"/>
    <x v="1"/>
    <n v="139"/>
    <n v="84"/>
    <n v="22.7"/>
    <n v="22.7"/>
    <x v="1"/>
    <n v="63"/>
    <n v="63"/>
    <s v="NA"/>
    <n v="81.96365524402907"/>
    <x v="0"/>
    <x v="0"/>
  </r>
  <r>
    <n v="0"/>
    <x v="0"/>
    <n v="59"/>
    <x v="2"/>
    <n v="3"/>
    <n v="3"/>
    <s v="Graduate"/>
    <x v="1"/>
    <n v="0"/>
    <n v="0"/>
    <n v="0"/>
    <x v="1"/>
    <n v="0"/>
    <x v="0"/>
    <n v="0"/>
    <n v="0"/>
    <n v="0"/>
    <n v="292"/>
    <n v="292"/>
    <x v="0"/>
    <n v="114"/>
    <n v="84"/>
    <n v="27.39"/>
    <n v="27.39"/>
    <x v="0"/>
    <n v="68"/>
    <n v="68"/>
    <n v="72"/>
    <n v="72"/>
    <x v="0"/>
    <x v="0"/>
  </r>
  <r>
    <n v="0"/>
    <x v="0"/>
    <n v="59"/>
    <x v="2"/>
    <n v="1"/>
    <n v="1"/>
    <s v="Primary"/>
    <x v="2"/>
    <n v="0"/>
    <n v="0"/>
    <n v="0"/>
    <x v="1"/>
    <n v="0"/>
    <x v="0"/>
    <n v="0"/>
    <n v="1"/>
    <n v="0"/>
    <n v="260"/>
    <n v="260"/>
    <x v="0"/>
    <n v="162.5"/>
    <n v="105"/>
    <n v="24.39"/>
    <n v="24.39"/>
    <x v="1"/>
    <n v="75"/>
    <n v="75"/>
    <n v="72"/>
    <n v="72"/>
    <x v="0"/>
    <x v="0"/>
  </r>
  <r>
    <n v="0"/>
    <x v="0"/>
    <n v="59"/>
    <x v="2"/>
    <n v="1"/>
    <n v="1"/>
    <s v="Primary"/>
    <x v="2"/>
    <n v="0"/>
    <n v="0"/>
    <n v="0"/>
    <x v="1"/>
    <n v="0"/>
    <x v="0"/>
    <n v="0"/>
    <n v="0"/>
    <n v="0"/>
    <n v="246"/>
    <n v="246"/>
    <x v="0"/>
    <n v="135"/>
    <n v="70"/>
    <n v="18.43"/>
    <n v="18.43"/>
    <x v="3"/>
    <n v="80"/>
    <n v="80"/>
    <n v="107"/>
    <n v="107"/>
    <x v="0"/>
    <x v="0"/>
  </r>
  <r>
    <n v="1"/>
    <x v="1"/>
    <n v="59"/>
    <x v="2"/>
    <n v="4"/>
    <n v="4"/>
    <s v="Post Graduate"/>
    <x v="3"/>
    <n v="0"/>
    <n v="0"/>
    <n v="0"/>
    <x v="1"/>
    <n v="0"/>
    <x v="0"/>
    <n v="0"/>
    <n v="0"/>
    <n v="0"/>
    <n v="237"/>
    <n v="237"/>
    <x v="1"/>
    <n v="111"/>
    <n v="80"/>
    <n v="29.77"/>
    <n v="29.77"/>
    <x v="0"/>
    <n v="65"/>
    <n v="65"/>
    <n v="72"/>
    <n v="72"/>
    <x v="0"/>
    <x v="0"/>
  </r>
  <r>
    <n v="0"/>
    <x v="0"/>
    <n v="59"/>
    <x v="2"/>
    <n v="4"/>
    <n v="4"/>
    <s v="Post Graduate"/>
    <x v="3"/>
    <n v="0"/>
    <n v="0"/>
    <n v="0"/>
    <x v="1"/>
    <n v="0"/>
    <x v="0"/>
    <n v="0"/>
    <n v="0"/>
    <n v="0"/>
    <n v="239"/>
    <n v="239"/>
    <x v="1"/>
    <n v="124"/>
    <n v="72"/>
    <n v="19.34"/>
    <n v="19.34"/>
    <x v="1"/>
    <n v="80"/>
    <n v="80"/>
    <n v="70"/>
    <n v="70"/>
    <x v="0"/>
    <x v="0"/>
  </r>
  <r>
    <n v="0"/>
    <x v="0"/>
    <n v="59"/>
    <x v="2"/>
    <n v="1"/>
    <n v="1"/>
    <s v="Primary"/>
    <x v="2"/>
    <n v="0"/>
    <n v="0"/>
    <n v="0"/>
    <x v="1"/>
    <n v="0"/>
    <x v="0"/>
    <n v="0"/>
    <n v="0"/>
    <n v="0"/>
    <n v="276"/>
    <n v="276"/>
    <x v="0"/>
    <n v="127.5"/>
    <n v="85.5"/>
    <n v="22.91"/>
    <n v="22.91"/>
    <x v="1"/>
    <n v="78"/>
    <n v="78"/>
    <n v="60"/>
    <n v="60"/>
    <x v="0"/>
    <x v="0"/>
  </r>
  <r>
    <n v="1"/>
    <x v="1"/>
    <n v="59"/>
    <x v="2"/>
    <n v="1"/>
    <n v="1"/>
    <s v="Primary"/>
    <x v="2"/>
    <n v="0"/>
    <n v="0"/>
    <n v="0"/>
    <x v="1"/>
    <n v="1"/>
    <x v="1"/>
    <n v="0"/>
    <n v="1"/>
    <n v="0"/>
    <n v="294"/>
    <n v="294"/>
    <x v="0"/>
    <n v="170"/>
    <n v="103"/>
    <n v="31.6"/>
    <n v="31.6"/>
    <x v="2"/>
    <n v="66"/>
    <n v="66"/>
    <n v="70"/>
    <n v="70"/>
    <x v="0"/>
    <x v="0"/>
  </r>
  <r>
    <n v="1"/>
    <x v="1"/>
    <n v="59"/>
    <x v="2"/>
    <n v="1"/>
    <n v="1"/>
    <s v="Primary"/>
    <x v="2"/>
    <n v="0"/>
    <n v="0"/>
    <n v="0"/>
    <x v="1"/>
    <n v="0"/>
    <x v="0"/>
    <n v="0"/>
    <n v="1"/>
    <n v="0"/>
    <n v="178"/>
    <n v="178"/>
    <x v="1"/>
    <n v="170"/>
    <n v="118"/>
    <n v="33.450000000000003"/>
    <n v="33.450000000000003"/>
    <x v="2"/>
    <n v="79"/>
    <n v="79"/>
    <n v="81"/>
    <n v="81"/>
    <x v="0"/>
    <x v="0"/>
  </r>
  <r>
    <n v="0"/>
    <x v="0"/>
    <n v="59"/>
    <x v="2"/>
    <n v="1"/>
    <n v="1"/>
    <s v="Primary"/>
    <x v="2"/>
    <n v="0"/>
    <n v="0"/>
    <n v="0"/>
    <x v="1"/>
    <n v="0"/>
    <x v="0"/>
    <n v="0"/>
    <n v="0"/>
    <n v="0"/>
    <n v="294"/>
    <n v="294"/>
    <x v="0"/>
    <n v="122"/>
    <n v="70"/>
    <n v="23.76"/>
    <n v="23.76"/>
    <x v="1"/>
    <n v="72"/>
    <n v="72"/>
    <n v="100"/>
    <n v="100"/>
    <x v="0"/>
    <x v="0"/>
  </r>
  <r>
    <n v="0"/>
    <x v="0"/>
    <n v="59"/>
    <x v="2"/>
    <n v="1"/>
    <n v="1"/>
    <s v="Primary"/>
    <x v="2"/>
    <n v="0"/>
    <n v="0"/>
    <n v="0"/>
    <x v="1"/>
    <n v="0"/>
    <x v="0"/>
    <n v="0"/>
    <n v="1"/>
    <n v="0"/>
    <n v="240"/>
    <n v="240"/>
    <x v="1"/>
    <n v="155.5"/>
    <n v="100.5"/>
    <n v="33.54"/>
    <n v="33.54"/>
    <x v="2"/>
    <n v="72"/>
    <n v="72"/>
    <n v="116"/>
    <n v="116"/>
    <x v="0"/>
    <x v="1"/>
  </r>
  <r>
    <n v="1"/>
    <x v="1"/>
    <n v="59"/>
    <x v="2"/>
    <n v="3"/>
    <n v="3"/>
    <s v="Graduate"/>
    <x v="1"/>
    <n v="1"/>
    <n v="20"/>
    <n v="20"/>
    <x v="0"/>
    <n v="0"/>
    <x v="0"/>
    <n v="0"/>
    <n v="0"/>
    <n v="0"/>
    <n v="238"/>
    <n v="238"/>
    <x v="1"/>
    <n v="112.5"/>
    <n v="75.5"/>
    <n v="26.42"/>
    <n v="26.42"/>
    <x v="0"/>
    <n v="58"/>
    <n v="58"/>
    <n v="67"/>
    <n v="67"/>
    <x v="0"/>
    <x v="1"/>
  </r>
  <r>
    <n v="0"/>
    <x v="0"/>
    <n v="59"/>
    <x v="2"/>
    <n v="1"/>
    <n v="1"/>
    <s v="Primary"/>
    <x v="2"/>
    <n v="0"/>
    <n v="0"/>
    <n v="0"/>
    <x v="1"/>
    <n v="0"/>
    <x v="0"/>
    <n v="0"/>
    <n v="1"/>
    <n v="0"/>
    <n v="261"/>
    <n v="261"/>
    <x v="0"/>
    <n v="141"/>
    <n v="78"/>
    <n v="25.32"/>
    <n v="25.32"/>
    <x v="0"/>
    <n v="68"/>
    <n v="68"/>
    <n v="76"/>
    <n v="76"/>
    <x v="0"/>
    <x v="0"/>
  </r>
  <r>
    <n v="0"/>
    <x v="0"/>
    <n v="59"/>
    <x v="2"/>
    <n v="1"/>
    <n v="1"/>
    <s v="Primary"/>
    <x v="2"/>
    <n v="0"/>
    <n v="0"/>
    <n v="0"/>
    <x v="1"/>
    <n v="0"/>
    <x v="0"/>
    <n v="0"/>
    <n v="1"/>
    <n v="0"/>
    <n v="288"/>
    <n v="288"/>
    <x v="0"/>
    <n v="158"/>
    <n v="90"/>
    <n v="32.840000000000003"/>
    <n v="32.840000000000003"/>
    <x v="2"/>
    <n v="70"/>
    <n v="70"/>
    <n v="87"/>
    <n v="87"/>
    <x v="0"/>
    <x v="0"/>
  </r>
  <r>
    <n v="0"/>
    <x v="0"/>
    <n v="59"/>
    <x v="2"/>
    <n v="1"/>
    <n v="1"/>
    <s v="Primary"/>
    <x v="2"/>
    <n v="0"/>
    <n v="0"/>
    <n v="0"/>
    <x v="1"/>
    <n v="0"/>
    <x v="0"/>
    <n v="0"/>
    <n v="1"/>
    <n v="0"/>
    <n v="410"/>
    <n v="410"/>
    <x v="0"/>
    <n v="142"/>
    <n v="79"/>
    <n v="25.58"/>
    <n v="25.58"/>
    <x v="0"/>
    <n v="78"/>
    <n v="78"/>
    <n v="90"/>
    <n v="90"/>
    <x v="0"/>
    <x v="0"/>
  </r>
  <r>
    <n v="1"/>
    <x v="1"/>
    <n v="59"/>
    <x v="2"/>
    <n v="4"/>
    <n v="4"/>
    <s v="Post Graduate"/>
    <x v="3"/>
    <n v="0"/>
    <n v="0"/>
    <n v="0"/>
    <x v="1"/>
    <n v="0"/>
    <x v="0"/>
    <n v="0"/>
    <n v="0"/>
    <n v="0"/>
    <n v="210"/>
    <n v="210"/>
    <x v="1"/>
    <n v="134"/>
    <n v="84"/>
    <n v="25.64"/>
    <n v="25.64"/>
    <x v="0"/>
    <n v="58"/>
    <n v="58"/>
    <n v="77"/>
    <n v="77"/>
    <x v="0"/>
    <x v="1"/>
  </r>
  <r>
    <n v="0"/>
    <x v="0"/>
    <n v="59"/>
    <x v="2"/>
    <n v="1"/>
    <n v="1"/>
    <s v="Primary"/>
    <x v="2"/>
    <n v="1"/>
    <n v="3"/>
    <n v="3"/>
    <x v="0"/>
    <s v="NA"/>
    <x v="0"/>
    <n v="0"/>
    <n v="1"/>
    <n v="0"/>
    <n v="201"/>
    <n v="201"/>
    <x v="1"/>
    <n v="145"/>
    <n v="88"/>
    <n v="39.909999999999997"/>
    <n v="39.909999999999997"/>
    <x v="2"/>
    <n v="65"/>
    <n v="65"/>
    <n v="89"/>
    <n v="89"/>
    <x v="1"/>
    <x v="0"/>
  </r>
  <r>
    <n v="0"/>
    <x v="0"/>
    <n v="59"/>
    <x v="2"/>
    <n v="1"/>
    <n v="1"/>
    <s v="Primary"/>
    <x v="2"/>
    <n v="1"/>
    <n v="30"/>
    <n v="30"/>
    <x v="0"/>
    <s v="NA"/>
    <x v="0"/>
    <n v="0"/>
    <n v="0"/>
    <n v="0"/>
    <n v="316"/>
    <n v="316"/>
    <x v="0"/>
    <n v="110"/>
    <n v="70"/>
    <n v="19.829999999999998"/>
    <n v="19.829999999999998"/>
    <x v="1"/>
    <n v="80"/>
    <n v="80"/>
    <n v="74"/>
    <n v="74"/>
    <x v="1"/>
    <x v="1"/>
  </r>
  <r>
    <n v="1"/>
    <x v="1"/>
    <n v="59"/>
    <x v="2"/>
    <n v="1"/>
    <n v="1"/>
    <s v="Primary"/>
    <x v="2"/>
    <n v="1"/>
    <n v="9"/>
    <n v="9"/>
    <x v="0"/>
    <n v="0"/>
    <x v="0"/>
    <n v="0"/>
    <n v="0"/>
    <n v="0"/>
    <n v="200"/>
    <n v="200"/>
    <x v="1"/>
    <n v="124"/>
    <n v="77"/>
    <n v="22.82"/>
    <n v="22.82"/>
    <x v="1"/>
    <n v="57"/>
    <n v="57"/>
    <s v="NA"/>
    <n v="81.96365524402907"/>
    <x v="0"/>
    <x v="0"/>
  </r>
  <r>
    <n v="0"/>
    <x v="0"/>
    <n v="59"/>
    <x v="2"/>
    <n v="1"/>
    <n v="1"/>
    <s v="Primary"/>
    <x v="2"/>
    <n v="1"/>
    <n v="20"/>
    <n v="20"/>
    <x v="0"/>
    <s v="NA"/>
    <x v="0"/>
    <n v="0"/>
    <n v="0"/>
    <n v="0"/>
    <n v="225"/>
    <n v="225"/>
    <x v="1"/>
    <n v="110"/>
    <n v="64"/>
    <n v="28.1"/>
    <n v="28.1"/>
    <x v="0"/>
    <n v="66"/>
    <n v="66"/>
    <n v="64"/>
    <n v="64"/>
    <x v="1"/>
    <x v="0"/>
  </r>
  <r>
    <n v="0"/>
    <x v="0"/>
    <n v="59"/>
    <x v="2"/>
    <n v="1"/>
    <n v="1"/>
    <s v="Primary"/>
    <x v="2"/>
    <n v="0"/>
    <n v="0"/>
    <n v="0"/>
    <x v="1"/>
    <n v="0"/>
    <x v="0"/>
    <n v="0"/>
    <n v="1"/>
    <n v="0"/>
    <n v="220"/>
    <n v="220"/>
    <x v="1"/>
    <n v="145"/>
    <n v="86"/>
    <n v="25.9"/>
    <n v="25.9"/>
    <x v="0"/>
    <n v="90"/>
    <n v="90"/>
    <n v="77"/>
    <n v="77"/>
    <x v="0"/>
    <x v="0"/>
  </r>
  <r>
    <n v="0"/>
    <x v="0"/>
    <n v="59"/>
    <x v="2"/>
    <n v="3"/>
    <n v="3"/>
    <s v="Graduate"/>
    <x v="1"/>
    <n v="1"/>
    <n v="3"/>
    <n v="3"/>
    <x v="0"/>
    <n v="0"/>
    <x v="0"/>
    <n v="0"/>
    <n v="1"/>
    <n v="0"/>
    <n v="216"/>
    <n v="216"/>
    <x v="1"/>
    <n v="205"/>
    <n v="92.5"/>
    <n v="25.86"/>
    <n v="25.86"/>
    <x v="0"/>
    <n v="66"/>
    <n v="66"/>
    <n v="84"/>
    <n v="84"/>
    <x v="0"/>
    <x v="0"/>
  </r>
  <r>
    <n v="0"/>
    <x v="0"/>
    <n v="59"/>
    <x v="2"/>
    <n v="3"/>
    <n v="3"/>
    <s v="Graduate"/>
    <x v="1"/>
    <n v="0"/>
    <n v="0"/>
    <n v="0"/>
    <x v="1"/>
    <n v="0"/>
    <x v="0"/>
    <n v="0"/>
    <n v="0"/>
    <n v="0"/>
    <n v="293"/>
    <n v="293"/>
    <x v="0"/>
    <n v="124"/>
    <n v="74"/>
    <n v="25.56"/>
    <n v="25.56"/>
    <x v="0"/>
    <n v="72"/>
    <n v="72"/>
    <n v="77"/>
    <n v="77"/>
    <x v="0"/>
    <x v="0"/>
  </r>
  <r>
    <n v="0"/>
    <x v="0"/>
    <n v="59"/>
    <x v="2"/>
    <n v="1"/>
    <n v="1"/>
    <s v="Primary"/>
    <x v="2"/>
    <n v="0"/>
    <n v="0"/>
    <n v="0"/>
    <x v="1"/>
    <n v="0"/>
    <x v="0"/>
    <n v="0"/>
    <n v="0"/>
    <n v="0"/>
    <n v="205"/>
    <n v="205"/>
    <x v="1"/>
    <n v="142.5"/>
    <n v="74.5"/>
    <n v="25.63"/>
    <n v="25.63"/>
    <x v="0"/>
    <n v="85"/>
    <n v="85"/>
    <n v="83"/>
    <n v="83"/>
    <x v="0"/>
    <x v="0"/>
  </r>
  <r>
    <n v="1"/>
    <x v="1"/>
    <n v="59"/>
    <x v="2"/>
    <n v="1"/>
    <n v="1"/>
    <s v="Primary"/>
    <x v="2"/>
    <n v="1"/>
    <n v="20"/>
    <n v="20"/>
    <x v="0"/>
    <n v="0"/>
    <x v="0"/>
    <n v="0"/>
    <n v="0"/>
    <n v="0"/>
    <n v="207"/>
    <n v="207"/>
    <x v="1"/>
    <n v="111.5"/>
    <n v="67"/>
    <n v="20.12"/>
    <n v="20.12"/>
    <x v="1"/>
    <n v="55"/>
    <n v="55"/>
    <n v="84"/>
    <n v="84"/>
    <x v="0"/>
    <x v="0"/>
  </r>
  <r>
    <n v="1"/>
    <x v="1"/>
    <n v="59"/>
    <x v="2"/>
    <n v="4"/>
    <n v="4"/>
    <s v="Post Graduate"/>
    <x v="3"/>
    <n v="1"/>
    <n v="30"/>
    <n v="30"/>
    <x v="0"/>
    <n v="0"/>
    <x v="0"/>
    <n v="0"/>
    <n v="0"/>
    <n v="0"/>
    <n v="235"/>
    <n v="235"/>
    <x v="1"/>
    <n v="136"/>
    <n v="96"/>
    <n v="28.61"/>
    <n v="28.61"/>
    <x v="0"/>
    <n v="54"/>
    <n v="54"/>
    <n v="85"/>
    <n v="85"/>
    <x v="0"/>
    <x v="0"/>
  </r>
  <r>
    <n v="0"/>
    <x v="0"/>
    <n v="59"/>
    <x v="2"/>
    <n v="3"/>
    <n v="3"/>
    <s v="Graduate"/>
    <x v="1"/>
    <n v="1"/>
    <n v="15"/>
    <n v="15"/>
    <x v="0"/>
    <n v="0"/>
    <x v="0"/>
    <n v="0"/>
    <n v="0"/>
    <n v="1"/>
    <n v="342"/>
    <n v="342"/>
    <x v="0"/>
    <n v="137"/>
    <n v="83.5"/>
    <n v="25.18"/>
    <n v="25.18"/>
    <x v="0"/>
    <n v="86"/>
    <n v="86"/>
    <n v="140"/>
    <n v="140"/>
    <x v="0"/>
    <x v="0"/>
  </r>
  <r>
    <n v="1"/>
    <x v="1"/>
    <n v="59"/>
    <x v="2"/>
    <n v="2"/>
    <n v="2"/>
    <s v="Secondary"/>
    <x v="0"/>
    <n v="1"/>
    <n v="20"/>
    <n v="20"/>
    <x v="0"/>
    <n v="0"/>
    <x v="0"/>
    <n v="0"/>
    <n v="1"/>
    <n v="0"/>
    <n v="266"/>
    <n v="266"/>
    <x v="0"/>
    <n v="165"/>
    <n v="99"/>
    <n v="29.07"/>
    <n v="29.07"/>
    <x v="0"/>
    <n v="96"/>
    <n v="96"/>
    <n v="82"/>
    <n v="82"/>
    <x v="0"/>
    <x v="1"/>
  </r>
  <r>
    <n v="1"/>
    <x v="1"/>
    <n v="59"/>
    <x v="2"/>
    <n v="3"/>
    <n v="3"/>
    <s v="Graduate"/>
    <x v="1"/>
    <n v="0"/>
    <n v="0"/>
    <n v="0"/>
    <x v="1"/>
    <n v="0"/>
    <x v="0"/>
    <n v="0"/>
    <n v="1"/>
    <n v="0"/>
    <n v="285"/>
    <n v="285"/>
    <x v="0"/>
    <n v="128"/>
    <n v="91"/>
    <n v="28.23"/>
    <n v="28.23"/>
    <x v="0"/>
    <n v="70"/>
    <n v="70"/>
    <n v="80"/>
    <n v="80"/>
    <x v="0"/>
    <x v="0"/>
  </r>
  <r>
    <n v="1"/>
    <x v="1"/>
    <n v="59"/>
    <x v="2"/>
    <n v="2"/>
    <n v="2"/>
    <s v="Secondary"/>
    <x v="0"/>
    <n v="0"/>
    <n v="0"/>
    <n v="0"/>
    <x v="1"/>
    <n v="0"/>
    <x v="0"/>
    <n v="0"/>
    <n v="0"/>
    <n v="0"/>
    <n v="299"/>
    <n v="299"/>
    <x v="0"/>
    <n v="120.5"/>
    <n v="78"/>
    <n v="25.45"/>
    <n v="25.45"/>
    <x v="0"/>
    <n v="60"/>
    <n v="60"/>
    <n v="100"/>
    <n v="100"/>
    <x v="0"/>
    <x v="1"/>
  </r>
  <r>
    <n v="1"/>
    <x v="1"/>
    <n v="59"/>
    <x v="2"/>
    <n v="1"/>
    <n v="1"/>
    <s v="Primary"/>
    <x v="2"/>
    <n v="0"/>
    <n v="0"/>
    <n v="0"/>
    <x v="1"/>
    <n v="0"/>
    <x v="0"/>
    <n v="0"/>
    <n v="0"/>
    <n v="0"/>
    <n v="252"/>
    <n v="252"/>
    <x v="0"/>
    <n v="146"/>
    <n v="92"/>
    <n v="27.88"/>
    <n v="27.88"/>
    <x v="0"/>
    <n v="68"/>
    <n v="68"/>
    <n v="80"/>
    <n v="80"/>
    <x v="0"/>
    <x v="1"/>
  </r>
  <r>
    <n v="0"/>
    <x v="0"/>
    <n v="59"/>
    <x v="2"/>
    <n v="2"/>
    <n v="2"/>
    <s v="Secondary"/>
    <x v="0"/>
    <n v="1"/>
    <n v="15"/>
    <n v="15"/>
    <x v="0"/>
    <n v="0"/>
    <x v="0"/>
    <n v="0"/>
    <n v="0"/>
    <n v="0"/>
    <n v="309"/>
    <n v="309"/>
    <x v="0"/>
    <n v="141"/>
    <n v="77.5"/>
    <n v="25.97"/>
    <n v="25.97"/>
    <x v="0"/>
    <n v="70"/>
    <n v="70"/>
    <n v="79"/>
    <n v="79"/>
    <x v="0"/>
    <x v="0"/>
  </r>
  <r>
    <n v="0"/>
    <x v="0"/>
    <n v="59"/>
    <x v="2"/>
    <n v="1"/>
    <n v="1"/>
    <s v="Primary"/>
    <x v="2"/>
    <n v="1"/>
    <n v="10"/>
    <n v="10"/>
    <x v="0"/>
    <n v="1"/>
    <x v="1"/>
    <n v="0"/>
    <n v="1"/>
    <n v="0"/>
    <n v="312"/>
    <n v="312"/>
    <x v="0"/>
    <n v="175"/>
    <n v="82"/>
    <n v="39.82"/>
    <n v="39.82"/>
    <x v="2"/>
    <n v="120"/>
    <n v="120"/>
    <n v="85"/>
    <n v="85"/>
    <x v="0"/>
    <x v="1"/>
  </r>
  <r>
    <n v="1"/>
    <x v="1"/>
    <n v="59"/>
    <x v="2"/>
    <n v="2"/>
    <n v="2"/>
    <s v="Secondary"/>
    <x v="0"/>
    <n v="0"/>
    <n v="0"/>
    <n v="0"/>
    <x v="1"/>
    <n v="0"/>
    <x v="0"/>
    <n v="0"/>
    <n v="1"/>
    <n v="0"/>
    <n v="242"/>
    <n v="242"/>
    <x v="0"/>
    <n v="144"/>
    <n v="87.5"/>
    <n v="28.7"/>
    <n v="28.7"/>
    <x v="0"/>
    <n v="72"/>
    <n v="72"/>
    <s v="NA"/>
    <n v="81.96365524402907"/>
    <x v="0"/>
    <x v="0"/>
  </r>
  <r>
    <n v="1"/>
    <x v="1"/>
    <n v="59"/>
    <x v="2"/>
    <n v="1"/>
    <n v="1"/>
    <s v="Primary"/>
    <x v="2"/>
    <n v="1"/>
    <n v="3"/>
    <n v="3"/>
    <x v="0"/>
    <n v="0"/>
    <x v="0"/>
    <n v="0"/>
    <n v="1"/>
    <n v="1"/>
    <n v="230"/>
    <n v="230"/>
    <x v="1"/>
    <n v="182"/>
    <n v="102"/>
    <n v="25.91"/>
    <n v="25.91"/>
    <x v="0"/>
    <n v="66"/>
    <n v="66"/>
    <n v="147"/>
    <n v="147"/>
    <x v="0"/>
    <x v="1"/>
  </r>
  <r>
    <n v="1"/>
    <x v="1"/>
    <n v="59"/>
    <x v="2"/>
    <n v="3"/>
    <n v="3"/>
    <s v="Graduate"/>
    <x v="1"/>
    <n v="1"/>
    <n v="40"/>
    <n v="40"/>
    <x v="0"/>
    <n v="0"/>
    <x v="0"/>
    <n v="0"/>
    <n v="1"/>
    <n v="0"/>
    <n v="243"/>
    <n v="243"/>
    <x v="0"/>
    <n v="162"/>
    <n v="91"/>
    <n v="33"/>
    <n v="33"/>
    <x v="2"/>
    <n v="85"/>
    <n v="85"/>
    <n v="81"/>
    <n v="81"/>
    <x v="0"/>
    <x v="1"/>
  </r>
  <r>
    <n v="0"/>
    <x v="0"/>
    <n v="59"/>
    <x v="2"/>
    <n v="2"/>
    <n v="2"/>
    <s v="Secondary"/>
    <x v="0"/>
    <n v="1"/>
    <n v="35"/>
    <n v="35"/>
    <x v="0"/>
    <n v="0"/>
    <x v="0"/>
    <n v="0"/>
    <n v="1"/>
    <n v="0"/>
    <n v="345"/>
    <n v="345"/>
    <x v="0"/>
    <n v="182.5"/>
    <n v="103"/>
    <n v="31.52"/>
    <n v="31.52"/>
    <x v="2"/>
    <n v="83"/>
    <n v="83"/>
    <n v="76"/>
    <n v="76"/>
    <x v="0"/>
    <x v="1"/>
  </r>
  <r>
    <n v="0"/>
    <x v="0"/>
    <n v="59"/>
    <x v="2"/>
    <n v="2"/>
    <n v="2"/>
    <s v="Secondary"/>
    <x v="0"/>
    <n v="0"/>
    <n v="0"/>
    <n v="0"/>
    <x v="1"/>
    <n v="0"/>
    <x v="0"/>
    <n v="0"/>
    <n v="0"/>
    <n v="0"/>
    <n v="364"/>
    <n v="364"/>
    <x v="0"/>
    <n v="142"/>
    <n v="84"/>
    <n v="26.24"/>
    <n v="26.24"/>
    <x v="0"/>
    <n v="67"/>
    <n v="67"/>
    <n v="70"/>
    <n v="70"/>
    <x v="0"/>
    <x v="0"/>
  </r>
  <r>
    <n v="1"/>
    <x v="1"/>
    <n v="59"/>
    <x v="2"/>
    <n v="2"/>
    <n v="2"/>
    <s v="Secondary"/>
    <x v="0"/>
    <n v="1"/>
    <n v="1"/>
    <n v="1"/>
    <x v="0"/>
    <n v="0"/>
    <x v="0"/>
    <n v="0"/>
    <n v="0"/>
    <n v="0"/>
    <n v="232"/>
    <n v="232"/>
    <x v="1"/>
    <n v="108"/>
    <n v="73"/>
    <n v="24.92"/>
    <n v="24.92"/>
    <x v="1"/>
    <n v="65"/>
    <n v="65"/>
    <n v="81"/>
    <n v="81"/>
    <x v="0"/>
    <x v="0"/>
  </r>
  <r>
    <n v="0"/>
    <x v="0"/>
    <n v="59"/>
    <x v="2"/>
    <n v="1"/>
    <n v="1"/>
    <s v="Primary"/>
    <x v="2"/>
    <n v="0"/>
    <n v="0"/>
    <n v="0"/>
    <x v="1"/>
    <n v="0"/>
    <x v="0"/>
    <n v="0"/>
    <n v="1"/>
    <n v="0"/>
    <n v="267"/>
    <n v="267"/>
    <x v="0"/>
    <n v="190"/>
    <n v="90"/>
    <n v="26.23"/>
    <n v="26.23"/>
    <x v="0"/>
    <n v="75"/>
    <n v="75"/>
    <s v="NA"/>
    <n v="81.96365524402907"/>
    <x v="0"/>
    <x v="0"/>
  </r>
  <r>
    <n v="0"/>
    <x v="0"/>
    <n v="59"/>
    <x v="2"/>
    <n v="4"/>
    <n v="4"/>
    <s v="Post Graduate"/>
    <x v="3"/>
    <n v="0"/>
    <n v="0"/>
    <n v="0"/>
    <x v="1"/>
    <n v="1"/>
    <x v="1"/>
    <n v="0"/>
    <n v="1"/>
    <n v="0"/>
    <n v="282"/>
    <n v="282"/>
    <x v="0"/>
    <n v="135"/>
    <n v="87"/>
    <n v="28.96"/>
    <n v="28.96"/>
    <x v="0"/>
    <n v="72"/>
    <n v="72"/>
    <s v="NA"/>
    <n v="81.96365524402907"/>
    <x v="0"/>
    <x v="0"/>
  </r>
  <r>
    <n v="0"/>
    <x v="0"/>
    <n v="59"/>
    <x v="2"/>
    <n v="1"/>
    <n v="1"/>
    <s v="Primary"/>
    <x v="2"/>
    <n v="0"/>
    <n v="0"/>
    <n v="0"/>
    <x v="1"/>
    <n v="1"/>
    <x v="1"/>
    <n v="0"/>
    <n v="1"/>
    <n v="0"/>
    <n v="297"/>
    <n v="297"/>
    <x v="0"/>
    <n v="198"/>
    <n v="108"/>
    <n v="28.06"/>
    <n v="28.06"/>
    <x v="0"/>
    <n v="85"/>
    <n v="85"/>
    <n v="109"/>
    <n v="109"/>
    <x v="0"/>
    <x v="0"/>
  </r>
  <r>
    <n v="1"/>
    <x v="1"/>
    <n v="59"/>
    <x v="2"/>
    <n v="1"/>
    <n v="1"/>
    <s v="Primary"/>
    <x v="2"/>
    <n v="1"/>
    <n v="40"/>
    <n v="40"/>
    <x v="0"/>
    <n v="0"/>
    <x v="0"/>
    <n v="0"/>
    <n v="1"/>
    <n v="0"/>
    <n v="188"/>
    <n v="188"/>
    <x v="1"/>
    <n v="111"/>
    <n v="72"/>
    <n v="21.48"/>
    <n v="21.48"/>
    <x v="1"/>
    <n v="75"/>
    <n v="75"/>
    <n v="44"/>
    <n v="44"/>
    <x v="0"/>
    <x v="0"/>
  </r>
  <r>
    <n v="1"/>
    <x v="1"/>
    <n v="59"/>
    <x v="2"/>
    <n v="4"/>
    <n v="4"/>
    <s v="Post Graduate"/>
    <x v="3"/>
    <n v="0"/>
    <n v="0"/>
    <n v="0"/>
    <x v="1"/>
    <n v="0"/>
    <x v="0"/>
    <n v="0"/>
    <n v="0"/>
    <n v="1"/>
    <n v="314"/>
    <n v="314"/>
    <x v="0"/>
    <n v="135"/>
    <n v="77.5"/>
    <n v="22.17"/>
    <n v="22.17"/>
    <x v="1"/>
    <n v="75"/>
    <n v="75"/>
    <n v="170"/>
    <n v="170"/>
    <x v="0"/>
    <x v="0"/>
  </r>
  <r>
    <n v="0"/>
    <x v="0"/>
    <n v="59"/>
    <x v="2"/>
    <n v="3"/>
    <n v="3"/>
    <s v="Graduate"/>
    <x v="1"/>
    <n v="0"/>
    <n v="0"/>
    <n v="0"/>
    <x v="1"/>
    <n v="0"/>
    <x v="0"/>
    <n v="0"/>
    <n v="1"/>
    <n v="0"/>
    <n v="240"/>
    <n v="240"/>
    <x v="1"/>
    <n v="149"/>
    <n v="88"/>
    <n v="27.48"/>
    <n v="27.48"/>
    <x v="0"/>
    <n v="80"/>
    <n v="80"/>
    <n v="82"/>
    <n v="82"/>
    <x v="0"/>
    <x v="0"/>
  </r>
  <r>
    <n v="0"/>
    <x v="0"/>
    <n v="59"/>
    <x v="2"/>
    <n v="1"/>
    <n v="1"/>
    <s v="Primary"/>
    <x v="2"/>
    <n v="0"/>
    <n v="0"/>
    <n v="0"/>
    <x v="1"/>
    <n v="1"/>
    <x v="1"/>
    <n v="0"/>
    <n v="1"/>
    <n v="0"/>
    <n v="234"/>
    <n v="234"/>
    <x v="1"/>
    <n v="181"/>
    <n v="107"/>
    <n v="39.4"/>
    <n v="39.4"/>
    <x v="2"/>
    <n v="80"/>
    <n v="80"/>
    <n v="90"/>
    <n v="90"/>
    <x v="0"/>
    <x v="1"/>
  </r>
  <r>
    <n v="0"/>
    <x v="0"/>
    <n v="59"/>
    <x v="2"/>
    <n v="2"/>
    <n v="2"/>
    <s v="Secondary"/>
    <x v="0"/>
    <n v="1"/>
    <n v="9"/>
    <n v="9"/>
    <x v="0"/>
    <n v="0"/>
    <x v="0"/>
    <n v="0"/>
    <n v="0"/>
    <n v="0"/>
    <n v="229"/>
    <n v="229"/>
    <x v="1"/>
    <n v="127.5"/>
    <n v="76"/>
    <n v="23.65"/>
    <n v="23.65"/>
    <x v="1"/>
    <n v="74"/>
    <n v="74"/>
    <n v="70"/>
    <n v="70"/>
    <x v="0"/>
    <x v="0"/>
  </r>
  <r>
    <n v="0"/>
    <x v="0"/>
    <n v="59"/>
    <x v="2"/>
    <n v="1"/>
    <n v="1"/>
    <s v="Primary"/>
    <x v="2"/>
    <n v="0"/>
    <n v="0"/>
    <n v="0"/>
    <x v="1"/>
    <n v="0"/>
    <x v="0"/>
    <n v="0"/>
    <n v="1"/>
    <n v="0"/>
    <n v="254"/>
    <n v="254"/>
    <x v="0"/>
    <n v="181"/>
    <n v="101"/>
    <n v="24.67"/>
    <n v="24.67"/>
    <x v="1"/>
    <n v="76"/>
    <n v="76"/>
    <n v="68"/>
    <n v="68"/>
    <x v="0"/>
    <x v="0"/>
  </r>
  <r>
    <n v="0"/>
    <x v="0"/>
    <n v="59"/>
    <x v="2"/>
    <n v="2"/>
    <n v="2"/>
    <s v="Secondary"/>
    <x v="0"/>
    <n v="0"/>
    <n v="0"/>
    <n v="0"/>
    <x v="1"/>
    <n v="0"/>
    <x v="0"/>
    <n v="0"/>
    <n v="0"/>
    <n v="0"/>
    <n v="279"/>
    <n v="279"/>
    <x v="0"/>
    <n v="132"/>
    <n v="88"/>
    <n v="26.48"/>
    <n v="26.48"/>
    <x v="0"/>
    <n v="78"/>
    <n v="78"/>
    <n v="88"/>
    <n v="88"/>
    <x v="0"/>
    <x v="0"/>
  </r>
  <r>
    <n v="0"/>
    <x v="0"/>
    <n v="59"/>
    <x v="2"/>
    <n v="1"/>
    <n v="1"/>
    <s v="Primary"/>
    <x v="2"/>
    <n v="0"/>
    <n v="0"/>
    <n v="0"/>
    <x v="1"/>
    <n v="0"/>
    <x v="0"/>
    <n v="0"/>
    <n v="0"/>
    <n v="0"/>
    <n v="281"/>
    <n v="281"/>
    <x v="0"/>
    <n v="130.5"/>
    <n v="86"/>
    <n v="25.11"/>
    <n v="25.11"/>
    <x v="0"/>
    <n v="80"/>
    <n v="80"/>
    <n v="83"/>
    <n v="83"/>
    <x v="0"/>
    <x v="0"/>
  </r>
  <r>
    <n v="0"/>
    <x v="0"/>
    <n v="59"/>
    <x v="2"/>
    <n v="2"/>
    <n v="2"/>
    <s v="Secondary"/>
    <x v="0"/>
    <n v="0"/>
    <n v="0"/>
    <n v="0"/>
    <x v="1"/>
    <n v="0"/>
    <x v="0"/>
    <n v="0"/>
    <n v="1"/>
    <n v="0"/>
    <n v="250"/>
    <n v="250"/>
    <x v="0"/>
    <n v="120.5"/>
    <n v="80.5"/>
    <n v="27.59"/>
    <n v="27.59"/>
    <x v="0"/>
    <n v="80"/>
    <n v="80"/>
    <n v="75"/>
    <n v="75"/>
    <x v="0"/>
    <x v="1"/>
  </r>
  <r>
    <n v="0"/>
    <x v="0"/>
    <n v="59"/>
    <x v="2"/>
    <n v="4"/>
    <n v="4"/>
    <s v="Post Graduate"/>
    <x v="3"/>
    <n v="0"/>
    <n v="0"/>
    <n v="0"/>
    <x v="1"/>
    <n v="0"/>
    <x v="0"/>
    <n v="0"/>
    <n v="1"/>
    <n v="0"/>
    <n v="313"/>
    <n v="313"/>
    <x v="0"/>
    <n v="186.5"/>
    <n v="99"/>
    <n v="25.65"/>
    <n v="25.65"/>
    <x v="0"/>
    <n v="72"/>
    <n v="72"/>
    <n v="84"/>
    <n v="84"/>
    <x v="0"/>
    <x v="0"/>
  </r>
  <r>
    <n v="0"/>
    <x v="0"/>
    <n v="59"/>
    <x v="2"/>
    <n v="3"/>
    <n v="3"/>
    <s v="Graduate"/>
    <x v="1"/>
    <n v="0"/>
    <n v="0"/>
    <n v="0"/>
    <x v="1"/>
    <n v="0"/>
    <x v="0"/>
    <n v="0"/>
    <n v="0"/>
    <n v="0"/>
    <n v="226"/>
    <n v="226"/>
    <x v="1"/>
    <n v="108"/>
    <n v="72"/>
    <n v="24.87"/>
    <n v="24.87"/>
    <x v="1"/>
    <n v="55"/>
    <n v="55"/>
    <n v="86"/>
    <n v="86"/>
    <x v="0"/>
    <x v="0"/>
  </r>
  <r>
    <n v="0"/>
    <x v="0"/>
    <n v="59"/>
    <x v="2"/>
    <n v="1"/>
    <n v="1"/>
    <s v="Primary"/>
    <x v="2"/>
    <n v="0"/>
    <n v="0"/>
    <n v="0"/>
    <x v="1"/>
    <n v="0"/>
    <x v="0"/>
    <n v="0"/>
    <n v="0"/>
    <n v="0"/>
    <n v="225"/>
    <n v="225"/>
    <x v="1"/>
    <n v="132"/>
    <n v="80"/>
    <n v="28.41"/>
    <n v="28.41"/>
    <x v="0"/>
    <n v="58"/>
    <n v="58"/>
    <n v="88"/>
    <n v="88"/>
    <x v="0"/>
    <x v="0"/>
  </r>
  <r>
    <n v="1"/>
    <x v="1"/>
    <n v="59"/>
    <x v="2"/>
    <n v="3"/>
    <n v="3"/>
    <s v="Graduate"/>
    <x v="1"/>
    <n v="1"/>
    <n v="30"/>
    <n v="30"/>
    <x v="0"/>
    <n v="0"/>
    <x v="0"/>
    <n v="0"/>
    <n v="1"/>
    <n v="0"/>
    <n v="239"/>
    <n v="239"/>
    <x v="1"/>
    <n v="168"/>
    <n v="100"/>
    <n v="27.87"/>
    <n v="27.87"/>
    <x v="0"/>
    <n v="65"/>
    <n v="65"/>
    <n v="96"/>
    <n v="96"/>
    <x v="0"/>
    <x v="1"/>
  </r>
  <r>
    <n v="0"/>
    <x v="0"/>
    <n v="59"/>
    <x v="2"/>
    <n v="2"/>
    <n v="2"/>
    <s v="Secondary"/>
    <x v="0"/>
    <n v="0"/>
    <n v="0"/>
    <n v="0"/>
    <x v="1"/>
    <n v="0"/>
    <x v="0"/>
    <n v="0"/>
    <n v="0"/>
    <n v="0"/>
    <n v="239"/>
    <n v="239"/>
    <x v="1"/>
    <n v="127"/>
    <n v="88.5"/>
    <n v="27.2"/>
    <n v="27.2"/>
    <x v="0"/>
    <n v="90"/>
    <n v="90"/>
    <n v="78"/>
    <n v="78"/>
    <x v="0"/>
    <x v="0"/>
  </r>
  <r>
    <n v="0"/>
    <x v="0"/>
    <n v="59"/>
    <x v="2"/>
    <n v="2"/>
    <n v="2"/>
    <s v="Secondary"/>
    <x v="0"/>
    <n v="1"/>
    <n v="20"/>
    <n v="20"/>
    <x v="0"/>
    <n v="0"/>
    <x v="0"/>
    <n v="0"/>
    <n v="1"/>
    <n v="0"/>
    <n v="254"/>
    <n v="254"/>
    <x v="0"/>
    <n v="154.5"/>
    <n v="93"/>
    <n v="21.82"/>
    <n v="21.82"/>
    <x v="1"/>
    <n v="85"/>
    <n v="85"/>
    <n v="89"/>
    <n v="89"/>
    <x v="0"/>
    <x v="0"/>
  </r>
  <r>
    <n v="0"/>
    <x v="0"/>
    <n v="59"/>
    <x v="2"/>
    <n v="3"/>
    <n v="3"/>
    <s v="Graduate"/>
    <x v="1"/>
    <n v="0"/>
    <n v="0"/>
    <n v="0"/>
    <x v="1"/>
    <n v="1"/>
    <x v="1"/>
    <n v="0"/>
    <n v="1"/>
    <n v="0"/>
    <n v="223"/>
    <n v="223"/>
    <x v="1"/>
    <n v="159"/>
    <n v="102"/>
    <n v="28.3"/>
    <n v="28.3"/>
    <x v="0"/>
    <n v="62"/>
    <n v="62"/>
    <n v="83"/>
    <n v="83"/>
    <x v="0"/>
    <x v="0"/>
  </r>
  <r>
    <n v="1"/>
    <x v="1"/>
    <n v="59"/>
    <x v="2"/>
    <n v="1"/>
    <n v="1"/>
    <s v="Primary"/>
    <x v="2"/>
    <n v="0"/>
    <n v="0"/>
    <n v="0"/>
    <x v="1"/>
    <n v="0"/>
    <x v="0"/>
    <n v="0"/>
    <n v="0"/>
    <n v="0"/>
    <n v="274"/>
    <n v="274"/>
    <x v="0"/>
    <n v="144.5"/>
    <n v="91.5"/>
    <n v="26.08"/>
    <n v="26.08"/>
    <x v="0"/>
    <n v="67"/>
    <n v="67"/>
    <n v="63"/>
    <n v="63"/>
    <x v="0"/>
    <x v="0"/>
  </r>
  <r>
    <n v="1"/>
    <x v="1"/>
    <n v="59"/>
    <x v="2"/>
    <n v="1"/>
    <n v="1"/>
    <s v="Primary"/>
    <x v="2"/>
    <n v="1"/>
    <n v="20"/>
    <n v="20"/>
    <x v="0"/>
    <n v="0"/>
    <x v="0"/>
    <n v="0"/>
    <n v="0"/>
    <n v="0"/>
    <n v="163"/>
    <n v="163"/>
    <x v="1"/>
    <n v="138"/>
    <n v="80"/>
    <n v="31.08"/>
    <n v="31.08"/>
    <x v="2"/>
    <n v="70"/>
    <n v="70"/>
    <n v="70"/>
    <n v="70"/>
    <x v="0"/>
    <x v="0"/>
  </r>
  <r>
    <n v="0"/>
    <x v="0"/>
    <n v="59"/>
    <x v="2"/>
    <n v="1"/>
    <n v="1"/>
    <s v="Primary"/>
    <x v="2"/>
    <n v="0"/>
    <n v="0"/>
    <n v="0"/>
    <x v="1"/>
    <n v="0"/>
    <x v="0"/>
    <n v="0"/>
    <n v="0"/>
    <n v="0"/>
    <n v="280"/>
    <n v="280"/>
    <x v="0"/>
    <n v="135.5"/>
    <n v="72.5"/>
    <n v="22.38"/>
    <n v="22.38"/>
    <x v="1"/>
    <n v="96"/>
    <n v="96"/>
    <s v="NA"/>
    <n v="81.96365524402907"/>
    <x v="0"/>
    <x v="0"/>
  </r>
  <r>
    <n v="0"/>
    <x v="0"/>
    <n v="59"/>
    <x v="2"/>
    <n v="1"/>
    <n v="1"/>
    <s v="Primary"/>
    <x v="2"/>
    <n v="0"/>
    <n v="0"/>
    <n v="0"/>
    <x v="1"/>
    <n v="0"/>
    <x v="0"/>
    <n v="0"/>
    <n v="0"/>
    <n v="0"/>
    <n v="249"/>
    <n v="249"/>
    <x v="0"/>
    <n v="138"/>
    <n v="72"/>
    <n v="25.02"/>
    <n v="25.02"/>
    <x v="0"/>
    <n v="60"/>
    <n v="60"/>
    <n v="70"/>
    <n v="70"/>
    <x v="0"/>
    <x v="0"/>
  </r>
  <r>
    <n v="1"/>
    <x v="1"/>
    <n v="59"/>
    <x v="2"/>
    <n v="4"/>
    <n v="4"/>
    <s v="Post Graduate"/>
    <x v="3"/>
    <n v="1"/>
    <n v="20"/>
    <n v="20"/>
    <x v="0"/>
    <n v="0"/>
    <x v="0"/>
    <n v="0"/>
    <n v="1"/>
    <n v="0"/>
    <n v="232"/>
    <n v="232"/>
    <x v="1"/>
    <n v="151.5"/>
    <n v="110"/>
    <n v="26.89"/>
    <n v="26.89"/>
    <x v="0"/>
    <n v="68"/>
    <n v="68"/>
    <n v="69"/>
    <n v="69"/>
    <x v="0"/>
    <x v="0"/>
  </r>
  <r>
    <n v="0"/>
    <x v="0"/>
    <n v="59"/>
    <x v="2"/>
    <s v="NA"/>
    <n v="1"/>
    <s v="Primary"/>
    <x v="2"/>
    <n v="0"/>
    <n v="0"/>
    <n v="0"/>
    <x v="1"/>
    <n v="0"/>
    <x v="0"/>
    <n v="0"/>
    <n v="0"/>
    <n v="0"/>
    <n v="281"/>
    <n v="281"/>
    <x v="0"/>
    <n v="139"/>
    <n v="82"/>
    <n v="29.51"/>
    <n v="29.51"/>
    <x v="0"/>
    <n v="80"/>
    <n v="80"/>
    <n v="75"/>
    <n v="75"/>
    <x v="0"/>
    <x v="0"/>
  </r>
  <r>
    <n v="1"/>
    <x v="1"/>
    <n v="59"/>
    <x v="2"/>
    <n v="1"/>
    <n v="1"/>
    <s v="Primary"/>
    <x v="2"/>
    <n v="0"/>
    <n v="0"/>
    <n v="0"/>
    <x v="1"/>
    <n v="0"/>
    <x v="0"/>
    <n v="0"/>
    <n v="0"/>
    <n v="0"/>
    <n v="190"/>
    <n v="190"/>
    <x v="1"/>
    <n v="127"/>
    <n v="77"/>
    <n v="28.47"/>
    <n v="28.47"/>
    <x v="0"/>
    <n v="80"/>
    <n v="80"/>
    <n v="100"/>
    <n v="100"/>
    <x v="0"/>
    <x v="0"/>
  </r>
  <r>
    <n v="0"/>
    <x v="0"/>
    <n v="59"/>
    <x v="2"/>
    <n v="3"/>
    <n v="3"/>
    <s v="Graduate"/>
    <x v="1"/>
    <n v="0"/>
    <n v="0"/>
    <n v="0"/>
    <x v="1"/>
    <n v="0"/>
    <x v="0"/>
    <n v="0"/>
    <n v="1"/>
    <n v="0"/>
    <n v="282"/>
    <n v="282"/>
    <x v="0"/>
    <n v="148"/>
    <n v="89"/>
    <n v="25.69"/>
    <n v="25.69"/>
    <x v="0"/>
    <n v="90"/>
    <n v="90"/>
    <s v="NA"/>
    <n v="81.96365524402907"/>
    <x v="0"/>
    <x v="0"/>
  </r>
  <r>
    <n v="0"/>
    <x v="0"/>
    <n v="59"/>
    <x v="2"/>
    <n v="1"/>
    <n v="1"/>
    <s v="Primary"/>
    <x v="2"/>
    <n v="1"/>
    <n v="5"/>
    <n v="5"/>
    <x v="0"/>
    <n v="0"/>
    <x v="0"/>
    <n v="0"/>
    <n v="0"/>
    <n v="0"/>
    <n v="254"/>
    <n v="254"/>
    <x v="0"/>
    <n v="126.5"/>
    <n v="79"/>
    <n v="25.92"/>
    <n v="25.92"/>
    <x v="0"/>
    <n v="60"/>
    <n v="60"/>
    <n v="77"/>
    <n v="77"/>
    <x v="0"/>
    <x v="0"/>
  </r>
  <r>
    <n v="0"/>
    <x v="0"/>
    <n v="59"/>
    <x v="2"/>
    <n v="3"/>
    <n v="3"/>
    <s v="Graduate"/>
    <x v="1"/>
    <n v="0"/>
    <n v="0"/>
    <n v="0"/>
    <x v="1"/>
    <n v="0"/>
    <x v="0"/>
    <n v="0"/>
    <n v="1"/>
    <n v="0"/>
    <n v="330"/>
    <n v="330"/>
    <x v="0"/>
    <n v="155"/>
    <n v="90"/>
    <n v="23.94"/>
    <n v="23.94"/>
    <x v="1"/>
    <n v="75"/>
    <n v="75"/>
    <n v="96"/>
    <n v="96"/>
    <x v="0"/>
    <x v="0"/>
  </r>
  <r>
    <n v="1"/>
    <x v="1"/>
    <n v="59"/>
    <x v="2"/>
    <n v="1"/>
    <n v="1"/>
    <s v="Primary"/>
    <x v="2"/>
    <n v="1"/>
    <n v="15"/>
    <n v="15"/>
    <x v="0"/>
    <n v="0"/>
    <x v="0"/>
    <n v="0"/>
    <n v="0"/>
    <n v="0"/>
    <n v="259"/>
    <n v="259"/>
    <x v="0"/>
    <n v="116"/>
    <n v="83"/>
    <n v="27.93"/>
    <n v="27.93"/>
    <x v="0"/>
    <n v="80"/>
    <n v="80"/>
    <n v="83"/>
    <n v="83"/>
    <x v="0"/>
    <x v="0"/>
  </r>
  <r>
    <n v="0"/>
    <x v="0"/>
    <n v="59"/>
    <x v="2"/>
    <n v="2"/>
    <n v="2"/>
    <s v="Secondary"/>
    <x v="0"/>
    <n v="0"/>
    <n v="0"/>
    <n v="0"/>
    <x v="1"/>
    <n v="0"/>
    <x v="0"/>
    <n v="0"/>
    <n v="1"/>
    <n v="0"/>
    <n v="233"/>
    <n v="233"/>
    <x v="1"/>
    <n v="149"/>
    <n v="85"/>
    <n v="24.67"/>
    <n v="24.67"/>
    <x v="1"/>
    <n v="120"/>
    <n v="120"/>
    <n v="72"/>
    <n v="72"/>
    <x v="0"/>
    <x v="0"/>
  </r>
  <r>
    <n v="0"/>
    <x v="0"/>
    <n v="59"/>
    <x v="2"/>
    <n v="1"/>
    <n v="1"/>
    <s v="Primary"/>
    <x v="2"/>
    <n v="0"/>
    <n v="0"/>
    <n v="0"/>
    <x v="1"/>
    <n v="0"/>
    <x v="0"/>
    <n v="0"/>
    <n v="1"/>
    <n v="0"/>
    <n v="254"/>
    <n v="254"/>
    <x v="0"/>
    <n v="143.5"/>
    <n v="92.5"/>
    <n v="35.11"/>
    <n v="35.11"/>
    <x v="2"/>
    <n v="80"/>
    <n v="80"/>
    <s v="NA"/>
    <n v="81.96365524402907"/>
    <x v="0"/>
    <x v="0"/>
  </r>
  <r>
    <n v="0"/>
    <x v="0"/>
    <n v="59"/>
    <x v="2"/>
    <n v="1"/>
    <n v="1"/>
    <s v="Primary"/>
    <x v="2"/>
    <n v="0"/>
    <n v="0"/>
    <n v="0"/>
    <x v="1"/>
    <n v="0"/>
    <x v="0"/>
    <n v="0"/>
    <n v="0"/>
    <n v="0"/>
    <n v="254"/>
    <n v="254"/>
    <x v="0"/>
    <n v="116"/>
    <n v="71"/>
    <n v="25.48"/>
    <n v="25.48"/>
    <x v="0"/>
    <n v="75"/>
    <n v="75"/>
    <n v="98"/>
    <n v="98"/>
    <x v="0"/>
    <x v="1"/>
  </r>
  <r>
    <n v="0"/>
    <x v="0"/>
    <n v="59"/>
    <x v="2"/>
    <n v="1"/>
    <n v="1"/>
    <s v="Primary"/>
    <x v="2"/>
    <n v="0"/>
    <n v="0"/>
    <n v="0"/>
    <x v="1"/>
    <n v="0"/>
    <x v="0"/>
    <n v="0"/>
    <n v="1"/>
    <n v="0"/>
    <n v="244"/>
    <n v="244"/>
    <x v="0"/>
    <n v="160"/>
    <n v="85"/>
    <n v="29.41"/>
    <n v="29.41"/>
    <x v="0"/>
    <n v="72"/>
    <n v="72"/>
    <n v="85"/>
    <n v="85"/>
    <x v="0"/>
    <x v="0"/>
  </r>
  <r>
    <n v="1"/>
    <x v="1"/>
    <n v="59"/>
    <x v="2"/>
    <n v="1"/>
    <n v="1"/>
    <s v="Primary"/>
    <x v="2"/>
    <n v="1"/>
    <n v="43"/>
    <n v="43"/>
    <x v="0"/>
    <n v="0"/>
    <x v="0"/>
    <n v="0"/>
    <n v="0"/>
    <n v="0"/>
    <n v="162"/>
    <n v="162"/>
    <x v="1"/>
    <n v="117"/>
    <n v="73"/>
    <n v="25.01"/>
    <n v="25.01"/>
    <x v="0"/>
    <n v="96"/>
    <n v="96"/>
    <n v="87"/>
    <n v="87"/>
    <x v="0"/>
    <x v="0"/>
  </r>
  <r>
    <n v="1"/>
    <x v="1"/>
    <n v="59"/>
    <x v="2"/>
    <n v="3"/>
    <n v="3"/>
    <s v="Graduate"/>
    <x v="1"/>
    <n v="1"/>
    <n v="20"/>
    <n v="20"/>
    <x v="0"/>
    <n v="0"/>
    <x v="0"/>
    <n v="0"/>
    <n v="1"/>
    <n v="0"/>
    <n v="206"/>
    <n v="206"/>
    <x v="1"/>
    <n v="187"/>
    <n v="97"/>
    <n v="26"/>
    <n v="26"/>
    <x v="0"/>
    <n v="100"/>
    <n v="100"/>
    <n v="69"/>
    <n v="69"/>
    <x v="0"/>
    <x v="0"/>
  </r>
  <r>
    <n v="1"/>
    <x v="1"/>
    <n v="59"/>
    <x v="2"/>
    <n v="1"/>
    <n v="1"/>
    <s v="Primary"/>
    <x v="2"/>
    <n v="0"/>
    <n v="0"/>
    <n v="0"/>
    <x v="1"/>
    <n v="0"/>
    <x v="0"/>
    <n v="0"/>
    <n v="1"/>
    <n v="0"/>
    <n v="248"/>
    <n v="248"/>
    <x v="0"/>
    <n v="151.5"/>
    <n v="71"/>
    <n v="27.14"/>
    <n v="27.14"/>
    <x v="0"/>
    <n v="75"/>
    <n v="75"/>
    <n v="110"/>
    <n v="110"/>
    <x v="0"/>
    <x v="0"/>
  </r>
  <r>
    <n v="1"/>
    <x v="1"/>
    <n v="59"/>
    <x v="2"/>
    <n v="1"/>
    <n v="1"/>
    <s v="Primary"/>
    <x v="2"/>
    <n v="0"/>
    <n v="0"/>
    <n v="0"/>
    <x v="1"/>
    <n v="0"/>
    <x v="0"/>
    <n v="0"/>
    <n v="1"/>
    <n v="0"/>
    <n v="313"/>
    <n v="313"/>
    <x v="0"/>
    <n v="150"/>
    <n v="82"/>
    <n v="27.27"/>
    <n v="27.27"/>
    <x v="0"/>
    <n v="62"/>
    <n v="62"/>
    <n v="94"/>
    <n v="94"/>
    <x v="0"/>
    <x v="0"/>
  </r>
  <r>
    <n v="0"/>
    <x v="0"/>
    <n v="59"/>
    <x v="2"/>
    <n v="2"/>
    <n v="2"/>
    <s v="Secondary"/>
    <x v="0"/>
    <n v="0"/>
    <n v="0"/>
    <n v="0"/>
    <x v="1"/>
    <n v="0"/>
    <x v="0"/>
    <n v="0"/>
    <n v="0"/>
    <n v="0"/>
    <n v="345"/>
    <n v="345"/>
    <x v="0"/>
    <n v="148"/>
    <n v="95"/>
    <n v="23.72"/>
    <n v="23.72"/>
    <x v="1"/>
    <n v="79"/>
    <n v="79"/>
    <n v="60"/>
    <n v="60"/>
    <x v="0"/>
    <x v="0"/>
  </r>
  <r>
    <n v="1"/>
    <x v="1"/>
    <n v="59"/>
    <x v="2"/>
    <n v="2"/>
    <n v="2"/>
    <s v="Secondary"/>
    <x v="0"/>
    <n v="0"/>
    <n v="0"/>
    <n v="0"/>
    <x v="1"/>
    <n v="0"/>
    <x v="0"/>
    <n v="0"/>
    <n v="0"/>
    <n v="0"/>
    <n v="237"/>
    <n v="237"/>
    <x v="1"/>
    <n v="131.5"/>
    <n v="84"/>
    <n v="24.17"/>
    <n v="24.17"/>
    <x v="1"/>
    <n v="90"/>
    <n v="90"/>
    <n v="94"/>
    <n v="94"/>
    <x v="0"/>
    <x v="1"/>
  </r>
  <r>
    <n v="0"/>
    <x v="0"/>
    <n v="59"/>
    <x v="2"/>
    <n v="3"/>
    <n v="3"/>
    <s v="Graduate"/>
    <x v="1"/>
    <n v="1"/>
    <n v="20"/>
    <n v="20"/>
    <x v="0"/>
    <n v="0"/>
    <x v="0"/>
    <n v="0"/>
    <n v="0"/>
    <n v="0"/>
    <n v="251"/>
    <n v="251"/>
    <x v="0"/>
    <n v="125"/>
    <n v="80"/>
    <n v="22.18"/>
    <n v="22.18"/>
    <x v="1"/>
    <n v="70"/>
    <n v="70"/>
    <n v="70"/>
    <n v="70"/>
    <x v="0"/>
    <x v="0"/>
  </r>
  <r>
    <n v="0"/>
    <x v="0"/>
    <n v="60"/>
    <x v="2"/>
    <n v="1"/>
    <n v="1"/>
    <s v="Primary"/>
    <x v="2"/>
    <n v="0"/>
    <n v="0"/>
    <n v="0"/>
    <x v="1"/>
    <n v="0"/>
    <x v="0"/>
    <n v="0"/>
    <n v="0"/>
    <n v="0"/>
    <n v="260"/>
    <n v="260"/>
    <x v="0"/>
    <n v="110"/>
    <n v="72.5"/>
    <n v="26.59"/>
    <n v="26.59"/>
    <x v="0"/>
    <n v="65"/>
    <n v="65"/>
    <s v="NA"/>
    <n v="81.96365524402907"/>
    <x v="0"/>
    <x v="0"/>
  </r>
  <r>
    <n v="0"/>
    <x v="0"/>
    <n v="60"/>
    <x v="2"/>
    <n v="1"/>
    <n v="1"/>
    <s v="Primary"/>
    <x v="2"/>
    <n v="0"/>
    <n v="0"/>
    <n v="0"/>
    <x v="1"/>
    <n v="0"/>
    <x v="0"/>
    <n v="0"/>
    <n v="0"/>
    <n v="0"/>
    <n v="247"/>
    <n v="247"/>
    <x v="0"/>
    <n v="130"/>
    <n v="88"/>
    <n v="30.36"/>
    <n v="30.36"/>
    <x v="2"/>
    <n v="72"/>
    <n v="72"/>
    <n v="74"/>
    <n v="74"/>
    <x v="0"/>
    <x v="0"/>
  </r>
  <r>
    <n v="1"/>
    <x v="1"/>
    <n v="60"/>
    <x v="2"/>
    <n v="1"/>
    <n v="1"/>
    <s v="Primary"/>
    <x v="2"/>
    <n v="1"/>
    <n v="20"/>
    <n v="20"/>
    <x v="0"/>
    <n v="0"/>
    <x v="0"/>
    <n v="0"/>
    <n v="1"/>
    <n v="0"/>
    <n v="170"/>
    <n v="170"/>
    <x v="1"/>
    <n v="179"/>
    <n v="94"/>
    <n v="26.52"/>
    <n v="26.52"/>
    <x v="0"/>
    <n v="90"/>
    <n v="90"/>
    <n v="83"/>
    <n v="83"/>
    <x v="0"/>
    <x v="0"/>
  </r>
  <r>
    <n v="1"/>
    <x v="1"/>
    <n v="60"/>
    <x v="2"/>
    <n v="4"/>
    <n v="4"/>
    <s v="Post Graduate"/>
    <x v="3"/>
    <n v="1"/>
    <n v="30"/>
    <n v="30"/>
    <x v="0"/>
    <n v="0"/>
    <x v="0"/>
    <n v="0"/>
    <n v="0"/>
    <n v="0"/>
    <n v="243"/>
    <n v="243"/>
    <x v="0"/>
    <n v="126"/>
    <n v="79"/>
    <n v="28.57"/>
    <n v="28.57"/>
    <x v="0"/>
    <n v="80"/>
    <n v="80"/>
    <n v="65"/>
    <n v="65"/>
    <x v="0"/>
    <x v="1"/>
  </r>
  <r>
    <n v="0"/>
    <x v="0"/>
    <n v="60"/>
    <x v="2"/>
    <n v="3"/>
    <n v="3"/>
    <s v="Graduate"/>
    <x v="1"/>
    <n v="0"/>
    <n v="0"/>
    <n v="0"/>
    <x v="1"/>
    <n v="0"/>
    <x v="0"/>
    <n v="0"/>
    <n v="1"/>
    <n v="0"/>
    <n v="275"/>
    <n v="275"/>
    <x v="0"/>
    <n v="141"/>
    <n v="84"/>
    <n v="29.66"/>
    <n v="29.66"/>
    <x v="0"/>
    <n v="75"/>
    <n v="75"/>
    <n v="105"/>
    <n v="105"/>
    <x v="0"/>
    <x v="0"/>
  </r>
  <r>
    <n v="1"/>
    <x v="1"/>
    <n v="60"/>
    <x v="2"/>
    <n v="1"/>
    <n v="1"/>
    <s v="Primary"/>
    <x v="2"/>
    <n v="0"/>
    <n v="0"/>
    <n v="0"/>
    <x v="1"/>
    <n v="0"/>
    <x v="0"/>
    <n v="0"/>
    <n v="1"/>
    <n v="0"/>
    <n v="278"/>
    <n v="278"/>
    <x v="0"/>
    <n v="160.5"/>
    <n v="96"/>
    <n v="26.4"/>
    <n v="26.4"/>
    <x v="0"/>
    <n v="55"/>
    <n v="55"/>
    <n v="75"/>
    <n v="75"/>
    <x v="0"/>
    <x v="1"/>
  </r>
  <r>
    <n v="0"/>
    <x v="0"/>
    <n v="60"/>
    <x v="2"/>
    <n v="3"/>
    <n v="3"/>
    <s v="Graduate"/>
    <x v="1"/>
    <n v="0"/>
    <n v="0"/>
    <n v="0"/>
    <x v="1"/>
    <n v="0"/>
    <x v="0"/>
    <n v="0"/>
    <n v="1"/>
    <n v="0"/>
    <n v="325"/>
    <n v="325"/>
    <x v="0"/>
    <n v="182"/>
    <n v="106"/>
    <n v="27.61"/>
    <n v="27.61"/>
    <x v="0"/>
    <n v="80"/>
    <n v="80"/>
    <n v="77"/>
    <n v="77"/>
    <x v="0"/>
    <x v="1"/>
  </r>
  <r>
    <n v="1"/>
    <x v="1"/>
    <n v="60"/>
    <x v="2"/>
    <n v="1"/>
    <n v="1"/>
    <s v="Primary"/>
    <x v="2"/>
    <n v="0"/>
    <n v="0"/>
    <n v="0"/>
    <x v="1"/>
    <n v="0"/>
    <x v="0"/>
    <n v="0"/>
    <n v="0"/>
    <n v="0"/>
    <n v="240"/>
    <n v="240"/>
    <x v="1"/>
    <n v="137"/>
    <n v="84"/>
    <n v="29.51"/>
    <n v="29.51"/>
    <x v="0"/>
    <n v="82"/>
    <n v="82"/>
    <n v="88"/>
    <n v="88"/>
    <x v="0"/>
    <x v="0"/>
  </r>
  <r>
    <n v="0"/>
    <x v="0"/>
    <n v="60"/>
    <x v="2"/>
    <n v="1"/>
    <n v="1"/>
    <s v="Primary"/>
    <x v="2"/>
    <n v="0"/>
    <n v="0"/>
    <n v="0"/>
    <x v="1"/>
    <n v="0"/>
    <x v="0"/>
    <n v="0"/>
    <n v="0"/>
    <n v="0"/>
    <n v="242"/>
    <n v="242"/>
    <x v="0"/>
    <n v="130"/>
    <n v="70"/>
    <n v="29.17"/>
    <n v="29.17"/>
    <x v="0"/>
    <n v="65"/>
    <n v="65"/>
    <n v="84"/>
    <n v="84"/>
    <x v="0"/>
    <x v="0"/>
  </r>
  <r>
    <n v="0"/>
    <x v="0"/>
    <n v="60"/>
    <x v="2"/>
    <n v="1"/>
    <n v="1"/>
    <s v="Primary"/>
    <x v="2"/>
    <n v="1"/>
    <n v="20"/>
    <n v="20"/>
    <x v="0"/>
    <n v="0"/>
    <x v="0"/>
    <n v="0"/>
    <n v="0"/>
    <n v="1"/>
    <n v="180"/>
    <n v="180"/>
    <x v="1"/>
    <n v="200"/>
    <n v="122.5"/>
    <n v="44.27"/>
    <n v="44.27"/>
    <x v="2"/>
    <n v="88"/>
    <n v="88"/>
    <n v="150"/>
    <n v="150"/>
    <x v="0"/>
    <x v="0"/>
  </r>
  <r>
    <n v="0"/>
    <x v="0"/>
    <n v="60"/>
    <x v="2"/>
    <n v="1"/>
    <n v="1"/>
    <s v="Primary"/>
    <x v="2"/>
    <n v="0"/>
    <n v="0"/>
    <n v="0"/>
    <x v="1"/>
    <n v="1"/>
    <x v="1"/>
    <n v="1"/>
    <n v="1"/>
    <n v="0"/>
    <n v="252"/>
    <n v="252"/>
    <x v="0"/>
    <n v="189"/>
    <n v="110"/>
    <n v="28.77"/>
    <n v="28.77"/>
    <x v="0"/>
    <n v="54"/>
    <n v="54"/>
    <n v="70"/>
    <n v="70"/>
    <x v="0"/>
    <x v="0"/>
  </r>
  <r>
    <n v="0"/>
    <x v="0"/>
    <n v="60"/>
    <x v="2"/>
    <n v="1"/>
    <n v="1"/>
    <s v="Primary"/>
    <x v="2"/>
    <n v="0"/>
    <n v="0"/>
    <n v="0"/>
    <x v="1"/>
    <n v="0"/>
    <x v="0"/>
    <n v="0"/>
    <n v="1"/>
    <n v="0"/>
    <n v="352"/>
    <n v="352"/>
    <x v="0"/>
    <n v="197.5"/>
    <n v="105"/>
    <n v="36.29"/>
    <n v="36.29"/>
    <x v="2"/>
    <n v="75"/>
    <n v="75"/>
    <n v="95"/>
    <n v="95"/>
    <x v="0"/>
    <x v="1"/>
  </r>
  <r>
    <n v="0"/>
    <x v="0"/>
    <n v="60"/>
    <x v="2"/>
    <n v="3"/>
    <n v="3"/>
    <s v="Graduate"/>
    <x v="1"/>
    <n v="0"/>
    <n v="0"/>
    <n v="0"/>
    <x v="1"/>
    <n v="0"/>
    <x v="0"/>
    <n v="0"/>
    <n v="0"/>
    <n v="0"/>
    <n v="325"/>
    <n v="325"/>
    <x v="0"/>
    <n v="123"/>
    <n v="79"/>
    <n v="25.82"/>
    <n v="25.82"/>
    <x v="0"/>
    <n v="63"/>
    <n v="63"/>
    <n v="85"/>
    <n v="85"/>
    <x v="0"/>
    <x v="0"/>
  </r>
  <r>
    <n v="0"/>
    <x v="0"/>
    <n v="60"/>
    <x v="2"/>
    <n v="3"/>
    <n v="3"/>
    <s v="Graduate"/>
    <x v="1"/>
    <n v="0"/>
    <n v="0"/>
    <n v="0"/>
    <x v="1"/>
    <n v="0"/>
    <x v="0"/>
    <n v="0"/>
    <n v="0"/>
    <n v="0"/>
    <n v="328"/>
    <n v="328"/>
    <x v="0"/>
    <n v="127"/>
    <n v="70"/>
    <n v="22.36"/>
    <n v="22.36"/>
    <x v="1"/>
    <n v="75"/>
    <n v="75"/>
    <n v="63"/>
    <n v="63"/>
    <x v="0"/>
    <x v="1"/>
  </r>
  <r>
    <n v="0"/>
    <x v="0"/>
    <n v="60"/>
    <x v="2"/>
    <n v="3"/>
    <n v="3"/>
    <s v="Graduate"/>
    <x v="1"/>
    <n v="0"/>
    <n v="0"/>
    <n v="0"/>
    <x v="1"/>
    <n v="0"/>
    <x v="0"/>
    <n v="0"/>
    <n v="1"/>
    <n v="0"/>
    <n v="285"/>
    <n v="285"/>
    <x v="0"/>
    <n v="156"/>
    <n v="100"/>
    <n v="23.02"/>
    <n v="23.02"/>
    <x v="1"/>
    <n v="80"/>
    <n v="80"/>
    <n v="85"/>
    <n v="85"/>
    <x v="0"/>
    <x v="0"/>
  </r>
  <r>
    <n v="0"/>
    <x v="0"/>
    <n v="60"/>
    <x v="2"/>
    <n v="1"/>
    <n v="1"/>
    <s v="Primary"/>
    <x v="2"/>
    <n v="0"/>
    <n v="0"/>
    <n v="0"/>
    <x v="1"/>
    <n v="0"/>
    <x v="0"/>
    <n v="0"/>
    <n v="0"/>
    <n v="1"/>
    <n v="260"/>
    <n v="260"/>
    <x v="0"/>
    <n v="95.5"/>
    <n v="59"/>
    <n v="25.94"/>
    <n v="25.94"/>
    <x v="0"/>
    <n v="90"/>
    <n v="90"/>
    <n v="160"/>
    <n v="160"/>
    <x v="0"/>
    <x v="0"/>
  </r>
  <r>
    <n v="0"/>
    <x v="0"/>
    <n v="60"/>
    <x v="2"/>
    <s v="NA"/>
    <n v="1"/>
    <s v="Primary"/>
    <x v="2"/>
    <n v="0"/>
    <n v="0"/>
    <n v="0"/>
    <x v="1"/>
    <n v="0"/>
    <x v="0"/>
    <n v="0"/>
    <n v="0"/>
    <n v="0"/>
    <n v="215"/>
    <n v="215"/>
    <x v="1"/>
    <n v="113"/>
    <n v="71"/>
    <n v="26.69"/>
    <n v="26.69"/>
    <x v="0"/>
    <n v="77"/>
    <n v="77"/>
    <s v="NA"/>
    <n v="81.96365524402907"/>
    <x v="0"/>
    <x v="0"/>
  </r>
  <r>
    <n v="1"/>
    <x v="1"/>
    <n v="60"/>
    <x v="2"/>
    <n v="4"/>
    <n v="4"/>
    <s v="Post Graduate"/>
    <x v="3"/>
    <n v="0"/>
    <n v="0"/>
    <n v="0"/>
    <x v="1"/>
    <n v="0"/>
    <x v="0"/>
    <n v="0"/>
    <n v="0"/>
    <n v="0"/>
    <n v="232"/>
    <n v="232"/>
    <x v="1"/>
    <n v="165"/>
    <n v="77"/>
    <n v="29.23"/>
    <n v="29.23"/>
    <x v="0"/>
    <n v="69"/>
    <n v="69"/>
    <n v="57"/>
    <n v="57"/>
    <x v="0"/>
    <x v="1"/>
  </r>
  <r>
    <n v="0"/>
    <x v="0"/>
    <n v="60"/>
    <x v="2"/>
    <n v="1"/>
    <n v="1"/>
    <s v="Primary"/>
    <x v="2"/>
    <n v="0"/>
    <n v="0"/>
    <n v="0"/>
    <x v="1"/>
    <n v="0"/>
    <x v="0"/>
    <n v="0"/>
    <n v="1"/>
    <n v="1"/>
    <n v="258"/>
    <n v="258"/>
    <x v="0"/>
    <n v="142"/>
    <n v="87"/>
    <n v="32.53"/>
    <n v="32.53"/>
    <x v="2"/>
    <n v="82"/>
    <n v="82"/>
    <n v="145"/>
    <n v="145"/>
    <x v="0"/>
    <x v="0"/>
  </r>
  <r>
    <n v="0"/>
    <x v="0"/>
    <n v="60"/>
    <x v="2"/>
    <n v="2"/>
    <n v="2"/>
    <s v="Secondary"/>
    <x v="0"/>
    <n v="1"/>
    <n v="20"/>
    <n v="20"/>
    <x v="0"/>
    <n v="1"/>
    <x v="1"/>
    <n v="0"/>
    <n v="1"/>
    <n v="0"/>
    <n v="294"/>
    <n v="294"/>
    <x v="0"/>
    <n v="220"/>
    <n v="118"/>
    <n v="24.22"/>
    <n v="24.22"/>
    <x v="1"/>
    <n v="90"/>
    <n v="90"/>
    <n v="59"/>
    <n v="59"/>
    <x v="0"/>
    <x v="0"/>
  </r>
  <r>
    <n v="1"/>
    <x v="1"/>
    <n v="60"/>
    <x v="2"/>
    <n v="3"/>
    <n v="3"/>
    <s v="Graduate"/>
    <x v="1"/>
    <n v="0"/>
    <n v="0"/>
    <n v="0"/>
    <x v="1"/>
    <n v="0"/>
    <x v="0"/>
    <n v="0"/>
    <n v="1"/>
    <n v="0"/>
    <n v="276"/>
    <n v="276"/>
    <x v="0"/>
    <n v="144"/>
    <n v="78"/>
    <n v="26.98"/>
    <n v="26.98"/>
    <x v="0"/>
    <n v="60"/>
    <n v="60"/>
    <n v="88"/>
    <n v="88"/>
    <x v="0"/>
    <x v="0"/>
  </r>
  <r>
    <n v="1"/>
    <x v="1"/>
    <n v="60"/>
    <x v="2"/>
    <n v="4"/>
    <n v="4"/>
    <s v="Post Graduate"/>
    <x v="3"/>
    <n v="1"/>
    <n v="3"/>
    <n v="3"/>
    <x v="0"/>
    <n v="0"/>
    <x v="0"/>
    <n v="0"/>
    <n v="1"/>
    <n v="0"/>
    <n v="267"/>
    <n v="267"/>
    <x v="0"/>
    <n v="168.5"/>
    <n v="108"/>
    <n v="26.67"/>
    <n v="26.67"/>
    <x v="0"/>
    <n v="108"/>
    <n v="108"/>
    <n v="83"/>
    <n v="83"/>
    <x v="0"/>
    <x v="0"/>
  </r>
  <r>
    <n v="0"/>
    <x v="0"/>
    <n v="60"/>
    <x v="2"/>
    <n v="2"/>
    <n v="2"/>
    <s v="Secondary"/>
    <x v="0"/>
    <n v="1"/>
    <n v="3"/>
    <n v="3"/>
    <x v="0"/>
    <n v="0"/>
    <x v="0"/>
    <n v="0"/>
    <n v="0"/>
    <n v="0"/>
    <n v="314"/>
    <n v="314"/>
    <x v="0"/>
    <n v="141"/>
    <n v="93"/>
    <n v="25.23"/>
    <n v="25.23"/>
    <x v="0"/>
    <n v="105"/>
    <n v="105"/>
    <n v="94"/>
    <n v="94"/>
    <x v="0"/>
    <x v="0"/>
  </r>
  <r>
    <n v="0"/>
    <x v="0"/>
    <n v="60"/>
    <x v="2"/>
    <n v="1"/>
    <n v="1"/>
    <s v="Primary"/>
    <x v="2"/>
    <n v="0"/>
    <n v="0"/>
    <n v="0"/>
    <x v="1"/>
    <n v="0"/>
    <x v="0"/>
    <n v="0"/>
    <n v="1"/>
    <n v="0"/>
    <n v="238"/>
    <n v="238"/>
    <x v="1"/>
    <n v="134"/>
    <n v="84"/>
    <n v="27.49"/>
    <n v="27.49"/>
    <x v="0"/>
    <n v="80"/>
    <n v="80"/>
    <n v="66"/>
    <n v="66"/>
    <x v="0"/>
    <x v="0"/>
  </r>
  <r>
    <n v="1"/>
    <x v="1"/>
    <n v="60"/>
    <x v="2"/>
    <n v="1"/>
    <n v="1"/>
    <s v="Primary"/>
    <x v="2"/>
    <n v="1"/>
    <n v="3"/>
    <n v="3"/>
    <x v="0"/>
    <n v="0"/>
    <x v="0"/>
    <n v="0"/>
    <n v="0"/>
    <n v="0"/>
    <n v="239"/>
    <n v="239"/>
    <x v="1"/>
    <n v="130"/>
    <n v="78"/>
    <n v="28.36"/>
    <n v="28.36"/>
    <x v="0"/>
    <n v="60"/>
    <n v="60"/>
    <n v="99"/>
    <n v="99"/>
    <x v="0"/>
    <x v="0"/>
  </r>
  <r>
    <n v="0"/>
    <x v="0"/>
    <n v="60"/>
    <x v="2"/>
    <n v="2"/>
    <n v="2"/>
    <s v="Secondary"/>
    <x v="0"/>
    <n v="1"/>
    <n v="15"/>
    <n v="15"/>
    <x v="0"/>
    <n v="0"/>
    <x v="0"/>
    <n v="0"/>
    <n v="1"/>
    <n v="0"/>
    <n v="236"/>
    <n v="236"/>
    <x v="1"/>
    <n v="183"/>
    <n v="107"/>
    <n v="25.45"/>
    <n v="25.45"/>
    <x v="0"/>
    <n v="86"/>
    <n v="86"/>
    <s v="NA"/>
    <n v="81.96365524402907"/>
    <x v="0"/>
    <x v="0"/>
  </r>
  <r>
    <n v="0"/>
    <x v="0"/>
    <n v="60"/>
    <x v="2"/>
    <n v="3"/>
    <n v="3"/>
    <s v="Graduate"/>
    <x v="1"/>
    <n v="1"/>
    <n v="10"/>
    <n v="10"/>
    <x v="0"/>
    <n v="0"/>
    <x v="0"/>
    <n v="0"/>
    <n v="0"/>
    <n v="0"/>
    <n v="212"/>
    <n v="212"/>
    <x v="1"/>
    <n v="186"/>
    <n v="102"/>
    <n v="23.06"/>
    <n v="23.06"/>
    <x v="1"/>
    <n v="80"/>
    <n v="80"/>
    <n v="60"/>
    <n v="60"/>
    <x v="0"/>
    <x v="0"/>
  </r>
  <r>
    <n v="0"/>
    <x v="0"/>
    <n v="60"/>
    <x v="2"/>
    <n v="1"/>
    <n v="1"/>
    <s v="Primary"/>
    <x v="2"/>
    <n v="0"/>
    <n v="0"/>
    <n v="0"/>
    <x v="1"/>
    <n v="0"/>
    <x v="0"/>
    <n v="0"/>
    <n v="0"/>
    <n v="0"/>
    <n v="222"/>
    <n v="222"/>
    <x v="1"/>
    <n v="118"/>
    <n v="73"/>
    <n v="24.48"/>
    <n v="24.48"/>
    <x v="1"/>
    <n v="75"/>
    <n v="75"/>
    <n v="90"/>
    <n v="90"/>
    <x v="0"/>
    <x v="0"/>
  </r>
  <r>
    <n v="1"/>
    <x v="1"/>
    <n v="60"/>
    <x v="2"/>
    <n v="1"/>
    <n v="1"/>
    <s v="Primary"/>
    <x v="2"/>
    <n v="0"/>
    <n v="0"/>
    <n v="0"/>
    <x v="1"/>
    <n v="0"/>
    <x v="0"/>
    <n v="0"/>
    <n v="0"/>
    <n v="0"/>
    <n v="245"/>
    <n v="245"/>
    <x v="0"/>
    <n v="119"/>
    <n v="82"/>
    <n v="28.56"/>
    <n v="28.56"/>
    <x v="0"/>
    <n v="70"/>
    <n v="70"/>
    <n v="89"/>
    <n v="89"/>
    <x v="0"/>
    <x v="0"/>
  </r>
  <r>
    <n v="0"/>
    <x v="0"/>
    <n v="60"/>
    <x v="2"/>
    <n v="1"/>
    <n v="1"/>
    <s v="Primary"/>
    <x v="2"/>
    <n v="1"/>
    <n v="5"/>
    <n v="5"/>
    <x v="0"/>
    <n v="0"/>
    <x v="0"/>
    <n v="0"/>
    <n v="1"/>
    <n v="0"/>
    <n v="239"/>
    <n v="239"/>
    <x v="1"/>
    <n v="164"/>
    <n v="94.5"/>
    <n v="25.01"/>
    <n v="25.01"/>
    <x v="0"/>
    <n v="92"/>
    <n v="92"/>
    <n v="89"/>
    <n v="89"/>
    <x v="0"/>
    <x v="0"/>
  </r>
  <r>
    <n v="1"/>
    <x v="1"/>
    <n v="60"/>
    <x v="2"/>
    <n v="1"/>
    <n v="1"/>
    <s v="Primary"/>
    <x v="2"/>
    <n v="1"/>
    <n v="9"/>
    <n v="9"/>
    <x v="0"/>
    <n v="0"/>
    <x v="0"/>
    <n v="0"/>
    <n v="0"/>
    <n v="0"/>
    <n v="166"/>
    <n v="166"/>
    <x v="1"/>
    <n v="141"/>
    <n v="81"/>
    <n v="19.420000000000002"/>
    <n v="19.420000000000002"/>
    <x v="1"/>
    <n v="67"/>
    <n v="67"/>
    <n v="101"/>
    <n v="101"/>
    <x v="0"/>
    <x v="0"/>
  </r>
  <r>
    <n v="0"/>
    <x v="0"/>
    <n v="60"/>
    <x v="2"/>
    <n v="1"/>
    <n v="1"/>
    <s v="Primary"/>
    <x v="2"/>
    <n v="0"/>
    <n v="0"/>
    <n v="0"/>
    <x v="1"/>
    <n v="0"/>
    <x v="0"/>
    <n v="0"/>
    <n v="1"/>
    <n v="1"/>
    <n v="282"/>
    <n v="282"/>
    <x v="0"/>
    <n v="213"/>
    <n v="94.5"/>
    <n v="28.58"/>
    <n v="28.58"/>
    <x v="0"/>
    <n v="71"/>
    <n v="71"/>
    <n v="78"/>
    <n v="78"/>
    <x v="0"/>
    <x v="0"/>
  </r>
  <r>
    <n v="0"/>
    <x v="0"/>
    <n v="60"/>
    <x v="2"/>
    <n v="1"/>
    <n v="1"/>
    <s v="Primary"/>
    <x v="2"/>
    <n v="1"/>
    <n v="15"/>
    <n v="15"/>
    <x v="0"/>
    <n v="0"/>
    <x v="0"/>
    <n v="0"/>
    <n v="0"/>
    <n v="0"/>
    <n v="353"/>
    <n v="353"/>
    <x v="0"/>
    <n v="116"/>
    <n v="82"/>
    <n v="22.66"/>
    <n v="22.66"/>
    <x v="1"/>
    <n v="85"/>
    <n v="85"/>
    <n v="71"/>
    <n v="71"/>
    <x v="0"/>
    <x v="0"/>
  </r>
  <r>
    <n v="0"/>
    <x v="0"/>
    <n v="60"/>
    <x v="2"/>
    <n v="2"/>
    <n v="2"/>
    <s v="Secondary"/>
    <x v="0"/>
    <n v="0"/>
    <n v="0"/>
    <n v="0"/>
    <x v="1"/>
    <n v="0"/>
    <x v="0"/>
    <n v="0"/>
    <n v="1"/>
    <n v="0"/>
    <n v="335"/>
    <n v="335"/>
    <x v="0"/>
    <n v="199"/>
    <n v="83"/>
    <n v="24.61"/>
    <n v="24.61"/>
    <x v="1"/>
    <n v="80"/>
    <n v="80"/>
    <n v="90"/>
    <n v="90"/>
    <x v="0"/>
    <x v="0"/>
  </r>
  <r>
    <n v="1"/>
    <x v="1"/>
    <n v="60"/>
    <x v="2"/>
    <n v="1"/>
    <n v="1"/>
    <s v="Primary"/>
    <x v="2"/>
    <n v="1"/>
    <n v="20"/>
    <n v="20"/>
    <x v="0"/>
    <n v="1"/>
    <x v="1"/>
    <n v="0"/>
    <n v="1"/>
    <n v="0"/>
    <n v="269"/>
    <n v="269"/>
    <x v="0"/>
    <n v="170"/>
    <n v="100"/>
    <n v="29.59"/>
    <n v="29.59"/>
    <x v="0"/>
    <n v="60"/>
    <n v="60"/>
    <n v="83"/>
    <n v="83"/>
    <x v="0"/>
    <x v="1"/>
  </r>
  <r>
    <n v="1"/>
    <x v="1"/>
    <n v="60"/>
    <x v="2"/>
    <n v="1"/>
    <n v="1"/>
    <s v="Primary"/>
    <x v="2"/>
    <n v="0"/>
    <n v="0"/>
    <n v="0"/>
    <x v="1"/>
    <s v="NA"/>
    <x v="0"/>
    <n v="0"/>
    <n v="1"/>
    <n v="0"/>
    <n v="191"/>
    <n v="191"/>
    <x v="1"/>
    <n v="167"/>
    <n v="105"/>
    <n v="23.01"/>
    <n v="23.01"/>
    <x v="1"/>
    <n v="80"/>
    <n v="80"/>
    <n v="85"/>
    <n v="85"/>
    <x v="1"/>
    <x v="0"/>
  </r>
  <r>
    <n v="1"/>
    <x v="1"/>
    <n v="60"/>
    <x v="2"/>
    <n v="1"/>
    <n v="1"/>
    <s v="Primary"/>
    <x v="2"/>
    <n v="1"/>
    <n v="5"/>
    <n v="5"/>
    <x v="0"/>
    <n v="0"/>
    <x v="0"/>
    <n v="0"/>
    <n v="0"/>
    <n v="0"/>
    <n v="267"/>
    <n v="267"/>
    <x v="0"/>
    <n v="139"/>
    <n v="84"/>
    <n v="28.76"/>
    <n v="28.76"/>
    <x v="0"/>
    <n v="75"/>
    <n v="75"/>
    <n v="112"/>
    <n v="112"/>
    <x v="0"/>
    <x v="0"/>
  </r>
  <r>
    <n v="0"/>
    <x v="0"/>
    <n v="60"/>
    <x v="2"/>
    <n v="1"/>
    <n v="1"/>
    <s v="Primary"/>
    <x v="2"/>
    <n v="0"/>
    <n v="0"/>
    <n v="0"/>
    <x v="1"/>
    <n v="0"/>
    <x v="0"/>
    <n v="0"/>
    <n v="0"/>
    <n v="0"/>
    <n v="236"/>
    <n v="236"/>
    <x v="1"/>
    <n v="126"/>
    <n v="84"/>
    <n v="20.34"/>
    <n v="20.34"/>
    <x v="1"/>
    <n v="71"/>
    <n v="71"/>
    <n v="76"/>
    <n v="76"/>
    <x v="0"/>
    <x v="0"/>
  </r>
  <r>
    <n v="0"/>
    <x v="0"/>
    <n v="60"/>
    <x v="2"/>
    <n v="4"/>
    <n v="4"/>
    <s v="Post Graduate"/>
    <x v="3"/>
    <n v="1"/>
    <n v="20"/>
    <n v="20"/>
    <x v="0"/>
    <n v="0"/>
    <x v="0"/>
    <n v="0"/>
    <n v="1"/>
    <n v="0"/>
    <n v="352"/>
    <n v="352"/>
    <x v="0"/>
    <n v="149"/>
    <n v="73"/>
    <n v="25.96"/>
    <n v="25.96"/>
    <x v="0"/>
    <n v="80"/>
    <n v="80"/>
    <n v="79"/>
    <n v="79"/>
    <x v="0"/>
    <x v="0"/>
  </r>
  <r>
    <n v="0"/>
    <x v="0"/>
    <n v="60"/>
    <x v="2"/>
    <n v="3"/>
    <n v="3"/>
    <s v="Graduate"/>
    <x v="1"/>
    <n v="0"/>
    <n v="0"/>
    <n v="0"/>
    <x v="1"/>
    <n v="0"/>
    <x v="0"/>
    <n v="0"/>
    <n v="0"/>
    <n v="0"/>
    <n v="229"/>
    <n v="229"/>
    <x v="1"/>
    <n v="144"/>
    <n v="91"/>
    <n v="24.96"/>
    <n v="24.96"/>
    <x v="1"/>
    <n v="70"/>
    <n v="70"/>
    <n v="82"/>
    <n v="82"/>
    <x v="0"/>
    <x v="0"/>
  </r>
  <r>
    <n v="1"/>
    <x v="1"/>
    <n v="60"/>
    <x v="2"/>
    <n v="2"/>
    <n v="2"/>
    <s v="Secondary"/>
    <x v="0"/>
    <n v="1"/>
    <n v="20"/>
    <n v="20"/>
    <x v="0"/>
    <n v="0"/>
    <x v="0"/>
    <n v="0"/>
    <n v="1"/>
    <n v="0"/>
    <n v="260"/>
    <n v="260"/>
    <x v="0"/>
    <n v="178"/>
    <n v="103"/>
    <n v="24.62"/>
    <n v="24.62"/>
    <x v="1"/>
    <n v="72"/>
    <n v="72"/>
    <n v="79"/>
    <n v="79"/>
    <x v="0"/>
    <x v="0"/>
  </r>
  <r>
    <n v="1"/>
    <x v="1"/>
    <n v="60"/>
    <x v="2"/>
    <n v="2"/>
    <n v="2"/>
    <s v="Secondary"/>
    <x v="0"/>
    <n v="0"/>
    <n v="0"/>
    <n v="0"/>
    <x v="1"/>
    <n v="0"/>
    <x v="0"/>
    <n v="0"/>
    <n v="0"/>
    <n v="0"/>
    <n v="175"/>
    <n v="175"/>
    <x v="1"/>
    <n v="129"/>
    <n v="89"/>
    <n v="22.16"/>
    <n v="22.16"/>
    <x v="1"/>
    <n v="65"/>
    <n v="65"/>
    <n v="75"/>
    <n v="75"/>
    <x v="0"/>
    <x v="0"/>
  </r>
  <r>
    <n v="0"/>
    <x v="0"/>
    <n v="60"/>
    <x v="2"/>
    <n v="1"/>
    <n v="1"/>
    <s v="Primary"/>
    <x v="2"/>
    <n v="0"/>
    <n v="0"/>
    <n v="0"/>
    <x v="1"/>
    <n v="0"/>
    <x v="0"/>
    <n v="0"/>
    <n v="0"/>
    <n v="0"/>
    <n v="238"/>
    <n v="238"/>
    <x v="1"/>
    <n v="140"/>
    <n v="85"/>
    <n v="28.41"/>
    <n v="28.41"/>
    <x v="0"/>
    <n v="80"/>
    <n v="80"/>
    <n v="88"/>
    <n v="88"/>
    <x v="0"/>
    <x v="0"/>
  </r>
  <r>
    <n v="1"/>
    <x v="1"/>
    <n v="60"/>
    <x v="2"/>
    <n v="1"/>
    <n v="1"/>
    <s v="Primary"/>
    <x v="2"/>
    <n v="0"/>
    <n v="0"/>
    <n v="0"/>
    <x v="1"/>
    <n v="0"/>
    <x v="0"/>
    <n v="0"/>
    <n v="0"/>
    <n v="0"/>
    <n v="183"/>
    <n v="183"/>
    <x v="1"/>
    <n v="114"/>
    <n v="70"/>
    <n v="23.56"/>
    <n v="23.56"/>
    <x v="1"/>
    <n v="75"/>
    <n v="75"/>
    <n v="59"/>
    <n v="59"/>
    <x v="0"/>
    <x v="0"/>
  </r>
  <r>
    <n v="0"/>
    <x v="0"/>
    <n v="60"/>
    <x v="2"/>
    <n v="1"/>
    <n v="1"/>
    <s v="Primary"/>
    <x v="2"/>
    <n v="0"/>
    <n v="0"/>
    <n v="0"/>
    <x v="1"/>
    <n v="0"/>
    <x v="0"/>
    <n v="0"/>
    <n v="0"/>
    <n v="0"/>
    <n v="277"/>
    <n v="277"/>
    <x v="0"/>
    <n v="126"/>
    <n v="70"/>
    <n v="25.13"/>
    <n v="25.13"/>
    <x v="0"/>
    <n v="60"/>
    <n v="60"/>
    <n v="100"/>
    <n v="100"/>
    <x v="0"/>
    <x v="0"/>
  </r>
  <r>
    <n v="0"/>
    <x v="0"/>
    <n v="60"/>
    <x v="2"/>
    <n v="1"/>
    <n v="1"/>
    <s v="Primary"/>
    <x v="2"/>
    <n v="0"/>
    <n v="0"/>
    <n v="0"/>
    <x v="1"/>
    <n v="0"/>
    <x v="0"/>
    <n v="0"/>
    <n v="0"/>
    <n v="0"/>
    <n v="391"/>
    <n v="391"/>
    <x v="0"/>
    <n v="114"/>
    <n v="64"/>
    <n v="24.57"/>
    <n v="24.57"/>
    <x v="1"/>
    <n v="82"/>
    <n v="82"/>
    <n v="83"/>
    <n v="83"/>
    <x v="0"/>
    <x v="0"/>
  </r>
  <r>
    <n v="0"/>
    <x v="0"/>
    <n v="60"/>
    <x v="2"/>
    <n v="1"/>
    <n v="1"/>
    <s v="Primary"/>
    <x v="2"/>
    <n v="0"/>
    <n v="0"/>
    <n v="0"/>
    <x v="1"/>
    <n v="0"/>
    <x v="0"/>
    <n v="0"/>
    <n v="0"/>
    <n v="0"/>
    <n v="318"/>
    <n v="318"/>
    <x v="0"/>
    <n v="132"/>
    <n v="75.5"/>
    <n v="18.87"/>
    <n v="18.87"/>
    <x v="1"/>
    <n v="105"/>
    <n v="105"/>
    <n v="82"/>
    <n v="82"/>
    <x v="0"/>
    <x v="0"/>
  </r>
  <r>
    <n v="0"/>
    <x v="0"/>
    <n v="60"/>
    <x v="2"/>
    <n v="2"/>
    <n v="2"/>
    <s v="Secondary"/>
    <x v="0"/>
    <n v="0"/>
    <n v="0"/>
    <n v="0"/>
    <x v="1"/>
    <n v="0"/>
    <x v="0"/>
    <n v="0"/>
    <n v="1"/>
    <n v="0"/>
    <n v="334"/>
    <n v="334"/>
    <x v="0"/>
    <n v="132"/>
    <n v="94"/>
    <n v="25.38"/>
    <n v="25.38"/>
    <x v="0"/>
    <n v="80"/>
    <n v="80"/>
    <n v="98"/>
    <n v="98"/>
    <x v="0"/>
    <x v="1"/>
  </r>
  <r>
    <n v="0"/>
    <x v="0"/>
    <n v="60"/>
    <x v="2"/>
    <n v="1"/>
    <n v="1"/>
    <s v="Primary"/>
    <x v="2"/>
    <n v="0"/>
    <n v="0"/>
    <n v="0"/>
    <x v="1"/>
    <n v="0"/>
    <x v="0"/>
    <n v="0"/>
    <n v="1"/>
    <n v="0"/>
    <n v="170"/>
    <n v="170"/>
    <x v="1"/>
    <n v="146"/>
    <n v="89"/>
    <n v="32.409999999999997"/>
    <n v="32.409999999999997"/>
    <x v="2"/>
    <n v="68"/>
    <n v="68"/>
    <n v="81"/>
    <n v="81"/>
    <x v="0"/>
    <x v="1"/>
  </r>
  <r>
    <n v="0"/>
    <x v="0"/>
    <n v="60"/>
    <x v="2"/>
    <n v="3"/>
    <n v="3"/>
    <s v="Graduate"/>
    <x v="1"/>
    <n v="0"/>
    <n v="0"/>
    <n v="0"/>
    <x v="1"/>
    <n v="0"/>
    <x v="0"/>
    <n v="0"/>
    <n v="0"/>
    <n v="0"/>
    <n v="268"/>
    <n v="268"/>
    <x v="0"/>
    <n v="123"/>
    <n v="82"/>
    <n v="29.47"/>
    <n v="29.47"/>
    <x v="0"/>
    <n v="80"/>
    <n v="80"/>
    <n v="85"/>
    <n v="85"/>
    <x v="0"/>
    <x v="0"/>
  </r>
  <r>
    <n v="1"/>
    <x v="1"/>
    <n v="60"/>
    <x v="2"/>
    <n v="1"/>
    <n v="1"/>
    <s v="Primary"/>
    <x v="2"/>
    <n v="1"/>
    <n v="20"/>
    <n v="20"/>
    <x v="0"/>
    <n v="0"/>
    <x v="0"/>
    <n v="0"/>
    <n v="0"/>
    <n v="0"/>
    <n v="285"/>
    <n v="285"/>
    <x v="0"/>
    <n v="131.5"/>
    <n v="82"/>
    <n v="27.87"/>
    <n v="27.87"/>
    <x v="0"/>
    <n v="60"/>
    <n v="60"/>
    <n v="103"/>
    <n v="103"/>
    <x v="0"/>
    <x v="0"/>
  </r>
  <r>
    <n v="0"/>
    <x v="0"/>
    <n v="60"/>
    <x v="2"/>
    <n v="3"/>
    <n v="3"/>
    <s v="Graduate"/>
    <x v="1"/>
    <n v="0"/>
    <n v="0"/>
    <n v="0"/>
    <x v="1"/>
    <n v="0"/>
    <x v="0"/>
    <n v="0"/>
    <n v="1"/>
    <n v="0"/>
    <n v="270"/>
    <n v="270"/>
    <x v="0"/>
    <n v="154"/>
    <n v="82"/>
    <n v="27.82"/>
    <n v="27.82"/>
    <x v="0"/>
    <n v="93"/>
    <n v="93"/>
    <n v="90"/>
    <n v="90"/>
    <x v="0"/>
    <x v="0"/>
  </r>
  <r>
    <n v="1"/>
    <x v="1"/>
    <n v="60"/>
    <x v="2"/>
    <n v="1"/>
    <n v="1"/>
    <s v="Primary"/>
    <x v="2"/>
    <n v="0"/>
    <n v="0"/>
    <n v="0"/>
    <x v="1"/>
    <n v="0"/>
    <x v="0"/>
    <n v="0"/>
    <n v="0"/>
    <n v="0"/>
    <n v="275"/>
    <n v="275"/>
    <x v="0"/>
    <n v="132"/>
    <n v="82"/>
    <n v="23.53"/>
    <n v="23.53"/>
    <x v="1"/>
    <n v="75"/>
    <n v="75"/>
    <n v="62"/>
    <n v="62"/>
    <x v="0"/>
    <x v="0"/>
  </r>
  <r>
    <n v="1"/>
    <x v="1"/>
    <n v="60"/>
    <x v="2"/>
    <n v="1"/>
    <n v="1"/>
    <s v="Primary"/>
    <x v="2"/>
    <n v="0"/>
    <n v="0"/>
    <n v="0"/>
    <x v="1"/>
    <n v="0"/>
    <x v="0"/>
    <n v="0"/>
    <n v="0"/>
    <n v="0"/>
    <n v="241"/>
    <n v="241"/>
    <x v="0"/>
    <n v="119.5"/>
    <n v="79"/>
    <n v="24.66"/>
    <n v="24.66"/>
    <x v="1"/>
    <n v="60"/>
    <n v="60"/>
    <n v="78"/>
    <n v="78"/>
    <x v="0"/>
    <x v="0"/>
  </r>
  <r>
    <n v="0"/>
    <x v="0"/>
    <n v="60"/>
    <x v="2"/>
    <n v="1"/>
    <n v="1"/>
    <s v="Primary"/>
    <x v="2"/>
    <n v="0"/>
    <n v="0"/>
    <n v="0"/>
    <x v="1"/>
    <s v="NA"/>
    <x v="0"/>
    <n v="0"/>
    <n v="1"/>
    <n v="0"/>
    <n v="273"/>
    <n v="273"/>
    <x v="0"/>
    <n v="176"/>
    <n v="84"/>
    <n v="22.17"/>
    <n v="22.17"/>
    <x v="1"/>
    <n v="66"/>
    <n v="66"/>
    <n v="79"/>
    <n v="79"/>
    <x v="1"/>
    <x v="0"/>
  </r>
  <r>
    <n v="0"/>
    <x v="0"/>
    <n v="60"/>
    <x v="2"/>
    <n v="2"/>
    <n v="2"/>
    <s v="Secondary"/>
    <x v="0"/>
    <n v="1"/>
    <s v="NA"/>
    <n v="9"/>
    <x v="0"/>
    <n v="0"/>
    <x v="0"/>
    <n v="0"/>
    <n v="0"/>
    <n v="0"/>
    <n v="228"/>
    <n v="228"/>
    <x v="1"/>
    <n v="112"/>
    <n v="74"/>
    <n v="24.51"/>
    <n v="24.51"/>
    <x v="1"/>
    <n v="63"/>
    <n v="63"/>
    <s v="NA"/>
    <n v="81.96365524402907"/>
    <x v="0"/>
    <x v="0"/>
  </r>
  <r>
    <n v="1"/>
    <x v="1"/>
    <n v="60"/>
    <x v="2"/>
    <n v="1"/>
    <n v="1"/>
    <s v="Primary"/>
    <x v="2"/>
    <n v="0"/>
    <n v="0"/>
    <n v="0"/>
    <x v="1"/>
    <n v="0"/>
    <x v="0"/>
    <n v="0"/>
    <n v="0"/>
    <n v="0"/>
    <n v="261"/>
    <n v="261"/>
    <x v="0"/>
    <n v="122"/>
    <n v="74"/>
    <n v="23.77"/>
    <n v="23.77"/>
    <x v="1"/>
    <n v="70"/>
    <n v="70"/>
    <s v="NA"/>
    <n v="81.96365524402907"/>
    <x v="0"/>
    <x v="0"/>
  </r>
  <r>
    <n v="1"/>
    <x v="1"/>
    <n v="60"/>
    <x v="2"/>
    <n v="2"/>
    <n v="2"/>
    <s v="Secondary"/>
    <x v="0"/>
    <n v="1"/>
    <n v="20"/>
    <n v="20"/>
    <x v="0"/>
    <n v="0"/>
    <x v="0"/>
    <n v="0"/>
    <n v="0"/>
    <n v="0"/>
    <n v="305"/>
    <n v="305"/>
    <x v="0"/>
    <n v="112.5"/>
    <n v="75"/>
    <n v="22.7"/>
    <n v="22.7"/>
    <x v="1"/>
    <n v="75"/>
    <n v="75"/>
    <n v="98"/>
    <n v="98"/>
    <x v="0"/>
    <x v="1"/>
  </r>
  <r>
    <n v="0"/>
    <x v="0"/>
    <n v="60"/>
    <x v="2"/>
    <n v="1"/>
    <n v="1"/>
    <s v="Primary"/>
    <x v="2"/>
    <n v="0"/>
    <n v="0"/>
    <n v="0"/>
    <x v="1"/>
    <n v="0"/>
    <x v="0"/>
    <n v="0"/>
    <n v="0"/>
    <n v="0"/>
    <n v="266"/>
    <n v="266"/>
    <x v="0"/>
    <n v="135"/>
    <n v="87"/>
    <n v="26.72"/>
    <n v="26.72"/>
    <x v="0"/>
    <n v="75"/>
    <n v="75"/>
    <n v="82"/>
    <n v="82"/>
    <x v="0"/>
    <x v="0"/>
  </r>
  <r>
    <n v="1"/>
    <x v="1"/>
    <n v="60"/>
    <x v="2"/>
    <n v="1"/>
    <n v="1"/>
    <s v="Primary"/>
    <x v="2"/>
    <n v="1"/>
    <n v="20"/>
    <n v="20"/>
    <x v="0"/>
    <n v="0"/>
    <x v="0"/>
    <n v="0"/>
    <n v="0"/>
    <n v="0"/>
    <n v="260"/>
    <n v="260"/>
    <x v="0"/>
    <n v="127.5"/>
    <n v="72.5"/>
    <n v="25.06"/>
    <n v="25.06"/>
    <x v="0"/>
    <n v="65"/>
    <n v="65"/>
    <n v="75"/>
    <n v="75"/>
    <x v="0"/>
    <x v="1"/>
  </r>
  <r>
    <n v="1"/>
    <x v="1"/>
    <n v="60"/>
    <x v="2"/>
    <n v="1"/>
    <n v="1"/>
    <s v="Primary"/>
    <x v="2"/>
    <n v="1"/>
    <n v="30"/>
    <n v="30"/>
    <x v="0"/>
    <n v="0"/>
    <x v="0"/>
    <n v="0"/>
    <n v="0"/>
    <n v="0"/>
    <n v="288"/>
    <n v="288"/>
    <x v="0"/>
    <n v="122.5"/>
    <n v="68.5"/>
    <n v="22.13"/>
    <n v="22.13"/>
    <x v="1"/>
    <n v="80"/>
    <n v="80"/>
    <n v="88"/>
    <n v="88"/>
    <x v="0"/>
    <x v="0"/>
  </r>
  <r>
    <n v="1"/>
    <x v="1"/>
    <n v="60"/>
    <x v="2"/>
    <n v="4"/>
    <n v="4"/>
    <s v="Post Graduate"/>
    <x v="3"/>
    <n v="0"/>
    <n v="0"/>
    <n v="0"/>
    <x v="1"/>
    <n v="0"/>
    <x v="0"/>
    <n v="0"/>
    <n v="0"/>
    <n v="0"/>
    <n v="227"/>
    <n v="227"/>
    <x v="1"/>
    <n v="119"/>
    <n v="76"/>
    <n v="24.8"/>
    <n v="24.8"/>
    <x v="1"/>
    <n v="71"/>
    <n v="71"/>
    <n v="92"/>
    <n v="92"/>
    <x v="0"/>
    <x v="0"/>
  </r>
  <r>
    <n v="1"/>
    <x v="1"/>
    <n v="60"/>
    <x v="2"/>
    <n v="1"/>
    <n v="1"/>
    <s v="Primary"/>
    <x v="2"/>
    <n v="1"/>
    <n v="40"/>
    <n v="40"/>
    <x v="0"/>
    <n v="0"/>
    <x v="0"/>
    <n v="0"/>
    <n v="1"/>
    <n v="0"/>
    <n v="230"/>
    <n v="230"/>
    <x v="1"/>
    <n v="149"/>
    <n v="95"/>
    <n v="26.68"/>
    <n v="26.68"/>
    <x v="0"/>
    <n v="67"/>
    <n v="67"/>
    <n v="92"/>
    <n v="92"/>
    <x v="0"/>
    <x v="1"/>
  </r>
  <r>
    <n v="1"/>
    <x v="1"/>
    <n v="60"/>
    <x v="2"/>
    <n v="1"/>
    <n v="1"/>
    <s v="Primary"/>
    <x v="2"/>
    <n v="1"/>
    <n v="20"/>
    <n v="20"/>
    <x v="0"/>
    <n v="0"/>
    <x v="0"/>
    <n v="0"/>
    <n v="0"/>
    <n v="0"/>
    <n v="195"/>
    <n v="195"/>
    <x v="1"/>
    <n v="107.5"/>
    <n v="72"/>
    <n v="26.53"/>
    <n v="26.53"/>
    <x v="0"/>
    <n v="70"/>
    <n v="70"/>
    <n v="80"/>
    <n v="80"/>
    <x v="0"/>
    <x v="0"/>
  </r>
  <r>
    <n v="1"/>
    <x v="1"/>
    <n v="60"/>
    <x v="2"/>
    <n v="4"/>
    <n v="4"/>
    <s v="Post Graduate"/>
    <x v="3"/>
    <n v="1"/>
    <n v="12"/>
    <n v="12"/>
    <x v="0"/>
    <n v="0"/>
    <x v="0"/>
    <n v="0"/>
    <n v="0"/>
    <n v="0"/>
    <n v="233"/>
    <n v="233"/>
    <x v="1"/>
    <n v="135"/>
    <n v="75"/>
    <n v="22.17"/>
    <n v="22.17"/>
    <x v="1"/>
    <n v="75"/>
    <n v="75"/>
    <n v="60"/>
    <n v="60"/>
    <x v="0"/>
    <x v="1"/>
  </r>
  <r>
    <n v="0"/>
    <x v="0"/>
    <n v="60"/>
    <x v="2"/>
    <n v="1"/>
    <n v="1"/>
    <s v="Primary"/>
    <x v="2"/>
    <n v="0"/>
    <n v="0"/>
    <n v="0"/>
    <x v="1"/>
    <n v="0"/>
    <x v="0"/>
    <n v="0"/>
    <n v="1"/>
    <n v="0"/>
    <n v="212"/>
    <n v="212"/>
    <x v="1"/>
    <n v="146"/>
    <n v="80"/>
    <n v="28.53"/>
    <n v="28.53"/>
    <x v="0"/>
    <n v="95"/>
    <n v="95"/>
    <n v="72"/>
    <n v="72"/>
    <x v="0"/>
    <x v="1"/>
  </r>
  <r>
    <n v="1"/>
    <x v="1"/>
    <n v="60"/>
    <x v="2"/>
    <n v="1"/>
    <n v="1"/>
    <s v="Primary"/>
    <x v="2"/>
    <n v="0"/>
    <n v="0"/>
    <n v="0"/>
    <x v="1"/>
    <n v="0"/>
    <x v="0"/>
    <n v="0"/>
    <n v="0"/>
    <n v="0"/>
    <n v="264"/>
    <n v="264"/>
    <x v="0"/>
    <n v="137"/>
    <n v="80"/>
    <n v="29.99"/>
    <n v="29.99"/>
    <x v="0"/>
    <n v="65"/>
    <n v="65"/>
    <n v="58"/>
    <n v="58"/>
    <x v="0"/>
    <x v="0"/>
  </r>
  <r>
    <n v="1"/>
    <x v="1"/>
    <n v="60"/>
    <x v="2"/>
    <s v="NA"/>
    <n v="1"/>
    <s v="Primary"/>
    <x v="2"/>
    <n v="1"/>
    <n v="20"/>
    <n v="20"/>
    <x v="0"/>
    <n v="0"/>
    <x v="0"/>
    <n v="0"/>
    <n v="0"/>
    <n v="0"/>
    <n v="212"/>
    <n v="212"/>
    <x v="1"/>
    <n v="138.5"/>
    <n v="87.5"/>
    <n v="19.54"/>
    <n v="19.54"/>
    <x v="1"/>
    <n v="64"/>
    <n v="64"/>
    <n v="73"/>
    <n v="73"/>
    <x v="0"/>
    <x v="1"/>
  </r>
  <r>
    <n v="0"/>
    <x v="0"/>
    <n v="60"/>
    <x v="2"/>
    <n v="1"/>
    <n v="1"/>
    <s v="Primary"/>
    <x v="2"/>
    <n v="0"/>
    <n v="0"/>
    <n v="0"/>
    <x v="1"/>
    <n v="0"/>
    <x v="0"/>
    <n v="0"/>
    <n v="1"/>
    <n v="0"/>
    <n v="295"/>
    <n v="295"/>
    <x v="0"/>
    <n v="162"/>
    <n v="85"/>
    <n v="32.76"/>
    <n v="32.76"/>
    <x v="2"/>
    <n v="75"/>
    <n v="75"/>
    <n v="71"/>
    <n v="71"/>
    <x v="0"/>
    <x v="0"/>
  </r>
  <r>
    <n v="1"/>
    <x v="1"/>
    <n v="60"/>
    <x v="2"/>
    <n v="1"/>
    <n v="1"/>
    <s v="Primary"/>
    <x v="2"/>
    <n v="0"/>
    <n v="0"/>
    <n v="0"/>
    <x v="1"/>
    <n v="0"/>
    <x v="0"/>
    <n v="0"/>
    <n v="1"/>
    <n v="0"/>
    <n v="270"/>
    <n v="270"/>
    <x v="0"/>
    <n v="145"/>
    <n v="81"/>
    <n v="29.37"/>
    <n v="29.37"/>
    <x v="0"/>
    <n v="75"/>
    <n v="75"/>
    <n v="73"/>
    <n v="73"/>
    <x v="0"/>
    <x v="0"/>
  </r>
  <r>
    <n v="1"/>
    <x v="1"/>
    <n v="60"/>
    <x v="2"/>
    <n v="4"/>
    <n v="4"/>
    <s v="Post Graduate"/>
    <x v="3"/>
    <n v="0"/>
    <n v="0"/>
    <n v="0"/>
    <x v="1"/>
    <n v="0"/>
    <x v="0"/>
    <n v="0"/>
    <n v="0"/>
    <n v="0"/>
    <n v="280"/>
    <n v="280"/>
    <x v="0"/>
    <n v="114"/>
    <n v="82"/>
    <n v="23.96"/>
    <n v="23.96"/>
    <x v="1"/>
    <n v="70"/>
    <n v="70"/>
    <n v="84"/>
    <n v="84"/>
    <x v="0"/>
    <x v="1"/>
  </r>
  <r>
    <n v="0"/>
    <x v="0"/>
    <n v="60"/>
    <x v="2"/>
    <n v="2"/>
    <n v="2"/>
    <s v="Secondary"/>
    <x v="0"/>
    <n v="1"/>
    <n v="20"/>
    <n v="20"/>
    <x v="0"/>
    <n v="0"/>
    <x v="0"/>
    <n v="0"/>
    <n v="0"/>
    <n v="0"/>
    <n v="282"/>
    <n v="282"/>
    <x v="0"/>
    <n v="124"/>
    <n v="68"/>
    <n v="21.07"/>
    <n v="21.07"/>
    <x v="1"/>
    <n v="80"/>
    <n v="80"/>
    <s v="NA"/>
    <n v="81.96365524402907"/>
    <x v="0"/>
    <x v="0"/>
  </r>
  <r>
    <n v="1"/>
    <x v="1"/>
    <n v="60"/>
    <x v="2"/>
    <n v="2"/>
    <n v="2"/>
    <s v="Secondary"/>
    <x v="0"/>
    <n v="1"/>
    <n v="19"/>
    <n v="19"/>
    <x v="0"/>
    <n v="0"/>
    <x v="0"/>
    <n v="0"/>
    <n v="0"/>
    <n v="0"/>
    <n v="231"/>
    <n v="231"/>
    <x v="1"/>
    <n v="122"/>
    <n v="78"/>
    <n v="28.09"/>
    <n v="28.09"/>
    <x v="0"/>
    <n v="80"/>
    <n v="80"/>
    <n v="67"/>
    <n v="67"/>
    <x v="0"/>
    <x v="0"/>
  </r>
  <r>
    <n v="0"/>
    <x v="0"/>
    <n v="60"/>
    <x v="2"/>
    <n v="2"/>
    <n v="2"/>
    <s v="Secondary"/>
    <x v="0"/>
    <n v="0"/>
    <n v="0"/>
    <n v="0"/>
    <x v="1"/>
    <n v="0"/>
    <x v="0"/>
    <n v="0"/>
    <n v="0"/>
    <n v="0"/>
    <n v="354"/>
    <n v="354"/>
    <x v="0"/>
    <n v="130"/>
    <n v="82.5"/>
    <n v="26.76"/>
    <n v="26.76"/>
    <x v="0"/>
    <n v="65"/>
    <n v="65"/>
    <n v="79"/>
    <n v="79"/>
    <x v="0"/>
    <x v="0"/>
  </r>
  <r>
    <n v="0"/>
    <x v="0"/>
    <n v="60"/>
    <x v="2"/>
    <n v="3"/>
    <n v="3"/>
    <s v="Graduate"/>
    <x v="1"/>
    <n v="0"/>
    <n v="0"/>
    <n v="0"/>
    <x v="1"/>
    <n v="0"/>
    <x v="0"/>
    <n v="0"/>
    <n v="1"/>
    <n v="0"/>
    <n v="232"/>
    <n v="232"/>
    <x v="1"/>
    <n v="152.5"/>
    <n v="85"/>
    <n v="23.03"/>
    <n v="23.03"/>
    <x v="1"/>
    <n v="85"/>
    <n v="85"/>
    <n v="123"/>
    <n v="123"/>
    <x v="0"/>
    <x v="1"/>
  </r>
  <r>
    <n v="0"/>
    <x v="0"/>
    <n v="60"/>
    <x v="2"/>
    <n v="2"/>
    <n v="2"/>
    <s v="Secondary"/>
    <x v="0"/>
    <n v="0"/>
    <n v="0"/>
    <n v="0"/>
    <x v="1"/>
    <n v="0"/>
    <x v="0"/>
    <n v="0"/>
    <n v="0"/>
    <n v="0"/>
    <n v="254"/>
    <n v="254"/>
    <x v="0"/>
    <n v="114"/>
    <n v="78"/>
    <n v="33.880000000000003"/>
    <n v="33.880000000000003"/>
    <x v="2"/>
    <n v="94"/>
    <n v="94"/>
    <n v="84"/>
    <n v="84"/>
    <x v="0"/>
    <x v="0"/>
  </r>
  <r>
    <n v="0"/>
    <x v="0"/>
    <n v="60"/>
    <x v="2"/>
    <n v="1"/>
    <n v="1"/>
    <s v="Primary"/>
    <x v="2"/>
    <n v="0"/>
    <n v="0"/>
    <n v="0"/>
    <x v="1"/>
    <n v="0"/>
    <x v="0"/>
    <n v="0"/>
    <n v="0"/>
    <n v="0"/>
    <n v="261"/>
    <n v="261"/>
    <x v="0"/>
    <n v="123.5"/>
    <n v="79"/>
    <n v="29.28"/>
    <n v="29.28"/>
    <x v="0"/>
    <n v="70"/>
    <n v="70"/>
    <n v="103"/>
    <n v="103"/>
    <x v="0"/>
    <x v="0"/>
  </r>
  <r>
    <n v="0"/>
    <x v="0"/>
    <n v="60"/>
    <x v="2"/>
    <n v="1"/>
    <n v="1"/>
    <s v="Primary"/>
    <x v="2"/>
    <n v="0"/>
    <n v="0"/>
    <n v="0"/>
    <x v="1"/>
    <n v="0"/>
    <x v="0"/>
    <n v="0"/>
    <n v="1"/>
    <n v="0"/>
    <n v="295"/>
    <n v="295"/>
    <x v="0"/>
    <n v="149"/>
    <n v="103.5"/>
    <n v="22.69"/>
    <n v="22.69"/>
    <x v="1"/>
    <n v="80"/>
    <n v="80"/>
    <n v="52"/>
    <n v="52"/>
    <x v="0"/>
    <x v="0"/>
  </r>
  <r>
    <n v="1"/>
    <x v="1"/>
    <n v="60"/>
    <x v="2"/>
    <n v="1"/>
    <n v="1"/>
    <s v="Primary"/>
    <x v="2"/>
    <n v="0"/>
    <n v="0"/>
    <n v="0"/>
    <x v="1"/>
    <n v="1"/>
    <x v="1"/>
    <n v="0"/>
    <n v="1"/>
    <n v="0"/>
    <n v="173"/>
    <n v="173"/>
    <x v="1"/>
    <n v="135"/>
    <n v="97.5"/>
    <n v="30.71"/>
    <n v="30.71"/>
    <x v="2"/>
    <n v="63"/>
    <n v="63"/>
    <n v="86"/>
    <n v="86"/>
    <x v="0"/>
    <x v="0"/>
  </r>
  <r>
    <n v="0"/>
    <x v="0"/>
    <n v="60"/>
    <x v="2"/>
    <n v="3"/>
    <n v="3"/>
    <s v="Graduate"/>
    <x v="1"/>
    <n v="1"/>
    <n v="3"/>
    <n v="3"/>
    <x v="0"/>
    <n v="0"/>
    <x v="0"/>
    <n v="0"/>
    <n v="0"/>
    <n v="0"/>
    <n v="270"/>
    <n v="270"/>
    <x v="0"/>
    <n v="130"/>
    <n v="72.5"/>
    <n v="20.84"/>
    <n v="20.84"/>
    <x v="1"/>
    <n v="75"/>
    <n v="75"/>
    <n v="102"/>
    <n v="102"/>
    <x v="0"/>
    <x v="0"/>
  </r>
  <r>
    <n v="1"/>
    <x v="1"/>
    <n v="60"/>
    <x v="2"/>
    <n v="1"/>
    <n v="1"/>
    <s v="Primary"/>
    <x v="2"/>
    <n v="1"/>
    <n v="20"/>
    <n v="20"/>
    <x v="0"/>
    <n v="0"/>
    <x v="0"/>
    <n v="0"/>
    <n v="1"/>
    <n v="0"/>
    <n v="174"/>
    <n v="174"/>
    <x v="1"/>
    <n v="164"/>
    <n v="113"/>
    <n v="18.64"/>
    <n v="18.64"/>
    <x v="1"/>
    <n v="65"/>
    <n v="65"/>
    <n v="93"/>
    <n v="93"/>
    <x v="0"/>
    <x v="1"/>
  </r>
  <r>
    <n v="0"/>
    <x v="0"/>
    <n v="60"/>
    <x v="2"/>
    <n v="2"/>
    <n v="2"/>
    <s v="Secondary"/>
    <x v="0"/>
    <n v="0"/>
    <n v="0"/>
    <n v="0"/>
    <x v="1"/>
    <n v="0"/>
    <x v="0"/>
    <n v="0"/>
    <n v="1"/>
    <n v="0"/>
    <n v="298"/>
    <n v="298"/>
    <x v="0"/>
    <n v="133"/>
    <n v="89"/>
    <n v="25.09"/>
    <n v="25.09"/>
    <x v="0"/>
    <n v="83"/>
    <n v="83"/>
    <n v="81"/>
    <n v="81"/>
    <x v="0"/>
    <x v="0"/>
  </r>
  <r>
    <n v="0"/>
    <x v="0"/>
    <n v="60"/>
    <x v="2"/>
    <n v="1"/>
    <n v="1"/>
    <s v="Primary"/>
    <x v="2"/>
    <n v="1"/>
    <n v="15"/>
    <n v="15"/>
    <x v="0"/>
    <n v="0"/>
    <x v="0"/>
    <n v="1"/>
    <n v="1"/>
    <n v="0"/>
    <n v="254"/>
    <n v="254"/>
    <x v="0"/>
    <n v="177"/>
    <n v="101"/>
    <n v="23.27"/>
    <n v="23.27"/>
    <x v="1"/>
    <n v="92"/>
    <n v="92"/>
    <n v="79"/>
    <n v="79"/>
    <x v="0"/>
    <x v="1"/>
  </r>
  <r>
    <n v="0"/>
    <x v="0"/>
    <n v="60"/>
    <x v="2"/>
    <n v="2"/>
    <n v="2"/>
    <s v="Secondary"/>
    <x v="0"/>
    <n v="1"/>
    <n v="9"/>
    <n v="9"/>
    <x v="0"/>
    <n v="0"/>
    <x v="0"/>
    <n v="0"/>
    <n v="1"/>
    <n v="0"/>
    <n v="280"/>
    <n v="280"/>
    <x v="0"/>
    <n v="150.5"/>
    <n v="90"/>
    <n v="33.450000000000003"/>
    <n v="33.450000000000003"/>
    <x v="2"/>
    <n v="90"/>
    <n v="90"/>
    <s v="NA"/>
    <n v="81.96365524402907"/>
    <x v="0"/>
    <x v="0"/>
  </r>
  <r>
    <n v="1"/>
    <x v="1"/>
    <n v="60"/>
    <x v="2"/>
    <n v="1"/>
    <n v="1"/>
    <s v="Primary"/>
    <x v="2"/>
    <n v="1"/>
    <n v="10"/>
    <n v="10"/>
    <x v="0"/>
    <n v="0"/>
    <x v="0"/>
    <n v="0"/>
    <n v="1"/>
    <n v="0"/>
    <n v="217"/>
    <n v="217"/>
    <x v="1"/>
    <n v="167"/>
    <n v="109"/>
    <n v="24.86"/>
    <n v="24.86"/>
    <x v="1"/>
    <n v="95"/>
    <n v="95"/>
    <n v="72"/>
    <n v="72"/>
    <x v="0"/>
    <x v="1"/>
  </r>
  <r>
    <n v="0"/>
    <x v="0"/>
    <n v="60"/>
    <x v="2"/>
    <n v="1"/>
    <n v="1"/>
    <s v="Primary"/>
    <x v="2"/>
    <n v="0"/>
    <n v="0"/>
    <n v="0"/>
    <x v="1"/>
    <n v="0"/>
    <x v="0"/>
    <n v="0"/>
    <n v="1"/>
    <n v="0"/>
    <n v="279"/>
    <n v="279"/>
    <x v="0"/>
    <n v="140.5"/>
    <n v="89"/>
    <n v="22.43"/>
    <n v="22.43"/>
    <x v="1"/>
    <n v="80"/>
    <n v="80"/>
    <n v="69"/>
    <n v="69"/>
    <x v="0"/>
    <x v="0"/>
  </r>
  <r>
    <n v="1"/>
    <x v="1"/>
    <n v="60"/>
    <x v="2"/>
    <n v="1"/>
    <n v="1"/>
    <s v="Primary"/>
    <x v="2"/>
    <n v="0"/>
    <n v="0"/>
    <n v="0"/>
    <x v="1"/>
    <n v="0"/>
    <x v="0"/>
    <n v="0"/>
    <n v="0"/>
    <n v="0"/>
    <n v="235"/>
    <n v="235"/>
    <x v="1"/>
    <n v="146"/>
    <n v="92"/>
    <n v="26.85"/>
    <n v="26.85"/>
    <x v="0"/>
    <n v="80"/>
    <n v="80"/>
    <n v="108"/>
    <n v="108"/>
    <x v="0"/>
    <x v="0"/>
  </r>
  <r>
    <n v="1"/>
    <x v="1"/>
    <n v="60"/>
    <x v="2"/>
    <n v="3"/>
    <n v="3"/>
    <s v="Graduate"/>
    <x v="1"/>
    <n v="1"/>
    <n v="10"/>
    <n v="10"/>
    <x v="0"/>
    <n v="0"/>
    <x v="0"/>
    <n v="0"/>
    <n v="0"/>
    <n v="0"/>
    <n v="227"/>
    <n v="227"/>
    <x v="1"/>
    <n v="122"/>
    <n v="80"/>
    <n v="25.64"/>
    <n v="25.64"/>
    <x v="0"/>
    <n v="58"/>
    <n v="58"/>
    <n v="80"/>
    <n v="80"/>
    <x v="0"/>
    <x v="0"/>
  </r>
  <r>
    <n v="1"/>
    <x v="1"/>
    <n v="60"/>
    <x v="2"/>
    <n v="1"/>
    <n v="1"/>
    <s v="Primary"/>
    <x v="2"/>
    <n v="1"/>
    <n v="9"/>
    <n v="9"/>
    <x v="0"/>
    <n v="0"/>
    <x v="0"/>
    <n v="0"/>
    <n v="0"/>
    <n v="0"/>
    <n v="235"/>
    <n v="235"/>
    <x v="1"/>
    <n v="108.5"/>
    <n v="73.5"/>
    <n v="21.76"/>
    <n v="21.76"/>
    <x v="1"/>
    <n v="65"/>
    <n v="65"/>
    <n v="102"/>
    <n v="102"/>
    <x v="0"/>
    <x v="0"/>
  </r>
  <r>
    <n v="1"/>
    <x v="1"/>
    <n v="60"/>
    <x v="2"/>
    <n v="1"/>
    <n v="1"/>
    <s v="Primary"/>
    <x v="2"/>
    <n v="1"/>
    <n v="20"/>
    <n v="20"/>
    <x v="0"/>
    <n v="0"/>
    <x v="0"/>
    <n v="0"/>
    <n v="1"/>
    <n v="0"/>
    <n v="253"/>
    <n v="253"/>
    <x v="0"/>
    <n v="141"/>
    <n v="92"/>
    <n v="24.1"/>
    <n v="24.1"/>
    <x v="1"/>
    <n v="75"/>
    <n v="75"/>
    <n v="76"/>
    <n v="76"/>
    <x v="0"/>
    <x v="0"/>
  </r>
  <r>
    <n v="1"/>
    <x v="1"/>
    <n v="60"/>
    <x v="2"/>
    <n v="1"/>
    <n v="1"/>
    <s v="Primary"/>
    <x v="2"/>
    <n v="1"/>
    <n v="30"/>
    <n v="30"/>
    <x v="0"/>
    <n v="0"/>
    <x v="0"/>
    <n v="0"/>
    <n v="0"/>
    <n v="0"/>
    <n v="248"/>
    <n v="248"/>
    <x v="0"/>
    <n v="135"/>
    <n v="85"/>
    <n v="23.06"/>
    <n v="23.06"/>
    <x v="1"/>
    <n v="80"/>
    <n v="80"/>
    <n v="61"/>
    <n v="61"/>
    <x v="0"/>
    <x v="0"/>
  </r>
  <r>
    <n v="1"/>
    <x v="1"/>
    <n v="60"/>
    <x v="2"/>
    <n v="4"/>
    <n v="4"/>
    <s v="Post Graduate"/>
    <x v="3"/>
    <n v="0"/>
    <n v="0"/>
    <n v="0"/>
    <x v="1"/>
    <n v="0"/>
    <x v="0"/>
    <n v="0"/>
    <n v="0"/>
    <n v="0"/>
    <n v="250"/>
    <n v="250"/>
    <x v="0"/>
    <n v="133"/>
    <n v="89.5"/>
    <n v="27.13"/>
    <n v="27.13"/>
    <x v="0"/>
    <n v="90"/>
    <n v="90"/>
    <s v="NA"/>
    <n v="81.96365524402907"/>
    <x v="0"/>
    <x v="0"/>
  </r>
  <r>
    <n v="0"/>
    <x v="0"/>
    <n v="60"/>
    <x v="2"/>
    <n v="3"/>
    <n v="3"/>
    <s v="Graduate"/>
    <x v="1"/>
    <n v="0"/>
    <n v="0"/>
    <n v="0"/>
    <x v="1"/>
    <n v="0"/>
    <x v="0"/>
    <n v="0"/>
    <n v="0"/>
    <n v="0"/>
    <n v="259"/>
    <n v="259"/>
    <x v="0"/>
    <n v="155"/>
    <n v="90"/>
    <n v="27.94"/>
    <n v="27.94"/>
    <x v="0"/>
    <n v="68"/>
    <n v="68"/>
    <n v="95"/>
    <n v="95"/>
    <x v="0"/>
    <x v="0"/>
  </r>
  <r>
    <n v="0"/>
    <x v="0"/>
    <n v="60"/>
    <x v="2"/>
    <n v="1"/>
    <n v="1"/>
    <s v="Primary"/>
    <x v="2"/>
    <n v="0"/>
    <n v="0"/>
    <n v="0"/>
    <x v="1"/>
    <s v="NA"/>
    <x v="0"/>
    <n v="0"/>
    <n v="1"/>
    <n v="0"/>
    <n v="231"/>
    <n v="231"/>
    <x v="1"/>
    <n v="174"/>
    <n v="110"/>
    <n v="25.05"/>
    <n v="25.05"/>
    <x v="0"/>
    <n v="85"/>
    <n v="85"/>
    <n v="82"/>
    <n v="82"/>
    <x v="1"/>
    <x v="0"/>
  </r>
  <r>
    <n v="1"/>
    <x v="1"/>
    <n v="60"/>
    <x v="2"/>
    <n v="3"/>
    <n v="3"/>
    <s v="Graduate"/>
    <x v="1"/>
    <n v="0"/>
    <n v="0"/>
    <n v="0"/>
    <x v="1"/>
    <n v="0"/>
    <x v="0"/>
    <n v="0"/>
    <n v="0"/>
    <n v="0"/>
    <n v="224"/>
    <n v="224"/>
    <x v="1"/>
    <n v="143.5"/>
    <n v="77.5"/>
    <n v="26.13"/>
    <n v="26.13"/>
    <x v="0"/>
    <n v="65"/>
    <n v="65"/>
    <n v="81"/>
    <n v="81"/>
    <x v="0"/>
    <x v="0"/>
  </r>
  <r>
    <n v="0"/>
    <x v="0"/>
    <n v="60"/>
    <x v="2"/>
    <n v="2"/>
    <n v="2"/>
    <s v="Secondary"/>
    <x v="0"/>
    <n v="1"/>
    <n v="20"/>
    <n v="20"/>
    <x v="0"/>
    <n v="0"/>
    <x v="0"/>
    <n v="0"/>
    <n v="0"/>
    <n v="0"/>
    <n v="260"/>
    <n v="260"/>
    <x v="0"/>
    <n v="139"/>
    <n v="81"/>
    <n v="24.68"/>
    <n v="24.68"/>
    <x v="1"/>
    <n v="74"/>
    <n v="74"/>
    <n v="70"/>
    <n v="70"/>
    <x v="0"/>
    <x v="0"/>
  </r>
  <r>
    <n v="0"/>
    <x v="0"/>
    <n v="60"/>
    <x v="2"/>
    <n v="1"/>
    <n v="1"/>
    <s v="Primary"/>
    <x v="2"/>
    <n v="0"/>
    <n v="0"/>
    <n v="0"/>
    <x v="1"/>
    <n v="0"/>
    <x v="0"/>
    <n v="0"/>
    <n v="0"/>
    <n v="0"/>
    <n v="275"/>
    <n v="275"/>
    <x v="0"/>
    <n v="138"/>
    <n v="87"/>
    <n v="29.64"/>
    <n v="29.64"/>
    <x v="0"/>
    <n v="85"/>
    <n v="85"/>
    <n v="86"/>
    <n v="86"/>
    <x v="0"/>
    <x v="0"/>
  </r>
  <r>
    <n v="1"/>
    <x v="1"/>
    <n v="60"/>
    <x v="2"/>
    <n v="1"/>
    <n v="1"/>
    <s v="Primary"/>
    <x v="2"/>
    <n v="0"/>
    <n v="0"/>
    <n v="0"/>
    <x v="1"/>
    <n v="0"/>
    <x v="0"/>
    <n v="0"/>
    <n v="1"/>
    <n v="0"/>
    <n v="226"/>
    <n v="226"/>
    <x v="1"/>
    <n v="155"/>
    <n v="92.5"/>
    <n v="30.85"/>
    <n v="30.85"/>
    <x v="2"/>
    <n v="80"/>
    <n v="80"/>
    <n v="87"/>
    <n v="87"/>
    <x v="0"/>
    <x v="0"/>
  </r>
  <r>
    <n v="0"/>
    <x v="0"/>
    <n v="60"/>
    <x v="2"/>
    <n v="3"/>
    <n v="3"/>
    <s v="Graduate"/>
    <x v="1"/>
    <n v="1"/>
    <n v="10"/>
    <n v="10"/>
    <x v="0"/>
    <n v="0"/>
    <x v="0"/>
    <n v="0"/>
    <n v="0"/>
    <n v="0"/>
    <n v="255"/>
    <n v="255"/>
    <x v="0"/>
    <n v="145"/>
    <n v="100"/>
    <n v="27.94"/>
    <n v="27.94"/>
    <x v="0"/>
    <n v="79"/>
    <n v="79"/>
    <s v="NA"/>
    <n v="81.96365524402907"/>
    <x v="0"/>
    <x v="0"/>
  </r>
  <r>
    <n v="1"/>
    <x v="1"/>
    <n v="60"/>
    <x v="2"/>
    <n v="1"/>
    <n v="1"/>
    <s v="Primary"/>
    <x v="2"/>
    <n v="0"/>
    <n v="0"/>
    <n v="0"/>
    <x v="1"/>
    <n v="0"/>
    <x v="0"/>
    <n v="0"/>
    <n v="1"/>
    <n v="0"/>
    <n v="225"/>
    <n v="225"/>
    <x v="1"/>
    <n v="149"/>
    <n v="96"/>
    <n v="27.73"/>
    <n v="27.73"/>
    <x v="0"/>
    <n v="80"/>
    <n v="80"/>
    <n v="60"/>
    <n v="60"/>
    <x v="0"/>
    <x v="0"/>
  </r>
  <r>
    <n v="0"/>
    <x v="0"/>
    <n v="60"/>
    <x v="2"/>
    <n v="3"/>
    <n v="3"/>
    <s v="Graduate"/>
    <x v="1"/>
    <n v="0"/>
    <n v="0"/>
    <n v="0"/>
    <x v="1"/>
    <n v="0"/>
    <x v="0"/>
    <n v="0"/>
    <n v="1"/>
    <n v="0"/>
    <n v="286"/>
    <n v="286"/>
    <x v="0"/>
    <n v="172.5"/>
    <n v="85"/>
    <n v="22"/>
    <n v="22"/>
    <x v="1"/>
    <n v="72"/>
    <n v="72"/>
    <n v="71"/>
    <n v="71"/>
    <x v="0"/>
    <x v="1"/>
  </r>
  <r>
    <n v="1"/>
    <x v="1"/>
    <n v="60"/>
    <x v="2"/>
    <n v="1"/>
    <n v="1"/>
    <s v="Primary"/>
    <x v="2"/>
    <n v="0"/>
    <n v="0"/>
    <n v="0"/>
    <x v="1"/>
    <n v="0"/>
    <x v="0"/>
    <n v="0"/>
    <n v="1"/>
    <n v="0"/>
    <n v="220"/>
    <n v="220"/>
    <x v="1"/>
    <n v="167.5"/>
    <n v="110"/>
    <n v="30.41"/>
    <n v="30.41"/>
    <x v="2"/>
    <n v="90"/>
    <n v="90"/>
    <n v="84"/>
    <n v="84"/>
    <x v="0"/>
    <x v="1"/>
  </r>
  <r>
    <n v="1"/>
    <x v="1"/>
    <n v="60"/>
    <x v="2"/>
    <n v="3"/>
    <n v="3"/>
    <s v="Graduate"/>
    <x v="1"/>
    <n v="0"/>
    <n v="0"/>
    <n v="0"/>
    <x v="1"/>
    <n v="0"/>
    <x v="0"/>
    <n v="1"/>
    <n v="1"/>
    <n v="0"/>
    <n v="203"/>
    <n v="203"/>
    <x v="1"/>
    <n v="140"/>
    <n v="95"/>
    <n v="28.04"/>
    <n v="28.04"/>
    <x v="0"/>
    <n v="60"/>
    <n v="60"/>
    <n v="83"/>
    <n v="83"/>
    <x v="0"/>
    <x v="0"/>
  </r>
  <r>
    <n v="0"/>
    <x v="0"/>
    <n v="60"/>
    <x v="2"/>
    <n v="1"/>
    <n v="1"/>
    <s v="Primary"/>
    <x v="2"/>
    <n v="0"/>
    <n v="0"/>
    <n v="0"/>
    <x v="1"/>
    <n v="0"/>
    <x v="0"/>
    <n v="0"/>
    <n v="0"/>
    <n v="0"/>
    <n v="275"/>
    <n v="275"/>
    <x v="0"/>
    <n v="134"/>
    <n v="74"/>
    <n v="19.91"/>
    <n v="19.91"/>
    <x v="1"/>
    <n v="66"/>
    <n v="66"/>
    <n v="85"/>
    <n v="85"/>
    <x v="0"/>
    <x v="0"/>
  </r>
  <r>
    <n v="0"/>
    <x v="0"/>
    <n v="60"/>
    <x v="2"/>
    <n v="1"/>
    <n v="1"/>
    <s v="Primary"/>
    <x v="2"/>
    <n v="1"/>
    <n v="5"/>
    <n v="5"/>
    <x v="0"/>
    <n v="0"/>
    <x v="0"/>
    <n v="0"/>
    <n v="1"/>
    <n v="0"/>
    <n v="246"/>
    <n v="246"/>
    <x v="0"/>
    <n v="160"/>
    <n v="92"/>
    <n v="26.38"/>
    <n v="26.38"/>
    <x v="0"/>
    <n v="80"/>
    <n v="80"/>
    <n v="73"/>
    <n v="73"/>
    <x v="0"/>
    <x v="0"/>
  </r>
  <r>
    <n v="0"/>
    <x v="0"/>
    <n v="60"/>
    <x v="2"/>
    <n v="4"/>
    <n v="4"/>
    <s v="Post Graduate"/>
    <x v="3"/>
    <n v="0"/>
    <n v="0"/>
    <n v="0"/>
    <x v="1"/>
    <n v="0"/>
    <x v="0"/>
    <n v="0"/>
    <n v="0"/>
    <n v="0"/>
    <n v="247"/>
    <n v="247"/>
    <x v="0"/>
    <n v="131"/>
    <n v="81"/>
    <n v="22.19"/>
    <n v="22.19"/>
    <x v="1"/>
    <n v="95"/>
    <n v="95"/>
    <n v="94"/>
    <n v="94"/>
    <x v="0"/>
    <x v="1"/>
  </r>
  <r>
    <n v="1"/>
    <x v="1"/>
    <n v="60"/>
    <x v="2"/>
    <n v="1"/>
    <n v="1"/>
    <s v="Primary"/>
    <x v="2"/>
    <n v="0"/>
    <n v="0"/>
    <n v="0"/>
    <x v="1"/>
    <n v="0"/>
    <x v="0"/>
    <n v="0"/>
    <n v="0"/>
    <n v="0"/>
    <n v="266"/>
    <n v="266"/>
    <x v="0"/>
    <n v="115.5"/>
    <n v="82.5"/>
    <n v="23.68"/>
    <n v="23.68"/>
    <x v="1"/>
    <n v="82"/>
    <n v="82"/>
    <n v="83"/>
    <n v="83"/>
    <x v="0"/>
    <x v="1"/>
  </r>
  <r>
    <n v="1"/>
    <x v="1"/>
    <n v="60"/>
    <x v="2"/>
    <n v="3"/>
    <n v="3"/>
    <s v="Graduate"/>
    <x v="1"/>
    <n v="1"/>
    <n v="10"/>
    <n v="10"/>
    <x v="0"/>
    <n v="0"/>
    <x v="0"/>
    <n v="0"/>
    <n v="1"/>
    <n v="0"/>
    <n v="250"/>
    <n v="250"/>
    <x v="0"/>
    <n v="157"/>
    <n v="94"/>
    <n v="29.89"/>
    <n v="29.89"/>
    <x v="0"/>
    <n v="63"/>
    <n v="63"/>
    <n v="68"/>
    <n v="68"/>
    <x v="0"/>
    <x v="1"/>
  </r>
  <r>
    <n v="1"/>
    <x v="1"/>
    <n v="60"/>
    <x v="2"/>
    <n v="1"/>
    <n v="1"/>
    <s v="Primary"/>
    <x v="2"/>
    <n v="1"/>
    <n v="1"/>
    <n v="1"/>
    <x v="0"/>
    <n v="1"/>
    <x v="1"/>
    <n v="0"/>
    <n v="1"/>
    <n v="0"/>
    <n v="232"/>
    <n v="232"/>
    <x v="1"/>
    <n v="173"/>
    <n v="106"/>
    <n v="28.63"/>
    <n v="28.63"/>
    <x v="0"/>
    <n v="85"/>
    <n v="85"/>
    <n v="64"/>
    <n v="64"/>
    <x v="0"/>
    <x v="0"/>
  </r>
  <r>
    <n v="1"/>
    <x v="1"/>
    <n v="60"/>
    <x v="2"/>
    <n v="2"/>
    <n v="2"/>
    <s v="Secondary"/>
    <x v="0"/>
    <n v="0"/>
    <n v="0"/>
    <n v="0"/>
    <x v="1"/>
    <n v="0"/>
    <x v="0"/>
    <n v="0"/>
    <n v="1"/>
    <n v="0"/>
    <n v="213"/>
    <n v="213"/>
    <x v="1"/>
    <n v="140.5"/>
    <n v="83"/>
    <n v="28.59"/>
    <n v="28.59"/>
    <x v="0"/>
    <n v="80"/>
    <n v="80"/>
    <n v="69"/>
    <n v="69"/>
    <x v="0"/>
    <x v="0"/>
  </r>
  <r>
    <n v="1"/>
    <x v="1"/>
    <n v="60"/>
    <x v="2"/>
    <n v="1"/>
    <n v="1"/>
    <s v="Primary"/>
    <x v="2"/>
    <n v="0"/>
    <n v="0"/>
    <n v="0"/>
    <x v="1"/>
    <n v="0"/>
    <x v="0"/>
    <n v="0"/>
    <n v="0"/>
    <n v="0"/>
    <n v="252"/>
    <n v="252"/>
    <x v="0"/>
    <n v="128"/>
    <n v="82"/>
    <n v="21.18"/>
    <n v="21.18"/>
    <x v="1"/>
    <n v="75"/>
    <n v="75"/>
    <n v="70"/>
    <n v="70"/>
    <x v="0"/>
    <x v="1"/>
  </r>
  <r>
    <n v="0"/>
    <x v="0"/>
    <n v="61"/>
    <x v="2"/>
    <n v="3"/>
    <n v="3"/>
    <s v="Graduate"/>
    <x v="1"/>
    <n v="1"/>
    <n v="30"/>
    <n v="30"/>
    <x v="0"/>
    <n v="0"/>
    <x v="0"/>
    <n v="0"/>
    <n v="1"/>
    <n v="0"/>
    <n v="225"/>
    <n v="225"/>
    <x v="1"/>
    <n v="150"/>
    <n v="95"/>
    <n v="28.58"/>
    <n v="28.58"/>
    <x v="0"/>
    <n v="65"/>
    <n v="65"/>
    <n v="103"/>
    <n v="103"/>
    <x v="0"/>
    <x v="1"/>
  </r>
  <r>
    <n v="0"/>
    <x v="0"/>
    <n v="61"/>
    <x v="2"/>
    <n v="3"/>
    <n v="3"/>
    <s v="Graduate"/>
    <x v="1"/>
    <n v="0"/>
    <n v="0"/>
    <n v="0"/>
    <x v="1"/>
    <n v="0"/>
    <x v="0"/>
    <n v="0"/>
    <n v="1"/>
    <n v="0"/>
    <n v="272"/>
    <n v="272"/>
    <x v="0"/>
    <n v="182"/>
    <n v="121"/>
    <n v="32.799999999999997"/>
    <n v="32.799999999999997"/>
    <x v="2"/>
    <n v="85"/>
    <n v="85"/>
    <n v="65"/>
    <n v="65"/>
    <x v="0"/>
    <x v="1"/>
  </r>
  <r>
    <n v="1"/>
    <x v="1"/>
    <n v="61"/>
    <x v="2"/>
    <s v="NA"/>
    <n v="1"/>
    <s v="Primary"/>
    <x v="2"/>
    <n v="1"/>
    <n v="5"/>
    <n v="5"/>
    <x v="0"/>
    <n v="0"/>
    <x v="0"/>
    <n v="0"/>
    <n v="0"/>
    <n v="0"/>
    <n v="175"/>
    <n v="175"/>
    <x v="1"/>
    <n v="134"/>
    <n v="82.5"/>
    <n v="18.59"/>
    <n v="18.59"/>
    <x v="1"/>
    <n v="72"/>
    <n v="72"/>
    <n v="75"/>
    <n v="75"/>
    <x v="0"/>
    <x v="1"/>
  </r>
  <r>
    <n v="0"/>
    <x v="0"/>
    <n v="61"/>
    <x v="2"/>
    <n v="1"/>
    <n v="1"/>
    <s v="Primary"/>
    <x v="2"/>
    <n v="0"/>
    <n v="0"/>
    <n v="0"/>
    <x v="1"/>
    <n v="0"/>
    <x v="0"/>
    <n v="0"/>
    <n v="1"/>
    <n v="0"/>
    <n v="210"/>
    <n v="210"/>
    <x v="1"/>
    <n v="182"/>
    <n v="101"/>
    <n v="29.35"/>
    <n v="29.35"/>
    <x v="0"/>
    <n v="70"/>
    <n v="70"/>
    <n v="83"/>
    <n v="83"/>
    <x v="0"/>
    <x v="0"/>
  </r>
  <r>
    <n v="0"/>
    <x v="0"/>
    <n v="61"/>
    <x v="2"/>
    <n v="2"/>
    <n v="2"/>
    <s v="Secondary"/>
    <x v="0"/>
    <n v="1"/>
    <n v="1"/>
    <n v="1"/>
    <x v="0"/>
    <n v="0"/>
    <x v="0"/>
    <n v="0"/>
    <n v="1"/>
    <n v="0"/>
    <n v="326"/>
    <n v="326"/>
    <x v="0"/>
    <n v="200"/>
    <n v="104"/>
    <n v="38.46"/>
    <n v="38.46"/>
    <x v="2"/>
    <n v="57"/>
    <n v="57"/>
    <n v="78"/>
    <n v="78"/>
    <x v="0"/>
    <x v="0"/>
  </r>
  <r>
    <n v="1"/>
    <x v="1"/>
    <n v="61"/>
    <x v="2"/>
    <n v="2"/>
    <n v="2"/>
    <s v="Secondary"/>
    <x v="0"/>
    <n v="0"/>
    <n v="0"/>
    <n v="0"/>
    <x v="1"/>
    <n v="0"/>
    <x v="0"/>
    <n v="0"/>
    <n v="0"/>
    <n v="0"/>
    <n v="246"/>
    <n v="246"/>
    <x v="0"/>
    <n v="124"/>
    <n v="70"/>
    <n v="25.63"/>
    <n v="25.63"/>
    <x v="0"/>
    <n v="55"/>
    <n v="55"/>
    <n v="78"/>
    <n v="78"/>
    <x v="0"/>
    <x v="1"/>
  </r>
  <r>
    <n v="0"/>
    <x v="0"/>
    <n v="61"/>
    <x v="2"/>
    <n v="1"/>
    <n v="1"/>
    <s v="Primary"/>
    <x v="2"/>
    <n v="0"/>
    <n v="0"/>
    <n v="0"/>
    <x v="1"/>
    <n v="0"/>
    <x v="0"/>
    <n v="0"/>
    <n v="0"/>
    <n v="0"/>
    <n v="220"/>
    <n v="220"/>
    <x v="1"/>
    <n v="142"/>
    <n v="93"/>
    <n v="23.37"/>
    <n v="23.37"/>
    <x v="1"/>
    <n v="80"/>
    <n v="80"/>
    <n v="79"/>
    <n v="79"/>
    <x v="0"/>
    <x v="0"/>
  </r>
  <r>
    <n v="0"/>
    <x v="0"/>
    <n v="61"/>
    <x v="2"/>
    <n v="1"/>
    <n v="1"/>
    <s v="Primary"/>
    <x v="2"/>
    <n v="0"/>
    <n v="0"/>
    <n v="0"/>
    <x v="1"/>
    <n v="0"/>
    <x v="0"/>
    <n v="0"/>
    <n v="0"/>
    <n v="0"/>
    <n v="312"/>
    <n v="312"/>
    <x v="0"/>
    <n v="136.5"/>
    <n v="76"/>
    <n v="31.13"/>
    <n v="31.13"/>
    <x v="2"/>
    <n v="71"/>
    <n v="71"/>
    <n v="85"/>
    <n v="85"/>
    <x v="0"/>
    <x v="1"/>
  </r>
  <r>
    <n v="0"/>
    <x v="0"/>
    <n v="61"/>
    <x v="2"/>
    <n v="1"/>
    <n v="1"/>
    <s v="Primary"/>
    <x v="2"/>
    <n v="1"/>
    <n v="20"/>
    <n v="20"/>
    <x v="0"/>
    <n v="0"/>
    <x v="0"/>
    <n v="0"/>
    <n v="0"/>
    <n v="0"/>
    <n v="229"/>
    <n v="229"/>
    <x v="1"/>
    <n v="122"/>
    <n v="83"/>
    <n v="25.45"/>
    <n v="25.45"/>
    <x v="0"/>
    <n v="78"/>
    <n v="78"/>
    <n v="61"/>
    <n v="61"/>
    <x v="0"/>
    <x v="0"/>
  </r>
  <r>
    <n v="1"/>
    <x v="1"/>
    <n v="61"/>
    <x v="2"/>
    <n v="1"/>
    <n v="1"/>
    <s v="Primary"/>
    <x v="2"/>
    <n v="0"/>
    <n v="0"/>
    <n v="0"/>
    <x v="1"/>
    <n v="0"/>
    <x v="0"/>
    <n v="0"/>
    <n v="0"/>
    <n v="0"/>
    <n v="235"/>
    <n v="235"/>
    <x v="1"/>
    <n v="127"/>
    <n v="81"/>
    <n v="28.63"/>
    <n v="28.63"/>
    <x v="0"/>
    <n v="56"/>
    <n v="56"/>
    <n v="90"/>
    <n v="90"/>
    <x v="0"/>
    <x v="0"/>
  </r>
  <r>
    <n v="1"/>
    <x v="1"/>
    <n v="61"/>
    <x v="2"/>
    <n v="1"/>
    <n v="1"/>
    <s v="Primary"/>
    <x v="2"/>
    <n v="0"/>
    <n v="0"/>
    <n v="0"/>
    <x v="1"/>
    <n v="0"/>
    <x v="0"/>
    <n v="0"/>
    <n v="0"/>
    <n v="0"/>
    <n v="239"/>
    <n v="239"/>
    <x v="1"/>
    <n v="143"/>
    <n v="80"/>
    <n v="25.74"/>
    <n v="25.74"/>
    <x v="0"/>
    <n v="48"/>
    <n v="48"/>
    <s v="NA"/>
    <n v="81.96365524402907"/>
    <x v="0"/>
    <x v="0"/>
  </r>
  <r>
    <n v="0"/>
    <x v="0"/>
    <n v="61"/>
    <x v="2"/>
    <n v="3"/>
    <n v="3"/>
    <s v="Graduate"/>
    <x v="1"/>
    <n v="0"/>
    <n v="0"/>
    <n v="0"/>
    <x v="1"/>
    <n v="0"/>
    <x v="0"/>
    <n v="0"/>
    <n v="1"/>
    <n v="0"/>
    <n v="189"/>
    <n v="189"/>
    <x v="1"/>
    <n v="133"/>
    <n v="83"/>
    <n v="22.82"/>
    <n v="22.82"/>
    <x v="1"/>
    <n v="87"/>
    <n v="87"/>
    <s v="NA"/>
    <n v="81.96365524402907"/>
    <x v="0"/>
    <x v="1"/>
  </r>
  <r>
    <n v="1"/>
    <x v="1"/>
    <n v="61"/>
    <x v="2"/>
    <n v="1"/>
    <n v="1"/>
    <s v="Primary"/>
    <x v="2"/>
    <n v="0"/>
    <n v="0"/>
    <n v="0"/>
    <x v="1"/>
    <n v="0"/>
    <x v="0"/>
    <n v="0"/>
    <n v="0"/>
    <n v="0"/>
    <n v="224"/>
    <n v="224"/>
    <x v="1"/>
    <n v="124"/>
    <n v="74"/>
    <n v="21.9"/>
    <n v="21.9"/>
    <x v="1"/>
    <n v="55"/>
    <n v="55"/>
    <n v="75"/>
    <n v="75"/>
    <x v="0"/>
    <x v="0"/>
  </r>
  <r>
    <n v="0"/>
    <x v="0"/>
    <n v="61"/>
    <x v="2"/>
    <n v="1"/>
    <n v="1"/>
    <s v="Primary"/>
    <x v="2"/>
    <n v="0"/>
    <n v="0"/>
    <n v="0"/>
    <x v="1"/>
    <n v="0"/>
    <x v="0"/>
    <n v="0"/>
    <n v="0"/>
    <n v="0"/>
    <n v="311"/>
    <n v="311"/>
    <x v="0"/>
    <n v="110"/>
    <n v="78.5"/>
    <n v="29.04"/>
    <n v="29.04"/>
    <x v="0"/>
    <n v="71"/>
    <n v="71"/>
    <n v="77"/>
    <n v="77"/>
    <x v="0"/>
    <x v="0"/>
  </r>
  <r>
    <n v="0"/>
    <x v="0"/>
    <n v="61"/>
    <x v="2"/>
    <n v="3"/>
    <n v="3"/>
    <s v="Graduate"/>
    <x v="1"/>
    <n v="0"/>
    <n v="0"/>
    <n v="0"/>
    <x v="1"/>
    <n v="0"/>
    <x v="0"/>
    <n v="0"/>
    <n v="1"/>
    <n v="0"/>
    <n v="290"/>
    <n v="290"/>
    <x v="0"/>
    <n v="170"/>
    <n v="98"/>
    <n v="26.98"/>
    <n v="26.98"/>
    <x v="0"/>
    <n v="80"/>
    <n v="80"/>
    <n v="84"/>
    <n v="84"/>
    <x v="0"/>
    <x v="0"/>
  </r>
  <r>
    <n v="0"/>
    <x v="0"/>
    <n v="61"/>
    <x v="2"/>
    <n v="1"/>
    <n v="1"/>
    <s v="Primary"/>
    <x v="2"/>
    <n v="1"/>
    <n v="15"/>
    <n v="15"/>
    <x v="0"/>
    <n v="0"/>
    <x v="0"/>
    <n v="0"/>
    <n v="0"/>
    <n v="0"/>
    <n v="206"/>
    <n v="206"/>
    <x v="1"/>
    <n v="130"/>
    <n v="80"/>
    <n v="21.93"/>
    <n v="21.93"/>
    <x v="1"/>
    <n v="72"/>
    <n v="72"/>
    <n v="82"/>
    <n v="82"/>
    <x v="0"/>
    <x v="0"/>
  </r>
  <r>
    <n v="1"/>
    <x v="1"/>
    <n v="61"/>
    <x v="2"/>
    <n v="4"/>
    <n v="4"/>
    <s v="Post Graduate"/>
    <x v="3"/>
    <n v="1"/>
    <n v="10"/>
    <n v="10"/>
    <x v="0"/>
    <n v="0"/>
    <x v="0"/>
    <n v="0"/>
    <n v="0"/>
    <n v="0"/>
    <n v="258"/>
    <n v="258"/>
    <x v="0"/>
    <n v="130"/>
    <n v="70"/>
    <n v="24.35"/>
    <n v="24.35"/>
    <x v="1"/>
    <n v="67"/>
    <n v="67"/>
    <n v="78"/>
    <n v="78"/>
    <x v="0"/>
    <x v="0"/>
  </r>
  <r>
    <n v="1"/>
    <x v="1"/>
    <n v="61"/>
    <x v="2"/>
    <n v="1"/>
    <n v="1"/>
    <s v="Primary"/>
    <x v="2"/>
    <n v="0"/>
    <n v="0"/>
    <n v="0"/>
    <x v="1"/>
    <n v="0"/>
    <x v="0"/>
    <n v="0"/>
    <n v="1"/>
    <n v="0"/>
    <n v="182"/>
    <n v="182"/>
    <x v="1"/>
    <n v="209"/>
    <n v="133"/>
    <n v="30.77"/>
    <n v="30.77"/>
    <x v="2"/>
    <n v="65"/>
    <n v="65"/>
    <n v="75"/>
    <n v="75"/>
    <x v="0"/>
    <x v="0"/>
  </r>
  <r>
    <n v="1"/>
    <x v="1"/>
    <n v="61"/>
    <x v="2"/>
    <n v="1"/>
    <n v="1"/>
    <s v="Primary"/>
    <x v="2"/>
    <n v="0"/>
    <n v="0"/>
    <n v="0"/>
    <x v="1"/>
    <n v="1"/>
    <x v="1"/>
    <n v="0"/>
    <n v="1"/>
    <n v="1"/>
    <n v="270"/>
    <n v="270"/>
    <x v="0"/>
    <n v="177.5"/>
    <n v="95"/>
    <n v="28.15"/>
    <n v="28.15"/>
    <x v="0"/>
    <n v="62"/>
    <n v="62"/>
    <n v="123"/>
    <n v="123"/>
    <x v="0"/>
    <x v="1"/>
  </r>
  <r>
    <n v="0"/>
    <x v="0"/>
    <n v="61"/>
    <x v="2"/>
    <n v="1"/>
    <n v="1"/>
    <s v="Primary"/>
    <x v="2"/>
    <n v="0"/>
    <n v="0"/>
    <n v="0"/>
    <x v="1"/>
    <n v="0"/>
    <x v="0"/>
    <n v="0"/>
    <n v="1"/>
    <n v="0"/>
    <n v="217"/>
    <n v="217"/>
    <x v="1"/>
    <n v="189"/>
    <n v="121"/>
    <n v="37.409999999999997"/>
    <n v="37.409999999999997"/>
    <x v="2"/>
    <n v="85"/>
    <n v="85"/>
    <n v="100"/>
    <n v="100"/>
    <x v="0"/>
    <x v="0"/>
  </r>
  <r>
    <n v="0"/>
    <x v="0"/>
    <n v="61"/>
    <x v="2"/>
    <n v="1"/>
    <n v="1"/>
    <s v="Primary"/>
    <x v="2"/>
    <n v="1"/>
    <n v="5"/>
    <n v="5"/>
    <x v="0"/>
    <n v="0"/>
    <x v="0"/>
    <n v="0"/>
    <n v="1"/>
    <n v="0"/>
    <n v="243"/>
    <n v="243"/>
    <x v="0"/>
    <n v="149"/>
    <n v="77"/>
    <n v="22.73"/>
    <n v="22.73"/>
    <x v="1"/>
    <n v="86"/>
    <n v="86"/>
    <s v="NA"/>
    <n v="81.96365524402907"/>
    <x v="0"/>
    <x v="0"/>
  </r>
  <r>
    <n v="0"/>
    <x v="0"/>
    <n v="61"/>
    <x v="2"/>
    <n v="1"/>
    <n v="1"/>
    <s v="Primary"/>
    <x v="2"/>
    <n v="1"/>
    <n v="20"/>
    <n v="20"/>
    <x v="0"/>
    <n v="0"/>
    <x v="0"/>
    <n v="0"/>
    <n v="1"/>
    <n v="0"/>
    <n v="245"/>
    <n v="245"/>
    <x v="0"/>
    <n v="140"/>
    <n v="73"/>
    <n v="30.74"/>
    <n v="30.74"/>
    <x v="2"/>
    <n v="90"/>
    <n v="90"/>
    <n v="91"/>
    <n v="91"/>
    <x v="0"/>
    <x v="1"/>
  </r>
  <r>
    <n v="0"/>
    <x v="0"/>
    <n v="61"/>
    <x v="2"/>
    <n v="1"/>
    <n v="1"/>
    <s v="Primary"/>
    <x v="2"/>
    <n v="1"/>
    <n v="6"/>
    <n v="6"/>
    <x v="0"/>
    <n v="0"/>
    <x v="0"/>
    <n v="0"/>
    <n v="1"/>
    <n v="0"/>
    <n v="290"/>
    <n v="290"/>
    <x v="0"/>
    <n v="178"/>
    <n v="91"/>
    <n v="28.87"/>
    <n v="28.87"/>
    <x v="0"/>
    <n v="110"/>
    <n v="110"/>
    <n v="80"/>
    <n v="80"/>
    <x v="0"/>
    <x v="0"/>
  </r>
  <r>
    <n v="0"/>
    <x v="0"/>
    <n v="61"/>
    <x v="2"/>
    <n v="2"/>
    <n v="2"/>
    <s v="Secondary"/>
    <x v="0"/>
    <n v="0"/>
    <n v="0"/>
    <n v="0"/>
    <x v="1"/>
    <n v="0"/>
    <x v="0"/>
    <n v="0"/>
    <n v="0"/>
    <n v="0"/>
    <n v="255"/>
    <n v="255"/>
    <x v="0"/>
    <n v="114"/>
    <n v="70.5"/>
    <n v="24.79"/>
    <n v="24.79"/>
    <x v="1"/>
    <n v="83"/>
    <n v="83"/>
    <n v="107"/>
    <n v="107"/>
    <x v="0"/>
    <x v="0"/>
  </r>
  <r>
    <n v="0"/>
    <x v="0"/>
    <n v="61"/>
    <x v="2"/>
    <n v="1"/>
    <n v="1"/>
    <s v="Primary"/>
    <x v="2"/>
    <n v="0"/>
    <n v="0"/>
    <n v="0"/>
    <x v="1"/>
    <n v="0"/>
    <x v="0"/>
    <n v="0"/>
    <n v="1"/>
    <n v="0"/>
    <n v="259"/>
    <n v="259"/>
    <x v="0"/>
    <n v="167.5"/>
    <n v="91.5"/>
    <n v="29.53"/>
    <n v="29.53"/>
    <x v="0"/>
    <n v="108"/>
    <n v="108"/>
    <n v="85"/>
    <n v="85"/>
    <x v="0"/>
    <x v="0"/>
  </r>
  <r>
    <n v="1"/>
    <x v="1"/>
    <n v="61"/>
    <x v="2"/>
    <n v="1"/>
    <n v="1"/>
    <s v="Primary"/>
    <x v="2"/>
    <n v="1"/>
    <n v="20"/>
    <n v="20"/>
    <x v="0"/>
    <n v="0"/>
    <x v="0"/>
    <n v="0"/>
    <n v="1"/>
    <n v="0"/>
    <n v="360"/>
    <n v="360"/>
    <x v="0"/>
    <n v="157"/>
    <n v="99"/>
    <n v="28.74"/>
    <n v="28.74"/>
    <x v="0"/>
    <n v="95"/>
    <n v="95"/>
    <n v="73"/>
    <n v="73"/>
    <x v="0"/>
    <x v="0"/>
  </r>
  <r>
    <n v="0"/>
    <x v="0"/>
    <n v="61"/>
    <x v="2"/>
    <n v="1"/>
    <n v="1"/>
    <s v="Primary"/>
    <x v="2"/>
    <n v="0"/>
    <n v="0"/>
    <n v="0"/>
    <x v="1"/>
    <n v="0"/>
    <x v="0"/>
    <n v="0"/>
    <n v="0"/>
    <n v="0"/>
    <n v="210"/>
    <n v="210"/>
    <x v="1"/>
    <n v="122"/>
    <n v="81"/>
    <n v="22.48"/>
    <n v="22.48"/>
    <x v="1"/>
    <n v="68"/>
    <n v="68"/>
    <n v="97"/>
    <n v="97"/>
    <x v="0"/>
    <x v="0"/>
  </r>
  <r>
    <n v="0"/>
    <x v="0"/>
    <n v="61"/>
    <x v="2"/>
    <n v="1"/>
    <n v="1"/>
    <s v="Primary"/>
    <x v="2"/>
    <n v="0"/>
    <n v="0"/>
    <n v="0"/>
    <x v="1"/>
    <n v="0"/>
    <x v="0"/>
    <n v="0"/>
    <n v="1"/>
    <n v="0"/>
    <n v="256"/>
    <n v="256"/>
    <x v="0"/>
    <n v="160"/>
    <n v="109"/>
    <n v="42.53"/>
    <n v="42.53"/>
    <x v="2"/>
    <n v="81"/>
    <n v="81"/>
    <n v="79"/>
    <n v="79"/>
    <x v="0"/>
    <x v="0"/>
  </r>
  <r>
    <n v="0"/>
    <x v="0"/>
    <n v="61"/>
    <x v="2"/>
    <n v="3"/>
    <n v="3"/>
    <s v="Graduate"/>
    <x v="1"/>
    <n v="1"/>
    <n v="1"/>
    <n v="1"/>
    <x v="0"/>
    <n v="0"/>
    <x v="0"/>
    <n v="0"/>
    <n v="0"/>
    <n v="0"/>
    <n v="310"/>
    <n v="310"/>
    <x v="0"/>
    <n v="118"/>
    <n v="77.5"/>
    <n v="24.03"/>
    <n v="24.03"/>
    <x v="1"/>
    <n v="90"/>
    <n v="90"/>
    <n v="70"/>
    <n v="70"/>
    <x v="0"/>
    <x v="0"/>
  </r>
  <r>
    <n v="1"/>
    <x v="1"/>
    <n v="61"/>
    <x v="2"/>
    <n v="1"/>
    <n v="1"/>
    <s v="Primary"/>
    <x v="2"/>
    <n v="0"/>
    <n v="0"/>
    <n v="0"/>
    <x v="1"/>
    <n v="0"/>
    <x v="0"/>
    <n v="0"/>
    <n v="1"/>
    <n v="0"/>
    <n v="201"/>
    <n v="201"/>
    <x v="1"/>
    <n v="164.5"/>
    <n v="93.5"/>
    <n v="27.73"/>
    <n v="27.73"/>
    <x v="0"/>
    <n v="78"/>
    <n v="78"/>
    <n v="95"/>
    <n v="95"/>
    <x v="0"/>
    <x v="1"/>
  </r>
  <r>
    <n v="1"/>
    <x v="1"/>
    <n v="61"/>
    <x v="2"/>
    <n v="1"/>
    <n v="1"/>
    <s v="Primary"/>
    <x v="2"/>
    <n v="0"/>
    <n v="0"/>
    <n v="0"/>
    <x v="1"/>
    <n v="0"/>
    <x v="0"/>
    <n v="0"/>
    <n v="0"/>
    <n v="0"/>
    <n v="227"/>
    <n v="227"/>
    <x v="1"/>
    <n v="130"/>
    <n v="77.5"/>
    <n v="26.18"/>
    <n v="26.18"/>
    <x v="0"/>
    <n v="63"/>
    <n v="63"/>
    <n v="91"/>
    <n v="91"/>
    <x v="0"/>
    <x v="0"/>
  </r>
  <r>
    <n v="0"/>
    <x v="0"/>
    <n v="61"/>
    <x v="2"/>
    <n v="1"/>
    <n v="1"/>
    <s v="Primary"/>
    <x v="2"/>
    <n v="0"/>
    <n v="0"/>
    <n v="0"/>
    <x v="1"/>
    <n v="0"/>
    <x v="0"/>
    <n v="0"/>
    <n v="1"/>
    <n v="0"/>
    <n v="292"/>
    <n v="292"/>
    <x v="0"/>
    <n v="141.5"/>
    <n v="88.5"/>
    <n v="23.95"/>
    <n v="23.95"/>
    <x v="1"/>
    <n v="86"/>
    <n v="86"/>
    <n v="70"/>
    <n v="70"/>
    <x v="0"/>
    <x v="0"/>
  </r>
  <r>
    <n v="1"/>
    <x v="1"/>
    <n v="61"/>
    <x v="2"/>
    <n v="1"/>
    <n v="1"/>
    <s v="Primary"/>
    <x v="2"/>
    <n v="0"/>
    <n v="0"/>
    <n v="0"/>
    <x v="1"/>
    <n v="0"/>
    <x v="0"/>
    <n v="0"/>
    <n v="0"/>
    <n v="0"/>
    <n v="214"/>
    <n v="214"/>
    <x v="1"/>
    <n v="100"/>
    <n v="65"/>
    <n v="30.18"/>
    <n v="30.18"/>
    <x v="2"/>
    <n v="60"/>
    <n v="60"/>
    <n v="66"/>
    <n v="66"/>
    <x v="0"/>
    <x v="0"/>
  </r>
  <r>
    <n v="1"/>
    <x v="1"/>
    <n v="61"/>
    <x v="2"/>
    <n v="1"/>
    <n v="1"/>
    <s v="Primary"/>
    <x v="2"/>
    <n v="1"/>
    <n v="20"/>
    <n v="20"/>
    <x v="0"/>
    <n v="0"/>
    <x v="0"/>
    <n v="0"/>
    <n v="1"/>
    <n v="0"/>
    <n v="183"/>
    <n v="183"/>
    <x v="1"/>
    <n v="156"/>
    <n v="92"/>
    <n v="24.69"/>
    <n v="24.69"/>
    <x v="1"/>
    <n v="75"/>
    <n v="75"/>
    <n v="79"/>
    <n v="79"/>
    <x v="0"/>
    <x v="0"/>
  </r>
  <r>
    <n v="1"/>
    <x v="1"/>
    <n v="61"/>
    <x v="2"/>
    <n v="1"/>
    <n v="1"/>
    <s v="Primary"/>
    <x v="2"/>
    <n v="0"/>
    <n v="0"/>
    <n v="0"/>
    <x v="1"/>
    <n v="0"/>
    <x v="0"/>
    <n v="0"/>
    <n v="0"/>
    <n v="1"/>
    <n v="218"/>
    <n v="218"/>
    <x v="1"/>
    <n v="160"/>
    <n v="96"/>
    <n v="28.89"/>
    <n v="28.89"/>
    <x v="0"/>
    <n v="75"/>
    <n v="75"/>
    <n v="223"/>
    <n v="223"/>
    <x v="0"/>
    <x v="0"/>
  </r>
  <r>
    <n v="0"/>
    <x v="0"/>
    <n v="61"/>
    <x v="2"/>
    <s v="NA"/>
    <n v="1"/>
    <s v="Primary"/>
    <x v="2"/>
    <n v="0"/>
    <n v="0"/>
    <n v="0"/>
    <x v="1"/>
    <n v="0"/>
    <x v="0"/>
    <n v="0"/>
    <n v="0"/>
    <n v="0"/>
    <n v="265"/>
    <n v="265"/>
    <x v="0"/>
    <n v="123"/>
    <n v="79"/>
    <n v="26.07"/>
    <n v="26.07"/>
    <x v="0"/>
    <n v="81"/>
    <n v="81"/>
    <n v="114"/>
    <n v="114"/>
    <x v="0"/>
    <x v="0"/>
  </r>
  <r>
    <n v="1"/>
    <x v="1"/>
    <n v="61"/>
    <x v="2"/>
    <n v="1"/>
    <n v="1"/>
    <s v="Primary"/>
    <x v="2"/>
    <n v="1"/>
    <n v="3"/>
    <n v="3"/>
    <x v="0"/>
    <n v="0"/>
    <x v="0"/>
    <n v="0"/>
    <n v="1"/>
    <n v="0"/>
    <n v="256"/>
    <n v="256"/>
    <x v="0"/>
    <n v="165"/>
    <n v="80"/>
    <n v="24.12"/>
    <n v="24.12"/>
    <x v="1"/>
    <n v="75"/>
    <n v="75"/>
    <n v="97"/>
    <n v="97"/>
    <x v="0"/>
    <x v="0"/>
  </r>
  <r>
    <n v="1"/>
    <x v="1"/>
    <n v="61"/>
    <x v="2"/>
    <n v="1"/>
    <n v="1"/>
    <s v="Primary"/>
    <x v="2"/>
    <n v="1"/>
    <n v="7"/>
    <n v="7"/>
    <x v="0"/>
    <n v="0"/>
    <x v="0"/>
    <n v="0"/>
    <n v="1"/>
    <n v="0"/>
    <n v="176"/>
    <n v="176"/>
    <x v="1"/>
    <n v="125"/>
    <n v="82"/>
    <n v="29.82"/>
    <n v="29.82"/>
    <x v="0"/>
    <n v="70"/>
    <n v="70"/>
    <n v="75"/>
    <n v="75"/>
    <x v="0"/>
    <x v="0"/>
  </r>
  <r>
    <n v="1"/>
    <x v="1"/>
    <n v="61"/>
    <x v="2"/>
    <n v="1"/>
    <n v="1"/>
    <s v="Primary"/>
    <x v="2"/>
    <n v="0"/>
    <n v="0"/>
    <n v="0"/>
    <x v="1"/>
    <n v="0"/>
    <x v="0"/>
    <n v="0"/>
    <n v="0"/>
    <n v="0"/>
    <n v="295"/>
    <n v="295"/>
    <x v="0"/>
    <n v="131.5"/>
    <n v="85"/>
    <n v="27.33"/>
    <n v="27.33"/>
    <x v="0"/>
    <n v="80"/>
    <n v="80"/>
    <n v="83"/>
    <n v="83"/>
    <x v="0"/>
    <x v="0"/>
  </r>
  <r>
    <n v="1"/>
    <x v="1"/>
    <n v="61"/>
    <x v="2"/>
    <n v="4"/>
    <n v="4"/>
    <s v="Post Graduate"/>
    <x v="3"/>
    <n v="0"/>
    <n v="0"/>
    <n v="0"/>
    <x v="1"/>
    <n v="0"/>
    <x v="0"/>
    <n v="0"/>
    <n v="0"/>
    <n v="0"/>
    <n v="179"/>
    <n v="179"/>
    <x v="1"/>
    <n v="112"/>
    <n v="66.5"/>
    <n v="24.38"/>
    <n v="24.38"/>
    <x v="1"/>
    <n v="60"/>
    <n v="60"/>
    <n v="100"/>
    <n v="100"/>
    <x v="0"/>
    <x v="0"/>
  </r>
  <r>
    <n v="0"/>
    <x v="0"/>
    <n v="61"/>
    <x v="2"/>
    <n v="2"/>
    <n v="2"/>
    <s v="Secondary"/>
    <x v="0"/>
    <n v="1"/>
    <n v="20"/>
    <n v="20"/>
    <x v="0"/>
    <n v="0"/>
    <x v="0"/>
    <n v="0"/>
    <n v="1"/>
    <n v="0"/>
    <n v="326"/>
    <n v="326"/>
    <x v="0"/>
    <n v="141"/>
    <n v="75"/>
    <n v="26.11"/>
    <n v="26.11"/>
    <x v="0"/>
    <n v="60"/>
    <n v="60"/>
    <n v="72"/>
    <n v="72"/>
    <x v="0"/>
    <x v="0"/>
  </r>
  <r>
    <n v="0"/>
    <x v="0"/>
    <n v="61"/>
    <x v="2"/>
    <n v="2"/>
    <n v="2"/>
    <s v="Secondary"/>
    <x v="0"/>
    <n v="0"/>
    <n v="0"/>
    <n v="0"/>
    <x v="1"/>
    <n v="0"/>
    <x v="0"/>
    <n v="0"/>
    <n v="1"/>
    <n v="0"/>
    <n v="210"/>
    <n v="210"/>
    <x v="1"/>
    <n v="179"/>
    <n v="100"/>
    <n v="21.64"/>
    <n v="21.64"/>
    <x v="1"/>
    <n v="78"/>
    <n v="78"/>
    <n v="95"/>
    <n v="95"/>
    <x v="0"/>
    <x v="0"/>
  </r>
  <r>
    <n v="0"/>
    <x v="0"/>
    <n v="61"/>
    <x v="2"/>
    <n v="1"/>
    <n v="1"/>
    <s v="Primary"/>
    <x v="2"/>
    <n v="0"/>
    <n v="0"/>
    <n v="0"/>
    <x v="1"/>
    <n v="0"/>
    <x v="0"/>
    <n v="0"/>
    <n v="1"/>
    <n v="0"/>
    <n v="250"/>
    <n v="250"/>
    <x v="0"/>
    <n v="173"/>
    <n v="89"/>
    <n v="29.25"/>
    <n v="29.25"/>
    <x v="0"/>
    <n v="90"/>
    <n v="90"/>
    <n v="87"/>
    <n v="87"/>
    <x v="0"/>
    <x v="0"/>
  </r>
  <r>
    <n v="1"/>
    <x v="1"/>
    <n v="61"/>
    <x v="2"/>
    <n v="2"/>
    <n v="2"/>
    <s v="Secondary"/>
    <x v="0"/>
    <n v="1"/>
    <n v="15"/>
    <n v="15"/>
    <x v="0"/>
    <n v="0"/>
    <x v="0"/>
    <n v="0"/>
    <n v="0"/>
    <n v="0"/>
    <n v="204"/>
    <n v="204"/>
    <x v="1"/>
    <n v="120"/>
    <n v="80"/>
    <n v="25.71"/>
    <n v="25.71"/>
    <x v="0"/>
    <n v="80"/>
    <n v="80"/>
    <n v="83"/>
    <n v="83"/>
    <x v="0"/>
    <x v="1"/>
  </r>
  <r>
    <n v="0"/>
    <x v="0"/>
    <n v="61"/>
    <x v="2"/>
    <n v="1"/>
    <n v="1"/>
    <s v="Primary"/>
    <x v="2"/>
    <n v="1"/>
    <n v="10"/>
    <n v="10"/>
    <x v="0"/>
    <n v="0"/>
    <x v="0"/>
    <n v="0"/>
    <n v="0"/>
    <n v="0"/>
    <n v="200"/>
    <n v="200"/>
    <x v="1"/>
    <n v="187"/>
    <n v="95.5"/>
    <n v="21.57"/>
    <n v="21.57"/>
    <x v="1"/>
    <n v="58"/>
    <n v="58"/>
    <n v="64"/>
    <n v="64"/>
    <x v="0"/>
    <x v="0"/>
  </r>
  <r>
    <n v="0"/>
    <x v="0"/>
    <n v="61"/>
    <x v="2"/>
    <n v="1"/>
    <n v="1"/>
    <s v="Primary"/>
    <x v="2"/>
    <n v="1"/>
    <s v="NA"/>
    <n v="9"/>
    <x v="0"/>
    <n v="0"/>
    <x v="0"/>
    <n v="0"/>
    <n v="1"/>
    <n v="0"/>
    <n v="356"/>
    <n v="356"/>
    <x v="0"/>
    <n v="168"/>
    <n v="98"/>
    <n v="27.3"/>
    <n v="27.3"/>
    <x v="0"/>
    <n v="103"/>
    <n v="103"/>
    <n v="106"/>
    <n v="106"/>
    <x v="0"/>
    <x v="0"/>
  </r>
  <r>
    <n v="1"/>
    <x v="1"/>
    <n v="61"/>
    <x v="2"/>
    <n v="1"/>
    <n v="1"/>
    <s v="Primary"/>
    <x v="2"/>
    <n v="0"/>
    <n v="0"/>
    <n v="0"/>
    <x v="1"/>
    <n v="0"/>
    <x v="0"/>
    <n v="0"/>
    <n v="1"/>
    <n v="0"/>
    <n v="285"/>
    <n v="285"/>
    <x v="0"/>
    <n v="182.5"/>
    <n v="110"/>
    <n v="28.88"/>
    <n v="28.88"/>
    <x v="0"/>
    <n v="75"/>
    <n v="75"/>
    <s v="NA"/>
    <n v="81.96365524402907"/>
    <x v="0"/>
    <x v="0"/>
  </r>
  <r>
    <n v="1"/>
    <x v="1"/>
    <n v="61"/>
    <x v="2"/>
    <n v="2"/>
    <n v="2"/>
    <s v="Secondary"/>
    <x v="0"/>
    <n v="0"/>
    <n v="0"/>
    <n v="0"/>
    <x v="1"/>
    <n v="0"/>
    <x v="0"/>
    <n v="0"/>
    <n v="1"/>
    <n v="0"/>
    <n v="260"/>
    <n v="260"/>
    <x v="0"/>
    <n v="148"/>
    <n v="74"/>
    <n v="26.84"/>
    <n v="26.84"/>
    <x v="0"/>
    <n v="66"/>
    <n v="66"/>
    <n v="91"/>
    <n v="91"/>
    <x v="0"/>
    <x v="0"/>
  </r>
  <r>
    <n v="1"/>
    <x v="1"/>
    <n v="61"/>
    <x v="2"/>
    <n v="1"/>
    <n v="1"/>
    <s v="Primary"/>
    <x v="2"/>
    <n v="1"/>
    <n v="30"/>
    <n v="30"/>
    <x v="0"/>
    <n v="0"/>
    <x v="0"/>
    <n v="0"/>
    <n v="1"/>
    <n v="0"/>
    <n v="170"/>
    <n v="170"/>
    <x v="1"/>
    <n v="132"/>
    <n v="94"/>
    <n v="22.16"/>
    <n v="22.16"/>
    <x v="1"/>
    <n v="53"/>
    <n v="53"/>
    <n v="82"/>
    <n v="82"/>
    <x v="0"/>
    <x v="0"/>
  </r>
  <r>
    <n v="0"/>
    <x v="0"/>
    <n v="61"/>
    <x v="2"/>
    <n v="2"/>
    <n v="2"/>
    <s v="Secondary"/>
    <x v="0"/>
    <n v="1"/>
    <n v="15"/>
    <n v="15"/>
    <x v="0"/>
    <n v="0"/>
    <x v="0"/>
    <n v="0"/>
    <n v="1"/>
    <n v="0"/>
    <n v="235"/>
    <n v="235"/>
    <x v="1"/>
    <n v="154"/>
    <n v="94"/>
    <n v="22.91"/>
    <n v="22.91"/>
    <x v="1"/>
    <n v="70"/>
    <n v="70"/>
    <n v="66"/>
    <n v="66"/>
    <x v="0"/>
    <x v="1"/>
  </r>
  <r>
    <n v="0"/>
    <x v="0"/>
    <n v="61"/>
    <x v="2"/>
    <n v="2"/>
    <n v="2"/>
    <s v="Secondary"/>
    <x v="0"/>
    <n v="0"/>
    <n v="0"/>
    <n v="0"/>
    <x v="1"/>
    <n v="0"/>
    <x v="0"/>
    <n v="0"/>
    <n v="1"/>
    <n v="0"/>
    <n v="183"/>
    <n v="183"/>
    <x v="1"/>
    <n v="150"/>
    <n v="86"/>
    <n v="25.05"/>
    <n v="25.05"/>
    <x v="0"/>
    <n v="66"/>
    <n v="66"/>
    <n v="70"/>
    <n v="70"/>
    <x v="0"/>
    <x v="1"/>
  </r>
  <r>
    <n v="0"/>
    <x v="0"/>
    <n v="61"/>
    <x v="2"/>
    <n v="3"/>
    <n v="3"/>
    <s v="Graduate"/>
    <x v="1"/>
    <n v="0"/>
    <n v="0"/>
    <n v="0"/>
    <x v="1"/>
    <n v="0"/>
    <x v="0"/>
    <n v="0"/>
    <n v="0"/>
    <n v="0"/>
    <n v="340"/>
    <n v="340"/>
    <x v="0"/>
    <n v="121"/>
    <n v="78"/>
    <n v="23.33"/>
    <n v="23.33"/>
    <x v="1"/>
    <n v="65"/>
    <n v="65"/>
    <n v="73"/>
    <n v="73"/>
    <x v="0"/>
    <x v="0"/>
  </r>
  <r>
    <n v="1"/>
    <x v="1"/>
    <n v="61"/>
    <x v="2"/>
    <n v="4"/>
    <n v="4"/>
    <s v="Post Graduate"/>
    <x v="3"/>
    <n v="0"/>
    <n v="0"/>
    <n v="0"/>
    <x v="1"/>
    <n v="1"/>
    <x v="1"/>
    <n v="0"/>
    <n v="1"/>
    <n v="0"/>
    <n v="204"/>
    <n v="204"/>
    <x v="1"/>
    <n v="120"/>
    <n v="67"/>
    <n v="24.84"/>
    <n v="24.84"/>
    <x v="1"/>
    <n v="63"/>
    <n v="63"/>
    <n v="75"/>
    <n v="75"/>
    <x v="0"/>
    <x v="0"/>
  </r>
  <r>
    <n v="0"/>
    <x v="0"/>
    <n v="61"/>
    <x v="2"/>
    <n v="1"/>
    <n v="1"/>
    <s v="Primary"/>
    <x v="2"/>
    <n v="0"/>
    <n v="0"/>
    <n v="0"/>
    <x v="1"/>
    <n v="0"/>
    <x v="0"/>
    <n v="0"/>
    <n v="0"/>
    <n v="0"/>
    <s v="NA"/>
    <n v="236.69952267303103"/>
    <x v="1"/>
    <n v="115"/>
    <n v="60"/>
    <n v="25.5"/>
    <n v="25.5"/>
    <x v="0"/>
    <n v="76"/>
    <n v="76"/>
    <n v="99"/>
    <n v="99"/>
    <x v="0"/>
    <x v="0"/>
  </r>
  <r>
    <n v="1"/>
    <x v="1"/>
    <n v="61"/>
    <x v="2"/>
    <n v="2"/>
    <n v="2"/>
    <s v="Secondary"/>
    <x v="0"/>
    <n v="1"/>
    <n v="20"/>
    <n v="20"/>
    <x v="0"/>
    <n v="0"/>
    <x v="0"/>
    <n v="0"/>
    <n v="0"/>
    <n v="0"/>
    <n v="167"/>
    <n v="167"/>
    <x v="1"/>
    <n v="105"/>
    <n v="67.5"/>
    <n v="27.28"/>
    <n v="27.28"/>
    <x v="0"/>
    <n v="88"/>
    <n v="88"/>
    <n v="86"/>
    <n v="86"/>
    <x v="0"/>
    <x v="0"/>
  </r>
  <r>
    <n v="0"/>
    <x v="0"/>
    <n v="61"/>
    <x v="2"/>
    <n v="1"/>
    <n v="1"/>
    <s v="Primary"/>
    <x v="2"/>
    <n v="0"/>
    <n v="0"/>
    <n v="0"/>
    <x v="1"/>
    <n v="0"/>
    <x v="0"/>
    <n v="0"/>
    <n v="1"/>
    <n v="0"/>
    <n v="266"/>
    <n v="266"/>
    <x v="0"/>
    <n v="171"/>
    <n v="87"/>
    <n v="32.770000000000003"/>
    <n v="32.770000000000003"/>
    <x v="2"/>
    <n v="80"/>
    <n v="80"/>
    <n v="123"/>
    <n v="123"/>
    <x v="0"/>
    <x v="0"/>
  </r>
  <r>
    <n v="1"/>
    <x v="1"/>
    <n v="61"/>
    <x v="2"/>
    <n v="1"/>
    <n v="1"/>
    <s v="Primary"/>
    <x v="2"/>
    <n v="0"/>
    <n v="0"/>
    <n v="0"/>
    <x v="1"/>
    <n v="0"/>
    <x v="0"/>
    <n v="0"/>
    <n v="1"/>
    <n v="0"/>
    <n v="238"/>
    <n v="238"/>
    <x v="1"/>
    <n v="232"/>
    <n v="136"/>
    <n v="24.83"/>
    <n v="24.83"/>
    <x v="1"/>
    <n v="75"/>
    <n v="75"/>
    <n v="79"/>
    <n v="79"/>
    <x v="0"/>
    <x v="0"/>
  </r>
  <r>
    <n v="0"/>
    <x v="0"/>
    <n v="61"/>
    <x v="2"/>
    <n v="1"/>
    <n v="1"/>
    <s v="Primary"/>
    <x v="2"/>
    <n v="0"/>
    <n v="0"/>
    <n v="0"/>
    <x v="1"/>
    <s v="NA"/>
    <x v="0"/>
    <n v="0"/>
    <n v="0"/>
    <n v="0"/>
    <n v="218"/>
    <n v="218"/>
    <x v="1"/>
    <n v="148"/>
    <n v="80"/>
    <n v="37.04"/>
    <n v="37.04"/>
    <x v="2"/>
    <n v="82"/>
    <n v="82"/>
    <n v="78"/>
    <n v="78"/>
    <x v="1"/>
    <x v="0"/>
  </r>
  <r>
    <n v="0"/>
    <x v="0"/>
    <n v="61"/>
    <x v="2"/>
    <n v="2"/>
    <n v="2"/>
    <s v="Secondary"/>
    <x v="0"/>
    <n v="0"/>
    <n v="0"/>
    <n v="0"/>
    <x v="1"/>
    <n v="0"/>
    <x v="0"/>
    <n v="0"/>
    <n v="1"/>
    <n v="0"/>
    <n v="273"/>
    <n v="273"/>
    <x v="0"/>
    <n v="210"/>
    <n v="120"/>
    <n v="25.11"/>
    <n v="25.11"/>
    <x v="0"/>
    <n v="88"/>
    <n v="88"/>
    <n v="83"/>
    <n v="83"/>
    <x v="0"/>
    <x v="1"/>
  </r>
  <r>
    <n v="0"/>
    <x v="0"/>
    <n v="61"/>
    <x v="2"/>
    <s v="NA"/>
    <n v="1"/>
    <s v="Primary"/>
    <x v="2"/>
    <n v="0"/>
    <n v="0"/>
    <n v="0"/>
    <x v="1"/>
    <n v="0"/>
    <x v="0"/>
    <n v="0"/>
    <n v="0"/>
    <n v="0"/>
    <n v="270"/>
    <n v="270"/>
    <x v="0"/>
    <n v="136.5"/>
    <n v="89"/>
    <n v="30.65"/>
    <n v="30.65"/>
    <x v="2"/>
    <n v="63"/>
    <n v="63"/>
    <n v="87"/>
    <n v="87"/>
    <x v="0"/>
    <x v="0"/>
  </r>
  <r>
    <n v="1"/>
    <x v="1"/>
    <n v="61"/>
    <x v="2"/>
    <n v="1"/>
    <n v="1"/>
    <s v="Primary"/>
    <x v="2"/>
    <n v="1"/>
    <n v="13"/>
    <n v="13"/>
    <x v="0"/>
    <n v="0"/>
    <x v="0"/>
    <n v="0"/>
    <n v="0"/>
    <n v="0"/>
    <n v="312"/>
    <n v="312"/>
    <x v="0"/>
    <n v="110"/>
    <n v="66"/>
    <n v="26.28"/>
    <n v="26.28"/>
    <x v="0"/>
    <n v="68"/>
    <n v="68"/>
    <n v="96"/>
    <n v="96"/>
    <x v="0"/>
    <x v="0"/>
  </r>
  <r>
    <n v="1"/>
    <x v="1"/>
    <n v="61"/>
    <x v="2"/>
    <n v="1"/>
    <n v="1"/>
    <s v="Primary"/>
    <x v="2"/>
    <n v="1"/>
    <n v="15"/>
    <n v="15"/>
    <x v="0"/>
    <n v="0"/>
    <x v="0"/>
    <n v="0"/>
    <n v="1"/>
    <n v="0"/>
    <n v="157"/>
    <n v="157"/>
    <x v="1"/>
    <n v="195"/>
    <n v="108"/>
    <n v="25.08"/>
    <n v="25.08"/>
    <x v="0"/>
    <n v="75"/>
    <n v="75"/>
    <n v="78"/>
    <n v="78"/>
    <x v="0"/>
    <x v="0"/>
  </r>
  <r>
    <n v="0"/>
    <x v="0"/>
    <n v="61"/>
    <x v="2"/>
    <n v="1"/>
    <n v="1"/>
    <s v="Primary"/>
    <x v="2"/>
    <n v="1"/>
    <n v="25"/>
    <n v="25"/>
    <x v="0"/>
    <n v="0"/>
    <x v="0"/>
    <n v="0"/>
    <n v="0"/>
    <n v="0"/>
    <s v="NA"/>
    <n v="236.69952267303103"/>
    <x v="1"/>
    <n v="147.5"/>
    <n v="72.5"/>
    <n v="26.58"/>
    <n v="26.58"/>
    <x v="0"/>
    <n v="83"/>
    <n v="83"/>
    <s v="NA"/>
    <n v="81.96365524402907"/>
    <x v="0"/>
    <x v="0"/>
  </r>
  <r>
    <n v="0"/>
    <x v="0"/>
    <n v="61"/>
    <x v="2"/>
    <n v="3"/>
    <n v="3"/>
    <s v="Graduate"/>
    <x v="1"/>
    <n v="0"/>
    <n v="0"/>
    <n v="0"/>
    <x v="1"/>
    <n v="0"/>
    <x v="0"/>
    <n v="0"/>
    <n v="0"/>
    <n v="0"/>
    <n v="260"/>
    <n v="260"/>
    <x v="0"/>
    <n v="112.5"/>
    <n v="75"/>
    <n v="21.97"/>
    <n v="21.97"/>
    <x v="1"/>
    <n v="60"/>
    <n v="60"/>
    <n v="74"/>
    <n v="74"/>
    <x v="0"/>
    <x v="0"/>
  </r>
  <r>
    <n v="1"/>
    <x v="1"/>
    <n v="61"/>
    <x v="2"/>
    <n v="1"/>
    <n v="1"/>
    <s v="Primary"/>
    <x v="2"/>
    <n v="1"/>
    <n v="5"/>
    <n v="5"/>
    <x v="0"/>
    <n v="0"/>
    <x v="0"/>
    <n v="0"/>
    <n v="0"/>
    <n v="0"/>
    <n v="222"/>
    <n v="222"/>
    <x v="1"/>
    <n v="139"/>
    <n v="67"/>
    <n v="22.01"/>
    <n v="22.01"/>
    <x v="1"/>
    <n v="92"/>
    <n v="92"/>
    <n v="72"/>
    <n v="72"/>
    <x v="0"/>
    <x v="0"/>
  </r>
  <r>
    <n v="1"/>
    <x v="1"/>
    <n v="61"/>
    <x v="2"/>
    <n v="1"/>
    <n v="1"/>
    <s v="Primary"/>
    <x v="2"/>
    <n v="1"/>
    <n v="20"/>
    <n v="20"/>
    <x v="0"/>
    <n v="0"/>
    <x v="0"/>
    <n v="0"/>
    <n v="0"/>
    <n v="0"/>
    <n v="215"/>
    <n v="215"/>
    <x v="1"/>
    <n v="114"/>
    <n v="72.5"/>
    <n v="25.86"/>
    <n v="25.86"/>
    <x v="0"/>
    <n v="65"/>
    <n v="65"/>
    <n v="61"/>
    <n v="61"/>
    <x v="0"/>
    <x v="1"/>
  </r>
  <r>
    <n v="1"/>
    <x v="1"/>
    <n v="61"/>
    <x v="2"/>
    <n v="1"/>
    <n v="1"/>
    <s v="Primary"/>
    <x v="2"/>
    <n v="0"/>
    <n v="0"/>
    <n v="0"/>
    <x v="1"/>
    <n v="0"/>
    <x v="0"/>
    <n v="0"/>
    <n v="0"/>
    <n v="0"/>
    <n v="193"/>
    <n v="193"/>
    <x v="1"/>
    <n v="108.5"/>
    <n v="71"/>
    <n v="31.31"/>
    <n v="31.31"/>
    <x v="2"/>
    <n v="60"/>
    <n v="60"/>
    <s v="NA"/>
    <n v="81.96365524402907"/>
    <x v="0"/>
    <x v="0"/>
  </r>
  <r>
    <n v="0"/>
    <x v="0"/>
    <n v="61"/>
    <x v="2"/>
    <n v="2"/>
    <n v="2"/>
    <s v="Secondary"/>
    <x v="0"/>
    <n v="0"/>
    <n v="0"/>
    <n v="0"/>
    <x v="1"/>
    <n v="0"/>
    <x v="0"/>
    <n v="0"/>
    <n v="1"/>
    <n v="0"/>
    <n v="224"/>
    <n v="224"/>
    <x v="1"/>
    <n v="155"/>
    <n v="71"/>
    <n v="25.98"/>
    <n v="25.98"/>
    <x v="0"/>
    <n v="75"/>
    <n v="75"/>
    <n v="86"/>
    <n v="86"/>
    <x v="0"/>
    <x v="0"/>
  </r>
  <r>
    <n v="0"/>
    <x v="0"/>
    <n v="61"/>
    <x v="2"/>
    <n v="2"/>
    <n v="2"/>
    <s v="Secondary"/>
    <x v="0"/>
    <n v="0"/>
    <n v="0"/>
    <n v="0"/>
    <x v="1"/>
    <n v="0"/>
    <x v="0"/>
    <n v="0"/>
    <n v="0"/>
    <n v="0"/>
    <n v="219"/>
    <n v="219"/>
    <x v="1"/>
    <n v="102"/>
    <n v="59"/>
    <n v="18.14"/>
    <n v="18.14"/>
    <x v="3"/>
    <n v="72"/>
    <n v="72"/>
    <n v="62"/>
    <n v="62"/>
    <x v="0"/>
    <x v="0"/>
  </r>
  <r>
    <n v="0"/>
    <x v="0"/>
    <n v="61"/>
    <x v="2"/>
    <n v="1"/>
    <n v="1"/>
    <s v="Primary"/>
    <x v="2"/>
    <n v="0"/>
    <n v="0"/>
    <n v="0"/>
    <x v="1"/>
    <n v="0"/>
    <x v="0"/>
    <n v="0"/>
    <n v="1"/>
    <n v="0"/>
    <s v="NA"/>
    <n v="236.69952267303103"/>
    <x v="1"/>
    <n v="185"/>
    <n v="121"/>
    <n v="35.22"/>
    <n v="35.22"/>
    <x v="2"/>
    <n v="80"/>
    <n v="80"/>
    <s v="NA"/>
    <n v="81.96365524402907"/>
    <x v="0"/>
    <x v="0"/>
  </r>
  <r>
    <n v="1"/>
    <x v="1"/>
    <n v="61"/>
    <x v="2"/>
    <n v="1"/>
    <n v="1"/>
    <s v="Primary"/>
    <x v="2"/>
    <n v="0"/>
    <n v="0"/>
    <n v="0"/>
    <x v="1"/>
    <n v="0"/>
    <x v="0"/>
    <n v="0"/>
    <n v="1"/>
    <n v="0"/>
    <n v="243"/>
    <n v="243"/>
    <x v="0"/>
    <n v="142"/>
    <n v="89"/>
    <n v="27.3"/>
    <n v="27.3"/>
    <x v="0"/>
    <n v="65"/>
    <n v="65"/>
    <n v="67"/>
    <n v="67"/>
    <x v="0"/>
    <x v="1"/>
  </r>
  <r>
    <n v="0"/>
    <x v="0"/>
    <n v="61"/>
    <x v="2"/>
    <n v="1"/>
    <n v="1"/>
    <s v="Primary"/>
    <x v="2"/>
    <n v="0"/>
    <n v="0"/>
    <n v="0"/>
    <x v="1"/>
    <n v="0"/>
    <x v="0"/>
    <n v="0"/>
    <n v="0"/>
    <n v="0"/>
    <n v="295"/>
    <n v="295"/>
    <x v="0"/>
    <n v="191"/>
    <n v="97"/>
    <n v="31.27"/>
    <n v="31.27"/>
    <x v="2"/>
    <n v="62"/>
    <n v="62"/>
    <n v="90"/>
    <n v="90"/>
    <x v="0"/>
    <x v="0"/>
  </r>
  <r>
    <n v="0"/>
    <x v="0"/>
    <n v="61"/>
    <x v="2"/>
    <n v="2"/>
    <n v="2"/>
    <s v="Secondary"/>
    <x v="0"/>
    <n v="0"/>
    <n v="0"/>
    <n v="0"/>
    <x v="1"/>
    <n v="0"/>
    <x v="0"/>
    <n v="0"/>
    <n v="1"/>
    <n v="0"/>
    <n v="270"/>
    <n v="270"/>
    <x v="0"/>
    <n v="174.5"/>
    <n v="101.5"/>
    <n v="29.87"/>
    <n v="29.87"/>
    <x v="0"/>
    <n v="80"/>
    <n v="80"/>
    <n v="76"/>
    <n v="76"/>
    <x v="0"/>
    <x v="0"/>
  </r>
  <r>
    <n v="1"/>
    <x v="1"/>
    <n v="61"/>
    <x v="2"/>
    <n v="1"/>
    <n v="1"/>
    <s v="Primary"/>
    <x v="2"/>
    <n v="0"/>
    <n v="0"/>
    <n v="0"/>
    <x v="1"/>
    <n v="0"/>
    <x v="0"/>
    <n v="0"/>
    <n v="1"/>
    <n v="0"/>
    <n v="239"/>
    <n v="239"/>
    <x v="1"/>
    <n v="122"/>
    <n v="83"/>
    <n v="28.85"/>
    <n v="28.85"/>
    <x v="0"/>
    <n v="62"/>
    <n v="62"/>
    <n v="94"/>
    <n v="94"/>
    <x v="0"/>
    <x v="0"/>
  </r>
  <r>
    <n v="1"/>
    <x v="1"/>
    <n v="61"/>
    <x v="2"/>
    <n v="1"/>
    <n v="1"/>
    <s v="Primary"/>
    <x v="2"/>
    <n v="0"/>
    <n v="0"/>
    <n v="0"/>
    <x v="1"/>
    <n v="0"/>
    <x v="0"/>
    <n v="0"/>
    <n v="0"/>
    <n v="0"/>
    <n v="257"/>
    <n v="257"/>
    <x v="0"/>
    <n v="124.5"/>
    <n v="80"/>
    <n v="23.84"/>
    <n v="23.84"/>
    <x v="1"/>
    <n v="64"/>
    <n v="64"/>
    <n v="76"/>
    <n v="76"/>
    <x v="0"/>
    <x v="1"/>
  </r>
  <r>
    <n v="1"/>
    <x v="1"/>
    <n v="61"/>
    <x v="2"/>
    <n v="1"/>
    <n v="1"/>
    <s v="Primary"/>
    <x v="2"/>
    <n v="1"/>
    <n v="20"/>
    <n v="20"/>
    <x v="0"/>
    <n v="0"/>
    <x v="0"/>
    <n v="0"/>
    <n v="1"/>
    <n v="0"/>
    <n v="220"/>
    <n v="220"/>
    <x v="1"/>
    <n v="215"/>
    <n v="129"/>
    <n v="24.69"/>
    <n v="24.69"/>
    <x v="1"/>
    <n v="92"/>
    <n v="92"/>
    <s v="NA"/>
    <n v="81.96365524402907"/>
    <x v="0"/>
    <x v="1"/>
  </r>
  <r>
    <n v="0"/>
    <x v="0"/>
    <n v="61"/>
    <x v="2"/>
    <n v="1"/>
    <n v="1"/>
    <s v="Primary"/>
    <x v="2"/>
    <n v="0"/>
    <n v="0"/>
    <n v="0"/>
    <x v="1"/>
    <n v="0"/>
    <x v="0"/>
    <n v="0"/>
    <n v="1"/>
    <n v="0"/>
    <n v="300"/>
    <n v="300"/>
    <x v="0"/>
    <n v="150.5"/>
    <n v="89"/>
    <s v="NA"/>
    <n v="25.80080075811421"/>
    <x v="0"/>
    <n v="68"/>
    <n v="68"/>
    <n v="72"/>
    <n v="72"/>
    <x v="0"/>
    <x v="1"/>
  </r>
  <r>
    <n v="0"/>
    <x v="0"/>
    <n v="61"/>
    <x v="2"/>
    <s v="NA"/>
    <n v="1"/>
    <s v="Primary"/>
    <x v="2"/>
    <n v="0"/>
    <n v="0"/>
    <n v="0"/>
    <x v="1"/>
    <n v="0"/>
    <x v="0"/>
    <n v="0"/>
    <n v="0"/>
    <n v="0"/>
    <n v="260"/>
    <n v="260"/>
    <x v="0"/>
    <n v="137"/>
    <n v="70"/>
    <n v="24.83"/>
    <n v="24.83"/>
    <x v="1"/>
    <n v="92"/>
    <n v="92"/>
    <n v="78"/>
    <n v="78"/>
    <x v="0"/>
    <x v="0"/>
  </r>
  <r>
    <n v="1"/>
    <x v="1"/>
    <n v="61"/>
    <x v="2"/>
    <n v="1"/>
    <n v="1"/>
    <s v="Primary"/>
    <x v="2"/>
    <n v="1"/>
    <n v="20"/>
    <n v="20"/>
    <x v="0"/>
    <n v="0"/>
    <x v="0"/>
    <n v="0"/>
    <n v="0"/>
    <n v="0"/>
    <n v="260"/>
    <n v="260"/>
    <x v="0"/>
    <n v="115"/>
    <n v="79"/>
    <n v="23.65"/>
    <n v="23.65"/>
    <x v="1"/>
    <n v="56"/>
    <n v="56"/>
    <n v="78"/>
    <n v="78"/>
    <x v="0"/>
    <x v="0"/>
  </r>
  <r>
    <n v="1"/>
    <x v="1"/>
    <n v="61"/>
    <x v="2"/>
    <n v="1"/>
    <n v="1"/>
    <s v="Primary"/>
    <x v="2"/>
    <n v="1"/>
    <n v="20"/>
    <n v="20"/>
    <x v="0"/>
    <n v="0"/>
    <x v="0"/>
    <n v="0"/>
    <n v="0"/>
    <n v="0"/>
    <n v="262"/>
    <n v="262"/>
    <x v="0"/>
    <n v="129"/>
    <n v="85"/>
    <n v="21.77"/>
    <n v="21.77"/>
    <x v="1"/>
    <n v="80"/>
    <n v="80"/>
    <n v="74"/>
    <n v="74"/>
    <x v="0"/>
    <x v="0"/>
  </r>
  <r>
    <n v="0"/>
    <x v="0"/>
    <n v="61"/>
    <x v="2"/>
    <n v="1"/>
    <n v="1"/>
    <s v="Primary"/>
    <x v="2"/>
    <n v="1"/>
    <n v="9"/>
    <n v="9"/>
    <x v="0"/>
    <n v="0"/>
    <x v="0"/>
    <n v="0"/>
    <n v="0"/>
    <n v="0"/>
    <n v="259"/>
    <n v="259"/>
    <x v="0"/>
    <n v="134.5"/>
    <n v="87"/>
    <n v="22.91"/>
    <n v="22.91"/>
    <x v="1"/>
    <n v="70"/>
    <n v="70"/>
    <n v="91"/>
    <n v="91"/>
    <x v="0"/>
    <x v="0"/>
  </r>
  <r>
    <n v="0"/>
    <x v="0"/>
    <n v="61"/>
    <x v="2"/>
    <n v="3"/>
    <n v="3"/>
    <s v="Graduate"/>
    <x v="1"/>
    <n v="0"/>
    <n v="0"/>
    <n v="0"/>
    <x v="1"/>
    <n v="0"/>
    <x v="0"/>
    <n v="0"/>
    <n v="0"/>
    <n v="0"/>
    <n v="235"/>
    <n v="235"/>
    <x v="1"/>
    <n v="102"/>
    <n v="74.5"/>
    <n v="19.22"/>
    <n v="19.22"/>
    <x v="1"/>
    <n v="67"/>
    <n v="67"/>
    <n v="83"/>
    <n v="83"/>
    <x v="0"/>
    <x v="0"/>
  </r>
  <r>
    <n v="0"/>
    <x v="0"/>
    <n v="61"/>
    <x v="2"/>
    <n v="2"/>
    <n v="2"/>
    <s v="Secondary"/>
    <x v="0"/>
    <n v="0"/>
    <n v="0"/>
    <n v="0"/>
    <x v="1"/>
    <n v="1"/>
    <x v="1"/>
    <n v="0"/>
    <n v="1"/>
    <n v="0"/>
    <n v="209"/>
    <n v="209"/>
    <x v="1"/>
    <n v="133"/>
    <n v="93"/>
    <s v="NA"/>
    <n v="25.80080075811421"/>
    <x v="0"/>
    <n v="80"/>
    <n v="80"/>
    <s v="NA"/>
    <n v="81.96365524402907"/>
    <x v="0"/>
    <x v="1"/>
  </r>
  <r>
    <n v="1"/>
    <x v="1"/>
    <n v="61"/>
    <x v="2"/>
    <n v="1"/>
    <n v="1"/>
    <s v="Primary"/>
    <x v="2"/>
    <n v="0"/>
    <n v="0"/>
    <n v="0"/>
    <x v="1"/>
    <n v="0"/>
    <x v="0"/>
    <n v="0"/>
    <n v="0"/>
    <n v="0"/>
    <n v="195"/>
    <n v="195"/>
    <x v="1"/>
    <n v="113"/>
    <n v="77"/>
    <n v="25.51"/>
    <n v="25.51"/>
    <x v="0"/>
    <n v="80"/>
    <n v="80"/>
    <n v="96"/>
    <n v="96"/>
    <x v="0"/>
    <x v="0"/>
  </r>
  <r>
    <n v="0"/>
    <x v="0"/>
    <n v="61"/>
    <x v="2"/>
    <n v="1"/>
    <n v="1"/>
    <s v="Primary"/>
    <x v="2"/>
    <n v="0"/>
    <n v="0"/>
    <n v="0"/>
    <x v="1"/>
    <n v="0"/>
    <x v="0"/>
    <n v="0"/>
    <n v="1"/>
    <n v="0"/>
    <n v="254"/>
    <n v="254"/>
    <x v="0"/>
    <n v="168"/>
    <n v="92"/>
    <n v="31.63"/>
    <n v="31.63"/>
    <x v="2"/>
    <n v="80"/>
    <n v="80"/>
    <n v="90"/>
    <n v="90"/>
    <x v="0"/>
    <x v="0"/>
  </r>
  <r>
    <n v="0"/>
    <x v="0"/>
    <n v="61"/>
    <x v="2"/>
    <n v="1"/>
    <n v="1"/>
    <s v="Primary"/>
    <x v="2"/>
    <n v="0"/>
    <n v="0"/>
    <n v="0"/>
    <x v="1"/>
    <n v="0"/>
    <x v="0"/>
    <n v="0"/>
    <n v="1"/>
    <n v="0"/>
    <n v="217"/>
    <n v="217"/>
    <x v="1"/>
    <n v="182"/>
    <n v="86"/>
    <n v="26.98"/>
    <n v="26.98"/>
    <x v="0"/>
    <n v="105"/>
    <n v="105"/>
    <n v="113"/>
    <n v="113"/>
    <x v="0"/>
    <x v="0"/>
  </r>
  <r>
    <n v="0"/>
    <x v="0"/>
    <n v="61"/>
    <x v="2"/>
    <n v="2"/>
    <n v="2"/>
    <s v="Secondary"/>
    <x v="0"/>
    <n v="0"/>
    <n v="0"/>
    <n v="0"/>
    <x v="1"/>
    <n v="0"/>
    <x v="0"/>
    <n v="0"/>
    <n v="1"/>
    <n v="0"/>
    <n v="194"/>
    <n v="194"/>
    <x v="1"/>
    <n v="148"/>
    <n v="89"/>
    <n v="23.48"/>
    <n v="23.48"/>
    <x v="1"/>
    <n v="100"/>
    <n v="100"/>
    <n v="101"/>
    <n v="101"/>
    <x v="0"/>
    <x v="0"/>
  </r>
  <r>
    <n v="0"/>
    <x v="0"/>
    <n v="61"/>
    <x v="2"/>
    <n v="2"/>
    <n v="2"/>
    <s v="Secondary"/>
    <x v="0"/>
    <n v="1"/>
    <n v="20"/>
    <n v="20"/>
    <x v="0"/>
    <n v="0"/>
    <x v="0"/>
    <n v="0"/>
    <n v="1"/>
    <n v="0"/>
    <n v="231"/>
    <n v="231"/>
    <x v="1"/>
    <n v="128"/>
    <n v="87"/>
    <n v="26.3"/>
    <n v="26.3"/>
    <x v="0"/>
    <n v="82"/>
    <n v="82"/>
    <n v="93"/>
    <n v="93"/>
    <x v="0"/>
    <x v="0"/>
  </r>
  <r>
    <n v="0"/>
    <x v="0"/>
    <n v="61"/>
    <x v="2"/>
    <n v="2"/>
    <n v="2"/>
    <s v="Secondary"/>
    <x v="0"/>
    <n v="0"/>
    <n v="0"/>
    <n v="0"/>
    <x v="1"/>
    <n v="0"/>
    <x v="0"/>
    <n v="0"/>
    <n v="0"/>
    <n v="0"/>
    <n v="219"/>
    <n v="219"/>
    <x v="1"/>
    <n v="120"/>
    <n v="72.5"/>
    <n v="22.35"/>
    <n v="22.35"/>
    <x v="1"/>
    <n v="76"/>
    <n v="76"/>
    <n v="92"/>
    <n v="92"/>
    <x v="0"/>
    <x v="0"/>
  </r>
  <r>
    <n v="0"/>
    <x v="0"/>
    <n v="61"/>
    <x v="2"/>
    <n v="4"/>
    <n v="4"/>
    <s v="Post Graduate"/>
    <x v="3"/>
    <n v="0"/>
    <n v="0"/>
    <n v="0"/>
    <x v="1"/>
    <n v="0"/>
    <x v="0"/>
    <n v="0"/>
    <n v="0"/>
    <n v="0"/>
    <n v="233"/>
    <n v="233"/>
    <x v="1"/>
    <n v="126"/>
    <n v="73"/>
    <n v="23.16"/>
    <n v="23.16"/>
    <x v="1"/>
    <n v="74"/>
    <n v="74"/>
    <n v="62"/>
    <n v="62"/>
    <x v="0"/>
    <x v="0"/>
  </r>
  <r>
    <n v="1"/>
    <x v="1"/>
    <n v="61"/>
    <x v="2"/>
    <n v="4"/>
    <n v="4"/>
    <s v="Post Graduate"/>
    <x v="3"/>
    <n v="1"/>
    <n v="15"/>
    <n v="15"/>
    <x v="0"/>
    <n v="0"/>
    <x v="0"/>
    <n v="0"/>
    <n v="0"/>
    <n v="0"/>
    <n v="217"/>
    <n v="217"/>
    <x v="1"/>
    <n v="131"/>
    <n v="83"/>
    <n v="26.46"/>
    <n v="26.46"/>
    <x v="0"/>
    <n v="62"/>
    <n v="62"/>
    <n v="81"/>
    <n v="81"/>
    <x v="0"/>
    <x v="1"/>
  </r>
  <r>
    <n v="0"/>
    <x v="0"/>
    <n v="61"/>
    <x v="2"/>
    <n v="2"/>
    <n v="2"/>
    <s v="Secondary"/>
    <x v="0"/>
    <n v="0"/>
    <n v="0"/>
    <n v="0"/>
    <x v="1"/>
    <n v="0"/>
    <x v="0"/>
    <n v="0"/>
    <n v="0"/>
    <n v="0"/>
    <n v="310"/>
    <n v="310"/>
    <x v="0"/>
    <n v="108"/>
    <n v="70"/>
    <n v="30.23"/>
    <n v="30.23"/>
    <x v="2"/>
    <n v="60"/>
    <n v="60"/>
    <n v="65"/>
    <n v="65"/>
    <x v="0"/>
    <x v="0"/>
  </r>
  <r>
    <n v="1"/>
    <x v="1"/>
    <n v="61"/>
    <x v="2"/>
    <n v="1"/>
    <n v="1"/>
    <s v="Primary"/>
    <x v="2"/>
    <n v="0"/>
    <n v="0"/>
    <n v="0"/>
    <x v="1"/>
    <n v="0"/>
    <x v="0"/>
    <n v="0"/>
    <n v="1"/>
    <n v="0"/>
    <n v="206"/>
    <n v="206"/>
    <x v="1"/>
    <n v="143"/>
    <n v="96"/>
    <n v="27.04"/>
    <n v="27.04"/>
    <x v="0"/>
    <n v="70"/>
    <n v="70"/>
    <n v="87"/>
    <n v="87"/>
    <x v="0"/>
    <x v="1"/>
  </r>
  <r>
    <n v="0"/>
    <x v="0"/>
    <n v="61"/>
    <x v="2"/>
    <n v="1"/>
    <n v="1"/>
    <s v="Primary"/>
    <x v="2"/>
    <n v="0"/>
    <n v="0"/>
    <n v="0"/>
    <x v="1"/>
    <n v="0"/>
    <x v="0"/>
    <n v="0"/>
    <n v="1"/>
    <n v="0"/>
    <n v="240"/>
    <n v="240"/>
    <x v="1"/>
    <n v="163"/>
    <n v="112.5"/>
    <n v="26.8"/>
    <n v="26.8"/>
    <x v="0"/>
    <n v="75"/>
    <n v="75"/>
    <n v="82"/>
    <n v="82"/>
    <x v="0"/>
    <x v="0"/>
  </r>
  <r>
    <n v="0"/>
    <x v="0"/>
    <n v="61"/>
    <x v="2"/>
    <s v="NA"/>
    <n v="1"/>
    <s v="Primary"/>
    <x v="2"/>
    <n v="0"/>
    <n v="0"/>
    <n v="0"/>
    <x v="1"/>
    <n v="0"/>
    <x v="0"/>
    <n v="0"/>
    <n v="1"/>
    <n v="1"/>
    <n v="231"/>
    <n v="231"/>
    <x v="1"/>
    <n v="161.5"/>
    <n v="88"/>
    <n v="31.03"/>
    <n v="31.03"/>
    <x v="2"/>
    <n v="85"/>
    <n v="85"/>
    <n v="166"/>
    <n v="166"/>
    <x v="0"/>
    <x v="0"/>
  </r>
  <r>
    <n v="0"/>
    <x v="0"/>
    <n v="61"/>
    <x v="2"/>
    <n v="1"/>
    <n v="1"/>
    <s v="Primary"/>
    <x v="2"/>
    <n v="1"/>
    <n v="20"/>
    <n v="20"/>
    <x v="0"/>
    <n v="0"/>
    <x v="0"/>
    <n v="0"/>
    <n v="0"/>
    <n v="0"/>
    <n v="286"/>
    <n v="286"/>
    <x v="0"/>
    <n v="141"/>
    <n v="81"/>
    <n v="23.61"/>
    <n v="23.61"/>
    <x v="1"/>
    <n v="80"/>
    <n v="80"/>
    <n v="52"/>
    <n v="52"/>
    <x v="0"/>
    <x v="0"/>
  </r>
  <r>
    <n v="1"/>
    <x v="1"/>
    <n v="61"/>
    <x v="2"/>
    <n v="1"/>
    <n v="1"/>
    <s v="Primary"/>
    <x v="2"/>
    <n v="0"/>
    <n v="0"/>
    <n v="0"/>
    <x v="1"/>
    <n v="0"/>
    <x v="0"/>
    <n v="0"/>
    <n v="0"/>
    <n v="0"/>
    <n v="238"/>
    <n v="238"/>
    <x v="1"/>
    <n v="119"/>
    <n v="78"/>
    <n v="25.36"/>
    <n v="25.36"/>
    <x v="0"/>
    <n v="80"/>
    <n v="80"/>
    <n v="75"/>
    <n v="75"/>
    <x v="0"/>
    <x v="0"/>
  </r>
  <r>
    <n v="0"/>
    <x v="0"/>
    <n v="61"/>
    <x v="2"/>
    <n v="1"/>
    <n v="1"/>
    <s v="Primary"/>
    <x v="2"/>
    <n v="1"/>
    <n v="9"/>
    <n v="9"/>
    <x v="0"/>
    <n v="0"/>
    <x v="0"/>
    <n v="0"/>
    <n v="0"/>
    <n v="0"/>
    <n v="252"/>
    <n v="252"/>
    <x v="0"/>
    <n v="119"/>
    <n v="77"/>
    <n v="23.2"/>
    <n v="23.2"/>
    <x v="1"/>
    <n v="65"/>
    <n v="65"/>
    <n v="65"/>
    <n v="65"/>
    <x v="0"/>
    <x v="0"/>
  </r>
  <r>
    <n v="1"/>
    <x v="1"/>
    <n v="61"/>
    <x v="2"/>
    <n v="3"/>
    <n v="3"/>
    <s v="Graduate"/>
    <x v="1"/>
    <n v="1"/>
    <n v="30"/>
    <n v="30"/>
    <x v="0"/>
    <n v="0"/>
    <x v="0"/>
    <n v="0"/>
    <n v="0"/>
    <n v="0"/>
    <n v="228"/>
    <n v="228"/>
    <x v="1"/>
    <n v="123"/>
    <n v="88"/>
    <n v="26.88"/>
    <n v="26.88"/>
    <x v="0"/>
    <n v="95"/>
    <n v="95"/>
    <n v="67"/>
    <n v="67"/>
    <x v="0"/>
    <x v="0"/>
  </r>
  <r>
    <n v="1"/>
    <x v="1"/>
    <n v="61"/>
    <x v="2"/>
    <n v="1"/>
    <n v="1"/>
    <s v="Primary"/>
    <x v="2"/>
    <n v="0"/>
    <n v="0"/>
    <n v="0"/>
    <x v="1"/>
    <n v="0"/>
    <x v="0"/>
    <n v="0"/>
    <n v="0"/>
    <n v="0"/>
    <n v="300"/>
    <n v="300"/>
    <x v="0"/>
    <n v="127"/>
    <n v="75"/>
    <n v="24.93"/>
    <n v="24.93"/>
    <x v="1"/>
    <n v="48"/>
    <n v="48"/>
    <s v="NA"/>
    <n v="81.96365524402907"/>
    <x v="0"/>
    <x v="0"/>
  </r>
  <r>
    <n v="0"/>
    <x v="0"/>
    <n v="61"/>
    <x v="2"/>
    <n v="1"/>
    <n v="1"/>
    <s v="Primary"/>
    <x v="2"/>
    <n v="0"/>
    <n v="0"/>
    <n v="0"/>
    <x v="1"/>
    <n v="1"/>
    <x v="1"/>
    <n v="1"/>
    <n v="1"/>
    <n v="0"/>
    <n v="225"/>
    <n v="225"/>
    <x v="1"/>
    <n v="194"/>
    <n v="111"/>
    <n v="51.28"/>
    <n v="51.28"/>
    <x v="2"/>
    <n v="80"/>
    <n v="80"/>
    <n v="103"/>
    <n v="103"/>
    <x v="0"/>
    <x v="0"/>
  </r>
  <r>
    <n v="1"/>
    <x v="1"/>
    <n v="61"/>
    <x v="2"/>
    <n v="3"/>
    <n v="3"/>
    <s v="Graduate"/>
    <x v="1"/>
    <n v="1"/>
    <n v="15"/>
    <n v="15"/>
    <x v="0"/>
    <n v="0"/>
    <x v="0"/>
    <n v="0"/>
    <n v="0"/>
    <n v="0"/>
    <n v="180"/>
    <n v="180"/>
    <x v="1"/>
    <n v="110"/>
    <n v="80"/>
    <n v="20.72"/>
    <n v="20.72"/>
    <x v="1"/>
    <n v="77"/>
    <n v="77"/>
    <n v="86"/>
    <n v="86"/>
    <x v="0"/>
    <x v="0"/>
  </r>
  <r>
    <n v="0"/>
    <x v="0"/>
    <n v="61"/>
    <x v="2"/>
    <n v="4"/>
    <n v="4"/>
    <s v="Post Graduate"/>
    <x v="3"/>
    <n v="0"/>
    <n v="0"/>
    <n v="0"/>
    <x v="1"/>
    <n v="0"/>
    <x v="0"/>
    <n v="0"/>
    <n v="1"/>
    <n v="0"/>
    <n v="235"/>
    <n v="235"/>
    <x v="1"/>
    <n v="207"/>
    <n v="122.5"/>
    <n v="31.64"/>
    <n v="31.64"/>
    <x v="2"/>
    <n v="80"/>
    <n v="80"/>
    <n v="72"/>
    <n v="72"/>
    <x v="0"/>
    <x v="0"/>
  </r>
  <r>
    <n v="0"/>
    <x v="0"/>
    <n v="61"/>
    <x v="2"/>
    <n v="3"/>
    <n v="3"/>
    <s v="Graduate"/>
    <x v="1"/>
    <n v="0"/>
    <n v="0"/>
    <n v="0"/>
    <x v="1"/>
    <n v="0"/>
    <x v="0"/>
    <n v="0"/>
    <n v="0"/>
    <n v="0"/>
    <n v="210"/>
    <n v="210"/>
    <x v="1"/>
    <n v="112"/>
    <n v="72"/>
    <n v="24.69"/>
    <n v="24.69"/>
    <x v="1"/>
    <n v="80"/>
    <n v="80"/>
    <n v="77"/>
    <n v="77"/>
    <x v="0"/>
    <x v="0"/>
  </r>
  <r>
    <n v="0"/>
    <x v="0"/>
    <n v="61"/>
    <x v="2"/>
    <n v="1"/>
    <n v="1"/>
    <s v="Primary"/>
    <x v="2"/>
    <n v="0"/>
    <n v="0"/>
    <n v="0"/>
    <x v="1"/>
    <n v="1"/>
    <x v="1"/>
    <n v="0"/>
    <n v="1"/>
    <n v="1"/>
    <n v="265"/>
    <n v="265"/>
    <x v="0"/>
    <n v="200"/>
    <n v="125"/>
    <n v="29.5"/>
    <n v="29.5"/>
    <x v="0"/>
    <n v="68"/>
    <n v="68"/>
    <n v="256"/>
    <n v="256"/>
    <x v="0"/>
    <x v="1"/>
  </r>
  <r>
    <n v="0"/>
    <x v="0"/>
    <n v="61"/>
    <x v="2"/>
    <n v="2"/>
    <n v="2"/>
    <s v="Secondary"/>
    <x v="0"/>
    <n v="0"/>
    <n v="0"/>
    <n v="0"/>
    <x v="1"/>
    <n v="0"/>
    <x v="0"/>
    <n v="0"/>
    <n v="0"/>
    <n v="0"/>
    <n v="271"/>
    <n v="271"/>
    <x v="0"/>
    <n v="122"/>
    <n v="67.5"/>
    <n v="22.02"/>
    <n v="22.02"/>
    <x v="1"/>
    <n v="73"/>
    <n v="73"/>
    <n v="73"/>
    <n v="73"/>
    <x v="0"/>
    <x v="0"/>
  </r>
  <r>
    <n v="0"/>
    <x v="0"/>
    <n v="61"/>
    <x v="2"/>
    <n v="3"/>
    <n v="3"/>
    <s v="Graduate"/>
    <x v="1"/>
    <n v="0"/>
    <n v="0"/>
    <n v="0"/>
    <x v="1"/>
    <n v="0"/>
    <x v="0"/>
    <n v="0"/>
    <n v="0"/>
    <n v="0"/>
    <n v="257"/>
    <n v="257"/>
    <x v="0"/>
    <n v="141"/>
    <n v="80"/>
    <n v="33.9"/>
    <n v="33.9"/>
    <x v="2"/>
    <n v="85"/>
    <n v="85"/>
    <n v="60"/>
    <n v="60"/>
    <x v="0"/>
    <x v="1"/>
  </r>
  <r>
    <n v="0"/>
    <x v="0"/>
    <n v="61"/>
    <x v="2"/>
    <n v="4"/>
    <n v="4"/>
    <s v="Post Graduate"/>
    <x v="3"/>
    <n v="0"/>
    <n v="0"/>
    <n v="0"/>
    <x v="1"/>
    <n v="0"/>
    <x v="0"/>
    <n v="0"/>
    <n v="0"/>
    <n v="0"/>
    <n v="325"/>
    <n v="325"/>
    <x v="0"/>
    <n v="125.5"/>
    <n v="85.5"/>
    <n v="24.4"/>
    <n v="24.4"/>
    <x v="1"/>
    <n v="68"/>
    <n v="68"/>
    <n v="70"/>
    <n v="70"/>
    <x v="0"/>
    <x v="0"/>
  </r>
  <r>
    <n v="0"/>
    <x v="0"/>
    <n v="61"/>
    <x v="2"/>
    <n v="1"/>
    <n v="1"/>
    <s v="Primary"/>
    <x v="2"/>
    <n v="0"/>
    <n v="0"/>
    <n v="0"/>
    <x v="1"/>
    <n v="0"/>
    <x v="0"/>
    <n v="0"/>
    <n v="0"/>
    <n v="0"/>
    <n v="271"/>
    <n v="271"/>
    <x v="0"/>
    <n v="133"/>
    <n v="83"/>
    <n v="25.31"/>
    <n v="25.31"/>
    <x v="0"/>
    <n v="90"/>
    <n v="90"/>
    <n v="60"/>
    <n v="60"/>
    <x v="0"/>
    <x v="1"/>
  </r>
  <r>
    <n v="0"/>
    <x v="0"/>
    <n v="61"/>
    <x v="2"/>
    <n v="4"/>
    <n v="4"/>
    <s v="Post Graduate"/>
    <x v="3"/>
    <n v="0"/>
    <n v="0"/>
    <n v="0"/>
    <x v="1"/>
    <n v="0"/>
    <x v="0"/>
    <n v="0"/>
    <n v="0"/>
    <n v="0"/>
    <n v="261"/>
    <n v="261"/>
    <x v="0"/>
    <n v="124"/>
    <n v="76.5"/>
    <n v="23.06"/>
    <n v="23.06"/>
    <x v="1"/>
    <n v="55"/>
    <n v="55"/>
    <n v="83"/>
    <n v="83"/>
    <x v="0"/>
    <x v="1"/>
  </r>
  <r>
    <n v="0"/>
    <x v="0"/>
    <n v="62"/>
    <x v="2"/>
    <n v="1"/>
    <n v="1"/>
    <s v="Primary"/>
    <x v="2"/>
    <n v="0"/>
    <n v="0"/>
    <n v="0"/>
    <x v="1"/>
    <n v="0"/>
    <x v="0"/>
    <n v="0"/>
    <n v="0"/>
    <n v="0"/>
    <n v="240"/>
    <n v="240"/>
    <x v="1"/>
    <n v="145"/>
    <n v="82.5"/>
    <n v="28.27"/>
    <n v="28.27"/>
    <x v="0"/>
    <n v="63"/>
    <n v="63"/>
    <n v="75"/>
    <n v="75"/>
    <x v="0"/>
    <x v="0"/>
  </r>
  <r>
    <n v="0"/>
    <x v="0"/>
    <n v="62"/>
    <x v="2"/>
    <n v="1"/>
    <n v="1"/>
    <s v="Primary"/>
    <x v="2"/>
    <n v="0"/>
    <n v="0"/>
    <n v="0"/>
    <x v="1"/>
    <n v="0"/>
    <x v="0"/>
    <n v="0"/>
    <n v="1"/>
    <n v="1"/>
    <n v="212"/>
    <n v="212"/>
    <x v="1"/>
    <n v="190"/>
    <n v="99"/>
    <n v="29.64"/>
    <n v="29.64"/>
    <x v="0"/>
    <n v="100"/>
    <n v="100"/>
    <n v="202"/>
    <n v="202"/>
    <x v="0"/>
    <x v="0"/>
  </r>
  <r>
    <n v="0"/>
    <x v="0"/>
    <n v="62"/>
    <x v="2"/>
    <n v="1"/>
    <n v="1"/>
    <s v="Primary"/>
    <x v="2"/>
    <n v="0"/>
    <n v="0"/>
    <n v="0"/>
    <x v="1"/>
    <n v="0"/>
    <x v="0"/>
    <n v="0"/>
    <n v="0"/>
    <n v="0"/>
    <n v="261"/>
    <n v="261"/>
    <x v="0"/>
    <n v="138"/>
    <n v="82"/>
    <n v="23.89"/>
    <n v="23.89"/>
    <x v="1"/>
    <n v="65"/>
    <n v="65"/>
    <n v="77"/>
    <n v="77"/>
    <x v="0"/>
    <x v="0"/>
  </r>
  <r>
    <n v="0"/>
    <x v="0"/>
    <n v="62"/>
    <x v="2"/>
    <n v="1"/>
    <n v="1"/>
    <s v="Primary"/>
    <x v="2"/>
    <n v="0"/>
    <n v="0"/>
    <n v="0"/>
    <x v="1"/>
    <n v="0"/>
    <x v="0"/>
    <n v="0"/>
    <n v="1"/>
    <n v="0"/>
    <n v="266"/>
    <n v="266"/>
    <x v="0"/>
    <n v="173"/>
    <n v="89"/>
    <n v="42"/>
    <n v="42"/>
    <x v="2"/>
    <n v="62"/>
    <n v="62"/>
    <n v="75"/>
    <n v="75"/>
    <x v="0"/>
    <x v="0"/>
  </r>
  <r>
    <n v="1"/>
    <x v="1"/>
    <n v="62"/>
    <x v="2"/>
    <n v="1"/>
    <n v="1"/>
    <s v="Primary"/>
    <x v="2"/>
    <n v="1"/>
    <n v="20"/>
    <n v="20"/>
    <x v="0"/>
    <n v="0"/>
    <x v="0"/>
    <n v="0"/>
    <n v="1"/>
    <n v="0"/>
    <n v="245"/>
    <n v="245"/>
    <x v="0"/>
    <n v="158"/>
    <n v="86.5"/>
    <n v="26.51"/>
    <n v="26.51"/>
    <x v="0"/>
    <n v="90"/>
    <n v="90"/>
    <n v="74"/>
    <n v="74"/>
    <x v="0"/>
    <x v="0"/>
  </r>
  <r>
    <n v="1"/>
    <x v="1"/>
    <n v="62"/>
    <x v="2"/>
    <n v="4"/>
    <n v="4"/>
    <s v="Post Graduate"/>
    <x v="3"/>
    <n v="0"/>
    <n v="0"/>
    <n v="0"/>
    <x v="1"/>
    <n v="0"/>
    <x v="0"/>
    <n v="0"/>
    <n v="0"/>
    <n v="0"/>
    <n v="273"/>
    <n v="273"/>
    <x v="0"/>
    <n v="129"/>
    <n v="83"/>
    <n v="25.49"/>
    <n v="25.49"/>
    <x v="0"/>
    <n v="63"/>
    <n v="63"/>
    <n v="70"/>
    <n v="70"/>
    <x v="0"/>
    <x v="0"/>
  </r>
  <r>
    <n v="0"/>
    <x v="0"/>
    <n v="62"/>
    <x v="2"/>
    <n v="2"/>
    <n v="2"/>
    <s v="Secondary"/>
    <x v="0"/>
    <n v="0"/>
    <n v="0"/>
    <n v="0"/>
    <x v="1"/>
    <n v="1"/>
    <x v="1"/>
    <n v="0"/>
    <n v="1"/>
    <n v="0"/>
    <n v="283"/>
    <n v="283"/>
    <x v="0"/>
    <n v="130"/>
    <n v="80"/>
    <n v="35.200000000000003"/>
    <n v="35.200000000000003"/>
    <x v="2"/>
    <n v="75"/>
    <n v="75"/>
    <n v="83"/>
    <n v="83"/>
    <x v="0"/>
    <x v="0"/>
  </r>
  <r>
    <n v="1"/>
    <x v="1"/>
    <n v="62"/>
    <x v="2"/>
    <n v="1"/>
    <n v="1"/>
    <s v="Primary"/>
    <x v="2"/>
    <n v="1"/>
    <n v="20"/>
    <n v="20"/>
    <x v="0"/>
    <n v="0"/>
    <x v="0"/>
    <n v="0"/>
    <n v="1"/>
    <n v="1"/>
    <n v="194"/>
    <n v="194"/>
    <x v="1"/>
    <n v="151.5"/>
    <n v="88"/>
    <n v="21.61"/>
    <n v="21.61"/>
    <x v="1"/>
    <n v="75"/>
    <n v="75"/>
    <n v="105"/>
    <n v="105"/>
    <x v="0"/>
    <x v="1"/>
  </r>
  <r>
    <n v="0"/>
    <x v="0"/>
    <n v="62"/>
    <x v="2"/>
    <n v="1"/>
    <n v="1"/>
    <s v="Primary"/>
    <x v="2"/>
    <n v="0"/>
    <n v="0"/>
    <n v="0"/>
    <x v="1"/>
    <n v="0"/>
    <x v="0"/>
    <n v="0"/>
    <n v="0"/>
    <n v="0"/>
    <n v="239"/>
    <n v="239"/>
    <x v="1"/>
    <n v="126"/>
    <n v="81"/>
    <n v="29.35"/>
    <n v="29.35"/>
    <x v="0"/>
    <n v="95"/>
    <n v="95"/>
    <n v="70"/>
    <n v="70"/>
    <x v="0"/>
    <x v="0"/>
  </r>
  <r>
    <n v="1"/>
    <x v="1"/>
    <n v="62"/>
    <x v="2"/>
    <n v="4"/>
    <n v="4"/>
    <s v="Post Graduate"/>
    <x v="3"/>
    <n v="1"/>
    <n v="40"/>
    <n v="40"/>
    <x v="0"/>
    <n v="0"/>
    <x v="0"/>
    <n v="0"/>
    <n v="1"/>
    <n v="0"/>
    <n v="203"/>
    <n v="203"/>
    <x v="1"/>
    <n v="148"/>
    <n v="96"/>
    <n v="30.84"/>
    <n v="30.84"/>
    <x v="2"/>
    <n v="70"/>
    <n v="70"/>
    <n v="95"/>
    <n v="95"/>
    <x v="0"/>
    <x v="1"/>
  </r>
  <r>
    <n v="0"/>
    <x v="0"/>
    <n v="62"/>
    <x v="2"/>
    <n v="2"/>
    <n v="2"/>
    <s v="Secondary"/>
    <x v="0"/>
    <n v="0"/>
    <n v="0"/>
    <n v="0"/>
    <x v="1"/>
    <n v="0"/>
    <x v="0"/>
    <n v="0"/>
    <n v="1"/>
    <n v="0"/>
    <n v="246"/>
    <n v="246"/>
    <x v="0"/>
    <n v="171"/>
    <n v="101"/>
    <n v="23.88"/>
    <n v="23.88"/>
    <x v="1"/>
    <n v="75"/>
    <n v="75"/>
    <n v="78"/>
    <n v="78"/>
    <x v="0"/>
    <x v="0"/>
  </r>
  <r>
    <n v="1"/>
    <x v="1"/>
    <n v="62"/>
    <x v="2"/>
    <n v="1"/>
    <n v="1"/>
    <s v="Primary"/>
    <x v="2"/>
    <n v="1"/>
    <n v="3"/>
    <n v="3"/>
    <x v="0"/>
    <n v="0"/>
    <x v="0"/>
    <n v="0"/>
    <n v="0"/>
    <n v="0"/>
    <n v="234"/>
    <n v="234"/>
    <x v="1"/>
    <n v="117"/>
    <n v="80"/>
    <n v="26.97"/>
    <n v="26.97"/>
    <x v="0"/>
    <n v="78"/>
    <n v="78"/>
    <n v="67"/>
    <n v="67"/>
    <x v="0"/>
    <x v="0"/>
  </r>
  <r>
    <n v="1"/>
    <x v="1"/>
    <n v="62"/>
    <x v="2"/>
    <n v="1"/>
    <n v="1"/>
    <s v="Primary"/>
    <x v="2"/>
    <n v="1"/>
    <n v="23"/>
    <n v="23"/>
    <x v="0"/>
    <n v="0"/>
    <x v="0"/>
    <n v="0"/>
    <n v="1"/>
    <n v="0"/>
    <n v="286"/>
    <n v="286"/>
    <x v="0"/>
    <n v="164"/>
    <n v="88"/>
    <n v="19.53"/>
    <n v="19.53"/>
    <x v="1"/>
    <n v="85"/>
    <n v="85"/>
    <n v="126"/>
    <n v="126"/>
    <x v="0"/>
    <x v="1"/>
  </r>
  <r>
    <n v="0"/>
    <x v="0"/>
    <n v="62"/>
    <x v="2"/>
    <n v="1"/>
    <n v="1"/>
    <s v="Primary"/>
    <x v="2"/>
    <n v="0"/>
    <n v="0"/>
    <n v="0"/>
    <x v="1"/>
    <n v="0"/>
    <x v="0"/>
    <n v="0"/>
    <n v="1"/>
    <n v="0"/>
    <n v="300"/>
    <n v="300"/>
    <x v="0"/>
    <n v="205.5"/>
    <n v="104.5"/>
    <n v="32.19"/>
    <n v="32.19"/>
    <x v="2"/>
    <n v="94"/>
    <n v="94"/>
    <n v="117"/>
    <n v="117"/>
    <x v="0"/>
    <x v="0"/>
  </r>
  <r>
    <n v="1"/>
    <x v="1"/>
    <n v="62"/>
    <x v="2"/>
    <n v="1"/>
    <n v="1"/>
    <s v="Primary"/>
    <x v="2"/>
    <n v="0"/>
    <n v="0"/>
    <n v="0"/>
    <x v="1"/>
    <n v="1"/>
    <x v="1"/>
    <n v="0"/>
    <n v="1"/>
    <n v="0"/>
    <n v="190"/>
    <n v="190"/>
    <x v="1"/>
    <n v="183"/>
    <n v="93"/>
    <n v="28.96"/>
    <n v="28.96"/>
    <x v="0"/>
    <n v="90"/>
    <n v="90"/>
    <n v="77"/>
    <n v="77"/>
    <x v="0"/>
    <x v="0"/>
  </r>
  <r>
    <n v="1"/>
    <x v="1"/>
    <n v="62"/>
    <x v="2"/>
    <n v="4"/>
    <n v="4"/>
    <s v="Post Graduate"/>
    <x v="3"/>
    <n v="1"/>
    <n v="20"/>
    <n v="20"/>
    <x v="0"/>
    <n v="0"/>
    <x v="0"/>
    <n v="0"/>
    <n v="0"/>
    <n v="0"/>
    <n v="292"/>
    <n v="292"/>
    <x v="0"/>
    <n v="130"/>
    <n v="77.5"/>
    <n v="24.75"/>
    <n v="24.75"/>
    <x v="1"/>
    <n v="72"/>
    <n v="72"/>
    <n v="72"/>
    <n v="72"/>
    <x v="0"/>
    <x v="0"/>
  </r>
  <r>
    <n v="1"/>
    <x v="1"/>
    <n v="62"/>
    <x v="2"/>
    <n v="2"/>
    <n v="2"/>
    <s v="Secondary"/>
    <x v="0"/>
    <n v="0"/>
    <n v="0"/>
    <n v="0"/>
    <x v="1"/>
    <n v="0"/>
    <x v="0"/>
    <n v="0"/>
    <n v="0"/>
    <n v="0"/>
    <n v="214"/>
    <n v="214"/>
    <x v="1"/>
    <n v="110"/>
    <n v="62.5"/>
    <n v="23.8"/>
    <n v="23.8"/>
    <x v="1"/>
    <n v="77"/>
    <n v="77"/>
    <n v="95"/>
    <n v="95"/>
    <x v="0"/>
    <x v="1"/>
  </r>
  <r>
    <n v="0"/>
    <x v="0"/>
    <n v="62"/>
    <x v="2"/>
    <n v="2"/>
    <n v="2"/>
    <s v="Secondary"/>
    <x v="0"/>
    <n v="1"/>
    <n v="30"/>
    <n v="30"/>
    <x v="0"/>
    <n v="0"/>
    <x v="0"/>
    <n v="0"/>
    <n v="0"/>
    <n v="0"/>
    <s v="NA"/>
    <n v="236.69952267303103"/>
    <x v="1"/>
    <n v="153"/>
    <n v="60"/>
    <n v="27.47"/>
    <n v="27.47"/>
    <x v="0"/>
    <n v="60"/>
    <n v="60"/>
    <s v="NA"/>
    <n v="81.96365524402907"/>
    <x v="0"/>
    <x v="0"/>
  </r>
  <r>
    <n v="0"/>
    <x v="0"/>
    <n v="62"/>
    <x v="2"/>
    <n v="1"/>
    <n v="1"/>
    <s v="Primary"/>
    <x v="2"/>
    <n v="0"/>
    <n v="0"/>
    <n v="0"/>
    <x v="1"/>
    <n v="0"/>
    <x v="0"/>
    <n v="0"/>
    <n v="1"/>
    <n v="0"/>
    <n v="174"/>
    <n v="174"/>
    <x v="1"/>
    <n v="166"/>
    <n v="89"/>
    <n v="31.44"/>
    <n v="31.44"/>
    <x v="2"/>
    <n v="83"/>
    <n v="83"/>
    <s v="NA"/>
    <n v="81.96365524402907"/>
    <x v="0"/>
    <x v="1"/>
  </r>
  <r>
    <n v="0"/>
    <x v="0"/>
    <n v="62"/>
    <x v="2"/>
    <n v="2"/>
    <n v="2"/>
    <s v="Secondary"/>
    <x v="0"/>
    <n v="1"/>
    <n v="6"/>
    <n v="6"/>
    <x v="0"/>
    <n v="0"/>
    <x v="0"/>
    <n v="0"/>
    <n v="1"/>
    <n v="0"/>
    <n v="244"/>
    <n v="244"/>
    <x v="0"/>
    <n v="168"/>
    <n v="102"/>
    <n v="26.39"/>
    <n v="26.39"/>
    <x v="0"/>
    <n v="76"/>
    <n v="76"/>
    <n v="105"/>
    <n v="105"/>
    <x v="0"/>
    <x v="1"/>
  </r>
  <r>
    <n v="0"/>
    <x v="0"/>
    <n v="62"/>
    <x v="2"/>
    <n v="1"/>
    <n v="1"/>
    <s v="Primary"/>
    <x v="2"/>
    <n v="0"/>
    <n v="0"/>
    <n v="0"/>
    <x v="1"/>
    <n v="0"/>
    <x v="0"/>
    <n v="0"/>
    <n v="1"/>
    <n v="0"/>
    <n v="318"/>
    <n v="318"/>
    <x v="0"/>
    <n v="206"/>
    <n v="98"/>
    <n v="27.23"/>
    <n v="27.23"/>
    <x v="0"/>
    <n v="84"/>
    <n v="84"/>
    <n v="87"/>
    <n v="87"/>
    <x v="0"/>
    <x v="0"/>
  </r>
  <r>
    <n v="1"/>
    <x v="1"/>
    <n v="62"/>
    <x v="2"/>
    <n v="1"/>
    <n v="1"/>
    <s v="Primary"/>
    <x v="2"/>
    <n v="1"/>
    <n v="20"/>
    <n v="20"/>
    <x v="0"/>
    <n v="0"/>
    <x v="0"/>
    <n v="0"/>
    <n v="0"/>
    <n v="0"/>
    <n v="168"/>
    <n v="168"/>
    <x v="1"/>
    <n v="129.5"/>
    <n v="87"/>
    <n v="20.56"/>
    <n v="20.56"/>
    <x v="1"/>
    <n v="65"/>
    <n v="65"/>
    <n v="80"/>
    <n v="80"/>
    <x v="0"/>
    <x v="0"/>
  </r>
  <r>
    <n v="1"/>
    <x v="1"/>
    <n v="62"/>
    <x v="2"/>
    <n v="3"/>
    <n v="3"/>
    <s v="Graduate"/>
    <x v="1"/>
    <n v="0"/>
    <n v="0"/>
    <n v="0"/>
    <x v="1"/>
    <n v="0"/>
    <x v="0"/>
    <n v="0"/>
    <n v="0"/>
    <n v="0"/>
    <n v="332"/>
    <n v="332"/>
    <x v="0"/>
    <n v="119.5"/>
    <n v="74"/>
    <n v="28.5"/>
    <n v="28.5"/>
    <x v="0"/>
    <n v="68"/>
    <n v="68"/>
    <n v="92"/>
    <n v="92"/>
    <x v="0"/>
    <x v="0"/>
  </r>
  <r>
    <n v="0"/>
    <x v="0"/>
    <n v="62"/>
    <x v="2"/>
    <n v="3"/>
    <n v="3"/>
    <s v="Graduate"/>
    <x v="1"/>
    <n v="1"/>
    <n v="20"/>
    <n v="20"/>
    <x v="0"/>
    <n v="0"/>
    <x v="0"/>
    <n v="0"/>
    <n v="0"/>
    <n v="0"/>
    <n v="264"/>
    <n v="264"/>
    <x v="0"/>
    <n v="142"/>
    <n v="90"/>
    <n v="31.78"/>
    <n v="31.78"/>
    <x v="2"/>
    <n v="95"/>
    <n v="95"/>
    <n v="97"/>
    <n v="97"/>
    <x v="0"/>
    <x v="0"/>
  </r>
  <r>
    <n v="0"/>
    <x v="0"/>
    <n v="62"/>
    <x v="2"/>
    <n v="2"/>
    <n v="2"/>
    <s v="Secondary"/>
    <x v="0"/>
    <n v="0"/>
    <n v="0"/>
    <n v="0"/>
    <x v="1"/>
    <n v="0"/>
    <x v="0"/>
    <n v="0"/>
    <n v="1"/>
    <n v="0"/>
    <n v="304"/>
    <n v="304"/>
    <x v="0"/>
    <n v="165"/>
    <n v="91"/>
    <n v="26.97"/>
    <n v="26.97"/>
    <x v="0"/>
    <n v="80"/>
    <n v="80"/>
    <n v="81"/>
    <n v="81"/>
    <x v="0"/>
    <x v="0"/>
  </r>
  <r>
    <n v="0"/>
    <x v="0"/>
    <n v="62"/>
    <x v="2"/>
    <n v="1"/>
    <n v="1"/>
    <s v="Primary"/>
    <x v="2"/>
    <n v="0"/>
    <n v="0"/>
    <n v="0"/>
    <x v="1"/>
    <n v="0"/>
    <x v="0"/>
    <n v="0"/>
    <n v="1"/>
    <n v="0"/>
    <n v="231"/>
    <n v="231"/>
    <x v="1"/>
    <n v="184"/>
    <n v="90"/>
    <n v="26.03"/>
    <n v="26.03"/>
    <x v="0"/>
    <n v="70"/>
    <n v="70"/>
    <n v="75"/>
    <n v="75"/>
    <x v="0"/>
    <x v="0"/>
  </r>
  <r>
    <n v="1"/>
    <x v="1"/>
    <n v="62"/>
    <x v="2"/>
    <n v="1"/>
    <n v="1"/>
    <s v="Primary"/>
    <x v="2"/>
    <n v="1"/>
    <n v="20"/>
    <n v="20"/>
    <x v="0"/>
    <n v="0"/>
    <x v="0"/>
    <n v="0"/>
    <n v="1"/>
    <n v="0"/>
    <n v="270"/>
    <n v="270"/>
    <x v="0"/>
    <n v="145.5"/>
    <n v="87.5"/>
    <n v="23.88"/>
    <n v="23.88"/>
    <x v="1"/>
    <n v="81"/>
    <n v="81"/>
    <n v="67"/>
    <n v="67"/>
    <x v="0"/>
    <x v="1"/>
  </r>
  <r>
    <n v="1"/>
    <x v="1"/>
    <n v="62"/>
    <x v="2"/>
    <n v="1"/>
    <n v="1"/>
    <s v="Primary"/>
    <x v="2"/>
    <n v="0"/>
    <n v="0"/>
    <n v="0"/>
    <x v="1"/>
    <n v="0"/>
    <x v="0"/>
    <n v="0"/>
    <n v="0"/>
    <n v="0"/>
    <n v="216"/>
    <n v="216"/>
    <x v="1"/>
    <n v="126"/>
    <n v="82"/>
    <n v="21.18"/>
    <n v="21.18"/>
    <x v="1"/>
    <n v="69"/>
    <n v="69"/>
    <n v="69"/>
    <n v="69"/>
    <x v="0"/>
    <x v="0"/>
  </r>
  <r>
    <n v="1"/>
    <x v="1"/>
    <n v="62"/>
    <x v="2"/>
    <n v="1"/>
    <n v="1"/>
    <s v="Primary"/>
    <x v="2"/>
    <n v="0"/>
    <n v="0"/>
    <n v="0"/>
    <x v="1"/>
    <n v="0"/>
    <x v="0"/>
    <n v="0"/>
    <n v="0"/>
    <n v="1"/>
    <n v="237"/>
    <n v="237"/>
    <x v="1"/>
    <n v="114"/>
    <n v="72"/>
    <n v="25.65"/>
    <n v="25.65"/>
    <x v="0"/>
    <n v="62"/>
    <n v="62"/>
    <n v="89"/>
    <n v="89"/>
    <x v="0"/>
    <x v="0"/>
  </r>
  <r>
    <n v="1"/>
    <x v="1"/>
    <n v="62"/>
    <x v="2"/>
    <n v="1"/>
    <n v="1"/>
    <s v="Primary"/>
    <x v="2"/>
    <n v="1"/>
    <n v="30"/>
    <n v="30"/>
    <x v="0"/>
    <n v="0"/>
    <x v="0"/>
    <n v="0"/>
    <n v="0"/>
    <n v="0"/>
    <n v="226"/>
    <n v="226"/>
    <x v="1"/>
    <n v="106"/>
    <n v="67.5"/>
    <n v="23.88"/>
    <n v="23.88"/>
    <x v="1"/>
    <n v="60"/>
    <n v="60"/>
    <n v="87"/>
    <n v="87"/>
    <x v="0"/>
    <x v="0"/>
  </r>
  <r>
    <n v="1"/>
    <x v="1"/>
    <n v="62"/>
    <x v="2"/>
    <n v="1"/>
    <n v="1"/>
    <s v="Primary"/>
    <x v="2"/>
    <n v="0"/>
    <n v="0"/>
    <n v="0"/>
    <x v="1"/>
    <n v="0"/>
    <x v="0"/>
    <n v="0"/>
    <n v="0"/>
    <n v="0"/>
    <n v="275"/>
    <n v="275"/>
    <x v="0"/>
    <n v="111"/>
    <n v="63"/>
    <n v="22.68"/>
    <n v="22.68"/>
    <x v="1"/>
    <n v="75"/>
    <n v="75"/>
    <n v="78"/>
    <n v="78"/>
    <x v="0"/>
    <x v="0"/>
  </r>
  <r>
    <n v="0"/>
    <x v="0"/>
    <n v="62"/>
    <x v="2"/>
    <n v="3"/>
    <n v="3"/>
    <s v="Graduate"/>
    <x v="1"/>
    <n v="0"/>
    <n v="0"/>
    <n v="0"/>
    <x v="1"/>
    <n v="0"/>
    <x v="0"/>
    <n v="0"/>
    <n v="1"/>
    <n v="0"/>
    <n v="312"/>
    <n v="312"/>
    <x v="0"/>
    <n v="204"/>
    <n v="118"/>
    <n v="24.83"/>
    <n v="24.83"/>
    <x v="1"/>
    <n v="67"/>
    <n v="67"/>
    <n v="86"/>
    <n v="86"/>
    <x v="0"/>
    <x v="1"/>
  </r>
  <r>
    <n v="0"/>
    <x v="0"/>
    <n v="62"/>
    <x v="2"/>
    <n v="3"/>
    <n v="3"/>
    <s v="Graduate"/>
    <x v="1"/>
    <n v="0"/>
    <n v="0"/>
    <n v="0"/>
    <x v="1"/>
    <n v="0"/>
    <x v="0"/>
    <n v="0"/>
    <n v="1"/>
    <n v="0"/>
    <n v="249"/>
    <n v="249"/>
    <x v="0"/>
    <n v="176"/>
    <n v="89"/>
    <n v="24.49"/>
    <n v="24.49"/>
    <x v="1"/>
    <n v="75"/>
    <n v="75"/>
    <n v="81"/>
    <n v="81"/>
    <x v="0"/>
    <x v="0"/>
  </r>
  <r>
    <n v="0"/>
    <x v="0"/>
    <n v="62"/>
    <x v="2"/>
    <n v="4"/>
    <n v="4"/>
    <s v="Post Graduate"/>
    <x v="3"/>
    <n v="0"/>
    <n v="0"/>
    <n v="0"/>
    <x v="1"/>
    <n v="1"/>
    <x v="1"/>
    <n v="0"/>
    <n v="1"/>
    <n v="0"/>
    <n v="274"/>
    <n v="274"/>
    <x v="0"/>
    <n v="167"/>
    <n v="94"/>
    <n v="28.18"/>
    <n v="28.18"/>
    <x v="0"/>
    <n v="100"/>
    <n v="100"/>
    <n v="80"/>
    <n v="80"/>
    <x v="0"/>
    <x v="1"/>
  </r>
  <r>
    <n v="0"/>
    <x v="0"/>
    <n v="62"/>
    <x v="2"/>
    <n v="1"/>
    <n v="1"/>
    <s v="Primary"/>
    <x v="2"/>
    <n v="0"/>
    <n v="0"/>
    <n v="0"/>
    <x v="1"/>
    <n v="0"/>
    <x v="0"/>
    <n v="0"/>
    <n v="1"/>
    <n v="0"/>
    <n v="268"/>
    <n v="268"/>
    <x v="0"/>
    <n v="143.5"/>
    <n v="90"/>
    <n v="29.64"/>
    <n v="29.64"/>
    <x v="0"/>
    <n v="88"/>
    <n v="88"/>
    <n v="83"/>
    <n v="83"/>
    <x v="0"/>
    <x v="0"/>
  </r>
  <r>
    <n v="0"/>
    <x v="0"/>
    <n v="62"/>
    <x v="2"/>
    <n v="2"/>
    <n v="2"/>
    <s v="Secondary"/>
    <x v="0"/>
    <n v="0"/>
    <n v="0"/>
    <n v="0"/>
    <x v="1"/>
    <n v="0"/>
    <x v="0"/>
    <n v="0"/>
    <n v="1"/>
    <n v="0"/>
    <n v="229"/>
    <n v="229"/>
    <x v="1"/>
    <n v="140"/>
    <n v="93"/>
    <n v="33.97"/>
    <n v="33.97"/>
    <x v="2"/>
    <n v="80"/>
    <n v="80"/>
    <n v="111"/>
    <n v="111"/>
    <x v="0"/>
    <x v="0"/>
  </r>
  <r>
    <n v="1"/>
    <x v="1"/>
    <n v="62"/>
    <x v="2"/>
    <n v="1"/>
    <n v="1"/>
    <s v="Primary"/>
    <x v="2"/>
    <n v="1"/>
    <n v="10"/>
    <n v="10"/>
    <x v="0"/>
    <n v="0"/>
    <x v="0"/>
    <n v="0"/>
    <n v="0"/>
    <n v="0"/>
    <n v="157"/>
    <n v="157"/>
    <x v="1"/>
    <n v="134"/>
    <n v="84"/>
    <n v="25.95"/>
    <n v="25.95"/>
    <x v="0"/>
    <n v="105"/>
    <n v="105"/>
    <n v="76"/>
    <n v="76"/>
    <x v="0"/>
    <x v="1"/>
  </r>
  <r>
    <n v="0"/>
    <x v="0"/>
    <n v="62"/>
    <x v="2"/>
    <n v="2"/>
    <n v="2"/>
    <s v="Secondary"/>
    <x v="0"/>
    <n v="0"/>
    <n v="0"/>
    <n v="0"/>
    <x v="1"/>
    <n v="0"/>
    <x v="0"/>
    <n v="0"/>
    <n v="1"/>
    <n v="0"/>
    <n v="344"/>
    <n v="344"/>
    <x v="0"/>
    <n v="154"/>
    <n v="110"/>
    <n v="35.11"/>
    <n v="35.11"/>
    <x v="2"/>
    <n v="85"/>
    <n v="85"/>
    <n v="76"/>
    <n v="76"/>
    <x v="0"/>
    <x v="0"/>
  </r>
  <r>
    <n v="1"/>
    <x v="1"/>
    <n v="62"/>
    <x v="2"/>
    <n v="1"/>
    <n v="1"/>
    <s v="Primary"/>
    <x v="2"/>
    <n v="0"/>
    <n v="0"/>
    <n v="0"/>
    <x v="1"/>
    <n v="0"/>
    <x v="0"/>
    <n v="0"/>
    <n v="0"/>
    <n v="0"/>
    <n v="232"/>
    <n v="232"/>
    <x v="1"/>
    <n v="120"/>
    <n v="67.5"/>
    <n v="23.24"/>
    <n v="23.24"/>
    <x v="1"/>
    <n v="60"/>
    <n v="60"/>
    <n v="62"/>
    <n v="62"/>
    <x v="0"/>
    <x v="0"/>
  </r>
  <r>
    <n v="0"/>
    <x v="0"/>
    <n v="62"/>
    <x v="2"/>
    <n v="4"/>
    <n v="4"/>
    <s v="Post Graduate"/>
    <x v="3"/>
    <n v="1"/>
    <n v="3"/>
    <n v="3"/>
    <x v="0"/>
    <n v="0"/>
    <x v="0"/>
    <n v="0"/>
    <n v="1"/>
    <n v="0"/>
    <n v="298"/>
    <n v="298"/>
    <x v="0"/>
    <n v="137"/>
    <n v="85"/>
    <n v="26.73"/>
    <n v="26.73"/>
    <x v="0"/>
    <n v="76"/>
    <n v="76"/>
    <n v="87"/>
    <n v="87"/>
    <x v="0"/>
    <x v="0"/>
  </r>
  <r>
    <n v="1"/>
    <x v="1"/>
    <n v="62"/>
    <x v="2"/>
    <n v="3"/>
    <n v="3"/>
    <s v="Graduate"/>
    <x v="1"/>
    <n v="1"/>
    <n v="20"/>
    <n v="20"/>
    <x v="0"/>
    <n v="0"/>
    <x v="0"/>
    <n v="0"/>
    <n v="0"/>
    <n v="0"/>
    <n v="300"/>
    <n v="300"/>
    <x v="0"/>
    <n v="108"/>
    <n v="73"/>
    <n v="20.87"/>
    <n v="20.87"/>
    <x v="1"/>
    <n v="60"/>
    <n v="60"/>
    <n v="80"/>
    <n v="80"/>
    <x v="0"/>
    <x v="0"/>
  </r>
  <r>
    <n v="1"/>
    <x v="1"/>
    <n v="62"/>
    <x v="2"/>
    <n v="3"/>
    <n v="3"/>
    <s v="Graduate"/>
    <x v="1"/>
    <n v="0"/>
    <n v="0"/>
    <n v="0"/>
    <x v="1"/>
    <n v="0"/>
    <x v="0"/>
    <n v="0"/>
    <n v="0"/>
    <n v="0"/>
    <n v="202"/>
    <n v="202"/>
    <x v="1"/>
    <n v="111"/>
    <n v="79.5"/>
    <n v="27.91"/>
    <n v="27.91"/>
    <x v="0"/>
    <n v="80"/>
    <n v="80"/>
    <n v="100"/>
    <n v="100"/>
    <x v="0"/>
    <x v="0"/>
  </r>
  <r>
    <n v="0"/>
    <x v="0"/>
    <n v="62"/>
    <x v="2"/>
    <n v="1"/>
    <n v="1"/>
    <s v="Primary"/>
    <x v="2"/>
    <n v="0"/>
    <n v="0"/>
    <n v="0"/>
    <x v="1"/>
    <n v="0"/>
    <x v="0"/>
    <n v="0"/>
    <n v="1"/>
    <n v="0"/>
    <n v="262"/>
    <n v="262"/>
    <x v="0"/>
    <n v="175"/>
    <n v="85"/>
    <n v="30.91"/>
    <n v="30.91"/>
    <x v="2"/>
    <n v="68"/>
    <n v="68"/>
    <n v="72"/>
    <n v="72"/>
    <x v="0"/>
    <x v="0"/>
  </r>
  <r>
    <n v="0"/>
    <x v="0"/>
    <n v="62"/>
    <x v="2"/>
    <n v="1"/>
    <n v="1"/>
    <s v="Primary"/>
    <x v="2"/>
    <n v="0"/>
    <n v="0"/>
    <n v="0"/>
    <x v="1"/>
    <n v="0"/>
    <x v="0"/>
    <n v="0"/>
    <n v="1"/>
    <n v="0"/>
    <n v="273"/>
    <n v="273"/>
    <x v="0"/>
    <n v="150.5"/>
    <n v="97"/>
    <n v="22.01"/>
    <n v="22.01"/>
    <x v="1"/>
    <n v="76"/>
    <n v="76"/>
    <n v="74"/>
    <n v="74"/>
    <x v="0"/>
    <x v="0"/>
  </r>
  <r>
    <n v="0"/>
    <x v="0"/>
    <n v="62"/>
    <x v="2"/>
    <n v="1"/>
    <n v="1"/>
    <s v="Primary"/>
    <x v="2"/>
    <n v="0"/>
    <n v="0"/>
    <n v="0"/>
    <x v="1"/>
    <n v="0"/>
    <x v="0"/>
    <n v="0"/>
    <n v="1"/>
    <n v="1"/>
    <n v="390"/>
    <n v="390"/>
    <x v="0"/>
    <n v="184.5"/>
    <n v="83"/>
    <n v="18.989999999999998"/>
    <n v="18.989999999999998"/>
    <x v="1"/>
    <n v="87"/>
    <n v="87"/>
    <n v="47"/>
    <n v="47"/>
    <x v="0"/>
    <x v="0"/>
  </r>
  <r>
    <n v="1"/>
    <x v="1"/>
    <n v="62"/>
    <x v="2"/>
    <n v="3"/>
    <n v="3"/>
    <s v="Graduate"/>
    <x v="1"/>
    <n v="1"/>
    <n v="20"/>
    <n v="20"/>
    <x v="0"/>
    <n v="0"/>
    <x v="0"/>
    <n v="0"/>
    <n v="0"/>
    <n v="0"/>
    <n v="245"/>
    <n v="245"/>
    <x v="0"/>
    <n v="127"/>
    <n v="79"/>
    <n v="23.5"/>
    <n v="23.5"/>
    <x v="1"/>
    <n v="72"/>
    <n v="72"/>
    <n v="73"/>
    <n v="73"/>
    <x v="0"/>
    <x v="0"/>
  </r>
  <r>
    <n v="0"/>
    <x v="0"/>
    <n v="62"/>
    <x v="2"/>
    <n v="1"/>
    <n v="1"/>
    <s v="Primary"/>
    <x v="2"/>
    <n v="0"/>
    <n v="0"/>
    <n v="0"/>
    <x v="1"/>
    <n v="0"/>
    <x v="0"/>
    <n v="0"/>
    <n v="1"/>
    <n v="0"/>
    <n v="308"/>
    <n v="308"/>
    <x v="0"/>
    <n v="152"/>
    <n v="98"/>
    <n v="35.42"/>
    <n v="35.42"/>
    <x v="2"/>
    <n v="75"/>
    <n v="75"/>
    <n v="76"/>
    <n v="76"/>
    <x v="0"/>
    <x v="0"/>
  </r>
  <r>
    <n v="1"/>
    <x v="1"/>
    <n v="62"/>
    <x v="2"/>
    <n v="1"/>
    <n v="1"/>
    <s v="Primary"/>
    <x v="2"/>
    <n v="1"/>
    <n v="43"/>
    <n v="43"/>
    <x v="0"/>
    <n v="0"/>
    <x v="0"/>
    <n v="0"/>
    <n v="0"/>
    <n v="0"/>
    <n v="217"/>
    <n v="217"/>
    <x v="1"/>
    <n v="107.5"/>
    <n v="75"/>
    <n v="26.21"/>
    <n v="26.21"/>
    <x v="0"/>
    <n v="80"/>
    <n v="80"/>
    <n v="66"/>
    <n v="66"/>
    <x v="0"/>
    <x v="1"/>
  </r>
  <r>
    <n v="0"/>
    <x v="0"/>
    <n v="62"/>
    <x v="2"/>
    <n v="4"/>
    <n v="4"/>
    <s v="Post Graduate"/>
    <x v="3"/>
    <n v="1"/>
    <n v="5"/>
    <n v="5"/>
    <x v="0"/>
    <n v="0"/>
    <x v="0"/>
    <n v="0"/>
    <n v="1"/>
    <n v="0"/>
    <n v="254"/>
    <n v="254"/>
    <x v="0"/>
    <n v="167.5"/>
    <n v="102.5"/>
    <n v="27.15"/>
    <n v="27.15"/>
    <x v="0"/>
    <n v="75"/>
    <n v="75"/>
    <n v="83"/>
    <n v="83"/>
    <x v="0"/>
    <x v="0"/>
  </r>
  <r>
    <n v="1"/>
    <x v="1"/>
    <n v="62"/>
    <x v="2"/>
    <n v="2"/>
    <n v="2"/>
    <s v="Secondary"/>
    <x v="0"/>
    <n v="0"/>
    <n v="0"/>
    <n v="0"/>
    <x v="1"/>
    <n v="0"/>
    <x v="0"/>
    <n v="0"/>
    <n v="0"/>
    <n v="0"/>
    <n v="202"/>
    <n v="202"/>
    <x v="1"/>
    <n v="149.5"/>
    <n v="85"/>
    <n v="25.42"/>
    <n v="25.42"/>
    <x v="0"/>
    <n v="65"/>
    <n v="65"/>
    <n v="80"/>
    <n v="80"/>
    <x v="0"/>
    <x v="0"/>
  </r>
  <r>
    <n v="0"/>
    <x v="0"/>
    <n v="62"/>
    <x v="2"/>
    <n v="1"/>
    <n v="1"/>
    <s v="Primary"/>
    <x v="2"/>
    <n v="0"/>
    <n v="0"/>
    <n v="0"/>
    <x v="1"/>
    <n v="0"/>
    <x v="0"/>
    <n v="0"/>
    <n v="1"/>
    <n v="0"/>
    <n v="242"/>
    <n v="242"/>
    <x v="0"/>
    <n v="130"/>
    <n v="91"/>
    <n v="31.12"/>
    <n v="31.12"/>
    <x v="2"/>
    <n v="80"/>
    <n v="80"/>
    <s v="NA"/>
    <n v="81.96365524402907"/>
    <x v="0"/>
    <x v="0"/>
  </r>
  <r>
    <n v="0"/>
    <x v="0"/>
    <n v="62"/>
    <x v="2"/>
    <n v="1"/>
    <n v="1"/>
    <s v="Primary"/>
    <x v="2"/>
    <n v="0"/>
    <n v="0"/>
    <n v="0"/>
    <x v="1"/>
    <n v="0"/>
    <x v="0"/>
    <n v="0"/>
    <n v="0"/>
    <n v="0"/>
    <n v="205"/>
    <n v="205"/>
    <x v="1"/>
    <n v="118"/>
    <n v="79.5"/>
    <n v="30.21"/>
    <n v="30.21"/>
    <x v="2"/>
    <n v="82"/>
    <n v="82"/>
    <n v="75"/>
    <n v="75"/>
    <x v="0"/>
    <x v="0"/>
  </r>
  <r>
    <n v="0"/>
    <x v="0"/>
    <n v="62"/>
    <x v="2"/>
    <n v="3"/>
    <n v="3"/>
    <s v="Graduate"/>
    <x v="1"/>
    <n v="0"/>
    <n v="0"/>
    <n v="0"/>
    <x v="1"/>
    <s v="NA"/>
    <x v="0"/>
    <n v="0"/>
    <n v="1"/>
    <n v="0"/>
    <n v="294"/>
    <n v="294"/>
    <x v="0"/>
    <n v="139"/>
    <n v="78"/>
    <n v="21.11"/>
    <n v="21.11"/>
    <x v="1"/>
    <n v="85"/>
    <n v="85"/>
    <n v="79"/>
    <n v="79"/>
    <x v="1"/>
    <x v="0"/>
  </r>
  <r>
    <n v="1"/>
    <x v="1"/>
    <n v="62"/>
    <x v="2"/>
    <n v="1"/>
    <n v="1"/>
    <s v="Primary"/>
    <x v="2"/>
    <n v="1"/>
    <n v="20"/>
    <n v="20"/>
    <x v="0"/>
    <n v="0"/>
    <x v="0"/>
    <n v="0"/>
    <n v="0"/>
    <n v="0"/>
    <n v="295"/>
    <n v="295"/>
    <x v="0"/>
    <n v="139"/>
    <n v="80"/>
    <n v="21.28"/>
    <n v="21.28"/>
    <x v="1"/>
    <n v="63"/>
    <n v="63"/>
    <n v="97"/>
    <n v="97"/>
    <x v="0"/>
    <x v="0"/>
  </r>
  <r>
    <n v="1"/>
    <x v="1"/>
    <n v="62"/>
    <x v="2"/>
    <n v="2"/>
    <n v="2"/>
    <s v="Secondary"/>
    <x v="0"/>
    <n v="0"/>
    <n v="0"/>
    <n v="0"/>
    <x v="1"/>
    <n v="0"/>
    <x v="0"/>
    <n v="0"/>
    <n v="0"/>
    <n v="0"/>
    <n v="193"/>
    <n v="193"/>
    <x v="1"/>
    <n v="132.5"/>
    <n v="80"/>
    <n v="27.2"/>
    <n v="27.2"/>
    <x v="0"/>
    <n v="70"/>
    <n v="70"/>
    <n v="78"/>
    <n v="78"/>
    <x v="0"/>
    <x v="0"/>
  </r>
  <r>
    <n v="1"/>
    <x v="1"/>
    <n v="62"/>
    <x v="2"/>
    <n v="1"/>
    <n v="1"/>
    <s v="Primary"/>
    <x v="2"/>
    <n v="1"/>
    <n v="10"/>
    <n v="10"/>
    <x v="0"/>
    <n v="0"/>
    <x v="0"/>
    <n v="0"/>
    <n v="0"/>
    <n v="0"/>
    <n v="271"/>
    <n v="271"/>
    <x v="0"/>
    <n v="125.5"/>
    <n v="72.5"/>
    <n v="31.11"/>
    <n v="31.11"/>
    <x v="2"/>
    <n v="62"/>
    <n v="62"/>
    <s v="NA"/>
    <n v="81.96365524402907"/>
    <x v="0"/>
    <x v="0"/>
  </r>
  <r>
    <n v="0"/>
    <x v="0"/>
    <n v="62"/>
    <x v="2"/>
    <n v="1"/>
    <n v="1"/>
    <s v="Primary"/>
    <x v="2"/>
    <n v="0"/>
    <n v="0"/>
    <n v="0"/>
    <x v="1"/>
    <n v="0"/>
    <x v="0"/>
    <n v="0"/>
    <n v="0"/>
    <n v="1"/>
    <n v="233"/>
    <n v="233"/>
    <x v="1"/>
    <n v="130"/>
    <n v="87"/>
    <n v="21.34"/>
    <n v="21.34"/>
    <x v="1"/>
    <n v="85"/>
    <n v="85"/>
    <n v="386"/>
    <n v="386"/>
    <x v="0"/>
    <x v="0"/>
  </r>
  <r>
    <n v="1"/>
    <x v="1"/>
    <n v="62"/>
    <x v="2"/>
    <n v="1"/>
    <n v="1"/>
    <s v="Primary"/>
    <x v="2"/>
    <n v="0"/>
    <n v="0"/>
    <n v="0"/>
    <x v="1"/>
    <n v="1"/>
    <x v="1"/>
    <n v="0"/>
    <n v="1"/>
    <n v="0"/>
    <n v="208"/>
    <n v="208"/>
    <x v="1"/>
    <n v="140"/>
    <n v="97.5"/>
    <n v="27.27"/>
    <n v="27.27"/>
    <x v="0"/>
    <n v="70"/>
    <n v="70"/>
    <n v="121"/>
    <n v="121"/>
    <x v="0"/>
    <x v="0"/>
  </r>
  <r>
    <n v="1"/>
    <x v="1"/>
    <n v="62"/>
    <x v="2"/>
    <n v="4"/>
    <n v="4"/>
    <s v="Post Graduate"/>
    <x v="3"/>
    <n v="0"/>
    <n v="0"/>
    <n v="0"/>
    <x v="1"/>
    <n v="0"/>
    <x v="0"/>
    <n v="0"/>
    <n v="1"/>
    <n v="0"/>
    <n v="240"/>
    <n v="240"/>
    <x v="1"/>
    <n v="152"/>
    <n v="95"/>
    <n v="25.37"/>
    <n v="25.37"/>
    <x v="0"/>
    <n v="63"/>
    <n v="63"/>
    <n v="70"/>
    <n v="70"/>
    <x v="0"/>
    <x v="1"/>
  </r>
  <r>
    <n v="0"/>
    <x v="0"/>
    <n v="62"/>
    <x v="2"/>
    <n v="2"/>
    <n v="2"/>
    <s v="Secondary"/>
    <x v="0"/>
    <n v="1"/>
    <n v="3"/>
    <n v="3"/>
    <x v="0"/>
    <n v="0"/>
    <x v="0"/>
    <n v="0"/>
    <n v="0"/>
    <n v="0"/>
    <n v="286"/>
    <n v="286"/>
    <x v="0"/>
    <n v="123"/>
    <n v="77"/>
    <n v="20.56"/>
    <n v="20.56"/>
    <x v="1"/>
    <n v="59"/>
    <n v="59"/>
    <n v="86"/>
    <n v="86"/>
    <x v="0"/>
    <x v="0"/>
  </r>
  <r>
    <n v="0"/>
    <x v="0"/>
    <n v="62"/>
    <x v="2"/>
    <n v="4"/>
    <n v="4"/>
    <s v="Post Graduate"/>
    <x v="3"/>
    <n v="0"/>
    <n v="0"/>
    <n v="0"/>
    <x v="1"/>
    <n v="0"/>
    <x v="0"/>
    <n v="0"/>
    <n v="0"/>
    <n v="0"/>
    <n v="281"/>
    <n v="281"/>
    <x v="0"/>
    <n v="126"/>
    <n v="85.5"/>
    <n v="23.29"/>
    <n v="23.29"/>
    <x v="1"/>
    <n v="65"/>
    <n v="65"/>
    <n v="63"/>
    <n v="63"/>
    <x v="0"/>
    <x v="0"/>
  </r>
  <r>
    <n v="0"/>
    <x v="0"/>
    <n v="62"/>
    <x v="2"/>
    <n v="2"/>
    <n v="2"/>
    <s v="Secondary"/>
    <x v="0"/>
    <n v="0"/>
    <n v="0"/>
    <n v="0"/>
    <x v="1"/>
    <n v="0"/>
    <x v="0"/>
    <n v="0"/>
    <n v="1"/>
    <n v="1"/>
    <n v="313"/>
    <n v="313"/>
    <x v="0"/>
    <n v="164"/>
    <n v="94"/>
    <n v="27.4"/>
    <n v="27.4"/>
    <x v="0"/>
    <n v="70"/>
    <n v="70"/>
    <n v="81"/>
    <n v="81"/>
    <x v="0"/>
    <x v="0"/>
  </r>
  <r>
    <n v="1"/>
    <x v="1"/>
    <n v="62"/>
    <x v="2"/>
    <n v="1"/>
    <n v="1"/>
    <s v="Primary"/>
    <x v="2"/>
    <n v="0"/>
    <n v="0"/>
    <n v="0"/>
    <x v="1"/>
    <n v="0"/>
    <x v="0"/>
    <n v="0"/>
    <n v="1"/>
    <n v="0"/>
    <n v="191"/>
    <n v="191"/>
    <x v="1"/>
    <n v="156"/>
    <n v="91"/>
    <n v="31.2"/>
    <n v="31.2"/>
    <x v="2"/>
    <n v="68"/>
    <n v="68"/>
    <n v="75"/>
    <n v="75"/>
    <x v="0"/>
    <x v="1"/>
  </r>
  <r>
    <n v="1"/>
    <x v="1"/>
    <n v="62"/>
    <x v="2"/>
    <n v="3"/>
    <n v="3"/>
    <s v="Graduate"/>
    <x v="1"/>
    <n v="0"/>
    <n v="0"/>
    <n v="0"/>
    <x v="1"/>
    <n v="0"/>
    <x v="0"/>
    <n v="0"/>
    <n v="0"/>
    <n v="1"/>
    <n v="346"/>
    <n v="346"/>
    <x v="0"/>
    <n v="102.5"/>
    <n v="66.5"/>
    <n v="17.170000000000002"/>
    <n v="17.170000000000002"/>
    <x v="3"/>
    <n v="80"/>
    <n v="80"/>
    <n v="394"/>
    <n v="394"/>
    <x v="0"/>
    <x v="1"/>
  </r>
  <r>
    <n v="0"/>
    <x v="0"/>
    <n v="62"/>
    <x v="2"/>
    <n v="2"/>
    <n v="2"/>
    <s v="Secondary"/>
    <x v="0"/>
    <n v="0"/>
    <n v="0"/>
    <n v="0"/>
    <x v="1"/>
    <n v="0"/>
    <x v="0"/>
    <n v="0"/>
    <n v="0"/>
    <n v="0"/>
    <n v="317"/>
    <n v="317"/>
    <x v="0"/>
    <n v="126"/>
    <n v="75"/>
    <n v="23.29"/>
    <n v="23.29"/>
    <x v="1"/>
    <n v="71"/>
    <n v="71"/>
    <n v="86"/>
    <n v="86"/>
    <x v="0"/>
    <x v="0"/>
  </r>
  <r>
    <n v="0"/>
    <x v="0"/>
    <n v="62"/>
    <x v="2"/>
    <n v="1"/>
    <n v="1"/>
    <s v="Primary"/>
    <x v="2"/>
    <n v="0"/>
    <n v="0"/>
    <n v="0"/>
    <x v="1"/>
    <n v="0"/>
    <x v="0"/>
    <n v="0"/>
    <n v="0"/>
    <n v="0"/>
    <n v="224"/>
    <n v="224"/>
    <x v="1"/>
    <n v="121.5"/>
    <n v="77.5"/>
    <n v="28.66"/>
    <n v="28.66"/>
    <x v="0"/>
    <n v="75"/>
    <n v="75"/>
    <s v="NA"/>
    <n v="81.96365524402907"/>
    <x v="0"/>
    <x v="0"/>
  </r>
  <r>
    <n v="0"/>
    <x v="0"/>
    <n v="62"/>
    <x v="2"/>
    <n v="2"/>
    <n v="2"/>
    <s v="Secondary"/>
    <x v="0"/>
    <n v="0"/>
    <n v="0"/>
    <n v="0"/>
    <x v="1"/>
    <n v="0"/>
    <x v="0"/>
    <n v="0"/>
    <n v="1"/>
    <n v="0"/>
    <n v="326"/>
    <n v="326"/>
    <x v="0"/>
    <n v="160"/>
    <n v="90"/>
    <n v="33.700000000000003"/>
    <n v="33.700000000000003"/>
    <x v="2"/>
    <n v="72"/>
    <n v="72"/>
    <n v="84"/>
    <n v="84"/>
    <x v="0"/>
    <x v="0"/>
  </r>
  <r>
    <n v="0"/>
    <x v="0"/>
    <n v="62"/>
    <x v="2"/>
    <n v="1"/>
    <n v="1"/>
    <s v="Primary"/>
    <x v="2"/>
    <n v="0"/>
    <n v="0"/>
    <n v="0"/>
    <x v="1"/>
    <n v="0"/>
    <x v="0"/>
    <n v="0"/>
    <n v="1"/>
    <n v="0"/>
    <n v="240"/>
    <n v="240"/>
    <x v="1"/>
    <n v="154"/>
    <n v="92"/>
    <n v="29.49"/>
    <n v="29.49"/>
    <x v="0"/>
    <n v="55"/>
    <n v="55"/>
    <n v="67"/>
    <n v="67"/>
    <x v="0"/>
    <x v="0"/>
  </r>
  <r>
    <n v="1"/>
    <x v="1"/>
    <n v="62"/>
    <x v="2"/>
    <n v="1"/>
    <n v="1"/>
    <s v="Primary"/>
    <x v="2"/>
    <n v="0"/>
    <n v="0"/>
    <n v="0"/>
    <x v="1"/>
    <n v="0"/>
    <x v="0"/>
    <n v="0"/>
    <n v="0"/>
    <n v="0"/>
    <n v="164"/>
    <n v="164"/>
    <x v="1"/>
    <n v="126"/>
    <n v="79"/>
    <n v="27.89"/>
    <n v="27.89"/>
    <x v="0"/>
    <n v="66"/>
    <n v="66"/>
    <n v="69"/>
    <n v="69"/>
    <x v="0"/>
    <x v="0"/>
  </r>
  <r>
    <n v="1"/>
    <x v="1"/>
    <n v="62"/>
    <x v="2"/>
    <n v="1"/>
    <n v="1"/>
    <s v="Primary"/>
    <x v="2"/>
    <n v="0"/>
    <n v="0"/>
    <n v="0"/>
    <x v="1"/>
    <n v="0"/>
    <x v="0"/>
    <n v="0"/>
    <n v="0"/>
    <n v="0"/>
    <n v="265"/>
    <n v="265"/>
    <x v="0"/>
    <n v="135"/>
    <n v="80"/>
    <n v="27.94"/>
    <n v="27.94"/>
    <x v="0"/>
    <n v="50"/>
    <n v="50"/>
    <n v="80"/>
    <n v="80"/>
    <x v="0"/>
    <x v="0"/>
  </r>
  <r>
    <n v="1"/>
    <x v="1"/>
    <n v="62"/>
    <x v="2"/>
    <n v="1"/>
    <n v="1"/>
    <s v="Primary"/>
    <x v="2"/>
    <n v="1"/>
    <n v="5"/>
    <n v="5"/>
    <x v="0"/>
    <n v="0"/>
    <x v="0"/>
    <n v="0"/>
    <n v="1"/>
    <n v="0"/>
    <n v="243"/>
    <n v="243"/>
    <x v="0"/>
    <n v="157"/>
    <n v="96"/>
    <n v="28.83"/>
    <n v="28.83"/>
    <x v="0"/>
    <n v="75"/>
    <n v="75"/>
    <n v="71"/>
    <n v="71"/>
    <x v="0"/>
    <x v="0"/>
  </r>
  <r>
    <n v="1"/>
    <x v="1"/>
    <n v="62"/>
    <x v="2"/>
    <n v="4"/>
    <n v="4"/>
    <s v="Post Graduate"/>
    <x v="3"/>
    <n v="1"/>
    <n v="40"/>
    <n v="40"/>
    <x v="0"/>
    <n v="0"/>
    <x v="0"/>
    <n v="0"/>
    <n v="0"/>
    <n v="0"/>
    <n v="260"/>
    <n v="260"/>
    <x v="0"/>
    <n v="127.5"/>
    <n v="75"/>
    <n v="25.35"/>
    <n v="25.35"/>
    <x v="0"/>
    <n v="65"/>
    <n v="65"/>
    <n v="103"/>
    <n v="103"/>
    <x v="0"/>
    <x v="1"/>
  </r>
  <r>
    <n v="1"/>
    <x v="1"/>
    <n v="62"/>
    <x v="2"/>
    <n v="1"/>
    <n v="1"/>
    <s v="Primary"/>
    <x v="2"/>
    <n v="0"/>
    <n v="0"/>
    <n v="0"/>
    <x v="1"/>
    <n v="0"/>
    <x v="0"/>
    <n v="0"/>
    <n v="0"/>
    <n v="0"/>
    <n v="157"/>
    <n v="157"/>
    <x v="1"/>
    <n v="130"/>
    <n v="87"/>
    <n v="28.73"/>
    <n v="28.73"/>
    <x v="0"/>
    <n v="72"/>
    <n v="72"/>
    <n v="47"/>
    <n v="47"/>
    <x v="0"/>
    <x v="0"/>
  </r>
  <r>
    <n v="0"/>
    <x v="0"/>
    <n v="62"/>
    <x v="2"/>
    <n v="4"/>
    <n v="4"/>
    <s v="Post Graduate"/>
    <x v="3"/>
    <n v="0"/>
    <n v="0"/>
    <n v="0"/>
    <x v="1"/>
    <n v="0"/>
    <x v="0"/>
    <n v="0"/>
    <n v="0"/>
    <n v="0"/>
    <n v="288"/>
    <n v="288"/>
    <x v="0"/>
    <n v="118.5"/>
    <n v="71"/>
    <n v="26.18"/>
    <n v="26.18"/>
    <x v="0"/>
    <n v="68"/>
    <n v="68"/>
    <n v="87"/>
    <n v="87"/>
    <x v="0"/>
    <x v="0"/>
  </r>
  <r>
    <n v="0"/>
    <x v="0"/>
    <n v="62"/>
    <x v="2"/>
    <n v="1"/>
    <n v="1"/>
    <s v="Primary"/>
    <x v="2"/>
    <n v="0"/>
    <n v="0"/>
    <n v="0"/>
    <x v="1"/>
    <n v="0"/>
    <x v="0"/>
    <n v="0"/>
    <n v="1"/>
    <n v="0"/>
    <n v="258"/>
    <n v="258"/>
    <x v="0"/>
    <n v="162"/>
    <n v="97.5"/>
    <n v="30.53"/>
    <n v="30.53"/>
    <x v="2"/>
    <n v="76"/>
    <n v="76"/>
    <n v="87"/>
    <n v="87"/>
    <x v="0"/>
    <x v="0"/>
  </r>
  <r>
    <n v="1"/>
    <x v="1"/>
    <n v="62"/>
    <x v="2"/>
    <n v="1"/>
    <n v="1"/>
    <s v="Primary"/>
    <x v="2"/>
    <n v="1"/>
    <n v="20"/>
    <n v="20"/>
    <x v="0"/>
    <n v="0"/>
    <x v="0"/>
    <n v="0"/>
    <n v="0"/>
    <n v="0"/>
    <n v="263"/>
    <n v="263"/>
    <x v="0"/>
    <n v="112"/>
    <n v="61"/>
    <n v="24.46"/>
    <n v="24.46"/>
    <x v="1"/>
    <n v="68"/>
    <n v="68"/>
    <n v="95"/>
    <n v="95"/>
    <x v="0"/>
    <x v="0"/>
  </r>
  <r>
    <n v="0"/>
    <x v="0"/>
    <n v="62"/>
    <x v="2"/>
    <n v="1"/>
    <n v="1"/>
    <s v="Primary"/>
    <x v="2"/>
    <n v="0"/>
    <n v="0"/>
    <n v="0"/>
    <x v="1"/>
    <n v="0"/>
    <x v="0"/>
    <n v="0"/>
    <n v="1"/>
    <n v="0"/>
    <n v="312"/>
    <n v="312"/>
    <x v="0"/>
    <n v="156"/>
    <n v="105"/>
    <n v="22.35"/>
    <n v="22.35"/>
    <x v="1"/>
    <n v="77"/>
    <n v="77"/>
    <n v="82"/>
    <n v="82"/>
    <x v="0"/>
    <x v="0"/>
  </r>
  <r>
    <n v="0"/>
    <x v="0"/>
    <n v="62"/>
    <x v="2"/>
    <s v="NA"/>
    <n v="1"/>
    <s v="Primary"/>
    <x v="2"/>
    <n v="0"/>
    <n v="0"/>
    <n v="0"/>
    <x v="1"/>
    <n v="0"/>
    <x v="0"/>
    <n v="0"/>
    <n v="1"/>
    <n v="0"/>
    <n v="282"/>
    <n v="282"/>
    <x v="0"/>
    <n v="175"/>
    <n v="79"/>
    <n v="28.24"/>
    <n v="28.24"/>
    <x v="0"/>
    <n v="57"/>
    <n v="57"/>
    <n v="67"/>
    <n v="67"/>
    <x v="0"/>
    <x v="0"/>
  </r>
  <r>
    <n v="0"/>
    <x v="0"/>
    <n v="62"/>
    <x v="2"/>
    <n v="2"/>
    <n v="2"/>
    <s v="Secondary"/>
    <x v="0"/>
    <n v="0"/>
    <n v="0"/>
    <n v="0"/>
    <x v="1"/>
    <n v="1"/>
    <x v="1"/>
    <n v="0"/>
    <n v="1"/>
    <n v="0"/>
    <n v="298"/>
    <n v="298"/>
    <x v="0"/>
    <n v="248"/>
    <n v="130"/>
    <n v="37.1"/>
    <n v="37.1"/>
    <x v="2"/>
    <n v="96"/>
    <n v="96"/>
    <n v="77"/>
    <n v="77"/>
    <x v="0"/>
    <x v="1"/>
  </r>
  <r>
    <n v="1"/>
    <x v="1"/>
    <n v="62"/>
    <x v="2"/>
    <n v="1"/>
    <n v="1"/>
    <s v="Primary"/>
    <x v="2"/>
    <n v="1"/>
    <n v="6"/>
    <n v="6"/>
    <x v="0"/>
    <n v="0"/>
    <x v="0"/>
    <n v="0"/>
    <n v="1"/>
    <n v="0"/>
    <n v="237"/>
    <n v="237"/>
    <x v="1"/>
    <n v="163"/>
    <n v="94"/>
    <n v="25.62"/>
    <n v="25.62"/>
    <x v="0"/>
    <n v="85"/>
    <n v="85"/>
    <n v="84"/>
    <n v="84"/>
    <x v="0"/>
    <x v="1"/>
  </r>
  <r>
    <n v="0"/>
    <x v="0"/>
    <n v="62"/>
    <x v="2"/>
    <n v="1"/>
    <n v="1"/>
    <s v="Primary"/>
    <x v="2"/>
    <n v="0"/>
    <n v="0"/>
    <n v="0"/>
    <x v="1"/>
    <n v="1"/>
    <x v="1"/>
    <n v="0"/>
    <n v="1"/>
    <n v="0"/>
    <n v="186"/>
    <n v="186"/>
    <x v="1"/>
    <n v="176.5"/>
    <n v="92"/>
    <n v="22.53"/>
    <n v="22.53"/>
    <x v="1"/>
    <n v="79"/>
    <n v="79"/>
    <n v="60"/>
    <n v="60"/>
    <x v="0"/>
    <x v="1"/>
  </r>
  <r>
    <n v="1"/>
    <x v="1"/>
    <n v="62"/>
    <x v="2"/>
    <n v="1"/>
    <n v="1"/>
    <s v="Primary"/>
    <x v="2"/>
    <n v="1"/>
    <n v="20"/>
    <n v="20"/>
    <x v="0"/>
    <n v="0"/>
    <x v="0"/>
    <n v="0"/>
    <n v="0"/>
    <n v="0"/>
    <n v="185"/>
    <n v="185"/>
    <x v="1"/>
    <n v="124"/>
    <n v="84"/>
    <n v="24.53"/>
    <n v="24.53"/>
    <x v="1"/>
    <n v="66"/>
    <n v="66"/>
    <n v="70"/>
    <n v="70"/>
    <x v="0"/>
    <x v="0"/>
  </r>
  <r>
    <n v="0"/>
    <x v="0"/>
    <n v="62"/>
    <x v="2"/>
    <n v="2"/>
    <n v="2"/>
    <s v="Secondary"/>
    <x v="0"/>
    <n v="0"/>
    <n v="0"/>
    <n v="0"/>
    <x v="1"/>
    <n v="0"/>
    <x v="0"/>
    <n v="0"/>
    <n v="1"/>
    <n v="0"/>
    <n v="276"/>
    <n v="276"/>
    <x v="0"/>
    <n v="185"/>
    <n v="95"/>
    <n v="26.21"/>
    <n v="26.21"/>
    <x v="0"/>
    <n v="80"/>
    <n v="80"/>
    <n v="110"/>
    <n v="110"/>
    <x v="0"/>
    <x v="1"/>
  </r>
  <r>
    <n v="1"/>
    <x v="1"/>
    <n v="62"/>
    <x v="2"/>
    <n v="3"/>
    <n v="3"/>
    <s v="Graduate"/>
    <x v="1"/>
    <n v="0"/>
    <n v="0"/>
    <n v="0"/>
    <x v="1"/>
    <n v="0"/>
    <x v="0"/>
    <n v="0"/>
    <n v="0"/>
    <n v="0"/>
    <n v="211"/>
    <n v="211"/>
    <x v="1"/>
    <n v="128"/>
    <n v="78"/>
    <n v="27.99"/>
    <n v="27.99"/>
    <x v="0"/>
    <n v="56"/>
    <n v="56"/>
    <n v="83"/>
    <n v="83"/>
    <x v="0"/>
    <x v="1"/>
  </r>
  <r>
    <n v="0"/>
    <x v="0"/>
    <n v="62"/>
    <x v="2"/>
    <n v="4"/>
    <n v="4"/>
    <s v="Post Graduate"/>
    <x v="3"/>
    <n v="0"/>
    <n v="0"/>
    <n v="0"/>
    <x v="1"/>
    <n v="0"/>
    <x v="0"/>
    <n v="0"/>
    <n v="0"/>
    <n v="0"/>
    <s v="NA"/>
    <n v="236.69952267303103"/>
    <x v="1"/>
    <n v="122"/>
    <n v="75.5"/>
    <n v="23.03"/>
    <n v="23.03"/>
    <x v="1"/>
    <n v="75"/>
    <n v="75"/>
    <s v="NA"/>
    <n v="81.96365524402907"/>
    <x v="0"/>
    <x v="0"/>
  </r>
  <r>
    <n v="0"/>
    <x v="0"/>
    <n v="62"/>
    <x v="2"/>
    <n v="1"/>
    <n v="1"/>
    <s v="Primary"/>
    <x v="2"/>
    <n v="0"/>
    <n v="0"/>
    <n v="0"/>
    <x v="1"/>
    <n v="0"/>
    <x v="0"/>
    <n v="0"/>
    <n v="0"/>
    <n v="1"/>
    <n v="282"/>
    <n v="282"/>
    <x v="0"/>
    <n v="125"/>
    <n v="75"/>
    <n v="29.88"/>
    <n v="29.88"/>
    <x v="0"/>
    <n v="75"/>
    <n v="75"/>
    <n v="136"/>
    <n v="136"/>
    <x v="0"/>
    <x v="0"/>
  </r>
  <r>
    <n v="1"/>
    <x v="1"/>
    <n v="62"/>
    <x v="2"/>
    <n v="1"/>
    <n v="1"/>
    <s v="Primary"/>
    <x v="2"/>
    <n v="0"/>
    <n v="0"/>
    <n v="0"/>
    <x v="1"/>
    <n v="0"/>
    <x v="0"/>
    <n v="0"/>
    <n v="0"/>
    <n v="0"/>
    <n v="252"/>
    <n v="252"/>
    <x v="0"/>
    <n v="156.5"/>
    <n v="93"/>
    <n v="28.65"/>
    <n v="28.65"/>
    <x v="0"/>
    <n v="88"/>
    <n v="88"/>
    <n v="97"/>
    <n v="97"/>
    <x v="0"/>
    <x v="1"/>
  </r>
  <r>
    <n v="0"/>
    <x v="0"/>
    <n v="62"/>
    <x v="2"/>
    <n v="1"/>
    <n v="1"/>
    <s v="Primary"/>
    <x v="2"/>
    <n v="0"/>
    <n v="0"/>
    <n v="0"/>
    <x v="1"/>
    <n v="0"/>
    <x v="0"/>
    <n v="0"/>
    <n v="0"/>
    <n v="0"/>
    <n v="266"/>
    <n v="266"/>
    <x v="0"/>
    <n v="124"/>
    <n v="69"/>
    <n v="22.9"/>
    <n v="22.9"/>
    <x v="1"/>
    <n v="66"/>
    <n v="66"/>
    <n v="82"/>
    <n v="82"/>
    <x v="0"/>
    <x v="1"/>
  </r>
  <r>
    <n v="0"/>
    <x v="0"/>
    <n v="62"/>
    <x v="2"/>
    <n v="3"/>
    <n v="3"/>
    <s v="Graduate"/>
    <x v="1"/>
    <n v="1"/>
    <n v="20"/>
    <n v="20"/>
    <x v="0"/>
    <n v="1"/>
    <x v="1"/>
    <n v="0"/>
    <n v="1"/>
    <n v="1"/>
    <n v="358"/>
    <n v="358"/>
    <x v="0"/>
    <n v="215"/>
    <n v="110"/>
    <n v="37.619999999999997"/>
    <n v="37.619999999999997"/>
    <x v="2"/>
    <n v="110"/>
    <n v="110"/>
    <n v="368"/>
    <n v="368"/>
    <x v="0"/>
    <x v="1"/>
  </r>
  <r>
    <n v="0"/>
    <x v="0"/>
    <n v="62"/>
    <x v="2"/>
    <n v="1"/>
    <n v="1"/>
    <s v="Primary"/>
    <x v="2"/>
    <n v="0"/>
    <n v="0"/>
    <n v="0"/>
    <x v="1"/>
    <n v="0"/>
    <x v="0"/>
    <n v="0"/>
    <n v="0"/>
    <n v="0"/>
    <n v="242"/>
    <n v="242"/>
    <x v="0"/>
    <n v="137"/>
    <n v="75"/>
    <n v="30.51"/>
    <n v="30.51"/>
    <x v="2"/>
    <n v="60"/>
    <n v="60"/>
    <n v="78"/>
    <n v="78"/>
    <x v="0"/>
    <x v="0"/>
  </r>
  <r>
    <n v="1"/>
    <x v="1"/>
    <n v="62"/>
    <x v="2"/>
    <n v="1"/>
    <n v="1"/>
    <s v="Primary"/>
    <x v="2"/>
    <n v="1"/>
    <n v="30"/>
    <n v="30"/>
    <x v="0"/>
    <n v="0"/>
    <x v="0"/>
    <n v="0"/>
    <n v="0"/>
    <n v="0"/>
    <n v="373"/>
    <n v="373"/>
    <x v="0"/>
    <n v="138.5"/>
    <n v="85"/>
    <n v="23.35"/>
    <n v="23.35"/>
    <x v="1"/>
    <n v="80"/>
    <n v="80"/>
    <n v="67"/>
    <n v="67"/>
    <x v="0"/>
    <x v="0"/>
  </r>
  <r>
    <n v="1"/>
    <x v="1"/>
    <n v="62"/>
    <x v="2"/>
    <n v="1"/>
    <n v="1"/>
    <s v="Primary"/>
    <x v="2"/>
    <n v="0"/>
    <n v="0"/>
    <n v="0"/>
    <x v="1"/>
    <n v="0"/>
    <x v="0"/>
    <n v="0"/>
    <n v="1"/>
    <n v="0"/>
    <n v="208"/>
    <n v="208"/>
    <x v="1"/>
    <n v="144"/>
    <n v="80"/>
    <n v="31.42"/>
    <n v="31.42"/>
    <x v="2"/>
    <n v="75"/>
    <n v="75"/>
    <n v="66"/>
    <n v="66"/>
    <x v="0"/>
    <x v="1"/>
  </r>
  <r>
    <n v="0"/>
    <x v="0"/>
    <n v="62"/>
    <x v="2"/>
    <n v="1"/>
    <n v="1"/>
    <s v="Primary"/>
    <x v="2"/>
    <n v="0"/>
    <n v="0"/>
    <n v="0"/>
    <x v="1"/>
    <n v="0"/>
    <x v="0"/>
    <n v="0"/>
    <n v="1"/>
    <n v="0"/>
    <n v="309"/>
    <n v="309"/>
    <x v="0"/>
    <n v="146"/>
    <n v="82.5"/>
    <n v="28.55"/>
    <n v="28.55"/>
    <x v="0"/>
    <n v="64"/>
    <n v="64"/>
    <n v="71"/>
    <n v="71"/>
    <x v="0"/>
    <x v="1"/>
  </r>
  <r>
    <n v="1"/>
    <x v="1"/>
    <n v="62"/>
    <x v="2"/>
    <n v="2"/>
    <n v="2"/>
    <s v="Secondary"/>
    <x v="0"/>
    <n v="1"/>
    <n v="20"/>
    <n v="20"/>
    <x v="0"/>
    <n v="0"/>
    <x v="0"/>
    <n v="0"/>
    <n v="0"/>
    <n v="0"/>
    <n v="264"/>
    <n v="264"/>
    <x v="0"/>
    <n v="129"/>
    <n v="85"/>
    <n v="26.15"/>
    <n v="26.15"/>
    <x v="0"/>
    <n v="73"/>
    <n v="73"/>
    <n v="63"/>
    <n v="63"/>
    <x v="0"/>
    <x v="0"/>
  </r>
  <r>
    <n v="1"/>
    <x v="1"/>
    <n v="62"/>
    <x v="2"/>
    <n v="1"/>
    <n v="1"/>
    <s v="Primary"/>
    <x v="2"/>
    <n v="1"/>
    <n v="7"/>
    <n v="7"/>
    <x v="0"/>
    <n v="0"/>
    <x v="0"/>
    <n v="0"/>
    <n v="0"/>
    <n v="0"/>
    <n v="260"/>
    <n v="260"/>
    <x v="0"/>
    <n v="104"/>
    <n v="69"/>
    <n v="24.02"/>
    <n v="24.02"/>
    <x v="1"/>
    <n v="70"/>
    <n v="70"/>
    <n v="93"/>
    <n v="93"/>
    <x v="0"/>
    <x v="0"/>
  </r>
  <r>
    <n v="0"/>
    <x v="0"/>
    <n v="62"/>
    <x v="2"/>
    <n v="1"/>
    <n v="1"/>
    <s v="Primary"/>
    <x v="2"/>
    <n v="0"/>
    <n v="0"/>
    <n v="0"/>
    <x v="1"/>
    <n v="0"/>
    <x v="0"/>
    <n v="0"/>
    <n v="0"/>
    <n v="0"/>
    <n v="207"/>
    <n v="207"/>
    <x v="1"/>
    <n v="127.5"/>
    <n v="75"/>
    <n v="22.91"/>
    <n v="22.91"/>
    <x v="1"/>
    <n v="58"/>
    <n v="58"/>
    <n v="80"/>
    <n v="80"/>
    <x v="0"/>
    <x v="0"/>
  </r>
  <r>
    <n v="1"/>
    <x v="1"/>
    <n v="62"/>
    <x v="2"/>
    <n v="4"/>
    <n v="4"/>
    <s v="Post Graduate"/>
    <x v="3"/>
    <n v="0"/>
    <n v="0"/>
    <n v="0"/>
    <x v="1"/>
    <n v="0"/>
    <x v="0"/>
    <n v="0"/>
    <n v="1"/>
    <n v="0"/>
    <n v="241"/>
    <n v="241"/>
    <x v="0"/>
    <n v="135"/>
    <n v="97.5"/>
    <n v="24.88"/>
    <n v="24.88"/>
    <x v="1"/>
    <n v="85"/>
    <n v="85"/>
    <n v="96"/>
    <n v="96"/>
    <x v="0"/>
    <x v="0"/>
  </r>
  <r>
    <n v="0"/>
    <x v="0"/>
    <n v="62"/>
    <x v="2"/>
    <n v="1"/>
    <n v="1"/>
    <s v="Primary"/>
    <x v="2"/>
    <n v="0"/>
    <n v="0"/>
    <n v="0"/>
    <x v="1"/>
    <n v="1"/>
    <x v="1"/>
    <n v="0"/>
    <n v="1"/>
    <n v="0"/>
    <n v="325"/>
    <n v="325"/>
    <x v="0"/>
    <n v="180"/>
    <n v="108"/>
    <n v="35.159999999999997"/>
    <n v="35.159999999999997"/>
    <x v="2"/>
    <n v="75"/>
    <n v="75"/>
    <n v="81"/>
    <n v="81"/>
    <x v="0"/>
    <x v="0"/>
  </r>
  <r>
    <n v="1"/>
    <x v="1"/>
    <n v="62"/>
    <x v="2"/>
    <n v="2"/>
    <n v="2"/>
    <s v="Secondary"/>
    <x v="0"/>
    <n v="0"/>
    <n v="0"/>
    <n v="0"/>
    <x v="1"/>
    <n v="0"/>
    <x v="0"/>
    <n v="0"/>
    <n v="0"/>
    <n v="0"/>
    <n v="214"/>
    <n v="214"/>
    <x v="1"/>
    <n v="130"/>
    <n v="80"/>
    <n v="24.35"/>
    <n v="24.35"/>
    <x v="1"/>
    <n v="75"/>
    <n v="75"/>
    <n v="77"/>
    <n v="77"/>
    <x v="0"/>
    <x v="0"/>
  </r>
  <r>
    <n v="0"/>
    <x v="0"/>
    <n v="63"/>
    <x v="2"/>
    <n v="1"/>
    <n v="1"/>
    <s v="Primary"/>
    <x v="2"/>
    <n v="0"/>
    <n v="0"/>
    <n v="0"/>
    <x v="1"/>
    <n v="0"/>
    <x v="0"/>
    <n v="0"/>
    <n v="0"/>
    <n v="0"/>
    <n v="205"/>
    <n v="205"/>
    <x v="1"/>
    <n v="138"/>
    <n v="71"/>
    <n v="33.11"/>
    <n v="33.11"/>
    <x v="2"/>
    <n v="60"/>
    <n v="60"/>
    <n v="85"/>
    <n v="85"/>
    <x v="0"/>
    <x v="1"/>
  </r>
  <r>
    <n v="0"/>
    <x v="0"/>
    <n v="63"/>
    <x v="2"/>
    <n v="2"/>
    <n v="2"/>
    <s v="Secondary"/>
    <x v="0"/>
    <n v="1"/>
    <n v="40"/>
    <n v="40"/>
    <x v="0"/>
    <n v="0"/>
    <x v="0"/>
    <n v="0"/>
    <n v="0"/>
    <n v="0"/>
    <n v="179"/>
    <n v="179"/>
    <x v="1"/>
    <n v="116"/>
    <n v="69"/>
    <n v="22.15"/>
    <n v="22.15"/>
    <x v="1"/>
    <n v="95"/>
    <n v="95"/>
    <n v="75"/>
    <n v="75"/>
    <x v="0"/>
    <x v="1"/>
  </r>
  <r>
    <n v="0"/>
    <x v="0"/>
    <n v="63"/>
    <x v="2"/>
    <n v="1"/>
    <n v="1"/>
    <s v="Primary"/>
    <x v="2"/>
    <n v="1"/>
    <n v="3"/>
    <n v="3"/>
    <x v="0"/>
    <n v="0"/>
    <x v="0"/>
    <n v="0"/>
    <n v="1"/>
    <n v="0"/>
    <n v="267"/>
    <n v="267"/>
    <x v="0"/>
    <n v="156.5"/>
    <n v="92.5"/>
    <n v="27.1"/>
    <n v="27.1"/>
    <x v="0"/>
    <n v="60"/>
    <n v="60"/>
    <n v="79"/>
    <n v="79"/>
    <x v="0"/>
    <x v="1"/>
  </r>
  <r>
    <n v="0"/>
    <x v="0"/>
    <n v="63"/>
    <x v="2"/>
    <n v="1"/>
    <n v="1"/>
    <s v="Primary"/>
    <x v="2"/>
    <n v="0"/>
    <n v="0"/>
    <n v="0"/>
    <x v="1"/>
    <n v="0"/>
    <x v="0"/>
    <n v="0"/>
    <n v="1"/>
    <n v="0"/>
    <n v="252"/>
    <n v="252"/>
    <x v="0"/>
    <n v="154"/>
    <n v="87"/>
    <n v="28.6"/>
    <n v="28.6"/>
    <x v="0"/>
    <n v="72"/>
    <n v="72"/>
    <n v="45"/>
    <n v="45"/>
    <x v="0"/>
    <x v="0"/>
  </r>
  <r>
    <n v="0"/>
    <x v="0"/>
    <n v="63"/>
    <x v="2"/>
    <n v="4"/>
    <n v="4"/>
    <s v="Post Graduate"/>
    <x v="3"/>
    <n v="0"/>
    <n v="0"/>
    <n v="0"/>
    <x v="1"/>
    <n v="0"/>
    <x v="0"/>
    <n v="0"/>
    <n v="0"/>
    <n v="0"/>
    <n v="248"/>
    <n v="248"/>
    <x v="0"/>
    <n v="164.5"/>
    <n v="76"/>
    <n v="29.35"/>
    <n v="29.35"/>
    <x v="0"/>
    <n v="70"/>
    <n v="70"/>
    <s v="NA"/>
    <n v="81.96365524402907"/>
    <x v="0"/>
    <x v="0"/>
  </r>
  <r>
    <n v="0"/>
    <x v="0"/>
    <n v="63"/>
    <x v="2"/>
    <n v="4"/>
    <n v="4"/>
    <s v="Post Graduate"/>
    <x v="3"/>
    <n v="1"/>
    <n v="20"/>
    <n v="20"/>
    <x v="0"/>
    <n v="0"/>
    <x v="0"/>
    <n v="0"/>
    <n v="0"/>
    <n v="1"/>
    <n v="239"/>
    <n v="239"/>
    <x v="1"/>
    <n v="134"/>
    <n v="80"/>
    <n v="26.64"/>
    <n v="26.64"/>
    <x v="0"/>
    <n v="88"/>
    <n v="88"/>
    <n v="126"/>
    <n v="126"/>
    <x v="0"/>
    <x v="0"/>
  </r>
  <r>
    <n v="0"/>
    <x v="0"/>
    <n v="63"/>
    <x v="2"/>
    <n v="1"/>
    <n v="1"/>
    <s v="Primary"/>
    <x v="2"/>
    <n v="0"/>
    <n v="0"/>
    <n v="0"/>
    <x v="1"/>
    <n v="0"/>
    <x v="0"/>
    <n v="0"/>
    <n v="0"/>
    <n v="0"/>
    <n v="273"/>
    <n v="273"/>
    <x v="0"/>
    <n v="135"/>
    <n v="82"/>
    <n v="26.76"/>
    <n v="26.76"/>
    <x v="0"/>
    <n v="85"/>
    <n v="85"/>
    <n v="56"/>
    <n v="56"/>
    <x v="0"/>
    <x v="0"/>
  </r>
  <r>
    <n v="1"/>
    <x v="1"/>
    <n v="63"/>
    <x v="2"/>
    <n v="4"/>
    <n v="4"/>
    <s v="Post Graduate"/>
    <x v="3"/>
    <n v="1"/>
    <n v="30"/>
    <n v="30"/>
    <x v="0"/>
    <n v="0"/>
    <x v="0"/>
    <n v="0"/>
    <n v="0"/>
    <n v="0"/>
    <n v="260"/>
    <n v="260"/>
    <x v="0"/>
    <n v="130.5"/>
    <n v="82"/>
    <n v="20.12"/>
    <n v="20.12"/>
    <x v="1"/>
    <n v="65"/>
    <n v="65"/>
    <n v="72"/>
    <n v="72"/>
    <x v="0"/>
    <x v="0"/>
  </r>
  <r>
    <n v="0"/>
    <x v="0"/>
    <n v="63"/>
    <x v="2"/>
    <n v="1"/>
    <n v="1"/>
    <s v="Primary"/>
    <x v="2"/>
    <n v="1"/>
    <n v="20"/>
    <n v="20"/>
    <x v="0"/>
    <n v="0"/>
    <x v="0"/>
    <n v="0"/>
    <n v="0"/>
    <n v="0"/>
    <n v="260"/>
    <n v="260"/>
    <x v="0"/>
    <n v="168"/>
    <n v="98"/>
    <n v="21.05"/>
    <n v="21.05"/>
    <x v="1"/>
    <n v="85"/>
    <n v="85"/>
    <n v="73"/>
    <n v="73"/>
    <x v="0"/>
    <x v="0"/>
  </r>
  <r>
    <n v="0"/>
    <x v="0"/>
    <n v="63"/>
    <x v="2"/>
    <n v="1"/>
    <n v="1"/>
    <s v="Primary"/>
    <x v="2"/>
    <n v="1"/>
    <n v="20"/>
    <n v="20"/>
    <x v="0"/>
    <n v="0"/>
    <x v="0"/>
    <n v="0"/>
    <n v="0"/>
    <n v="0"/>
    <n v="238"/>
    <n v="238"/>
    <x v="1"/>
    <n v="136"/>
    <n v="66"/>
    <n v="20.2"/>
    <n v="20.2"/>
    <x v="1"/>
    <n v="60"/>
    <n v="60"/>
    <n v="92"/>
    <n v="92"/>
    <x v="0"/>
    <x v="1"/>
  </r>
  <r>
    <n v="0"/>
    <x v="0"/>
    <n v="63"/>
    <x v="2"/>
    <n v="2"/>
    <n v="2"/>
    <s v="Secondary"/>
    <x v="0"/>
    <n v="0"/>
    <n v="0"/>
    <n v="0"/>
    <x v="1"/>
    <n v="0"/>
    <x v="0"/>
    <n v="0"/>
    <n v="1"/>
    <n v="0"/>
    <n v="223"/>
    <n v="223"/>
    <x v="1"/>
    <n v="178"/>
    <n v="88.5"/>
    <n v="27.18"/>
    <n v="27.18"/>
    <x v="0"/>
    <n v="85"/>
    <n v="85"/>
    <n v="91"/>
    <n v="91"/>
    <x v="0"/>
    <x v="0"/>
  </r>
  <r>
    <n v="1"/>
    <x v="1"/>
    <n v="63"/>
    <x v="2"/>
    <n v="1"/>
    <n v="1"/>
    <s v="Primary"/>
    <x v="2"/>
    <n v="0"/>
    <n v="0"/>
    <n v="0"/>
    <x v="1"/>
    <n v="0"/>
    <x v="0"/>
    <n v="0"/>
    <n v="0"/>
    <n v="0"/>
    <n v="237"/>
    <n v="237"/>
    <x v="1"/>
    <n v="113"/>
    <n v="80"/>
    <n v="27.61"/>
    <n v="27.61"/>
    <x v="0"/>
    <n v="90"/>
    <n v="90"/>
    <n v="71"/>
    <n v="71"/>
    <x v="0"/>
    <x v="0"/>
  </r>
  <r>
    <n v="1"/>
    <x v="1"/>
    <n v="63"/>
    <x v="2"/>
    <n v="4"/>
    <n v="4"/>
    <s v="Post Graduate"/>
    <x v="3"/>
    <n v="0"/>
    <n v="0"/>
    <n v="0"/>
    <x v="1"/>
    <n v="0"/>
    <x v="0"/>
    <n v="0"/>
    <n v="0"/>
    <n v="0"/>
    <n v="207"/>
    <n v="207"/>
    <x v="1"/>
    <n v="130"/>
    <n v="72"/>
    <n v="26.76"/>
    <n v="26.76"/>
    <x v="0"/>
    <n v="68"/>
    <n v="68"/>
    <n v="81"/>
    <n v="81"/>
    <x v="0"/>
    <x v="0"/>
  </r>
  <r>
    <n v="0"/>
    <x v="0"/>
    <n v="63"/>
    <x v="2"/>
    <n v="4"/>
    <n v="4"/>
    <s v="Post Graduate"/>
    <x v="3"/>
    <n v="0"/>
    <n v="0"/>
    <n v="0"/>
    <x v="1"/>
    <n v="0"/>
    <x v="0"/>
    <n v="0"/>
    <n v="1"/>
    <n v="0"/>
    <n v="263"/>
    <n v="263"/>
    <x v="0"/>
    <n v="150"/>
    <n v="96.5"/>
    <n v="24.85"/>
    <n v="24.85"/>
    <x v="1"/>
    <n v="72"/>
    <n v="72"/>
    <n v="75"/>
    <n v="75"/>
    <x v="0"/>
    <x v="1"/>
  </r>
  <r>
    <n v="0"/>
    <x v="0"/>
    <n v="63"/>
    <x v="2"/>
    <n v="4"/>
    <n v="4"/>
    <s v="Post Graduate"/>
    <x v="3"/>
    <n v="0"/>
    <n v="0"/>
    <n v="0"/>
    <x v="1"/>
    <n v="0"/>
    <x v="0"/>
    <n v="0"/>
    <n v="0"/>
    <n v="0"/>
    <n v="252"/>
    <n v="252"/>
    <x v="0"/>
    <n v="120.5"/>
    <n v="75"/>
    <n v="24.3"/>
    <n v="24.3"/>
    <x v="1"/>
    <n v="78"/>
    <n v="78"/>
    <n v="77"/>
    <n v="77"/>
    <x v="0"/>
    <x v="0"/>
  </r>
  <r>
    <n v="1"/>
    <x v="1"/>
    <n v="63"/>
    <x v="2"/>
    <n v="3"/>
    <n v="3"/>
    <s v="Graduate"/>
    <x v="1"/>
    <n v="1"/>
    <n v="20"/>
    <n v="20"/>
    <x v="0"/>
    <n v="0"/>
    <x v="0"/>
    <n v="0"/>
    <n v="1"/>
    <n v="0"/>
    <n v="269"/>
    <n v="269"/>
    <x v="0"/>
    <n v="180"/>
    <n v="101"/>
    <n v="24.42"/>
    <n v="24.42"/>
    <x v="1"/>
    <n v="72"/>
    <n v="72"/>
    <n v="84"/>
    <n v="84"/>
    <x v="0"/>
    <x v="1"/>
  </r>
  <r>
    <n v="0"/>
    <x v="0"/>
    <n v="63"/>
    <x v="2"/>
    <n v="2"/>
    <n v="2"/>
    <s v="Secondary"/>
    <x v="0"/>
    <n v="0"/>
    <n v="0"/>
    <n v="0"/>
    <x v="1"/>
    <n v="0"/>
    <x v="0"/>
    <n v="0"/>
    <n v="1"/>
    <n v="0"/>
    <n v="264"/>
    <n v="264"/>
    <x v="0"/>
    <n v="176"/>
    <n v="99"/>
    <n v="23.62"/>
    <n v="23.62"/>
    <x v="1"/>
    <n v="65"/>
    <n v="65"/>
    <n v="65"/>
    <n v="65"/>
    <x v="0"/>
    <x v="0"/>
  </r>
  <r>
    <n v="0"/>
    <x v="0"/>
    <n v="63"/>
    <x v="2"/>
    <n v="2"/>
    <n v="2"/>
    <s v="Secondary"/>
    <x v="0"/>
    <n v="0"/>
    <n v="0"/>
    <n v="0"/>
    <x v="1"/>
    <n v="0"/>
    <x v="0"/>
    <n v="0"/>
    <n v="0"/>
    <n v="0"/>
    <n v="207"/>
    <n v="207"/>
    <x v="1"/>
    <n v="127"/>
    <n v="75"/>
    <n v="22.26"/>
    <n v="22.26"/>
    <x v="1"/>
    <n v="70"/>
    <n v="70"/>
    <n v="77"/>
    <n v="77"/>
    <x v="0"/>
    <x v="0"/>
  </r>
  <r>
    <n v="0"/>
    <x v="0"/>
    <n v="63"/>
    <x v="2"/>
    <n v="1"/>
    <n v="1"/>
    <s v="Primary"/>
    <x v="2"/>
    <n v="0"/>
    <n v="0"/>
    <n v="0"/>
    <x v="1"/>
    <n v="0"/>
    <x v="0"/>
    <n v="0"/>
    <n v="0"/>
    <n v="0"/>
    <n v="250"/>
    <n v="250"/>
    <x v="0"/>
    <n v="117.5"/>
    <n v="75"/>
    <n v="25.88"/>
    <n v="25.88"/>
    <x v="0"/>
    <n v="75"/>
    <n v="75"/>
    <n v="91"/>
    <n v="91"/>
    <x v="0"/>
    <x v="0"/>
  </r>
  <r>
    <n v="0"/>
    <x v="0"/>
    <n v="63"/>
    <x v="2"/>
    <n v="4"/>
    <n v="4"/>
    <s v="Post Graduate"/>
    <x v="3"/>
    <n v="0"/>
    <n v="0"/>
    <n v="0"/>
    <x v="1"/>
    <n v="0"/>
    <x v="0"/>
    <n v="0"/>
    <n v="1"/>
    <n v="0"/>
    <n v="210"/>
    <n v="210"/>
    <x v="1"/>
    <n v="148"/>
    <n v="85.5"/>
    <n v="24.01"/>
    <n v="24.01"/>
    <x v="1"/>
    <n v="76"/>
    <n v="76"/>
    <n v="88"/>
    <n v="88"/>
    <x v="0"/>
    <x v="1"/>
  </r>
  <r>
    <n v="1"/>
    <x v="1"/>
    <n v="63"/>
    <x v="2"/>
    <n v="1"/>
    <n v="1"/>
    <s v="Primary"/>
    <x v="2"/>
    <n v="0"/>
    <n v="0"/>
    <n v="0"/>
    <x v="1"/>
    <n v="0"/>
    <x v="0"/>
    <n v="0"/>
    <n v="1"/>
    <n v="0"/>
    <n v="260"/>
    <n v="260"/>
    <x v="0"/>
    <n v="159.5"/>
    <n v="91"/>
    <n v="27.01"/>
    <n v="27.01"/>
    <x v="0"/>
    <n v="68"/>
    <n v="68"/>
    <n v="66"/>
    <n v="66"/>
    <x v="0"/>
    <x v="0"/>
  </r>
  <r>
    <n v="0"/>
    <x v="0"/>
    <n v="63"/>
    <x v="2"/>
    <n v="1"/>
    <n v="1"/>
    <s v="Primary"/>
    <x v="2"/>
    <n v="0"/>
    <n v="0"/>
    <n v="0"/>
    <x v="1"/>
    <n v="0"/>
    <x v="0"/>
    <n v="0"/>
    <n v="0"/>
    <n v="0"/>
    <n v="252"/>
    <n v="252"/>
    <x v="0"/>
    <n v="118"/>
    <n v="84"/>
    <n v="25.31"/>
    <n v="25.31"/>
    <x v="0"/>
    <n v="98"/>
    <n v="98"/>
    <n v="82"/>
    <n v="82"/>
    <x v="0"/>
    <x v="0"/>
  </r>
  <r>
    <n v="1"/>
    <x v="1"/>
    <n v="63"/>
    <x v="2"/>
    <s v="NA"/>
    <n v="1"/>
    <s v="Primary"/>
    <x v="2"/>
    <n v="1"/>
    <n v="10"/>
    <n v="10"/>
    <x v="0"/>
    <n v="0"/>
    <x v="0"/>
    <n v="0"/>
    <n v="0"/>
    <n v="0"/>
    <n v="271"/>
    <n v="271"/>
    <x v="0"/>
    <n v="131"/>
    <n v="73.5"/>
    <n v="30.12"/>
    <n v="30.12"/>
    <x v="2"/>
    <n v="72"/>
    <n v="72"/>
    <n v="107"/>
    <n v="107"/>
    <x v="0"/>
    <x v="1"/>
  </r>
  <r>
    <n v="0"/>
    <x v="0"/>
    <n v="63"/>
    <x v="2"/>
    <n v="3"/>
    <n v="3"/>
    <s v="Graduate"/>
    <x v="1"/>
    <n v="0"/>
    <n v="0"/>
    <n v="0"/>
    <x v="1"/>
    <n v="0"/>
    <x v="0"/>
    <n v="0"/>
    <n v="0"/>
    <n v="0"/>
    <n v="241"/>
    <n v="241"/>
    <x v="0"/>
    <n v="143.5"/>
    <n v="89"/>
    <n v="26.45"/>
    <n v="26.45"/>
    <x v="0"/>
    <n v="69"/>
    <n v="69"/>
    <n v="80"/>
    <n v="80"/>
    <x v="0"/>
    <x v="0"/>
  </r>
  <r>
    <n v="0"/>
    <x v="0"/>
    <n v="63"/>
    <x v="2"/>
    <n v="3"/>
    <n v="3"/>
    <s v="Graduate"/>
    <x v="1"/>
    <n v="1"/>
    <n v="10"/>
    <n v="10"/>
    <x v="0"/>
    <n v="0"/>
    <x v="0"/>
    <n v="0"/>
    <n v="1"/>
    <n v="0"/>
    <n v="236"/>
    <n v="236"/>
    <x v="1"/>
    <n v="189"/>
    <n v="103"/>
    <n v="27.91"/>
    <n v="27.91"/>
    <x v="0"/>
    <n v="60"/>
    <n v="60"/>
    <n v="74"/>
    <n v="74"/>
    <x v="0"/>
    <x v="0"/>
  </r>
  <r>
    <n v="0"/>
    <x v="0"/>
    <n v="63"/>
    <x v="2"/>
    <n v="3"/>
    <n v="3"/>
    <s v="Graduate"/>
    <x v="1"/>
    <n v="0"/>
    <n v="0"/>
    <n v="0"/>
    <x v="1"/>
    <n v="0"/>
    <x v="0"/>
    <n v="0"/>
    <n v="1"/>
    <n v="0"/>
    <n v="315"/>
    <n v="315"/>
    <x v="0"/>
    <n v="156"/>
    <n v="90"/>
    <n v="25.92"/>
    <n v="25.92"/>
    <x v="0"/>
    <n v="64"/>
    <n v="64"/>
    <n v="74"/>
    <n v="74"/>
    <x v="0"/>
    <x v="0"/>
  </r>
  <r>
    <n v="0"/>
    <x v="0"/>
    <n v="63"/>
    <x v="2"/>
    <n v="3"/>
    <n v="3"/>
    <s v="Graduate"/>
    <x v="1"/>
    <n v="0"/>
    <n v="0"/>
    <n v="0"/>
    <x v="1"/>
    <n v="0"/>
    <x v="0"/>
    <n v="0"/>
    <n v="1"/>
    <n v="0"/>
    <n v="306"/>
    <n v="306"/>
    <x v="0"/>
    <n v="177"/>
    <n v="96"/>
    <n v="32.51"/>
    <n v="32.51"/>
    <x v="2"/>
    <n v="90"/>
    <n v="90"/>
    <n v="126"/>
    <n v="126"/>
    <x v="0"/>
    <x v="1"/>
  </r>
  <r>
    <n v="1"/>
    <x v="1"/>
    <n v="63"/>
    <x v="2"/>
    <n v="1"/>
    <n v="1"/>
    <s v="Primary"/>
    <x v="2"/>
    <n v="0"/>
    <n v="0"/>
    <n v="0"/>
    <x v="1"/>
    <n v="0"/>
    <x v="0"/>
    <n v="0"/>
    <n v="0"/>
    <n v="0"/>
    <n v="252"/>
    <n v="252"/>
    <x v="0"/>
    <n v="135.5"/>
    <n v="80"/>
    <n v="28.78"/>
    <n v="28.78"/>
    <x v="0"/>
    <n v="60"/>
    <n v="60"/>
    <n v="79"/>
    <n v="79"/>
    <x v="0"/>
    <x v="0"/>
  </r>
  <r>
    <n v="0"/>
    <x v="0"/>
    <n v="63"/>
    <x v="2"/>
    <n v="1"/>
    <n v="1"/>
    <s v="Primary"/>
    <x v="2"/>
    <n v="0"/>
    <n v="0"/>
    <n v="0"/>
    <x v="1"/>
    <n v="0"/>
    <x v="0"/>
    <n v="0"/>
    <n v="1"/>
    <n v="0"/>
    <n v="226"/>
    <n v="226"/>
    <x v="1"/>
    <n v="172.5"/>
    <n v="98"/>
    <n v="26.47"/>
    <n v="26.47"/>
    <x v="0"/>
    <n v="87"/>
    <n v="87"/>
    <n v="81"/>
    <n v="81"/>
    <x v="0"/>
    <x v="0"/>
  </r>
  <r>
    <n v="1"/>
    <x v="1"/>
    <n v="63"/>
    <x v="2"/>
    <n v="1"/>
    <n v="1"/>
    <s v="Primary"/>
    <x v="2"/>
    <n v="1"/>
    <n v="20"/>
    <n v="20"/>
    <x v="0"/>
    <n v="0"/>
    <x v="0"/>
    <n v="0"/>
    <n v="1"/>
    <n v="0"/>
    <n v="252"/>
    <n v="252"/>
    <x v="0"/>
    <n v="149"/>
    <n v="90"/>
    <n v="33.49"/>
    <n v="33.49"/>
    <x v="2"/>
    <n v="82"/>
    <n v="82"/>
    <n v="83"/>
    <n v="83"/>
    <x v="0"/>
    <x v="0"/>
  </r>
  <r>
    <n v="0"/>
    <x v="0"/>
    <n v="63"/>
    <x v="2"/>
    <n v="2"/>
    <n v="2"/>
    <s v="Secondary"/>
    <x v="0"/>
    <n v="0"/>
    <n v="0"/>
    <n v="0"/>
    <x v="1"/>
    <n v="0"/>
    <x v="0"/>
    <n v="0"/>
    <n v="1"/>
    <n v="0"/>
    <n v="276"/>
    <n v="276"/>
    <x v="0"/>
    <n v="144"/>
    <n v="90"/>
    <n v="21.35"/>
    <n v="21.35"/>
    <x v="1"/>
    <n v="70"/>
    <n v="70"/>
    <n v="78"/>
    <n v="78"/>
    <x v="0"/>
    <x v="0"/>
  </r>
  <r>
    <n v="0"/>
    <x v="0"/>
    <n v="63"/>
    <x v="2"/>
    <n v="2"/>
    <n v="2"/>
    <s v="Secondary"/>
    <x v="0"/>
    <n v="0"/>
    <n v="0"/>
    <n v="0"/>
    <x v="1"/>
    <n v="0"/>
    <x v="0"/>
    <n v="0"/>
    <n v="0"/>
    <n v="0"/>
    <n v="192"/>
    <n v="192"/>
    <x v="1"/>
    <n v="143"/>
    <n v="87"/>
    <n v="23.64"/>
    <n v="23.64"/>
    <x v="1"/>
    <n v="75"/>
    <n v="75"/>
    <n v="100"/>
    <n v="100"/>
    <x v="0"/>
    <x v="0"/>
  </r>
  <r>
    <n v="0"/>
    <x v="0"/>
    <n v="63"/>
    <x v="2"/>
    <n v="4"/>
    <n v="4"/>
    <s v="Post Graduate"/>
    <x v="3"/>
    <n v="0"/>
    <n v="0"/>
    <n v="0"/>
    <x v="1"/>
    <n v="0"/>
    <x v="0"/>
    <n v="0"/>
    <n v="0"/>
    <n v="0"/>
    <n v="232"/>
    <n v="232"/>
    <x v="1"/>
    <n v="126"/>
    <n v="66"/>
    <n v="22.62"/>
    <n v="22.62"/>
    <x v="1"/>
    <n v="55"/>
    <n v="55"/>
    <n v="79"/>
    <n v="79"/>
    <x v="0"/>
    <x v="0"/>
  </r>
  <r>
    <n v="0"/>
    <x v="0"/>
    <n v="63"/>
    <x v="2"/>
    <n v="1"/>
    <n v="1"/>
    <s v="Primary"/>
    <x v="2"/>
    <n v="0"/>
    <n v="0"/>
    <n v="0"/>
    <x v="1"/>
    <n v="0"/>
    <x v="0"/>
    <n v="0"/>
    <n v="0"/>
    <n v="0"/>
    <n v="222"/>
    <n v="222"/>
    <x v="1"/>
    <n v="146"/>
    <n v="78"/>
    <n v="16.920000000000002"/>
    <n v="16.920000000000002"/>
    <x v="3"/>
    <n v="65"/>
    <n v="65"/>
    <n v="74"/>
    <n v="74"/>
    <x v="0"/>
    <x v="1"/>
  </r>
  <r>
    <n v="0"/>
    <x v="0"/>
    <n v="63"/>
    <x v="2"/>
    <n v="2"/>
    <n v="2"/>
    <s v="Secondary"/>
    <x v="0"/>
    <n v="0"/>
    <n v="0"/>
    <n v="0"/>
    <x v="1"/>
    <n v="0"/>
    <x v="0"/>
    <n v="0"/>
    <n v="1"/>
    <n v="0"/>
    <n v="293"/>
    <n v="293"/>
    <x v="0"/>
    <n v="186.5"/>
    <n v="97"/>
    <n v="30.47"/>
    <n v="30.47"/>
    <x v="2"/>
    <n v="60"/>
    <n v="60"/>
    <n v="96"/>
    <n v="96"/>
    <x v="0"/>
    <x v="0"/>
  </r>
  <r>
    <n v="0"/>
    <x v="0"/>
    <n v="63"/>
    <x v="2"/>
    <n v="1"/>
    <n v="1"/>
    <s v="Primary"/>
    <x v="2"/>
    <n v="0"/>
    <n v="0"/>
    <n v="0"/>
    <x v="1"/>
    <n v="0"/>
    <x v="0"/>
    <n v="0"/>
    <n v="0"/>
    <n v="0"/>
    <n v="234"/>
    <n v="234"/>
    <x v="1"/>
    <n v="140"/>
    <n v="93"/>
    <n v="28.69"/>
    <n v="28.69"/>
    <x v="0"/>
    <n v="60"/>
    <n v="60"/>
    <n v="87"/>
    <n v="87"/>
    <x v="0"/>
    <x v="0"/>
  </r>
  <r>
    <n v="1"/>
    <x v="1"/>
    <n v="63"/>
    <x v="2"/>
    <n v="1"/>
    <n v="1"/>
    <s v="Primary"/>
    <x v="2"/>
    <n v="0"/>
    <n v="0"/>
    <n v="0"/>
    <x v="1"/>
    <n v="0"/>
    <x v="0"/>
    <n v="0"/>
    <n v="1"/>
    <n v="0"/>
    <n v="246"/>
    <n v="246"/>
    <x v="0"/>
    <n v="193"/>
    <n v="104"/>
    <n v="23.08"/>
    <n v="23.08"/>
    <x v="1"/>
    <n v="80"/>
    <n v="80"/>
    <n v="73"/>
    <n v="73"/>
    <x v="0"/>
    <x v="0"/>
  </r>
  <r>
    <n v="0"/>
    <x v="0"/>
    <n v="63"/>
    <x v="2"/>
    <n v="1"/>
    <n v="1"/>
    <s v="Primary"/>
    <x v="2"/>
    <n v="0"/>
    <n v="0"/>
    <n v="0"/>
    <x v="1"/>
    <n v="0"/>
    <x v="0"/>
    <n v="0"/>
    <n v="1"/>
    <n v="0"/>
    <n v="320"/>
    <n v="320"/>
    <x v="0"/>
    <n v="155"/>
    <n v="81"/>
    <n v="31.71"/>
    <n v="31.71"/>
    <x v="2"/>
    <n v="64"/>
    <n v="64"/>
    <n v="80"/>
    <n v="80"/>
    <x v="0"/>
    <x v="1"/>
  </r>
  <r>
    <n v="1"/>
    <x v="1"/>
    <n v="63"/>
    <x v="2"/>
    <n v="4"/>
    <n v="4"/>
    <s v="Post Graduate"/>
    <x v="3"/>
    <n v="1"/>
    <n v="20"/>
    <n v="20"/>
    <x v="0"/>
    <n v="0"/>
    <x v="0"/>
    <n v="0"/>
    <n v="1"/>
    <n v="0"/>
    <n v="248"/>
    <n v="248"/>
    <x v="0"/>
    <n v="135"/>
    <n v="80"/>
    <n v="23.06"/>
    <n v="23.06"/>
    <x v="1"/>
    <n v="78"/>
    <n v="78"/>
    <n v="118"/>
    <n v="118"/>
    <x v="0"/>
    <x v="1"/>
  </r>
  <r>
    <n v="0"/>
    <x v="0"/>
    <n v="63"/>
    <x v="2"/>
    <n v="1"/>
    <n v="1"/>
    <s v="Primary"/>
    <x v="2"/>
    <n v="0"/>
    <n v="0"/>
    <n v="0"/>
    <x v="1"/>
    <n v="1"/>
    <x v="1"/>
    <n v="0"/>
    <n v="1"/>
    <n v="0"/>
    <n v="281"/>
    <n v="281"/>
    <x v="0"/>
    <n v="135"/>
    <n v="83"/>
    <n v="24.91"/>
    <n v="24.91"/>
    <x v="1"/>
    <n v="63"/>
    <n v="63"/>
    <n v="68"/>
    <n v="68"/>
    <x v="0"/>
    <x v="0"/>
  </r>
  <r>
    <n v="0"/>
    <x v="0"/>
    <n v="63"/>
    <x v="2"/>
    <n v="2"/>
    <n v="2"/>
    <s v="Secondary"/>
    <x v="0"/>
    <n v="1"/>
    <n v="3"/>
    <n v="3"/>
    <x v="0"/>
    <n v="0"/>
    <x v="0"/>
    <n v="0"/>
    <n v="1"/>
    <n v="0"/>
    <n v="246"/>
    <n v="246"/>
    <x v="0"/>
    <n v="163"/>
    <n v="82"/>
    <n v="24.38"/>
    <n v="24.38"/>
    <x v="1"/>
    <n v="64"/>
    <n v="64"/>
    <n v="108"/>
    <n v="108"/>
    <x v="0"/>
    <x v="0"/>
  </r>
  <r>
    <n v="1"/>
    <x v="1"/>
    <n v="63"/>
    <x v="2"/>
    <n v="2"/>
    <n v="2"/>
    <s v="Secondary"/>
    <x v="0"/>
    <n v="0"/>
    <n v="0"/>
    <n v="0"/>
    <x v="1"/>
    <n v="0"/>
    <x v="0"/>
    <n v="0"/>
    <n v="0"/>
    <n v="0"/>
    <n v="233"/>
    <n v="233"/>
    <x v="1"/>
    <n v="130"/>
    <n v="81"/>
    <n v="25.82"/>
    <n v="25.82"/>
    <x v="0"/>
    <n v="80"/>
    <n v="80"/>
    <n v="81"/>
    <n v="81"/>
    <x v="0"/>
    <x v="0"/>
  </r>
  <r>
    <n v="1"/>
    <x v="1"/>
    <n v="63"/>
    <x v="2"/>
    <n v="1"/>
    <n v="1"/>
    <s v="Primary"/>
    <x v="2"/>
    <n v="1"/>
    <n v="30"/>
    <n v="30"/>
    <x v="0"/>
    <n v="0"/>
    <x v="0"/>
    <n v="0"/>
    <n v="1"/>
    <n v="0"/>
    <n v="225"/>
    <n v="225"/>
    <x v="1"/>
    <n v="146"/>
    <n v="82"/>
    <n v="27.17"/>
    <n v="27.17"/>
    <x v="0"/>
    <n v="70"/>
    <n v="70"/>
    <n v="85"/>
    <n v="85"/>
    <x v="0"/>
    <x v="1"/>
  </r>
  <r>
    <n v="1"/>
    <x v="1"/>
    <n v="63"/>
    <x v="2"/>
    <n v="2"/>
    <n v="2"/>
    <s v="Secondary"/>
    <x v="0"/>
    <n v="1"/>
    <n v="43"/>
    <n v="43"/>
    <x v="0"/>
    <n v="0"/>
    <x v="0"/>
    <n v="0"/>
    <n v="0"/>
    <n v="0"/>
    <n v="230"/>
    <n v="230"/>
    <x v="1"/>
    <n v="127"/>
    <n v="82"/>
    <n v="19.97"/>
    <n v="19.97"/>
    <x v="1"/>
    <n v="70"/>
    <n v="70"/>
    <n v="67"/>
    <n v="67"/>
    <x v="0"/>
    <x v="0"/>
  </r>
  <r>
    <n v="0"/>
    <x v="0"/>
    <n v="63"/>
    <x v="2"/>
    <n v="1"/>
    <n v="1"/>
    <s v="Primary"/>
    <x v="2"/>
    <n v="0"/>
    <n v="0"/>
    <n v="0"/>
    <x v="1"/>
    <n v="0"/>
    <x v="0"/>
    <n v="0"/>
    <n v="0"/>
    <n v="0"/>
    <n v="362"/>
    <n v="362"/>
    <x v="0"/>
    <n v="151.5"/>
    <n v="82.5"/>
    <n v="25.15"/>
    <n v="25.15"/>
    <x v="0"/>
    <n v="102"/>
    <n v="102"/>
    <s v="NA"/>
    <n v="81.96365524402907"/>
    <x v="0"/>
    <x v="0"/>
  </r>
  <r>
    <n v="0"/>
    <x v="0"/>
    <n v="63"/>
    <x v="2"/>
    <n v="1"/>
    <n v="1"/>
    <s v="Primary"/>
    <x v="2"/>
    <n v="0"/>
    <n v="0"/>
    <n v="0"/>
    <x v="1"/>
    <n v="0"/>
    <x v="0"/>
    <n v="0"/>
    <n v="1"/>
    <n v="0"/>
    <n v="237"/>
    <n v="237"/>
    <x v="1"/>
    <n v="155"/>
    <n v="92.5"/>
    <n v="31.5"/>
    <n v="31.5"/>
    <x v="2"/>
    <n v="62"/>
    <n v="62"/>
    <n v="83"/>
    <n v="83"/>
    <x v="0"/>
    <x v="0"/>
  </r>
  <r>
    <n v="0"/>
    <x v="0"/>
    <n v="63"/>
    <x v="2"/>
    <n v="1"/>
    <n v="1"/>
    <s v="Primary"/>
    <x v="2"/>
    <n v="1"/>
    <n v="10"/>
    <n v="10"/>
    <x v="0"/>
    <n v="1"/>
    <x v="1"/>
    <n v="0"/>
    <n v="1"/>
    <n v="0"/>
    <n v="213"/>
    <n v="213"/>
    <x v="1"/>
    <n v="182"/>
    <n v="92"/>
    <n v="26.87"/>
    <n v="26.87"/>
    <x v="0"/>
    <n v="52"/>
    <n v="52"/>
    <n v="63"/>
    <n v="63"/>
    <x v="0"/>
    <x v="0"/>
  </r>
  <r>
    <n v="1"/>
    <x v="1"/>
    <n v="63"/>
    <x v="2"/>
    <n v="1"/>
    <n v="1"/>
    <s v="Primary"/>
    <x v="2"/>
    <n v="1"/>
    <n v="20"/>
    <n v="20"/>
    <x v="0"/>
    <n v="0"/>
    <x v="0"/>
    <n v="1"/>
    <n v="1"/>
    <n v="0"/>
    <n v="213"/>
    <n v="213"/>
    <x v="1"/>
    <n v="163"/>
    <n v="94"/>
    <s v="NA"/>
    <n v="25.80080075811421"/>
    <x v="0"/>
    <n v="76"/>
    <n v="76"/>
    <n v="69"/>
    <n v="69"/>
    <x v="0"/>
    <x v="1"/>
  </r>
  <r>
    <n v="0"/>
    <x v="0"/>
    <n v="63"/>
    <x v="2"/>
    <n v="2"/>
    <n v="2"/>
    <s v="Secondary"/>
    <x v="0"/>
    <n v="0"/>
    <n v="0"/>
    <n v="0"/>
    <x v="1"/>
    <s v="NA"/>
    <x v="0"/>
    <n v="0"/>
    <n v="1"/>
    <n v="0"/>
    <n v="283"/>
    <n v="283"/>
    <x v="0"/>
    <n v="164"/>
    <n v="86"/>
    <n v="24.64"/>
    <n v="24.64"/>
    <x v="1"/>
    <n v="80"/>
    <n v="80"/>
    <n v="82"/>
    <n v="82"/>
    <x v="1"/>
    <x v="0"/>
  </r>
  <r>
    <n v="1"/>
    <x v="1"/>
    <n v="63"/>
    <x v="2"/>
    <s v="NA"/>
    <n v="1"/>
    <s v="Primary"/>
    <x v="2"/>
    <n v="0"/>
    <n v="0"/>
    <n v="0"/>
    <x v="1"/>
    <n v="0"/>
    <x v="0"/>
    <n v="0"/>
    <n v="1"/>
    <n v="0"/>
    <n v="240"/>
    <n v="240"/>
    <x v="1"/>
    <n v="136"/>
    <n v="94"/>
    <n v="29.17"/>
    <n v="29.17"/>
    <x v="0"/>
    <n v="64"/>
    <n v="64"/>
    <n v="57"/>
    <n v="57"/>
    <x v="0"/>
    <x v="0"/>
  </r>
  <r>
    <n v="0"/>
    <x v="0"/>
    <n v="63"/>
    <x v="2"/>
    <n v="2"/>
    <n v="2"/>
    <s v="Secondary"/>
    <x v="0"/>
    <n v="0"/>
    <n v="0"/>
    <n v="0"/>
    <x v="1"/>
    <n v="0"/>
    <x v="0"/>
    <n v="0"/>
    <n v="0"/>
    <n v="0"/>
    <n v="276"/>
    <n v="276"/>
    <x v="0"/>
    <n v="134"/>
    <n v="85"/>
    <n v="23.64"/>
    <n v="23.64"/>
    <x v="1"/>
    <n v="70"/>
    <n v="70"/>
    <n v="86"/>
    <n v="86"/>
    <x v="0"/>
    <x v="0"/>
  </r>
  <r>
    <n v="1"/>
    <x v="1"/>
    <n v="63"/>
    <x v="2"/>
    <n v="1"/>
    <n v="1"/>
    <s v="Primary"/>
    <x v="2"/>
    <n v="0"/>
    <n v="0"/>
    <n v="0"/>
    <x v="1"/>
    <n v="0"/>
    <x v="0"/>
    <n v="0"/>
    <n v="0"/>
    <n v="1"/>
    <n v="229"/>
    <n v="229"/>
    <x v="1"/>
    <n v="109"/>
    <n v="75"/>
    <n v="38.42"/>
    <n v="38.42"/>
    <x v="2"/>
    <n v="110"/>
    <n v="110"/>
    <n v="120"/>
    <n v="120"/>
    <x v="0"/>
    <x v="0"/>
  </r>
  <r>
    <n v="0"/>
    <x v="0"/>
    <n v="63"/>
    <x v="2"/>
    <n v="1"/>
    <n v="1"/>
    <s v="Primary"/>
    <x v="2"/>
    <n v="0"/>
    <n v="0"/>
    <n v="0"/>
    <x v="1"/>
    <n v="0"/>
    <x v="0"/>
    <n v="0"/>
    <n v="1"/>
    <n v="0"/>
    <n v="293"/>
    <n v="293"/>
    <x v="0"/>
    <n v="193"/>
    <n v="63"/>
    <n v="30"/>
    <n v="30"/>
    <x v="2"/>
    <n v="70"/>
    <n v="70"/>
    <n v="76"/>
    <n v="76"/>
    <x v="0"/>
    <x v="1"/>
  </r>
  <r>
    <n v="0"/>
    <x v="0"/>
    <n v="63"/>
    <x v="2"/>
    <n v="1"/>
    <n v="1"/>
    <s v="Primary"/>
    <x v="2"/>
    <n v="0"/>
    <n v="0"/>
    <n v="0"/>
    <x v="1"/>
    <n v="0"/>
    <x v="0"/>
    <n v="0"/>
    <n v="1"/>
    <n v="0"/>
    <n v="235"/>
    <n v="235"/>
    <x v="1"/>
    <n v="131.5"/>
    <n v="91"/>
    <n v="24.69"/>
    <n v="24.69"/>
    <x v="1"/>
    <n v="80"/>
    <n v="80"/>
    <n v="68"/>
    <n v="68"/>
    <x v="0"/>
    <x v="0"/>
  </r>
  <r>
    <n v="0"/>
    <x v="0"/>
    <n v="63"/>
    <x v="2"/>
    <n v="1"/>
    <n v="1"/>
    <s v="Primary"/>
    <x v="2"/>
    <n v="0"/>
    <n v="0"/>
    <n v="0"/>
    <x v="1"/>
    <n v="0"/>
    <x v="0"/>
    <n v="0"/>
    <n v="1"/>
    <n v="0"/>
    <n v="275"/>
    <n v="275"/>
    <x v="0"/>
    <n v="148"/>
    <n v="75"/>
    <n v="28.87"/>
    <n v="28.87"/>
    <x v="0"/>
    <n v="70"/>
    <n v="70"/>
    <n v="83"/>
    <n v="83"/>
    <x v="0"/>
    <x v="1"/>
  </r>
  <r>
    <n v="1"/>
    <x v="1"/>
    <n v="63"/>
    <x v="2"/>
    <n v="1"/>
    <n v="1"/>
    <s v="Primary"/>
    <x v="2"/>
    <n v="0"/>
    <n v="0"/>
    <n v="0"/>
    <x v="1"/>
    <n v="0"/>
    <x v="0"/>
    <n v="0"/>
    <n v="1"/>
    <n v="0"/>
    <n v="235"/>
    <n v="235"/>
    <x v="1"/>
    <n v="199"/>
    <n v="114"/>
    <n v="29.76"/>
    <n v="29.76"/>
    <x v="0"/>
    <n v="95"/>
    <n v="95"/>
    <n v="84"/>
    <n v="84"/>
    <x v="0"/>
    <x v="0"/>
  </r>
  <r>
    <n v="0"/>
    <x v="0"/>
    <n v="63"/>
    <x v="2"/>
    <n v="1"/>
    <n v="1"/>
    <s v="Primary"/>
    <x v="2"/>
    <n v="1"/>
    <n v="9"/>
    <n v="9"/>
    <x v="0"/>
    <n v="0"/>
    <x v="0"/>
    <n v="0"/>
    <n v="1"/>
    <n v="0"/>
    <n v="281"/>
    <n v="281"/>
    <x v="0"/>
    <n v="158.5"/>
    <n v="90"/>
    <n v="20.5"/>
    <n v="20.5"/>
    <x v="1"/>
    <n v="72"/>
    <n v="72"/>
    <s v="NA"/>
    <n v="81.96365524402907"/>
    <x v="0"/>
    <x v="0"/>
  </r>
  <r>
    <n v="1"/>
    <x v="1"/>
    <n v="63"/>
    <x v="2"/>
    <n v="1"/>
    <n v="1"/>
    <s v="Primary"/>
    <x v="2"/>
    <n v="0"/>
    <n v="0"/>
    <n v="0"/>
    <x v="1"/>
    <n v="0"/>
    <x v="0"/>
    <n v="0"/>
    <n v="1"/>
    <n v="0"/>
    <n v="219"/>
    <n v="219"/>
    <x v="1"/>
    <n v="145.5"/>
    <n v="80"/>
    <n v="26.6"/>
    <n v="26.6"/>
    <x v="0"/>
    <n v="72"/>
    <n v="72"/>
    <s v="NA"/>
    <n v="81.96365524402907"/>
    <x v="0"/>
    <x v="1"/>
  </r>
  <r>
    <n v="1"/>
    <x v="1"/>
    <n v="63"/>
    <x v="2"/>
    <n v="3"/>
    <n v="3"/>
    <s v="Graduate"/>
    <x v="1"/>
    <n v="1"/>
    <n v="9"/>
    <n v="9"/>
    <x v="0"/>
    <n v="0"/>
    <x v="0"/>
    <n v="0"/>
    <n v="0"/>
    <n v="0"/>
    <n v="176"/>
    <n v="176"/>
    <x v="1"/>
    <n v="116"/>
    <n v="83"/>
    <n v="27.8"/>
    <n v="27.8"/>
    <x v="0"/>
    <n v="65"/>
    <n v="65"/>
    <n v="75"/>
    <n v="75"/>
    <x v="0"/>
    <x v="0"/>
  </r>
  <r>
    <n v="0"/>
    <x v="0"/>
    <n v="63"/>
    <x v="2"/>
    <n v="3"/>
    <n v="3"/>
    <s v="Graduate"/>
    <x v="1"/>
    <n v="0"/>
    <n v="0"/>
    <n v="0"/>
    <x v="1"/>
    <n v="0"/>
    <x v="0"/>
    <n v="0"/>
    <n v="1"/>
    <n v="0"/>
    <n v="380"/>
    <n v="380"/>
    <x v="0"/>
    <n v="175"/>
    <n v="78"/>
    <n v="20.149999999999999"/>
    <n v="20.149999999999999"/>
    <x v="1"/>
    <n v="68"/>
    <n v="68"/>
    <n v="95"/>
    <n v="95"/>
    <x v="0"/>
    <x v="1"/>
  </r>
  <r>
    <n v="1"/>
    <x v="1"/>
    <n v="63"/>
    <x v="2"/>
    <n v="3"/>
    <n v="3"/>
    <s v="Graduate"/>
    <x v="1"/>
    <n v="0"/>
    <n v="0"/>
    <n v="0"/>
    <x v="1"/>
    <n v="0"/>
    <x v="0"/>
    <n v="0"/>
    <n v="0"/>
    <n v="0"/>
    <n v="210"/>
    <n v="210"/>
    <x v="1"/>
    <n v="124"/>
    <n v="81"/>
    <n v="24.38"/>
    <n v="24.38"/>
    <x v="1"/>
    <n v="67"/>
    <n v="67"/>
    <s v="NA"/>
    <n v="81.96365524402907"/>
    <x v="0"/>
    <x v="0"/>
  </r>
  <r>
    <n v="0"/>
    <x v="0"/>
    <n v="63"/>
    <x v="2"/>
    <n v="1"/>
    <n v="1"/>
    <s v="Primary"/>
    <x v="2"/>
    <n v="0"/>
    <n v="0"/>
    <n v="0"/>
    <x v="1"/>
    <n v="0"/>
    <x v="0"/>
    <n v="0"/>
    <n v="0"/>
    <n v="0"/>
    <n v="229"/>
    <n v="229"/>
    <x v="1"/>
    <n v="120"/>
    <n v="82"/>
    <n v="25.58"/>
    <n v="25.58"/>
    <x v="0"/>
    <n v="78"/>
    <n v="78"/>
    <n v="73"/>
    <n v="73"/>
    <x v="0"/>
    <x v="0"/>
  </r>
  <r>
    <n v="0"/>
    <x v="0"/>
    <n v="63"/>
    <x v="2"/>
    <n v="2"/>
    <n v="2"/>
    <s v="Secondary"/>
    <x v="0"/>
    <n v="1"/>
    <n v="30"/>
    <n v="30"/>
    <x v="0"/>
    <n v="1"/>
    <x v="1"/>
    <n v="0"/>
    <n v="1"/>
    <n v="0"/>
    <n v="213"/>
    <n v="213"/>
    <x v="1"/>
    <n v="172"/>
    <n v="95"/>
    <n v="27.68"/>
    <n v="27.68"/>
    <x v="0"/>
    <n v="50"/>
    <n v="50"/>
    <n v="67"/>
    <n v="67"/>
    <x v="0"/>
    <x v="0"/>
  </r>
  <r>
    <n v="1"/>
    <x v="1"/>
    <n v="63"/>
    <x v="2"/>
    <n v="2"/>
    <n v="2"/>
    <s v="Secondary"/>
    <x v="0"/>
    <n v="1"/>
    <n v="20"/>
    <n v="20"/>
    <x v="0"/>
    <n v="0"/>
    <x v="0"/>
    <n v="0"/>
    <n v="1"/>
    <n v="0"/>
    <n v="264"/>
    <n v="264"/>
    <x v="0"/>
    <n v="129.5"/>
    <n v="82.5"/>
    <n v="24.91"/>
    <n v="24.91"/>
    <x v="1"/>
    <n v="88"/>
    <n v="88"/>
    <n v="83"/>
    <n v="83"/>
    <x v="0"/>
    <x v="0"/>
  </r>
  <r>
    <n v="0"/>
    <x v="0"/>
    <n v="63"/>
    <x v="2"/>
    <s v="NA"/>
    <n v="1"/>
    <s v="Primary"/>
    <x v="2"/>
    <n v="0"/>
    <n v="0"/>
    <n v="0"/>
    <x v="1"/>
    <n v="0"/>
    <x v="0"/>
    <n v="0"/>
    <n v="1"/>
    <n v="0"/>
    <n v="246"/>
    <n v="246"/>
    <x v="0"/>
    <n v="151"/>
    <n v="88"/>
    <n v="25.94"/>
    <n v="25.94"/>
    <x v="0"/>
    <n v="69"/>
    <n v="69"/>
    <n v="73"/>
    <n v="73"/>
    <x v="0"/>
    <x v="0"/>
  </r>
  <r>
    <n v="1"/>
    <x v="1"/>
    <n v="63"/>
    <x v="2"/>
    <n v="1"/>
    <n v="1"/>
    <s v="Primary"/>
    <x v="2"/>
    <n v="0"/>
    <n v="0"/>
    <n v="0"/>
    <x v="1"/>
    <n v="0"/>
    <x v="0"/>
    <n v="0"/>
    <n v="0"/>
    <n v="0"/>
    <n v="270"/>
    <n v="270"/>
    <x v="0"/>
    <n v="118"/>
    <n v="78"/>
    <n v="27.06"/>
    <n v="27.06"/>
    <x v="0"/>
    <n v="72"/>
    <n v="72"/>
    <s v="NA"/>
    <n v="81.96365524402907"/>
    <x v="0"/>
    <x v="0"/>
  </r>
  <r>
    <n v="0"/>
    <x v="0"/>
    <n v="63"/>
    <x v="2"/>
    <n v="1"/>
    <n v="1"/>
    <s v="Primary"/>
    <x v="2"/>
    <n v="0"/>
    <n v="0"/>
    <n v="0"/>
    <x v="1"/>
    <n v="0"/>
    <x v="0"/>
    <n v="0"/>
    <n v="1"/>
    <n v="1"/>
    <n v="150"/>
    <n v="150"/>
    <x v="1"/>
    <n v="152"/>
    <n v="88"/>
    <n v="36.54"/>
    <n v="36.54"/>
    <x v="2"/>
    <n v="72"/>
    <n v="72"/>
    <n v="170"/>
    <n v="170"/>
    <x v="0"/>
    <x v="0"/>
  </r>
  <r>
    <n v="1"/>
    <x v="1"/>
    <n v="63"/>
    <x v="2"/>
    <n v="1"/>
    <n v="1"/>
    <s v="Primary"/>
    <x v="2"/>
    <n v="1"/>
    <n v="10"/>
    <n v="10"/>
    <x v="0"/>
    <n v="0"/>
    <x v="0"/>
    <n v="0"/>
    <n v="1"/>
    <n v="0"/>
    <n v="230"/>
    <n v="230"/>
    <x v="1"/>
    <n v="152.5"/>
    <n v="88"/>
    <n v="24.1"/>
    <n v="24.1"/>
    <x v="1"/>
    <n v="72"/>
    <n v="72"/>
    <n v="74"/>
    <n v="74"/>
    <x v="0"/>
    <x v="0"/>
  </r>
  <r>
    <n v="1"/>
    <x v="1"/>
    <n v="63"/>
    <x v="2"/>
    <n v="3"/>
    <n v="3"/>
    <s v="Graduate"/>
    <x v="1"/>
    <n v="0"/>
    <n v="0"/>
    <n v="0"/>
    <x v="1"/>
    <n v="0"/>
    <x v="0"/>
    <n v="0"/>
    <n v="1"/>
    <n v="0"/>
    <n v="204"/>
    <n v="204"/>
    <x v="1"/>
    <n v="158"/>
    <n v="109"/>
    <n v="28.4"/>
    <n v="28.4"/>
    <x v="0"/>
    <n v="75"/>
    <n v="75"/>
    <n v="71"/>
    <n v="71"/>
    <x v="0"/>
    <x v="0"/>
  </r>
  <r>
    <n v="0"/>
    <x v="0"/>
    <n v="63"/>
    <x v="2"/>
    <n v="1"/>
    <n v="1"/>
    <s v="Primary"/>
    <x v="2"/>
    <n v="0"/>
    <n v="0"/>
    <n v="0"/>
    <x v="1"/>
    <n v="0"/>
    <x v="0"/>
    <n v="0"/>
    <n v="0"/>
    <n v="0"/>
    <n v="246"/>
    <n v="246"/>
    <x v="0"/>
    <n v="116"/>
    <n v="69"/>
    <n v="23.44"/>
    <n v="23.44"/>
    <x v="1"/>
    <n v="65"/>
    <n v="65"/>
    <n v="78"/>
    <n v="78"/>
    <x v="0"/>
    <x v="1"/>
  </r>
  <r>
    <n v="0"/>
    <x v="0"/>
    <n v="63"/>
    <x v="2"/>
    <n v="1"/>
    <n v="1"/>
    <s v="Primary"/>
    <x v="2"/>
    <n v="0"/>
    <n v="0"/>
    <n v="0"/>
    <x v="1"/>
    <n v="0"/>
    <x v="0"/>
    <n v="0"/>
    <n v="0"/>
    <n v="0"/>
    <n v="219"/>
    <n v="219"/>
    <x v="1"/>
    <n v="124"/>
    <n v="75"/>
    <n v="28.57"/>
    <n v="28.57"/>
    <x v="0"/>
    <n v="66"/>
    <n v="66"/>
    <n v="76"/>
    <n v="76"/>
    <x v="0"/>
    <x v="0"/>
  </r>
  <r>
    <n v="0"/>
    <x v="0"/>
    <n v="63"/>
    <x v="2"/>
    <n v="1"/>
    <n v="1"/>
    <s v="Primary"/>
    <x v="2"/>
    <n v="0"/>
    <n v="0"/>
    <n v="0"/>
    <x v="1"/>
    <n v="0"/>
    <x v="0"/>
    <n v="0"/>
    <n v="1"/>
    <n v="0"/>
    <n v="180"/>
    <n v="180"/>
    <x v="1"/>
    <n v="170.5"/>
    <n v="100.5"/>
    <n v="27.69"/>
    <n v="27.69"/>
    <x v="0"/>
    <n v="86"/>
    <n v="86"/>
    <n v="63"/>
    <n v="63"/>
    <x v="0"/>
    <x v="0"/>
  </r>
  <r>
    <n v="0"/>
    <x v="0"/>
    <n v="63"/>
    <x v="2"/>
    <n v="3"/>
    <n v="3"/>
    <s v="Graduate"/>
    <x v="1"/>
    <n v="0"/>
    <n v="0"/>
    <n v="0"/>
    <x v="1"/>
    <n v="0"/>
    <x v="0"/>
    <n v="0"/>
    <n v="0"/>
    <n v="0"/>
    <n v="281"/>
    <n v="281"/>
    <x v="0"/>
    <n v="125"/>
    <n v="80"/>
    <n v="21.35"/>
    <n v="21.35"/>
    <x v="1"/>
    <n v="75"/>
    <n v="75"/>
    <n v="99"/>
    <n v="99"/>
    <x v="0"/>
    <x v="0"/>
  </r>
  <r>
    <n v="1"/>
    <x v="1"/>
    <n v="63"/>
    <x v="2"/>
    <n v="1"/>
    <n v="1"/>
    <s v="Primary"/>
    <x v="2"/>
    <n v="1"/>
    <n v="43"/>
    <n v="43"/>
    <x v="0"/>
    <n v="0"/>
    <x v="0"/>
    <n v="0"/>
    <n v="1"/>
    <n v="0"/>
    <n v="253"/>
    <n v="253"/>
    <x v="0"/>
    <n v="172"/>
    <n v="82"/>
    <n v="24.19"/>
    <n v="24.19"/>
    <x v="1"/>
    <n v="66"/>
    <n v="66"/>
    <n v="137"/>
    <n v="137"/>
    <x v="0"/>
    <x v="1"/>
  </r>
  <r>
    <n v="0"/>
    <x v="0"/>
    <n v="63"/>
    <x v="2"/>
    <n v="1"/>
    <n v="1"/>
    <s v="Primary"/>
    <x v="2"/>
    <n v="0"/>
    <n v="0"/>
    <n v="0"/>
    <x v="1"/>
    <n v="0"/>
    <x v="0"/>
    <n v="0"/>
    <n v="1"/>
    <n v="0"/>
    <n v="179"/>
    <n v="179"/>
    <x v="1"/>
    <n v="149"/>
    <n v="89"/>
    <n v="40.81"/>
    <n v="40.81"/>
    <x v="2"/>
    <n v="92"/>
    <n v="92"/>
    <n v="77"/>
    <n v="77"/>
    <x v="0"/>
    <x v="0"/>
  </r>
  <r>
    <n v="0"/>
    <x v="0"/>
    <n v="63"/>
    <x v="2"/>
    <n v="2"/>
    <n v="2"/>
    <s v="Secondary"/>
    <x v="0"/>
    <n v="1"/>
    <n v="9"/>
    <n v="9"/>
    <x v="0"/>
    <n v="0"/>
    <x v="0"/>
    <n v="0"/>
    <n v="1"/>
    <n v="0"/>
    <n v="219"/>
    <n v="219"/>
    <x v="1"/>
    <n v="162"/>
    <n v="91"/>
    <n v="33.659999999999997"/>
    <n v="33.659999999999997"/>
    <x v="2"/>
    <n v="70"/>
    <n v="70"/>
    <s v="NA"/>
    <n v="81.96365524402907"/>
    <x v="0"/>
    <x v="0"/>
  </r>
  <r>
    <n v="0"/>
    <x v="0"/>
    <n v="63"/>
    <x v="2"/>
    <n v="3"/>
    <n v="3"/>
    <s v="Graduate"/>
    <x v="1"/>
    <n v="0"/>
    <n v="0"/>
    <n v="0"/>
    <x v="1"/>
    <n v="0"/>
    <x v="0"/>
    <n v="0"/>
    <n v="1"/>
    <n v="0"/>
    <n v="241"/>
    <n v="241"/>
    <x v="0"/>
    <n v="153"/>
    <n v="89"/>
    <n v="32.57"/>
    <n v="32.57"/>
    <x v="2"/>
    <n v="65"/>
    <n v="65"/>
    <n v="75"/>
    <n v="75"/>
    <x v="0"/>
    <x v="1"/>
  </r>
  <r>
    <n v="1"/>
    <x v="1"/>
    <n v="63"/>
    <x v="2"/>
    <n v="1"/>
    <n v="1"/>
    <s v="Primary"/>
    <x v="2"/>
    <n v="1"/>
    <n v="6"/>
    <n v="6"/>
    <x v="0"/>
    <n v="0"/>
    <x v="0"/>
    <n v="0"/>
    <n v="1"/>
    <n v="0"/>
    <n v="256"/>
    <n v="256"/>
    <x v="0"/>
    <n v="138.5"/>
    <n v="77.5"/>
    <n v="28.85"/>
    <n v="28.85"/>
    <x v="0"/>
    <n v="80"/>
    <n v="80"/>
    <n v="84"/>
    <n v="84"/>
    <x v="0"/>
    <x v="0"/>
  </r>
  <r>
    <n v="0"/>
    <x v="0"/>
    <n v="63"/>
    <x v="2"/>
    <n v="2"/>
    <n v="2"/>
    <s v="Secondary"/>
    <x v="0"/>
    <n v="0"/>
    <n v="0"/>
    <n v="0"/>
    <x v="1"/>
    <n v="0"/>
    <x v="0"/>
    <n v="0"/>
    <n v="1"/>
    <n v="0"/>
    <n v="184"/>
    <n v="184"/>
    <x v="1"/>
    <n v="196"/>
    <n v="101"/>
    <n v="28.27"/>
    <n v="28.27"/>
    <x v="0"/>
    <n v="86"/>
    <n v="86"/>
    <n v="82"/>
    <n v="82"/>
    <x v="0"/>
    <x v="1"/>
  </r>
  <r>
    <n v="0"/>
    <x v="0"/>
    <n v="63"/>
    <x v="2"/>
    <n v="1"/>
    <n v="1"/>
    <s v="Primary"/>
    <x v="2"/>
    <n v="0"/>
    <n v="0"/>
    <n v="0"/>
    <x v="1"/>
    <n v="0"/>
    <x v="0"/>
    <n v="0"/>
    <n v="1"/>
    <n v="0"/>
    <n v="289"/>
    <n v="289"/>
    <x v="0"/>
    <n v="158"/>
    <n v="80"/>
    <n v="32.659999999999997"/>
    <n v="32.659999999999997"/>
    <x v="2"/>
    <n v="75"/>
    <n v="75"/>
    <n v="84"/>
    <n v="84"/>
    <x v="0"/>
    <x v="0"/>
  </r>
  <r>
    <n v="1"/>
    <x v="1"/>
    <n v="63"/>
    <x v="2"/>
    <n v="1"/>
    <n v="1"/>
    <s v="Primary"/>
    <x v="2"/>
    <n v="0"/>
    <n v="0"/>
    <n v="0"/>
    <x v="1"/>
    <n v="0"/>
    <x v="0"/>
    <n v="0"/>
    <n v="1"/>
    <n v="0"/>
    <n v="248"/>
    <n v="248"/>
    <x v="0"/>
    <n v="130"/>
    <n v="73.5"/>
    <n v="23.5"/>
    <n v="23.5"/>
    <x v="1"/>
    <n v="98"/>
    <n v="98"/>
    <n v="83"/>
    <n v="83"/>
    <x v="0"/>
    <x v="0"/>
  </r>
  <r>
    <n v="0"/>
    <x v="0"/>
    <n v="63"/>
    <x v="2"/>
    <n v="2"/>
    <n v="2"/>
    <s v="Secondary"/>
    <x v="0"/>
    <n v="0"/>
    <n v="0"/>
    <n v="0"/>
    <x v="1"/>
    <n v="0"/>
    <x v="0"/>
    <n v="0"/>
    <n v="0"/>
    <n v="0"/>
    <s v="NA"/>
    <n v="236.69952267303103"/>
    <x v="1"/>
    <n v="127.5"/>
    <n v="80"/>
    <n v="32.78"/>
    <n v="32.78"/>
    <x v="2"/>
    <n v="73"/>
    <n v="73"/>
    <s v="NA"/>
    <n v="81.96365524402907"/>
    <x v="0"/>
    <x v="0"/>
  </r>
  <r>
    <n v="1"/>
    <x v="1"/>
    <n v="63"/>
    <x v="2"/>
    <n v="1"/>
    <n v="1"/>
    <s v="Primary"/>
    <x v="2"/>
    <n v="0"/>
    <n v="0"/>
    <n v="0"/>
    <x v="1"/>
    <n v="0"/>
    <x v="0"/>
    <n v="0"/>
    <n v="1"/>
    <n v="0"/>
    <n v="190"/>
    <n v="190"/>
    <x v="1"/>
    <n v="148"/>
    <n v="90"/>
    <n v="27.13"/>
    <n v="27.13"/>
    <x v="0"/>
    <n v="72"/>
    <n v="72"/>
    <n v="86"/>
    <n v="86"/>
    <x v="0"/>
    <x v="0"/>
  </r>
  <r>
    <n v="0"/>
    <x v="0"/>
    <n v="63"/>
    <x v="2"/>
    <n v="1"/>
    <n v="1"/>
    <s v="Primary"/>
    <x v="2"/>
    <n v="0"/>
    <n v="0"/>
    <n v="0"/>
    <x v="1"/>
    <n v="0"/>
    <x v="0"/>
    <n v="0"/>
    <n v="1"/>
    <n v="0"/>
    <n v="242"/>
    <n v="242"/>
    <x v="0"/>
    <n v="142.5"/>
    <n v="85"/>
    <n v="28.25"/>
    <n v="28.25"/>
    <x v="0"/>
    <n v="75"/>
    <n v="75"/>
    <n v="73"/>
    <n v="73"/>
    <x v="0"/>
    <x v="0"/>
  </r>
  <r>
    <n v="1"/>
    <x v="1"/>
    <n v="63"/>
    <x v="2"/>
    <n v="1"/>
    <n v="1"/>
    <s v="Primary"/>
    <x v="2"/>
    <n v="1"/>
    <n v="20"/>
    <n v="20"/>
    <x v="0"/>
    <n v="0"/>
    <x v="0"/>
    <n v="0"/>
    <n v="1"/>
    <n v="0"/>
    <n v="228"/>
    <n v="228"/>
    <x v="1"/>
    <n v="141"/>
    <n v="82"/>
    <n v="25.84"/>
    <n v="25.84"/>
    <x v="0"/>
    <n v="82"/>
    <n v="82"/>
    <n v="81"/>
    <n v="81"/>
    <x v="0"/>
    <x v="1"/>
  </r>
  <r>
    <n v="0"/>
    <x v="0"/>
    <n v="63"/>
    <x v="2"/>
    <n v="3"/>
    <n v="3"/>
    <s v="Graduate"/>
    <x v="1"/>
    <n v="0"/>
    <n v="0"/>
    <n v="0"/>
    <x v="1"/>
    <n v="0"/>
    <x v="0"/>
    <n v="0"/>
    <n v="0"/>
    <n v="0"/>
    <n v="297"/>
    <n v="297"/>
    <x v="0"/>
    <n v="133.5"/>
    <n v="92"/>
    <n v="25.09"/>
    <n v="25.09"/>
    <x v="0"/>
    <n v="80"/>
    <n v="80"/>
    <n v="74"/>
    <n v="74"/>
    <x v="0"/>
    <x v="0"/>
  </r>
  <r>
    <n v="1"/>
    <x v="1"/>
    <n v="63"/>
    <x v="2"/>
    <n v="3"/>
    <n v="3"/>
    <s v="Graduate"/>
    <x v="1"/>
    <n v="1"/>
    <n v="20"/>
    <n v="20"/>
    <x v="0"/>
    <n v="0"/>
    <x v="0"/>
    <n v="0"/>
    <n v="0"/>
    <n v="0"/>
    <n v="291"/>
    <n v="291"/>
    <x v="0"/>
    <n v="134.5"/>
    <n v="80"/>
    <n v="22.49"/>
    <n v="22.49"/>
    <x v="1"/>
    <n v="77"/>
    <n v="77"/>
    <n v="70"/>
    <n v="70"/>
    <x v="0"/>
    <x v="0"/>
  </r>
  <r>
    <n v="1"/>
    <x v="1"/>
    <n v="63"/>
    <x v="2"/>
    <n v="1"/>
    <n v="1"/>
    <s v="Primary"/>
    <x v="2"/>
    <n v="1"/>
    <n v="9"/>
    <n v="9"/>
    <x v="0"/>
    <n v="0"/>
    <x v="0"/>
    <n v="0"/>
    <n v="0"/>
    <n v="0"/>
    <n v="188"/>
    <n v="188"/>
    <x v="1"/>
    <n v="113"/>
    <n v="82"/>
    <n v="29.01"/>
    <n v="29.01"/>
    <x v="0"/>
    <n v="74"/>
    <n v="74"/>
    <n v="93"/>
    <n v="93"/>
    <x v="0"/>
    <x v="0"/>
  </r>
  <r>
    <n v="0"/>
    <x v="0"/>
    <n v="63"/>
    <x v="2"/>
    <n v="1"/>
    <n v="1"/>
    <s v="Primary"/>
    <x v="2"/>
    <n v="0"/>
    <n v="0"/>
    <n v="0"/>
    <x v="1"/>
    <n v="0"/>
    <x v="0"/>
    <n v="0"/>
    <n v="1"/>
    <n v="0"/>
    <n v="361"/>
    <n v="361"/>
    <x v="0"/>
    <n v="167"/>
    <n v="100"/>
    <n v="27.31"/>
    <n v="27.31"/>
    <x v="0"/>
    <n v="85"/>
    <n v="85"/>
    <n v="103"/>
    <n v="103"/>
    <x v="0"/>
    <x v="1"/>
  </r>
  <r>
    <n v="1"/>
    <x v="1"/>
    <n v="63"/>
    <x v="2"/>
    <n v="1"/>
    <n v="1"/>
    <s v="Primary"/>
    <x v="2"/>
    <n v="1"/>
    <n v="20"/>
    <n v="20"/>
    <x v="0"/>
    <n v="0"/>
    <x v="0"/>
    <n v="0"/>
    <n v="0"/>
    <n v="0"/>
    <n v="197"/>
    <n v="197"/>
    <x v="1"/>
    <n v="113"/>
    <n v="70"/>
    <n v="23.72"/>
    <n v="23.72"/>
    <x v="1"/>
    <n v="67"/>
    <n v="67"/>
    <n v="67"/>
    <n v="67"/>
    <x v="0"/>
    <x v="0"/>
  </r>
  <r>
    <n v="1"/>
    <x v="1"/>
    <n v="63"/>
    <x v="2"/>
    <n v="1"/>
    <n v="1"/>
    <s v="Primary"/>
    <x v="2"/>
    <n v="0"/>
    <n v="0"/>
    <n v="0"/>
    <x v="1"/>
    <n v="0"/>
    <x v="0"/>
    <n v="0"/>
    <n v="1"/>
    <n v="0"/>
    <n v="222"/>
    <n v="222"/>
    <x v="1"/>
    <n v="159"/>
    <n v="90"/>
    <n v="21.9"/>
    <n v="21.9"/>
    <x v="1"/>
    <n v="80"/>
    <n v="80"/>
    <n v="95"/>
    <n v="95"/>
    <x v="0"/>
    <x v="1"/>
  </r>
  <r>
    <n v="0"/>
    <x v="0"/>
    <n v="63"/>
    <x v="2"/>
    <n v="1"/>
    <n v="1"/>
    <s v="Primary"/>
    <x v="2"/>
    <n v="0"/>
    <n v="0"/>
    <n v="0"/>
    <x v="1"/>
    <n v="0"/>
    <x v="0"/>
    <n v="1"/>
    <n v="1"/>
    <n v="0"/>
    <n v="273"/>
    <n v="273"/>
    <x v="0"/>
    <n v="152"/>
    <n v="70"/>
    <n v="19.690000000000001"/>
    <n v="19.690000000000001"/>
    <x v="1"/>
    <n v="80"/>
    <n v="80"/>
    <n v="79"/>
    <n v="79"/>
    <x v="0"/>
    <x v="1"/>
  </r>
  <r>
    <n v="1"/>
    <x v="1"/>
    <n v="63"/>
    <x v="2"/>
    <n v="1"/>
    <n v="1"/>
    <s v="Primary"/>
    <x v="2"/>
    <n v="1"/>
    <n v="15"/>
    <n v="15"/>
    <x v="0"/>
    <n v="0"/>
    <x v="0"/>
    <n v="0"/>
    <n v="1"/>
    <n v="0"/>
    <n v="207"/>
    <n v="207"/>
    <x v="1"/>
    <n v="165"/>
    <n v="100"/>
    <n v="21.33"/>
    <n v="21.33"/>
    <x v="1"/>
    <n v="72"/>
    <n v="72"/>
    <n v="77"/>
    <n v="77"/>
    <x v="0"/>
    <x v="0"/>
  </r>
  <r>
    <n v="0"/>
    <x v="0"/>
    <n v="63"/>
    <x v="2"/>
    <n v="1"/>
    <n v="1"/>
    <s v="Primary"/>
    <x v="2"/>
    <n v="0"/>
    <n v="0"/>
    <n v="0"/>
    <x v="1"/>
    <n v="0"/>
    <x v="0"/>
    <n v="0"/>
    <n v="0"/>
    <n v="0"/>
    <n v="238"/>
    <n v="238"/>
    <x v="1"/>
    <n v="123"/>
    <n v="66"/>
    <n v="28.6"/>
    <n v="28.6"/>
    <x v="0"/>
    <n v="70"/>
    <n v="70"/>
    <n v="98"/>
    <n v="98"/>
    <x v="0"/>
    <x v="0"/>
  </r>
  <r>
    <n v="1"/>
    <x v="1"/>
    <n v="63"/>
    <x v="2"/>
    <n v="1"/>
    <n v="1"/>
    <s v="Primary"/>
    <x v="2"/>
    <n v="0"/>
    <n v="0"/>
    <n v="0"/>
    <x v="1"/>
    <n v="0"/>
    <x v="0"/>
    <n v="0"/>
    <n v="1"/>
    <n v="0"/>
    <n v="178"/>
    <n v="178"/>
    <x v="1"/>
    <n v="155"/>
    <n v="79"/>
    <n v="25.9"/>
    <n v="25.9"/>
    <x v="0"/>
    <n v="55"/>
    <n v="55"/>
    <n v="61"/>
    <n v="61"/>
    <x v="0"/>
    <x v="0"/>
  </r>
  <r>
    <n v="0"/>
    <x v="0"/>
    <n v="63"/>
    <x v="2"/>
    <n v="1"/>
    <n v="1"/>
    <s v="Primary"/>
    <x v="2"/>
    <n v="0"/>
    <n v="0"/>
    <n v="0"/>
    <x v="1"/>
    <n v="0"/>
    <x v="0"/>
    <n v="0"/>
    <n v="0"/>
    <n v="0"/>
    <n v="235"/>
    <n v="235"/>
    <x v="1"/>
    <n v="125"/>
    <n v="79"/>
    <n v="24.38"/>
    <n v="24.38"/>
    <x v="1"/>
    <n v="96"/>
    <n v="96"/>
    <n v="83"/>
    <n v="83"/>
    <x v="0"/>
    <x v="0"/>
  </r>
  <r>
    <n v="1"/>
    <x v="1"/>
    <n v="63"/>
    <x v="2"/>
    <n v="3"/>
    <n v="3"/>
    <s v="Graduate"/>
    <x v="1"/>
    <n v="0"/>
    <n v="0"/>
    <n v="0"/>
    <x v="1"/>
    <n v="0"/>
    <x v="0"/>
    <n v="0"/>
    <n v="1"/>
    <n v="0"/>
    <n v="161"/>
    <n v="161"/>
    <x v="1"/>
    <n v="196"/>
    <n v="102"/>
    <n v="28.43"/>
    <n v="28.43"/>
    <x v="0"/>
    <n v="56"/>
    <n v="56"/>
    <n v="88"/>
    <n v="88"/>
    <x v="0"/>
    <x v="0"/>
  </r>
  <r>
    <n v="1"/>
    <x v="1"/>
    <n v="63"/>
    <x v="2"/>
    <n v="1"/>
    <n v="1"/>
    <s v="Primary"/>
    <x v="2"/>
    <n v="0"/>
    <n v="0"/>
    <n v="0"/>
    <x v="1"/>
    <n v="0"/>
    <x v="0"/>
    <n v="0"/>
    <n v="1"/>
    <n v="1"/>
    <n v="260"/>
    <n v="260"/>
    <x v="0"/>
    <n v="155.5"/>
    <n v="98"/>
    <n v="30.08"/>
    <n v="30.08"/>
    <x v="2"/>
    <n v="67"/>
    <n v="67"/>
    <n v="109"/>
    <n v="109"/>
    <x v="0"/>
    <x v="1"/>
  </r>
  <r>
    <n v="0"/>
    <x v="0"/>
    <n v="63"/>
    <x v="2"/>
    <n v="1"/>
    <n v="1"/>
    <s v="Primary"/>
    <x v="2"/>
    <n v="0"/>
    <n v="0"/>
    <n v="0"/>
    <x v="1"/>
    <n v="0"/>
    <x v="0"/>
    <n v="0"/>
    <n v="1"/>
    <n v="0"/>
    <n v="258"/>
    <n v="258"/>
    <x v="0"/>
    <n v="166"/>
    <n v="92"/>
    <n v="26.91"/>
    <n v="26.91"/>
    <x v="0"/>
    <n v="75"/>
    <n v="75"/>
    <s v="NA"/>
    <n v="81.96365524402907"/>
    <x v="0"/>
    <x v="0"/>
  </r>
  <r>
    <n v="0"/>
    <x v="0"/>
    <n v="63"/>
    <x v="2"/>
    <n v="1"/>
    <n v="1"/>
    <s v="Primary"/>
    <x v="2"/>
    <n v="0"/>
    <n v="0"/>
    <n v="0"/>
    <x v="1"/>
    <n v="0"/>
    <x v="0"/>
    <n v="0"/>
    <n v="0"/>
    <n v="0"/>
    <n v="316"/>
    <n v="316"/>
    <x v="0"/>
    <n v="92.5"/>
    <n v="66.5"/>
    <n v="23.1"/>
    <n v="23.1"/>
    <x v="1"/>
    <n v="62"/>
    <n v="62"/>
    <n v="76"/>
    <n v="76"/>
    <x v="0"/>
    <x v="1"/>
  </r>
  <r>
    <n v="1"/>
    <x v="1"/>
    <n v="63"/>
    <x v="2"/>
    <n v="4"/>
    <n v="4"/>
    <s v="Post Graduate"/>
    <x v="3"/>
    <n v="1"/>
    <n v="43"/>
    <n v="43"/>
    <x v="0"/>
    <n v="0"/>
    <x v="0"/>
    <n v="0"/>
    <n v="0"/>
    <n v="0"/>
    <n v="217"/>
    <n v="217"/>
    <x v="1"/>
    <n v="110"/>
    <n v="68"/>
    <n v="21.99"/>
    <n v="21.99"/>
    <x v="1"/>
    <n v="72"/>
    <n v="72"/>
    <n v="68"/>
    <n v="68"/>
    <x v="0"/>
    <x v="1"/>
  </r>
  <r>
    <n v="1"/>
    <x v="1"/>
    <n v="63"/>
    <x v="2"/>
    <n v="2"/>
    <n v="2"/>
    <s v="Secondary"/>
    <x v="0"/>
    <n v="1"/>
    <n v="6"/>
    <n v="6"/>
    <x v="0"/>
    <n v="0"/>
    <x v="0"/>
    <n v="0"/>
    <n v="0"/>
    <n v="0"/>
    <n v="217"/>
    <n v="217"/>
    <x v="1"/>
    <n v="125"/>
    <n v="71"/>
    <n v="25.91"/>
    <n v="25.91"/>
    <x v="0"/>
    <n v="75"/>
    <n v="75"/>
    <n v="74"/>
    <n v="74"/>
    <x v="0"/>
    <x v="0"/>
  </r>
  <r>
    <n v="1"/>
    <x v="1"/>
    <n v="63"/>
    <x v="2"/>
    <n v="4"/>
    <n v="4"/>
    <s v="Post Graduate"/>
    <x v="3"/>
    <n v="1"/>
    <n v="25"/>
    <n v="25"/>
    <x v="0"/>
    <n v="0"/>
    <x v="0"/>
    <n v="0"/>
    <n v="1"/>
    <n v="0"/>
    <n v="203"/>
    <n v="203"/>
    <x v="1"/>
    <n v="192.5"/>
    <n v="125"/>
    <n v="26.18"/>
    <n v="26.18"/>
    <x v="0"/>
    <n v="80"/>
    <n v="80"/>
    <n v="83"/>
    <n v="83"/>
    <x v="0"/>
    <x v="1"/>
  </r>
  <r>
    <n v="0"/>
    <x v="0"/>
    <n v="63"/>
    <x v="2"/>
    <n v="3"/>
    <n v="3"/>
    <s v="Graduate"/>
    <x v="1"/>
    <n v="0"/>
    <n v="0"/>
    <n v="0"/>
    <x v="1"/>
    <n v="0"/>
    <x v="0"/>
    <n v="0"/>
    <n v="0"/>
    <n v="0"/>
    <n v="253"/>
    <n v="253"/>
    <x v="0"/>
    <n v="128"/>
    <n v="81"/>
    <n v="26.92"/>
    <n v="26.92"/>
    <x v="0"/>
    <n v="80"/>
    <n v="80"/>
    <n v="102"/>
    <n v="102"/>
    <x v="0"/>
    <x v="0"/>
  </r>
  <r>
    <n v="0"/>
    <x v="0"/>
    <n v="63"/>
    <x v="2"/>
    <n v="2"/>
    <n v="2"/>
    <s v="Secondary"/>
    <x v="0"/>
    <n v="0"/>
    <n v="0"/>
    <n v="0"/>
    <x v="1"/>
    <n v="0"/>
    <x v="0"/>
    <n v="0"/>
    <n v="1"/>
    <n v="0"/>
    <n v="250"/>
    <n v="250"/>
    <x v="0"/>
    <n v="190"/>
    <n v="88"/>
    <n v="24.16"/>
    <n v="24.16"/>
    <x v="1"/>
    <n v="94"/>
    <n v="94"/>
    <n v="118"/>
    <n v="118"/>
    <x v="0"/>
    <x v="1"/>
  </r>
  <r>
    <n v="0"/>
    <x v="0"/>
    <n v="63"/>
    <x v="2"/>
    <n v="1"/>
    <n v="1"/>
    <s v="Primary"/>
    <x v="2"/>
    <n v="0"/>
    <n v="0"/>
    <n v="0"/>
    <x v="1"/>
    <n v="0"/>
    <x v="0"/>
    <n v="0"/>
    <n v="1"/>
    <n v="0"/>
    <n v="306"/>
    <n v="306"/>
    <x v="0"/>
    <n v="195"/>
    <n v="105"/>
    <n v="27.96"/>
    <n v="27.96"/>
    <x v="0"/>
    <n v="75"/>
    <n v="75"/>
    <n v="87"/>
    <n v="87"/>
    <x v="0"/>
    <x v="1"/>
  </r>
  <r>
    <n v="0"/>
    <x v="0"/>
    <n v="63"/>
    <x v="2"/>
    <n v="1"/>
    <n v="1"/>
    <s v="Primary"/>
    <x v="2"/>
    <n v="0"/>
    <n v="0"/>
    <n v="0"/>
    <x v="1"/>
    <n v="0"/>
    <x v="0"/>
    <n v="0"/>
    <n v="1"/>
    <n v="0"/>
    <n v="257"/>
    <n v="257"/>
    <x v="0"/>
    <n v="170"/>
    <n v="105"/>
    <n v="25.49"/>
    <n v="25.49"/>
    <x v="0"/>
    <n v="79"/>
    <n v="79"/>
    <n v="87"/>
    <n v="87"/>
    <x v="0"/>
    <x v="0"/>
  </r>
  <r>
    <n v="1"/>
    <x v="1"/>
    <n v="63"/>
    <x v="2"/>
    <n v="1"/>
    <n v="1"/>
    <s v="Primary"/>
    <x v="2"/>
    <n v="1"/>
    <n v="10"/>
    <n v="10"/>
    <x v="0"/>
    <n v="0"/>
    <x v="0"/>
    <n v="0"/>
    <n v="0"/>
    <n v="1"/>
    <n v="240"/>
    <n v="240"/>
    <x v="1"/>
    <n v="146"/>
    <n v="84"/>
    <n v="30.48"/>
    <n v="30.48"/>
    <x v="2"/>
    <n v="75"/>
    <n v="75"/>
    <n v="120"/>
    <n v="120"/>
    <x v="0"/>
    <x v="0"/>
  </r>
  <r>
    <n v="0"/>
    <x v="0"/>
    <n v="63"/>
    <x v="2"/>
    <n v="1"/>
    <n v="1"/>
    <s v="Primary"/>
    <x v="2"/>
    <n v="0"/>
    <n v="0"/>
    <n v="0"/>
    <x v="1"/>
    <n v="0"/>
    <x v="0"/>
    <n v="0"/>
    <n v="1"/>
    <n v="1"/>
    <n v="236"/>
    <n v="236"/>
    <x v="1"/>
    <n v="155"/>
    <n v="82"/>
    <n v="39.17"/>
    <n v="39.17"/>
    <x v="2"/>
    <n v="78"/>
    <n v="78"/>
    <n v="79"/>
    <n v="79"/>
    <x v="0"/>
    <x v="0"/>
  </r>
  <r>
    <n v="0"/>
    <x v="0"/>
    <n v="63"/>
    <x v="2"/>
    <n v="1"/>
    <n v="1"/>
    <s v="Primary"/>
    <x v="2"/>
    <n v="0"/>
    <n v="0"/>
    <n v="0"/>
    <x v="1"/>
    <n v="0"/>
    <x v="0"/>
    <n v="0"/>
    <n v="1"/>
    <n v="0"/>
    <n v="266"/>
    <n v="266"/>
    <x v="0"/>
    <n v="167"/>
    <n v="94"/>
    <n v="25.23"/>
    <n v="25.23"/>
    <x v="0"/>
    <n v="95"/>
    <n v="95"/>
    <n v="94"/>
    <n v="94"/>
    <x v="0"/>
    <x v="0"/>
  </r>
  <r>
    <n v="0"/>
    <x v="0"/>
    <n v="64"/>
    <x v="2"/>
    <n v="1"/>
    <n v="1"/>
    <s v="Primary"/>
    <x v="2"/>
    <n v="0"/>
    <n v="0"/>
    <n v="0"/>
    <x v="1"/>
    <n v="0"/>
    <x v="0"/>
    <n v="0"/>
    <n v="1"/>
    <n v="0"/>
    <n v="282"/>
    <n v="282"/>
    <x v="0"/>
    <n v="158"/>
    <n v="105"/>
    <n v="24.37"/>
    <n v="24.37"/>
    <x v="1"/>
    <n v="75"/>
    <n v="75"/>
    <n v="71"/>
    <n v="71"/>
    <x v="0"/>
    <x v="0"/>
  </r>
  <r>
    <n v="1"/>
    <x v="1"/>
    <n v="64"/>
    <x v="2"/>
    <n v="4"/>
    <n v="4"/>
    <s v="Post Graduate"/>
    <x v="3"/>
    <n v="0"/>
    <n v="0"/>
    <n v="0"/>
    <x v="1"/>
    <n v="0"/>
    <x v="0"/>
    <n v="0"/>
    <n v="0"/>
    <n v="0"/>
    <n v="210"/>
    <n v="210"/>
    <x v="1"/>
    <n v="123"/>
    <n v="81"/>
    <n v="26.49"/>
    <n v="26.49"/>
    <x v="0"/>
    <n v="60"/>
    <n v="60"/>
    <n v="75"/>
    <n v="75"/>
    <x v="0"/>
    <x v="1"/>
  </r>
  <r>
    <n v="0"/>
    <x v="0"/>
    <n v="64"/>
    <x v="2"/>
    <n v="1"/>
    <n v="1"/>
    <s v="Primary"/>
    <x v="2"/>
    <n v="0"/>
    <n v="0"/>
    <n v="0"/>
    <x v="1"/>
    <n v="0"/>
    <x v="0"/>
    <n v="0"/>
    <n v="0"/>
    <n v="0"/>
    <n v="320"/>
    <n v="320"/>
    <x v="0"/>
    <n v="130"/>
    <n v="77"/>
    <n v="26.24"/>
    <n v="26.24"/>
    <x v="0"/>
    <n v="70"/>
    <n v="70"/>
    <n v="74"/>
    <n v="74"/>
    <x v="0"/>
    <x v="0"/>
  </r>
  <r>
    <n v="0"/>
    <x v="0"/>
    <n v="64"/>
    <x v="2"/>
    <n v="1"/>
    <n v="1"/>
    <s v="Primary"/>
    <x v="2"/>
    <n v="0"/>
    <n v="0"/>
    <n v="0"/>
    <x v="1"/>
    <n v="0"/>
    <x v="0"/>
    <n v="0"/>
    <n v="1"/>
    <n v="0"/>
    <n v="273"/>
    <n v="273"/>
    <x v="0"/>
    <n v="155"/>
    <n v="86"/>
    <n v="27.53"/>
    <n v="27.53"/>
    <x v="0"/>
    <n v="100"/>
    <n v="100"/>
    <n v="91"/>
    <n v="91"/>
    <x v="0"/>
    <x v="0"/>
  </r>
  <r>
    <n v="1"/>
    <x v="1"/>
    <n v="64"/>
    <x v="2"/>
    <n v="1"/>
    <n v="1"/>
    <s v="Primary"/>
    <x v="2"/>
    <n v="0"/>
    <n v="0"/>
    <n v="0"/>
    <x v="1"/>
    <n v="0"/>
    <x v="0"/>
    <n v="0"/>
    <n v="1"/>
    <n v="0"/>
    <n v="217"/>
    <n v="217"/>
    <x v="1"/>
    <n v="147"/>
    <n v="87"/>
    <n v="29.73"/>
    <n v="29.73"/>
    <x v="0"/>
    <n v="77"/>
    <n v="77"/>
    <s v="NA"/>
    <n v="81.96365524402907"/>
    <x v="0"/>
    <x v="0"/>
  </r>
  <r>
    <n v="0"/>
    <x v="0"/>
    <n v="64"/>
    <x v="2"/>
    <n v="1"/>
    <n v="1"/>
    <s v="Primary"/>
    <x v="2"/>
    <n v="0"/>
    <n v="0"/>
    <n v="0"/>
    <x v="1"/>
    <n v="0"/>
    <x v="0"/>
    <n v="0"/>
    <n v="1"/>
    <n v="0"/>
    <n v="312"/>
    <n v="312"/>
    <x v="0"/>
    <n v="160"/>
    <n v="82"/>
    <n v="27.59"/>
    <n v="27.59"/>
    <x v="0"/>
    <n v="140"/>
    <n v="140"/>
    <n v="94"/>
    <n v="94"/>
    <x v="0"/>
    <x v="0"/>
  </r>
  <r>
    <n v="0"/>
    <x v="0"/>
    <n v="64"/>
    <x v="2"/>
    <n v="1"/>
    <n v="1"/>
    <s v="Primary"/>
    <x v="2"/>
    <n v="0"/>
    <n v="0"/>
    <n v="0"/>
    <x v="1"/>
    <n v="0"/>
    <x v="0"/>
    <n v="0"/>
    <n v="0"/>
    <n v="0"/>
    <n v="268"/>
    <n v="268"/>
    <x v="0"/>
    <n v="135"/>
    <n v="74"/>
    <n v="30.18"/>
    <n v="30.18"/>
    <x v="2"/>
    <n v="76"/>
    <n v="76"/>
    <n v="83"/>
    <n v="83"/>
    <x v="0"/>
    <x v="0"/>
  </r>
  <r>
    <n v="0"/>
    <x v="0"/>
    <n v="64"/>
    <x v="2"/>
    <n v="1"/>
    <n v="1"/>
    <s v="Primary"/>
    <x v="2"/>
    <n v="0"/>
    <n v="0"/>
    <n v="0"/>
    <x v="1"/>
    <n v="0"/>
    <x v="0"/>
    <n v="0"/>
    <n v="1"/>
    <n v="0"/>
    <n v="253"/>
    <n v="253"/>
    <x v="0"/>
    <n v="295"/>
    <n v="135"/>
    <n v="38.82"/>
    <n v="38.82"/>
    <x v="2"/>
    <n v="92"/>
    <n v="92"/>
    <n v="70"/>
    <n v="70"/>
    <x v="0"/>
    <x v="1"/>
  </r>
  <r>
    <n v="0"/>
    <x v="0"/>
    <n v="64"/>
    <x v="2"/>
    <n v="1"/>
    <n v="1"/>
    <s v="Primary"/>
    <x v="2"/>
    <n v="0"/>
    <n v="0"/>
    <n v="0"/>
    <x v="1"/>
    <n v="0"/>
    <x v="0"/>
    <n v="0"/>
    <n v="0"/>
    <n v="0"/>
    <n v="251"/>
    <n v="251"/>
    <x v="0"/>
    <n v="132"/>
    <n v="82"/>
    <n v="28.87"/>
    <n v="28.87"/>
    <x v="0"/>
    <n v="70"/>
    <n v="70"/>
    <n v="82"/>
    <n v="82"/>
    <x v="0"/>
    <x v="0"/>
  </r>
  <r>
    <n v="1"/>
    <x v="1"/>
    <n v="64"/>
    <x v="2"/>
    <n v="1"/>
    <n v="1"/>
    <s v="Primary"/>
    <x v="2"/>
    <n v="0"/>
    <n v="0"/>
    <n v="0"/>
    <x v="1"/>
    <n v="0"/>
    <x v="0"/>
    <n v="0"/>
    <n v="0"/>
    <n v="0"/>
    <n v="203"/>
    <n v="203"/>
    <x v="1"/>
    <n v="130"/>
    <n v="78"/>
    <n v="28.66"/>
    <n v="28.66"/>
    <x v="0"/>
    <n v="72"/>
    <n v="72"/>
    <n v="70"/>
    <n v="70"/>
    <x v="0"/>
    <x v="0"/>
  </r>
  <r>
    <n v="1"/>
    <x v="1"/>
    <n v="64"/>
    <x v="2"/>
    <n v="2"/>
    <n v="2"/>
    <s v="Secondary"/>
    <x v="0"/>
    <n v="0"/>
    <n v="0"/>
    <n v="0"/>
    <x v="1"/>
    <n v="0"/>
    <x v="0"/>
    <n v="0"/>
    <n v="0"/>
    <n v="0"/>
    <n v="193"/>
    <n v="193"/>
    <x v="1"/>
    <n v="114"/>
    <n v="79"/>
    <n v="16.59"/>
    <n v="16.59"/>
    <x v="3"/>
    <n v="75"/>
    <n v="75"/>
    <n v="64"/>
    <n v="64"/>
    <x v="0"/>
    <x v="0"/>
  </r>
  <r>
    <n v="0"/>
    <x v="0"/>
    <n v="64"/>
    <x v="2"/>
    <n v="2"/>
    <n v="2"/>
    <s v="Secondary"/>
    <x v="0"/>
    <n v="1"/>
    <n v="9"/>
    <n v="9"/>
    <x v="0"/>
    <n v="0"/>
    <x v="0"/>
    <n v="0"/>
    <n v="1"/>
    <n v="0"/>
    <n v="250"/>
    <n v="250"/>
    <x v="0"/>
    <n v="145"/>
    <n v="79"/>
    <n v="25.16"/>
    <n v="25.16"/>
    <x v="0"/>
    <n v="73"/>
    <n v="73"/>
    <n v="86"/>
    <n v="86"/>
    <x v="0"/>
    <x v="0"/>
  </r>
  <r>
    <n v="0"/>
    <x v="0"/>
    <n v="64"/>
    <x v="2"/>
    <s v="NA"/>
    <n v="1"/>
    <s v="Primary"/>
    <x v="2"/>
    <n v="0"/>
    <n v="0"/>
    <n v="0"/>
    <x v="1"/>
    <n v="0"/>
    <x v="0"/>
    <n v="0"/>
    <n v="0"/>
    <n v="0"/>
    <n v="293"/>
    <n v="293"/>
    <x v="0"/>
    <n v="116"/>
    <n v="80"/>
    <n v="26.81"/>
    <n v="26.81"/>
    <x v="0"/>
    <n v="80"/>
    <n v="80"/>
    <n v="87"/>
    <n v="87"/>
    <x v="0"/>
    <x v="1"/>
  </r>
  <r>
    <n v="0"/>
    <x v="0"/>
    <n v="64"/>
    <x v="2"/>
    <n v="1"/>
    <n v="1"/>
    <s v="Primary"/>
    <x v="2"/>
    <n v="0"/>
    <n v="0"/>
    <n v="0"/>
    <x v="1"/>
    <n v="0"/>
    <x v="0"/>
    <n v="0"/>
    <n v="0"/>
    <n v="0"/>
    <n v="295"/>
    <n v="295"/>
    <x v="0"/>
    <n v="127"/>
    <n v="78"/>
    <n v="22.89"/>
    <n v="22.89"/>
    <x v="1"/>
    <n v="67"/>
    <n v="67"/>
    <n v="73"/>
    <n v="73"/>
    <x v="0"/>
    <x v="0"/>
  </r>
  <r>
    <n v="0"/>
    <x v="0"/>
    <n v="64"/>
    <x v="2"/>
    <n v="1"/>
    <n v="1"/>
    <s v="Primary"/>
    <x v="2"/>
    <n v="0"/>
    <n v="0"/>
    <n v="0"/>
    <x v="1"/>
    <n v="0"/>
    <x v="0"/>
    <n v="0"/>
    <n v="1"/>
    <n v="0"/>
    <n v="300"/>
    <n v="300"/>
    <x v="0"/>
    <n v="144"/>
    <n v="80"/>
    <n v="25.81"/>
    <n v="25.81"/>
    <x v="0"/>
    <n v="75"/>
    <n v="75"/>
    <n v="102"/>
    <n v="102"/>
    <x v="0"/>
    <x v="0"/>
  </r>
  <r>
    <n v="1"/>
    <x v="1"/>
    <n v="64"/>
    <x v="2"/>
    <n v="1"/>
    <n v="1"/>
    <s v="Primary"/>
    <x v="2"/>
    <n v="1"/>
    <n v="18"/>
    <n v="18"/>
    <x v="0"/>
    <n v="0"/>
    <x v="0"/>
    <n v="0"/>
    <n v="1"/>
    <n v="0"/>
    <n v="219"/>
    <n v="219"/>
    <x v="1"/>
    <n v="172.5"/>
    <n v="75"/>
    <n v="29.29"/>
    <n v="29.29"/>
    <x v="0"/>
    <s v="NA"/>
    <n v="75.878980891719749"/>
    <n v="91"/>
    <n v="91"/>
    <x v="0"/>
    <x v="1"/>
  </r>
  <r>
    <n v="1"/>
    <x v="1"/>
    <n v="64"/>
    <x v="2"/>
    <n v="1"/>
    <n v="1"/>
    <s v="Primary"/>
    <x v="2"/>
    <n v="0"/>
    <n v="0"/>
    <n v="0"/>
    <x v="1"/>
    <n v="0"/>
    <x v="0"/>
    <n v="0"/>
    <n v="0"/>
    <n v="0"/>
    <n v="271"/>
    <n v="271"/>
    <x v="0"/>
    <n v="134"/>
    <n v="79"/>
    <n v="24.95"/>
    <n v="24.95"/>
    <x v="1"/>
    <n v="106"/>
    <n v="106"/>
    <n v="90"/>
    <n v="90"/>
    <x v="0"/>
    <x v="0"/>
  </r>
  <r>
    <n v="1"/>
    <x v="1"/>
    <n v="64"/>
    <x v="2"/>
    <n v="1"/>
    <n v="1"/>
    <s v="Primary"/>
    <x v="2"/>
    <n v="1"/>
    <n v="8"/>
    <n v="8"/>
    <x v="0"/>
    <n v="0"/>
    <x v="0"/>
    <n v="0"/>
    <n v="0"/>
    <n v="0"/>
    <n v="211"/>
    <n v="211"/>
    <x v="1"/>
    <n v="120"/>
    <n v="75"/>
    <n v="18.7"/>
    <n v="18.7"/>
    <x v="1"/>
    <n v="52"/>
    <n v="52"/>
    <n v="61"/>
    <n v="61"/>
    <x v="0"/>
    <x v="0"/>
  </r>
  <r>
    <n v="0"/>
    <x v="0"/>
    <n v="64"/>
    <x v="2"/>
    <n v="1"/>
    <n v="1"/>
    <s v="Primary"/>
    <x v="2"/>
    <n v="0"/>
    <n v="0"/>
    <n v="0"/>
    <x v="1"/>
    <n v="0"/>
    <x v="0"/>
    <n v="0"/>
    <n v="1"/>
    <n v="0"/>
    <n v="241"/>
    <n v="241"/>
    <x v="0"/>
    <n v="144"/>
    <n v="84"/>
    <n v="30.93"/>
    <n v="30.93"/>
    <x v="2"/>
    <n v="80"/>
    <n v="80"/>
    <n v="66"/>
    <n v="66"/>
    <x v="0"/>
    <x v="0"/>
  </r>
  <r>
    <n v="0"/>
    <x v="0"/>
    <n v="64"/>
    <x v="2"/>
    <n v="2"/>
    <n v="2"/>
    <s v="Secondary"/>
    <x v="0"/>
    <n v="1"/>
    <n v="2"/>
    <n v="2"/>
    <x v="0"/>
    <n v="1"/>
    <x v="1"/>
    <n v="0"/>
    <n v="1"/>
    <n v="0"/>
    <n v="230"/>
    <n v="230"/>
    <x v="1"/>
    <n v="177"/>
    <n v="110"/>
    <n v="28.91"/>
    <n v="28.91"/>
    <x v="0"/>
    <n v="90"/>
    <n v="90"/>
    <n v="113"/>
    <n v="113"/>
    <x v="0"/>
    <x v="0"/>
  </r>
  <r>
    <n v="0"/>
    <x v="0"/>
    <n v="64"/>
    <x v="2"/>
    <n v="2"/>
    <n v="2"/>
    <s v="Secondary"/>
    <x v="0"/>
    <n v="1"/>
    <n v="15"/>
    <n v="15"/>
    <x v="0"/>
    <n v="0"/>
    <x v="0"/>
    <n v="0"/>
    <n v="1"/>
    <n v="0"/>
    <n v="283"/>
    <n v="283"/>
    <x v="0"/>
    <n v="163"/>
    <n v="85"/>
    <n v="21.17"/>
    <n v="21.17"/>
    <x v="1"/>
    <n v="72"/>
    <n v="72"/>
    <n v="68"/>
    <n v="68"/>
    <x v="0"/>
    <x v="0"/>
  </r>
  <r>
    <n v="0"/>
    <x v="0"/>
    <n v="64"/>
    <x v="2"/>
    <n v="1"/>
    <n v="1"/>
    <s v="Primary"/>
    <x v="2"/>
    <n v="0"/>
    <n v="0"/>
    <n v="0"/>
    <x v="1"/>
    <n v="0"/>
    <x v="0"/>
    <n v="0"/>
    <n v="1"/>
    <n v="0"/>
    <n v="255"/>
    <n v="255"/>
    <x v="0"/>
    <n v="153"/>
    <n v="75"/>
    <n v="23.39"/>
    <n v="23.39"/>
    <x v="1"/>
    <n v="60"/>
    <n v="60"/>
    <n v="74"/>
    <n v="74"/>
    <x v="0"/>
    <x v="1"/>
  </r>
  <r>
    <n v="0"/>
    <x v="0"/>
    <n v="64"/>
    <x v="2"/>
    <n v="1"/>
    <n v="1"/>
    <s v="Primary"/>
    <x v="2"/>
    <n v="0"/>
    <n v="0"/>
    <n v="0"/>
    <x v="1"/>
    <n v="0"/>
    <x v="0"/>
    <n v="0"/>
    <n v="1"/>
    <n v="0"/>
    <n v="194"/>
    <n v="194"/>
    <x v="1"/>
    <n v="176"/>
    <n v="97"/>
    <n v="33.19"/>
    <n v="33.19"/>
    <x v="2"/>
    <n v="68"/>
    <n v="68"/>
    <n v="89"/>
    <n v="89"/>
    <x v="0"/>
    <x v="1"/>
  </r>
  <r>
    <n v="1"/>
    <x v="1"/>
    <n v="64"/>
    <x v="2"/>
    <n v="4"/>
    <n v="4"/>
    <s v="Post Graduate"/>
    <x v="3"/>
    <n v="0"/>
    <n v="0"/>
    <n v="0"/>
    <x v="1"/>
    <n v="0"/>
    <x v="0"/>
    <n v="0"/>
    <n v="0"/>
    <n v="0"/>
    <n v="273"/>
    <n v="273"/>
    <x v="0"/>
    <n v="123"/>
    <n v="73.5"/>
    <n v="22.3"/>
    <n v="22.3"/>
    <x v="1"/>
    <n v="75"/>
    <n v="75"/>
    <n v="84"/>
    <n v="84"/>
    <x v="0"/>
    <x v="1"/>
  </r>
  <r>
    <n v="1"/>
    <x v="1"/>
    <n v="64"/>
    <x v="2"/>
    <n v="2"/>
    <n v="2"/>
    <s v="Secondary"/>
    <x v="0"/>
    <n v="1"/>
    <n v="40"/>
    <n v="40"/>
    <x v="0"/>
    <n v="0"/>
    <x v="0"/>
    <n v="0"/>
    <n v="0"/>
    <n v="0"/>
    <n v="206"/>
    <n v="206"/>
    <x v="1"/>
    <n v="126"/>
    <n v="82"/>
    <n v="24.35"/>
    <n v="24.35"/>
    <x v="1"/>
    <n v="95"/>
    <n v="95"/>
    <n v="97"/>
    <n v="97"/>
    <x v="0"/>
    <x v="0"/>
  </r>
  <r>
    <n v="1"/>
    <x v="1"/>
    <n v="64"/>
    <x v="2"/>
    <n v="1"/>
    <n v="1"/>
    <s v="Primary"/>
    <x v="2"/>
    <n v="0"/>
    <n v="0"/>
    <n v="0"/>
    <x v="1"/>
    <n v="0"/>
    <x v="0"/>
    <n v="0"/>
    <n v="1"/>
    <n v="0"/>
    <n v="205"/>
    <n v="205"/>
    <x v="1"/>
    <n v="140"/>
    <n v="80"/>
    <n v="32.520000000000003"/>
    <n v="32.520000000000003"/>
    <x v="2"/>
    <n v="58"/>
    <n v="58"/>
    <s v="NA"/>
    <n v="81.96365524402907"/>
    <x v="0"/>
    <x v="0"/>
  </r>
  <r>
    <n v="1"/>
    <x v="1"/>
    <n v="64"/>
    <x v="2"/>
    <s v="NA"/>
    <n v="1"/>
    <s v="Primary"/>
    <x v="2"/>
    <n v="0"/>
    <n v="0"/>
    <n v="0"/>
    <x v="1"/>
    <n v="0"/>
    <x v="0"/>
    <n v="0"/>
    <n v="0"/>
    <n v="0"/>
    <n v="239"/>
    <n v="239"/>
    <x v="1"/>
    <n v="110"/>
    <n v="70"/>
    <n v="23.98"/>
    <n v="23.98"/>
    <x v="1"/>
    <n v="65"/>
    <n v="65"/>
    <n v="83"/>
    <n v="83"/>
    <x v="0"/>
    <x v="0"/>
  </r>
  <r>
    <n v="0"/>
    <x v="0"/>
    <n v="64"/>
    <x v="2"/>
    <n v="1"/>
    <n v="1"/>
    <s v="Primary"/>
    <x v="2"/>
    <n v="0"/>
    <n v="0"/>
    <n v="0"/>
    <x v="1"/>
    <n v="0"/>
    <x v="0"/>
    <n v="0"/>
    <n v="1"/>
    <n v="0"/>
    <n v="239"/>
    <n v="239"/>
    <x v="1"/>
    <n v="132"/>
    <n v="75"/>
    <n v="20.67"/>
    <n v="20.67"/>
    <x v="1"/>
    <n v="86"/>
    <n v="86"/>
    <n v="80"/>
    <n v="80"/>
    <x v="0"/>
    <x v="0"/>
  </r>
  <r>
    <n v="0"/>
    <x v="0"/>
    <n v="64"/>
    <x v="2"/>
    <n v="1"/>
    <n v="1"/>
    <s v="Primary"/>
    <x v="2"/>
    <n v="0"/>
    <n v="0"/>
    <n v="0"/>
    <x v="1"/>
    <n v="0"/>
    <x v="0"/>
    <n v="0"/>
    <n v="1"/>
    <n v="0"/>
    <n v="205"/>
    <n v="205"/>
    <x v="1"/>
    <n v="139"/>
    <n v="92"/>
    <n v="32.32"/>
    <n v="32.32"/>
    <x v="2"/>
    <n v="70"/>
    <n v="70"/>
    <n v="90"/>
    <n v="90"/>
    <x v="0"/>
    <x v="0"/>
  </r>
  <r>
    <n v="0"/>
    <x v="0"/>
    <n v="64"/>
    <x v="2"/>
    <n v="1"/>
    <n v="1"/>
    <s v="Primary"/>
    <x v="2"/>
    <n v="0"/>
    <n v="0"/>
    <n v="0"/>
    <x v="1"/>
    <n v="0"/>
    <x v="0"/>
    <n v="0"/>
    <n v="1"/>
    <n v="0"/>
    <n v="263"/>
    <n v="263"/>
    <x v="0"/>
    <n v="206"/>
    <n v="104"/>
    <n v="26.15"/>
    <n v="26.15"/>
    <x v="0"/>
    <n v="70"/>
    <n v="70"/>
    <n v="91"/>
    <n v="91"/>
    <x v="0"/>
    <x v="0"/>
  </r>
  <r>
    <n v="1"/>
    <x v="1"/>
    <n v="64"/>
    <x v="2"/>
    <n v="4"/>
    <n v="4"/>
    <s v="Post Graduate"/>
    <x v="3"/>
    <n v="0"/>
    <n v="0"/>
    <n v="0"/>
    <x v="1"/>
    <n v="0"/>
    <x v="0"/>
    <n v="0"/>
    <n v="0"/>
    <n v="1"/>
    <n v="251"/>
    <n v="251"/>
    <x v="0"/>
    <n v="133"/>
    <n v="72.5"/>
    <n v="24.28"/>
    <n v="24.28"/>
    <x v="1"/>
    <n v="65"/>
    <n v="65"/>
    <n v="86"/>
    <n v="86"/>
    <x v="0"/>
    <x v="0"/>
  </r>
  <r>
    <n v="0"/>
    <x v="0"/>
    <n v="64"/>
    <x v="2"/>
    <n v="2"/>
    <n v="2"/>
    <s v="Secondary"/>
    <x v="0"/>
    <n v="0"/>
    <n v="0"/>
    <n v="0"/>
    <x v="1"/>
    <n v="0"/>
    <x v="0"/>
    <n v="0"/>
    <n v="1"/>
    <n v="0"/>
    <n v="293"/>
    <n v="293"/>
    <x v="0"/>
    <n v="140"/>
    <n v="84"/>
    <n v="34.56"/>
    <n v="34.56"/>
    <x v="2"/>
    <n v="83"/>
    <n v="83"/>
    <n v="76"/>
    <n v="76"/>
    <x v="0"/>
    <x v="0"/>
  </r>
  <r>
    <n v="0"/>
    <x v="0"/>
    <n v="64"/>
    <x v="2"/>
    <n v="1"/>
    <n v="1"/>
    <s v="Primary"/>
    <x v="2"/>
    <n v="0"/>
    <n v="0"/>
    <n v="0"/>
    <x v="1"/>
    <n v="0"/>
    <x v="0"/>
    <n v="0"/>
    <n v="0"/>
    <n v="0"/>
    <n v="262"/>
    <n v="262"/>
    <x v="0"/>
    <n v="122"/>
    <n v="87.5"/>
    <n v="24.77"/>
    <n v="24.77"/>
    <x v="1"/>
    <n v="95"/>
    <n v="95"/>
    <n v="85"/>
    <n v="85"/>
    <x v="0"/>
    <x v="0"/>
  </r>
  <r>
    <n v="0"/>
    <x v="0"/>
    <n v="64"/>
    <x v="2"/>
    <n v="3"/>
    <n v="3"/>
    <s v="Graduate"/>
    <x v="1"/>
    <n v="0"/>
    <n v="0"/>
    <n v="0"/>
    <x v="1"/>
    <n v="0"/>
    <x v="0"/>
    <n v="0"/>
    <n v="1"/>
    <n v="0"/>
    <n v="196"/>
    <n v="196"/>
    <x v="1"/>
    <n v="150"/>
    <n v="84"/>
    <n v="25.98"/>
    <n v="25.98"/>
    <x v="0"/>
    <n v="60"/>
    <n v="60"/>
    <n v="93"/>
    <n v="93"/>
    <x v="0"/>
    <x v="0"/>
  </r>
  <r>
    <n v="0"/>
    <x v="0"/>
    <n v="64"/>
    <x v="2"/>
    <n v="2"/>
    <n v="2"/>
    <s v="Secondary"/>
    <x v="0"/>
    <n v="1"/>
    <n v="3"/>
    <n v="3"/>
    <x v="0"/>
    <n v="0"/>
    <x v="0"/>
    <n v="0"/>
    <n v="0"/>
    <n v="0"/>
    <n v="221"/>
    <n v="221"/>
    <x v="1"/>
    <n v="148"/>
    <n v="85"/>
    <s v="NA"/>
    <n v="25.80080075811421"/>
    <x v="0"/>
    <n v="90"/>
    <n v="90"/>
    <n v="80"/>
    <n v="80"/>
    <x v="0"/>
    <x v="1"/>
  </r>
  <r>
    <n v="0"/>
    <x v="0"/>
    <n v="64"/>
    <x v="2"/>
    <n v="2"/>
    <n v="2"/>
    <s v="Secondary"/>
    <x v="0"/>
    <n v="1"/>
    <n v="3"/>
    <n v="3"/>
    <x v="0"/>
    <n v="0"/>
    <x v="0"/>
    <n v="0"/>
    <n v="0"/>
    <n v="0"/>
    <n v="315"/>
    <n v="315"/>
    <x v="0"/>
    <n v="135"/>
    <n v="80"/>
    <n v="25.23"/>
    <n v="25.23"/>
    <x v="0"/>
    <n v="103"/>
    <n v="103"/>
    <n v="89"/>
    <n v="89"/>
    <x v="0"/>
    <x v="0"/>
  </r>
  <r>
    <n v="0"/>
    <x v="0"/>
    <n v="64"/>
    <x v="2"/>
    <n v="1"/>
    <n v="1"/>
    <s v="Primary"/>
    <x v="2"/>
    <n v="0"/>
    <n v="0"/>
    <n v="0"/>
    <x v="1"/>
    <n v="0"/>
    <x v="0"/>
    <n v="0"/>
    <n v="0"/>
    <n v="0"/>
    <n v="280"/>
    <n v="280"/>
    <x v="0"/>
    <n v="127"/>
    <n v="77"/>
    <n v="30.39"/>
    <n v="30.39"/>
    <x v="2"/>
    <n v="56"/>
    <n v="56"/>
    <n v="78"/>
    <n v="78"/>
    <x v="0"/>
    <x v="1"/>
  </r>
  <r>
    <n v="1"/>
    <x v="1"/>
    <n v="64"/>
    <x v="2"/>
    <n v="1"/>
    <n v="1"/>
    <s v="Primary"/>
    <x v="2"/>
    <n v="1"/>
    <n v="30"/>
    <n v="30"/>
    <x v="0"/>
    <n v="0"/>
    <x v="0"/>
    <n v="0"/>
    <n v="1"/>
    <n v="0"/>
    <n v="253"/>
    <n v="253"/>
    <x v="0"/>
    <n v="178"/>
    <n v="106"/>
    <n v="24.68"/>
    <n v="24.68"/>
    <x v="1"/>
    <n v="100"/>
    <n v="100"/>
    <n v="76"/>
    <n v="76"/>
    <x v="0"/>
    <x v="1"/>
  </r>
  <r>
    <n v="1"/>
    <x v="1"/>
    <n v="64"/>
    <x v="2"/>
    <n v="1"/>
    <n v="1"/>
    <s v="Primary"/>
    <x v="2"/>
    <n v="1"/>
    <n v="20"/>
    <n v="20"/>
    <x v="0"/>
    <n v="0"/>
    <x v="0"/>
    <n v="0"/>
    <n v="0"/>
    <n v="0"/>
    <n v="214"/>
    <n v="214"/>
    <x v="1"/>
    <n v="116"/>
    <n v="77"/>
    <n v="22.48"/>
    <n v="22.48"/>
    <x v="1"/>
    <n v="72"/>
    <n v="72"/>
    <n v="71"/>
    <n v="71"/>
    <x v="0"/>
    <x v="0"/>
  </r>
  <r>
    <n v="1"/>
    <x v="1"/>
    <n v="64"/>
    <x v="2"/>
    <s v="NA"/>
    <n v="1"/>
    <s v="Primary"/>
    <x v="2"/>
    <n v="0"/>
    <n v="0"/>
    <n v="0"/>
    <x v="1"/>
    <n v="0"/>
    <x v="0"/>
    <n v="0"/>
    <n v="1"/>
    <n v="0"/>
    <n v="186"/>
    <n v="186"/>
    <x v="1"/>
    <n v="144"/>
    <n v="76"/>
    <n v="31.23"/>
    <n v="31.23"/>
    <x v="2"/>
    <n v="62"/>
    <n v="62"/>
    <n v="93"/>
    <n v="93"/>
    <x v="0"/>
    <x v="0"/>
  </r>
  <r>
    <n v="1"/>
    <x v="1"/>
    <n v="64"/>
    <x v="2"/>
    <n v="1"/>
    <n v="1"/>
    <s v="Primary"/>
    <x v="2"/>
    <n v="1"/>
    <n v="30"/>
    <n v="30"/>
    <x v="0"/>
    <n v="0"/>
    <x v="0"/>
    <n v="0"/>
    <n v="0"/>
    <n v="0"/>
    <n v="185"/>
    <n v="185"/>
    <x v="1"/>
    <n v="114"/>
    <n v="73"/>
    <n v="34.53"/>
    <n v="34.53"/>
    <x v="2"/>
    <n v="75"/>
    <n v="75"/>
    <n v="97"/>
    <n v="97"/>
    <x v="0"/>
    <x v="0"/>
  </r>
  <r>
    <n v="1"/>
    <x v="1"/>
    <n v="64"/>
    <x v="2"/>
    <n v="2"/>
    <n v="2"/>
    <s v="Secondary"/>
    <x v="0"/>
    <n v="0"/>
    <n v="0"/>
    <n v="0"/>
    <x v="1"/>
    <n v="0"/>
    <x v="0"/>
    <n v="0"/>
    <n v="0"/>
    <n v="0"/>
    <n v="210"/>
    <n v="210"/>
    <x v="1"/>
    <n v="120"/>
    <n v="68"/>
    <n v="24.77"/>
    <n v="24.77"/>
    <x v="1"/>
    <n v="80"/>
    <n v="80"/>
    <n v="77"/>
    <n v="77"/>
    <x v="0"/>
    <x v="1"/>
  </r>
  <r>
    <n v="0"/>
    <x v="0"/>
    <n v="64"/>
    <x v="2"/>
    <n v="1"/>
    <n v="1"/>
    <s v="Primary"/>
    <x v="2"/>
    <n v="1"/>
    <n v="8"/>
    <n v="8"/>
    <x v="0"/>
    <n v="0"/>
    <x v="0"/>
    <n v="0"/>
    <n v="1"/>
    <n v="0"/>
    <n v="317"/>
    <n v="317"/>
    <x v="0"/>
    <n v="182.5"/>
    <n v="88"/>
    <n v="20.52"/>
    <n v="20.52"/>
    <x v="1"/>
    <n v="75"/>
    <n v="75"/>
    <n v="79"/>
    <n v="79"/>
    <x v="0"/>
    <x v="0"/>
  </r>
  <r>
    <n v="1"/>
    <x v="1"/>
    <n v="64"/>
    <x v="2"/>
    <n v="2"/>
    <n v="2"/>
    <s v="Secondary"/>
    <x v="0"/>
    <n v="0"/>
    <n v="0"/>
    <n v="0"/>
    <x v="1"/>
    <n v="0"/>
    <x v="0"/>
    <n v="0"/>
    <n v="0"/>
    <n v="0"/>
    <n v="217"/>
    <n v="217"/>
    <x v="1"/>
    <n v="129"/>
    <n v="61"/>
    <n v="21.85"/>
    <n v="21.85"/>
    <x v="1"/>
    <n v="68"/>
    <n v="68"/>
    <n v="81"/>
    <n v="81"/>
    <x v="0"/>
    <x v="0"/>
  </r>
  <r>
    <n v="0"/>
    <x v="0"/>
    <n v="64"/>
    <x v="2"/>
    <n v="4"/>
    <n v="4"/>
    <s v="Post Graduate"/>
    <x v="3"/>
    <n v="0"/>
    <n v="0"/>
    <n v="0"/>
    <x v="1"/>
    <n v="0"/>
    <x v="0"/>
    <n v="0"/>
    <n v="0"/>
    <n v="0"/>
    <n v="239"/>
    <n v="239"/>
    <x v="1"/>
    <n v="114.5"/>
    <n v="65.5"/>
    <n v="19.34"/>
    <n v="19.34"/>
    <x v="1"/>
    <n v="64"/>
    <n v="64"/>
    <s v="NA"/>
    <n v="81.96365524402907"/>
    <x v="0"/>
    <x v="0"/>
  </r>
  <r>
    <n v="0"/>
    <x v="0"/>
    <n v="64"/>
    <x v="2"/>
    <n v="2"/>
    <n v="2"/>
    <s v="Secondary"/>
    <x v="0"/>
    <n v="0"/>
    <n v="0"/>
    <n v="0"/>
    <x v="1"/>
    <n v="0"/>
    <x v="0"/>
    <n v="0"/>
    <n v="1"/>
    <n v="0"/>
    <n v="254"/>
    <n v="254"/>
    <x v="0"/>
    <n v="196"/>
    <n v="119"/>
    <n v="35.22"/>
    <n v="35.22"/>
    <x v="2"/>
    <n v="100"/>
    <n v="100"/>
    <n v="79"/>
    <n v="79"/>
    <x v="0"/>
    <x v="0"/>
  </r>
  <r>
    <n v="0"/>
    <x v="0"/>
    <n v="64"/>
    <x v="2"/>
    <n v="1"/>
    <n v="1"/>
    <s v="Primary"/>
    <x v="2"/>
    <n v="0"/>
    <n v="0"/>
    <n v="0"/>
    <x v="1"/>
    <n v="0"/>
    <x v="0"/>
    <n v="0"/>
    <n v="1"/>
    <n v="0"/>
    <n v="372"/>
    <n v="372"/>
    <x v="0"/>
    <n v="169"/>
    <n v="85"/>
    <n v="26.01"/>
    <n v="26.01"/>
    <x v="0"/>
    <n v="75"/>
    <n v="75"/>
    <n v="79"/>
    <n v="79"/>
    <x v="0"/>
    <x v="1"/>
  </r>
  <r>
    <n v="0"/>
    <x v="0"/>
    <n v="64"/>
    <x v="2"/>
    <s v="NA"/>
    <n v="1"/>
    <s v="Primary"/>
    <x v="2"/>
    <n v="0"/>
    <n v="0"/>
    <n v="0"/>
    <x v="1"/>
    <n v="0"/>
    <x v="0"/>
    <n v="0"/>
    <n v="1"/>
    <n v="0"/>
    <n v="218"/>
    <n v="218"/>
    <x v="1"/>
    <n v="185"/>
    <n v="97.5"/>
    <n v="21.82"/>
    <n v="21.82"/>
    <x v="1"/>
    <n v="85"/>
    <n v="85"/>
    <n v="79"/>
    <n v="79"/>
    <x v="0"/>
    <x v="0"/>
  </r>
  <r>
    <n v="0"/>
    <x v="0"/>
    <n v="64"/>
    <x v="2"/>
    <n v="4"/>
    <n v="4"/>
    <s v="Post Graduate"/>
    <x v="3"/>
    <n v="1"/>
    <n v="9"/>
    <n v="9"/>
    <x v="0"/>
    <n v="0"/>
    <x v="0"/>
    <n v="0"/>
    <n v="0"/>
    <n v="0"/>
    <n v="342"/>
    <n v="342"/>
    <x v="0"/>
    <n v="128"/>
    <n v="71"/>
    <n v="20.52"/>
    <n v="20.52"/>
    <x v="1"/>
    <n v="60"/>
    <n v="60"/>
    <n v="62"/>
    <n v="62"/>
    <x v="0"/>
    <x v="0"/>
  </r>
  <r>
    <n v="1"/>
    <x v="1"/>
    <n v="64"/>
    <x v="2"/>
    <n v="2"/>
    <n v="2"/>
    <s v="Secondary"/>
    <x v="0"/>
    <n v="0"/>
    <n v="0"/>
    <n v="0"/>
    <x v="1"/>
    <n v="0"/>
    <x v="0"/>
    <n v="0"/>
    <n v="0"/>
    <n v="0"/>
    <n v="283"/>
    <n v="283"/>
    <x v="0"/>
    <n v="113"/>
    <n v="77"/>
    <n v="22.73"/>
    <n v="22.73"/>
    <x v="1"/>
    <n v="75"/>
    <n v="75"/>
    <n v="67"/>
    <n v="67"/>
    <x v="0"/>
    <x v="0"/>
  </r>
  <r>
    <n v="1"/>
    <x v="1"/>
    <n v="64"/>
    <x v="2"/>
    <n v="1"/>
    <n v="1"/>
    <s v="Primary"/>
    <x v="2"/>
    <n v="1"/>
    <n v="20"/>
    <n v="20"/>
    <x v="0"/>
    <n v="0"/>
    <x v="0"/>
    <n v="0"/>
    <n v="0"/>
    <n v="0"/>
    <n v="232"/>
    <n v="232"/>
    <x v="1"/>
    <n v="113.5"/>
    <n v="70"/>
    <n v="21.03"/>
    <n v="21.03"/>
    <x v="1"/>
    <n v="80"/>
    <n v="80"/>
    <n v="58"/>
    <n v="58"/>
    <x v="0"/>
    <x v="1"/>
  </r>
  <r>
    <n v="0"/>
    <x v="0"/>
    <n v="64"/>
    <x v="2"/>
    <n v="1"/>
    <n v="1"/>
    <s v="Primary"/>
    <x v="2"/>
    <n v="0"/>
    <n v="0"/>
    <n v="0"/>
    <x v="1"/>
    <n v="0"/>
    <x v="0"/>
    <n v="0"/>
    <n v="1"/>
    <n v="0"/>
    <n v="229"/>
    <n v="229"/>
    <x v="1"/>
    <n v="145"/>
    <n v="85"/>
    <n v="29.67"/>
    <n v="29.67"/>
    <x v="0"/>
    <n v="70"/>
    <n v="70"/>
    <n v="74"/>
    <n v="74"/>
    <x v="0"/>
    <x v="1"/>
  </r>
  <r>
    <n v="1"/>
    <x v="1"/>
    <n v="64"/>
    <x v="2"/>
    <n v="1"/>
    <n v="1"/>
    <s v="Primary"/>
    <x v="2"/>
    <n v="0"/>
    <n v="0"/>
    <n v="0"/>
    <x v="1"/>
    <n v="0"/>
    <x v="0"/>
    <n v="0"/>
    <n v="0"/>
    <n v="0"/>
    <n v="296"/>
    <n v="296"/>
    <x v="0"/>
    <n v="142"/>
    <n v="84"/>
    <n v="27.01"/>
    <n v="27.01"/>
    <x v="0"/>
    <n v="52"/>
    <n v="52"/>
    <n v="83"/>
    <n v="83"/>
    <x v="0"/>
    <x v="1"/>
  </r>
  <r>
    <n v="1"/>
    <x v="1"/>
    <n v="64"/>
    <x v="2"/>
    <n v="3"/>
    <n v="3"/>
    <s v="Graduate"/>
    <x v="1"/>
    <n v="0"/>
    <n v="0"/>
    <n v="0"/>
    <x v="1"/>
    <n v="0"/>
    <x v="0"/>
    <n v="0"/>
    <n v="0"/>
    <n v="0"/>
    <n v="229"/>
    <n v="229"/>
    <x v="1"/>
    <n v="105"/>
    <n v="72.5"/>
    <n v="26.76"/>
    <n v="26.76"/>
    <x v="0"/>
    <n v="84"/>
    <n v="84"/>
    <n v="77"/>
    <n v="77"/>
    <x v="0"/>
    <x v="0"/>
  </r>
  <r>
    <n v="0"/>
    <x v="0"/>
    <n v="64"/>
    <x v="2"/>
    <n v="3"/>
    <n v="3"/>
    <s v="Graduate"/>
    <x v="1"/>
    <n v="0"/>
    <n v="0"/>
    <n v="0"/>
    <x v="1"/>
    <n v="0"/>
    <x v="0"/>
    <n v="0"/>
    <n v="0"/>
    <n v="0"/>
    <n v="330"/>
    <n v="330"/>
    <x v="0"/>
    <n v="108"/>
    <n v="82"/>
    <n v="23.09"/>
    <n v="23.09"/>
    <x v="1"/>
    <n v="85"/>
    <n v="85"/>
    <n v="80"/>
    <n v="80"/>
    <x v="0"/>
    <x v="0"/>
  </r>
  <r>
    <n v="1"/>
    <x v="1"/>
    <n v="64"/>
    <x v="2"/>
    <n v="1"/>
    <n v="1"/>
    <s v="Primary"/>
    <x v="2"/>
    <n v="1"/>
    <n v="15"/>
    <n v="15"/>
    <x v="0"/>
    <n v="1"/>
    <x v="1"/>
    <n v="0"/>
    <n v="1"/>
    <n v="0"/>
    <n v="266"/>
    <n v="266"/>
    <x v="0"/>
    <n v="191"/>
    <n v="81"/>
    <n v="25.33"/>
    <n v="25.33"/>
    <x v="0"/>
    <n v="95"/>
    <n v="95"/>
    <n v="78"/>
    <n v="78"/>
    <x v="0"/>
    <x v="1"/>
  </r>
  <r>
    <n v="0"/>
    <x v="0"/>
    <n v="64"/>
    <x v="2"/>
    <n v="1"/>
    <n v="1"/>
    <s v="Primary"/>
    <x v="2"/>
    <n v="0"/>
    <n v="0"/>
    <n v="0"/>
    <x v="1"/>
    <n v="0"/>
    <x v="0"/>
    <n v="0"/>
    <n v="1"/>
    <n v="0"/>
    <n v="173"/>
    <n v="173"/>
    <x v="1"/>
    <n v="144"/>
    <n v="82"/>
    <n v="22.54"/>
    <n v="22.54"/>
    <x v="1"/>
    <n v="60"/>
    <n v="60"/>
    <n v="77"/>
    <n v="77"/>
    <x v="0"/>
    <x v="1"/>
  </r>
  <r>
    <n v="1"/>
    <x v="1"/>
    <n v="64"/>
    <x v="2"/>
    <n v="1"/>
    <n v="1"/>
    <s v="Primary"/>
    <x v="2"/>
    <n v="0"/>
    <n v="0"/>
    <n v="0"/>
    <x v="1"/>
    <n v="0"/>
    <x v="0"/>
    <n v="0"/>
    <n v="0"/>
    <n v="0"/>
    <n v="203"/>
    <n v="203"/>
    <x v="1"/>
    <n v="120"/>
    <n v="73"/>
    <n v="27.08"/>
    <n v="27.08"/>
    <x v="0"/>
    <n v="92"/>
    <n v="92"/>
    <n v="81"/>
    <n v="81"/>
    <x v="0"/>
    <x v="0"/>
  </r>
  <r>
    <n v="1"/>
    <x v="1"/>
    <n v="64"/>
    <x v="2"/>
    <n v="2"/>
    <n v="2"/>
    <s v="Secondary"/>
    <x v="0"/>
    <n v="0"/>
    <n v="0"/>
    <n v="0"/>
    <x v="1"/>
    <n v="0"/>
    <x v="0"/>
    <n v="0"/>
    <n v="0"/>
    <n v="0"/>
    <n v="287"/>
    <n v="287"/>
    <x v="0"/>
    <n v="121"/>
    <n v="70"/>
    <n v="23.64"/>
    <n v="23.64"/>
    <x v="1"/>
    <n v="68"/>
    <n v="68"/>
    <n v="75"/>
    <n v="75"/>
    <x v="0"/>
    <x v="0"/>
  </r>
  <r>
    <n v="0"/>
    <x v="0"/>
    <n v="64"/>
    <x v="2"/>
    <n v="1"/>
    <n v="1"/>
    <s v="Primary"/>
    <x v="2"/>
    <n v="0"/>
    <n v="0"/>
    <n v="0"/>
    <x v="1"/>
    <n v="0"/>
    <x v="0"/>
    <n v="0"/>
    <n v="0"/>
    <n v="0"/>
    <n v="213"/>
    <n v="213"/>
    <x v="1"/>
    <n v="133"/>
    <n v="77.5"/>
    <n v="35.619999999999997"/>
    <n v="35.619999999999997"/>
    <x v="2"/>
    <n v="77"/>
    <n v="77"/>
    <n v="74"/>
    <n v="74"/>
    <x v="0"/>
    <x v="0"/>
  </r>
  <r>
    <n v="0"/>
    <x v="0"/>
    <n v="64"/>
    <x v="2"/>
    <n v="2"/>
    <n v="2"/>
    <s v="Secondary"/>
    <x v="0"/>
    <n v="0"/>
    <n v="0"/>
    <n v="0"/>
    <x v="1"/>
    <n v="0"/>
    <x v="0"/>
    <n v="0"/>
    <n v="1"/>
    <n v="0"/>
    <n v="246"/>
    <n v="246"/>
    <x v="0"/>
    <n v="190"/>
    <n v="100"/>
    <n v="32.68"/>
    <n v="32.68"/>
    <x v="2"/>
    <n v="92"/>
    <n v="92"/>
    <n v="102"/>
    <n v="102"/>
    <x v="0"/>
    <x v="0"/>
  </r>
  <r>
    <n v="0"/>
    <x v="0"/>
    <n v="64"/>
    <x v="2"/>
    <n v="1"/>
    <n v="1"/>
    <s v="Primary"/>
    <x v="2"/>
    <n v="1"/>
    <n v="30"/>
    <n v="30"/>
    <x v="0"/>
    <n v="0"/>
    <x v="0"/>
    <n v="0"/>
    <n v="0"/>
    <n v="0"/>
    <n v="241"/>
    <n v="241"/>
    <x v="0"/>
    <n v="136.5"/>
    <n v="85"/>
    <n v="26.42"/>
    <n v="26.42"/>
    <x v="0"/>
    <n v="70"/>
    <n v="70"/>
    <n v="77"/>
    <n v="77"/>
    <x v="0"/>
    <x v="0"/>
  </r>
  <r>
    <n v="0"/>
    <x v="0"/>
    <n v="64"/>
    <x v="2"/>
    <n v="3"/>
    <n v="3"/>
    <s v="Graduate"/>
    <x v="1"/>
    <n v="0"/>
    <n v="0"/>
    <n v="0"/>
    <x v="1"/>
    <n v="0"/>
    <x v="0"/>
    <n v="0"/>
    <n v="0"/>
    <n v="0"/>
    <n v="270"/>
    <n v="270"/>
    <x v="0"/>
    <n v="146"/>
    <n v="106"/>
    <n v="27.96"/>
    <n v="27.96"/>
    <x v="0"/>
    <n v="75"/>
    <n v="75"/>
    <n v="77"/>
    <n v="77"/>
    <x v="0"/>
    <x v="0"/>
  </r>
  <r>
    <n v="1"/>
    <x v="1"/>
    <n v="64"/>
    <x v="2"/>
    <n v="3"/>
    <n v="3"/>
    <s v="Graduate"/>
    <x v="1"/>
    <n v="0"/>
    <n v="0"/>
    <n v="0"/>
    <x v="1"/>
    <n v="0"/>
    <x v="0"/>
    <n v="0"/>
    <n v="0"/>
    <n v="0"/>
    <n v="227"/>
    <n v="227"/>
    <x v="1"/>
    <n v="102"/>
    <n v="61"/>
    <n v="23.29"/>
    <n v="23.29"/>
    <x v="1"/>
    <n v="70"/>
    <n v="70"/>
    <n v="81"/>
    <n v="81"/>
    <x v="0"/>
    <x v="0"/>
  </r>
  <r>
    <n v="1"/>
    <x v="1"/>
    <n v="64"/>
    <x v="2"/>
    <n v="1"/>
    <n v="1"/>
    <s v="Primary"/>
    <x v="2"/>
    <n v="0"/>
    <n v="0"/>
    <n v="0"/>
    <x v="1"/>
    <n v="0"/>
    <x v="0"/>
    <n v="0"/>
    <n v="1"/>
    <n v="0"/>
    <n v="189"/>
    <n v="189"/>
    <x v="1"/>
    <n v="156"/>
    <n v="69"/>
    <n v="21.68"/>
    <n v="21.68"/>
    <x v="1"/>
    <n v="66"/>
    <n v="66"/>
    <n v="100"/>
    <n v="100"/>
    <x v="0"/>
    <x v="0"/>
  </r>
  <r>
    <n v="0"/>
    <x v="0"/>
    <n v="64"/>
    <x v="2"/>
    <n v="2"/>
    <n v="2"/>
    <s v="Secondary"/>
    <x v="0"/>
    <n v="0"/>
    <n v="0"/>
    <n v="0"/>
    <x v="1"/>
    <n v="0"/>
    <x v="0"/>
    <n v="0"/>
    <n v="1"/>
    <n v="0"/>
    <n v="266"/>
    <n v="266"/>
    <x v="0"/>
    <n v="166"/>
    <n v="90"/>
    <n v="23.33"/>
    <n v="23.33"/>
    <x v="1"/>
    <n v="82"/>
    <n v="82"/>
    <n v="87"/>
    <n v="87"/>
    <x v="0"/>
    <x v="0"/>
  </r>
  <r>
    <n v="0"/>
    <x v="0"/>
    <n v="64"/>
    <x v="2"/>
    <s v="NA"/>
    <n v="1"/>
    <s v="Primary"/>
    <x v="2"/>
    <n v="0"/>
    <n v="0"/>
    <n v="0"/>
    <x v="1"/>
    <n v="0"/>
    <x v="0"/>
    <n v="0"/>
    <n v="1"/>
    <n v="0"/>
    <n v="270"/>
    <n v="270"/>
    <x v="0"/>
    <n v="155"/>
    <n v="93"/>
    <n v="35.35"/>
    <n v="35.35"/>
    <x v="2"/>
    <n v="83"/>
    <n v="83"/>
    <n v="112"/>
    <n v="112"/>
    <x v="0"/>
    <x v="0"/>
  </r>
  <r>
    <n v="1"/>
    <x v="1"/>
    <n v="64"/>
    <x v="2"/>
    <n v="1"/>
    <n v="1"/>
    <s v="Primary"/>
    <x v="2"/>
    <n v="1"/>
    <n v="20"/>
    <n v="20"/>
    <x v="0"/>
    <n v="0"/>
    <x v="0"/>
    <n v="0"/>
    <n v="1"/>
    <n v="0"/>
    <n v="214"/>
    <n v="214"/>
    <x v="1"/>
    <n v="155"/>
    <n v="99"/>
    <n v="22.46"/>
    <n v="22.46"/>
    <x v="1"/>
    <n v="75"/>
    <n v="75"/>
    <n v="82"/>
    <n v="82"/>
    <x v="0"/>
    <x v="0"/>
  </r>
  <r>
    <n v="0"/>
    <x v="0"/>
    <n v="64"/>
    <x v="2"/>
    <n v="1"/>
    <n v="1"/>
    <s v="Primary"/>
    <x v="2"/>
    <n v="1"/>
    <n v="10"/>
    <n v="10"/>
    <x v="0"/>
    <n v="0"/>
    <x v="0"/>
    <n v="0"/>
    <n v="1"/>
    <n v="0"/>
    <s v="NA"/>
    <n v="236.69952267303103"/>
    <x v="1"/>
    <n v="160"/>
    <n v="98"/>
    <n v="26.24"/>
    <n v="26.24"/>
    <x v="0"/>
    <n v="85"/>
    <n v="85"/>
    <s v="NA"/>
    <n v="81.96365524402907"/>
    <x v="0"/>
    <x v="0"/>
  </r>
  <r>
    <n v="1"/>
    <x v="1"/>
    <n v="64"/>
    <x v="2"/>
    <n v="1"/>
    <n v="1"/>
    <s v="Primary"/>
    <x v="2"/>
    <n v="0"/>
    <n v="0"/>
    <n v="0"/>
    <x v="1"/>
    <n v="0"/>
    <x v="0"/>
    <n v="0"/>
    <n v="1"/>
    <n v="0"/>
    <n v="188"/>
    <n v="188"/>
    <x v="1"/>
    <n v="191"/>
    <n v="106"/>
    <n v="37.380000000000003"/>
    <n v="37.380000000000003"/>
    <x v="2"/>
    <n v="82"/>
    <n v="82"/>
    <n v="84"/>
    <n v="84"/>
    <x v="0"/>
    <x v="0"/>
  </r>
  <r>
    <n v="0"/>
    <x v="0"/>
    <n v="64"/>
    <x v="2"/>
    <n v="1"/>
    <n v="1"/>
    <s v="Primary"/>
    <x v="2"/>
    <n v="0"/>
    <n v="0"/>
    <n v="0"/>
    <x v="1"/>
    <n v="0"/>
    <x v="0"/>
    <n v="0"/>
    <n v="1"/>
    <n v="0"/>
    <n v="262"/>
    <n v="262"/>
    <x v="0"/>
    <n v="160"/>
    <n v="82"/>
    <n v="21.11"/>
    <n v="21.11"/>
    <x v="1"/>
    <n v="108"/>
    <n v="108"/>
    <n v="90"/>
    <n v="90"/>
    <x v="0"/>
    <x v="0"/>
  </r>
  <r>
    <n v="0"/>
    <x v="0"/>
    <n v="64"/>
    <x v="2"/>
    <n v="1"/>
    <n v="1"/>
    <s v="Primary"/>
    <x v="2"/>
    <n v="0"/>
    <n v="0"/>
    <n v="0"/>
    <x v="1"/>
    <n v="0"/>
    <x v="0"/>
    <n v="0"/>
    <n v="1"/>
    <n v="0"/>
    <n v="255"/>
    <n v="255"/>
    <x v="0"/>
    <n v="147.5"/>
    <n v="93"/>
    <n v="25.16"/>
    <n v="25.16"/>
    <x v="0"/>
    <n v="95"/>
    <n v="95"/>
    <n v="84"/>
    <n v="84"/>
    <x v="0"/>
    <x v="0"/>
  </r>
  <r>
    <n v="1"/>
    <x v="1"/>
    <n v="64"/>
    <x v="2"/>
    <n v="1"/>
    <n v="1"/>
    <s v="Primary"/>
    <x v="2"/>
    <n v="1"/>
    <n v="20"/>
    <n v="20"/>
    <x v="0"/>
    <n v="0"/>
    <x v="0"/>
    <n v="0"/>
    <n v="0"/>
    <n v="0"/>
    <n v="259"/>
    <n v="259"/>
    <x v="0"/>
    <n v="115"/>
    <n v="81"/>
    <n v="20.09"/>
    <n v="20.09"/>
    <x v="1"/>
    <n v="72"/>
    <n v="72"/>
    <n v="78"/>
    <n v="78"/>
    <x v="0"/>
    <x v="0"/>
  </r>
  <r>
    <n v="0"/>
    <x v="0"/>
    <n v="64"/>
    <x v="2"/>
    <n v="1"/>
    <n v="1"/>
    <s v="Primary"/>
    <x v="2"/>
    <n v="0"/>
    <n v="0"/>
    <n v="0"/>
    <x v="1"/>
    <n v="0"/>
    <x v="0"/>
    <n v="0"/>
    <n v="0"/>
    <n v="0"/>
    <n v="305"/>
    <n v="305"/>
    <x v="0"/>
    <n v="126.5"/>
    <n v="67"/>
    <n v="25.77"/>
    <n v="25.77"/>
    <x v="0"/>
    <n v="67"/>
    <n v="67"/>
    <n v="66"/>
    <n v="66"/>
    <x v="0"/>
    <x v="1"/>
  </r>
  <r>
    <n v="1"/>
    <x v="1"/>
    <n v="64"/>
    <x v="2"/>
    <n v="2"/>
    <n v="2"/>
    <s v="Secondary"/>
    <x v="0"/>
    <n v="1"/>
    <n v="20"/>
    <n v="20"/>
    <x v="0"/>
    <n v="0"/>
    <x v="0"/>
    <n v="0"/>
    <n v="0"/>
    <n v="0"/>
    <n v="225"/>
    <n v="225"/>
    <x v="1"/>
    <n v="120"/>
    <n v="75"/>
    <s v="NA"/>
    <n v="25.80080075811421"/>
    <x v="0"/>
    <n v="70"/>
    <n v="70"/>
    <n v="94"/>
    <n v="94"/>
    <x v="0"/>
    <x v="0"/>
  </r>
  <r>
    <n v="1"/>
    <x v="1"/>
    <n v="64"/>
    <x v="2"/>
    <n v="1"/>
    <n v="1"/>
    <s v="Primary"/>
    <x v="2"/>
    <n v="0"/>
    <n v="0"/>
    <n v="0"/>
    <x v="1"/>
    <n v="0"/>
    <x v="0"/>
    <n v="0"/>
    <n v="0"/>
    <n v="0"/>
    <n v="185"/>
    <n v="185"/>
    <x v="1"/>
    <n v="94"/>
    <n v="62"/>
    <n v="26.11"/>
    <n v="26.11"/>
    <x v="0"/>
    <n v="70"/>
    <n v="70"/>
    <n v="68"/>
    <n v="68"/>
    <x v="0"/>
    <x v="0"/>
  </r>
  <r>
    <n v="0"/>
    <x v="0"/>
    <n v="64"/>
    <x v="2"/>
    <n v="2"/>
    <n v="2"/>
    <s v="Secondary"/>
    <x v="0"/>
    <n v="0"/>
    <n v="0"/>
    <n v="0"/>
    <x v="1"/>
    <n v="0"/>
    <x v="0"/>
    <n v="0"/>
    <n v="0"/>
    <n v="0"/>
    <n v="280"/>
    <n v="280"/>
    <x v="0"/>
    <n v="133"/>
    <n v="82"/>
    <n v="28.92"/>
    <n v="28.92"/>
    <x v="0"/>
    <n v="54"/>
    <n v="54"/>
    <n v="65"/>
    <n v="65"/>
    <x v="0"/>
    <x v="0"/>
  </r>
  <r>
    <n v="0"/>
    <x v="0"/>
    <n v="64"/>
    <x v="2"/>
    <n v="1"/>
    <n v="1"/>
    <s v="Primary"/>
    <x v="2"/>
    <n v="1"/>
    <n v="20"/>
    <n v="20"/>
    <x v="0"/>
    <n v="0"/>
    <x v="0"/>
    <n v="0"/>
    <n v="0"/>
    <n v="0"/>
    <n v="272"/>
    <n v="272"/>
    <x v="0"/>
    <n v="131"/>
    <n v="85"/>
    <n v="21.82"/>
    <n v="21.82"/>
    <x v="1"/>
    <n v="70"/>
    <n v="70"/>
    <n v="80"/>
    <n v="80"/>
    <x v="0"/>
    <x v="0"/>
  </r>
  <r>
    <n v="0"/>
    <x v="0"/>
    <n v="64"/>
    <x v="2"/>
    <n v="4"/>
    <n v="4"/>
    <s v="Post Graduate"/>
    <x v="3"/>
    <n v="1"/>
    <n v="6"/>
    <n v="6"/>
    <x v="0"/>
    <n v="0"/>
    <x v="0"/>
    <n v="0"/>
    <n v="1"/>
    <n v="0"/>
    <n v="239"/>
    <n v="239"/>
    <x v="1"/>
    <n v="143"/>
    <n v="84"/>
    <n v="20.059999999999999"/>
    <n v="20.059999999999999"/>
    <x v="1"/>
    <n v="55"/>
    <n v="55"/>
    <n v="73"/>
    <n v="73"/>
    <x v="0"/>
    <x v="0"/>
  </r>
  <r>
    <n v="0"/>
    <x v="0"/>
    <n v="64"/>
    <x v="2"/>
    <n v="1"/>
    <n v="1"/>
    <s v="Primary"/>
    <x v="2"/>
    <n v="0"/>
    <n v="0"/>
    <n v="0"/>
    <x v="1"/>
    <n v="1"/>
    <x v="1"/>
    <n v="0"/>
    <n v="1"/>
    <n v="0"/>
    <n v="285"/>
    <n v="285"/>
    <x v="0"/>
    <n v="160"/>
    <n v="87"/>
    <n v="29.97"/>
    <n v="29.97"/>
    <x v="0"/>
    <n v="65"/>
    <n v="65"/>
    <n v="87"/>
    <n v="87"/>
    <x v="0"/>
    <x v="0"/>
  </r>
  <r>
    <n v="0"/>
    <x v="0"/>
    <n v="64"/>
    <x v="2"/>
    <n v="2"/>
    <n v="2"/>
    <s v="Secondary"/>
    <x v="0"/>
    <n v="1"/>
    <n v="15"/>
    <n v="15"/>
    <x v="0"/>
    <n v="0"/>
    <x v="0"/>
    <n v="0"/>
    <n v="1"/>
    <n v="0"/>
    <n v="259"/>
    <n v="259"/>
    <x v="0"/>
    <n v="195"/>
    <n v="110"/>
    <n v="20.09"/>
    <n v="20.09"/>
    <x v="1"/>
    <n v="75"/>
    <n v="75"/>
    <n v="63"/>
    <n v="63"/>
    <x v="0"/>
    <x v="1"/>
  </r>
  <r>
    <n v="0"/>
    <x v="0"/>
    <n v="64"/>
    <x v="2"/>
    <n v="2"/>
    <n v="2"/>
    <s v="Secondary"/>
    <x v="0"/>
    <n v="0"/>
    <n v="0"/>
    <n v="0"/>
    <x v="1"/>
    <n v="0"/>
    <x v="0"/>
    <n v="0"/>
    <n v="1"/>
    <n v="0"/>
    <n v="272"/>
    <n v="272"/>
    <x v="0"/>
    <n v="149.5"/>
    <n v="86"/>
    <n v="26.91"/>
    <n v="26.91"/>
    <x v="0"/>
    <n v="85"/>
    <n v="85"/>
    <n v="62"/>
    <n v="62"/>
    <x v="0"/>
    <x v="0"/>
  </r>
  <r>
    <n v="0"/>
    <x v="0"/>
    <n v="64"/>
    <x v="2"/>
    <n v="2"/>
    <n v="2"/>
    <s v="Secondary"/>
    <x v="0"/>
    <n v="1"/>
    <n v="20"/>
    <n v="20"/>
    <x v="0"/>
    <n v="0"/>
    <x v="0"/>
    <n v="0"/>
    <n v="1"/>
    <n v="0"/>
    <n v="282"/>
    <n v="282"/>
    <x v="0"/>
    <n v="142"/>
    <n v="82"/>
    <n v="24.02"/>
    <n v="24.02"/>
    <x v="1"/>
    <n v="78"/>
    <n v="78"/>
    <s v="NA"/>
    <n v="81.96365524402907"/>
    <x v="0"/>
    <x v="0"/>
  </r>
  <r>
    <n v="0"/>
    <x v="0"/>
    <n v="64"/>
    <x v="2"/>
    <n v="3"/>
    <n v="3"/>
    <s v="Graduate"/>
    <x v="1"/>
    <n v="0"/>
    <n v="0"/>
    <n v="0"/>
    <x v="1"/>
    <n v="0"/>
    <x v="0"/>
    <n v="0"/>
    <n v="1"/>
    <n v="0"/>
    <n v="200"/>
    <n v="200"/>
    <x v="1"/>
    <n v="151"/>
    <n v="90"/>
    <n v="21.99"/>
    <n v="21.99"/>
    <x v="1"/>
    <n v="70"/>
    <n v="70"/>
    <n v="87"/>
    <n v="87"/>
    <x v="0"/>
    <x v="0"/>
  </r>
  <r>
    <n v="0"/>
    <x v="0"/>
    <n v="64"/>
    <x v="2"/>
    <n v="2"/>
    <n v="2"/>
    <s v="Secondary"/>
    <x v="0"/>
    <n v="0"/>
    <n v="0"/>
    <n v="0"/>
    <x v="1"/>
    <n v="0"/>
    <x v="0"/>
    <n v="0"/>
    <n v="1"/>
    <n v="0"/>
    <n v="279"/>
    <n v="279"/>
    <x v="0"/>
    <n v="172"/>
    <n v="87"/>
    <n v="24.01"/>
    <n v="24.01"/>
    <x v="1"/>
    <n v="80"/>
    <n v="80"/>
    <n v="70"/>
    <n v="70"/>
    <x v="0"/>
    <x v="0"/>
  </r>
  <r>
    <n v="1"/>
    <x v="1"/>
    <n v="64"/>
    <x v="2"/>
    <n v="1"/>
    <n v="1"/>
    <s v="Primary"/>
    <x v="2"/>
    <n v="0"/>
    <n v="0"/>
    <n v="0"/>
    <x v="1"/>
    <n v="0"/>
    <x v="0"/>
    <n v="0"/>
    <n v="0"/>
    <n v="0"/>
    <n v="263"/>
    <n v="263"/>
    <x v="0"/>
    <n v="102.5"/>
    <n v="63.5"/>
    <n v="28.82"/>
    <n v="28.82"/>
    <x v="0"/>
    <n v="64"/>
    <n v="64"/>
    <n v="99"/>
    <n v="99"/>
    <x v="0"/>
    <x v="0"/>
  </r>
  <r>
    <n v="1"/>
    <x v="1"/>
    <n v="64"/>
    <x v="2"/>
    <n v="3"/>
    <n v="3"/>
    <s v="Graduate"/>
    <x v="1"/>
    <n v="0"/>
    <n v="0"/>
    <n v="0"/>
    <x v="1"/>
    <n v="0"/>
    <x v="0"/>
    <n v="0"/>
    <n v="1"/>
    <n v="1"/>
    <n v="195"/>
    <n v="195"/>
    <x v="1"/>
    <n v="176"/>
    <n v="78"/>
    <n v="24.9"/>
    <n v="24.9"/>
    <x v="1"/>
    <n v="95"/>
    <n v="95"/>
    <n v="370"/>
    <n v="370"/>
    <x v="0"/>
    <x v="0"/>
  </r>
  <r>
    <n v="0"/>
    <x v="0"/>
    <n v="64"/>
    <x v="2"/>
    <n v="1"/>
    <n v="1"/>
    <s v="Primary"/>
    <x v="2"/>
    <n v="0"/>
    <n v="0"/>
    <n v="0"/>
    <x v="1"/>
    <n v="0"/>
    <x v="0"/>
    <n v="0"/>
    <n v="1"/>
    <n v="1"/>
    <n v="262"/>
    <n v="262"/>
    <x v="0"/>
    <n v="147"/>
    <n v="90"/>
    <n v="26.51"/>
    <n v="26.51"/>
    <x v="0"/>
    <n v="85"/>
    <n v="85"/>
    <n v="173"/>
    <n v="173"/>
    <x v="0"/>
    <x v="0"/>
  </r>
  <r>
    <n v="1"/>
    <x v="1"/>
    <n v="64"/>
    <x v="2"/>
    <n v="1"/>
    <n v="1"/>
    <s v="Primary"/>
    <x v="2"/>
    <n v="1"/>
    <n v="15"/>
    <n v="15"/>
    <x v="0"/>
    <n v="0"/>
    <x v="0"/>
    <n v="0"/>
    <n v="1"/>
    <n v="0"/>
    <n v="240"/>
    <n v="240"/>
    <x v="1"/>
    <n v="141"/>
    <n v="76"/>
    <n v="24.94"/>
    <n v="24.94"/>
    <x v="1"/>
    <n v="75"/>
    <n v="75"/>
    <n v="60"/>
    <n v="60"/>
    <x v="0"/>
    <x v="0"/>
  </r>
  <r>
    <n v="0"/>
    <x v="0"/>
    <n v="64"/>
    <x v="2"/>
    <n v="1"/>
    <n v="1"/>
    <s v="Primary"/>
    <x v="2"/>
    <n v="0"/>
    <n v="0"/>
    <n v="0"/>
    <x v="1"/>
    <n v="0"/>
    <x v="0"/>
    <n v="0"/>
    <n v="1"/>
    <n v="0"/>
    <n v="232"/>
    <n v="232"/>
    <x v="1"/>
    <n v="149.5"/>
    <n v="84"/>
    <n v="20.49"/>
    <n v="20.49"/>
    <x v="1"/>
    <n v="68"/>
    <n v="68"/>
    <n v="96"/>
    <n v="96"/>
    <x v="0"/>
    <x v="0"/>
  </r>
  <r>
    <n v="1"/>
    <x v="1"/>
    <n v="64"/>
    <x v="2"/>
    <n v="1"/>
    <n v="1"/>
    <s v="Primary"/>
    <x v="2"/>
    <n v="1"/>
    <n v="5"/>
    <n v="5"/>
    <x v="0"/>
    <n v="0"/>
    <x v="0"/>
    <n v="0"/>
    <n v="0"/>
    <n v="0"/>
    <n v="180"/>
    <n v="180"/>
    <x v="1"/>
    <n v="121"/>
    <n v="79"/>
    <n v="20.45"/>
    <n v="20.45"/>
    <x v="1"/>
    <n v="77"/>
    <n v="77"/>
    <n v="92"/>
    <n v="92"/>
    <x v="0"/>
    <x v="1"/>
  </r>
  <r>
    <n v="0"/>
    <x v="0"/>
    <n v="64"/>
    <x v="2"/>
    <n v="3"/>
    <n v="3"/>
    <s v="Graduate"/>
    <x v="1"/>
    <n v="1"/>
    <n v="20"/>
    <n v="20"/>
    <x v="0"/>
    <n v="0"/>
    <x v="0"/>
    <n v="0"/>
    <n v="0"/>
    <n v="0"/>
    <n v="270"/>
    <n v="270"/>
    <x v="0"/>
    <n v="142"/>
    <n v="68"/>
    <n v="21.32"/>
    <n v="21.32"/>
    <x v="1"/>
    <n v="76"/>
    <n v="76"/>
    <n v="80"/>
    <n v="80"/>
    <x v="0"/>
    <x v="0"/>
  </r>
  <r>
    <n v="0"/>
    <x v="0"/>
    <n v="64"/>
    <x v="2"/>
    <n v="1"/>
    <n v="1"/>
    <s v="Primary"/>
    <x v="2"/>
    <n v="0"/>
    <n v="0"/>
    <n v="0"/>
    <x v="1"/>
    <n v="0"/>
    <x v="0"/>
    <n v="0"/>
    <n v="1"/>
    <n v="0"/>
    <n v="232"/>
    <n v="232"/>
    <x v="1"/>
    <n v="164"/>
    <n v="102"/>
    <n v="33.369999999999997"/>
    <n v="33.369999999999997"/>
    <x v="2"/>
    <n v="68"/>
    <n v="68"/>
    <n v="73"/>
    <n v="73"/>
    <x v="0"/>
    <x v="1"/>
  </r>
  <r>
    <n v="0"/>
    <x v="0"/>
    <n v="65"/>
    <x v="2"/>
    <n v="1"/>
    <n v="1"/>
    <s v="Primary"/>
    <x v="2"/>
    <n v="0"/>
    <n v="0"/>
    <n v="0"/>
    <x v="1"/>
    <n v="0"/>
    <x v="0"/>
    <n v="0"/>
    <n v="1"/>
    <n v="0"/>
    <n v="252"/>
    <n v="252"/>
    <x v="0"/>
    <n v="179.5"/>
    <n v="114"/>
    <n v="30.47"/>
    <n v="30.47"/>
    <x v="2"/>
    <n v="90"/>
    <n v="90"/>
    <n v="87"/>
    <n v="87"/>
    <x v="0"/>
    <x v="0"/>
  </r>
  <r>
    <n v="0"/>
    <x v="0"/>
    <n v="65"/>
    <x v="2"/>
    <n v="3"/>
    <n v="3"/>
    <s v="Graduate"/>
    <x v="1"/>
    <n v="0"/>
    <n v="0"/>
    <n v="0"/>
    <x v="1"/>
    <n v="0"/>
    <x v="0"/>
    <n v="0"/>
    <n v="0"/>
    <n v="0"/>
    <n v="193"/>
    <n v="193"/>
    <x v="1"/>
    <n v="123"/>
    <n v="76.5"/>
    <n v="29.33"/>
    <n v="29.33"/>
    <x v="0"/>
    <n v="60"/>
    <n v="60"/>
    <n v="96"/>
    <n v="96"/>
    <x v="0"/>
    <x v="0"/>
  </r>
  <r>
    <n v="1"/>
    <x v="1"/>
    <n v="65"/>
    <x v="2"/>
    <n v="4"/>
    <n v="4"/>
    <s v="Post Graduate"/>
    <x v="3"/>
    <n v="0"/>
    <n v="0"/>
    <n v="0"/>
    <x v="1"/>
    <n v="0"/>
    <x v="0"/>
    <n v="0"/>
    <n v="0"/>
    <n v="0"/>
    <n v="207"/>
    <n v="207"/>
    <x v="1"/>
    <n v="139"/>
    <n v="88"/>
    <n v="24.04"/>
    <n v="24.04"/>
    <x v="1"/>
    <n v="80"/>
    <n v="80"/>
    <n v="73"/>
    <n v="73"/>
    <x v="0"/>
    <x v="0"/>
  </r>
  <r>
    <n v="1"/>
    <x v="1"/>
    <n v="65"/>
    <x v="2"/>
    <n v="1"/>
    <n v="1"/>
    <s v="Primary"/>
    <x v="2"/>
    <n v="1"/>
    <n v="15"/>
    <n v="15"/>
    <x v="0"/>
    <n v="0"/>
    <x v="0"/>
    <n v="0"/>
    <n v="1"/>
    <n v="0"/>
    <n v="219"/>
    <n v="219"/>
    <x v="1"/>
    <n v="148"/>
    <n v="90"/>
    <n v="29.35"/>
    <n v="29.35"/>
    <x v="0"/>
    <n v="77"/>
    <n v="77"/>
    <n v="97"/>
    <n v="97"/>
    <x v="0"/>
    <x v="1"/>
  </r>
  <r>
    <n v="0"/>
    <x v="0"/>
    <n v="65"/>
    <x v="2"/>
    <n v="2"/>
    <n v="2"/>
    <s v="Secondary"/>
    <x v="0"/>
    <n v="0"/>
    <n v="0"/>
    <n v="0"/>
    <x v="1"/>
    <n v="0"/>
    <x v="0"/>
    <n v="0"/>
    <n v="1"/>
    <n v="0"/>
    <n v="256"/>
    <n v="256"/>
    <x v="0"/>
    <n v="149"/>
    <n v="96"/>
    <n v="29.75"/>
    <n v="29.75"/>
    <x v="0"/>
    <n v="90"/>
    <n v="90"/>
    <n v="80"/>
    <n v="80"/>
    <x v="0"/>
    <x v="1"/>
  </r>
  <r>
    <n v="0"/>
    <x v="0"/>
    <n v="65"/>
    <x v="2"/>
    <n v="2"/>
    <n v="2"/>
    <s v="Secondary"/>
    <x v="0"/>
    <n v="0"/>
    <n v="0"/>
    <n v="0"/>
    <x v="1"/>
    <s v="NA"/>
    <x v="0"/>
    <n v="0"/>
    <n v="1"/>
    <n v="0"/>
    <n v="270"/>
    <n v="270"/>
    <x v="0"/>
    <n v="165"/>
    <n v="98"/>
    <n v="21.66"/>
    <n v="21.66"/>
    <x v="1"/>
    <n v="62"/>
    <n v="62"/>
    <n v="92"/>
    <n v="92"/>
    <x v="1"/>
    <x v="1"/>
  </r>
  <r>
    <n v="1"/>
    <x v="1"/>
    <n v="65"/>
    <x v="2"/>
    <s v="NA"/>
    <n v="1"/>
    <s v="Primary"/>
    <x v="2"/>
    <n v="0"/>
    <n v="0"/>
    <n v="0"/>
    <x v="1"/>
    <n v="0"/>
    <x v="0"/>
    <n v="0"/>
    <n v="0"/>
    <n v="0"/>
    <s v="NA"/>
    <n v="236.69952267303103"/>
    <x v="1"/>
    <n v="152.5"/>
    <n v="97.5"/>
    <n v="28.35"/>
    <n v="28.35"/>
    <x v="0"/>
    <n v="65"/>
    <n v="65"/>
    <n v="73"/>
    <n v="73"/>
    <x v="0"/>
    <x v="0"/>
  </r>
  <r>
    <n v="0"/>
    <x v="0"/>
    <n v="65"/>
    <x v="2"/>
    <n v="2"/>
    <n v="2"/>
    <s v="Secondary"/>
    <x v="0"/>
    <n v="0"/>
    <n v="0"/>
    <n v="0"/>
    <x v="1"/>
    <n v="0"/>
    <x v="0"/>
    <n v="0"/>
    <n v="1"/>
    <n v="0"/>
    <n v="240"/>
    <n v="240"/>
    <x v="1"/>
    <n v="155"/>
    <n v="84"/>
    <n v="29.93"/>
    <n v="29.93"/>
    <x v="0"/>
    <n v="92"/>
    <n v="92"/>
    <n v="91"/>
    <n v="91"/>
    <x v="0"/>
    <x v="1"/>
  </r>
  <r>
    <n v="0"/>
    <x v="0"/>
    <n v="65"/>
    <x v="2"/>
    <n v="3"/>
    <n v="3"/>
    <s v="Graduate"/>
    <x v="1"/>
    <n v="0"/>
    <n v="0"/>
    <n v="0"/>
    <x v="1"/>
    <n v="0"/>
    <x v="0"/>
    <n v="0"/>
    <n v="0"/>
    <n v="0"/>
    <n v="266"/>
    <n v="266"/>
    <x v="0"/>
    <n v="120"/>
    <n v="73"/>
    <n v="24.33"/>
    <n v="24.33"/>
    <x v="1"/>
    <n v="63"/>
    <n v="63"/>
    <n v="69"/>
    <n v="69"/>
    <x v="0"/>
    <x v="0"/>
  </r>
  <r>
    <n v="0"/>
    <x v="0"/>
    <n v="65"/>
    <x v="2"/>
    <n v="2"/>
    <n v="2"/>
    <s v="Secondary"/>
    <x v="0"/>
    <n v="0"/>
    <n v="0"/>
    <n v="0"/>
    <x v="1"/>
    <n v="0"/>
    <x v="0"/>
    <n v="0"/>
    <n v="0"/>
    <n v="0"/>
    <n v="355"/>
    <n v="355"/>
    <x v="0"/>
    <n v="138"/>
    <n v="79"/>
    <n v="28.38"/>
    <n v="28.38"/>
    <x v="0"/>
    <n v="75"/>
    <n v="75"/>
    <n v="108"/>
    <n v="108"/>
    <x v="0"/>
    <x v="0"/>
  </r>
  <r>
    <n v="1"/>
    <x v="1"/>
    <n v="65"/>
    <x v="2"/>
    <n v="1"/>
    <n v="1"/>
    <s v="Primary"/>
    <x v="2"/>
    <n v="0"/>
    <n v="0"/>
    <n v="0"/>
    <x v="1"/>
    <n v="0"/>
    <x v="0"/>
    <n v="0"/>
    <n v="0"/>
    <n v="0"/>
    <n v="251"/>
    <n v="251"/>
    <x v="0"/>
    <n v="127.5"/>
    <n v="75"/>
    <n v="26.46"/>
    <n v="26.46"/>
    <x v="0"/>
    <n v="60"/>
    <n v="60"/>
    <n v="74"/>
    <n v="74"/>
    <x v="0"/>
    <x v="0"/>
  </r>
  <r>
    <n v="0"/>
    <x v="0"/>
    <n v="65"/>
    <x v="2"/>
    <n v="3"/>
    <n v="3"/>
    <s v="Graduate"/>
    <x v="1"/>
    <n v="0"/>
    <n v="0"/>
    <n v="0"/>
    <x v="1"/>
    <n v="0"/>
    <x v="0"/>
    <n v="0"/>
    <n v="0"/>
    <n v="0"/>
    <n v="217"/>
    <n v="217"/>
    <x v="1"/>
    <n v="140"/>
    <n v="82"/>
    <n v="20.5"/>
    <n v="20.5"/>
    <x v="1"/>
    <n v="58"/>
    <n v="58"/>
    <s v="NA"/>
    <n v="81.96365524402907"/>
    <x v="0"/>
    <x v="1"/>
  </r>
  <r>
    <n v="0"/>
    <x v="0"/>
    <n v="65"/>
    <x v="2"/>
    <n v="1"/>
    <n v="1"/>
    <s v="Primary"/>
    <x v="2"/>
    <n v="0"/>
    <n v="0"/>
    <n v="0"/>
    <x v="1"/>
    <s v="NA"/>
    <x v="0"/>
    <n v="1"/>
    <n v="1"/>
    <n v="0"/>
    <n v="290"/>
    <n v="290"/>
    <x v="0"/>
    <n v="144"/>
    <n v="64"/>
    <n v="21.41"/>
    <n v="21.41"/>
    <x v="1"/>
    <n v="58"/>
    <n v="58"/>
    <n v="145"/>
    <n v="145"/>
    <x v="1"/>
    <x v="1"/>
  </r>
  <r>
    <n v="0"/>
    <x v="0"/>
    <n v="65"/>
    <x v="2"/>
    <n v="1"/>
    <n v="1"/>
    <s v="Primary"/>
    <x v="2"/>
    <n v="0"/>
    <n v="0"/>
    <n v="0"/>
    <x v="1"/>
    <n v="0"/>
    <x v="0"/>
    <n v="0"/>
    <n v="0"/>
    <n v="0"/>
    <n v="276"/>
    <n v="276"/>
    <x v="0"/>
    <n v="124"/>
    <n v="70"/>
    <n v="25.61"/>
    <n v="25.61"/>
    <x v="0"/>
    <n v="76"/>
    <n v="76"/>
    <n v="75"/>
    <n v="75"/>
    <x v="0"/>
    <x v="1"/>
  </r>
  <r>
    <n v="1"/>
    <x v="1"/>
    <n v="65"/>
    <x v="2"/>
    <n v="1"/>
    <n v="1"/>
    <s v="Primary"/>
    <x v="2"/>
    <n v="1"/>
    <n v="20"/>
    <n v="20"/>
    <x v="0"/>
    <n v="0"/>
    <x v="0"/>
    <n v="0"/>
    <n v="1"/>
    <n v="0"/>
    <n v="285"/>
    <n v="285"/>
    <x v="0"/>
    <n v="140"/>
    <n v="82.5"/>
    <n v="21.24"/>
    <n v="21.24"/>
    <x v="1"/>
    <n v="98"/>
    <n v="98"/>
    <s v="NA"/>
    <n v="81.96365524402907"/>
    <x v="0"/>
    <x v="0"/>
  </r>
  <r>
    <n v="0"/>
    <x v="0"/>
    <n v="65"/>
    <x v="2"/>
    <s v="NA"/>
    <n v="1"/>
    <s v="Primary"/>
    <x v="2"/>
    <n v="0"/>
    <n v="0"/>
    <n v="0"/>
    <x v="1"/>
    <n v="0"/>
    <x v="0"/>
    <n v="0"/>
    <n v="1"/>
    <n v="0"/>
    <n v="220"/>
    <n v="220"/>
    <x v="1"/>
    <n v="185.5"/>
    <n v="97.5"/>
    <n v="38.380000000000003"/>
    <n v="38.380000000000003"/>
    <x v="2"/>
    <n v="72"/>
    <n v="72"/>
    <n v="95"/>
    <n v="95"/>
    <x v="0"/>
    <x v="1"/>
  </r>
  <r>
    <n v="0"/>
    <x v="0"/>
    <n v="65"/>
    <x v="2"/>
    <n v="4"/>
    <n v="4"/>
    <s v="Post Graduate"/>
    <x v="3"/>
    <n v="0"/>
    <n v="0"/>
    <n v="0"/>
    <x v="1"/>
    <n v="0"/>
    <x v="0"/>
    <n v="0"/>
    <n v="0"/>
    <n v="0"/>
    <n v="289"/>
    <n v="289"/>
    <x v="0"/>
    <n v="149.5"/>
    <n v="78"/>
    <n v="25.37"/>
    <n v="25.37"/>
    <x v="0"/>
    <n v="70"/>
    <n v="70"/>
    <n v="86"/>
    <n v="86"/>
    <x v="0"/>
    <x v="0"/>
  </r>
  <r>
    <n v="0"/>
    <x v="0"/>
    <n v="65"/>
    <x v="2"/>
    <n v="1"/>
    <n v="1"/>
    <s v="Primary"/>
    <x v="2"/>
    <n v="0"/>
    <n v="0"/>
    <n v="0"/>
    <x v="1"/>
    <n v="0"/>
    <x v="0"/>
    <n v="0"/>
    <n v="1"/>
    <n v="0"/>
    <n v="244"/>
    <n v="244"/>
    <x v="0"/>
    <n v="162"/>
    <n v="98"/>
    <n v="24.5"/>
    <n v="24.5"/>
    <x v="1"/>
    <n v="70"/>
    <n v="70"/>
    <n v="82"/>
    <n v="82"/>
    <x v="0"/>
    <x v="0"/>
  </r>
  <r>
    <n v="0"/>
    <x v="0"/>
    <n v="65"/>
    <x v="2"/>
    <n v="1"/>
    <n v="1"/>
    <s v="Primary"/>
    <x v="2"/>
    <n v="0"/>
    <n v="0"/>
    <n v="0"/>
    <x v="1"/>
    <n v="0"/>
    <x v="0"/>
    <n v="0"/>
    <n v="0"/>
    <n v="0"/>
    <n v="246"/>
    <n v="246"/>
    <x v="0"/>
    <n v="119"/>
    <n v="76"/>
    <n v="19.829999999999998"/>
    <n v="19.829999999999998"/>
    <x v="1"/>
    <n v="75"/>
    <n v="75"/>
    <n v="156"/>
    <n v="156"/>
    <x v="0"/>
    <x v="0"/>
  </r>
  <r>
    <n v="1"/>
    <x v="1"/>
    <n v="65"/>
    <x v="2"/>
    <n v="1"/>
    <n v="1"/>
    <s v="Primary"/>
    <x v="2"/>
    <n v="0"/>
    <n v="0"/>
    <n v="0"/>
    <x v="1"/>
    <n v="1"/>
    <x v="1"/>
    <n v="0"/>
    <n v="1"/>
    <n v="0"/>
    <n v="201"/>
    <n v="201"/>
    <x v="1"/>
    <n v="166"/>
    <n v="93"/>
    <n v="28.16"/>
    <n v="28.16"/>
    <x v="0"/>
    <n v="54"/>
    <n v="54"/>
    <n v="91"/>
    <n v="91"/>
    <x v="0"/>
    <x v="0"/>
  </r>
  <r>
    <n v="1"/>
    <x v="1"/>
    <n v="65"/>
    <x v="2"/>
    <n v="1"/>
    <n v="1"/>
    <s v="Primary"/>
    <x v="2"/>
    <n v="0"/>
    <n v="0"/>
    <n v="0"/>
    <x v="1"/>
    <n v="0"/>
    <x v="0"/>
    <n v="0"/>
    <n v="0"/>
    <n v="0"/>
    <n v="167"/>
    <n v="167"/>
    <x v="1"/>
    <n v="150"/>
    <n v="77"/>
    <n v="34.69"/>
    <n v="34.69"/>
    <x v="2"/>
    <n v="75"/>
    <n v="75"/>
    <s v="NA"/>
    <n v="81.96365524402907"/>
    <x v="0"/>
    <x v="1"/>
  </r>
  <r>
    <n v="0"/>
    <x v="0"/>
    <n v="65"/>
    <x v="2"/>
    <n v="1"/>
    <n v="1"/>
    <s v="Primary"/>
    <x v="2"/>
    <n v="0"/>
    <n v="0"/>
    <n v="0"/>
    <x v="1"/>
    <n v="0"/>
    <x v="0"/>
    <n v="0"/>
    <n v="1"/>
    <n v="0"/>
    <n v="245"/>
    <n v="245"/>
    <x v="0"/>
    <n v="171"/>
    <n v="89"/>
    <n v="23.07"/>
    <n v="23.07"/>
    <x v="1"/>
    <n v="82"/>
    <n v="82"/>
    <n v="93"/>
    <n v="93"/>
    <x v="0"/>
    <x v="0"/>
  </r>
  <r>
    <n v="0"/>
    <x v="0"/>
    <n v="65"/>
    <x v="2"/>
    <n v="1"/>
    <n v="1"/>
    <s v="Primary"/>
    <x v="2"/>
    <n v="0"/>
    <n v="0"/>
    <n v="0"/>
    <x v="1"/>
    <n v="0"/>
    <x v="0"/>
    <n v="0"/>
    <n v="0"/>
    <n v="0"/>
    <n v="288"/>
    <n v="288"/>
    <x v="0"/>
    <n v="146"/>
    <n v="94.5"/>
    <n v="26.54"/>
    <n v="26.54"/>
    <x v="0"/>
    <n v="80"/>
    <n v="80"/>
    <n v="74"/>
    <n v="74"/>
    <x v="0"/>
    <x v="0"/>
  </r>
  <r>
    <n v="1"/>
    <x v="1"/>
    <n v="65"/>
    <x v="2"/>
    <n v="1"/>
    <n v="1"/>
    <s v="Primary"/>
    <x v="2"/>
    <n v="0"/>
    <n v="0"/>
    <n v="0"/>
    <x v="1"/>
    <n v="0"/>
    <x v="0"/>
    <n v="0"/>
    <n v="1"/>
    <n v="1"/>
    <n v="240"/>
    <n v="240"/>
    <x v="1"/>
    <n v="235"/>
    <n v="100"/>
    <s v="NA"/>
    <n v="25.80080075811421"/>
    <x v="0"/>
    <n v="68"/>
    <n v="68"/>
    <n v="297"/>
    <n v="297"/>
    <x v="0"/>
    <x v="1"/>
  </r>
  <r>
    <n v="0"/>
    <x v="0"/>
    <n v="65"/>
    <x v="2"/>
    <n v="4"/>
    <n v="4"/>
    <s v="Post Graduate"/>
    <x v="3"/>
    <n v="1"/>
    <n v="1"/>
    <n v="1"/>
    <x v="0"/>
    <n v="0"/>
    <x v="0"/>
    <n v="0"/>
    <n v="1"/>
    <n v="0"/>
    <n v="322"/>
    <n v="322"/>
    <x v="0"/>
    <n v="165"/>
    <n v="95"/>
    <n v="22.84"/>
    <n v="22.84"/>
    <x v="1"/>
    <n v="80"/>
    <n v="80"/>
    <n v="81"/>
    <n v="81"/>
    <x v="0"/>
    <x v="0"/>
  </r>
  <r>
    <n v="0"/>
    <x v="0"/>
    <n v="65"/>
    <x v="2"/>
    <n v="1"/>
    <n v="1"/>
    <s v="Primary"/>
    <x v="2"/>
    <n v="1"/>
    <n v="3"/>
    <n v="3"/>
    <x v="0"/>
    <n v="0"/>
    <x v="0"/>
    <n v="0"/>
    <n v="1"/>
    <n v="0"/>
    <n v="211"/>
    <n v="211"/>
    <x v="1"/>
    <n v="190"/>
    <n v="90"/>
    <n v="39.54"/>
    <n v="39.54"/>
    <x v="2"/>
    <n v="80"/>
    <n v="80"/>
    <s v="NA"/>
    <n v="81.96365524402907"/>
    <x v="0"/>
    <x v="0"/>
  </r>
  <r>
    <n v="0"/>
    <x v="0"/>
    <n v="65"/>
    <x v="2"/>
    <n v="1"/>
    <n v="1"/>
    <s v="Primary"/>
    <x v="2"/>
    <n v="0"/>
    <n v="0"/>
    <n v="0"/>
    <x v="1"/>
    <n v="0"/>
    <x v="0"/>
    <n v="0"/>
    <n v="0"/>
    <n v="0"/>
    <n v="212"/>
    <n v="212"/>
    <x v="1"/>
    <n v="94"/>
    <n v="62"/>
    <n v="25.83"/>
    <n v="25.83"/>
    <x v="0"/>
    <n v="80"/>
    <n v="80"/>
    <n v="88"/>
    <n v="88"/>
    <x v="0"/>
    <x v="0"/>
  </r>
  <r>
    <n v="0"/>
    <x v="0"/>
    <n v="65"/>
    <x v="2"/>
    <n v="3"/>
    <n v="3"/>
    <s v="Graduate"/>
    <x v="1"/>
    <n v="0"/>
    <n v="0"/>
    <n v="0"/>
    <x v="1"/>
    <n v="0"/>
    <x v="0"/>
    <n v="0"/>
    <n v="1"/>
    <n v="0"/>
    <n v="216"/>
    <n v="216"/>
    <x v="1"/>
    <n v="163"/>
    <n v="102"/>
    <n v="30.12"/>
    <n v="30.12"/>
    <x v="2"/>
    <n v="91"/>
    <n v="91"/>
    <n v="73"/>
    <n v="73"/>
    <x v="0"/>
    <x v="0"/>
  </r>
  <r>
    <n v="0"/>
    <x v="0"/>
    <n v="65"/>
    <x v="2"/>
    <n v="1"/>
    <n v="1"/>
    <s v="Primary"/>
    <x v="2"/>
    <n v="0"/>
    <n v="0"/>
    <n v="0"/>
    <x v="1"/>
    <n v="0"/>
    <x v="0"/>
    <n v="0"/>
    <n v="0"/>
    <n v="0"/>
    <n v="221"/>
    <n v="221"/>
    <x v="1"/>
    <n v="141"/>
    <n v="82.5"/>
    <n v="29.48"/>
    <n v="29.48"/>
    <x v="0"/>
    <n v="80"/>
    <n v="80"/>
    <n v="93"/>
    <n v="93"/>
    <x v="0"/>
    <x v="0"/>
  </r>
  <r>
    <n v="1"/>
    <x v="1"/>
    <n v="65"/>
    <x v="2"/>
    <n v="1"/>
    <n v="1"/>
    <s v="Primary"/>
    <x v="2"/>
    <n v="0"/>
    <n v="0"/>
    <n v="0"/>
    <x v="1"/>
    <n v="0"/>
    <x v="0"/>
    <n v="1"/>
    <n v="1"/>
    <n v="0"/>
    <n v="266"/>
    <n v="266"/>
    <x v="0"/>
    <n v="140"/>
    <n v="100"/>
    <n v="29.36"/>
    <n v="29.36"/>
    <x v="0"/>
    <n v="80"/>
    <n v="80"/>
    <n v="77"/>
    <n v="77"/>
    <x v="0"/>
    <x v="1"/>
  </r>
  <r>
    <n v="1"/>
    <x v="1"/>
    <n v="65"/>
    <x v="2"/>
    <n v="2"/>
    <n v="2"/>
    <s v="Secondary"/>
    <x v="0"/>
    <n v="0"/>
    <n v="0"/>
    <n v="0"/>
    <x v="1"/>
    <n v="0"/>
    <x v="0"/>
    <n v="0"/>
    <n v="0"/>
    <n v="1"/>
    <n v="238"/>
    <n v="238"/>
    <x v="1"/>
    <n v="122"/>
    <n v="81"/>
    <n v="23.95"/>
    <n v="23.95"/>
    <x v="1"/>
    <n v="67"/>
    <n v="67"/>
    <n v="150"/>
    <n v="150"/>
    <x v="0"/>
    <x v="1"/>
  </r>
  <r>
    <n v="0"/>
    <x v="0"/>
    <n v="65"/>
    <x v="2"/>
    <n v="3"/>
    <n v="3"/>
    <s v="Graduate"/>
    <x v="1"/>
    <n v="0"/>
    <n v="0"/>
    <n v="0"/>
    <x v="1"/>
    <n v="0"/>
    <x v="0"/>
    <n v="0"/>
    <n v="0"/>
    <n v="0"/>
    <n v="344"/>
    <n v="344"/>
    <x v="0"/>
    <n v="120"/>
    <n v="75"/>
    <n v="25.41"/>
    <n v="25.41"/>
    <x v="0"/>
    <n v="87"/>
    <n v="87"/>
    <n v="98"/>
    <n v="98"/>
    <x v="0"/>
    <x v="0"/>
  </r>
  <r>
    <n v="0"/>
    <x v="0"/>
    <n v="65"/>
    <x v="2"/>
    <n v="1"/>
    <n v="1"/>
    <s v="Primary"/>
    <x v="2"/>
    <n v="0"/>
    <n v="0"/>
    <n v="0"/>
    <x v="1"/>
    <n v="1"/>
    <x v="1"/>
    <n v="0"/>
    <n v="1"/>
    <n v="0"/>
    <n v="230"/>
    <n v="230"/>
    <x v="1"/>
    <n v="159"/>
    <n v="87"/>
    <n v="22.91"/>
    <n v="22.91"/>
    <x v="1"/>
    <n v="70"/>
    <n v="70"/>
    <n v="65"/>
    <n v="65"/>
    <x v="0"/>
    <x v="1"/>
  </r>
  <r>
    <n v="0"/>
    <x v="0"/>
    <n v="65"/>
    <x v="2"/>
    <n v="1"/>
    <n v="1"/>
    <s v="Primary"/>
    <x v="2"/>
    <n v="0"/>
    <n v="0"/>
    <n v="0"/>
    <x v="1"/>
    <n v="0"/>
    <x v="0"/>
    <n v="0"/>
    <n v="1"/>
    <n v="0"/>
    <n v="295"/>
    <n v="295"/>
    <x v="0"/>
    <n v="210"/>
    <n v="135"/>
    <n v="24.73"/>
    <n v="24.73"/>
    <x v="1"/>
    <n v="72"/>
    <n v="72"/>
    <n v="93"/>
    <n v="93"/>
    <x v="0"/>
    <x v="1"/>
  </r>
  <r>
    <n v="1"/>
    <x v="1"/>
    <n v="65"/>
    <x v="2"/>
    <n v="4"/>
    <n v="4"/>
    <s v="Post Graduate"/>
    <x v="3"/>
    <n v="0"/>
    <n v="0"/>
    <n v="0"/>
    <x v="1"/>
    <n v="0"/>
    <x v="0"/>
    <n v="0"/>
    <n v="0"/>
    <n v="0"/>
    <n v="253"/>
    <n v="253"/>
    <x v="0"/>
    <n v="111"/>
    <n v="60"/>
    <n v="24.12"/>
    <n v="24.12"/>
    <x v="1"/>
    <n v="60"/>
    <n v="60"/>
    <n v="69"/>
    <n v="69"/>
    <x v="0"/>
    <x v="0"/>
  </r>
  <r>
    <n v="0"/>
    <x v="0"/>
    <n v="65"/>
    <x v="2"/>
    <n v="1"/>
    <n v="1"/>
    <s v="Primary"/>
    <x v="2"/>
    <n v="0"/>
    <n v="0"/>
    <n v="0"/>
    <x v="1"/>
    <n v="0"/>
    <x v="0"/>
    <n v="0"/>
    <n v="1"/>
    <n v="0"/>
    <n v="225"/>
    <n v="225"/>
    <x v="1"/>
    <n v="145"/>
    <n v="91"/>
    <n v="29.8"/>
    <n v="29.8"/>
    <x v="0"/>
    <n v="80"/>
    <n v="80"/>
    <n v="83"/>
    <n v="83"/>
    <x v="0"/>
    <x v="1"/>
  </r>
  <r>
    <n v="0"/>
    <x v="0"/>
    <n v="65"/>
    <x v="2"/>
    <n v="1"/>
    <n v="1"/>
    <s v="Primary"/>
    <x v="2"/>
    <n v="0"/>
    <n v="0"/>
    <n v="0"/>
    <x v="1"/>
    <n v="0"/>
    <x v="0"/>
    <n v="0"/>
    <n v="1"/>
    <n v="0"/>
    <n v="205"/>
    <n v="205"/>
    <x v="1"/>
    <n v="167.5"/>
    <n v="92.5"/>
    <n v="24.72"/>
    <n v="24.72"/>
    <x v="1"/>
    <n v="87"/>
    <n v="87"/>
    <s v="NA"/>
    <n v="81.96365524402907"/>
    <x v="0"/>
    <x v="0"/>
  </r>
  <r>
    <n v="1"/>
    <x v="1"/>
    <n v="65"/>
    <x v="2"/>
    <n v="4"/>
    <n v="4"/>
    <s v="Post Graduate"/>
    <x v="3"/>
    <n v="0"/>
    <n v="0"/>
    <n v="0"/>
    <x v="1"/>
    <n v="0"/>
    <x v="0"/>
    <n v="0"/>
    <n v="0"/>
    <n v="0"/>
    <n v="272"/>
    <n v="272"/>
    <x v="0"/>
    <n v="137"/>
    <n v="81"/>
    <n v="25.74"/>
    <n v="25.74"/>
    <x v="0"/>
    <n v="90"/>
    <n v="90"/>
    <n v="97"/>
    <n v="97"/>
    <x v="0"/>
    <x v="0"/>
  </r>
  <r>
    <n v="0"/>
    <x v="0"/>
    <n v="65"/>
    <x v="2"/>
    <n v="2"/>
    <n v="2"/>
    <s v="Secondary"/>
    <x v="0"/>
    <n v="0"/>
    <n v="0"/>
    <n v="0"/>
    <x v="1"/>
    <n v="1"/>
    <x v="1"/>
    <n v="0"/>
    <n v="1"/>
    <n v="0"/>
    <n v="279"/>
    <n v="279"/>
    <x v="0"/>
    <n v="152"/>
    <n v="102"/>
    <n v="30.43"/>
    <n v="30.43"/>
    <x v="2"/>
    <n v="95"/>
    <n v="95"/>
    <n v="78"/>
    <n v="78"/>
    <x v="0"/>
    <x v="1"/>
  </r>
  <r>
    <n v="0"/>
    <x v="0"/>
    <n v="65"/>
    <x v="2"/>
    <s v="NA"/>
    <n v="1"/>
    <s v="Primary"/>
    <x v="2"/>
    <n v="0"/>
    <n v="0"/>
    <n v="0"/>
    <x v="1"/>
    <n v="0"/>
    <x v="0"/>
    <n v="0"/>
    <n v="0"/>
    <n v="0"/>
    <n v="221"/>
    <n v="221"/>
    <x v="1"/>
    <n v="155"/>
    <n v="92"/>
    <n v="31.34"/>
    <n v="31.34"/>
    <x v="2"/>
    <n v="58"/>
    <n v="58"/>
    <s v="NA"/>
    <n v="81.96365524402907"/>
    <x v="0"/>
    <x v="0"/>
  </r>
  <r>
    <n v="1"/>
    <x v="1"/>
    <n v="65"/>
    <x v="2"/>
    <n v="1"/>
    <n v="1"/>
    <s v="Primary"/>
    <x v="2"/>
    <n v="1"/>
    <n v="20"/>
    <n v="20"/>
    <x v="0"/>
    <n v="0"/>
    <x v="0"/>
    <n v="0"/>
    <n v="0"/>
    <n v="0"/>
    <n v="177"/>
    <n v="177"/>
    <x v="1"/>
    <n v="119"/>
    <n v="82.5"/>
    <n v="21.18"/>
    <n v="21.18"/>
    <x v="1"/>
    <n v="60"/>
    <n v="60"/>
    <n v="88"/>
    <n v="88"/>
    <x v="0"/>
    <x v="0"/>
  </r>
  <r>
    <n v="1"/>
    <x v="1"/>
    <n v="65"/>
    <x v="2"/>
    <n v="1"/>
    <n v="1"/>
    <s v="Primary"/>
    <x v="2"/>
    <n v="1"/>
    <n v="3"/>
    <n v="3"/>
    <x v="0"/>
    <n v="0"/>
    <x v="0"/>
    <n v="0"/>
    <n v="0"/>
    <n v="0"/>
    <n v="194"/>
    <n v="194"/>
    <x v="1"/>
    <n v="122"/>
    <n v="68"/>
    <n v="26.08"/>
    <n v="26.08"/>
    <x v="0"/>
    <n v="60"/>
    <n v="60"/>
    <n v="73"/>
    <n v="73"/>
    <x v="0"/>
    <x v="0"/>
  </r>
  <r>
    <n v="0"/>
    <x v="0"/>
    <n v="65"/>
    <x v="2"/>
    <n v="1"/>
    <n v="1"/>
    <s v="Primary"/>
    <x v="2"/>
    <n v="0"/>
    <n v="0"/>
    <n v="0"/>
    <x v="1"/>
    <n v="0"/>
    <x v="0"/>
    <n v="0"/>
    <n v="0"/>
    <n v="0"/>
    <n v="274"/>
    <n v="274"/>
    <x v="0"/>
    <n v="143.5"/>
    <n v="93"/>
    <n v="26.82"/>
    <n v="26.82"/>
    <x v="0"/>
    <n v="79"/>
    <n v="79"/>
    <n v="63"/>
    <n v="63"/>
    <x v="0"/>
    <x v="0"/>
  </r>
  <r>
    <n v="0"/>
    <x v="0"/>
    <n v="65"/>
    <x v="2"/>
    <n v="1"/>
    <n v="1"/>
    <s v="Primary"/>
    <x v="2"/>
    <n v="1"/>
    <n v="3"/>
    <n v="3"/>
    <x v="0"/>
    <n v="0"/>
    <x v="0"/>
    <n v="0"/>
    <n v="0"/>
    <n v="0"/>
    <n v="217"/>
    <n v="217"/>
    <x v="1"/>
    <n v="169"/>
    <n v="111"/>
    <n v="32.54"/>
    <n v="32.54"/>
    <x v="2"/>
    <n v="65"/>
    <n v="65"/>
    <n v="78"/>
    <n v="78"/>
    <x v="0"/>
    <x v="0"/>
  </r>
  <r>
    <n v="1"/>
    <x v="1"/>
    <n v="65"/>
    <x v="2"/>
    <n v="4"/>
    <n v="4"/>
    <s v="Post Graduate"/>
    <x v="3"/>
    <n v="1"/>
    <n v="25"/>
    <n v="25"/>
    <x v="0"/>
    <n v="0"/>
    <x v="0"/>
    <n v="0"/>
    <n v="0"/>
    <n v="0"/>
    <n v="215"/>
    <n v="215"/>
    <x v="1"/>
    <n v="147.5"/>
    <n v="95"/>
    <n v="29.08"/>
    <n v="29.08"/>
    <x v="0"/>
    <n v="82"/>
    <n v="82"/>
    <n v="88"/>
    <n v="88"/>
    <x v="0"/>
    <x v="1"/>
  </r>
  <r>
    <n v="0"/>
    <x v="0"/>
    <n v="65"/>
    <x v="2"/>
    <n v="1"/>
    <n v="1"/>
    <s v="Primary"/>
    <x v="2"/>
    <n v="1"/>
    <n v="9"/>
    <n v="9"/>
    <x v="0"/>
    <n v="0"/>
    <x v="0"/>
    <n v="0"/>
    <n v="1"/>
    <n v="1"/>
    <n v="271"/>
    <n v="271"/>
    <x v="0"/>
    <n v="144.5"/>
    <n v="88"/>
    <n v="32.409999999999997"/>
    <n v="32.409999999999997"/>
    <x v="2"/>
    <n v="82"/>
    <n v="82"/>
    <n v="116"/>
    <n v="116"/>
    <x v="0"/>
    <x v="0"/>
  </r>
  <r>
    <n v="0"/>
    <x v="0"/>
    <n v="65"/>
    <x v="2"/>
    <n v="1"/>
    <n v="1"/>
    <s v="Primary"/>
    <x v="2"/>
    <n v="0"/>
    <n v="0"/>
    <n v="0"/>
    <x v="1"/>
    <n v="0"/>
    <x v="0"/>
    <n v="0"/>
    <n v="1"/>
    <n v="1"/>
    <n v="193"/>
    <n v="193"/>
    <x v="1"/>
    <n v="153"/>
    <n v="100"/>
    <n v="32"/>
    <n v="32"/>
    <x v="2"/>
    <n v="75"/>
    <n v="75"/>
    <n v="107"/>
    <n v="107"/>
    <x v="0"/>
    <x v="0"/>
  </r>
  <r>
    <n v="1"/>
    <x v="1"/>
    <n v="65"/>
    <x v="2"/>
    <n v="1"/>
    <n v="1"/>
    <s v="Primary"/>
    <x v="2"/>
    <n v="1"/>
    <n v="6"/>
    <n v="6"/>
    <x v="0"/>
    <n v="0"/>
    <x v="0"/>
    <n v="0"/>
    <n v="1"/>
    <n v="0"/>
    <n v="238"/>
    <n v="238"/>
    <x v="1"/>
    <n v="146"/>
    <n v="86"/>
    <n v="29.47"/>
    <n v="29.47"/>
    <x v="0"/>
    <n v="75"/>
    <n v="75"/>
    <n v="66"/>
    <n v="66"/>
    <x v="0"/>
    <x v="0"/>
  </r>
  <r>
    <n v="0"/>
    <x v="0"/>
    <n v="65"/>
    <x v="2"/>
    <n v="1"/>
    <n v="1"/>
    <s v="Primary"/>
    <x v="2"/>
    <n v="0"/>
    <n v="0"/>
    <n v="0"/>
    <x v="1"/>
    <n v="0"/>
    <x v="0"/>
    <n v="0"/>
    <n v="1"/>
    <n v="0"/>
    <n v="223"/>
    <n v="223"/>
    <x v="1"/>
    <n v="158"/>
    <n v="90"/>
    <n v="27.26"/>
    <n v="27.26"/>
    <x v="0"/>
    <n v="85"/>
    <n v="85"/>
    <n v="93"/>
    <n v="93"/>
    <x v="0"/>
    <x v="1"/>
  </r>
  <r>
    <n v="0"/>
    <x v="0"/>
    <n v="65"/>
    <x v="2"/>
    <n v="1"/>
    <n v="1"/>
    <s v="Primary"/>
    <x v="2"/>
    <n v="0"/>
    <n v="0"/>
    <n v="0"/>
    <x v="1"/>
    <n v="1"/>
    <x v="1"/>
    <n v="0"/>
    <n v="1"/>
    <n v="0"/>
    <n v="342"/>
    <n v="342"/>
    <x v="0"/>
    <n v="168.5"/>
    <n v="98.5"/>
    <n v="23.87"/>
    <n v="23.87"/>
    <x v="1"/>
    <n v="75"/>
    <n v="75"/>
    <n v="60"/>
    <n v="60"/>
    <x v="0"/>
    <x v="0"/>
  </r>
  <r>
    <n v="1"/>
    <x v="1"/>
    <n v="65"/>
    <x v="2"/>
    <n v="4"/>
    <n v="4"/>
    <s v="Post Graduate"/>
    <x v="3"/>
    <n v="0"/>
    <n v="0"/>
    <n v="0"/>
    <x v="1"/>
    <n v="0"/>
    <x v="0"/>
    <n v="0"/>
    <n v="0"/>
    <n v="0"/>
    <n v="205"/>
    <n v="205"/>
    <x v="1"/>
    <n v="106"/>
    <n v="73"/>
    <n v="23.14"/>
    <n v="23.14"/>
    <x v="1"/>
    <n v="66"/>
    <n v="66"/>
    <n v="87"/>
    <n v="87"/>
    <x v="0"/>
    <x v="0"/>
  </r>
  <r>
    <n v="0"/>
    <x v="0"/>
    <n v="65"/>
    <x v="2"/>
    <n v="1"/>
    <n v="1"/>
    <s v="Primary"/>
    <x v="2"/>
    <n v="0"/>
    <n v="0"/>
    <n v="0"/>
    <x v="1"/>
    <n v="0"/>
    <x v="0"/>
    <n v="0"/>
    <n v="1"/>
    <n v="1"/>
    <n v="304"/>
    <n v="304"/>
    <x v="0"/>
    <n v="139"/>
    <n v="75"/>
    <n v="25.12"/>
    <n v="25.12"/>
    <x v="0"/>
    <n v="82"/>
    <n v="82"/>
    <n v="116"/>
    <n v="116"/>
    <x v="0"/>
    <x v="0"/>
  </r>
  <r>
    <n v="0"/>
    <x v="0"/>
    <n v="65"/>
    <x v="2"/>
    <n v="4"/>
    <n v="4"/>
    <s v="Post Graduate"/>
    <x v="3"/>
    <n v="0"/>
    <n v="0"/>
    <n v="0"/>
    <x v="1"/>
    <n v="0"/>
    <x v="0"/>
    <n v="0"/>
    <n v="0"/>
    <n v="0"/>
    <n v="280"/>
    <n v="280"/>
    <x v="0"/>
    <n v="115"/>
    <n v="73"/>
    <n v="19.760000000000002"/>
    <n v="19.760000000000002"/>
    <x v="1"/>
    <n v="65"/>
    <n v="65"/>
    <n v="58"/>
    <n v="58"/>
    <x v="0"/>
    <x v="0"/>
  </r>
  <r>
    <n v="1"/>
    <x v="1"/>
    <n v="65"/>
    <x v="2"/>
    <n v="4"/>
    <n v="4"/>
    <s v="Post Graduate"/>
    <x v="3"/>
    <n v="1"/>
    <n v="6"/>
    <n v="6"/>
    <x v="0"/>
    <n v="0"/>
    <x v="0"/>
    <n v="0"/>
    <n v="0"/>
    <n v="0"/>
    <n v="236"/>
    <n v="236"/>
    <x v="1"/>
    <n v="118.5"/>
    <n v="77.5"/>
    <n v="24.3"/>
    <n v="24.3"/>
    <x v="1"/>
    <n v="52"/>
    <n v="52"/>
    <n v="65"/>
    <n v="65"/>
    <x v="0"/>
    <x v="1"/>
  </r>
  <r>
    <n v="1"/>
    <x v="1"/>
    <n v="65"/>
    <x v="2"/>
    <n v="1"/>
    <n v="1"/>
    <s v="Primary"/>
    <x v="2"/>
    <n v="0"/>
    <n v="0"/>
    <n v="0"/>
    <x v="1"/>
    <n v="0"/>
    <x v="0"/>
    <n v="0"/>
    <n v="1"/>
    <n v="0"/>
    <n v="196"/>
    <n v="196"/>
    <x v="1"/>
    <n v="157"/>
    <n v="86"/>
    <n v="26.36"/>
    <n v="26.36"/>
    <x v="0"/>
    <n v="70"/>
    <n v="70"/>
    <n v="80"/>
    <n v="80"/>
    <x v="0"/>
    <x v="0"/>
  </r>
  <r>
    <n v="1"/>
    <x v="1"/>
    <n v="65"/>
    <x v="2"/>
    <n v="1"/>
    <n v="1"/>
    <s v="Primary"/>
    <x v="2"/>
    <n v="1"/>
    <n v="20"/>
    <n v="20"/>
    <x v="0"/>
    <n v="1"/>
    <x v="1"/>
    <n v="0"/>
    <n v="1"/>
    <n v="0"/>
    <n v="246"/>
    <n v="246"/>
    <x v="0"/>
    <n v="179"/>
    <n v="96"/>
    <n v="19.34"/>
    <n v="19.34"/>
    <x v="1"/>
    <n v="95"/>
    <n v="95"/>
    <n v="76"/>
    <n v="76"/>
    <x v="0"/>
    <x v="1"/>
  </r>
  <r>
    <n v="1"/>
    <x v="1"/>
    <n v="65"/>
    <x v="2"/>
    <n v="2"/>
    <n v="2"/>
    <s v="Secondary"/>
    <x v="0"/>
    <n v="0"/>
    <n v="0"/>
    <n v="0"/>
    <x v="1"/>
    <n v="0"/>
    <x v="0"/>
    <n v="0"/>
    <n v="0"/>
    <n v="0"/>
    <n v="286"/>
    <n v="286"/>
    <x v="0"/>
    <n v="135"/>
    <n v="80"/>
    <n v="28.06"/>
    <n v="28.06"/>
    <x v="0"/>
    <n v="70"/>
    <n v="70"/>
    <n v="116"/>
    <n v="116"/>
    <x v="0"/>
    <x v="0"/>
  </r>
  <r>
    <n v="0"/>
    <x v="0"/>
    <n v="66"/>
    <x v="2"/>
    <n v="1"/>
    <n v="1"/>
    <s v="Primary"/>
    <x v="2"/>
    <n v="0"/>
    <n v="0"/>
    <n v="0"/>
    <x v="1"/>
    <n v="0"/>
    <x v="0"/>
    <n v="0"/>
    <n v="1"/>
    <n v="0"/>
    <n v="311"/>
    <n v="311"/>
    <x v="0"/>
    <n v="154"/>
    <n v="80"/>
    <n v="28.55"/>
    <n v="28.55"/>
    <x v="0"/>
    <n v="60"/>
    <n v="60"/>
    <n v="104"/>
    <n v="104"/>
    <x v="0"/>
    <x v="0"/>
  </r>
  <r>
    <n v="0"/>
    <x v="0"/>
    <n v="66"/>
    <x v="2"/>
    <n v="1"/>
    <n v="1"/>
    <s v="Primary"/>
    <x v="2"/>
    <n v="0"/>
    <n v="0"/>
    <n v="0"/>
    <x v="1"/>
    <n v="0"/>
    <x v="0"/>
    <n v="0"/>
    <n v="1"/>
    <n v="0"/>
    <n v="278"/>
    <n v="278"/>
    <x v="0"/>
    <n v="187"/>
    <n v="88"/>
    <n v="40.520000000000003"/>
    <n v="40.520000000000003"/>
    <x v="2"/>
    <n v="90"/>
    <n v="90"/>
    <n v="84"/>
    <n v="84"/>
    <x v="0"/>
    <x v="1"/>
  </r>
  <r>
    <n v="1"/>
    <x v="1"/>
    <n v="66"/>
    <x v="2"/>
    <n v="3"/>
    <n v="3"/>
    <s v="Graduate"/>
    <x v="1"/>
    <n v="0"/>
    <n v="0"/>
    <n v="0"/>
    <x v="1"/>
    <n v="0"/>
    <x v="0"/>
    <n v="0"/>
    <n v="0"/>
    <n v="0"/>
    <n v="288"/>
    <n v="288"/>
    <x v="0"/>
    <n v="109"/>
    <n v="71"/>
    <n v="29.29"/>
    <n v="29.29"/>
    <x v="0"/>
    <n v="80"/>
    <n v="80"/>
    <n v="80"/>
    <n v="80"/>
    <x v="0"/>
    <x v="0"/>
  </r>
  <r>
    <n v="0"/>
    <x v="0"/>
    <n v="66"/>
    <x v="2"/>
    <n v="1"/>
    <n v="1"/>
    <s v="Primary"/>
    <x v="2"/>
    <n v="0"/>
    <n v="0"/>
    <n v="0"/>
    <x v="1"/>
    <n v="0"/>
    <x v="0"/>
    <n v="0"/>
    <n v="1"/>
    <n v="0"/>
    <n v="214"/>
    <n v="214"/>
    <x v="1"/>
    <n v="212"/>
    <n v="104"/>
    <n v="25.32"/>
    <n v="25.32"/>
    <x v="0"/>
    <n v="57"/>
    <n v="57"/>
    <n v="84"/>
    <n v="84"/>
    <x v="0"/>
    <x v="1"/>
  </r>
  <r>
    <n v="0"/>
    <x v="0"/>
    <n v="66"/>
    <x v="2"/>
    <n v="1"/>
    <n v="1"/>
    <s v="Primary"/>
    <x v="2"/>
    <n v="0"/>
    <n v="0"/>
    <n v="0"/>
    <x v="1"/>
    <n v="0"/>
    <x v="0"/>
    <n v="0"/>
    <n v="1"/>
    <n v="0"/>
    <n v="285"/>
    <n v="285"/>
    <x v="0"/>
    <n v="166"/>
    <n v="98"/>
    <n v="26.04"/>
    <n v="26.04"/>
    <x v="0"/>
    <n v="95"/>
    <n v="95"/>
    <n v="132"/>
    <n v="132"/>
    <x v="0"/>
    <x v="0"/>
  </r>
  <r>
    <n v="1"/>
    <x v="1"/>
    <n v="66"/>
    <x v="2"/>
    <n v="1"/>
    <n v="1"/>
    <s v="Primary"/>
    <x v="2"/>
    <n v="0"/>
    <n v="0"/>
    <n v="0"/>
    <x v="1"/>
    <n v="0"/>
    <x v="0"/>
    <n v="0"/>
    <n v="1"/>
    <n v="0"/>
    <n v="276"/>
    <n v="276"/>
    <x v="0"/>
    <n v="159"/>
    <n v="82"/>
    <n v="31.42"/>
    <n v="31.42"/>
    <x v="2"/>
    <n v="90"/>
    <n v="90"/>
    <n v="65"/>
    <n v="65"/>
    <x v="0"/>
    <x v="0"/>
  </r>
  <r>
    <n v="0"/>
    <x v="0"/>
    <n v="66"/>
    <x v="2"/>
    <n v="2"/>
    <n v="2"/>
    <s v="Secondary"/>
    <x v="0"/>
    <n v="1"/>
    <n v="15"/>
    <n v="15"/>
    <x v="0"/>
    <n v="0"/>
    <x v="0"/>
    <n v="0"/>
    <n v="1"/>
    <n v="0"/>
    <s v="NA"/>
    <n v="236.69952267303103"/>
    <x v="1"/>
    <n v="188"/>
    <n v="108.5"/>
    <n v="20.49"/>
    <n v="20.49"/>
    <x v="1"/>
    <n v="90"/>
    <n v="90"/>
    <s v="NA"/>
    <n v="81.96365524402907"/>
    <x v="0"/>
    <x v="0"/>
  </r>
  <r>
    <n v="0"/>
    <x v="0"/>
    <n v="66"/>
    <x v="2"/>
    <n v="1"/>
    <n v="1"/>
    <s v="Primary"/>
    <x v="2"/>
    <n v="0"/>
    <n v="0"/>
    <n v="0"/>
    <x v="1"/>
    <n v="0"/>
    <x v="0"/>
    <n v="0"/>
    <n v="1"/>
    <n v="0"/>
    <n v="232"/>
    <n v="232"/>
    <x v="1"/>
    <n v="175"/>
    <n v="94"/>
    <n v="29.84"/>
    <n v="29.84"/>
    <x v="0"/>
    <n v="95"/>
    <n v="95"/>
    <n v="67"/>
    <n v="67"/>
    <x v="0"/>
    <x v="1"/>
  </r>
  <r>
    <n v="1"/>
    <x v="1"/>
    <n v="66"/>
    <x v="2"/>
    <n v="1"/>
    <n v="1"/>
    <s v="Primary"/>
    <x v="2"/>
    <n v="0"/>
    <n v="0"/>
    <n v="0"/>
    <x v="1"/>
    <n v="0"/>
    <x v="0"/>
    <n v="0"/>
    <n v="0"/>
    <n v="0"/>
    <n v="233"/>
    <n v="233"/>
    <x v="1"/>
    <n v="108"/>
    <n v="66"/>
    <n v="25.16"/>
    <n v="25.16"/>
    <x v="0"/>
    <n v="75"/>
    <n v="75"/>
    <n v="72"/>
    <n v="72"/>
    <x v="0"/>
    <x v="0"/>
  </r>
  <r>
    <n v="0"/>
    <x v="0"/>
    <n v="66"/>
    <x v="2"/>
    <n v="1"/>
    <n v="1"/>
    <s v="Primary"/>
    <x v="2"/>
    <n v="0"/>
    <n v="0"/>
    <n v="0"/>
    <x v="1"/>
    <n v="1"/>
    <x v="1"/>
    <n v="0"/>
    <n v="1"/>
    <n v="0"/>
    <n v="290"/>
    <n v="290"/>
    <x v="0"/>
    <n v="152.5"/>
    <n v="90"/>
    <n v="23.63"/>
    <n v="23.63"/>
    <x v="1"/>
    <n v="80"/>
    <n v="80"/>
    <n v="76"/>
    <n v="76"/>
    <x v="0"/>
    <x v="0"/>
  </r>
  <r>
    <n v="0"/>
    <x v="0"/>
    <n v="66"/>
    <x v="2"/>
    <n v="4"/>
    <n v="4"/>
    <s v="Post Graduate"/>
    <x v="3"/>
    <n v="0"/>
    <n v="0"/>
    <n v="0"/>
    <x v="1"/>
    <n v="0"/>
    <x v="0"/>
    <n v="0"/>
    <n v="1"/>
    <n v="0"/>
    <n v="273"/>
    <n v="273"/>
    <x v="0"/>
    <n v="153"/>
    <n v="94"/>
    <n v="25.27"/>
    <n v="25.27"/>
    <x v="0"/>
    <n v="80"/>
    <n v="80"/>
    <n v="76"/>
    <n v="76"/>
    <x v="0"/>
    <x v="0"/>
  </r>
  <r>
    <n v="1"/>
    <x v="1"/>
    <n v="66"/>
    <x v="2"/>
    <n v="1"/>
    <n v="1"/>
    <s v="Primary"/>
    <x v="2"/>
    <n v="1"/>
    <n v="30"/>
    <n v="30"/>
    <x v="0"/>
    <n v="0"/>
    <x v="0"/>
    <n v="0"/>
    <n v="0"/>
    <n v="1"/>
    <n v="234"/>
    <n v="234"/>
    <x v="1"/>
    <n v="114.5"/>
    <n v="62.5"/>
    <n v="28.62"/>
    <n v="28.62"/>
    <x v="0"/>
    <n v="75"/>
    <n v="75"/>
    <n v="216"/>
    <n v="216"/>
    <x v="0"/>
    <x v="1"/>
  </r>
  <r>
    <n v="0"/>
    <x v="0"/>
    <n v="66"/>
    <x v="2"/>
    <n v="2"/>
    <n v="2"/>
    <s v="Secondary"/>
    <x v="0"/>
    <n v="0"/>
    <n v="0"/>
    <n v="0"/>
    <x v="1"/>
    <n v="0"/>
    <x v="0"/>
    <n v="0"/>
    <n v="1"/>
    <n v="0"/>
    <n v="238"/>
    <n v="238"/>
    <x v="1"/>
    <n v="140"/>
    <n v="80"/>
    <n v="26.69"/>
    <n v="26.69"/>
    <x v="0"/>
    <n v="69"/>
    <n v="69"/>
    <n v="83"/>
    <n v="83"/>
    <x v="0"/>
    <x v="0"/>
  </r>
  <r>
    <n v="0"/>
    <x v="0"/>
    <n v="66"/>
    <x v="2"/>
    <n v="1"/>
    <n v="1"/>
    <s v="Primary"/>
    <x v="2"/>
    <n v="1"/>
    <n v="3"/>
    <n v="3"/>
    <x v="0"/>
    <n v="0"/>
    <x v="0"/>
    <n v="0"/>
    <n v="0"/>
    <n v="0"/>
    <n v="216"/>
    <n v="216"/>
    <x v="1"/>
    <n v="133"/>
    <n v="87"/>
    <n v="30.06"/>
    <n v="30.06"/>
    <x v="2"/>
    <n v="68"/>
    <n v="68"/>
    <n v="91"/>
    <n v="91"/>
    <x v="0"/>
    <x v="0"/>
  </r>
  <r>
    <n v="0"/>
    <x v="0"/>
    <n v="66"/>
    <x v="2"/>
    <n v="1"/>
    <n v="1"/>
    <s v="Primary"/>
    <x v="2"/>
    <n v="0"/>
    <n v="0"/>
    <n v="0"/>
    <x v="1"/>
    <s v="NA"/>
    <x v="0"/>
    <n v="0"/>
    <n v="1"/>
    <n v="0"/>
    <n v="235"/>
    <n v="235"/>
    <x v="1"/>
    <n v="151"/>
    <n v="91"/>
    <n v="30.86"/>
    <n v="30.86"/>
    <x v="2"/>
    <n v="78"/>
    <n v="78"/>
    <n v="87"/>
    <n v="87"/>
    <x v="1"/>
    <x v="0"/>
  </r>
  <r>
    <n v="1"/>
    <x v="1"/>
    <n v="66"/>
    <x v="2"/>
    <n v="1"/>
    <n v="1"/>
    <s v="Primary"/>
    <x v="2"/>
    <n v="0"/>
    <n v="0"/>
    <n v="0"/>
    <x v="1"/>
    <n v="0"/>
    <x v="0"/>
    <n v="0"/>
    <n v="1"/>
    <n v="0"/>
    <n v="253"/>
    <n v="253"/>
    <x v="0"/>
    <n v="163"/>
    <n v="86"/>
    <n v="24.35"/>
    <n v="24.35"/>
    <x v="1"/>
    <n v="70"/>
    <n v="70"/>
    <n v="91"/>
    <n v="91"/>
    <x v="0"/>
    <x v="0"/>
  </r>
  <r>
    <n v="0"/>
    <x v="0"/>
    <n v="66"/>
    <x v="2"/>
    <n v="2"/>
    <n v="2"/>
    <s v="Secondary"/>
    <x v="0"/>
    <n v="0"/>
    <n v="0"/>
    <n v="0"/>
    <x v="1"/>
    <n v="0"/>
    <x v="0"/>
    <n v="0"/>
    <n v="0"/>
    <n v="0"/>
    <n v="305"/>
    <n v="305"/>
    <x v="0"/>
    <n v="138"/>
    <n v="86"/>
    <n v="20.74"/>
    <n v="20.74"/>
    <x v="1"/>
    <n v="75"/>
    <n v="75"/>
    <n v="62"/>
    <n v="62"/>
    <x v="0"/>
    <x v="1"/>
  </r>
  <r>
    <n v="1"/>
    <x v="1"/>
    <n v="66"/>
    <x v="2"/>
    <n v="4"/>
    <n v="4"/>
    <s v="Post Graduate"/>
    <x v="3"/>
    <n v="1"/>
    <n v="18"/>
    <n v="18"/>
    <x v="0"/>
    <n v="0"/>
    <x v="0"/>
    <n v="0"/>
    <n v="0"/>
    <n v="0"/>
    <n v="235"/>
    <n v="235"/>
    <x v="1"/>
    <n v="142"/>
    <n v="76"/>
    <n v="26.37"/>
    <n v="26.37"/>
    <x v="0"/>
    <n v="57"/>
    <n v="57"/>
    <n v="93"/>
    <n v="93"/>
    <x v="0"/>
    <x v="0"/>
  </r>
  <r>
    <n v="1"/>
    <x v="1"/>
    <n v="66"/>
    <x v="2"/>
    <n v="1"/>
    <n v="1"/>
    <s v="Primary"/>
    <x v="2"/>
    <n v="0"/>
    <n v="0"/>
    <n v="0"/>
    <x v="1"/>
    <n v="0"/>
    <x v="0"/>
    <n v="0"/>
    <n v="0"/>
    <n v="0"/>
    <n v="270"/>
    <n v="270"/>
    <x v="0"/>
    <n v="120"/>
    <n v="76"/>
    <n v="19.09"/>
    <n v="19.09"/>
    <x v="1"/>
    <n v="64"/>
    <n v="64"/>
    <n v="98"/>
    <n v="98"/>
    <x v="0"/>
    <x v="1"/>
  </r>
  <r>
    <n v="0"/>
    <x v="0"/>
    <n v="66"/>
    <x v="2"/>
    <n v="2"/>
    <n v="2"/>
    <s v="Secondary"/>
    <x v="0"/>
    <n v="1"/>
    <n v="9"/>
    <n v="9"/>
    <x v="0"/>
    <n v="0"/>
    <x v="0"/>
    <n v="0"/>
    <n v="0"/>
    <n v="0"/>
    <n v="225"/>
    <n v="225"/>
    <x v="1"/>
    <n v="110"/>
    <n v="76"/>
    <n v="18.23"/>
    <n v="18.23"/>
    <x v="3"/>
    <n v="83"/>
    <n v="83"/>
    <n v="85"/>
    <n v="85"/>
    <x v="0"/>
    <x v="0"/>
  </r>
  <r>
    <n v="0"/>
    <x v="0"/>
    <n v="66"/>
    <x v="2"/>
    <n v="1"/>
    <n v="1"/>
    <s v="Primary"/>
    <x v="2"/>
    <n v="0"/>
    <n v="0"/>
    <n v="0"/>
    <x v="1"/>
    <n v="0"/>
    <x v="0"/>
    <n v="0"/>
    <n v="1"/>
    <n v="0"/>
    <n v="275"/>
    <n v="275"/>
    <x v="0"/>
    <n v="132.5"/>
    <n v="85"/>
    <n v="34.36"/>
    <n v="34.36"/>
    <x v="2"/>
    <n v="70"/>
    <n v="70"/>
    <s v="NA"/>
    <n v="81.96365524402907"/>
    <x v="0"/>
    <x v="1"/>
  </r>
  <r>
    <n v="1"/>
    <x v="1"/>
    <n v="66"/>
    <x v="2"/>
    <n v="3"/>
    <n v="3"/>
    <s v="Graduate"/>
    <x v="1"/>
    <n v="0"/>
    <n v="0"/>
    <n v="0"/>
    <x v="1"/>
    <n v="0"/>
    <x v="0"/>
    <n v="0"/>
    <n v="1"/>
    <n v="0"/>
    <n v="182"/>
    <n v="182"/>
    <x v="1"/>
    <n v="151"/>
    <n v="88"/>
    <n v="25.22"/>
    <n v="25.22"/>
    <x v="0"/>
    <n v="85"/>
    <n v="85"/>
    <n v="80"/>
    <n v="80"/>
    <x v="0"/>
    <x v="1"/>
  </r>
  <r>
    <n v="0"/>
    <x v="0"/>
    <n v="66"/>
    <x v="2"/>
    <n v="2"/>
    <n v="2"/>
    <s v="Secondary"/>
    <x v="0"/>
    <n v="0"/>
    <n v="0"/>
    <n v="0"/>
    <x v="1"/>
    <n v="0"/>
    <x v="0"/>
    <n v="0"/>
    <n v="1"/>
    <n v="0"/>
    <n v="292"/>
    <n v="292"/>
    <x v="0"/>
    <n v="143"/>
    <n v="95"/>
    <n v="31.11"/>
    <n v="31.11"/>
    <x v="2"/>
    <n v="90"/>
    <n v="90"/>
    <n v="77"/>
    <n v="77"/>
    <x v="0"/>
    <x v="1"/>
  </r>
  <r>
    <n v="1"/>
    <x v="1"/>
    <n v="66"/>
    <x v="2"/>
    <n v="1"/>
    <n v="1"/>
    <s v="Primary"/>
    <x v="2"/>
    <n v="1"/>
    <n v="20"/>
    <n v="20"/>
    <x v="0"/>
    <n v="0"/>
    <x v="0"/>
    <n v="0"/>
    <n v="1"/>
    <n v="0"/>
    <n v="228"/>
    <n v="228"/>
    <x v="1"/>
    <n v="188"/>
    <n v="128"/>
    <n v="29.58"/>
    <n v="29.58"/>
    <x v="0"/>
    <n v="84"/>
    <n v="84"/>
    <n v="67"/>
    <n v="67"/>
    <x v="0"/>
    <x v="0"/>
  </r>
  <r>
    <n v="0"/>
    <x v="0"/>
    <n v="66"/>
    <x v="2"/>
    <n v="1"/>
    <n v="1"/>
    <s v="Primary"/>
    <x v="2"/>
    <n v="0"/>
    <n v="0"/>
    <n v="0"/>
    <x v="1"/>
    <n v="0"/>
    <x v="0"/>
    <n v="0"/>
    <n v="1"/>
    <n v="0"/>
    <n v="212"/>
    <n v="212"/>
    <x v="1"/>
    <n v="220"/>
    <n v="96"/>
    <n v="44.71"/>
    <n v="44.71"/>
    <x v="2"/>
    <n v="110"/>
    <n v="110"/>
    <n v="95"/>
    <n v="95"/>
    <x v="0"/>
    <x v="0"/>
  </r>
  <r>
    <n v="1"/>
    <x v="1"/>
    <n v="66"/>
    <x v="2"/>
    <n v="2"/>
    <n v="2"/>
    <s v="Secondary"/>
    <x v="0"/>
    <n v="1"/>
    <n v="3"/>
    <n v="3"/>
    <x v="0"/>
    <n v="0"/>
    <x v="0"/>
    <n v="0"/>
    <n v="1"/>
    <n v="0"/>
    <n v="199"/>
    <n v="199"/>
    <x v="1"/>
    <n v="159"/>
    <n v="92"/>
    <n v="26.35"/>
    <n v="26.35"/>
    <x v="0"/>
    <n v="66"/>
    <n v="66"/>
    <n v="74"/>
    <n v="74"/>
    <x v="0"/>
    <x v="0"/>
  </r>
  <r>
    <n v="1"/>
    <x v="1"/>
    <n v="66"/>
    <x v="2"/>
    <n v="4"/>
    <n v="4"/>
    <s v="Post Graduate"/>
    <x v="3"/>
    <n v="1"/>
    <n v="20"/>
    <n v="20"/>
    <x v="0"/>
    <n v="0"/>
    <x v="0"/>
    <n v="0"/>
    <n v="1"/>
    <n v="0"/>
    <n v="273"/>
    <n v="273"/>
    <x v="0"/>
    <n v="145"/>
    <n v="88"/>
    <n v="25.41"/>
    <n v="25.41"/>
    <x v="0"/>
    <n v="69"/>
    <n v="69"/>
    <n v="74"/>
    <n v="74"/>
    <x v="0"/>
    <x v="1"/>
  </r>
  <r>
    <n v="1"/>
    <x v="1"/>
    <n v="66"/>
    <x v="2"/>
    <n v="2"/>
    <n v="2"/>
    <s v="Secondary"/>
    <x v="0"/>
    <n v="0"/>
    <n v="0"/>
    <n v="0"/>
    <x v="1"/>
    <n v="0"/>
    <x v="0"/>
    <n v="0"/>
    <n v="1"/>
    <n v="0"/>
    <n v="124"/>
    <n v="124"/>
    <x v="1"/>
    <n v="138"/>
    <n v="91"/>
    <n v="32.33"/>
    <n v="32.33"/>
    <x v="2"/>
    <n v="75"/>
    <n v="75"/>
    <n v="96"/>
    <n v="96"/>
    <x v="0"/>
    <x v="1"/>
  </r>
  <r>
    <n v="0"/>
    <x v="0"/>
    <n v="66"/>
    <x v="2"/>
    <n v="1"/>
    <n v="1"/>
    <s v="Primary"/>
    <x v="2"/>
    <n v="1"/>
    <n v="1"/>
    <n v="1"/>
    <x v="0"/>
    <n v="1"/>
    <x v="1"/>
    <n v="0"/>
    <n v="1"/>
    <n v="0"/>
    <n v="261"/>
    <n v="261"/>
    <x v="0"/>
    <n v="154"/>
    <n v="97"/>
    <n v="32.6"/>
    <n v="32.6"/>
    <x v="2"/>
    <n v="70"/>
    <n v="70"/>
    <n v="81"/>
    <n v="81"/>
    <x v="0"/>
    <x v="0"/>
  </r>
  <r>
    <n v="0"/>
    <x v="0"/>
    <n v="66"/>
    <x v="2"/>
    <n v="1"/>
    <n v="1"/>
    <s v="Primary"/>
    <x v="2"/>
    <n v="0"/>
    <n v="0"/>
    <n v="0"/>
    <x v="1"/>
    <s v="NA"/>
    <x v="0"/>
    <n v="0"/>
    <n v="1"/>
    <n v="1"/>
    <n v="203"/>
    <n v="203"/>
    <x v="1"/>
    <n v="205"/>
    <n v="83"/>
    <n v="28.27"/>
    <n v="28.27"/>
    <x v="0"/>
    <n v="75"/>
    <n v="75"/>
    <n v="118"/>
    <n v="118"/>
    <x v="1"/>
    <x v="1"/>
  </r>
  <r>
    <n v="0"/>
    <x v="0"/>
    <n v="66"/>
    <x v="2"/>
    <n v="1"/>
    <n v="1"/>
    <s v="Primary"/>
    <x v="2"/>
    <n v="0"/>
    <n v="0"/>
    <n v="0"/>
    <x v="1"/>
    <n v="0"/>
    <x v="0"/>
    <n v="0"/>
    <n v="1"/>
    <n v="0"/>
    <n v="273"/>
    <n v="273"/>
    <x v="0"/>
    <n v="197"/>
    <n v="91"/>
    <n v="23.22"/>
    <n v="23.22"/>
    <x v="1"/>
    <n v="95"/>
    <n v="95"/>
    <n v="80"/>
    <n v="80"/>
    <x v="0"/>
    <x v="0"/>
  </r>
  <r>
    <n v="0"/>
    <x v="0"/>
    <n v="66"/>
    <x v="2"/>
    <n v="1"/>
    <n v="1"/>
    <s v="Primary"/>
    <x v="2"/>
    <n v="0"/>
    <n v="0"/>
    <n v="0"/>
    <x v="1"/>
    <n v="0"/>
    <x v="0"/>
    <n v="0"/>
    <n v="1"/>
    <n v="0"/>
    <n v="263"/>
    <n v="263"/>
    <x v="0"/>
    <n v="193"/>
    <n v="95"/>
    <n v="27.07"/>
    <n v="27.07"/>
    <x v="0"/>
    <n v="115"/>
    <n v="115"/>
    <n v="94"/>
    <n v="94"/>
    <x v="0"/>
    <x v="1"/>
  </r>
  <r>
    <n v="0"/>
    <x v="0"/>
    <n v="66"/>
    <x v="2"/>
    <n v="3"/>
    <n v="3"/>
    <s v="Graduate"/>
    <x v="1"/>
    <n v="1"/>
    <n v="20"/>
    <n v="20"/>
    <x v="0"/>
    <n v="0"/>
    <x v="0"/>
    <n v="0"/>
    <n v="0"/>
    <n v="0"/>
    <n v="241"/>
    <n v="241"/>
    <x v="0"/>
    <n v="112"/>
    <n v="66"/>
    <n v="23.36"/>
    <n v="23.36"/>
    <x v="1"/>
    <n v="75"/>
    <n v="75"/>
    <n v="74"/>
    <n v="74"/>
    <x v="0"/>
    <x v="0"/>
  </r>
  <r>
    <n v="0"/>
    <x v="0"/>
    <n v="66"/>
    <x v="2"/>
    <n v="1"/>
    <n v="1"/>
    <s v="Primary"/>
    <x v="2"/>
    <n v="0"/>
    <n v="0"/>
    <n v="0"/>
    <x v="1"/>
    <n v="0"/>
    <x v="0"/>
    <n v="0"/>
    <n v="1"/>
    <n v="0"/>
    <n v="312"/>
    <n v="312"/>
    <x v="0"/>
    <n v="150"/>
    <n v="74"/>
    <n v="25.59"/>
    <n v="25.59"/>
    <x v="0"/>
    <n v="72"/>
    <n v="72"/>
    <n v="90"/>
    <n v="90"/>
    <x v="0"/>
    <x v="1"/>
  </r>
  <r>
    <n v="0"/>
    <x v="0"/>
    <n v="66"/>
    <x v="2"/>
    <n v="1"/>
    <n v="1"/>
    <s v="Primary"/>
    <x v="2"/>
    <n v="0"/>
    <n v="0"/>
    <n v="0"/>
    <x v="1"/>
    <n v="0"/>
    <x v="0"/>
    <n v="0"/>
    <n v="1"/>
    <n v="0"/>
    <n v="260"/>
    <n v="260"/>
    <x v="0"/>
    <n v="167"/>
    <n v="96"/>
    <n v="29.04"/>
    <n v="29.04"/>
    <x v="0"/>
    <n v="65"/>
    <n v="65"/>
    <n v="82"/>
    <n v="82"/>
    <x v="0"/>
    <x v="0"/>
  </r>
  <r>
    <n v="1"/>
    <x v="1"/>
    <n v="66"/>
    <x v="2"/>
    <n v="2"/>
    <n v="2"/>
    <s v="Secondary"/>
    <x v="0"/>
    <n v="0"/>
    <n v="0"/>
    <n v="0"/>
    <x v="1"/>
    <n v="0"/>
    <x v="0"/>
    <n v="0"/>
    <n v="0"/>
    <n v="1"/>
    <n v="189"/>
    <n v="189"/>
    <x v="1"/>
    <n v="140"/>
    <n v="71"/>
    <n v="27.56"/>
    <n v="27.56"/>
    <x v="0"/>
    <n v="70"/>
    <n v="70"/>
    <n v="119"/>
    <n v="119"/>
    <x v="0"/>
    <x v="0"/>
  </r>
  <r>
    <n v="0"/>
    <x v="0"/>
    <n v="66"/>
    <x v="2"/>
    <n v="1"/>
    <n v="1"/>
    <s v="Primary"/>
    <x v="2"/>
    <n v="0"/>
    <n v="0"/>
    <n v="0"/>
    <x v="1"/>
    <n v="0"/>
    <x v="0"/>
    <n v="0"/>
    <n v="0"/>
    <n v="0"/>
    <n v="304"/>
    <n v="304"/>
    <x v="0"/>
    <n v="161"/>
    <n v="90"/>
    <n v="23.48"/>
    <n v="23.48"/>
    <x v="1"/>
    <n v="80"/>
    <n v="80"/>
    <n v="57"/>
    <n v="57"/>
    <x v="0"/>
    <x v="1"/>
  </r>
  <r>
    <n v="1"/>
    <x v="1"/>
    <n v="66"/>
    <x v="2"/>
    <n v="3"/>
    <n v="3"/>
    <s v="Graduate"/>
    <x v="1"/>
    <n v="0"/>
    <n v="0"/>
    <n v="0"/>
    <x v="1"/>
    <n v="0"/>
    <x v="0"/>
    <n v="0"/>
    <n v="1"/>
    <n v="0"/>
    <n v="226"/>
    <n v="226"/>
    <x v="1"/>
    <n v="213"/>
    <n v="133"/>
    <n v="25.29"/>
    <n v="25.29"/>
    <x v="0"/>
    <n v="100"/>
    <n v="100"/>
    <n v="67"/>
    <n v="67"/>
    <x v="0"/>
    <x v="0"/>
  </r>
  <r>
    <n v="0"/>
    <x v="0"/>
    <n v="67"/>
    <x v="2"/>
    <n v="1"/>
    <n v="1"/>
    <s v="Primary"/>
    <x v="2"/>
    <n v="0"/>
    <n v="0"/>
    <n v="0"/>
    <x v="1"/>
    <n v="0"/>
    <x v="0"/>
    <n v="0"/>
    <n v="1"/>
    <n v="0"/>
    <n v="254"/>
    <n v="254"/>
    <x v="0"/>
    <n v="157"/>
    <n v="89"/>
    <n v="24.25"/>
    <n v="24.25"/>
    <x v="1"/>
    <n v="60"/>
    <n v="60"/>
    <n v="74"/>
    <n v="74"/>
    <x v="0"/>
    <x v="0"/>
  </r>
  <r>
    <n v="0"/>
    <x v="0"/>
    <n v="67"/>
    <x v="2"/>
    <n v="1"/>
    <n v="1"/>
    <s v="Primary"/>
    <x v="2"/>
    <n v="0"/>
    <n v="0"/>
    <n v="0"/>
    <x v="1"/>
    <n v="0"/>
    <x v="0"/>
    <n v="0"/>
    <n v="1"/>
    <n v="0"/>
    <n v="264"/>
    <n v="264"/>
    <x v="0"/>
    <n v="139"/>
    <n v="80"/>
    <n v="25.75"/>
    <n v="25.75"/>
    <x v="0"/>
    <n v="75"/>
    <n v="75"/>
    <n v="87"/>
    <n v="87"/>
    <x v="0"/>
    <x v="0"/>
  </r>
  <r>
    <n v="1"/>
    <x v="1"/>
    <n v="67"/>
    <x v="2"/>
    <s v="NA"/>
    <n v="1"/>
    <s v="Primary"/>
    <x v="2"/>
    <n v="0"/>
    <n v="0"/>
    <n v="0"/>
    <x v="1"/>
    <n v="0"/>
    <x v="0"/>
    <n v="0"/>
    <n v="0"/>
    <n v="0"/>
    <n v="257"/>
    <n v="257"/>
    <x v="0"/>
    <n v="125"/>
    <n v="67.5"/>
    <n v="25.95"/>
    <n v="25.95"/>
    <x v="0"/>
    <n v="65"/>
    <n v="65"/>
    <n v="69"/>
    <n v="69"/>
    <x v="0"/>
    <x v="0"/>
  </r>
  <r>
    <n v="0"/>
    <x v="0"/>
    <n v="67"/>
    <x v="2"/>
    <n v="2"/>
    <n v="2"/>
    <s v="Secondary"/>
    <x v="0"/>
    <n v="0"/>
    <n v="0"/>
    <n v="0"/>
    <x v="1"/>
    <n v="0"/>
    <x v="0"/>
    <n v="0"/>
    <n v="0"/>
    <n v="0"/>
    <n v="249"/>
    <n v="249"/>
    <x v="0"/>
    <n v="128"/>
    <n v="68"/>
    <n v="25.81"/>
    <n v="25.81"/>
    <x v="0"/>
    <n v="70"/>
    <n v="70"/>
    <n v="87"/>
    <n v="87"/>
    <x v="0"/>
    <x v="1"/>
  </r>
  <r>
    <n v="0"/>
    <x v="0"/>
    <n v="67"/>
    <x v="2"/>
    <n v="1"/>
    <n v="1"/>
    <s v="Primary"/>
    <x v="2"/>
    <n v="0"/>
    <n v="0"/>
    <n v="0"/>
    <x v="1"/>
    <n v="0"/>
    <x v="0"/>
    <n v="0"/>
    <n v="1"/>
    <n v="0"/>
    <n v="302"/>
    <n v="302"/>
    <x v="0"/>
    <n v="147"/>
    <n v="92"/>
    <n v="25.23"/>
    <n v="25.23"/>
    <x v="0"/>
    <n v="80"/>
    <n v="80"/>
    <n v="87"/>
    <n v="87"/>
    <x v="0"/>
    <x v="1"/>
  </r>
  <r>
    <n v="0"/>
    <x v="0"/>
    <n v="67"/>
    <x v="2"/>
    <n v="1"/>
    <n v="1"/>
    <s v="Primary"/>
    <x v="2"/>
    <n v="0"/>
    <n v="0"/>
    <n v="0"/>
    <x v="1"/>
    <n v="0"/>
    <x v="0"/>
    <n v="0"/>
    <n v="1"/>
    <n v="0"/>
    <n v="248"/>
    <n v="248"/>
    <x v="0"/>
    <n v="215"/>
    <n v="105"/>
    <n v="22.91"/>
    <n v="22.91"/>
    <x v="1"/>
    <n v="90"/>
    <n v="90"/>
    <n v="97"/>
    <n v="97"/>
    <x v="0"/>
    <x v="1"/>
  </r>
  <r>
    <n v="1"/>
    <x v="1"/>
    <n v="67"/>
    <x v="2"/>
    <n v="1"/>
    <n v="1"/>
    <s v="Primary"/>
    <x v="2"/>
    <n v="0"/>
    <n v="0"/>
    <n v="0"/>
    <x v="1"/>
    <n v="0"/>
    <x v="0"/>
    <n v="0"/>
    <n v="0"/>
    <n v="0"/>
    <n v="203"/>
    <n v="203"/>
    <x v="1"/>
    <n v="122"/>
    <n v="74"/>
    <n v="15.54"/>
    <n v="15.54"/>
    <x v="3"/>
    <n v="96"/>
    <n v="96"/>
    <n v="79"/>
    <n v="79"/>
    <x v="0"/>
    <x v="0"/>
  </r>
  <r>
    <n v="1"/>
    <x v="1"/>
    <n v="67"/>
    <x v="2"/>
    <n v="1"/>
    <n v="1"/>
    <s v="Primary"/>
    <x v="2"/>
    <n v="0"/>
    <n v="0"/>
    <n v="0"/>
    <x v="1"/>
    <n v="0"/>
    <x v="0"/>
    <n v="0"/>
    <n v="0"/>
    <n v="0"/>
    <n v="214"/>
    <n v="214"/>
    <x v="1"/>
    <n v="127.5"/>
    <n v="80"/>
    <n v="22.11"/>
    <n v="22.11"/>
    <x v="1"/>
    <n v="69"/>
    <n v="69"/>
    <n v="84"/>
    <n v="84"/>
    <x v="0"/>
    <x v="1"/>
  </r>
  <r>
    <n v="0"/>
    <x v="0"/>
    <n v="67"/>
    <x v="2"/>
    <n v="1"/>
    <n v="1"/>
    <s v="Primary"/>
    <x v="2"/>
    <n v="0"/>
    <n v="0"/>
    <n v="0"/>
    <x v="1"/>
    <n v="1"/>
    <x v="1"/>
    <n v="0"/>
    <n v="1"/>
    <n v="0"/>
    <n v="251"/>
    <n v="251"/>
    <x v="0"/>
    <n v="192"/>
    <n v="102"/>
    <n v="44.09"/>
    <n v="44.09"/>
    <x v="2"/>
    <n v="55"/>
    <n v="55"/>
    <n v="62"/>
    <n v="62"/>
    <x v="0"/>
    <x v="0"/>
  </r>
  <r>
    <n v="1"/>
    <x v="1"/>
    <n v="67"/>
    <x v="2"/>
    <n v="1"/>
    <n v="1"/>
    <s v="Primary"/>
    <x v="2"/>
    <n v="1"/>
    <n v="15"/>
    <n v="15"/>
    <x v="0"/>
    <n v="0"/>
    <x v="0"/>
    <n v="0"/>
    <n v="1"/>
    <n v="0"/>
    <n v="204"/>
    <n v="204"/>
    <x v="1"/>
    <n v="185"/>
    <n v="100"/>
    <n v="22.69"/>
    <n v="22.69"/>
    <x v="1"/>
    <n v="75"/>
    <n v="75"/>
    <n v="114"/>
    <n v="114"/>
    <x v="0"/>
    <x v="1"/>
  </r>
  <r>
    <n v="0"/>
    <x v="0"/>
    <n v="67"/>
    <x v="2"/>
    <n v="1"/>
    <n v="1"/>
    <s v="Primary"/>
    <x v="2"/>
    <n v="0"/>
    <n v="0"/>
    <n v="0"/>
    <x v="1"/>
    <n v="0"/>
    <x v="0"/>
    <n v="0"/>
    <n v="1"/>
    <n v="0"/>
    <n v="218"/>
    <n v="218"/>
    <x v="1"/>
    <n v="160"/>
    <n v="100"/>
    <n v="20.5"/>
    <n v="20.5"/>
    <x v="1"/>
    <n v="88"/>
    <n v="88"/>
    <n v="71"/>
    <n v="71"/>
    <x v="0"/>
    <x v="0"/>
  </r>
  <r>
    <n v="0"/>
    <x v="0"/>
    <n v="67"/>
    <x v="2"/>
    <n v="1"/>
    <n v="1"/>
    <s v="Primary"/>
    <x v="2"/>
    <n v="0"/>
    <n v="0"/>
    <n v="0"/>
    <x v="1"/>
    <n v="0"/>
    <x v="0"/>
    <n v="0"/>
    <n v="0"/>
    <n v="0"/>
    <n v="201"/>
    <n v="201"/>
    <x v="1"/>
    <n v="110"/>
    <n v="77"/>
    <n v="24.53"/>
    <n v="24.53"/>
    <x v="1"/>
    <n v="65"/>
    <n v="65"/>
    <n v="77"/>
    <n v="77"/>
    <x v="0"/>
    <x v="0"/>
  </r>
  <r>
    <n v="1"/>
    <x v="1"/>
    <n v="67"/>
    <x v="2"/>
    <n v="1"/>
    <n v="1"/>
    <s v="Primary"/>
    <x v="2"/>
    <n v="1"/>
    <n v="9"/>
    <n v="9"/>
    <x v="0"/>
    <n v="0"/>
    <x v="0"/>
    <n v="0"/>
    <n v="0"/>
    <n v="0"/>
    <n v="245"/>
    <n v="245"/>
    <x v="0"/>
    <n v="126"/>
    <n v="68"/>
    <n v="29.04"/>
    <n v="29.04"/>
    <x v="0"/>
    <n v="70"/>
    <n v="70"/>
    <n v="94"/>
    <n v="94"/>
    <x v="0"/>
    <x v="1"/>
  </r>
  <r>
    <n v="0"/>
    <x v="0"/>
    <n v="67"/>
    <x v="2"/>
    <n v="1"/>
    <n v="1"/>
    <s v="Primary"/>
    <x v="2"/>
    <n v="0"/>
    <n v="0"/>
    <n v="0"/>
    <x v="1"/>
    <n v="1"/>
    <x v="1"/>
    <n v="0"/>
    <n v="1"/>
    <n v="0"/>
    <n v="263"/>
    <n v="263"/>
    <x v="0"/>
    <n v="201"/>
    <n v="93"/>
    <n v="30.04"/>
    <n v="30.04"/>
    <x v="2"/>
    <n v="75"/>
    <n v="75"/>
    <n v="78"/>
    <n v="78"/>
    <x v="0"/>
    <x v="1"/>
  </r>
  <r>
    <n v="0"/>
    <x v="0"/>
    <n v="67"/>
    <x v="2"/>
    <n v="1"/>
    <n v="1"/>
    <s v="Primary"/>
    <x v="2"/>
    <n v="1"/>
    <n v="6"/>
    <n v="6"/>
    <x v="0"/>
    <s v="NA"/>
    <x v="0"/>
    <n v="0"/>
    <n v="0"/>
    <n v="0"/>
    <s v="NA"/>
    <n v="236.69952267303103"/>
    <x v="1"/>
    <n v="120"/>
    <n v="67"/>
    <n v="32.770000000000003"/>
    <n v="32.770000000000003"/>
    <x v="2"/>
    <n v="86"/>
    <n v="86"/>
    <s v="NA"/>
    <n v="81.96365524402907"/>
    <x v="1"/>
    <x v="0"/>
  </r>
  <r>
    <n v="0"/>
    <x v="0"/>
    <n v="67"/>
    <x v="2"/>
    <n v="3"/>
    <n v="3"/>
    <s v="Graduate"/>
    <x v="1"/>
    <n v="1"/>
    <n v="1"/>
    <n v="1"/>
    <x v="0"/>
    <n v="0"/>
    <x v="0"/>
    <n v="0"/>
    <n v="1"/>
    <n v="0"/>
    <n v="242"/>
    <n v="242"/>
    <x v="0"/>
    <n v="172"/>
    <n v="84"/>
    <n v="19.809999999999999"/>
    <n v="19.809999999999999"/>
    <x v="1"/>
    <n v="70"/>
    <n v="70"/>
    <n v="111"/>
    <n v="111"/>
    <x v="0"/>
    <x v="0"/>
  </r>
  <r>
    <n v="1"/>
    <x v="1"/>
    <n v="67"/>
    <x v="2"/>
    <n v="1"/>
    <n v="1"/>
    <s v="Primary"/>
    <x v="2"/>
    <n v="0"/>
    <n v="0"/>
    <n v="0"/>
    <x v="1"/>
    <n v="0"/>
    <x v="0"/>
    <n v="0"/>
    <n v="1"/>
    <n v="0"/>
    <n v="256"/>
    <n v="256"/>
    <x v="0"/>
    <n v="138"/>
    <n v="76"/>
    <n v="22.81"/>
    <n v="22.81"/>
    <x v="1"/>
    <n v="65"/>
    <n v="65"/>
    <n v="100"/>
    <n v="100"/>
    <x v="0"/>
    <x v="0"/>
  </r>
  <r>
    <n v="0"/>
    <x v="0"/>
    <n v="67"/>
    <x v="2"/>
    <n v="2"/>
    <n v="2"/>
    <s v="Secondary"/>
    <x v="0"/>
    <n v="1"/>
    <n v="20"/>
    <n v="20"/>
    <x v="0"/>
    <n v="0"/>
    <x v="0"/>
    <n v="0"/>
    <n v="1"/>
    <n v="0"/>
    <n v="239"/>
    <n v="239"/>
    <x v="1"/>
    <n v="154"/>
    <n v="90"/>
    <n v="28.56"/>
    <n v="28.56"/>
    <x v="0"/>
    <n v="72"/>
    <n v="72"/>
    <n v="90"/>
    <n v="90"/>
    <x v="0"/>
    <x v="1"/>
  </r>
  <r>
    <n v="0"/>
    <x v="0"/>
    <n v="67"/>
    <x v="2"/>
    <n v="2"/>
    <n v="2"/>
    <s v="Secondary"/>
    <x v="0"/>
    <n v="0"/>
    <n v="0"/>
    <n v="0"/>
    <x v="1"/>
    <n v="0"/>
    <x v="0"/>
    <n v="0"/>
    <n v="0"/>
    <n v="0"/>
    <n v="261"/>
    <n v="261"/>
    <x v="0"/>
    <n v="135"/>
    <n v="80"/>
    <n v="21.8"/>
    <n v="21.8"/>
    <x v="1"/>
    <n v="72"/>
    <n v="72"/>
    <n v="93"/>
    <n v="93"/>
    <x v="0"/>
    <x v="0"/>
  </r>
  <r>
    <n v="1"/>
    <x v="1"/>
    <n v="67"/>
    <x v="2"/>
    <n v="1"/>
    <n v="1"/>
    <s v="Primary"/>
    <x v="2"/>
    <n v="1"/>
    <n v="15"/>
    <n v="15"/>
    <x v="0"/>
    <n v="0"/>
    <x v="0"/>
    <n v="1"/>
    <n v="1"/>
    <n v="0"/>
    <n v="285"/>
    <n v="285"/>
    <x v="0"/>
    <n v="155"/>
    <n v="90"/>
    <n v="30.42"/>
    <n v="30.42"/>
    <x v="2"/>
    <n v="70"/>
    <n v="70"/>
    <n v="77"/>
    <n v="77"/>
    <x v="0"/>
    <x v="1"/>
  </r>
  <r>
    <n v="1"/>
    <x v="1"/>
    <n v="67"/>
    <x v="2"/>
    <n v="1"/>
    <n v="1"/>
    <s v="Primary"/>
    <x v="2"/>
    <n v="0"/>
    <n v="0"/>
    <n v="0"/>
    <x v="1"/>
    <n v="0"/>
    <x v="0"/>
    <n v="0"/>
    <n v="1"/>
    <n v="0"/>
    <n v="222"/>
    <n v="222"/>
    <x v="1"/>
    <n v="154"/>
    <n v="106"/>
    <n v="26.71"/>
    <n v="26.71"/>
    <x v="0"/>
    <n v="85"/>
    <n v="85"/>
    <n v="74"/>
    <n v="74"/>
    <x v="0"/>
    <x v="0"/>
  </r>
  <r>
    <n v="0"/>
    <x v="0"/>
    <n v="67"/>
    <x v="2"/>
    <n v="2"/>
    <n v="2"/>
    <s v="Secondary"/>
    <x v="0"/>
    <n v="0"/>
    <n v="0"/>
    <n v="0"/>
    <x v="1"/>
    <s v="NA"/>
    <x v="0"/>
    <n v="0"/>
    <n v="0"/>
    <n v="0"/>
    <n v="261"/>
    <n v="261"/>
    <x v="0"/>
    <n v="117"/>
    <n v="63"/>
    <n v="22.55"/>
    <n v="22.55"/>
    <x v="1"/>
    <n v="75"/>
    <n v="75"/>
    <n v="83"/>
    <n v="83"/>
    <x v="1"/>
    <x v="0"/>
  </r>
  <r>
    <n v="1"/>
    <x v="1"/>
    <n v="67"/>
    <x v="2"/>
    <n v="1"/>
    <n v="1"/>
    <s v="Primary"/>
    <x v="2"/>
    <n v="0"/>
    <n v="0"/>
    <n v="0"/>
    <x v="1"/>
    <n v="0"/>
    <x v="0"/>
    <n v="0"/>
    <n v="1"/>
    <n v="0"/>
    <n v="234"/>
    <n v="234"/>
    <x v="1"/>
    <n v="130"/>
    <n v="83"/>
    <n v="27.78"/>
    <n v="27.78"/>
    <x v="0"/>
    <n v="75"/>
    <n v="75"/>
    <n v="74"/>
    <n v="74"/>
    <x v="0"/>
    <x v="0"/>
  </r>
  <r>
    <n v="0"/>
    <x v="0"/>
    <n v="67"/>
    <x v="2"/>
    <n v="2"/>
    <n v="2"/>
    <s v="Secondary"/>
    <x v="0"/>
    <n v="1"/>
    <n v="3"/>
    <n v="3"/>
    <x v="0"/>
    <n v="0"/>
    <x v="0"/>
    <n v="0"/>
    <n v="1"/>
    <n v="0"/>
    <n v="326"/>
    <n v="326"/>
    <x v="0"/>
    <n v="157.5"/>
    <n v="78"/>
    <n v="24.63"/>
    <n v="24.63"/>
    <x v="1"/>
    <n v="85"/>
    <n v="85"/>
    <n v="77"/>
    <n v="77"/>
    <x v="0"/>
    <x v="0"/>
  </r>
  <r>
    <n v="1"/>
    <x v="1"/>
    <n v="67"/>
    <x v="2"/>
    <n v="2"/>
    <n v="2"/>
    <s v="Secondary"/>
    <x v="0"/>
    <n v="0"/>
    <n v="0"/>
    <n v="0"/>
    <x v="1"/>
    <n v="0"/>
    <x v="0"/>
    <n v="0"/>
    <n v="1"/>
    <n v="0"/>
    <n v="287"/>
    <n v="287"/>
    <x v="0"/>
    <n v="145"/>
    <n v="92"/>
    <n v="36.04"/>
    <n v="36.04"/>
    <x v="2"/>
    <n v="80"/>
    <n v="80"/>
    <n v="77"/>
    <n v="77"/>
    <x v="0"/>
    <x v="0"/>
  </r>
  <r>
    <n v="1"/>
    <x v="1"/>
    <n v="67"/>
    <x v="2"/>
    <n v="3"/>
    <n v="3"/>
    <s v="Graduate"/>
    <x v="1"/>
    <n v="0"/>
    <n v="0"/>
    <n v="0"/>
    <x v="1"/>
    <n v="0"/>
    <x v="0"/>
    <n v="0"/>
    <n v="0"/>
    <n v="0"/>
    <n v="250"/>
    <n v="250"/>
    <x v="0"/>
    <n v="120"/>
    <n v="83"/>
    <n v="22.36"/>
    <n v="22.36"/>
    <x v="1"/>
    <n v="65"/>
    <n v="65"/>
    <n v="78"/>
    <n v="78"/>
    <x v="0"/>
    <x v="1"/>
  </r>
  <r>
    <n v="0"/>
    <x v="0"/>
    <n v="67"/>
    <x v="2"/>
    <n v="2"/>
    <n v="2"/>
    <s v="Secondary"/>
    <x v="0"/>
    <n v="1"/>
    <n v="15"/>
    <n v="15"/>
    <x v="0"/>
    <n v="0"/>
    <x v="0"/>
    <n v="0"/>
    <n v="1"/>
    <n v="0"/>
    <n v="371"/>
    <n v="371"/>
    <x v="0"/>
    <n v="166"/>
    <n v="85"/>
    <n v="25.35"/>
    <n v="25.35"/>
    <x v="0"/>
    <n v="100"/>
    <n v="100"/>
    <n v="86"/>
    <n v="86"/>
    <x v="0"/>
    <x v="0"/>
  </r>
  <r>
    <n v="0"/>
    <x v="0"/>
    <n v="67"/>
    <x v="2"/>
    <n v="1"/>
    <n v="1"/>
    <s v="Primary"/>
    <x v="2"/>
    <n v="1"/>
    <n v="3"/>
    <n v="3"/>
    <x v="0"/>
    <n v="0"/>
    <x v="0"/>
    <n v="0"/>
    <n v="1"/>
    <n v="0"/>
    <n v="270"/>
    <n v="270"/>
    <x v="0"/>
    <n v="137.5"/>
    <n v="72.5"/>
    <n v="35.01"/>
    <n v="35.01"/>
    <x v="2"/>
    <n v="85"/>
    <n v="85"/>
    <n v="73"/>
    <n v="73"/>
    <x v="0"/>
    <x v="0"/>
  </r>
  <r>
    <n v="0"/>
    <x v="0"/>
    <n v="67"/>
    <x v="2"/>
    <n v="1"/>
    <n v="1"/>
    <s v="Primary"/>
    <x v="2"/>
    <n v="0"/>
    <n v="0"/>
    <n v="0"/>
    <x v="1"/>
    <n v="0"/>
    <x v="0"/>
    <n v="0"/>
    <n v="0"/>
    <n v="0"/>
    <n v="302"/>
    <n v="302"/>
    <x v="0"/>
    <n v="121"/>
    <n v="83"/>
    <n v="30.12"/>
    <n v="30.12"/>
    <x v="2"/>
    <n v="75"/>
    <n v="75"/>
    <n v="64"/>
    <n v="64"/>
    <x v="0"/>
    <x v="0"/>
  </r>
  <r>
    <n v="0"/>
    <x v="0"/>
    <n v="67"/>
    <x v="2"/>
    <n v="1"/>
    <n v="1"/>
    <s v="Primary"/>
    <x v="2"/>
    <n v="0"/>
    <n v="0"/>
    <n v="0"/>
    <x v="1"/>
    <n v="0"/>
    <x v="0"/>
    <n v="0"/>
    <n v="1"/>
    <n v="0"/>
    <s v="NA"/>
    <n v="236.69952267303103"/>
    <x v="1"/>
    <n v="173"/>
    <n v="100"/>
    <n v="33.6"/>
    <n v="33.6"/>
    <x v="2"/>
    <n v="60"/>
    <n v="60"/>
    <s v="NA"/>
    <n v="81.96365524402907"/>
    <x v="0"/>
    <x v="0"/>
  </r>
  <r>
    <n v="1"/>
    <x v="1"/>
    <n v="67"/>
    <x v="2"/>
    <n v="1"/>
    <n v="1"/>
    <s v="Primary"/>
    <x v="2"/>
    <n v="1"/>
    <n v="10"/>
    <n v="10"/>
    <x v="0"/>
    <n v="0"/>
    <x v="0"/>
    <n v="0"/>
    <n v="1"/>
    <n v="0"/>
    <n v="194"/>
    <n v="194"/>
    <x v="1"/>
    <n v="171"/>
    <n v="84"/>
    <n v="21.64"/>
    <n v="21.64"/>
    <x v="1"/>
    <n v="75"/>
    <n v="75"/>
    <n v="88"/>
    <n v="88"/>
    <x v="0"/>
    <x v="0"/>
  </r>
  <r>
    <n v="0"/>
    <x v="0"/>
    <n v="67"/>
    <x v="2"/>
    <n v="1"/>
    <n v="1"/>
    <s v="Primary"/>
    <x v="2"/>
    <n v="0"/>
    <n v="0"/>
    <n v="0"/>
    <x v="1"/>
    <n v="1"/>
    <x v="1"/>
    <n v="0"/>
    <n v="1"/>
    <n v="0"/>
    <n v="228"/>
    <n v="228"/>
    <x v="1"/>
    <n v="144"/>
    <n v="85"/>
    <n v="27.59"/>
    <n v="27.59"/>
    <x v="0"/>
    <n v="65"/>
    <n v="65"/>
    <n v="75"/>
    <n v="75"/>
    <x v="0"/>
    <x v="1"/>
  </r>
  <r>
    <n v="1"/>
    <x v="1"/>
    <n v="67"/>
    <x v="2"/>
    <n v="1"/>
    <n v="1"/>
    <s v="Primary"/>
    <x v="2"/>
    <n v="1"/>
    <n v="40"/>
    <n v="40"/>
    <x v="0"/>
    <n v="0"/>
    <x v="0"/>
    <n v="0"/>
    <n v="1"/>
    <n v="0"/>
    <n v="216"/>
    <n v="216"/>
    <x v="1"/>
    <n v="148"/>
    <n v="70"/>
    <n v="32.630000000000003"/>
    <n v="32.630000000000003"/>
    <x v="2"/>
    <n v="90"/>
    <n v="90"/>
    <n v="103"/>
    <n v="103"/>
    <x v="0"/>
    <x v="1"/>
  </r>
  <r>
    <n v="0"/>
    <x v="0"/>
    <n v="67"/>
    <x v="2"/>
    <n v="3"/>
    <n v="3"/>
    <s v="Graduate"/>
    <x v="1"/>
    <n v="0"/>
    <n v="0"/>
    <n v="0"/>
    <x v="1"/>
    <n v="0"/>
    <x v="0"/>
    <n v="0"/>
    <n v="1"/>
    <n v="0"/>
    <n v="260"/>
    <n v="260"/>
    <x v="0"/>
    <n v="140"/>
    <n v="88"/>
    <n v="24.67"/>
    <n v="24.67"/>
    <x v="1"/>
    <n v="55"/>
    <n v="55"/>
    <n v="65"/>
    <n v="65"/>
    <x v="0"/>
    <x v="0"/>
  </r>
  <r>
    <n v="1"/>
    <x v="1"/>
    <n v="67"/>
    <x v="2"/>
    <n v="1"/>
    <n v="1"/>
    <s v="Primary"/>
    <x v="2"/>
    <n v="1"/>
    <n v="2"/>
    <n v="2"/>
    <x v="0"/>
    <n v="0"/>
    <x v="0"/>
    <n v="0"/>
    <n v="0"/>
    <n v="0"/>
    <n v="144"/>
    <n v="144"/>
    <x v="1"/>
    <n v="113"/>
    <n v="62"/>
    <n v="22.9"/>
    <n v="22.9"/>
    <x v="1"/>
    <n v="58"/>
    <n v="58"/>
    <n v="69"/>
    <n v="69"/>
    <x v="0"/>
    <x v="0"/>
  </r>
  <r>
    <n v="0"/>
    <x v="0"/>
    <n v="67"/>
    <x v="2"/>
    <n v="2"/>
    <n v="2"/>
    <s v="Secondary"/>
    <x v="0"/>
    <n v="0"/>
    <n v="0"/>
    <n v="0"/>
    <x v="1"/>
    <n v="1"/>
    <x v="1"/>
    <n v="0"/>
    <n v="1"/>
    <n v="1"/>
    <n v="303"/>
    <n v="303"/>
    <x v="0"/>
    <n v="204"/>
    <n v="96"/>
    <n v="27.86"/>
    <n v="27.86"/>
    <x v="0"/>
    <n v="75"/>
    <n v="75"/>
    <n v="394"/>
    <n v="394"/>
    <x v="0"/>
    <x v="1"/>
  </r>
  <r>
    <n v="0"/>
    <x v="0"/>
    <n v="67"/>
    <x v="2"/>
    <n v="1"/>
    <n v="1"/>
    <s v="Primary"/>
    <x v="2"/>
    <n v="0"/>
    <n v="0"/>
    <n v="0"/>
    <x v="1"/>
    <n v="0"/>
    <x v="0"/>
    <n v="0"/>
    <n v="0"/>
    <n v="0"/>
    <n v="223"/>
    <n v="223"/>
    <x v="1"/>
    <n v="111"/>
    <n v="73"/>
    <n v="27.89"/>
    <n v="27.89"/>
    <x v="0"/>
    <n v="90"/>
    <n v="90"/>
    <n v="63"/>
    <n v="63"/>
    <x v="0"/>
    <x v="1"/>
  </r>
  <r>
    <n v="0"/>
    <x v="0"/>
    <n v="67"/>
    <x v="2"/>
    <n v="2"/>
    <n v="2"/>
    <s v="Secondary"/>
    <x v="0"/>
    <n v="0"/>
    <n v="0"/>
    <n v="0"/>
    <x v="1"/>
    <n v="1"/>
    <x v="1"/>
    <n v="0"/>
    <n v="1"/>
    <n v="0"/>
    <n v="295"/>
    <n v="295"/>
    <x v="0"/>
    <n v="170"/>
    <n v="89"/>
    <n v="35.35"/>
    <n v="35.35"/>
    <x v="2"/>
    <n v="66"/>
    <n v="66"/>
    <n v="63"/>
    <n v="63"/>
    <x v="0"/>
    <x v="0"/>
  </r>
  <r>
    <n v="0"/>
    <x v="0"/>
    <n v="67"/>
    <x v="2"/>
    <n v="2"/>
    <n v="2"/>
    <s v="Secondary"/>
    <x v="0"/>
    <n v="0"/>
    <n v="0"/>
    <n v="0"/>
    <x v="1"/>
    <n v="0"/>
    <x v="0"/>
    <n v="0"/>
    <n v="0"/>
    <n v="0"/>
    <n v="292"/>
    <n v="292"/>
    <x v="0"/>
    <n v="144"/>
    <n v="89"/>
    <n v="21.93"/>
    <n v="21.93"/>
    <x v="1"/>
    <n v="96"/>
    <n v="96"/>
    <s v="NA"/>
    <n v="81.96365524402907"/>
    <x v="0"/>
    <x v="0"/>
  </r>
  <r>
    <n v="0"/>
    <x v="0"/>
    <n v="67"/>
    <x v="2"/>
    <n v="1"/>
    <n v="1"/>
    <s v="Primary"/>
    <x v="2"/>
    <n v="1"/>
    <n v="9"/>
    <n v="9"/>
    <x v="0"/>
    <n v="0"/>
    <x v="0"/>
    <n v="0"/>
    <n v="1"/>
    <n v="0"/>
    <s v="NA"/>
    <n v="236.69952267303103"/>
    <x v="1"/>
    <n v="185"/>
    <n v="110"/>
    <n v="19.53"/>
    <n v="19.53"/>
    <x v="1"/>
    <n v="100"/>
    <n v="100"/>
    <s v="NA"/>
    <n v="81.96365524402907"/>
    <x v="0"/>
    <x v="0"/>
  </r>
  <r>
    <n v="1"/>
    <x v="1"/>
    <n v="67"/>
    <x v="2"/>
    <n v="3"/>
    <n v="3"/>
    <s v="Graduate"/>
    <x v="1"/>
    <n v="0"/>
    <n v="0"/>
    <n v="0"/>
    <x v="1"/>
    <n v="1"/>
    <x v="1"/>
    <n v="0"/>
    <n v="1"/>
    <n v="0"/>
    <n v="223"/>
    <n v="223"/>
    <x v="1"/>
    <n v="214"/>
    <n v="94"/>
    <n v="25.86"/>
    <n v="25.86"/>
    <x v="0"/>
    <n v="80"/>
    <n v="80"/>
    <n v="87"/>
    <n v="87"/>
    <x v="0"/>
    <x v="1"/>
  </r>
  <r>
    <n v="0"/>
    <x v="0"/>
    <n v="67"/>
    <x v="2"/>
    <n v="4"/>
    <n v="4"/>
    <s v="Post Graduate"/>
    <x v="3"/>
    <n v="0"/>
    <n v="0"/>
    <n v="0"/>
    <x v="1"/>
    <n v="0"/>
    <x v="0"/>
    <n v="0"/>
    <n v="0"/>
    <n v="0"/>
    <n v="281"/>
    <n v="281"/>
    <x v="0"/>
    <n v="101"/>
    <n v="59"/>
    <n v="23.1"/>
    <n v="23.1"/>
    <x v="1"/>
    <n v="63"/>
    <n v="63"/>
    <n v="85"/>
    <n v="85"/>
    <x v="0"/>
    <x v="1"/>
  </r>
  <r>
    <n v="0"/>
    <x v="0"/>
    <n v="67"/>
    <x v="2"/>
    <n v="3"/>
    <n v="3"/>
    <s v="Graduate"/>
    <x v="1"/>
    <n v="1"/>
    <n v="5"/>
    <n v="5"/>
    <x v="0"/>
    <n v="1"/>
    <x v="1"/>
    <n v="0"/>
    <n v="1"/>
    <n v="0"/>
    <n v="245"/>
    <n v="245"/>
    <x v="0"/>
    <n v="169"/>
    <n v="82"/>
    <n v="26.05"/>
    <n v="26.05"/>
    <x v="0"/>
    <n v="122"/>
    <n v="122"/>
    <n v="122"/>
    <n v="122"/>
    <x v="0"/>
    <x v="0"/>
  </r>
  <r>
    <n v="1"/>
    <x v="1"/>
    <n v="67"/>
    <x v="2"/>
    <n v="2"/>
    <n v="2"/>
    <s v="Secondary"/>
    <x v="0"/>
    <n v="1"/>
    <n v="60"/>
    <n v="60"/>
    <x v="0"/>
    <n v="0"/>
    <x v="0"/>
    <n v="0"/>
    <n v="1"/>
    <n v="0"/>
    <n v="261"/>
    <n v="261"/>
    <x v="0"/>
    <n v="170"/>
    <n v="100"/>
    <n v="22.71"/>
    <n v="22.71"/>
    <x v="1"/>
    <n v="72"/>
    <n v="72"/>
    <n v="79"/>
    <n v="79"/>
    <x v="0"/>
    <x v="1"/>
  </r>
  <r>
    <n v="1"/>
    <x v="1"/>
    <n v="67"/>
    <x v="2"/>
    <s v="NA"/>
    <n v="1"/>
    <s v="Primary"/>
    <x v="2"/>
    <n v="1"/>
    <n v="25"/>
    <n v="25"/>
    <x v="0"/>
    <n v="0"/>
    <x v="0"/>
    <n v="0"/>
    <n v="1"/>
    <n v="0"/>
    <n v="221"/>
    <n v="221"/>
    <x v="1"/>
    <n v="144"/>
    <n v="84"/>
    <n v="24.92"/>
    <n v="24.92"/>
    <x v="1"/>
    <n v="72"/>
    <n v="72"/>
    <n v="73"/>
    <n v="73"/>
    <x v="0"/>
    <x v="0"/>
  </r>
  <r>
    <n v="1"/>
    <x v="1"/>
    <n v="68"/>
    <x v="2"/>
    <n v="1"/>
    <n v="1"/>
    <s v="Primary"/>
    <x v="2"/>
    <n v="0"/>
    <n v="0"/>
    <n v="0"/>
    <x v="1"/>
    <n v="0"/>
    <x v="0"/>
    <n v="0"/>
    <n v="1"/>
    <n v="1"/>
    <n v="164"/>
    <n v="164"/>
    <x v="1"/>
    <n v="142"/>
    <n v="85"/>
    <n v="30.28"/>
    <n v="30.28"/>
    <x v="2"/>
    <n v="70"/>
    <n v="70"/>
    <n v="120"/>
    <n v="120"/>
    <x v="0"/>
    <x v="1"/>
  </r>
  <r>
    <n v="1"/>
    <x v="1"/>
    <n v="68"/>
    <x v="2"/>
    <n v="2"/>
    <n v="2"/>
    <s v="Secondary"/>
    <x v="0"/>
    <n v="1"/>
    <n v="10"/>
    <n v="10"/>
    <x v="0"/>
    <n v="0"/>
    <x v="0"/>
    <n v="0"/>
    <n v="0"/>
    <n v="0"/>
    <n v="250"/>
    <n v="250"/>
    <x v="0"/>
    <n v="109"/>
    <n v="73"/>
    <n v="24.68"/>
    <n v="24.68"/>
    <x v="1"/>
    <n v="72"/>
    <n v="72"/>
    <n v="66"/>
    <n v="66"/>
    <x v="0"/>
    <x v="0"/>
  </r>
  <r>
    <n v="1"/>
    <x v="1"/>
    <n v="68"/>
    <x v="2"/>
    <n v="1"/>
    <n v="1"/>
    <s v="Primary"/>
    <x v="2"/>
    <n v="1"/>
    <n v="10"/>
    <n v="10"/>
    <x v="0"/>
    <n v="0"/>
    <x v="0"/>
    <n v="0"/>
    <n v="0"/>
    <n v="0"/>
    <n v="261"/>
    <n v="261"/>
    <x v="0"/>
    <n v="122"/>
    <n v="70"/>
    <n v="26.37"/>
    <n v="26.37"/>
    <x v="0"/>
    <n v="96"/>
    <n v="96"/>
    <n v="60"/>
    <n v="60"/>
    <x v="0"/>
    <x v="0"/>
  </r>
  <r>
    <n v="1"/>
    <x v="1"/>
    <n v="68"/>
    <x v="2"/>
    <n v="1"/>
    <n v="1"/>
    <s v="Primary"/>
    <x v="2"/>
    <n v="0"/>
    <n v="0"/>
    <n v="0"/>
    <x v="1"/>
    <n v="0"/>
    <x v="0"/>
    <n v="0"/>
    <n v="0"/>
    <n v="0"/>
    <n v="239"/>
    <n v="239"/>
    <x v="1"/>
    <n v="130"/>
    <n v="80"/>
    <n v="23.25"/>
    <n v="23.25"/>
    <x v="1"/>
    <n v="64"/>
    <n v="64"/>
    <n v="95"/>
    <n v="95"/>
    <x v="0"/>
    <x v="0"/>
  </r>
  <r>
    <n v="1"/>
    <x v="1"/>
    <n v="68"/>
    <x v="2"/>
    <n v="1"/>
    <n v="1"/>
    <s v="Primary"/>
    <x v="2"/>
    <n v="0"/>
    <n v="0"/>
    <n v="0"/>
    <x v="1"/>
    <n v="0"/>
    <x v="0"/>
    <n v="0"/>
    <n v="0"/>
    <n v="0"/>
    <n v="230"/>
    <n v="230"/>
    <x v="1"/>
    <n v="124"/>
    <n v="70"/>
    <n v="22.85"/>
    <n v="22.85"/>
    <x v="1"/>
    <n v="70"/>
    <n v="70"/>
    <n v="60"/>
    <n v="60"/>
    <x v="0"/>
    <x v="0"/>
  </r>
  <r>
    <n v="1"/>
    <x v="1"/>
    <n v="68"/>
    <x v="2"/>
    <n v="1"/>
    <n v="1"/>
    <s v="Primary"/>
    <x v="2"/>
    <n v="0"/>
    <n v="0"/>
    <n v="0"/>
    <x v="1"/>
    <n v="0"/>
    <x v="0"/>
    <n v="0"/>
    <n v="1"/>
    <n v="1"/>
    <n v="184"/>
    <n v="184"/>
    <x v="1"/>
    <n v="157"/>
    <n v="97"/>
    <n v="33.159999999999997"/>
    <n v="33.159999999999997"/>
    <x v="2"/>
    <n v="110"/>
    <n v="110"/>
    <n v="148"/>
    <n v="148"/>
    <x v="0"/>
    <x v="1"/>
  </r>
  <r>
    <n v="0"/>
    <x v="0"/>
    <n v="68"/>
    <x v="2"/>
    <n v="3"/>
    <n v="3"/>
    <s v="Graduate"/>
    <x v="1"/>
    <n v="1"/>
    <n v="20"/>
    <n v="20"/>
    <x v="0"/>
    <n v="0"/>
    <x v="0"/>
    <n v="0"/>
    <n v="1"/>
    <n v="0"/>
    <n v="258"/>
    <n v="258"/>
    <x v="0"/>
    <n v="158"/>
    <n v="94"/>
    <n v="31.64"/>
    <n v="31.64"/>
    <x v="2"/>
    <n v="80"/>
    <n v="80"/>
    <n v="84"/>
    <n v="84"/>
    <x v="0"/>
    <x v="1"/>
  </r>
  <r>
    <n v="0"/>
    <x v="0"/>
    <n v="68"/>
    <x v="2"/>
    <n v="2"/>
    <n v="2"/>
    <s v="Secondary"/>
    <x v="0"/>
    <n v="0"/>
    <n v="0"/>
    <n v="0"/>
    <x v="1"/>
    <n v="0"/>
    <x v="0"/>
    <n v="0"/>
    <n v="0"/>
    <n v="0"/>
    <n v="242"/>
    <n v="242"/>
    <x v="0"/>
    <n v="146.5"/>
    <n v="71"/>
    <n v="25.21"/>
    <n v="25.21"/>
    <x v="0"/>
    <n v="100"/>
    <n v="100"/>
    <n v="96"/>
    <n v="96"/>
    <x v="0"/>
    <x v="0"/>
  </r>
  <r>
    <n v="0"/>
    <x v="0"/>
    <n v="68"/>
    <x v="2"/>
    <n v="2"/>
    <n v="2"/>
    <s v="Secondary"/>
    <x v="0"/>
    <n v="1"/>
    <n v="20"/>
    <n v="20"/>
    <x v="0"/>
    <n v="0"/>
    <x v="0"/>
    <n v="0"/>
    <n v="0"/>
    <n v="0"/>
    <n v="322"/>
    <n v="322"/>
    <x v="0"/>
    <n v="148"/>
    <n v="95"/>
    <n v="20.98"/>
    <n v="20.98"/>
    <x v="1"/>
    <n v="95"/>
    <n v="95"/>
    <n v="72"/>
    <n v="72"/>
    <x v="0"/>
    <x v="0"/>
  </r>
  <r>
    <n v="0"/>
    <x v="0"/>
    <n v="68"/>
    <x v="2"/>
    <n v="1"/>
    <n v="1"/>
    <s v="Primary"/>
    <x v="2"/>
    <n v="0"/>
    <n v="0"/>
    <n v="0"/>
    <x v="1"/>
    <s v="NA"/>
    <x v="0"/>
    <n v="0"/>
    <n v="1"/>
    <n v="0"/>
    <n v="258"/>
    <n v="258"/>
    <x v="0"/>
    <n v="139"/>
    <n v="74"/>
    <n v="26.58"/>
    <n v="26.58"/>
    <x v="0"/>
    <n v="85"/>
    <n v="85"/>
    <n v="75"/>
    <n v="75"/>
    <x v="1"/>
    <x v="1"/>
  </r>
  <r>
    <n v="1"/>
    <x v="1"/>
    <n v="68"/>
    <x v="2"/>
    <n v="1"/>
    <n v="1"/>
    <s v="Primary"/>
    <x v="2"/>
    <n v="1"/>
    <n v="15"/>
    <n v="15"/>
    <x v="0"/>
    <n v="0"/>
    <x v="0"/>
    <n v="0"/>
    <n v="0"/>
    <n v="0"/>
    <n v="193"/>
    <n v="193"/>
    <x v="1"/>
    <n v="145"/>
    <n v="67"/>
    <n v="23.13"/>
    <n v="23.13"/>
    <x v="1"/>
    <n v="75"/>
    <n v="75"/>
    <n v="72"/>
    <n v="72"/>
    <x v="0"/>
    <x v="1"/>
  </r>
  <r>
    <n v="0"/>
    <x v="0"/>
    <n v="68"/>
    <x v="2"/>
    <n v="2"/>
    <n v="2"/>
    <s v="Secondary"/>
    <x v="0"/>
    <n v="0"/>
    <n v="0"/>
    <n v="0"/>
    <x v="1"/>
    <s v="NA"/>
    <x v="0"/>
    <n v="0"/>
    <n v="0"/>
    <n v="0"/>
    <n v="257"/>
    <n v="257"/>
    <x v="0"/>
    <n v="144"/>
    <n v="95"/>
    <n v="29.25"/>
    <n v="29.25"/>
    <x v="0"/>
    <n v="80"/>
    <n v="80"/>
    <n v="77"/>
    <n v="77"/>
    <x v="1"/>
    <x v="0"/>
  </r>
  <r>
    <n v="0"/>
    <x v="0"/>
    <n v="68"/>
    <x v="2"/>
    <n v="3"/>
    <n v="3"/>
    <s v="Graduate"/>
    <x v="1"/>
    <n v="0"/>
    <n v="0"/>
    <n v="0"/>
    <x v="1"/>
    <n v="0"/>
    <x v="0"/>
    <n v="0"/>
    <n v="1"/>
    <n v="0"/>
    <n v="241"/>
    <n v="241"/>
    <x v="0"/>
    <n v="154"/>
    <n v="96"/>
    <n v="30.12"/>
    <n v="30.12"/>
    <x v="2"/>
    <n v="103"/>
    <n v="103"/>
    <n v="70"/>
    <n v="70"/>
    <x v="0"/>
    <x v="0"/>
  </r>
  <r>
    <n v="1"/>
    <x v="1"/>
    <n v="68"/>
    <x v="2"/>
    <n v="1"/>
    <n v="1"/>
    <s v="Primary"/>
    <x v="2"/>
    <n v="1"/>
    <n v="15"/>
    <n v="15"/>
    <x v="0"/>
    <n v="0"/>
    <x v="0"/>
    <n v="0"/>
    <n v="0"/>
    <n v="0"/>
    <n v="157"/>
    <n v="157"/>
    <x v="1"/>
    <n v="106"/>
    <n v="48"/>
    <n v="26.73"/>
    <n v="26.73"/>
    <x v="0"/>
    <n v="65"/>
    <n v="65"/>
    <n v="65"/>
    <n v="65"/>
    <x v="0"/>
    <x v="1"/>
  </r>
  <r>
    <n v="1"/>
    <x v="1"/>
    <n v="68"/>
    <x v="2"/>
    <n v="1"/>
    <n v="1"/>
    <s v="Primary"/>
    <x v="2"/>
    <n v="0"/>
    <n v="0"/>
    <n v="0"/>
    <x v="1"/>
    <n v="0"/>
    <x v="0"/>
    <n v="0"/>
    <n v="1"/>
    <n v="0"/>
    <n v="276"/>
    <n v="276"/>
    <x v="0"/>
    <n v="127"/>
    <n v="66.5"/>
    <n v="25.78"/>
    <n v="25.78"/>
    <x v="0"/>
    <n v="75"/>
    <n v="75"/>
    <n v="104"/>
    <n v="104"/>
    <x v="0"/>
    <x v="1"/>
  </r>
  <r>
    <n v="1"/>
    <x v="1"/>
    <n v="68"/>
    <x v="2"/>
    <n v="1"/>
    <n v="1"/>
    <s v="Primary"/>
    <x v="2"/>
    <n v="0"/>
    <n v="0"/>
    <n v="0"/>
    <x v="1"/>
    <n v="0"/>
    <x v="0"/>
    <n v="0"/>
    <n v="0"/>
    <n v="0"/>
    <n v="237"/>
    <n v="237"/>
    <x v="1"/>
    <n v="130"/>
    <n v="62"/>
    <n v="33.520000000000003"/>
    <n v="33.520000000000003"/>
    <x v="2"/>
    <n v="60"/>
    <n v="60"/>
    <n v="82"/>
    <n v="82"/>
    <x v="0"/>
    <x v="0"/>
  </r>
  <r>
    <n v="1"/>
    <x v="1"/>
    <n v="68"/>
    <x v="2"/>
    <n v="1"/>
    <n v="1"/>
    <s v="Primary"/>
    <x v="2"/>
    <n v="0"/>
    <n v="0"/>
    <n v="0"/>
    <x v="1"/>
    <n v="0"/>
    <x v="0"/>
    <n v="0"/>
    <n v="0"/>
    <n v="0"/>
    <n v="258"/>
    <n v="258"/>
    <x v="0"/>
    <n v="128"/>
    <n v="79"/>
    <n v="29.54"/>
    <n v="29.54"/>
    <x v="0"/>
    <n v="85"/>
    <n v="85"/>
    <n v="86"/>
    <n v="86"/>
    <x v="0"/>
    <x v="0"/>
  </r>
  <r>
    <n v="1"/>
    <x v="1"/>
    <n v="68"/>
    <x v="2"/>
    <n v="1"/>
    <n v="1"/>
    <s v="Primary"/>
    <x v="2"/>
    <n v="0"/>
    <n v="0"/>
    <n v="0"/>
    <x v="1"/>
    <n v="0"/>
    <x v="0"/>
    <n v="0"/>
    <n v="1"/>
    <n v="0"/>
    <n v="176"/>
    <n v="176"/>
    <x v="1"/>
    <n v="168"/>
    <n v="97"/>
    <n v="23.14"/>
    <n v="23.14"/>
    <x v="1"/>
    <n v="60"/>
    <n v="60"/>
    <n v="79"/>
    <n v="79"/>
    <x v="0"/>
    <x v="1"/>
  </r>
  <r>
    <n v="0"/>
    <x v="0"/>
    <n v="69"/>
    <x v="2"/>
    <n v="2"/>
    <n v="2"/>
    <s v="Secondary"/>
    <x v="0"/>
    <n v="0"/>
    <n v="0"/>
    <n v="0"/>
    <x v="1"/>
    <n v="0"/>
    <x v="0"/>
    <n v="0"/>
    <n v="1"/>
    <n v="0"/>
    <n v="215"/>
    <n v="215"/>
    <x v="1"/>
    <n v="164"/>
    <n v="80"/>
    <n v="17.23"/>
    <n v="17.23"/>
    <x v="3"/>
    <n v="100"/>
    <n v="100"/>
    <s v="NA"/>
    <n v="81.96365524402907"/>
    <x v="0"/>
    <x v="0"/>
  </r>
  <r>
    <n v="0"/>
    <x v="0"/>
    <n v="69"/>
    <x v="2"/>
    <n v="3"/>
    <n v="3"/>
    <s v="Graduate"/>
    <x v="1"/>
    <n v="0"/>
    <n v="0"/>
    <n v="0"/>
    <x v="1"/>
    <n v="0"/>
    <x v="0"/>
    <n v="0"/>
    <n v="0"/>
    <n v="0"/>
    <n v="286"/>
    <n v="286"/>
    <x v="0"/>
    <n v="117"/>
    <n v="73"/>
    <n v="20.92"/>
    <n v="20.92"/>
    <x v="1"/>
    <n v="85"/>
    <n v="85"/>
    <n v="103"/>
    <n v="103"/>
    <x v="0"/>
    <x v="0"/>
  </r>
  <r>
    <n v="1"/>
    <x v="1"/>
    <n v="69"/>
    <x v="2"/>
    <n v="1"/>
    <n v="1"/>
    <s v="Primary"/>
    <x v="2"/>
    <n v="1"/>
    <n v="4"/>
    <n v="4"/>
    <x v="0"/>
    <n v="0"/>
    <x v="0"/>
    <n v="0"/>
    <n v="1"/>
    <n v="0"/>
    <n v="232"/>
    <n v="232"/>
    <x v="1"/>
    <n v="151"/>
    <n v="74"/>
    <n v="24.14"/>
    <n v="24.14"/>
    <x v="1"/>
    <n v="75"/>
    <n v="75"/>
    <n v="62"/>
    <n v="62"/>
    <x v="0"/>
    <x v="0"/>
  </r>
  <r>
    <n v="0"/>
    <x v="0"/>
    <n v="69"/>
    <x v="2"/>
    <n v="3"/>
    <n v="3"/>
    <s v="Graduate"/>
    <x v="1"/>
    <n v="0"/>
    <n v="0"/>
    <n v="0"/>
    <x v="1"/>
    <n v="1"/>
    <x v="1"/>
    <n v="0"/>
    <n v="1"/>
    <n v="0"/>
    <n v="203"/>
    <n v="203"/>
    <x v="1"/>
    <n v="166"/>
    <n v="90"/>
    <n v="25.4"/>
    <n v="25.4"/>
    <x v="0"/>
    <n v="77"/>
    <n v="77"/>
    <n v="80"/>
    <n v="80"/>
    <x v="0"/>
    <x v="0"/>
  </r>
  <r>
    <n v="1"/>
    <x v="1"/>
    <n v="69"/>
    <x v="2"/>
    <n v="1"/>
    <n v="1"/>
    <s v="Primary"/>
    <x v="2"/>
    <n v="1"/>
    <n v="1"/>
    <n v="1"/>
    <x v="0"/>
    <n v="0"/>
    <x v="0"/>
    <n v="0"/>
    <n v="0"/>
    <n v="0"/>
    <n v="245"/>
    <n v="245"/>
    <x v="0"/>
    <n v="123"/>
    <n v="77"/>
    <n v="26.58"/>
    <n v="26.58"/>
    <x v="0"/>
    <n v="70"/>
    <n v="70"/>
    <n v="81"/>
    <n v="81"/>
    <x v="0"/>
    <x v="1"/>
  </r>
  <r>
    <n v="1"/>
    <x v="1"/>
    <n v="69"/>
    <x v="2"/>
    <s v="NA"/>
    <n v="1"/>
    <s v="Primary"/>
    <x v="2"/>
    <n v="1"/>
    <n v="23"/>
    <n v="23"/>
    <x v="0"/>
    <n v="0"/>
    <x v="0"/>
    <n v="0"/>
    <n v="1"/>
    <n v="0"/>
    <n v="186"/>
    <n v="186"/>
    <x v="1"/>
    <n v="179"/>
    <n v="93"/>
    <n v="26.64"/>
    <n v="26.64"/>
    <x v="0"/>
    <n v="72"/>
    <n v="72"/>
    <n v="67"/>
    <n v="67"/>
    <x v="0"/>
    <x v="0"/>
  </r>
  <r>
    <n v="0"/>
    <x v="0"/>
    <n v="69"/>
    <x v="2"/>
    <n v="2"/>
    <n v="2"/>
    <s v="Secondary"/>
    <x v="0"/>
    <n v="0"/>
    <n v="0"/>
    <n v="0"/>
    <x v="1"/>
    <n v="1"/>
    <x v="1"/>
    <n v="0"/>
    <n v="1"/>
    <n v="0"/>
    <n v="220"/>
    <n v="220"/>
    <x v="1"/>
    <n v="143"/>
    <n v="81"/>
    <n v="26.27"/>
    <n v="26.27"/>
    <x v="0"/>
    <n v="60"/>
    <n v="60"/>
    <n v="77"/>
    <n v="77"/>
    <x v="0"/>
    <x v="0"/>
  </r>
  <r>
    <n v="0"/>
    <x v="0"/>
    <n v="70"/>
    <x v="2"/>
    <n v="1"/>
    <n v="1"/>
    <s v="Primary"/>
    <x v="2"/>
    <n v="0"/>
    <n v="0"/>
    <n v="0"/>
    <x v="1"/>
    <n v="0"/>
    <x v="0"/>
    <n v="1"/>
    <n v="1"/>
    <n v="0"/>
    <n v="107"/>
    <n v="107"/>
    <x v="1"/>
    <n v="143"/>
    <n v="93"/>
    <s v="NA"/>
    <n v="25.80080075811421"/>
    <x v="0"/>
    <n v="68"/>
    <n v="68"/>
    <n v="62"/>
    <n v="62"/>
    <x v="0"/>
    <x v="1"/>
  </r>
  <r>
    <n v="0"/>
    <x v="0"/>
    <n v="70"/>
    <x v="2"/>
    <n v="2"/>
    <n v="2"/>
    <s v="Secondary"/>
    <x v="0"/>
    <n v="0"/>
    <n v="0"/>
    <n v="0"/>
    <x v="1"/>
    <n v="1"/>
    <x v="1"/>
    <n v="0"/>
    <n v="1"/>
    <n v="0"/>
    <n v="231"/>
    <n v="231"/>
    <x v="1"/>
    <n v="136"/>
    <n v="84"/>
    <n v="31.78"/>
    <n v="31.78"/>
    <x v="2"/>
    <n v="60"/>
    <n v="60"/>
    <n v="95"/>
    <n v="9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F8D148-D1C0-4FE0-81F6-6A4BE1BC9E3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18:B23" firstHeaderRow="1" firstDataRow="1" firstDataCol="1"/>
  <pivotFields count="31">
    <pivotField showAll="0"/>
    <pivotField showAll="0">
      <items count="3">
        <item x="0"/>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dataField="1" showAll="0">
      <items count="3">
        <item x="0"/>
        <item x="1"/>
        <item t="default"/>
      </items>
    </pivotField>
  </pivotFields>
  <rowFields count="1">
    <field x="24"/>
  </rowFields>
  <rowItems count="5">
    <i>
      <x/>
    </i>
    <i>
      <x v="1"/>
    </i>
    <i>
      <x v="2"/>
    </i>
    <i>
      <x v="3"/>
    </i>
    <i t="grand">
      <x/>
    </i>
  </rowItems>
  <colItems count="1">
    <i/>
  </colItems>
  <dataFields count="1">
    <dataField name="Heart Disease % by BMI Category" fld="30" subtotal="average" baseField="0" baseItem="0" numFmtId="1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0CD37E-CD5C-40E2-B128-FF67E16201BF}"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4:B38" firstHeaderRow="1" firstDataRow="1" firstDataCol="1"/>
  <pivotFields count="31">
    <pivotField showAll="0"/>
    <pivotField showAll="0">
      <items count="3">
        <item x="0"/>
        <item x="1"/>
        <item t="default"/>
      </items>
    </pivotField>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dataField="1" showAll="0">
      <items count="3">
        <item x="0"/>
        <item x="1"/>
        <item t="default"/>
      </items>
    </pivotField>
  </pivotFields>
  <rowFields count="1">
    <field x="3"/>
  </rowFields>
  <rowItems count="4">
    <i>
      <x/>
    </i>
    <i>
      <x v="1"/>
    </i>
    <i>
      <x v="2"/>
    </i>
    <i t="grand">
      <x/>
    </i>
  </rowItems>
  <colItems count="1">
    <i/>
  </colItems>
  <dataFields count="1">
    <dataField name="Average of TenYearCHD" fld="30" subtotal="average" baseField="0" baseItem="0" numFmtId="1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7C3780-9AEC-41E0-B2FD-2F60732F78F9}"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82:B85" firstHeaderRow="1" firstDataRow="1" firstDataCol="1"/>
  <pivotFields count="31">
    <pivotField showAll="0"/>
    <pivotField showAll="0">
      <items count="3">
        <item x="0"/>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1"/>
        <item x="2"/>
        <item x="0"/>
        <item x="3"/>
        <item t="default"/>
      </items>
    </pivotField>
    <pivotField showAll="0"/>
    <pivotField showAll="0"/>
    <pivotField showAll="0"/>
    <pivotField showAll="0"/>
    <pivotField axis="axisRow" showAll="0">
      <items count="4">
        <item m="1" x="2"/>
        <item x="0"/>
        <item x="1"/>
        <item t="default"/>
      </items>
    </pivotField>
    <pivotField dataField="1" showAll="0">
      <items count="3">
        <item x="0"/>
        <item x="1"/>
        <item t="default"/>
      </items>
    </pivotField>
  </pivotFields>
  <rowFields count="1">
    <field x="29"/>
  </rowFields>
  <rowItems count="3">
    <i>
      <x v="1"/>
    </i>
    <i>
      <x v="2"/>
    </i>
    <i t="grand">
      <x/>
    </i>
  </rowItems>
  <colItems count="1">
    <i/>
  </colItems>
  <dataFields count="1">
    <dataField name="Average of TenYearCHD" fld="30" subtotal="average" baseField="29" baseItem="2" numFmtId="10"/>
  </dataFields>
  <chartFormats count="3">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DB372D-3141-4E70-BD31-795F276BADA3}"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96:B99" firstHeaderRow="1" firstDataRow="1" firstDataCol="1"/>
  <pivotFields count="31">
    <pivotField showAll="0"/>
    <pivotField showAll="0">
      <items count="3">
        <item x="0"/>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axis="axisRow" showAll="0">
      <items count="3">
        <item x="0"/>
        <item x="1"/>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dataField="1" showAll="0">
      <items count="3">
        <item x="0"/>
        <item x="1"/>
        <item t="default"/>
      </items>
    </pivotField>
  </pivotFields>
  <rowFields count="1">
    <field x="13"/>
  </rowFields>
  <rowItems count="3">
    <i>
      <x/>
    </i>
    <i>
      <x v="1"/>
    </i>
    <i t="grand">
      <x/>
    </i>
  </rowItems>
  <colItems count="1">
    <i/>
  </colItems>
  <dataFields count="1">
    <dataField name="Average of TenYearCHD" fld="30" subtotal="average" baseField="13" baseItem="0" numFmtId="1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3" count="1" selected="0">
            <x v="0"/>
          </reference>
        </references>
      </pivotArea>
    </chartFormat>
    <chartFormat chart="5" format="8">
      <pivotArea type="data" outline="0" fieldPosition="0">
        <references count="2">
          <reference field="4294967294" count="1" selected="0">
            <x v="0"/>
          </reference>
          <reference field="13"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3" count="1" selected="0">
            <x v="0"/>
          </reference>
        </references>
      </pivotArea>
    </chartFormat>
    <chartFormat chart="8" format="14">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D49823-6ECA-4934-B145-90459C2EDC4E}"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132:D137" firstHeaderRow="1" firstDataRow="2" firstDataCol="1"/>
  <pivotFields count="31">
    <pivotField showAll="0"/>
    <pivotField axis="axisCol" showAll="0">
      <items count="3">
        <item x="0"/>
        <item x="1"/>
        <item t="default"/>
      </items>
    </pivotField>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dataField="1" showAll="0">
      <items count="3">
        <item x="0"/>
        <item x="1"/>
        <item t="default"/>
      </items>
    </pivotField>
  </pivotFields>
  <rowFields count="1">
    <field x="3"/>
  </rowFields>
  <rowItems count="4">
    <i>
      <x/>
    </i>
    <i>
      <x v="1"/>
    </i>
    <i>
      <x v="2"/>
    </i>
    <i t="grand">
      <x/>
    </i>
  </rowItems>
  <colFields count="1">
    <field x="1"/>
  </colFields>
  <colItems count="3">
    <i>
      <x/>
    </i>
    <i>
      <x v="1"/>
    </i>
    <i t="grand">
      <x/>
    </i>
  </colItems>
  <dataFields count="1">
    <dataField name="Average of TenYearCHD" fld="30" subtotal="average" baseField="3" baseItem="1" numFmtId="10"/>
  </dataFields>
  <chartFormats count="8">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8" format="10" series="1">
      <pivotArea type="data" outline="0" fieldPosition="0">
        <references count="2">
          <reference field="4294967294" count="1" selected="0">
            <x v="0"/>
          </reference>
          <reference field="1" count="1" selected="0">
            <x v="0"/>
          </reference>
        </references>
      </pivotArea>
    </chartFormat>
    <chartFormat chart="8" format="1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8385A2-EE7A-489B-B31D-8FCD9F900C9F}"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49:B54" firstHeaderRow="1" firstDataRow="1" firstDataCol="1"/>
  <pivotFields count="31">
    <pivotField showAll="0"/>
    <pivotField showAll="0">
      <items count="3">
        <item x="0"/>
        <item x="1"/>
        <item t="default"/>
      </items>
    </pivotField>
    <pivotField showAll="0"/>
    <pivotField showAll="0">
      <items count="4">
        <item x="1"/>
        <item x="2"/>
        <item x="0"/>
        <item t="default"/>
      </items>
    </pivotField>
    <pivotField showAll="0"/>
    <pivotField showAll="0"/>
    <pivotField showAll="0"/>
    <pivotField axis="axisRow" showAll="0">
      <items count="5">
        <item x="1"/>
        <item x="3"/>
        <item x="2"/>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dataField="1" showAll="0">
      <items count="3">
        <item x="0"/>
        <item x="1"/>
        <item t="default"/>
      </items>
    </pivotField>
  </pivotFields>
  <rowFields count="1">
    <field x="7"/>
  </rowFields>
  <rowItems count="5">
    <i>
      <x/>
    </i>
    <i>
      <x v="1"/>
    </i>
    <i>
      <x v="2"/>
    </i>
    <i>
      <x v="3"/>
    </i>
    <i t="grand">
      <x/>
    </i>
  </rowItems>
  <colItems count="1">
    <i/>
  </colItems>
  <dataFields count="1">
    <dataField name="Heart Disease % by Age Group" fld="30" subtotal="average" baseField="7" baseItem="0" numFmtId="1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1B1D7A-A9D3-4212-9F53-3BAA23761B8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2:B5" firstHeaderRow="1" firstDataRow="1" firstDataCol="1"/>
  <pivotFields count="31">
    <pivotField showAll="0"/>
    <pivotField showAll="0">
      <items count="3">
        <item x="0"/>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dataField="1" showAll="0">
      <items count="3">
        <item x="0"/>
        <item x="1"/>
        <item t="default"/>
      </items>
    </pivotField>
  </pivotFields>
  <rowFields count="1">
    <field x="11"/>
  </rowFields>
  <rowItems count="3">
    <i>
      <x/>
    </i>
    <i>
      <x v="1"/>
    </i>
    <i t="grand">
      <x/>
    </i>
  </rowItems>
  <colItems count="1">
    <i/>
  </colItems>
  <dataFields count="1">
    <dataField name="Heart Disease % by Smoking Status" fld="30" subtotal="average" baseField="0" baseItem="0" numFmtId="1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1128CF-61BF-4772-A4DC-8C34BBC020A4}"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68:B71" firstHeaderRow="1" firstDataRow="1" firstDataCol="1"/>
  <pivotFields count="31">
    <pivotField showAll="0"/>
    <pivotField axis="axisRow" showAll="0">
      <items count="3">
        <item x="0"/>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dataField="1" showAll="0">
      <items count="3">
        <item x="0"/>
        <item x="1"/>
        <item t="default"/>
      </items>
    </pivotField>
  </pivotFields>
  <rowFields count="1">
    <field x="1"/>
  </rowFields>
  <rowItems count="3">
    <i>
      <x/>
    </i>
    <i>
      <x v="1"/>
    </i>
    <i t="grand">
      <x/>
    </i>
  </rowItems>
  <colItems count="1">
    <i/>
  </colItems>
  <dataFields count="1">
    <dataField name="Average of TenYearCHD" fld="30" subtotal="average" baseField="1"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CDEF34-5992-463A-8C8F-8A7819656B59}"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154:D159" firstHeaderRow="1" firstDataRow="2" firstDataCol="1"/>
  <pivotFields count="31">
    <pivotField showAll="0"/>
    <pivotField showAll="0">
      <items count="3">
        <item x="0"/>
        <item x="1"/>
        <item t="default"/>
      </items>
    </pivotField>
    <pivotField showAll="0"/>
    <pivotField axis="axisRow" showAll="0">
      <items count="4">
        <item x="1"/>
        <item x="2"/>
        <item x="0"/>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dataField="1" showAll="0">
      <items count="3">
        <item x="0"/>
        <item x="1"/>
        <item t="default"/>
      </items>
    </pivotField>
  </pivotFields>
  <rowFields count="1">
    <field x="3"/>
  </rowFields>
  <rowItems count="4">
    <i>
      <x/>
    </i>
    <i>
      <x v="1"/>
    </i>
    <i>
      <x v="2"/>
    </i>
    <i t="grand">
      <x/>
    </i>
  </rowItems>
  <colFields count="1">
    <field x="11"/>
  </colFields>
  <colItems count="3">
    <i>
      <x/>
    </i>
    <i>
      <x v="1"/>
    </i>
    <i t="grand">
      <x/>
    </i>
  </colItems>
  <dataFields count="1">
    <dataField name="Average of TenYearCHD" fld="30" subtotal="average" baseField="3" baseItem="1" numFmtId="10"/>
  </dataFields>
  <chartFormats count="8">
    <chartFormat chart="0" format="0" series="1">
      <pivotArea type="data" outline="0" fieldPosition="0">
        <references count="1">
          <reference field="11" count="1" selected="0">
            <x v="0"/>
          </reference>
        </references>
      </pivotArea>
    </chartFormat>
    <chartFormat chart="0" format="1" series="1">
      <pivotArea type="data" outline="0" fieldPosition="0">
        <references count="1">
          <reference field="11" count="1" selected="0">
            <x v="1"/>
          </reference>
        </references>
      </pivotArea>
    </chartFormat>
    <chartFormat chart="0" format="2" series="1">
      <pivotArea type="data" outline="0" fieldPosition="0">
        <references count="2">
          <reference field="4294967294" count="1" selected="0">
            <x v="0"/>
          </reference>
          <reference field="11" count="1" selected="0">
            <x v="0"/>
          </reference>
        </references>
      </pivotArea>
    </chartFormat>
    <chartFormat chart="0" format="3" series="1">
      <pivotArea type="data" outline="0" fieldPosition="0">
        <references count="2">
          <reference field="4294967294" count="1" selected="0">
            <x v="0"/>
          </reference>
          <reference field="11" count="1" selected="0">
            <x v="1"/>
          </reference>
        </references>
      </pivotArea>
    </chartFormat>
    <chartFormat chart="14" format="6" series="1">
      <pivotArea type="data" outline="0" fieldPosition="0">
        <references count="2">
          <reference field="4294967294" count="1" selected="0">
            <x v="0"/>
          </reference>
          <reference field="11" count="1" selected="0">
            <x v="0"/>
          </reference>
        </references>
      </pivotArea>
    </chartFormat>
    <chartFormat chart="14" format="7" series="1">
      <pivotArea type="data" outline="0" fieldPosition="0">
        <references count="2">
          <reference field="4294967294" count="1" selected="0">
            <x v="0"/>
          </reference>
          <reference field="11" count="1" selected="0">
            <x v="1"/>
          </reference>
        </references>
      </pivotArea>
    </chartFormat>
    <chartFormat chart="17" format="10" series="1">
      <pivotArea type="data" outline="0" fieldPosition="0">
        <references count="2">
          <reference field="4294967294" count="1" selected="0">
            <x v="0"/>
          </reference>
          <reference field="11" count="1" selected="0">
            <x v="0"/>
          </reference>
        </references>
      </pivotArea>
    </chartFormat>
    <chartFormat chart="17" format="11"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647024-1CB9-43A0-933A-1F2BD255EBB2}"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113:B116" firstHeaderRow="1" firstDataRow="1" firstDataCol="1"/>
  <pivotFields count="31">
    <pivotField showAll="0"/>
    <pivotField showAll="0">
      <items count="3">
        <item x="0"/>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dataField="1" showAll="0">
      <items count="3">
        <item x="0"/>
        <item x="1"/>
        <item t="default"/>
      </items>
    </pivotField>
  </pivotFields>
  <rowFields count="1">
    <field x="19"/>
  </rowFields>
  <rowItems count="3">
    <i>
      <x/>
    </i>
    <i>
      <x v="1"/>
    </i>
    <i t="grand">
      <x/>
    </i>
  </rowItems>
  <colItems count="1">
    <i/>
  </colItems>
  <dataFields count="1">
    <dataField name="Average of TenYearCHD" fld="30" subtotal="average" baseField="19" baseItem="0" numFmtId="10"/>
  </dataFields>
  <chartFormats count="9">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9" count="1" selected="0">
            <x v="0"/>
          </reference>
        </references>
      </pivotArea>
    </chartFormat>
    <chartFormat chart="5" format="7">
      <pivotArea type="data" outline="0" fieldPosition="0">
        <references count="2">
          <reference field="4294967294" count="1" selected="0">
            <x v="0"/>
          </reference>
          <reference field="19" count="1" selected="0">
            <x v="1"/>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19" count="1" selected="0">
            <x v="0"/>
          </reference>
        </references>
      </pivotArea>
    </chartFormat>
    <chartFormat chart="8" format="13">
      <pivotArea type="data" outline="0" fieldPosition="0">
        <references count="2">
          <reference field="4294967294" count="1" selected="0">
            <x v="0"/>
          </reference>
          <reference field="19" count="1" selected="0">
            <x v="1"/>
          </reference>
        </references>
      </pivotArea>
    </chartFormat>
    <chartFormat chart="0" format="2">
      <pivotArea type="data" outline="0" fieldPosition="0">
        <references count="2">
          <reference field="4294967294" count="1" selected="0">
            <x v="0"/>
          </reference>
          <reference field="19" count="1" selected="0">
            <x v="0"/>
          </reference>
        </references>
      </pivotArea>
    </chartFormat>
    <chartFormat chart="0" format="3">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2F37CD4-03EA-4895-AEC0-9DF36474DF90}" sourceName="gender">
  <pivotTables>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 tabId="2" name="PivotTable11"/>
  </pivotTables>
  <data>
    <tabular pivotCacheId="16267695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E514F01-1CDE-4315-8B8B-7FB91E39614E}" sourceName="age_group">
  <pivotTables>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 tabId="2" name="PivotTable11"/>
  </pivotTables>
  <data>
    <tabular pivotCacheId="162676955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_Category" xr10:uid="{86AE9C7B-F468-49FB-9D6B-6C7AD86F2073}" sourceName="smoker_Category">
  <pivotTables>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 tabId="2" name="PivotTable11"/>
  </pivotTables>
  <data>
    <tabular pivotCacheId="162676955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289695D0-45B9-4B36-B970-ACCD540C00C2}" sourceName="BMI_Category">
  <pivotTables>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 tabId="2" name="PivotTable11"/>
  </pivotTables>
  <data>
    <tabular pivotCacheId="1626769551">
      <items count="4">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_Cholesterol_Flag" xr10:uid="{BC0292F7-B945-42E4-B71C-063094B39F7E}" sourceName="High_Cholesterol_Flag">
  <pivotTables>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 tabId="2" name="PivotTable11"/>
  </pivotTables>
  <data>
    <tabular pivotCacheId="162676955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YearCHD" xr10:uid="{4FF05C36-069F-4BB1-B5C9-CAF9CB517C14}" sourceName="TenYearCHD">
  <pivotTables>
    <pivotTable tabId="2" name="PivotTable2"/>
    <pivotTable tabId="2" name="PivotTable1"/>
    <pivotTable tabId="2" name="PivotTable10"/>
    <pivotTable tabId="2" name="PivotTable3"/>
    <pivotTable tabId="2" name="PivotTable4"/>
    <pivotTable tabId="2" name="PivotTable6"/>
    <pivotTable tabId="2" name="PivotTable7"/>
    <pivotTable tabId="2" name="PivotTable8"/>
    <pivotTable tabId="2" name="PivotTable9"/>
    <pivotTable tabId="2" name="PivotTable11"/>
  </pivotTables>
  <data>
    <tabular pivotCacheId="162676955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596A310-6ABF-4485-9488-D34F1976C85D}" cache="Slicer_gender" caption="gender" rowHeight="230716"/>
  <slicer name="age_group" xr10:uid="{12FE637B-3DD7-419F-861F-E142B171B081}" cache="Slicer_age_group" caption="age_group" rowHeight="230716"/>
  <slicer name="smoker_Category" xr10:uid="{44498BE8-6F17-4DB3-8DE5-9F398C3EEAE4}" cache="Slicer_smoker_Category" caption="smoker_Category" rowHeight="230716"/>
  <slicer name="BMI_Category" xr10:uid="{124D99EA-841F-4A2E-943F-C160127F2435}" cache="Slicer_BMI_Category" caption="BMI_Category" rowHeight="230716"/>
  <slicer name="High_Cholesterol_Flag" xr10:uid="{9AFE83D5-250E-46BF-9A68-751B127026BC}" cache="Slicer_High_Cholesterol_Flag" caption="High_Cholesterol_Flag" rowHeight="230716"/>
  <slicer name="TenYearCHD" xr10:uid="{D1E5FB28-118D-437C-9216-A0EE29E44789}" cache="Slicer_TenYearCHD" caption="TenYearCHD"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2528AF4-9BD0-4887-B3DB-4A92B52B8BBA}" cache="Slicer_gender" caption="gender" rowHeight="230716"/>
  <slicer name="age_group 1" xr10:uid="{890669B6-F313-45C6-8F8F-AE987CBCF067}" cache="Slicer_age_group" caption="age_group" rowHeight="230716"/>
  <slicer name="smoker_Category 1" xr10:uid="{F4496ED7-C73B-4568-9E34-98452EAB534C}" cache="Slicer_smoker_Category" caption="smoker_Category" rowHeight="230716"/>
  <slicer name="BMI_Category 1" xr10:uid="{8386C961-FD8C-41EB-B41E-9CCA2CE71075}" cache="Slicer_BMI_Category" caption="BMI_Category" rowHeight="230716"/>
  <slicer name="High_Cholesterol_Flag 1" xr10:uid="{260B0C35-DE2E-4FAA-A179-41CEF9F2F289}" cache="Slicer_High_Cholesterol_Flag" caption="High_Cholesterol_Flag" rowHeight="230716"/>
  <slicer name="TenYearCHD 1" xr10:uid="{78CE0141-5E7A-4586-AB39-8158F63E2CAF}" cache="Slicer_TenYearCHD" caption="TenYearCHD"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F3D1AD-41C1-4B5C-846A-92840EC47C19}" name="Table3" displayName="Table3" ref="A1:B7" totalsRowShown="0">
  <autoFilter ref="A1:B7" xr:uid="{41DBCBFB-EE1E-4084-A4D5-D04939575A8C}"/>
  <tableColumns count="2">
    <tableColumn id="1" xr3:uid="{F1455C88-EB76-4FFD-8128-D91F9EA1E2D7}" name="Column1"/>
    <tableColumn id="2" xr3:uid="{A31A8A97-1395-4222-8F88-F6512A15AAE0}"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241"/>
  <sheetViews>
    <sheetView tabSelected="1" topLeftCell="L229" zoomScale="80" zoomScaleNormal="85" workbookViewId="0">
      <selection activeCell="T12" sqref="T12"/>
    </sheetView>
  </sheetViews>
  <sheetFormatPr defaultRowHeight="14" x14ac:dyDescent="0.3"/>
  <cols>
    <col min="4" max="4" width="10.36328125" bestFit="1" customWidth="1"/>
    <col min="5" max="5" width="13.81640625" bestFit="1" customWidth="1"/>
    <col min="6" max="7" width="13.81640625" customWidth="1"/>
    <col min="8" max="8" width="12.6328125" bestFit="1" customWidth="1"/>
    <col min="9" max="9" width="15.7265625" bestFit="1" customWidth="1"/>
    <col min="10" max="10" width="15.7265625" customWidth="1"/>
    <col min="11" max="11" width="13.36328125" bestFit="1" customWidth="1"/>
    <col min="12" max="12" width="13.453125" bestFit="1" customWidth="1"/>
    <col min="13" max="13" width="11.54296875" bestFit="1" customWidth="1"/>
    <col min="15" max="15" width="12.36328125" bestFit="1" customWidth="1"/>
    <col min="16" max="16" width="19.36328125" bestFit="1" customWidth="1"/>
    <col min="19" max="19" width="9.7265625" customWidth="1"/>
    <col min="20" max="20" width="12.90625" bestFit="1" customWidth="1"/>
    <col min="21" max="21" width="14.08984375" bestFit="1" customWidth="1"/>
    <col min="22" max="22" width="12.54296875" bestFit="1" customWidth="1"/>
    <col min="23" max="23" width="12.54296875" customWidth="1"/>
    <col min="24" max="24" width="12" bestFit="1" customWidth="1"/>
  </cols>
  <sheetData>
    <row r="1" spans="1:24" ht="14.5" thickBot="1" x14ac:dyDescent="0.35">
      <c r="A1" t="s">
        <v>0</v>
      </c>
      <c r="B1" t="s">
        <v>46</v>
      </c>
      <c r="C1" s="7" t="s">
        <v>81</v>
      </c>
      <c r="D1" t="s">
        <v>18</v>
      </c>
      <c r="E1" t="s">
        <v>14</v>
      </c>
      <c r="F1" t="s">
        <v>26</v>
      </c>
      <c r="G1" t="s">
        <v>23</v>
      </c>
      <c r="H1" t="s">
        <v>1</v>
      </c>
      <c r="I1" t="s">
        <v>8</v>
      </c>
      <c r="J1" t="s">
        <v>15</v>
      </c>
      <c r="K1" t="s">
        <v>9</v>
      </c>
      <c r="L1" t="s">
        <v>2</v>
      </c>
      <c r="M1" t="s">
        <v>3</v>
      </c>
      <c r="N1" t="s">
        <v>4</v>
      </c>
      <c r="O1" t="s">
        <v>10</v>
      </c>
      <c r="P1" t="s">
        <v>17</v>
      </c>
      <c r="Q1" t="s">
        <v>5</v>
      </c>
      <c r="R1" t="s">
        <v>6</v>
      </c>
      <c r="S1" s="1" t="s">
        <v>13</v>
      </c>
      <c r="T1" t="s">
        <v>16</v>
      </c>
      <c r="U1" t="s">
        <v>11</v>
      </c>
      <c r="V1" t="s">
        <v>12</v>
      </c>
      <c r="W1" t="s">
        <v>52</v>
      </c>
      <c r="X1" t="s">
        <v>7</v>
      </c>
    </row>
    <row r="2" spans="1:24" ht="14.5" thickBot="1" x14ac:dyDescent="0.35">
      <c r="A2">
        <v>0</v>
      </c>
      <c r="B2" t="str">
        <f>IF(A2=0,"Female","Male")</f>
        <v>Female</v>
      </c>
      <c r="C2" s="8">
        <v>32</v>
      </c>
      <c r="D2" t="str">
        <f>IF(C2&lt;40,"Young",
IF(C2&lt;55,"Middle Age","Senior"))</f>
        <v>Young</v>
      </c>
      <c r="E2">
        <v>2</v>
      </c>
      <c r="F2" t="str">
        <f>HLOOKUP(E2, LookUP_Table!$A$6:$D$7, 2, FALSE)</f>
        <v>Secondary</v>
      </c>
      <c r="G2" t="str">
        <f>IFERROR(VLOOKUP(E2, LookUP_Table!$A$1:$B$4, 2, FALSE), "")</f>
        <v>Secondary</v>
      </c>
      <c r="H2">
        <v>1</v>
      </c>
      <c r="I2">
        <v>15</v>
      </c>
      <c r="J2" t="str">
        <f t="shared" ref="J2:J65" si="0">IF(I2&gt;0,"Smoker","Non-Smoker")</f>
        <v>Smoker</v>
      </c>
      <c r="K2">
        <v>0</v>
      </c>
      <c r="L2">
        <v>0</v>
      </c>
      <c r="M2">
        <v>0</v>
      </c>
      <c r="N2">
        <v>0</v>
      </c>
      <c r="O2">
        <v>242</v>
      </c>
      <c r="P2" t="str">
        <f t="shared" ref="P2:P65" si="1">IF(O2&gt;240,"High","Normal")</f>
        <v>High</v>
      </c>
      <c r="Q2">
        <v>111</v>
      </c>
      <c r="R2">
        <v>70</v>
      </c>
      <c r="S2">
        <v>29.84</v>
      </c>
      <c r="T2" t="str">
        <f t="shared" ref="T2:T65" si="2">IF(S2&lt;18.5,"Underweight",
IF(S2&lt;25,"Normal",
IF(S2&lt;30,"Overweight","Obese")))</f>
        <v>Overweight</v>
      </c>
      <c r="U2">
        <v>80</v>
      </c>
      <c r="V2">
        <v>88</v>
      </c>
      <c r="W2" t="str">
        <f>IF(V2 &lt; 100, "Normal", IF(V2 &lt;= 125, "Prediabetes", "Diabetes"))</f>
        <v>Normal</v>
      </c>
      <c r="X2">
        <v>0</v>
      </c>
    </row>
    <row r="3" spans="1:24" ht="14.5" thickBot="1" x14ac:dyDescent="0.35">
      <c r="A3">
        <v>0</v>
      </c>
      <c r="B3" t="str">
        <f t="shared" ref="B3:B66" si="3">IF(A3=0,"Female","Male")</f>
        <v>Female</v>
      </c>
      <c r="C3" s="8">
        <v>33</v>
      </c>
      <c r="D3" t="str">
        <f t="shared" ref="D3:D66" si="4">IF(C3&lt;40,"Young",
IF(C3&lt;55,"Middle Age","Senior"))</f>
        <v>Young</v>
      </c>
      <c r="E3">
        <v>3</v>
      </c>
      <c r="F3" t="str">
        <f>HLOOKUP(E3, LookUP_Table!$A$6:$D$7, 2, FALSE)</f>
        <v>Graduate</v>
      </c>
      <c r="G3" t="str">
        <f>IFERROR(VLOOKUP(E3, LookUP_Table!$A$1:$B$4, 2, FALSE), "")</f>
        <v>Graduate</v>
      </c>
      <c r="H3">
        <v>1</v>
      </c>
      <c r="I3">
        <v>15</v>
      </c>
      <c r="J3" t="str">
        <f t="shared" si="0"/>
        <v>Smoker</v>
      </c>
      <c r="K3">
        <v>0</v>
      </c>
      <c r="L3">
        <v>0</v>
      </c>
      <c r="M3">
        <v>0</v>
      </c>
      <c r="N3">
        <v>0</v>
      </c>
      <c r="O3">
        <v>199</v>
      </c>
      <c r="P3" t="str">
        <f t="shared" si="1"/>
        <v>Normal</v>
      </c>
      <c r="Q3">
        <v>116</v>
      </c>
      <c r="R3">
        <v>81</v>
      </c>
      <c r="S3">
        <v>21.61</v>
      </c>
      <c r="T3" t="str">
        <f t="shared" si="2"/>
        <v>Normal</v>
      </c>
      <c r="U3">
        <v>75</v>
      </c>
      <c r="V3">
        <v>93</v>
      </c>
      <c r="W3" t="str">
        <f t="shared" ref="W3:W66" si="5">IF(V3 &lt; 100, "Normal", IF(V3 &lt;= 125, "Prediabetes", "Diabetes"))</f>
        <v>Normal</v>
      </c>
      <c r="X3">
        <v>0</v>
      </c>
    </row>
    <row r="4" spans="1:24" ht="14.5" thickBot="1" x14ac:dyDescent="0.35">
      <c r="A4">
        <v>0</v>
      </c>
      <c r="B4" t="str">
        <f t="shared" si="3"/>
        <v>Female</v>
      </c>
      <c r="C4" s="8">
        <v>33</v>
      </c>
      <c r="D4" t="str">
        <f t="shared" si="4"/>
        <v>Young</v>
      </c>
      <c r="E4">
        <v>1</v>
      </c>
      <c r="F4" t="str">
        <f>HLOOKUP(E4, LookUP_Table!$A$6:$D$7, 2, FALSE)</f>
        <v>Primary</v>
      </c>
      <c r="G4" t="str">
        <f>IFERROR(VLOOKUP(E4, LookUP_Table!$A$1:$B$4, 2, FALSE), "")</f>
        <v>Primary</v>
      </c>
      <c r="H4">
        <v>0</v>
      </c>
      <c r="I4">
        <v>0</v>
      </c>
      <c r="J4" t="str">
        <f t="shared" si="0"/>
        <v>Non-Smoker</v>
      </c>
      <c r="K4">
        <v>0</v>
      </c>
      <c r="L4">
        <v>0</v>
      </c>
      <c r="M4">
        <v>0</v>
      </c>
      <c r="N4">
        <v>0</v>
      </c>
      <c r="O4">
        <v>158</v>
      </c>
      <c r="P4" t="str">
        <f t="shared" si="1"/>
        <v>Normal</v>
      </c>
      <c r="Q4">
        <v>108</v>
      </c>
      <c r="R4">
        <v>67</v>
      </c>
      <c r="S4">
        <v>19.84</v>
      </c>
      <c r="T4" t="str">
        <f t="shared" si="2"/>
        <v>Normal</v>
      </c>
      <c r="U4">
        <v>86</v>
      </c>
      <c r="V4">
        <v>69</v>
      </c>
      <c r="W4" t="str">
        <f t="shared" si="5"/>
        <v>Normal</v>
      </c>
      <c r="X4">
        <v>0</v>
      </c>
    </row>
    <row r="5" spans="1:24" ht="14.5" thickBot="1" x14ac:dyDescent="0.35">
      <c r="A5">
        <v>1</v>
      </c>
      <c r="B5" t="str">
        <f t="shared" si="3"/>
        <v>Male</v>
      </c>
      <c r="C5" s="8">
        <v>33</v>
      </c>
      <c r="D5" t="str">
        <f>IF(C5&lt;40,"Young",
IF(C5&lt;55,"Middle Age","Senior"))</f>
        <v>Young</v>
      </c>
      <c r="E5">
        <v>2</v>
      </c>
      <c r="F5" t="str">
        <f>HLOOKUP(E5, LookUP_Table!$A$6:$D$7, 2, FALSE)</f>
        <v>Secondary</v>
      </c>
      <c r="G5" t="str">
        <f>IFERROR(VLOOKUP(E5, LookUP_Table!$A$1:$B$4, 2, FALSE), "")</f>
        <v>Secondary</v>
      </c>
      <c r="H5">
        <v>0</v>
      </c>
      <c r="I5">
        <v>0</v>
      </c>
      <c r="J5" t="str">
        <f t="shared" si="0"/>
        <v>Non-Smoker</v>
      </c>
      <c r="K5">
        <v>0</v>
      </c>
      <c r="L5">
        <v>0</v>
      </c>
      <c r="M5">
        <v>1</v>
      </c>
      <c r="N5">
        <v>0</v>
      </c>
      <c r="O5">
        <v>165</v>
      </c>
      <c r="P5" t="str">
        <f t="shared" si="1"/>
        <v>Normal</v>
      </c>
      <c r="Q5">
        <v>141.5</v>
      </c>
      <c r="R5">
        <v>95</v>
      </c>
      <c r="S5">
        <v>26.74</v>
      </c>
      <c r="T5" t="str">
        <f t="shared" si="2"/>
        <v>Overweight</v>
      </c>
      <c r="U5">
        <v>54</v>
      </c>
      <c r="V5">
        <v>77</v>
      </c>
      <c r="W5" t="str">
        <f t="shared" si="5"/>
        <v>Normal</v>
      </c>
      <c r="X5">
        <v>0</v>
      </c>
    </row>
    <row r="6" spans="1:24" ht="14.5" thickBot="1" x14ac:dyDescent="0.35">
      <c r="A6">
        <v>0</v>
      </c>
      <c r="B6" t="str">
        <f t="shared" si="3"/>
        <v>Female</v>
      </c>
      <c r="C6" s="8">
        <v>33</v>
      </c>
      <c r="D6" t="str">
        <f t="shared" si="4"/>
        <v>Young</v>
      </c>
      <c r="E6">
        <v>2</v>
      </c>
      <c r="F6" t="str">
        <f>HLOOKUP(E6, LookUP_Table!$A$6:$D$7, 2, FALSE)</f>
        <v>Secondary</v>
      </c>
      <c r="G6" t="str">
        <f>IFERROR(VLOOKUP(E6, LookUP_Table!$A$1:$B$4, 2, FALSE), "")</f>
        <v>Secondary</v>
      </c>
      <c r="H6">
        <v>1</v>
      </c>
      <c r="I6">
        <v>5</v>
      </c>
      <c r="J6" t="str">
        <f t="shared" si="0"/>
        <v>Smoker</v>
      </c>
      <c r="K6">
        <v>0</v>
      </c>
      <c r="L6">
        <v>0</v>
      </c>
      <c r="M6">
        <v>0</v>
      </c>
      <c r="N6">
        <v>0</v>
      </c>
      <c r="O6">
        <v>200</v>
      </c>
      <c r="P6" t="str">
        <f t="shared" si="1"/>
        <v>Normal</v>
      </c>
      <c r="Q6">
        <v>119</v>
      </c>
      <c r="R6">
        <v>74</v>
      </c>
      <c r="S6">
        <v>23.8</v>
      </c>
      <c r="T6" t="str">
        <f t="shared" si="2"/>
        <v>Normal</v>
      </c>
      <c r="U6">
        <v>75</v>
      </c>
      <c r="V6">
        <v>74</v>
      </c>
      <c r="W6" t="str">
        <f t="shared" si="5"/>
        <v>Normal</v>
      </c>
      <c r="X6">
        <v>0</v>
      </c>
    </row>
    <row r="7" spans="1:24" ht="14.5" thickBot="1" x14ac:dyDescent="0.35">
      <c r="A7">
        <v>1</v>
      </c>
      <c r="B7" t="str">
        <f t="shared" si="3"/>
        <v>Male</v>
      </c>
      <c r="C7" s="8">
        <v>33</v>
      </c>
      <c r="D7" t="str">
        <f t="shared" si="4"/>
        <v>Young</v>
      </c>
      <c r="E7">
        <v>4</v>
      </c>
      <c r="F7" t="str">
        <f>HLOOKUP(E7, LookUP_Table!$A$6:$D$7, 2, FALSE)</f>
        <v>Post Graduate</v>
      </c>
      <c r="G7" t="str">
        <f>IFERROR(VLOOKUP(E7, LookUP_Table!$A$1:$B$4, 2, FALSE), "")</f>
        <v>Post Graduate</v>
      </c>
      <c r="H7">
        <v>0</v>
      </c>
      <c r="I7">
        <v>0</v>
      </c>
      <c r="J7" t="str">
        <f t="shared" si="0"/>
        <v>Non-Smoker</v>
      </c>
      <c r="K7">
        <v>0</v>
      </c>
      <c r="L7">
        <v>0</v>
      </c>
      <c r="M7">
        <v>0</v>
      </c>
      <c r="N7">
        <v>0</v>
      </c>
      <c r="O7">
        <v>165</v>
      </c>
      <c r="P7" t="str">
        <f t="shared" si="1"/>
        <v>Normal</v>
      </c>
      <c r="Q7">
        <v>136</v>
      </c>
      <c r="R7">
        <v>75</v>
      </c>
      <c r="S7">
        <v>24.95</v>
      </c>
      <c r="T7" t="str">
        <f t="shared" si="2"/>
        <v>Normal</v>
      </c>
      <c r="U7">
        <v>88</v>
      </c>
      <c r="V7">
        <v>90</v>
      </c>
      <c r="W7" t="str">
        <f t="shared" si="5"/>
        <v>Normal</v>
      </c>
      <c r="X7">
        <v>0</v>
      </c>
    </row>
    <row r="8" spans="1:24" ht="14.5" thickBot="1" x14ac:dyDescent="0.35">
      <c r="A8">
        <v>0</v>
      </c>
      <c r="B8" t="str">
        <f t="shared" si="3"/>
        <v>Female</v>
      </c>
      <c r="C8" s="8">
        <v>34</v>
      </c>
      <c r="D8" t="str">
        <f t="shared" si="4"/>
        <v>Young</v>
      </c>
      <c r="E8">
        <v>1</v>
      </c>
      <c r="F8" t="str">
        <f>HLOOKUP(E8, LookUP_Table!$A$6:$D$7, 2, FALSE)</f>
        <v>Primary</v>
      </c>
      <c r="G8" t="str">
        <f>IFERROR(VLOOKUP(E8, LookUP_Table!$A$1:$B$4, 2, FALSE), "")</f>
        <v>Primary</v>
      </c>
      <c r="H8">
        <v>0</v>
      </c>
      <c r="I8">
        <v>0</v>
      </c>
      <c r="J8" t="str">
        <f t="shared" si="0"/>
        <v>Non-Smoker</v>
      </c>
      <c r="K8">
        <v>0</v>
      </c>
      <c r="L8">
        <v>0</v>
      </c>
      <c r="M8">
        <v>0</v>
      </c>
      <c r="N8">
        <v>0</v>
      </c>
      <c r="O8">
        <v>163</v>
      </c>
      <c r="P8" t="str">
        <f t="shared" si="1"/>
        <v>Normal</v>
      </c>
      <c r="Q8">
        <v>107</v>
      </c>
      <c r="R8">
        <v>71</v>
      </c>
      <c r="S8">
        <v>23.88</v>
      </c>
      <c r="T8" t="str">
        <f t="shared" si="2"/>
        <v>Normal</v>
      </c>
      <c r="U8">
        <v>73</v>
      </c>
      <c r="V8">
        <v>80</v>
      </c>
      <c r="W8" t="str">
        <f t="shared" si="5"/>
        <v>Normal</v>
      </c>
      <c r="X8">
        <v>0</v>
      </c>
    </row>
    <row r="9" spans="1:24" ht="14.5" thickBot="1" x14ac:dyDescent="0.35">
      <c r="A9">
        <v>0</v>
      </c>
      <c r="B9" t="str">
        <f t="shared" si="3"/>
        <v>Female</v>
      </c>
      <c r="C9" s="8">
        <v>34</v>
      </c>
      <c r="D9" t="str">
        <f t="shared" si="4"/>
        <v>Young</v>
      </c>
      <c r="E9">
        <v>3</v>
      </c>
      <c r="F9" t="str">
        <f>HLOOKUP(E9, LookUP_Table!$A$6:$D$7, 2, FALSE)</f>
        <v>Graduate</v>
      </c>
      <c r="G9" t="str">
        <f>IFERROR(VLOOKUP(E9, LookUP_Table!$A$1:$B$4, 2, FALSE), "")</f>
        <v>Graduate</v>
      </c>
      <c r="H9">
        <v>1</v>
      </c>
      <c r="I9">
        <v>10</v>
      </c>
      <c r="J9" t="str">
        <f t="shared" si="0"/>
        <v>Smoker</v>
      </c>
      <c r="K9">
        <v>0</v>
      </c>
      <c r="L9">
        <v>0</v>
      </c>
      <c r="M9">
        <v>0</v>
      </c>
      <c r="N9">
        <v>0</v>
      </c>
      <c r="O9">
        <v>206</v>
      </c>
      <c r="P9" t="str">
        <f t="shared" si="1"/>
        <v>Normal</v>
      </c>
      <c r="Q9">
        <v>101</v>
      </c>
      <c r="R9">
        <v>63</v>
      </c>
      <c r="S9">
        <v>21.5</v>
      </c>
      <c r="T9" t="str">
        <f t="shared" si="2"/>
        <v>Normal</v>
      </c>
      <c r="U9">
        <v>75</v>
      </c>
      <c r="V9">
        <v>66</v>
      </c>
      <c r="W9" t="str">
        <f t="shared" si="5"/>
        <v>Normal</v>
      </c>
      <c r="X9">
        <v>0</v>
      </c>
    </row>
    <row r="10" spans="1:24" ht="14.5" thickBot="1" x14ac:dyDescent="0.35">
      <c r="A10">
        <v>0</v>
      </c>
      <c r="B10" t="str">
        <f t="shared" si="3"/>
        <v>Female</v>
      </c>
      <c r="C10" s="8">
        <v>34</v>
      </c>
      <c r="D10" t="str">
        <f t="shared" si="4"/>
        <v>Young</v>
      </c>
      <c r="E10">
        <v>2</v>
      </c>
      <c r="F10" t="str">
        <f>HLOOKUP(E10, LookUP_Table!$A$6:$D$7, 2, FALSE)</f>
        <v>Secondary</v>
      </c>
      <c r="G10" t="str">
        <f>IFERROR(VLOOKUP(E10, LookUP_Table!$A$1:$B$4, 2, FALSE), "")</f>
        <v>Secondary</v>
      </c>
      <c r="H10">
        <v>0</v>
      </c>
      <c r="I10">
        <v>0</v>
      </c>
      <c r="J10" t="str">
        <f t="shared" si="0"/>
        <v>Non-Smoker</v>
      </c>
      <c r="K10">
        <v>0</v>
      </c>
      <c r="L10">
        <v>0</v>
      </c>
      <c r="M10">
        <v>0</v>
      </c>
      <c r="N10">
        <v>0</v>
      </c>
      <c r="O10">
        <v>189</v>
      </c>
      <c r="P10" t="str">
        <f t="shared" si="1"/>
        <v>Normal</v>
      </c>
      <c r="Q10">
        <v>108</v>
      </c>
      <c r="R10">
        <v>66</v>
      </c>
      <c r="S10">
        <v>20.81</v>
      </c>
      <c r="T10" t="str">
        <f t="shared" si="2"/>
        <v>Normal</v>
      </c>
      <c r="U10">
        <v>78</v>
      </c>
      <c r="V10">
        <v>88</v>
      </c>
      <c r="W10" t="str">
        <f t="shared" si="5"/>
        <v>Normal</v>
      </c>
      <c r="X10">
        <v>0</v>
      </c>
    </row>
    <row r="11" spans="1:24" ht="14.5" thickBot="1" x14ac:dyDescent="0.35">
      <c r="A11">
        <v>1</v>
      </c>
      <c r="B11" t="str">
        <f t="shared" si="3"/>
        <v>Male</v>
      </c>
      <c r="C11" s="8">
        <v>34</v>
      </c>
      <c r="D11" t="str">
        <f t="shared" si="4"/>
        <v>Young</v>
      </c>
      <c r="E11">
        <v>2</v>
      </c>
      <c r="F11" t="str">
        <f>HLOOKUP(E11, LookUP_Table!$A$6:$D$7, 2, FALSE)</f>
        <v>Secondary</v>
      </c>
      <c r="G11" t="str">
        <f>IFERROR(VLOOKUP(E11, LookUP_Table!$A$1:$B$4, 2, FALSE), "")</f>
        <v>Secondary</v>
      </c>
      <c r="H11">
        <v>1</v>
      </c>
      <c r="I11">
        <v>25</v>
      </c>
      <c r="J11" t="str">
        <f t="shared" si="0"/>
        <v>Smoker</v>
      </c>
      <c r="K11">
        <v>0</v>
      </c>
      <c r="L11">
        <v>0</v>
      </c>
      <c r="M11">
        <v>0</v>
      </c>
      <c r="N11">
        <v>0</v>
      </c>
      <c r="O11">
        <v>250</v>
      </c>
      <c r="P11" t="str">
        <f t="shared" si="1"/>
        <v>High</v>
      </c>
      <c r="Q11">
        <v>119</v>
      </c>
      <c r="R11">
        <v>77</v>
      </c>
      <c r="S11">
        <v>29.04</v>
      </c>
      <c r="T11" t="str">
        <f t="shared" si="2"/>
        <v>Overweight</v>
      </c>
      <c r="U11">
        <v>63</v>
      </c>
      <c r="V11">
        <v>80</v>
      </c>
      <c r="W11" t="str">
        <f t="shared" si="5"/>
        <v>Normal</v>
      </c>
      <c r="X11">
        <v>0</v>
      </c>
    </row>
    <row r="12" spans="1:24" ht="14.5" thickBot="1" x14ac:dyDescent="0.35">
      <c r="A12">
        <v>1</v>
      </c>
      <c r="B12" t="str">
        <f t="shared" si="3"/>
        <v>Male</v>
      </c>
      <c r="C12" s="8">
        <v>34</v>
      </c>
      <c r="D12" t="str">
        <f t="shared" si="4"/>
        <v>Young</v>
      </c>
      <c r="E12">
        <v>1</v>
      </c>
      <c r="F12" t="str">
        <f>HLOOKUP(E12, LookUP_Table!$A$6:$D$7, 2, FALSE)</f>
        <v>Primary</v>
      </c>
      <c r="G12" t="str">
        <f>IFERROR(VLOOKUP(E12, LookUP_Table!$A$1:$B$4, 2, FALSE), "")</f>
        <v>Primary</v>
      </c>
      <c r="H12">
        <v>1</v>
      </c>
      <c r="I12">
        <v>10</v>
      </c>
      <c r="J12" t="str">
        <f t="shared" si="0"/>
        <v>Smoker</v>
      </c>
      <c r="K12">
        <v>0</v>
      </c>
      <c r="L12">
        <v>0</v>
      </c>
      <c r="M12">
        <v>0</v>
      </c>
      <c r="N12">
        <v>0</v>
      </c>
      <c r="O12">
        <v>210</v>
      </c>
      <c r="P12" t="str">
        <f t="shared" si="1"/>
        <v>Normal</v>
      </c>
      <c r="Q12">
        <v>120</v>
      </c>
      <c r="R12">
        <v>85</v>
      </c>
      <c r="S12">
        <v>24.39</v>
      </c>
      <c r="T12" t="str">
        <f t="shared" si="2"/>
        <v>Normal</v>
      </c>
      <c r="U12">
        <v>68</v>
      </c>
      <c r="V12">
        <v>81.96365524402907</v>
      </c>
      <c r="W12" t="str">
        <f t="shared" si="5"/>
        <v>Normal</v>
      </c>
      <c r="X12">
        <v>0</v>
      </c>
    </row>
    <row r="13" spans="1:24" ht="14.5" thickBot="1" x14ac:dyDescent="0.35">
      <c r="A13">
        <v>0</v>
      </c>
      <c r="B13" t="str">
        <f t="shared" si="3"/>
        <v>Female</v>
      </c>
      <c r="C13" s="8">
        <v>34</v>
      </c>
      <c r="D13" t="str">
        <f t="shared" si="4"/>
        <v>Young</v>
      </c>
      <c r="E13">
        <v>2</v>
      </c>
      <c r="F13" t="str">
        <f>HLOOKUP(E13, LookUP_Table!$A$6:$D$7, 2, FALSE)</f>
        <v>Secondary</v>
      </c>
      <c r="G13" t="str">
        <f>IFERROR(VLOOKUP(E13, LookUP_Table!$A$1:$B$4, 2, FALSE), "")</f>
        <v>Secondary</v>
      </c>
      <c r="H13">
        <v>1</v>
      </c>
      <c r="I13">
        <v>20</v>
      </c>
      <c r="J13" t="str">
        <f t="shared" si="0"/>
        <v>Smoker</v>
      </c>
      <c r="K13">
        <v>0</v>
      </c>
      <c r="L13">
        <v>0</v>
      </c>
      <c r="M13">
        <v>0</v>
      </c>
      <c r="N13">
        <v>0</v>
      </c>
      <c r="O13">
        <v>220</v>
      </c>
      <c r="P13" t="str">
        <f t="shared" si="1"/>
        <v>Normal</v>
      </c>
      <c r="Q13">
        <v>117.5</v>
      </c>
      <c r="R13">
        <v>67.5</v>
      </c>
      <c r="S13">
        <v>20.79</v>
      </c>
      <c r="T13" t="str">
        <f t="shared" si="2"/>
        <v>Normal</v>
      </c>
      <c r="U13">
        <v>63</v>
      </c>
      <c r="V13">
        <v>86</v>
      </c>
      <c r="W13" t="str">
        <f t="shared" si="5"/>
        <v>Normal</v>
      </c>
      <c r="X13">
        <v>0</v>
      </c>
    </row>
    <row r="14" spans="1:24" ht="14.5" thickBot="1" x14ac:dyDescent="0.35">
      <c r="A14">
        <v>1</v>
      </c>
      <c r="B14" t="str">
        <f t="shared" si="3"/>
        <v>Male</v>
      </c>
      <c r="C14" s="8">
        <v>34</v>
      </c>
      <c r="D14" t="str">
        <f t="shared" si="4"/>
        <v>Young</v>
      </c>
      <c r="E14">
        <v>4</v>
      </c>
      <c r="F14" t="str">
        <f>HLOOKUP(E14, LookUP_Table!$A$6:$D$7, 2, FALSE)</f>
        <v>Post Graduate</v>
      </c>
      <c r="G14" t="str">
        <f>IFERROR(VLOOKUP(E14, LookUP_Table!$A$1:$B$4, 2, FALSE), "")</f>
        <v>Post Graduate</v>
      </c>
      <c r="H14">
        <v>0</v>
      </c>
      <c r="I14">
        <v>0</v>
      </c>
      <c r="J14" t="str">
        <f t="shared" si="0"/>
        <v>Non-Smoker</v>
      </c>
      <c r="K14">
        <v>0</v>
      </c>
      <c r="L14">
        <v>0</v>
      </c>
      <c r="M14">
        <v>0</v>
      </c>
      <c r="N14">
        <v>0</v>
      </c>
      <c r="O14">
        <v>227</v>
      </c>
      <c r="P14" t="str">
        <f t="shared" si="1"/>
        <v>Normal</v>
      </c>
      <c r="Q14">
        <v>131.5</v>
      </c>
      <c r="R14">
        <v>84</v>
      </c>
      <c r="S14">
        <v>25.41</v>
      </c>
      <c r="T14" t="str">
        <f t="shared" si="2"/>
        <v>Overweight</v>
      </c>
      <c r="U14">
        <v>60</v>
      </c>
      <c r="V14">
        <v>87</v>
      </c>
      <c r="W14" t="str">
        <f t="shared" si="5"/>
        <v>Normal</v>
      </c>
      <c r="X14">
        <v>0</v>
      </c>
    </row>
    <row r="15" spans="1:24" ht="14.5" thickBot="1" x14ac:dyDescent="0.35">
      <c r="A15">
        <v>0</v>
      </c>
      <c r="B15" t="str">
        <f t="shared" si="3"/>
        <v>Female</v>
      </c>
      <c r="C15" s="8">
        <v>34</v>
      </c>
      <c r="D15" t="str">
        <f t="shared" si="4"/>
        <v>Young</v>
      </c>
      <c r="E15">
        <v>2</v>
      </c>
      <c r="F15" t="str">
        <f>HLOOKUP(E15, LookUP_Table!$A$6:$D$7, 2, FALSE)</f>
        <v>Secondary</v>
      </c>
      <c r="G15" t="str">
        <f>IFERROR(VLOOKUP(E15, LookUP_Table!$A$1:$B$4, 2, FALSE), "")</f>
        <v>Secondary</v>
      </c>
      <c r="H15">
        <v>0</v>
      </c>
      <c r="I15">
        <v>0</v>
      </c>
      <c r="J15" t="str">
        <f t="shared" si="0"/>
        <v>Non-Smoker</v>
      </c>
      <c r="K15">
        <v>0</v>
      </c>
      <c r="L15">
        <v>0</v>
      </c>
      <c r="M15">
        <v>0</v>
      </c>
      <c r="N15">
        <v>0</v>
      </c>
      <c r="O15">
        <v>170</v>
      </c>
      <c r="P15" t="str">
        <f t="shared" si="1"/>
        <v>Normal</v>
      </c>
      <c r="Q15">
        <v>121</v>
      </c>
      <c r="R15">
        <v>74</v>
      </c>
      <c r="S15">
        <v>20.82</v>
      </c>
      <c r="T15" t="str">
        <f t="shared" si="2"/>
        <v>Normal</v>
      </c>
      <c r="U15">
        <v>67</v>
      </c>
      <c r="V15">
        <v>83</v>
      </c>
      <c r="W15" t="str">
        <f t="shared" si="5"/>
        <v>Normal</v>
      </c>
      <c r="X15">
        <v>0</v>
      </c>
    </row>
    <row r="16" spans="1:24" ht="14.5" thickBot="1" x14ac:dyDescent="0.35">
      <c r="A16">
        <v>0</v>
      </c>
      <c r="B16" t="str">
        <f t="shared" si="3"/>
        <v>Female</v>
      </c>
      <c r="C16" s="8">
        <v>34</v>
      </c>
      <c r="D16" t="str">
        <f t="shared" si="4"/>
        <v>Young</v>
      </c>
      <c r="E16">
        <v>1</v>
      </c>
      <c r="F16" t="str">
        <f>HLOOKUP(E16, LookUP_Table!$A$6:$D$7, 2, FALSE)</f>
        <v>Primary</v>
      </c>
      <c r="G16" t="str">
        <f>IFERROR(VLOOKUP(E16, LookUP_Table!$A$1:$B$4, 2, FALSE), "")</f>
        <v>Primary</v>
      </c>
      <c r="H16">
        <v>1</v>
      </c>
      <c r="I16">
        <v>20</v>
      </c>
      <c r="J16" t="str">
        <f t="shared" si="0"/>
        <v>Smoker</v>
      </c>
      <c r="K16">
        <v>0</v>
      </c>
      <c r="L16">
        <v>0</v>
      </c>
      <c r="M16">
        <v>0</v>
      </c>
      <c r="N16">
        <v>0</v>
      </c>
      <c r="O16">
        <v>175</v>
      </c>
      <c r="P16" t="str">
        <f t="shared" si="1"/>
        <v>Normal</v>
      </c>
      <c r="Q16">
        <v>117.5</v>
      </c>
      <c r="R16">
        <v>73.5</v>
      </c>
      <c r="S16">
        <v>22.15</v>
      </c>
      <c r="T16" t="str">
        <f t="shared" si="2"/>
        <v>Normal</v>
      </c>
      <c r="U16">
        <v>65</v>
      </c>
      <c r="V16">
        <v>75</v>
      </c>
      <c r="W16" t="str">
        <f t="shared" si="5"/>
        <v>Normal</v>
      </c>
      <c r="X16">
        <v>0</v>
      </c>
    </row>
    <row r="17" spans="1:24" ht="14.5" thickBot="1" x14ac:dyDescent="0.35">
      <c r="A17">
        <v>0</v>
      </c>
      <c r="B17" t="str">
        <f t="shared" si="3"/>
        <v>Female</v>
      </c>
      <c r="C17" s="8">
        <v>34</v>
      </c>
      <c r="D17" t="str">
        <f t="shared" si="4"/>
        <v>Young</v>
      </c>
      <c r="E17">
        <v>2</v>
      </c>
      <c r="F17" t="str">
        <f>HLOOKUP(E17, LookUP_Table!$A$6:$D$7, 2, FALSE)</f>
        <v>Secondary</v>
      </c>
      <c r="G17" t="str">
        <f>IFERROR(VLOOKUP(E17, LookUP_Table!$A$1:$B$4, 2, FALSE), "")</f>
        <v>Secondary</v>
      </c>
      <c r="H17">
        <v>1</v>
      </c>
      <c r="I17">
        <v>40</v>
      </c>
      <c r="J17" t="str">
        <f t="shared" si="0"/>
        <v>Smoker</v>
      </c>
      <c r="K17">
        <v>0</v>
      </c>
      <c r="L17">
        <v>0</v>
      </c>
      <c r="M17">
        <v>0</v>
      </c>
      <c r="N17">
        <v>0</v>
      </c>
      <c r="O17">
        <v>184</v>
      </c>
      <c r="P17" t="str">
        <f t="shared" si="1"/>
        <v>Normal</v>
      </c>
      <c r="Q17">
        <v>118</v>
      </c>
      <c r="R17">
        <v>77</v>
      </c>
      <c r="S17">
        <v>25.56</v>
      </c>
      <c r="T17" t="str">
        <f t="shared" si="2"/>
        <v>Overweight</v>
      </c>
      <c r="U17">
        <v>86</v>
      </c>
      <c r="V17">
        <v>81.96365524402907</v>
      </c>
      <c r="W17" t="str">
        <f t="shared" si="5"/>
        <v>Normal</v>
      </c>
      <c r="X17">
        <v>0</v>
      </c>
    </row>
    <row r="18" spans="1:24" ht="14.5" thickBot="1" x14ac:dyDescent="0.35">
      <c r="A18">
        <v>0</v>
      </c>
      <c r="B18" t="str">
        <f t="shared" si="3"/>
        <v>Female</v>
      </c>
      <c r="C18" s="8">
        <v>34</v>
      </c>
      <c r="D18" t="str">
        <f t="shared" si="4"/>
        <v>Young</v>
      </c>
      <c r="E18">
        <v>2</v>
      </c>
      <c r="F18" t="str">
        <f>HLOOKUP(E18, LookUP_Table!$A$6:$D$7, 2, FALSE)</f>
        <v>Secondary</v>
      </c>
      <c r="G18" t="str">
        <f>IFERROR(VLOOKUP(E18, LookUP_Table!$A$1:$B$4, 2, FALSE), "")</f>
        <v>Secondary</v>
      </c>
      <c r="H18">
        <v>1</v>
      </c>
      <c r="I18">
        <v>10</v>
      </c>
      <c r="J18" t="str">
        <f t="shared" si="0"/>
        <v>Smoker</v>
      </c>
      <c r="K18">
        <v>0</v>
      </c>
      <c r="L18">
        <v>0</v>
      </c>
      <c r="M18">
        <v>0</v>
      </c>
      <c r="N18">
        <v>0</v>
      </c>
      <c r="O18">
        <v>159</v>
      </c>
      <c r="P18" t="str">
        <f t="shared" si="1"/>
        <v>Normal</v>
      </c>
      <c r="Q18">
        <v>92.5</v>
      </c>
      <c r="R18">
        <v>70</v>
      </c>
      <c r="S18">
        <v>22.15</v>
      </c>
      <c r="T18" t="str">
        <f t="shared" si="2"/>
        <v>Normal</v>
      </c>
      <c r="U18">
        <v>65</v>
      </c>
      <c r="V18">
        <v>68</v>
      </c>
      <c r="W18" t="str">
        <f t="shared" si="5"/>
        <v>Normal</v>
      </c>
      <c r="X18">
        <v>0</v>
      </c>
    </row>
    <row r="19" spans="1:24" ht="14.5" thickBot="1" x14ac:dyDescent="0.35">
      <c r="A19">
        <v>0</v>
      </c>
      <c r="B19" t="str">
        <f t="shared" si="3"/>
        <v>Female</v>
      </c>
      <c r="C19" s="8">
        <v>34</v>
      </c>
      <c r="D19" t="str">
        <f t="shared" si="4"/>
        <v>Young</v>
      </c>
      <c r="E19">
        <v>2</v>
      </c>
      <c r="F19" t="str">
        <f>HLOOKUP(E19, LookUP_Table!$A$6:$D$7, 2, FALSE)</f>
        <v>Secondary</v>
      </c>
      <c r="G19" t="str">
        <f>IFERROR(VLOOKUP(E19, LookUP_Table!$A$1:$B$4, 2, FALSE), "")</f>
        <v>Secondary</v>
      </c>
      <c r="H19">
        <v>0</v>
      </c>
      <c r="I19">
        <v>0</v>
      </c>
      <c r="J19" t="str">
        <f t="shared" si="0"/>
        <v>Non-Smoker</v>
      </c>
      <c r="K19">
        <v>0</v>
      </c>
      <c r="L19">
        <v>0</v>
      </c>
      <c r="M19">
        <v>0</v>
      </c>
      <c r="N19">
        <v>0</v>
      </c>
      <c r="O19">
        <v>226</v>
      </c>
      <c r="P19" t="str">
        <f t="shared" si="1"/>
        <v>Normal</v>
      </c>
      <c r="Q19">
        <v>112.5</v>
      </c>
      <c r="R19">
        <v>77.5</v>
      </c>
      <c r="S19">
        <v>24.99</v>
      </c>
      <c r="T19" t="str">
        <f t="shared" si="2"/>
        <v>Normal</v>
      </c>
      <c r="U19">
        <v>100</v>
      </c>
      <c r="V19">
        <v>72</v>
      </c>
      <c r="W19" t="str">
        <f t="shared" si="5"/>
        <v>Normal</v>
      </c>
      <c r="X19">
        <v>0</v>
      </c>
    </row>
    <row r="20" spans="1:24" ht="14.5" thickBot="1" x14ac:dyDescent="0.35">
      <c r="A20">
        <v>1</v>
      </c>
      <c r="B20" t="str">
        <f t="shared" si="3"/>
        <v>Male</v>
      </c>
      <c r="C20" s="8">
        <v>34</v>
      </c>
      <c r="D20" t="str">
        <f t="shared" si="4"/>
        <v>Young</v>
      </c>
      <c r="E20">
        <v>3</v>
      </c>
      <c r="F20" t="str">
        <f>HLOOKUP(E20, LookUP_Table!$A$6:$D$7, 2, FALSE)</f>
        <v>Graduate</v>
      </c>
      <c r="G20" t="str">
        <f>IFERROR(VLOOKUP(E20, LookUP_Table!$A$1:$B$4, 2, FALSE), "")</f>
        <v>Graduate</v>
      </c>
      <c r="H20">
        <v>1</v>
      </c>
      <c r="I20">
        <v>20</v>
      </c>
      <c r="J20" t="str">
        <f t="shared" si="0"/>
        <v>Smoker</v>
      </c>
      <c r="K20">
        <v>0</v>
      </c>
      <c r="L20">
        <v>0</v>
      </c>
      <c r="M20">
        <v>0</v>
      </c>
      <c r="N20">
        <v>0</v>
      </c>
      <c r="O20">
        <v>155</v>
      </c>
      <c r="P20" t="str">
        <f t="shared" si="1"/>
        <v>Normal</v>
      </c>
      <c r="Q20">
        <v>117.5</v>
      </c>
      <c r="R20">
        <v>72.5</v>
      </c>
      <c r="S20">
        <v>23.51</v>
      </c>
      <c r="T20" t="str">
        <f t="shared" si="2"/>
        <v>Normal</v>
      </c>
      <c r="U20">
        <v>85</v>
      </c>
      <c r="V20">
        <v>65</v>
      </c>
      <c r="W20" t="str">
        <f t="shared" si="5"/>
        <v>Normal</v>
      </c>
      <c r="X20">
        <v>0</v>
      </c>
    </row>
    <row r="21" spans="1:24" ht="14.5" thickBot="1" x14ac:dyDescent="0.35">
      <c r="A21">
        <v>0</v>
      </c>
      <c r="B21" t="str">
        <f t="shared" si="3"/>
        <v>Female</v>
      </c>
      <c r="C21" s="8">
        <v>34</v>
      </c>
      <c r="D21" t="str">
        <f t="shared" si="4"/>
        <v>Young</v>
      </c>
      <c r="E21">
        <v>2</v>
      </c>
      <c r="F21" t="str">
        <f>HLOOKUP(E21, LookUP_Table!$A$6:$D$7, 2, FALSE)</f>
        <v>Secondary</v>
      </c>
      <c r="G21" t="str">
        <f>IFERROR(VLOOKUP(E21, LookUP_Table!$A$1:$B$4, 2, FALSE), "")</f>
        <v>Secondary</v>
      </c>
      <c r="H21">
        <v>1</v>
      </c>
      <c r="I21">
        <v>20</v>
      </c>
      <c r="J21" t="str">
        <f t="shared" si="0"/>
        <v>Smoker</v>
      </c>
      <c r="K21">
        <v>0</v>
      </c>
      <c r="L21">
        <v>0</v>
      </c>
      <c r="M21">
        <v>0</v>
      </c>
      <c r="N21">
        <v>0</v>
      </c>
      <c r="O21">
        <v>180</v>
      </c>
      <c r="P21" t="str">
        <f t="shared" si="1"/>
        <v>Normal</v>
      </c>
      <c r="Q21">
        <v>111</v>
      </c>
      <c r="R21">
        <v>56</v>
      </c>
      <c r="S21">
        <v>21.51</v>
      </c>
      <c r="T21" t="str">
        <f t="shared" si="2"/>
        <v>Normal</v>
      </c>
      <c r="U21">
        <v>91</v>
      </c>
      <c r="V21">
        <v>78</v>
      </c>
      <c r="W21" t="str">
        <f t="shared" si="5"/>
        <v>Normal</v>
      </c>
      <c r="X21">
        <v>0</v>
      </c>
    </row>
    <row r="22" spans="1:24" ht="14.5" thickBot="1" x14ac:dyDescent="0.35">
      <c r="A22">
        <v>1</v>
      </c>
      <c r="B22" t="str">
        <f t="shared" si="3"/>
        <v>Male</v>
      </c>
      <c r="C22" s="8">
        <v>34</v>
      </c>
      <c r="D22" t="str">
        <f t="shared" si="4"/>
        <v>Young</v>
      </c>
      <c r="E22">
        <v>1</v>
      </c>
      <c r="F22" t="str">
        <f>HLOOKUP(E22, LookUP_Table!$A$6:$D$7, 2, FALSE)</f>
        <v>Primary</v>
      </c>
      <c r="G22" t="str">
        <f>IFERROR(VLOOKUP(E22, LookUP_Table!$A$1:$B$4, 2, FALSE), "")</f>
        <v>Primary</v>
      </c>
      <c r="H22">
        <v>1</v>
      </c>
      <c r="I22">
        <v>5</v>
      </c>
      <c r="J22" t="str">
        <f t="shared" si="0"/>
        <v>Smoker</v>
      </c>
      <c r="K22">
        <v>0</v>
      </c>
      <c r="L22">
        <v>0</v>
      </c>
      <c r="M22">
        <v>0</v>
      </c>
      <c r="N22">
        <v>0</v>
      </c>
      <c r="O22">
        <v>185</v>
      </c>
      <c r="P22" t="str">
        <f t="shared" si="1"/>
        <v>Normal</v>
      </c>
      <c r="Q22">
        <v>100.5</v>
      </c>
      <c r="R22">
        <v>66</v>
      </c>
      <c r="S22">
        <v>24.42</v>
      </c>
      <c r="T22" t="str">
        <f t="shared" si="2"/>
        <v>Normal</v>
      </c>
      <c r="U22">
        <v>70</v>
      </c>
      <c r="V22">
        <v>115</v>
      </c>
      <c r="W22" t="str">
        <f t="shared" si="5"/>
        <v>Prediabetes</v>
      </c>
      <c r="X22">
        <v>0</v>
      </c>
    </row>
    <row r="23" spans="1:24" ht="14.5" thickBot="1" x14ac:dyDescent="0.35">
      <c r="A23">
        <v>0</v>
      </c>
      <c r="B23" t="str">
        <f t="shared" si="3"/>
        <v>Female</v>
      </c>
      <c r="C23" s="8">
        <v>34</v>
      </c>
      <c r="D23" t="str">
        <f t="shared" si="4"/>
        <v>Young</v>
      </c>
      <c r="E23">
        <v>1</v>
      </c>
      <c r="F23" t="str">
        <f>HLOOKUP(E23, LookUP_Table!$A$6:$D$7, 2, FALSE)</f>
        <v>Primary</v>
      </c>
      <c r="G23" t="str">
        <f>IFERROR(VLOOKUP(E23, LookUP_Table!$A$1:$B$4, 2, FALSE), "")</f>
        <v>Primary</v>
      </c>
      <c r="H23">
        <v>1</v>
      </c>
      <c r="I23">
        <v>10</v>
      </c>
      <c r="J23" t="str">
        <f t="shared" si="0"/>
        <v>Smoker</v>
      </c>
      <c r="K23">
        <v>0</v>
      </c>
      <c r="L23">
        <v>0</v>
      </c>
      <c r="M23">
        <v>0</v>
      </c>
      <c r="N23">
        <v>0</v>
      </c>
      <c r="O23">
        <v>185</v>
      </c>
      <c r="P23" t="str">
        <f t="shared" si="1"/>
        <v>Normal</v>
      </c>
      <c r="Q23">
        <v>108.5</v>
      </c>
      <c r="R23">
        <v>86</v>
      </c>
      <c r="S23">
        <v>19.68</v>
      </c>
      <c r="T23" t="str">
        <f t="shared" si="2"/>
        <v>Normal</v>
      </c>
      <c r="U23">
        <v>75</v>
      </c>
      <c r="V23">
        <v>81.96365524402907</v>
      </c>
      <c r="W23" t="str">
        <f t="shared" si="5"/>
        <v>Normal</v>
      </c>
      <c r="X23">
        <v>0</v>
      </c>
    </row>
    <row r="24" spans="1:24" ht="14.5" thickBot="1" x14ac:dyDescent="0.35">
      <c r="A24">
        <v>0</v>
      </c>
      <c r="B24" t="str">
        <f t="shared" si="3"/>
        <v>Female</v>
      </c>
      <c r="C24" s="8">
        <v>34</v>
      </c>
      <c r="D24" t="str">
        <f t="shared" si="4"/>
        <v>Young</v>
      </c>
      <c r="E24">
        <v>3</v>
      </c>
      <c r="F24" t="str">
        <f>HLOOKUP(E24, LookUP_Table!$A$6:$D$7, 2, FALSE)</f>
        <v>Graduate</v>
      </c>
      <c r="G24" t="str">
        <f>IFERROR(VLOOKUP(E24, LookUP_Table!$A$1:$B$4, 2, FALSE), "")</f>
        <v>Graduate</v>
      </c>
      <c r="H24">
        <v>0</v>
      </c>
      <c r="I24">
        <v>0</v>
      </c>
      <c r="J24" t="str">
        <f t="shared" si="0"/>
        <v>Non-Smoker</v>
      </c>
      <c r="K24">
        <v>0</v>
      </c>
      <c r="L24">
        <v>0</v>
      </c>
      <c r="M24">
        <v>0</v>
      </c>
      <c r="N24">
        <v>0</v>
      </c>
      <c r="O24">
        <v>227</v>
      </c>
      <c r="P24" t="str">
        <f t="shared" si="1"/>
        <v>Normal</v>
      </c>
      <c r="Q24">
        <v>102</v>
      </c>
      <c r="R24">
        <v>68</v>
      </c>
      <c r="S24">
        <v>24.96</v>
      </c>
      <c r="T24" t="str">
        <f t="shared" si="2"/>
        <v>Normal</v>
      </c>
      <c r="U24">
        <v>80</v>
      </c>
      <c r="V24">
        <v>75</v>
      </c>
      <c r="W24" t="str">
        <f t="shared" si="5"/>
        <v>Normal</v>
      </c>
      <c r="X24">
        <v>0</v>
      </c>
    </row>
    <row r="25" spans="1:24" ht="14.5" thickBot="1" x14ac:dyDescent="0.35">
      <c r="A25">
        <v>0</v>
      </c>
      <c r="B25" t="str">
        <f t="shared" si="3"/>
        <v>Female</v>
      </c>
      <c r="C25" s="8">
        <v>34</v>
      </c>
      <c r="D25" t="str">
        <f t="shared" si="4"/>
        <v>Young</v>
      </c>
      <c r="E25">
        <v>3</v>
      </c>
      <c r="F25" t="str">
        <f>HLOOKUP(E25, LookUP_Table!$A$6:$D$7, 2, FALSE)</f>
        <v>Graduate</v>
      </c>
      <c r="G25" t="str">
        <f>IFERROR(VLOOKUP(E25, LookUP_Table!$A$1:$B$4, 2, FALSE), "")</f>
        <v>Graduate</v>
      </c>
      <c r="H25">
        <v>0</v>
      </c>
      <c r="I25">
        <v>0</v>
      </c>
      <c r="J25" t="str">
        <f t="shared" si="0"/>
        <v>Non-Smoker</v>
      </c>
      <c r="K25">
        <v>0</v>
      </c>
      <c r="L25">
        <v>0</v>
      </c>
      <c r="M25">
        <v>0</v>
      </c>
      <c r="N25">
        <v>0</v>
      </c>
      <c r="O25">
        <v>196</v>
      </c>
      <c r="P25" t="str">
        <f t="shared" si="1"/>
        <v>Normal</v>
      </c>
      <c r="Q25">
        <v>108.5</v>
      </c>
      <c r="R25">
        <v>68</v>
      </c>
      <c r="S25">
        <v>25.67</v>
      </c>
      <c r="T25" t="str">
        <f t="shared" si="2"/>
        <v>Overweight</v>
      </c>
      <c r="U25">
        <v>60</v>
      </c>
      <c r="V25">
        <v>82</v>
      </c>
      <c r="W25" t="str">
        <f t="shared" si="5"/>
        <v>Normal</v>
      </c>
      <c r="X25">
        <v>0</v>
      </c>
    </row>
    <row r="26" spans="1:24" ht="14.5" thickBot="1" x14ac:dyDescent="0.35">
      <c r="A26">
        <v>1</v>
      </c>
      <c r="B26" t="str">
        <f t="shared" si="3"/>
        <v>Male</v>
      </c>
      <c r="C26" s="8">
        <v>35</v>
      </c>
      <c r="D26" t="str">
        <f t="shared" si="4"/>
        <v>Young</v>
      </c>
      <c r="E26">
        <v>2</v>
      </c>
      <c r="F26" t="str">
        <f>HLOOKUP(E26, LookUP_Table!$A$6:$D$7, 2, FALSE)</f>
        <v>Secondary</v>
      </c>
      <c r="G26" t="str">
        <f>IFERROR(VLOOKUP(E26, LookUP_Table!$A$1:$B$4, 2, FALSE), "")</f>
        <v>Secondary</v>
      </c>
      <c r="H26">
        <v>1</v>
      </c>
      <c r="I26">
        <v>20</v>
      </c>
      <c r="J26" t="str">
        <f t="shared" si="0"/>
        <v>Smoker</v>
      </c>
      <c r="K26">
        <v>0</v>
      </c>
      <c r="L26">
        <v>0</v>
      </c>
      <c r="M26">
        <v>1</v>
      </c>
      <c r="N26">
        <v>0</v>
      </c>
      <c r="O26">
        <v>225</v>
      </c>
      <c r="P26" t="str">
        <f t="shared" si="1"/>
        <v>Normal</v>
      </c>
      <c r="Q26">
        <v>132</v>
      </c>
      <c r="R26">
        <v>91</v>
      </c>
      <c r="S26">
        <v>26.09</v>
      </c>
      <c r="T26" t="str">
        <f t="shared" si="2"/>
        <v>Overweight</v>
      </c>
      <c r="U26">
        <v>73</v>
      </c>
      <c r="V26">
        <v>83</v>
      </c>
      <c r="W26" t="str">
        <f t="shared" si="5"/>
        <v>Normal</v>
      </c>
      <c r="X26">
        <v>0</v>
      </c>
    </row>
    <row r="27" spans="1:24" ht="14.5" thickBot="1" x14ac:dyDescent="0.35">
      <c r="A27">
        <v>0</v>
      </c>
      <c r="B27" t="str">
        <f t="shared" si="3"/>
        <v>Female</v>
      </c>
      <c r="C27" s="8">
        <v>35</v>
      </c>
      <c r="D27" t="str">
        <f t="shared" si="4"/>
        <v>Young</v>
      </c>
      <c r="E27">
        <v>2</v>
      </c>
      <c r="F27" t="str">
        <f>HLOOKUP(E27, LookUP_Table!$A$6:$D$7, 2, FALSE)</f>
        <v>Secondary</v>
      </c>
      <c r="G27" t="str">
        <f>IFERROR(VLOOKUP(E27, LookUP_Table!$A$1:$B$4, 2, FALSE), "")</f>
        <v>Secondary</v>
      </c>
      <c r="H27">
        <v>0</v>
      </c>
      <c r="I27">
        <v>0</v>
      </c>
      <c r="J27" t="str">
        <f t="shared" si="0"/>
        <v>Non-Smoker</v>
      </c>
      <c r="K27">
        <v>0</v>
      </c>
      <c r="L27">
        <v>0</v>
      </c>
      <c r="M27">
        <v>0</v>
      </c>
      <c r="N27">
        <v>0</v>
      </c>
      <c r="O27">
        <v>208</v>
      </c>
      <c r="P27" t="str">
        <f t="shared" si="1"/>
        <v>Normal</v>
      </c>
      <c r="Q27">
        <v>122.5</v>
      </c>
      <c r="R27">
        <v>72.5</v>
      </c>
      <c r="S27">
        <v>22</v>
      </c>
      <c r="T27" t="str">
        <f t="shared" si="2"/>
        <v>Normal</v>
      </c>
      <c r="U27">
        <v>65</v>
      </c>
      <c r="V27">
        <v>81.96365524402907</v>
      </c>
      <c r="W27" t="str">
        <f t="shared" si="5"/>
        <v>Normal</v>
      </c>
      <c r="X27">
        <v>0</v>
      </c>
    </row>
    <row r="28" spans="1:24" ht="14.5" thickBot="1" x14ac:dyDescent="0.35">
      <c r="A28">
        <v>0</v>
      </c>
      <c r="B28" t="str">
        <f t="shared" si="3"/>
        <v>Female</v>
      </c>
      <c r="C28" s="8">
        <v>35</v>
      </c>
      <c r="D28" t="str">
        <f t="shared" si="4"/>
        <v>Young</v>
      </c>
      <c r="E28">
        <v>2</v>
      </c>
      <c r="F28" t="str">
        <f>HLOOKUP(E28, LookUP_Table!$A$6:$D$7, 2, FALSE)</f>
        <v>Secondary</v>
      </c>
      <c r="G28" t="str">
        <f>IFERROR(VLOOKUP(E28, LookUP_Table!$A$1:$B$4, 2, FALSE), "")</f>
        <v>Secondary</v>
      </c>
      <c r="H28">
        <v>1</v>
      </c>
      <c r="I28">
        <v>15</v>
      </c>
      <c r="J28" t="str">
        <f t="shared" si="0"/>
        <v>Smoker</v>
      </c>
      <c r="K28">
        <v>0</v>
      </c>
      <c r="L28">
        <v>0</v>
      </c>
      <c r="M28">
        <v>0</v>
      </c>
      <c r="N28">
        <v>0</v>
      </c>
      <c r="O28">
        <v>177</v>
      </c>
      <c r="P28" t="str">
        <f t="shared" si="1"/>
        <v>Normal</v>
      </c>
      <c r="Q28">
        <v>110</v>
      </c>
      <c r="R28">
        <v>70</v>
      </c>
      <c r="S28">
        <v>25.71</v>
      </c>
      <c r="T28" t="str">
        <f t="shared" si="2"/>
        <v>Overweight</v>
      </c>
      <c r="U28">
        <v>65</v>
      </c>
      <c r="V28">
        <v>84</v>
      </c>
      <c r="W28" t="str">
        <f t="shared" si="5"/>
        <v>Normal</v>
      </c>
      <c r="X28">
        <v>0</v>
      </c>
    </row>
    <row r="29" spans="1:24" ht="14.5" thickBot="1" x14ac:dyDescent="0.35">
      <c r="A29">
        <v>1</v>
      </c>
      <c r="B29" t="str">
        <f t="shared" si="3"/>
        <v>Male</v>
      </c>
      <c r="C29" s="8">
        <v>35</v>
      </c>
      <c r="D29" t="str">
        <f t="shared" si="4"/>
        <v>Young</v>
      </c>
      <c r="E29">
        <v>2</v>
      </c>
      <c r="F29" t="str">
        <f>HLOOKUP(E29, LookUP_Table!$A$6:$D$7, 2, FALSE)</f>
        <v>Secondary</v>
      </c>
      <c r="G29" t="str">
        <f>IFERROR(VLOOKUP(E29, LookUP_Table!$A$1:$B$4, 2, FALSE), "")</f>
        <v>Secondary</v>
      </c>
      <c r="H29">
        <v>1</v>
      </c>
      <c r="I29">
        <v>20</v>
      </c>
      <c r="J29" t="str">
        <f t="shared" si="0"/>
        <v>Smoker</v>
      </c>
      <c r="K29">
        <v>0</v>
      </c>
      <c r="L29">
        <v>0</v>
      </c>
      <c r="M29">
        <v>0</v>
      </c>
      <c r="N29">
        <v>0</v>
      </c>
      <c r="O29">
        <v>231</v>
      </c>
      <c r="P29" t="str">
        <f t="shared" si="1"/>
        <v>Normal</v>
      </c>
      <c r="Q29">
        <v>122</v>
      </c>
      <c r="R29">
        <v>72.5</v>
      </c>
      <c r="S29">
        <v>22.78</v>
      </c>
      <c r="T29" t="str">
        <f t="shared" si="2"/>
        <v>Normal</v>
      </c>
      <c r="U29">
        <v>72</v>
      </c>
      <c r="V29">
        <v>93</v>
      </c>
      <c r="W29" t="str">
        <f t="shared" si="5"/>
        <v>Normal</v>
      </c>
      <c r="X29">
        <v>0</v>
      </c>
    </row>
    <row r="30" spans="1:24" ht="14.5" thickBot="1" x14ac:dyDescent="0.35">
      <c r="A30">
        <v>0</v>
      </c>
      <c r="B30" t="str">
        <f t="shared" si="3"/>
        <v>Female</v>
      </c>
      <c r="C30" s="8">
        <v>35</v>
      </c>
      <c r="D30" t="str">
        <f t="shared" si="4"/>
        <v>Young</v>
      </c>
      <c r="E30">
        <v>2</v>
      </c>
      <c r="F30" t="str">
        <f>HLOOKUP(E30, LookUP_Table!$A$6:$D$7, 2, FALSE)</f>
        <v>Secondary</v>
      </c>
      <c r="G30" t="str">
        <f>IFERROR(VLOOKUP(E30, LookUP_Table!$A$1:$B$4, 2, FALSE), "")</f>
        <v>Secondary</v>
      </c>
      <c r="H30">
        <v>0</v>
      </c>
      <c r="I30">
        <v>0</v>
      </c>
      <c r="J30" t="str">
        <f t="shared" si="0"/>
        <v>Non-Smoker</v>
      </c>
      <c r="K30">
        <v>0</v>
      </c>
      <c r="L30">
        <v>0</v>
      </c>
      <c r="M30">
        <v>0</v>
      </c>
      <c r="N30">
        <v>0</v>
      </c>
      <c r="O30">
        <v>170</v>
      </c>
      <c r="P30" t="str">
        <f t="shared" si="1"/>
        <v>Normal</v>
      </c>
      <c r="Q30">
        <v>98.5</v>
      </c>
      <c r="R30">
        <v>69.5</v>
      </c>
      <c r="S30">
        <v>19.64</v>
      </c>
      <c r="T30" t="str">
        <f t="shared" si="2"/>
        <v>Normal</v>
      </c>
      <c r="U30">
        <v>71</v>
      </c>
      <c r="V30">
        <v>77</v>
      </c>
      <c r="W30" t="str">
        <f t="shared" si="5"/>
        <v>Normal</v>
      </c>
      <c r="X30">
        <v>0</v>
      </c>
    </row>
    <row r="31" spans="1:24" ht="14.5" thickBot="1" x14ac:dyDescent="0.35">
      <c r="A31">
        <v>0</v>
      </c>
      <c r="B31" t="str">
        <f t="shared" si="3"/>
        <v>Female</v>
      </c>
      <c r="C31" s="8">
        <v>35</v>
      </c>
      <c r="D31" t="str">
        <f t="shared" si="4"/>
        <v>Young</v>
      </c>
      <c r="E31">
        <v>2</v>
      </c>
      <c r="F31" t="str">
        <f>HLOOKUP(E31, LookUP_Table!$A$6:$D$7, 2, FALSE)</f>
        <v>Secondary</v>
      </c>
      <c r="G31" t="str">
        <f>IFERROR(VLOOKUP(E31, LookUP_Table!$A$1:$B$4, 2, FALSE), "")</f>
        <v>Secondary</v>
      </c>
      <c r="H31">
        <v>1</v>
      </c>
      <c r="I31">
        <v>30</v>
      </c>
      <c r="J31" t="str">
        <f t="shared" si="0"/>
        <v>Smoker</v>
      </c>
      <c r="K31">
        <v>0</v>
      </c>
      <c r="L31">
        <v>0</v>
      </c>
      <c r="M31">
        <v>0</v>
      </c>
      <c r="N31">
        <v>0</v>
      </c>
      <c r="O31">
        <v>245</v>
      </c>
      <c r="P31" t="str">
        <f t="shared" si="1"/>
        <v>High</v>
      </c>
      <c r="Q31">
        <v>148</v>
      </c>
      <c r="R31">
        <v>84</v>
      </c>
      <c r="S31">
        <v>23.74</v>
      </c>
      <c r="T31" t="str">
        <f t="shared" si="2"/>
        <v>Normal</v>
      </c>
      <c r="U31">
        <v>60</v>
      </c>
      <c r="V31">
        <v>73</v>
      </c>
      <c r="W31" t="str">
        <f t="shared" si="5"/>
        <v>Normal</v>
      </c>
      <c r="X31">
        <v>0</v>
      </c>
    </row>
    <row r="32" spans="1:24" ht="14.5" thickBot="1" x14ac:dyDescent="0.35">
      <c r="A32">
        <v>1</v>
      </c>
      <c r="B32" t="str">
        <f t="shared" si="3"/>
        <v>Male</v>
      </c>
      <c r="C32" s="8">
        <v>35</v>
      </c>
      <c r="D32" t="str">
        <f t="shared" si="4"/>
        <v>Young</v>
      </c>
      <c r="E32">
        <v>3</v>
      </c>
      <c r="F32" t="str">
        <f>HLOOKUP(E32, LookUP_Table!$A$6:$D$7, 2, FALSE)</f>
        <v>Graduate</v>
      </c>
      <c r="G32" t="str">
        <f>IFERROR(VLOOKUP(E32, LookUP_Table!$A$1:$B$4, 2, FALSE), "")</f>
        <v>Graduate</v>
      </c>
      <c r="H32">
        <v>1</v>
      </c>
      <c r="I32">
        <v>40</v>
      </c>
      <c r="J32" t="str">
        <f t="shared" si="0"/>
        <v>Smoker</v>
      </c>
      <c r="K32">
        <v>0</v>
      </c>
      <c r="L32">
        <v>0</v>
      </c>
      <c r="M32">
        <v>0</v>
      </c>
      <c r="N32">
        <v>0</v>
      </c>
      <c r="O32">
        <v>175</v>
      </c>
      <c r="P32" t="str">
        <f t="shared" si="1"/>
        <v>Normal</v>
      </c>
      <c r="Q32">
        <v>112</v>
      </c>
      <c r="R32">
        <v>62.5</v>
      </c>
      <c r="S32">
        <v>21.03</v>
      </c>
      <c r="T32" t="str">
        <f t="shared" si="2"/>
        <v>Normal</v>
      </c>
      <c r="U32">
        <v>73</v>
      </c>
      <c r="V32">
        <v>69</v>
      </c>
      <c r="W32" t="str">
        <f t="shared" si="5"/>
        <v>Normal</v>
      </c>
      <c r="X32">
        <v>1</v>
      </c>
    </row>
    <row r="33" spans="1:24" ht="14.5" thickBot="1" x14ac:dyDescent="0.35">
      <c r="A33">
        <v>0</v>
      </c>
      <c r="B33" t="str">
        <f t="shared" si="3"/>
        <v>Female</v>
      </c>
      <c r="C33" s="8">
        <v>35</v>
      </c>
      <c r="D33" t="str">
        <f t="shared" si="4"/>
        <v>Young</v>
      </c>
      <c r="E33">
        <v>2</v>
      </c>
      <c r="F33" t="str">
        <f>HLOOKUP(E33, LookUP_Table!$A$6:$D$7, 2, FALSE)</f>
        <v>Secondary</v>
      </c>
      <c r="G33" t="str">
        <f>IFERROR(VLOOKUP(E33, LookUP_Table!$A$1:$B$4, 2, FALSE), "")</f>
        <v>Secondary</v>
      </c>
      <c r="H33">
        <v>1</v>
      </c>
      <c r="I33">
        <v>20</v>
      </c>
      <c r="J33" t="str">
        <f t="shared" si="0"/>
        <v>Smoker</v>
      </c>
      <c r="K33">
        <v>0</v>
      </c>
      <c r="L33">
        <v>0</v>
      </c>
      <c r="M33">
        <v>0</v>
      </c>
      <c r="N33">
        <v>0</v>
      </c>
      <c r="O33">
        <v>231</v>
      </c>
      <c r="P33" t="str">
        <f t="shared" si="1"/>
        <v>Normal</v>
      </c>
      <c r="Q33">
        <v>150</v>
      </c>
      <c r="R33">
        <v>90</v>
      </c>
      <c r="S33">
        <v>23.09</v>
      </c>
      <c r="T33" t="str">
        <f t="shared" si="2"/>
        <v>Normal</v>
      </c>
      <c r="U33">
        <v>83</v>
      </c>
      <c r="V33">
        <v>72</v>
      </c>
      <c r="W33" t="str">
        <f t="shared" si="5"/>
        <v>Normal</v>
      </c>
      <c r="X33">
        <v>0</v>
      </c>
    </row>
    <row r="34" spans="1:24" ht="14.5" thickBot="1" x14ac:dyDescent="0.35">
      <c r="A34">
        <v>0</v>
      </c>
      <c r="B34" t="str">
        <f t="shared" si="3"/>
        <v>Female</v>
      </c>
      <c r="C34" s="8">
        <v>35</v>
      </c>
      <c r="D34" t="str">
        <f t="shared" si="4"/>
        <v>Young</v>
      </c>
      <c r="E34">
        <v>2</v>
      </c>
      <c r="F34" t="str">
        <f>HLOOKUP(E34, LookUP_Table!$A$6:$D$7, 2, FALSE)</f>
        <v>Secondary</v>
      </c>
      <c r="G34" t="str">
        <f>IFERROR(VLOOKUP(E34, LookUP_Table!$A$1:$B$4, 2, FALSE), "")</f>
        <v>Secondary</v>
      </c>
      <c r="H34">
        <v>0</v>
      </c>
      <c r="I34">
        <v>0</v>
      </c>
      <c r="J34" t="str">
        <f t="shared" si="0"/>
        <v>Non-Smoker</v>
      </c>
      <c r="K34">
        <v>0</v>
      </c>
      <c r="L34">
        <v>0</v>
      </c>
      <c r="M34">
        <v>0</v>
      </c>
      <c r="N34">
        <v>0</v>
      </c>
      <c r="O34">
        <v>254</v>
      </c>
      <c r="P34" t="str">
        <f t="shared" si="1"/>
        <v>High</v>
      </c>
      <c r="Q34">
        <v>95</v>
      </c>
      <c r="R34">
        <v>57</v>
      </c>
      <c r="S34">
        <v>24.55</v>
      </c>
      <c r="T34" t="str">
        <f t="shared" si="2"/>
        <v>Normal</v>
      </c>
      <c r="U34">
        <v>61</v>
      </c>
      <c r="V34">
        <v>81.96365524402907</v>
      </c>
      <c r="W34" t="str">
        <f t="shared" si="5"/>
        <v>Normal</v>
      </c>
      <c r="X34">
        <v>0</v>
      </c>
    </row>
    <row r="35" spans="1:24" ht="14.5" thickBot="1" x14ac:dyDescent="0.35">
      <c r="A35">
        <v>1</v>
      </c>
      <c r="B35" t="str">
        <f t="shared" si="3"/>
        <v>Male</v>
      </c>
      <c r="C35" s="8">
        <v>35</v>
      </c>
      <c r="D35" t="str">
        <f t="shared" si="4"/>
        <v>Young</v>
      </c>
      <c r="E35">
        <v>1</v>
      </c>
      <c r="F35" t="str">
        <f>HLOOKUP(E35, LookUP_Table!$A$6:$D$7, 2, FALSE)</f>
        <v>Primary</v>
      </c>
      <c r="G35" t="str">
        <f>IFERROR(VLOOKUP(E35, LookUP_Table!$A$1:$B$4, 2, FALSE), "")</f>
        <v>Primary</v>
      </c>
      <c r="H35">
        <v>1</v>
      </c>
      <c r="I35">
        <v>40</v>
      </c>
      <c r="J35" t="str">
        <f t="shared" si="0"/>
        <v>Smoker</v>
      </c>
      <c r="K35">
        <v>0</v>
      </c>
      <c r="L35">
        <v>0</v>
      </c>
      <c r="M35">
        <v>1</v>
      </c>
      <c r="N35">
        <v>0</v>
      </c>
      <c r="O35">
        <v>265</v>
      </c>
      <c r="P35" t="str">
        <f t="shared" si="1"/>
        <v>High</v>
      </c>
      <c r="Q35">
        <v>167.5</v>
      </c>
      <c r="R35">
        <v>104.5</v>
      </c>
      <c r="S35">
        <v>26.59</v>
      </c>
      <c r="T35" t="str">
        <f t="shared" si="2"/>
        <v>Overweight</v>
      </c>
      <c r="U35">
        <v>102</v>
      </c>
      <c r="V35">
        <v>81.96365524402907</v>
      </c>
      <c r="W35" t="str">
        <f t="shared" si="5"/>
        <v>Normal</v>
      </c>
      <c r="X35">
        <v>0</v>
      </c>
    </row>
    <row r="36" spans="1:24" ht="14.5" thickBot="1" x14ac:dyDescent="0.35">
      <c r="A36">
        <v>0</v>
      </c>
      <c r="B36" t="str">
        <f t="shared" si="3"/>
        <v>Female</v>
      </c>
      <c r="C36" s="8">
        <v>35</v>
      </c>
      <c r="D36" t="str">
        <f t="shared" si="4"/>
        <v>Young</v>
      </c>
      <c r="E36">
        <v>2</v>
      </c>
      <c r="F36" t="str">
        <f>HLOOKUP(E36, LookUP_Table!$A$6:$D$7, 2, FALSE)</f>
        <v>Secondary</v>
      </c>
      <c r="G36" t="str">
        <f>IFERROR(VLOOKUP(E36, LookUP_Table!$A$1:$B$4, 2, FALSE), "")</f>
        <v>Secondary</v>
      </c>
      <c r="H36">
        <v>0</v>
      </c>
      <c r="I36">
        <v>0</v>
      </c>
      <c r="J36" t="str">
        <f t="shared" si="0"/>
        <v>Non-Smoker</v>
      </c>
      <c r="K36">
        <v>0</v>
      </c>
      <c r="L36">
        <v>0</v>
      </c>
      <c r="M36">
        <v>0</v>
      </c>
      <c r="N36">
        <v>0</v>
      </c>
      <c r="O36">
        <v>248</v>
      </c>
      <c r="P36" t="str">
        <f t="shared" si="1"/>
        <v>High</v>
      </c>
      <c r="Q36">
        <v>107</v>
      </c>
      <c r="R36">
        <v>73</v>
      </c>
      <c r="S36">
        <v>20.64</v>
      </c>
      <c r="T36" t="str">
        <f t="shared" si="2"/>
        <v>Normal</v>
      </c>
      <c r="U36">
        <v>90</v>
      </c>
      <c r="V36">
        <v>80</v>
      </c>
      <c r="W36" t="str">
        <f t="shared" si="5"/>
        <v>Normal</v>
      </c>
      <c r="X36">
        <v>0</v>
      </c>
    </row>
    <row r="37" spans="1:24" ht="14.5" thickBot="1" x14ac:dyDescent="0.35">
      <c r="A37">
        <v>1</v>
      </c>
      <c r="B37" t="str">
        <f t="shared" si="3"/>
        <v>Male</v>
      </c>
      <c r="C37" s="8">
        <v>35</v>
      </c>
      <c r="D37" t="str">
        <f t="shared" si="4"/>
        <v>Young</v>
      </c>
      <c r="E37">
        <v>2</v>
      </c>
      <c r="F37" t="str">
        <f>HLOOKUP(E37, LookUP_Table!$A$6:$D$7, 2, FALSE)</f>
        <v>Secondary</v>
      </c>
      <c r="G37" t="str">
        <f>IFERROR(VLOOKUP(E37, LookUP_Table!$A$1:$B$4, 2, FALSE), "")</f>
        <v>Secondary</v>
      </c>
      <c r="H37">
        <v>0</v>
      </c>
      <c r="I37">
        <v>0</v>
      </c>
      <c r="J37" t="str">
        <f t="shared" si="0"/>
        <v>Non-Smoker</v>
      </c>
      <c r="K37">
        <v>0</v>
      </c>
      <c r="L37">
        <v>0</v>
      </c>
      <c r="M37">
        <v>0</v>
      </c>
      <c r="N37">
        <v>0</v>
      </c>
      <c r="O37">
        <v>290</v>
      </c>
      <c r="P37" t="str">
        <f t="shared" si="1"/>
        <v>High</v>
      </c>
      <c r="Q37">
        <v>108</v>
      </c>
      <c r="R37">
        <v>72</v>
      </c>
      <c r="S37">
        <v>22.91</v>
      </c>
      <c r="T37" t="str">
        <f t="shared" si="2"/>
        <v>Normal</v>
      </c>
      <c r="U37">
        <v>55</v>
      </c>
      <c r="V37">
        <v>84</v>
      </c>
      <c r="W37" t="str">
        <f t="shared" si="5"/>
        <v>Normal</v>
      </c>
      <c r="X37">
        <v>0</v>
      </c>
    </row>
    <row r="38" spans="1:24" ht="14.5" thickBot="1" x14ac:dyDescent="0.35">
      <c r="A38">
        <v>0</v>
      </c>
      <c r="B38" t="str">
        <f t="shared" si="3"/>
        <v>Female</v>
      </c>
      <c r="C38" s="8">
        <v>35</v>
      </c>
      <c r="D38" t="str">
        <f t="shared" si="4"/>
        <v>Young</v>
      </c>
      <c r="E38">
        <v>3</v>
      </c>
      <c r="F38" t="str">
        <f>HLOOKUP(E38, LookUP_Table!$A$6:$D$7, 2, FALSE)</f>
        <v>Graduate</v>
      </c>
      <c r="G38" t="str">
        <f>IFERROR(VLOOKUP(E38, LookUP_Table!$A$1:$B$4, 2, FALSE), "")</f>
        <v>Graduate</v>
      </c>
      <c r="H38">
        <v>1</v>
      </c>
      <c r="I38">
        <v>5</v>
      </c>
      <c r="J38" t="str">
        <f t="shared" si="0"/>
        <v>Smoker</v>
      </c>
      <c r="K38">
        <v>0</v>
      </c>
      <c r="L38">
        <v>0</v>
      </c>
      <c r="M38">
        <v>0</v>
      </c>
      <c r="N38">
        <v>0</v>
      </c>
      <c r="O38">
        <v>154</v>
      </c>
      <c r="P38" t="str">
        <f t="shared" si="1"/>
        <v>Normal</v>
      </c>
      <c r="Q38">
        <v>125</v>
      </c>
      <c r="R38">
        <v>75</v>
      </c>
      <c r="S38">
        <v>23.1</v>
      </c>
      <c r="T38" t="str">
        <f t="shared" si="2"/>
        <v>Normal</v>
      </c>
      <c r="U38">
        <v>110</v>
      </c>
      <c r="V38">
        <v>75</v>
      </c>
      <c r="W38" t="str">
        <f t="shared" si="5"/>
        <v>Normal</v>
      </c>
      <c r="X38">
        <v>0</v>
      </c>
    </row>
    <row r="39" spans="1:24" ht="14.5" thickBot="1" x14ac:dyDescent="0.35">
      <c r="A39">
        <v>1</v>
      </c>
      <c r="B39" t="str">
        <f t="shared" si="3"/>
        <v>Male</v>
      </c>
      <c r="C39" s="8">
        <v>35</v>
      </c>
      <c r="D39" t="str">
        <f t="shared" si="4"/>
        <v>Young</v>
      </c>
      <c r="E39">
        <v>2</v>
      </c>
      <c r="F39" t="str">
        <f>HLOOKUP(E39, LookUP_Table!$A$6:$D$7, 2, FALSE)</f>
        <v>Secondary</v>
      </c>
      <c r="G39" t="str">
        <f>IFERROR(VLOOKUP(E39, LookUP_Table!$A$1:$B$4, 2, FALSE), "")</f>
        <v>Secondary</v>
      </c>
      <c r="H39">
        <v>0</v>
      </c>
      <c r="I39">
        <v>0</v>
      </c>
      <c r="J39" t="str">
        <f t="shared" si="0"/>
        <v>Non-Smoker</v>
      </c>
      <c r="K39">
        <v>0</v>
      </c>
      <c r="L39">
        <v>0</v>
      </c>
      <c r="M39">
        <v>0</v>
      </c>
      <c r="N39">
        <v>0</v>
      </c>
      <c r="O39">
        <v>242</v>
      </c>
      <c r="P39" t="str">
        <f t="shared" si="1"/>
        <v>High</v>
      </c>
      <c r="Q39">
        <v>136.5</v>
      </c>
      <c r="R39">
        <v>95</v>
      </c>
      <c r="S39">
        <v>24.43</v>
      </c>
      <c r="T39" t="str">
        <f t="shared" si="2"/>
        <v>Normal</v>
      </c>
      <c r="U39">
        <v>75</v>
      </c>
      <c r="V39">
        <v>88</v>
      </c>
      <c r="W39" t="str">
        <f t="shared" si="5"/>
        <v>Normal</v>
      </c>
      <c r="X39">
        <v>0</v>
      </c>
    </row>
    <row r="40" spans="1:24" ht="14.5" thickBot="1" x14ac:dyDescent="0.35">
      <c r="A40">
        <v>0</v>
      </c>
      <c r="B40" t="str">
        <f t="shared" si="3"/>
        <v>Female</v>
      </c>
      <c r="C40" s="8">
        <v>35</v>
      </c>
      <c r="D40" t="str">
        <f t="shared" si="4"/>
        <v>Young</v>
      </c>
      <c r="E40">
        <v>3</v>
      </c>
      <c r="F40" t="str">
        <f>HLOOKUP(E40, LookUP_Table!$A$6:$D$7, 2, FALSE)</f>
        <v>Graduate</v>
      </c>
      <c r="G40" t="str">
        <f>IFERROR(VLOOKUP(E40, LookUP_Table!$A$1:$B$4, 2, FALSE), "")</f>
        <v>Graduate</v>
      </c>
      <c r="H40">
        <v>0</v>
      </c>
      <c r="I40">
        <v>0</v>
      </c>
      <c r="J40" t="str">
        <f t="shared" si="0"/>
        <v>Non-Smoker</v>
      </c>
      <c r="K40">
        <v>0</v>
      </c>
      <c r="L40">
        <v>0</v>
      </c>
      <c r="M40">
        <v>0</v>
      </c>
      <c r="N40">
        <v>0</v>
      </c>
      <c r="O40">
        <v>236.69952267303103</v>
      </c>
      <c r="P40" t="str">
        <f t="shared" si="1"/>
        <v>Normal</v>
      </c>
      <c r="Q40">
        <v>127.5</v>
      </c>
      <c r="R40">
        <v>80</v>
      </c>
      <c r="S40">
        <v>23.08</v>
      </c>
      <c r="T40" t="str">
        <f t="shared" si="2"/>
        <v>Normal</v>
      </c>
      <c r="U40">
        <v>95</v>
      </c>
      <c r="V40">
        <v>85</v>
      </c>
      <c r="W40" t="str">
        <f t="shared" si="5"/>
        <v>Normal</v>
      </c>
      <c r="X40">
        <v>0</v>
      </c>
    </row>
    <row r="41" spans="1:24" ht="14.5" thickBot="1" x14ac:dyDescent="0.35">
      <c r="A41">
        <v>1</v>
      </c>
      <c r="B41" t="str">
        <f t="shared" si="3"/>
        <v>Male</v>
      </c>
      <c r="C41" s="8">
        <v>35</v>
      </c>
      <c r="D41" t="str">
        <f t="shared" si="4"/>
        <v>Young</v>
      </c>
      <c r="E41">
        <v>1</v>
      </c>
      <c r="F41" t="str">
        <f>HLOOKUP(E41, LookUP_Table!$A$6:$D$7, 2, FALSE)</f>
        <v>Primary</v>
      </c>
      <c r="G41" t="str">
        <f>IFERROR(VLOOKUP(E41, LookUP_Table!$A$1:$B$4, 2, FALSE), "")</f>
        <v>Primary</v>
      </c>
      <c r="H41">
        <v>1</v>
      </c>
      <c r="I41">
        <v>15</v>
      </c>
      <c r="J41" t="str">
        <f t="shared" si="0"/>
        <v>Smoker</v>
      </c>
      <c r="K41">
        <v>0</v>
      </c>
      <c r="L41">
        <v>0</v>
      </c>
      <c r="M41">
        <v>0</v>
      </c>
      <c r="N41">
        <v>0</v>
      </c>
      <c r="O41">
        <v>210</v>
      </c>
      <c r="P41" t="str">
        <f t="shared" si="1"/>
        <v>Normal</v>
      </c>
      <c r="Q41">
        <v>99</v>
      </c>
      <c r="R41">
        <v>67</v>
      </c>
      <c r="S41">
        <v>22.39</v>
      </c>
      <c r="T41" t="str">
        <f t="shared" si="2"/>
        <v>Normal</v>
      </c>
      <c r="U41">
        <v>57</v>
      </c>
      <c r="V41">
        <v>75</v>
      </c>
      <c r="W41" t="str">
        <f t="shared" si="5"/>
        <v>Normal</v>
      </c>
      <c r="X41">
        <v>0</v>
      </c>
    </row>
    <row r="42" spans="1:24" ht="14.5" thickBot="1" x14ac:dyDescent="0.35">
      <c r="A42">
        <v>0</v>
      </c>
      <c r="B42" t="str">
        <f t="shared" si="3"/>
        <v>Female</v>
      </c>
      <c r="C42" s="8">
        <v>35</v>
      </c>
      <c r="D42" t="str">
        <f t="shared" si="4"/>
        <v>Young</v>
      </c>
      <c r="E42">
        <v>2</v>
      </c>
      <c r="F42" t="str">
        <f>HLOOKUP(E42, LookUP_Table!$A$6:$D$7, 2, FALSE)</f>
        <v>Secondary</v>
      </c>
      <c r="G42" t="str">
        <f>IFERROR(VLOOKUP(E42, LookUP_Table!$A$1:$B$4, 2, FALSE), "")</f>
        <v>Secondary</v>
      </c>
      <c r="H42">
        <v>0</v>
      </c>
      <c r="I42">
        <v>0</v>
      </c>
      <c r="J42" t="str">
        <f t="shared" si="0"/>
        <v>Non-Smoker</v>
      </c>
      <c r="K42">
        <v>0</v>
      </c>
      <c r="L42">
        <v>0</v>
      </c>
      <c r="M42">
        <v>0</v>
      </c>
      <c r="N42">
        <v>0</v>
      </c>
      <c r="O42">
        <v>216</v>
      </c>
      <c r="P42" t="str">
        <f t="shared" si="1"/>
        <v>Normal</v>
      </c>
      <c r="Q42">
        <v>130</v>
      </c>
      <c r="R42">
        <v>68</v>
      </c>
      <c r="S42">
        <v>25.94</v>
      </c>
      <c r="T42" t="str">
        <f t="shared" si="2"/>
        <v>Overweight</v>
      </c>
      <c r="U42">
        <v>75</v>
      </c>
      <c r="V42">
        <v>90</v>
      </c>
      <c r="W42" t="str">
        <f t="shared" si="5"/>
        <v>Normal</v>
      </c>
      <c r="X42">
        <v>0</v>
      </c>
    </row>
    <row r="43" spans="1:24" ht="14.5" thickBot="1" x14ac:dyDescent="0.35">
      <c r="A43">
        <v>0</v>
      </c>
      <c r="B43" t="str">
        <f t="shared" si="3"/>
        <v>Female</v>
      </c>
      <c r="C43" s="8">
        <v>35</v>
      </c>
      <c r="D43" t="str">
        <f t="shared" si="4"/>
        <v>Young</v>
      </c>
      <c r="E43">
        <v>2</v>
      </c>
      <c r="F43" t="str">
        <f>HLOOKUP(E43, LookUP_Table!$A$6:$D$7, 2, FALSE)</f>
        <v>Secondary</v>
      </c>
      <c r="G43" t="str">
        <f>IFERROR(VLOOKUP(E43, LookUP_Table!$A$1:$B$4, 2, FALSE), "")</f>
        <v>Secondary</v>
      </c>
      <c r="H43">
        <v>1</v>
      </c>
      <c r="I43">
        <v>5</v>
      </c>
      <c r="J43" t="str">
        <f t="shared" si="0"/>
        <v>Smoker</v>
      </c>
      <c r="K43">
        <v>0</v>
      </c>
      <c r="L43">
        <v>0</v>
      </c>
      <c r="M43">
        <v>0</v>
      </c>
      <c r="N43">
        <v>0</v>
      </c>
      <c r="O43">
        <v>186</v>
      </c>
      <c r="P43" t="str">
        <f t="shared" si="1"/>
        <v>Normal</v>
      </c>
      <c r="Q43">
        <v>106</v>
      </c>
      <c r="R43">
        <v>78</v>
      </c>
      <c r="S43">
        <v>24.73</v>
      </c>
      <c r="T43" t="str">
        <f t="shared" si="2"/>
        <v>Normal</v>
      </c>
      <c r="U43">
        <v>60</v>
      </c>
      <c r="V43">
        <v>70</v>
      </c>
      <c r="W43" t="str">
        <f t="shared" si="5"/>
        <v>Normal</v>
      </c>
      <c r="X43">
        <v>0</v>
      </c>
    </row>
    <row r="44" spans="1:24" ht="14.5" thickBot="1" x14ac:dyDescent="0.35">
      <c r="A44">
        <v>1</v>
      </c>
      <c r="B44" t="str">
        <f t="shared" si="3"/>
        <v>Male</v>
      </c>
      <c r="C44" s="8">
        <v>35</v>
      </c>
      <c r="D44" t="str">
        <f t="shared" si="4"/>
        <v>Young</v>
      </c>
      <c r="E44">
        <v>4</v>
      </c>
      <c r="F44" t="str">
        <f>HLOOKUP(E44, LookUP_Table!$A$6:$D$7, 2, FALSE)</f>
        <v>Post Graduate</v>
      </c>
      <c r="G44" t="str">
        <f>IFERROR(VLOOKUP(E44, LookUP_Table!$A$1:$B$4, 2, FALSE), "")</f>
        <v>Post Graduate</v>
      </c>
      <c r="H44">
        <v>1</v>
      </c>
      <c r="I44">
        <v>10</v>
      </c>
      <c r="J44" t="str">
        <f t="shared" si="0"/>
        <v>Smoker</v>
      </c>
      <c r="K44">
        <v>0</v>
      </c>
      <c r="L44">
        <v>0</v>
      </c>
      <c r="M44">
        <v>0</v>
      </c>
      <c r="N44">
        <v>0</v>
      </c>
      <c r="O44">
        <v>300</v>
      </c>
      <c r="P44" t="str">
        <f t="shared" si="1"/>
        <v>High</v>
      </c>
      <c r="Q44">
        <v>120</v>
      </c>
      <c r="R44">
        <v>84</v>
      </c>
      <c r="S44">
        <v>24.69</v>
      </c>
      <c r="T44" t="str">
        <f t="shared" si="2"/>
        <v>Normal</v>
      </c>
      <c r="U44">
        <v>75</v>
      </c>
      <c r="V44">
        <v>99</v>
      </c>
      <c r="W44" t="str">
        <f t="shared" si="5"/>
        <v>Normal</v>
      </c>
      <c r="X44">
        <v>0</v>
      </c>
    </row>
    <row r="45" spans="1:24" ht="14.5" thickBot="1" x14ac:dyDescent="0.35">
      <c r="A45">
        <v>1</v>
      </c>
      <c r="B45" t="str">
        <f t="shared" si="3"/>
        <v>Male</v>
      </c>
      <c r="C45" s="8">
        <v>35</v>
      </c>
      <c r="D45" t="str">
        <f t="shared" si="4"/>
        <v>Young</v>
      </c>
      <c r="E45">
        <v>3</v>
      </c>
      <c r="F45" t="str">
        <f>HLOOKUP(E45, LookUP_Table!$A$6:$D$7, 2, FALSE)</f>
        <v>Graduate</v>
      </c>
      <c r="G45" t="str">
        <f>IFERROR(VLOOKUP(E45, LookUP_Table!$A$1:$B$4, 2, FALSE), "")</f>
        <v>Graduate</v>
      </c>
      <c r="H45">
        <v>1</v>
      </c>
      <c r="I45">
        <v>15</v>
      </c>
      <c r="J45" t="str">
        <f t="shared" si="0"/>
        <v>Smoker</v>
      </c>
      <c r="K45">
        <v>0</v>
      </c>
      <c r="L45">
        <v>0</v>
      </c>
      <c r="M45">
        <v>0</v>
      </c>
      <c r="N45">
        <v>0</v>
      </c>
      <c r="O45">
        <v>215</v>
      </c>
      <c r="P45" t="str">
        <f t="shared" si="1"/>
        <v>Normal</v>
      </c>
      <c r="Q45">
        <v>133</v>
      </c>
      <c r="R45">
        <v>86</v>
      </c>
      <c r="S45">
        <v>28.7</v>
      </c>
      <c r="T45" t="str">
        <f t="shared" si="2"/>
        <v>Overweight</v>
      </c>
      <c r="U45">
        <v>86</v>
      </c>
      <c r="V45">
        <v>84</v>
      </c>
      <c r="W45" t="str">
        <f t="shared" si="5"/>
        <v>Normal</v>
      </c>
      <c r="X45">
        <v>0</v>
      </c>
    </row>
    <row r="46" spans="1:24" ht="14.5" thickBot="1" x14ac:dyDescent="0.35">
      <c r="A46">
        <v>0</v>
      </c>
      <c r="B46" t="str">
        <f t="shared" si="3"/>
        <v>Female</v>
      </c>
      <c r="C46" s="8">
        <v>35</v>
      </c>
      <c r="D46" t="str">
        <f t="shared" si="4"/>
        <v>Young</v>
      </c>
      <c r="E46">
        <v>1</v>
      </c>
      <c r="F46" t="str">
        <f>HLOOKUP(E46, LookUP_Table!$A$6:$D$7, 2, FALSE)</f>
        <v>Primary</v>
      </c>
      <c r="G46" t="str">
        <f>IFERROR(VLOOKUP(E46, LookUP_Table!$A$1:$B$4, 2, FALSE), "")</f>
        <v>Primary</v>
      </c>
      <c r="H46">
        <v>0</v>
      </c>
      <c r="I46">
        <v>0</v>
      </c>
      <c r="J46" t="str">
        <f t="shared" si="0"/>
        <v>Non-Smoker</v>
      </c>
      <c r="K46">
        <v>0</v>
      </c>
      <c r="L46">
        <v>0</v>
      </c>
      <c r="M46">
        <v>0</v>
      </c>
      <c r="N46">
        <v>0</v>
      </c>
      <c r="O46">
        <v>170</v>
      </c>
      <c r="P46" t="str">
        <f t="shared" si="1"/>
        <v>Normal</v>
      </c>
      <c r="Q46">
        <v>110</v>
      </c>
      <c r="R46">
        <v>69</v>
      </c>
      <c r="S46">
        <v>23.48</v>
      </c>
      <c r="T46" t="str">
        <f t="shared" si="2"/>
        <v>Normal</v>
      </c>
      <c r="U46">
        <v>75</v>
      </c>
      <c r="V46">
        <v>83</v>
      </c>
      <c r="W46" t="str">
        <f t="shared" si="5"/>
        <v>Normal</v>
      </c>
      <c r="X46">
        <v>0</v>
      </c>
    </row>
    <row r="47" spans="1:24" ht="14.5" thickBot="1" x14ac:dyDescent="0.35">
      <c r="A47">
        <v>1</v>
      </c>
      <c r="B47" t="str">
        <f t="shared" si="3"/>
        <v>Male</v>
      </c>
      <c r="C47" s="8">
        <v>35</v>
      </c>
      <c r="D47" t="str">
        <f t="shared" si="4"/>
        <v>Young</v>
      </c>
      <c r="E47">
        <v>3</v>
      </c>
      <c r="F47" t="str">
        <f>HLOOKUP(E47, LookUP_Table!$A$6:$D$7, 2, FALSE)</f>
        <v>Graduate</v>
      </c>
      <c r="G47" t="str">
        <f>IFERROR(VLOOKUP(E47, LookUP_Table!$A$1:$B$4, 2, FALSE), "")</f>
        <v>Graduate</v>
      </c>
      <c r="H47">
        <v>1</v>
      </c>
      <c r="I47">
        <v>15</v>
      </c>
      <c r="J47" t="str">
        <f t="shared" si="0"/>
        <v>Smoker</v>
      </c>
      <c r="K47">
        <v>0</v>
      </c>
      <c r="L47">
        <v>0</v>
      </c>
      <c r="M47">
        <v>0</v>
      </c>
      <c r="N47">
        <v>0</v>
      </c>
      <c r="O47">
        <v>196</v>
      </c>
      <c r="P47" t="str">
        <f t="shared" si="1"/>
        <v>Normal</v>
      </c>
      <c r="Q47">
        <v>107.5</v>
      </c>
      <c r="R47">
        <v>66.5</v>
      </c>
      <c r="S47">
        <v>22.64</v>
      </c>
      <c r="T47" t="str">
        <f t="shared" si="2"/>
        <v>Normal</v>
      </c>
      <c r="U47">
        <v>45</v>
      </c>
      <c r="V47">
        <v>79</v>
      </c>
      <c r="W47" t="str">
        <f t="shared" si="5"/>
        <v>Normal</v>
      </c>
      <c r="X47">
        <v>0</v>
      </c>
    </row>
    <row r="48" spans="1:24" ht="14.5" thickBot="1" x14ac:dyDescent="0.35">
      <c r="A48">
        <v>1</v>
      </c>
      <c r="B48" t="str">
        <f t="shared" si="3"/>
        <v>Male</v>
      </c>
      <c r="C48" s="8">
        <v>35</v>
      </c>
      <c r="D48" t="str">
        <f t="shared" si="4"/>
        <v>Young</v>
      </c>
      <c r="E48">
        <v>2</v>
      </c>
      <c r="F48" t="str">
        <f>HLOOKUP(E48, LookUP_Table!$A$6:$D$7, 2, FALSE)</f>
        <v>Secondary</v>
      </c>
      <c r="G48" t="str">
        <f>IFERROR(VLOOKUP(E48, LookUP_Table!$A$1:$B$4, 2, FALSE), "")</f>
        <v>Secondary</v>
      </c>
      <c r="H48">
        <v>1</v>
      </c>
      <c r="I48">
        <v>3</v>
      </c>
      <c r="J48" t="str">
        <f t="shared" si="0"/>
        <v>Smoker</v>
      </c>
      <c r="K48">
        <v>0</v>
      </c>
      <c r="L48">
        <v>0</v>
      </c>
      <c r="M48">
        <v>1</v>
      </c>
      <c r="N48">
        <v>0</v>
      </c>
      <c r="O48">
        <v>282</v>
      </c>
      <c r="P48" t="str">
        <f t="shared" si="1"/>
        <v>High</v>
      </c>
      <c r="Q48">
        <v>111</v>
      </c>
      <c r="R48">
        <v>84</v>
      </c>
      <c r="S48">
        <v>29.42</v>
      </c>
      <c r="T48" t="str">
        <f t="shared" si="2"/>
        <v>Overweight</v>
      </c>
      <c r="U48">
        <v>80</v>
      </c>
      <c r="V48">
        <v>81.96365524402907</v>
      </c>
      <c r="W48" t="str">
        <f t="shared" si="5"/>
        <v>Normal</v>
      </c>
      <c r="X48">
        <v>0</v>
      </c>
    </row>
    <row r="49" spans="1:24" ht="14.5" thickBot="1" x14ac:dyDescent="0.35">
      <c r="A49">
        <v>0</v>
      </c>
      <c r="B49" t="str">
        <f t="shared" si="3"/>
        <v>Female</v>
      </c>
      <c r="C49" s="8">
        <v>35</v>
      </c>
      <c r="D49" t="str">
        <f t="shared" si="4"/>
        <v>Young</v>
      </c>
      <c r="E49">
        <v>2</v>
      </c>
      <c r="F49" t="str">
        <f>HLOOKUP(E49, LookUP_Table!$A$6:$D$7, 2, FALSE)</f>
        <v>Secondary</v>
      </c>
      <c r="G49" t="str">
        <f>IFERROR(VLOOKUP(E49, LookUP_Table!$A$1:$B$4, 2, FALSE), "")</f>
        <v>Secondary</v>
      </c>
      <c r="H49">
        <v>0</v>
      </c>
      <c r="I49">
        <v>0</v>
      </c>
      <c r="J49" t="str">
        <f t="shared" si="0"/>
        <v>Non-Smoker</v>
      </c>
      <c r="K49">
        <v>0</v>
      </c>
      <c r="L49">
        <v>0</v>
      </c>
      <c r="M49">
        <v>0</v>
      </c>
      <c r="N49">
        <v>0</v>
      </c>
      <c r="O49">
        <v>274</v>
      </c>
      <c r="P49" t="str">
        <f t="shared" si="1"/>
        <v>High</v>
      </c>
      <c r="Q49">
        <v>104</v>
      </c>
      <c r="R49">
        <v>61</v>
      </c>
      <c r="S49">
        <v>25.80080075811421</v>
      </c>
      <c r="T49" t="str">
        <f t="shared" si="2"/>
        <v>Overweight</v>
      </c>
      <c r="U49">
        <v>60</v>
      </c>
      <c r="V49">
        <v>68</v>
      </c>
      <c r="W49" t="str">
        <f t="shared" si="5"/>
        <v>Normal</v>
      </c>
      <c r="X49">
        <v>0</v>
      </c>
    </row>
    <row r="50" spans="1:24" ht="14.5" thickBot="1" x14ac:dyDescent="0.35">
      <c r="A50">
        <v>0</v>
      </c>
      <c r="B50" t="str">
        <f t="shared" si="3"/>
        <v>Female</v>
      </c>
      <c r="C50" s="8">
        <v>35</v>
      </c>
      <c r="D50" t="str">
        <f t="shared" si="4"/>
        <v>Young</v>
      </c>
      <c r="E50">
        <v>2</v>
      </c>
      <c r="F50" t="str">
        <f>HLOOKUP(E50, LookUP_Table!$A$6:$D$7, 2, FALSE)</f>
        <v>Secondary</v>
      </c>
      <c r="G50" t="str">
        <f>IFERROR(VLOOKUP(E50, LookUP_Table!$A$1:$B$4, 2, FALSE), "")</f>
        <v>Secondary</v>
      </c>
      <c r="H50">
        <v>0</v>
      </c>
      <c r="I50">
        <v>0</v>
      </c>
      <c r="J50" t="str">
        <f t="shared" si="0"/>
        <v>Non-Smoker</v>
      </c>
      <c r="K50">
        <v>0</v>
      </c>
      <c r="L50">
        <v>0</v>
      </c>
      <c r="M50">
        <v>0</v>
      </c>
      <c r="N50">
        <v>0</v>
      </c>
      <c r="O50">
        <v>165</v>
      </c>
      <c r="P50" t="str">
        <f t="shared" si="1"/>
        <v>Normal</v>
      </c>
      <c r="Q50">
        <v>117.5</v>
      </c>
      <c r="R50">
        <v>72.5</v>
      </c>
      <c r="S50">
        <v>27.86</v>
      </c>
      <c r="T50" t="str">
        <f t="shared" si="2"/>
        <v>Overweight</v>
      </c>
      <c r="U50">
        <v>63</v>
      </c>
      <c r="V50">
        <v>67</v>
      </c>
      <c r="W50" t="str">
        <f t="shared" si="5"/>
        <v>Normal</v>
      </c>
      <c r="X50">
        <v>0</v>
      </c>
    </row>
    <row r="51" spans="1:24" ht="14.5" thickBot="1" x14ac:dyDescent="0.35">
      <c r="A51">
        <v>0</v>
      </c>
      <c r="B51" t="str">
        <f t="shared" si="3"/>
        <v>Female</v>
      </c>
      <c r="C51" s="8">
        <v>35</v>
      </c>
      <c r="D51" t="str">
        <f t="shared" si="4"/>
        <v>Young</v>
      </c>
      <c r="E51">
        <v>2</v>
      </c>
      <c r="F51" t="str">
        <f>HLOOKUP(E51, LookUP_Table!$A$6:$D$7, 2, FALSE)</f>
        <v>Secondary</v>
      </c>
      <c r="G51" t="str">
        <f>IFERROR(VLOOKUP(E51, LookUP_Table!$A$1:$B$4, 2, FALSE), "")</f>
        <v>Secondary</v>
      </c>
      <c r="H51">
        <v>0</v>
      </c>
      <c r="I51">
        <v>0</v>
      </c>
      <c r="J51" t="str">
        <f t="shared" si="0"/>
        <v>Non-Smoker</v>
      </c>
      <c r="K51">
        <v>0</v>
      </c>
      <c r="L51">
        <v>0</v>
      </c>
      <c r="M51">
        <v>0</v>
      </c>
      <c r="N51">
        <v>0</v>
      </c>
      <c r="O51">
        <v>197</v>
      </c>
      <c r="P51" t="str">
        <f t="shared" si="1"/>
        <v>Normal</v>
      </c>
      <c r="Q51">
        <v>109</v>
      </c>
      <c r="R51">
        <v>73</v>
      </c>
      <c r="S51">
        <v>26.38</v>
      </c>
      <c r="T51" t="str">
        <f t="shared" si="2"/>
        <v>Overweight</v>
      </c>
      <c r="U51">
        <v>71</v>
      </c>
      <c r="V51">
        <v>95</v>
      </c>
      <c r="W51" t="str">
        <f t="shared" si="5"/>
        <v>Normal</v>
      </c>
      <c r="X51">
        <v>0</v>
      </c>
    </row>
    <row r="52" spans="1:24" ht="14.5" thickBot="1" x14ac:dyDescent="0.35">
      <c r="A52">
        <v>0</v>
      </c>
      <c r="B52" t="str">
        <f t="shared" si="3"/>
        <v>Female</v>
      </c>
      <c r="C52" s="8">
        <v>35</v>
      </c>
      <c r="D52" t="str">
        <f t="shared" si="4"/>
        <v>Young</v>
      </c>
      <c r="E52">
        <v>2</v>
      </c>
      <c r="F52" t="str">
        <f>HLOOKUP(E52, LookUP_Table!$A$6:$D$7, 2, FALSE)</f>
        <v>Secondary</v>
      </c>
      <c r="G52" t="str">
        <f>IFERROR(VLOOKUP(E52, LookUP_Table!$A$1:$B$4, 2, FALSE), "")</f>
        <v>Secondary</v>
      </c>
      <c r="H52">
        <v>0</v>
      </c>
      <c r="I52">
        <v>0</v>
      </c>
      <c r="J52" t="str">
        <f t="shared" si="0"/>
        <v>Non-Smoker</v>
      </c>
      <c r="K52">
        <v>0</v>
      </c>
      <c r="L52">
        <v>0</v>
      </c>
      <c r="M52">
        <v>0</v>
      </c>
      <c r="N52">
        <v>0</v>
      </c>
      <c r="O52">
        <v>135</v>
      </c>
      <c r="P52" t="str">
        <f t="shared" si="1"/>
        <v>Normal</v>
      </c>
      <c r="Q52">
        <v>105</v>
      </c>
      <c r="R52">
        <v>69</v>
      </c>
      <c r="S52">
        <v>22.88</v>
      </c>
      <c r="T52" t="str">
        <f t="shared" si="2"/>
        <v>Normal</v>
      </c>
      <c r="U52">
        <v>70</v>
      </c>
      <c r="V52">
        <v>76</v>
      </c>
      <c r="W52" t="str">
        <f t="shared" si="5"/>
        <v>Normal</v>
      </c>
      <c r="X52">
        <v>0</v>
      </c>
    </row>
    <row r="53" spans="1:24" ht="14.5" thickBot="1" x14ac:dyDescent="0.35">
      <c r="A53">
        <v>1</v>
      </c>
      <c r="B53" t="str">
        <f t="shared" si="3"/>
        <v>Male</v>
      </c>
      <c r="C53" s="8">
        <v>35</v>
      </c>
      <c r="D53" t="str">
        <f t="shared" si="4"/>
        <v>Young</v>
      </c>
      <c r="E53">
        <v>1</v>
      </c>
      <c r="F53" t="str">
        <f>HLOOKUP(E53, LookUP_Table!$A$6:$D$7, 2, FALSE)</f>
        <v>Primary</v>
      </c>
      <c r="G53" t="str">
        <f>IFERROR(VLOOKUP(E53, LookUP_Table!$A$1:$B$4, 2, FALSE), "")</f>
        <v>Primary</v>
      </c>
      <c r="H53">
        <v>0</v>
      </c>
      <c r="I53">
        <v>0</v>
      </c>
      <c r="J53" t="str">
        <f t="shared" si="0"/>
        <v>Non-Smoker</v>
      </c>
      <c r="K53">
        <v>0</v>
      </c>
      <c r="L53">
        <v>0</v>
      </c>
      <c r="M53">
        <v>0</v>
      </c>
      <c r="N53">
        <v>0</v>
      </c>
      <c r="O53">
        <v>275</v>
      </c>
      <c r="P53" t="str">
        <f t="shared" si="1"/>
        <v>High</v>
      </c>
      <c r="Q53">
        <v>132.5</v>
      </c>
      <c r="R53">
        <v>79</v>
      </c>
      <c r="S53">
        <v>34.04</v>
      </c>
      <c r="T53" t="str">
        <f t="shared" si="2"/>
        <v>Obese</v>
      </c>
      <c r="U53">
        <v>75</v>
      </c>
      <c r="V53">
        <v>80</v>
      </c>
      <c r="W53" t="str">
        <f t="shared" si="5"/>
        <v>Normal</v>
      </c>
      <c r="X53">
        <v>0</v>
      </c>
    </row>
    <row r="54" spans="1:24" ht="14.5" thickBot="1" x14ac:dyDescent="0.35">
      <c r="A54">
        <v>0</v>
      </c>
      <c r="B54" t="str">
        <f t="shared" si="3"/>
        <v>Female</v>
      </c>
      <c r="C54" s="8">
        <v>35</v>
      </c>
      <c r="D54" t="str">
        <f t="shared" si="4"/>
        <v>Young</v>
      </c>
      <c r="E54">
        <v>3</v>
      </c>
      <c r="F54" t="str">
        <f>HLOOKUP(E54, LookUP_Table!$A$6:$D$7, 2, FALSE)</f>
        <v>Graduate</v>
      </c>
      <c r="G54" t="str">
        <f>IFERROR(VLOOKUP(E54, LookUP_Table!$A$1:$B$4, 2, FALSE), "")</f>
        <v>Graduate</v>
      </c>
      <c r="H54">
        <v>0</v>
      </c>
      <c r="I54">
        <v>0</v>
      </c>
      <c r="J54" t="str">
        <f t="shared" si="0"/>
        <v>Non-Smoker</v>
      </c>
      <c r="K54">
        <v>0</v>
      </c>
      <c r="L54">
        <v>0</v>
      </c>
      <c r="M54">
        <v>0</v>
      </c>
      <c r="N54">
        <v>0</v>
      </c>
      <c r="O54">
        <v>219</v>
      </c>
      <c r="P54" t="str">
        <f t="shared" si="1"/>
        <v>Normal</v>
      </c>
      <c r="Q54">
        <v>116</v>
      </c>
      <c r="R54">
        <v>74</v>
      </c>
      <c r="S54">
        <v>21.63</v>
      </c>
      <c r="T54" t="str">
        <f t="shared" si="2"/>
        <v>Normal</v>
      </c>
      <c r="U54">
        <v>75</v>
      </c>
      <c r="V54">
        <v>68</v>
      </c>
      <c r="W54" t="str">
        <f t="shared" si="5"/>
        <v>Normal</v>
      </c>
      <c r="X54">
        <v>0</v>
      </c>
    </row>
    <row r="55" spans="1:24" ht="14.5" thickBot="1" x14ac:dyDescent="0.35">
      <c r="A55">
        <v>0</v>
      </c>
      <c r="B55" t="str">
        <f t="shared" si="3"/>
        <v>Female</v>
      </c>
      <c r="C55" s="8">
        <v>35</v>
      </c>
      <c r="D55" t="str">
        <f t="shared" si="4"/>
        <v>Young</v>
      </c>
      <c r="E55">
        <v>2</v>
      </c>
      <c r="F55" t="str">
        <f>HLOOKUP(E55, LookUP_Table!$A$6:$D$7, 2, FALSE)</f>
        <v>Secondary</v>
      </c>
      <c r="G55" t="str">
        <f>IFERROR(VLOOKUP(E55, LookUP_Table!$A$1:$B$4, 2, FALSE), "")</f>
        <v>Secondary</v>
      </c>
      <c r="H55">
        <v>1</v>
      </c>
      <c r="I55">
        <v>5</v>
      </c>
      <c r="J55" t="str">
        <f t="shared" si="0"/>
        <v>Smoker</v>
      </c>
      <c r="K55">
        <v>0</v>
      </c>
      <c r="L55">
        <v>0</v>
      </c>
      <c r="M55">
        <v>0</v>
      </c>
      <c r="N55">
        <v>0</v>
      </c>
      <c r="O55">
        <v>165</v>
      </c>
      <c r="P55" t="str">
        <f t="shared" si="1"/>
        <v>Normal</v>
      </c>
      <c r="Q55">
        <v>106</v>
      </c>
      <c r="R55">
        <v>64</v>
      </c>
      <c r="S55">
        <v>19.14</v>
      </c>
      <c r="T55" t="str">
        <f t="shared" si="2"/>
        <v>Normal</v>
      </c>
      <c r="U55">
        <v>68</v>
      </c>
      <c r="V55">
        <v>70</v>
      </c>
      <c r="W55" t="str">
        <f t="shared" si="5"/>
        <v>Normal</v>
      </c>
      <c r="X55">
        <v>0</v>
      </c>
    </row>
    <row r="56" spans="1:24" ht="14.5" thickBot="1" x14ac:dyDescent="0.35">
      <c r="A56">
        <v>1</v>
      </c>
      <c r="B56" t="str">
        <f t="shared" si="3"/>
        <v>Male</v>
      </c>
      <c r="C56" s="8">
        <v>35</v>
      </c>
      <c r="D56" t="str">
        <f t="shared" si="4"/>
        <v>Young</v>
      </c>
      <c r="E56">
        <v>2</v>
      </c>
      <c r="F56" t="str">
        <f>HLOOKUP(E56, LookUP_Table!$A$6:$D$7, 2, FALSE)</f>
        <v>Secondary</v>
      </c>
      <c r="G56" t="str">
        <f>IFERROR(VLOOKUP(E56, LookUP_Table!$A$1:$B$4, 2, FALSE), "")</f>
        <v>Secondary</v>
      </c>
      <c r="H56">
        <v>1</v>
      </c>
      <c r="I56">
        <v>20</v>
      </c>
      <c r="J56" t="str">
        <f t="shared" si="0"/>
        <v>Smoker</v>
      </c>
      <c r="K56">
        <v>0</v>
      </c>
      <c r="L56">
        <v>0</v>
      </c>
      <c r="M56">
        <v>0</v>
      </c>
      <c r="N56">
        <v>0</v>
      </c>
      <c r="O56">
        <v>200</v>
      </c>
      <c r="P56" t="str">
        <f t="shared" si="1"/>
        <v>Normal</v>
      </c>
      <c r="Q56">
        <v>131</v>
      </c>
      <c r="R56">
        <v>87</v>
      </c>
      <c r="S56">
        <v>23.93</v>
      </c>
      <c r="T56" t="str">
        <f t="shared" si="2"/>
        <v>Normal</v>
      </c>
      <c r="U56">
        <v>71</v>
      </c>
      <c r="V56">
        <v>70</v>
      </c>
      <c r="W56" t="str">
        <f t="shared" si="5"/>
        <v>Normal</v>
      </c>
      <c r="X56">
        <v>0</v>
      </c>
    </row>
    <row r="57" spans="1:24" ht="14.5" thickBot="1" x14ac:dyDescent="0.35">
      <c r="A57">
        <v>1</v>
      </c>
      <c r="B57" t="str">
        <f t="shared" si="3"/>
        <v>Male</v>
      </c>
      <c r="C57" s="8">
        <v>35</v>
      </c>
      <c r="D57" t="str">
        <f t="shared" si="4"/>
        <v>Young</v>
      </c>
      <c r="E57">
        <v>2</v>
      </c>
      <c r="F57" t="str">
        <f>HLOOKUP(E57, LookUP_Table!$A$6:$D$7, 2, FALSE)</f>
        <v>Secondary</v>
      </c>
      <c r="G57" t="str">
        <f>IFERROR(VLOOKUP(E57, LookUP_Table!$A$1:$B$4, 2, FALSE), "")</f>
        <v>Secondary</v>
      </c>
      <c r="H57">
        <v>1</v>
      </c>
      <c r="I57">
        <v>20</v>
      </c>
      <c r="J57" t="str">
        <f t="shared" si="0"/>
        <v>Smoker</v>
      </c>
      <c r="K57">
        <v>0</v>
      </c>
      <c r="L57">
        <v>0</v>
      </c>
      <c r="M57">
        <v>0</v>
      </c>
      <c r="N57">
        <v>0</v>
      </c>
      <c r="O57">
        <v>234</v>
      </c>
      <c r="P57" t="str">
        <f t="shared" si="1"/>
        <v>Normal</v>
      </c>
      <c r="Q57">
        <v>122.5</v>
      </c>
      <c r="R57">
        <v>76.5</v>
      </c>
      <c r="S57">
        <v>25.16</v>
      </c>
      <c r="T57" t="str">
        <f t="shared" si="2"/>
        <v>Overweight</v>
      </c>
      <c r="U57">
        <v>75</v>
      </c>
      <c r="V57">
        <v>85</v>
      </c>
      <c r="W57" t="str">
        <f t="shared" si="5"/>
        <v>Normal</v>
      </c>
      <c r="X57">
        <v>0</v>
      </c>
    </row>
    <row r="58" spans="1:24" ht="14.5" thickBot="1" x14ac:dyDescent="0.35">
      <c r="A58">
        <v>0</v>
      </c>
      <c r="B58" t="str">
        <f t="shared" si="3"/>
        <v>Female</v>
      </c>
      <c r="C58" s="8">
        <v>35</v>
      </c>
      <c r="D58" t="str">
        <f t="shared" si="4"/>
        <v>Young</v>
      </c>
      <c r="E58">
        <v>2</v>
      </c>
      <c r="F58" t="str">
        <f>HLOOKUP(E58, LookUP_Table!$A$6:$D$7, 2, FALSE)</f>
        <v>Secondary</v>
      </c>
      <c r="G58" t="str">
        <f>IFERROR(VLOOKUP(E58, LookUP_Table!$A$1:$B$4, 2, FALSE), "")</f>
        <v>Secondary</v>
      </c>
      <c r="H58">
        <v>1</v>
      </c>
      <c r="I58">
        <v>1</v>
      </c>
      <c r="J58" t="str">
        <f t="shared" si="0"/>
        <v>Smoker</v>
      </c>
      <c r="K58">
        <v>0</v>
      </c>
      <c r="L58">
        <v>0</v>
      </c>
      <c r="M58">
        <v>0</v>
      </c>
      <c r="N58">
        <v>0</v>
      </c>
      <c r="O58">
        <v>194</v>
      </c>
      <c r="P58" t="str">
        <f t="shared" si="1"/>
        <v>Normal</v>
      </c>
      <c r="Q58">
        <v>100.5</v>
      </c>
      <c r="R58">
        <v>69</v>
      </c>
      <c r="S58">
        <v>17.920000000000002</v>
      </c>
      <c r="T58" t="str">
        <f t="shared" si="2"/>
        <v>Underweight</v>
      </c>
      <c r="U58">
        <v>75</v>
      </c>
      <c r="V58">
        <v>73</v>
      </c>
      <c r="W58" t="str">
        <f t="shared" si="5"/>
        <v>Normal</v>
      </c>
      <c r="X58">
        <v>0</v>
      </c>
    </row>
    <row r="59" spans="1:24" ht="14.5" thickBot="1" x14ac:dyDescent="0.35">
      <c r="A59">
        <v>0</v>
      </c>
      <c r="B59" t="str">
        <f t="shared" si="3"/>
        <v>Female</v>
      </c>
      <c r="C59" s="8">
        <v>35</v>
      </c>
      <c r="D59" t="str">
        <f t="shared" si="4"/>
        <v>Young</v>
      </c>
      <c r="E59">
        <v>2</v>
      </c>
      <c r="F59" t="str">
        <f>HLOOKUP(E59, LookUP_Table!$A$6:$D$7, 2, FALSE)</f>
        <v>Secondary</v>
      </c>
      <c r="G59" t="str">
        <f>IFERROR(VLOOKUP(E59, LookUP_Table!$A$1:$B$4, 2, FALSE), "")</f>
        <v>Secondary</v>
      </c>
      <c r="H59">
        <v>1</v>
      </c>
      <c r="I59">
        <v>20</v>
      </c>
      <c r="J59" t="str">
        <f t="shared" si="0"/>
        <v>Smoker</v>
      </c>
      <c r="K59">
        <v>0</v>
      </c>
      <c r="L59">
        <v>0</v>
      </c>
      <c r="M59">
        <v>0</v>
      </c>
      <c r="N59">
        <v>0</v>
      </c>
      <c r="O59">
        <v>168</v>
      </c>
      <c r="P59" t="str">
        <f t="shared" si="1"/>
        <v>Normal</v>
      </c>
      <c r="Q59">
        <v>83.5</v>
      </c>
      <c r="R59">
        <v>55</v>
      </c>
      <c r="S59">
        <v>16.71</v>
      </c>
      <c r="T59" t="str">
        <f t="shared" si="2"/>
        <v>Underweight</v>
      </c>
      <c r="U59">
        <v>79</v>
      </c>
      <c r="V59">
        <v>63</v>
      </c>
      <c r="W59" t="str">
        <f t="shared" si="5"/>
        <v>Normal</v>
      </c>
      <c r="X59">
        <v>1</v>
      </c>
    </row>
    <row r="60" spans="1:24" ht="14.5" thickBot="1" x14ac:dyDescent="0.35">
      <c r="A60">
        <v>1</v>
      </c>
      <c r="B60" t="str">
        <f t="shared" si="3"/>
        <v>Male</v>
      </c>
      <c r="C60" s="8">
        <v>35</v>
      </c>
      <c r="D60" t="str">
        <f t="shared" si="4"/>
        <v>Young</v>
      </c>
      <c r="E60">
        <v>2</v>
      </c>
      <c r="F60" t="str">
        <f>HLOOKUP(E60, LookUP_Table!$A$6:$D$7, 2, FALSE)</f>
        <v>Secondary</v>
      </c>
      <c r="G60" t="str">
        <f>IFERROR(VLOOKUP(E60, LookUP_Table!$A$1:$B$4, 2, FALSE), "")</f>
        <v>Secondary</v>
      </c>
      <c r="H60">
        <v>0</v>
      </c>
      <c r="I60">
        <v>0</v>
      </c>
      <c r="J60" t="str">
        <f t="shared" si="0"/>
        <v>Non-Smoker</v>
      </c>
      <c r="K60">
        <v>0</v>
      </c>
      <c r="L60">
        <v>0</v>
      </c>
      <c r="M60">
        <v>1</v>
      </c>
      <c r="N60">
        <v>0</v>
      </c>
      <c r="O60">
        <v>245</v>
      </c>
      <c r="P60" t="str">
        <f t="shared" si="1"/>
        <v>High</v>
      </c>
      <c r="Q60">
        <v>159</v>
      </c>
      <c r="R60">
        <v>95.5</v>
      </c>
      <c r="S60">
        <v>26.23</v>
      </c>
      <c r="T60" t="str">
        <f t="shared" si="2"/>
        <v>Overweight</v>
      </c>
      <c r="U60">
        <v>110</v>
      </c>
      <c r="V60">
        <v>81.96365524402907</v>
      </c>
      <c r="W60" t="str">
        <f t="shared" si="5"/>
        <v>Normal</v>
      </c>
      <c r="X60">
        <v>0</v>
      </c>
    </row>
    <row r="61" spans="1:24" ht="14.5" thickBot="1" x14ac:dyDescent="0.35">
      <c r="A61">
        <v>0</v>
      </c>
      <c r="B61" t="str">
        <f t="shared" si="3"/>
        <v>Female</v>
      </c>
      <c r="C61" s="8">
        <v>35</v>
      </c>
      <c r="D61" t="str">
        <f t="shared" si="4"/>
        <v>Young</v>
      </c>
      <c r="E61">
        <v>3</v>
      </c>
      <c r="F61" t="str">
        <f>HLOOKUP(E61, LookUP_Table!$A$6:$D$7, 2, FALSE)</f>
        <v>Graduate</v>
      </c>
      <c r="G61" t="str">
        <f>IFERROR(VLOOKUP(E61, LookUP_Table!$A$1:$B$4, 2, FALSE), "")</f>
        <v>Graduate</v>
      </c>
      <c r="H61">
        <v>0</v>
      </c>
      <c r="I61">
        <v>0</v>
      </c>
      <c r="J61" t="str">
        <f t="shared" si="0"/>
        <v>Non-Smoker</v>
      </c>
      <c r="K61">
        <v>0</v>
      </c>
      <c r="L61">
        <v>0</v>
      </c>
      <c r="M61">
        <v>0</v>
      </c>
      <c r="N61">
        <v>0</v>
      </c>
      <c r="O61">
        <v>190</v>
      </c>
      <c r="P61" t="str">
        <f t="shared" si="1"/>
        <v>Normal</v>
      </c>
      <c r="Q61">
        <v>115</v>
      </c>
      <c r="R61">
        <v>77</v>
      </c>
      <c r="S61">
        <v>23.95</v>
      </c>
      <c r="T61" t="str">
        <f t="shared" si="2"/>
        <v>Normal</v>
      </c>
      <c r="U61">
        <v>70</v>
      </c>
      <c r="V61">
        <v>80</v>
      </c>
      <c r="W61" t="str">
        <f t="shared" si="5"/>
        <v>Normal</v>
      </c>
      <c r="X61">
        <v>0</v>
      </c>
    </row>
    <row r="62" spans="1:24" ht="14.5" thickBot="1" x14ac:dyDescent="0.35">
      <c r="A62">
        <v>1</v>
      </c>
      <c r="B62" t="str">
        <f t="shared" si="3"/>
        <v>Male</v>
      </c>
      <c r="C62" s="8">
        <v>35</v>
      </c>
      <c r="D62" t="str">
        <f t="shared" si="4"/>
        <v>Young</v>
      </c>
      <c r="E62">
        <v>2</v>
      </c>
      <c r="F62" t="str">
        <f>HLOOKUP(E62, LookUP_Table!$A$6:$D$7, 2, FALSE)</f>
        <v>Secondary</v>
      </c>
      <c r="G62" t="str">
        <f>IFERROR(VLOOKUP(E62, LookUP_Table!$A$1:$B$4, 2, FALSE), "")</f>
        <v>Secondary</v>
      </c>
      <c r="H62">
        <v>1</v>
      </c>
      <c r="I62">
        <v>20</v>
      </c>
      <c r="J62" t="str">
        <f t="shared" si="0"/>
        <v>Smoker</v>
      </c>
      <c r="K62">
        <v>0</v>
      </c>
      <c r="L62">
        <v>0</v>
      </c>
      <c r="M62">
        <v>0</v>
      </c>
      <c r="N62">
        <v>0</v>
      </c>
      <c r="O62">
        <v>227</v>
      </c>
      <c r="P62" t="str">
        <f t="shared" si="1"/>
        <v>Normal</v>
      </c>
      <c r="Q62">
        <v>106</v>
      </c>
      <c r="R62">
        <v>73</v>
      </c>
      <c r="S62">
        <v>29.27</v>
      </c>
      <c r="T62" t="str">
        <f t="shared" si="2"/>
        <v>Overweight</v>
      </c>
      <c r="U62">
        <v>70</v>
      </c>
      <c r="V62">
        <v>79</v>
      </c>
      <c r="W62" t="str">
        <f t="shared" si="5"/>
        <v>Normal</v>
      </c>
      <c r="X62">
        <v>0</v>
      </c>
    </row>
    <row r="63" spans="1:24" ht="14.5" thickBot="1" x14ac:dyDescent="0.35">
      <c r="A63">
        <v>1</v>
      </c>
      <c r="B63" t="str">
        <f t="shared" si="3"/>
        <v>Male</v>
      </c>
      <c r="C63" s="8">
        <v>35</v>
      </c>
      <c r="D63" t="str">
        <f t="shared" si="4"/>
        <v>Young</v>
      </c>
      <c r="E63">
        <v>2</v>
      </c>
      <c r="F63" t="str">
        <f>HLOOKUP(E63, LookUP_Table!$A$6:$D$7, 2, FALSE)</f>
        <v>Secondary</v>
      </c>
      <c r="G63" t="str">
        <f>IFERROR(VLOOKUP(E63, LookUP_Table!$A$1:$B$4, 2, FALSE), "")</f>
        <v>Secondary</v>
      </c>
      <c r="H63">
        <v>1</v>
      </c>
      <c r="I63">
        <v>20</v>
      </c>
      <c r="J63" t="str">
        <f t="shared" si="0"/>
        <v>Smoker</v>
      </c>
      <c r="K63">
        <v>0</v>
      </c>
      <c r="L63">
        <v>0</v>
      </c>
      <c r="M63">
        <v>0</v>
      </c>
      <c r="N63">
        <v>0</v>
      </c>
      <c r="O63">
        <v>223</v>
      </c>
      <c r="P63" t="str">
        <f t="shared" si="1"/>
        <v>Normal</v>
      </c>
      <c r="Q63">
        <v>128</v>
      </c>
      <c r="R63">
        <v>82</v>
      </c>
      <c r="S63">
        <v>19.989999999999998</v>
      </c>
      <c r="T63" t="str">
        <f t="shared" si="2"/>
        <v>Normal</v>
      </c>
      <c r="U63">
        <v>80</v>
      </c>
      <c r="V63">
        <v>67</v>
      </c>
      <c r="W63" t="str">
        <f t="shared" si="5"/>
        <v>Normal</v>
      </c>
      <c r="X63">
        <v>0</v>
      </c>
    </row>
    <row r="64" spans="1:24" ht="14.5" thickBot="1" x14ac:dyDescent="0.35">
      <c r="A64">
        <v>0</v>
      </c>
      <c r="B64" t="str">
        <f t="shared" si="3"/>
        <v>Female</v>
      </c>
      <c r="C64" s="8">
        <v>35</v>
      </c>
      <c r="D64" t="str">
        <f t="shared" si="4"/>
        <v>Young</v>
      </c>
      <c r="E64">
        <v>2</v>
      </c>
      <c r="F64" t="str">
        <f>HLOOKUP(E64, LookUP_Table!$A$6:$D$7, 2, FALSE)</f>
        <v>Secondary</v>
      </c>
      <c r="G64" t="str">
        <f>IFERROR(VLOOKUP(E64, LookUP_Table!$A$1:$B$4, 2, FALSE), "")</f>
        <v>Secondary</v>
      </c>
      <c r="H64">
        <v>1</v>
      </c>
      <c r="I64">
        <v>20</v>
      </c>
      <c r="J64" t="str">
        <f t="shared" si="0"/>
        <v>Smoker</v>
      </c>
      <c r="K64">
        <v>0</v>
      </c>
      <c r="L64">
        <v>0</v>
      </c>
      <c r="M64">
        <v>0</v>
      </c>
      <c r="N64">
        <v>0</v>
      </c>
      <c r="O64">
        <v>185</v>
      </c>
      <c r="P64" t="str">
        <f t="shared" si="1"/>
        <v>Normal</v>
      </c>
      <c r="Q64">
        <v>131.5</v>
      </c>
      <c r="R64">
        <v>84</v>
      </c>
      <c r="S64">
        <v>20.32</v>
      </c>
      <c r="T64" t="str">
        <f t="shared" si="2"/>
        <v>Normal</v>
      </c>
      <c r="U64">
        <v>64</v>
      </c>
      <c r="V64">
        <v>76</v>
      </c>
      <c r="W64" t="str">
        <f t="shared" si="5"/>
        <v>Normal</v>
      </c>
      <c r="X64">
        <v>0</v>
      </c>
    </row>
    <row r="65" spans="1:24" ht="14.5" thickBot="1" x14ac:dyDescent="0.35">
      <c r="A65">
        <v>0</v>
      </c>
      <c r="B65" t="str">
        <f t="shared" si="3"/>
        <v>Female</v>
      </c>
      <c r="C65" s="8">
        <v>35</v>
      </c>
      <c r="D65" t="str">
        <f t="shared" si="4"/>
        <v>Young</v>
      </c>
      <c r="E65">
        <v>2</v>
      </c>
      <c r="F65" t="str">
        <f>HLOOKUP(E65, LookUP_Table!$A$6:$D$7, 2, FALSE)</f>
        <v>Secondary</v>
      </c>
      <c r="G65" t="str">
        <f>IFERROR(VLOOKUP(E65, LookUP_Table!$A$1:$B$4, 2, FALSE), "")</f>
        <v>Secondary</v>
      </c>
      <c r="H65">
        <v>0</v>
      </c>
      <c r="I65">
        <v>0</v>
      </c>
      <c r="J65" t="str">
        <f t="shared" si="0"/>
        <v>Non-Smoker</v>
      </c>
      <c r="K65">
        <v>0</v>
      </c>
      <c r="L65">
        <v>0</v>
      </c>
      <c r="M65">
        <v>0</v>
      </c>
      <c r="N65">
        <v>0</v>
      </c>
      <c r="O65">
        <v>175</v>
      </c>
      <c r="P65" t="str">
        <f t="shared" si="1"/>
        <v>Normal</v>
      </c>
      <c r="Q65">
        <v>121.5</v>
      </c>
      <c r="R65">
        <v>74.5</v>
      </c>
      <c r="S65">
        <v>20.86</v>
      </c>
      <c r="T65" t="str">
        <f t="shared" si="2"/>
        <v>Normal</v>
      </c>
      <c r="U65">
        <v>92</v>
      </c>
      <c r="V65">
        <v>93</v>
      </c>
      <c r="W65" t="str">
        <f t="shared" si="5"/>
        <v>Normal</v>
      </c>
      <c r="X65">
        <v>0</v>
      </c>
    </row>
    <row r="66" spans="1:24" ht="14.5" thickBot="1" x14ac:dyDescent="0.35">
      <c r="A66">
        <v>0</v>
      </c>
      <c r="B66" t="str">
        <f t="shared" si="3"/>
        <v>Female</v>
      </c>
      <c r="C66" s="8">
        <v>35</v>
      </c>
      <c r="D66" t="str">
        <f t="shared" si="4"/>
        <v>Young</v>
      </c>
      <c r="E66">
        <v>4</v>
      </c>
      <c r="F66" t="str">
        <f>HLOOKUP(E66, LookUP_Table!$A$6:$D$7, 2, FALSE)</f>
        <v>Post Graduate</v>
      </c>
      <c r="G66" t="str">
        <f>IFERROR(VLOOKUP(E66, LookUP_Table!$A$1:$B$4, 2, FALSE), "")</f>
        <v>Post Graduate</v>
      </c>
      <c r="H66">
        <v>1</v>
      </c>
      <c r="I66">
        <v>3</v>
      </c>
      <c r="J66" t="str">
        <f t="shared" ref="J66:J129" si="6">IF(I66&gt;0,"Smoker","Non-Smoker")</f>
        <v>Smoker</v>
      </c>
      <c r="K66">
        <v>0</v>
      </c>
      <c r="L66">
        <v>0</v>
      </c>
      <c r="M66">
        <v>0</v>
      </c>
      <c r="N66">
        <v>0</v>
      </c>
      <c r="O66">
        <v>185</v>
      </c>
      <c r="P66" t="str">
        <f t="shared" ref="P66:P129" si="7">IF(O66&gt;240,"High","Normal")</f>
        <v>Normal</v>
      </c>
      <c r="Q66">
        <v>100</v>
      </c>
      <c r="R66">
        <v>66.5</v>
      </c>
      <c r="S66">
        <v>24.08</v>
      </c>
      <c r="T66" t="str">
        <f t="shared" ref="T66:T129" si="8">IF(S66&lt;18.5,"Underweight",
IF(S66&lt;25,"Normal",
IF(S66&lt;30,"Overweight","Obese")))</f>
        <v>Normal</v>
      </c>
      <c r="U66">
        <v>55</v>
      </c>
      <c r="V66">
        <v>75</v>
      </c>
      <c r="W66" t="str">
        <f t="shared" si="5"/>
        <v>Normal</v>
      </c>
      <c r="X66">
        <v>0</v>
      </c>
    </row>
    <row r="67" spans="1:24" ht="14.5" thickBot="1" x14ac:dyDescent="0.35">
      <c r="A67">
        <v>0</v>
      </c>
      <c r="B67" t="str">
        <f t="shared" ref="B67:B130" si="9">IF(A67=0,"Female","Male")</f>
        <v>Female</v>
      </c>
      <c r="C67" s="8">
        <v>35</v>
      </c>
      <c r="D67" t="str">
        <f t="shared" ref="D67:D130" si="10">IF(C67&lt;40,"Young",
IF(C67&lt;55,"Middle Age","Senior"))</f>
        <v>Young</v>
      </c>
      <c r="E67">
        <v>2</v>
      </c>
      <c r="F67" t="str">
        <f>HLOOKUP(E67, LookUP_Table!$A$6:$D$7, 2, FALSE)</f>
        <v>Secondary</v>
      </c>
      <c r="G67" t="str">
        <f>IFERROR(VLOOKUP(E67, LookUP_Table!$A$1:$B$4, 2, FALSE), "")</f>
        <v>Secondary</v>
      </c>
      <c r="H67">
        <v>0</v>
      </c>
      <c r="I67">
        <v>0</v>
      </c>
      <c r="J67" t="str">
        <f t="shared" si="6"/>
        <v>Non-Smoker</v>
      </c>
      <c r="K67">
        <v>0</v>
      </c>
      <c r="L67">
        <v>0</v>
      </c>
      <c r="M67">
        <v>0</v>
      </c>
      <c r="N67">
        <v>0</v>
      </c>
      <c r="O67">
        <v>234</v>
      </c>
      <c r="P67" t="str">
        <f t="shared" si="7"/>
        <v>Normal</v>
      </c>
      <c r="Q67">
        <v>107.5</v>
      </c>
      <c r="R67">
        <v>70</v>
      </c>
      <c r="S67">
        <v>29.22</v>
      </c>
      <c r="T67" t="str">
        <f t="shared" si="8"/>
        <v>Overweight</v>
      </c>
      <c r="U67">
        <v>73</v>
      </c>
      <c r="V67">
        <v>81.96365524402907</v>
      </c>
      <c r="W67" t="str">
        <f t="shared" ref="W67:W130" si="11">IF(V67 &lt; 100, "Normal", IF(V67 &lt;= 125, "Prediabetes", "Diabetes"))</f>
        <v>Normal</v>
      </c>
      <c r="X67">
        <v>0</v>
      </c>
    </row>
    <row r="68" spans="1:24" ht="14.5" thickBot="1" x14ac:dyDescent="0.35">
      <c r="A68">
        <v>1</v>
      </c>
      <c r="B68" t="str">
        <f t="shared" si="9"/>
        <v>Male</v>
      </c>
      <c r="C68" s="8">
        <v>36</v>
      </c>
      <c r="D68" t="str">
        <f t="shared" si="10"/>
        <v>Young</v>
      </c>
      <c r="E68">
        <v>4</v>
      </c>
      <c r="F68" t="str">
        <f>HLOOKUP(E68, LookUP_Table!$A$6:$D$7, 2, FALSE)</f>
        <v>Post Graduate</v>
      </c>
      <c r="G68" t="str">
        <f>IFERROR(VLOOKUP(E68, LookUP_Table!$A$1:$B$4, 2, FALSE), "")</f>
        <v>Post Graduate</v>
      </c>
      <c r="H68">
        <v>1</v>
      </c>
      <c r="I68">
        <v>35</v>
      </c>
      <c r="J68" t="str">
        <f t="shared" si="6"/>
        <v>Smoker</v>
      </c>
      <c r="K68">
        <v>0</v>
      </c>
      <c r="L68">
        <v>0</v>
      </c>
      <c r="M68">
        <v>0</v>
      </c>
      <c r="N68">
        <v>0</v>
      </c>
      <c r="O68">
        <v>295</v>
      </c>
      <c r="P68" t="str">
        <f t="shared" si="7"/>
        <v>High</v>
      </c>
      <c r="Q68">
        <v>102</v>
      </c>
      <c r="R68">
        <v>68</v>
      </c>
      <c r="S68">
        <v>28.15</v>
      </c>
      <c r="T68" t="str">
        <f t="shared" si="8"/>
        <v>Overweight</v>
      </c>
      <c r="U68">
        <v>60</v>
      </c>
      <c r="V68">
        <v>63</v>
      </c>
      <c r="W68" t="str">
        <f t="shared" si="11"/>
        <v>Normal</v>
      </c>
      <c r="X68">
        <v>0</v>
      </c>
    </row>
    <row r="69" spans="1:24" ht="14.5" thickBot="1" x14ac:dyDescent="0.35">
      <c r="A69">
        <v>1</v>
      </c>
      <c r="B69" t="str">
        <f t="shared" si="9"/>
        <v>Male</v>
      </c>
      <c r="C69" s="8">
        <v>36</v>
      </c>
      <c r="D69" t="str">
        <f t="shared" si="10"/>
        <v>Young</v>
      </c>
      <c r="E69">
        <v>3</v>
      </c>
      <c r="F69" t="str">
        <f>HLOOKUP(E69, LookUP_Table!$A$6:$D$7, 2, FALSE)</f>
        <v>Graduate</v>
      </c>
      <c r="G69" t="str">
        <f>IFERROR(VLOOKUP(E69, LookUP_Table!$A$1:$B$4, 2, FALSE), "")</f>
        <v>Graduate</v>
      </c>
      <c r="H69">
        <v>0</v>
      </c>
      <c r="I69">
        <v>0</v>
      </c>
      <c r="J69" t="str">
        <f t="shared" si="6"/>
        <v>Non-Smoker</v>
      </c>
      <c r="K69">
        <v>0</v>
      </c>
      <c r="L69">
        <v>0</v>
      </c>
      <c r="M69">
        <v>0</v>
      </c>
      <c r="N69">
        <v>0</v>
      </c>
      <c r="O69">
        <v>180</v>
      </c>
      <c r="P69" t="str">
        <f t="shared" si="7"/>
        <v>Normal</v>
      </c>
      <c r="Q69">
        <v>111</v>
      </c>
      <c r="R69">
        <v>73</v>
      </c>
      <c r="S69">
        <v>27.78</v>
      </c>
      <c r="T69" t="str">
        <f t="shared" si="8"/>
        <v>Overweight</v>
      </c>
      <c r="U69">
        <v>71</v>
      </c>
      <c r="V69">
        <v>80</v>
      </c>
      <c r="W69" t="str">
        <f t="shared" si="11"/>
        <v>Normal</v>
      </c>
      <c r="X69">
        <v>0</v>
      </c>
    </row>
    <row r="70" spans="1:24" ht="14.5" thickBot="1" x14ac:dyDescent="0.35">
      <c r="A70">
        <v>1</v>
      </c>
      <c r="B70" t="str">
        <f t="shared" si="9"/>
        <v>Male</v>
      </c>
      <c r="C70" s="8">
        <v>36</v>
      </c>
      <c r="D70" t="str">
        <f t="shared" si="10"/>
        <v>Young</v>
      </c>
      <c r="E70">
        <v>3</v>
      </c>
      <c r="F70" t="str">
        <f>HLOOKUP(E70, LookUP_Table!$A$6:$D$7, 2, FALSE)</f>
        <v>Graduate</v>
      </c>
      <c r="G70" t="str">
        <f>IFERROR(VLOOKUP(E70, LookUP_Table!$A$1:$B$4, 2, FALSE), "")</f>
        <v>Graduate</v>
      </c>
      <c r="H70">
        <v>1</v>
      </c>
      <c r="I70">
        <v>20</v>
      </c>
      <c r="J70" t="str">
        <f t="shared" si="6"/>
        <v>Smoker</v>
      </c>
      <c r="K70">
        <v>0</v>
      </c>
      <c r="L70">
        <v>0</v>
      </c>
      <c r="M70">
        <v>1</v>
      </c>
      <c r="N70">
        <v>0</v>
      </c>
      <c r="O70">
        <v>194</v>
      </c>
      <c r="P70" t="str">
        <f t="shared" si="7"/>
        <v>Normal</v>
      </c>
      <c r="Q70">
        <v>139</v>
      </c>
      <c r="R70">
        <v>93</v>
      </c>
      <c r="S70">
        <v>24.33</v>
      </c>
      <c r="T70" t="str">
        <f>IF(S70&lt;18.5,"Underweight",
IF(S70&lt;25,"Normal",
IF(S70&lt;30,"Overweight","Obese")))</f>
        <v>Normal</v>
      </c>
      <c r="U70">
        <v>80</v>
      </c>
      <c r="V70">
        <v>62</v>
      </c>
      <c r="W70" t="str">
        <f t="shared" si="11"/>
        <v>Normal</v>
      </c>
      <c r="X70">
        <v>0</v>
      </c>
    </row>
    <row r="71" spans="1:24" ht="14.5" thickBot="1" x14ac:dyDescent="0.35">
      <c r="A71">
        <v>0</v>
      </c>
      <c r="B71" t="str">
        <f t="shared" si="9"/>
        <v>Female</v>
      </c>
      <c r="C71" s="8">
        <v>36</v>
      </c>
      <c r="D71" t="str">
        <f t="shared" si="10"/>
        <v>Young</v>
      </c>
      <c r="E71">
        <v>2</v>
      </c>
      <c r="F71" t="str">
        <f>HLOOKUP(E71, LookUP_Table!$A$6:$D$7, 2, FALSE)</f>
        <v>Secondary</v>
      </c>
      <c r="G71" t="str">
        <f>IFERROR(VLOOKUP(E71, LookUP_Table!$A$1:$B$4, 2, FALSE), "")</f>
        <v>Secondary</v>
      </c>
      <c r="H71">
        <v>1</v>
      </c>
      <c r="I71">
        <v>15</v>
      </c>
      <c r="J71" t="str">
        <f t="shared" si="6"/>
        <v>Smoker</v>
      </c>
      <c r="K71">
        <v>0</v>
      </c>
      <c r="L71">
        <v>0</v>
      </c>
      <c r="M71">
        <v>0</v>
      </c>
      <c r="N71">
        <v>0</v>
      </c>
      <c r="O71">
        <v>197</v>
      </c>
      <c r="P71" t="str">
        <f t="shared" si="7"/>
        <v>Normal</v>
      </c>
      <c r="Q71">
        <v>113</v>
      </c>
      <c r="R71">
        <v>72.5</v>
      </c>
      <c r="S71">
        <v>22.73</v>
      </c>
      <c r="T71" t="str">
        <f t="shared" si="8"/>
        <v>Normal</v>
      </c>
      <c r="U71">
        <v>70</v>
      </c>
      <c r="V71">
        <v>65</v>
      </c>
      <c r="W71" t="str">
        <f t="shared" si="11"/>
        <v>Normal</v>
      </c>
      <c r="X71">
        <v>0</v>
      </c>
    </row>
    <row r="72" spans="1:24" ht="14.5" thickBot="1" x14ac:dyDescent="0.35">
      <c r="A72">
        <v>1</v>
      </c>
      <c r="B72" t="str">
        <f t="shared" si="9"/>
        <v>Male</v>
      </c>
      <c r="C72" s="8">
        <v>36</v>
      </c>
      <c r="D72" t="str">
        <f t="shared" si="10"/>
        <v>Young</v>
      </c>
      <c r="E72">
        <v>4</v>
      </c>
      <c r="F72" t="str">
        <f>HLOOKUP(E72, LookUP_Table!$A$6:$D$7, 2, FALSE)</f>
        <v>Post Graduate</v>
      </c>
      <c r="G72" t="str">
        <f>IFERROR(VLOOKUP(E72, LookUP_Table!$A$1:$B$4, 2, FALSE), "")</f>
        <v>Post Graduate</v>
      </c>
      <c r="H72">
        <v>0</v>
      </c>
      <c r="I72">
        <v>0</v>
      </c>
      <c r="J72" t="str">
        <f t="shared" si="6"/>
        <v>Non-Smoker</v>
      </c>
      <c r="K72">
        <v>0</v>
      </c>
      <c r="L72">
        <v>0</v>
      </c>
      <c r="M72">
        <v>0</v>
      </c>
      <c r="N72">
        <v>0</v>
      </c>
      <c r="O72">
        <v>210</v>
      </c>
      <c r="P72" t="str">
        <f t="shared" si="7"/>
        <v>Normal</v>
      </c>
      <c r="Q72">
        <v>112</v>
      </c>
      <c r="R72">
        <v>85.5</v>
      </c>
      <c r="S72">
        <v>21.93</v>
      </c>
      <c r="T72" t="str">
        <f t="shared" si="8"/>
        <v>Normal</v>
      </c>
      <c r="U72">
        <v>71</v>
      </c>
      <c r="V72">
        <v>77</v>
      </c>
      <c r="W72" t="str">
        <f t="shared" si="11"/>
        <v>Normal</v>
      </c>
      <c r="X72">
        <v>0</v>
      </c>
    </row>
    <row r="73" spans="1:24" ht="14.5" thickBot="1" x14ac:dyDescent="0.35">
      <c r="A73">
        <v>0</v>
      </c>
      <c r="B73" t="str">
        <f t="shared" si="9"/>
        <v>Female</v>
      </c>
      <c r="C73" s="8">
        <v>36</v>
      </c>
      <c r="D73" t="str">
        <f t="shared" si="10"/>
        <v>Young</v>
      </c>
      <c r="E73">
        <v>3</v>
      </c>
      <c r="F73" t="str">
        <f>HLOOKUP(E73, LookUP_Table!$A$6:$D$7, 2, FALSE)</f>
        <v>Graduate</v>
      </c>
      <c r="G73" t="str">
        <f>IFERROR(VLOOKUP(E73, LookUP_Table!$A$1:$B$4, 2, FALSE), "")</f>
        <v>Graduate</v>
      </c>
      <c r="H73">
        <v>1</v>
      </c>
      <c r="I73">
        <v>20</v>
      </c>
      <c r="J73" t="str">
        <f t="shared" si="6"/>
        <v>Smoker</v>
      </c>
      <c r="K73">
        <v>0</v>
      </c>
      <c r="L73">
        <v>0</v>
      </c>
      <c r="M73">
        <v>0</v>
      </c>
      <c r="N73">
        <v>0</v>
      </c>
      <c r="O73">
        <v>159</v>
      </c>
      <c r="P73" t="str">
        <f t="shared" si="7"/>
        <v>Normal</v>
      </c>
      <c r="Q73">
        <v>121.5</v>
      </c>
      <c r="R73">
        <v>73</v>
      </c>
      <c r="S73">
        <v>20.41</v>
      </c>
      <c r="T73" t="str">
        <f t="shared" si="8"/>
        <v>Normal</v>
      </c>
      <c r="U73">
        <v>72</v>
      </c>
      <c r="V73">
        <v>75</v>
      </c>
      <c r="W73" t="str">
        <f t="shared" si="11"/>
        <v>Normal</v>
      </c>
      <c r="X73">
        <v>0</v>
      </c>
    </row>
    <row r="74" spans="1:24" ht="14.5" thickBot="1" x14ac:dyDescent="0.35">
      <c r="A74">
        <v>1</v>
      </c>
      <c r="B74" t="str">
        <f t="shared" si="9"/>
        <v>Male</v>
      </c>
      <c r="C74" s="8">
        <v>36</v>
      </c>
      <c r="D74" t="str">
        <f t="shared" si="10"/>
        <v>Young</v>
      </c>
      <c r="E74">
        <v>1</v>
      </c>
      <c r="F74" t="str">
        <f>HLOOKUP(E74, LookUP_Table!$A$6:$D$7, 2, FALSE)</f>
        <v>Primary</v>
      </c>
      <c r="G74" t="str">
        <f>IFERROR(VLOOKUP(E74, LookUP_Table!$A$1:$B$4, 2, FALSE), "")</f>
        <v>Primary</v>
      </c>
      <c r="H74">
        <v>1</v>
      </c>
      <c r="I74">
        <v>40</v>
      </c>
      <c r="J74" t="str">
        <f t="shared" si="6"/>
        <v>Smoker</v>
      </c>
      <c r="K74">
        <v>0</v>
      </c>
      <c r="L74">
        <v>0</v>
      </c>
      <c r="M74">
        <v>0</v>
      </c>
      <c r="N74">
        <v>0</v>
      </c>
      <c r="O74">
        <v>215</v>
      </c>
      <c r="P74" t="str">
        <f t="shared" si="7"/>
        <v>Normal</v>
      </c>
      <c r="Q74">
        <v>118</v>
      </c>
      <c r="R74">
        <v>76</v>
      </c>
      <c r="S74">
        <v>18.989999999999998</v>
      </c>
      <c r="T74" t="str">
        <f t="shared" si="8"/>
        <v>Normal</v>
      </c>
      <c r="U74">
        <v>96</v>
      </c>
      <c r="V74">
        <v>97</v>
      </c>
      <c r="W74" t="str">
        <f t="shared" si="11"/>
        <v>Normal</v>
      </c>
      <c r="X74">
        <v>0</v>
      </c>
    </row>
    <row r="75" spans="1:24" ht="14.5" thickBot="1" x14ac:dyDescent="0.35">
      <c r="A75">
        <v>0</v>
      </c>
      <c r="B75" t="str">
        <f t="shared" si="9"/>
        <v>Female</v>
      </c>
      <c r="C75" s="8">
        <v>36</v>
      </c>
      <c r="D75" t="str">
        <f t="shared" si="10"/>
        <v>Young</v>
      </c>
      <c r="E75">
        <v>2</v>
      </c>
      <c r="F75" t="str">
        <f>HLOOKUP(E75, LookUP_Table!$A$6:$D$7, 2, FALSE)</f>
        <v>Secondary</v>
      </c>
      <c r="G75" t="str">
        <f>IFERROR(VLOOKUP(E75, LookUP_Table!$A$1:$B$4, 2, FALSE), "")</f>
        <v>Secondary</v>
      </c>
      <c r="H75">
        <v>1</v>
      </c>
      <c r="I75">
        <v>20</v>
      </c>
      <c r="J75" t="str">
        <f t="shared" si="6"/>
        <v>Smoker</v>
      </c>
      <c r="K75">
        <v>0</v>
      </c>
      <c r="L75">
        <v>0</v>
      </c>
      <c r="M75">
        <v>0</v>
      </c>
      <c r="N75">
        <v>0</v>
      </c>
      <c r="O75">
        <v>150</v>
      </c>
      <c r="P75" t="str">
        <f t="shared" si="7"/>
        <v>Normal</v>
      </c>
      <c r="Q75">
        <v>117.5</v>
      </c>
      <c r="R75">
        <v>77.5</v>
      </c>
      <c r="S75">
        <v>23.71</v>
      </c>
      <c r="T75" t="str">
        <f t="shared" si="8"/>
        <v>Normal</v>
      </c>
      <c r="U75">
        <v>50</v>
      </c>
      <c r="V75">
        <v>74</v>
      </c>
      <c r="W75" t="str">
        <f t="shared" si="11"/>
        <v>Normal</v>
      </c>
      <c r="X75">
        <v>0</v>
      </c>
    </row>
    <row r="76" spans="1:24" ht="14.5" thickBot="1" x14ac:dyDescent="0.35">
      <c r="A76">
        <v>0</v>
      </c>
      <c r="B76" t="str">
        <f t="shared" si="9"/>
        <v>Female</v>
      </c>
      <c r="C76" s="8">
        <v>36</v>
      </c>
      <c r="D76" t="str">
        <f t="shared" si="10"/>
        <v>Young</v>
      </c>
      <c r="E76">
        <v>1</v>
      </c>
      <c r="F76" t="str">
        <f>HLOOKUP(E76, LookUP_Table!$A$6:$D$7, 2, FALSE)</f>
        <v>Primary</v>
      </c>
      <c r="G76" t="str">
        <f>IFERROR(VLOOKUP(E76, LookUP_Table!$A$1:$B$4, 2, FALSE), "")</f>
        <v>Primary</v>
      </c>
      <c r="H76">
        <v>1</v>
      </c>
      <c r="I76">
        <v>3</v>
      </c>
      <c r="J76" t="str">
        <f t="shared" si="6"/>
        <v>Smoker</v>
      </c>
      <c r="K76">
        <v>0</v>
      </c>
      <c r="L76">
        <v>0</v>
      </c>
      <c r="M76">
        <v>0</v>
      </c>
      <c r="N76">
        <v>0</v>
      </c>
      <c r="O76">
        <v>135</v>
      </c>
      <c r="P76" t="str">
        <f t="shared" si="7"/>
        <v>Normal</v>
      </c>
      <c r="Q76">
        <v>108</v>
      </c>
      <c r="R76">
        <v>74</v>
      </c>
      <c r="S76">
        <v>22.53</v>
      </c>
      <c r="T76" t="str">
        <f t="shared" si="8"/>
        <v>Normal</v>
      </c>
      <c r="U76">
        <v>73</v>
      </c>
      <c r="V76">
        <v>75</v>
      </c>
      <c r="W76" t="str">
        <f t="shared" si="11"/>
        <v>Normal</v>
      </c>
      <c r="X76">
        <v>0</v>
      </c>
    </row>
    <row r="77" spans="1:24" ht="14.5" thickBot="1" x14ac:dyDescent="0.35">
      <c r="A77">
        <v>1</v>
      </c>
      <c r="B77" t="str">
        <f t="shared" si="9"/>
        <v>Male</v>
      </c>
      <c r="C77" s="8">
        <v>36</v>
      </c>
      <c r="D77" t="str">
        <f t="shared" si="10"/>
        <v>Young</v>
      </c>
      <c r="E77">
        <v>4</v>
      </c>
      <c r="F77" t="str">
        <f>HLOOKUP(E77, LookUP_Table!$A$6:$D$7, 2, FALSE)</f>
        <v>Post Graduate</v>
      </c>
      <c r="G77" t="str">
        <f>IFERROR(VLOOKUP(E77, LookUP_Table!$A$1:$B$4, 2, FALSE), "")</f>
        <v>Post Graduate</v>
      </c>
      <c r="H77">
        <v>0</v>
      </c>
      <c r="I77">
        <v>0</v>
      </c>
      <c r="J77" t="str">
        <f t="shared" si="6"/>
        <v>Non-Smoker</v>
      </c>
      <c r="K77">
        <v>0</v>
      </c>
      <c r="L77">
        <v>0</v>
      </c>
      <c r="M77">
        <v>1</v>
      </c>
      <c r="N77">
        <v>0</v>
      </c>
      <c r="O77">
        <v>212</v>
      </c>
      <c r="P77" t="str">
        <f t="shared" si="7"/>
        <v>Normal</v>
      </c>
      <c r="Q77">
        <v>168</v>
      </c>
      <c r="R77">
        <v>98</v>
      </c>
      <c r="S77">
        <v>29.77</v>
      </c>
      <c r="T77" t="str">
        <f t="shared" si="8"/>
        <v>Overweight</v>
      </c>
      <c r="U77">
        <v>72</v>
      </c>
      <c r="V77">
        <v>75</v>
      </c>
      <c r="W77" t="str">
        <f t="shared" si="11"/>
        <v>Normal</v>
      </c>
      <c r="X77">
        <v>0</v>
      </c>
    </row>
    <row r="78" spans="1:24" ht="14.5" thickBot="1" x14ac:dyDescent="0.35">
      <c r="A78">
        <v>0</v>
      </c>
      <c r="B78" t="str">
        <f t="shared" si="9"/>
        <v>Female</v>
      </c>
      <c r="C78" s="8">
        <v>36</v>
      </c>
      <c r="D78" t="str">
        <f t="shared" si="10"/>
        <v>Young</v>
      </c>
      <c r="E78">
        <v>2</v>
      </c>
      <c r="F78" t="str">
        <f>HLOOKUP(E78, LookUP_Table!$A$6:$D$7, 2, FALSE)</f>
        <v>Secondary</v>
      </c>
      <c r="G78" t="str">
        <f>IFERROR(VLOOKUP(E78, LookUP_Table!$A$1:$B$4, 2, FALSE), "")</f>
        <v>Secondary</v>
      </c>
      <c r="H78">
        <v>1</v>
      </c>
      <c r="I78">
        <v>5</v>
      </c>
      <c r="J78" t="str">
        <f t="shared" si="6"/>
        <v>Smoker</v>
      </c>
      <c r="K78">
        <v>0</v>
      </c>
      <c r="L78">
        <v>0</v>
      </c>
      <c r="M78">
        <v>0</v>
      </c>
      <c r="N78">
        <v>0</v>
      </c>
      <c r="O78">
        <v>228</v>
      </c>
      <c r="P78" t="str">
        <f t="shared" si="7"/>
        <v>Normal</v>
      </c>
      <c r="Q78">
        <v>111</v>
      </c>
      <c r="R78">
        <v>68</v>
      </c>
      <c r="S78">
        <v>23.86</v>
      </c>
      <c r="T78" t="str">
        <f t="shared" si="8"/>
        <v>Normal</v>
      </c>
      <c r="U78">
        <v>88</v>
      </c>
      <c r="V78">
        <v>68</v>
      </c>
      <c r="W78" t="str">
        <f t="shared" si="11"/>
        <v>Normal</v>
      </c>
      <c r="X78">
        <v>0</v>
      </c>
    </row>
    <row r="79" spans="1:24" ht="14.5" thickBot="1" x14ac:dyDescent="0.35">
      <c r="A79">
        <v>1</v>
      </c>
      <c r="B79" t="str">
        <f t="shared" si="9"/>
        <v>Male</v>
      </c>
      <c r="C79" s="8">
        <v>36</v>
      </c>
      <c r="D79" t="str">
        <f t="shared" si="10"/>
        <v>Young</v>
      </c>
      <c r="E79">
        <v>4</v>
      </c>
      <c r="F79" t="str">
        <f>HLOOKUP(E79, LookUP_Table!$A$6:$D$7, 2, FALSE)</f>
        <v>Post Graduate</v>
      </c>
      <c r="G79" t="str">
        <f>IFERROR(VLOOKUP(E79, LookUP_Table!$A$1:$B$4, 2, FALSE), "")</f>
        <v>Post Graduate</v>
      </c>
      <c r="H79">
        <v>1</v>
      </c>
      <c r="I79">
        <v>30</v>
      </c>
      <c r="J79" t="str">
        <f t="shared" si="6"/>
        <v>Smoker</v>
      </c>
      <c r="K79">
        <v>0</v>
      </c>
      <c r="L79">
        <v>0</v>
      </c>
      <c r="M79">
        <v>0</v>
      </c>
      <c r="N79">
        <v>0</v>
      </c>
      <c r="O79">
        <v>155</v>
      </c>
      <c r="P79" t="str">
        <f t="shared" si="7"/>
        <v>Normal</v>
      </c>
      <c r="Q79">
        <v>126</v>
      </c>
      <c r="R79">
        <v>72</v>
      </c>
      <c r="S79">
        <v>25.14</v>
      </c>
      <c r="T79" t="str">
        <f t="shared" si="8"/>
        <v>Overweight</v>
      </c>
      <c r="U79">
        <v>50</v>
      </c>
      <c r="V79">
        <v>70</v>
      </c>
      <c r="W79" t="str">
        <f t="shared" si="11"/>
        <v>Normal</v>
      </c>
      <c r="X79">
        <v>0</v>
      </c>
    </row>
    <row r="80" spans="1:24" ht="14.5" thickBot="1" x14ac:dyDescent="0.35">
      <c r="A80">
        <v>1</v>
      </c>
      <c r="B80" t="str">
        <f t="shared" si="9"/>
        <v>Male</v>
      </c>
      <c r="C80" s="8">
        <v>36</v>
      </c>
      <c r="D80" t="str">
        <f t="shared" si="10"/>
        <v>Young</v>
      </c>
      <c r="E80">
        <v>1</v>
      </c>
      <c r="F80" t="str">
        <f>HLOOKUP(E80, LookUP_Table!$A$6:$D$7, 2, FALSE)</f>
        <v>Primary</v>
      </c>
      <c r="G80" t="str">
        <f>IFERROR(VLOOKUP(E80, LookUP_Table!$A$1:$B$4, 2, FALSE), "")</f>
        <v>Primary</v>
      </c>
      <c r="H80">
        <v>1</v>
      </c>
      <c r="I80">
        <v>20</v>
      </c>
      <c r="J80" t="str">
        <f t="shared" si="6"/>
        <v>Smoker</v>
      </c>
      <c r="K80">
        <v>0</v>
      </c>
      <c r="L80">
        <v>0</v>
      </c>
      <c r="M80">
        <v>1</v>
      </c>
      <c r="N80">
        <v>0</v>
      </c>
      <c r="O80">
        <v>304</v>
      </c>
      <c r="P80" t="str">
        <f t="shared" si="7"/>
        <v>High</v>
      </c>
      <c r="Q80">
        <v>118</v>
      </c>
      <c r="R80">
        <v>90</v>
      </c>
      <c r="S80">
        <v>32.630000000000003</v>
      </c>
      <c r="T80" t="str">
        <f t="shared" si="8"/>
        <v>Obese</v>
      </c>
      <c r="U80">
        <v>71</v>
      </c>
      <c r="V80">
        <v>80</v>
      </c>
      <c r="W80" t="str">
        <f t="shared" si="11"/>
        <v>Normal</v>
      </c>
      <c r="X80">
        <v>1</v>
      </c>
    </row>
    <row r="81" spans="1:24" ht="14.5" thickBot="1" x14ac:dyDescent="0.35">
      <c r="A81">
        <v>1</v>
      </c>
      <c r="B81" t="str">
        <f t="shared" si="9"/>
        <v>Male</v>
      </c>
      <c r="C81" s="8">
        <v>36</v>
      </c>
      <c r="D81" t="str">
        <f t="shared" si="10"/>
        <v>Young</v>
      </c>
      <c r="E81">
        <v>3</v>
      </c>
      <c r="F81" t="str">
        <f>HLOOKUP(E81, LookUP_Table!$A$6:$D$7, 2, FALSE)</f>
        <v>Graduate</v>
      </c>
      <c r="G81" t="str">
        <f>IFERROR(VLOOKUP(E81, LookUP_Table!$A$1:$B$4, 2, FALSE), "")</f>
        <v>Graduate</v>
      </c>
      <c r="H81">
        <v>0</v>
      </c>
      <c r="I81">
        <v>0</v>
      </c>
      <c r="J81" t="str">
        <f t="shared" si="6"/>
        <v>Non-Smoker</v>
      </c>
      <c r="K81">
        <v>0</v>
      </c>
      <c r="L81">
        <v>0</v>
      </c>
      <c r="M81">
        <v>0</v>
      </c>
      <c r="N81">
        <v>0</v>
      </c>
      <c r="O81">
        <v>174</v>
      </c>
      <c r="P81" t="str">
        <f t="shared" si="7"/>
        <v>Normal</v>
      </c>
      <c r="Q81">
        <v>131</v>
      </c>
      <c r="R81">
        <v>86</v>
      </c>
      <c r="S81">
        <v>26.23</v>
      </c>
      <c r="T81" t="str">
        <f t="shared" si="8"/>
        <v>Overweight</v>
      </c>
      <c r="U81">
        <v>75</v>
      </c>
      <c r="V81">
        <v>64</v>
      </c>
      <c r="W81" t="str">
        <f t="shared" si="11"/>
        <v>Normal</v>
      </c>
      <c r="X81">
        <v>0</v>
      </c>
    </row>
    <row r="82" spans="1:24" ht="14.5" thickBot="1" x14ac:dyDescent="0.35">
      <c r="A82">
        <v>1</v>
      </c>
      <c r="B82" t="str">
        <f t="shared" si="9"/>
        <v>Male</v>
      </c>
      <c r="C82" s="8">
        <v>36</v>
      </c>
      <c r="D82" t="str">
        <f t="shared" si="10"/>
        <v>Young</v>
      </c>
      <c r="E82">
        <v>2</v>
      </c>
      <c r="F82" t="str">
        <f>HLOOKUP(E82, LookUP_Table!$A$6:$D$7, 2, FALSE)</f>
        <v>Secondary</v>
      </c>
      <c r="G82" t="str">
        <f>IFERROR(VLOOKUP(E82, LookUP_Table!$A$1:$B$4, 2, FALSE), "")</f>
        <v>Secondary</v>
      </c>
      <c r="H82">
        <v>1</v>
      </c>
      <c r="I82">
        <v>20</v>
      </c>
      <c r="J82" t="str">
        <f t="shared" si="6"/>
        <v>Smoker</v>
      </c>
      <c r="K82">
        <v>0</v>
      </c>
      <c r="L82">
        <v>0</v>
      </c>
      <c r="M82">
        <v>0</v>
      </c>
      <c r="N82">
        <v>0</v>
      </c>
      <c r="O82">
        <v>226</v>
      </c>
      <c r="P82" t="str">
        <f t="shared" si="7"/>
        <v>Normal</v>
      </c>
      <c r="Q82">
        <v>124</v>
      </c>
      <c r="R82">
        <v>76</v>
      </c>
      <c r="S82">
        <v>25.84</v>
      </c>
      <c r="T82" t="str">
        <f t="shared" si="8"/>
        <v>Overweight</v>
      </c>
      <c r="U82">
        <v>75</v>
      </c>
      <c r="V82">
        <v>70</v>
      </c>
      <c r="W82" t="str">
        <f t="shared" si="11"/>
        <v>Normal</v>
      </c>
      <c r="X82">
        <v>0</v>
      </c>
    </row>
    <row r="83" spans="1:24" ht="14.5" thickBot="1" x14ac:dyDescent="0.35">
      <c r="A83">
        <v>1</v>
      </c>
      <c r="B83" t="str">
        <f t="shared" si="9"/>
        <v>Male</v>
      </c>
      <c r="C83" s="8">
        <v>36</v>
      </c>
      <c r="D83" t="str">
        <f t="shared" si="10"/>
        <v>Young</v>
      </c>
      <c r="E83">
        <v>1</v>
      </c>
      <c r="F83" t="str">
        <f>HLOOKUP(E83, LookUP_Table!$A$6:$D$7, 2, FALSE)</f>
        <v>Primary</v>
      </c>
      <c r="G83" t="str">
        <f>IFERROR(VLOOKUP(E83, LookUP_Table!$A$1:$B$4, 2, FALSE), "")</f>
        <v>Primary</v>
      </c>
      <c r="H83">
        <v>0</v>
      </c>
      <c r="I83">
        <v>0</v>
      </c>
      <c r="J83" t="str">
        <f t="shared" si="6"/>
        <v>Non-Smoker</v>
      </c>
      <c r="K83">
        <v>0</v>
      </c>
      <c r="L83">
        <v>0</v>
      </c>
      <c r="M83">
        <v>1</v>
      </c>
      <c r="N83">
        <v>0</v>
      </c>
      <c r="O83">
        <v>182</v>
      </c>
      <c r="P83" t="str">
        <f t="shared" si="7"/>
        <v>Normal</v>
      </c>
      <c r="Q83">
        <v>145</v>
      </c>
      <c r="R83">
        <v>102</v>
      </c>
      <c r="S83">
        <v>30.92</v>
      </c>
      <c r="T83" t="str">
        <f t="shared" si="8"/>
        <v>Obese</v>
      </c>
      <c r="U83">
        <v>72</v>
      </c>
      <c r="V83">
        <v>70</v>
      </c>
      <c r="W83" t="str">
        <f t="shared" si="11"/>
        <v>Normal</v>
      </c>
      <c r="X83">
        <v>0</v>
      </c>
    </row>
    <row r="84" spans="1:24" ht="14.5" thickBot="1" x14ac:dyDescent="0.35">
      <c r="A84">
        <v>1</v>
      </c>
      <c r="B84" t="str">
        <f t="shared" si="9"/>
        <v>Male</v>
      </c>
      <c r="C84" s="8">
        <v>36</v>
      </c>
      <c r="D84" t="str">
        <f t="shared" si="10"/>
        <v>Young</v>
      </c>
      <c r="E84">
        <v>4</v>
      </c>
      <c r="F84" t="str">
        <f>HLOOKUP(E84, LookUP_Table!$A$6:$D$7, 2, FALSE)</f>
        <v>Post Graduate</v>
      </c>
      <c r="G84" t="str">
        <f>IFERROR(VLOOKUP(E84, LookUP_Table!$A$1:$B$4, 2, FALSE), "")</f>
        <v>Post Graduate</v>
      </c>
      <c r="H84">
        <v>0</v>
      </c>
      <c r="I84">
        <v>0</v>
      </c>
      <c r="J84" t="str">
        <f t="shared" si="6"/>
        <v>Non-Smoker</v>
      </c>
      <c r="K84">
        <v>0</v>
      </c>
      <c r="L84">
        <v>0</v>
      </c>
      <c r="M84">
        <v>0</v>
      </c>
      <c r="N84">
        <v>0</v>
      </c>
      <c r="O84">
        <v>194</v>
      </c>
      <c r="P84" t="str">
        <f t="shared" si="7"/>
        <v>Normal</v>
      </c>
      <c r="Q84">
        <v>117</v>
      </c>
      <c r="R84">
        <v>90</v>
      </c>
      <c r="S84">
        <v>27.08</v>
      </c>
      <c r="T84" t="str">
        <f t="shared" si="8"/>
        <v>Overweight</v>
      </c>
      <c r="U84">
        <v>73</v>
      </c>
      <c r="V84">
        <v>87</v>
      </c>
      <c r="W84" t="str">
        <f t="shared" si="11"/>
        <v>Normal</v>
      </c>
      <c r="X84">
        <v>0</v>
      </c>
    </row>
    <row r="85" spans="1:24" ht="14.5" thickBot="1" x14ac:dyDescent="0.35">
      <c r="A85">
        <v>0</v>
      </c>
      <c r="B85" t="str">
        <f t="shared" si="9"/>
        <v>Female</v>
      </c>
      <c r="C85" s="8">
        <v>36</v>
      </c>
      <c r="D85" t="str">
        <f t="shared" si="10"/>
        <v>Young</v>
      </c>
      <c r="E85">
        <v>1</v>
      </c>
      <c r="F85" t="str">
        <f>HLOOKUP(E85, LookUP_Table!$A$6:$D$7, 2, FALSE)</f>
        <v>Primary</v>
      </c>
      <c r="G85" t="str">
        <f>IFERROR(VLOOKUP(E85, LookUP_Table!$A$1:$B$4, 2, FALSE), "")</f>
        <v>Primary</v>
      </c>
      <c r="H85">
        <v>0</v>
      </c>
      <c r="I85">
        <v>0</v>
      </c>
      <c r="J85" t="str">
        <f t="shared" si="6"/>
        <v>Non-Smoker</v>
      </c>
      <c r="K85">
        <v>0</v>
      </c>
      <c r="L85">
        <v>0</v>
      </c>
      <c r="M85">
        <v>0</v>
      </c>
      <c r="N85">
        <v>0</v>
      </c>
      <c r="O85">
        <v>200</v>
      </c>
      <c r="P85" t="str">
        <f t="shared" si="7"/>
        <v>Normal</v>
      </c>
      <c r="Q85">
        <v>112</v>
      </c>
      <c r="R85">
        <v>76</v>
      </c>
      <c r="S85">
        <v>26.03</v>
      </c>
      <c r="T85" t="str">
        <f t="shared" si="8"/>
        <v>Overweight</v>
      </c>
      <c r="U85">
        <v>75</v>
      </c>
      <c r="V85">
        <v>62</v>
      </c>
      <c r="W85" t="str">
        <f t="shared" si="11"/>
        <v>Normal</v>
      </c>
      <c r="X85">
        <v>0</v>
      </c>
    </row>
    <row r="86" spans="1:24" ht="14.5" thickBot="1" x14ac:dyDescent="0.35">
      <c r="A86">
        <v>0</v>
      </c>
      <c r="B86" t="str">
        <f t="shared" si="9"/>
        <v>Female</v>
      </c>
      <c r="C86" s="8">
        <v>36</v>
      </c>
      <c r="D86" t="str">
        <f t="shared" si="10"/>
        <v>Young</v>
      </c>
      <c r="E86">
        <v>2</v>
      </c>
      <c r="F86" t="str">
        <f>HLOOKUP(E86, LookUP_Table!$A$6:$D$7, 2, FALSE)</f>
        <v>Secondary</v>
      </c>
      <c r="G86" t="str">
        <f>IFERROR(VLOOKUP(E86, LookUP_Table!$A$1:$B$4, 2, FALSE), "")</f>
        <v>Secondary</v>
      </c>
      <c r="H86">
        <v>0</v>
      </c>
      <c r="I86">
        <v>0</v>
      </c>
      <c r="J86" t="str">
        <f t="shared" si="6"/>
        <v>Non-Smoker</v>
      </c>
      <c r="K86">
        <v>0</v>
      </c>
      <c r="L86">
        <v>0</v>
      </c>
      <c r="M86">
        <v>0</v>
      </c>
      <c r="N86">
        <v>0</v>
      </c>
      <c r="O86">
        <v>165</v>
      </c>
      <c r="P86" t="str">
        <f t="shared" si="7"/>
        <v>Normal</v>
      </c>
      <c r="Q86">
        <v>110</v>
      </c>
      <c r="R86">
        <v>75.5</v>
      </c>
      <c r="S86">
        <v>26.13</v>
      </c>
      <c r="T86" t="str">
        <f t="shared" si="8"/>
        <v>Overweight</v>
      </c>
      <c r="U86">
        <v>86</v>
      </c>
      <c r="V86">
        <v>81.96365524402907</v>
      </c>
      <c r="W86" t="str">
        <f t="shared" si="11"/>
        <v>Normal</v>
      </c>
      <c r="X86">
        <v>0</v>
      </c>
    </row>
    <row r="87" spans="1:24" ht="14.5" thickBot="1" x14ac:dyDescent="0.35">
      <c r="A87">
        <v>1</v>
      </c>
      <c r="B87" t="str">
        <f t="shared" si="9"/>
        <v>Male</v>
      </c>
      <c r="C87" s="8">
        <v>36</v>
      </c>
      <c r="D87" t="str">
        <f t="shared" si="10"/>
        <v>Young</v>
      </c>
      <c r="E87">
        <v>4</v>
      </c>
      <c r="F87" t="str">
        <f>HLOOKUP(E87, LookUP_Table!$A$6:$D$7, 2, FALSE)</f>
        <v>Post Graduate</v>
      </c>
      <c r="G87" t="str">
        <f>IFERROR(VLOOKUP(E87, LookUP_Table!$A$1:$B$4, 2, FALSE), "")</f>
        <v>Post Graduate</v>
      </c>
      <c r="H87">
        <v>0</v>
      </c>
      <c r="I87">
        <v>0</v>
      </c>
      <c r="J87" t="str">
        <f t="shared" si="6"/>
        <v>Non-Smoker</v>
      </c>
      <c r="K87">
        <v>0</v>
      </c>
      <c r="L87">
        <v>0</v>
      </c>
      <c r="M87">
        <v>1</v>
      </c>
      <c r="N87">
        <v>0</v>
      </c>
      <c r="O87">
        <v>237</v>
      </c>
      <c r="P87" t="str">
        <f t="shared" si="7"/>
        <v>Normal</v>
      </c>
      <c r="Q87">
        <v>142</v>
      </c>
      <c r="R87">
        <v>82</v>
      </c>
      <c r="S87">
        <v>27.5</v>
      </c>
      <c r="T87" t="str">
        <f t="shared" si="8"/>
        <v>Overweight</v>
      </c>
      <c r="U87">
        <v>53</v>
      </c>
      <c r="V87">
        <v>87</v>
      </c>
      <c r="W87" t="str">
        <f t="shared" si="11"/>
        <v>Normal</v>
      </c>
      <c r="X87">
        <v>0</v>
      </c>
    </row>
    <row r="88" spans="1:24" ht="14.5" thickBot="1" x14ac:dyDescent="0.35">
      <c r="A88">
        <v>0</v>
      </c>
      <c r="B88" t="str">
        <f t="shared" si="9"/>
        <v>Female</v>
      </c>
      <c r="C88" s="8">
        <v>36</v>
      </c>
      <c r="D88" t="str">
        <f t="shared" si="10"/>
        <v>Young</v>
      </c>
      <c r="E88">
        <v>1</v>
      </c>
      <c r="F88" t="str">
        <f>HLOOKUP(E88, LookUP_Table!$A$6:$D$7, 2, FALSE)</f>
        <v>Primary</v>
      </c>
      <c r="G88" t="str">
        <f>IFERROR(VLOOKUP(E88, LookUP_Table!$A$1:$B$4, 2, FALSE), "")</f>
        <v>Primary</v>
      </c>
      <c r="H88">
        <v>1</v>
      </c>
      <c r="I88">
        <v>15</v>
      </c>
      <c r="J88" t="str">
        <f t="shared" si="6"/>
        <v>Smoker</v>
      </c>
      <c r="K88">
        <v>0</v>
      </c>
      <c r="L88">
        <v>0</v>
      </c>
      <c r="M88">
        <v>0</v>
      </c>
      <c r="N88">
        <v>0</v>
      </c>
      <c r="O88">
        <v>178</v>
      </c>
      <c r="P88" t="str">
        <f t="shared" si="7"/>
        <v>Normal</v>
      </c>
      <c r="Q88">
        <v>102.5</v>
      </c>
      <c r="R88">
        <v>65</v>
      </c>
      <c r="S88">
        <v>20.87</v>
      </c>
      <c r="T88" t="str">
        <f t="shared" si="8"/>
        <v>Normal</v>
      </c>
      <c r="U88">
        <v>75</v>
      </c>
      <c r="V88">
        <v>94</v>
      </c>
      <c r="W88" t="str">
        <f t="shared" si="11"/>
        <v>Normal</v>
      </c>
      <c r="X88">
        <v>0</v>
      </c>
    </row>
    <row r="89" spans="1:24" ht="14.5" thickBot="1" x14ac:dyDescent="0.35">
      <c r="A89">
        <v>0</v>
      </c>
      <c r="B89" t="str">
        <f t="shared" si="9"/>
        <v>Female</v>
      </c>
      <c r="C89" s="8">
        <v>36</v>
      </c>
      <c r="D89" t="str">
        <f t="shared" si="10"/>
        <v>Young</v>
      </c>
      <c r="E89">
        <v>2</v>
      </c>
      <c r="F89" t="str">
        <f>HLOOKUP(E89, LookUP_Table!$A$6:$D$7, 2, FALSE)</f>
        <v>Secondary</v>
      </c>
      <c r="G89" t="str">
        <f>IFERROR(VLOOKUP(E89, LookUP_Table!$A$1:$B$4, 2, FALSE), "")</f>
        <v>Secondary</v>
      </c>
      <c r="H89">
        <v>0</v>
      </c>
      <c r="I89">
        <v>0</v>
      </c>
      <c r="J89" t="str">
        <f t="shared" si="6"/>
        <v>Non-Smoker</v>
      </c>
      <c r="K89">
        <v>0</v>
      </c>
      <c r="L89">
        <v>0</v>
      </c>
      <c r="M89">
        <v>0</v>
      </c>
      <c r="N89">
        <v>0</v>
      </c>
      <c r="O89">
        <v>212</v>
      </c>
      <c r="P89" t="str">
        <f t="shared" si="7"/>
        <v>Normal</v>
      </c>
      <c r="Q89">
        <v>102</v>
      </c>
      <c r="R89">
        <v>69</v>
      </c>
      <c r="S89">
        <v>33.36</v>
      </c>
      <c r="T89" t="str">
        <f t="shared" si="8"/>
        <v>Obese</v>
      </c>
      <c r="U89">
        <v>55</v>
      </c>
      <c r="V89">
        <v>71</v>
      </c>
      <c r="W89" t="str">
        <f t="shared" si="11"/>
        <v>Normal</v>
      </c>
      <c r="X89">
        <v>0</v>
      </c>
    </row>
    <row r="90" spans="1:24" ht="14.5" thickBot="1" x14ac:dyDescent="0.35">
      <c r="A90">
        <v>1</v>
      </c>
      <c r="B90" t="str">
        <f t="shared" si="9"/>
        <v>Male</v>
      </c>
      <c r="C90" s="8">
        <v>36</v>
      </c>
      <c r="D90" t="str">
        <f t="shared" si="10"/>
        <v>Young</v>
      </c>
      <c r="E90">
        <v>2</v>
      </c>
      <c r="F90" t="str">
        <f>HLOOKUP(E90, LookUP_Table!$A$6:$D$7, 2, FALSE)</f>
        <v>Secondary</v>
      </c>
      <c r="G90" t="str">
        <f>IFERROR(VLOOKUP(E90, LookUP_Table!$A$1:$B$4, 2, FALSE), "")</f>
        <v>Secondary</v>
      </c>
      <c r="H90">
        <v>1</v>
      </c>
      <c r="I90">
        <v>20</v>
      </c>
      <c r="J90" t="str">
        <f t="shared" si="6"/>
        <v>Smoker</v>
      </c>
      <c r="K90">
        <v>0</v>
      </c>
      <c r="L90">
        <v>0</v>
      </c>
      <c r="M90">
        <v>1</v>
      </c>
      <c r="N90">
        <v>0</v>
      </c>
      <c r="O90">
        <v>280</v>
      </c>
      <c r="P90" t="str">
        <f t="shared" si="7"/>
        <v>High</v>
      </c>
      <c r="Q90">
        <v>151</v>
      </c>
      <c r="R90">
        <v>96</v>
      </c>
      <c r="S90">
        <v>25.35</v>
      </c>
      <c r="T90" t="str">
        <f t="shared" si="8"/>
        <v>Overweight</v>
      </c>
      <c r="U90">
        <v>78</v>
      </c>
      <c r="V90">
        <v>94</v>
      </c>
      <c r="W90" t="str">
        <f t="shared" si="11"/>
        <v>Normal</v>
      </c>
      <c r="X90">
        <v>0</v>
      </c>
    </row>
    <row r="91" spans="1:24" ht="14.5" thickBot="1" x14ac:dyDescent="0.35">
      <c r="A91">
        <v>0</v>
      </c>
      <c r="B91" t="str">
        <f t="shared" si="9"/>
        <v>Female</v>
      </c>
      <c r="C91" s="8">
        <v>36</v>
      </c>
      <c r="D91" t="str">
        <f t="shared" si="10"/>
        <v>Young</v>
      </c>
      <c r="E91">
        <v>2</v>
      </c>
      <c r="F91" t="str">
        <f>HLOOKUP(E91, LookUP_Table!$A$6:$D$7, 2, FALSE)</f>
        <v>Secondary</v>
      </c>
      <c r="G91" t="str">
        <f>IFERROR(VLOOKUP(E91, LookUP_Table!$A$1:$B$4, 2, FALSE), "")</f>
        <v>Secondary</v>
      </c>
      <c r="H91">
        <v>1</v>
      </c>
      <c r="I91">
        <v>1</v>
      </c>
      <c r="J91" t="str">
        <f t="shared" si="6"/>
        <v>Smoker</v>
      </c>
      <c r="K91">
        <v>0</v>
      </c>
      <c r="L91">
        <v>0</v>
      </c>
      <c r="M91">
        <v>0</v>
      </c>
      <c r="N91">
        <v>0</v>
      </c>
      <c r="O91">
        <v>160</v>
      </c>
      <c r="P91" t="str">
        <f t="shared" si="7"/>
        <v>Normal</v>
      </c>
      <c r="Q91">
        <v>98</v>
      </c>
      <c r="R91">
        <v>66</v>
      </c>
      <c r="S91">
        <v>25.07</v>
      </c>
      <c r="T91" t="str">
        <f t="shared" si="8"/>
        <v>Overweight</v>
      </c>
      <c r="U91">
        <v>68</v>
      </c>
      <c r="V91">
        <v>73</v>
      </c>
      <c r="W91" t="str">
        <f t="shared" si="11"/>
        <v>Normal</v>
      </c>
      <c r="X91">
        <v>1</v>
      </c>
    </row>
    <row r="92" spans="1:24" ht="14.5" thickBot="1" x14ac:dyDescent="0.35">
      <c r="A92">
        <v>1</v>
      </c>
      <c r="B92" t="str">
        <f t="shared" si="9"/>
        <v>Male</v>
      </c>
      <c r="C92" s="8">
        <v>36</v>
      </c>
      <c r="D92" t="str">
        <f t="shared" si="10"/>
        <v>Young</v>
      </c>
      <c r="E92">
        <v>1</v>
      </c>
      <c r="F92" t="str">
        <f>HLOOKUP(E92, LookUP_Table!$A$6:$D$7, 2, FALSE)</f>
        <v>Primary</v>
      </c>
      <c r="G92" t="str">
        <f>IFERROR(VLOOKUP(E92, LookUP_Table!$A$1:$B$4, 2, FALSE), "")</f>
        <v>Primary</v>
      </c>
      <c r="H92">
        <v>0</v>
      </c>
      <c r="I92">
        <v>0</v>
      </c>
      <c r="J92" t="str">
        <f t="shared" si="6"/>
        <v>Non-Smoker</v>
      </c>
      <c r="K92">
        <v>0</v>
      </c>
      <c r="L92">
        <v>0</v>
      </c>
      <c r="M92">
        <v>1</v>
      </c>
      <c r="N92">
        <v>0</v>
      </c>
      <c r="O92">
        <v>167</v>
      </c>
      <c r="P92" t="str">
        <f t="shared" si="7"/>
        <v>Normal</v>
      </c>
      <c r="Q92">
        <v>155</v>
      </c>
      <c r="R92">
        <v>74</v>
      </c>
      <c r="S92">
        <v>19.420000000000002</v>
      </c>
      <c r="T92" t="str">
        <f t="shared" si="8"/>
        <v>Normal</v>
      </c>
      <c r="U92">
        <v>125</v>
      </c>
      <c r="V92">
        <v>81</v>
      </c>
      <c r="W92" t="str">
        <f t="shared" si="11"/>
        <v>Normal</v>
      </c>
      <c r="X92">
        <v>0</v>
      </c>
    </row>
    <row r="93" spans="1:24" ht="14.5" thickBot="1" x14ac:dyDescent="0.35">
      <c r="A93">
        <v>0</v>
      </c>
      <c r="B93" t="str">
        <f t="shared" si="9"/>
        <v>Female</v>
      </c>
      <c r="C93" s="8">
        <v>36</v>
      </c>
      <c r="D93" t="str">
        <f t="shared" si="10"/>
        <v>Young</v>
      </c>
      <c r="E93">
        <v>3</v>
      </c>
      <c r="F93" t="str">
        <f>HLOOKUP(E93, LookUP_Table!$A$6:$D$7, 2, FALSE)</f>
        <v>Graduate</v>
      </c>
      <c r="G93" t="str">
        <f>IFERROR(VLOOKUP(E93, LookUP_Table!$A$1:$B$4, 2, FALSE), "")</f>
        <v>Graduate</v>
      </c>
      <c r="H93">
        <v>0</v>
      </c>
      <c r="I93">
        <v>0</v>
      </c>
      <c r="J93" t="str">
        <f t="shared" si="6"/>
        <v>Non-Smoker</v>
      </c>
      <c r="K93">
        <v>0</v>
      </c>
      <c r="L93">
        <v>0</v>
      </c>
      <c r="M93">
        <v>0</v>
      </c>
      <c r="N93">
        <v>0</v>
      </c>
      <c r="O93">
        <v>185</v>
      </c>
      <c r="P93" t="str">
        <f t="shared" si="7"/>
        <v>Normal</v>
      </c>
      <c r="Q93">
        <v>123</v>
      </c>
      <c r="R93">
        <v>69</v>
      </c>
      <c r="S93">
        <v>18.98</v>
      </c>
      <c r="T93" t="str">
        <f t="shared" si="8"/>
        <v>Normal</v>
      </c>
      <c r="U93">
        <v>79</v>
      </c>
      <c r="V93">
        <v>75</v>
      </c>
      <c r="W93" t="str">
        <f t="shared" si="11"/>
        <v>Normal</v>
      </c>
      <c r="X93">
        <v>0</v>
      </c>
    </row>
    <row r="94" spans="1:24" ht="14.5" thickBot="1" x14ac:dyDescent="0.35">
      <c r="A94">
        <v>1</v>
      </c>
      <c r="B94" t="str">
        <f t="shared" si="9"/>
        <v>Male</v>
      </c>
      <c r="C94" s="8">
        <v>36</v>
      </c>
      <c r="D94" t="str">
        <f t="shared" si="10"/>
        <v>Young</v>
      </c>
      <c r="E94">
        <v>2</v>
      </c>
      <c r="F94" t="str">
        <f>HLOOKUP(E94, LookUP_Table!$A$6:$D$7, 2, FALSE)</f>
        <v>Secondary</v>
      </c>
      <c r="G94" t="str">
        <f>IFERROR(VLOOKUP(E94, LookUP_Table!$A$1:$B$4, 2, FALSE), "")</f>
        <v>Secondary</v>
      </c>
      <c r="H94">
        <v>1</v>
      </c>
      <c r="I94">
        <v>20</v>
      </c>
      <c r="J94" t="str">
        <f t="shared" si="6"/>
        <v>Smoker</v>
      </c>
      <c r="K94">
        <v>0</v>
      </c>
      <c r="L94">
        <v>0</v>
      </c>
      <c r="M94">
        <v>1</v>
      </c>
      <c r="N94">
        <v>0</v>
      </c>
      <c r="O94">
        <v>248</v>
      </c>
      <c r="P94" t="str">
        <f t="shared" si="7"/>
        <v>High</v>
      </c>
      <c r="Q94">
        <v>135</v>
      </c>
      <c r="R94">
        <v>94.5</v>
      </c>
      <c r="S94">
        <v>36.520000000000003</v>
      </c>
      <c r="T94" t="str">
        <f t="shared" si="8"/>
        <v>Obese</v>
      </c>
      <c r="U94">
        <v>65</v>
      </c>
      <c r="V94">
        <v>85</v>
      </c>
      <c r="W94" t="str">
        <f t="shared" si="11"/>
        <v>Normal</v>
      </c>
      <c r="X94">
        <v>0</v>
      </c>
    </row>
    <row r="95" spans="1:24" ht="14.5" thickBot="1" x14ac:dyDescent="0.35">
      <c r="A95">
        <v>0</v>
      </c>
      <c r="B95" t="str">
        <f t="shared" si="9"/>
        <v>Female</v>
      </c>
      <c r="C95" s="8">
        <v>36</v>
      </c>
      <c r="D95" t="str">
        <f t="shared" si="10"/>
        <v>Young</v>
      </c>
      <c r="E95">
        <v>4</v>
      </c>
      <c r="F95" t="str">
        <f>HLOOKUP(E95, LookUP_Table!$A$6:$D$7, 2, FALSE)</f>
        <v>Post Graduate</v>
      </c>
      <c r="G95" t="str">
        <f>IFERROR(VLOOKUP(E95, LookUP_Table!$A$1:$B$4, 2, FALSE), "")</f>
        <v>Post Graduate</v>
      </c>
      <c r="H95">
        <v>1</v>
      </c>
      <c r="I95">
        <v>10</v>
      </c>
      <c r="J95" t="str">
        <f t="shared" si="6"/>
        <v>Smoker</v>
      </c>
      <c r="K95">
        <v>0</v>
      </c>
      <c r="L95">
        <v>0</v>
      </c>
      <c r="M95">
        <v>0</v>
      </c>
      <c r="N95">
        <v>0</v>
      </c>
      <c r="O95">
        <v>214</v>
      </c>
      <c r="P95" t="str">
        <f t="shared" si="7"/>
        <v>Normal</v>
      </c>
      <c r="Q95">
        <v>119</v>
      </c>
      <c r="R95">
        <v>76</v>
      </c>
      <c r="S95">
        <v>21.67</v>
      </c>
      <c r="T95" t="str">
        <f t="shared" si="8"/>
        <v>Normal</v>
      </c>
      <c r="U95">
        <v>67</v>
      </c>
      <c r="V95">
        <v>75</v>
      </c>
      <c r="W95" t="str">
        <f t="shared" si="11"/>
        <v>Normal</v>
      </c>
      <c r="X95">
        <v>0</v>
      </c>
    </row>
    <row r="96" spans="1:24" ht="14.5" thickBot="1" x14ac:dyDescent="0.35">
      <c r="A96">
        <v>0</v>
      </c>
      <c r="B96" t="str">
        <f t="shared" si="9"/>
        <v>Female</v>
      </c>
      <c r="C96" s="8">
        <v>36</v>
      </c>
      <c r="D96" t="str">
        <f t="shared" si="10"/>
        <v>Young</v>
      </c>
      <c r="E96">
        <v>2</v>
      </c>
      <c r="F96" t="str">
        <f>HLOOKUP(E96, LookUP_Table!$A$6:$D$7, 2, FALSE)</f>
        <v>Secondary</v>
      </c>
      <c r="G96" t="str">
        <f>IFERROR(VLOOKUP(E96, LookUP_Table!$A$1:$B$4, 2, FALSE), "")</f>
        <v>Secondary</v>
      </c>
      <c r="H96">
        <v>0</v>
      </c>
      <c r="I96">
        <v>0</v>
      </c>
      <c r="J96" t="str">
        <f t="shared" si="6"/>
        <v>Non-Smoker</v>
      </c>
      <c r="K96">
        <v>0</v>
      </c>
      <c r="L96">
        <v>0</v>
      </c>
      <c r="M96">
        <v>0</v>
      </c>
      <c r="N96">
        <v>1</v>
      </c>
      <c r="O96">
        <v>208</v>
      </c>
      <c r="P96" t="str">
        <f t="shared" si="7"/>
        <v>Normal</v>
      </c>
      <c r="Q96">
        <v>156.5</v>
      </c>
      <c r="R96">
        <v>105</v>
      </c>
      <c r="S96">
        <v>33.82</v>
      </c>
      <c r="T96" t="str">
        <f t="shared" si="8"/>
        <v>Obese</v>
      </c>
      <c r="U96">
        <v>95</v>
      </c>
      <c r="V96">
        <v>186</v>
      </c>
      <c r="W96" t="str">
        <f t="shared" si="11"/>
        <v>Diabetes</v>
      </c>
      <c r="X96">
        <v>0</v>
      </c>
    </row>
    <row r="97" spans="1:24" ht="14.5" thickBot="1" x14ac:dyDescent="0.35">
      <c r="A97">
        <v>1</v>
      </c>
      <c r="B97" t="str">
        <f t="shared" si="9"/>
        <v>Male</v>
      </c>
      <c r="C97" s="8">
        <v>36</v>
      </c>
      <c r="D97" t="str">
        <f t="shared" si="10"/>
        <v>Young</v>
      </c>
      <c r="E97">
        <v>2</v>
      </c>
      <c r="F97" t="str">
        <f>HLOOKUP(E97, LookUP_Table!$A$6:$D$7, 2, FALSE)</f>
        <v>Secondary</v>
      </c>
      <c r="G97" t="str">
        <f>IFERROR(VLOOKUP(E97, LookUP_Table!$A$1:$B$4, 2, FALSE), "")</f>
        <v>Secondary</v>
      </c>
      <c r="H97">
        <v>0</v>
      </c>
      <c r="I97">
        <v>0</v>
      </c>
      <c r="J97" t="str">
        <f t="shared" si="6"/>
        <v>Non-Smoker</v>
      </c>
      <c r="K97">
        <v>0</v>
      </c>
      <c r="L97">
        <v>0</v>
      </c>
      <c r="M97">
        <v>0</v>
      </c>
      <c r="N97">
        <v>0</v>
      </c>
      <c r="O97">
        <v>245</v>
      </c>
      <c r="P97" t="str">
        <f t="shared" si="7"/>
        <v>High</v>
      </c>
      <c r="Q97">
        <v>131.5</v>
      </c>
      <c r="R97">
        <v>89</v>
      </c>
      <c r="S97">
        <v>26.33</v>
      </c>
      <c r="T97" t="str">
        <f t="shared" si="8"/>
        <v>Overweight</v>
      </c>
      <c r="U97">
        <v>100</v>
      </c>
      <c r="V97">
        <v>62</v>
      </c>
      <c r="W97" t="str">
        <f t="shared" si="11"/>
        <v>Normal</v>
      </c>
      <c r="X97">
        <v>0</v>
      </c>
    </row>
    <row r="98" spans="1:24" ht="14.5" thickBot="1" x14ac:dyDescent="0.35">
      <c r="A98">
        <v>0</v>
      </c>
      <c r="B98" t="str">
        <f t="shared" si="9"/>
        <v>Female</v>
      </c>
      <c r="C98" s="8">
        <v>36</v>
      </c>
      <c r="D98" t="str">
        <f t="shared" si="10"/>
        <v>Young</v>
      </c>
      <c r="E98">
        <v>3</v>
      </c>
      <c r="F98" t="str">
        <f>HLOOKUP(E98, LookUP_Table!$A$6:$D$7, 2, FALSE)</f>
        <v>Graduate</v>
      </c>
      <c r="G98" t="str">
        <f>IFERROR(VLOOKUP(E98, LookUP_Table!$A$1:$B$4, 2, FALSE), "")</f>
        <v>Graduate</v>
      </c>
      <c r="H98">
        <v>0</v>
      </c>
      <c r="I98">
        <v>0</v>
      </c>
      <c r="J98" t="str">
        <f t="shared" si="6"/>
        <v>Non-Smoker</v>
      </c>
      <c r="K98">
        <v>0</v>
      </c>
      <c r="L98">
        <v>0</v>
      </c>
      <c r="M98">
        <v>0</v>
      </c>
      <c r="N98">
        <v>0</v>
      </c>
      <c r="O98">
        <v>230</v>
      </c>
      <c r="P98" t="str">
        <f t="shared" si="7"/>
        <v>Normal</v>
      </c>
      <c r="Q98">
        <v>112.5</v>
      </c>
      <c r="R98">
        <v>73.5</v>
      </c>
      <c r="S98">
        <v>22.36</v>
      </c>
      <c r="T98" t="str">
        <f t="shared" si="8"/>
        <v>Normal</v>
      </c>
      <c r="U98">
        <v>63</v>
      </c>
      <c r="V98">
        <v>65</v>
      </c>
      <c r="W98" t="str">
        <f t="shared" si="11"/>
        <v>Normal</v>
      </c>
      <c r="X98">
        <v>0</v>
      </c>
    </row>
    <row r="99" spans="1:24" ht="14.5" thickBot="1" x14ac:dyDescent="0.35">
      <c r="A99">
        <v>1</v>
      </c>
      <c r="B99" t="str">
        <f t="shared" si="9"/>
        <v>Male</v>
      </c>
      <c r="C99" s="8">
        <v>36</v>
      </c>
      <c r="D99" t="str">
        <f t="shared" si="10"/>
        <v>Young</v>
      </c>
      <c r="E99">
        <v>4</v>
      </c>
      <c r="F99" t="str">
        <f>HLOOKUP(E99, LookUP_Table!$A$6:$D$7, 2, FALSE)</f>
        <v>Post Graduate</v>
      </c>
      <c r="G99" t="str">
        <f>IFERROR(VLOOKUP(E99, LookUP_Table!$A$1:$B$4, 2, FALSE), "")</f>
        <v>Post Graduate</v>
      </c>
      <c r="H99">
        <v>1</v>
      </c>
      <c r="I99">
        <v>15</v>
      </c>
      <c r="J99" t="str">
        <f t="shared" si="6"/>
        <v>Smoker</v>
      </c>
      <c r="K99">
        <v>0</v>
      </c>
      <c r="L99">
        <v>0</v>
      </c>
      <c r="M99">
        <v>0</v>
      </c>
      <c r="N99">
        <v>0</v>
      </c>
      <c r="O99">
        <v>155</v>
      </c>
      <c r="P99" t="str">
        <f t="shared" si="7"/>
        <v>Normal</v>
      </c>
      <c r="Q99">
        <v>123</v>
      </c>
      <c r="R99">
        <v>78</v>
      </c>
      <c r="S99">
        <v>22.05</v>
      </c>
      <c r="T99" t="str">
        <f t="shared" si="8"/>
        <v>Normal</v>
      </c>
      <c r="U99">
        <v>67</v>
      </c>
      <c r="V99">
        <v>78</v>
      </c>
      <c r="W99" t="str">
        <f t="shared" si="11"/>
        <v>Normal</v>
      </c>
      <c r="X99">
        <v>0</v>
      </c>
    </row>
    <row r="100" spans="1:24" ht="14.5" thickBot="1" x14ac:dyDescent="0.35">
      <c r="A100">
        <v>1</v>
      </c>
      <c r="B100" t="str">
        <f t="shared" si="9"/>
        <v>Male</v>
      </c>
      <c r="C100" s="8">
        <v>36</v>
      </c>
      <c r="D100" t="str">
        <f t="shared" si="10"/>
        <v>Young</v>
      </c>
      <c r="E100">
        <v>4</v>
      </c>
      <c r="F100" t="str">
        <f>HLOOKUP(E100, LookUP_Table!$A$6:$D$7, 2, FALSE)</f>
        <v>Post Graduate</v>
      </c>
      <c r="G100" t="str">
        <f>IFERROR(VLOOKUP(E100, LookUP_Table!$A$1:$B$4, 2, FALSE), "")</f>
        <v>Post Graduate</v>
      </c>
      <c r="H100">
        <v>0</v>
      </c>
      <c r="I100">
        <v>0</v>
      </c>
      <c r="J100" t="str">
        <f t="shared" si="6"/>
        <v>Non-Smoker</v>
      </c>
      <c r="K100">
        <v>0</v>
      </c>
      <c r="L100">
        <v>0</v>
      </c>
      <c r="M100">
        <v>0</v>
      </c>
      <c r="N100">
        <v>0</v>
      </c>
      <c r="O100">
        <v>172</v>
      </c>
      <c r="P100" t="str">
        <f t="shared" si="7"/>
        <v>Normal</v>
      </c>
      <c r="Q100">
        <v>122.5</v>
      </c>
      <c r="R100">
        <v>82.5</v>
      </c>
      <c r="S100">
        <v>28.53</v>
      </c>
      <c r="T100" t="str">
        <f t="shared" si="8"/>
        <v>Overweight</v>
      </c>
      <c r="U100">
        <v>82</v>
      </c>
      <c r="V100">
        <v>75</v>
      </c>
      <c r="W100" t="str">
        <f t="shared" si="11"/>
        <v>Normal</v>
      </c>
      <c r="X100">
        <v>0</v>
      </c>
    </row>
    <row r="101" spans="1:24" ht="14.5" thickBot="1" x14ac:dyDescent="0.35">
      <c r="A101">
        <v>1</v>
      </c>
      <c r="B101" t="str">
        <f t="shared" si="9"/>
        <v>Male</v>
      </c>
      <c r="C101" s="8">
        <v>36</v>
      </c>
      <c r="D101" t="str">
        <f t="shared" si="10"/>
        <v>Young</v>
      </c>
      <c r="E101">
        <v>4</v>
      </c>
      <c r="F101" t="str">
        <f>HLOOKUP(E101, LookUP_Table!$A$6:$D$7, 2, FALSE)</f>
        <v>Post Graduate</v>
      </c>
      <c r="G101" t="str">
        <f>IFERROR(VLOOKUP(E101, LookUP_Table!$A$1:$B$4, 2, FALSE), "")</f>
        <v>Post Graduate</v>
      </c>
      <c r="H101">
        <v>0</v>
      </c>
      <c r="I101">
        <v>0</v>
      </c>
      <c r="J101" t="str">
        <f t="shared" si="6"/>
        <v>Non-Smoker</v>
      </c>
      <c r="K101">
        <v>0</v>
      </c>
      <c r="L101">
        <v>0</v>
      </c>
      <c r="M101">
        <v>0</v>
      </c>
      <c r="N101">
        <v>0</v>
      </c>
      <c r="O101">
        <v>234</v>
      </c>
      <c r="P101" t="str">
        <f t="shared" si="7"/>
        <v>Normal</v>
      </c>
      <c r="Q101">
        <v>133</v>
      </c>
      <c r="R101">
        <v>88</v>
      </c>
      <c r="S101">
        <v>26.78</v>
      </c>
      <c r="T101" t="str">
        <f t="shared" si="8"/>
        <v>Overweight</v>
      </c>
      <c r="U101">
        <v>58</v>
      </c>
      <c r="V101">
        <v>100</v>
      </c>
      <c r="W101" t="str">
        <f t="shared" si="11"/>
        <v>Prediabetes</v>
      </c>
      <c r="X101">
        <v>0</v>
      </c>
    </row>
    <row r="102" spans="1:24" ht="14.5" thickBot="1" x14ac:dyDescent="0.35">
      <c r="A102">
        <v>0</v>
      </c>
      <c r="B102" t="str">
        <f t="shared" si="9"/>
        <v>Female</v>
      </c>
      <c r="C102" s="8">
        <v>36</v>
      </c>
      <c r="D102" t="str">
        <f t="shared" si="10"/>
        <v>Young</v>
      </c>
      <c r="E102">
        <v>3</v>
      </c>
      <c r="F102" t="str">
        <f>HLOOKUP(E102, LookUP_Table!$A$6:$D$7, 2, FALSE)</f>
        <v>Graduate</v>
      </c>
      <c r="G102" t="str">
        <f>IFERROR(VLOOKUP(E102, LookUP_Table!$A$1:$B$4, 2, FALSE), "")</f>
        <v>Graduate</v>
      </c>
      <c r="H102">
        <v>0</v>
      </c>
      <c r="I102">
        <v>0</v>
      </c>
      <c r="J102" t="str">
        <f t="shared" si="6"/>
        <v>Non-Smoker</v>
      </c>
      <c r="K102">
        <v>0</v>
      </c>
      <c r="L102">
        <v>0</v>
      </c>
      <c r="M102">
        <v>0</v>
      </c>
      <c r="N102">
        <v>0</v>
      </c>
      <c r="O102">
        <v>295</v>
      </c>
      <c r="P102" t="str">
        <f t="shared" si="7"/>
        <v>High</v>
      </c>
      <c r="Q102">
        <v>114.5</v>
      </c>
      <c r="R102">
        <v>72</v>
      </c>
      <c r="S102">
        <v>24.11</v>
      </c>
      <c r="T102" t="str">
        <f t="shared" si="8"/>
        <v>Normal</v>
      </c>
      <c r="U102">
        <v>85</v>
      </c>
      <c r="V102">
        <v>81.96365524402907</v>
      </c>
      <c r="W102" t="str">
        <f t="shared" si="11"/>
        <v>Normal</v>
      </c>
      <c r="X102">
        <v>0</v>
      </c>
    </row>
    <row r="103" spans="1:24" ht="14.5" thickBot="1" x14ac:dyDescent="0.35">
      <c r="A103">
        <v>1</v>
      </c>
      <c r="B103" t="str">
        <f t="shared" si="9"/>
        <v>Male</v>
      </c>
      <c r="C103" s="8">
        <v>36</v>
      </c>
      <c r="D103" t="str">
        <f t="shared" si="10"/>
        <v>Young</v>
      </c>
      <c r="E103">
        <v>4</v>
      </c>
      <c r="F103" t="str">
        <f>HLOOKUP(E103, LookUP_Table!$A$6:$D$7, 2, FALSE)</f>
        <v>Post Graduate</v>
      </c>
      <c r="G103" t="str">
        <f>IFERROR(VLOOKUP(E103, LookUP_Table!$A$1:$B$4, 2, FALSE), "")</f>
        <v>Post Graduate</v>
      </c>
      <c r="H103">
        <v>0</v>
      </c>
      <c r="I103">
        <v>0</v>
      </c>
      <c r="J103" t="str">
        <f t="shared" si="6"/>
        <v>Non-Smoker</v>
      </c>
      <c r="K103">
        <v>0</v>
      </c>
      <c r="L103">
        <v>0</v>
      </c>
      <c r="M103">
        <v>0</v>
      </c>
      <c r="N103">
        <v>0</v>
      </c>
      <c r="O103">
        <v>219</v>
      </c>
      <c r="P103" t="str">
        <f t="shared" si="7"/>
        <v>Normal</v>
      </c>
      <c r="Q103">
        <v>121</v>
      </c>
      <c r="R103">
        <v>66</v>
      </c>
      <c r="S103">
        <v>20.86</v>
      </c>
      <c r="T103" t="str">
        <f t="shared" si="8"/>
        <v>Normal</v>
      </c>
      <c r="U103">
        <v>74</v>
      </c>
      <c r="V103">
        <v>76</v>
      </c>
      <c r="W103" t="str">
        <f t="shared" si="11"/>
        <v>Normal</v>
      </c>
      <c r="X103">
        <v>0</v>
      </c>
    </row>
    <row r="104" spans="1:24" ht="14.5" thickBot="1" x14ac:dyDescent="0.35">
      <c r="A104">
        <v>0</v>
      </c>
      <c r="B104" t="str">
        <f t="shared" si="9"/>
        <v>Female</v>
      </c>
      <c r="C104" s="8">
        <v>36</v>
      </c>
      <c r="D104" t="str">
        <f t="shared" si="10"/>
        <v>Young</v>
      </c>
      <c r="E104">
        <v>3</v>
      </c>
      <c r="F104" t="str">
        <f>HLOOKUP(E104, LookUP_Table!$A$6:$D$7, 2, FALSE)</f>
        <v>Graduate</v>
      </c>
      <c r="G104" t="str">
        <f>IFERROR(VLOOKUP(E104, LookUP_Table!$A$1:$B$4, 2, FALSE), "")</f>
        <v>Graduate</v>
      </c>
      <c r="H104">
        <v>1</v>
      </c>
      <c r="I104">
        <v>25</v>
      </c>
      <c r="J104" t="str">
        <f t="shared" si="6"/>
        <v>Smoker</v>
      </c>
      <c r="K104">
        <v>0</v>
      </c>
      <c r="L104">
        <v>0</v>
      </c>
      <c r="M104">
        <v>0</v>
      </c>
      <c r="N104">
        <v>0</v>
      </c>
      <c r="O104">
        <v>220</v>
      </c>
      <c r="P104" t="str">
        <f t="shared" si="7"/>
        <v>Normal</v>
      </c>
      <c r="Q104">
        <v>125</v>
      </c>
      <c r="R104">
        <v>85</v>
      </c>
      <c r="S104">
        <v>21.34</v>
      </c>
      <c r="T104" t="str">
        <f t="shared" si="8"/>
        <v>Normal</v>
      </c>
      <c r="U104">
        <v>95</v>
      </c>
      <c r="V104">
        <v>82</v>
      </c>
      <c r="W104" t="str">
        <f t="shared" si="11"/>
        <v>Normal</v>
      </c>
      <c r="X104">
        <v>0</v>
      </c>
    </row>
    <row r="105" spans="1:24" ht="14.5" thickBot="1" x14ac:dyDescent="0.35">
      <c r="A105">
        <v>1</v>
      </c>
      <c r="B105" t="str">
        <f t="shared" si="9"/>
        <v>Male</v>
      </c>
      <c r="C105" s="8">
        <v>36</v>
      </c>
      <c r="D105" t="str">
        <f t="shared" si="10"/>
        <v>Young</v>
      </c>
      <c r="E105">
        <v>2</v>
      </c>
      <c r="F105" t="str">
        <f>HLOOKUP(E105, LookUP_Table!$A$6:$D$7, 2, FALSE)</f>
        <v>Secondary</v>
      </c>
      <c r="G105" t="str">
        <f>IFERROR(VLOOKUP(E105, LookUP_Table!$A$1:$B$4, 2, FALSE), "")</f>
        <v>Secondary</v>
      </c>
      <c r="H105">
        <v>1</v>
      </c>
      <c r="I105">
        <v>20</v>
      </c>
      <c r="J105" t="str">
        <f t="shared" si="6"/>
        <v>Smoker</v>
      </c>
      <c r="K105">
        <v>0</v>
      </c>
      <c r="L105">
        <v>0</v>
      </c>
      <c r="M105">
        <v>0</v>
      </c>
      <c r="N105">
        <v>0</v>
      </c>
      <c r="O105">
        <v>242</v>
      </c>
      <c r="P105" t="str">
        <f t="shared" si="7"/>
        <v>High</v>
      </c>
      <c r="Q105">
        <v>118.5</v>
      </c>
      <c r="R105">
        <v>84.5</v>
      </c>
      <c r="S105">
        <v>24.04</v>
      </c>
      <c r="T105" t="str">
        <f t="shared" si="8"/>
        <v>Normal</v>
      </c>
      <c r="U105">
        <v>78</v>
      </c>
      <c r="V105">
        <v>103</v>
      </c>
      <c r="W105" t="str">
        <f t="shared" si="11"/>
        <v>Prediabetes</v>
      </c>
      <c r="X105">
        <v>1</v>
      </c>
    </row>
    <row r="106" spans="1:24" ht="14.5" thickBot="1" x14ac:dyDescent="0.35">
      <c r="A106">
        <v>0</v>
      </c>
      <c r="B106" t="str">
        <f t="shared" si="9"/>
        <v>Female</v>
      </c>
      <c r="C106" s="8">
        <v>36</v>
      </c>
      <c r="D106" t="str">
        <f t="shared" si="10"/>
        <v>Young</v>
      </c>
      <c r="E106">
        <v>2</v>
      </c>
      <c r="F106" t="str">
        <f>HLOOKUP(E106, LookUP_Table!$A$6:$D$7, 2, FALSE)</f>
        <v>Secondary</v>
      </c>
      <c r="G106" t="str">
        <f>IFERROR(VLOOKUP(E106, LookUP_Table!$A$1:$B$4, 2, FALSE), "")</f>
        <v>Secondary</v>
      </c>
      <c r="H106">
        <v>1</v>
      </c>
      <c r="I106">
        <v>20</v>
      </c>
      <c r="J106" t="str">
        <f t="shared" si="6"/>
        <v>Smoker</v>
      </c>
      <c r="K106">
        <v>0</v>
      </c>
      <c r="L106">
        <v>0</v>
      </c>
      <c r="M106">
        <v>0</v>
      </c>
      <c r="N106">
        <v>0</v>
      </c>
      <c r="O106">
        <v>272</v>
      </c>
      <c r="P106" t="str">
        <f t="shared" si="7"/>
        <v>High</v>
      </c>
      <c r="Q106">
        <v>113</v>
      </c>
      <c r="R106">
        <v>66.5</v>
      </c>
      <c r="S106">
        <v>20.69</v>
      </c>
      <c r="T106" t="str">
        <f t="shared" si="8"/>
        <v>Normal</v>
      </c>
      <c r="U106">
        <v>67</v>
      </c>
      <c r="V106">
        <v>59</v>
      </c>
      <c r="W106" t="str">
        <f t="shared" si="11"/>
        <v>Normal</v>
      </c>
      <c r="X106">
        <v>0</v>
      </c>
    </row>
    <row r="107" spans="1:24" ht="14.5" thickBot="1" x14ac:dyDescent="0.35">
      <c r="A107">
        <v>1</v>
      </c>
      <c r="B107" t="str">
        <f t="shared" si="9"/>
        <v>Male</v>
      </c>
      <c r="C107" s="8">
        <v>36</v>
      </c>
      <c r="D107" t="str">
        <f t="shared" si="10"/>
        <v>Young</v>
      </c>
      <c r="E107">
        <v>2</v>
      </c>
      <c r="F107" t="str">
        <f>HLOOKUP(E107, LookUP_Table!$A$6:$D$7, 2, FALSE)</f>
        <v>Secondary</v>
      </c>
      <c r="G107" t="str">
        <f>IFERROR(VLOOKUP(E107, LookUP_Table!$A$1:$B$4, 2, FALSE), "")</f>
        <v>Secondary</v>
      </c>
      <c r="H107">
        <v>1</v>
      </c>
      <c r="I107">
        <v>20</v>
      </c>
      <c r="J107" t="str">
        <f t="shared" si="6"/>
        <v>Smoker</v>
      </c>
      <c r="K107">
        <v>0</v>
      </c>
      <c r="L107">
        <v>0</v>
      </c>
      <c r="M107">
        <v>0</v>
      </c>
      <c r="N107">
        <v>0</v>
      </c>
      <c r="O107">
        <v>204</v>
      </c>
      <c r="P107" t="str">
        <f t="shared" si="7"/>
        <v>Normal</v>
      </c>
      <c r="Q107">
        <v>132.5</v>
      </c>
      <c r="R107">
        <v>82.5</v>
      </c>
      <c r="S107">
        <v>21.27</v>
      </c>
      <c r="T107" t="str">
        <f t="shared" si="8"/>
        <v>Normal</v>
      </c>
      <c r="U107">
        <v>70</v>
      </c>
      <c r="V107">
        <v>84</v>
      </c>
      <c r="W107" t="str">
        <f t="shared" si="11"/>
        <v>Normal</v>
      </c>
      <c r="X107">
        <v>0</v>
      </c>
    </row>
    <row r="108" spans="1:24" ht="14.5" thickBot="1" x14ac:dyDescent="0.35">
      <c r="A108">
        <v>0</v>
      </c>
      <c r="B108" t="str">
        <f t="shared" si="9"/>
        <v>Female</v>
      </c>
      <c r="C108" s="8">
        <v>36</v>
      </c>
      <c r="D108" t="str">
        <f t="shared" si="10"/>
        <v>Young</v>
      </c>
      <c r="E108">
        <v>3</v>
      </c>
      <c r="F108" t="str">
        <f>HLOOKUP(E108, LookUP_Table!$A$6:$D$7, 2, FALSE)</f>
        <v>Graduate</v>
      </c>
      <c r="G108" t="str">
        <f>IFERROR(VLOOKUP(E108, LookUP_Table!$A$1:$B$4, 2, FALSE), "")</f>
        <v>Graduate</v>
      </c>
      <c r="H108">
        <v>1</v>
      </c>
      <c r="I108">
        <v>5</v>
      </c>
      <c r="J108" t="str">
        <f t="shared" si="6"/>
        <v>Smoker</v>
      </c>
      <c r="K108">
        <v>0</v>
      </c>
      <c r="L108">
        <v>0</v>
      </c>
      <c r="M108">
        <v>0</v>
      </c>
      <c r="N108">
        <v>0</v>
      </c>
      <c r="O108">
        <v>200</v>
      </c>
      <c r="P108" t="str">
        <f t="shared" si="7"/>
        <v>Normal</v>
      </c>
      <c r="Q108">
        <v>121.5</v>
      </c>
      <c r="R108">
        <v>72.5</v>
      </c>
      <c r="S108">
        <v>23.09</v>
      </c>
      <c r="T108" t="str">
        <f t="shared" si="8"/>
        <v>Normal</v>
      </c>
      <c r="U108">
        <v>75</v>
      </c>
      <c r="V108">
        <v>75</v>
      </c>
      <c r="W108" t="str">
        <f t="shared" si="11"/>
        <v>Normal</v>
      </c>
      <c r="X108">
        <v>0</v>
      </c>
    </row>
    <row r="109" spans="1:24" ht="14.5" thickBot="1" x14ac:dyDescent="0.35">
      <c r="A109">
        <v>0</v>
      </c>
      <c r="B109" t="str">
        <f t="shared" si="9"/>
        <v>Female</v>
      </c>
      <c r="C109" s="8">
        <v>36</v>
      </c>
      <c r="D109" t="str">
        <f t="shared" si="10"/>
        <v>Young</v>
      </c>
      <c r="E109">
        <v>1</v>
      </c>
      <c r="F109" t="str">
        <f>HLOOKUP(E109, LookUP_Table!$A$6:$D$7, 2, FALSE)</f>
        <v>Primary</v>
      </c>
      <c r="G109" t="str">
        <f>IFERROR(VLOOKUP(E109, LookUP_Table!$A$1:$B$4, 2, FALSE), "")</f>
        <v>Primary</v>
      </c>
      <c r="H109">
        <v>0</v>
      </c>
      <c r="I109">
        <v>0</v>
      </c>
      <c r="J109" t="str">
        <f t="shared" si="6"/>
        <v>Non-Smoker</v>
      </c>
      <c r="K109">
        <v>0</v>
      </c>
      <c r="L109">
        <v>0</v>
      </c>
      <c r="M109">
        <v>0</v>
      </c>
      <c r="N109">
        <v>0</v>
      </c>
      <c r="O109">
        <v>165</v>
      </c>
      <c r="P109" t="str">
        <f t="shared" si="7"/>
        <v>Normal</v>
      </c>
      <c r="Q109">
        <v>115</v>
      </c>
      <c r="R109">
        <v>71</v>
      </c>
      <c r="S109">
        <v>21.27</v>
      </c>
      <c r="T109" t="str">
        <f t="shared" si="8"/>
        <v>Normal</v>
      </c>
      <c r="U109">
        <v>64</v>
      </c>
      <c r="V109">
        <v>86</v>
      </c>
      <c r="W109" t="str">
        <f t="shared" si="11"/>
        <v>Normal</v>
      </c>
      <c r="X109">
        <v>0</v>
      </c>
    </row>
    <row r="110" spans="1:24" ht="14.5" thickBot="1" x14ac:dyDescent="0.35">
      <c r="A110">
        <v>0</v>
      </c>
      <c r="B110" t="str">
        <f t="shared" si="9"/>
        <v>Female</v>
      </c>
      <c r="C110" s="8">
        <v>36</v>
      </c>
      <c r="D110" t="str">
        <f t="shared" si="10"/>
        <v>Young</v>
      </c>
      <c r="E110">
        <v>1</v>
      </c>
      <c r="F110" t="str">
        <f>HLOOKUP(E110, LookUP_Table!$A$6:$D$7, 2, FALSE)</f>
        <v>Primary</v>
      </c>
      <c r="G110" t="str">
        <f>IFERROR(VLOOKUP(E110, LookUP_Table!$A$1:$B$4, 2, FALSE), "")</f>
        <v>Primary</v>
      </c>
      <c r="H110">
        <v>1</v>
      </c>
      <c r="I110">
        <v>15</v>
      </c>
      <c r="J110" t="str">
        <f t="shared" si="6"/>
        <v>Smoker</v>
      </c>
      <c r="K110">
        <v>0</v>
      </c>
      <c r="L110">
        <v>0</v>
      </c>
      <c r="M110">
        <v>0</v>
      </c>
      <c r="N110">
        <v>0</v>
      </c>
      <c r="O110">
        <v>164</v>
      </c>
      <c r="P110" t="str">
        <f t="shared" si="7"/>
        <v>Normal</v>
      </c>
      <c r="Q110">
        <v>100</v>
      </c>
      <c r="R110">
        <v>64</v>
      </c>
      <c r="S110">
        <v>19.87</v>
      </c>
      <c r="T110" t="str">
        <f t="shared" si="8"/>
        <v>Normal</v>
      </c>
      <c r="U110">
        <v>85</v>
      </c>
      <c r="V110">
        <v>65</v>
      </c>
      <c r="W110" t="str">
        <f t="shared" si="11"/>
        <v>Normal</v>
      </c>
      <c r="X110">
        <v>0</v>
      </c>
    </row>
    <row r="111" spans="1:24" ht="14.5" thickBot="1" x14ac:dyDescent="0.35">
      <c r="A111">
        <v>0</v>
      </c>
      <c r="B111" t="str">
        <f t="shared" si="9"/>
        <v>Female</v>
      </c>
      <c r="C111" s="8">
        <v>36</v>
      </c>
      <c r="D111" t="str">
        <f t="shared" si="10"/>
        <v>Young</v>
      </c>
      <c r="E111">
        <v>2</v>
      </c>
      <c r="F111" t="str">
        <f>HLOOKUP(E111, LookUP_Table!$A$6:$D$7, 2, FALSE)</f>
        <v>Secondary</v>
      </c>
      <c r="G111" t="str">
        <f>IFERROR(VLOOKUP(E111, LookUP_Table!$A$1:$B$4, 2, FALSE), "")</f>
        <v>Secondary</v>
      </c>
      <c r="H111">
        <v>0</v>
      </c>
      <c r="I111">
        <v>0</v>
      </c>
      <c r="J111" t="str">
        <f t="shared" si="6"/>
        <v>Non-Smoker</v>
      </c>
      <c r="K111">
        <v>0</v>
      </c>
      <c r="L111">
        <v>0</v>
      </c>
      <c r="M111">
        <v>0</v>
      </c>
      <c r="N111">
        <v>0</v>
      </c>
      <c r="O111">
        <v>213</v>
      </c>
      <c r="P111" t="str">
        <f t="shared" si="7"/>
        <v>Normal</v>
      </c>
      <c r="Q111">
        <v>126</v>
      </c>
      <c r="R111">
        <v>80</v>
      </c>
      <c r="S111">
        <v>19.53</v>
      </c>
      <c r="T111" t="str">
        <f t="shared" si="8"/>
        <v>Normal</v>
      </c>
      <c r="U111">
        <v>95</v>
      </c>
      <c r="V111">
        <v>79</v>
      </c>
      <c r="W111" t="str">
        <f t="shared" si="11"/>
        <v>Normal</v>
      </c>
      <c r="X111">
        <v>0</v>
      </c>
    </row>
    <row r="112" spans="1:24" ht="14.5" thickBot="1" x14ac:dyDescent="0.35">
      <c r="A112">
        <v>1</v>
      </c>
      <c r="B112" t="str">
        <f t="shared" si="9"/>
        <v>Male</v>
      </c>
      <c r="C112" s="8">
        <v>36</v>
      </c>
      <c r="D112" t="str">
        <f t="shared" si="10"/>
        <v>Young</v>
      </c>
      <c r="E112">
        <v>1</v>
      </c>
      <c r="F112" t="str">
        <f>HLOOKUP(E112, LookUP_Table!$A$6:$D$7, 2, FALSE)</f>
        <v>Primary</v>
      </c>
      <c r="G112" t="str">
        <f>IFERROR(VLOOKUP(E112, LookUP_Table!$A$1:$B$4, 2, FALSE), "")</f>
        <v>Primary</v>
      </c>
      <c r="H112">
        <v>1</v>
      </c>
      <c r="I112">
        <v>15</v>
      </c>
      <c r="J112" t="str">
        <f t="shared" si="6"/>
        <v>Smoker</v>
      </c>
      <c r="K112">
        <v>0</v>
      </c>
      <c r="L112">
        <v>0</v>
      </c>
      <c r="M112">
        <v>0</v>
      </c>
      <c r="N112">
        <v>0</v>
      </c>
      <c r="O112">
        <v>300</v>
      </c>
      <c r="P112" t="str">
        <f t="shared" si="7"/>
        <v>High</v>
      </c>
      <c r="Q112">
        <v>102</v>
      </c>
      <c r="R112">
        <v>66.5</v>
      </c>
      <c r="S112">
        <v>25.68</v>
      </c>
      <c r="T112" t="str">
        <f t="shared" si="8"/>
        <v>Overweight</v>
      </c>
      <c r="U112">
        <v>100</v>
      </c>
      <c r="V112">
        <v>100</v>
      </c>
      <c r="W112" t="str">
        <f t="shared" si="11"/>
        <v>Prediabetes</v>
      </c>
      <c r="X112">
        <v>0</v>
      </c>
    </row>
    <row r="113" spans="1:24" ht="14.5" thickBot="1" x14ac:dyDescent="0.35">
      <c r="A113">
        <v>1</v>
      </c>
      <c r="B113" t="str">
        <f t="shared" si="9"/>
        <v>Male</v>
      </c>
      <c r="C113" s="8">
        <v>36</v>
      </c>
      <c r="D113" t="str">
        <f t="shared" si="10"/>
        <v>Young</v>
      </c>
      <c r="E113">
        <v>4</v>
      </c>
      <c r="F113" t="str">
        <f>HLOOKUP(E113, LookUP_Table!$A$6:$D$7, 2, FALSE)</f>
        <v>Post Graduate</v>
      </c>
      <c r="G113" t="str">
        <f>IFERROR(VLOOKUP(E113, LookUP_Table!$A$1:$B$4, 2, FALSE), "")</f>
        <v>Post Graduate</v>
      </c>
      <c r="H113">
        <v>1</v>
      </c>
      <c r="I113">
        <v>35</v>
      </c>
      <c r="J113" t="str">
        <f t="shared" si="6"/>
        <v>Smoker</v>
      </c>
      <c r="K113">
        <v>0</v>
      </c>
      <c r="L113">
        <v>0</v>
      </c>
      <c r="M113">
        <v>0</v>
      </c>
      <c r="N113">
        <v>0</v>
      </c>
      <c r="O113">
        <v>240</v>
      </c>
      <c r="P113" t="str">
        <f t="shared" si="7"/>
        <v>Normal</v>
      </c>
      <c r="Q113">
        <v>114</v>
      </c>
      <c r="R113">
        <v>76</v>
      </c>
      <c r="S113">
        <v>25.82</v>
      </c>
      <c r="T113" t="str">
        <f t="shared" si="8"/>
        <v>Overweight</v>
      </c>
      <c r="U113">
        <v>66</v>
      </c>
      <c r="V113">
        <v>81.96365524402907</v>
      </c>
      <c r="W113" t="str">
        <f t="shared" si="11"/>
        <v>Normal</v>
      </c>
      <c r="X113">
        <v>0</v>
      </c>
    </row>
    <row r="114" spans="1:24" ht="14.5" thickBot="1" x14ac:dyDescent="0.35">
      <c r="A114">
        <v>1</v>
      </c>
      <c r="B114" t="str">
        <f t="shared" si="9"/>
        <v>Male</v>
      </c>
      <c r="C114" s="8">
        <v>36</v>
      </c>
      <c r="D114" t="str">
        <f t="shared" si="10"/>
        <v>Young</v>
      </c>
      <c r="E114">
        <v>3</v>
      </c>
      <c r="F114" t="str">
        <f>HLOOKUP(E114, LookUP_Table!$A$6:$D$7, 2, FALSE)</f>
        <v>Graduate</v>
      </c>
      <c r="G114" t="str">
        <f>IFERROR(VLOOKUP(E114, LookUP_Table!$A$1:$B$4, 2, FALSE), "")</f>
        <v>Graduate</v>
      </c>
      <c r="H114">
        <v>1</v>
      </c>
      <c r="I114">
        <v>15</v>
      </c>
      <c r="J114" t="str">
        <f t="shared" si="6"/>
        <v>Smoker</v>
      </c>
      <c r="K114">
        <v>0</v>
      </c>
      <c r="L114">
        <v>0</v>
      </c>
      <c r="M114">
        <v>0</v>
      </c>
      <c r="N114">
        <v>0</v>
      </c>
      <c r="O114">
        <v>245</v>
      </c>
      <c r="P114" t="str">
        <f t="shared" si="7"/>
        <v>High</v>
      </c>
      <c r="Q114">
        <v>122</v>
      </c>
      <c r="R114">
        <v>74.5</v>
      </c>
      <c r="S114">
        <v>24.27</v>
      </c>
      <c r="T114" t="str">
        <f t="shared" si="8"/>
        <v>Normal</v>
      </c>
      <c r="U114">
        <v>79</v>
      </c>
      <c r="V114">
        <v>85</v>
      </c>
      <c r="W114" t="str">
        <f t="shared" si="11"/>
        <v>Normal</v>
      </c>
      <c r="X114">
        <v>0</v>
      </c>
    </row>
    <row r="115" spans="1:24" ht="14.5" thickBot="1" x14ac:dyDescent="0.35">
      <c r="A115">
        <v>1</v>
      </c>
      <c r="B115" t="str">
        <f t="shared" si="9"/>
        <v>Male</v>
      </c>
      <c r="C115" s="8">
        <v>36</v>
      </c>
      <c r="D115" t="str">
        <f t="shared" si="10"/>
        <v>Young</v>
      </c>
      <c r="E115">
        <v>2</v>
      </c>
      <c r="F115" t="str">
        <f>HLOOKUP(E115, LookUP_Table!$A$6:$D$7, 2, FALSE)</f>
        <v>Secondary</v>
      </c>
      <c r="G115" t="str">
        <f>IFERROR(VLOOKUP(E115, LookUP_Table!$A$1:$B$4, 2, FALSE), "")</f>
        <v>Secondary</v>
      </c>
      <c r="H115">
        <v>1</v>
      </c>
      <c r="I115">
        <v>25</v>
      </c>
      <c r="J115" t="str">
        <f t="shared" si="6"/>
        <v>Smoker</v>
      </c>
      <c r="K115">
        <v>0</v>
      </c>
      <c r="L115">
        <v>0</v>
      </c>
      <c r="M115">
        <v>0</v>
      </c>
      <c r="N115">
        <v>0</v>
      </c>
      <c r="O115">
        <v>210</v>
      </c>
      <c r="P115" t="str">
        <f t="shared" si="7"/>
        <v>Normal</v>
      </c>
      <c r="Q115">
        <v>117</v>
      </c>
      <c r="R115">
        <v>84</v>
      </c>
      <c r="S115">
        <v>28.35</v>
      </c>
      <c r="T115" t="str">
        <f t="shared" si="8"/>
        <v>Overweight</v>
      </c>
      <c r="U115">
        <v>75</v>
      </c>
      <c r="V115">
        <v>96</v>
      </c>
      <c r="W115" t="str">
        <f t="shared" si="11"/>
        <v>Normal</v>
      </c>
      <c r="X115">
        <v>0</v>
      </c>
    </row>
    <row r="116" spans="1:24" ht="14.5" thickBot="1" x14ac:dyDescent="0.35">
      <c r="A116">
        <v>0</v>
      </c>
      <c r="B116" t="str">
        <f t="shared" si="9"/>
        <v>Female</v>
      </c>
      <c r="C116" s="8">
        <v>36</v>
      </c>
      <c r="D116" t="str">
        <f t="shared" si="10"/>
        <v>Young</v>
      </c>
      <c r="E116">
        <v>3</v>
      </c>
      <c r="F116" t="str">
        <f>HLOOKUP(E116, LookUP_Table!$A$6:$D$7, 2, FALSE)</f>
        <v>Graduate</v>
      </c>
      <c r="G116" t="str">
        <f>IFERROR(VLOOKUP(E116, LookUP_Table!$A$1:$B$4, 2, FALSE), "")</f>
        <v>Graduate</v>
      </c>
      <c r="H116">
        <v>0</v>
      </c>
      <c r="I116">
        <v>0</v>
      </c>
      <c r="J116" t="str">
        <f t="shared" si="6"/>
        <v>Non-Smoker</v>
      </c>
      <c r="K116">
        <v>0</v>
      </c>
      <c r="L116">
        <v>0</v>
      </c>
      <c r="M116">
        <v>1</v>
      </c>
      <c r="N116">
        <v>0</v>
      </c>
      <c r="O116">
        <v>264</v>
      </c>
      <c r="P116" t="str">
        <f t="shared" si="7"/>
        <v>High</v>
      </c>
      <c r="Q116">
        <v>123</v>
      </c>
      <c r="R116">
        <v>94.5</v>
      </c>
      <c r="S116">
        <v>28.59</v>
      </c>
      <c r="T116" t="str">
        <f t="shared" si="8"/>
        <v>Overweight</v>
      </c>
      <c r="U116">
        <v>75</v>
      </c>
      <c r="V116">
        <v>70</v>
      </c>
      <c r="W116" t="str">
        <f t="shared" si="11"/>
        <v>Normal</v>
      </c>
      <c r="X116">
        <v>0</v>
      </c>
    </row>
    <row r="117" spans="1:24" ht="14.5" thickBot="1" x14ac:dyDescent="0.35">
      <c r="A117">
        <v>1</v>
      </c>
      <c r="B117" t="str">
        <f t="shared" si="9"/>
        <v>Male</v>
      </c>
      <c r="C117" s="8">
        <v>36</v>
      </c>
      <c r="D117" t="str">
        <f t="shared" si="10"/>
        <v>Young</v>
      </c>
      <c r="E117">
        <v>2</v>
      </c>
      <c r="F117" t="str">
        <f>HLOOKUP(E117, LookUP_Table!$A$6:$D$7, 2, FALSE)</f>
        <v>Secondary</v>
      </c>
      <c r="G117" t="str">
        <f>IFERROR(VLOOKUP(E117, LookUP_Table!$A$1:$B$4, 2, FALSE), "")</f>
        <v>Secondary</v>
      </c>
      <c r="H117">
        <v>1</v>
      </c>
      <c r="I117">
        <v>30</v>
      </c>
      <c r="J117" t="str">
        <f t="shared" si="6"/>
        <v>Smoker</v>
      </c>
      <c r="K117">
        <v>0</v>
      </c>
      <c r="L117">
        <v>0</v>
      </c>
      <c r="M117">
        <v>0</v>
      </c>
      <c r="N117">
        <v>0</v>
      </c>
      <c r="O117">
        <v>310</v>
      </c>
      <c r="P117" t="str">
        <f t="shared" si="7"/>
        <v>High</v>
      </c>
      <c r="Q117">
        <v>126</v>
      </c>
      <c r="R117">
        <v>87</v>
      </c>
      <c r="S117">
        <v>28.09</v>
      </c>
      <c r="T117" t="str">
        <f t="shared" si="8"/>
        <v>Overweight</v>
      </c>
      <c r="U117">
        <v>78</v>
      </c>
      <c r="V117">
        <v>78</v>
      </c>
      <c r="W117" t="str">
        <f t="shared" si="11"/>
        <v>Normal</v>
      </c>
      <c r="X117">
        <v>0</v>
      </c>
    </row>
    <row r="118" spans="1:24" ht="14.5" thickBot="1" x14ac:dyDescent="0.35">
      <c r="A118">
        <v>1</v>
      </c>
      <c r="B118" t="str">
        <f t="shared" si="9"/>
        <v>Male</v>
      </c>
      <c r="C118" s="8">
        <v>36</v>
      </c>
      <c r="D118" t="str">
        <f t="shared" si="10"/>
        <v>Young</v>
      </c>
      <c r="E118">
        <v>2</v>
      </c>
      <c r="F118" t="str">
        <f>HLOOKUP(E118, LookUP_Table!$A$6:$D$7, 2, FALSE)</f>
        <v>Secondary</v>
      </c>
      <c r="G118" t="str">
        <f>IFERROR(VLOOKUP(E118, LookUP_Table!$A$1:$B$4, 2, FALSE), "")</f>
        <v>Secondary</v>
      </c>
      <c r="H118">
        <v>0</v>
      </c>
      <c r="I118">
        <v>0</v>
      </c>
      <c r="J118" t="str">
        <f t="shared" si="6"/>
        <v>Non-Smoker</v>
      </c>
      <c r="K118">
        <v>0</v>
      </c>
      <c r="L118">
        <v>0</v>
      </c>
      <c r="M118">
        <v>0</v>
      </c>
      <c r="N118">
        <v>0</v>
      </c>
      <c r="O118">
        <v>186</v>
      </c>
      <c r="P118" t="str">
        <f t="shared" si="7"/>
        <v>Normal</v>
      </c>
      <c r="Q118">
        <v>121</v>
      </c>
      <c r="R118">
        <v>79.5</v>
      </c>
      <c r="S118">
        <v>27.08</v>
      </c>
      <c r="T118" t="str">
        <f t="shared" si="8"/>
        <v>Overweight</v>
      </c>
      <c r="U118">
        <v>56</v>
      </c>
      <c r="V118">
        <v>65</v>
      </c>
      <c r="W118" t="str">
        <f t="shared" si="11"/>
        <v>Normal</v>
      </c>
      <c r="X118">
        <v>0</v>
      </c>
    </row>
    <row r="119" spans="1:24" ht="14.5" thickBot="1" x14ac:dyDescent="0.35">
      <c r="A119">
        <v>0</v>
      </c>
      <c r="B119" t="str">
        <f t="shared" si="9"/>
        <v>Female</v>
      </c>
      <c r="C119" s="8">
        <v>36</v>
      </c>
      <c r="D119" t="str">
        <f t="shared" si="10"/>
        <v>Young</v>
      </c>
      <c r="E119">
        <v>1</v>
      </c>
      <c r="F119" t="str">
        <f>HLOOKUP(E119, LookUP_Table!$A$6:$D$7, 2, FALSE)</f>
        <v>Primary</v>
      </c>
      <c r="G119" t="str">
        <f>IFERROR(VLOOKUP(E119, LookUP_Table!$A$1:$B$4, 2, FALSE), "")</f>
        <v>Primary</v>
      </c>
      <c r="H119">
        <v>0</v>
      </c>
      <c r="I119">
        <v>0</v>
      </c>
      <c r="J119" t="str">
        <f t="shared" si="6"/>
        <v>Non-Smoker</v>
      </c>
      <c r="K119">
        <v>0</v>
      </c>
      <c r="L119">
        <v>0</v>
      </c>
      <c r="M119">
        <v>0</v>
      </c>
      <c r="N119">
        <v>0</v>
      </c>
      <c r="O119">
        <v>200</v>
      </c>
      <c r="P119" t="str">
        <f t="shared" si="7"/>
        <v>Normal</v>
      </c>
      <c r="Q119">
        <v>108</v>
      </c>
      <c r="R119">
        <v>62</v>
      </c>
      <c r="S119">
        <v>20.79</v>
      </c>
      <c r="T119" t="str">
        <f t="shared" si="8"/>
        <v>Normal</v>
      </c>
      <c r="U119">
        <v>75</v>
      </c>
      <c r="V119">
        <v>69</v>
      </c>
      <c r="W119" t="str">
        <f t="shared" si="11"/>
        <v>Normal</v>
      </c>
      <c r="X119">
        <v>0</v>
      </c>
    </row>
    <row r="120" spans="1:24" ht="14.5" thickBot="1" x14ac:dyDescent="0.35">
      <c r="A120">
        <v>0</v>
      </c>
      <c r="B120" t="str">
        <f t="shared" si="9"/>
        <v>Female</v>
      </c>
      <c r="C120" s="8">
        <v>36</v>
      </c>
      <c r="D120" t="str">
        <f t="shared" si="10"/>
        <v>Young</v>
      </c>
      <c r="E120">
        <v>1</v>
      </c>
      <c r="F120" t="str">
        <f>HLOOKUP(E120, LookUP_Table!$A$6:$D$7, 2, FALSE)</f>
        <v>Primary</v>
      </c>
      <c r="G120" t="str">
        <f>IFERROR(VLOOKUP(E120, LookUP_Table!$A$1:$B$4, 2, FALSE), "")</f>
        <v>Primary</v>
      </c>
      <c r="H120">
        <v>0</v>
      </c>
      <c r="I120">
        <v>0</v>
      </c>
      <c r="J120" t="str">
        <f t="shared" si="6"/>
        <v>Non-Smoker</v>
      </c>
      <c r="K120">
        <v>0</v>
      </c>
      <c r="L120">
        <v>0</v>
      </c>
      <c r="M120">
        <v>0</v>
      </c>
      <c r="N120">
        <v>0</v>
      </c>
      <c r="O120">
        <v>180</v>
      </c>
      <c r="P120" t="str">
        <f t="shared" si="7"/>
        <v>Normal</v>
      </c>
      <c r="Q120">
        <v>116</v>
      </c>
      <c r="R120">
        <v>85.5</v>
      </c>
      <c r="S120">
        <v>26.32</v>
      </c>
      <c r="T120" t="str">
        <f t="shared" si="8"/>
        <v>Overweight</v>
      </c>
      <c r="U120">
        <v>95</v>
      </c>
      <c r="V120">
        <v>81</v>
      </c>
      <c r="W120" t="str">
        <f t="shared" si="11"/>
        <v>Normal</v>
      </c>
      <c r="X120">
        <v>0</v>
      </c>
    </row>
    <row r="121" spans="1:24" ht="14.5" thickBot="1" x14ac:dyDescent="0.35">
      <c r="A121">
        <v>1</v>
      </c>
      <c r="B121" t="str">
        <f t="shared" si="9"/>
        <v>Male</v>
      </c>
      <c r="C121" s="8">
        <v>36</v>
      </c>
      <c r="D121" t="str">
        <f t="shared" si="10"/>
        <v>Young</v>
      </c>
      <c r="E121">
        <v>2</v>
      </c>
      <c r="F121" t="str">
        <f>HLOOKUP(E121, LookUP_Table!$A$6:$D$7, 2, FALSE)</f>
        <v>Secondary</v>
      </c>
      <c r="G121" t="str">
        <f>IFERROR(VLOOKUP(E121, LookUP_Table!$A$1:$B$4, 2, FALSE), "")</f>
        <v>Secondary</v>
      </c>
      <c r="H121">
        <v>0</v>
      </c>
      <c r="I121">
        <v>0</v>
      </c>
      <c r="J121" t="str">
        <f t="shared" si="6"/>
        <v>Non-Smoker</v>
      </c>
      <c r="K121">
        <v>0</v>
      </c>
      <c r="L121">
        <v>0</v>
      </c>
      <c r="M121">
        <v>1</v>
      </c>
      <c r="N121">
        <v>0</v>
      </c>
      <c r="O121">
        <v>183</v>
      </c>
      <c r="P121" t="str">
        <f t="shared" si="7"/>
        <v>Normal</v>
      </c>
      <c r="Q121">
        <v>140</v>
      </c>
      <c r="R121">
        <v>85</v>
      </c>
      <c r="S121">
        <v>24.39</v>
      </c>
      <c r="T121" t="str">
        <f t="shared" si="8"/>
        <v>Normal</v>
      </c>
      <c r="U121">
        <v>67</v>
      </c>
      <c r="V121">
        <v>84</v>
      </c>
      <c r="W121" t="str">
        <f t="shared" si="11"/>
        <v>Normal</v>
      </c>
      <c r="X121">
        <v>0</v>
      </c>
    </row>
    <row r="122" spans="1:24" ht="14.5" thickBot="1" x14ac:dyDescent="0.35">
      <c r="A122">
        <v>1</v>
      </c>
      <c r="B122" t="str">
        <f t="shared" si="9"/>
        <v>Male</v>
      </c>
      <c r="C122" s="8">
        <v>36</v>
      </c>
      <c r="D122" t="str">
        <f t="shared" si="10"/>
        <v>Young</v>
      </c>
      <c r="E122">
        <v>4</v>
      </c>
      <c r="F122" t="str">
        <f>HLOOKUP(E122, LookUP_Table!$A$6:$D$7, 2, FALSE)</f>
        <v>Post Graduate</v>
      </c>
      <c r="G122" t="str">
        <f>IFERROR(VLOOKUP(E122, LookUP_Table!$A$1:$B$4, 2, FALSE), "")</f>
        <v>Post Graduate</v>
      </c>
      <c r="H122">
        <v>1</v>
      </c>
      <c r="I122">
        <v>20</v>
      </c>
      <c r="J122" t="str">
        <f t="shared" si="6"/>
        <v>Smoker</v>
      </c>
      <c r="K122">
        <v>0</v>
      </c>
      <c r="L122">
        <v>0</v>
      </c>
      <c r="M122">
        <v>0</v>
      </c>
      <c r="N122">
        <v>0</v>
      </c>
      <c r="O122">
        <v>155</v>
      </c>
      <c r="P122" t="str">
        <f t="shared" si="7"/>
        <v>Normal</v>
      </c>
      <c r="Q122">
        <v>127.5</v>
      </c>
      <c r="R122">
        <v>77.5</v>
      </c>
      <c r="S122">
        <v>30.2</v>
      </c>
      <c r="T122" t="str">
        <f t="shared" si="8"/>
        <v>Obese</v>
      </c>
      <c r="U122">
        <v>56</v>
      </c>
      <c r="V122">
        <v>61</v>
      </c>
      <c r="W122" t="str">
        <f t="shared" si="11"/>
        <v>Normal</v>
      </c>
      <c r="X122">
        <v>0</v>
      </c>
    </row>
    <row r="123" spans="1:24" ht="14.5" thickBot="1" x14ac:dyDescent="0.35">
      <c r="A123">
        <v>0</v>
      </c>
      <c r="B123" t="str">
        <f t="shared" si="9"/>
        <v>Female</v>
      </c>
      <c r="C123" s="8">
        <v>36</v>
      </c>
      <c r="D123" t="str">
        <f t="shared" si="10"/>
        <v>Young</v>
      </c>
      <c r="E123">
        <v>1</v>
      </c>
      <c r="F123" t="str">
        <f>HLOOKUP(E123, LookUP_Table!$A$6:$D$7, 2, FALSE)</f>
        <v>Primary</v>
      </c>
      <c r="G123" t="str">
        <f>IFERROR(VLOOKUP(E123, LookUP_Table!$A$1:$B$4, 2, FALSE), "")</f>
        <v>Primary</v>
      </c>
      <c r="H123">
        <v>0</v>
      </c>
      <c r="I123">
        <v>0</v>
      </c>
      <c r="J123" t="str">
        <f t="shared" si="6"/>
        <v>Non-Smoker</v>
      </c>
      <c r="K123">
        <v>0</v>
      </c>
      <c r="L123">
        <v>0</v>
      </c>
      <c r="M123">
        <v>0</v>
      </c>
      <c r="N123">
        <v>0</v>
      </c>
      <c r="O123">
        <v>211</v>
      </c>
      <c r="P123" t="str">
        <f t="shared" si="7"/>
        <v>Normal</v>
      </c>
      <c r="Q123">
        <v>100</v>
      </c>
      <c r="R123">
        <v>61.5</v>
      </c>
      <c r="S123">
        <v>22.19</v>
      </c>
      <c r="T123" t="str">
        <f t="shared" si="8"/>
        <v>Normal</v>
      </c>
      <c r="U123">
        <v>60</v>
      </c>
      <c r="V123">
        <v>73</v>
      </c>
      <c r="W123" t="str">
        <f t="shared" si="11"/>
        <v>Normal</v>
      </c>
      <c r="X123">
        <v>0</v>
      </c>
    </row>
    <row r="124" spans="1:24" ht="14.5" thickBot="1" x14ac:dyDescent="0.35">
      <c r="A124">
        <v>1</v>
      </c>
      <c r="B124" t="str">
        <f t="shared" si="9"/>
        <v>Male</v>
      </c>
      <c r="C124" s="8">
        <v>36</v>
      </c>
      <c r="D124" t="str">
        <f t="shared" si="10"/>
        <v>Young</v>
      </c>
      <c r="E124">
        <v>2</v>
      </c>
      <c r="F124" t="str">
        <f>HLOOKUP(E124, LookUP_Table!$A$6:$D$7, 2, FALSE)</f>
        <v>Secondary</v>
      </c>
      <c r="G124" t="str">
        <f>IFERROR(VLOOKUP(E124, LookUP_Table!$A$1:$B$4, 2, FALSE), "")</f>
        <v>Secondary</v>
      </c>
      <c r="H124">
        <v>0</v>
      </c>
      <c r="I124">
        <v>0</v>
      </c>
      <c r="J124" t="str">
        <f t="shared" si="6"/>
        <v>Non-Smoker</v>
      </c>
      <c r="K124">
        <v>0</v>
      </c>
      <c r="L124">
        <v>0</v>
      </c>
      <c r="M124">
        <v>0</v>
      </c>
      <c r="N124">
        <v>0</v>
      </c>
      <c r="O124">
        <v>176</v>
      </c>
      <c r="P124" t="str">
        <f t="shared" si="7"/>
        <v>Normal</v>
      </c>
      <c r="Q124">
        <v>125</v>
      </c>
      <c r="R124">
        <v>85</v>
      </c>
      <c r="S124">
        <v>25.88</v>
      </c>
      <c r="T124" t="str">
        <f t="shared" si="8"/>
        <v>Overweight</v>
      </c>
      <c r="U124">
        <v>70</v>
      </c>
      <c r="V124">
        <v>83</v>
      </c>
      <c r="W124" t="str">
        <f t="shared" si="11"/>
        <v>Normal</v>
      </c>
      <c r="X124">
        <v>0</v>
      </c>
    </row>
    <row r="125" spans="1:24" ht="14.5" thickBot="1" x14ac:dyDescent="0.35">
      <c r="A125">
        <v>0</v>
      </c>
      <c r="B125" t="str">
        <f t="shared" si="9"/>
        <v>Female</v>
      </c>
      <c r="C125" s="8">
        <v>36</v>
      </c>
      <c r="D125" t="str">
        <f t="shared" si="10"/>
        <v>Young</v>
      </c>
      <c r="E125">
        <v>2</v>
      </c>
      <c r="F125" t="str">
        <f>HLOOKUP(E125, LookUP_Table!$A$6:$D$7, 2, FALSE)</f>
        <v>Secondary</v>
      </c>
      <c r="G125" t="str">
        <f>IFERROR(VLOOKUP(E125, LookUP_Table!$A$1:$B$4, 2, FALSE), "")</f>
        <v>Secondary</v>
      </c>
      <c r="H125">
        <v>1</v>
      </c>
      <c r="I125">
        <v>15</v>
      </c>
      <c r="J125" t="str">
        <f t="shared" si="6"/>
        <v>Smoker</v>
      </c>
      <c r="K125">
        <v>0</v>
      </c>
      <c r="L125">
        <v>0</v>
      </c>
      <c r="M125">
        <v>0</v>
      </c>
      <c r="N125">
        <v>0</v>
      </c>
      <c r="O125">
        <v>204</v>
      </c>
      <c r="P125" t="str">
        <f t="shared" si="7"/>
        <v>Normal</v>
      </c>
      <c r="Q125">
        <v>112</v>
      </c>
      <c r="R125">
        <v>78</v>
      </c>
      <c r="S125">
        <v>28.74</v>
      </c>
      <c r="T125" t="str">
        <f t="shared" si="8"/>
        <v>Overweight</v>
      </c>
      <c r="U125">
        <v>85</v>
      </c>
      <c r="V125">
        <v>82</v>
      </c>
      <c r="W125" t="str">
        <f t="shared" si="11"/>
        <v>Normal</v>
      </c>
      <c r="X125">
        <v>0</v>
      </c>
    </row>
    <row r="126" spans="1:24" ht="14.5" thickBot="1" x14ac:dyDescent="0.35">
      <c r="A126">
        <v>0</v>
      </c>
      <c r="B126" t="str">
        <f t="shared" si="9"/>
        <v>Female</v>
      </c>
      <c r="C126" s="8">
        <v>36</v>
      </c>
      <c r="D126" t="str">
        <f t="shared" si="10"/>
        <v>Young</v>
      </c>
      <c r="E126">
        <v>3</v>
      </c>
      <c r="F126" t="str">
        <f>HLOOKUP(E126, LookUP_Table!$A$6:$D$7, 2, FALSE)</f>
        <v>Graduate</v>
      </c>
      <c r="G126" t="str">
        <f>IFERROR(VLOOKUP(E126, LookUP_Table!$A$1:$B$4, 2, FALSE), "")</f>
        <v>Graduate</v>
      </c>
      <c r="H126">
        <v>1</v>
      </c>
      <c r="I126">
        <v>20</v>
      </c>
      <c r="J126" t="str">
        <f t="shared" si="6"/>
        <v>Smoker</v>
      </c>
      <c r="K126">
        <v>0</v>
      </c>
      <c r="L126">
        <v>0</v>
      </c>
      <c r="M126">
        <v>0</v>
      </c>
      <c r="N126">
        <v>0</v>
      </c>
      <c r="O126">
        <v>214</v>
      </c>
      <c r="P126" t="str">
        <f t="shared" si="7"/>
        <v>Normal</v>
      </c>
      <c r="Q126">
        <v>107.5</v>
      </c>
      <c r="R126">
        <v>66</v>
      </c>
      <c r="S126">
        <v>22.02</v>
      </c>
      <c r="T126" t="str">
        <f t="shared" si="8"/>
        <v>Normal</v>
      </c>
      <c r="U126">
        <v>80</v>
      </c>
      <c r="V126">
        <v>103</v>
      </c>
      <c r="W126" t="str">
        <f t="shared" si="11"/>
        <v>Prediabetes</v>
      </c>
      <c r="X126">
        <v>0</v>
      </c>
    </row>
    <row r="127" spans="1:24" ht="14.5" thickBot="1" x14ac:dyDescent="0.35">
      <c r="A127">
        <v>1</v>
      </c>
      <c r="B127" t="str">
        <f t="shared" si="9"/>
        <v>Male</v>
      </c>
      <c r="C127" s="8">
        <v>36</v>
      </c>
      <c r="D127" t="str">
        <f t="shared" si="10"/>
        <v>Young</v>
      </c>
      <c r="E127">
        <v>1</v>
      </c>
      <c r="F127" t="str">
        <f>HLOOKUP(E127, LookUP_Table!$A$6:$D$7, 2, FALSE)</f>
        <v>Primary</v>
      </c>
      <c r="G127" t="str">
        <f>IFERROR(VLOOKUP(E127, LookUP_Table!$A$1:$B$4, 2, FALSE), "")</f>
        <v>Primary</v>
      </c>
      <c r="H127">
        <v>1</v>
      </c>
      <c r="I127">
        <v>20</v>
      </c>
      <c r="J127" t="str">
        <f t="shared" si="6"/>
        <v>Smoker</v>
      </c>
      <c r="K127">
        <v>0</v>
      </c>
      <c r="L127">
        <v>0</v>
      </c>
      <c r="M127">
        <v>0</v>
      </c>
      <c r="N127">
        <v>0</v>
      </c>
      <c r="O127">
        <v>242</v>
      </c>
      <c r="P127" t="str">
        <f t="shared" si="7"/>
        <v>High</v>
      </c>
      <c r="Q127">
        <v>115</v>
      </c>
      <c r="R127">
        <v>75</v>
      </c>
      <c r="S127">
        <v>25.64</v>
      </c>
      <c r="T127" t="str">
        <f t="shared" si="8"/>
        <v>Overweight</v>
      </c>
      <c r="U127">
        <v>83</v>
      </c>
      <c r="V127">
        <v>83</v>
      </c>
      <c r="W127" t="str">
        <f t="shared" si="11"/>
        <v>Normal</v>
      </c>
      <c r="X127">
        <v>0</v>
      </c>
    </row>
    <row r="128" spans="1:24" ht="14.5" thickBot="1" x14ac:dyDescent="0.35">
      <c r="A128">
        <v>0</v>
      </c>
      <c r="B128" t="str">
        <f t="shared" si="9"/>
        <v>Female</v>
      </c>
      <c r="C128" s="8">
        <v>36</v>
      </c>
      <c r="D128" t="str">
        <f t="shared" si="10"/>
        <v>Young</v>
      </c>
      <c r="E128">
        <v>2</v>
      </c>
      <c r="F128" t="str">
        <f>HLOOKUP(E128, LookUP_Table!$A$6:$D$7, 2, FALSE)</f>
        <v>Secondary</v>
      </c>
      <c r="G128" t="str">
        <f>IFERROR(VLOOKUP(E128, LookUP_Table!$A$1:$B$4, 2, FALSE), "")</f>
        <v>Secondary</v>
      </c>
      <c r="H128">
        <v>1</v>
      </c>
      <c r="I128">
        <v>20</v>
      </c>
      <c r="J128" t="str">
        <f t="shared" si="6"/>
        <v>Smoker</v>
      </c>
      <c r="K128">
        <v>0</v>
      </c>
      <c r="L128">
        <v>0</v>
      </c>
      <c r="M128">
        <v>0</v>
      </c>
      <c r="N128">
        <v>0</v>
      </c>
      <c r="O128">
        <v>177</v>
      </c>
      <c r="P128" t="str">
        <f t="shared" si="7"/>
        <v>Normal</v>
      </c>
      <c r="Q128">
        <v>115</v>
      </c>
      <c r="R128">
        <v>63.5</v>
      </c>
      <c r="S128">
        <v>22.54</v>
      </c>
      <c r="T128" t="str">
        <f t="shared" si="8"/>
        <v>Normal</v>
      </c>
      <c r="U128">
        <v>71</v>
      </c>
      <c r="V128">
        <v>73</v>
      </c>
      <c r="W128" t="str">
        <f t="shared" si="11"/>
        <v>Normal</v>
      </c>
      <c r="X128">
        <v>0</v>
      </c>
    </row>
    <row r="129" spans="1:24" ht="14.5" thickBot="1" x14ac:dyDescent="0.35">
      <c r="A129">
        <v>0</v>
      </c>
      <c r="B129" t="str">
        <f t="shared" si="9"/>
        <v>Female</v>
      </c>
      <c r="C129" s="8">
        <v>36</v>
      </c>
      <c r="D129" t="str">
        <f t="shared" si="10"/>
        <v>Young</v>
      </c>
      <c r="E129">
        <v>3</v>
      </c>
      <c r="F129" t="str">
        <f>HLOOKUP(E129, LookUP_Table!$A$6:$D$7, 2, FALSE)</f>
        <v>Graduate</v>
      </c>
      <c r="G129" t="str">
        <f>IFERROR(VLOOKUP(E129, LookUP_Table!$A$1:$B$4, 2, FALSE), "")</f>
        <v>Graduate</v>
      </c>
      <c r="H129">
        <v>1</v>
      </c>
      <c r="I129">
        <v>15</v>
      </c>
      <c r="J129" t="str">
        <f t="shared" si="6"/>
        <v>Smoker</v>
      </c>
      <c r="K129">
        <v>0</v>
      </c>
      <c r="L129">
        <v>0</v>
      </c>
      <c r="M129">
        <v>0</v>
      </c>
      <c r="N129">
        <v>0</v>
      </c>
      <c r="O129">
        <v>180</v>
      </c>
      <c r="P129" t="str">
        <f t="shared" si="7"/>
        <v>Normal</v>
      </c>
      <c r="Q129">
        <v>105</v>
      </c>
      <c r="R129">
        <v>60</v>
      </c>
      <c r="S129">
        <v>25.97</v>
      </c>
      <c r="T129" t="str">
        <f t="shared" si="8"/>
        <v>Overweight</v>
      </c>
      <c r="U129">
        <v>102</v>
      </c>
      <c r="V129">
        <v>81.96365524402907</v>
      </c>
      <c r="W129" t="str">
        <f t="shared" si="11"/>
        <v>Normal</v>
      </c>
      <c r="X129">
        <v>0</v>
      </c>
    </row>
    <row r="130" spans="1:24" ht="14.5" thickBot="1" x14ac:dyDescent="0.35">
      <c r="A130">
        <v>0</v>
      </c>
      <c r="B130" t="str">
        <f t="shared" si="9"/>
        <v>Female</v>
      </c>
      <c r="C130" s="8">
        <v>36</v>
      </c>
      <c r="D130" t="str">
        <f t="shared" si="10"/>
        <v>Young</v>
      </c>
      <c r="E130">
        <v>2</v>
      </c>
      <c r="F130" t="str">
        <f>HLOOKUP(E130, LookUP_Table!$A$6:$D$7, 2, FALSE)</f>
        <v>Secondary</v>
      </c>
      <c r="G130" t="str">
        <f>IFERROR(VLOOKUP(E130, LookUP_Table!$A$1:$B$4, 2, FALSE), "")</f>
        <v>Secondary</v>
      </c>
      <c r="H130">
        <v>1</v>
      </c>
      <c r="I130">
        <v>43</v>
      </c>
      <c r="J130" t="str">
        <f t="shared" ref="J130:J193" si="12">IF(I130&gt;0,"Smoker","Non-Smoker")</f>
        <v>Smoker</v>
      </c>
      <c r="K130">
        <v>0</v>
      </c>
      <c r="L130">
        <v>0</v>
      </c>
      <c r="M130">
        <v>0</v>
      </c>
      <c r="N130">
        <v>0</v>
      </c>
      <c r="O130">
        <v>201</v>
      </c>
      <c r="P130" t="str">
        <f t="shared" ref="P130:P193" si="13">IF(O130&gt;240,"High","Normal")</f>
        <v>Normal</v>
      </c>
      <c r="Q130">
        <v>124</v>
      </c>
      <c r="R130">
        <v>73</v>
      </c>
      <c r="S130">
        <v>25.25</v>
      </c>
      <c r="T130" t="str">
        <f t="shared" ref="T130:T193" si="14">IF(S130&lt;18.5,"Underweight",
IF(S130&lt;25,"Normal",
IF(S130&lt;30,"Overweight","Obese")))</f>
        <v>Overweight</v>
      </c>
      <c r="U130">
        <v>95</v>
      </c>
      <c r="V130">
        <v>100</v>
      </c>
      <c r="W130" t="str">
        <f t="shared" si="11"/>
        <v>Prediabetes</v>
      </c>
      <c r="X130">
        <v>0</v>
      </c>
    </row>
    <row r="131" spans="1:24" ht="14.5" thickBot="1" x14ac:dyDescent="0.35">
      <c r="A131">
        <v>0</v>
      </c>
      <c r="B131" t="str">
        <f t="shared" ref="B131:B194" si="15">IF(A131=0,"Female","Male")</f>
        <v>Female</v>
      </c>
      <c r="C131" s="8">
        <v>36</v>
      </c>
      <c r="D131" t="str">
        <f t="shared" ref="D131:D194" si="16">IF(C131&lt;40,"Young",
IF(C131&lt;55,"Middle Age","Senior"))</f>
        <v>Young</v>
      </c>
      <c r="E131">
        <v>2</v>
      </c>
      <c r="F131" t="str">
        <f>HLOOKUP(E131, LookUP_Table!$A$6:$D$7, 2, FALSE)</f>
        <v>Secondary</v>
      </c>
      <c r="G131" t="str">
        <f>IFERROR(VLOOKUP(E131, LookUP_Table!$A$1:$B$4, 2, FALSE), "")</f>
        <v>Secondary</v>
      </c>
      <c r="H131">
        <v>0</v>
      </c>
      <c r="I131">
        <v>0</v>
      </c>
      <c r="J131" t="str">
        <f t="shared" si="12"/>
        <v>Non-Smoker</v>
      </c>
      <c r="K131">
        <v>0</v>
      </c>
      <c r="L131">
        <v>0</v>
      </c>
      <c r="M131">
        <v>0</v>
      </c>
      <c r="N131">
        <v>0</v>
      </c>
      <c r="O131">
        <v>203</v>
      </c>
      <c r="P131" t="str">
        <f t="shared" si="13"/>
        <v>Normal</v>
      </c>
      <c r="Q131">
        <v>112.5</v>
      </c>
      <c r="R131">
        <v>73.5</v>
      </c>
      <c r="S131">
        <v>24.47</v>
      </c>
      <c r="T131" t="str">
        <f t="shared" si="14"/>
        <v>Normal</v>
      </c>
      <c r="U131">
        <v>70</v>
      </c>
      <c r="V131">
        <v>73</v>
      </c>
      <c r="W131" t="str">
        <f t="shared" ref="W131:W194" si="17">IF(V131 &lt; 100, "Normal", IF(V131 &lt;= 125, "Prediabetes", "Diabetes"))</f>
        <v>Normal</v>
      </c>
      <c r="X131">
        <v>0</v>
      </c>
    </row>
    <row r="132" spans="1:24" ht="14.5" thickBot="1" x14ac:dyDescent="0.35">
      <c r="A132">
        <v>1</v>
      </c>
      <c r="B132" t="str">
        <f t="shared" si="15"/>
        <v>Male</v>
      </c>
      <c r="C132" s="8">
        <v>36</v>
      </c>
      <c r="D132" t="str">
        <f t="shared" si="16"/>
        <v>Young</v>
      </c>
      <c r="E132">
        <v>1</v>
      </c>
      <c r="F132" t="str">
        <f>HLOOKUP(E132, LookUP_Table!$A$6:$D$7, 2, FALSE)</f>
        <v>Primary</v>
      </c>
      <c r="G132" t="str">
        <f>IFERROR(VLOOKUP(E132, LookUP_Table!$A$1:$B$4, 2, FALSE), "")</f>
        <v>Primary</v>
      </c>
      <c r="H132">
        <v>1</v>
      </c>
      <c r="I132">
        <v>20</v>
      </c>
      <c r="J132" t="str">
        <f t="shared" si="12"/>
        <v>Smoker</v>
      </c>
      <c r="K132">
        <v>0</v>
      </c>
      <c r="L132">
        <v>0</v>
      </c>
      <c r="M132">
        <v>0</v>
      </c>
      <c r="N132">
        <v>0</v>
      </c>
      <c r="O132">
        <v>252</v>
      </c>
      <c r="P132" t="str">
        <f t="shared" si="13"/>
        <v>High</v>
      </c>
      <c r="Q132">
        <v>126</v>
      </c>
      <c r="R132">
        <v>77</v>
      </c>
      <c r="S132">
        <v>25.23</v>
      </c>
      <c r="T132" t="str">
        <f t="shared" si="14"/>
        <v>Overweight</v>
      </c>
      <c r="U132">
        <v>75</v>
      </c>
      <c r="V132">
        <v>63</v>
      </c>
      <c r="W132" t="str">
        <f t="shared" si="17"/>
        <v>Normal</v>
      </c>
      <c r="X132">
        <v>0</v>
      </c>
    </row>
    <row r="133" spans="1:24" ht="14.5" thickBot="1" x14ac:dyDescent="0.35">
      <c r="A133">
        <v>1</v>
      </c>
      <c r="B133" t="str">
        <f t="shared" si="15"/>
        <v>Male</v>
      </c>
      <c r="C133" s="8">
        <v>36</v>
      </c>
      <c r="D133" t="str">
        <f t="shared" si="16"/>
        <v>Young</v>
      </c>
      <c r="E133">
        <v>4</v>
      </c>
      <c r="F133" t="str">
        <f>HLOOKUP(E133, LookUP_Table!$A$6:$D$7, 2, FALSE)</f>
        <v>Post Graduate</v>
      </c>
      <c r="G133" t="str">
        <f>IFERROR(VLOOKUP(E133, LookUP_Table!$A$1:$B$4, 2, FALSE), "")</f>
        <v>Post Graduate</v>
      </c>
      <c r="H133">
        <v>1</v>
      </c>
      <c r="I133">
        <v>40</v>
      </c>
      <c r="J133" t="str">
        <f t="shared" si="12"/>
        <v>Smoker</v>
      </c>
      <c r="K133">
        <v>0</v>
      </c>
      <c r="L133">
        <v>0</v>
      </c>
      <c r="M133">
        <v>0</v>
      </c>
      <c r="N133">
        <v>0</v>
      </c>
      <c r="O133">
        <v>200</v>
      </c>
      <c r="P133" t="str">
        <f t="shared" si="13"/>
        <v>Normal</v>
      </c>
      <c r="Q133">
        <v>103</v>
      </c>
      <c r="R133">
        <v>67.5</v>
      </c>
      <c r="S133">
        <v>30.82</v>
      </c>
      <c r="T133" t="str">
        <f t="shared" si="14"/>
        <v>Obese</v>
      </c>
      <c r="U133">
        <v>67</v>
      </c>
      <c r="V133">
        <v>72</v>
      </c>
      <c r="W133" t="str">
        <f t="shared" si="17"/>
        <v>Normal</v>
      </c>
      <c r="X133">
        <v>0</v>
      </c>
    </row>
    <row r="134" spans="1:24" ht="14.5" thickBot="1" x14ac:dyDescent="0.35">
      <c r="A134">
        <v>1</v>
      </c>
      <c r="B134" t="str">
        <f t="shared" si="15"/>
        <v>Male</v>
      </c>
      <c r="C134" s="8">
        <v>36</v>
      </c>
      <c r="D134" t="str">
        <f t="shared" si="16"/>
        <v>Young</v>
      </c>
      <c r="E134">
        <v>2</v>
      </c>
      <c r="F134" t="str">
        <f>HLOOKUP(E134, LookUP_Table!$A$6:$D$7, 2, FALSE)</f>
        <v>Secondary</v>
      </c>
      <c r="G134" t="str">
        <f>IFERROR(VLOOKUP(E134, LookUP_Table!$A$1:$B$4, 2, FALSE), "")</f>
        <v>Secondary</v>
      </c>
      <c r="H134">
        <v>0</v>
      </c>
      <c r="I134">
        <v>0</v>
      </c>
      <c r="J134" t="str">
        <f t="shared" si="12"/>
        <v>Non-Smoker</v>
      </c>
      <c r="K134">
        <v>0</v>
      </c>
      <c r="L134">
        <v>0</v>
      </c>
      <c r="M134">
        <v>0</v>
      </c>
      <c r="N134">
        <v>0</v>
      </c>
      <c r="O134">
        <v>163</v>
      </c>
      <c r="P134" t="str">
        <f t="shared" si="13"/>
        <v>Normal</v>
      </c>
      <c r="Q134">
        <v>111</v>
      </c>
      <c r="R134">
        <v>73</v>
      </c>
      <c r="S134">
        <v>30.18</v>
      </c>
      <c r="T134" t="str">
        <f t="shared" si="14"/>
        <v>Obese</v>
      </c>
      <c r="U134">
        <v>70</v>
      </c>
      <c r="V134">
        <v>90</v>
      </c>
      <c r="W134" t="str">
        <f t="shared" si="17"/>
        <v>Normal</v>
      </c>
      <c r="X134">
        <v>0</v>
      </c>
    </row>
    <row r="135" spans="1:24" ht="14.5" thickBot="1" x14ac:dyDescent="0.35">
      <c r="A135">
        <v>0</v>
      </c>
      <c r="B135" t="str">
        <f t="shared" si="15"/>
        <v>Female</v>
      </c>
      <c r="C135" s="8">
        <v>36</v>
      </c>
      <c r="D135" t="str">
        <f t="shared" si="16"/>
        <v>Young</v>
      </c>
      <c r="E135">
        <v>2</v>
      </c>
      <c r="F135" t="str">
        <f>HLOOKUP(E135, LookUP_Table!$A$6:$D$7, 2, FALSE)</f>
        <v>Secondary</v>
      </c>
      <c r="G135" t="str">
        <f>IFERROR(VLOOKUP(E135, LookUP_Table!$A$1:$B$4, 2, FALSE), "")</f>
        <v>Secondary</v>
      </c>
      <c r="H135">
        <v>0</v>
      </c>
      <c r="I135">
        <v>0</v>
      </c>
      <c r="J135" t="str">
        <f t="shared" si="12"/>
        <v>Non-Smoker</v>
      </c>
      <c r="K135">
        <v>0</v>
      </c>
      <c r="L135">
        <v>0</v>
      </c>
      <c r="M135">
        <v>0</v>
      </c>
      <c r="N135">
        <v>0</v>
      </c>
      <c r="O135">
        <v>209</v>
      </c>
      <c r="P135" t="str">
        <f t="shared" si="13"/>
        <v>Normal</v>
      </c>
      <c r="Q135">
        <v>107</v>
      </c>
      <c r="R135">
        <v>73.5</v>
      </c>
      <c r="S135">
        <v>21.59</v>
      </c>
      <c r="T135" t="str">
        <f t="shared" si="14"/>
        <v>Normal</v>
      </c>
      <c r="U135">
        <v>75</v>
      </c>
      <c r="V135">
        <v>73</v>
      </c>
      <c r="W135" t="str">
        <f t="shared" si="17"/>
        <v>Normal</v>
      </c>
      <c r="X135">
        <v>0</v>
      </c>
    </row>
    <row r="136" spans="1:24" ht="14.5" thickBot="1" x14ac:dyDescent="0.35">
      <c r="A136">
        <v>0</v>
      </c>
      <c r="B136" t="str">
        <f t="shared" si="15"/>
        <v>Female</v>
      </c>
      <c r="C136" s="8">
        <v>36</v>
      </c>
      <c r="D136" t="str">
        <f t="shared" si="16"/>
        <v>Young</v>
      </c>
      <c r="E136">
        <v>1</v>
      </c>
      <c r="F136" t="str">
        <f>HLOOKUP(E136, LookUP_Table!$A$6:$D$7, 2, FALSE)</f>
        <v>Primary</v>
      </c>
      <c r="G136" t="str">
        <f>IFERROR(VLOOKUP(E136, LookUP_Table!$A$1:$B$4, 2, FALSE), "")</f>
        <v>Primary</v>
      </c>
      <c r="H136">
        <v>1</v>
      </c>
      <c r="I136">
        <v>5</v>
      </c>
      <c r="J136" t="str">
        <f t="shared" si="12"/>
        <v>Smoker</v>
      </c>
      <c r="K136">
        <v>0</v>
      </c>
      <c r="L136">
        <v>0</v>
      </c>
      <c r="M136">
        <v>0</v>
      </c>
      <c r="N136">
        <v>0</v>
      </c>
      <c r="O136">
        <v>195</v>
      </c>
      <c r="P136" t="str">
        <f t="shared" si="13"/>
        <v>Normal</v>
      </c>
      <c r="Q136">
        <v>109</v>
      </c>
      <c r="R136">
        <v>69</v>
      </c>
      <c r="S136">
        <v>23.24</v>
      </c>
      <c r="T136" t="str">
        <f t="shared" si="14"/>
        <v>Normal</v>
      </c>
      <c r="U136">
        <v>70</v>
      </c>
      <c r="V136">
        <v>70</v>
      </c>
      <c r="W136" t="str">
        <f t="shared" si="17"/>
        <v>Normal</v>
      </c>
      <c r="X136">
        <v>0</v>
      </c>
    </row>
    <row r="137" spans="1:24" ht="14.5" thickBot="1" x14ac:dyDescent="0.35">
      <c r="A137">
        <v>1</v>
      </c>
      <c r="B137" t="str">
        <f t="shared" si="15"/>
        <v>Male</v>
      </c>
      <c r="C137" s="8">
        <v>36</v>
      </c>
      <c r="D137" t="str">
        <f t="shared" si="16"/>
        <v>Young</v>
      </c>
      <c r="E137">
        <v>2</v>
      </c>
      <c r="F137" t="str">
        <f>HLOOKUP(E137, LookUP_Table!$A$6:$D$7, 2, FALSE)</f>
        <v>Secondary</v>
      </c>
      <c r="G137" t="str">
        <f>IFERROR(VLOOKUP(E137, LookUP_Table!$A$1:$B$4, 2, FALSE), "")</f>
        <v>Secondary</v>
      </c>
      <c r="H137">
        <v>1</v>
      </c>
      <c r="I137">
        <v>20</v>
      </c>
      <c r="J137" t="str">
        <f t="shared" si="12"/>
        <v>Smoker</v>
      </c>
      <c r="K137">
        <v>0</v>
      </c>
      <c r="L137">
        <v>0</v>
      </c>
      <c r="M137">
        <v>0</v>
      </c>
      <c r="N137">
        <v>0</v>
      </c>
      <c r="O137">
        <v>226</v>
      </c>
      <c r="P137" t="str">
        <f t="shared" si="13"/>
        <v>Normal</v>
      </c>
      <c r="Q137">
        <v>124.5</v>
      </c>
      <c r="R137">
        <v>84.5</v>
      </c>
      <c r="S137">
        <v>21.63</v>
      </c>
      <c r="T137" t="str">
        <f t="shared" si="14"/>
        <v>Normal</v>
      </c>
      <c r="U137">
        <v>68</v>
      </c>
      <c r="V137">
        <v>74</v>
      </c>
      <c r="W137" t="str">
        <f t="shared" si="17"/>
        <v>Normal</v>
      </c>
      <c r="X137">
        <v>0</v>
      </c>
    </row>
    <row r="138" spans="1:24" ht="14.5" thickBot="1" x14ac:dyDescent="0.35">
      <c r="A138">
        <v>1</v>
      </c>
      <c r="B138" t="str">
        <f t="shared" si="15"/>
        <v>Male</v>
      </c>
      <c r="C138" s="8">
        <v>36</v>
      </c>
      <c r="D138" t="str">
        <f t="shared" si="16"/>
        <v>Young</v>
      </c>
      <c r="E138">
        <v>2</v>
      </c>
      <c r="F138" t="str">
        <f>HLOOKUP(E138, LookUP_Table!$A$6:$D$7, 2, FALSE)</f>
        <v>Secondary</v>
      </c>
      <c r="G138" t="str">
        <f>IFERROR(VLOOKUP(E138, LookUP_Table!$A$1:$B$4, 2, FALSE), "")</f>
        <v>Secondary</v>
      </c>
      <c r="H138">
        <v>1</v>
      </c>
      <c r="I138">
        <v>25</v>
      </c>
      <c r="J138" t="str">
        <f t="shared" si="12"/>
        <v>Smoker</v>
      </c>
      <c r="K138">
        <v>0</v>
      </c>
      <c r="L138">
        <v>0</v>
      </c>
      <c r="M138">
        <v>0</v>
      </c>
      <c r="N138">
        <v>0</v>
      </c>
      <c r="O138">
        <v>215</v>
      </c>
      <c r="P138" t="str">
        <f t="shared" si="13"/>
        <v>Normal</v>
      </c>
      <c r="Q138">
        <v>110</v>
      </c>
      <c r="R138">
        <v>67</v>
      </c>
      <c r="S138">
        <v>23.1</v>
      </c>
      <c r="T138" t="str">
        <f t="shared" si="14"/>
        <v>Normal</v>
      </c>
      <c r="U138">
        <v>63</v>
      </c>
      <c r="V138">
        <v>84</v>
      </c>
      <c r="W138" t="str">
        <f t="shared" si="17"/>
        <v>Normal</v>
      </c>
      <c r="X138">
        <v>0</v>
      </c>
    </row>
    <row r="139" spans="1:24" ht="14.5" thickBot="1" x14ac:dyDescent="0.35">
      <c r="A139">
        <v>1</v>
      </c>
      <c r="B139" t="str">
        <f t="shared" si="15"/>
        <v>Male</v>
      </c>
      <c r="C139" s="8">
        <v>36</v>
      </c>
      <c r="D139" t="str">
        <f t="shared" si="16"/>
        <v>Young</v>
      </c>
      <c r="E139">
        <v>1</v>
      </c>
      <c r="F139" t="str">
        <f>HLOOKUP(E139, LookUP_Table!$A$6:$D$7, 2, FALSE)</f>
        <v>Primary</v>
      </c>
      <c r="G139" t="str">
        <f>IFERROR(VLOOKUP(E139, LookUP_Table!$A$1:$B$4, 2, FALSE), "")</f>
        <v>Primary</v>
      </c>
      <c r="H139">
        <v>0</v>
      </c>
      <c r="I139">
        <v>0</v>
      </c>
      <c r="J139" t="str">
        <f t="shared" si="12"/>
        <v>Non-Smoker</v>
      </c>
      <c r="K139">
        <v>0</v>
      </c>
      <c r="L139">
        <v>0</v>
      </c>
      <c r="M139">
        <v>0</v>
      </c>
      <c r="N139">
        <v>0</v>
      </c>
      <c r="O139">
        <v>233</v>
      </c>
      <c r="P139" t="str">
        <f t="shared" si="13"/>
        <v>Normal</v>
      </c>
      <c r="Q139">
        <v>128</v>
      </c>
      <c r="R139">
        <v>86.5</v>
      </c>
      <c r="S139">
        <v>35.31</v>
      </c>
      <c r="T139" t="str">
        <f t="shared" si="14"/>
        <v>Obese</v>
      </c>
      <c r="U139">
        <v>83</v>
      </c>
      <c r="V139">
        <v>76</v>
      </c>
      <c r="W139" t="str">
        <f t="shared" si="17"/>
        <v>Normal</v>
      </c>
      <c r="X139">
        <v>0</v>
      </c>
    </row>
    <row r="140" spans="1:24" ht="14.5" thickBot="1" x14ac:dyDescent="0.35">
      <c r="A140">
        <v>1</v>
      </c>
      <c r="B140" t="str">
        <f t="shared" si="15"/>
        <v>Male</v>
      </c>
      <c r="C140" s="8">
        <v>36</v>
      </c>
      <c r="D140" t="str">
        <f t="shared" si="16"/>
        <v>Young</v>
      </c>
      <c r="E140">
        <v>1</v>
      </c>
      <c r="F140" t="str">
        <f>HLOOKUP(E140, LookUP_Table!$A$6:$D$7, 2, FALSE)</f>
        <v>Primary</v>
      </c>
      <c r="G140" t="str">
        <f>IFERROR(VLOOKUP(E140, LookUP_Table!$A$1:$B$4, 2, FALSE), "")</f>
        <v>Primary</v>
      </c>
      <c r="H140">
        <v>1</v>
      </c>
      <c r="I140">
        <v>20</v>
      </c>
      <c r="J140" t="str">
        <f t="shared" si="12"/>
        <v>Smoker</v>
      </c>
      <c r="K140">
        <v>0</v>
      </c>
      <c r="L140">
        <v>0</v>
      </c>
      <c r="M140">
        <v>0</v>
      </c>
      <c r="N140">
        <v>0</v>
      </c>
      <c r="O140">
        <v>203</v>
      </c>
      <c r="P140" t="str">
        <f t="shared" si="13"/>
        <v>Normal</v>
      </c>
      <c r="Q140">
        <v>101.5</v>
      </c>
      <c r="R140">
        <v>67</v>
      </c>
      <c r="S140">
        <v>24.43</v>
      </c>
      <c r="T140" t="str">
        <f t="shared" si="14"/>
        <v>Normal</v>
      </c>
      <c r="U140">
        <v>65</v>
      </c>
      <c r="V140">
        <v>74</v>
      </c>
      <c r="W140" t="str">
        <f t="shared" si="17"/>
        <v>Normal</v>
      </c>
      <c r="X140">
        <v>0</v>
      </c>
    </row>
    <row r="141" spans="1:24" ht="14.5" thickBot="1" x14ac:dyDescent="0.35">
      <c r="A141">
        <v>0</v>
      </c>
      <c r="B141" t="str">
        <f t="shared" si="15"/>
        <v>Female</v>
      </c>
      <c r="C141" s="8">
        <v>36</v>
      </c>
      <c r="D141" t="str">
        <f t="shared" si="16"/>
        <v>Young</v>
      </c>
      <c r="E141">
        <v>1</v>
      </c>
      <c r="F141" t="str">
        <f>HLOOKUP(E141, LookUP_Table!$A$6:$D$7, 2, FALSE)</f>
        <v>Primary</v>
      </c>
      <c r="G141" t="str">
        <f>IFERROR(VLOOKUP(E141, LookUP_Table!$A$1:$B$4, 2, FALSE), "")</f>
        <v>Primary</v>
      </c>
      <c r="H141">
        <v>1</v>
      </c>
      <c r="I141">
        <v>5</v>
      </c>
      <c r="J141" t="str">
        <f t="shared" si="12"/>
        <v>Smoker</v>
      </c>
      <c r="K141">
        <v>0</v>
      </c>
      <c r="L141">
        <v>0</v>
      </c>
      <c r="M141">
        <v>0</v>
      </c>
      <c r="N141">
        <v>0</v>
      </c>
      <c r="O141">
        <v>180</v>
      </c>
      <c r="P141" t="str">
        <f t="shared" si="13"/>
        <v>Normal</v>
      </c>
      <c r="Q141">
        <v>118</v>
      </c>
      <c r="R141">
        <v>80</v>
      </c>
      <c r="S141">
        <v>29.59</v>
      </c>
      <c r="T141" t="str">
        <f t="shared" si="14"/>
        <v>Overweight</v>
      </c>
      <c r="U141">
        <v>75</v>
      </c>
      <c r="V141">
        <v>84</v>
      </c>
      <c r="W141" t="str">
        <f t="shared" si="17"/>
        <v>Normal</v>
      </c>
      <c r="X141">
        <v>0</v>
      </c>
    </row>
    <row r="142" spans="1:24" ht="14.5" thickBot="1" x14ac:dyDescent="0.35">
      <c r="A142">
        <v>0</v>
      </c>
      <c r="B142" t="str">
        <f t="shared" si="15"/>
        <v>Female</v>
      </c>
      <c r="C142" s="8">
        <v>36</v>
      </c>
      <c r="D142" t="str">
        <f t="shared" si="16"/>
        <v>Young</v>
      </c>
      <c r="E142">
        <v>1</v>
      </c>
      <c r="F142" t="str">
        <f>HLOOKUP(E142, LookUP_Table!$A$6:$D$7, 2, FALSE)</f>
        <v>Primary</v>
      </c>
      <c r="G142" t="str">
        <f>IFERROR(VLOOKUP(E142, LookUP_Table!$A$1:$B$4, 2, FALSE), "")</f>
        <v>Primary</v>
      </c>
      <c r="H142">
        <v>1</v>
      </c>
      <c r="I142">
        <v>5</v>
      </c>
      <c r="J142" t="str">
        <f t="shared" si="12"/>
        <v>Smoker</v>
      </c>
      <c r="K142">
        <v>0</v>
      </c>
      <c r="L142">
        <v>0</v>
      </c>
      <c r="M142">
        <v>1</v>
      </c>
      <c r="N142">
        <v>0</v>
      </c>
      <c r="O142">
        <v>222</v>
      </c>
      <c r="P142" t="str">
        <f t="shared" si="13"/>
        <v>Normal</v>
      </c>
      <c r="Q142">
        <v>147</v>
      </c>
      <c r="R142">
        <v>94</v>
      </c>
      <c r="S142">
        <v>26.79</v>
      </c>
      <c r="T142" t="str">
        <f t="shared" si="14"/>
        <v>Overweight</v>
      </c>
      <c r="U142">
        <v>76</v>
      </c>
      <c r="V142">
        <v>71</v>
      </c>
      <c r="W142" t="str">
        <f t="shared" si="17"/>
        <v>Normal</v>
      </c>
      <c r="X142">
        <v>0</v>
      </c>
    </row>
    <row r="143" spans="1:24" ht="14.5" thickBot="1" x14ac:dyDescent="0.35">
      <c r="A143">
        <v>1</v>
      </c>
      <c r="B143" t="str">
        <f t="shared" si="15"/>
        <v>Male</v>
      </c>
      <c r="C143" s="8">
        <v>36</v>
      </c>
      <c r="D143" t="str">
        <f t="shared" si="16"/>
        <v>Young</v>
      </c>
      <c r="E143">
        <v>2</v>
      </c>
      <c r="F143" t="str">
        <f>HLOOKUP(E143, LookUP_Table!$A$6:$D$7, 2, FALSE)</f>
        <v>Secondary</v>
      </c>
      <c r="G143" t="str">
        <f>IFERROR(VLOOKUP(E143, LookUP_Table!$A$1:$B$4, 2, FALSE), "")</f>
        <v>Secondary</v>
      </c>
      <c r="H143">
        <v>0</v>
      </c>
      <c r="I143">
        <v>0</v>
      </c>
      <c r="J143" t="str">
        <f t="shared" si="12"/>
        <v>Non-Smoker</v>
      </c>
      <c r="K143">
        <v>0</v>
      </c>
      <c r="L143">
        <v>0</v>
      </c>
      <c r="M143">
        <v>0</v>
      </c>
      <c r="N143">
        <v>0</v>
      </c>
      <c r="O143">
        <v>197</v>
      </c>
      <c r="P143" t="str">
        <f t="shared" si="13"/>
        <v>Normal</v>
      </c>
      <c r="Q143">
        <v>115</v>
      </c>
      <c r="R143">
        <v>65</v>
      </c>
      <c r="S143">
        <v>20.420000000000002</v>
      </c>
      <c r="T143" t="str">
        <f t="shared" si="14"/>
        <v>Normal</v>
      </c>
      <c r="U143">
        <v>68</v>
      </c>
      <c r="V143">
        <v>77</v>
      </c>
      <c r="W143" t="str">
        <f t="shared" si="17"/>
        <v>Normal</v>
      </c>
      <c r="X143">
        <v>0</v>
      </c>
    </row>
    <row r="144" spans="1:24" ht="14.5" thickBot="1" x14ac:dyDescent="0.35">
      <c r="A144">
        <v>0</v>
      </c>
      <c r="B144" t="str">
        <f t="shared" si="15"/>
        <v>Female</v>
      </c>
      <c r="C144" s="8">
        <v>36</v>
      </c>
      <c r="D144" t="str">
        <f t="shared" si="16"/>
        <v>Young</v>
      </c>
      <c r="E144">
        <v>3</v>
      </c>
      <c r="F144" t="str">
        <f>HLOOKUP(E144, LookUP_Table!$A$6:$D$7, 2, FALSE)</f>
        <v>Graduate</v>
      </c>
      <c r="G144" t="str">
        <f>IFERROR(VLOOKUP(E144, LookUP_Table!$A$1:$B$4, 2, FALSE), "")</f>
        <v>Graduate</v>
      </c>
      <c r="H144">
        <v>1</v>
      </c>
      <c r="I144">
        <v>15</v>
      </c>
      <c r="J144" t="str">
        <f t="shared" si="12"/>
        <v>Smoker</v>
      </c>
      <c r="K144">
        <v>0</v>
      </c>
      <c r="L144">
        <v>0</v>
      </c>
      <c r="M144">
        <v>0</v>
      </c>
      <c r="N144">
        <v>0</v>
      </c>
      <c r="O144">
        <v>202</v>
      </c>
      <c r="P144" t="str">
        <f t="shared" si="13"/>
        <v>Normal</v>
      </c>
      <c r="Q144">
        <v>105.5</v>
      </c>
      <c r="R144">
        <v>67</v>
      </c>
      <c r="S144">
        <v>22.66</v>
      </c>
      <c r="T144" t="str">
        <f t="shared" si="14"/>
        <v>Normal</v>
      </c>
      <c r="U144">
        <v>90</v>
      </c>
      <c r="V144">
        <v>63</v>
      </c>
      <c r="W144" t="str">
        <f t="shared" si="17"/>
        <v>Normal</v>
      </c>
      <c r="X144">
        <v>0</v>
      </c>
    </row>
    <row r="145" spans="1:24" ht="14.5" thickBot="1" x14ac:dyDescent="0.35">
      <c r="A145">
        <v>0</v>
      </c>
      <c r="B145" t="str">
        <f t="shared" si="15"/>
        <v>Female</v>
      </c>
      <c r="C145" s="8">
        <v>36</v>
      </c>
      <c r="D145" t="str">
        <f t="shared" si="16"/>
        <v>Young</v>
      </c>
      <c r="E145">
        <v>3</v>
      </c>
      <c r="F145" t="str">
        <f>HLOOKUP(E145, LookUP_Table!$A$6:$D$7, 2, FALSE)</f>
        <v>Graduate</v>
      </c>
      <c r="G145" t="str">
        <f>IFERROR(VLOOKUP(E145, LookUP_Table!$A$1:$B$4, 2, FALSE), "")</f>
        <v>Graduate</v>
      </c>
      <c r="H145">
        <v>0</v>
      </c>
      <c r="I145">
        <v>0</v>
      </c>
      <c r="J145" t="str">
        <f t="shared" si="12"/>
        <v>Non-Smoker</v>
      </c>
      <c r="K145">
        <v>0</v>
      </c>
      <c r="L145">
        <v>0</v>
      </c>
      <c r="M145">
        <v>0</v>
      </c>
      <c r="N145">
        <v>0</v>
      </c>
      <c r="O145">
        <v>188</v>
      </c>
      <c r="P145" t="str">
        <f t="shared" si="13"/>
        <v>Normal</v>
      </c>
      <c r="Q145">
        <v>112</v>
      </c>
      <c r="R145">
        <v>78</v>
      </c>
      <c r="S145">
        <v>22.54</v>
      </c>
      <c r="T145" t="str">
        <f t="shared" si="14"/>
        <v>Normal</v>
      </c>
      <c r="U145">
        <v>63</v>
      </c>
      <c r="V145">
        <v>73</v>
      </c>
      <c r="W145" t="str">
        <f t="shared" si="17"/>
        <v>Normal</v>
      </c>
      <c r="X145">
        <v>0</v>
      </c>
    </row>
    <row r="146" spans="1:24" ht="14.5" thickBot="1" x14ac:dyDescent="0.35">
      <c r="A146">
        <v>0</v>
      </c>
      <c r="B146" t="str">
        <f t="shared" si="15"/>
        <v>Female</v>
      </c>
      <c r="C146" s="8">
        <v>36</v>
      </c>
      <c r="D146" t="str">
        <f t="shared" si="16"/>
        <v>Young</v>
      </c>
      <c r="E146">
        <v>4</v>
      </c>
      <c r="F146" t="str">
        <f>HLOOKUP(E146, LookUP_Table!$A$6:$D$7, 2, FALSE)</f>
        <v>Post Graduate</v>
      </c>
      <c r="G146" t="str">
        <f>IFERROR(VLOOKUP(E146, LookUP_Table!$A$1:$B$4, 2, FALSE), "")</f>
        <v>Post Graduate</v>
      </c>
      <c r="H146">
        <v>1</v>
      </c>
      <c r="I146">
        <v>9</v>
      </c>
      <c r="J146" t="str">
        <f t="shared" si="12"/>
        <v>Smoker</v>
      </c>
      <c r="K146">
        <v>0</v>
      </c>
      <c r="L146">
        <v>0</v>
      </c>
      <c r="M146">
        <v>0</v>
      </c>
      <c r="N146">
        <v>0</v>
      </c>
      <c r="O146">
        <v>212</v>
      </c>
      <c r="P146" t="str">
        <f t="shared" si="13"/>
        <v>Normal</v>
      </c>
      <c r="Q146">
        <v>127</v>
      </c>
      <c r="R146">
        <v>83</v>
      </c>
      <c r="S146">
        <v>26.82</v>
      </c>
      <c r="T146" t="str">
        <f t="shared" si="14"/>
        <v>Overweight</v>
      </c>
      <c r="U146">
        <v>75</v>
      </c>
      <c r="V146">
        <v>75</v>
      </c>
      <c r="W146" t="str">
        <f t="shared" si="17"/>
        <v>Normal</v>
      </c>
      <c r="X146">
        <v>0</v>
      </c>
    </row>
    <row r="147" spans="1:24" ht="14.5" thickBot="1" x14ac:dyDescent="0.35">
      <c r="A147">
        <v>1</v>
      </c>
      <c r="B147" t="str">
        <f t="shared" si="15"/>
        <v>Male</v>
      </c>
      <c r="C147" s="8">
        <v>36</v>
      </c>
      <c r="D147" t="str">
        <f t="shared" si="16"/>
        <v>Young</v>
      </c>
      <c r="E147">
        <v>2</v>
      </c>
      <c r="F147" t="str">
        <f>HLOOKUP(E147, LookUP_Table!$A$6:$D$7, 2, FALSE)</f>
        <v>Secondary</v>
      </c>
      <c r="G147" t="str">
        <f>IFERROR(VLOOKUP(E147, LookUP_Table!$A$1:$B$4, 2, FALSE), "")</f>
        <v>Secondary</v>
      </c>
      <c r="H147">
        <v>0</v>
      </c>
      <c r="I147">
        <v>0</v>
      </c>
      <c r="J147" t="str">
        <f t="shared" si="12"/>
        <v>Non-Smoker</v>
      </c>
      <c r="K147">
        <v>0</v>
      </c>
      <c r="L147">
        <v>0</v>
      </c>
      <c r="M147">
        <v>0</v>
      </c>
      <c r="N147">
        <v>0</v>
      </c>
      <c r="O147">
        <v>230</v>
      </c>
      <c r="P147" t="str">
        <f t="shared" si="13"/>
        <v>Normal</v>
      </c>
      <c r="Q147">
        <v>122</v>
      </c>
      <c r="R147">
        <v>78</v>
      </c>
      <c r="S147">
        <v>26.53</v>
      </c>
      <c r="T147" t="str">
        <f t="shared" si="14"/>
        <v>Overweight</v>
      </c>
      <c r="U147">
        <v>45</v>
      </c>
      <c r="V147">
        <v>78</v>
      </c>
      <c r="W147" t="str">
        <f t="shared" si="17"/>
        <v>Normal</v>
      </c>
      <c r="X147">
        <v>0</v>
      </c>
    </row>
    <row r="148" spans="1:24" ht="14.5" thickBot="1" x14ac:dyDescent="0.35">
      <c r="A148">
        <v>0</v>
      </c>
      <c r="B148" t="str">
        <f t="shared" si="15"/>
        <v>Female</v>
      </c>
      <c r="C148" s="8">
        <v>36</v>
      </c>
      <c r="D148" t="str">
        <f t="shared" si="16"/>
        <v>Young</v>
      </c>
      <c r="E148">
        <v>2</v>
      </c>
      <c r="F148" t="str">
        <f>HLOOKUP(E148, LookUP_Table!$A$6:$D$7, 2, FALSE)</f>
        <v>Secondary</v>
      </c>
      <c r="G148" t="str">
        <f>IFERROR(VLOOKUP(E148, LookUP_Table!$A$1:$B$4, 2, FALSE), "")</f>
        <v>Secondary</v>
      </c>
      <c r="H148">
        <v>1</v>
      </c>
      <c r="I148">
        <v>25</v>
      </c>
      <c r="J148" t="str">
        <f t="shared" si="12"/>
        <v>Smoker</v>
      </c>
      <c r="K148">
        <v>0</v>
      </c>
      <c r="L148">
        <v>0</v>
      </c>
      <c r="M148">
        <v>0</v>
      </c>
      <c r="N148">
        <v>0</v>
      </c>
      <c r="O148">
        <v>190</v>
      </c>
      <c r="P148" t="str">
        <f t="shared" si="13"/>
        <v>Normal</v>
      </c>
      <c r="Q148">
        <v>122</v>
      </c>
      <c r="R148">
        <v>83</v>
      </c>
      <c r="S148">
        <v>23.07</v>
      </c>
      <c r="T148" t="str">
        <f t="shared" si="14"/>
        <v>Normal</v>
      </c>
      <c r="U148">
        <v>85</v>
      </c>
      <c r="V148">
        <v>81.96365524402907</v>
      </c>
      <c r="W148" t="str">
        <f t="shared" si="17"/>
        <v>Normal</v>
      </c>
      <c r="X148">
        <v>0</v>
      </c>
    </row>
    <row r="149" spans="1:24" ht="14.5" thickBot="1" x14ac:dyDescent="0.35">
      <c r="A149">
        <v>1</v>
      </c>
      <c r="B149" t="str">
        <f t="shared" si="15"/>
        <v>Male</v>
      </c>
      <c r="C149" s="8">
        <v>36</v>
      </c>
      <c r="D149" t="str">
        <f t="shared" si="16"/>
        <v>Young</v>
      </c>
      <c r="E149">
        <v>2</v>
      </c>
      <c r="F149" t="str">
        <f>HLOOKUP(E149, LookUP_Table!$A$6:$D$7, 2, FALSE)</f>
        <v>Secondary</v>
      </c>
      <c r="G149" t="str">
        <f>IFERROR(VLOOKUP(E149, LookUP_Table!$A$1:$B$4, 2, FALSE), "")</f>
        <v>Secondary</v>
      </c>
      <c r="H149">
        <v>0</v>
      </c>
      <c r="I149">
        <v>0</v>
      </c>
      <c r="J149" t="str">
        <f t="shared" si="12"/>
        <v>Non-Smoker</v>
      </c>
      <c r="K149">
        <v>0</v>
      </c>
      <c r="L149">
        <v>0</v>
      </c>
      <c r="M149">
        <v>1</v>
      </c>
      <c r="N149">
        <v>0</v>
      </c>
      <c r="O149">
        <v>153</v>
      </c>
      <c r="P149" t="str">
        <f t="shared" si="13"/>
        <v>Normal</v>
      </c>
      <c r="Q149">
        <v>143</v>
      </c>
      <c r="R149">
        <v>87</v>
      </c>
      <c r="S149">
        <v>28.3</v>
      </c>
      <c r="T149" t="str">
        <f t="shared" si="14"/>
        <v>Overweight</v>
      </c>
      <c r="U149">
        <v>63</v>
      </c>
      <c r="V149">
        <v>82</v>
      </c>
      <c r="W149" t="str">
        <f t="shared" si="17"/>
        <v>Normal</v>
      </c>
      <c r="X149">
        <v>0</v>
      </c>
    </row>
    <row r="150" spans="1:24" ht="14.5" thickBot="1" x14ac:dyDescent="0.35">
      <c r="A150">
        <v>0</v>
      </c>
      <c r="B150" t="str">
        <f t="shared" si="15"/>
        <v>Female</v>
      </c>
      <c r="C150" s="8">
        <v>36</v>
      </c>
      <c r="D150" t="str">
        <f t="shared" si="16"/>
        <v>Young</v>
      </c>
      <c r="E150">
        <v>1</v>
      </c>
      <c r="F150" t="str">
        <f>HLOOKUP(E150, LookUP_Table!$A$6:$D$7, 2, FALSE)</f>
        <v>Primary</v>
      </c>
      <c r="G150" t="str">
        <f>IFERROR(VLOOKUP(E150, LookUP_Table!$A$1:$B$4, 2, FALSE), "")</f>
        <v>Primary</v>
      </c>
      <c r="H150">
        <v>0</v>
      </c>
      <c r="I150">
        <v>0</v>
      </c>
      <c r="J150" t="str">
        <f t="shared" si="12"/>
        <v>Non-Smoker</v>
      </c>
      <c r="K150">
        <v>0</v>
      </c>
      <c r="L150">
        <v>0</v>
      </c>
      <c r="M150">
        <v>0</v>
      </c>
      <c r="N150">
        <v>0</v>
      </c>
      <c r="O150">
        <v>195</v>
      </c>
      <c r="P150" t="str">
        <f t="shared" si="13"/>
        <v>Normal</v>
      </c>
      <c r="Q150">
        <v>116</v>
      </c>
      <c r="R150">
        <v>76</v>
      </c>
      <c r="S150">
        <v>22.16</v>
      </c>
      <c r="T150" t="str">
        <f t="shared" si="14"/>
        <v>Normal</v>
      </c>
      <c r="U150">
        <v>88</v>
      </c>
      <c r="V150">
        <v>77</v>
      </c>
      <c r="W150" t="str">
        <f t="shared" si="17"/>
        <v>Normal</v>
      </c>
      <c r="X150">
        <v>0</v>
      </c>
    </row>
    <row r="151" spans="1:24" ht="14.5" thickBot="1" x14ac:dyDescent="0.35">
      <c r="A151">
        <v>0</v>
      </c>
      <c r="B151" t="str">
        <f t="shared" si="15"/>
        <v>Female</v>
      </c>
      <c r="C151" s="8">
        <v>36</v>
      </c>
      <c r="D151" t="str">
        <f t="shared" si="16"/>
        <v>Young</v>
      </c>
      <c r="E151">
        <v>2</v>
      </c>
      <c r="F151" t="str">
        <f>HLOOKUP(E151, LookUP_Table!$A$6:$D$7, 2, FALSE)</f>
        <v>Secondary</v>
      </c>
      <c r="G151" t="str">
        <f>IFERROR(VLOOKUP(E151, LookUP_Table!$A$1:$B$4, 2, FALSE), "")</f>
        <v>Secondary</v>
      </c>
      <c r="H151">
        <v>1</v>
      </c>
      <c r="I151">
        <v>15</v>
      </c>
      <c r="J151" t="str">
        <f t="shared" si="12"/>
        <v>Smoker</v>
      </c>
      <c r="K151">
        <v>0</v>
      </c>
      <c r="L151">
        <v>0</v>
      </c>
      <c r="M151">
        <v>0</v>
      </c>
      <c r="N151">
        <v>0</v>
      </c>
      <c r="O151">
        <v>257</v>
      </c>
      <c r="P151" t="str">
        <f t="shared" si="13"/>
        <v>High</v>
      </c>
      <c r="Q151">
        <v>103</v>
      </c>
      <c r="R151">
        <v>72.5</v>
      </c>
      <c r="S151">
        <v>27.86</v>
      </c>
      <c r="T151" t="str">
        <f t="shared" si="14"/>
        <v>Overweight</v>
      </c>
      <c r="U151">
        <v>80</v>
      </c>
      <c r="V151">
        <v>65</v>
      </c>
      <c r="W151" t="str">
        <f t="shared" si="17"/>
        <v>Normal</v>
      </c>
      <c r="X151">
        <v>0</v>
      </c>
    </row>
    <row r="152" spans="1:24" ht="14.5" thickBot="1" x14ac:dyDescent="0.35">
      <c r="A152">
        <v>1</v>
      </c>
      <c r="B152" t="str">
        <f t="shared" si="15"/>
        <v>Male</v>
      </c>
      <c r="C152" s="8">
        <v>37</v>
      </c>
      <c r="D152" t="str">
        <f t="shared" si="16"/>
        <v>Young</v>
      </c>
      <c r="E152">
        <v>2</v>
      </c>
      <c r="F152" t="str">
        <f>HLOOKUP(E152, LookUP_Table!$A$6:$D$7, 2, FALSE)</f>
        <v>Secondary</v>
      </c>
      <c r="G152" t="str">
        <f>IFERROR(VLOOKUP(E152, LookUP_Table!$A$1:$B$4, 2, FALSE), "")</f>
        <v>Secondary</v>
      </c>
      <c r="H152">
        <v>0</v>
      </c>
      <c r="I152">
        <v>0</v>
      </c>
      <c r="J152" t="str">
        <f t="shared" si="12"/>
        <v>Non-Smoker</v>
      </c>
      <c r="K152">
        <v>0</v>
      </c>
      <c r="L152">
        <v>0</v>
      </c>
      <c r="M152">
        <v>1</v>
      </c>
      <c r="N152">
        <v>0</v>
      </c>
      <c r="O152">
        <v>225</v>
      </c>
      <c r="P152" t="str">
        <f t="shared" si="13"/>
        <v>Normal</v>
      </c>
      <c r="Q152">
        <v>124.5</v>
      </c>
      <c r="R152">
        <v>92.5</v>
      </c>
      <c r="S152">
        <v>38.53</v>
      </c>
      <c r="T152" t="str">
        <f t="shared" si="14"/>
        <v>Obese</v>
      </c>
      <c r="U152">
        <v>95</v>
      </c>
      <c r="V152">
        <v>83</v>
      </c>
      <c r="W152" t="str">
        <f t="shared" si="17"/>
        <v>Normal</v>
      </c>
      <c r="X152">
        <v>0</v>
      </c>
    </row>
    <row r="153" spans="1:24" ht="14.5" thickBot="1" x14ac:dyDescent="0.35">
      <c r="A153">
        <v>0</v>
      </c>
      <c r="B153" t="str">
        <f t="shared" si="15"/>
        <v>Female</v>
      </c>
      <c r="C153" s="8">
        <v>37</v>
      </c>
      <c r="D153" t="str">
        <f t="shared" si="16"/>
        <v>Young</v>
      </c>
      <c r="E153">
        <v>1</v>
      </c>
      <c r="F153" t="str">
        <f>HLOOKUP(E153, LookUP_Table!$A$6:$D$7, 2, FALSE)</f>
        <v>Primary</v>
      </c>
      <c r="G153" t="str">
        <f>IFERROR(VLOOKUP(E153, LookUP_Table!$A$1:$B$4, 2, FALSE), "")</f>
        <v>Primary</v>
      </c>
      <c r="H153">
        <v>0</v>
      </c>
      <c r="I153">
        <v>0</v>
      </c>
      <c r="J153" t="str">
        <f t="shared" si="12"/>
        <v>Non-Smoker</v>
      </c>
      <c r="K153">
        <v>0</v>
      </c>
      <c r="L153">
        <v>0</v>
      </c>
      <c r="M153">
        <v>0</v>
      </c>
      <c r="N153">
        <v>0</v>
      </c>
      <c r="O153">
        <v>200</v>
      </c>
      <c r="P153" t="str">
        <f t="shared" si="13"/>
        <v>Normal</v>
      </c>
      <c r="Q153">
        <v>119</v>
      </c>
      <c r="R153">
        <v>79</v>
      </c>
      <c r="S153">
        <v>33.29</v>
      </c>
      <c r="T153" t="str">
        <f t="shared" si="14"/>
        <v>Obese</v>
      </c>
      <c r="U153">
        <v>67</v>
      </c>
      <c r="V153">
        <v>87</v>
      </c>
      <c r="W153" t="str">
        <f t="shared" si="17"/>
        <v>Normal</v>
      </c>
      <c r="X153">
        <v>0</v>
      </c>
    </row>
    <row r="154" spans="1:24" ht="14.5" thickBot="1" x14ac:dyDescent="0.35">
      <c r="A154">
        <v>0</v>
      </c>
      <c r="B154" t="str">
        <f t="shared" si="15"/>
        <v>Female</v>
      </c>
      <c r="C154" s="8">
        <v>37</v>
      </c>
      <c r="D154" t="str">
        <f t="shared" si="16"/>
        <v>Young</v>
      </c>
      <c r="E154">
        <v>2</v>
      </c>
      <c r="F154" t="str">
        <f>HLOOKUP(E154, LookUP_Table!$A$6:$D$7, 2, FALSE)</f>
        <v>Secondary</v>
      </c>
      <c r="G154" t="str">
        <f>IFERROR(VLOOKUP(E154, LookUP_Table!$A$1:$B$4, 2, FALSE), "")</f>
        <v>Secondary</v>
      </c>
      <c r="H154">
        <v>1</v>
      </c>
      <c r="I154">
        <v>5</v>
      </c>
      <c r="J154" t="str">
        <f t="shared" si="12"/>
        <v>Smoker</v>
      </c>
      <c r="K154">
        <v>0</v>
      </c>
      <c r="L154">
        <v>0</v>
      </c>
      <c r="M154">
        <v>0</v>
      </c>
      <c r="N154">
        <v>0</v>
      </c>
      <c r="O154">
        <v>185</v>
      </c>
      <c r="P154" t="str">
        <f t="shared" si="13"/>
        <v>Normal</v>
      </c>
      <c r="Q154">
        <v>100</v>
      </c>
      <c r="R154">
        <v>68</v>
      </c>
      <c r="S154">
        <v>18.38</v>
      </c>
      <c r="T154" t="str">
        <f t="shared" si="14"/>
        <v>Underweight</v>
      </c>
      <c r="U154">
        <v>70</v>
      </c>
      <c r="V154">
        <v>72</v>
      </c>
      <c r="W154" t="str">
        <f t="shared" si="17"/>
        <v>Normal</v>
      </c>
      <c r="X154">
        <v>0</v>
      </c>
    </row>
    <row r="155" spans="1:24" ht="14.5" thickBot="1" x14ac:dyDescent="0.35">
      <c r="A155">
        <v>0</v>
      </c>
      <c r="B155" t="str">
        <f t="shared" si="15"/>
        <v>Female</v>
      </c>
      <c r="C155" s="8">
        <v>37</v>
      </c>
      <c r="D155" t="str">
        <f t="shared" si="16"/>
        <v>Young</v>
      </c>
      <c r="E155">
        <v>4</v>
      </c>
      <c r="F155" t="str">
        <f>HLOOKUP(E155, LookUP_Table!$A$6:$D$7, 2, FALSE)</f>
        <v>Post Graduate</v>
      </c>
      <c r="G155" t="str">
        <f>IFERROR(VLOOKUP(E155, LookUP_Table!$A$1:$B$4, 2, FALSE), "")</f>
        <v>Post Graduate</v>
      </c>
      <c r="H155">
        <v>1</v>
      </c>
      <c r="I155">
        <v>40</v>
      </c>
      <c r="J155" t="str">
        <f t="shared" si="12"/>
        <v>Smoker</v>
      </c>
      <c r="K155">
        <v>0</v>
      </c>
      <c r="L155">
        <v>0</v>
      </c>
      <c r="M155">
        <v>0</v>
      </c>
      <c r="N155">
        <v>0</v>
      </c>
      <c r="O155">
        <v>205</v>
      </c>
      <c r="P155" t="str">
        <f t="shared" si="13"/>
        <v>Normal</v>
      </c>
      <c r="Q155">
        <v>110</v>
      </c>
      <c r="R155">
        <v>78</v>
      </c>
      <c r="S155">
        <v>24.43</v>
      </c>
      <c r="T155" t="str">
        <f t="shared" si="14"/>
        <v>Normal</v>
      </c>
      <c r="U155">
        <v>80</v>
      </c>
      <c r="V155">
        <v>75</v>
      </c>
      <c r="W155" t="str">
        <f t="shared" si="17"/>
        <v>Normal</v>
      </c>
      <c r="X155">
        <v>0</v>
      </c>
    </row>
    <row r="156" spans="1:24" ht="14.5" thickBot="1" x14ac:dyDescent="0.35">
      <c r="A156">
        <v>0</v>
      </c>
      <c r="B156" t="str">
        <f t="shared" si="15"/>
        <v>Female</v>
      </c>
      <c r="C156" s="8">
        <v>37</v>
      </c>
      <c r="D156" t="str">
        <f t="shared" si="16"/>
        <v>Young</v>
      </c>
      <c r="E156">
        <v>1</v>
      </c>
      <c r="F156" t="str">
        <f>HLOOKUP(E156, LookUP_Table!$A$6:$D$7, 2, FALSE)</f>
        <v>Primary</v>
      </c>
      <c r="G156" t="str">
        <f>IFERROR(VLOOKUP(E156, LookUP_Table!$A$1:$B$4, 2, FALSE), "")</f>
        <v>Primary</v>
      </c>
      <c r="H156">
        <v>0</v>
      </c>
      <c r="I156">
        <v>0</v>
      </c>
      <c r="J156" t="str">
        <f t="shared" si="12"/>
        <v>Non-Smoker</v>
      </c>
      <c r="K156">
        <v>0</v>
      </c>
      <c r="L156">
        <v>0</v>
      </c>
      <c r="M156">
        <v>0</v>
      </c>
      <c r="N156">
        <v>0</v>
      </c>
      <c r="O156">
        <v>300</v>
      </c>
      <c r="P156" t="str">
        <f t="shared" si="13"/>
        <v>High</v>
      </c>
      <c r="Q156">
        <v>112</v>
      </c>
      <c r="R156">
        <v>60</v>
      </c>
      <c r="S156">
        <v>23.67</v>
      </c>
      <c r="T156" t="str">
        <f t="shared" si="14"/>
        <v>Normal</v>
      </c>
      <c r="U156">
        <v>81</v>
      </c>
      <c r="V156">
        <v>75</v>
      </c>
      <c r="W156" t="str">
        <f t="shared" si="17"/>
        <v>Normal</v>
      </c>
      <c r="X156">
        <v>0</v>
      </c>
    </row>
    <row r="157" spans="1:24" ht="14.5" thickBot="1" x14ac:dyDescent="0.35">
      <c r="A157">
        <v>0</v>
      </c>
      <c r="B157" t="str">
        <f t="shared" si="15"/>
        <v>Female</v>
      </c>
      <c r="C157" s="8">
        <v>37</v>
      </c>
      <c r="D157" t="str">
        <f t="shared" si="16"/>
        <v>Young</v>
      </c>
      <c r="E157">
        <v>4</v>
      </c>
      <c r="F157" t="str">
        <f>HLOOKUP(E157, LookUP_Table!$A$6:$D$7, 2, FALSE)</f>
        <v>Post Graduate</v>
      </c>
      <c r="G157" t="str">
        <f>IFERROR(VLOOKUP(E157, LookUP_Table!$A$1:$B$4, 2, FALSE), "")</f>
        <v>Post Graduate</v>
      </c>
      <c r="H157">
        <v>1</v>
      </c>
      <c r="I157">
        <v>20</v>
      </c>
      <c r="J157" t="str">
        <f t="shared" si="12"/>
        <v>Smoker</v>
      </c>
      <c r="K157">
        <v>0</v>
      </c>
      <c r="L157">
        <v>0</v>
      </c>
      <c r="M157">
        <v>0</v>
      </c>
      <c r="N157">
        <v>0</v>
      </c>
      <c r="O157">
        <v>186</v>
      </c>
      <c r="P157" t="str">
        <f t="shared" si="13"/>
        <v>Normal</v>
      </c>
      <c r="Q157">
        <v>135</v>
      </c>
      <c r="R157">
        <v>91</v>
      </c>
      <c r="S157">
        <v>21.48</v>
      </c>
      <c r="T157" t="str">
        <f t="shared" si="14"/>
        <v>Normal</v>
      </c>
      <c r="U157">
        <v>66</v>
      </c>
      <c r="V157">
        <v>84</v>
      </c>
      <c r="W157" t="str">
        <f t="shared" si="17"/>
        <v>Normal</v>
      </c>
      <c r="X157">
        <v>0</v>
      </c>
    </row>
    <row r="158" spans="1:24" ht="14.5" thickBot="1" x14ac:dyDescent="0.35">
      <c r="A158">
        <v>0</v>
      </c>
      <c r="B158" t="str">
        <f t="shared" si="15"/>
        <v>Female</v>
      </c>
      <c r="C158" s="8">
        <v>37</v>
      </c>
      <c r="D158" t="str">
        <f t="shared" si="16"/>
        <v>Young</v>
      </c>
      <c r="E158">
        <v>1</v>
      </c>
      <c r="F158" t="str">
        <f>HLOOKUP(E158, LookUP_Table!$A$6:$D$7, 2, FALSE)</f>
        <v>Primary</v>
      </c>
      <c r="G158" t="str">
        <f>IFERROR(VLOOKUP(E158, LookUP_Table!$A$1:$B$4, 2, FALSE), "")</f>
        <v>Primary</v>
      </c>
      <c r="H158">
        <v>1</v>
      </c>
      <c r="I158">
        <v>20</v>
      </c>
      <c r="J158" t="str">
        <f t="shared" si="12"/>
        <v>Smoker</v>
      </c>
      <c r="K158">
        <v>0</v>
      </c>
      <c r="L158">
        <v>0</v>
      </c>
      <c r="M158">
        <v>0</v>
      </c>
      <c r="N158">
        <v>0</v>
      </c>
      <c r="O158">
        <v>223</v>
      </c>
      <c r="P158" t="str">
        <f t="shared" si="13"/>
        <v>Normal</v>
      </c>
      <c r="Q158">
        <v>115</v>
      </c>
      <c r="R158">
        <v>72</v>
      </c>
      <c r="S158">
        <v>22.71</v>
      </c>
      <c r="T158" t="str">
        <f t="shared" si="14"/>
        <v>Normal</v>
      </c>
      <c r="U158">
        <v>76</v>
      </c>
      <c r="V158">
        <v>63</v>
      </c>
      <c r="W158" t="str">
        <f t="shared" si="17"/>
        <v>Normal</v>
      </c>
      <c r="X158">
        <v>0</v>
      </c>
    </row>
    <row r="159" spans="1:24" ht="14.5" thickBot="1" x14ac:dyDescent="0.35">
      <c r="A159">
        <v>1</v>
      </c>
      <c r="B159" t="str">
        <f t="shared" si="15"/>
        <v>Male</v>
      </c>
      <c r="C159" s="8">
        <v>37</v>
      </c>
      <c r="D159" t="str">
        <f t="shared" si="16"/>
        <v>Young</v>
      </c>
      <c r="E159">
        <v>2</v>
      </c>
      <c r="F159" t="str">
        <f>HLOOKUP(E159, LookUP_Table!$A$6:$D$7, 2, FALSE)</f>
        <v>Secondary</v>
      </c>
      <c r="G159" t="str">
        <f>IFERROR(VLOOKUP(E159, LookUP_Table!$A$1:$B$4, 2, FALSE), "")</f>
        <v>Secondary</v>
      </c>
      <c r="H159">
        <v>0</v>
      </c>
      <c r="I159">
        <v>0</v>
      </c>
      <c r="J159" t="str">
        <f t="shared" si="12"/>
        <v>Non-Smoker</v>
      </c>
      <c r="K159">
        <v>0</v>
      </c>
      <c r="L159">
        <v>0</v>
      </c>
      <c r="M159">
        <v>0</v>
      </c>
      <c r="N159">
        <v>0</v>
      </c>
      <c r="O159">
        <v>218</v>
      </c>
      <c r="P159" t="str">
        <f t="shared" si="13"/>
        <v>Normal</v>
      </c>
      <c r="Q159">
        <v>130</v>
      </c>
      <c r="R159">
        <v>89</v>
      </c>
      <c r="S159">
        <v>22.7</v>
      </c>
      <c r="T159" t="str">
        <f t="shared" si="14"/>
        <v>Normal</v>
      </c>
      <c r="U159">
        <v>77</v>
      </c>
      <c r="V159">
        <v>88</v>
      </c>
      <c r="W159" t="str">
        <f t="shared" si="17"/>
        <v>Normal</v>
      </c>
      <c r="X159">
        <v>0</v>
      </c>
    </row>
    <row r="160" spans="1:24" ht="14.5" thickBot="1" x14ac:dyDescent="0.35">
      <c r="A160">
        <v>1</v>
      </c>
      <c r="B160" t="str">
        <f t="shared" si="15"/>
        <v>Male</v>
      </c>
      <c r="C160" s="8">
        <v>37</v>
      </c>
      <c r="D160" t="str">
        <f t="shared" si="16"/>
        <v>Young</v>
      </c>
      <c r="E160">
        <v>1</v>
      </c>
      <c r="F160" t="str">
        <f>HLOOKUP(E160, LookUP_Table!$A$6:$D$7, 2, FALSE)</f>
        <v>Primary</v>
      </c>
      <c r="G160" t="str">
        <f>IFERROR(VLOOKUP(E160, LookUP_Table!$A$1:$B$4, 2, FALSE), "")</f>
        <v>Primary</v>
      </c>
      <c r="H160">
        <v>1</v>
      </c>
      <c r="I160">
        <v>20</v>
      </c>
      <c r="J160" t="str">
        <f t="shared" si="12"/>
        <v>Smoker</v>
      </c>
      <c r="K160">
        <v>0</v>
      </c>
      <c r="L160">
        <v>0</v>
      </c>
      <c r="M160">
        <v>0</v>
      </c>
      <c r="N160">
        <v>0</v>
      </c>
      <c r="O160">
        <v>245</v>
      </c>
      <c r="P160" t="str">
        <f t="shared" si="13"/>
        <v>High</v>
      </c>
      <c r="Q160">
        <v>138</v>
      </c>
      <c r="R160">
        <v>84</v>
      </c>
      <c r="S160">
        <v>27.45</v>
      </c>
      <c r="T160" t="str">
        <f t="shared" si="14"/>
        <v>Overweight</v>
      </c>
      <c r="U160">
        <v>67</v>
      </c>
      <c r="V160">
        <v>76</v>
      </c>
      <c r="W160" t="str">
        <f t="shared" si="17"/>
        <v>Normal</v>
      </c>
      <c r="X160">
        <v>0</v>
      </c>
    </row>
    <row r="161" spans="1:24" ht="14.5" thickBot="1" x14ac:dyDescent="0.35">
      <c r="A161">
        <v>1</v>
      </c>
      <c r="B161" t="str">
        <f t="shared" si="15"/>
        <v>Male</v>
      </c>
      <c r="C161" s="8">
        <v>37</v>
      </c>
      <c r="D161" t="str">
        <f t="shared" si="16"/>
        <v>Young</v>
      </c>
      <c r="E161">
        <v>3</v>
      </c>
      <c r="F161" t="str">
        <f>HLOOKUP(E161, LookUP_Table!$A$6:$D$7, 2, FALSE)</f>
        <v>Graduate</v>
      </c>
      <c r="G161" t="str">
        <f>IFERROR(VLOOKUP(E161, LookUP_Table!$A$1:$B$4, 2, FALSE), "")</f>
        <v>Graduate</v>
      </c>
      <c r="H161">
        <v>1</v>
      </c>
      <c r="I161">
        <v>30</v>
      </c>
      <c r="J161" t="str">
        <f t="shared" si="12"/>
        <v>Smoker</v>
      </c>
      <c r="K161">
        <v>0</v>
      </c>
      <c r="L161">
        <v>0</v>
      </c>
      <c r="M161">
        <v>0</v>
      </c>
      <c r="N161">
        <v>0</v>
      </c>
      <c r="O161">
        <v>243</v>
      </c>
      <c r="P161" t="str">
        <f t="shared" si="13"/>
        <v>High</v>
      </c>
      <c r="Q161">
        <v>128</v>
      </c>
      <c r="R161">
        <v>84</v>
      </c>
      <c r="S161">
        <v>27.47</v>
      </c>
      <c r="T161" t="str">
        <f t="shared" si="14"/>
        <v>Overweight</v>
      </c>
      <c r="U161">
        <v>80</v>
      </c>
      <c r="V161">
        <v>81.96365524402907</v>
      </c>
      <c r="W161" t="str">
        <f t="shared" si="17"/>
        <v>Normal</v>
      </c>
      <c r="X161">
        <v>0</v>
      </c>
    </row>
    <row r="162" spans="1:24" ht="14.5" thickBot="1" x14ac:dyDescent="0.35">
      <c r="A162">
        <v>0</v>
      </c>
      <c r="B162" t="str">
        <f t="shared" si="15"/>
        <v>Female</v>
      </c>
      <c r="C162" s="8">
        <v>37</v>
      </c>
      <c r="D162" t="str">
        <f t="shared" si="16"/>
        <v>Young</v>
      </c>
      <c r="E162">
        <v>2</v>
      </c>
      <c r="F162" t="str">
        <f>HLOOKUP(E162, LookUP_Table!$A$6:$D$7, 2, FALSE)</f>
        <v>Secondary</v>
      </c>
      <c r="G162" t="str">
        <f>IFERROR(VLOOKUP(E162, LookUP_Table!$A$1:$B$4, 2, FALSE), "")</f>
        <v>Secondary</v>
      </c>
      <c r="H162">
        <v>1</v>
      </c>
      <c r="I162">
        <v>20</v>
      </c>
      <c r="J162" t="str">
        <f t="shared" si="12"/>
        <v>Smoker</v>
      </c>
      <c r="K162">
        <v>0</v>
      </c>
      <c r="L162">
        <v>0</v>
      </c>
      <c r="M162">
        <v>0</v>
      </c>
      <c r="N162">
        <v>0</v>
      </c>
      <c r="O162">
        <v>250</v>
      </c>
      <c r="P162" t="str">
        <f t="shared" si="13"/>
        <v>High</v>
      </c>
      <c r="Q162">
        <v>138</v>
      </c>
      <c r="R162">
        <v>90</v>
      </c>
      <c r="S162">
        <v>19.559999999999999</v>
      </c>
      <c r="T162" t="str">
        <f t="shared" si="14"/>
        <v>Normal</v>
      </c>
      <c r="U162">
        <v>96</v>
      </c>
      <c r="V162">
        <v>74</v>
      </c>
      <c r="W162" t="str">
        <f t="shared" si="17"/>
        <v>Normal</v>
      </c>
      <c r="X162">
        <v>0</v>
      </c>
    </row>
    <row r="163" spans="1:24" ht="14.5" thickBot="1" x14ac:dyDescent="0.35">
      <c r="A163">
        <v>1</v>
      </c>
      <c r="B163" t="str">
        <f t="shared" si="15"/>
        <v>Male</v>
      </c>
      <c r="C163" s="8">
        <v>37</v>
      </c>
      <c r="D163" t="str">
        <f t="shared" si="16"/>
        <v>Young</v>
      </c>
      <c r="E163">
        <v>2</v>
      </c>
      <c r="F163" t="str">
        <f>HLOOKUP(E163, LookUP_Table!$A$6:$D$7, 2, FALSE)</f>
        <v>Secondary</v>
      </c>
      <c r="G163" t="str">
        <f>IFERROR(VLOOKUP(E163, LookUP_Table!$A$1:$B$4, 2, FALSE), "")</f>
        <v>Secondary</v>
      </c>
      <c r="H163">
        <v>0</v>
      </c>
      <c r="I163">
        <v>0</v>
      </c>
      <c r="J163" t="str">
        <f t="shared" si="12"/>
        <v>Non-Smoker</v>
      </c>
      <c r="K163">
        <v>0</v>
      </c>
      <c r="L163">
        <v>0</v>
      </c>
      <c r="M163">
        <v>0</v>
      </c>
      <c r="N163">
        <v>0</v>
      </c>
      <c r="O163">
        <v>176</v>
      </c>
      <c r="P163" t="str">
        <f t="shared" si="13"/>
        <v>Normal</v>
      </c>
      <c r="Q163">
        <v>125</v>
      </c>
      <c r="R163">
        <v>80</v>
      </c>
      <c r="S163">
        <v>26.75</v>
      </c>
      <c r="T163" t="str">
        <f t="shared" si="14"/>
        <v>Overweight</v>
      </c>
      <c r="U163">
        <v>72</v>
      </c>
      <c r="V163">
        <v>65</v>
      </c>
      <c r="W163" t="str">
        <f t="shared" si="17"/>
        <v>Normal</v>
      </c>
      <c r="X163">
        <v>0</v>
      </c>
    </row>
    <row r="164" spans="1:24" ht="14.5" thickBot="1" x14ac:dyDescent="0.35">
      <c r="A164">
        <v>1</v>
      </c>
      <c r="B164" t="str">
        <f t="shared" si="15"/>
        <v>Male</v>
      </c>
      <c r="C164" s="8">
        <v>37</v>
      </c>
      <c r="D164" t="str">
        <f t="shared" si="16"/>
        <v>Young</v>
      </c>
      <c r="E164">
        <v>3</v>
      </c>
      <c r="F164" t="str">
        <f>HLOOKUP(E164, LookUP_Table!$A$6:$D$7, 2, FALSE)</f>
        <v>Graduate</v>
      </c>
      <c r="G164" t="str">
        <f>IFERROR(VLOOKUP(E164, LookUP_Table!$A$1:$B$4, 2, FALSE), "")</f>
        <v>Graduate</v>
      </c>
      <c r="H164">
        <v>1</v>
      </c>
      <c r="I164">
        <v>20</v>
      </c>
      <c r="J164" t="str">
        <f t="shared" si="12"/>
        <v>Smoker</v>
      </c>
      <c r="K164">
        <v>0</v>
      </c>
      <c r="L164">
        <v>0</v>
      </c>
      <c r="M164">
        <v>0</v>
      </c>
      <c r="N164">
        <v>0</v>
      </c>
      <c r="O164">
        <v>292</v>
      </c>
      <c r="P164" t="str">
        <f t="shared" si="13"/>
        <v>High</v>
      </c>
      <c r="Q164">
        <v>130</v>
      </c>
      <c r="R164">
        <v>85</v>
      </c>
      <c r="S164">
        <v>28.07</v>
      </c>
      <c r="T164" t="str">
        <f t="shared" si="14"/>
        <v>Overweight</v>
      </c>
      <c r="U164">
        <v>91</v>
      </c>
      <c r="V164">
        <v>81</v>
      </c>
      <c r="W164" t="str">
        <f t="shared" si="17"/>
        <v>Normal</v>
      </c>
      <c r="X164">
        <v>0</v>
      </c>
    </row>
    <row r="165" spans="1:24" ht="14.5" thickBot="1" x14ac:dyDescent="0.35">
      <c r="A165">
        <v>0</v>
      </c>
      <c r="B165" t="str">
        <f t="shared" si="15"/>
        <v>Female</v>
      </c>
      <c r="C165" s="8">
        <v>37</v>
      </c>
      <c r="D165" t="str">
        <f t="shared" si="16"/>
        <v>Young</v>
      </c>
      <c r="E165">
        <v>4</v>
      </c>
      <c r="F165" t="str">
        <f>HLOOKUP(E165, LookUP_Table!$A$6:$D$7, 2, FALSE)</f>
        <v>Post Graduate</v>
      </c>
      <c r="G165" t="str">
        <f>IFERROR(VLOOKUP(E165, LookUP_Table!$A$1:$B$4, 2, FALSE), "")</f>
        <v>Post Graduate</v>
      </c>
      <c r="H165">
        <v>1</v>
      </c>
      <c r="I165">
        <v>20</v>
      </c>
      <c r="J165" t="str">
        <f t="shared" si="12"/>
        <v>Smoker</v>
      </c>
      <c r="K165">
        <v>0</v>
      </c>
      <c r="L165">
        <v>0</v>
      </c>
      <c r="M165">
        <v>0</v>
      </c>
      <c r="N165">
        <v>0</v>
      </c>
      <c r="O165">
        <v>240</v>
      </c>
      <c r="P165" t="str">
        <f t="shared" si="13"/>
        <v>Normal</v>
      </c>
      <c r="Q165">
        <v>120</v>
      </c>
      <c r="R165">
        <v>79</v>
      </c>
      <c r="S165">
        <v>23.09</v>
      </c>
      <c r="T165" t="str">
        <f t="shared" si="14"/>
        <v>Normal</v>
      </c>
      <c r="U165">
        <v>75</v>
      </c>
      <c r="V165">
        <v>80</v>
      </c>
      <c r="W165" t="str">
        <f t="shared" si="17"/>
        <v>Normal</v>
      </c>
      <c r="X165">
        <v>0</v>
      </c>
    </row>
    <row r="166" spans="1:24" ht="14.5" thickBot="1" x14ac:dyDescent="0.35">
      <c r="A166">
        <v>0</v>
      </c>
      <c r="B166" t="str">
        <f t="shared" si="15"/>
        <v>Female</v>
      </c>
      <c r="C166" s="8">
        <v>37</v>
      </c>
      <c r="D166" t="str">
        <f t="shared" si="16"/>
        <v>Young</v>
      </c>
      <c r="E166">
        <v>2</v>
      </c>
      <c r="F166" t="str">
        <f>HLOOKUP(E166, LookUP_Table!$A$6:$D$7, 2, FALSE)</f>
        <v>Secondary</v>
      </c>
      <c r="G166" t="str">
        <f>IFERROR(VLOOKUP(E166, LookUP_Table!$A$1:$B$4, 2, FALSE), "")</f>
        <v>Secondary</v>
      </c>
      <c r="H166">
        <v>1</v>
      </c>
      <c r="I166">
        <v>30</v>
      </c>
      <c r="J166" t="str">
        <f t="shared" si="12"/>
        <v>Smoker</v>
      </c>
      <c r="K166">
        <v>0</v>
      </c>
      <c r="L166">
        <v>0</v>
      </c>
      <c r="M166">
        <v>0</v>
      </c>
      <c r="N166">
        <v>0</v>
      </c>
      <c r="O166">
        <v>236.69952267303103</v>
      </c>
      <c r="P166" t="str">
        <f t="shared" si="13"/>
        <v>Normal</v>
      </c>
      <c r="Q166">
        <v>115</v>
      </c>
      <c r="R166">
        <v>79</v>
      </c>
      <c r="S166">
        <v>28.41</v>
      </c>
      <c r="T166" t="str">
        <f t="shared" si="14"/>
        <v>Overweight</v>
      </c>
      <c r="U166">
        <v>85</v>
      </c>
      <c r="V166">
        <v>81.96365524402907</v>
      </c>
      <c r="W166" t="str">
        <f t="shared" si="17"/>
        <v>Normal</v>
      </c>
      <c r="X166">
        <v>0</v>
      </c>
    </row>
    <row r="167" spans="1:24" ht="14.5" thickBot="1" x14ac:dyDescent="0.35">
      <c r="A167">
        <v>1</v>
      </c>
      <c r="B167" t="str">
        <f t="shared" si="15"/>
        <v>Male</v>
      </c>
      <c r="C167" s="8">
        <v>37</v>
      </c>
      <c r="D167" t="str">
        <f t="shared" si="16"/>
        <v>Young</v>
      </c>
      <c r="E167">
        <v>1</v>
      </c>
      <c r="F167" t="str">
        <f>HLOOKUP(E167, LookUP_Table!$A$6:$D$7, 2, FALSE)</f>
        <v>Primary</v>
      </c>
      <c r="G167" t="str">
        <f>IFERROR(VLOOKUP(E167, LookUP_Table!$A$1:$B$4, 2, FALSE), "")</f>
        <v>Primary</v>
      </c>
      <c r="H167">
        <v>0</v>
      </c>
      <c r="I167">
        <v>0</v>
      </c>
      <c r="J167" t="str">
        <f t="shared" si="12"/>
        <v>Non-Smoker</v>
      </c>
      <c r="K167">
        <v>0</v>
      </c>
      <c r="L167">
        <v>0</v>
      </c>
      <c r="M167">
        <v>0</v>
      </c>
      <c r="N167">
        <v>0</v>
      </c>
      <c r="O167">
        <v>300</v>
      </c>
      <c r="P167" t="str">
        <f t="shared" si="13"/>
        <v>High</v>
      </c>
      <c r="Q167">
        <v>118.5</v>
      </c>
      <c r="R167">
        <v>85.5</v>
      </c>
      <c r="S167">
        <v>25.83</v>
      </c>
      <c r="T167" t="str">
        <f t="shared" si="14"/>
        <v>Overweight</v>
      </c>
      <c r="U167">
        <v>68</v>
      </c>
      <c r="V167">
        <v>82</v>
      </c>
      <c r="W167" t="str">
        <f t="shared" si="17"/>
        <v>Normal</v>
      </c>
      <c r="X167">
        <v>0</v>
      </c>
    </row>
    <row r="168" spans="1:24" ht="14.5" thickBot="1" x14ac:dyDescent="0.35">
      <c r="A168">
        <v>1</v>
      </c>
      <c r="B168" t="str">
        <f t="shared" si="15"/>
        <v>Male</v>
      </c>
      <c r="C168" s="8">
        <v>37</v>
      </c>
      <c r="D168" t="str">
        <f t="shared" si="16"/>
        <v>Young</v>
      </c>
      <c r="E168">
        <v>4</v>
      </c>
      <c r="F168" t="str">
        <f>HLOOKUP(E168, LookUP_Table!$A$6:$D$7, 2, FALSE)</f>
        <v>Post Graduate</v>
      </c>
      <c r="G168" t="str">
        <f>IFERROR(VLOOKUP(E168, LookUP_Table!$A$1:$B$4, 2, FALSE), "")</f>
        <v>Post Graduate</v>
      </c>
      <c r="H168">
        <v>0</v>
      </c>
      <c r="I168">
        <v>0</v>
      </c>
      <c r="J168" t="str">
        <f t="shared" si="12"/>
        <v>Non-Smoker</v>
      </c>
      <c r="K168">
        <v>0</v>
      </c>
      <c r="L168">
        <v>0</v>
      </c>
      <c r="M168">
        <v>0</v>
      </c>
      <c r="N168">
        <v>0</v>
      </c>
      <c r="O168">
        <v>166</v>
      </c>
      <c r="P168" t="str">
        <f t="shared" si="13"/>
        <v>Normal</v>
      </c>
      <c r="Q168">
        <v>128.5</v>
      </c>
      <c r="R168">
        <v>83</v>
      </c>
      <c r="S168">
        <v>26.81</v>
      </c>
      <c r="T168" t="str">
        <f t="shared" si="14"/>
        <v>Overweight</v>
      </c>
      <c r="U168">
        <v>58</v>
      </c>
      <c r="V168">
        <v>108</v>
      </c>
      <c r="W168" t="str">
        <f t="shared" si="17"/>
        <v>Prediabetes</v>
      </c>
      <c r="X168">
        <v>0</v>
      </c>
    </row>
    <row r="169" spans="1:24" ht="14.5" thickBot="1" x14ac:dyDescent="0.35">
      <c r="A169">
        <v>0</v>
      </c>
      <c r="B169" t="str">
        <f t="shared" si="15"/>
        <v>Female</v>
      </c>
      <c r="C169" s="8">
        <v>37</v>
      </c>
      <c r="D169" t="str">
        <f t="shared" si="16"/>
        <v>Young</v>
      </c>
      <c r="E169">
        <v>1</v>
      </c>
      <c r="F169" t="str">
        <f>HLOOKUP(E169, LookUP_Table!$A$6:$D$7, 2, FALSE)</f>
        <v>Primary</v>
      </c>
      <c r="G169" t="str">
        <f>IFERROR(VLOOKUP(E169, LookUP_Table!$A$1:$B$4, 2, FALSE), "")</f>
        <v>Primary</v>
      </c>
      <c r="H169">
        <v>1</v>
      </c>
      <c r="I169">
        <v>20</v>
      </c>
      <c r="J169" t="str">
        <f t="shared" si="12"/>
        <v>Smoker</v>
      </c>
      <c r="K169">
        <v>0</v>
      </c>
      <c r="L169">
        <v>0</v>
      </c>
      <c r="M169">
        <v>0</v>
      </c>
      <c r="N169">
        <v>0</v>
      </c>
      <c r="O169">
        <v>168</v>
      </c>
      <c r="P169" t="str">
        <f t="shared" si="13"/>
        <v>Normal</v>
      </c>
      <c r="Q169">
        <v>117</v>
      </c>
      <c r="R169">
        <v>74</v>
      </c>
      <c r="S169">
        <v>21.51</v>
      </c>
      <c r="T169" t="str">
        <f t="shared" si="14"/>
        <v>Normal</v>
      </c>
      <c r="U169">
        <v>67</v>
      </c>
      <c r="V169">
        <v>77</v>
      </c>
      <c r="W169" t="str">
        <f t="shared" si="17"/>
        <v>Normal</v>
      </c>
      <c r="X169">
        <v>0</v>
      </c>
    </row>
    <row r="170" spans="1:24" ht="14.5" thickBot="1" x14ac:dyDescent="0.35">
      <c r="A170">
        <v>0</v>
      </c>
      <c r="B170" t="str">
        <f t="shared" si="15"/>
        <v>Female</v>
      </c>
      <c r="C170" s="8">
        <v>37</v>
      </c>
      <c r="D170" t="str">
        <f t="shared" si="16"/>
        <v>Young</v>
      </c>
      <c r="E170">
        <v>3</v>
      </c>
      <c r="F170" t="str">
        <f>HLOOKUP(E170, LookUP_Table!$A$6:$D$7, 2, FALSE)</f>
        <v>Graduate</v>
      </c>
      <c r="G170" t="str">
        <f>IFERROR(VLOOKUP(E170, LookUP_Table!$A$1:$B$4, 2, FALSE), "")</f>
        <v>Graduate</v>
      </c>
      <c r="H170">
        <v>0</v>
      </c>
      <c r="I170">
        <v>0</v>
      </c>
      <c r="J170" t="str">
        <f t="shared" si="12"/>
        <v>Non-Smoker</v>
      </c>
      <c r="K170">
        <v>0</v>
      </c>
      <c r="L170">
        <v>0</v>
      </c>
      <c r="M170">
        <v>0</v>
      </c>
      <c r="N170">
        <v>0</v>
      </c>
      <c r="O170">
        <v>145</v>
      </c>
      <c r="P170" t="str">
        <f t="shared" si="13"/>
        <v>Normal</v>
      </c>
      <c r="Q170">
        <v>105</v>
      </c>
      <c r="R170">
        <v>73</v>
      </c>
      <c r="S170">
        <v>23.44</v>
      </c>
      <c r="T170" t="str">
        <f t="shared" si="14"/>
        <v>Normal</v>
      </c>
      <c r="U170">
        <v>58</v>
      </c>
      <c r="V170">
        <v>80</v>
      </c>
      <c r="W170" t="str">
        <f t="shared" si="17"/>
        <v>Normal</v>
      </c>
      <c r="X170">
        <v>0</v>
      </c>
    </row>
    <row r="171" spans="1:24" ht="14.5" thickBot="1" x14ac:dyDescent="0.35">
      <c r="A171">
        <v>1</v>
      </c>
      <c r="B171" t="str">
        <f t="shared" si="15"/>
        <v>Male</v>
      </c>
      <c r="C171" s="8">
        <v>37</v>
      </c>
      <c r="D171" t="str">
        <f t="shared" si="16"/>
        <v>Young</v>
      </c>
      <c r="E171">
        <v>1</v>
      </c>
      <c r="F171" t="str">
        <f>HLOOKUP(E171, LookUP_Table!$A$6:$D$7, 2, FALSE)</f>
        <v>Primary</v>
      </c>
      <c r="G171" t="str">
        <f>IFERROR(VLOOKUP(E171, LookUP_Table!$A$1:$B$4, 2, FALSE), "")</f>
        <v>Primary</v>
      </c>
      <c r="H171">
        <v>1</v>
      </c>
      <c r="I171">
        <v>15</v>
      </c>
      <c r="J171" t="str">
        <f t="shared" si="12"/>
        <v>Smoker</v>
      </c>
      <c r="K171">
        <v>0</v>
      </c>
      <c r="L171">
        <v>0</v>
      </c>
      <c r="M171">
        <v>0</v>
      </c>
      <c r="N171">
        <v>0</v>
      </c>
      <c r="O171">
        <v>231</v>
      </c>
      <c r="P171" t="str">
        <f t="shared" si="13"/>
        <v>Normal</v>
      </c>
      <c r="Q171">
        <v>135</v>
      </c>
      <c r="R171">
        <v>79</v>
      </c>
      <c r="S171">
        <v>28.46</v>
      </c>
      <c r="T171" t="str">
        <f t="shared" si="14"/>
        <v>Overweight</v>
      </c>
      <c r="U171">
        <v>73</v>
      </c>
      <c r="V171">
        <v>67</v>
      </c>
      <c r="W171" t="str">
        <f t="shared" si="17"/>
        <v>Normal</v>
      </c>
      <c r="X171">
        <v>0</v>
      </c>
    </row>
    <row r="172" spans="1:24" ht="14.5" thickBot="1" x14ac:dyDescent="0.35">
      <c r="A172">
        <v>1</v>
      </c>
      <c r="B172" t="str">
        <f t="shared" si="15"/>
        <v>Male</v>
      </c>
      <c r="C172" s="8">
        <v>37</v>
      </c>
      <c r="D172" t="str">
        <f t="shared" si="16"/>
        <v>Young</v>
      </c>
      <c r="E172">
        <v>2</v>
      </c>
      <c r="F172" t="str">
        <f>HLOOKUP(E172, LookUP_Table!$A$6:$D$7, 2, FALSE)</f>
        <v>Secondary</v>
      </c>
      <c r="G172" t="str">
        <f>IFERROR(VLOOKUP(E172, LookUP_Table!$A$1:$B$4, 2, FALSE), "")</f>
        <v>Secondary</v>
      </c>
      <c r="H172">
        <v>0</v>
      </c>
      <c r="I172">
        <v>0</v>
      </c>
      <c r="J172" t="str">
        <f t="shared" si="12"/>
        <v>Non-Smoker</v>
      </c>
      <c r="K172">
        <v>0</v>
      </c>
      <c r="L172">
        <v>0</v>
      </c>
      <c r="M172">
        <v>0</v>
      </c>
      <c r="N172">
        <v>0</v>
      </c>
      <c r="O172">
        <v>205</v>
      </c>
      <c r="P172" t="str">
        <f t="shared" si="13"/>
        <v>Normal</v>
      </c>
      <c r="Q172">
        <v>129</v>
      </c>
      <c r="R172">
        <v>86</v>
      </c>
      <c r="S172">
        <v>27.27</v>
      </c>
      <c r="T172" t="str">
        <f t="shared" si="14"/>
        <v>Overweight</v>
      </c>
      <c r="U172">
        <v>60</v>
      </c>
      <c r="V172">
        <v>76</v>
      </c>
      <c r="W172" t="str">
        <f t="shared" si="17"/>
        <v>Normal</v>
      </c>
      <c r="X172">
        <v>0</v>
      </c>
    </row>
    <row r="173" spans="1:24" ht="14.5" thickBot="1" x14ac:dyDescent="0.35">
      <c r="A173">
        <v>0</v>
      </c>
      <c r="B173" t="str">
        <f t="shared" si="15"/>
        <v>Female</v>
      </c>
      <c r="C173" s="8">
        <v>37</v>
      </c>
      <c r="D173" t="str">
        <f t="shared" si="16"/>
        <v>Young</v>
      </c>
      <c r="E173">
        <v>2</v>
      </c>
      <c r="F173" t="str">
        <f>HLOOKUP(E173, LookUP_Table!$A$6:$D$7, 2, FALSE)</f>
        <v>Secondary</v>
      </c>
      <c r="G173" t="str">
        <f>IFERROR(VLOOKUP(E173, LookUP_Table!$A$1:$B$4, 2, FALSE), "")</f>
        <v>Secondary</v>
      </c>
      <c r="H173">
        <v>1</v>
      </c>
      <c r="I173">
        <v>10</v>
      </c>
      <c r="J173" t="str">
        <f t="shared" si="12"/>
        <v>Smoker</v>
      </c>
      <c r="K173">
        <v>0</v>
      </c>
      <c r="L173">
        <v>0</v>
      </c>
      <c r="M173">
        <v>0</v>
      </c>
      <c r="N173">
        <v>0</v>
      </c>
      <c r="O173">
        <v>217</v>
      </c>
      <c r="P173" t="str">
        <f t="shared" si="13"/>
        <v>Normal</v>
      </c>
      <c r="Q173">
        <v>110</v>
      </c>
      <c r="R173">
        <v>78.5</v>
      </c>
      <c r="S173">
        <v>32.26</v>
      </c>
      <c r="T173" t="str">
        <f t="shared" si="14"/>
        <v>Obese</v>
      </c>
      <c r="U173">
        <v>110</v>
      </c>
      <c r="V173">
        <v>84</v>
      </c>
      <c r="W173" t="str">
        <f t="shared" si="17"/>
        <v>Normal</v>
      </c>
      <c r="X173">
        <v>0</v>
      </c>
    </row>
    <row r="174" spans="1:24" ht="14.5" thickBot="1" x14ac:dyDescent="0.35">
      <c r="A174">
        <v>1</v>
      </c>
      <c r="B174" t="str">
        <f t="shared" si="15"/>
        <v>Male</v>
      </c>
      <c r="C174" s="8">
        <v>37</v>
      </c>
      <c r="D174" t="str">
        <f t="shared" si="16"/>
        <v>Young</v>
      </c>
      <c r="E174">
        <v>3</v>
      </c>
      <c r="F174" t="str">
        <f>HLOOKUP(E174, LookUP_Table!$A$6:$D$7, 2, FALSE)</f>
        <v>Graduate</v>
      </c>
      <c r="G174" t="str">
        <f>IFERROR(VLOOKUP(E174, LookUP_Table!$A$1:$B$4, 2, FALSE), "")</f>
        <v>Graduate</v>
      </c>
      <c r="H174">
        <v>0</v>
      </c>
      <c r="I174">
        <v>0</v>
      </c>
      <c r="J174" t="str">
        <f t="shared" si="12"/>
        <v>Non-Smoker</v>
      </c>
      <c r="K174">
        <v>0</v>
      </c>
      <c r="L174">
        <v>0</v>
      </c>
      <c r="M174">
        <v>0</v>
      </c>
      <c r="N174">
        <v>0</v>
      </c>
      <c r="O174">
        <v>238</v>
      </c>
      <c r="P174" t="str">
        <f t="shared" si="13"/>
        <v>Normal</v>
      </c>
      <c r="Q174">
        <v>121</v>
      </c>
      <c r="R174">
        <v>80</v>
      </c>
      <c r="S174">
        <v>28.95</v>
      </c>
      <c r="T174" t="str">
        <f t="shared" si="14"/>
        <v>Overweight</v>
      </c>
      <c r="U174">
        <v>70</v>
      </c>
      <c r="V174">
        <v>67</v>
      </c>
      <c r="W174" t="str">
        <f t="shared" si="17"/>
        <v>Normal</v>
      </c>
      <c r="X174">
        <v>0</v>
      </c>
    </row>
    <row r="175" spans="1:24" ht="14.5" thickBot="1" x14ac:dyDescent="0.35">
      <c r="A175">
        <v>0</v>
      </c>
      <c r="B175" t="str">
        <f t="shared" si="15"/>
        <v>Female</v>
      </c>
      <c r="C175" s="8">
        <v>37</v>
      </c>
      <c r="D175" t="str">
        <f t="shared" si="16"/>
        <v>Young</v>
      </c>
      <c r="E175">
        <v>2</v>
      </c>
      <c r="F175" t="str">
        <f>HLOOKUP(E175, LookUP_Table!$A$6:$D$7, 2, FALSE)</f>
        <v>Secondary</v>
      </c>
      <c r="G175" t="str">
        <f>IFERROR(VLOOKUP(E175, LookUP_Table!$A$1:$B$4, 2, FALSE), "")</f>
        <v>Secondary</v>
      </c>
      <c r="H175">
        <v>1</v>
      </c>
      <c r="I175">
        <v>20</v>
      </c>
      <c r="J175" t="str">
        <f t="shared" si="12"/>
        <v>Smoker</v>
      </c>
      <c r="K175">
        <v>0</v>
      </c>
      <c r="L175">
        <v>0</v>
      </c>
      <c r="M175">
        <v>0</v>
      </c>
      <c r="N175">
        <v>0</v>
      </c>
      <c r="O175">
        <v>229</v>
      </c>
      <c r="P175" t="str">
        <f t="shared" si="13"/>
        <v>Normal</v>
      </c>
      <c r="Q175">
        <v>111</v>
      </c>
      <c r="R175">
        <v>70</v>
      </c>
      <c r="S175">
        <v>20.239999999999998</v>
      </c>
      <c r="T175" t="str">
        <f t="shared" si="14"/>
        <v>Normal</v>
      </c>
      <c r="U175">
        <v>80</v>
      </c>
      <c r="V175">
        <v>70</v>
      </c>
      <c r="W175" t="str">
        <f t="shared" si="17"/>
        <v>Normal</v>
      </c>
      <c r="X175">
        <v>0</v>
      </c>
    </row>
    <row r="176" spans="1:24" ht="14.5" thickBot="1" x14ac:dyDescent="0.35">
      <c r="A176">
        <v>0</v>
      </c>
      <c r="B176" t="str">
        <f t="shared" si="15"/>
        <v>Female</v>
      </c>
      <c r="C176" s="8">
        <v>37</v>
      </c>
      <c r="D176" t="str">
        <f t="shared" si="16"/>
        <v>Young</v>
      </c>
      <c r="E176">
        <v>1</v>
      </c>
      <c r="F176" t="str">
        <f>HLOOKUP(E176, LookUP_Table!$A$6:$D$7, 2, FALSE)</f>
        <v>Primary</v>
      </c>
      <c r="G176" t="str">
        <f>IFERROR(VLOOKUP(E176, LookUP_Table!$A$1:$B$4, 2, FALSE), "")</f>
        <v>Primary</v>
      </c>
      <c r="H176">
        <v>1</v>
      </c>
      <c r="I176">
        <v>10</v>
      </c>
      <c r="J176" t="str">
        <f t="shared" si="12"/>
        <v>Smoker</v>
      </c>
      <c r="K176">
        <v>0</v>
      </c>
      <c r="L176">
        <v>0</v>
      </c>
      <c r="M176">
        <v>0</v>
      </c>
      <c r="N176">
        <v>0</v>
      </c>
      <c r="O176">
        <v>205</v>
      </c>
      <c r="P176" t="str">
        <f t="shared" si="13"/>
        <v>Normal</v>
      </c>
      <c r="Q176">
        <v>120.5</v>
      </c>
      <c r="R176">
        <v>67.5</v>
      </c>
      <c r="S176">
        <v>22.89</v>
      </c>
      <c r="T176" t="str">
        <f t="shared" si="14"/>
        <v>Normal</v>
      </c>
      <c r="U176">
        <v>75</v>
      </c>
      <c r="V176">
        <v>113</v>
      </c>
      <c r="W176" t="str">
        <f t="shared" si="17"/>
        <v>Prediabetes</v>
      </c>
      <c r="X176">
        <v>0</v>
      </c>
    </row>
    <row r="177" spans="1:24" ht="14.5" thickBot="1" x14ac:dyDescent="0.35">
      <c r="A177">
        <v>0</v>
      </c>
      <c r="B177" t="str">
        <f t="shared" si="15"/>
        <v>Female</v>
      </c>
      <c r="C177" s="8">
        <v>37</v>
      </c>
      <c r="D177" t="str">
        <f t="shared" si="16"/>
        <v>Young</v>
      </c>
      <c r="E177">
        <v>2</v>
      </c>
      <c r="F177" t="str">
        <f>HLOOKUP(E177, LookUP_Table!$A$6:$D$7, 2, FALSE)</f>
        <v>Secondary</v>
      </c>
      <c r="G177" t="str">
        <f>IFERROR(VLOOKUP(E177, LookUP_Table!$A$1:$B$4, 2, FALSE), "")</f>
        <v>Secondary</v>
      </c>
      <c r="H177">
        <v>0</v>
      </c>
      <c r="I177">
        <v>0</v>
      </c>
      <c r="J177" t="str">
        <f t="shared" si="12"/>
        <v>Non-Smoker</v>
      </c>
      <c r="K177">
        <v>0</v>
      </c>
      <c r="L177">
        <v>0</v>
      </c>
      <c r="M177">
        <v>0</v>
      </c>
      <c r="N177">
        <v>0</v>
      </c>
      <c r="O177">
        <v>159</v>
      </c>
      <c r="P177" t="str">
        <f t="shared" si="13"/>
        <v>Normal</v>
      </c>
      <c r="Q177">
        <v>112</v>
      </c>
      <c r="R177">
        <v>69</v>
      </c>
      <c r="S177">
        <v>26.98</v>
      </c>
      <c r="T177" t="str">
        <f t="shared" si="14"/>
        <v>Overweight</v>
      </c>
      <c r="U177">
        <v>86</v>
      </c>
      <c r="V177">
        <v>81.96365524402907</v>
      </c>
      <c r="W177" t="str">
        <f t="shared" si="17"/>
        <v>Normal</v>
      </c>
      <c r="X177">
        <v>0</v>
      </c>
    </row>
    <row r="178" spans="1:24" ht="14.5" thickBot="1" x14ac:dyDescent="0.35">
      <c r="A178">
        <v>0</v>
      </c>
      <c r="B178" t="str">
        <f t="shared" si="15"/>
        <v>Female</v>
      </c>
      <c r="C178" s="8">
        <v>37</v>
      </c>
      <c r="D178" t="str">
        <f t="shared" si="16"/>
        <v>Young</v>
      </c>
      <c r="E178">
        <v>4</v>
      </c>
      <c r="F178" t="str">
        <f>HLOOKUP(E178, LookUP_Table!$A$6:$D$7, 2, FALSE)</f>
        <v>Post Graduate</v>
      </c>
      <c r="G178" t="str">
        <f>IFERROR(VLOOKUP(E178, LookUP_Table!$A$1:$B$4, 2, FALSE), "")</f>
        <v>Post Graduate</v>
      </c>
      <c r="H178">
        <v>0</v>
      </c>
      <c r="I178">
        <v>0</v>
      </c>
      <c r="J178" t="str">
        <f t="shared" si="12"/>
        <v>Non-Smoker</v>
      </c>
      <c r="K178">
        <v>0</v>
      </c>
      <c r="L178">
        <v>0</v>
      </c>
      <c r="M178">
        <v>0</v>
      </c>
      <c r="N178">
        <v>0</v>
      </c>
      <c r="O178">
        <v>169</v>
      </c>
      <c r="P178" t="str">
        <f t="shared" si="13"/>
        <v>Normal</v>
      </c>
      <c r="Q178">
        <v>117.5</v>
      </c>
      <c r="R178">
        <v>77.5</v>
      </c>
      <c r="S178">
        <v>28.44</v>
      </c>
      <c r="T178" t="str">
        <f t="shared" si="14"/>
        <v>Overweight</v>
      </c>
      <c r="U178">
        <v>90</v>
      </c>
      <c r="V178">
        <v>81.96365524402907</v>
      </c>
      <c r="W178" t="str">
        <f t="shared" si="17"/>
        <v>Normal</v>
      </c>
      <c r="X178">
        <v>0</v>
      </c>
    </row>
    <row r="179" spans="1:24" ht="14.5" thickBot="1" x14ac:dyDescent="0.35">
      <c r="A179">
        <v>0</v>
      </c>
      <c r="B179" t="str">
        <f t="shared" si="15"/>
        <v>Female</v>
      </c>
      <c r="C179" s="8">
        <v>37</v>
      </c>
      <c r="D179" t="str">
        <f t="shared" si="16"/>
        <v>Young</v>
      </c>
      <c r="E179">
        <v>1</v>
      </c>
      <c r="F179" t="str">
        <f>HLOOKUP(E179, LookUP_Table!$A$6:$D$7, 2, FALSE)</f>
        <v>Primary</v>
      </c>
      <c r="G179" t="str">
        <f>IFERROR(VLOOKUP(E179, LookUP_Table!$A$1:$B$4, 2, FALSE), "")</f>
        <v>Primary</v>
      </c>
      <c r="H179">
        <v>0</v>
      </c>
      <c r="I179">
        <v>0</v>
      </c>
      <c r="J179" t="str">
        <f t="shared" si="12"/>
        <v>Non-Smoker</v>
      </c>
      <c r="K179">
        <v>0</v>
      </c>
      <c r="L179">
        <v>0</v>
      </c>
      <c r="M179">
        <v>0</v>
      </c>
      <c r="N179">
        <v>0</v>
      </c>
      <c r="O179">
        <v>261</v>
      </c>
      <c r="P179" t="str">
        <f t="shared" si="13"/>
        <v>High</v>
      </c>
      <c r="Q179">
        <v>123</v>
      </c>
      <c r="R179">
        <v>75</v>
      </c>
      <c r="S179">
        <v>26.72</v>
      </c>
      <c r="T179" t="str">
        <f t="shared" si="14"/>
        <v>Overweight</v>
      </c>
      <c r="U179">
        <v>90</v>
      </c>
      <c r="V179">
        <v>85</v>
      </c>
      <c r="W179" t="str">
        <f t="shared" si="17"/>
        <v>Normal</v>
      </c>
      <c r="X179">
        <v>0</v>
      </c>
    </row>
    <row r="180" spans="1:24" ht="14.5" thickBot="1" x14ac:dyDescent="0.35">
      <c r="A180">
        <v>0</v>
      </c>
      <c r="B180" t="str">
        <f t="shared" si="15"/>
        <v>Female</v>
      </c>
      <c r="C180" s="8">
        <v>37</v>
      </c>
      <c r="D180" t="str">
        <f t="shared" si="16"/>
        <v>Young</v>
      </c>
      <c r="E180">
        <v>1</v>
      </c>
      <c r="F180" t="str">
        <f>HLOOKUP(E180, LookUP_Table!$A$6:$D$7, 2, FALSE)</f>
        <v>Primary</v>
      </c>
      <c r="G180" t="str">
        <f>IFERROR(VLOOKUP(E180, LookUP_Table!$A$1:$B$4, 2, FALSE), "")</f>
        <v>Primary</v>
      </c>
      <c r="H180">
        <v>1</v>
      </c>
      <c r="I180">
        <v>5</v>
      </c>
      <c r="J180" t="str">
        <f t="shared" si="12"/>
        <v>Smoker</v>
      </c>
      <c r="K180">
        <v>0</v>
      </c>
      <c r="L180">
        <v>0</v>
      </c>
      <c r="M180">
        <v>0</v>
      </c>
      <c r="N180">
        <v>0</v>
      </c>
      <c r="O180">
        <v>279</v>
      </c>
      <c r="P180" t="str">
        <f t="shared" si="13"/>
        <v>High</v>
      </c>
      <c r="Q180">
        <v>110</v>
      </c>
      <c r="R180">
        <v>72.5</v>
      </c>
      <c r="S180">
        <v>24.89</v>
      </c>
      <c r="T180" t="str">
        <f t="shared" si="14"/>
        <v>Normal</v>
      </c>
      <c r="U180">
        <v>67</v>
      </c>
      <c r="V180">
        <v>70</v>
      </c>
      <c r="W180" t="str">
        <f t="shared" si="17"/>
        <v>Normal</v>
      </c>
      <c r="X180">
        <v>0</v>
      </c>
    </row>
    <row r="181" spans="1:24" ht="14.5" thickBot="1" x14ac:dyDescent="0.35">
      <c r="A181">
        <v>1</v>
      </c>
      <c r="B181" t="str">
        <f t="shared" si="15"/>
        <v>Male</v>
      </c>
      <c r="C181" s="8">
        <v>37</v>
      </c>
      <c r="D181" t="str">
        <f t="shared" si="16"/>
        <v>Young</v>
      </c>
      <c r="E181">
        <v>2</v>
      </c>
      <c r="F181" t="str">
        <f>HLOOKUP(E181, LookUP_Table!$A$6:$D$7, 2, FALSE)</f>
        <v>Secondary</v>
      </c>
      <c r="G181" t="str">
        <f>IFERROR(VLOOKUP(E181, LookUP_Table!$A$1:$B$4, 2, FALSE), "")</f>
        <v>Secondary</v>
      </c>
      <c r="H181">
        <v>1</v>
      </c>
      <c r="I181">
        <v>30</v>
      </c>
      <c r="J181" t="str">
        <f t="shared" si="12"/>
        <v>Smoker</v>
      </c>
      <c r="K181">
        <v>0</v>
      </c>
      <c r="L181">
        <v>0</v>
      </c>
      <c r="M181">
        <v>0</v>
      </c>
      <c r="N181">
        <v>0</v>
      </c>
      <c r="O181">
        <v>246</v>
      </c>
      <c r="P181" t="str">
        <f t="shared" si="13"/>
        <v>High</v>
      </c>
      <c r="Q181">
        <v>124</v>
      </c>
      <c r="R181">
        <v>83</v>
      </c>
      <c r="S181">
        <v>30.93</v>
      </c>
      <c r="T181" t="str">
        <f t="shared" si="14"/>
        <v>Obese</v>
      </c>
      <c r="U181">
        <v>60</v>
      </c>
      <c r="V181">
        <v>85</v>
      </c>
      <c r="W181" t="str">
        <f t="shared" si="17"/>
        <v>Normal</v>
      </c>
      <c r="X181">
        <v>0</v>
      </c>
    </row>
    <row r="182" spans="1:24" ht="14.5" thickBot="1" x14ac:dyDescent="0.35">
      <c r="A182">
        <v>1</v>
      </c>
      <c r="B182" t="str">
        <f t="shared" si="15"/>
        <v>Male</v>
      </c>
      <c r="C182" s="8">
        <v>37</v>
      </c>
      <c r="D182" t="str">
        <f t="shared" si="16"/>
        <v>Young</v>
      </c>
      <c r="E182">
        <v>1</v>
      </c>
      <c r="F182" t="str">
        <f>HLOOKUP(E182, LookUP_Table!$A$6:$D$7, 2, FALSE)</f>
        <v>Primary</v>
      </c>
      <c r="G182" t="str">
        <f>IFERROR(VLOOKUP(E182, LookUP_Table!$A$1:$B$4, 2, FALSE), "")</f>
        <v>Primary</v>
      </c>
      <c r="H182">
        <v>1</v>
      </c>
      <c r="I182">
        <v>30</v>
      </c>
      <c r="J182" t="str">
        <f t="shared" si="12"/>
        <v>Smoker</v>
      </c>
      <c r="K182">
        <v>0</v>
      </c>
      <c r="L182">
        <v>0</v>
      </c>
      <c r="M182">
        <v>0</v>
      </c>
      <c r="N182">
        <v>0</v>
      </c>
      <c r="O182">
        <v>275</v>
      </c>
      <c r="P182" t="str">
        <f t="shared" si="13"/>
        <v>High</v>
      </c>
      <c r="Q182">
        <v>127</v>
      </c>
      <c r="R182">
        <v>80</v>
      </c>
      <c r="S182">
        <v>27.22</v>
      </c>
      <c r="T182" t="str">
        <f t="shared" si="14"/>
        <v>Overweight</v>
      </c>
      <c r="U182">
        <v>85</v>
      </c>
      <c r="V182">
        <v>93</v>
      </c>
      <c r="W182" t="str">
        <f t="shared" si="17"/>
        <v>Normal</v>
      </c>
      <c r="X182">
        <v>0</v>
      </c>
    </row>
    <row r="183" spans="1:24" ht="14.5" thickBot="1" x14ac:dyDescent="0.35">
      <c r="A183">
        <v>1</v>
      </c>
      <c r="B183" t="str">
        <f t="shared" si="15"/>
        <v>Male</v>
      </c>
      <c r="C183" s="8">
        <v>37</v>
      </c>
      <c r="D183" t="str">
        <f t="shared" si="16"/>
        <v>Young</v>
      </c>
      <c r="E183">
        <v>4</v>
      </c>
      <c r="F183" t="str">
        <f>HLOOKUP(E183, LookUP_Table!$A$6:$D$7, 2, FALSE)</f>
        <v>Post Graduate</v>
      </c>
      <c r="G183" t="str">
        <f>IFERROR(VLOOKUP(E183, LookUP_Table!$A$1:$B$4, 2, FALSE), "")</f>
        <v>Post Graduate</v>
      </c>
      <c r="H183">
        <v>1</v>
      </c>
      <c r="I183">
        <v>60</v>
      </c>
      <c r="J183" t="str">
        <f t="shared" si="12"/>
        <v>Smoker</v>
      </c>
      <c r="K183">
        <v>0</v>
      </c>
      <c r="L183">
        <v>0</v>
      </c>
      <c r="M183">
        <v>0</v>
      </c>
      <c r="N183">
        <v>0</v>
      </c>
      <c r="O183">
        <v>254</v>
      </c>
      <c r="P183" t="str">
        <f t="shared" si="13"/>
        <v>High</v>
      </c>
      <c r="Q183">
        <v>122.5</v>
      </c>
      <c r="R183">
        <v>82.5</v>
      </c>
      <c r="S183">
        <v>23.87</v>
      </c>
      <c r="T183" t="str">
        <f t="shared" si="14"/>
        <v>Normal</v>
      </c>
      <c r="U183">
        <v>88</v>
      </c>
      <c r="V183">
        <v>83</v>
      </c>
      <c r="W183" t="str">
        <f t="shared" si="17"/>
        <v>Normal</v>
      </c>
      <c r="X183">
        <v>0</v>
      </c>
    </row>
    <row r="184" spans="1:24" ht="14.5" thickBot="1" x14ac:dyDescent="0.35">
      <c r="A184">
        <v>0</v>
      </c>
      <c r="B184" t="str">
        <f t="shared" si="15"/>
        <v>Female</v>
      </c>
      <c r="C184" s="8">
        <v>37</v>
      </c>
      <c r="D184" t="str">
        <f t="shared" si="16"/>
        <v>Young</v>
      </c>
      <c r="E184">
        <v>4</v>
      </c>
      <c r="F184" t="str">
        <f>HLOOKUP(E184, LookUP_Table!$A$6:$D$7, 2, FALSE)</f>
        <v>Post Graduate</v>
      </c>
      <c r="G184" t="str">
        <f>IFERROR(VLOOKUP(E184, LookUP_Table!$A$1:$B$4, 2, FALSE), "")</f>
        <v>Post Graduate</v>
      </c>
      <c r="H184">
        <v>0</v>
      </c>
      <c r="I184">
        <v>0</v>
      </c>
      <c r="J184" t="str">
        <f t="shared" si="12"/>
        <v>Non-Smoker</v>
      </c>
      <c r="K184">
        <v>0</v>
      </c>
      <c r="L184">
        <v>0</v>
      </c>
      <c r="M184">
        <v>1</v>
      </c>
      <c r="N184">
        <v>0</v>
      </c>
      <c r="O184">
        <v>240</v>
      </c>
      <c r="P184" t="str">
        <f t="shared" si="13"/>
        <v>Normal</v>
      </c>
      <c r="Q184">
        <v>125</v>
      </c>
      <c r="R184">
        <v>96</v>
      </c>
      <c r="S184">
        <v>27.17</v>
      </c>
      <c r="T184" t="str">
        <f t="shared" si="14"/>
        <v>Overweight</v>
      </c>
      <c r="U184">
        <v>75</v>
      </c>
      <c r="V184">
        <v>81.96365524402907</v>
      </c>
      <c r="W184" t="str">
        <f t="shared" si="17"/>
        <v>Normal</v>
      </c>
      <c r="X184">
        <v>0</v>
      </c>
    </row>
    <row r="185" spans="1:24" ht="14.5" thickBot="1" x14ac:dyDescent="0.35">
      <c r="A185">
        <v>0</v>
      </c>
      <c r="B185" t="str">
        <f t="shared" si="15"/>
        <v>Female</v>
      </c>
      <c r="C185" s="8">
        <v>37</v>
      </c>
      <c r="D185" t="str">
        <f t="shared" si="16"/>
        <v>Young</v>
      </c>
      <c r="E185">
        <v>4</v>
      </c>
      <c r="F185" t="str">
        <f>HLOOKUP(E185, LookUP_Table!$A$6:$D$7, 2, FALSE)</f>
        <v>Post Graduate</v>
      </c>
      <c r="G185" t="str">
        <f>IFERROR(VLOOKUP(E185, LookUP_Table!$A$1:$B$4, 2, FALSE), "")</f>
        <v>Post Graduate</v>
      </c>
      <c r="H185">
        <v>0</v>
      </c>
      <c r="I185">
        <v>0</v>
      </c>
      <c r="J185" t="str">
        <f t="shared" si="12"/>
        <v>Non-Smoker</v>
      </c>
      <c r="K185">
        <v>0</v>
      </c>
      <c r="L185">
        <v>0</v>
      </c>
      <c r="M185">
        <v>0</v>
      </c>
      <c r="N185">
        <v>0</v>
      </c>
      <c r="O185">
        <v>169</v>
      </c>
      <c r="P185" t="str">
        <f t="shared" si="13"/>
        <v>Normal</v>
      </c>
      <c r="Q185">
        <v>104</v>
      </c>
      <c r="R185">
        <v>66</v>
      </c>
      <c r="S185">
        <v>20.84</v>
      </c>
      <c r="T185" t="str">
        <f t="shared" si="14"/>
        <v>Normal</v>
      </c>
      <c r="U185">
        <v>70</v>
      </c>
      <c r="V185">
        <v>72</v>
      </c>
      <c r="W185" t="str">
        <f t="shared" si="17"/>
        <v>Normal</v>
      </c>
      <c r="X185">
        <v>0</v>
      </c>
    </row>
    <row r="186" spans="1:24" ht="14.5" thickBot="1" x14ac:dyDescent="0.35">
      <c r="A186">
        <v>0</v>
      </c>
      <c r="B186" t="str">
        <f t="shared" si="15"/>
        <v>Female</v>
      </c>
      <c r="C186" s="8">
        <v>37</v>
      </c>
      <c r="D186" t="str">
        <f t="shared" si="16"/>
        <v>Young</v>
      </c>
      <c r="E186">
        <v>3</v>
      </c>
      <c r="F186" t="str">
        <f>HLOOKUP(E186, LookUP_Table!$A$6:$D$7, 2, FALSE)</f>
        <v>Graduate</v>
      </c>
      <c r="G186" t="str">
        <f>IFERROR(VLOOKUP(E186, LookUP_Table!$A$1:$B$4, 2, FALSE), "")</f>
        <v>Graduate</v>
      </c>
      <c r="H186">
        <v>0</v>
      </c>
      <c r="I186">
        <v>0</v>
      </c>
      <c r="J186" t="str">
        <f t="shared" si="12"/>
        <v>Non-Smoker</v>
      </c>
      <c r="K186">
        <v>0</v>
      </c>
      <c r="L186">
        <v>0</v>
      </c>
      <c r="M186">
        <v>0</v>
      </c>
      <c r="N186">
        <v>0</v>
      </c>
      <c r="O186">
        <v>190</v>
      </c>
      <c r="P186" t="str">
        <f t="shared" si="13"/>
        <v>Normal</v>
      </c>
      <c r="Q186">
        <v>102</v>
      </c>
      <c r="R186">
        <v>65</v>
      </c>
      <c r="S186">
        <v>20.68</v>
      </c>
      <c r="T186" t="str">
        <f t="shared" si="14"/>
        <v>Normal</v>
      </c>
      <c r="U186">
        <v>89</v>
      </c>
      <c r="V186">
        <v>87</v>
      </c>
      <c r="W186" t="str">
        <f t="shared" si="17"/>
        <v>Normal</v>
      </c>
      <c r="X186">
        <v>0</v>
      </c>
    </row>
    <row r="187" spans="1:24" ht="14.5" thickBot="1" x14ac:dyDescent="0.35">
      <c r="A187">
        <v>1</v>
      </c>
      <c r="B187" t="str">
        <f t="shared" si="15"/>
        <v>Male</v>
      </c>
      <c r="C187" s="8">
        <v>37</v>
      </c>
      <c r="D187" t="str">
        <f t="shared" si="16"/>
        <v>Young</v>
      </c>
      <c r="E187">
        <v>2</v>
      </c>
      <c r="F187" t="str">
        <f>HLOOKUP(E187, LookUP_Table!$A$6:$D$7, 2, FALSE)</f>
        <v>Secondary</v>
      </c>
      <c r="G187" t="str">
        <f>IFERROR(VLOOKUP(E187, LookUP_Table!$A$1:$B$4, 2, FALSE), "")</f>
        <v>Secondary</v>
      </c>
      <c r="H187">
        <v>1</v>
      </c>
      <c r="I187">
        <v>20</v>
      </c>
      <c r="J187" t="str">
        <f t="shared" si="12"/>
        <v>Smoker</v>
      </c>
      <c r="K187">
        <v>0</v>
      </c>
      <c r="L187">
        <v>0</v>
      </c>
      <c r="M187">
        <v>0</v>
      </c>
      <c r="N187">
        <v>0</v>
      </c>
      <c r="O187">
        <v>272</v>
      </c>
      <c r="P187" t="str">
        <f t="shared" si="13"/>
        <v>High</v>
      </c>
      <c r="Q187">
        <v>114.5</v>
      </c>
      <c r="R187">
        <v>80</v>
      </c>
      <c r="S187">
        <v>27.6</v>
      </c>
      <c r="T187" t="str">
        <f t="shared" si="14"/>
        <v>Overweight</v>
      </c>
      <c r="U187">
        <v>63</v>
      </c>
      <c r="V187">
        <v>57</v>
      </c>
      <c r="W187" t="str">
        <f t="shared" si="17"/>
        <v>Normal</v>
      </c>
      <c r="X187">
        <v>0</v>
      </c>
    </row>
    <row r="188" spans="1:24" ht="14.5" thickBot="1" x14ac:dyDescent="0.35">
      <c r="A188">
        <v>1</v>
      </c>
      <c r="B188" t="str">
        <f t="shared" si="15"/>
        <v>Male</v>
      </c>
      <c r="C188" s="8">
        <v>37</v>
      </c>
      <c r="D188" t="str">
        <f t="shared" si="16"/>
        <v>Young</v>
      </c>
      <c r="E188">
        <v>3</v>
      </c>
      <c r="F188" t="str">
        <f>HLOOKUP(E188, LookUP_Table!$A$6:$D$7, 2, FALSE)</f>
        <v>Graduate</v>
      </c>
      <c r="G188" t="str">
        <f>IFERROR(VLOOKUP(E188, LookUP_Table!$A$1:$B$4, 2, FALSE), "")</f>
        <v>Graduate</v>
      </c>
      <c r="H188">
        <v>0</v>
      </c>
      <c r="I188">
        <v>0</v>
      </c>
      <c r="J188" t="str">
        <f t="shared" si="12"/>
        <v>Non-Smoker</v>
      </c>
      <c r="K188">
        <v>0</v>
      </c>
      <c r="L188">
        <v>0</v>
      </c>
      <c r="M188">
        <v>0</v>
      </c>
      <c r="N188">
        <v>0</v>
      </c>
      <c r="O188">
        <v>197</v>
      </c>
      <c r="P188" t="str">
        <f t="shared" si="13"/>
        <v>Normal</v>
      </c>
      <c r="Q188">
        <v>104</v>
      </c>
      <c r="R188">
        <v>65</v>
      </c>
      <c r="S188">
        <v>22.9</v>
      </c>
      <c r="T188" t="str">
        <f t="shared" si="14"/>
        <v>Normal</v>
      </c>
      <c r="U188">
        <v>57</v>
      </c>
      <c r="V188">
        <v>97</v>
      </c>
      <c r="W188" t="str">
        <f t="shared" si="17"/>
        <v>Normal</v>
      </c>
      <c r="X188">
        <v>0</v>
      </c>
    </row>
    <row r="189" spans="1:24" ht="14.5" thickBot="1" x14ac:dyDescent="0.35">
      <c r="A189">
        <v>1</v>
      </c>
      <c r="B189" t="str">
        <f t="shared" si="15"/>
        <v>Male</v>
      </c>
      <c r="C189" s="8">
        <v>37</v>
      </c>
      <c r="D189" t="str">
        <f t="shared" si="16"/>
        <v>Young</v>
      </c>
      <c r="E189">
        <v>2</v>
      </c>
      <c r="F189" t="str">
        <f>HLOOKUP(E189, LookUP_Table!$A$6:$D$7, 2, FALSE)</f>
        <v>Secondary</v>
      </c>
      <c r="G189" t="str">
        <f>IFERROR(VLOOKUP(E189, LookUP_Table!$A$1:$B$4, 2, FALSE), "")</f>
        <v>Secondary</v>
      </c>
      <c r="H189">
        <v>1</v>
      </c>
      <c r="I189">
        <v>15</v>
      </c>
      <c r="J189" t="str">
        <f t="shared" si="12"/>
        <v>Smoker</v>
      </c>
      <c r="K189">
        <v>0</v>
      </c>
      <c r="L189">
        <v>0</v>
      </c>
      <c r="M189">
        <v>0</v>
      </c>
      <c r="N189">
        <v>0</v>
      </c>
      <c r="O189">
        <v>158</v>
      </c>
      <c r="P189" t="str">
        <f t="shared" si="13"/>
        <v>Normal</v>
      </c>
      <c r="Q189">
        <v>129</v>
      </c>
      <c r="R189">
        <v>87</v>
      </c>
      <c r="S189">
        <v>24.66</v>
      </c>
      <c r="T189" t="str">
        <f t="shared" si="14"/>
        <v>Normal</v>
      </c>
      <c r="U189">
        <v>62</v>
      </c>
      <c r="V189">
        <v>67</v>
      </c>
      <c r="W189" t="str">
        <f t="shared" si="17"/>
        <v>Normal</v>
      </c>
      <c r="X189">
        <v>0</v>
      </c>
    </row>
    <row r="190" spans="1:24" ht="14.5" thickBot="1" x14ac:dyDescent="0.35">
      <c r="A190">
        <v>1</v>
      </c>
      <c r="B190" t="str">
        <f t="shared" si="15"/>
        <v>Male</v>
      </c>
      <c r="C190" s="8">
        <v>37</v>
      </c>
      <c r="D190" t="str">
        <f t="shared" si="16"/>
        <v>Young</v>
      </c>
      <c r="E190">
        <v>2</v>
      </c>
      <c r="F190" t="str">
        <f>HLOOKUP(E190, LookUP_Table!$A$6:$D$7, 2, FALSE)</f>
        <v>Secondary</v>
      </c>
      <c r="G190" t="str">
        <f>IFERROR(VLOOKUP(E190, LookUP_Table!$A$1:$B$4, 2, FALSE), "")</f>
        <v>Secondary</v>
      </c>
      <c r="H190">
        <v>0</v>
      </c>
      <c r="I190">
        <v>0</v>
      </c>
      <c r="J190" t="str">
        <f t="shared" si="12"/>
        <v>Non-Smoker</v>
      </c>
      <c r="K190">
        <v>0</v>
      </c>
      <c r="L190">
        <v>0</v>
      </c>
      <c r="M190">
        <v>0</v>
      </c>
      <c r="N190">
        <v>0</v>
      </c>
      <c r="O190">
        <v>178</v>
      </c>
      <c r="P190" t="str">
        <f t="shared" si="13"/>
        <v>Normal</v>
      </c>
      <c r="Q190">
        <v>127</v>
      </c>
      <c r="R190">
        <v>81</v>
      </c>
      <c r="S190">
        <v>33.07</v>
      </c>
      <c r="T190" t="str">
        <f t="shared" si="14"/>
        <v>Obese</v>
      </c>
      <c r="U190">
        <v>82</v>
      </c>
      <c r="V190">
        <v>81.96365524402907</v>
      </c>
      <c r="W190" t="str">
        <f t="shared" si="17"/>
        <v>Normal</v>
      </c>
      <c r="X190">
        <v>0</v>
      </c>
    </row>
    <row r="191" spans="1:24" ht="14.5" thickBot="1" x14ac:dyDescent="0.35">
      <c r="A191">
        <v>1</v>
      </c>
      <c r="B191" t="str">
        <f t="shared" si="15"/>
        <v>Male</v>
      </c>
      <c r="C191" s="8">
        <v>37</v>
      </c>
      <c r="D191" t="str">
        <f t="shared" si="16"/>
        <v>Young</v>
      </c>
      <c r="E191">
        <v>1</v>
      </c>
      <c r="F191" t="str">
        <f>HLOOKUP(E191, LookUP_Table!$A$6:$D$7, 2, FALSE)</f>
        <v>Primary</v>
      </c>
      <c r="G191" t="str">
        <f>IFERROR(VLOOKUP(E191, LookUP_Table!$A$1:$B$4, 2, FALSE), "")</f>
        <v>Primary</v>
      </c>
      <c r="H191">
        <v>1</v>
      </c>
      <c r="I191">
        <v>20</v>
      </c>
      <c r="J191" t="str">
        <f t="shared" si="12"/>
        <v>Smoker</v>
      </c>
      <c r="K191">
        <v>0</v>
      </c>
      <c r="L191">
        <v>0</v>
      </c>
      <c r="M191">
        <v>0</v>
      </c>
      <c r="N191">
        <v>0</v>
      </c>
      <c r="O191">
        <v>261</v>
      </c>
      <c r="P191" t="str">
        <f t="shared" si="13"/>
        <v>High</v>
      </c>
      <c r="Q191">
        <v>111.5</v>
      </c>
      <c r="R191">
        <v>72.5</v>
      </c>
      <c r="S191">
        <v>26.48</v>
      </c>
      <c r="T191" t="str">
        <f t="shared" si="14"/>
        <v>Overweight</v>
      </c>
      <c r="U191">
        <v>73</v>
      </c>
      <c r="V191">
        <v>74</v>
      </c>
      <c r="W191" t="str">
        <f t="shared" si="17"/>
        <v>Normal</v>
      </c>
      <c r="X191">
        <v>0</v>
      </c>
    </row>
    <row r="192" spans="1:24" ht="14.5" thickBot="1" x14ac:dyDescent="0.35">
      <c r="A192">
        <v>1</v>
      </c>
      <c r="B192" t="str">
        <f t="shared" si="15"/>
        <v>Male</v>
      </c>
      <c r="C192" s="8">
        <v>37</v>
      </c>
      <c r="D192" t="str">
        <f t="shared" si="16"/>
        <v>Young</v>
      </c>
      <c r="E192">
        <v>2</v>
      </c>
      <c r="F192" t="str">
        <f>HLOOKUP(E192, LookUP_Table!$A$6:$D$7, 2, FALSE)</f>
        <v>Secondary</v>
      </c>
      <c r="G192" t="str">
        <f>IFERROR(VLOOKUP(E192, LookUP_Table!$A$1:$B$4, 2, FALSE), "")</f>
        <v>Secondary</v>
      </c>
      <c r="H192">
        <v>1</v>
      </c>
      <c r="I192">
        <v>20</v>
      </c>
      <c r="J192" t="str">
        <f t="shared" si="12"/>
        <v>Smoker</v>
      </c>
      <c r="K192">
        <v>0</v>
      </c>
      <c r="L192">
        <v>0</v>
      </c>
      <c r="M192">
        <v>0</v>
      </c>
      <c r="N192">
        <v>0</v>
      </c>
      <c r="O192">
        <v>211</v>
      </c>
      <c r="P192" t="str">
        <f t="shared" si="13"/>
        <v>Normal</v>
      </c>
      <c r="Q192">
        <v>116.5</v>
      </c>
      <c r="R192">
        <v>77.5</v>
      </c>
      <c r="S192">
        <v>24.5</v>
      </c>
      <c r="T192" t="str">
        <f t="shared" si="14"/>
        <v>Normal</v>
      </c>
      <c r="U192">
        <v>68</v>
      </c>
      <c r="V192">
        <v>78</v>
      </c>
      <c r="W192" t="str">
        <f t="shared" si="17"/>
        <v>Normal</v>
      </c>
      <c r="X192">
        <v>1</v>
      </c>
    </row>
    <row r="193" spans="1:24" ht="14.5" thickBot="1" x14ac:dyDescent="0.35">
      <c r="A193">
        <v>0</v>
      </c>
      <c r="B193" t="str">
        <f t="shared" si="15"/>
        <v>Female</v>
      </c>
      <c r="C193" s="8">
        <v>37</v>
      </c>
      <c r="D193" t="str">
        <f t="shared" si="16"/>
        <v>Young</v>
      </c>
      <c r="E193">
        <v>1</v>
      </c>
      <c r="F193" t="str">
        <f>HLOOKUP(E193, LookUP_Table!$A$6:$D$7, 2, FALSE)</f>
        <v>Primary</v>
      </c>
      <c r="G193" t="str">
        <f>IFERROR(VLOOKUP(E193, LookUP_Table!$A$1:$B$4, 2, FALSE), "")</f>
        <v>Primary</v>
      </c>
      <c r="H193">
        <v>1</v>
      </c>
      <c r="I193">
        <v>20</v>
      </c>
      <c r="J193" t="str">
        <f t="shared" si="12"/>
        <v>Smoker</v>
      </c>
      <c r="K193">
        <v>0</v>
      </c>
      <c r="L193">
        <v>0</v>
      </c>
      <c r="M193">
        <v>0</v>
      </c>
      <c r="N193">
        <v>0</v>
      </c>
      <c r="O193">
        <v>166</v>
      </c>
      <c r="P193" t="str">
        <f t="shared" si="13"/>
        <v>Normal</v>
      </c>
      <c r="Q193">
        <v>112</v>
      </c>
      <c r="R193">
        <v>73.5</v>
      </c>
      <c r="S193">
        <v>21.64</v>
      </c>
      <c r="T193" t="str">
        <f t="shared" si="14"/>
        <v>Normal</v>
      </c>
      <c r="U193">
        <v>75</v>
      </c>
      <c r="V193">
        <v>93</v>
      </c>
      <c r="W193" t="str">
        <f t="shared" si="17"/>
        <v>Normal</v>
      </c>
      <c r="X193">
        <v>1</v>
      </c>
    </row>
    <row r="194" spans="1:24" ht="14.5" thickBot="1" x14ac:dyDescent="0.35">
      <c r="A194">
        <v>0</v>
      </c>
      <c r="B194" t="str">
        <f t="shared" si="15"/>
        <v>Female</v>
      </c>
      <c r="C194" s="8">
        <v>37</v>
      </c>
      <c r="D194" t="str">
        <f t="shared" si="16"/>
        <v>Young</v>
      </c>
      <c r="E194">
        <v>4</v>
      </c>
      <c r="F194" t="str">
        <f>HLOOKUP(E194, LookUP_Table!$A$6:$D$7, 2, FALSE)</f>
        <v>Post Graduate</v>
      </c>
      <c r="G194" t="str">
        <f>IFERROR(VLOOKUP(E194, LookUP_Table!$A$1:$B$4, 2, FALSE), "")</f>
        <v>Post Graduate</v>
      </c>
      <c r="H194">
        <v>1</v>
      </c>
      <c r="I194">
        <v>3</v>
      </c>
      <c r="J194" t="str">
        <f t="shared" ref="J194:J257" si="18">IF(I194&gt;0,"Smoker","Non-Smoker")</f>
        <v>Smoker</v>
      </c>
      <c r="K194">
        <v>0</v>
      </c>
      <c r="L194">
        <v>0</v>
      </c>
      <c r="M194">
        <v>0</v>
      </c>
      <c r="N194">
        <v>0</v>
      </c>
      <c r="O194">
        <v>160</v>
      </c>
      <c r="P194" t="str">
        <f t="shared" ref="P194:P257" si="19">IF(O194&gt;240,"High","Normal")</f>
        <v>Normal</v>
      </c>
      <c r="Q194">
        <v>104</v>
      </c>
      <c r="R194">
        <v>61</v>
      </c>
      <c r="S194">
        <v>20.22</v>
      </c>
      <c r="T194" t="str">
        <f t="shared" ref="T194:T257" si="20">IF(S194&lt;18.5,"Underweight",
IF(S194&lt;25,"Normal",
IF(S194&lt;30,"Overweight","Obese")))</f>
        <v>Normal</v>
      </c>
      <c r="U194">
        <v>85</v>
      </c>
      <c r="V194">
        <v>100</v>
      </c>
      <c r="W194" t="str">
        <f t="shared" si="17"/>
        <v>Prediabetes</v>
      </c>
      <c r="X194">
        <v>0</v>
      </c>
    </row>
    <row r="195" spans="1:24" ht="14.5" thickBot="1" x14ac:dyDescent="0.35">
      <c r="A195">
        <v>1</v>
      </c>
      <c r="B195" t="str">
        <f t="shared" ref="B195:B258" si="21">IF(A195=0,"Female","Male")</f>
        <v>Male</v>
      </c>
      <c r="C195" s="8">
        <v>37</v>
      </c>
      <c r="D195" t="str">
        <f t="shared" ref="D195:D258" si="22">IF(C195&lt;40,"Young",
IF(C195&lt;55,"Middle Age","Senior"))</f>
        <v>Young</v>
      </c>
      <c r="E195">
        <v>1</v>
      </c>
      <c r="F195" t="str">
        <f>HLOOKUP(E195, LookUP_Table!$A$6:$D$7, 2, FALSE)</f>
        <v>Primary</v>
      </c>
      <c r="G195" t="str">
        <f>IFERROR(VLOOKUP(E195, LookUP_Table!$A$1:$B$4, 2, FALSE), "")</f>
        <v>Primary</v>
      </c>
      <c r="H195">
        <v>1</v>
      </c>
      <c r="I195">
        <v>30</v>
      </c>
      <c r="J195" t="str">
        <f t="shared" si="18"/>
        <v>Smoker</v>
      </c>
      <c r="K195">
        <v>0</v>
      </c>
      <c r="L195">
        <v>0</v>
      </c>
      <c r="M195">
        <v>0</v>
      </c>
      <c r="N195">
        <v>0</v>
      </c>
      <c r="O195">
        <v>179</v>
      </c>
      <c r="P195" t="str">
        <f t="shared" si="19"/>
        <v>Normal</v>
      </c>
      <c r="Q195">
        <v>125</v>
      </c>
      <c r="R195">
        <v>82</v>
      </c>
      <c r="S195">
        <v>19.53</v>
      </c>
      <c r="T195" t="str">
        <f t="shared" si="20"/>
        <v>Normal</v>
      </c>
      <c r="U195">
        <v>60</v>
      </c>
      <c r="V195">
        <v>70</v>
      </c>
      <c r="W195" t="str">
        <f t="shared" ref="W195:W258" si="23">IF(V195 &lt; 100, "Normal", IF(V195 &lt;= 125, "Prediabetes", "Diabetes"))</f>
        <v>Normal</v>
      </c>
      <c r="X195">
        <v>1</v>
      </c>
    </row>
    <row r="196" spans="1:24" ht="14.5" thickBot="1" x14ac:dyDescent="0.35">
      <c r="A196">
        <v>0</v>
      </c>
      <c r="B196" t="str">
        <f t="shared" si="21"/>
        <v>Female</v>
      </c>
      <c r="C196" s="8">
        <v>37</v>
      </c>
      <c r="D196" t="str">
        <f t="shared" si="22"/>
        <v>Young</v>
      </c>
      <c r="E196">
        <v>2</v>
      </c>
      <c r="F196" t="str">
        <f>HLOOKUP(E196, LookUP_Table!$A$6:$D$7, 2, FALSE)</f>
        <v>Secondary</v>
      </c>
      <c r="G196" t="str">
        <f>IFERROR(VLOOKUP(E196, LookUP_Table!$A$1:$B$4, 2, FALSE), "")</f>
        <v>Secondary</v>
      </c>
      <c r="H196">
        <v>1</v>
      </c>
      <c r="I196">
        <v>20</v>
      </c>
      <c r="J196" t="str">
        <f t="shared" si="18"/>
        <v>Smoker</v>
      </c>
      <c r="K196">
        <v>0</v>
      </c>
      <c r="L196">
        <v>0</v>
      </c>
      <c r="M196">
        <v>0</v>
      </c>
      <c r="N196">
        <v>0</v>
      </c>
      <c r="O196">
        <v>164</v>
      </c>
      <c r="P196" t="str">
        <f t="shared" si="19"/>
        <v>Normal</v>
      </c>
      <c r="Q196">
        <v>96.5</v>
      </c>
      <c r="R196">
        <v>67</v>
      </c>
      <c r="S196">
        <v>24.99</v>
      </c>
      <c r="T196" t="str">
        <f t="shared" si="20"/>
        <v>Normal</v>
      </c>
      <c r="U196">
        <v>68</v>
      </c>
      <c r="V196">
        <v>67</v>
      </c>
      <c r="W196" t="str">
        <f t="shared" si="23"/>
        <v>Normal</v>
      </c>
      <c r="X196">
        <v>0</v>
      </c>
    </row>
    <row r="197" spans="1:24" ht="14.5" thickBot="1" x14ac:dyDescent="0.35">
      <c r="A197">
        <v>0</v>
      </c>
      <c r="B197" t="str">
        <f t="shared" si="21"/>
        <v>Female</v>
      </c>
      <c r="C197" s="8">
        <v>37</v>
      </c>
      <c r="D197" t="str">
        <f t="shared" si="22"/>
        <v>Young</v>
      </c>
      <c r="E197">
        <v>2</v>
      </c>
      <c r="F197" t="str">
        <f>HLOOKUP(E197, LookUP_Table!$A$6:$D$7, 2, FALSE)</f>
        <v>Secondary</v>
      </c>
      <c r="G197" t="str">
        <f>IFERROR(VLOOKUP(E197, LookUP_Table!$A$1:$B$4, 2, FALSE), "")</f>
        <v>Secondary</v>
      </c>
      <c r="H197">
        <v>1</v>
      </c>
      <c r="I197">
        <v>20</v>
      </c>
      <c r="J197" t="str">
        <f t="shared" si="18"/>
        <v>Smoker</v>
      </c>
      <c r="K197">
        <v>0</v>
      </c>
      <c r="L197">
        <v>0</v>
      </c>
      <c r="M197">
        <v>0</v>
      </c>
      <c r="N197">
        <v>0</v>
      </c>
      <c r="O197">
        <v>154</v>
      </c>
      <c r="P197" t="str">
        <f t="shared" si="19"/>
        <v>Normal</v>
      </c>
      <c r="Q197">
        <v>106</v>
      </c>
      <c r="R197">
        <v>59.5</v>
      </c>
      <c r="S197">
        <v>22.71</v>
      </c>
      <c r="T197" t="str">
        <f t="shared" si="20"/>
        <v>Normal</v>
      </c>
      <c r="U197">
        <v>72</v>
      </c>
      <c r="V197">
        <v>50</v>
      </c>
      <c r="W197" t="str">
        <f t="shared" si="23"/>
        <v>Normal</v>
      </c>
      <c r="X197">
        <v>0</v>
      </c>
    </row>
    <row r="198" spans="1:24" ht="14.5" thickBot="1" x14ac:dyDescent="0.35">
      <c r="A198">
        <v>1</v>
      </c>
      <c r="B198" t="str">
        <f t="shared" si="21"/>
        <v>Male</v>
      </c>
      <c r="C198" s="8">
        <v>37</v>
      </c>
      <c r="D198" t="str">
        <f t="shared" si="22"/>
        <v>Young</v>
      </c>
      <c r="E198">
        <v>2</v>
      </c>
      <c r="F198" t="str">
        <f>HLOOKUP(E198, LookUP_Table!$A$6:$D$7, 2, FALSE)</f>
        <v>Secondary</v>
      </c>
      <c r="G198" t="str">
        <f>IFERROR(VLOOKUP(E198, LookUP_Table!$A$1:$B$4, 2, FALSE), "")</f>
        <v>Secondary</v>
      </c>
      <c r="H198">
        <v>1</v>
      </c>
      <c r="I198">
        <v>1</v>
      </c>
      <c r="J198" t="str">
        <f t="shared" si="18"/>
        <v>Smoker</v>
      </c>
      <c r="K198">
        <v>0</v>
      </c>
      <c r="L198">
        <v>0</v>
      </c>
      <c r="M198">
        <v>1</v>
      </c>
      <c r="N198">
        <v>0</v>
      </c>
      <c r="O198">
        <v>165</v>
      </c>
      <c r="P198" t="str">
        <f t="shared" si="19"/>
        <v>Normal</v>
      </c>
      <c r="Q198">
        <v>134.5</v>
      </c>
      <c r="R198">
        <v>91</v>
      </c>
      <c r="S198">
        <v>27.97</v>
      </c>
      <c r="T198" t="str">
        <f t="shared" si="20"/>
        <v>Overweight</v>
      </c>
      <c r="U198">
        <v>86</v>
      </c>
      <c r="V198">
        <v>80</v>
      </c>
      <c r="W198" t="str">
        <f t="shared" si="23"/>
        <v>Normal</v>
      </c>
      <c r="X198">
        <v>0</v>
      </c>
    </row>
    <row r="199" spans="1:24" ht="14.5" thickBot="1" x14ac:dyDescent="0.35">
      <c r="A199">
        <v>0</v>
      </c>
      <c r="B199" t="str">
        <f t="shared" si="21"/>
        <v>Female</v>
      </c>
      <c r="C199" s="8">
        <v>37</v>
      </c>
      <c r="D199" t="str">
        <f t="shared" si="22"/>
        <v>Young</v>
      </c>
      <c r="E199">
        <v>2</v>
      </c>
      <c r="F199" t="str">
        <f>HLOOKUP(E199, LookUP_Table!$A$6:$D$7, 2, FALSE)</f>
        <v>Secondary</v>
      </c>
      <c r="G199" t="str">
        <f>IFERROR(VLOOKUP(E199, LookUP_Table!$A$1:$B$4, 2, FALSE), "")</f>
        <v>Secondary</v>
      </c>
      <c r="H199">
        <v>0</v>
      </c>
      <c r="I199">
        <v>0</v>
      </c>
      <c r="J199" t="str">
        <f t="shared" si="18"/>
        <v>Non-Smoker</v>
      </c>
      <c r="K199">
        <v>0</v>
      </c>
      <c r="L199">
        <v>0</v>
      </c>
      <c r="M199">
        <v>0</v>
      </c>
      <c r="N199">
        <v>0</v>
      </c>
      <c r="O199">
        <v>209</v>
      </c>
      <c r="P199" t="str">
        <f t="shared" si="19"/>
        <v>Normal</v>
      </c>
      <c r="Q199">
        <v>115</v>
      </c>
      <c r="R199">
        <v>69</v>
      </c>
      <c r="S199">
        <v>24.66</v>
      </c>
      <c r="T199" t="str">
        <f t="shared" si="20"/>
        <v>Normal</v>
      </c>
      <c r="U199">
        <v>72</v>
      </c>
      <c r="V199">
        <v>77</v>
      </c>
      <c r="W199" t="str">
        <f t="shared" si="23"/>
        <v>Normal</v>
      </c>
      <c r="X199">
        <v>0</v>
      </c>
    </row>
    <row r="200" spans="1:24" ht="14.5" thickBot="1" x14ac:dyDescent="0.35">
      <c r="A200">
        <v>0</v>
      </c>
      <c r="B200" t="str">
        <f t="shared" si="21"/>
        <v>Female</v>
      </c>
      <c r="C200" s="8">
        <v>37</v>
      </c>
      <c r="D200" t="str">
        <f t="shared" si="22"/>
        <v>Young</v>
      </c>
      <c r="E200">
        <v>2</v>
      </c>
      <c r="F200" t="str">
        <f>HLOOKUP(E200, LookUP_Table!$A$6:$D$7, 2, FALSE)</f>
        <v>Secondary</v>
      </c>
      <c r="G200" t="str">
        <f>IFERROR(VLOOKUP(E200, LookUP_Table!$A$1:$B$4, 2, FALSE), "")</f>
        <v>Secondary</v>
      </c>
      <c r="H200">
        <v>1</v>
      </c>
      <c r="I200">
        <v>43</v>
      </c>
      <c r="J200" t="str">
        <f t="shared" si="18"/>
        <v>Smoker</v>
      </c>
      <c r="K200">
        <v>0</v>
      </c>
      <c r="L200">
        <v>0</v>
      </c>
      <c r="M200">
        <v>0</v>
      </c>
      <c r="N200">
        <v>0</v>
      </c>
      <c r="O200">
        <v>167</v>
      </c>
      <c r="P200" t="str">
        <f t="shared" si="19"/>
        <v>Normal</v>
      </c>
      <c r="Q200">
        <v>118</v>
      </c>
      <c r="R200">
        <v>76</v>
      </c>
      <c r="S200">
        <v>19.61</v>
      </c>
      <c r="T200" t="str">
        <f t="shared" si="20"/>
        <v>Normal</v>
      </c>
      <c r="U200">
        <v>65</v>
      </c>
      <c r="V200">
        <v>67</v>
      </c>
      <c r="W200" t="str">
        <f t="shared" si="23"/>
        <v>Normal</v>
      </c>
      <c r="X200">
        <v>0</v>
      </c>
    </row>
    <row r="201" spans="1:24" ht="14.5" thickBot="1" x14ac:dyDescent="0.35">
      <c r="A201">
        <v>1</v>
      </c>
      <c r="B201" t="str">
        <f t="shared" si="21"/>
        <v>Male</v>
      </c>
      <c r="C201" s="8">
        <v>37</v>
      </c>
      <c r="D201" t="str">
        <f t="shared" si="22"/>
        <v>Young</v>
      </c>
      <c r="E201">
        <v>4</v>
      </c>
      <c r="F201" t="str">
        <f>HLOOKUP(E201, LookUP_Table!$A$6:$D$7, 2, FALSE)</f>
        <v>Post Graduate</v>
      </c>
      <c r="G201" t="str">
        <f>IFERROR(VLOOKUP(E201, LookUP_Table!$A$1:$B$4, 2, FALSE), "")</f>
        <v>Post Graduate</v>
      </c>
      <c r="H201">
        <v>0</v>
      </c>
      <c r="I201">
        <v>0</v>
      </c>
      <c r="J201" t="str">
        <f t="shared" si="18"/>
        <v>Non-Smoker</v>
      </c>
      <c r="K201">
        <v>0</v>
      </c>
      <c r="L201">
        <v>0</v>
      </c>
      <c r="M201">
        <v>1</v>
      </c>
      <c r="N201">
        <v>0</v>
      </c>
      <c r="O201">
        <v>230</v>
      </c>
      <c r="P201" t="str">
        <f t="shared" si="19"/>
        <v>Normal</v>
      </c>
      <c r="Q201">
        <v>123</v>
      </c>
      <c r="R201">
        <v>92</v>
      </c>
      <c r="S201">
        <v>28.61</v>
      </c>
      <c r="T201" t="str">
        <f t="shared" si="20"/>
        <v>Overweight</v>
      </c>
      <c r="U201">
        <v>71</v>
      </c>
      <c r="V201">
        <v>80</v>
      </c>
      <c r="W201" t="str">
        <f t="shared" si="23"/>
        <v>Normal</v>
      </c>
      <c r="X201">
        <v>0</v>
      </c>
    </row>
    <row r="202" spans="1:24" ht="14.5" thickBot="1" x14ac:dyDescent="0.35">
      <c r="A202">
        <v>0</v>
      </c>
      <c r="B202" t="str">
        <f t="shared" si="21"/>
        <v>Female</v>
      </c>
      <c r="C202" s="8">
        <v>37</v>
      </c>
      <c r="D202" t="str">
        <f t="shared" si="22"/>
        <v>Young</v>
      </c>
      <c r="E202">
        <v>1</v>
      </c>
      <c r="F202" t="str">
        <f>HLOOKUP(E202, LookUP_Table!$A$6:$D$7, 2, FALSE)</f>
        <v>Primary</v>
      </c>
      <c r="G202" t="str">
        <f>IFERROR(VLOOKUP(E202, LookUP_Table!$A$1:$B$4, 2, FALSE), "")</f>
        <v>Primary</v>
      </c>
      <c r="H202">
        <v>1</v>
      </c>
      <c r="I202">
        <v>1</v>
      </c>
      <c r="J202" t="str">
        <f t="shared" si="18"/>
        <v>Smoker</v>
      </c>
      <c r="K202">
        <v>0</v>
      </c>
      <c r="L202">
        <v>0</v>
      </c>
      <c r="M202">
        <v>1</v>
      </c>
      <c r="N202">
        <v>0</v>
      </c>
      <c r="O202">
        <v>274</v>
      </c>
      <c r="P202" t="str">
        <f t="shared" si="19"/>
        <v>High</v>
      </c>
      <c r="Q202">
        <v>197.5</v>
      </c>
      <c r="R202">
        <v>125</v>
      </c>
      <c r="S202">
        <v>43.48</v>
      </c>
      <c r="T202" t="str">
        <f t="shared" si="20"/>
        <v>Obese</v>
      </c>
      <c r="U202">
        <v>68</v>
      </c>
      <c r="V202">
        <v>94</v>
      </c>
      <c r="W202" t="str">
        <f t="shared" si="23"/>
        <v>Normal</v>
      </c>
      <c r="X202">
        <v>0</v>
      </c>
    </row>
    <row r="203" spans="1:24" ht="14.5" thickBot="1" x14ac:dyDescent="0.35">
      <c r="A203">
        <v>1</v>
      </c>
      <c r="B203" t="str">
        <f t="shared" si="21"/>
        <v>Male</v>
      </c>
      <c r="C203" s="8">
        <v>37</v>
      </c>
      <c r="D203" t="str">
        <f t="shared" si="22"/>
        <v>Young</v>
      </c>
      <c r="E203">
        <v>4</v>
      </c>
      <c r="F203" t="str">
        <f>HLOOKUP(E203, LookUP_Table!$A$6:$D$7, 2, FALSE)</f>
        <v>Post Graduate</v>
      </c>
      <c r="G203" t="str">
        <f>IFERROR(VLOOKUP(E203, LookUP_Table!$A$1:$B$4, 2, FALSE), "")</f>
        <v>Post Graduate</v>
      </c>
      <c r="H203">
        <v>0</v>
      </c>
      <c r="I203">
        <v>0</v>
      </c>
      <c r="J203" t="str">
        <f t="shared" si="18"/>
        <v>Non-Smoker</v>
      </c>
      <c r="K203">
        <v>0</v>
      </c>
      <c r="L203">
        <v>0</v>
      </c>
      <c r="M203">
        <v>0</v>
      </c>
      <c r="N203">
        <v>0</v>
      </c>
      <c r="O203">
        <v>266</v>
      </c>
      <c r="P203" t="str">
        <f t="shared" si="19"/>
        <v>High</v>
      </c>
      <c r="Q203">
        <v>110</v>
      </c>
      <c r="R203">
        <v>72.5</v>
      </c>
      <c r="S203">
        <v>26.09</v>
      </c>
      <c r="T203" t="str">
        <f t="shared" si="20"/>
        <v>Overweight</v>
      </c>
      <c r="U203">
        <v>77</v>
      </c>
      <c r="V203">
        <v>73</v>
      </c>
      <c r="W203" t="str">
        <f t="shared" si="23"/>
        <v>Normal</v>
      </c>
      <c r="X203">
        <v>1</v>
      </c>
    </row>
    <row r="204" spans="1:24" ht="14.5" thickBot="1" x14ac:dyDescent="0.35">
      <c r="A204">
        <v>1</v>
      </c>
      <c r="B204" t="str">
        <f t="shared" si="21"/>
        <v>Male</v>
      </c>
      <c r="C204" s="8">
        <v>37</v>
      </c>
      <c r="D204" t="str">
        <f t="shared" si="22"/>
        <v>Young</v>
      </c>
      <c r="E204">
        <v>1</v>
      </c>
      <c r="F204" t="str">
        <f>HLOOKUP(E204, LookUP_Table!$A$6:$D$7, 2, FALSE)</f>
        <v>Primary</v>
      </c>
      <c r="G204" t="str">
        <f>IFERROR(VLOOKUP(E204, LookUP_Table!$A$1:$B$4, 2, FALSE), "")</f>
        <v>Primary</v>
      </c>
      <c r="H204">
        <v>1</v>
      </c>
      <c r="I204">
        <v>25</v>
      </c>
      <c r="J204" t="str">
        <f t="shared" si="18"/>
        <v>Smoker</v>
      </c>
      <c r="K204">
        <v>0</v>
      </c>
      <c r="L204">
        <v>0</v>
      </c>
      <c r="M204">
        <v>0</v>
      </c>
      <c r="N204">
        <v>0</v>
      </c>
      <c r="O204">
        <v>243</v>
      </c>
      <c r="P204" t="str">
        <f t="shared" si="19"/>
        <v>High</v>
      </c>
      <c r="Q204">
        <v>125</v>
      </c>
      <c r="R204">
        <v>75</v>
      </c>
      <c r="S204">
        <v>29.19</v>
      </c>
      <c r="T204" t="str">
        <f t="shared" si="20"/>
        <v>Overweight</v>
      </c>
      <c r="U204">
        <v>60</v>
      </c>
      <c r="V204">
        <v>78</v>
      </c>
      <c r="W204" t="str">
        <f t="shared" si="23"/>
        <v>Normal</v>
      </c>
      <c r="X204">
        <v>0</v>
      </c>
    </row>
    <row r="205" spans="1:24" ht="14.5" thickBot="1" x14ac:dyDescent="0.35">
      <c r="A205">
        <v>1</v>
      </c>
      <c r="B205" t="str">
        <f t="shared" si="21"/>
        <v>Male</v>
      </c>
      <c r="C205" s="8">
        <v>37</v>
      </c>
      <c r="D205" t="str">
        <f t="shared" si="22"/>
        <v>Young</v>
      </c>
      <c r="E205">
        <v>2</v>
      </c>
      <c r="F205" t="str">
        <f>HLOOKUP(E205, LookUP_Table!$A$6:$D$7, 2, FALSE)</f>
        <v>Secondary</v>
      </c>
      <c r="G205" t="str">
        <f>IFERROR(VLOOKUP(E205, LookUP_Table!$A$1:$B$4, 2, FALSE), "")</f>
        <v>Secondary</v>
      </c>
      <c r="H205">
        <v>1</v>
      </c>
      <c r="I205">
        <v>20</v>
      </c>
      <c r="J205" t="str">
        <f t="shared" si="18"/>
        <v>Smoker</v>
      </c>
      <c r="K205">
        <v>0</v>
      </c>
      <c r="L205">
        <v>0</v>
      </c>
      <c r="M205">
        <v>0</v>
      </c>
      <c r="N205">
        <v>0</v>
      </c>
      <c r="O205">
        <v>232</v>
      </c>
      <c r="P205" t="str">
        <f t="shared" si="19"/>
        <v>Normal</v>
      </c>
      <c r="Q205">
        <v>129</v>
      </c>
      <c r="R205">
        <v>74</v>
      </c>
      <c r="S205">
        <v>24.46</v>
      </c>
      <c r="T205" t="str">
        <f t="shared" si="20"/>
        <v>Normal</v>
      </c>
      <c r="U205">
        <v>86</v>
      </c>
      <c r="V205">
        <v>88</v>
      </c>
      <c r="W205" t="str">
        <f t="shared" si="23"/>
        <v>Normal</v>
      </c>
      <c r="X205">
        <v>0</v>
      </c>
    </row>
    <row r="206" spans="1:24" ht="14.5" thickBot="1" x14ac:dyDescent="0.35">
      <c r="A206">
        <v>0</v>
      </c>
      <c r="B206" t="str">
        <f t="shared" si="21"/>
        <v>Female</v>
      </c>
      <c r="C206" s="8">
        <v>37</v>
      </c>
      <c r="D206" t="str">
        <f t="shared" si="22"/>
        <v>Young</v>
      </c>
      <c r="E206">
        <v>4</v>
      </c>
      <c r="F206" t="str">
        <f>HLOOKUP(E206, LookUP_Table!$A$6:$D$7, 2, FALSE)</f>
        <v>Post Graduate</v>
      </c>
      <c r="G206" t="str">
        <f>IFERROR(VLOOKUP(E206, LookUP_Table!$A$1:$B$4, 2, FALSE), "")</f>
        <v>Post Graduate</v>
      </c>
      <c r="H206">
        <v>1</v>
      </c>
      <c r="I206">
        <v>10</v>
      </c>
      <c r="J206" t="str">
        <f t="shared" si="18"/>
        <v>Smoker</v>
      </c>
      <c r="K206">
        <v>0</v>
      </c>
      <c r="L206">
        <v>0</v>
      </c>
      <c r="M206">
        <v>0</v>
      </c>
      <c r="N206">
        <v>0</v>
      </c>
      <c r="O206">
        <v>156</v>
      </c>
      <c r="P206" t="str">
        <f t="shared" si="19"/>
        <v>Normal</v>
      </c>
      <c r="Q206">
        <v>120</v>
      </c>
      <c r="R206">
        <v>87</v>
      </c>
      <c r="S206">
        <v>21.8</v>
      </c>
      <c r="T206" t="str">
        <f t="shared" si="20"/>
        <v>Normal</v>
      </c>
      <c r="U206">
        <v>66</v>
      </c>
      <c r="V206">
        <v>89</v>
      </c>
      <c r="W206" t="str">
        <f t="shared" si="23"/>
        <v>Normal</v>
      </c>
      <c r="X206">
        <v>0</v>
      </c>
    </row>
    <row r="207" spans="1:24" ht="14.5" thickBot="1" x14ac:dyDescent="0.35">
      <c r="A207">
        <v>0</v>
      </c>
      <c r="B207" t="str">
        <f t="shared" si="21"/>
        <v>Female</v>
      </c>
      <c r="C207" s="8">
        <v>37</v>
      </c>
      <c r="D207" t="str">
        <f t="shared" si="22"/>
        <v>Young</v>
      </c>
      <c r="E207">
        <v>2</v>
      </c>
      <c r="F207" t="str">
        <f>HLOOKUP(E207, LookUP_Table!$A$6:$D$7, 2, FALSE)</f>
        <v>Secondary</v>
      </c>
      <c r="G207" t="str">
        <f>IFERROR(VLOOKUP(E207, LookUP_Table!$A$1:$B$4, 2, FALSE), "")</f>
        <v>Secondary</v>
      </c>
      <c r="H207">
        <v>1</v>
      </c>
      <c r="I207">
        <v>9</v>
      </c>
      <c r="J207" t="str">
        <f t="shared" si="18"/>
        <v>Smoker</v>
      </c>
      <c r="K207">
        <v>0</v>
      </c>
      <c r="L207">
        <v>0</v>
      </c>
      <c r="M207">
        <v>0</v>
      </c>
      <c r="N207">
        <v>0</v>
      </c>
      <c r="O207">
        <v>185</v>
      </c>
      <c r="P207" t="str">
        <f t="shared" si="19"/>
        <v>Normal</v>
      </c>
      <c r="Q207">
        <v>115</v>
      </c>
      <c r="R207">
        <v>76</v>
      </c>
      <c r="S207">
        <v>23.55</v>
      </c>
      <c r="T207" t="str">
        <f t="shared" si="20"/>
        <v>Normal</v>
      </c>
      <c r="U207">
        <v>85</v>
      </c>
      <c r="V207">
        <v>80</v>
      </c>
      <c r="W207" t="str">
        <f t="shared" si="23"/>
        <v>Normal</v>
      </c>
      <c r="X207">
        <v>0</v>
      </c>
    </row>
    <row r="208" spans="1:24" ht="14.5" thickBot="1" x14ac:dyDescent="0.35">
      <c r="A208">
        <v>1</v>
      </c>
      <c r="B208" t="str">
        <f t="shared" si="21"/>
        <v>Male</v>
      </c>
      <c r="C208" s="8">
        <v>37</v>
      </c>
      <c r="D208" t="str">
        <f t="shared" si="22"/>
        <v>Young</v>
      </c>
      <c r="E208">
        <v>2</v>
      </c>
      <c r="F208" t="str">
        <f>HLOOKUP(E208, LookUP_Table!$A$6:$D$7, 2, FALSE)</f>
        <v>Secondary</v>
      </c>
      <c r="G208" t="str">
        <f>IFERROR(VLOOKUP(E208, LookUP_Table!$A$1:$B$4, 2, FALSE), "")</f>
        <v>Secondary</v>
      </c>
      <c r="H208">
        <v>1</v>
      </c>
      <c r="I208">
        <v>9</v>
      </c>
      <c r="J208" t="str">
        <f t="shared" si="18"/>
        <v>Smoker</v>
      </c>
      <c r="K208">
        <v>0</v>
      </c>
      <c r="L208">
        <v>0</v>
      </c>
      <c r="M208">
        <v>0</v>
      </c>
      <c r="N208">
        <v>0</v>
      </c>
      <c r="O208">
        <v>237</v>
      </c>
      <c r="P208" t="str">
        <f t="shared" si="19"/>
        <v>Normal</v>
      </c>
      <c r="Q208">
        <v>102</v>
      </c>
      <c r="R208">
        <v>72</v>
      </c>
      <c r="S208">
        <v>19.68</v>
      </c>
      <c r="T208" t="str">
        <f t="shared" si="20"/>
        <v>Normal</v>
      </c>
      <c r="U208">
        <v>67</v>
      </c>
      <c r="V208">
        <v>83</v>
      </c>
      <c r="W208" t="str">
        <f t="shared" si="23"/>
        <v>Normal</v>
      </c>
      <c r="X208">
        <v>0</v>
      </c>
    </row>
    <row r="209" spans="1:24" ht="14.5" thickBot="1" x14ac:dyDescent="0.35">
      <c r="A209">
        <v>1</v>
      </c>
      <c r="B209" t="str">
        <f t="shared" si="21"/>
        <v>Male</v>
      </c>
      <c r="C209" s="8">
        <v>37</v>
      </c>
      <c r="D209" t="str">
        <f t="shared" si="22"/>
        <v>Young</v>
      </c>
      <c r="E209">
        <v>4</v>
      </c>
      <c r="F209" t="str">
        <f>HLOOKUP(E209, LookUP_Table!$A$6:$D$7, 2, FALSE)</f>
        <v>Post Graduate</v>
      </c>
      <c r="G209" t="str">
        <f>IFERROR(VLOOKUP(E209, LookUP_Table!$A$1:$B$4, 2, FALSE), "")</f>
        <v>Post Graduate</v>
      </c>
      <c r="H209">
        <v>1</v>
      </c>
      <c r="I209">
        <v>16</v>
      </c>
      <c r="J209" t="str">
        <f t="shared" si="18"/>
        <v>Smoker</v>
      </c>
      <c r="K209">
        <v>0</v>
      </c>
      <c r="L209">
        <v>0</v>
      </c>
      <c r="M209">
        <v>0</v>
      </c>
      <c r="N209">
        <v>0</v>
      </c>
      <c r="O209">
        <v>212</v>
      </c>
      <c r="P209" t="str">
        <f t="shared" si="19"/>
        <v>Normal</v>
      </c>
      <c r="Q209">
        <v>120</v>
      </c>
      <c r="R209">
        <v>72</v>
      </c>
      <c r="S209">
        <v>23.51</v>
      </c>
      <c r="T209" t="str">
        <f t="shared" si="20"/>
        <v>Normal</v>
      </c>
      <c r="U209">
        <v>75</v>
      </c>
      <c r="V209">
        <v>80</v>
      </c>
      <c r="W209" t="str">
        <f t="shared" si="23"/>
        <v>Normal</v>
      </c>
      <c r="X209">
        <v>0</v>
      </c>
    </row>
    <row r="210" spans="1:24" ht="14.5" thickBot="1" x14ac:dyDescent="0.35">
      <c r="A210">
        <v>0</v>
      </c>
      <c r="B210" t="str">
        <f t="shared" si="21"/>
        <v>Female</v>
      </c>
      <c r="C210" s="8">
        <v>37</v>
      </c>
      <c r="D210" t="str">
        <f t="shared" si="22"/>
        <v>Young</v>
      </c>
      <c r="E210">
        <v>1</v>
      </c>
      <c r="F210" t="str">
        <f>HLOOKUP(E210, LookUP_Table!$A$6:$D$7, 2, FALSE)</f>
        <v>Primary</v>
      </c>
      <c r="G210" t="str">
        <f>IFERROR(VLOOKUP(E210, LookUP_Table!$A$1:$B$4, 2, FALSE), "")</f>
        <v>Primary</v>
      </c>
      <c r="H210">
        <v>1</v>
      </c>
      <c r="I210">
        <v>20</v>
      </c>
      <c r="J210" t="str">
        <f t="shared" si="18"/>
        <v>Smoker</v>
      </c>
      <c r="K210">
        <v>0</v>
      </c>
      <c r="L210">
        <v>0</v>
      </c>
      <c r="M210">
        <v>0</v>
      </c>
      <c r="N210">
        <v>0</v>
      </c>
      <c r="O210">
        <v>200</v>
      </c>
      <c r="P210" t="str">
        <f t="shared" si="19"/>
        <v>Normal</v>
      </c>
      <c r="Q210">
        <v>112.5</v>
      </c>
      <c r="R210">
        <v>68</v>
      </c>
      <c r="S210">
        <v>25.87</v>
      </c>
      <c r="T210" t="str">
        <f t="shared" si="20"/>
        <v>Overweight</v>
      </c>
      <c r="U210">
        <v>65</v>
      </c>
      <c r="V210">
        <v>67</v>
      </c>
      <c r="W210" t="str">
        <f t="shared" si="23"/>
        <v>Normal</v>
      </c>
      <c r="X210">
        <v>0</v>
      </c>
    </row>
    <row r="211" spans="1:24" ht="14.5" thickBot="1" x14ac:dyDescent="0.35">
      <c r="A211">
        <v>0</v>
      </c>
      <c r="B211" t="str">
        <f t="shared" si="21"/>
        <v>Female</v>
      </c>
      <c r="C211" s="8">
        <v>37</v>
      </c>
      <c r="D211" t="str">
        <f t="shared" si="22"/>
        <v>Young</v>
      </c>
      <c r="E211">
        <v>3</v>
      </c>
      <c r="F211" t="str">
        <f>HLOOKUP(E211, LookUP_Table!$A$6:$D$7, 2, FALSE)</f>
        <v>Graduate</v>
      </c>
      <c r="G211" t="str">
        <f>IFERROR(VLOOKUP(E211, LookUP_Table!$A$1:$B$4, 2, FALSE), "")</f>
        <v>Graduate</v>
      </c>
      <c r="H211">
        <v>1</v>
      </c>
      <c r="I211">
        <v>15</v>
      </c>
      <c r="J211" t="str">
        <f t="shared" si="18"/>
        <v>Smoker</v>
      </c>
      <c r="K211">
        <v>0</v>
      </c>
      <c r="L211">
        <v>0</v>
      </c>
      <c r="M211">
        <v>0</v>
      </c>
      <c r="N211">
        <v>0</v>
      </c>
      <c r="O211">
        <v>222</v>
      </c>
      <c r="P211" t="str">
        <f t="shared" si="19"/>
        <v>Normal</v>
      </c>
      <c r="Q211">
        <v>110</v>
      </c>
      <c r="R211">
        <v>71</v>
      </c>
      <c r="S211">
        <v>18.3</v>
      </c>
      <c r="T211" t="str">
        <f t="shared" si="20"/>
        <v>Underweight</v>
      </c>
      <c r="U211">
        <v>80</v>
      </c>
      <c r="V211">
        <v>67</v>
      </c>
      <c r="W211" t="str">
        <f t="shared" si="23"/>
        <v>Normal</v>
      </c>
      <c r="X211">
        <v>0</v>
      </c>
    </row>
    <row r="212" spans="1:24" ht="14.5" thickBot="1" x14ac:dyDescent="0.35">
      <c r="A212">
        <v>1</v>
      </c>
      <c r="B212" t="str">
        <f t="shared" si="21"/>
        <v>Male</v>
      </c>
      <c r="C212" s="8">
        <v>37</v>
      </c>
      <c r="D212" t="str">
        <f t="shared" si="22"/>
        <v>Young</v>
      </c>
      <c r="E212">
        <v>2</v>
      </c>
      <c r="F212" t="str">
        <f>HLOOKUP(E212, LookUP_Table!$A$6:$D$7, 2, FALSE)</f>
        <v>Secondary</v>
      </c>
      <c r="G212" t="str">
        <f>IFERROR(VLOOKUP(E212, LookUP_Table!$A$1:$B$4, 2, FALSE), "")</f>
        <v>Secondary</v>
      </c>
      <c r="H212">
        <v>1</v>
      </c>
      <c r="I212">
        <v>20</v>
      </c>
      <c r="J212" t="str">
        <f t="shared" si="18"/>
        <v>Smoker</v>
      </c>
      <c r="K212">
        <v>0</v>
      </c>
      <c r="L212">
        <v>0</v>
      </c>
      <c r="M212">
        <v>0</v>
      </c>
      <c r="N212">
        <v>0</v>
      </c>
      <c r="O212">
        <v>309</v>
      </c>
      <c r="P212" t="str">
        <f t="shared" si="19"/>
        <v>High</v>
      </c>
      <c r="Q212">
        <v>107.5</v>
      </c>
      <c r="R212">
        <v>80</v>
      </c>
      <c r="S212">
        <v>25.23</v>
      </c>
      <c r="T212" t="str">
        <f t="shared" si="20"/>
        <v>Overweight</v>
      </c>
      <c r="U212">
        <v>65</v>
      </c>
      <c r="V212">
        <v>84</v>
      </c>
      <c r="W212" t="str">
        <f t="shared" si="23"/>
        <v>Normal</v>
      </c>
      <c r="X212">
        <v>0</v>
      </c>
    </row>
    <row r="213" spans="1:24" ht="14.5" thickBot="1" x14ac:dyDescent="0.35">
      <c r="A213">
        <v>0</v>
      </c>
      <c r="B213" t="str">
        <f t="shared" si="21"/>
        <v>Female</v>
      </c>
      <c r="C213" s="8">
        <v>37</v>
      </c>
      <c r="D213" t="str">
        <f t="shared" si="22"/>
        <v>Young</v>
      </c>
      <c r="E213">
        <v>2</v>
      </c>
      <c r="F213" t="str">
        <f>HLOOKUP(E213, LookUP_Table!$A$6:$D$7, 2, FALSE)</f>
        <v>Secondary</v>
      </c>
      <c r="G213" t="str">
        <f>IFERROR(VLOOKUP(E213, LookUP_Table!$A$1:$B$4, 2, FALSE), "")</f>
        <v>Secondary</v>
      </c>
      <c r="H213">
        <v>0</v>
      </c>
      <c r="I213">
        <v>0</v>
      </c>
      <c r="J213" t="str">
        <f t="shared" si="18"/>
        <v>Non-Smoker</v>
      </c>
      <c r="K213">
        <v>0</v>
      </c>
      <c r="L213">
        <v>0</v>
      </c>
      <c r="M213">
        <v>0</v>
      </c>
      <c r="N213">
        <v>0</v>
      </c>
      <c r="O213">
        <v>249</v>
      </c>
      <c r="P213" t="str">
        <f t="shared" si="19"/>
        <v>High</v>
      </c>
      <c r="Q213">
        <v>108</v>
      </c>
      <c r="R213">
        <v>74</v>
      </c>
      <c r="S213">
        <v>23.28</v>
      </c>
      <c r="T213" t="str">
        <f t="shared" si="20"/>
        <v>Normal</v>
      </c>
      <c r="U213">
        <v>82</v>
      </c>
      <c r="V213">
        <v>66</v>
      </c>
      <c r="W213" t="str">
        <f t="shared" si="23"/>
        <v>Normal</v>
      </c>
      <c r="X213">
        <v>0</v>
      </c>
    </row>
    <row r="214" spans="1:24" ht="14.5" thickBot="1" x14ac:dyDescent="0.35">
      <c r="A214">
        <v>1</v>
      </c>
      <c r="B214" t="str">
        <f t="shared" si="21"/>
        <v>Male</v>
      </c>
      <c r="C214" s="8">
        <v>37</v>
      </c>
      <c r="D214" t="str">
        <f t="shared" si="22"/>
        <v>Young</v>
      </c>
      <c r="E214">
        <v>2</v>
      </c>
      <c r="F214" t="str">
        <f>HLOOKUP(E214, LookUP_Table!$A$6:$D$7, 2, FALSE)</f>
        <v>Secondary</v>
      </c>
      <c r="G214" t="str">
        <f>IFERROR(VLOOKUP(E214, LookUP_Table!$A$1:$B$4, 2, FALSE), "")</f>
        <v>Secondary</v>
      </c>
      <c r="H214">
        <v>1</v>
      </c>
      <c r="I214">
        <v>30</v>
      </c>
      <c r="J214" t="str">
        <f t="shared" si="18"/>
        <v>Smoker</v>
      </c>
      <c r="K214">
        <v>0</v>
      </c>
      <c r="L214">
        <v>0</v>
      </c>
      <c r="M214">
        <v>0</v>
      </c>
      <c r="N214">
        <v>0</v>
      </c>
      <c r="O214">
        <v>179</v>
      </c>
      <c r="P214" t="str">
        <f t="shared" si="19"/>
        <v>Normal</v>
      </c>
      <c r="Q214">
        <v>131.5</v>
      </c>
      <c r="R214">
        <v>81</v>
      </c>
      <c r="S214">
        <v>24.99</v>
      </c>
      <c r="T214" t="str">
        <f t="shared" si="20"/>
        <v>Normal</v>
      </c>
      <c r="U214">
        <v>64</v>
      </c>
      <c r="V214">
        <v>68</v>
      </c>
      <c r="W214" t="str">
        <f t="shared" si="23"/>
        <v>Normal</v>
      </c>
      <c r="X214">
        <v>0</v>
      </c>
    </row>
    <row r="215" spans="1:24" ht="14.5" thickBot="1" x14ac:dyDescent="0.35">
      <c r="A215">
        <v>1</v>
      </c>
      <c r="B215" t="str">
        <f t="shared" si="21"/>
        <v>Male</v>
      </c>
      <c r="C215" s="8">
        <v>37</v>
      </c>
      <c r="D215" t="str">
        <f t="shared" si="22"/>
        <v>Young</v>
      </c>
      <c r="E215">
        <v>3</v>
      </c>
      <c r="F215" t="str">
        <f>HLOOKUP(E215, LookUP_Table!$A$6:$D$7, 2, FALSE)</f>
        <v>Graduate</v>
      </c>
      <c r="G215" t="str">
        <f>IFERROR(VLOOKUP(E215, LookUP_Table!$A$1:$B$4, 2, FALSE), "")</f>
        <v>Graduate</v>
      </c>
      <c r="H215">
        <v>1</v>
      </c>
      <c r="I215">
        <v>20</v>
      </c>
      <c r="J215" t="str">
        <f t="shared" si="18"/>
        <v>Smoker</v>
      </c>
      <c r="K215">
        <v>0</v>
      </c>
      <c r="L215">
        <v>0</v>
      </c>
      <c r="M215">
        <v>0</v>
      </c>
      <c r="N215">
        <v>0</v>
      </c>
      <c r="O215">
        <v>205</v>
      </c>
      <c r="P215" t="str">
        <f t="shared" si="19"/>
        <v>Normal</v>
      </c>
      <c r="Q215">
        <v>142</v>
      </c>
      <c r="R215">
        <v>80</v>
      </c>
      <c r="S215">
        <v>27.93</v>
      </c>
      <c r="T215" t="str">
        <f t="shared" si="20"/>
        <v>Overweight</v>
      </c>
      <c r="U215">
        <v>100</v>
      </c>
      <c r="V215">
        <v>103</v>
      </c>
      <c r="W215" t="str">
        <f t="shared" si="23"/>
        <v>Prediabetes</v>
      </c>
      <c r="X215">
        <v>0</v>
      </c>
    </row>
    <row r="216" spans="1:24" ht="14.5" thickBot="1" x14ac:dyDescent="0.35">
      <c r="A216">
        <v>0</v>
      </c>
      <c r="B216" t="str">
        <f t="shared" si="21"/>
        <v>Female</v>
      </c>
      <c r="C216" s="8">
        <v>37</v>
      </c>
      <c r="D216" t="str">
        <f t="shared" si="22"/>
        <v>Young</v>
      </c>
      <c r="E216">
        <v>2</v>
      </c>
      <c r="F216" t="str">
        <f>HLOOKUP(E216, LookUP_Table!$A$6:$D$7, 2, FALSE)</f>
        <v>Secondary</v>
      </c>
      <c r="G216" t="str">
        <f>IFERROR(VLOOKUP(E216, LookUP_Table!$A$1:$B$4, 2, FALSE), "")</f>
        <v>Secondary</v>
      </c>
      <c r="H216">
        <v>0</v>
      </c>
      <c r="I216">
        <v>0</v>
      </c>
      <c r="J216" t="str">
        <f t="shared" si="18"/>
        <v>Non-Smoker</v>
      </c>
      <c r="K216">
        <v>0</v>
      </c>
      <c r="L216">
        <v>0</v>
      </c>
      <c r="M216">
        <v>0</v>
      </c>
      <c r="N216">
        <v>0</v>
      </c>
      <c r="O216">
        <v>217</v>
      </c>
      <c r="P216" t="str">
        <f t="shared" si="19"/>
        <v>Normal</v>
      </c>
      <c r="Q216">
        <v>126</v>
      </c>
      <c r="R216">
        <v>80</v>
      </c>
      <c r="S216">
        <v>25.91</v>
      </c>
      <c r="T216" t="str">
        <f t="shared" si="20"/>
        <v>Overweight</v>
      </c>
      <c r="U216">
        <v>75</v>
      </c>
      <c r="V216">
        <v>62</v>
      </c>
      <c r="W216" t="str">
        <f t="shared" si="23"/>
        <v>Normal</v>
      </c>
      <c r="X216">
        <v>0</v>
      </c>
    </row>
    <row r="217" spans="1:24" ht="14.5" thickBot="1" x14ac:dyDescent="0.35">
      <c r="A217">
        <v>1</v>
      </c>
      <c r="B217" t="str">
        <f t="shared" si="21"/>
        <v>Male</v>
      </c>
      <c r="C217" s="8">
        <v>37</v>
      </c>
      <c r="D217" t="str">
        <f t="shared" si="22"/>
        <v>Young</v>
      </c>
      <c r="E217">
        <v>3</v>
      </c>
      <c r="F217" t="str">
        <f>HLOOKUP(E217, LookUP_Table!$A$6:$D$7, 2, FALSE)</f>
        <v>Graduate</v>
      </c>
      <c r="G217" t="str">
        <f>IFERROR(VLOOKUP(E217, LookUP_Table!$A$1:$B$4, 2, FALSE), "")</f>
        <v>Graduate</v>
      </c>
      <c r="H217">
        <v>0</v>
      </c>
      <c r="I217">
        <v>0</v>
      </c>
      <c r="J217" t="str">
        <f t="shared" si="18"/>
        <v>Non-Smoker</v>
      </c>
      <c r="K217">
        <v>0</v>
      </c>
      <c r="L217">
        <v>0</v>
      </c>
      <c r="M217">
        <v>0</v>
      </c>
      <c r="N217">
        <v>0</v>
      </c>
      <c r="O217">
        <v>257</v>
      </c>
      <c r="P217" t="str">
        <f t="shared" si="19"/>
        <v>High</v>
      </c>
      <c r="Q217">
        <v>105</v>
      </c>
      <c r="R217">
        <v>70</v>
      </c>
      <c r="S217">
        <v>31.47</v>
      </c>
      <c r="T217" t="str">
        <f t="shared" si="20"/>
        <v>Obese</v>
      </c>
      <c r="U217">
        <v>75</v>
      </c>
      <c r="V217">
        <v>80</v>
      </c>
      <c r="W217" t="str">
        <f t="shared" si="23"/>
        <v>Normal</v>
      </c>
      <c r="X217">
        <v>0</v>
      </c>
    </row>
    <row r="218" spans="1:24" ht="14.5" thickBot="1" x14ac:dyDescent="0.35">
      <c r="A218">
        <v>1</v>
      </c>
      <c r="B218" t="str">
        <f t="shared" si="21"/>
        <v>Male</v>
      </c>
      <c r="C218" s="8">
        <v>37</v>
      </c>
      <c r="D218" t="str">
        <f t="shared" si="22"/>
        <v>Young</v>
      </c>
      <c r="E218">
        <v>3</v>
      </c>
      <c r="F218" t="str">
        <f>HLOOKUP(E218, LookUP_Table!$A$6:$D$7, 2, FALSE)</f>
        <v>Graduate</v>
      </c>
      <c r="G218" t="str">
        <f>IFERROR(VLOOKUP(E218, LookUP_Table!$A$1:$B$4, 2, FALSE), "")</f>
        <v>Graduate</v>
      </c>
      <c r="H218">
        <v>1</v>
      </c>
      <c r="I218">
        <v>9</v>
      </c>
      <c r="J218" t="str">
        <f t="shared" si="18"/>
        <v>Smoker</v>
      </c>
      <c r="K218">
        <v>0</v>
      </c>
      <c r="L218">
        <v>0</v>
      </c>
      <c r="M218">
        <v>0</v>
      </c>
      <c r="N218">
        <v>0</v>
      </c>
      <c r="O218">
        <v>188</v>
      </c>
      <c r="P218" t="str">
        <f t="shared" si="19"/>
        <v>Normal</v>
      </c>
      <c r="Q218">
        <v>123.5</v>
      </c>
      <c r="R218">
        <v>77</v>
      </c>
      <c r="S218">
        <v>26.62</v>
      </c>
      <c r="T218" t="str">
        <f t="shared" si="20"/>
        <v>Overweight</v>
      </c>
      <c r="U218">
        <v>65</v>
      </c>
      <c r="V218">
        <v>80</v>
      </c>
      <c r="W218" t="str">
        <f t="shared" si="23"/>
        <v>Normal</v>
      </c>
      <c r="X218">
        <v>0</v>
      </c>
    </row>
    <row r="219" spans="1:24" ht="14.5" thickBot="1" x14ac:dyDescent="0.35">
      <c r="A219">
        <v>1</v>
      </c>
      <c r="B219" t="str">
        <f t="shared" si="21"/>
        <v>Male</v>
      </c>
      <c r="C219" s="8">
        <v>37</v>
      </c>
      <c r="D219" t="str">
        <f t="shared" si="22"/>
        <v>Young</v>
      </c>
      <c r="E219">
        <v>4</v>
      </c>
      <c r="F219" t="str">
        <f>HLOOKUP(E219, LookUP_Table!$A$6:$D$7, 2, FALSE)</f>
        <v>Post Graduate</v>
      </c>
      <c r="G219" t="str">
        <f>IFERROR(VLOOKUP(E219, LookUP_Table!$A$1:$B$4, 2, FALSE), "")</f>
        <v>Post Graduate</v>
      </c>
      <c r="H219">
        <v>0</v>
      </c>
      <c r="I219">
        <v>0</v>
      </c>
      <c r="J219" t="str">
        <f t="shared" si="18"/>
        <v>Non-Smoker</v>
      </c>
      <c r="K219">
        <v>0</v>
      </c>
      <c r="L219">
        <v>0</v>
      </c>
      <c r="M219">
        <v>0</v>
      </c>
      <c r="N219">
        <v>0</v>
      </c>
      <c r="O219">
        <v>253</v>
      </c>
      <c r="P219" t="str">
        <f t="shared" si="19"/>
        <v>High</v>
      </c>
      <c r="Q219">
        <v>122</v>
      </c>
      <c r="R219">
        <v>81</v>
      </c>
      <c r="S219">
        <v>27.98</v>
      </c>
      <c r="T219" t="str">
        <f t="shared" si="20"/>
        <v>Overweight</v>
      </c>
      <c r="U219">
        <v>75</v>
      </c>
      <c r="V219">
        <v>93</v>
      </c>
      <c r="W219" t="str">
        <f t="shared" si="23"/>
        <v>Normal</v>
      </c>
      <c r="X219">
        <v>0</v>
      </c>
    </row>
    <row r="220" spans="1:24" ht="14.5" thickBot="1" x14ac:dyDescent="0.35">
      <c r="A220">
        <v>0</v>
      </c>
      <c r="B220" t="str">
        <f t="shared" si="21"/>
        <v>Female</v>
      </c>
      <c r="C220" s="8">
        <v>37</v>
      </c>
      <c r="D220" t="str">
        <f t="shared" si="22"/>
        <v>Young</v>
      </c>
      <c r="E220">
        <v>1</v>
      </c>
      <c r="F220" t="str">
        <f>HLOOKUP(E220, LookUP_Table!$A$6:$D$7, 2, FALSE)</f>
        <v>Primary</v>
      </c>
      <c r="G220" t="str">
        <f>IFERROR(VLOOKUP(E220, LookUP_Table!$A$1:$B$4, 2, FALSE), "")</f>
        <v>Primary</v>
      </c>
      <c r="H220">
        <v>0</v>
      </c>
      <c r="I220">
        <v>0</v>
      </c>
      <c r="J220" t="str">
        <f t="shared" si="18"/>
        <v>Non-Smoker</v>
      </c>
      <c r="K220">
        <v>0</v>
      </c>
      <c r="L220">
        <v>0</v>
      </c>
      <c r="M220">
        <v>0</v>
      </c>
      <c r="N220">
        <v>0</v>
      </c>
      <c r="O220">
        <v>184</v>
      </c>
      <c r="P220" t="str">
        <f t="shared" si="19"/>
        <v>Normal</v>
      </c>
      <c r="Q220">
        <v>137.5</v>
      </c>
      <c r="R220">
        <v>88.5</v>
      </c>
      <c r="S220">
        <v>16.48</v>
      </c>
      <c r="T220" t="str">
        <f t="shared" si="20"/>
        <v>Underweight</v>
      </c>
      <c r="U220">
        <v>100</v>
      </c>
      <c r="V220">
        <v>68</v>
      </c>
      <c r="W220" t="str">
        <f t="shared" si="23"/>
        <v>Normal</v>
      </c>
      <c r="X220">
        <v>0</v>
      </c>
    </row>
    <row r="221" spans="1:24" ht="14.5" thickBot="1" x14ac:dyDescent="0.35">
      <c r="A221">
        <v>0</v>
      </c>
      <c r="B221" t="str">
        <f t="shared" si="21"/>
        <v>Female</v>
      </c>
      <c r="C221" s="8">
        <v>37</v>
      </c>
      <c r="D221" t="str">
        <f t="shared" si="22"/>
        <v>Young</v>
      </c>
      <c r="E221">
        <v>4</v>
      </c>
      <c r="F221" t="str">
        <f>HLOOKUP(E221, LookUP_Table!$A$6:$D$7, 2, FALSE)</f>
        <v>Post Graduate</v>
      </c>
      <c r="G221" t="str">
        <f>IFERROR(VLOOKUP(E221, LookUP_Table!$A$1:$B$4, 2, FALSE), "")</f>
        <v>Post Graduate</v>
      </c>
      <c r="H221">
        <v>0</v>
      </c>
      <c r="I221">
        <v>0</v>
      </c>
      <c r="J221" t="str">
        <f t="shared" si="18"/>
        <v>Non-Smoker</v>
      </c>
      <c r="K221">
        <v>0</v>
      </c>
      <c r="L221">
        <v>0</v>
      </c>
      <c r="M221">
        <v>0</v>
      </c>
      <c r="N221">
        <v>0</v>
      </c>
      <c r="O221">
        <v>165</v>
      </c>
      <c r="P221" t="str">
        <f t="shared" si="19"/>
        <v>Normal</v>
      </c>
      <c r="Q221">
        <v>108</v>
      </c>
      <c r="R221">
        <v>75</v>
      </c>
      <c r="S221">
        <v>21.84</v>
      </c>
      <c r="T221" t="str">
        <f t="shared" si="20"/>
        <v>Normal</v>
      </c>
      <c r="U221">
        <v>75</v>
      </c>
      <c r="V221">
        <v>83</v>
      </c>
      <c r="W221" t="str">
        <f t="shared" si="23"/>
        <v>Normal</v>
      </c>
      <c r="X221">
        <v>0</v>
      </c>
    </row>
    <row r="222" spans="1:24" ht="14.5" thickBot="1" x14ac:dyDescent="0.35">
      <c r="A222">
        <v>0</v>
      </c>
      <c r="B222" t="str">
        <f t="shared" si="21"/>
        <v>Female</v>
      </c>
      <c r="C222" s="8">
        <v>37</v>
      </c>
      <c r="D222" t="str">
        <f t="shared" si="22"/>
        <v>Young</v>
      </c>
      <c r="E222">
        <v>3</v>
      </c>
      <c r="F222" t="str">
        <f>HLOOKUP(E222, LookUP_Table!$A$6:$D$7, 2, FALSE)</f>
        <v>Graduate</v>
      </c>
      <c r="G222" t="str">
        <f>IFERROR(VLOOKUP(E222, LookUP_Table!$A$1:$B$4, 2, FALSE), "")</f>
        <v>Graduate</v>
      </c>
      <c r="H222">
        <v>1</v>
      </c>
      <c r="I222">
        <v>20</v>
      </c>
      <c r="J222" t="str">
        <f t="shared" si="18"/>
        <v>Smoker</v>
      </c>
      <c r="K222">
        <v>0</v>
      </c>
      <c r="L222">
        <v>0</v>
      </c>
      <c r="M222">
        <v>0</v>
      </c>
      <c r="N222">
        <v>0</v>
      </c>
      <c r="O222">
        <v>254</v>
      </c>
      <c r="P222" t="str">
        <f t="shared" si="19"/>
        <v>High</v>
      </c>
      <c r="Q222">
        <v>119</v>
      </c>
      <c r="R222">
        <v>62.5</v>
      </c>
      <c r="S222">
        <v>28.78</v>
      </c>
      <c r="T222" t="str">
        <f t="shared" si="20"/>
        <v>Overweight</v>
      </c>
      <c r="U222">
        <v>70</v>
      </c>
      <c r="V222">
        <v>69</v>
      </c>
      <c r="W222" t="str">
        <f t="shared" si="23"/>
        <v>Normal</v>
      </c>
      <c r="X222">
        <v>0</v>
      </c>
    </row>
    <row r="223" spans="1:24" ht="14.5" thickBot="1" x14ac:dyDescent="0.35">
      <c r="A223">
        <v>1</v>
      </c>
      <c r="B223" t="str">
        <f t="shared" si="21"/>
        <v>Male</v>
      </c>
      <c r="C223" s="8">
        <v>37</v>
      </c>
      <c r="D223" t="str">
        <f t="shared" si="22"/>
        <v>Young</v>
      </c>
      <c r="E223">
        <v>4</v>
      </c>
      <c r="F223" t="str">
        <f>HLOOKUP(E223, LookUP_Table!$A$6:$D$7, 2, FALSE)</f>
        <v>Post Graduate</v>
      </c>
      <c r="G223" t="str">
        <f>IFERROR(VLOOKUP(E223, LookUP_Table!$A$1:$B$4, 2, FALSE), "")</f>
        <v>Post Graduate</v>
      </c>
      <c r="H223">
        <v>1</v>
      </c>
      <c r="I223">
        <v>30</v>
      </c>
      <c r="J223" t="str">
        <f t="shared" si="18"/>
        <v>Smoker</v>
      </c>
      <c r="K223">
        <v>0</v>
      </c>
      <c r="L223">
        <v>0</v>
      </c>
      <c r="M223">
        <v>0</v>
      </c>
      <c r="N223">
        <v>0</v>
      </c>
      <c r="O223">
        <v>210</v>
      </c>
      <c r="P223" t="str">
        <f t="shared" si="19"/>
        <v>Normal</v>
      </c>
      <c r="Q223">
        <v>120</v>
      </c>
      <c r="R223">
        <v>72</v>
      </c>
      <c r="S223">
        <v>23.8</v>
      </c>
      <c r="T223" t="str">
        <f t="shared" si="20"/>
        <v>Normal</v>
      </c>
      <c r="U223">
        <v>75</v>
      </c>
      <c r="V223">
        <v>97</v>
      </c>
      <c r="W223" t="str">
        <f t="shared" si="23"/>
        <v>Normal</v>
      </c>
      <c r="X223">
        <v>0</v>
      </c>
    </row>
    <row r="224" spans="1:24" ht="14.5" thickBot="1" x14ac:dyDescent="0.35">
      <c r="A224">
        <v>1</v>
      </c>
      <c r="B224" t="str">
        <f t="shared" si="21"/>
        <v>Male</v>
      </c>
      <c r="C224" s="8">
        <v>37</v>
      </c>
      <c r="D224" t="str">
        <f t="shared" si="22"/>
        <v>Young</v>
      </c>
      <c r="E224">
        <v>2</v>
      </c>
      <c r="F224" t="str">
        <f>HLOOKUP(E224, LookUP_Table!$A$6:$D$7, 2, FALSE)</f>
        <v>Secondary</v>
      </c>
      <c r="G224" t="str">
        <f>IFERROR(VLOOKUP(E224, LookUP_Table!$A$1:$B$4, 2, FALSE), "")</f>
        <v>Secondary</v>
      </c>
      <c r="H224">
        <v>1</v>
      </c>
      <c r="I224">
        <v>30</v>
      </c>
      <c r="J224" t="str">
        <f t="shared" si="18"/>
        <v>Smoker</v>
      </c>
      <c r="K224">
        <v>0</v>
      </c>
      <c r="L224">
        <v>0</v>
      </c>
      <c r="M224">
        <v>0</v>
      </c>
      <c r="N224">
        <v>0</v>
      </c>
      <c r="O224">
        <v>249</v>
      </c>
      <c r="P224" t="str">
        <f t="shared" si="19"/>
        <v>High</v>
      </c>
      <c r="Q224">
        <v>112</v>
      </c>
      <c r="R224">
        <v>70</v>
      </c>
      <c r="S224">
        <v>22.79</v>
      </c>
      <c r="T224" t="str">
        <f t="shared" si="20"/>
        <v>Normal</v>
      </c>
      <c r="U224">
        <v>56</v>
      </c>
      <c r="V224">
        <v>76</v>
      </c>
      <c r="W224" t="str">
        <f t="shared" si="23"/>
        <v>Normal</v>
      </c>
      <c r="X224">
        <v>0</v>
      </c>
    </row>
    <row r="225" spans="1:24" ht="14.5" thickBot="1" x14ac:dyDescent="0.35">
      <c r="A225">
        <v>0</v>
      </c>
      <c r="B225" t="str">
        <f t="shared" si="21"/>
        <v>Female</v>
      </c>
      <c r="C225" s="8">
        <v>37</v>
      </c>
      <c r="D225" t="str">
        <f t="shared" si="22"/>
        <v>Young</v>
      </c>
      <c r="E225">
        <v>1</v>
      </c>
      <c r="F225" t="str">
        <f>HLOOKUP(E225, LookUP_Table!$A$6:$D$7, 2, FALSE)</f>
        <v>Primary</v>
      </c>
      <c r="G225" t="str">
        <f>IFERROR(VLOOKUP(E225, LookUP_Table!$A$1:$B$4, 2, FALSE), "")</f>
        <v>Primary</v>
      </c>
      <c r="H225">
        <v>0</v>
      </c>
      <c r="I225">
        <v>0</v>
      </c>
      <c r="J225" t="str">
        <f t="shared" si="18"/>
        <v>Non-Smoker</v>
      </c>
      <c r="K225">
        <v>0</v>
      </c>
      <c r="L225">
        <v>0</v>
      </c>
      <c r="M225">
        <v>0</v>
      </c>
      <c r="N225">
        <v>0</v>
      </c>
      <c r="O225">
        <v>192</v>
      </c>
      <c r="P225" t="str">
        <f t="shared" si="19"/>
        <v>Normal</v>
      </c>
      <c r="Q225">
        <v>112</v>
      </c>
      <c r="R225">
        <v>67</v>
      </c>
      <c r="S225">
        <v>24.61</v>
      </c>
      <c r="T225" t="str">
        <f t="shared" si="20"/>
        <v>Normal</v>
      </c>
      <c r="U225">
        <v>80</v>
      </c>
      <c r="V225">
        <v>58</v>
      </c>
      <c r="W225" t="str">
        <f t="shared" si="23"/>
        <v>Normal</v>
      </c>
      <c r="X225">
        <v>0</v>
      </c>
    </row>
    <row r="226" spans="1:24" ht="14.5" thickBot="1" x14ac:dyDescent="0.35">
      <c r="A226">
        <v>0</v>
      </c>
      <c r="B226" t="str">
        <f t="shared" si="21"/>
        <v>Female</v>
      </c>
      <c r="C226" s="8">
        <v>37</v>
      </c>
      <c r="D226" t="str">
        <f t="shared" si="22"/>
        <v>Young</v>
      </c>
      <c r="E226">
        <v>1</v>
      </c>
      <c r="F226" t="str">
        <f>HLOOKUP(E226, LookUP_Table!$A$6:$D$7, 2, FALSE)</f>
        <v>Primary</v>
      </c>
      <c r="G226" t="str">
        <f>IFERROR(VLOOKUP(E226, LookUP_Table!$A$1:$B$4, 2, FALSE), "")</f>
        <v>Primary</v>
      </c>
      <c r="H226">
        <v>0</v>
      </c>
      <c r="I226">
        <v>0</v>
      </c>
      <c r="J226" t="str">
        <f t="shared" si="18"/>
        <v>Non-Smoker</v>
      </c>
      <c r="K226">
        <v>0</v>
      </c>
      <c r="L226">
        <v>0</v>
      </c>
      <c r="M226">
        <v>0</v>
      </c>
      <c r="N226">
        <v>0</v>
      </c>
      <c r="O226">
        <v>209</v>
      </c>
      <c r="P226" t="str">
        <f t="shared" si="19"/>
        <v>Normal</v>
      </c>
      <c r="Q226">
        <v>110</v>
      </c>
      <c r="R226">
        <v>77.5</v>
      </c>
      <c r="S226">
        <v>17.93</v>
      </c>
      <c r="T226" t="str">
        <f t="shared" si="20"/>
        <v>Underweight</v>
      </c>
      <c r="U226">
        <v>77</v>
      </c>
      <c r="V226">
        <v>80</v>
      </c>
      <c r="W226" t="str">
        <f t="shared" si="23"/>
        <v>Normal</v>
      </c>
      <c r="X226">
        <v>0</v>
      </c>
    </row>
    <row r="227" spans="1:24" ht="14.5" thickBot="1" x14ac:dyDescent="0.35">
      <c r="A227">
        <v>1</v>
      </c>
      <c r="B227" t="str">
        <f t="shared" si="21"/>
        <v>Male</v>
      </c>
      <c r="C227" s="8">
        <v>37</v>
      </c>
      <c r="D227" t="str">
        <f t="shared" si="22"/>
        <v>Young</v>
      </c>
      <c r="E227">
        <v>2</v>
      </c>
      <c r="F227" t="str">
        <f>HLOOKUP(E227, LookUP_Table!$A$6:$D$7, 2, FALSE)</f>
        <v>Secondary</v>
      </c>
      <c r="G227" t="str">
        <f>IFERROR(VLOOKUP(E227, LookUP_Table!$A$1:$B$4, 2, FALSE), "")</f>
        <v>Secondary</v>
      </c>
      <c r="H227">
        <v>0</v>
      </c>
      <c r="I227">
        <v>0</v>
      </c>
      <c r="J227" t="str">
        <f t="shared" si="18"/>
        <v>Non-Smoker</v>
      </c>
      <c r="K227">
        <v>0</v>
      </c>
      <c r="L227">
        <v>0</v>
      </c>
      <c r="M227">
        <v>0</v>
      </c>
      <c r="N227">
        <v>0</v>
      </c>
      <c r="O227">
        <v>212</v>
      </c>
      <c r="P227" t="str">
        <f t="shared" si="19"/>
        <v>Normal</v>
      </c>
      <c r="Q227">
        <v>114.5</v>
      </c>
      <c r="R227">
        <v>77</v>
      </c>
      <c r="S227">
        <v>31.22</v>
      </c>
      <c r="T227" t="str">
        <f t="shared" si="20"/>
        <v>Obese</v>
      </c>
      <c r="U227">
        <v>87</v>
      </c>
      <c r="V227">
        <v>68</v>
      </c>
      <c r="W227" t="str">
        <f t="shared" si="23"/>
        <v>Normal</v>
      </c>
      <c r="X227">
        <v>0</v>
      </c>
    </row>
    <row r="228" spans="1:24" ht="14.5" thickBot="1" x14ac:dyDescent="0.35">
      <c r="A228">
        <v>0</v>
      </c>
      <c r="B228" t="str">
        <f t="shared" si="21"/>
        <v>Female</v>
      </c>
      <c r="C228" s="8">
        <v>37</v>
      </c>
      <c r="D228" t="str">
        <f t="shared" si="22"/>
        <v>Young</v>
      </c>
      <c r="E228">
        <v>1</v>
      </c>
      <c r="F228" t="str">
        <f>HLOOKUP(E228, LookUP_Table!$A$6:$D$7, 2, FALSE)</f>
        <v>Primary</v>
      </c>
      <c r="G228" t="str">
        <f>IFERROR(VLOOKUP(E228, LookUP_Table!$A$1:$B$4, 2, FALSE), "")</f>
        <v>Primary</v>
      </c>
      <c r="H228">
        <v>1</v>
      </c>
      <c r="I228">
        <v>15</v>
      </c>
      <c r="J228" t="str">
        <f t="shared" si="18"/>
        <v>Smoker</v>
      </c>
      <c r="K228">
        <v>0</v>
      </c>
      <c r="L228">
        <v>0</v>
      </c>
      <c r="M228">
        <v>0</v>
      </c>
      <c r="N228">
        <v>0</v>
      </c>
      <c r="O228">
        <v>275</v>
      </c>
      <c r="P228" t="str">
        <f t="shared" si="19"/>
        <v>High</v>
      </c>
      <c r="Q228">
        <v>118</v>
      </c>
      <c r="R228">
        <v>71</v>
      </c>
      <c r="S228">
        <v>23.1</v>
      </c>
      <c r="T228" t="str">
        <f t="shared" si="20"/>
        <v>Normal</v>
      </c>
      <c r="U228">
        <v>64</v>
      </c>
      <c r="V228">
        <v>95</v>
      </c>
      <c r="W228" t="str">
        <f t="shared" si="23"/>
        <v>Normal</v>
      </c>
      <c r="X228">
        <v>0</v>
      </c>
    </row>
    <row r="229" spans="1:24" ht="14.5" thickBot="1" x14ac:dyDescent="0.35">
      <c r="A229">
        <v>0</v>
      </c>
      <c r="B229" t="str">
        <f t="shared" si="21"/>
        <v>Female</v>
      </c>
      <c r="C229" s="8">
        <v>37</v>
      </c>
      <c r="D229" t="str">
        <f t="shared" si="22"/>
        <v>Young</v>
      </c>
      <c r="E229">
        <v>2</v>
      </c>
      <c r="F229" t="str">
        <f>HLOOKUP(E229, LookUP_Table!$A$6:$D$7, 2, FALSE)</f>
        <v>Secondary</v>
      </c>
      <c r="G229" t="str">
        <f>IFERROR(VLOOKUP(E229, LookUP_Table!$A$1:$B$4, 2, FALSE), "")</f>
        <v>Secondary</v>
      </c>
      <c r="H229">
        <v>1</v>
      </c>
      <c r="I229">
        <v>20</v>
      </c>
      <c r="J229" t="str">
        <f t="shared" si="18"/>
        <v>Smoker</v>
      </c>
      <c r="K229">
        <v>0</v>
      </c>
      <c r="L229">
        <v>0</v>
      </c>
      <c r="M229">
        <v>0</v>
      </c>
      <c r="N229">
        <v>0</v>
      </c>
      <c r="O229">
        <v>257</v>
      </c>
      <c r="P229" t="str">
        <f t="shared" si="19"/>
        <v>High</v>
      </c>
      <c r="Q229">
        <v>141</v>
      </c>
      <c r="R229">
        <v>93</v>
      </c>
      <c r="S229">
        <v>41.29</v>
      </c>
      <c r="T229" t="str">
        <f t="shared" si="20"/>
        <v>Obese</v>
      </c>
      <c r="U229">
        <v>80</v>
      </c>
      <c r="V229">
        <v>58</v>
      </c>
      <c r="W229" t="str">
        <f t="shared" si="23"/>
        <v>Normal</v>
      </c>
      <c r="X229">
        <v>0</v>
      </c>
    </row>
    <row r="230" spans="1:24" ht="14.5" thickBot="1" x14ac:dyDescent="0.35">
      <c r="A230">
        <v>1</v>
      </c>
      <c r="B230" t="str">
        <f t="shared" si="21"/>
        <v>Male</v>
      </c>
      <c r="C230" s="8">
        <v>37</v>
      </c>
      <c r="D230" t="str">
        <f t="shared" si="22"/>
        <v>Young</v>
      </c>
      <c r="E230">
        <v>4</v>
      </c>
      <c r="F230" t="str">
        <f>HLOOKUP(E230, LookUP_Table!$A$6:$D$7, 2, FALSE)</f>
        <v>Post Graduate</v>
      </c>
      <c r="G230" t="str">
        <f>IFERROR(VLOOKUP(E230, LookUP_Table!$A$1:$B$4, 2, FALSE), "")</f>
        <v>Post Graduate</v>
      </c>
      <c r="H230">
        <v>0</v>
      </c>
      <c r="I230">
        <v>0</v>
      </c>
      <c r="J230" t="str">
        <f t="shared" si="18"/>
        <v>Non-Smoker</v>
      </c>
      <c r="K230">
        <v>0</v>
      </c>
      <c r="L230">
        <v>0</v>
      </c>
      <c r="M230">
        <v>1</v>
      </c>
      <c r="N230">
        <v>0</v>
      </c>
      <c r="O230">
        <v>195</v>
      </c>
      <c r="P230" t="str">
        <f t="shared" si="19"/>
        <v>Normal</v>
      </c>
      <c r="Q230">
        <v>141</v>
      </c>
      <c r="R230">
        <v>84</v>
      </c>
      <c r="S230">
        <v>25.66</v>
      </c>
      <c r="T230" t="str">
        <f t="shared" si="20"/>
        <v>Overweight</v>
      </c>
      <c r="U230">
        <v>83</v>
      </c>
      <c r="V230">
        <v>117</v>
      </c>
      <c r="W230" t="str">
        <f t="shared" si="23"/>
        <v>Prediabetes</v>
      </c>
      <c r="X230">
        <v>0</v>
      </c>
    </row>
    <row r="231" spans="1:24" ht="14.5" thickBot="1" x14ac:dyDescent="0.35">
      <c r="A231">
        <v>1</v>
      </c>
      <c r="B231" t="str">
        <f t="shared" si="21"/>
        <v>Male</v>
      </c>
      <c r="C231" s="8">
        <v>37</v>
      </c>
      <c r="D231" t="str">
        <f t="shared" si="22"/>
        <v>Young</v>
      </c>
      <c r="E231">
        <v>2</v>
      </c>
      <c r="F231" t="str">
        <f>HLOOKUP(E231, LookUP_Table!$A$6:$D$7, 2, FALSE)</f>
        <v>Secondary</v>
      </c>
      <c r="G231" t="str">
        <f>IFERROR(VLOOKUP(E231, LookUP_Table!$A$1:$B$4, 2, FALSE), "")</f>
        <v>Secondary</v>
      </c>
      <c r="H231">
        <v>0</v>
      </c>
      <c r="I231">
        <v>0</v>
      </c>
      <c r="J231" t="str">
        <f t="shared" si="18"/>
        <v>Non-Smoker</v>
      </c>
      <c r="K231">
        <v>0</v>
      </c>
      <c r="L231">
        <v>0</v>
      </c>
      <c r="M231">
        <v>0</v>
      </c>
      <c r="N231">
        <v>0</v>
      </c>
      <c r="O231">
        <v>228</v>
      </c>
      <c r="P231" t="str">
        <f t="shared" si="19"/>
        <v>Normal</v>
      </c>
      <c r="Q231">
        <v>113</v>
      </c>
      <c r="R231">
        <v>83</v>
      </c>
      <c r="S231">
        <v>24.81</v>
      </c>
      <c r="T231" t="str">
        <f t="shared" si="20"/>
        <v>Normal</v>
      </c>
      <c r="U231">
        <v>58</v>
      </c>
      <c r="V231">
        <v>73</v>
      </c>
      <c r="W231" t="str">
        <f t="shared" si="23"/>
        <v>Normal</v>
      </c>
      <c r="X231">
        <v>0</v>
      </c>
    </row>
    <row r="232" spans="1:24" ht="14.5" thickBot="1" x14ac:dyDescent="0.35">
      <c r="A232">
        <v>0</v>
      </c>
      <c r="B232" t="str">
        <f t="shared" si="21"/>
        <v>Female</v>
      </c>
      <c r="C232" s="8">
        <v>37</v>
      </c>
      <c r="D232" t="str">
        <f t="shared" si="22"/>
        <v>Young</v>
      </c>
      <c r="E232">
        <v>2</v>
      </c>
      <c r="F232" t="str">
        <f>HLOOKUP(E232, LookUP_Table!$A$6:$D$7, 2, FALSE)</f>
        <v>Secondary</v>
      </c>
      <c r="G232" t="str">
        <f>IFERROR(VLOOKUP(E232, LookUP_Table!$A$1:$B$4, 2, FALSE), "")</f>
        <v>Secondary</v>
      </c>
      <c r="H232">
        <v>0</v>
      </c>
      <c r="I232">
        <v>0</v>
      </c>
      <c r="J232" t="str">
        <f t="shared" si="18"/>
        <v>Non-Smoker</v>
      </c>
      <c r="K232">
        <v>0</v>
      </c>
      <c r="L232">
        <v>0</v>
      </c>
      <c r="M232">
        <v>0</v>
      </c>
      <c r="N232">
        <v>0</v>
      </c>
      <c r="O232">
        <v>185</v>
      </c>
      <c r="P232" t="str">
        <f t="shared" si="19"/>
        <v>Normal</v>
      </c>
      <c r="Q232">
        <v>99</v>
      </c>
      <c r="R232">
        <v>59</v>
      </c>
      <c r="S232">
        <v>22.52</v>
      </c>
      <c r="T232" t="str">
        <f t="shared" si="20"/>
        <v>Normal</v>
      </c>
      <c r="U232">
        <v>70</v>
      </c>
      <c r="V232">
        <v>69</v>
      </c>
      <c r="W232" t="str">
        <f t="shared" si="23"/>
        <v>Normal</v>
      </c>
      <c r="X232">
        <v>0</v>
      </c>
    </row>
    <row r="233" spans="1:24" ht="14.5" thickBot="1" x14ac:dyDescent="0.35">
      <c r="A233">
        <v>0</v>
      </c>
      <c r="B233" t="str">
        <f t="shared" si="21"/>
        <v>Female</v>
      </c>
      <c r="C233" s="8">
        <v>37</v>
      </c>
      <c r="D233" t="str">
        <f t="shared" si="22"/>
        <v>Young</v>
      </c>
      <c r="E233">
        <v>1</v>
      </c>
      <c r="F233" t="str">
        <f>HLOOKUP(E233, LookUP_Table!$A$6:$D$7, 2, FALSE)</f>
        <v>Primary</v>
      </c>
      <c r="G233" t="str">
        <f>IFERROR(VLOOKUP(E233, LookUP_Table!$A$1:$B$4, 2, FALSE), "")</f>
        <v>Primary</v>
      </c>
      <c r="H233">
        <v>0</v>
      </c>
      <c r="I233">
        <v>0</v>
      </c>
      <c r="J233" t="str">
        <f t="shared" si="18"/>
        <v>Non-Smoker</v>
      </c>
      <c r="K233">
        <v>0</v>
      </c>
      <c r="L233">
        <v>0</v>
      </c>
      <c r="M233">
        <v>0</v>
      </c>
      <c r="N233">
        <v>0</v>
      </c>
      <c r="O233">
        <v>181</v>
      </c>
      <c r="P233" t="str">
        <f t="shared" si="19"/>
        <v>Normal</v>
      </c>
      <c r="Q233">
        <v>120.5</v>
      </c>
      <c r="R233">
        <v>80</v>
      </c>
      <c r="S233">
        <v>26.29</v>
      </c>
      <c r="T233" t="str">
        <f t="shared" si="20"/>
        <v>Overweight</v>
      </c>
      <c r="U233">
        <v>71</v>
      </c>
      <c r="V233">
        <v>67</v>
      </c>
      <c r="W233" t="str">
        <f t="shared" si="23"/>
        <v>Normal</v>
      </c>
      <c r="X233">
        <v>0</v>
      </c>
    </row>
    <row r="234" spans="1:24" ht="14.5" thickBot="1" x14ac:dyDescent="0.35">
      <c r="A234">
        <v>1</v>
      </c>
      <c r="B234" t="str">
        <f t="shared" si="21"/>
        <v>Male</v>
      </c>
      <c r="C234" s="8">
        <v>37</v>
      </c>
      <c r="D234" t="str">
        <f t="shared" si="22"/>
        <v>Young</v>
      </c>
      <c r="E234">
        <v>4</v>
      </c>
      <c r="F234" t="str">
        <f>HLOOKUP(E234, LookUP_Table!$A$6:$D$7, 2, FALSE)</f>
        <v>Post Graduate</v>
      </c>
      <c r="G234" t="str">
        <f>IFERROR(VLOOKUP(E234, LookUP_Table!$A$1:$B$4, 2, FALSE), "")</f>
        <v>Post Graduate</v>
      </c>
      <c r="H234">
        <v>1</v>
      </c>
      <c r="I234">
        <v>30</v>
      </c>
      <c r="J234" t="str">
        <f t="shared" si="18"/>
        <v>Smoker</v>
      </c>
      <c r="K234">
        <v>0</v>
      </c>
      <c r="L234">
        <v>0</v>
      </c>
      <c r="M234">
        <v>0</v>
      </c>
      <c r="N234">
        <v>0</v>
      </c>
      <c r="O234">
        <v>170</v>
      </c>
      <c r="P234" t="str">
        <f t="shared" si="19"/>
        <v>Normal</v>
      </c>
      <c r="Q234">
        <v>111</v>
      </c>
      <c r="R234">
        <v>74</v>
      </c>
      <c r="S234">
        <v>26</v>
      </c>
      <c r="T234" t="str">
        <f t="shared" si="20"/>
        <v>Overweight</v>
      </c>
      <c r="U234">
        <v>80</v>
      </c>
      <c r="V234">
        <v>67</v>
      </c>
      <c r="W234" t="str">
        <f t="shared" si="23"/>
        <v>Normal</v>
      </c>
      <c r="X234">
        <v>0</v>
      </c>
    </row>
    <row r="235" spans="1:24" ht="14.5" thickBot="1" x14ac:dyDescent="0.35">
      <c r="A235">
        <v>1</v>
      </c>
      <c r="B235" t="str">
        <f t="shared" si="21"/>
        <v>Male</v>
      </c>
      <c r="C235" s="8">
        <v>37</v>
      </c>
      <c r="D235" t="str">
        <f t="shared" si="22"/>
        <v>Young</v>
      </c>
      <c r="E235">
        <v>2</v>
      </c>
      <c r="F235" t="str">
        <f>HLOOKUP(E235, LookUP_Table!$A$6:$D$7, 2, FALSE)</f>
        <v>Secondary</v>
      </c>
      <c r="G235" t="str">
        <f>IFERROR(VLOOKUP(E235, LookUP_Table!$A$1:$B$4, 2, FALSE), "")</f>
        <v>Secondary</v>
      </c>
      <c r="H235">
        <v>1</v>
      </c>
      <c r="I235">
        <v>20</v>
      </c>
      <c r="J235" t="str">
        <f t="shared" si="18"/>
        <v>Smoker</v>
      </c>
      <c r="K235">
        <v>0</v>
      </c>
      <c r="L235">
        <v>0</v>
      </c>
      <c r="M235">
        <v>0</v>
      </c>
      <c r="N235">
        <v>0</v>
      </c>
      <c r="O235">
        <v>220</v>
      </c>
      <c r="P235" t="str">
        <f t="shared" si="19"/>
        <v>Normal</v>
      </c>
      <c r="Q235">
        <v>130</v>
      </c>
      <c r="R235">
        <v>83</v>
      </c>
      <c r="S235">
        <v>26.71</v>
      </c>
      <c r="T235" t="str">
        <f t="shared" si="20"/>
        <v>Overweight</v>
      </c>
      <c r="U235">
        <v>68</v>
      </c>
      <c r="V235">
        <v>81.96365524402907</v>
      </c>
      <c r="W235" t="str">
        <f t="shared" si="23"/>
        <v>Normal</v>
      </c>
      <c r="X235">
        <v>0</v>
      </c>
    </row>
    <row r="236" spans="1:24" ht="14.5" thickBot="1" x14ac:dyDescent="0.35">
      <c r="A236">
        <v>1</v>
      </c>
      <c r="B236" t="str">
        <f t="shared" si="21"/>
        <v>Male</v>
      </c>
      <c r="C236" s="8">
        <v>37</v>
      </c>
      <c r="D236" t="str">
        <f t="shared" si="22"/>
        <v>Young</v>
      </c>
      <c r="E236">
        <v>1</v>
      </c>
      <c r="F236" t="str">
        <f>HLOOKUP(E236, LookUP_Table!$A$6:$D$7, 2, FALSE)</f>
        <v>Primary</v>
      </c>
      <c r="G236" t="str">
        <f>IFERROR(VLOOKUP(E236, LookUP_Table!$A$1:$B$4, 2, FALSE), "")</f>
        <v>Primary</v>
      </c>
      <c r="H236">
        <v>1</v>
      </c>
      <c r="I236">
        <v>30</v>
      </c>
      <c r="J236" t="str">
        <f t="shared" si="18"/>
        <v>Smoker</v>
      </c>
      <c r="K236">
        <v>0</v>
      </c>
      <c r="L236">
        <v>0</v>
      </c>
      <c r="M236">
        <v>0</v>
      </c>
      <c r="N236">
        <v>0</v>
      </c>
      <c r="O236">
        <v>189</v>
      </c>
      <c r="P236" t="str">
        <f t="shared" si="19"/>
        <v>Normal</v>
      </c>
      <c r="Q236">
        <v>127</v>
      </c>
      <c r="R236">
        <v>85</v>
      </c>
      <c r="S236">
        <v>32.35</v>
      </c>
      <c r="T236" t="str">
        <f t="shared" si="20"/>
        <v>Obese</v>
      </c>
      <c r="U236">
        <v>88</v>
      </c>
      <c r="V236">
        <v>84</v>
      </c>
      <c r="W236" t="str">
        <f t="shared" si="23"/>
        <v>Normal</v>
      </c>
      <c r="X236">
        <v>0</v>
      </c>
    </row>
    <row r="237" spans="1:24" ht="14.5" thickBot="1" x14ac:dyDescent="0.35">
      <c r="A237">
        <v>0</v>
      </c>
      <c r="B237" t="str">
        <f t="shared" si="21"/>
        <v>Female</v>
      </c>
      <c r="C237" s="8">
        <v>37</v>
      </c>
      <c r="D237" t="str">
        <f t="shared" si="22"/>
        <v>Young</v>
      </c>
      <c r="E237">
        <v>1</v>
      </c>
      <c r="F237" t="str">
        <f>HLOOKUP(E237, LookUP_Table!$A$6:$D$7, 2, FALSE)</f>
        <v>Primary</v>
      </c>
      <c r="G237" t="str">
        <f>IFERROR(VLOOKUP(E237, LookUP_Table!$A$1:$B$4, 2, FALSE), "")</f>
        <v>Primary</v>
      </c>
      <c r="H237">
        <v>1</v>
      </c>
      <c r="I237">
        <v>9</v>
      </c>
      <c r="J237" t="str">
        <f t="shared" si="18"/>
        <v>Smoker</v>
      </c>
      <c r="K237">
        <v>0</v>
      </c>
      <c r="L237">
        <v>0</v>
      </c>
      <c r="M237">
        <v>0</v>
      </c>
      <c r="N237">
        <v>0</v>
      </c>
      <c r="O237">
        <v>205</v>
      </c>
      <c r="P237" t="str">
        <f t="shared" si="19"/>
        <v>Normal</v>
      </c>
      <c r="Q237">
        <v>111</v>
      </c>
      <c r="R237">
        <v>60.5</v>
      </c>
      <c r="S237">
        <v>21.8</v>
      </c>
      <c r="T237" t="str">
        <f t="shared" si="20"/>
        <v>Normal</v>
      </c>
      <c r="U237">
        <v>65</v>
      </c>
      <c r="V237">
        <v>82</v>
      </c>
      <c r="W237" t="str">
        <f t="shared" si="23"/>
        <v>Normal</v>
      </c>
      <c r="X237">
        <v>0</v>
      </c>
    </row>
    <row r="238" spans="1:24" ht="14.5" thickBot="1" x14ac:dyDescent="0.35">
      <c r="A238">
        <v>1</v>
      </c>
      <c r="B238" t="str">
        <f t="shared" si="21"/>
        <v>Male</v>
      </c>
      <c r="C238" s="8">
        <v>37</v>
      </c>
      <c r="D238" t="str">
        <f t="shared" si="22"/>
        <v>Young</v>
      </c>
      <c r="E238">
        <v>1</v>
      </c>
      <c r="F238" t="str">
        <f>HLOOKUP(E238, LookUP_Table!$A$6:$D$7, 2, FALSE)</f>
        <v>Primary</v>
      </c>
      <c r="G238" t="str">
        <f>IFERROR(VLOOKUP(E238, LookUP_Table!$A$1:$B$4, 2, FALSE), "")</f>
        <v>Primary</v>
      </c>
      <c r="H238">
        <v>1</v>
      </c>
      <c r="I238">
        <v>20</v>
      </c>
      <c r="J238" t="str">
        <f t="shared" si="18"/>
        <v>Smoker</v>
      </c>
      <c r="K238">
        <v>0</v>
      </c>
      <c r="L238">
        <v>0</v>
      </c>
      <c r="M238">
        <v>0</v>
      </c>
      <c r="N238">
        <v>0</v>
      </c>
      <c r="O238">
        <v>315</v>
      </c>
      <c r="P238" t="str">
        <f t="shared" si="19"/>
        <v>High</v>
      </c>
      <c r="Q238">
        <v>118</v>
      </c>
      <c r="R238">
        <v>79.5</v>
      </c>
      <c r="S238">
        <v>22.52</v>
      </c>
      <c r="T238" t="str">
        <f t="shared" si="20"/>
        <v>Normal</v>
      </c>
      <c r="U238">
        <v>82</v>
      </c>
      <c r="V238">
        <v>70</v>
      </c>
      <c r="W238" t="str">
        <f t="shared" si="23"/>
        <v>Normal</v>
      </c>
      <c r="X238">
        <v>0</v>
      </c>
    </row>
    <row r="239" spans="1:24" ht="14.5" thickBot="1" x14ac:dyDescent="0.35">
      <c r="A239">
        <v>1</v>
      </c>
      <c r="B239" t="str">
        <f t="shared" si="21"/>
        <v>Male</v>
      </c>
      <c r="C239" s="8">
        <v>37</v>
      </c>
      <c r="D239" t="str">
        <f t="shared" si="22"/>
        <v>Young</v>
      </c>
      <c r="E239">
        <v>1</v>
      </c>
      <c r="F239" t="str">
        <f>HLOOKUP(E239, LookUP_Table!$A$6:$D$7, 2, FALSE)</f>
        <v>Primary</v>
      </c>
      <c r="G239" t="str">
        <f>IFERROR(VLOOKUP(E239, LookUP_Table!$A$1:$B$4, 2, FALSE), "")</f>
        <v>Primary</v>
      </c>
      <c r="H239">
        <v>1</v>
      </c>
      <c r="I239">
        <v>20</v>
      </c>
      <c r="J239" t="str">
        <f t="shared" si="18"/>
        <v>Smoker</v>
      </c>
      <c r="K239">
        <v>0</v>
      </c>
      <c r="L239">
        <v>0</v>
      </c>
      <c r="M239">
        <v>0</v>
      </c>
      <c r="N239">
        <v>0</v>
      </c>
      <c r="O239">
        <v>184</v>
      </c>
      <c r="P239" t="str">
        <f t="shared" si="19"/>
        <v>Normal</v>
      </c>
      <c r="Q239">
        <v>113</v>
      </c>
      <c r="R239">
        <v>81</v>
      </c>
      <c r="S239">
        <v>22.16</v>
      </c>
      <c r="T239" t="str">
        <f t="shared" si="20"/>
        <v>Normal</v>
      </c>
      <c r="U239">
        <v>85</v>
      </c>
      <c r="V239">
        <v>63</v>
      </c>
      <c r="W239" t="str">
        <f t="shared" si="23"/>
        <v>Normal</v>
      </c>
      <c r="X239">
        <v>0</v>
      </c>
    </row>
    <row r="240" spans="1:24" ht="14.5" thickBot="1" x14ac:dyDescent="0.35">
      <c r="A240">
        <v>0</v>
      </c>
      <c r="B240" t="str">
        <f t="shared" si="21"/>
        <v>Female</v>
      </c>
      <c r="C240" s="8">
        <v>37</v>
      </c>
      <c r="D240" t="str">
        <f t="shared" si="22"/>
        <v>Young</v>
      </c>
      <c r="E240">
        <v>2</v>
      </c>
      <c r="F240" t="str">
        <f>HLOOKUP(E240, LookUP_Table!$A$6:$D$7, 2, FALSE)</f>
        <v>Secondary</v>
      </c>
      <c r="G240" t="str">
        <f>IFERROR(VLOOKUP(E240, LookUP_Table!$A$1:$B$4, 2, FALSE), "")</f>
        <v>Secondary</v>
      </c>
      <c r="H240">
        <v>0</v>
      </c>
      <c r="I240">
        <v>0</v>
      </c>
      <c r="J240" t="str">
        <f t="shared" si="18"/>
        <v>Non-Smoker</v>
      </c>
      <c r="K240">
        <v>0</v>
      </c>
      <c r="L240">
        <v>0</v>
      </c>
      <c r="M240">
        <v>0</v>
      </c>
      <c r="N240">
        <v>0</v>
      </c>
      <c r="O240">
        <v>160</v>
      </c>
      <c r="P240" t="str">
        <f t="shared" si="19"/>
        <v>Normal</v>
      </c>
      <c r="Q240">
        <v>137</v>
      </c>
      <c r="R240">
        <v>82</v>
      </c>
      <c r="S240">
        <v>21.03</v>
      </c>
      <c r="T240" t="str">
        <f t="shared" si="20"/>
        <v>Normal</v>
      </c>
      <c r="U240">
        <v>94</v>
      </c>
      <c r="V240">
        <v>113</v>
      </c>
      <c r="W240" t="str">
        <f t="shared" si="23"/>
        <v>Prediabetes</v>
      </c>
      <c r="X240">
        <v>0</v>
      </c>
    </row>
    <row r="241" spans="1:24" ht="14.5" thickBot="1" x14ac:dyDescent="0.35">
      <c r="A241">
        <v>0</v>
      </c>
      <c r="B241" t="str">
        <f t="shared" si="21"/>
        <v>Female</v>
      </c>
      <c r="C241" s="8">
        <v>37</v>
      </c>
      <c r="D241" t="str">
        <f t="shared" si="22"/>
        <v>Young</v>
      </c>
      <c r="E241">
        <v>3</v>
      </c>
      <c r="F241" t="str">
        <f>HLOOKUP(E241, LookUP_Table!$A$6:$D$7, 2, FALSE)</f>
        <v>Graduate</v>
      </c>
      <c r="G241" t="str">
        <f>IFERROR(VLOOKUP(E241, LookUP_Table!$A$1:$B$4, 2, FALSE), "")</f>
        <v>Graduate</v>
      </c>
      <c r="H241">
        <v>1</v>
      </c>
      <c r="I241">
        <v>40</v>
      </c>
      <c r="J241" t="str">
        <f t="shared" si="18"/>
        <v>Smoker</v>
      </c>
      <c r="K241">
        <v>0</v>
      </c>
      <c r="L241">
        <v>0</v>
      </c>
      <c r="M241">
        <v>0</v>
      </c>
      <c r="N241">
        <v>0</v>
      </c>
      <c r="O241">
        <v>224</v>
      </c>
      <c r="P241" t="str">
        <f t="shared" si="19"/>
        <v>Normal</v>
      </c>
      <c r="Q241">
        <v>109</v>
      </c>
      <c r="R241">
        <v>72</v>
      </c>
      <c r="S241">
        <v>22.81</v>
      </c>
      <c r="T241" t="str">
        <f t="shared" si="20"/>
        <v>Normal</v>
      </c>
      <c r="U241">
        <v>77</v>
      </c>
      <c r="V241">
        <v>93</v>
      </c>
      <c r="W241" t="str">
        <f t="shared" si="23"/>
        <v>Normal</v>
      </c>
      <c r="X241">
        <v>0</v>
      </c>
    </row>
    <row r="242" spans="1:24" ht="14.5" thickBot="1" x14ac:dyDescent="0.35">
      <c r="A242">
        <v>0</v>
      </c>
      <c r="B242" t="str">
        <f t="shared" si="21"/>
        <v>Female</v>
      </c>
      <c r="C242" s="8">
        <v>37</v>
      </c>
      <c r="D242" t="str">
        <f t="shared" si="22"/>
        <v>Young</v>
      </c>
      <c r="E242">
        <v>1</v>
      </c>
      <c r="F242" t="str">
        <f>HLOOKUP(E242, LookUP_Table!$A$6:$D$7, 2, FALSE)</f>
        <v>Primary</v>
      </c>
      <c r="G242" t="str">
        <f>IFERROR(VLOOKUP(E242, LookUP_Table!$A$1:$B$4, 2, FALSE), "")</f>
        <v>Primary</v>
      </c>
      <c r="H242">
        <v>0</v>
      </c>
      <c r="I242">
        <v>0</v>
      </c>
      <c r="J242" t="str">
        <f t="shared" si="18"/>
        <v>Non-Smoker</v>
      </c>
      <c r="K242">
        <v>0</v>
      </c>
      <c r="L242">
        <v>0</v>
      </c>
      <c r="M242">
        <v>0</v>
      </c>
      <c r="N242">
        <v>0</v>
      </c>
      <c r="O242">
        <v>208</v>
      </c>
      <c r="P242" t="str">
        <f t="shared" si="19"/>
        <v>Normal</v>
      </c>
      <c r="Q242">
        <v>118.5</v>
      </c>
      <c r="R242">
        <v>70</v>
      </c>
      <c r="S242">
        <v>25.09</v>
      </c>
      <c r="T242" t="str">
        <f t="shared" si="20"/>
        <v>Overweight</v>
      </c>
      <c r="U242">
        <v>70</v>
      </c>
      <c r="V242">
        <v>85</v>
      </c>
      <c r="W242" t="str">
        <f t="shared" si="23"/>
        <v>Normal</v>
      </c>
      <c r="X242">
        <v>0</v>
      </c>
    </row>
    <row r="243" spans="1:24" ht="14.5" thickBot="1" x14ac:dyDescent="0.35">
      <c r="A243">
        <v>0</v>
      </c>
      <c r="B243" t="str">
        <f t="shared" si="21"/>
        <v>Female</v>
      </c>
      <c r="C243" s="8">
        <v>37</v>
      </c>
      <c r="D243" t="str">
        <f t="shared" si="22"/>
        <v>Young</v>
      </c>
      <c r="E243">
        <v>3</v>
      </c>
      <c r="F243" t="str">
        <f>HLOOKUP(E243, LookUP_Table!$A$6:$D$7, 2, FALSE)</f>
        <v>Graduate</v>
      </c>
      <c r="G243" t="str">
        <f>IFERROR(VLOOKUP(E243, LookUP_Table!$A$1:$B$4, 2, FALSE), "")</f>
        <v>Graduate</v>
      </c>
      <c r="H243">
        <v>1</v>
      </c>
      <c r="I243">
        <v>15</v>
      </c>
      <c r="J243" t="str">
        <f t="shared" si="18"/>
        <v>Smoker</v>
      </c>
      <c r="K243">
        <v>0</v>
      </c>
      <c r="L243">
        <v>0</v>
      </c>
      <c r="M243">
        <v>0</v>
      </c>
      <c r="N243">
        <v>0</v>
      </c>
      <c r="O243">
        <v>173</v>
      </c>
      <c r="P243" t="str">
        <f t="shared" si="19"/>
        <v>Normal</v>
      </c>
      <c r="Q243">
        <v>101</v>
      </c>
      <c r="R243">
        <v>69</v>
      </c>
      <c r="S243">
        <v>20.02</v>
      </c>
      <c r="T243" t="str">
        <f t="shared" si="20"/>
        <v>Normal</v>
      </c>
      <c r="U243">
        <v>63</v>
      </c>
      <c r="V243">
        <v>73</v>
      </c>
      <c r="W243" t="str">
        <f t="shared" si="23"/>
        <v>Normal</v>
      </c>
      <c r="X243">
        <v>0</v>
      </c>
    </row>
    <row r="244" spans="1:24" ht="14.5" thickBot="1" x14ac:dyDescent="0.35">
      <c r="A244">
        <v>0</v>
      </c>
      <c r="B244" t="str">
        <f t="shared" si="21"/>
        <v>Female</v>
      </c>
      <c r="C244" s="8">
        <v>38</v>
      </c>
      <c r="D244" t="str">
        <f t="shared" si="22"/>
        <v>Young</v>
      </c>
      <c r="E244">
        <v>2</v>
      </c>
      <c r="F244" t="str">
        <f>HLOOKUP(E244, LookUP_Table!$A$6:$D$7, 2, FALSE)</f>
        <v>Secondary</v>
      </c>
      <c r="G244" t="str">
        <f>IFERROR(VLOOKUP(E244, LookUP_Table!$A$1:$B$4, 2, FALSE), "")</f>
        <v>Secondary</v>
      </c>
      <c r="H244">
        <v>1</v>
      </c>
      <c r="I244">
        <v>20</v>
      </c>
      <c r="J244" t="str">
        <f t="shared" si="18"/>
        <v>Smoker</v>
      </c>
      <c r="K244">
        <v>0</v>
      </c>
      <c r="L244">
        <v>0</v>
      </c>
      <c r="M244">
        <v>1</v>
      </c>
      <c r="N244">
        <v>0</v>
      </c>
      <c r="O244">
        <v>221</v>
      </c>
      <c r="P244" t="str">
        <f t="shared" si="19"/>
        <v>Normal</v>
      </c>
      <c r="Q244">
        <v>140</v>
      </c>
      <c r="R244">
        <v>90</v>
      </c>
      <c r="S244">
        <v>21.35</v>
      </c>
      <c r="T244" t="str">
        <f t="shared" si="20"/>
        <v>Normal</v>
      </c>
      <c r="U244">
        <v>95</v>
      </c>
      <c r="V244">
        <v>70</v>
      </c>
      <c r="W244" t="str">
        <f t="shared" si="23"/>
        <v>Normal</v>
      </c>
      <c r="X244">
        <v>1</v>
      </c>
    </row>
    <row r="245" spans="1:24" ht="14.5" thickBot="1" x14ac:dyDescent="0.35">
      <c r="A245">
        <v>0</v>
      </c>
      <c r="B245" t="str">
        <f t="shared" si="21"/>
        <v>Female</v>
      </c>
      <c r="C245" s="8">
        <v>38</v>
      </c>
      <c r="D245" t="str">
        <f t="shared" si="22"/>
        <v>Young</v>
      </c>
      <c r="E245">
        <v>2</v>
      </c>
      <c r="F245" t="str">
        <f>HLOOKUP(E245, LookUP_Table!$A$6:$D$7, 2, FALSE)</f>
        <v>Secondary</v>
      </c>
      <c r="G245" t="str">
        <f>IFERROR(VLOOKUP(E245, LookUP_Table!$A$1:$B$4, 2, FALSE), "")</f>
        <v>Secondary</v>
      </c>
      <c r="H245">
        <v>1</v>
      </c>
      <c r="I245">
        <v>5</v>
      </c>
      <c r="J245" t="str">
        <f t="shared" si="18"/>
        <v>Smoker</v>
      </c>
      <c r="K245">
        <v>0</v>
      </c>
      <c r="L245">
        <v>0</v>
      </c>
      <c r="M245">
        <v>0</v>
      </c>
      <c r="N245">
        <v>0</v>
      </c>
      <c r="O245">
        <v>195</v>
      </c>
      <c r="P245" t="str">
        <f t="shared" si="19"/>
        <v>Normal</v>
      </c>
      <c r="Q245">
        <v>122</v>
      </c>
      <c r="R245">
        <v>84.5</v>
      </c>
      <c r="S245">
        <v>23.24</v>
      </c>
      <c r="T245" t="str">
        <f t="shared" si="20"/>
        <v>Normal</v>
      </c>
      <c r="U245">
        <v>75</v>
      </c>
      <c r="V245">
        <v>78</v>
      </c>
      <c r="W245" t="str">
        <f t="shared" si="23"/>
        <v>Normal</v>
      </c>
      <c r="X245">
        <v>0</v>
      </c>
    </row>
    <row r="246" spans="1:24" ht="14.5" thickBot="1" x14ac:dyDescent="0.35">
      <c r="A246">
        <v>1</v>
      </c>
      <c r="B246" t="str">
        <f t="shared" si="21"/>
        <v>Male</v>
      </c>
      <c r="C246" s="8">
        <v>38</v>
      </c>
      <c r="D246" t="str">
        <f t="shared" si="22"/>
        <v>Young</v>
      </c>
      <c r="E246">
        <v>1</v>
      </c>
      <c r="F246" t="str">
        <f>HLOOKUP(E246, LookUP_Table!$A$6:$D$7, 2, FALSE)</f>
        <v>Primary</v>
      </c>
      <c r="G246" t="str">
        <f>IFERROR(VLOOKUP(E246, LookUP_Table!$A$1:$B$4, 2, FALSE), "")</f>
        <v>Primary</v>
      </c>
      <c r="H246">
        <v>1</v>
      </c>
      <c r="I246">
        <v>20</v>
      </c>
      <c r="J246" t="str">
        <f t="shared" si="18"/>
        <v>Smoker</v>
      </c>
      <c r="K246">
        <v>0</v>
      </c>
      <c r="L246">
        <v>0</v>
      </c>
      <c r="M246">
        <v>0</v>
      </c>
      <c r="N246">
        <v>0</v>
      </c>
      <c r="O246">
        <v>223</v>
      </c>
      <c r="P246" t="str">
        <f t="shared" si="19"/>
        <v>Normal</v>
      </c>
      <c r="Q246">
        <v>107</v>
      </c>
      <c r="R246">
        <v>73</v>
      </c>
      <c r="S246">
        <v>23.01</v>
      </c>
      <c r="T246" t="str">
        <f t="shared" si="20"/>
        <v>Normal</v>
      </c>
      <c r="U246">
        <v>65</v>
      </c>
      <c r="V246">
        <v>78</v>
      </c>
      <c r="W246" t="str">
        <f t="shared" si="23"/>
        <v>Normal</v>
      </c>
      <c r="X246">
        <v>0</v>
      </c>
    </row>
    <row r="247" spans="1:24" ht="14.5" thickBot="1" x14ac:dyDescent="0.35">
      <c r="A247">
        <v>1</v>
      </c>
      <c r="B247" t="str">
        <f t="shared" si="21"/>
        <v>Male</v>
      </c>
      <c r="C247" s="8">
        <v>38</v>
      </c>
      <c r="D247" t="str">
        <f t="shared" si="22"/>
        <v>Young</v>
      </c>
      <c r="E247">
        <v>4</v>
      </c>
      <c r="F247" t="str">
        <f>HLOOKUP(E247, LookUP_Table!$A$6:$D$7, 2, FALSE)</f>
        <v>Post Graduate</v>
      </c>
      <c r="G247" t="str">
        <f>IFERROR(VLOOKUP(E247, LookUP_Table!$A$1:$B$4, 2, FALSE), "")</f>
        <v>Post Graduate</v>
      </c>
      <c r="H247">
        <v>0</v>
      </c>
      <c r="I247">
        <v>0</v>
      </c>
      <c r="J247" t="str">
        <f t="shared" si="18"/>
        <v>Non-Smoker</v>
      </c>
      <c r="K247">
        <v>0</v>
      </c>
      <c r="L247">
        <v>0</v>
      </c>
      <c r="M247">
        <v>0</v>
      </c>
      <c r="N247">
        <v>0</v>
      </c>
      <c r="O247">
        <v>235</v>
      </c>
      <c r="P247" t="str">
        <f t="shared" si="19"/>
        <v>Normal</v>
      </c>
      <c r="Q247">
        <v>118</v>
      </c>
      <c r="R247">
        <v>77</v>
      </c>
      <c r="S247">
        <v>25.87</v>
      </c>
      <c r="T247" t="str">
        <f t="shared" si="20"/>
        <v>Overweight</v>
      </c>
      <c r="U247">
        <v>60</v>
      </c>
      <c r="V247">
        <v>82</v>
      </c>
      <c r="W247" t="str">
        <f t="shared" si="23"/>
        <v>Normal</v>
      </c>
      <c r="X247">
        <v>0</v>
      </c>
    </row>
    <row r="248" spans="1:24" ht="14.5" thickBot="1" x14ac:dyDescent="0.35">
      <c r="A248">
        <v>0</v>
      </c>
      <c r="B248" t="str">
        <f t="shared" si="21"/>
        <v>Female</v>
      </c>
      <c r="C248" s="8">
        <v>38</v>
      </c>
      <c r="D248" t="str">
        <f t="shared" si="22"/>
        <v>Young</v>
      </c>
      <c r="E248">
        <v>3</v>
      </c>
      <c r="F248" t="str">
        <f>HLOOKUP(E248, LookUP_Table!$A$6:$D$7, 2, FALSE)</f>
        <v>Graduate</v>
      </c>
      <c r="G248" t="str">
        <f>IFERROR(VLOOKUP(E248, LookUP_Table!$A$1:$B$4, 2, FALSE), "")</f>
        <v>Graduate</v>
      </c>
      <c r="H248">
        <v>1</v>
      </c>
      <c r="I248">
        <v>3</v>
      </c>
      <c r="J248" t="str">
        <f t="shared" si="18"/>
        <v>Smoker</v>
      </c>
      <c r="K248">
        <v>1</v>
      </c>
      <c r="L248">
        <v>0</v>
      </c>
      <c r="M248">
        <v>1</v>
      </c>
      <c r="N248">
        <v>0</v>
      </c>
      <c r="O248">
        <v>236.69952267303103</v>
      </c>
      <c r="P248" t="str">
        <f t="shared" si="19"/>
        <v>Normal</v>
      </c>
      <c r="Q248">
        <v>125</v>
      </c>
      <c r="R248">
        <v>80</v>
      </c>
      <c r="S248">
        <v>22.79</v>
      </c>
      <c r="T248" t="str">
        <f t="shared" si="20"/>
        <v>Normal</v>
      </c>
      <c r="U248">
        <v>98</v>
      </c>
      <c r="V248">
        <v>81.96365524402907</v>
      </c>
      <c r="W248" t="str">
        <f t="shared" si="23"/>
        <v>Normal</v>
      </c>
      <c r="X248">
        <v>0</v>
      </c>
    </row>
    <row r="249" spans="1:24" ht="14.5" thickBot="1" x14ac:dyDescent="0.35">
      <c r="A249">
        <v>1</v>
      </c>
      <c r="B249" t="str">
        <f t="shared" si="21"/>
        <v>Male</v>
      </c>
      <c r="C249" s="8">
        <v>38</v>
      </c>
      <c r="D249" t="str">
        <f t="shared" si="22"/>
        <v>Young</v>
      </c>
      <c r="E249">
        <v>2</v>
      </c>
      <c r="F249" t="str">
        <f>HLOOKUP(E249, LookUP_Table!$A$6:$D$7, 2, FALSE)</f>
        <v>Secondary</v>
      </c>
      <c r="G249" t="str">
        <f>IFERROR(VLOOKUP(E249, LookUP_Table!$A$1:$B$4, 2, FALSE), "")</f>
        <v>Secondary</v>
      </c>
      <c r="H249">
        <v>0</v>
      </c>
      <c r="I249">
        <v>0</v>
      </c>
      <c r="J249" t="str">
        <f t="shared" si="18"/>
        <v>Non-Smoker</v>
      </c>
      <c r="K249">
        <v>0</v>
      </c>
      <c r="L249">
        <v>0</v>
      </c>
      <c r="M249">
        <v>0</v>
      </c>
      <c r="N249">
        <v>0</v>
      </c>
      <c r="O249">
        <v>220</v>
      </c>
      <c r="P249" t="str">
        <f t="shared" si="19"/>
        <v>Normal</v>
      </c>
      <c r="Q249">
        <v>122</v>
      </c>
      <c r="R249">
        <v>80.5</v>
      </c>
      <c r="S249">
        <v>21.66</v>
      </c>
      <c r="T249" t="str">
        <f t="shared" si="20"/>
        <v>Normal</v>
      </c>
      <c r="U249">
        <v>73</v>
      </c>
      <c r="V249">
        <v>77</v>
      </c>
      <c r="W249" t="str">
        <f t="shared" si="23"/>
        <v>Normal</v>
      </c>
      <c r="X249">
        <v>0</v>
      </c>
    </row>
    <row r="250" spans="1:24" ht="14.5" thickBot="1" x14ac:dyDescent="0.35">
      <c r="A250">
        <v>1</v>
      </c>
      <c r="B250" t="str">
        <f t="shared" si="21"/>
        <v>Male</v>
      </c>
      <c r="C250" s="8">
        <v>38</v>
      </c>
      <c r="D250" t="str">
        <f t="shared" si="22"/>
        <v>Young</v>
      </c>
      <c r="E250">
        <v>2</v>
      </c>
      <c r="F250" t="str">
        <f>HLOOKUP(E250, LookUP_Table!$A$6:$D$7, 2, FALSE)</f>
        <v>Secondary</v>
      </c>
      <c r="G250" t="str">
        <f>IFERROR(VLOOKUP(E250, LookUP_Table!$A$1:$B$4, 2, FALSE), "")</f>
        <v>Secondary</v>
      </c>
      <c r="H250">
        <v>1</v>
      </c>
      <c r="I250">
        <v>20</v>
      </c>
      <c r="J250" t="str">
        <f t="shared" si="18"/>
        <v>Smoker</v>
      </c>
      <c r="K250">
        <v>0</v>
      </c>
      <c r="L250">
        <v>0</v>
      </c>
      <c r="M250">
        <v>1</v>
      </c>
      <c r="N250">
        <v>0</v>
      </c>
      <c r="O250">
        <v>253</v>
      </c>
      <c r="P250" t="str">
        <f t="shared" si="19"/>
        <v>High</v>
      </c>
      <c r="Q250">
        <v>133</v>
      </c>
      <c r="R250">
        <v>92</v>
      </c>
      <c r="S250">
        <v>28.82</v>
      </c>
      <c r="T250" t="str">
        <f t="shared" si="20"/>
        <v>Overweight</v>
      </c>
      <c r="U250">
        <v>80</v>
      </c>
      <c r="V250">
        <v>63</v>
      </c>
      <c r="W250" t="str">
        <f t="shared" si="23"/>
        <v>Normal</v>
      </c>
      <c r="X250">
        <v>1</v>
      </c>
    </row>
    <row r="251" spans="1:24" ht="14.5" thickBot="1" x14ac:dyDescent="0.35">
      <c r="A251">
        <v>0</v>
      </c>
      <c r="B251" t="str">
        <f t="shared" si="21"/>
        <v>Female</v>
      </c>
      <c r="C251" s="8">
        <v>38</v>
      </c>
      <c r="D251" t="str">
        <f t="shared" si="22"/>
        <v>Young</v>
      </c>
      <c r="E251">
        <v>2</v>
      </c>
      <c r="F251" t="str">
        <f>HLOOKUP(E251, LookUP_Table!$A$6:$D$7, 2, FALSE)</f>
        <v>Secondary</v>
      </c>
      <c r="G251" t="str">
        <f>IFERROR(VLOOKUP(E251, LookUP_Table!$A$1:$B$4, 2, FALSE), "")</f>
        <v>Secondary</v>
      </c>
      <c r="H251">
        <v>0</v>
      </c>
      <c r="I251">
        <v>0</v>
      </c>
      <c r="J251" t="str">
        <f t="shared" si="18"/>
        <v>Non-Smoker</v>
      </c>
      <c r="K251">
        <v>0</v>
      </c>
      <c r="L251">
        <v>0</v>
      </c>
      <c r="M251">
        <v>0</v>
      </c>
      <c r="N251">
        <v>0</v>
      </c>
      <c r="O251">
        <v>171</v>
      </c>
      <c r="P251" t="str">
        <f t="shared" si="19"/>
        <v>Normal</v>
      </c>
      <c r="Q251">
        <v>111</v>
      </c>
      <c r="R251">
        <v>68</v>
      </c>
      <c r="S251">
        <v>18.760000000000002</v>
      </c>
      <c r="T251" t="str">
        <f t="shared" si="20"/>
        <v>Normal</v>
      </c>
      <c r="U251">
        <v>90</v>
      </c>
      <c r="V251">
        <v>83</v>
      </c>
      <c r="W251" t="str">
        <f t="shared" si="23"/>
        <v>Normal</v>
      </c>
      <c r="X251">
        <v>0</v>
      </c>
    </row>
    <row r="252" spans="1:24" ht="14.5" thickBot="1" x14ac:dyDescent="0.35">
      <c r="A252">
        <v>0</v>
      </c>
      <c r="B252" t="str">
        <f t="shared" si="21"/>
        <v>Female</v>
      </c>
      <c r="C252" s="8">
        <v>38</v>
      </c>
      <c r="D252" t="str">
        <f t="shared" si="22"/>
        <v>Young</v>
      </c>
      <c r="E252">
        <v>2</v>
      </c>
      <c r="F252" t="str">
        <f>HLOOKUP(E252, LookUP_Table!$A$6:$D$7, 2, FALSE)</f>
        <v>Secondary</v>
      </c>
      <c r="G252" t="str">
        <f>IFERROR(VLOOKUP(E252, LookUP_Table!$A$1:$B$4, 2, FALSE), "")</f>
        <v>Secondary</v>
      </c>
      <c r="H252">
        <v>1</v>
      </c>
      <c r="I252">
        <v>9</v>
      </c>
      <c r="J252" t="str">
        <f t="shared" si="18"/>
        <v>Smoker</v>
      </c>
      <c r="K252">
        <v>0</v>
      </c>
      <c r="L252">
        <v>0</v>
      </c>
      <c r="M252">
        <v>0</v>
      </c>
      <c r="N252">
        <v>0</v>
      </c>
      <c r="O252">
        <v>180</v>
      </c>
      <c r="P252" t="str">
        <f t="shared" si="19"/>
        <v>Normal</v>
      </c>
      <c r="Q252">
        <v>124</v>
      </c>
      <c r="R252">
        <v>66</v>
      </c>
      <c r="S252">
        <v>29.29</v>
      </c>
      <c r="T252" t="str">
        <f t="shared" si="20"/>
        <v>Overweight</v>
      </c>
      <c r="U252">
        <v>85</v>
      </c>
      <c r="V252">
        <v>68</v>
      </c>
      <c r="W252" t="str">
        <f t="shared" si="23"/>
        <v>Normal</v>
      </c>
      <c r="X252">
        <v>0</v>
      </c>
    </row>
    <row r="253" spans="1:24" ht="14.5" thickBot="1" x14ac:dyDescent="0.35">
      <c r="A253">
        <v>1</v>
      </c>
      <c r="B253" t="str">
        <f t="shared" si="21"/>
        <v>Male</v>
      </c>
      <c r="C253" s="8">
        <v>38</v>
      </c>
      <c r="D253" t="str">
        <f t="shared" si="22"/>
        <v>Young</v>
      </c>
      <c r="E253">
        <v>1</v>
      </c>
      <c r="F253" t="str">
        <f>HLOOKUP(E253, LookUP_Table!$A$6:$D$7, 2, FALSE)</f>
        <v>Primary</v>
      </c>
      <c r="G253" t="str">
        <f>IFERROR(VLOOKUP(E253, LookUP_Table!$A$1:$B$4, 2, FALSE), "")</f>
        <v>Primary</v>
      </c>
      <c r="H253">
        <v>1</v>
      </c>
      <c r="I253">
        <v>20</v>
      </c>
      <c r="J253" t="str">
        <f t="shared" si="18"/>
        <v>Smoker</v>
      </c>
      <c r="K253">
        <v>0</v>
      </c>
      <c r="L253">
        <v>0</v>
      </c>
      <c r="M253">
        <v>0</v>
      </c>
      <c r="N253">
        <v>0</v>
      </c>
      <c r="O253">
        <v>268</v>
      </c>
      <c r="P253" t="str">
        <f t="shared" si="19"/>
        <v>High</v>
      </c>
      <c r="Q253">
        <v>117</v>
      </c>
      <c r="R253">
        <v>83</v>
      </c>
      <c r="S253">
        <v>33.61</v>
      </c>
      <c r="T253" t="str">
        <f t="shared" si="20"/>
        <v>Obese</v>
      </c>
      <c r="U253">
        <v>72</v>
      </c>
      <c r="V253">
        <v>81.96365524402907</v>
      </c>
      <c r="W253" t="str">
        <f t="shared" si="23"/>
        <v>Normal</v>
      </c>
      <c r="X253">
        <v>0</v>
      </c>
    </row>
    <row r="254" spans="1:24" ht="14.5" thickBot="1" x14ac:dyDescent="0.35">
      <c r="A254">
        <v>0</v>
      </c>
      <c r="B254" t="str">
        <f t="shared" si="21"/>
        <v>Female</v>
      </c>
      <c r="C254" s="8">
        <v>38</v>
      </c>
      <c r="D254" t="str">
        <f t="shared" si="22"/>
        <v>Young</v>
      </c>
      <c r="E254">
        <v>2</v>
      </c>
      <c r="F254" t="str">
        <f>HLOOKUP(E254, LookUP_Table!$A$6:$D$7, 2, FALSE)</f>
        <v>Secondary</v>
      </c>
      <c r="G254" t="str">
        <f>IFERROR(VLOOKUP(E254, LookUP_Table!$A$1:$B$4, 2, FALSE), "")</f>
        <v>Secondary</v>
      </c>
      <c r="H254">
        <v>0</v>
      </c>
      <c r="I254">
        <v>0</v>
      </c>
      <c r="J254" t="str">
        <f t="shared" si="18"/>
        <v>Non-Smoker</v>
      </c>
      <c r="K254">
        <v>0</v>
      </c>
      <c r="L254">
        <v>0</v>
      </c>
      <c r="M254">
        <v>0</v>
      </c>
      <c r="N254">
        <v>0</v>
      </c>
      <c r="O254">
        <v>186</v>
      </c>
      <c r="P254" t="str">
        <f t="shared" si="19"/>
        <v>Normal</v>
      </c>
      <c r="Q254">
        <v>105</v>
      </c>
      <c r="R254">
        <v>57</v>
      </c>
      <c r="S254">
        <v>21.1</v>
      </c>
      <c r="T254" t="str">
        <f t="shared" si="20"/>
        <v>Normal</v>
      </c>
      <c r="U254">
        <v>85</v>
      </c>
      <c r="V254">
        <v>68</v>
      </c>
      <c r="W254" t="str">
        <f t="shared" si="23"/>
        <v>Normal</v>
      </c>
      <c r="X254">
        <v>0</v>
      </c>
    </row>
    <row r="255" spans="1:24" ht="14.5" thickBot="1" x14ac:dyDescent="0.35">
      <c r="A255">
        <v>1</v>
      </c>
      <c r="B255" t="str">
        <f t="shared" si="21"/>
        <v>Male</v>
      </c>
      <c r="C255" s="8">
        <v>38</v>
      </c>
      <c r="D255" t="str">
        <f t="shared" si="22"/>
        <v>Young</v>
      </c>
      <c r="E255">
        <v>1</v>
      </c>
      <c r="F255" t="str">
        <f>HLOOKUP(E255, LookUP_Table!$A$6:$D$7, 2, FALSE)</f>
        <v>Primary</v>
      </c>
      <c r="G255" t="str">
        <f>IFERROR(VLOOKUP(E255, LookUP_Table!$A$1:$B$4, 2, FALSE), "")</f>
        <v>Primary</v>
      </c>
      <c r="H255">
        <v>0</v>
      </c>
      <c r="I255">
        <v>0</v>
      </c>
      <c r="J255" t="str">
        <f t="shared" si="18"/>
        <v>Non-Smoker</v>
      </c>
      <c r="K255">
        <v>0</v>
      </c>
      <c r="L255">
        <v>0</v>
      </c>
      <c r="M255">
        <v>0</v>
      </c>
      <c r="N255">
        <v>0</v>
      </c>
      <c r="O255">
        <v>319</v>
      </c>
      <c r="P255" t="str">
        <f t="shared" si="19"/>
        <v>High</v>
      </c>
      <c r="Q255">
        <v>121</v>
      </c>
      <c r="R255">
        <v>86</v>
      </c>
      <c r="S255">
        <v>29.77</v>
      </c>
      <c r="T255" t="str">
        <f t="shared" si="20"/>
        <v>Overweight</v>
      </c>
      <c r="U255">
        <v>72</v>
      </c>
      <c r="V255">
        <v>77</v>
      </c>
      <c r="W255" t="str">
        <f t="shared" si="23"/>
        <v>Normal</v>
      </c>
      <c r="X255">
        <v>0</v>
      </c>
    </row>
    <row r="256" spans="1:24" ht="14.5" thickBot="1" x14ac:dyDescent="0.35">
      <c r="A256">
        <v>0</v>
      </c>
      <c r="B256" t="str">
        <f t="shared" si="21"/>
        <v>Female</v>
      </c>
      <c r="C256" s="8">
        <v>38</v>
      </c>
      <c r="D256" t="str">
        <f t="shared" si="22"/>
        <v>Young</v>
      </c>
      <c r="E256">
        <v>3</v>
      </c>
      <c r="F256" t="str">
        <f>HLOOKUP(E256, LookUP_Table!$A$6:$D$7, 2, FALSE)</f>
        <v>Graduate</v>
      </c>
      <c r="G256" t="str">
        <f>IFERROR(VLOOKUP(E256, LookUP_Table!$A$1:$B$4, 2, FALSE), "")</f>
        <v>Graduate</v>
      </c>
      <c r="H256">
        <v>1</v>
      </c>
      <c r="I256">
        <v>10</v>
      </c>
      <c r="J256" t="str">
        <f t="shared" si="18"/>
        <v>Smoker</v>
      </c>
      <c r="K256">
        <v>0</v>
      </c>
      <c r="L256">
        <v>0</v>
      </c>
      <c r="M256">
        <v>0</v>
      </c>
      <c r="N256">
        <v>0</v>
      </c>
      <c r="O256">
        <v>203</v>
      </c>
      <c r="P256" t="str">
        <f t="shared" si="19"/>
        <v>Normal</v>
      </c>
      <c r="Q256">
        <v>100</v>
      </c>
      <c r="R256">
        <v>70</v>
      </c>
      <c r="S256">
        <v>22.73</v>
      </c>
      <c r="T256" t="str">
        <f t="shared" si="20"/>
        <v>Normal</v>
      </c>
      <c r="U256">
        <v>63</v>
      </c>
      <c r="V256">
        <v>80</v>
      </c>
      <c r="W256" t="str">
        <f t="shared" si="23"/>
        <v>Normal</v>
      </c>
      <c r="X256">
        <v>0</v>
      </c>
    </row>
    <row r="257" spans="1:24" ht="14.5" thickBot="1" x14ac:dyDescent="0.35">
      <c r="A257">
        <v>0</v>
      </c>
      <c r="B257" t="str">
        <f t="shared" si="21"/>
        <v>Female</v>
      </c>
      <c r="C257" s="8">
        <v>38</v>
      </c>
      <c r="D257" t="str">
        <f t="shared" si="22"/>
        <v>Young</v>
      </c>
      <c r="E257">
        <v>2</v>
      </c>
      <c r="F257" t="str">
        <f>HLOOKUP(E257, LookUP_Table!$A$6:$D$7, 2, FALSE)</f>
        <v>Secondary</v>
      </c>
      <c r="G257" t="str">
        <f>IFERROR(VLOOKUP(E257, LookUP_Table!$A$1:$B$4, 2, FALSE), "")</f>
        <v>Secondary</v>
      </c>
      <c r="H257">
        <v>1</v>
      </c>
      <c r="I257">
        <v>15</v>
      </c>
      <c r="J257" t="str">
        <f t="shared" si="18"/>
        <v>Smoker</v>
      </c>
      <c r="K257">
        <v>0</v>
      </c>
      <c r="L257">
        <v>0</v>
      </c>
      <c r="M257">
        <v>0</v>
      </c>
      <c r="N257">
        <v>0</v>
      </c>
      <c r="O257">
        <v>176</v>
      </c>
      <c r="P257" t="str">
        <f t="shared" si="19"/>
        <v>Normal</v>
      </c>
      <c r="Q257">
        <v>110</v>
      </c>
      <c r="R257">
        <v>80</v>
      </c>
      <c r="S257">
        <v>24.03</v>
      </c>
      <c r="T257" t="str">
        <f t="shared" si="20"/>
        <v>Normal</v>
      </c>
      <c r="U257">
        <v>100</v>
      </c>
      <c r="V257">
        <v>113</v>
      </c>
      <c r="W257" t="str">
        <f t="shared" si="23"/>
        <v>Prediabetes</v>
      </c>
      <c r="X257">
        <v>0</v>
      </c>
    </row>
    <row r="258" spans="1:24" ht="14.5" thickBot="1" x14ac:dyDescent="0.35">
      <c r="A258">
        <v>1</v>
      </c>
      <c r="B258" t="str">
        <f t="shared" si="21"/>
        <v>Male</v>
      </c>
      <c r="C258" s="8">
        <v>38</v>
      </c>
      <c r="D258" t="str">
        <f t="shared" si="22"/>
        <v>Young</v>
      </c>
      <c r="E258">
        <v>4</v>
      </c>
      <c r="F258" t="str">
        <f>HLOOKUP(E258, LookUP_Table!$A$6:$D$7, 2, FALSE)</f>
        <v>Post Graduate</v>
      </c>
      <c r="G258" t="str">
        <f>IFERROR(VLOOKUP(E258, LookUP_Table!$A$1:$B$4, 2, FALSE), "")</f>
        <v>Post Graduate</v>
      </c>
      <c r="H258">
        <v>1</v>
      </c>
      <c r="I258">
        <v>10</v>
      </c>
      <c r="J258" t="str">
        <f t="shared" ref="J258:J321" si="24">IF(I258&gt;0,"Smoker","Non-Smoker")</f>
        <v>Smoker</v>
      </c>
      <c r="K258">
        <v>0</v>
      </c>
      <c r="L258">
        <v>0</v>
      </c>
      <c r="M258">
        <v>0</v>
      </c>
      <c r="N258">
        <v>0</v>
      </c>
      <c r="O258">
        <v>168</v>
      </c>
      <c r="P258" t="str">
        <f t="shared" ref="P258:P321" si="25">IF(O258&gt;240,"High","Normal")</f>
        <v>Normal</v>
      </c>
      <c r="Q258">
        <v>113</v>
      </c>
      <c r="R258">
        <v>69.5</v>
      </c>
      <c r="S258">
        <v>23.68</v>
      </c>
      <c r="T258" t="str">
        <f t="shared" ref="T258:T321" si="26">IF(S258&lt;18.5,"Underweight",
IF(S258&lt;25,"Normal",
IF(S258&lt;30,"Overweight","Obese")))</f>
        <v>Normal</v>
      </c>
      <c r="U258">
        <v>58</v>
      </c>
      <c r="V258">
        <v>81.96365524402907</v>
      </c>
      <c r="W258" t="str">
        <f t="shared" si="23"/>
        <v>Normal</v>
      </c>
      <c r="X258">
        <v>1</v>
      </c>
    </row>
    <row r="259" spans="1:24" ht="14.5" thickBot="1" x14ac:dyDescent="0.35">
      <c r="A259">
        <v>1</v>
      </c>
      <c r="B259" t="str">
        <f t="shared" ref="B259:B322" si="27">IF(A259=0,"Female","Male")</f>
        <v>Male</v>
      </c>
      <c r="C259" s="8">
        <v>38</v>
      </c>
      <c r="D259" t="str">
        <f t="shared" ref="D259:D322" si="28">IF(C259&lt;40,"Young",
IF(C259&lt;55,"Middle Age","Senior"))</f>
        <v>Young</v>
      </c>
      <c r="E259">
        <v>2</v>
      </c>
      <c r="F259" t="str">
        <f>HLOOKUP(E259, LookUP_Table!$A$6:$D$7, 2, FALSE)</f>
        <v>Secondary</v>
      </c>
      <c r="G259" t="str">
        <f>IFERROR(VLOOKUP(E259, LookUP_Table!$A$1:$B$4, 2, FALSE), "")</f>
        <v>Secondary</v>
      </c>
      <c r="H259">
        <v>1</v>
      </c>
      <c r="I259">
        <v>30</v>
      </c>
      <c r="J259" t="str">
        <f t="shared" si="24"/>
        <v>Smoker</v>
      </c>
      <c r="K259">
        <v>0</v>
      </c>
      <c r="L259">
        <v>0</v>
      </c>
      <c r="M259">
        <v>1</v>
      </c>
      <c r="N259">
        <v>0</v>
      </c>
      <c r="O259">
        <v>195</v>
      </c>
      <c r="P259" t="str">
        <f t="shared" si="25"/>
        <v>Normal</v>
      </c>
      <c r="Q259">
        <v>146</v>
      </c>
      <c r="R259">
        <v>104</v>
      </c>
      <c r="S259">
        <v>29.6</v>
      </c>
      <c r="T259" t="str">
        <f t="shared" si="26"/>
        <v>Overweight</v>
      </c>
      <c r="U259">
        <v>75</v>
      </c>
      <c r="V259">
        <v>80</v>
      </c>
      <c r="W259" t="str">
        <f t="shared" ref="W259:W322" si="29">IF(V259 &lt; 100, "Normal", IF(V259 &lt;= 125, "Prediabetes", "Diabetes"))</f>
        <v>Normal</v>
      </c>
      <c r="X259">
        <v>0</v>
      </c>
    </row>
    <row r="260" spans="1:24" ht="14.5" thickBot="1" x14ac:dyDescent="0.35">
      <c r="A260">
        <v>1</v>
      </c>
      <c r="B260" t="str">
        <f t="shared" si="27"/>
        <v>Male</v>
      </c>
      <c r="C260" s="8">
        <v>38</v>
      </c>
      <c r="D260" t="str">
        <f t="shared" si="28"/>
        <v>Young</v>
      </c>
      <c r="E260">
        <v>2</v>
      </c>
      <c r="F260" t="str">
        <f>HLOOKUP(E260, LookUP_Table!$A$6:$D$7, 2, FALSE)</f>
        <v>Secondary</v>
      </c>
      <c r="G260" t="str">
        <f>IFERROR(VLOOKUP(E260, LookUP_Table!$A$1:$B$4, 2, FALSE), "")</f>
        <v>Secondary</v>
      </c>
      <c r="H260">
        <v>1</v>
      </c>
      <c r="I260">
        <v>40</v>
      </c>
      <c r="J260" t="str">
        <f t="shared" si="24"/>
        <v>Smoker</v>
      </c>
      <c r="K260">
        <v>0</v>
      </c>
      <c r="L260">
        <v>0</v>
      </c>
      <c r="M260">
        <v>1</v>
      </c>
      <c r="N260">
        <v>0</v>
      </c>
      <c r="O260">
        <v>245</v>
      </c>
      <c r="P260" t="str">
        <f t="shared" si="25"/>
        <v>High</v>
      </c>
      <c r="Q260">
        <v>154</v>
      </c>
      <c r="R260">
        <v>95.5</v>
      </c>
      <c r="S260">
        <v>30.02</v>
      </c>
      <c r="T260" t="str">
        <f t="shared" si="26"/>
        <v>Obese</v>
      </c>
      <c r="U260">
        <v>92</v>
      </c>
      <c r="V260">
        <v>87</v>
      </c>
      <c r="W260" t="str">
        <f t="shared" si="29"/>
        <v>Normal</v>
      </c>
      <c r="X260">
        <v>0</v>
      </c>
    </row>
    <row r="261" spans="1:24" ht="14.5" thickBot="1" x14ac:dyDescent="0.35">
      <c r="A261">
        <v>0</v>
      </c>
      <c r="B261" t="str">
        <f t="shared" si="27"/>
        <v>Female</v>
      </c>
      <c r="C261" s="8">
        <v>38</v>
      </c>
      <c r="D261" t="str">
        <f t="shared" si="28"/>
        <v>Young</v>
      </c>
      <c r="E261">
        <v>1</v>
      </c>
      <c r="F261" t="str">
        <f>HLOOKUP(E261, LookUP_Table!$A$6:$D$7, 2, FALSE)</f>
        <v>Primary</v>
      </c>
      <c r="G261" t="str">
        <f>IFERROR(VLOOKUP(E261, LookUP_Table!$A$1:$B$4, 2, FALSE), "")</f>
        <v>Primary</v>
      </c>
      <c r="H261">
        <v>1</v>
      </c>
      <c r="I261">
        <v>1</v>
      </c>
      <c r="J261" t="str">
        <f t="shared" si="24"/>
        <v>Smoker</v>
      </c>
      <c r="K261">
        <v>0</v>
      </c>
      <c r="L261">
        <v>0</v>
      </c>
      <c r="M261">
        <v>0</v>
      </c>
      <c r="N261">
        <v>0</v>
      </c>
      <c r="O261">
        <v>300</v>
      </c>
      <c r="P261" t="str">
        <f t="shared" si="25"/>
        <v>High</v>
      </c>
      <c r="Q261">
        <v>122</v>
      </c>
      <c r="R261">
        <v>84</v>
      </c>
      <c r="S261">
        <v>27.26</v>
      </c>
      <c r="T261" t="str">
        <f t="shared" si="26"/>
        <v>Overweight</v>
      </c>
      <c r="U261">
        <v>96</v>
      </c>
      <c r="V261">
        <v>68</v>
      </c>
      <c r="W261" t="str">
        <f t="shared" si="29"/>
        <v>Normal</v>
      </c>
      <c r="X261">
        <v>0</v>
      </c>
    </row>
    <row r="262" spans="1:24" ht="14.5" thickBot="1" x14ac:dyDescent="0.35">
      <c r="A262">
        <v>1</v>
      </c>
      <c r="B262" t="str">
        <f t="shared" si="27"/>
        <v>Male</v>
      </c>
      <c r="C262" s="8">
        <v>38</v>
      </c>
      <c r="D262" t="str">
        <f t="shared" si="28"/>
        <v>Young</v>
      </c>
      <c r="E262">
        <v>1</v>
      </c>
      <c r="F262" t="str">
        <f>HLOOKUP(E262, LookUP_Table!$A$6:$D$7, 2, FALSE)</f>
        <v>Primary</v>
      </c>
      <c r="G262" t="str">
        <f>IFERROR(VLOOKUP(E262, LookUP_Table!$A$1:$B$4, 2, FALSE), "")</f>
        <v>Primary</v>
      </c>
      <c r="H262">
        <v>1</v>
      </c>
      <c r="I262">
        <v>25</v>
      </c>
      <c r="J262" t="str">
        <f t="shared" si="24"/>
        <v>Smoker</v>
      </c>
      <c r="K262">
        <v>0</v>
      </c>
      <c r="L262">
        <v>0</v>
      </c>
      <c r="M262">
        <v>1</v>
      </c>
      <c r="N262">
        <v>0</v>
      </c>
      <c r="O262">
        <v>210</v>
      </c>
      <c r="P262" t="str">
        <f t="shared" si="25"/>
        <v>Normal</v>
      </c>
      <c r="Q262">
        <v>145.5</v>
      </c>
      <c r="R262">
        <v>87</v>
      </c>
      <c r="S262">
        <v>24.67</v>
      </c>
      <c r="T262" t="str">
        <f t="shared" si="26"/>
        <v>Normal</v>
      </c>
      <c r="U262">
        <v>72</v>
      </c>
      <c r="V262">
        <v>89</v>
      </c>
      <c r="W262" t="str">
        <f t="shared" si="29"/>
        <v>Normal</v>
      </c>
      <c r="X262">
        <v>0</v>
      </c>
    </row>
    <row r="263" spans="1:24" ht="14.5" thickBot="1" x14ac:dyDescent="0.35">
      <c r="A263">
        <v>0</v>
      </c>
      <c r="B263" t="str">
        <f t="shared" si="27"/>
        <v>Female</v>
      </c>
      <c r="C263" s="8">
        <v>38</v>
      </c>
      <c r="D263" t="str">
        <f t="shared" si="28"/>
        <v>Young</v>
      </c>
      <c r="E263">
        <v>3</v>
      </c>
      <c r="F263" t="str">
        <f>HLOOKUP(E263, LookUP_Table!$A$6:$D$7, 2, FALSE)</f>
        <v>Graduate</v>
      </c>
      <c r="G263" t="str">
        <f>IFERROR(VLOOKUP(E263, LookUP_Table!$A$1:$B$4, 2, FALSE), "")</f>
        <v>Graduate</v>
      </c>
      <c r="H263">
        <v>0</v>
      </c>
      <c r="I263">
        <v>0</v>
      </c>
      <c r="J263" t="str">
        <f t="shared" si="24"/>
        <v>Non-Smoker</v>
      </c>
      <c r="K263">
        <v>0</v>
      </c>
      <c r="L263">
        <v>0</v>
      </c>
      <c r="M263">
        <v>0</v>
      </c>
      <c r="N263">
        <v>0</v>
      </c>
      <c r="O263">
        <v>171</v>
      </c>
      <c r="P263" t="str">
        <f t="shared" si="25"/>
        <v>Normal</v>
      </c>
      <c r="Q263">
        <v>110</v>
      </c>
      <c r="R263">
        <v>71</v>
      </c>
      <c r="S263">
        <v>21.8</v>
      </c>
      <c r="T263" t="str">
        <f t="shared" si="26"/>
        <v>Normal</v>
      </c>
      <c r="U263">
        <v>82</v>
      </c>
      <c r="V263">
        <v>78</v>
      </c>
      <c r="W263" t="str">
        <f t="shared" si="29"/>
        <v>Normal</v>
      </c>
      <c r="X263">
        <v>0</v>
      </c>
    </row>
    <row r="264" spans="1:24" ht="14.5" thickBot="1" x14ac:dyDescent="0.35">
      <c r="A264">
        <v>0</v>
      </c>
      <c r="B264" t="str">
        <f t="shared" si="27"/>
        <v>Female</v>
      </c>
      <c r="C264" s="8">
        <v>38</v>
      </c>
      <c r="D264" t="str">
        <f t="shared" si="28"/>
        <v>Young</v>
      </c>
      <c r="E264">
        <v>2</v>
      </c>
      <c r="F264" t="str">
        <f>HLOOKUP(E264, LookUP_Table!$A$6:$D$7, 2, FALSE)</f>
        <v>Secondary</v>
      </c>
      <c r="G264" t="str">
        <f>IFERROR(VLOOKUP(E264, LookUP_Table!$A$1:$B$4, 2, FALSE), "")</f>
        <v>Secondary</v>
      </c>
      <c r="H264">
        <v>0</v>
      </c>
      <c r="I264">
        <v>0</v>
      </c>
      <c r="J264" t="str">
        <f t="shared" si="24"/>
        <v>Non-Smoker</v>
      </c>
      <c r="K264">
        <v>0</v>
      </c>
      <c r="L264">
        <v>0</v>
      </c>
      <c r="M264">
        <v>0</v>
      </c>
      <c r="N264">
        <v>0</v>
      </c>
      <c r="O264">
        <v>227</v>
      </c>
      <c r="P264" t="str">
        <f t="shared" si="25"/>
        <v>Normal</v>
      </c>
      <c r="Q264">
        <v>117.5</v>
      </c>
      <c r="R264">
        <v>77.5</v>
      </c>
      <c r="S264">
        <v>30.24</v>
      </c>
      <c r="T264" t="str">
        <f t="shared" si="26"/>
        <v>Obese</v>
      </c>
      <c r="U264">
        <v>85</v>
      </c>
      <c r="V264">
        <v>81.96365524402907</v>
      </c>
      <c r="W264" t="str">
        <f t="shared" si="29"/>
        <v>Normal</v>
      </c>
      <c r="X264">
        <v>0</v>
      </c>
    </row>
    <row r="265" spans="1:24" ht="14.5" thickBot="1" x14ac:dyDescent="0.35">
      <c r="A265">
        <v>1</v>
      </c>
      <c r="B265" t="str">
        <f t="shared" si="27"/>
        <v>Male</v>
      </c>
      <c r="C265" s="8">
        <v>38</v>
      </c>
      <c r="D265" t="str">
        <f t="shared" si="28"/>
        <v>Young</v>
      </c>
      <c r="E265">
        <v>2</v>
      </c>
      <c r="F265" t="str">
        <f>HLOOKUP(E265, LookUP_Table!$A$6:$D$7, 2, FALSE)</f>
        <v>Secondary</v>
      </c>
      <c r="G265" t="str">
        <f>IFERROR(VLOOKUP(E265, LookUP_Table!$A$1:$B$4, 2, FALSE), "")</f>
        <v>Secondary</v>
      </c>
      <c r="H265">
        <v>0</v>
      </c>
      <c r="I265">
        <v>0</v>
      </c>
      <c r="J265" t="str">
        <f t="shared" si="24"/>
        <v>Non-Smoker</v>
      </c>
      <c r="K265">
        <v>0</v>
      </c>
      <c r="L265">
        <v>0</v>
      </c>
      <c r="M265">
        <v>0</v>
      </c>
      <c r="N265">
        <v>0</v>
      </c>
      <c r="O265">
        <v>208</v>
      </c>
      <c r="P265" t="str">
        <f t="shared" si="25"/>
        <v>Normal</v>
      </c>
      <c r="Q265">
        <v>121.5</v>
      </c>
      <c r="R265">
        <v>74</v>
      </c>
      <c r="S265">
        <v>27.05</v>
      </c>
      <c r="T265" t="str">
        <f t="shared" si="26"/>
        <v>Overweight</v>
      </c>
      <c r="U265">
        <v>53</v>
      </c>
      <c r="V265">
        <v>90</v>
      </c>
      <c r="W265" t="str">
        <f t="shared" si="29"/>
        <v>Normal</v>
      </c>
      <c r="X265">
        <v>0</v>
      </c>
    </row>
    <row r="266" spans="1:24" ht="14.5" thickBot="1" x14ac:dyDescent="0.35">
      <c r="A266">
        <v>1</v>
      </c>
      <c r="B266" t="str">
        <f t="shared" si="27"/>
        <v>Male</v>
      </c>
      <c r="C266" s="8">
        <v>38</v>
      </c>
      <c r="D266" t="str">
        <f t="shared" si="28"/>
        <v>Young</v>
      </c>
      <c r="E266">
        <v>1</v>
      </c>
      <c r="F266" t="str">
        <f>HLOOKUP(E266, LookUP_Table!$A$6:$D$7, 2, FALSE)</f>
        <v>Primary</v>
      </c>
      <c r="G266" t="str">
        <f>IFERROR(VLOOKUP(E266, LookUP_Table!$A$1:$B$4, 2, FALSE), "")</f>
        <v>Primary</v>
      </c>
      <c r="H266">
        <v>1</v>
      </c>
      <c r="I266">
        <v>10</v>
      </c>
      <c r="J266" t="str">
        <f t="shared" si="24"/>
        <v>Smoker</v>
      </c>
      <c r="K266">
        <v>0</v>
      </c>
      <c r="L266">
        <v>0</v>
      </c>
      <c r="M266">
        <v>0</v>
      </c>
      <c r="N266">
        <v>0</v>
      </c>
      <c r="O266">
        <v>219</v>
      </c>
      <c r="P266" t="str">
        <f t="shared" si="25"/>
        <v>Normal</v>
      </c>
      <c r="Q266">
        <v>115</v>
      </c>
      <c r="R266">
        <v>71</v>
      </c>
      <c r="S266">
        <v>24.58</v>
      </c>
      <c r="T266" t="str">
        <f t="shared" si="26"/>
        <v>Normal</v>
      </c>
      <c r="U266">
        <v>65</v>
      </c>
      <c r="V266">
        <v>93</v>
      </c>
      <c r="W266" t="str">
        <f t="shared" si="29"/>
        <v>Normal</v>
      </c>
      <c r="X266">
        <v>0</v>
      </c>
    </row>
    <row r="267" spans="1:24" ht="14.5" thickBot="1" x14ac:dyDescent="0.35">
      <c r="A267">
        <v>1</v>
      </c>
      <c r="B267" t="str">
        <f t="shared" si="27"/>
        <v>Male</v>
      </c>
      <c r="C267" s="8">
        <v>38</v>
      </c>
      <c r="D267" t="str">
        <f t="shared" si="28"/>
        <v>Young</v>
      </c>
      <c r="E267">
        <v>2</v>
      </c>
      <c r="F267" t="str">
        <f>HLOOKUP(E267, LookUP_Table!$A$6:$D$7, 2, FALSE)</f>
        <v>Secondary</v>
      </c>
      <c r="G267" t="str">
        <f>IFERROR(VLOOKUP(E267, LookUP_Table!$A$1:$B$4, 2, FALSE), "")</f>
        <v>Secondary</v>
      </c>
      <c r="H267">
        <v>1</v>
      </c>
      <c r="I267">
        <v>5</v>
      </c>
      <c r="J267" t="str">
        <f t="shared" si="24"/>
        <v>Smoker</v>
      </c>
      <c r="K267">
        <v>0</v>
      </c>
      <c r="L267">
        <v>0</v>
      </c>
      <c r="M267">
        <v>0</v>
      </c>
      <c r="N267">
        <v>0</v>
      </c>
      <c r="O267">
        <v>243</v>
      </c>
      <c r="P267" t="str">
        <f t="shared" si="25"/>
        <v>High</v>
      </c>
      <c r="Q267">
        <v>130.5</v>
      </c>
      <c r="R267">
        <v>85.5</v>
      </c>
      <c r="S267">
        <v>19.53</v>
      </c>
      <c r="T267" t="str">
        <f t="shared" si="26"/>
        <v>Normal</v>
      </c>
      <c r="U267">
        <v>85</v>
      </c>
      <c r="V267">
        <v>79</v>
      </c>
      <c r="W267" t="str">
        <f t="shared" si="29"/>
        <v>Normal</v>
      </c>
      <c r="X267">
        <v>0</v>
      </c>
    </row>
    <row r="268" spans="1:24" ht="14.5" thickBot="1" x14ac:dyDescent="0.35">
      <c r="A268">
        <v>0</v>
      </c>
      <c r="B268" t="str">
        <f t="shared" si="27"/>
        <v>Female</v>
      </c>
      <c r="C268" s="8">
        <v>38</v>
      </c>
      <c r="D268" t="str">
        <f t="shared" si="28"/>
        <v>Young</v>
      </c>
      <c r="E268">
        <v>2</v>
      </c>
      <c r="F268" t="str">
        <f>HLOOKUP(E268, LookUP_Table!$A$6:$D$7, 2, FALSE)</f>
        <v>Secondary</v>
      </c>
      <c r="G268" t="str">
        <f>IFERROR(VLOOKUP(E268, LookUP_Table!$A$1:$B$4, 2, FALSE), "")</f>
        <v>Secondary</v>
      </c>
      <c r="H268">
        <v>1</v>
      </c>
      <c r="I268">
        <v>20</v>
      </c>
      <c r="J268" t="str">
        <f t="shared" si="24"/>
        <v>Smoker</v>
      </c>
      <c r="K268">
        <v>0</v>
      </c>
      <c r="L268">
        <v>0</v>
      </c>
      <c r="M268">
        <v>0</v>
      </c>
      <c r="N268">
        <v>0</v>
      </c>
      <c r="O268">
        <v>229</v>
      </c>
      <c r="P268" t="str">
        <f t="shared" si="25"/>
        <v>Normal</v>
      </c>
      <c r="Q268">
        <v>117.5</v>
      </c>
      <c r="R268">
        <v>67.5</v>
      </c>
      <c r="S268">
        <v>23.47</v>
      </c>
      <c r="T268" t="str">
        <f t="shared" si="26"/>
        <v>Normal</v>
      </c>
      <c r="U268">
        <v>78</v>
      </c>
      <c r="V268">
        <v>80</v>
      </c>
      <c r="W268" t="str">
        <f t="shared" si="29"/>
        <v>Normal</v>
      </c>
      <c r="X268">
        <v>0</v>
      </c>
    </row>
    <row r="269" spans="1:24" ht="14.5" thickBot="1" x14ac:dyDescent="0.35">
      <c r="A269">
        <v>1</v>
      </c>
      <c r="B269" t="str">
        <f t="shared" si="27"/>
        <v>Male</v>
      </c>
      <c r="C269" s="8">
        <v>38</v>
      </c>
      <c r="D269" t="str">
        <f t="shared" si="28"/>
        <v>Young</v>
      </c>
      <c r="E269">
        <v>2</v>
      </c>
      <c r="F269" t="str">
        <f>HLOOKUP(E269, LookUP_Table!$A$6:$D$7, 2, FALSE)</f>
        <v>Secondary</v>
      </c>
      <c r="G269" t="str">
        <f>IFERROR(VLOOKUP(E269, LookUP_Table!$A$1:$B$4, 2, FALSE), "")</f>
        <v>Secondary</v>
      </c>
      <c r="H269">
        <v>0</v>
      </c>
      <c r="I269">
        <v>0</v>
      </c>
      <c r="J269" t="str">
        <f t="shared" si="24"/>
        <v>Non-Smoker</v>
      </c>
      <c r="K269">
        <v>0</v>
      </c>
      <c r="L269">
        <v>1</v>
      </c>
      <c r="M269">
        <v>0</v>
      </c>
      <c r="N269">
        <v>0</v>
      </c>
      <c r="O269">
        <v>224</v>
      </c>
      <c r="P269" t="str">
        <f t="shared" si="25"/>
        <v>Normal</v>
      </c>
      <c r="Q269">
        <v>127.5</v>
      </c>
      <c r="R269">
        <v>81</v>
      </c>
      <c r="S269">
        <v>20.39</v>
      </c>
      <c r="T269" t="str">
        <f t="shared" si="26"/>
        <v>Normal</v>
      </c>
      <c r="U269">
        <v>80</v>
      </c>
      <c r="V269">
        <v>90</v>
      </c>
      <c r="W269" t="str">
        <f t="shared" si="29"/>
        <v>Normal</v>
      </c>
      <c r="X269">
        <v>0</v>
      </c>
    </row>
    <row r="270" spans="1:24" ht="14.5" thickBot="1" x14ac:dyDescent="0.35">
      <c r="A270">
        <v>0</v>
      </c>
      <c r="B270" t="str">
        <f t="shared" si="27"/>
        <v>Female</v>
      </c>
      <c r="C270" s="8">
        <v>38</v>
      </c>
      <c r="D270" t="str">
        <f t="shared" si="28"/>
        <v>Young</v>
      </c>
      <c r="E270">
        <v>1</v>
      </c>
      <c r="F270" t="str">
        <f>HLOOKUP(E270, LookUP_Table!$A$6:$D$7, 2, FALSE)</f>
        <v>Primary</v>
      </c>
      <c r="G270" t="str">
        <f>IFERROR(VLOOKUP(E270, LookUP_Table!$A$1:$B$4, 2, FALSE), "")</f>
        <v>Primary</v>
      </c>
      <c r="H270">
        <v>1</v>
      </c>
      <c r="I270">
        <v>15</v>
      </c>
      <c r="J270" t="str">
        <f t="shared" si="24"/>
        <v>Smoker</v>
      </c>
      <c r="K270">
        <v>0</v>
      </c>
      <c r="L270">
        <v>0</v>
      </c>
      <c r="M270">
        <v>0</v>
      </c>
      <c r="N270">
        <v>0</v>
      </c>
      <c r="O270">
        <v>199</v>
      </c>
      <c r="P270" t="str">
        <f t="shared" si="25"/>
        <v>Normal</v>
      </c>
      <c r="Q270">
        <v>112</v>
      </c>
      <c r="R270">
        <v>68.5</v>
      </c>
      <c r="S270">
        <v>23.88</v>
      </c>
      <c r="T270" t="str">
        <f t="shared" si="26"/>
        <v>Normal</v>
      </c>
      <c r="U270">
        <v>85</v>
      </c>
      <c r="V270">
        <v>67</v>
      </c>
      <c r="W270" t="str">
        <f t="shared" si="29"/>
        <v>Normal</v>
      </c>
      <c r="X270">
        <v>0</v>
      </c>
    </row>
    <row r="271" spans="1:24" ht="14.5" thickBot="1" x14ac:dyDescent="0.35">
      <c r="A271">
        <v>1</v>
      </c>
      <c r="B271" t="str">
        <f t="shared" si="27"/>
        <v>Male</v>
      </c>
      <c r="C271" s="8">
        <v>38</v>
      </c>
      <c r="D271" t="str">
        <f t="shared" si="28"/>
        <v>Young</v>
      </c>
      <c r="E271">
        <v>1</v>
      </c>
      <c r="F271" t="str">
        <f>HLOOKUP(E271, LookUP_Table!$A$6:$D$7, 2, FALSE)</f>
        <v>Primary</v>
      </c>
      <c r="G271" t="str">
        <f>IFERROR(VLOOKUP(E271, LookUP_Table!$A$1:$B$4, 2, FALSE), "")</f>
        <v>Primary</v>
      </c>
      <c r="H271">
        <v>1</v>
      </c>
      <c r="I271">
        <v>15</v>
      </c>
      <c r="J271" t="str">
        <f t="shared" si="24"/>
        <v>Smoker</v>
      </c>
      <c r="K271">
        <v>0</v>
      </c>
      <c r="L271">
        <v>0</v>
      </c>
      <c r="M271">
        <v>0</v>
      </c>
      <c r="N271">
        <v>0</v>
      </c>
      <c r="O271">
        <v>220</v>
      </c>
      <c r="P271" t="str">
        <f t="shared" si="25"/>
        <v>Normal</v>
      </c>
      <c r="Q271">
        <v>119.5</v>
      </c>
      <c r="R271">
        <v>85.5</v>
      </c>
      <c r="S271">
        <v>31.39</v>
      </c>
      <c r="T271" t="str">
        <f t="shared" si="26"/>
        <v>Obese</v>
      </c>
      <c r="U271">
        <v>70</v>
      </c>
      <c r="V271">
        <v>85</v>
      </c>
      <c r="W271" t="str">
        <f t="shared" si="29"/>
        <v>Normal</v>
      </c>
      <c r="X271">
        <v>0</v>
      </c>
    </row>
    <row r="272" spans="1:24" ht="14.5" thickBot="1" x14ac:dyDescent="0.35">
      <c r="A272">
        <v>0</v>
      </c>
      <c r="B272" t="str">
        <f t="shared" si="27"/>
        <v>Female</v>
      </c>
      <c r="C272" s="8">
        <v>38</v>
      </c>
      <c r="D272" t="str">
        <f t="shared" si="28"/>
        <v>Young</v>
      </c>
      <c r="E272">
        <v>1</v>
      </c>
      <c r="F272" t="str">
        <f>HLOOKUP(E272, LookUP_Table!$A$6:$D$7, 2, FALSE)</f>
        <v>Primary</v>
      </c>
      <c r="G272" t="str">
        <f>IFERROR(VLOOKUP(E272, LookUP_Table!$A$1:$B$4, 2, FALSE), "")</f>
        <v>Primary</v>
      </c>
      <c r="H272">
        <v>1</v>
      </c>
      <c r="I272">
        <v>20</v>
      </c>
      <c r="J272" t="str">
        <f t="shared" si="24"/>
        <v>Smoker</v>
      </c>
      <c r="K272">
        <v>0</v>
      </c>
      <c r="L272">
        <v>0</v>
      </c>
      <c r="M272">
        <v>0</v>
      </c>
      <c r="N272">
        <v>0</v>
      </c>
      <c r="O272">
        <v>199</v>
      </c>
      <c r="P272" t="str">
        <f t="shared" si="25"/>
        <v>Normal</v>
      </c>
      <c r="Q272">
        <v>117</v>
      </c>
      <c r="R272">
        <v>78.5</v>
      </c>
      <c r="S272">
        <v>18.18</v>
      </c>
      <c r="T272" t="str">
        <f t="shared" si="26"/>
        <v>Underweight</v>
      </c>
      <c r="U272">
        <v>90</v>
      </c>
      <c r="V272">
        <v>73</v>
      </c>
      <c r="W272" t="str">
        <f t="shared" si="29"/>
        <v>Normal</v>
      </c>
      <c r="X272">
        <v>0</v>
      </c>
    </row>
    <row r="273" spans="1:24" ht="14.5" thickBot="1" x14ac:dyDescent="0.35">
      <c r="A273">
        <v>0</v>
      </c>
      <c r="B273" t="str">
        <f t="shared" si="27"/>
        <v>Female</v>
      </c>
      <c r="C273" s="8">
        <v>38</v>
      </c>
      <c r="D273" t="str">
        <f t="shared" si="28"/>
        <v>Young</v>
      </c>
      <c r="E273">
        <v>2</v>
      </c>
      <c r="F273" t="str">
        <f>HLOOKUP(E273, LookUP_Table!$A$6:$D$7, 2, FALSE)</f>
        <v>Secondary</v>
      </c>
      <c r="G273" t="str">
        <f>IFERROR(VLOOKUP(E273, LookUP_Table!$A$1:$B$4, 2, FALSE), "")</f>
        <v>Secondary</v>
      </c>
      <c r="H273">
        <v>1</v>
      </c>
      <c r="I273">
        <v>1</v>
      </c>
      <c r="J273" t="str">
        <f t="shared" si="24"/>
        <v>Smoker</v>
      </c>
      <c r="K273">
        <v>0</v>
      </c>
      <c r="L273">
        <v>0</v>
      </c>
      <c r="M273">
        <v>0</v>
      </c>
      <c r="N273">
        <v>0</v>
      </c>
      <c r="O273">
        <v>200</v>
      </c>
      <c r="P273" t="str">
        <f t="shared" si="25"/>
        <v>Normal</v>
      </c>
      <c r="Q273">
        <v>124</v>
      </c>
      <c r="R273">
        <v>84</v>
      </c>
      <c r="S273">
        <v>20.67</v>
      </c>
      <c r="T273" t="str">
        <f t="shared" si="26"/>
        <v>Normal</v>
      </c>
      <c r="U273">
        <v>80</v>
      </c>
      <c r="V273">
        <v>75</v>
      </c>
      <c r="W273" t="str">
        <f t="shared" si="29"/>
        <v>Normal</v>
      </c>
      <c r="X273">
        <v>0</v>
      </c>
    </row>
    <row r="274" spans="1:24" ht="14.5" thickBot="1" x14ac:dyDescent="0.35">
      <c r="A274">
        <v>0</v>
      </c>
      <c r="B274" t="str">
        <f t="shared" si="27"/>
        <v>Female</v>
      </c>
      <c r="C274" s="8">
        <v>38</v>
      </c>
      <c r="D274" t="str">
        <f t="shared" si="28"/>
        <v>Young</v>
      </c>
      <c r="E274">
        <v>1</v>
      </c>
      <c r="F274" t="str">
        <f>HLOOKUP(E274, LookUP_Table!$A$6:$D$7, 2, FALSE)</f>
        <v>Primary</v>
      </c>
      <c r="G274" t="str">
        <f>IFERROR(VLOOKUP(E274, LookUP_Table!$A$1:$B$4, 2, FALSE), "")</f>
        <v>Primary</v>
      </c>
      <c r="H274">
        <v>1</v>
      </c>
      <c r="I274">
        <v>5</v>
      </c>
      <c r="J274" t="str">
        <f t="shared" si="24"/>
        <v>Smoker</v>
      </c>
      <c r="K274">
        <v>0</v>
      </c>
      <c r="L274">
        <v>0</v>
      </c>
      <c r="M274">
        <v>0</v>
      </c>
      <c r="N274">
        <v>0</v>
      </c>
      <c r="O274">
        <v>190</v>
      </c>
      <c r="P274" t="str">
        <f t="shared" si="25"/>
        <v>Normal</v>
      </c>
      <c r="Q274">
        <v>121</v>
      </c>
      <c r="R274">
        <v>79</v>
      </c>
      <c r="S274">
        <v>25.59</v>
      </c>
      <c r="T274" t="str">
        <f t="shared" si="26"/>
        <v>Overweight</v>
      </c>
      <c r="U274">
        <v>90</v>
      </c>
      <c r="V274">
        <v>84</v>
      </c>
      <c r="W274" t="str">
        <f t="shared" si="29"/>
        <v>Normal</v>
      </c>
      <c r="X274">
        <v>0</v>
      </c>
    </row>
    <row r="275" spans="1:24" ht="14.5" thickBot="1" x14ac:dyDescent="0.35">
      <c r="A275">
        <v>0</v>
      </c>
      <c r="B275" t="str">
        <f t="shared" si="27"/>
        <v>Female</v>
      </c>
      <c r="C275" s="8">
        <v>38</v>
      </c>
      <c r="D275" t="str">
        <f t="shared" si="28"/>
        <v>Young</v>
      </c>
      <c r="E275">
        <v>2</v>
      </c>
      <c r="F275" t="str">
        <f>HLOOKUP(E275, LookUP_Table!$A$6:$D$7, 2, FALSE)</f>
        <v>Secondary</v>
      </c>
      <c r="G275" t="str">
        <f>IFERROR(VLOOKUP(E275, LookUP_Table!$A$1:$B$4, 2, FALSE), "")</f>
        <v>Secondary</v>
      </c>
      <c r="H275">
        <v>1</v>
      </c>
      <c r="I275">
        <v>9</v>
      </c>
      <c r="J275" t="str">
        <f t="shared" si="24"/>
        <v>Smoker</v>
      </c>
      <c r="K275">
        <v>0</v>
      </c>
      <c r="L275">
        <v>0</v>
      </c>
      <c r="M275">
        <v>0</v>
      </c>
      <c r="N275">
        <v>0</v>
      </c>
      <c r="O275">
        <v>196</v>
      </c>
      <c r="P275" t="str">
        <f t="shared" si="25"/>
        <v>Normal</v>
      </c>
      <c r="Q275">
        <v>127</v>
      </c>
      <c r="R275">
        <v>80</v>
      </c>
      <c r="S275">
        <v>24.6</v>
      </c>
      <c r="T275" t="str">
        <f t="shared" si="26"/>
        <v>Normal</v>
      </c>
      <c r="U275">
        <v>74</v>
      </c>
      <c r="V275">
        <v>81.96365524402907</v>
      </c>
      <c r="W275" t="str">
        <f t="shared" si="29"/>
        <v>Normal</v>
      </c>
      <c r="X275">
        <v>0</v>
      </c>
    </row>
    <row r="276" spans="1:24" ht="14.5" thickBot="1" x14ac:dyDescent="0.35">
      <c r="A276">
        <v>1</v>
      </c>
      <c r="B276" t="str">
        <f t="shared" si="27"/>
        <v>Male</v>
      </c>
      <c r="C276" s="8">
        <v>38</v>
      </c>
      <c r="D276" t="str">
        <f t="shared" si="28"/>
        <v>Young</v>
      </c>
      <c r="E276">
        <v>2</v>
      </c>
      <c r="F276" t="str">
        <f>HLOOKUP(E276, LookUP_Table!$A$6:$D$7, 2, FALSE)</f>
        <v>Secondary</v>
      </c>
      <c r="G276" t="str">
        <f>IFERROR(VLOOKUP(E276, LookUP_Table!$A$1:$B$4, 2, FALSE), "")</f>
        <v>Secondary</v>
      </c>
      <c r="H276">
        <v>1</v>
      </c>
      <c r="I276">
        <v>20</v>
      </c>
      <c r="J276" t="str">
        <f t="shared" si="24"/>
        <v>Smoker</v>
      </c>
      <c r="K276">
        <v>0</v>
      </c>
      <c r="L276">
        <v>0</v>
      </c>
      <c r="M276">
        <v>0</v>
      </c>
      <c r="N276">
        <v>0</v>
      </c>
      <c r="O276">
        <v>180</v>
      </c>
      <c r="P276" t="str">
        <f t="shared" si="25"/>
        <v>Normal</v>
      </c>
      <c r="Q276">
        <v>123</v>
      </c>
      <c r="R276">
        <v>69</v>
      </c>
      <c r="S276">
        <v>22.7</v>
      </c>
      <c r="T276" t="str">
        <f t="shared" si="26"/>
        <v>Normal</v>
      </c>
      <c r="U276">
        <v>72</v>
      </c>
      <c r="V276">
        <v>70</v>
      </c>
      <c r="W276" t="str">
        <f t="shared" si="29"/>
        <v>Normal</v>
      </c>
      <c r="X276">
        <v>0</v>
      </c>
    </row>
    <row r="277" spans="1:24" ht="14.5" thickBot="1" x14ac:dyDescent="0.35">
      <c r="A277">
        <v>0</v>
      </c>
      <c r="B277" t="str">
        <f t="shared" si="27"/>
        <v>Female</v>
      </c>
      <c r="C277" s="8">
        <v>38</v>
      </c>
      <c r="D277" t="str">
        <f t="shared" si="28"/>
        <v>Young</v>
      </c>
      <c r="E277">
        <v>3</v>
      </c>
      <c r="F277" t="str">
        <f>HLOOKUP(E277, LookUP_Table!$A$6:$D$7, 2, FALSE)</f>
        <v>Graduate</v>
      </c>
      <c r="G277" t="str">
        <f>IFERROR(VLOOKUP(E277, LookUP_Table!$A$1:$B$4, 2, FALSE), "")</f>
        <v>Graduate</v>
      </c>
      <c r="H277">
        <v>1</v>
      </c>
      <c r="I277">
        <v>15</v>
      </c>
      <c r="J277" t="str">
        <f t="shared" si="24"/>
        <v>Smoker</v>
      </c>
      <c r="K277">
        <v>0</v>
      </c>
      <c r="L277">
        <v>0</v>
      </c>
      <c r="M277">
        <v>0</v>
      </c>
      <c r="N277">
        <v>0</v>
      </c>
      <c r="O277">
        <v>215</v>
      </c>
      <c r="P277" t="str">
        <f t="shared" si="25"/>
        <v>Normal</v>
      </c>
      <c r="Q277">
        <v>129.5</v>
      </c>
      <c r="R277">
        <v>85.5</v>
      </c>
      <c r="S277">
        <v>24.24</v>
      </c>
      <c r="T277" t="str">
        <f t="shared" si="26"/>
        <v>Normal</v>
      </c>
      <c r="U277">
        <v>75</v>
      </c>
      <c r="V277">
        <v>81.96365524402907</v>
      </c>
      <c r="W277" t="str">
        <f t="shared" si="29"/>
        <v>Normal</v>
      </c>
      <c r="X277">
        <v>0</v>
      </c>
    </row>
    <row r="278" spans="1:24" ht="14.5" thickBot="1" x14ac:dyDescent="0.35">
      <c r="A278">
        <v>1</v>
      </c>
      <c r="B278" t="str">
        <f t="shared" si="27"/>
        <v>Male</v>
      </c>
      <c r="C278" s="8">
        <v>38</v>
      </c>
      <c r="D278" t="str">
        <f t="shared" si="28"/>
        <v>Young</v>
      </c>
      <c r="E278">
        <v>1</v>
      </c>
      <c r="F278" t="str">
        <f>HLOOKUP(E278, LookUP_Table!$A$6:$D$7, 2, FALSE)</f>
        <v>Primary</v>
      </c>
      <c r="G278" t="str">
        <f>IFERROR(VLOOKUP(E278, LookUP_Table!$A$1:$B$4, 2, FALSE), "")</f>
        <v>Primary</v>
      </c>
      <c r="H278">
        <v>1</v>
      </c>
      <c r="I278">
        <v>15</v>
      </c>
      <c r="J278" t="str">
        <f t="shared" si="24"/>
        <v>Smoker</v>
      </c>
      <c r="K278">
        <v>0</v>
      </c>
      <c r="L278">
        <v>0</v>
      </c>
      <c r="M278">
        <v>0</v>
      </c>
      <c r="N278">
        <v>0</v>
      </c>
      <c r="O278">
        <v>180</v>
      </c>
      <c r="P278" t="str">
        <f t="shared" si="25"/>
        <v>Normal</v>
      </c>
      <c r="Q278">
        <v>111</v>
      </c>
      <c r="R278">
        <v>61</v>
      </c>
      <c r="S278">
        <v>21.51</v>
      </c>
      <c r="T278" t="str">
        <f t="shared" si="26"/>
        <v>Normal</v>
      </c>
      <c r="U278">
        <v>66</v>
      </c>
      <c r="V278">
        <v>75</v>
      </c>
      <c r="W278" t="str">
        <f t="shared" si="29"/>
        <v>Normal</v>
      </c>
      <c r="X278">
        <v>0</v>
      </c>
    </row>
    <row r="279" spans="1:24" ht="14.5" thickBot="1" x14ac:dyDescent="0.35">
      <c r="A279">
        <v>1</v>
      </c>
      <c r="B279" t="str">
        <f t="shared" si="27"/>
        <v>Male</v>
      </c>
      <c r="C279" s="8">
        <v>38</v>
      </c>
      <c r="D279" t="str">
        <f t="shared" si="28"/>
        <v>Young</v>
      </c>
      <c r="E279">
        <v>2</v>
      </c>
      <c r="F279" t="str">
        <f>HLOOKUP(E279, LookUP_Table!$A$6:$D$7, 2, FALSE)</f>
        <v>Secondary</v>
      </c>
      <c r="G279" t="str">
        <f>IFERROR(VLOOKUP(E279, LookUP_Table!$A$1:$B$4, 2, FALSE), "")</f>
        <v>Secondary</v>
      </c>
      <c r="H279">
        <v>1</v>
      </c>
      <c r="I279">
        <v>20</v>
      </c>
      <c r="J279" t="str">
        <f t="shared" si="24"/>
        <v>Smoker</v>
      </c>
      <c r="K279">
        <v>0</v>
      </c>
      <c r="L279">
        <v>0</v>
      </c>
      <c r="M279">
        <v>1</v>
      </c>
      <c r="N279">
        <v>0</v>
      </c>
      <c r="O279">
        <v>309</v>
      </c>
      <c r="P279" t="str">
        <f t="shared" si="25"/>
        <v>High</v>
      </c>
      <c r="Q279">
        <v>148</v>
      </c>
      <c r="R279">
        <v>109</v>
      </c>
      <c r="S279">
        <v>30.85</v>
      </c>
      <c r="T279" t="str">
        <f t="shared" si="26"/>
        <v>Obese</v>
      </c>
      <c r="U279">
        <v>95</v>
      </c>
      <c r="V279">
        <v>81.96365524402907</v>
      </c>
      <c r="W279" t="str">
        <f t="shared" si="29"/>
        <v>Normal</v>
      </c>
      <c r="X279">
        <v>0</v>
      </c>
    </row>
    <row r="280" spans="1:24" ht="14.5" thickBot="1" x14ac:dyDescent="0.35">
      <c r="A280">
        <v>1</v>
      </c>
      <c r="B280" t="str">
        <f t="shared" si="27"/>
        <v>Male</v>
      </c>
      <c r="C280" s="8">
        <v>38</v>
      </c>
      <c r="D280" t="str">
        <f t="shared" si="28"/>
        <v>Young</v>
      </c>
      <c r="E280">
        <v>2</v>
      </c>
      <c r="F280" t="str">
        <f>HLOOKUP(E280, LookUP_Table!$A$6:$D$7, 2, FALSE)</f>
        <v>Secondary</v>
      </c>
      <c r="G280" t="str">
        <f>IFERROR(VLOOKUP(E280, LookUP_Table!$A$1:$B$4, 2, FALSE), "")</f>
        <v>Secondary</v>
      </c>
      <c r="H280">
        <v>0</v>
      </c>
      <c r="I280">
        <v>0</v>
      </c>
      <c r="J280" t="str">
        <f t="shared" si="24"/>
        <v>Non-Smoker</v>
      </c>
      <c r="K280">
        <v>0</v>
      </c>
      <c r="L280">
        <v>0</v>
      </c>
      <c r="M280">
        <v>0</v>
      </c>
      <c r="N280">
        <v>0</v>
      </c>
      <c r="O280">
        <v>209</v>
      </c>
      <c r="P280" t="str">
        <f t="shared" si="25"/>
        <v>Normal</v>
      </c>
      <c r="Q280">
        <v>137</v>
      </c>
      <c r="R280">
        <v>82.5</v>
      </c>
      <c r="S280">
        <v>26.69</v>
      </c>
      <c r="T280" t="str">
        <f t="shared" si="26"/>
        <v>Overweight</v>
      </c>
      <c r="U280">
        <v>62</v>
      </c>
      <c r="V280">
        <v>84</v>
      </c>
      <c r="W280" t="str">
        <f t="shared" si="29"/>
        <v>Normal</v>
      </c>
      <c r="X280">
        <v>0</v>
      </c>
    </row>
    <row r="281" spans="1:24" ht="14.5" thickBot="1" x14ac:dyDescent="0.35">
      <c r="A281">
        <v>0</v>
      </c>
      <c r="B281" t="str">
        <f t="shared" si="27"/>
        <v>Female</v>
      </c>
      <c r="C281" s="8">
        <v>38</v>
      </c>
      <c r="D281" t="str">
        <f t="shared" si="28"/>
        <v>Young</v>
      </c>
      <c r="E281">
        <v>3</v>
      </c>
      <c r="F281" t="str">
        <f>HLOOKUP(E281, LookUP_Table!$A$6:$D$7, 2, FALSE)</f>
        <v>Graduate</v>
      </c>
      <c r="G281" t="str">
        <f>IFERROR(VLOOKUP(E281, LookUP_Table!$A$1:$B$4, 2, FALSE), "")</f>
        <v>Graduate</v>
      </c>
      <c r="H281">
        <v>0</v>
      </c>
      <c r="I281">
        <v>0</v>
      </c>
      <c r="J281" t="str">
        <f t="shared" si="24"/>
        <v>Non-Smoker</v>
      </c>
      <c r="K281">
        <v>0</v>
      </c>
      <c r="L281">
        <v>0</v>
      </c>
      <c r="M281">
        <v>0</v>
      </c>
      <c r="N281">
        <v>0</v>
      </c>
      <c r="O281">
        <v>171</v>
      </c>
      <c r="P281" t="str">
        <f t="shared" si="25"/>
        <v>Normal</v>
      </c>
      <c r="Q281">
        <v>125.5</v>
      </c>
      <c r="R281">
        <v>86</v>
      </c>
      <c r="S281">
        <v>26.57</v>
      </c>
      <c r="T281" t="str">
        <f t="shared" si="26"/>
        <v>Overweight</v>
      </c>
      <c r="U281">
        <v>75</v>
      </c>
      <c r="V281">
        <v>71</v>
      </c>
      <c r="W281" t="str">
        <f t="shared" si="29"/>
        <v>Normal</v>
      </c>
      <c r="X281">
        <v>0</v>
      </c>
    </row>
    <row r="282" spans="1:24" ht="14.5" thickBot="1" x14ac:dyDescent="0.35">
      <c r="A282">
        <v>0</v>
      </c>
      <c r="B282" t="str">
        <f t="shared" si="27"/>
        <v>Female</v>
      </c>
      <c r="C282" s="8">
        <v>38</v>
      </c>
      <c r="D282" t="str">
        <f t="shared" si="28"/>
        <v>Young</v>
      </c>
      <c r="E282">
        <v>4</v>
      </c>
      <c r="F282" t="str">
        <f>HLOOKUP(E282, LookUP_Table!$A$6:$D$7, 2, FALSE)</f>
        <v>Post Graduate</v>
      </c>
      <c r="G282" t="str">
        <f>IFERROR(VLOOKUP(E282, LookUP_Table!$A$1:$B$4, 2, FALSE), "")</f>
        <v>Post Graduate</v>
      </c>
      <c r="H282">
        <v>0</v>
      </c>
      <c r="I282">
        <v>0</v>
      </c>
      <c r="J282" t="str">
        <f t="shared" si="24"/>
        <v>Non-Smoker</v>
      </c>
      <c r="K282">
        <v>0</v>
      </c>
      <c r="L282">
        <v>0</v>
      </c>
      <c r="M282">
        <v>0</v>
      </c>
      <c r="N282">
        <v>0</v>
      </c>
      <c r="O282">
        <v>220</v>
      </c>
      <c r="P282" t="str">
        <f t="shared" si="25"/>
        <v>Normal</v>
      </c>
      <c r="Q282">
        <v>107</v>
      </c>
      <c r="R282">
        <v>73.5</v>
      </c>
      <c r="S282">
        <v>23.09</v>
      </c>
      <c r="T282" t="str">
        <f t="shared" si="26"/>
        <v>Normal</v>
      </c>
      <c r="U282">
        <v>61</v>
      </c>
      <c r="V282">
        <v>80</v>
      </c>
      <c r="W282" t="str">
        <f t="shared" si="29"/>
        <v>Normal</v>
      </c>
      <c r="X282">
        <v>0</v>
      </c>
    </row>
    <row r="283" spans="1:24" ht="14.5" thickBot="1" x14ac:dyDescent="0.35">
      <c r="A283">
        <v>0</v>
      </c>
      <c r="B283" t="str">
        <f t="shared" si="27"/>
        <v>Female</v>
      </c>
      <c r="C283" s="8">
        <v>38</v>
      </c>
      <c r="D283" t="str">
        <f t="shared" si="28"/>
        <v>Young</v>
      </c>
      <c r="E283">
        <v>3</v>
      </c>
      <c r="F283" t="str">
        <f>HLOOKUP(E283, LookUP_Table!$A$6:$D$7, 2, FALSE)</f>
        <v>Graduate</v>
      </c>
      <c r="G283" t="str">
        <f>IFERROR(VLOOKUP(E283, LookUP_Table!$A$1:$B$4, 2, FALSE), "")</f>
        <v>Graduate</v>
      </c>
      <c r="H283">
        <v>0</v>
      </c>
      <c r="I283">
        <v>0</v>
      </c>
      <c r="J283" t="str">
        <f t="shared" si="24"/>
        <v>Non-Smoker</v>
      </c>
      <c r="K283">
        <v>0</v>
      </c>
      <c r="L283">
        <v>0</v>
      </c>
      <c r="M283">
        <v>0</v>
      </c>
      <c r="N283">
        <v>0</v>
      </c>
      <c r="O283">
        <v>174</v>
      </c>
      <c r="P283" t="str">
        <f t="shared" si="25"/>
        <v>Normal</v>
      </c>
      <c r="Q283">
        <v>101</v>
      </c>
      <c r="R283">
        <v>68</v>
      </c>
      <c r="S283">
        <v>27.47</v>
      </c>
      <c r="T283" t="str">
        <f t="shared" si="26"/>
        <v>Overweight</v>
      </c>
      <c r="U283">
        <v>85</v>
      </c>
      <c r="V283">
        <v>81.96365524402907</v>
      </c>
      <c r="W283" t="str">
        <f t="shared" si="29"/>
        <v>Normal</v>
      </c>
      <c r="X283">
        <v>0</v>
      </c>
    </row>
    <row r="284" spans="1:24" ht="14.5" thickBot="1" x14ac:dyDescent="0.35">
      <c r="A284">
        <v>0</v>
      </c>
      <c r="B284" t="str">
        <f t="shared" si="27"/>
        <v>Female</v>
      </c>
      <c r="C284" s="8">
        <v>38</v>
      </c>
      <c r="D284" t="str">
        <f t="shared" si="28"/>
        <v>Young</v>
      </c>
      <c r="E284">
        <v>2</v>
      </c>
      <c r="F284" t="str">
        <f>HLOOKUP(E284, LookUP_Table!$A$6:$D$7, 2, FALSE)</f>
        <v>Secondary</v>
      </c>
      <c r="G284" t="str">
        <f>IFERROR(VLOOKUP(E284, LookUP_Table!$A$1:$B$4, 2, FALSE), "")</f>
        <v>Secondary</v>
      </c>
      <c r="H284">
        <v>0</v>
      </c>
      <c r="I284">
        <v>0</v>
      </c>
      <c r="J284" t="str">
        <f t="shared" si="24"/>
        <v>Non-Smoker</v>
      </c>
      <c r="K284">
        <v>0</v>
      </c>
      <c r="L284">
        <v>0</v>
      </c>
      <c r="M284">
        <v>0</v>
      </c>
      <c r="N284">
        <v>0</v>
      </c>
      <c r="O284">
        <v>239</v>
      </c>
      <c r="P284" t="str">
        <f t="shared" si="25"/>
        <v>Normal</v>
      </c>
      <c r="Q284">
        <v>128</v>
      </c>
      <c r="R284">
        <v>84.5</v>
      </c>
      <c r="S284">
        <v>33.49</v>
      </c>
      <c r="T284" t="str">
        <f t="shared" si="26"/>
        <v>Obese</v>
      </c>
      <c r="U284">
        <v>75</v>
      </c>
      <c r="V284">
        <v>80</v>
      </c>
      <c r="W284" t="str">
        <f t="shared" si="29"/>
        <v>Normal</v>
      </c>
      <c r="X284">
        <v>0</v>
      </c>
    </row>
    <row r="285" spans="1:24" ht="14.5" thickBot="1" x14ac:dyDescent="0.35">
      <c r="A285">
        <v>1</v>
      </c>
      <c r="B285" t="str">
        <f t="shared" si="27"/>
        <v>Male</v>
      </c>
      <c r="C285" s="8">
        <v>38</v>
      </c>
      <c r="D285" t="str">
        <f t="shared" si="28"/>
        <v>Young</v>
      </c>
      <c r="E285">
        <v>2</v>
      </c>
      <c r="F285" t="str">
        <f>HLOOKUP(E285, LookUP_Table!$A$6:$D$7, 2, FALSE)</f>
        <v>Secondary</v>
      </c>
      <c r="G285" t="str">
        <f>IFERROR(VLOOKUP(E285, LookUP_Table!$A$1:$B$4, 2, FALSE), "")</f>
        <v>Secondary</v>
      </c>
      <c r="H285">
        <v>1</v>
      </c>
      <c r="I285">
        <v>43</v>
      </c>
      <c r="J285" t="str">
        <f t="shared" si="24"/>
        <v>Smoker</v>
      </c>
      <c r="K285">
        <v>0</v>
      </c>
      <c r="L285">
        <v>0</v>
      </c>
      <c r="M285">
        <v>1</v>
      </c>
      <c r="N285">
        <v>0</v>
      </c>
      <c r="O285">
        <v>170</v>
      </c>
      <c r="P285" t="str">
        <f t="shared" si="25"/>
        <v>Normal</v>
      </c>
      <c r="Q285">
        <v>130</v>
      </c>
      <c r="R285">
        <v>94</v>
      </c>
      <c r="S285">
        <v>23.9</v>
      </c>
      <c r="T285" t="str">
        <f t="shared" si="26"/>
        <v>Normal</v>
      </c>
      <c r="U285">
        <v>110</v>
      </c>
      <c r="V285">
        <v>75</v>
      </c>
      <c r="W285" t="str">
        <f t="shared" si="29"/>
        <v>Normal</v>
      </c>
      <c r="X285">
        <v>0</v>
      </c>
    </row>
    <row r="286" spans="1:24" ht="14.5" thickBot="1" x14ac:dyDescent="0.35">
      <c r="A286">
        <v>0</v>
      </c>
      <c r="B286" t="str">
        <f t="shared" si="27"/>
        <v>Female</v>
      </c>
      <c r="C286" s="8">
        <v>38</v>
      </c>
      <c r="D286" t="str">
        <f t="shared" si="28"/>
        <v>Young</v>
      </c>
      <c r="E286">
        <v>2</v>
      </c>
      <c r="F286" t="str">
        <f>HLOOKUP(E286, LookUP_Table!$A$6:$D$7, 2, FALSE)</f>
        <v>Secondary</v>
      </c>
      <c r="G286" t="str">
        <f>IFERROR(VLOOKUP(E286, LookUP_Table!$A$1:$B$4, 2, FALSE), "")</f>
        <v>Secondary</v>
      </c>
      <c r="H286">
        <v>1</v>
      </c>
      <c r="I286">
        <v>10</v>
      </c>
      <c r="J286" t="str">
        <f t="shared" si="24"/>
        <v>Smoker</v>
      </c>
      <c r="K286">
        <v>0</v>
      </c>
      <c r="L286">
        <v>0</v>
      </c>
      <c r="M286">
        <v>0</v>
      </c>
      <c r="N286">
        <v>0</v>
      </c>
      <c r="O286">
        <v>155</v>
      </c>
      <c r="P286" t="str">
        <f t="shared" si="25"/>
        <v>Normal</v>
      </c>
      <c r="Q286">
        <v>96</v>
      </c>
      <c r="R286">
        <v>61</v>
      </c>
      <c r="S286">
        <v>24.19</v>
      </c>
      <c r="T286" t="str">
        <f t="shared" si="26"/>
        <v>Normal</v>
      </c>
      <c r="U286">
        <v>60</v>
      </c>
      <c r="V286">
        <v>68</v>
      </c>
      <c r="W286" t="str">
        <f t="shared" si="29"/>
        <v>Normal</v>
      </c>
      <c r="X286">
        <v>0</v>
      </c>
    </row>
    <row r="287" spans="1:24" ht="14.5" thickBot="1" x14ac:dyDescent="0.35">
      <c r="A287">
        <v>0</v>
      </c>
      <c r="B287" t="str">
        <f t="shared" si="27"/>
        <v>Female</v>
      </c>
      <c r="C287" s="8">
        <v>38</v>
      </c>
      <c r="D287" t="str">
        <f t="shared" si="28"/>
        <v>Young</v>
      </c>
      <c r="E287">
        <v>2</v>
      </c>
      <c r="F287" t="str">
        <f>HLOOKUP(E287, LookUP_Table!$A$6:$D$7, 2, FALSE)</f>
        <v>Secondary</v>
      </c>
      <c r="G287" t="str">
        <f>IFERROR(VLOOKUP(E287, LookUP_Table!$A$1:$B$4, 2, FALSE), "")</f>
        <v>Secondary</v>
      </c>
      <c r="H287">
        <v>1</v>
      </c>
      <c r="I287">
        <v>9</v>
      </c>
      <c r="J287" t="str">
        <f t="shared" si="24"/>
        <v>Smoker</v>
      </c>
      <c r="K287">
        <v>0</v>
      </c>
      <c r="L287">
        <v>0</v>
      </c>
      <c r="M287">
        <v>0</v>
      </c>
      <c r="N287">
        <v>0</v>
      </c>
      <c r="O287">
        <v>160</v>
      </c>
      <c r="P287" t="str">
        <f t="shared" si="25"/>
        <v>Normal</v>
      </c>
      <c r="Q287">
        <v>102.5</v>
      </c>
      <c r="R287">
        <v>67.5</v>
      </c>
      <c r="S287">
        <v>21.16</v>
      </c>
      <c r="T287" t="str">
        <f t="shared" si="26"/>
        <v>Normal</v>
      </c>
      <c r="U287">
        <v>90</v>
      </c>
      <c r="V287">
        <v>68</v>
      </c>
      <c r="W287" t="str">
        <f t="shared" si="29"/>
        <v>Normal</v>
      </c>
      <c r="X287">
        <v>0</v>
      </c>
    </row>
    <row r="288" spans="1:24" ht="14.5" thickBot="1" x14ac:dyDescent="0.35">
      <c r="A288">
        <v>1</v>
      </c>
      <c r="B288" t="str">
        <f t="shared" si="27"/>
        <v>Male</v>
      </c>
      <c r="C288" s="8">
        <v>38</v>
      </c>
      <c r="D288" t="str">
        <f t="shared" si="28"/>
        <v>Young</v>
      </c>
      <c r="E288">
        <v>3</v>
      </c>
      <c r="F288" t="str">
        <f>HLOOKUP(E288, LookUP_Table!$A$6:$D$7, 2, FALSE)</f>
        <v>Graduate</v>
      </c>
      <c r="G288" t="str">
        <f>IFERROR(VLOOKUP(E288, LookUP_Table!$A$1:$B$4, 2, FALSE), "")</f>
        <v>Graduate</v>
      </c>
      <c r="H288">
        <v>0</v>
      </c>
      <c r="I288">
        <v>0</v>
      </c>
      <c r="J288" t="str">
        <f t="shared" si="24"/>
        <v>Non-Smoker</v>
      </c>
      <c r="K288">
        <v>0</v>
      </c>
      <c r="L288">
        <v>0</v>
      </c>
      <c r="M288">
        <v>1</v>
      </c>
      <c r="N288">
        <v>0</v>
      </c>
      <c r="O288">
        <v>252</v>
      </c>
      <c r="P288" t="str">
        <f t="shared" si="25"/>
        <v>High</v>
      </c>
      <c r="Q288">
        <v>125</v>
      </c>
      <c r="R288">
        <v>92</v>
      </c>
      <c r="S288">
        <v>24.72</v>
      </c>
      <c r="T288" t="str">
        <f t="shared" si="26"/>
        <v>Normal</v>
      </c>
      <c r="U288">
        <v>60</v>
      </c>
      <c r="V288">
        <v>69</v>
      </c>
      <c r="W288" t="str">
        <f t="shared" si="29"/>
        <v>Normal</v>
      </c>
      <c r="X288">
        <v>0</v>
      </c>
    </row>
    <row r="289" spans="1:24" ht="14.5" thickBot="1" x14ac:dyDescent="0.35">
      <c r="A289">
        <v>1</v>
      </c>
      <c r="B289" t="str">
        <f t="shared" si="27"/>
        <v>Male</v>
      </c>
      <c r="C289" s="8">
        <v>38</v>
      </c>
      <c r="D289" t="str">
        <f t="shared" si="28"/>
        <v>Young</v>
      </c>
      <c r="E289">
        <v>2</v>
      </c>
      <c r="F289" t="str">
        <f>HLOOKUP(E289, LookUP_Table!$A$6:$D$7, 2, FALSE)</f>
        <v>Secondary</v>
      </c>
      <c r="G289" t="str">
        <f>IFERROR(VLOOKUP(E289, LookUP_Table!$A$1:$B$4, 2, FALSE), "")</f>
        <v>Secondary</v>
      </c>
      <c r="H289">
        <v>1</v>
      </c>
      <c r="I289">
        <v>15</v>
      </c>
      <c r="J289" t="str">
        <f t="shared" si="24"/>
        <v>Smoker</v>
      </c>
      <c r="K289">
        <v>0</v>
      </c>
      <c r="L289">
        <v>0</v>
      </c>
      <c r="M289">
        <v>0</v>
      </c>
      <c r="N289">
        <v>0</v>
      </c>
      <c r="O289">
        <v>233</v>
      </c>
      <c r="P289" t="str">
        <f t="shared" si="25"/>
        <v>Normal</v>
      </c>
      <c r="Q289">
        <v>137</v>
      </c>
      <c r="R289">
        <v>75</v>
      </c>
      <c r="S289">
        <v>20.55</v>
      </c>
      <c r="T289" t="str">
        <f t="shared" si="26"/>
        <v>Normal</v>
      </c>
      <c r="U289">
        <v>100</v>
      </c>
      <c r="V289">
        <v>107</v>
      </c>
      <c r="W289" t="str">
        <f t="shared" si="29"/>
        <v>Prediabetes</v>
      </c>
      <c r="X289">
        <v>0</v>
      </c>
    </row>
    <row r="290" spans="1:24" ht="14.5" thickBot="1" x14ac:dyDescent="0.35">
      <c r="A290">
        <v>1</v>
      </c>
      <c r="B290" t="str">
        <f t="shared" si="27"/>
        <v>Male</v>
      </c>
      <c r="C290" s="8">
        <v>38</v>
      </c>
      <c r="D290" t="str">
        <f t="shared" si="28"/>
        <v>Young</v>
      </c>
      <c r="E290">
        <v>2</v>
      </c>
      <c r="F290" t="str">
        <f>HLOOKUP(E290, LookUP_Table!$A$6:$D$7, 2, FALSE)</f>
        <v>Secondary</v>
      </c>
      <c r="G290" t="str">
        <f>IFERROR(VLOOKUP(E290, LookUP_Table!$A$1:$B$4, 2, FALSE), "")</f>
        <v>Secondary</v>
      </c>
      <c r="H290">
        <v>0</v>
      </c>
      <c r="I290">
        <v>0</v>
      </c>
      <c r="J290" t="str">
        <f t="shared" si="24"/>
        <v>Non-Smoker</v>
      </c>
      <c r="K290">
        <v>0</v>
      </c>
      <c r="L290">
        <v>0</v>
      </c>
      <c r="M290">
        <v>1</v>
      </c>
      <c r="N290">
        <v>0</v>
      </c>
      <c r="O290">
        <v>199</v>
      </c>
      <c r="P290" t="str">
        <f t="shared" si="25"/>
        <v>Normal</v>
      </c>
      <c r="Q290">
        <v>135</v>
      </c>
      <c r="R290">
        <v>90</v>
      </c>
      <c r="S290">
        <v>32.19</v>
      </c>
      <c r="T290" t="str">
        <f t="shared" si="26"/>
        <v>Obese</v>
      </c>
      <c r="U290">
        <v>67</v>
      </c>
      <c r="V290">
        <v>85</v>
      </c>
      <c r="W290" t="str">
        <f t="shared" si="29"/>
        <v>Normal</v>
      </c>
      <c r="X290">
        <v>0</v>
      </c>
    </row>
    <row r="291" spans="1:24" ht="14.5" thickBot="1" x14ac:dyDescent="0.35">
      <c r="A291">
        <v>0</v>
      </c>
      <c r="B291" t="str">
        <f t="shared" si="27"/>
        <v>Female</v>
      </c>
      <c r="C291" s="8">
        <v>38</v>
      </c>
      <c r="D291" t="str">
        <f t="shared" si="28"/>
        <v>Young</v>
      </c>
      <c r="E291">
        <v>2</v>
      </c>
      <c r="F291" t="str">
        <f>HLOOKUP(E291, LookUP_Table!$A$6:$D$7, 2, FALSE)</f>
        <v>Secondary</v>
      </c>
      <c r="G291" t="str">
        <f>IFERROR(VLOOKUP(E291, LookUP_Table!$A$1:$B$4, 2, FALSE), "")</f>
        <v>Secondary</v>
      </c>
      <c r="H291">
        <v>0</v>
      </c>
      <c r="I291">
        <v>0</v>
      </c>
      <c r="J291" t="str">
        <f t="shared" si="24"/>
        <v>Non-Smoker</v>
      </c>
      <c r="K291">
        <v>0</v>
      </c>
      <c r="L291">
        <v>0</v>
      </c>
      <c r="M291">
        <v>0</v>
      </c>
      <c r="N291">
        <v>0</v>
      </c>
      <c r="O291">
        <v>287</v>
      </c>
      <c r="P291" t="str">
        <f t="shared" si="25"/>
        <v>High</v>
      </c>
      <c r="Q291">
        <v>113</v>
      </c>
      <c r="R291">
        <v>80</v>
      </c>
      <c r="S291">
        <v>24.56</v>
      </c>
      <c r="T291" t="str">
        <f t="shared" si="26"/>
        <v>Normal</v>
      </c>
      <c r="U291">
        <v>100</v>
      </c>
      <c r="V291">
        <v>75</v>
      </c>
      <c r="W291" t="str">
        <f t="shared" si="29"/>
        <v>Normal</v>
      </c>
      <c r="X291">
        <v>0</v>
      </c>
    </row>
    <row r="292" spans="1:24" ht="14.5" thickBot="1" x14ac:dyDescent="0.35">
      <c r="A292">
        <v>1</v>
      </c>
      <c r="B292" t="str">
        <f t="shared" si="27"/>
        <v>Male</v>
      </c>
      <c r="C292" s="8">
        <v>38</v>
      </c>
      <c r="D292" t="str">
        <f t="shared" si="28"/>
        <v>Young</v>
      </c>
      <c r="E292">
        <v>1</v>
      </c>
      <c r="F292" t="str">
        <f>HLOOKUP(E292, LookUP_Table!$A$6:$D$7, 2, FALSE)</f>
        <v>Primary</v>
      </c>
      <c r="G292" t="str">
        <f>IFERROR(VLOOKUP(E292, LookUP_Table!$A$1:$B$4, 2, FALSE), "")</f>
        <v>Primary</v>
      </c>
      <c r="H292">
        <v>0</v>
      </c>
      <c r="I292">
        <v>0</v>
      </c>
      <c r="J292" t="str">
        <f t="shared" si="24"/>
        <v>Non-Smoker</v>
      </c>
      <c r="K292">
        <v>0</v>
      </c>
      <c r="L292">
        <v>0</v>
      </c>
      <c r="M292">
        <v>0</v>
      </c>
      <c r="N292">
        <v>0</v>
      </c>
      <c r="O292">
        <v>198</v>
      </c>
      <c r="P292" t="str">
        <f t="shared" si="25"/>
        <v>Normal</v>
      </c>
      <c r="Q292">
        <v>119</v>
      </c>
      <c r="R292">
        <v>73</v>
      </c>
      <c r="S292">
        <v>30.27</v>
      </c>
      <c r="T292" t="str">
        <f t="shared" si="26"/>
        <v>Obese</v>
      </c>
      <c r="U292">
        <v>68</v>
      </c>
      <c r="V292">
        <v>70</v>
      </c>
      <c r="W292" t="str">
        <f t="shared" si="29"/>
        <v>Normal</v>
      </c>
      <c r="X292">
        <v>0</v>
      </c>
    </row>
    <row r="293" spans="1:24" ht="14.5" thickBot="1" x14ac:dyDescent="0.35">
      <c r="A293">
        <v>0</v>
      </c>
      <c r="B293" t="str">
        <f t="shared" si="27"/>
        <v>Female</v>
      </c>
      <c r="C293" s="8">
        <v>38</v>
      </c>
      <c r="D293" t="str">
        <f t="shared" si="28"/>
        <v>Young</v>
      </c>
      <c r="E293">
        <v>3</v>
      </c>
      <c r="F293" t="str">
        <f>HLOOKUP(E293, LookUP_Table!$A$6:$D$7, 2, FALSE)</f>
        <v>Graduate</v>
      </c>
      <c r="G293" t="str">
        <f>IFERROR(VLOOKUP(E293, LookUP_Table!$A$1:$B$4, 2, FALSE), "")</f>
        <v>Graduate</v>
      </c>
      <c r="H293">
        <v>1</v>
      </c>
      <c r="I293">
        <v>5</v>
      </c>
      <c r="J293" t="str">
        <f t="shared" si="24"/>
        <v>Smoker</v>
      </c>
      <c r="K293">
        <v>0</v>
      </c>
      <c r="L293">
        <v>0</v>
      </c>
      <c r="M293">
        <v>0</v>
      </c>
      <c r="N293">
        <v>0</v>
      </c>
      <c r="O293">
        <v>187</v>
      </c>
      <c r="P293" t="str">
        <f t="shared" si="25"/>
        <v>Normal</v>
      </c>
      <c r="Q293">
        <v>118</v>
      </c>
      <c r="R293">
        <v>78</v>
      </c>
      <c r="S293">
        <v>30.06</v>
      </c>
      <c r="T293" t="str">
        <f t="shared" si="26"/>
        <v>Obese</v>
      </c>
      <c r="U293">
        <v>64</v>
      </c>
      <c r="V293">
        <v>63</v>
      </c>
      <c r="W293" t="str">
        <f t="shared" si="29"/>
        <v>Normal</v>
      </c>
      <c r="X293">
        <v>0</v>
      </c>
    </row>
    <row r="294" spans="1:24" ht="14.5" thickBot="1" x14ac:dyDescent="0.35">
      <c r="A294">
        <v>0</v>
      </c>
      <c r="B294" t="str">
        <f t="shared" si="27"/>
        <v>Female</v>
      </c>
      <c r="C294" s="8">
        <v>38</v>
      </c>
      <c r="D294" t="str">
        <f t="shared" si="28"/>
        <v>Young</v>
      </c>
      <c r="E294">
        <v>2</v>
      </c>
      <c r="F294" t="str">
        <f>HLOOKUP(E294, LookUP_Table!$A$6:$D$7, 2, FALSE)</f>
        <v>Secondary</v>
      </c>
      <c r="G294" t="str">
        <f>IFERROR(VLOOKUP(E294, LookUP_Table!$A$1:$B$4, 2, FALSE), "")</f>
        <v>Secondary</v>
      </c>
      <c r="H294">
        <v>1</v>
      </c>
      <c r="I294">
        <v>7</v>
      </c>
      <c r="J294" t="str">
        <f t="shared" si="24"/>
        <v>Smoker</v>
      </c>
      <c r="K294">
        <v>0</v>
      </c>
      <c r="L294">
        <v>0</v>
      </c>
      <c r="M294">
        <v>0</v>
      </c>
      <c r="N294">
        <v>0</v>
      </c>
      <c r="O294">
        <v>160</v>
      </c>
      <c r="P294" t="str">
        <f t="shared" si="25"/>
        <v>Normal</v>
      </c>
      <c r="Q294">
        <v>95</v>
      </c>
      <c r="R294">
        <v>65</v>
      </c>
      <c r="S294">
        <v>21.99</v>
      </c>
      <c r="T294" t="str">
        <f t="shared" si="26"/>
        <v>Normal</v>
      </c>
      <c r="U294">
        <v>72</v>
      </c>
      <c r="V294">
        <v>77</v>
      </c>
      <c r="W294" t="str">
        <f t="shared" si="29"/>
        <v>Normal</v>
      </c>
      <c r="X294">
        <v>0</v>
      </c>
    </row>
    <row r="295" spans="1:24" ht="14.5" thickBot="1" x14ac:dyDescent="0.35">
      <c r="A295">
        <v>1</v>
      </c>
      <c r="B295" t="str">
        <f t="shared" si="27"/>
        <v>Male</v>
      </c>
      <c r="C295" s="8">
        <v>38</v>
      </c>
      <c r="D295" t="str">
        <f t="shared" si="28"/>
        <v>Young</v>
      </c>
      <c r="E295">
        <v>1</v>
      </c>
      <c r="F295" t="str">
        <f>HLOOKUP(E295, LookUP_Table!$A$6:$D$7, 2, FALSE)</f>
        <v>Primary</v>
      </c>
      <c r="G295" t="str">
        <f>IFERROR(VLOOKUP(E295, LookUP_Table!$A$1:$B$4, 2, FALSE), "")</f>
        <v>Primary</v>
      </c>
      <c r="H295">
        <v>1</v>
      </c>
      <c r="I295">
        <v>30</v>
      </c>
      <c r="J295" t="str">
        <f t="shared" si="24"/>
        <v>Smoker</v>
      </c>
      <c r="K295">
        <v>0</v>
      </c>
      <c r="L295">
        <v>0</v>
      </c>
      <c r="M295">
        <v>1</v>
      </c>
      <c r="N295">
        <v>0</v>
      </c>
      <c r="O295">
        <v>239</v>
      </c>
      <c r="P295" t="str">
        <f t="shared" si="25"/>
        <v>Normal</v>
      </c>
      <c r="Q295">
        <v>141</v>
      </c>
      <c r="R295">
        <v>98</v>
      </c>
      <c r="S295">
        <v>27.8</v>
      </c>
      <c r="T295" t="str">
        <f t="shared" si="26"/>
        <v>Overweight</v>
      </c>
      <c r="U295">
        <v>90</v>
      </c>
      <c r="V295">
        <v>85</v>
      </c>
      <c r="W295" t="str">
        <f t="shared" si="29"/>
        <v>Normal</v>
      </c>
      <c r="X295">
        <v>0</v>
      </c>
    </row>
    <row r="296" spans="1:24" ht="14.5" thickBot="1" x14ac:dyDescent="0.35">
      <c r="A296">
        <v>1</v>
      </c>
      <c r="B296" t="str">
        <f t="shared" si="27"/>
        <v>Male</v>
      </c>
      <c r="C296" s="8">
        <v>38</v>
      </c>
      <c r="D296" t="str">
        <f t="shared" si="28"/>
        <v>Young</v>
      </c>
      <c r="E296">
        <v>3</v>
      </c>
      <c r="F296" t="str">
        <f>HLOOKUP(E296, LookUP_Table!$A$6:$D$7, 2, FALSE)</f>
        <v>Graduate</v>
      </c>
      <c r="G296" t="str">
        <f>IFERROR(VLOOKUP(E296, LookUP_Table!$A$1:$B$4, 2, FALSE), "")</f>
        <v>Graduate</v>
      </c>
      <c r="H296">
        <v>1</v>
      </c>
      <c r="I296">
        <v>20</v>
      </c>
      <c r="J296" t="str">
        <f t="shared" si="24"/>
        <v>Smoker</v>
      </c>
      <c r="K296">
        <v>0</v>
      </c>
      <c r="L296">
        <v>0</v>
      </c>
      <c r="M296">
        <v>0</v>
      </c>
      <c r="N296">
        <v>0</v>
      </c>
      <c r="O296">
        <v>250</v>
      </c>
      <c r="P296" t="str">
        <f t="shared" si="25"/>
        <v>High</v>
      </c>
      <c r="Q296">
        <v>118</v>
      </c>
      <c r="R296">
        <v>80</v>
      </c>
      <c r="S296">
        <v>31.22</v>
      </c>
      <c r="T296" t="str">
        <f t="shared" si="26"/>
        <v>Obese</v>
      </c>
      <c r="U296">
        <v>95</v>
      </c>
      <c r="V296">
        <v>81.96365524402907</v>
      </c>
      <c r="W296" t="str">
        <f t="shared" si="29"/>
        <v>Normal</v>
      </c>
      <c r="X296">
        <v>0</v>
      </c>
    </row>
    <row r="297" spans="1:24" ht="14.5" thickBot="1" x14ac:dyDescent="0.35">
      <c r="A297">
        <v>0</v>
      </c>
      <c r="B297" t="str">
        <f t="shared" si="27"/>
        <v>Female</v>
      </c>
      <c r="C297" s="8">
        <v>38</v>
      </c>
      <c r="D297" t="str">
        <f t="shared" si="28"/>
        <v>Young</v>
      </c>
      <c r="E297">
        <v>2</v>
      </c>
      <c r="F297" t="str">
        <f>HLOOKUP(E297, LookUP_Table!$A$6:$D$7, 2, FALSE)</f>
        <v>Secondary</v>
      </c>
      <c r="G297" t="str">
        <f>IFERROR(VLOOKUP(E297, LookUP_Table!$A$1:$B$4, 2, FALSE), "")</f>
        <v>Secondary</v>
      </c>
      <c r="H297">
        <v>0</v>
      </c>
      <c r="I297">
        <v>0</v>
      </c>
      <c r="J297" t="str">
        <f t="shared" si="24"/>
        <v>Non-Smoker</v>
      </c>
      <c r="K297">
        <v>0</v>
      </c>
      <c r="L297">
        <v>0</v>
      </c>
      <c r="M297">
        <v>0</v>
      </c>
      <c r="N297">
        <v>0</v>
      </c>
      <c r="O297">
        <v>255</v>
      </c>
      <c r="P297" t="str">
        <f t="shared" si="25"/>
        <v>High</v>
      </c>
      <c r="Q297">
        <v>125</v>
      </c>
      <c r="R297">
        <v>85</v>
      </c>
      <c r="S297">
        <v>23.05</v>
      </c>
      <c r="T297" t="str">
        <f t="shared" si="26"/>
        <v>Normal</v>
      </c>
      <c r="U297">
        <v>72</v>
      </c>
      <c r="V297">
        <v>73</v>
      </c>
      <c r="W297" t="str">
        <f t="shared" si="29"/>
        <v>Normal</v>
      </c>
      <c r="X297">
        <v>0</v>
      </c>
    </row>
    <row r="298" spans="1:24" ht="14.5" thickBot="1" x14ac:dyDescent="0.35">
      <c r="A298">
        <v>1</v>
      </c>
      <c r="B298" t="str">
        <f t="shared" si="27"/>
        <v>Male</v>
      </c>
      <c r="C298" s="8">
        <v>38</v>
      </c>
      <c r="D298" t="str">
        <f t="shared" si="28"/>
        <v>Young</v>
      </c>
      <c r="E298">
        <v>1</v>
      </c>
      <c r="F298" t="str">
        <f>HLOOKUP(E298, LookUP_Table!$A$6:$D$7, 2, FALSE)</f>
        <v>Primary</v>
      </c>
      <c r="G298" t="str">
        <f>IFERROR(VLOOKUP(E298, LookUP_Table!$A$1:$B$4, 2, FALSE), "")</f>
        <v>Primary</v>
      </c>
      <c r="H298">
        <v>1</v>
      </c>
      <c r="I298">
        <v>9</v>
      </c>
      <c r="J298" t="str">
        <f t="shared" si="24"/>
        <v>Smoker</v>
      </c>
      <c r="K298">
        <v>0</v>
      </c>
      <c r="L298">
        <v>0</v>
      </c>
      <c r="M298">
        <v>0</v>
      </c>
      <c r="N298">
        <v>0</v>
      </c>
      <c r="O298">
        <v>274</v>
      </c>
      <c r="P298" t="str">
        <f t="shared" si="25"/>
        <v>High</v>
      </c>
      <c r="Q298">
        <v>120</v>
      </c>
      <c r="R298">
        <v>80</v>
      </c>
      <c r="S298">
        <v>25.17</v>
      </c>
      <c r="T298" t="str">
        <f t="shared" si="26"/>
        <v>Overweight</v>
      </c>
      <c r="U298">
        <v>80</v>
      </c>
      <c r="V298">
        <v>68</v>
      </c>
      <c r="W298" t="str">
        <f t="shared" si="29"/>
        <v>Normal</v>
      </c>
      <c r="X298">
        <v>0</v>
      </c>
    </row>
    <row r="299" spans="1:24" ht="14.5" thickBot="1" x14ac:dyDescent="0.35">
      <c r="A299">
        <v>0</v>
      </c>
      <c r="B299" t="str">
        <f t="shared" si="27"/>
        <v>Female</v>
      </c>
      <c r="C299" s="8">
        <v>38</v>
      </c>
      <c r="D299" t="str">
        <f t="shared" si="28"/>
        <v>Young</v>
      </c>
      <c r="E299">
        <v>2</v>
      </c>
      <c r="F299" t="str">
        <f>HLOOKUP(E299, LookUP_Table!$A$6:$D$7, 2, FALSE)</f>
        <v>Secondary</v>
      </c>
      <c r="G299" t="str">
        <f>IFERROR(VLOOKUP(E299, LookUP_Table!$A$1:$B$4, 2, FALSE), "")</f>
        <v>Secondary</v>
      </c>
      <c r="H299">
        <v>1</v>
      </c>
      <c r="I299">
        <v>12</v>
      </c>
      <c r="J299" t="str">
        <f t="shared" si="24"/>
        <v>Smoker</v>
      </c>
      <c r="K299">
        <v>0</v>
      </c>
      <c r="L299">
        <v>0</v>
      </c>
      <c r="M299">
        <v>0</v>
      </c>
      <c r="N299">
        <v>0</v>
      </c>
      <c r="O299">
        <v>209</v>
      </c>
      <c r="P299" t="str">
        <f t="shared" si="25"/>
        <v>Normal</v>
      </c>
      <c r="Q299">
        <v>122.5</v>
      </c>
      <c r="R299">
        <v>76.5</v>
      </c>
      <c r="S299">
        <v>24.51</v>
      </c>
      <c r="T299" t="str">
        <f t="shared" si="26"/>
        <v>Normal</v>
      </c>
      <c r="U299">
        <v>90</v>
      </c>
      <c r="V299">
        <v>73</v>
      </c>
      <c r="W299" t="str">
        <f t="shared" si="29"/>
        <v>Normal</v>
      </c>
      <c r="X299">
        <v>0</v>
      </c>
    </row>
    <row r="300" spans="1:24" ht="14.5" thickBot="1" x14ac:dyDescent="0.35">
      <c r="A300">
        <v>0</v>
      </c>
      <c r="B300" t="str">
        <f t="shared" si="27"/>
        <v>Female</v>
      </c>
      <c r="C300" s="8">
        <v>38</v>
      </c>
      <c r="D300" t="str">
        <f t="shared" si="28"/>
        <v>Young</v>
      </c>
      <c r="E300">
        <v>2</v>
      </c>
      <c r="F300" t="str">
        <f>HLOOKUP(E300, LookUP_Table!$A$6:$D$7, 2, FALSE)</f>
        <v>Secondary</v>
      </c>
      <c r="G300" t="str">
        <f>IFERROR(VLOOKUP(E300, LookUP_Table!$A$1:$B$4, 2, FALSE), "")</f>
        <v>Secondary</v>
      </c>
      <c r="H300">
        <v>1</v>
      </c>
      <c r="I300">
        <v>30</v>
      </c>
      <c r="J300" t="str">
        <f t="shared" si="24"/>
        <v>Smoker</v>
      </c>
      <c r="K300">
        <v>0</v>
      </c>
      <c r="L300">
        <v>0</v>
      </c>
      <c r="M300">
        <v>0</v>
      </c>
      <c r="N300">
        <v>0</v>
      </c>
      <c r="O300">
        <v>255</v>
      </c>
      <c r="P300" t="str">
        <f t="shared" si="25"/>
        <v>High</v>
      </c>
      <c r="Q300">
        <v>123.5</v>
      </c>
      <c r="R300">
        <v>84.5</v>
      </c>
      <c r="S300">
        <v>25.33</v>
      </c>
      <c r="T300" t="str">
        <f t="shared" si="26"/>
        <v>Overweight</v>
      </c>
      <c r="U300">
        <v>77</v>
      </c>
      <c r="V300">
        <v>88</v>
      </c>
      <c r="W300" t="str">
        <f t="shared" si="29"/>
        <v>Normal</v>
      </c>
      <c r="X300">
        <v>0</v>
      </c>
    </row>
    <row r="301" spans="1:24" ht="14.5" thickBot="1" x14ac:dyDescent="0.35">
      <c r="A301">
        <v>1</v>
      </c>
      <c r="B301" t="str">
        <f t="shared" si="27"/>
        <v>Male</v>
      </c>
      <c r="C301" s="8">
        <v>38</v>
      </c>
      <c r="D301" t="str">
        <f t="shared" si="28"/>
        <v>Young</v>
      </c>
      <c r="E301">
        <v>2</v>
      </c>
      <c r="F301" t="str">
        <f>HLOOKUP(E301, LookUP_Table!$A$6:$D$7, 2, FALSE)</f>
        <v>Secondary</v>
      </c>
      <c r="G301" t="str">
        <f>IFERROR(VLOOKUP(E301, LookUP_Table!$A$1:$B$4, 2, FALSE), "")</f>
        <v>Secondary</v>
      </c>
      <c r="H301">
        <v>1</v>
      </c>
      <c r="I301">
        <v>43</v>
      </c>
      <c r="J301" t="str">
        <f t="shared" si="24"/>
        <v>Smoker</v>
      </c>
      <c r="K301">
        <v>0</v>
      </c>
      <c r="L301">
        <v>0</v>
      </c>
      <c r="M301">
        <v>1</v>
      </c>
      <c r="N301">
        <v>0</v>
      </c>
      <c r="O301">
        <v>265</v>
      </c>
      <c r="P301" t="str">
        <f t="shared" si="25"/>
        <v>High</v>
      </c>
      <c r="Q301">
        <v>129</v>
      </c>
      <c r="R301">
        <v>85</v>
      </c>
      <c r="S301">
        <v>31.61</v>
      </c>
      <c r="T301" t="str">
        <f t="shared" si="26"/>
        <v>Obese</v>
      </c>
      <c r="U301">
        <v>68</v>
      </c>
      <c r="V301">
        <v>68</v>
      </c>
      <c r="W301" t="str">
        <f t="shared" si="29"/>
        <v>Normal</v>
      </c>
      <c r="X301">
        <v>0</v>
      </c>
    </row>
    <row r="302" spans="1:24" ht="14.5" thickBot="1" x14ac:dyDescent="0.35">
      <c r="A302">
        <v>1</v>
      </c>
      <c r="B302" t="str">
        <f t="shared" si="27"/>
        <v>Male</v>
      </c>
      <c r="C302" s="8">
        <v>38</v>
      </c>
      <c r="D302" t="str">
        <f t="shared" si="28"/>
        <v>Young</v>
      </c>
      <c r="E302">
        <v>2</v>
      </c>
      <c r="F302" t="str">
        <f>HLOOKUP(E302, LookUP_Table!$A$6:$D$7, 2, FALSE)</f>
        <v>Secondary</v>
      </c>
      <c r="G302" t="str">
        <f>IFERROR(VLOOKUP(E302, LookUP_Table!$A$1:$B$4, 2, FALSE), "")</f>
        <v>Secondary</v>
      </c>
      <c r="H302">
        <v>1</v>
      </c>
      <c r="I302">
        <v>20</v>
      </c>
      <c r="J302" t="str">
        <f t="shared" si="24"/>
        <v>Smoker</v>
      </c>
      <c r="K302">
        <v>0</v>
      </c>
      <c r="L302">
        <v>0</v>
      </c>
      <c r="M302">
        <v>0</v>
      </c>
      <c r="N302">
        <v>0</v>
      </c>
      <c r="O302">
        <v>268</v>
      </c>
      <c r="P302" t="str">
        <f t="shared" si="25"/>
        <v>High</v>
      </c>
      <c r="Q302">
        <v>134</v>
      </c>
      <c r="R302">
        <v>78</v>
      </c>
      <c r="S302">
        <v>31.62</v>
      </c>
      <c r="T302" t="str">
        <f t="shared" si="26"/>
        <v>Obese</v>
      </c>
      <c r="U302">
        <v>80</v>
      </c>
      <c r="V302">
        <v>81.96365524402907</v>
      </c>
      <c r="W302" t="str">
        <f t="shared" si="29"/>
        <v>Normal</v>
      </c>
      <c r="X302">
        <v>0</v>
      </c>
    </row>
    <row r="303" spans="1:24" ht="14.5" thickBot="1" x14ac:dyDescent="0.35">
      <c r="A303">
        <v>0</v>
      </c>
      <c r="B303" t="str">
        <f t="shared" si="27"/>
        <v>Female</v>
      </c>
      <c r="C303" s="8">
        <v>38</v>
      </c>
      <c r="D303" t="str">
        <f t="shared" si="28"/>
        <v>Young</v>
      </c>
      <c r="E303">
        <v>2</v>
      </c>
      <c r="F303" t="str">
        <f>HLOOKUP(E303, LookUP_Table!$A$6:$D$7, 2, FALSE)</f>
        <v>Secondary</v>
      </c>
      <c r="G303" t="str">
        <f>IFERROR(VLOOKUP(E303, LookUP_Table!$A$1:$B$4, 2, FALSE), "")</f>
        <v>Secondary</v>
      </c>
      <c r="H303">
        <v>1</v>
      </c>
      <c r="I303">
        <v>9</v>
      </c>
      <c r="J303" t="str">
        <f t="shared" si="24"/>
        <v>Smoker</v>
      </c>
      <c r="K303">
        <v>0</v>
      </c>
      <c r="L303">
        <v>0</v>
      </c>
      <c r="M303">
        <v>0</v>
      </c>
      <c r="N303">
        <v>0</v>
      </c>
      <c r="O303">
        <v>266</v>
      </c>
      <c r="P303" t="str">
        <f t="shared" si="25"/>
        <v>High</v>
      </c>
      <c r="Q303">
        <v>118</v>
      </c>
      <c r="R303">
        <v>75</v>
      </c>
      <c r="S303">
        <v>21.79</v>
      </c>
      <c r="T303" t="str">
        <f t="shared" si="26"/>
        <v>Normal</v>
      </c>
      <c r="U303">
        <v>85</v>
      </c>
      <c r="V303">
        <v>81.96365524402907</v>
      </c>
      <c r="W303" t="str">
        <f t="shared" si="29"/>
        <v>Normal</v>
      </c>
      <c r="X303">
        <v>0</v>
      </c>
    </row>
    <row r="304" spans="1:24" ht="14.5" thickBot="1" x14ac:dyDescent="0.35">
      <c r="A304">
        <v>1</v>
      </c>
      <c r="B304" t="str">
        <f t="shared" si="27"/>
        <v>Male</v>
      </c>
      <c r="C304" s="8">
        <v>38</v>
      </c>
      <c r="D304" t="str">
        <f t="shared" si="28"/>
        <v>Young</v>
      </c>
      <c r="E304">
        <v>2</v>
      </c>
      <c r="F304" t="str">
        <f>HLOOKUP(E304, LookUP_Table!$A$6:$D$7, 2, FALSE)</f>
        <v>Secondary</v>
      </c>
      <c r="G304" t="str">
        <f>IFERROR(VLOOKUP(E304, LookUP_Table!$A$1:$B$4, 2, FALSE), "")</f>
        <v>Secondary</v>
      </c>
      <c r="H304">
        <v>1</v>
      </c>
      <c r="I304">
        <v>20</v>
      </c>
      <c r="J304" t="str">
        <f t="shared" si="24"/>
        <v>Smoker</v>
      </c>
      <c r="K304">
        <v>0</v>
      </c>
      <c r="L304">
        <v>0</v>
      </c>
      <c r="M304">
        <v>0</v>
      </c>
      <c r="N304">
        <v>0</v>
      </c>
      <c r="O304">
        <v>279</v>
      </c>
      <c r="P304" t="str">
        <f t="shared" si="25"/>
        <v>High</v>
      </c>
      <c r="Q304">
        <v>124</v>
      </c>
      <c r="R304">
        <v>87</v>
      </c>
      <c r="S304">
        <v>26.68</v>
      </c>
      <c r="T304" t="str">
        <f t="shared" si="26"/>
        <v>Overweight</v>
      </c>
      <c r="U304">
        <v>76</v>
      </c>
      <c r="V304">
        <v>75</v>
      </c>
      <c r="W304" t="str">
        <f t="shared" si="29"/>
        <v>Normal</v>
      </c>
      <c r="X304">
        <v>0</v>
      </c>
    </row>
    <row r="305" spans="1:24" ht="14.5" thickBot="1" x14ac:dyDescent="0.35">
      <c r="A305">
        <v>0</v>
      </c>
      <c r="B305" t="str">
        <f t="shared" si="27"/>
        <v>Female</v>
      </c>
      <c r="C305" s="8">
        <v>38</v>
      </c>
      <c r="D305" t="str">
        <f t="shared" si="28"/>
        <v>Young</v>
      </c>
      <c r="E305">
        <v>1</v>
      </c>
      <c r="F305" t="str">
        <f>HLOOKUP(E305, LookUP_Table!$A$6:$D$7, 2, FALSE)</f>
        <v>Primary</v>
      </c>
      <c r="G305" t="str">
        <f>IFERROR(VLOOKUP(E305, LookUP_Table!$A$1:$B$4, 2, FALSE), "")</f>
        <v>Primary</v>
      </c>
      <c r="H305">
        <v>0</v>
      </c>
      <c r="I305">
        <v>0</v>
      </c>
      <c r="J305" t="str">
        <f t="shared" si="24"/>
        <v>Non-Smoker</v>
      </c>
      <c r="K305">
        <v>0</v>
      </c>
      <c r="L305">
        <v>0</v>
      </c>
      <c r="M305">
        <v>0</v>
      </c>
      <c r="N305">
        <v>0</v>
      </c>
      <c r="O305">
        <v>293</v>
      </c>
      <c r="P305" t="str">
        <f t="shared" si="25"/>
        <v>High</v>
      </c>
      <c r="Q305">
        <v>124</v>
      </c>
      <c r="R305">
        <v>78</v>
      </c>
      <c r="S305">
        <v>23.66</v>
      </c>
      <c r="T305" t="str">
        <f t="shared" si="26"/>
        <v>Normal</v>
      </c>
      <c r="U305">
        <v>78</v>
      </c>
      <c r="V305">
        <v>76</v>
      </c>
      <c r="W305" t="str">
        <f t="shared" si="29"/>
        <v>Normal</v>
      </c>
      <c r="X305">
        <v>0</v>
      </c>
    </row>
    <row r="306" spans="1:24" ht="14.5" thickBot="1" x14ac:dyDescent="0.35">
      <c r="A306">
        <v>0</v>
      </c>
      <c r="B306" t="str">
        <f t="shared" si="27"/>
        <v>Female</v>
      </c>
      <c r="C306" s="8">
        <v>38</v>
      </c>
      <c r="D306" t="str">
        <f t="shared" si="28"/>
        <v>Young</v>
      </c>
      <c r="E306">
        <v>3</v>
      </c>
      <c r="F306" t="str">
        <f>HLOOKUP(E306, LookUP_Table!$A$6:$D$7, 2, FALSE)</f>
        <v>Graduate</v>
      </c>
      <c r="G306" t="str">
        <f>IFERROR(VLOOKUP(E306, LookUP_Table!$A$1:$B$4, 2, FALSE), "")</f>
        <v>Graduate</v>
      </c>
      <c r="H306">
        <v>1</v>
      </c>
      <c r="I306">
        <v>5</v>
      </c>
      <c r="J306" t="str">
        <f t="shared" si="24"/>
        <v>Smoker</v>
      </c>
      <c r="K306">
        <v>0</v>
      </c>
      <c r="L306">
        <v>0</v>
      </c>
      <c r="M306">
        <v>0</v>
      </c>
      <c r="N306">
        <v>0</v>
      </c>
      <c r="O306">
        <v>192</v>
      </c>
      <c r="P306" t="str">
        <f t="shared" si="25"/>
        <v>Normal</v>
      </c>
      <c r="Q306">
        <v>130</v>
      </c>
      <c r="R306">
        <v>80</v>
      </c>
      <c r="S306">
        <v>27.51</v>
      </c>
      <c r="T306" t="str">
        <f t="shared" si="26"/>
        <v>Overweight</v>
      </c>
      <c r="U306">
        <v>75</v>
      </c>
      <c r="V306">
        <v>90</v>
      </c>
      <c r="W306" t="str">
        <f t="shared" si="29"/>
        <v>Normal</v>
      </c>
      <c r="X306">
        <v>0</v>
      </c>
    </row>
    <row r="307" spans="1:24" ht="14.5" thickBot="1" x14ac:dyDescent="0.35">
      <c r="A307">
        <v>0</v>
      </c>
      <c r="B307" t="str">
        <f t="shared" si="27"/>
        <v>Female</v>
      </c>
      <c r="C307" s="8">
        <v>38</v>
      </c>
      <c r="D307" t="str">
        <f t="shared" si="28"/>
        <v>Young</v>
      </c>
      <c r="E307">
        <v>1</v>
      </c>
      <c r="F307" t="str">
        <f>HLOOKUP(E307, LookUP_Table!$A$6:$D$7, 2, FALSE)</f>
        <v>Primary</v>
      </c>
      <c r="G307" t="str">
        <f>IFERROR(VLOOKUP(E307, LookUP_Table!$A$1:$B$4, 2, FALSE), "")</f>
        <v>Primary</v>
      </c>
      <c r="H307">
        <v>1</v>
      </c>
      <c r="I307">
        <v>10</v>
      </c>
      <c r="J307" t="str">
        <f t="shared" si="24"/>
        <v>Smoker</v>
      </c>
      <c r="K307">
        <v>0</v>
      </c>
      <c r="L307">
        <v>0</v>
      </c>
      <c r="M307">
        <v>0</v>
      </c>
      <c r="N307">
        <v>0</v>
      </c>
      <c r="O307">
        <v>212</v>
      </c>
      <c r="P307" t="str">
        <f t="shared" si="25"/>
        <v>Normal</v>
      </c>
      <c r="Q307">
        <v>107</v>
      </c>
      <c r="R307">
        <v>67.5</v>
      </c>
      <c r="S307">
        <v>20.399999999999999</v>
      </c>
      <c r="T307" t="str">
        <f t="shared" si="26"/>
        <v>Normal</v>
      </c>
      <c r="U307">
        <v>110</v>
      </c>
      <c r="V307">
        <v>87</v>
      </c>
      <c r="W307" t="str">
        <f t="shared" si="29"/>
        <v>Normal</v>
      </c>
      <c r="X307">
        <v>0</v>
      </c>
    </row>
    <row r="308" spans="1:24" ht="14.5" thickBot="1" x14ac:dyDescent="0.35">
      <c r="A308">
        <v>1</v>
      </c>
      <c r="B308" t="str">
        <f t="shared" si="27"/>
        <v>Male</v>
      </c>
      <c r="C308" s="8">
        <v>38</v>
      </c>
      <c r="D308" t="str">
        <f t="shared" si="28"/>
        <v>Young</v>
      </c>
      <c r="E308">
        <v>2</v>
      </c>
      <c r="F308" t="str">
        <f>HLOOKUP(E308, LookUP_Table!$A$6:$D$7, 2, FALSE)</f>
        <v>Secondary</v>
      </c>
      <c r="G308" t="str">
        <f>IFERROR(VLOOKUP(E308, LookUP_Table!$A$1:$B$4, 2, FALSE), "")</f>
        <v>Secondary</v>
      </c>
      <c r="H308">
        <v>1</v>
      </c>
      <c r="I308">
        <v>20</v>
      </c>
      <c r="J308" t="str">
        <f t="shared" si="24"/>
        <v>Smoker</v>
      </c>
      <c r="K308">
        <v>0</v>
      </c>
      <c r="L308">
        <v>0</v>
      </c>
      <c r="M308">
        <v>0</v>
      </c>
      <c r="N308">
        <v>0</v>
      </c>
      <c r="O308">
        <v>225</v>
      </c>
      <c r="P308" t="str">
        <f t="shared" si="25"/>
        <v>Normal</v>
      </c>
      <c r="Q308">
        <v>125</v>
      </c>
      <c r="R308">
        <v>79</v>
      </c>
      <c r="S308">
        <v>26.23</v>
      </c>
      <c r="T308" t="str">
        <f t="shared" si="26"/>
        <v>Overweight</v>
      </c>
      <c r="U308">
        <v>70</v>
      </c>
      <c r="V308">
        <v>74</v>
      </c>
      <c r="W308" t="str">
        <f t="shared" si="29"/>
        <v>Normal</v>
      </c>
      <c r="X308">
        <v>0</v>
      </c>
    </row>
    <row r="309" spans="1:24" ht="14.5" thickBot="1" x14ac:dyDescent="0.35">
      <c r="A309">
        <v>0</v>
      </c>
      <c r="B309" t="str">
        <f t="shared" si="27"/>
        <v>Female</v>
      </c>
      <c r="C309" s="8">
        <v>38</v>
      </c>
      <c r="D309" t="str">
        <f t="shared" si="28"/>
        <v>Young</v>
      </c>
      <c r="E309">
        <v>2</v>
      </c>
      <c r="F309" t="str">
        <f>HLOOKUP(E309, LookUP_Table!$A$6:$D$7, 2, FALSE)</f>
        <v>Secondary</v>
      </c>
      <c r="G309" t="str">
        <f>IFERROR(VLOOKUP(E309, LookUP_Table!$A$1:$B$4, 2, FALSE), "")</f>
        <v>Secondary</v>
      </c>
      <c r="H309">
        <v>0</v>
      </c>
      <c r="I309">
        <v>0</v>
      </c>
      <c r="J309" t="str">
        <f t="shared" si="24"/>
        <v>Non-Smoker</v>
      </c>
      <c r="K309">
        <v>0</v>
      </c>
      <c r="L309">
        <v>0</v>
      </c>
      <c r="M309">
        <v>0</v>
      </c>
      <c r="N309">
        <v>0</v>
      </c>
      <c r="O309">
        <v>167</v>
      </c>
      <c r="P309" t="str">
        <f t="shared" si="25"/>
        <v>Normal</v>
      </c>
      <c r="Q309">
        <v>102.5</v>
      </c>
      <c r="R309">
        <v>60</v>
      </c>
      <c r="S309">
        <v>22.58</v>
      </c>
      <c r="T309" t="str">
        <f t="shared" si="26"/>
        <v>Normal</v>
      </c>
      <c r="U309">
        <v>60</v>
      </c>
      <c r="V309">
        <v>57</v>
      </c>
      <c r="W309" t="str">
        <f t="shared" si="29"/>
        <v>Normal</v>
      </c>
      <c r="X309">
        <v>0</v>
      </c>
    </row>
    <row r="310" spans="1:24" ht="14.5" thickBot="1" x14ac:dyDescent="0.35">
      <c r="A310">
        <v>0</v>
      </c>
      <c r="B310" t="str">
        <f t="shared" si="27"/>
        <v>Female</v>
      </c>
      <c r="C310" s="8">
        <v>38</v>
      </c>
      <c r="D310" t="str">
        <f t="shared" si="28"/>
        <v>Young</v>
      </c>
      <c r="E310">
        <v>2</v>
      </c>
      <c r="F310" t="str">
        <f>HLOOKUP(E310, LookUP_Table!$A$6:$D$7, 2, FALSE)</f>
        <v>Secondary</v>
      </c>
      <c r="G310" t="str">
        <f>IFERROR(VLOOKUP(E310, LookUP_Table!$A$1:$B$4, 2, FALSE), "")</f>
        <v>Secondary</v>
      </c>
      <c r="H310">
        <v>0</v>
      </c>
      <c r="I310">
        <v>0</v>
      </c>
      <c r="J310" t="str">
        <f t="shared" si="24"/>
        <v>Non-Smoker</v>
      </c>
      <c r="K310">
        <v>0</v>
      </c>
      <c r="L310">
        <v>0</v>
      </c>
      <c r="M310">
        <v>0</v>
      </c>
      <c r="N310">
        <v>0</v>
      </c>
      <c r="O310">
        <v>251</v>
      </c>
      <c r="P310" t="str">
        <f t="shared" si="25"/>
        <v>High</v>
      </c>
      <c r="Q310">
        <v>126</v>
      </c>
      <c r="R310">
        <v>76</v>
      </c>
      <c r="S310">
        <v>29.19</v>
      </c>
      <c r="T310" t="str">
        <f t="shared" si="26"/>
        <v>Overweight</v>
      </c>
      <c r="U310">
        <v>60</v>
      </c>
      <c r="V310">
        <v>66</v>
      </c>
      <c r="W310" t="str">
        <f t="shared" si="29"/>
        <v>Normal</v>
      </c>
      <c r="X310">
        <v>0</v>
      </c>
    </row>
    <row r="311" spans="1:24" ht="14.5" thickBot="1" x14ac:dyDescent="0.35">
      <c r="A311">
        <v>1</v>
      </c>
      <c r="B311" t="str">
        <f t="shared" si="27"/>
        <v>Male</v>
      </c>
      <c r="C311" s="8">
        <v>38</v>
      </c>
      <c r="D311" t="str">
        <f t="shared" si="28"/>
        <v>Young</v>
      </c>
      <c r="E311">
        <v>2</v>
      </c>
      <c r="F311" t="str">
        <f>HLOOKUP(E311, LookUP_Table!$A$6:$D$7, 2, FALSE)</f>
        <v>Secondary</v>
      </c>
      <c r="G311" t="str">
        <f>IFERROR(VLOOKUP(E311, LookUP_Table!$A$1:$B$4, 2, FALSE), "")</f>
        <v>Secondary</v>
      </c>
      <c r="H311">
        <v>1</v>
      </c>
      <c r="I311">
        <v>20</v>
      </c>
      <c r="J311" t="str">
        <f t="shared" si="24"/>
        <v>Smoker</v>
      </c>
      <c r="K311">
        <v>0</v>
      </c>
      <c r="L311">
        <v>0</v>
      </c>
      <c r="M311">
        <v>0</v>
      </c>
      <c r="N311">
        <v>0</v>
      </c>
      <c r="O311">
        <v>227</v>
      </c>
      <c r="P311" t="str">
        <f t="shared" si="25"/>
        <v>Normal</v>
      </c>
      <c r="Q311">
        <v>108</v>
      </c>
      <c r="R311">
        <v>65.5</v>
      </c>
      <c r="S311">
        <v>25.45</v>
      </c>
      <c r="T311" t="str">
        <f t="shared" si="26"/>
        <v>Overweight</v>
      </c>
      <c r="U311">
        <v>85</v>
      </c>
      <c r="V311">
        <v>110</v>
      </c>
      <c r="W311" t="str">
        <f t="shared" si="29"/>
        <v>Prediabetes</v>
      </c>
      <c r="X311">
        <v>0</v>
      </c>
    </row>
    <row r="312" spans="1:24" ht="14.5" thickBot="1" x14ac:dyDescent="0.35">
      <c r="A312">
        <v>0</v>
      </c>
      <c r="B312" t="str">
        <f t="shared" si="27"/>
        <v>Female</v>
      </c>
      <c r="C312" s="8">
        <v>38</v>
      </c>
      <c r="D312" t="str">
        <f t="shared" si="28"/>
        <v>Young</v>
      </c>
      <c r="E312">
        <v>3</v>
      </c>
      <c r="F312" t="str">
        <f>HLOOKUP(E312, LookUP_Table!$A$6:$D$7, 2, FALSE)</f>
        <v>Graduate</v>
      </c>
      <c r="G312" t="str">
        <f>IFERROR(VLOOKUP(E312, LookUP_Table!$A$1:$B$4, 2, FALSE), "")</f>
        <v>Graduate</v>
      </c>
      <c r="H312">
        <v>0</v>
      </c>
      <c r="I312">
        <v>0</v>
      </c>
      <c r="J312" t="str">
        <f t="shared" si="24"/>
        <v>Non-Smoker</v>
      </c>
      <c r="K312">
        <v>0</v>
      </c>
      <c r="L312">
        <v>0</v>
      </c>
      <c r="M312">
        <v>0</v>
      </c>
      <c r="N312">
        <v>0</v>
      </c>
      <c r="O312">
        <v>162</v>
      </c>
      <c r="P312" t="str">
        <f t="shared" si="25"/>
        <v>Normal</v>
      </c>
      <c r="Q312">
        <v>105</v>
      </c>
      <c r="R312">
        <v>70</v>
      </c>
      <c r="S312">
        <v>21.35</v>
      </c>
      <c r="T312" t="str">
        <f t="shared" si="26"/>
        <v>Normal</v>
      </c>
      <c r="U312">
        <v>72</v>
      </c>
      <c r="V312">
        <v>71</v>
      </c>
      <c r="W312" t="str">
        <f t="shared" si="29"/>
        <v>Normal</v>
      </c>
      <c r="X312">
        <v>0</v>
      </c>
    </row>
    <row r="313" spans="1:24" ht="14.5" thickBot="1" x14ac:dyDescent="0.35">
      <c r="A313">
        <v>0</v>
      </c>
      <c r="B313" t="str">
        <f t="shared" si="27"/>
        <v>Female</v>
      </c>
      <c r="C313" s="8">
        <v>38</v>
      </c>
      <c r="D313" t="str">
        <f t="shared" si="28"/>
        <v>Young</v>
      </c>
      <c r="E313">
        <v>4</v>
      </c>
      <c r="F313" t="str">
        <f>HLOOKUP(E313, LookUP_Table!$A$6:$D$7, 2, FALSE)</f>
        <v>Post Graduate</v>
      </c>
      <c r="G313" t="str">
        <f>IFERROR(VLOOKUP(E313, LookUP_Table!$A$1:$B$4, 2, FALSE), "")</f>
        <v>Post Graduate</v>
      </c>
      <c r="H313">
        <v>0</v>
      </c>
      <c r="I313">
        <v>0</v>
      </c>
      <c r="J313" t="str">
        <f t="shared" si="24"/>
        <v>Non-Smoker</v>
      </c>
      <c r="K313">
        <v>0</v>
      </c>
      <c r="L313">
        <v>0</v>
      </c>
      <c r="M313">
        <v>0</v>
      </c>
      <c r="N313">
        <v>0</v>
      </c>
      <c r="O313">
        <v>150</v>
      </c>
      <c r="P313" t="str">
        <f t="shared" si="25"/>
        <v>Normal</v>
      </c>
      <c r="Q313">
        <v>108</v>
      </c>
      <c r="R313">
        <v>70.5</v>
      </c>
      <c r="S313">
        <v>20.420000000000002</v>
      </c>
      <c r="T313" t="str">
        <f t="shared" si="26"/>
        <v>Normal</v>
      </c>
      <c r="U313">
        <v>72</v>
      </c>
      <c r="V313">
        <v>88</v>
      </c>
      <c r="W313" t="str">
        <f t="shared" si="29"/>
        <v>Normal</v>
      </c>
      <c r="X313">
        <v>0</v>
      </c>
    </row>
    <row r="314" spans="1:24" ht="14.5" thickBot="1" x14ac:dyDescent="0.35">
      <c r="A314">
        <v>0</v>
      </c>
      <c r="B314" t="str">
        <f t="shared" si="27"/>
        <v>Female</v>
      </c>
      <c r="C314" s="8">
        <v>38</v>
      </c>
      <c r="D314" t="str">
        <f t="shared" si="28"/>
        <v>Young</v>
      </c>
      <c r="E314">
        <v>4</v>
      </c>
      <c r="F314" t="str">
        <f>HLOOKUP(E314, LookUP_Table!$A$6:$D$7, 2, FALSE)</f>
        <v>Post Graduate</v>
      </c>
      <c r="G314" t="str">
        <f>IFERROR(VLOOKUP(E314, LookUP_Table!$A$1:$B$4, 2, FALSE), "")</f>
        <v>Post Graduate</v>
      </c>
      <c r="H314">
        <v>1</v>
      </c>
      <c r="I314">
        <v>20</v>
      </c>
      <c r="J314" t="str">
        <f t="shared" si="24"/>
        <v>Smoker</v>
      </c>
      <c r="K314">
        <v>0</v>
      </c>
      <c r="L314">
        <v>0</v>
      </c>
      <c r="M314">
        <v>0</v>
      </c>
      <c r="N314">
        <v>0</v>
      </c>
      <c r="O314">
        <v>282</v>
      </c>
      <c r="P314" t="str">
        <f t="shared" si="25"/>
        <v>High</v>
      </c>
      <c r="Q314">
        <v>135</v>
      </c>
      <c r="R314">
        <v>80</v>
      </c>
      <c r="S314">
        <v>29.14</v>
      </c>
      <c r="T314" t="str">
        <f t="shared" si="26"/>
        <v>Overweight</v>
      </c>
      <c r="U314">
        <v>75</v>
      </c>
      <c r="V314">
        <v>89</v>
      </c>
      <c r="W314" t="str">
        <f t="shared" si="29"/>
        <v>Normal</v>
      </c>
      <c r="X314">
        <v>0</v>
      </c>
    </row>
    <row r="315" spans="1:24" ht="14.5" thickBot="1" x14ac:dyDescent="0.35">
      <c r="A315">
        <v>0</v>
      </c>
      <c r="B315" t="str">
        <f t="shared" si="27"/>
        <v>Female</v>
      </c>
      <c r="C315" s="8">
        <v>38</v>
      </c>
      <c r="D315" t="str">
        <f t="shared" si="28"/>
        <v>Young</v>
      </c>
      <c r="E315">
        <v>1</v>
      </c>
      <c r="F315" t="str">
        <f>HLOOKUP(E315, LookUP_Table!$A$6:$D$7, 2, FALSE)</f>
        <v>Primary</v>
      </c>
      <c r="G315" t="str">
        <f>IFERROR(VLOOKUP(E315, LookUP_Table!$A$1:$B$4, 2, FALSE), "")</f>
        <v>Primary</v>
      </c>
      <c r="H315">
        <v>0</v>
      </c>
      <c r="I315">
        <v>0</v>
      </c>
      <c r="J315" t="str">
        <f t="shared" si="24"/>
        <v>Non-Smoker</v>
      </c>
      <c r="K315">
        <v>0</v>
      </c>
      <c r="L315">
        <v>0</v>
      </c>
      <c r="M315">
        <v>0</v>
      </c>
      <c r="N315">
        <v>0</v>
      </c>
      <c r="O315">
        <v>196</v>
      </c>
      <c r="P315" t="str">
        <f t="shared" si="25"/>
        <v>Normal</v>
      </c>
      <c r="Q315">
        <v>100</v>
      </c>
      <c r="R315">
        <v>80</v>
      </c>
      <c r="S315">
        <v>22.9</v>
      </c>
      <c r="T315" t="str">
        <f t="shared" si="26"/>
        <v>Normal</v>
      </c>
      <c r="U315">
        <v>78</v>
      </c>
      <c r="V315">
        <v>74</v>
      </c>
      <c r="W315" t="str">
        <f t="shared" si="29"/>
        <v>Normal</v>
      </c>
      <c r="X315">
        <v>0</v>
      </c>
    </row>
    <row r="316" spans="1:24" ht="14.5" thickBot="1" x14ac:dyDescent="0.35">
      <c r="A316">
        <v>1</v>
      </c>
      <c r="B316" t="str">
        <f t="shared" si="27"/>
        <v>Male</v>
      </c>
      <c r="C316" s="8">
        <v>38</v>
      </c>
      <c r="D316" t="str">
        <f t="shared" si="28"/>
        <v>Young</v>
      </c>
      <c r="E316">
        <v>3</v>
      </c>
      <c r="F316" t="str">
        <f>HLOOKUP(E316, LookUP_Table!$A$6:$D$7, 2, FALSE)</f>
        <v>Graduate</v>
      </c>
      <c r="G316" t="str">
        <f>IFERROR(VLOOKUP(E316, LookUP_Table!$A$1:$B$4, 2, FALSE), "")</f>
        <v>Graduate</v>
      </c>
      <c r="H316">
        <v>0</v>
      </c>
      <c r="I316">
        <v>0</v>
      </c>
      <c r="J316" t="str">
        <f t="shared" si="24"/>
        <v>Non-Smoker</v>
      </c>
      <c r="K316">
        <v>0</v>
      </c>
      <c r="L316">
        <v>0</v>
      </c>
      <c r="M316">
        <v>0</v>
      </c>
      <c r="N316">
        <v>0</v>
      </c>
      <c r="O316">
        <v>244</v>
      </c>
      <c r="P316" t="str">
        <f t="shared" si="25"/>
        <v>High</v>
      </c>
      <c r="Q316">
        <v>118.5</v>
      </c>
      <c r="R316">
        <v>88</v>
      </c>
      <c r="S316">
        <v>28.68</v>
      </c>
      <c r="T316" t="str">
        <f t="shared" si="26"/>
        <v>Overweight</v>
      </c>
      <c r="U316">
        <v>77</v>
      </c>
      <c r="V316">
        <v>65</v>
      </c>
      <c r="W316" t="str">
        <f t="shared" si="29"/>
        <v>Normal</v>
      </c>
      <c r="X316">
        <v>1</v>
      </c>
    </row>
    <row r="317" spans="1:24" ht="14.5" thickBot="1" x14ac:dyDescent="0.35">
      <c r="A317">
        <v>1</v>
      </c>
      <c r="B317" t="str">
        <f t="shared" si="27"/>
        <v>Male</v>
      </c>
      <c r="C317" s="8">
        <v>38</v>
      </c>
      <c r="D317" t="str">
        <f t="shared" si="28"/>
        <v>Young</v>
      </c>
      <c r="E317">
        <v>1</v>
      </c>
      <c r="F317" t="str">
        <f>HLOOKUP(E317, LookUP_Table!$A$6:$D$7, 2, FALSE)</f>
        <v>Primary</v>
      </c>
      <c r="G317" t="str">
        <f>IFERROR(VLOOKUP(E317, LookUP_Table!$A$1:$B$4, 2, FALSE), "")</f>
        <v>Primary</v>
      </c>
      <c r="H317">
        <v>0</v>
      </c>
      <c r="I317">
        <v>0</v>
      </c>
      <c r="J317" t="str">
        <f t="shared" si="24"/>
        <v>Non-Smoker</v>
      </c>
      <c r="K317">
        <v>0</v>
      </c>
      <c r="L317">
        <v>0</v>
      </c>
      <c r="M317">
        <v>0</v>
      </c>
      <c r="N317">
        <v>0</v>
      </c>
      <c r="O317">
        <v>221</v>
      </c>
      <c r="P317" t="str">
        <f t="shared" si="25"/>
        <v>Normal</v>
      </c>
      <c r="Q317">
        <v>130</v>
      </c>
      <c r="R317">
        <v>87</v>
      </c>
      <c r="S317">
        <v>26.43</v>
      </c>
      <c r="T317" t="str">
        <f t="shared" si="26"/>
        <v>Overweight</v>
      </c>
      <c r="U317">
        <v>72</v>
      </c>
      <c r="V317">
        <v>55</v>
      </c>
      <c r="W317" t="str">
        <f t="shared" si="29"/>
        <v>Normal</v>
      </c>
      <c r="X317">
        <v>0</v>
      </c>
    </row>
    <row r="318" spans="1:24" ht="14.5" thickBot="1" x14ac:dyDescent="0.35">
      <c r="A318">
        <v>1</v>
      </c>
      <c r="B318" t="str">
        <f t="shared" si="27"/>
        <v>Male</v>
      </c>
      <c r="C318" s="8">
        <v>38</v>
      </c>
      <c r="D318" t="str">
        <f t="shared" si="28"/>
        <v>Young</v>
      </c>
      <c r="E318">
        <v>2</v>
      </c>
      <c r="F318" t="str">
        <f>HLOOKUP(E318, LookUP_Table!$A$6:$D$7, 2, FALSE)</f>
        <v>Secondary</v>
      </c>
      <c r="G318" t="str">
        <f>IFERROR(VLOOKUP(E318, LookUP_Table!$A$1:$B$4, 2, FALSE), "")</f>
        <v>Secondary</v>
      </c>
      <c r="H318">
        <v>1</v>
      </c>
      <c r="I318">
        <v>7</v>
      </c>
      <c r="J318" t="str">
        <f t="shared" si="24"/>
        <v>Smoker</v>
      </c>
      <c r="K318">
        <v>0</v>
      </c>
      <c r="L318">
        <v>0</v>
      </c>
      <c r="M318">
        <v>0</v>
      </c>
      <c r="N318">
        <v>0</v>
      </c>
      <c r="O318">
        <v>229</v>
      </c>
      <c r="P318" t="str">
        <f t="shared" si="25"/>
        <v>Normal</v>
      </c>
      <c r="Q318">
        <v>116</v>
      </c>
      <c r="R318">
        <v>70</v>
      </c>
      <c r="S318">
        <v>26.65</v>
      </c>
      <c r="T318" t="str">
        <f t="shared" si="26"/>
        <v>Overweight</v>
      </c>
      <c r="U318">
        <v>77</v>
      </c>
      <c r="V318">
        <v>71</v>
      </c>
      <c r="W318" t="str">
        <f t="shared" si="29"/>
        <v>Normal</v>
      </c>
      <c r="X318">
        <v>0</v>
      </c>
    </row>
    <row r="319" spans="1:24" ht="14.5" thickBot="1" x14ac:dyDescent="0.35">
      <c r="A319">
        <v>1</v>
      </c>
      <c r="B319" t="str">
        <f t="shared" si="27"/>
        <v>Male</v>
      </c>
      <c r="C319" s="8">
        <v>38</v>
      </c>
      <c r="D319" t="str">
        <f t="shared" si="28"/>
        <v>Young</v>
      </c>
      <c r="E319">
        <v>1</v>
      </c>
      <c r="F319" t="str">
        <f>HLOOKUP(E319, LookUP_Table!$A$6:$D$7, 2, FALSE)</f>
        <v>Primary</v>
      </c>
      <c r="G319" t="str">
        <f>IFERROR(VLOOKUP(E319, LookUP_Table!$A$1:$B$4, 2, FALSE), "")</f>
        <v>Primary</v>
      </c>
      <c r="H319">
        <v>0</v>
      </c>
      <c r="I319">
        <v>0</v>
      </c>
      <c r="J319" t="str">
        <f t="shared" si="24"/>
        <v>Non-Smoker</v>
      </c>
      <c r="K319">
        <v>0</v>
      </c>
      <c r="L319">
        <v>0</v>
      </c>
      <c r="M319">
        <v>0</v>
      </c>
      <c r="N319">
        <v>0</v>
      </c>
      <c r="O319">
        <v>221</v>
      </c>
      <c r="P319" t="str">
        <f t="shared" si="25"/>
        <v>Normal</v>
      </c>
      <c r="Q319">
        <v>119</v>
      </c>
      <c r="R319">
        <v>84</v>
      </c>
      <c r="S319">
        <v>26.89</v>
      </c>
      <c r="T319" t="str">
        <f t="shared" si="26"/>
        <v>Overweight</v>
      </c>
      <c r="U319">
        <v>66</v>
      </c>
      <c r="V319">
        <v>82</v>
      </c>
      <c r="W319" t="str">
        <f t="shared" si="29"/>
        <v>Normal</v>
      </c>
      <c r="X319">
        <v>0</v>
      </c>
    </row>
    <row r="320" spans="1:24" ht="14.5" thickBot="1" x14ac:dyDescent="0.35">
      <c r="A320">
        <v>1</v>
      </c>
      <c r="B320" t="str">
        <f t="shared" si="27"/>
        <v>Male</v>
      </c>
      <c r="C320" s="8">
        <v>38</v>
      </c>
      <c r="D320" t="str">
        <f t="shared" si="28"/>
        <v>Young</v>
      </c>
      <c r="E320">
        <v>3</v>
      </c>
      <c r="F320" t="str">
        <f>HLOOKUP(E320, LookUP_Table!$A$6:$D$7, 2, FALSE)</f>
        <v>Graduate</v>
      </c>
      <c r="G320" t="str">
        <f>IFERROR(VLOOKUP(E320, LookUP_Table!$A$1:$B$4, 2, FALSE), "")</f>
        <v>Graduate</v>
      </c>
      <c r="H320">
        <v>0</v>
      </c>
      <c r="I320">
        <v>0</v>
      </c>
      <c r="J320" t="str">
        <f t="shared" si="24"/>
        <v>Non-Smoker</v>
      </c>
      <c r="K320">
        <v>0</v>
      </c>
      <c r="L320">
        <v>0</v>
      </c>
      <c r="M320">
        <v>0</v>
      </c>
      <c r="N320">
        <v>0</v>
      </c>
      <c r="O320">
        <v>305</v>
      </c>
      <c r="P320" t="str">
        <f t="shared" si="25"/>
        <v>High</v>
      </c>
      <c r="Q320">
        <v>130</v>
      </c>
      <c r="R320">
        <v>95</v>
      </c>
      <c r="S320">
        <v>23.1</v>
      </c>
      <c r="T320" t="str">
        <f t="shared" si="26"/>
        <v>Normal</v>
      </c>
      <c r="U320">
        <v>65</v>
      </c>
      <c r="V320">
        <v>78</v>
      </c>
      <c r="W320" t="str">
        <f t="shared" si="29"/>
        <v>Normal</v>
      </c>
      <c r="X320">
        <v>1</v>
      </c>
    </row>
    <row r="321" spans="1:24" ht="14.5" thickBot="1" x14ac:dyDescent="0.35">
      <c r="A321">
        <v>1</v>
      </c>
      <c r="B321" t="str">
        <f t="shared" si="27"/>
        <v>Male</v>
      </c>
      <c r="C321" s="8">
        <v>38</v>
      </c>
      <c r="D321" t="str">
        <f t="shared" si="28"/>
        <v>Young</v>
      </c>
      <c r="E321">
        <v>4</v>
      </c>
      <c r="F321" t="str">
        <f>HLOOKUP(E321, LookUP_Table!$A$6:$D$7, 2, FALSE)</f>
        <v>Post Graduate</v>
      </c>
      <c r="G321" t="str">
        <f>IFERROR(VLOOKUP(E321, LookUP_Table!$A$1:$B$4, 2, FALSE), "")</f>
        <v>Post Graduate</v>
      </c>
      <c r="H321">
        <v>0</v>
      </c>
      <c r="I321">
        <v>0</v>
      </c>
      <c r="J321" t="str">
        <f t="shared" si="24"/>
        <v>Non-Smoker</v>
      </c>
      <c r="K321">
        <v>0</v>
      </c>
      <c r="L321">
        <v>0</v>
      </c>
      <c r="M321">
        <v>0</v>
      </c>
      <c r="N321">
        <v>0</v>
      </c>
      <c r="O321">
        <v>328</v>
      </c>
      <c r="P321" t="str">
        <f t="shared" si="25"/>
        <v>High</v>
      </c>
      <c r="Q321">
        <v>124</v>
      </c>
      <c r="R321">
        <v>82</v>
      </c>
      <c r="S321">
        <v>29.08</v>
      </c>
      <c r="T321" t="str">
        <f t="shared" si="26"/>
        <v>Overweight</v>
      </c>
      <c r="U321">
        <v>82</v>
      </c>
      <c r="V321">
        <v>69</v>
      </c>
      <c r="W321" t="str">
        <f t="shared" si="29"/>
        <v>Normal</v>
      </c>
      <c r="X321">
        <v>0</v>
      </c>
    </row>
    <row r="322" spans="1:24" ht="14.5" thickBot="1" x14ac:dyDescent="0.35">
      <c r="A322">
        <v>1</v>
      </c>
      <c r="B322" t="str">
        <f t="shared" si="27"/>
        <v>Male</v>
      </c>
      <c r="C322" s="8">
        <v>38</v>
      </c>
      <c r="D322" t="str">
        <f t="shared" si="28"/>
        <v>Young</v>
      </c>
      <c r="E322">
        <v>2</v>
      </c>
      <c r="F322" t="str">
        <f>HLOOKUP(E322, LookUP_Table!$A$6:$D$7, 2, FALSE)</f>
        <v>Secondary</v>
      </c>
      <c r="G322" t="str">
        <f>IFERROR(VLOOKUP(E322, LookUP_Table!$A$1:$B$4, 2, FALSE), "")</f>
        <v>Secondary</v>
      </c>
      <c r="H322">
        <v>1</v>
      </c>
      <c r="I322">
        <v>50</v>
      </c>
      <c r="J322" t="str">
        <f t="shared" ref="J322:J385" si="30">IF(I322&gt;0,"Smoker","Non-Smoker")</f>
        <v>Smoker</v>
      </c>
      <c r="K322">
        <v>0</v>
      </c>
      <c r="L322">
        <v>0</v>
      </c>
      <c r="M322">
        <v>0</v>
      </c>
      <c r="N322">
        <v>0</v>
      </c>
      <c r="O322">
        <v>300</v>
      </c>
      <c r="P322" t="str">
        <f t="shared" ref="P322:P385" si="31">IF(O322&gt;240,"High","Normal")</f>
        <v>High</v>
      </c>
      <c r="Q322">
        <v>120</v>
      </c>
      <c r="R322">
        <v>74</v>
      </c>
      <c r="S322">
        <v>28.74</v>
      </c>
      <c r="T322" t="str">
        <f t="shared" ref="T322:T385" si="32">IF(S322&lt;18.5,"Underweight",
IF(S322&lt;25,"Normal",
IF(S322&lt;30,"Overweight","Obese")))</f>
        <v>Overweight</v>
      </c>
      <c r="U322">
        <v>70</v>
      </c>
      <c r="V322">
        <v>78</v>
      </c>
      <c r="W322" t="str">
        <f t="shared" si="29"/>
        <v>Normal</v>
      </c>
      <c r="X322">
        <v>0</v>
      </c>
    </row>
    <row r="323" spans="1:24" ht="14.5" thickBot="1" x14ac:dyDescent="0.35">
      <c r="A323">
        <v>0</v>
      </c>
      <c r="B323" t="str">
        <f t="shared" ref="B323:B386" si="33">IF(A323=0,"Female","Male")</f>
        <v>Female</v>
      </c>
      <c r="C323" s="8">
        <v>38</v>
      </c>
      <c r="D323" t="str">
        <f t="shared" ref="D323:D386" si="34">IF(C323&lt;40,"Young",
IF(C323&lt;55,"Middle Age","Senior"))</f>
        <v>Young</v>
      </c>
      <c r="E323">
        <v>2</v>
      </c>
      <c r="F323" t="str">
        <f>HLOOKUP(E323, LookUP_Table!$A$6:$D$7, 2, FALSE)</f>
        <v>Secondary</v>
      </c>
      <c r="G323" t="str">
        <f>IFERROR(VLOOKUP(E323, LookUP_Table!$A$1:$B$4, 2, FALSE), "")</f>
        <v>Secondary</v>
      </c>
      <c r="H323">
        <v>1</v>
      </c>
      <c r="I323">
        <v>10</v>
      </c>
      <c r="J323" t="str">
        <f t="shared" si="30"/>
        <v>Smoker</v>
      </c>
      <c r="K323">
        <v>0</v>
      </c>
      <c r="L323">
        <v>0</v>
      </c>
      <c r="M323">
        <v>0</v>
      </c>
      <c r="N323">
        <v>0</v>
      </c>
      <c r="O323">
        <v>309</v>
      </c>
      <c r="P323" t="str">
        <f t="shared" si="31"/>
        <v>High</v>
      </c>
      <c r="Q323">
        <v>113</v>
      </c>
      <c r="R323">
        <v>68</v>
      </c>
      <c r="S323">
        <v>21.35</v>
      </c>
      <c r="T323" t="str">
        <f t="shared" si="32"/>
        <v>Normal</v>
      </c>
      <c r="U323">
        <v>60</v>
      </c>
      <c r="V323">
        <v>75</v>
      </c>
      <c r="W323" t="str">
        <f t="shared" ref="W323:W386" si="35">IF(V323 &lt; 100, "Normal", IF(V323 &lt;= 125, "Prediabetes", "Diabetes"))</f>
        <v>Normal</v>
      </c>
      <c r="X323">
        <v>1</v>
      </c>
    </row>
    <row r="324" spans="1:24" ht="14.5" thickBot="1" x14ac:dyDescent="0.35">
      <c r="A324">
        <v>1</v>
      </c>
      <c r="B324" t="str">
        <f t="shared" si="33"/>
        <v>Male</v>
      </c>
      <c r="C324" s="8">
        <v>38</v>
      </c>
      <c r="D324" t="str">
        <f t="shared" si="34"/>
        <v>Young</v>
      </c>
      <c r="E324">
        <v>4</v>
      </c>
      <c r="F324" t="str">
        <f>HLOOKUP(E324, LookUP_Table!$A$6:$D$7, 2, FALSE)</f>
        <v>Post Graduate</v>
      </c>
      <c r="G324" t="str">
        <f>IFERROR(VLOOKUP(E324, LookUP_Table!$A$1:$B$4, 2, FALSE), "")</f>
        <v>Post Graduate</v>
      </c>
      <c r="H324">
        <v>0</v>
      </c>
      <c r="I324">
        <v>0</v>
      </c>
      <c r="J324" t="str">
        <f t="shared" si="30"/>
        <v>Non-Smoker</v>
      </c>
      <c r="K324">
        <v>0</v>
      </c>
      <c r="L324">
        <v>0</v>
      </c>
      <c r="M324">
        <v>0</v>
      </c>
      <c r="N324">
        <v>0</v>
      </c>
      <c r="O324">
        <v>240</v>
      </c>
      <c r="P324" t="str">
        <f t="shared" si="31"/>
        <v>Normal</v>
      </c>
      <c r="Q324">
        <v>122.5</v>
      </c>
      <c r="R324">
        <v>80</v>
      </c>
      <c r="S324">
        <v>23.97</v>
      </c>
      <c r="T324" t="str">
        <f t="shared" si="32"/>
        <v>Normal</v>
      </c>
      <c r="U324">
        <v>60</v>
      </c>
      <c r="V324">
        <v>43</v>
      </c>
      <c r="W324" t="str">
        <f t="shared" si="35"/>
        <v>Normal</v>
      </c>
      <c r="X324">
        <v>0</v>
      </c>
    </row>
    <row r="325" spans="1:24" ht="14.5" thickBot="1" x14ac:dyDescent="0.35">
      <c r="A325">
        <v>1</v>
      </c>
      <c r="B325" t="str">
        <f t="shared" si="33"/>
        <v>Male</v>
      </c>
      <c r="C325" s="8">
        <v>38</v>
      </c>
      <c r="D325" t="str">
        <f t="shared" si="34"/>
        <v>Young</v>
      </c>
      <c r="E325">
        <v>3</v>
      </c>
      <c r="F325" t="str">
        <f>HLOOKUP(E325, LookUP_Table!$A$6:$D$7, 2, FALSE)</f>
        <v>Graduate</v>
      </c>
      <c r="G325" t="str">
        <f>IFERROR(VLOOKUP(E325, LookUP_Table!$A$1:$B$4, 2, FALSE), "")</f>
        <v>Graduate</v>
      </c>
      <c r="H325">
        <v>1</v>
      </c>
      <c r="I325">
        <v>20</v>
      </c>
      <c r="J325" t="str">
        <f t="shared" si="30"/>
        <v>Smoker</v>
      </c>
      <c r="K325">
        <v>0</v>
      </c>
      <c r="L325">
        <v>0</v>
      </c>
      <c r="M325">
        <v>0</v>
      </c>
      <c r="N325">
        <v>0</v>
      </c>
      <c r="O325">
        <v>238</v>
      </c>
      <c r="P325" t="str">
        <f t="shared" si="31"/>
        <v>Normal</v>
      </c>
      <c r="Q325">
        <v>119</v>
      </c>
      <c r="R325">
        <v>83.5</v>
      </c>
      <c r="S325">
        <v>24.18</v>
      </c>
      <c r="T325" t="str">
        <f t="shared" si="32"/>
        <v>Normal</v>
      </c>
      <c r="U325">
        <v>68</v>
      </c>
      <c r="V325">
        <v>71</v>
      </c>
      <c r="W325" t="str">
        <f t="shared" si="35"/>
        <v>Normal</v>
      </c>
      <c r="X325">
        <v>0</v>
      </c>
    </row>
    <row r="326" spans="1:24" ht="14.5" thickBot="1" x14ac:dyDescent="0.35">
      <c r="A326">
        <v>0</v>
      </c>
      <c r="B326" t="str">
        <f t="shared" si="33"/>
        <v>Female</v>
      </c>
      <c r="C326" s="8">
        <v>38</v>
      </c>
      <c r="D326" t="str">
        <f t="shared" si="34"/>
        <v>Young</v>
      </c>
      <c r="E326">
        <v>4</v>
      </c>
      <c r="F326" t="str">
        <f>HLOOKUP(E326, LookUP_Table!$A$6:$D$7, 2, FALSE)</f>
        <v>Post Graduate</v>
      </c>
      <c r="G326" t="str">
        <f>IFERROR(VLOOKUP(E326, LookUP_Table!$A$1:$B$4, 2, FALSE), "")</f>
        <v>Post Graduate</v>
      </c>
      <c r="H326">
        <v>1</v>
      </c>
      <c r="I326">
        <v>15</v>
      </c>
      <c r="J326" t="str">
        <f t="shared" si="30"/>
        <v>Smoker</v>
      </c>
      <c r="K326">
        <v>0</v>
      </c>
      <c r="L326">
        <v>0</v>
      </c>
      <c r="M326">
        <v>0</v>
      </c>
      <c r="N326">
        <v>0</v>
      </c>
      <c r="O326">
        <v>178</v>
      </c>
      <c r="P326" t="str">
        <f t="shared" si="31"/>
        <v>Normal</v>
      </c>
      <c r="Q326">
        <v>96</v>
      </c>
      <c r="R326">
        <v>67</v>
      </c>
      <c r="S326">
        <v>20.399999999999999</v>
      </c>
      <c r="T326" t="str">
        <f t="shared" si="32"/>
        <v>Normal</v>
      </c>
      <c r="U326">
        <v>65</v>
      </c>
      <c r="V326">
        <v>82</v>
      </c>
      <c r="W326" t="str">
        <f t="shared" si="35"/>
        <v>Normal</v>
      </c>
      <c r="X326">
        <v>0</v>
      </c>
    </row>
    <row r="327" spans="1:24" ht="14.5" thickBot="1" x14ac:dyDescent="0.35">
      <c r="A327">
        <v>0</v>
      </c>
      <c r="B327" t="str">
        <f t="shared" si="33"/>
        <v>Female</v>
      </c>
      <c r="C327" s="8">
        <v>38</v>
      </c>
      <c r="D327" t="str">
        <f t="shared" si="34"/>
        <v>Young</v>
      </c>
      <c r="E327">
        <v>1</v>
      </c>
      <c r="F327" t="str">
        <f>HLOOKUP(E327, LookUP_Table!$A$6:$D$7, 2, FALSE)</f>
        <v>Primary</v>
      </c>
      <c r="G327" t="str">
        <f>IFERROR(VLOOKUP(E327, LookUP_Table!$A$1:$B$4, 2, FALSE), "")</f>
        <v>Primary</v>
      </c>
      <c r="H327">
        <v>1</v>
      </c>
      <c r="I327">
        <v>10</v>
      </c>
      <c r="J327" t="str">
        <f t="shared" si="30"/>
        <v>Smoker</v>
      </c>
      <c r="K327">
        <v>0</v>
      </c>
      <c r="L327">
        <v>0</v>
      </c>
      <c r="M327">
        <v>0</v>
      </c>
      <c r="N327">
        <v>0</v>
      </c>
      <c r="O327">
        <v>220</v>
      </c>
      <c r="P327" t="str">
        <f t="shared" si="31"/>
        <v>Normal</v>
      </c>
      <c r="Q327">
        <v>114</v>
      </c>
      <c r="R327">
        <v>73.5</v>
      </c>
      <c r="S327">
        <v>27.06</v>
      </c>
      <c r="T327" t="str">
        <f t="shared" si="32"/>
        <v>Overweight</v>
      </c>
      <c r="U327">
        <v>68</v>
      </c>
      <c r="V327">
        <v>67</v>
      </c>
      <c r="W327" t="str">
        <f t="shared" si="35"/>
        <v>Normal</v>
      </c>
      <c r="X327">
        <v>0</v>
      </c>
    </row>
    <row r="328" spans="1:24" ht="14.5" thickBot="1" x14ac:dyDescent="0.35">
      <c r="A328">
        <v>1</v>
      </c>
      <c r="B328" t="str">
        <f t="shared" si="33"/>
        <v>Male</v>
      </c>
      <c r="C328" s="8">
        <v>38</v>
      </c>
      <c r="D328" t="str">
        <f t="shared" si="34"/>
        <v>Young</v>
      </c>
      <c r="E328">
        <v>2</v>
      </c>
      <c r="F328" t="str">
        <f>HLOOKUP(E328, LookUP_Table!$A$6:$D$7, 2, FALSE)</f>
        <v>Secondary</v>
      </c>
      <c r="G328" t="str">
        <f>IFERROR(VLOOKUP(E328, LookUP_Table!$A$1:$B$4, 2, FALSE), "")</f>
        <v>Secondary</v>
      </c>
      <c r="H328">
        <v>0</v>
      </c>
      <c r="I328">
        <v>0</v>
      </c>
      <c r="J328" t="str">
        <f t="shared" si="30"/>
        <v>Non-Smoker</v>
      </c>
      <c r="K328">
        <v>0</v>
      </c>
      <c r="L328">
        <v>0</v>
      </c>
      <c r="M328">
        <v>0</v>
      </c>
      <c r="N328">
        <v>0</v>
      </c>
      <c r="O328">
        <v>148</v>
      </c>
      <c r="P328" t="str">
        <f t="shared" si="31"/>
        <v>Normal</v>
      </c>
      <c r="Q328">
        <v>115</v>
      </c>
      <c r="R328">
        <v>75</v>
      </c>
      <c r="S328">
        <v>26.49</v>
      </c>
      <c r="T328" t="str">
        <f t="shared" si="32"/>
        <v>Overweight</v>
      </c>
      <c r="U328">
        <v>75</v>
      </c>
      <c r="V328">
        <v>74</v>
      </c>
      <c r="W328" t="str">
        <f t="shared" si="35"/>
        <v>Normal</v>
      </c>
      <c r="X328">
        <v>0</v>
      </c>
    </row>
    <row r="329" spans="1:24" ht="14.5" thickBot="1" x14ac:dyDescent="0.35">
      <c r="A329">
        <v>1</v>
      </c>
      <c r="B329" t="str">
        <f t="shared" si="33"/>
        <v>Male</v>
      </c>
      <c r="C329" s="8">
        <v>38</v>
      </c>
      <c r="D329" t="str">
        <f t="shared" si="34"/>
        <v>Young</v>
      </c>
      <c r="E329">
        <v>1</v>
      </c>
      <c r="F329" t="str">
        <f>HLOOKUP(E329, LookUP_Table!$A$6:$D$7, 2, FALSE)</f>
        <v>Primary</v>
      </c>
      <c r="G329" t="str">
        <f>IFERROR(VLOOKUP(E329, LookUP_Table!$A$1:$B$4, 2, FALSE), "")</f>
        <v>Primary</v>
      </c>
      <c r="H329">
        <v>0</v>
      </c>
      <c r="I329">
        <v>0</v>
      </c>
      <c r="J329" t="str">
        <f t="shared" si="30"/>
        <v>Non-Smoker</v>
      </c>
      <c r="K329">
        <v>0</v>
      </c>
      <c r="L329">
        <v>0</v>
      </c>
      <c r="M329">
        <v>0</v>
      </c>
      <c r="N329">
        <v>0</v>
      </c>
      <c r="O329">
        <v>203</v>
      </c>
      <c r="P329" t="str">
        <f t="shared" si="31"/>
        <v>Normal</v>
      </c>
      <c r="Q329">
        <v>116</v>
      </c>
      <c r="R329">
        <v>81</v>
      </c>
      <c r="S329">
        <v>30.19</v>
      </c>
      <c r="T329" t="str">
        <f t="shared" si="32"/>
        <v>Obese</v>
      </c>
      <c r="U329">
        <v>62</v>
      </c>
      <c r="V329">
        <v>80</v>
      </c>
      <c r="W329" t="str">
        <f t="shared" si="35"/>
        <v>Normal</v>
      </c>
      <c r="X329">
        <v>1</v>
      </c>
    </row>
    <row r="330" spans="1:24" ht="14.5" thickBot="1" x14ac:dyDescent="0.35">
      <c r="A330">
        <v>0</v>
      </c>
      <c r="B330" t="str">
        <f t="shared" si="33"/>
        <v>Female</v>
      </c>
      <c r="C330" s="8">
        <v>38</v>
      </c>
      <c r="D330" t="str">
        <f t="shared" si="34"/>
        <v>Young</v>
      </c>
      <c r="E330">
        <v>2</v>
      </c>
      <c r="F330" t="str">
        <f>HLOOKUP(E330, LookUP_Table!$A$6:$D$7, 2, FALSE)</f>
        <v>Secondary</v>
      </c>
      <c r="G330" t="str">
        <f>IFERROR(VLOOKUP(E330, LookUP_Table!$A$1:$B$4, 2, FALSE), "")</f>
        <v>Secondary</v>
      </c>
      <c r="H330">
        <v>1</v>
      </c>
      <c r="I330">
        <v>10</v>
      </c>
      <c r="J330" t="str">
        <f t="shared" si="30"/>
        <v>Smoker</v>
      </c>
      <c r="K330">
        <v>0</v>
      </c>
      <c r="L330">
        <v>0</v>
      </c>
      <c r="M330">
        <v>0</v>
      </c>
      <c r="N330">
        <v>0</v>
      </c>
      <c r="O330">
        <v>186</v>
      </c>
      <c r="P330" t="str">
        <f t="shared" si="31"/>
        <v>Normal</v>
      </c>
      <c r="Q330">
        <v>166</v>
      </c>
      <c r="R330">
        <v>96</v>
      </c>
      <c r="S330">
        <v>33.14</v>
      </c>
      <c r="T330" t="str">
        <f t="shared" si="32"/>
        <v>Obese</v>
      </c>
      <c r="U330">
        <v>75</v>
      </c>
      <c r="V330">
        <v>75</v>
      </c>
      <c r="W330" t="str">
        <f t="shared" si="35"/>
        <v>Normal</v>
      </c>
      <c r="X330">
        <v>0</v>
      </c>
    </row>
    <row r="331" spans="1:24" ht="14.5" thickBot="1" x14ac:dyDescent="0.35">
      <c r="A331">
        <v>1</v>
      </c>
      <c r="B331" t="str">
        <f t="shared" si="33"/>
        <v>Male</v>
      </c>
      <c r="C331" s="8">
        <v>38</v>
      </c>
      <c r="D331" t="str">
        <f t="shared" si="34"/>
        <v>Young</v>
      </c>
      <c r="E331">
        <v>2</v>
      </c>
      <c r="F331" t="str">
        <f>HLOOKUP(E331, LookUP_Table!$A$6:$D$7, 2, FALSE)</f>
        <v>Secondary</v>
      </c>
      <c r="G331" t="str">
        <f>IFERROR(VLOOKUP(E331, LookUP_Table!$A$1:$B$4, 2, FALSE), "")</f>
        <v>Secondary</v>
      </c>
      <c r="H331">
        <v>0</v>
      </c>
      <c r="I331">
        <v>0</v>
      </c>
      <c r="J331" t="str">
        <f t="shared" si="30"/>
        <v>Non-Smoker</v>
      </c>
      <c r="K331">
        <v>0</v>
      </c>
      <c r="L331">
        <v>0</v>
      </c>
      <c r="M331">
        <v>0</v>
      </c>
      <c r="N331">
        <v>0</v>
      </c>
      <c r="O331">
        <v>278</v>
      </c>
      <c r="P331" t="str">
        <f t="shared" si="31"/>
        <v>High</v>
      </c>
      <c r="Q331">
        <v>136.5</v>
      </c>
      <c r="R331">
        <v>87</v>
      </c>
      <c r="S331">
        <v>29.84</v>
      </c>
      <c r="T331" t="str">
        <f t="shared" si="32"/>
        <v>Overweight</v>
      </c>
      <c r="U331">
        <v>91</v>
      </c>
      <c r="V331">
        <v>75</v>
      </c>
      <c r="W331" t="str">
        <f t="shared" si="35"/>
        <v>Normal</v>
      </c>
      <c r="X331">
        <v>0</v>
      </c>
    </row>
    <row r="332" spans="1:24" ht="14.5" thickBot="1" x14ac:dyDescent="0.35">
      <c r="A332">
        <v>1</v>
      </c>
      <c r="B332" t="str">
        <f t="shared" si="33"/>
        <v>Male</v>
      </c>
      <c r="C332" s="8">
        <v>38</v>
      </c>
      <c r="D332" t="str">
        <f t="shared" si="34"/>
        <v>Young</v>
      </c>
      <c r="E332">
        <v>1</v>
      </c>
      <c r="F332" t="str">
        <f>HLOOKUP(E332, LookUP_Table!$A$6:$D$7, 2, FALSE)</f>
        <v>Primary</v>
      </c>
      <c r="G332" t="str">
        <f>IFERROR(VLOOKUP(E332, LookUP_Table!$A$1:$B$4, 2, FALSE), "")</f>
        <v>Primary</v>
      </c>
      <c r="H332">
        <v>1</v>
      </c>
      <c r="I332">
        <v>20</v>
      </c>
      <c r="J332" t="str">
        <f t="shared" si="30"/>
        <v>Smoker</v>
      </c>
      <c r="K332">
        <v>0</v>
      </c>
      <c r="L332">
        <v>0</v>
      </c>
      <c r="M332">
        <v>0</v>
      </c>
      <c r="N332">
        <v>0</v>
      </c>
      <c r="O332">
        <v>113</v>
      </c>
      <c r="P332" t="str">
        <f t="shared" si="31"/>
        <v>Normal</v>
      </c>
      <c r="Q332">
        <v>120</v>
      </c>
      <c r="R332">
        <v>83.5</v>
      </c>
      <c r="S332">
        <v>30.34</v>
      </c>
      <c r="T332" t="str">
        <f t="shared" si="32"/>
        <v>Obese</v>
      </c>
      <c r="U332">
        <v>78</v>
      </c>
      <c r="V332">
        <v>85</v>
      </c>
      <c r="W332" t="str">
        <f t="shared" si="35"/>
        <v>Normal</v>
      </c>
      <c r="X332">
        <v>0</v>
      </c>
    </row>
    <row r="333" spans="1:24" ht="14.5" thickBot="1" x14ac:dyDescent="0.35">
      <c r="A333">
        <v>0</v>
      </c>
      <c r="B333" t="str">
        <f t="shared" si="33"/>
        <v>Female</v>
      </c>
      <c r="C333" s="8">
        <v>38</v>
      </c>
      <c r="D333" t="str">
        <f t="shared" si="34"/>
        <v>Young</v>
      </c>
      <c r="E333">
        <v>3</v>
      </c>
      <c r="F333" t="str">
        <f>HLOOKUP(E333, LookUP_Table!$A$6:$D$7, 2, FALSE)</f>
        <v>Graduate</v>
      </c>
      <c r="G333" t="str">
        <f>IFERROR(VLOOKUP(E333, LookUP_Table!$A$1:$B$4, 2, FALSE), "")</f>
        <v>Graduate</v>
      </c>
      <c r="H333">
        <v>0</v>
      </c>
      <c r="I333">
        <v>0</v>
      </c>
      <c r="J333" t="str">
        <f t="shared" si="30"/>
        <v>Non-Smoker</v>
      </c>
      <c r="K333">
        <v>0</v>
      </c>
      <c r="L333">
        <v>0</v>
      </c>
      <c r="M333">
        <v>0</v>
      </c>
      <c r="N333">
        <v>0</v>
      </c>
      <c r="O333">
        <v>155</v>
      </c>
      <c r="P333" t="str">
        <f t="shared" si="31"/>
        <v>Normal</v>
      </c>
      <c r="Q333">
        <v>122</v>
      </c>
      <c r="R333">
        <v>81</v>
      </c>
      <c r="S333">
        <v>27.14</v>
      </c>
      <c r="T333" t="str">
        <f t="shared" si="32"/>
        <v>Overweight</v>
      </c>
      <c r="U333">
        <v>64</v>
      </c>
      <c r="V333">
        <v>70</v>
      </c>
      <c r="W333" t="str">
        <f t="shared" si="35"/>
        <v>Normal</v>
      </c>
      <c r="X333">
        <v>0</v>
      </c>
    </row>
    <row r="334" spans="1:24" ht="14.5" thickBot="1" x14ac:dyDescent="0.35">
      <c r="A334">
        <v>1</v>
      </c>
      <c r="B334" t="str">
        <f t="shared" si="33"/>
        <v>Male</v>
      </c>
      <c r="C334" s="8">
        <v>38</v>
      </c>
      <c r="D334" t="str">
        <f t="shared" si="34"/>
        <v>Young</v>
      </c>
      <c r="E334">
        <v>2</v>
      </c>
      <c r="F334" t="str">
        <f>HLOOKUP(E334, LookUP_Table!$A$6:$D$7, 2, FALSE)</f>
        <v>Secondary</v>
      </c>
      <c r="G334" t="str">
        <f>IFERROR(VLOOKUP(E334, LookUP_Table!$A$1:$B$4, 2, FALSE), "")</f>
        <v>Secondary</v>
      </c>
      <c r="H334">
        <v>0</v>
      </c>
      <c r="I334">
        <v>0</v>
      </c>
      <c r="J334" t="str">
        <f t="shared" si="30"/>
        <v>Non-Smoker</v>
      </c>
      <c r="K334">
        <v>0</v>
      </c>
      <c r="L334">
        <v>0</v>
      </c>
      <c r="M334">
        <v>0</v>
      </c>
      <c r="N334">
        <v>0</v>
      </c>
      <c r="O334">
        <v>150</v>
      </c>
      <c r="P334" t="str">
        <f t="shared" si="31"/>
        <v>Normal</v>
      </c>
      <c r="Q334">
        <v>109</v>
      </c>
      <c r="R334">
        <v>75</v>
      </c>
      <c r="S334">
        <v>21.43</v>
      </c>
      <c r="T334" t="str">
        <f t="shared" si="32"/>
        <v>Normal</v>
      </c>
      <c r="U334">
        <v>64</v>
      </c>
      <c r="V334">
        <v>67</v>
      </c>
      <c r="W334" t="str">
        <f t="shared" si="35"/>
        <v>Normal</v>
      </c>
      <c r="X334">
        <v>0</v>
      </c>
    </row>
    <row r="335" spans="1:24" ht="14.5" thickBot="1" x14ac:dyDescent="0.35">
      <c r="A335">
        <v>0</v>
      </c>
      <c r="B335" t="str">
        <f t="shared" si="33"/>
        <v>Female</v>
      </c>
      <c r="C335" s="8">
        <v>38</v>
      </c>
      <c r="D335" t="str">
        <f t="shared" si="34"/>
        <v>Young</v>
      </c>
      <c r="E335">
        <v>2</v>
      </c>
      <c r="F335" t="str">
        <f>HLOOKUP(E335, LookUP_Table!$A$6:$D$7, 2, FALSE)</f>
        <v>Secondary</v>
      </c>
      <c r="G335" t="str">
        <f>IFERROR(VLOOKUP(E335, LookUP_Table!$A$1:$B$4, 2, FALSE), "")</f>
        <v>Secondary</v>
      </c>
      <c r="H335">
        <v>1</v>
      </c>
      <c r="I335">
        <v>20</v>
      </c>
      <c r="J335" t="str">
        <f t="shared" si="30"/>
        <v>Smoker</v>
      </c>
      <c r="K335">
        <v>0</v>
      </c>
      <c r="L335">
        <v>0</v>
      </c>
      <c r="M335">
        <v>0</v>
      </c>
      <c r="N335">
        <v>0</v>
      </c>
      <c r="O335">
        <v>195</v>
      </c>
      <c r="P335" t="str">
        <f t="shared" si="31"/>
        <v>Normal</v>
      </c>
      <c r="Q335">
        <v>116</v>
      </c>
      <c r="R335">
        <v>72</v>
      </c>
      <c r="S335">
        <v>24.45</v>
      </c>
      <c r="T335" t="str">
        <f t="shared" si="32"/>
        <v>Normal</v>
      </c>
      <c r="U335">
        <v>75</v>
      </c>
      <c r="V335">
        <v>90</v>
      </c>
      <c r="W335" t="str">
        <f t="shared" si="35"/>
        <v>Normal</v>
      </c>
      <c r="X335">
        <v>0</v>
      </c>
    </row>
    <row r="336" spans="1:24" ht="14.5" thickBot="1" x14ac:dyDescent="0.35">
      <c r="A336">
        <v>1</v>
      </c>
      <c r="B336" t="str">
        <f t="shared" si="33"/>
        <v>Male</v>
      </c>
      <c r="C336" s="8">
        <v>38</v>
      </c>
      <c r="D336" t="str">
        <f t="shared" si="34"/>
        <v>Young</v>
      </c>
      <c r="E336">
        <v>1</v>
      </c>
      <c r="F336" t="str">
        <f>HLOOKUP(E336, LookUP_Table!$A$6:$D$7, 2, FALSE)</f>
        <v>Primary</v>
      </c>
      <c r="G336" t="str">
        <f>IFERROR(VLOOKUP(E336, LookUP_Table!$A$1:$B$4, 2, FALSE), "")</f>
        <v>Primary</v>
      </c>
      <c r="H336">
        <v>0</v>
      </c>
      <c r="I336">
        <v>0</v>
      </c>
      <c r="J336" t="str">
        <f t="shared" si="30"/>
        <v>Non-Smoker</v>
      </c>
      <c r="K336">
        <v>0</v>
      </c>
      <c r="L336">
        <v>0</v>
      </c>
      <c r="M336">
        <v>0</v>
      </c>
      <c r="N336">
        <v>0</v>
      </c>
      <c r="O336">
        <v>205</v>
      </c>
      <c r="P336" t="str">
        <f t="shared" si="31"/>
        <v>Normal</v>
      </c>
      <c r="Q336">
        <v>125</v>
      </c>
      <c r="R336">
        <v>85</v>
      </c>
      <c r="S336">
        <v>28.03</v>
      </c>
      <c r="T336" t="str">
        <f t="shared" si="32"/>
        <v>Overweight</v>
      </c>
      <c r="U336">
        <v>60</v>
      </c>
      <c r="V336">
        <v>84</v>
      </c>
      <c r="W336" t="str">
        <f t="shared" si="35"/>
        <v>Normal</v>
      </c>
      <c r="X336">
        <v>0</v>
      </c>
    </row>
    <row r="337" spans="1:24" ht="14.5" thickBot="1" x14ac:dyDescent="0.35">
      <c r="A337">
        <v>0</v>
      </c>
      <c r="B337" t="str">
        <f t="shared" si="33"/>
        <v>Female</v>
      </c>
      <c r="C337" s="8">
        <v>38</v>
      </c>
      <c r="D337" t="str">
        <f t="shared" si="34"/>
        <v>Young</v>
      </c>
      <c r="E337">
        <v>2</v>
      </c>
      <c r="F337" t="str">
        <f>HLOOKUP(E337, LookUP_Table!$A$6:$D$7, 2, FALSE)</f>
        <v>Secondary</v>
      </c>
      <c r="G337" t="str">
        <f>IFERROR(VLOOKUP(E337, LookUP_Table!$A$1:$B$4, 2, FALSE), "")</f>
        <v>Secondary</v>
      </c>
      <c r="H337">
        <v>0</v>
      </c>
      <c r="I337">
        <v>0</v>
      </c>
      <c r="J337" t="str">
        <f t="shared" si="30"/>
        <v>Non-Smoker</v>
      </c>
      <c r="K337">
        <v>0</v>
      </c>
      <c r="L337">
        <v>0</v>
      </c>
      <c r="M337">
        <v>0</v>
      </c>
      <c r="N337">
        <v>0</v>
      </c>
      <c r="O337">
        <v>215</v>
      </c>
      <c r="P337" t="str">
        <f t="shared" si="31"/>
        <v>Normal</v>
      </c>
      <c r="Q337">
        <v>106.5</v>
      </c>
      <c r="R337">
        <v>75</v>
      </c>
      <c r="S337">
        <v>23.82</v>
      </c>
      <c r="T337" t="str">
        <f t="shared" si="32"/>
        <v>Normal</v>
      </c>
      <c r="U337">
        <v>60</v>
      </c>
      <c r="V337">
        <v>67</v>
      </c>
      <c r="W337" t="str">
        <f t="shared" si="35"/>
        <v>Normal</v>
      </c>
      <c r="X337">
        <v>0</v>
      </c>
    </row>
    <row r="338" spans="1:24" ht="14.5" thickBot="1" x14ac:dyDescent="0.35">
      <c r="A338">
        <v>1</v>
      </c>
      <c r="B338" t="str">
        <f t="shared" si="33"/>
        <v>Male</v>
      </c>
      <c r="C338" s="8">
        <v>38</v>
      </c>
      <c r="D338" t="str">
        <f t="shared" si="34"/>
        <v>Young</v>
      </c>
      <c r="E338">
        <v>4</v>
      </c>
      <c r="F338" t="str">
        <f>HLOOKUP(E338, LookUP_Table!$A$6:$D$7, 2, FALSE)</f>
        <v>Post Graduate</v>
      </c>
      <c r="G338" t="str">
        <f>IFERROR(VLOOKUP(E338, LookUP_Table!$A$1:$B$4, 2, FALSE), "")</f>
        <v>Post Graduate</v>
      </c>
      <c r="H338">
        <v>1</v>
      </c>
      <c r="I338">
        <v>20</v>
      </c>
      <c r="J338" t="str">
        <f t="shared" si="30"/>
        <v>Smoker</v>
      </c>
      <c r="K338">
        <v>0</v>
      </c>
      <c r="L338">
        <v>0</v>
      </c>
      <c r="M338">
        <v>0</v>
      </c>
      <c r="N338">
        <v>0</v>
      </c>
      <c r="O338">
        <v>215</v>
      </c>
      <c r="P338" t="str">
        <f t="shared" si="31"/>
        <v>Normal</v>
      </c>
      <c r="Q338">
        <v>110</v>
      </c>
      <c r="R338">
        <v>80</v>
      </c>
      <c r="S338">
        <v>25.80080075811421</v>
      </c>
      <c r="T338" t="str">
        <f t="shared" si="32"/>
        <v>Overweight</v>
      </c>
      <c r="U338">
        <v>100</v>
      </c>
      <c r="V338">
        <v>73</v>
      </c>
      <c r="W338" t="str">
        <f t="shared" si="35"/>
        <v>Normal</v>
      </c>
      <c r="X338">
        <v>0</v>
      </c>
    </row>
    <row r="339" spans="1:24" ht="14.5" thickBot="1" x14ac:dyDescent="0.35">
      <c r="A339">
        <v>0</v>
      </c>
      <c r="B339" t="str">
        <f t="shared" si="33"/>
        <v>Female</v>
      </c>
      <c r="C339" s="8">
        <v>38</v>
      </c>
      <c r="D339" t="str">
        <f t="shared" si="34"/>
        <v>Young</v>
      </c>
      <c r="E339">
        <v>2</v>
      </c>
      <c r="F339" t="str">
        <f>HLOOKUP(E339, LookUP_Table!$A$6:$D$7, 2, FALSE)</f>
        <v>Secondary</v>
      </c>
      <c r="G339" t="str">
        <f>IFERROR(VLOOKUP(E339, LookUP_Table!$A$1:$B$4, 2, FALSE), "")</f>
        <v>Secondary</v>
      </c>
      <c r="H339">
        <v>0</v>
      </c>
      <c r="I339">
        <v>0</v>
      </c>
      <c r="J339" t="str">
        <f t="shared" si="30"/>
        <v>Non-Smoker</v>
      </c>
      <c r="K339">
        <v>0</v>
      </c>
      <c r="L339">
        <v>0</v>
      </c>
      <c r="M339">
        <v>0</v>
      </c>
      <c r="N339">
        <v>0</v>
      </c>
      <c r="O339">
        <v>159</v>
      </c>
      <c r="P339" t="str">
        <f t="shared" si="31"/>
        <v>Normal</v>
      </c>
      <c r="Q339">
        <v>132</v>
      </c>
      <c r="R339">
        <v>85</v>
      </c>
      <c r="S339">
        <v>28.21</v>
      </c>
      <c r="T339" t="str">
        <f t="shared" si="32"/>
        <v>Overweight</v>
      </c>
      <c r="U339">
        <v>69</v>
      </c>
      <c r="V339">
        <v>76</v>
      </c>
      <c r="W339" t="str">
        <f t="shared" si="35"/>
        <v>Normal</v>
      </c>
      <c r="X339">
        <v>0</v>
      </c>
    </row>
    <row r="340" spans="1:24" ht="14.5" thickBot="1" x14ac:dyDescent="0.35">
      <c r="A340">
        <v>0</v>
      </c>
      <c r="B340" t="str">
        <f t="shared" si="33"/>
        <v>Female</v>
      </c>
      <c r="C340" s="8">
        <v>38</v>
      </c>
      <c r="D340" t="str">
        <f t="shared" si="34"/>
        <v>Young</v>
      </c>
      <c r="E340">
        <v>2</v>
      </c>
      <c r="F340" t="str">
        <f>HLOOKUP(E340, LookUP_Table!$A$6:$D$7, 2, FALSE)</f>
        <v>Secondary</v>
      </c>
      <c r="G340" t="str">
        <f>IFERROR(VLOOKUP(E340, LookUP_Table!$A$1:$B$4, 2, FALSE), "")</f>
        <v>Secondary</v>
      </c>
      <c r="H340">
        <v>1</v>
      </c>
      <c r="I340">
        <v>5</v>
      </c>
      <c r="J340" t="str">
        <f t="shared" si="30"/>
        <v>Smoker</v>
      </c>
      <c r="K340">
        <v>0</v>
      </c>
      <c r="L340">
        <v>0</v>
      </c>
      <c r="M340">
        <v>0</v>
      </c>
      <c r="N340">
        <v>0</v>
      </c>
      <c r="O340">
        <v>179</v>
      </c>
      <c r="P340" t="str">
        <f t="shared" si="31"/>
        <v>Normal</v>
      </c>
      <c r="Q340">
        <v>116.5</v>
      </c>
      <c r="R340">
        <v>72.5</v>
      </c>
      <c r="S340">
        <v>21.49</v>
      </c>
      <c r="T340" t="str">
        <f t="shared" si="32"/>
        <v>Normal</v>
      </c>
      <c r="U340">
        <v>70</v>
      </c>
      <c r="V340">
        <v>76</v>
      </c>
      <c r="W340" t="str">
        <f t="shared" si="35"/>
        <v>Normal</v>
      </c>
      <c r="X340">
        <v>0</v>
      </c>
    </row>
    <row r="341" spans="1:24" ht="14.5" thickBot="1" x14ac:dyDescent="0.35">
      <c r="A341">
        <v>1</v>
      </c>
      <c r="B341" t="str">
        <f t="shared" si="33"/>
        <v>Male</v>
      </c>
      <c r="C341" s="8">
        <v>38</v>
      </c>
      <c r="D341" t="str">
        <f t="shared" si="34"/>
        <v>Young</v>
      </c>
      <c r="E341">
        <v>1</v>
      </c>
      <c r="F341" t="str">
        <f>HLOOKUP(E341, LookUP_Table!$A$6:$D$7, 2, FALSE)</f>
        <v>Primary</v>
      </c>
      <c r="G341" t="str">
        <f>IFERROR(VLOOKUP(E341, LookUP_Table!$A$1:$B$4, 2, FALSE), "")</f>
        <v>Primary</v>
      </c>
      <c r="H341">
        <v>1</v>
      </c>
      <c r="I341">
        <v>20</v>
      </c>
      <c r="J341" t="str">
        <f t="shared" si="30"/>
        <v>Smoker</v>
      </c>
      <c r="K341">
        <v>0</v>
      </c>
      <c r="L341">
        <v>0</v>
      </c>
      <c r="M341">
        <v>0</v>
      </c>
      <c r="N341">
        <v>0</v>
      </c>
      <c r="O341">
        <v>265</v>
      </c>
      <c r="P341" t="str">
        <f t="shared" si="31"/>
        <v>High</v>
      </c>
      <c r="Q341">
        <v>123</v>
      </c>
      <c r="R341">
        <v>86</v>
      </c>
      <c r="S341">
        <v>28.88</v>
      </c>
      <c r="T341" t="str">
        <f t="shared" si="32"/>
        <v>Overweight</v>
      </c>
      <c r="U341">
        <v>85</v>
      </c>
      <c r="V341">
        <v>80</v>
      </c>
      <c r="W341" t="str">
        <f t="shared" si="35"/>
        <v>Normal</v>
      </c>
      <c r="X341">
        <v>0</v>
      </c>
    </row>
    <row r="342" spans="1:24" ht="14.5" thickBot="1" x14ac:dyDescent="0.35">
      <c r="A342">
        <v>0</v>
      </c>
      <c r="B342" t="str">
        <f t="shared" si="33"/>
        <v>Female</v>
      </c>
      <c r="C342" s="8">
        <v>38</v>
      </c>
      <c r="D342" t="str">
        <f t="shared" si="34"/>
        <v>Young</v>
      </c>
      <c r="E342">
        <v>1</v>
      </c>
      <c r="F342" t="str">
        <f>HLOOKUP(E342, LookUP_Table!$A$6:$D$7, 2, FALSE)</f>
        <v>Primary</v>
      </c>
      <c r="G342" t="str">
        <f>IFERROR(VLOOKUP(E342, LookUP_Table!$A$1:$B$4, 2, FALSE), "")</f>
        <v>Primary</v>
      </c>
      <c r="H342">
        <v>1</v>
      </c>
      <c r="I342">
        <v>9</v>
      </c>
      <c r="J342" t="str">
        <f t="shared" si="30"/>
        <v>Smoker</v>
      </c>
      <c r="K342">
        <v>0</v>
      </c>
      <c r="L342">
        <v>0</v>
      </c>
      <c r="M342">
        <v>0</v>
      </c>
      <c r="N342">
        <v>0</v>
      </c>
      <c r="O342">
        <v>224</v>
      </c>
      <c r="P342" t="str">
        <f t="shared" si="31"/>
        <v>Normal</v>
      </c>
      <c r="Q342">
        <v>90</v>
      </c>
      <c r="R342">
        <v>70</v>
      </c>
      <c r="S342">
        <v>18.18</v>
      </c>
      <c r="T342" t="str">
        <f t="shared" si="32"/>
        <v>Underweight</v>
      </c>
      <c r="U342">
        <v>75</v>
      </c>
      <c r="V342">
        <v>57</v>
      </c>
      <c r="W342" t="str">
        <f t="shared" si="35"/>
        <v>Normal</v>
      </c>
      <c r="X342">
        <v>0</v>
      </c>
    </row>
    <row r="343" spans="1:24" ht="14.5" thickBot="1" x14ac:dyDescent="0.35">
      <c r="A343">
        <v>1</v>
      </c>
      <c r="B343" t="str">
        <f t="shared" si="33"/>
        <v>Male</v>
      </c>
      <c r="C343" s="8">
        <v>38</v>
      </c>
      <c r="D343" t="str">
        <f t="shared" si="34"/>
        <v>Young</v>
      </c>
      <c r="E343">
        <v>2</v>
      </c>
      <c r="F343" t="str">
        <f>HLOOKUP(E343, LookUP_Table!$A$6:$D$7, 2, FALSE)</f>
        <v>Secondary</v>
      </c>
      <c r="G343" t="str">
        <f>IFERROR(VLOOKUP(E343, LookUP_Table!$A$1:$B$4, 2, FALSE), "")</f>
        <v>Secondary</v>
      </c>
      <c r="H343">
        <v>1</v>
      </c>
      <c r="I343">
        <v>20</v>
      </c>
      <c r="J343" t="str">
        <f t="shared" si="30"/>
        <v>Smoker</v>
      </c>
      <c r="K343">
        <v>0</v>
      </c>
      <c r="L343">
        <v>0</v>
      </c>
      <c r="M343">
        <v>0</v>
      </c>
      <c r="N343">
        <v>0</v>
      </c>
      <c r="O343">
        <v>220</v>
      </c>
      <c r="P343" t="str">
        <f t="shared" si="31"/>
        <v>Normal</v>
      </c>
      <c r="Q343">
        <v>126</v>
      </c>
      <c r="R343">
        <v>88</v>
      </c>
      <c r="S343">
        <v>24.46</v>
      </c>
      <c r="T343" t="str">
        <f t="shared" si="32"/>
        <v>Normal</v>
      </c>
      <c r="U343">
        <v>77</v>
      </c>
      <c r="V343">
        <v>74</v>
      </c>
      <c r="W343" t="str">
        <f t="shared" si="35"/>
        <v>Normal</v>
      </c>
      <c r="X343">
        <v>0</v>
      </c>
    </row>
    <row r="344" spans="1:24" ht="14.5" thickBot="1" x14ac:dyDescent="0.35">
      <c r="A344">
        <v>0</v>
      </c>
      <c r="B344" t="str">
        <f t="shared" si="33"/>
        <v>Female</v>
      </c>
      <c r="C344" s="8">
        <v>38</v>
      </c>
      <c r="D344" t="str">
        <f t="shared" si="34"/>
        <v>Young</v>
      </c>
      <c r="E344">
        <v>2</v>
      </c>
      <c r="F344" t="str">
        <f>HLOOKUP(E344, LookUP_Table!$A$6:$D$7, 2, FALSE)</f>
        <v>Secondary</v>
      </c>
      <c r="G344" t="str">
        <f>IFERROR(VLOOKUP(E344, LookUP_Table!$A$1:$B$4, 2, FALSE), "")</f>
        <v>Secondary</v>
      </c>
      <c r="H344">
        <v>1</v>
      </c>
      <c r="I344">
        <v>2</v>
      </c>
      <c r="J344" t="str">
        <f t="shared" si="30"/>
        <v>Smoker</v>
      </c>
      <c r="K344">
        <v>0</v>
      </c>
      <c r="L344">
        <v>0</v>
      </c>
      <c r="M344">
        <v>0</v>
      </c>
      <c r="N344">
        <v>0</v>
      </c>
      <c r="O344">
        <v>172</v>
      </c>
      <c r="P344" t="str">
        <f t="shared" si="31"/>
        <v>Normal</v>
      </c>
      <c r="Q344">
        <v>98</v>
      </c>
      <c r="R344">
        <v>53</v>
      </c>
      <c r="S344">
        <v>22.18</v>
      </c>
      <c r="T344" t="str">
        <f t="shared" si="32"/>
        <v>Normal</v>
      </c>
      <c r="U344">
        <v>68</v>
      </c>
      <c r="V344">
        <v>82</v>
      </c>
      <c r="W344" t="str">
        <f t="shared" si="35"/>
        <v>Normal</v>
      </c>
      <c r="X344">
        <v>0</v>
      </c>
    </row>
    <row r="345" spans="1:24" ht="14.5" thickBot="1" x14ac:dyDescent="0.35">
      <c r="A345">
        <v>1</v>
      </c>
      <c r="B345" t="str">
        <f t="shared" si="33"/>
        <v>Male</v>
      </c>
      <c r="C345" s="8">
        <v>38</v>
      </c>
      <c r="D345" t="str">
        <f t="shared" si="34"/>
        <v>Young</v>
      </c>
      <c r="E345">
        <v>4</v>
      </c>
      <c r="F345" t="str">
        <f>HLOOKUP(E345, LookUP_Table!$A$6:$D$7, 2, FALSE)</f>
        <v>Post Graduate</v>
      </c>
      <c r="G345" t="str">
        <f>IFERROR(VLOOKUP(E345, LookUP_Table!$A$1:$B$4, 2, FALSE), "")</f>
        <v>Post Graduate</v>
      </c>
      <c r="H345">
        <v>1</v>
      </c>
      <c r="I345">
        <v>10</v>
      </c>
      <c r="J345" t="str">
        <f t="shared" si="30"/>
        <v>Smoker</v>
      </c>
      <c r="K345">
        <v>0</v>
      </c>
      <c r="L345">
        <v>0</v>
      </c>
      <c r="M345">
        <v>0</v>
      </c>
      <c r="N345">
        <v>0</v>
      </c>
      <c r="O345">
        <v>226</v>
      </c>
      <c r="P345" t="str">
        <f t="shared" si="31"/>
        <v>Normal</v>
      </c>
      <c r="Q345">
        <v>142</v>
      </c>
      <c r="R345">
        <v>93</v>
      </c>
      <c r="S345">
        <v>29.76</v>
      </c>
      <c r="T345" t="str">
        <f t="shared" si="32"/>
        <v>Overweight</v>
      </c>
      <c r="U345">
        <v>105</v>
      </c>
      <c r="V345">
        <v>63</v>
      </c>
      <c r="W345" t="str">
        <f t="shared" si="35"/>
        <v>Normal</v>
      </c>
      <c r="X345">
        <v>0</v>
      </c>
    </row>
    <row r="346" spans="1:24" ht="14.5" thickBot="1" x14ac:dyDescent="0.35">
      <c r="A346">
        <v>0</v>
      </c>
      <c r="B346" t="str">
        <f t="shared" si="33"/>
        <v>Female</v>
      </c>
      <c r="C346" s="8">
        <v>38</v>
      </c>
      <c r="D346" t="str">
        <f t="shared" si="34"/>
        <v>Young</v>
      </c>
      <c r="E346">
        <v>4</v>
      </c>
      <c r="F346" t="str">
        <f>HLOOKUP(E346, LookUP_Table!$A$6:$D$7, 2, FALSE)</f>
        <v>Post Graduate</v>
      </c>
      <c r="G346" t="str">
        <f>IFERROR(VLOOKUP(E346, LookUP_Table!$A$1:$B$4, 2, FALSE), "")</f>
        <v>Post Graduate</v>
      </c>
      <c r="H346">
        <v>1</v>
      </c>
      <c r="I346">
        <v>3</v>
      </c>
      <c r="J346" t="str">
        <f t="shared" si="30"/>
        <v>Smoker</v>
      </c>
      <c r="K346">
        <v>0</v>
      </c>
      <c r="L346">
        <v>0</v>
      </c>
      <c r="M346">
        <v>0</v>
      </c>
      <c r="N346">
        <v>0</v>
      </c>
      <c r="O346">
        <v>177</v>
      </c>
      <c r="P346" t="str">
        <f t="shared" si="31"/>
        <v>Normal</v>
      </c>
      <c r="Q346">
        <v>126</v>
      </c>
      <c r="R346">
        <v>80</v>
      </c>
      <c r="S346">
        <v>23.84</v>
      </c>
      <c r="T346" t="str">
        <f t="shared" si="32"/>
        <v>Normal</v>
      </c>
      <c r="U346">
        <v>90</v>
      </c>
      <c r="V346">
        <v>79</v>
      </c>
      <c r="W346" t="str">
        <f t="shared" si="35"/>
        <v>Normal</v>
      </c>
      <c r="X346">
        <v>0</v>
      </c>
    </row>
    <row r="347" spans="1:24" ht="14.5" thickBot="1" x14ac:dyDescent="0.35">
      <c r="A347">
        <v>1</v>
      </c>
      <c r="B347" t="str">
        <f t="shared" si="33"/>
        <v>Male</v>
      </c>
      <c r="C347" s="8">
        <v>38</v>
      </c>
      <c r="D347" t="str">
        <f t="shared" si="34"/>
        <v>Young</v>
      </c>
      <c r="E347">
        <v>4</v>
      </c>
      <c r="F347" t="str">
        <f>HLOOKUP(E347, LookUP_Table!$A$6:$D$7, 2, FALSE)</f>
        <v>Post Graduate</v>
      </c>
      <c r="G347" t="str">
        <f>IFERROR(VLOOKUP(E347, LookUP_Table!$A$1:$B$4, 2, FALSE), "")</f>
        <v>Post Graduate</v>
      </c>
      <c r="H347">
        <v>1</v>
      </c>
      <c r="I347">
        <v>30</v>
      </c>
      <c r="J347" t="str">
        <f t="shared" si="30"/>
        <v>Smoker</v>
      </c>
      <c r="K347">
        <v>0</v>
      </c>
      <c r="L347">
        <v>0</v>
      </c>
      <c r="M347">
        <v>0</v>
      </c>
      <c r="N347">
        <v>0</v>
      </c>
      <c r="O347">
        <v>275</v>
      </c>
      <c r="P347" t="str">
        <f t="shared" si="31"/>
        <v>High</v>
      </c>
      <c r="Q347">
        <v>117.5</v>
      </c>
      <c r="R347">
        <v>85</v>
      </c>
      <c r="S347">
        <v>28.94</v>
      </c>
      <c r="T347" t="str">
        <f t="shared" si="32"/>
        <v>Overweight</v>
      </c>
      <c r="U347">
        <v>72</v>
      </c>
      <c r="V347">
        <v>74</v>
      </c>
      <c r="W347" t="str">
        <f t="shared" si="35"/>
        <v>Normal</v>
      </c>
      <c r="X347">
        <v>0</v>
      </c>
    </row>
    <row r="348" spans="1:24" ht="14.5" thickBot="1" x14ac:dyDescent="0.35">
      <c r="A348">
        <v>0</v>
      </c>
      <c r="B348" t="str">
        <f t="shared" si="33"/>
        <v>Female</v>
      </c>
      <c r="C348" s="8">
        <v>38</v>
      </c>
      <c r="D348" t="str">
        <f t="shared" si="34"/>
        <v>Young</v>
      </c>
      <c r="E348">
        <v>4</v>
      </c>
      <c r="F348" t="str">
        <f>HLOOKUP(E348, LookUP_Table!$A$6:$D$7, 2, FALSE)</f>
        <v>Post Graduate</v>
      </c>
      <c r="G348" t="str">
        <f>IFERROR(VLOOKUP(E348, LookUP_Table!$A$1:$B$4, 2, FALSE), "")</f>
        <v>Post Graduate</v>
      </c>
      <c r="H348">
        <v>1</v>
      </c>
      <c r="I348">
        <v>15</v>
      </c>
      <c r="J348" t="str">
        <f t="shared" si="30"/>
        <v>Smoker</v>
      </c>
      <c r="K348">
        <v>0</v>
      </c>
      <c r="L348">
        <v>0</v>
      </c>
      <c r="M348">
        <v>1</v>
      </c>
      <c r="N348">
        <v>0</v>
      </c>
      <c r="O348">
        <v>267</v>
      </c>
      <c r="P348" t="str">
        <f t="shared" si="31"/>
        <v>High</v>
      </c>
      <c r="Q348">
        <v>179.5</v>
      </c>
      <c r="R348">
        <v>97</v>
      </c>
      <c r="S348">
        <v>20.440000000000001</v>
      </c>
      <c r="T348" t="str">
        <f t="shared" si="32"/>
        <v>Normal</v>
      </c>
      <c r="U348">
        <v>76</v>
      </c>
      <c r="V348">
        <v>67</v>
      </c>
      <c r="W348" t="str">
        <f t="shared" si="35"/>
        <v>Normal</v>
      </c>
      <c r="X348">
        <v>0</v>
      </c>
    </row>
    <row r="349" spans="1:24" ht="14.5" thickBot="1" x14ac:dyDescent="0.35">
      <c r="A349">
        <v>0</v>
      </c>
      <c r="B349" t="str">
        <f t="shared" si="33"/>
        <v>Female</v>
      </c>
      <c r="C349" s="8">
        <v>38</v>
      </c>
      <c r="D349" t="str">
        <f t="shared" si="34"/>
        <v>Young</v>
      </c>
      <c r="E349">
        <v>2</v>
      </c>
      <c r="F349" t="str">
        <f>HLOOKUP(E349, LookUP_Table!$A$6:$D$7, 2, FALSE)</f>
        <v>Secondary</v>
      </c>
      <c r="G349" t="str">
        <f>IFERROR(VLOOKUP(E349, LookUP_Table!$A$1:$B$4, 2, FALSE), "")</f>
        <v>Secondary</v>
      </c>
      <c r="H349">
        <v>1</v>
      </c>
      <c r="I349">
        <v>5</v>
      </c>
      <c r="J349" t="str">
        <f t="shared" si="30"/>
        <v>Smoker</v>
      </c>
      <c r="K349">
        <v>0</v>
      </c>
      <c r="L349">
        <v>0</v>
      </c>
      <c r="M349">
        <v>0</v>
      </c>
      <c r="N349">
        <v>0</v>
      </c>
      <c r="O349">
        <v>193</v>
      </c>
      <c r="P349" t="str">
        <f t="shared" si="31"/>
        <v>Normal</v>
      </c>
      <c r="Q349">
        <v>107</v>
      </c>
      <c r="R349">
        <v>73</v>
      </c>
      <c r="S349">
        <v>20.73</v>
      </c>
      <c r="T349" t="str">
        <f t="shared" si="32"/>
        <v>Normal</v>
      </c>
      <c r="U349">
        <v>85</v>
      </c>
      <c r="V349">
        <v>72</v>
      </c>
      <c r="W349" t="str">
        <f t="shared" si="35"/>
        <v>Normal</v>
      </c>
      <c r="X349">
        <v>0</v>
      </c>
    </row>
    <row r="350" spans="1:24" ht="14.5" thickBot="1" x14ac:dyDescent="0.35">
      <c r="A350">
        <v>0</v>
      </c>
      <c r="B350" t="str">
        <f t="shared" si="33"/>
        <v>Female</v>
      </c>
      <c r="C350" s="8">
        <v>38</v>
      </c>
      <c r="D350" t="str">
        <f t="shared" si="34"/>
        <v>Young</v>
      </c>
      <c r="E350">
        <v>2</v>
      </c>
      <c r="F350" t="str">
        <f>HLOOKUP(E350, LookUP_Table!$A$6:$D$7, 2, FALSE)</f>
        <v>Secondary</v>
      </c>
      <c r="G350" t="str">
        <f>IFERROR(VLOOKUP(E350, LookUP_Table!$A$1:$B$4, 2, FALSE), "")</f>
        <v>Secondary</v>
      </c>
      <c r="H350">
        <v>1</v>
      </c>
      <c r="I350">
        <v>10</v>
      </c>
      <c r="J350" t="str">
        <f t="shared" si="30"/>
        <v>Smoker</v>
      </c>
      <c r="K350">
        <v>0</v>
      </c>
      <c r="L350">
        <v>0</v>
      </c>
      <c r="M350">
        <v>0</v>
      </c>
      <c r="N350">
        <v>0</v>
      </c>
      <c r="O350">
        <v>226</v>
      </c>
      <c r="P350" t="str">
        <f t="shared" si="31"/>
        <v>Normal</v>
      </c>
      <c r="Q350">
        <v>117.5</v>
      </c>
      <c r="R350">
        <v>72</v>
      </c>
      <c r="S350">
        <v>20.71</v>
      </c>
      <c r="T350" t="str">
        <f t="shared" si="32"/>
        <v>Normal</v>
      </c>
      <c r="U350">
        <v>72</v>
      </c>
      <c r="V350">
        <v>73</v>
      </c>
      <c r="W350" t="str">
        <f t="shared" si="35"/>
        <v>Normal</v>
      </c>
      <c r="X350">
        <v>0</v>
      </c>
    </row>
    <row r="351" spans="1:24" ht="14.5" thickBot="1" x14ac:dyDescent="0.35">
      <c r="A351">
        <v>0</v>
      </c>
      <c r="B351" t="str">
        <f t="shared" si="33"/>
        <v>Female</v>
      </c>
      <c r="C351" s="8">
        <v>38</v>
      </c>
      <c r="D351" t="str">
        <f t="shared" si="34"/>
        <v>Young</v>
      </c>
      <c r="E351">
        <v>1</v>
      </c>
      <c r="F351" t="str">
        <f>HLOOKUP(E351, LookUP_Table!$A$6:$D$7, 2, FALSE)</f>
        <v>Primary</v>
      </c>
      <c r="G351" t="str">
        <f>IFERROR(VLOOKUP(E351, LookUP_Table!$A$1:$B$4, 2, FALSE), "")</f>
        <v>Primary</v>
      </c>
      <c r="H351">
        <v>1</v>
      </c>
      <c r="I351">
        <v>9</v>
      </c>
      <c r="J351" t="str">
        <f t="shared" si="30"/>
        <v>Smoker</v>
      </c>
      <c r="K351">
        <v>0</v>
      </c>
      <c r="L351">
        <v>0</v>
      </c>
      <c r="M351">
        <v>0</v>
      </c>
      <c r="N351">
        <v>0</v>
      </c>
      <c r="O351">
        <v>220</v>
      </c>
      <c r="P351" t="str">
        <f t="shared" si="31"/>
        <v>Normal</v>
      </c>
      <c r="Q351">
        <v>105</v>
      </c>
      <c r="R351">
        <v>69</v>
      </c>
      <c r="S351">
        <v>24.69</v>
      </c>
      <c r="T351" t="str">
        <f t="shared" si="32"/>
        <v>Normal</v>
      </c>
      <c r="U351">
        <v>110</v>
      </c>
      <c r="V351">
        <v>87</v>
      </c>
      <c r="W351" t="str">
        <f t="shared" si="35"/>
        <v>Normal</v>
      </c>
      <c r="X351">
        <v>0</v>
      </c>
    </row>
    <row r="352" spans="1:24" ht="14.5" thickBot="1" x14ac:dyDescent="0.35">
      <c r="A352">
        <v>1</v>
      </c>
      <c r="B352" t="str">
        <f t="shared" si="33"/>
        <v>Male</v>
      </c>
      <c r="C352" s="8">
        <v>38</v>
      </c>
      <c r="D352" t="str">
        <f t="shared" si="34"/>
        <v>Young</v>
      </c>
      <c r="E352">
        <v>3</v>
      </c>
      <c r="F352" t="str">
        <f>HLOOKUP(E352, LookUP_Table!$A$6:$D$7, 2, FALSE)</f>
        <v>Graduate</v>
      </c>
      <c r="G352" t="str">
        <f>IFERROR(VLOOKUP(E352, LookUP_Table!$A$1:$B$4, 2, FALSE), "")</f>
        <v>Graduate</v>
      </c>
      <c r="H352">
        <v>1</v>
      </c>
      <c r="I352">
        <v>23</v>
      </c>
      <c r="J352" t="str">
        <f t="shared" si="30"/>
        <v>Smoker</v>
      </c>
      <c r="K352">
        <v>0</v>
      </c>
      <c r="L352">
        <v>0</v>
      </c>
      <c r="M352">
        <v>1</v>
      </c>
      <c r="N352">
        <v>0</v>
      </c>
      <c r="O352">
        <v>165</v>
      </c>
      <c r="P352" t="str">
        <f t="shared" si="31"/>
        <v>Normal</v>
      </c>
      <c r="Q352">
        <v>128</v>
      </c>
      <c r="R352">
        <v>80</v>
      </c>
      <c r="S352">
        <v>25.62</v>
      </c>
      <c r="T352" t="str">
        <f t="shared" si="32"/>
        <v>Overweight</v>
      </c>
      <c r="U352">
        <v>90</v>
      </c>
      <c r="V352">
        <v>85</v>
      </c>
      <c r="W352" t="str">
        <f t="shared" si="35"/>
        <v>Normal</v>
      </c>
      <c r="X352">
        <v>0</v>
      </c>
    </row>
    <row r="353" spans="1:24" ht="14.5" thickBot="1" x14ac:dyDescent="0.35">
      <c r="A353">
        <v>1</v>
      </c>
      <c r="B353" t="str">
        <f t="shared" si="33"/>
        <v>Male</v>
      </c>
      <c r="C353" s="8">
        <v>38</v>
      </c>
      <c r="D353" t="str">
        <f t="shared" si="34"/>
        <v>Young</v>
      </c>
      <c r="E353">
        <v>2</v>
      </c>
      <c r="F353" t="str">
        <f>HLOOKUP(E353, LookUP_Table!$A$6:$D$7, 2, FALSE)</f>
        <v>Secondary</v>
      </c>
      <c r="G353" t="str">
        <f>IFERROR(VLOOKUP(E353, LookUP_Table!$A$1:$B$4, 2, FALSE), "")</f>
        <v>Secondary</v>
      </c>
      <c r="H353">
        <v>1</v>
      </c>
      <c r="I353">
        <v>20</v>
      </c>
      <c r="J353" t="str">
        <f t="shared" si="30"/>
        <v>Smoker</v>
      </c>
      <c r="K353">
        <v>0</v>
      </c>
      <c r="L353">
        <v>0</v>
      </c>
      <c r="M353">
        <v>0</v>
      </c>
      <c r="N353">
        <v>0</v>
      </c>
      <c r="O353">
        <v>200</v>
      </c>
      <c r="P353" t="str">
        <f t="shared" si="31"/>
        <v>Normal</v>
      </c>
      <c r="Q353">
        <v>123</v>
      </c>
      <c r="R353">
        <v>85</v>
      </c>
      <c r="S353">
        <v>25.63</v>
      </c>
      <c r="T353" t="str">
        <f t="shared" si="32"/>
        <v>Overweight</v>
      </c>
      <c r="U353">
        <v>90</v>
      </c>
      <c r="V353">
        <v>84</v>
      </c>
      <c r="W353" t="str">
        <f t="shared" si="35"/>
        <v>Normal</v>
      </c>
      <c r="X353">
        <v>0</v>
      </c>
    </row>
    <row r="354" spans="1:24" ht="14.5" thickBot="1" x14ac:dyDescent="0.35">
      <c r="A354">
        <v>1</v>
      </c>
      <c r="B354" t="str">
        <f t="shared" si="33"/>
        <v>Male</v>
      </c>
      <c r="C354" s="8">
        <v>38</v>
      </c>
      <c r="D354" t="str">
        <f t="shared" si="34"/>
        <v>Young</v>
      </c>
      <c r="E354">
        <v>2</v>
      </c>
      <c r="F354" t="str">
        <f>HLOOKUP(E354, LookUP_Table!$A$6:$D$7, 2, FALSE)</f>
        <v>Secondary</v>
      </c>
      <c r="G354" t="str">
        <f>IFERROR(VLOOKUP(E354, LookUP_Table!$A$1:$B$4, 2, FALSE), "")</f>
        <v>Secondary</v>
      </c>
      <c r="H354">
        <v>1</v>
      </c>
      <c r="I354">
        <v>15</v>
      </c>
      <c r="J354" t="str">
        <f t="shared" si="30"/>
        <v>Smoker</v>
      </c>
      <c r="K354">
        <v>0</v>
      </c>
      <c r="L354">
        <v>0</v>
      </c>
      <c r="M354">
        <v>0</v>
      </c>
      <c r="N354">
        <v>0</v>
      </c>
      <c r="O354">
        <v>150</v>
      </c>
      <c r="P354" t="str">
        <f t="shared" si="31"/>
        <v>Normal</v>
      </c>
      <c r="Q354">
        <v>123</v>
      </c>
      <c r="R354">
        <v>76</v>
      </c>
      <c r="S354">
        <v>20.39</v>
      </c>
      <c r="T354" t="str">
        <f t="shared" si="32"/>
        <v>Normal</v>
      </c>
      <c r="U354">
        <v>60</v>
      </c>
      <c r="V354">
        <v>82</v>
      </c>
      <c r="W354" t="str">
        <f t="shared" si="35"/>
        <v>Normal</v>
      </c>
      <c r="X354">
        <v>0</v>
      </c>
    </row>
    <row r="355" spans="1:24" ht="14.5" thickBot="1" x14ac:dyDescent="0.35">
      <c r="A355">
        <v>1</v>
      </c>
      <c r="B355" t="str">
        <f t="shared" si="33"/>
        <v>Male</v>
      </c>
      <c r="C355" s="8">
        <v>38</v>
      </c>
      <c r="D355" t="str">
        <f t="shared" si="34"/>
        <v>Young</v>
      </c>
      <c r="E355">
        <v>1</v>
      </c>
      <c r="F355" t="str">
        <f>HLOOKUP(E355, LookUP_Table!$A$6:$D$7, 2, FALSE)</f>
        <v>Primary</v>
      </c>
      <c r="G355" t="str">
        <f>IFERROR(VLOOKUP(E355, LookUP_Table!$A$1:$B$4, 2, FALSE), "")</f>
        <v>Primary</v>
      </c>
      <c r="H355">
        <v>0</v>
      </c>
      <c r="I355">
        <v>0</v>
      </c>
      <c r="J355" t="str">
        <f t="shared" si="30"/>
        <v>Non-Smoker</v>
      </c>
      <c r="K355">
        <v>0</v>
      </c>
      <c r="L355">
        <v>0</v>
      </c>
      <c r="M355">
        <v>0</v>
      </c>
      <c r="N355">
        <v>0</v>
      </c>
      <c r="O355">
        <v>184</v>
      </c>
      <c r="P355" t="str">
        <f t="shared" si="31"/>
        <v>Normal</v>
      </c>
      <c r="Q355">
        <v>102</v>
      </c>
      <c r="R355">
        <v>73</v>
      </c>
      <c r="S355">
        <v>25.69</v>
      </c>
      <c r="T355" t="str">
        <f t="shared" si="32"/>
        <v>Overweight</v>
      </c>
      <c r="U355">
        <v>86</v>
      </c>
      <c r="V355">
        <v>78</v>
      </c>
      <c r="W355" t="str">
        <f t="shared" si="35"/>
        <v>Normal</v>
      </c>
      <c r="X355">
        <v>0</v>
      </c>
    </row>
    <row r="356" spans="1:24" ht="14.5" thickBot="1" x14ac:dyDescent="0.35">
      <c r="A356">
        <v>1</v>
      </c>
      <c r="B356" t="str">
        <f t="shared" si="33"/>
        <v>Male</v>
      </c>
      <c r="C356" s="8">
        <v>38</v>
      </c>
      <c r="D356" t="str">
        <f t="shared" si="34"/>
        <v>Young</v>
      </c>
      <c r="E356">
        <v>2</v>
      </c>
      <c r="F356" t="str">
        <f>HLOOKUP(E356, LookUP_Table!$A$6:$D$7, 2, FALSE)</f>
        <v>Secondary</v>
      </c>
      <c r="G356" t="str">
        <f>IFERROR(VLOOKUP(E356, LookUP_Table!$A$1:$B$4, 2, FALSE), "")</f>
        <v>Secondary</v>
      </c>
      <c r="H356">
        <v>0</v>
      </c>
      <c r="I356">
        <v>0</v>
      </c>
      <c r="J356" t="str">
        <f t="shared" si="30"/>
        <v>Non-Smoker</v>
      </c>
      <c r="K356">
        <v>0</v>
      </c>
      <c r="L356">
        <v>0</v>
      </c>
      <c r="M356">
        <v>1</v>
      </c>
      <c r="N356">
        <v>0</v>
      </c>
      <c r="O356">
        <v>256</v>
      </c>
      <c r="P356" t="str">
        <f t="shared" si="31"/>
        <v>High</v>
      </c>
      <c r="Q356">
        <v>123</v>
      </c>
      <c r="R356">
        <v>92</v>
      </c>
      <c r="S356">
        <v>25.42</v>
      </c>
      <c r="T356" t="str">
        <f t="shared" si="32"/>
        <v>Overweight</v>
      </c>
      <c r="U356">
        <v>62</v>
      </c>
      <c r="V356">
        <v>82</v>
      </c>
      <c r="W356" t="str">
        <f t="shared" si="35"/>
        <v>Normal</v>
      </c>
      <c r="X356">
        <v>0</v>
      </c>
    </row>
    <row r="357" spans="1:24" ht="14.5" thickBot="1" x14ac:dyDescent="0.35">
      <c r="A357">
        <v>1</v>
      </c>
      <c r="B357" t="str">
        <f t="shared" si="33"/>
        <v>Male</v>
      </c>
      <c r="C357" s="8">
        <v>38</v>
      </c>
      <c r="D357" t="str">
        <f t="shared" si="34"/>
        <v>Young</v>
      </c>
      <c r="E357">
        <v>1</v>
      </c>
      <c r="F357" t="str">
        <f>HLOOKUP(E357, LookUP_Table!$A$6:$D$7, 2, FALSE)</f>
        <v>Primary</v>
      </c>
      <c r="G357" t="str">
        <f>IFERROR(VLOOKUP(E357, LookUP_Table!$A$1:$B$4, 2, FALSE), "")</f>
        <v>Primary</v>
      </c>
      <c r="H357">
        <v>1</v>
      </c>
      <c r="I357">
        <v>30</v>
      </c>
      <c r="J357" t="str">
        <f t="shared" si="30"/>
        <v>Smoker</v>
      </c>
      <c r="K357">
        <v>0</v>
      </c>
      <c r="L357">
        <v>0</v>
      </c>
      <c r="M357">
        <v>0</v>
      </c>
      <c r="N357">
        <v>0</v>
      </c>
      <c r="O357">
        <v>281</v>
      </c>
      <c r="P357" t="str">
        <f t="shared" si="31"/>
        <v>High</v>
      </c>
      <c r="Q357">
        <v>111</v>
      </c>
      <c r="R357">
        <v>72.5</v>
      </c>
      <c r="S357">
        <v>27.22</v>
      </c>
      <c r="T357" t="str">
        <f t="shared" si="32"/>
        <v>Overweight</v>
      </c>
      <c r="U357">
        <v>95</v>
      </c>
      <c r="V357">
        <v>80</v>
      </c>
      <c r="W357" t="str">
        <f t="shared" si="35"/>
        <v>Normal</v>
      </c>
      <c r="X357">
        <v>0</v>
      </c>
    </row>
    <row r="358" spans="1:24" ht="14.5" thickBot="1" x14ac:dyDescent="0.35">
      <c r="A358">
        <v>1</v>
      </c>
      <c r="B358" t="str">
        <f t="shared" si="33"/>
        <v>Male</v>
      </c>
      <c r="C358" s="8">
        <v>38</v>
      </c>
      <c r="D358" t="str">
        <f t="shared" si="34"/>
        <v>Young</v>
      </c>
      <c r="E358">
        <v>1</v>
      </c>
      <c r="F358" t="str">
        <f>HLOOKUP(E358, LookUP_Table!$A$6:$D$7, 2, FALSE)</f>
        <v>Primary</v>
      </c>
      <c r="G358" t="str">
        <f>IFERROR(VLOOKUP(E358, LookUP_Table!$A$1:$B$4, 2, FALSE), "")</f>
        <v>Primary</v>
      </c>
      <c r="H358">
        <v>1</v>
      </c>
      <c r="I358">
        <v>15</v>
      </c>
      <c r="J358" t="str">
        <f t="shared" si="30"/>
        <v>Smoker</v>
      </c>
      <c r="K358">
        <v>0</v>
      </c>
      <c r="L358">
        <v>0</v>
      </c>
      <c r="M358">
        <v>0</v>
      </c>
      <c r="N358">
        <v>0</v>
      </c>
      <c r="O358">
        <v>183</v>
      </c>
      <c r="P358" t="str">
        <f t="shared" si="31"/>
        <v>Normal</v>
      </c>
      <c r="Q358">
        <v>107.5</v>
      </c>
      <c r="R358">
        <v>71</v>
      </c>
      <c r="S358">
        <v>23.74</v>
      </c>
      <c r="T358" t="str">
        <f t="shared" si="32"/>
        <v>Normal</v>
      </c>
      <c r="U358">
        <v>57</v>
      </c>
      <c r="V358">
        <v>74</v>
      </c>
      <c r="W358" t="str">
        <f t="shared" si="35"/>
        <v>Normal</v>
      </c>
      <c r="X358">
        <v>0</v>
      </c>
    </row>
    <row r="359" spans="1:24" ht="14.5" thickBot="1" x14ac:dyDescent="0.35">
      <c r="A359">
        <v>0</v>
      </c>
      <c r="B359" t="str">
        <f t="shared" si="33"/>
        <v>Female</v>
      </c>
      <c r="C359" s="8">
        <v>38</v>
      </c>
      <c r="D359" t="str">
        <f t="shared" si="34"/>
        <v>Young</v>
      </c>
      <c r="E359">
        <v>3</v>
      </c>
      <c r="F359" t="str">
        <f>HLOOKUP(E359, LookUP_Table!$A$6:$D$7, 2, FALSE)</f>
        <v>Graduate</v>
      </c>
      <c r="G359" t="str">
        <f>IFERROR(VLOOKUP(E359, LookUP_Table!$A$1:$B$4, 2, FALSE), "")</f>
        <v>Graduate</v>
      </c>
      <c r="H359">
        <v>0</v>
      </c>
      <c r="I359">
        <v>0</v>
      </c>
      <c r="J359" t="str">
        <f t="shared" si="30"/>
        <v>Non-Smoker</v>
      </c>
      <c r="K359">
        <v>0</v>
      </c>
      <c r="L359">
        <v>0</v>
      </c>
      <c r="M359">
        <v>0</v>
      </c>
      <c r="N359">
        <v>0</v>
      </c>
      <c r="O359">
        <v>240</v>
      </c>
      <c r="P359" t="str">
        <f t="shared" si="31"/>
        <v>Normal</v>
      </c>
      <c r="Q359">
        <v>126.5</v>
      </c>
      <c r="R359">
        <v>75.5</v>
      </c>
      <c r="S359">
        <v>24.38</v>
      </c>
      <c r="T359" t="str">
        <f t="shared" si="32"/>
        <v>Normal</v>
      </c>
      <c r="U359">
        <v>71</v>
      </c>
      <c r="V359">
        <v>64</v>
      </c>
      <c r="W359" t="str">
        <f t="shared" si="35"/>
        <v>Normal</v>
      </c>
      <c r="X359">
        <v>0</v>
      </c>
    </row>
    <row r="360" spans="1:24" ht="14.5" thickBot="1" x14ac:dyDescent="0.35">
      <c r="A360">
        <v>0</v>
      </c>
      <c r="B360" t="str">
        <f t="shared" si="33"/>
        <v>Female</v>
      </c>
      <c r="C360" s="8">
        <v>38</v>
      </c>
      <c r="D360" t="str">
        <f t="shared" si="34"/>
        <v>Young</v>
      </c>
      <c r="E360">
        <v>1</v>
      </c>
      <c r="F360" t="str">
        <f>HLOOKUP(E360, LookUP_Table!$A$6:$D$7, 2, FALSE)</f>
        <v>Primary</v>
      </c>
      <c r="G360" t="str">
        <f>IFERROR(VLOOKUP(E360, LookUP_Table!$A$1:$B$4, 2, FALSE), "")</f>
        <v>Primary</v>
      </c>
      <c r="H360">
        <v>1</v>
      </c>
      <c r="I360">
        <v>5</v>
      </c>
      <c r="J360" t="str">
        <f t="shared" si="30"/>
        <v>Smoker</v>
      </c>
      <c r="K360">
        <v>0</v>
      </c>
      <c r="L360">
        <v>0</v>
      </c>
      <c r="M360">
        <v>0</v>
      </c>
      <c r="N360">
        <v>0</v>
      </c>
      <c r="O360">
        <v>201</v>
      </c>
      <c r="P360" t="str">
        <f t="shared" si="31"/>
        <v>Normal</v>
      </c>
      <c r="Q360">
        <v>123.5</v>
      </c>
      <c r="R360">
        <v>78</v>
      </c>
      <c r="S360">
        <v>27.14</v>
      </c>
      <c r="T360" t="str">
        <f t="shared" si="32"/>
        <v>Overweight</v>
      </c>
      <c r="U360">
        <v>79</v>
      </c>
      <c r="V360">
        <v>77</v>
      </c>
      <c r="W360" t="str">
        <f t="shared" si="35"/>
        <v>Normal</v>
      </c>
      <c r="X360">
        <v>0</v>
      </c>
    </row>
    <row r="361" spans="1:24" ht="14.5" thickBot="1" x14ac:dyDescent="0.35">
      <c r="A361">
        <v>1</v>
      </c>
      <c r="B361" t="str">
        <f t="shared" si="33"/>
        <v>Male</v>
      </c>
      <c r="C361" s="8">
        <v>38</v>
      </c>
      <c r="D361" t="str">
        <f t="shared" si="34"/>
        <v>Young</v>
      </c>
      <c r="E361">
        <v>3</v>
      </c>
      <c r="F361" t="str">
        <f>HLOOKUP(E361, LookUP_Table!$A$6:$D$7, 2, FALSE)</f>
        <v>Graduate</v>
      </c>
      <c r="G361" t="str">
        <f>IFERROR(VLOOKUP(E361, LookUP_Table!$A$1:$B$4, 2, FALSE), "")</f>
        <v>Graduate</v>
      </c>
      <c r="H361">
        <v>1</v>
      </c>
      <c r="I361">
        <v>20</v>
      </c>
      <c r="J361" t="str">
        <f t="shared" si="30"/>
        <v>Smoker</v>
      </c>
      <c r="K361">
        <v>0</v>
      </c>
      <c r="L361">
        <v>0</v>
      </c>
      <c r="M361">
        <v>0</v>
      </c>
      <c r="N361">
        <v>0</v>
      </c>
      <c r="O361">
        <v>270</v>
      </c>
      <c r="P361" t="str">
        <f t="shared" si="31"/>
        <v>High</v>
      </c>
      <c r="Q361">
        <v>120</v>
      </c>
      <c r="R361">
        <v>75</v>
      </c>
      <c r="S361">
        <v>23.76</v>
      </c>
      <c r="T361" t="str">
        <f t="shared" si="32"/>
        <v>Normal</v>
      </c>
      <c r="U361">
        <v>83</v>
      </c>
      <c r="V361">
        <v>96</v>
      </c>
      <c r="W361" t="str">
        <f t="shared" si="35"/>
        <v>Normal</v>
      </c>
      <c r="X361">
        <v>0</v>
      </c>
    </row>
    <row r="362" spans="1:24" ht="14.5" thickBot="1" x14ac:dyDescent="0.35">
      <c r="A362">
        <v>0</v>
      </c>
      <c r="B362" t="str">
        <f t="shared" si="33"/>
        <v>Female</v>
      </c>
      <c r="C362" s="8">
        <v>38</v>
      </c>
      <c r="D362" t="str">
        <f t="shared" si="34"/>
        <v>Young</v>
      </c>
      <c r="E362">
        <v>3</v>
      </c>
      <c r="F362" t="str">
        <f>HLOOKUP(E362, LookUP_Table!$A$6:$D$7, 2, FALSE)</f>
        <v>Graduate</v>
      </c>
      <c r="G362" t="str">
        <f>IFERROR(VLOOKUP(E362, LookUP_Table!$A$1:$B$4, 2, FALSE), "")</f>
        <v>Graduate</v>
      </c>
      <c r="H362">
        <v>1</v>
      </c>
      <c r="I362">
        <v>25</v>
      </c>
      <c r="J362" t="str">
        <f t="shared" si="30"/>
        <v>Smoker</v>
      </c>
      <c r="K362">
        <v>0</v>
      </c>
      <c r="L362">
        <v>0</v>
      </c>
      <c r="M362">
        <v>0</v>
      </c>
      <c r="N362">
        <v>0</v>
      </c>
      <c r="O362">
        <v>205</v>
      </c>
      <c r="P362" t="str">
        <f t="shared" si="31"/>
        <v>Normal</v>
      </c>
      <c r="Q362">
        <v>117.5</v>
      </c>
      <c r="R362">
        <v>77</v>
      </c>
      <c r="S362">
        <v>21.44</v>
      </c>
      <c r="T362" t="str">
        <f t="shared" si="32"/>
        <v>Normal</v>
      </c>
      <c r="U362">
        <v>100</v>
      </c>
      <c r="V362">
        <v>81.96365524402907</v>
      </c>
      <c r="W362" t="str">
        <f t="shared" si="35"/>
        <v>Normal</v>
      </c>
      <c r="X362">
        <v>0</v>
      </c>
    </row>
    <row r="363" spans="1:24" ht="14.5" thickBot="1" x14ac:dyDescent="0.35">
      <c r="A363">
        <v>0</v>
      </c>
      <c r="B363" t="str">
        <f t="shared" si="33"/>
        <v>Female</v>
      </c>
      <c r="C363" s="8">
        <v>38</v>
      </c>
      <c r="D363" t="str">
        <f t="shared" si="34"/>
        <v>Young</v>
      </c>
      <c r="E363">
        <v>1</v>
      </c>
      <c r="F363" t="str">
        <f>HLOOKUP(E363, LookUP_Table!$A$6:$D$7, 2, FALSE)</f>
        <v>Primary</v>
      </c>
      <c r="G363" t="str">
        <f>IFERROR(VLOOKUP(E363, LookUP_Table!$A$1:$B$4, 2, FALSE), "")</f>
        <v>Primary</v>
      </c>
      <c r="H363">
        <v>0</v>
      </c>
      <c r="I363">
        <v>0</v>
      </c>
      <c r="J363" t="str">
        <f t="shared" si="30"/>
        <v>Non-Smoker</v>
      </c>
      <c r="K363">
        <v>0</v>
      </c>
      <c r="L363">
        <v>0</v>
      </c>
      <c r="M363">
        <v>0</v>
      </c>
      <c r="N363">
        <v>0</v>
      </c>
      <c r="O363">
        <v>182</v>
      </c>
      <c r="P363" t="str">
        <f t="shared" si="31"/>
        <v>Normal</v>
      </c>
      <c r="Q363">
        <v>138</v>
      </c>
      <c r="R363">
        <v>72</v>
      </c>
      <c r="S363">
        <v>21.67</v>
      </c>
      <c r="T363" t="str">
        <f t="shared" si="32"/>
        <v>Normal</v>
      </c>
      <c r="U363">
        <v>85</v>
      </c>
      <c r="V363">
        <v>108</v>
      </c>
      <c r="W363" t="str">
        <f t="shared" si="35"/>
        <v>Prediabetes</v>
      </c>
      <c r="X363">
        <v>0</v>
      </c>
    </row>
    <row r="364" spans="1:24" ht="14.5" thickBot="1" x14ac:dyDescent="0.35">
      <c r="A364">
        <v>0</v>
      </c>
      <c r="B364" t="str">
        <f t="shared" si="33"/>
        <v>Female</v>
      </c>
      <c r="C364" s="8">
        <v>38</v>
      </c>
      <c r="D364" t="str">
        <f t="shared" si="34"/>
        <v>Young</v>
      </c>
      <c r="E364">
        <v>1</v>
      </c>
      <c r="F364" t="str">
        <f>HLOOKUP(E364, LookUP_Table!$A$6:$D$7, 2, FALSE)</f>
        <v>Primary</v>
      </c>
      <c r="G364" t="str">
        <f>IFERROR(VLOOKUP(E364, LookUP_Table!$A$1:$B$4, 2, FALSE), "")</f>
        <v>Primary</v>
      </c>
      <c r="H364">
        <v>1</v>
      </c>
      <c r="I364">
        <v>30</v>
      </c>
      <c r="J364" t="str">
        <f t="shared" si="30"/>
        <v>Smoker</v>
      </c>
      <c r="K364">
        <v>0</v>
      </c>
      <c r="L364">
        <v>0</v>
      </c>
      <c r="M364">
        <v>0</v>
      </c>
      <c r="N364">
        <v>0</v>
      </c>
      <c r="O364">
        <v>164</v>
      </c>
      <c r="P364" t="str">
        <f t="shared" si="31"/>
        <v>Normal</v>
      </c>
      <c r="Q364">
        <v>113</v>
      </c>
      <c r="R364">
        <v>68</v>
      </c>
      <c r="S364">
        <v>25.75</v>
      </c>
      <c r="T364" t="str">
        <f t="shared" si="32"/>
        <v>Overweight</v>
      </c>
      <c r="U364">
        <v>70</v>
      </c>
      <c r="V364">
        <v>75</v>
      </c>
      <c r="W364" t="str">
        <f t="shared" si="35"/>
        <v>Normal</v>
      </c>
      <c r="X364">
        <v>0</v>
      </c>
    </row>
    <row r="365" spans="1:24" ht="14.5" thickBot="1" x14ac:dyDescent="0.35">
      <c r="A365">
        <v>0</v>
      </c>
      <c r="B365" t="str">
        <f t="shared" si="33"/>
        <v>Female</v>
      </c>
      <c r="C365" s="8">
        <v>38</v>
      </c>
      <c r="D365" t="str">
        <f t="shared" si="34"/>
        <v>Young</v>
      </c>
      <c r="E365">
        <v>3</v>
      </c>
      <c r="F365" t="str">
        <f>HLOOKUP(E365, LookUP_Table!$A$6:$D$7, 2, FALSE)</f>
        <v>Graduate</v>
      </c>
      <c r="G365" t="str">
        <f>IFERROR(VLOOKUP(E365, LookUP_Table!$A$1:$B$4, 2, FALSE), "")</f>
        <v>Graduate</v>
      </c>
      <c r="H365">
        <v>1</v>
      </c>
      <c r="I365">
        <v>20</v>
      </c>
      <c r="J365" t="str">
        <f t="shared" si="30"/>
        <v>Smoker</v>
      </c>
      <c r="K365">
        <v>0</v>
      </c>
      <c r="L365">
        <v>0</v>
      </c>
      <c r="M365">
        <v>0</v>
      </c>
      <c r="N365">
        <v>0</v>
      </c>
      <c r="O365">
        <v>175</v>
      </c>
      <c r="P365" t="str">
        <f t="shared" si="31"/>
        <v>Normal</v>
      </c>
      <c r="Q365">
        <v>112</v>
      </c>
      <c r="R365">
        <v>73</v>
      </c>
      <c r="S365">
        <v>19.489999999999998</v>
      </c>
      <c r="T365" t="str">
        <f t="shared" si="32"/>
        <v>Normal</v>
      </c>
      <c r="U365">
        <v>70</v>
      </c>
      <c r="V365">
        <v>71</v>
      </c>
      <c r="W365" t="str">
        <f t="shared" si="35"/>
        <v>Normal</v>
      </c>
      <c r="X365">
        <v>0</v>
      </c>
    </row>
    <row r="366" spans="1:24" ht="14.5" thickBot="1" x14ac:dyDescent="0.35">
      <c r="A366">
        <v>1</v>
      </c>
      <c r="B366" t="str">
        <f t="shared" si="33"/>
        <v>Male</v>
      </c>
      <c r="C366" s="8">
        <v>38</v>
      </c>
      <c r="D366" t="str">
        <f t="shared" si="34"/>
        <v>Young</v>
      </c>
      <c r="E366">
        <v>1</v>
      </c>
      <c r="F366" t="str">
        <f>HLOOKUP(E366, LookUP_Table!$A$6:$D$7, 2, FALSE)</f>
        <v>Primary</v>
      </c>
      <c r="G366" t="str">
        <f>IFERROR(VLOOKUP(E366, LookUP_Table!$A$1:$B$4, 2, FALSE), "")</f>
        <v>Primary</v>
      </c>
      <c r="H366">
        <v>1</v>
      </c>
      <c r="I366">
        <v>9</v>
      </c>
      <c r="J366" t="str">
        <f t="shared" si="30"/>
        <v>Smoker</v>
      </c>
      <c r="K366">
        <v>0</v>
      </c>
      <c r="L366">
        <v>0</v>
      </c>
      <c r="M366">
        <v>0</v>
      </c>
      <c r="N366">
        <v>0</v>
      </c>
      <c r="O366">
        <v>163</v>
      </c>
      <c r="P366" t="str">
        <f t="shared" si="31"/>
        <v>Normal</v>
      </c>
      <c r="Q366">
        <v>117.5</v>
      </c>
      <c r="R366">
        <v>75</v>
      </c>
      <c r="S366">
        <v>28.3</v>
      </c>
      <c r="T366" t="str">
        <f t="shared" si="32"/>
        <v>Overweight</v>
      </c>
      <c r="U366">
        <v>75</v>
      </c>
      <c r="V366">
        <v>70</v>
      </c>
      <c r="W366" t="str">
        <f t="shared" si="35"/>
        <v>Normal</v>
      </c>
      <c r="X366">
        <v>0</v>
      </c>
    </row>
    <row r="367" spans="1:24" ht="14.5" thickBot="1" x14ac:dyDescent="0.35">
      <c r="A367">
        <v>0</v>
      </c>
      <c r="B367" t="str">
        <f t="shared" si="33"/>
        <v>Female</v>
      </c>
      <c r="C367" s="8">
        <v>38</v>
      </c>
      <c r="D367" t="str">
        <f t="shared" si="34"/>
        <v>Young</v>
      </c>
      <c r="E367">
        <v>2</v>
      </c>
      <c r="F367" t="str">
        <f>HLOOKUP(E367, LookUP_Table!$A$6:$D$7, 2, FALSE)</f>
        <v>Secondary</v>
      </c>
      <c r="G367" t="str">
        <f>IFERROR(VLOOKUP(E367, LookUP_Table!$A$1:$B$4, 2, FALSE), "")</f>
        <v>Secondary</v>
      </c>
      <c r="H367">
        <v>1</v>
      </c>
      <c r="I367">
        <v>3</v>
      </c>
      <c r="J367" t="str">
        <f t="shared" si="30"/>
        <v>Smoker</v>
      </c>
      <c r="K367">
        <v>0</v>
      </c>
      <c r="L367">
        <v>0</v>
      </c>
      <c r="M367">
        <v>0</v>
      </c>
      <c r="N367">
        <v>0</v>
      </c>
      <c r="O367">
        <v>180</v>
      </c>
      <c r="P367" t="str">
        <f t="shared" si="31"/>
        <v>Normal</v>
      </c>
      <c r="Q367">
        <v>115</v>
      </c>
      <c r="R367">
        <v>86</v>
      </c>
      <c r="S367">
        <v>24.91</v>
      </c>
      <c r="T367" t="str">
        <f t="shared" si="32"/>
        <v>Normal</v>
      </c>
      <c r="U367">
        <v>70</v>
      </c>
      <c r="V367">
        <v>81.96365524402907</v>
      </c>
      <c r="W367" t="str">
        <f t="shared" si="35"/>
        <v>Normal</v>
      </c>
      <c r="X367">
        <v>0</v>
      </c>
    </row>
    <row r="368" spans="1:24" ht="14.5" thickBot="1" x14ac:dyDescent="0.35">
      <c r="A368">
        <v>0</v>
      </c>
      <c r="B368" t="str">
        <f t="shared" si="33"/>
        <v>Female</v>
      </c>
      <c r="C368" s="8">
        <v>38</v>
      </c>
      <c r="D368" t="str">
        <f t="shared" si="34"/>
        <v>Young</v>
      </c>
      <c r="E368">
        <v>2</v>
      </c>
      <c r="F368" t="str">
        <f>HLOOKUP(E368, LookUP_Table!$A$6:$D$7, 2, FALSE)</f>
        <v>Secondary</v>
      </c>
      <c r="G368" t="str">
        <f>IFERROR(VLOOKUP(E368, LookUP_Table!$A$1:$B$4, 2, FALSE), "")</f>
        <v>Secondary</v>
      </c>
      <c r="H368">
        <v>1</v>
      </c>
      <c r="I368">
        <v>35</v>
      </c>
      <c r="J368" t="str">
        <f t="shared" si="30"/>
        <v>Smoker</v>
      </c>
      <c r="K368">
        <v>0</v>
      </c>
      <c r="L368">
        <v>0</v>
      </c>
      <c r="M368">
        <v>0</v>
      </c>
      <c r="N368">
        <v>0</v>
      </c>
      <c r="O368">
        <v>192</v>
      </c>
      <c r="P368" t="str">
        <f t="shared" si="31"/>
        <v>Normal</v>
      </c>
      <c r="Q368">
        <v>107</v>
      </c>
      <c r="R368">
        <v>71</v>
      </c>
      <c r="S368">
        <v>24.28</v>
      </c>
      <c r="T368" t="str">
        <f t="shared" si="32"/>
        <v>Normal</v>
      </c>
      <c r="U368">
        <v>75</v>
      </c>
      <c r="V368">
        <v>81.96365524402907</v>
      </c>
      <c r="W368" t="str">
        <f t="shared" si="35"/>
        <v>Normal</v>
      </c>
      <c r="X368">
        <v>0</v>
      </c>
    </row>
    <row r="369" spans="1:24" ht="14.5" thickBot="1" x14ac:dyDescent="0.35">
      <c r="A369">
        <v>0</v>
      </c>
      <c r="B369" t="str">
        <f t="shared" si="33"/>
        <v>Female</v>
      </c>
      <c r="C369" s="8">
        <v>38</v>
      </c>
      <c r="D369" t="str">
        <f t="shared" si="34"/>
        <v>Young</v>
      </c>
      <c r="E369">
        <v>1</v>
      </c>
      <c r="F369" t="str">
        <f>HLOOKUP(E369, LookUP_Table!$A$6:$D$7, 2, FALSE)</f>
        <v>Primary</v>
      </c>
      <c r="G369" t="str">
        <f>IFERROR(VLOOKUP(E369, LookUP_Table!$A$1:$B$4, 2, FALSE), "")</f>
        <v>Primary</v>
      </c>
      <c r="H369">
        <v>0</v>
      </c>
      <c r="I369">
        <v>0</v>
      </c>
      <c r="J369" t="str">
        <f t="shared" si="30"/>
        <v>Non-Smoker</v>
      </c>
      <c r="K369">
        <v>0</v>
      </c>
      <c r="L369">
        <v>0</v>
      </c>
      <c r="M369">
        <v>0</v>
      </c>
      <c r="N369">
        <v>0</v>
      </c>
      <c r="O369">
        <v>214</v>
      </c>
      <c r="P369" t="str">
        <f t="shared" si="31"/>
        <v>Normal</v>
      </c>
      <c r="Q369">
        <v>115</v>
      </c>
      <c r="R369">
        <v>90</v>
      </c>
      <c r="S369">
        <v>25.69</v>
      </c>
      <c r="T369" t="str">
        <f t="shared" si="32"/>
        <v>Overweight</v>
      </c>
      <c r="U369">
        <v>80</v>
      </c>
      <c r="V369">
        <v>65</v>
      </c>
      <c r="W369" t="str">
        <f t="shared" si="35"/>
        <v>Normal</v>
      </c>
      <c r="X369">
        <v>0</v>
      </c>
    </row>
    <row r="370" spans="1:24" ht="14.5" thickBot="1" x14ac:dyDescent="0.35">
      <c r="A370">
        <v>0</v>
      </c>
      <c r="B370" t="str">
        <f t="shared" si="33"/>
        <v>Female</v>
      </c>
      <c r="C370" s="8">
        <v>38</v>
      </c>
      <c r="D370" t="str">
        <f t="shared" si="34"/>
        <v>Young</v>
      </c>
      <c r="E370">
        <v>3</v>
      </c>
      <c r="F370" t="str">
        <f>HLOOKUP(E370, LookUP_Table!$A$6:$D$7, 2, FALSE)</f>
        <v>Graduate</v>
      </c>
      <c r="G370" t="str">
        <f>IFERROR(VLOOKUP(E370, LookUP_Table!$A$1:$B$4, 2, FALSE), "")</f>
        <v>Graduate</v>
      </c>
      <c r="H370">
        <v>0</v>
      </c>
      <c r="I370">
        <v>0</v>
      </c>
      <c r="J370" t="str">
        <f t="shared" si="30"/>
        <v>Non-Smoker</v>
      </c>
      <c r="K370">
        <v>0</v>
      </c>
      <c r="L370">
        <v>0</v>
      </c>
      <c r="M370">
        <v>0</v>
      </c>
      <c r="N370">
        <v>0</v>
      </c>
      <c r="O370">
        <v>185</v>
      </c>
      <c r="P370" t="str">
        <f t="shared" si="31"/>
        <v>Normal</v>
      </c>
      <c r="Q370">
        <v>100</v>
      </c>
      <c r="R370">
        <v>72</v>
      </c>
      <c r="S370">
        <v>22.15</v>
      </c>
      <c r="T370" t="str">
        <f t="shared" si="32"/>
        <v>Normal</v>
      </c>
      <c r="U370">
        <v>85</v>
      </c>
      <c r="V370">
        <v>83</v>
      </c>
      <c r="W370" t="str">
        <f t="shared" si="35"/>
        <v>Normal</v>
      </c>
      <c r="X370">
        <v>0</v>
      </c>
    </row>
    <row r="371" spans="1:24" ht="14.5" thickBot="1" x14ac:dyDescent="0.35">
      <c r="A371">
        <v>1</v>
      </c>
      <c r="B371" t="str">
        <f t="shared" si="33"/>
        <v>Male</v>
      </c>
      <c r="C371" s="8">
        <v>38</v>
      </c>
      <c r="D371" t="str">
        <f t="shared" si="34"/>
        <v>Young</v>
      </c>
      <c r="E371">
        <v>2</v>
      </c>
      <c r="F371" t="str">
        <f>HLOOKUP(E371, LookUP_Table!$A$6:$D$7, 2, FALSE)</f>
        <v>Secondary</v>
      </c>
      <c r="G371" t="str">
        <f>IFERROR(VLOOKUP(E371, LookUP_Table!$A$1:$B$4, 2, FALSE), "")</f>
        <v>Secondary</v>
      </c>
      <c r="H371">
        <v>1</v>
      </c>
      <c r="I371">
        <v>30</v>
      </c>
      <c r="J371" t="str">
        <f t="shared" si="30"/>
        <v>Smoker</v>
      </c>
      <c r="K371">
        <v>0</v>
      </c>
      <c r="L371">
        <v>0</v>
      </c>
      <c r="M371">
        <v>1</v>
      </c>
      <c r="N371">
        <v>0</v>
      </c>
      <c r="O371">
        <v>266</v>
      </c>
      <c r="P371" t="str">
        <f t="shared" si="31"/>
        <v>High</v>
      </c>
      <c r="Q371">
        <v>149</v>
      </c>
      <c r="R371">
        <v>91</v>
      </c>
      <c r="S371">
        <v>31.08</v>
      </c>
      <c r="T371" t="str">
        <f t="shared" si="32"/>
        <v>Obese</v>
      </c>
      <c r="U371">
        <v>69</v>
      </c>
      <c r="V371">
        <v>61</v>
      </c>
      <c r="W371" t="str">
        <f t="shared" si="35"/>
        <v>Normal</v>
      </c>
      <c r="X371">
        <v>0</v>
      </c>
    </row>
    <row r="372" spans="1:24" ht="14.5" thickBot="1" x14ac:dyDescent="0.35">
      <c r="A372">
        <v>0</v>
      </c>
      <c r="B372" t="str">
        <f t="shared" si="33"/>
        <v>Female</v>
      </c>
      <c r="C372" s="8">
        <v>38</v>
      </c>
      <c r="D372" t="str">
        <f t="shared" si="34"/>
        <v>Young</v>
      </c>
      <c r="E372">
        <v>4</v>
      </c>
      <c r="F372" t="str">
        <f>HLOOKUP(E372, LookUP_Table!$A$6:$D$7, 2, FALSE)</f>
        <v>Post Graduate</v>
      </c>
      <c r="G372" t="str">
        <f>IFERROR(VLOOKUP(E372, LookUP_Table!$A$1:$B$4, 2, FALSE), "")</f>
        <v>Post Graduate</v>
      </c>
      <c r="H372">
        <v>0</v>
      </c>
      <c r="I372">
        <v>0</v>
      </c>
      <c r="J372" t="str">
        <f t="shared" si="30"/>
        <v>Non-Smoker</v>
      </c>
      <c r="K372">
        <v>0</v>
      </c>
      <c r="L372">
        <v>0</v>
      </c>
      <c r="M372">
        <v>0</v>
      </c>
      <c r="N372">
        <v>0</v>
      </c>
      <c r="O372">
        <v>254</v>
      </c>
      <c r="P372" t="str">
        <f t="shared" si="31"/>
        <v>High</v>
      </c>
      <c r="Q372">
        <v>120.5</v>
      </c>
      <c r="R372">
        <v>76</v>
      </c>
      <c r="S372">
        <v>22.73</v>
      </c>
      <c r="T372" t="str">
        <f t="shared" si="32"/>
        <v>Normal</v>
      </c>
      <c r="U372">
        <v>75</v>
      </c>
      <c r="V372">
        <v>78</v>
      </c>
      <c r="W372" t="str">
        <f t="shared" si="35"/>
        <v>Normal</v>
      </c>
      <c r="X372">
        <v>0</v>
      </c>
    </row>
    <row r="373" spans="1:24" ht="14.5" thickBot="1" x14ac:dyDescent="0.35">
      <c r="A373">
        <v>1</v>
      </c>
      <c r="B373" t="str">
        <f t="shared" si="33"/>
        <v>Male</v>
      </c>
      <c r="C373" s="8">
        <v>38</v>
      </c>
      <c r="D373" t="str">
        <f t="shared" si="34"/>
        <v>Young</v>
      </c>
      <c r="E373">
        <v>4</v>
      </c>
      <c r="F373" t="str">
        <f>HLOOKUP(E373, LookUP_Table!$A$6:$D$7, 2, FALSE)</f>
        <v>Post Graduate</v>
      </c>
      <c r="G373" t="str">
        <f>IFERROR(VLOOKUP(E373, LookUP_Table!$A$1:$B$4, 2, FALSE), "")</f>
        <v>Post Graduate</v>
      </c>
      <c r="H373">
        <v>1</v>
      </c>
      <c r="I373">
        <v>15</v>
      </c>
      <c r="J373" t="str">
        <f t="shared" si="30"/>
        <v>Smoker</v>
      </c>
      <c r="K373">
        <v>0</v>
      </c>
      <c r="L373">
        <v>0</v>
      </c>
      <c r="M373">
        <v>0</v>
      </c>
      <c r="N373">
        <v>0</v>
      </c>
      <c r="O373">
        <v>248</v>
      </c>
      <c r="P373" t="str">
        <f t="shared" si="31"/>
        <v>High</v>
      </c>
      <c r="Q373">
        <v>110</v>
      </c>
      <c r="R373">
        <v>61</v>
      </c>
      <c r="S373">
        <v>22.17</v>
      </c>
      <c r="T373" t="str">
        <f t="shared" si="32"/>
        <v>Normal</v>
      </c>
      <c r="U373">
        <v>85</v>
      </c>
      <c r="V373">
        <v>55</v>
      </c>
      <c r="W373" t="str">
        <f t="shared" si="35"/>
        <v>Normal</v>
      </c>
      <c r="X373">
        <v>1</v>
      </c>
    </row>
    <row r="374" spans="1:24" ht="14.5" thickBot="1" x14ac:dyDescent="0.35">
      <c r="A374">
        <v>0</v>
      </c>
      <c r="B374" t="str">
        <f t="shared" si="33"/>
        <v>Female</v>
      </c>
      <c r="C374" s="8">
        <v>38</v>
      </c>
      <c r="D374" t="str">
        <f t="shared" si="34"/>
        <v>Young</v>
      </c>
      <c r="E374">
        <v>3</v>
      </c>
      <c r="F374" t="str">
        <f>HLOOKUP(E374, LookUP_Table!$A$6:$D$7, 2, FALSE)</f>
        <v>Graduate</v>
      </c>
      <c r="G374" t="str">
        <f>IFERROR(VLOOKUP(E374, LookUP_Table!$A$1:$B$4, 2, FALSE), "")</f>
        <v>Graduate</v>
      </c>
      <c r="H374">
        <v>1</v>
      </c>
      <c r="I374">
        <v>20</v>
      </c>
      <c r="J374" t="str">
        <f t="shared" si="30"/>
        <v>Smoker</v>
      </c>
      <c r="K374">
        <v>0</v>
      </c>
      <c r="L374">
        <v>0</v>
      </c>
      <c r="M374">
        <v>0</v>
      </c>
      <c r="N374">
        <v>0</v>
      </c>
      <c r="O374">
        <v>167</v>
      </c>
      <c r="P374" t="str">
        <f t="shared" si="31"/>
        <v>Normal</v>
      </c>
      <c r="Q374">
        <v>105</v>
      </c>
      <c r="R374">
        <v>70</v>
      </c>
      <c r="S374">
        <v>19.760000000000002</v>
      </c>
      <c r="T374" t="str">
        <f t="shared" si="32"/>
        <v>Normal</v>
      </c>
      <c r="U374">
        <v>80</v>
      </c>
      <c r="V374">
        <v>80</v>
      </c>
      <c r="W374" t="str">
        <f t="shared" si="35"/>
        <v>Normal</v>
      </c>
      <c r="X374">
        <v>0</v>
      </c>
    </row>
    <row r="375" spans="1:24" ht="14.5" thickBot="1" x14ac:dyDescent="0.35">
      <c r="A375">
        <v>1</v>
      </c>
      <c r="B375" t="str">
        <f t="shared" si="33"/>
        <v>Male</v>
      </c>
      <c r="C375" s="8">
        <v>38</v>
      </c>
      <c r="D375" t="str">
        <f t="shared" si="34"/>
        <v>Young</v>
      </c>
      <c r="E375">
        <v>4</v>
      </c>
      <c r="F375" t="str">
        <f>HLOOKUP(E375, LookUP_Table!$A$6:$D$7, 2, FALSE)</f>
        <v>Post Graduate</v>
      </c>
      <c r="G375" t="str">
        <f>IFERROR(VLOOKUP(E375, LookUP_Table!$A$1:$B$4, 2, FALSE), "")</f>
        <v>Post Graduate</v>
      </c>
      <c r="H375">
        <v>0</v>
      </c>
      <c r="I375">
        <v>0</v>
      </c>
      <c r="J375" t="str">
        <f t="shared" si="30"/>
        <v>Non-Smoker</v>
      </c>
      <c r="K375">
        <v>0</v>
      </c>
      <c r="L375">
        <v>0</v>
      </c>
      <c r="M375">
        <v>0</v>
      </c>
      <c r="N375">
        <v>0</v>
      </c>
      <c r="O375">
        <v>210</v>
      </c>
      <c r="P375" t="str">
        <f t="shared" si="31"/>
        <v>Normal</v>
      </c>
      <c r="Q375">
        <v>116.5</v>
      </c>
      <c r="R375">
        <v>74</v>
      </c>
      <c r="S375">
        <v>21.19</v>
      </c>
      <c r="T375" t="str">
        <f t="shared" si="32"/>
        <v>Normal</v>
      </c>
      <c r="U375">
        <v>65</v>
      </c>
      <c r="V375">
        <v>89</v>
      </c>
      <c r="W375" t="str">
        <f t="shared" si="35"/>
        <v>Normal</v>
      </c>
      <c r="X375">
        <v>0</v>
      </c>
    </row>
    <row r="376" spans="1:24" ht="14.5" thickBot="1" x14ac:dyDescent="0.35">
      <c r="A376">
        <v>1</v>
      </c>
      <c r="B376" t="str">
        <f t="shared" si="33"/>
        <v>Male</v>
      </c>
      <c r="C376" s="8">
        <v>38</v>
      </c>
      <c r="D376" t="str">
        <f t="shared" si="34"/>
        <v>Young</v>
      </c>
      <c r="E376">
        <v>1</v>
      </c>
      <c r="F376" t="str">
        <f>HLOOKUP(E376, LookUP_Table!$A$6:$D$7, 2, FALSE)</f>
        <v>Primary</v>
      </c>
      <c r="G376" t="str">
        <f>IFERROR(VLOOKUP(E376, LookUP_Table!$A$1:$B$4, 2, FALSE), "")</f>
        <v>Primary</v>
      </c>
      <c r="H376">
        <v>1</v>
      </c>
      <c r="I376">
        <v>9</v>
      </c>
      <c r="J376" t="str">
        <f t="shared" si="30"/>
        <v>Smoker</v>
      </c>
      <c r="K376">
        <v>0</v>
      </c>
      <c r="L376">
        <v>0</v>
      </c>
      <c r="M376">
        <v>0</v>
      </c>
      <c r="N376">
        <v>0</v>
      </c>
      <c r="O376">
        <v>305</v>
      </c>
      <c r="P376" t="str">
        <f t="shared" si="31"/>
        <v>High</v>
      </c>
      <c r="Q376">
        <v>114</v>
      </c>
      <c r="R376">
        <v>80</v>
      </c>
      <c r="S376">
        <v>28.61</v>
      </c>
      <c r="T376" t="str">
        <f t="shared" si="32"/>
        <v>Overweight</v>
      </c>
      <c r="U376">
        <v>75</v>
      </c>
      <c r="V376">
        <v>71</v>
      </c>
      <c r="W376" t="str">
        <f t="shared" si="35"/>
        <v>Normal</v>
      </c>
      <c r="X376">
        <v>0</v>
      </c>
    </row>
    <row r="377" spans="1:24" ht="14.5" thickBot="1" x14ac:dyDescent="0.35">
      <c r="A377">
        <v>0</v>
      </c>
      <c r="B377" t="str">
        <f t="shared" si="33"/>
        <v>Female</v>
      </c>
      <c r="C377" s="8">
        <v>38</v>
      </c>
      <c r="D377" t="str">
        <f t="shared" si="34"/>
        <v>Young</v>
      </c>
      <c r="E377">
        <v>3</v>
      </c>
      <c r="F377" t="str">
        <f>HLOOKUP(E377, LookUP_Table!$A$6:$D$7, 2, FALSE)</f>
        <v>Graduate</v>
      </c>
      <c r="G377" t="str">
        <f>IFERROR(VLOOKUP(E377, LookUP_Table!$A$1:$B$4, 2, FALSE), "")</f>
        <v>Graduate</v>
      </c>
      <c r="H377">
        <v>1</v>
      </c>
      <c r="I377">
        <v>35</v>
      </c>
      <c r="J377" t="str">
        <f t="shared" si="30"/>
        <v>Smoker</v>
      </c>
      <c r="K377">
        <v>0</v>
      </c>
      <c r="L377">
        <v>0</v>
      </c>
      <c r="M377">
        <v>0</v>
      </c>
      <c r="N377">
        <v>0</v>
      </c>
      <c r="O377">
        <v>164</v>
      </c>
      <c r="P377" t="str">
        <f t="shared" si="31"/>
        <v>Normal</v>
      </c>
      <c r="Q377">
        <v>110</v>
      </c>
      <c r="R377">
        <v>76</v>
      </c>
      <c r="S377">
        <v>23.85</v>
      </c>
      <c r="T377" t="str">
        <f t="shared" si="32"/>
        <v>Normal</v>
      </c>
      <c r="U377">
        <v>68</v>
      </c>
      <c r="V377">
        <v>83</v>
      </c>
      <c r="W377" t="str">
        <f t="shared" si="35"/>
        <v>Normal</v>
      </c>
      <c r="X377">
        <v>0</v>
      </c>
    </row>
    <row r="378" spans="1:24" ht="14.5" thickBot="1" x14ac:dyDescent="0.35">
      <c r="A378">
        <v>1</v>
      </c>
      <c r="B378" t="str">
        <f t="shared" si="33"/>
        <v>Male</v>
      </c>
      <c r="C378" s="8">
        <v>38</v>
      </c>
      <c r="D378" t="str">
        <f t="shared" si="34"/>
        <v>Young</v>
      </c>
      <c r="E378">
        <v>2</v>
      </c>
      <c r="F378" t="str">
        <f>HLOOKUP(E378, LookUP_Table!$A$6:$D$7, 2, FALSE)</f>
        <v>Secondary</v>
      </c>
      <c r="G378" t="str">
        <f>IFERROR(VLOOKUP(E378, LookUP_Table!$A$1:$B$4, 2, FALSE), "")</f>
        <v>Secondary</v>
      </c>
      <c r="H378">
        <v>0</v>
      </c>
      <c r="I378">
        <v>0</v>
      </c>
      <c r="J378" t="str">
        <f t="shared" si="30"/>
        <v>Non-Smoker</v>
      </c>
      <c r="K378">
        <v>0</v>
      </c>
      <c r="L378">
        <v>0</v>
      </c>
      <c r="M378">
        <v>0</v>
      </c>
      <c r="N378">
        <v>0</v>
      </c>
      <c r="O378">
        <v>155</v>
      </c>
      <c r="P378" t="str">
        <f t="shared" si="31"/>
        <v>Normal</v>
      </c>
      <c r="Q378">
        <v>131.5</v>
      </c>
      <c r="R378">
        <v>77.5</v>
      </c>
      <c r="S378">
        <v>25.94</v>
      </c>
      <c r="T378" t="str">
        <f t="shared" si="32"/>
        <v>Overweight</v>
      </c>
      <c r="U378">
        <v>74</v>
      </c>
      <c r="V378">
        <v>84</v>
      </c>
      <c r="W378" t="str">
        <f t="shared" si="35"/>
        <v>Normal</v>
      </c>
      <c r="X378">
        <v>0</v>
      </c>
    </row>
    <row r="379" spans="1:24" ht="14.5" thickBot="1" x14ac:dyDescent="0.35">
      <c r="A379">
        <v>0</v>
      </c>
      <c r="B379" t="str">
        <f t="shared" si="33"/>
        <v>Female</v>
      </c>
      <c r="C379" s="8">
        <v>38</v>
      </c>
      <c r="D379" t="str">
        <f t="shared" si="34"/>
        <v>Young</v>
      </c>
      <c r="E379">
        <v>3</v>
      </c>
      <c r="F379" t="str">
        <f>HLOOKUP(E379, LookUP_Table!$A$6:$D$7, 2, FALSE)</f>
        <v>Graduate</v>
      </c>
      <c r="G379" t="str">
        <f>IFERROR(VLOOKUP(E379, LookUP_Table!$A$1:$B$4, 2, FALSE), "")</f>
        <v>Graduate</v>
      </c>
      <c r="H379">
        <v>0</v>
      </c>
      <c r="I379">
        <v>0</v>
      </c>
      <c r="J379" t="str">
        <f t="shared" si="30"/>
        <v>Non-Smoker</v>
      </c>
      <c r="K379">
        <v>0</v>
      </c>
      <c r="L379">
        <v>0</v>
      </c>
      <c r="M379">
        <v>0</v>
      </c>
      <c r="N379">
        <v>0</v>
      </c>
      <c r="O379">
        <v>159</v>
      </c>
      <c r="P379" t="str">
        <f t="shared" si="31"/>
        <v>Normal</v>
      </c>
      <c r="Q379">
        <v>108</v>
      </c>
      <c r="R379">
        <v>72</v>
      </c>
      <c r="S379">
        <v>27.68</v>
      </c>
      <c r="T379" t="str">
        <f t="shared" si="32"/>
        <v>Overweight</v>
      </c>
      <c r="U379">
        <v>70</v>
      </c>
      <c r="V379">
        <v>84</v>
      </c>
      <c r="W379" t="str">
        <f t="shared" si="35"/>
        <v>Normal</v>
      </c>
      <c r="X379">
        <v>0</v>
      </c>
    </row>
    <row r="380" spans="1:24" ht="14.5" thickBot="1" x14ac:dyDescent="0.35">
      <c r="A380">
        <v>1</v>
      </c>
      <c r="B380" t="str">
        <f t="shared" si="33"/>
        <v>Male</v>
      </c>
      <c r="C380" s="8">
        <v>38</v>
      </c>
      <c r="D380" t="str">
        <f t="shared" si="34"/>
        <v>Young</v>
      </c>
      <c r="E380">
        <v>4</v>
      </c>
      <c r="F380" t="str">
        <f>HLOOKUP(E380, LookUP_Table!$A$6:$D$7, 2, FALSE)</f>
        <v>Post Graduate</v>
      </c>
      <c r="G380" t="str">
        <f>IFERROR(VLOOKUP(E380, LookUP_Table!$A$1:$B$4, 2, FALSE), "")</f>
        <v>Post Graduate</v>
      </c>
      <c r="H380">
        <v>0</v>
      </c>
      <c r="I380">
        <v>0</v>
      </c>
      <c r="J380" t="str">
        <f t="shared" si="30"/>
        <v>Non-Smoker</v>
      </c>
      <c r="K380">
        <v>0</v>
      </c>
      <c r="L380">
        <v>0</v>
      </c>
      <c r="M380">
        <v>0</v>
      </c>
      <c r="N380">
        <v>0</v>
      </c>
      <c r="O380">
        <v>197</v>
      </c>
      <c r="P380" t="str">
        <f t="shared" si="31"/>
        <v>Normal</v>
      </c>
      <c r="Q380">
        <v>121</v>
      </c>
      <c r="R380">
        <v>82</v>
      </c>
      <c r="S380">
        <v>24.57</v>
      </c>
      <c r="T380" t="str">
        <f t="shared" si="32"/>
        <v>Normal</v>
      </c>
      <c r="U380">
        <v>60</v>
      </c>
      <c r="V380">
        <v>74</v>
      </c>
      <c r="W380" t="str">
        <f t="shared" si="35"/>
        <v>Normal</v>
      </c>
      <c r="X380">
        <v>0</v>
      </c>
    </row>
    <row r="381" spans="1:24" ht="14.5" thickBot="1" x14ac:dyDescent="0.35">
      <c r="A381">
        <v>0</v>
      </c>
      <c r="B381" t="str">
        <f t="shared" si="33"/>
        <v>Female</v>
      </c>
      <c r="C381" s="8">
        <v>38</v>
      </c>
      <c r="D381" t="str">
        <f t="shared" si="34"/>
        <v>Young</v>
      </c>
      <c r="E381">
        <v>2</v>
      </c>
      <c r="F381" t="str">
        <f>HLOOKUP(E381, LookUP_Table!$A$6:$D$7, 2, FALSE)</f>
        <v>Secondary</v>
      </c>
      <c r="G381" t="str">
        <f>IFERROR(VLOOKUP(E381, LookUP_Table!$A$1:$B$4, 2, FALSE), "")</f>
        <v>Secondary</v>
      </c>
      <c r="H381">
        <v>0</v>
      </c>
      <c r="I381">
        <v>0</v>
      </c>
      <c r="J381" t="str">
        <f t="shared" si="30"/>
        <v>Non-Smoker</v>
      </c>
      <c r="K381">
        <v>0</v>
      </c>
      <c r="L381">
        <v>0</v>
      </c>
      <c r="M381">
        <v>0</v>
      </c>
      <c r="N381">
        <v>0</v>
      </c>
      <c r="O381">
        <v>175</v>
      </c>
      <c r="P381" t="str">
        <f t="shared" si="31"/>
        <v>Normal</v>
      </c>
      <c r="Q381">
        <v>142</v>
      </c>
      <c r="R381">
        <v>86</v>
      </c>
      <c r="S381">
        <v>22.01</v>
      </c>
      <c r="T381" t="str">
        <f t="shared" si="32"/>
        <v>Normal</v>
      </c>
      <c r="U381">
        <v>82</v>
      </c>
      <c r="V381">
        <v>73</v>
      </c>
      <c r="W381" t="str">
        <f t="shared" si="35"/>
        <v>Normal</v>
      </c>
      <c r="X381">
        <v>0</v>
      </c>
    </row>
    <row r="382" spans="1:24" ht="14.5" thickBot="1" x14ac:dyDescent="0.35">
      <c r="A382">
        <v>1</v>
      </c>
      <c r="B382" t="str">
        <f t="shared" si="33"/>
        <v>Male</v>
      </c>
      <c r="C382" s="8">
        <v>38</v>
      </c>
      <c r="D382" t="str">
        <f t="shared" si="34"/>
        <v>Young</v>
      </c>
      <c r="E382">
        <v>3</v>
      </c>
      <c r="F382" t="str">
        <f>HLOOKUP(E382, LookUP_Table!$A$6:$D$7, 2, FALSE)</f>
        <v>Graduate</v>
      </c>
      <c r="G382" t="str">
        <f>IFERROR(VLOOKUP(E382, LookUP_Table!$A$1:$B$4, 2, FALSE), "")</f>
        <v>Graduate</v>
      </c>
      <c r="H382">
        <v>0</v>
      </c>
      <c r="I382">
        <v>0</v>
      </c>
      <c r="J382" t="str">
        <f t="shared" si="30"/>
        <v>Non-Smoker</v>
      </c>
      <c r="K382">
        <v>0</v>
      </c>
      <c r="L382">
        <v>0</v>
      </c>
      <c r="M382">
        <v>1</v>
      </c>
      <c r="N382">
        <v>0</v>
      </c>
      <c r="O382">
        <v>216</v>
      </c>
      <c r="P382" t="str">
        <f t="shared" si="31"/>
        <v>Normal</v>
      </c>
      <c r="Q382">
        <v>124</v>
      </c>
      <c r="R382">
        <v>84</v>
      </c>
      <c r="S382">
        <v>28.12</v>
      </c>
      <c r="T382" t="str">
        <f t="shared" si="32"/>
        <v>Overweight</v>
      </c>
      <c r="U382">
        <v>63</v>
      </c>
      <c r="V382">
        <v>75</v>
      </c>
      <c r="W382" t="str">
        <f t="shared" si="35"/>
        <v>Normal</v>
      </c>
      <c r="X382">
        <v>0</v>
      </c>
    </row>
    <row r="383" spans="1:24" ht="14.5" thickBot="1" x14ac:dyDescent="0.35">
      <c r="A383">
        <v>0</v>
      </c>
      <c r="B383" t="str">
        <f t="shared" si="33"/>
        <v>Female</v>
      </c>
      <c r="C383" s="8">
        <v>38</v>
      </c>
      <c r="D383" t="str">
        <f t="shared" si="34"/>
        <v>Young</v>
      </c>
      <c r="E383">
        <v>4</v>
      </c>
      <c r="F383" t="str">
        <f>HLOOKUP(E383, LookUP_Table!$A$6:$D$7, 2, FALSE)</f>
        <v>Post Graduate</v>
      </c>
      <c r="G383" t="str">
        <f>IFERROR(VLOOKUP(E383, LookUP_Table!$A$1:$B$4, 2, FALSE), "")</f>
        <v>Post Graduate</v>
      </c>
      <c r="H383">
        <v>0</v>
      </c>
      <c r="I383">
        <v>0</v>
      </c>
      <c r="J383" t="str">
        <f t="shared" si="30"/>
        <v>Non-Smoker</v>
      </c>
      <c r="K383">
        <v>0</v>
      </c>
      <c r="L383">
        <v>0</v>
      </c>
      <c r="M383">
        <v>0</v>
      </c>
      <c r="N383">
        <v>0</v>
      </c>
      <c r="O383">
        <v>227</v>
      </c>
      <c r="P383" t="str">
        <f t="shared" si="31"/>
        <v>Normal</v>
      </c>
      <c r="Q383">
        <v>99</v>
      </c>
      <c r="R383">
        <v>62</v>
      </c>
      <c r="S383">
        <v>27.16</v>
      </c>
      <c r="T383" t="str">
        <f t="shared" si="32"/>
        <v>Overweight</v>
      </c>
      <c r="U383">
        <v>75</v>
      </c>
      <c r="V383">
        <v>90</v>
      </c>
      <c r="W383" t="str">
        <f t="shared" si="35"/>
        <v>Normal</v>
      </c>
      <c r="X383">
        <v>0</v>
      </c>
    </row>
    <row r="384" spans="1:24" ht="14.5" thickBot="1" x14ac:dyDescent="0.35">
      <c r="A384">
        <v>0</v>
      </c>
      <c r="B384" t="str">
        <f t="shared" si="33"/>
        <v>Female</v>
      </c>
      <c r="C384" s="8">
        <v>38</v>
      </c>
      <c r="D384" t="str">
        <f t="shared" si="34"/>
        <v>Young</v>
      </c>
      <c r="E384">
        <v>1</v>
      </c>
      <c r="F384" t="str">
        <f>HLOOKUP(E384, LookUP_Table!$A$6:$D$7, 2, FALSE)</f>
        <v>Primary</v>
      </c>
      <c r="G384" t="str">
        <f>IFERROR(VLOOKUP(E384, LookUP_Table!$A$1:$B$4, 2, FALSE), "")</f>
        <v>Primary</v>
      </c>
      <c r="H384">
        <v>1</v>
      </c>
      <c r="I384">
        <v>20</v>
      </c>
      <c r="J384" t="str">
        <f t="shared" si="30"/>
        <v>Smoker</v>
      </c>
      <c r="K384">
        <v>0</v>
      </c>
      <c r="L384">
        <v>0</v>
      </c>
      <c r="M384">
        <v>0</v>
      </c>
      <c r="N384">
        <v>0</v>
      </c>
      <c r="O384">
        <v>214</v>
      </c>
      <c r="P384" t="str">
        <f t="shared" si="31"/>
        <v>Normal</v>
      </c>
      <c r="Q384">
        <v>101</v>
      </c>
      <c r="R384">
        <v>70</v>
      </c>
      <c r="S384">
        <v>21.83</v>
      </c>
      <c r="T384" t="str">
        <f t="shared" si="32"/>
        <v>Normal</v>
      </c>
      <c r="U384">
        <v>75</v>
      </c>
      <c r="V384">
        <v>77</v>
      </c>
      <c r="W384" t="str">
        <f t="shared" si="35"/>
        <v>Normal</v>
      </c>
      <c r="X384">
        <v>0</v>
      </c>
    </row>
    <row r="385" spans="1:24" ht="14.5" thickBot="1" x14ac:dyDescent="0.35">
      <c r="A385">
        <v>1</v>
      </c>
      <c r="B385" t="str">
        <f t="shared" si="33"/>
        <v>Male</v>
      </c>
      <c r="C385" s="8">
        <v>38</v>
      </c>
      <c r="D385" t="str">
        <f t="shared" si="34"/>
        <v>Young</v>
      </c>
      <c r="E385">
        <v>2</v>
      </c>
      <c r="F385" t="str">
        <f>HLOOKUP(E385, LookUP_Table!$A$6:$D$7, 2, FALSE)</f>
        <v>Secondary</v>
      </c>
      <c r="G385" t="str">
        <f>IFERROR(VLOOKUP(E385, LookUP_Table!$A$1:$B$4, 2, FALSE), "")</f>
        <v>Secondary</v>
      </c>
      <c r="H385">
        <v>0</v>
      </c>
      <c r="I385">
        <v>0</v>
      </c>
      <c r="J385" t="str">
        <f t="shared" si="30"/>
        <v>Non-Smoker</v>
      </c>
      <c r="K385">
        <v>0</v>
      </c>
      <c r="L385">
        <v>0</v>
      </c>
      <c r="M385">
        <v>0</v>
      </c>
      <c r="N385">
        <v>0</v>
      </c>
      <c r="O385">
        <v>235</v>
      </c>
      <c r="P385" t="str">
        <f t="shared" si="31"/>
        <v>Normal</v>
      </c>
      <c r="Q385">
        <v>121</v>
      </c>
      <c r="R385">
        <v>83</v>
      </c>
      <c r="S385">
        <v>25.85</v>
      </c>
      <c r="T385" t="str">
        <f t="shared" si="32"/>
        <v>Overweight</v>
      </c>
      <c r="U385">
        <v>92</v>
      </c>
      <c r="V385">
        <v>75</v>
      </c>
      <c r="W385" t="str">
        <f t="shared" si="35"/>
        <v>Normal</v>
      </c>
      <c r="X385">
        <v>0</v>
      </c>
    </row>
    <row r="386" spans="1:24" ht="14.5" thickBot="1" x14ac:dyDescent="0.35">
      <c r="A386">
        <v>0</v>
      </c>
      <c r="B386" t="str">
        <f t="shared" si="33"/>
        <v>Female</v>
      </c>
      <c r="C386" s="8">
        <v>38</v>
      </c>
      <c r="D386" t="str">
        <f t="shared" si="34"/>
        <v>Young</v>
      </c>
      <c r="E386">
        <v>2</v>
      </c>
      <c r="F386" t="str">
        <f>HLOOKUP(E386, LookUP_Table!$A$6:$D$7, 2, FALSE)</f>
        <v>Secondary</v>
      </c>
      <c r="G386" t="str">
        <f>IFERROR(VLOOKUP(E386, LookUP_Table!$A$1:$B$4, 2, FALSE), "")</f>
        <v>Secondary</v>
      </c>
      <c r="H386">
        <v>0</v>
      </c>
      <c r="I386">
        <v>0</v>
      </c>
      <c r="J386" t="str">
        <f t="shared" ref="J386:J449" si="36">IF(I386&gt;0,"Smoker","Non-Smoker")</f>
        <v>Non-Smoker</v>
      </c>
      <c r="K386">
        <v>0</v>
      </c>
      <c r="L386">
        <v>0</v>
      </c>
      <c r="M386">
        <v>0</v>
      </c>
      <c r="N386">
        <v>0</v>
      </c>
      <c r="O386">
        <v>169</v>
      </c>
      <c r="P386" t="str">
        <f t="shared" ref="P386:P449" si="37">IF(O386&gt;240,"High","Normal")</f>
        <v>Normal</v>
      </c>
      <c r="Q386">
        <v>115</v>
      </c>
      <c r="R386">
        <v>60</v>
      </c>
      <c r="S386">
        <v>26.87</v>
      </c>
      <c r="T386" t="str">
        <f t="shared" ref="T386:T449" si="38">IF(S386&lt;18.5,"Underweight",
IF(S386&lt;25,"Normal",
IF(S386&lt;30,"Overweight","Obese")))</f>
        <v>Overweight</v>
      </c>
      <c r="U386">
        <v>65</v>
      </c>
      <c r="V386">
        <v>60</v>
      </c>
      <c r="W386" t="str">
        <f t="shared" si="35"/>
        <v>Normal</v>
      </c>
      <c r="X386">
        <v>0</v>
      </c>
    </row>
    <row r="387" spans="1:24" ht="14.5" thickBot="1" x14ac:dyDescent="0.35">
      <c r="A387">
        <v>0</v>
      </c>
      <c r="B387" t="str">
        <f t="shared" ref="B387:B450" si="39">IF(A387=0,"Female","Male")</f>
        <v>Female</v>
      </c>
      <c r="C387" s="8">
        <v>38</v>
      </c>
      <c r="D387" t="str">
        <f t="shared" ref="D387:D450" si="40">IF(C387&lt;40,"Young",
IF(C387&lt;55,"Middle Age","Senior"))</f>
        <v>Young</v>
      </c>
      <c r="E387">
        <v>2</v>
      </c>
      <c r="F387" t="str">
        <f>HLOOKUP(E387, LookUP_Table!$A$6:$D$7, 2, FALSE)</f>
        <v>Secondary</v>
      </c>
      <c r="G387" t="str">
        <f>IFERROR(VLOOKUP(E387, LookUP_Table!$A$1:$B$4, 2, FALSE), "")</f>
        <v>Secondary</v>
      </c>
      <c r="H387">
        <v>0</v>
      </c>
      <c r="I387">
        <v>0</v>
      </c>
      <c r="J387" t="str">
        <f t="shared" si="36"/>
        <v>Non-Smoker</v>
      </c>
      <c r="K387">
        <v>0</v>
      </c>
      <c r="L387">
        <v>0</v>
      </c>
      <c r="M387">
        <v>0</v>
      </c>
      <c r="N387">
        <v>0</v>
      </c>
      <c r="O387">
        <v>216</v>
      </c>
      <c r="P387" t="str">
        <f t="shared" si="37"/>
        <v>Normal</v>
      </c>
      <c r="Q387">
        <v>142</v>
      </c>
      <c r="R387">
        <v>72</v>
      </c>
      <c r="S387">
        <v>22.01</v>
      </c>
      <c r="T387" t="str">
        <f t="shared" si="38"/>
        <v>Normal</v>
      </c>
      <c r="U387">
        <v>63</v>
      </c>
      <c r="V387">
        <v>75</v>
      </c>
      <c r="W387" t="str">
        <f t="shared" ref="W387:W450" si="41">IF(V387 &lt; 100, "Normal", IF(V387 &lt;= 125, "Prediabetes", "Diabetes"))</f>
        <v>Normal</v>
      </c>
      <c r="X387">
        <v>0</v>
      </c>
    </row>
    <row r="388" spans="1:24" ht="14.5" thickBot="1" x14ac:dyDescent="0.35">
      <c r="A388">
        <v>1</v>
      </c>
      <c r="B388" t="str">
        <f t="shared" si="39"/>
        <v>Male</v>
      </c>
      <c r="C388" s="8">
        <v>39</v>
      </c>
      <c r="D388" t="str">
        <f t="shared" si="40"/>
        <v>Young</v>
      </c>
      <c r="E388">
        <v>4</v>
      </c>
      <c r="F388" t="str">
        <f>HLOOKUP(E388, LookUP_Table!$A$6:$D$7, 2, FALSE)</f>
        <v>Post Graduate</v>
      </c>
      <c r="G388" t="str">
        <f>IFERROR(VLOOKUP(E388, LookUP_Table!$A$1:$B$4, 2, FALSE), "")</f>
        <v>Post Graduate</v>
      </c>
      <c r="H388">
        <v>0</v>
      </c>
      <c r="I388">
        <v>0</v>
      </c>
      <c r="J388" t="str">
        <f t="shared" si="36"/>
        <v>Non-Smoker</v>
      </c>
      <c r="K388">
        <v>0</v>
      </c>
      <c r="L388">
        <v>0</v>
      </c>
      <c r="M388">
        <v>0</v>
      </c>
      <c r="N388">
        <v>0</v>
      </c>
      <c r="O388">
        <v>195</v>
      </c>
      <c r="P388" t="str">
        <f t="shared" si="37"/>
        <v>Normal</v>
      </c>
      <c r="Q388">
        <v>106</v>
      </c>
      <c r="R388">
        <v>70</v>
      </c>
      <c r="S388">
        <v>26.97</v>
      </c>
      <c r="T388" t="str">
        <f t="shared" si="38"/>
        <v>Overweight</v>
      </c>
      <c r="U388">
        <v>80</v>
      </c>
      <c r="V388">
        <v>77</v>
      </c>
      <c r="W388" t="str">
        <f t="shared" si="41"/>
        <v>Normal</v>
      </c>
      <c r="X388">
        <v>0</v>
      </c>
    </row>
    <row r="389" spans="1:24" ht="14.5" thickBot="1" x14ac:dyDescent="0.35">
      <c r="A389">
        <v>0</v>
      </c>
      <c r="B389" t="str">
        <f t="shared" si="39"/>
        <v>Female</v>
      </c>
      <c r="C389" s="8">
        <v>39</v>
      </c>
      <c r="D389" t="str">
        <f t="shared" si="40"/>
        <v>Young</v>
      </c>
      <c r="E389">
        <v>2</v>
      </c>
      <c r="F389" t="str">
        <f>HLOOKUP(E389, LookUP_Table!$A$6:$D$7, 2, FALSE)</f>
        <v>Secondary</v>
      </c>
      <c r="G389" t="str">
        <f>IFERROR(VLOOKUP(E389, LookUP_Table!$A$1:$B$4, 2, FALSE), "")</f>
        <v>Secondary</v>
      </c>
      <c r="H389">
        <v>1</v>
      </c>
      <c r="I389">
        <v>9</v>
      </c>
      <c r="J389" t="str">
        <f t="shared" si="36"/>
        <v>Smoker</v>
      </c>
      <c r="K389">
        <v>0</v>
      </c>
      <c r="L389">
        <v>0</v>
      </c>
      <c r="M389">
        <v>0</v>
      </c>
      <c r="N389">
        <v>0</v>
      </c>
      <c r="O389">
        <v>226</v>
      </c>
      <c r="P389" t="str">
        <f t="shared" si="37"/>
        <v>Normal</v>
      </c>
      <c r="Q389">
        <v>114</v>
      </c>
      <c r="R389">
        <v>64</v>
      </c>
      <c r="S389">
        <v>22.35</v>
      </c>
      <c r="T389" t="str">
        <f t="shared" si="38"/>
        <v>Normal</v>
      </c>
      <c r="U389">
        <v>85</v>
      </c>
      <c r="V389">
        <v>81.96365524402907</v>
      </c>
      <c r="W389" t="str">
        <f t="shared" si="41"/>
        <v>Normal</v>
      </c>
      <c r="X389">
        <v>0</v>
      </c>
    </row>
    <row r="390" spans="1:24" ht="14.5" thickBot="1" x14ac:dyDescent="0.35">
      <c r="A390">
        <v>0</v>
      </c>
      <c r="B390" t="str">
        <f t="shared" si="39"/>
        <v>Female</v>
      </c>
      <c r="C390" s="8">
        <v>39</v>
      </c>
      <c r="D390" t="str">
        <f t="shared" si="40"/>
        <v>Young</v>
      </c>
      <c r="E390">
        <v>2</v>
      </c>
      <c r="F390" t="str">
        <f>HLOOKUP(E390, LookUP_Table!$A$6:$D$7, 2, FALSE)</f>
        <v>Secondary</v>
      </c>
      <c r="G390" t="str">
        <f>IFERROR(VLOOKUP(E390, LookUP_Table!$A$1:$B$4, 2, FALSE), "")</f>
        <v>Secondary</v>
      </c>
      <c r="H390">
        <v>1</v>
      </c>
      <c r="I390">
        <v>20</v>
      </c>
      <c r="J390" t="str">
        <f t="shared" si="36"/>
        <v>Smoker</v>
      </c>
      <c r="K390">
        <v>0</v>
      </c>
      <c r="L390">
        <v>0</v>
      </c>
      <c r="M390">
        <v>0</v>
      </c>
      <c r="N390">
        <v>0</v>
      </c>
      <c r="O390">
        <v>209</v>
      </c>
      <c r="P390" t="str">
        <f t="shared" si="37"/>
        <v>Normal</v>
      </c>
      <c r="Q390">
        <v>115</v>
      </c>
      <c r="R390">
        <v>75</v>
      </c>
      <c r="S390">
        <v>22.54</v>
      </c>
      <c r="T390" t="str">
        <f t="shared" si="38"/>
        <v>Normal</v>
      </c>
      <c r="U390">
        <v>90</v>
      </c>
      <c r="V390">
        <v>81.96365524402907</v>
      </c>
      <c r="W390" t="str">
        <f t="shared" si="41"/>
        <v>Normal</v>
      </c>
      <c r="X390">
        <v>0</v>
      </c>
    </row>
    <row r="391" spans="1:24" ht="14.5" thickBot="1" x14ac:dyDescent="0.35">
      <c r="A391">
        <v>1</v>
      </c>
      <c r="B391" t="str">
        <f t="shared" si="39"/>
        <v>Male</v>
      </c>
      <c r="C391" s="8">
        <v>39</v>
      </c>
      <c r="D391" t="str">
        <f t="shared" si="40"/>
        <v>Young</v>
      </c>
      <c r="E391">
        <v>2</v>
      </c>
      <c r="F391" t="str">
        <f>HLOOKUP(E391, LookUP_Table!$A$6:$D$7, 2, FALSE)</f>
        <v>Secondary</v>
      </c>
      <c r="G391" t="str">
        <f>IFERROR(VLOOKUP(E391, LookUP_Table!$A$1:$B$4, 2, FALSE), "")</f>
        <v>Secondary</v>
      </c>
      <c r="H391">
        <v>0</v>
      </c>
      <c r="I391">
        <v>0</v>
      </c>
      <c r="J391" t="str">
        <f t="shared" si="36"/>
        <v>Non-Smoker</v>
      </c>
      <c r="K391">
        <v>0</v>
      </c>
      <c r="L391">
        <v>0</v>
      </c>
      <c r="M391">
        <v>1</v>
      </c>
      <c r="N391">
        <v>0</v>
      </c>
      <c r="O391">
        <v>285</v>
      </c>
      <c r="P391" t="str">
        <f t="shared" si="37"/>
        <v>High</v>
      </c>
      <c r="Q391">
        <v>155</v>
      </c>
      <c r="R391">
        <v>110</v>
      </c>
      <c r="S391">
        <v>32.51</v>
      </c>
      <c r="T391" t="str">
        <f t="shared" si="38"/>
        <v>Obese</v>
      </c>
      <c r="U391">
        <v>84</v>
      </c>
      <c r="V391">
        <v>70</v>
      </c>
      <c r="W391" t="str">
        <f t="shared" si="41"/>
        <v>Normal</v>
      </c>
      <c r="X391">
        <v>1</v>
      </c>
    </row>
    <row r="392" spans="1:24" ht="14.5" thickBot="1" x14ac:dyDescent="0.35">
      <c r="A392">
        <v>1</v>
      </c>
      <c r="B392" t="str">
        <f t="shared" si="39"/>
        <v>Male</v>
      </c>
      <c r="C392" s="8">
        <v>39</v>
      </c>
      <c r="D392" t="str">
        <f t="shared" si="40"/>
        <v>Young</v>
      </c>
      <c r="E392">
        <v>2</v>
      </c>
      <c r="F392" t="str">
        <f>HLOOKUP(E392, LookUP_Table!$A$6:$D$7, 2, FALSE)</f>
        <v>Secondary</v>
      </c>
      <c r="G392" t="str">
        <f>IFERROR(VLOOKUP(E392, LookUP_Table!$A$1:$B$4, 2, FALSE), "")</f>
        <v>Secondary</v>
      </c>
      <c r="H392">
        <v>1</v>
      </c>
      <c r="I392">
        <v>15</v>
      </c>
      <c r="J392" t="str">
        <f t="shared" si="36"/>
        <v>Smoker</v>
      </c>
      <c r="K392">
        <v>0</v>
      </c>
      <c r="L392">
        <v>0</v>
      </c>
      <c r="M392">
        <v>0</v>
      </c>
      <c r="N392">
        <v>0</v>
      </c>
      <c r="O392">
        <v>256</v>
      </c>
      <c r="P392" t="str">
        <f t="shared" si="37"/>
        <v>High</v>
      </c>
      <c r="Q392">
        <v>132.5</v>
      </c>
      <c r="R392">
        <v>80</v>
      </c>
      <c r="S392">
        <v>24.8</v>
      </c>
      <c r="T392" t="str">
        <f t="shared" si="38"/>
        <v>Normal</v>
      </c>
      <c r="U392">
        <v>75</v>
      </c>
      <c r="V392">
        <v>97</v>
      </c>
      <c r="W392" t="str">
        <f t="shared" si="41"/>
        <v>Normal</v>
      </c>
      <c r="X392">
        <v>0</v>
      </c>
    </row>
    <row r="393" spans="1:24" ht="14.5" thickBot="1" x14ac:dyDescent="0.35">
      <c r="A393">
        <v>0</v>
      </c>
      <c r="B393" t="str">
        <f t="shared" si="39"/>
        <v>Female</v>
      </c>
      <c r="C393" s="8">
        <v>39</v>
      </c>
      <c r="D393" t="str">
        <f t="shared" si="40"/>
        <v>Young</v>
      </c>
      <c r="E393">
        <v>4</v>
      </c>
      <c r="F393" t="str">
        <f>HLOOKUP(E393, LookUP_Table!$A$6:$D$7, 2, FALSE)</f>
        <v>Post Graduate</v>
      </c>
      <c r="G393" t="str">
        <f>IFERROR(VLOOKUP(E393, LookUP_Table!$A$1:$B$4, 2, FALSE), "")</f>
        <v>Post Graduate</v>
      </c>
      <c r="H393">
        <v>0</v>
      </c>
      <c r="I393">
        <v>0</v>
      </c>
      <c r="J393" t="str">
        <f t="shared" si="36"/>
        <v>Non-Smoker</v>
      </c>
      <c r="K393">
        <v>0</v>
      </c>
      <c r="L393">
        <v>0</v>
      </c>
      <c r="M393">
        <v>0</v>
      </c>
      <c r="N393">
        <v>0</v>
      </c>
      <c r="O393">
        <v>241</v>
      </c>
      <c r="P393" t="str">
        <f t="shared" si="37"/>
        <v>High</v>
      </c>
      <c r="Q393">
        <v>105</v>
      </c>
      <c r="R393">
        <v>75</v>
      </c>
      <c r="S393">
        <v>26.12</v>
      </c>
      <c r="T393" t="str">
        <f t="shared" si="38"/>
        <v>Overweight</v>
      </c>
      <c r="U393">
        <v>68</v>
      </c>
      <c r="V393">
        <v>87</v>
      </c>
      <c r="W393" t="str">
        <f t="shared" si="41"/>
        <v>Normal</v>
      </c>
      <c r="X393">
        <v>0</v>
      </c>
    </row>
    <row r="394" spans="1:24" ht="14.5" thickBot="1" x14ac:dyDescent="0.35">
      <c r="A394">
        <v>1</v>
      </c>
      <c r="B394" t="str">
        <f t="shared" si="39"/>
        <v>Male</v>
      </c>
      <c r="C394" s="8">
        <v>39</v>
      </c>
      <c r="D394" t="str">
        <f t="shared" si="40"/>
        <v>Young</v>
      </c>
      <c r="E394">
        <v>1</v>
      </c>
      <c r="F394" t="str">
        <f>HLOOKUP(E394, LookUP_Table!$A$6:$D$7, 2, FALSE)</f>
        <v>Primary</v>
      </c>
      <c r="G394" t="str">
        <f>IFERROR(VLOOKUP(E394, LookUP_Table!$A$1:$B$4, 2, FALSE), "")</f>
        <v>Primary</v>
      </c>
      <c r="H394">
        <v>1</v>
      </c>
      <c r="I394">
        <v>40</v>
      </c>
      <c r="J394" t="str">
        <f t="shared" si="36"/>
        <v>Smoker</v>
      </c>
      <c r="K394">
        <v>0</v>
      </c>
      <c r="L394">
        <v>0</v>
      </c>
      <c r="M394">
        <v>0</v>
      </c>
      <c r="N394">
        <v>0</v>
      </c>
      <c r="O394">
        <v>209</v>
      </c>
      <c r="P394" t="str">
        <f t="shared" si="37"/>
        <v>Normal</v>
      </c>
      <c r="Q394">
        <v>134</v>
      </c>
      <c r="R394">
        <v>82</v>
      </c>
      <c r="S394">
        <v>28.34</v>
      </c>
      <c r="T394" t="str">
        <f t="shared" si="38"/>
        <v>Overweight</v>
      </c>
      <c r="U394">
        <v>70</v>
      </c>
      <c r="V394">
        <v>75</v>
      </c>
      <c r="W394" t="str">
        <f t="shared" si="41"/>
        <v>Normal</v>
      </c>
      <c r="X394">
        <v>0</v>
      </c>
    </row>
    <row r="395" spans="1:24" ht="14.5" thickBot="1" x14ac:dyDescent="0.35">
      <c r="A395">
        <v>1</v>
      </c>
      <c r="B395" t="str">
        <f t="shared" si="39"/>
        <v>Male</v>
      </c>
      <c r="C395" s="8">
        <v>39</v>
      </c>
      <c r="D395" t="str">
        <f t="shared" si="40"/>
        <v>Young</v>
      </c>
      <c r="E395">
        <v>2</v>
      </c>
      <c r="F395" t="str">
        <f>HLOOKUP(E395, LookUP_Table!$A$6:$D$7, 2, FALSE)</f>
        <v>Secondary</v>
      </c>
      <c r="G395" t="str">
        <f>IFERROR(VLOOKUP(E395, LookUP_Table!$A$1:$B$4, 2, FALSE), "")</f>
        <v>Secondary</v>
      </c>
      <c r="H395">
        <v>0</v>
      </c>
      <c r="I395">
        <v>0</v>
      </c>
      <c r="J395" t="str">
        <f t="shared" si="36"/>
        <v>Non-Smoker</v>
      </c>
      <c r="K395">
        <v>0</v>
      </c>
      <c r="L395">
        <v>0</v>
      </c>
      <c r="M395">
        <v>0</v>
      </c>
      <c r="N395">
        <v>0</v>
      </c>
      <c r="O395">
        <v>167</v>
      </c>
      <c r="P395" t="str">
        <f t="shared" si="37"/>
        <v>Normal</v>
      </c>
      <c r="Q395">
        <v>109</v>
      </c>
      <c r="R395">
        <v>78</v>
      </c>
      <c r="S395">
        <v>21.19</v>
      </c>
      <c r="T395" t="str">
        <f t="shared" si="38"/>
        <v>Normal</v>
      </c>
      <c r="U395">
        <v>68</v>
      </c>
      <c r="V395">
        <v>71</v>
      </c>
      <c r="W395" t="str">
        <f t="shared" si="41"/>
        <v>Normal</v>
      </c>
      <c r="X395">
        <v>0</v>
      </c>
    </row>
    <row r="396" spans="1:24" ht="14.5" thickBot="1" x14ac:dyDescent="0.35">
      <c r="A396">
        <v>0</v>
      </c>
      <c r="B396" t="str">
        <f t="shared" si="39"/>
        <v>Female</v>
      </c>
      <c r="C396" s="8">
        <v>39</v>
      </c>
      <c r="D396" t="str">
        <f t="shared" si="40"/>
        <v>Young</v>
      </c>
      <c r="E396">
        <v>3</v>
      </c>
      <c r="F396" t="str">
        <f>HLOOKUP(E396, LookUP_Table!$A$6:$D$7, 2, FALSE)</f>
        <v>Graduate</v>
      </c>
      <c r="G396" t="str">
        <f>IFERROR(VLOOKUP(E396, LookUP_Table!$A$1:$B$4, 2, FALSE), "")</f>
        <v>Graduate</v>
      </c>
      <c r="H396">
        <v>1</v>
      </c>
      <c r="I396">
        <v>12</v>
      </c>
      <c r="J396" t="str">
        <f t="shared" si="36"/>
        <v>Smoker</v>
      </c>
      <c r="K396">
        <v>0</v>
      </c>
      <c r="L396">
        <v>0</v>
      </c>
      <c r="M396">
        <v>0</v>
      </c>
      <c r="N396">
        <v>0</v>
      </c>
      <c r="O396">
        <v>200</v>
      </c>
      <c r="P396" t="str">
        <f t="shared" si="37"/>
        <v>Normal</v>
      </c>
      <c r="Q396">
        <v>111</v>
      </c>
      <c r="R396">
        <v>64</v>
      </c>
      <c r="S396">
        <v>19.239999999999998</v>
      </c>
      <c r="T396" t="str">
        <f t="shared" si="38"/>
        <v>Normal</v>
      </c>
      <c r="U396">
        <v>68</v>
      </c>
      <c r="V396">
        <v>60</v>
      </c>
      <c r="W396" t="str">
        <f t="shared" si="41"/>
        <v>Normal</v>
      </c>
      <c r="X396">
        <v>0</v>
      </c>
    </row>
    <row r="397" spans="1:24" ht="14.5" thickBot="1" x14ac:dyDescent="0.35">
      <c r="A397">
        <v>0</v>
      </c>
      <c r="B397" t="str">
        <f t="shared" si="39"/>
        <v>Female</v>
      </c>
      <c r="C397" s="8">
        <v>39</v>
      </c>
      <c r="D397" t="str">
        <f t="shared" si="40"/>
        <v>Young</v>
      </c>
      <c r="E397">
        <v>1</v>
      </c>
      <c r="F397" t="str">
        <f>HLOOKUP(E397, LookUP_Table!$A$6:$D$7, 2, FALSE)</f>
        <v>Primary</v>
      </c>
      <c r="G397" t="str">
        <f>IFERROR(VLOOKUP(E397, LookUP_Table!$A$1:$B$4, 2, FALSE), "")</f>
        <v>Primary</v>
      </c>
      <c r="H397">
        <v>1</v>
      </c>
      <c r="I397">
        <v>5</v>
      </c>
      <c r="J397" t="str">
        <f t="shared" si="36"/>
        <v>Smoker</v>
      </c>
      <c r="K397">
        <v>0</v>
      </c>
      <c r="L397">
        <v>0</v>
      </c>
      <c r="M397">
        <v>0</v>
      </c>
      <c r="N397">
        <v>0</v>
      </c>
      <c r="O397">
        <v>236</v>
      </c>
      <c r="P397" t="str">
        <f t="shared" si="37"/>
        <v>Normal</v>
      </c>
      <c r="Q397">
        <v>117.5</v>
      </c>
      <c r="R397">
        <v>71</v>
      </c>
      <c r="S397">
        <v>27.27</v>
      </c>
      <c r="T397" t="str">
        <f t="shared" si="38"/>
        <v>Overweight</v>
      </c>
      <c r="U397">
        <v>77</v>
      </c>
      <c r="V397">
        <v>74</v>
      </c>
      <c r="W397" t="str">
        <f t="shared" si="41"/>
        <v>Normal</v>
      </c>
      <c r="X397">
        <v>0</v>
      </c>
    </row>
    <row r="398" spans="1:24" ht="14.5" thickBot="1" x14ac:dyDescent="0.35">
      <c r="A398">
        <v>0</v>
      </c>
      <c r="B398" t="str">
        <f t="shared" si="39"/>
        <v>Female</v>
      </c>
      <c r="C398" s="8">
        <v>39</v>
      </c>
      <c r="D398" t="str">
        <f t="shared" si="40"/>
        <v>Young</v>
      </c>
      <c r="E398">
        <v>1</v>
      </c>
      <c r="F398" t="str">
        <f>HLOOKUP(E398, LookUP_Table!$A$6:$D$7, 2, FALSE)</f>
        <v>Primary</v>
      </c>
      <c r="G398" t="str">
        <f>IFERROR(VLOOKUP(E398, LookUP_Table!$A$1:$B$4, 2, FALSE), "")</f>
        <v>Primary</v>
      </c>
      <c r="H398">
        <v>0</v>
      </c>
      <c r="I398">
        <v>0</v>
      </c>
      <c r="J398" t="str">
        <f t="shared" si="36"/>
        <v>Non-Smoker</v>
      </c>
      <c r="K398">
        <v>0</v>
      </c>
      <c r="L398">
        <v>0</v>
      </c>
      <c r="M398">
        <v>0</v>
      </c>
      <c r="N398">
        <v>0</v>
      </c>
      <c r="O398">
        <v>182</v>
      </c>
      <c r="P398" t="str">
        <f t="shared" si="37"/>
        <v>Normal</v>
      </c>
      <c r="Q398">
        <v>109</v>
      </c>
      <c r="R398">
        <v>70</v>
      </c>
      <c r="S398">
        <v>20.59</v>
      </c>
      <c r="T398" t="str">
        <f t="shared" si="38"/>
        <v>Normal</v>
      </c>
      <c r="U398">
        <v>72</v>
      </c>
      <c r="V398">
        <v>66</v>
      </c>
      <c r="W398" t="str">
        <f t="shared" si="41"/>
        <v>Normal</v>
      </c>
      <c r="X398">
        <v>0</v>
      </c>
    </row>
    <row r="399" spans="1:24" ht="14.5" thickBot="1" x14ac:dyDescent="0.35">
      <c r="A399">
        <v>1</v>
      </c>
      <c r="B399" t="str">
        <f t="shared" si="39"/>
        <v>Male</v>
      </c>
      <c r="C399" s="8">
        <v>39</v>
      </c>
      <c r="D399" t="str">
        <f t="shared" si="40"/>
        <v>Young</v>
      </c>
      <c r="E399">
        <v>1</v>
      </c>
      <c r="F399" t="str">
        <f>HLOOKUP(E399, LookUP_Table!$A$6:$D$7, 2, FALSE)</f>
        <v>Primary</v>
      </c>
      <c r="G399" t="str">
        <f>IFERROR(VLOOKUP(E399, LookUP_Table!$A$1:$B$4, 2, FALSE), "")</f>
        <v>Primary</v>
      </c>
      <c r="H399">
        <v>1</v>
      </c>
      <c r="I399">
        <v>30</v>
      </c>
      <c r="J399" t="str">
        <f t="shared" si="36"/>
        <v>Smoker</v>
      </c>
      <c r="K399">
        <v>0</v>
      </c>
      <c r="L399">
        <v>0</v>
      </c>
      <c r="M399">
        <v>0</v>
      </c>
      <c r="N399">
        <v>0</v>
      </c>
      <c r="O399">
        <v>300</v>
      </c>
      <c r="P399" t="str">
        <f t="shared" si="37"/>
        <v>High</v>
      </c>
      <c r="Q399">
        <v>139</v>
      </c>
      <c r="R399">
        <v>90</v>
      </c>
      <c r="S399">
        <v>30.96</v>
      </c>
      <c r="T399" t="str">
        <f t="shared" si="38"/>
        <v>Obese</v>
      </c>
      <c r="U399">
        <v>73</v>
      </c>
      <c r="V399">
        <v>107</v>
      </c>
      <c r="W399" t="str">
        <f t="shared" si="41"/>
        <v>Prediabetes</v>
      </c>
      <c r="X399">
        <v>0</v>
      </c>
    </row>
    <row r="400" spans="1:24" ht="14.5" thickBot="1" x14ac:dyDescent="0.35">
      <c r="A400">
        <v>0</v>
      </c>
      <c r="B400" t="str">
        <f t="shared" si="39"/>
        <v>Female</v>
      </c>
      <c r="C400" s="8">
        <v>39</v>
      </c>
      <c r="D400" t="str">
        <f t="shared" si="40"/>
        <v>Young</v>
      </c>
      <c r="E400">
        <v>4</v>
      </c>
      <c r="F400" t="str">
        <f>HLOOKUP(E400, LookUP_Table!$A$6:$D$7, 2, FALSE)</f>
        <v>Post Graduate</v>
      </c>
      <c r="G400" t="str">
        <f>IFERROR(VLOOKUP(E400, LookUP_Table!$A$1:$B$4, 2, FALSE), "")</f>
        <v>Post Graduate</v>
      </c>
      <c r="H400">
        <v>0</v>
      </c>
      <c r="I400">
        <v>0</v>
      </c>
      <c r="J400" t="str">
        <f t="shared" si="36"/>
        <v>Non-Smoker</v>
      </c>
      <c r="K400">
        <v>0</v>
      </c>
      <c r="L400">
        <v>0</v>
      </c>
      <c r="M400">
        <v>0</v>
      </c>
      <c r="N400">
        <v>0</v>
      </c>
      <c r="O400">
        <v>260</v>
      </c>
      <c r="P400" t="str">
        <f t="shared" si="37"/>
        <v>High</v>
      </c>
      <c r="Q400">
        <v>100</v>
      </c>
      <c r="R400">
        <v>74.5</v>
      </c>
      <c r="S400">
        <v>20.51</v>
      </c>
      <c r="T400" t="str">
        <f t="shared" si="38"/>
        <v>Normal</v>
      </c>
      <c r="U400">
        <v>96</v>
      </c>
      <c r="V400">
        <v>66</v>
      </c>
      <c r="W400" t="str">
        <f t="shared" si="41"/>
        <v>Normal</v>
      </c>
      <c r="X400">
        <v>0</v>
      </c>
    </row>
    <row r="401" spans="1:24" ht="14.5" thickBot="1" x14ac:dyDescent="0.35">
      <c r="A401">
        <v>1</v>
      </c>
      <c r="B401" t="str">
        <f t="shared" si="39"/>
        <v>Male</v>
      </c>
      <c r="C401" s="8">
        <v>39</v>
      </c>
      <c r="D401" t="str">
        <f t="shared" si="40"/>
        <v>Young</v>
      </c>
      <c r="E401">
        <v>2</v>
      </c>
      <c r="F401" t="str">
        <f>HLOOKUP(E401, LookUP_Table!$A$6:$D$7, 2, FALSE)</f>
        <v>Secondary</v>
      </c>
      <c r="G401" t="str">
        <f>IFERROR(VLOOKUP(E401, LookUP_Table!$A$1:$B$4, 2, FALSE), "")</f>
        <v>Secondary</v>
      </c>
      <c r="H401">
        <v>0</v>
      </c>
      <c r="I401">
        <v>0</v>
      </c>
      <c r="J401" t="str">
        <f t="shared" si="36"/>
        <v>Non-Smoker</v>
      </c>
      <c r="K401">
        <v>0</v>
      </c>
      <c r="L401">
        <v>0</v>
      </c>
      <c r="M401">
        <v>0</v>
      </c>
      <c r="N401">
        <v>0</v>
      </c>
      <c r="O401">
        <v>258</v>
      </c>
      <c r="P401" t="str">
        <f t="shared" si="37"/>
        <v>High</v>
      </c>
      <c r="Q401">
        <v>105</v>
      </c>
      <c r="R401">
        <v>69</v>
      </c>
      <c r="S401">
        <v>24.1</v>
      </c>
      <c r="T401" t="str">
        <f t="shared" si="38"/>
        <v>Normal</v>
      </c>
      <c r="U401">
        <v>52</v>
      </c>
      <c r="V401">
        <v>79</v>
      </c>
      <c r="W401" t="str">
        <f t="shared" si="41"/>
        <v>Normal</v>
      </c>
      <c r="X401">
        <v>0</v>
      </c>
    </row>
    <row r="402" spans="1:24" ht="14.5" thickBot="1" x14ac:dyDescent="0.35">
      <c r="A402">
        <v>0</v>
      </c>
      <c r="B402" t="str">
        <f t="shared" si="39"/>
        <v>Female</v>
      </c>
      <c r="C402" s="8">
        <v>39</v>
      </c>
      <c r="D402" t="str">
        <f t="shared" si="40"/>
        <v>Young</v>
      </c>
      <c r="E402">
        <v>3</v>
      </c>
      <c r="F402" t="str">
        <f>HLOOKUP(E402, LookUP_Table!$A$6:$D$7, 2, FALSE)</f>
        <v>Graduate</v>
      </c>
      <c r="G402" t="str">
        <f>IFERROR(VLOOKUP(E402, LookUP_Table!$A$1:$B$4, 2, FALSE), "")</f>
        <v>Graduate</v>
      </c>
      <c r="H402">
        <v>1</v>
      </c>
      <c r="I402">
        <v>20</v>
      </c>
      <c r="J402" t="str">
        <f t="shared" si="36"/>
        <v>Smoker</v>
      </c>
      <c r="K402">
        <v>0</v>
      </c>
      <c r="L402">
        <v>0</v>
      </c>
      <c r="M402">
        <v>0</v>
      </c>
      <c r="N402">
        <v>0</v>
      </c>
      <c r="O402">
        <v>269</v>
      </c>
      <c r="P402" t="str">
        <f t="shared" si="37"/>
        <v>High</v>
      </c>
      <c r="Q402">
        <v>97</v>
      </c>
      <c r="R402">
        <v>64</v>
      </c>
      <c r="S402">
        <v>23.09</v>
      </c>
      <c r="T402" t="str">
        <f t="shared" si="38"/>
        <v>Normal</v>
      </c>
      <c r="U402">
        <v>82</v>
      </c>
      <c r="V402">
        <v>67</v>
      </c>
      <c r="W402" t="str">
        <f t="shared" si="41"/>
        <v>Normal</v>
      </c>
      <c r="X402">
        <v>0</v>
      </c>
    </row>
    <row r="403" spans="1:24" ht="14.5" thickBot="1" x14ac:dyDescent="0.35">
      <c r="A403">
        <v>1</v>
      </c>
      <c r="B403" t="str">
        <f t="shared" si="39"/>
        <v>Male</v>
      </c>
      <c r="C403" s="8">
        <v>39</v>
      </c>
      <c r="D403" t="str">
        <f t="shared" si="40"/>
        <v>Young</v>
      </c>
      <c r="E403">
        <v>1</v>
      </c>
      <c r="F403" t="str">
        <f>HLOOKUP(E403, LookUP_Table!$A$6:$D$7, 2, FALSE)</f>
        <v>Primary</v>
      </c>
      <c r="G403" t="str">
        <f>IFERROR(VLOOKUP(E403, LookUP_Table!$A$1:$B$4, 2, FALSE), "")</f>
        <v>Primary</v>
      </c>
      <c r="H403">
        <v>1</v>
      </c>
      <c r="I403">
        <v>20</v>
      </c>
      <c r="J403" t="str">
        <f t="shared" si="36"/>
        <v>Smoker</v>
      </c>
      <c r="K403">
        <v>0</v>
      </c>
      <c r="L403">
        <v>0</v>
      </c>
      <c r="M403">
        <v>0</v>
      </c>
      <c r="N403">
        <v>0</v>
      </c>
      <c r="O403">
        <v>258</v>
      </c>
      <c r="P403" t="str">
        <f t="shared" si="37"/>
        <v>High</v>
      </c>
      <c r="Q403">
        <v>110</v>
      </c>
      <c r="R403">
        <v>65</v>
      </c>
      <c r="S403">
        <v>19.97</v>
      </c>
      <c r="T403" t="str">
        <f t="shared" si="38"/>
        <v>Normal</v>
      </c>
      <c r="U403">
        <v>65</v>
      </c>
      <c r="V403">
        <v>85</v>
      </c>
      <c r="W403" t="str">
        <f t="shared" si="41"/>
        <v>Normal</v>
      </c>
      <c r="X403">
        <v>0</v>
      </c>
    </row>
    <row r="404" spans="1:24" ht="14.5" thickBot="1" x14ac:dyDescent="0.35">
      <c r="A404">
        <v>0</v>
      </c>
      <c r="B404" t="str">
        <f t="shared" si="39"/>
        <v>Female</v>
      </c>
      <c r="C404" s="8">
        <v>39</v>
      </c>
      <c r="D404" t="str">
        <f t="shared" si="40"/>
        <v>Young</v>
      </c>
      <c r="E404">
        <v>2</v>
      </c>
      <c r="F404" t="str">
        <f>HLOOKUP(E404, LookUP_Table!$A$6:$D$7, 2, FALSE)</f>
        <v>Secondary</v>
      </c>
      <c r="G404" t="str">
        <f>IFERROR(VLOOKUP(E404, LookUP_Table!$A$1:$B$4, 2, FALSE), "")</f>
        <v>Secondary</v>
      </c>
      <c r="H404">
        <v>0</v>
      </c>
      <c r="I404">
        <v>0</v>
      </c>
      <c r="J404" t="str">
        <f t="shared" si="36"/>
        <v>Non-Smoker</v>
      </c>
      <c r="K404">
        <v>0</v>
      </c>
      <c r="L404">
        <v>0</v>
      </c>
      <c r="M404">
        <v>0</v>
      </c>
      <c r="N404">
        <v>0</v>
      </c>
      <c r="O404">
        <v>242</v>
      </c>
      <c r="P404" t="str">
        <f t="shared" si="37"/>
        <v>High</v>
      </c>
      <c r="Q404">
        <v>113</v>
      </c>
      <c r="R404">
        <v>85</v>
      </c>
      <c r="S404">
        <v>25.54</v>
      </c>
      <c r="T404" t="str">
        <f t="shared" si="38"/>
        <v>Overweight</v>
      </c>
      <c r="U404">
        <v>85</v>
      </c>
      <c r="V404">
        <v>104</v>
      </c>
      <c r="W404" t="str">
        <f t="shared" si="41"/>
        <v>Prediabetes</v>
      </c>
      <c r="X404">
        <v>0</v>
      </c>
    </row>
    <row r="405" spans="1:24" ht="14.5" thickBot="1" x14ac:dyDescent="0.35">
      <c r="A405">
        <v>1</v>
      </c>
      <c r="B405" t="str">
        <f t="shared" si="39"/>
        <v>Male</v>
      </c>
      <c r="C405" s="8">
        <v>39</v>
      </c>
      <c r="D405" t="str">
        <f t="shared" si="40"/>
        <v>Young</v>
      </c>
      <c r="E405">
        <v>2</v>
      </c>
      <c r="F405" t="str">
        <f>HLOOKUP(E405, LookUP_Table!$A$6:$D$7, 2, FALSE)</f>
        <v>Secondary</v>
      </c>
      <c r="G405" t="str">
        <f>IFERROR(VLOOKUP(E405, LookUP_Table!$A$1:$B$4, 2, FALSE), "")</f>
        <v>Secondary</v>
      </c>
      <c r="H405">
        <v>1</v>
      </c>
      <c r="I405">
        <v>20</v>
      </c>
      <c r="J405" t="str">
        <f t="shared" si="36"/>
        <v>Smoker</v>
      </c>
      <c r="K405">
        <v>0</v>
      </c>
      <c r="L405">
        <v>0</v>
      </c>
      <c r="M405">
        <v>0</v>
      </c>
      <c r="N405">
        <v>0</v>
      </c>
      <c r="O405">
        <v>222</v>
      </c>
      <c r="P405" t="str">
        <f t="shared" si="37"/>
        <v>Normal</v>
      </c>
      <c r="Q405">
        <v>97.5</v>
      </c>
      <c r="R405">
        <v>57.5</v>
      </c>
      <c r="S405">
        <v>23.22</v>
      </c>
      <c r="T405" t="str">
        <f t="shared" si="38"/>
        <v>Normal</v>
      </c>
      <c r="U405">
        <v>73</v>
      </c>
      <c r="V405">
        <v>64</v>
      </c>
      <c r="W405" t="str">
        <f t="shared" si="41"/>
        <v>Normal</v>
      </c>
      <c r="X405">
        <v>0</v>
      </c>
    </row>
    <row r="406" spans="1:24" ht="14.5" thickBot="1" x14ac:dyDescent="0.35">
      <c r="A406">
        <v>1</v>
      </c>
      <c r="B406" t="str">
        <f t="shared" si="39"/>
        <v>Male</v>
      </c>
      <c r="C406" s="8">
        <v>39</v>
      </c>
      <c r="D406" t="str">
        <f t="shared" si="40"/>
        <v>Young</v>
      </c>
      <c r="E406">
        <v>1</v>
      </c>
      <c r="F406" t="str">
        <f>HLOOKUP(E406, LookUP_Table!$A$6:$D$7, 2, FALSE)</f>
        <v>Primary</v>
      </c>
      <c r="G406" t="str">
        <f>IFERROR(VLOOKUP(E406, LookUP_Table!$A$1:$B$4, 2, FALSE), "")</f>
        <v>Primary</v>
      </c>
      <c r="H406">
        <v>1</v>
      </c>
      <c r="I406">
        <v>20</v>
      </c>
      <c r="J406" t="str">
        <f t="shared" si="36"/>
        <v>Smoker</v>
      </c>
      <c r="K406">
        <v>0</v>
      </c>
      <c r="L406">
        <v>0</v>
      </c>
      <c r="M406">
        <v>1</v>
      </c>
      <c r="N406">
        <v>0</v>
      </c>
      <c r="O406">
        <v>220</v>
      </c>
      <c r="P406" t="str">
        <f t="shared" si="37"/>
        <v>Normal</v>
      </c>
      <c r="Q406">
        <v>145</v>
      </c>
      <c r="R406">
        <v>99</v>
      </c>
      <c r="S406">
        <v>26.5</v>
      </c>
      <c r="T406" t="str">
        <f t="shared" si="38"/>
        <v>Overweight</v>
      </c>
      <c r="U406">
        <v>73</v>
      </c>
      <c r="V406">
        <v>90</v>
      </c>
      <c r="W406" t="str">
        <f t="shared" si="41"/>
        <v>Normal</v>
      </c>
      <c r="X406">
        <v>0</v>
      </c>
    </row>
    <row r="407" spans="1:24" ht="14.5" thickBot="1" x14ac:dyDescent="0.35">
      <c r="A407">
        <v>1</v>
      </c>
      <c r="B407" t="str">
        <f t="shared" si="39"/>
        <v>Male</v>
      </c>
      <c r="C407" s="8">
        <v>39</v>
      </c>
      <c r="D407" t="str">
        <f t="shared" si="40"/>
        <v>Young</v>
      </c>
      <c r="E407">
        <v>1</v>
      </c>
      <c r="F407" t="str">
        <f>HLOOKUP(E407, LookUP_Table!$A$6:$D$7, 2, FALSE)</f>
        <v>Primary</v>
      </c>
      <c r="G407" t="str">
        <f>IFERROR(VLOOKUP(E407, LookUP_Table!$A$1:$B$4, 2, FALSE), "")</f>
        <v>Primary</v>
      </c>
      <c r="H407">
        <v>1</v>
      </c>
      <c r="I407">
        <v>30</v>
      </c>
      <c r="J407" t="str">
        <f t="shared" si="36"/>
        <v>Smoker</v>
      </c>
      <c r="K407">
        <v>0</v>
      </c>
      <c r="L407">
        <v>0</v>
      </c>
      <c r="M407">
        <v>0</v>
      </c>
      <c r="N407">
        <v>0</v>
      </c>
      <c r="O407">
        <v>196</v>
      </c>
      <c r="P407" t="str">
        <f t="shared" si="37"/>
        <v>Normal</v>
      </c>
      <c r="Q407">
        <v>121</v>
      </c>
      <c r="R407">
        <v>83</v>
      </c>
      <c r="S407">
        <v>25.38</v>
      </c>
      <c r="T407" t="str">
        <f t="shared" si="38"/>
        <v>Overweight</v>
      </c>
      <c r="U407">
        <v>90</v>
      </c>
      <c r="V407">
        <v>68</v>
      </c>
      <c r="W407" t="str">
        <f t="shared" si="41"/>
        <v>Normal</v>
      </c>
      <c r="X407">
        <v>0</v>
      </c>
    </row>
    <row r="408" spans="1:24" ht="14.5" thickBot="1" x14ac:dyDescent="0.35">
      <c r="A408">
        <v>1</v>
      </c>
      <c r="B408" t="str">
        <f t="shared" si="39"/>
        <v>Male</v>
      </c>
      <c r="C408" s="8">
        <v>39</v>
      </c>
      <c r="D408" t="str">
        <f t="shared" si="40"/>
        <v>Young</v>
      </c>
      <c r="E408">
        <v>1</v>
      </c>
      <c r="F408" t="str">
        <f>HLOOKUP(E408, LookUP_Table!$A$6:$D$7, 2, FALSE)</f>
        <v>Primary</v>
      </c>
      <c r="G408" t="str">
        <f>IFERROR(VLOOKUP(E408, LookUP_Table!$A$1:$B$4, 2, FALSE), "")</f>
        <v>Primary</v>
      </c>
      <c r="H408">
        <v>1</v>
      </c>
      <c r="I408">
        <v>30</v>
      </c>
      <c r="J408" t="str">
        <f t="shared" si="36"/>
        <v>Smoker</v>
      </c>
      <c r="K408">
        <v>0</v>
      </c>
      <c r="L408">
        <v>0</v>
      </c>
      <c r="M408">
        <v>1</v>
      </c>
      <c r="N408">
        <v>0</v>
      </c>
      <c r="O408">
        <v>220</v>
      </c>
      <c r="P408" t="str">
        <f t="shared" si="37"/>
        <v>Normal</v>
      </c>
      <c r="Q408">
        <v>135</v>
      </c>
      <c r="R408">
        <v>85</v>
      </c>
      <c r="S408">
        <v>27.17</v>
      </c>
      <c r="T408" t="str">
        <f t="shared" si="38"/>
        <v>Overweight</v>
      </c>
      <c r="U408">
        <v>70</v>
      </c>
      <c r="V408">
        <v>81</v>
      </c>
      <c r="W408" t="str">
        <f t="shared" si="41"/>
        <v>Normal</v>
      </c>
      <c r="X408">
        <v>0</v>
      </c>
    </row>
    <row r="409" spans="1:24" ht="14.5" thickBot="1" x14ac:dyDescent="0.35">
      <c r="A409">
        <v>1</v>
      </c>
      <c r="B409" t="str">
        <f t="shared" si="39"/>
        <v>Male</v>
      </c>
      <c r="C409" s="8">
        <v>39</v>
      </c>
      <c r="D409" t="str">
        <f t="shared" si="40"/>
        <v>Young</v>
      </c>
      <c r="E409">
        <v>2</v>
      </c>
      <c r="F409" t="str">
        <f>HLOOKUP(E409, LookUP_Table!$A$6:$D$7, 2, FALSE)</f>
        <v>Secondary</v>
      </c>
      <c r="G409" t="str">
        <f>IFERROR(VLOOKUP(E409, LookUP_Table!$A$1:$B$4, 2, FALSE), "")</f>
        <v>Secondary</v>
      </c>
      <c r="H409">
        <v>0</v>
      </c>
      <c r="I409">
        <v>0</v>
      </c>
      <c r="J409" t="str">
        <f t="shared" si="36"/>
        <v>Non-Smoker</v>
      </c>
      <c r="K409">
        <v>0</v>
      </c>
      <c r="L409">
        <v>0</v>
      </c>
      <c r="M409">
        <v>0</v>
      </c>
      <c r="N409">
        <v>0</v>
      </c>
      <c r="O409">
        <v>235</v>
      </c>
      <c r="P409" t="str">
        <f t="shared" si="37"/>
        <v>Normal</v>
      </c>
      <c r="Q409">
        <v>120</v>
      </c>
      <c r="R409">
        <v>80</v>
      </c>
      <c r="S409">
        <v>27.23</v>
      </c>
      <c r="T409" t="str">
        <f t="shared" si="38"/>
        <v>Overweight</v>
      </c>
      <c r="U409">
        <v>62</v>
      </c>
      <c r="V409">
        <v>87</v>
      </c>
      <c r="W409" t="str">
        <f t="shared" si="41"/>
        <v>Normal</v>
      </c>
      <c r="X409">
        <v>0</v>
      </c>
    </row>
    <row r="410" spans="1:24" ht="14.5" thickBot="1" x14ac:dyDescent="0.35">
      <c r="A410">
        <v>0</v>
      </c>
      <c r="B410" t="str">
        <f t="shared" si="39"/>
        <v>Female</v>
      </c>
      <c r="C410" s="8">
        <v>39</v>
      </c>
      <c r="D410" t="str">
        <f t="shared" si="40"/>
        <v>Young</v>
      </c>
      <c r="E410">
        <v>2</v>
      </c>
      <c r="F410" t="str">
        <f>HLOOKUP(E410, LookUP_Table!$A$6:$D$7, 2, FALSE)</f>
        <v>Secondary</v>
      </c>
      <c r="G410" t="str">
        <f>IFERROR(VLOOKUP(E410, LookUP_Table!$A$1:$B$4, 2, FALSE), "")</f>
        <v>Secondary</v>
      </c>
      <c r="H410">
        <v>0</v>
      </c>
      <c r="I410">
        <v>0</v>
      </c>
      <c r="J410" t="str">
        <f t="shared" si="36"/>
        <v>Non-Smoker</v>
      </c>
      <c r="K410">
        <v>0</v>
      </c>
      <c r="L410">
        <v>0</v>
      </c>
      <c r="M410">
        <v>0</v>
      </c>
      <c r="N410">
        <v>0</v>
      </c>
      <c r="O410">
        <v>167</v>
      </c>
      <c r="P410" t="str">
        <f t="shared" si="37"/>
        <v>Normal</v>
      </c>
      <c r="Q410">
        <v>127.5</v>
      </c>
      <c r="R410">
        <v>86.5</v>
      </c>
      <c r="S410">
        <v>28.28</v>
      </c>
      <c r="T410" t="str">
        <f t="shared" si="38"/>
        <v>Overweight</v>
      </c>
      <c r="U410">
        <v>72</v>
      </c>
      <c r="V410">
        <v>82</v>
      </c>
      <c r="W410" t="str">
        <f t="shared" si="41"/>
        <v>Normal</v>
      </c>
      <c r="X410">
        <v>0</v>
      </c>
    </row>
    <row r="411" spans="1:24" ht="14.5" thickBot="1" x14ac:dyDescent="0.35">
      <c r="A411">
        <v>0</v>
      </c>
      <c r="B411" t="str">
        <f t="shared" si="39"/>
        <v>Female</v>
      </c>
      <c r="C411" s="8">
        <v>39</v>
      </c>
      <c r="D411" t="str">
        <f t="shared" si="40"/>
        <v>Young</v>
      </c>
      <c r="E411">
        <v>2</v>
      </c>
      <c r="F411" t="str">
        <f>HLOOKUP(E411, LookUP_Table!$A$6:$D$7, 2, FALSE)</f>
        <v>Secondary</v>
      </c>
      <c r="G411" t="str">
        <f>IFERROR(VLOOKUP(E411, LookUP_Table!$A$1:$B$4, 2, FALSE), "")</f>
        <v>Secondary</v>
      </c>
      <c r="H411">
        <v>1</v>
      </c>
      <c r="I411">
        <v>20</v>
      </c>
      <c r="J411" t="str">
        <f t="shared" si="36"/>
        <v>Smoker</v>
      </c>
      <c r="K411">
        <v>0</v>
      </c>
      <c r="L411">
        <v>0</v>
      </c>
      <c r="M411">
        <v>0</v>
      </c>
      <c r="N411">
        <v>0</v>
      </c>
      <c r="O411">
        <v>185</v>
      </c>
      <c r="P411" t="str">
        <f t="shared" si="37"/>
        <v>Normal</v>
      </c>
      <c r="Q411">
        <v>111</v>
      </c>
      <c r="R411">
        <v>67</v>
      </c>
      <c r="S411">
        <v>23.87</v>
      </c>
      <c r="T411" t="str">
        <f t="shared" si="38"/>
        <v>Normal</v>
      </c>
      <c r="U411">
        <v>70</v>
      </c>
      <c r="V411">
        <v>87</v>
      </c>
      <c r="W411" t="str">
        <f t="shared" si="41"/>
        <v>Normal</v>
      </c>
      <c r="X411">
        <v>0</v>
      </c>
    </row>
    <row r="412" spans="1:24" ht="14.5" thickBot="1" x14ac:dyDescent="0.35">
      <c r="A412">
        <v>1</v>
      </c>
      <c r="B412" t="str">
        <f t="shared" si="39"/>
        <v>Male</v>
      </c>
      <c r="C412" s="8">
        <v>39</v>
      </c>
      <c r="D412" t="str">
        <f t="shared" si="40"/>
        <v>Young</v>
      </c>
      <c r="E412">
        <v>3</v>
      </c>
      <c r="F412" t="str">
        <f>HLOOKUP(E412, LookUP_Table!$A$6:$D$7, 2, FALSE)</f>
        <v>Graduate</v>
      </c>
      <c r="G412" t="str">
        <f>IFERROR(VLOOKUP(E412, LookUP_Table!$A$1:$B$4, 2, FALSE), "")</f>
        <v>Graduate</v>
      </c>
      <c r="H412">
        <v>0</v>
      </c>
      <c r="I412">
        <v>0</v>
      </c>
      <c r="J412" t="str">
        <f t="shared" si="36"/>
        <v>Non-Smoker</v>
      </c>
      <c r="K412">
        <v>0</v>
      </c>
      <c r="L412">
        <v>0</v>
      </c>
      <c r="M412">
        <v>0</v>
      </c>
      <c r="N412">
        <v>0</v>
      </c>
      <c r="O412">
        <v>202</v>
      </c>
      <c r="P412" t="str">
        <f t="shared" si="37"/>
        <v>Normal</v>
      </c>
      <c r="Q412">
        <v>136.5</v>
      </c>
      <c r="R412">
        <v>79</v>
      </c>
      <c r="S412">
        <v>24.35</v>
      </c>
      <c r="T412" t="str">
        <f t="shared" si="38"/>
        <v>Normal</v>
      </c>
      <c r="U412">
        <v>73</v>
      </c>
      <c r="V412">
        <v>60</v>
      </c>
      <c r="W412" t="str">
        <f t="shared" si="41"/>
        <v>Normal</v>
      </c>
      <c r="X412">
        <v>0</v>
      </c>
    </row>
    <row r="413" spans="1:24" ht="14.5" thickBot="1" x14ac:dyDescent="0.35">
      <c r="A413">
        <v>0</v>
      </c>
      <c r="B413" t="str">
        <f t="shared" si="39"/>
        <v>Female</v>
      </c>
      <c r="C413" s="8">
        <v>39</v>
      </c>
      <c r="D413" t="str">
        <f t="shared" si="40"/>
        <v>Young</v>
      </c>
      <c r="E413">
        <v>2</v>
      </c>
      <c r="F413" t="str">
        <f>HLOOKUP(E413, LookUP_Table!$A$6:$D$7, 2, FALSE)</f>
        <v>Secondary</v>
      </c>
      <c r="G413" t="str">
        <f>IFERROR(VLOOKUP(E413, LookUP_Table!$A$1:$B$4, 2, FALSE), "")</f>
        <v>Secondary</v>
      </c>
      <c r="H413">
        <v>0</v>
      </c>
      <c r="I413">
        <v>0</v>
      </c>
      <c r="J413" t="str">
        <f t="shared" si="36"/>
        <v>Non-Smoker</v>
      </c>
      <c r="K413">
        <v>0</v>
      </c>
      <c r="L413">
        <v>0</v>
      </c>
      <c r="M413">
        <v>0</v>
      </c>
      <c r="N413">
        <v>0</v>
      </c>
      <c r="O413">
        <v>190</v>
      </c>
      <c r="P413" t="str">
        <f t="shared" si="37"/>
        <v>Normal</v>
      </c>
      <c r="Q413">
        <v>120</v>
      </c>
      <c r="R413">
        <v>80</v>
      </c>
      <c r="S413">
        <v>27.16</v>
      </c>
      <c r="T413" t="str">
        <f t="shared" si="38"/>
        <v>Overweight</v>
      </c>
      <c r="U413">
        <v>70</v>
      </c>
      <c r="V413">
        <v>85</v>
      </c>
      <c r="W413" t="str">
        <f t="shared" si="41"/>
        <v>Normal</v>
      </c>
      <c r="X413">
        <v>0</v>
      </c>
    </row>
    <row r="414" spans="1:24" ht="14.5" thickBot="1" x14ac:dyDescent="0.35">
      <c r="A414">
        <v>1</v>
      </c>
      <c r="B414" t="str">
        <f t="shared" si="39"/>
        <v>Male</v>
      </c>
      <c r="C414" s="8">
        <v>39</v>
      </c>
      <c r="D414" t="str">
        <f t="shared" si="40"/>
        <v>Young</v>
      </c>
      <c r="E414">
        <v>1</v>
      </c>
      <c r="F414" t="str">
        <f>HLOOKUP(E414, LookUP_Table!$A$6:$D$7, 2, FALSE)</f>
        <v>Primary</v>
      </c>
      <c r="G414" t="str">
        <f>IFERROR(VLOOKUP(E414, LookUP_Table!$A$1:$B$4, 2, FALSE), "")</f>
        <v>Primary</v>
      </c>
      <c r="H414">
        <v>1</v>
      </c>
      <c r="I414">
        <v>5</v>
      </c>
      <c r="J414" t="str">
        <f t="shared" si="36"/>
        <v>Smoker</v>
      </c>
      <c r="K414">
        <v>0</v>
      </c>
      <c r="L414">
        <v>0</v>
      </c>
      <c r="M414">
        <v>1</v>
      </c>
      <c r="N414">
        <v>0</v>
      </c>
      <c r="O414">
        <v>227</v>
      </c>
      <c r="P414" t="str">
        <f t="shared" si="37"/>
        <v>Normal</v>
      </c>
      <c r="Q414">
        <v>132</v>
      </c>
      <c r="R414">
        <v>92</v>
      </c>
      <c r="S414">
        <v>26.47</v>
      </c>
      <c r="T414" t="str">
        <f t="shared" si="38"/>
        <v>Overweight</v>
      </c>
      <c r="U414">
        <v>63</v>
      </c>
      <c r="V414">
        <v>74</v>
      </c>
      <c r="W414" t="str">
        <f t="shared" si="41"/>
        <v>Normal</v>
      </c>
      <c r="X414">
        <v>0</v>
      </c>
    </row>
    <row r="415" spans="1:24" ht="14.5" thickBot="1" x14ac:dyDescent="0.35">
      <c r="A415">
        <v>0</v>
      </c>
      <c r="B415" t="str">
        <f t="shared" si="39"/>
        <v>Female</v>
      </c>
      <c r="C415" s="8">
        <v>39</v>
      </c>
      <c r="D415" t="str">
        <f t="shared" si="40"/>
        <v>Young</v>
      </c>
      <c r="E415">
        <v>2</v>
      </c>
      <c r="F415" t="str">
        <f>HLOOKUP(E415, LookUP_Table!$A$6:$D$7, 2, FALSE)</f>
        <v>Secondary</v>
      </c>
      <c r="G415" t="str">
        <f>IFERROR(VLOOKUP(E415, LookUP_Table!$A$1:$B$4, 2, FALSE), "")</f>
        <v>Secondary</v>
      </c>
      <c r="H415">
        <v>0</v>
      </c>
      <c r="I415">
        <v>0</v>
      </c>
      <c r="J415" t="str">
        <f t="shared" si="36"/>
        <v>Non-Smoker</v>
      </c>
      <c r="K415">
        <v>0</v>
      </c>
      <c r="L415">
        <v>0</v>
      </c>
      <c r="M415">
        <v>1</v>
      </c>
      <c r="N415">
        <v>0</v>
      </c>
      <c r="O415">
        <v>252</v>
      </c>
      <c r="P415" t="str">
        <f t="shared" si="37"/>
        <v>High</v>
      </c>
      <c r="Q415">
        <v>128</v>
      </c>
      <c r="R415">
        <v>93</v>
      </c>
      <c r="S415">
        <v>30.36</v>
      </c>
      <c r="T415" t="str">
        <f t="shared" si="38"/>
        <v>Obese</v>
      </c>
      <c r="U415">
        <v>105</v>
      </c>
      <c r="V415">
        <v>63</v>
      </c>
      <c r="W415" t="str">
        <f t="shared" si="41"/>
        <v>Normal</v>
      </c>
      <c r="X415">
        <v>0</v>
      </c>
    </row>
    <row r="416" spans="1:24" ht="14.5" thickBot="1" x14ac:dyDescent="0.35">
      <c r="A416">
        <v>0</v>
      </c>
      <c r="B416" t="str">
        <f t="shared" si="39"/>
        <v>Female</v>
      </c>
      <c r="C416" s="8">
        <v>39</v>
      </c>
      <c r="D416" t="str">
        <f t="shared" si="40"/>
        <v>Young</v>
      </c>
      <c r="E416">
        <v>3</v>
      </c>
      <c r="F416" t="str">
        <f>HLOOKUP(E416, LookUP_Table!$A$6:$D$7, 2, FALSE)</f>
        <v>Graduate</v>
      </c>
      <c r="G416" t="str">
        <f>IFERROR(VLOOKUP(E416, LookUP_Table!$A$1:$B$4, 2, FALSE), "")</f>
        <v>Graduate</v>
      </c>
      <c r="H416">
        <v>1</v>
      </c>
      <c r="I416">
        <v>30</v>
      </c>
      <c r="J416" t="str">
        <f t="shared" si="36"/>
        <v>Smoker</v>
      </c>
      <c r="K416">
        <v>0</v>
      </c>
      <c r="L416">
        <v>0</v>
      </c>
      <c r="M416">
        <v>1</v>
      </c>
      <c r="N416">
        <v>0</v>
      </c>
      <c r="O416">
        <v>277</v>
      </c>
      <c r="P416" t="str">
        <f t="shared" si="37"/>
        <v>High</v>
      </c>
      <c r="Q416">
        <v>148</v>
      </c>
      <c r="R416">
        <v>100</v>
      </c>
      <c r="S416">
        <v>24.12</v>
      </c>
      <c r="T416" t="str">
        <f t="shared" si="38"/>
        <v>Normal</v>
      </c>
      <c r="U416">
        <v>85</v>
      </c>
      <c r="V416">
        <v>72</v>
      </c>
      <c r="W416" t="str">
        <f t="shared" si="41"/>
        <v>Normal</v>
      </c>
      <c r="X416">
        <v>0</v>
      </c>
    </row>
    <row r="417" spans="1:24" ht="14.5" thickBot="1" x14ac:dyDescent="0.35">
      <c r="A417">
        <v>1</v>
      </c>
      <c r="B417" t="str">
        <f t="shared" si="39"/>
        <v>Male</v>
      </c>
      <c r="C417" s="8">
        <v>39</v>
      </c>
      <c r="D417" t="str">
        <f t="shared" si="40"/>
        <v>Young</v>
      </c>
      <c r="E417">
        <v>4</v>
      </c>
      <c r="F417" t="str">
        <f>HLOOKUP(E417, LookUP_Table!$A$6:$D$7, 2, FALSE)</f>
        <v>Post Graduate</v>
      </c>
      <c r="G417" t="str">
        <f>IFERROR(VLOOKUP(E417, LookUP_Table!$A$1:$B$4, 2, FALSE), "")</f>
        <v>Post Graduate</v>
      </c>
      <c r="H417">
        <v>1</v>
      </c>
      <c r="I417">
        <v>15</v>
      </c>
      <c r="J417" t="str">
        <f t="shared" si="36"/>
        <v>Smoker</v>
      </c>
      <c r="K417">
        <v>0</v>
      </c>
      <c r="L417">
        <v>0</v>
      </c>
      <c r="M417">
        <v>0</v>
      </c>
      <c r="N417">
        <v>0</v>
      </c>
      <c r="O417">
        <v>232</v>
      </c>
      <c r="P417" t="str">
        <f t="shared" si="37"/>
        <v>Normal</v>
      </c>
      <c r="Q417">
        <v>115</v>
      </c>
      <c r="R417">
        <v>72.5</v>
      </c>
      <c r="S417">
        <v>30.22</v>
      </c>
      <c r="T417" t="str">
        <f t="shared" si="38"/>
        <v>Obese</v>
      </c>
      <c r="U417">
        <v>90</v>
      </c>
      <c r="V417">
        <v>105</v>
      </c>
      <c r="W417" t="str">
        <f t="shared" si="41"/>
        <v>Prediabetes</v>
      </c>
      <c r="X417">
        <v>1</v>
      </c>
    </row>
    <row r="418" spans="1:24" ht="14.5" thickBot="1" x14ac:dyDescent="0.35">
      <c r="A418">
        <v>1</v>
      </c>
      <c r="B418" t="str">
        <f t="shared" si="39"/>
        <v>Male</v>
      </c>
      <c r="C418" s="8">
        <v>39</v>
      </c>
      <c r="D418" t="str">
        <f t="shared" si="40"/>
        <v>Young</v>
      </c>
      <c r="E418">
        <v>2</v>
      </c>
      <c r="F418" t="str">
        <f>HLOOKUP(E418, LookUP_Table!$A$6:$D$7, 2, FALSE)</f>
        <v>Secondary</v>
      </c>
      <c r="G418" t="str">
        <f>IFERROR(VLOOKUP(E418, LookUP_Table!$A$1:$B$4, 2, FALSE), "")</f>
        <v>Secondary</v>
      </c>
      <c r="H418">
        <v>0</v>
      </c>
      <c r="I418">
        <v>0</v>
      </c>
      <c r="J418" t="str">
        <f t="shared" si="36"/>
        <v>Non-Smoker</v>
      </c>
      <c r="K418">
        <v>0</v>
      </c>
      <c r="L418">
        <v>0</v>
      </c>
      <c r="M418">
        <v>0</v>
      </c>
      <c r="N418">
        <v>0</v>
      </c>
      <c r="O418">
        <v>203</v>
      </c>
      <c r="P418" t="str">
        <f t="shared" si="37"/>
        <v>Normal</v>
      </c>
      <c r="Q418">
        <v>117.5</v>
      </c>
      <c r="R418">
        <v>77.5</v>
      </c>
      <c r="S418">
        <v>27.29</v>
      </c>
      <c r="T418" t="str">
        <f t="shared" si="38"/>
        <v>Overweight</v>
      </c>
      <c r="U418">
        <v>88</v>
      </c>
      <c r="V418">
        <v>60</v>
      </c>
      <c r="W418" t="str">
        <f t="shared" si="41"/>
        <v>Normal</v>
      </c>
      <c r="X418">
        <v>0</v>
      </c>
    </row>
    <row r="419" spans="1:24" ht="14.5" thickBot="1" x14ac:dyDescent="0.35">
      <c r="A419">
        <v>0</v>
      </c>
      <c r="B419" t="str">
        <f t="shared" si="39"/>
        <v>Female</v>
      </c>
      <c r="C419" s="8">
        <v>39</v>
      </c>
      <c r="D419" t="str">
        <f t="shared" si="40"/>
        <v>Young</v>
      </c>
      <c r="E419">
        <v>2</v>
      </c>
      <c r="F419" t="str">
        <f>HLOOKUP(E419, LookUP_Table!$A$6:$D$7, 2, FALSE)</f>
        <v>Secondary</v>
      </c>
      <c r="G419" t="str">
        <f>IFERROR(VLOOKUP(E419, LookUP_Table!$A$1:$B$4, 2, FALSE), "")</f>
        <v>Secondary</v>
      </c>
      <c r="H419">
        <v>0</v>
      </c>
      <c r="I419">
        <v>0</v>
      </c>
      <c r="J419" t="str">
        <f t="shared" si="36"/>
        <v>Non-Smoker</v>
      </c>
      <c r="K419">
        <v>0</v>
      </c>
      <c r="L419">
        <v>0</v>
      </c>
      <c r="M419">
        <v>0</v>
      </c>
      <c r="N419">
        <v>0</v>
      </c>
      <c r="O419">
        <v>250</v>
      </c>
      <c r="P419" t="str">
        <f t="shared" si="37"/>
        <v>High</v>
      </c>
      <c r="Q419">
        <v>123</v>
      </c>
      <c r="R419">
        <v>92.5</v>
      </c>
      <c r="S419">
        <v>29.23</v>
      </c>
      <c r="T419" t="str">
        <f t="shared" si="38"/>
        <v>Overweight</v>
      </c>
      <c r="U419">
        <v>90</v>
      </c>
      <c r="V419">
        <v>71</v>
      </c>
      <c r="W419" t="str">
        <f t="shared" si="41"/>
        <v>Normal</v>
      </c>
      <c r="X419">
        <v>0</v>
      </c>
    </row>
    <row r="420" spans="1:24" ht="14.5" thickBot="1" x14ac:dyDescent="0.35">
      <c r="A420">
        <v>0</v>
      </c>
      <c r="B420" t="str">
        <f t="shared" si="39"/>
        <v>Female</v>
      </c>
      <c r="C420" s="8">
        <v>39</v>
      </c>
      <c r="D420" t="str">
        <f t="shared" si="40"/>
        <v>Young</v>
      </c>
      <c r="E420">
        <v>1</v>
      </c>
      <c r="F420" t="str">
        <f>HLOOKUP(E420, LookUP_Table!$A$6:$D$7, 2, FALSE)</f>
        <v>Primary</v>
      </c>
      <c r="G420" t="str">
        <f>IFERROR(VLOOKUP(E420, LookUP_Table!$A$1:$B$4, 2, FALSE), "")</f>
        <v>Primary</v>
      </c>
      <c r="H420">
        <v>1</v>
      </c>
      <c r="I420">
        <v>3</v>
      </c>
      <c r="J420" t="str">
        <f t="shared" si="36"/>
        <v>Smoker</v>
      </c>
      <c r="K420">
        <v>0</v>
      </c>
      <c r="L420">
        <v>0</v>
      </c>
      <c r="M420">
        <v>0</v>
      </c>
      <c r="N420">
        <v>0</v>
      </c>
      <c r="O420">
        <v>273</v>
      </c>
      <c r="P420" t="str">
        <f t="shared" si="37"/>
        <v>High</v>
      </c>
      <c r="Q420">
        <v>116</v>
      </c>
      <c r="R420">
        <v>86</v>
      </c>
      <c r="S420">
        <v>28.73</v>
      </c>
      <c r="T420" t="str">
        <f t="shared" si="38"/>
        <v>Overweight</v>
      </c>
      <c r="U420">
        <v>75</v>
      </c>
      <c r="V420">
        <v>81.96365524402907</v>
      </c>
      <c r="W420" t="str">
        <f t="shared" si="41"/>
        <v>Normal</v>
      </c>
      <c r="X420">
        <v>0</v>
      </c>
    </row>
    <row r="421" spans="1:24" ht="14.5" thickBot="1" x14ac:dyDescent="0.35">
      <c r="A421">
        <v>0</v>
      </c>
      <c r="B421" t="str">
        <f t="shared" si="39"/>
        <v>Female</v>
      </c>
      <c r="C421" s="8">
        <v>39</v>
      </c>
      <c r="D421" t="str">
        <f t="shared" si="40"/>
        <v>Young</v>
      </c>
      <c r="E421">
        <v>1</v>
      </c>
      <c r="F421" t="str">
        <f>HLOOKUP(E421, LookUP_Table!$A$6:$D$7, 2, FALSE)</f>
        <v>Primary</v>
      </c>
      <c r="G421" t="str">
        <f>IFERROR(VLOOKUP(E421, LookUP_Table!$A$1:$B$4, 2, FALSE), "")</f>
        <v>Primary</v>
      </c>
      <c r="H421">
        <v>1</v>
      </c>
      <c r="I421">
        <v>20</v>
      </c>
      <c r="J421" t="str">
        <f t="shared" si="36"/>
        <v>Smoker</v>
      </c>
      <c r="K421">
        <v>0</v>
      </c>
      <c r="L421">
        <v>0</v>
      </c>
      <c r="M421">
        <v>0</v>
      </c>
      <c r="N421">
        <v>0</v>
      </c>
      <c r="O421">
        <v>160</v>
      </c>
      <c r="P421" t="str">
        <f t="shared" si="37"/>
        <v>Normal</v>
      </c>
      <c r="Q421">
        <v>128.5</v>
      </c>
      <c r="R421">
        <v>74.5</v>
      </c>
      <c r="S421">
        <v>20.56</v>
      </c>
      <c r="T421" t="str">
        <f t="shared" si="38"/>
        <v>Normal</v>
      </c>
      <c r="U421">
        <v>60</v>
      </c>
      <c r="V421">
        <v>83</v>
      </c>
      <c r="W421" t="str">
        <f t="shared" si="41"/>
        <v>Normal</v>
      </c>
      <c r="X421">
        <v>0</v>
      </c>
    </row>
    <row r="422" spans="1:24" ht="14.5" thickBot="1" x14ac:dyDescent="0.35">
      <c r="A422">
        <v>0</v>
      </c>
      <c r="B422" t="str">
        <f t="shared" si="39"/>
        <v>Female</v>
      </c>
      <c r="C422" s="8">
        <v>39</v>
      </c>
      <c r="D422" t="str">
        <f t="shared" si="40"/>
        <v>Young</v>
      </c>
      <c r="E422">
        <v>2</v>
      </c>
      <c r="F422" t="str">
        <f>HLOOKUP(E422, LookUP_Table!$A$6:$D$7, 2, FALSE)</f>
        <v>Secondary</v>
      </c>
      <c r="G422" t="str">
        <f>IFERROR(VLOOKUP(E422, LookUP_Table!$A$1:$B$4, 2, FALSE), "")</f>
        <v>Secondary</v>
      </c>
      <c r="H422">
        <v>0</v>
      </c>
      <c r="I422">
        <v>0</v>
      </c>
      <c r="J422" t="str">
        <f t="shared" si="36"/>
        <v>Non-Smoker</v>
      </c>
      <c r="K422">
        <v>0</v>
      </c>
      <c r="L422">
        <v>0</v>
      </c>
      <c r="M422">
        <v>0</v>
      </c>
      <c r="N422">
        <v>0</v>
      </c>
      <c r="O422">
        <v>195</v>
      </c>
      <c r="P422" t="str">
        <f t="shared" si="37"/>
        <v>Normal</v>
      </c>
      <c r="Q422">
        <v>105</v>
      </c>
      <c r="R422">
        <v>70</v>
      </c>
      <c r="S422">
        <v>26.97</v>
      </c>
      <c r="T422" t="str">
        <f t="shared" si="38"/>
        <v>Overweight</v>
      </c>
      <c r="U422">
        <v>80</v>
      </c>
      <c r="V422">
        <v>64</v>
      </c>
      <c r="W422" t="str">
        <f t="shared" si="41"/>
        <v>Normal</v>
      </c>
      <c r="X422">
        <v>0</v>
      </c>
    </row>
    <row r="423" spans="1:24" ht="14.5" thickBot="1" x14ac:dyDescent="0.35">
      <c r="A423">
        <v>1</v>
      </c>
      <c r="B423" t="str">
        <f t="shared" si="39"/>
        <v>Male</v>
      </c>
      <c r="C423" s="8">
        <v>39</v>
      </c>
      <c r="D423" t="str">
        <f t="shared" si="40"/>
        <v>Young</v>
      </c>
      <c r="E423">
        <v>2</v>
      </c>
      <c r="F423" t="str">
        <f>HLOOKUP(E423, LookUP_Table!$A$6:$D$7, 2, FALSE)</f>
        <v>Secondary</v>
      </c>
      <c r="G423" t="str">
        <f>IFERROR(VLOOKUP(E423, LookUP_Table!$A$1:$B$4, 2, FALSE), "")</f>
        <v>Secondary</v>
      </c>
      <c r="H423">
        <v>1</v>
      </c>
      <c r="I423">
        <v>20</v>
      </c>
      <c r="J423" t="str">
        <f t="shared" si="36"/>
        <v>Smoker</v>
      </c>
      <c r="K423">
        <v>0</v>
      </c>
      <c r="L423">
        <v>0</v>
      </c>
      <c r="M423">
        <v>0</v>
      </c>
      <c r="N423">
        <v>0</v>
      </c>
      <c r="O423">
        <v>212</v>
      </c>
      <c r="P423" t="str">
        <f t="shared" si="37"/>
        <v>Normal</v>
      </c>
      <c r="Q423">
        <v>107.5</v>
      </c>
      <c r="R423">
        <v>67.5</v>
      </c>
      <c r="S423">
        <v>27.43</v>
      </c>
      <c r="T423" t="str">
        <f t="shared" si="38"/>
        <v>Overweight</v>
      </c>
      <c r="U423">
        <v>87</v>
      </c>
      <c r="V423">
        <v>77</v>
      </c>
      <c r="W423" t="str">
        <f t="shared" si="41"/>
        <v>Normal</v>
      </c>
      <c r="X423">
        <v>0</v>
      </c>
    </row>
    <row r="424" spans="1:24" ht="14.5" thickBot="1" x14ac:dyDescent="0.35">
      <c r="A424">
        <v>0</v>
      </c>
      <c r="B424" t="str">
        <f t="shared" si="39"/>
        <v>Female</v>
      </c>
      <c r="C424" s="8">
        <v>39</v>
      </c>
      <c r="D424" t="str">
        <f t="shared" si="40"/>
        <v>Young</v>
      </c>
      <c r="E424">
        <v>2</v>
      </c>
      <c r="F424" t="str">
        <f>HLOOKUP(E424, LookUP_Table!$A$6:$D$7, 2, FALSE)</f>
        <v>Secondary</v>
      </c>
      <c r="G424" t="str">
        <f>IFERROR(VLOOKUP(E424, LookUP_Table!$A$1:$B$4, 2, FALSE), "")</f>
        <v>Secondary</v>
      </c>
      <c r="H424">
        <v>1</v>
      </c>
      <c r="I424">
        <v>20</v>
      </c>
      <c r="J424" t="str">
        <f t="shared" si="36"/>
        <v>Smoker</v>
      </c>
      <c r="K424">
        <v>0</v>
      </c>
      <c r="L424">
        <v>0</v>
      </c>
      <c r="M424">
        <v>0</v>
      </c>
      <c r="N424">
        <v>0</v>
      </c>
      <c r="O424">
        <v>240</v>
      </c>
      <c r="P424" t="str">
        <f t="shared" si="37"/>
        <v>Normal</v>
      </c>
      <c r="Q424">
        <v>120</v>
      </c>
      <c r="R424">
        <v>80</v>
      </c>
      <c r="S424">
        <v>24.79</v>
      </c>
      <c r="T424" t="str">
        <f t="shared" si="38"/>
        <v>Normal</v>
      </c>
      <c r="U424">
        <v>81</v>
      </c>
      <c r="V424">
        <v>75</v>
      </c>
      <c r="W424" t="str">
        <f t="shared" si="41"/>
        <v>Normal</v>
      </c>
      <c r="X424">
        <v>0</v>
      </c>
    </row>
    <row r="425" spans="1:24" ht="14.5" thickBot="1" x14ac:dyDescent="0.35">
      <c r="A425">
        <v>1</v>
      </c>
      <c r="B425" t="str">
        <f t="shared" si="39"/>
        <v>Male</v>
      </c>
      <c r="C425" s="8">
        <v>39</v>
      </c>
      <c r="D425" t="str">
        <f t="shared" si="40"/>
        <v>Young</v>
      </c>
      <c r="E425">
        <v>2</v>
      </c>
      <c r="F425" t="str">
        <f>HLOOKUP(E425, LookUP_Table!$A$6:$D$7, 2, FALSE)</f>
        <v>Secondary</v>
      </c>
      <c r="G425" t="str">
        <f>IFERROR(VLOOKUP(E425, LookUP_Table!$A$1:$B$4, 2, FALSE), "")</f>
        <v>Secondary</v>
      </c>
      <c r="H425">
        <v>1</v>
      </c>
      <c r="I425">
        <v>20</v>
      </c>
      <c r="J425" t="str">
        <f t="shared" si="36"/>
        <v>Smoker</v>
      </c>
      <c r="K425">
        <v>0</v>
      </c>
      <c r="L425">
        <v>0</v>
      </c>
      <c r="M425">
        <v>0</v>
      </c>
      <c r="N425">
        <v>0</v>
      </c>
      <c r="O425">
        <v>188</v>
      </c>
      <c r="P425" t="str">
        <f t="shared" si="37"/>
        <v>Normal</v>
      </c>
      <c r="Q425">
        <v>120</v>
      </c>
      <c r="R425">
        <v>74</v>
      </c>
      <c r="S425">
        <v>26.48</v>
      </c>
      <c r="T425" t="str">
        <f t="shared" si="38"/>
        <v>Overweight</v>
      </c>
      <c r="U425">
        <v>65</v>
      </c>
      <c r="V425">
        <v>80</v>
      </c>
      <c r="W425" t="str">
        <f t="shared" si="41"/>
        <v>Normal</v>
      </c>
      <c r="X425">
        <v>0</v>
      </c>
    </row>
    <row r="426" spans="1:24" ht="14.5" thickBot="1" x14ac:dyDescent="0.35">
      <c r="A426">
        <v>0</v>
      </c>
      <c r="B426" t="str">
        <f t="shared" si="39"/>
        <v>Female</v>
      </c>
      <c r="C426" s="8">
        <v>39</v>
      </c>
      <c r="D426" t="str">
        <f t="shared" si="40"/>
        <v>Young</v>
      </c>
      <c r="E426">
        <v>3</v>
      </c>
      <c r="F426" t="str">
        <f>HLOOKUP(E426, LookUP_Table!$A$6:$D$7, 2, FALSE)</f>
        <v>Graduate</v>
      </c>
      <c r="G426" t="str">
        <f>IFERROR(VLOOKUP(E426, LookUP_Table!$A$1:$B$4, 2, FALSE), "")</f>
        <v>Graduate</v>
      </c>
      <c r="H426">
        <v>0</v>
      </c>
      <c r="I426">
        <v>0</v>
      </c>
      <c r="J426" t="str">
        <f t="shared" si="36"/>
        <v>Non-Smoker</v>
      </c>
      <c r="K426">
        <v>0</v>
      </c>
      <c r="L426">
        <v>0</v>
      </c>
      <c r="M426">
        <v>0</v>
      </c>
      <c r="N426">
        <v>0</v>
      </c>
      <c r="O426">
        <v>152</v>
      </c>
      <c r="P426" t="str">
        <f t="shared" si="37"/>
        <v>Normal</v>
      </c>
      <c r="Q426">
        <v>114</v>
      </c>
      <c r="R426">
        <v>66.5</v>
      </c>
      <c r="S426">
        <v>24.56</v>
      </c>
      <c r="T426" t="str">
        <f t="shared" si="38"/>
        <v>Normal</v>
      </c>
      <c r="U426">
        <v>70</v>
      </c>
      <c r="V426">
        <v>71</v>
      </c>
      <c r="W426" t="str">
        <f t="shared" si="41"/>
        <v>Normal</v>
      </c>
      <c r="X426">
        <v>0</v>
      </c>
    </row>
    <row r="427" spans="1:24" ht="14.5" thickBot="1" x14ac:dyDescent="0.35">
      <c r="A427">
        <v>1</v>
      </c>
      <c r="B427" t="str">
        <f t="shared" si="39"/>
        <v>Male</v>
      </c>
      <c r="C427" s="8">
        <v>39</v>
      </c>
      <c r="D427" t="str">
        <f t="shared" si="40"/>
        <v>Young</v>
      </c>
      <c r="E427">
        <v>2</v>
      </c>
      <c r="F427" t="str">
        <f>HLOOKUP(E427, LookUP_Table!$A$6:$D$7, 2, FALSE)</f>
        <v>Secondary</v>
      </c>
      <c r="G427" t="str">
        <f>IFERROR(VLOOKUP(E427, LookUP_Table!$A$1:$B$4, 2, FALSE), "")</f>
        <v>Secondary</v>
      </c>
      <c r="H427">
        <v>1</v>
      </c>
      <c r="I427">
        <v>40</v>
      </c>
      <c r="J427" t="str">
        <f t="shared" si="36"/>
        <v>Smoker</v>
      </c>
      <c r="K427">
        <v>0</v>
      </c>
      <c r="L427">
        <v>0</v>
      </c>
      <c r="M427">
        <v>0</v>
      </c>
      <c r="N427">
        <v>0</v>
      </c>
      <c r="O427">
        <v>207</v>
      </c>
      <c r="P427" t="str">
        <f t="shared" si="37"/>
        <v>Normal</v>
      </c>
      <c r="Q427">
        <v>131</v>
      </c>
      <c r="R427">
        <v>82</v>
      </c>
      <c r="S427">
        <v>24.25</v>
      </c>
      <c r="T427" t="str">
        <f t="shared" si="38"/>
        <v>Normal</v>
      </c>
      <c r="U427">
        <v>73</v>
      </c>
      <c r="V427">
        <v>83</v>
      </c>
      <c r="W427" t="str">
        <f t="shared" si="41"/>
        <v>Normal</v>
      </c>
      <c r="X427">
        <v>0</v>
      </c>
    </row>
    <row r="428" spans="1:24" ht="14.5" thickBot="1" x14ac:dyDescent="0.35">
      <c r="A428">
        <v>1</v>
      </c>
      <c r="B428" t="str">
        <f t="shared" si="39"/>
        <v>Male</v>
      </c>
      <c r="C428" s="8">
        <v>39</v>
      </c>
      <c r="D428" t="str">
        <f t="shared" si="40"/>
        <v>Young</v>
      </c>
      <c r="E428">
        <v>4</v>
      </c>
      <c r="F428" t="str">
        <f>HLOOKUP(E428, LookUP_Table!$A$6:$D$7, 2, FALSE)</f>
        <v>Post Graduate</v>
      </c>
      <c r="G428" t="str">
        <f>IFERROR(VLOOKUP(E428, LookUP_Table!$A$1:$B$4, 2, FALSE), "")</f>
        <v>Post Graduate</v>
      </c>
      <c r="H428">
        <v>0</v>
      </c>
      <c r="I428">
        <v>0</v>
      </c>
      <c r="J428" t="str">
        <f t="shared" si="36"/>
        <v>Non-Smoker</v>
      </c>
      <c r="K428">
        <v>0</v>
      </c>
      <c r="L428">
        <v>0</v>
      </c>
      <c r="M428">
        <v>0</v>
      </c>
      <c r="N428">
        <v>0</v>
      </c>
      <c r="O428">
        <v>220</v>
      </c>
      <c r="P428" t="str">
        <f t="shared" si="37"/>
        <v>Normal</v>
      </c>
      <c r="Q428">
        <v>107</v>
      </c>
      <c r="R428">
        <v>76.5</v>
      </c>
      <c r="S428">
        <v>22.45</v>
      </c>
      <c r="T428" t="str">
        <f t="shared" si="38"/>
        <v>Normal</v>
      </c>
      <c r="U428">
        <v>66</v>
      </c>
      <c r="V428">
        <v>78</v>
      </c>
      <c r="W428" t="str">
        <f t="shared" si="41"/>
        <v>Normal</v>
      </c>
      <c r="X428">
        <v>0</v>
      </c>
    </row>
    <row r="429" spans="1:24" ht="14.5" thickBot="1" x14ac:dyDescent="0.35">
      <c r="A429">
        <v>1</v>
      </c>
      <c r="B429" t="str">
        <f t="shared" si="39"/>
        <v>Male</v>
      </c>
      <c r="C429" s="8">
        <v>39</v>
      </c>
      <c r="D429" t="str">
        <f t="shared" si="40"/>
        <v>Young</v>
      </c>
      <c r="E429">
        <v>2</v>
      </c>
      <c r="F429" t="str">
        <f>HLOOKUP(E429, LookUP_Table!$A$6:$D$7, 2, FALSE)</f>
        <v>Secondary</v>
      </c>
      <c r="G429" t="str">
        <f>IFERROR(VLOOKUP(E429, LookUP_Table!$A$1:$B$4, 2, FALSE), "")</f>
        <v>Secondary</v>
      </c>
      <c r="H429">
        <v>1</v>
      </c>
      <c r="I429">
        <v>30</v>
      </c>
      <c r="J429" t="str">
        <f t="shared" si="36"/>
        <v>Smoker</v>
      </c>
      <c r="K429">
        <v>0</v>
      </c>
      <c r="L429">
        <v>0</v>
      </c>
      <c r="M429">
        <v>0</v>
      </c>
      <c r="N429">
        <v>0</v>
      </c>
      <c r="O429">
        <v>225</v>
      </c>
      <c r="P429" t="str">
        <f t="shared" si="37"/>
        <v>Normal</v>
      </c>
      <c r="Q429">
        <v>128</v>
      </c>
      <c r="R429">
        <v>86.5</v>
      </c>
      <c r="S429">
        <v>25.13</v>
      </c>
      <c r="T429" t="str">
        <f t="shared" si="38"/>
        <v>Overweight</v>
      </c>
      <c r="U429">
        <v>74</v>
      </c>
      <c r="V429">
        <v>100</v>
      </c>
      <c r="W429" t="str">
        <f t="shared" si="41"/>
        <v>Prediabetes</v>
      </c>
      <c r="X429">
        <v>0</v>
      </c>
    </row>
    <row r="430" spans="1:24" ht="14.5" thickBot="1" x14ac:dyDescent="0.35">
      <c r="A430">
        <v>0</v>
      </c>
      <c r="B430" t="str">
        <f t="shared" si="39"/>
        <v>Female</v>
      </c>
      <c r="C430" s="8">
        <v>39</v>
      </c>
      <c r="D430" t="str">
        <f t="shared" si="40"/>
        <v>Young</v>
      </c>
      <c r="E430">
        <v>1</v>
      </c>
      <c r="F430" t="str">
        <f>HLOOKUP(E430, LookUP_Table!$A$6:$D$7, 2, FALSE)</f>
        <v>Primary</v>
      </c>
      <c r="G430" t="str">
        <f>IFERROR(VLOOKUP(E430, LookUP_Table!$A$1:$B$4, 2, FALSE), "")</f>
        <v>Primary</v>
      </c>
      <c r="H430">
        <v>1</v>
      </c>
      <c r="I430">
        <v>20</v>
      </c>
      <c r="J430" t="str">
        <f t="shared" si="36"/>
        <v>Smoker</v>
      </c>
      <c r="K430">
        <v>0</v>
      </c>
      <c r="L430">
        <v>0</v>
      </c>
      <c r="M430">
        <v>0</v>
      </c>
      <c r="N430">
        <v>0</v>
      </c>
      <c r="O430">
        <v>233</v>
      </c>
      <c r="P430" t="str">
        <f t="shared" si="37"/>
        <v>Normal</v>
      </c>
      <c r="Q430">
        <v>126</v>
      </c>
      <c r="R430">
        <v>85</v>
      </c>
      <c r="S430">
        <v>22.89</v>
      </c>
      <c r="T430" t="str">
        <f t="shared" si="38"/>
        <v>Normal</v>
      </c>
      <c r="U430">
        <v>80</v>
      </c>
      <c r="V430">
        <v>87</v>
      </c>
      <c r="W430" t="str">
        <f t="shared" si="41"/>
        <v>Normal</v>
      </c>
      <c r="X430">
        <v>0</v>
      </c>
    </row>
    <row r="431" spans="1:24" ht="14.5" thickBot="1" x14ac:dyDescent="0.35">
      <c r="A431">
        <v>1</v>
      </c>
      <c r="B431" t="str">
        <f t="shared" si="39"/>
        <v>Male</v>
      </c>
      <c r="C431" s="8">
        <v>39</v>
      </c>
      <c r="D431" t="str">
        <f t="shared" si="40"/>
        <v>Young</v>
      </c>
      <c r="E431">
        <v>1</v>
      </c>
      <c r="F431" t="str">
        <f>HLOOKUP(E431, LookUP_Table!$A$6:$D$7, 2, FALSE)</f>
        <v>Primary</v>
      </c>
      <c r="G431" t="str">
        <f>IFERROR(VLOOKUP(E431, LookUP_Table!$A$1:$B$4, 2, FALSE), "")</f>
        <v>Primary</v>
      </c>
      <c r="H431">
        <v>0</v>
      </c>
      <c r="I431">
        <v>0</v>
      </c>
      <c r="J431" t="str">
        <f t="shared" si="36"/>
        <v>Non-Smoker</v>
      </c>
      <c r="K431">
        <v>0</v>
      </c>
      <c r="L431">
        <v>0</v>
      </c>
      <c r="M431">
        <v>0</v>
      </c>
      <c r="N431">
        <v>0</v>
      </c>
      <c r="O431">
        <v>224</v>
      </c>
      <c r="P431" t="str">
        <f t="shared" si="37"/>
        <v>Normal</v>
      </c>
      <c r="Q431">
        <v>108</v>
      </c>
      <c r="R431">
        <v>66</v>
      </c>
      <c r="S431">
        <v>28.57</v>
      </c>
      <c r="T431" t="str">
        <f t="shared" si="38"/>
        <v>Overweight</v>
      </c>
      <c r="U431">
        <v>90</v>
      </c>
      <c r="V431">
        <v>97</v>
      </c>
      <c r="W431" t="str">
        <f t="shared" si="41"/>
        <v>Normal</v>
      </c>
      <c r="X431">
        <v>0</v>
      </c>
    </row>
    <row r="432" spans="1:24" ht="14.5" thickBot="1" x14ac:dyDescent="0.35">
      <c r="A432">
        <v>1</v>
      </c>
      <c r="B432" t="str">
        <f t="shared" si="39"/>
        <v>Male</v>
      </c>
      <c r="C432" s="8">
        <v>39</v>
      </c>
      <c r="D432" t="str">
        <f t="shared" si="40"/>
        <v>Young</v>
      </c>
      <c r="E432">
        <v>1</v>
      </c>
      <c r="F432" t="str">
        <f>HLOOKUP(E432, LookUP_Table!$A$6:$D$7, 2, FALSE)</f>
        <v>Primary</v>
      </c>
      <c r="G432" t="str">
        <f>IFERROR(VLOOKUP(E432, LookUP_Table!$A$1:$B$4, 2, FALSE), "")</f>
        <v>Primary</v>
      </c>
      <c r="H432">
        <v>1</v>
      </c>
      <c r="I432">
        <v>30</v>
      </c>
      <c r="J432" t="str">
        <f t="shared" si="36"/>
        <v>Smoker</v>
      </c>
      <c r="K432">
        <v>0</v>
      </c>
      <c r="L432">
        <v>0</v>
      </c>
      <c r="M432">
        <v>1</v>
      </c>
      <c r="N432">
        <v>0</v>
      </c>
      <c r="O432">
        <v>253</v>
      </c>
      <c r="P432" t="str">
        <f t="shared" si="37"/>
        <v>High</v>
      </c>
      <c r="Q432">
        <v>159</v>
      </c>
      <c r="R432">
        <v>115</v>
      </c>
      <c r="S432">
        <v>32.659999999999997</v>
      </c>
      <c r="T432" t="str">
        <f t="shared" si="38"/>
        <v>Obese</v>
      </c>
      <c r="U432">
        <v>110</v>
      </c>
      <c r="V432">
        <v>74</v>
      </c>
      <c r="W432" t="str">
        <f t="shared" si="41"/>
        <v>Normal</v>
      </c>
      <c r="X432">
        <v>0</v>
      </c>
    </row>
    <row r="433" spans="1:24" ht="14.5" thickBot="1" x14ac:dyDescent="0.35">
      <c r="A433">
        <v>0</v>
      </c>
      <c r="B433" t="str">
        <f t="shared" si="39"/>
        <v>Female</v>
      </c>
      <c r="C433" s="8">
        <v>39</v>
      </c>
      <c r="D433" t="str">
        <f t="shared" si="40"/>
        <v>Young</v>
      </c>
      <c r="E433">
        <v>1</v>
      </c>
      <c r="F433" t="str">
        <f>HLOOKUP(E433, LookUP_Table!$A$6:$D$7, 2, FALSE)</f>
        <v>Primary</v>
      </c>
      <c r="G433" t="str">
        <f>IFERROR(VLOOKUP(E433, LookUP_Table!$A$1:$B$4, 2, FALSE), "")</f>
        <v>Primary</v>
      </c>
      <c r="H433">
        <v>1</v>
      </c>
      <c r="I433">
        <v>5</v>
      </c>
      <c r="J433" t="str">
        <f t="shared" si="36"/>
        <v>Smoker</v>
      </c>
      <c r="K433">
        <v>0</v>
      </c>
      <c r="L433">
        <v>0</v>
      </c>
      <c r="M433">
        <v>0</v>
      </c>
      <c r="N433">
        <v>0</v>
      </c>
      <c r="O433">
        <v>170</v>
      </c>
      <c r="P433" t="str">
        <f t="shared" si="37"/>
        <v>Normal</v>
      </c>
      <c r="Q433">
        <v>137.5</v>
      </c>
      <c r="R433">
        <v>77.5</v>
      </c>
      <c r="S433">
        <v>27.35</v>
      </c>
      <c r="T433" t="str">
        <f t="shared" si="38"/>
        <v>Overweight</v>
      </c>
      <c r="U433">
        <v>67</v>
      </c>
      <c r="V433">
        <v>70</v>
      </c>
      <c r="W433" t="str">
        <f t="shared" si="41"/>
        <v>Normal</v>
      </c>
      <c r="X433">
        <v>0</v>
      </c>
    </row>
    <row r="434" spans="1:24" ht="14.5" thickBot="1" x14ac:dyDescent="0.35">
      <c r="A434">
        <v>0</v>
      </c>
      <c r="B434" t="str">
        <f t="shared" si="39"/>
        <v>Female</v>
      </c>
      <c r="C434" s="8">
        <v>39</v>
      </c>
      <c r="D434" t="str">
        <f t="shared" si="40"/>
        <v>Young</v>
      </c>
      <c r="E434">
        <v>2</v>
      </c>
      <c r="F434" t="str">
        <f>HLOOKUP(E434, LookUP_Table!$A$6:$D$7, 2, FALSE)</f>
        <v>Secondary</v>
      </c>
      <c r="G434" t="str">
        <f>IFERROR(VLOOKUP(E434, LookUP_Table!$A$1:$B$4, 2, FALSE), "")</f>
        <v>Secondary</v>
      </c>
      <c r="H434">
        <v>1</v>
      </c>
      <c r="I434">
        <v>15</v>
      </c>
      <c r="J434" t="str">
        <f t="shared" si="36"/>
        <v>Smoker</v>
      </c>
      <c r="K434">
        <v>0</v>
      </c>
      <c r="L434">
        <v>0</v>
      </c>
      <c r="M434">
        <v>0</v>
      </c>
      <c r="N434">
        <v>0</v>
      </c>
      <c r="O434">
        <v>284</v>
      </c>
      <c r="P434" t="str">
        <f t="shared" si="37"/>
        <v>High</v>
      </c>
      <c r="Q434">
        <v>115.5</v>
      </c>
      <c r="R434">
        <v>65.5</v>
      </c>
      <c r="S434">
        <v>20.39</v>
      </c>
      <c r="T434" t="str">
        <f t="shared" si="38"/>
        <v>Normal</v>
      </c>
      <c r="U434">
        <v>64</v>
      </c>
      <c r="V434">
        <v>78</v>
      </c>
      <c r="W434" t="str">
        <f t="shared" si="41"/>
        <v>Normal</v>
      </c>
      <c r="X434">
        <v>0</v>
      </c>
    </row>
    <row r="435" spans="1:24" ht="14.5" thickBot="1" x14ac:dyDescent="0.35">
      <c r="A435">
        <v>1</v>
      </c>
      <c r="B435" t="str">
        <f t="shared" si="39"/>
        <v>Male</v>
      </c>
      <c r="C435" s="8">
        <v>39</v>
      </c>
      <c r="D435" t="str">
        <f t="shared" si="40"/>
        <v>Young</v>
      </c>
      <c r="E435">
        <v>1</v>
      </c>
      <c r="F435" t="str">
        <f>HLOOKUP(E435, LookUP_Table!$A$6:$D$7, 2, FALSE)</f>
        <v>Primary</v>
      </c>
      <c r="G435" t="str">
        <f>IFERROR(VLOOKUP(E435, LookUP_Table!$A$1:$B$4, 2, FALSE), "")</f>
        <v>Primary</v>
      </c>
      <c r="H435">
        <v>0</v>
      </c>
      <c r="I435">
        <v>0</v>
      </c>
      <c r="J435" t="str">
        <f t="shared" si="36"/>
        <v>Non-Smoker</v>
      </c>
      <c r="K435">
        <v>0</v>
      </c>
      <c r="L435">
        <v>0</v>
      </c>
      <c r="M435">
        <v>0</v>
      </c>
      <c r="N435">
        <v>0</v>
      </c>
      <c r="O435">
        <v>160</v>
      </c>
      <c r="P435" t="str">
        <f t="shared" si="37"/>
        <v>Normal</v>
      </c>
      <c r="Q435">
        <v>124</v>
      </c>
      <c r="R435">
        <v>90</v>
      </c>
      <c r="S435">
        <v>26.82</v>
      </c>
      <c r="T435" t="str">
        <f t="shared" si="38"/>
        <v>Overweight</v>
      </c>
      <c r="U435">
        <v>50</v>
      </c>
      <c r="V435">
        <v>67</v>
      </c>
      <c r="W435" t="str">
        <f t="shared" si="41"/>
        <v>Normal</v>
      </c>
      <c r="X435">
        <v>0</v>
      </c>
    </row>
    <row r="436" spans="1:24" ht="14.5" thickBot="1" x14ac:dyDescent="0.35">
      <c r="A436">
        <v>1</v>
      </c>
      <c r="B436" t="str">
        <f t="shared" si="39"/>
        <v>Male</v>
      </c>
      <c r="C436" s="8">
        <v>39</v>
      </c>
      <c r="D436" t="str">
        <f t="shared" si="40"/>
        <v>Young</v>
      </c>
      <c r="E436">
        <v>2</v>
      </c>
      <c r="F436" t="str">
        <f>HLOOKUP(E436, LookUP_Table!$A$6:$D$7, 2, FALSE)</f>
        <v>Secondary</v>
      </c>
      <c r="G436" t="str">
        <f>IFERROR(VLOOKUP(E436, LookUP_Table!$A$1:$B$4, 2, FALSE), "")</f>
        <v>Secondary</v>
      </c>
      <c r="H436">
        <v>0</v>
      </c>
      <c r="I436">
        <v>0</v>
      </c>
      <c r="J436" t="str">
        <f t="shared" si="36"/>
        <v>Non-Smoker</v>
      </c>
      <c r="K436">
        <v>0</v>
      </c>
      <c r="L436">
        <v>0</v>
      </c>
      <c r="M436">
        <v>0</v>
      </c>
      <c r="N436">
        <v>0</v>
      </c>
      <c r="O436">
        <v>247</v>
      </c>
      <c r="P436" t="str">
        <f t="shared" si="37"/>
        <v>High</v>
      </c>
      <c r="Q436">
        <v>113</v>
      </c>
      <c r="R436">
        <v>80</v>
      </c>
      <c r="S436">
        <v>28.59</v>
      </c>
      <c r="T436" t="str">
        <f t="shared" si="38"/>
        <v>Overweight</v>
      </c>
      <c r="U436">
        <v>80</v>
      </c>
      <c r="V436">
        <v>82</v>
      </c>
      <c r="W436" t="str">
        <f t="shared" si="41"/>
        <v>Normal</v>
      </c>
      <c r="X436">
        <v>0</v>
      </c>
    </row>
    <row r="437" spans="1:24" ht="14.5" thickBot="1" x14ac:dyDescent="0.35">
      <c r="A437">
        <v>1</v>
      </c>
      <c r="B437" t="str">
        <f t="shared" si="39"/>
        <v>Male</v>
      </c>
      <c r="C437" s="8">
        <v>39</v>
      </c>
      <c r="D437" t="str">
        <f t="shared" si="40"/>
        <v>Young</v>
      </c>
      <c r="E437">
        <v>2</v>
      </c>
      <c r="F437" t="str">
        <f>HLOOKUP(E437, LookUP_Table!$A$6:$D$7, 2, FALSE)</f>
        <v>Secondary</v>
      </c>
      <c r="G437" t="str">
        <f>IFERROR(VLOOKUP(E437, LookUP_Table!$A$1:$B$4, 2, FALSE), "")</f>
        <v>Secondary</v>
      </c>
      <c r="H437">
        <v>1</v>
      </c>
      <c r="I437">
        <v>30</v>
      </c>
      <c r="J437" t="str">
        <f t="shared" si="36"/>
        <v>Smoker</v>
      </c>
      <c r="K437">
        <v>0</v>
      </c>
      <c r="L437">
        <v>0</v>
      </c>
      <c r="M437">
        <v>0</v>
      </c>
      <c r="N437">
        <v>0</v>
      </c>
      <c r="O437">
        <v>199</v>
      </c>
      <c r="P437" t="str">
        <f t="shared" si="37"/>
        <v>Normal</v>
      </c>
      <c r="Q437">
        <v>124</v>
      </c>
      <c r="R437">
        <v>86</v>
      </c>
      <c r="S437">
        <v>23.39</v>
      </c>
      <c r="T437" t="str">
        <f t="shared" si="38"/>
        <v>Normal</v>
      </c>
      <c r="U437">
        <v>76</v>
      </c>
      <c r="V437">
        <v>72</v>
      </c>
      <c r="W437" t="str">
        <f t="shared" si="41"/>
        <v>Normal</v>
      </c>
      <c r="X437">
        <v>0</v>
      </c>
    </row>
    <row r="438" spans="1:24" ht="14.5" thickBot="1" x14ac:dyDescent="0.35">
      <c r="A438">
        <v>1</v>
      </c>
      <c r="B438" t="str">
        <f t="shared" si="39"/>
        <v>Male</v>
      </c>
      <c r="C438" s="8">
        <v>39</v>
      </c>
      <c r="D438" t="str">
        <f t="shared" si="40"/>
        <v>Young</v>
      </c>
      <c r="E438">
        <v>1</v>
      </c>
      <c r="F438" t="str">
        <f>HLOOKUP(E438, LookUP_Table!$A$6:$D$7, 2, FALSE)</f>
        <v>Primary</v>
      </c>
      <c r="G438" t="str">
        <f>IFERROR(VLOOKUP(E438, LookUP_Table!$A$1:$B$4, 2, FALSE), "")</f>
        <v>Primary</v>
      </c>
      <c r="H438">
        <v>1</v>
      </c>
      <c r="I438">
        <v>20</v>
      </c>
      <c r="J438" t="str">
        <f t="shared" si="36"/>
        <v>Smoker</v>
      </c>
      <c r="K438">
        <v>0</v>
      </c>
      <c r="L438">
        <v>0</v>
      </c>
      <c r="M438">
        <v>1</v>
      </c>
      <c r="N438">
        <v>0</v>
      </c>
      <c r="O438">
        <v>222</v>
      </c>
      <c r="P438" t="str">
        <f t="shared" si="37"/>
        <v>Normal</v>
      </c>
      <c r="Q438">
        <v>141.5</v>
      </c>
      <c r="R438">
        <v>91</v>
      </c>
      <c r="S438">
        <v>27.06</v>
      </c>
      <c r="T438" t="str">
        <f t="shared" si="38"/>
        <v>Overweight</v>
      </c>
      <c r="U438">
        <v>63</v>
      </c>
      <c r="V438">
        <v>73</v>
      </c>
      <c r="W438" t="str">
        <f t="shared" si="41"/>
        <v>Normal</v>
      </c>
      <c r="X438">
        <v>0</v>
      </c>
    </row>
    <row r="439" spans="1:24" ht="14.5" thickBot="1" x14ac:dyDescent="0.35">
      <c r="A439">
        <v>0</v>
      </c>
      <c r="B439" t="str">
        <f t="shared" si="39"/>
        <v>Female</v>
      </c>
      <c r="C439" s="8">
        <v>39</v>
      </c>
      <c r="D439" t="str">
        <f t="shared" si="40"/>
        <v>Young</v>
      </c>
      <c r="E439">
        <v>1</v>
      </c>
      <c r="F439" t="str">
        <f>HLOOKUP(E439, LookUP_Table!$A$6:$D$7, 2, FALSE)</f>
        <v>Primary</v>
      </c>
      <c r="G439" t="str">
        <f>IFERROR(VLOOKUP(E439, LookUP_Table!$A$1:$B$4, 2, FALSE), "")</f>
        <v>Primary</v>
      </c>
      <c r="H439">
        <v>1</v>
      </c>
      <c r="I439">
        <v>1</v>
      </c>
      <c r="J439" t="str">
        <f t="shared" si="36"/>
        <v>Smoker</v>
      </c>
      <c r="K439">
        <v>0</v>
      </c>
      <c r="L439">
        <v>0</v>
      </c>
      <c r="M439">
        <v>0</v>
      </c>
      <c r="N439">
        <v>0</v>
      </c>
      <c r="O439">
        <v>175</v>
      </c>
      <c r="P439" t="str">
        <f t="shared" si="37"/>
        <v>Normal</v>
      </c>
      <c r="Q439">
        <v>105.5</v>
      </c>
      <c r="R439">
        <v>64.5</v>
      </c>
      <c r="S439">
        <v>25.83</v>
      </c>
      <c r="T439" t="str">
        <f t="shared" si="38"/>
        <v>Overweight</v>
      </c>
      <c r="U439">
        <v>72</v>
      </c>
      <c r="V439">
        <v>72</v>
      </c>
      <c r="W439" t="str">
        <f t="shared" si="41"/>
        <v>Normal</v>
      </c>
      <c r="X439">
        <v>0</v>
      </c>
    </row>
    <row r="440" spans="1:24" ht="14.5" thickBot="1" x14ac:dyDescent="0.35">
      <c r="A440">
        <v>0</v>
      </c>
      <c r="B440" t="str">
        <f t="shared" si="39"/>
        <v>Female</v>
      </c>
      <c r="C440" s="8">
        <v>39</v>
      </c>
      <c r="D440" t="str">
        <f t="shared" si="40"/>
        <v>Young</v>
      </c>
      <c r="E440">
        <v>2</v>
      </c>
      <c r="F440" t="str">
        <f>HLOOKUP(E440, LookUP_Table!$A$6:$D$7, 2, FALSE)</f>
        <v>Secondary</v>
      </c>
      <c r="G440" t="str">
        <f>IFERROR(VLOOKUP(E440, LookUP_Table!$A$1:$B$4, 2, FALSE), "")</f>
        <v>Secondary</v>
      </c>
      <c r="H440">
        <v>1</v>
      </c>
      <c r="I440">
        <v>20</v>
      </c>
      <c r="J440" t="str">
        <f t="shared" si="36"/>
        <v>Smoker</v>
      </c>
      <c r="K440">
        <v>0</v>
      </c>
      <c r="L440">
        <v>0</v>
      </c>
      <c r="M440">
        <v>0</v>
      </c>
      <c r="N440">
        <v>0</v>
      </c>
      <c r="O440">
        <v>149</v>
      </c>
      <c r="P440" t="str">
        <f t="shared" si="37"/>
        <v>Normal</v>
      </c>
      <c r="Q440">
        <v>122</v>
      </c>
      <c r="R440">
        <v>72</v>
      </c>
      <c r="S440">
        <v>21.3</v>
      </c>
      <c r="T440" t="str">
        <f t="shared" si="38"/>
        <v>Normal</v>
      </c>
      <c r="U440">
        <v>85</v>
      </c>
      <c r="V440">
        <v>75</v>
      </c>
      <c r="W440" t="str">
        <f t="shared" si="41"/>
        <v>Normal</v>
      </c>
      <c r="X440">
        <v>0</v>
      </c>
    </row>
    <row r="441" spans="1:24" ht="14.5" thickBot="1" x14ac:dyDescent="0.35">
      <c r="A441">
        <v>1</v>
      </c>
      <c r="B441" t="str">
        <f t="shared" si="39"/>
        <v>Male</v>
      </c>
      <c r="C441" s="8">
        <v>39</v>
      </c>
      <c r="D441" t="str">
        <f t="shared" si="40"/>
        <v>Young</v>
      </c>
      <c r="E441">
        <v>2</v>
      </c>
      <c r="F441" t="str">
        <f>HLOOKUP(E441, LookUP_Table!$A$6:$D$7, 2, FALSE)</f>
        <v>Secondary</v>
      </c>
      <c r="G441" t="str">
        <f>IFERROR(VLOOKUP(E441, LookUP_Table!$A$1:$B$4, 2, FALSE), "")</f>
        <v>Secondary</v>
      </c>
      <c r="H441">
        <v>1</v>
      </c>
      <c r="I441">
        <v>20</v>
      </c>
      <c r="J441" t="str">
        <f t="shared" si="36"/>
        <v>Smoker</v>
      </c>
      <c r="K441">
        <v>0</v>
      </c>
      <c r="L441">
        <v>0</v>
      </c>
      <c r="M441">
        <v>0</v>
      </c>
      <c r="N441">
        <v>0</v>
      </c>
      <c r="O441">
        <v>310</v>
      </c>
      <c r="P441" t="str">
        <f t="shared" si="37"/>
        <v>High</v>
      </c>
      <c r="Q441">
        <v>134</v>
      </c>
      <c r="R441">
        <v>90</v>
      </c>
      <c r="S441">
        <v>35.11</v>
      </c>
      <c r="T441" t="str">
        <f t="shared" si="38"/>
        <v>Obese</v>
      </c>
      <c r="U441">
        <v>69</v>
      </c>
      <c r="V441">
        <v>88</v>
      </c>
      <c r="W441" t="str">
        <f t="shared" si="41"/>
        <v>Normal</v>
      </c>
      <c r="X441">
        <v>0</v>
      </c>
    </row>
    <row r="442" spans="1:24" ht="14.5" thickBot="1" x14ac:dyDescent="0.35">
      <c r="A442">
        <v>0</v>
      </c>
      <c r="B442" t="str">
        <f t="shared" si="39"/>
        <v>Female</v>
      </c>
      <c r="C442" s="8">
        <v>39</v>
      </c>
      <c r="D442" t="str">
        <f t="shared" si="40"/>
        <v>Young</v>
      </c>
      <c r="E442">
        <v>2</v>
      </c>
      <c r="F442" t="str">
        <f>HLOOKUP(E442, LookUP_Table!$A$6:$D$7, 2, FALSE)</f>
        <v>Secondary</v>
      </c>
      <c r="G442" t="str">
        <f>IFERROR(VLOOKUP(E442, LookUP_Table!$A$1:$B$4, 2, FALSE), "")</f>
        <v>Secondary</v>
      </c>
      <c r="H442">
        <v>0</v>
      </c>
      <c r="I442">
        <v>0</v>
      </c>
      <c r="J442" t="str">
        <f t="shared" si="36"/>
        <v>Non-Smoker</v>
      </c>
      <c r="K442">
        <v>0</v>
      </c>
      <c r="L442">
        <v>0</v>
      </c>
      <c r="M442">
        <v>0</v>
      </c>
      <c r="N442">
        <v>0</v>
      </c>
      <c r="O442">
        <v>201</v>
      </c>
      <c r="P442" t="str">
        <f t="shared" si="37"/>
        <v>Normal</v>
      </c>
      <c r="Q442">
        <v>151</v>
      </c>
      <c r="R442">
        <v>94</v>
      </c>
      <c r="S442">
        <v>31.48</v>
      </c>
      <c r="T442" t="str">
        <f t="shared" si="38"/>
        <v>Obese</v>
      </c>
      <c r="U442">
        <v>80</v>
      </c>
      <c r="V442">
        <v>74</v>
      </c>
      <c r="W442" t="str">
        <f t="shared" si="41"/>
        <v>Normal</v>
      </c>
      <c r="X442">
        <v>0</v>
      </c>
    </row>
    <row r="443" spans="1:24" ht="14.5" thickBot="1" x14ac:dyDescent="0.35">
      <c r="A443">
        <v>0</v>
      </c>
      <c r="B443" t="str">
        <f t="shared" si="39"/>
        <v>Female</v>
      </c>
      <c r="C443" s="8">
        <v>39</v>
      </c>
      <c r="D443" t="str">
        <f t="shared" si="40"/>
        <v>Young</v>
      </c>
      <c r="E443">
        <v>3</v>
      </c>
      <c r="F443" t="str">
        <f>HLOOKUP(E443, LookUP_Table!$A$6:$D$7, 2, FALSE)</f>
        <v>Graduate</v>
      </c>
      <c r="G443" t="str">
        <f>IFERROR(VLOOKUP(E443, LookUP_Table!$A$1:$B$4, 2, FALSE), "")</f>
        <v>Graduate</v>
      </c>
      <c r="H443">
        <v>0</v>
      </c>
      <c r="I443">
        <v>0</v>
      </c>
      <c r="J443" t="str">
        <f t="shared" si="36"/>
        <v>Non-Smoker</v>
      </c>
      <c r="K443">
        <v>0</v>
      </c>
      <c r="L443">
        <v>0</v>
      </c>
      <c r="M443">
        <v>0</v>
      </c>
      <c r="N443">
        <v>0</v>
      </c>
      <c r="O443">
        <v>180</v>
      </c>
      <c r="P443" t="str">
        <f t="shared" si="37"/>
        <v>Normal</v>
      </c>
      <c r="Q443">
        <v>124</v>
      </c>
      <c r="R443">
        <v>83</v>
      </c>
      <c r="S443">
        <v>22.91</v>
      </c>
      <c r="T443" t="str">
        <f t="shared" si="38"/>
        <v>Normal</v>
      </c>
      <c r="U443">
        <v>66</v>
      </c>
      <c r="V443">
        <v>77</v>
      </c>
      <c r="W443" t="str">
        <f t="shared" si="41"/>
        <v>Normal</v>
      </c>
      <c r="X443">
        <v>0</v>
      </c>
    </row>
    <row r="444" spans="1:24" ht="14.5" thickBot="1" x14ac:dyDescent="0.35">
      <c r="A444">
        <v>0</v>
      </c>
      <c r="B444" t="str">
        <f t="shared" si="39"/>
        <v>Female</v>
      </c>
      <c r="C444" s="8">
        <v>39</v>
      </c>
      <c r="D444" t="str">
        <f t="shared" si="40"/>
        <v>Young</v>
      </c>
      <c r="E444">
        <v>2</v>
      </c>
      <c r="F444" t="str">
        <f>HLOOKUP(E444, LookUP_Table!$A$6:$D$7, 2, FALSE)</f>
        <v>Secondary</v>
      </c>
      <c r="G444" t="str">
        <f>IFERROR(VLOOKUP(E444, LookUP_Table!$A$1:$B$4, 2, FALSE), "")</f>
        <v>Secondary</v>
      </c>
      <c r="H444">
        <v>0</v>
      </c>
      <c r="I444">
        <v>0</v>
      </c>
      <c r="J444" t="str">
        <f t="shared" si="36"/>
        <v>Non-Smoker</v>
      </c>
      <c r="K444">
        <v>0</v>
      </c>
      <c r="L444">
        <v>0</v>
      </c>
      <c r="M444">
        <v>0</v>
      </c>
      <c r="N444">
        <v>0</v>
      </c>
      <c r="O444">
        <v>236.69952267303103</v>
      </c>
      <c r="P444" t="str">
        <f t="shared" si="37"/>
        <v>Normal</v>
      </c>
      <c r="Q444">
        <v>126</v>
      </c>
      <c r="R444">
        <v>71</v>
      </c>
      <c r="S444">
        <v>27.73</v>
      </c>
      <c r="T444" t="str">
        <f t="shared" si="38"/>
        <v>Overweight</v>
      </c>
      <c r="U444">
        <v>73</v>
      </c>
      <c r="V444">
        <v>81.96365524402907</v>
      </c>
      <c r="W444" t="str">
        <f t="shared" si="41"/>
        <v>Normal</v>
      </c>
      <c r="X444">
        <v>0</v>
      </c>
    </row>
    <row r="445" spans="1:24" ht="14.5" thickBot="1" x14ac:dyDescent="0.35">
      <c r="A445">
        <v>0</v>
      </c>
      <c r="B445" t="str">
        <f t="shared" si="39"/>
        <v>Female</v>
      </c>
      <c r="C445" s="8">
        <v>39</v>
      </c>
      <c r="D445" t="str">
        <f t="shared" si="40"/>
        <v>Young</v>
      </c>
      <c r="E445">
        <v>2</v>
      </c>
      <c r="F445" t="str">
        <f>HLOOKUP(E445, LookUP_Table!$A$6:$D$7, 2, FALSE)</f>
        <v>Secondary</v>
      </c>
      <c r="G445" t="str">
        <f>IFERROR(VLOOKUP(E445, LookUP_Table!$A$1:$B$4, 2, FALSE), "")</f>
        <v>Secondary</v>
      </c>
      <c r="H445">
        <v>1</v>
      </c>
      <c r="I445">
        <v>20</v>
      </c>
      <c r="J445" t="str">
        <f t="shared" si="36"/>
        <v>Smoker</v>
      </c>
      <c r="K445">
        <v>0</v>
      </c>
      <c r="L445">
        <v>0</v>
      </c>
      <c r="M445">
        <v>0</v>
      </c>
      <c r="N445">
        <v>0</v>
      </c>
      <c r="O445">
        <v>190</v>
      </c>
      <c r="P445" t="str">
        <f t="shared" si="37"/>
        <v>Normal</v>
      </c>
      <c r="Q445">
        <v>137</v>
      </c>
      <c r="R445">
        <v>81</v>
      </c>
      <c r="S445">
        <v>19.57</v>
      </c>
      <c r="T445" t="str">
        <f t="shared" si="38"/>
        <v>Normal</v>
      </c>
      <c r="U445">
        <v>80</v>
      </c>
      <c r="V445">
        <v>85</v>
      </c>
      <c r="W445" t="str">
        <f t="shared" si="41"/>
        <v>Normal</v>
      </c>
      <c r="X445">
        <v>1</v>
      </c>
    </row>
    <row r="446" spans="1:24" ht="14.5" thickBot="1" x14ac:dyDescent="0.35">
      <c r="A446">
        <v>1</v>
      </c>
      <c r="B446" t="str">
        <f t="shared" si="39"/>
        <v>Male</v>
      </c>
      <c r="C446" s="8">
        <v>39</v>
      </c>
      <c r="D446" t="str">
        <f t="shared" si="40"/>
        <v>Young</v>
      </c>
      <c r="E446">
        <v>1</v>
      </c>
      <c r="F446" t="str">
        <f>HLOOKUP(E446, LookUP_Table!$A$6:$D$7, 2, FALSE)</f>
        <v>Primary</v>
      </c>
      <c r="G446" t="str">
        <f>IFERROR(VLOOKUP(E446, LookUP_Table!$A$1:$B$4, 2, FALSE), "")</f>
        <v>Primary</v>
      </c>
      <c r="H446">
        <v>1</v>
      </c>
      <c r="I446">
        <v>40</v>
      </c>
      <c r="J446" t="str">
        <f t="shared" si="36"/>
        <v>Smoker</v>
      </c>
      <c r="K446">
        <v>0</v>
      </c>
      <c r="L446">
        <v>0</v>
      </c>
      <c r="M446">
        <v>0</v>
      </c>
      <c r="N446">
        <v>0</v>
      </c>
      <c r="O446">
        <v>251</v>
      </c>
      <c r="P446" t="str">
        <f t="shared" si="37"/>
        <v>High</v>
      </c>
      <c r="Q446">
        <v>115</v>
      </c>
      <c r="R446">
        <v>77</v>
      </c>
      <c r="S446">
        <v>24.01</v>
      </c>
      <c r="T446" t="str">
        <f t="shared" si="38"/>
        <v>Normal</v>
      </c>
      <c r="U446">
        <v>65</v>
      </c>
      <c r="V446">
        <v>98</v>
      </c>
      <c r="W446" t="str">
        <f t="shared" si="41"/>
        <v>Normal</v>
      </c>
      <c r="X446">
        <v>0</v>
      </c>
    </row>
    <row r="447" spans="1:24" ht="14.5" thickBot="1" x14ac:dyDescent="0.35">
      <c r="A447">
        <v>0</v>
      </c>
      <c r="B447" t="str">
        <f t="shared" si="39"/>
        <v>Female</v>
      </c>
      <c r="C447" s="8">
        <v>39</v>
      </c>
      <c r="D447" t="str">
        <f t="shared" si="40"/>
        <v>Young</v>
      </c>
      <c r="E447">
        <v>1</v>
      </c>
      <c r="F447" t="str">
        <f>HLOOKUP(E447, LookUP_Table!$A$6:$D$7, 2, FALSE)</f>
        <v>Primary</v>
      </c>
      <c r="G447" t="str">
        <f>IFERROR(VLOOKUP(E447, LookUP_Table!$A$1:$B$4, 2, FALSE), "")</f>
        <v>Primary</v>
      </c>
      <c r="H447">
        <v>1</v>
      </c>
      <c r="I447">
        <v>15</v>
      </c>
      <c r="J447" t="str">
        <f t="shared" si="36"/>
        <v>Smoker</v>
      </c>
      <c r="K447">
        <v>0</v>
      </c>
      <c r="L447">
        <v>0</v>
      </c>
      <c r="M447">
        <v>0</v>
      </c>
      <c r="N447">
        <v>0</v>
      </c>
      <c r="O447">
        <v>255</v>
      </c>
      <c r="P447" t="str">
        <f t="shared" si="37"/>
        <v>High</v>
      </c>
      <c r="Q447">
        <v>142</v>
      </c>
      <c r="R447">
        <v>85.5</v>
      </c>
      <c r="S447">
        <v>24.89</v>
      </c>
      <c r="T447" t="str">
        <f t="shared" si="38"/>
        <v>Normal</v>
      </c>
      <c r="U447">
        <v>100</v>
      </c>
      <c r="V447">
        <v>108</v>
      </c>
      <c r="W447" t="str">
        <f t="shared" si="41"/>
        <v>Prediabetes</v>
      </c>
      <c r="X447">
        <v>0</v>
      </c>
    </row>
    <row r="448" spans="1:24" ht="14.5" thickBot="1" x14ac:dyDescent="0.35">
      <c r="A448">
        <v>1</v>
      </c>
      <c r="B448" t="str">
        <f t="shared" si="39"/>
        <v>Male</v>
      </c>
      <c r="C448" s="8">
        <v>39</v>
      </c>
      <c r="D448" t="str">
        <f t="shared" si="40"/>
        <v>Young</v>
      </c>
      <c r="E448">
        <v>1</v>
      </c>
      <c r="F448" t="str">
        <f>HLOOKUP(E448, LookUP_Table!$A$6:$D$7, 2, FALSE)</f>
        <v>Primary</v>
      </c>
      <c r="G448" t="str">
        <f>IFERROR(VLOOKUP(E448, LookUP_Table!$A$1:$B$4, 2, FALSE), "")</f>
        <v>Primary</v>
      </c>
      <c r="H448">
        <v>0</v>
      </c>
      <c r="I448">
        <v>0</v>
      </c>
      <c r="J448" t="str">
        <f t="shared" si="36"/>
        <v>Non-Smoker</v>
      </c>
      <c r="K448">
        <v>0</v>
      </c>
      <c r="L448">
        <v>0</v>
      </c>
      <c r="M448">
        <v>0</v>
      </c>
      <c r="N448">
        <v>0</v>
      </c>
      <c r="O448">
        <v>213</v>
      </c>
      <c r="P448" t="str">
        <f t="shared" si="37"/>
        <v>Normal</v>
      </c>
      <c r="Q448">
        <v>130</v>
      </c>
      <c r="R448">
        <v>72</v>
      </c>
      <c r="S448">
        <v>22.32</v>
      </c>
      <c r="T448" t="str">
        <f t="shared" si="38"/>
        <v>Normal</v>
      </c>
      <c r="U448">
        <v>80</v>
      </c>
      <c r="V448">
        <v>78</v>
      </c>
      <c r="W448" t="str">
        <f t="shared" si="41"/>
        <v>Normal</v>
      </c>
      <c r="X448">
        <v>0</v>
      </c>
    </row>
    <row r="449" spans="1:24" ht="14.5" thickBot="1" x14ac:dyDescent="0.35">
      <c r="A449">
        <v>0</v>
      </c>
      <c r="B449" t="str">
        <f t="shared" si="39"/>
        <v>Female</v>
      </c>
      <c r="C449" s="8">
        <v>39</v>
      </c>
      <c r="D449" t="str">
        <f t="shared" si="40"/>
        <v>Young</v>
      </c>
      <c r="E449">
        <v>1</v>
      </c>
      <c r="F449" t="str">
        <f>HLOOKUP(E449, LookUP_Table!$A$6:$D$7, 2, FALSE)</f>
        <v>Primary</v>
      </c>
      <c r="G449" t="str">
        <f>IFERROR(VLOOKUP(E449, LookUP_Table!$A$1:$B$4, 2, FALSE), "")</f>
        <v>Primary</v>
      </c>
      <c r="H449">
        <v>0</v>
      </c>
      <c r="I449">
        <v>0</v>
      </c>
      <c r="J449" t="str">
        <f t="shared" si="36"/>
        <v>Non-Smoker</v>
      </c>
      <c r="K449">
        <v>0</v>
      </c>
      <c r="L449">
        <v>0</v>
      </c>
      <c r="M449">
        <v>0</v>
      </c>
      <c r="N449">
        <v>0</v>
      </c>
      <c r="O449">
        <v>229</v>
      </c>
      <c r="P449" t="str">
        <f t="shared" si="37"/>
        <v>Normal</v>
      </c>
      <c r="Q449">
        <v>125</v>
      </c>
      <c r="R449">
        <v>80</v>
      </c>
      <c r="S449">
        <v>24.1</v>
      </c>
      <c r="T449" t="str">
        <f t="shared" si="38"/>
        <v>Normal</v>
      </c>
      <c r="U449">
        <v>75</v>
      </c>
      <c r="V449">
        <v>58</v>
      </c>
      <c r="W449" t="str">
        <f t="shared" si="41"/>
        <v>Normal</v>
      </c>
      <c r="X449">
        <v>0</v>
      </c>
    </row>
    <row r="450" spans="1:24" ht="14.5" thickBot="1" x14ac:dyDescent="0.35">
      <c r="A450">
        <v>1</v>
      </c>
      <c r="B450" t="str">
        <f t="shared" si="39"/>
        <v>Male</v>
      </c>
      <c r="C450" s="8">
        <v>39</v>
      </c>
      <c r="D450" t="str">
        <f t="shared" si="40"/>
        <v>Young</v>
      </c>
      <c r="E450">
        <v>1</v>
      </c>
      <c r="F450" t="str">
        <f>HLOOKUP(E450, LookUP_Table!$A$6:$D$7, 2, FALSE)</f>
        <v>Primary</v>
      </c>
      <c r="G450" t="str">
        <f>IFERROR(VLOOKUP(E450, LookUP_Table!$A$1:$B$4, 2, FALSE), "")</f>
        <v>Primary</v>
      </c>
      <c r="H450">
        <v>1</v>
      </c>
      <c r="I450">
        <v>60</v>
      </c>
      <c r="J450" t="str">
        <f t="shared" ref="J450:J513" si="42">IF(I450&gt;0,"Smoker","Non-Smoker")</f>
        <v>Smoker</v>
      </c>
      <c r="K450">
        <v>0</v>
      </c>
      <c r="L450">
        <v>0</v>
      </c>
      <c r="M450">
        <v>0</v>
      </c>
      <c r="N450">
        <v>0</v>
      </c>
      <c r="O450">
        <v>215</v>
      </c>
      <c r="P450" t="str">
        <f t="shared" ref="P450:P513" si="43">IF(O450&gt;240,"High","Normal")</f>
        <v>Normal</v>
      </c>
      <c r="Q450">
        <v>112</v>
      </c>
      <c r="R450">
        <v>65</v>
      </c>
      <c r="S450">
        <v>23.6</v>
      </c>
      <c r="T450" t="str">
        <f t="shared" ref="T450:T513" si="44">IF(S450&lt;18.5,"Underweight",
IF(S450&lt;25,"Normal",
IF(S450&lt;30,"Overweight","Obese")))</f>
        <v>Normal</v>
      </c>
      <c r="U450">
        <v>59</v>
      </c>
      <c r="V450">
        <v>78</v>
      </c>
      <c r="W450" t="str">
        <f t="shared" si="41"/>
        <v>Normal</v>
      </c>
      <c r="X450">
        <v>0</v>
      </c>
    </row>
    <row r="451" spans="1:24" ht="14.5" thickBot="1" x14ac:dyDescent="0.35">
      <c r="A451">
        <v>0</v>
      </c>
      <c r="B451" t="str">
        <f t="shared" ref="B451:B514" si="45">IF(A451=0,"Female","Male")</f>
        <v>Female</v>
      </c>
      <c r="C451" s="8">
        <v>39</v>
      </c>
      <c r="D451" t="str">
        <f t="shared" ref="D451:D514" si="46">IF(C451&lt;40,"Young",
IF(C451&lt;55,"Middle Age","Senior"))</f>
        <v>Young</v>
      </c>
      <c r="E451">
        <v>3</v>
      </c>
      <c r="F451" t="str">
        <f>HLOOKUP(E451, LookUP_Table!$A$6:$D$7, 2, FALSE)</f>
        <v>Graduate</v>
      </c>
      <c r="G451" t="str">
        <f>IFERROR(VLOOKUP(E451, LookUP_Table!$A$1:$B$4, 2, FALSE), "")</f>
        <v>Graduate</v>
      </c>
      <c r="H451">
        <v>0</v>
      </c>
      <c r="I451">
        <v>0</v>
      </c>
      <c r="J451" t="str">
        <f t="shared" si="42"/>
        <v>Non-Smoker</v>
      </c>
      <c r="K451">
        <v>0</v>
      </c>
      <c r="L451">
        <v>0</v>
      </c>
      <c r="M451">
        <v>0</v>
      </c>
      <c r="N451">
        <v>0</v>
      </c>
      <c r="O451">
        <v>194</v>
      </c>
      <c r="P451" t="str">
        <f t="shared" si="43"/>
        <v>Normal</v>
      </c>
      <c r="Q451">
        <v>115</v>
      </c>
      <c r="R451">
        <v>70</v>
      </c>
      <c r="S451">
        <v>25.73</v>
      </c>
      <c r="T451" t="str">
        <f t="shared" si="44"/>
        <v>Overweight</v>
      </c>
      <c r="U451">
        <v>70</v>
      </c>
      <c r="V451">
        <v>54</v>
      </c>
      <c r="W451" t="str">
        <f t="shared" ref="W451:W514" si="47">IF(V451 &lt; 100, "Normal", IF(V451 &lt;= 125, "Prediabetes", "Diabetes"))</f>
        <v>Normal</v>
      </c>
      <c r="X451">
        <v>0</v>
      </c>
    </row>
    <row r="452" spans="1:24" ht="14.5" thickBot="1" x14ac:dyDescent="0.35">
      <c r="A452">
        <v>1</v>
      </c>
      <c r="B452" t="str">
        <f t="shared" si="45"/>
        <v>Male</v>
      </c>
      <c r="C452" s="8">
        <v>39</v>
      </c>
      <c r="D452" t="str">
        <f t="shared" si="46"/>
        <v>Young</v>
      </c>
      <c r="E452">
        <v>4</v>
      </c>
      <c r="F452" t="str">
        <f>HLOOKUP(E452, LookUP_Table!$A$6:$D$7, 2, FALSE)</f>
        <v>Post Graduate</v>
      </c>
      <c r="G452" t="str">
        <f>IFERROR(VLOOKUP(E452, LookUP_Table!$A$1:$B$4, 2, FALSE), "")</f>
        <v>Post Graduate</v>
      </c>
      <c r="H452">
        <v>1</v>
      </c>
      <c r="I452">
        <v>20</v>
      </c>
      <c r="J452" t="str">
        <f t="shared" si="42"/>
        <v>Smoker</v>
      </c>
      <c r="K452">
        <v>0</v>
      </c>
      <c r="L452">
        <v>0</v>
      </c>
      <c r="M452">
        <v>0</v>
      </c>
      <c r="N452">
        <v>0</v>
      </c>
      <c r="O452">
        <v>217</v>
      </c>
      <c r="P452" t="str">
        <f t="shared" si="43"/>
        <v>Normal</v>
      </c>
      <c r="Q452">
        <v>107</v>
      </c>
      <c r="R452">
        <v>73</v>
      </c>
      <c r="S452">
        <v>23.98</v>
      </c>
      <c r="T452" t="str">
        <f t="shared" si="44"/>
        <v>Normal</v>
      </c>
      <c r="U452">
        <v>73</v>
      </c>
      <c r="V452">
        <v>67</v>
      </c>
      <c r="W452" t="str">
        <f t="shared" si="47"/>
        <v>Normal</v>
      </c>
      <c r="X452">
        <v>0</v>
      </c>
    </row>
    <row r="453" spans="1:24" ht="14.5" thickBot="1" x14ac:dyDescent="0.35">
      <c r="A453">
        <v>0</v>
      </c>
      <c r="B453" t="str">
        <f t="shared" si="45"/>
        <v>Female</v>
      </c>
      <c r="C453" s="8">
        <v>39</v>
      </c>
      <c r="D453" t="str">
        <f t="shared" si="46"/>
        <v>Young</v>
      </c>
      <c r="E453">
        <v>2</v>
      </c>
      <c r="F453" t="str">
        <f>HLOOKUP(E453, LookUP_Table!$A$6:$D$7, 2, FALSE)</f>
        <v>Secondary</v>
      </c>
      <c r="G453" t="str">
        <f>IFERROR(VLOOKUP(E453, LookUP_Table!$A$1:$B$4, 2, FALSE), "")</f>
        <v>Secondary</v>
      </c>
      <c r="H453">
        <v>1</v>
      </c>
      <c r="I453">
        <v>20</v>
      </c>
      <c r="J453" t="str">
        <f t="shared" si="42"/>
        <v>Smoker</v>
      </c>
      <c r="K453">
        <v>0</v>
      </c>
      <c r="L453">
        <v>0</v>
      </c>
      <c r="M453">
        <v>0</v>
      </c>
      <c r="N453">
        <v>0</v>
      </c>
      <c r="O453">
        <v>323</v>
      </c>
      <c r="P453" t="str">
        <f t="shared" si="43"/>
        <v>High</v>
      </c>
      <c r="Q453">
        <v>131.5</v>
      </c>
      <c r="R453">
        <v>85</v>
      </c>
      <c r="S453">
        <v>24.79</v>
      </c>
      <c r="T453" t="str">
        <f t="shared" si="44"/>
        <v>Normal</v>
      </c>
      <c r="U453">
        <v>68</v>
      </c>
      <c r="V453">
        <v>93</v>
      </c>
      <c r="W453" t="str">
        <f t="shared" si="47"/>
        <v>Normal</v>
      </c>
      <c r="X453">
        <v>0</v>
      </c>
    </row>
    <row r="454" spans="1:24" ht="14.5" thickBot="1" x14ac:dyDescent="0.35">
      <c r="A454">
        <v>0</v>
      </c>
      <c r="B454" t="str">
        <f t="shared" si="45"/>
        <v>Female</v>
      </c>
      <c r="C454" s="8">
        <v>39</v>
      </c>
      <c r="D454" t="str">
        <f t="shared" si="46"/>
        <v>Young</v>
      </c>
      <c r="E454">
        <v>2</v>
      </c>
      <c r="F454" t="str">
        <f>HLOOKUP(E454, LookUP_Table!$A$6:$D$7, 2, FALSE)</f>
        <v>Secondary</v>
      </c>
      <c r="G454" t="str">
        <f>IFERROR(VLOOKUP(E454, LookUP_Table!$A$1:$B$4, 2, FALSE), "")</f>
        <v>Secondary</v>
      </c>
      <c r="H454">
        <v>1</v>
      </c>
      <c r="I454">
        <v>40</v>
      </c>
      <c r="J454" t="str">
        <f t="shared" si="42"/>
        <v>Smoker</v>
      </c>
      <c r="K454">
        <v>0</v>
      </c>
      <c r="L454">
        <v>0</v>
      </c>
      <c r="M454">
        <v>0</v>
      </c>
      <c r="N454">
        <v>0</v>
      </c>
      <c r="O454">
        <v>236.69952267303103</v>
      </c>
      <c r="P454" t="str">
        <f t="shared" si="43"/>
        <v>Normal</v>
      </c>
      <c r="Q454">
        <v>98</v>
      </c>
      <c r="R454">
        <v>62</v>
      </c>
      <c r="S454">
        <v>23.68</v>
      </c>
      <c r="T454" t="str">
        <f t="shared" si="44"/>
        <v>Normal</v>
      </c>
      <c r="U454">
        <v>70</v>
      </c>
      <c r="V454">
        <v>81.96365524402907</v>
      </c>
      <c r="W454" t="str">
        <f t="shared" si="47"/>
        <v>Normal</v>
      </c>
      <c r="X454">
        <v>0</v>
      </c>
    </row>
    <row r="455" spans="1:24" ht="14.5" thickBot="1" x14ac:dyDescent="0.35">
      <c r="A455">
        <v>0</v>
      </c>
      <c r="B455" t="str">
        <f t="shared" si="45"/>
        <v>Female</v>
      </c>
      <c r="C455" s="8">
        <v>39</v>
      </c>
      <c r="D455" t="str">
        <f t="shared" si="46"/>
        <v>Young</v>
      </c>
      <c r="E455">
        <v>3</v>
      </c>
      <c r="F455" t="str">
        <f>HLOOKUP(E455, LookUP_Table!$A$6:$D$7, 2, FALSE)</f>
        <v>Graduate</v>
      </c>
      <c r="G455" t="str">
        <f>IFERROR(VLOOKUP(E455, LookUP_Table!$A$1:$B$4, 2, FALSE), "")</f>
        <v>Graduate</v>
      </c>
      <c r="H455">
        <v>1</v>
      </c>
      <c r="I455">
        <v>30</v>
      </c>
      <c r="J455" t="str">
        <f t="shared" si="42"/>
        <v>Smoker</v>
      </c>
      <c r="K455">
        <v>0</v>
      </c>
      <c r="L455">
        <v>0</v>
      </c>
      <c r="M455">
        <v>1</v>
      </c>
      <c r="N455">
        <v>0</v>
      </c>
      <c r="O455">
        <v>235</v>
      </c>
      <c r="P455" t="str">
        <f t="shared" si="43"/>
        <v>Normal</v>
      </c>
      <c r="Q455">
        <v>196</v>
      </c>
      <c r="R455">
        <v>116</v>
      </c>
      <c r="S455">
        <v>29.7</v>
      </c>
      <c r="T455" t="str">
        <f t="shared" si="44"/>
        <v>Overweight</v>
      </c>
      <c r="U455">
        <v>73</v>
      </c>
      <c r="V455">
        <v>87</v>
      </c>
      <c r="W455" t="str">
        <f t="shared" si="47"/>
        <v>Normal</v>
      </c>
      <c r="X455">
        <v>1</v>
      </c>
    </row>
    <row r="456" spans="1:24" ht="14.5" thickBot="1" x14ac:dyDescent="0.35">
      <c r="A456">
        <v>0</v>
      </c>
      <c r="B456" t="str">
        <f t="shared" si="45"/>
        <v>Female</v>
      </c>
      <c r="C456" s="8">
        <v>39</v>
      </c>
      <c r="D456" t="str">
        <f t="shared" si="46"/>
        <v>Young</v>
      </c>
      <c r="E456">
        <v>3</v>
      </c>
      <c r="F456" t="str">
        <f>HLOOKUP(E456, LookUP_Table!$A$6:$D$7, 2, FALSE)</f>
        <v>Graduate</v>
      </c>
      <c r="G456" t="str">
        <f>IFERROR(VLOOKUP(E456, LookUP_Table!$A$1:$B$4, 2, FALSE), "")</f>
        <v>Graduate</v>
      </c>
      <c r="H456">
        <v>1</v>
      </c>
      <c r="I456">
        <v>3</v>
      </c>
      <c r="J456" t="str">
        <f t="shared" si="42"/>
        <v>Smoker</v>
      </c>
      <c r="K456">
        <v>0</v>
      </c>
      <c r="L456">
        <v>0</v>
      </c>
      <c r="M456">
        <v>0</v>
      </c>
      <c r="N456">
        <v>0</v>
      </c>
      <c r="O456">
        <v>186</v>
      </c>
      <c r="P456" t="str">
        <f t="shared" si="43"/>
        <v>Normal</v>
      </c>
      <c r="Q456">
        <v>114</v>
      </c>
      <c r="R456">
        <v>77</v>
      </c>
      <c r="S456">
        <v>21.01</v>
      </c>
      <c r="T456" t="str">
        <f t="shared" si="44"/>
        <v>Normal</v>
      </c>
      <c r="U456">
        <v>80</v>
      </c>
      <c r="V456">
        <v>85</v>
      </c>
      <c r="W456" t="str">
        <f t="shared" si="47"/>
        <v>Normal</v>
      </c>
      <c r="X456">
        <v>0</v>
      </c>
    </row>
    <row r="457" spans="1:24" ht="14.5" thickBot="1" x14ac:dyDescent="0.35">
      <c r="A457">
        <v>1</v>
      </c>
      <c r="B457" t="str">
        <f t="shared" si="45"/>
        <v>Male</v>
      </c>
      <c r="C457" s="8">
        <v>39</v>
      </c>
      <c r="D457" t="str">
        <f t="shared" si="46"/>
        <v>Young</v>
      </c>
      <c r="E457">
        <v>1</v>
      </c>
      <c r="F457" t="str">
        <f>HLOOKUP(E457, LookUP_Table!$A$6:$D$7, 2, FALSE)</f>
        <v>Primary</v>
      </c>
      <c r="G457" t="str">
        <f>IFERROR(VLOOKUP(E457, LookUP_Table!$A$1:$B$4, 2, FALSE), "")</f>
        <v>Primary</v>
      </c>
      <c r="H457">
        <v>1</v>
      </c>
      <c r="I457">
        <v>20</v>
      </c>
      <c r="J457" t="str">
        <f t="shared" si="42"/>
        <v>Smoker</v>
      </c>
      <c r="K457">
        <v>0</v>
      </c>
      <c r="L457">
        <v>0</v>
      </c>
      <c r="M457">
        <v>0</v>
      </c>
      <c r="N457">
        <v>0</v>
      </c>
      <c r="O457">
        <v>325</v>
      </c>
      <c r="P457" t="str">
        <f t="shared" si="43"/>
        <v>High</v>
      </c>
      <c r="Q457">
        <v>122</v>
      </c>
      <c r="R457">
        <v>82</v>
      </c>
      <c r="S457">
        <v>26.04</v>
      </c>
      <c r="T457" t="str">
        <f t="shared" si="44"/>
        <v>Overweight</v>
      </c>
      <c r="U457">
        <v>58</v>
      </c>
      <c r="V457">
        <v>93</v>
      </c>
      <c r="W457" t="str">
        <f t="shared" si="47"/>
        <v>Normal</v>
      </c>
      <c r="X457">
        <v>0</v>
      </c>
    </row>
    <row r="458" spans="1:24" ht="14.5" thickBot="1" x14ac:dyDescent="0.35">
      <c r="A458">
        <v>0</v>
      </c>
      <c r="B458" t="str">
        <f t="shared" si="45"/>
        <v>Female</v>
      </c>
      <c r="C458" s="8">
        <v>39</v>
      </c>
      <c r="D458" t="str">
        <f t="shared" si="46"/>
        <v>Young</v>
      </c>
      <c r="E458">
        <v>4</v>
      </c>
      <c r="F458" t="str">
        <f>HLOOKUP(E458, LookUP_Table!$A$6:$D$7, 2, FALSE)</f>
        <v>Post Graduate</v>
      </c>
      <c r="G458" t="str">
        <f>IFERROR(VLOOKUP(E458, LookUP_Table!$A$1:$B$4, 2, FALSE), "")</f>
        <v>Post Graduate</v>
      </c>
      <c r="H458">
        <v>1</v>
      </c>
      <c r="I458">
        <v>15</v>
      </c>
      <c r="J458" t="str">
        <f t="shared" si="42"/>
        <v>Smoker</v>
      </c>
      <c r="K458">
        <v>0</v>
      </c>
      <c r="L458">
        <v>0</v>
      </c>
      <c r="M458">
        <v>0</v>
      </c>
      <c r="N458">
        <v>0</v>
      </c>
      <c r="O458">
        <v>229</v>
      </c>
      <c r="P458" t="str">
        <f t="shared" si="43"/>
        <v>Normal</v>
      </c>
      <c r="Q458">
        <v>113.5</v>
      </c>
      <c r="R458">
        <v>72.5</v>
      </c>
      <c r="S458">
        <v>22.33</v>
      </c>
      <c r="T458" t="str">
        <f t="shared" si="44"/>
        <v>Normal</v>
      </c>
      <c r="U458">
        <v>84</v>
      </c>
      <c r="V458">
        <v>82</v>
      </c>
      <c r="W458" t="str">
        <f t="shared" si="47"/>
        <v>Normal</v>
      </c>
      <c r="X458">
        <v>0</v>
      </c>
    </row>
    <row r="459" spans="1:24" ht="14.5" thickBot="1" x14ac:dyDescent="0.35">
      <c r="A459">
        <v>0</v>
      </c>
      <c r="B459" t="str">
        <f t="shared" si="45"/>
        <v>Female</v>
      </c>
      <c r="C459" s="8">
        <v>39</v>
      </c>
      <c r="D459" t="str">
        <f t="shared" si="46"/>
        <v>Young</v>
      </c>
      <c r="E459">
        <v>3</v>
      </c>
      <c r="F459" t="str">
        <f>HLOOKUP(E459, LookUP_Table!$A$6:$D$7, 2, FALSE)</f>
        <v>Graduate</v>
      </c>
      <c r="G459" t="str">
        <f>IFERROR(VLOOKUP(E459, LookUP_Table!$A$1:$B$4, 2, FALSE), "")</f>
        <v>Graduate</v>
      </c>
      <c r="H459">
        <v>0</v>
      </c>
      <c r="I459">
        <v>0</v>
      </c>
      <c r="J459" t="str">
        <f t="shared" si="42"/>
        <v>Non-Smoker</v>
      </c>
      <c r="K459">
        <v>0</v>
      </c>
      <c r="L459">
        <v>0</v>
      </c>
      <c r="M459">
        <v>0</v>
      </c>
      <c r="N459">
        <v>0</v>
      </c>
      <c r="O459">
        <v>195</v>
      </c>
      <c r="P459" t="str">
        <f t="shared" si="43"/>
        <v>Normal</v>
      </c>
      <c r="Q459">
        <v>119</v>
      </c>
      <c r="R459">
        <v>84</v>
      </c>
      <c r="S459">
        <v>24.6</v>
      </c>
      <c r="T459" t="str">
        <f t="shared" si="44"/>
        <v>Normal</v>
      </c>
      <c r="U459">
        <v>65</v>
      </c>
      <c r="V459">
        <v>73</v>
      </c>
      <c r="W459" t="str">
        <f t="shared" si="47"/>
        <v>Normal</v>
      </c>
      <c r="X459">
        <v>0</v>
      </c>
    </row>
    <row r="460" spans="1:24" ht="14.5" thickBot="1" x14ac:dyDescent="0.35">
      <c r="A460">
        <v>1</v>
      </c>
      <c r="B460" t="str">
        <f t="shared" si="45"/>
        <v>Male</v>
      </c>
      <c r="C460" s="8">
        <v>39</v>
      </c>
      <c r="D460" t="str">
        <f t="shared" si="46"/>
        <v>Young</v>
      </c>
      <c r="E460">
        <v>3</v>
      </c>
      <c r="F460" t="str">
        <f>HLOOKUP(E460, LookUP_Table!$A$6:$D$7, 2, FALSE)</f>
        <v>Graduate</v>
      </c>
      <c r="G460" t="str">
        <f>IFERROR(VLOOKUP(E460, LookUP_Table!$A$1:$B$4, 2, FALSE), "")</f>
        <v>Graduate</v>
      </c>
      <c r="H460">
        <v>1</v>
      </c>
      <c r="I460">
        <v>20</v>
      </c>
      <c r="J460" t="str">
        <f t="shared" si="42"/>
        <v>Smoker</v>
      </c>
      <c r="K460">
        <v>0</v>
      </c>
      <c r="L460">
        <v>0</v>
      </c>
      <c r="M460">
        <v>0</v>
      </c>
      <c r="N460">
        <v>0</v>
      </c>
      <c r="O460">
        <v>148</v>
      </c>
      <c r="P460" t="str">
        <f t="shared" si="43"/>
        <v>Normal</v>
      </c>
      <c r="Q460">
        <v>101</v>
      </c>
      <c r="R460">
        <v>62</v>
      </c>
      <c r="S460">
        <v>24.47</v>
      </c>
      <c r="T460" t="str">
        <f t="shared" si="44"/>
        <v>Normal</v>
      </c>
      <c r="U460">
        <v>70</v>
      </c>
      <c r="V460">
        <v>81</v>
      </c>
      <c r="W460" t="str">
        <f t="shared" si="47"/>
        <v>Normal</v>
      </c>
      <c r="X460">
        <v>0</v>
      </c>
    </row>
    <row r="461" spans="1:24" ht="14.5" thickBot="1" x14ac:dyDescent="0.35">
      <c r="A461">
        <v>0</v>
      </c>
      <c r="B461" t="str">
        <f t="shared" si="45"/>
        <v>Female</v>
      </c>
      <c r="C461" s="8">
        <v>39</v>
      </c>
      <c r="D461" t="str">
        <f t="shared" si="46"/>
        <v>Young</v>
      </c>
      <c r="E461">
        <v>1</v>
      </c>
      <c r="F461" t="str">
        <f>HLOOKUP(E461, LookUP_Table!$A$6:$D$7, 2, FALSE)</f>
        <v>Primary</v>
      </c>
      <c r="G461" t="str">
        <f>IFERROR(VLOOKUP(E461, LookUP_Table!$A$1:$B$4, 2, FALSE), "")</f>
        <v>Primary</v>
      </c>
      <c r="H461">
        <v>0</v>
      </c>
      <c r="I461">
        <v>0</v>
      </c>
      <c r="J461" t="str">
        <f t="shared" si="42"/>
        <v>Non-Smoker</v>
      </c>
      <c r="K461">
        <v>0</v>
      </c>
      <c r="L461">
        <v>0</v>
      </c>
      <c r="M461">
        <v>0</v>
      </c>
      <c r="N461">
        <v>0</v>
      </c>
      <c r="O461">
        <v>164</v>
      </c>
      <c r="P461" t="str">
        <f t="shared" si="43"/>
        <v>Normal</v>
      </c>
      <c r="Q461">
        <v>112</v>
      </c>
      <c r="R461">
        <v>63</v>
      </c>
      <c r="S461">
        <v>22.01</v>
      </c>
      <c r="T461" t="str">
        <f t="shared" si="44"/>
        <v>Normal</v>
      </c>
      <c r="U461">
        <v>60</v>
      </c>
      <c r="V461">
        <v>85</v>
      </c>
      <c r="W461" t="str">
        <f t="shared" si="47"/>
        <v>Normal</v>
      </c>
      <c r="X461">
        <v>0</v>
      </c>
    </row>
    <row r="462" spans="1:24" ht="14.5" thickBot="1" x14ac:dyDescent="0.35">
      <c r="A462">
        <v>1</v>
      </c>
      <c r="B462" t="str">
        <f t="shared" si="45"/>
        <v>Male</v>
      </c>
      <c r="C462" s="8">
        <v>39</v>
      </c>
      <c r="D462" t="str">
        <f t="shared" si="46"/>
        <v>Young</v>
      </c>
      <c r="E462">
        <v>2</v>
      </c>
      <c r="F462" t="str">
        <f>HLOOKUP(E462, LookUP_Table!$A$6:$D$7, 2, FALSE)</f>
        <v>Secondary</v>
      </c>
      <c r="G462" t="str">
        <f>IFERROR(VLOOKUP(E462, LookUP_Table!$A$1:$B$4, 2, FALSE), "")</f>
        <v>Secondary</v>
      </c>
      <c r="H462">
        <v>1</v>
      </c>
      <c r="I462">
        <v>30</v>
      </c>
      <c r="J462" t="str">
        <f t="shared" si="42"/>
        <v>Smoker</v>
      </c>
      <c r="K462">
        <v>0</v>
      </c>
      <c r="L462">
        <v>0</v>
      </c>
      <c r="M462">
        <v>0</v>
      </c>
      <c r="N462">
        <v>0</v>
      </c>
      <c r="O462">
        <v>257</v>
      </c>
      <c r="P462" t="str">
        <f t="shared" si="43"/>
        <v>High</v>
      </c>
      <c r="Q462">
        <v>118</v>
      </c>
      <c r="R462">
        <v>76</v>
      </c>
      <c r="S462">
        <v>22.92</v>
      </c>
      <c r="T462" t="str">
        <f t="shared" si="44"/>
        <v>Normal</v>
      </c>
      <c r="U462">
        <v>73</v>
      </c>
      <c r="V462">
        <v>76</v>
      </c>
      <c r="W462" t="str">
        <f t="shared" si="47"/>
        <v>Normal</v>
      </c>
      <c r="X462">
        <v>1</v>
      </c>
    </row>
    <row r="463" spans="1:24" ht="14.5" thickBot="1" x14ac:dyDescent="0.35">
      <c r="A463">
        <v>0</v>
      </c>
      <c r="B463" t="str">
        <f t="shared" si="45"/>
        <v>Female</v>
      </c>
      <c r="C463" s="8">
        <v>39</v>
      </c>
      <c r="D463" t="str">
        <f t="shared" si="46"/>
        <v>Young</v>
      </c>
      <c r="E463">
        <v>2</v>
      </c>
      <c r="F463" t="str">
        <f>HLOOKUP(E463, LookUP_Table!$A$6:$D$7, 2, FALSE)</f>
        <v>Secondary</v>
      </c>
      <c r="G463" t="str">
        <f>IFERROR(VLOOKUP(E463, LookUP_Table!$A$1:$B$4, 2, FALSE), "")</f>
        <v>Secondary</v>
      </c>
      <c r="H463">
        <v>1</v>
      </c>
      <c r="I463">
        <v>20</v>
      </c>
      <c r="J463" t="str">
        <f t="shared" si="42"/>
        <v>Smoker</v>
      </c>
      <c r="K463">
        <v>0</v>
      </c>
      <c r="L463">
        <v>0</v>
      </c>
      <c r="M463">
        <v>0</v>
      </c>
      <c r="N463">
        <v>0</v>
      </c>
      <c r="O463">
        <v>247</v>
      </c>
      <c r="P463" t="str">
        <f t="shared" si="43"/>
        <v>High</v>
      </c>
      <c r="Q463">
        <v>122</v>
      </c>
      <c r="R463">
        <v>70</v>
      </c>
      <c r="S463">
        <v>18.7</v>
      </c>
      <c r="T463" t="str">
        <f t="shared" si="44"/>
        <v>Normal</v>
      </c>
      <c r="U463">
        <v>70</v>
      </c>
      <c r="V463">
        <v>65</v>
      </c>
      <c r="W463" t="str">
        <f t="shared" si="47"/>
        <v>Normal</v>
      </c>
      <c r="X463">
        <v>0</v>
      </c>
    </row>
    <row r="464" spans="1:24" ht="14.5" thickBot="1" x14ac:dyDescent="0.35">
      <c r="A464">
        <v>0</v>
      </c>
      <c r="B464" t="str">
        <f t="shared" si="45"/>
        <v>Female</v>
      </c>
      <c r="C464" s="8">
        <v>39</v>
      </c>
      <c r="D464" t="str">
        <f t="shared" si="46"/>
        <v>Young</v>
      </c>
      <c r="E464">
        <v>4</v>
      </c>
      <c r="F464" t="str">
        <f>HLOOKUP(E464, LookUP_Table!$A$6:$D$7, 2, FALSE)</f>
        <v>Post Graduate</v>
      </c>
      <c r="G464" t="str">
        <f>IFERROR(VLOOKUP(E464, LookUP_Table!$A$1:$B$4, 2, FALSE), "")</f>
        <v>Post Graduate</v>
      </c>
      <c r="H464">
        <v>1</v>
      </c>
      <c r="I464">
        <v>9</v>
      </c>
      <c r="J464" t="str">
        <f t="shared" si="42"/>
        <v>Smoker</v>
      </c>
      <c r="K464">
        <v>0</v>
      </c>
      <c r="L464">
        <v>0</v>
      </c>
      <c r="M464">
        <v>0</v>
      </c>
      <c r="N464">
        <v>0</v>
      </c>
      <c r="O464">
        <v>191</v>
      </c>
      <c r="P464" t="str">
        <f t="shared" si="43"/>
        <v>Normal</v>
      </c>
      <c r="Q464">
        <v>119</v>
      </c>
      <c r="R464">
        <v>78</v>
      </c>
      <c r="S464">
        <v>20.93</v>
      </c>
      <c r="T464" t="str">
        <f t="shared" si="44"/>
        <v>Normal</v>
      </c>
      <c r="U464">
        <v>65</v>
      </c>
      <c r="V464">
        <v>73</v>
      </c>
      <c r="W464" t="str">
        <f t="shared" si="47"/>
        <v>Normal</v>
      </c>
      <c r="X464">
        <v>0</v>
      </c>
    </row>
    <row r="465" spans="1:24" ht="14.5" thickBot="1" x14ac:dyDescent="0.35">
      <c r="A465">
        <v>0</v>
      </c>
      <c r="B465" t="str">
        <f t="shared" si="45"/>
        <v>Female</v>
      </c>
      <c r="C465" s="8">
        <v>39</v>
      </c>
      <c r="D465" t="str">
        <f t="shared" si="46"/>
        <v>Young</v>
      </c>
      <c r="E465">
        <v>3</v>
      </c>
      <c r="F465" t="str">
        <f>HLOOKUP(E465, LookUP_Table!$A$6:$D$7, 2, FALSE)</f>
        <v>Graduate</v>
      </c>
      <c r="G465" t="str">
        <f>IFERROR(VLOOKUP(E465, LookUP_Table!$A$1:$B$4, 2, FALSE), "")</f>
        <v>Graduate</v>
      </c>
      <c r="H465">
        <v>1</v>
      </c>
      <c r="I465">
        <v>20</v>
      </c>
      <c r="J465" t="str">
        <f t="shared" si="42"/>
        <v>Smoker</v>
      </c>
      <c r="K465">
        <v>0</v>
      </c>
      <c r="L465">
        <v>0</v>
      </c>
      <c r="M465">
        <v>0</v>
      </c>
      <c r="N465">
        <v>0</v>
      </c>
      <c r="O465">
        <v>190</v>
      </c>
      <c r="P465" t="str">
        <f t="shared" si="43"/>
        <v>Normal</v>
      </c>
      <c r="Q465">
        <v>106</v>
      </c>
      <c r="R465">
        <v>72</v>
      </c>
      <c r="S465">
        <v>25.64</v>
      </c>
      <c r="T465" t="str">
        <f t="shared" si="44"/>
        <v>Overweight</v>
      </c>
      <c r="U465">
        <v>75</v>
      </c>
      <c r="V465">
        <v>75</v>
      </c>
      <c r="W465" t="str">
        <f t="shared" si="47"/>
        <v>Normal</v>
      </c>
      <c r="X465">
        <v>0</v>
      </c>
    </row>
    <row r="466" spans="1:24" ht="14.5" thickBot="1" x14ac:dyDescent="0.35">
      <c r="A466">
        <v>0</v>
      </c>
      <c r="B466" t="str">
        <f t="shared" si="45"/>
        <v>Female</v>
      </c>
      <c r="C466" s="8">
        <v>39</v>
      </c>
      <c r="D466" t="str">
        <f t="shared" si="46"/>
        <v>Young</v>
      </c>
      <c r="E466">
        <v>2</v>
      </c>
      <c r="F466" t="str">
        <f>HLOOKUP(E466, LookUP_Table!$A$6:$D$7, 2, FALSE)</f>
        <v>Secondary</v>
      </c>
      <c r="G466" t="str">
        <f>IFERROR(VLOOKUP(E466, LookUP_Table!$A$1:$B$4, 2, FALSE), "")</f>
        <v>Secondary</v>
      </c>
      <c r="H466">
        <v>0</v>
      </c>
      <c r="I466">
        <v>0</v>
      </c>
      <c r="J466" t="str">
        <f t="shared" si="42"/>
        <v>Non-Smoker</v>
      </c>
      <c r="K466">
        <v>1</v>
      </c>
      <c r="L466">
        <v>0</v>
      </c>
      <c r="M466">
        <v>1</v>
      </c>
      <c r="N466">
        <v>0</v>
      </c>
      <c r="O466">
        <v>283</v>
      </c>
      <c r="P466" t="str">
        <f t="shared" si="43"/>
        <v>High</v>
      </c>
      <c r="Q466">
        <v>159</v>
      </c>
      <c r="R466">
        <v>105</v>
      </c>
      <c r="S466">
        <v>30.06</v>
      </c>
      <c r="T466" t="str">
        <f t="shared" si="44"/>
        <v>Obese</v>
      </c>
      <c r="U466">
        <v>80</v>
      </c>
      <c r="V466">
        <v>76</v>
      </c>
      <c r="W466" t="str">
        <f t="shared" si="47"/>
        <v>Normal</v>
      </c>
      <c r="X466">
        <v>0</v>
      </c>
    </row>
    <row r="467" spans="1:24" ht="14.5" thickBot="1" x14ac:dyDescent="0.35">
      <c r="A467">
        <v>1</v>
      </c>
      <c r="B467" t="str">
        <f t="shared" si="45"/>
        <v>Male</v>
      </c>
      <c r="C467" s="8">
        <v>39</v>
      </c>
      <c r="D467" t="str">
        <f t="shared" si="46"/>
        <v>Young</v>
      </c>
      <c r="E467">
        <v>4</v>
      </c>
      <c r="F467" t="str">
        <f>HLOOKUP(E467, LookUP_Table!$A$6:$D$7, 2, FALSE)</f>
        <v>Post Graduate</v>
      </c>
      <c r="G467" t="str">
        <f>IFERROR(VLOOKUP(E467, LookUP_Table!$A$1:$B$4, 2, FALSE), "")</f>
        <v>Post Graduate</v>
      </c>
      <c r="H467">
        <v>0</v>
      </c>
      <c r="I467">
        <v>0</v>
      </c>
      <c r="J467" t="str">
        <f t="shared" si="42"/>
        <v>Non-Smoker</v>
      </c>
      <c r="K467">
        <v>0</v>
      </c>
      <c r="L467">
        <v>0</v>
      </c>
      <c r="M467">
        <v>1</v>
      </c>
      <c r="N467">
        <v>0</v>
      </c>
      <c r="O467">
        <v>320</v>
      </c>
      <c r="P467" t="str">
        <f t="shared" si="43"/>
        <v>High</v>
      </c>
      <c r="Q467">
        <v>123</v>
      </c>
      <c r="R467">
        <v>90</v>
      </c>
      <c r="S467">
        <v>24.44</v>
      </c>
      <c r="T467" t="str">
        <f t="shared" si="44"/>
        <v>Normal</v>
      </c>
      <c r="U467">
        <v>85</v>
      </c>
      <c r="V467">
        <v>69</v>
      </c>
      <c r="W467" t="str">
        <f t="shared" si="47"/>
        <v>Normal</v>
      </c>
      <c r="X467">
        <v>0</v>
      </c>
    </row>
    <row r="468" spans="1:24" ht="14.5" thickBot="1" x14ac:dyDescent="0.35">
      <c r="A468">
        <v>1</v>
      </c>
      <c r="B468" t="str">
        <f t="shared" si="45"/>
        <v>Male</v>
      </c>
      <c r="C468" s="8">
        <v>39</v>
      </c>
      <c r="D468" t="str">
        <f t="shared" si="46"/>
        <v>Young</v>
      </c>
      <c r="E468">
        <v>2</v>
      </c>
      <c r="F468" t="str">
        <f>HLOOKUP(E468, LookUP_Table!$A$6:$D$7, 2, FALSE)</f>
        <v>Secondary</v>
      </c>
      <c r="G468" t="str">
        <f>IFERROR(VLOOKUP(E468, LookUP_Table!$A$1:$B$4, 2, FALSE), "")</f>
        <v>Secondary</v>
      </c>
      <c r="H468">
        <v>0</v>
      </c>
      <c r="I468">
        <v>0</v>
      </c>
      <c r="J468" t="str">
        <f t="shared" si="42"/>
        <v>Non-Smoker</v>
      </c>
      <c r="K468">
        <v>0</v>
      </c>
      <c r="L468">
        <v>0</v>
      </c>
      <c r="M468">
        <v>1</v>
      </c>
      <c r="N468">
        <v>0</v>
      </c>
      <c r="O468">
        <v>196</v>
      </c>
      <c r="P468" t="str">
        <f t="shared" si="43"/>
        <v>Normal</v>
      </c>
      <c r="Q468">
        <v>124.5</v>
      </c>
      <c r="R468">
        <v>99</v>
      </c>
      <c r="S468">
        <v>28.41</v>
      </c>
      <c r="T468" t="str">
        <f t="shared" si="44"/>
        <v>Overweight</v>
      </c>
      <c r="U468">
        <v>83</v>
      </c>
      <c r="V468">
        <v>73</v>
      </c>
      <c r="W468" t="str">
        <f t="shared" si="47"/>
        <v>Normal</v>
      </c>
      <c r="X468">
        <v>0</v>
      </c>
    </row>
    <row r="469" spans="1:24" ht="14.5" thickBot="1" x14ac:dyDescent="0.35">
      <c r="A469">
        <v>0</v>
      </c>
      <c r="B469" t="str">
        <f t="shared" si="45"/>
        <v>Female</v>
      </c>
      <c r="C469" s="8">
        <v>39</v>
      </c>
      <c r="D469" t="str">
        <f t="shared" si="46"/>
        <v>Young</v>
      </c>
      <c r="E469">
        <v>1</v>
      </c>
      <c r="F469" t="str">
        <f>HLOOKUP(E469, LookUP_Table!$A$6:$D$7, 2, FALSE)</f>
        <v>Primary</v>
      </c>
      <c r="G469" t="str">
        <f>IFERROR(VLOOKUP(E469, LookUP_Table!$A$1:$B$4, 2, FALSE), "")</f>
        <v>Primary</v>
      </c>
      <c r="H469">
        <v>0</v>
      </c>
      <c r="I469">
        <v>0</v>
      </c>
      <c r="J469" t="str">
        <f t="shared" si="42"/>
        <v>Non-Smoker</v>
      </c>
      <c r="K469">
        <v>0</v>
      </c>
      <c r="L469">
        <v>0</v>
      </c>
      <c r="M469">
        <v>0</v>
      </c>
      <c r="N469">
        <v>0</v>
      </c>
      <c r="O469">
        <v>214</v>
      </c>
      <c r="P469" t="str">
        <f t="shared" si="43"/>
        <v>Normal</v>
      </c>
      <c r="Q469">
        <v>123</v>
      </c>
      <c r="R469">
        <v>78</v>
      </c>
      <c r="S469">
        <v>38.06</v>
      </c>
      <c r="T469" t="str">
        <f t="shared" si="44"/>
        <v>Obese</v>
      </c>
      <c r="U469">
        <v>66</v>
      </c>
      <c r="V469">
        <v>62</v>
      </c>
      <c r="W469" t="str">
        <f t="shared" si="47"/>
        <v>Normal</v>
      </c>
      <c r="X469">
        <v>0</v>
      </c>
    </row>
    <row r="470" spans="1:24" ht="14.5" thickBot="1" x14ac:dyDescent="0.35">
      <c r="A470">
        <v>0</v>
      </c>
      <c r="B470" t="str">
        <f t="shared" si="45"/>
        <v>Female</v>
      </c>
      <c r="C470" s="8">
        <v>39</v>
      </c>
      <c r="D470" t="str">
        <f t="shared" si="46"/>
        <v>Young</v>
      </c>
      <c r="E470">
        <v>3</v>
      </c>
      <c r="F470" t="str">
        <f>HLOOKUP(E470, LookUP_Table!$A$6:$D$7, 2, FALSE)</f>
        <v>Graduate</v>
      </c>
      <c r="G470" t="str">
        <f>IFERROR(VLOOKUP(E470, LookUP_Table!$A$1:$B$4, 2, FALSE), "")</f>
        <v>Graduate</v>
      </c>
      <c r="H470">
        <v>1</v>
      </c>
      <c r="I470">
        <v>5</v>
      </c>
      <c r="J470" t="str">
        <f t="shared" si="42"/>
        <v>Smoker</v>
      </c>
      <c r="K470">
        <v>0</v>
      </c>
      <c r="L470">
        <v>0</v>
      </c>
      <c r="M470">
        <v>0</v>
      </c>
      <c r="N470">
        <v>0</v>
      </c>
      <c r="O470">
        <v>184</v>
      </c>
      <c r="P470" t="str">
        <f t="shared" si="43"/>
        <v>Normal</v>
      </c>
      <c r="Q470">
        <v>96</v>
      </c>
      <c r="R470">
        <v>72</v>
      </c>
      <c r="S470">
        <v>18.16</v>
      </c>
      <c r="T470" t="str">
        <f t="shared" si="44"/>
        <v>Underweight</v>
      </c>
      <c r="U470">
        <v>100</v>
      </c>
      <c r="V470">
        <v>81.96365524402907</v>
      </c>
      <c r="W470" t="str">
        <f t="shared" si="47"/>
        <v>Normal</v>
      </c>
      <c r="X470">
        <v>0</v>
      </c>
    </row>
    <row r="471" spans="1:24" ht="14.5" thickBot="1" x14ac:dyDescent="0.35">
      <c r="A471">
        <v>0</v>
      </c>
      <c r="B471" t="str">
        <f t="shared" si="45"/>
        <v>Female</v>
      </c>
      <c r="C471" s="8">
        <v>39</v>
      </c>
      <c r="D471" t="str">
        <f t="shared" si="46"/>
        <v>Young</v>
      </c>
      <c r="E471">
        <v>1</v>
      </c>
      <c r="F471" t="str">
        <f>HLOOKUP(E471, LookUP_Table!$A$6:$D$7, 2, FALSE)</f>
        <v>Primary</v>
      </c>
      <c r="G471" t="str">
        <f>IFERROR(VLOOKUP(E471, LookUP_Table!$A$1:$B$4, 2, FALSE), "")</f>
        <v>Primary</v>
      </c>
      <c r="H471">
        <v>1</v>
      </c>
      <c r="I471">
        <v>15</v>
      </c>
      <c r="J471" t="str">
        <f t="shared" si="42"/>
        <v>Smoker</v>
      </c>
      <c r="K471">
        <v>0</v>
      </c>
      <c r="L471">
        <v>0</v>
      </c>
      <c r="M471">
        <v>1</v>
      </c>
      <c r="N471">
        <v>0</v>
      </c>
      <c r="O471">
        <v>280</v>
      </c>
      <c r="P471" t="str">
        <f t="shared" si="43"/>
        <v>High</v>
      </c>
      <c r="Q471">
        <v>152</v>
      </c>
      <c r="R471">
        <v>104</v>
      </c>
      <c r="S471">
        <v>24.22</v>
      </c>
      <c r="T471" t="str">
        <f t="shared" si="44"/>
        <v>Normal</v>
      </c>
      <c r="U471">
        <v>90</v>
      </c>
      <c r="V471">
        <v>82</v>
      </c>
      <c r="W471" t="str">
        <f t="shared" si="47"/>
        <v>Normal</v>
      </c>
      <c r="X471">
        <v>0</v>
      </c>
    </row>
    <row r="472" spans="1:24" ht="14.5" thickBot="1" x14ac:dyDescent="0.35">
      <c r="A472">
        <v>0</v>
      </c>
      <c r="B472" t="str">
        <f t="shared" si="45"/>
        <v>Female</v>
      </c>
      <c r="C472" s="8">
        <v>39</v>
      </c>
      <c r="D472" t="str">
        <f t="shared" si="46"/>
        <v>Young</v>
      </c>
      <c r="E472">
        <v>2</v>
      </c>
      <c r="F472" t="str">
        <f>HLOOKUP(E472, LookUP_Table!$A$6:$D$7, 2, FALSE)</f>
        <v>Secondary</v>
      </c>
      <c r="G472" t="str">
        <f>IFERROR(VLOOKUP(E472, LookUP_Table!$A$1:$B$4, 2, FALSE), "")</f>
        <v>Secondary</v>
      </c>
      <c r="H472">
        <v>1</v>
      </c>
      <c r="I472">
        <v>1</v>
      </c>
      <c r="J472" t="str">
        <f t="shared" si="42"/>
        <v>Smoker</v>
      </c>
      <c r="K472">
        <v>0</v>
      </c>
      <c r="L472">
        <v>0</v>
      </c>
      <c r="M472">
        <v>0</v>
      </c>
      <c r="N472">
        <v>0</v>
      </c>
      <c r="O472">
        <v>225</v>
      </c>
      <c r="P472" t="str">
        <f t="shared" si="43"/>
        <v>Normal</v>
      </c>
      <c r="Q472">
        <v>112</v>
      </c>
      <c r="R472">
        <v>74</v>
      </c>
      <c r="S472">
        <v>27.26</v>
      </c>
      <c r="T472" t="str">
        <f t="shared" si="44"/>
        <v>Overweight</v>
      </c>
      <c r="U472">
        <v>85</v>
      </c>
      <c r="V472">
        <v>85</v>
      </c>
      <c r="W472" t="str">
        <f t="shared" si="47"/>
        <v>Normal</v>
      </c>
      <c r="X472">
        <v>0</v>
      </c>
    </row>
    <row r="473" spans="1:24" ht="14.5" thickBot="1" x14ac:dyDescent="0.35">
      <c r="A473">
        <v>0</v>
      </c>
      <c r="B473" t="str">
        <f t="shared" si="45"/>
        <v>Female</v>
      </c>
      <c r="C473" s="8">
        <v>39</v>
      </c>
      <c r="D473" t="str">
        <f t="shared" si="46"/>
        <v>Young</v>
      </c>
      <c r="E473">
        <v>3</v>
      </c>
      <c r="F473" t="str">
        <f>HLOOKUP(E473, LookUP_Table!$A$6:$D$7, 2, FALSE)</f>
        <v>Graduate</v>
      </c>
      <c r="G473" t="str">
        <f>IFERROR(VLOOKUP(E473, LookUP_Table!$A$1:$B$4, 2, FALSE), "")</f>
        <v>Graduate</v>
      </c>
      <c r="H473">
        <v>0</v>
      </c>
      <c r="I473">
        <v>0</v>
      </c>
      <c r="J473" t="str">
        <f t="shared" si="42"/>
        <v>Non-Smoker</v>
      </c>
      <c r="K473">
        <v>0</v>
      </c>
      <c r="L473">
        <v>0</v>
      </c>
      <c r="M473">
        <v>1</v>
      </c>
      <c r="N473">
        <v>0</v>
      </c>
      <c r="O473">
        <v>220</v>
      </c>
      <c r="P473" t="str">
        <f t="shared" si="43"/>
        <v>Normal</v>
      </c>
      <c r="Q473">
        <v>137.5</v>
      </c>
      <c r="R473">
        <v>101.5</v>
      </c>
      <c r="S473">
        <v>22.85</v>
      </c>
      <c r="T473" t="str">
        <f t="shared" si="44"/>
        <v>Normal</v>
      </c>
      <c r="U473">
        <v>60</v>
      </c>
      <c r="V473">
        <v>88</v>
      </c>
      <c r="W473" t="str">
        <f t="shared" si="47"/>
        <v>Normal</v>
      </c>
      <c r="X473">
        <v>0</v>
      </c>
    </row>
    <row r="474" spans="1:24" ht="14.5" thickBot="1" x14ac:dyDescent="0.35">
      <c r="A474">
        <v>0</v>
      </c>
      <c r="B474" t="str">
        <f t="shared" si="45"/>
        <v>Female</v>
      </c>
      <c r="C474" s="8">
        <v>39</v>
      </c>
      <c r="D474" t="str">
        <f t="shared" si="46"/>
        <v>Young</v>
      </c>
      <c r="E474">
        <v>1</v>
      </c>
      <c r="F474" t="str">
        <f>HLOOKUP(E474, LookUP_Table!$A$6:$D$7, 2, FALSE)</f>
        <v>Primary</v>
      </c>
      <c r="G474" t="str">
        <f>IFERROR(VLOOKUP(E474, LookUP_Table!$A$1:$B$4, 2, FALSE), "")</f>
        <v>Primary</v>
      </c>
      <c r="H474">
        <v>1</v>
      </c>
      <c r="I474">
        <v>10</v>
      </c>
      <c r="J474" t="str">
        <f t="shared" si="42"/>
        <v>Smoker</v>
      </c>
      <c r="K474">
        <v>0</v>
      </c>
      <c r="L474">
        <v>0</v>
      </c>
      <c r="M474">
        <v>0</v>
      </c>
      <c r="N474">
        <v>0</v>
      </c>
      <c r="O474">
        <v>226</v>
      </c>
      <c r="P474" t="str">
        <f t="shared" si="43"/>
        <v>Normal</v>
      </c>
      <c r="Q474">
        <v>95</v>
      </c>
      <c r="R474">
        <v>59</v>
      </c>
      <c r="S474">
        <v>22.88</v>
      </c>
      <c r="T474" t="str">
        <f t="shared" si="44"/>
        <v>Normal</v>
      </c>
      <c r="U474">
        <v>80</v>
      </c>
      <c r="V474">
        <v>83</v>
      </c>
      <c r="W474" t="str">
        <f t="shared" si="47"/>
        <v>Normal</v>
      </c>
      <c r="X474">
        <v>0</v>
      </c>
    </row>
    <row r="475" spans="1:24" ht="14.5" thickBot="1" x14ac:dyDescent="0.35">
      <c r="A475">
        <v>1</v>
      </c>
      <c r="B475" t="str">
        <f t="shared" si="45"/>
        <v>Male</v>
      </c>
      <c r="C475" s="8">
        <v>39</v>
      </c>
      <c r="D475" t="str">
        <f t="shared" si="46"/>
        <v>Young</v>
      </c>
      <c r="E475">
        <v>1</v>
      </c>
      <c r="F475" t="str">
        <f>HLOOKUP(E475, LookUP_Table!$A$6:$D$7, 2, FALSE)</f>
        <v>Primary</v>
      </c>
      <c r="G475" t="str">
        <f>IFERROR(VLOOKUP(E475, LookUP_Table!$A$1:$B$4, 2, FALSE), "")</f>
        <v>Primary</v>
      </c>
      <c r="H475">
        <v>1</v>
      </c>
      <c r="I475">
        <v>30</v>
      </c>
      <c r="J475" t="str">
        <f t="shared" si="42"/>
        <v>Smoker</v>
      </c>
      <c r="K475">
        <v>0</v>
      </c>
      <c r="L475">
        <v>0</v>
      </c>
      <c r="M475">
        <v>0</v>
      </c>
      <c r="N475">
        <v>0</v>
      </c>
      <c r="O475">
        <v>292</v>
      </c>
      <c r="P475" t="str">
        <f t="shared" si="43"/>
        <v>High</v>
      </c>
      <c r="Q475">
        <v>120</v>
      </c>
      <c r="R475">
        <v>85</v>
      </c>
      <c r="S475">
        <v>31.09</v>
      </c>
      <c r="T475" t="str">
        <f t="shared" si="44"/>
        <v>Obese</v>
      </c>
      <c r="U475">
        <v>85</v>
      </c>
      <c r="V475">
        <v>81.96365524402907</v>
      </c>
      <c r="W475" t="str">
        <f t="shared" si="47"/>
        <v>Normal</v>
      </c>
      <c r="X475">
        <v>0</v>
      </c>
    </row>
    <row r="476" spans="1:24" ht="14.5" thickBot="1" x14ac:dyDescent="0.35">
      <c r="A476">
        <v>1</v>
      </c>
      <c r="B476" t="str">
        <f t="shared" si="45"/>
        <v>Male</v>
      </c>
      <c r="C476" s="8">
        <v>39</v>
      </c>
      <c r="D476" t="str">
        <f t="shared" si="46"/>
        <v>Young</v>
      </c>
      <c r="E476">
        <v>2</v>
      </c>
      <c r="F476" t="str">
        <f>HLOOKUP(E476, LookUP_Table!$A$6:$D$7, 2, FALSE)</f>
        <v>Secondary</v>
      </c>
      <c r="G476" t="str">
        <f>IFERROR(VLOOKUP(E476, LookUP_Table!$A$1:$B$4, 2, FALSE), "")</f>
        <v>Secondary</v>
      </c>
      <c r="H476">
        <v>0</v>
      </c>
      <c r="I476">
        <v>0</v>
      </c>
      <c r="J476" t="str">
        <f t="shared" si="42"/>
        <v>Non-Smoker</v>
      </c>
      <c r="K476">
        <v>0</v>
      </c>
      <c r="L476">
        <v>0</v>
      </c>
      <c r="M476">
        <v>0</v>
      </c>
      <c r="N476">
        <v>0</v>
      </c>
      <c r="O476">
        <v>262</v>
      </c>
      <c r="P476" t="str">
        <f t="shared" si="43"/>
        <v>High</v>
      </c>
      <c r="Q476">
        <v>126</v>
      </c>
      <c r="R476">
        <v>91</v>
      </c>
      <c r="S476">
        <v>31.38</v>
      </c>
      <c r="T476" t="str">
        <f t="shared" si="44"/>
        <v>Obese</v>
      </c>
      <c r="U476">
        <v>72</v>
      </c>
      <c r="V476">
        <v>84</v>
      </c>
      <c r="W476" t="str">
        <f t="shared" si="47"/>
        <v>Normal</v>
      </c>
      <c r="X476">
        <v>0</v>
      </c>
    </row>
    <row r="477" spans="1:24" ht="14.5" thickBot="1" x14ac:dyDescent="0.35">
      <c r="A477">
        <v>0</v>
      </c>
      <c r="B477" t="str">
        <f t="shared" si="45"/>
        <v>Female</v>
      </c>
      <c r="C477" s="8">
        <v>39</v>
      </c>
      <c r="D477" t="str">
        <f t="shared" si="46"/>
        <v>Young</v>
      </c>
      <c r="E477">
        <v>2</v>
      </c>
      <c r="F477" t="str">
        <f>HLOOKUP(E477, LookUP_Table!$A$6:$D$7, 2, FALSE)</f>
        <v>Secondary</v>
      </c>
      <c r="G477" t="str">
        <f>IFERROR(VLOOKUP(E477, LookUP_Table!$A$1:$B$4, 2, FALSE), "")</f>
        <v>Secondary</v>
      </c>
      <c r="H477">
        <v>1</v>
      </c>
      <c r="I477">
        <v>15</v>
      </c>
      <c r="J477" t="str">
        <f t="shared" si="42"/>
        <v>Smoker</v>
      </c>
      <c r="K477">
        <v>0</v>
      </c>
      <c r="L477">
        <v>0</v>
      </c>
      <c r="M477">
        <v>0</v>
      </c>
      <c r="N477">
        <v>0</v>
      </c>
      <c r="O477">
        <v>216</v>
      </c>
      <c r="P477" t="str">
        <f t="shared" si="43"/>
        <v>Normal</v>
      </c>
      <c r="Q477">
        <v>116</v>
      </c>
      <c r="R477">
        <v>72</v>
      </c>
      <c r="S477">
        <v>24.25</v>
      </c>
      <c r="T477" t="str">
        <f t="shared" si="44"/>
        <v>Normal</v>
      </c>
      <c r="U477">
        <v>76</v>
      </c>
      <c r="V477">
        <v>71</v>
      </c>
      <c r="W477" t="str">
        <f t="shared" si="47"/>
        <v>Normal</v>
      </c>
      <c r="X477">
        <v>0</v>
      </c>
    </row>
    <row r="478" spans="1:24" ht="14.5" thickBot="1" x14ac:dyDescent="0.35">
      <c r="A478">
        <v>0</v>
      </c>
      <c r="B478" t="str">
        <f t="shared" si="45"/>
        <v>Female</v>
      </c>
      <c r="C478" s="8">
        <v>39</v>
      </c>
      <c r="D478" t="str">
        <f t="shared" si="46"/>
        <v>Young</v>
      </c>
      <c r="E478">
        <v>3</v>
      </c>
      <c r="F478" t="str">
        <f>HLOOKUP(E478, LookUP_Table!$A$6:$D$7, 2, FALSE)</f>
        <v>Graduate</v>
      </c>
      <c r="G478" t="str">
        <f>IFERROR(VLOOKUP(E478, LookUP_Table!$A$1:$B$4, 2, FALSE), "")</f>
        <v>Graduate</v>
      </c>
      <c r="H478">
        <v>0</v>
      </c>
      <c r="I478">
        <v>0</v>
      </c>
      <c r="J478" t="str">
        <f t="shared" si="42"/>
        <v>Non-Smoker</v>
      </c>
      <c r="K478">
        <v>0</v>
      </c>
      <c r="L478">
        <v>0</v>
      </c>
      <c r="M478">
        <v>0</v>
      </c>
      <c r="N478">
        <v>0</v>
      </c>
      <c r="O478">
        <v>179</v>
      </c>
      <c r="P478" t="str">
        <f t="shared" si="43"/>
        <v>Normal</v>
      </c>
      <c r="Q478">
        <v>120</v>
      </c>
      <c r="R478">
        <v>82</v>
      </c>
      <c r="S478">
        <v>21.51</v>
      </c>
      <c r="T478" t="str">
        <f t="shared" si="44"/>
        <v>Normal</v>
      </c>
      <c r="U478">
        <v>96</v>
      </c>
      <c r="V478">
        <v>81.96365524402907</v>
      </c>
      <c r="W478" t="str">
        <f t="shared" si="47"/>
        <v>Normal</v>
      </c>
      <c r="X478">
        <v>0</v>
      </c>
    </row>
    <row r="479" spans="1:24" ht="14.5" thickBot="1" x14ac:dyDescent="0.35">
      <c r="A479">
        <v>0</v>
      </c>
      <c r="B479" t="str">
        <f t="shared" si="45"/>
        <v>Female</v>
      </c>
      <c r="C479" s="8">
        <v>39</v>
      </c>
      <c r="D479" t="str">
        <f t="shared" si="46"/>
        <v>Young</v>
      </c>
      <c r="E479">
        <v>3</v>
      </c>
      <c r="F479" t="str">
        <f>HLOOKUP(E479, LookUP_Table!$A$6:$D$7, 2, FALSE)</f>
        <v>Graduate</v>
      </c>
      <c r="G479" t="str">
        <f>IFERROR(VLOOKUP(E479, LookUP_Table!$A$1:$B$4, 2, FALSE), "")</f>
        <v>Graduate</v>
      </c>
      <c r="H479">
        <v>0</v>
      </c>
      <c r="I479">
        <v>0</v>
      </c>
      <c r="J479" t="str">
        <f t="shared" si="42"/>
        <v>Non-Smoker</v>
      </c>
      <c r="K479">
        <v>0</v>
      </c>
      <c r="L479">
        <v>0</v>
      </c>
      <c r="M479">
        <v>0</v>
      </c>
      <c r="N479">
        <v>1</v>
      </c>
      <c r="O479">
        <v>209</v>
      </c>
      <c r="P479" t="str">
        <f t="shared" si="43"/>
        <v>Normal</v>
      </c>
      <c r="Q479">
        <v>104</v>
      </c>
      <c r="R479">
        <v>72</v>
      </c>
      <c r="S479">
        <v>23.96</v>
      </c>
      <c r="T479" t="str">
        <f t="shared" si="44"/>
        <v>Normal</v>
      </c>
      <c r="U479">
        <v>90</v>
      </c>
      <c r="V479">
        <v>103</v>
      </c>
      <c r="W479" t="str">
        <f t="shared" si="47"/>
        <v>Prediabetes</v>
      </c>
      <c r="X479">
        <v>0</v>
      </c>
    </row>
    <row r="480" spans="1:24" ht="14.5" thickBot="1" x14ac:dyDescent="0.35">
      <c r="A480">
        <v>1</v>
      </c>
      <c r="B480" t="str">
        <f t="shared" si="45"/>
        <v>Male</v>
      </c>
      <c r="C480" s="8">
        <v>39</v>
      </c>
      <c r="D480" t="str">
        <f t="shared" si="46"/>
        <v>Young</v>
      </c>
      <c r="E480">
        <v>2</v>
      </c>
      <c r="F480" t="str">
        <f>HLOOKUP(E480, LookUP_Table!$A$6:$D$7, 2, FALSE)</f>
        <v>Secondary</v>
      </c>
      <c r="G480" t="str">
        <f>IFERROR(VLOOKUP(E480, LookUP_Table!$A$1:$B$4, 2, FALSE), "")</f>
        <v>Secondary</v>
      </c>
      <c r="H480">
        <v>1</v>
      </c>
      <c r="I480">
        <v>25</v>
      </c>
      <c r="J480" t="str">
        <f t="shared" si="42"/>
        <v>Smoker</v>
      </c>
      <c r="K480">
        <v>0</v>
      </c>
      <c r="L480">
        <v>0</v>
      </c>
      <c r="M480">
        <v>0</v>
      </c>
      <c r="N480">
        <v>0</v>
      </c>
      <c r="O480">
        <v>217</v>
      </c>
      <c r="P480" t="str">
        <f t="shared" si="43"/>
        <v>Normal</v>
      </c>
      <c r="Q480">
        <v>119</v>
      </c>
      <c r="R480">
        <v>85</v>
      </c>
      <c r="S480">
        <v>23.32</v>
      </c>
      <c r="T480" t="str">
        <f t="shared" si="44"/>
        <v>Normal</v>
      </c>
      <c r="U480">
        <v>66</v>
      </c>
      <c r="V480">
        <v>96</v>
      </c>
      <c r="W480" t="str">
        <f t="shared" si="47"/>
        <v>Normal</v>
      </c>
      <c r="X480">
        <v>0</v>
      </c>
    </row>
    <row r="481" spans="1:24" ht="14.5" thickBot="1" x14ac:dyDescent="0.35">
      <c r="A481">
        <v>0</v>
      </c>
      <c r="B481" t="str">
        <f t="shared" si="45"/>
        <v>Female</v>
      </c>
      <c r="C481" s="8">
        <v>39</v>
      </c>
      <c r="D481" t="str">
        <f t="shared" si="46"/>
        <v>Young</v>
      </c>
      <c r="E481">
        <v>4</v>
      </c>
      <c r="F481" t="str">
        <f>HLOOKUP(E481, LookUP_Table!$A$6:$D$7, 2, FALSE)</f>
        <v>Post Graduate</v>
      </c>
      <c r="G481" t="str">
        <f>IFERROR(VLOOKUP(E481, LookUP_Table!$A$1:$B$4, 2, FALSE), "")</f>
        <v>Post Graduate</v>
      </c>
      <c r="H481">
        <v>1</v>
      </c>
      <c r="I481">
        <v>9</v>
      </c>
      <c r="J481" t="str">
        <f t="shared" si="42"/>
        <v>Smoker</v>
      </c>
      <c r="K481">
        <v>0</v>
      </c>
      <c r="L481">
        <v>0</v>
      </c>
      <c r="M481">
        <v>0</v>
      </c>
      <c r="N481">
        <v>0</v>
      </c>
      <c r="O481">
        <v>180</v>
      </c>
      <c r="P481" t="str">
        <f t="shared" si="43"/>
        <v>Normal</v>
      </c>
      <c r="Q481">
        <v>113</v>
      </c>
      <c r="R481">
        <v>73</v>
      </c>
      <c r="S481">
        <v>17.649999999999999</v>
      </c>
      <c r="T481" t="str">
        <f t="shared" si="44"/>
        <v>Underweight</v>
      </c>
      <c r="U481">
        <v>70</v>
      </c>
      <c r="V481">
        <v>73</v>
      </c>
      <c r="W481" t="str">
        <f t="shared" si="47"/>
        <v>Normal</v>
      </c>
      <c r="X481">
        <v>0</v>
      </c>
    </row>
    <row r="482" spans="1:24" ht="14.5" thickBot="1" x14ac:dyDescent="0.35">
      <c r="A482">
        <v>0</v>
      </c>
      <c r="B482" t="str">
        <f t="shared" si="45"/>
        <v>Female</v>
      </c>
      <c r="C482" s="8">
        <v>39</v>
      </c>
      <c r="D482" t="str">
        <f t="shared" si="46"/>
        <v>Young</v>
      </c>
      <c r="E482">
        <v>2</v>
      </c>
      <c r="F482" t="str">
        <f>HLOOKUP(E482, LookUP_Table!$A$6:$D$7, 2, FALSE)</f>
        <v>Secondary</v>
      </c>
      <c r="G482" t="str">
        <f>IFERROR(VLOOKUP(E482, LookUP_Table!$A$1:$B$4, 2, FALSE), "")</f>
        <v>Secondary</v>
      </c>
      <c r="H482">
        <v>0</v>
      </c>
      <c r="I482">
        <v>0</v>
      </c>
      <c r="J482" t="str">
        <f t="shared" si="42"/>
        <v>Non-Smoker</v>
      </c>
      <c r="K482">
        <v>0</v>
      </c>
      <c r="L482">
        <v>0</v>
      </c>
      <c r="M482">
        <v>0</v>
      </c>
      <c r="N482">
        <v>0</v>
      </c>
      <c r="O482">
        <v>195</v>
      </c>
      <c r="P482" t="str">
        <f t="shared" si="43"/>
        <v>Normal</v>
      </c>
      <c r="Q482">
        <v>137</v>
      </c>
      <c r="R482">
        <v>93</v>
      </c>
      <c r="S482">
        <v>26.39</v>
      </c>
      <c r="T482" t="str">
        <f t="shared" si="44"/>
        <v>Overweight</v>
      </c>
      <c r="U482">
        <v>88</v>
      </c>
      <c r="V482">
        <v>75</v>
      </c>
      <c r="W482" t="str">
        <f t="shared" si="47"/>
        <v>Normal</v>
      </c>
      <c r="X482">
        <v>0</v>
      </c>
    </row>
    <row r="483" spans="1:24" ht="14.5" thickBot="1" x14ac:dyDescent="0.35">
      <c r="A483">
        <v>0</v>
      </c>
      <c r="B483" t="str">
        <f t="shared" si="45"/>
        <v>Female</v>
      </c>
      <c r="C483" s="8">
        <v>39</v>
      </c>
      <c r="D483" t="str">
        <f t="shared" si="46"/>
        <v>Young</v>
      </c>
      <c r="E483">
        <v>4</v>
      </c>
      <c r="F483" t="str">
        <f>HLOOKUP(E483, LookUP_Table!$A$6:$D$7, 2, FALSE)</f>
        <v>Post Graduate</v>
      </c>
      <c r="G483" t="str">
        <f>IFERROR(VLOOKUP(E483, LookUP_Table!$A$1:$B$4, 2, FALSE), "")</f>
        <v>Post Graduate</v>
      </c>
      <c r="H483">
        <v>1</v>
      </c>
      <c r="I483">
        <v>9</v>
      </c>
      <c r="J483" t="str">
        <f t="shared" si="42"/>
        <v>Smoker</v>
      </c>
      <c r="K483">
        <v>0</v>
      </c>
      <c r="L483">
        <v>0</v>
      </c>
      <c r="M483">
        <v>0</v>
      </c>
      <c r="N483">
        <v>0</v>
      </c>
      <c r="O483">
        <v>170</v>
      </c>
      <c r="P483" t="str">
        <f t="shared" si="43"/>
        <v>Normal</v>
      </c>
      <c r="Q483">
        <v>110.5</v>
      </c>
      <c r="R483">
        <v>69</v>
      </c>
      <c r="S483">
        <v>22.19</v>
      </c>
      <c r="T483" t="str">
        <f t="shared" si="44"/>
        <v>Normal</v>
      </c>
      <c r="U483">
        <v>60</v>
      </c>
      <c r="V483">
        <v>103</v>
      </c>
      <c r="W483" t="str">
        <f t="shared" si="47"/>
        <v>Prediabetes</v>
      </c>
      <c r="X483">
        <v>0</v>
      </c>
    </row>
    <row r="484" spans="1:24" ht="14.5" thickBot="1" x14ac:dyDescent="0.35">
      <c r="A484">
        <v>1</v>
      </c>
      <c r="B484" t="str">
        <f t="shared" si="45"/>
        <v>Male</v>
      </c>
      <c r="C484" s="8">
        <v>39</v>
      </c>
      <c r="D484" t="str">
        <f t="shared" si="46"/>
        <v>Young</v>
      </c>
      <c r="E484">
        <v>1</v>
      </c>
      <c r="F484" t="str">
        <f>HLOOKUP(E484, LookUP_Table!$A$6:$D$7, 2, FALSE)</f>
        <v>Primary</v>
      </c>
      <c r="G484" t="str">
        <f>IFERROR(VLOOKUP(E484, LookUP_Table!$A$1:$B$4, 2, FALSE), "")</f>
        <v>Primary</v>
      </c>
      <c r="H484">
        <v>0</v>
      </c>
      <c r="I484">
        <v>0</v>
      </c>
      <c r="J484" t="str">
        <f t="shared" si="42"/>
        <v>Non-Smoker</v>
      </c>
      <c r="K484">
        <v>0</v>
      </c>
      <c r="L484">
        <v>0</v>
      </c>
      <c r="M484">
        <v>0</v>
      </c>
      <c r="N484">
        <v>0</v>
      </c>
      <c r="O484">
        <v>190</v>
      </c>
      <c r="P484" t="str">
        <f t="shared" si="43"/>
        <v>Normal</v>
      </c>
      <c r="Q484">
        <v>114</v>
      </c>
      <c r="R484">
        <v>70</v>
      </c>
      <c r="S484">
        <v>27.8</v>
      </c>
      <c r="T484" t="str">
        <f t="shared" si="44"/>
        <v>Overweight</v>
      </c>
      <c r="U484">
        <v>60</v>
      </c>
      <c r="V484">
        <v>80</v>
      </c>
      <c r="W484" t="str">
        <f t="shared" si="47"/>
        <v>Normal</v>
      </c>
      <c r="X484">
        <v>0</v>
      </c>
    </row>
    <row r="485" spans="1:24" ht="14.5" thickBot="1" x14ac:dyDescent="0.35">
      <c r="A485">
        <v>1</v>
      </c>
      <c r="B485" t="str">
        <f t="shared" si="45"/>
        <v>Male</v>
      </c>
      <c r="C485" s="8">
        <v>39</v>
      </c>
      <c r="D485" t="str">
        <f t="shared" si="46"/>
        <v>Young</v>
      </c>
      <c r="E485">
        <v>1</v>
      </c>
      <c r="F485" t="str">
        <f>HLOOKUP(E485, LookUP_Table!$A$6:$D$7, 2, FALSE)</f>
        <v>Primary</v>
      </c>
      <c r="G485" t="str">
        <f>IFERROR(VLOOKUP(E485, LookUP_Table!$A$1:$B$4, 2, FALSE), "")</f>
        <v>Primary</v>
      </c>
      <c r="H485">
        <v>1</v>
      </c>
      <c r="I485">
        <v>20</v>
      </c>
      <c r="J485" t="str">
        <f t="shared" si="42"/>
        <v>Smoker</v>
      </c>
      <c r="K485">
        <v>0</v>
      </c>
      <c r="L485">
        <v>0</v>
      </c>
      <c r="M485">
        <v>0</v>
      </c>
      <c r="N485">
        <v>1</v>
      </c>
      <c r="O485">
        <v>195</v>
      </c>
      <c r="P485" t="str">
        <f t="shared" si="43"/>
        <v>Normal</v>
      </c>
      <c r="Q485">
        <v>106</v>
      </c>
      <c r="R485">
        <v>80</v>
      </c>
      <c r="S485">
        <v>23.57</v>
      </c>
      <c r="T485" t="str">
        <f t="shared" si="44"/>
        <v>Normal</v>
      </c>
      <c r="U485">
        <v>85</v>
      </c>
      <c r="V485">
        <v>132</v>
      </c>
      <c r="W485" t="str">
        <f t="shared" si="47"/>
        <v>Diabetes</v>
      </c>
      <c r="X485">
        <v>0</v>
      </c>
    </row>
    <row r="486" spans="1:24" ht="14.5" thickBot="1" x14ac:dyDescent="0.35">
      <c r="A486">
        <v>1</v>
      </c>
      <c r="B486" t="str">
        <f t="shared" si="45"/>
        <v>Male</v>
      </c>
      <c r="C486" s="8">
        <v>39</v>
      </c>
      <c r="D486" t="str">
        <f t="shared" si="46"/>
        <v>Young</v>
      </c>
      <c r="E486">
        <v>4</v>
      </c>
      <c r="F486" t="str">
        <f>HLOOKUP(E486, LookUP_Table!$A$6:$D$7, 2, FALSE)</f>
        <v>Post Graduate</v>
      </c>
      <c r="G486" t="str">
        <f>IFERROR(VLOOKUP(E486, LookUP_Table!$A$1:$B$4, 2, FALSE), "")</f>
        <v>Post Graduate</v>
      </c>
      <c r="H486">
        <v>1</v>
      </c>
      <c r="I486">
        <v>30</v>
      </c>
      <c r="J486" t="str">
        <f t="shared" si="42"/>
        <v>Smoker</v>
      </c>
      <c r="K486">
        <v>0</v>
      </c>
      <c r="L486">
        <v>0</v>
      </c>
      <c r="M486">
        <v>0</v>
      </c>
      <c r="N486">
        <v>0</v>
      </c>
      <c r="O486">
        <v>255</v>
      </c>
      <c r="P486" t="str">
        <f t="shared" si="43"/>
        <v>High</v>
      </c>
      <c r="Q486">
        <v>108</v>
      </c>
      <c r="R486">
        <v>75</v>
      </c>
      <c r="S486">
        <v>23.9</v>
      </c>
      <c r="T486" t="str">
        <f t="shared" si="44"/>
        <v>Normal</v>
      </c>
      <c r="U486">
        <v>67</v>
      </c>
      <c r="V486">
        <v>70</v>
      </c>
      <c r="W486" t="str">
        <f t="shared" si="47"/>
        <v>Normal</v>
      </c>
      <c r="X486">
        <v>0</v>
      </c>
    </row>
    <row r="487" spans="1:24" ht="14.5" thickBot="1" x14ac:dyDescent="0.35">
      <c r="A487">
        <v>1</v>
      </c>
      <c r="B487" t="str">
        <f t="shared" si="45"/>
        <v>Male</v>
      </c>
      <c r="C487" s="8">
        <v>39</v>
      </c>
      <c r="D487" t="str">
        <f t="shared" si="46"/>
        <v>Young</v>
      </c>
      <c r="E487">
        <v>4</v>
      </c>
      <c r="F487" t="str">
        <f>HLOOKUP(E487, LookUP_Table!$A$6:$D$7, 2, FALSE)</f>
        <v>Post Graduate</v>
      </c>
      <c r="G487" t="str">
        <f>IFERROR(VLOOKUP(E487, LookUP_Table!$A$1:$B$4, 2, FALSE), "")</f>
        <v>Post Graduate</v>
      </c>
      <c r="H487">
        <v>0</v>
      </c>
      <c r="I487">
        <v>0</v>
      </c>
      <c r="J487" t="str">
        <f t="shared" si="42"/>
        <v>Non-Smoker</v>
      </c>
      <c r="K487">
        <v>0</v>
      </c>
      <c r="L487">
        <v>0</v>
      </c>
      <c r="M487">
        <v>1</v>
      </c>
      <c r="N487">
        <v>0</v>
      </c>
      <c r="O487">
        <v>208</v>
      </c>
      <c r="P487" t="str">
        <f t="shared" si="43"/>
        <v>Normal</v>
      </c>
      <c r="Q487">
        <v>146</v>
      </c>
      <c r="R487">
        <v>92</v>
      </c>
      <c r="S487">
        <v>25.91</v>
      </c>
      <c r="T487" t="str">
        <f t="shared" si="44"/>
        <v>Overweight</v>
      </c>
      <c r="U487">
        <v>69</v>
      </c>
      <c r="V487">
        <v>74</v>
      </c>
      <c r="W487" t="str">
        <f t="shared" si="47"/>
        <v>Normal</v>
      </c>
      <c r="X487">
        <v>0</v>
      </c>
    </row>
    <row r="488" spans="1:24" ht="14.5" thickBot="1" x14ac:dyDescent="0.35">
      <c r="A488">
        <v>0</v>
      </c>
      <c r="B488" t="str">
        <f t="shared" si="45"/>
        <v>Female</v>
      </c>
      <c r="C488" s="8">
        <v>39</v>
      </c>
      <c r="D488" t="str">
        <f t="shared" si="46"/>
        <v>Young</v>
      </c>
      <c r="E488">
        <v>2</v>
      </c>
      <c r="F488" t="str">
        <f>HLOOKUP(E488, LookUP_Table!$A$6:$D$7, 2, FALSE)</f>
        <v>Secondary</v>
      </c>
      <c r="G488" t="str">
        <f>IFERROR(VLOOKUP(E488, LookUP_Table!$A$1:$B$4, 2, FALSE), "")</f>
        <v>Secondary</v>
      </c>
      <c r="H488">
        <v>1</v>
      </c>
      <c r="I488">
        <v>9</v>
      </c>
      <c r="J488" t="str">
        <f t="shared" si="42"/>
        <v>Smoker</v>
      </c>
      <c r="K488">
        <v>0</v>
      </c>
      <c r="L488">
        <v>0</v>
      </c>
      <c r="M488">
        <v>0</v>
      </c>
      <c r="N488">
        <v>0</v>
      </c>
      <c r="O488">
        <v>270</v>
      </c>
      <c r="P488" t="str">
        <f t="shared" si="43"/>
        <v>High</v>
      </c>
      <c r="Q488">
        <v>110</v>
      </c>
      <c r="R488">
        <v>78</v>
      </c>
      <c r="S488">
        <v>22</v>
      </c>
      <c r="T488" t="str">
        <f t="shared" si="44"/>
        <v>Normal</v>
      </c>
      <c r="U488">
        <v>75</v>
      </c>
      <c r="V488">
        <v>68</v>
      </c>
      <c r="W488" t="str">
        <f t="shared" si="47"/>
        <v>Normal</v>
      </c>
      <c r="X488">
        <v>0</v>
      </c>
    </row>
    <row r="489" spans="1:24" ht="14.5" thickBot="1" x14ac:dyDescent="0.35">
      <c r="A489">
        <v>0</v>
      </c>
      <c r="B489" t="str">
        <f t="shared" si="45"/>
        <v>Female</v>
      </c>
      <c r="C489" s="8">
        <v>39</v>
      </c>
      <c r="D489" t="str">
        <f t="shared" si="46"/>
        <v>Young</v>
      </c>
      <c r="E489">
        <v>2</v>
      </c>
      <c r="F489" t="str">
        <f>HLOOKUP(E489, LookUP_Table!$A$6:$D$7, 2, FALSE)</f>
        <v>Secondary</v>
      </c>
      <c r="G489" t="str">
        <f>IFERROR(VLOOKUP(E489, LookUP_Table!$A$1:$B$4, 2, FALSE), "")</f>
        <v>Secondary</v>
      </c>
      <c r="H489">
        <v>0</v>
      </c>
      <c r="I489">
        <v>0</v>
      </c>
      <c r="J489" t="str">
        <f t="shared" si="42"/>
        <v>Non-Smoker</v>
      </c>
      <c r="K489">
        <v>0</v>
      </c>
      <c r="L489">
        <v>0</v>
      </c>
      <c r="M489">
        <v>0</v>
      </c>
      <c r="N489">
        <v>0</v>
      </c>
      <c r="O489">
        <v>175</v>
      </c>
      <c r="P489" t="str">
        <f t="shared" si="43"/>
        <v>Normal</v>
      </c>
      <c r="Q489">
        <v>114</v>
      </c>
      <c r="R489">
        <v>68</v>
      </c>
      <c r="S489">
        <v>24.2</v>
      </c>
      <c r="T489" t="str">
        <f t="shared" si="44"/>
        <v>Normal</v>
      </c>
      <c r="U489">
        <v>80</v>
      </c>
      <c r="V489">
        <v>93</v>
      </c>
      <c r="W489" t="str">
        <f t="shared" si="47"/>
        <v>Normal</v>
      </c>
      <c r="X489">
        <v>0</v>
      </c>
    </row>
    <row r="490" spans="1:24" ht="14.5" thickBot="1" x14ac:dyDescent="0.35">
      <c r="A490">
        <v>0</v>
      </c>
      <c r="B490" t="str">
        <f t="shared" si="45"/>
        <v>Female</v>
      </c>
      <c r="C490" s="8">
        <v>39</v>
      </c>
      <c r="D490" t="str">
        <f t="shared" si="46"/>
        <v>Young</v>
      </c>
      <c r="E490">
        <v>3</v>
      </c>
      <c r="F490" t="str">
        <f>HLOOKUP(E490, LookUP_Table!$A$6:$D$7, 2, FALSE)</f>
        <v>Graduate</v>
      </c>
      <c r="G490" t="str">
        <f>IFERROR(VLOOKUP(E490, LookUP_Table!$A$1:$B$4, 2, FALSE), "")</f>
        <v>Graduate</v>
      </c>
      <c r="H490">
        <v>0</v>
      </c>
      <c r="I490">
        <v>0</v>
      </c>
      <c r="J490" t="str">
        <f t="shared" si="42"/>
        <v>Non-Smoker</v>
      </c>
      <c r="K490">
        <v>0</v>
      </c>
      <c r="L490">
        <v>0</v>
      </c>
      <c r="M490">
        <v>0</v>
      </c>
      <c r="N490">
        <v>0</v>
      </c>
      <c r="O490">
        <v>201</v>
      </c>
      <c r="P490" t="str">
        <f t="shared" si="43"/>
        <v>Normal</v>
      </c>
      <c r="Q490">
        <v>121</v>
      </c>
      <c r="R490">
        <v>78.5</v>
      </c>
      <c r="S490">
        <v>24.26</v>
      </c>
      <c r="T490" t="str">
        <f t="shared" si="44"/>
        <v>Normal</v>
      </c>
      <c r="U490">
        <v>67</v>
      </c>
      <c r="V490">
        <v>90</v>
      </c>
      <c r="W490" t="str">
        <f t="shared" si="47"/>
        <v>Normal</v>
      </c>
      <c r="X490">
        <v>0</v>
      </c>
    </row>
    <row r="491" spans="1:24" ht="14.5" thickBot="1" x14ac:dyDescent="0.35">
      <c r="A491">
        <v>0</v>
      </c>
      <c r="B491" t="str">
        <f t="shared" si="45"/>
        <v>Female</v>
      </c>
      <c r="C491" s="8">
        <v>39</v>
      </c>
      <c r="D491" t="str">
        <f t="shared" si="46"/>
        <v>Young</v>
      </c>
      <c r="E491">
        <v>3</v>
      </c>
      <c r="F491" t="str">
        <f>HLOOKUP(E491, LookUP_Table!$A$6:$D$7, 2, FALSE)</f>
        <v>Graduate</v>
      </c>
      <c r="G491" t="str">
        <f>IFERROR(VLOOKUP(E491, LookUP_Table!$A$1:$B$4, 2, FALSE), "")</f>
        <v>Graduate</v>
      </c>
      <c r="H491">
        <v>0</v>
      </c>
      <c r="I491">
        <v>0</v>
      </c>
      <c r="J491" t="str">
        <f t="shared" si="42"/>
        <v>Non-Smoker</v>
      </c>
      <c r="K491">
        <v>0</v>
      </c>
      <c r="L491">
        <v>0</v>
      </c>
      <c r="M491">
        <v>0</v>
      </c>
      <c r="N491">
        <v>0</v>
      </c>
      <c r="O491">
        <v>240</v>
      </c>
      <c r="P491" t="str">
        <f t="shared" si="43"/>
        <v>Normal</v>
      </c>
      <c r="Q491">
        <v>118</v>
      </c>
      <c r="R491">
        <v>84</v>
      </c>
      <c r="S491">
        <v>25.57</v>
      </c>
      <c r="T491" t="str">
        <f t="shared" si="44"/>
        <v>Overweight</v>
      </c>
      <c r="U491">
        <v>80</v>
      </c>
      <c r="V491">
        <v>75</v>
      </c>
      <c r="W491" t="str">
        <f t="shared" si="47"/>
        <v>Normal</v>
      </c>
      <c r="X491">
        <v>0</v>
      </c>
    </row>
    <row r="492" spans="1:24" ht="14.5" thickBot="1" x14ac:dyDescent="0.35">
      <c r="A492">
        <v>1</v>
      </c>
      <c r="B492" t="str">
        <f t="shared" si="45"/>
        <v>Male</v>
      </c>
      <c r="C492" s="8">
        <v>39</v>
      </c>
      <c r="D492" t="str">
        <f t="shared" si="46"/>
        <v>Young</v>
      </c>
      <c r="E492">
        <v>2</v>
      </c>
      <c r="F492" t="str">
        <f>HLOOKUP(E492, LookUP_Table!$A$6:$D$7, 2, FALSE)</f>
        <v>Secondary</v>
      </c>
      <c r="G492" t="str">
        <f>IFERROR(VLOOKUP(E492, LookUP_Table!$A$1:$B$4, 2, FALSE), "")</f>
        <v>Secondary</v>
      </c>
      <c r="H492">
        <v>1</v>
      </c>
      <c r="I492">
        <v>20</v>
      </c>
      <c r="J492" t="str">
        <f t="shared" si="42"/>
        <v>Smoker</v>
      </c>
      <c r="K492">
        <v>0</v>
      </c>
      <c r="L492">
        <v>0</v>
      </c>
      <c r="M492">
        <v>0</v>
      </c>
      <c r="N492">
        <v>0</v>
      </c>
      <c r="O492">
        <v>190</v>
      </c>
      <c r="P492" t="str">
        <f t="shared" si="43"/>
        <v>Normal</v>
      </c>
      <c r="Q492">
        <v>118</v>
      </c>
      <c r="R492">
        <v>70</v>
      </c>
      <c r="S492">
        <v>23.57</v>
      </c>
      <c r="T492" t="str">
        <f t="shared" si="44"/>
        <v>Normal</v>
      </c>
      <c r="U492">
        <v>64</v>
      </c>
      <c r="V492">
        <v>69</v>
      </c>
      <c r="W492" t="str">
        <f t="shared" si="47"/>
        <v>Normal</v>
      </c>
      <c r="X492">
        <v>0</v>
      </c>
    </row>
    <row r="493" spans="1:24" ht="14.5" thickBot="1" x14ac:dyDescent="0.35">
      <c r="A493">
        <v>0</v>
      </c>
      <c r="B493" t="str">
        <f t="shared" si="45"/>
        <v>Female</v>
      </c>
      <c r="C493" s="8">
        <v>39</v>
      </c>
      <c r="D493" t="str">
        <f t="shared" si="46"/>
        <v>Young</v>
      </c>
      <c r="E493">
        <v>2</v>
      </c>
      <c r="F493" t="str">
        <f>HLOOKUP(E493, LookUP_Table!$A$6:$D$7, 2, FALSE)</f>
        <v>Secondary</v>
      </c>
      <c r="G493" t="str">
        <f>IFERROR(VLOOKUP(E493, LookUP_Table!$A$1:$B$4, 2, FALSE), "")</f>
        <v>Secondary</v>
      </c>
      <c r="H493">
        <v>1</v>
      </c>
      <c r="I493">
        <v>20</v>
      </c>
      <c r="J493" t="str">
        <f t="shared" si="42"/>
        <v>Smoker</v>
      </c>
      <c r="K493">
        <v>0</v>
      </c>
      <c r="L493">
        <v>0</v>
      </c>
      <c r="M493">
        <v>0</v>
      </c>
      <c r="N493">
        <v>0</v>
      </c>
      <c r="O493">
        <v>236</v>
      </c>
      <c r="P493" t="str">
        <f t="shared" si="43"/>
        <v>Normal</v>
      </c>
      <c r="Q493">
        <v>127</v>
      </c>
      <c r="R493">
        <v>78</v>
      </c>
      <c r="S493">
        <v>17.510000000000002</v>
      </c>
      <c r="T493" t="str">
        <f t="shared" si="44"/>
        <v>Underweight</v>
      </c>
      <c r="U493">
        <v>75</v>
      </c>
      <c r="V493">
        <v>76</v>
      </c>
      <c r="W493" t="str">
        <f t="shared" si="47"/>
        <v>Normal</v>
      </c>
      <c r="X493">
        <v>0</v>
      </c>
    </row>
    <row r="494" spans="1:24" ht="14.5" thickBot="1" x14ac:dyDescent="0.35">
      <c r="A494">
        <v>0</v>
      </c>
      <c r="B494" t="str">
        <f t="shared" si="45"/>
        <v>Female</v>
      </c>
      <c r="C494" s="8">
        <v>39</v>
      </c>
      <c r="D494" t="str">
        <f t="shared" si="46"/>
        <v>Young</v>
      </c>
      <c r="E494">
        <v>2</v>
      </c>
      <c r="F494" t="str">
        <f>HLOOKUP(E494, LookUP_Table!$A$6:$D$7, 2, FALSE)</f>
        <v>Secondary</v>
      </c>
      <c r="G494" t="str">
        <f>IFERROR(VLOOKUP(E494, LookUP_Table!$A$1:$B$4, 2, FALSE), "")</f>
        <v>Secondary</v>
      </c>
      <c r="H494">
        <v>1</v>
      </c>
      <c r="I494">
        <v>9</v>
      </c>
      <c r="J494" t="str">
        <f t="shared" si="42"/>
        <v>Smoker</v>
      </c>
      <c r="K494">
        <v>0</v>
      </c>
      <c r="L494">
        <v>0</v>
      </c>
      <c r="M494">
        <v>0</v>
      </c>
      <c r="N494">
        <v>0</v>
      </c>
      <c r="O494">
        <v>254</v>
      </c>
      <c r="P494" t="str">
        <f t="shared" si="43"/>
        <v>High</v>
      </c>
      <c r="Q494">
        <v>112.5</v>
      </c>
      <c r="R494">
        <v>75</v>
      </c>
      <c r="S494">
        <v>22.91</v>
      </c>
      <c r="T494" t="str">
        <f t="shared" si="44"/>
        <v>Normal</v>
      </c>
      <c r="U494">
        <v>72</v>
      </c>
      <c r="V494">
        <v>81.96365524402907</v>
      </c>
      <c r="W494" t="str">
        <f t="shared" si="47"/>
        <v>Normal</v>
      </c>
      <c r="X494">
        <v>0</v>
      </c>
    </row>
    <row r="495" spans="1:24" ht="14.5" thickBot="1" x14ac:dyDescent="0.35">
      <c r="A495">
        <v>1</v>
      </c>
      <c r="B495" t="str">
        <f t="shared" si="45"/>
        <v>Male</v>
      </c>
      <c r="C495" s="8">
        <v>39</v>
      </c>
      <c r="D495" t="str">
        <f t="shared" si="46"/>
        <v>Young</v>
      </c>
      <c r="E495">
        <v>1</v>
      </c>
      <c r="F495" t="str">
        <f>HLOOKUP(E495, LookUP_Table!$A$6:$D$7, 2, FALSE)</f>
        <v>Primary</v>
      </c>
      <c r="G495" t="str">
        <f>IFERROR(VLOOKUP(E495, LookUP_Table!$A$1:$B$4, 2, FALSE), "")</f>
        <v>Primary</v>
      </c>
      <c r="H495">
        <v>1</v>
      </c>
      <c r="I495">
        <v>20</v>
      </c>
      <c r="J495" t="str">
        <f t="shared" si="42"/>
        <v>Smoker</v>
      </c>
      <c r="K495">
        <v>0</v>
      </c>
      <c r="L495">
        <v>0</v>
      </c>
      <c r="M495">
        <v>0</v>
      </c>
      <c r="N495">
        <v>0</v>
      </c>
      <c r="O495">
        <v>232</v>
      </c>
      <c r="P495" t="str">
        <f t="shared" si="43"/>
        <v>Normal</v>
      </c>
      <c r="Q495">
        <v>122.5</v>
      </c>
      <c r="R495">
        <v>78.5</v>
      </c>
      <c r="S495">
        <v>26.11</v>
      </c>
      <c r="T495" t="str">
        <f t="shared" si="44"/>
        <v>Overweight</v>
      </c>
      <c r="U495">
        <v>80</v>
      </c>
      <c r="V495">
        <v>73</v>
      </c>
      <c r="W495" t="str">
        <f t="shared" si="47"/>
        <v>Normal</v>
      </c>
      <c r="X495">
        <v>0</v>
      </c>
    </row>
    <row r="496" spans="1:24" ht="14.5" thickBot="1" x14ac:dyDescent="0.35">
      <c r="A496">
        <v>0</v>
      </c>
      <c r="B496" t="str">
        <f t="shared" si="45"/>
        <v>Female</v>
      </c>
      <c r="C496" s="8">
        <v>39</v>
      </c>
      <c r="D496" t="str">
        <f t="shared" si="46"/>
        <v>Young</v>
      </c>
      <c r="E496">
        <v>1</v>
      </c>
      <c r="F496" t="str">
        <f>HLOOKUP(E496, LookUP_Table!$A$6:$D$7, 2, FALSE)</f>
        <v>Primary</v>
      </c>
      <c r="G496" t="str">
        <f>IFERROR(VLOOKUP(E496, LookUP_Table!$A$1:$B$4, 2, FALSE), "")</f>
        <v>Primary</v>
      </c>
      <c r="H496">
        <v>0</v>
      </c>
      <c r="I496">
        <v>0</v>
      </c>
      <c r="J496" t="str">
        <f t="shared" si="42"/>
        <v>Non-Smoker</v>
      </c>
      <c r="K496">
        <v>0</v>
      </c>
      <c r="L496">
        <v>0</v>
      </c>
      <c r="M496">
        <v>0</v>
      </c>
      <c r="N496">
        <v>0</v>
      </c>
      <c r="O496">
        <v>227</v>
      </c>
      <c r="P496" t="str">
        <f t="shared" si="43"/>
        <v>Normal</v>
      </c>
      <c r="Q496">
        <v>138</v>
      </c>
      <c r="R496">
        <v>89</v>
      </c>
      <c r="S496">
        <v>26.74</v>
      </c>
      <c r="T496" t="str">
        <f t="shared" si="44"/>
        <v>Overweight</v>
      </c>
      <c r="U496">
        <v>95</v>
      </c>
      <c r="V496">
        <v>60</v>
      </c>
      <c r="W496" t="str">
        <f t="shared" si="47"/>
        <v>Normal</v>
      </c>
      <c r="X496">
        <v>0</v>
      </c>
    </row>
    <row r="497" spans="1:24" ht="14.5" thickBot="1" x14ac:dyDescent="0.35">
      <c r="A497">
        <v>0</v>
      </c>
      <c r="B497" t="str">
        <f t="shared" si="45"/>
        <v>Female</v>
      </c>
      <c r="C497" s="8">
        <v>39</v>
      </c>
      <c r="D497" t="str">
        <f t="shared" si="46"/>
        <v>Young</v>
      </c>
      <c r="E497">
        <v>2</v>
      </c>
      <c r="F497" t="str">
        <f>HLOOKUP(E497, LookUP_Table!$A$6:$D$7, 2, FALSE)</f>
        <v>Secondary</v>
      </c>
      <c r="G497" t="str">
        <f>IFERROR(VLOOKUP(E497, LookUP_Table!$A$1:$B$4, 2, FALSE), "")</f>
        <v>Secondary</v>
      </c>
      <c r="H497">
        <v>1</v>
      </c>
      <c r="I497">
        <v>20</v>
      </c>
      <c r="J497" t="str">
        <f t="shared" si="42"/>
        <v>Smoker</v>
      </c>
      <c r="K497">
        <v>0</v>
      </c>
      <c r="L497">
        <v>0</v>
      </c>
      <c r="M497">
        <v>0</v>
      </c>
      <c r="N497">
        <v>0</v>
      </c>
      <c r="O497">
        <v>206</v>
      </c>
      <c r="P497" t="str">
        <f t="shared" si="43"/>
        <v>Normal</v>
      </c>
      <c r="Q497">
        <v>102.5</v>
      </c>
      <c r="R497">
        <v>65</v>
      </c>
      <c r="S497">
        <v>19.8</v>
      </c>
      <c r="T497" t="str">
        <f t="shared" si="44"/>
        <v>Normal</v>
      </c>
      <c r="U497">
        <v>80</v>
      </c>
      <c r="V497">
        <v>85</v>
      </c>
      <c r="W497" t="str">
        <f t="shared" si="47"/>
        <v>Normal</v>
      </c>
      <c r="X497">
        <v>0</v>
      </c>
    </row>
    <row r="498" spans="1:24" ht="14.5" thickBot="1" x14ac:dyDescent="0.35">
      <c r="A498">
        <v>0</v>
      </c>
      <c r="B498" t="str">
        <f t="shared" si="45"/>
        <v>Female</v>
      </c>
      <c r="C498" s="8">
        <v>39</v>
      </c>
      <c r="D498" t="str">
        <f t="shared" si="46"/>
        <v>Young</v>
      </c>
      <c r="E498">
        <v>4</v>
      </c>
      <c r="F498" t="str">
        <f>HLOOKUP(E498, LookUP_Table!$A$6:$D$7, 2, FALSE)</f>
        <v>Post Graduate</v>
      </c>
      <c r="G498" t="str">
        <f>IFERROR(VLOOKUP(E498, LookUP_Table!$A$1:$B$4, 2, FALSE), "")</f>
        <v>Post Graduate</v>
      </c>
      <c r="H498">
        <v>0</v>
      </c>
      <c r="I498">
        <v>0</v>
      </c>
      <c r="J498" t="str">
        <f t="shared" si="42"/>
        <v>Non-Smoker</v>
      </c>
      <c r="K498">
        <v>0</v>
      </c>
      <c r="L498">
        <v>0</v>
      </c>
      <c r="M498">
        <v>0</v>
      </c>
      <c r="N498">
        <v>0</v>
      </c>
      <c r="O498">
        <v>229</v>
      </c>
      <c r="P498" t="str">
        <f t="shared" si="43"/>
        <v>Normal</v>
      </c>
      <c r="Q498">
        <v>119</v>
      </c>
      <c r="R498">
        <v>63.5</v>
      </c>
      <c r="S498">
        <v>25.80080075811421</v>
      </c>
      <c r="T498" t="str">
        <f t="shared" si="44"/>
        <v>Overweight</v>
      </c>
      <c r="U498">
        <v>76</v>
      </c>
      <c r="V498">
        <v>83</v>
      </c>
      <c r="W498" t="str">
        <f t="shared" si="47"/>
        <v>Normal</v>
      </c>
      <c r="X498">
        <v>0</v>
      </c>
    </row>
    <row r="499" spans="1:24" ht="14.5" thickBot="1" x14ac:dyDescent="0.35">
      <c r="A499">
        <v>0</v>
      </c>
      <c r="B499" t="str">
        <f t="shared" si="45"/>
        <v>Female</v>
      </c>
      <c r="C499" s="8">
        <v>39</v>
      </c>
      <c r="D499" t="str">
        <f t="shared" si="46"/>
        <v>Young</v>
      </c>
      <c r="E499">
        <v>2</v>
      </c>
      <c r="F499" t="str">
        <f>HLOOKUP(E499, LookUP_Table!$A$6:$D$7, 2, FALSE)</f>
        <v>Secondary</v>
      </c>
      <c r="G499" t="str">
        <f>IFERROR(VLOOKUP(E499, LookUP_Table!$A$1:$B$4, 2, FALSE), "")</f>
        <v>Secondary</v>
      </c>
      <c r="H499">
        <v>1</v>
      </c>
      <c r="I499">
        <v>20</v>
      </c>
      <c r="J499" t="str">
        <f t="shared" si="42"/>
        <v>Smoker</v>
      </c>
      <c r="K499">
        <v>0</v>
      </c>
      <c r="L499">
        <v>0</v>
      </c>
      <c r="M499">
        <v>0</v>
      </c>
      <c r="N499">
        <v>0</v>
      </c>
      <c r="O499">
        <v>180</v>
      </c>
      <c r="P499" t="str">
        <f t="shared" si="43"/>
        <v>Normal</v>
      </c>
      <c r="Q499">
        <v>112.5</v>
      </c>
      <c r="R499">
        <v>85</v>
      </c>
      <c r="S499">
        <v>25.31</v>
      </c>
      <c r="T499" t="str">
        <f t="shared" si="44"/>
        <v>Overweight</v>
      </c>
      <c r="U499">
        <v>75</v>
      </c>
      <c r="V499">
        <v>58</v>
      </c>
      <c r="W499" t="str">
        <f t="shared" si="47"/>
        <v>Normal</v>
      </c>
      <c r="X499">
        <v>0</v>
      </c>
    </row>
    <row r="500" spans="1:24" ht="14.5" thickBot="1" x14ac:dyDescent="0.35">
      <c r="A500">
        <v>0</v>
      </c>
      <c r="B500" t="str">
        <f t="shared" si="45"/>
        <v>Female</v>
      </c>
      <c r="C500" s="8">
        <v>39</v>
      </c>
      <c r="D500" t="str">
        <f t="shared" si="46"/>
        <v>Young</v>
      </c>
      <c r="E500">
        <v>4</v>
      </c>
      <c r="F500" t="str">
        <f>HLOOKUP(E500, LookUP_Table!$A$6:$D$7, 2, FALSE)</f>
        <v>Post Graduate</v>
      </c>
      <c r="G500" t="str">
        <f>IFERROR(VLOOKUP(E500, LookUP_Table!$A$1:$B$4, 2, FALSE), "")</f>
        <v>Post Graduate</v>
      </c>
      <c r="H500">
        <v>1</v>
      </c>
      <c r="I500">
        <v>15</v>
      </c>
      <c r="J500" t="str">
        <f t="shared" si="42"/>
        <v>Smoker</v>
      </c>
      <c r="K500">
        <v>0</v>
      </c>
      <c r="L500">
        <v>0</v>
      </c>
      <c r="M500">
        <v>0</v>
      </c>
      <c r="N500">
        <v>0</v>
      </c>
      <c r="O500">
        <v>226</v>
      </c>
      <c r="P500" t="str">
        <f t="shared" si="43"/>
        <v>Normal</v>
      </c>
      <c r="Q500">
        <v>115</v>
      </c>
      <c r="R500">
        <v>80</v>
      </c>
      <c r="S500">
        <v>25.19</v>
      </c>
      <c r="T500" t="str">
        <f t="shared" si="44"/>
        <v>Overweight</v>
      </c>
      <c r="U500">
        <v>72</v>
      </c>
      <c r="V500">
        <v>74</v>
      </c>
      <c r="W500" t="str">
        <f t="shared" si="47"/>
        <v>Normal</v>
      </c>
      <c r="X500">
        <v>0</v>
      </c>
    </row>
    <row r="501" spans="1:24" ht="14.5" thickBot="1" x14ac:dyDescent="0.35">
      <c r="A501">
        <v>0</v>
      </c>
      <c r="B501" t="str">
        <f t="shared" si="45"/>
        <v>Female</v>
      </c>
      <c r="C501" s="8">
        <v>39</v>
      </c>
      <c r="D501" t="str">
        <f t="shared" si="46"/>
        <v>Young</v>
      </c>
      <c r="E501">
        <v>1</v>
      </c>
      <c r="F501" t="str">
        <f>HLOOKUP(E501, LookUP_Table!$A$6:$D$7, 2, FALSE)</f>
        <v>Primary</v>
      </c>
      <c r="G501" t="str">
        <f>IFERROR(VLOOKUP(E501, LookUP_Table!$A$1:$B$4, 2, FALSE), "")</f>
        <v>Primary</v>
      </c>
      <c r="H501">
        <v>0</v>
      </c>
      <c r="I501">
        <v>0</v>
      </c>
      <c r="J501" t="str">
        <f t="shared" si="42"/>
        <v>Non-Smoker</v>
      </c>
      <c r="K501">
        <v>0</v>
      </c>
      <c r="L501">
        <v>0</v>
      </c>
      <c r="M501">
        <v>0</v>
      </c>
      <c r="N501">
        <v>0</v>
      </c>
      <c r="O501">
        <v>205</v>
      </c>
      <c r="P501" t="str">
        <f t="shared" si="43"/>
        <v>Normal</v>
      </c>
      <c r="Q501">
        <v>139.5</v>
      </c>
      <c r="R501">
        <v>87</v>
      </c>
      <c r="S501">
        <v>20.7</v>
      </c>
      <c r="T501" t="str">
        <f t="shared" si="44"/>
        <v>Normal</v>
      </c>
      <c r="U501">
        <v>67</v>
      </c>
      <c r="V501">
        <v>85</v>
      </c>
      <c r="W501" t="str">
        <f t="shared" si="47"/>
        <v>Normal</v>
      </c>
      <c r="X501">
        <v>0</v>
      </c>
    </row>
    <row r="502" spans="1:24" ht="14.5" thickBot="1" x14ac:dyDescent="0.35">
      <c r="A502">
        <v>0</v>
      </c>
      <c r="B502" t="str">
        <f t="shared" si="45"/>
        <v>Female</v>
      </c>
      <c r="C502" s="8">
        <v>39</v>
      </c>
      <c r="D502" t="str">
        <f t="shared" si="46"/>
        <v>Young</v>
      </c>
      <c r="E502">
        <v>2</v>
      </c>
      <c r="F502" t="str">
        <f>HLOOKUP(E502, LookUP_Table!$A$6:$D$7, 2, FALSE)</f>
        <v>Secondary</v>
      </c>
      <c r="G502" t="str">
        <f>IFERROR(VLOOKUP(E502, LookUP_Table!$A$1:$B$4, 2, FALSE), "")</f>
        <v>Secondary</v>
      </c>
      <c r="H502">
        <v>0</v>
      </c>
      <c r="I502">
        <v>0</v>
      </c>
      <c r="J502" t="str">
        <f t="shared" si="42"/>
        <v>Non-Smoker</v>
      </c>
      <c r="K502">
        <v>0</v>
      </c>
      <c r="L502">
        <v>0</v>
      </c>
      <c r="M502">
        <v>0</v>
      </c>
      <c r="N502">
        <v>0</v>
      </c>
      <c r="O502">
        <v>253</v>
      </c>
      <c r="P502" t="str">
        <f t="shared" si="43"/>
        <v>High</v>
      </c>
      <c r="Q502">
        <v>127</v>
      </c>
      <c r="R502">
        <v>68</v>
      </c>
      <c r="S502">
        <v>23.29</v>
      </c>
      <c r="T502" t="str">
        <f t="shared" si="44"/>
        <v>Normal</v>
      </c>
      <c r="U502">
        <v>85</v>
      </c>
      <c r="V502">
        <v>75</v>
      </c>
      <c r="W502" t="str">
        <f t="shared" si="47"/>
        <v>Normal</v>
      </c>
      <c r="X502">
        <v>0</v>
      </c>
    </row>
    <row r="503" spans="1:24" ht="14.5" thickBot="1" x14ac:dyDescent="0.35">
      <c r="A503">
        <v>0</v>
      </c>
      <c r="B503" t="str">
        <f t="shared" si="45"/>
        <v>Female</v>
      </c>
      <c r="C503" s="8">
        <v>39</v>
      </c>
      <c r="D503" t="str">
        <f t="shared" si="46"/>
        <v>Young</v>
      </c>
      <c r="E503">
        <v>1</v>
      </c>
      <c r="F503" t="str">
        <f>HLOOKUP(E503, LookUP_Table!$A$6:$D$7, 2, FALSE)</f>
        <v>Primary</v>
      </c>
      <c r="G503" t="str">
        <f>IFERROR(VLOOKUP(E503, LookUP_Table!$A$1:$B$4, 2, FALSE), "")</f>
        <v>Primary</v>
      </c>
      <c r="H503">
        <v>0</v>
      </c>
      <c r="I503">
        <v>0</v>
      </c>
      <c r="J503" t="str">
        <f t="shared" si="42"/>
        <v>Non-Smoker</v>
      </c>
      <c r="K503">
        <v>0</v>
      </c>
      <c r="L503">
        <v>0</v>
      </c>
      <c r="M503">
        <v>0</v>
      </c>
      <c r="N503">
        <v>0</v>
      </c>
      <c r="O503">
        <v>185</v>
      </c>
      <c r="P503" t="str">
        <f t="shared" si="43"/>
        <v>Normal</v>
      </c>
      <c r="Q503">
        <v>109</v>
      </c>
      <c r="R503">
        <v>78</v>
      </c>
      <c r="S503">
        <v>29.68</v>
      </c>
      <c r="T503" t="str">
        <f t="shared" si="44"/>
        <v>Overweight</v>
      </c>
      <c r="U503">
        <v>63</v>
      </c>
      <c r="V503">
        <v>93</v>
      </c>
      <c r="W503" t="str">
        <f t="shared" si="47"/>
        <v>Normal</v>
      </c>
      <c r="X503">
        <v>0</v>
      </c>
    </row>
    <row r="504" spans="1:24" ht="14.5" thickBot="1" x14ac:dyDescent="0.35">
      <c r="A504">
        <v>1</v>
      </c>
      <c r="B504" t="str">
        <f t="shared" si="45"/>
        <v>Male</v>
      </c>
      <c r="C504" s="8">
        <v>39</v>
      </c>
      <c r="D504" t="str">
        <f t="shared" si="46"/>
        <v>Young</v>
      </c>
      <c r="E504">
        <v>2</v>
      </c>
      <c r="F504" t="str">
        <f>HLOOKUP(E504, LookUP_Table!$A$6:$D$7, 2, FALSE)</f>
        <v>Secondary</v>
      </c>
      <c r="G504" t="str">
        <f>IFERROR(VLOOKUP(E504, LookUP_Table!$A$1:$B$4, 2, FALSE), "")</f>
        <v>Secondary</v>
      </c>
      <c r="H504">
        <v>1</v>
      </c>
      <c r="I504">
        <v>20</v>
      </c>
      <c r="J504" t="str">
        <f t="shared" si="42"/>
        <v>Smoker</v>
      </c>
      <c r="K504">
        <v>0</v>
      </c>
      <c r="L504">
        <v>0</v>
      </c>
      <c r="M504">
        <v>0</v>
      </c>
      <c r="N504">
        <v>0</v>
      </c>
      <c r="O504">
        <v>285</v>
      </c>
      <c r="P504" t="str">
        <f t="shared" si="43"/>
        <v>High</v>
      </c>
      <c r="Q504">
        <v>120</v>
      </c>
      <c r="R504">
        <v>77.5</v>
      </c>
      <c r="S504">
        <v>28.33</v>
      </c>
      <c r="T504" t="str">
        <f t="shared" si="44"/>
        <v>Overweight</v>
      </c>
      <c r="U504">
        <v>95</v>
      </c>
      <c r="V504">
        <v>79</v>
      </c>
      <c r="W504" t="str">
        <f t="shared" si="47"/>
        <v>Normal</v>
      </c>
      <c r="X504">
        <v>0</v>
      </c>
    </row>
    <row r="505" spans="1:24" ht="14.5" thickBot="1" x14ac:dyDescent="0.35">
      <c r="A505">
        <v>0</v>
      </c>
      <c r="B505" t="str">
        <f t="shared" si="45"/>
        <v>Female</v>
      </c>
      <c r="C505" s="8">
        <v>39</v>
      </c>
      <c r="D505" t="str">
        <f t="shared" si="46"/>
        <v>Young</v>
      </c>
      <c r="E505">
        <v>1</v>
      </c>
      <c r="F505" t="str">
        <f>HLOOKUP(E505, LookUP_Table!$A$6:$D$7, 2, FALSE)</f>
        <v>Primary</v>
      </c>
      <c r="G505" t="str">
        <f>IFERROR(VLOOKUP(E505, LookUP_Table!$A$1:$B$4, 2, FALSE), "")</f>
        <v>Primary</v>
      </c>
      <c r="H505">
        <v>0</v>
      </c>
      <c r="I505">
        <v>0</v>
      </c>
      <c r="J505" t="str">
        <f t="shared" si="42"/>
        <v>Non-Smoker</v>
      </c>
      <c r="K505">
        <v>0</v>
      </c>
      <c r="L505">
        <v>0</v>
      </c>
      <c r="M505">
        <v>0</v>
      </c>
      <c r="N505">
        <v>0</v>
      </c>
      <c r="O505">
        <v>153</v>
      </c>
      <c r="P505" t="str">
        <f t="shared" si="43"/>
        <v>Normal</v>
      </c>
      <c r="Q505">
        <v>107</v>
      </c>
      <c r="R505">
        <v>82</v>
      </c>
      <c r="S505">
        <v>20.99</v>
      </c>
      <c r="T505" t="str">
        <f t="shared" si="44"/>
        <v>Normal</v>
      </c>
      <c r="U505">
        <v>75</v>
      </c>
      <c r="V505">
        <v>82</v>
      </c>
      <c r="W505" t="str">
        <f t="shared" si="47"/>
        <v>Normal</v>
      </c>
      <c r="X505">
        <v>0</v>
      </c>
    </row>
    <row r="506" spans="1:24" ht="14.5" thickBot="1" x14ac:dyDescent="0.35">
      <c r="A506">
        <v>0</v>
      </c>
      <c r="B506" t="str">
        <f t="shared" si="45"/>
        <v>Female</v>
      </c>
      <c r="C506" s="8">
        <v>39</v>
      </c>
      <c r="D506" t="str">
        <f t="shared" si="46"/>
        <v>Young</v>
      </c>
      <c r="E506">
        <v>2</v>
      </c>
      <c r="F506" t="str">
        <f>HLOOKUP(E506, LookUP_Table!$A$6:$D$7, 2, FALSE)</f>
        <v>Secondary</v>
      </c>
      <c r="G506" t="str">
        <f>IFERROR(VLOOKUP(E506, LookUP_Table!$A$1:$B$4, 2, FALSE), "")</f>
        <v>Secondary</v>
      </c>
      <c r="H506">
        <v>0</v>
      </c>
      <c r="I506">
        <v>0</v>
      </c>
      <c r="J506" t="str">
        <f t="shared" si="42"/>
        <v>Non-Smoker</v>
      </c>
      <c r="K506">
        <v>0</v>
      </c>
      <c r="L506">
        <v>0</v>
      </c>
      <c r="M506">
        <v>0</v>
      </c>
      <c r="N506">
        <v>0</v>
      </c>
      <c r="O506">
        <v>252</v>
      </c>
      <c r="P506" t="str">
        <f t="shared" si="43"/>
        <v>High</v>
      </c>
      <c r="Q506">
        <v>125</v>
      </c>
      <c r="R506">
        <v>86</v>
      </c>
      <c r="S506">
        <v>20.74</v>
      </c>
      <c r="T506" t="str">
        <f t="shared" si="44"/>
        <v>Normal</v>
      </c>
      <c r="U506">
        <v>75</v>
      </c>
      <c r="V506">
        <v>93</v>
      </c>
      <c r="W506" t="str">
        <f t="shared" si="47"/>
        <v>Normal</v>
      </c>
      <c r="X506">
        <v>0</v>
      </c>
    </row>
    <row r="507" spans="1:24" ht="14.5" thickBot="1" x14ac:dyDescent="0.35">
      <c r="A507">
        <v>1</v>
      </c>
      <c r="B507" t="str">
        <f t="shared" si="45"/>
        <v>Male</v>
      </c>
      <c r="C507" s="8">
        <v>39</v>
      </c>
      <c r="D507" t="str">
        <f t="shared" si="46"/>
        <v>Young</v>
      </c>
      <c r="E507">
        <v>1</v>
      </c>
      <c r="F507" t="str">
        <f>HLOOKUP(E507, LookUP_Table!$A$6:$D$7, 2, FALSE)</f>
        <v>Primary</v>
      </c>
      <c r="G507" t="str">
        <f>IFERROR(VLOOKUP(E507, LookUP_Table!$A$1:$B$4, 2, FALSE), "")</f>
        <v>Primary</v>
      </c>
      <c r="H507">
        <v>1</v>
      </c>
      <c r="I507">
        <v>20</v>
      </c>
      <c r="J507" t="str">
        <f t="shared" si="42"/>
        <v>Smoker</v>
      </c>
      <c r="K507">
        <v>0</v>
      </c>
      <c r="L507">
        <v>0</v>
      </c>
      <c r="M507">
        <v>0</v>
      </c>
      <c r="N507">
        <v>0</v>
      </c>
      <c r="O507">
        <v>202</v>
      </c>
      <c r="P507" t="str">
        <f t="shared" si="43"/>
        <v>Normal</v>
      </c>
      <c r="Q507">
        <v>108</v>
      </c>
      <c r="R507">
        <v>74</v>
      </c>
      <c r="S507">
        <v>25.51</v>
      </c>
      <c r="T507" t="str">
        <f t="shared" si="44"/>
        <v>Overweight</v>
      </c>
      <c r="U507">
        <v>64</v>
      </c>
      <c r="V507">
        <v>104</v>
      </c>
      <c r="W507" t="str">
        <f t="shared" si="47"/>
        <v>Prediabetes</v>
      </c>
      <c r="X507">
        <v>0</v>
      </c>
    </row>
    <row r="508" spans="1:24" ht="14.5" thickBot="1" x14ac:dyDescent="0.35">
      <c r="A508">
        <v>1</v>
      </c>
      <c r="B508" t="str">
        <f t="shared" si="45"/>
        <v>Male</v>
      </c>
      <c r="C508" s="8">
        <v>39</v>
      </c>
      <c r="D508" t="str">
        <f t="shared" si="46"/>
        <v>Young</v>
      </c>
      <c r="E508">
        <v>1</v>
      </c>
      <c r="F508" t="str">
        <f>HLOOKUP(E508, LookUP_Table!$A$6:$D$7, 2, FALSE)</f>
        <v>Primary</v>
      </c>
      <c r="G508" t="str">
        <f>IFERROR(VLOOKUP(E508, LookUP_Table!$A$1:$B$4, 2, FALSE), "")</f>
        <v>Primary</v>
      </c>
      <c r="H508">
        <v>0</v>
      </c>
      <c r="I508">
        <v>0</v>
      </c>
      <c r="J508" t="str">
        <f t="shared" si="42"/>
        <v>Non-Smoker</v>
      </c>
      <c r="K508">
        <v>0</v>
      </c>
      <c r="L508">
        <v>0</v>
      </c>
      <c r="M508">
        <v>0</v>
      </c>
      <c r="N508">
        <v>0</v>
      </c>
      <c r="O508">
        <v>188</v>
      </c>
      <c r="P508" t="str">
        <f t="shared" si="43"/>
        <v>Normal</v>
      </c>
      <c r="Q508">
        <v>105</v>
      </c>
      <c r="R508">
        <v>65</v>
      </c>
      <c r="S508">
        <v>22.85</v>
      </c>
      <c r="T508" t="str">
        <f t="shared" si="44"/>
        <v>Normal</v>
      </c>
      <c r="U508">
        <v>63</v>
      </c>
      <c r="V508">
        <v>76</v>
      </c>
      <c r="W508" t="str">
        <f t="shared" si="47"/>
        <v>Normal</v>
      </c>
      <c r="X508">
        <v>0</v>
      </c>
    </row>
    <row r="509" spans="1:24" ht="14.5" thickBot="1" x14ac:dyDescent="0.35">
      <c r="A509">
        <v>0</v>
      </c>
      <c r="B509" t="str">
        <f t="shared" si="45"/>
        <v>Female</v>
      </c>
      <c r="C509" s="8">
        <v>39</v>
      </c>
      <c r="D509" t="str">
        <f t="shared" si="46"/>
        <v>Young</v>
      </c>
      <c r="E509">
        <v>4</v>
      </c>
      <c r="F509" t="str">
        <f>HLOOKUP(E509, LookUP_Table!$A$6:$D$7, 2, FALSE)</f>
        <v>Post Graduate</v>
      </c>
      <c r="G509" t="str">
        <f>IFERROR(VLOOKUP(E509, LookUP_Table!$A$1:$B$4, 2, FALSE), "")</f>
        <v>Post Graduate</v>
      </c>
      <c r="H509">
        <v>0</v>
      </c>
      <c r="I509">
        <v>0</v>
      </c>
      <c r="J509" t="str">
        <f t="shared" si="42"/>
        <v>Non-Smoker</v>
      </c>
      <c r="K509">
        <v>0</v>
      </c>
      <c r="L509">
        <v>0</v>
      </c>
      <c r="M509">
        <v>0</v>
      </c>
      <c r="N509">
        <v>0</v>
      </c>
      <c r="O509">
        <v>216</v>
      </c>
      <c r="P509" t="str">
        <f t="shared" si="43"/>
        <v>Normal</v>
      </c>
      <c r="Q509">
        <v>126</v>
      </c>
      <c r="R509">
        <v>86</v>
      </c>
      <c r="S509">
        <v>22.72</v>
      </c>
      <c r="T509" t="str">
        <f t="shared" si="44"/>
        <v>Normal</v>
      </c>
      <c r="U509">
        <v>90</v>
      </c>
      <c r="V509">
        <v>70</v>
      </c>
      <c r="W509" t="str">
        <f t="shared" si="47"/>
        <v>Normal</v>
      </c>
      <c r="X509">
        <v>0</v>
      </c>
    </row>
    <row r="510" spans="1:24" ht="14.5" thickBot="1" x14ac:dyDescent="0.35">
      <c r="A510">
        <v>1</v>
      </c>
      <c r="B510" t="str">
        <f t="shared" si="45"/>
        <v>Male</v>
      </c>
      <c r="C510" s="8">
        <v>39</v>
      </c>
      <c r="D510" t="str">
        <f t="shared" si="46"/>
        <v>Young</v>
      </c>
      <c r="E510">
        <v>2</v>
      </c>
      <c r="F510" t="str">
        <f>HLOOKUP(E510, LookUP_Table!$A$6:$D$7, 2, FALSE)</f>
        <v>Secondary</v>
      </c>
      <c r="G510" t="str">
        <f>IFERROR(VLOOKUP(E510, LookUP_Table!$A$1:$B$4, 2, FALSE), "")</f>
        <v>Secondary</v>
      </c>
      <c r="H510">
        <v>1</v>
      </c>
      <c r="I510">
        <v>9</v>
      </c>
      <c r="J510" t="str">
        <f t="shared" si="42"/>
        <v>Smoker</v>
      </c>
      <c r="K510">
        <v>0</v>
      </c>
      <c r="L510">
        <v>0</v>
      </c>
      <c r="M510">
        <v>0</v>
      </c>
      <c r="N510">
        <v>0</v>
      </c>
      <c r="O510">
        <v>273</v>
      </c>
      <c r="P510" t="str">
        <f t="shared" si="43"/>
        <v>High</v>
      </c>
      <c r="Q510">
        <v>148</v>
      </c>
      <c r="R510">
        <v>103</v>
      </c>
      <c r="S510">
        <v>28.62</v>
      </c>
      <c r="T510" t="str">
        <f t="shared" si="44"/>
        <v>Overweight</v>
      </c>
      <c r="U510">
        <v>75</v>
      </c>
      <c r="V510">
        <v>74</v>
      </c>
      <c r="W510" t="str">
        <f t="shared" si="47"/>
        <v>Normal</v>
      </c>
      <c r="X510">
        <v>0</v>
      </c>
    </row>
    <row r="511" spans="1:24" ht="14.5" thickBot="1" x14ac:dyDescent="0.35">
      <c r="A511">
        <v>1</v>
      </c>
      <c r="B511" t="str">
        <f t="shared" si="45"/>
        <v>Male</v>
      </c>
      <c r="C511" s="8">
        <v>39</v>
      </c>
      <c r="D511" t="str">
        <f t="shared" si="46"/>
        <v>Young</v>
      </c>
      <c r="E511">
        <v>4</v>
      </c>
      <c r="F511" t="str">
        <f>HLOOKUP(E511, LookUP_Table!$A$6:$D$7, 2, FALSE)</f>
        <v>Post Graduate</v>
      </c>
      <c r="G511" t="str">
        <f>IFERROR(VLOOKUP(E511, LookUP_Table!$A$1:$B$4, 2, FALSE), "")</f>
        <v>Post Graduate</v>
      </c>
      <c r="H511">
        <v>1</v>
      </c>
      <c r="I511">
        <v>15</v>
      </c>
      <c r="J511" t="str">
        <f t="shared" si="42"/>
        <v>Smoker</v>
      </c>
      <c r="K511">
        <v>0</v>
      </c>
      <c r="L511">
        <v>0</v>
      </c>
      <c r="M511">
        <v>0</v>
      </c>
      <c r="N511">
        <v>0</v>
      </c>
      <c r="O511">
        <v>208</v>
      </c>
      <c r="P511" t="str">
        <f t="shared" si="43"/>
        <v>Normal</v>
      </c>
      <c r="Q511">
        <v>135</v>
      </c>
      <c r="R511">
        <v>80</v>
      </c>
      <c r="S511">
        <v>20.71</v>
      </c>
      <c r="T511" t="str">
        <f t="shared" si="44"/>
        <v>Normal</v>
      </c>
      <c r="U511">
        <v>70</v>
      </c>
      <c r="V511">
        <v>81.96365524402907</v>
      </c>
      <c r="W511" t="str">
        <f t="shared" si="47"/>
        <v>Normal</v>
      </c>
      <c r="X511">
        <v>0</v>
      </c>
    </row>
    <row r="512" spans="1:24" ht="14.5" thickBot="1" x14ac:dyDescent="0.35">
      <c r="A512">
        <v>1</v>
      </c>
      <c r="B512" t="str">
        <f t="shared" si="45"/>
        <v>Male</v>
      </c>
      <c r="C512" s="8">
        <v>39</v>
      </c>
      <c r="D512" t="str">
        <f t="shared" si="46"/>
        <v>Young</v>
      </c>
      <c r="E512">
        <v>2</v>
      </c>
      <c r="F512" t="str">
        <f>HLOOKUP(E512, LookUP_Table!$A$6:$D$7, 2, FALSE)</f>
        <v>Secondary</v>
      </c>
      <c r="G512" t="str">
        <f>IFERROR(VLOOKUP(E512, LookUP_Table!$A$1:$B$4, 2, FALSE), "")</f>
        <v>Secondary</v>
      </c>
      <c r="H512">
        <v>0</v>
      </c>
      <c r="I512">
        <v>0</v>
      </c>
      <c r="J512" t="str">
        <f t="shared" si="42"/>
        <v>Non-Smoker</v>
      </c>
      <c r="K512">
        <v>0</v>
      </c>
      <c r="L512">
        <v>0</v>
      </c>
      <c r="M512">
        <v>0</v>
      </c>
      <c r="N512">
        <v>0</v>
      </c>
      <c r="O512">
        <v>216</v>
      </c>
      <c r="P512" t="str">
        <f t="shared" si="43"/>
        <v>Normal</v>
      </c>
      <c r="Q512">
        <v>122.5</v>
      </c>
      <c r="R512">
        <v>77</v>
      </c>
      <c r="S512">
        <v>24.06</v>
      </c>
      <c r="T512" t="str">
        <f t="shared" si="44"/>
        <v>Normal</v>
      </c>
      <c r="U512">
        <v>60</v>
      </c>
      <c r="V512">
        <v>67</v>
      </c>
      <c r="W512" t="str">
        <f t="shared" si="47"/>
        <v>Normal</v>
      </c>
      <c r="X512">
        <v>0</v>
      </c>
    </row>
    <row r="513" spans="1:24" ht="14.5" thickBot="1" x14ac:dyDescent="0.35">
      <c r="A513">
        <v>0</v>
      </c>
      <c r="B513" t="str">
        <f t="shared" si="45"/>
        <v>Female</v>
      </c>
      <c r="C513" s="8">
        <v>39</v>
      </c>
      <c r="D513" t="str">
        <f t="shared" si="46"/>
        <v>Young</v>
      </c>
      <c r="E513">
        <v>2</v>
      </c>
      <c r="F513" t="str">
        <f>HLOOKUP(E513, LookUP_Table!$A$6:$D$7, 2, FALSE)</f>
        <v>Secondary</v>
      </c>
      <c r="G513" t="str">
        <f>IFERROR(VLOOKUP(E513, LookUP_Table!$A$1:$B$4, 2, FALSE), "")</f>
        <v>Secondary</v>
      </c>
      <c r="H513">
        <v>0</v>
      </c>
      <c r="I513">
        <v>0</v>
      </c>
      <c r="J513" t="str">
        <f t="shared" si="42"/>
        <v>Non-Smoker</v>
      </c>
      <c r="K513">
        <v>0</v>
      </c>
      <c r="L513">
        <v>0</v>
      </c>
      <c r="M513">
        <v>0</v>
      </c>
      <c r="N513">
        <v>0</v>
      </c>
      <c r="O513">
        <v>337</v>
      </c>
      <c r="P513" t="str">
        <f t="shared" si="43"/>
        <v>High</v>
      </c>
      <c r="Q513">
        <v>120</v>
      </c>
      <c r="R513">
        <v>79.5</v>
      </c>
      <c r="S513">
        <v>23.07</v>
      </c>
      <c r="T513" t="str">
        <f t="shared" si="44"/>
        <v>Normal</v>
      </c>
      <c r="U513">
        <v>68</v>
      </c>
      <c r="V513">
        <v>77</v>
      </c>
      <c r="W513" t="str">
        <f t="shared" si="47"/>
        <v>Normal</v>
      </c>
      <c r="X513">
        <v>0</v>
      </c>
    </row>
    <row r="514" spans="1:24" ht="14.5" thickBot="1" x14ac:dyDescent="0.35">
      <c r="A514">
        <v>1</v>
      </c>
      <c r="B514" t="str">
        <f t="shared" si="45"/>
        <v>Male</v>
      </c>
      <c r="C514" s="8">
        <v>39</v>
      </c>
      <c r="D514" t="str">
        <f t="shared" si="46"/>
        <v>Young</v>
      </c>
      <c r="E514">
        <v>2</v>
      </c>
      <c r="F514" t="str">
        <f>HLOOKUP(E514, LookUP_Table!$A$6:$D$7, 2, FALSE)</f>
        <v>Secondary</v>
      </c>
      <c r="G514" t="str">
        <f>IFERROR(VLOOKUP(E514, LookUP_Table!$A$1:$B$4, 2, FALSE), "")</f>
        <v>Secondary</v>
      </c>
      <c r="H514">
        <v>1</v>
      </c>
      <c r="I514">
        <v>9</v>
      </c>
      <c r="J514" t="str">
        <f t="shared" ref="J514:J577" si="48">IF(I514&gt;0,"Smoker","Non-Smoker")</f>
        <v>Smoker</v>
      </c>
      <c r="K514">
        <v>0</v>
      </c>
      <c r="L514">
        <v>0</v>
      </c>
      <c r="M514">
        <v>0</v>
      </c>
      <c r="N514">
        <v>0</v>
      </c>
      <c r="O514">
        <v>285</v>
      </c>
      <c r="P514" t="str">
        <f t="shared" ref="P514:P577" si="49">IF(O514&gt;240,"High","Normal")</f>
        <v>High</v>
      </c>
      <c r="Q514">
        <v>121</v>
      </c>
      <c r="R514">
        <v>82</v>
      </c>
      <c r="S514">
        <v>27.62</v>
      </c>
      <c r="T514" t="str">
        <f t="shared" ref="T514:T577" si="50">IF(S514&lt;18.5,"Underweight",
IF(S514&lt;25,"Normal",
IF(S514&lt;30,"Overweight","Obese")))</f>
        <v>Overweight</v>
      </c>
      <c r="U514">
        <v>85</v>
      </c>
      <c r="V514">
        <v>65</v>
      </c>
      <c r="W514" t="str">
        <f t="shared" si="47"/>
        <v>Normal</v>
      </c>
      <c r="X514">
        <v>0</v>
      </c>
    </row>
    <row r="515" spans="1:24" ht="14.5" thickBot="1" x14ac:dyDescent="0.35">
      <c r="A515">
        <v>1</v>
      </c>
      <c r="B515" t="str">
        <f t="shared" ref="B515:B578" si="51">IF(A515=0,"Female","Male")</f>
        <v>Male</v>
      </c>
      <c r="C515" s="8">
        <v>39</v>
      </c>
      <c r="D515" t="str">
        <f t="shared" ref="D515:D578" si="52">IF(C515&lt;40,"Young",
IF(C515&lt;55,"Middle Age","Senior"))</f>
        <v>Young</v>
      </c>
      <c r="E515">
        <v>3</v>
      </c>
      <c r="F515" t="str">
        <f>HLOOKUP(E515, LookUP_Table!$A$6:$D$7, 2, FALSE)</f>
        <v>Graduate</v>
      </c>
      <c r="G515" t="str">
        <f>IFERROR(VLOOKUP(E515, LookUP_Table!$A$1:$B$4, 2, FALSE), "")</f>
        <v>Graduate</v>
      </c>
      <c r="H515">
        <v>0</v>
      </c>
      <c r="I515">
        <v>0</v>
      </c>
      <c r="J515" t="str">
        <f t="shared" si="48"/>
        <v>Non-Smoker</v>
      </c>
      <c r="K515">
        <v>0</v>
      </c>
      <c r="L515">
        <v>0</v>
      </c>
      <c r="M515">
        <v>0</v>
      </c>
      <c r="N515">
        <v>0</v>
      </c>
      <c r="O515">
        <v>221</v>
      </c>
      <c r="P515" t="str">
        <f t="shared" si="49"/>
        <v>Normal</v>
      </c>
      <c r="Q515">
        <v>126</v>
      </c>
      <c r="R515">
        <v>80</v>
      </c>
      <c r="S515">
        <v>23.9</v>
      </c>
      <c r="T515" t="str">
        <f t="shared" si="50"/>
        <v>Normal</v>
      </c>
      <c r="U515">
        <v>64</v>
      </c>
      <c r="V515">
        <v>80</v>
      </c>
      <c r="W515" t="str">
        <f t="shared" ref="W515:W578" si="53">IF(V515 &lt; 100, "Normal", IF(V515 &lt;= 125, "Prediabetes", "Diabetes"))</f>
        <v>Normal</v>
      </c>
      <c r="X515">
        <v>0</v>
      </c>
    </row>
    <row r="516" spans="1:24" ht="14.5" thickBot="1" x14ac:dyDescent="0.35">
      <c r="A516">
        <v>0</v>
      </c>
      <c r="B516" t="str">
        <f t="shared" si="51"/>
        <v>Female</v>
      </c>
      <c r="C516" s="8">
        <v>39</v>
      </c>
      <c r="D516" t="str">
        <f t="shared" si="52"/>
        <v>Young</v>
      </c>
      <c r="E516">
        <v>1</v>
      </c>
      <c r="F516" t="str">
        <f>HLOOKUP(E516, LookUP_Table!$A$6:$D$7, 2, FALSE)</f>
        <v>Primary</v>
      </c>
      <c r="G516" t="str">
        <f>IFERROR(VLOOKUP(E516, LookUP_Table!$A$1:$B$4, 2, FALSE), "")</f>
        <v>Primary</v>
      </c>
      <c r="H516">
        <v>0</v>
      </c>
      <c r="I516">
        <v>0</v>
      </c>
      <c r="J516" t="str">
        <f t="shared" si="48"/>
        <v>Non-Smoker</v>
      </c>
      <c r="K516">
        <v>0</v>
      </c>
      <c r="L516">
        <v>0</v>
      </c>
      <c r="M516">
        <v>0</v>
      </c>
      <c r="N516">
        <v>0</v>
      </c>
      <c r="O516">
        <v>243</v>
      </c>
      <c r="P516" t="str">
        <f t="shared" si="49"/>
        <v>High</v>
      </c>
      <c r="Q516">
        <v>116</v>
      </c>
      <c r="R516">
        <v>79</v>
      </c>
      <c r="S516">
        <v>22.44</v>
      </c>
      <c r="T516" t="str">
        <f t="shared" si="50"/>
        <v>Normal</v>
      </c>
      <c r="U516">
        <v>85</v>
      </c>
      <c r="V516">
        <v>82</v>
      </c>
      <c r="W516" t="str">
        <f t="shared" si="53"/>
        <v>Normal</v>
      </c>
      <c r="X516">
        <v>0</v>
      </c>
    </row>
    <row r="517" spans="1:24" ht="14.5" thickBot="1" x14ac:dyDescent="0.35">
      <c r="A517">
        <v>1</v>
      </c>
      <c r="B517" t="str">
        <f t="shared" si="51"/>
        <v>Male</v>
      </c>
      <c r="C517" s="8">
        <v>39</v>
      </c>
      <c r="D517" t="str">
        <f t="shared" si="52"/>
        <v>Young</v>
      </c>
      <c r="E517">
        <v>2</v>
      </c>
      <c r="F517" t="str">
        <f>HLOOKUP(E517, LookUP_Table!$A$6:$D$7, 2, FALSE)</f>
        <v>Secondary</v>
      </c>
      <c r="G517" t="str">
        <f>IFERROR(VLOOKUP(E517, LookUP_Table!$A$1:$B$4, 2, FALSE), "")</f>
        <v>Secondary</v>
      </c>
      <c r="H517">
        <v>1</v>
      </c>
      <c r="I517">
        <v>30</v>
      </c>
      <c r="J517" t="str">
        <f t="shared" si="48"/>
        <v>Smoker</v>
      </c>
      <c r="K517">
        <v>0</v>
      </c>
      <c r="L517">
        <v>0</v>
      </c>
      <c r="M517">
        <v>1</v>
      </c>
      <c r="N517">
        <v>0</v>
      </c>
      <c r="O517">
        <v>292</v>
      </c>
      <c r="P517" t="str">
        <f t="shared" si="49"/>
        <v>High</v>
      </c>
      <c r="Q517">
        <v>153</v>
      </c>
      <c r="R517">
        <v>100</v>
      </c>
      <c r="S517">
        <v>28.09</v>
      </c>
      <c r="T517" t="str">
        <f t="shared" si="50"/>
        <v>Overweight</v>
      </c>
      <c r="U517">
        <v>110</v>
      </c>
      <c r="V517">
        <v>69</v>
      </c>
      <c r="W517" t="str">
        <f t="shared" si="53"/>
        <v>Normal</v>
      </c>
      <c r="X517">
        <v>1</v>
      </c>
    </row>
    <row r="518" spans="1:24" ht="14.5" thickBot="1" x14ac:dyDescent="0.35">
      <c r="A518">
        <v>0</v>
      </c>
      <c r="B518" t="str">
        <f t="shared" si="51"/>
        <v>Female</v>
      </c>
      <c r="C518" s="8">
        <v>39</v>
      </c>
      <c r="D518" t="str">
        <f t="shared" si="52"/>
        <v>Young</v>
      </c>
      <c r="E518">
        <v>2</v>
      </c>
      <c r="F518" t="str">
        <f>HLOOKUP(E518, LookUP_Table!$A$6:$D$7, 2, FALSE)</f>
        <v>Secondary</v>
      </c>
      <c r="G518" t="str">
        <f>IFERROR(VLOOKUP(E518, LookUP_Table!$A$1:$B$4, 2, FALSE), "")</f>
        <v>Secondary</v>
      </c>
      <c r="H518">
        <v>1</v>
      </c>
      <c r="I518">
        <v>5</v>
      </c>
      <c r="J518" t="str">
        <f t="shared" si="48"/>
        <v>Smoker</v>
      </c>
      <c r="K518">
        <v>0</v>
      </c>
      <c r="L518">
        <v>0</v>
      </c>
      <c r="M518">
        <v>0</v>
      </c>
      <c r="N518">
        <v>0</v>
      </c>
      <c r="O518">
        <v>188</v>
      </c>
      <c r="P518" t="str">
        <f t="shared" si="49"/>
        <v>Normal</v>
      </c>
      <c r="Q518">
        <v>113</v>
      </c>
      <c r="R518">
        <v>81</v>
      </c>
      <c r="S518">
        <v>26.44</v>
      </c>
      <c r="T518" t="str">
        <f t="shared" si="50"/>
        <v>Overweight</v>
      </c>
      <c r="U518">
        <v>85</v>
      </c>
      <c r="V518">
        <v>87</v>
      </c>
      <c r="W518" t="str">
        <f t="shared" si="53"/>
        <v>Normal</v>
      </c>
      <c r="X518">
        <v>0</v>
      </c>
    </row>
    <row r="519" spans="1:24" ht="14.5" thickBot="1" x14ac:dyDescent="0.35">
      <c r="A519">
        <v>0</v>
      </c>
      <c r="B519" t="str">
        <f t="shared" si="51"/>
        <v>Female</v>
      </c>
      <c r="C519" s="8">
        <v>39</v>
      </c>
      <c r="D519" t="str">
        <f t="shared" si="52"/>
        <v>Young</v>
      </c>
      <c r="E519">
        <v>1</v>
      </c>
      <c r="F519" t="str">
        <f>HLOOKUP(E519, LookUP_Table!$A$6:$D$7, 2, FALSE)</f>
        <v>Primary</v>
      </c>
      <c r="G519" t="str">
        <f>IFERROR(VLOOKUP(E519, LookUP_Table!$A$1:$B$4, 2, FALSE), "")</f>
        <v>Primary</v>
      </c>
      <c r="H519">
        <v>0</v>
      </c>
      <c r="I519">
        <v>0</v>
      </c>
      <c r="J519" t="str">
        <f t="shared" si="48"/>
        <v>Non-Smoker</v>
      </c>
      <c r="K519">
        <v>0</v>
      </c>
      <c r="L519">
        <v>0</v>
      </c>
      <c r="M519">
        <v>1</v>
      </c>
      <c r="N519">
        <v>0</v>
      </c>
      <c r="O519">
        <v>219</v>
      </c>
      <c r="P519" t="str">
        <f t="shared" si="49"/>
        <v>Normal</v>
      </c>
      <c r="Q519">
        <v>161</v>
      </c>
      <c r="R519">
        <v>103</v>
      </c>
      <c r="S519">
        <v>29.06</v>
      </c>
      <c r="T519" t="str">
        <f t="shared" si="50"/>
        <v>Overweight</v>
      </c>
      <c r="U519">
        <v>94</v>
      </c>
      <c r="V519">
        <v>106</v>
      </c>
      <c r="W519" t="str">
        <f t="shared" si="53"/>
        <v>Prediabetes</v>
      </c>
      <c r="X519">
        <v>0</v>
      </c>
    </row>
    <row r="520" spans="1:24" ht="14.5" thickBot="1" x14ac:dyDescent="0.35">
      <c r="A520">
        <v>1</v>
      </c>
      <c r="B520" t="str">
        <f t="shared" si="51"/>
        <v>Male</v>
      </c>
      <c r="C520" s="8">
        <v>39</v>
      </c>
      <c r="D520" t="str">
        <f t="shared" si="52"/>
        <v>Young</v>
      </c>
      <c r="E520">
        <v>2</v>
      </c>
      <c r="F520" t="str">
        <f>HLOOKUP(E520, LookUP_Table!$A$6:$D$7, 2, FALSE)</f>
        <v>Secondary</v>
      </c>
      <c r="G520" t="str">
        <f>IFERROR(VLOOKUP(E520, LookUP_Table!$A$1:$B$4, 2, FALSE), "")</f>
        <v>Secondary</v>
      </c>
      <c r="H520">
        <v>1</v>
      </c>
      <c r="I520">
        <v>20</v>
      </c>
      <c r="J520" t="str">
        <f t="shared" si="48"/>
        <v>Smoker</v>
      </c>
      <c r="K520">
        <v>0</v>
      </c>
      <c r="L520">
        <v>0</v>
      </c>
      <c r="M520">
        <v>0</v>
      </c>
      <c r="N520">
        <v>0</v>
      </c>
      <c r="O520">
        <v>230</v>
      </c>
      <c r="P520" t="str">
        <f t="shared" si="49"/>
        <v>Normal</v>
      </c>
      <c r="Q520">
        <v>134</v>
      </c>
      <c r="R520">
        <v>92</v>
      </c>
      <c r="S520">
        <v>28.44</v>
      </c>
      <c r="T520" t="str">
        <f t="shared" si="50"/>
        <v>Overweight</v>
      </c>
      <c r="U520">
        <v>75</v>
      </c>
      <c r="V520">
        <v>56</v>
      </c>
      <c r="W520" t="str">
        <f t="shared" si="53"/>
        <v>Normal</v>
      </c>
      <c r="X520">
        <v>0</v>
      </c>
    </row>
    <row r="521" spans="1:24" ht="14.5" thickBot="1" x14ac:dyDescent="0.35">
      <c r="A521">
        <v>0</v>
      </c>
      <c r="B521" t="str">
        <f t="shared" si="51"/>
        <v>Female</v>
      </c>
      <c r="C521" s="8">
        <v>39</v>
      </c>
      <c r="D521" t="str">
        <f t="shared" si="52"/>
        <v>Young</v>
      </c>
      <c r="E521">
        <v>1</v>
      </c>
      <c r="F521" t="str">
        <f>HLOOKUP(E521, LookUP_Table!$A$6:$D$7, 2, FALSE)</f>
        <v>Primary</v>
      </c>
      <c r="G521" t="str">
        <f>IFERROR(VLOOKUP(E521, LookUP_Table!$A$1:$B$4, 2, FALSE), "")</f>
        <v>Primary</v>
      </c>
      <c r="H521">
        <v>0</v>
      </c>
      <c r="I521">
        <v>0</v>
      </c>
      <c r="J521" t="str">
        <f t="shared" si="48"/>
        <v>Non-Smoker</v>
      </c>
      <c r="K521">
        <v>0</v>
      </c>
      <c r="L521">
        <v>0</v>
      </c>
      <c r="M521">
        <v>0</v>
      </c>
      <c r="N521">
        <v>0</v>
      </c>
      <c r="O521">
        <v>275</v>
      </c>
      <c r="P521" t="str">
        <f t="shared" si="49"/>
        <v>High</v>
      </c>
      <c r="Q521">
        <v>131</v>
      </c>
      <c r="R521">
        <v>80</v>
      </c>
      <c r="S521">
        <v>25.79</v>
      </c>
      <c r="T521" t="str">
        <f t="shared" si="50"/>
        <v>Overweight</v>
      </c>
      <c r="U521">
        <v>94</v>
      </c>
      <c r="V521">
        <v>84</v>
      </c>
      <c r="W521" t="str">
        <f t="shared" si="53"/>
        <v>Normal</v>
      </c>
      <c r="X521">
        <v>0</v>
      </c>
    </row>
    <row r="522" spans="1:24" ht="14.5" thickBot="1" x14ac:dyDescent="0.35">
      <c r="A522">
        <v>0</v>
      </c>
      <c r="B522" t="str">
        <f t="shared" si="51"/>
        <v>Female</v>
      </c>
      <c r="C522" s="8">
        <v>39</v>
      </c>
      <c r="D522" t="str">
        <f t="shared" si="52"/>
        <v>Young</v>
      </c>
      <c r="E522">
        <v>2</v>
      </c>
      <c r="F522" t="str">
        <f>HLOOKUP(E522, LookUP_Table!$A$6:$D$7, 2, FALSE)</f>
        <v>Secondary</v>
      </c>
      <c r="G522" t="str">
        <f>IFERROR(VLOOKUP(E522, LookUP_Table!$A$1:$B$4, 2, FALSE), "")</f>
        <v>Secondary</v>
      </c>
      <c r="H522">
        <v>1</v>
      </c>
      <c r="I522">
        <v>10</v>
      </c>
      <c r="J522" t="str">
        <f t="shared" si="48"/>
        <v>Smoker</v>
      </c>
      <c r="K522">
        <v>0</v>
      </c>
      <c r="L522">
        <v>0</v>
      </c>
      <c r="M522">
        <v>0</v>
      </c>
      <c r="N522">
        <v>0</v>
      </c>
      <c r="O522">
        <v>194</v>
      </c>
      <c r="P522" t="str">
        <f t="shared" si="49"/>
        <v>Normal</v>
      </c>
      <c r="Q522">
        <v>112.5</v>
      </c>
      <c r="R522">
        <v>77.5</v>
      </c>
      <c r="S522">
        <v>21.51</v>
      </c>
      <c r="T522" t="str">
        <f t="shared" si="50"/>
        <v>Normal</v>
      </c>
      <c r="U522">
        <v>67</v>
      </c>
      <c r="V522">
        <v>84</v>
      </c>
      <c r="W522" t="str">
        <f t="shared" si="53"/>
        <v>Normal</v>
      </c>
      <c r="X522">
        <v>0</v>
      </c>
    </row>
    <row r="523" spans="1:24" ht="14.5" thickBot="1" x14ac:dyDescent="0.35">
      <c r="A523">
        <v>1</v>
      </c>
      <c r="B523" t="str">
        <f t="shared" si="51"/>
        <v>Male</v>
      </c>
      <c r="C523" s="8">
        <v>39</v>
      </c>
      <c r="D523" t="str">
        <f t="shared" si="52"/>
        <v>Young</v>
      </c>
      <c r="E523">
        <v>2</v>
      </c>
      <c r="F523" t="str">
        <f>HLOOKUP(E523, LookUP_Table!$A$6:$D$7, 2, FALSE)</f>
        <v>Secondary</v>
      </c>
      <c r="G523" t="str">
        <f>IFERROR(VLOOKUP(E523, LookUP_Table!$A$1:$B$4, 2, FALSE), "")</f>
        <v>Secondary</v>
      </c>
      <c r="H523">
        <v>1</v>
      </c>
      <c r="I523">
        <v>1</v>
      </c>
      <c r="J523" t="str">
        <f t="shared" si="48"/>
        <v>Smoker</v>
      </c>
      <c r="K523">
        <v>0</v>
      </c>
      <c r="L523">
        <v>0</v>
      </c>
      <c r="M523">
        <v>1</v>
      </c>
      <c r="N523">
        <v>0</v>
      </c>
      <c r="O523">
        <v>250</v>
      </c>
      <c r="P523" t="str">
        <f t="shared" si="49"/>
        <v>High</v>
      </c>
      <c r="Q523">
        <v>148</v>
      </c>
      <c r="R523">
        <v>94</v>
      </c>
      <c r="S523">
        <v>30.08</v>
      </c>
      <c r="T523" t="str">
        <f t="shared" si="50"/>
        <v>Obese</v>
      </c>
      <c r="U523">
        <v>85</v>
      </c>
      <c r="V523">
        <v>81.96365524402907</v>
      </c>
      <c r="W523" t="str">
        <f t="shared" si="53"/>
        <v>Normal</v>
      </c>
      <c r="X523">
        <v>0</v>
      </c>
    </row>
    <row r="524" spans="1:24" ht="14.5" thickBot="1" x14ac:dyDescent="0.35">
      <c r="A524">
        <v>0</v>
      </c>
      <c r="B524" t="str">
        <f t="shared" si="51"/>
        <v>Female</v>
      </c>
      <c r="C524" s="8">
        <v>39</v>
      </c>
      <c r="D524" t="str">
        <f t="shared" si="52"/>
        <v>Young</v>
      </c>
      <c r="E524">
        <v>1</v>
      </c>
      <c r="F524" t="str">
        <f>HLOOKUP(E524, LookUP_Table!$A$6:$D$7, 2, FALSE)</f>
        <v>Primary</v>
      </c>
      <c r="G524" t="str">
        <f>IFERROR(VLOOKUP(E524, LookUP_Table!$A$1:$B$4, 2, FALSE), "")</f>
        <v>Primary</v>
      </c>
      <c r="H524">
        <v>0</v>
      </c>
      <c r="I524">
        <v>0</v>
      </c>
      <c r="J524" t="str">
        <f t="shared" si="48"/>
        <v>Non-Smoker</v>
      </c>
      <c r="K524">
        <v>0</v>
      </c>
      <c r="L524">
        <v>0</v>
      </c>
      <c r="M524">
        <v>0</v>
      </c>
      <c r="N524">
        <v>0</v>
      </c>
      <c r="O524">
        <v>186</v>
      </c>
      <c r="P524" t="str">
        <f t="shared" si="49"/>
        <v>Normal</v>
      </c>
      <c r="Q524">
        <v>124</v>
      </c>
      <c r="R524">
        <v>80</v>
      </c>
      <c r="S524">
        <v>29.7</v>
      </c>
      <c r="T524" t="str">
        <f t="shared" si="50"/>
        <v>Overweight</v>
      </c>
      <c r="U524">
        <v>75</v>
      </c>
      <c r="V524">
        <v>102</v>
      </c>
      <c r="W524" t="str">
        <f t="shared" si="53"/>
        <v>Prediabetes</v>
      </c>
      <c r="X524">
        <v>0</v>
      </c>
    </row>
    <row r="525" spans="1:24" ht="14.5" thickBot="1" x14ac:dyDescent="0.35">
      <c r="A525">
        <v>0</v>
      </c>
      <c r="B525" t="str">
        <f t="shared" si="51"/>
        <v>Female</v>
      </c>
      <c r="C525" s="8">
        <v>39</v>
      </c>
      <c r="D525" t="str">
        <f t="shared" si="52"/>
        <v>Young</v>
      </c>
      <c r="E525">
        <v>2</v>
      </c>
      <c r="F525" t="str">
        <f>HLOOKUP(E525, LookUP_Table!$A$6:$D$7, 2, FALSE)</f>
        <v>Secondary</v>
      </c>
      <c r="G525" t="str">
        <f>IFERROR(VLOOKUP(E525, LookUP_Table!$A$1:$B$4, 2, FALSE), "")</f>
        <v>Secondary</v>
      </c>
      <c r="H525">
        <v>0</v>
      </c>
      <c r="I525">
        <v>0</v>
      </c>
      <c r="J525" t="str">
        <f t="shared" si="48"/>
        <v>Non-Smoker</v>
      </c>
      <c r="K525">
        <v>0</v>
      </c>
      <c r="L525">
        <v>0</v>
      </c>
      <c r="M525">
        <v>1</v>
      </c>
      <c r="N525">
        <v>0</v>
      </c>
      <c r="O525">
        <v>200</v>
      </c>
      <c r="P525" t="str">
        <f t="shared" si="49"/>
        <v>Normal</v>
      </c>
      <c r="Q525">
        <v>141</v>
      </c>
      <c r="R525">
        <v>87</v>
      </c>
      <c r="S525">
        <v>24.04</v>
      </c>
      <c r="T525" t="str">
        <f t="shared" si="50"/>
        <v>Normal</v>
      </c>
      <c r="U525">
        <v>75</v>
      </c>
      <c r="V525">
        <v>70</v>
      </c>
      <c r="W525" t="str">
        <f t="shared" si="53"/>
        <v>Normal</v>
      </c>
      <c r="X525">
        <v>0</v>
      </c>
    </row>
    <row r="526" spans="1:24" ht="14.5" thickBot="1" x14ac:dyDescent="0.35">
      <c r="A526">
        <v>1</v>
      </c>
      <c r="B526" t="str">
        <f t="shared" si="51"/>
        <v>Male</v>
      </c>
      <c r="C526" s="8">
        <v>39</v>
      </c>
      <c r="D526" t="str">
        <f t="shared" si="52"/>
        <v>Young</v>
      </c>
      <c r="E526">
        <v>1</v>
      </c>
      <c r="F526" t="str">
        <f>HLOOKUP(E526, LookUP_Table!$A$6:$D$7, 2, FALSE)</f>
        <v>Primary</v>
      </c>
      <c r="G526" t="str">
        <f>IFERROR(VLOOKUP(E526, LookUP_Table!$A$1:$B$4, 2, FALSE), "")</f>
        <v>Primary</v>
      </c>
      <c r="H526">
        <v>1</v>
      </c>
      <c r="I526">
        <v>20</v>
      </c>
      <c r="J526" t="str">
        <f t="shared" si="48"/>
        <v>Smoker</v>
      </c>
      <c r="K526">
        <v>0</v>
      </c>
      <c r="L526">
        <v>0</v>
      </c>
      <c r="M526">
        <v>0</v>
      </c>
      <c r="N526">
        <v>0</v>
      </c>
      <c r="O526">
        <v>228</v>
      </c>
      <c r="P526" t="str">
        <f t="shared" si="49"/>
        <v>Normal</v>
      </c>
      <c r="Q526">
        <v>122.5</v>
      </c>
      <c r="R526">
        <v>87</v>
      </c>
      <c r="S526">
        <v>31.6</v>
      </c>
      <c r="T526" t="str">
        <f t="shared" si="50"/>
        <v>Obese</v>
      </c>
      <c r="U526">
        <v>100</v>
      </c>
      <c r="V526">
        <v>73</v>
      </c>
      <c r="W526" t="str">
        <f t="shared" si="53"/>
        <v>Normal</v>
      </c>
      <c r="X526">
        <v>0</v>
      </c>
    </row>
    <row r="527" spans="1:24" ht="14.5" thickBot="1" x14ac:dyDescent="0.35">
      <c r="A527">
        <v>1</v>
      </c>
      <c r="B527" t="str">
        <f t="shared" si="51"/>
        <v>Male</v>
      </c>
      <c r="C527" s="8">
        <v>39</v>
      </c>
      <c r="D527" t="str">
        <f t="shared" si="52"/>
        <v>Young</v>
      </c>
      <c r="E527">
        <v>1</v>
      </c>
      <c r="F527" t="str">
        <f>HLOOKUP(E527, LookUP_Table!$A$6:$D$7, 2, FALSE)</f>
        <v>Primary</v>
      </c>
      <c r="G527" t="str">
        <f>IFERROR(VLOOKUP(E527, LookUP_Table!$A$1:$B$4, 2, FALSE), "")</f>
        <v>Primary</v>
      </c>
      <c r="H527">
        <v>1</v>
      </c>
      <c r="I527">
        <v>40</v>
      </c>
      <c r="J527" t="str">
        <f t="shared" si="48"/>
        <v>Smoker</v>
      </c>
      <c r="K527">
        <v>0</v>
      </c>
      <c r="L527">
        <v>0</v>
      </c>
      <c r="M527">
        <v>1</v>
      </c>
      <c r="N527">
        <v>0</v>
      </c>
      <c r="O527">
        <v>215</v>
      </c>
      <c r="P527" t="str">
        <f t="shared" si="49"/>
        <v>Normal</v>
      </c>
      <c r="Q527">
        <v>145.5</v>
      </c>
      <c r="R527">
        <v>92.5</v>
      </c>
      <c r="S527">
        <v>28.35</v>
      </c>
      <c r="T527" t="str">
        <f t="shared" si="50"/>
        <v>Overweight</v>
      </c>
      <c r="U527">
        <v>75</v>
      </c>
      <c r="V527">
        <v>94</v>
      </c>
      <c r="W527" t="str">
        <f t="shared" si="53"/>
        <v>Normal</v>
      </c>
      <c r="X527">
        <v>0</v>
      </c>
    </row>
    <row r="528" spans="1:24" ht="14.5" thickBot="1" x14ac:dyDescent="0.35">
      <c r="A528">
        <v>0</v>
      </c>
      <c r="B528" t="str">
        <f t="shared" si="51"/>
        <v>Female</v>
      </c>
      <c r="C528" s="8">
        <v>39</v>
      </c>
      <c r="D528" t="str">
        <f t="shared" si="52"/>
        <v>Young</v>
      </c>
      <c r="E528">
        <v>2</v>
      </c>
      <c r="F528" t="str">
        <f>HLOOKUP(E528, LookUP_Table!$A$6:$D$7, 2, FALSE)</f>
        <v>Secondary</v>
      </c>
      <c r="G528" t="str">
        <f>IFERROR(VLOOKUP(E528, LookUP_Table!$A$1:$B$4, 2, FALSE), "")</f>
        <v>Secondary</v>
      </c>
      <c r="H528">
        <v>0</v>
      </c>
      <c r="I528">
        <v>0</v>
      </c>
      <c r="J528" t="str">
        <f t="shared" si="48"/>
        <v>Non-Smoker</v>
      </c>
      <c r="K528">
        <v>0</v>
      </c>
      <c r="L528">
        <v>0</v>
      </c>
      <c r="M528">
        <v>0</v>
      </c>
      <c r="N528">
        <v>0</v>
      </c>
      <c r="O528">
        <v>197</v>
      </c>
      <c r="P528" t="str">
        <f t="shared" si="49"/>
        <v>Normal</v>
      </c>
      <c r="Q528">
        <v>134</v>
      </c>
      <c r="R528">
        <v>78</v>
      </c>
      <c r="S528">
        <v>30.36</v>
      </c>
      <c r="T528" t="str">
        <f t="shared" si="50"/>
        <v>Obese</v>
      </c>
      <c r="U528">
        <v>100</v>
      </c>
      <c r="V528">
        <v>83</v>
      </c>
      <c r="W528" t="str">
        <f t="shared" si="53"/>
        <v>Normal</v>
      </c>
      <c r="X528">
        <v>0</v>
      </c>
    </row>
    <row r="529" spans="1:24" ht="14.5" thickBot="1" x14ac:dyDescent="0.35">
      <c r="A529">
        <v>1</v>
      </c>
      <c r="B529" t="str">
        <f t="shared" si="51"/>
        <v>Male</v>
      </c>
      <c r="C529" s="8">
        <v>39</v>
      </c>
      <c r="D529" t="str">
        <f t="shared" si="52"/>
        <v>Young</v>
      </c>
      <c r="E529">
        <v>2</v>
      </c>
      <c r="F529" t="str">
        <f>HLOOKUP(E529, LookUP_Table!$A$6:$D$7, 2, FALSE)</f>
        <v>Secondary</v>
      </c>
      <c r="G529" t="str">
        <f>IFERROR(VLOOKUP(E529, LookUP_Table!$A$1:$B$4, 2, FALSE), "")</f>
        <v>Secondary</v>
      </c>
      <c r="H529">
        <v>1</v>
      </c>
      <c r="I529">
        <v>30</v>
      </c>
      <c r="J529" t="str">
        <f t="shared" si="48"/>
        <v>Smoker</v>
      </c>
      <c r="K529">
        <v>0</v>
      </c>
      <c r="L529">
        <v>0</v>
      </c>
      <c r="M529">
        <v>1</v>
      </c>
      <c r="N529">
        <v>0</v>
      </c>
      <c r="O529">
        <v>186</v>
      </c>
      <c r="P529" t="str">
        <f t="shared" si="49"/>
        <v>Normal</v>
      </c>
      <c r="Q529">
        <v>162</v>
      </c>
      <c r="R529">
        <v>109</v>
      </c>
      <c r="S529">
        <v>29.72</v>
      </c>
      <c r="T529" t="str">
        <f t="shared" si="50"/>
        <v>Overweight</v>
      </c>
      <c r="U529">
        <v>90</v>
      </c>
      <c r="V529">
        <v>129</v>
      </c>
      <c r="W529" t="str">
        <f t="shared" si="53"/>
        <v>Diabetes</v>
      </c>
      <c r="X529">
        <v>0</v>
      </c>
    </row>
    <row r="530" spans="1:24" ht="14.5" thickBot="1" x14ac:dyDescent="0.35">
      <c r="A530">
        <v>0</v>
      </c>
      <c r="B530" t="str">
        <f t="shared" si="51"/>
        <v>Female</v>
      </c>
      <c r="C530" s="8">
        <v>39</v>
      </c>
      <c r="D530" t="str">
        <f t="shared" si="52"/>
        <v>Young</v>
      </c>
      <c r="E530">
        <v>3</v>
      </c>
      <c r="F530" t="str">
        <f>HLOOKUP(E530, LookUP_Table!$A$6:$D$7, 2, FALSE)</f>
        <v>Graduate</v>
      </c>
      <c r="G530" t="str">
        <f>IFERROR(VLOOKUP(E530, LookUP_Table!$A$1:$B$4, 2, FALSE), "")</f>
        <v>Graduate</v>
      </c>
      <c r="H530">
        <v>1</v>
      </c>
      <c r="I530">
        <v>20</v>
      </c>
      <c r="J530" t="str">
        <f t="shared" si="48"/>
        <v>Smoker</v>
      </c>
      <c r="K530">
        <v>0</v>
      </c>
      <c r="L530">
        <v>0</v>
      </c>
      <c r="M530">
        <v>0</v>
      </c>
      <c r="N530">
        <v>0</v>
      </c>
      <c r="O530">
        <v>190</v>
      </c>
      <c r="P530" t="str">
        <f t="shared" si="49"/>
        <v>Normal</v>
      </c>
      <c r="Q530">
        <v>85</v>
      </c>
      <c r="R530">
        <v>70</v>
      </c>
      <c r="S530">
        <v>22.43</v>
      </c>
      <c r="T530" t="str">
        <f t="shared" si="50"/>
        <v>Normal</v>
      </c>
      <c r="U530">
        <v>88</v>
      </c>
      <c r="V530">
        <v>60</v>
      </c>
      <c r="W530" t="str">
        <f t="shared" si="53"/>
        <v>Normal</v>
      </c>
      <c r="X530">
        <v>0</v>
      </c>
    </row>
    <row r="531" spans="1:24" ht="14.5" thickBot="1" x14ac:dyDescent="0.35">
      <c r="A531">
        <v>0</v>
      </c>
      <c r="B531" t="str">
        <f t="shared" si="51"/>
        <v>Female</v>
      </c>
      <c r="C531" s="8">
        <v>39</v>
      </c>
      <c r="D531" t="str">
        <f t="shared" si="52"/>
        <v>Young</v>
      </c>
      <c r="E531">
        <v>2</v>
      </c>
      <c r="F531" t="str">
        <f>HLOOKUP(E531, LookUP_Table!$A$6:$D$7, 2, FALSE)</f>
        <v>Secondary</v>
      </c>
      <c r="G531" t="str">
        <f>IFERROR(VLOOKUP(E531, LookUP_Table!$A$1:$B$4, 2, FALSE), "")</f>
        <v>Secondary</v>
      </c>
      <c r="H531">
        <v>0</v>
      </c>
      <c r="I531">
        <v>0</v>
      </c>
      <c r="J531" t="str">
        <f t="shared" si="48"/>
        <v>Non-Smoker</v>
      </c>
      <c r="K531">
        <v>0</v>
      </c>
      <c r="L531">
        <v>0</v>
      </c>
      <c r="M531">
        <v>0</v>
      </c>
      <c r="N531">
        <v>0</v>
      </c>
      <c r="O531">
        <v>205</v>
      </c>
      <c r="P531" t="str">
        <f t="shared" si="49"/>
        <v>Normal</v>
      </c>
      <c r="Q531">
        <v>104</v>
      </c>
      <c r="R531">
        <v>74</v>
      </c>
      <c r="S531">
        <v>20.55</v>
      </c>
      <c r="T531" t="str">
        <f t="shared" si="50"/>
        <v>Normal</v>
      </c>
      <c r="U531">
        <v>68</v>
      </c>
      <c r="V531">
        <v>81.96365524402907</v>
      </c>
      <c r="W531" t="str">
        <f t="shared" si="53"/>
        <v>Normal</v>
      </c>
      <c r="X531">
        <v>0</v>
      </c>
    </row>
    <row r="532" spans="1:24" ht="14.5" thickBot="1" x14ac:dyDescent="0.35">
      <c r="A532">
        <v>1</v>
      </c>
      <c r="B532" t="str">
        <f t="shared" si="51"/>
        <v>Male</v>
      </c>
      <c r="C532" s="8">
        <v>39</v>
      </c>
      <c r="D532" t="str">
        <f t="shared" si="52"/>
        <v>Young</v>
      </c>
      <c r="E532">
        <v>4</v>
      </c>
      <c r="F532" t="str">
        <f>HLOOKUP(E532, LookUP_Table!$A$6:$D$7, 2, FALSE)</f>
        <v>Post Graduate</v>
      </c>
      <c r="G532" t="str">
        <f>IFERROR(VLOOKUP(E532, LookUP_Table!$A$1:$B$4, 2, FALSE), "")</f>
        <v>Post Graduate</v>
      </c>
      <c r="H532">
        <v>1</v>
      </c>
      <c r="I532">
        <v>3</v>
      </c>
      <c r="J532" t="str">
        <f t="shared" si="48"/>
        <v>Smoker</v>
      </c>
      <c r="K532">
        <v>0</v>
      </c>
      <c r="L532">
        <v>0</v>
      </c>
      <c r="M532">
        <v>1</v>
      </c>
      <c r="N532">
        <v>0</v>
      </c>
      <c r="O532">
        <v>230</v>
      </c>
      <c r="P532" t="str">
        <f t="shared" si="49"/>
        <v>Normal</v>
      </c>
      <c r="Q532">
        <v>140</v>
      </c>
      <c r="R532">
        <v>97</v>
      </c>
      <c r="S532">
        <v>25.31</v>
      </c>
      <c r="T532" t="str">
        <f t="shared" si="50"/>
        <v>Overweight</v>
      </c>
      <c r="U532">
        <v>72</v>
      </c>
      <c r="V532">
        <v>81.96365524402907</v>
      </c>
      <c r="W532" t="str">
        <f t="shared" si="53"/>
        <v>Normal</v>
      </c>
      <c r="X532">
        <v>0</v>
      </c>
    </row>
    <row r="533" spans="1:24" ht="14.5" thickBot="1" x14ac:dyDescent="0.35">
      <c r="A533">
        <v>0</v>
      </c>
      <c r="B533" t="str">
        <f t="shared" si="51"/>
        <v>Female</v>
      </c>
      <c r="C533" s="8">
        <v>39</v>
      </c>
      <c r="D533" t="str">
        <f t="shared" si="52"/>
        <v>Young</v>
      </c>
      <c r="E533">
        <v>2</v>
      </c>
      <c r="F533" t="str">
        <f>HLOOKUP(E533, LookUP_Table!$A$6:$D$7, 2, FALSE)</f>
        <v>Secondary</v>
      </c>
      <c r="G533" t="str">
        <f>IFERROR(VLOOKUP(E533, LookUP_Table!$A$1:$B$4, 2, FALSE), "")</f>
        <v>Secondary</v>
      </c>
      <c r="H533">
        <v>0</v>
      </c>
      <c r="I533">
        <v>0</v>
      </c>
      <c r="J533" t="str">
        <f t="shared" si="48"/>
        <v>Non-Smoker</v>
      </c>
      <c r="K533">
        <v>0</v>
      </c>
      <c r="L533">
        <v>0</v>
      </c>
      <c r="M533">
        <v>1</v>
      </c>
      <c r="N533">
        <v>0</v>
      </c>
      <c r="O533">
        <v>226</v>
      </c>
      <c r="P533" t="str">
        <f t="shared" si="49"/>
        <v>Normal</v>
      </c>
      <c r="Q533">
        <v>146</v>
      </c>
      <c r="R533">
        <v>86</v>
      </c>
      <c r="S533">
        <v>24.41</v>
      </c>
      <c r="T533" t="str">
        <f t="shared" si="50"/>
        <v>Normal</v>
      </c>
      <c r="U533">
        <v>85</v>
      </c>
      <c r="V533">
        <v>85</v>
      </c>
      <c r="W533" t="str">
        <f t="shared" si="53"/>
        <v>Normal</v>
      </c>
      <c r="X533">
        <v>0</v>
      </c>
    </row>
    <row r="534" spans="1:24" ht="14.5" thickBot="1" x14ac:dyDescent="0.35">
      <c r="A534">
        <v>1</v>
      </c>
      <c r="B534" t="str">
        <f t="shared" si="51"/>
        <v>Male</v>
      </c>
      <c r="C534" s="8">
        <v>39</v>
      </c>
      <c r="D534" t="str">
        <f t="shared" si="52"/>
        <v>Young</v>
      </c>
      <c r="E534">
        <v>2</v>
      </c>
      <c r="F534" t="str">
        <f>HLOOKUP(E534, LookUP_Table!$A$6:$D$7, 2, FALSE)</f>
        <v>Secondary</v>
      </c>
      <c r="G534" t="str">
        <f>IFERROR(VLOOKUP(E534, LookUP_Table!$A$1:$B$4, 2, FALSE), "")</f>
        <v>Secondary</v>
      </c>
      <c r="H534">
        <v>1</v>
      </c>
      <c r="I534">
        <v>40</v>
      </c>
      <c r="J534" t="str">
        <f t="shared" si="48"/>
        <v>Smoker</v>
      </c>
      <c r="K534">
        <v>0</v>
      </c>
      <c r="L534">
        <v>0</v>
      </c>
      <c r="M534">
        <v>0</v>
      </c>
      <c r="N534">
        <v>0</v>
      </c>
      <c r="O534">
        <v>218</v>
      </c>
      <c r="P534" t="str">
        <f t="shared" si="49"/>
        <v>Normal</v>
      </c>
      <c r="Q534">
        <v>112.5</v>
      </c>
      <c r="R534">
        <v>60</v>
      </c>
      <c r="S534">
        <v>24</v>
      </c>
      <c r="T534" t="str">
        <f t="shared" si="50"/>
        <v>Normal</v>
      </c>
      <c r="U534">
        <v>65</v>
      </c>
      <c r="V534">
        <v>81.96365524402907</v>
      </c>
      <c r="W534" t="str">
        <f t="shared" si="53"/>
        <v>Normal</v>
      </c>
      <c r="X534">
        <v>0</v>
      </c>
    </row>
    <row r="535" spans="1:24" ht="14.5" thickBot="1" x14ac:dyDescent="0.35">
      <c r="A535">
        <v>1</v>
      </c>
      <c r="B535" t="str">
        <f t="shared" si="51"/>
        <v>Male</v>
      </c>
      <c r="C535" s="8">
        <v>39</v>
      </c>
      <c r="D535" t="str">
        <f t="shared" si="52"/>
        <v>Young</v>
      </c>
      <c r="E535">
        <v>2</v>
      </c>
      <c r="F535" t="str">
        <f>HLOOKUP(E535, LookUP_Table!$A$6:$D$7, 2, FALSE)</f>
        <v>Secondary</v>
      </c>
      <c r="G535" t="str">
        <f>IFERROR(VLOOKUP(E535, LookUP_Table!$A$1:$B$4, 2, FALSE), "")</f>
        <v>Secondary</v>
      </c>
      <c r="H535">
        <v>1</v>
      </c>
      <c r="I535">
        <v>15</v>
      </c>
      <c r="J535" t="str">
        <f t="shared" si="48"/>
        <v>Smoker</v>
      </c>
      <c r="K535">
        <v>0</v>
      </c>
      <c r="L535">
        <v>0</v>
      </c>
      <c r="M535">
        <v>0</v>
      </c>
      <c r="N535">
        <v>0</v>
      </c>
      <c r="O535">
        <v>318</v>
      </c>
      <c r="P535" t="str">
        <f t="shared" si="49"/>
        <v>High</v>
      </c>
      <c r="Q535">
        <v>118</v>
      </c>
      <c r="R535">
        <v>75.5</v>
      </c>
      <c r="S535">
        <v>27.52</v>
      </c>
      <c r="T535" t="str">
        <f t="shared" si="50"/>
        <v>Overweight</v>
      </c>
      <c r="U535">
        <v>65</v>
      </c>
      <c r="V535">
        <v>70</v>
      </c>
      <c r="W535" t="str">
        <f t="shared" si="53"/>
        <v>Normal</v>
      </c>
      <c r="X535">
        <v>0</v>
      </c>
    </row>
    <row r="536" spans="1:24" ht="14.5" thickBot="1" x14ac:dyDescent="0.35">
      <c r="A536">
        <v>1</v>
      </c>
      <c r="B536" t="str">
        <f t="shared" si="51"/>
        <v>Male</v>
      </c>
      <c r="C536" s="8">
        <v>39</v>
      </c>
      <c r="D536" t="str">
        <f t="shared" si="52"/>
        <v>Young</v>
      </c>
      <c r="E536">
        <v>2</v>
      </c>
      <c r="F536" t="str">
        <f>HLOOKUP(E536, LookUP_Table!$A$6:$D$7, 2, FALSE)</f>
        <v>Secondary</v>
      </c>
      <c r="G536" t="str">
        <f>IFERROR(VLOOKUP(E536, LookUP_Table!$A$1:$B$4, 2, FALSE), "")</f>
        <v>Secondary</v>
      </c>
      <c r="H536">
        <v>1</v>
      </c>
      <c r="I536">
        <v>10</v>
      </c>
      <c r="J536" t="str">
        <f t="shared" si="48"/>
        <v>Smoker</v>
      </c>
      <c r="K536">
        <v>0</v>
      </c>
      <c r="L536">
        <v>0</v>
      </c>
      <c r="M536">
        <v>0</v>
      </c>
      <c r="N536">
        <v>0</v>
      </c>
      <c r="O536">
        <v>215</v>
      </c>
      <c r="P536" t="str">
        <f t="shared" si="49"/>
        <v>Normal</v>
      </c>
      <c r="Q536">
        <v>102</v>
      </c>
      <c r="R536">
        <v>64.5</v>
      </c>
      <c r="S536">
        <v>24.5</v>
      </c>
      <c r="T536" t="str">
        <f t="shared" si="50"/>
        <v>Normal</v>
      </c>
      <c r="U536">
        <v>68</v>
      </c>
      <c r="V536">
        <v>62</v>
      </c>
      <c r="W536" t="str">
        <f t="shared" si="53"/>
        <v>Normal</v>
      </c>
      <c r="X536">
        <v>0</v>
      </c>
    </row>
    <row r="537" spans="1:24" ht="14.5" thickBot="1" x14ac:dyDescent="0.35">
      <c r="A537">
        <v>1</v>
      </c>
      <c r="B537" t="str">
        <f t="shared" si="51"/>
        <v>Male</v>
      </c>
      <c r="C537" s="8">
        <v>39</v>
      </c>
      <c r="D537" t="str">
        <f t="shared" si="52"/>
        <v>Young</v>
      </c>
      <c r="E537">
        <v>2</v>
      </c>
      <c r="F537" t="str">
        <f>HLOOKUP(E537, LookUP_Table!$A$6:$D$7, 2, FALSE)</f>
        <v>Secondary</v>
      </c>
      <c r="G537" t="str">
        <f>IFERROR(VLOOKUP(E537, LookUP_Table!$A$1:$B$4, 2, FALSE), "")</f>
        <v>Secondary</v>
      </c>
      <c r="H537">
        <v>1</v>
      </c>
      <c r="I537">
        <v>25</v>
      </c>
      <c r="J537" t="str">
        <f t="shared" si="48"/>
        <v>Smoker</v>
      </c>
      <c r="K537">
        <v>0</v>
      </c>
      <c r="L537">
        <v>0</v>
      </c>
      <c r="M537">
        <v>0</v>
      </c>
      <c r="N537">
        <v>0</v>
      </c>
      <c r="O537">
        <v>206</v>
      </c>
      <c r="P537" t="str">
        <f t="shared" si="49"/>
        <v>Normal</v>
      </c>
      <c r="Q537">
        <v>124</v>
      </c>
      <c r="R537">
        <v>78</v>
      </c>
      <c r="S537">
        <v>19.98</v>
      </c>
      <c r="T537" t="str">
        <f t="shared" si="50"/>
        <v>Normal</v>
      </c>
      <c r="U537">
        <v>69</v>
      </c>
      <c r="V537">
        <v>80</v>
      </c>
      <c r="W537" t="str">
        <f t="shared" si="53"/>
        <v>Normal</v>
      </c>
      <c r="X537">
        <v>0</v>
      </c>
    </row>
    <row r="538" spans="1:24" ht="14.5" thickBot="1" x14ac:dyDescent="0.35">
      <c r="A538">
        <v>0</v>
      </c>
      <c r="B538" t="str">
        <f t="shared" si="51"/>
        <v>Female</v>
      </c>
      <c r="C538" s="8">
        <v>39</v>
      </c>
      <c r="D538" t="str">
        <f t="shared" si="52"/>
        <v>Young</v>
      </c>
      <c r="E538">
        <v>3</v>
      </c>
      <c r="F538" t="str">
        <f>HLOOKUP(E538, LookUP_Table!$A$6:$D$7, 2, FALSE)</f>
        <v>Graduate</v>
      </c>
      <c r="G538" t="str">
        <f>IFERROR(VLOOKUP(E538, LookUP_Table!$A$1:$B$4, 2, FALSE), "")</f>
        <v>Graduate</v>
      </c>
      <c r="H538">
        <v>1</v>
      </c>
      <c r="I538">
        <v>8</v>
      </c>
      <c r="J538" t="str">
        <f t="shared" si="48"/>
        <v>Smoker</v>
      </c>
      <c r="K538">
        <v>0</v>
      </c>
      <c r="L538">
        <v>0</v>
      </c>
      <c r="M538">
        <v>0</v>
      </c>
      <c r="N538">
        <v>0</v>
      </c>
      <c r="O538">
        <v>192</v>
      </c>
      <c r="P538" t="str">
        <f t="shared" si="49"/>
        <v>Normal</v>
      </c>
      <c r="Q538">
        <v>109</v>
      </c>
      <c r="R538">
        <v>61</v>
      </c>
      <c r="S538">
        <v>23.36</v>
      </c>
      <c r="T538" t="str">
        <f t="shared" si="50"/>
        <v>Normal</v>
      </c>
      <c r="U538">
        <v>64</v>
      </c>
      <c r="V538">
        <v>84</v>
      </c>
      <c r="W538" t="str">
        <f t="shared" si="53"/>
        <v>Normal</v>
      </c>
      <c r="X538">
        <v>0</v>
      </c>
    </row>
    <row r="539" spans="1:24" ht="14.5" thickBot="1" x14ac:dyDescent="0.35">
      <c r="A539">
        <v>0</v>
      </c>
      <c r="B539" t="str">
        <f t="shared" si="51"/>
        <v>Female</v>
      </c>
      <c r="C539" s="8">
        <v>39</v>
      </c>
      <c r="D539" t="str">
        <f t="shared" si="52"/>
        <v>Young</v>
      </c>
      <c r="E539">
        <v>3</v>
      </c>
      <c r="F539" t="str">
        <f>HLOOKUP(E539, LookUP_Table!$A$6:$D$7, 2, FALSE)</f>
        <v>Graduate</v>
      </c>
      <c r="G539" t="str">
        <f>IFERROR(VLOOKUP(E539, LookUP_Table!$A$1:$B$4, 2, FALSE), "")</f>
        <v>Graduate</v>
      </c>
      <c r="H539">
        <v>0</v>
      </c>
      <c r="I539">
        <v>0</v>
      </c>
      <c r="J539" t="str">
        <f t="shared" si="48"/>
        <v>Non-Smoker</v>
      </c>
      <c r="K539">
        <v>0</v>
      </c>
      <c r="L539">
        <v>0</v>
      </c>
      <c r="M539">
        <v>0</v>
      </c>
      <c r="N539">
        <v>0</v>
      </c>
      <c r="O539">
        <v>190</v>
      </c>
      <c r="P539" t="str">
        <f t="shared" si="49"/>
        <v>Normal</v>
      </c>
      <c r="Q539">
        <v>133</v>
      </c>
      <c r="R539">
        <v>87</v>
      </c>
      <c r="S539">
        <v>32.090000000000003</v>
      </c>
      <c r="T539" t="str">
        <f t="shared" si="50"/>
        <v>Obese</v>
      </c>
      <c r="U539">
        <v>56</v>
      </c>
      <c r="V539">
        <v>80</v>
      </c>
      <c r="W539" t="str">
        <f t="shared" si="53"/>
        <v>Normal</v>
      </c>
      <c r="X539">
        <v>0</v>
      </c>
    </row>
    <row r="540" spans="1:24" ht="14.5" thickBot="1" x14ac:dyDescent="0.35">
      <c r="A540">
        <v>0</v>
      </c>
      <c r="B540" t="str">
        <f t="shared" si="51"/>
        <v>Female</v>
      </c>
      <c r="C540" s="8">
        <v>39</v>
      </c>
      <c r="D540" t="str">
        <f t="shared" si="52"/>
        <v>Young</v>
      </c>
      <c r="E540">
        <v>4</v>
      </c>
      <c r="F540" t="str">
        <f>HLOOKUP(E540, LookUP_Table!$A$6:$D$7, 2, FALSE)</f>
        <v>Post Graduate</v>
      </c>
      <c r="G540" t="str">
        <f>IFERROR(VLOOKUP(E540, LookUP_Table!$A$1:$B$4, 2, FALSE), "")</f>
        <v>Post Graduate</v>
      </c>
      <c r="H540">
        <v>0</v>
      </c>
      <c r="I540">
        <v>0</v>
      </c>
      <c r="J540" t="str">
        <f t="shared" si="48"/>
        <v>Non-Smoker</v>
      </c>
      <c r="K540">
        <v>0</v>
      </c>
      <c r="L540">
        <v>0</v>
      </c>
      <c r="M540">
        <v>0</v>
      </c>
      <c r="N540">
        <v>0</v>
      </c>
      <c r="O540">
        <v>181</v>
      </c>
      <c r="P540" t="str">
        <f t="shared" si="49"/>
        <v>Normal</v>
      </c>
      <c r="Q540">
        <v>112</v>
      </c>
      <c r="R540">
        <v>71</v>
      </c>
      <c r="S540">
        <v>21.8</v>
      </c>
      <c r="T540" t="str">
        <f t="shared" si="50"/>
        <v>Normal</v>
      </c>
      <c r="U540">
        <v>77</v>
      </c>
      <c r="V540">
        <v>67</v>
      </c>
      <c r="W540" t="str">
        <f t="shared" si="53"/>
        <v>Normal</v>
      </c>
      <c r="X540">
        <v>0</v>
      </c>
    </row>
    <row r="541" spans="1:24" ht="14.5" thickBot="1" x14ac:dyDescent="0.35">
      <c r="A541">
        <v>0</v>
      </c>
      <c r="B541" t="str">
        <f t="shared" si="51"/>
        <v>Female</v>
      </c>
      <c r="C541" s="8">
        <v>39</v>
      </c>
      <c r="D541" t="str">
        <f t="shared" si="52"/>
        <v>Young</v>
      </c>
      <c r="E541">
        <v>2</v>
      </c>
      <c r="F541" t="str">
        <f>HLOOKUP(E541, LookUP_Table!$A$6:$D$7, 2, FALSE)</f>
        <v>Secondary</v>
      </c>
      <c r="G541" t="str">
        <f>IFERROR(VLOOKUP(E541, LookUP_Table!$A$1:$B$4, 2, FALSE), "")</f>
        <v>Secondary</v>
      </c>
      <c r="H541">
        <v>0</v>
      </c>
      <c r="I541">
        <v>0</v>
      </c>
      <c r="J541" t="str">
        <f t="shared" si="48"/>
        <v>Non-Smoker</v>
      </c>
      <c r="K541">
        <v>0</v>
      </c>
      <c r="L541">
        <v>0</v>
      </c>
      <c r="M541">
        <v>0</v>
      </c>
      <c r="N541">
        <v>0</v>
      </c>
      <c r="O541">
        <v>202</v>
      </c>
      <c r="P541" t="str">
        <f t="shared" si="49"/>
        <v>Normal</v>
      </c>
      <c r="Q541">
        <v>100.5</v>
      </c>
      <c r="R541">
        <v>67</v>
      </c>
      <c r="S541">
        <v>21.33</v>
      </c>
      <c r="T541" t="str">
        <f t="shared" si="50"/>
        <v>Normal</v>
      </c>
      <c r="U541">
        <v>63</v>
      </c>
      <c r="V541">
        <v>81.96365524402907</v>
      </c>
      <c r="W541" t="str">
        <f t="shared" si="53"/>
        <v>Normal</v>
      </c>
      <c r="X541">
        <v>0</v>
      </c>
    </row>
    <row r="542" spans="1:24" ht="14.5" thickBot="1" x14ac:dyDescent="0.35">
      <c r="A542">
        <v>0</v>
      </c>
      <c r="B542" t="str">
        <f t="shared" si="51"/>
        <v>Female</v>
      </c>
      <c r="C542" s="8">
        <v>39</v>
      </c>
      <c r="D542" t="str">
        <f t="shared" si="52"/>
        <v>Young</v>
      </c>
      <c r="E542">
        <v>4</v>
      </c>
      <c r="F542" t="str">
        <f>HLOOKUP(E542, LookUP_Table!$A$6:$D$7, 2, FALSE)</f>
        <v>Post Graduate</v>
      </c>
      <c r="G542" t="str">
        <f>IFERROR(VLOOKUP(E542, LookUP_Table!$A$1:$B$4, 2, FALSE), "")</f>
        <v>Post Graduate</v>
      </c>
      <c r="H542">
        <v>1</v>
      </c>
      <c r="I542">
        <v>25</v>
      </c>
      <c r="J542" t="str">
        <f t="shared" si="48"/>
        <v>Smoker</v>
      </c>
      <c r="K542">
        <v>0</v>
      </c>
      <c r="L542">
        <v>0</v>
      </c>
      <c r="M542">
        <v>0</v>
      </c>
      <c r="N542">
        <v>0</v>
      </c>
      <c r="O542">
        <v>200</v>
      </c>
      <c r="P542" t="str">
        <f t="shared" si="49"/>
        <v>Normal</v>
      </c>
      <c r="Q542">
        <v>110</v>
      </c>
      <c r="R542">
        <v>68</v>
      </c>
      <c r="S542">
        <v>20.239999999999998</v>
      </c>
      <c r="T542" t="str">
        <f t="shared" si="50"/>
        <v>Normal</v>
      </c>
      <c r="U542">
        <v>79</v>
      </c>
      <c r="V542">
        <v>62</v>
      </c>
      <c r="W542" t="str">
        <f t="shared" si="53"/>
        <v>Normal</v>
      </c>
      <c r="X542">
        <v>0</v>
      </c>
    </row>
    <row r="543" spans="1:24" ht="14.5" thickBot="1" x14ac:dyDescent="0.35">
      <c r="A543">
        <v>0</v>
      </c>
      <c r="B543" t="str">
        <f t="shared" si="51"/>
        <v>Female</v>
      </c>
      <c r="C543" s="8">
        <v>39</v>
      </c>
      <c r="D543" t="str">
        <f t="shared" si="52"/>
        <v>Young</v>
      </c>
      <c r="E543">
        <v>1</v>
      </c>
      <c r="F543" t="str">
        <f>HLOOKUP(E543, LookUP_Table!$A$6:$D$7, 2, FALSE)</f>
        <v>Primary</v>
      </c>
      <c r="G543" t="str">
        <f>IFERROR(VLOOKUP(E543, LookUP_Table!$A$1:$B$4, 2, FALSE), "")</f>
        <v>Primary</v>
      </c>
      <c r="H543">
        <v>0</v>
      </c>
      <c r="I543">
        <v>0</v>
      </c>
      <c r="J543" t="str">
        <f t="shared" si="48"/>
        <v>Non-Smoker</v>
      </c>
      <c r="K543">
        <v>0</v>
      </c>
      <c r="L543">
        <v>0</v>
      </c>
      <c r="M543">
        <v>1</v>
      </c>
      <c r="N543">
        <v>0</v>
      </c>
      <c r="O543">
        <v>173</v>
      </c>
      <c r="P543" t="str">
        <f t="shared" si="49"/>
        <v>Normal</v>
      </c>
      <c r="Q543">
        <v>109</v>
      </c>
      <c r="R543">
        <v>82</v>
      </c>
      <c r="S543">
        <v>27.27</v>
      </c>
      <c r="T543" t="str">
        <f t="shared" si="50"/>
        <v>Overweight</v>
      </c>
      <c r="U543">
        <v>85</v>
      </c>
      <c r="V543">
        <v>81.96365524402907</v>
      </c>
      <c r="W543" t="str">
        <f t="shared" si="53"/>
        <v>Normal</v>
      </c>
      <c r="X543">
        <v>0</v>
      </c>
    </row>
    <row r="544" spans="1:24" ht="14.5" thickBot="1" x14ac:dyDescent="0.35">
      <c r="A544">
        <v>0</v>
      </c>
      <c r="B544" t="str">
        <f t="shared" si="51"/>
        <v>Female</v>
      </c>
      <c r="C544" s="8">
        <v>39</v>
      </c>
      <c r="D544" t="str">
        <f t="shared" si="52"/>
        <v>Young</v>
      </c>
      <c r="E544">
        <v>3</v>
      </c>
      <c r="F544" t="str">
        <f>HLOOKUP(E544, LookUP_Table!$A$6:$D$7, 2, FALSE)</f>
        <v>Graduate</v>
      </c>
      <c r="G544" t="str">
        <f>IFERROR(VLOOKUP(E544, LookUP_Table!$A$1:$B$4, 2, FALSE), "")</f>
        <v>Graduate</v>
      </c>
      <c r="H544">
        <v>1</v>
      </c>
      <c r="I544">
        <v>9</v>
      </c>
      <c r="J544" t="str">
        <f t="shared" si="48"/>
        <v>Smoker</v>
      </c>
      <c r="K544">
        <v>0</v>
      </c>
      <c r="L544">
        <v>0</v>
      </c>
      <c r="M544">
        <v>0</v>
      </c>
      <c r="N544">
        <v>0</v>
      </c>
      <c r="O544">
        <v>197</v>
      </c>
      <c r="P544" t="str">
        <f t="shared" si="49"/>
        <v>Normal</v>
      </c>
      <c r="Q544">
        <v>126.5</v>
      </c>
      <c r="R544">
        <v>76.5</v>
      </c>
      <c r="S544">
        <v>19.71</v>
      </c>
      <c r="T544" t="str">
        <f t="shared" si="50"/>
        <v>Normal</v>
      </c>
      <c r="U544">
        <v>55</v>
      </c>
      <c r="V544">
        <v>63</v>
      </c>
      <c r="W544" t="str">
        <f t="shared" si="53"/>
        <v>Normal</v>
      </c>
      <c r="X544">
        <v>0</v>
      </c>
    </row>
    <row r="545" spans="1:24" ht="14.5" thickBot="1" x14ac:dyDescent="0.35">
      <c r="A545">
        <v>1</v>
      </c>
      <c r="B545" t="str">
        <f t="shared" si="51"/>
        <v>Male</v>
      </c>
      <c r="C545" s="8">
        <v>39</v>
      </c>
      <c r="D545" t="str">
        <f t="shared" si="52"/>
        <v>Young</v>
      </c>
      <c r="E545">
        <v>1</v>
      </c>
      <c r="F545" t="str">
        <f>HLOOKUP(E545, LookUP_Table!$A$6:$D$7, 2, FALSE)</f>
        <v>Primary</v>
      </c>
      <c r="G545" t="str">
        <f>IFERROR(VLOOKUP(E545, LookUP_Table!$A$1:$B$4, 2, FALSE), "")</f>
        <v>Primary</v>
      </c>
      <c r="H545">
        <v>1</v>
      </c>
      <c r="I545">
        <v>43</v>
      </c>
      <c r="J545" t="str">
        <f t="shared" si="48"/>
        <v>Smoker</v>
      </c>
      <c r="K545">
        <v>0</v>
      </c>
      <c r="L545">
        <v>0</v>
      </c>
      <c r="M545">
        <v>1</v>
      </c>
      <c r="N545">
        <v>0</v>
      </c>
      <c r="O545">
        <v>291</v>
      </c>
      <c r="P545" t="str">
        <f t="shared" si="49"/>
        <v>High</v>
      </c>
      <c r="Q545">
        <v>177.5</v>
      </c>
      <c r="R545">
        <v>100</v>
      </c>
      <c r="S545">
        <v>25.74</v>
      </c>
      <c r="T545" t="str">
        <f t="shared" si="50"/>
        <v>Overweight</v>
      </c>
      <c r="U545">
        <v>67</v>
      </c>
      <c r="V545">
        <v>91</v>
      </c>
      <c r="W545" t="str">
        <f t="shared" si="53"/>
        <v>Normal</v>
      </c>
      <c r="X545">
        <v>0</v>
      </c>
    </row>
    <row r="546" spans="1:24" ht="14.5" thickBot="1" x14ac:dyDescent="0.35">
      <c r="A546">
        <v>0</v>
      </c>
      <c r="B546" t="str">
        <f t="shared" si="51"/>
        <v>Female</v>
      </c>
      <c r="C546" s="8">
        <v>39</v>
      </c>
      <c r="D546" t="str">
        <f t="shared" si="52"/>
        <v>Young</v>
      </c>
      <c r="E546">
        <v>2</v>
      </c>
      <c r="F546" t="str">
        <f>HLOOKUP(E546, LookUP_Table!$A$6:$D$7, 2, FALSE)</f>
        <v>Secondary</v>
      </c>
      <c r="G546" t="str">
        <f>IFERROR(VLOOKUP(E546, LookUP_Table!$A$1:$B$4, 2, FALSE), "")</f>
        <v>Secondary</v>
      </c>
      <c r="H546">
        <v>1</v>
      </c>
      <c r="I546">
        <v>40</v>
      </c>
      <c r="J546" t="str">
        <f t="shared" si="48"/>
        <v>Smoker</v>
      </c>
      <c r="K546">
        <v>0</v>
      </c>
      <c r="L546">
        <v>0</v>
      </c>
      <c r="M546">
        <v>0</v>
      </c>
      <c r="N546">
        <v>0</v>
      </c>
      <c r="O546">
        <v>236.69952267303103</v>
      </c>
      <c r="P546" t="str">
        <f t="shared" si="49"/>
        <v>Normal</v>
      </c>
      <c r="Q546">
        <v>105</v>
      </c>
      <c r="R546">
        <v>67.5</v>
      </c>
      <c r="S546">
        <v>24.43</v>
      </c>
      <c r="T546" t="str">
        <f t="shared" si="50"/>
        <v>Normal</v>
      </c>
      <c r="U546">
        <v>90</v>
      </c>
      <c r="V546">
        <v>81.96365524402907</v>
      </c>
      <c r="W546" t="str">
        <f t="shared" si="53"/>
        <v>Normal</v>
      </c>
      <c r="X546">
        <v>0</v>
      </c>
    </row>
    <row r="547" spans="1:24" ht="14.5" thickBot="1" x14ac:dyDescent="0.35">
      <c r="A547">
        <v>0</v>
      </c>
      <c r="B547" t="str">
        <f t="shared" si="51"/>
        <v>Female</v>
      </c>
      <c r="C547" s="8">
        <v>39</v>
      </c>
      <c r="D547" t="str">
        <f t="shared" si="52"/>
        <v>Young</v>
      </c>
      <c r="E547">
        <v>3</v>
      </c>
      <c r="F547" t="str">
        <f>HLOOKUP(E547, LookUP_Table!$A$6:$D$7, 2, FALSE)</f>
        <v>Graduate</v>
      </c>
      <c r="G547" t="str">
        <f>IFERROR(VLOOKUP(E547, LookUP_Table!$A$1:$B$4, 2, FALSE), "")</f>
        <v>Graduate</v>
      </c>
      <c r="H547">
        <v>0</v>
      </c>
      <c r="I547">
        <v>0</v>
      </c>
      <c r="J547" t="str">
        <f t="shared" si="48"/>
        <v>Non-Smoker</v>
      </c>
      <c r="K547">
        <v>0</v>
      </c>
      <c r="L547">
        <v>0</v>
      </c>
      <c r="M547">
        <v>0</v>
      </c>
      <c r="N547">
        <v>0</v>
      </c>
      <c r="O547">
        <v>213</v>
      </c>
      <c r="P547" t="str">
        <f t="shared" si="49"/>
        <v>Normal</v>
      </c>
      <c r="Q547">
        <v>125</v>
      </c>
      <c r="R547">
        <v>87</v>
      </c>
      <c r="S547">
        <v>16.73</v>
      </c>
      <c r="T547" t="str">
        <f t="shared" si="50"/>
        <v>Underweight</v>
      </c>
      <c r="U547">
        <v>110</v>
      </c>
      <c r="V547">
        <v>75</v>
      </c>
      <c r="W547" t="str">
        <f t="shared" si="53"/>
        <v>Normal</v>
      </c>
      <c r="X547">
        <v>0</v>
      </c>
    </row>
    <row r="548" spans="1:24" ht="14.5" thickBot="1" x14ac:dyDescent="0.35">
      <c r="A548">
        <v>1</v>
      </c>
      <c r="B548" t="str">
        <f t="shared" si="51"/>
        <v>Male</v>
      </c>
      <c r="C548" s="8">
        <v>39</v>
      </c>
      <c r="D548" t="str">
        <f t="shared" si="52"/>
        <v>Young</v>
      </c>
      <c r="E548">
        <v>4</v>
      </c>
      <c r="F548" t="str">
        <f>HLOOKUP(E548, LookUP_Table!$A$6:$D$7, 2, FALSE)</f>
        <v>Post Graduate</v>
      </c>
      <c r="G548" t="str">
        <f>IFERROR(VLOOKUP(E548, LookUP_Table!$A$1:$B$4, 2, FALSE), "")</f>
        <v>Post Graduate</v>
      </c>
      <c r="H548">
        <v>1</v>
      </c>
      <c r="I548">
        <v>1</v>
      </c>
      <c r="J548" t="str">
        <f t="shared" si="48"/>
        <v>Smoker</v>
      </c>
      <c r="K548">
        <v>0</v>
      </c>
      <c r="L548">
        <v>0</v>
      </c>
      <c r="M548">
        <v>0</v>
      </c>
      <c r="N548">
        <v>0</v>
      </c>
      <c r="O548">
        <v>163</v>
      </c>
      <c r="P548" t="str">
        <f t="shared" si="49"/>
        <v>Normal</v>
      </c>
      <c r="Q548">
        <v>129</v>
      </c>
      <c r="R548">
        <v>84</v>
      </c>
      <c r="S548">
        <v>21.01</v>
      </c>
      <c r="T548" t="str">
        <f t="shared" si="50"/>
        <v>Normal</v>
      </c>
      <c r="U548">
        <v>60</v>
      </c>
      <c r="V548">
        <v>120</v>
      </c>
      <c r="W548" t="str">
        <f t="shared" si="53"/>
        <v>Prediabetes</v>
      </c>
      <c r="X548">
        <v>0</v>
      </c>
    </row>
    <row r="549" spans="1:24" ht="14.5" thickBot="1" x14ac:dyDescent="0.35">
      <c r="A549">
        <v>1</v>
      </c>
      <c r="B549" t="str">
        <f t="shared" si="51"/>
        <v>Male</v>
      </c>
      <c r="C549" s="8">
        <v>39</v>
      </c>
      <c r="D549" t="str">
        <f t="shared" si="52"/>
        <v>Young</v>
      </c>
      <c r="E549">
        <v>1</v>
      </c>
      <c r="F549" t="str">
        <f>HLOOKUP(E549, LookUP_Table!$A$6:$D$7, 2, FALSE)</f>
        <v>Primary</v>
      </c>
      <c r="G549" t="str">
        <f>IFERROR(VLOOKUP(E549, LookUP_Table!$A$1:$B$4, 2, FALSE), "")</f>
        <v>Primary</v>
      </c>
      <c r="H549">
        <v>1</v>
      </c>
      <c r="I549">
        <v>20</v>
      </c>
      <c r="J549" t="str">
        <f t="shared" si="48"/>
        <v>Smoker</v>
      </c>
      <c r="K549">
        <v>0</v>
      </c>
      <c r="L549">
        <v>0</v>
      </c>
      <c r="M549">
        <v>0</v>
      </c>
      <c r="N549">
        <v>0</v>
      </c>
      <c r="O549">
        <v>186</v>
      </c>
      <c r="P549" t="str">
        <f t="shared" si="49"/>
        <v>Normal</v>
      </c>
      <c r="Q549">
        <v>126</v>
      </c>
      <c r="R549">
        <v>67</v>
      </c>
      <c r="S549">
        <v>22.04</v>
      </c>
      <c r="T549" t="str">
        <f t="shared" si="50"/>
        <v>Normal</v>
      </c>
      <c r="U549">
        <v>63</v>
      </c>
      <c r="V549">
        <v>72</v>
      </c>
      <c r="W549" t="str">
        <f t="shared" si="53"/>
        <v>Normal</v>
      </c>
      <c r="X549">
        <v>0</v>
      </c>
    </row>
    <row r="550" spans="1:24" ht="14.5" thickBot="1" x14ac:dyDescent="0.35">
      <c r="A550">
        <v>1</v>
      </c>
      <c r="B550" t="str">
        <f t="shared" si="51"/>
        <v>Male</v>
      </c>
      <c r="C550" s="8">
        <v>39</v>
      </c>
      <c r="D550" t="str">
        <f t="shared" si="52"/>
        <v>Young</v>
      </c>
      <c r="E550">
        <v>4</v>
      </c>
      <c r="F550" t="str">
        <f>HLOOKUP(E550, LookUP_Table!$A$6:$D$7, 2, FALSE)</f>
        <v>Post Graduate</v>
      </c>
      <c r="G550" t="str">
        <f>IFERROR(VLOOKUP(E550, LookUP_Table!$A$1:$B$4, 2, FALSE), "")</f>
        <v>Post Graduate</v>
      </c>
      <c r="H550">
        <v>1</v>
      </c>
      <c r="I550">
        <v>9</v>
      </c>
      <c r="J550" t="str">
        <f t="shared" si="48"/>
        <v>Smoker</v>
      </c>
      <c r="K550">
        <v>0</v>
      </c>
      <c r="L550">
        <v>0</v>
      </c>
      <c r="M550">
        <v>0</v>
      </c>
      <c r="N550">
        <v>0</v>
      </c>
      <c r="O550">
        <v>271</v>
      </c>
      <c r="P550" t="str">
        <f t="shared" si="49"/>
        <v>High</v>
      </c>
      <c r="Q550">
        <v>118</v>
      </c>
      <c r="R550">
        <v>74</v>
      </c>
      <c r="S550">
        <v>22.66</v>
      </c>
      <c r="T550" t="str">
        <f t="shared" si="50"/>
        <v>Normal</v>
      </c>
      <c r="U550">
        <v>79</v>
      </c>
      <c r="V550">
        <v>76</v>
      </c>
      <c r="W550" t="str">
        <f t="shared" si="53"/>
        <v>Normal</v>
      </c>
      <c r="X550">
        <v>0</v>
      </c>
    </row>
    <row r="551" spans="1:24" ht="14.5" thickBot="1" x14ac:dyDescent="0.35">
      <c r="A551">
        <v>1</v>
      </c>
      <c r="B551" t="str">
        <f t="shared" si="51"/>
        <v>Male</v>
      </c>
      <c r="C551" s="8">
        <v>39</v>
      </c>
      <c r="D551" t="str">
        <f t="shared" si="52"/>
        <v>Young</v>
      </c>
      <c r="E551">
        <v>1</v>
      </c>
      <c r="F551" t="str">
        <f>HLOOKUP(E551, LookUP_Table!$A$6:$D$7, 2, FALSE)</f>
        <v>Primary</v>
      </c>
      <c r="G551" t="str">
        <f>IFERROR(VLOOKUP(E551, LookUP_Table!$A$1:$B$4, 2, FALSE), "")</f>
        <v>Primary</v>
      </c>
      <c r="H551">
        <v>1</v>
      </c>
      <c r="I551">
        <v>15</v>
      </c>
      <c r="J551" t="str">
        <f t="shared" si="48"/>
        <v>Smoker</v>
      </c>
      <c r="K551">
        <v>0</v>
      </c>
      <c r="L551">
        <v>0</v>
      </c>
      <c r="M551">
        <v>0</v>
      </c>
      <c r="N551">
        <v>0</v>
      </c>
      <c r="O551">
        <v>181</v>
      </c>
      <c r="P551" t="str">
        <f t="shared" si="49"/>
        <v>Normal</v>
      </c>
      <c r="Q551">
        <v>115</v>
      </c>
      <c r="R551">
        <v>75</v>
      </c>
      <c r="S551">
        <v>21.99</v>
      </c>
      <c r="T551" t="str">
        <f t="shared" si="50"/>
        <v>Normal</v>
      </c>
      <c r="U551">
        <v>67</v>
      </c>
      <c r="V551">
        <v>81.96365524402907</v>
      </c>
      <c r="W551" t="str">
        <f t="shared" si="53"/>
        <v>Normal</v>
      </c>
      <c r="X551">
        <v>0</v>
      </c>
    </row>
    <row r="552" spans="1:24" ht="14.5" thickBot="1" x14ac:dyDescent="0.35">
      <c r="A552">
        <v>0</v>
      </c>
      <c r="B552" t="str">
        <f t="shared" si="51"/>
        <v>Female</v>
      </c>
      <c r="C552" s="8">
        <v>39</v>
      </c>
      <c r="D552" t="str">
        <f t="shared" si="52"/>
        <v>Young</v>
      </c>
      <c r="E552">
        <v>3</v>
      </c>
      <c r="F552" t="str">
        <f>HLOOKUP(E552, LookUP_Table!$A$6:$D$7, 2, FALSE)</f>
        <v>Graduate</v>
      </c>
      <c r="G552" t="str">
        <f>IFERROR(VLOOKUP(E552, LookUP_Table!$A$1:$B$4, 2, FALSE), "")</f>
        <v>Graduate</v>
      </c>
      <c r="H552">
        <v>0</v>
      </c>
      <c r="I552">
        <v>0</v>
      </c>
      <c r="J552" t="str">
        <f t="shared" si="48"/>
        <v>Non-Smoker</v>
      </c>
      <c r="K552">
        <v>0</v>
      </c>
      <c r="L552">
        <v>0</v>
      </c>
      <c r="M552">
        <v>0</v>
      </c>
      <c r="N552">
        <v>0</v>
      </c>
      <c r="O552">
        <v>181</v>
      </c>
      <c r="P552" t="str">
        <f t="shared" si="49"/>
        <v>Normal</v>
      </c>
      <c r="Q552">
        <v>103</v>
      </c>
      <c r="R552">
        <v>62</v>
      </c>
      <c r="S552">
        <v>20.68</v>
      </c>
      <c r="T552" t="str">
        <f t="shared" si="50"/>
        <v>Normal</v>
      </c>
      <c r="U552">
        <v>70</v>
      </c>
      <c r="V552">
        <v>69</v>
      </c>
      <c r="W552" t="str">
        <f t="shared" si="53"/>
        <v>Normal</v>
      </c>
      <c r="X552">
        <v>0</v>
      </c>
    </row>
    <row r="553" spans="1:24" ht="14.5" thickBot="1" x14ac:dyDescent="0.35">
      <c r="A553">
        <v>0</v>
      </c>
      <c r="B553" t="str">
        <f t="shared" si="51"/>
        <v>Female</v>
      </c>
      <c r="C553" s="8">
        <v>39</v>
      </c>
      <c r="D553" t="str">
        <f t="shared" si="52"/>
        <v>Young</v>
      </c>
      <c r="E553">
        <v>1</v>
      </c>
      <c r="F553" t="str">
        <f>HLOOKUP(E553, LookUP_Table!$A$6:$D$7, 2, FALSE)</f>
        <v>Primary</v>
      </c>
      <c r="G553" t="str">
        <f>IFERROR(VLOOKUP(E553, LookUP_Table!$A$1:$B$4, 2, FALSE), "")</f>
        <v>Primary</v>
      </c>
      <c r="H553">
        <v>0</v>
      </c>
      <c r="I553">
        <v>0</v>
      </c>
      <c r="J553" t="str">
        <f t="shared" si="48"/>
        <v>Non-Smoker</v>
      </c>
      <c r="K553">
        <v>0</v>
      </c>
      <c r="L553">
        <v>0</v>
      </c>
      <c r="M553">
        <v>0</v>
      </c>
      <c r="N553">
        <v>0</v>
      </c>
      <c r="O553">
        <v>195</v>
      </c>
      <c r="P553" t="str">
        <f t="shared" si="49"/>
        <v>Normal</v>
      </c>
      <c r="Q553">
        <v>129.5</v>
      </c>
      <c r="R553">
        <v>93.5</v>
      </c>
      <c r="S553">
        <v>34.840000000000003</v>
      </c>
      <c r="T553" t="str">
        <f t="shared" si="50"/>
        <v>Obese</v>
      </c>
      <c r="U553">
        <v>85</v>
      </c>
      <c r="V553">
        <v>85</v>
      </c>
      <c r="W553" t="str">
        <f t="shared" si="53"/>
        <v>Normal</v>
      </c>
      <c r="X553">
        <v>0</v>
      </c>
    </row>
    <row r="554" spans="1:24" ht="14.5" thickBot="1" x14ac:dyDescent="0.35">
      <c r="A554">
        <v>1</v>
      </c>
      <c r="B554" t="str">
        <f t="shared" si="51"/>
        <v>Male</v>
      </c>
      <c r="C554" s="8">
        <v>39</v>
      </c>
      <c r="D554" t="str">
        <f t="shared" si="52"/>
        <v>Young</v>
      </c>
      <c r="E554">
        <v>1</v>
      </c>
      <c r="F554" t="str">
        <f>HLOOKUP(E554, LookUP_Table!$A$6:$D$7, 2, FALSE)</f>
        <v>Primary</v>
      </c>
      <c r="G554" t="str">
        <f>IFERROR(VLOOKUP(E554, LookUP_Table!$A$1:$B$4, 2, FALSE), "")</f>
        <v>Primary</v>
      </c>
      <c r="H554">
        <v>1</v>
      </c>
      <c r="I554">
        <v>20</v>
      </c>
      <c r="J554" t="str">
        <f t="shared" si="48"/>
        <v>Smoker</v>
      </c>
      <c r="K554">
        <v>0</v>
      </c>
      <c r="L554">
        <v>0</v>
      </c>
      <c r="M554">
        <v>0</v>
      </c>
      <c r="N554">
        <v>0</v>
      </c>
      <c r="O554">
        <v>253</v>
      </c>
      <c r="P554" t="str">
        <f t="shared" si="49"/>
        <v>High</v>
      </c>
      <c r="Q554">
        <v>104</v>
      </c>
      <c r="R554">
        <v>64</v>
      </c>
      <c r="S554">
        <v>27.48</v>
      </c>
      <c r="T554" t="str">
        <f t="shared" si="50"/>
        <v>Overweight</v>
      </c>
      <c r="U554">
        <v>65</v>
      </c>
      <c r="V554">
        <v>74</v>
      </c>
      <c r="W554" t="str">
        <f t="shared" si="53"/>
        <v>Normal</v>
      </c>
      <c r="X554">
        <v>0</v>
      </c>
    </row>
    <row r="555" spans="1:24" ht="14.5" thickBot="1" x14ac:dyDescent="0.35">
      <c r="A555">
        <v>0</v>
      </c>
      <c r="B555" t="str">
        <f t="shared" si="51"/>
        <v>Female</v>
      </c>
      <c r="C555" s="8">
        <v>39</v>
      </c>
      <c r="D555" t="str">
        <f t="shared" si="52"/>
        <v>Young</v>
      </c>
      <c r="E555">
        <v>3</v>
      </c>
      <c r="F555" t="str">
        <f>HLOOKUP(E555, LookUP_Table!$A$6:$D$7, 2, FALSE)</f>
        <v>Graduate</v>
      </c>
      <c r="G555" t="str">
        <f>IFERROR(VLOOKUP(E555, LookUP_Table!$A$1:$B$4, 2, FALSE), "")</f>
        <v>Graduate</v>
      </c>
      <c r="H555">
        <v>0</v>
      </c>
      <c r="I555">
        <v>0</v>
      </c>
      <c r="J555" t="str">
        <f t="shared" si="48"/>
        <v>Non-Smoker</v>
      </c>
      <c r="K555">
        <v>0</v>
      </c>
      <c r="L555">
        <v>0</v>
      </c>
      <c r="M555">
        <v>0</v>
      </c>
      <c r="N555">
        <v>0</v>
      </c>
      <c r="O555">
        <v>195</v>
      </c>
      <c r="P555" t="str">
        <f t="shared" si="49"/>
        <v>Normal</v>
      </c>
      <c r="Q555">
        <v>97.5</v>
      </c>
      <c r="R555">
        <v>60</v>
      </c>
      <c r="S555">
        <v>20.62</v>
      </c>
      <c r="T555" t="str">
        <f t="shared" si="50"/>
        <v>Normal</v>
      </c>
      <c r="U555">
        <v>64</v>
      </c>
      <c r="V555">
        <v>68</v>
      </c>
      <c r="W555" t="str">
        <f t="shared" si="53"/>
        <v>Normal</v>
      </c>
      <c r="X555">
        <v>0</v>
      </c>
    </row>
    <row r="556" spans="1:24" ht="14.5" thickBot="1" x14ac:dyDescent="0.35">
      <c r="A556">
        <v>1</v>
      </c>
      <c r="B556" t="str">
        <f t="shared" si="51"/>
        <v>Male</v>
      </c>
      <c r="C556" s="8">
        <v>39</v>
      </c>
      <c r="D556" t="str">
        <f t="shared" si="52"/>
        <v>Young</v>
      </c>
      <c r="E556">
        <v>2</v>
      </c>
      <c r="F556" t="str">
        <f>HLOOKUP(E556, LookUP_Table!$A$6:$D$7, 2, FALSE)</f>
        <v>Secondary</v>
      </c>
      <c r="G556" t="str">
        <f>IFERROR(VLOOKUP(E556, LookUP_Table!$A$1:$B$4, 2, FALSE), "")</f>
        <v>Secondary</v>
      </c>
      <c r="H556">
        <v>1</v>
      </c>
      <c r="I556">
        <v>20</v>
      </c>
      <c r="J556" t="str">
        <f t="shared" si="48"/>
        <v>Smoker</v>
      </c>
      <c r="K556">
        <v>0</v>
      </c>
      <c r="L556">
        <v>0</v>
      </c>
      <c r="M556">
        <v>0</v>
      </c>
      <c r="N556">
        <v>0</v>
      </c>
      <c r="O556">
        <v>287</v>
      </c>
      <c r="P556" t="str">
        <f t="shared" si="49"/>
        <v>High</v>
      </c>
      <c r="Q556">
        <v>136</v>
      </c>
      <c r="R556">
        <v>86</v>
      </c>
      <c r="S556">
        <v>19</v>
      </c>
      <c r="T556" t="str">
        <f t="shared" si="50"/>
        <v>Normal</v>
      </c>
      <c r="U556">
        <v>112</v>
      </c>
      <c r="V556">
        <v>83</v>
      </c>
      <c r="W556" t="str">
        <f t="shared" si="53"/>
        <v>Normal</v>
      </c>
      <c r="X556">
        <v>0</v>
      </c>
    </row>
    <row r="557" spans="1:24" ht="14.5" thickBot="1" x14ac:dyDescent="0.35">
      <c r="A557">
        <v>0</v>
      </c>
      <c r="B557" t="str">
        <f t="shared" si="51"/>
        <v>Female</v>
      </c>
      <c r="C557" s="8">
        <v>39</v>
      </c>
      <c r="D557" t="str">
        <f t="shared" si="52"/>
        <v>Young</v>
      </c>
      <c r="E557">
        <v>3</v>
      </c>
      <c r="F557" t="str">
        <f>HLOOKUP(E557, LookUP_Table!$A$6:$D$7, 2, FALSE)</f>
        <v>Graduate</v>
      </c>
      <c r="G557" t="str">
        <f>IFERROR(VLOOKUP(E557, LookUP_Table!$A$1:$B$4, 2, FALSE), "")</f>
        <v>Graduate</v>
      </c>
      <c r="H557">
        <v>1</v>
      </c>
      <c r="I557">
        <v>30</v>
      </c>
      <c r="J557" t="str">
        <f t="shared" si="48"/>
        <v>Smoker</v>
      </c>
      <c r="K557">
        <v>0</v>
      </c>
      <c r="L557">
        <v>0</v>
      </c>
      <c r="M557">
        <v>0</v>
      </c>
      <c r="N557">
        <v>0</v>
      </c>
      <c r="O557">
        <v>196</v>
      </c>
      <c r="P557" t="str">
        <f t="shared" si="49"/>
        <v>Normal</v>
      </c>
      <c r="Q557">
        <v>133</v>
      </c>
      <c r="R557">
        <v>86</v>
      </c>
      <c r="S557">
        <v>20.91</v>
      </c>
      <c r="T557" t="str">
        <f t="shared" si="50"/>
        <v>Normal</v>
      </c>
      <c r="U557">
        <v>85</v>
      </c>
      <c r="V557">
        <v>80</v>
      </c>
      <c r="W557" t="str">
        <f t="shared" si="53"/>
        <v>Normal</v>
      </c>
      <c r="X557">
        <v>0</v>
      </c>
    </row>
    <row r="558" spans="1:24" ht="14.5" thickBot="1" x14ac:dyDescent="0.35">
      <c r="A558">
        <v>0</v>
      </c>
      <c r="B558" t="str">
        <f t="shared" si="51"/>
        <v>Female</v>
      </c>
      <c r="C558" s="8">
        <v>40</v>
      </c>
      <c r="D558" t="str">
        <f t="shared" si="52"/>
        <v>Middle Age</v>
      </c>
      <c r="E558">
        <v>4</v>
      </c>
      <c r="F558" t="str">
        <f>HLOOKUP(E558, LookUP_Table!$A$6:$D$7, 2, FALSE)</f>
        <v>Post Graduate</v>
      </c>
      <c r="G558" t="str">
        <f>IFERROR(VLOOKUP(E558, LookUP_Table!$A$1:$B$4, 2, FALSE), "")</f>
        <v>Post Graduate</v>
      </c>
      <c r="H558">
        <v>1</v>
      </c>
      <c r="I558">
        <v>20</v>
      </c>
      <c r="J558" t="str">
        <f t="shared" si="48"/>
        <v>Smoker</v>
      </c>
      <c r="K558">
        <v>0</v>
      </c>
      <c r="L558">
        <v>0</v>
      </c>
      <c r="M558">
        <v>0</v>
      </c>
      <c r="N558">
        <v>0</v>
      </c>
      <c r="O558">
        <v>205</v>
      </c>
      <c r="P558" t="str">
        <f t="shared" si="49"/>
        <v>Normal</v>
      </c>
      <c r="Q558">
        <v>158</v>
      </c>
      <c r="R558">
        <v>102</v>
      </c>
      <c r="S558">
        <v>25.45</v>
      </c>
      <c r="T558" t="str">
        <f t="shared" si="50"/>
        <v>Overweight</v>
      </c>
      <c r="U558">
        <v>75</v>
      </c>
      <c r="V558">
        <v>87</v>
      </c>
      <c r="W558" t="str">
        <f t="shared" si="53"/>
        <v>Normal</v>
      </c>
      <c r="X558">
        <v>1</v>
      </c>
    </row>
    <row r="559" spans="1:24" ht="14.5" thickBot="1" x14ac:dyDescent="0.35">
      <c r="A559">
        <v>0</v>
      </c>
      <c r="B559" t="str">
        <f t="shared" si="51"/>
        <v>Female</v>
      </c>
      <c r="C559" s="8">
        <v>40</v>
      </c>
      <c r="D559" t="str">
        <f t="shared" si="52"/>
        <v>Middle Age</v>
      </c>
      <c r="E559">
        <v>2</v>
      </c>
      <c r="F559" t="str">
        <f>HLOOKUP(E559, LookUP_Table!$A$6:$D$7, 2, FALSE)</f>
        <v>Secondary</v>
      </c>
      <c r="G559" t="str">
        <f>IFERROR(VLOOKUP(E559, LookUP_Table!$A$1:$B$4, 2, FALSE), "")</f>
        <v>Secondary</v>
      </c>
      <c r="H559">
        <v>0</v>
      </c>
      <c r="I559">
        <v>0</v>
      </c>
      <c r="J559" t="str">
        <f t="shared" si="48"/>
        <v>Non-Smoker</v>
      </c>
      <c r="K559">
        <v>0</v>
      </c>
      <c r="L559">
        <v>0</v>
      </c>
      <c r="M559">
        <v>0</v>
      </c>
      <c r="N559">
        <v>0</v>
      </c>
      <c r="O559">
        <v>205</v>
      </c>
      <c r="P559" t="str">
        <f t="shared" si="49"/>
        <v>Normal</v>
      </c>
      <c r="Q559">
        <v>100</v>
      </c>
      <c r="R559">
        <v>60</v>
      </c>
      <c r="S559">
        <v>25.80080075811421</v>
      </c>
      <c r="T559" t="str">
        <f t="shared" si="50"/>
        <v>Overweight</v>
      </c>
      <c r="U559">
        <v>60</v>
      </c>
      <c r="V559">
        <v>72</v>
      </c>
      <c r="W559" t="str">
        <f t="shared" si="53"/>
        <v>Normal</v>
      </c>
      <c r="X559">
        <v>1</v>
      </c>
    </row>
    <row r="560" spans="1:24" ht="14.5" thickBot="1" x14ac:dyDescent="0.35">
      <c r="A560">
        <v>1</v>
      </c>
      <c r="B560" t="str">
        <f t="shared" si="51"/>
        <v>Male</v>
      </c>
      <c r="C560" s="8">
        <v>40</v>
      </c>
      <c r="D560" t="str">
        <f t="shared" si="52"/>
        <v>Middle Age</v>
      </c>
      <c r="E560">
        <v>1</v>
      </c>
      <c r="F560" t="str">
        <f>HLOOKUP(E560, LookUP_Table!$A$6:$D$7, 2, FALSE)</f>
        <v>Primary</v>
      </c>
      <c r="G560" t="str">
        <f>IFERROR(VLOOKUP(E560, LookUP_Table!$A$1:$B$4, 2, FALSE), "")</f>
        <v>Primary</v>
      </c>
      <c r="H560">
        <v>1</v>
      </c>
      <c r="I560">
        <v>43</v>
      </c>
      <c r="J560" t="str">
        <f t="shared" si="48"/>
        <v>Smoker</v>
      </c>
      <c r="K560">
        <v>0</v>
      </c>
      <c r="L560">
        <v>0</v>
      </c>
      <c r="M560">
        <v>1</v>
      </c>
      <c r="N560">
        <v>0</v>
      </c>
      <c r="O560">
        <v>290</v>
      </c>
      <c r="P560" t="str">
        <f t="shared" si="49"/>
        <v>High</v>
      </c>
      <c r="Q560">
        <v>138</v>
      </c>
      <c r="R560">
        <v>90</v>
      </c>
      <c r="S560">
        <v>27.54</v>
      </c>
      <c r="T560" t="str">
        <f t="shared" si="50"/>
        <v>Overweight</v>
      </c>
      <c r="U560">
        <v>85</v>
      </c>
      <c r="V560">
        <v>73</v>
      </c>
      <c r="W560" t="str">
        <f t="shared" si="53"/>
        <v>Normal</v>
      </c>
      <c r="X560">
        <v>1</v>
      </c>
    </row>
    <row r="561" spans="1:24" ht="14.5" thickBot="1" x14ac:dyDescent="0.35">
      <c r="A561">
        <v>1</v>
      </c>
      <c r="B561" t="str">
        <f t="shared" si="51"/>
        <v>Male</v>
      </c>
      <c r="C561" s="8">
        <v>40</v>
      </c>
      <c r="D561" t="str">
        <f t="shared" si="52"/>
        <v>Middle Age</v>
      </c>
      <c r="E561">
        <v>3</v>
      </c>
      <c r="F561" t="str">
        <f>HLOOKUP(E561, LookUP_Table!$A$6:$D$7, 2, FALSE)</f>
        <v>Graduate</v>
      </c>
      <c r="G561" t="str">
        <f>IFERROR(VLOOKUP(E561, LookUP_Table!$A$1:$B$4, 2, FALSE), "")</f>
        <v>Graduate</v>
      </c>
      <c r="H561">
        <v>0</v>
      </c>
      <c r="I561">
        <v>0</v>
      </c>
      <c r="J561" t="str">
        <f t="shared" si="48"/>
        <v>Non-Smoker</v>
      </c>
      <c r="K561">
        <v>0</v>
      </c>
      <c r="L561">
        <v>0</v>
      </c>
      <c r="M561">
        <v>0</v>
      </c>
      <c r="N561">
        <v>0</v>
      </c>
      <c r="O561">
        <v>154</v>
      </c>
      <c r="P561" t="str">
        <f t="shared" si="49"/>
        <v>Normal</v>
      </c>
      <c r="Q561">
        <v>117.5</v>
      </c>
      <c r="R561">
        <v>72.5</v>
      </c>
      <c r="S561">
        <v>26.82</v>
      </c>
      <c r="T561" t="str">
        <f t="shared" si="50"/>
        <v>Overweight</v>
      </c>
      <c r="U561">
        <v>80</v>
      </c>
      <c r="V561">
        <v>87</v>
      </c>
      <c r="W561" t="str">
        <f t="shared" si="53"/>
        <v>Normal</v>
      </c>
      <c r="X561">
        <v>0</v>
      </c>
    </row>
    <row r="562" spans="1:24" ht="14.5" thickBot="1" x14ac:dyDescent="0.35">
      <c r="A562">
        <v>0</v>
      </c>
      <c r="B562" t="str">
        <f t="shared" si="51"/>
        <v>Female</v>
      </c>
      <c r="C562" s="8">
        <v>40</v>
      </c>
      <c r="D562" t="str">
        <f t="shared" si="52"/>
        <v>Middle Age</v>
      </c>
      <c r="E562">
        <v>2</v>
      </c>
      <c r="F562" t="str">
        <f>HLOOKUP(E562, LookUP_Table!$A$6:$D$7, 2, FALSE)</f>
        <v>Secondary</v>
      </c>
      <c r="G562" t="str">
        <f>IFERROR(VLOOKUP(E562, LookUP_Table!$A$1:$B$4, 2, FALSE), "")</f>
        <v>Secondary</v>
      </c>
      <c r="H562">
        <v>0</v>
      </c>
      <c r="I562">
        <v>0</v>
      </c>
      <c r="J562" t="str">
        <f t="shared" si="48"/>
        <v>Non-Smoker</v>
      </c>
      <c r="K562">
        <v>0</v>
      </c>
      <c r="L562">
        <v>0</v>
      </c>
      <c r="M562">
        <v>0</v>
      </c>
      <c r="N562">
        <v>0</v>
      </c>
      <c r="O562">
        <v>173</v>
      </c>
      <c r="P562" t="str">
        <f t="shared" si="49"/>
        <v>Normal</v>
      </c>
      <c r="Q562">
        <v>106</v>
      </c>
      <c r="R562">
        <v>82</v>
      </c>
      <c r="S562">
        <v>23.05</v>
      </c>
      <c r="T562" t="str">
        <f t="shared" si="50"/>
        <v>Normal</v>
      </c>
      <c r="U562">
        <v>85</v>
      </c>
      <c r="V562">
        <v>83</v>
      </c>
      <c r="W562" t="str">
        <f t="shared" si="53"/>
        <v>Normal</v>
      </c>
      <c r="X562">
        <v>0</v>
      </c>
    </row>
    <row r="563" spans="1:24" ht="14.5" thickBot="1" x14ac:dyDescent="0.35">
      <c r="A563">
        <v>1</v>
      </c>
      <c r="B563" t="str">
        <f t="shared" si="51"/>
        <v>Male</v>
      </c>
      <c r="C563" s="8">
        <v>40</v>
      </c>
      <c r="D563" t="str">
        <f t="shared" si="52"/>
        <v>Middle Age</v>
      </c>
      <c r="E563">
        <v>3</v>
      </c>
      <c r="F563" t="str">
        <f>HLOOKUP(E563, LookUP_Table!$A$6:$D$7, 2, FALSE)</f>
        <v>Graduate</v>
      </c>
      <c r="G563" t="str">
        <f>IFERROR(VLOOKUP(E563, LookUP_Table!$A$1:$B$4, 2, FALSE), "")</f>
        <v>Graduate</v>
      </c>
      <c r="H563">
        <v>1</v>
      </c>
      <c r="I563">
        <v>43</v>
      </c>
      <c r="J563" t="str">
        <f t="shared" si="48"/>
        <v>Smoker</v>
      </c>
      <c r="K563">
        <v>0</v>
      </c>
      <c r="L563">
        <v>0</v>
      </c>
      <c r="M563">
        <v>0</v>
      </c>
      <c r="N563">
        <v>0</v>
      </c>
      <c r="O563">
        <v>238</v>
      </c>
      <c r="P563" t="str">
        <f t="shared" si="49"/>
        <v>Normal</v>
      </c>
      <c r="Q563">
        <v>129</v>
      </c>
      <c r="R563">
        <v>88</v>
      </c>
      <c r="S563">
        <v>26.32</v>
      </c>
      <c r="T563" t="str">
        <f t="shared" si="50"/>
        <v>Overweight</v>
      </c>
      <c r="U563">
        <v>95</v>
      </c>
      <c r="V563">
        <v>60</v>
      </c>
      <c r="W563" t="str">
        <f t="shared" si="53"/>
        <v>Normal</v>
      </c>
      <c r="X563">
        <v>0</v>
      </c>
    </row>
    <row r="564" spans="1:24" ht="14.5" thickBot="1" x14ac:dyDescent="0.35">
      <c r="A564">
        <v>0</v>
      </c>
      <c r="B564" t="str">
        <f t="shared" si="51"/>
        <v>Female</v>
      </c>
      <c r="C564" s="8">
        <v>40</v>
      </c>
      <c r="D564" t="str">
        <f t="shared" si="52"/>
        <v>Middle Age</v>
      </c>
      <c r="E564">
        <v>2</v>
      </c>
      <c r="F564" t="str">
        <f>HLOOKUP(E564, LookUP_Table!$A$6:$D$7, 2, FALSE)</f>
        <v>Secondary</v>
      </c>
      <c r="G564" t="str">
        <f>IFERROR(VLOOKUP(E564, LookUP_Table!$A$1:$B$4, 2, FALSE), "")</f>
        <v>Secondary</v>
      </c>
      <c r="H564">
        <v>1</v>
      </c>
      <c r="I564">
        <v>20</v>
      </c>
      <c r="J564" t="str">
        <f t="shared" si="48"/>
        <v>Smoker</v>
      </c>
      <c r="K564">
        <v>0</v>
      </c>
      <c r="L564">
        <v>0</v>
      </c>
      <c r="M564">
        <v>0</v>
      </c>
      <c r="N564">
        <v>0</v>
      </c>
      <c r="O564">
        <v>197</v>
      </c>
      <c r="P564" t="str">
        <f t="shared" si="49"/>
        <v>Normal</v>
      </c>
      <c r="Q564">
        <v>124</v>
      </c>
      <c r="R564">
        <v>76</v>
      </c>
      <c r="S564">
        <v>18.059999999999999</v>
      </c>
      <c r="T564" t="str">
        <f t="shared" si="50"/>
        <v>Underweight</v>
      </c>
      <c r="U564">
        <v>90</v>
      </c>
      <c r="V564">
        <v>69</v>
      </c>
      <c r="W564" t="str">
        <f t="shared" si="53"/>
        <v>Normal</v>
      </c>
      <c r="X564">
        <v>0</v>
      </c>
    </row>
    <row r="565" spans="1:24" ht="14.5" thickBot="1" x14ac:dyDescent="0.35">
      <c r="A565">
        <v>0</v>
      </c>
      <c r="B565" t="str">
        <f t="shared" si="51"/>
        <v>Female</v>
      </c>
      <c r="C565" s="8">
        <v>40</v>
      </c>
      <c r="D565" t="str">
        <f t="shared" si="52"/>
        <v>Middle Age</v>
      </c>
      <c r="E565">
        <v>2</v>
      </c>
      <c r="F565" t="str">
        <f>HLOOKUP(E565, LookUP_Table!$A$6:$D$7, 2, FALSE)</f>
        <v>Secondary</v>
      </c>
      <c r="G565" t="str">
        <f>IFERROR(VLOOKUP(E565, LookUP_Table!$A$1:$B$4, 2, FALSE), "")</f>
        <v>Secondary</v>
      </c>
      <c r="H565">
        <v>1</v>
      </c>
      <c r="I565">
        <v>20</v>
      </c>
      <c r="J565" t="str">
        <f t="shared" si="48"/>
        <v>Smoker</v>
      </c>
      <c r="K565">
        <v>0</v>
      </c>
      <c r="L565">
        <v>0</v>
      </c>
      <c r="M565">
        <v>0</v>
      </c>
      <c r="N565">
        <v>1</v>
      </c>
      <c r="O565">
        <v>236.69952267303103</v>
      </c>
      <c r="P565" t="str">
        <f t="shared" si="49"/>
        <v>Normal</v>
      </c>
      <c r="Q565">
        <v>114</v>
      </c>
      <c r="R565">
        <v>65</v>
      </c>
      <c r="S565">
        <v>21.19</v>
      </c>
      <c r="T565" t="str">
        <f t="shared" si="50"/>
        <v>Normal</v>
      </c>
      <c r="U565">
        <v>61</v>
      </c>
      <c r="V565">
        <v>81.96365524402907</v>
      </c>
      <c r="W565" t="str">
        <f t="shared" si="53"/>
        <v>Normal</v>
      </c>
      <c r="X565">
        <v>1</v>
      </c>
    </row>
    <row r="566" spans="1:24" ht="14.5" thickBot="1" x14ac:dyDescent="0.35">
      <c r="A566">
        <v>0</v>
      </c>
      <c r="B566" t="str">
        <f t="shared" si="51"/>
        <v>Female</v>
      </c>
      <c r="C566" s="8">
        <v>40</v>
      </c>
      <c r="D566" t="str">
        <f t="shared" si="52"/>
        <v>Middle Age</v>
      </c>
      <c r="E566">
        <v>3</v>
      </c>
      <c r="F566" t="str">
        <f>HLOOKUP(E566, LookUP_Table!$A$6:$D$7, 2, FALSE)</f>
        <v>Graduate</v>
      </c>
      <c r="G566" t="str">
        <f>IFERROR(VLOOKUP(E566, LookUP_Table!$A$1:$B$4, 2, FALSE), "")</f>
        <v>Graduate</v>
      </c>
      <c r="H566">
        <v>1</v>
      </c>
      <c r="I566">
        <v>20</v>
      </c>
      <c r="J566" t="str">
        <f t="shared" si="48"/>
        <v>Smoker</v>
      </c>
      <c r="K566">
        <v>0</v>
      </c>
      <c r="L566">
        <v>0</v>
      </c>
      <c r="M566">
        <v>0</v>
      </c>
      <c r="N566">
        <v>0</v>
      </c>
      <c r="O566">
        <v>210</v>
      </c>
      <c r="P566" t="str">
        <f t="shared" si="49"/>
        <v>Normal</v>
      </c>
      <c r="Q566">
        <v>118</v>
      </c>
      <c r="R566">
        <v>79</v>
      </c>
      <c r="S566">
        <v>21.21</v>
      </c>
      <c r="T566" t="str">
        <f t="shared" si="50"/>
        <v>Normal</v>
      </c>
      <c r="U566">
        <v>130</v>
      </c>
      <c r="V566">
        <v>84</v>
      </c>
      <c r="W566" t="str">
        <f t="shared" si="53"/>
        <v>Normal</v>
      </c>
      <c r="X566">
        <v>0</v>
      </c>
    </row>
    <row r="567" spans="1:24" ht="14.5" thickBot="1" x14ac:dyDescent="0.35">
      <c r="A567">
        <v>1</v>
      </c>
      <c r="B567" t="str">
        <f t="shared" si="51"/>
        <v>Male</v>
      </c>
      <c r="C567" s="8">
        <v>40</v>
      </c>
      <c r="D567" t="str">
        <f t="shared" si="52"/>
        <v>Middle Age</v>
      </c>
      <c r="E567">
        <v>2</v>
      </c>
      <c r="F567" t="str">
        <f>HLOOKUP(E567, LookUP_Table!$A$6:$D$7, 2, FALSE)</f>
        <v>Secondary</v>
      </c>
      <c r="G567" t="str">
        <f>IFERROR(VLOOKUP(E567, LookUP_Table!$A$1:$B$4, 2, FALSE), "")</f>
        <v>Secondary</v>
      </c>
      <c r="H567">
        <v>1</v>
      </c>
      <c r="I567">
        <v>20</v>
      </c>
      <c r="J567" t="str">
        <f t="shared" si="48"/>
        <v>Smoker</v>
      </c>
      <c r="K567">
        <v>0</v>
      </c>
      <c r="L567">
        <v>0</v>
      </c>
      <c r="M567">
        <v>0</v>
      </c>
      <c r="N567">
        <v>0</v>
      </c>
      <c r="O567">
        <v>283</v>
      </c>
      <c r="P567" t="str">
        <f t="shared" si="49"/>
        <v>High</v>
      </c>
      <c r="Q567">
        <v>146</v>
      </c>
      <c r="R567">
        <v>95</v>
      </c>
      <c r="S567">
        <v>23.27</v>
      </c>
      <c r="T567" t="str">
        <f t="shared" si="50"/>
        <v>Normal</v>
      </c>
      <c r="U567">
        <v>80</v>
      </c>
      <c r="V567">
        <v>64</v>
      </c>
      <c r="W567" t="str">
        <f t="shared" si="53"/>
        <v>Normal</v>
      </c>
      <c r="X567">
        <v>1</v>
      </c>
    </row>
    <row r="568" spans="1:24" ht="14.5" thickBot="1" x14ac:dyDescent="0.35">
      <c r="A568">
        <v>1</v>
      </c>
      <c r="B568" t="str">
        <f t="shared" si="51"/>
        <v>Male</v>
      </c>
      <c r="C568" s="8">
        <v>40</v>
      </c>
      <c r="D568" t="str">
        <f t="shared" si="52"/>
        <v>Middle Age</v>
      </c>
      <c r="E568">
        <v>3</v>
      </c>
      <c r="F568" t="str">
        <f>HLOOKUP(E568, LookUP_Table!$A$6:$D$7, 2, FALSE)</f>
        <v>Graduate</v>
      </c>
      <c r="G568" t="str">
        <f>IFERROR(VLOOKUP(E568, LookUP_Table!$A$1:$B$4, 2, FALSE), "")</f>
        <v>Graduate</v>
      </c>
      <c r="H568">
        <v>1</v>
      </c>
      <c r="I568">
        <v>35</v>
      </c>
      <c r="J568" t="str">
        <f t="shared" si="48"/>
        <v>Smoker</v>
      </c>
      <c r="K568">
        <v>0</v>
      </c>
      <c r="L568">
        <v>0</v>
      </c>
      <c r="M568">
        <v>0</v>
      </c>
      <c r="N568">
        <v>0</v>
      </c>
      <c r="O568">
        <v>185</v>
      </c>
      <c r="P568" t="str">
        <f t="shared" si="49"/>
        <v>Normal</v>
      </c>
      <c r="Q568">
        <v>133</v>
      </c>
      <c r="R568">
        <v>80</v>
      </c>
      <c r="S568">
        <v>21.86</v>
      </c>
      <c r="T568" t="str">
        <f t="shared" si="50"/>
        <v>Normal</v>
      </c>
      <c r="U568">
        <v>63</v>
      </c>
      <c r="V568">
        <v>58</v>
      </c>
      <c r="W568" t="str">
        <f t="shared" si="53"/>
        <v>Normal</v>
      </c>
      <c r="X568">
        <v>0</v>
      </c>
    </row>
    <row r="569" spans="1:24" ht="14.5" thickBot="1" x14ac:dyDescent="0.35">
      <c r="A569">
        <v>0</v>
      </c>
      <c r="B569" t="str">
        <f t="shared" si="51"/>
        <v>Female</v>
      </c>
      <c r="C569" s="8">
        <v>40</v>
      </c>
      <c r="D569" t="str">
        <f t="shared" si="52"/>
        <v>Middle Age</v>
      </c>
      <c r="E569">
        <v>2</v>
      </c>
      <c r="F569" t="str">
        <f>HLOOKUP(E569, LookUP_Table!$A$6:$D$7, 2, FALSE)</f>
        <v>Secondary</v>
      </c>
      <c r="G569" t="str">
        <f>IFERROR(VLOOKUP(E569, LookUP_Table!$A$1:$B$4, 2, FALSE), "")</f>
        <v>Secondary</v>
      </c>
      <c r="H569">
        <v>0</v>
      </c>
      <c r="I569">
        <v>0</v>
      </c>
      <c r="J569" t="str">
        <f t="shared" si="48"/>
        <v>Non-Smoker</v>
      </c>
      <c r="K569">
        <v>0</v>
      </c>
      <c r="L569">
        <v>0</v>
      </c>
      <c r="M569">
        <v>0</v>
      </c>
      <c r="N569">
        <v>0</v>
      </c>
      <c r="O569">
        <v>290</v>
      </c>
      <c r="P569" t="str">
        <f t="shared" si="49"/>
        <v>High</v>
      </c>
      <c r="Q569">
        <v>122</v>
      </c>
      <c r="R569">
        <v>85</v>
      </c>
      <c r="S569">
        <v>24.06</v>
      </c>
      <c r="T569" t="str">
        <f t="shared" si="50"/>
        <v>Normal</v>
      </c>
      <c r="U569">
        <v>87</v>
      </c>
      <c r="V569">
        <v>70</v>
      </c>
      <c r="W569" t="str">
        <f t="shared" si="53"/>
        <v>Normal</v>
      </c>
      <c r="X569">
        <v>0</v>
      </c>
    </row>
    <row r="570" spans="1:24" ht="14.5" thickBot="1" x14ac:dyDescent="0.35">
      <c r="A570">
        <v>1</v>
      </c>
      <c r="B570" t="str">
        <f t="shared" si="51"/>
        <v>Male</v>
      </c>
      <c r="C570" s="8">
        <v>40</v>
      </c>
      <c r="D570" t="str">
        <f t="shared" si="52"/>
        <v>Middle Age</v>
      </c>
      <c r="E570">
        <v>1</v>
      </c>
      <c r="F570" t="str">
        <f>HLOOKUP(E570, LookUP_Table!$A$6:$D$7, 2, FALSE)</f>
        <v>Primary</v>
      </c>
      <c r="G570" t="str">
        <f>IFERROR(VLOOKUP(E570, LookUP_Table!$A$1:$B$4, 2, FALSE), "")</f>
        <v>Primary</v>
      </c>
      <c r="H570">
        <v>1</v>
      </c>
      <c r="I570">
        <v>35</v>
      </c>
      <c r="J570" t="str">
        <f t="shared" si="48"/>
        <v>Smoker</v>
      </c>
      <c r="K570">
        <v>0</v>
      </c>
      <c r="L570">
        <v>0</v>
      </c>
      <c r="M570">
        <v>0</v>
      </c>
      <c r="N570">
        <v>0</v>
      </c>
      <c r="O570">
        <v>195</v>
      </c>
      <c r="P570" t="str">
        <f t="shared" si="49"/>
        <v>Normal</v>
      </c>
      <c r="Q570">
        <v>122.5</v>
      </c>
      <c r="R570">
        <v>66.5</v>
      </c>
      <c r="S570">
        <v>19.98</v>
      </c>
      <c r="T570" t="str">
        <f t="shared" si="50"/>
        <v>Normal</v>
      </c>
      <c r="U570">
        <v>60</v>
      </c>
      <c r="V570">
        <v>72</v>
      </c>
      <c r="W570" t="str">
        <f t="shared" si="53"/>
        <v>Normal</v>
      </c>
      <c r="X570">
        <v>0</v>
      </c>
    </row>
    <row r="571" spans="1:24" ht="14.5" thickBot="1" x14ac:dyDescent="0.35">
      <c r="A571">
        <v>0</v>
      </c>
      <c r="B571" t="str">
        <f t="shared" si="51"/>
        <v>Female</v>
      </c>
      <c r="C571" s="8">
        <v>40</v>
      </c>
      <c r="D571" t="str">
        <f t="shared" si="52"/>
        <v>Middle Age</v>
      </c>
      <c r="E571">
        <v>2</v>
      </c>
      <c r="F571" t="str">
        <f>HLOOKUP(E571, LookUP_Table!$A$6:$D$7, 2, FALSE)</f>
        <v>Secondary</v>
      </c>
      <c r="G571" t="str">
        <f>IFERROR(VLOOKUP(E571, LookUP_Table!$A$1:$B$4, 2, FALSE), "")</f>
        <v>Secondary</v>
      </c>
      <c r="H571">
        <v>0</v>
      </c>
      <c r="I571">
        <v>0</v>
      </c>
      <c r="J571" t="str">
        <f t="shared" si="48"/>
        <v>Non-Smoker</v>
      </c>
      <c r="K571">
        <v>0</v>
      </c>
      <c r="L571">
        <v>0</v>
      </c>
      <c r="M571">
        <v>0</v>
      </c>
      <c r="N571">
        <v>0</v>
      </c>
      <c r="O571">
        <v>195</v>
      </c>
      <c r="P571" t="str">
        <f t="shared" si="49"/>
        <v>Normal</v>
      </c>
      <c r="Q571">
        <v>109.5</v>
      </c>
      <c r="R571">
        <v>72</v>
      </c>
      <c r="S571">
        <v>22.36</v>
      </c>
      <c r="T571" t="str">
        <f t="shared" si="50"/>
        <v>Normal</v>
      </c>
      <c r="U571">
        <v>70</v>
      </c>
      <c r="V571">
        <v>85</v>
      </c>
      <c r="W571" t="str">
        <f t="shared" si="53"/>
        <v>Normal</v>
      </c>
      <c r="X571">
        <v>0</v>
      </c>
    </row>
    <row r="572" spans="1:24" ht="14.5" thickBot="1" x14ac:dyDescent="0.35">
      <c r="A572">
        <v>1</v>
      </c>
      <c r="B572" t="str">
        <f t="shared" si="51"/>
        <v>Male</v>
      </c>
      <c r="C572" s="8">
        <v>40</v>
      </c>
      <c r="D572" t="str">
        <f t="shared" si="52"/>
        <v>Middle Age</v>
      </c>
      <c r="E572">
        <v>4</v>
      </c>
      <c r="F572" t="str">
        <f>HLOOKUP(E572, LookUP_Table!$A$6:$D$7, 2, FALSE)</f>
        <v>Post Graduate</v>
      </c>
      <c r="G572" t="str">
        <f>IFERROR(VLOOKUP(E572, LookUP_Table!$A$1:$B$4, 2, FALSE), "")</f>
        <v>Post Graduate</v>
      </c>
      <c r="H572">
        <v>1</v>
      </c>
      <c r="I572">
        <v>30</v>
      </c>
      <c r="J572" t="str">
        <f t="shared" si="48"/>
        <v>Smoker</v>
      </c>
      <c r="K572">
        <v>0</v>
      </c>
      <c r="L572">
        <v>0</v>
      </c>
      <c r="M572">
        <v>0</v>
      </c>
      <c r="N572">
        <v>0</v>
      </c>
      <c r="O572">
        <v>212</v>
      </c>
      <c r="P572" t="str">
        <f t="shared" si="49"/>
        <v>Normal</v>
      </c>
      <c r="Q572">
        <v>120</v>
      </c>
      <c r="R572">
        <v>80</v>
      </c>
      <c r="S572">
        <v>24.01</v>
      </c>
      <c r="T572" t="str">
        <f t="shared" si="50"/>
        <v>Normal</v>
      </c>
      <c r="U572">
        <v>65</v>
      </c>
      <c r="V572">
        <v>57</v>
      </c>
      <c r="W572" t="str">
        <f t="shared" si="53"/>
        <v>Normal</v>
      </c>
      <c r="X572">
        <v>0</v>
      </c>
    </row>
    <row r="573" spans="1:24" ht="14.5" thickBot="1" x14ac:dyDescent="0.35">
      <c r="A573">
        <v>0</v>
      </c>
      <c r="B573" t="str">
        <f t="shared" si="51"/>
        <v>Female</v>
      </c>
      <c r="C573" s="8">
        <v>40</v>
      </c>
      <c r="D573" t="str">
        <f t="shared" si="52"/>
        <v>Middle Age</v>
      </c>
      <c r="E573">
        <v>2</v>
      </c>
      <c r="F573" t="str">
        <f>HLOOKUP(E573, LookUP_Table!$A$6:$D$7, 2, FALSE)</f>
        <v>Secondary</v>
      </c>
      <c r="G573" t="str">
        <f>IFERROR(VLOOKUP(E573, LookUP_Table!$A$1:$B$4, 2, FALSE), "")</f>
        <v>Secondary</v>
      </c>
      <c r="H573">
        <v>1</v>
      </c>
      <c r="I573">
        <v>15</v>
      </c>
      <c r="J573" t="str">
        <f t="shared" si="48"/>
        <v>Smoker</v>
      </c>
      <c r="K573">
        <v>0</v>
      </c>
      <c r="L573">
        <v>0</v>
      </c>
      <c r="M573">
        <v>0</v>
      </c>
      <c r="N573">
        <v>0</v>
      </c>
      <c r="O573">
        <v>284</v>
      </c>
      <c r="P573" t="str">
        <f t="shared" si="49"/>
        <v>High</v>
      </c>
      <c r="Q573">
        <v>124</v>
      </c>
      <c r="R573">
        <v>83</v>
      </c>
      <c r="S573">
        <v>27.9</v>
      </c>
      <c r="T573" t="str">
        <f t="shared" si="50"/>
        <v>Overweight</v>
      </c>
      <c r="U573">
        <v>75</v>
      </c>
      <c r="V573">
        <v>71</v>
      </c>
      <c r="W573" t="str">
        <f t="shared" si="53"/>
        <v>Normal</v>
      </c>
      <c r="X573">
        <v>0</v>
      </c>
    </row>
    <row r="574" spans="1:24" ht="14.5" thickBot="1" x14ac:dyDescent="0.35">
      <c r="A574">
        <v>1</v>
      </c>
      <c r="B574" t="str">
        <f t="shared" si="51"/>
        <v>Male</v>
      </c>
      <c r="C574" s="8">
        <v>40</v>
      </c>
      <c r="D574" t="str">
        <f t="shared" si="52"/>
        <v>Middle Age</v>
      </c>
      <c r="E574">
        <v>4</v>
      </c>
      <c r="F574" t="str">
        <f>HLOOKUP(E574, LookUP_Table!$A$6:$D$7, 2, FALSE)</f>
        <v>Post Graduate</v>
      </c>
      <c r="G574" t="str">
        <f>IFERROR(VLOOKUP(E574, LookUP_Table!$A$1:$B$4, 2, FALSE), "")</f>
        <v>Post Graduate</v>
      </c>
      <c r="H574">
        <v>1</v>
      </c>
      <c r="I574">
        <v>43</v>
      </c>
      <c r="J574" t="str">
        <f t="shared" si="48"/>
        <v>Smoker</v>
      </c>
      <c r="K574">
        <v>0</v>
      </c>
      <c r="L574">
        <v>0</v>
      </c>
      <c r="M574">
        <v>1</v>
      </c>
      <c r="N574">
        <v>0</v>
      </c>
      <c r="O574">
        <v>258</v>
      </c>
      <c r="P574" t="str">
        <f t="shared" si="49"/>
        <v>High</v>
      </c>
      <c r="Q574">
        <v>135</v>
      </c>
      <c r="R574">
        <v>93</v>
      </c>
      <c r="S574">
        <v>31.69</v>
      </c>
      <c r="T574" t="str">
        <f t="shared" si="50"/>
        <v>Obese</v>
      </c>
      <c r="U574">
        <v>75</v>
      </c>
      <c r="V574">
        <v>57</v>
      </c>
      <c r="W574" t="str">
        <f t="shared" si="53"/>
        <v>Normal</v>
      </c>
      <c r="X574">
        <v>0</v>
      </c>
    </row>
    <row r="575" spans="1:24" ht="14.5" thickBot="1" x14ac:dyDescent="0.35">
      <c r="A575">
        <v>0</v>
      </c>
      <c r="B575" t="str">
        <f t="shared" si="51"/>
        <v>Female</v>
      </c>
      <c r="C575" s="8">
        <v>40</v>
      </c>
      <c r="D575" t="str">
        <f t="shared" si="52"/>
        <v>Middle Age</v>
      </c>
      <c r="E575">
        <v>3</v>
      </c>
      <c r="F575" t="str">
        <f>HLOOKUP(E575, LookUP_Table!$A$6:$D$7, 2, FALSE)</f>
        <v>Graduate</v>
      </c>
      <c r="G575" t="str">
        <f>IFERROR(VLOOKUP(E575, LookUP_Table!$A$1:$B$4, 2, FALSE), "")</f>
        <v>Graduate</v>
      </c>
      <c r="H575">
        <v>1</v>
      </c>
      <c r="I575">
        <v>10</v>
      </c>
      <c r="J575" t="str">
        <f t="shared" si="48"/>
        <v>Smoker</v>
      </c>
      <c r="K575">
        <v>0</v>
      </c>
      <c r="L575">
        <v>0</v>
      </c>
      <c r="M575">
        <v>0</v>
      </c>
      <c r="N575">
        <v>0</v>
      </c>
      <c r="O575">
        <v>210</v>
      </c>
      <c r="P575" t="str">
        <f t="shared" si="49"/>
        <v>Normal</v>
      </c>
      <c r="Q575">
        <v>103</v>
      </c>
      <c r="R575">
        <v>71</v>
      </c>
      <c r="S575">
        <v>24.4</v>
      </c>
      <c r="T575" t="str">
        <f t="shared" si="50"/>
        <v>Normal</v>
      </c>
      <c r="U575">
        <v>73</v>
      </c>
      <c r="V575">
        <v>68</v>
      </c>
      <c r="W575" t="str">
        <f t="shared" si="53"/>
        <v>Normal</v>
      </c>
      <c r="X575">
        <v>1</v>
      </c>
    </row>
    <row r="576" spans="1:24" ht="14.5" thickBot="1" x14ac:dyDescent="0.35">
      <c r="A576">
        <v>0</v>
      </c>
      <c r="B576" t="str">
        <f t="shared" si="51"/>
        <v>Female</v>
      </c>
      <c r="C576" s="8">
        <v>40</v>
      </c>
      <c r="D576" t="str">
        <f t="shared" si="52"/>
        <v>Middle Age</v>
      </c>
      <c r="E576">
        <v>3</v>
      </c>
      <c r="F576" t="str">
        <f>HLOOKUP(E576, LookUP_Table!$A$6:$D$7, 2, FALSE)</f>
        <v>Graduate</v>
      </c>
      <c r="G576" t="str">
        <f>IFERROR(VLOOKUP(E576, LookUP_Table!$A$1:$B$4, 2, FALSE), "")</f>
        <v>Graduate</v>
      </c>
      <c r="H576">
        <v>1</v>
      </c>
      <c r="I576">
        <v>20</v>
      </c>
      <c r="J576" t="str">
        <f t="shared" si="48"/>
        <v>Smoker</v>
      </c>
      <c r="K576">
        <v>0</v>
      </c>
      <c r="L576">
        <v>0</v>
      </c>
      <c r="M576">
        <v>0</v>
      </c>
      <c r="N576">
        <v>0</v>
      </c>
      <c r="O576">
        <v>247</v>
      </c>
      <c r="P576" t="str">
        <f t="shared" si="49"/>
        <v>High</v>
      </c>
      <c r="Q576">
        <v>125</v>
      </c>
      <c r="R576">
        <v>83</v>
      </c>
      <c r="S576">
        <v>22.55</v>
      </c>
      <c r="T576" t="str">
        <f t="shared" si="50"/>
        <v>Normal</v>
      </c>
      <c r="U576">
        <v>85</v>
      </c>
      <c r="V576">
        <v>80</v>
      </c>
      <c r="W576" t="str">
        <f t="shared" si="53"/>
        <v>Normal</v>
      </c>
      <c r="X576">
        <v>0</v>
      </c>
    </row>
    <row r="577" spans="1:24" ht="14.5" thickBot="1" x14ac:dyDescent="0.35">
      <c r="A577">
        <v>0</v>
      </c>
      <c r="B577" t="str">
        <f t="shared" si="51"/>
        <v>Female</v>
      </c>
      <c r="C577" s="8">
        <v>40</v>
      </c>
      <c r="D577" t="str">
        <f t="shared" si="52"/>
        <v>Middle Age</v>
      </c>
      <c r="E577">
        <v>2</v>
      </c>
      <c r="F577" t="str">
        <f>HLOOKUP(E577, LookUP_Table!$A$6:$D$7, 2, FALSE)</f>
        <v>Secondary</v>
      </c>
      <c r="G577" t="str">
        <f>IFERROR(VLOOKUP(E577, LookUP_Table!$A$1:$B$4, 2, FALSE), "")</f>
        <v>Secondary</v>
      </c>
      <c r="H577">
        <v>0</v>
      </c>
      <c r="I577">
        <v>0</v>
      </c>
      <c r="J577" t="str">
        <f t="shared" si="48"/>
        <v>Non-Smoker</v>
      </c>
      <c r="K577">
        <v>0</v>
      </c>
      <c r="L577">
        <v>0</v>
      </c>
      <c r="M577">
        <v>0</v>
      </c>
      <c r="N577">
        <v>0</v>
      </c>
      <c r="O577">
        <v>242</v>
      </c>
      <c r="P577" t="str">
        <f t="shared" si="49"/>
        <v>High</v>
      </c>
      <c r="Q577">
        <v>110</v>
      </c>
      <c r="R577">
        <v>75</v>
      </c>
      <c r="S577">
        <v>16.690000000000001</v>
      </c>
      <c r="T577" t="str">
        <f t="shared" si="50"/>
        <v>Underweight</v>
      </c>
      <c r="U577">
        <v>58</v>
      </c>
      <c r="V577">
        <v>68</v>
      </c>
      <c r="W577" t="str">
        <f t="shared" si="53"/>
        <v>Normal</v>
      </c>
      <c r="X577">
        <v>0</v>
      </c>
    </row>
    <row r="578" spans="1:24" ht="14.5" thickBot="1" x14ac:dyDescent="0.35">
      <c r="A578">
        <v>1</v>
      </c>
      <c r="B578" t="str">
        <f t="shared" si="51"/>
        <v>Male</v>
      </c>
      <c r="C578" s="8">
        <v>40</v>
      </c>
      <c r="D578" t="str">
        <f t="shared" si="52"/>
        <v>Middle Age</v>
      </c>
      <c r="E578">
        <v>2</v>
      </c>
      <c r="F578" t="str">
        <f>HLOOKUP(E578, LookUP_Table!$A$6:$D$7, 2, FALSE)</f>
        <v>Secondary</v>
      </c>
      <c r="G578" t="str">
        <f>IFERROR(VLOOKUP(E578, LookUP_Table!$A$1:$B$4, 2, FALSE), "")</f>
        <v>Secondary</v>
      </c>
      <c r="H578">
        <v>1</v>
      </c>
      <c r="I578">
        <v>30</v>
      </c>
      <c r="J578" t="str">
        <f t="shared" ref="J578:J641" si="54">IF(I578&gt;0,"Smoker","Non-Smoker")</f>
        <v>Smoker</v>
      </c>
      <c r="K578">
        <v>0</v>
      </c>
      <c r="L578">
        <v>0</v>
      </c>
      <c r="M578">
        <v>0</v>
      </c>
      <c r="N578">
        <v>0</v>
      </c>
      <c r="O578">
        <v>197</v>
      </c>
      <c r="P578" t="str">
        <f t="shared" ref="P578:P641" si="55">IF(O578&gt;240,"High","Normal")</f>
        <v>Normal</v>
      </c>
      <c r="Q578">
        <v>116</v>
      </c>
      <c r="R578">
        <v>73</v>
      </c>
      <c r="S578">
        <v>24.01</v>
      </c>
      <c r="T578" t="str">
        <f t="shared" ref="T578:T641" si="56">IF(S578&lt;18.5,"Underweight",
IF(S578&lt;25,"Normal",
IF(S578&lt;30,"Overweight","Obese")))</f>
        <v>Normal</v>
      </c>
      <c r="U578">
        <v>80</v>
      </c>
      <c r="V578">
        <v>83</v>
      </c>
      <c r="W578" t="str">
        <f t="shared" si="53"/>
        <v>Normal</v>
      </c>
      <c r="X578">
        <v>0</v>
      </c>
    </row>
    <row r="579" spans="1:24" ht="14.5" thickBot="1" x14ac:dyDescent="0.35">
      <c r="A579">
        <v>0</v>
      </c>
      <c r="B579" t="str">
        <f t="shared" ref="B579:B642" si="57">IF(A579=0,"Female","Male")</f>
        <v>Female</v>
      </c>
      <c r="C579" s="8">
        <v>40</v>
      </c>
      <c r="D579" t="str">
        <f t="shared" ref="D579:D642" si="58">IF(C579&lt;40,"Young",
IF(C579&lt;55,"Middle Age","Senior"))</f>
        <v>Middle Age</v>
      </c>
      <c r="E579">
        <v>3</v>
      </c>
      <c r="F579" t="str">
        <f>HLOOKUP(E579, LookUP_Table!$A$6:$D$7, 2, FALSE)</f>
        <v>Graduate</v>
      </c>
      <c r="G579" t="str">
        <f>IFERROR(VLOOKUP(E579, LookUP_Table!$A$1:$B$4, 2, FALSE), "")</f>
        <v>Graduate</v>
      </c>
      <c r="H579">
        <v>1</v>
      </c>
      <c r="I579">
        <v>1</v>
      </c>
      <c r="J579" t="str">
        <f t="shared" si="54"/>
        <v>Smoker</v>
      </c>
      <c r="K579">
        <v>0</v>
      </c>
      <c r="L579">
        <v>0</v>
      </c>
      <c r="M579">
        <v>0</v>
      </c>
      <c r="N579">
        <v>0</v>
      </c>
      <c r="O579">
        <v>205</v>
      </c>
      <c r="P579" t="str">
        <f t="shared" si="55"/>
        <v>Normal</v>
      </c>
      <c r="Q579">
        <v>125</v>
      </c>
      <c r="R579">
        <v>73.5</v>
      </c>
      <c r="S579">
        <v>20.68</v>
      </c>
      <c r="T579" t="str">
        <f t="shared" si="56"/>
        <v>Normal</v>
      </c>
      <c r="U579">
        <v>83</v>
      </c>
      <c r="V579">
        <v>99</v>
      </c>
      <c r="W579" t="str">
        <f t="shared" ref="W579:W642" si="59">IF(V579 &lt; 100, "Normal", IF(V579 &lt;= 125, "Prediabetes", "Diabetes"))</f>
        <v>Normal</v>
      </c>
      <c r="X579">
        <v>0</v>
      </c>
    </row>
    <row r="580" spans="1:24" ht="14.5" thickBot="1" x14ac:dyDescent="0.35">
      <c r="A580">
        <v>0</v>
      </c>
      <c r="B580" t="str">
        <f t="shared" si="57"/>
        <v>Female</v>
      </c>
      <c r="C580" s="8">
        <v>40</v>
      </c>
      <c r="D580" t="str">
        <f t="shared" si="58"/>
        <v>Middle Age</v>
      </c>
      <c r="E580">
        <v>2</v>
      </c>
      <c r="F580" t="str">
        <f>HLOOKUP(E580, LookUP_Table!$A$6:$D$7, 2, FALSE)</f>
        <v>Secondary</v>
      </c>
      <c r="G580" t="str">
        <f>IFERROR(VLOOKUP(E580, LookUP_Table!$A$1:$B$4, 2, FALSE), "")</f>
        <v>Secondary</v>
      </c>
      <c r="H580">
        <v>0</v>
      </c>
      <c r="I580">
        <v>0</v>
      </c>
      <c r="J580" t="str">
        <f t="shared" si="54"/>
        <v>Non-Smoker</v>
      </c>
      <c r="K580">
        <v>0</v>
      </c>
      <c r="L580">
        <v>0</v>
      </c>
      <c r="M580">
        <v>0</v>
      </c>
      <c r="N580">
        <v>0</v>
      </c>
      <c r="O580">
        <v>197</v>
      </c>
      <c r="P580" t="str">
        <f t="shared" si="55"/>
        <v>Normal</v>
      </c>
      <c r="Q580">
        <v>107</v>
      </c>
      <c r="R580">
        <v>61</v>
      </c>
      <c r="S580">
        <v>23.65</v>
      </c>
      <c r="T580" t="str">
        <f t="shared" si="56"/>
        <v>Normal</v>
      </c>
      <c r="U580">
        <v>80</v>
      </c>
      <c r="V580">
        <v>80</v>
      </c>
      <c r="W580" t="str">
        <f t="shared" si="59"/>
        <v>Normal</v>
      </c>
      <c r="X580">
        <v>0</v>
      </c>
    </row>
    <row r="581" spans="1:24" ht="14.5" thickBot="1" x14ac:dyDescent="0.35">
      <c r="A581">
        <v>0</v>
      </c>
      <c r="B581" t="str">
        <f t="shared" si="57"/>
        <v>Female</v>
      </c>
      <c r="C581" s="8">
        <v>40</v>
      </c>
      <c r="D581" t="str">
        <f t="shared" si="58"/>
        <v>Middle Age</v>
      </c>
      <c r="E581">
        <v>2</v>
      </c>
      <c r="F581" t="str">
        <f>HLOOKUP(E581, LookUP_Table!$A$6:$D$7, 2, FALSE)</f>
        <v>Secondary</v>
      </c>
      <c r="G581" t="str">
        <f>IFERROR(VLOOKUP(E581, LookUP_Table!$A$1:$B$4, 2, FALSE), "")</f>
        <v>Secondary</v>
      </c>
      <c r="H581">
        <v>0</v>
      </c>
      <c r="I581">
        <v>0</v>
      </c>
      <c r="J581" t="str">
        <f t="shared" si="54"/>
        <v>Non-Smoker</v>
      </c>
      <c r="K581">
        <v>0</v>
      </c>
      <c r="L581">
        <v>0</v>
      </c>
      <c r="M581">
        <v>0</v>
      </c>
      <c r="N581">
        <v>0</v>
      </c>
      <c r="O581">
        <v>162</v>
      </c>
      <c r="P581" t="str">
        <f t="shared" si="55"/>
        <v>Normal</v>
      </c>
      <c r="Q581">
        <v>109</v>
      </c>
      <c r="R581">
        <v>71</v>
      </c>
      <c r="S581">
        <v>20.99</v>
      </c>
      <c r="T581" t="str">
        <f t="shared" si="56"/>
        <v>Normal</v>
      </c>
      <c r="U581">
        <v>66</v>
      </c>
      <c r="V581">
        <v>85</v>
      </c>
      <c r="W581" t="str">
        <f t="shared" si="59"/>
        <v>Normal</v>
      </c>
      <c r="X581">
        <v>0</v>
      </c>
    </row>
    <row r="582" spans="1:24" ht="14.5" thickBot="1" x14ac:dyDescent="0.35">
      <c r="A582">
        <v>1</v>
      </c>
      <c r="B582" t="str">
        <f t="shared" si="57"/>
        <v>Male</v>
      </c>
      <c r="C582" s="8">
        <v>40</v>
      </c>
      <c r="D582" t="str">
        <f t="shared" si="58"/>
        <v>Middle Age</v>
      </c>
      <c r="E582">
        <v>2</v>
      </c>
      <c r="F582" t="str">
        <f>HLOOKUP(E582, LookUP_Table!$A$6:$D$7, 2, FALSE)</f>
        <v>Secondary</v>
      </c>
      <c r="G582" t="str">
        <f>IFERROR(VLOOKUP(E582, LookUP_Table!$A$1:$B$4, 2, FALSE), "")</f>
        <v>Secondary</v>
      </c>
      <c r="H582">
        <v>1</v>
      </c>
      <c r="I582">
        <v>30</v>
      </c>
      <c r="J582" t="str">
        <f t="shared" si="54"/>
        <v>Smoker</v>
      </c>
      <c r="K582">
        <v>0</v>
      </c>
      <c r="L582">
        <v>0</v>
      </c>
      <c r="M582">
        <v>0</v>
      </c>
      <c r="N582">
        <v>0</v>
      </c>
      <c r="O582">
        <v>219</v>
      </c>
      <c r="P582" t="str">
        <f t="shared" si="55"/>
        <v>Normal</v>
      </c>
      <c r="Q582">
        <v>131</v>
      </c>
      <c r="R582">
        <v>85.5</v>
      </c>
      <c r="S582">
        <v>31.96</v>
      </c>
      <c r="T582" t="str">
        <f t="shared" si="56"/>
        <v>Obese</v>
      </c>
      <c r="U582">
        <v>77</v>
      </c>
      <c r="V582">
        <v>74</v>
      </c>
      <c r="W582" t="str">
        <f t="shared" si="59"/>
        <v>Normal</v>
      </c>
      <c r="X582">
        <v>0</v>
      </c>
    </row>
    <row r="583" spans="1:24" ht="14.5" thickBot="1" x14ac:dyDescent="0.35">
      <c r="A583">
        <v>0</v>
      </c>
      <c r="B583" t="str">
        <f t="shared" si="57"/>
        <v>Female</v>
      </c>
      <c r="C583" s="8">
        <v>40</v>
      </c>
      <c r="D583" t="str">
        <f t="shared" si="58"/>
        <v>Middle Age</v>
      </c>
      <c r="E583">
        <v>2</v>
      </c>
      <c r="F583" t="str">
        <f>HLOOKUP(E583, LookUP_Table!$A$6:$D$7, 2, FALSE)</f>
        <v>Secondary</v>
      </c>
      <c r="G583" t="str">
        <f>IFERROR(VLOOKUP(E583, LookUP_Table!$A$1:$B$4, 2, FALSE), "")</f>
        <v>Secondary</v>
      </c>
      <c r="H583">
        <v>0</v>
      </c>
      <c r="I583">
        <v>0</v>
      </c>
      <c r="J583" t="str">
        <f t="shared" si="54"/>
        <v>Non-Smoker</v>
      </c>
      <c r="K583">
        <v>0</v>
      </c>
      <c r="L583">
        <v>0</v>
      </c>
      <c r="M583">
        <v>0</v>
      </c>
      <c r="N583">
        <v>0</v>
      </c>
      <c r="O583">
        <v>230</v>
      </c>
      <c r="P583" t="str">
        <f t="shared" si="55"/>
        <v>Normal</v>
      </c>
      <c r="Q583">
        <v>123.5</v>
      </c>
      <c r="R583">
        <v>81</v>
      </c>
      <c r="S583">
        <v>27.91</v>
      </c>
      <c r="T583" t="str">
        <f t="shared" si="56"/>
        <v>Overweight</v>
      </c>
      <c r="U583">
        <v>95</v>
      </c>
      <c r="V583">
        <v>65</v>
      </c>
      <c r="W583" t="str">
        <f t="shared" si="59"/>
        <v>Normal</v>
      </c>
      <c r="X583">
        <v>0</v>
      </c>
    </row>
    <row r="584" spans="1:24" ht="14.5" thickBot="1" x14ac:dyDescent="0.35">
      <c r="A584">
        <v>1</v>
      </c>
      <c r="B584" t="str">
        <f t="shared" si="57"/>
        <v>Male</v>
      </c>
      <c r="C584" s="8">
        <v>40</v>
      </c>
      <c r="D584" t="str">
        <f t="shared" si="58"/>
        <v>Middle Age</v>
      </c>
      <c r="E584">
        <v>3</v>
      </c>
      <c r="F584" t="str">
        <f>HLOOKUP(E584, LookUP_Table!$A$6:$D$7, 2, FALSE)</f>
        <v>Graduate</v>
      </c>
      <c r="G584" t="str">
        <f>IFERROR(VLOOKUP(E584, LookUP_Table!$A$1:$B$4, 2, FALSE), "")</f>
        <v>Graduate</v>
      </c>
      <c r="H584">
        <v>1</v>
      </c>
      <c r="I584">
        <v>20</v>
      </c>
      <c r="J584" t="str">
        <f t="shared" si="54"/>
        <v>Smoker</v>
      </c>
      <c r="K584">
        <v>0</v>
      </c>
      <c r="L584">
        <v>0</v>
      </c>
      <c r="M584">
        <v>0</v>
      </c>
      <c r="N584">
        <v>0</v>
      </c>
      <c r="O584">
        <v>193</v>
      </c>
      <c r="P584" t="str">
        <f t="shared" si="55"/>
        <v>Normal</v>
      </c>
      <c r="Q584">
        <v>129</v>
      </c>
      <c r="R584">
        <v>73</v>
      </c>
      <c r="S584">
        <v>19.11</v>
      </c>
      <c r="T584" t="str">
        <f t="shared" si="56"/>
        <v>Normal</v>
      </c>
      <c r="U584">
        <v>76</v>
      </c>
      <c r="V584">
        <v>80</v>
      </c>
      <c r="W584" t="str">
        <f t="shared" si="59"/>
        <v>Normal</v>
      </c>
      <c r="X584">
        <v>0</v>
      </c>
    </row>
    <row r="585" spans="1:24" ht="14.5" thickBot="1" x14ac:dyDescent="0.35">
      <c r="A585">
        <v>1</v>
      </c>
      <c r="B585" t="str">
        <f t="shared" si="57"/>
        <v>Male</v>
      </c>
      <c r="C585" s="8">
        <v>40</v>
      </c>
      <c r="D585" t="str">
        <f t="shared" si="58"/>
        <v>Middle Age</v>
      </c>
      <c r="E585">
        <v>4</v>
      </c>
      <c r="F585" t="str">
        <f>HLOOKUP(E585, LookUP_Table!$A$6:$D$7, 2, FALSE)</f>
        <v>Post Graduate</v>
      </c>
      <c r="G585" t="str">
        <f>IFERROR(VLOOKUP(E585, LookUP_Table!$A$1:$B$4, 2, FALSE), "")</f>
        <v>Post Graduate</v>
      </c>
      <c r="H585">
        <v>1</v>
      </c>
      <c r="I585">
        <v>30</v>
      </c>
      <c r="J585" t="str">
        <f t="shared" si="54"/>
        <v>Smoker</v>
      </c>
      <c r="K585">
        <v>0</v>
      </c>
      <c r="L585">
        <v>0</v>
      </c>
      <c r="M585">
        <v>1</v>
      </c>
      <c r="N585">
        <v>0</v>
      </c>
      <c r="O585">
        <v>267</v>
      </c>
      <c r="P585" t="str">
        <f t="shared" si="55"/>
        <v>High</v>
      </c>
      <c r="Q585">
        <v>146</v>
      </c>
      <c r="R585">
        <v>93.5</v>
      </c>
      <c r="S585">
        <v>27.47</v>
      </c>
      <c r="T585" t="str">
        <f t="shared" si="56"/>
        <v>Overweight</v>
      </c>
      <c r="U585">
        <v>87</v>
      </c>
      <c r="V585">
        <v>89</v>
      </c>
      <c r="W585" t="str">
        <f t="shared" si="59"/>
        <v>Normal</v>
      </c>
      <c r="X585">
        <v>0</v>
      </c>
    </row>
    <row r="586" spans="1:24" ht="14.5" thickBot="1" x14ac:dyDescent="0.35">
      <c r="A586">
        <v>1</v>
      </c>
      <c r="B586" t="str">
        <f t="shared" si="57"/>
        <v>Male</v>
      </c>
      <c r="C586" s="8">
        <v>40</v>
      </c>
      <c r="D586" t="str">
        <f t="shared" si="58"/>
        <v>Middle Age</v>
      </c>
      <c r="E586">
        <v>1</v>
      </c>
      <c r="F586" t="str">
        <f>HLOOKUP(E586, LookUP_Table!$A$6:$D$7, 2, FALSE)</f>
        <v>Primary</v>
      </c>
      <c r="G586" t="str">
        <f>IFERROR(VLOOKUP(E586, LookUP_Table!$A$1:$B$4, 2, FALSE), "")</f>
        <v>Primary</v>
      </c>
      <c r="H586">
        <v>0</v>
      </c>
      <c r="I586">
        <v>0</v>
      </c>
      <c r="J586" t="str">
        <f t="shared" si="54"/>
        <v>Non-Smoker</v>
      </c>
      <c r="K586">
        <v>0</v>
      </c>
      <c r="L586">
        <v>0</v>
      </c>
      <c r="M586">
        <v>0</v>
      </c>
      <c r="N586">
        <v>0</v>
      </c>
      <c r="O586">
        <v>206</v>
      </c>
      <c r="P586" t="str">
        <f t="shared" si="55"/>
        <v>Normal</v>
      </c>
      <c r="Q586">
        <v>110</v>
      </c>
      <c r="R586">
        <v>67.5</v>
      </c>
      <c r="S586">
        <v>25.88</v>
      </c>
      <c r="T586" t="str">
        <f t="shared" si="56"/>
        <v>Overweight</v>
      </c>
      <c r="U586">
        <v>62</v>
      </c>
      <c r="V586">
        <v>80</v>
      </c>
      <c r="W586" t="str">
        <f t="shared" si="59"/>
        <v>Normal</v>
      </c>
      <c r="X586">
        <v>0</v>
      </c>
    </row>
    <row r="587" spans="1:24" ht="14.5" thickBot="1" x14ac:dyDescent="0.35">
      <c r="A587">
        <v>0</v>
      </c>
      <c r="B587" t="str">
        <f t="shared" si="57"/>
        <v>Female</v>
      </c>
      <c r="C587" s="8">
        <v>40</v>
      </c>
      <c r="D587" t="str">
        <f t="shared" si="58"/>
        <v>Middle Age</v>
      </c>
      <c r="E587">
        <v>3</v>
      </c>
      <c r="F587" t="str">
        <f>HLOOKUP(E587, LookUP_Table!$A$6:$D$7, 2, FALSE)</f>
        <v>Graduate</v>
      </c>
      <c r="G587" t="str">
        <f>IFERROR(VLOOKUP(E587, LookUP_Table!$A$1:$B$4, 2, FALSE), "")</f>
        <v>Graduate</v>
      </c>
      <c r="H587">
        <v>0</v>
      </c>
      <c r="I587">
        <v>0</v>
      </c>
      <c r="J587" t="str">
        <f t="shared" si="54"/>
        <v>Non-Smoker</v>
      </c>
      <c r="K587">
        <v>0</v>
      </c>
      <c r="L587">
        <v>0</v>
      </c>
      <c r="M587">
        <v>0</v>
      </c>
      <c r="N587">
        <v>0</v>
      </c>
      <c r="O587">
        <v>251</v>
      </c>
      <c r="P587" t="str">
        <f t="shared" si="55"/>
        <v>High</v>
      </c>
      <c r="Q587">
        <v>135</v>
      </c>
      <c r="R587">
        <v>87</v>
      </c>
      <c r="S587">
        <v>31.6</v>
      </c>
      <c r="T587" t="str">
        <f t="shared" si="56"/>
        <v>Obese</v>
      </c>
      <c r="U587">
        <v>75</v>
      </c>
      <c r="V587">
        <v>80</v>
      </c>
      <c r="W587" t="str">
        <f t="shared" si="59"/>
        <v>Normal</v>
      </c>
      <c r="X587">
        <v>0</v>
      </c>
    </row>
    <row r="588" spans="1:24" ht="14.5" thickBot="1" x14ac:dyDescent="0.35">
      <c r="A588">
        <v>0</v>
      </c>
      <c r="B588" t="str">
        <f t="shared" si="57"/>
        <v>Female</v>
      </c>
      <c r="C588" s="8">
        <v>40</v>
      </c>
      <c r="D588" t="str">
        <f t="shared" si="58"/>
        <v>Middle Age</v>
      </c>
      <c r="E588">
        <v>3</v>
      </c>
      <c r="F588" t="str">
        <f>HLOOKUP(E588, LookUP_Table!$A$6:$D$7, 2, FALSE)</f>
        <v>Graduate</v>
      </c>
      <c r="G588" t="str">
        <f>IFERROR(VLOOKUP(E588, LookUP_Table!$A$1:$B$4, 2, FALSE), "")</f>
        <v>Graduate</v>
      </c>
      <c r="H588">
        <v>0</v>
      </c>
      <c r="I588">
        <v>0</v>
      </c>
      <c r="J588" t="str">
        <f t="shared" si="54"/>
        <v>Non-Smoker</v>
      </c>
      <c r="K588">
        <v>0</v>
      </c>
      <c r="L588">
        <v>0</v>
      </c>
      <c r="M588">
        <v>0</v>
      </c>
      <c r="N588">
        <v>0</v>
      </c>
      <c r="O588">
        <v>152</v>
      </c>
      <c r="P588" t="str">
        <f t="shared" si="55"/>
        <v>Normal</v>
      </c>
      <c r="Q588">
        <v>122</v>
      </c>
      <c r="R588">
        <v>78</v>
      </c>
      <c r="S588">
        <v>18.920000000000002</v>
      </c>
      <c r="T588" t="str">
        <f t="shared" si="56"/>
        <v>Normal</v>
      </c>
      <c r="U588">
        <v>65</v>
      </c>
      <c r="V588">
        <v>80</v>
      </c>
      <c r="W588" t="str">
        <f t="shared" si="59"/>
        <v>Normal</v>
      </c>
      <c r="X588">
        <v>0</v>
      </c>
    </row>
    <row r="589" spans="1:24" ht="14.5" thickBot="1" x14ac:dyDescent="0.35">
      <c r="A589">
        <v>1</v>
      </c>
      <c r="B589" t="str">
        <f t="shared" si="57"/>
        <v>Male</v>
      </c>
      <c r="C589" s="8">
        <v>40</v>
      </c>
      <c r="D589" t="str">
        <f t="shared" si="58"/>
        <v>Middle Age</v>
      </c>
      <c r="E589">
        <v>2</v>
      </c>
      <c r="F589" t="str">
        <f>HLOOKUP(E589, LookUP_Table!$A$6:$D$7, 2, FALSE)</f>
        <v>Secondary</v>
      </c>
      <c r="G589" t="str">
        <f>IFERROR(VLOOKUP(E589, LookUP_Table!$A$1:$B$4, 2, FALSE), "")</f>
        <v>Secondary</v>
      </c>
      <c r="H589">
        <v>1</v>
      </c>
      <c r="I589">
        <v>15</v>
      </c>
      <c r="J589" t="str">
        <f t="shared" si="54"/>
        <v>Smoker</v>
      </c>
      <c r="K589">
        <v>0</v>
      </c>
      <c r="L589">
        <v>0</v>
      </c>
      <c r="M589">
        <v>0</v>
      </c>
      <c r="N589">
        <v>0</v>
      </c>
      <c r="O589">
        <v>246</v>
      </c>
      <c r="P589" t="str">
        <f t="shared" si="55"/>
        <v>High</v>
      </c>
      <c r="Q589">
        <v>141</v>
      </c>
      <c r="R589">
        <v>102</v>
      </c>
      <c r="S589">
        <v>26.17</v>
      </c>
      <c r="T589" t="str">
        <f t="shared" si="56"/>
        <v>Overweight</v>
      </c>
      <c r="U589">
        <v>85</v>
      </c>
      <c r="V589">
        <v>67</v>
      </c>
      <c r="W589" t="str">
        <f t="shared" si="59"/>
        <v>Normal</v>
      </c>
      <c r="X589">
        <v>0</v>
      </c>
    </row>
    <row r="590" spans="1:24" ht="14.5" thickBot="1" x14ac:dyDescent="0.35">
      <c r="A590">
        <v>0</v>
      </c>
      <c r="B590" t="str">
        <f t="shared" si="57"/>
        <v>Female</v>
      </c>
      <c r="C590" s="8">
        <v>40</v>
      </c>
      <c r="D590" t="str">
        <f t="shared" si="58"/>
        <v>Middle Age</v>
      </c>
      <c r="E590">
        <v>1</v>
      </c>
      <c r="F590" t="str">
        <f>HLOOKUP(E590, LookUP_Table!$A$6:$D$7, 2, FALSE)</f>
        <v>Primary</v>
      </c>
      <c r="G590" t="str">
        <f>IFERROR(VLOOKUP(E590, LookUP_Table!$A$1:$B$4, 2, FALSE), "")</f>
        <v>Primary</v>
      </c>
      <c r="H590">
        <v>1</v>
      </c>
      <c r="I590">
        <v>20</v>
      </c>
      <c r="J590" t="str">
        <f t="shared" si="54"/>
        <v>Smoker</v>
      </c>
      <c r="K590">
        <v>0</v>
      </c>
      <c r="L590">
        <v>0</v>
      </c>
      <c r="M590">
        <v>0</v>
      </c>
      <c r="N590">
        <v>0</v>
      </c>
      <c r="O590">
        <v>220</v>
      </c>
      <c r="P590" t="str">
        <f t="shared" si="55"/>
        <v>Normal</v>
      </c>
      <c r="Q590">
        <v>120</v>
      </c>
      <c r="R590">
        <v>75</v>
      </c>
      <c r="S590">
        <v>19.32</v>
      </c>
      <c r="T590" t="str">
        <f t="shared" si="56"/>
        <v>Normal</v>
      </c>
      <c r="U590">
        <v>78</v>
      </c>
      <c r="V590">
        <v>81.96365524402907</v>
      </c>
      <c r="W590" t="str">
        <f t="shared" si="59"/>
        <v>Normal</v>
      </c>
      <c r="X590">
        <v>0</v>
      </c>
    </row>
    <row r="591" spans="1:24" ht="14.5" thickBot="1" x14ac:dyDescent="0.35">
      <c r="A591">
        <v>0</v>
      </c>
      <c r="B591" t="str">
        <f t="shared" si="57"/>
        <v>Female</v>
      </c>
      <c r="C591" s="8">
        <v>40</v>
      </c>
      <c r="D591" t="str">
        <f t="shared" si="58"/>
        <v>Middle Age</v>
      </c>
      <c r="E591">
        <v>2</v>
      </c>
      <c r="F591" t="str">
        <f>HLOOKUP(E591, LookUP_Table!$A$6:$D$7, 2, FALSE)</f>
        <v>Secondary</v>
      </c>
      <c r="G591" t="str">
        <f>IFERROR(VLOOKUP(E591, LookUP_Table!$A$1:$B$4, 2, FALSE), "")</f>
        <v>Secondary</v>
      </c>
      <c r="H591">
        <v>0</v>
      </c>
      <c r="I591">
        <v>0</v>
      </c>
      <c r="J591" t="str">
        <f t="shared" si="54"/>
        <v>Non-Smoker</v>
      </c>
      <c r="K591">
        <v>0</v>
      </c>
      <c r="L591">
        <v>0</v>
      </c>
      <c r="M591">
        <v>0</v>
      </c>
      <c r="N591">
        <v>0</v>
      </c>
      <c r="O591">
        <v>314</v>
      </c>
      <c r="P591" t="str">
        <f t="shared" si="55"/>
        <v>High</v>
      </c>
      <c r="Q591">
        <v>124</v>
      </c>
      <c r="R591">
        <v>86.5</v>
      </c>
      <c r="S591">
        <v>26.79</v>
      </c>
      <c r="T591" t="str">
        <f t="shared" si="56"/>
        <v>Overweight</v>
      </c>
      <c r="U591">
        <v>70</v>
      </c>
      <c r="V591">
        <v>66</v>
      </c>
      <c r="W591" t="str">
        <f t="shared" si="59"/>
        <v>Normal</v>
      </c>
      <c r="X591">
        <v>0</v>
      </c>
    </row>
    <row r="592" spans="1:24" ht="14.5" thickBot="1" x14ac:dyDescent="0.35">
      <c r="A592">
        <v>1</v>
      </c>
      <c r="B592" t="str">
        <f t="shared" si="57"/>
        <v>Male</v>
      </c>
      <c r="C592" s="8">
        <v>40</v>
      </c>
      <c r="D592" t="str">
        <f t="shared" si="58"/>
        <v>Middle Age</v>
      </c>
      <c r="E592">
        <v>2</v>
      </c>
      <c r="F592" t="str">
        <f>HLOOKUP(E592, LookUP_Table!$A$6:$D$7, 2, FALSE)</f>
        <v>Secondary</v>
      </c>
      <c r="G592" t="str">
        <f>IFERROR(VLOOKUP(E592, LookUP_Table!$A$1:$B$4, 2, FALSE), "")</f>
        <v>Secondary</v>
      </c>
      <c r="H592">
        <v>1</v>
      </c>
      <c r="I592">
        <v>30</v>
      </c>
      <c r="J592" t="str">
        <f t="shared" si="54"/>
        <v>Smoker</v>
      </c>
      <c r="K592">
        <v>0</v>
      </c>
      <c r="L592">
        <v>0</v>
      </c>
      <c r="M592">
        <v>0</v>
      </c>
      <c r="N592">
        <v>0</v>
      </c>
      <c r="O592">
        <v>165</v>
      </c>
      <c r="P592" t="str">
        <f t="shared" si="55"/>
        <v>Normal</v>
      </c>
      <c r="Q592">
        <v>128</v>
      </c>
      <c r="R592">
        <v>83</v>
      </c>
      <c r="S592">
        <v>24.71</v>
      </c>
      <c r="T592" t="str">
        <f t="shared" si="56"/>
        <v>Normal</v>
      </c>
      <c r="U592">
        <v>69</v>
      </c>
      <c r="V592">
        <v>60</v>
      </c>
      <c r="W592" t="str">
        <f t="shared" si="59"/>
        <v>Normal</v>
      </c>
      <c r="X592">
        <v>0</v>
      </c>
    </row>
    <row r="593" spans="1:24" ht="14.5" thickBot="1" x14ac:dyDescent="0.35">
      <c r="A593">
        <v>0</v>
      </c>
      <c r="B593" t="str">
        <f t="shared" si="57"/>
        <v>Female</v>
      </c>
      <c r="C593" s="8">
        <v>40</v>
      </c>
      <c r="D593" t="str">
        <f t="shared" si="58"/>
        <v>Middle Age</v>
      </c>
      <c r="E593">
        <v>2</v>
      </c>
      <c r="F593" t="str">
        <f>HLOOKUP(E593, LookUP_Table!$A$6:$D$7, 2, FALSE)</f>
        <v>Secondary</v>
      </c>
      <c r="G593" t="str">
        <f>IFERROR(VLOOKUP(E593, LookUP_Table!$A$1:$B$4, 2, FALSE), "")</f>
        <v>Secondary</v>
      </c>
      <c r="H593">
        <v>1</v>
      </c>
      <c r="I593">
        <v>30</v>
      </c>
      <c r="J593" t="str">
        <f t="shared" si="54"/>
        <v>Smoker</v>
      </c>
      <c r="K593">
        <v>0</v>
      </c>
      <c r="L593">
        <v>0</v>
      </c>
      <c r="M593">
        <v>0</v>
      </c>
      <c r="N593">
        <v>0</v>
      </c>
      <c r="O593">
        <v>202</v>
      </c>
      <c r="P593" t="str">
        <f t="shared" si="55"/>
        <v>Normal</v>
      </c>
      <c r="Q593">
        <v>104</v>
      </c>
      <c r="R593">
        <v>76</v>
      </c>
      <c r="S593">
        <v>19.93</v>
      </c>
      <c r="T593" t="str">
        <f t="shared" si="56"/>
        <v>Normal</v>
      </c>
      <c r="U593">
        <v>70</v>
      </c>
      <c r="V593">
        <v>62</v>
      </c>
      <c r="W593" t="str">
        <f t="shared" si="59"/>
        <v>Normal</v>
      </c>
      <c r="X593">
        <v>1</v>
      </c>
    </row>
    <row r="594" spans="1:24" ht="14.5" thickBot="1" x14ac:dyDescent="0.35">
      <c r="A594">
        <v>1</v>
      </c>
      <c r="B594" t="str">
        <f t="shared" si="57"/>
        <v>Male</v>
      </c>
      <c r="C594" s="8">
        <v>40</v>
      </c>
      <c r="D594" t="str">
        <f t="shared" si="58"/>
        <v>Middle Age</v>
      </c>
      <c r="E594">
        <v>1</v>
      </c>
      <c r="F594" t="str">
        <f>HLOOKUP(E594, LookUP_Table!$A$6:$D$7, 2, FALSE)</f>
        <v>Primary</v>
      </c>
      <c r="G594" t="str">
        <f>IFERROR(VLOOKUP(E594, LookUP_Table!$A$1:$B$4, 2, FALSE), "")</f>
        <v>Primary</v>
      </c>
      <c r="H594">
        <v>1</v>
      </c>
      <c r="I594">
        <v>20</v>
      </c>
      <c r="J594" t="str">
        <f t="shared" si="54"/>
        <v>Smoker</v>
      </c>
      <c r="K594">
        <v>0</v>
      </c>
      <c r="L594">
        <v>0</v>
      </c>
      <c r="M594">
        <v>1</v>
      </c>
      <c r="N594">
        <v>0</v>
      </c>
      <c r="O594">
        <v>229</v>
      </c>
      <c r="P594" t="str">
        <f t="shared" si="55"/>
        <v>Normal</v>
      </c>
      <c r="Q594">
        <v>152</v>
      </c>
      <c r="R594">
        <v>103</v>
      </c>
      <c r="S594">
        <v>32.729999999999997</v>
      </c>
      <c r="T594" t="str">
        <f t="shared" si="56"/>
        <v>Obese</v>
      </c>
      <c r="U594">
        <v>85</v>
      </c>
      <c r="V594">
        <v>72</v>
      </c>
      <c r="W594" t="str">
        <f t="shared" si="59"/>
        <v>Normal</v>
      </c>
      <c r="X594">
        <v>0</v>
      </c>
    </row>
    <row r="595" spans="1:24" ht="14.5" thickBot="1" x14ac:dyDescent="0.35">
      <c r="A595">
        <v>0</v>
      </c>
      <c r="B595" t="str">
        <f t="shared" si="57"/>
        <v>Female</v>
      </c>
      <c r="C595" s="8">
        <v>40</v>
      </c>
      <c r="D595" t="str">
        <f t="shared" si="58"/>
        <v>Middle Age</v>
      </c>
      <c r="E595">
        <v>3</v>
      </c>
      <c r="F595" t="str">
        <f>HLOOKUP(E595, LookUP_Table!$A$6:$D$7, 2, FALSE)</f>
        <v>Graduate</v>
      </c>
      <c r="G595" t="str">
        <f>IFERROR(VLOOKUP(E595, LookUP_Table!$A$1:$B$4, 2, FALSE), "")</f>
        <v>Graduate</v>
      </c>
      <c r="H595">
        <v>0</v>
      </c>
      <c r="I595">
        <v>0</v>
      </c>
      <c r="J595" t="str">
        <f t="shared" si="54"/>
        <v>Non-Smoker</v>
      </c>
      <c r="K595">
        <v>0</v>
      </c>
      <c r="L595">
        <v>0</v>
      </c>
      <c r="M595">
        <v>0</v>
      </c>
      <c r="N595">
        <v>0</v>
      </c>
      <c r="O595">
        <v>240</v>
      </c>
      <c r="P595" t="str">
        <f t="shared" si="55"/>
        <v>Normal</v>
      </c>
      <c r="Q595">
        <v>108</v>
      </c>
      <c r="R595">
        <v>72</v>
      </c>
      <c r="S595">
        <v>17.64</v>
      </c>
      <c r="T595" t="str">
        <f t="shared" si="56"/>
        <v>Underweight</v>
      </c>
      <c r="U595">
        <v>78</v>
      </c>
      <c r="V595">
        <v>81.96365524402907</v>
      </c>
      <c r="W595" t="str">
        <f t="shared" si="59"/>
        <v>Normal</v>
      </c>
      <c r="X595">
        <v>0</v>
      </c>
    </row>
    <row r="596" spans="1:24" ht="14.5" thickBot="1" x14ac:dyDescent="0.35">
      <c r="A596">
        <v>0</v>
      </c>
      <c r="B596" t="str">
        <f t="shared" si="57"/>
        <v>Female</v>
      </c>
      <c r="C596" s="8">
        <v>40</v>
      </c>
      <c r="D596" t="str">
        <f t="shared" si="58"/>
        <v>Middle Age</v>
      </c>
      <c r="E596">
        <v>1</v>
      </c>
      <c r="F596" t="str">
        <f>HLOOKUP(E596, LookUP_Table!$A$6:$D$7, 2, FALSE)</f>
        <v>Primary</v>
      </c>
      <c r="G596" t="str">
        <f>IFERROR(VLOOKUP(E596, LookUP_Table!$A$1:$B$4, 2, FALSE), "")</f>
        <v>Primary</v>
      </c>
      <c r="H596">
        <v>0</v>
      </c>
      <c r="I596">
        <v>0</v>
      </c>
      <c r="J596" t="str">
        <f t="shared" si="54"/>
        <v>Non-Smoker</v>
      </c>
      <c r="K596">
        <v>0</v>
      </c>
      <c r="L596">
        <v>0</v>
      </c>
      <c r="M596">
        <v>0</v>
      </c>
      <c r="N596">
        <v>0</v>
      </c>
      <c r="O596">
        <v>340</v>
      </c>
      <c r="P596" t="str">
        <f t="shared" si="55"/>
        <v>High</v>
      </c>
      <c r="Q596">
        <v>149</v>
      </c>
      <c r="R596">
        <v>81</v>
      </c>
      <c r="S596">
        <v>28.46</v>
      </c>
      <c r="T596" t="str">
        <f t="shared" si="56"/>
        <v>Overweight</v>
      </c>
      <c r="U596">
        <v>110</v>
      </c>
      <c r="V596">
        <v>99</v>
      </c>
      <c r="W596" t="str">
        <f t="shared" si="59"/>
        <v>Normal</v>
      </c>
      <c r="X596">
        <v>0</v>
      </c>
    </row>
    <row r="597" spans="1:24" ht="14.5" thickBot="1" x14ac:dyDescent="0.35">
      <c r="A597">
        <v>0</v>
      </c>
      <c r="B597" t="str">
        <f t="shared" si="57"/>
        <v>Female</v>
      </c>
      <c r="C597" s="8">
        <v>40</v>
      </c>
      <c r="D597" t="str">
        <f t="shared" si="58"/>
        <v>Middle Age</v>
      </c>
      <c r="E597">
        <v>1</v>
      </c>
      <c r="F597" t="str">
        <f>HLOOKUP(E597, LookUP_Table!$A$6:$D$7, 2, FALSE)</f>
        <v>Primary</v>
      </c>
      <c r="G597" t="str">
        <f>IFERROR(VLOOKUP(E597, LookUP_Table!$A$1:$B$4, 2, FALSE), "")</f>
        <v>Primary</v>
      </c>
      <c r="H597">
        <v>0</v>
      </c>
      <c r="I597">
        <v>0</v>
      </c>
      <c r="J597" t="str">
        <f t="shared" si="54"/>
        <v>Non-Smoker</v>
      </c>
      <c r="K597">
        <v>0</v>
      </c>
      <c r="L597">
        <v>0</v>
      </c>
      <c r="M597">
        <v>0</v>
      </c>
      <c r="N597">
        <v>0</v>
      </c>
      <c r="O597">
        <v>187</v>
      </c>
      <c r="P597" t="str">
        <f t="shared" si="55"/>
        <v>Normal</v>
      </c>
      <c r="Q597">
        <v>105</v>
      </c>
      <c r="R597">
        <v>74</v>
      </c>
      <c r="S597">
        <v>23.26</v>
      </c>
      <c r="T597" t="str">
        <f t="shared" si="56"/>
        <v>Normal</v>
      </c>
      <c r="U597">
        <v>80</v>
      </c>
      <c r="V597">
        <v>69</v>
      </c>
      <c r="W597" t="str">
        <f t="shared" si="59"/>
        <v>Normal</v>
      </c>
      <c r="X597">
        <v>0</v>
      </c>
    </row>
    <row r="598" spans="1:24" ht="14.5" thickBot="1" x14ac:dyDescent="0.35">
      <c r="A598">
        <v>1</v>
      </c>
      <c r="B598" t="str">
        <f t="shared" si="57"/>
        <v>Male</v>
      </c>
      <c r="C598" s="8">
        <v>40</v>
      </c>
      <c r="D598" t="str">
        <f t="shared" si="58"/>
        <v>Middle Age</v>
      </c>
      <c r="E598">
        <v>2</v>
      </c>
      <c r="F598" t="str">
        <f>HLOOKUP(E598, LookUP_Table!$A$6:$D$7, 2, FALSE)</f>
        <v>Secondary</v>
      </c>
      <c r="G598" t="str">
        <f>IFERROR(VLOOKUP(E598, LookUP_Table!$A$1:$B$4, 2, FALSE), "")</f>
        <v>Secondary</v>
      </c>
      <c r="H598">
        <v>0</v>
      </c>
      <c r="I598">
        <v>0</v>
      </c>
      <c r="J598" t="str">
        <f t="shared" si="54"/>
        <v>Non-Smoker</v>
      </c>
      <c r="K598">
        <v>0</v>
      </c>
      <c r="L598">
        <v>0</v>
      </c>
      <c r="M598">
        <v>0</v>
      </c>
      <c r="N598">
        <v>0</v>
      </c>
      <c r="O598">
        <v>185</v>
      </c>
      <c r="P598" t="str">
        <f t="shared" si="55"/>
        <v>Normal</v>
      </c>
      <c r="Q598">
        <v>102</v>
      </c>
      <c r="R598">
        <v>72</v>
      </c>
      <c r="S598">
        <v>24.08</v>
      </c>
      <c r="T598" t="str">
        <f t="shared" si="56"/>
        <v>Normal</v>
      </c>
      <c r="U598">
        <v>63</v>
      </c>
      <c r="V598">
        <v>83</v>
      </c>
      <c r="W598" t="str">
        <f t="shared" si="59"/>
        <v>Normal</v>
      </c>
      <c r="X598">
        <v>0</v>
      </c>
    </row>
    <row r="599" spans="1:24" ht="14.5" thickBot="1" x14ac:dyDescent="0.35">
      <c r="A599">
        <v>0</v>
      </c>
      <c r="B599" t="str">
        <f t="shared" si="57"/>
        <v>Female</v>
      </c>
      <c r="C599" s="8">
        <v>40</v>
      </c>
      <c r="D599" t="str">
        <f t="shared" si="58"/>
        <v>Middle Age</v>
      </c>
      <c r="E599">
        <v>2</v>
      </c>
      <c r="F599" t="str">
        <f>HLOOKUP(E599, LookUP_Table!$A$6:$D$7, 2, FALSE)</f>
        <v>Secondary</v>
      </c>
      <c r="G599" t="str">
        <f>IFERROR(VLOOKUP(E599, LookUP_Table!$A$1:$B$4, 2, FALSE), "")</f>
        <v>Secondary</v>
      </c>
      <c r="H599">
        <v>1</v>
      </c>
      <c r="I599">
        <v>10</v>
      </c>
      <c r="J599" t="str">
        <f t="shared" si="54"/>
        <v>Smoker</v>
      </c>
      <c r="K599">
        <v>0</v>
      </c>
      <c r="L599">
        <v>0</v>
      </c>
      <c r="M599">
        <v>0</v>
      </c>
      <c r="N599">
        <v>0</v>
      </c>
      <c r="O599">
        <v>216</v>
      </c>
      <c r="P599" t="str">
        <f t="shared" si="55"/>
        <v>Normal</v>
      </c>
      <c r="Q599">
        <v>112.5</v>
      </c>
      <c r="R599">
        <v>76.5</v>
      </c>
      <c r="S599">
        <v>27.22</v>
      </c>
      <c r="T599" t="str">
        <f t="shared" si="56"/>
        <v>Overweight</v>
      </c>
      <c r="U599">
        <v>75</v>
      </c>
      <c r="V599">
        <v>77</v>
      </c>
      <c r="W599" t="str">
        <f t="shared" si="59"/>
        <v>Normal</v>
      </c>
      <c r="X599">
        <v>0</v>
      </c>
    </row>
    <row r="600" spans="1:24" ht="14.5" thickBot="1" x14ac:dyDescent="0.35">
      <c r="A600">
        <v>0</v>
      </c>
      <c r="B600" t="str">
        <f t="shared" si="57"/>
        <v>Female</v>
      </c>
      <c r="C600" s="8">
        <v>40</v>
      </c>
      <c r="D600" t="str">
        <f t="shared" si="58"/>
        <v>Middle Age</v>
      </c>
      <c r="E600">
        <v>1</v>
      </c>
      <c r="F600" t="str">
        <f>HLOOKUP(E600, LookUP_Table!$A$6:$D$7, 2, FALSE)</f>
        <v>Primary</v>
      </c>
      <c r="G600" t="str">
        <f>IFERROR(VLOOKUP(E600, LookUP_Table!$A$1:$B$4, 2, FALSE), "")</f>
        <v>Primary</v>
      </c>
      <c r="H600">
        <v>1</v>
      </c>
      <c r="I600">
        <v>9</v>
      </c>
      <c r="J600" t="str">
        <f t="shared" si="54"/>
        <v>Smoker</v>
      </c>
      <c r="K600">
        <v>0</v>
      </c>
      <c r="L600">
        <v>0</v>
      </c>
      <c r="M600">
        <v>0</v>
      </c>
      <c r="N600">
        <v>0</v>
      </c>
      <c r="O600">
        <v>239</v>
      </c>
      <c r="P600" t="str">
        <f t="shared" si="55"/>
        <v>Normal</v>
      </c>
      <c r="Q600">
        <v>118</v>
      </c>
      <c r="R600">
        <v>78</v>
      </c>
      <c r="S600">
        <v>23.48</v>
      </c>
      <c r="T600" t="str">
        <f t="shared" si="56"/>
        <v>Normal</v>
      </c>
      <c r="U600">
        <v>85</v>
      </c>
      <c r="V600">
        <v>75</v>
      </c>
      <c r="W600" t="str">
        <f t="shared" si="59"/>
        <v>Normal</v>
      </c>
      <c r="X600">
        <v>1</v>
      </c>
    </row>
    <row r="601" spans="1:24" ht="14.5" thickBot="1" x14ac:dyDescent="0.35">
      <c r="A601">
        <v>0</v>
      </c>
      <c r="B601" t="str">
        <f t="shared" si="57"/>
        <v>Female</v>
      </c>
      <c r="C601" s="8">
        <v>40</v>
      </c>
      <c r="D601" t="str">
        <f t="shared" si="58"/>
        <v>Middle Age</v>
      </c>
      <c r="E601">
        <v>3</v>
      </c>
      <c r="F601" t="str">
        <f>HLOOKUP(E601, LookUP_Table!$A$6:$D$7, 2, FALSE)</f>
        <v>Graduate</v>
      </c>
      <c r="G601" t="str">
        <f>IFERROR(VLOOKUP(E601, LookUP_Table!$A$1:$B$4, 2, FALSE), "")</f>
        <v>Graduate</v>
      </c>
      <c r="H601">
        <v>0</v>
      </c>
      <c r="I601">
        <v>0</v>
      </c>
      <c r="J601" t="str">
        <f t="shared" si="54"/>
        <v>Non-Smoker</v>
      </c>
      <c r="K601">
        <v>0</v>
      </c>
      <c r="L601">
        <v>0</v>
      </c>
      <c r="M601">
        <v>1</v>
      </c>
      <c r="N601">
        <v>0</v>
      </c>
      <c r="O601">
        <v>159</v>
      </c>
      <c r="P601" t="str">
        <f t="shared" si="55"/>
        <v>Normal</v>
      </c>
      <c r="Q601">
        <v>145</v>
      </c>
      <c r="R601">
        <v>90</v>
      </c>
      <c r="S601">
        <v>20.329999999999998</v>
      </c>
      <c r="T601" t="str">
        <f t="shared" si="56"/>
        <v>Normal</v>
      </c>
      <c r="U601">
        <v>82</v>
      </c>
      <c r="V601">
        <v>83</v>
      </c>
      <c r="W601" t="str">
        <f t="shared" si="59"/>
        <v>Normal</v>
      </c>
      <c r="X601">
        <v>0</v>
      </c>
    </row>
    <row r="602" spans="1:24" ht="14.5" thickBot="1" x14ac:dyDescent="0.35">
      <c r="A602">
        <v>1</v>
      </c>
      <c r="B602" t="str">
        <f t="shared" si="57"/>
        <v>Male</v>
      </c>
      <c r="C602" s="8">
        <v>40</v>
      </c>
      <c r="D602" t="str">
        <f t="shared" si="58"/>
        <v>Middle Age</v>
      </c>
      <c r="E602">
        <v>1</v>
      </c>
      <c r="F602" t="str">
        <f>HLOOKUP(E602, LookUP_Table!$A$6:$D$7, 2, FALSE)</f>
        <v>Primary</v>
      </c>
      <c r="G602" t="str">
        <f>IFERROR(VLOOKUP(E602, LookUP_Table!$A$1:$B$4, 2, FALSE), "")</f>
        <v>Primary</v>
      </c>
      <c r="H602">
        <v>1</v>
      </c>
      <c r="I602">
        <v>30</v>
      </c>
      <c r="J602" t="str">
        <f t="shared" si="54"/>
        <v>Smoker</v>
      </c>
      <c r="K602">
        <v>0</v>
      </c>
      <c r="L602">
        <v>0</v>
      </c>
      <c r="M602">
        <v>0</v>
      </c>
      <c r="N602">
        <v>0</v>
      </c>
      <c r="O602">
        <v>202</v>
      </c>
      <c r="P602" t="str">
        <f t="shared" si="55"/>
        <v>Normal</v>
      </c>
      <c r="Q602">
        <v>112.5</v>
      </c>
      <c r="R602">
        <v>64.5</v>
      </c>
      <c r="S602">
        <v>22.85</v>
      </c>
      <c r="T602" t="str">
        <f t="shared" si="56"/>
        <v>Normal</v>
      </c>
      <c r="U602">
        <v>69</v>
      </c>
      <c r="V602">
        <v>103</v>
      </c>
      <c r="W602" t="str">
        <f t="shared" si="59"/>
        <v>Prediabetes</v>
      </c>
      <c r="X602">
        <v>0</v>
      </c>
    </row>
    <row r="603" spans="1:24" ht="14.5" thickBot="1" x14ac:dyDescent="0.35">
      <c r="A603">
        <v>1</v>
      </c>
      <c r="B603" t="str">
        <f t="shared" si="57"/>
        <v>Male</v>
      </c>
      <c r="C603" s="8">
        <v>40</v>
      </c>
      <c r="D603" t="str">
        <f t="shared" si="58"/>
        <v>Middle Age</v>
      </c>
      <c r="E603">
        <v>2</v>
      </c>
      <c r="F603" t="str">
        <f>HLOOKUP(E603, LookUP_Table!$A$6:$D$7, 2, FALSE)</f>
        <v>Secondary</v>
      </c>
      <c r="G603" t="str">
        <f>IFERROR(VLOOKUP(E603, LookUP_Table!$A$1:$B$4, 2, FALSE), "")</f>
        <v>Secondary</v>
      </c>
      <c r="H603">
        <v>1</v>
      </c>
      <c r="I603">
        <v>30</v>
      </c>
      <c r="J603" t="str">
        <f t="shared" si="54"/>
        <v>Smoker</v>
      </c>
      <c r="K603">
        <v>0</v>
      </c>
      <c r="L603">
        <v>0</v>
      </c>
      <c r="M603">
        <v>1</v>
      </c>
      <c r="N603">
        <v>0</v>
      </c>
      <c r="O603">
        <v>282</v>
      </c>
      <c r="P603" t="str">
        <f t="shared" si="55"/>
        <v>High</v>
      </c>
      <c r="Q603">
        <v>130</v>
      </c>
      <c r="R603">
        <v>80</v>
      </c>
      <c r="S603">
        <v>23.9</v>
      </c>
      <c r="T603" t="str">
        <f t="shared" si="56"/>
        <v>Normal</v>
      </c>
      <c r="U603">
        <v>66</v>
      </c>
      <c r="V603">
        <v>68</v>
      </c>
      <c r="W603" t="str">
        <f t="shared" si="59"/>
        <v>Normal</v>
      </c>
      <c r="X603">
        <v>0</v>
      </c>
    </row>
    <row r="604" spans="1:24" ht="14.5" thickBot="1" x14ac:dyDescent="0.35">
      <c r="A604">
        <v>1</v>
      </c>
      <c r="B604" t="str">
        <f t="shared" si="57"/>
        <v>Male</v>
      </c>
      <c r="C604" s="8">
        <v>40</v>
      </c>
      <c r="D604" t="str">
        <f t="shared" si="58"/>
        <v>Middle Age</v>
      </c>
      <c r="E604">
        <v>1</v>
      </c>
      <c r="F604" t="str">
        <f>HLOOKUP(E604, LookUP_Table!$A$6:$D$7, 2, FALSE)</f>
        <v>Primary</v>
      </c>
      <c r="G604" t="str">
        <f>IFERROR(VLOOKUP(E604, LookUP_Table!$A$1:$B$4, 2, FALSE), "")</f>
        <v>Primary</v>
      </c>
      <c r="H604">
        <v>1</v>
      </c>
      <c r="I604">
        <v>10</v>
      </c>
      <c r="J604" t="str">
        <f t="shared" si="54"/>
        <v>Smoker</v>
      </c>
      <c r="K604">
        <v>0</v>
      </c>
      <c r="L604">
        <v>0</v>
      </c>
      <c r="M604">
        <v>0</v>
      </c>
      <c r="N604">
        <v>0</v>
      </c>
      <c r="O604">
        <v>304</v>
      </c>
      <c r="P604" t="str">
        <f t="shared" si="55"/>
        <v>High</v>
      </c>
      <c r="Q604">
        <v>125</v>
      </c>
      <c r="R604">
        <v>86</v>
      </c>
      <c r="S604">
        <v>30.07</v>
      </c>
      <c r="T604" t="str">
        <f t="shared" si="56"/>
        <v>Obese</v>
      </c>
      <c r="U604">
        <v>80</v>
      </c>
      <c r="V604">
        <v>84</v>
      </c>
      <c r="W604" t="str">
        <f t="shared" si="59"/>
        <v>Normal</v>
      </c>
      <c r="X604">
        <v>0</v>
      </c>
    </row>
    <row r="605" spans="1:24" ht="14.5" thickBot="1" x14ac:dyDescent="0.35">
      <c r="A605">
        <v>0</v>
      </c>
      <c r="B605" t="str">
        <f t="shared" si="57"/>
        <v>Female</v>
      </c>
      <c r="C605" s="8">
        <v>40</v>
      </c>
      <c r="D605" t="str">
        <f t="shared" si="58"/>
        <v>Middle Age</v>
      </c>
      <c r="E605">
        <v>1</v>
      </c>
      <c r="F605" t="str">
        <f>HLOOKUP(E605, LookUP_Table!$A$6:$D$7, 2, FALSE)</f>
        <v>Primary</v>
      </c>
      <c r="G605" t="str">
        <f>IFERROR(VLOOKUP(E605, LookUP_Table!$A$1:$B$4, 2, FALSE), "")</f>
        <v>Primary</v>
      </c>
      <c r="H605">
        <v>1</v>
      </c>
      <c r="I605">
        <v>15</v>
      </c>
      <c r="J605" t="str">
        <f t="shared" si="54"/>
        <v>Smoker</v>
      </c>
      <c r="K605">
        <v>0</v>
      </c>
      <c r="L605">
        <v>0</v>
      </c>
      <c r="M605">
        <v>0</v>
      </c>
      <c r="N605">
        <v>0</v>
      </c>
      <c r="O605">
        <v>199</v>
      </c>
      <c r="P605" t="str">
        <f t="shared" si="55"/>
        <v>Normal</v>
      </c>
      <c r="Q605">
        <v>122</v>
      </c>
      <c r="R605">
        <v>82</v>
      </c>
      <c r="S605">
        <v>22.16</v>
      </c>
      <c r="T605" t="str">
        <f t="shared" si="56"/>
        <v>Normal</v>
      </c>
      <c r="U605">
        <v>85</v>
      </c>
      <c r="V605">
        <v>77</v>
      </c>
      <c r="W605" t="str">
        <f t="shared" si="59"/>
        <v>Normal</v>
      </c>
      <c r="X605">
        <v>0</v>
      </c>
    </row>
    <row r="606" spans="1:24" ht="14.5" thickBot="1" x14ac:dyDescent="0.35">
      <c r="A606">
        <v>0</v>
      </c>
      <c r="B606" t="str">
        <f t="shared" si="57"/>
        <v>Female</v>
      </c>
      <c r="C606" s="8">
        <v>40</v>
      </c>
      <c r="D606" t="str">
        <f t="shared" si="58"/>
        <v>Middle Age</v>
      </c>
      <c r="E606">
        <v>2</v>
      </c>
      <c r="F606" t="str">
        <f>HLOOKUP(E606, LookUP_Table!$A$6:$D$7, 2, FALSE)</f>
        <v>Secondary</v>
      </c>
      <c r="G606" t="str">
        <f>IFERROR(VLOOKUP(E606, LookUP_Table!$A$1:$B$4, 2, FALSE), "")</f>
        <v>Secondary</v>
      </c>
      <c r="H606">
        <v>0</v>
      </c>
      <c r="I606">
        <v>0</v>
      </c>
      <c r="J606" t="str">
        <f t="shared" si="54"/>
        <v>Non-Smoker</v>
      </c>
      <c r="K606">
        <v>0</v>
      </c>
      <c r="L606">
        <v>0</v>
      </c>
      <c r="M606">
        <v>0</v>
      </c>
      <c r="N606">
        <v>0</v>
      </c>
      <c r="O606">
        <v>208</v>
      </c>
      <c r="P606" t="str">
        <f t="shared" si="55"/>
        <v>Normal</v>
      </c>
      <c r="Q606">
        <v>116</v>
      </c>
      <c r="R606">
        <v>75</v>
      </c>
      <c r="S606">
        <v>18.52</v>
      </c>
      <c r="T606" t="str">
        <f t="shared" si="56"/>
        <v>Normal</v>
      </c>
      <c r="U606">
        <v>80</v>
      </c>
      <c r="V606">
        <v>82</v>
      </c>
      <c r="W606" t="str">
        <f t="shared" si="59"/>
        <v>Normal</v>
      </c>
      <c r="X606">
        <v>0</v>
      </c>
    </row>
    <row r="607" spans="1:24" ht="14.5" thickBot="1" x14ac:dyDescent="0.35">
      <c r="A607">
        <v>1</v>
      </c>
      <c r="B607" t="str">
        <f t="shared" si="57"/>
        <v>Male</v>
      </c>
      <c r="C607" s="8">
        <v>40</v>
      </c>
      <c r="D607" t="str">
        <f t="shared" si="58"/>
        <v>Middle Age</v>
      </c>
      <c r="E607">
        <v>1</v>
      </c>
      <c r="F607" t="str">
        <f>HLOOKUP(E607, LookUP_Table!$A$6:$D$7, 2, FALSE)</f>
        <v>Primary</v>
      </c>
      <c r="G607" t="str">
        <f>IFERROR(VLOOKUP(E607, LookUP_Table!$A$1:$B$4, 2, FALSE), "")</f>
        <v>Primary</v>
      </c>
      <c r="H607">
        <v>0</v>
      </c>
      <c r="I607">
        <v>0</v>
      </c>
      <c r="J607" t="str">
        <f t="shared" si="54"/>
        <v>Non-Smoker</v>
      </c>
      <c r="K607">
        <v>0</v>
      </c>
      <c r="L607">
        <v>0</v>
      </c>
      <c r="M607">
        <v>0</v>
      </c>
      <c r="N607">
        <v>0</v>
      </c>
      <c r="O607">
        <v>137</v>
      </c>
      <c r="P607" t="str">
        <f t="shared" si="55"/>
        <v>Normal</v>
      </c>
      <c r="Q607">
        <v>127</v>
      </c>
      <c r="R607">
        <v>82</v>
      </c>
      <c r="S607">
        <v>27.04</v>
      </c>
      <c r="T607" t="str">
        <f t="shared" si="56"/>
        <v>Overweight</v>
      </c>
      <c r="U607">
        <v>60</v>
      </c>
      <c r="V607">
        <v>71</v>
      </c>
      <c r="W607" t="str">
        <f t="shared" si="59"/>
        <v>Normal</v>
      </c>
      <c r="X607">
        <v>0</v>
      </c>
    </row>
    <row r="608" spans="1:24" ht="14.5" thickBot="1" x14ac:dyDescent="0.35">
      <c r="A608">
        <v>1</v>
      </c>
      <c r="B608" t="str">
        <f t="shared" si="57"/>
        <v>Male</v>
      </c>
      <c r="C608" s="8">
        <v>40</v>
      </c>
      <c r="D608" t="str">
        <f t="shared" si="58"/>
        <v>Middle Age</v>
      </c>
      <c r="E608">
        <v>2</v>
      </c>
      <c r="F608" t="str">
        <f>HLOOKUP(E608, LookUP_Table!$A$6:$D$7, 2, FALSE)</f>
        <v>Secondary</v>
      </c>
      <c r="G608" t="str">
        <f>IFERROR(VLOOKUP(E608, LookUP_Table!$A$1:$B$4, 2, FALSE), "")</f>
        <v>Secondary</v>
      </c>
      <c r="H608">
        <v>0</v>
      </c>
      <c r="I608">
        <v>0</v>
      </c>
      <c r="J608" t="str">
        <f t="shared" si="54"/>
        <v>Non-Smoker</v>
      </c>
      <c r="K608">
        <v>0</v>
      </c>
      <c r="L608">
        <v>0</v>
      </c>
      <c r="M608">
        <v>0</v>
      </c>
      <c r="N608">
        <v>0</v>
      </c>
      <c r="O608">
        <v>208</v>
      </c>
      <c r="P608" t="str">
        <f t="shared" si="55"/>
        <v>Normal</v>
      </c>
      <c r="Q608">
        <v>148</v>
      </c>
      <c r="R608">
        <v>100</v>
      </c>
      <c r="S608">
        <v>32.840000000000003</v>
      </c>
      <c r="T608" t="str">
        <f t="shared" si="56"/>
        <v>Obese</v>
      </c>
      <c r="U608">
        <v>85</v>
      </c>
      <c r="V608">
        <v>102</v>
      </c>
      <c r="W608" t="str">
        <f t="shared" si="59"/>
        <v>Prediabetes</v>
      </c>
      <c r="X608">
        <v>0</v>
      </c>
    </row>
    <row r="609" spans="1:24" ht="14.5" thickBot="1" x14ac:dyDescent="0.35">
      <c r="A609">
        <v>0</v>
      </c>
      <c r="B609" t="str">
        <f t="shared" si="57"/>
        <v>Female</v>
      </c>
      <c r="C609" s="8">
        <v>40</v>
      </c>
      <c r="D609" t="str">
        <f t="shared" si="58"/>
        <v>Middle Age</v>
      </c>
      <c r="E609">
        <v>2</v>
      </c>
      <c r="F609" t="str">
        <f>HLOOKUP(E609, LookUP_Table!$A$6:$D$7, 2, FALSE)</f>
        <v>Secondary</v>
      </c>
      <c r="G609" t="str">
        <f>IFERROR(VLOOKUP(E609, LookUP_Table!$A$1:$B$4, 2, FALSE), "")</f>
        <v>Secondary</v>
      </c>
      <c r="H609">
        <v>0</v>
      </c>
      <c r="I609">
        <v>0</v>
      </c>
      <c r="J609" t="str">
        <f t="shared" si="54"/>
        <v>Non-Smoker</v>
      </c>
      <c r="K609">
        <v>0</v>
      </c>
      <c r="L609">
        <v>0</v>
      </c>
      <c r="M609">
        <v>0</v>
      </c>
      <c r="N609">
        <v>0</v>
      </c>
      <c r="O609">
        <v>205</v>
      </c>
      <c r="P609" t="str">
        <f t="shared" si="55"/>
        <v>Normal</v>
      </c>
      <c r="Q609">
        <v>97</v>
      </c>
      <c r="R609">
        <v>63</v>
      </c>
      <c r="S609">
        <v>26.56</v>
      </c>
      <c r="T609" t="str">
        <f t="shared" si="56"/>
        <v>Overweight</v>
      </c>
      <c r="U609">
        <v>83</v>
      </c>
      <c r="V609">
        <v>80</v>
      </c>
      <c r="W609" t="str">
        <f t="shared" si="59"/>
        <v>Normal</v>
      </c>
      <c r="X609">
        <v>0</v>
      </c>
    </row>
    <row r="610" spans="1:24" ht="14.5" thickBot="1" x14ac:dyDescent="0.35">
      <c r="A610">
        <v>1</v>
      </c>
      <c r="B610" t="str">
        <f t="shared" si="57"/>
        <v>Male</v>
      </c>
      <c r="C610" s="8">
        <v>40</v>
      </c>
      <c r="D610" t="str">
        <f t="shared" si="58"/>
        <v>Middle Age</v>
      </c>
      <c r="E610">
        <v>1</v>
      </c>
      <c r="F610" t="str">
        <f>HLOOKUP(E610, LookUP_Table!$A$6:$D$7, 2, FALSE)</f>
        <v>Primary</v>
      </c>
      <c r="G610" t="str">
        <f>IFERROR(VLOOKUP(E610, LookUP_Table!$A$1:$B$4, 2, FALSE), "")</f>
        <v>Primary</v>
      </c>
      <c r="H610">
        <v>1</v>
      </c>
      <c r="I610">
        <v>30</v>
      </c>
      <c r="J610" t="str">
        <f t="shared" si="54"/>
        <v>Smoker</v>
      </c>
      <c r="K610">
        <v>0</v>
      </c>
      <c r="L610">
        <v>0</v>
      </c>
      <c r="M610">
        <v>1</v>
      </c>
      <c r="N610">
        <v>0</v>
      </c>
      <c r="O610">
        <v>154</v>
      </c>
      <c r="P610" t="str">
        <f t="shared" si="55"/>
        <v>Normal</v>
      </c>
      <c r="Q610">
        <v>125</v>
      </c>
      <c r="R610">
        <v>94</v>
      </c>
      <c r="S610">
        <v>29.29</v>
      </c>
      <c r="T610" t="str">
        <f t="shared" si="56"/>
        <v>Overweight</v>
      </c>
      <c r="U610">
        <v>73</v>
      </c>
      <c r="V610">
        <v>84</v>
      </c>
      <c r="W610" t="str">
        <f t="shared" si="59"/>
        <v>Normal</v>
      </c>
      <c r="X610">
        <v>0</v>
      </c>
    </row>
    <row r="611" spans="1:24" ht="14.5" thickBot="1" x14ac:dyDescent="0.35">
      <c r="A611">
        <v>0</v>
      </c>
      <c r="B611" t="str">
        <f t="shared" si="57"/>
        <v>Female</v>
      </c>
      <c r="C611" s="8">
        <v>40</v>
      </c>
      <c r="D611" t="str">
        <f t="shared" si="58"/>
        <v>Middle Age</v>
      </c>
      <c r="E611">
        <v>2</v>
      </c>
      <c r="F611" t="str">
        <f>HLOOKUP(E611, LookUP_Table!$A$6:$D$7, 2, FALSE)</f>
        <v>Secondary</v>
      </c>
      <c r="G611" t="str">
        <f>IFERROR(VLOOKUP(E611, LookUP_Table!$A$1:$B$4, 2, FALSE), "")</f>
        <v>Secondary</v>
      </c>
      <c r="H611">
        <v>0</v>
      </c>
      <c r="I611">
        <v>0</v>
      </c>
      <c r="J611" t="str">
        <f t="shared" si="54"/>
        <v>Non-Smoker</v>
      </c>
      <c r="K611">
        <v>0</v>
      </c>
      <c r="L611">
        <v>0</v>
      </c>
      <c r="M611">
        <v>0</v>
      </c>
      <c r="N611">
        <v>0</v>
      </c>
      <c r="O611">
        <v>233</v>
      </c>
      <c r="P611" t="str">
        <f t="shared" si="55"/>
        <v>Normal</v>
      </c>
      <c r="Q611">
        <v>108.5</v>
      </c>
      <c r="R611">
        <v>75</v>
      </c>
      <c r="S611">
        <v>28.3</v>
      </c>
      <c r="T611" t="str">
        <f t="shared" si="56"/>
        <v>Overweight</v>
      </c>
      <c r="U611">
        <v>60</v>
      </c>
      <c r="V611">
        <v>73</v>
      </c>
      <c r="W611" t="str">
        <f t="shared" si="59"/>
        <v>Normal</v>
      </c>
      <c r="X611">
        <v>0</v>
      </c>
    </row>
    <row r="612" spans="1:24" ht="14.5" thickBot="1" x14ac:dyDescent="0.35">
      <c r="A612">
        <v>0</v>
      </c>
      <c r="B612" t="str">
        <f t="shared" si="57"/>
        <v>Female</v>
      </c>
      <c r="C612" s="8">
        <v>40</v>
      </c>
      <c r="D612" t="str">
        <f t="shared" si="58"/>
        <v>Middle Age</v>
      </c>
      <c r="E612">
        <v>4</v>
      </c>
      <c r="F612" t="str">
        <f>HLOOKUP(E612, LookUP_Table!$A$6:$D$7, 2, FALSE)</f>
        <v>Post Graduate</v>
      </c>
      <c r="G612" t="str">
        <f>IFERROR(VLOOKUP(E612, LookUP_Table!$A$1:$B$4, 2, FALSE), "")</f>
        <v>Post Graduate</v>
      </c>
      <c r="H612">
        <v>1</v>
      </c>
      <c r="I612">
        <v>15</v>
      </c>
      <c r="J612" t="str">
        <f t="shared" si="54"/>
        <v>Smoker</v>
      </c>
      <c r="K612">
        <v>0</v>
      </c>
      <c r="L612">
        <v>0</v>
      </c>
      <c r="M612">
        <v>0</v>
      </c>
      <c r="N612">
        <v>0</v>
      </c>
      <c r="O612">
        <v>244</v>
      </c>
      <c r="P612" t="str">
        <f t="shared" si="55"/>
        <v>High</v>
      </c>
      <c r="Q612">
        <v>110</v>
      </c>
      <c r="R612">
        <v>73</v>
      </c>
      <c r="S612">
        <v>21.84</v>
      </c>
      <c r="T612" t="str">
        <f t="shared" si="56"/>
        <v>Normal</v>
      </c>
      <c r="U612">
        <v>88</v>
      </c>
      <c r="V612">
        <v>67</v>
      </c>
      <c r="W612" t="str">
        <f t="shared" si="59"/>
        <v>Normal</v>
      </c>
      <c r="X612">
        <v>0</v>
      </c>
    </row>
    <row r="613" spans="1:24" ht="14.5" thickBot="1" x14ac:dyDescent="0.35">
      <c r="A613">
        <v>1</v>
      </c>
      <c r="B613" t="str">
        <f t="shared" si="57"/>
        <v>Male</v>
      </c>
      <c r="C613" s="8">
        <v>40</v>
      </c>
      <c r="D613" t="str">
        <f t="shared" si="58"/>
        <v>Middle Age</v>
      </c>
      <c r="E613">
        <v>1</v>
      </c>
      <c r="F613" t="str">
        <f>HLOOKUP(E613, LookUP_Table!$A$6:$D$7, 2, FALSE)</f>
        <v>Primary</v>
      </c>
      <c r="G613" t="str">
        <f>IFERROR(VLOOKUP(E613, LookUP_Table!$A$1:$B$4, 2, FALSE), "")</f>
        <v>Primary</v>
      </c>
      <c r="H613">
        <v>0</v>
      </c>
      <c r="I613">
        <v>0</v>
      </c>
      <c r="J613" t="str">
        <f t="shared" si="54"/>
        <v>Non-Smoker</v>
      </c>
      <c r="K613">
        <v>0</v>
      </c>
      <c r="L613">
        <v>0</v>
      </c>
      <c r="M613">
        <v>1</v>
      </c>
      <c r="N613">
        <v>0</v>
      </c>
      <c r="O613">
        <v>175</v>
      </c>
      <c r="P613" t="str">
        <f t="shared" si="55"/>
        <v>Normal</v>
      </c>
      <c r="Q613">
        <v>173</v>
      </c>
      <c r="R613">
        <v>59</v>
      </c>
      <c r="S613">
        <v>27.99</v>
      </c>
      <c r="T613" t="str">
        <f t="shared" si="56"/>
        <v>Overweight</v>
      </c>
      <c r="U613">
        <v>70</v>
      </c>
      <c r="V613">
        <v>75</v>
      </c>
      <c r="W613" t="str">
        <f t="shared" si="59"/>
        <v>Normal</v>
      </c>
      <c r="X613">
        <v>1</v>
      </c>
    </row>
    <row r="614" spans="1:24" ht="14.5" thickBot="1" x14ac:dyDescent="0.35">
      <c r="A614">
        <v>1</v>
      </c>
      <c r="B614" t="str">
        <f t="shared" si="57"/>
        <v>Male</v>
      </c>
      <c r="C614" s="8">
        <v>40</v>
      </c>
      <c r="D614" t="str">
        <f t="shared" si="58"/>
        <v>Middle Age</v>
      </c>
      <c r="E614">
        <v>1</v>
      </c>
      <c r="F614" t="str">
        <f>HLOOKUP(E614, LookUP_Table!$A$6:$D$7, 2, FALSE)</f>
        <v>Primary</v>
      </c>
      <c r="G614" t="str">
        <f>IFERROR(VLOOKUP(E614, LookUP_Table!$A$1:$B$4, 2, FALSE), "")</f>
        <v>Primary</v>
      </c>
      <c r="H614">
        <v>0</v>
      </c>
      <c r="I614">
        <v>0</v>
      </c>
      <c r="J614" t="str">
        <f t="shared" si="54"/>
        <v>Non-Smoker</v>
      </c>
      <c r="K614">
        <v>0</v>
      </c>
      <c r="L614">
        <v>0</v>
      </c>
      <c r="M614">
        <v>0</v>
      </c>
      <c r="N614">
        <v>0</v>
      </c>
      <c r="O614">
        <v>204</v>
      </c>
      <c r="P614" t="str">
        <f t="shared" si="55"/>
        <v>Normal</v>
      </c>
      <c r="Q614">
        <v>115</v>
      </c>
      <c r="R614">
        <v>83</v>
      </c>
      <c r="S614">
        <v>25.05</v>
      </c>
      <c r="T614" t="str">
        <f t="shared" si="56"/>
        <v>Overweight</v>
      </c>
      <c r="U614">
        <v>75</v>
      </c>
      <c r="V614">
        <v>76</v>
      </c>
      <c r="W614" t="str">
        <f t="shared" si="59"/>
        <v>Normal</v>
      </c>
      <c r="X614">
        <v>0</v>
      </c>
    </row>
    <row r="615" spans="1:24" ht="14.5" thickBot="1" x14ac:dyDescent="0.35">
      <c r="A615">
        <v>1</v>
      </c>
      <c r="B615" t="str">
        <f t="shared" si="57"/>
        <v>Male</v>
      </c>
      <c r="C615" s="8">
        <v>40</v>
      </c>
      <c r="D615" t="str">
        <f t="shared" si="58"/>
        <v>Middle Age</v>
      </c>
      <c r="E615">
        <v>4</v>
      </c>
      <c r="F615" t="str">
        <f>HLOOKUP(E615, LookUP_Table!$A$6:$D$7, 2, FALSE)</f>
        <v>Post Graduate</v>
      </c>
      <c r="G615" t="str">
        <f>IFERROR(VLOOKUP(E615, LookUP_Table!$A$1:$B$4, 2, FALSE), "")</f>
        <v>Post Graduate</v>
      </c>
      <c r="H615">
        <v>1</v>
      </c>
      <c r="I615">
        <v>20</v>
      </c>
      <c r="J615" t="str">
        <f t="shared" si="54"/>
        <v>Smoker</v>
      </c>
      <c r="K615">
        <v>0</v>
      </c>
      <c r="L615">
        <v>0</v>
      </c>
      <c r="M615">
        <v>0</v>
      </c>
      <c r="N615">
        <v>0</v>
      </c>
      <c r="O615">
        <v>229</v>
      </c>
      <c r="P615" t="str">
        <f t="shared" si="55"/>
        <v>Normal</v>
      </c>
      <c r="Q615">
        <v>137</v>
      </c>
      <c r="R615">
        <v>85</v>
      </c>
      <c r="S615">
        <v>35.200000000000003</v>
      </c>
      <c r="T615" t="str">
        <f t="shared" si="56"/>
        <v>Obese</v>
      </c>
      <c r="U615">
        <v>66</v>
      </c>
      <c r="V615">
        <v>55</v>
      </c>
      <c r="W615" t="str">
        <f t="shared" si="59"/>
        <v>Normal</v>
      </c>
      <c r="X615">
        <v>0</v>
      </c>
    </row>
    <row r="616" spans="1:24" ht="14.5" thickBot="1" x14ac:dyDescent="0.35">
      <c r="A616">
        <v>0</v>
      </c>
      <c r="B616" t="str">
        <f t="shared" si="57"/>
        <v>Female</v>
      </c>
      <c r="C616" s="8">
        <v>40</v>
      </c>
      <c r="D616" t="str">
        <f t="shared" si="58"/>
        <v>Middle Age</v>
      </c>
      <c r="E616">
        <v>2</v>
      </c>
      <c r="F616" t="str">
        <f>HLOOKUP(E616, LookUP_Table!$A$6:$D$7, 2, FALSE)</f>
        <v>Secondary</v>
      </c>
      <c r="G616" t="str">
        <f>IFERROR(VLOOKUP(E616, LookUP_Table!$A$1:$B$4, 2, FALSE), "")</f>
        <v>Secondary</v>
      </c>
      <c r="H616">
        <v>0</v>
      </c>
      <c r="I616">
        <v>0</v>
      </c>
      <c r="J616" t="str">
        <f t="shared" si="54"/>
        <v>Non-Smoker</v>
      </c>
      <c r="K616">
        <v>0</v>
      </c>
      <c r="L616">
        <v>0</v>
      </c>
      <c r="M616">
        <v>1</v>
      </c>
      <c r="N616">
        <v>0</v>
      </c>
      <c r="O616">
        <v>204</v>
      </c>
      <c r="P616" t="str">
        <f t="shared" si="55"/>
        <v>Normal</v>
      </c>
      <c r="Q616">
        <v>122</v>
      </c>
      <c r="R616">
        <v>94</v>
      </c>
      <c r="S616">
        <v>29.86</v>
      </c>
      <c r="T616" t="str">
        <f t="shared" si="56"/>
        <v>Overweight</v>
      </c>
      <c r="U616">
        <v>87</v>
      </c>
      <c r="V616">
        <v>82</v>
      </c>
      <c r="W616" t="str">
        <f t="shared" si="59"/>
        <v>Normal</v>
      </c>
      <c r="X616">
        <v>0</v>
      </c>
    </row>
    <row r="617" spans="1:24" ht="14.5" thickBot="1" x14ac:dyDescent="0.35">
      <c r="A617">
        <v>0</v>
      </c>
      <c r="B617" t="str">
        <f t="shared" si="57"/>
        <v>Female</v>
      </c>
      <c r="C617" s="8">
        <v>40</v>
      </c>
      <c r="D617" t="str">
        <f t="shared" si="58"/>
        <v>Middle Age</v>
      </c>
      <c r="E617">
        <v>2</v>
      </c>
      <c r="F617" t="str">
        <f>HLOOKUP(E617, LookUP_Table!$A$6:$D$7, 2, FALSE)</f>
        <v>Secondary</v>
      </c>
      <c r="G617" t="str">
        <f>IFERROR(VLOOKUP(E617, LookUP_Table!$A$1:$B$4, 2, FALSE), "")</f>
        <v>Secondary</v>
      </c>
      <c r="H617">
        <v>0</v>
      </c>
      <c r="I617">
        <v>0</v>
      </c>
      <c r="J617" t="str">
        <f t="shared" si="54"/>
        <v>Non-Smoker</v>
      </c>
      <c r="K617">
        <v>0</v>
      </c>
      <c r="L617">
        <v>0</v>
      </c>
      <c r="M617">
        <v>0</v>
      </c>
      <c r="N617">
        <v>0</v>
      </c>
      <c r="O617">
        <v>219</v>
      </c>
      <c r="P617" t="str">
        <f t="shared" si="55"/>
        <v>Normal</v>
      </c>
      <c r="Q617">
        <v>100</v>
      </c>
      <c r="R617">
        <v>60</v>
      </c>
      <c r="S617">
        <v>19.78</v>
      </c>
      <c r="T617" t="str">
        <f t="shared" si="56"/>
        <v>Normal</v>
      </c>
      <c r="U617">
        <v>72</v>
      </c>
      <c r="V617">
        <v>60</v>
      </c>
      <c r="W617" t="str">
        <f t="shared" si="59"/>
        <v>Normal</v>
      </c>
      <c r="X617">
        <v>0</v>
      </c>
    </row>
    <row r="618" spans="1:24" ht="14.5" thickBot="1" x14ac:dyDescent="0.35">
      <c r="A618">
        <v>1</v>
      </c>
      <c r="B618" t="str">
        <f t="shared" si="57"/>
        <v>Male</v>
      </c>
      <c r="C618" s="8">
        <v>40</v>
      </c>
      <c r="D618" t="str">
        <f t="shared" si="58"/>
        <v>Middle Age</v>
      </c>
      <c r="E618">
        <v>2</v>
      </c>
      <c r="F618" t="str">
        <f>HLOOKUP(E618, LookUP_Table!$A$6:$D$7, 2, FALSE)</f>
        <v>Secondary</v>
      </c>
      <c r="G618" t="str">
        <f>IFERROR(VLOOKUP(E618, LookUP_Table!$A$1:$B$4, 2, FALSE), "")</f>
        <v>Secondary</v>
      </c>
      <c r="H618">
        <v>0</v>
      </c>
      <c r="I618">
        <v>0</v>
      </c>
      <c r="J618" t="str">
        <f t="shared" si="54"/>
        <v>Non-Smoker</v>
      </c>
      <c r="K618">
        <v>0</v>
      </c>
      <c r="L618">
        <v>0</v>
      </c>
      <c r="M618">
        <v>0</v>
      </c>
      <c r="N618">
        <v>0</v>
      </c>
      <c r="O618">
        <v>234</v>
      </c>
      <c r="P618" t="str">
        <f t="shared" si="55"/>
        <v>Normal</v>
      </c>
      <c r="Q618">
        <v>127</v>
      </c>
      <c r="R618">
        <v>79</v>
      </c>
      <c r="S618">
        <v>26.56</v>
      </c>
      <c r="T618" t="str">
        <f t="shared" si="56"/>
        <v>Overweight</v>
      </c>
      <c r="U618">
        <v>60</v>
      </c>
      <c r="V618">
        <v>92</v>
      </c>
      <c r="W618" t="str">
        <f t="shared" si="59"/>
        <v>Normal</v>
      </c>
      <c r="X618">
        <v>0</v>
      </c>
    </row>
    <row r="619" spans="1:24" ht="14.5" thickBot="1" x14ac:dyDescent="0.35">
      <c r="A619">
        <v>0</v>
      </c>
      <c r="B619" t="str">
        <f t="shared" si="57"/>
        <v>Female</v>
      </c>
      <c r="C619" s="8">
        <v>40</v>
      </c>
      <c r="D619" t="str">
        <f t="shared" si="58"/>
        <v>Middle Age</v>
      </c>
      <c r="E619">
        <v>2</v>
      </c>
      <c r="F619" t="str">
        <f>HLOOKUP(E619, LookUP_Table!$A$6:$D$7, 2, FALSE)</f>
        <v>Secondary</v>
      </c>
      <c r="G619" t="str">
        <f>IFERROR(VLOOKUP(E619, LookUP_Table!$A$1:$B$4, 2, FALSE), "")</f>
        <v>Secondary</v>
      </c>
      <c r="H619">
        <v>0</v>
      </c>
      <c r="I619">
        <v>0</v>
      </c>
      <c r="J619" t="str">
        <f t="shared" si="54"/>
        <v>Non-Smoker</v>
      </c>
      <c r="K619">
        <v>0</v>
      </c>
      <c r="L619">
        <v>0</v>
      </c>
      <c r="M619">
        <v>0</v>
      </c>
      <c r="N619">
        <v>0</v>
      </c>
      <c r="O619">
        <v>185</v>
      </c>
      <c r="P619" t="str">
        <f t="shared" si="55"/>
        <v>Normal</v>
      </c>
      <c r="Q619">
        <v>117.5</v>
      </c>
      <c r="R619">
        <v>72</v>
      </c>
      <c r="S619">
        <v>21.12</v>
      </c>
      <c r="T619" t="str">
        <f t="shared" si="56"/>
        <v>Normal</v>
      </c>
      <c r="U619">
        <v>70</v>
      </c>
      <c r="V619">
        <v>79</v>
      </c>
      <c r="W619" t="str">
        <f t="shared" si="59"/>
        <v>Normal</v>
      </c>
      <c r="X619">
        <v>0</v>
      </c>
    </row>
    <row r="620" spans="1:24" ht="14.5" thickBot="1" x14ac:dyDescent="0.35">
      <c r="A620">
        <v>0</v>
      </c>
      <c r="B620" t="str">
        <f t="shared" si="57"/>
        <v>Female</v>
      </c>
      <c r="C620" s="8">
        <v>40</v>
      </c>
      <c r="D620" t="str">
        <f t="shared" si="58"/>
        <v>Middle Age</v>
      </c>
      <c r="E620">
        <v>3</v>
      </c>
      <c r="F620" t="str">
        <f>HLOOKUP(E620, LookUP_Table!$A$6:$D$7, 2, FALSE)</f>
        <v>Graduate</v>
      </c>
      <c r="G620" t="str">
        <f>IFERROR(VLOOKUP(E620, LookUP_Table!$A$1:$B$4, 2, FALSE), "")</f>
        <v>Graduate</v>
      </c>
      <c r="H620">
        <v>1</v>
      </c>
      <c r="I620">
        <v>15</v>
      </c>
      <c r="J620" t="str">
        <f t="shared" si="54"/>
        <v>Smoker</v>
      </c>
      <c r="K620">
        <v>0</v>
      </c>
      <c r="L620">
        <v>0</v>
      </c>
      <c r="M620">
        <v>0</v>
      </c>
      <c r="N620">
        <v>0</v>
      </c>
      <c r="O620">
        <v>304</v>
      </c>
      <c r="P620" t="str">
        <f t="shared" si="55"/>
        <v>High</v>
      </c>
      <c r="Q620">
        <v>121</v>
      </c>
      <c r="R620">
        <v>88</v>
      </c>
      <c r="S620">
        <v>22.52</v>
      </c>
      <c r="T620" t="str">
        <f t="shared" si="56"/>
        <v>Normal</v>
      </c>
      <c r="U620">
        <v>60</v>
      </c>
      <c r="V620">
        <v>80</v>
      </c>
      <c r="W620" t="str">
        <f t="shared" si="59"/>
        <v>Normal</v>
      </c>
      <c r="X620">
        <v>0</v>
      </c>
    </row>
    <row r="621" spans="1:24" ht="14.5" thickBot="1" x14ac:dyDescent="0.35">
      <c r="A621">
        <v>0</v>
      </c>
      <c r="B621" t="str">
        <f t="shared" si="57"/>
        <v>Female</v>
      </c>
      <c r="C621" s="8">
        <v>40</v>
      </c>
      <c r="D621" t="str">
        <f t="shared" si="58"/>
        <v>Middle Age</v>
      </c>
      <c r="E621">
        <v>2</v>
      </c>
      <c r="F621" t="str">
        <f>HLOOKUP(E621, LookUP_Table!$A$6:$D$7, 2, FALSE)</f>
        <v>Secondary</v>
      </c>
      <c r="G621" t="str">
        <f>IFERROR(VLOOKUP(E621, LookUP_Table!$A$1:$B$4, 2, FALSE), "")</f>
        <v>Secondary</v>
      </c>
      <c r="H621">
        <v>0</v>
      </c>
      <c r="I621">
        <v>0</v>
      </c>
      <c r="J621" t="str">
        <f t="shared" si="54"/>
        <v>Non-Smoker</v>
      </c>
      <c r="K621">
        <v>0</v>
      </c>
      <c r="L621">
        <v>0</v>
      </c>
      <c r="M621">
        <v>0</v>
      </c>
      <c r="N621">
        <v>0</v>
      </c>
      <c r="O621">
        <v>190</v>
      </c>
      <c r="P621" t="str">
        <f t="shared" si="55"/>
        <v>Normal</v>
      </c>
      <c r="Q621">
        <v>112</v>
      </c>
      <c r="R621">
        <v>80</v>
      </c>
      <c r="S621">
        <v>26.13</v>
      </c>
      <c r="T621" t="str">
        <f t="shared" si="56"/>
        <v>Overweight</v>
      </c>
      <c r="U621">
        <v>93</v>
      </c>
      <c r="V621">
        <v>78</v>
      </c>
      <c r="W621" t="str">
        <f t="shared" si="59"/>
        <v>Normal</v>
      </c>
      <c r="X621">
        <v>0</v>
      </c>
    </row>
    <row r="622" spans="1:24" ht="14.5" thickBot="1" x14ac:dyDescent="0.35">
      <c r="A622">
        <v>1</v>
      </c>
      <c r="B622" t="str">
        <f t="shared" si="57"/>
        <v>Male</v>
      </c>
      <c r="C622" s="8">
        <v>40</v>
      </c>
      <c r="D622" t="str">
        <f t="shared" si="58"/>
        <v>Middle Age</v>
      </c>
      <c r="E622">
        <v>4</v>
      </c>
      <c r="F622" t="str">
        <f>HLOOKUP(E622, LookUP_Table!$A$6:$D$7, 2, FALSE)</f>
        <v>Post Graduate</v>
      </c>
      <c r="G622" t="str">
        <f>IFERROR(VLOOKUP(E622, LookUP_Table!$A$1:$B$4, 2, FALSE), "")</f>
        <v>Post Graduate</v>
      </c>
      <c r="H622">
        <v>0</v>
      </c>
      <c r="I622">
        <v>0</v>
      </c>
      <c r="J622" t="str">
        <f t="shared" si="54"/>
        <v>Non-Smoker</v>
      </c>
      <c r="K622">
        <v>0</v>
      </c>
      <c r="L622">
        <v>0</v>
      </c>
      <c r="M622">
        <v>1</v>
      </c>
      <c r="N622">
        <v>0</v>
      </c>
      <c r="O622">
        <v>213</v>
      </c>
      <c r="P622" t="str">
        <f t="shared" si="55"/>
        <v>Normal</v>
      </c>
      <c r="Q622">
        <v>145</v>
      </c>
      <c r="R622">
        <v>100.5</v>
      </c>
      <c r="S622">
        <v>27.34</v>
      </c>
      <c r="T622" t="str">
        <f t="shared" si="56"/>
        <v>Overweight</v>
      </c>
      <c r="U622">
        <v>95</v>
      </c>
      <c r="V622">
        <v>117</v>
      </c>
      <c r="W622" t="str">
        <f t="shared" si="59"/>
        <v>Prediabetes</v>
      </c>
      <c r="X622">
        <v>0</v>
      </c>
    </row>
    <row r="623" spans="1:24" ht="14.5" thickBot="1" x14ac:dyDescent="0.35">
      <c r="A623">
        <v>1</v>
      </c>
      <c r="B623" t="str">
        <f t="shared" si="57"/>
        <v>Male</v>
      </c>
      <c r="C623" s="8">
        <v>40</v>
      </c>
      <c r="D623" t="str">
        <f t="shared" si="58"/>
        <v>Middle Age</v>
      </c>
      <c r="E623">
        <v>3</v>
      </c>
      <c r="F623" t="str">
        <f>HLOOKUP(E623, LookUP_Table!$A$6:$D$7, 2, FALSE)</f>
        <v>Graduate</v>
      </c>
      <c r="G623" t="str">
        <f>IFERROR(VLOOKUP(E623, LookUP_Table!$A$1:$B$4, 2, FALSE), "")</f>
        <v>Graduate</v>
      </c>
      <c r="H623">
        <v>0</v>
      </c>
      <c r="I623">
        <v>0</v>
      </c>
      <c r="J623" t="str">
        <f t="shared" si="54"/>
        <v>Non-Smoker</v>
      </c>
      <c r="K623">
        <v>0</v>
      </c>
      <c r="L623">
        <v>0</v>
      </c>
      <c r="M623">
        <v>1</v>
      </c>
      <c r="N623">
        <v>0</v>
      </c>
      <c r="O623">
        <v>286</v>
      </c>
      <c r="P623" t="str">
        <f t="shared" si="55"/>
        <v>High</v>
      </c>
      <c r="Q623">
        <v>111</v>
      </c>
      <c r="R623">
        <v>95.5</v>
      </c>
      <c r="S623">
        <v>29.42</v>
      </c>
      <c r="T623" t="str">
        <f t="shared" si="56"/>
        <v>Overweight</v>
      </c>
      <c r="U623">
        <v>70</v>
      </c>
      <c r="V623">
        <v>89</v>
      </c>
      <c r="W623" t="str">
        <f t="shared" si="59"/>
        <v>Normal</v>
      </c>
      <c r="X623">
        <v>0</v>
      </c>
    </row>
    <row r="624" spans="1:24" ht="14.5" thickBot="1" x14ac:dyDescent="0.35">
      <c r="A624">
        <v>1</v>
      </c>
      <c r="B624" t="str">
        <f t="shared" si="57"/>
        <v>Male</v>
      </c>
      <c r="C624" s="8">
        <v>40</v>
      </c>
      <c r="D624" t="str">
        <f t="shared" si="58"/>
        <v>Middle Age</v>
      </c>
      <c r="E624">
        <v>2</v>
      </c>
      <c r="F624" t="str">
        <f>HLOOKUP(E624, LookUP_Table!$A$6:$D$7, 2, FALSE)</f>
        <v>Secondary</v>
      </c>
      <c r="G624" t="str">
        <f>IFERROR(VLOOKUP(E624, LookUP_Table!$A$1:$B$4, 2, FALSE), "")</f>
        <v>Secondary</v>
      </c>
      <c r="H624">
        <v>1</v>
      </c>
      <c r="I624">
        <v>20</v>
      </c>
      <c r="J624" t="str">
        <f t="shared" si="54"/>
        <v>Smoker</v>
      </c>
      <c r="K624">
        <v>0</v>
      </c>
      <c r="L624">
        <v>0</v>
      </c>
      <c r="M624">
        <v>0</v>
      </c>
      <c r="N624">
        <v>0</v>
      </c>
      <c r="O624">
        <v>203</v>
      </c>
      <c r="P624" t="str">
        <f t="shared" si="55"/>
        <v>Normal</v>
      </c>
      <c r="Q624">
        <v>112.5</v>
      </c>
      <c r="R624">
        <v>70</v>
      </c>
      <c r="S624">
        <v>22.71</v>
      </c>
      <c r="T624" t="str">
        <f t="shared" si="56"/>
        <v>Normal</v>
      </c>
      <c r="U624">
        <v>75</v>
      </c>
      <c r="V624">
        <v>72</v>
      </c>
      <c r="W624" t="str">
        <f t="shared" si="59"/>
        <v>Normal</v>
      </c>
      <c r="X624">
        <v>0</v>
      </c>
    </row>
    <row r="625" spans="1:24" ht="14.5" thickBot="1" x14ac:dyDescent="0.35">
      <c r="A625">
        <v>0</v>
      </c>
      <c r="B625" t="str">
        <f t="shared" si="57"/>
        <v>Female</v>
      </c>
      <c r="C625" s="8">
        <v>40</v>
      </c>
      <c r="D625" t="str">
        <f t="shared" si="58"/>
        <v>Middle Age</v>
      </c>
      <c r="E625">
        <v>2</v>
      </c>
      <c r="F625" t="str">
        <f>HLOOKUP(E625, LookUP_Table!$A$6:$D$7, 2, FALSE)</f>
        <v>Secondary</v>
      </c>
      <c r="G625" t="str">
        <f>IFERROR(VLOOKUP(E625, LookUP_Table!$A$1:$B$4, 2, FALSE), "")</f>
        <v>Secondary</v>
      </c>
      <c r="H625">
        <v>0</v>
      </c>
      <c r="I625">
        <v>0</v>
      </c>
      <c r="J625" t="str">
        <f t="shared" si="54"/>
        <v>Non-Smoker</v>
      </c>
      <c r="K625">
        <v>0</v>
      </c>
      <c r="L625">
        <v>0</v>
      </c>
      <c r="M625">
        <v>0</v>
      </c>
      <c r="N625">
        <v>0</v>
      </c>
      <c r="O625">
        <v>164</v>
      </c>
      <c r="P625" t="str">
        <f t="shared" si="55"/>
        <v>Normal</v>
      </c>
      <c r="Q625">
        <v>135</v>
      </c>
      <c r="R625">
        <v>75</v>
      </c>
      <c r="S625">
        <v>25.80080075811421</v>
      </c>
      <c r="T625" t="str">
        <f t="shared" si="56"/>
        <v>Overweight</v>
      </c>
      <c r="U625">
        <v>75</v>
      </c>
      <c r="V625">
        <v>85</v>
      </c>
      <c r="W625" t="str">
        <f t="shared" si="59"/>
        <v>Normal</v>
      </c>
      <c r="X625">
        <v>0</v>
      </c>
    </row>
    <row r="626" spans="1:24" ht="14.5" thickBot="1" x14ac:dyDescent="0.35">
      <c r="A626">
        <v>0</v>
      </c>
      <c r="B626" t="str">
        <f t="shared" si="57"/>
        <v>Female</v>
      </c>
      <c r="C626" s="8">
        <v>40</v>
      </c>
      <c r="D626" t="str">
        <f t="shared" si="58"/>
        <v>Middle Age</v>
      </c>
      <c r="E626">
        <v>2</v>
      </c>
      <c r="F626" t="str">
        <f>HLOOKUP(E626, LookUP_Table!$A$6:$D$7, 2, FALSE)</f>
        <v>Secondary</v>
      </c>
      <c r="G626" t="str">
        <f>IFERROR(VLOOKUP(E626, LookUP_Table!$A$1:$B$4, 2, FALSE), "")</f>
        <v>Secondary</v>
      </c>
      <c r="H626">
        <v>0</v>
      </c>
      <c r="I626">
        <v>0</v>
      </c>
      <c r="J626" t="str">
        <f t="shared" si="54"/>
        <v>Non-Smoker</v>
      </c>
      <c r="K626">
        <v>0</v>
      </c>
      <c r="L626">
        <v>0</v>
      </c>
      <c r="M626">
        <v>0</v>
      </c>
      <c r="N626">
        <v>0</v>
      </c>
      <c r="O626">
        <v>168</v>
      </c>
      <c r="P626" t="str">
        <f t="shared" si="55"/>
        <v>Normal</v>
      </c>
      <c r="Q626">
        <v>111</v>
      </c>
      <c r="R626">
        <v>78</v>
      </c>
      <c r="S626">
        <v>20.82</v>
      </c>
      <c r="T626" t="str">
        <f t="shared" si="56"/>
        <v>Normal</v>
      </c>
      <c r="U626">
        <v>65</v>
      </c>
      <c r="V626">
        <v>74</v>
      </c>
      <c r="W626" t="str">
        <f t="shared" si="59"/>
        <v>Normal</v>
      </c>
      <c r="X626">
        <v>0</v>
      </c>
    </row>
    <row r="627" spans="1:24" ht="14.5" thickBot="1" x14ac:dyDescent="0.35">
      <c r="A627">
        <v>1</v>
      </c>
      <c r="B627" t="str">
        <f t="shared" si="57"/>
        <v>Male</v>
      </c>
      <c r="C627" s="8">
        <v>40</v>
      </c>
      <c r="D627" t="str">
        <f t="shared" si="58"/>
        <v>Middle Age</v>
      </c>
      <c r="E627">
        <v>1</v>
      </c>
      <c r="F627" t="str">
        <f>HLOOKUP(E627, LookUP_Table!$A$6:$D$7, 2, FALSE)</f>
        <v>Primary</v>
      </c>
      <c r="G627" t="str">
        <f>IFERROR(VLOOKUP(E627, LookUP_Table!$A$1:$B$4, 2, FALSE), "")</f>
        <v>Primary</v>
      </c>
      <c r="H627">
        <v>1</v>
      </c>
      <c r="I627">
        <v>20</v>
      </c>
      <c r="J627" t="str">
        <f t="shared" si="54"/>
        <v>Smoker</v>
      </c>
      <c r="K627">
        <v>0</v>
      </c>
      <c r="L627">
        <v>0</v>
      </c>
      <c r="M627">
        <v>0</v>
      </c>
      <c r="N627">
        <v>0</v>
      </c>
      <c r="O627">
        <v>266</v>
      </c>
      <c r="P627" t="str">
        <f t="shared" si="55"/>
        <v>High</v>
      </c>
      <c r="Q627">
        <v>101</v>
      </c>
      <c r="R627">
        <v>73</v>
      </c>
      <c r="S627">
        <v>25.80080075811421</v>
      </c>
      <c r="T627" t="str">
        <f t="shared" si="56"/>
        <v>Overweight</v>
      </c>
      <c r="U627">
        <v>70</v>
      </c>
      <c r="V627">
        <v>64</v>
      </c>
      <c r="W627" t="str">
        <f t="shared" si="59"/>
        <v>Normal</v>
      </c>
      <c r="X627">
        <v>0</v>
      </c>
    </row>
    <row r="628" spans="1:24" ht="14.5" thickBot="1" x14ac:dyDescent="0.35">
      <c r="A628">
        <v>0</v>
      </c>
      <c r="B628" t="str">
        <f t="shared" si="57"/>
        <v>Female</v>
      </c>
      <c r="C628" s="8">
        <v>40</v>
      </c>
      <c r="D628" t="str">
        <f t="shared" si="58"/>
        <v>Middle Age</v>
      </c>
      <c r="E628">
        <v>1</v>
      </c>
      <c r="F628" t="str">
        <f>HLOOKUP(E628, LookUP_Table!$A$6:$D$7, 2, FALSE)</f>
        <v>Primary</v>
      </c>
      <c r="G628" t="str">
        <f>IFERROR(VLOOKUP(E628, LookUP_Table!$A$1:$B$4, 2, FALSE), "")</f>
        <v>Primary</v>
      </c>
      <c r="H628">
        <v>0</v>
      </c>
      <c r="I628">
        <v>0</v>
      </c>
      <c r="J628" t="str">
        <f t="shared" si="54"/>
        <v>Non-Smoker</v>
      </c>
      <c r="K628">
        <v>0</v>
      </c>
      <c r="L628">
        <v>0</v>
      </c>
      <c r="M628">
        <v>0</v>
      </c>
      <c r="N628">
        <v>0</v>
      </c>
      <c r="O628">
        <v>228</v>
      </c>
      <c r="P628" t="str">
        <f t="shared" si="55"/>
        <v>Normal</v>
      </c>
      <c r="Q628">
        <v>116</v>
      </c>
      <c r="R628">
        <v>78</v>
      </c>
      <c r="S628">
        <v>27.72</v>
      </c>
      <c r="T628" t="str">
        <f t="shared" si="56"/>
        <v>Overweight</v>
      </c>
      <c r="U628">
        <v>62</v>
      </c>
      <c r="V628">
        <v>75</v>
      </c>
      <c r="W628" t="str">
        <f t="shared" si="59"/>
        <v>Normal</v>
      </c>
      <c r="X628">
        <v>0</v>
      </c>
    </row>
    <row r="629" spans="1:24" ht="14.5" thickBot="1" x14ac:dyDescent="0.35">
      <c r="A629">
        <v>1</v>
      </c>
      <c r="B629" t="str">
        <f t="shared" si="57"/>
        <v>Male</v>
      </c>
      <c r="C629" s="8">
        <v>40</v>
      </c>
      <c r="D629" t="str">
        <f t="shared" si="58"/>
        <v>Middle Age</v>
      </c>
      <c r="E629">
        <v>2</v>
      </c>
      <c r="F629" t="str">
        <f>HLOOKUP(E629, LookUP_Table!$A$6:$D$7, 2, FALSE)</f>
        <v>Secondary</v>
      </c>
      <c r="G629" t="str">
        <f>IFERROR(VLOOKUP(E629, LookUP_Table!$A$1:$B$4, 2, FALSE), "")</f>
        <v>Secondary</v>
      </c>
      <c r="H629">
        <v>1</v>
      </c>
      <c r="I629">
        <v>10</v>
      </c>
      <c r="J629" t="str">
        <f t="shared" si="54"/>
        <v>Smoker</v>
      </c>
      <c r="K629">
        <v>0</v>
      </c>
      <c r="L629">
        <v>0</v>
      </c>
      <c r="M629">
        <v>0</v>
      </c>
      <c r="N629">
        <v>0</v>
      </c>
      <c r="O629">
        <v>195</v>
      </c>
      <c r="P629" t="str">
        <f t="shared" si="55"/>
        <v>Normal</v>
      </c>
      <c r="Q629">
        <v>110</v>
      </c>
      <c r="R629">
        <v>70</v>
      </c>
      <c r="S629">
        <v>24.75</v>
      </c>
      <c r="T629" t="str">
        <f t="shared" si="56"/>
        <v>Normal</v>
      </c>
      <c r="U629">
        <v>79</v>
      </c>
      <c r="V629">
        <v>81.96365524402907</v>
      </c>
      <c r="W629" t="str">
        <f t="shared" si="59"/>
        <v>Normal</v>
      </c>
      <c r="X629">
        <v>0</v>
      </c>
    </row>
    <row r="630" spans="1:24" ht="14.5" thickBot="1" x14ac:dyDescent="0.35">
      <c r="A630">
        <v>0</v>
      </c>
      <c r="B630" t="str">
        <f t="shared" si="57"/>
        <v>Female</v>
      </c>
      <c r="C630" s="8">
        <v>40</v>
      </c>
      <c r="D630" t="str">
        <f t="shared" si="58"/>
        <v>Middle Age</v>
      </c>
      <c r="E630">
        <v>2</v>
      </c>
      <c r="F630" t="str">
        <f>HLOOKUP(E630, LookUP_Table!$A$6:$D$7, 2, FALSE)</f>
        <v>Secondary</v>
      </c>
      <c r="G630" t="str">
        <f>IFERROR(VLOOKUP(E630, LookUP_Table!$A$1:$B$4, 2, FALSE), "")</f>
        <v>Secondary</v>
      </c>
      <c r="H630">
        <v>1</v>
      </c>
      <c r="I630">
        <v>5</v>
      </c>
      <c r="J630" t="str">
        <f t="shared" si="54"/>
        <v>Smoker</v>
      </c>
      <c r="K630">
        <v>0</v>
      </c>
      <c r="L630">
        <v>0</v>
      </c>
      <c r="M630">
        <v>0</v>
      </c>
      <c r="N630">
        <v>0</v>
      </c>
      <c r="O630">
        <v>174</v>
      </c>
      <c r="P630" t="str">
        <f t="shared" si="55"/>
        <v>Normal</v>
      </c>
      <c r="Q630">
        <v>130</v>
      </c>
      <c r="R630">
        <v>86</v>
      </c>
      <c r="S630">
        <v>25.05</v>
      </c>
      <c r="T630" t="str">
        <f t="shared" si="56"/>
        <v>Overweight</v>
      </c>
      <c r="U630">
        <v>80</v>
      </c>
      <c r="V630">
        <v>83</v>
      </c>
      <c r="W630" t="str">
        <f t="shared" si="59"/>
        <v>Normal</v>
      </c>
      <c r="X630">
        <v>0</v>
      </c>
    </row>
    <row r="631" spans="1:24" ht="14.5" thickBot="1" x14ac:dyDescent="0.35">
      <c r="A631">
        <v>0</v>
      </c>
      <c r="B631" t="str">
        <f t="shared" si="57"/>
        <v>Female</v>
      </c>
      <c r="C631" s="8">
        <v>40</v>
      </c>
      <c r="D631" t="str">
        <f t="shared" si="58"/>
        <v>Middle Age</v>
      </c>
      <c r="E631">
        <v>3</v>
      </c>
      <c r="F631" t="str">
        <f>HLOOKUP(E631, LookUP_Table!$A$6:$D$7, 2, FALSE)</f>
        <v>Graduate</v>
      </c>
      <c r="G631" t="str">
        <f>IFERROR(VLOOKUP(E631, LookUP_Table!$A$1:$B$4, 2, FALSE), "")</f>
        <v>Graduate</v>
      </c>
      <c r="H631">
        <v>1</v>
      </c>
      <c r="I631">
        <v>10</v>
      </c>
      <c r="J631" t="str">
        <f t="shared" si="54"/>
        <v>Smoker</v>
      </c>
      <c r="K631">
        <v>0</v>
      </c>
      <c r="L631">
        <v>0</v>
      </c>
      <c r="M631">
        <v>1</v>
      </c>
      <c r="N631">
        <v>0</v>
      </c>
      <c r="O631">
        <v>187</v>
      </c>
      <c r="P631" t="str">
        <f t="shared" si="55"/>
        <v>Normal</v>
      </c>
      <c r="Q631">
        <v>144</v>
      </c>
      <c r="R631">
        <v>90</v>
      </c>
      <c r="S631">
        <v>22.17</v>
      </c>
      <c r="T631" t="str">
        <f t="shared" si="56"/>
        <v>Normal</v>
      </c>
      <c r="U631">
        <v>90</v>
      </c>
      <c r="V631">
        <v>93</v>
      </c>
      <c r="W631" t="str">
        <f t="shared" si="59"/>
        <v>Normal</v>
      </c>
      <c r="X631">
        <v>0</v>
      </c>
    </row>
    <row r="632" spans="1:24" ht="14.5" thickBot="1" x14ac:dyDescent="0.35">
      <c r="A632">
        <v>0</v>
      </c>
      <c r="B632" t="str">
        <f t="shared" si="57"/>
        <v>Female</v>
      </c>
      <c r="C632" s="8">
        <v>40</v>
      </c>
      <c r="D632" t="str">
        <f t="shared" si="58"/>
        <v>Middle Age</v>
      </c>
      <c r="E632">
        <v>4</v>
      </c>
      <c r="F632" t="str">
        <f>HLOOKUP(E632, LookUP_Table!$A$6:$D$7, 2, FALSE)</f>
        <v>Post Graduate</v>
      </c>
      <c r="G632" t="str">
        <f>IFERROR(VLOOKUP(E632, LookUP_Table!$A$1:$B$4, 2, FALSE), "")</f>
        <v>Post Graduate</v>
      </c>
      <c r="H632">
        <v>1</v>
      </c>
      <c r="I632">
        <v>15</v>
      </c>
      <c r="J632" t="str">
        <f t="shared" si="54"/>
        <v>Smoker</v>
      </c>
      <c r="K632">
        <v>0</v>
      </c>
      <c r="L632">
        <v>0</v>
      </c>
      <c r="M632">
        <v>0</v>
      </c>
      <c r="N632">
        <v>0</v>
      </c>
      <c r="O632">
        <v>155</v>
      </c>
      <c r="P632" t="str">
        <f t="shared" si="55"/>
        <v>Normal</v>
      </c>
      <c r="Q632">
        <v>121</v>
      </c>
      <c r="R632">
        <v>86</v>
      </c>
      <c r="S632">
        <v>23.16</v>
      </c>
      <c r="T632" t="str">
        <f t="shared" si="56"/>
        <v>Normal</v>
      </c>
      <c r="U632">
        <v>70</v>
      </c>
      <c r="V632">
        <v>59</v>
      </c>
      <c r="W632" t="str">
        <f t="shared" si="59"/>
        <v>Normal</v>
      </c>
      <c r="X632">
        <v>0</v>
      </c>
    </row>
    <row r="633" spans="1:24" ht="14.5" thickBot="1" x14ac:dyDescent="0.35">
      <c r="A633">
        <v>0</v>
      </c>
      <c r="B633" t="str">
        <f t="shared" si="57"/>
        <v>Female</v>
      </c>
      <c r="C633" s="8">
        <v>40</v>
      </c>
      <c r="D633" t="str">
        <f t="shared" si="58"/>
        <v>Middle Age</v>
      </c>
      <c r="E633">
        <v>2</v>
      </c>
      <c r="F633" t="str">
        <f>HLOOKUP(E633, LookUP_Table!$A$6:$D$7, 2, FALSE)</f>
        <v>Secondary</v>
      </c>
      <c r="G633" t="str">
        <f>IFERROR(VLOOKUP(E633, LookUP_Table!$A$1:$B$4, 2, FALSE), "")</f>
        <v>Secondary</v>
      </c>
      <c r="H633">
        <v>1</v>
      </c>
      <c r="I633">
        <v>20</v>
      </c>
      <c r="J633" t="str">
        <f t="shared" si="54"/>
        <v>Smoker</v>
      </c>
      <c r="K633">
        <v>0</v>
      </c>
      <c r="L633">
        <v>0</v>
      </c>
      <c r="M633">
        <v>0</v>
      </c>
      <c r="N633">
        <v>0</v>
      </c>
      <c r="O633">
        <v>271</v>
      </c>
      <c r="P633" t="str">
        <f t="shared" si="55"/>
        <v>High</v>
      </c>
      <c r="Q633">
        <v>138.5</v>
      </c>
      <c r="R633">
        <v>88</v>
      </c>
      <c r="S633">
        <v>27.24</v>
      </c>
      <c r="T633" t="str">
        <f t="shared" si="56"/>
        <v>Overweight</v>
      </c>
      <c r="U633">
        <v>80</v>
      </c>
      <c r="V633">
        <v>81.96365524402907</v>
      </c>
      <c r="W633" t="str">
        <f t="shared" si="59"/>
        <v>Normal</v>
      </c>
      <c r="X633">
        <v>1</v>
      </c>
    </row>
    <row r="634" spans="1:24" ht="14.5" thickBot="1" x14ac:dyDescent="0.35">
      <c r="A634">
        <v>1</v>
      </c>
      <c r="B634" t="str">
        <f t="shared" si="57"/>
        <v>Male</v>
      </c>
      <c r="C634" s="8">
        <v>40</v>
      </c>
      <c r="D634" t="str">
        <f t="shared" si="58"/>
        <v>Middle Age</v>
      </c>
      <c r="E634">
        <v>1</v>
      </c>
      <c r="F634" t="str">
        <f>HLOOKUP(E634, LookUP_Table!$A$6:$D$7, 2, FALSE)</f>
        <v>Primary</v>
      </c>
      <c r="G634" t="str">
        <f>IFERROR(VLOOKUP(E634, LookUP_Table!$A$1:$B$4, 2, FALSE), "")</f>
        <v>Primary</v>
      </c>
      <c r="H634">
        <v>0</v>
      </c>
      <c r="I634">
        <v>0</v>
      </c>
      <c r="J634" t="str">
        <f t="shared" si="54"/>
        <v>Non-Smoker</v>
      </c>
      <c r="K634">
        <v>0</v>
      </c>
      <c r="L634">
        <v>0</v>
      </c>
      <c r="M634">
        <v>1</v>
      </c>
      <c r="N634">
        <v>0</v>
      </c>
      <c r="O634">
        <v>265</v>
      </c>
      <c r="P634" t="str">
        <f t="shared" si="55"/>
        <v>High</v>
      </c>
      <c r="Q634">
        <v>133.5</v>
      </c>
      <c r="R634">
        <v>81.5</v>
      </c>
      <c r="S634">
        <v>23.78</v>
      </c>
      <c r="T634" t="str">
        <f t="shared" si="56"/>
        <v>Normal</v>
      </c>
      <c r="U634">
        <v>75</v>
      </c>
      <c r="V634">
        <v>84</v>
      </c>
      <c r="W634" t="str">
        <f t="shared" si="59"/>
        <v>Normal</v>
      </c>
      <c r="X634">
        <v>0</v>
      </c>
    </row>
    <row r="635" spans="1:24" ht="14.5" thickBot="1" x14ac:dyDescent="0.35">
      <c r="A635">
        <v>1</v>
      </c>
      <c r="B635" t="str">
        <f t="shared" si="57"/>
        <v>Male</v>
      </c>
      <c r="C635" s="8">
        <v>40</v>
      </c>
      <c r="D635" t="str">
        <f t="shared" si="58"/>
        <v>Middle Age</v>
      </c>
      <c r="E635">
        <v>2</v>
      </c>
      <c r="F635" t="str">
        <f>HLOOKUP(E635, LookUP_Table!$A$6:$D$7, 2, FALSE)</f>
        <v>Secondary</v>
      </c>
      <c r="G635" t="str">
        <f>IFERROR(VLOOKUP(E635, LookUP_Table!$A$1:$B$4, 2, FALSE), "")</f>
        <v>Secondary</v>
      </c>
      <c r="H635">
        <v>1</v>
      </c>
      <c r="I635">
        <v>1</v>
      </c>
      <c r="J635" t="str">
        <f t="shared" si="54"/>
        <v>Smoker</v>
      </c>
      <c r="K635">
        <v>0</v>
      </c>
      <c r="L635">
        <v>0</v>
      </c>
      <c r="M635">
        <v>0</v>
      </c>
      <c r="N635">
        <v>0</v>
      </c>
      <c r="O635">
        <v>234</v>
      </c>
      <c r="P635" t="str">
        <f t="shared" si="55"/>
        <v>Normal</v>
      </c>
      <c r="Q635">
        <v>116</v>
      </c>
      <c r="R635">
        <v>79.5</v>
      </c>
      <c r="S635">
        <v>24.77</v>
      </c>
      <c r="T635" t="str">
        <f t="shared" si="56"/>
        <v>Normal</v>
      </c>
      <c r="U635">
        <v>62</v>
      </c>
      <c r="V635">
        <v>87</v>
      </c>
      <c r="W635" t="str">
        <f t="shared" si="59"/>
        <v>Normal</v>
      </c>
      <c r="X635">
        <v>0</v>
      </c>
    </row>
    <row r="636" spans="1:24" ht="14.5" thickBot="1" x14ac:dyDescent="0.35">
      <c r="A636">
        <v>1</v>
      </c>
      <c r="B636" t="str">
        <f t="shared" si="57"/>
        <v>Male</v>
      </c>
      <c r="C636" s="8">
        <v>40</v>
      </c>
      <c r="D636" t="str">
        <f t="shared" si="58"/>
        <v>Middle Age</v>
      </c>
      <c r="E636">
        <v>4</v>
      </c>
      <c r="F636" t="str">
        <f>HLOOKUP(E636, LookUP_Table!$A$6:$D$7, 2, FALSE)</f>
        <v>Post Graduate</v>
      </c>
      <c r="G636" t="str">
        <f>IFERROR(VLOOKUP(E636, LookUP_Table!$A$1:$B$4, 2, FALSE), "")</f>
        <v>Post Graduate</v>
      </c>
      <c r="H636">
        <v>0</v>
      </c>
      <c r="I636">
        <v>0</v>
      </c>
      <c r="J636" t="str">
        <f t="shared" si="54"/>
        <v>Non-Smoker</v>
      </c>
      <c r="K636">
        <v>0</v>
      </c>
      <c r="L636">
        <v>0</v>
      </c>
      <c r="M636">
        <v>0</v>
      </c>
      <c r="N636">
        <v>0</v>
      </c>
      <c r="O636">
        <v>209</v>
      </c>
      <c r="P636" t="str">
        <f t="shared" si="55"/>
        <v>Normal</v>
      </c>
      <c r="Q636">
        <v>123.5</v>
      </c>
      <c r="R636">
        <v>83</v>
      </c>
      <c r="S636">
        <v>28.06</v>
      </c>
      <c r="T636" t="str">
        <f t="shared" si="56"/>
        <v>Overweight</v>
      </c>
      <c r="U636">
        <v>72</v>
      </c>
      <c r="V636">
        <v>63</v>
      </c>
      <c r="W636" t="str">
        <f t="shared" si="59"/>
        <v>Normal</v>
      </c>
      <c r="X636">
        <v>0</v>
      </c>
    </row>
    <row r="637" spans="1:24" ht="14.5" thickBot="1" x14ac:dyDescent="0.35">
      <c r="A637">
        <v>0</v>
      </c>
      <c r="B637" t="str">
        <f t="shared" si="57"/>
        <v>Female</v>
      </c>
      <c r="C637" s="8">
        <v>40</v>
      </c>
      <c r="D637" t="str">
        <f t="shared" si="58"/>
        <v>Middle Age</v>
      </c>
      <c r="E637">
        <v>4</v>
      </c>
      <c r="F637" t="str">
        <f>HLOOKUP(E637, LookUP_Table!$A$6:$D$7, 2, FALSE)</f>
        <v>Post Graduate</v>
      </c>
      <c r="G637" t="str">
        <f>IFERROR(VLOOKUP(E637, LookUP_Table!$A$1:$B$4, 2, FALSE), "")</f>
        <v>Post Graduate</v>
      </c>
      <c r="H637">
        <v>1</v>
      </c>
      <c r="I637">
        <v>3</v>
      </c>
      <c r="J637" t="str">
        <f t="shared" si="54"/>
        <v>Smoker</v>
      </c>
      <c r="K637">
        <v>0</v>
      </c>
      <c r="L637">
        <v>0</v>
      </c>
      <c r="M637">
        <v>0</v>
      </c>
      <c r="N637">
        <v>0</v>
      </c>
      <c r="O637">
        <v>188</v>
      </c>
      <c r="P637" t="str">
        <f t="shared" si="55"/>
        <v>Normal</v>
      </c>
      <c r="Q637">
        <v>105</v>
      </c>
      <c r="R637">
        <v>65</v>
      </c>
      <c r="S637">
        <v>21.15</v>
      </c>
      <c r="T637" t="str">
        <f t="shared" si="56"/>
        <v>Normal</v>
      </c>
      <c r="U637">
        <v>58</v>
      </c>
      <c r="V637">
        <v>70</v>
      </c>
      <c r="W637" t="str">
        <f t="shared" si="59"/>
        <v>Normal</v>
      </c>
      <c r="X637">
        <v>0</v>
      </c>
    </row>
    <row r="638" spans="1:24" ht="14.5" thickBot="1" x14ac:dyDescent="0.35">
      <c r="A638">
        <v>1</v>
      </c>
      <c r="B638" t="str">
        <f t="shared" si="57"/>
        <v>Male</v>
      </c>
      <c r="C638" s="8">
        <v>40</v>
      </c>
      <c r="D638" t="str">
        <f t="shared" si="58"/>
        <v>Middle Age</v>
      </c>
      <c r="E638">
        <v>1</v>
      </c>
      <c r="F638" t="str">
        <f>HLOOKUP(E638, LookUP_Table!$A$6:$D$7, 2, FALSE)</f>
        <v>Primary</v>
      </c>
      <c r="G638" t="str">
        <f>IFERROR(VLOOKUP(E638, LookUP_Table!$A$1:$B$4, 2, FALSE), "")</f>
        <v>Primary</v>
      </c>
      <c r="H638">
        <v>1</v>
      </c>
      <c r="I638">
        <v>20</v>
      </c>
      <c r="J638" t="str">
        <f t="shared" si="54"/>
        <v>Smoker</v>
      </c>
      <c r="K638">
        <v>0</v>
      </c>
      <c r="L638">
        <v>0</v>
      </c>
      <c r="M638">
        <v>0</v>
      </c>
      <c r="N638">
        <v>0</v>
      </c>
      <c r="O638">
        <v>160</v>
      </c>
      <c r="P638" t="str">
        <f t="shared" si="55"/>
        <v>Normal</v>
      </c>
      <c r="Q638">
        <v>123</v>
      </c>
      <c r="R638">
        <v>79</v>
      </c>
      <c r="S638">
        <v>21.19</v>
      </c>
      <c r="T638" t="str">
        <f t="shared" si="56"/>
        <v>Normal</v>
      </c>
      <c r="U638">
        <v>85</v>
      </c>
      <c r="V638">
        <v>93</v>
      </c>
      <c r="W638" t="str">
        <f t="shared" si="59"/>
        <v>Normal</v>
      </c>
      <c r="X638">
        <v>0</v>
      </c>
    </row>
    <row r="639" spans="1:24" ht="14.5" thickBot="1" x14ac:dyDescent="0.35">
      <c r="A639">
        <v>0</v>
      </c>
      <c r="B639" t="str">
        <f t="shared" si="57"/>
        <v>Female</v>
      </c>
      <c r="C639" s="8">
        <v>40</v>
      </c>
      <c r="D639" t="str">
        <f t="shared" si="58"/>
        <v>Middle Age</v>
      </c>
      <c r="E639">
        <v>3</v>
      </c>
      <c r="F639" t="str">
        <f>HLOOKUP(E639, LookUP_Table!$A$6:$D$7, 2, FALSE)</f>
        <v>Graduate</v>
      </c>
      <c r="G639" t="str">
        <f>IFERROR(VLOOKUP(E639, LookUP_Table!$A$1:$B$4, 2, FALSE), "")</f>
        <v>Graduate</v>
      </c>
      <c r="H639">
        <v>1</v>
      </c>
      <c r="I639">
        <v>1</v>
      </c>
      <c r="J639" t="str">
        <f t="shared" si="54"/>
        <v>Smoker</v>
      </c>
      <c r="K639">
        <v>0</v>
      </c>
      <c r="L639">
        <v>0</v>
      </c>
      <c r="M639">
        <v>0</v>
      </c>
      <c r="N639">
        <v>0</v>
      </c>
      <c r="O639">
        <v>236</v>
      </c>
      <c r="P639" t="str">
        <f t="shared" si="55"/>
        <v>Normal</v>
      </c>
      <c r="Q639">
        <v>135</v>
      </c>
      <c r="R639">
        <v>83</v>
      </c>
      <c r="S639">
        <v>23.48</v>
      </c>
      <c r="T639" t="str">
        <f t="shared" si="56"/>
        <v>Normal</v>
      </c>
      <c r="U639">
        <v>95</v>
      </c>
      <c r="V639">
        <v>90</v>
      </c>
      <c r="W639" t="str">
        <f t="shared" si="59"/>
        <v>Normal</v>
      </c>
      <c r="X639">
        <v>0</v>
      </c>
    </row>
    <row r="640" spans="1:24" ht="14.5" thickBot="1" x14ac:dyDescent="0.35">
      <c r="A640">
        <v>0</v>
      </c>
      <c r="B640" t="str">
        <f t="shared" si="57"/>
        <v>Female</v>
      </c>
      <c r="C640" s="8">
        <v>40</v>
      </c>
      <c r="D640" t="str">
        <f t="shared" si="58"/>
        <v>Middle Age</v>
      </c>
      <c r="E640">
        <v>3</v>
      </c>
      <c r="F640" t="str">
        <f>HLOOKUP(E640, LookUP_Table!$A$6:$D$7, 2, FALSE)</f>
        <v>Graduate</v>
      </c>
      <c r="G640" t="str">
        <f>IFERROR(VLOOKUP(E640, LookUP_Table!$A$1:$B$4, 2, FALSE), "")</f>
        <v>Graduate</v>
      </c>
      <c r="H640">
        <v>0</v>
      </c>
      <c r="I640">
        <v>0</v>
      </c>
      <c r="J640" t="str">
        <f t="shared" si="54"/>
        <v>Non-Smoker</v>
      </c>
      <c r="K640">
        <v>0</v>
      </c>
      <c r="L640">
        <v>0</v>
      </c>
      <c r="M640">
        <v>0</v>
      </c>
      <c r="N640">
        <v>0</v>
      </c>
      <c r="O640">
        <v>180</v>
      </c>
      <c r="P640" t="str">
        <f t="shared" si="55"/>
        <v>Normal</v>
      </c>
      <c r="Q640">
        <v>136.5</v>
      </c>
      <c r="R640">
        <v>89</v>
      </c>
      <c r="S640">
        <v>17.61</v>
      </c>
      <c r="T640" t="str">
        <f t="shared" si="56"/>
        <v>Underweight</v>
      </c>
      <c r="U640">
        <v>84</v>
      </c>
      <c r="V640">
        <v>77</v>
      </c>
      <c r="W640" t="str">
        <f t="shared" si="59"/>
        <v>Normal</v>
      </c>
      <c r="X640">
        <v>0</v>
      </c>
    </row>
    <row r="641" spans="1:24" ht="14.5" thickBot="1" x14ac:dyDescent="0.35">
      <c r="A641">
        <v>1</v>
      </c>
      <c r="B641" t="str">
        <f t="shared" si="57"/>
        <v>Male</v>
      </c>
      <c r="C641" s="8">
        <v>40</v>
      </c>
      <c r="D641" t="str">
        <f t="shared" si="58"/>
        <v>Middle Age</v>
      </c>
      <c r="E641">
        <v>2</v>
      </c>
      <c r="F641" t="str">
        <f>HLOOKUP(E641, LookUP_Table!$A$6:$D$7, 2, FALSE)</f>
        <v>Secondary</v>
      </c>
      <c r="G641" t="str">
        <f>IFERROR(VLOOKUP(E641, LookUP_Table!$A$1:$B$4, 2, FALSE), "")</f>
        <v>Secondary</v>
      </c>
      <c r="H641">
        <v>0</v>
      </c>
      <c r="I641">
        <v>0</v>
      </c>
      <c r="J641" t="str">
        <f t="shared" si="54"/>
        <v>Non-Smoker</v>
      </c>
      <c r="K641">
        <v>0</v>
      </c>
      <c r="L641">
        <v>0</v>
      </c>
      <c r="M641">
        <v>0</v>
      </c>
      <c r="N641">
        <v>0</v>
      </c>
      <c r="O641">
        <v>190</v>
      </c>
      <c r="P641" t="str">
        <f t="shared" si="55"/>
        <v>Normal</v>
      </c>
      <c r="Q641">
        <v>121.5</v>
      </c>
      <c r="R641">
        <v>74.5</v>
      </c>
      <c r="S641">
        <v>29.35</v>
      </c>
      <c r="T641" t="str">
        <f t="shared" si="56"/>
        <v>Overweight</v>
      </c>
      <c r="U641">
        <v>73</v>
      </c>
      <c r="V641">
        <v>93</v>
      </c>
      <c r="W641" t="str">
        <f t="shared" si="59"/>
        <v>Normal</v>
      </c>
      <c r="X641">
        <v>0</v>
      </c>
    </row>
    <row r="642" spans="1:24" ht="14.5" thickBot="1" x14ac:dyDescent="0.35">
      <c r="A642">
        <v>0</v>
      </c>
      <c r="B642" t="str">
        <f t="shared" si="57"/>
        <v>Female</v>
      </c>
      <c r="C642" s="8">
        <v>40</v>
      </c>
      <c r="D642" t="str">
        <f t="shared" si="58"/>
        <v>Middle Age</v>
      </c>
      <c r="E642">
        <v>1</v>
      </c>
      <c r="F642" t="str">
        <f>HLOOKUP(E642, LookUP_Table!$A$6:$D$7, 2, FALSE)</f>
        <v>Primary</v>
      </c>
      <c r="G642" t="str">
        <f>IFERROR(VLOOKUP(E642, LookUP_Table!$A$1:$B$4, 2, FALSE), "")</f>
        <v>Primary</v>
      </c>
      <c r="H642">
        <v>0</v>
      </c>
      <c r="I642">
        <v>0</v>
      </c>
      <c r="J642" t="str">
        <f t="shared" ref="J642:J705" si="60">IF(I642&gt;0,"Smoker","Non-Smoker")</f>
        <v>Non-Smoker</v>
      </c>
      <c r="K642">
        <v>0</v>
      </c>
      <c r="L642">
        <v>0</v>
      </c>
      <c r="M642">
        <v>0</v>
      </c>
      <c r="N642">
        <v>0</v>
      </c>
      <c r="O642">
        <v>236</v>
      </c>
      <c r="P642" t="str">
        <f t="shared" ref="P642:P705" si="61">IF(O642&gt;240,"High","Normal")</f>
        <v>Normal</v>
      </c>
      <c r="Q642">
        <v>98</v>
      </c>
      <c r="R642">
        <v>75</v>
      </c>
      <c r="S642">
        <v>26.63</v>
      </c>
      <c r="T642" t="str">
        <f t="shared" ref="T642:T705" si="62">IF(S642&lt;18.5,"Underweight",
IF(S642&lt;25,"Normal",
IF(S642&lt;30,"Overweight","Obese")))</f>
        <v>Overweight</v>
      </c>
      <c r="U642">
        <v>70</v>
      </c>
      <c r="V642">
        <v>81.96365524402907</v>
      </c>
      <c r="W642" t="str">
        <f t="shared" si="59"/>
        <v>Normal</v>
      </c>
      <c r="X642">
        <v>0</v>
      </c>
    </row>
    <row r="643" spans="1:24" ht="14.5" thickBot="1" x14ac:dyDescent="0.35">
      <c r="A643">
        <v>0</v>
      </c>
      <c r="B643" t="str">
        <f t="shared" ref="B643:B706" si="63">IF(A643=0,"Female","Male")</f>
        <v>Female</v>
      </c>
      <c r="C643" s="8">
        <v>40</v>
      </c>
      <c r="D643" t="str">
        <f t="shared" ref="D643:D706" si="64">IF(C643&lt;40,"Young",
IF(C643&lt;55,"Middle Age","Senior"))</f>
        <v>Middle Age</v>
      </c>
      <c r="E643">
        <v>1</v>
      </c>
      <c r="F643" t="str">
        <f>HLOOKUP(E643, LookUP_Table!$A$6:$D$7, 2, FALSE)</f>
        <v>Primary</v>
      </c>
      <c r="G643" t="str">
        <f>IFERROR(VLOOKUP(E643, LookUP_Table!$A$1:$B$4, 2, FALSE), "")</f>
        <v>Primary</v>
      </c>
      <c r="H643">
        <v>0</v>
      </c>
      <c r="I643">
        <v>0</v>
      </c>
      <c r="J643" t="str">
        <f t="shared" si="60"/>
        <v>Non-Smoker</v>
      </c>
      <c r="K643">
        <v>0</v>
      </c>
      <c r="L643">
        <v>0</v>
      </c>
      <c r="M643">
        <v>0</v>
      </c>
      <c r="N643">
        <v>0</v>
      </c>
      <c r="O643">
        <v>290</v>
      </c>
      <c r="P643" t="str">
        <f t="shared" si="61"/>
        <v>High</v>
      </c>
      <c r="Q643">
        <v>125</v>
      </c>
      <c r="R643">
        <v>90</v>
      </c>
      <c r="S643">
        <v>32.81</v>
      </c>
      <c r="T643" t="str">
        <f t="shared" si="62"/>
        <v>Obese</v>
      </c>
      <c r="U643">
        <v>85</v>
      </c>
      <c r="V643">
        <v>87</v>
      </c>
      <c r="W643" t="str">
        <f t="shared" ref="W643:W706" si="65">IF(V643 &lt; 100, "Normal", IF(V643 &lt;= 125, "Prediabetes", "Diabetes"))</f>
        <v>Normal</v>
      </c>
      <c r="X643">
        <v>0</v>
      </c>
    </row>
    <row r="644" spans="1:24" ht="14.5" thickBot="1" x14ac:dyDescent="0.35">
      <c r="A644">
        <v>1</v>
      </c>
      <c r="B644" t="str">
        <f t="shared" si="63"/>
        <v>Male</v>
      </c>
      <c r="C644" s="8">
        <v>40</v>
      </c>
      <c r="D644" t="str">
        <f t="shared" si="64"/>
        <v>Middle Age</v>
      </c>
      <c r="E644">
        <v>2</v>
      </c>
      <c r="F644" t="str">
        <f>HLOOKUP(E644, LookUP_Table!$A$6:$D$7, 2, FALSE)</f>
        <v>Secondary</v>
      </c>
      <c r="G644" t="str">
        <f>IFERROR(VLOOKUP(E644, LookUP_Table!$A$1:$B$4, 2, FALSE), "")</f>
        <v>Secondary</v>
      </c>
      <c r="H644">
        <v>1</v>
      </c>
      <c r="I644">
        <v>5</v>
      </c>
      <c r="J644" t="str">
        <f t="shared" si="60"/>
        <v>Smoker</v>
      </c>
      <c r="K644">
        <v>0</v>
      </c>
      <c r="L644">
        <v>0</v>
      </c>
      <c r="M644">
        <v>0</v>
      </c>
      <c r="N644">
        <v>0</v>
      </c>
      <c r="O644">
        <v>282</v>
      </c>
      <c r="P644" t="str">
        <f t="shared" si="61"/>
        <v>High</v>
      </c>
      <c r="Q644">
        <v>120</v>
      </c>
      <c r="R644">
        <v>87</v>
      </c>
      <c r="S644">
        <v>22.98</v>
      </c>
      <c r="T644" t="str">
        <f t="shared" si="62"/>
        <v>Normal</v>
      </c>
      <c r="U644">
        <v>60</v>
      </c>
      <c r="V644">
        <v>81.96365524402907</v>
      </c>
      <c r="W644" t="str">
        <f t="shared" si="65"/>
        <v>Normal</v>
      </c>
      <c r="X644">
        <v>0</v>
      </c>
    </row>
    <row r="645" spans="1:24" ht="14.5" thickBot="1" x14ac:dyDescent="0.35">
      <c r="A645">
        <v>1</v>
      </c>
      <c r="B645" t="str">
        <f t="shared" si="63"/>
        <v>Male</v>
      </c>
      <c r="C645" s="8">
        <v>40</v>
      </c>
      <c r="D645" t="str">
        <f t="shared" si="64"/>
        <v>Middle Age</v>
      </c>
      <c r="E645">
        <v>2</v>
      </c>
      <c r="F645" t="str">
        <f>HLOOKUP(E645, LookUP_Table!$A$6:$D$7, 2, FALSE)</f>
        <v>Secondary</v>
      </c>
      <c r="G645" t="str">
        <f>IFERROR(VLOOKUP(E645, LookUP_Table!$A$1:$B$4, 2, FALSE), "")</f>
        <v>Secondary</v>
      </c>
      <c r="H645">
        <v>0</v>
      </c>
      <c r="I645">
        <v>0</v>
      </c>
      <c r="J645" t="str">
        <f t="shared" si="60"/>
        <v>Non-Smoker</v>
      </c>
      <c r="K645">
        <v>0</v>
      </c>
      <c r="L645">
        <v>0</v>
      </c>
      <c r="M645">
        <v>0</v>
      </c>
      <c r="N645">
        <v>0</v>
      </c>
      <c r="O645">
        <v>222</v>
      </c>
      <c r="P645" t="str">
        <f t="shared" si="61"/>
        <v>Normal</v>
      </c>
      <c r="Q645">
        <v>112</v>
      </c>
      <c r="R645">
        <v>82</v>
      </c>
      <c r="S645">
        <v>23.71</v>
      </c>
      <c r="T645" t="str">
        <f t="shared" si="62"/>
        <v>Normal</v>
      </c>
      <c r="U645">
        <v>77</v>
      </c>
      <c r="V645">
        <v>85</v>
      </c>
      <c r="W645" t="str">
        <f t="shared" si="65"/>
        <v>Normal</v>
      </c>
      <c r="X645">
        <v>0</v>
      </c>
    </row>
    <row r="646" spans="1:24" ht="14.5" thickBot="1" x14ac:dyDescent="0.35">
      <c r="A646">
        <v>0</v>
      </c>
      <c r="B646" t="str">
        <f t="shared" si="63"/>
        <v>Female</v>
      </c>
      <c r="C646" s="8">
        <v>40</v>
      </c>
      <c r="D646" t="str">
        <f t="shared" si="64"/>
        <v>Middle Age</v>
      </c>
      <c r="E646">
        <v>1</v>
      </c>
      <c r="F646" t="str">
        <f>HLOOKUP(E646, LookUP_Table!$A$6:$D$7, 2, FALSE)</f>
        <v>Primary</v>
      </c>
      <c r="G646" t="str">
        <f>IFERROR(VLOOKUP(E646, LookUP_Table!$A$1:$B$4, 2, FALSE), "")</f>
        <v>Primary</v>
      </c>
      <c r="H646">
        <v>0</v>
      </c>
      <c r="I646">
        <v>0</v>
      </c>
      <c r="J646" t="str">
        <f t="shared" si="60"/>
        <v>Non-Smoker</v>
      </c>
      <c r="K646">
        <v>0</v>
      </c>
      <c r="L646">
        <v>0</v>
      </c>
      <c r="M646">
        <v>0</v>
      </c>
      <c r="N646">
        <v>0</v>
      </c>
      <c r="O646">
        <v>144</v>
      </c>
      <c r="P646" t="str">
        <f t="shared" si="61"/>
        <v>Normal</v>
      </c>
      <c r="Q646">
        <v>122.5</v>
      </c>
      <c r="R646">
        <v>80</v>
      </c>
      <c r="S646">
        <v>27.46</v>
      </c>
      <c r="T646" t="str">
        <f t="shared" si="62"/>
        <v>Overweight</v>
      </c>
      <c r="U646">
        <v>72</v>
      </c>
      <c r="V646">
        <v>123</v>
      </c>
      <c r="W646" t="str">
        <f t="shared" si="65"/>
        <v>Prediabetes</v>
      </c>
      <c r="X646">
        <v>1</v>
      </c>
    </row>
    <row r="647" spans="1:24" ht="14.5" thickBot="1" x14ac:dyDescent="0.35">
      <c r="A647">
        <v>0</v>
      </c>
      <c r="B647" t="str">
        <f t="shared" si="63"/>
        <v>Female</v>
      </c>
      <c r="C647" s="8">
        <v>40</v>
      </c>
      <c r="D647" t="str">
        <f t="shared" si="64"/>
        <v>Middle Age</v>
      </c>
      <c r="E647">
        <v>2</v>
      </c>
      <c r="F647" t="str">
        <f>HLOOKUP(E647, LookUP_Table!$A$6:$D$7, 2, FALSE)</f>
        <v>Secondary</v>
      </c>
      <c r="G647" t="str">
        <f>IFERROR(VLOOKUP(E647, LookUP_Table!$A$1:$B$4, 2, FALSE), "")</f>
        <v>Secondary</v>
      </c>
      <c r="H647">
        <v>0</v>
      </c>
      <c r="I647">
        <v>0</v>
      </c>
      <c r="J647" t="str">
        <f t="shared" si="60"/>
        <v>Non-Smoker</v>
      </c>
      <c r="K647">
        <v>0</v>
      </c>
      <c r="L647">
        <v>0</v>
      </c>
      <c r="M647">
        <v>0</v>
      </c>
      <c r="N647">
        <v>0</v>
      </c>
      <c r="O647">
        <v>195</v>
      </c>
      <c r="P647" t="str">
        <f t="shared" si="61"/>
        <v>Normal</v>
      </c>
      <c r="Q647">
        <v>132</v>
      </c>
      <c r="R647">
        <v>81</v>
      </c>
      <c r="S647">
        <v>24.26</v>
      </c>
      <c r="T647" t="str">
        <f t="shared" si="62"/>
        <v>Normal</v>
      </c>
      <c r="U647">
        <v>80</v>
      </c>
      <c r="V647">
        <v>86</v>
      </c>
      <c r="W647" t="str">
        <f t="shared" si="65"/>
        <v>Normal</v>
      </c>
      <c r="X647">
        <v>0</v>
      </c>
    </row>
    <row r="648" spans="1:24" ht="14.5" thickBot="1" x14ac:dyDescent="0.35">
      <c r="A648">
        <v>0</v>
      </c>
      <c r="B648" t="str">
        <f t="shared" si="63"/>
        <v>Female</v>
      </c>
      <c r="C648" s="8">
        <v>40</v>
      </c>
      <c r="D648" t="str">
        <f t="shared" si="64"/>
        <v>Middle Age</v>
      </c>
      <c r="E648">
        <v>3</v>
      </c>
      <c r="F648" t="str">
        <f>HLOOKUP(E648, LookUP_Table!$A$6:$D$7, 2, FALSE)</f>
        <v>Graduate</v>
      </c>
      <c r="G648" t="str">
        <f>IFERROR(VLOOKUP(E648, LookUP_Table!$A$1:$B$4, 2, FALSE), "")</f>
        <v>Graduate</v>
      </c>
      <c r="H648">
        <v>1</v>
      </c>
      <c r="I648">
        <v>20</v>
      </c>
      <c r="J648" t="str">
        <f t="shared" si="60"/>
        <v>Smoker</v>
      </c>
      <c r="K648">
        <v>0</v>
      </c>
      <c r="L648">
        <v>0</v>
      </c>
      <c r="M648">
        <v>0</v>
      </c>
      <c r="N648">
        <v>0</v>
      </c>
      <c r="O648">
        <v>237</v>
      </c>
      <c r="P648" t="str">
        <f t="shared" si="61"/>
        <v>Normal</v>
      </c>
      <c r="Q648">
        <v>112.5</v>
      </c>
      <c r="R648">
        <v>77.5</v>
      </c>
      <c r="S648">
        <v>23.58</v>
      </c>
      <c r="T648" t="str">
        <f t="shared" si="62"/>
        <v>Normal</v>
      </c>
      <c r="U648">
        <v>75</v>
      </c>
      <c r="V648">
        <v>84</v>
      </c>
      <c r="W648" t="str">
        <f t="shared" si="65"/>
        <v>Normal</v>
      </c>
      <c r="X648">
        <v>0</v>
      </c>
    </row>
    <row r="649" spans="1:24" ht="14.5" thickBot="1" x14ac:dyDescent="0.35">
      <c r="A649">
        <v>1</v>
      </c>
      <c r="B649" t="str">
        <f t="shared" si="63"/>
        <v>Male</v>
      </c>
      <c r="C649" s="8">
        <v>40</v>
      </c>
      <c r="D649" t="str">
        <f t="shared" si="64"/>
        <v>Middle Age</v>
      </c>
      <c r="E649">
        <v>1</v>
      </c>
      <c r="F649" t="str">
        <f>HLOOKUP(E649, LookUP_Table!$A$6:$D$7, 2, FALSE)</f>
        <v>Primary</v>
      </c>
      <c r="G649" t="str">
        <f>IFERROR(VLOOKUP(E649, LookUP_Table!$A$1:$B$4, 2, FALSE), "")</f>
        <v>Primary</v>
      </c>
      <c r="H649">
        <v>1</v>
      </c>
      <c r="I649">
        <v>3</v>
      </c>
      <c r="J649" t="str">
        <f t="shared" si="60"/>
        <v>Smoker</v>
      </c>
      <c r="K649">
        <v>0</v>
      </c>
      <c r="L649">
        <v>0</v>
      </c>
      <c r="M649">
        <v>0</v>
      </c>
      <c r="N649">
        <v>0</v>
      </c>
      <c r="O649">
        <v>165</v>
      </c>
      <c r="P649" t="str">
        <f t="shared" si="61"/>
        <v>Normal</v>
      </c>
      <c r="Q649">
        <v>117</v>
      </c>
      <c r="R649">
        <v>77</v>
      </c>
      <c r="S649">
        <v>21.71</v>
      </c>
      <c r="T649" t="str">
        <f t="shared" si="62"/>
        <v>Normal</v>
      </c>
      <c r="U649">
        <v>50</v>
      </c>
      <c r="V649">
        <v>66</v>
      </c>
      <c r="W649" t="str">
        <f t="shared" si="65"/>
        <v>Normal</v>
      </c>
      <c r="X649">
        <v>0</v>
      </c>
    </row>
    <row r="650" spans="1:24" ht="14.5" thickBot="1" x14ac:dyDescent="0.35">
      <c r="A650">
        <v>0</v>
      </c>
      <c r="B650" t="str">
        <f t="shared" si="63"/>
        <v>Female</v>
      </c>
      <c r="C650" s="8">
        <v>40</v>
      </c>
      <c r="D650" t="str">
        <f t="shared" si="64"/>
        <v>Middle Age</v>
      </c>
      <c r="E650">
        <v>4</v>
      </c>
      <c r="F650" t="str">
        <f>HLOOKUP(E650, LookUP_Table!$A$6:$D$7, 2, FALSE)</f>
        <v>Post Graduate</v>
      </c>
      <c r="G650" t="str">
        <f>IFERROR(VLOOKUP(E650, LookUP_Table!$A$1:$B$4, 2, FALSE), "")</f>
        <v>Post Graduate</v>
      </c>
      <c r="H650">
        <v>1</v>
      </c>
      <c r="I650">
        <v>20</v>
      </c>
      <c r="J650" t="str">
        <f t="shared" si="60"/>
        <v>Smoker</v>
      </c>
      <c r="K650">
        <v>0</v>
      </c>
      <c r="L650">
        <v>0</v>
      </c>
      <c r="M650">
        <v>0</v>
      </c>
      <c r="N650">
        <v>0</v>
      </c>
      <c r="O650">
        <v>182</v>
      </c>
      <c r="P650" t="str">
        <f t="shared" si="61"/>
        <v>Normal</v>
      </c>
      <c r="Q650">
        <v>95.5</v>
      </c>
      <c r="R650">
        <v>64</v>
      </c>
      <c r="S650">
        <v>25.21</v>
      </c>
      <c r="T650" t="str">
        <f t="shared" si="62"/>
        <v>Overweight</v>
      </c>
      <c r="U650">
        <v>60</v>
      </c>
      <c r="V650">
        <v>72</v>
      </c>
      <c r="W650" t="str">
        <f t="shared" si="65"/>
        <v>Normal</v>
      </c>
      <c r="X650">
        <v>0</v>
      </c>
    </row>
    <row r="651" spans="1:24" ht="14.5" thickBot="1" x14ac:dyDescent="0.35">
      <c r="A651">
        <v>0</v>
      </c>
      <c r="B651" t="str">
        <f t="shared" si="63"/>
        <v>Female</v>
      </c>
      <c r="C651" s="8">
        <v>40</v>
      </c>
      <c r="D651" t="str">
        <f t="shared" si="64"/>
        <v>Middle Age</v>
      </c>
      <c r="E651">
        <v>1</v>
      </c>
      <c r="F651" t="str">
        <f>HLOOKUP(E651, LookUP_Table!$A$6:$D$7, 2, FALSE)</f>
        <v>Primary</v>
      </c>
      <c r="G651" t="str">
        <f>IFERROR(VLOOKUP(E651, LookUP_Table!$A$1:$B$4, 2, FALSE), "")</f>
        <v>Primary</v>
      </c>
      <c r="H651">
        <v>1</v>
      </c>
      <c r="I651">
        <v>20</v>
      </c>
      <c r="J651" t="str">
        <f t="shared" si="60"/>
        <v>Smoker</v>
      </c>
      <c r="K651">
        <v>0</v>
      </c>
      <c r="L651">
        <v>0</v>
      </c>
      <c r="M651">
        <v>0</v>
      </c>
      <c r="N651">
        <v>0</v>
      </c>
      <c r="O651">
        <v>237</v>
      </c>
      <c r="P651" t="str">
        <f t="shared" si="61"/>
        <v>Normal</v>
      </c>
      <c r="Q651">
        <v>130</v>
      </c>
      <c r="R651">
        <v>72</v>
      </c>
      <c r="S651">
        <v>23.54</v>
      </c>
      <c r="T651" t="str">
        <f t="shared" si="62"/>
        <v>Normal</v>
      </c>
      <c r="U651">
        <v>75</v>
      </c>
      <c r="V651">
        <v>80</v>
      </c>
      <c r="W651" t="str">
        <f t="shared" si="65"/>
        <v>Normal</v>
      </c>
      <c r="X651">
        <v>0</v>
      </c>
    </row>
    <row r="652" spans="1:24" ht="14.5" thickBot="1" x14ac:dyDescent="0.35">
      <c r="A652">
        <v>0</v>
      </c>
      <c r="B652" t="str">
        <f t="shared" si="63"/>
        <v>Female</v>
      </c>
      <c r="C652" s="8">
        <v>40</v>
      </c>
      <c r="D652" t="str">
        <f t="shared" si="64"/>
        <v>Middle Age</v>
      </c>
      <c r="E652">
        <v>2</v>
      </c>
      <c r="F652" t="str">
        <f>HLOOKUP(E652, LookUP_Table!$A$6:$D$7, 2, FALSE)</f>
        <v>Secondary</v>
      </c>
      <c r="G652" t="str">
        <f>IFERROR(VLOOKUP(E652, LookUP_Table!$A$1:$B$4, 2, FALSE), "")</f>
        <v>Secondary</v>
      </c>
      <c r="H652">
        <v>1</v>
      </c>
      <c r="I652">
        <v>10</v>
      </c>
      <c r="J652" t="str">
        <f t="shared" si="60"/>
        <v>Smoker</v>
      </c>
      <c r="K652">
        <v>0</v>
      </c>
      <c r="L652">
        <v>0</v>
      </c>
      <c r="M652">
        <v>0</v>
      </c>
      <c r="N652">
        <v>0</v>
      </c>
      <c r="O652">
        <v>169</v>
      </c>
      <c r="P652" t="str">
        <f t="shared" si="61"/>
        <v>Normal</v>
      </c>
      <c r="Q652">
        <v>123.5</v>
      </c>
      <c r="R652">
        <v>77.5</v>
      </c>
      <c r="S652">
        <v>23.09</v>
      </c>
      <c r="T652" t="str">
        <f t="shared" si="62"/>
        <v>Normal</v>
      </c>
      <c r="U652">
        <v>71</v>
      </c>
      <c r="V652">
        <v>81.96365524402907</v>
      </c>
      <c r="W652" t="str">
        <f t="shared" si="65"/>
        <v>Normal</v>
      </c>
      <c r="X652">
        <v>0</v>
      </c>
    </row>
    <row r="653" spans="1:24" ht="14.5" thickBot="1" x14ac:dyDescent="0.35">
      <c r="A653">
        <v>0</v>
      </c>
      <c r="B653" t="str">
        <f t="shared" si="63"/>
        <v>Female</v>
      </c>
      <c r="C653" s="8">
        <v>40</v>
      </c>
      <c r="D653" t="str">
        <f t="shared" si="64"/>
        <v>Middle Age</v>
      </c>
      <c r="E653">
        <v>3</v>
      </c>
      <c r="F653" t="str">
        <f>HLOOKUP(E653, LookUP_Table!$A$6:$D$7, 2, FALSE)</f>
        <v>Graduate</v>
      </c>
      <c r="G653" t="str">
        <f>IFERROR(VLOOKUP(E653, LookUP_Table!$A$1:$B$4, 2, FALSE), "")</f>
        <v>Graduate</v>
      </c>
      <c r="H653">
        <v>1</v>
      </c>
      <c r="I653">
        <v>5</v>
      </c>
      <c r="J653" t="str">
        <f t="shared" si="60"/>
        <v>Smoker</v>
      </c>
      <c r="K653">
        <v>0</v>
      </c>
      <c r="L653">
        <v>0</v>
      </c>
      <c r="M653">
        <v>0</v>
      </c>
      <c r="N653">
        <v>0</v>
      </c>
      <c r="O653">
        <v>143</v>
      </c>
      <c r="P653" t="str">
        <f t="shared" si="61"/>
        <v>Normal</v>
      </c>
      <c r="Q653">
        <v>125.5</v>
      </c>
      <c r="R653">
        <v>80</v>
      </c>
      <c r="S653">
        <v>21.99</v>
      </c>
      <c r="T653" t="str">
        <f t="shared" si="62"/>
        <v>Normal</v>
      </c>
      <c r="U653">
        <v>71</v>
      </c>
      <c r="V653">
        <v>95</v>
      </c>
      <c r="W653" t="str">
        <f t="shared" si="65"/>
        <v>Normal</v>
      </c>
      <c r="X653">
        <v>0</v>
      </c>
    </row>
    <row r="654" spans="1:24" ht="14.5" thickBot="1" x14ac:dyDescent="0.35">
      <c r="A654">
        <v>0</v>
      </c>
      <c r="B654" t="str">
        <f t="shared" si="63"/>
        <v>Female</v>
      </c>
      <c r="C654" s="8">
        <v>40</v>
      </c>
      <c r="D654" t="str">
        <f t="shared" si="64"/>
        <v>Middle Age</v>
      </c>
      <c r="E654">
        <v>4</v>
      </c>
      <c r="F654" t="str">
        <f>HLOOKUP(E654, LookUP_Table!$A$6:$D$7, 2, FALSE)</f>
        <v>Post Graduate</v>
      </c>
      <c r="G654" t="str">
        <f>IFERROR(VLOOKUP(E654, LookUP_Table!$A$1:$B$4, 2, FALSE), "")</f>
        <v>Post Graduate</v>
      </c>
      <c r="H654">
        <v>1</v>
      </c>
      <c r="I654">
        <v>10</v>
      </c>
      <c r="J654" t="str">
        <f t="shared" si="60"/>
        <v>Smoker</v>
      </c>
      <c r="K654">
        <v>0</v>
      </c>
      <c r="L654">
        <v>0</v>
      </c>
      <c r="M654">
        <v>0</v>
      </c>
      <c r="N654">
        <v>0</v>
      </c>
      <c r="O654">
        <v>200</v>
      </c>
      <c r="P654" t="str">
        <f t="shared" si="61"/>
        <v>Normal</v>
      </c>
      <c r="Q654">
        <v>116</v>
      </c>
      <c r="R654">
        <v>69</v>
      </c>
      <c r="S654">
        <v>23.9</v>
      </c>
      <c r="T654" t="str">
        <f t="shared" si="62"/>
        <v>Normal</v>
      </c>
      <c r="U654">
        <v>75</v>
      </c>
      <c r="V654">
        <v>78</v>
      </c>
      <c r="W654" t="str">
        <f t="shared" si="65"/>
        <v>Normal</v>
      </c>
      <c r="X654">
        <v>0</v>
      </c>
    </row>
    <row r="655" spans="1:24" ht="14.5" thickBot="1" x14ac:dyDescent="0.35">
      <c r="A655">
        <v>1</v>
      </c>
      <c r="B655" t="str">
        <f t="shared" si="63"/>
        <v>Male</v>
      </c>
      <c r="C655" s="8">
        <v>40</v>
      </c>
      <c r="D655" t="str">
        <f t="shared" si="64"/>
        <v>Middle Age</v>
      </c>
      <c r="E655">
        <v>2</v>
      </c>
      <c r="F655" t="str">
        <f>HLOOKUP(E655, LookUP_Table!$A$6:$D$7, 2, FALSE)</f>
        <v>Secondary</v>
      </c>
      <c r="G655" t="str">
        <f>IFERROR(VLOOKUP(E655, LookUP_Table!$A$1:$B$4, 2, FALSE), "")</f>
        <v>Secondary</v>
      </c>
      <c r="H655">
        <v>1</v>
      </c>
      <c r="I655">
        <v>30</v>
      </c>
      <c r="J655" t="str">
        <f t="shared" si="60"/>
        <v>Smoker</v>
      </c>
      <c r="K655">
        <v>0</v>
      </c>
      <c r="L655">
        <v>0</v>
      </c>
      <c r="M655">
        <v>0</v>
      </c>
      <c r="N655">
        <v>0</v>
      </c>
      <c r="O655">
        <v>162</v>
      </c>
      <c r="P655" t="str">
        <f t="shared" si="61"/>
        <v>Normal</v>
      </c>
      <c r="Q655">
        <v>129</v>
      </c>
      <c r="R655">
        <v>76.5</v>
      </c>
      <c r="S655">
        <v>24.12</v>
      </c>
      <c r="T655" t="str">
        <f t="shared" si="62"/>
        <v>Normal</v>
      </c>
      <c r="U655">
        <v>70</v>
      </c>
      <c r="V655">
        <v>73</v>
      </c>
      <c r="W655" t="str">
        <f t="shared" si="65"/>
        <v>Normal</v>
      </c>
      <c r="X655">
        <v>0</v>
      </c>
    </row>
    <row r="656" spans="1:24" ht="14.5" thickBot="1" x14ac:dyDescent="0.35">
      <c r="A656">
        <v>1</v>
      </c>
      <c r="B656" t="str">
        <f t="shared" si="63"/>
        <v>Male</v>
      </c>
      <c r="C656" s="8">
        <v>40</v>
      </c>
      <c r="D656" t="str">
        <f t="shared" si="64"/>
        <v>Middle Age</v>
      </c>
      <c r="E656">
        <v>1</v>
      </c>
      <c r="F656" t="str">
        <f>HLOOKUP(E656, LookUP_Table!$A$6:$D$7, 2, FALSE)</f>
        <v>Primary</v>
      </c>
      <c r="G656" t="str">
        <f>IFERROR(VLOOKUP(E656, LookUP_Table!$A$1:$B$4, 2, FALSE), "")</f>
        <v>Primary</v>
      </c>
      <c r="H656">
        <v>1</v>
      </c>
      <c r="I656">
        <v>20</v>
      </c>
      <c r="J656" t="str">
        <f t="shared" si="60"/>
        <v>Smoker</v>
      </c>
      <c r="K656">
        <v>0</v>
      </c>
      <c r="L656">
        <v>0</v>
      </c>
      <c r="M656">
        <v>0</v>
      </c>
      <c r="N656">
        <v>0</v>
      </c>
      <c r="O656">
        <v>297</v>
      </c>
      <c r="P656" t="str">
        <f t="shared" si="61"/>
        <v>High</v>
      </c>
      <c r="Q656">
        <v>105</v>
      </c>
      <c r="R656">
        <v>73</v>
      </c>
      <c r="S656">
        <v>27.15</v>
      </c>
      <c r="T656" t="str">
        <f t="shared" si="62"/>
        <v>Overweight</v>
      </c>
      <c r="U656">
        <v>67</v>
      </c>
      <c r="V656">
        <v>88</v>
      </c>
      <c r="W656" t="str">
        <f t="shared" si="65"/>
        <v>Normal</v>
      </c>
      <c r="X656">
        <v>0</v>
      </c>
    </row>
    <row r="657" spans="1:24" ht="14.5" thickBot="1" x14ac:dyDescent="0.35">
      <c r="A657">
        <v>1</v>
      </c>
      <c r="B657" t="str">
        <f t="shared" si="63"/>
        <v>Male</v>
      </c>
      <c r="C657" s="8">
        <v>40</v>
      </c>
      <c r="D657" t="str">
        <f t="shared" si="64"/>
        <v>Middle Age</v>
      </c>
      <c r="E657">
        <v>3</v>
      </c>
      <c r="F657" t="str">
        <f>HLOOKUP(E657, LookUP_Table!$A$6:$D$7, 2, FALSE)</f>
        <v>Graduate</v>
      </c>
      <c r="G657" t="str">
        <f>IFERROR(VLOOKUP(E657, LookUP_Table!$A$1:$B$4, 2, FALSE), "")</f>
        <v>Graduate</v>
      </c>
      <c r="H657">
        <v>1</v>
      </c>
      <c r="I657">
        <v>40</v>
      </c>
      <c r="J657" t="str">
        <f t="shared" si="60"/>
        <v>Smoker</v>
      </c>
      <c r="K657">
        <v>0</v>
      </c>
      <c r="L657">
        <v>0</v>
      </c>
      <c r="M657">
        <v>0</v>
      </c>
      <c r="N657">
        <v>0</v>
      </c>
      <c r="O657">
        <v>208</v>
      </c>
      <c r="P657" t="str">
        <f t="shared" si="61"/>
        <v>Normal</v>
      </c>
      <c r="Q657">
        <v>120</v>
      </c>
      <c r="R657">
        <v>80</v>
      </c>
      <c r="S657">
        <v>25.98</v>
      </c>
      <c r="T657" t="str">
        <f t="shared" si="62"/>
        <v>Overweight</v>
      </c>
      <c r="U657">
        <v>75</v>
      </c>
      <c r="V657">
        <v>66</v>
      </c>
      <c r="W657" t="str">
        <f t="shared" si="65"/>
        <v>Normal</v>
      </c>
      <c r="X657">
        <v>0</v>
      </c>
    </row>
    <row r="658" spans="1:24" ht="14.5" thickBot="1" x14ac:dyDescent="0.35">
      <c r="A658">
        <v>0</v>
      </c>
      <c r="B658" t="str">
        <f t="shared" si="63"/>
        <v>Female</v>
      </c>
      <c r="C658" s="8">
        <v>40</v>
      </c>
      <c r="D658" t="str">
        <f t="shared" si="64"/>
        <v>Middle Age</v>
      </c>
      <c r="E658">
        <v>2</v>
      </c>
      <c r="F658" t="str">
        <f>HLOOKUP(E658, LookUP_Table!$A$6:$D$7, 2, FALSE)</f>
        <v>Secondary</v>
      </c>
      <c r="G658" t="str">
        <f>IFERROR(VLOOKUP(E658, LookUP_Table!$A$1:$B$4, 2, FALSE), "")</f>
        <v>Secondary</v>
      </c>
      <c r="H658">
        <v>0</v>
      </c>
      <c r="I658">
        <v>0</v>
      </c>
      <c r="J658" t="str">
        <f t="shared" si="60"/>
        <v>Non-Smoker</v>
      </c>
      <c r="K658">
        <v>0</v>
      </c>
      <c r="L658">
        <v>0</v>
      </c>
      <c r="M658">
        <v>1</v>
      </c>
      <c r="N658">
        <v>0</v>
      </c>
      <c r="O658">
        <v>254</v>
      </c>
      <c r="P658" t="str">
        <f t="shared" si="61"/>
        <v>High</v>
      </c>
      <c r="Q658">
        <v>132</v>
      </c>
      <c r="R658">
        <v>92</v>
      </c>
      <c r="S658">
        <v>23.45</v>
      </c>
      <c r="T658" t="str">
        <f t="shared" si="62"/>
        <v>Normal</v>
      </c>
      <c r="U658">
        <v>75</v>
      </c>
      <c r="V658">
        <v>62</v>
      </c>
      <c r="W658" t="str">
        <f t="shared" si="65"/>
        <v>Normal</v>
      </c>
      <c r="X658">
        <v>0</v>
      </c>
    </row>
    <row r="659" spans="1:24" ht="14.5" thickBot="1" x14ac:dyDescent="0.35">
      <c r="A659">
        <v>1</v>
      </c>
      <c r="B659" t="str">
        <f t="shared" si="63"/>
        <v>Male</v>
      </c>
      <c r="C659" s="8">
        <v>40</v>
      </c>
      <c r="D659" t="str">
        <f t="shared" si="64"/>
        <v>Middle Age</v>
      </c>
      <c r="E659">
        <v>2</v>
      </c>
      <c r="F659" t="str">
        <f>HLOOKUP(E659, LookUP_Table!$A$6:$D$7, 2, FALSE)</f>
        <v>Secondary</v>
      </c>
      <c r="G659" t="str">
        <f>IFERROR(VLOOKUP(E659, LookUP_Table!$A$1:$B$4, 2, FALSE), "")</f>
        <v>Secondary</v>
      </c>
      <c r="H659">
        <v>1</v>
      </c>
      <c r="I659">
        <v>20</v>
      </c>
      <c r="J659" t="str">
        <f t="shared" si="60"/>
        <v>Smoker</v>
      </c>
      <c r="K659">
        <v>0</v>
      </c>
      <c r="L659">
        <v>0</v>
      </c>
      <c r="M659">
        <v>0</v>
      </c>
      <c r="N659">
        <v>0</v>
      </c>
      <c r="O659">
        <v>193</v>
      </c>
      <c r="P659" t="str">
        <f t="shared" si="61"/>
        <v>Normal</v>
      </c>
      <c r="Q659">
        <v>122</v>
      </c>
      <c r="R659">
        <v>78</v>
      </c>
      <c r="S659">
        <v>28.4</v>
      </c>
      <c r="T659" t="str">
        <f t="shared" si="62"/>
        <v>Overweight</v>
      </c>
      <c r="U659">
        <v>70</v>
      </c>
      <c r="V659">
        <v>93</v>
      </c>
      <c r="W659" t="str">
        <f t="shared" si="65"/>
        <v>Normal</v>
      </c>
      <c r="X659">
        <v>0</v>
      </c>
    </row>
    <row r="660" spans="1:24" ht="14.5" thickBot="1" x14ac:dyDescent="0.35">
      <c r="A660">
        <v>0</v>
      </c>
      <c r="B660" t="str">
        <f t="shared" si="63"/>
        <v>Female</v>
      </c>
      <c r="C660" s="8">
        <v>40</v>
      </c>
      <c r="D660" t="str">
        <f t="shared" si="64"/>
        <v>Middle Age</v>
      </c>
      <c r="E660">
        <v>2</v>
      </c>
      <c r="F660" t="str">
        <f>HLOOKUP(E660, LookUP_Table!$A$6:$D$7, 2, FALSE)</f>
        <v>Secondary</v>
      </c>
      <c r="G660" t="str">
        <f>IFERROR(VLOOKUP(E660, LookUP_Table!$A$1:$B$4, 2, FALSE), "")</f>
        <v>Secondary</v>
      </c>
      <c r="H660">
        <v>0</v>
      </c>
      <c r="I660">
        <v>0</v>
      </c>
      <c r="J660" t="str">
        <f t="shared" si="60"/>
        <v>Non-Smoker</v>
      </c>
      <c r="K660">
        <v>0</v>
      </c>
      <c r="L660">
        <v>0</v>
      </c>
      <c r="M660">
        <v>0</v>
      </c>
      <c r="N660">
        <v>0</v>
      </c>
      <c r="O660">
        <v>267</v>
      </c>
      <c r="P660" t="str">
        <f t="shared" si="61"/>
        <v>High</v>
      </c>
      <c r="Q660">
        <v>150</v>
      </c>
      <c r="R660">
        <v>93</v>
      </c>
      <c r="S660">
        <v>31.77</v>
      </c>
      <c r="T660" t="str">
        <f t="shared" si="62"/>
        <v>Obese</v>
      </c>
      <c r="U660">
        <v>93</v>
      </c>
      <c r="V660">
        <v>74</v>
      </c>
      <c r="W660" t="str">
        <f t="shared" si="65"/>
        <v>Normal</v>
      </c>
      <c r="X660">
        <v>0</v>
      </c>
    </row>
    <row r="661" spans="1:24" ht="14.5" thickBot="1" x14ac:dyDescent="0.35">
      <c r="A661">
        <v>0</v>
      </c>
      <c r="B661" t="str">
        <f t="shared" si="63"/>
        <v>Female</v>
      </c>
      <c r="C661" s="8">
        <v>40</v>
      </c>
      <c r="D661" t="str">
        <f t="shared" si="64"/>
        <v>Middle Age</v>
      </c>
      <c r="E661">
        <v>3</v>
      </c>
      <c r="F661" t="str">
        <f>HLOOKUP(E661, LookUP_Table!$A$6:$D$7, 2, FALSE)</f>
        <v>Graduate</v>
      </c>
      <c r="G661" t="str">
        <f>IFERROR(VLOOKUP(E661, LookUP_Table!$A$1:$B$4, 2, FALSE), "")</f>
        <v>Graduate</v>
      </c>
      <c r="H661">
        <v>0</v>
      </c>
      <c r="I661">
        <v>0</v>
      </c>
      <c r="J661" t="str">
        <f t="shared" si="60"/>
        <v>Non-Smoker</v>
      </c>
      <c r="K661">
        <v>0</v>
      </c>
      <c r="L661">
        <v>0</v>
      </c>
      <c r="M661">
        <v>0</v>
      </c>
      <c r="N661">
        <v>0</v>
      </c>
      <c r="O661">
        <v>226</v>
      </c>
      <c r="P661" t="str">
        <f t="shared" si="61"/>
        <v>Normal</v>
      </c>
      <c r="Q661">
        <v>118</v>
      </c>
      <c r="R661">
        <v>72</v>
      </c>
      <c r="S661">
        <v>24.75</v>
      </c>
      <c r="T661" t="str">
        <f t="shared" si="62"/>
        <v>Normal</v>
      </c>
      <c r="U661">
        <v>87</v>
      </c>
      <c r="V661">
        <v>79</v>
      </c>
      <c r="W661" t="str">
        <f t="shared" si="65"/>
        <v>Normal</v>
      </c>
      <c r="X661">
        <v>0</v>
      </c>
    </row>
    <row r="662" spans="1:24" ht="14.5" thickBot="1" x14ac:dyDescent="0.35">
      <c r="A662">
        <v>1</v>
      </c>
      <c r="B662" t="str">
        <f t="shared" si="63"/>
        <v>Male</v>
      </c>
      <c r="C662" s="8">
        <v>40</v>
      </c>
      <c r="D662" t="str">
        <f t="shared" si="64"/>
        <v>Middle Age</v>
      </c>
      <c r="E662">
        <v>1</v>
      </c>
      <c r="F662" t="str">
        <f>HLOOKUP(E662, LookUP_Table!$A$6:$D$7, 2, FALSE)</f>
        <v>Primary</v>
      </c>
      <c r="G662" t="str">
        <f>IFERROR(VLOOKUP(E662, LookUP_Table!$A$1:$B$4, 2, FALSE), "")</f>
        <v>Primary</v>
      </c>
      <c r="H662">
        <v>1</v>
      </c>
      <c r="I662">
        <v>20</v>
      </c>
      <c r="J662" t="str">
        <f t="shared" si="60"/>
        <v>Smoker</v>
      </c>
      <c r="K662">
        <v>0</v>
      </c>
      <c r="L662">
        <v>0</v>
      </c>
      <c r="M662">
        <v>0</v>
      </c>
      <c r="N662">
        <v>0</v>
      </c>
      <c r="O662">
        <v>332</v>
      </c>
      <c r="P662" t="str">
        <f t="shared" si="61"/>
        <v>High</v>
      </c>
      <c r="Q662">
        <v>114</v>
      </c>
      <c r="R662">
        <v>76</v>
      </c>
      <c r="S662">
        <v>26.51</v>
      </c>
      <c r="T662" t="str">
        <f t="shared" si="62"/>
        <v>Overweight</v>
      </c>
      <c r="U662">
        <v>70</v>
      </c>
      <c r="V662">
        <v>90</v>
      </c>
      <c r="W662" t="str">
        <f t="shared" si="65"/>
        <v>Normal</v>
      </c>
      <c r="X662">
        <v>0</v>
      </c>
    </row>
    <row r="663" spans="1:24" ht="14.5" thickBot="1" x14ac:dyDescent="0.35">
      <c r="A663">
        <v>1</v>
      </c>
      <c r="B663" t="str">
        <f t="shared" si="63"/>
        <v>Male</v>
      </c>
      <c r="C663" s="8">
        <v>40</v>
      </c>
      <c r="D663" t="str">
        <f t="shared" si="64"/>
        <v>Middle Age</v>
      </c>
      <c r="E663">
        <v>3</v>
      </c>
      <c r="F663" t="str">
        <f>HLOOKUP(E663, LookUP_Table!$A$6:$D$7, 2, FALSE)</f>
        <v>Graduate</v>
      </c>
      <c r="G663" t="str">
        <f>IFERROR(VLOOKUP(E663, LookUP_Table!$A$1:$B$4, 2, FALSE), "")</f>
        <v>Graduate</v>
      </c>
      <c r="H663">
        <v>1</v>
      </c>
      <c r="I663">
        <v>8</v>
      </c>
      <c r="J663" t="str">
        <f t="shared" si="60"/>
        <v>Smoker</v>
      </c>
      <c r="K663">
        <v>0</v>
      </c>
      <c r="L663">
        <v>0</v>
      </c>
      <c r="M663">
        <v>1</v>
      </c>
      <c r="N663">
        <v>0</v>
      </c>
      <c r="O663">
        <v>302</v>
      </c>
      <c r="P663" t="str">
        <f t="shared" si="61"/>
        <v>High</v>
      </c>
      <c r="Q663">
        <v>122</v>
      </c>
      <c r="R663">
        <v>95</v>
      </c>
      <c r="S663">
        <v>23.81</v>
      </c>
      <c r="T663" t="str">
        <f t="shared" si="62"/>
        <v>Normal</v>
      </c>
      <c r="U663">
        <v>80</v>
      </c>
      <c r="V663">
        <v>82</v>
      </c>
      <c r="W663" t="str">
        <f t="shared" si="65"/>
        <v>Normal</v>
      </c>
      <c r="X663">
        <v>0</v>
      </c>
    </row>
    <row r="664" spans="1:24" ht="14.5" thickBot="1" x14ac:dyDescent="0.35">
      <c r="A664">
        <v>0</v>
      </c>
      <c r="B664" t="str">
        <f t="shared" si="63"/>
        <v>Female</v>
      </c>
      <c r="C664" s="8">
        <v>40</v>
      </c>
      <c r="D664" t="str">
        <f t="shared" si="64"/>
        <v>Middle Age</v>
      </c>
      <c r="E664">
        <v>2</v>
      </c>
      <c r="F664" t="str">
        <f>HLOOKUP(E664, LookUP_Table!$A$6:$D$7, 2, FALSE)</f>
        <v>Secondary</v>
      </c>
      <c r="G664" t="str">
        <f>IFERROR(VLOOKUP(E664, LookUP_Table!$A$1:$B$4, 2, FALSE), "")</f>
        <v>Secondary</v>
      </c>
      <c r="H664">
        <v>1</v>
      </c>
      <c r="I664">
        <v>20</v>
      </c>
      <c r="J664" t="str">
        <f t="shared" si="60"/>
        <v>Smoker</v>
      </c>
      <c r="K664">
        <v>0</v>
      </c>
      <c r="L664">
        <v>0</v>
      </c>
      <c r="M664">
        <v>0</v>
      </c>
      <c r="N664">
        <v>0</v>
      </c>
      <c r="O664">
        <v>261</v>
      </c>
      <c r="P664" t="str">
        <f t="shared" si="61"/>
        <v>High</v>
      </c>
      <c r="Q664">
        <v>112</v>
      </c>
      <c r="R664">
        <v>67</v>
      </c>
      <c r="S664">
        <v>21.83</v>
      </c>
      <c r="T664" t="str">
        <f t="shared" si="62"/>
        <v>Normal</v>
      </c>
      <c r="U664">
        <v>75</v>
      </c>
      <c r="V664">
        <v>61</v>
      </c>
      <c r="W664" t="str">
        <f t="shared" si="65"/>
        <v>Normal</v>
      </c>
      <c r="X664">
        <v>0</v>
      </c>
    </row>
    <row r="665" spans="1:24" ht="14.5" thickBot="1" x14ac:dyDescent="0.35">
      <c r="A665">
        <v>0</v>
      </c>
      <c r="B665" t="str">
        <f t="shared" si="63"/>
        <v>Female</v>
      </c>
      <c r="C665" s="8">
        <v>40</v>
      </c>
      <c r="D665" t="str">
        <f t="shared" si="64"/>
        <v>Middle Age</v>
      </c>
      <c r="E665">
        <v>2</v>
      </c>
      <c r="F665" t="str">
        <f>HLOOKUP(E665, LookUP_Table!$A$6:$D$7, 2, FALSE)</f>
        <v>Secondary</v>
      </c>
      <c r="G665" t="str">
        <f>IFERROR(VLOOKUP(E665, LookUP_Table!$A$1:$B$4, 2, FALSE), "")</f>
        <v>Secondary</v>
      </c>
      <c r="H665">
        <v>0</v>
      </c>
      <c r="I665">
        <v>0</v>
      </c>
      <c r="J665" t="str">
        <f t="shared" si="60"/>
        <v>Non-Smoker</v>
      </c>
      <c r="K665">
        <v>0</v>
      </c>
      <c r="L665">
        <v>0</v>
      </c>
      <c r="M665">
        <v>0</v>
      </c>
      <c r="N665">
        <v>0</v>
      </c>
      <c r="O665">
        <v>212</v>
      </c>
      <c r="P665" t="str">
        <f t="shared" si="61"/>
        <v>Normal</v>
      </c>
      <c r="Q665">
        <v>110</v>
      </c>
      <c r="R665">
        <v>70</v>
      </c>
      <c r="S665">
        <v>22.98</v>
      </c>
      <c r="T665" t="str">
        <f t="shared" si="62"/>
        <v>Normal</v>
      </c>
      <c r="U665">
        <v>85</v>
      </c>
      <c r="V665">
        <v>85</v>
      </c>
      <c r="W665" t="str">
        <f t="shared" si="65"/>
        <v>Normal</v>
      </c>
      <c r="X665">
        <v>0</v>
      </c>
    </row>
    <row r="666" spans="1:24" ht="14.5" thickBot="1" x14ac:dyDescent="0.35">
      <c r="A666">
        <v>0</v>
      </c>
      <c r="B666" t="str">
        <f t="shared" si="63"/>
        <v>Female</v>
      </c>
      <c r="C666" s="8">
        <v>40</v>
      </c>
      <c r="D666" t="str">
        <f t="shared" si="64"/>
        <v>Middle Age</v>
      </c>
      <c r="E666">
        <v>2</v>
      </c>
      <c r="F666" t="str">
        <f>HLOOKUP(E666, LookUP_Table!$A$6:$D$7, 2, FALSE)</f>
        <v>Secondary</v>
      </c>
      <c r="G666" t="str">
        <f>IFERROR(VLOOKUP(E666, LookUP_Table!$A$1:$B$4, 2, FALSE), "")</f>
        <v>Secondary</v>
      </c>
      <c r="H666">
        <v>0</v>
      </c>
      <c r="I666">
        <v>0</v>
      </c>
      <c r="J666" t="str">
        <f t="shared" si="60"/>
        <v>Non-Smoker</v>
      </c>
      <c r="K666">
        <v>0</v>
      </c>
      <c r="L666">
        <v>0</v>
      </c>
      <c r="M666">
        <v>0</v>
      </c>
      <c r="N666">
        <v>0</v>
      </c>
      <c r="O666">
        <v>178</v>
      </c>
      <c r="P666" t="str">
        <f t="shared" si="61"/>
        <v>Normal</v>
      </c>
      <c r="Q666">
        <v>119</v>
      </c>
      <c r="R666">
        <v>78.5</v>
      </c>
      <c r="S666">
        <v>23.28</v>
      </c>
      <c r="T666" t="str">
        <f t="shared" si="62"/>
        <v>Normal</v>
      </c>
      <c r="U666">
        <v>72</v>
      </c>
      <c r="V666">
        <v>75</v>
      </c>
      <c r="W666" t="str">
        <f t="shared" si="65"/>
        <v>Normal</v>
      </c>
      <c r="X666">
        <v>0</v>
      </c>
    </row>
    <row r="667" spans="1:24" ht="14.5" thickBot="1" x14ac:dyDescent="0.35">
      <c r="A667">
        <v>0</v>
      </c>
      <c r="B667" t="str">
        <f t="shared" si="63"/>
        <v>Female</v>
      </c>
      <c r="C667" s="8">
        <v>40</v>
      </c>
      <c r="D667" t="str">
        <f t="shared" si="64"/>
        <v>Middle Age</v>
      </c>
      <c r="E667">
        <v>3</v>
      </c>
      <c r="F667" t="str">
        <f>HLOOKUP(E667, LookUP_Table!$A$6:$D$7, 2, FALSE)</f>
        <v>Graduate</v>
      </c>
      <c r="G667" t="str">
        <f>IFERROR(VLOOKUP(E667, LookUP_Table!$A$1:$B$4, 2, FALSE), "")</f>
        <v>Graduate</v>
      </c>
      <c r="H667">
        <v>0</v>
      </c>
      <c r="I667">
        <v>0</v>
      </c>
      <c r="J667" t="str">
        <f t="shared" si="60"/>
        <v>Non-Smoker</v>
      </c>
      <c r="K667">
        <v>0</v>
      </c>
      <c r="L667">
        <v>0</v>
      </c>
      <c r="M667">
        <v>0</v>
      </c>
      <c r="N667">
        <v>0</v>
      </c>
      <c r="O667">
        <v>274</v>
      </c>
      <c r="P667" t="str">
        <f t="shared" si="61"/>
        <v>High</v>
      </c>
      <c r="Q667">
        <v>132.5</v>
      </c>
      <c r="R667">
        <v>85.5</v>
      </c>
      <c r="S667">
        <v>24.87</v>
      </c>
      <c r="T667" t="str">
        <f t="shared" si="62"/>
        <v>Normal</v>
      </c>
      <c r="U667">
        <v>100</v>
      </c>
      <c r="V667">
        <v>70</v>
      </c>
      <c r="W667" t="str">
        <f t="shared" si="65"/>
        <v>Normal</v>
      </c>
      <c r="X667">
        <v>0</v>
      </c>
    </row>
    <row r="668" spans="1:24" ht="14.5" thickBot="1" x14ac:dyDescent="0.35">
      <c r="A668">
        <v>0</v>
      </c>
      <c r="B668" t="str">
        <f t="shared" si="63"/>
        <v>Female</v>
      </c>
      <c r="C668" s="8">
        <v>40</v>
      </c>
      <c r="D668" t="str">
        <f t="shared" si="64"/>
        <v>Middle Age</v>
      </c>
      <c r="E668">
        <v>3</v>
      </c>
      <c r="F668" t="str">
        <f>HLOOKUP(E668, LookUP_Table!$A$6:$D$7, 2, FALSE)</f>
        <v>Graduate</v>
      </c>
      <c r="G668" t="str">
        <f>IFERROR(VLOOKUP(E668, LookUP_Table!$A$1:$B$4, 2, FALSE), "")</f>
        <v>Graduate</v>
      </c>
      <c r="H668">
        <v>0</v>
      </c>
      <c r="I668">
        <v>0</v>
      </c>
      <c r="J668" t="str">
        <f t="shared" si="60"/>
        <v>Non-Smoker</v>
      </c>
      <c r="K668">
        <v>0</v>
      </c>
      <c r="L668">
        <v>0</v>
      </c>
      <c r="M668">
        <v>0</v>
      </c>
      <c r="N668">
        <v>0</v>
      </c>
      <c r="O668">
        <v>188</v>
      </c>
      <c r="P668" t="str">
        <f t="shared" si="61"/>
        <v>Normal</v>
      </c>
      <c r="Q668">
        <v>123</v>
      </c>
      <c r="R668">
        <v>76.5</v>
      </c>
      <c r="S668">
        <v>28</v>
      </c>
      <c r="T668" t="str">
        <f t="shared" si="62"/>
        <v>Overweight</v>
      </c>
      <c r="U668">
        <v>58</v>
      </c>
      <c r="V668">
        <v>76</v>
      </c>
      <c r="W668" t="str">
        <f t="shared" si="65"/>
        <v>Normal</v>
      </c>
      <c r="X668">
        <v>0</v>
      </c>
    </row>
    <row r="669" spans="1:24" ht="14.5" thickBot="1" x14ac:dyDescent="0.35">
      <c r="A669">
        <v>1</v>
      </c>
      <c r="B669" t="str">
        <f t="shared" si="63"/>
        <v>Male</v>
      </c>
      <c r="C669" s="8">
        <v>40</v>
      </c>
      <c r="D669" t="str">
        <f t="shared" si="64"/>
        <v>Middle Age</v>
      </c>
      <c r="E669">
        <v>4</v>
      </c>
      <c r="F669" t="str">
        <f>HLOOKUP(E669, LookUP_Table!$A$6:$D$7, 2, FALSE)</f>
        <v>Post Graduate</v>
      </c>
      <c r="G669" t="str">
        <f>IFERROR(VLOOKUP(E669, LookUP_Table!$A$1:$B$4, 2, FALSE), "")</f>
        <v>Post Graduate</v>
      </c>
      <c r="H669">
        <v>1</v>
      </c>
      <c r="I669">
        <v>19</v>
      </c>
      <c r="J669" t="str">
        <f t="shared" si="60"/>
        <v>Smoker</v>
      </c>
      <c r="K669">
        <v>1</v>
      </c>
      <c r="L669">
        <v>0</v>
      </c>
      <c r="M669">
        <v>1</v>
      </c>
      <c r="N669">
        <v>0</v>
      </c>
      <c r="O669">
        <v>233</v>
      </c>
      <c r="P669" t="str">
        <f t="shared" si="61"/>
        <v>Normal</v>
      </c>
      <c r="Q669">
        <v>122</v>
      </c>
      <c r="R669">
        <v>87</v>
      </c>
      <c r="S669">
        <v>24.91</v>
      </c>
      <c r="T669" t="str">
        <f t="shared" si="62"/>
        <v>Normal</v>
      </c>
      <c r="U669">
        <v>65</v>
      </c>
      <c r="V669">
        <v>69</v>
      </c>
      <c r="W669" t="str">
        <f t="shared" si="65"/>
        <v>Normal</v>
      </c>
      <c r="X669">
        <v>0</v>
      </c>
    </row>
    <row r="670" spans="1:24" ht="14.5" thickBot="1" x14ac:dyDescent="0.35">
      <c r="A670">
        <v>0</v>
      </c>
      <c r="B670" t="str">
        <f t="shared" si="63"/>
        <v>Female</v>
      </c>
      <c r="C670" s="8">
        <v>40</v>
      </c>
      <c r="D670" t="str">
        <f t="shared" si="64"/>
        <v>Middle Age</v>
      </c>
      <c r="E670">
        <v>2</v>
      </c>
      <c r="F670" t="str">
        <f>HLOOKUP(E670, LookUP_Table!$A$6:$D$7, 2, FALSE)</f>
        <v>Secondary</v>
      </c>
      <c r="G670" t="str">
        <f>IFERROR(VLOOKUP(E670, LookUP_Table!$A$1:$B$4, 2, FALSE), "")</f>
        <v>Secondary</v>
      </c>
      <c r="H670">
        <v>0</v>
      </c>
      <c r="I670">
        <v>0</v>
      </c>
      <c r="J670" t="str">
        <f t="shared" si="60"/>
        <v>Non-Smoker</v>
      </c>
      <c r="K670">
        <v>0</v>
      </c>
      <c r="L670">
        <v>0</v>
      </c>
      <c r="M670">
        <v>1</v>
      </c>
      <c r="N670">
        <v>0</v>
      </c>
      <c r="O670">
        <v>170</v>
      </c>
      <c r="P670" t="str">
        <f t="shared" si="61"/>
        <v>Normal</v>
      </c>
      <c r="Q670">
        <v>142.5</v>
      </c>
      <c r="R670">
        <v>95</v>
      </c>
      <c r="S670">
        <v>36.79</v>
      </c>
      <c r="T670" t="str">
        <f t="shared" si="62"/>
        <v>Obese</v>
      </c>
      <c r="U670">
        <v>100</v>
      </c>
      <c r="V670">
        <v>62</v>
      </c>
      <c r="W670" t="str">
        <f t="shared" si="65"/>
        <v>Normal</v>
      </c>
      <c r="X670">
        <v>0</v>
      </c>
    </row>
    <row r="671" spans="1:24" ht="14.5" thickBot="1" x14ac:dyDescent="0.35">
      <c r="A671">
        <v>0</v>
      </c>
      <c r="B671" t="str">
        <f t="shared" si="63"/>
        <v>Female</v>
      </c>
      <c r="C671" s="8">
        <v>40</v>
      </c>
      <c r="D671" t="str">
        <f t="shared" si="64"/>
        <v>Middle Age</v>
      </c>
      <c r="E671">
        <v>2</v>
      </c>
      <c r="F671" t="str">
        <f>HLOOKUP(E671, LookUP_Table!$A$6:$D$7, 2, FALSE)</f>
        <v>Secondary</v>
      </c>
      <c r="G671" t="str">
        <f>IFERROR(VLOOKUP(E671, LookUP_Table!$A$1:$B$4, 2, FALSE), "")</f>
        <v>Secondary</v>
      </c>
      <c r="H671">
        <v>1</v>
      </c>
      <c r="I671">
        <v>20</v>
      </c>
      <c r="J671" t="str">
        <f t="shared" si="60"/>
        <v>Smoker</v>
      </c>
      <c r="K671">
        <v>0</v>
      </c>
      <c r="L671">
        <v>0</v>
      </c>
      <c r="M671">
        <v>0</v>
      </c>
      <c r="N671">
        <v>0</v>
      </c>
      <c r="O671">
        <v>235</v>
      </c>
      <c r="P671" t="str">
        <f t="shared" si="61"/>
        <v>Normal</v>
      </c>
      <c r="Q671">
        <v>120</v>
      </c>
      <c r="R671">
        <v>80</v>
      </c>
      <c r="S671">
        <v>22.37</v>
      </c>
      <c r="T671" t="str">
        <f t="shared" si="62"/>
        <v>Normal</v>
      </c>
      <c r="U671">
        <v>85</v>
      </c>
      <c r="V671">
        <v>81.96365524402907</v>
      </c>
      <c r="W671" t="str">
        <f t="shared" si="65"/>
        <v>Normal</v>
      </c>
      <c r="X671">
        <v>0</v>
      </c>
    </row>
    <row r="672" spans="1:24" ht="14.5" thickBot="1" x14ac:dyDescent="0.35">
      <c r="A672">
        <v>1</v>
      </c>
      <c r="B672" t="str">
        <f t="shared" si="63"/>
        <v>Male</v>
      </c>
      <c r="C672" s="8">
        <v>40</v>
      </c>
      <c r="D672" t="str">
        <f t="shared" si="64"/>
        <v>Middle Age</v>
      </c>
      <c r="E672">
        <v>2</v>
      </c>
      <c r="F672" t="str">
        <f>HLOOKUP(E672, LookUP_Table!$A$6:$D$7, 2, FALSE)</f>
        <v>Secondary</v>
      </c>
      <c r="G672" t="str">
        <f>IFERROR(VLOOKUP(E672, LookUP_Table!$A$1:$B$4, 2, FALSE), "")</f>
        <v>Secondary</v>
      </c>
      <c r="H672">
        <v>1</v>
      </c>
      <c r="I672">
        <v>20</v>
      </c>
      <c r="J672" t="str">
        <f t="shared" si="60"/>
        <v>Smoker</v>
      </c>
      <c r="K672">
        <v>0</v>
      </c>
      <c r="L672">
        <v>0</v>
      </c>
      <c r="M672">
        <v>0</v>
      </c>
      <c r="N672">
        <v>0</v>
      </c>
      <c r="O672">
        <v>275</v>
      </c>
      <c r="P672" t="str">
        <f t="shared" si="61"/>
        <v>High</v>
      </c>
      <c r="Q672">
        <v>112.5</v>
      </c>
      <c r="R672">
        <v>85</v>
      </c>
      <c r="S672">
        <v>28.04</v>
      </c>
      <c r="T672" t="str">
        <f t="shared" si="62"/>
        <v>Overweight</v>
      </c>
      <c r="U672">
        <v>73</v>
      </c>
      <c r="V672">
        <v>71</v>
      </c>
      <c r="W672" t="str">
        <f t="shared" si="65"/>
        <v>Normal</v>
      </c>
      <c r="X672">
        <v>1</v>
      </c>
    </row>
    <row r="673" spans="1:24" ht="14.5" thickBot="1" x14ac:dyDescent="0.35">
      <c r="A673">
        <v>0</v>
      </c>
      <c r="B673" t="str">
        <f t="shared" si="63"/>
        <v>Female</v>
      </c>
      <c r="C673" s="8">
        <v>40</v>
      </c>
      <c r="D673" t="str">
        <f t="shared" si="64"/>
        <v>Middle Age</v>
      </c>
      <c r="E673">
        <v>2</v>
      </c>
      <c r="F673" t="str">
        <f>HLOOKUP(E673, LookUP_Table!$A$6:$D$7, 2, FALSE)</f>
        <v>Secondary</v>
      </c>
      <c r="G673" t="str">
        <f>IFERROR(VLOOKUP(E673, LookUP_Table!$A$1:$B$4, 2, FALSE), "")</f>
        <v>Secondary</v>
      </c>
      <c r="H673">
        <v>1</v>
      </c>
      <c r="I673">
        <v>3</v>
      </c>
      <c r="J673" t="str">
        <f t="shared" si="60"/>
        <v>Smoker</v>
      </c>
      <c r="K673">
        <v>0</v>
      </c>
      <c r="L673">
        <v>0</v>
      </c>
      <c r="M673">
        <v>0</v>
      </c>
      <c r="N673">
        <v>0</v>
      </c>
      <c r="O673">
        <v>236.69952267303103</v>
      </c>
      <c r="P673" t="str">
        <f t="shared" si="61"/>
        <v>Normal</v>
      </c>
      <c r="Q673">
        <v>130</v>
      </c>
      <c r="R673">
        <v>84</v>
      </c>
      <c r="S673">
        <v>31.57</v>
      </c>
      <c r="T673" t="str">
        <f t="shared" si="62"/>
        <v>Obese</v>
      </c>
      <c r="U673">
        <v>72</v>
      </c>
      <c r="V673">
        <v>112</v>
      </c>
      <c r="W673" t="str">
        <f t="shared" si="65"/>
        <v>Prediabetes</v>
      </c>
      <c r="X673">
        <v>0</v>
      </c>
    </row>
    <row r="674" spans="1:24" ht="14.5" thickBot="1" x14ac:dyDescent="0.35">
      <c r="A674">
        <v>1</v>
      </c>
      <c r="B674" t="str">
        <f t="shared" si="63"/>
        <v>Male</v>
      </c>
      <c r="C674" s="8">
        <v>40</v>
      </c>
      <c r="D674" t="str">
        <f t="shared" si="64"/>
        <v>Middle Age</v>
      </c>
      <c r="E674">
        <v>2</v>
      </c>
      <c r="F674" t="str">
        <f>HLOOKUP(E674, LookUP_Table!$A$6:$D$7, 2, FALSE)</f>
        <v>Secondary</v>
      </c>
      <c r="G674" t="str">
        <f>IFERROR(VLOOKUP(E674, LookUP_Table!$A$1:$B$4, 2, FALSE), "")</f>
        <v>Secondary</v>
      </c>
      <c r="H674">
        <v>1</v>
      </c>
      <c r="I674">
        <v>30</v>
      </c>
      <c r="J674" t="str">
        <f t="shared" si="60"/>
        <v>Smoker</v>
      </c>
      <c r="K674">
        <v>1</v>
      </c>
      <c r="L674">
        <v>0</v>
      </c>
      <c r="M674">
        <v>1</v>
      </c>
      <c r="N674">
        <v>0</v>
      </c>
      <c r="O674">
        <v>287</v>
      </c>
      <c r="P674" t="str">
        <f t="shared" si="61"/>
        <v>High</v>
      </c>
      <c r="Q674">
        <v>141</v>
      </c>
      <c r="R674">
        <v>86</v>
      </c>
      <c r="S674">
        <v>27.42</v>
      </c>
      <c r="T674" t="str">
        <f t="shared" si="62"/>
        <v>Overweight</v>
      </c>
      <c r="U674">
        <v>80</v>
      </c>
      <c r="V674">
        <v>94</v>
      </c>
      <c r="W674" t="str">
        <f t="shared" si="65"/>
        <v>Normal</v>
      </c>
      <c r="X674">
        <v>0</v>
      </c>
    </row>
    <row r="675" spans="1:24" ht="14.5" thickBot="1" x14ac:dyDescent="0.35">
      <c r="A675">
        <v>0</v>
      </c>
      <c r="B675" t="str">
        <f t="shared" si="63"/>
        <v>Female</v>
      </c>
      <c r="C675" s="8">
        <v>40</v>
      </c>
      <c r="D675" t="str">
        <f t="shared" si="64"/>
        <v>Middle Age</v>
      </c>
      <c r="E675">
        <v>1</v>
      </c>
      <c r="F675" t="str">
        <f>HLOOKUP(E675, LookUP_Table!$A$6:$D$7, 2, FALSE)</f>
        <v>Primary</v>
      </c>
      <c r="G675" t="str">
        <f>IFERROR(VLOOKUP(E675, LookUP_Table!$A$1:$B$4, 2, FALSE), "")</f>
        <v>Primary</v>
      </c>
      <c r="H675">
        <v>1</v>
      </c>
      <c r="I675">
        <v>5</v>
      </c>
      <c r="J675" t="str">
        <f t="shared" si="60"/>
        <v>Smoker</v>
      </c>
      <c r="K675">
        <v>0</v>
      </c>
      <c r="L675">
        <v>0</v>
      </c>
      <c r="M675">
        <v>0</v>
      </c>
      <c r="N675">
        <v>0</v>
      </c>
      <c r="O675">
        <v>155</v>
      </c>
      <c r="P675" t="str">
        <f t="shared" si="61"/>
        <v>Normal</v>
      </c>
      <c r="Q675">
        <v>120</v>
      </c>
      <c r="R675">
        <v>73.5</v>
      </c>
      <c r="S675">
        <v>21.32</v>
      </c>
      <c r="T675" t="str">
        <f t="shared" si="62"/>
        <v>Normal</v>
      </c>
      <c r="U675">
        <v>65</v>
      </c>
      <c r="V675">
        <v>78</v>
      </c>
      <c r="W675" t="str">
        <f t="shared" si="65"/>
        <v>Normal</v>
      </c>
      <c r="X675">
        <v>0</v>
      </c>
    </row>
    <row r="676" spans="1:24" ht="14.5" thickBot="1" x14ac:dyDescent="0.35">
      <c r="A676">
        <v>0</v>
      </c>
      <c r="B676" t="str">
        <f t="shared" si="63"/>
        <v>Female</v>
      </c>
      <c r="C676" s="8">
        <v>40</v>
      </c>
      <c r="D676" t="str">
        <f t="shared" si="64"/>
        <v>Middle Age</v>
      </c>
      <c r="E676">
        <v>2</v>
      </c>
      <c r="F676" t="str">
        <f>HLOOKUP(E676, LookUP_Table!$A$6:$D$7, 2, FALSE)</f>
        <v>Secondary</v>
      </c>
      <c r="G676" t="str">
        <f>IFERROR(VLOOKUP(E676, LookUP_Table!$A$1:$B$4, 2, FALSE), "")</f>
        <v>Secondary</v>
      </c>
      <c r="H676">
        <v>1</v>
      </c>
      <c r="I676">
        <v>20</v>
      </c>
      <c r="J676" t="str">
        <f t="shared" si="60"/>
        <v>Smoker</v>
      </c>
      <c r="K676">
        <v>0</v>
      </c>
      <c r="L676">
        <v>0</v>
      </c>
      <c r="M676">
        <v>0</v>
      </c>
      <c r="N676">
        <v>0</v>
      </c>
      <c r="O676">
        <v>250</v>
      </c>
      <c r="P676" t="str">
        <f t="shared" si="61"/>
        <v>High</v>
      </c>
      <c r="Q676">
        <v>104</v>
      </c>
      <c r="R676">
        <v>74</v>
      </c>
      <c r="S676">
        <v>18.75</v>
      </c>
      <c r="T676" t="str">
        <f t="shared" si="62"/>
        <v>Normal</v>
      </c>
      <c r="U676">
        <v>90</v>
      </c>
      <c r="V676">
        <v>81.96365524402907</v>
      </c>
      <c r="W676" t="str">
        <f t="shared" si="65"/>
        <v>Normal</v>
      </c>
      <c r="X676">
        <v>0</v>
      </c>
    </row>
    <row r="677" spans="1:24" ht="14.5" thickBot="1" x14ac:dyDescent="0.35">
      <c r="A677">
        <v>0</v>
      </c>
      <c r="B677" t="str">
        <f t="shared" si="63"/>
        <v>Female</v>
      </c>
      <c r="C677" s="8">
        <v>40</v>
      </c>
      <c r="D677" t="str">
        <f t="shared" si="64"/>
        <v>Middle Age</v>
      </c>
      <c r="E677">
        <v>1</v>
      </c>
      <c r="F677" t="str">
        <f>HLOOKUP(E677, LookUP_Table!$A$6:$D$7, 2, FALSE)</f>
        <v>Primary</v>
      </c>
      <c r="G677" t="str">
        <f>IFERROR(VLOOKUP(E677, LookUP_Table!$A$1:$B$4, 2, FALSE), "")</f>
        <v>Primary</v>
      </c>
      <c r="H677">
        <v>1</v>
      </c>
      <c r="I677">
        <v>10</v>
      </c>
      <c r="J677" t="str">
        <f t="shared" si="60"/>
        <v>Smoker</v>
      </c>
      <c r="K677">
        <v>0</v>
      </c>
      <c r="L677">
        <v>0</v>
      </c>
      <c r="M677">
        <v>0</v>
      </c>
      <c r="N677">
        <v>0</v>
      </c>
      <c r="O677">
        <v>209</v>
      </c>
      <c r="P677" t="str">
        <f t="shared" si="61"/>
        <v>Normal</v>
      </c>
      <c r="Q677">
        <v>96</v>
      </c>
      <c r="R677">
        <v>67</v>
      </c>
      <c r="S677">
        <v>23.46</v>
      </c>
      <c r="T677" t="str">
        <f t="shared" si="62"/>
        <v>Normal</v>
      </c>
      <c r="U677">
        <v>52</v>
      </c>
      <c r="V677">
        <v>70</v>
      </c>
      <c r="W677" t="str">
        <f t="shared" si="65"/>
        <v>Normal</v>
      </c>
      <c r="X677">
        <v>0</v>
      </c>
    </row>
    <row r="678" spans="1:24" ht="14.5" thickBot="1" x14ac:dyDescent="0.35">
      <c r="A678">
        <v>0</v>
      </c>
      <c r="B678" t="str">
        <f t="shared" si="63"/>
        <v>Female</v>
      </c>
      <c r="C678" s="8">
        <v>40</v>
      </c>
      <c r="D678" t="str">
        <f t="shared" si="64"/>
        <v>Middle Age</v>
      </c>
      <c r="E678">
        <v>2</v>
      </c>
      <c r="F678" t="str">
        <f>HLOOKUP(E678, LookUP_Table!$A$6:$D$7, 2, FALSE)</f>
        <v>Secondary</v>
      </c>
      <c r="G678" t="str">
        <f>IFERROR(VLOOKUP(E678, LookUP_Table!$A$1:$B$4, 2, FALSE), "")</f>
        <v>Secondary</v>
      </c>
      <c r="H678">
        <v>0</v>
      </c>
      <c r="I678">
        <v>0</v>
      </c>
      <c r="J678" t="str">
        <f t="shared" si="60"/>
        <v>Non-Smoker</v>
      </c>
      <c r="K678">
        <v>0</v>
      </c>
      <c r="L678">
        <v>0</v>
      </c>
      <c r="M678">
        <v>0</v>
      </c>
      <c r="N678">
        <v>0</v>
      </c>
      <c r="O678">
        <v>159</v>
      </c>
      <c r="P678" t="str">
        <f t="shared" si="61"/>
        <v>Normal</v>
      </c>
      <c r="Q678">
        <v>142</v>
      </c>
      <c r="R678">
        <v>90.5</v>
      </c>
      <c r="S678">
        <v>22.31</v>
      </c>
      <c r="T678" t="str">
        <f t="shared" si="62"/>
        <v>Normal</v>
      </c>
      <c r="U678">
        <v>100</v>
      </c>
      <c r="V678">
        <v>81.96365524402907</v>
      </c>
      <c r="W678" t="str">
        <f t="shared" si="65"/>
        <v>Normal</v>
      </c>
      <c r="X678">
        <v>0</v>
      </c>
    </row>
    <row r="679" spans="1:24" ht="14.5" thickBot="1" x14ac:dyDescent="0.35">
      <c r="A679">
        <v>1</v>
      </c>
      <c r="B679" t="str">
        <f t="shared" si="63"/>
        <v>Male</v>
      </c>
      <c r="C679" s="8">
        <v>40</v>
      </c>
      <c r="D679" t="str">
        <f t="shared" si="64"/>
        <v>Middle Age</v>
      </c>
      <c r="E679">
        <v>2</v>
      </c>
      <c r="F679" t="str">
        <f>HLOOKUP(E679, LookUP_Table!$A$6:$D$7, 2, FALSE)</f>
        <v>Secondary</v>
      </c>
      <c r="G679" t="str">
        <f>IFERROR(VLOOKUP(E679, LookUP_Table!$A$1:$B$4, 2, FALSE), "")</f>
        <v>Secondary</v>
      </c>
      <c r="H679">
        <v>1</v>
      </c>
      <c r="I679">
        <v>25</v>
      </c>
      <c r="J679" t="str">
        <f t="shared" si="60"/>
        <v>Smoker</v>
      </c>
      <c r="K679">
        <v>0</v>
      </c>
      <c r="L679">
        <v>0</v>
      </c>
      <c r="M679">
        <v>0</v>
      </c>
      <c r="N679">
        <v>0</v>
      </c>
      <c r="O679">
        <v>335</v>
      </c>
      <c r="P679" t="str">
        <f t="shared" si="61"/>
        <v>High</v>
      </c>
      <c r="Q679">
        <v>136.5</v>
      </c>
      <c r="R679">
        <v>84</v>
      </c>
      <c r="S679">
        <v>23.6</v>
      </c>
      <c r="T679" t="str">
        <f t="shared" si="62"/>
        <v>Normal</v>
      </c>
      <c r="U679">
        <v>85</v>
      </c>
      <c r="V679">
        <v>76</v>
      </c>
      <c r="W679" t="str">
        <f t="shared" si="65"/>
        <v>Normal</v>
      </c>
      <c r="X679">
        <v>0</v>
      </c>
    </row>
    <row r="680" spans="1:24" ht="14.5" thickBot="1" x14ac:dyDescent="0.35">
      <c r="A680">
        <v>0</v>
      </c>
      <c r="B680" t="str">
        <f t="shared" si="63"/>
        <v>Female</v>
      </c>
      <c r="C680" s="8">
        <v>40</v>
      </c>
      <c r="D680" t="str">
        <f t="shared" si="64"/>
        <v>Middle Age</v>
      </c>
      <c r="E680">
        <v>1</v>
      </c>
      <c r="F680" t="str">
        <f>HLOOKUP(E680, LookUP_Table!$A$6:$D$7, 2, FALSE)</f>
        <v>Primary</v>
      </c>
      <c r="G680" t="str">
        <f>IFERROR(VLOOKUP(E680, LookUP_Table!$A$1:$B$4, 2, FALSE), "")</f>
        <v>Primary</v>
      </c>
      <c r="H680">
        <v>1</v>
      </c>
      <c r="I680">
        <v>5</v>
      </c>
      <c r="J680" t="str">
        <f t="shared" si="60"/>
        <v>Smoker</v>
      </c>
      <c r="K680">
        <v>0</v>
      </c>
      <c r="L680">
        <v>0</v>
      </c>
      <c r="M680">
        <v>0</v>
      </c>
      <c r="N680">
        <v>0</v>
      </c>
      <c r="O680">
        <v>220</v>
      </c>
      <c r="P680" t="str">
        <f t="shared" si="61"/>
        <v>Normal</v>
      </c>
      <c r="Q680">
        <v>113</v>
      </c>
      <c r="R680">
        <v>78</v>
      </c>
      <c r="S680">
        <v>24.29</v>
      </c>
      <c r="T680" t="str">
        <f t="shared" si="62"/>
        <v>Normal</v>
      </c>
      <c r="U680">
        <v>68</v>
      </c>
      <c r="V680">
        <v>81.96365524402907</v>
      </c>
      <c r="W680" t="str">
        <f t="shared" si="65"/>
        <v>Normal</v>
      </c>
      <c r="X680">
        <v>0</v>
      </c>
    </row>
    <row r="681" spans="1:24" ht="14.5" thickBot="1" x14ac:dyDescent="0.35">
      <c r="A681">
        <v>0</v>
      </c>
      <c r="B681" t="str">
        <f t="shared" si="63"/>
        <v>Female</v>
      </c>
      <c r="C681" s="8">
        <v>40</v>
      </c>
      <c r="D681" t="str">
        <f t="shared" si="64"/>
        <v>Middle Age</v>
      </c>
      <c r="E681">
        <v>2</v>
      </c>
      <c r="F681" t="str">
        <f>HLOOKUP(E681, LookUP_Table!$A$6:$D$7, 2, FALSE)</f>
        <v>Secondary</v>
      </c>
      <c r="G681" t="str">
        <f>IFERROR(VLOOKUP(E681, LookUP_Table!$A$1:$B$4, 2, FALSE), "")</f>
        <v>Secondary</v>
      </c>
      <c r="H681">
        <v>1</v>
      </c>
      <c r="I681">
        <v>15</v>
      </c>
      <c r="J681" t="str">
        <f t="shared" si="60"/>
        <v>Smoker</v>
      </c>
      <c r="K681">
        <v>0</v>
      </c>
      <c r="L681">
        <v>0</v>
      </c>
      <c r="M681">
        <v>1</v>
      </c>
      <c r="N681">
        <v>0</v>
      </c>
      <c r="O681">
        <v>232</v>
      </c>
      <c r="P681" t="str">
        <f t="shared" si="61"/>
        <v>Normal</v>
      </c>
      <c r="Q681">
        <v>140</v>
      </c>
      <c r="R681">
        <v>92</v>
      </c>
      <c r="S681">
        <v>26.56</v>
      </c>
      <c r="T681" t="str">
        <f t="shared" si="62"/>
        <v>Overweight</v>
      </c>
      <c r="U681">
        <v>75</v>
      </c>
      <c r="V681">
        <v>73</v>
      </c>
      <c r="W681" t="str">
        <f t="shared" si="65"/>
        <v>Normal</v>
      </c>
      <c r="X681">
        <v>0</v>
      </c>
    </row>
    <row r="682" spans="1:24" ht="14.5" thickBot="1" x14ac:dyDescent="0.35">
      <c r="A682">
        <v>1</v>
      </c>
      <c r="B682" t="str">
        <f t="shared" si="63"/>
        <v>Male</v>
      </c>
      <c r="C682" s="8">
        <v>40</v>
      </c>
      <c r="D682" t="str">
        <f t="shared" si="64"/>
        <v>Middle Age</v>
      </c>
      <c r="E682">
        <v>1</v>
      </c>
      <c r="F682" t="str">
        <f>HLOOKUP(E682, LookUP_Table!$A$6:$D$7, 2, FALSE)</f>
        <v>Primary</v>
      </c>
      <c r="G682" t="str">
        <f>IFERROR(VLOOKUP(E682, LookUP_Table!$A$1:$B$4, 2, FALSE), "")</f>
        <v>Primary</v>
      </c>
      <c r="H682">
        <v>1</v>
      </c>
      <c r="I682">
        <v>20</v>
      </c>
      <c r="J682" t="str">
        <f t="shared" si="60"/>
        <v>Smoker</v>
      </c>
      <c r="K682">
        <v>0</v>
      </c>
      <c r="L682">
        <v>0</v>
      </c>
      <c r="M682">
        <v>0</v>
      </c>
      <c r="N682">
        <v>0</v>
      </c>
      <c r="O682">
        <v>228</v>
      </c>
      <c r="P682" t="str">
        <f t="shared" si="61"/>
        <v>Normal</v>
      </c>
      <c r="Q682">
        <v>131</v>
      </c>
      <c r="R682">
        <v>80</v>
      </c>
      <c r="S682">
        <v>26.77</v>
      </c>
      <c r="T682" t="str">
        <f t="shared" si="62"/>
        <v>Overweight</v>
      </c>
      <c r="U682">
        <v>64</v>
      </c>
      <c r="V682">
        <v>74</v>
      </c>
      <c r="W682" t="str">
        <f t="shared" si="65"/>
        <v>Normal</v>
      </c>
      <c r="X682">
        <v>0</v>
      </c>
    </row>
    <row r="683" spans="1:24" ht="14.5" thickBot="1" x14ac:dyDescent="0.35">
      <c r="A683">
        <v>0</v>
      </c>
      <c r="B683" t="str">
        <f t="shared" si="63"/>
        <v>Female</v>
      </c>
      <c r="C683" s="8">
        <v>40</v>
      </c>
      <c r="D683" t="str">
        <f t="shared" si="64"/>
        <v>Middle Age</v>
      </c>
      <c r="E683">
        <v>1</v>
      </c>
      <c r="F683" t="str">
        <f>HLOOKUP(E683, LookUP_Table!$A$6:$D$7, 2, FALSE)</f>
        <v>Primary</v>
      </c>
      <c r="G683" t="str">
        <f>IFERROR(VLOOKUP(E683, LookUP_Table!$A$1:$B$4, 2, FALSE), "")</f>
        <v>Primary</v>
      </c>
      <c r="H683">
        <v>1</v>
      </c>
      <c r="I683">
        <v>20</v>
      </c>
      <c r="J683" t="str">
        <f t="shared" si="60"/>
        <v>Smoker</v>
      </c>
      <c r="K683">
        <v>0</v>
      </c>
      <c r="L683">
        <v>0</v>
      </c>
      <c r="M683">
        <v>0</v>
      </c>
      <c r="N683">
        <v>0</v>
      </c>
      <c r="O683">
        <v>187</v>
      </c>
      <c r="P683" t="str">
        <f t="shared" si="61"/>
        <v>Normal</v>
      </c>
      <c r="Q683">
        <v>107</v>
      </c>
      <c r="R683">
        <v>74</v>
      </c>
      <c r="S683">
        <v>22.37</v>
      </c>
      <c r="T683" t="str">
        <f t="shared" si="62"/>
        <v>Normal</v>
      </c>
      <c r="U683">
        <v>60</v>
      </c>
      <c r="V683">
        <v>67</v>
      </c>
      <c r="W683" t="str">
        <f t="shared" si="65"/>
        <v>Normal</v>
      </c>
      <c r="X683">
        <v>0</v>
      </c>
    </row>
    <row r="684" spans="1:24" ht="14.5" thickBot="1" x14ac:dyDescent="0.35">
      <c r="A684">
        <v>0</v>
      </c>
      <c r="B684" t="str">
        <f t="shared" si="63"/>
        <v>Female</v>
      </c>
      <c r="C684" s="8">
        <v>40</v>
      </c>
      <c r="D684" t="str">
        <f t="shared" si="64"/>
        <v>Middle Age</v>
      </c>
      <c r="E684">
        <v>2</v>
      </c>
      <c r="F684" t="str">
        <f>HLOOKUP(E684, LookUP_Table!$A$6:$D$7, 2, FALSE)</f>
        <v>Secondary</v>
      </c>
      <c r="G684" t="str">
        <f>IFERROR(VLOOKUP(E684, LookUP_Table!$A$1:$B$4, 2, FALSE), "")</f>
        <v>Secondary</v>
      </c>
      <c r="H684">
        <v>1</v>
      </c>
      <c r="I684">
        <v>9</v>
      </c>
      <c r="J684" t="str">
        <f t="shared" si="60"/>
        <v>Smoker</v>
      </c>
      <c r="K684">
        <v>0</v>
      </c>
      <c r="L684">
        <v>0</v>
      </c>
      <c r="M684">
        <v>0</v>
      </c>
      <c r="N684">
        <v>0</v>
      </c>
      <c r="O684">
        <v>240</v>
      </c>
      <c r="P684" t="str">
        <f t="shared" si="61"/>
        <v>Normal</v>
      </c>
      <c r="Q684">
        <v>115</v>
      </c>
      <c r="R684">
        <v>72</v>
      </c>
      <c r="S684">
        <v>18.82</v>
      </c>
      <c r="T684" t="str">
        <f t="shared" si="62"/>
        <v>Normal</v>
      </c>
      <c r="U684">
        <v>80</v>
      </c>
      <c r="V684">
        <v>68</v>
      </c>
      <c r="W684" t="str">
        <f t="shared" si="65"/>
        <v>Normal</v>
      </c>
      <c r="X684">
        <v>0</v>
      </c>
    </row>
    <row r="685" spans="1:24" ht="14.5" thickBot="1" x14ac:dyDescent="0.35">
      <c r="A685">
        <v>0</v>
      </c>
      <c r="B685" t="str">
        <f t="shared" si="63"/>
        <v>Female</v>
      </c>
      <c r="C685" s="8">
        <v>40</v>
      </c>
      <c r="D685" t="str">
        <f t="shared" si="64"/>
        <v>Middle Age</v>
      </c>
      <c r="E685">
        <v>2</v>
      </c>
      <c r="F685" t="str">
        <f>HLOOKUP(E685, LookUP_Table!$A$6:$D$7, 2, FALSE)</f>
        <v>Secondary</v>
      </c>
      <c r="G685" t="str">
        <f>IFERROR(VLOOKUP(E685, LookUP_Table!$A$1:$B$4, 2, FALSE), "")</f>
        <v>Secondary</v>
      </c>
      <c r="H685">
        <v>0</v>
      </c>
      <c r="I685">
        <v>0</v>
      </c>
      <c r="J685" t="str">
        <f t="shared" si="60"/>
        <v>Non-Smoker</v>
      </c>
      <c r="K685">
        <v>0</v>
      </c>
      <c r="L685">
        <v>0</v>
      </c>
      <c r="M685">
        <v>0</v>
      </c>
      <c r="N685">
        <v>0</v>
      </c>
      <c r="O685">
        <v>215</v>
      </c>
      <c r="P685" t="str">
        <f t="shared" si="61"/>
        <v>Normal</v>
      </c>
      <c r="Q685">
        <v>110</v>
      </c>
      <c r="R685">
        <v>70</v>
      </c>
      <c r="S685">
        <v>19.64</v>
      </c>
      <c r="T685" t="str">
        <f t="shared" si="62"/>
        <v>Normal</v>
      </c>
      <c r="U685">
        <v>70</v>
      </c>
      <c r="V685">
        <v>87</v>
      </c>
      <c r="W685" t="str">
        <f t="shared" si="65"/>
        <v>Normal</v>
      </c>
      <c r="X685">
        <v>0</v>
      </c>
    </row>
    <row r="686" spans="1:24" ht="14.5" thickBot="1" x14ac:dyDescent="0.35">
      <c r="A686">
        <v>0</v>
      </c>
      <c r="B686" t="str">
        <f t="shared" si="63"/>
        <v>Female</v>
      </c>
      <c r="C686" s="8">
        <v>40</v>
      </c>
      <c r="D686" t="str">
        <f t="shared" si="64"/>
        <v>Middle Age</v>
      </c>
      <c r="E686">
        <v>2</v>
      </c>
      <c r="F686" t="str">
        <f>HLOOKUP(E686, LookUP_Table!$A$6:$D$7, 2, FALSE)</f>
        <v>Secondary</v>
      </c>
      <c r="G686" t="str">
        <f>IFERROR(VLOOKUP(E686, LookUP_Table!$A$1:$B$4, 2, FALSE), "")</f>
        <v>Secondary</v>
      </c>
      <c r="H686">
        <v>1</v>
      </c>
      <c r="I686">
        <v>9</v>
      </c>
      <c r="J686" t="str">
        <f t="shared" si="60"/>
        <v>Smoker</v>
      </c>
      <c r="K686">
        <v>0</v>
      </c>
      <c r="L686">
        <v>0</v>
      </c>
      <c r="M686">
        <v>0</v>
      </c>
      <c r="N686">
        <v>0</v>
      </c>
      <c r="O686">
        <v>193</v>
      </c>
      <c r="P686" t="str">
        <f t="shared" si="61"/>
        <v>Normal</v>
      </c>
      <c r="Q686">
        <v>105</v>
      </c>
      <c r="R686">
        <v>60</v>
      </c>
      <c r="S686">
        <v>22.54</v>
      </c>
      <c r="T686" t="str">
        <f t="shared" si="62"/>
        <v>Normal</v>
      </c>
      <c r="U686">
        <v>75</v>
      </c>
      <c r="V686">
        <v>85</v>
      </c>
      <c r="W686" t="str">
        <f t="shared" si="65"/>
        <v>Normal</v>
      </c>
      <c r="X686">
        <v>0</v>
      </c>
    </row>
    <row r="687" spans="1:24" ht="14.5" thickBot="1" x14ac:dyDescent="0.35">
      <c r="A687">
        <v>1</v>
      </c>
      <c r="B687" t="str">
        <f t="shared" si="63"/>
        <v>Male</v>
      </c>
      <c r="C687" s="8">
        <v>40</v>
      </c>
      <c r="D687" t="str">
        <f t="shared" si="64"/>
        <v>Middle Age</v>
      </c>
      <c r="E687">
        <v>1</v>
      </c>
      <c r="F687" t="str">
        <f>HLOOKUP(E687, LookUP_Table!$A$6:$D$7, 2, FALSE)</f>
        <v>Primary</v>
      </c>
      <c r="G687" t="str">
        <f>IFERROR(VLOOKUP(E687, LookUP_Table!$A$1:$B$4, 2, FALSE), "")</f>
        <v>Primary</v>
      </c>
      <c r="H687">
        <v>1</v>
      </c>
      <c r="I687">
        <v>20</v>
      </c>
      <c r="J687" t="str">
        <f t="shared" si="60"/>
        <v>Smoker</v>
      </c>
      <c r="K687">
        <v>0</v>
      </c>
      <c r="L687">
        <v>0</v>
      </c>
      <c r="M687">
        <v>0</v>
      </c>
      <c r="N687">
        <v>0</v>
      </c>
      <c r="O687">
        <v>201</v>
      </c>
      <c r="P687" t="str">
        <f t="shared" si="61"/>
        <v>Normal</v>
      </c>
      <c r="Q687">
        <v>121.5</v>
      </c>
      <c r="R687">
        <v>76.5</v>
      </c>
      <c r="S687">
        <v>29.38</v>
      </c>
      <c r="T687" t="str">
        <f t="shared" si="62"/>
        <v>Overweight</v>
      </c>
      <c r="U687">
        <v>74</v>
      </c>
      <c r="V687">
        <v>94</v>
      </c>
      <c r="W687" t="str">
        <f t="shared" si="65"/>
        <v>Normal</v>
      </c>
      <c r="X687">
        <v>0</v>
      </c>
    </row>
    <row r="688" spans="1:24" ht="14.5" thickBot="1" x14ac:dyDescent="0.35">
      <c r="A688">
        <v>0</v>
      </c>
      <c r="B688" t="str">
        <f t="shared" si="63"/>
        <v>Female</v>
      </c>
      <c r="C688" s="8">
        <v>40</v>
      </c>
      <c r="D688" t="str">
        <f t="shared" si="64"/>
        <v>Middle Age</v>
      </c>
      <c r="E688">
        <v>1</v>
      </c>
      <c r="F688" t="str">
        <f>HLOOKUP(E688, LookUP_Table!$A$6:$D$7, 2, FALSE)</f>
        <v>Primary</v>
      </c>
      <c r="G688" t="str">
        <f>IFERROR(VLOOKUP(E688, LookUP_Table!$A$1:$B$4, 2, FALSE), "")</f>
        <v>Primary</v>
      </c>
      <c r="H688">
        <v>1</v>
      </c>
      <c r="I688">
        <v>50</v>
      </c>
      <c r="J688" t="str">
        <f t="shared" si="60"/>
        <v>Smoker</v>
      </c>
      <c r="K688">
        <v>0</v>
      </c>
      <c r="L688">
        <v>0</v>
      </c>
      <c r="M688">
        <v>0</v>
      </c>
      <c r="N688">
        <v>0</v>
      </c>
      <c r="O688">
        <v>220</v>
      </c>
      <c r="P688" t="str">
        <f t="shared" si="61"/>
        <v>Normal</v>
      </c>
      <c r="Q688">
        <v>124</v>
      </c>
      <c r="R688">
        <v>79</v>
      </c>
      <c r="S688">
        <v>20.7</v>
      </c>
      <c r="T688" t="str">
        <f t="shared" si="62"/>
        <v>Normal</v>
      </c>
      <c r="U688">
        <v>90</v>
      </c>
      <c r="V688">
        <v>57</v>
      </c>
      <c r="W688" t="str">
        <f t="shared" si="65"/>
        <v>Normal</v>
      </c>
      <c r="X688">
        <v>0</v>
      </c>
    </row>
    <row r="689" spans="1:24" ht="14.5" thickBot="1" x14ac:dyDescent="0.35">
      <c r="A689">
        <v>1</v>
      </c>
      <c r="B689" t="str">
        <f t="shared" si="63"/>
        <v>Male</v>
      </c>
      <c r="C689" s="8">
        <v>40</v>
      </c>
      <c r="D689" t="str">
        <f t="shared" si="64"/>
        <v>Middle Age</v>
      </c>
      <c r="E689">
        <v>3</v>
      </c>
      <c r="F689" t="str">
        <f>HLOOKUP(E689, LookUP_Table!$A$6:$D$7, 2, FALSE)</f>
        <v>Graduate</v>
      </c>
      <c r="G689" t="str">
        <f>IFERROR(VLOOKUP(E689, LookUP_Table!$A$1:$B$4, 2, FALSE), "")</f>
        <v>Graduate</v>
      </c>
      <c r="H689">
        <v>1</v>
      </c>
      <c r="I689">
        <v>15</v>
      </c>
      <c r="J689" t="str">
        <f t="shared" si="60"/>
        <v>Smoker</v>
      </c>
      <c r="K689">
        <v>0</v>
      </c>
      <c r="L689">
        <v>0</v>
      </c>
      <c r="M689">
        <v>0</v>
      </c>
      <c r="N689">
        <v>0</v>
      </c>
      <c r="O689">
        <v>203</v>
      </c>
      <c r="P689" t="str">
        <f t="shared" si="61"/>
        <v>Normal</v>
      </c>
      <c r="Q689">
        <v>123</v>
      </c>
      <c r="R689">
        <v>82</v>
      </c>
      <c r="S689">
        <v>24.74</v>
      </c>
      <c r="T689" t="str">
        <f t="shared" si="62"/>
        <v>Normal</v>
      </c>
      <c r="U689">
        <v>75</v>
      </c>
      <c r="V689">
        <v>78</v>
      </c>
      <c r="W689" t="str">
        <f t="shared" si="65"/>
        <v>Normal</v>
      </c>
      <c r="X689">
        <v>0</v>
      </c>
    </row>
    <row r="690" spans="1:24" ht="14.5" thickBot="1" x14ac:dyDescent="0.35">
      <c r="A690">
        <v>1</v>
      </c>
      <c r="B690" t="str">
        <f t="shared" si="63"/>
        <v>Male</v>
      </c>
      <c r="C690" s="8">
        <v>40</v>
      </c>
      <c r="D690" t="str">
        <f t="shared" si="64"/>
        <v>Middle Age</v>
      </c>
      <c r="E690">
        <v>2</v>
      </c>
      <c r="F690" t="str">
        <f>HLOOKUP(E690, LookUP_Table!$A$6:$D$7, 2, FALSE)</f>
        <v>Secondary</v>
      </c>
      <c r="G690" t="str">
        <f>IFERROR(VLOOKUP(E690, LookUP_Table!$A$1:$B$4, 2, FALSE), "")</f>
        <v>Secondary</v>
      </c>
      <c r="H690">
        <v>1</v>
      </c>
      <c r="I690">
        <v>20</v>
      </c>
      <c r="J690" t="str">
        <f t="shared" si="60"/>
        <v>Smoker</v>
      </c>
      <c r="K690">
        <v>0</v>
      </c>
      <c r="L690">
        <v>0</v>
      </c>
      <c r="M690">
        <v>0</v>
      </c>
      <c r="N690">
        <v>0</v>
      </c>
      <c r="O690">
        <v>152</v>
      </c>
      <c r="P690" t="str">
        <f t="shared" si="61"/>
        <v>Normal</v>
      </c>
      <c r="Q690">
        <v>119</v>
      </c>
      <c r="R690">
        <v>86</v>
      </c>
      <c r="S690">
        <v>23.35</v>
      </c>
      <c r="T690" t="str">
        <f t="shared" si="62"/>
        <v>Normal</v>
      </c>
      <c r="U690">
        <v>75</v>
      </c>
      <c r="V690">
        <v>66</v>
      </c>
      <c r="W690" t="str">
        <f t="shared" si="65"/>
        <v>Normal</v>
      </c>
      <c r="X690">
        <v>0</v>
      </c>
    </row>
    <row r="691" spans="1:24" ht="14.5" thickBot="1" x14ac:dyDescent="0.35">
      <c r="A691">
        <v>0</v>
      </c>
      <c r="B691" t="str">
        <f t="shared" si="63"/>
        <v>Female</v>
      </c>
      <c r="C691" s="8">
        <v>40</v>
      </c>
      <c r="D691" t="str">
        <f t="shared" si="64"/>
        <v>Middle Age</v>
      </c>
      <c r="E691">
        <v>2</v>
      </c>
      <c r="F691" t="str">
        <f>HLOOKUP(E691, LookUP_Table!$A$6:$D$7, 2, FALSE)</f>
        <v>Secondary</v>
      </c>
      <c r="G691" t="str">
        <f>IFERROR(VLOOKUP(E691, LookUP_Table!$A$1:$B$4, 2, FALSE), "")</f>
        <v>Secondary</v>
      </c>
      <c r="H691">
        <v>0</v>
      </c>
      <c r="I691">
        <v>0</v>
      </c>
      <c r="J691" t="str">
        <f t="shared" si="60"/>
        <v>Non-Smoker</v>
      </c>
      <c r="K691">
        <v>0</v>
      </c>
      <c r="L691">
        <v>0</v>
      </c>
      <c r="M691">
        <v>0</v>
      </c>
      <c r="N691">
        <v>0</v>
      </c>
      <c r="O691">
        <v>236.69952267303103</v>
      </c>
      <c r="P691" t="str">
        <f t="shared" si="61"/>
        <v>Normal</v>
      </c>
      <c r="Q691">
        <v>119</v>
      </c>
      <c r="R691">
        <v>81</v>
      </c>
      <c r="S691">
        <v>24.6</v>
      </c>
      <c r="T691" t="str">
        <f t="shared" si="62"/>
        <v>Normal</v>
      </c>
      <c r="U691">
        <v>75</v>
      </c>
      <c r="V691">
        <v>81.96365524402907</v>
      </c>
      <c r="W691" t="str">
        <f t="shared" si="65"/>
        <v>Normal</v>
      </c>
      <c r="X691">
        <v>0</v>
      </c>
    </row>
    <row r="692" spans="1:24" ht="14.5" thickBot="1" x14ac:dyDescent="0.35">
      <c r="A692">
        <v>1</v>
      </c>
      <c r="B692" t="str">
        <f t="shared" si="63"/>
        <v>Male</v>
      </c>
      <c r="C692" s="8">
        <v>40</v>
      </c>
      <c r="D692" t="str">
        <f t="shared" si="64"/>
        <v>Middle Age</v>
      </c>
      <c r="E692">
        <v>2</v>
      </c>
      <c r="F692" t="str">
        <f>HLOOKUP(E692, LookUP_Table!$A$6:$D$7, 2, FALSE)</f>
        <v>Secondary</v>
      </c>
      <c r="G692" t="str">
        <f>IFERROR(VLOOKUP(E692, LookUP_Table!$A$1:$B$4, 2, FALSE), "")</f>
        <v>Secondary</v>
      </c>
      <c r="H692">
        <v>1</v>
      </c>
      <c r="I692">
        <v>10</v>
      </c>
      <c r="J692" t="str">
        <f t="shared" si="60"/>
        <v>Smoker</v>
      </c>
      <c r="K692">
        <v>0</v>
      </c>
      <c r="L692">
        <v>0</v>
      </c>
      <c r="M692">
        <v>0</v>
      </c>
      <c r="N692">
        <v>0</v>
      </c>
      <c r="O692">
        <v>250</v>
      </c>
      <c r="P692" t="str">
        <f t="shared" si="61"/>
        <v>High</v>
      </c>
      <c r="Q692">
        <v>109</v>
      </c>
      <c r="R692">
        <v>78</v>
      </c>
      <c r="S692">
        <v>25.75</v>
      </c>
      <c r="T692" t="str">
        <f t="shared" si="62"/>
        <v>Overweight</v>
      </c>
      <c r="U692">
        <v>65</v>
      </c>
      <c r="V692">
        <v>81.96365524402907</v>
      </c>
      <c r="W692" t="str">
        <f t="shared" si="65"/>
        <v>Normal</v>
      </c>
      <c r="X692">
        <v>0</v>
      </c>
    </row>
    <row r="693" spans="1:24" ht="14.5" thickBot="1" x14ac:dyDescent="0.35">
      <c r="A693">
        <v>0</v>
      </c>
      <c r="B693" t="str">
        <f t="shared" si="63"/>
        <v>Female</v>
      </c>
      <c r="C693" s="8">
        <v>40</v>
      </c>
      <c r="D693" t="str">
        <f t="shared" si="64"/>
        <v>Middle Age</v>
      </c>
      <c r="E693">
        <v>3</v>
      </c>
      <c r="F693" t="str">
        <f>HLOOKUP(E693, LookUP_Table!$A$6:$D$7, 2, FALSE)</f>
        <v>Graduate</v>
      </c>
      <c r="G693" t="str">
        <f>IFERROR(VLOOKUP(E693, LookUP_Table!$A$1:$B$4, 2, FALSE), "")</f>
        <v>Graduate</v>
      </c>
      <c r="H693">
        <v>1</v>
      </c>
      <c r="I693">
        <v>30</v>
      </c>
      <c r="J693" t="str">
        <f t="shared" si="60"/>
        <v>Smoker</v>
      </c>
      <c r="K693">
        <v>0</v>
      </c>
      <c r="L693">
        <v>0</v>
      </c>
      <c r="M693">
        <v>0</v>
      </c>
      <c r="N693">
        <v>0</v>
      </c>
      <c r="O693">
        <v>280</v>
      </c>
      <c r="P693" t="str">
        <f t="shared" si="61"/>
        <v>High</v>
      </c>
      <c r="Q693">
        <v>115</v>
      </c>
      <c r="R693">
        <v>81</v>
      </c>
      <c r="S693">
        <v>21.32</v>
      </c>
      <c r="T693" t="str">
        <f t="shared" si="62"/>
        <v>Normal</v>
      </c>
      <c r="U693">
        <v>62</v>
      </c>
      <c r="V693">
        <v>84</v>
      </c>
      <c r="W693" t="str">
        <f t="shared" si="65"/>
        <v>Normal</v>
      </c>
      <c r="X693">
        <v>0</v>
      </c>
    </row>
    <row r="694" spans="1:24" ht="14.5" thickBot="1" x14ac:dyDescent="0.35">
      <c r="A694">
        <v>0</v>
      </c>
      <c r="B694" t="str">
        <f t="shared" si="63"/>
        <v>Female</v>
      </c>
      <c r="C694" s="8">
        <v>40</v>
      </c>
      <c r="D694" t="str">
        <f t="shared" si="64"/>
        <v>Middle Age</v>
      </c>
      <c r="E694">
        <v>4</v>
      </c>
      <c r="F694" t="str">
        <f>HLOOKUP(E694, LookUP_Table!$A$6:$D$7, 2, FALSE)</f>
        <v>Post Graduate</v>
      </c>
      <c r="G694" t="str">
        <f>IFERROR(VLOOKUP(E694, LookUP_Table!$A$1:$B$4, 2, FALSE), "")</f>
        <v>Post Graduate</v>
      </c>
      <c r="H694">
        <v>1</v>
      </c>
      <c r="I694">
        <v>3</v>
      </c>
      <c r="J694" t="str">
        <f t="shared" si="60"/>
        <v>Smoker</v>
      </c>
      <c r="K694">
        <v>0</v>
      </c>
      <c r="L694">
        <v>0</v>
      </c>
      <c r="M694">
        <v>0</v>
      </c>
      <c r="N694">
        <v>0</v>
      </c>
      <c r="O694">
        <v>230</v>
      </c>
      <c r="P694" t="str">
        <f t="shared" si="61"/>
        <v>Normal</v>
      </c>
      <c r="Q694">
        <v>107.5</v>
      </c>
      <c r="R694">
        <v>75</v>
      </c>
      <c r="S694">
        <v>26.38</v>
      </c>
      <c r="T694" t="str">
        <f t="shared" si="62"/>
        <v>Overweight</v>
      </c>
      <c r="U694">
        <v>75</v>
      </c>
      <c r="V694">
        <v>76</v>
      </c>
      <c r="W694" t="str">
        <f t="shared" si="65"/>
        <v>Normal</v>
      </c>
      <c r="X694">
        <v>0</v>
      </c>
    </row>
    <row r="695" spans="1:24" ht="14.5" thickBot="1" x14ac:dyDescent="0.35">
      <c r="A695">
        <v>1</v>
      </c>
      <c r="B695" t="str">
        <f t="shared" si="63"/>
        <v>Male</v>
      </c>
      <c r="C695" s="8">
        <v>40</v>
      </c>
      <c r="D695" t="str">
        <f t="shared" si="64"/>
        <v>Middle Age</v>
      </c>
      <c r="E695">
        <v>3</v>
      </c>
      <c r="F695" t="str">
        <f>HLOOKUP(E695, LookUP_Table!$A$6:$D$7, 2, FALSE)</f>
        <v>Graduate</v>
      </c>
      <c r="G695" t="str">
        <f>IFERROR(VLOOKUP(E695, LookUP_Table!$A$1:$B$4, 2, FALSE), "")</f>
        <v>Graduate</v>
      </c>
      <c r="H695">
        <v>1</v>
      </c>
      <c r="I695">
        <v>70</v>
      </c>
      <c r="J695" t="str">
        <f t="shared" si="60"/>
        <v>Smoker</v>
      </c>
      <c r="K695">
        <v>0</v>
      </c>
      <c r="L695">
        <v>0</v>
      </c>
      <c r="M695">
        <v>1</v>
      </c>
      <c r="N695">
        <v>0</v>
      </c>
      <c r="O695">
        <v>210</v>
      </c>
      <c r="P695" t="str">
        <f t="shared" si="61"/>
        <v>Normal</v>
      </c>
      <c r="Q695">
        <v>132</v>
      </c>
      <c r="R695">
        <v>86</v>
      </c>
      <c r="S695">
        <v>31.57</v>
      </c>
      <c r="T695" t="str">
        <f t="shared" si="62"/>
        <v>Obese</v>
      </c>
      <c r="U695">
        <v>98</v>
      </c>
      <c r="V695">
        <v>80</v>
      </c>
      <c r="W695" t="str">
        <f t="shared" si="65"/>
        <v>Normal</v>
      </c>
      <c r="X695">
        <v>0</v>
      </c>
    </row>
    <row r="696" spans="1:24" ht="14.5" thickBot="1" x14ac:dyDescent="0.35">
      <c r="A696">
        <v>0</v>
      </c>
      <c r="B696" t="str">
        <f t="shared" si="63"/>
        <v>Female</v>
      </c>
      <c r="C696" s="8">
        <v>40</v>
      </c>
      <c r="D696" t="str">
        <f t="shared" si="64"/>
        <v>Middle Age</v>
      </c>
      <c r="E696">
        <v>1</v>
      </c>
      <c r="F696" t="str">
        <f>HLOOKUP(E696, LookUP_Table!$A$6:$D$7, 2, FALSE)</f>
        <v>Primary</v>
      </c>
      <c r="G696" t="str">
        <f>IFERROR(VLOOKUP(E696, LookUP_Table!$A$1:$B$4, 2, FALSE), "")</f>
        <v>Primary</v>
      </c>
      <c r="H696">
        <v>1</v>
      </c>
      <c r="I696">
        <v>15</v>
      </c>
      <c r="J696" t="str">
        <f t="shared" si="60"/>
        <v>Smoker</v>
      </c>
      <c r="K696">
        <v>0</v>
      </c>
      <c r="L696">
        <v>0</v>
      </c>
      <c r="M696">
        <v>0</v>
      </c>
      <c r="N696">
        <v>0</v>
      </c>
      <c r="O696">
        <v>220</v>
      </c>
      <c r="P696" t="str">
        <f t="shared" si="61"/>
        <v>Normal</v>
      </c>
      <c r="Q696">
        <v>131.5</v>
      </c>
      <c r="R696">
        <v>82.5</v>
      </c>
      <c r="S696">
        <v>24.35</v>
      </c>
      <c r="T696" t="str">
        <f t="shared" si="62"/>
        <v>Normal</v>
      </c>
      <c r="U696">
        <v>80</v>
      </c>
      <c r="V696">
        <v>78</v>
      </c>
      <c r="W696" t="str">
        <f t="shared" si="65"/>
        <v>Normal</v>
      </c>
      <c r="X696">
        <v>0</v>
      </c>
    </row>
    <row r="697" spans="1:24" ht="14.5" thickBot="1" x14ac:dyDescent="0.35">
      <c r="A697">
        <v>1</v>
      </c>
      <c r="B697" t="str">
        <f t="shared" si="63"/>
        <v>Male</v>
      </c>
      <c r="C697" s="8">
        <v>40</v>
      </c>
      <c r="D697" t="str">
        <f t="shared" si="64"/>
        <v>Middle Age</v>
      </c>
      <c r="E697">
        <v>4</v>
      </c>
      <c r="F697" t="str">
        <f>HLOOKUP(E697, LookUP_Table!$A$6:$D$7, 2, FALSE)</f>
        <v>Post Graduate</v>
      </c>
      <c r="G697" t="str">
        <f>IFERROR(VLOOKUP(E697, LookUP_Table!$A$1:$B$4, 2, FALSE), "")</f>
        <v>Post Graduate</v>
      </c>
      <c r="H697">
        <v>0</v>
      </c>
      <c r="I697">
        <v>0</v>
      </c>
      <c r="J697" t="str">
        <f t="shared" si="60"/>
        <v>Non-Smoker</v>
      </c>
      <c r="K697">
        <v>0</v>
      </c>
      <c r="L697">
        <v>0</v>
      </c>
      <c r="M697">
        <v>1</v>
      </c>
      <c r="N697">
        <v>0</v>
      </c>
      <c r="O697">
        <v>192</v>
      </c>
      <c r="P697" t="str">
        <f t="shared" si="61"/>
        <v>Normal</v>
      </c>
      <c r="Q697">
        <v>141.5</v>
      </c>
      <c r="R697">
        <v>108.5</v>
      </c>
      <c r="S697">
        <v>36.01</v>
      </c>
      <c r="T697" t="str">
        <f t="shared" si="62"/>
        <v>Obese</v>
      </c>
      <c r="U697">
        <v>76</v>
      </c>
      <c r="V697">
        <v>78</v>
      </c>
      <c r="W697" t="str">
        <f t="shared" si="65"/>
        <v>Normal</v>
      </c>
      <c r="X697">
        <v>0</v>
      </c>
    </row>
    <row r="698" spans="1:24" ht="14.5" thickBot="1" x14ac:dyDescent="0.35">
      <c r="A698">
        <v>0</v>
      </c>
      <c r="B698" t="str">
        <f t="shared" si="63"/>
        <v>Female</v>
      </c>
      <c r="C698" s="8">
        <v>40</v>
      </c>
      <c r="D698" t="str">
        <f t="shared" si="64"/>
        <v>Middle Age</v>
      </c>
      <c r="E698">
        <v>2</v>
      </c>
      <c r="F698" t="str">
        <f>HLOOKUP(E698, LookUP_Table!$A$6:$D$7, 2, FALSE)</f>
        <v>Secondary</v>
      </c>
      <c r="G698" t="str">
        <f>IFERROR(VLOOKUP(E698, LookUP_Table!$A$1:$B$4, 2, FALSE), "")</f>
        <v>Secondary</v>
      </c>
      <c r="H698">
        <v>0</v>
      </c>
      <c r="I698">
        <v>0</v>
      </c>
      <c r="J698" t="str">
        <f t="shared" si="60"/>
        <v>Non-Smoker</v>
      </c>
      <c r="K698">
        <v>0</v>
      </c>
      <c r="L698">
        <v>0</v>
      </c>
      <c r="M698">
        <v>0</v>
      </c>
      <c r="N698">
        <v>0</v>
      </c>
      <c r="O698">
        <v>230</v>
      </c>
      <c r="P698" t="str">
        <f t="shared" si="61"/>
        <v>Normal</v>
      </c>
      <c r="Q698">
        <v>127</v>
      </c>
      <c r="R698">
        <v>72</v>
      </c>
      <c r="S698">
        <v>29.62</v>
      </c>
      <c r="T698" t="str">
        <f t="shared" si="62"/>
        <v>Overweight</v>
      </c>
      <c r="U698">
        <v>85</v>
      </c>
      <c r="V698">
        <v>70</v>
      </c>
      <c r="W698" t="str">
        <f t="shared" si="65"/>
        <v>Normal</v>
      </c>
      <c r="X698">
        <v>0</v>
      </c>
    </row>
    <row r="699" spans="1:24" ht="14.5" thickBot="1" x14ac:dyDescent="0.35">
      <c r="A699">
        <v>0</v>
      </c>
      <c r="B699" t="str">
        <f t="shared" si="63"/>
        <v>Female</v>
      </c>
      <c r="C699" s="8">
        <v>40</v>
      </c>
      <c r="D699" t="str">
        <f t="shared" si="64"/>
        <v>Middle Age</v>
      </c>
      <c r="E699">
        <v>2</v>
      </c>
      <c r="F699" t="str">
        <f>HLOOKUP(E699, LookUP_Table!$A$6:$D$7, 2, FALSE)</f>
        <v>Secondary</v>
      </c>
      <c r="G699" t="str">
        <f>IFERROR(VLOOKUP(E699, LookUP_Table!$A$1:$B$4, 2, FALSE), "")</f>
        <v>Secondary</v>
      </c>
      <c r="H699">
        <v>1</v>
      </c>
      <c r="I699">
        <v>3</v>
      </c>
      <c r="J699" t="str">
        <f t="shared" si="60"/>
        <v>Smoker</v>
      </c>
      <c r="K699">
        <v>0</v>
      </c>
      <c r="L699">
        <v>0</v>
      </c>
      <c r="M699">
        <v>0</v>
      </c>
      <c r="N699">
        <v>0</v>
      </c>
      <c r="O699">
        <v>256</v>
      </c>
      <c r="P699" t="str">
        <f t="shared" si="61"/>
        <v>High</v>
      </c>
      <c r="Q699">
        <v>124</v>
      </c>
      <c r="R699">
        <v>79</v>
      </c>
      <c r="S699">
        <v>24.23</v>
      </c>
      <c r="T699" t="str">
        <f t="shared" si="62"/>
        <v>Normal</v>
      </c>
      <c r="U699">
        <v>80</v>
      </c>
      <c r="V699">
        <v>81</v>
      </c>
      <c r="W699" t="str">
        <f t="shared" si="65"/>
        <v>Normal</v>
      </c>
      <c r="X699">
        <v>0</v>
      </c>
    </row>
    <row r="700" spans="1:24" ht="14.5" thickBot="1" x14ac:dyDescent="0.35">
      <c r="A700">
        <v>0</v>
      </c>
      <c r="B700" t="str">
        <f t="shared" si="63"/>
        <v>Female</v>
      </c>
      <c r="C700" s="8">
        <v>40</v>
      </c>
      <c r="D700" t="str">
        <f t="shared" si="64"/>
        <v>Middle Age</v>
      </c>
      <c r="E700">
        <v>1</v>
      </c>
      <c r="F700" t="str">
        <f>HLOOKUP(E700, LookUP_Table!$A$6:$D$7, 2, FALSE)</f>
        <v>Primary</v>
      </c>
      <c r="G700" t="str">
        <f>IFERROR(VLOOKUP(E700, LookUP_Table!$A$1:$B$4, 2, FALSE), "")</f>
        <v>Primary</v>
      </c>
      <c r="H700">
        <v>1</v>
      </c>
      <c r="I700">
        <v>43</v>
      </c>
      <c r="J700" t="str">
        <f t="shared" si="60"/>
        <v>Smoker</v>
      </c>
      <c r="K700">
        <v>0</v>
      </c>
      <c r="L700">
        <v>0</v>
      </c>
      <c r="M700">
        <v>1</v>
      </c>
      <c r="N700">
        <v>0</v>
      </c>
      <c r="O700">
        <v>226</v>
      </c>
      <c r="P700" t="str">
        <f t="shared" si="61"/>
        <v>Normal</v>
      </c>
      <c r="Q700">
        <v>138</v>
      </c>
      <c r="R700">
        <v>99</v>
      </c>
      <c r="S700">
        <v>35.020000000000003</v>
      </c>
      <c r="T700" t="str">
        <f t="shared" si="62"/>
        <v>Obese</v>
      </c>
      <c r="U700">
        <v>95</v>
      </c>
      <c r="V700">
        <v>73</v>
      </c>
      <c r="W700" t="str">
        <f t="shared" si="65"/>
        <v>Normal</v>
      </c>
      <c r="X700">
        <v>0</v>
      </c>
    </row>
    <row r="701" spans="1:24" ht="14.5" thickBot="1" x14ac:dyDescent="0.35">
      <c r="A701">
        <v>0</v>
      </c>
      <c r="B701" t="str">
        <f t="shared" si="63"/>
        <v>Female</v>
      </c>
      <c r="C701" s="8">
        <v>40</v>
      </c>
      <c r="D701" t="str">
        <f t="shared" si="64"/>
        <v>Middle Age</v>
      </c>
      <c r="E701">
        <v>3</v>
      </c>
      <c r="F701" t="str">
        <f>HLOOKUP(E701, LookUP_Table!$A$6:$D$7, 2, FALSE)</f>
        <v>Graduate</v>
      </c>
      <c r="G701" t="str">
        <f>IFERROR(VLOOKUP(E701, LookUP_Table!$A$1:$B$4, 2, FALSE), "")</f>
        <v>Graduate</v>
      </c>
      <c r="H701">
        <v>1</v>
      </c>
      <c r="I701">
        <v>9</v>
      </c>
      <c r="J701" t="str">
        <f t="shared" si="60"/>
        <v>Smoker</v>
      </c>
      <c r="K701">
        <v>0</v>
      </c>
      <c r="L701">
        <v>0</v>
      </c>
      <c r="M701">
        <v>0</v>
      </c>
      <c r="N701">
        <v>0</v>
      </c>
      <c r="O701">
        <v>189</v>
      </c>
      <c r="P701" t="str">
        <f t="shared" si="61"/>
        <v>Normal</v>
      </c>
      <c r="Q701">
        <v>115</v>
      </c>
      <c r="R701">
        <v>81</v>
      </c>
      <c r="S701">
        <v>22.73</v>
      </c>
      <c r="T701" t="str">
        <f t="shared" si="62"/>
        <v>Normal</v>
      </c>
      <c r="U701">
        <v>80</v>
      </c>
      <c r="V701">
        <v>103</v>
      </c>
      <c r="W701" t="str">
        <f t="shared" si="65"/>
        <v>Prediabetes</v>
      </c>
      <c r="X701">
        <v>0</v>
      </c>
    </row>
    <row r="702" spans="1:24" ht="14.5" thickBot="1" x14ac:dyDescent="0.35">
      <c r="A702">
        <v>0</v>
      </c>
      <c r="B702" t="str">
        <f t="shared" si="63"/>
        <v>Female</v>
      </c>
      <c r="C702" s="8">
        <v>40</v>
      </c>
      <c r="D702" t="str">
        <f t="shared" si="64"/>
        <v>Middle Age</v>
      </c>
      <c r="E702">
        <v>2</v>
      </c>
      <c r="F702" t="str">
        <f>HLOOKUP(E702, LookUP_Table!$A$6:$D$7, 2, FALSE)</f>
        <v>Secondary</v>
      </c>
      <c r="G702" t="str">
        <f>IFERROR(VLOOKUP(E702, LookUP_Table!$A$1:$B$4, 2, FALSE), "")</f>
        <v>Secondary</v>
      </c>
      <c r="H702">
        <v>0</v>
      </c>
      <c r="I702">
        <v>0</v>
      </c>
      <c r="J702" t="str">
        <f t="shared" si="60"/>
        <v>Non-Smoker</v>
      </c>
      <c r="K702">
        <v>0</v>
      </c>
      <c r="L702">
        <v>0</v>
      </c>
      <c r="M702">
        <v>0</v>
      </c>
      <c r="N702">
        <v>0</v>
      </c>
      <c r="O702">
        <v>196</v>
      </c>
      <c r="P702" t="str">
        <f t="shared" si="61"/>
        <v>Normal</v>
      </c>
      <c r="Q702">
        <v>126</v>
      </c>
      <c r="R702">
        <v>85</v>
      </c>
      <c r="S702">
        <v>22.81</v>
      </c>
      <c r="T702" t="str">
        <f t="shared" si="62"/>
        <v>Normal</v>
      </c>
      <c r="U702">
        <v>73</v>
      </c>
      <c r="V702">
        <v>96</v>
      </c>
      <c r="W702" t="str">
        <f t="shared" si="65"/>
        <v>Normal</v>
      </c>
      <c r="X702">
        <v>0</v>
      </c>
    </row>
    <row r="703" spans="1:24" ht="14.5" thickBot="1" x14ac:dyDescent="0.35">
      <c r="A703">
        <v>0</v>
      </c>
      <c r="B703" t="str">
        <f t="shared" si="63"/>
        <v>Female</v>
      </c>
      <c r="C703" s="8">
        <v>40</v>
      </c>
      <c r="D703" t="str">
        <f t="shared" si="64"/>
        <v>Middle Age</v>
      </c>
      <c r="E703">
        <v>1</v>
      </c>
      <c r="F703" t="str">
        <f>HLOOKUP(E703, LookUP_Table!$A$6:$D$7, 2, FALSE)</f>
        <v>Primary</v>
      </c>
      <c r="G703" t="str">
        <f>IFERROR(VLOOKUP(E703, LookUP_Table!$A$1:$B$4, 2, FALSE), "")</f>
        <v>Primary</v>
      </c>
      <c r="H703">
        <v>1</v>
      </c>
      <c r="I703">
        <v>20</v>
      </c>
      <c r="J703" t="str">
        <f t="shared" si="60"/>
        <v>Smoker</v>
      </c>
      <c r="K703">
        <v>0</v>
      </c>
      <c r="L703">
        <v>0</v>
      </c>
      <c r="M703">
        <v>0</v>
      </c>
      <c r="N703">
        <v>0</v>
      </c>
      <c r="O703">
        <v>272</v>
      </c>
      <c r="P703" t="str">
        <f t="shared" si="61"/>
        <v>High</v>
      </c>
      <c r="Q703">
        <v>123</v>
      </c>
      <c r="R703">
        <v>75</v>
      </c>
      <c r="S703">
        <v>23.08</v>
      </c>
      <c r="T703" t="str">
        <f t="shared" si="62"/>
        <v>Normal</v>
      </c>
      <c r="U703">
        <v>80</v>
      </c>
      <c r="V703">
        <v>63</v>
      </c>
      <c r="W703" t="str">
        <f t="shared" si="65"/>
        <v>Normal</v>
      </c>
      <c r="X703">
        <v>0</v>
      </c>
    </row>
    <row r="704" spans="1:24" ht="14.5" thickBot="1" x14ac:dyDescent="0.35">
      <c r="A704">
        <v>1</v>
      </c>
      <c r="B704" t="str">
        <f t="shared" si="63"/>
        <v>Male</v>
      </c>
      <c r="C704" s="8">
        <v>40</v>
      </c>
      <c r="D704" t="str">
        <f t="shared" si="64"/>
        <v>Middle Age</v>
      </c>
      <c r="E704">
        <v>4</v>
      </c>
      <c r="F704" t="str">
        <f>HLOOKUP(E704, LookUP_Table!$A$6:$D$7, 2, FALSE)</f>
        <v>Post Graduate</v>
      </c>
      <c r="G704" t="str">
        <f>IFERROR(VLOOKUP(E704, LookUP_Table!$A$1:$B$4, 2, FALSE), "")</f>
        <v>Post Graduate</v>
      </c>
      <c r="H704">
        <v>1</v>
      </c>
      <c r="I704">
        <v>30</v>
      </c>
      <c r="J704" t="str">
        <f t="shared" si="60"/>
        <v>Smoker</v>
      </c>
      <c r="K704">
        <v>0</v>
      </c>
      <c r="L704">
        <v>0</v>
      </c>
      <c r="M704">
        <v>0</v>
      </c>
      <c r="N704">
        <v>0</v>
      </c>
      <c r="O704">
        <v>205</v>
      </c>
      <c r="P704" t="str">
        <f t="shared" si="61"/>
        <v>Normal</v>
      </c>
      <c r="Q704">
        <v>131</v>
      </c>
      <c r="R704">
        <v>81</v>
      </c>
      <c r="S704">
        <v>23.74</v>
      </c>
      <c r="T704" t="str">
        <f t="shared" si="62"/>
        <v>Normal</v>
      </c>
      <c r="U704">
        <v>66</v>
      </c>
      <c r="V704">
        <v>87</v>
      </c>
      <c r="W704" t="str">
        <f t="shared" si="65"/>
        <v>Normal</v>
      </c>
      <c r="X704">
        <v>0</v>
      </c>
    </row>
    <row r="705" spans="1:24" ht="14.5" thickBot="1" x14ac:dyDescent="0.35">
      <c r="A705">
        <v>0</v>
      </c>
      <c r="B705" t="str">
        <f t="shared" si="63"/>
        <v>Female</v>
      </c>
      <c r="C705" s="8">
        <v>40</v>
      </c>
      <c r="D705" t="str">
        <f t="shared" si="64"/>
        <v>Middle Age</v>
      </c>
      <c r="E705">
        <v>2</v>
      </c>
      <c r="F705" t="str">
        <f>HLOOKUP(E705, LookUP_Table!$A$6:$D$7, 2, FALSE)</f>
        <v>Secondary</v>
      </c>
      <c r="G705" t="str">
        <f>IFERROR(VLOOKUP(E705, LookUP_Table!$A$1:$B$4, 2, FALSE), "")</f>
        <v>Secondary</v>
      </c>
      <c r="H705">
        <v>1</v>
      </c>
      <c r="I705">
        <v>43</v>
      </c>
      <c r="J705" t="str">
        <f t="shared" si="60"/>
        <v>Smoker</v>
      </c>
      <c r="K705">
        <v>0</v>
      </c>
      <c r="L705">
        <v>0</v>
      </c>
      <c r="M705">
        <v>0</v>
      </c>
      <c r="N705">
        <v>0</v>
      </c>
      <c r="O705">
        <v>224</v>
      </c>
      <c r="P705" t="str">
        <f t="shared" si="61"/>
        <v>Normal</v>
      </c>
      <c r="Q705">
        <v>106</v>
      </c>
      <c r="R705">
        <v>72</v>
      </c>
      <c r="S705">
        <v>23.59</v>
      </c>
      <c r="T705" t="str">
        <f t="shared" si="62"/>
        <v>Normal</v>
      </c>
      <c r="U705">
        <v>82</v>
      </c>
      <c r="V705">
        <v>71</v>
      </c>
      <c r="W705" t="str">
        <f t="shared" si="65"/>
        <v>Normal</v>
      </c>
      <c r="X705">
        <v>0</v>
      </c>
    </row>
    <row r="706" spans="1:24" ht="14.5" thickBot="1" x14ac:dyDescent="0.35">
      <c r="A706">
        <v>0</v>
      </c>
      <c r="B706" t="str">
        <f t="shared" si="63"/>
        <v>Female</v>
      </c>
      <c r="C706" s="8">
        <v>40</v>
      </c>
      <c r="D706" t="str">
        <f t="shared" si="64"/>
        <v>Middle Age</v>
      </c>
      <c r="E706">
        <v>2</v>
      </c>
      <c r="F706" t="str">
        <f>HLOOKUP(E706, LookUP_Table!$A$6:$D$7, 2, FALSE)</f>
        <v>Secondary</v>
      </c>
      <c r="G706" t="str">
        <f>IFERROR(VLOOKUP(E706, LookUP_Table!$A$1:$B$4, 2, FALSE), "")</f>
        <v>Secondary</v>
      </c>
      <c r="H706">
        <v>1</v>
      </c>
      <c r="I706">
        <v>20</v>
      </c>
      <c r="J706" t="str">
        <f t="shared" ref="J706:J769" si="66">IF(I706&gt;0,"Smoker","Non-Smoker")</f>
        <v>Smoker</v>
      </c>
      <c r="K706">
        <v>0</v>
      </c>
      <c r="L706">
        <v>0</v>
      </c>
      <c r="M706">
        <v>0</v>
      </c>
      <c r="N706">
        <v>0</v>
      </c>
      <c r="O706">
        <v>165</v>
      </c>
      <c r="P706" t="str">
        <f t="shared" ref="P706:P769" si="67">IF(O706&gt;240,"High","Normal")</f>
        <v>Normal</v>
      </c>
      <c r="Q706">
        <v>101</v>
      </c>
      <c r="R706">
        <v>59</v>
      </c>
      <c r="S706">
        <v>23.06</v>
      </c>
      <c r="T706" t="str">
        <f t="shared" ref="T706:T769" si="68">IF(S706&lt;18.5,"Underweight",
IF(S706&lt;25,"Normal",
IF(S706&lt;30,"Overweight","Obese")))</f>
        <v>Normal</v>
      </c>
      <c r="U706">
        <v>60</v>
      </c>
      <c r="V706">
        <v>76</v>
      </c>
      <c r="W706" t="str">
        <f t="shared" si="65"/>
        <v>Normal</v>
      </c>
      <c r="X706">
        <v>0</v>
      </c>
    </row>
    <row r="707" spans="1:24" ht="14.5" thickBot="1" x14ac:dyDescent="0.35">
      <c r="A707">
        <v>1</v>
      </c>
      <c r="B707" t="str">
        <f t="shared" ref="B707:B770" si="69">IF(A707=0,"Female","Male")</f>
        <v>Male</v>
      </c>
      <c r="C707" s="8">
        <v>40</v>
      </c>
      <c r="D707" t="str">
        <f t="shared" ref="D707:D770" si="70">IF(C707&lt;40,"Young",
IF(C707&lt;55,"Middle Age","Senior"))</f>
        <v>Middle Age</v>
      </c>
      <c r="E707">
        <v>1</v>
      </c>
      <c r="F707" t="str">
        <f>HLOOKUP(E707, LookUP_Table!$A$6:$D$7, 2, FALSE)</f>
        <v>Primary</v>
      </c>
      <c r="G707" t="str">
        <f>IFERROR(VLOOKUP(E707, LookUP_Table!$A$1:$B$4, 2, FALSE), "")</f>
        <v>Primary</v>
      </c>
      <c r="H707">
        <v>1</v>
      </c>
      <c r="I707">
        <v>43</v>
      </c>
      <c r="J707" t="str">
        <f t="shared" si="66"/>
        <v>Smoker</v>
      </c>
      <c r="K707">
        <v>0</v>
      </c>
      <c r="L707">
        <v>0</v>
      </c>
      <c r="M707">
        <v>0</v>
      </c>
      <c r="N707">
        <v>0</v>
      </c>
      <c r="O707">
        <v>216</v>
      </c>
      <c r="P707" t="str">
        <f t="shared" si="67"/>
        <v>Normal</v>
      </c>
      <c r="Q707">
        <v>138</v>
      </c>
      <c r="R707">
        <v>91</v>
      </c>
      <c r="S707">
        <v>22.67</v>
      </c>
      <c r="T707" t="str">
        <f t="shared" si="68"/>
        <v>Normal</v>
      </c>
      <c r="U707">
        <v>72</v>
      </c>
      <c r="V707">
        <v>81.96365524402907</v>
      </c>
      <c r="W707" t="str">
        <f t="shared" ref="W707:W770" si="71">IF(V707 &lt; 100, "Normal", IF(V707 &lt;= 125, "Prediabetes", "Diabetes"))</f>
        <v>Normal</v>
      </c>
      <c r="X707">
        <v>1</v>
      </c>
    </row>
    <row r="708" spans="1:24" ht="14.5" thickBot="1" x14ac:dyDescent="0.35">
      <c r="A708">
        <v>0</v>
      </c>
      <c r="B708" t="str">
        <f t="shared" si="69"/>
        <v>Female</v>
      </c>
      <c r="C708" s="8">
        <v>40</v>
      </c>
      <c r="D708" t="str">
        <f t="shared" si="70"/>
        <v>Middle Age</v>
      </c>
      <c r="E708">
        <v>1</v>
      </c>
      <c r="F708" t="str">
        <f>HLOOKUP(E708, LookUP_Table!$A$6:$D$7, 2, FALSE)</f>
        <v>Primary</v>
      </c>
      <c r="G708" t="str">
        <f>IFERROR(VLOOKUP(E708, LookUP_Table!$A$1:$B$4, 2, FALSE), "")</f>
        <v>Primary</v>
      </c>
      <c r="H708">
        <v>1</v>
      </c>
      <c r="I708">
        <v>3</v>
      </c>
      <c r="J708" t="str">
        <f t="shared" si="66"/>
        <v>Smoker</v>
      </c>
      <c r="K708">
        <v>0</v>
      </c>
      <c r="L708">
        <v>0</v>
      </c>
      <c r="M708">
        <v>0</v>
      </c>
      <c r="N708">
        <v>0</v>
      </c>
      <c r="O708">
        <v>173</v>
      </c>
      <c r="P708" t="str">
        <f t="shared" si="67"/>
        <v>Normal</v>
      </c>
      <c r="Q708">
        <v>125</v>
      </c>
      <c r="R708">
        <v>75</v>
      </c>
      <c r="S708">
        <v>25.67</v>
      </c>
      <c r="T708" t="str">
        <f t="shared" si="68"/>
        <v>Overweight</v>
      </c>
      <c r="U708">
        <v>65</v>
      </c>
      <c r="V708">
        <v>102</v>
      </c>
      <c r="W708" t="str">
        <f t="shared" si="71"/>
        <v>Prediabetes</v>
      </c>
      <c r="X708">
        <v>0</v>
      </c>
    </row>
    <row r="709" spans="1:24" ht="14.5" thickBot="1" x14ac:dyDescent="0.35">
      <c r="A709">
        <v>1</v>
      </c>
      <c r="B709" t="str">
        <f t="shared" si="69"/>
        <v>Male</v>
      </c>
      <c r="C709" s="8">
        <v>40</v>
      </c>
      <c r="D709" t="str">
        <f t="shared" si="70"/>
        <v>Middle Age</v>
      </c>
      <c r="E709">
        <v>1</v>
      </c>
      <c r="F709" t="str">
        <f>HLOOKUP(E709, LookUP_Table!$A$6:$D$7, 2, FALSE)</f>
        <v>Primary</v>
      </c>
      <c r="G709" t="str">
        <f>IFERROR(VLOOKUP(E709, LookUP_Table!$A$1:$B$4, 2, FALSE), "")</f>
        <v>Primary</v>
      </c>
      <c r="H709">
        <v>1</v>
      </c>
      <c r="I709">
        <v>20</v>
      </c>
      <c r="J709" t="str">
        <f t="shared" si="66"/>
        <v>Smoker</v>
      </c>
      <c r="K709">
        <v>0</v>
      </c>
      <c r="L709">
        <v>0</v>
      </c>
      <c r="M709">
        <v>1</v>
      </c>
      <c r="N709">
        <v>0</v>
      </c>
      <c r="O709">
        <v>208</v>
      </c>
      <c r="P709" t="str">
        <f t="shared" si="67"/>
        <v>Normal</v>
      </c>
      <c r="Q709">
        <v>119</v>
      </c>
      <c r="R709">
        <v>66</v>
      </c>
      <c r="S709">
        <v>28.09</v>
      </c>
      <c r="T709" t="str">
        <f t="shared" si="68"/>
        <v>Overweight</v>
      </c>
      <c r="U709">
        <v>75</v>
      </c>
      <c r="V709">
        <v>66</v>
      </c>
      <c r="W709" t="str">
        <f t="shared" si="71"/>
        <v>Normal</v>
      </c>
      <c r="X709">
        <v>0</v>
      </c>
    </row>
    <row r="710" spans="1:24" ht="14.5" thickBot="1" x14ac:dyDescent="0.35">
      <c r="A710">
        <v>1</v>
      </c>
      <c r="B710" t="str">
        <f t="shared" si="69"/>
        <v>Male</v>
      </c>
      <c r="C710" s="8">
        <v>40</v>
      </c>
      <c r="D710" t="str">
        <f t="shared" si="70"/>
        <v>Middle Age</v>
      </c>
      <c r="E710">
        <v>4</v>
      </c>
      <c r="F710" t="str">
        <f>HLOOKUP(E710, LookUP_Table!$A$6:$D$7, 2, FALSE)</f>
        <v>Post Graduate</v>
      </c>
      <c r="G710" t="str">
        <f>IFERROR(VLOOKUP(E710, LookUP_Table!$A$1:$B$4, 2, FALSE), "")</f>
        <v>Post Graduate</v>
      </c>
      <c r="H710">
        <v>1</v>
      </c>
      <c r="I710">
        <v>25</v>
      </c>
      <c r="J710" t="str">
        <f t="shared" si="66"/>
        <v>Smoker</v>
      </c>
      <c r="K710">
        <v>0</v>
      </c>
      <c r="L710">
        <v>0</v>
      </c>
      <c r="M710">
        <v>0</v>
      </c>
      <c r="N710">
        <v>0</v>
      </c>
      <c r="O710">
        <v>258</v>
      </c>
      <c r="P710" t="str">
        <f t="shared" si="67"/>
        <v>High</v>
      </c>
      <c r="Q710">
        <v>112</v>
      </c>
      <c r="R710">
        <v>78</v>
      </c>
      <c r="S710">
        <v>28.57</v>
      </c>
      <c r="T710" t="str">
        <f t="shared" si="68"/>
        <v>Overweight</v>
      </c>
      <c r="U710">
        <v>80</v>
      </c>
      <c r="V710">
        <v>70</v>
      </c>
      <c r="W710" t="str">
        <f t="shared" si="71"/>
        <v>Normal</v>
      </c>
      <c r="X710">
        <v>0</v>
      </c>
    </row>
    <row r="711" spans="1:24" ht="14.5" thickBot="1" x14ac:dyDescent="0.35">
      <c r="A711">
        <v>0</v>
      </c>
      <c r="B711" t="str">
        <f t="shared" si="69"/>
        <v>Female</v>
      </c>
      <c r="C711" s="8">
        <v>40</v>
      </c>
      <c r="D711" t="str">
        <f t="shared" si="70"/>
        <v>Middle Age</v>
      </c>
      <c r="E711">
        <v>1</v>
      </c>
      <c r="F711" t="str">
        <f>HLOOKUP(E711, LookUP_Table!$A$6:$D$7, 2, FALSE)</f>
        <v>Primary</v>
      </c>
      <c r="G711" t="str">
        <f>IFERROR(VLOOKUP(E711, LookUP_Table!$A$1:$B$4, 2, FALSE), "")</f>
        <v>Primary</v>
      </c>
      <c r="H711">
        <v>0</v>
      </c>
      <c r="I711">
        <v>0</v>
      </c>
      <c r="J711" t="str">
        <f t="shared" si="66"/>
        <v>Non-Smoker</v>
      </c>
      <c r="K711">
        <v>0</v>
      </c>
      <c r="L711">
        <v>0</v>
      </c>
      <c r="M711">
        <v>0</v>
      </c>
      <c r="N711">
        <v>0</v>
      </c>
      <c r="O711">
        <v>156</v>
      </c>
      <c r="P711" t="str">
        <f t="shared" si="67"/>
        <v>Normal</v>
      </c>
      <c r="Q711">
        <v>110</v>
      </c>
      <c r="R711">
        <v>74</v>
      </c>
      <c r="S711">
        <v>20.79</v>
      </c>
      <c r="T711" t="str">
        <f t="shared" si="68"/>
        <v>Normal</v>
      </c>
      <c r="U711">
        <v>56</v>
      </c>
      <c r="V711">
        <v>76</v>
      </c>
      <c r="W711" t="str">
        <f t="shared" si="71"/>
        <v>Normal</v>
      </c>
      <c r="X711">
        <v>0</v>
      </c>
    </row>
    <row r="712" spans="1:24" ht="14.5" thickBot="1" x14ac:dyDescent="0.35">
      <c r="A712">
        <v>0</v>
      </c>
      <c r="B712" t="str">
        <f t="shared" si="69"/>
        <v>Female</v>
      </c>
      <c r="C712" s="8">
        <v>40</v>
      </c>
      <c r="D712" t="str">
        <f t="shared" si="70"/>
        <v>Middle Age</v>
      </c>
      <c r="E712">
        <v>2</v>
      </c>
      <c r="F712" t="str">
        <f>HLOOKUP(E712, LookUP_Table!$A$6:$D$7, 2, FALSE)</f>
        <v>Secondary</v>
      </c>
      <c r="G712" t="str">
        <f>IFERROR(VLOOKUP(E712, LookUP_Table!$A$1:$B$4, 2, FALSE), "")</f>
        <v>Secondary</v>
      </c>
      <c r="H712">
        <v>0</v>
      </c>
      <c r="I712">
        <v>0</v>
      </c>
      <c r="J712" t="str">
        <f t="shared" si="66"/>
        <v>Non-Smoker</v>
      </c>
      <c r="K712">
        <v>0</v>
      </c>
      <c r="L712">
        <v>0</v>
      </c>
      <c r="M712">
        <v>0</v>
      </c>
      <c r="N712">
        <v>0</v>
      </c>
      <c r="O712">
        <v>185</v>
      </c>
      <c r="P712" t="str">
        <f t="shared" si="67"/>
        <v>Normal</v>
      </c>
      <c r="Q712">
        <v>111</v>
      </c>
      <c r="R712">
        <v>79</v>
      </c>
      <c r="S712">
        <v>22.9</v>
      </c>
      <c r="T712" t="str">
        <f t="shared" si="68"/>
        <v>Normal</v>
      </c>
      <c r="U712">
        <v>75</v>
      </c>
      <c r="V712">
        <v>81</v>
      </c>
      <c r="W712" t="str">
        <f t="shared" si="71"/>
        <v>Normal</v>
      </c>
      <c r="X712">
        <v>0</v>
      </c>
    </row>
    <row r="713" spans="1:24" ht="14.5" thickBot="1" x14ac:dyDescent="0.35">
      <c r="A713">
        <v>0</v>
      </c>
      <c r="B713" t="str">
        <f t="shared" si="69"/>
        <v>Female</v>
      </c>
      <c r="C713" s="8">
        <v>40</v>
      </c>
      <c r="D713" t="str">
        <f t="shared" si="70"/>
        <v>Middle Age</v>
      </c>
      <c r="E713">
        <v>2</v>
      </c>
      <c r="F713" t="str">
        <f>HLOOKUP(E713, LookUP_Table!$A$6:$D$7, 2, FALSE)</f>
        <v>Secondary</v>
      </c>
      <c r="G713" t="str">
        <f>IFERROR(VLOOKUP(E713, LookUP_Table!$A$1:$B$4, 2, FALSE), "")</f>
        <v>Secondary</v>
      </c>
      <c r="H713">
        <v>1</v>
      </c>
      <c r="I713">
        <v>20</v>
      </c>
      <c r="J713" t="str">
        <f t="shared" si="66"/>
        <v>Smoker</v>
      </c>
      <c r="K713">
        <v>0</v>
      </c>
      <c r="L713">
        <v>0</v>
      </c>
      <c r="M713">
        <v>0</v>
      </c>
      <c r="N713">
        <v>0</v>
      </c>
      <c r="O713">
        <v>242</v>
      </c>
      <c r="P713" t="str">
        <f t="shared" si="67"/>
        <v>High</v>
      </c>
      <c r="Q713">
        <v>112.5</v>
      </c>
      <c r="R713">
        <v>62.5</v>
      </c>
      <c r="S713">
        <v>27.65</v>
      </c>
      <c r="T713" t="str">
        <f t="shared" si="68"/>
        <v>Overweight</v>
      </c>
      <c r="U713">
        <v>75</v>
      </c>
      <c r="V713">
        <v>70</v>
      </c>
      <c r="W713" t="str">
        <f t="shared" si="71"/>
        <v>Normal</v>
      </c>
      <c r="X713">
        <v>0</v>
      </c>
    </row>
    <row r="714" spans="1:24" ht="14.5" thickBot="1" x14ac:dyDescent="0.35">
      <c r="A714">
        <v>0</v>
      </c>
      <c r="B714" t="str">
        <f t="shared" si="69"/>
        <v>Female</v>
      </c>
      <c r="C714" s="8">
        <v>40</v>
      </c>
      <c r="D714" t="str">
        <f t="shared" si="70"/>
        <v>Middle Age</v>
      </c>
      <c r="E714">
        <v>1</v>
      </c>
      <c r="F714" t="str">
        <f>HLOOKUP(E714, LookUP_Table!$A$6:$D$7, 2, FALSE)</f>
        <v>Primary</v>
      </c>
      <c r="G714" t="str">
        <f>IFERROR(VLOOKUP(E714, LookUP_Table!$A$1:$B$4, 2, FALSE), "")</f>
        <v>Primary</v>
      </c>
      <c r="H714">
        <v>1</v>
      </c>
      <c r="I714">
        <v>20</v>
      </c>
      <c r="J714" t="str">
        <f t="shared" si="66"/>
        <v>Smoker</v>
      </c>
      <c r="K714">
        <v>0</v>
      </c>
      <c r="L714">
        <v>0</v>
      </c>
      <c r="M714">
        <v>0</v>
      </c>
      <c r="N714">
        <v>0</v>
      </c>
      <c r="O714">
        <v>231</v>
      </c>
      <c r="P714" t="str">
        <f t="shared" si="67"/>
        <v>Normal</v>
      </c>
      <c r="Q714">
        <v>129</v>
      </c>
      <c r="R714">
        <v>87</v>
      </c>
      <c r="S714">
        <v>23.29</v>
      </c>
      <c r="T714" t="str">
        <f t="shared" si="68"/>
        <v>Normal</v>
      </c>
      <c r="U714">
        <v>89</v>
      </c>
      <c r="V714">
        <v>99</v>
      </c>
      <c r="W714" t="str">
        <f t="shared" si="71"/>
        <v>Normal</v>
      </c>
      <c r="X714">
        <v>0</v>
      </c>
    </row>
    <row r="715" spans="1:24" ht="14.5" thickBot="1" x14ac:dyDescent="0.35">
      <c r="A715">
        <v>1</v>
      </c>
      <c r="B715" t="str">
        <f t="shared" si="69"/>
        <v>Male</v>
      </c>
      <c r="C715" s="8">
        <v>40</v>
      </c>
      <c r="D715" t="str">
        <f t="shared" si="70"/>
        <v>Middle Age</v>
      </c>
      <c r="E715">
        <v>3</v>
      </c>
      <c r="F715" t="str">
        <f>HLOOKUP(E715, LookUP_Table!$A$6:$D$7, 2, FALSE)</f>
        <v>Graduate</v>
      </c>
      <c r="G715" t="str">
        <f>IFERROR(VLOOKUP(E715, LookUP_Table!$A$1:$B$4, 2, FALSE), "")</f>
        <v>Graduate</v>
      </c>
      <c r="H715">
        <v>1</v>
      </c>
      <c r="I715">
        <v>15</v>
      </c>
      <c r="J715" t="str">
        <f t="shared" si="66"/>
        <v>Smoker</v>
      </c>
      <c r="K715">
        <v>0</v>
      </c>
      <c r="L715">
        <v>0</v>
      </c>
      <c r="M715">
        <v>0</v>
      </c>
      <c r="N715">
        <v>0</v>
      </c>
      <c r="O715">
        <v>211</v>
      </c>
      <c r="P715" t="str">
        <f t="shared" si="67"/>
        <v>Normal</v>
      </c>
      <c r="Q715">
        <v>122</v>
      </c>
      <c r="R715">
        <v>81</v>
      </c>
      <c r="S715">
        <v>30.55</v>
      </c>
      <c r="T715" t="str">
        <f t="shared" si="68"/>
        <v>Obese</v>
      </c>
      <c r="U715">
        <v>75</v>
      </c>
      <c r="V715">
        <v>91</v>
      </c>
      <c r="W715" t="str">
        <f t="shared" si="71"/>
        <v>Normal</v>
      </c>
      <c r="X715">
        <v>0</v>
      </c>
    </row>
    <row r="716" spans="1:24" ht="14.5" thickBot="1" x14ac:dyDescent="0.35">
      <c r="A716">
        <v>1</v>
      </c>
      <c r="B716" t="str">
        <f t="shared" si="69"/>
        <v>Male</v>
      </c>
      <c r="C716" s="8">
        <v>40</v>
      </c>
      <c r="D716" t="str">
        <f t="shared" si="70"/>
        <v>Middle Age</v>
      </c>
      <c r="E716">
        <v>4</v>
      </c>
      <c r="F716" t="str">
        <f>HLOOKUP(E716, LookUP_Table!$A$6:$D$7, 2, FALSE)</f>
        <v>Post Graduate</v>
      </c>
      <c r="G716" t="str">
        <f>IFERROR(VLOOKUP(E716, LookUP_Table!$A$1:$B$4, 2, FALSE), "")</f>
        <v>Post Graduate</v>
      </c>
      <c r="H716">
        <v>0</v>
      </c>
      <c r="I716">
        <v>0</v>
      </c>
      <c r="J716" t="str">
        <f t="shared" si="66"/>
        <v>Non-Smoker</v>
      </c>
      <c r="K716">
        <v>0</v>
      </c>
      <c r="L716">
        <v>0</v>
      </c>
      <c r="M716">
        <v>0</v>
      </c>
      <c r="N716">
        <v>0</v>
      </c>
      <c r="O716">
        <v>161</v>
      </c>
      <c r="P716" t="str">
        <f t="shared" si="67"/>
        <v>Normal</v>
      </c>
      <c r="Q716">
        <v>122</v>
      </c>
      <c r="R716">
        <v>85</v>
      </c>
      <c r="S716">
        <v>30.8</v>
      </c>
      <c r="T716" t="str">
        <f t="shared" si="68"/>
        <v>Obese</v>
      </c>
      <c r="U716">
        <v>75</v>
      </c>
      <c r="V716">
        <v>85</v>
      </c>
      <c r="W716" t="str">
        <f t="shared" si="71"/>
        <v>Normal</v>
      </c>
      <c r="X716">
        <v>1</v>
      </c>
    </row>
    <row r="717" spans="1:24" ht="14.5" thickBot="1" x14ac:dyDescent="0.35">
      <c r="A717">
        <v>0</v>
      </c>
      <c r="B717" t="str">
        <f t="shared" si="69"/>
        <v>Female</v>
      </c>
      <c r="C717" s="8">
        <v>40</v>
      </c>
      <c r="D717" t="str">
        <f t="shared" si="70"/>
        <v>Middle Age</v>
      </c>
      <c r="E717">
        <v>1</v>
      </c>
      <c r="F717" t="str">
        <f>HLOOKUP(E717, LookUP_Table!$A$6:$D$7, 2, FALSE)</f>
        <v>Primary</v>
      </c>
      <c r="G717" t="str">
        <f>IFERROR(VLOOKUP(E717, LookUP_Table!$A$1:$B$4, 2, FALSE), "")</f>
        <v>Primary</v>
      </c>
      <c r="H717">
        <v>1</v>
      </c>
      <c r="I717">
        <v>5</v>
      </c>
      <c r="J717" t="str">
        <f t="shared" si="66"/>
        <v>Smoker</v>
      </c>
      <c r="K717">
        <v>0</v>
      </c>
      <c r="L717">
        <v>0</v>
      </c>
      <c r="M717">
        <v>0</v>
      </c>
      <c r="N717">
        <v>0</v>
      </c>
      <c r="O717">
        <v>209</v>
      </c>
      <c r="P717" t="str">
        <f t="shared" si="67"/>
        <v>Normal</v>
      </c>
      <c r="Q717">
        <v>130</v>
      </c>
      <c r="R717">
        <v>84.5</v>
      </c>
      <c r="S717">
        <v>39.94</v>
      </c>
      <c r="T717" t="str">
        <f t="shared" si="68"/>
        <v>Obese</v>
      </c>
      <c r="U717">
        <v>77</v>
      </c>
      <c r="V717">
        <v>104</v>
      </c>
      <c r="W717" t="str">
        <f t="shared" si="71"/>
        <v>Prediabetes</v>
      </c>
      <c r="X717">
        <v>1</v>
      </c>
    </row>
    <row r="718" spans="1:24" ht="14.5" thickBot="1" x14ac:dyDescent="0.35">
      <c r="A718">
        <v>1</v>
      </c>
      <c r="B718" t="str">
        <f t="shared" si="69"/>
        <v>Male</v>
      </c>
      <c r="C718" s="8">
        <v>40</v>
      </c>
      <c r="D718" t="str">
        <f t="shared" si="70"/>
        <v>Middle Age</v>
      </c>
      <c r="E718">
        <v>2</v>
      </c>
      <c r="F718" t="str">
        <f>HLOOKUP(E718, LookUP_Table!$A$6:$D$7, 2, FALSE)</f>
        <v>Secondary</v>
      </c>
      <c r="G718" t="str">
        <f>IFERROR(VLOOKUP(E718, LookUP_Table!$A$1:$B$4, 2, FALSE), "")</f>
        <v>Secondary</v>
      </c>
      <c r="H718">
        <v>1</v>
      </c>
      <c r="I718">
        <v>15</v>
      </c>
      <c r="J718" t="str">
        <f t="shared" si="66"/>
        <v>Smoker</v>
      </c>
      <c r="K718">
        <v>0</v>
      </c>
      <c r="L718">
        <v>0</v>
      </c>
      <c r="M718">
        <v>0</v>
      </c>
      <c r="N718">
        <v>0</v>
      </c>
      <c r="O718">
        <v>200</v>
      </c>
      <c r="P718" t="str">
        <f t="shared" si="67"/>
        <v>Normal</v>
      </c>
      <c r="Q718">
        <v>122.5</v>
      </c>
      <c r="R718">
        <v>75</v>
      </c>
      <c r="S718">
        <v>20.25</v>
      </c>
      <c r="T718" t="str">
        <f t="shared" si="68"/>
        <v>Normal</v>
      </c>
      <c r="U718">
        <v>60</v>
      </c>
      <c r="V718">
        <v>67</v>
      </c>
      <c r="W718" t="str">
        <f t="shared" si="71"/>
        <v>Normal</v>
      </c>
      <c r="X718">
        <v>0</v>
      </c>
    </row>
    <row r="719" spans="1:24" ht="14.5" thickBot="1" x14ac:dyDescent="0.35">
      <c r="A719">
        <v>0</v>
      </c>
      <c r="B719" t="str">
        <f t="shared" si="69"/>
        <v>Female</v>
      </c>
      <c r="C719" s="8">
        <v>40</v>
      </c>
      <c r="D719" t="str">
        <f t="shared" si="70"/>
        <v>Middle Age</v>
      </c>
      <c r="E719">
        <v>2</v>
      </c>
      <c r="F719" t="str">
        <f>HLOOKUP(E719, LookUP_Table!$A$6:$D$7, 2, FALSE)</f>
        <v>Secondary</v>
      </c>
      <c r="G719" t="str">
        <f>IFERROR(VLOOKUP(E719, LookUP_Table!$A$1:$B$4, 2, FALSE), "")</f>
        <v>Secondary</v>
      </c>
      <c r="H719">
        <v>1</v>
      </c>
      <c r="I719">
        <v>15</v>
      </c>
      <c r="J719" t="str">
        <f t="shared" si="66"/>
        <v>Smoker</v>
      </c>
      <c r="K719">
        <v>0</v>
      </c>
      <c r="L719">
        <v>0</v>
      </c>
      <c r="M719">
        <v>0</v>
      </c>
      <c r="N719">
        <v>0</v>
      </c>
      <c r="O719">
        <v>236.69952267303103</v>
      </c>
      <c r="P719" t="str">
        <f t="shared" si="67"/>
        <v>Normal</v>
      </c>
      <c r="Q719">
        <v>131.5</v>
      </c>
      <c r="R719">
        <v>80</v>
      </c>
      <c r="S719">
        <v>24.73</v>
      </c>
      <c r="T719" t="str">
        <f t="shared" si="68"/>
        <v>Normal</v>
      </c>
      <c r="U719">
        <v>100</v>
      </c>
      <c r="V719">
        <v>81.96365524402907</v>
      </c>
      <c r="W719" t="str">
        <f t="shared" si="71"/>
        <v>Normal</v>
      </c>
      <c r="X719">
        <v>0</v>
      </c>
    </row>
    <row r="720" spans="1:24" ht="14.5" thickBot="1" x14ac:dyDescent="0.35">
      <c r="A720">
        <v>1</v>
      </c>
      <c r="B720" t="str">
        <f t="shared" si="69"/>
        <v>Male</v>
      </c>
      <c r="C720" s="8">
        <v>40</v>
      </c>
      <c r="D720" t="str">
        <f t="shared" si="70"/>
        <v>Middle Age</v>
      </c>
      <c r="E720">
        <v>2</v>
      </c>
      <c r="F720" t="str">
        <f>HLOOKUP(E720, LookUP_Table!$A$6:$D$7, 2, FALSE)</f>
        <v>Secondary</v>
      </c>
      <c r="G720" t="str">
        <f>IFERROR(VLOOKUP(E720, LookUP_Table!$A$1:$B$4, 2, FALSE), "")</f>
        <v>Secondary</v>
      </c>
      <c r="H720">
        <v>0</v>
      </c>
      <c r="I720">
        <v>0</v>
      </c>
      <c r="J720" t="str">
        <f t="shared" si="66"/>
        <v>Non-Smoker</v>
      </c>
      <c r="K720">
        <v>0</v>
      </c>
      <c r="L720">
        <v>0</v>
      </c>
      <c r="M720">
        <v>0</v>
      </c>
      <c r="N720">
        <v>0</v>
      </c>
      <c r="O720">
        <v>193</v>
      </c>
      <c r="P720" t="str">
        <f t="shared" si="67"/>
        <v>Normal</v>
      </c>
      <c r="Q720">
        <v>130</v>
      </c>
      <c r="R720">
        <v>89</v>
      </c>
      <c r="S720">
        <v>28.32</v>
      </c>
      <c r="T720" t="str">
        <f t="shared" si="68"/>
        <v>Overweight</v>
      </c>
      <c r="U720">
        <v>96</v>
      </c>
      <c r="V720">
        <v>84</v>
      </c>
      <c r="W720" t="str">
        <f t="shared" si="71"/>
        <v>Normal</v>
      </c>
      <c r="X720">
        <v>0</v>
      </c>
    </row>
    <row r="721" spans="1:24" ht="14.5" thickBot="1" x14ac:dyDescent="0.35">
      <c r="A721">
        <v>0</v>
      </c>
      <c r="B721" t="str">
        <f t="shared" si="69"/>
        <v>Female</v>
      </c>
      <c r="C721" s="8">
        <v>40</v>
      </c>
      <c r="D721" t="str">
        <f t="shared" si="70"/>
        <v>Middle Age</v>
      </c>
      <c r="E721">
        <v>3</v>
      </c>
      <c r="F721" t="str">
        <f>HLOOKUP(E721, LookUP_Table!$A$6:$D$7, 2, FALSE)</f>
        <v>Graduate</v>
      </c>
      <c r="G721" t="str">
        <f>IFERROR(VLOOKUP(E721, LookUP_Table!$A$1:$B$4, 2, FALSE), "")</f>
        <v>Graduate</v>
      </c>
      <c r="H721">
        <v>1</v>
      </c>
      <c r="I721">
        <v>9</v>
      </c>
      <c r="J721" t="str">
        <f t="shared" si="66"/>
        <v>Smoker</v>
      </c>
      <c r="K721">
        <v>0</v>
      </c>
      <c r="L721">
        <v>0</v>
      </c>
      <c r="M721">
        <v>0</v>
      </c>
      <c r="N721">
        <v>0</v>
      </c>
      <c r="O721">
        <v>180</v>
      </c>
      <c r="P721" t="str">
        <f t="shared" si="67"/>
        <v>Normal</v>
      </c>
      <c r="Q721">
        <v>118</v>
      </c>
      <c r="R721">
        <v>86.5</v>
      </c>
      <c r="S721">
        <v>22.69</v>
      </c>
      <c r="T721" t="str">
        <f t="shared" si="68"/>
        <v>Normal</v>
      </c>
      <c r="U721">
        <v>89</v>
      </c>
      <c r="V721">
        <v>67</v>
      </c>
      <c r="W721" t="str">
        <f t="shared" si="71"/>
        <v>Normal</v>
      </c>
      <c r="X721">
        <v>0</v>
      </c>
    </row>
    <row r="722" spans="1:24" ht="14.5" thickBot="1" x14ac:dyDescent="0.35">
      <c r="A722">
        <v>0</v>
      </c>
      <c r="B722" t="str">
        <f t="shared" si="69"/>
        <v>Female</v>
      </c>
      <c r="C722" s="8">
        <v>40</v>
      </c>
      <c r="D722" t="str">
        <f t="shared" si="70"/>
        <v>Middle Age</v>
      </c>
      <c r="E722">
        <v>2</v>
      </c>
      <c r="F722" t="str">
        <f>HLOOKUP(E722, LookUP_Table!$A$6:$D$7, 2, FALSE)</f>
        <v>Secondary</v>
      </c>
      <c r="G722" t="str">
        <f>IFERROR(VLOOKUP(E722, LookUP_Table!$A$1:$B$4, 2, FALSE), "")</f>
        <v>Secondary</v>
      </c>
      <c r="H722">
        <v>1</v>
      </c>
      <c r="I722">
        <v>1</v>
      </c>
      <c r="J722" t="str">
        <f t="shared" si="66"/>
        <v>Smoker</v>
      </c>
      <c r="K722">
        <v>0</v>
      </c>
      <c r="L722">
        <v>0</v>
      </c>
      <c r="M722">
        <v>0</v>
      </c>
      <c r="N722">
        <v>0</v>
      </c>
      <c r="O722">
        <v>178</v>
      </c>
      <c r="P722" t="str">
        <f t="shared" si="67"/>
        <v>Normal</v>
      </c>
      <c r="Q722">
        <v>142</v>
      </c>
      <c r="R722">
        <v>84</v>
      </c>
      <c r="S722">
        <v>34.46</v>
      </c>
      <c r="T722" t="str">
        <f t="shared" si="68"/>
        <v>Obese</v>
      </c>
      <c r="U722">
        <v>88</v>
      </c>
      <c r="V722">
        <v>77</v>
      </c>
      <c r="W722" t="str">
        <f t="shared" si="71"/>
        <v>Normal</v>
      </c>
      <c r="X722">
        <v>0</v>
      </c>
    </row>
    <row r="723" spans="1:24" ht="14.5" thickBot="1" x14ac:dyDescent="0.35">
      <c r="A723">
        <v>1</v>
      </c>
      <c r="B723" t="str">
        <f t="shared" si="69"/>
        <v>Male</v>
      </c>
      <c r="C723" s="8">
        <v>40</v>
      </c>
      <c r="D723" t="str">
        <f t="shared" si="70"/>
        <v>Middle Age</v>
      </c>
      <c r="E723">
        <v>2</v>
      </c>
      <c r="F723" t="str">
        <f>HLOOKUP(E723, LookUP_Table!$A$6:$D$7, 2, FALSE)</f>
        <v>Secondary</v>
      </c>
      <c r="G723" t="str">
        <f>IFERROR(VLOOKUP(E723, LookUP_Table!$A$1:$B$4, 2, FALSE), "")</f>
        <v>Secondary</v>
      </c>
      <c r="H723">
        <v>1</v>
      </c>
      <c r="I723">
        <v>20</v>
      </c>
      <c r="J723" t="str">
        <f t="shared" si="66"/>
        <v>Smoker</v>
      </c>
      <c r="K723">
        <v>0</v>
      </c>
      <c r="L723">
        <v>0</v>
      </c>
      <c r="M723">
        <v>0</v>
      </c>
      <c r="N723">
        <v>0</v>
      </c>
      <c r="O723">
        <v>186</v>
      </c>
      <c r="P723" t="str">
        <f t="shared" si="67"/>
        <v>Normal</v>
      </c>
      <c r="Q723">
        <v>131</v>
      </c>
      <c r="R723">
        <v>81</v>
      </c>
      <c r="S723">
        <v>22.14</v>
      </c>
      <c r="T723" t="str">
        <f t="shared" si="68"/>
        <v>Normal</v>
      </c>
      <c r="U723">
        <v>86</v>
      </c>
      <c r="V723">
        <v>87</v>
      </c>
      <c r="W723" t="str">
        <f t="shared" si="71"/>
        <v>Normal</v>
      </c>
      <c r="X723">
        <v>0</v>
      </c>
    </row>
    <row r="724" spans="1:24" ht="14.5" thickBot="1" x14ac:dyDescent="0.35">
      <c r="A724">
        <v>1</v>
      </c>
      <c r="B724" t="str">
        <f t="shared" si="69"/>
        <v>Male</v>
      </c>
      <c r="C724" s="8">
        <v>40</v>
      </c>
      <c r="D724" t="str">
        <f t="shared" si="70"/>
        <v>Middle Age</v>
      </c>
      <c r="E724">
        <v>3</v>
      </c>
      <c r="F724" t="str">
        <f>HLOOKUP(E724, LookUP_Table!$A$6:$D$7, 2, FALSE)</f>
        <v>Graduate</v>
      </c>
      <c r="G724" t="str">
        <f>IFERROR(VLOOKUP(E724, LookUP_Table!$A$1:$B$4, 2, FALSE), "")</f>
        <v>Graduate</v>
      </c>
      <c r="H724">
        <v>1</v>
      </c>
      <c r="I724">
        <v>20</v>
      </c>
      <c r="J724" t="str">
        <f t="shared" si="66"/>
        <v>Smoker</v>
      </c>
      <c r="K724">
        <v>0</v>
      </c>
      <c r="L724">
        <v>0</v>
      </c>
      <c r="M724">
        <v>0</v>
      </c>
      <c r="N724">
        <v>0</v>
      </c>
      <c r="O724">
        <v>248</v>
      </c>
      <c r="P724" t="str">
        <f t="shared" si="67"/>
        <v>High</v>
      </c>
      <c r="Q724">
        <v>136.5</v>
      </c>
      <c r="R724">
        <v>78</v>
      </c>
      <c r="S724">
        <v>24.6</v>
      </c>
      <c r="T724" t="str">
        <f t="shared" si="68"/>
        <v>Normal</v>
      </c>
      <c r="U724">
        <v>90</v>
      </c>
      <c r="V724">
        <v>99</v>
      </c>
      <c r="W724" t="str">
        <f t="shared" si="71"/>
        <v>Normal</v>
      </c>
      <c r="X724">
        <v>0</v>
      </c>
    </row>
    <row r="725" spans="1:24" ht="14.5" thickBot="1" x14ac:dyDescent="0.35">
      <c r="A725">
        <v>0</v>
      </c>
      <c r="B725" t="str">
        <f t="shared" si="69"/>
        <v>Female</v>
      </c>
      <c r="C725" s="8">
        <v>40</v>
      </c>
      <c r="D725" t="str">
        <f t="shared" si="70"/>
        <v>Middle Age</v>
      </c>
      <c r="E725">
        <v>1</v>
      </c>
      <c r="F725" t="str">
        <f>HLOOKUP(E725, LookUP_Table!$A$6:$D$7, 2, FALSE)</f>
        <v>Primary</v>
      </c>
      <c r="G725" t="str">
        <f>IFERROR(VLOOKUP(E725, LookUP_Table!$A$1:$B$4, 2, FALSE), "")</f>
        <v>Primary</v>
      </c>
      <c r="H725">
        <v>1</v>
      </c>
      <c r="I725">
        <v>20</v>
      </c>
      <c r="J725" t="str">
        <f t="shared" si="66"/>
        <v>Smoker</v>
      </c>
      <c r="K725">
        <v>0</v>
      </c>
      <c r="L725">
        <v>0</v>
      </c>
      <c r="M725">
        <v>0</v>
      </c>
      <c r="N725">
        <v>0</v>
      </c>
      <c r="O725">
        <v>214</v>
      </c>
      <c r="P725" t="str">
        <f t="shared" si="67"/>
        <v>Normal</v>
      </c>
      <c r="Q725">
        <v>109.5</v>
      </c>
      <c r="R725">
        <v>69</v>
      </c>
      <c r="S725">
        <v>20.32</v>
      </c>
      <c r="T725" t="str">
        <f t="shared" si="68"/>
        <v>Normal</v>
      </c>
      <c r="U725">
        <v>80</v>
      </c>
      <c r="V725">
        <v>81</v>
      </c>
      <c r="W725" t="str">
        <f t="shared" si="71"/>
        <v>Normal</v>
      </c>
      <c r="X725">
        <v>0</v>
      </c>
    </row>
    <row r="726" spans="1:24" ht="14.5" thickBot="1" x14ac:dyDescent="0.35">
      <c r="A726">
        <v>0</v>
      </c>
      <c r="B726" t="str">
        <f t="shared" si="69"/>
        <v>Female</v>
      </c>
      <c r="C726" s="8">
        <v>40</v>
      </c>
      <c r="D726" t="str">
        <f t="shared" si="70"/>
        <v>Middle Age</v>
      </c>
      <c r="E726">
        <v>2</v>
      </c>
      <c r="F726" t="str">
        <f>HLOOKUP(E726, LookUP_Table!$A$6:$D$7, 2, FALSE)</f>
        <v>Secondary</v>
      </c>
      <c r="G726" t="str">
        <f>IFERROR(VLOOKUP(E726, LookUP_Table!$A$1:$B$4, 2, FALSE), "")</f>
        <v>Secondary</v>
      </c>
      <c r="H726">
        <v>1</v>
      </c>
      <c r="I726">
        <v>20</v>
      </c>
      <c r="J726" t="str">
        <f t="shared" si="66"/>
        <v>Smoker</v>
      </c>
      <c r="K726">
        <v>0</v>
      </c>
      <c r="L726">
        <v>0</v>
      </c>
      <c r="M726">
        <v>0</v>
      </c>
      <c r="N726">
        <v>0</v>
      </c>
      <c r="O726">
        <v>176</v>
      </c>
      <c r="P726" t="str">
        <f t="shared" si="67"/>
        <v>Normal</v>
      </c>
      <c r="Q726">
        <v>99</v>
      </c>
      <c r="R726">
        <v>59</v>
      </c>
      <c r="S726">
        <v>22.13</v>
      </c>
      <c r="T726" t="str">
        <f t="shared" si="68"/>
        <v>Normal</v>
      </c>
      <c r="U726">
        <v>65</v>
      </c>
      <c r="V726">
        <v>78</v>
      </c>
      <c r="W726" t="str">
        <f t="shared" si="71"/>
        <v>Normal</v>
      </c>
      <c r="X726">
        <v>0</v>
      </c>
    </row>
    <row r="727" spans="1:24" ht="14.5" thickBot="1" x14ac:dyDescent="0.35">
      <c r="A727">
        <v>1</v>
      </c>
      <c r="B727" t="str">
        <f t="shared" si="69"/>
        <v>Male</v>
      </c>
      <c r="C727" s="8">
        <v>40</v>
      </c>
      <c r="D727" t="str">
        <f t="shared" si="70"/>
        <v>Middle Age</v>
      </c>
      <c r="E727">
        <v>1</v>
      </c>
      <c r="F727" t="str">
        <f>HLOOKUP(E727, LookUP_Table!$A$6:$D$7, 2, FALSE)</f>
        <v>Primary</v>
      </c>
      <c r="G727" t="str">
        <f>IFERROR(VLOOKUP(E727, LookUP_Table!$A$1:$B$4, 2, FALSE), "")</f>
        <v>Primary</v>
      </c>
      <c r="H727">
        <v>1</v>
      </c>
      <c r="I727">
        <v>20</v>
      </c>
      <c r="J727" t="str">
        <f t="shared" si="66"/>
        <v>Smoker</v>
      </c>
      <c r="K727">
        <v>0</v>
      </c>
      <c r="L727">
        <v>0</v>
      </c>
      <c r="M727">
        <v>0</v>
      </c>
      <c r="N727">
        <v>0</v>
      </c>
      <c r="O727">
        <v>290</v>
      </c>
      <c r="P727" t="str">
        <f t="shared" si="67"/>
        <v>High</v>
      </c>
      <c r="Q727">
        <v>120</v>
      </c>
      <c r="R727">
        <v>89</v>
      </c>
      <c r="S727">
        <v>27.99</v>
      </c>
      <c r="T727" t="str">
        <f t="shared" si="68"/>
        <v>Overweight</v>
      </c>
      <c r="U727">
        <v>80</v>
      </c>
      <c r="V727">
        <v>66</v>
      </c>
      <c r="W727" t="str">
        <f t="shared" si="71"/>
        <v>Normal</v>
      </c>
      <c r="X727">
        <v>0</v>
      </c>
    </row>
    <row r="728" spans="1:24" ht="14.5" thickBot="1" x14ac:dyDescent="0.35">
      <c r="A728">
        <v>0</v>
      </c>
      <c r="B728" t="str">
        <f t="shared" si="69"/>
        <v>Female</v>
      </c>
      <c r="C728" s="8">
        <v>40</v>
      </c>
      <c r="D728" t="str">
        <f t="shared" si="70"/>
        <v>Middle Age</v>
      </c>
      <c r="E728">
        <v>1</v>
      </c>
      <c r="F728" t="str">
        <f>HLOOKUP(E728, LookUP_Table!$A$6:$D$7, 2, FALSE)</f>
        <v>Primary</v>
      </c>
      <c r="G728" t="str">
        <f>IFERROR(VLOOKUP(E728, LookUP_Table!$A$1:$B$4, 2, FALSE), "")</f>
        <v>Primary</v>
      </c>
      <c r="H728">
        <v>1</v>
      </c>
      <c r="I728">
        <v>5</v>
      </c>
      <c r="J728" t="str">
        <f t="shared" si="66"/>
        <v>Smoker</v>
      </c>
      <c r="K728">
        <v>0</v>
      </c>
      <c r="L728">
        <v>0</v>
      </c>
      <c r="M728">
        <v>0</v>
      </c>
      <c r="N728">
        <v>0</v>
      </c>
      <c r="O728">
        <v>199</v>
      </c>
      <c r="P728" t="str">
        <f t="shared" si="67"/>
        <v>Normal</v>
      </c>
      <c r="Q728">
        <v>97</v>
      </c>
      <c r="R728">
        <v>64.5</v>
      </c>
      <c r="S728">
        <v>23.41</v>
      </c>
      <c r="T728" t="str">
        <f t="shared" si="68"/>
        <v>Normal</v>
      </c>
      <c r="U728">
        <v>71</v>
      </c>
      <c r="V728">
        <v>81.96365524402907</v>
      </c>
      <c r="W728" t="str">
        <f t="shared" si="71"/>
        <v>Normal</v>
      </c>
      <c r="X728">
        <v>0</v>
      </c>
    </row>
    <row r="729" spans="1:24" ht="14.5" thickBot="1" x14ac:dyDescent="0.35">
      <c r="A729">
        <v>1</v>
      </c>
      <c r="B729" t="str">
        <f t="shared" si="69"/>
        <v>Male</v>
      </c>
      <c r="C729" s="8">
        <v>40</v>
      </c>
      <c r="D729" t="str">
        <f t="shared" si="70"/>
        <v>Middle Age</v>
      </c>
      <c r="E729">
        <v>3</v>
      </c>
      <c r="F729" t="str">
        <f>HLOOKUP(E729, LookUP_Table!$A$6:$D$7, 2, FALSE)</f>
        <v>Graduate</v>
      </c>
      <c r="G729" t="str">
        <f>IFERROR(VLOOKUP(E729, LookUP_Table!$A$1:$B$4, 2, FALSE), "")</f>
        <v>Graduate</v>
      </c>
      <c r="H729">
        <v>1</v>
      </c>
      <c r="I729">
        <v>30</v>
      </c>
      <c r="J729" t="str">
        <f t="shared" si="66"/>
        <v>Smoker</v>
      </c>
      <c r="K729">
        <v>0</v>
      </c>
      <c r="L729">
        <v>0</v>
      </c>
      <c r="M729">
        <v>0</v>
      </c>
      <c r="N729">
        <v>0</v>
      </c>
      <c r="O729">
        <v>190</v>
      </c>
      <c r="P729" t="str">
        <f t="shared" si="67"/>
        <v>Normal</v>
      </c>
      <c r="Q729">
        <v>110</v>
      </c>
      <c r="R729">
        <v>70</v>
      </c>
      <c r="S729">
        <v>24.63</v>
      </c>
      <c r="T729" t="str">
        <f t="shared" si="68"/>
        <v>Normal</v>
      </c>
      <c r="U729">
        <v>60</v>
      </c>
      <c r="V729">
        <v>72</v>
      </c>
      <c r="W729" t="str">
        <f t="shared" si="71"/>
        <v>Normal</v>
      </c>
      <c r="X729">
        <v>0</v>
      </c>
    </row>
    <row r="730" spans="1:24" ht="14.5" thickBot="1" x14ac:dyDescent="0.35">
      <c r="A730">
        <v>1</v>
      </c>
      <c r="B730" t="str">
        <f t="shared" si="69"/>
        <v>Male</v>
      </c>
      <c r="C730" s="8">
        <v>40</v>
      </c>
      <c r="D730" t="str">
        <f t="shared" si="70"/>
        <v>Middle Age</v>
      </c>
      <c r="E730">
        <v>4</v>
      </c>
      <c r="F730" t="str">
        <f>HLOOKUP(E730, LookUP_Table!$A$6:$D$7, 2, FALSE)</f>
        <v>Post Graduate</v>
      </c>
      <c r="G730" t="str">
        <f>IFERROR(VLOOKUP(E730, LookUP_Table!$A$1:$B$4, 2, FALSE), "")</f>
        <v>Post Graduate</v>
      </c>
      <c r="H730">
        <v>1</v>
      </c>
      <c r="I730">
        <v>40</v>
      </c>
      <c r="J730" t="str">
        <f t="shared" si="66"/>
        <v>Smoker</v>
      </c>
      <c r="K730">
        <v>0</v>
      </c>
      <c r="L730">
        <v>0</v>
      </c>
      <c r="M730">
        <v>0</v>
      </c>
      <c r="N730">
        <v>0</v>
      </c>
      <c r="O730">
        <v>334</v>
      </c>
      <c r="P730" t="str">
        <f t="shared" si="67"/>
        <v>High</v>
      </c>
      <c r="Q730">
        <v>120</v>
      </c>
      <c r="R730">
        <v>77</v>
      </c>
      <c r="S730">
        <v>22.66</v>
      </c>
      <c r="T730" t="str">
        <f t="shared" si="68"/>
        <v>Normal</v>
      </c>
      <c r="U730">
        <v>82</v>
      </c>
      <c r="V730">
        <v>92</v>
      </c>
      <c r="W730" t="str">
        <f t="shared" si="71"/>
        <v>Normal</v>
      </c>
      <c r="X730">
        <v>0</v>
      </c>
    </row>
    <row r="731" spans="1:24" ht="14.5" thickBot="1" x14ac:dyDescent="0.35">
      <c r="A731">
        <v>1</v>
      </c>
      <c r="B731" t="str">
        <f t="shared" si="69"/>
        <v>Male</v>
      </c>
      <c r="C731" s="8">
        <v>40</v>
      </c>
      <c r="D731" t="str">
        <f t="shared" si="70"/>
        <v>Middle Age</v>
      </c>
      <c r="E731">
        <v>2</v>
      </c>
      <c r="F731" t="str">
        <f>HLOOKUP(E731, LookUP_Table!$A$6:$D$7, 2, FALSE)</f>
        <v>Secondary</v>
      </c>
      <c r="G731" t="str">
        <f>IFERROR(VLOOKUP(E731, LookUP_Table!$A$1:$B$4, 2, FALSE), "")</f>
        <v>Secondary</v>
      </c>
      <c r="H731">
        <v>0</v>
      </c>
      <c r="I731">
        <v>0</v>
      </c>
      <c r="J731" t="str">
        <f t="shared" si="66"/>
        <v>Non-Smoker</v>
      </c>
      <c r="K731">
        <v>0</v>
      </c>
      <c r="L731">
        <v>0</v>
      </c>
      <c r="M731">
        <v>0</v>
      </c>
      <c r="N731">
        <v>0</v>
      </c>
      <c r="O731">
        <v>192</v>
      </c>
      <c r="P731" t="str">
        <f t="shared" si="67"/>
        <v>Normal</v>
      </c>
      <c r="Q731">
        <v>128</v>
      </c>
      <c r="R731">
        <v>81</v>
      </c>
      <c r="S731">
        <v>25.41</v>
      </c>
      <c r="T731" t="str">
        <f t="shared" si="68"/>
        <v>Overweight</v>
      </c>
      <c r="U731">
        <v>75</v>
      </c>
      <c r="V731">
        <v>76</v>
      </c>
      <c r="W731" t="str">
        <f t="shared" si="71"/>
        <v>Normal</v>
      </c>
      <c r="X731">
        <v>0</v>
      </c>
    </row>
    <row r="732" spans="1:24" ht="14.5" thickBot="1" x14ac:dyDescent="0.35">
      <c r="A732">
        <v>1</v>
      </c>
      <c r="B732" t="str">
        <f t="shared" si="69"/>
        <v>Male</v>
      </c>
      <c r="C732" s="8">
        <v>40</v>
      </c>
      <c r="D732" t="str">
        <f t="shared" si="70"/>
        <v>Middle Age</v>
      </c>
      <c r="E732">
        <v>4</v>
      </c>
      <c r="F732" t="str">
        <f>HLOOKUP(E732, LookUP_Table!$A$6:$D$7, 2, FALSE)</f>
        <v>Post Graduate</v>
      </c>
      <c r="G732" t="str">
        <f>IFERROR(VLOOKUP(E732, LookUP_Table!$A$1:$B$4, 2, FALSE), "")</f>
        <v>Post Graduate</v>
      </c>
      <c r="H732">
        <v>0</v>
      </c>
      <c r="I732">
        <v>0</v>
      </c>
      <c r="J732" t="str">
        <f t="shared" si="66"/>
        <v>Non-Smoker</v>
      </c>
      <c r="K732">
        <v>0</v>
      </c>
      <c r="L732">
        <v>0</v>
      </c>
      <c r="M732">
        <v>1</v>
      </c>
      <c r="N732">
        <v>0</v>
      </c>
      <c r="O732">
        <v>240</v>
      </c>
      <c r="P732" t="str">
        <f t="shared" si="67"/>
        <v>Normal</v>
      </c>
      <c r="Q732">
        <v>150</v>
      </c>
      <c r="R732">
        <v>98</v>
      </c>
      <c r="S732">
        <v>40.380000000000003</v>
      </c>
      <c r="T732" t="str">
        <f t="shared" si="68"/>
        <v>Obese</v>
      </c>
      <c r="U732">
        <v>70</v>
      </c>
      <c r="V732">
        <v>74</v>
      </c>
      <c r="W732" t="str">
        <f t="shared" si="71"/>
        <v>Normal</v>
      </c>
      <c r="X732">
        <v>0</v>
      </c>
    </row>
    <row r="733" spans="1:24" ht="14.5" thickBot="1" x14ac:dyDescent="0.35">
      <c r="A733">
        <v>0</v>
      </c>
      <c r="B733" t="str">
        <f t="shared" si="69"/>
        <v>Female</v>
      </c>
      <c r="C733" s="8">
        <v>40</v>
      </c>
      <c r="D733" t="str">
        <f t="shared" si="70"/>
        <v>Middle Age</v>
      </c>
      <c r="E733">
        <v>2</v>
      </c>
      <c r="F733" t="str">
        <f>HLOOKUP(E733, LookUP_Table!$A$6:$D$7, 2, FALSE)</f>
        <v>Secondary</v>
      </c>
      <c r="G733" t="str">
        <f>IFERROR(VLOOKUP(E733, LookUP_Table!$A$1:$B$4, 2, FALSE), "")</f>
        <v>Secondary</v>
      </c>
      <c r="H733">
        <v>0</v>
      </c>
      <c r="I733">
        <v>0</v>
      </c>
      <c r="J733" t="str">
        <f t="shared" si="66"/>
        <v>Non-Smoker</v>
      </c>
      <c r="K733">
        <v>0</v>
      </c>
      <c r="L733">
        <v>0</v>
      </c>
      <c r="M733">
        <v>0</v>
      </c>
      <c r="N733">
        <v>0</v>
      </c>
      <c r="O733">
        <v>202</v>
      </c>
      <c r="P733" t="str">
        <f t="shared" si="67"/>
        <v>Normal</v>
      </c>
      <c r="Q733">
        <v>139</v>
      </c>
      <c r="R733">
        <v>85</v>
      </c>
      <c r="S733">
        <v>22.01</v>
      </c>
      <c r="T733" t="str">
        <f t="shared" si="68"/>
        <v>Normal</v>
      </c>
      <c r="U733">
        <v>85</v>
      </c>
      <c r="V733">
        <v>64</v>
      </c>
      <c r="W733" t="str">
        <f t="shared" si="71"/>
        <v>Normal</v>
      </c>
      <c r="X733">
        <v>0</v>
      </c>
    </row>
    <row r="734" spans="1:24" ht="14.5" thickBot="1" x14ac:dyDescent="0.35">
      <c r="A734">
        <v>1</v>
      </c>
      <c r="B734" t="str">
        <f t="shared" si="69"/>
        <v>Male</v>
      </c>
      <c r="C734" s="8">
        <v>40</v>
      </c>
      <c r="D734" t="str">
        <f t="shared" si="70"/>
        <v>Middle Age</v>
      </c>
      <c r="E734">
        <v>1</v>
      </c>
      <c r="F734" t="str">
        <f>HLOOKUP(E734, LookUP_Table!$A$6:$D$7, 2, FALSE)</f>
        <v>Primary</v>
      </c>
      <c r="G734" t="str">
        <f>IFERROR(VLOOKUP(E734, LookUP_Table!$A$1:$B$4, 2, FALSE), "")</f>
        <v>Primary</v>
      </c>
      <c r="H734">
        <v>1</v>
      </c>
      <c r="I734">
        <v>20</v>
      </c>
      <c r="J734" t="str">
        <f t="shared" si="66"/>
        <v>Smoker</v>
      </c>
      <c r="K734">
        <v>0</v>
      </c>
      <c r="L734">
        <v>0</v>
      </c>
      <c r="M734">
        <v>0</v>
      </c>
      <c r="N734">
        <v>0</v>
      </c>
      <c r="O734">
        <v>191</v>
      </c>
      <c r="P734" t="str">
        <f t="shared" si="67"/>
        <v>Normal</v>
      </c>
      <c r="Q734">
        <v>130.5</v>
      </c>
      <c r="R734">
        <v>63</v>
      </c>
      <c r="S734">
        <v>23.92</v>
      </c>
      <c r="T734" t="str">
        <f t="shared" si="68"/>
        <v>Normal</v>
      </c>
      <c r="U734">
        <v>79</v>
      </c>
      <c r="V734">
        <v>66</v>
      </c>
      <c r="W734" t="str">
        <f t="shared" si="71"/>
        <v>Normal</v>
      </c>
      <c r="X734">
        <v>0</v>
      </c>
    </row>
    <row r="735" spans="1:24" ht="14.5" thickBot="1" x14ac:dyDescent="0.35">
      <c r="A735">
        <v>1</v>
      </c>
      <c r="B735" t="str">
        <f t="shared" si="69"/>
        <v>Male</v>
      </c>
      <c r="C735" s="8">
        <v>40</v>
      </c>
      <c r="D735" t="str">
        <f t="shared" si="70"/>
        <v>Middle Age</v>
      </c>
      <c r="E735">
        <v>2</v>
      </c>
      <c r="F735" t="str">
        <f>HLOOKUP(E735, LookUP_Table!$A$6:$D$7, 2, FALSE)</f>
        <v>Secondary</v>
      </c>
      <c r="G735" t="str">
        <f>IFERROR(VLOOKUP(E735, LookUP_Table!$A$1:$B$4, 2, FALSE), "")</f>
        <v>Secondary</v>
      </c>
      <c r="H735">
        <v>1</v>
      </c>
      <c r="I735">
        <v>20</v>
      </c>
      <c r="J735" t="str">
        <f t="shared" si="66"/>
        <v>Smoker</v>
      </c>
      <c r="K735">
        <v>0</v>
      </c>
      <c r="L735">
        <v>0</v>
      </c>
      <c r="M735">
        <v>0</v>
      </c>
      <c r="N735">
        <v>0</v>
      </c>
      <c r="O735">
        <v>211</v>
      </c>
      <c r="P735" t="str">
        <f t="shared" si="67"/>
        <v>Normal</v>
      </c>
      <c r="Q735">
        <v>117</v>
      </c>
      <c r="R735">
        <v>76</v>
      </c>
      <c r="S735">
        <v>25.74</v>
      </c>
      <c r="T735" t="str">
        <f t="shared" si="68"/>
        <v>Overweight</v>
      </c>
      <c r="U735">
        <v>70</v>
      </c>
      <c r="V735">
        <v>79</v>
      </c>
      <c r="W735" t="str">
        <f t="shared" si="71"/>
        <v>Normal</v>
      </c>
      <c r="X735">
        <v>0</v>
      </c>
    </row>
    <row r="736" spans="1:24" ht="14.5" thickBot="1" x14ac:dyDescent="0.35">
      <c r="A736">
        <v>0</v>
      </c>
      <c r="B736" t="str">
        <f t="shared" si="69"/>
        <v>Female</v>
      </c>
      <c r="C736" s="8">
        <v>40</v>
      </c>
      <c r="D736" t="str">
        <f t="shared" si="70"/>
        <v>Middle Age</v>
      </c>
      <c r="E736">
        <v>1</v>
      </c>
      <c r="F736" t="str">
        <f>HLOOKUP(E736, LookUP_Table!$A$6:$D$7, 2, FALSE)</f>
        <v>Primary</v>
      </c>
      <c r="G736" t="str">
        <f>IFERROR(VLOOKUP(E736, LookUP_Table!$A$1:$B$4, 2, FALSE), "")</f>
        <v>Primary</v>
      </c>
      <c r="H736">
        <v>0</v>
      </c>
      <c r="I736">
        <v>0</v>
      </c>
      <c r="J736" t="str">
        <f t="shared" si="66"/>
        <v>Non-Smoker</v>
      </c>
      <c r="K736">
        <v>0</v>
      </c>
      <c r="L736">
        <v>0</v>
      </c>
      <c r="M736">
        <v>0</v>
      </c>
      <c r="N736">
        <v>0</v>
      </c>
      <c r="O736">
        <v>190</v>
      </c>
      <c r="P736" t="str">
        <f t="shared" si="67"/>
        <v>Normal</v>
      </c>
      <c r="Q736">
        <v>122</v>
      </c>
      <c r="R736">
        <v>78</v>
      </c>
      <c r="S736">
        <v>28.18</v>
      </c>
      <c r="T736" t="str">
        <f t="shared" si="68"/>
        <v>Overweight</v>
      </c>
      <c r="U736">
        <v>86</v>
      </c>
      <c r="V736">
        <v>87</v>
      </c>
      <c r="W736" t="str">
        <f t="shared" si="71"/>
        <v>Normal</v>
      </c>
      <c r="X736">
        <v>0</v>
      </c>
    </row>
    <row r="737" spans="1:24" ht="14.5" thickBot="1" x14ac:dyDescent="0.35">
      <c r="A737">
        <v>1</v>
      </c>
      <c r="B737" t="str">
        <f t="shared" si="69"/>
        <v>Male</v>
      </c>
      <c r="C737" s="8">
        <v>40</v>
      </c>
      <c r="D737" t="str">
        <f t="shared" si="70"/>
        <v>Middle Age</v>
      </c>
      <c r="E737">
        <v>4</v>
      </c>
      <c r="F737" t="str">
        <f>HLOOKUP(E737, LookUP_Table!$A$6:$D$7, 2, FALSE)</f>
        <v>Post Graduate</v>
      </c>
      <c r="G737" t="str">
        <f>IFERROR(VLOOKUP(E737, LookUP_Table!$A$1:$B$4, 2, FALSE), "")</f>
        <v>Post Graduate</v>
      </c>
      <c r="H737">
        <v>1</v>
      </c>
      <c r="I737">
        <v>20</v>
      </c>
      <c r="J737" t="str">
        <f t="shared" si="66"/>
        <v>Smoker</v>
      </c>
      <c r="K737">
        <v>0</v>
      </c>
      <c r="L737">
        <v>0</v>
      </c>
      <c r="M737">
        <v>0</v>
      </c>
      <c r="N737">
        <v>0</v>
      </c>
      <c r="O737">
        <v>242</v>
      </c>
      <c r="P737" t="str">
        <f t="shared" si="67"/>
        <v>High</v>
      </c>
      <c r="Q737">
        <v>115</v>
      </c>
      <c r="R737">
        <v>74</v>
      </c>
      <c r="S737">
        <v>23.09</v>
      </c>
      <c r="T737" t="str">
        <f t="shared" si="68"/>
        <v>Normal</v>
      </c>
      <c r="U737">
        <v>68</v>
      </c>
      <c r="V737">
        <v>80</v>
      </c>
      <c r="W737" t="str">
        <f t="shared" si="71"/>
        <v>Normal</v>
      </c>
      <c r="X737">
        <v>0</v>
      </c>
    </row>
    <row r="738" spans="1:24" ht="14.5" thickBot="1" x14ac:dyDescent="0.35">
      <c r="A738">
        <v>0</v>
      </c>
      <c r="B738" t="str">
        <f t="shared" si="69"/>
        <v>Female</v>
      </c>
      <c r="C738" s="8">
        <v>40</v>
      </c>
      <c r="D738" t="str">
        <f t="shared" si="70"/>
        <v>Middle Age</v>
      </c>
      <c r="E738">
        <v>2</v>
      </c>
      <c r="F738" t="str">
        <f>HLOOKUP(E738, LookUP_Table!$A$6:$D$7, 2, FALSE)</f>
        <v>Secondary</v>
      </c>
      <c r="G738" t="str">
        <f>IFERROR(VLOOKUP(E738, LookUP_Table!$A$1:$B$4, 2, FALSE), "")</f>
        <v>Secondary</v>
      </c>
      <c r="H738">
        <v>0</v>
      </c>
      <c r="I738">
        <v>0</v>
      </c>
      <c r="J738" t="str">
        <f t="shared" si="66"/>
        <v>Non-Smoker</v>
      </c>
      <c r="K738">
        <v>0</v>
      </c>
      <c r="L738">
        <v>0</v>
      </c>
      <c r="M738">
        <v>0</v>
      </c>
      <c r="N738">
        <v>0</v>
      </c>
      <c r="O738">
        <v>157</v>
      </c>
      <c r="P738" t="str">
        <f t="shared" si="67"/>
        <v>Normal</v>
      </c>
      <c r="Q738">
        <v>131</v>
      </c>
      <c r="R738">
        <v>85</v>
      </c>
      <c r="S738">
        <v>27.38</v>
      </c>
      <c r="T738" t="str">
        <f t="shared" si="68"/>
        <v>Overweight</v>
      </c>
      <c r="U738">
        <v>95</v>
      </c>
      <c r="V738">
        <v>78</v>
      </c>
      <c r="W738" t="str">
        <f t="shared" si="71"/>
        <v>Normal</v>
      </c>
      <c r="X738">
        <v>0</v>
      </c>
    </row>
    <row r="739" spans="1:24" ht="14.5" thickBot="1" x14ac:dyDescent="0.35">
      <c r="A739">
        <v>0</v>
      </c>
      <c r="B739" t="str">
        <f t="shared" si="69"/>
        <v>Female</v>
      </c>
      <c r="C739" s="8">
        <v>40</v>
      </c>
      <c r="D739" t="str">
        <f t="shared" si="70"/>
        <v>Middle Age</v>
      </c>
      <c r="E739">
        <v>1</v>
      </c>
      <c r="F739" t="str">
        <f>HLOOKUP(E739, LookUP_Table!$A$6:$D$7, 2, FALSE)</f>
        <v>Primary</v>
      </c>
      <c r="G739" t="str">
        <f>IFERROR(VLOOKUP(E739, LookUP_Table!$A$1:$B$4, 2, FALSE), "")</f>
        <v>Primary</v>
      </c>
      <c r="H739">
        <v>1</v>
      </c>
      <c r="I739">
        <v>9</v>
      </c>
      <c r="J739" t="str">
        <f t="shared" si="66"/>
        <v>Smoker</v>
      </c>
      <c r="K739">
        <v>0</v>
      </c>
      <c r="L739">
        <v>0</v>
      </c>
      <c r="M739">
        <v>0</v>
      </c>
      <c r="N739">
        <v>0</v>
      </c>
      <c r="O739">
        <v>262</v>
      </c>
      <c r="P739" t="str">
        <f t="shared" si="67"/>
        <v>High</v>
      </c>
      <c r="Q739">
        <v>97</v>
      </c>
      <c r="R739">
        <v>71</v>
      </c>
      <c r="S739">
        <v>22.14</v>
      </c>
      <c r="T739" t="str">
        <f t="shared" si="68"/>
        <v>Normal</v>
      </c>
      <c r="U739">
        <v>72</v>
      </c>
      <c r="V739">
        <v>80</v>
      </c>
      <c r="W739" t="str">
        <f t="shared" si="71"/>
        <v>Normal</v>
      </c>
      <c r="X739">
        <v>0</v>
      </c>
    </row>
    <row r="740" spans="1:24" ht="14.5" thickBot="1" x14ac:dyDescent="0.35">
      <c r="A740">
        <v>1</v>
      </c>
      <c r="B740" t="str">
        <f t="shared" si="69"/>
        <v>Male</v>
      </c>
      <c r="C740" s="8">
        <v>40</v>
      </c>
      <c r="D740" t="str">
        <f t="shared" si="70"/>
        <v>Middle Age</v>
      </c>
      <c r="E740">
        <v>2</v>
      </c>
      <c r="F740" t="str">
        <f>HLOOKUP(E740, LookUP_Table!$A$6:$D$7, 2, FALSE)</f>
        <v>Secondary</v>
      </c>
      <c r="G740" t="str">
        <f>IFERROR(VLOOKUP(E740, LookUP_Table!$A$1:$B$4, 2, FALSE), "")</f>
        <v>Secondary</v>
      </c>
      <c r="H740">
        <v>1</v>
      </c>
      <c r="I740">
        <v>5</v>
      </c>
      <c r="J740" t="str">
        <f t="shared" si="66"/>
        <v>Smoker</v>
      </c>
      <c r="K740">
        <v>0</v>
      </c>
      <c r="L740">
        <v>0</v>
      </c>
      <c r="M740">
        <v>0</v>
      </c>
      <c r="N740">
        <v>0</v>
      </c>
      <c r="O740">
        <v>193</v>
      </c>
      <c r="P740" t="str">
        <f t="shared" si="67"/>
        <v>Normal</v>
      </c>
      <c r="Q740">
        <v>130</v>
      </c>
      <c r="R740">
        <v>86.5</v>
      </c>
      <c r="S740">
        <v>23.48</v>
      </c>
      <c r="T740" t="str">
        <f t="shared" si="68"/>
        <v>Normal</v>
      </c>
      <c r="U740">
        <v>88</v>
      </c>
      <c r="V740">
        <v>78</v>
      </c>
      <c r="W740" t="str">
        <f t="shared" si="71"/>
        <v>Normal</v>
      </c>
      <c r="X740">
        <v>0</v>
      </c>
    </row>
    <row r="741" spans="1:24" ht="14.5" thickBot="1" x14ac:dyDescent="0.35">
      <c r="A741">
        <v>1</v>
      </c>
      <c r="B741" t="str">
        <f t="shared" si="69"/>
        <v>Male</v>
      </c>
      <c r="C741" s="8">
        <v>40</v>
      </c>
      <c r="D741" t="str">
        <f t="shared" si="70"/>
        <v>Middle Age</v>
      </c>
      <c r="E741">
        <v>1</v>
      </c>
      <c r="F741" t="str">
        <f>HLOOKUP(E741, LookUP_Table!$A$6:$D$7, 2, FALSE)</f>
        <v>Primary</v>
      </c>
      <c r="G741" t="str">
        <f>IFERROR(VLOOKUP(E741, LookUP_Table!$A$1:$B$4, 2, FALSE), "")</f>
        <v>Primary</v>
      </c>
      <c r="H741">
        <v>1</v>
      </c>
      <c r="I741">
        <v>43</v>
      </c>
      <c r="J741" t="str">
        <f t="shared" si="66"/>
        <v>Smoker</v>
      </c>
      <c r="K741">
        <v>0</v>
      </c>
      <c r="L741">
        <v>0</v>
      </c>
      <c r="M741">
        <v>0</v>
      </c>
      <c r="N741">
        <v>0</v>
      </c>
      <c r="O741">
        <v>325</v>
      </c>
      <c r="P741" t="str">
        <f t="shared" si="67"/>
        <v>High</v>
      </c>
      <c r="Q741">
        <v>112</v>
      </c>
      <c r="R741">
        <v>67</v>
      </c>
      <c r="S741">
        <v>25.09</v>
      </c>
      <c r="T741" t="str">
        <f t="shared" si="68"/>
        <v>Overweight</v>
      </c>
      <c r="U741">
        <v>78</v>
      </c>
      <c r="V741">
        <v>94</v>
      </c>
      <c r="W741" t="str">
        <f t="shared" si="71"/>
        <v>Normal</v>
      </c>
      <c r="X741">
        <v>0</v>
      </c>
    </row>
    <row r="742" spans="1:24" ht="14.5" thickBot="1" x14ac:dyDescent="0.35">
      <c r="A742">
        <v>0</v>
      </c>
      <c r="B742" t="str">
        <f t="shared" si="69"/>
        <v>Female</v>
      </c>
      <c r="C742" s="8">
        <v>40</v>
      </c>
      <c r="D742" t="str">
        <f t="shared" si="70"/>
        <v>Middle Age</v>
      </c>
      <c r="E742">
        <v>2</v>
      </c>
      <c r="F742" t="str">
        <f>HLOOKUP(E742, LookUP_Table!$A$6:$D$7, 2, FALSE)</f>
        <v>Secondary</v>
      </c>
      <c r="G742" t="str">
        <f>IFERROR(VLOOKUP(E742, LookUP_Table!$A$1:$B$4, 2, FALSE), "")</f>
        <v>Secondary</v>
      </c>
      <c r="H742">
        <v>1</v>
      </c>
      <c r="I742">
        <v>20</v>
      </c>
      <c r="J742" t="str">
        <f t="shared" si="66"/>
        <v>Smoker</v>
      </c>
      <c r="K742">
        <v>0</v>
      </c>
      <c r="L742">
        <v>0</v>
      </c>
      <c r="M742">
        <v>0</v>
      </c>
      <c r="N742">
        <v>0</v>
      </c>
      <c r="O742">
        <v>213</v>
      </c>
      <c r="P742" t="str">
        <f t="shared" si="67"/>
        <v>Normal</v>
      </c>
      <c r="Q742">
        <v>130</v>
      </c>
      <c r="R742">
        <v>80</v>
      </c>
      <c r="S742">
        <v>19.98</v>
      </c>
      <c r="T742" t="str">
        <f t="shared" si="68"/>
        <v>Normal</v>
      </c>
      <c r="U742">
        <v>96</v>
      </c>
      <c r="V742">
        <v>76</v>
      </c>
      <c r="W742" t="str">
        <f t="shared" si="71"/>
        <v>Normal</v>
      </c>
      <c r="X742">
        <v>0</v>
      </c>
    </row>
    <row r="743" spans="1:24" ht="14.5" thickBot="1" x14ac:dyDescent="0.35">
      <c r="A743">
        <v>0</v>
      </c>
      <c r="B743" t="str">
        <f t="shared" si="69"/>
        <v>Female</v>
      </c>
      <c r="C743" s="8">
        <v>40</v>
      </c>
      <c r="D743" t="str">
        <f t="shared" si="70"/>
        <v>Middle Age</v>
      </c>
      <c r="E743">
        <v>3</v>
      </c>
      <c r="F743" t="str">
        <f>HLOOKUP(E743, LookUP_Table!$A$6:$D$7, 2, FALSE)</f>
        <v>Graduate</v>
      </c>
      <c r="G743" t="str">
        <f>IFERROR(VLOOKUP(E743, LookUP_Table!$A$1:$B$4, 2, FALSE), "")</f>
        <v>Graduate</v>
      </c>
      <c r="H743">
        <v>0</v>
      </c>
      <c r="I743">
        <v>0</v>
      </c>
      <c r="J743" t="str">
        <f t="shared" si="66"/>
        <v>Non-Smoker</v>
      </c>
      <c r="K743">
        <v>0</v>
      </c>
      <c r="L743">
        <v>0</v>
      </c>
      <c r="M743">
        <v>1</v>
      </c>
      <c r="N743">
        <v>0</v>
      </c>
      <c r="O743">
        <v>202</v>
      </c>
      <c r="P743" t="str">
        <f t="shared" si="67"/>
        <v>Normal</v>
      </c>
      <c r="Q743">
        <v>158</v>
      </c>
      <c r="R743">
        <v>103</v>
      </c>
      <c r="S743">
        <v>28.35</v>
      </c>
      <c r="T743" t="str">
        <f t="shared" si="68"/>
        <v>Overweight</v>
      </c>
      <c r="U743">
        <v>125</v>
      </c>
      <c r="V743">
        <v>80</v>
      </c>
      <c r="W743" t="str">
        <f t="shared" si="71"/>
        <v>Normal</v>
      </c>
      <c r="X743">
        <v>0</v>
      </c>
    </row>
    <row r="744" spans="1:24" ht="14.5" thickBot="1" x14ac:dyDescent="0.35">
      <c r="A744">
        <v>0</v>
      </c>
      <c r="B744" t="str">
        <f t="shared" si="69"/>
        <v>Female</v>
      </c>
      <c r="C744" s="8">
        <v>40</v>
      </c>
      <c r="D744" t="str">
        <f t="shared" si="70"/>
        <v>Middle Age</v>
      </c>
      <c r="E744">
        <v>3</v>
      </c>
      <c r="F744" t="str">
        <f>HLOOKUP(E744, LookUP_Table!$A$6:$D$7, 2, FALSE)</f>
        <v>Graduate</v>
      </c>
      <c r="G744" t="str">
        <f>IFERROR(VLOOKUP(E744, LookUP_Table!$A$1:$B$4, 2, FALSE), "")</f>
        <v>Graduate</v>
      </c>
      <c r="H744">
        <v>0</v>
      </c>
      <c r="I744">
        <v>0</v>
      </c>
      <c r="J744" t="str">
        <f t="shared" si="66"/>
        <v>Non-Smoker</v>
      </c>
      <c r="K744">
        <v>0</v>
      </c>
      <c r="L744">
        <v>0</v>
      </c>
      <c r="M744">
        <v>0</v>
      </c>
      <c r="N744">
        <v>0</v>
      </c>
      <c r="O744">
        <v>220</v>
      </c>
      <c r="P744" t="str">
        <f t="shared" si="67"/>
        <v>Normal</v>
      </c>
      <c r="Q744">
        <v>136</v>
      </c>
      <c r="R744">
        <v>80.5</v>
      </c>
      <c r="S744">
        <v>22.72</v>
      </c>
      <c r="T744" t="str">
        <f t="shared" si="68"/>
        <v>Normal</v>
      </c>
      <c r="U744">
        <v>80</v>
      </c>
      <c r="V744">
        <v>70</v>
      </c>
      <c r="W744" t="str">
        <f t="shared" si="71"/>
        <v>Normal</v>
      </c>
      <c r="X744">
        <v>0</v>
      </c>
    </row>
    <row r="745" spans="1:24" ht="14.5" thickBot="1" x14ac:dyDescent="0.35">
      <c r="A745">
        <v>0</v>
      </c>
      <c r="B745" t="str">
        <f t="shared" si="69"/>
        <v>Female</v>
      </c>
      <c r="C745" s="8">
        <v>40</v>
      </c>
      <c r="D745" t="str">
        <f t="shared" si="70"/>
        <v>Middle Age</v>
      </c>
      <c r="E745">
        <v>2</v>
      </c>
      <c r="F745" t="str">
        <f>HLOOKUP(E745, LookUP_Table!$A$6:$D$7, 2, FALSE)</f>
        <v>Secondary</v>
      </c>
      <c r="G745" t="str">
        <f>IFERROR(VLOOKUP(E745, LookUP_Table!$A$1:$B$4, 2, FALSE), "")</f>
        <v>Secondary</v>
      </c>
      <c r="H745">
        <v>1</v>
      </c>
      <c r="I745">
        <v>20</v>
      </c>
      <c r="J745" t="str">
        <f t="shared" si="66"/>
        <v>Smoker</v>
      </c>
      <c r="K745">
        <v>0</v>
      </c>
      <c r="L745">
        <v>0</v>
      </c>
      <c r="M745">
        <v>0</v>
      </c>
      <c r="N745">
        <v>0</v>
      </c>
      <c r="O745">
        <v>221</v>
      </c>
      <c r="P745" t="str">
        <f t="shared" si="67"/>
        <v>Normal</v>
      </c>
      <c r="Q745">
        <v>93</v>
      </c>
      <c r="R745">
        <v>62.5</v>
      </c>
      <c r="S745">
        <v>18.84</v>
      </c>
      <c r="T745" t="str">
        <f t="shared" si="68"/>
        <v>Normal</v>
      </c>
      <c r="U745">
        <v>64</v>
      </c>
      <c r="V745">
        <v>73</v>
      </c>
      <c r="W745" t="str">
        <f t="shared" si="71"/>
        <v>Normal</v>
      </c>
      <c r="X745">
        <v>0</v>
      </c>
    </row>
    <row r="746" spans="1:24" ht="14.5" thickBot="1" x14ac:dyDescent="0.35">
      <c r="A746">
        <v>1</v>
      </c>
      <c r="B746" t="str">
        <f t="shared" si="69"/>
        <v>Male</v>
      </c>
      <c r="C746" s="8">
        <v>40</v>
      </c>
      <c r="D746" t="str">
        <f t="shared" si="70"/>
        <v>Middle Age</v>
      </c>
      <c r="E746">
        <v>3</v>
      </c>
      <c r="F746" t="str">
        <f>HLOOKUP(E746, LookUP_Table!$A$6:$D$7, 2, FALSE)</f>
        <v>Graduate</v>
      </c>
      <c r="G746" t="str">
        <f>IFERROR(VLOOKUP(E746, LookUP_Table!$A$1:$B$4, 2, FALSE), "")</f>
        <v>Graduate</v>
      </c>
      <c r="H746">
        <v>0</v>
      </c>
      <c r="I746">
        <v>0</v>
      </c>
      <c r="J746" t="str">
        <f t="shared" si="66"/>
        <v>Non-Smoker</v>
      </c>
      <c r="K746">
        <v>0</v>
      </c>
      <c r="L746">
        <v>0</v>
      </c>
      <c r="M746">
        <v>0</v>
      </c>
      <c r="N746">
        <v>0</v>
      </c>
      <c r="O746">
        <v>213</v>
      </c>
      <c r="P746" t="str">
        <f t="shared" si="67"/>
        <v>Normal</v>
      </c>
      <c r="Q746">
        <v>149</v>
      </c>
      <c r="R746">
        <v>83</v>
      </c>
      <c r="S746">
        <v>26.68</v>
      </c>
      <c r="T746" t="str">
        <f t="shared" si="68"/>
        <v>Overweight</v>
      </c>
      <c r="U746">
        <v>69</v>
      </c>
      <c r="V746">
        <v>94</v>
      </c>
      <c r="W746" t="str">
        <f t="shared" si="71"/>
        <v>Normal</v>
      </c>
      <c r="X746">
        <v>0</v>
      </c>
    </row>
    <row r="747" spans="1:24" ht="14.5" thickBot="1" x14ac:dyDescent="0.35">
      <c r="A747">
        <v>1</v>
      </c>
      <c r="B747" t="str">
        <f t="shared" si="69"/>
        <v>Male</v>
      </c>
      <c r="C747" s="8">
        <v>40</v>
      </c>
      <c r="D747" t="str">
        <f t="shared" si="70"/>
        <v>Middle Age</v>
      </c>
      <c r="E747">
        <v>1</v>
      </c>
      <c r="F747" t="str">
        <f>HLOOKUP(E747, LookUP_Table!$A$6:$D$7, 2, FALSE)</f>
        <v>Primary</v>
      </c>
      <c r="G747" t="str">
        <f>IFERROR(VLOOKUP(E747, LookUP_Table!$A$1:$B$4, 2, FALSE), "")</f>
        <v>Primary</v>
      </c>
      <c r="H747">
        <v>1</v>
      </c>
      <c r="I747">
        <v>40</v>
      </c>
      <c r="J747" t="str">
        <f t="shared" si="66"/>
        <v>Smoker</v>
      </c>
      <c r="K747">
        <v>0</v>
      </c>
      <c r="L747">
        <v>0</v>
      </c>
      <c r="M747">
        <v>0</v>
      </c>
      <c r="N747">
        <v>0</v>
      </c>
      <c r="O747">
        <v>169</v>
      </c>
      <c r="P747" t="str">
        <f t="shared" si="67"/>
        <v>Normal</v>
      </c>
      <c r="Q747">
        <v>127</v>
      </c>
      <c r="R747">
        <v>81</v>
      </c>
      <c r="S747">
        <v>25.82</v>
      </c>
      <c r="T747" t="str">
        <f t="shared" si="68"/>
        <v>Overweight</v>
      </c>
      <c r="U747">
        <v>80</v>
      </c>
      <c r="V747">
        <v>83</v>
      </c>
      <c r="W747" t="str">
        <f t="shared" si="71"/>
        <v>Normal</v>
      </c>
      <c r="X747">
        <v>0</v>
      </c>
    </row>
    <row r="748" spans="1:24" ht="14.5" thickBot="1" x14ac:dyDescent="0.35">
      <c r="A748">
        <v>0</v>
      </c>
      <c r="B748" t="str">
        <f t="shared" si="69"/>
        <v>Female</v>
      </c>
      <c r="C748" s="8">
        <v>40</v>
      </c>
      <c r="D748" t="str">
        <f t="shared" si="70"/>
        <v>Middle Age</v>
      </c>
      <c r="E748">
        <v>2</v>
      </c>
      <c r="F748" t="str">
        <f>HLOOKUP(E748, LookUP_Table!$A$6:$D$7, 2, FALSE)</f>
        <v>Secondary</v>
      </c>
      <c r="G748" t="str">
        <f>IFERROR(VLOOKUP(E748, LookUP_Table!$A$1:$B$4, 2, FALSE), "")</f>
        <v>Secondary</v>
      </c>
      <c r="H748">
        <v>1</v>
      </c>
      <c r="I748">
        <v>9</v>
      </c>
      <c r="J748" t="str">
        <f t="shared" si="66"/>
        <v>Smoker</v>
      </c>
      <c r="K748">
        <v>0</v>
      </c>
      <c r="L748">
        <v>0</v>
      </c>
      <c r="M748">
        <v>0</v>
      </c>
      <c r="N748">
        <v>0</v>
      </c>
      <c r="O748">
        <v>207</v>
      </c>
      <c r="P748" t="str">
        <f t="shared" si="67"/>
        <v>Normal</v>
      </c>
      <c r="Q748">
        <v>124</v>
      </c>
      <c r="R748">
        <v>78</v>
      </c>
      <c r="S748">
        <v>22.9</v>
      </c>
      <c r="T748" t="str">
        <f t="shared" si="68"/>
        <v>Normal</v>
      </c>
      <c r="U748">
        <v>46</v>
      </c>
      <c r="V748">
        <v>66</v>
      </c>
      <c r="W748" t="str">
        <f t="shared" si="71"/>
        <v>Normal</v>
      </c>
      <c r="X748">
        <v>0</v>
      </c>
    </row>
    <row r="749" spans="1:24" ht="14.5" thickBot="1" x14ac:dyDescent="0.35">
      <c r="A749">
        <v>1</v>
      </c>
      <c r="B749" t="str">
        <f t="shared" si="69"/>
        <v>Male</v>
      </c>
      <c r="C749" s="8">
        <v>40</v>
      </c>
      <c r="D749" t="str">
        <f t="shared" si="70"/>
        <v>Middle Age</v>
      </c>
      <c r="E749">
        <v>3</v>
      </c>
      <c r="F749" t="str">
        <f>HLOOKUP(E749, LookUP_Table!$A$6:$D$7, 2, FALSE)</f>
        <v>Graduate</v>
      </c>
      <c r="G749" t="str">
        <f>IFERROR(VLOOKUP(E749, LookUP_Table!$A$1:$B$4, 2, FALSE), "")</f>
        <v>Graduate</v>
      </c>
      <c r="H749">
        <v>0</v>
      </c>
      <c r="I749">
        <v>0</v>
      </c>
      <c r="J749" t="str">
        <f t="shared" si="66"/>
        <v>Non-Smoker</v>
      </c>
      <c r="K749">
        <v>0</v>
      </c>
      <c r="L749">
        <v>0</v>
      </c>
      <c r="M749">
        <v>1</v>
      </c>
      <c r="N749">
        <v>0</v>
      </c>
      <c r="O749">
        <v>185</v>
      </c>
      <c r="P749" t="str">
        <f t="shared" si="67"/>
        <v>Normal</v>
      </c>
      <c r="Q749">
        <v>141</v>
      </c>
      <c r="R749">
        <v>98</v>
      </c>
      <c r="S749">
        <v>25.6</v>
      </c>
      <c r="T749" t="str">
        <f t="shared" si="68"/>
        <v>Overweight</v>
      </c>
      <c r="U749">
        <v>67</v>
      </c>
      <c r="V749">
        <v>72</v>
      </c>
      <c r="W749" t="str">
        <f t="shared" si="71"/>
        <v>Normal</v>
      </c>
      <c r="X749">
        <v>0</v>
      </c>
    </row>
    <row r="750" spans="1:24" ht="14.5" thickBot="1" x14ac:dyDescent="0.35">
      <c r="A750">
        <v>0</v>
      </c>
      <c r="B750" t="str">
        <f t="shared" si="69"/>
        <v>Female</v>
      </c>
      <c r="C750" s="8">
        <v>41</v>
      </c>
      <c r="D750" t="str">
        <f t="shared" si="70"/>
        <v>Middle Age</v>
      </c>
      <c r="E750">
        <v>3</v>
      </c>
      <c r="F750" t="str">
        <f>HLOOKUP(E750, LookUP_Table!$A$6:$D$7, 2, FALSE)</f>
        <v>Graduate</v>
      </c>
      <c r="G750" t="str">
        <f>IFERROR(VLOOKUP(E750, LookUP_Table!$A$1:$B$4, 2, FALSE), "")</f>
        <v>Graduate</v>
      </c>
      <c r="H750">
        <v>0</v>
      </c>
      <c r="I750">
        <v>0</v>
      </c>
      <c r="J750" t="str">
        <f t="shared" si="66"/>
        <v>Non-Smoker</v>
      </c>
      <c r="K750">
        <v>1</v>
      </c>
      <c r="L750">
        <v>0</v>
      </c>
      <c r="M750">
        <v>1</v>
      </c>
      <c r="N750">
        <v>0</v>
      </c>
      <c r="O750">
        <v>332</v>
      </c>
      <c r="P750" t="str">
        <f t="shared" si="67"/>
        <v>High</v>
      </c>
      <c r="Q750">
        <v>124</v>
      </c>
      <c r="R750">
        <v>88</v>
      </c>
      <c r="S750">
        <v>31.31</v>
      </c>
      <c r="T750" t="str">
        <f t="shared" si="68"/>
        <v>Obese</v>
      </c>
      <c r="U750">
        <v>65</v>
      </c>
      <c r="V750">
        <v>84</v>
      </c>
      <c r="W750" t="str">
        <f t="shared" si="71"/>
        <v>Normal</v>
      </c>
      <c r="X750">
        <v>0</v>
      </c>
    </row>
    <row r="751" spans="1:24" ht="14.5" thickBot="1" x14ac:dyDescent="0.35">
      <c r="A751">
        <v>1</v>
      </c>
      <c r="B751" t="str">
        <f t="shared" si="69"/>
        <v>Male</v>
      </c>
      <c r="C751" s="8">
        <v>41</v>
      </c>
      <c r="D751" t="str">
        <f t="shared" si="70"/>
        <v>Middle Age</v>
      </c>
      <c r="E751">
        <v>2</v>
      </c>
      <c r="F751" t="str">
        <f>HLOOKUP(E751, LookUP_Table!$A$6:$D$7, 2, FALSE)</f>
        <v>Secondary</v>
      </c>
      <c r="G751" t="str">
        <f>IFERROR(VLOOKUP(E751, LookUP_Table!$A$1:$B$4, 2, FALSE), "")</f>
        <v>Secondary</v>
      </c>
      <c r="H751">
        <v>0</v>
      </c>
      <c r="I751">
        <v>0</v>
      </c>
      <c r="J751" t="str">
        <f t="shared" si="66"/>
        <v>Non-Smoker</v>
      </c>
      <c r="K751">
        <v>0</v>
      </c>
      <c r="L751">
        <v>0</v>
      </c>
      <c r="M751">
        <v>0</v>
      </c>
      <c r="N751">
        <v>0</v>
      </c>
      <c r="O751">
        <v>195</v>
      </c>
      <c r="P751" t="str">
        <f t="shared" si="67"/>
        <v>Normal</v>
      </c>
      <c r="Q751">
        <v>139</v>
      </c>
      <c r="R751">
        <v>88</v>
      </c>
      <c r="S751">
        <v>26.88</v>
      </c>
      <c r="T751" t="str">
        <f t="shared" si="68"/>
        <v>Overweight</v>
      </c>
      <c r="U751">
        <v>85</v>
      </c>
      <c r="V751">
        <v>65</v>
      </c>
      <c r="W751" t="str">
        <f t="shared" si="71"/>
        <v>Normal</v>
      </c>
      <c r="X751">
        <v>0</v>
      </c>
    </row>
    <row r="752" spans="1:24" ht="14.5" thickBot="1" x14ac:dyDescent="0.35">
      <c r="A752">
        <v>0</v>
      </c>
      <c r="B752" t="str">
        <f t="shared" si="69"/>
        <v>Female</v>
      </c>
      <c r="C752" s="8">
        <v>41</v>
      </c>
      <c r="D752" t="str">
        <f t="shared" si="70"/>
        <v>Middle Age</v>
      </c>
      <c r="E752">
        <v>2</v>
      </c>
      <c r="F752" t="str">
        <f>HLOOKUP(E752, LookUP_Table!$A$6:$D$7, 2, FALSE)</f>
        <v>Secondary</v>
      </c>
      <c r="G752" t="str">
        <f>IFERROR(VLOOKUP(E752, LookUP_Table!$A$1:$B$4, 2, FALSE), "")</f>
        <v>Secondary</v>
      </c>
      <c r="H752">
        <v>1</v>
      </c>
      <c r="I752">
        <v>1</v>
      </c>
      <c r="J752" t="str">
        <f t="shared" si="66"/>
        <v>Smoker</v>
      </c>
      <c r="K752">
        <v>0</v>
      </c>
      <c r="L752">
        <v>0</v>
      </c>
      <c r="M752">
        <v>0</v>
      </c>
      <c r="N752">
        <v>0</v>
      </c>
      <c r="O752">
        <v>237</v>
      </c>
      <c r="P752" t="str">
        <f t="shared" si="67"/>
        <v>Normal</v>
      </c>
      <c r="Q752">
        <v>122</v>
      </c>
      <c r="R752">
        <v>78</v>
      </c>
      <c r="S752">
        <v>23.28</v>
      </c>
      <c r="T752" t="str">
        <f t="shared" si="68"/>
        <v>Normal</v>
      </c>
      <c r="U752">
        <v>75</v>
      </c>
      <c r="V752">
        <v>74</v>
      </c>
      <c r="W752" t="str">
        <f t="shared" si="71"/>
        <v>Normal</v>
      </c>
      <c r="X752">
        <v>0</v>
      </c>
    </row>
    <row r="753" spans="1:24" ht="14.5" thickBot="1" x14ac:dyDescent="0.35">
      <c r="A753">
        <v>0</v>
      </c>
      <c r="B753" t="str">
        <f t="shared" si="69"/>
        <v>Female</v>
      </c>
      <c r="C753" s="8">
        <v>41</v>
      </c>
      <c r="D753" t="str">
        <f t="shared" si="70"/>
        <v>Middle Age</v>
      </c>
      <c r="E753">
        <v>1</v>
      </c>
      <c r="F753" t="str">
        <f>HLOOKUP(E753, LookUP_Table!$A$6:$D$7, 2, FALSE)</f>
        <v>Primary</v>
      </c>
      <c r="G753" t="str">
        <f>IFERROR(VLOOKUP(E753, LookUP_Table!$A$1:$B$4, 2, FALSE), "")</f>
        <v>Primary</v>
      </c>
      <c r="H753">
        <v>1</v>
      </c>
      <c r="I753">
        <v>20</v>
      </c>
      <c r="J753" t="str">
        <f t="shared" si="66"/>
        <v>Smoker</v>
      </c>
      <c r="K753">
        <v>0</v>
      </c>
      <c r="L753">
        <v>0</v>
      </c>
      <c r="M753">
        <v>1</v>
      </c>
      <c r="N753">
        <v>0</v>
      </c>
      <c r="O753">
        <v>189</v>
      </c>
      <c r="P753" t="str">
        <f t="shared" si="67"/>
        <v>Normal</v>
      </c>
      <c r="Q753">
        <v>150</v>
      </c>
      <c r="R753">
        <v>106</v>
      </c>
      <c r="S753">
        <v>33.799999999999997</v>
      </c>
      <c r="T753" t="str">
        <f t="shared" si="68"/>
        <v>Obese</v>
      </c>
      <c r="U753">
        <v>85</v>
      </c>
      <c r="V753">
        <v>75</v>
      </c>
      <c r="W753" t="str">
        <f t="shared" si="71"/>
        <v>Normal</v>
      </c>
      <c r="X753">
        <v>0</v>
      </c>
    </row>
    <row r="754" spans="1:24" ht="14.5" thickBot="1" x14ac:dyDescent="0.35">
      <c r="A754">
        <v>1</v>
      </c>
      <c r="B754" t="str">
        <f t="shared" si="69"/>
        <v>Male</v>
      </c>
      <c r="C754" s="8">
        <v>41</v>
      </c>
      <c r="D754" t="str">
        <f t="shared" si="70"/>
        <v>Middle Age</v>
      </c>
      <c r="E754">
        <v>2</v>
      </c>
      <c r="F754" t="str">
        <f>HLOOKUP(E754, LookUP_Table!$A$6:$D$7, 2, FALSE)</f>
        <v>Secondary</v>
      </c>
      <c r="G754" t="str">
        <f>IFERROR(VLOOKUP(E754, LookUP_Table!$A$1:$B$4, 2, FALSE), "")</f>
        <v>Secondary</v>
      </c>
      <c r="H754">
        <v>1</v>
      </c>
      <c r="I754">
        <v>43</v>
      </c>
      <c r="J754" t="str">
        <f t="shared" si="66"/>
        <v>Smoker</v>
      </c>
      <c r="K754">
        <v>0</v>
      </c>
      <c r="L754">
        <v>0</v>
      </c>
      <c r="M754">
        <v>1</v>
      </c>
      <c r="N754">
        <v>0</v>
      </c>
      <c r="O754">
        <v>274</v>
      </c>
      <c r="P754" t="str">
        <f t="shared" si="67"/>
        <v>High</v>
      </c>
      <c r="Q754">
        <v>152</v>
      </c>
      <c r="R754">
        <v>90</v>
      </c>
      <c r="S754">
        <v>30.58</v>
      </c>
      <c r="T754" t="str">
        <f t="shared" si="68"/>
        <v>Obese</v>
      </c>
      <c r="U754">
        <v>85</v>
      </c>
      <c r="V754">
        <v>65</v>
      </c>
      <c r="W754" t="str">
        <f t="shared" si="71"/>
        <v>Normal</v>
      </c>
      <c r="X754">
        <v>0</v>
      </c>
    </row>
    <row r="755" spans="1:24" ht="14.5" thickBot="1" x14ac:dyDescent="0.35">
      <c r="A755">
        <v>1</v>
      </c>
      <c r="B755" t="str">
        <f t="shared" si="69"/>
        <v>Male</v>
      </c>
      <c r="C755" s="8">
        <v>41</v>
      </c>
      <c r="D755" t="str">
        <f t="shared" si="70"/>
        <v>Middle Age</v>
      </c>
      <c r="E755">
        <v>4</v>
      </c>
      <c r="F755" t="str">
        <f>HLOOKUP(E755, LookUP_Table!$A$6:$D$7, 2, FALSE)</f>
        <v>Post Graduate</v>
      </c>
      <c r="G755" t="str">
        <f>IFERROR(VLOOKUP(E755, LookUP_Table!$A$1:$B$4, 2, FALSE), "")</f>
        <v>Post Graduate</v>
      </c>
      <c r="H755">
        <v>1</v>
      </c>
      <c r="I755">
        <v>43</v>
      </c>
      <c r="J755" t="str">
        <f t="shared" si="66"/>
        <v>Smoker</v>
      </c>
      <c r="K755">
        <v>0</v>
      </c>
      <c r="L755">
        <v>0</v>
      </c>
      <c r="M755">
        <v>0</v>
      </c>
      <c r="N755">
        <v>0</v>
      </c>
      <c r="O755">
        <v>252</v>
      </c>
      <c r="P755" t="str">
        <f t="shared" si="67"/>
        <v>High</v>
      </c>
      <c r="Q755">
        <v>124</v>
      </c>
      <c r="R755">
        <v>86</v>
      </c>
      <c r="S755">
        <v>28.56</v>
      </c>
      <c r="T755" t="str">
        <f t="shared" si="68"/>
        <v>Overweight</v>
      </c>
      <c r="U755">
        <v>100</v>
      </c>
      <c r="V755">
        <v>70</v>
      </c>
      <c r="W755" t="str">
        <f t="shared" si="71"/>
        <v>Normal</v>
      </c>
      <c r="X755">
        <v>0</v>
      </c>
    </row>
    <row r="756" spans="1:24" ht="14.5" thickBot="1" x14ac:dyDescent="0.35">
      <c r="A756">
        <v>1</v>
      </c>
      <c r="B756" t="str">
        <f t="shared" si="69"/>
        <v>Male</v>
      </c>
      <c r="C756" s="8">
        <v>41</v>
      </c>
      <c r="D756" t="str">
        <f t="shared" si="70"/>
        <v>Middle Age</v>
      </c>
      <c r="E756">
        <v>2</v>
      </c>
      <c r="F756" t="str">
        <f>HLOOKUP(E756, LookUP_Table!$A$6:$D$7, 2, FALSE)</f>
        <v>Secondary</v>
      </c>
      <c r="G756" t="str">
        <f>IFERROR(VLOOKUP(E756, LookUP_Table!$A$1:$B$4, 2, FALSE), "")</f>
        <v>Secondary</v>
      </c>
      <c r="H756">
        <v>0</v>
      </c>
      <c r="I756">
        <v>0</v>
      </c>
      <c r="J756" t="str">
        <f t="shared" si="66"/>
        <v>Non-Smoker</v>
      </c>
      <c r="K756">
        <v>0</v>
      </c>
      <c r="L756">
        <v>0</v>
      </c>
      <c r="M756">
        <v>0</v>
      </c>
      <c r="N756">
        <v>0</v>
      </c>
      <c r="O756">
        <v>274</v>
      </c>
      <c r="P756" t="str">
        <f t="shared" si="67"/>
        <v>High</v>
      </c>
      <c r="Q756">
        <v>121</v>
      </c>
      <c r="R756">
        <v>61.5</v>
      </c>
      <c r="S756">
        <v>25.42</v>
      </c>
      <c r="T756" t="str">
        <f t="shared" si="68"/>
        <v>Overweight</v>
      </c>
      <c r="U756">
        <v>80</v>
      </c>
      <c r="V756">
        <v>76</v>
      </c>
      <c r="W756" t="str">
        <f t="shared" si="71"/>
        <v>Normal</v>
      </c>
      <c r="X756">
        <v>0</v>
      </c>
    </row>
    <row r="757" spans="1:24" ht="14.5" thickBot="1" x14ac:dyDescent="0.35">
      <c r="A757">
        <v>0</v>
      </c>
      <c r="B757" t="str">
        <f t="shared" si="69"/>
        <v>Female</v>
      </c>
      <c r="C757" s="8">
        <v>41</v>
      </c>
      <c r="D757" t="str">
        <f t="shared" si="70"/>
        <v>Middle Age</v>
      </c>
      <c r="E757">
        <v>1</v>
      </c>
      <c r="F757" t="str">
        <f>HLOOKUP(E757, LookUP_Table!$A$6:$D$7, 2, FALSE)</f>
        <v>Primary</v>
      </c>
      <c r="G757" t="str">
        <f>IFERROR(VLOOKUP(E757, LookUP_Table!$A$1:$B$4, 2, FALSE), "")</f>
        <v>Primary</v>
      </c>
      <c r="H757">
        <v>0</v>
      </c>
      <c r="I757">
        <v>0</v>
      </c>
      <c r="J757" t="str">
        <f t="shared" si="66"/>
        <v>Non-Smoker</v>
      </c>
      <c r="K757">
        <v>0</v>
      </c>
      <c r="L757">
        <v>0</v>
      </c>
      <c r="M757">
        <v>1</v>
      </c>
      <c r="N757">
        <v>0</v>
      </c>
      <c r="O757">
        <v>265</v>
      </c>
      <c r="P757" t="str">
        <f t="shared" si="67"/>
        <v>High</v>
      </c>
      <c r="Q757">
        <v>136</v>
      </c>
      <c r="R757">
        <v>98</v>
      </c>
      <c r="S757">
        <v>42.15</v>
      </c>
      <c r="T757" t="str">
        <f t="shared" si="68"/>
        <v>Obese</v>
      </c>
      <c r="U757">
        <v>90</v>
      </c>
      <c r="V757">
        <v>81.96365524402907</v>
      </c>
      <c r="W757" t="str">
        <f t="shared" si="71"/>
        <v>Normal</v>
      </c>
      <c r="X757">
        <v>0</v>
      </c>
    </row>
    <row r="758" spans="1:24" ht="14.5" thickBot="1" x14ac:dyDescent="0.35">
      <c r="A758">
        <v>1</v>
      </c>
      <c r="B758" t="str">
        <f t="shared" si="69"/>
        <v>Male</v>
      </c>
      <c r="C758" s="8">
        <v>41</v>
      </c>
      <c r="D758" t="str">
        <f t="shared" si="70"/>
        <v>Middle Age</v>
      </c>
      <c r="E758">
        <v>2</v>
      </c>
      <c r="F758" t="str">
        <f>HLOOKUP(E758, LookUP_Table!$A$6:$D$7, 2, FALSE)</f>
        <v>Secondary</v>
      </c>
      <c r="G758" t="str">
        <f>IFERROR(VLOOKUP(E758, LookUP_Table!$A$1:$B$4, 2, FALSE), "")</f>
        <v>Secondary</v>
      </c>
      <c r="H758">
        <v>0</v>
      </c>
      <c r="I758">
        <v>0</v>
      </c>
      <c r="J758" t="str">
        <f t="shared" si="66"/>
        <v>Non-Smoker</v>
      </c>
      <c r="K758">
        <v>0</v>
      </c>
      <c r="L758">
        <v>0</v>
      </c>
      <c r="M758">
        <v>0</v>
      </c>
      <c r="N758">
        <v>0</v>
      </c>
      <c r="O758">
        <v>223</v>
      </c>
      <c r="P758" t="str">
        <f t="shared" si="67"/>
        <v>Normal</v>
      </c>
      <c r="Q758">
        <v>112.5</v>
      </c>
      <c r="R758">
        <v>80</v>
      </c>
      <c r="S758">
        <v>29.44</v>
      </c>
      <c r="T758" t="str">
        <f t="shared" si="68"/>
        <v>Overweight</v>
      </c>
      <c r="U758">
        <v>75</v>
      </c>
      <c r="V758">
        <v>58</v>
      </c>
      <c r="W758" t="str">
        <f t="shared" si="71"/>
        <v>Normal</v>
      </c>
      <c r="X758">
        <v>0</v>
      </c>
    </row>
    <row r="759" spans="1:24" ht="14.5" thickBot="1" x14ac:dyDescent="0.35">
      <c r="A759">
        <v>0</v>
      </c>
      <c r="B759" t="str">
        <f t="shared" si="69"/>
        <v>Female</v>
      </c>
      <c r="C759" s="8">
        <v>41</v>
      </c>
      <c r="D759" t="str">
        <f t="shared" si="70"/>
        <v>Middle Age</v>
      </c>
      <c r="E759">
        <v>2</v>
      </c>
      <c r="F759" t="str">
        <f>HLOOKUP(E759, LookUP_Table!$A$6:$D$7, 2, FALSE)</f>
        <v>Secondary</v>
      </c>
      <c r="G759" t="str">
        <f>IFERROR(VLOOKUP(E759, LookUP_Table!$A$1:$B$4, 2, FALSE), "")</f>
        <v>Secondary</v>
      </c>
      <c r="H759">
        <v>0</v>
      </c>
      <c r="I759">
        <v>0</v>
      </c>
      <c r="J759" t="str">
        <f t="shared" si="66"/>
        <v>Non-Smoker</v>
      </c>
      <c r="K759">
        <v>0</v>
      </c>
      <c r="L759">
        <v>0</v>
      </c>
      <c r="M759">
        <v>0</v>
      </c>
      <c r="N759">
        <v>0</v>
      </c>
      <c r="O759">
        <v>213</v>
      </c>
      <c r="P759" t="str">
        <f t="shared" si="67"/>
        <v>Normal</v>
      </c>
      <c r="Q759">
        <v>112</v>
      </c>
      <c r="R759">
        <v>73</v>
      </c>
      <c r="S759">
        <v>24.81</v>
      </c>
      <c r="T759" t="str">
        <f t="shared" si="68"/>
        <v>Normal</v>
      </c>
      <c r="U759">
        <v>62</v>
      </c>
      <c r="V759">
        <v>74</v>
      </c>
      <c r="W759" t="str">
        <f t="shared" si="71"/>
        <v>Normal</v>
      </c>
      <c r="X759">
        <v>0</v>
      </c>
    </row>
    <row r="760" spans="1:24" ht="14.5" thickBot="1" x14ac:dyDescent="0.35">
      <c r="A760">
        <v>0</v>
      </c>
      <c r="B760" t="str">
        <f t="shared" si="69"/>
        <v>Female</v>
      </c>
      <c r="C760" s="8">
        <v>41</v>
      </c>
      <c r="D760" t="str">
        <f t="shared" si="70"/>
        <v>Middle Age</v>
      </c>
      <c r="E760">
        <v>3</v>
      </c>
      <c r="F760" t="str">
        <f>HLOOKUP(E760, LookUP_Table!$A$6:$D$7, 2, FALSE)</f>
        <v>Graduate</v>
      </c>
      <c r="G760" t="str">
        <f>IFERROR(VLOOKUP(E760, LookUP_Table!$A$1:$B$4, 2, FALSE), "")</f>
        <v>Graduate</v>
      </c>
      <c r="H760">
        <v>1</v>
      </c>
      <c r="I760">
        <v>30</v>
      </c>
      <c r="J760" t="str">
        <f t="shared" si="66"/>
        <v>Smoker</v>
      </c>
      <c r="K760">
        <v>0</v>
      </c>
      <c r="L760">
        <v>0</v>
      </c>
      <c r="M760">
        <v>1</v>
      </c>
      <c r="N760">
        <v>0</v>
      </c>
      <c r="O760">
        <v>187</v>
      </c>
      <c r="P760" t="str">
        <f t="shared" si="67"/>
        <v>Normal</v>
      </c>
      <c r="Q760">
        <v>154</v>
      </c>
      <c r="R760">
        <v>100</v>
      </c>
      <c r="S760">
        <v>20.5</v>
      </c>
      <c r="T760" t="str">
        <f t="shared" si="68"/>
        <v>Normal</v>
      </c>
      <c r="U760">
        <v>66</v>
      </c>
      <c r="V760">
        <v>78</v>
      </c>
      <c r="W760" t="str">
        <f t="shared" si="71"/>
        <v>Normal</v>
      </c>
      <c r="X760">
        <v>1</v>
      </c>
    </row>
    <row r="761" spans="1:24" ht="14.5" thickBot="1" x14ac:dyDescent="0.35">
      <c r="A761">
        <v>1</v>
      </c>
      <c r="B761" t="str">
        <f t="shared" si="69"/>
        <v>Male</v>
      </c>
      <c r="C761" s="8">
        <v>41</v>
      </c>
      <c r="D761" t="str">
        <f t="shared" si="70"/>
        <v>Middle Age</v>
      </c>
      <c r="E761">
        <v>4</v>
      </c>
      <c r="F761" t="str">
        <f>HLOOKUP(E761, LookUP_Table!$A$6:$D$7, 2, FALSE)</f>
        <v>Post Graduate</v>
      </c>
      <c r="G761" t="str">
        <f>IFERROR(VLOOKUP(E761, LookUP_Table!$A$1:$B$4, 2, FALSE), "")</f>
        <v>Post Graduate</v>
      </c>
      <c r="H761">
        <v>1</v>
      </c>
      <c r="I761">
        <v>20</v>
      </c>
      <c r="J761" t="str">
        <f t="shared" si="66"/>
        <v>Smoker</v>
      </c>
      <c r="K761">
        <v>1</v>
      </c>
      <c r="L761">
        <v>0</v>
      </c>
      <c r="M761">
        <v>1</v>
      </c>
      <c r="N761">
        <v>0</v>
      </c>
      <c r="O761">
        <v>244</v>
      </c>
      <c r="P761" t="str">
        <f t="shared" si="67"/>
        <v>High</v>
      </c>
      <c r="Q761">
        <v>139</v>
      </c>
      <c r="R761">
        <v>86</v>
      </c>
      <c r="S761">
        <v>30.77</v>
      </c>
      <c r="T761" t="str">
        <f t="shared" si="68"/>
        <v>Obese</v>
      </c>
      <c r="U761">
        <v>60</v>
      </c>
      <c r="V761">
        <v>67</v>
      </c>
      <c r="W761" t="str">
        <f t="shared" si="71"/>
        <v>Normal</v>
      </c>
      <c r="X761">
        <v>0</v>
      </c>
    </row>
    <row r="762" spans="1:24" ht="14.5" thickBot="1" x14ac:dyDescent="0.35">
      <c r="A762">
        <v>1</v>
      </c>
      <c r="B762" t="str">
        <f t="shared" si="69"/>
        <v>Male</v>
      </c>
      <c r="C762" s="8">
        <v>41</v>
      </c>
      <c r="D762" t="str">
        <f t="shared" si="70"/>
        <v>Middle Age</v>
      </c>
      <c r="E762">
        <v>1</v>
      </c>
      <c r="F762" t="str">
        <f>HLOOKUP(E762, LookUP_Table!$A$6:$D$7, 2, FALSE)</f>
        <v>Primary</v>
      </c>
      <c r="G762" t="str">
        <f>IFERROR(VLOOKUP(E762, LookUP_Table!$A$1:$B$4, 2, FALSE), "")</f>
        <v>Primary</v>
      </c>
      <c r="H762">
        <v>1</v>
      </c>
      <c r="I762">
        <v>40</v>
      </c>
      <c r="J762" t="str">
        <f t="shared" si="66"/>
        <v>Smoker</v>
      </c>
      <c r="K762">
        <v>0</v>
      </c>
      <c r="L762">
        <v>0</v>
      </c>
      <c r="M762">
        <v>0</v>
      </c>
      <c r="N762">
        <v>0</v>
      </c>
      <c r="O762">
        <v>239</v>
      </c>
      <c r="P762" t="str">
        <f t="shared" si="67"/>
        <v>Normal</v>
      </c>
      <c r="Q762">
        <v>119.5</v>
      </c>
      <c r="R762">
        <v>70</v>
      </c>
      <c r="S762">
        <v>29.79</v>
      </c>
      <c r="T762" t="str">
        <f t="shared" si="68"/>
        <v>Overweight</v>
      </c>
      <c r="U762">
        <v>70</v>
      </c>
      <c r="V762">
        <v>81.96365524402907</v>
      </c>
      <c r="W762" t="str">
        <f t="shared" si="71"/>
        <v>Normal</v>
      </c>
      <c r="X762">
        <v>0</v>
      </c>
    </row>
    <row r="763" spans="1:24" ht="14.5" thickBot="1" x14ac:dyDescent="0.35">
      <c r="A763">
        <v>1</v>
      </c>
      <c r="B763" t="str">
        <f t="shared" si="69"/>
        <v>Male</v>
      </c>
      <c r="C763" s="8">
        <v>41</v>
      </c>
      <c r="D763" t="str">
        <f t="shared" si="70"/>
        <v>Middle Age</v>
      </c>
      <c r="E763">
        <v>2</v>
      </c>
      <c r="F763" t="str">
        <f>HLOOKUP(E763, LookUP_Table!$A$6:$D$7, 2, FALSE)</f>
        <v>Secondary</v>
      </c>
      <c r="G763" t="str">
        <f>IFERROR(VLOOKUP(E763, LookUP_Table!$A$1:$B$4, 2, FALSE), "")</f>
        <v>Secondary</v>
      </c>
      <c r="H763">
        <v>0</v>
      </c>
      <c r="I763">
        <v>0</v>
      </c>
      <c r="J763" t="str">
        <f t="shared" si="66"/>
        <v>Non-Smoker</v>
      </c>
      <c r="K763">
        <v>0</v>
      </c>
      <c r="L763">
        <v>0</v>
      </c>
      <c r="M763">
        <v>0</v>
      </c>
      <c r="N763">
        <v>0</v>
      </c>
      <c r="O763">
        <v>245</v>
      </c>
      <c r="P763" t="str">
        <f t="shared" si="67"/>
        <v>High</v>
      </c>
      <c r="Q763">
        <v>134</v>
      </c>
      <c r="R763">
        <v>98</v>
      </c>
      <c r="S763">
        <v>24.26</v>
      </c>
      <c r="T763" t="str">
        <f t="shared" si="68"/>
        <v>Normal</v>
      </c>
      <c r="U763">
        <v>85</v>
      </c>
      <c r="V763">
        <v>78</v>
      </c>
      <c r="W763" t="str">
        <f t="shared" si="71"/>
        <v>Normal</v>
      </c>
      <c r="X763">
        <v>0</v>
      </c>
    </row>
    <row r="764" spans="1:24" ht="14.5" thickBot="1" x14ac:dyDescent="0.35">
      <c r="A764">
        <v>1</v>
      </c>
      <c r="B764" t="str">
        <f t="shared" si="69"/>
        <v>Male</v>
      </c>
      <c r="C764" s="8">
        <v>41</v>
      </c>
      <c r="D764" t="str">
        <f t="shared" si="70"/>
        <v>Middle Age</v>
      </c>
      <c r="E764">
        <v>2</v>
      </c>
      <c r="F764" t="str">
        <f>HLOOKUP(E764, LookUP_Table!$A$6:$D$7, 2, FALSE)</f>
        <v>Secondary</v>
      </c>
      <c r="G764" t="str">
        <f>IFERROR(VLOOKUP(E764, LookUP_Table!$A$1:$B$4, 2, FALSE), "")</f>
        <v>Secondary</v>
      </c>
      <c r="H764">
        <v>1</v>
      </c>
      <c r="I764">
        <v>40</v>
      </c>
      <c r="J764" t="str">
        <f t="shared" si="66"/>
        <v>Smoker</v>
      </c>
      <c r="K764">
        <v>0</v>
      </c>
      <c r="L764">
        <v>0</v>
      </c>
      <c r="M764">
        <v>0</v>
      </c>
      <c r="N764">
        <v>0</v>
      </c>
      <c r="O764">
        <v>310</v>
      </c>
      <c r="P764" t="str">
        <f t="shared" si="67"/>
        <v>High</v>
      </c>
      <c r="Q764">
        <v>117.5</v>
      </c>
      <c r="R764">
        <v>80</v>
      </c>
      <c r="S764">
        <v>26.74</v>
      </c>
      <c r="T764" t="str">
        <f t="shared" si="68"/>
        <v>Overweight</v>
      </c>
      <c r="U764">
        <v>80</v>
      </c>
      <c r="V764">
        <v>78</v>
      </c>
      <c r="W764" t="str">
        <f t="shared" si="71"/>
        <v>Normal</v>
      </c>
      <c r="X764">
        <v>0</v>
      </c>
    </row>
    <row r="765" spans="1:24" ht="14.5" thickBot="1" x14ac:dyDescent="0.35">
      <c r="A765">
        <v>1</v>
      </c>
      <c r="B765" t="str">
        <f t="shared" si="69"/>
        <v>Male</v>
      </c>
      <c r="C765" s="8">
        <v>41</v>
      </c>
      <c r="D765" t="str">
        <f t="shared" si="70"/>
        <v>Middle Age</v>
      </c>
      <c r="E765">
        <v>2</v>
      </c>
      <c r="F765" t="str">
        <f>HLOOKUP(E765, LookUP_Table!$A$6:$D$7, 2, FALSE)</f>
        <v>Secondary</v>
      </c>
      <c r="G765" t="str">
        <f>IFERROR(VLOOKUP(E765, LookUP_Table!$A$1:$B$4, 2, FALSE), "")</f>
        <v>Secondary</v>
      </c>
      <c r="H765">
        <v>0</v>
      </c>
      <c r="I765">
        <v>0</v>
      </c>
      <c r="J765" t="str">
        <f t="shared" si="66"/>
        <v>Non-Smoker</v>
      </c>
      <c r="K765">
        <v>0</v>
      </c>
      <c r="L765">
        <v>0</v>
      </c>
      <c r="M765">
        <v>0</v>
      </c>
      <c r="N765">
        <v>0</v>
      </c>
      <c r="O765">
        <v>173</v>
      </c>
      <c r="P765" t="str">
        <f t="shared" si="67"/>
        <v>Normal</v>
      </c>
      <c r="Q765">
        <v>130</v>
      </c>
      <c r="R765">
        <v>80</v>
      </c>
      <c r="S765">
        <v>28.39</v>
      </c>
      <c r="T765" t="str">
        <f t="shared" si="68"/>
        <v>Overweight</v>
      </c>
      <c r="U765">
        <v>65</v>
      </c>
      <c r="V765">
        <v>61</v>
      </c>
      <c r="W765" t="str">
        <f t="shared" si="71"/>
        <v>Normal</v>
      </c>
      <c r="X765">
        <v>0</v>
      </c>
    </row>
    <row r="766" spans="1:24" ht="14.5" thickBot="1" x14ac:dyDescent="0.35">
      <c r="A766">
        <v>1</v>
      </c>
      <c r="B766" t="str">
        <f t="shared" si="69"/>
        <v>Male</v>
      </c>
      <c r="C766" s="8">
        <v>41</v>
      </c>
      <c r="D766" t="str">
        <f t="shared" si="70"/>
        <v>Middle Age</v>
      </c>
      <c r="E766">
        <v>2</v>
      </c>
      <c r="F766" t="str">
        <f>HLOOKUP(E766, LookUP_Table!$A$6:$D$7, 2, FALSE)</f>
        <v>Secondary</v>
      </c>
      <c r="G766" t="str">
        <f>IFERROR(VLOOKUP(E766, LookUP_Table!$A$1:$B$4, 2, FALSE), "")</f>
        <v>Secondary</v>
      </c>
      <c r="H766">
        <v>0</v>
      </c>
      <c r="I766">
        <v>0</v>
      </c>
      <c r="J766" t="str">
        <f t="shared" si="66"/>
        <v>Non-Smoker</v>
      </c>
      <c r="K766">
        <v>0</v>
      </c>
      <c r="L766">
        <v>0</v>
      </c>
      <c r="M766">
        <v>1</v>
      </c>
      <c r="N766">
        <v>0</v>
      </c>
      <c r="O766">
        <v>270</v>
      </c>
      <c r="P766" t="str">
        <f t="shared" si="67"/>
        <v>High</v>
      </c>
      <c r="Q766">
        <v>157</v>
      </c>
      <c r="R766">
        <v>101</v>
      </c>
      <c r="S766">
        <v>33.11</v>
      </c>
      <c r="T766" t="str">
        <f t="shared" si="68"/>
        <v>Obese</v>
      </c>
      <c r="U766">
        <v>75</v>
      </c>
      <c r="V766">
        <v>75</v>
      </c>
      <c r="W766" t="str">
        <f t="shared" si="71"/>
        <v>Normal</v>
      </c>
      <c r="X766">
        <v>0</v>
      </c>
    </row>
    <row r="767" spans="1:24" ht="14.5" thickBot="1" x14ac:dyDescent="0.35">
      <c r="A767">
        <v>0</v>
      </c>
      <c r="B767" t="str">
        <f t="shared" si="69"/>
        <v>Female</v>
      </c>
      <c r="C767" s="8">
        <v>41</v>
      </c>
      <c r="D767" t="str">
        <f t="shared" si="70"/>
        <v>Middle Age</v>
      </c>
      <c r="E767">
        <v>4</v>
      </c>
      <c r="F767" t="str">
        <f>HLOOKUP(E767, LookUP_Table!$A$6:$D$7, 2, FALSE)</f>
        <v>Post Graduate</v>
      </c>
      <c r="G767" t="str">
        <f>IFERROR(VLOOKUP(E767, LookUP_Table!$A$1:$B$4, 2, FALSE), "")</f>
        <v>Post Graduate</v>
      </c>
      <c r="H767">
        <v>1</v>
      </c>
      <c r="I767">
        <v>15</v>
      </c>
      <c r="J767" t="str">
        <f t="shared" si="66"/>
        <v>Smoker</v>
      </c>
      <c r="K767">
        <v>0</v>
      </c>
      <c r="L767">
        <v>0</v>
      </c>
      <c r="M767">
        <v>0</v>
      </c>
      <c r="N767">
        <v>0</v>
      </c>
      <c r="O767">
        <v>207</v>
      </c>
      <c r="P767" t="str">
        <f t="shared" si="67"/>
        <v>Normal</v>
      </c>
      <c r="Q767">
        <v>111</v>
      </c>
      <c r="R767">
        <v>60</v>
      </c>
      <c r="S767">
        <v>18.48</v>
      </c>
      <c r="T767" t="str">
        <f t="shared" si="68"/>
        <v>Underweight</v>
      </c>
      <c r="U767">
        <v>60</v>
      </c>
      <c r="V767">
        <v>76</v>
      </c>
      <c r="W767" t="str">
        <f t="shared" si="71"/>
        <v>Normal</v>
      </c>
      <c r="X767">
        <v>0</v>
      </c>
    </row>
    <row r="768" spans="1:24" ht="14.5" thickBot="1" x14ac:dyDescent="0.35">
      <c r="A768">
        <v>1</v>
      </c>
      <c r="B768" t="str">
        <f t="shared" si="69"/>
        <v>Male</v>
      </c>
      <c r="C768" s="8">
        <v>41</v>
      </c>
      <c r="D768" t="str">
        <f t="shared" si="70"/>
        <v>Middle Age</v>
      </c>
      <c r="E768">
        <v>1</v>
      </c>
      <c r="F768" t="str">
        <f>HLOOKUP(E768, LookUP_Table!$A$6:$D$7, 2, FALSE)</f>
        <v>Primary</v>
      </c>
      <c r="G768" t="str">
        <f>IFERROR(VLOOKUP(E768, LookUP_Table!$A$1:$B$4, 2, FALSE), "")</f>
        <v>Primary</v>
      </c>
      <c r="H768">
        <v>1</v>
      </c>
      <c r="I768">
        <v>20</v>
      </c>
      <c r="J768" t="str">
        <f t="shared" si="66"/>
        <v>Smoker</v>
      </c>
      <c r="K768">
        <v>0</v>
      </c>
      <c r="L768">
        <v>0</v>
      </c>
      <c r="M768">
        <v>0</v>
      </c>
      <c r="N768">
        <v>0</v>
      </c>
      <c r="O768">
        <v>238</v>
      </c>
      <c r="P768" t="str">
        <f t="shared" si="67"/>
        <v>Normal</v>
      </c>
      <c r="Q768">
        <v>128</v>
      </c>
      <c r="R768">
        <v>86</v>
      </c>
      <c r="S768">
        <v>26.09</v>
      </c>
      <c r="T768" t="str">
        <f t="shared" si="68"/>
        <v>Overweight</v>
      </c>
      <c r="U768">
        <v>80</v>
      </c>
      <c r="V768">
        <v>72</v>
      </c>
      <c r="W768" t="str">
        <f t="shared" si="71"/>
        <v>Normal</v>
      </c>
      <c r="X768">
        <v>0</v>
      </c>
    </row>
    <row r="769" spans="1:24" ht="14.5" thickBot="1" x14ac:dyDescent="0.35">
      <c r="A769">
        <v>1</v>
      </c>
      <c r="B769" t="str">
        <f t="shared" si="69"/>
        <v>Male</v>
      </c>
      <c r="C769" s="8">
        <v>41</v>
      </c>
      <c r="D769" t="str">
        <f t="shared" si="70"/>
        <v>Middle Age</v>
      </c>
      <c r="E769">
        <v>1</v>
      </c>
      <c r="F769" t="str">
        <f>HLOOKUP(E769, LookUP_Table!$A$6:$D$7, 2, FALSE)</f>
        <v>Primary</v>
      </c>
      <c r="G769" t="str">
        <f>IFERROR(VLOOKUP(E769, LookUP_Table!$A$1:$B$4, 2, FALSE), "")</f>
        <v>Primary</v>
      </c>
      <c r="H769">
        <v>1</v>
      </c>
      <c r="I769">
        <v>30</v>
      </c>
      <c r="J769" t="str">
        <f t="shared" si="66"/>
        <v>Smoker</v>
      </c>
      <c r="K769">
        <v>0</v>
      </c>
      <c r="L769">
        <v>0</v>
      </c>
      <c r="M769">
        <v>0</v>
      </c>
      <c r="N769">
        <v>0</v>
      </c>
      <c r="O769">
        <v>198</v>
      </c>
      <c r="P769" t="str">
        <f t="shared" si="67"/>
        <v>Normal</v>
      </c>
      <c r="Q769">
        <v>106</v>
      </c>
      <c r="R769">
        <v>71</v>
      </c>
      <c r="S769">
        <v>21.51</v>
      </c>
      <c r="T769" t="str">
        <f t="shared" si="68"/>
        <v>Normal</v>
      </c>
      <c r="U769">
        <v>85</v>
      </c>
      <c r="V769">
        <v>84</v>
      </c>
      <c r="W769" t="str">
        <f t="shared" si="71"/>
        <v>Normal</v>
      </c>
      <c r="X769">
        <v>0</v>
      </c>
    </row>
    <row r="770" spans="1:24" ht="14.5" thickBot="1" x14ac:dyDescent="0.35">
      <c r="A770">
        <v>1</v>
      </c>
      <c r="B770" t="str">
        <f t="shared" si="69"/>
        <v>Male</v>
      </c>
      <c r="C770" s="8">
        <v>41</v>
      </c>
      <c r="D770" t="str">
        <f t="shared" si="70"/>
        <v>Middle Age</v>
      </c>
      <c r="E770">
        <v>3</v>
      </c>
      <c r="F770" t="str">
        <f>HLOOKUP(E770, LookUP_Table!$A$6:$D$7, 2, FALSE)</f>
        <v>Graduate</v>
      </c>
      <c r="G770" t="str">
        <f>IFERROR(VLOOKUP(E770, LookUP_Table!$A$1:$B$4, 2, FALSE), "")</f>
        <v>Graduate</v>
      </c>
      <c r="H770">
        <v>0</v>
      </c>
      <c r="I770">
        <v>0</v>
      </c>
      <c r="J770" t="str">
        <f t="shared" ref="J770:J833" si="72">IF(I770&gt;0,"Smoker","Non-Smoker")</f>
        <v>Non-Smoker</v>
      </c>
      <c r="K770">
        <v>0</v>
      </c>
      <c r="L770">
        <v>0</v>
      </c>
      <c r="M770">
        <v>0</v>
      </c>
      <c r="N770">
        <v>0</v>
      </c>
      <c r="O770">
        <v>215</v>
      </c>
      <c r="P770" t="str">
        <f t="shared" ref="P770:P833" si="73">IF(O770&gt;240,"High","Normal")</f>
        <v>Normal</v>
      </c>
      <c r="Q770">
        <v>113</v>
      </c>
      <c r="R770">
        <v>68</v>
      </c>
      <c r="S770">
        <v>25.13</v>
      </c>
      <c r="T770" t="str">
        <f t="shared" ref="T770:T833" si="74">IF(S770&lt;18.5,"Underweight",
IF(S770&lt;25,"Normal",
IF(S770&lt;30,"Overweight","Obese")))</f>
        <v>Overweight</v>
      </c>
      <c r="U770">
        <v>65</v>
      </c>
      <c r="V770">
        <v>87</v>
      </c>
      <c r="W770" t="str">
        <f t="shared" si="71"/>
        <v>Normal</v>
      </c>
      <c r="X770">
        <v>0</v>
      </c>
    </row>
    <row r="771" spans="1:24" ht="14.5" thickBot="1" x14ac:dyDescent="0.35">
      <c r="A771">
        <v>0</v>
      </c>
      <c r="B771" t="str">
        <f t="shared" ref="B771:B834" si="75">IF(A771=0,"Female","Male")</f>
        <v>Female</v>
      </c>
      <c r="C771" s="8">
        <v>41</v>
      </c>
      <c r="D771" t="str">
        <f t="shared" ref="D771:D834" si="76">IF(C771&lt;40,"Young",
IF(C771&lt;55,"Middle Age","Senior"))</f>
        <v>Middle Age</v>
      </c>
      <c r="E771">
        <v>2</v>
      </c>
      <c r="F771" t="str">
        <f>HLOOKUP(E771, LookUP_Table!$A$6:$D$7, 2, FALSE)</f>
        <v>Secondary</v>
      </c>
      <c r="G771" t="str">
        <f>IFERROR(VLOOKUP(E771, LookUP_Table!$A$1:$B$4, 2, FALSE), "")</f>
        <v>Secondary</v>
      </c>
      <c r="H771">
        <v>0</v>
      </c>
      <c r="I771">
        <v>0</v>
      </c>
      <c r="J771" t="str">
        <f t="shared" si="72"/>
        <v>Non-Smoker</v>
      </c>
      <c r="K771">
        <v>0</v>
      </c>
      <c r="L771">
        <v>0</v>
      </c>
      <c r="M771">
        <v>0</v>
      </c>
      <c r="N771">
        <v>0</v>
      </c>
      <c r="O771">
        <v>277</v>
      </c>
      <c r="P771" t="str">
        <f t="shared" si="73"/>
        <v>High</v>
      </c>
      <c r="Q771">
        <v>113.5</v>
      </c>
      <c r="R771">
        <v>75</v>
      </c>
      <c r="S771">
        <v>29.73</v>
      </c>
      <c r="T771" t="str">
        <f t="shared" si="74"/>
        <v>Overweight</v>
      </c>
      <c r="U771">
        <v>63</v>
      </c>
      <c r="V771">
        <v>90</v>
      </c>
      <c r="W771" t="str">
        <f t="shared" ref="W771:W834" si="77">IF(V771 &lt; 100, "Normal", IF(V771 &lt;= 125, "Prediabetes", "Diabetes"))</f>
        <v>Normal</v>
      </c>
      <c r="X771">
        <v>0</v>
      </c>
    </row>
    <row r="772" spans="1:24" ht="14.5" thickBot="1" x14ac:dyDescent="0.35">
      <c r="A772">
        <v>0</v>
      </c>
      <c r="B772" t="str">
        <f t="shared" si="75"/>
        <v>Female</v>
      </c>
      <c r="C772" s="8">
        <v>41</v>
      </c>
      <c r="D772" t="str">
        <f t="shared" si="76"/>
        <v>Middle Age</v>
      </c>
      <c r="E772">
        <v>1</v>
      </c>
      <c r="F772" t="str">
        <f>HLOOKUP(E772, LookUP_Table!$A$6:$D$7, 2, FALSE)</f>
        <v>Primary</v>
      </c>
      <c r="G772" t="str">
        <f>IFERROR(VLOOKUP(E772, LookUP_Table!$A$1:$B$4, 2, FALSE), "")</f>
        <v>Primary</v>
      </c>
      <c r="H772">
        <v>0</v>
      </c>
      <c r="I772">
        <v>0</v>
      </c>
      <c r="J772" t="str">
        <f t="shared" si="72"/>
        <v>Non-Smoker</v>
      </c>
      <c r="K772">
        <v>0</v>
      </c>
      <c r="L772">
        <v>0</v>
      </c>
      <c r="M772">
        <v>0</v>
      </c>
      <c r="N772">
        <v>0</v>
      </c>
      <c r="O772">
        <v>179</v>
      </c>
      <c r="P772" t="str">
        <f t="shared" si="73"/>
        <v>Normal</v>
      </c>
      <c r="Q772">
        <v>116</v>
      </c>
      <c r="R772">
        <v>67</v>
      </c>
      <c r="S772">
        <v>18.579999999999998</v>
      </c>
      <c r="T772" t="str">
        <f t="shared" si="74"/>
        <v>Normal</v>
      </c>
      <c r="U772">
        <v>73</v>
      </c>
      <c r="V772">
        <v>68</v>
      </c>
      <c r="W772" t="str">
        <f t="shared" si="77"/>
        <v>Normal</v>
      </c>
      <c r="X772">
        <v>0</v>
      </c>
    </row>
    <row r="773" spans="1:24" ht="14.5" thickBot="1" x14ac:dyDescent="0.35">
      <c r="A773">
        <v>1</v>
      </c>
      <c r="B773" t="str">
        <f t="shared" si="75"/>
        <v>Male</v>
      </c>
      <c r="C773" s="8">
        <v>41</v>
      </c>
      <c r="D773" t="str">
        <f t="shared" si="76"/>
        <v>Middle Age</v>
      </c>
      <c r="E773">
        <v>2</v>
      </c>
      <c r="F773" t="str">
        <f>HLOOKUP(E773, LookUP_Table!$A$6:$D$7, 2, FALSE)</f>
        <v>Secondary</v>
      </c>
      <c r="G773" t="str">
        <f>IFERROR(VLOOKUP(E773, LookUP_Table!$A$1:$B$4, 2, FALSE), "")</f>
        <v>Secondary</v>
      </c>
      <c r="H773">
        <v>0</v>
      </c>
      <c r="I773">
        <v>0</v>
      </c>
      <c r="J773" t="str">
        <f t="shared" si="72"/>
        <v>Non-Smoker</v>
      </c>
      <c r="K773">
        <v>0</v>
      </c>
      <c r="L773">
        <v>0</v>
      </c>
      <c r="M773">
        <v>0</v>
      </c>
      <c r="N773">
        <v>0</v>
      </c>
      <c r="O773">
        <v>218</v>
      </c>
      <c r="P773" t="str">
        <f t="shared" si="73"/>
        <v>Normal</v>
      </c>
      <c r="Q773">
        <v>137</v>
      </c>
      <c r="R773">
        <v>86</v>
      </c>
      <c r="S773">
        <v>25.52</v>
      </c>
      <c r="T773" t="str">
        <f t="shared" si="74"/>
        <v>Overweight</v>
      </c>
      <c r="U773">
        <v>60</v>
      </c>
      <c r="V773">
        <v>88</v>
      </c>
      <c r="W773" t="str">
        <f t="shared" si="77"/>
        <v>Normal</v>
      </c>
      <c r="X773">
        <v>0</v>
      </c>
    </row>
    <row r="774" spans="1:24" ht="14.5" thickBot="1" x14ac:dyDescent="0.35">
      <c r="A774">
        <v>0</v>
      </c>
      <c r="B774" t="str">
        <f t="shared" si="75"/>
        <v>Female</v>
      </c>
      <c r="C774" s="8">
        <v>41</v>
      </c>
      <c r="D774" t="str">
        <f t="shared" si="76"/>
        <v>Middle Age</v>
      </c>
      <c r="E774">
        <v>2</v>
      </c>
      <c r="F774" t="str">
        <f>HLOOKUP(E774, LookUP_Table!$A$6:$D$7, 2, FALSE)</f>
        <v>Secondary</v>
      </c>
      <c r="G774" t="str">
        <f>IFERROR(VLOOKUP(E774, LookUP_Table!$A$1:$B$4, 2, FALSE), "")</f>
        <v>Secondary</v>
      </c>
      <c r="H774">
        <v>1</v>
      </c>
      <c r="I774">
        <v>20</v>
      </c>
      <c r="J774" t="str">
        <f t="shared" si="72"/>
        <v>Smoker</v>
      </c>
      <c r="K774">
        <v>0</v>
      </c>
      <c r="L774">
        <v>0</v>
      </c>
      <c r="M774">
        <v>0</v>
      </c>
      <c r="N774">
        <v>0</v>
      </c>
      <c r="O774">
        <v>208</v>
      </c>
      <c r="P774" t="str">
        <f t="shared" si="73"/>
        <v>Normal</v>
      </c>
      <c r="Q774">
        <v>119</v>
      </c>
      <c r="R774">
        <v>82</v>
      </c>
      <c r="S774">
        <v>25.25</v>
      </c>
      <c r="T774" t="str">
        <f t="shared" si="74"/>
        <v>Overweight</v>
      </c>
      <c r="U774">
        <v>73</v>
      </c>
      <c r="V774">
        <v>81.96365524402907</v>
      </c>
      <c r="W774" t="str">
        <f t="shared" si="77"/>
        <v>Normal</v>
      </c>
      <c r="X774">
        <v>0</v>
      </c>
    </row>
    <row r="775" spans="1:24" ht="14.5" thickBot="1" x14ac:dyDescent="0.35">
      <c r="A775">
        <v>0</v>
      </c>
      <c r="B775" t="str">
        <f t="shared" si="75"/>
        <v>Female</v>
      </c>
      <c r="C775" s="8">
        <v>41</v>
      </c>
      <c r="D775" t="str">
        <f t="shared" si="76"/>
        <v>Middle Age</v>
      </c>
      <c r="E775">
        <v>2</v>
      </c>
      <c r="F775" t="str">
        <f>HLOOKUP(E775, LookUP_Table!$A$6:$D$7, 2, FALSE)</f>
        <v>Secondary</v>
      </c>
      <c r="G775" t="str">
        <f>IFERROR(VLOOKUP(E775, LookUP_Table!$A$1:$B$4, 2, FALSE), "")</f>
        <v>Secondary</v>
      </c>
      <c r="H775">
        <v>1</v>
      </c>
      <c r="I775">
        <v>5</v>
      </c>
      <c r="J775" t="str">
        <f t="shared" si="72"/>
        <v>Smoker</v>
      </c>
      <c r="K775">
        <v>0</v>
      </c>
      <c r="L775">
        <v>0</v>
      </c>
      <c r="M775">
        <v>0</v>
      </c>
      <c r="N775">
        <v>0</v>
      </c>
      <c r="O775">
        <v>220</v>
      </c>
      <c r="P775" t="str">
        <f t="shared" si="73"/>
        <v>Normal</v>
      </c>
      <c r="Q775">
        <v>108.5</v>
      </c>
      <c r="R775">
        <v>80</v>
      </c>
      <c r="S775">
        <v>20.18</v>
      </c>
      <c r="T775" t="str">
        <f t="shared" si="74"/>
        <v>Normal</v>
      </c>
      <c r="U775">
        <v>94</v>
      </c>
      <c r="V775">
        <v>81.96365524402907</v>
      </c>
      <c r="W775" t="str">
        <f t="shared" si="77"/>
        <v>Normal</v>
      </c>
      <c r="X775">
        <v>0</v>
      </c>
    </row>
    <row r="776" spans="1:24" ht="14.5" thickBot="1" x14ac:dyDescent="0.35">
      <c r="A776">
        <v>0</v>
      </c>
      <c r="B776" t="str">
        <f t="shared" si="75"/>
        <v>Female</v>
      </c>
      <c r="C776" s="8">
        <v>41</v>
      </c>
      <c r="D776" t="str">
        <f t="shared" si="76"/>
        <v>Middle Age</v>
      </c>
      <c r="E776">
        <v>3</v>
      </c>
      <c r="F776" t="str">
        <f>HLOOKUP(E776, LookUP_Table!$A$6:$D$7, 2, FALSE)</f>
        <v>Graduate</v>
      </c>
      <c r="G776" t="str">
        <f>IFERROR(VLOOKUP(E776, LookUP_Table!$A$1:$B$4, 2, FALSE), "")</f>
        <v>Graduate</v>
      </c>
      <c r="H776">
        <v>1</v>
      </c>
      <c r="I776">
        <v>11</v>
      </c>
      <c r="J776" t="str">
        <f t="shared" si="72"/>
        <v>Smoker</v>
      </c>
      <c r="K776">
        <v>0</v>
      </c>
      <c r="L776">
        <v>0</v>
      </c>
      <c r="M776">
        <v>0</v>
      </c>
      <c r="N776">
        <v>0</v>
      </c>
      <c r="O776">
        <v>201</v>
      </c>
      <c r="P776" t="str">
        <f t="shared" si="73"/>
        <v>Normal</v>
      </c>
      <c r="Q776">
        <v>108</v>
      </c>
      <c r="R776">
        <v>71</v>
      </c>
      <c r="S776">
        <v>20.47</v>
      </c>
      <c r="T776" t="str">
        <f t="shared" si="74"/>
        <v>Normal</v>
      </c>
      <c r="U776">
        <v>76</v>
      </c>
      <c r="V776">
        <v>75</v>
      </c>
      <c r="W776" t="str">
        <f t="shared" si="77"/>
        <v>Normal</v>
      </c>
      <c r="X776">
        <v>0</v>
      </c>
    </row>
    <row r="777" spans="1:24" ht="14.5" thickBot="1" x14ac:dyDescent="0.35">
      <c r="A777">
        <v>0</v>
      </c>
      <c r="B777" t="str">
        <f t="shared" si="75"/>
        <v>Female</v>
      </c>
      <c r="C777" s="8">
        <v>41</v>
      </c>
      <c r="D777" t="str">
        <f t="shared" si="76"/>
        <v>Middle Age</v>
      </c>
      <c r="E777">
        <v>2</v>
      </c>
      <c r="F777" t="str">
        <f>HLOOKUP(E777, LookUP_Table!$A$6:$D$7, 2, FALSE)</f>
        <v>Secondary</v>
      </c>
      <c r="G777" t="str">
        <f>IFERROR(VLOOKUP(E777, LookUP_Table!$A$1:$B$4, 2, FALSE), "")</f>
        <v>Secondary</v>
      </c>
      <c r="H777">
        <v>0</v>
      </c>
      <c r="I777">
        <v>0</v>
      </c>
      <c r="J777" t="str">
        <f t="shared" si="72"/>
        <v>Non-Smoker</v>
      </c>
      <c r="K777">
        <v>0</v>
      </c>
      <c r="L777">
        <v>0</v>
      </c>
      <c r="M777">
        <v>0</v>
      </c>
      <c r="N777">
        <v>0</v>
      </c>
      <c r="O777">
        <v>237</v>
      </c>
      <c r="P777" t="str">
        <f t="shared" si="73"/>
        <v>Normal</v>
      </c>
      <c r="Q777">
        <v>125</v>
      </c>
      <c r="R777">
        <v>83</v>
      </c>
      <c r="S777">
        <v>24.56</v>
      </c>
      <c r="T777" t="str">
        <f t="shared" si="74"/>
        <v>Normal</v>
      </c>
      <c r="U777">
        <v>73</v>
      </c>
      <c r="V777">
        <v>61</v>
      </c>
      <c r="W777" t="str">
        <f t="shared" si="77"/>
        <v>Normal</v>
      </c>
      <c r="X777">
        <v>0</v>
      </c>
    </row>
    <row r="778" spans="1:24" ht="14.5" thickBot="1" x14ac:dyDescent="0.35">
      <c r="A778">
        <v>0</v>
      </c>
      <c r="B778" t="str">
        <f t="shared" si="75"/>
        <v>Female</v>
      </c>
      <c r="C778" s="8">
        <v>41</v>
      </c>
      <c r="D778" t="str">
        <f t="shared" si="76"/>
        <v>Middle Age</v>
      </c>
      <c r="E778">
        <v>1</v>
      </c>
      <c r="F778" t="str">
        <f>HLOOKUP(E778, LookUP_Table!$A$6:$D$7, 2, FALSE)</f>
        <v>Primary</v>
      </c>
      <c r="G778" t="str">
        <f>IFERROR(VLOOKUP(E778, LookUP_Table!$A$1:$B$4, 2, FALSE), "")</f>
        <v>Primary</v>
      </c>
      <c r="H778">
        <v>1</v>
      </c>
      <c r="I778">
        <v>4</v>
      </c>
      <c r="J778" t="str">
        <f t="shared" si="72"/>
        <v>Smoker</v>
      </c>
      <c r="K778">
        <v>0</v>
      </c>
      <c r="L778">
        <v>0</v>
      </c>
      <c r="M778">
        <v>0</v>
      </c>
      <c r="N778">
        <v>0</v>
      </c>
      <c r="O778">
        <v>176</v>
      </c>
      <c r="P778" t="str">
        <f t="shared" si="73"/>
        <v>Normal</v>
      </c>
      <c r="Q778">
        <v>113</v>
      </c>
      <c r="R778">
        <v>75</v>
      </c>
      <c r="S778">
        <v>22.29</v>
      </c>
      <c r="T778" t="str">
        <f t="shared" si="74"/>
        <v>Normal</v>
      </c>
      <c r="U778">
        <v>80</v>
      </c>
      <c r="V778">
        <v>55</v>
      </c>
      <c r="W778" t="str">
        <f t="shared" si="77"/>
        <v>Normal</v>
      </c>
      <c r="X778">
        <v>0</v>
      </c>
    </row>
    <row r="779" spans="1:24" ht="14.5" thickBot="1" x14ac:dyDescent="0.35">
      <c r="A779">
        <v>1</v>
      </c>
      <c r="B779" t="str">
        <f t="shared" si="75"/>
        <v>Male</v>
      </c>
      <c r="C779" s="8">
        <v>41</v>
      </c>
      <c r="D779" t="str">
        <f t="shared" si="76"/>
        <v>Middle Age</v>
      </c>
      <c r="E779">
        <v>2</v>
      </c>
      <c r="F779" t="str">
        <f>HLOOKUP(E779, LookUP_Table!$A$6:$D$7, 2, FALSE)</f>
        <v>Secondary</v>
      </c>
      <c r="G779" t="str">
        <f>IFERROR(VLOOKUP(E779, LookUP_Table!$A$1:$B$4, 2, FALSE), "")</f>
        <v>Secondary</v>
      </c>
      <c r="H779">
        <v>1</v>
      </c>
      <c r="I779">
        <v>10</v>
      </c>
      <c r="J779" t="str">
        <f t="shared" si="72"/>
        <v>Smoker</v>
      </c>
      <c r="K779">
        <v>0</v>
      </c>
      <c r="L779">
        <v>0</v>
      </c>
      <c r="M779">
        <v>0</v>
      </c>
      <c r="N779">
        <v>0</v>
      </c>
      <c r="O779">
        <v>210</v>
      </c>
      <c r="P779" t="str">
        <f t="shared" si="73"/>
        <v>Normal</v>
      </c>
      <c r="Q779">
        <v>121.5</v>
      </c>
      <c r="R779">
        <v>82.5</v>
      </c>
      <c r="S779">
        <v>23.27</v>
      </c>
      <c r="T779" t="str">
        <f t="shared" si="74"/>
        <v>Normal</v>
      </c>
      <c r="U779">
        <v>78</v>
      </c>
      <c r="V779">
        <v>89</v>
      </c>
      <c r="W779" t="str">
        <f t="shared" si="77"/>
        <v>Normal</v>
      </c>
      <c r="X779">
        <v>0</v>
      </c>
    </row>
    <row r="780" spans="1:24" ht="14.5" thickBot="1" x14ac:dyDescent="0.35">
      <c r="A780">
        <v>0</v>
      </c>
      <c r="B780" t="str">
        <f t="shared" si="75"/>
        <v>Female</v>
      </c>
      <c r="C780" s="8">
        <v>41</v>
      </c>
      <c r="D780" t="str">
        <f t="shared" si="76"/>
        <v>Middle Age</v>
      </c>
      <c r="E780">
        <v>1</v>
      </c>
      <c r="F780" t="str">
        <f>HLOOKUP(E780, LookUP_Table!$A$6:$D$7, 2, FALSE)</f>
        <v>Primary</v>
      </c>
      <c r="G780" t="str">
        <f>IFERROR(VLOOKUP(E780, LookUP_Table!$A$1:$B$4, 2, FALSE), "")</f>
        <v>Primary</v>
      </c>
      <c r="H780">
        <v>1</v>
      </c>
      <c r="I780">
        <v>5</v>
      </c>
      <c r="J780" t="str">
        <f t="shared" si="72"/>
        <v>Smoker</v>
      </c>
      <c r="K780">
        <v>0</v>
      </c>
      <c r="L780">
        <v>0</v>
      </c>
      <c r="M780">
        <v>0</v>
      </c>
      <c r="N780">
        <v>0</v>
      </c>
      <c r="O780">
        <v>210</v>
      </c>
      <c r="P780" t="str">
        <f t="shared" si="73"/>
        <v>Normal</v>
      </c>
      <c r="Q780">
        <v>116</v>
      </c>
      <c r="R780">
        <v>75.5</v>
      </c>
      <c r="S780">
        <v>23.54</v>
      </c>
      <c r="T780" t="str">
        <f t="shared" si="74"/>
        <v>Normal</v>
      </c>
      <c r="U780">
        <v>67</v>
      </c>
      <c r="V780">
        <v>81.96365524402907</v>
      </c>
      <c r="W780" t="str">
        <f t="shared" si="77"/>
        <v>Normal</v>
      </c>
      <c r="X780">
        <v>0</v>
      </c>
    </row>
    <row r="781" spans="1:24" ht="14.5" thickBot="1" x14ac:dyDescent="0.35">
      <c r="A781">
        <v>0</v>
      </c>
      <c r="B781" t="str">
        <f t="shared" si="75"/>
        <v>Female</v>
      </c>
      <c r="C781" s="8">
        <v>41</v>
      </c>
      <c r="D781" t="str">
        <f t="shared" si="76"/>
        <v>Middle Age</v>
      </c>
      <c r="E781">
        <v>1</v>
      </c>
      <c r="F781" t="str">
        <f>HLOOKUP(E781, LookUP_Table!$A$6:$D$7, 2, FALSE)</f>
        <v>Primary</v>
      </c>
      <c r="G781" t="str">
        <f>IFERROR(VLOOKUP(E781, LookUP_Table!$A$1:$B$4, 2, FALSE), "")</f>
        <v>Primary</v>
      </c>
      <c r="H781">
        <v>1</v>
      </c>
      <c r="I781">
        <v>30</v>
      </c>
      <c r="J781" t="str">
        <f t="shared" si="72"/>
        <v>Smoker</v>
      </c>
      <c r="K781">
        <v>0</v>
      </c>
      <c r="L781">
        <v>0</v>
      </c>
      <c r="M781">
        <v>0</v>
      </c>
      <c r="N781">
        <v>0</v>
      </c>
      <c r="O781">
        <v>236.69952267303103</v>
      </c>
      <c r="P781" t="str">
        <f t="shared" si="73"/>
        <v>Normal</v>
      </c>
      <c r="Q781">
        <v>122.5</v>
      </c>
      <c r="R781">
        <v>80</v>
      </c>
      <c r="S781">
        <v>18.86</v>
      </c>
      <c r="T781" t="str">
        <f t="shared" si="74"/>
        <v>Normal</v>
      </c>
      <c r="U781">
        <v>105</v>
      </c>
      <c r="V781">
        <v>81.96365524402907</v>
      </c>
      <c r="W781" t="str">
        <f t="shared" si="77"/>
        <v>Normal</v>
      </c>
      <c r="X781">
        <v>0</v>
      </c>
    </row>
    <row r="782" spans="1:24" ht="14.5" thickBot="1" x14ac:dyDescent="0.35">
      <c r="A782">
        <v>1</v>
      </c>
      <c r="B782" t="str">
        <f t="shared" si="75"/>
        <v>Male</v>
      </c>
      <c r="C782" s="8">
        <v>41</v>
      </c>
      <c r="D782" t="str">
        <f t="shared" si="76"/>
        <v>Middle Age</v>
      </c>
      <c r="E782">
        <v>2</v>
      </c>
      <c r="F782" t="str">
        <f>HLOOKUP(E782, LookUP_Table!$A$6:$D$7, 2, FALSE)</f>
        <v>Secondary</v>
      </c>
      <c r="G782" t="str">
        <f>IFERROR(VLOOKUP(E782, LookUP_Table!$A$1:$B$4, 2, FALSE), "")</f>
        <v>Secondary</v>
      </c>
      <c r="H782">
        <v>1</v>
      </c>
      <c r="I782">
        <v>5</v>
      </c>
      <c r="J782" t="str">
        <f t="shared" si="72"/>
        <v>Smoker</v>
      </c>
      <c r="K782">
        <v>0</v>
      </c>
      <c r="L782">
        <v>0</v>
      </c>
      <c r="M782">
        <v>0</v>
      </c>
      <c r="N782">
        <v>0</v>
      </c>
      <c r="O782">
        <v>218</v>
      </c>
      <c r="P782" t="str">
        <f t="shared" si="73"/>
        <v>Normal</v>
      </c>
      <c r="Q782">
        <v>129.5</v>
      </c>
      <c r="R782">
        <v>93</v>
      </c>
      <c r="S782">
        <v>27.8</v>
      </c>
      <c r="T782" t="str">
        <f t="shared" si="74"/>
        <v>Overweight</v>
      </c>
      <c r="U782">
        <v>58</v>
      </c>
      <c r="V782">
        <v>83</v>
      </c>
      <c r="W782" t="str">
        <f t="shared" si="77"/>
        <v>Normal</v>
      </c>
      <c r="X782">
        <v>0</v>
      </c>
    </row>
    <row r="783" spans="1:24" ht="14.5" thickBot="1" x14ac:dyDescent="0.35">
      <c r="A783">
        <v>0</v>
      </c>
      <c r="B783" t="str">
        <f t="shared" si="75"/>
        <v>Female</v>
      </c>
      <c r="C783" s="8">
        <v>41</v>
      </c>
      <c r="D783" t="str">
        <f t="shared" si="76"/>
        <v>Middle Age</v>
      </c>
      <c r="E783">
        <v>2</v>
      </c>
      <c r="F783" t="str">
        <f>HLOOKUP(E783, LookUP_Table!$A$6:$D$7, 2, FALSE)</f>
        <v>Secondary</v>
      </c>
      <c r="G783" t="str">
        <f>IFERROR(VLOOKUP(E783, LookUP_Table!$A$1:$B$4, 2, FALSE), "")</f>
        <v>Secondary</v>
      </c>
      <c r="H783">
        <v>1</v>
      </c>
      <c r="I783">
        <v>20</v>
      </c>
      <c r="J783" t="str">
        <f t="shared" si="72"/>
        <v>Smoker</v>
      </c>
      <c r="K783">
        <v>0</v>
      </c>
      <c r="L783">
        <v>0</v>
      </c>
      <c r="M783">
        <v>0</v>
      </c>
      <c r="N783">
        <v>0</v>
      </c>
      <c r="O783">
        <v>195</v>
      </c>
      <c r="P783" t="str">
        <f t="shared" si="73"/>
        <v>Normal</v>
      </c>
      <c r="Q783">
        <v>148</v>
      </c>
      <c r="R783">
        <v>108</v>
      </c>
      <c r="S783">
        <v>18.21</v>
      </c>
      <c r="T783" t="str">
        <f t="shared" si="74"/>
        <v>Underweight</v>
      </c>
      <c r="U783">
        <v>76</v>
      </c>
      <c r="V783">
        <v>69</v>
      </c>
      <c r="W783" t="str">
        <f t="shared" si="77"/>
        <v>Normal</v>
      </c>
      <c r="X783">
        <v>0</v>
      </c>
    </row>
    <row r="784" spans="1:24" ht="14.5" thickBot="1" x14ac:dyDescent="0.35">
      <c r="A784">
        <v>0</v>
      </c>
      <c r="B784" t="str">
        <f t="shared" si="75"/>
        <v>Female</v>
      </c>
      <c r="C784" s="8">
        <v>41</v>
      </c>
      <c r="D784" t="str">
        <f t="shared" si="76"/>
        <v>Middle Age</v>
      </c>
      <c r="E784">
        <v>1</v>
      </c>
      <c r="F784" t="str">
        <f>HLOOKUP(E784, LookUP_Table!$A$6:$D$7, 2, FALSE)</f>
        <v>Primary</v>
      </c>
      <c r="G784" t="str">
        <f>IFERROR(VLOOKUP(E784, LookUP_Table!$A$1:$B$4, 2, FALSE), "")</f>
        <v>Primary</v>
      </c>
      <c r="H784">
        <v>1</v>
      </c>
      <c r="I784">
        <v>5</v>
      </c>
      <c r="J784" t="str">
        <f t="shared" si="72"/>
        <v>Smoker</v>
      </c>
      <c r="K784">
        <v>0</v>
      </c>
      <c r="L784">
        <v>0</v>
      </c>
      <c r="M784">
        <v>0</v>
      </c>
      <c r="N784">
        <v>0</v>
      </c>
      <c r="O784">
        <v>240</v>
      </c>
      <c r="P784" t="str">
        <f t="shared" si="73"/>
        <v>Normal</v>
      </c>
      <c r="Q784">
        <v>107</v>
      </c>
      <c r="R784">
        <v>68.5</v>
      </c>
      <c r="S784">
        <v>23.47</v>
      </c>
      <c r="T784" t="str">
        <f t="shared" si="74"/>
        <v>Normal</v>
      </c>
      <c r="U784">
        <v>65</v>
      </c>
      <c r="V784">
        <v>83</v>
      </c>
      <c r="W784" t="str">
        <f t="shared" si="77"/>
        <v>Normal</v>
      </c>
      <c r="X784">
        <v>0</v>
      </c>
    </row>
    <row r="785" spans="1:24" ht="14.5" thickBot="1" x14ac:dyDescent="0.35">
      <c r="A785">
        <v>1</v>
      </c>
      <c r="B785" t="str">
        <f t="shared" si="75"/>
        <v>Male</v>
      </c>
      <c r="C785" s="8">
        <v>41</v>
      </c>
      <c r="D785" t="str">
        <f t="shared" si="76"/>
        <v>Middle Age</v>
      </c>
      <c r="E785">
        <v>2</v>
      </c>
      <c r="F785" t="str">
        <f>HLOOKUP(E785, LookUP_Table!$A$6:$D$7, 2, FALSE)</f>
        <v>Secondary</v>
      </c>
      <c r="G785" t="str">
        <f>IFERROR(VLOOKUP(E785, LookUP_Table!$A$1:$B$4, 2, FALSE), "")</f>
        <v>Secondary</v>
      </c>
      <c r="H785">
        <v>1</v>
      </c>
      <c r="I785">
        <v>20</v>
      </c>
      <c r="J785" t="str">
        <f t="shared" si="72"/>
        <v>Smoker</v>
      </c>
      <c r="K785">
        <v>0</v>
      </c>
      <c r="L785">
        <v>0</v>
      </c>
      <c r="M785">
        <v>0</v>
      </c>
      <c r="N785">
        <v>0</v>
      </c>
      <c r="O785">
        <v>255</v>
      </c>
      <c r="P785" t="str">
        <f t="shared" si="73"/>
        <v>High</v>
      </c>
      <c r="Q785">
        <v>126</v>
      </c>
      <c r="R785">
        <v>78</v>
      </c>
      <c r="S785">
        <v>25.48</v>
      </c>
      <c r="T785" t="str">
        <f t="shared" si="74"/>
        <v>Overweight</v>
      </c>
      <c r="U785">
        <v>80</v>
      </c>
      <c r="V785">
        <v>76</v>
      </c>
      <c r="W785" t="str">
        <f t="shared" si="77"/>
        <v>Normal</v>
      </c>
      <c r="X785">
        <v>0</v>
      </c>
    </row>
    <row r="786" spans="1:24" ht="14.5" thickBot="1" x14ac:dyDescent="0.35">
      <c r="A786">
        <v>1</v>
      </c>
      <c r="B786" t="str">
        <f t="shared" si="75"/>
        <v>Male</v>
      </c>
      <c r="C786" s="8">
        <v>41</v>
      </c>
      <c r="D786" t="str">
        <f t="shared" si="76"/>
        <v>Middle Age</v>
      </c>
      <c r="E786">
        <v>2</v>
      </c>
      <c r="F786" t="str">
        <f>HLOOKUP(E786, LookUP_Table!$A$6:$D$7, 2, FALSE)</f>
        <v>Secondary</v>
      </c>
      <c r="G786" t="str">
        <f>IFERROR(VLOOKUP(E786, LookUP_Table!$A$1:$B$4, 2, FALSE), "")</f>
        <v>Secondary</v>
      </c>
      <c r="H786">
        <v>1</v>
      </c>
      <c r="I786">
        <v>20</v>
      </c>
      <c r="J786" t="str">
        <f t="shared" si="72"/>
        <v>Smoker</v>
      </c>
      <c r="K786">
        <v>0</v>
      </c>
      <c r="L786">
        <v>0</v>
      </c>
      <c r="M786">
        <v>1</v>
      </c>
      <c r="N786">
        <v>0</v>
      </c>
      <c r="O786">
        <v>196</v>
      </c>
      <c r="P786" t="str">
        <f t="shared" si="73"/>
        <v>Normal</v>
      </c>
      <c r="Q786">
        <v>147.5</v>
      </c>
      <c r="R786">
        <v>92.5</v>
      </c>
      <c r="S786">
        <v>22.72</v>
      </c>
      <c r="T786" t="str">
        <f t="shared" si="74"/>
        <v>Normal</v>
      </c>
      <c r="U786">
        <v>75</v>
      </c>
      <c r="V786">
        <v>71</v>
      </c>
      <c r="W786" t="str">
        <f t="shared" si="77"/>
        <v>Normal</v>
      </c>
      <c r="X786">
        <v>0</v>
      </c>
    </row>
    <row r="787" spans="1:24" ht="14.5" thickBot="1" x14ac:dyDescent="0.35">
      <c r="A787">
        <v>0</v>
      </c>
      <c r="B787" t="str">
        <f t="shared" si="75"/>
        <v>Female</v>
      </c>
      <c r="C787" s="8">
        <v>41</v>
      </c>
      <c r="D787" t="str">
        <f t="shared" si="76"/>
        <v>Middle Age</v>
      </c>
      <c r="E787">
        <v>2</v>
      </c>
      <c r="F787" t="str">
        <f>HLOOKUP(E787, LookUP_Table!$A$6:$D$7, 2, FALSE)</f>
        <v>Secondary</v>
      </c>
      <c r="G787" t="str">
        <f>IFERROR(VLOOKUP(E787, LookUP_Table!$A$1:$B$4, 2, FALSE), "")</f>
        <v>Secondary</v>
      </c>
      <c r="H787">
        <v>1</v>
      </c>
      <c r="I787">
        <v>10</v>
      </c>
      <c r="J787" t="str">
        <f t="shared" si="72"/>
        <v>Smoker</v>
      </c>
      <c r="K787">
        <v>0</v>
      </c>
      <c r="L787">
        <v>0</v>
      </c>
      <c r="M787">
        <v>0</v>
      </c>
      <c r="N787">
        <v>0</v>
      </c>
      <c r="O787">
        <v>193</v>
      </c>
      <c r="P787" t="str">
        <f t="shared" si="73"/>
        <v>Normal</v>
      </c>
      <c r="Q787">
        <v>134.5</v>
      </c>
      <c r="R787">
        <v>83</v>
      </c>
      <c r="S787">
        <v>22.28</v>
      </c>
      <c r="T787" t="str">
        <f t="shared" si="74"/>
        <v>Normal</v>
      </c>
      <c r="U787">
        <v>85</v>
      </c>
      <c r="V787">
        <v>127</v>
      </c>
      <c r="W787" t="str">
        <f t="shared" si="77"/>
        <v>Diabetes</v>
      </c>
      <c r="X787">
        <v>0</v>
      </c>
    </row>
    <row r="788" spans="1:24" ht="14.5" thickBot="1" x14ac:dyDescent="0.35">
      <c r="A788">
        <v>0</v>
      </c>
      <c r="B788" t="str">
        <f t="shared" si="75"/>
        <v>Female</v>
      </c>
      <c r="C788" s="8">
        <v>41</v>
      </c>
      <c r="D788" t="str">
        <f t="shared" si="76"/>
        <v>Middle Age</v>
      </c>
      <c r="E788">
        <v>3</v>
      </c>
      <c r="F788" t="str">
        <f>HLOOKUP(E788, LookUP_Table!$A$6:$D$7, 2, FALSE)</f>
        <v>Graduate</v>
      </c>
      <c r="G788" t="str">
        <f>IFERROR(VLOOKUP(E788, LookUP_Table!$A$1:$B$4, 2, FALSE), "")</f>
        <v>Graduate</v>
      </c>
      <c r="H788">
        <v>0</v>
      </c>
      <c r="I788">
        <v>0</v>
      </c>
      <c r="J788" t="str">
        <f t="shared" si="72"/>
        <v>Non-Smoker</v>
      </c>
      <c r="K788">
        <v>0</v>
      </c>
      <c r="L788">
        <v>0</v>
      </c>
      <c r="M788">
        <v>0</v>
      </c>
      <c r="N788">
        <v>0</v>
      </c>
      <c r="O788">
        <v>239</v>
      </c>
      <c r="P788" t="str">
        <f t="shared" si="73"/>
        <v>Normal</v>
      </c>
      <c r="Q788">
        <v>123</v>
      </c>
      <c r="R788">
        <v>70</v>
      </c>
      <c r="S788">
        <v>20.2</v>
      </c>
      <c r="T788" t="str">
        <f t="shared" si="74"/>
        <v>Normal</v>
      </c>
      <c r="U788">
        <v>65</v>
      </c>
      <c r="V788">
        <v>81.96365524402907</v>
      </c>
      <c r="W788" t="str">
        <f t="shared" si="77"/>
        <v>Normal</v>
      </c>
      <c r="X788">
        <v>0</v>
      </c>
    </row>
    <row r="789" spans="1:24" ht="14.5" thickBot="1" x14ac:dyDescent="0.35">
      <c r="A789">
        <v>1</v>
      </c>
      <c r="B789" t="str">
        <f t="shared" si="75"/>
        <v>Male</v>
      </c>
      <c r="C789" s="8">
        <v>41</v>
      </c>
      <c r="D789" t="str">
        <f t="shared" si="76"/>
        <v>Middle Age</v>
      </c>
      <c r="E789">
        <v>4</v>
      </c>
      <c r="F789" t="str">
        <f>HLOOKUP(E789, LookUP_Table!$A$6:$D$7, 2, FALSE)</f>
        <v>Post Graduate</v>
      </c>
      <c r="G789" t="str">
        <f>IFERROR(VLOOKUP(E789, LookUP_Table!$A$1:$B$4, 2, FALSE), "")</f>
        <v>Post Graduate</v>
      </c>
      <c r="H789">
        <v>0</v>
      </c>
      <c r="I789">
        <v>0</v>
      </c>
      <c r="J789" t="str">
        <f t="shared" si="72"/>
        <v>Non-Smoker</v>
      </c>
      <c r="K789">
        <v>0</v>
      </c>
      <c r="L789">
        <v>0</v>
      </c>
      <c r="M789">
        <v>0</v>
      </c>
      <c r="N789">
        <v>0</v>
      </c>
      <c r="O789">
        <v>210</v>
      </c>
      <c r="P789" t="str">
        <f t="shared" si="73"/>
        <v>Normal</v>
      </c>
      <c r="Q789">
        <v>124</v>
      </c>
      <c r="R789">
        <v>79</v>
      </c>
      <c r="S789">
        <v>25.26</v>
      </c>
      <c r="T789" t="str">
        <f t="shared" si="74"/>
        <v>Overweight</v>
      </c>
      <c r="U789">
        <v>85</v>
      </c>
      <c r="V789">
        <v>91</v>
      </c>
      <c r="W789" t="str">
        <f t="shared" si="77"/>
        <v>Normal</v>
      </c>
      <c r="X789">
        <v>0</v>
      </c>
    </row>
    <row r="790" spans="1:24" ht="14.5" thickBot="1" x14ac:dyDescent="0.35">
      <c r="A790">
        <v>0</v>
      </c>
      <c r="B790" t="str">
        <f t="shared" si="75"/>
        <v>Female</v>
      </c>
      <c r="C790" s="8">
        <v>41</v>
      </c>
      <c r="D790" t="str">
        <f t="shared" si="76"/>
        <v>Middle Age</v>
      </c>
      <c r="E790">
        <v>2</v>
      </c>
      <c r="F790" t="str">
        <f>HLOOKUP(E790, LookUP_Table!$A$6:$D$7, 2, FALSE)</f>
        <v>Secondary</v>
      </c>
      <c r="G790" t="str">
        <f>IFERROR(VLOOKUP(E790, LookUP_Table!$A$1:$B$4, 2, FALSE), "")</f>
        <v>Secondary</v>
      </c>
      <c r="H790">
        <v>0</v>
      </c>
      <c r="I790">
        <v>0</v>
      </c>
      <c r="J790" t="str">
        <f t="shared" si="72"/>
        <v>Non-Smoker</v>
      </c>
      <c r="K790">
        <v>0</v>
      </c>
      <c r="L790">
        <v>0</v>
      </c>
      <c r="M790">
        <v>0</v>
      </c>
      <c r="N790">
        <v>0</v>
      </c>
      <c r="O790">
        <v>168</v>
      </c>
      <c r="P790" t="str">
        <f t="shared" si="73"/>
        <v>Normal</v>
      </c>
      <c r="Q790">
        <v>102</v>
      </c>
      <c r="R790">
        <v>64</v>
      </c>
      <c r="S790">
        <v>23.64</v>
      </c>
      <c r="T790" t="str">
        <f t="shared" si="74"/>
        <v>Normal</v>
      </c>
      <c r="U790">
        <v>60</v>
      </c>
      <c r="V790">
        <v>75</v>
      </c>
      <c r="W790" t="str">
        <f t="shared" si="77"/>
        <v>Normal</v>
      </c>
      <c r="X790">
        <v>0</v>
      </c>
    </row>
    <row r="791" spans="1:24" ht="14.5" thickBot="1" x14ac:dyDescent="0.35">
      <c r="A791">
        <v>1</v>
      </c>
      <c r="B791" t="str">
        <f t="shared" si="75"/>
        <v>Male</v>
      </c>
      <c r="C791" s="8">
        <v>41</v>
      </c>
      <c r="D791" t="str">
        <f t="shared" si="76"/>
        <v>Middle Age</v>
      </c>
      <c r="E791">
        <v>2</v>
      </c>
      <c r="F791" t="str">
        <f>HLOOKUP(E791, LookUP_Table!$A$6:$D$7, 2, FALSE)</f>
        <v>Secondary</v>
      </c>
      <c r="G791" t="str">
        <f>IFERROR(VLOOKUP(E791, LookUP_Table!$A$1:$B$4, 2, FALSE), "")</f>
        <v>Secondary</v>
      </c>
      <c r="H791">
        <v>1</v>
      </c>
      <c r="I791">
        <v>30</v>
      </c>
      <c r="J791" t="str">
        <f t="shared" si="72"/>
        <v>Smoker</v>
      </c>
      <c r="K791">
        <v>0</v>
      </c>
      <c r="L791">
        <v>0</v>
      </c>
      <c r="M791">
        <v>1</v>
      </c>
      <c r="N791">
        <v>0</v>
      </c>
      <c r="O791">
        <v>176</v>
      </c>
      <c r="P791" t="str">
        <f t="shared" si="73"/>
        <v>Normal</v>
      </c>
      <c r="Q791">
        <v>146</v>
      </c>
      <c r="R791">
        <v>88</v>
      </c>
      <c r="S791">
        <v>24.04</v>
      </c>
      <c r="T791" t="str">
        <f t="shared" si="74"/>
        <v>Normal</v>
      </c>
      <c r="U791">
        <v>78</v>
      </c>
      <c r="V791">
        <v>83</v>
      </c>
      <c r="W791" t="str">
        <f t="shared" si="77"/>
        <v>Normal</v>
      </c>
      <c r="X791">
        <v>0</v>
      </c>
    </row>
    <row r="792" spans="1:24" ht="14.5" thickBot="1" x14ac:dyDescent="0.35">
      <c r="A792">
        <v>0</v>
      </c>
      <c r="B792" t="str">
        <f t="shared" si="75"/>
        <v>Female</v>
      </c>
      <c r="C792" s="8">
        <v>41</v>
      </c>
      <c r="D792" t="str">
        <f t="shared" si="76"/>
        <v>Middle Age</v>
      </c>
      <c r="E792">
        <v>3</v>
      </c>
      <c r="F792" t="str">
        <f>HLOOKUP(E792, LookUP_Table!$A$6:$D$7, 2, FALSE)</f>
        <v>Graduate</v>
      </c>
      <c r="G792" t="str">
        <f>IFERROR(VLOOKUP(E792, LookUP_Table!$A$1:$B$4, 2, FALSE), "")</f>
        <v>Graduate</v>
      </c>
      <c r="H792">
        <v>1</v>
      </c>
      <c r="I792">
        <v>3</v>
      </c>
      <c r="J792" t="str">
        <f t="shared" si="72"/>
        <v>Smoker</v>
      </c>
      <c r="K792">
        <v>0</v>
      </c>
      <c r="L792">
        <v>0</v>
      </c>
      <c r="M792">
        <v>0</v>
      </c>
      <c r="N792">
        <v>0</v>
      </c>
      <c r="O792">
        <v>140</v>
      </c>
      <c r="P792" t="str">
        <f t="shared" si="73"/>
        <v>Normal</v>
      </c>
      <c r="Q792">
        <v>110</v>
      </c>
      <c r="R792">
        <v>60</v>
      </c>
      <c r="S792">
        <v>23.38</v>
      </c>
      <c r="T792" t="str">
        <f t="shared" si="74"/>
        <v>Normal</v>
      </c>
      <c r="U792">
        <v>65</v>
      </c>
      <c r="V792">
        <v>82</v>
      </c>
      <c r="W792" t="str">
        <f t="shared" si="77"/>
        <v>Normal</v>
      </c>
      <c r="X792">
        <v>0</v>
      </c>
    </row>
    <row r="793" spans="1:24" ht="14.5" thickBot="1" x14ac:dyDescent="0.35">
      <c r="A793">
        <v>1</v>
      </c>
      <c r="B793" t="str">
        <f t="shared" si="75"/>
        <v>Male</v>
      </c>
      <c r="C793" s="8">
        <v>41</v>
      </c>
      <c r="D793" t="str">
        <f t="shared" si="76"/>
        <v>Middle Age</v>
      </c>
      <c r="E793">
        <v>1</v>
      </c>
      <c r="F793" t="str">
        <f>HLOOKUP(E793, LookUP_Table!$A$6:$D$7, 2, FALSE)</f>
        <v>Primary</v>
      </c>
      <c r="G793" t="str">
        <f>IFERROR(VLOOKUP(E793, LookUP_Table!$A$1:$B$4, 2, FALSE), "")</f>
        <v>Primary</v>
      </c>
      <c r="H793">
        <v>0</v>
      </c>
      <c r="I793">
        <v>0</v>
      </c>
      <c r="J793" t="str">
        <f t="shared" si="72"/>
        <v>Non-Smoker</v>
      </c>
      <c r="K793">
        <v>0</v>
      </c>
      <c r="L793">
        <v>0</v>
      </c>
      <c r="M793">
        <v>0</v>
      </c>
      <c r="N793">
        <v>0</v>
      </c>
      <c r="O793">
        <v>324</v>
      </c>
      <c r="P793" t="str">
        <f t="shared" si="73"/>
        <v>High</v>
      </c>
      <c r="Q793">
        <v>129.5</v>
      </c>
      <c r="R793">
        <v>92.5</v>
      </c>
      <c r="S793">
        <v>34.99</v>
      </c>
      <c r="T793" t="str">
        <f t="shared" si="74"/>
        <v>Obese</v>
      </c>
      <c r="U793">
        <v>79</v>
      </c>
      <c r="V793">
        <v>103</v>
      </c>
      <c r="W793" t="str">
        <f t="shared" si="77"/>
        <v>Prediabetes</v>
      </c>
      <c r="X793">
        <v>0</v>
      </c>
    </row>
    <row r="794" spans="1:24" ht="14.5" thickBot="1" x14ac:dyDescent="0.35">
      <c r="A794">
        <v>1</v>
      </c>
      <c r="B794" t="str">
        <f t="shared" si="75"/>
        <v>Male</v>
      </c>
      <c r="C794" s="8">
        <v>41</v>
      </c>
      <c r="D794" t="str">
        <f t="shared" si="76"/>
        <v>Middle Age</v>
      </c>
      <c r="E794">
        <v>2</v>
      </c>
      <c r="F794" t="str">
        <f>HLOOKUP(E794, LookUP_Table!$A$6:$D$7, 2, FALSE)</f>
        <v>Secondary</v>
      </c>
      <c r="G794" t="str">
        <f>IFERROR(VLOOKUP(E794, LookUP_Table!$A$1:$B$4, 2, FALSE), "")</f>
        <v>Secondary</v>
      </c>
      <c r="H794">
        <v>1</v>
      </c>
      <c r="I794">
        <v>30</v>
      </c>
      <c r="J794" t="str">
        <f t="shared" si="72"/>
        <v>Smoker</v>
      </c>
      <c r="K794">
        <v>0</v>
      </c>
      <c r="L794">
        <v>0</v>
      </c>
      <c r="M794">
        <v>0</v>
      </c>
      <c r="N794">
        <v>0</v>
      </c>
      <c r="O794">
        <v>193</v>
      </c>
      <c r="P794" t="str">
        <f t="shared" si="73"/>
        <v>Normal</v>
      </c>
      <c r="Q794">
        <v>100</v>
      </c>
      <c r="R794">
        <v>60</v>
      </c>
      <c r="S794">
        <v>29.69</v>
      </c>
      <c r="T794" t="str">
        <f t="shared" si="74"/>
        <v>Overweight</v>
      </c>
      <c r="U794">
        <v>60</v>
      </c>
      <c r="V794">
        <v>69</v>
      </c>
      <c r="W794" t="str">
        <f t="shared" si="77"/>
        <v>Normal</v>
      </c>
      <c r="X794">
        <v>0</v>
      </c>
    </row>
    <row r="795" spans="1:24" ht="14.5" thickBot="1" x14ac:dyDescent="0.35">
      <c r="A795">
        <v>0</v>
      </c>
      <c r="B795" t="str">
        <f t="shared" si="75"/>
        <v>Female</v>
      </c>
      <c r="C795" s="8">
        <v>41</v>
      </c>
      <c r="D795" t="str">
        <f t="shared" si="76"/>
        <v>Middle Age</v>
      </c>
      <c r="E795">
        <v>4</v>
      </c>
      <c r="F795" t="str">
        <f>HLOOKUP(E795, LookUP_Table!$A$6:$D$7, 2, FALSE)</f>
        <v>Post Graduate</v>
      </c>
      <c r="G795" t="str">
        <f>IFERROR(VLOOKUP(E795, LookUP_Table!$A$1:$B$4, 2, FALSE), "")</f>
        <v>Post Graduate</v>
      </c>
      <c r="H795">
        <v>0</v>
      </c>
      <c r="I795">
        <v>0</v>
      </c>
      <c r="J795" t="str">
        <f t="shared" si="72"/>
        <v>Non-Smoker</v>
      </c>
      <c r="K795">
        <v>0</v>
      </c>
      <c r="L795">
        <v>0</v>
      </c>
      <c r="M795">
        <v>0</v>
      </c>
      <c r="N795">
        <v>0</v>
      </c>
      <c r="O795">
        <v>257</v>
      </c>
      <c r="P795" t="str">
        <f t="shared" si="73"/>
        <v>High</v>
      </c>
      <c r="Q795">
        <v>122</v>
      </c>
      <c r="R795">
        <v>73</v>
      </c>
      <c r="S795">
        <v>24.17</v>
      </c>
      <c r="T795" t="str">
        <f t="shared" si="74"/>
        <v>Normal</v>
      </c>
      <c r="U795">
        <v>96</v>
      </c>
      <c r="V795">
        <v>104</v>
      </c>
      <c r="W795" t="str">
        <f t="shared" si="77"/>
        <v>Prediabetes</v>
      </c>
      <c r="X795">
        <v>0</v>
      </c>
    </row>
    <row r="796" spans="1:24" ht="14.5" thickBot="1" x14ac:dyDescent="0.35">
      <c r="A796">
        <v>0</v>
      </c>
      <c r="B796" t="str">
        <f t="shared" si="75"/>
        <v>Female</v>
      </c>
      <c r="C796" s="8">
        <v>41</v>
      </c>
      <c r="D796" t="str">
        <f t="shared" si="76"/>
        <v>Middle Age</v>
      </c>
      <c r="E796">
        <v>2</v>
      </c>
      <c r="F796" t="str">
        <f>HLOOKUP(E796, LookUP_Table!$A$6:$D$7, 2, FALSE)</f>
        <v>Secondary</v>
      </c>
      <c r="G796" t="str">
        <f>IFERROR(VLOOKUP(E796, LookUP_Table!$A$1:$B$4, 2, FALSE), "")</f>
        <v>Secondary</v>
      </c>
      <c r="H796">
        <v>1</v>
      </c>
      <c r="I796">
        <v>3</v>
      </c>
      <c r="J796" t="str">
        <f t="shared" si="72"/>
        <v>Smoker</v>
      </c>
      <c r="K796">
        <v>0</v>
      </c>
      <c r="L796">
        <v>0</v>
      </c>
      <c r="M796">
        <v>0</v>
      </c>
      <c r="N796">
        <v>0</v>
      </c>
      <c r="O796">
        <v>223</v>
      </c>
      <c r="P796" t="str">
        <f t="shared" si="73"/>
        <v>Normal</v>
      </c>
      <c r="Q796">
        <v>119</v>
      </c>
      <c r="R796">
        <v>73</v>
      </c>
      <c r="S796">
        <v>24.22</v>
      </c>
      <c r="T796" t="str">
        <f t="shared" si="74"/>
        <v>Normal</v>
      </c>
      <c r="U796">
        <v>72</v>
      </c>
      <c r="V796">
        <v>77</v>
      </c>
      <c r="W796" t="str">
        <f t="shared" si="77"/>
        <v>Normal</v>
      </c>
      <c r="X796">
        <v>0</v>
      </c>
    </row>
    <row r="797" spans="1:24" ht="14.5" thickBot="1" x14ac:dyDescent="0.35">
      <c r="A797">
        <v>0</v>
      </c>
      <c r="B797" t="str">
        <f t="shared" si="75"/>
        <v>Female</v>
      </c>
      <c r="C797" s="8">
        <v>41</v>
      </c>
      <c r="D797" t="str">
        <f t="shared" si="76"/>
        <v>Middle Age</v>
      </c>
      <c r="E797">
        <v>1</v>
      </c>
      <c r="F797" t="str">
        <f>HLOOKUP(E797, LookUP_Table!$A$6:$D$7, 2, FALSE)</f>
        <v>Primary</v>
      </c>
      <c r="G797" t="str">
        <f>IFERROR(VLOOKUP(E797, LookUP_Table!$A$1:$B$4, 2, FALSE), "")</f>
        <v>Primary</v>
      </c>
      <c r="H797">
        <v>1</v>
      </c>
      <c r="I797">
        <v>15</v>
      </c>
      <c r="J797" t="str">
        <f t="shared" si="72"/>
        <v>Smoker</v>
      </c>
      <c r="K797">
        <v>0</v>
      </c>
      <c r="L797">
        <v>0</v>
      </c>
      <c r="M797">
        <v>0</v>
      </c>
      <c r="N797">
        <v>0</v>
      </c>
      <c r="O797">
        <v>242</v>
      </c>
      <c r="P797" t="str">
        <f t="shared" si="73"/>
        <v>High</v>
      </c>
      <c r="Q797">
        <v>139</v>
      </c>
      <c r="R797">
        <v>80</v>
      </c>
      <c r="S797">
        <v>19.68</v>
      </c>
      <c r="T797" t="str">
        <f t="shared" si="74"/>
        <v>Normal</v>
      </c>
      <c r="U797">
        <v>72</v>
      </c>
      <c r="V797">
        <v>60</v>
      </c>
      <c r="W797" t="str">
        <f t="shared" si="77"/>
        <v>Normal</v>
      </c>
      <c r="X797">
        <v>0</v>
      </c>
    </row>
    <row r="798" spans="1:24" ht="14.5" thickBot="1" x14ac:dyDescent="0.35">
      <c r="A798">
        <v>0</v>
      </c>
      <c r="B798" t="str">
        <f t="shared" si="75"/>
        <v>Female</v>
      </c>
      <c r="C798" s="8">
        <v>41</v>
      </c>
      <c r="D798" t="str">
        <f t="shared" si="76"/>
        <v>Middle Age</v>
      </c>
      <c r="E798">
        <v>4</v>
      </c>
      <c r="F798" t="str">
        <f>HLOOKUP(E798, LookUP_Table!$A$6:$D$7, 2, FALSE)</f>
        <v>Post Graduate</v>
      </c>
      <c r="G798" t="str">
        <f>IFERROR(VLOOKUP(E798, LookUP_Table!$A$1:$B$4, 2, FALSE), "")</f>
        <v>Post Graduate</v>
      </c>
      <c r="H798">
        <v>0</v>
      </c>
      <c r="I798">
        <v>0</v>
      </c>
      <c r="J798" t="str">
        <f t="shared" si="72"/>
        <v>Non-Smoker</v>
      </c>
      <c r="K798">
        <v>0</v>
      </c>
      <c r="L798">
        <v>0</v>
      </c>
      <c r="M798">
        <v>0</v>
      </c>
      <c r="N798">
        <v>0</v>
      </c>
      <c r="O798">
        <v>205</v>
      </c>
      <c r="P798" t="str">
        <f t="shared" si="73"/>
        <v>Normal</v>
      </c>
      <c r="Q798">
        <v>110</v>
      </c>
      <c r="R798">
        <v>69</v>
      </c>
      <c r="S798">
        <v>25.99</v>
      </c>
      <c r="T798" t="str">
        <f t="shared" si="74"/>
        <v>Overweight</v>
      </c>
      <c r="U798">
        <v>75</v>
      </c>
      <c r="V798">
        <v>67</v>
      </c>
      <c r="W798" t="str">
        <f t="shared" si="77"/>
        <v>Normal</v>
      </c>
      <c r="X798">
        <v>0</v>
      </c>
    </row>
    <row r="799" spans="1:24" ht="14.5" thickBot="1" x14ac:dyDescent="0.35">
      <c r="A799">
        <v>1</v>
      </c>
      <c r="B799" t="str">
        <f t="shared" si="75"/>
        <v>Male</v>
      </c>
      <c r="C799" s="8">
        <v>41</v>
      </c>
      <c r="D799" t="str">
        <f t="shared" si="76"/>
        <v>Middle Age</v>
      </c>
      <c r="E799">
        <v>1</v>
      </c>
      <c r="F799" t="str">
        <f>HLOOKUP(E799, LookUP_Table!$A$6:$D$7, 2, FALSE)</f>
        <v>Primary</v>
      </c>
      <c r="G799" t="str">
        <f>IFERROR(VLOOKUP(E799, LookUP_Table!$A$1:$B$4, 2, FALSE), "")</f>
        <v>Primary</v>
      </c>
      <c r="H799">
        <v>0</v>
      </c>
      <c r="I799">
        <v>0</v>
      </c>
      <c r="J799" t="str">
        <f t="shared" si="72"/>
        <v>Non-Smoker</v>
      </c>
      <c r="K799">
        <v>0</v>
      </c>
      <c r="L799">
        <v>0</v>
      </c>
      <c r="M799">
        <v>0</v>
      </c>
      <c r="N799">
        <v>0</v>
      </c>
      <c r="O799">
        <v>255</v>
      </c>
      <c r="P799" t="str">
        <f t="shared" si="73"/>
        <v>High</v>
      </c>
      <c r="Q799">
        <v>120.5</v>
      </c>
      <c r="R799">
        <v>85.5</v>
      </c>
      <c r="S799">
        <v>30.85</v>
      </c>
      <c r="T799" t="str">
        <f t="shared" si="74"/>
        <v>Obese</v>
      </c>
      <c r="U799">
        <v>100</v>
      </c>
      <c r="V799">
        <v>79</v>
      </c>
      <c r="W799" t="str">
        <f t="shared" si="77"/>
        <v>Normal</v>
      </c>
      <c r="X799">
        <v>0</v>
      </c>
    </row>
    <row r="800" spans="1:24" ht="14.5" thickBot="1" x14ac:dyDescent="0.35">
      <c r="A800">
        <v>0</v>
      </c>
      <c r="B800" t="str">
        <f t="shared" si="75"/>
        <v>Female</v>
      </c>
      <c r="C800" s="8">
        <v>41</v>
      </c>
      <c r="D800" t="str">
        <f t="shared" si="76"/>
        <v>Middle Age</v>
      </c>
      <c r="E800">
        <v>2</v>
      </c>
      <c r="F800" t="str">
        <f>HLOOKUP(E800, LookUP_Table!$A$6:$D$7, 2, FALSE)</f>
        <v>Secondary</v>
      </c>
      <c r="G800" t="str">
        <f>IFERROR(VLOOKUP(E800, LookUP_Table!$A$1:$B$4, 2, FALSE), "")</f>
        <v>Secondary</v>
      </c>
      <c r="H800">
        <v>1</v>
      </c>
      <c r="I800">
        <v>3</v>
      </c>
      <c r="J800" t="str">
        <f t="shared" si="72"/>
        <v>Smoker</v>
      </c>
      <c r="K800">
        <v>0</v>
      </c>
      <c r="L800">
        <v>0</v>
      </c>
      <c r="M800">
        <v>0</v>
      </c>
      <c r="N800">
        <v>0</v>
      </c>
      <c r="O800">
        <v>226</v>
      </c>
      <c r="P800" t="str">
        <f t="shared" si="73"/>
        <v>Normal</v>
      </c>
      <c r="Q800">
        <v>130</v>
      </c>
      <c r="R800">
        <v>80</v>
      </c>
      <c r="S800">
        <v>25.25</v>
      </c>
      <c r="T800" t="str">
        <f t="shared" si="74"/>
        <v>Overweight</v>
      </c>
      <c r="U800">
        <v>75</v>
      </c>
      <c r="V800">
        <v>73</v>
      </c>
      <c r="W800" t="str">
        <f t="shared" si="77"/>
        <v>Normal</v>
      </c>
      <c r="X800">
        <v>0</v>
      </c>
    </row>
    <row r="801" spans="1:24" ht="14.5" thickBot="1" x14ac:dyDescent="0.35">
      <c r="A801">
        <v>1</v>
      </c>
      <c r="B801" t="str">
        <f t="shared" si="75"/>
        <v>Male</v>
      </c>
      <c r="C801" s="8">
        <v>41</v>
      </c>
      <c r="D801" t="str">
        <f t="shared" si="76"/>
        <v>Middle Age</v>
      </c>
      <c r="E801">
        <v>1</v>
      </c>
      <c r="F801" t="str">
        <f>HLOOKUP(E801, LookUP_Table!$A$6:$D$7, 2, FALSE)</f>
        <v>Primary</v>
      </c>
      <c r="G801" t="str">
        <f>IFERROR(VLOOKUP(E801, LookUP_Table!$A$1:$B$4, 2, FALSE), "")</f>
        <v>Primary</v>
      </c>
      <c r="H801">
        <v>0</v>
      </c>
      <c r="I801">
        <v>0</v>
      </c>
      <c r="J801" t="str">
        <f t="shared" si="72"/>
        <v>Non-Smoker</v>
      </c>
      <c r="K801">
        <v>0</v>
      </c>
      <c r="L801">
        <v>0</v>
      </c>
      <c r="M801">
        <v>0</v>
      </c>
      <c r="N801">
        <v>0</v>
      </c>
      <c r="O801">
        <v>190</v>
      </c>
      <c r="P801" t="str">
        <f t="shared" si="73"/>
        <v>Normal</v>
      </c>
      <c r="Q801">
        <v>124</v>
      </c>
      <c r="R801">
        <v>83</v>
      </c>
      <c r="S801">
        <v>27.02</v>
      </c>
      <c r="T801" t="str">
        <f t="shared" si="74"/>
        <v>Overweight</v>
      </c>
      <c r="U801">
        <v>75</v>
      </c>
      <c r="V801">
        <v>87</v>
      </c>
      <c r="W801" t="str">
        <f t="shared" si="77"/>
        <v>Normal</v>
      </c>
      <c r="X801">
        <v>0</v>
      </c>
    </row>
    <row r="802" spans="1:24" ht="14.5" thickBot="1" x14ac:dyDescent="0.35">
      <c r="A802">
        <v>0</v>
      </c>
      <c r="B802" t="str">
        <f t="shared" si="75"/>
        <v>Female</v>
      </c>
      <c r="C802" s="8">
        <v>41</v>
      </c>
      <c r="D802" t="str">
        <f t="shared" si="76"/>
        <v>Middle Age</v>
      </c>
      <c r="E802">
        <v>2</v>
      </c>
      <c r="F802" t="str">
        <f>HLOOKUP(E802, LookUP_Table!$A$6:$D$7, 2, FALSE)</f>
        <v>Secondary</v>
      </c>
      <c r="G802" t="str">
        <f>IFERROR(VLOOKUP(E802, LookUP_Table!$A$1:$B$4, 2, FALSE), "")</f>
        <v>Secondary</v>
      </c>
      <c r="H802">
        <v>0</v>
      </c>
      <c r="I802">
        <v>0</v>
      </c>
      <c r="J802" t="str">
        <f t="shared" si="72"/>
        <v>Non-Smoker</v>
      </c>
      <c r="K802">
        <v>0</v>
      </c>
      <c r="L802">
        <v>0</v>
      </c>
      <c r="M802">
        <v>0</v>
      </c>
      <c r="N802">
        <v>0</v>
      </c>
      <c r="O802">
        <v>187</v>
      </c>
      <c r="P802" t="str">
        <f t="shared" si="73"/>
        <v>Normal</v>
      </c>
      <c r="Q802">
        <v>108</v>
      </c>
      <c r="R802">
        <v>64</v>
      </c>
      <c r="S802">
        <v>23.63</v>
      </c>
      <c r="T802" t="str">
        <f t="shared" si="74"/>
        <v>Normal</v>
      </c>
      <c r="U802">
        <v>72</v>
      </c>
      <c r="V802">
        <v>70</v>
      </c>
      <c r="W802" t="str">
        <f t="shared" si="77"/>
        <v>Normal</v>
      </c>
      <c r="X802">
        <v>0</v>
      </c>
    </row>
    <row r="803" spans="1:24" ht="14.5" thickBot="1" x14ac:dyDescent="0.35">
      <c r="A803">
        <v>1</v>
      </c>
      <c r="B803" t="str">
        <f t="shared" si="75"/>
        <v>Male</v>
      </c>
      <c r="C803" s="8">
        <v>41</v>
      </c>
      <c r="D803" t="str">
        <f t="shared" si="76"/>
        <v>Middle Age</v>
      </c>
      <c r="E803">
        <v>1</v>
      </c>
      <c r="F803" t="str">
        <f>HLOOKUP(E803, LookUP_Table!$A$6:$D$7, 2, FALSE)</f>
        <v>Primary</v>
      </c>
      <c r="G803" t="str">
        <f>IFERROR(VLOOKUP(E803, LookUP_Table!$A$1:$B$4, 2, FALSE), "")</f>
        <v>Primary</v>
      </c>
      <c r="H803">
        <v>1</v>
      </c>
      <c r="I803">
        <v>15</v>
      </c>
      <c r="J803" t="str">
        <f t="shared" si="72"/>
        <v>Smoker</v>
      </c>
      <c r="K803">
        <v>0</v>
      </c>
      <c r="L803">
        <v>0</v>
      </c>
      <c r="M803">
        <v>0</v>
      </c>
      <c r="N803">
        <v>0</v>
      </c>
      <c r="O803">
        <v>198</v>
      </c>
      <c r="P803" t="str">
        <f t="shared" si="73"/>
        <v>Normal</v>
      </c>
      <c r="Q803">
        <v>114.5</v>
      </c>
      <c r="R803">
        <v>80</v>
      </c>
      <c r="S803">
        <v>22.53</v>
      </c>
      <c r="T803" t="str">
        <f t="shared" si="74"/>
        <v>Normal</v>
      </c>
      <c r="U803">
        <v>72</v>
      </c>
      <c r="V803">
        <v>75</v>
      </c>
      <c r="W803" t="str">
        <f t="shared" si="77"/>
        <v>Normal</v>
      </c>
      <c r="X803">
        <v>0</v>
      </c>
    </row>
    <row r="804" spans="1:24" ht="14.5" thickBot="1" x14ac:dyDescent="0.35">
      <c r="A804">
        <v>1</v>
      </c>
      <c r="B804" t="str">
        <f t="shared" si="75"/>
        <v>Male</v>
      </c>
      <c r="C804" s="8">
        <v>41</v>
      </c>
      <c r="D804" t="str">
        <f t="shared" si="76"/>
        <v>Middle Age</v>
      </c>
      <c r="E804">
        <v>2</v>
      </c>
      <c r="F804" t="str">
        <f>HLOOKUP(E804, LookUP_Table!$A$6:$D$7, 2, FALSE)</f>
        <v>Secondary</v>
      </c>
      <c r="G804" t="str">
        <f>IFERROR(VLOOKUP(E804, LookUP_Table!$A$1:$B$4, 2, FALSE), "")</f>
        <v>Secondary</v>
      </c>
      <c r="H804">
        <v>1</v>
      </c>
      <c r="I804">
        <v>20</v>
      </c>
      <c r="J804" t="str">
        <f t="shared" si="72"/>
        <v>Smoker</v>
      </c>
      <c r="K804">
        <v>0</v>
      </c>
      <c r="L804">
        <v>0</v>
      </c>
      <c r="M804">
        <v>0</v>
      </c>
      <c r="N804">
        <v>0</v>
      </c>
      <c r="O804">
        <v>260</v>
      </c>
      <c r="P804" t="str">
        <f t="shared" si="73"/>
        <v>High</v>
      </c>
      <c r="Q804">
        <v>120</v>
      </c>
      <c r="R804">
        <v>72.5</v>
      </c>
      <c r="S804">
        <v>26.36</v>
      </c>
      <c r="T804" t="str">
        <f t="shared" si="74"/>
        <v>Overweight</v>
      </c>
      <c r="U804">
        <v>73</v>
      </c>
      <c r="V804">
        <v>88</v>
      </c>
      <c r="W804" t="str">
        <f t="shared" si="77"/>
        <v>Normal</v>
      </c>
      <c r="X804">
        <v>0</v>
      </c>
    </row>
    <row r="805" spans="1:24" ht="14.5" thickBot="1" x14ac:dyDescent="0.35">
      <c r="A805">
        <v>0</v>
      </c>
      <c r="B805" t="str">
        <f t="shared" si="75"/>
        <v>Female</v>
      </c>
      <c r="C805" s="8">
        <v>41</v>
      </c>
      <c r="D805" t="str">
        <f t="shared" si="76"/>
        <v>Middle Age</v>
      </c>
      <c r="E805">
        <v>2</v>
      </c>
      <c r="F805" t="str">
        <f>HLOOKUP(E805, LookUP_Table!$A$6:$D$7, 2, FALSE)</f>
        <v>Secondary</v>
      </c>
      <c r="G805" t="str">
        <f>IFERROR(VLOOKUP(E805, LookUP_Table!$A$1:$B$4, 2, FALSE), "")</f>
        <v>Secondary</v>
      </c>
      <c r="H805">
        <v>1</v>
      </c>
      <c r="I805">
        <v>20</v>
      </c>
      <c r="J805" t="str">
        <f t="shared" si="72"/>
        <v>Smoker</v>
      </c>
      <c r="K805">
        <v>0</v>
      </c>
      <c r="L805">
        <v>0</v>
      </c>
      <c r="M805">
        <v>0</v>
      </c>
      <c r="N805">
        <v>0</v>
      </c>
      <c r="O805">
        <v>235</v>
      </c>
      <c r="P805" t="str">
        <f t="shared" si="73"/>
        <v>Normal</v>
      </c>
      <c r="Q805">
        <v>144</v>
      </c>
      <c r="R805">
        <v>88</v>
      </c>
      <c r="S805">
        <v>24.16</v>
      </c>
      <c r="T805" t="str">
        <f t="shared" si="74"/>
        <v>Normal</v>
      </c>
      <c r="U805">
        <v>95</v>
      </c>
      <c r="V805">
        <v>82</v>
      </c>
      <c r="W805" t="str">
        <f t="shared" si="77"/>
        <v>Normal</v>
      </c>
      <c r="X805">
        <v>0</v>
      </c>
    </row>
    <row r="806" spans="1:24" ht="14.5" thickBot="1" x14ac:dyDescent="0.35">
      <c r="A806">
        <v>1</v>
      </c>
      <c r="B806" t="str">
        <f t="shared" si="75"/>
        <v>Male</v>
      </c>
      <c r="C806" s="8">
        <v>41</v>
      </c>
      <c r="D806" t="str">
        <f t="shared" si="76"/>
        <v>Middle Age</v>
      </c>
      <c r="E806">
        <v>2</v>
      </c>
      <c r="F806" t="str">
        <f>HLOOKUP(E806, LookUP_Table!$A$6:$D$7, 2, FALSE)</f>
        <v>Secondary</v>
      </c>
      <c r="G806" t="str">
        <f>IFERROR(VLOOKUP(E806, LookUP_Table!$A$1:$B$4, 2, FALSE), "")</f>
        <v>Secondary</v>
      </c>
      <c r="H806">
        <v>1</v>
      </c>
      <c r="I806">
        <v>20</v>
      </c>
      <c r="J806" t="str">
        <f t="shared" si="72"/>
        <v>Smoker</v>
      </c>
      <c r="K806">
        <v>0</v>
      </c>
      <c r="L806">
        <v>0</v>
      </c>
      <c r="M806">
        <v>1</v>
      </c>
      <c r="N806">
        <v>0</v>
      </c>
      <c r="O806">
        <v>245</v>
      </c>
      <c r="P806" t="str">
        <f t="shared" si="73"/>
        <v>High</v>
      </c>
      <c r="Q806">
        <v>146</v>
      </c>
      <c r="R806">
        <v>86</v>
      </c>
      <c r="S806">
        <v>24.5</v>
      </c>
      <c r="T806" t="str">
        <f t="shared" si="74"/>
        <v>Normal</v>
      </c>
      <c r="U806">
        <v>80</v>
      </c>
      <c r="V806">
        <v>72</v>
      </c>
      <c r="W806" t="str">
        <f t="shared" si="77"/>
        <v>Normal</v>
      </c>
      <c r="X806">
        <v>0</v>
      </c>
    </row>
    <row r="807" spans="1:24" ht="14.5" thickBot="1" x14ac:dyDescent="0.35">
      <c r="A807">
        <v>0</v>
      </c>
      <c r="B807" t="str">
        <f t="shared" si="75"/>
        <v>Female</v>
      </c>
      <c r="C807" s="8">
        <v>41</v>
      </c>
      <c r="D807" t="str">
        <f t="shared" si="76"/>
        <v>Middle Age</v>
      </c>
      <c r="E807">
        <v>1</v>
      </c>
      <c r="F807" t="str">
        <f>HLOOKUP(E807, LookUP_Table!$A$6:$D$7, 2, FALSE)</f>
        <v>Primary</v>
      </c>
      <c r="G807" t="str">
        <f>IFERROR(VLOOKUP(E807, LookUP_Table!$A$1:$B$4, 2, FALSE), "")</f>
        <v>Primary</v>
      </c>
      <c r="H807">
        <v>1</v>
      </c>
      <c r="I807">
        <v>15</v>
      </c>
      <c r="J807" t="str">
        <f t="shared" si="72"/>
        <v>Smoker</v>
      </c>
      <c r="K807">
        <v>0</v>
      </c>
      <c r="L807">
        <v>0</v>
      </c>
      <c r="M807">
        <v>0</v>
      </c>
      <c r="N807">
        <v>0</v>
      </c>
      <c r="O807">
        <v>190</v>
      </c>
      <c r="P807" t="str">
        <f t="shared" si="73"/>
        <v>Normal</v>
      </c>
      <c r="Q807">
        <v>95</v>
      </c>
      <c r="R807">
        <v>57</v>
      </c>
      <c r="S807">
        <v>20</v>
      </c>
      <c r="T807" t="str">
        <f t="shared" si="74"/>
        <v>Normal</v>
      </c>
      <c r="U807">
        <v>75</v>
      </c>
      <c r="V807">
        <v>77</v>
      </c>
      <c r="W807" t="str">
        <f t="shared" si="77"/>
        <v>Normal</v>
      </c>
      <c r="X807">
        <v>0</v>
      </c>
    </row>
    <row r="808" spans="1:24" ht="14.5" thickBot="1" x14ac:dyDescent="0.35">
      <c r="A808">
        <v>1</v>
      </c>
      <c r="B808" t="str">
        <f t="shared" si="75"/>
        <v>Male</v>
      </c>
      <c r="C808" s="8">
        <v>41</v>
      </c>
      <c r="D808" t="str">
        <f t="shared" si="76"/>
        <v>Middle Age</v>
      </c>
      <c r="E808">
        <v>2</v>
      </c>
      <c r="F808" t="str">
        <f>HLOOKUP(E808, LookUP_Table!$A$6:$D$7, 2, FALSE)</f>
        <v>Secondary</v>
      </c>
      <c r="G808" t="str">
        <f>IFERROR(VLOOKUP(E808, LookUP_Table!$A$1:$B$4, 2, FALSE), "")</f>
        <v>Secondary</v>
      </c>
      <c r="H808">
        <v>1</v>
      </c>
      <c r="I808">
        <v>30</v>
      </c>
      <c r="J808" t="str">
        <f t="shared" si="72"/>
        <v>Smoker</v>
      </c>
      <c r="K808">
        <v>0</v>
      </c>
      <c r="L808">
        <v>0</v>
      </c>
      <c r="M808">
        <v>0</v>
      </c>
      <c r="N808">
        <v>0</v>
      </c>
      <c r="O808">
        <v>293</v>
      </c>
      <c r="P808" t="str">
        <f t="shared" si="73"/>
        <v>High</v>
      </c>
      <c r="Q808">
        <v>115</v>
      </c>
      <c r="R808">
        <v>77.5</v>
      </c>
      <c r="S808">
        <v>26.26</v>
      </c>
      <c r="T808" t="str">
        <f t="shared" si="74"/>
        <v>Overweight</v>
      </c>
      <c r="U808">
        <v>85</v>
      </c>
      <c r="V808">
        <v>57</v>
      </c>
      <c r="W808" t="str">
        <f t="shared" si="77"/>
        <v>Normal</v>
      </c>
      <c r="X808">
        <v>0</v>
      </c>
    </row>
    <row r="809" spans="1:24" ht="14.5" thickBot="1" x14ac:dyDescent="0.35">
      <c r="A809">
        <v>1</v>
      </c>
      <c r="B809" t="str">
        <f t="shared" si="75"/>
        <v>Male</v>
      </c>
      <c r="C809" s="8">
        <v>41</v>
      </c>
      <c r="D809" t="str">
        <f t="shared" si="76"/>
        <v>Middle Age</v>
      </c>
      <c r="E809">
        <v>4</v>
      </c>
      <c r="F809" t="str">
        <f>HLOOKUP(E809, LookUP_Table!$A$6:$D$7, 2, FALSE)</f>
        <v>Post Graduate</v>
      </c>
      <c r="G809" t="str">
        <f>IFERROR(VLOOKUP(E809, LookUP_Table!$A$1:$B$4, 2, FALSE), "")</f>
        <v>Post Graduate</v>
      </c>
      <c r="H809">
        <v>0</v>
      </c>
      <c r="I809">
        <v>0</v>
      </c>
      <c r="J809" t="str">
        <f t="shared" si="72"/>
        <v>Non-Smoker</v>
      </c>
      <c r="K809">
        <v>0</v>
      </c>
      <c r="L809">
        <v>0</v>
      </c>
      <c r="M809">
        <v>1</v>
      </c>
      <c r="N809">
        <v>0</v>
      </c>
      <c r="O809">
        <v>206</v>
      </c>
      <c r="P809" t="str">
        <f t="shared" si="73"/>
        <v>Normal</v>
      </c>
      <c r="Q809">
        <v>124</v>
      </c>
      <c r="R809">
        <v>90</v>
      </c>
      <c r="S809">
        <v>30.69</v>
      </c>
      <c r="T809" t="str">
        <f t="shared" si="74"/>
        <v>Obese</v>
      </c>
      <c r="U809">
        <v>75</v>
      </c>
      <c r="V809">
        <v>83</v>
      </c>
      <c r="W809" t="str">
        <f t="shared" si="77"/>
        <v>Normal</v>
      </c>
      <c r="X809">
        <v>0</v>
      </c>
    </row>
    <row r="810" spans="1:24" ht="14.5" thickBot="1" x14ac:dyDescent="0.35">
      <c r="A810">
        <v>0</v>
      </c>
      <c r="B810" t="str">
        <f t="shared" si="75"/>
        <v>Female</v>
      </c>
      <c r="C810" s="8">
        <v>41</v>
      </c>
      <c r="D810" t="str">
        <f t="shared" si="76"/>
        <v>Middle Age</v>
      </c>
      <c r="E810">
        <v>2</v>
      </c>
      <c r="F810" t="str">
        <f>HLOOKUP(E810, LookUP_Table!$A$6:$D$7, 2, FALSE)</f>
        <v>Secondary</v>
      </c>
      <c r="G810" t="str">
        <f>IFERROR(VLOOKUP(E810, LookUP_Table!$A$1:$B$4, 2, FALSE), "")</f>
        <v>Secondary</v>
      </c>
      <c r="H810">
        <v>0</v>
      </c>
      <c r="I810">
        <v>0</v>
      </c>
      <c r="J810" t="str">
        <f t="shared" si="72"/>
        <v>Non-Smoker</v>
      </c>
      <c r="K810">
        <v>0</v>
      </c>
      <c r="L810">
        <v>0</v>
      </c>
      <c r="M810">
        <v>0</v>
      </c>
      <c r="N810">
        <v>0</v>
      </c>
      <c r="O810">
        <v>235</v>
      </c>
      <c r="P810" t="str">
        <f t="shared" si="73"/>
        <v>Normal</v>
      </c>
      <c r="Q810">
        <v>143.5</v>
      </c>
      <c r="R810">
        <v>90</v>
      </c>
      <c r="S810">
        <v>26.22</v>
      </c>
      <c r="T810" t="str">
        <f t="shared" si="74"/>
        <v>Overweight</v>
      </c>
      <c r="U810">
        <v>70</v>
      </c>
      <c r="V810">
        <v>83</v>
      </c>
      <c r="W810" t="str">
        <f t="shared" si="77"/>
        <v>Normal</v>
      </c>
      <c r="X810">
        <v>0</v>
      </c>
    </row>
    <row r="811" spans="1:24" ht="14.5" thickBot="1" x14ac:dyDescent="0.35">
      <c r="A811">
        <v>0</v>
      </c>
      <c r="B811" t="str">
        <f t="shared" si="75"/>
        <v>Female</v>
      </c>
      <c r="C811" s="8">
        <v>41</v>
      </c>
      <c r="D811" t="str">
        <f t="shared" si="76"/>
        <v>Middle Age</v>
      </c>
      <c r="E811">
        <v>1</v>
      </c>
      <c r="F811" t="str">
        <f>HLOOKUP(E811, LookUP_Table!$A$6:$D$7, 2, FALSE)</f>
        <v>Primary</v>
      </c>
      <c r="G811" t="str">
        <f>IFERROR(VLOOKUP(E811, LookUP_Table!$A$1:$B$4, 2, FALSE), "")</f>
        <v>Primary</v>
      </c>
      <c r="H811">
        <v>1</v>
      </c>
      <c r="I811">
        <v>43</v>
      </c>
      <c r="J811" t="str">
        <f t="shared" si="72"/>
        <v>Smoker</v>
      </c>
      <c r="K811">
        <v>0</v>
      </c>
      <c r="L811">
        <v>0</v>
      </c>
      <c r="M811">
        <v>1</v>
      </c>
      <c r="N811">
        <v>0</v>
      </c>
      <c r="O811">
        <v>306</v>
      </c>
      <c r="P811" t="str">
        <f t="shared" si="73"/>
        <v>High</v>
      </c>
      <c r="Q811">
        <v>199</v>
      </c>
      <c r="R811">
        <v>106</v>
      </c>
      <c r="S811">
        <v>38.75</v>
      </c>
      <c r="T811" t="str">
        <f t="shared" si="74"/>
        <v>Obese</v>
      </c>
      <c r="U811">
        <v>100</v>
      </c>
      <c r="V811">
        <v>75</v>
      </c>
      <c r="W811" t="str">
        <f t="shared" si="77"/>
        <v>Normal</v>
      </c>
      <c r="X811">
        <v>0</v>
      </c>
    </row>
    <row r="812" spans="1:24" ht="14.5" thickBot="1" x14ac:dyDescent="0.35">
      <c r="A812">
        <v>0</v>
      </c>
      <c r="B812" t="str">
        <f t="shared" si="75"/>
        <v>Female</v>
      </c>
      <c r="C812" s="8">
        <v>41</v>
      </c>
      <c r="D812" t="str">
        <f t="shared" si="76"/>
        <v>Middle Age</v>
      </c>
      <c r="E812">
        <v>1</v>
      </c>
      <c r="F812" t="str">
        <f>HLOOKUP(E812, LookUP_Table!$A$6:$D$7, 2, FALSE)</f>
        <v>Primary</v>
      </c>
      <c r="G812" t="str">
        <f>IFERROR(VLOOKUP(E812, LookUP_Table!$A$1:$B$4, 2, FALSE), "")</f>
        <v>Primary</v>
      </c>
      <c r="H812">
        <v>1</v>
      </c>
      <c r="I812">
        <v>20</v>
      </c>
      <c r="J812" t="str">
        <f t="shared" si="72"/>
        <v>Smoker</v>
      </c>
      <c r="K812">
        <v>0</v>
      </c>
      <c r="L812">
        <v>0</v>
      </c>
      <c r="M812">
        <v>0</v>
      </c>
      <c r="N812">
        <v>0</v>
      </c>
      <c r="O812">
        <v>223</v>
      </c>
      <c r="P812" t="str">
        <f t="shared" si="73"/>
        <v>Normal</v>
      </c>
      <c r="Q812">
        <v>114</v>
      </c>
      <c r="R812">
        <v>72</v>
      </c>
      <c r="S812">
        <v>26.42</v>
      </c>
      <c r="T812" t="str">
        <f t="shared" si="74"/>
        <v>Overweight</v>
      </c>
      <c r="U812">
        <v>78</v>
      </c>
      <c r="V812">
        <v>81.96365524402907</v>
      </c>
      <c r="W812" t="str">
        <f t="shared" si="77"/>
        <v>Normal</v>
      </c>
      <c r="X812">
        <v>0</v>
      </c>
    </row>
    <row r="813" spans="1:24" ht="14.5" thickBot="1" x14ac:dyDescent="0.35">
      <c r="A813">
        <v>0</v>
      </c>
      <c r="B813" t="str">
        <f t="shared" si="75"/>
        <v>Female</v>
      </c>
      <c r="C813" s="8">
        <v>41</v>
      </c>
      <c r="D813" t="str">
        <f t="shared" si="76"/>
        <v>Middle Age</v>
      </c>
      <c r="E813">
        <v>1</v>
      </c>
      <c r="F813" t="str">
        <f>HLOOKUP(E813, LookUP_Table!$A$6:$D$7, 2, FALSE)</f>
        <v>Primary</v>
      </c>
      <c r="G813" t="str">
        <f>IFERROR(VLOOKUP(E813, LookUP_Table!$A$1:$B$4, 2, FALSE), "")</f>
        <v>Primary</v>
      </c>
      <c r="H813">
        <v>1</v>
      </c>
      <c r="I813">
        <v>15</v>
      </c>
      <c r="J813" t="str">
        <f t="shared" si="72"/>
        <v>Smoker</v>
      </c>
      <c r="K813">
        <v>0</v>
      </c>
      <c r="L813">
        <v>0</v>
      </c>
      <c r="M813">
        <v>0</v>
      </c>
      <c r="N813">
        <v>0</v>
      </c>
      <c r="O813">
        <v>249</v>
      </c>
      <c r="P813" t="str">
        <f t="shared" si="73"/>
        <v>High</v>
      </c>
      <c r="Q813">
        <v>107.5</v>
      </c>
      <c r="R813">
        <v>75</v>
      </c>
      <c r="S813">
        <v>23.69</v>
      </c>
      <c r="T813" t="str">
        <f t="shared" si="74"/>
        <v>Normal</v>
      </c>
      <c r="U813">
        <v>83</v>
      </c>
      <c r="V813">
        <v>78</v>
      </c>
      <c r="W813" t="str">
        <f t="shared" si="77"/>
        <v>Normal</v>
      </c>
      <c r="X813">
        <v>0</v>
      </c>
    </row>
    <row r="814" spans="1:24" ht="14.5" thickBot="1" x14ac:dyDescent="0.35">
      <c r="A814">
        <v>0</v>
      </c>
      <c r="B814" t="str">
        <f t="shared" si="75"/>
        <v>Female</v>
      </c>
      <c r="C814" s="8">
        <v>41</v>
      </c>
      <c r="D814" t="str">
        <f t="shared" si="76"/>
        <v>Middle Age</v>
      </c>
      <c r="E814">
        <v>1</v>
      </c>
      <c r="F814" t="str">
        <f>HLOOKUP(E814, LookUP_Table!$A$6:$D$7, 2, FALSE)</f>
        <v>Primary</v>
      </c>
      <c r="G814" t="str">
        <f>IFERROR(VLOOKUP(E814, LookUP_Table!$A$1:$B$4, 2, FALSE), "")</f>
        <v>Primary</v>
      </c>
      <c r="H814">
        <v>0</v>
      </c>
      <c r="I814">
        <v>0</v>
      </c>
      <c r="J814" t="str">
        <f t="shared" si="72"/>
        <v>Non-Smoker</v>
      </c>
      <c r="K814">
        <v>0</v>
      </c>
      <c r="L814">
        <v>0</v>
      </c>
      <c r="M814">
        <v>0</v>
      </c>
      <c r="N814">
        <v>0</v>
      </c>
      <c r="O814">
        <v>179</v>
      </c>
      <c r="P814" t="str">
        <f t="shared" si="73"/>
        <v>Normal</v>
      </c>
      <c r="Q814">
        <v>121</v>
      </c>
      <c r="R814">
        <v>83</v>
      </c>
      <c r="S814">
        <v>23.04</v>
      </c>
      <c r="T814" t="str">
        <f t="shared" si="74"/>
        <v>Normal</v>
      </c>
      <c r="U814">
        <v>66</v>
      </c>
      <c r="V814">
        <v>90</v>
      </c>
      <c r="W814" t="str">
        <f t="shared" si="77"/>
        <v>Normal</v>
      </c>
      <c r="X814">
        <v>0</v>
      </c>
    </row>
    <row r="815" spans="1:24" ht="14.5" thickBot="1" x14ac:dyDescent="0.35">
      <c r="A815">
        <v>1</v>
      </c>
      <c r="B815" t="str">
        <f t="shared" si="75"/>
        <v>Male</v>
      </c>
      <c r="C815" s="8">
        <v>41</v>
      </c>
      <c r="D815" t="str">
        <f t="shared" si="76"/>
        <v>Middle Age</v>
      </c>
      <c r="E815">
        <v>2</v>
      </c>
      <c r="F815" t="str">
        <f>HLOOKUP(E815, LookUP_Table!$A$6:$D$7, 2, FALSE)</f>
        <v>Secondary</v>
      </c>
      <c r="G815" t="str">
        <f>IFERROR(VLOOKUP(E815, LookUP_Table!$A$1:$B$4, 2, FALSE), "")</f>
        <v>Secondary</v>
      </c>
      <c r="H815">
        <v>0</v>
      </c>
      <c r="I815">
        <v>0</v>
      </c>
      <c r="J815" t="str">
        <f t="shared" si="72"/>
        <v>Non-Smoker</v>
      </c>
      <c r="K815">
        <v>0</v>
      </c>
      <c r="L815">
        <v>0</v>
      </c>
      <c r="M815">
        <v>0</v>
      </c>
      <c r="N815">
        <v>0</v>
      </c>
      <c r="O815">
        <v>247</v>
      </c>
      <c r="P815" t="str">
        <f t="shared" si="73"/>
        <v>High</v>
      </c>
      <c r="Q815">
        <v>104</v>
      </c>
      <c r="R815">
        <v>73</v>
      </c>
      <c r="S815">
        <v>23.7</v>
      </c>
      <c r="T815" t="str">
        <f t="shared" si="74"/>
        <v>Normal</v>
      </c>
      <c r="U815">
        <v>68</v>
      </c>
      <c r="V815">
        <v>68</v>
      </c>
      <c r="W815" t="str">
        <f t="shared" si="77"/>
        <v>Normal</v>
      </c>
      <c r="X815">
        <v>0</v>
      </c>
    </row>
    <row r="816" spans="1:24" ht="14.5" thickBot="1" x14ac:dyDescent="0.35">
      <c r="A816">
        <v>1</v>
      </c>
      <c r="B816" t="str">
        <f t="shared" si="75"/>
        <v>Male</v>
      </c>
      <c r="C816" s="8">
        <v>41</v>
      </c>
      <c r="D816" t="str">
        <f t="shared" si="76"/>
        <v>Middle Age</v>
      </c>
      <c r="E816">
        <v>2</v>
      </c>
      <c r="F816" t="str">
        <f>HLOOKUP(E816, LookUP_Table!$A$6:$D$7, 2, FALSE)</f>
        <v>Secondary</v>
      </c>
      <c r="G816" t="str">
        <f>IFERROR(VLOOKUP(E816, LookUP_Table!$A$1:$B$4, 2, FALSE), "")</f>
        <v>Secondary</v>
      </c>
      <c r="H816">
        <v>1</v>
      </c>
      <c r="I816">
        <v>40</v>
      </c>
      <c r="J816" t="str">
        <f t="shared" si="72"/>
        <v>Smoker</v>
      </c>
      <c r="K816">
        <v>0</v>
      </c>
      <c r="L816">
        <v>0</v>
      </c>
      <c r="M816">
        <v>1</v>
      </c>
      <c r="N816">
        <v>0</v>
      </c>
      <c r="O816">
        <v>313</v>
      </c>
      <c r="P816" t="str">
        <f t="shared" si="73"/>
        <v>High</v>
      </c>
      <c r="Q816">
        <v>114</v>
      </c>
      <c r="R816">
        <v>79</v>
      </c>
      <c r="S816">
        <v>25.63</v>
      </c>
      <c r="T816" t="str">
        <f t="shared" si="74"/>
        <v>Overweight</v>
      </c>
      <c r="U816">
        <v>60</v>
      </c>
      <c r="V816">
        <v>93</v>
      </c>
      <c r="W816" t="str">
        <f t="shared" si="77"/>
        <v>Normal</v>
      </c>
      <c r="X816">
        <v>0</v>
      </c>
    </row>
    <row r="817" spans="1:24" ht="14.5" thickBot="1" x14ac:dyDescent="0.35">
      <c r="A817">
        <v>0</v>
      </c>
      <c r="B817" t="str">
        <f t="shared" si="75"/>
        <v>Female</v>
      </c>
      <c r="C817" s="8">
        <v>41</v>
      </c>
      <c r="D817" t="str">
        <f t="shared" si="76"/>
        <v>Middle Age</v>
      </c>
      <c r="E817">
        <v>4</v>
      </c>
      <c r="F817" t="str">
        <f>HLOOKUP(E817, LookUP_Table!$A$6:$D$7, 2, FALSE)</f>
        <v>Post Graduate</v>
      </c>
      <c r="G817" t="str">
        <f>IFERROR(VLOOKUP(E817, LookUP_Table!$A$1:$B$4, 2, FALSE), "")</f>
        <v>Post Graduate</v>
      </c>
      <c r="H817">
        <v>0</v>
      </c>
      <c r="I817">
        <v>0</v>
      </c>
      <c r="J817" t="str">
        <f t="shared" si="72"/>
        <v>Non-Smoker</v>
      </c>
      <c r="K817">
        <v>0</v>
      </c>
      <c r="L817">
        <v>0</v>
      </c>
      <c r="M817">
        <v>0</v>
      </c>
      <c r="N817">
        <v>0</v>
      </c>
      <c r="O817">
        <v>159</v>
      </c>
      <c r="P817" t="str">
        <f t="shared" si="73"/>
        <v>Normal</v>
      </c>
      <c r="Q817">
        <v>119</v>
      </c>
      <c r="R817">
        <v>76</v>
      </c>
      <c r="S817">
        <v>27.49</v>
      </c>
      <c r="T817" t="str">
        <f t="shared" si="74"/>
        <v>Overweight</v>
      </c>
      <c r="U817">
        <v>55</v>
      </c>
      <c r="V817">
        <v>70</v>
      </c>
      <c r="W817" t="str">
        <f t="shared" si="77"/>
        <v>Normal</v>
      </c>
      <c r="X817">
        <v>0</v>
      </c>
    </row>
    <row r="818" spans="1:24" ht="14.5" thickBot="1" x14ac:dyDescent="0.35">
      <c r="A818">
        <v>1</v>
      </c>
      <c r="B818" t="str">
        <f t="shared" si="75"/>
        <v>Male</v>
      </c>
      <c r="C818" s="8">
        <v>41</v>
      </c>
      <c r="D818" t="str">
        <f t="shared" si="76"/>
        <v>Middle Age</v>
      </c>
      <c r="E818">
        <v>2</v>
      </c>
      <c r="F818" t="str">
        <f>HLOOKUP(E818, LookUP_Table!$A$6:$D$7, 2, FALSE)</f>
        <v>Secondary</v>
      </c>
      <c r="G818" t="str">
        <f>IFERROR(VLOOKUP(E818, LookUP_Table!$A$1:$B$4, 2, FALSE), "")</f>
        <v>Secondary</v>
      </c>
      <c r="H818">
        <v>1</v>
      </c>
      <c r="I818">
        <v>20</v>
      </c>
      <c r="J818" t="str">
        <f t="shared" si="72"/>
        <v>Smoker</v>
      </c>
      <c r="K818">
        <v>0</v>
      </c>
      <c r="L818">
        <v>0</v>
      </c>
      <c r="M818">
        <v>0</v>
      </c>
      <c r="N818">
        <v>0</v>
      </c>
      <c r="O818">
        <v>180</v>
      </c>
      <c r="P818" t="str">
        <f t="shared" si="73"/>
        <v>Normal</v>
      </c>
      <c r="Q818">
        <v>127</v>
      </c>
      <c r="R818">
        <v>86</v>
      </c>
      <c r="S818">
        <v>20.72</v>
      </c>
      <c r="T818" t="str">
        <f t="shared" si="74"/>
        <v>Normal</v>
      </c>
      <c r="U818">
        <v>73</v>
      </c>
      <c r="V818">
        <v>63</v>
      </c>
      <c r="W818" t="str">
        <f t="shared" si="77"/>
        <v>Normal</v>
      </c>
      <c r="X818">
        <v>0</v>
      </c>
    </row>
    <row r="819" spans="1:24" ht="14.5" thickBot="1" x14ac:dyDescent="0.35">
      <c r="A819">
        <v>1</v>
      </c>
      <c r="B819" t="str">
        <f t="shared" si="75"/>
        <v>Male</v>
      </c>
      <c r="C819" s="8">
        <v>41</v>
      </c>
      <c r="D819" t="str">
        <f t="shared" si="76"/>
        <v>Middle Age</v>
      </c>
      <c r="E819">
        <v>1</v>
      </c>
      <c r="F819" t="str">
        <f>HLOOKUP(E819, LookUP_Table!$A$6:$D$7, 2, FALSE)</f>
        <v>Primary</v>
      </c>
      <c r="G819" t="str">
        <f>IFERROR(VLOOKUP(E819, LookUP_Table!$A$1:$B$4, 2, FALSE), "")</f>
        <v>Primary</v>
      </c>
      <c r="H819">
        <v>1</v>
      </c>
      <c r="I819">
        <v>20</v>
      </c>
      <c r="J819" t="str">
        <f t="shared" si="72"/>
        <v>Smoker</v>
      </c>
      <c r="K819">
        <v>0</v>
      </c>
      <c r="L819">
        <v>0</v>
      </c>
      <c r="M819">
        <v>0</v>
      </c>
      <c r="N819">
        <v>0</v>
      </c>
      <c r="O819">
        <v>192</v>
      </c>
      <c r="P819" t="str">
        <f t="shared" si="73"/>
        <v>Normal</v>
      </c>
      <c r="Q819">
        <v>122</v>
      </c>
      <c r="R819">
        <v>82</v>
      </c>
      <c r="S819">
        <v>25.03</v>
      </c>
      <c r="T819" t="str">
        <f t="shared" si="74"/>
        <v>Overweight</v>
      </c>
      <c r="U819">
        <v>83</v>
      </c>
      <c r="V819">
        <v>66</v>
      </c>
      <c r="W819" t="str">
        <f t="shared" si="77"/>
        <v>Normal</v>
      </c>
      <c r="X819">
        <v>0</v>
      </c>
    </row>
    <row r="820" spans="1:24" ht="14.5" thickBot="1" x14ac:dyDescent="0.35">
      <c r="A820">
        <v>0</v>
      </c>
      <c r="B820" t="str">
        <f t="shared" si="75"/>
        <v>Female</v>
      </c>
      <c r="C820" s="8">
        <v>41</v>
      </c>
      <c r="D820" t="str">
        <f t="shared" si="76"/>
        <v>Middle Age</v>
      </c>
      <c r="E820">
        <v>2</v>
      </c>
      <c r="F820" t="str">
        <f>HLOOKUP(E820, LookUP_Table!$A$6:$D$7, 2, FALSE)</f>
        <v>Secondary</v>
      </c>
      <c r="G820" t="str">
        <f>IFERROR(VLOOKUP(E820, LookUP_Table!$A$1:$B$4, 2, FALSE), "")</f>
        <v>Secondary</v>
      </c>
      <c r="H820">
        <v>1</v>
      </c>
      <c r="I820">
        <v>10</v>
      </c>
      <c r="J820" t="str">
        <f t="shared" si="72"/>
        <v>Smoker</v>
      </c>
      <c r="K820">
        <v>0</v>
      </c>
      <c r="L820">
        <v>0</v>
      </c>
      <c r="M820">
        <v>0</v>
      </c>
      <c r="N820">
        <v>0</v>
      </c>
      <c r="O820">
        <v>169</v>
      </c>
      <c r="P820" t="str">
        <f t="shared" si="73"/>
        <v>Normal</v>
      </c>
      <c r="Q820">
        <v>119</v>
      </c>
      <c r="R820">
        <v>72</v>
      </c>
      <c r="S820">
        <v>19.78</v>
      </c>
      <c r="T820" t="str">
        <f t="shared" si="74"/>
        <v>Normal</v>
      </c>
      <c r="U820">
        <v>60</v>
      </c>
      <c r="V820">
        <v>74</v>
      </c>
      <c r="W820" t="str">
        <f t="shared" si="77"/>
        <v>Normal</v>
      </c>
      <c r="X820">
        <v>0</v>
      </c>
    </row>
    <row r="821" spans="1:24" ht="14.5" thickBot="1" x14ac:dyDescent="0.35">
      <c r="A821">
        <v>0</v>
      </c>
      <c r="B821" t="str">
        <f t="shared" si="75"/>
        <v>Female</v>
      </c>
      <c r="C821" s="8">
        <v>41</v>
      </c>
      <c r="D821" t="str">
        <f t="shared" si="76"/>
        <v>Middle Age</v>
      </c>
      <c r="E821">
        <v>1</v>
      </c>
      <c r="F821" t="str">
        <f>HLOOKUP(E821, LookUP_Table!$A$6:$D$7, 2, FALSE)</f>
        <v>Primary</v>
      </c>
      <c r="G821" t="str">
        <f>IFERROR(VLOOKUP(E821, LookUP_Table!$A$1:$B$4, 2, FALSE), "")</f>
        <v>Primary</v>
      </c>
      <c r="H821">
        <v>0</v>
      </c>
      <c r="I821">
        <v>0</v>
      </c>
      <c r="J821" t="str">
        <f t="shared" si="72"/>
        <v>Non-Smoker</v>
      </c>
      <c r="K821">
        <v>0</v>
      </c>
      <c r="L821">
        <v>0</v>
      </c>
      <c r="M821">
        <v>0</v>
      </c>
      <c r="N821">
        <v>0</v>
      </c>
      <c r="O821">
        <v>197</v>
      </c>
      <c r="P821" t="str">
        <f t="shared" si="73"/>
        <v>Normal</v>
      </c>
      <c r="Q821">
        <v>121</v>
      </c>
      <c r="R821">
        <v>84</v>
      </c>
      <c r="S821">
        <v>23.07</v>
      </c>
      <c r="T821" t="str">
        <f t="shared" si="74"/>
        <v>Normal</v>
      </c>
      <c r="U821">
        <v>80</v>
      </c>
      <c r="V821">
        <v>81.96365524402907</v>
      </c>
      <c r="W821" t="str">
        <f t="shared" si="77"/>
        <v>Normal</v>
      </c>
      <c r="X821">
        <v>0</v>
      </c>
    </row>
    <row r="822" spans="1:24" ht="14.5" thickBot="1" x14ac:dyDescent="0.35">
      <c r="A822">
        <v>0</v>
      </c>
      <c r="B822" t="str">
        <f t="shared" si="75"/>
        <v>Female</v>
      </c>
      <c r="C822" s="8">
        <v>41</v>
      </c>
      <c r="D822" t="str">
        <f t="shared" si="76"/>
        <v>Middle Age</v>
      </c>
      <c r="E822">
        <v>1</v>
      </c>
      <c r="F822" t="str">
        <f>HLOOKUP(E822, LookUP_Table!$A$6:$D$7, 2, FALSE)</f>
        <v>Primary</v>
      </c>
      <c r="G822" t="str">
        <f>IFERROR(VLOOKUP(E822, LookUP_Table!$A$1:$B$4, 2, FALSE), "")</f>
        <v>Primary</v>
      </c>
      <c r="H822">
        <v>0</v>
      </c>
      <c r="I822">
        <v>0</v>
      </c>
      <c r="J822" t="str">
        <f t="shared" si="72"/>
        <v>Non-Smoker</v>
      </c>
      <c r="K822">
        <v>0</v>
      </c>
      <c r="L822">
        <v>0</v>
      </c>
      <c r="M822">
        <v>1</v>
      </c>
      <c r="N822">
        <v>0</v>
      </c>
      <c r="O822">
        <v>235</v>
      </c>
      <c r="P822" t="str">
        <f t="shared" si="73"/>
        <v>Normal</v>
      </c>
      <c r="Q822">
        <v>158</v>
      </c>
      <c r="R822">
        <v>93</v>
      </c>
      <c r="S822">
        <v>22.18</v>
      </c>
      <c r="T822" t="str">
        <f t="shared" si="74"/>
        <v>Normal</v>
      </c>
      <c r="U822">
        <v>78</v>
      </c>
      <c r="V822">
        <v>70</v>
      </c>
      <c r="W822" t="str">
        <f t="shared" si="77"/>
        <v>Normal</v>
      </c>
      <c r="X822">
        <v>0</v>
      </c>
    </row>
    <row r="823" spans="1:24" ht="14.5" thickBot="1" x14ac:dyDescent="0.35">
      <c r="A823">
        <v>0</v>
      </c>
      <c r="B823" t="str">
        <f t="shared" si="75"/>
        <v>Female</v>
      </c>
      <c r="C823" s="8">
        <v>41</v>
      </c>
      <c r="D823" t="str">
        <f t="shared" si="76"/>
        <v>Middle Age</v>
      </c>
      <c r="E823">
        <v>4</v>
      </c>
      <c r="F823" t="str">
        <f>HLOOKUP(E823, LookUP_Table!$A$6:$D$7, 2, FALSE)</f>
        <v>Post Graduate</v>
      </c>
      <c r="G823" t="str">
        <f>IFERROR(VLOOKUP(E823, LookUP_Table!$A$1:$B$4, 2, FALSE), "")</f>
        <v>Post Graduate</v>
      </c>
      <c r="H823">
        <v>1</v>
      </c>
      <c r="I823">
        <v>5</v>
      </c>
      <c r="J823" t="str">
        <f t="shared" si="72"/>
        <v>Smoker</v>
      </c>
      <c r="K823">
        <v>0</v>
      </c>
      <c r="L823">
        <v>0</v>
      </c>
      <c r="M823">
        <v>0</v>
      </c>
      <c r="N823">
        <v>0</v>
      </c>
      <c r="O823">
        <v>209</v>
      </c>
      <c r="P823" t="str">
        <f t="shared" si="73"/>
        <v>Normal</v>
      </c>
      <c r="Q823">
        <v>122.5</v>
      </c>
      <c r="R823">
        <v>90</v>
      </c>
      <c r="S823">
        <v>20.79</v>
      </c>
      <c r="T823" t="str">
        <f t="shared" si="74"/>
        <v>Normal</v>
      </c>
      <c r="U823">
        <v>90</v>
      </c>
      <c r="V823">
        <v>81.96365524402907</v>
      </c>
      <c r="W823" t="str">
        <f t="shared" si="77"/>
        <v>Normal</v>
      </c>
      <c r="X823">
        <v>0</v>
      </c>
    </row>
    <row r="824" spans="1:24" ht="14.5" thickBot="1" x14ac:dyDescent="0.35">
      <c r="A824">
        <v>0</v>
      </c>
      <c r="B824" t="str">
        <f t="shared" si="75"/>
        <v>Female</v>
      </c>
      <c r="C824" s="8">
        <v>41</v>
      </c>
      <c r="D824" t="str">
        <f t="shared" si="76"/>
        <v>Middle Age</v>
      </c>
      <c r="E824">
        <v>3</v>
      </c>
      <c r="F824" t="str">
        <f>HLOOKUP(E824, LookUP_Table!$A$6:$D$7, 2, FALSE)</f>
        <v>Graduate</v>
      </c>
      <c r="G824" t="str">
        <f>IFERROR(VLOOKUP(E824, LookUP_Table!$A$1:$B$4, 2, FALSE), "")</f>
        <v>Graduate</v>
      </c>
      <c r="H824">
        <v>0</v>
      </c>
      <c r="I824">
        <v>0</v>
      </c>
      <c r="J824" t="str">
        <f t="shared" si="72"/>
        <v>Non-Smoker</v>
      </c>
      <c r="K824">
        <v>0</v>
      </c>
      <c r="L824">
        <v>0</v>
      </c>
      <c r="M824">
        <v>0</v>
      </c>
      <c r="N824">
        <v>0</v>
      </c>
      <c r="O824">
        <v>233</v>
      </c>
      <c r="P824" t="str">
        <f t="shared" si="73"/>
        <v>Normal</v>
      </c>
      <c r="Q824">
        <v>115</v>
      </c>
      <c r="R824">
        <v>70</v>
      </c>
      <c r="S824">
        <v>25.03</v>
      </c>
      <c r="T824" t="str">
        <f t="shared" si="74"/>
        <v>Overweight</v>
      </c>
      <c r="U824">
        <v>68</v>
      </c>
      <c r="V824">
        <v>97</v>
      </c>
      <c r="W824" t="str">
        <f t="shared" si="77"/>
        <v>Normal</v>
      </c>
      <c r="X824">
        <v>0</v>
      </c>
    </row>
    <row r="825" spans="1:24" ht="14.5" thickBot="1" x14ac:dyDescent="0.35">
      <c r="A825">
        <v>1</v>
      </c>
      <c r="B825" t="str">
        <f t="shared" si="75"/>
        <v>Male</v>
      </c>
      <c r="C825" s="8">
        <v>41</v>
      </c>
      <c r="D825" t="str">
        <f t="shared" si="76"/>
        <v>Middle Age</v>
      </c>
      <c r="E825">
        <v>3</v>
      </c>
      <c r="F825" t="str">
        <f>HLOOKUP(E825, LookUP_Table!$A$6:$D$7, 2, FALSE)</f>
        <v>Graduate</v>
      </c>
      <c r="G825" t="str">
        <f>IFERROR(VLOOKUP(E825, LookUP_Table!$A$1:$B$4, 2, FALSE), "")</f>
        <v>Graduate</v>
      </c>
      <c r="H825">
        <v>0</v>
      </c>
      <c r="I825">
        <v>0</v>
      </c>
      <c r="J825" t="str">
        <f t="shared" si="72"/>
        <v>Non-Smoker</v>
      </c>
      <c r="K825">
        <v>0</v>
      </c>
      <c r="L825">
        <v>0</v>
      </c>
      <c r="M825">
        <v>0</v>
      </c>
      <c r="N825">
        <v>0</v>
      </c>
      <c r="O825">
        <v>256</v>
      </c>
      <c r="P825" t="str">
        <f t="shared" si="73"/>
        <v>High</v>
      </c>
      <c r="Q825">
        <v>107</v>
      </c>
      <c r="R825">
        <v>73</v>
      </c>
      <c r="S825">
        <v>26.38</v>
      </c>
      <c r="T825" t="str">
        <f t="shared" si="74"/>
        <v>Overweight</v>
      </c>
      <c r="U825">
        <v>60</v>
      </c>
      <c r="V825">
        <v>65</v>
      </c>
      <c r="W825" t="str">
        <f t="shared" si="77"/>
        <v>Normal</v>
      </c>
      <c r="X825">
        <v>0</v>
      </c>
    </row>
    <row r="826" spans="1:24" ht="14.5" thickBot="1" x14ac:dyDescent="0.35">
      <c r="A826">
        <v>0</v>
      </c>
      <c r="B826" t="str">
        <f t="shared" si="75"/>
        <v>Female</v>
      </c>
      <c r="C826" s="8">
        <v>41</v>
      </c>
      <c r="D826" t="str">
        <f t="shared" si="76"/>
        <v>Middle Age</v>
      </c>
      <c r="E826">
        <v>2</v>
      </c>
      <c r="F826" t="str">
        <f>HLOOKUP(E826, LookUP_Table!$A$6:$D$7, 2, FALSE)</f>
        <v>Secondary</v>
      </c>
      <c r="G826" t="str">
        <f>IFERROR(VLOOKUP(E826, LookUP_Table!$A$1:$B$4, 2, FALSE), "")</f>
        <v>Secondary</v>
      </c>
      <c r="H826">
        <v>1</v>
      </c>
      <c r="I826">
        <v>9</v>
      </c>
      <c r="J826" t="str">
        <f t="shared" si="72"/>
        <v>Smoker</v>
      </c>
      <c r="K826">
        <v>0</v>
      </c>
      <c r="L826">
        <v>0</v>
      </c>
      <c r="M826">
        <v>0</v>
      </c>
      <c r="N826">
        <v>0</v>
      </c>
      <c r="O826">
        <v>200</v>
      </c>
      <c r="P826" t="str">
        <f t="shared" si="73"/>
        <v>Normal</v>
      </c>
      <c r="Q826">
        <v>124</v>
      </c>
      <c r="R826">
        <v>76</v>
      </c>
      <c r="S826">
        <v>24.2</v>
      </c>
      <c r="T826" t="str">
        <f t="shared" si="74"/>
        <v>Normal</v>
      </c>
      <c r="U826">
        <v>80</v>
      </c>
      <c r="V826">
        <v>86</v>
      </c>
      <c r="W826" t="str">
        <f t="shared" si="77"/>
        <v>Normal</v>
      </c>
      <c r="X826">
        <v>0</v>
      </c>
    </row>
    <row r="827" spans="1:24" ht="14.5" thickBot="1" x14ac:dyDescent="0.35">
      <c r="A827">
        <v>1</v>
      </c>
      <c r="B827" t="str">
        <f t="shared" si="75"/>
        <v>Male</v>
      </c>
      <c r="C827" s="8">
        <v>41</v>
      </c>
      <c r="D827" t="str">
        <f t="shared" si="76"/>
        <v>Middle Age</v>
      </c>
      <c r="E827">
        <v>2</v>
      </c>
      <c r="F827" t="str">
        <f>HLOOKUP(E827, LookUP_Table!$A$6:$D$7, 2, FALSE)</f>
        <v>Secondary</v>
      </c>
      <c r="G827" t="str">
        <f>IFERROR(VLOOKUP(E827, LookUP_Table!$A$1:$B$4, 2, FALSE), "")</f>
        <v>Secondary</v>
      </c>
      <c r="H827">
        <v>1</v>
      </c>
      <c r="I827">
        <v>30</v>
      </c>
      <c r="J827" t="str">
        <f t="shared" si="72"/>
        <v>Smoker</v>
      </c>
      <c r="K827">
        <v>0</v>
      </c>
      <c r="L827">
        <v>0</v>
      </c>
      <c r="M827">
        <v>0</v>
      </c>
      <c r="N827">
        <v>0</v>
      </c>
      <c r="O827">
        <v>224</v>
      </c>
      <c r="P827" t="str">
        <f t="shared" si="73"/>
        <v>Normal</v>
      </c>
      <c r="Q827">
        <v>114</v>
      </c>
      <c r="R827">
        <v>68</v>
      </c>
      <c r="S827">
        <v>21.42</v>
      </c>
      <c r="T827" t="str">
        <f t="shared" si="74"/>
        <v>Normal</v>
      </c>
      <c r="U827">
        <v>66</v>
      </c>
      <c r="V827">
        <v>107</v>
      </c>
      <c r="W827" t="str">
        <f t="shared" si="77"/>
        <v>Prediabetes</v>
      </c>
      <c r="X827">
        <v>0</v>
      </c>
    </row>
    <row r="828" spans="1:24" ht="14.5" thickBot="1" x14ac:dyDescent="0.35">
      <c r="A828">
        <v>1</v>
      </c>
      <c r="B828" t="str">
        <f t="shared" si="75"/>
        <v>Male</v>
      </c>
      <c r="C828" s="8">
        <v>41</v>
      </c>
      <c r="D828" t="str">
        <f t="shared" si="76"/>
        <v>Middle Age</v>
      </c>
      <c r="E828">
        <v>3</v>
      </c>
      <c r="F828" t="str">
        <f>HLOOKUP(E828, LookUP_Table!$A$6:$D$7, 2, FALSE)</f>
        <v>Graduate</v>
      </c>
      <c r="G828" t="str">
        <f>IFERROR(VLOOKUP(E828, LookUP_Table!$A$1:$B$4, 2, FALSE), "")</f>
        <v>Graduate</v>
      </c>
      <c r="H828">
        <v>0</v>
      </c>
      <c r="I828">
        <v>0</v>
      </c>
      <c r="J828" t="str">
        <f t="shared" si="72"/>
        <v>Non-Smoker</v>
      </c>
      <c r="K828">
        <v>0</v>
      </c>
      <c r="L828">
        <v>0</v>
      </c>
      <c r="M828">
        <v>1</v>
      </c>
      <c r="N828">
        <v>0</v>
      </c>
      <c r="O828">
        <v>250</v>
      </c>
      <c r="P828" t="str">
        <f t="shared" si="73"/>
        <v>High</v>
      </c>
      <c r="Q828">
        <v>150</v>
      </c>
      <c r="R828">
        <v>92</v>
      </c>
      <c r="S828">
        <v>33.29</v>
      </c>
      <c r="T828" t="str">
        <f t="shared" si="74"/>
        <v>Obese</v>
      </c>
      <c r="U828">
        <v>85</v>
      </c>
      <c r="V828">
        <v>85</v>
      </c>
      <c r="W828" t="str">
        <f t="shared" si="77"/>
        <v>Normal</v>
      </c>
      <c r="X828">
        <v>0</v>
      </c>
    </row>
    <row r="829" spans="1:24" ht="14.5" thickBot="1" x14ac:dyDescent="0.35">
      <c r="A829">
        <v>1</v>
      </c>
      <c r="B829" t="str">
        <f t="shared" si="75"/>
        <v>Male</v>
      </c>
      <c r="C829" s="8">
        <v>41</v>
      </c>
      <c r="D829" t="str">
        <f t="shared" si="76"/>
        <v>Middle Age</v>
      </c>
      <c r="E829">
        <v>1</v>
      </c>
      <c r="F829" t="str">
        <f>HLOOKUP(E829, LookUP_Table!$A$6:$D$7, 2, FALSE)</f>
        <v>Primary</v>
      </c>
      <c r="G829" t="str">
        <f>IFERROR(VLOOKUP(E829, LookUP_Table!$A$1:$B$4, 2, FALSE), "")</f>
        <v>Primary</v>
      </c>
      <c r="H829">
        <v>1</v>
      </c>
      <c r="I829">
        <v>40</v>
      </c>
      <c r="J829" t="str">
        <f t="shared" si="72"/>
        <v>Smoker</v>
      </c>
      <c r="K829">
        <v>0</v>
      </c>
      <c r="L829">
        <v>0</v>
      </c>
      <c r="M829">
        <v>0</v>
      </c>
      <c r="N829">
        <v>0</v>
      </c>
      <c r="O829">
        <v>224</v>
      </c>
      <c r="P829" t="str">
        <f t="shared" si="73"/>
        <v>Normal</v>
      </c>
      <c r="Q829">
        <v>126</v>
      </c>
      <c r="R829">
        <v>79</v>
      </c>
      <c r="S829">
        <v>22.94</v>
      </c>
      <c r="T829" t="str">
        <f t="shared" si="74"/>
        <v>Normal</v>
      </c>
      <c r="U829">
        <v>53</v>
      </c>
      <c r="V829">
        <v>68</v>
      </c>
      <c r="W829" t="str">
        <f t="shared" si="77"/>
        <v>Normal</v>
      </c>
      <c r="X829">
        <v>0</v>
      </c>
    </row>
    <row r="830" spans="1:24" ht="14.5" thickBot="1" x14ac:dyDescent="0.35">
      <c r="A830">
        <v>0</v>
      </c>
      <c r="B830" t="str">
        <f t="shared" si="75"/>
        <v>Female</v>
      </c>
      <c r="C830" s="8">
        <v>41</v>
      </c>
      <c r="D830" t="str">
        <f t="shared" si="76"/>
        <v>Middle Age</v>
      </c>
      <c r="E830">
        <v>3</v>
      </c>
      <c r="F830" t="str">
        <f>HLOOKUP(E830, LookUP_Table!$A$6:$D$7, 2, FALSE)</f>
        <v>Graduate</v>
      </c>
      <c r="G830" t="str">
        <f>IFERROR(VLOOKUP(E830, LookUP_Table!$A$1:$B$4, 2, FALSE), "")</f>
        <v>Graduate</v>
      </c>
      <c r="H830">
        <v>0</v>
      </c>
      <c r="I830">
        <v>0</v>
      </c>
      <c r="J830" t="str">
        <f t="shared" si="72"/>
        <v>Non-Smoker</v>
      </c>
      <c r="K830">
        <v>0</v>
      </c>
      <c r="L830">
        <v>0</v>
      </c>
      <c r="M830">
        <v>0</v>
      </c>
      <c r="N830">
        <v>0</v>
      </c>
      <c r="O830">
        <v>192</v>
      </c>
      <c r="P830" t="str">
        <f t="shared" si="73"/>
        <v>Normal</v>
      </c>
      <c r="Q830">
        <v>103</v>
      </c>
      <c r="R830">
        <v>72.5</v>
      </c>
      <c r="S830">
        <v>22.72</v>
      </c>
      <c r="T830" t="str">
        <f t="shared" si="74"/>
        <v>Normal</v>
      </c>
      <c r="U830">
        <v>61</v>
      </c>
      <c r="V830">
        <v>70</v>
      </c>
      <c r="W830" t="str">
        <f t="shared" si="77"/>
        <v>Normal</v>
      </c>
      <c r="X830">
        <v>0</v>
      </c>
    </row>
    <row r="831" spans="1:24" ht="14.5" thickBot="1" x14ac:dyDescent="0.35">
      <c r="A831">
        <v>0</v>
      </c>
      <c r="B831" t="str">
        <f t="shared" si="75"/>
        <v>Female</v>
      </c>
      <c r="C831" s="8">
        <v>41</v>
      </c>
      <c r="D831" t="str">
        <f t="shared" si="76"/>
        <v>Middle Age</v>
      </c>
      <c r="E831">
        <v>1</v>
      </c>
      <c r="F831" t="str">
        <f>HLOOKUP(E831, LookUP_Table!$A$6:$D$7, 2, FALSE)</f>
        <v>Primary</v>
      </c>
      <c r="G831" t="str">
        <f>IFERROR(VLOOKUP(E831, LookUP_Table!$A$1:$B$4, 2, FALSE), "")</f>
        <v>Primary</v>
      </c>
      <c r="H831">
        <v>0</v>
      </c>
      <c r="I831">
        <v>0</v>
      </c>
      <c r="J831" t="str">
        <f t="shared" si="72"/>
        <v>Non-Smoker</v>
      </c>
      <c r="K831">
        <v>0</v>
      </c>
      <c r="L831">
        <v>0</v>
      </c>
      <c r="M831">
        <v>0</v>
      </c>
      <c r="N831">
        <v>0</v>
      </c>
      <c r="O831">
        <v>177</v>
      </c>
      <c r="P831" t="str">
        <f t="shared" si="73"/>
        <v>Normal</v>
      </c>
      <c r="Q831">
        <v>107</v>
      </c>
      <c r="R831">
        <v>76</v>
      </c>
      <c r="S831">
        <v>22.37</v>
      </c>
      <c r="T831" t="str">
        <f t="shared" si="74"/>
        <v>Normal</v>
      </c>
      <c r="U831">
        <v>75</v>
      </c>
      <c r="V831">
        <v>65</v>
      </c>
      <c r="W831" t="str">
        <f t="shared" si="77"/>
        <v>Normal</v>
      </c>
      <c r="X831">
        <v>0</v>
      </c>
    </row>
    <row r="832" spans="1:24" ht="14.5" thickBot="1" x14ac:dyDescent="0.35">
      <c r="A832">
        <v>1</v>
      </c>
      <c r="B832" t="str">
        <f t="shared" si="75"/>
        <v>Male</v>
      </c>
      <c r="C832" s="8">
        <v>41</v>
      </c>
      <c r="D832" t="str">
        <f t="shared" si="76"/>
        <v>Middle Age</v>
      </c>
      <c r="E832">
        <v>2</v>
      </c>
      <c r="F832" t="str">
        <f>HLOOKUP(E832, LookUP_Table!$A$6:$D$7, 2, FALSE)</f>
        <v>Secondary</v>
      </c>
      <c r="G832" t="str">
        <f>IFERROR(VLOOKUP(E832, LookUP_Table!$A$1:$B$4, 2, FALSE), "")</f>
        <v>Secondary</v>
      </c>
      <c r="H832">
        <v>0</v>
      </c>
      <c r="I832">
        <v>0</v>
      </c>
      <c r="J832" t="str">
        <f t="shared" si="72"/>
        <v>Non-Smoker</v>
      </c>
      <c r="K832">
        <v>0</v>
      </c>
      <c r="L832">
        <v>0</v>
      </c>
      <c r="M832">
        <v>1</v>
      </c>
      <c r="N832">
        <v>0</v>
      </c>
      <c r="O832">
        <v>248</v>
      </c>
      <c r="P832" t="str">
        <f t="shared" si="73"/>
        <v>High</v>
      </c>
      <c r="Q832">
        <v>140</v>
      </c>
      <c r="R832">
        <v>87</v>
      </c>
      <c r="S832">
        <v>30.34</v>
      </c>
      <c r="T832" t="str">
        <f t="shared" si="74"/>
        <v>Obese</v>
      </c>
      <c r="U832">
        <v>96</v>
      </c>
      <c r="V832">
        <v>81.96365524402907</v>
      </c>
      <c r="W832" t="str">
        <f t="shared" si="77"/>
        <v>Normal</v>
      </c>
      <c r="X832">
        <v>0</v>
      </c>
    </row>
    <row r="833" spans="1:24" ht="14.5" thickBot="1" x14ac:dyDescent="0.35">
      <c r="A833">
        <v>0</v>
      </c>
      <c r="B833" t="str">
        <f t="shared" si="75"/>
        <v>Female</v>
      </c>
      <c r="C833" s="8">
        <v>41</v>
      </c>
      <c r="D833" t="str">
        <f t="shared" si="76"/>
        <v>Middle Age</v>
      </c>
      <c r="E833">
        <v>3</v>
      </c>
      <c r="F833" t="str">
        <f>HLOOKUP(E833, LookUP_Table!$A$6:$D$7, 2, FALSE)</f>
        <v>Graduate</v>
      </c>
      <c r="G833" t="str">
        <f>IFERROR(VLOOKUP(E833, LookUP_Table!$A$1:$B$4, 2, FALSE), "")</f>
        <v>Graduate</v>
      </c>
      <c r="H833">
        <v>1</v>
      </c>
      <c r="I833">
        <v>15</v>
      </c>
      <c r="J833" t="str">
        <f t="shared" si="72"/>
        <v>Smoker</v>
      </c>
      <c r="K833">
        <v>0</v>
      </c>
      <c r="L833">
        <v>0</v>
      </c>
      <c r="M833">
        <v>0</v>
      </c>
      <c r="N833">
        <v>0</v>
      </c>
      <c r="O833">
        <v>195</v>
      </c>
      <c r="P833" t="str">
        <f t="shared" si="73"/>
        <v>Normal</v>
      </c>
      <c r="Q833">
        <v>120.5</v>
      </c>
      <c r="R833">
        <v>76</v>
      </c>
      <c r="S833">
        <v>22.91</v>
      </c>
      <c r="T833" t="str">
        <f t="shared" si="74"/>
        <v>Normal</v>
      </c>
      <c r="U833">
        <v>75</v>
      </c>
      <c r="V833">
        <v>70</v>
      </c>
      <c r="W833" t="str">
        <f t="shared" si="77"/>
        <v>Normal</v>
      </c>
      <c r="X833">
        <v>1</v>
      </c>
    </row>
    <row r="834" spans="1:24" ht="14.5" thickBot="1" x14ac:dyDescent="0.35">
      <c r="A834">
        <v>0</v>
      </c>
      <c r="B834" t="str">
        <f t="shared" si="75"/>
        <v>Female</v>
      </c>
      <c r="C834" s="8">
        <v>41</v>
      </c>
      <c r="D834" t="str">
        <f t="shared" si="76"/>
        <v>Middle Age</v>
      </c>
      <c r="E834">
        <v>4</v>
      </c>
      <c r="F834" t="str">
        <f>HLOOKUP(E834, LookUP_Table!$A$6:$D$7, 2, FALSE)</f>
        <v>Post Graduate</v>
      </c>
      <c r="G834" t="str">
        <f>IFERROR(VLOOKUP(E834, LookUP_Table!$A$1:$B$4, 2, FALSE), "")</f>
        <v>Post Graduate</v>
      </c>
      <c r="H834">
        <v>0</v>
      </c>
      <c r="I834">
        <v>0</v>
      </c>
      <c r="J834" t="str">
        <f t="shared" ref="J834:J897" si="78">IF(I834&gt;0,"Smoker","Non-Smoker")</f>
        <v>Non-Smoker</v>
      </c>
      <c r="K834">
        <v>0</v>
      </c>
      <c r="L834">
        <v>0</v>
      </c>
      <c r="M834">
        <v>0</v>
      </c>
      <c r="N834">
        <v>0</v>
      </c>
      <c r="O834">
        <v>206</v>
      </c>
      <c r="P834" t="str">
        <f t="shared" ref="P834:P897" si="79">IF(O834&gt;240,"High","Normal")</f>
        <v>Normal</v>
      </c>
      <c r="Q834">
        <v>130</v>
      </c>
      <c r="R834">
        <v>88</v>
      </c>
      <c r="S834">
        <v>22.25</v>
      </c>
      <c r="T834" t="str">
        <f t="shared" ref="T834:T897" si="80">IF(S834&lt;18.5,"Underweight",
IF(S834&lt;25,"Normal",
IF(S834&lt;30,"Overweight","Obese")))</f>
        <v>Normal</v>
      </c>
      <c r="U834">
        <v>85</v>
      </c>
      <c r="V834">
        <v>79</v>
      </c>
      <c r="W834" t="str">
        <f t="shared" si="77"/>
        <v>Normal</v>
      </c>
      <c r="X834">
        <v>0</v>
      </c>
    </row>
    <row r="835" spans="1:24" ht="14.5" thickBot="1" x14ac:dyDescent="0.35">
      <c r="A835">
        <v>1</v>
      </c>
      <c r="B835" t="str">
        <f t="shared" ref="B835:B898" si="81">IF(A835=0,"Female","Male")</f>
        <v>Male</v>
      </c>
      <c r="C835" s="8">
        <v>41</v>
      </c>
      <c r="D835" t="str">
        <f t="shared" ref="D835:D898" si="82">IF(C835&lt;40,"Young",
IF(C835&lt;55,"Middle Age","Senior"))</f>
        <v>Middle Age</v>
      </c>
      <c r="E835">
        <v>2</v>
      </c>
      <c r="F835" t="str">
        <f>HLOOKUP(E835, LookUP_Table!$A$6:$D$7, 2, FALSE)</f>
        <v>Secondary</v>
      </c>
      <c r="G835" t="str">
        <f>IFERROR(VLOOKUP(E835, LookUP_Table!$A$1:$B$4, 2, FALSE), "")</f>
        <v>Secondary</v>
      </c>
      <c r="H835">
        <v>0</v>
      </c>
      <c r="I835">
        <v>0</v>
      </c>
      <c r="J835" t="str">
        <f t="shared" si="78"/>
        <v>Non-Smoker</v>
      </c>
      <c r="K835">
        <v>0</v>
      </c>
      <c r="L835">
        <v>0</v>
      </c>
      <c r="M835">
        <v>0</v>
      </c>
      <c r="N835">
        <v>0</v>
      </c>
      <c r="O835">
        <v>298</v>
      </c>
      <c r="P835" t="str">
        <f t="shared" si="79"/>
        <v>High</v>
      </c>
      <c r="Q835">
        <v>132</v>
      </c>
      <c r="R835">
        <v>85.5</v>
      </c>
      <c r="S835">
        <v>31.06</v>
      </c>
      <c r="T835" t="str">
        <f t="shared" si="80"/>
        <v>Obese</v>
      </c>
      <c r="U835">
        <v>58</v>
      </c>
      <c r="V835">
        <v>90</v>
      </c>
      <c r="W835" t="str">
        <f t="shared" ref="W835:W898" si="83">IF(V835 &lt; 100, "Normal", IF(V835 &lt;= 125, "Prediabetes", "Diabetes"))</f>
        <v>Normal</v>
      </c>
      <c r="X835">
        <v>0</v>
      </c>
    </row>
    <row r="836" spans="1:24" ht="14.5" thickBot="1" x14ac:dyDescent="0.35">
      <c r="A836">
        <v>0</v>
      </c>
      <c r="B836" t="str">
        <f t="shared" si="81"/>
        <v>Female</v>
      </c>
      <c r="C836" s="8">
        <v>41</v>
      </c>
      <c r="D836" t="str">
        <f t="shared" si="82"/>
        <v>Middle Age</v>
      </c>
      <c r="E836">
        <v>1</v>
      </c>
      <c r="F836" t="str">
        <f>HLOOKUP(E836, LookUP_Table!$A$6:$D$7, 2, FALSE)</f>
        <v>Primary</v>
      </c>
      <c r="G836" t="str">
        <f>IFERROR(VLOOKUP(E836, LookUP_Table!$A$1:$B$4, 2, FALSE), "")</f>
        <v>Primary</v>
      </c>
      <c r="H836">
        <v>0</v>
      </c>
      <c r="I836">
        <v>0</v>
      </c>
      <c r="J836" t="str">
        <f t="shared" si="78"/>
        <v>Non-Smoker</v>
      </c>
      <c r="K836">
        <v>0</v>
      </c>
      <c r="L836">
        <v>0</v>
      </c>
      <c r="M836">
        <v>0</v>
      </c>
      <c r="N836">
        <v>0</v>
      </c>
      <c r="O836">
        <v>203</v>
      </c>
      <c r="P836" t="str">
        <f t="shared" si="79"/>
        <v>Normal</v>
      </c>
      <c r="Q836">
        <v>124</v>
      </c>
      <c r="R836">
        <v>86</v>
      </c>
      <c r="S836">
        <v>28.25</v>
      </c>
      <c r="T836" t="str">
        <f t="shared" si="80"/>
        <v>Overweight</v>
      </c>
      <c r="U836">
        <v>83</v>
      </c>
      <c r="V836">
        <v>80</v>
      </c>
      <c r="W836" t="str">
        <f t="shared" si="83"/>
        <v>Normal</v>
      </c>
      <c r="X836">
        <v>0</v>
      </c>
    </row>
    <row r="837" spans="1:24" ht="14.5" thickBot="1" x14ac:dyDescent="0.35">
      <c r="A837">
        <v>1</v>
      </c>
      <c r="B837" t="str">
        <f t="shared" si="81"/>
        <v>Male</v>
      </c>
      <c r="C837" s="8">
        <v>41</v>
      </c>
      <c r="D837" t="str">
        <f t="shared" si="82"/>
        <v>Middle Age</v>
      </c>
      <c r="E837">
        <v>3</v>
      </c>
      <c r="F837" t="str">
        <f>HLOOKUP(E837, LookUP_Table!$A$6:$D$7, 2, FALSE)</f>
        <v>Graduate</v>
      </c>
      <c r="G837" t="str">
        <f>IFERROR(VLOOKUP(E837, LookUP_Table!$A$1:$B$4, 2, FALSE), "")</f>
        <v>Graduate</v>
      </c>
      <c r="H837">
        <v>0</v>
      </c>
      <c r="I837">
        <v>0</v>
      </c>
      <c r="J837" t="str">
        <f t="shared" si="78"/>
        <v>Non-Smoker</v>
      </c>
      <c r="K837">
        <v>0</v>
      </c>
      <c r="L837">
        <v>0</v>
      </c>
      <c r="M837">
        <v>1</v>
      </c>
      <c r="N837">
        <v>0</v>
      </c>
      <c r="O837">
        <v>230</v>
      </c>
      <c r="P837" t="str">
        <f t="shared" si="79"/>
        <v>Normal</v>
      </c>
      <c r="Q837">
        <v>150</v>
      </c>
      <c r="R837">
        <v>101</v>
      </c>
      <c r="S837">
        <v>28.54</v>
      </c>
      <c r="T837" t="str">
        <f t="shared" si="80"/>
        <v>Overweight</v>
      </c>
      <c r="U837">
        <v>75</v>
      </c>
      <c r="V837">
        <v>65</v>
      </c>
      <c r="W837" t="str">
        <f t="shared" si="83"/>
        <v>Normal</v>
      </c>
      <c r="X837">
        <v>0</v>
      </c>
    </row>
    <row r="838" spans="1:24" ht="14.5" thickBot="1" x14ac:dyDescent="0.35">
      <c r="A838">
        <v>0</v>
      </c>
      <c r="B838" t="str">
        <f t="shared" si="81"/>
        <v>Female</v>
      </c>
      <c r="C838" s="8">
        <v>41</v>
      </c>
      <c r="D838" t="str">
        <f t="shared" si="82"/>
        <v>Middle Age</v>
      </c>
      <c r="E838">
        <v>2</v>
      </c>
      <c r="F838" t="str">
        <f>HLOOKUP(E838, LookUP_Table!$A$6:$D$7, 2, FALSE)</f>
        <v>Secondary</v>
      </c>
      <c r="G838" t="str">
        <f>IFERROR(VLOOKUP(E838, LookUP_Table!$A$1:$B$4, 2, FALSE), "")</f>
        <v>Secondary</v>
      </c>
      <c r="H838">
        <v>1</v>
      </c>
      <c r="I838">
        <v>15</v>
      </c>
      <c r="J838" t="str">
        <f t="shared" si="78"/>
        <v>Smoker</v>
      </c>
      <c r="K838">
        <v>0</v>
      </c>
      <c r="L838">
        <v>0</v>
      </c>
      <c r="M838">
        <v>0</v>
      </c>
      <c r="N838">
        <v>0</v>
      </c>
      <c r="O838">
        <v>235</v>
      </c>
      <c r="P838" t="str">
        <f t="shared" si="79"/>
        <v>Normal</v>
      </c>
      <c r="Q838">
        <v>107.5</v>
      </c>
      <c r="R838">
        <v>68</v>
      </c>
      <c r="S838">
        <v>21.1</v>
      </c>
      <c r="T838" t="str">
        <f t="shared" si="80"/>
        <v>Normal</v>
      </c>
      <c r="U838">
        <v>80</v>
      </c>
      <c r="V838">
        <v>113</v>
      </c>
      <c r="W838" t="str">
        <f t="shared" si="83"/>
        <v>Prediabetes</v>
      </c>
      <c r="X838">
        <v>0</v>
      </c>
    </row>
    <row r="839" spans="1:24" ht="14.5" thickBot="1" x14ac:dyDescent="0.35">
      <c r="A839">
        <v>1</v>
      </c>
      <c r="B839" t="str">
        <f t="shared" si="81"/>
        <v>Male</v>
      </c>
      <c r="C839" s="8">
        <v>41</v>
      </c>
      <c r="D839" t="str">
        <f t="shared" si="82"/>
        <v>Middle Age</v>
      </c>
      <c r="E839">
        <v>1</v>
      </c>
      <c r="F839" t="str">
        <f>HLOOKUP(E839, LookUP_Table!$A$6:$D$7, 2, FALSE)</f>
        <v>Primary</v>
      </c>
      <c r="G839" t="str">
        <f>IFERROR(VLOOKUP(E839, LookUP_Table!$A$1:$B$4, 2, FALSE), "")</f>
        <v>Primary</v>
      </c>
      <c r="H839">
        <v>0</v>
      </c>
      <c r="I839">
        <v>0</v>
      </c>
      <c r="J839" t="str">
        <f t="shared" si="78"/>
        <v>Non-Smoker</v>
      </c>
      <c r="K839">
        <v>0</v>
      </c>
      <c r="L839">
        <v>0</v>
      </c>
      <c r="M839">
        <v>0</v>
      </c>
      <c r="N839">
        <v>0</v>
      </c>
      <c r="O839">
        <v>260</v>
      </c>
      <c r="P839" t="str">
        <f t="shared" si="79"/>
        <v>High</v>
      </c>
      <c r="Q839">
        <v>128</v>
      </c>
      <c r="R839">
        <v>84</v>
      </c>
      <c r="S839">
        <v>31.61</v>
      </c>
      <c r="T839" t="str">
        <f t="shared" si="80"/>
        <v>Obese</v>
      </c>
      <c r="U839">
        <v>66</v>
      </c>
      <c r="V839">
        <v>48</v>
      </c>
      <c r="W839" t="str">
        <f t="shared" si="83"/>
        <v>Normal</v>
      </c>
      <c r="X839">
        <v>0</v>
      </c>
    </row>
    <row r="840" spans="1:24" ht="14.5" thickBot="1" x14ac:dyDescent="0.35">
      <c r="A840">
        <v>1</v>
      </c>
      <c r="B840" t="str">
        <f t="shared" si="81"/>
        <v>Male</v>
      </c>
      <c r="C840" s="8">
        <v>41</v>
      </c>
      <c r="D840" t="str">
        <f t="shared" si="82"/>
        <v>Middle Age</v>
      </c>
      <c r="E840">
        <v>4</v>
      </c>
      <c r="F840" t="str">
        <f>HLOOKUP(E840, LookUP_Table!$A$6:$D$7, 2, FALSE)</f>
        <v>Post Graduate</v>
      </c>
      <c r="G840" t="str">
        <f>IFERROR(VLOOKUP(E840, LookUP_Table!$A$1:$B$4, 2, FALSE), "")</f>
        <v>Post Graduate</v>
      </c>
      <c r="H840">
        <v>1</v>
      </c>
      <c r="I840">
        <v>10</v>
      </c>
      <c r="J840" t="str">
        <f t="shared" si="78"/>
        <v>Smoker</v>
      </c>
      <c r="K840">
        <v>0</v>
      </c>
      <c r="L840">
        <v>0</v>
      </c>
      <c r="M840">
        <v>0</v>
      </c>
      <c r="N840">
        <v>0</v>
      </c>
      <c r="O840">
        <v>213</v>
      </c>
      <c r="P840" t="str">
        <f t="shared" si="79"/>
        <v>Normal</v>
      </c>
      <c r="Q840">
        <v>120</v>
      </c>
      <c r="R840">
        <v>78</v>
      </c>
      <c r="S840">
        <v>28.78</v>
      </c>
      <c r="T840" t="str">
        <f t="shared" si="80"/>
        <v>Overweight</v>
      </c>
      <c r="U840">
        <v>80</v>
      </c>
      <c r="V840">
        <v>70</v>
      </c>
      <c r="W840" t="str">
        <f t="shared" si="83"/>
        <v>Normal</v>
      </c>
      <c r="X840">
        <v>0</v>
      </c>
    </row>
    <row r="841" spans="1:24" ht="14.5" thickBot="1" x14ac:dyDescent="0.35">
      <c r="A841">
        <v>1</v>
      </c>
      <c r="B841" t="str">
        <f t="shared" si="81"/>
        <v>Male</v>
      </c>
      <c r="C841" s="8">
        <v>41</v>
      </c>
      <c r="D841" t="str">
        <f t="shared" si="82"/>
        <v>Middle Age</v>
      </c>
      <c r="E841">
        <v>2</v>
      </c>
      <c r="F841" t="str">
        <f>HLOOKUP(E841, LookUP_Table!$A$6:$D$7, 2, FALSE)</f>
        <v>Secondary</v>
      </c>
      <c r="G841" t="str">
        <f>IFERROR(VLOOKUP(E841, LookUP_Table!$A$1:$B$4, 2, FALSE), "")</f>
        <v>Secondary</v>
      </c>
      <c r="H841">
        <v>1</v>
      </c>
      <c r="I841">
        <v>20</v>
      </c>
      <c r="J841" t="str">
        <f t="shared" si="78"/>
        <v>Smoker</v>
      </c>
      <c r="K841">
        <v>0</v>
      </c>
      <c r="L841">
        <v>0</v>
      </c>
      <c r="M841">
        <v>0</v>
      </c>
      <c r="N841">
        <v>0</v>
      </c>
      <c r="O841">
        <v>199</v>
      </c>
      <c r="P841" t="str">
        <f t="shared" si="79"/>
        <v>Normal</v>
      </c>
      <c r="Q841">
        <v>139</v>
      </c>
      <c r="R841">
        <v>80</v>
      </c>
      <c r="S841">
        <v>25.51</v>
      </c>
      <c r="T841" t="str">
        <f t="shared" si="80"/>
        <v>Overweight</v>
      </c>
      <c r="U841">
        <v>62</v>
      </c>
      <c r="V841">
        <v>62</v>
      </c>
      <c r="W841" t="str">
        <f t="shared" si="83"/>
        <v>Normal</v>
      </c>
      <c r="X841">
        <v>1</v>
      </c>
    </row>
    <row r="842" spans="1:24" ht="14.5" thickBot="1" x14ac:dyDescent="0.35">
      <c r="A842">
        <v>0</v>
      </c>
      <c r="B842" t="str">
        <f t="shared" si="81"/>
        <v>Female</v>
      </c>
      <c r="C842" s="8">
        <v>41</v>
      </c>
      <c r="D842" t="str">
        <f t="shared" si="82"/>
        <v>Middle Age</v>
      </c>
      <c r="E842">
        <v>4</v>
      </c>
      <c r="F842" t="str">
        <f>HLOOKUP(E842, LookUP_Table!$A$6:$D$7, 2, FALSE)</f>
        <v>Post Graduate</v>
      </c>
      <c r="G842" t="str">
        <f>IFERROR(VLOOKUP(E842, LookUP_Table!$A$1:$B$4, 2, FALSE), "")</f>
        <v>Post Graduate</v>
      </c>
      <c r="H842">
        <v>0</v>
      </c>
      <c r="I842">
        <v>0</v>
      </c>
      <c r="J842" t="str">
        <f t="shared" si="78"/>
        <v>Non-Smoker</v>
      </c>
      <c r="K842">
        <v>0</v>
      </c>
      <c r="L842">
        <v>0</v>
      </c>
      <c r="M842">
        <v>0</v>
      </c>
      <c r="N842">
        <v>0</v>
      </c>
      <c r="O842">
        <v>204</v>
      </c>
      <c r="P842" t="str">
        <f t="shared" si="79"/>
        <v>Normal</v>
      </c>
      <c r="Q842">
        <v>129</v>
      </c>
      <c r="R842">
        <v>86</v>
      </c>
      <c r="S842">
        <v>20.72</v>
      </c>
      <c r="T842" t="str">
        <f t="shared" si="80"/>
        <v>Normal</v>
      </c>
      <c r="U842">
        <v>60</v>
      </c>
      <c r="V842">
        <v>70</v>
      </c>
      <c r="W842" t="str">
        <f t="shared" si="83"/>
        <v>Normal</v>
      </c>
      <c r="X842">
        <v>0</v>
      </c>
    </row>
    <row r="843" spans="1:24" ht="14.5" thickBot="1" x14ac:dyDescent="0.35">
      <c r="A843">
        <v>0</v>
      </c>
      <c r="B843" t="str">
        <f t="shared" si="81"/>
        <v>Female</v>
      </c>
      <c r="C843" s="8">
        <v>41</v>
      </c>
      <c r="D843" t="str">
        <f t="shared" si="82"/>
        <v>Middle Age</v>
      </c>
      <c r="E843">
        <v>4</v>
      </c>
      <c r="F843" t="str">
        <f>HLOOKUP(E843, LookUP_Table!$A$6:$D$7, 2, FALSE)</f>
        <v>Post Graduate</v>
      </c>
      <c r="G843" t="str">
        <f>IFERROR(VLOOKUP(E843, LookUP_Table!$A$1:$B$4, 2, FALSE), "")</f>
        <v>Post Graduate</v>
      </c>
      <c r="H843">
        <v>1</v>
      </c>
      <c r="I843">
        <v>9</v>
      </c>
      <c r="J843" t="str">
        <f t="shared" si="78"/>
        <v>Smoker</v>
      </c>
      <c r="K843">
        <v>0</v>
      </c>
      <c r="L843">
        <v>0</v>
      </c>
      <c r="M843">
        <v>0</v>
      </c>
      <c r="N843">
        <v>0</v>
      </c>
      <c r="O843">
        <v>218</v>
      </c>
      <c r="P843" t="str">
        <f t="shared" si="79"/>
        <v>Normal</v>
      </c>
      <c r="Q843">
        <v>102</v>
      </c>
      <c r="R843">
        <v>67</v>
      </c>
      <c r="S843">
        <v>19.23</v>
      </c>
      <c r="T843" t="str">
        <f t="shared" si="80"/>
        <v>Normal</v>
      </c>
      <c r="U843">
        <v>78</v>
      </c>
      <c r="V843">
        <v>78</v>
      </c>
      <c r="W843" t="str">
        <f t="shared" si="83"/>
        <v>Normal</v>
      </c>
      <c r="X843">
        <v>0</v>
      </c>
    </row>
    <row r="844" spans="1:24" ht="14.5" thickBot="1" x14ac:dyDescent="0.35">
      <c r="A844">
        <v>0</v>
      </c>
      <c r="B844" t="str">
        <f t="shared" si="81"/>
        <v>Female</v>
      </c>
      <c r="C844" s="8">
        <v>41</v>
      </c>
      <c r="D844" t="str">
        <f t="shared" si="82"/>
        <v>Middle Age</v>
      </c>
      <c r="E844">
        <v>1</v>
      </c>
      <c r="F844" t="str">
        <f>HLOOKUP(E844, LookUP_Table!$A$6:$D$7, 2, FALSE)</f>
        <v>Primary</v>
      </c>
      <c r="G844" t="str">
        <f>IFERROR(VLOOKUP(E844, LookUP_Table!$A$1:$B$4, 2, FALSE), "")</f>
        <v>Primary</v>
      </c>
      <c r="H844">
        <v>0</v>
      </c>
      <c r="I844">
        <v>0</v>
      </c>
      <c r="J844" t="str">
        <f t="shared" si="78"/>
        <v>Non-Smoker</v>
      </c>
      <c r="K844">
        <v>0</v>
      </c>
      <c r="L844">
        <v>0</v>
      </c>
      <c r="M844">
        <v>0</v>
      </c>
      <c r="N844">
        <v>0</v>
      </c>
      <c r="O844">
        <v>156</v>
      </c>
      <c r="P844" t="str">
        <f t="shared" si="79"/>
        <v>Normal</v>
      </c>
      <c r="Q844">
        <v>121</v>
      </c>
      <c r="R844">
        <v>88</v>
      </c>
      <c r="S844">
        <v>23.57</v>
      </c>
      <c r="T844" t="str">
        <f t="shared" si="80"/>
        <v>Normal</v>
      </c>
      <c r="U844">
        <v>70</v>
      </c>
      <c r="V844">
        <v>86</v>
      </c>
      <c r="W844" t="str">
        <f t="shared" si="83"/>
        <v>Normal</v>
      </c>
      <c r="X844">
        <v>0</v>
      </c>
    </row>
    <row r="845" spans="1:24" ht="14.5" thickBot="1" x14ac:dyDescent="0.35">
      <c r="A845">
        <v>0</v>
      </c>
      <c r="B845" t="str">
        <f t="shared" si="81"/>
        <v>Female</v>
      </c>
      <c r="C845" s="8">
        <v>41</v>
      </c>
      <c r="D845" t="str">
        <f t="shared" si="82"/>
        <v>Middle Age</v>
      </c>
      <c r="E845">
        <v>3</v>
      </c>
      <c r="F845" t="str">
        <f>HLOOKUP(E845, LookUP_Table!$A$6:$D$7, 2, FALSE)</f>
        <v>Graduate</v>
      </c>
      <c r="G845" t="str">
        <f>IFERROR(VLOOKUP(E845, LookUP_Table!$A$1:$B$4, 2, FALSE), "")</f>
        <v>Graduate</v>
      </c>
      <c r="H845">
        <v>0</v>
      </c>
      <c r="I845">
        <v>0</v>
      </c>
      <c r="J845" t="str">
        <f t="shared" si="78"/>
        <v>Non-Smoker</v>
      </c>
      <c r="K845">
        <v>0</v>
      </c>
      <c r="L845">
        <v>0</v>
      </c>
      <c r="M845">
        <v>0</v>
      </c>
      <c r="N845">
        <v>0</v>
      </c>
      <c r="O845">
        <v>228</v>
      </c>
      <c r="P845" t="str">
        <f t="shared" si="79"/>
        <v>Normal</v>
      </c>
      <c r="Q845">
        <v>108</v>
      </c>
      <c r="R845">
        <v>62</v>
      </c>
      <c r="S845">
        <v>23.92</v>
      </c>
      <c r="T845" t="str">
        <f t="shared" si="80"/>
        <v>Normal</v>
      </c>
      <c r="U845">
        <v>63</v>
      </c>
      <c r="V845">
        <v>99</v>
      </c>
      <c r="W845" t="str">
        <f t="shared" si="83"/>
        <v>Normal</v>
      </c>
      <c r="X845">
        <v>0</v>
      </c>
    </row>
    <row r="846" spans="1:24" ht="14.5" thickBot="1" x14ac:dyDescent="0.35">
      <c r="A846">
        <v>0</v>
      </c>
      <c r="B846" t="str">
        <f t="shared" si="81"/>
        <v>Female</v>
      </c>
      <c r="C846" s="8">
        <v>41</v>
      </c>
      <c r="D846" t="str">
        <f t="shared" si="82"/>
        <v>Middle Age</v>
      </c>
      <c r="E846">
        <v>2</v>
      </c>
      <c r="F846" t="str">
        <f>HLOOKUP(E846, LookUP_Table!$A$6:$D$7, 2, FALSE)</f>
        <v>Secondary</v>
      </c>
      <c r="G846" t="str">
        <f>IFERROR(VLOOKUP(E846, LookUP_Table!$A$1:$B$4, 2, FALSE), "")</f>
        <v>Secondary</v>
      </c>
      <c r="H846">
        <v>1</v>
      </c>
      <c r="I846">
        <v>9</v>
      </c>
      <c r="J846" t="str">
        <f t="shared" si="78"/>
        <v>Smoker</v>
      </c>
      <c r="K846">
        <v>0</v>
      </c>
      <c r="L846">
        <v>0</v>
      </c>
      <c r="M846">
        <v>0</v>
      </c>
      <c r="N846">
        <v>0</v>
      </c>
      <c r="O846">
        <v>280</v>
      </c>
      <c r="P846" t="str">
        <f t="shared" si="79"/>
        <v>High</v>
      </c>
      <c r="Q846">
        <v>129</v>
      </c>
      <c r="R846">
        <v>89</v>
      </c>
      <c r="S846">
        <v>39.69</v>
      </c>
      <c r="T846" t="str">
        <f t="shared" si="80"/>
        <v>Obese</v>
      </c>
      <c r="U846">
        <v>110</v>
      </c>
      <c r="V846">
        <v>65</v>
      </c>
      <c r="W846" t="str">
        <f t="shared" si="83"/>
        <v>Normal</v>
      </c>
      <c r="X846">
        <v>0</v>
      </c>
    </row>
    <row r="847" spans="1:24" ht="14.5" thickBot="1" x14ac:dyDescent="0.35">
      <c r="A847">
        <v>0</v>
      </c>
      <c r="B847" t="str">
        <f t="shared" si="81"/>
        <v>Female</v>
      </c>
      <c r="C847" s="8">
        <v>41</v>
      </c>
      <c r="D847" t="str">
        <f t="shared" si="82"/>
        <v>Middle Age</v>
      </c>
      <c r="E847">
        <v>1</v>
      </c>
      <c r="F847" t="str">
        <f>HLOOKUP(E847, LookUP_Table!$A$6:$D$7, 2, FALSE)</f>
        <v>Primary</v>
      </c>
      <c r="G847" t="str">
        <f>IFERROR(VLOOKUP(E847, LookUP_Table!$A$1:$B$4, 2, FALSE), "")</f>
        <v>Primary</v>
      </c>
      <c r="H847">
        <v>1</v>
      </c>
      <c r="I847">
        <v>20</v>
      </c>
      <c r="J847" t="str">
        <f t="shared" si="78"/>
        <v>Smoker</v>
      </c>
      <c r="K847">
        <v>0</v>
      </c>
      <c r="L847">
        <v>0</v>
      </c>
      <c r="M847">
        <v>0</v>
      </c>
      <c r="N847">
        <v>0</v>
      </c>
      <c r="O847">
        <v>326</v>
      </c>
      <c r="P847" t="str">
        <f t="shared" si="79"/>
        <v>High</v>
      </c>
      <c r="Q847">
        <v>124</v>
      </c>
      <c r="R847">
        <v>78</v>
      </c>
      <c r="S847">
        <v>25.27</v>
      </c>
      <c r="T847" t="str">
        <f t="shared" si="80"/>
        <v>Overweight</v>
      </c>
      <c r="U847">
        <v>88</v>
      </c>
      <c r="V847">
        <v>67</v>
      </c>
      <c r="W847" t="str">
        <f t="shared" si="83"/>
        <v>Normal</v>
      </c>
      <c r="X847">
        <v>0</v>
      </c>
    </row>
    <row r="848" spans="1:24" ht="14.5" thickBot="1" x14ac:dyDescent="0.35">
      <c r="A848">
        <v>0</v>
      </c>
      <c r="B848" t="str">
        <f t="shared" si="81"/>
        <v>Female</v>
      </c>
      <c r="C848" s="8">
        <v>41</v>
      </c>
      <c r="D848" t="str">
        <f t="shared" si="82"/>
        <v>Middle Age</v>
      </c>
      <c r="E848">
        <v>2</v>
      </c>
      <c r="F848" t="str">
        <f>HLOOKUP(E848, LookUP_Table!$A$6:$D$7, 2, FALSE)</f>
        <v>Secondary</v>
      </c>
      <c r="G848" t="str">
        <f>IFERROR(VLOOKUP(E848, LookUP_Table!$A$1:$B$4, 2, FALSE), "")</f>
        <v>Secondary</v>
      </c>
      <c r="H848">
        <v>0</v>
      </c>
      <c r="I848">
        <v>0</v>
      </c>
      <c r="J848" t="str">
        <f t="shared" si="78"/>
        <v>Non-Smoker</v>
      </c>
      <c r="K848">
        <v>0</v>
      </c>
      <c r="L848">
        <v>0</v>
      </c>
      <c r="M848">
        <v>0</v>
      </c>
      <c r="N848">
        <v>0</v>
      </c>
      <c r="O848">
        <v>185</v>
      </c>
      <c r="P848" t="str">
        <f t="shared" si="79"/>
        <v>Normal</v>
      </c>
      <c r="Q848">
        <v>125</v>
      </c>
      <c r="R848">
        <v>88</v>
      </c>
      <c r="S848">
        <v>24.88</v>
      </c>
      <c r="T848" t="str">
        <f t="shared" si="80"/>
        <v>Normal</v>
      </c>
      <c r="U848">
        <v>107</v>
      </c>
      <c r="V848">
        <v>75</v>
      </c>
      <c r="W848" t="str">
        <f t="shared" si="83"/>
        <v>Normal</v>
      </c>
      <c r="X848">
        <v>0</v>
      </c>
    </row>
    <row r="849" spans="1:24" ht="14.5" thickBot="1" x14ac:dyDescent="0.35">
      <c r="A849">
        <v>0</v>
      </c>
      <c r="B849" t="str">
        <f t="shared" si="81"/>
        <v>Female</v>
      </c>
      <c r="C849" s="8">
        <v>41</v>
      </c>
      <c r="D849" t="str">
        <f t="shared" si="82"/>
        <v>Middle Age</v>
      </c>
      <c r="E849">
        <v>2</v>
      </c>
      <c r="F849" t="str">
        <f>HLOOKUP(E849, LookUP_Table!$A$6:$D$7, 2, FALSE)</f>
        <v>Secondary</v>
      </c>
      <c r="G849" t="str">
        <f>IFERROR(VLOOKUP(E849, LookUP_Table!$A$1:$B$4, 2, FALSE), "")</f>
        <v>Secondary</v>
      </c>
      <c r="H849">
        <v>0</v>
      </c>
      <c r="I849">
        <v>0</v>
      </c>
      <c r="J849" t="str">
        <f t="shared" si="78"/>
        <v>Non-Smoker</v>
      </c>
      <c r="K849">
        <v>0</v>
      </c>
      <c r="L849">
        <v>0</v>
      </c>
      <c r="M849">
        <v>0</v>
      </c>
      <c r="N849">
        <v>0</v>
      </c>
      <c r="O849">
        <v>197</v>
      </c>
      <c r="P849" t="str">
        <f t="shared" si="79"/>
        <v>Normal</v>
      </c>
      <c r="Q849">
        <v>113</v>
      </c>
      <c r="R849">
        <v>70</v>
      </c>
      <c r="S849">
        <v>23.78</v>
      </c>
      <c r="T849" t="str">
        <f t="shared" si="80"/>
        <v>Normal</v>
      </c>
      <c r="U849">
        <v>65</v>
      </c>
      <c r="V849">
        <v>90</v>
      </c>
      <c r="W849" t="str">
        <f t="shared" si="83"/>
        <v>Normal</v>
      </c>
      <c r="X849">
        <v>0</v>
      </c>
    </row>
    <row r="850" spans="1:24" ht="14.5" thickBot="1" x14ac:dyDescent="0.35">
      <c r="A850">
        <v>1</v>
      </c>
      <c r="B850" t="str">
        <f t="shared" si="81"/>
        <v>Male</v>
      </c>
      <c r="C850" s="8">
        <v>41</v>
      </c>
      <c r="D850" t="str">
        <f t="shared" si="82"/>
        <v>Middle Age</v>
      </c>
      <c r="E850">
        <v>1</v>
      </c>
      <c r="F850" t="str">
        <f>HLOOKUP(E850, LookUP_Table!$A$6:$D$7, 2, FALSE)</f>
        <v>Primary</v>
      </c>
      <c r="G850" t="str">
        <f>IFERROR(VLOOKUP(E850, LookUP_Table!$A$1:$B$4, 2, FALSE), "")</f>
        <v>Primary</v>
      </c>
      <c r="H850">
        <v>0</v>
      </c>
      <c r="I850">
        <v>0</v>
      </c>
      <c r="J850" t="str">
        <f t="shared" si="78"/>
        <v>Non-Smoker</v>
      </c>
      <c r="K850">
        <v>0</v>
      </c>
      <c r="L850">
        <v>0</v>
      </c>
      <c r="M850">
        <v>0</v>
      </c>
      <c r="N850">
        <v>0</v>
      </c>
      <c r="O850">
        <v>181</v>
      </c>
      <c r="P850" t="str">
        <f t="shared" si="79"/>
        <v>Normal</v>
      </c>
      <c r="Q850">
        <v>125</v>
      </c>
      <c r="R850">
        <v>79</v>
      </c>
      <c r="S850">
        <v>19.09</v>
      </c>
      <c r="T850" t="str">
        <f t="shared" si="80"/>
        <v>Normal</v>
      </c>
      <c r="U850">
        <v>60</v>
      </c>
      <c r="V850">
        <v>70</v>
      </c>
      <c r="W850" t="str">
        <f t="shared" si="83"/>
        <v>Normal</v>
      </c>
      <c r="X850">
        <v>0</v>
      </c>
    </row>
    <row r="851" spans="1:24" ht="14.5" thickBot="1" x14ac:dyDescent="0.35">
      <c r="A851">
        <v>0</v>
      </c>
      <c r="B851" t="str">
        <f t="shared" si="81"/>
        <v>Female</v>
      </c>
      <c r="C851" s="8">
        <v>41</v>
      </c>
      <c r="D851" t="str">
        <f t="shared" si="82"/>
        <v>Middle Age</v>
      </c>
      <c r="E851">
        <v>1</v>
      </c>
      <c r="F851" t="str">
        <f>HLOOKUP(E851, LookUP_Table!$A$6:$D$7, 2, FALSE)</f>
        <v>Primary</v>
      </c>
      <c r="G851" t="str">
        <f>IFERROR(VLOOKUP(E851, LookUP_Table!$A$1:$B$4, 2, FALSE), "")</f>
        <v>Primary</v>
      </c>
      <c r="H851">
        <v>0</v>
      </c>
      <c r="I851">
        <v>0</v>
      </c>
      <c r="J851" t="str">
        <f t="shared" si="78"/>
        <v>Non-Smoker</v>
      </c>
      <c r="K851">
        <v>0</v>
      </c>
      <c r="L851">
        <v>0</v>
      </c>
      <c r="M851">
        <v>1</v>
      </c>
      <c r="N851">
        <v>0</v>
      </c>
      <c r="O851">
        <v>317</v>
      </c>
      <c r="P851" t="str">
        <f t="shared" si="79"/>
        <v>High</v>
      </c>
      <c r="Q851">
        <v>149.5</v>
      </c>
      <c r="R851">
        <v>93</v>
      </c>
      <c r="S851">
        <v>35.42</v>
      </c>
      <c r="T851" t="str">
        <f t="shared" si="80"/>
        <v>Obese</v>
      </c>
      <c r="U851">
        <v>68</v>
      </c>
      <c r="V851">
        <v>87</v>
      </c>
      <c r="W851" t="str">
        <f t="shared" si="83"/>
        <v>Normal</v>
      </c>
      <c r="X851">
        <v>0</v>
      </c>
    </row>
    <row r="852" spans="1:24" ht="14.5" thickBot="1" x14ac:dyDescent="0.35">
      <c r="A852">
        <v>1</v>
      </c>
      <c r="B852" t="str">
        <f t="shared" si="81"/>
        <v>Male</v>
      </c>
      <c r="C852" s="8">
        <v>41</v>
      </c>
      <c r="D852" t="str">
        <f t="shared" si="82"/>
        <v>Middle Age</v>
      </c>
      <c r="E852">
        <v>2</v>
      </c>
      <c r="F852" t="str">
        <f>HLOOKUP(E852, LookUP_Table!$A$6:$D$7, 2, FALSE)</f>
        <v>Secondary</v>
      </c>
      <c r="G852" t="str">
        <f>IFERROR(VLOOKUP(E852, LookUP_Table!$A$1:$B$4, 2, FALSE), "")</f>
        <v>Secondary</v>
      </c>
      <c r="H852">
        <v>1</v>
      </c>
      <c r="I852">
        <v>30</v>
      </c>
      <c r="J852" t="str">
        <f t="shared" si="78"/>
        <v>Smoker</v>
      </c>
      <c r="K852">
        <v>0</v>
      </c>
      <c r="L852">
        <v>0</v>
      </c>
      <c r="M852">
        <v>0</v>
      </c>
      <c r="N852">
        <v>0</v>
      </c>
      <c r="O852">
        <v>228</v>
      </c>
      <c r="P852" t="str">
        <f t="shared" si="79"/>
        <v>Normal</v>
      </c>
      <c r="Q852">
        <v>113</v>
      </c>
      <c r="R852">
        <v>82.5</v>
      </c>
      <c r="S852">
        <v>25.67</v>
      </c>
      <c r="T852" t="str">
        <f t="shared" si="80"/>
        <v>Overweight</v>
      </c>
      <c r="U852">
        <v>67</v>
      </c>
      <c r="V852">
        <v>70</v>
      </c>
      <c r="W852" t="str">
        <f t="shared" si="83"/>
        <v>Normal</v>
      </c>
      <c r="X852">
        <v>0</v>
      </c>
    </row>
    <row r="853" spans="1:24" ht="14.5" thickBot="1" x14ac:dyDescent="0.35">
      <c r="A853">
        <v>0</v>
      </c>
      <c r="B853" t="str">
        <f t="shared" si="81"/>
        <v>Female</v>
      </c>
      <c r="C853" s="8">
        <v>41</v>
      </c>
      <c r="D853" t="str">
        <f t="shared" si="82"/>
        <v>Middle Age</v>
      </c>
      <c r="E853">
        <v>1</v>
      </c>
      <c r="F853" t="str">
        <f>HLOOKUP(E853, LookUP_Table!$A$6:$D$7, 2, FALSE)</f>
        <v>Primary</v>
      </c>
      <c r="G853" t="str">
        <f>IFERROR(VLOOKUP(E853, LookUP_Table!$A$1:$B$4, 2, FALSE), "")</f>
        <v>Primary</v>
      </c>
      <c r="H853">
        <v>1</v>
      </c>
      <c r="I853">
        <v>20</v>
      </c>
      <c r="J853" t="str">
        <f t="shared" si="78"/>
        <v>Smoker</v>
      </c>
      <c r="K853">
        <v>0</v>
      </c>
      <c r="L853">
        <v>0</v>
      </c>
      <c r="M853">
        <v>1</v>
      </c>
      <c r="N853">
        <v>0</v>
      </c>
      <c r="O853">
        <v>167</v>
      </c>
      <c r="P853" t="str">
        <f t="shared" si="79"/>
        <v>Normal</v>
      </c>
      <c r="Q853">
        <v>147.5</v>
      </c>
      <c r="R853">
        <v>87.5</v>
      </c>
      <c r="S853">
        <v>32.520000000000003</v>
      </c>
      <c r="T853" t="str">
        <f t="shared" si="80"/>
        <v>Obese</v>
      </c>
      <c r="U853">
        <v>75</v>
      </c>
      <c r="V853">
        <v>80</v>
      </c>
      <c r="W853" t="str">
        <f t="shared" si="83"/>
        <v>Normal</v>
      </c>
      <c r="X853">
        <v>0</v>
      </c>
    </row>
    <row r="854" spans="1:24" ht="14.5" thickBot="1" x14ac:dyDescent="0.35">
      <c r="A854">
        <v>0</v>
      </c>
      <c r="B854" t="str">
        <f t="shared" si="81"/>
        <v>Female</v>
      </c>
      <c r="C854" s="8">
        <v>41</v>
      </c>
      <c r="D854" t="str">
        <f t="shared" si="82"/>
        <v>Middle Age</v>
      </c>
      <c r="E854">
        <v>2</v>
      </c>
      <c r="F854" t="str">
        <f>HLOOKUP(E854, LookUP_Table!$A$6:$D$7, 2, FALSE)</f>
        <v>Secondary</v>
      </c>
      <c r="G854" t="str">
        <f>IFERROR(VLOOKUP(E854, LookUP_Table!$A$1:$B$4, 2, FALSE), "")</f>
        <v>Secondary</v>
      </c>
      <c r="H854">
        <v>0</v>
      </c>
      <c r="I854">
        <v>0</v>
      </c>
      <c r="J854" t="str">
        <f t="shared" si="78"/>
        <v>Non-Smoker</v>
      </c>
      <c r="K854">
        <v>0</v>
      </c>
      <c r="L854">
        <v>0</v>
      </c>
      <c r="M854">
        <v>0</v>
      </c>
      <c r="N854">
        <v>0</v>
      </c>
      <c r="O854">
        <v>180</v>
      </c>
      <c r="P854" t="str">
        <f t="shared" si="79"/>
        <v>Normal</v>
      </c>
      <c r="Q854">
        <v>115</v>
      </c>
      <c r="R854">
        <v>84</v>
      </c>
      <c r="S854">
        <v>20.11</v>
      </c>
      <c r="T854" t="str">
        <f t="shared" si="80"/>
        <v>Normal</v>
      </c>
      <c r="U854">
        <v>75</v>
      </c>
      <c r="V854">
        <v>64</v>
      </c>
      <c r="W854" t="str">
        <f t="shared" si="83"/>
        <v>Normal</v>
      </c>
      <c r="X854">
        <v>0</v>
      </c>
    </row>
    <row r="855" spans="1:24" ht="14.5" thickBot="1" x14ac:dyDescent="0.35">
      <c r="A855">
        <v>1</v>
      </c>
      <c r="B855" t="str">
        <f t="shared" si="81"/>
        <v>Male</v>
      </c>
      <c r="C855" s="8">
        <v>41</v>
      </c>
      <c r="D855" t="str">
        <f t="shared" si="82"/>
        <v>Middle Age</v>
      </c>
      <c r="E855">
        <v>3</v>
      </c>
      <c r="F855" t="str">
        <f>HLOOKUP(E855, LookUP_Table!$A$6:$D$7, 2, FALSE)</f>
        <v>Graduate</v>
      </c>
      <c r="G855" t="str">
        <f>IFERROR(VLOOKUP(E855, LookUP_Table!$A$1:$B$4, 2, FALSE), "")</f>
        <v>Graduate</v>
      </c>
      <c r="H855">
        <v>1</v>
      </c>
      <c r="I855">
        <v>20</v>
      </c>
      <c r="J855" t="str">
        <f t="shared" si="78"/>
        <v>Smoker</v>
      </c>
      <c r="K855">
        <v>0</v>
      </c>
      <c r="L855">
        <v>0</v>
      </c>
      <c r="M855">
        <v>1</v>
      </c>
      <c r="N855">
        <v>0</v>
      </c>
      <c r="O855">
        <v>240</v>
      </c>
      <c r="P855" t="str">
        <f t="shared" si="79"/>
        <v>Normal</v>
      </c>
      <c r="Q855">
        <v>166</v>
      </c>
      <c r="R855">
        <v>71</v>
      </c>
      <c r="S855">
        <v>35.53</v>
      </c>
      <c r="T855" t="str">
        <f t="shared" si="80"/>
        <v>Obese</v>
      </c>
      <c r="U855">
        <v>90</v>
      </c>
      <c r="V855">
        <v>57</v>
      </c>
      <c r="W855" t="str">
        <f t="shared" si="83"/>
        <v>Normal</v>
      </c>
      <c r="X855">
        <v>0</v>
      </c>
    </row>
    <row r="856" spans="1:24" ht="14.5" thickBot="1" x14ac:dyDescent="0.35">
      <c r="A856">
        <v>0</v>
      </c>
      <c r="B856" t="str">
        <f t="shared" si="81"/>
        <v>Female</v>
      </c>
      <c r="C856" s="8">
        <v>41</v>
      </c>
      <c r="D856" t="str">
        <f t="shared" si="82"/>
        <v>Middle Age</v>
      </c>
      <c r="E856">
        <v>1</v>
      </c>
      <c r="F856" t="str">
        <f>HLOOKUP(E856, LookUP_Table!$A$6:$D$7, 2, FALSE)</f>
        <v>Primary</v>
      </c>
      <c r="G856" t="str">
        <f>IFERROR(VLOOKUP(E856, LookUP_Table!$A$1:$B$4, 2, FALSE), "")</f>
        <v>Primary</v>
      </c>
      <c r="H856">
        <v>0</v>
      </c>
      <c r="I856">
        <v>0</v>
      </c>
      <c r="J856" t="str">
        <f t="shared" si="78"/>
        <v>Non-Smoker</v>
      </c>
      <c r="K856">
        <v>0</v>
      </c>
      <c r="L856">
        <v>0</v>
      </c>
      <c r="M856">
        <v>0</v>
      </c>
      <c r="N856">
        <v>0</v>
      </c>
      <c r="O856">
        <v>295</v>
      </c>
      <c r="P856" t="str">
        <f t="shared" si="79"/>
        <v>High</v>
      </c>
      <c r="Q856">
        <v>118</v>
      </c>
      <c r="R856">
        <v>83</v>
      </c>
      <c r="S856">
        <v>29.01</v>
      </c>
      <c r="T856" t="str">
        <f t="shared" si="80"/>
        <v>Overweight</v>
      </c>
      <c r="U856">
        <v>75</v>
      </c>
      <c r="V856">
        <v>75</v>
      </c>
      <c r="W856" t="str">
        <f t="shared" si="83"/>
        <v>Normal</v>
      </c>
      <c r="X856">
        <v>0</v>
      </c>
    </row>
    <row r="857" spans="1:24" ht="14.5" thickBot="1" x14ac:dyDescent="0.35">
      <c r="A857">
        <v>1</v>
      </c>
      <c r="B857" t="str">
        <f t="shared" si="81"/>
        <v>Male</v>
      </c>
      <c r="C857" s="8">
        <v>41</v>
      </c>
      <c r="D857" t="str">
        <f t="shared" si="82"/>
        <v>Middle Age</v>
      </c>
      <c r="E857">
        <v>3</v>
      </c>
      <c r="F857" t="str">
        <f>HLOOKUP(E857, LookUP_Table!$A$6:$D$7, 2, FALSE)</f>
        <v>Graduate</v>
      </c>
      <c r="G857" t="str">
        <f>IFERROR(VLOOKUP(E857, LookUP_Table!$A$1:$B$4, 2, FALSE), "")</f>
        <v>Graduate</v>
      </c>
      <c r="H857">
        <v>1</v>
      </c>
      <c r="I857">
        <v>30</v>
      </c>
      <c r="J857" t="str">
        <f t="shared" si="78"/>
        <v>Smoker</v>
      </c>
      <c r="K857">
        <v>0</v>
      </c>
      <c r="L857">
        <v>0</v>
      </c>
      <c r="M857">
        <v>1</v>
      </c>
      <c r="N857">
        <v>0</v>
      </c>
      <c r="O857">
        <v>292</v>
      </c>
      <c r="P857" t="str">
        <f t="shared" si="79"/>
        <v>High</v>
      </c>
      <c r="Q857">
        <v>152</v>
      </c>
      <c r="R857">
        <v>73</v>
      </c>
      <c r="S857">
        <v>25.21</v>
      </c>
      <c r="T857" t="str">
        <f t="shared" si="80"/>
        <v>Overweight</v>
      </c>
      <c r="U857">
        <v>75</v>
      </c>
      <c r="V857">
        <v>112</v>
      </c>
      <c r="W857" t="str">
        <f t="shared" si="83"/>
        <v>Prediabetes</v>
      </c>
      <c r="X857">
        <v>0</v>
      </c>
    </row>
    <row r="858" spans="1:24" ht="14.5" thickBot="1" x14ac:dyDescent="0.35">
      <c r="A858">
        <v>0</v>
      </c>
      <c r="B858" t="str">
        <f t="shared" si="81"/>
        <v>Female</v>
      </c>
      <c r="C858" s="8">
        <v>41</v>
      </c>
      <c r="D858" t="str">
        <f t="shared" si="82"/>
        <v>Middle Age</v>
      </c>
      <c r="E858">
        <v>3</v>
      </c>
      <c r="F858" t="str">
        <f>HLOOKUP(E858, LookUP_Table!$A$6:$D$7, 2, FALSE)</f>
        <v>Graduate</v>
      </c>
      <c r="G858" t="str">
        <f>IFERROR(VLOOKUP(E858, LookUP_Table!$A$1:$B$4, 2, FALSE), "")</f>
        <v>Graduate</v>
      </c>
      <c r="H858">
        <v>0</v>
      </c>
      <c r="I858">
        <v>0</v>
      </c>
      <c r="J858" t="str">
        <f t="shared" si="78"/>
        <v>Non-Smoker</v>
      </c>
      <c r="K858">
        <v>0</v>
      </c>
      <c r="L858">
        <v>0</v>
      </c>
      <c r="M858">
        <v>0</v>
      </c>
      <c r="N858">
        <v>0</v>
      </c>
      <c r="O858">
        <v>180</v>
      </c>
      <c r="P858" t="str">
        <f t="shared" si="79"/>
        <v>Normal</v>
      </c>
      <c r="Q858">
        <v>124</v>
      </c>
      <c r="R858">
        <v>75.5</v>
      </c>
      <c r="S858">
        <v>24.2</v>
      </c>
      <c r="T858" t="str">
        <f t="shared" si="80"/>
        <v>Normal</v>
      </c>
      <c r="U858">
        <v>68</v>
      </c>
      <c r="V858">
        <v>81.96365524402907</v>
      </c>
      <c r="W858" t="str">
        <f t="shared" si="83"/>
        <v>Normal</v>
      </c>
      <c r="X858">
        <v>0</v>
      </c>
    </row>
    <row r="859" spans="1:24" ht="14.5" thickBot="1" x14ac:dyDescent="0.35">
      <c r="A859">
        <v>1</v>
      </c>
      <c r="B859" t="str">
        <f t="shared" si="81"/>
        <v>Male</v>
      </c>
      <c r="C859" s="8">
        <v>41</v>
      </c>
      <c r="D859" t="str">
        <f t="shared" si="82"/>
        <v>Middle Age</v>
      </c>
      <c r="E859">
        <v>4</v>
      </c>
      <c r="F859" t="str">
        <f>HLOOKUP(E859, LookUP_Table!$A$6:$D$7, 2, FALSE)</f>
        <v>Post Graduate</v>
      </c>
      <c r="G859" t="str">
        <f>IFERROR(VLOOKUP(E859, LookUP_Table!$A$1:$B$4, 2, FALSE), "")</f>
        <v>Post Graduate</v>
      </c>
      <c r="H859">
        <v>0</v>
      </c>
      <c r="I859">
        <v>0</v>
      </c>
      <c r="J859" t="str">
        <f t="shared" si="78"/>
        <v>Non-Smoker</v>
      </c>
      <c r="K859">
        <v>0</v>
      </c>
      <c r="L859">
        <v>0</v>
      </c>
      <c r="M859">
        <v>0</v>
      </c>
      <c r="N859">
        <v>0</v>
      </c>
      <c r="O859">
        <v>178</v>
      </c>
      <c r="P859" t="str">
        <f t="shared" si="79"/>
        <v>Normal</v>
      </c>
      <c r="Q859">
        <v>135</v>
      </c>
      <c r="R859">
        <v>80</v>
      </c>
      <c r="S859">
        <v>26.91</v>
      </c>
      <c r="T859" t="str">
        <f t="shared" si="80"/>
        <v>Overweight</v>
      </c>
      <c r="U859">
        <v>75</v>
      </c>
      <c r="V859">
        <v>81.96365524402907</v>
      </c>
      <c r="W859" t="str">
        <f t="shared" si="83"/>
        <v>Normal</v>
      </c>
      <c r="X859">
        <v>0</v>
      </c>
    </row>
    <row r="860" spans="1:24" ht="14.5" thickBot="1" x14ac:dyDescent="0.35">
      <c r="A860">
        <v>1</v>
      </c>
      <c r="B860" t="str">
        <f t="shared" si="81"/>
        <v>Male</v>
      </c>
      <c r="C860" s="8">
        <v>41</v>
      </c>
      <c r="D860" t="str">
        <f t="shared" si="82"/>
        <v>Middle Age</v>
      </c>
      <c r="E860">
        <v>1</v>
      </c>
      <c r="F860" t="str">
        <f>HLOOKUP(E860, LookUP_Table!$A$6:$D$7, 2, FALSE)</f>
        <v>Primary</v>
      </c>
      <c r="G860" t="str">
        <f>IFERROR(VLOOKUP(E860, LookUP_Table!$A$1:$B$4, 2, FALSE), "")</f>
        <v>Primary</v>
      </c>
      <c r="H860">
        <v>1</v>
      </c>
      <c r="I860">
        <v>3</v>
      </c>
      <c r="J860" t="str">
        <f t="shared" si="78"/>
        <v>Smoker</v>
      </c>
      <c r="K860">
        <v>0</v>
      </c>
      <c r="L860">
        <v>0</v>
      </c>
      <c r="M860">
        <v>0</v>
      </c>
      <c r="N860">
        <v>0</v>
      </c>
      <c r="O860">
        <v>309</v>
      </c>
      <c r="P860" t="str">
        <f t="shared" si="79"/>
        <v>High</v>
      </c>
      <c r="Q860">
        <v>113</v>
      </c>
      <c r="R860">
        <v>74</v>
      </c>
      <c r="S860">
        <v>25.4</v>
      </c>
      <c r="T860" t="str">
        <f t="shared" si="80"/>
        <v>Overweight</v>
      </c>
      <c r="U860">
        <v>75</v>
      </c>
      <c r="V860">
        <v>64</v>
      </c>
      <c r="W860" t="str">
        <f t="shared" si="83"/>
        <v>Normal</v>
      </c>
      <c r="X860">
        <v>0</v>
      </c>
    </row>
    <row r="861" spans="1:24" ht="14.5" thickBot="1" x14ac:dyDescent="0.35">
      <c r="A861">
        <v>1</v>
      </c>
      <c r="B861" t="str">
        <f t="shared" si="81"/>
        <v>Male</v>
      </c>
      <c r="C861" s="8">
        <v>41</v>
      </c>
      <c r="D861" t="str">
        <f t="shared" si="82"/>
        <v>Middle Age</v>
      </c>
      <c r="E861">
        <v>1</v>
      </c>
      <c r="F861" t="str">
        <f>HLOOKUP(E861, LookUP_Table!$A$6:$D$7, 2, FALSE)</f>
        <v>Primary</v>
      </c>
      <c r="G861" t="str">
        <f>IFERROR(VLOOKUP(E861, LookUP_Table!$A$1:$B$4, 2, FALSE), "")</f>
        <v>Primary</v>
      </c>
      <c r="H861">
        <v>1</v>
      </c>
      <c r="I861">
        <v>15</v>
      </c>
      <c r="J861" t="str">
        <f t="shared" si="78"/>
        <v>Smoker</v>
      </c>
      <c r="K861">
        <v>0</v>
      </c>
      <c r="L861">
        <v>0</v>
      </c>
      <c r="M861">
        <v>0</v>
      </c>
      <c r="N861">
        <v>0</v>
      </c>
      <c r="O861">
        <v>265</v>
      </c>
      <c r="P861" t="str">
        <f t="shared" si="79"/>
        <v>High</v>
      </c>
      <c r="Q861">
        <v>130</v>
      </c>
      <c r="R861">
        <v>80</v>
      </c>
      <c r="S861">
        <v>26.58</v>
      </c>
      <c r="T861" t="str">
        <f t="shared" si="80"/>
        <v>Overweight</v>
      </c>
      <c r="U861">
        <v>84</v>
      </c>
      <c r="V861">
        <v>63</v>
      </c>
      <c r="W861" t="str">
        <f t="shared" si="83"/>
        <v>Normal</v>
      </c>
      <c r="X861">
        <v>0</v>
      </c>
    </row>
    <row r="862" spans="1:24" ht="14.5" thickBot="1" x14ac:dyDescent="0.35">
      <c r="A862">
        <v>0</v>
      </c>
      <c r="B862" t="str">
        <f t="shared" si="81"/>
        <v>Female</v>
      </c>
      <c r="C862" s="8">
        <v>41</v>
      </c>
      <c r="D862" t="str">
        <f t="shared" si="82"/>
        <v>Middle Age</v>
      </c>
      <c r="E862">
        <v>2</v>
      </c>
      <c r="F862" t="str">
        <f>HLOOKUP(E862, LookUP_Table!$A$6:$D$7, 2, FALSE)</f>
        <v>Secondary</v>
      </c>
      <c r="G862" t="str">
        <f>IFERROR(VLOOKUP(E862, LookUP_Table!$A$1:$B$4, 2, FALSE), "")</f>
        <v>Secondary</v>
      </c>
      <c r="H862">
        <v>1</v>
      </c>
      <c r="I862">
        <v>7</v>
      </c>
      <c r="J862" t="str">
        <f t="shared" si="78"/>
        <v>Smoker</v>
      </c>
      <c r="K862">
        <v>0</v>
      </c>
      <c r="L862">
        <v>0</v>
      </c>
      <c r="M862">
        <v>0</v>
      </c>
      <c r="N862">
        <v>0</v>
      </c>
      <c r="O862">
        <v>260</v>
      </c>
      <c r="P862" t="str">
        <f t="shared" si="79"/>
        <v>High</v>
      </c>
      <c r="Q862">
        <v>101</v>
      </c>
      <c r="R862">
        <v>68</v>
      </c>
      <c r="S862">
        <v>22.49</v>
      </c>
      <c r="T862" t="str">
        <f t="shared" si="80"/>
        <v>Normal</v>
      </c>
      <c r="U862">
        <v>80</v>
      </c>
      <c r="V862">
        <v>77</v>
      </c>
      <c r="W862" t="str">
        <f t="shared" si="83"/>
        <v>Normal</v>
      </c>
      <c r="X862">
        <v>0</v>
      </c>
    </row>
    <row r="863" spans="1:24" ht="14.5" thickBot="1" x14ac:dyDescent="0.35">
      <c r="A863">
        <v>1</v>
      </c>
      <c r="B863" t="str">
        <f t="shared" si="81"/>
        <v>Male</v>
      </c>
      <c r="C863" s="8">
        <v>41</v>
      </c>
      <c r="D863" t="str">
        <f t="shared" si="82"/>
        <v>Middle Age</v>
      </c>
      <c r="E863">
        <v>2</v>
      </c>
      <c r="F863" t="str">
        <f>HLOOKUP(E863, LookUP_Table!$A$6:$D$7, 2, FALSE)</f>
        <v>Secondary</v>
      </c>
      <c r="G863" t="str">
        <f>IFERROR(VLOOKUP(E863, LookUP_Table!$A$1:$B$4, 2, FALSE), "")</f>
        <v>Secondary</v>
      </c>
      <c r="H863">
        <v>1</v>
      </c>
      <c r="I863">
        <v>20</v>
      </c>
      <c r="J863" t="str">
        <f t="shared" si="78"/>
        <v>Smoker</v>
      </c>
      <c r="K863">
        <v>0</v>
      </c>
      <c r="L863">
        <v>0</v>
      </c>
      <c r="M863">
        <v>1</v>
      </c>
      <c r="N863">
        <v>0</v>
      </c>
      <c r="O863">
        <v>236</v>
      </c>
      <c r="P863" t="str">
        <f t="shared" si="79"/>
        <v>Normal</v>
      </c>
      <c r="Q863">
        <v>127</v>
      </c>
      <c r="R863">
        <v>84</v>
      </c>
      <c r="S863">
        <v>31.12</v>
      </c>
      <c r="T863" t="str">
        <f t="shared" si="80"/>
        <v>Obese</v>
      </c>
      <c r="U863">
        <v>80</v>
      </c>
      <c r="V863">
        <v>83</v>
      </c>
      <c r="W863" t="str">
        <f t="shared" si="83"/>
        <v>Normal</v>
      </c>
      <c r="X863">
        <v>1</v>
      </c>
    </row>
    <row r="864" spans="1:24" ht="14.5" thickBot="1" x14ac:dyDescent="0.35">
      <c r="A864">
        <v>0</v>
      </c>
      <c r="B864" t="str">
        <f t="shared" si="81"/>
        <v>Female</v>
      </c>
      <c r="C864" s="8">
        <v>41</v>
      </c>
      <c r="D864" t="str">
        <f t="shared" si="82"/>
        <v>Middle Age</v>
      </c>
      <c r="E864">
        <v>2</v>
      </c>
      <c r="F864" t="str">
        <f>HLOOKUP(E864, LookUP_Table!$A$6:$D$7, 2, FALSE)</f>
        <v>Secondary</v>
      </c>
      <c r="G864" t="str">
        <f>IFERROR(VLOOKUP(E864, LookUP_Table!$A$1:$B$4, 2, FALSE), "")</f>
        <v>Secondary</v>
      </c>
      <c r="H864">
        <v>1</v>
      </c>
      <c r="I864">
        <v>9</v>
      </c>
      <c r="J864" t="str">
        <f t="shared" si="78"/>
        <v>Smoker</v>
      </c>
      <c r="K864">
        <v>1</v>
      </c>
      <c r="L864">
        <v>1</v>
      </c>
      <c r="M864">
        <v>1</v>
      </c>
      <c r="N864">
        <v>0</v>
      </c>
      <c r="O864">
        <v>180</v>
      </c>
      <c r="P864" t="str">
        <f t="shared" si="79"/>
        <v>Normal</v>
      </c>
      <c r="Q864">
        <v>114</v>
      </c>
      <c r="R864">
        <v>70</v>
      </c>
      <c r="S864">
        <v>22.41</v>
      </c>
      <c r="T864" t="str">
        <f t="shared" si="80"/>
        <v>Normal</v>
      </c>
      <c r="U864">
        <v>92</v>
      </c>
      <c r="V864">
        <v>81.96365524402907</v>
      </c>
      <c r="W864" t="str">
        <f t="shared" si="83"/>
        <v>Normal</v>
      </c>
      <c r="X864">
        <v>0</v>
      </c>
    </row>
    <row r="865" spans="1:24" ht="14.5" thickBot="1" x14ac:dyDescent="0.35">
      <c r="A865">
        <v>0</v>
      </c>
      <c r="B865" t="str">
        <f t="shared" si="81"/>
        <v>Female</v>
      </c>
      <c r="C865" s="8">
        <v>41</v>
      </c>
      <c r="D865" t="str">
        <f t="shared" si="82"/>
        <v>Middle Age</v>
      </c>
      <c r="E865">
        <v>1</v>
      </c>
      <c r="F865" t="str">
        <f>HLOOKUP(E865, LookUP_Table!$A$6:$D$7, 2, FALSE)</f>
        <v>Primary</v>
      </c>
      <c r="G865" t="str">
        <f>IFERROR(VLOOKUP(E865, LookUP_Table!$A$1:$B$4, 2, FALSE), "")</f>
        <v>Primary</v>
      </c>
      <c r="H865">
        <v>0</v>
      </c>
      <c r="I865">
        <v>0</v>
      </c>
      <c r="J865" t="str">
        <f t="shared" si="78"/>
        <v>Non-Smoker</v>
      </c>
      <c r="K865">
        <v>0</v>
      </c>
      <c r="L865">
        <v>0</v>
      </c>
      <c r="M865">
        <v>0</v>
      </c>
      <c r="N865">
        <v>0</v>
      </c>
      <c r="O865">
        <v>170</v>
      </c>
      <c r="P865" t="str">
        <f t="shared" si="79"/>
        <v>Normal</v>
      </c>
      <c r="Q865">
        <v>113.5</v>
      </c>
      <c r="R865">
        <v>65.5</v>
      </c>
      <c r="S865">
        <v>31.71</v>
      </c>
      <c r="T865" t="str">
        <f t="shared" si="80"/>
        <v>Obese</v>
      </c>
      <c r="U865">
        <v>73</v>
      </c>
      <c r="V865">
        <v>93</v>
      </c>
      <c r="W865" t="str">
        <f t="shared" si="83"/>
        <v>Normal</v>
      </c>
      <c r="X865">
        <v>0</v>
      </c>
    </row>
    <row r="866" spans="1:24" ht="14.5" thickBot="1" x14ac:dyDescent="0.35">
      <c r="A866">
        <v>1</v>
      </c>
      <c r="B866" t="str">
        <f t="shared" si="81"/>
        <v>Male</v>
      </c>
      <c r="C866" s="8">
        <v>41</v>
      </c>
      <c r="D866" t="str">
        <f t="shared" si="82"/>
        <v>Middle Age</v>
      </c>
      <c r="E866">
        <v>4</v>
      </c>
      <c r="F866" t="str">
        <f>HLOOKUP(E866, LookUP_Table!$A$6:$D$7, 2, FALSE)</f>
        <v>Post Graduate</v>
      </c>
      <c r="G866" t="str">
        <f>IFERROR(VLOOKUP(E866, LookUP_Table!$A$1:$B$4, 2, FALSE), "")</f>
        <v>Post Graduate</v>
      </c>
      <c r="H866">
        <v>0</v>
      </c>
      <c r="I866">
        <v>0</v>
      </c>
      <c r="J866" t="str">
        <f t="shared" si="78"/>
        <v>Non-Smoker</v>
      </c>
      <c r="K866">
        <v>0</v>
      </c>
      <c r="L866">
        <v>0</v>
      </c>
      <c r="M866">
        <v>0</v>
      </c>
      <c r="N866">
        <v>0</v>
      </c>
      <c r="O866">
        <v>197</v>
      </c>
      <c r="P866" t="str">
        <f t="shared" si="79"/>
        <v>Normal</v>
      </c>
      <c r="Q866">
        <v>134</v>
      </c>
      <c r="R866">
        <v>87</v>
      </c>
      <c r="S866">
        <v>25.48</v>
      </c>
      <c r="T866" t="str">
        <f t="shared" si="80"/>
        <v>Overweight</v>
      </c>
      <c r="U866">
        <v>75</v>
      </c>
      <c r="V866">
        <v>75</v>
      </c>
      <c r="W866" t="str">
        <f t="shared" si="83"/>
        <v>Normal</v>
      </c>
      <c r="X866">
        <v>0</v>
      </c>
    </row>
    <row r="867" spans="1:24" ht="14.5" thickBot="1" x14ac:dyDescent="0.35">
      <c r="A867">
        <v>0</v>
      </c>
      <c r="B867" t="str">
        <f t="shared" si="81"/>
        <v>Female</v>
      </c>
      <c r="C867" s="8">
        <v>41</v>
      </c>
      <c r="D867" t="str">
        <f t="shared" si="82"/>
        <v>Middle Age</v>
      </c>
      <c r="E867">
        <v>1</v>
      </c>
      <c r="F867" t="str">
        <f>HLOOKUP(E867, LookUP_Table!$A$6:$D$7, 2, FALSE)</f>
        <v>Primary</v>
      </c>
      <c r="G867" t="str">
        <f>IFERROR(VLOOKUP(E867, LookUP_Table!$A$1:$B$4, 2, FALSE), "")</f>
        <v>Primary</v>
      </c>
      <c r="H867">
        <v>1</v>
      </c>
      <c r="I867">
        <v>5</v>
      </c>
      <c r="J867" t="str">
        <f t="shared" si="78"/>
        <v>Smoker</v>
      </c>
      <c r="K867">
        <v>0</v>
      </c>
      <c r="L867">
        <v>0</v>
      </c>
      <c r="M867">
        <v>0</v>
      </c>
      <c r="N867">
        <v>0</v>
      </c>
      <c r="O867">
        <v>209</v>
      </c>
      <c r="P867" t="str">
        <f t="shared" si="79"/>
        <v>Normal</v>
      </c>
      <c r="Q867">
        <v>107</v>
      </c>
      <c r="R867">
        <v>65</v>
      </c>
      <c r="S867">
        <v>27.27</v>
      </c>
      <c r="T867" t="str">
        <f t="shared" si="80"/>
        <v>Overweight</v>
      </c>
      <c r="U867">
        <v>84</v>
      </c>
      <c r="V867">
        <v>87</v>
      </c>
      <c r="W867" t="str">
        <f t="shared" si="83"/>
        <v>Normal</v>
      </c>
      <c r="X867">
        <v>0</v>
      </c>
    </row>
    <row r="868" spans="1:24" ht="14.5" thickBot="1" x14ac:dyDescent="0.35">
      <c r="A868">
        <v>0</v>
      </c>
      <c r="B868" t="str">
        <f t="shared" si="81"/>
        <v>Female</v>
      </c>
      <c r="C868" s="8">
        <v>41</v>
      </c>
      <c r="D868" t="str">
        <f t="shared" si="82"/>
        <v>Middle Age</v>
      </c>
      <c r="E868">
        <v>1</v>
      </c>
      <c r="F868" t="str">
        <f>HLOOKUP(E868, LookUP_Table!$A$6:$D$7, 2, FALSE)</f>
        <v>Primary</v>
      </c>
      <c r="G868" t="str">
        <f>IFERROR(VLOOKUP(E868, LookUP_Table!$A$1:$B$4, 2, FALSE), "")</f>
        <v>Primary</v>
      </c>
      <c r="H868">
        <v>0</v>
      </c>
      <c r="I868">
        <v>0</v>
      </c>
      <c r="J868" t="str">
        <f t="shared" si="78"/>
        <v>Non-Smoker</v>
      </c>
      <c r="K868">
        <v>0</v>
      </c>
      <c r="L868">
        <v>0</v>
      </c>
      <c r="M868">
        <v>0</v>
      </c>
      <c r="N868">
        <v>0</v>
      </c>
      <c r="O868">
        <v>228</v>
      </c>
      <c r="P868" t="str">
        <f t="shared" si="79"/>
        <v>Normal</v>
      </c>
      <c r="Q868">
        <v>93</v>
      </c>
      <c r="R868">
        <v>71</v>
      </c>
      <c r="S868">
        <v>31.57</v>
      </c>
      <c r="T868" t="str">
        <f t="shared" si="80"/>
        <v>Obese</v>
      </c>
      <c r="U868">
        <v>50</v>
      </c>
      <c r="V868">
        <v>85</v>
      </c>
      <c r="W868" t="str">
        <f t="shared" si="83"/>
        <v>Normal</v>
      </c>
      <c r="X868">
        <v>0</v>
      </c>
    </row>
    <row r="869" spans="1:24" ht="14.5" thickBot="1" x14ac:dyDescent="0.35">
      <c r="A869">
        <v>0</v>
      </c>
      <c r="B869" t="str">
        <f t="shared" si="81"/>
        <v>Female</v>
      </c>
      <c r="C869" s="8">
        <v>41</v>
      </c>
      <c r="D869" t="str">
        <f t="shared" si="82"/>
        <v>Middle Age</v>
      </c>
      <c r="E869">
        <v>2</v>
      </c>
      <c r="F869" t="str">
        <f>HLOOKUP(E869, LookUP_Table!$A$6:$D$7, 2, FALSE)</f>
        <v>Secondary</v>
      </c>
      <c r="G869" t="str">
        <f>IFERROR(VLOOKUP(E869, LookUP_Table!$A$1:$B$4, 2, FALSE), "")</f>
        <v>Secondary</v>
      </c>
      <c r="H869">
        <v>1</v>
      </c>
      <c r="I869">
        <v>1</v>
      </c>
      <c r="J869" t="str">
        <f t="shared" si="78"/>
        <v>Smoker</v>
      </c>
      <c r="K869">
        <v>0</v>
      </c>
      <c r="L869">
        <v>0</v>
      </c>
      <c r="M869">
        <v>0</v>
      </c>
      <c r="N869">
        <v>0</v>
      </c>
      <c r="O869">
        <v>189</v>
      </c>
      <c r="P869" t="str">
        <f t="shared" si="79"/>
        <v>Normal</v>
      </c>
      <c r="Q869">
        <v>113.5</v>
      </c>
      <c r="R869">
        <v>61</v>
      </c>
      <c r="S869">
        <v>23.08</v>
      </c>
      <c r="T869" t="str">
        <f t="shared" si="80"/>
        <v>Normal</v>
      </c>
      <c r="U869">
        <v>55</v>
      </c>
      <c r="V869">
        <v>73</v>
      </c>
      <c r="W869" t="str">
        <f t="shared" si="83"/>
        <v>Normal</v>
      </c>
      <c r="X869">
        <v>0</v>
      </c>
    </row>
    <row r="870" spans="1:24" ht="14.5" thickBot="1" x14ac:dyDescent="0.35">
      <c r="A870">
        <v>0</v>
      </c>
      <c r="B870" t="str">
        <f t="shared" si="81"/>
        <v>Female</v>
      </c>
      <c r="C870" s="8">
        <v>41</v>
      </c>
      <c r="D870" t="str">
        <f t="shared" si="82"/>
        <v>Middle Age</v>
      </c>
      <c r="E870">
        <v>2</v>
      </c>
      <c r="F870" t="str">
        <f>HLOOKUP(E870, LookUP_Table!$A$6:$D$7, 2, FALSE)</f>
        <v>Secondary</v>
      </c>
      <c r="G870" t="str">
        <f>IFERROR(VLOOKUP(E870, LookUP_Table!$A$1:$B$4, 2, FALSE), "")</f>
        <v>Secondary</v>
      </c>
      <c r="H870">
        <v>0</v>
      </c>
      <c r="I870">
        <v>0</v>
      </c>
      <c r="J870" t="str">
        <f t="shared" si="78"/>
        <v>Non-Smoker</v>
      </c>
      <c r="K870">
        <v>0</v>
      </c>
      <c r="L870">
        <v>0</v>
      </c>
      <c r="M870">
        <v>0</v>
      </c>
      <c r="N870">
        <v>0</v>
      </c>
      <c r="O870">
        <v>232</v>
      </c>
      <c r="P870" t="str">
        <f t="shared" si="79"/>
        <v>Normal</v>
      </c>
      <c r="Q870">
        <v>117.5</v>
      </c>
      <c r="R870">
        <v>77.5</v>
      </c>
      <c r="S870">
        <v>20.62</v>
      </c>
      <c r="T870" t="str">
        <f t="shared" si="80"/>
        <v>Normal</v>
      </c>
      <c r="U870">
        <v>53</v>
      </c>
      <c r="V870">
        <v>75</v>
      </c>
      <c r="W870" t="str">
        <f t="shared" si="83"/>
        <v>Normal</v>
      </c>
      <c r="X870">
        <v>0</v>
      </c>
    </row>
    <row r="871" spans="1:24" ht="14.5" thickBot="1" x14ac:dyDescent="0.35">
      <c r="A871">
        <v>0</v>
      </c>
      <c r="B871" t="str">
        <f t="shared" si="81"/>
        <v>Female</v>
      </c>
      <c r="C871" s="8">
        <v>41</v>
      </c>
      <c r="D871" t="str">
        <f t="shared" si="82"/>
        <v>Middle Age</v>
      </c>
      <c r="E871">
        <v>2</v>
      </c>
      <c r="F871" t="str">
        <f>HLOOKUP(E871, LookUP_Table!$A$6:$D$7, 2, FALSE)</f>
        <v>Secondary</v>
      </c>
      <c r="G871" t="str">
        <f>IFERROR(VLOOKUP(E871, LookUP_Table!$A$1:$B$4, 2, FALSE), "")</f>
        <v>Secondary</v>
      </c>
      <c r="H871">
        <v>0</v>
      </c>
      <c r="I871">
        <v>0</v>
      </c>
      <c r="J871" t="str">
        <f t="shared" si="78"/>
        <v>Non-Smoker</v>
      </c>
      <c r="K871">
        <v>0</v>
      </c>
      <c r="L871">
        <v>0</v>
      </c>
      <c r="M871">
        <v>0</v>
      </c>
      <c r="N871">
        <v>0</v>
      </c>
      <c r="O871">
        <v>177</v>
      </c>
      <c r="P871" t="str">
        <f t="shared" si="79"/>
        <v>Normal</v>
      </c>
      <c r="Q871">
        <v>108</v>
      </c>
      <c r="R871">
        <v>73</v>
      </c>
      <c r="S871">
        <v>24.73</v>
      </c>
      <c r="T871" t="str">
        <f t="shared" si="80"/>
        <v>Normal</v>
      </c>
      <c r="U871">
        <v>80</v>
      </c>
      <c r="V871">
        <v>72</v>
      </c>
      <c r="W871" t="str">
        <f t="shared" si="83"/>
        <v>Normal</v>
      </c>
      <c r="X871">
        <v>0</v>
      </c>
    </row>
    <row r="872" spans="1:24" ht="14.5" thickBot="1" x14ac:dyDescent="0.35">
      <c r="A872">
        <v>1</v>
      </c>
      <c r="B872" t="str">
        <f t="shared" si="81"/>
        <v>Male</v>
      </c>
      <c r="C872" s="8">
        <v>41</v>
      </c>
      <c r="D872" t="str">
        <f t="shared" si="82"/>
        <v>Middle Age</v>
      </c>
      <c r="E872">
        <v>2</v>
      </c>
      <c r="F872" t="str">
        <f>HLOOKUP(E872, LookUP_Table!$A$6:$D$7, 2, FALSE)</f>
        <v>Secondary</v>
      </c>
      <c r="G872" t="str">
        <f>IFERROR(VLOOKUP(E872, LookUP_Table!$A$1:$B$4, 2, FALSE), "")</f>
        <v>Secondary</v>
      </c>
      <c r="H872">
        <v>1</v>
      </c>
      <c r="I872">
        <v>20</v>
      </c>
      <c r="J872" t="str">
        <f t="shared" si="78"/>
        <v>Smoker</v>
      </c>
      <c r="K872">
        <v>0</v>
      </c>
      <c r="L872">
        <v>0</v>
      </c>
      <c r="M872">
        <v>0</v>
      </c>
      <c r="N872">
        <v>0</v>
      </c>
      <c r="O872">
        <v>264</v>
      </c>
      <c r="P872" t="str">
        <f t="shared" si="79"/>
        <v>High</v>
      </c>
      <c r="Q872">
        <v>126.5</v>
      </c>
      <c r="R872">
        <v>82</v>
      </c>
      <c r="S872">
        <v>23.96</v>
      </c>
      <c r="T872" t="str">
        <f t="shared" si="80"/>
        <v>Normal</v>
      </c>
      <c r="U872">
        <v>75</v>
      </c>
      <c r="V872">
        <v>78</v>
      </c>
      <c r="W872" t="str">
        <f t="shared" si="83"/>
        <v>Normal</v>
      </c>
      <c r="X872">
        <v>1</v>
      </c>
    </row>
    <row r="873" spans="1:24" ht="14.5" thickBot="1" x14ac:dyDescent="0.35">
      <c r="A873">
        <v>0</v>
      </c>
      <c r="B873" t="str">
        <f t="shared" si="81"/>
        <v>Female</v>
      </c>
      <c r="C873" s="8">
        <v>41</v>
      </c>
      <c r="D873" t="str">
        <f t="shared" si="82"/>
        <v>Middle Age</v>
      </c>
      <c r="E873">
        <v>1</v>
      </c>
      <c r="F873" t="str">
        <f>HLOOKUP(E873, LookUP_Table!$A$6:$D$7, 2, FALSE)</f>
        <v>Primary</v>
      </c>
      <c r="G873" t="str">
        <f>IFERROR(VLOOKUP(E873, LookUP_Table!$A$1:$B$4, 2, FALSE), "")</f>
        <v>Primary</v>
      </c>
      <c r="H873">
        <v>1</v>
      </c>
      <c r="I873">
        <v>20</v>
      </c>
      <c r="J873" t="str">
        <f t="shared" si="78"/>
        <v>Smoker</v>
      </c>
      <c r="K873">
        <v>0</v>
      </c>
      <c r="L873">
        <v>0</v>
      </c>
      <c r="M873">
        <v>0</v>
      </c>
      <c r="N873">
        <v>0</v>
      </c>
      <c r="O873">
        <v>190</v>
      </c>
      <c r="P873" t="str">
        <f t="shared" si="79"/>
        <v>Normal</v>
      </c>
      <c r="Q873">
        <v>135</v>
      </c>
      <c r="R873">
        <v>81</v>
      </c>
      <c r="S873">
        <v>24.38</v>
      </c>
      <c r="T873" t="str">
        <f t="shared" si="80"/>
        <v>Normal</v>
      </c>
      <c r="U873">
        <v>65</v>
      </c>
      <c r="V873">
        <v>81.96365524402907</v>
      </c>
      <c r="W873" t="str">
        <f t="shared" si="83"/>
        <v>Normal</v>
      </c>
      <c r="X873">
        <v>0</v>
      </c>
    </row>
    <row r="874" spans="1:24" ht="14.5" thickBot="1" x14ac:dyDescent="0.35">
      <c r="A874">
        <v>1</v>
      </c>
      <c r="B874" t="str">
        <f t="shared" si="81"/>
        <v>Male</v>
      </c>
      <c r="C874" s="8">
        <v>41</v>
      </c>
      <c r="D874" t="str">
        <f t="shared" si="82"/>
        <v>Middle Age</v>
      </c>
      <c r="E874">
        <v>1</v>
      </c>
      <c r="F874" t="str">
        <f>HLOOKUP(E874, LookUP_Table!$A$6:$D$7, 2, FALSE)</f>
        <v>Primary</v>
      </c>
      <c r="G874" t="str">
        <f>IFERROR(VLOOKUP(E874, LookUP_Table!$A$1:$B$4, 2, FALSE), "")</f>
        <v>Primary</v>
      </c>
      <c r="H874">
        <v>1</v>
      </c>
      <c r="I874">
        <v>20</v>
      </c>
      <c r="J874" t="str">
        <f t="shared" si="78"/>
        <v>Smoker</v>
      </c>
      <c r="K874">
        <v>0</v>
      </c>
      <c r="L874">
        <v>0</v>
      </c>
      <c r="M874">
        <v>0</v>
      </c>
      <c r="N874">
        <v>0</v>
      </c>
      <c r="O874">
        <v>163</v>
      </c>
      <c r="P874" t="str">
        <f t="shared" si="79"/>
        <v>Normal</v>
      </c>
      <c r="Q874">
        <v>102</v>
      </c>
      <c r="R874">
        <v>59.5</v>
      </c>
      <c r="S874">
        <v>22.27</v>
      </c>
      <c r="T874" t="str">
        <f t="shared" si="80"/>
        <v>Normal</v>
      </c>
      <c r="U874">
        <v>67</v>
      </c>
      <c r="V874">
        <v>82</v>
      </c>
      <c r="W874" t="str">
        <f t="shared" si="83"/>
        <v>Normal</v>
      </c>
      <c r="X874">
        <v>0</v>
      </c>
    </row>
    <row r="875" spans="1:24" ht="14.5" thickBot="1" x14ac:dyDescent="0.35">
      <c r="A875">
        <v>1</v>
      </c>
      <c r="B875" t="str">
        <f t="shared" si="81"/>
        <v>Male</v>
      </c>
      <c r="C875" s="8">
        <v>41</v>
      </c>
      <c r="D875" t="str">
        <f t="shared" si="82"/>
        <v>Middle Age</v>
      </c>
      <c r="E875">
        <v>3</v>
      </c>
      <c r="F875" t="str">
        <f>HLOOKUP(E875, LookUP_Table!$A$6:$D$7, 2, FALSE)</f>
        <v>Graduate</v>
      </c>
      <c r="G875" t="str">
        <f>IFERROR(VLOOKUP(E875, LookUP_Table!$A$1:$B$4, 2, FALSE), "")</f>
        <v>Graduate</v>
      </c>
      <c r="H875">
        <v>1</v>
      </c>
      <c r="I875">
        <v>20</v>
      </c>
      <c r="J875" t="str">
        <f t="shared" si="78"/>
        <v>Smoker</v>
      </c>
      <c r="K875">
        <v>0</v>
      </c>
      <c r="L875">
        <v>0</v>
      </c>
      <c r="M875">
        <v>0</v>
      </c>
      <c r="N875">
        <v>0</v>
      </c>
      <c r="O875">
        <v>217</v>
      </c>
      <c r="P875" t="str">
        <f t="shared" si="79"/>
        <v>Normal</v>
      </c>
      <c r="Q875">
        <v>110</v>
      </c>
      <c r="R875">
        <v>79</v>
      </c>
      <c r="S875">
        <v>21.27</v>
      </c>
      <c r="T875" t="str">
        <f t="shared" si="80"/>
        <v>Normal</v>
      </c>
      <c r="U875">
        <v>100</v>
      </c>
      <c r="V875">
        <v>95</v>
      </c>
      <c r="W875" t="str">
        <f t="shared" si="83"/>
        <v>Normal</v>
      </c>
      <c r="X875">
        <v>0</v>
      </c>
    </row>
    <row r="876" spans="1:24" ht="14.5" thickBot="1" x14ac:dyDescent="0.35">
      <c r="A876">
        <v>1</v>
      </c>
      <c r="B876" t="str">
        <f t="shared" si="81"/>
        <v>Male</v>
      </c>
      <c r="C876" s="8">
        <v>41</v>
      </c>
      <c r="D876" t="str">
        <f t="shared" si="82"/>
        <v>Middle Age</v>
      </c>
      <c r="E876">
        <v>1</v>
      </c>
      <c r="F876" t="str">
        <f>HLOOKUP(E876, LookUP_Table!$A$6:$D$7, 2, FALSE)</f>
        <v>Primary</v>
      </c>
      <c r="G876" t="str">
        <f>IFERROR(VLOOKUP(E876, LookUP_Table!$A$1:$B$4, 2, FALSE), "")</f>
        <v>Primary</v>
      </c>
      <c r="H876">
        <v>1</v>
      </c>
      <c r="I876">
        <v>40</v>
      </c>
      <c r="J876" t="str">
        <f t="shared" si="78"/>
        <v>Smoker</v>
      </c>
      <c r="K876">
        <v>0</v>
      </c>
      <c r="L876">
        <v>0</v>
      </c>
      <c r="M876">
        <v>0</v>
      </c>
      <c r="N876">
        <v>0</v>
      </c>
      <c r="O876">
        <v>260</v>
      </c>
      <c r="P876" t="str">
        <f t="shared" si="79"/>
        <v>High</v>
      </c>
      <c r="Q876">
        <v>137.5</v>
      </c>
      <c r="R876">
        <v>80</v>
      </c>
      <c r="S876">
        <v>26.89</v>
      </c>
      <c r="T876" t="str">
        <f t="shared" si="80"/>
        <v>Overweight</v>
      </c>
      <c r="U876">
        <v>75</v>
      </c>
      <c r="V876">
        <v>55</v>
      </c>
      <c r="W876" t="str">
        <f t="shared" si="83"/>
        <v>Normal</v>
      </c>
      <c r="X876">
        <v>1</v>
      </c>
    </row>
    <row r="877" spans="1:24" ht="14.5" thickBot="1" x14ac:dyDescent="0.35">
      <c r="A877">
        <v>0</v>
      </c>
      <c r="B877" t="str">
        <f t="shared" si="81"/>
        <v>Female</v>
      </c>
      <c r="C877" s="8">
        <v>41</v>
      </c>
      <c r="D877" t="str">
        <f t="shared" si="82"/>
        <v>Middle Age</v>
      </c>
      <c r="E877">
        <v>2</v>
      </c>
      <c r="F877" t="str">
        <f>HLOOKUP(E877, LookUP_Table!$A$6:$D$7, 2, FALSE)</f>
        <v>Secondary</v>
      </c>
      <c r="G877" t="str">
        <f>IFERROR(VLOOKUP(E877, LookUP_Table!$A$1:$B$4, 2, FALSE), "")</f>
        <v>Secondary</v>
      </c>
      <c r="H877">
        <v>0</v>
      </c>
      <c r="I877">
        <v>0</v>
      </c>
      <c r="J877" t="str">
        <f t="shared" si="78"/>
        <v>Non-Smoker</v>
      </c>
      <c r="K877">
        <v>0</v>
      </c>
      <c r="L877">
        <v>0</v>
      </c>
      <c r="M877">
        <v>1</v>
      </c>
      <c r="N877">
        <v>0</v>
      </c>
      <c r="O877">
        <v>188</v>
      </c>
      <c r="P877" t="str">
        <f t="shared" si="79"/>
        <v>Normal</v>
      </c>
      <c r="Q877">
        <v>142.5</v>
      </c>
      <c r="R877">
        <v>87.5</v>
      </c>
      <c r="S877">
        <v>39.21</v>
      </c>
      <c r="T877" t="str">
        <f t="shared" si="80"/>
        <v>Obese</v>
      </c>
      <c r="U877">
        <v>70</v>
      </c>
      <c r="V877">
        <v>81.96365524402907</v>
      </c>
      <c r="W877" t="str">
        <f t="shared" si="83"/>
        <v>Normal</v>
      </c>
      <c r="X877">
        <v>0</v>
      </c>
    </row>
    <row r="878" spans="1:24" ht="14.5" thickBot="1" x14ac:dyDescent="0.35">
      <c r="A878">
        <v>0</v>
      </c>
      <c r="B878" t="str">
        <f t="shared" si="81"/>
        <v>Female</v>
      </c>
      <c r="C878" s="8">
        <v>41</v>
      </c>
      <c r="D878" t="str">
        <f t="shared" si="82"/>
        <v>Middle Age</v>
      </c>
      <c r="E878">
        <v>4</v>
      </c>
      <c r="F878" t="str">
        <f>HLOOKUP(E878, LookUP_Table!$A$6:$D$7, 2, FALSE)</f>
        <v>Post Graduate</v>
      </c>
      <c r="G878" t="str">
        <f>IFERROR(VLOOKUP(E878, LookUP_Table!$A$1:$B$4, 2, FALSE), "")</f>
        <v>Post Graduate</v>
      </c>
      <c r="H878">
        <v>1</v>
      </c>
      <c r="I878">
        <v>17</v>
      </c>
      <c r="J878" t="str">
        <f t="shared" si="78"/>
        <v>Smoker</v>
      </c>
      <c r="K878">
        <v>0</v>
      </c>
      <c r="L878">
        <v>0</v>
      </c>
      <c r="M878">
        <v>1</v>
      </c>
      <c r="N878">
        <v>0</v>
      </c>
      <c r="O878">
        <v>261</v>
      </c>
      <c r="P878" t="str">
        <f t="shared" si="79"/>
        <v>High</v>
      </c>
      <c r="Q878">
        <v>147.5</v>
      </c>
      <c r="R878">
        <v>97</v>
      </c>
      <c r="S878">
        <v>31.65</v>
      </c>
      <c r="T878" t="str">
        <f t="shared" si="80"/>
        <v>Obese</v>
      </c>
      <c r="U878">
        <v>75</v>
      </c>
      <c r="V878">
        <v>73</v>
      </c>
      <c r="W878" t="str">
        <f t="shared" si="83"/>
        <v>Normal</v>
      </c>
      <c r="X878">
        <v>0</v>
      </c>
    </row>
    <row r="879" spans="1:24" ht="14.5" thickBot="1" x14ac:dyDescent="0.35">
      <c r="A879">
        <v>0</v>
      </c>
      <c r="B879" t="str">
        <f t="shared" si="81"/>
        <v>Female</v>
      </c>
      <c r="C879" s="8">
        <v>41</v>
      </c>
      <c r="D879" t="str">
        <f t="shared" si="82"/>
        <v>Middle Age</v>
      </c>
      <c r="E879">
        <v>3</v>
      </c>
      <c r="F879" t="str">
        <f>HLOOKUP(E879, LookUP_Table!$A$6:$D$7, 2, FALSE)</f>
        <v>Graduate</v>
      </c>
      <c r="G879" t="str">
        <f>IFERROR(VLOOKUP(E879, LookUP_Table!$A$1:$B$4, 2, FALSE), "")</f>
        <v>Graduate</v>
      </c>
      <c r="H879">
        <v>1</v>
      </c>
      <c r="I879">
        <v>3</v>
      </c>
      <c r="J879" t="str">
        <f t="shared" si="78"/>
        <v>Smoker</v>
      </c>
      <c r="K879">
        <v>0</v>
      </c>
      <c r="L879">
        <v>0</v>
      </c>
      <c r="M879">
        <v>0</v>
      </c>
      <c r="N879">
        <v>0</v>
      </c>
      <c r="O879">
        <v>232</v>
      </c>
      <c r="P879" t="str">
        <f t="shared" si="79"/>
        <v>Normal</v>
      </c>
      <c r="Q879">
        <v>125</v>
      </c>
      <c r="R879">
        <v>80</v>
      </c>
      <c r="S879">
        <v>25.38</v>
      </c>
      <c r="T879" t="str">
        <f t="shared" si="80"/>
        <v>Overweight</v>
      </c>
      <c r="U879">
        <v>72</v>
      </c>
      <c r="V879">
        <v>79</v>
      </c>
      <c r="W879" t="str">
        <f t="shared" si="83"/>
        <v>Normal</v>
      </c>
      <c r="X879">
        <v>0</v>
      </c>
    </row>
    <row r="880" spans="1:24" ht="14.5" thickBot="1" x14ac:dyDescent="0.35">
      <c r="A880">
        <v>1</v>
      </c>
      <c r="B880" t="str">
        <f t="shared" si="81"/>
        <v>Male</v>
      </c>
      <c r="C880" s="8">
        <v>41</v>
      </c>
      <c r="D880" t="str">
        <f t="shared" si="82"/>
        <v>Middle Age</v>
      </c>
      <c r="E880">
        <v>2</v>
      </c>
      <c r="F880" t="str">
        <f>HLOOKUP(E880, LookUP_Table!$A$6:$D$7, 2, FALSE)</f>
        <v>Secondary</v>
      </c>
      <c r="G880" t="str">
        <f>IFERROR(VLOOKUP(E880, LookUP_Table!$A$1:$B$4, 2, FALSE), "")</f>
        <v>Secondary</v>
      </c>
      <c r="H880">
        <v>1</v>
      </c>
      <c r="I880">
        <v>20</v>
      </c>
      <c r="J880" t="str">
        <f t="shared" si="78"/>
        <v>Smoker</v>
      </c>
      <c r="K880">
        <v>0</v>
      </c>
      <c r="L880">
        <v>0</v>
      </c>
      <c r="M880">
        <v>1</v>
      </c>
      <c r="N880">
        <v>0</v>
      </c>
      <c r="O880">
        <v>196</v>
      </c>
      <c r="P880" t="str">
        <f t="shared" si="79"/>
        <v>Normal</v>
      </c>
      <c r="Q880">
        <v>154</v>
      </c>
      <c r="R880">
        <v>99</v>
      </c>
      <c r="S880">
        <v>23.46</v>
      </c>
      <c r="T880" t="str">
        <f t="shared" si="80"/>
        <v>Normal</v>
      </c>
      <c r="U880">
        <v>82</v>
      </c>
      <c r="V880">
        <v>56</v>
      </c>
      <c r="W880" t="str">
        <f t="shared" si="83"/>
        <v>Normal</v>
      </c>
      <c r="X880">
        <v>0</v>
      </c>
    </row>
    <row r="881" spans="1:24" ht="14.5" thickBot="1" x14ac:dyDescent="0.35">
      <c r="A881">
        <v>0</v>
      </c>
      <c r="B881" t="str">
        <f t="shared" si="81"/>
        <v>Female</v>
      </c>
      <c r="C881" s="8">
        <v>41</v>
      </c>
      <c r="D881" t="str">
        <f t="shared" si="82"/>
        <v>Middle Age</v>
      </c>
      <c r="E881">
        <v>1</v>
      </c>
      <c r="F881" t="str">
        <f>HLOOKUP(E881, LookUP_Table!$A$6:$D$7, 2, FALSE)</f>
        <v>Primary</v>
      </c>
      <c r="G881" t="str">
        <f>IFERROR(VLOOKUP(E881, LookUP_Table!$A$1:$B$4, 2, FALSE), "")</f>
        <v>Primary</v>
      </c>
      <c r="H881">
        <v>1</v>
      </c>
      <c r="I881">
        <v>5</v>
      </c>
      <c r="J881" t="str">
        <f t="shared" si="78"/>
        <v>Smoker</v>
      </c>
      <c r="K881">
        <v>0</v>
      </c>
      <c r="L881">
        <v>0</v>
      </c>
      <c r="M881">
        <v>0</v>
      </c>
      <c r="N881">
        <v>0</v>
      </c>
      <c r="O881">
        <v>192</v>
      </c>
      <c r="P881" t="str">
        <f t="shared" si="79"/>
        <v>Normal</v>
      </c>
      <c r="Q881">
        <v>123</v>
      </c>
      <c r="R881">
        <v>72</v>
      </c>
      <c r="S881">
        <v>19.16</v>
      </c>
      <c r="T881" t="str">
        <f t="shared" si="80"/>
        <v>Normal</v>
      </c>
      <c r="U881">
        <v>62</v>
      </c>
      <c r="V881">
        <v>90</v>
      </c>
      <c r="W881" t="str">
        <f t="shared" si="83"/>
        <v>Normal</v>
      </c>
      <c r="X881">
        <v>1</v>
      </c>
    </row>
    <row r="882" spans="1:24" ht="14.5" thickBot="1" x14ac:dyDescent="0.35">
      <c r="A882">
        <v>0</v>
      </c>
      <c r="B882" t="str">
        <f t="shared" si="81"/>
        <v>Female</v>
      </c>
      <c r="C882" s="8">
        <v>41</v>
      </c>
      <c r="D882" t="str">
        <f t="shared" si="82"/>
        <v>Middle Age</v>
      </c>
      <c r="E882">
        <v>1</v>
      </c>
      <c r="F882" t="str">
        <f>HLOOKUP(E882, LookUP_Table!$A$6:$D$7, 2, FALSE)</f>
        <v>Primary</v>
      </c>
      <c r="G882" t="str">
        <f>IFERROR(VLOOKUP(E882, LookUP_Table!$A$1:$B$4, 2, FALSE), "")</f>
        <v>Primary</v>
      </c>
      <c r="H882">
        <v>0</v>
      </c>
      <c r="I882">
        <v>0</v>
      </c>
      <c r="J882" t="str">
        <f t="shared" si="78"/>
        <v>Non-Smoker</v>
      </c>
      <c r="K882">
        <v>0</v>
      </c>
      <c r="L882">
        <v>0</v>
      </c>
      <c r="M882">
        <v>0</v>
      </c>
      <c r="N882">
        <v>0</v>
      </c>
      <c r="O882">
        <v>193</v>
      </c>
      <c r="P882" t="str">
        <f t="shared" si="79"/>
        <v>Normal</v>
      </c>
      <c r="Q882">
        <v>127</v>
      </c>
      <c r="R882">
        <v>83</v>
      </c>
      <c r="S882">
        <v>21.49</v>
      </c>
      <c r="T882" t="str">
        <f t="shared" si="80"/>
        <v>Normal</v>
      </c>
      <c r="U882">
        <v>60</v>
      </c>
      <c r="V882">
        <v>80</v>
      </c>
      <c r="W882" t="str">
        <f t="shared" si="83"/>
        <v>Normal</v>
      </c>
      <c r="X882">
        <v>0</v>
      </c>
    </row>
    <row r="883" spans="1:24" ht="14.5" thickBot="1" x14ac:dyDescent="0.35">
      <c r="A883">
        <v>1</v>
      </c>
      <c r="B883" t="str">
        <f t="shared" si="81"/>
        <v>Male</v>
      </c>
      <c r="C883" s="8">
        <v>41</v>
      </c>
      <c r="D883" t="str">
        <f t="shared" si="82"/>
        <v>Middle Age</v>
      </c>
      <c r="E883">
        <v>2</v>
      </c>
      <c r="F883" t="str">
        <f>HLOOKUP(E883, LookUP_Table!$A$6:$D$7, 2, FALSE)</f>
        <v>Secondary</v>
      </c>
      <c r="G883" t="str">
        <f>IFERROR(VLOOKUP(E883, LookUP_Table!$A$1:$B$4, 2, FALSE), "")</f>
        <v>Secondary</v>
      </c>
      <c r="H883">
        <v>1</v>
      </c>
      <c r="I883">
        <v>20</v>
      </c>
      <c r="J883" t="str">
        <f t="shared" si="78"/>
        <v>Smoker</v>
      </c>
      <c r="K883">
        <v>0</v>
      </c>
      <c r="L883">
        <v>0</v>
      </c>
      <c r="M883">
        <v>1</v>
      </c>
      <c r="N883">
        <v>0</v>
      </c>
      <c r="O883">
        <v>293</v>
      </c>
      <c r="P883" t="str">
        <f t="shared" si="79"/>
        <v>High</v>
      </c>
      <c r="Q883">
        <v>132</v>
      </c>
      <c r="R883">
        <v>86</v>
      </c>
      <c r="S883">
        <v>24.62</v>
      </c>
      <c r="T883" t="str">
        <f t="shared" si="80"/>
        <v>Normal</v>
      </c>
      <c r="U883">
        <v>65</v>
      </c>
      <c r="V883">
        <v>75</v>
      </c>
      <c r="W883" t="str">
        <f t="shared" si="83"/>
        <v>Normal</v>
      </c>
      <c r="X883">
        <v>0</v>
      </c>
    </row>
    <row r="884" spans="1:24" ht="14.5" thickBot="1" x14ac:dyDescent="0.35">
      <c r="A884">
        <v>1</v>
      </c>
      <c r="B884" t="str">
        <f t="shared" si="81"/>
        <v>Male</v>
      </c>
      <c r="C884" s="8">
        <v>41</v>
      </c>
      <c r="D884" t="str">
        <f t="shared" si="82"/>
        <v>Middle Age</v>
      </c>
      <c r="E884">
        <v>2</v>
      </c>
      <c r="F884" t="str">
        <f>HLOOKUP(E884, LookUP_Table!$A$6:$D$7, 2, FALSE)</f>
        <v>Secondary</v>
      </c>
      <c r="G884" t="str">
        <f>IFERROR(VLOOKUP(E884, LookUP_Table!$A$1:$B$4, 2, FALSE), "")</f>
        <v>Secondary</v>
      </c>
      <c r="H884">
        <v>1</v>
      </c>
      <c r="I884">
        <v>20</v>
      </c>
      <c r="J884" t="str">
        <f t="shared" si="78"/>
        <v>Smoker</v>
      </c>
      <c r="K884">
        <v>0</v>
      </c>
      <c r="L884">
        <v>0</v>
      </c>
      <c r="M884">
        <v>0</v>
      </c>
      <c r="N884">
        <v>0</v>
      </c>
      <c r="O884">
        <v>201</v>
      </c>
      <c r="P884" t="str">
        <f t="shared" si="79"/>
        <v>Normal</v>
      </c>
      <c r="Q884">
        <v>122</v>
      </c>
      <c r="R884">
        <v>76.5</v>
      </c>
      <c r="S884">
        <v>23.81</v>
      </c>
      <c r="T884" t="str">
        <f t="shared" si="80"/>
        <v>Normal</v>
      </c>
      <c r="U884">
        <v>70</v>
      </c>
      <c r="V884">
        <v>73</v>
      </c>
      <c r="W884" t="str">
        <f t="shared" si="83"/>
        <v>Normal</v>
      </c>
      <c r="X884">
        <v>0</v>
      </c>
    </row>
    <row r="885" spans="1:24" ht="14.5" thickBot="1" x14ac:dyDescent="0.35">
      <c r="A885">
        <v>0</v>
      </c>
      <c r="B885" t="str">
        <f t="shared" si="81"/>
        <v>Female</v>
      </c>
      <c r="C885" s="8">
        <v>41</v>
      </c>
      <c r="D885" t="str">
        <f t="shared" si="82"/>
        <v>Middle Age</v>
      </c>
      <c r="E885">
        <v>1</v>
      </c>
      <c r="F885" t="str">
        <f>HLOOKUP(E885, LookUP_Table!$A$6:$D$7, 2, FALSE)</f>
        <v>Primary</v>
      </c>
      <c r="G885" t="str">
        <f>IFERROR(VLOOKUP(E885, LookUP_Table!$A$1:$B$4, 2, FALSE), "")</f>
        <v>Primary</v>
      </c>
      <c r="H885">
        <v>1</v>
      </c>
      <c r="I885">
        <v>20</v>
      </c>
      <c r="J885" t="str">
        <f t="shared" si="78"/>
        <v>Smoker</v>
      </c>
      <c r="K885">
        <v>0</v>
      </c>
      <c r="L885">
        <v>0</v>
      </c>
      <c r="M885">
        <v>0</v>
      </c>
      <c r="N885">
        <v>0</v>
      </c>
      <c r="O885">
        <v>203</v>
      </c>
      <c r="P885" t="str">
        <f t="shared" si="79"/>
        <v>Normal</v>
      </c>
      <c r="Q885">
        <v>120</v>
      </c>
      <c r="R885">
        <v>70</v>
      </c>
      <c r="S885">
        <v>21.26</v>
      </c>
      <c r="T885" t="str">
        <f t="shared" si="80"/>
        <v>Normal</v>
      </c>
      <c r="U885">
        <v>80</v>
      </c>
      <c r="V885">
        <v>63</v>
      </c>
      <c r="W885" t="str">
        <f t="shared" si="83"/>
        <v>Normal</v>
      </c>
      <c r="X885">
        <v>0</v>
      </c>
    </row>
    <row r="886" spans="1:24" ht="14.5" thickBot="1" x14ac:dyDescent="0.35">
      <c r="A886">
        <v>0</v>
      </c>
      <c r="B886" t="str">
        <f t="shared" si="81"/>
        <v>Female</v>
      </c>
      <c r="C886" s="8">
        <v>41</v>
      </c>
      <c r="D886" t="str">
        <f t="shared" si="82"/>
        <v>Middle Age</v>
      </c>
      <c r="E886">
        <v>1</v>
      </c>
      <c r="F886" t="str">
        <f>HLOOKUP(E886, LookUP_Table!$A$6:$D$7, 2, FALSE)</f>
        <v>Primary</v>
      </c>
      <c r="G886" t="str">
        <f>IFERROR(VLOOKUP(E886, LookUP_Table!$A$1:$B$4, 2, FALSE), "")</f>
        <v>Primary</v>
      </c>
      <c r="H886">
        <v>1</v>
      </c>
      <c r="I886">
        <v>25</v>
      </c>
      <c r="J886" t="str">
        <f t="shared" si="78"/>
        <v>Smoker</v>
      </c>
      <c r="K886">
        <v>0</v>
      </c>
      <c r="L886">
        <v>0</v>
      </c>
      <c r="M886">
        <v>0</v>
      </c>
      <c r="N886">
        <v>0</v>
      </c>
      <c r="O886">
        <v>172</v>
      </c>
      <c r="P886" t="str">
        <f t="shared" si="79"/>
        <v>Normal</v>
      </c>
      <c r="Q886">
        <v>108</v>
      </c>
      <c r="R886">
        <v>73</v>
      </c>
      <c r="S886">
        <v>22.5</v>
      </c>
      <c r="T886" t="str">
        <f t="shared" si="80"/>
        <v>Normal</v>
      </c>
      <c r="U886">
        <v>85</v>
      </c>
      <c r="V886">
        <v>73</v>
      </c>
      <c r="W886" t="str">
        <f t="shared" si="83"/>
        <v>Normal</v>
      </c>
      <c r="X886">
        <v>0</v>
      </c>
    </row>
    <row r="887" spans="1:24" ht="14.5" thickBot="1" x14ac:dyDescent="0.35">
      <c r="A887">
        <v>0</v>
      </c>
      <c r="B887" t="str">
        <f t="shared" si="81"/>
        <v>Female</v>
      </c>
      <c r="C887" s="8">
        <v>41</v>
      </c>
      <c r="D887" t="str">
        <f t="shared" si="82"/>
        <v>Middle Age</v>
      </c>
      <c r="E887">
        <v>2</v>
      </c>
      <c r="F887" t="str">
        <f>HLOOKUP(E887, LookUP_Table!$A$6:$D$7, 2, FALSE)</f>
        <v>Secondary</v>
      </c>
      <c r="G887" t="str">
        <f>IFERROR(VLOOKUP(E887, LookUP_Table!$A$1:$B$4, 2, FALSE), "")</f>
        <v>Secondary</v>
      </c>
      <c r="H887">
        <v>1</v>
      </c>
      <c r="I887">
        <v>2</v>
      </c>
      <c r="J887" t="str">
        <f t="shared" si="78"/>
        <v>Smoker</v>
      </c>
      <c r="K887">
        <v>0</v>
      </c>
      <c r="L887">
        <v>0</v>
      </c>
      <c r="M887">
        <v>0</v>
      </c>
      <c r="N887">
        <v>0</v>
      </c>
      <c r="O887">
        <v>159</v>
      </c>
      <c r="P887" t="str">
        <f t="shared" si="79"/>
        <v>Normal</v>
      </c>
      <c r="Q887">
        <v>99</v>
      </c>
      <c r="R887">
        <v>62</v>
      </c>
      <c r="S887">
        <v>19.09</v>
      </c>
      <c r="T887" t="str">
        <f t="shared" si="80"/>
        <v>Normal</v>
      </c>
      <c r="U887">
        <v>80</v>
      </c>
      <c r="V887">
        <v>67</v>
      </c>
      <c r="W887" t="str">
        <f t="shared" si="83"/>
        <v>Normal</v>
      </c>
      <c r="X887">
        <v>0</v>
      </c>
    </row>
    <row r="888" spans="1:24" ht="14.5" thickBot="1" x14ac:dyDescent="0.35">
      <c r="A888">
        <v>0</v>
      </c>
      <c r="B888" t="str">
        <f t="shared" si="81"/>
        <v>Female</v>
      </c>
      <c r="C888" s="8">
        <v>41</v>
      </c>
      <c r="D888" t="str">
        <f t="shared" si="82"/>
        <v>Middle Age</v>
      </c>
      <c r="E888">
        <v>3</v>
      </c>
      <c r="F888" t="str">
        <f>HLOOKUP(E888, LookUP_Table!$A$6:$D$7, 2, FALSE)</f>
        <v>Graduate</v>
      </c>
      <c r="G888" t="str">
        <f>IFERROR(VLOOKUP(E888, LookUP_Table!$A$1:$B$4, 2, FALSE), "")</f>
        <v>Graduate</v>
      </c>
      <c r="H888">
        <v>1</v>
      </c>
      <c r="I888">
        <v>15</v>
      </c>
      <c r="J888" t="str">
        <f t="shared" si="78"/>
        <v>Smoker</v>
      </c>
      <c r="K888">
        <v>0</v>
      </c>
      <c r="L888">
        <v>0</v>
      </c>
      <c r="M888">
        <v>0</v>
      </c>
      <c r="N888">
        <v>0</v>
      </c>
      <c r="O888">
        <v>205</v>
      </c>
      <c r="P888" t="str">
        <f t="shared" si="79"/>
        <v>Normal</v>
      </c>
      <c r="Q888">
        <v>120</v>
      </c>
      <c r="R888">
        <v>80</v>
      </c>
      <c r="S888">
        <v>20.67</v>
      </c>
      <c r="T888" t="str">
        <f t="shared" si="80"/>
        <v>Normal</v>
      </c>
      <c r="U888">
        <v>86</v>
      </c>
      <c r="V888">
        <v>64</v>
      </c>
      <c r="W888" t="str">
        <f t="shared" si="83"/>
        <v>Normal</v>
      </c>
      <c r="X888">
        <v>0</v>
      </c>
    </row>
    <row r="889" spans="1:24" ht="14.5" thickBot="1" x14ac:dyDescent="0.35">
      <c r="A889">
        <v>0</v>
      </c>
      <c r="B889" t="str">
        <f t="shared" si="81"/>
        <v>Female</v>
      </c>
      <c r="C889" s="8">
        <v>41</v>
      </c>
      <c r="D889" t="str">
        <f t="shared" si="82"/>
        <v>Middle Age</v>
      </c>
      <c r="E889">
        <v>1</v>
      </c>
      <c r="F889" t="str">
        <f>HLOOKUP(E889, LookUP_Table!$A$6:$D$7, 2, FALSE)</f>
        <v>Primary</v>
      </c>
      <c r="G889" t="str">
        <f>IFERROR(VLOOKUP(E889, LookUP_Table!$A$1:$B$4, 2, FALSE), "")</f>
        <v>Primary</v>
      </c>
      <c r="H889">
        <v>0</v>
      </c>
      <c r="I889">
        <v>0</v>
      </c>
      <c r="J889" t="str">
        <f t="shared" si="78"/>
        <v>Non-Smoker</v>
      </c>
      <c r="K889">
        <v>0</v>
      </c>
      <c r="L889">
        <v>0</v>
      </c>
      <c r="M889">
        <v>0</v>
      </c>
      <c r="N889">
        <v>0</v>
      </c>
      <c r="O889">
        <v>225</v>
      </c>
      <c r="P889" t="str">
        <f t="shared" si="79"/>
        <v>Normal</v>
      </c>
      <c r="Q889">
        <v>110</v>
      </c>
      <c r="R889">
        <v>60</v>
      </c>
      <c r="S889">
        <v>25.54</v>
      </c>
      <c r="T889" t="str">
        <f t="shared" si="80"/>
        <v>Overweight</v>
      </c>
      <c r="U889">
        <v>75</v>
      </c>
      <c r="V889">
        <v>58</v>
      </c>
      <c r="W889" t="str">
        <f t="shared" si="83"/>
        <v>Normal</v>
      </c>
      <c r="X889">
        <v>0</v>
      </c>
    </row>
    <row r="890" spans="1:24" ht="14.5" thickBot="1" x14ac:dyDescent="0.35">
      <c r="A890">
        <v>0</v>
      </c>
      <c r="B890" t="str">
        <f t="shared" si="81"/>
        <v>Female</v>
      </c>
      <c r="C890" s="8">
        <v>41</v>
      </c>
      <c r="D890" t="str">
        <f t="shared" si="82"/>
        <v>Middle Age</v>
      </c>
      <c r="E890">
        <v>2</v>
      </c>
      <c r="F890" t="str">
        <f>HLOOKUP(E890, LookUP_Table!$A$6:$D$7, 2, FALSE)</f>
        <v>Secondary</v>
      </c>
      <c r="G890" t="str">
        <f>IFERROR(VLOOKUP(E890, LookUP_Table!$A$1:$B$4, 2, FALSE), "")</f>
        <v>Secondary</v>
      </c>
      <c r="H890">
        <v>1</v>
      </c>
      <c r="I890">
        <v>16</v>
      </c>
      <c r="J890" t="str">
        <f t="shared" si="78"/>
        <v>Smoker</v>
      </c>
      <c r="K890">
        <v>0</v>
      </c>
      <c r="L890">
        <v>0</v>
      </c>
      <c r="M890">
        <v>1</v>
      </c>
      <c r="N890">
        <v>0</v>
      </c>
      <c r="O890">
        <v>243</v>
      </c>
      <c r="P890" t="str">
        <f t="shared" si="79"/>
        <v>High</v>
      </c>
      <c r="Q890">
        <v>159</v>
      </c>
      <c r="R890">
        <v>100</v>
      </c>
      <c r="S890">
        <v>27.78</v>
      </c>
      <c r="T890" t="str">
        <f t="shared" si="80"/>
        <v>Overweight</v>
      </c>
      <c r="U890">
        <v>78</v>
      </c>
      <c r="V890">
        <v>71</v>
      </c>
      <c r="W890" t="str">
        <f t="shared" si="83"/>
        <v>Normal</v>
      </c>
      <c r="X890">
        <v>0</v>
      </c>
    </row>
    <row r="891" spans="1:24" ht="14.5" thickBot="1" x14ac:dyDescent="0.35">
      <c r="A891">
        <v>0</v>
      </c>
      <c r="B891" t="str">
        <f t="shared" si="81"/>
        <v>Female</v>
      </c>
      <c r="C891" s="8">
        <v>41</v>
      </c>
      <c r="D891" t="str">
        <f t="shared" si="82"/>
        <v>Middle Age</v>
      </c>
      <c r="E891">
        <v>1</v>
      </c>
      <c r="F891" t="str">
        <f>HLOOKUP(E891, LookUP_Table!$A$6:$D$7, 2, FALSE)</f>
        <v>Primary</v>
      </c>
      <c r="G891" t="str">
        <f>IFERROR(VLOOKUP(E891, LookUP_Table!$A$1:$B$4, 2, FALSE), "")</f>
        <v>Primary</v>
      </c>
      <c r="H891">
        <v>0</v>
      </c>
      <c r="I891">
        <v>0</v>
      </c>
      <c r="J891" t="str">
        <f t="shared" si="78"/>
        <v>Non-Smoker</v>
      </c>
      <c r="K891">
        <v>0</v>
      </c>
      <c r="L891">
        <v>0</v>
      </c>
      <c r="M891">
        <v>0</v>
      </c>
      <c r="N891">
        <v>0</v>
      </c>
      <c r="O891">
        <v>181</v>
      </c>
      <c r="P891" t="str">
        <f t="shared" si="79"/>
        <v>Normal</v>
      </c>
      <c r="Q891">
        <v>112</v>
      </c>
      <c r="R891">
        <v>75.5</v>
      </c>
      <c r="S891">
        <v>25.14</v>
      </c>
      <c r="T891" t="str">
        <f t="shared" si="80"/>
        <v>Overweight</v>
      </c>
      <c r="U891">
        <v>72</v>
      </c>
      <c r="V891">
        <v>95</v>
      </c>
      <c r="W891" t="str">
        <f t="shared" si="83"/>
        <v>Normal</v>
      </c>
      <c r="X891">
        <v>0</v>
      </c>
    </row>
    <row r="892" spans="1:24" ht="14.5" thickBot="1" x14ac:dyDescent="0.35">
      <c r="A892">
        <v>1</v>
      </c>
      <c r="B892" t="str">
        <f t="shared" si="81"/>
        <v>Male</v>
      </c>
      <c r="C892" s="8">
        <v>41</v>
      </c>
      <c r="D892" t="str">
        <f t="shared" si="82"/>
        <v>Middle Age</v>
      </c>
      <c r="E892">
        <v>2</v>
      </c>
      <c r="F892" t="str">
        <f>HLOOKUP(E892, LookUP_Table!$A$6:$D$7, 2, FALSE)</f>
        <v>Secondary</v>
      </c>
      <c r="G892" t="str">
        <f>IFERROR(VLOOKUP(E892, LookUP_Table!$A$1:$B$4, 2, FALSE), "")</f>
        <v>Secondary</v>
      </c>
      <c r="H892">
        <v>0</v>
      </c>
      <c r="I892">
        <v>0</v>
      </c>
      <c r="J892" t="str">
        <f t="shared" si="78"/>
        <v>Non-Smoker</v>
      </c>
      <c r="K892">
        <v>0</v>
      </c>
      <c r="L892">
        <v>0</v>
      </c>
      <c r="M892">
        <v>0</v>
      </c>
      <c r="N892">
        <v>0</v>
      </c>
      <c r="O892">
        <v>245</v>
      </c>
      <c r="P892" t="str">
        <f t="shared" si="79"/>
        <v>High</v>
      </c>
      <c r="Q892">
        <v>139</v>
      </c>
      <c r="R892">
        <v>84</v>
      </c>
      <c r="S892">
        <v>28.76</v>
      </c>
      <c r="T892" t="str">
        <f t="shared" si="80"/>
        <v>Overweight</v>
      </c>
      <c r="U892">
        <v>95</v>
      </c>
      <c r="V892">
        <v>68</v>
      </c>
      <c r="W892" t="str">
        <f t="shared" si="83"/>
        <v>Normal</v>
      </c>
      <c r="X892">
        <v>0</v>
      </c>
    </row>
    <row r="893" spans="1:24" ht="14.5" thickBot="1" x14ac:dyDescent="0.35">
      <c r="A893">
        <v>1</v>
      </c>
      <c r="B893" t="str">
        <f t="shared" si="81"/>
        <v>Male</v>
      </c>
      <c r="C893" s="8">
        <v>41</v>
      </c>
      <c r="D893" t="str">
        <f t="shared" si="82"/>
        <v>Middle Age</v>
      </c>
      <c r="E893">
        <v>2</v>
      </c>
      <c r="F893" t="str">
        <f>HLOOKUP(E893, LookUP_Table!$A$6:$D$7, 2, FALSE)</f>
        <v>Secondary</v>
      </c>
      <c r="G893" t="str">
        <f>IFERROR(VLOOKUP(E893, LookUP_Table!$A$1:$B$4, 2, FALSE), "")</f>
        <v>Secondary</v>
      </c>
      <c r="H893">
        <v>1</v>
      </c>
      <c r="I893">
        <v>20</v>
      </c>
      <c r="J893" t="str">
        <f t="shared" si="78"/>
        <v>Smoker</v>
      </c>
      <c r="K893">
        <v>0</v>
      </c>
      <c r="L893">
        <v>0</v>
      </c>
      <c r="M893">
        <v>0</v>
      </c>
      <c r="N893">
        <v>0</v>
      </c>
      <c r="O893">
        <v>212</v>
      </c>
      <c r="P893" t="str">
        <f t="shared" si="79"/>
        <v>Normal</v>
      </c>
      <c r="Q893">
        <v>112</v>
      </c>
      <c r="R893">
        <v>63.5</v>
      </c>
      <c r="S893">
        <v>25.2</v>
      </c>
      <c r="T893" t="str">
        <f t="shared" si="80"/>
        <v>Overweight</v>
      </c>
      <c r="U893">
        <v>80</v>
      </c>
      <c r="V893">
        <v>76</v>
      </c>
      <c r="W893" t="str">
        <f t="shared" si="83"/>
        <v>Normal</v>
      </c>
      <c r="X893">
        <v>1</v>
      </c>
    </row>
    <row r="894" spans="1:24" ht="14.5" thickBot="1" x14ac:dyDescent="0.35">
      <c r="A894">
        <v>1</v>
      </c>
      <c r="B894" t="str">
        <f t="shared" si="81"/>
        <v>Male</v>
      </c>
      <c r="C894" s="8">
        <v>41</v>
      </c>
      <c r="D894" t="str">
        <f t="shared" si="82"/>
        <v>Middle Age</v>
      </c>
      <c r="E894">
        <v>2</v>
      </c>
      <c r="F894" t="str">
        <f>HLOOKUP(E894, LookUP_Table!$A$6:$D$7, 2, FALSE)</f>
        <v>Secondary</v>
      </c>
      <c r="G894" t="str">
        <f>IFERROR(VLOOKUP(E894, LookUP_Table!$A$1:$B$4, 2, FALSE), "")</f>
        <v>Secondary</v>
      </c>
      <c r="H894">
        <v>1</v>
      </c>
      <c r="I894">
        <v>25</v>
      </c>
      <c r="J894" t="str">
        <f t="shared" si="78"/>
        <v>Smoker</v>
      </c>
      <c r="K894">
        <v>0</v>
      </c>
      <c r="L894">
        <v>0</v>
      </c>
      <c r="M894">
        <v>0</v>
      </c>
      <c r="N894">
        <v>0</v>
      </c>
      <c r="O894">
        <v>232</v>
      </c>
      <c r="P894" t="str">
        <f t="shared" si="79"/>
        <v>Normal</v>
      </c>
      <c r="Q894">
        <v>129</v>
      </c>
      <c r="R894">
        <v>83</v>
      </c>
      <c r="S894">
        <v>28.08</v>
      </c>
      <c r="T894" t="str">
        <f t="shared" si="80"/>
        <v>Overweight</v>
      </c>
      <c r="U894">
        <v>75</v>
      </c>
      <c r="V894">
        <v>68</v>
      </c>
      <c r="W894" t="str">
        <f t="shared" si="83"/>
        <v>Normal</v>
      </c>
      <c r="X894">
        <v>0</v>
      </c>
    </row>
    <row r="895" spans="1:24" ht="14.5" thickBot="1" x14ac:dyDescent="0.35">
      <c r="A895">
        <v>1</v>
      </c>
      <c r="B895" t="str">
        <f t="shared" si="81"/>
        <v>Male</v>
      </c>
      <c r="C895" s="8">
        <v>41</v>
      </c>
      <c r="D895" t="str">
        <f t="shared" si="82"/>
        <v>Middle Age</v>
      </c>
      <c r="E895">
        <v>1</v>
      </c>
      <c r="F895" t="str">
        <f>HLOOKUP(E895, LookUP_Table!$A$6:$D$7, 2, FALSE)</f>
        <v>Primary</v>
      </c>
      <c r="G895" t="str">
        <f>IFERROR(VLOOKUP(E895, LookUP_Table!$A$1:$B$4, 2, FALSE), "")</f>
        <v>Primary</v>
      </c>
      <c r="H895">
        <v>1</v>
      </c>
      <c r="I895">
        <v>20</v>
      </c>
      <c r="J895" t="str">
        <f t="shared" si="78"/>
        <v>Smoker</v>
      </c>
      <c r="K895">
        <v>0</v>
      </c>
      <c r="L895">
        <v>0</v>
      </c>
      <c r="M895">
        <v>1</v>
      </c>
      <c r="N895">
        <v>0</v>
      </c>
      <c r="O895">
        <v>260</v>
      </c>
      <c r="P895" t="str">
        <f t="shared" si="79"/>
        <v>High</v>
      </c>
      <c r="Q895">
        <v>151</v>
      </c>
      <c r="R895">
        <v>85</v>
      </c>
      <c r="S895">
        <v>33.08</v>
      </c>
      <c r="T895" t="str">
        <f t="shared" si="80"/>
        <v>Obese</v>
      </c>
      <c r="U895">
        <v>95</v>
      </c>
      <c r="V895">
        <v>91</v>
      </c>
      <c r="W895" t="str">
        <f t="shared" si="83"/>
        <v>Normal</v>
      </c>
      <c r="X895">
        <v>1</v>
      </c>
    </row>
    <row r="896" spans="1:24" ht="14.5" thickBot="1" x14ac:dyDescent="0.35">
      <c r="A896">
        <v>0</v>
      </c>
      <c r="B896" t="str">
        <f t="shared" si="81"/>
        <v>Female</v>
      </c>
      <c r="C896" s="8">
        <v>41</v>
      </c>
      <c r="D896" t="str">
        <f t="shared" si="82"/>
        <v>Middle Age</v>
      </c>
      <c r="E896">
        <v>2</v>
      </c>
      <c r="F896" t="str">
        <f>HLOOKUP(E896, LookUP_Table!$A$6:$D$7, 2, FALSE)</f>
        <v>Secondary</v>
      </c>
      <c r="G896" t="str">
        <f>IFERROR(VLOOKUP(E896, LookUP_Table!$A$1:$B$4, 2, FALSE), "")</f>
        <v>Secondary</v>
      </c>
      <c r="H896">
        <v>1</v>
      </c>
      <c r="I896">
        <v>9</v>
      </c>
      <c r="J896" t="str">
        <f t="shared" si="78"/>
        <v>Smoker</v>
      </c>
      <c r="K896">
        <v>0</v>
      </c>
      <c r="L896">
        <v>0</v>
      </c>
      <c r="M896">
        <v>0</v>
      </c>
      <c r="N896">
        <v>0</v>
      </c>
      <c r="O896">
        <v>206</v>
      </c>
      <c r="P896" t="str">
        <f t="shared" si="79"/>
        <v>Normal</v>
      </c>
      <c r="Q896">
        <v>122</v>
      </c>
      <c r="R896">
        <v>78</v>
      </c>
      <c r="S896">
        <v>22.54</v>
      </c>
      <c r="T896" t="str">
        <f t="shared" si="80"/>
        <v>Normal</v>
      </c>
      <c r="U896">
        <v>85</v>
      </c>
      <c r="V896">
        <v>81.96365524402907</v>
      </c>
      <c r="W896" t="str">
        <f t="shared" si="83"/>
        <v>Normal</v>
      </c>
      <c r="X896">
        <v>0</v>
      </c>
    </row>
    <row r="897" spans="1:24" ht="14.5" thickBot="1" x14ac:dyDescent="0.35">
      <c r="A897">
        <v>0</v>
      </c>
      <c r="B897" t="str">
        <f t="shared" si="81"/>
        <v>Female</v>
      </c>
      <c r="C897" s="8">
        <v>41</v>
      </c>
      <c r="D897" t="str">
        <f t="shared" si="82"/>
        <v>Middle Age</v>
      </c>
      <c r="E897">
        <v>1</v>
      </c>
      <c r="F897" t="str">
        <f>HLOOKUP(E897, LookUP_Table!$A$6:$D$7, 2, FALSE)</f>
        <v>Primary</v>
      </c>
      <c r="G897" t="str">
        <f>IFERROR(VLOOKUP(E897, LookUP_Table!$A$1:$B$4, 2, FALSE), "")</f>
        <v>Primary</v>
      </c>
      <c r="H897">
        <v>0</v>
      </c>
      <c r="I897">
        <v>0</v>
      </c>
      <c r="J897" t="str">
        <f t="shared" si="78"/>
        <v>Non-Smoker</v>
      </c>
      <c r="K897">
        <v>0</v>
      </c>
      <c r="L897">
        <v>0</v>
      </c>
      <c r="M897">
        <v>0</v>
      </c>
      <c r="N897">
        <v>0</v>
      </c>
      <c r="O897">
        <v>199</v>
      </c>
      <c r="P897" t="str">
        <f t="shared" si="79"/>
        <v>Normal</v>
      </c>
      <c r="Q897">
        <v>117</v>
      </c>
      <c r="R897">
        <v>86</v>
      </c>
      <c r="S897">
        <v>34.54</v>
      </c>
      <c r="T897" t="str">
        <f t="shared" si="80"/>
        <v>Obese</v>
      </c>
      <c r="U897">
        <v>72</v>
      </c>
      <c r="V897">
        <v>84</v>
      </c>
      <c r="W897" t="str">
        <f t="shared" si="83"/>
        <v>Normal</v>
      </c>
      <c r="X897">
        <v>0</v>
      </c>
    </row>
    <row r="898" spans="1:24" ht="14.5" thickBot="1" x14ac:dyDescent="0.35">
      <c r="A898">
        <v>1</v>
      </c>
      <c r="B898" t="str">
        <f t="shared" si="81"/>
        <v>Male</v>
      </c>
      <c r="C898" s="8">
        <v>41</v>
      </c>
      <c r="D898" t="str">
        <f t="shared" si="82"/>
        <v>Middle Age</v>
      </c>
      <c r="E898">
        <v>1</v>
      </c>
      <c r="F898" t="str">
        <f>HLOOKUP(E898, LookUP_Table!$A$6:$D$7, 2, FALSE)</f>
        <v>Primary</v>
      </c>
      <c r="G898" t="str">
        <f>IFERROR(VLOOKUP(E898, LookUP_Table!$A$1:$B$4, 2, FALSE), "")</f>
        <v>Primary</v>
      </c>
      <c r="H898">
        <v>0</v>
      </c>
      <c r="I898">
        <v>0</v>
      </c>
      <c r="J898" t="str">
        <f t="shared" ref="J898:J961" si="84">IF(I898&gt;0,"Smoker","Non-Smoker")</f>
        <v>Non-Smoker</v>
      </c>
      <c r="K898">
        <v>0</v>
      </c>
      <c r="L898">
        <v>0</v>
      </c>
      <c r="M898">
        <v>0</v>
      </c>
      <c r="N898">
        <v>0</v>
      </c>
      <c r="O898">
        <v>280</v>
      </c>
      <c r="P898" t="str">
        <f t="shared" ref="P898:P961" si="85">IF(O898&gt;240,"High","Normal")</f>
        <v>High</v>
      </c>
      <c r="Q898">
        <v>117.5</v>
      </c>
      <c r="R898">
        <v>80</v>
      </c>
      <c r="S898">
        <v>28.68</v>
      </c>
      <c r="T898" t="str">
        <f t="shared" ref="T898:T961" si="86">IF(S898&lt;18.5,"Underweight",
IF(S898&lt;25,"Normal",
IF(S898&lt;30,"Overweight","Obese")))</f>
        <v>Overweight</v>
      </c>
      <c r="U898">
        <v>65</v>
      </c>
      <c r="V898">
        <v>65</v>
      </c>
      <c r="W898" t="str">
        <f t="shared" si="83"/>
        <v>Normal</v>
      </c>
      <c r="X898">
        <v>0</v>
      </c>
    </row>
    <row r="899" spans="1:24" ht="14.5" thickBot="1" x14ac:dyDescent="0.35">
      <c r="A899">
        <v>0</v>
      </c>
      <c r="B899" t="str">
        <f t="shared" ref="B899:B962" si="87">IF(A899=0,"Female","Male")</f>
        <v>Female</v>
      </c>
      <c r="C899" s="8">
        <v>41</v>
      </c>
      <c r="D899" t="str">
        <f t="shared" ref="D899:D962" si="88">IF(C899&lt;40,"Young",
IF(C899&lt;55,"Middle Age","Senior"))</f>
        <v>Middle Age</v>
      </c>
      <c r="E899">
        <v>3</v>
      </c>
      <c r="F899" t="str">
        <f>HLOOKUP(E899, LookUP_Table!$A$6:$D$7, 2, FALSE)</f>
        <v>Graduate</v>
      </c>
      <c r="G899" t="str">
        <f>IFERROR(VLOOKUP(E899, LookUP_Table!$A$1:$B$4, 2, FALSE), "")</f>
        <v>Graduate</v>
      </c>
      <c r="H899">
        <v>0</v>
      </c>
      <c r="I899">
        <v>0</v>
      </c>
      <c r="J899" t="str">
        <f t="shared" si="84"/>
        <v>Non-Smoker</v>
      </c>
      <c r="K899">
        <v>0</v>
      </c>
      <c r="L899">
        <v>0</v>
      </c>
      <c r="M899">
        <v>0</v>
      </c>
      <c r="N899">
        <v>0</v>
      </c>
      <c r="O899">
        <v>166</v>
      </c>
      <c r="P899" t="str">
        <f t="shared" si="85"/>
        <v>Normal</v>
      </c>
      <c r="Q899">
        <v>128.5</v>
      </c>
      <c r="R899">
        <v>74.5</v>
      </c>
      <c r="S899">
        <v>21.02</v>
      </c>
      <c r="T899" t="str">
        <f t="shared" si="86"/>
        <v>Normal</v>
      </c>
      <c r="U899">
        <v>81</v>
      </c>
      <c r="V899">
        <v>81.96365524402907</v>
      </c>
      <c r="W899" t="str">
        <f t="shared" ref="W899:W962" si="89">IF(V899 &lt; 100, "Normal", IF(V899 &lt;= 125, "Prediabetes", "Diabetes"))</f>
        <v>Normal</v>
      </c>
      <c r="X899">
        <v>0</v>
      </c>
    </row>
    <row r="900" spans="1:24" ht="14.5" thickBot="1" x14ac:dyDescent="0.35">
      <c r="A900">
        <v>0</v>
      </c>
      <c r="B900" t="str">
        <f t="shared" si="87"/>
        <v>Female</v>
      </c>
      <c r="C900" s="8">
        <v>41</v>
      </c>
      <c r="D900" t="str">
        <f t="shared" si="88"/>
        <v>Middle Age</v>
      </c>
      <c r="E900">
        <v>2</v>
      </c>
      <c r="F900" t="str">
        <f>HLOOKUP(E900, LookUP_Table!$A$6:$D$7, 2, FALSE)</f>
        <v>Secondary</v>
      </c>
      <c r="G900" t="str">
        <f>IFERROR(VLOOKUP(E900, LookUP_Table!$A$1:$B$4, 2, FALSE), "")</f>
        <v>Secondary</v>
      </c>
      <c r="H900">
        <v>1</v>
      </c>
      <c r="I900">
        <v>5</v>
      </c>
      <c r="J900" t="str">
        <f t="shared" si="84"/>
        <v>Smoker</v>
      </c>
      <c r="K900">
        <v>0</v>
      </c>
      <c r="L900">
        <v>0</v>
      </c>
      <c r="M900">
        <v>0</v>
      </c>
      <c r="N900">
        <v>0</v>
      </c>
      <c r="O900">
        <v>226</v>
      </c>
      <c r="P900" t="str">
        <f t="shared" si="85"/>
        <v>Normal</v>
      </c>
      <c r="Q900">
        <v>125.5</v>
      </c>
      <c r="R900">
        <v>82</v>
      </c>
      <c r="S900">
        <v>23.8</v>
      </c>
      <c r="T900" t="str">
        <f t="shared" si="86"/>
        <v>Normal</v>
      </c>
      <c r="U900">
        <v>67</v>
      </c>
      <c r="V900">
        <v>75</v>
      </c>
      <c r="W900" t="str">
        <f t="shared" si="89"/>
        <v>Normal</v>
      </c>
      <c r="X900">
        <v>0</v>
      </c>
    </row>
    <row r="901" spans="1:24" ht="14.5" thickBot="1" x14ac:dyDescent="0.35">
      <c r="A901">
        <v>0</v>
      </c>
      <c r="B901" t="str">
        <f t="shared" si="87"/>
        <v>Female</v>
      </c>
      <c r="C901" s="8">
        <v>41</v>
      </c>
      <c r="D901" t="str">
        <f t="shared" si="88"/>
        <v>Middle Age</v>
      </c>
      <c r="E901">
        <v>3</v>
      </c>
      <c r="F901" t="str">
        <f>HLOOKUP(E901, LookUP_Table!$A$6:$D$7, 2, FALSE)</f>
        <v>Graduate</v>
      </c>
      <c r="G901" t="str">
        <f>IFERROR(VLOOKUP(E901, LookUP_Table!$A$1:$B$4, 2, FALSE), "")</f>
        <v>Graduate</v>
      </c>
      <c r="H901">
        <v>1</v>
      </c>
      <c r="I901">
        <v>15</v>
      </c>
      <c r="J901" t="str">
        <f t="shared" si="84"/>
        <v>Smoker</v>
      </c>
      <c r="K901">
        <v>0</v>
      </c>
      <c r="L901">
        <v>0</v>
      </c>
      <c r="M901">
        <v>1</v>
      </c>
      <c r="N901">
        <v>0</v>
      </c>
      <c r="O901">
        <v>268</v>
      </c>
      <c r="P901" t="str">
        <f t="shared" si="85"/>
        <v>High</v>
      </c>
      <c r="Q901">
        <v>140</v>
      </c>
      <c r="R901">
        <v>92.5</v>
      </c>
      <c r="S901">
        <v>24.71</v>
      </c>
      <c r="T901" t="str">
        <f t="shared" si="86"/>
        <v>Normal</v>
      </c>
      <c r="U901">
        <v>75</v>
      </c>
      <c r="V901">
        <v>90</v>
      </c>
      <c r="W901" t="str">
        <f t="shared" si="89"/>
        <v>Normal</v>
      </c>
      <c r="X901">
        <v>0</v>
      </c>
    </row>
    <row r="902" spans="1:24" ht="14.5" thickBot="1" x14ac:dyDescent="0.35">
      <c r="A902">
        <v>0</v>
      </c>
      <c r="B902" t="str">
        <f t="shared" si="87"/>
        <v>Female</v>
      </c>
      <c r="C902" s="8">
        <v>41</v>
      </c>
      <c r="D902" t="str">
        <f t="shared" si="88"/>
        <v>Middle Age</v>
      </c>
      <c r="E902">
        <v>4</v>
      </c>
      <c r="F902" t="str">
        <f>HLOOKUP(E902, LookUP_Table!$A$6:$D$7, 2, FALSE)</f>
        <v>Post Graduate</v>
      </c>
      <c r="G902" t="str">
        <f>IFERROR(VLOOKUP(E902, LookUP_Table!$A$1:$B$4, 2, FALSE), "")</f>
        <v>Post Graduate</v>
      </c>
      <c r="H902">
        <v>1</v>
      </c>
      <c r="I902">
        <v>20</v>
      </c>
      <c r="J902" t="str">
        <f t="shared" si="84"/>
        <v>Smoker</v>
      </c>
      <c r="K902">
        <v>0</v>
      </c>
      <c r="L902">
        <v>0</v>
      </c>
      <c r="M902">
        <v>0</v>
      </c>
      <c r="N902">
        <v>0</v>
      </c>
      <c r="O902">
        <v>243</v>
      </c>
      <c r="P902" t="str">
        <f t="shared" si="85"/>
        <v>High</v>
      </c>
      <c r="Q902">
        <v>97</v>
      </c>
      <c r="R902">
        <v>63</v>
      </c>
      <c r="S902">
        <v>22.53</v>
      </c>
      <c r="T902" t="str">
        <f t="shared" si="86"/>
        <v>Normal</v>
      </c>
      <c r="U902">
        <v>76</v>
      </c>
      <c r="V902">
        <v>64</v>
      </c>
      <c r="W902" t="str">
        <f t="shared" si="89"/>
        <v>Normal</v>
      </c>
      <c r="X902">
        <v>0</v>
      </c>
    </row>
    <row r="903" spans="1:24" ht="14.5" thickBot="1" x14ac:dyDescent="0.35">
      <c r="A903">
        <v>1</v>
      </c>
      <c r="B903" t="str">
        <f t="shared" si="87"/>
        <v>Male</v>
      </c>
      <c r="C903" s="8">
        <v>41</v>
      </c>
      <c r="D903" t="str">
        <f t="shared" si="88"/>
        <v>Middle Age</v>
      </c>
      <c r="E903">
        <v>2</v>
      </c>
      <c r="F903" t="str">
        <f>HLOOKUP(E903, LookUP_Table!$A$6:$D$7, 2, FALSE)</f>
        <v>Secondary</v>
      </c>
      <c r="G903" t="str">
        <f>IFERROR(VLOOKUP(E903, LookUP_Table!$A$1:$B$4, 2, FALSE), "")</f>
        <v>Secondary</v>
      </c>
      <c r="H903">
        <v>1</v>
      </c>
      <c r="I903">
        <v>40</v>
      </c>
      <c r="J903" t="str">
        <f t="shared" si="84"/>
        <v>Smoker</v>
      </c>
      <c r="K903">
        <v>0</v>
      </c>
      <c r="L903">
        <v>0</v>
      </c>
      <c r="M903">
        <v>0</v>
      </c>
      <c r="N903">
        <v>0</v>
      </c>
      <c r="O903">
        <v>242</v>
      </c>
      <c r="P903" t="str">
        <f t="shared" si="85"/>
        <v>High</v>
      </c>
      <c r="Q903">
        <v>124.5</v>
      </c>
      <c r="R903">
        <v>86.5</v>
      </c>
      <c r="S903">
        <v>28.8</v>
      </c>
      <c r="T903" t="str">
        <f t="shared" si="86"/>
        <v>Overweight</v>
      </c>
      <c r="U903">
        <v>87</v>
      </c>
      <c r="V903">
        <v>67</v>
      </c>
      <c r="W903" t="str">
        <f t="shared" si="89"/>
        <v>Normal</v>
      </c>
      <c r="X903">
        <v>0</v>
      </c>
    </row>
    <row r="904" spans="1:24" ht="14.5" thickBot="1" x14ac:dyDescent="0.35">
      <c r="A904">
        <v>1</v>
      </c>
      <c r="B904" t="str">
        <f t="shared" si="87"/>
        <v>Male</v>
      </c>
      <c r="C904" s="8">
        <v>41</v>
      </c>
      <c r="D904" t="str">
        <f t="shared" si="88"/>
        <v>Middle Age</v>
      </c>
      <c r="E904">
        <v>3</v>
      </c>
      <c r="F904" t="str">
        <f>HLOOKUP(E904, LookUP_Table!$A$6:$D$7, 2, FALSE)</f>
        <v>Graduate</v>
      </c>
      <c r="G904" t="str">
        <f>IFERROR(VLOOKUP(E904, LookUP_Table!$A$1:$B$4, 2, FALSE), "")</f>
        <v>Graduate</v>
      </c>
      <c r="H904">
        <v>0</v>
      </c>
      <c r="I904">
        <v>0</v>
      </c>
      <c r="J904" t="str">
        <f t="shared" si="84"/>
        <v>Non-Smoker</v>
      </c>
      <c r="K904">
        <v>0</v>
      </c>
      <c r="L904">
        <v>0</v>
      </c>
      <c r="M904">
        <v>1</v>
      </c>
      <c r="N904">
        <v>0</v>
      </c>
      <c r="O904">
        <v>240</v>
      </c>
      <c r="P904" t="str">
        <f t="shared" si="85"/>
        <v>Normal</v>
      </c>
      <c r="Q904">
        <v>158</v>
      </c>
      <c r="R904">
        <v>102</v>
      </c>
      <c r="S904">
        <v>23.68</v>
      </c>
      <c r="T904" t="str">
        <f t="shared" si="86"/>
        <v>Normal</v>
      </c>
      <c r="U904">
        <v>75</v>
      </c>
      <c r="V904">
        <v>81</v>
      </c>
      <c r="W904" t="str">
        <f t="shared" si="89"/>
        <v>Normal</v>
      </c>
      <c r="X904">
        <v>0</v>
      </c>
    </row>
    <row r="905" spans="1:24" ht="14.5" thickBot="1" x14ac:dyDescent="0.35">
      <c r="A905">
        <v>0</v>
      </c>
      <c r="B905" t="str">
        <f t="shared" si="87"/>
        <v>Female</v>
      </c>
      <c r="C905" s="8">
        <v>41</v>
      </c>
      <c r="D905" t="str">
        <f t="shared" si="88"/>
        <v>Middle Age</v>
      </c>
      <c r="E905">
        <v>2</v>
      </c>
      <c r="F905" t="str">
        <f>HLOOKUP(E905, LookUP_Table!$A$6:$D$7, 2, FALSE)</f>
        <v>Secondary</v>
      </c>
      <c r="G905" t="str">
        <f>IFERROR(VLOOKUP(E905, LookUP_Table!$A$1:$B$4, 2, FALSE), "")</f>
        <v>Secondary</v>
      </c>
      <c r="H905">
        <v>1</v>
      </c>
      <c r="I905">
        <v>20</v>
      </c>
      <c r="J905" t="str">
        <f t="shared" si="84"/>
        <v>Smoker</v>
      </c>
      <c r="K905">
        <v>0</v>
      </c>
      <c r="L905">
        <v>0</v>
      </c>
      <c r="M905">
        <v>0</v>
      </c>
      <c r="N905">
        <v>0</v>
      </c>
      <c r="O905">
        <v>220</v>
      </c>
      <c r="P905" t="str">
        <f t="shared" si="85"/>
        <v>Normal</v>
      </c>
      <c r="Q905">
        <v>126</v>
      </c>
      <c r="R905">
        <v>78</v>
      </c>
      <c r="S905">
        <v>20.7</v>
      </c>
      <c r="T905" t="str">
        <f t="shared" si="86"/>
        <v>Normal</v>
      </c>
      <c r="U905">
        <v>86</v>
      </c>
      <c r="V905">
        <v>79</v>
      </c>
      <c r="W905" t="str">
        <f t="shared" si="89"/>
        <v>Normal</v>
      </c>
      <c r="X905">
        <v>0</v>
      </c>
    </row>
    <row r="906" spans="1:24" ht="14.5" thickBot="1" x14ac:dyDescent="0.35">
      <c r="A906">
        <v>0</v>
      </c>
      <c r="B906" t="str">
        <f t="shared" si="87"/>
        <v>Female</v>
      </c>
      <c r="C906" s="8">
        <v>41</v>
      </c>
      <c r="D906" t="str">
        <f t="shared" si="88"/>
        <v>Middle Age</v>
      </c>
      <c r="E906">
        <v>1</v>
      </c>
      <c r="F906" t="str">
        <f>HLOOKUP(E906, LookUP_Table!$A$6:$D$7, 2, FALSE)</f>
        <v>Primary</v>
      </c>
      <c r="G906" t="str">
        <f>IFERROR(VLOOKUP(E906, LookUP_Table!$A$1:$B$4, 2, FALSE), "")</f>
        <v>Primary</v>
      </c>
      <c r="H906">
        <v>0</v>
      </c>
      <c r="I906">
        <v>0</v>
      </c>
      <c r="J906" t="str">
        <f t="shared" si="84"/>
        <v>Non-Smoker</v>
      </c>
      <c r="K906">
        <v>0</v>
      </c>
      <c r="L906">
        <v>0</v>
      </c>
      <c r="M906">
        <v>0</v>
      </c>
      <c r="N906">
        <v>0</v>
      </c>
      <c r="O906">
        <v>252</v>
      </c>
      <c r="P906" t="str">
        <f t="shared" si="85"/>
        <v>High</v>
      </c>
      <c r="Q906">
        <v>133</v>
      </c>
      <c r="R906">
        <v>90</v>
      </c>
      <c r="S906">
        <v>26.83</v>
      </c>
      <c r="T906" t="str">
        <f t="shared" si="86"/>
        <v>Overweight</v>
      </c>
      <c r="U906">
        <v>83</v>
      </c>
      <c r="V906">
        <v>64</v>
      </c>
      <c r="W906" t="str">
        <f t="shared" si="89"/>
        <v>Normal</v>
      </c>
      <c r="X906">
        <v>0</v>
      </c>
    </row>
    <row r="907" spans="1:24" ht="14.5" thickBot="1" x14ac:dyDescent="0.35">
      <c r="A907">
        <v>1</v>
      </c>
      <c r="B907" t="str">
        <f t="shared" si="87"/>
        <v>Male</v>
      </c>
      <c r="C907" s="8">
        <v>41</v>
      </c>
      <c r="D907" t="str">
        <f t="shared" si="88"/>
        <v>Middle Age</v>
      </c>
      <c r="E907">
        <v>4</v>
      </c>
      <c r="F907" t="str">
        <f>HLOOKUP(E907, LookUP_Table!$A$6:$D$7, 2, FALSE)</f>
        <v>Post Graduate</v>
      </c>
      <c r="G907" t="str">
        <f>IFERROR(VLOOKUP(E907, LookUP_Table!$A$1:$B$4, 2, FALSE), "")</f>
        <v>Post Graduate</v>
      </c>
      <c r="H907">
        <v>1</v>
      </c>
      <c r="I907">
        <v>30</v>
      </c>
      <c r="J907" t="str">
        <f t="shared" si="84"/>
        <v>Smoker</v>
      </c>
      <c r="K907">
        <v>0</v>
      </c>
      <c r="L907">
        <v>0</v>
      </c>
      <c r="M907">
        <v>0</v>
      </c>
      <c r="N907">
        <v>0</v>
      </c>
      <c r="O907">
        <v>289</v>
      </c>
      <c r="P907" t="str">
        <f t="shared" si="85"/>
        <v>High</v>
      </c>
      <c r="Q907">
        <v>109</v>
      </c>
      <c r="R907">
        <v>74</v>
      </c>
      <c r="S907">
        <v>25.8</v>
      </c>
      <c r="T907" t="str">
        <f t="shared" si="86"/>
        <v>Overweight</v>
      </c>
      <c r="U907">
        <v>70</v>
      </c>
      <c r="V907">
        <v>86</v>
      </c>
      <c r="W907" t="str">
        <f t="shared" si="89"/>
        <v>Normal</v>
      </c>
      <c r="X907">
        <v>0</v>
      </c>
    </row>
    <row r="908" spans="1:24" ht="14.5" thickBot="1" x14ac:dyDescent="0.35">
      <c r="A908">
        <v>0</v>
      </c>
      <c r="B908" t="str">
        <f t="shared" si="87"/>
        <v>Female</v>
      </c>
      <c r="C908" s="8">
        <v>41</v>
      </c>
      <c r="D908" t="str">
        <f t="shared" si="88"/>
        <v>Middle Age</v>
      </c>
      <c r="E908">
        <v>2</v>
      </c>
      <c r="F908" t="str">
        <f>HLOOKUP(E908, LookUP_Table!$A$6:$D$7, 2, FALSE)</f>
        <v>Secondary</v>
      </c>
      <c r="G908" t="str">
        <f>IFERROR(VLOOKUP(E908, LookUP_Table!$A$1:$B$4, 2, FALSE), "")</f>
        <v>Secondary</v>
      </c>
      <c r="H908">
        <v>1</v>
      </c>
      <c r="I908">
        <v>20</v>
      </c>
      <c r="J908" t="str">
        <f t="shared" si="84"/>
        <v>Smoker</v>
      </c>
      <c r="K908">
        <v>0</v>
      </c>
      <c r="L908">
        <v>0</v>
      </c>
      <c r="M908">
        <v>0</v>
      </c>
      <c r="N908">
        <v>0</v>
      </c>
      <c r="O908">
        <v>235</v>
      </c>
      <c r="P908" t="str">
        <f t="shared" si="85"/>
        <v>Normal</v>
      </c>
      <c r="Q908">
        <v>129</v>
      </c>
      <c r="R908">
        <v>94</v>
      </c>
      <c r="S908">
        <v>23.71</v>
      </c>
      <c r="T908" t="str">
        <f t="shared" si="86"/>
        <v>Normal</v>
      </c>
      <c r="U908">
        <v>102</v>
      </c>
      <c r="V908">
        <v>81</v>
      </c>
      <c r="W908" t="str">
        <f t="shared" si="89"/>
        <v>Normal</v>
      </c>
      <c r="X908">
        <v>0</v>
      </c>
    </row>
    <row r="909" spans="1:24" ht="14.5" thickBot="1" x14ac:dyDescent="0.35">
      <c r="A909">
        <v>0</v>
      </c>
      <c r="B909" t="str">
        <f t="shared" si="87"/>
        <v>Female</v>
      </c>
      <c r="C909" s="8">
        <v>41</v>
      </c>
      <c r="D909" t="str">
        <f t="shared" si="88"/>
        <v>Middle Age</v>
      </c>
      <c r="E909">
        <v>1</v>
      </c>
      <c r="F909" t="str">
        <f>HLOOKUP(E909, LookUP_Table!$A$6:$D$7, 2, FALSE)</f>
        <v>Primary</v>
      </c>
      <c r="G909" t="str">
        <f>IFERROR(VLOOKUP(E909, LookUP_Table!$A$1:$B$4, 2, FALSE), "")</f>
        <v>Primary</v>
      </c>
      <c r="H909">
        <v>1</v>
      </c>
      <c r="I909">
        <v>9</v>
      </c>
      <c r="J909" t="str">
        <f t="shared" si="84"/>
        <v>Smoker</v>
      </c>
      <c r="K909">
        <v>0</v>
      </c>
      <c r="L909">
        <v>0</v>
      </c>
      <c r="M909">
        <v>0</v>
      </c>
      <c r="N909">
        <v>0</v>
      </c>
      <c r="O909">
        <v>171</v>
      </c>
      <c r="P909" t="str">
        <f t="shared" si="85"/>
        <v>Normal</v>
      </c>
      <c r="Q909">
        <v>135</v>
      </c>
      <c r="R909">
        <v>82.5</v>
      </c>
      <c r="S909">
        <v>24.35</v>
      </c>
      <c r="T909" t="str">
        <f t="shared" si="86"/>
        <v>Normal</v>
      </c>
      <c r="U909">
        <v>79</v>
      </c>
      <c r="V909">
        <v>82</v>
      </c>
      <c r="W909" t="str">
        <f t="shared" si="89"/>
        <v>Normal</v>
      </c>
      <c r="X909">
        <v>0</v>
      </c>
    </row>
    <row r="910" spans="1:24" ht="14.5" thickBot="1" x14ac:dyDescent="0.35">
      <c r="A910">
        <v>1</v>
      </c>
      <c r="B910" t="str">
        <f t="shared" si="87"/>
        <v>Male</v>
      </c>
      <c r="C910" s="8">
        <v>41</v>
      </c>
      <c r="D910" t="str">
        <f t="shared" si="88"/>
        <v>Middle Age</v>
      </c>
      <c r="E910">
        <v>2</v>
      </c>
      <c r="F910" t="str">
        <f>HLOOKUP(E910, LookUP_Table!$A$6:$D$7, 2, FALSE)</f>
        <v>Secondary</v>
      </c>
      <c r="G910" t="str">
        <f>IFERROR(VLOOKUP(E910, LookUP_Table!$A$1:$B$4, 2, FALSE), "")</f>
        <v>Secondary</v>
      </c>
      <c r="H910">
        <v>0</v>
      </c>
      <c r="I910">
        <v>0</v>
      </c>
      <c r="J910" t="str">
        <f t="shared" si="84"/>
        <v>Non-Smoker</v>
      </c>
      <c r="K910">
        <v>0</v>
      </c>
      <c r="L910">
        <v>0</v>
      </c>
      <c r="M910">
        <v>0</v>
      </c>
      <c r="N910">
        <v>0</v>
      </c>
      <c r="O910">
        <v>246</v>
      </c>
      <c r="P910" t="str">
        <f t="shared" si="85"/>
        <v>High</v>
      </c>
      <c r="Q910">
        <v>111.5</v>
      </c>
      <c r="R910">
        <v>67</v>
      </c>
      <c r="S910">
        <v>18.760000000000002</v>
      </c>
      <c r="T910" t="str">
        <f t="shared" si="86"/>
        <v>Normal</v>
      </c>
      <c r="U910">
        <v>65</v>
      </c>
      <c r="V910">
        <v>60</v>
      </c>
      <c r="W910" t="str">
        <f t="shared" si="89"/>
        <v>Normal</v>
      </c>
      <c r="X910">
        <v>0</v>
      </c>
    </row>
    <row r="911" spans="1:24" ht="14.5" thickBot="1" x14ac:dyDescent="0.35">
      <c r="A911">
        <v>0</v>
      </c>
      <c r="B911" t="str">
        <f t="shared" si="87"/>
        <v>Female</v>
      </c>
      <c r="C911" s="8">
        <v>41</v>
      </c>
      <c r="D911" t="str">
        <f t="shared" si="88"/>
        <v>Middle Age</v>
      </c>
      <c r="E911">
        <v>1</v>
      </c>
      <c r="F911" t="str">
        <f>HLOOKUP(E911, LookUP_Table!$A$6:$D$7, 2, FALSE)</f>
        <v>Primary</v>
      </c>
      <c r="G911" t="str">
        <f>IFERROR(VLOOKUP(E911, LookUP_Table!$A$1:$B$4, 2, FALSE), "")</f>
        <v>Primary</v>
      </c>
      <c r="H911">
        <v>0</v>
      </c>
      <c r="I911">
        <v>0</v>
      </c>
      <c r="J911" t="str">
        <f t="shared" si="84"/>
        <v>Non-Smoker</v>
      </c>
      <c r="K911">
        <v>0</v>
      </c>
      <c r="L911">
        <v>0</v>
      </c>
      <c r="M911">
        <v>0</v>
      </c>
      <c r="N911">
        <v>0</v>
      </c>
      <c r="O911">
        <v>179</v>
      </c>
      <c r="P911" t="str">
        <f t="shared" si="85"/>
        <v>Normal</v>
      </c>
      <c r="Q911">
        <v>111</v>
      </c>
      <c r="R911">
        <v>79</v>
      </c>
      <c r="S911">
        <v>25.87</v>
      </c>
      <c r="T911" t="str">
        <f t="shared" si="86"/>
        <v>Overweight</v>
      </c>
      <c r="U911">
        <v>85</v>
      </c>
      <c r="V911">
        <v>82</v>
      </c>
      <c r="W911" t="str">
        <f t="shared" si="89"/>
        <v>Normal</v>
      </c>
      <c r="X911">
        <v>0</v>
      </c>
    </row>
    <row r="912" spans="1:24" ht="14.5" thickBot="1" x14ac:dyDescent="0.35">
      <c r="A912">
        <v>0</v>
      </c>
      <c r="B912" t="str">
        <f t="shared" si="87"/>
        <v>Female</v>
      </c>
      <c r="C912" s="8">
        <v>41</v>
      </c>
      <c r="D912" t="str">
        <f t="shared" si="88"/>
        <v>Middle Age</v>
      </c>
      <c r="E912">
        <v>4</v>
      </c>
      <c r="F912" t="str">
        <f>HLOOKUP(E912, LookUP_Table!$A$6:$D$7, 2, FALSE)</f>
        <v>Post Graduate</v>
      </c>
      <c r="G912" t="str">
        <f>IFERROR(VLOOKUP(E912, LookUP_Table!$A$1:$B$4, 2, FALSE), "")</f>
        <v>Post Graduate</v>
      </c>
      <c r="H912">
        <v>0</v>
      </c>
      <c r="I912">
        <v>0</v>
      </c>
      <c r="J912" t="str">
        <f t="shared" si="84"/>
        <v>Non-Smoker</v>
      </c>
      <c r="K912">
        <v>0</v>
      </c>
      <c r="L912">
        <v>0</v>
      </c>
      <c r="M912">
        <v>0</v>
      </c>
      <c r="N912">
        <v>0</v>
      </c>
      <c r="O912">
        <v>240</v>
      </c>
      <c r="P912" t="str">
        <f t="shared" si="85"/>
        <v>Normal</v>
      </c>
      <c r="Q912">
        <v>118</v>
      </c>
      <c r="R912">
        <v>81</v>
      </c>
      <c r="S912">
        <v>25.48</v>
      </c>
      <c r="T912" t="str">
        <f t="shared" si="86"/>
        <v>Overweight</v>
      </c>
      <c r="U912">
        <v>80</v>
      </c>
      <c r="V912">
        <v>80</v>
      </c>
      <c r="W912" t="str">
        <f t="shared" si="89"/>
        <v>Normal</v>
      </c>
      <c r="X912">
        <v>0</v>
      </c>
    </row>
    <row r="913" spans="1:24" ht="14.5" thickBot="1" x14ac:dyDescent="0.35">
      <c r="A913">
        <v>1</v>
      </c>
      <c r="B913" t="str">
        <f t="shared" si="87"/>
        <v>Male</v>
      </c>
      <c r="C913" s="8">
        <v>41</v>
      </c>
      <c r="D913" t="str">
        <f t="shared" si="88"/>
        <v>Middle Age</v>
      </c>
      <c r="E913">
        <v>4</v>
      </c>
      <c r="F913" t="str">
        <f>HLOOKUP(E913, LookUP_Table!$A$6:$D$7, 2, FALSE)</f>
        <v>Post Graduate</v>
      </c>
      <c r="G913" t="str">
        <f>IFERROR(VLOOKUP(E913, LookUP_Table!$A$1:$B$4, 2, FALSE), "")</f>
        <v>Post Graduate</v>
      </c>
      <c r="H913">
        <v>1</v>
      </c>
      <c r="I913">
        <v>40</v>
      </c>
      <c r="J913" t="str">
        <f t="shared" si="84"/>
        <v>Smoker</v>
      </c>
      <c r="K913">
        <v>0</v>
      </c>
      <c r="L913">
        <v>0</v>
      </c>
      <c r="M913">
        <v>0</v>
      </c>
      <c r="N913">
        <v>0</v>
      </c>
      <c r="O913">
        <v>254</v>
      </c>
      <c r="P913" t="str">
        <f t="shared" si="85"/>
        <v>High</v>
      </c>
      <c r="Q913">
        <v>141</v>
      </c>
      <c r="R913">
        <v>100</v>
      </c>
      <c r="S913">
        <v>27.68</v>
      </c>
      <c r="T913" t="str">
        <f t="shared" si="86"/>
        <v>Overweight</v>
      </c>
      <c r="U913">
        <v>110</v>
      </c>
      <c r="V913">
        <v>81.96365524402907</v>
      </c>
      <c r="W913" t="str">
        <f t="shared" si="89"/>
        <v>Normal</v>
      </c>
      <c r="X913">
        <v>1</v>
      </c>
    </row>
    <row r="914" spans="1:24" ht="14.5" thickBot="1" x14ac:dyDescent="0.35">
      <c r="A914">
        <v>0</v>
      </c>
      <c r="B914" t="str">
        <f t="shared" si="87"/>
        <v>Female</v>
      </c>
      <c r="C914" s="8">
        <v>41</v>
      </c>
      <c r="D914" t="str">
        <f t="shared" si="88"/>
        <v>Middle Age</v>
      </c>
      <c r="E914">
        <v>2</v>
      </c>
      <c r="F914" t="str">
        <f>HLOOKUP(E914, LookUP_Table!$A$6:$D$7, 2, FALSE)</f>
        <v>Secondary</v>
      </c>
      <c r="G914" t="str">
        <f>IFERROR(VLOOKUP(E914, LookUP_Table!$A$1:$B$4, 2, FALSE), "")</f>
        <v>Secondary</v>
      </c>
      <c r="H914">
        <v>1</v>
      </c>
      <c r="I914">
        <v>14</v>
      </c>
      <c r="J914" t="str">
        <f t="shared" si="84"/>
        <v>Smoker</v>
      </c>
      <c r="K914">
        <v>0</v>
      </c>
      <c r="L914">
        <v>0</v>
      </c>
      <c r="M914">
        <v>1</v>
      </c>
      <c r="N914">
        <v>0</v>
      </c>
      <c r="O914">
        <v>188</v>
      </c>
      <c r="P914" t="str">
        <f t="shared" si="85"/>
        <v>Normal</v>
      </c>
      <c r="Q914">
        <v>145</v>
      </c>
      <c r="R914">
        <v>99</v>
      </c>
      <c r="S914">
        <v>28.6</v>
      </c>
      <c r="T914" t="str">
        <f t="shared" si="86"/>
        <v>Overweight</v>
      </c>
      <c r="U914">
        <v>85</v>
      </c>
      <c r="V914">
        <v>74</v>
      </c>
      <c r="W914" t="str">
        <f t="shared" si="89"/>
        <v>Normal</v>
      </c>
      <c r="X914">
        <v>0</v>
      </c>
    </row>
    <row r="915" spans="1:24" ht="14.5" thickBot="1" x14ac:dyDescent="0.35">
      <c r="A915">
        <v>1</v>
      </c>
      <c r="B915" t="str">
        <f t="shared" si="87"/>
        <v>Male</v>
      </c>
      <c r="C915" s="8">
        <v>41</v>
      </c>
      <c r="D915" t="str">
        <f t="shared" si="88"/>
        <v>Middle Age</v>
      </c>
      <c r="E915">
        <v>2</v>
      </c>
      <c r="F915" t="str">
        <f>HLOOKUP(E915, LookUP_Table!$A$6:$D$7, 2, FALSE)</f>
        <v>Secondary</v>
      </c>
      <c r="G915" t="str">
        <f>IFERROR(VLOOKUP(E915, LookUP_Table!$A$1:$B$4, 2, FALSE), "")</f>
        <v>Secondary</v>
      </c>
      <c r="H915">
        <v>1</v>
      </c>
      <c r="I915">
        <v>15</v>
      </c>
      <c r="J915" t="str">
        <f t="shared" si="84"/>
        <v>Smoker</v>
      </c>
      <c r="K915">
        <v>0</v>
      </c>
      <c r="L915">
        <v>0</v>
      </c>
      <c r="M915">
        <v>0</v>
      </c>
      <c r="N915">
        <v>0</v>
      </c>
      <c r="O915">
        <v>200</v>
      </c>
      <c r="P915" t="str">
        <f t="shared" si="85"/>
        <v>Normal</v>
      </c>
      <c r="Q915">
        <v>118</v>
      </c>
      <c r="R915">
        <v>87</v>
      </c>
      <c r="S915">
        <v>21.28</v>
      </c>
      <c r="T915" t="str">
        <f t="shared" si="86"/>
        <v>Normal</v>
      </c>
      <c r="U915">
        <v>73</v>
      </c>
      <c r="V915">
        <v>71</v>
      </c>
      <c r="W915" t="str">
        <f t="shared" si="89"/>
        <v>Normal</v>
      </c>
      <c r="X915">
        <v>0</v>
      </c>
    </row>
    <row r="916" spans="1:24" ht="14.5" thickBot="1" x14ac:dyDescent="0.35">
      <c r="A916">
        <v>1</v>
      </c>
      <c r="B916" t="str">
        <f t="shared" si="87"/>
        <v>Male</v>
      </c>
      <c r="C916" s="8">
        <v>41</v>
      </c>
      <c r="D916" t="str">
        <f t="shared" si="88"/>
        <v>Middle Age</v>
      </c>
      <c r="E916">
        <v>2</v>
      </c>
      <c r="F916" t="str">
        <f>HLOOKUP(E916, LookUP_Table!$A$6:$D$7, 2, FALSE)</f>
        <v>Secondary</v>
      </c>
      <c r="G916" t="str">
        <f>IFERROR(VLOOKUP(E916, LookUP_Table!$A$1:$B$4, 2, FALSE), "")</f>
        <v>Secondary</v>
      </c>
      <c r="H916">
        <v>1</v>
      </c>
      <c r="I916">
        <v>20</v>
      </c>
      <c r="J916" t="str">
        <f t="shared" si="84"/>
        <v>Smoker</v>
      </c>
      <c r="K916">
        <v>0</v>
      </c>
      <c r="L916">
        <v>0</v>
      </c>
      <c r="M916">
        <v>0</v>
      </c>
      <c r="N916">
        <v>0</v>
      </c>
      <c r="O916">
        <v>206</v>
      </c>
      <c r="P916" t="str">
        <f t="shared" si="85"/>
        <v>Normal</v>
      </c>
      <c r="Q916">
        <v>124</v>
      </c>
      <c r="R916">
        <v>89</v>
      </c>
      <c r="S916">
        <v>27.63</v>
      </c>
      <c r="T916" t="str">
        <f t="shared" si="86"/>
        <v>Overweight</v>
      </c>
      <c r="U916">
        <v>80</v>
      </c>
      <c r="V916">
        <v>70</v>
      </c>
      <c r="W916" t="str">
        <f t="shared" si="89"/>
        <v>Normal</v>
      </c>
      <c r="X916">
        <v>0</v>
      </c>
    </row>
    <row r="917" spans="1:24" ht="14.5" thickBot="1" x14ac:dyDescent="0.35">
      <c r="A917">
        <v>1</v>
      </c>
      <c r="B917" t="str">
        <f t="shared" si="87"/>
        <v>Male</v>
      </c>
      <c r="C917" s="8">
        <v>41</v>
      </c>
      <c r="D917" t="str">
        <f t="shared" si="88"/>
        <v>Middle Age</v>
      </c>
      <c r="E917">
        <v>2</v>
      </c>
      <c r="F917" t="str">
        <f>HLOOKUP(E917, LookUP_Table!$A$6:$D$7, 2, FALSE)</f>
        <v>Secondary</v>
      </c>
      <c r="G917" t="str">
        <f>IFERROR(VLOOKUP(E917, LookUP_Table!$A$1:$B$4, 2, FALSE), "")</f>
        <v>Secondary</v>
      </c>
      <c r="H917">
        <v>1</v>
      </c>
      <c r="I917">
        <v>15</v>
      </c>
      <c r="J917" t="str">
        <f t="shared" si="84"/>
        <v>Smoker</v>
      </c>
      <c r="K917">
        <v>0</v>
      </c>
      <c r="L917">
        <v>0</v>
      </c>
      <c r="M917">
        <v>0</v>
      </c>
      <c r="N917">
        <v>1</v>
      </c>
      <c r="O917">
        <v>155</v>
      </c>
      <c r="P917" t="str">
        <f t="shared" si="85"/>
        <v>Normal</v>
      </c>
      <c r="Q917">
        <v>107</v>
      </c>
      <c r="R917">
        <v>81</v>
      </c>
      <c r="S917">
        <v>20.96</v>
      </c>
      <c r="T917" t="str">
        <f t="shared" si="86"/>
        <v>Normal</v>
      </c>
      <c r="U917">
        <v>90</v>
      </c>
      <c r="V917">
        <v>191</v>
      </c>
      <c r="W917" t="str">
        <f t="shared" si="89"/>
        <v>Diabetes</v>
      </c>
      <c r="X917">
        <v>0</v>
      </c>
    </row>
    <row r="918" spans="1:24" ht="14.5" thickBot="1" x14ac:dyDescent="0.35">
      <c r="A918">
        <v>1</v>
      </c>
      <c r="B918" t="str">
        <f t="shared" si="87"/>
        <v>Male</v>
      </c>
      <c r="C918" s="8">
        <v>41</v>
      </c>
      <c r="D918" t="str">
        <f t="shared" si="88"/>
        <v>Middle Age</v>
      </c>
      <c r="E918">
        <v>2</v>
      </c>
      <c r="F918" t="str">
        <f>HLOOKUP(E918, LookUP_Table!$A$6:$D$7, 2, FALSE)</f>
        <v>Secondary</v>
      </c>
      <c r="G918" t="str">
        <f>IFERROR(VLOOKUP(E918, LookUP_Table!$A$1:$B$4, 2, FALSE), "")</f>
        <v>Secondary</v>
      </c>
      <c r="H918">
        <v>1</v>
      </c>
      <c r="I918">
        <v>15</v>
      </c>
      <c r="J918" t="str">
        <f t="shared" si="84"/>
        <v>Smoker</v>
      </c>
      <c r="K918">
        <v>0</v>
      </c>
      <c r="L918">
        <v>0</v>
      </c>
      <c r="M918">
        <v>0</v>
      </c>
      <c r="N918">
        <v>0</v>
      </c>
      <c r="O918">
        <v>239</v>
      </c>
      <c r="P918" t="str">
        <f t="shared" si="85"/>
        <v>Normal</v>
      </c>
      <c r="Q918">
        <v>101</v>
      </c>
      <c r="R918">
        <v>69</v>
      </c>
      <c r="S918">
        <v>26.95</v>
      </c>
      <c r="T918" t="str">
        <f t="shared" si="86"/>
        <v>Overweight</v>
      </c>
      <c r="U918">
        <v>80</v>
      </c>
      <c r="V918">
        <v>81.96365524402907</v>
      </c>
      <c r="W918" t="str">
        <f t="shared" si="89"/>
        <v>Normal</v>
      </c>
      <c r="X918">
        <v>0</v>
      </c>
    </row>
    <row r="919" spans="1:24" ht="14.5" thickBot="1" x14ac:dyDescent="0.35">
      <c r="A919">
        <v>0</v>
      </c>
      <c r="B919" t="str">
        <f t="shared" si="87"/>
        <v>Female</v>
      </c>
      <c r="C919" s="8">
        <v>41</v>
      </c>
      <c r="D919" t="str">
        <f t="shared" si="88"/>
        <v>Middle Age</v>
      </c>
      <c r="E919">
        <v>2</v>
      </c>
      <c r="F919" t="str">
        <f>HLOOKUP(E919, LookUP_Table!$A$6:$D$7, 2, FALSE)</f>
        <v>Secondary</v>
      </c>
      <c r="G919" t="str">
        <f>IFERROR(VLOOKUP(E919, LookUP_Table!$A$1:$B$4, 2, FALSE), "")</f>
        <v>Secondary</v>
      </c>
      <c r="H919">
        <v>1</v>
      </c>
      <c r="I919">
        <v>5</v>
      </c>
      <c r="J919" t="str">
        <f t="shared" si="84"/>
        <v>Smoker</v>
      </c>
      <c r="K919">
        <v>0</v>
      </c>
      <c r="L919">
        <v>0</v>
      </c>
      <c r="M919">
        <v>0</v>
      </c>
      <c r="N919">
        <v>0</v>
      </c>
      <c r="O919">
        <v>205</v>
      </c>
      <c r="P919" t="str">
        <f t="shared" si="85"/>
        <v>Normal</v>
      </c>
      <c r="Q919">
        <v>105</v>
      </c>
      <c r="R919">
        <v>74</v>
      </c>
      <c r="S919">
        <v>20.85</v>
      </c>
      <c r="T919" t="str">
        <f t="shared" si="86"/>
        <v>Normal</v>
      </c>
      <c r="U919">
        <v>87</v>
      </c>
      <c r="V919">
        <v>81.96365524402907</v>
      </c>
      <c r="W919" t="str">
        <f t="shared" si="89"/>
        <v>Normal</v>
      </c>
      <c r="X919">
        <v>0</v>
      </c>
    </row>
    <row r="920" spans="1:24" ht="14.5" thickBot="1" x14ac:dyDescent="0.35">
      <c r="A920">
        <v>1</v>
      </c>
      <c r="B920" t="str">
        <f t="shared" si="87"/>
        <v>Male</v>
      </c>
      <c r="C920" s="8">
        <v>41</v>
      </c>
      <c r="D920" t="str">
        <f t="shared" si="88"/>
        <v>Middle Age</v>
      </c>
      <c r="E920">
        <v>2</v>
      </c>
      <c r="F920" t="str">
        <f>HLOOKUP(E920, LookUP_Table!$A$6:$D$7, 2, FALSE)</f>
        <v>Secondary</v>
      </c>
      <c r="G920" t="str">
        <f>IFERROR(VLOOKUP(E920, LookUP_Table!$A$1:$B$4, 2, FALSE), "")</f>
        <v>Secondary</v>
      </c>
      <c r="H920">
        <v>1</v>
      </c>
      <c r="I920">
        <v>43</v>
      </c>
      <c r="J920" t="str">
        <f t="shared" si="84"/>
        <v>Smoker</v>
      </c>
      <c r="K920">
        <v>0</v>
      </c>
      <c r="L920">
        <v>0</v>
      </c>
      <c r="M920">
        <v>0</v>
      </c>
      <c r="N920">
        <v>0</v>
      </c>
      <c r="O920">
        <v>249</v>
      </c>
      <c r="P920" t="str">
        <f t="shared" si="85"/>
        <v>High</v>
      </c>
      <c r="Q920">
        <v>125</v>
      </c>
      <c r="R920">
        <v>87</v>
      </c>
      <c r="S920">
        <v>27.13</v>
      </c>
      <c r="T920" t="str">
        <f t="shared" si="86"/>
        <v>Overweight</v>
      </c>
      <c r="U920">
        <v>75</v>
      </c>
      <c r="V920">
        <v>81</v>
      </c>
      <c r="W920" t="str">
        <f t="shared" si="89"/>
        <v>Normal</v>
      </c>
      <c r="X920">
        <v>1</v>
      </c>
    </row>
    <row r="921" spans="1:24" ht="14.5" thickBot="1" x14ac:dyDescent="0.35">
      <c r="A921">
        <v>0</v>
      </c>
      <c r="B921" t="str">
        <f t="shared" si="87"/>
        <v>Female</v>
      </c>
      <c r="C921" s="8">
        <v>41</v>
      </c>
      <c r="D921" t="str">
        <f t="shared" si="88"/>
        <v>Middle Age</v>
      </c>
      <c r="E921">
        <v>4</v>
      </c>
      <c r="F921" t="str">
        <f>HLOOKUP(E921, LookUP_Table!$A$6:$D$7, 2, FALSE)</f>
        <v>Post Graduate</v>
      </c>
      <c r="G921" t="str">
        <f>IFERROR(VLOOKUP(E921, LookUP_Table!$A$1:$B$4, 2, FALSE), "")</f>
        <v>Post Graduate</v>
      </c>
      <c r="H921">
        <v>0</v>
      </c>
      <c r="I921">
        <v>0</v>
      </c>
      <c r="J921" t="str">
        <f t="shared" si="84"/>
        <v>Non-Smoker</v>
      </c>
      <c r="K921">
        <v>0</v>
      </c>
      <c r="L921">
        <v>0</v>
      </c>
      <c r="M921">
        <v>0</v>
      </c>
      <c r="N921">
        <v>0</v>
      </c>
      <c r="O921">
        <v>199</v>
      </c>
      <c r="P921" t="str">
        <f t="shared" si="85"/>
        <v>Normal</v>
      </c>
      <c r="Q921">
        <v>111</v>
      </c>
      <c r="R921">
        <v>70</v>
      </c>
      <c r="S921">
        <v>21.99</v>
      </c>
      <c r="T921" t="str">
        <f t="shared" si="86"/>
        <v>Normal</v>
      </c>
      <c r="U921">
        <v>65</v>
      </c>
      <c r="V921">
        <v>82</v>
      </c>
      <c r="W921" t="str">
        <f t="shared" si="89"/>
        <v>Normal</v>
      </c>
      <c r="X921">
        <v>0</v>
      </c>
    </row>
    <row r="922" spans="1:24" ht="14.5" thickBot="1" x14ac:dyDescent="0.35">
      <c r="A922">
        <v>1</v>
      </c>
      <c r="B922" t="str">
        <f t="shared" si="87"/>
        <v>Male</v>
      </c>
      <c r="C922" s="8">
        <v>41</v>
      </c>
      <c r="D922" t="str">
        <f t="shared" si="88"/>
        <v>Middle Age</v>
      </c>
      <c r="E922">
        <v>3</v>
      </c>
      <c r="F922" t="str">
        <f>HLOOKUP(E922, LookUP_Table!$A$6:$D$7, 2, FALSE)</f>
        <v>Graduate</v>
      </c>
      <c r="G922" t="str">
        <f>IFERROR(VLOOKUP(E922, LookUP_Table!$A$1:$B$4, 2, FALSE), "")</f>
        <v>Graduate</v>
      </c>
      <c r="H922">
        <v>1</v>
      </c>
      <c r="I922">
        <v>30</v>
      </c>
      <c r="J922" t="str">
        <f t="shared" si="84"/>
        <v>Smoker</v>
      </c>
      <c r="K922">
        <v>0</v>
      </c>
      <c r="L922">
        <v>0</v>
      </c>
      <c r="M922">
        <v>0</v>
      </c>
      <c r="N922">
        <v>0</v>
      </c>
      <c r="O922">
        <v>210</v>
      </c>
      <c r="P922" t="str">
        <f t="shared" si="85"/>
        <v>Normal</v>
      </c>
      <c r="Q922">
        <v>132.5</v>
      </c>
      <c r="R922">
        <v>85</v>
      </c>
      <c r="S922">
        <v>28.62</v>
      </c>
      <c r="T922" t="str">
        <f t="shared" si="86"/>
        <v>Overweight</v>
      </c>
      <c r="U922">
        <v>68</v>
      </c>
      <c r="V922">
        <v>70</v>
      </c>
      <c r="W922" t="str">
        <f t="shared" si="89"/>
        <v>Normal</v>
      </c>
      <c r="X922">
        <v>0</v>
      </c>
    </row>
    <row r="923" spans="1:24" ht="14.5" thickBot="1" x14ac:dyDescent="0.35">
      <c r="A923">
        <v>0</v>
      </c>
      <c r="B923" t="str">
        <f t="shared" si="87"/>
        <v>Female</v>
      </c>
      <c r="C923" s="8">
        <v>41</v>
      </c>
      <c r="D923" t="str">
        <f t="shared" si="88"/>
        <v>Middle Age</v>
      </c>
      <c r="E923">
        <v>1</v>
      </c>
      <c r="F923" t="str">
        <f>HLOOKUP(E923, LookUP_Table!$A$6:$D$7, 2, FALSE)</f>
        <v>Primary</v>
      </c>
      <c r="G923" t="str">
        <f>IFERROR(VLOOKUP(E923, LookUP_Table!$A$1:$B$4, 2, FALSE), "")</f>
        <v>Primary</v>
      </c>
      <c r="H923">
        <v>0</v>
      </c>
      <c r="I923">
        <v>0</v>
      </c>
      <c r="J923" t="str">
        <f t="shared" si="84"/>
        <v>Non-Smoker</v>
      </c>
      <c r="K923">
        <v>0</v>
      </c>
      <c r="L923">
        <v>0</v>
      </c>
      <c r="M923">
        <v>1</v>
      </c>
      <c r="N923">
        <v>0</v>
      </c>
      <c r="O923">
        <v>229</v>
      </c>
      <c r="P923" t="str">
        <f t="shared" si="85"/>
        <v>Normal</v>
      </c>
      <c r="Q923">
        <v>150</v>
      </c>
      <c r="R923">
        <v>89</v>
      </c>
      <c r="S923">
        <v>36.07</v>
      </c>
      <c r="T923" t="str">
        <f t="shared" si="86"/>
        <v>Obese</v>
      </c>
      <c r="U923">
        <v>75</v>
      </c>
      <c r="V923">
        <v>92</v>
      </c>
      <c r="W923" t="str">
        <f t="shared" si="89"/>
        <v>Normal</v>
      </c>
      <c r="X923">
        <v>0</v>
      </c>
    </row>
    <row r="924" spans="1:24" ht="14.5" thickBot="1" x14ac:dyDescent="0.35">
      <c r="A924">
        <v>0</v>
      </c>
      <c r="B924" t="str">
        <f t="shared" si="87"/>
        <v>Female</v>
      </c>
      <c r="C924" s="8">
        <v>42</v>
      </c>
      <c r="D924" t="str">
        <f t="shared" si="88"/>
        <v>Middle Age</v>
      </c>
      <c r="E924">
        <v>2</v>
      </c>
      <c r="F924" t="str">
        <f>HLOOKUP(E924, LookUP_Table!$A$6:$D$7, 2, FALSE)</f>
        <v>Secondary</v>
      </c>
      <c r="G924" t="str">
        <f>IFERROR(VLOOKUP(E924, LookUP_Table!$A$1:$B$4, 2, FALSE), "")</f>
        <v>Secondary</v>
      </c>
      <c r="H924">
        <v>1</v>
      </c>
      <c r="I924">
        <v>30</v>
      </c>
      <c r="J924" t="str">
        <f t="shared" si="84"/>
        <v>Smoker</v>
      </c>
      <c r="K924">
        <v>0</v>
      </c>
      <c r="L924">
        <v>0</v>
      </c>
      <c r="M924">
        <v>0</v>
      </c>
      <c r="N924">
        <v>0</v>
      </c>
      <c r="O924">
        <v>190</v>
      </c>
      <c r="P924" t="str">
        <f t="shared" si="85"/>
        <v>Normal</v>
      </c>
      <c r="Q924">
        <v>108</v>
      </c>
      <c r="R924">
        <v>70.5</v>
      </c>
      <c r="S924">
        <v>21.59</v>
      </c>
      <c r="T924" t="str">
        <f t="shared" si="86"/>
        <v>Normal</v>
      </c>
      <c r="U924">
        <v>72</v>
      </c>
      <c r="V924">
        <v>85</v>
      </c>
      <c r="W924" t="str">
        <f t="shared" si="89"/>
        <v>Normal</v>
      </c>
      <c r="X924">
        <v>0</v>
      </c>
    </row>
    <row r="925" spans="1:24" ht="14.5" thickBot="1" x14ac:dyDescent="0.35">
      <c r="A925">
        <v>0</v>
      </c>
      <c r="B925" t="str">
        <f t="shared" si="87"/>
        <v>Female</v>
      </c>
      <c r="C925" s="8">
        <v>42</v>
      </c>
      <c r="D925" t="str">
        <f t="shared" si="88"/>
        <v>Middle Age</v>
      </c>
      <c r="E925">
        <v>1</v>
      </c>
      <c r="F925" t="str">
        <f>HLOOKUP(E925, LookUP_Table!$A$6:$D$7, 2, FALSE)</f>
        <v>Primary</v>
      </c>
      <c r="G925" t="str">
        <f>IFERROR(VLOOKUP(E925, LookUP_Table!$A$1:$B$4, 2, FALSE), "")</f>
        <v>Primary</v>
      </c>
      <c r="H925">
        <v>1</v>
      </c>
      <c r="I925">
        <v>1</v>
      </c>
      <c r="J925" t="str">
        <f t="shared" si="84"/>
        <v>Smoker</v>
      </c>
      <c r="K925">
        <v>0</v>
      </c>
      <c r="L925">
        <v>0</v>
      </c>
      <c r="M925">
        <v>1</v>
      </c>
      <c r="N925">
        <v>0</v>
      </c>
      <c r="O925">
        <v>233</v>
      </c>
      <c r="P925" t="str">
        <f t="shared" si="85"/>
        <v>Normal</v>
      </c>
      <c r="Q925">
        <v>153</v>
      </c>
      <c r="R925">
        <v>101</v>
      </c>
      <c r="S925">
        <v>28.93</v>
      </c>
      <c r="T925" t="str">
        <f t="shared" si="86"/>
        <v>Overweight</v>
      </c>
      <c r="U925">
        <v>60</v>
      </c>
      <c r="V925">
        <v>90</v>
      </c>
      <c r="W925" t="str">
        <f t="shared" si="89"/>
        <v>Normal</v>
      </c>
      <c r="X925">
        <v>0</v>
      </c>
    </row>
    <row r="926" spans="1:24" ht="14.5" thickBot="1" x14ac:dyDescent="0.35">
      <c r="A926">
        <v>1</v>
      </c>
      <c r="B926" t="str">
        <f t="shared" si="87"/>
        <v>Male</v>
      </c>
      <c r="C926" s="8">
        <v>42</v>
      </c>
      <c r="D926" t="str">
        <f t="shared" si="88"/>
        <v>Middle Age</v>
      </c>
      <c r="E926">
        <v>3</v>
      </c>
      <c r="F926" t="str">
        <f>HLOOKUP(E926, LookUP_Table!$A$6:$D$7, 2, FALSE)</f>
        <v>Graduate</v>
      </c>
      <c r="G926" t="str">
        <f>IFERROR(VLOOKUP(E926, LookUP_Table!$A$1:$B$4, 2, FALSE), "")</f>
        <v>Graduate</v>
      </c>
      <c r="H926">
        <v>1</v>
      </c>
      <c r="I926">
        <v>10</v>
      </c>
      <c r="J926" t="str">
        <f t="shared" si="84"/>
        <v>Smoker</v>
      </c>
      <c r="K926">
        <v>0</v>
      </c>
      <c r="L926">
        <v>0</v>
      </c>
      <c r="M926">
        <v>0</v>
      </c>
      <c r="N926">
        <v>0</v>
      </c>
      <c r="O926">
        <v>175</v>
      </c>
      <c r="P926" t="str">
        <f t="shared" si="85"/>
        <v>Normal</v>
      </c>
      <c r="Q926">
        <v>116</v>
      </c>
      <c r="R926">
        <v>72.5</v>
      </c>
      <c r="S926">
        <v>28.61</v>
      </c>
      <c r="T926" t="str">
        <f t="shared" si="86"/>
        <v>Overweight</v>
      </c>
      <c r="U926">
        <v>63</v>
      </c>
      <c r="V926">
        <v>95</v>
      </c>
      <c r="W926" t="str">
        <f t="shared" si="89"/>
        <v>Normal</v>
      </c>
      <c r="X926">
        <v>0</v>
      </c>
    </row>
    <row r="927" spans="1:24" ht="14.5" thickBot="1" x14ac:dyDescent="0.35">
      <c r="A927">
        <v>0</v>
      </c>
      <c r="B927" t="str">
        <f t="shared" si="87"/>
        <v>Female</v>
      </c>
      <c r="C927" s="8">
        <v>42</v>
      </c>
      <c r="D927" t="str">
        <f t="shared" si="88"/>
        <v>Middle Age</v>
      </c>
      <c r="E927">
        <v>1</v>
      </c>
      <c r="F927" t="str">
        <f>HLOOKUP(E927, LookUP_Table!$A$6:$D$7, 2, FALSE)</f>
        <v>Primary</v>
      </c>
      <c r="G927" t="str">
        <f>IFERROR(VLOOKUP(E927, LookUP_Table!$A$1:$B$4, 2, FALSE), "")</f>
        <v>Primary</v>
      </c>
      <c r="H927">
        <v>1</v>
      </c>
      <c r="I927">
        <v>20</v>
      </c>
      <c r="J927" t="str">
        <f t="shared" si="84"/>
        <v>Smoker</v>
      </c>
      <c r="K927">
        <v>0</v>
      </c>
      <c r="L927">
        <v>0</v>
      </c>
      <c r="M927">
        <v>0</v>
      </c>
      <c r="N927">
        <v>0</v>
      </c>
      <c r="O927">
        <v>173</v>
      </c>
      <c r="P927" t="str">
        <f t="shared" si="85"/>
        <v>Normal</v>
      </c>
      <c r="Q927">
        <v>100</v>
      </c>
      <c r="R927">
        <v>63</v>
      </c>
      <c r="S927">
        <v>23.25</v>
      </c>
      <c r="T927" t="str">
        <f t="shared" si="86"/>
        <v>Normal</v>
      </c>
      <c r="U927">
        <v>65</v>
      </c>
      <c r="V927">
        <v>99</v>
      </c>
      <c r="W927" t="str">
        <f t="shared" si="89"/>
        <v>Normal</v>
      </c>
      <c r="X927">
        <v>0</v>
      </c>
    </row>
    <row r="928" spans="1:24" ht="14.5" thickBot="1" x14ac:dyDescent="0.35">
      <c r="A928">
        <v>0</v>
      </c>
      <c r="B928" t="str">
        <f t="shared" si="87"/>
        <v>Female</v>
      </c>
      <c r="C928" s="8">
        <v>42</v>
      </c>
      <c r="D928" t="str">
        <f t="shared" si="88"/>
        <v>Middle Age</v>
      </c>
      <c r="E928">
        <v>4</v>
      </c>
      <c r="F928" t="str">
        <f>HLOOKUP(E928, LookUP_Table!$A$6:$D$7, 2, FALSE)</f>
        <v>Post Graduate</v>
      </c>
      <c r="G928" t="str">
        <f>IFERROR(VLOOKUP(E928, LookUP_Table!$A$1:$B$4, 2, FALSE), "")</f>
        <v>Post Graduate</v>
      </c>
      <c r="H928">
        <v>0</v>
      </c>
      <c r="I928">
        <v>0</v>
      </c>
      <c r="J928" t="str">
        <f t="shared" si="84"/>
        <v>Non-Smoker</v>
      </c>
      <c r="K928">
        <v>0</v>
      </c>
      <c r="L928">
        <v>0</v>
      </c>
      <c r="M928">
        <v>0</v>
      </c>
      <c r="N928">
        <v>0</v>
      </c>
      <c r="O928">
        <v>250</v>
      </c>
      <c r="P928" t="str">
        <f t="shared" si="85"/>
        <v>High</v>
      </c>
      <c r="Q928">
        <v>115</v>
      </c>
      <c r="R928">
        <v>79</v>
      </c>
      <c r="S928">
        <v>26.93</v>
      </c>
      <c r="T928" t="str">
        <f t="shared" si="86"/>
        <v>Overweight</v>
      </c>
      <c r="U928">
        <v>65</v>
      </c>
      <c r="V928">
        <v>79</v>
      </c>
      <c r="W928" t="str">
        <f t="shared" si="89"/>
        <v>Normal</v>
      </c>
      <c r="X928">
        <v>0</v>
      </c>
    </row>
    <row r="929" spans="1:24" ht="14.5" thickBot="1" x14ac:dyDescent="0.35">
      <c r="A929">
        <v>0</v>
      </c>
      <c r="B929" t="str">
        <f t="shared" si="87"/>
        <v>Female</v>
      </c>
      <c r="C929" s="8">
        <v>42</v>
      </c>
      <c r="D929" t="str">
        <f t="shared" si="88"/>
        <v>Middle Age</v>
      </c>
      <c r="E929">
        <v>1</v>
      </c>
      <c r="F929" t="str">
        <f>HLOOKUP(E929, LookUP_Table!$A$6:$D$7, 2, FALSE)</f>
        <v>Primary</v>
      </c>
      <c r="G929" t="str">
        <f>IFERROR(VLOOKUP(E929, LookUP_Table!$A$1:$B$4, 2, FALSE), "")</f>
        <v>Primary</v>
      </c>
      <c r="H929">
        <v>1</v>
      </c>
      <c r="I929">
        <v>15</v>
      </c>
      <c r="J929" t="str">
        <f t="shared" si="84"/>
        <v>Smoker</v>
      </c>
      <c r="K929">
        <v>0</v>
      </c>
      <c r="L929">
        <v>0</v>
      </c>
      <c r="M929">
        <v>0</v>
      </c>
      <c r="N929">
        <v>0</v>
      </c>
      <c r="O929">
        <v>214</v>
      </c>
      <c r="P929" t="str">
        <f t="shared" si="85"/>
        <v>Normal</v>
      </c>
      <c r="Q929">
        <v>110</v>
      </c>
      <c r="R929">
        <v>67</v>
      </c>
      <c r="S929">
        <v>22.54</v>
      </c>
      <c r="T929" t="str">
        <f t="shared" si="86"/>
        <v>Normal</v>
      </c>
      <c r="U929">
        <v>80</v>
      </c>
      <c r="V929">
        <v>75</v>
      </c>
      <c r="W929" t="str">
        <f t="shared" si="89"/>
        <v>Normal</v>
      </c>
      <c r="X929">
        <v>0</v>
      </c>
    </row>
    <row r="930" spans="1:24" ht="14.5" thickBot="1" x14ac:dyDescent="0.35">
      <c r="A930">
        <v>1</v>
      </c>
      <c r="B930" t="str">
        <f t="shared" si="87"/>
        <v>Male</v>
      </c>
      <c r="C930" s="8">
        <v>42</v>
      </c>
      <c r="D930" t="str">
        <f t="shared" si="88"/>
        <v>Middle Age</v>
      </c>
      <c r="E930">
        <v>3</v>
      </c>
      <c r="F930" t="str">
        <f>HLOOKUP(E930, LookUP_Table!$A$6:$D$7, 2, FALSE)</f>
        <v>Graduate</v>
      </c>
      <c r="G930" t="str">
        <f>IFERROR(VLOOKUP(E930, LookUP_Table!$A$1:$B$4, 2, FALSE), "")</f>
        <v>Graduate</v>
      </c>
      <c r="H930">
        <v>1</v>
      </c>
      <c r="I930">
        <v>10</v>
      </c>
      <c r="J930" t="str">
        <f t="shared" si="84"/>
        <v>Smoker</v>
      </c>
      <c r="K930">
        <v>0</v>
      </c>
      <c r="L930">
        <v>0</v>
      </c>
      <c r="M930">
        <v>0</v>
      </c>
      <c r="N930">
        <v>0</v>
      </c>
      <c r="O930">
        <v>225</v>
      </c>
      <c r="P930" t="str">
        <f t="shared" si="85"/>
        <v>Normal</v>
      </c>
      <c r="Q930">
        <v>128</v>
      </c>
      <c r="R930">
        <v>82</v>
      </c>
      <c r="S930">
        <v>26.79</v>
      </c>
      <c r="T930" t="str">
        <f t="shared" si="86"/>
        <v>Overweight</v>
      </c>
      <c r="U930">
        <v>70</v>
      </c>
      <c r="V930">
        <v>85</v>
      </c>
      <c r="W930" t="str">
        <f t="shared" si="89"/>
        <v>Normal</v>
      </c>
      <c r="X930">
        <v>0</v>
      </c>
    </row>
    <row r="931" spans="1:24" ht="14.5" thickBot="1" x14ac:dyDescent="0.35">
      <c r="A931">
        <v>1</v>
      </c>
      <c r="B931" t="str">
        <f t="shared" si="87"/>
        <v>Male</v>
      </c>
      <c r="C931" s="8">
        <v>42</v>
      </c>
      <c r="D931" t="str">
        <f t="shared" si="88"/>
        <v>Middle Age</v>
      </c>
      <c r="E931">
        <v>2</v>
      </c>
      <c r="F931" t="str">
        <f>HLOOKUP(E931, LookUP_Table!$A$6:$D$7, 2, FALSE)</f>
        <v>Secondary</v>
      </c>
      <c r="G931" t="str">
        <f>IFERROR(VLOOKUP(E931, LookUP_Table!$A$1:$B$4, 2, FALSE), "")</f>
        <v>Secondary</v>
      </c>
      <c r="H931">
        <v>1</v>
      </c>
      <c r="I931">
        <v>20</v>
      </c>
      <c r="J931" t="str">
        <f t="shared" si="84"/>
        <v>Smoker</v>
      </c>
      <c r="K931">
        <v>0</v>
      </c>
      <c r="L931">
        <v>0</v>
      </c>
      <c r="M931">
        <v>0</v>
      </c>
      <c r="N931">
        <v>0</v>
      </c>
      <c r="O931">
        <v>216</v>
      </c>
      <c r="P931" t="str">
        <f t="shared" si="85"/>
        <v>Normal</v>
      </c>
      <c r="Q931">
        <v>125</v>
      </c>
      <c r="R931">
        <v>86.5</v>
      </c>
      <c r="S931">
        <v>23.25</v>
      </c>
      <c r="T931" t="str">
        <f t="shared" si="86"/>
        <v>Normal</v>
      </c>
      <c r="U931">
        <v>65</v>
      </c>
      <c r="V931">
        <v>57</v>
      </c>
      <c r="W931" t="str">
        <f t="shared" si="89"/>
        <v>Normal</v>
      </c>
      <c r="X931">
        <v>0</v>
      </c>
    </row>
    <row r="932" spans="1:24" ht="14.5" thickBot="1" x14ac:dyDescent="0.35">
      <c r="A932">
        <v>0</v>
      </c>
      <c r="B932" t="str">
        <f t="shared" si="87"/>
        <v>Female</v>
      </c>
      <c r="C932" s="8">
        <v>42</v>
      </c>
      <c r="D932" t="str">
        <f t="shared" si="88"/>
        <v>Middle Age</v>
      </c>
      <c r="E932">
        <v>3</v>
      </c>
      <c r="F932" t="str">
        <f>HLOOKUP(E932, LookUP_Table!$A$6:$D$7, 2, FALSE)</f>
        <v>Graduate</v>
      </c>
      <c r="G932" t="str">
        <f>IFERROR(VLOOKUP(E932, LookUP_Table!$A$1:$B$4, 2, FALSE), "")</f>
        <v>Graduate</v>
      </c>
      <c r="H932">
        <v>0</v>
      </c>
      <c r="I932">
        <v>0</v>
      </c>
      <c r="J932" t="str">
        <f t="shared" si="84"/>
        <v>Non-Smoker</v>
      </c>
      <c r="K932">
        <v>0</v>
      </c>
      <c r="L932">
        <v>0</v>
      </c>
      <c r="M932">
        <v>0</v>
      </c>
      <c r="N932">
        <v>0</v>
      </c>
      <c r="O932">
        <v>464</v>
      </c>
      <c r="P932" t="str">
        <f t="shared" si="85"/>
        <v>High</v>
      </c>
      <c r="Q932">
        <v>128</v>
      </c>
      <c r="R932">
        <v>87</v>
      </c>
      <c r="S932">
        <v>22.9</v>
      </c>
      <c r="T932" t="str">
        <f t="shared" si="86"/>
        <v>Normal</v>
      </c>
      <c r="U932">
        <v>72</v>
      </c>
      <c r="V932">
        <v>72</v>
      </c>
      <c r="W932" t="str">
        <f t="shared" si="89"/>
        <v>Normal</v>
      </c>
      <c r="X932">
        <v>1</v>
      </c>
    </row>
    <row r="933" spans="1:24" ht="14.5" thickBot="1" x14ac:dyDescent="0.35">
      <c r="A933">
        <v>1</v>
      </c>
      <c r="B933" t="str">
        <f t="shared" si="87"/>
        <v>Male</v>
      </c>
      <c r="C933" s="8">
        <v>42</v>
      </c>
      <c r="D933" t="str">
        <f t="shared" si="88"/>
        <v>Middle Age</v>
      </c>
      <c r="E933">
        <v>2</v>
      </c>
      <c r="F933" t="str">
        <f>HLOOKUP(E933, LookUP_Table!$A$6:$D$7, 2, FALSE)</f>
        <v>Secondary</v>
      </c>
      <c r="G933" t="str">
        <f>IFERROR(VLOOKUP(E933, LookUP_Table!$A$1:$B$4, 2, FALSE), "")</f>
        <v>Secondary</v>
      </c>
      <c r="H933">
        <v>0</v>
      </c>
      <c r="I933">
        <v>0</v>
      </c>
      <c r="J933" t="str">
        <f t="shared" si="84"/>
        <v>Non-Smoker</v>
      </c>
      <c r="K933">
        <v>0</v>
      </c>
      <c r="L933">
        <v>0</v>
      </c>
      <c r="M933">
        <v>0</v>
      </c>
      <c r="N933">
        <v>0</v>
      </c>
      <c r="O933">
        <v>227</v>
      </c>
      <c r="P933" t="str">
        <f t="shared" si="85"/>
        <v>Normal</v>
      </c>
      <c r="Q933">
        <v>144</v>
      </c>
      <c r="R933">
        <v>78</v>
      </c>
      <c r="S933">
        <v>23.75</v>
      </c>
      <c r="T933" t="str">
        <f t="shared" si="86"/>
        <v>Normal</v>
      </c>
      <c r="U933">
        <v>62</v>
      </c>
      <c r="V933">
        <v>97</v>
      </c>
      <c r="W933" t="str">
        <f t="shared" si="89"/>
        <v>Normal</v>
      </c>
      <c r="X933">
        <v>1</v>
      </c>
    </row>
    <row r="934" spans="1:24" ht="14.5" thickBot="1" x14ac:dyDescent="0.35">
      <c r="A934">
        <v>0</v>
      </c>
      <c r="B934" t="str">
        <f t="shared" si="87"/>
        <v>Female</v>
      </c>
      <c r="C934" s="8">
        <v>42</v>
      </c>
      <c r="D934" t="str">
        <f t="shared" si="88"/>
        <v>Middle Age</v>
      </c>
      <c r="E934">
        <v>1</v>
      </c>
      <c r="F934" t="str">
        <f>HLOOKUP(E934, LookUP_Table!$A$6:$D$7, 2, FALSE)</f>
        <v>Primary</v>
      </c>
      <c r="G934" t="str">
        <f>IFERROR(VLOOKUP(E934, LookUP_Table!$A$1:$B$4, 2, FALSE), "")</f>
        <v>Primary</v>
      </c>
      <c r="H934">
        <v>0</v>
      </c>
      <c r="I934">
        <v>0</v>
      </c>
      <c r="J934" t="str">
        <f t="shared" si="84"/>
        <v>Non-Smoker</v>
      </c>
      <c r="K934">
        <v>0</v>
      </c>
      <c r="L934">
        <v>0</v>
      </c>
      <c r="M934">
        <v>0</v>
      </c>
      <c r="N934">
        <v>0</v>
      </c>
      <c r="O934">
        <v>165</v>
      </c>
      <c r="P934" t="str">
        <f t="shared" si="85"/>
        <v>Normal</v>
      </c>
      <c r="Q934">
        <v>108</v>
      </c>
      <c r="R934">
        <v>72.5</v>
      </c>
      <c r="S934">
        <v>24.85</v>
      </c>
      <c r="T934" t="str">
        <f t="shared" si="86"/>
        <v>Normal</v>
      </c>
      <c r="U934">
        <v>82</v>
      </c>
      <c r="V934">
        <v>87</v>
      </c>
      <c r="W934" t="str">
        <f t="shared" si="89"/>
        <v>Normal</v>
      </c>
      <c r="X934">
        <v>0</v>
      </c>
    </row>
    <row r="935" spans="1:24" ht="14.5" thickBot="1" x14ac:dyDescent="0.35">
      <c r="A935">
        <v>0</v>
      </c>
      <c r="B935" t="str">
        <f t="shared" si="87"/>
        <v>Female</v>
      </c>
      <c r="C935" s="8">
        <v>42</v>
      </c>
      <c r="D935" t="str">
        <f t="shared" si="88"/>
        <v>Middle Age</v>
      </c>
      <c r="E935">
        <v>2</v>
      </c>
      <c r="F935" t="str">
        <f>HLOOKUP(E935, LookUP_Table!$A$6:$D$7, 2, FALSE)</f>
        <v>Secondary</v>
      </c>
      <c r="G935" t="str">
        <f>IFERROR(VLOOKUP(E935, LookUP_Table!$A$1:$B$4, 2, FALSE), "")</f>
        <v>Secondary</v>
      </c>
      <c r="H935">
        <v>0</v>
      </c>
      <c r="I935">
        <v>0</v>
      </c>
      <c r="J935" t="str">
        <f t="shared" si="84"/>
        <v>Non-Smoker</v>
      </c>
      <c r="K935">
        <v>0</v>
      </c>
      <c r="L935">
        <v>0</v>
      </c>
      <c r="M935">
        <v>0</v>
      </c>
      <c r="N935">
        <v>0</v>
      </c>
      <c r="O935">
        <v>185</v>
      </c>
      <c r="P935" t="str">
        <f t="shared" si="85"/>
        <v>Normal</v>
      </c>
      <c r="Q935">
        <v>127.5</v>
      </c>
      <c r="R935">
        <v>91</v>
      </c>
      <c r="S935">
        <v>23.78</v>
      </c>
      <c r="T935" t="str">
        <f t="shared" si="86"/>
        <v>Normal</v>
      </c>
      <c r="U935">
        <v>67</v>
      </c>
      <c r="V935">
        <v>59</v>
      </c>
      <c r="W935" t="str">
        <f t="shared" si="89"/>
        <v>Normal</v>
      </c>
      <c r="X935">
        <v>0</v>
      </c>
    </row>
    <row r="936" spans="1:24" ht="14.5" thickBot="1" x14ac:dyDescent="0.35">
      <c r="A936">
        <v>0</v>
      </c>
      <c r="B936" t="str">
        <f t="shared" si="87"/>
        <v>Female</v>
      </c>
      <c r="C936" s="8">
        <v>42</v>
      </c>
      <c r="D936" t="str">
        <f t="shared" si="88"/>
        <v>Middle Age</v>
      </c>
      <c r="E936">
        <v>3</v>
      </c>
      <c r="F936" t="str">
        <f>HLOOKUP(E936, LookUP_Table!$A$6:$D$7, 2, FALSE)</f>
        <v>Graduate</v>
      </c>
      <c r="G936" t="str">
        <f>IFERROR(VLOOKUP(E936, LookUP_Table!$A$1:$B$4, 2, FALSE), "")</f>
        <v>Graduate</v>
      </c>
      <c r="H936">
        <v>1</v>
      </c>
      <c r="I936">
        <v>30</v>
      </c>
      <c r="J936" t="str">
        <f t="shared" si="84"/>
        <v>Smoker</v>
      </c>
      <c r="K936">
        <v>0</v>
      </c>
      <c r="L936">
        <v>0</v>
      </c>
      <c r="M936">
        <v>0</v>
      </c>
      <c r="N936">
        <v>0</v>
      </c>
      <c r="O936">
        <v>218</v>
      </c>
      <c r="P936" t="str">
        <f t="shared" si="85"/>
        <v>Normal</v>
      </c>
      <c r="Q936">
        <v>126</v>
      </c>
      <c r="R936">
        <v>87</v>
      </c>
      <c r="S936">
        <v>22.5</v>
      </c>
      <c r="T936" t="str">
        <f t="shared" si="86"/>
        <v>Normal</v>
      </c>
      <c r="U936">
        <v>75</v>
      </c>
      <c r="V936">
        <v>73</v>
      </c>
      <c r="W936" t="str">
        <f t="shared" si="89"/>
        <v>Normal</v>
      </c>
      <c r="X936">
        <v>0</v>
      </c>
    </row>
    <row r="937" spans="1:24" ht="14.5" thickBot="1" x14ac:dyDescent="0.35">
      <c r="A937">
        <v>0</v>
      </c>
      <c r="B937" t="str">
        <f t="shared" si="87"/>
        <v>Female</v>
      </c>
      <c r="C937" s="8">
        <v>42</v>
      </c>
      <c r="D937" t="str">
        <f t="shared" si="88"/>
        <v>Middle Age</v>
      </c>
      <c r="E937">
        <v>1</v>
      </c>
      <c r="F937" t="str">
        <f>HLOOKUP(E937, LookUP_Table!$A$6:$D$7, 2, FALSE)</f>
        <v>Primary</v>
      </c>
      <c r="G937" t="str">
        <f>IFERROR(VLOOKUP(E937, LookUP_Table!$A$1:$B$4, 2, FALSE), "")</f>
        <v>Primary</v>
      </c>
      <c r="H937">
        <v>1</v>
      </c>
      <c r="I937">
        <v>20</v>
      </c>
      <c r="J937" t="str">
        <f t="shared" si="84"/>
        <v>Smoker</v>
      </c>
      <c r="K937">
        <v>0</v>
      </c>
      <c r="L937">
        <v>0</v>
      </c>
      <c r="M937">
        <v>0</v>
      </c>
      <c r="N937">
        <v>0</v>
      </c>
      <c r="O937">
        <v>237</v>
      </c>
      <c r="P937" t="str">
        <f t="shared" si="85"/>
        <v>Normal</v>
      </c>
      <c r="Q937">
        <v>105</v>
      </c>
      <c r="R937">
        <v>75</v>
      </c>
      <c r="S937">
        <v>23.85</v>
      </c>
      <c r="T937" t="str">
        <f t="shared" si="86"/>
        <v>Normal</v>
      </c>
      <c r="U937">
        <v>70</v>
      </c>
      <c r="V937">
        <v>87</v>
      </c>
      <c r="W937" t="str">
        <f t="shared" si="89"/>
        <v>Normal</v>
      </c>
      <c r="X937">
        <v>0</v>
      </c>
    </row>
    <row r="938" spans="1:24" ht="14.5" thickBot="1" x14ac:dyDescent="0.35">
      <c r="A938">
        <v>0</v>
      </c>
      <c r="B938" t="str">
        <f t="shared" si="87"/>
        <v>Female</v>
      </c>
      <c r="C938" s="8">
        <v>42</v>
      </c>
      <c r="D938" t="str">
        <f t="shared" si="88"/>
        <v>Middle Age</v>
      </c>
      <c r="E938">
        <v>2</v>
      </c>
      <c r="F938" t="str">
        <f>HLOOKUP(E938, LookUP_Table!$A$6:$D$7, 2, FALSE)</f>
        <v>Secondary</v>
      </c>
      <c r="G938" t="str">
        <f>IFERROR(VLOOKUP(E938, LookUP_Table!$A$1:$B$4, 2, FALSE), "")</f>
        <v>Secondary</v>
      </c>
      <c r="H938">
        <v>1</v>
      </c>
      <c r="I938">
        <v>20</v>
      </c>
      <c r="J938" t="str">
        <f t="shared" si="84"/>
        <v>Smoker</v>
      </c>
      <c r="K938">
        <v>0</v>
      </c>
      <c r="L938">
        <v>0</v>
      </c>
      <c r="M938">
        <v>0</v>
      </c>
      <c r="N938">
        <v>0</v>
      </c>
      <c r="O938">
        <v>200</v>
      </c>
      <c r="P938" t="str">
        <f t="shared" si="85"/>
        <v>Normal</v>
      </c>
      <c r="Q938">
        <v>95</v>
      </c>
      <c r="R938">
        <v>55</v>
      </c>
      <c r="S938">
        <v>23.68</v>
      </c>
      <c r="T938" t="str">
        <f t="shared" si="86"/>
        <v>Normal</v>
      </c>
      <c r="U938">
        <v>60</v>
      </c>
      <c r="V938">
        <v>83</v>
      </c>
      <c r="W938" t="str">
        <f t="shared" si="89"/>
        <v>Normal</v>
      </c>
      <c r="X938">
        <v>0</v>
      </c>
    </row>
    <row r="939" spans="1:24" ht="14.5" thickBot="1" x14ac:dyDescent="0.35">
      <c r="A939">
        <v>0</v>
      </c>
      <c r="B939" t="str">
        <f t="shared" si="87"/>
        <v>Female</v>
      </c>
      <c r="C939" s="8">
        <v>42</v>
      </c>
      <c r="D939" t="str">
        <f t="shared" si="88"/>
        <v>Middle Age</v>
      </c>
      <c r="E939">
        <v>2</v>
      </c>
      <c r="F939" t="str">
        <f>HLOOKUP(E939, LookUP_Table!$A$6:$D$7, 2, FALSE)</f>
        <v>Secondary</v>
      </c>
      <c r="G939" t="str">
        <f>IFERROR(VLOOKUP(E939, LookUP_Table!$A$1:$B$4, 2, FALSE), "")</f>
        <v>Secondary</v>
      </c>
      <c r="H939">
        <v>0</v>
      </c>
      <c r="I939">
        <v>0</v>
      </c>
      <c r="J939" t="str">
        <f t="shared" si="84"/>
        <v>Non-Smoker</v>
      </c>
      <c r="K939">
        <v>0</v>
      </c>
      <c r="L939">
        <v>0</v>
      </c>
      <c r="M939">
        <v>1</v>
      </c>
      <c r="N939">
        <v>0</v>
      </c>
      <c r="O939">
        <v>246</v>
      </c>
      <c r="P939" t="str">
        <f t="shared" si="85"/>
        <v>High</v>
      </c>
      <c r="Q939">
        <v>125</v>
      </c>
      <c r="R939">
        <v>80</v>
      </c>
      <c r="S939">
        <v>29.02</v>
      </c>
      <c r="T939" t="str">
        <f t="shared" si="86"/>
        <v>Overweight</v>
      </c>
      <c r="U939">
        <v>100</v>
      </c>
      <c r="V939">
        <v>98</v>
      </c>
      <c r="W939" t="str">
        <f t="shared" si="89"/>
        <v>Normal</v>
      </c>
      <c r="X939">
        <v>0</v>
      </c>
    </row>
    <row r="940" spans="1:24" ht="14.5" thickBot="1" x14ac:dyDescent="0.35">
      <c r="A940">
        <v>0</v>
      </c>
      <c r="B940" t="str">
        <f t="shared" si="87"/>
        <v>Female</v>
      </c>
      <c r="C940" s="8">
        <v>42</v>
      </c>
      <c r="D940" t="str">
        <f t="shared" si="88"/>
        <v>Middle Age</v>
      </c>
      <c r="E940">
        <v>2</v>
      </c>
      <c r="F940" t="str">
        <f>HLOOKUP(E940, LookUP_Table!$A$6:$D$7, 2, FALSE)</f>
        <v>Secondary</v>
      </c>
      <c r="G940" t="str">
        <f>IFERROR(VLOOKUP(E940, LookUP_Table!$A$1:$B$4, 2, FALSE), "")</f>
        <v>Secondary</v>
      </c>
      <c r="H940">
        <v>1</v>
      </c>
      <c r="I940">
        <v>15</v>
      </c>
      <c r="J940" t="str">
        <f t="shared" si="84"/>
        <v>Smoker</v>
      </c>
      <c r="K940">
        <v>0</v>
      </c>
      <c r="L940">
        <v>0</v>
      </c>
      <c r="M940">
        <v>0</v>
      </c>
      <c r="N940">
        <v>0</v>
      </c>
      <c r="O940">
        <v>177</v>
      </c>
      <c r="P940" t="str">
        <f t="shared" si="85"/>
        <v>Normal</v>
      </c>
      <c r="Q940">
        <v>112.5</v>
      </c>
      <c r="R940">
        <v>70</v>
      </c>
      <c r="S940">
        <v>20.62</v>
      </c>
      <c r="T940" t="str">
        <f t="shared" si="86"/>
        <v>Normal</v>
      </c>
      <c r="U940">
        <v>86</v>
      </c>
      <c r="V940">
        <v>83</v>
      </c>
      <c r="W940" t="str">
        <f t="shared" si="89"/>
        <v>Normal</v>
      </c>
      <c r="X940">
        <v>0</v>
      </c>
    </row>
    <row r="941" spans="1:24" ht="14.5" thickBot="1" x14ac:dyDescent="0.35">
      <c r="A941">
        <v>0</v>
      </c>
      <c r="B941" t="str">
        <f t="shared" si="87"/>
        <v>Female</v>
      </c>
      <c r="C941" s="8">
        <v>42</v>
      </c>
      <c r="D941" t="str">
        <f t="shared" si="88"/>
        <v>Middle Age</v>
      </c>
      <c r="E941">
        <v>3</v>
      </c>
      <c r="F941" t="str">
        <f>HLOOKUP(E941, LookUP_Table!$A$6:$D$7, 2, FALSE)</f>
        <v>Graduate</v>
      </c>
      <c r="G941" t="str">
        <f>IFERROR(VLOOKUP(E941, LookUP_Table!$A$1:$B$4, 2, FALSE), "")</f>
        <v>Graduate</v>
      </c>
      <c r="H941">
        <v>0</v>
      </c>
      <c r="I941">
        <v>0</v>
      </c>
      <c r="J941" t="str">
        <f t="shared" si="84"/>
        <v>Non-Smoker</v>
      </c>
      <c r="K941">
        <v>0</v>
      </c>
      <c r="L941">
        <v>0</v>
      </c>
      <c r="M941">
        <v>0</v>
      </c>
      <c r="N941">
        <v>0</v>
      </c>
      <c r="O941">
        <v>188</v>
      </c>
      <c r="P941" t="str">
        <f t="shared" si="85"/>
        <v>Normal</v>
      </c>
      <c r="Q941">
        <v>122.5</v>
      </c>
      <c r="R941">
        <v>75</v>
      </c>
      <c r="S941">
        <v>24.56</v>
      </c>
      <c r="T941" t="str">
        <f t="shared" si="86"/>
        <v>Normal</v>
      </c>
      <c r="U941">
        <v>89</v>
      </c>
      <c r="V941">
        <v>68</v>
      </c>
      <c r="W941" t="str">
        <f t="shared" si="89"/>
        <v>Normal</v>
      </c>
      <c r="X941">
        <v>0</v>
      </c>
    </row>
    <row r="942" spans="1:24" ht="14.5" thickBot="1" x14ac:dyDescent="0.35">
      <c r="A942">
        <v>1</v>
      </c>
      <c r="B942" t="str">
        <f t="shared" si="87"/>
        <v>Male</v>
      </c>
      <c r="C942" s="8">
        <v>42</v>
      </c>
      <c r="D942" t="str">
        <f t="shared" si="88"/>
        <v>Middle Age</v>
      </c>
      <c r="E942">
        <v>4</v>
      </c>
      <c r="F942" t="str">
        <f>HLOOKUP(E942, LookUP_Table!$A$6:$D$7, 2, FALSE)</f>
        <v>Post Graduate</v>
      </c>
      <c r="G942" t="str">
        <f>IFERROR(VLOOKUP(E942, LookUP_Table!$A$1:$B$4, 2, FALSE), "")</f>
        <v>Post Graduate</v>
      </c>
      <c r="H942">
        <v>0</v>
      </c>
      <c r="I942">
        <v>0</v>
      </c>
      <c r="J942" t="str">
        <f t="shared" si="84"/>
        <v>Non-Smoker</v>
      </c>
      <c r="K942">
        <v>0</v>
      </c>
      <c r="L942">
        <v>0</v>
      </c>
      <c r="M942">
        <v>0</v>
      </c>
      <c r="N942">
        <v>0</v>
      </c>
      <c r="O942">
        <v>253</v>
      </c>
      <c r="P942" t="str">
        <f t="shared" si="85"/>
        <v>High</v>
      </c>
      <c r="Q942">
        <v>116</v>
      </c>
      <c r="R942">
        <v>72</v>
      </c>
      <c r="S942">
        <v>21.96</v>
      </c>
      <c r="T942" t="str">
        <f t="shared" si="86"/>
        <v>Normal</v>
      </c>
      <c r="U942">
        <v>60</v>
      </c>
      <c r="V942">
        <v>88</v>
      </c>
      <c r="W942" t="str">
        <f t="shared" si="89"/>
        <v>Normal</v>
      </c>
      <c r="X942">
        <v>0</v>
      </c>
    </row>
    <row r="943" spans="1:24" ht="14.5" thickBot="1" x14ac:dyDescent="0.35">
      <c r="A943">
        <v>0</v>
      </c>
      <c r="B943" t="str">
        <f t="shared" si="87"/>
        <v>Female</v>
      </c>
      <c r="C943" s="8">
        <v>42</v>
      </c>
      <c r="D943" t="str">
        <f t="shared" si="88"/>
        <v>Middle Age</v>
      </c>
      <c r="E943">
        <v>3</v>
      </c>
      <c r="F943" t="str">
        <f>HLOOKUP(E943, LookUP_Table!$A$6:$D$7, 2, FALSE)</f>
        <v>Graduate</v>
      </c>
      <c r="G943" t="str">
        <f>IFERROR(VLOOKUP(E943, LookUP_Table!$A$1:$B$4, 2, FALSE), "")</f>
        <v>Graduate</v>
      </c>
      <c r="H943">
        <v>1</v>
      </c>
      <c r="I943">
        <v>15</v>
      </c>
      <c r="J943" t="str">
        <f t="shared" si="84"/>
        <v>Smoker</v>
      </c>
      <c r="K943">
        <v>0</v>
      </c>
      <c r="L943">
        <v>0</v>
      </c>
      <c r="M943">
        <v>0</v>
      </c>
      <c r="N943">
        <v>0</v>
      </c>
      <c r="O943">
        <v>216</v>
      </c>
      <c r="P943" t="str">
        <f t="shared" si="85"/>
        <v>Normal</v>
      </c>
      <c r="Q943">
        <v>120</v>
      </c>
      <c r="R943">
        <v>70</v>
      </c>
      <c r="S943">
        <v>21.93</v>
      </c>
      <c r="T943" t="str">
        <f t="shared" si="86"/>
        <v>Normal</v>
      </c>
      <c r="U943">
        <v>88</v>
      </c>
      <c r="V943">
        <v>88</v>
      </c>
      <c r="W943" t="str">
        <f t="shared" si="89"/>
        <v>Normal</v>
      </c>
      <c r="X943">
        <v>0</v>
      </c>
    </row>
    <row r="944" spans="1:24" ht="14.5" thickBot="1" x14ac:dyDescent="0.35">
      <c r="A944">
        <v>1</v>
      </c>
      <c r="B944" t="str">
        <f t="shared" si="87"/>
        <v>Male</v>
      </c>
      <c r="C944" s="8">
        <v>42</v>
      </c>
      <c r="D944" t="str">
        <f t="shared" si="88"/>
        <v>Middle Age</v>
      </c>
      <c r="E944">
        <v>1</v>
      </c>
      <c r="F944" t="str">
        <f>HLOOKUP(E944, LookUP_Table!$A$6:$D$7, 2, FALSE)</f>
        <v>Primary</v>
      </c>
      <c r="G944" t="str">
        <f>IFERROR(VLOOKUP(E944, LookUP_Table!$A$1:$B$4, 2, FALSE), "")</f>
        <v>Primary</v>
      </c>
      <c r="H944">
        <v>1</v>
      </c>
      <c r="I944">
        <v>35</v>
      </c>
      <c r="J944" t="str">
        <f t="shared" si="84"/>
        <v>Smoker</v>
      </c>
      <c r="K944">
        <v>0</v>
      </c>
      <c r="L944">
        <v>0</v>
      </c>
      <c r="M944">
        <v>0</v>
      </c>
      <c r="N944">
        <v>0</v>
      </c>
      <c r="O944">
        <v>218</v>
      </c>
      <c r="P944" t="str">
        <f t="shared" si="85"/>
        <v>Normal</v>
      </c>
      <c r="Q944">
        <v>116</v>
      </c>
      <c r="R944">
        <v>86</v>
      </c>
      <c r="S944">
        <v>17.809999999999999</v>
      </c>
      <c r="T944" t="str">
        <f t="shared" si="86"/>
        <v>Underweight</v>
      </c>
      <c r="U944">
        <v>85</v>
      </c>
      <c r="V944">
        <v>69</v>
      </c>
      <c r="W944" t="str">
        <f t="shared" si="89"/>
        <v>Normal</v>
      </c>
      <c r="X944">
        <v>0</v>
      </c>
    </row>
    <row r="945" spans="1:24" ht="14.5" thickBot="1" x14ac:dyDescent="0.35">
      <c r="A945">
        <v>0</v>
      </c>
      <c r="B945" t="str">
        <f t="shared" si="87"/>
        <v>Female</v>
      </c>
      <c r="C945" s="8">
        <v>42</v>
      </c>
      <c r="D945" t="str">
        <f t="shared" si="88"/>
        <v>Middle Age</v>
      </c>
      <c r="E945">
        <v>1</v>
      </c>
      <c r="F945" t="str">
        <f>HLOOKUP(E945, LookUP_Table!$A$6:$D$7, 2, FALSE)</f>
        <v>Primary</v>
      </c>
      <c r="G945" t="str">
        <f>IFERROR(VLOOKUP(E945, LookUP_Table!$A$1:$B$4, 2, FALSE), "")</f>
        <v>Primary</v>
      </c>
      <c r="H945">
        <v>1</v>
      </c>
      <c r="I945">
        <v>30</v>
      </c>
      <c r="J945" t="str">
        <f t="shared" si="84"/>
        <v>Smoker</v>
      </c>
      <c r="K945">
        <v>0</v>
      </c>
      <c r="L945">
        <v>0</v>
      </c>
      <c r="M945">
        <v>0</v>
      </c>
      <c r="N945">
        <v>0</v>
      </c>
      <c r="O945">
        <v>187</v>
      </c>
      <c r="P945" t="str">
        <f t="shared" si="85"/>
        <v>Normal</v>
      </c>
      <c r="Q945">
        <v>96</v>
      </c>
      <c r="R945">
        <v>67</v>
      </c>
      <c r="S945">
        <v>24.23</v>
      </c>
      <c r="T945" t="str">
        <f t="shared" si="86"/>
        <v>Normal</v>
      </c>
      <c r="U945">
        <v>72</v>
      </c>
      <c r="V945">
        <v>84</v>
      </c>
      <c r="W945" t="str">
        <f t="shared" si="89"/>
        <v>Normal</v>
      </c>
      <c r="X945">
        <v>0</v>
      </c>
    </row>
    <row r="946" spans="1:24" ht="14.5" thickBot="1" x14ac:dyDescent="0.35">
      <c r="A946">
        <v>0</v>
      </c>
      <c r="B946" t="str">
        <f t="shared" si="87"/>
        <v>Female</v>
      </c>
      <c r="C946" s="8">
        <v>42</v>
      </c>
      <c r="D946" t="str">
        <f t="shared" si="88"/>
        <v>Middle Age</v>
      </c>
      <c r="E946">
        <v>4</v>
      </c>
      <c r="F946" t="str">
        <f>HLOOKUP(E946, LookUP_Table!$A$6:$D$7, 2, FALSE)</f>
        <v>Post Graduate</v>
      </c>
      <c r="G946" t="str">
        <f>IFERROR(VLOOKUP(E946, LookUP_Table!$A$1:$B$4, 2, FALSE), "")</f>
        <v>Post Graduate</v>
      </c>
      <c r="H946">
        <v>1</v>
      </c>
      <c r="I946">
        <v>7</v>
      </c>
      <c r="J946" t="str">
        <f t="shared" si="84"/>
        <v>Smoker</v>
      </c>
      <c r="K946">
        <v>0</v>
      </c>
      <c r="L946">
        <v>0</v>
      </c>
      <c r="M946">
        <v>0</v>
      </c>
      <c r="N946">
        <v>0</v>
      </c>
      <c r="O946">
        <v>273</v>
      </c>
      <c r="P946" t="str">
        <f t="shared" si="85"/>
        <v>High</v>
      </c>
      <c r="Q946">
        <v>111</v>
      </c>
      <c r="R946">
        <v>73</v>
      </c>
      <c r="S946">
        <v>19.27</v>
      </c>
      <c r="T946" t="str">
        <f t="shared" si="86"/>
        <v>Normal</v>
      </c>
      <c r="U946">
        <v>60</v>
      </c>
      <c r="V946">
        <v>89</v>
      </c>
      <c r="W946" t="str">
        <f t="shared" si="89"/>
        <v>Normal</v>
      </c>
      <c r="X946">
        <v>0</v>
      </c>
    </row>
    <row r="947" spans="1:24" ht="14.5" thickBot="1" x14ac:dyDescent="0.35">
      <c r="A947">
        <v>1</v>
      </c>
      <c r="B947" t="str">
        <f t="shared" si="87"/>
        <v>Male</v>
      </c>
      <c r="C947" s="8">
        <v>42</v>
      </c>
      <c r="D947" t="str">
        <f t="shared" si="88"/>
        <v>Middle Age</v>
      </c>
      <c r="E947">
        <v>1</v>
      </c>
      <c r="F947" t="str">
        <f>HLOOKUP(E947, LookUP_Table!$A$6:$D$7, 2, FALSE)</f>
        <v>Primary</v>
      </c>
      <c r="G947" t="str">
        <f>IFERROR(VLOOKUP(E947, LookUP_Table!$A$1:$B$4, 2, FALSE), "")</f>
        <v>Primary</v>
      </c>
      <c r="H947">
        <v>1</v>
      </c>
      <c r="I947">
        <v>20</v>
      </c>
      <c r="J947" t="str">
        <f t="shared" si="84"/>
        <v>Smoker</v>
      </c>
      <c r="K947">
        <v>0</v>
      </c>
      <c r="L947">
        <v>0</v>
      </c>
      <c r="M947">
        <v>0</v>
      </c>
      <c r="N947">
        <v>0</v>
      </c>
      <c r="O947">
        <v>223</v>
      </c>
      <c r="P947" t="str">
        <f t="shared" si="85"/>
        <v>Normal</v>
      </c>
      <c r="Q947">
        <v>115</v>
      </c>
      <c r="R947">
        <v>70</v>
      </c>
      <c r="S947">
        <v>24.58</v>
      </c>
      <c r="T947" t="str">
        <f t="shared" si="86"/>
        <v>Normal</v>
      </c>
      <c r="U947">
        <v>72</v>
      </c>
      <c r="V947">
        <v>81</v>
      </c>
      <c r="W947" t="str">
        <f t="shared" si="89"/>
        <v>Normal</v>
      </c>
      <c r="X947">
        <v>0</v>
      </c>
    </row>
    <row r="948" spans="1:24" ht="14.5" thickBot="1" x14ac:dyDescent="0.35">
      <c r="A948">
        <v>1</v>
      </c>
      <c r="B948" t="str">
        <f t="shared" si="87"/>
        <v>Male</v>
      </c>
      <c r="C948" s="8">
        <v>42</v>
      </c>
      <c r="D948" t="str">
        <f t="shared" si="88"/>
        <v>Middle Age</v>
      </c>
      <c r="E948">
        <v>2</v>
      </c>
      <c r="F948" t="str">
        <f>HLOOKUP(E948, LookUP_Table!$A$6:$D$7, 2, FALSE)</f>
        <v>Secondary</v>
      </c>
      <c r="G948" t="str">
        <f>IFERROR(VLOOKUP(E948, LookUP_Table!$A$1:$B$4, 2, FALSE), "")</f>
        <v>Secondary</v>
      </c>
      <c r="H948">
        <v>0</v>
      </c>
      <c r="I948">
        <v>0</v>
      </c>
      <c r="J948" t="str">
        <f t="shared" si="84"/>
        <v>Non-Smoker</v>
      </c>
      <c r="K948">
        <v>0</v>
      </c>
      <c r="L948">
        <v>0</v>
      </c>
      <c r="M948">
        <v>1</v>
      </c>
      <c r="N948">
        <v>0</v>
      </c>
      <c r="O948">
        <v>249</v>
      </c>
      <c r="P948" t="str">
        <f t="shared" si="85"/>
        <v>High</v>
      </c>
      <c r="Q948">
        <v>142.5</v>
      </c>
      <c r="R948">
        <v>90</v>
      </c>
      <c r="S948">
        <v>26.14</v>
      </c>
      <c r="T948" t="str">
        <f t="shared" si="86"/>
        <v>Overweight</v>
      </c>
      <c r="U948">
        <v>59</v>
      </c>
      <c r="V948">
        <v>82</v>
      </c>
      <c r="W948" t="str">
        <f t="shared" si="89"/>
        <v>Normal</v>
      </c>
      <c r="X948">
        <v>0</v>
      </c>
    </row>
    <row r="949" spans="1:24" ht="14.5" thickBot="1" x14ac:dyDescent="0.35">
      <c r="A949">
        <v>1</v>
      </c>
      <c r="B949" t="str">
        <f t="shared" si="87"/>
        <v>Male</v>
      </c>
      <c r="C949" s="8">
        <v>42</v>
      </c>
      <c r="D949" t="str">
        <f t="shared" si="88"/>
        <v>Middle Age</v>
      </c>
      <c r="E949">
        <v>1</v>
      </c>
      <c r="F949" t="str">
        <f>HLOOKUP(E949, LookUP_Table!$A$6:$D$7, 2, FALSE)</f>
        <v>Primary</v>
      </c>
      <c r="G949" t="str">
        <f>IFERROR(VLOOKUP(E949, LookUP_Table!$A$1:$B$4, 2, FALSE), "")</f>
        <v>Primary</v>
      </c>
      <c r="H949">
        <v>0</v>
      </c>
      <c r="I949">
        <v>0</v>
      </c>
      <c r="J949" t="str">
        <f t="shared" si="84"/>
        <v>Non-Smoker</v>
      </c>
      <c r="K949">
        <v>0</v>
      </c>
      <c r="L949">
        <v>0</v>
      </c>
      <c r="M949">
        <v>0</v>
      </c>
      <c r="N949">
        <v>0</v>
      </c>
      <c r="O949">
        <v>160</v>
      </c>
      <c r="P949" t="str">
        <f t="shared" si="85"/>
        <v>Normal</v>
      </c>
      <c r="Q949">
        <v>100</v>
      </c>
      <c r="R949">
        <v>73</v>
      </c>
      <c r="S949">
        <v>22.56</v>
      </c>
      <c r="T949" t="str">
        <f t="shared" si="86"/>
        <v>Normal</v>
      </c>
      <c r="U949">
        <v>64</v>
      </c>
      <c r="V949">
        <v>93</v>
      </c>
      <c r="W949" t="str">
        <f t="shared" si="89"/>
        <v>Normal</v>
      </c>
      <c r="X949">
        <v>0</v>
      </c>
    </row>
    <row r="950" spans="1:24" ht="14.5" thickBot="1" x14ac:dyDescent="0.35">
      <c r="A950">
        <v>0</v>
      </c>
      <c r="B950" t="str">
        <f t="shared" si="87"/>
        <v>Female</v>
      </c>
      <c r="C950" s="8">
        <v>42</v>
      </c>
      <c r="D950" t="str">
        <f t="shared" si="88"/>
        <v>Middle Age</v>
      </c>
      <c r="E950">
        <v>3</v>
      </c>
      <c r="F950" t="str">
        <f>HLOOKUP(E950, LookUP_Table!$A$6:$D$7, 2, FALSE)</f>
        <v>Graduate</v>
      </c>
      <c r="G950" t="str">
        <f>IFERROR(VLOOKUP(E950, LookUP_Table!$A$1:$B$4, 2, FALSE), "")</f>
        <v>Graduate</v>
      </c>
      <c r="H950">
        <v>1</v>
      </c>
      <c r="I950">
        <v>10</v>
      </c>
      <c r="J950" t="str">
        <f t="shared" si="84"/>
        <v>Smoker</v>
      </c>
      <c r="K950">
        <v>0</v>
      </c>
      <c r="L950">
        <v>0</v>
      </c>
      <c r="M950">
        <v>0</v>
      </c>
      <c r="N950">
        <v>0</v>
      </c>
      <c r="O950">
        <v>192</v>
      </c>
      <c r="P950" t="str">
        <f t="shared" si="85"/>
        <v>Normal</v>
      </c>
      <c r="Q950">
        <v>96.5</v>
      </c>
      <c r="R950">
        <v>71</v>
      </c>
      <c r="S950">
        <v>26.03</v>
      </c>
      <c r="T950" t="str">
        <f t="shared" si="86"/>
        <v>Overweight</v>
      </c>
      <c r="U950">
        <v>61</v>
      </c>
      <c r="V950">
        <v>68</v>
      </c>
      <c r="W950" t="str">
        <f t="shared" si="89"/>
        <v>Normal</v>
      </c>
      <c r="X950">
        <v>0</v>
      </c>
    </row>
    <row r="951" spans="1:24" ht="14.5" thickBot="1" x14ac:dyDescent="0.35">
      <c r="A951">
        <v>1</v>
      </c>
      <c r="B951" t="str">
        <f t="shared" si="87"/>
        <v>Male</v>
      </c>
      <c r="C951" s="8">
        <v>42</v>
      </c>
      <c r="D951" t="str">
        <f t="shared" si="88"/>
        <v>Middle Age</v>
      </c>
      <c r="E951">
        <v>3</v>
      </c>
      <c r="F951" t="str">
        <f>HLOOKUP(E951, LookUP_Table!$A$6:$D$7, 2, FALSE)</f>
        <v>Graduate</v>
      </c>
      <c r="G951" t="str">
        <f>IFERROR(VLOOKUP(E951, LookUP_Table!$A$1:$B$4, 2, FALSE), "")</f>
        <v>Graduate</v>
      </c>
      <c r="H951">
        <v>1</v>
      </c>
      <c r="I951">
        <v>25</v>
      </c>
      <c r="J951" t="str">
        <f t="shared" si="84"/>
        <v>Smoker</v>
      </c>
      <c r="K951">
        <v>0</v>
      </c>
      <c r="L951">
        <v>0</v>
      </c>
      <c r="M951">
        <v>0</v>
      </c>
      <c r="N951">
        <v>0</v>
      </c>
      <c r="O951">
        <v>256</v>
      </c>
      <c r="P951" t="str">
        <f t="shared" si="85"/>
        <v>High</v>
      </c>
      <c r="Q951">
        <v>121.5</v>
      </c>
      <c r="R951">
        <v>74</v>
      </c>
      <c r="S951">
        <v>23.59</v>
      </c>
      <c r="T951" t="str">
        <f t="shared" si="86"/>
        <v>Normal</v>
      </c>
      <c r="U951">
        <v>70</v>
      </c>
      <c r="V951">
        <v>115</v>
      </c>
      <c r="W951" t="str">
        <f t="shared" si="89"/>
        <v>Prediabetes</v>
      </c>
      <c r="X951">
        <v>1</v>
      </c>
    </row>
    <row r="952" spans="1:24" ht="14.5" thickBot="1" x14ac:dyDescent="0.35">
      <c r="A952">
        <v>1</v>
      </c>
      <c r="B952" t="str">
        <f t="shared" si="87"/>
        <v>Male</v>
      </c>
      <c r="C952" s="8">
        <v>42</v>
      </c>
      <c r="D952" t="str">
        <f t="shared" si="88"/>
        <v>Middle Age</v>
      </c>
      <c r="E952">
        <v>2</v>
      </c>
      <c r="F952" t="str">
        <f>HLOOKUP(E952, LookUP_Table!$A$6:$D$7, 2, FALSE)</f>
        <v>Secondary</v>
      </c>
      <c r="G952" t="str">
        <f>IFERROR(VLOOKUP(E952, LookUP_Table!$A$1:$B$4, 2, FALSE), "")</f>
        <v>Secondary</v>
      </c>
      <c r="H952">
        <v>0</v>
      </c>
      <c r="I952">
        <v>0</v>
      </c>
      <c r="J952" t="str">
        <f t="shared" si="84"/>
        <v>Non-Smoker</v>
      </c>
      <c r="K952">
        <v>0</v>
      </c>
      <c r="L952">
        <v>0</v>
      </c>
      <c r="M952">
        <v>0</v>
      </c>
      <c r="N952">
        <v>0</v>
      </c>
      <c r="O952">
        <v>228</v>
      </c>
      <c r="P952" t="str">
        <f t="shared" si="85"/>
        <v>Normal</v>
      </c>
      <c r="Q952">
        <v>130</v>
      </c>
      <c r="R952">
        <v>92</v>
      </c>
      <c r="S952">
        <v>24.86</v>
      </c>
      <c r="T952" t="str">
        <f t="shared" si="86"/>
        <v>Normal</v>
      </c>
      <c r="U952">
        <v>85</v>
      </c>
      <c r="V952">
        <v>76</v>
      </c>
      <c r="W952" t="str">
        <f t="shared" si="89"/>
        <v>Normal</v>
      </c>
      <c r="X952">
        <v>0</v>
      </c>
    </row>
    <row r="953" spans="1:24" ht="14.5" thickBot="1" x14ac:dyDescent="0.35">
      <c r="A953">
        <v>0</v>
      </c>
      <c r="B953" t="str">
        <f t="shared" si="87"/>
        <v>Female</v>
      </c>
      <c r="C953" s="8">
        <v>42</v>
      </c>
      <c r="D953" t="str">
        <f t="shared" si="88"/>
        <v>Middle Age</v>
      </c>
      <c r="E953">
        <v>1</v>
      </c>
      <c r="F953" t="str">
        <f>HLOOKUP(E953, LookUP_Table!$A$6:$D$7, 2, FALSE)</f>
        <v>Primary</v>
      </c>
      <c r="G953" t="str">
        <f>IFERROR(VLOOKUP(E953, LookUP_Table!$A$1:$B$4, 2, FALSE), "")</f>
        <v>Primary</v>
      </c>
      <c r="H953">
        <v>0</v>
      </c>
      <c r="I953">
        <v>0</v>
      </c>
      <c r="J953" t="str">
        <f t="shared" si="84"/>
        <v>Non-Smoker</v>
      </c>
      <c r="K953">
        <v>0</v>
      </c>
      <c r="L953">
        <v>0</v>
      </c>
      <c r="M953">
        <v>0</v>
      </c>
      <c r="N953">
        <v>0</v>
      </c>
      <c r="O953">
        <v>197</v>
      </c>
      <c r="P953" t="str">
        <f t="shared" si="85"/>
        <v>Normal</v>
      </c>
      <c r="Q953">
        <v>105</v>
      </c>
      <c r="R953">
        <v>84</v>
      </c>
      <c r="S953">
        <v>25.75</v>
      </c>
      <c r="T953" t="str">
        <f t="shared" si="86"/>
        <v>Overweight</v>
      </c>
      <c r="U953">
        <v>70</v>
      </c>
      <c r="V953">
        <v>67</v>
      </c>
      <c r="W953" t="str">
        <f t="shared" si="89"/>
        <v>Normal</v>
      </c>
      <c r="X953">
        <v>0</v>
      </c>
    </row>
    <row r="954" spans="1:24" ht="14.5" thickBot="1" x14ac:dyDescent="0.35">
      <c r="A954">
        <v>0</v>
      </c>
      <c r="B954" t="str">
        <f t="shared" si="87"/>
        <v>Female</v>
      </c>
      <c r="C954" s="8">
        <v>42</v>
      </c>
      <c r="D954" t="str">
        <f t="shared" si="88"/>
        <v>Middle Age</v>
      </c>
      <c r="E954">
        <v>1</v>
      </c>
      <c r="F954" t="str">
        <f>HLOOKUP(E954, LookUP_Table!$A$6:$D$7, 2, FALSE)</f>
        <v>Primary</v>
      </c>
      <c r="G954" t="str">
        <f>IFERROR(VLOOKUP(E954, LookUP_Table!$A$1:$B$4, 2, FALSE), "")</f>
        <v>Primary</v>
      </c>
      <c r="H954">
        <v>0</v>
      </c>
      <c r="I954">
        <v>0</v>
      </c>
      <c r="J954" t="str">
        <f t="shared" si="84"/>
        <v>Non-Smoker</v>
      </c>
      <c r="K954">
        <v>0</v>
      </c>
      <c r="L954">
        <v>0</v>
      </c>
      <c r="M954">
        <v>0</v>
      </c>
      <c r="N954">
        <v>0</v>
      </c>
      <c r="O954">
        <v>241</v>
      </c>
      <c r="P954" t="str">
        <f t="shared" si="85"/>
        <v>High</v>
      </c>
      <c r="Q954">
        <v>118.5</v>
      </c>
      <c r="R954">
        <v>80.5</v>
      </c>
      <c r="S954">
        <v>32.36</v>
      </c>
      <c r="T954" t="str">
        <f t="shared" si="86"/>
        <v>Obese</v>
      </c>
      <c r="U954">
        <v>95</v>
      </c>
      <c r="V954">
        <v>75</v>
      </c>
      <c r="W954" t="str">
        <f t="shared" si="89"/>
        <v>Normal</v>
      </c>
      <c r="X954">
        <v>0</v>
      </c>
    </row>
    <row r="955" spans="1:24" ht="14.5" thickBot="1" x14ac:dyDescent="0.35">
      <c r="A955">
        <v>1</v>
      </c>
      <c r="B955" t="str">
        <f t="shared" si="87"/>
        <v>Male</v>
      </c>
      <c r="C955" s="8">
        <v>42</v>
      </c>
      <c r="D955" t="str">
        <f t="shared" si="88"/>
        <v>Middle Age</v>
      </c>
      <c r="E955">
        <v>2</v>
      </c>
      <c r="F955" t="str">
        <f>HLOOKUP(E955, LookUP_Table!$A$6:$D$7, 2, FALSE)</f>
        <v>Secondary</v>
      </c>
      <c r="G955" t="str">
        <f>IFERROR(VLOOKUP(E955, LookUP_Table!$A$1:$B$4, 2, FALSE), "")</f>
        <v>Secondary</v>
      </c>
      <c r="H955">
        <v>1</v>
      </c>
      <c r="I955">
        <v>30</v>
      </c>
      <c r="J955" t="str">
        <f t="shared" si="84"/>
        <v>Smoker</v>
      </c>
      <c r="K955">
        <v>0</v>
      </c>
      <c r="L955">
        <v>0</v>
      </c>
      <c r="M955">
        <v>0</v>
      </c>
      <c r="N955">
        <v>0</v>
      </c>
      <c r="O955">
        <v>256</v>
      </c>
      <c r="P955" t="str">
        <f t="shared" si="85"/>
        <v>High</v>
      </c>
      <c r="Q955">
        <v>111</v>
      </c>
      <c r="R955">
        <v>62</v>
      </c>
      <c r="S955">
        <v>21.67</v>
      </c>
      <c r="T955" t="str">
        <f t="shared" si="86"/>
        <v>Normal</v>
      </c>
      <c r="U955">
        <v>74</v>
      </c>
      <c r="V955">
        <v>74</v>
      </c>
      <c r="W955" t="str">
        <f t="shared" si="89"/>
        <v>Normal</v>
      </c>
      <c r="X955">
        <v>0</v>
      </c>
    </row>
    <row r="956" spans="1:24" ht="14.5" thickBot="1" x14ac:dyDescent="0.35">
      <c r="A956">
        <v>1</v>
      </c>
      <c r="B956" t="str">
        <f t="shared" si="87"/>
        <v>Male</v>
      </c>
      <c r="C956" s="8">
        <v>42</v>
      </c>
      <c r="D956" t="str">
        <f t="shared" si="88"/>
        <v>Middle Age</v>
      </c>
      <c r="E956">
        <v>1</v>
      </c>
      <c r="F956" t="str">
        <f>HLOOKUP(E956, LookUP_Table!$A$6:$D$7, 2, FALSE)</f>
        <v>Primary</v>
      </c>
      <c r="G956" t="str">
        <f>IFERROR(VLOOKUP(E956, LookUP_Table!$A$1:$B$4, 2, FALSE), "")</f>
        <v>Primary</v>
      </c>
      <c r="H956">
        <v>0</v>
      </c>
      <c r="I956">
        <v>0</v>
      </c>
      <c r="J956" t="str">
        <f t="shared" si="84"/>
        <v>Non-Smoker</v>
      </c>
      <c r="K956">
        <v>0</v>
      </c>
      <c r="L956">
        <v>0</v>
      </c>
      <c r="M956">
        <v>0</v>
      </c>
      <c r="N956">
        <v>0</v>
      </c>
      <c r="O956">
        <v>163</v>
      </c>
      <c r="P956" t="str">
        <f t="shared" si="85"/>
        <v>Normal</v>
      </c>
      <c r="Q956">
        <v>135</v>
      </c>
      <c r="R956">
        <v>82</v>
      </c>
      <c r="S956">
        <v>25.75</v>
      </c>
      <c r="T956" t="str">
        <f t="shared" si="86"/>
        <v>Overweight</v>
      </c>
      <c r="U956">
        <v>65</v>
      </c>
      <c r="V956">
        <v>77</v>
      </c>
      <c r="W956" t="str">
        <f t="shared" si="89"/>
        <v>Normal</v>
      </c>
      <c r="X956">
        <v>0</v>
      </c>
    </row>
    <row r="957" spans="1:24" ht="14.5" thickBot="1" x14ac:dyDescent="0.35">
      <c r="A957">
        <v>0</v>
      </c>
      <c r="B957" t="str">
        <f t="shared" si="87"/>
        <v>Female</v>
      </c>
      <c r="C957" s="8">
        <v>42</v>
      </c>
      <c r="D957" t="str">
        <f t="shared" si="88"/>
        <v>Middle Age</v>
      </c>
      <c r="E957">
        <v>1</v>
      </c>
      <c r="F957" t="str">
        <f>HLOOKUP(E957, LookUP_Table!$A$6:$D$7, 2, FALSE)</f>
        <v>Primary</v>
      </c>
      <c r="G957" t="str">
        <f>IFERROR(VLOOKUP(E957, LookUP_Table!$A$1:$B$4, 2, FALSE), "")</f>
        <v>Primary</v>
      </c>
      <c r="H957">
        <v>1</v>
      </c>
      <c r="I957">
        <v>20</v>
      </c>
      <c r="J957" t="str">
        <f t="shared" si="84"/>
        <v>Smoker</v>
      </c>
      <c r="K957">
        <v>0</v>
      </c>
      <c r="L957">
        <v>0</v>
      </c>
      <c r="M957">
        <v>1</v>
      </c>
      <c r="N957">
        <v>0</v>
      </c>
      <c r="O957">
        <v>199</v>
      </c>
      <c r="P957" t="str">
        <f t="shared" si="85"/>
        <v>Normal</v>
      </c>
      <c r="Q957">
        <v>141</v>
      </c>
      <c r="R957">
        <v>92</v>
      </c>
      <c r="S957">
        <v>43.69</v>
      </c>
      <c r="T957" t="str">
        <f t="shared" si="86"/>
        <v>Obese</v>
      </c>
      <c r="U957">
        <v>80</v>
      </c>
      <c r="V957">
        <v>60</v>
      </c>
      <c r="W957" t="str">
        <f t="shared" si="89"/>
        <v>Normal</v>
      </c>
      <c r="X957">
        <v>1</v>
      </c>
    </row>
    <row r="958" spans="1:24" ht="14.5" thickBot="1" x14ac:dyDescent="0.35">
      <c r="A958">
        <v>0</v>
      </c>
      <c r="B958" t="str">
        <f t="shared" si="87"/>
        <v>Female</v>
      </c>
      <c r="C958" s="8">
        <v>42</v>
      </c>
      <c r="D958" t="str">
        <f t="shared" si="88"/>
        <v>Middle Age</v>
      </c>
      <c r="E958">
        <v>1</v>
      </c>
      <c r="F958" t="str">
        <f>HLOOKUP(E958, LookUP_Table!$A$6:$D$7, 2, FALSE)</f>
        <v>Primary</v>
      </c>
      <c r="G958" t="str">
        <f>IFERROR(VLOOKUP(E958, LookUP_Table!$A$1:$B$4, 2, FALSE), "")</f>
        <v>Primary</v>
      </c>
      <c r="H958">
        <v>1</v>
      </c>
      <c r="I958">
        <v>10</v>
      </c>
      <c r="J958" t="str">
        <f t="shared" si="84"/>
        <v>Smoker</v>
      </c>
      <c r="K958">
        <v>0</v>
      </c>
      <c r="L958">
        <v>0</v>
      </c>
      <c r="M958">
        <v>0</v>
      </c>
      <c r="N958">
        <v>0</v>
      </c>
      <c r="O958">
        <v>194</v>
      </c>
      <c r="P958" t="str">
        <f t="shared" si="85"/>
        <v>Normal</v>
      </c>
      <c r="Q958">
        <v>111</v>
      </c>
      <c r="R958">
        <v>67.5</v>
      </c>
      <c r="S958">
        <v>21.34</v>
      </c>
      <c r="T958" t="str">
        <f t="shared" si="86"/>
        <v>Normal</v>
      </c>
      <c r="U958">
        <v>73</v>
      </c>
      <c r="V958">
        <v>47</v>
      </c>
      <c r="W958" t="str">
        <f t="shared" si="89"/>
        <v>Normal</v>
      </c>
      <c r="X958">
        <v>0</v>
      </c>
    </row>
    <row r="959" spans="1:24" ht="14.5" thickBot="1" x14ac:dyDescent="0.35">
      <c r="A959">
        <v>0</v>
      </c>
      <c r="B959" t="str">
        <f t="shared" si="87"/>
        <v>Female</v>
      </c>
      <c r="C959" s="8">
        <v>42</v>
      </c>
      <c r="D959" t="str">
        <f t="shared" si="88"/>
        <v>Middle Age</v>
      </c>
      <c r="E959">
        <v>1</v>
      </c>
      <c r="F959" t="str">
        <f>HLOOKUP(E959, LookUP_Table!$A$6:$D$7, 2, FALSE)</f>
        <v>Primary</v>
      </c>
      <c r="G959" t="str">
        <f>IFERROR(VLOOKUP(E959, LookUP_Table!$A$1:$B$4, 2, FALSE), "")</f>
        <v>Primary</v>
      </c>
      <c r="H959">
        <v>1</v>
      </c>
      <c r="I959">
        <v>9</v>
      </c>
      <c r="J959" t="str">
        <f t="shared" si="84"/>
        <v>Smoker</v>
      </c>
      <c r="K959">
        <v>0</v>
      </c>
      <c r="L959">
        <v>0</v>
      </c>
      <c r="M959">
        <v>0</v>
      </c>
      <c r="N959">
        <v>0</v>
      </c>
      <c r="O959">
        <v>218</v>
      </c>
      <c r="P959" t="str">
        <f t="shared" si="85"/>
        <v>Normal</v>
      </c>
      <c r="Q959">
        <v>109.5</v>
      </c>
      <c r="R959">
        <v>67</v>
      </c>
      <c r="S959">
        <v>23.48</v>
      </c>
      <c r="T959" t="str">
        <f t="shared" si="86"/>
        <v>Normal</v>
      </c>
      <c r="U959">
        <v>65</v>
      </c>
      <c r="V959">
        <v>71</v>
      </c>
      <c r="W959" t="str">
        <f t="shared" si="89"/>
        <v>Normal</v>
      </c>
      <c r="X959">
        <v>0</v>
      </c>
    </row>
    <row r="960" spans="1:24" ht="14.5" thickBot="1" x14ac:dyDescent="0.35">
      <c r="A960">
        <v>1</v>
      </c>
      <c r="B960" t="str">
        <f t="shared" si="87"/>
        <v>Male</v>
      </c>
      <c r="C960" s="8">
        <v>42</v>
      </c>
      <c r="D960" t="str">
        <f t="shared" si="88"/>
        <v>Middle Age</v>
      </c>
      <c r="E960">
        <v>1</v>
      </c>
      <c r="F960" t="str">
        <f>HLOOKUP(E960, LookUP_Table!$A$6:$D$7, 2, FALSE)</f>
        <v>Primary</v>
      </c>
      <c r="G960" t="str">
        <f>IFERROR(VLOOKUP(E960, LookUP_Table!$A$1:$B$4, 2, FALSE), "")</f>
        <v>Primary</v>
      </c>
      <c r="H960">
        <v>0</v>
      </c>
      <c r="I960">
        <v>0</v>
      </c>
      <c r="J960" t="str">
        <f t="shared" si="84"/>
        <v>Non-Smoker</v>
      </c>
      <c r="K960">
        <v>0</v>
      </c>
      <c r="L960">
        <v>0</v>
      </c>
      <c r="M960">
        <v>0</v>
      </c>
      <c r="N960">
        <v>0</v>
      </c>
      <c r="O960">
        <v>266</v>
      </c>
      <c r="P960" t="str">
        <f t="shared" si="85"/>
        <v>High</v>
      </c>
      <c r="Q960">
        <v>139</v>
      </c>
      <c r="R960">
        <v>88</v>
      </c>
      <c r="S960">
        <v>23.61</v>
      </c>
      <c r="T960" t="str">
        <f t="shared" si="86"/>
        <v>Normal</v>
      </c>
      <c r="U960">
        <v>75</v>
      </c>
      <c r="V960">
        <v>78</v>
      </c>
      <c r="W960" t="str">
        <f t="shared" si="89"/>
        <v>Normal</v>
      </c>
      <c r="X960">
        <v>0</v>
      </c>
    </row>
    <row r="961" spans="1:24" ht="14.5" thickBot="1" x14ac:dyDescent="0.35">
      <c r="A961">
        <v>1</v>
      </c>
      <c r="B961" t="str">
        <f t="shared" si="87"/>
        <v>Male</v>
      </c>
      <c r="C961" s="8">
        <v>42</v>
      </c>
      <c r="D961" t="str">
        <f t="shared" si="88"/>
        <v>Middle Age</v>
      </c>
      <c r="E961">
        <v>1</v>
      </c>
      <c r="F961" t="str">
        <f>HLOOKUP(E961, LookUP_Table!$A$6:$D$7, 2, FALSE)</f>
        <v>Primary</v>
      </c>
      <c r="G961" t="str">
        <f>IFERROR(VLOOKUP(E961, LookUP_Table!$A$1:$B$4, 2, FALSE), "")</f>
        <v>Primary</v>
      </c>
      <c r="H961">
        <v>1</v>
      </c>
      <c r="I961">
        <v>30</v>
      </c>
      <c r="J961" t="str">
        <f t="shared" si="84"/>
        <v>Smoker</v>
      </c>
      <c r="K961">
        <v>0</v>
      </c>
      <c r="L961">
        <v>0</v>
      </c>
      <c r="M961">
        <v>0</v>
      </c>
      <c r="N961">
        <v>0</v>
      </c>
      <c r="O961">
        <v>232</v>
      </c>
      <c r="P961" t="str">
        <f t="shared" si="85"/>
        <v>Normal</v>
      </c>
      <c r="Q961">
        <v>111.5</v>
      </c>
      <c r="R961">
        <v>70</v>
      </c>
      <c r="S961">
        <v>28.3</v>
      </c>
      <c r="T961" t="str">
        <f t="shared" si="86"/>
        <v>Overweight</v>
      </c>
      <c r="U961">
        <v>90</v>
      </c>
      <c r="V961">
        <v>80</v>
      </c>
      <c r="W961" t="str">
        <f t="shared" si="89"/>
        <v>Normal</v>
      </c>
      <c r="X961">
        <v>0</v>
      </c>
    </row>
    <row r="962" spans="1:24" ht="14.5" thickBot="1" x14ac:dyDescent="0.35">
      <c r="A962">
        <v>0</v>
      </c>
      <c r="B962" t="str">
        <f t="shared" si="87"/>
        <v>Female</v>
      </c>
      <c r="C962" s="8">
        <v>42</v>
      </c>
      <c r="D962" t="str">
        <f t="shared" si="88"/>
        <v>Middle Age</v>
      </c>
      <c r="E962">
        <v>2</v>
      </c>
      <c r="F962" t="str">
        <f>HLOOKUP(E962, LookUP_Table!$A$6:$D$7, 2, FALSE)</f>
        <v>Secondary</v>
      </c>
      <c r="G962" t="str">
        <f>IFERROR(VLOOKUP(E962, LookUP_Table!$A$1:$B$4, 2, FALSE), "")</f>
        <v>Secondary</v>
      </c>
      <c r="H962">
        <v>1</v>
      </c>
      <c r="I962">
        <v>10</v>
      </c>
      <c r="J962" t="str">
        <f t="shared" ref="J962:J1025" si="90">IF(I962&gt;0,"Smoker","Non-Smoker")</f>
        <v>Smoker</v>
      </c>
      <c r="K962">
        <v>0</v>
      </c>
      <c r="L962">
        <v>0</v>
      </c>
      <c r="M962">
        <v>0</v>
      </c>
      <c r="N962">
        <v>0</v>
      </c>
      <c r="O962">
        <v>242</v>
      </c>
      <c r="P962" t="str">
        <f t="shared" ref="P962:P1025" si="91">IF(O962&gt;240,"High","Normal")</f>
        <v>High</v>
      </c>
      <c r="Q962">
        <v>100</v>
      </c>
      <c r="R962">
        <v>66</v>
      </c>
      <c r="S962">
        <v>21.85</v>
      </c>
      <c r="T962" t="str">
        <f t="shared" ref="T962:T1025" si="92">IF(S962&lt;18.5,"Underweight",
IF(S962&lt;25,"Normal",
IF(S962&lt;30,"Overweight","Obese")))</f>
        <v>Normal</v>
      </c>
      <c r="U962">
        <v>75</v>
      </c>
      <c r="V962">
        <v>81.96365524402907</v>
      </c>
      <c r="W962" t="str">
        <f t="shared" si="89"/>
        <v>Normal</v>
      </c>
      <c r="X962">
        <v>0</v>
      </c>
    </row>
    <row r="963" spans="1:24" ht="14.5" thickBot="1" x14ac:dyDescent="0.35">
      <c r="A963">
        <v>1</v>
      </c>
      <c r="B963" t="str">
        <f t="shared" ref="B963:B1026" si="93">IF(A963=0,"Female","Male")</f>
        <v>Male</v>
      </c>
      <c r="C963" s="8">
        <v>42</v>
      </c>
      <c r="D963" t="str">
        <f t="shared" ref="D963:D1026" si="94">IF(C963&lt;40,"Young",
IF(C963&lt;55,"Middle Age","Senior"))</f>
        <v>Middle Age</v>
      </c>
      <c r="E963">
        <v>2</v>
      </c>
      <c r="F963" t="str">
        <f>HLOOKUP(E963, LookUP_Table!$A$6:$D$7, 2, FALSE)</f>
        <v>Secondary</v>
      </c>
      <c r="G963" t="str">
        <f>IFERROR(VLOOKUP(E963, LookUP_Table!$A$1:$B$4, 2, FALSE), "")</f>
        <v>Secondary</v>
      </c>
      <c r="H963">
        <v>1</v>
      </c>
      <c r="I963">
        <v>5</v>
      </c>
      <c r="J963" t="str">
        <f t="shared" si="90"/>
        <v>Smoker</v>
      </c>
      <c r="K963">
        <v>0</v>
      </c>
      <c r="L963">
        <v>0</v>
      </c>
      <c r="M963">
        <v>0</v>
      </c>
      <c r="N963">
        <v>0</v>
      </c>
      <c r="O963">
        <v>200</v>
      </c>
      <c r="P963" t="str">
        <f t="shared" si="91"/>
        <v>Normal</v>
      </c>
      <c r="Q963">
        <v>131</v>
      </c>
      <c r="R963">
        <v>88</v>
      </c>
      <c r="S963">
        <v>25.09</v>
      </c>
      <c r="T963" t="str">
        <f t="shared" si="92"/>
        <v>Overweight</v>
      </c>
      <c r="U963">
        <v>81</v>
      </c>
      <c r="V963">
        <v>88</v>
      </c>
      <c r="W963" t="str">
        <f t="shared" ref="W963:W1026" si="95">IF(V963 &lt; 100, "Normal", IF(V963 &lt;= 125, "Prediabetes", "Diabetes"))</f>
        <v>Normal</v>
      </c>
      <c r="X963">
        <v>0</v>
      </c>
    </row>
    <row r="964" spans="1:24" ht="14.5" thickBot="1" x14ac:dyDescent="0.35">
      <c r="A964">
        <v>0</v>
      </c>
      <c r="B964" t="str">
        <f t="shared" si="93"/>
        <v>Female</v>
      </c>
      <c r="C964" s="8">
        <v>42</v>
      </c>
      <c r="D964" t="str">
        <f t="shared" si="94"/>
        <v>Middle Age</v>
      </c>
      <c r="E964">
        <v>4</v>
      </c>
      <c r="F964" t="str">
        <f>HLOOKUP(E964, LookUP_Table!$A$6:$D$7, 2, FALSE)</f>
        <v>Post Graduate</v>
      </c>
      <c r="G964" t="str">
        <f>IFERROR(VLOOKUP(E964, LookUP_Table!$A$1:$B$4, 2, FALSE), "")</f>
        <v>Post Graduate</v>
      </c>
      <c r="H964">
        <v>0</v>
      </c>
      <c r="I964">
        <v>0</v>
      </c>
      <c r="J964" t="str">
        <f t="shared" si="90"/>
        <v>Non-Smoker</v>
      </c>
      <c r="K964">
        <v>0</v>
      </c>
      <c r="L964">
        <v>0</v>
      </c>
      <c r="M964">
        <v>0</v>
      </c>
      <c r="N964">
        <v>0</v>
      </c>
      <c r="O964">
        <v>183</v>
      </c>
      <c r="P964" t="str">
        <f t="shared" si="91"/>
        <v>Normal</v>
      </c>
      <c r="Q964">
        <v>111</v>
      </c>
      <c r="R964">
        <v>71</v>
      </c>
      <c r="S964">
        <v>19.78</v>
      </c>
      <c r="T964" t="str">
        <f t="shared" si="92"/>
        <v>Normal</v>
      </c>
      <c r="U964">
        <v>66</v>
      </c>
      <c r="V964">
        <v>81</v>
      </c>
      <c r="W964" t="str">
        <f t="shared" si="95"/>
        <v>Normal</v>
      </c>
      <c r="X964">
        <v>0</v>
      </c>
    </row>
    <row r="965" spans="1:24" ht="14.5" thickBot="1" x14ac:dyDescent="0.35">
      <c r="A965">
        <v>1</v>
      </c>
      <c r="B965" t="str">
        <f t="shared" si="93"/>
        <v>Male</v>
      </c>
      <c r="C965" s="8">
        <v>42</v>
      </c>
      <c r="D965" t="str">
        <f t="shared" si="94"/>
        <v>Middle Age</v>
      </c>
      <c r="E965">
        <v>2</v>
      </c>
      <c r="F965" t="str">
        <f>HLOOKUP(E965, LookUP_Table!$A$6:$D$7, 2, FALSE)</f>
        <v>Secondary</v>
      </c>
      <c r="G965" t="str">
        <f>IFERROR(VLOOKUP(E965, LookUP_Table!$A$1:$B$4, 2, FALSE), "")</f>
        <v>Secondary</v>
      </c>
      <c r="H965">
        <v>0</v>
      </c>
      <c r="I965">
        <v>0</v>
      </c>
      <c r="J965" t="str">
        <f t="shared" si="90"/>
        <v>Non-Smoker</v>
      </c>
      <c r="K965">
        <v>0</v>
      </c>
      <c r="L965">
        <v>0</v>
      </c>
      <c r="M965">
        <v>1</v>
      </c>
      <c r="N965">
        <v>0</v>
      </c>
      <c r="O965">
        <v>164</v>
      </c>
      <c r="P965" t="str">
        <f t="shared" si="91"/>
        <v>Normal</v>
      </c>
      <c r="Q965">
        <v>141.5</v>
      </c>
      <c r="R965">
        <v>98</v>
      </c>
      <c r="S965">
        <v>32.520000000000003</v>
      </c>
      <c r="T965" t="str">
        <f t="shared" si="92"/>
        <v>Obese</v>
      </c>
      <c r="U965">
        <v>72</v>
      </c>
      <c r="V965">
        <v>76</v>
      </c>
      <c r="W965" t="str">
        <f t="shared" si="95"/>
        <v>Normal</v>
      </c>
      <c r="X965">
        <v>0</v>
      </c>
    </row>
    <row r="966" spans="1:24" ht="14.5" thickBot="1" x14ac:dyDescent="0.35">
      <c r="A966">
        <v>1</v>
      </c>
      <c r="B966" t="str">
        <f t="shared" si="93"/>
        <v>Male</v>
      </c>
      <c r="C966" s="8">
        <v>42</v>
      </c>
      <c r="D966" t="str">
        <f t="shared" si="94"/>
        <v>Middle Age</v>
      </c>
      <c r="E966">
        <v>4</v>
      </c>
      <c r="F966" t="str">
        <f>HLOOKUP(E966, LookUP_Table!$A$6:$D$7, 2, FALSE)</f>
        <v>Post Graduate</v>
      </c>
      <c r="G966" t="str">
        <f>IFERROR(VLOOKUP(E966, LookUP_Table!$A$1:$B$4, 2, FALSE), "")</f>
        <v>Post Graduate</v>
      </c>
      <c r="H966">
        <v>1</v>
      </c>
      <c r="I966">
        <v>20</v>
      </c>
      <c r="J966" t="str">
        <f t="shared" si="90"/>
        <v>Smoker</v>
      </c>
      <c r="K966">
        <v>0</v>
      </c>
      <c r="L966">
        <v>0</v>
      </c>
      <c r="M966">
        <v>0</v>
      </c>
      <c r="N966">
        <v>0</v>
      </c>
      <c r="O966">
        <v>270</v>
      </c>
      <c r="P966" t="str">
        <f t="shared" si="91"/>
        <v>High</v>
      </c>
      <c r="Q966">
        <v>112</v>
      </c>
      <c r="R966">
        <v>77</v>
      </c>
      <c r="S966">
        <v>24.77</v>
      </c>
      <c r="T966" t="str">
        <f t="shared" si="92"/>
        <v>Normal</v>
      </c>
      <c r="U966">
        <v>73</v>
      </c>
      <c r="V966">
        <v>85</v>
      </c>
      <c r="W966" t="str">
        <f t="shared" si="95"/>
        <v>Normal</v>
      </c>
      <c r="X966">
        <v>0</v>
      </c>
    </row>
    <row r="967" spans="1:24" ht="14.5" thickBot="1" x14ac:dyDescent="0.35">
      <c r="A967">
        <v>0</v>
      </c>
      <c r="B967" t="str">
        <f t="shared" si="93"/>
        <v>Female</v>
      </c>
      <c r="C967" s="8">
        <v>42</v>
      </c>
      <c r="D967" t="str">
        <f t="shared" si="94"/>
        <v>Middle Age</v>
      </c>
      <c r="E967">
        <v>1</v>
      </c>
      <c r="F967" t="str">
        <f>HLOOKUP(E967, LookUP_Table!$A$6:$D$7, 2, FALSE)</f>
        <v>Primary</v>
      </c>
      <c r="G967" t="str">
        <f>IFERROR(VLOOKUP(E967, LookUP_Table!$A$1:$B$4, 2, FALSE), "")</f>
        <v>Primary</v>
      </c>
      <c r="H967">
        <v>1</v>
      </c>
      <c r="I967">
        <v>9</v>
      </c>
      <c r="J967" t="str">
        <f t="shared" si="90"/>
        <v>Smoker</v>
      </c>
      <c r="K967">
        <v>0</v>
      </c>
      <c r="L967">
        <v>0</v>
      </c>
      <c r="M967">
        <v>0</v>
      </c>
      <c r="N967">
        <v>0</v>
      </c>
      <c r="O967">
        <v>165</v>
      </c>
      <c r="P967" t="str">
        <f t="shared" si="91"/>
        <v>Normal</v>
      </c>
      <c r="Q967">
        <v>139</v>
      </c>
      <c r="R967">
        <v>91</v>
      </c>
      <c r="S967">
        <v>26.54</v>
      </c>
      <c r="T967" t="str">
        <f t="shared" si="92"/>
        <v>Overweight</v>
      </c>
      <c r="U967">
        <v>83</v>
      </c>
      <c r="V967">
        <v>83</v>
      </c>
      <c r="W967" t="str">
        <f t="shared" si="95"/>
        <v>Normal</v>
      </c>
      <c r="X967">
        <v>0</v>
      </c>
    </row>
    <row r="968" spans="1:24" ht="14.5" thickBot="1" x14ac:dyDescent="0.35">
      <c r="A968">
        <v>0</v>
      </c>
      <c r="B968" t="str">
        <f t="shared" si="93"/>
        <v>Female</v>
      </c>
      <c r="C968" s="8">
        <v>42</v>
      </c>
      <c r="D968" t="str">
        <f t="shared" si="94"/>
        <v>Middle Age</v>
      </c>
      <c r="E968">
        <v>1</v>
      </c>
      <c r="F968" t="str">
        <f>HLOOKUP(E968, LookUP_Table!$A$6:$D$7, 2, FALSE)</f>
        <v>Primary</v>
      </c>
      <c r="G968" t="str">
        <f>IFERROR(VLOOKUP(E968, LookUP_Table!$A$1:$B$4, 2, FALSE), "")</f>
        <v>Primary</v>
      </c>
      <c r="H968">
        <v>1</v>
      </c>
      <c r="I968">
        <v>20</v>
      </c>
      <c r="J968" t="str">
        <f t="shared" si="90"/>
        <v>Smoker</v>
      </c>
      <c r="K968">
        <v>0</v>
      </c>
      <c r="L968">
        <v>0</v>
      </c>
      <c r="M968">
        <v>0</v>
      </c>
      <c r="N968">
        <v>0</v>
      </c>
      <c r="O968">
        <v>209</v>
      </c>
      <c r="P968" t="str">
        <f t="shared" si="91"/>
        <v>Normal</v>
      </c>
      <c r="Q968">
        <v>105</v>
      </c>
      <c r="R968">
        <v>65</v>
      </c>
      <c r="S968">
        <v>23.8</v>
      </c>
      <c r="T968" t="str">
        <f t="shared" si="92"/>
        <v>Normal</v>
      </c>
      <c r="U968">
        <v>69</v>
      </c>
      <c r="V968">
        <v>64</v>
      </c>
      <c r="W968" t="str">
        <f t="shared" si="95"/>
        <v>Normal</v>
      </c>
      <c r="X968">
        <v>0</v>
      </c>
    </row>
    <row r="969" spans="1:24" ht="14.5" thickBot="1" x14ac:dyDescent="0.35">
      <c r="A969">
        <v>1</v>
      </c>
      <c r="B969" t="str">
        <f t="shared" si="93"/>
        <v>Male</v>
      </c>
      <c r="C969" s="8">
        <v>42</v>
      </c>
      <c r="D969" t="str">
        <f t="shared" si="94"/>
        <v>Middle Age</v>
      </c>
      <c r="E969">
        <v>1</v>
      </c>
      <c r="F969" t="str">
        <f>HLOOKUP(E969, LookUP_Table!$A$6:$D$7, 2, FALSE)</f>
        <v>Primary</v>
      </c>
      <c r="G969" t="str">
        <f>IFERROR(VLOOKUP(E969, LookUP_Table!$A$1:$B$4, 2, FALSE), "")</f>
        <v>Primary</v>
      </c>
      <c r="H969">
        <v>1</v>
      </c>
      <c r="I969">
        <v>30</v>
      </c>
      <c r="J969" t="str">
        <f t="shared" si="90"/>
        <v>Smoker</v>
      </c>
      <c r="K969">
        <v>0</v>
      </c>
      <c r="L969">
        <v>0</v>
      </c>
      <c r="M969">
        <v>1</v>
      </c>
      <c r="N969">
        <v>0</v>
      </c>
      <c r="O969">
        <v>240</v>
      </c>
      <c r="P969" t="str">
        <f t="shared" si="91"/>
        <v>Normal</v>
      </c>
      <c r="Q969">
        <v>169</v>
      </c>
      <c r="R969">
        <v>96</v>
      </c>
      <c r="S969">
        <v>32.4</v>
      </c>
      <c r="T969" t="str">
        <f t="shared" si="92"/>
        <v>Obese</v>
      </c>
      <c r="U969">
        <v>90</v>
      </c>
      <c r="V969">
        <v>81.96365524402907</v>
      </c>
      <c r="W969" t="str">
        <f t="shared" si="95"/>
        <v>Normal</v>
      </c>
      <c r="X969">
        <v>0</v>
      </c>
    </row>
    <row r="970" spans="1:24" ht="14.5" thickBot="1" x14ac:dyDescent="0.35">
      <c r="A970">
        <v>0</v>
      </c>
      <c r="B970" t="str">
        <f t="shared" si="93"/>
        <v>Female</v>
      </c>
      <c r="C970" s="8">
        <v>42</v>
      </c>
      <c r="D970" t="str">
        <f t="shared" si="94"/>
        <v>Middle Age</v>
      </c>
      <c r="E970">
        <v>3</v>
      </c>
      <c r="F970" t="str">
        <f>HLOOKUP(E970, LookUP_Table!$A$6:$D$7, 2, FALSE)</f>
        <v>Graduate</v>
      </c>
      <c r="G970" t="str">
        <f>IFERROR(VLOOKUP(E970, LookUP_Table!$A$1:$B$4, 2, FALSE), "")</f>
        <v>Graduate</v>
      </c>
      <c r="H970">
        <v>1</v>
      </c>
      <c r="I970">
        <v>10</v>
      </c>
      <c r="J970" t="str">
        <f t="shared" si="90"/>
        <v>Smoker</v>
      </c>
      <c r="K970">
        <v>0</v>
      </c>
      <c r="L970">
        <v>0</v>
      </c>
      <c r="M970">
        <v>0</v>
      </c>
      <c r="N970">
        <v>0</v>
      </c>
      <c r="O970">
        <v>253</v>
      </c>
      <c r="P970" t="str">
        <f t="shared" si="91"/>
        <v>High</v>
      </c>
      <c r="Q970">
        <v>109</v>
      </c>
      <c r="R970">
        <v>74</v>
      </c>
      <c r="S970">
        <v>24.38</v>
      </c>
      <c r="T970" t="str">
        <f t="shared" si="92"/>
        <v>Normal</v>
      </c>
      <c r="U970">
        <v>88</v>
      </c>
      <c r="V970">
        <v>60</v>
      </c>
      <c r="W970" t="str">
        <f t="shared" si="95"/>
        <v>Normal</v>
      </c>
      <c r="X970">
        <v>0</v>
      </c>
    </row>
    <row r="971" spans="1:24" ht="14.5" thickBot="1" x14ac:dyDescent="0.35">
      <c r="A971">
        <v>0</v>
      </c>
      <c r="B971" t="str">
        <f t="shared" si="93"/>
        <v>Female</v>
      </c>
      <c r="C971" s="8">
        <v>42</v>
      </c>
      <c r="D971" t="str">
        <f t="shared" si="94"/>
        <v>Middle Age</v>
      </c>
      <c r="E971">
        <v>3</v>
      </c>
      <c r="F971" t="str">
        <f>HLOOKUP(E971, LookUP_Table!$A$6:$D$7, 2, FALSE)</f>
        <v>Graduate</v>
      </c>
      <c r="G971" t="str">
        <f>IFERROR(VLOOKUP(E971, LookUP_Table!$A$1:$B$4, 2, FALSE), "")</f>
        <v>Graduate</v>
      </c>
      <c r="H971">
        <v>1</v>
      </c>
      <c r="I971">
        <v>20</v>
      </c>
      <c r="J971" t="str">
        <f t="shared" si="90"/>
        <v>Smoker</v>
      </c>
      <c r="K971">
        <v>0</v>
      </c>
      <c r="L971">
        <v>0</v>
      </c>
      <c r="M971">
        <v>0</v>
      </c>
      <c r="N971">
        <v>0</v>
      </c>
      <c r="O971">
        <v>304</v>
      </c>
      <c r="P971" t="str">
        <f t="shared" si="91"/>
        <v>High</v>
      </c>
      <c r="Q971">
        <v>119</v>
      </c>
      <c r="R971">
        <v>76</v>
      </c>
      <c r="S971">
        <v>32.520000000000003</v>
      </c>
      <c r="T971" t="str">
        <f t="shared" si="92"/>
        <v>Obese</v>
      </c>
      <c r="U971">
        <v>64</v>
      </c>
      <c r="V971">
        <v>80</v>
      </c>
      <c r="W971" t="str">
        <f t="shared" si="95"/>
        <v>Normal</v>
      </c>
      <c r="X971">
        <v>0</v>
      </c>
    </row>
    <row r="972" spans="1:24" ht="14.5" thickBot="1" x14ac:dyDescent="0.35">
      <c r="A972">
        <v>1</v>
      </c>
      <c r="B972" t="str">
        <f t="shared" si="93"/>
        <v>Male</v>
      </c>
      <c r="C972" s="8">
        <v>42</v>
      </c>
      <c r="D972" t="str">
        <f t="shared" si="94"/>
        <v>Middle Age</v>
      </c>
      <c r="E972">
        <v>4</v>
      </c>
      <c r="F972" t="str">
        <f>HLOOKUP(E972, LookUP_Table!$A$6:$D$7, 2, FALSE)</f>
        <v>Post Graduate</v>
      </c>
      <c r="G972" t="str">
        <f>IFERROR(VLOOKUP(E972, LookUP_Table!$A$1:$B$4, 2, FALSE), "")</f>
        <v>Post Graduate</v>
      </c>
      <c r="H972">
        <v>0</v>
      </c>
      <c r="I972">
        <v>0</v>
      </c>
      <c r="J972" t="str">
        <f t="shared" si="90"/>
        <v>Non-Smoker</v>
      </c>
      <c r="K972">
        <v>0</v>
      </c>
      <c r="L972">
        <v>0</v>
      </c>
      <c r="M972">
        <v>1</v>
      </c>
      <c r="N972">
        <v>0</v>
      </c>
      <c r="O972">
        <v>245</v>
      </c>
      <c r="P972" t="str">
        <f t="shared" si="91"/>
        <v>High</v>
      </c>
      <c r="Q972">
        <v>142.5</v>
      </c>
      <c r="R972">
        <v>85</v>
      </c>
      <c r="S972">
        <v>35.450000000000003</v>
      </c>
      <c r="T972" t="str">
        <f t="shared" si="92"/>
        <v>Obese</v>
      </c>
      <c r="U972">
        <v>62</v>
      </c>
      <c r="V972">
        <v>81.96365524402907</v>
      </c>
      <c r="W972" t="str">
        <f t="shared" si="95"/>
        <v>Normal</v>
      </c>
      <c r="X972">
        <v>0</v>
      </c>
    </row>
    <row r="973" spans="1:24" ht="14.5" thickBot="1" x14ac:dyDescent="0.35">
      <c r="A973">
        <v>0</v>
      </c>
      <c r="B973" t="str">
        <f t="shared" si="93"/>
        <v>Female</v>
      </c>
      <c r="C973" s="8">
        <v>42</v>
      </c>
      <c r="D973" t="str">
        <f t="shared" si="94"/>
        <v>Middle Age</v>
      </c>
      <c r="E973">
        <v>1</v>
      </c>
      <c r="F973" t="str">
        <f>HLOOKUP(E973, LookUP_Table!$A$6:$D$7, 2, FALSE)</f>
        <v>Primary</v>
      </c>
      <c r="G973" t="str">
        <f>IFERROR(VLOOKUP(E973, LookUP_Table!$A$1:$B$4, 2, FALSE), "")</f>
        <v>Primary</v>
      </c>
      <c r="H973">
        <v>0</v>
      </c>
      <c r="I973">
        <v>0</v>
      </c>
      <c r="J973" t="str">
        <f t="shared" si="90"/>
        <v>Non-Smoker</v>
      </c>
      <c r="K973">
        <v>0</v>
      </c>
      <c r="L973">
        <v>0</v>
      </c>
      <c r="M973">
        <v>0</v>
      </c>
      <c r="N973">
        <v>0</v>
      </c>
      <c r="O973">
        <v>271</v>
      </c>
      <c r="P973" t="str">
        <f t="shared" si="91"/>
        <v>High</v>
      </c>
      <c r="Q973">
        <v>115</v>
      </c>
      <c r="R973">
        <v>77</v>
      </c>
      <c r="S973">
        <v>28.68</v>
      </c>
      <c r="T973" t="str">
        <f t="shared" si="92"/>
        <v>Overweight</v>
      </c>
      <c r="U973">
        <v>66</v>
      </c>
      <c r="V973">
        <v>82</v>
      </c>
      <c r="W973" t="str">
        <f t="shared" si="95"/>
        <v>Normal</v>
      </c>
      <c r="X973">
        <v>0</v>
      </c>
    </row>
    <row r="974" spans="1:24" ht="14.5" thickBot="1" x14ac:dyDescent="0.35">
      <c r="A974">
        <v>0</v>
      </c>
      <c r="B974" t="str">
        <f t="shared" si="93"/>
        <v>Female</v>
      </c>
      <c r="C974" s="8">
        <v>42</v>
      </c>
      <c r="D974" t="str">
        <f t="shared" si="94"/>
        <v>Middle Age</v>
      </c>
      <c r="E974">
        <v>2</v>
      </c>
      <c r="F974" t="str">
        <f>HLOOKUP(E974, LookUP_Table!$A$6:$D$7, 2, FALSE)</f>
        <v>Secondary</v>
      </c>
      <c r="G974" t="str">
        <f>IFERROR(VLOOKUP(E974, LookUP_Table!$A$1:$B$4, 2, FALSE), "")</f>
        <v>Secondary</v>
      </c>
      <c r="H974">
        <v>1</v>
      </c>
      <c r="I974">
        <v>15</v>
      </c>
      <c r="J974" t="str">
        <f t="shared" si="90"/>
        <v>Smoker</v>
      </c>
      <c r="K974">
        <v>0</v>
      </c>
      <c r="L974">
        <v>0</v>
      </c>
      <c r="M974">
        <v>0</v>
      </c>
      <c r="N974">
        <v>0</v>
      </c>
      <c r="O974">
        <v>197</v>
      </c>
      <c r="P974" t="str">
        <f t="shared" si="91"/>
        <v>Normal</v>
      </c>
      <c r="Q974">
        <v>124</v>
      </c>
      <c r="R974">
        <v>81</v>
      </c>
      <c r="S974">
        <v>21.5</v>
      </c>
      <c r="T974" t="str">
        <f t="shared" si="92"/>
        <v>Normal</v>
      </c>
      <c r="U974">
        <v>80</v>
      </c>
      <c r="V974">
        <v>63</v>
      </c>
      <c r="W974" t="str">
        <f t="shared" si="95"/>
        <v>Normal</v>
      </c>
      <c r="X974">
        <v>0</v>
      </c>
    </row>
    <row r="975" spans="1:24" ht="14.5" thickBot="1" x14ac:dyDescent="0.35">
      <c r="A975">
        <v>1</v>
      </c>
      <c r="B975" t="str">
        <f t="shared" si="93"/>
        <v>Male</v>
      </c>
      <c r="C975" s="8">
        <v>42</v>
      </c>
      <c r="D975" t="str">
        <f t="shared" si="94"/>
        <v>Middle Age</v>
      </c>
      <c r="E975">
        <v>4</v>
      </c>
      <c r="F975" t="str">
        <f>HLOOKUP(E975, LookUP_Table!$A$6:$D$7, 2, FALSE)</f>
        <v>Post Graduate</v>
      </c>
      <c r="G975" t="str">
        <f>IFERROR(VLOOKUP(E975, LookUP_Table!$A$1:$B$4, 2, FALSE), "")</f>
        <v>Post Graduate</v>
      </c>
      <c r="H975">
        <v>0</v>
      </c>
      <c r="I975">
        <v>0</v>
      </c>
      <c r="J975" t="str">
        <f t="shared" si="90"/>
        <v>Non-Smoker</v>
      </c>
      <c r="K975">
        <v>0</v>
      </c>
      <c r="L975">
        <v>0</v>
      </c>
      <c r="M975">
        <v>0</v>
      </c>
      <c r="N975">
        <v>0</v>
      </c>
      <c r="O975">
        <v>195</v>
      </c>
      <c r="P975" t="str">
        <f t="shared" si="91"/>
        <v>Normal</v>
      </c>
      <c r="Q975">
        <v>112</v>
      </c>
      <c r="R975">
        <v>74.5</v>
      </c>
      <c r="S975">
        <v>23.37</v>
      </c>
      <c r="T975" t="str">
        <f t="shared" si="92"/>
        <v>Normal</v>
      </c>
      <c r="U975">
        <v>58</v>
      </c>
      <c r="V975">
        <v>110</v>
      </c>
      <c r="W975" t="str">
        <f t="shared" si="95"/>
        <v>Prediabetes</v>
      </c>
      <c r="X975">
        <v>0</v>
      </c>
    </row>
    <row r="976" spans="1:24" ht="14.5" thickBot="1" x14ac:dyDescent="0.35">
      <c r="A976">
        <v>1</v>
      </c>
      <c r="B976" t="str">
        <f t="shared" si="93"/>
        <v>Male</v>
      </c>
      <c r="C976" s="8">
        <v>42</v>
      </c>
      <c r="D976" t="str">
        <f t="shared" si="94"/>
        <v>Middle Age</v>
      </c>
      <c r="E976">
        <v>3</v>
      </c>
      <c r="F976" t="str">
        <f>HLOOKUP(E976, LookUP_Table!$A$6:$D$7, 2, FALSE)</f>
        <v>Graduate</v>
      </c>
      <c r="G976" t="str">
        <f>IFERROR(VLOOKUP(E976, LookUP_Table!$A$1:$B$4, 2, FALSE), "")</f>
        <v>Graduate</v>
      </c>
      <c r="H976">
        <v>1</v>
      </c>
      <c r="I976">
        <v>9</v>
      </c>
      <c r="J976" t="str">
        <f t="shared" si="90"/>
        <v>Smoker</v>
      </c>
      <c r="K976">
        <v>0</v>
      </c>
      <c r="L976">
        <v>0</v>
      </c>
      <c r="M976">
        <v>0</v>
      </c>
      <c r="N976">
        <v>0</v>
      </c>
      <c r="O976">
        <v>225</v>
      </c>
      <c r="P976" t="str">
        <f t="shared" si="91"/>
        <v>Normal</v>
      </c>
      <c r="Q976">
        <v>122.5</v>
      </c>
      <c r="R976">
        <v>80</v>
      </c>
      <c r="S976">
        <v>25.54</v>
      </c>
      <c r="T976" t="str">
        <f t="shared" si="92"/>
        <v>Overweight</v>
      </c>
      <c r="U976">
        <v>90</v>
      </c>
      <c r="V976">
        <v>90</v>
      </c>
      <c r="W976" t="str">
        <f t="shared" si="95"/>
        <v>Normal</v>
      </c>
      <c r="X976">
        <v>0</v>
      </c>
    </row>
    <row r="977" spans="1:24" ht="14.5" thickBot="1" x14ac:dyDescent="0.35">
      <c r="A977">
        <v>0</v>
      </c>
      <c r="B977" t="str">
        <f t="shared" si="93"/>
        <v>Female</v>
      </c>
      <c r="C977" s="8">
        <v>42</v>
      </c>
      <c r="D977" t="str">
        <f t="shared" si="94"/>
        <v>Middle Age</v>
      </c>
      <c r="E977">
        <v>3</v>
      </c>
      <c r="F977" t="str">
        <f>HLOOKUP(E977, LookUP_Table!$A$6:$D$7, 2, FALSE)</f>
        <v>Graduate</v>
      </c>
      <c r="G977" t="str">
        <f>IFERROR(VLOOKUP(E977, LookUP_Table!$A$1:$B$4, 2, FALSE), "")</f>
        <v>Graduate</v>
      </c>
      <c r="H977">
        <v>1</v>
      </c>
      <c r="I977">
        <v>5</v>
      </c>
      <c r="J977" t="str">
        <f t="shared" si="90"/>
        <v>Smoker</v>
      </c>
      <c r="K977">
        <v>0</v>
      </c>
      <c r="L977">
        <v>0</v>
      </c>
      <c r="M977">
        <v>0</v>
      </c>
      <c r="N977">
        <v>0</v>
      </c>
      <c r="O977">
        <v>152</v>
      </c>
      <c r="P977" t="str">
        <f t="shared" si="91"/>
        <v>Normal</v>
      </c>
      <c r="Q977">
        <v>122</v>
      </c>
      <c r="R977">
        <v>76</v>
      </c>
      <c r="S977">
        <v>21.26</v>
      </c>
      <c r="T977" t="str">
        <f t="shared" si="92"/>
        <v>Normal</v>
      </c>
      <c r="U977">
        <v>85</v>
      </c>
      <c r="V977">
        <v>78</v>
      </c>
      <c r="W977" t="str">
        <f t="shared" si="95"/>
        <v>Normal</v>
      </c>
      <c r="X977">
        <v>0</v>
      </c>
    </row>
    <row r="978" spans="1:24" ht="14.5" thickBot="1" x14ac:dyDescent="0.35">
      <c r="A978">
        <v>0</v>
      </c>
      <c r="B978" t="str">
        <f t="shared" si="93"/>
        <v>Female</v>
      </c>
      <c r="C978" s="8">
        <v>42</v>
      </c>
      <c r="D978" t="str">
        <f t="shared" si="94"/>
        <v>Middle Age</v>
      </c>
      <c r="E978">
        <v>2</v>
      </c>
      <c r="F978" t="str">
        <f>HLOOKUP(E978, LookUP_Table!$A$6:$D$7, 2, FALSE)</f>
        <v>Secondary</v>
      </c>
      <c r="G978" t="str">
        <f>IFERROR(VLOOKUP(E978, LookUP_Table!$A$1:$B$4, 2, FALSE), "")</f>
        <v>Secondary</v>
      </c>
      <c r="H978">
        <v>0</v>
      </c>
      <c r="I978">
        <v>0</v>
      </c>
      <c r="J978" t="str">
        <f t="shared" si="90"/>
        <v>Non-Smoker</v>
      </c>
      <c r="K978">
        <v>0</v>
      </c>
      <c r="L978">
        <v>0</v>
      </c>
      <c r="M978">
        <v>1</v>
      </c>
      <c r="N978">
        <v>0</v>
      </c>
      <c r="O978">
        <v>230</v>
      </c>
      <c r="P978" t="str">
        <f t="shared" si="91"/>
        <v>Normal</v>
      </c>
      <c r="Q978">
        <v>142.5</v>
      </c>
      <c r="R978">
        <v>97.5</v>
      </c>
      <c r="S978">
        <v>29.94</v>
      </c>
      <c r="T978" t="str">
        <f t="shared" si="92"/>
        <v>Overweight</v>
      </c>
      <c r="U978">
        <v>75</v>
      </c>
      <c r="V978">
        <v>75</v>
      </c>
      <c r="W978" t="str">
        <f t="shared" si="95"/>
        <v>Normal</v>
      </c>
      <c r="X978">
        <v>0</v>
      </c>
    </row>
    <row r="979" spans="1:24" ht="14.5" thickBot="1" x14ac:dyDescent="0.35">
      <c r="A979">
        <v>1</v>
      </c>
      <c r="B979" t="str">
        <f t="shared" si="93"/>
        <v>Male</v>
      </c>
      <c r="C979" s="8">
        <v>42</v>
      </c>
      <c r="D979" t="str">
        <f t="shared" si="94"/>
        <v>Middle Age</v>
      </c>
      <c r="E979">
        <v>4</v>
      </c>
      <c r="F979" t="str">
        <f>HLOOKUP(E979, LookUP_Table!$A$6:$D$7, 2, FALSE)</f>
        <v>Post Graduate</v>
      </c>
      <c r="G979" t="str">
        <f>IFERROR(VLOOKUP(E979, LookUP_Table!$A$1:$B$4, 2, FALSE), "")</f>
        <v>Post Graduate</v>
      </c>
      <c r="H979">
        <v>0</v>
      </c>
      <c r="I979">
        <v>0</v>
      </c>
      <c r="J979" t="str">
        <f t="shared" si="90"/>
        <v>Non-Smoker</v>
      </c>
      <c r="K979">
        <v>0</v>
      </c>
      <c r="L979">
        <v>0</v>
      </c>
      <c r="M979">
        <v>0</v>
      </c>
      <c r="N979">
        <v>0</v>
      </c>
      <c r="O979">
        <v>225</v>
      </c>
      <c r="P979" t="str">
        <f t="shared" si="91"/>
        <v>Normal</v>
      </c>
      <c r="Q979">
        <v>110</v>
      </c>
      <c r="R979">
        <v>73</v>
      </c>
      <c r="S979">
        <v>27.67</v>
      </c>
      <c r="T979" t="str">
        <f t="shared" si="92"/>
        <v>Overweight</v>
      </c>
      <c r="U979">
        <v>65</v>
      </c>
      <c r="V979">
        <v>65</v>
      </c>
      <c r="W979" t="str">
        <f t="shared" si="95"/>
        <v>Normal</v>
      </c>
      <c r="X979">
        <v>0</v>
      </c>
    </row>
    <row r="980" spans="1:24" ht="14.5" thickBot="1" x14ac:dyDescent="0.35">
      <c r="A980">
        <v>0</v>
      </c>
      <c r="B980" t="str">
        <f t="shared" si="93"/>
        <v>Female</v>
      </c>
      <c r="C980" s="8">
        <v>42</v>
      </c>
      <c r="D980" t="str">
        <f t="shared" si="94"/>
        <v>Middle Age</v>
      </c>
      <c r="E980">
        <v>1</v>
      </c>
      <c r="F980" t="str">
        <f>HLOOKUP(E980, LookUP_Table!$A$6:$D$7, 2, FALSE)</f>
        <v>Primary</v>
      </c>
      <c r="G980" t="str">
        <f>IFERROR(VLOOKUP(E980, LookUP_Table!$A$1:$B$4, 2, FALSE), "")</f>
        <v>Primary</v>
      </c>
      <c r="H980">
        <v>0</v>
      </c>
      <c r="I980">
        <v>0</v>
      </c>
      <c r="J980" t="str">
        <f t="shared" si="90"/>
        <v>Non-Smoker</v>
      </c>
      <c r="K980">
        <v>0</v>
      </c>
      <c r="L980">
        <v>0</v>
      </c>
      <c r="M980">
        <v>0</v>
      </c>
      <c r="N980">
        <v>0</v>
      </c>
      <c r="O980">
        <v>249</v>
      </c>
      <c r="P980" t="str">
        <f t="shared" si="91"/>
        <v>High</v>
      </c>
      <c r="Q980">
        <v>101</v>
      </c>
      <c r="R980">
        <v>70</v>
      </c>
      <c r="S980">
        <v>21.74</v>
      </c>
      <c r="T980" t="str">
        <f t="shared" si="92"/>
        <v>Normal</v>
      </c>
      <c r="U980">
        <v>94</v>
      </c>
      <c r="V980">
        <v>60</v>
      </c>
      <c r="W980" t="str">
        <f t="shared" si="95"/>
        <v>Normal</v>
      </c>
      <c r="X980">
        <v>0</v>
      </c>
    </row>
    <row r="981" spans="1:24" ht="14.5" thickBot="1" x14ac:dyDescent="0.35">
      <c r="A981">
        <v>1</v>
      </c>
      <c r="B981" t="str">
        <f t="shared" si="93"/>
        <v>Male</v>
      </c>
      <c r="C981" s="8">
        <v>42</v>
      </c>
      <c r="D981" t="str">
        <f t="shared" si="94"/>
        <v>Middle Age</v>
      </c>
      <c r="E981">
        <v>1</v>
      </c>
      <c r="F981" t="str">
        <f>HLOOKUP(E981, LookUP_Table!$A$6:$D$7, 2, FALSE)</f>
        <v>Primary</v>
      </c>
      <c r="G981" t="str">
        <f>IFERROR(VLOOKUP(E981, LookUP_Table!$A$1:$B$4, 2, FALSE), "")</f>
        <v>Primary</v>
      </c>
      <c r="H981">
        <v>1</v>
      </c>
      <c r="I981">
        <v>30</v>
      </c>
      <c r="J981" t="str">
        <f t="shared" si="90"/>
        <v>Smoker</v>
      </c>
      <c r="K981">
        <v>0</v>
      </c>
      <c r="L981">
        <v>0</v>
      </c>
      <c r="M981">
        <v>0</v>
      </c>
      <c r="N981">
        <v>0</v>
      </c>
      <c r="O981">
        <v>224</v>
      </c>
      <c r="P981" t="str">
        <f t="shared" si="91"/>
        <v>Normal</v>
      </c>
      <c r="Q981">
        <v>127.5</v>
      </c>
      <c r="R981">
        <v>89</v>
      </c>
      <c r="S981">
        <v>29.84</v>
      </c>
      <c r="T981" t="str">
        <f t="shared" si="92"/>
        <v>Overweight</v>
      </c>
      <c r="U981">
        <v>79</v>
      </c>
      <c r="V981">
        <v>75</v>
      </c>
      <c r="W981" t="str">
        <f t="shared" si="95"/>
        <v>Normal</v>
      </c>
      <c r="X981">
        <v>0</v>
      </c>
    </row>
    <row r="982" spans="1:24" ht="14.5" thickBot="1" x14ac:dyDescent="0.35">
      <c r="A982">
        <v>0</v>
      </c>
      <c r="B982" t="str">
        <f t="shared" si="93"/>
        <v>Female</v>
      </c>
      <c r="C982" s="8">
        <v>42</v>
      </c>
      <c r="D982" t="str">
        <f t="shared" si="94"/>
        <v>Middle Age</v>
      </c>
      <c r="E982">
        <v>3</v>
      </c>
      <c r="F982" t="str">
        <f>HLOOKUP(E982, LookUP_Table!$A$6:$D$7, 2, FALSE)</f>
        <v>Graduate</v>
      </c>
      <c r="G982" t="str">
        <f>IFERROR(VLOOKUP(E982, LookUP_Table!$A$1:$B$4, 2, FALSE), "")</f>
        <v>Graduate</v>
      </c>
      <c r="H982">
        <v>1</v>
      </c>
      <c r="I982">
        <v>20</v>
      </c>
      <c r="J982" t="str">
        <f t="shared" si="90"/>
        <v>Smoker</v>
      </c>
      <c r="K982">
        <v>0</v>
      </c>
      <c r="L982">
        <v>0</v>
      </c>
      <c r="M982">
        <v>0</v>
      </c>
      <c r="N982">
        <v>0</v>
      </c>
      <c r="O982">
        <v>175</v>
      </c>
      <c r="P982" t="str">
        <f t="shared" si="91"/>
        <v>Normal</v>
      </c>
      <c r="Q982">
        <v>132</v>
      </c>
      <c r="R982">
        <v>86</v>
      </c>
      <c r="S982">
        <v>20.53</v>
      </c>
      <c r="T982" t="str">
        <f t="shared" si="92"/>
        <v>Normal</v>
      </c>
      <c r="U982">
        <v>80</v>
      </c>
      <c r="V982">
        <v>88</v>
      </c>
      <c r="W982" t="str">
        <f t="shared" si="95"/>
        <v>Normal</v>
      </c>
      <c r="X982">
        <v>0</v>
      </c>
    </row>
    <row r="983" spans="1:24" ht="14.5" thickBot="1" x14ac:dyDescent="0.35">
      <c r="A983">
        <v>0</v>
      </c>
      <c r="B983" t="str">
        <f t="shared" si="93"/>
        <v>Female</v>
      </c>
      <c r="C983" s="8">
        <v>42</v>
      </c>
      <c r="D983" t="str">
        <f t="shared" si="94"/>
        <v>Middle Age</v>
      </c>
      <c r="E983">
        <v>1</v>
      </c>
      <c r="F983" t="str">
        <f>HLOOKUP(E983, LookUP_Table!$A$6:$D$7, 2, FALSE)</f>
        <v>Primary</v>
      </c>
      <c r="G983" t="str">
        <f>IFERROR(VLOOKUP(E983, LookUP_Table!$A$1:$B$4, 2, FALSE), "")</f>
        <v>Primary</v>
      </c>
      <c r="H983">
        <v>1</v>
      </c>
      <c r="I983">
        <v>15</v>
      </c>
      <c r="J983" t="str">
        <f t="shared" si="90"/>
        <v>Smoker</v>
      </c>
      <c r="K983">
        <v>0</v>
      </c>
      <c r="L983">
        <v>0</v>
      </c>
      <c r="M983">
        <v>0</v>
      </c>
      <c r="N983">
        <v>0</v>
      </c>
      <c r="O983">
        <v>228</v>
      </c>
      <c r="P983" t="str">
        <f t="shared" si="91"/>
        <v>Normal</v>
      </c>
      <c r="Q983">
        <v>131</v>
      </c>
      <c r="R983">
        <v>85</v>
      </c>
      <c r="S983">
        <v>25.08</v>
      </c>
      <c r="T983" t="str">
        <f t="shared" si="92"/>
        <v>Overweight</v>
      </c>
      <c r="U983">
        <v>72</v>
      </c>
      <c r="V983">
        <v>81.96365524402907</v>
      </c>
      <c r="W983" t="str">
        <f t="shared" si="95"/>
        <v>Normal</v>
      </c>
      <c r="X983">
        <v>0</v>
      </c>
    </row>
    <row r="984" spans="1:24" ht="14.5" thickBot="1" x14ac:dyDescent="0.35">
      <c r="A984">
        <v>0</v>
      </c>
      <c r="B984" t="str">
        <f t="shared" si="93"/>
        <v>Female</v>
      </c>
      <c r="C984" s="8">
        <v>42</v>
      </c>
      <c r="D984" t="str">
        <f t="shared" si="94"/>
        <v>Middle Age</v>
      </c>
      <c r="E984">
        <v>1</v>
      </c>
      <c r="F984" t="str">
        <f>HLOOKUP(E984, LookUP_Table!$A$6:$D$7, 2, FALSE)</f>
        <v>Primary</v>
      </c>
      <c r="G984" t="str">
        <f>IFERROR(VLOOKUP(E984, LookUP_Table!$A$1:$B$4, 2, FALSE), "")</f>
        <v>Primary</v>
      </c>
      <c r="H984">
        <v>0</v>
      </c>
      <c r="I984">
        <v>0</v>
      </c>
      <c r="J984" t="str">
        <f t="shared" si="90"/>
        <v>Non-Smoker</v>
      </c>
      <c r="K984">
        <v>0</v>
      </c>
      <c r="L984">
        <v>0</v>
      </c>
      <c r="M984">
        <v>0</v>
      </c>
      <c r="N984">
        <v>0</v>
      </c>
      <c r="O984">
        <v>170</v>
      </c>
      <c r="P984" t="str">
        <f t="shared" si="91"/>
        <v>Normal</v>
      </c>
      <c r="Q984">
        <v>113</v>
      </c>
      <c r="R984">
        <v>79</v>
      </c>
      <c r="S984">
        <v>21.31</v>
      </c>
      <c r="T984" t="str">
        <f t="shared" si="92"/>
        <v>Normal</v>
      </c>
      <c r="U984">
        <v>70</v>
      </c>
      <c r="V984">
        <v>65</v>
      </c>
      <c r="W984" t="str">
        <f t="shared" si="95"/>
        <v>Normal</v>
      </c>
      <c r="X984">
        <v>1</v>
      </c>
    </row>
    <row r="985" spans="1:24" ht="14.5" thickBot="1" x14ac:dyDescent="0.35">
      <c r="A985">
        <v>1</v>
      </c>
      <c r="B985" t="str">
        <f t="shared" si="93"/>
        <v>Male</v>
      </c>
      <c r="C985" s="8">
        <v>42</v>
      </c>
      <c r="D985" t="str">
        <f t="shared" si="94"/>
        <v>Middle Age</v>
      </c>
      <c r="E985">
        <v>3</v>
      </c>
      <c r="F985" t="str">
        <f>HLOOKUP(E985, LookUP_Table!$A$6:$D$7, 2, FALSE)</f>
        <v>Graduate</v>
      </c>
      <c r="G985" t="str">
        <f>IFERROR(VLOOKUP(E985, LookUP_Table!$A$1:$B$4, 2, FALSE), "")</f>
        <v>Graduate</v>
      </c>
      <c r="H985">
        <v>1</v>
      </c>
      <c r="I985">
        <v>20</v>
      </c>
      <c r="J985" t="str">
        <f t="shared" si="90"/>
        <v>Smoker</v>
      </c>
      <c r="K985">
        <v>0</v>
      </c>
      <c r="L985">
        <v>0</v>
      </c>
      <c r="M985">
        <v>0</v>
      </c>
      <c r="N985">
        <v>0</v>
      </c>
      <c r="O985">
        <v>231</v>
      </c>
      <c r="P985" t="str">
        <f t="shared" si="91"/>
        <v>Normal</v>
      </c>
      <c r="Q985">
        <v>123</v>
      </c>
      <c r="R985">
        <v>87</v>
      </c>
      <c r="S985">
        <v>21.48</v>
      </c>
      <c r="T985" t="str">
        <f t="shared" si="92"/>
        <v>Normal</v>
      </c>
      <c r="U985">
        <v>75</v>
      </c>
      <c r="V985">
        <v>44</v>
      </c>
      <c r="W985" t="str">
        <f t="shared" si="95"/>
        <v>Normal</v>
      </c>
      <c r="X985">
        <v>0</v>
      </c>
    </row>
    <row r="986" spans="1:24" ht="14.5" thickBot="1" x14ac:dyDescent="0.35">
      <c r="A986">
        <v>0</v>
      </c>
      <c r="B986" t="str">
        <f t="shared" si="93"/>
        <v>Female</v>
      </c>
      <c r="C986" s="8">
        <v>42</v>
      </c>
      <c r="D986" t="str">
        <f t="shared" si="94"/>
        <v>Middle Age</v>
      </c>
      <c r="E986">
        <v>3</v>
      </c>
      <c r="F986" t="str">
        <f>HLOOKUP(E986, LookUP_Table!$A$6:$D$7, 2, FALSE)</f>
        <v>Graduate</v>
      </c>
      <c r="G986" t="str">
        <f>IFERROR(VLOOKUP(E986, LookUP_Table!$A$1:$B$4, 2, FALSE), "")</f>
        <v>Graduate</v>
      </c>
      <c r="H986">
        <v>0</v>
      </c>
      <c r="I986">
        <v>0</v>
      </c>
      <c r="J986" t="str">
        <f t="shared" si="90"/>
        <v>Non-Smoker</v>
      </c>
      <c r="K986">
        <v>0</v>
      </c>
      <c r="L986">
        <v>0</v>
      </c>
      <c r="M986">
        <v>1</v>
      </c>
      <c r="N986">
        <v>0</v>
      </c>
      <c r="O986">
        <v>230</v>
      </c>
      <c r="P986" t="str">
        <f t="shared" si="91"/>
        <v>Normal</v>
      </c>
      <c r="Q986">
        <v>142.5</v>
      </c>
      <c r="R986">
        <v>79</v>
      </c>
      <c r="S986">
        <v>25.15</v>
      </c>
      <c r="T986" t="str">
        <f t="shared" si="92"/>
        <v>Overweight</v>
      </c>
      <c r="U986">
        <v>82</v>
      </c>
      <c r="V986">
        <v>99</v>
      </c>
      <c r="W986" t="str">
        <f t="shared" si="95"/>
        <v>Normal</v>
      </c>
      <c r="X986">
        <v>0</v>
      </c>
    </row>
    <row r="987" spans="1:24" ht="14.5" thickBot="1" x14ac:dyDescent="0.35">
      <c r="A987">
        <v>1</v>
      </c>
      <c r="B987" t="str">
        <f t="shared" si="93"/>
        <v>Male</v>
      </c>
      <c r="C987" s="8">
        <v>42</v>
      </c>
      <c r="D987" t="str">
        <f t="shared" si="94"/>
        <v>Middle Age</v>
      </c>
      <c r="E987">
        <v>1</v>
      </c>
      <c r="F987" t="str">
        <f>HLOOKUP(E987, LookUP_Table!$A$6:$D$7, 2, FALSE)</f>
        <v>Primary</v>
      </c>
      <c r="G987" t="str">
        <f>IFERROR(VLOOKUP(E987, LookUP_Table!$A$1:$B$4, 2, FALSE), "")</f>
        <v>Primary</v>
      </c>
      <c r="H987">
        <v>1</v>
      </c>
      <c r="I987">
        <v>20</v>
      </c>
      <c r="J987" t="str">
        <f t="shared" si="90"/>
        <v>Smoker</v>
      </c>
      <c r="K987">
        <v>0</v>
      </c>
      <c r="L987">
        <v>0</v>
      </c>
      <c r="M987">
        <v>0</v>
      </c>
      <c r="N987">
        <v>0</v>
      </c>
      <c r="O987">
        <v>220</v>
      </c>
      <c r="P987" t="str">
        <f t="shared" si="91"/>
        <v>Normal</v>
      </c>
      <c r="Q987">
        <v>112.5</v>
      </c>
      <c r="R987">
        <v>80</v>
      </c>
      <c r="S987">
        <v>29</v>
      </c>
      <c r="T987" t="str">
        <f t="shared" si="92"/>
        <v>Overweight</v>
      </c>
      <c r="U987">
        <v>60</v>
      </c>
      <c r="V987">
        <v>60</v>
      </c>
      <c r="W987" t="str">
        <f t="shared" si="95"/>
        <v>Normal</v>
      </c>
      <c r="X987">
        <v>0</v>
      </c>
    </row>
    <row r="988" spans="1:24" ht="14.5" thickBot="1" x14ac:dyDescent="0.35">
      <c r="A988">
        <v>1</v>
      </c>
      <c r="B988" t="str">
        <f t="shared" si="93"/>
        <v>Male</v>
      </c>
      <c r="C988" s="8">
        <v>42</v>
      </c>
      <c r="D988" t="str">
        <f t="shared" si="94"/>
        <v>Middle Age</v>
      </c>
      <c r="E988">
        <v>1</v>
      </c>
      <c r="F988" t="str">
        <f>HLOOKUP(E988, LookUP_Table!$A$6:$D$7, 2, FALSE)</f>
        <v>Primary</v>
      </c>
      <c r="G988" t="str">
        <f>IFERROR(VLOOKUP(E988, LookUP_Table!$A$1:$B$4, 2, FALSE), "")</f>
        <v>Primary</v>
      </c>
      <c r="H988">
        <v>1</v>
      </c>
      <c r="I988">
        <v>20</v>
      </c>
      <c r="J988" t="str">
        <f t="shared" si="90"/>
        <v>Smoker</v>
      </c>
      <c r="K988">
        <v>0</v>
      </c>
      <c r="L988">
        <v>0</v>
      </c>
      <c r="M988">
        <v>0</v>
      </c>
      <c r="N988">
        <v>0</v>
      </c>
      <c r="O988">
        <v>410</v>
      </c>
      <c r="P988" t="str">
        <f t="shared" si="91"/>
        <v>High</v>
      </c>
      <c r="Q988">
        <v>116</v>
      </c>
      <c r="R988">
        <v>83</v>
      </c>
      <c r="S988">
        <v>21.68</v>
      </c>
      <c r="T988" t="str">
        <f t="shared" si="92"/>
        <v>Normal</v>
      </c>
      <c r="U988">
        <v>90</v>
      </c>
      <c r="V988">
        <v>83</v>
      </c>
      <c r="W988" t="str">
        <f t="shared" si="95"/>
        <v>Normal</v>
      </c>
      <c r="X988">
        <v>0</v>
      </c>
    </row>
    <row r="989" spans="1:24" ht="14.5" thickBot="1" x14ac:dyDescent="0.35">
      <c r="A989">
        <v>0</v>
      </c>
      <c r="B989" t="str">
        <f t="shared" si="93"/>
        <v>Female</v>
      </c>
      <c r="C989" s="8">
        <v>42</v>
      </c>
      <c r="D989" t="str">
        <f t="shared" si="94"/>
        <v>Middle Age</v>
      </c>
      <c r="E989">
        <v>4</v>
      </c>
      <c r="F989" t="str">
        <f>HLOOKUP(E989, LookUP_Table!$A$6:$D$7, 2, FALSE)</f>
        <v>Post Graduate</v>
      </c>
      <c r="G989" t="str">
        <f>IFERROR(VLOOKUP(E989, LookUP_Table!$A$1:$B$4, 2, FALSE), "")</f>
        <v>Post Graduate</v>
      </c>
      <c r="H989">
        <v>0</v>
      </c>
      <c r="I989">
        <v>0</v>
      </c>
      <c r="J989" t="str">
        <f t="shared" si="90"/>
        <v>Non-Smoker</v>
      </c>
      <c r="K989">
        <v>0</v>
      </c>
      <c r="L989">
        <v>0</v>
      </c>
      <c r="M989">
        <v>0</v>
      </c>
      <c r="N989">
        <v>0</v>
      </c>
      <c r="O989">
        <v>182</v>
      </c>
      <c r="P989" t="str">
        <f t="shared" si="91"/>
        <v>Normal</v>
      </c>
      <c r="Q989">
        <v>138</v>
      </c>
      <c r="R989">
        <v>91</v>
      </c>
      <c r="S989">
        <v>20.02</v>
      </c>
      <c r="T989" t="str">
        <f t="shared" si="92"/>
        <v>Normal</v>
      </c>
      <c r="U989">
        <v>90</v>
      </c>
      <c r="V989">
        <v>74</v>
      </c>
      <c r="W989" t="str">
        <f t="shared" si="95"/>
        <v>Normal</v>
      </c>
      <c r="X989">
        <v>0</v>
      </c>
    </row>
    <row r="990" spans="1:24" ht="14.5" thickBot="1" x14ac:dyDescent="0.35">
      <c r="A990">
        <v>0</v>
      </c>
      <c r="B990" t="str">
        <f t="shared" si="93"/>
        <v>Female</v>
      </c>
      <c r="C990" s="8">
        <v>42</v>
      </c>
      <c r="D990" t="str">
        <f t="shared" si="94"/>
        <v>Middle Age</v>
      </c>
      <c r="E990">
        <v>1</v>
      </c>
      <c r="F990" t="str">
        <f>HLOOKUP(E990, LookUP_Table!$A$6:$D$7, 2, FALSE)</f>
        <v>Primary</v>
      </c>
      <c r="G990" t="str">
        <f>IFERROR(VLOOKUP(E990, LookUP_Table!$A$1:$B$4, 2, FALSE), "")</f>
        <v>Primary</v>
      </c>
      <c r="H990">
        <v>1</v>
      </c>
      <c r="I990">
        <v>20</v>
      </c>
      <c r="J990" t="str">
        <f t="shared" si="90"/>
        <v>Smoker</v>
      </c>
      <c r="K990">
        <v>0</v>
      </c>
      <c r="L990">
        <v>0</v>
      </c>
      <c r="M990">
        <v>0</v>
      </c>
      <c r="N990">
        <v>0</v>
      </c>
      <c r="O990">
        <v>248</v>
      </c>
      <c r="P990" t="str">
        <f t="shared" si="91"/>
        <v>High</v>
      </c>
      <c r="Q990">
        <v>106</v>
      </c>
      <c r="R990">
        <v>70</v>
      </c>
      <c r="S990">
        <v>20.77</v>
      </c>
      <c r="T990" t="str">
        <f t="shared" si="92"/>
        <v>Normal</v>
      </c>
      <c r="U990">
        <v>68</v>
      </c>
      <c r="V990">
        <v>81.96365524402907</v>
      </c>
      <c r="W990" t="str">
        <f t="shared" si="95"/>
        <v>Normal</v>
      </c>
      <c r="X990">
        <v>0</v>
      </c>
    </row>
    <row r="991" spans="1:24" ht="14.5" thickBot="1" x14ac:dyDescent="0.35">
      <c r="A991">
        <v>0</v>
      </c>
      <c r="B991" t="str">
        <f t="shared" si="93"/>
        <v>Female</v>
      </c>
      <c r="C991" s="8">
        <v>42</v>
      </c>
      <c r="D991" t="str">
        <f t="shared" si="94"/>
        <v>Middle Age</v>
      </c>
      <c r="E991">
        <v>4</v>
      </c>
      <c r="F991" t="str">
        <f>HLOOKUP(E991, LookUP_Table!$A$6:$D$7, 2, FALSE)</f>
        <v>Post Graduate</v>
      </c>
      <c r="G991" t="str">
        <f>IFERROR(VLOOKUP(E991, LookUP_Table!$A$1:$B$4, 2, FALSE), "")</f>
        <v>Post Graduate</v>
      </c>
      <c r="H991">
        <v>0</v>
      </c>
      <c r="I991">
        <v>0</v>
      </c>
      <c r="J991" t="str">
        <f t="shared" si="90"/>
        <v>Non-Smoker</v>
      </c>
      <c r="K991">
        <v>0</v>
      </c>
      <c r="L991">
        <v>0</v>
      </c>
      <c r="M991">
        <v>0</v>
      </c>
      <c r="N991">
        <v>0</v>
      </c>
      <c r="O991">
        <v>212</v>
      </c>
      <c r="P991" t="str">
        <f t="shared" si="91"/>
        <v>Normal</v>
      </c>
      <c r="Q991">
        <v>110</v>
      </c>
      <c r="R991">
        <v>65</v>
      </c>
      <c r="S991">
        <v>23.64</v>
      </c>
      <c r="T991" t="str">
        <f t="shared" si="92"/>
        <v>Normal</v>
      </c>
      <c r="U991">
        <v>53</v>
      </c>
      <c r="V991">
        <v>63</v>
      </c>
      <c r="W991" t="str">
        <f t="shared" si="95"/>
        <v>Normal</v>
      </c>
      <c r="X991">
        <v>0</v>
      </c>
    </row>
    <row r="992" spans="1:24" ht="14.5" thickBot="1" x14ac:dyDescent="0.35">
      <c r="A992">
        <v>1</v>
      </c>
      <c r="B992" t="str">
        <f t="shared" si="93"/>
        <v>Male</v>
      </c>
      <c r="C992" s="8">
        <v>42</v>
      </c>
      <c r="D992" t="str">
        <f t="shared" si="94"/>
        <v>Middle Age</v>
      </c>
      <c r="E992">
        <v>1</v>
      </c>
      <c r="F992" t="str">
        <f>HLOOKUP(E992, LookUP_Table!$A$6:$D$7, 2, FALSE)</f>
        <v>Primary</v>
      </c>
      <c r="G992" t="str">
        <f>IFERROR(VLOOKUP(E992, LookUP_Table!$A$1:$B$4, 2, FALSE), "")</f>
        <v>Primary</v>
      </c>
      <c r="H992">
        <v>1</v>
      </c>
      <c r="I992">
        <v>25</v>
      </c>
      <c r="J992" t="str">
        <f t="shared" si="90"/>
        <v>Smoker</v>
      </c>
      <c r="K992">
        <v>0</v>
      </c>
      <c r="L992">
        <v>0</v>
      </c>
      <c r="M992">
        <v>0</v>
      </c>
      <c r="N992">
        <v>0</v>
      </c>
      <c r="O992">
        <v>231</v>
      </c>
      <c r="P992" t="str">
        <f t="shared" si="91"/>
        <v>Normal</v>
      </c>
      <c r="Q992">
        <v>122</v>
      </c>
      <c r="R992">
        <v>84</v>
      </c>
      <c r="S992">
        <v>27.63</v>
      </c>
      <c r="T992" t="str">
        <f t="shared" si="92"/>
        <v>Overweight</v>
      </c>
      <c r="U992">
        <v>66</v>
      </c>
      <c r="V992">
        <v>72</v>
      </c>
      <c r="W992" t="str">
        <f t="shared" si="95"/>
        <v>Normal</v>
      </c>
      <c r="X992">
        <v>0</v>
      </c>
    </row>
    <row r="993" spans="1:24" ht="14.5" thickBot="1" x14ac:dyDescent="0.35">
      <c r="A993">
        <v>0</v>
      </c>
      <c r="B993" t="str">
        <f t="shared" si="93"/>
        <v>Female</v>
      </c>
      <c r="C993" s="8">
        <v>42</v>
      </c>
      <c r="D993" t="str">
        <f t="shared" si="94"/>
        <v>Middle Age</v>
      </c>
      <c r="E993">
        <v>2</v>
      </c>
      <c r="F993" t="str">
        <f>HLOOKUP(E993, LookUP_Table!$A$6:$D$7, 2, FALSE)</f>
        <v>Secondary</v>
      </c>
      <c r="G993" t="str">
        <f>IFERROR(VLOOKUP(E993, LookUP_Table!$A$1:$B$4, 2, FALSE), "")</f>
        <v>Secondary</v>
      </c>
      <c r="H993">
        <v>1</v>
      </c>
      <c r="I993">
        <v>20</v>
      </c>
      <c r="J993" t="str">
        <f t="shared" si="90"/>
        <v>Smoker</v>
      </c>
      <c r="K993">
        <v>0</v>
      </c>
      <c r="L993">
        <v>0</v>
      </c>
      <c r="M993">
        <v>0</v>
      </c>
      <c r="N993">
        <v>0</v>
      </c>
      <c r="O993">
        <v>246</v>
      </c>
      <c r="P993" t="str">
        <f t="shared" si="91"/>
        <v>High</v>
      </c>
      <c r="Q993">
        <v>120</v>
      </c>
      <c r="R993">
        <v>70</v>
      </c>
      <c r="S993">
        <v>19.420000000000002</v>
      </c>
      <c r="T993" t="str">
        <f t="shared" si="92"/>
        <v>Normal</v>
      </c>
      <c r="U993">
        <v>72</v>
      </c>
      <c r="V993">
        <v>78</v>
      </c>
      <c r="W993" t="str">
        <f t="shared" si="95"/>
        <v>Normal</v>
      </c>
      <c r="X993">
        <v>0</v>
      </c>
    </row>
    <row r="994" spans="1:24" ht="14.5" thickBot="1" x14ac:dyDescent="0.35">
      <c r="A994">
        <v>1</v>
      </c>
      <c r="B994" t="str">
        <f t="shared" si="93"/>
        <v>Male</v>
      </c>
      <c r="C994" s="8">
        <v>42</v>
      </c>
      <c r="D994" t="str">
        <f t="shared" si="94"/>
        <v>Middle Age</v>
      </c>
      <c r="E994">
        <v>2</v>
      </c>
      <c r="F994" t="str">
        <f>HLOOKUP(E994, LookUP_Table!$A$6:$D$7, 2, FALSE)</f>
        <v>Secondary</v>
      </c>
      <c r="G994" t="str">
        <f>IFERROR(VLOOKUP(E994, LookUP_Table!$A$1:$B$4, 2, FALSE), "")</f>
        <v>Secondary</v>
      </c>
      <c r="H994">
        <v>1</v>
      </c>
      <c r="I994">
        <v>20</v>
      </c>
      <c r="J994" t="str">
        <f t="shared" si="90"/>
        <v>Smoker</v>
      </c>
      <c r="K994">
        <v>0</v>
      </c>
      <c r="L994">
        <v>0</v>
      </c>
      <c r="M994">
        <v>0</v>
      </c>
      <c r="N994">
        <v>0</v>
      </c>
      <c r="O994">
        <v>204</v>
      </c>
      <c r="P994" t="str">
        <f t="shared" si="91"/>
        <v>Normal</v>
      </c>
      <c r="Q994">
        <v>110</v>
      </c>
      <c r="R994">
        <v>73</v>
      </c>
      <c r="S994">
        <v>23.72</v>
      </c>
      <c r="T994" t="str">
        <f t="shared" si="92"/>
        <v>Normal</v>
      </c>
      <c r="U994">
        <v>60</v>
      </c>
      <c r="V994">
        <v>75</v>
      </c>
      <c r="W994" t="str">
        <f t="shared" si="95"/>
        <v>Normal</v>
      </c>
      <c r="X994">
        <v>0</v>
      </c>
    </row>
    <row r="995" spans="1:24" ht="14.5" thickBot="1" x14ac:dyDescent="0.35">
      <c r="A995">
        <v>1</v>
      </c>
      <c r="B995" t="str">
        <f t="shared" si="93"/>
        <v>Male</v>
      </c>
      <c r="C995" s="8">
        <v>42</v>
      </c>
      <c r="D995" t="str">
        <f t="shared" si="94"/>
        <v>Middle Age</v>
      </c>
      <c r="E995">
        <v>2</v>
      </c>
      <c r="F995" t="str">
        <f>HLOOKUP(E995, LookUP_Table!$A$6:$D$7, 2, FALSE)</f>
        <v>Secondary</v>
      </c>
      <c r="G995" t="str">
        <f>IFERROR(VLOOKUP(E995, LookUP_Table!$A$1:$B$4, 2, FALSE), "")</f>
        <v>Secondary</v>
      </c>
      <c r="H995">
        <v>1</v>
      </c>
      <c r="I995">
        <v>35</v>
      </c>
      <c r="J995" t="str">
        <f t="shared" si="90"/>
        <v>Smoker</v>
      </c>
      <c r="K995">
        <v>0</v>
      </c>
      <c r="L995">
        <v>0</v>
      </c>
      <c r="M995">
        <v>1</v>
      </c>
      <c r="N995">
        <v>0</v>
      </c>
      <c r="O995">
        <v>211</v>
      </c>
      <c r="P995" t="str">
        <f t="shared" si="91"/>
        <v>Normal</v>
      </c>
      <c r="Q995">
        <v>138</v>
      </c>
      <c r="R995">
        <v>90</v>
      </c>
      <c r="S995">
        <v>25.49</v>
      </c>
      <c r="T995" t="str">
        <f t="shared" si="92"/>
        <v>Overweight</v>
      </c>
      <c r="U995">
        <v>69</v>
      </c>
      <c r="V995">
        <v>73</v>
      </c>
      <c r="W995" t="str">
        <f t="shared" si="95"/>
        <v>Normal</v>
      </c>
      <c r="X995">
        <v>0</v>
      </c>
    </row>
    <row r="996" spans="1:24" ht="14.5" thickBot="1" x14ac:dyDescent="0.35">
      <c r="A996">
        <v>0</v>
      </c>
      <c r="B996" t="str">
        <f t="shared" si="93"/>
        <v>Female</v>
      </c>
      <c r="C996" s="8">
        <v>42</v>
      </c>
      <c r="D996" t="str">
        <f t="shared" si="94"/>
        <v>Middle Age</v>
      </c>
      <c r="E996">
        <v>3</v>
      </c>
      <c r="F996" t="str">
        <f>HLOOKUP(E996, LookUP_Table!$A$6:$D$7, 2, FALSE)</f>
        <v>Graduate</v>
      </c>
      <c r="G996" t="str">
        <f>IFERROR(VLOOKUP(E996, LookUP_Table!$A$1:$B$4, 2, FALSE), "")</f>
        <v>Graduate</v>
      </c>
      <c r="H996">
        <v>0</v>
      </c>
      <c r="I996">
        <v>0</v>
      </c>
      <c r="J996" t="str">
        <f t="shared" si="90"/>
        <v>Non-Smoker</v>
      </c>
      <c r="K996">
        <v>0</v>
      </c>
      <c r="L996">
        <v>0</v>
      </c>
      <c r="M996">
        <v>0</v>
      </c>
      <c r="N996">
        <v>0</v>
      </c>
      <c r="O996">
        <v>256</v>
      </c>
      <c r="P996" t="str">
        <f t="shared" si="91"/>
        <v>High</v>
      </c>
      <c r="Q996">
        <v>129</v>
      </c>
      <c r="R996">
        <v>85.5</v>
      </c>
      <c r="S996">
        <v>31.84</v>
      </c>
      <c r="T996" t="str">
        <f t="shared" si="92"/>
        <v>Obese</v>
      </c>
      <c r="U996">
        <v>95</v>
      </c>
      <c r="V996">
        <v>74</v>
      </c>
      <c r="W996" t="str">
        <f t="shared" si="95"/>
        <v>Normal</v>
      </c>
      <c r="X996">
        <v>0</v>
      </c>
    </row>
    <row r="997" spans="1:24" ht="14.5" thickBot="1" x14ac:dyDescent="0.35">
      <c r="A997">
        <v>0</v>
      </c>
      <c r="B997" t="str">
        <f t="shared" si="93"/>
        <v>Female</v>
      </c>
      <c r="C997" s="8">
        <v>42</v>
      </c>
      <c r="D997" t="str">
        <f t="shared" si="94"/>
        <v>Middle Age</v>
      </c>
      <c r="E997">
        <v>2</v>
      </c>
      <c r="F997" t="str">
        <f>HLOOKUP(E997, LookUP_Table!$A$6:$D$7, 2, FALSE)</f>
        <v>Secondary</v>
      </c>
      <c r="G997" t="str">
        <f>IFERROR(VLOOKUP(E997, LookUP_Table!$A$1:$B$4, 2, FALSE), "")</f>
        <v>Secondary</v>
      </c>
      <c r="H997">
        <v>1</v>
      </c>
      <c r="I997">
        <v>20</v>
      </c>
      <c r="J997" t="str">
        <f t="shared" si="90"/>
        <v>Smoker</v>
      </c>
      <c r="K997">
        <v>0</v>
      </c>
      <c r="L997">
        <v>0</v>
      </c>
      <c r="M997">
        <v>1</v>
      </c>
      <c r="N997">
        <v>0</v>
      </c>
      <c r="O997">
        <v>196</v>
      </c>
      <c r="P997" t="str">
        <f t="shared" si="91"/>
        <v>Normal</v>
      </c>
      <c r="Q997">
        <v>145</v>
      </c>
      <c r="R997">
        <v>87</v>
      </c>
      <c r="S997">
        <v>29.65</v>
      </c>
      <c r="T997" t="str">
        <f t="shared" si="92"/>
        <v>Overweight</v>
      </c>
      <c r="U997">
        <v>97</v>
      </c>
      <c r="V997">
        <v>60</v>
      </c>
      <c r="W997" t="str">
        <f t="shared" si="95"/>
        <v>Normal</v>
      </c>
      <c r="X997">
        <v>0</v>
      </c>
    </row>
    <row r="998" spans="1:24" ht="14.5" thickBot="1" x14ac:dyDescent="0.35">
      <c r="A998">
        <v>0</v>
      </c>
      <c r="B998" t="str">
        <f t="shared" si="93"/>
        <v>Female</v>
      </c>
      <c r="C998" s="8">
        <v>42</v>
      </c>
      <c r="D998" t="str">
        <f t="shared" si="94"/>
        <v>Middle Age</v>
      </c>
      <c r="E998">
        <v>2</v>
      </c>
      <c r="F998" t="str">
        <f>HLOOKUP(E998, LookUP_Table!$A$6:$D$7, 2, FALSE)</f>
        <v>Secondary</v>
      </c>
      <c r="G998" t="str">
        <f>IFERROR(VLOOKUP(E998, LookUP_Table!$A$1:$B$4, 2, FALSE), "")</f>
        <v>Secondary</v>
      </c>
      <c r="H998">
        <v>0</v>
      </c>
      <c r="I998">
        <v>0</v>
      </c>
      <c r="J998" t="str">
        <f t="shared" si="90"/>
        <v>Non-Smoker</v>
      </c>
      <c r="K998">
        <v>0</v>
      </c>
      <c r="L998">
        <v>0</v>
      </c>
      <c r="M998">
        <v>0</v>
      </c>
      <c r="N998">
        <v>0</v>
      </c>
      <c r="O998">
        <v>211</v>
      </c>
      <c r="P998" t="str">
        <f t="shared" si="91"/>
        <v>Normal</v>
      </c>
      <c r="Q998">
        <v>134</v>
      </c>
      <c r="R998">
        <v>82</v>
      </c>
      <c r="S998">
        <v>20.93</v>
      </c>
      <c r="T998" t="str">
        <f t="shared" si="92"/>
        <v>Normal</v>
      </c>
      <c r="U998">
        <v>75</v>
      </c>
      <c r="V998">
        <v>80</v>
      </c>
      <c r="W998" t="str">
        <f t="shared" si="95"/>
        <v>Normal</v>
      </c>
      <c r="X998">
        <v>1</v>
      </c>
    </row>
    <row r="999" spans="1:24" ht="14.5" thickBot="1" x14ac:dyDescent="0.35">
      <c r="A999">
        <v>1</v>
      </c>
      <c r="B999" t="str">
        <f t="shared" si="93"/>
        <v>Male</v>
      </c>
      <c r="C999" s="8">
        <v>42</v>
      </c>
      <c r="D999" t="str">
        <f t="shared" si="94"/>
        <v>Middle Age</v>
      </c>
      <c r="E999">
        <v>3</v>
      </c>
      <c r="F999" t="str">
        <f>HLOOKUP(E999, LookUP_Table!$A$6:$D$7, 2, FALSE)</f>
        <v>Graduate</v>
      </c>
      <c r="G999" t="str">
        <f>IFERROR(VLOOKUP(E999, LookUP_Table!$A$1:$B$4, 2, FALSE), "")</f>
        <v>Graduate</v>
      </c>
      <c r="H999">
        <v>0</v>
      </c>
      <c r="I999">
        <v>0</v>
      </c>
      <c r="J999" t="str">
        <f t="shared" si="90"/>
        <v>Non-Smoker</v>
      </c>
      <c r="K999">
        <v>0</v>
      </c>
      <c r="L999">
        <v>0</v>
      </c>
      <c r="M999">
        <v>0</v>
      </c>
      <c r="N999">
        <v>0</v>
      </c>
      <c r="O999">
        <v>283</v>
      </c>
      <c r="P999" t="str">
        <f t="shared" si="91"/>
        <v>High</v>
      </c>
      <c r="Q999">
        <v>137</v>
      </c>
      <c r="R999">
        <v>91</v>
      </c>
      <c r="S999">
        <v>25.41</v>
      </c>
      <c r="T999" t="str">
        <f t="shared" si="92"/>
        <v>Overweight</v>
      </c>
      <c r="U999">
        <v>75</v>
      </c>
      <c r="V999">
        <v>67</v>
      </c>
      <c r="W999" t="str">
        <f t="shared" si="95"/>
        <v>Normal</v>
      </c>
      <c r="X999">
        <v>0</v>
      </c>
    </row>
    <row r="1000" spans="1:24" ht="14.5" thickBot="1" x14ac:dyDescent="0.35">
      <c r="A1000">
        <v>0</v>
      </c>
      <c r="B1000" t="str">
        <f t="shared" si="93"/>
        <v>Female</v>
      </c>
      <c r="C1000" s="8">
        <v>42</v>
      </c>
      <c r="D1000" t="str">
        <f t="shared" si="94"/>
        <v>Middle Age</v>
      </c>
      <c r="E1000">
        <v>3</v>
      </c>
      <c r="F1000" t="str">
        <f>HLOOKUP(E1000, LookUP_Table!$A$6:$D$7, 2, FALSE)</f>
        <v>Graduate</v>
      </c>
      <c r="G1000" t="str">
        <f>IFERROR(VLOOKUP(E1000, LookUP_Table!$A$1:$B$4, 2, FALSE), "")</f>
        <v>Graduate</v>
      </c>
      <c r="H1000">
        <v>0</v>
      </c>
      <c r="I1000">
        <v>0</v>
      </c>
      <c r="J1000" t="str">
        <f t="shared" si="90"/>
        <v>Non-Smoker</v>
      </c>
      <c r="K1000">
        <v>0</v>
      </c>
      <c r="L1000">
        <v>0</v>
      </c>
      <c r="M1000">
        <v>0</v>
      </c>
      <c r="N1000">
        <v>0</v>
      </c>
      <c r="O1000">
        <v>252</v>
      </c>
      <c r="P1000" t="str">
        <f t="shared" si="91"/>
        <v>High</v>
      </c>
      <c r="Q1000">
        <v>102</v>
      </c>
      <c r="R1000">
        <v>72.5</v>
      </c>
      <c r="S1000">
        <v>22.85</v>
      </c>
      <c r="T1000" t="str">
        <f t="shared" si="92"/>
        <v>Normal</v>
      </c>
      <c r="U1000">
        <v>60</v>
      </c>
      <c r="V1000">
        <v>81.96365524402907</v>
      </c>
      <c r="W1000" t="str">
        <f t="shared" si="95"/>
        <v>Normal</v>
      </c>
      <c r="X1000">
        <v>0</v>
      </c>
    </row>
    <row r="1001" spans="1:24" ht="14.5" thickBot="1" x14ac:dyDescent="0.35">
      <c r="A1001">
        <v>1</v>
      </c>
      <c r="B1001" t="str">
        <f t="shared" si="93"/>
        <v>Male</v>
      </c>
      <c r="C1001" s="8">
        <v>42</v>
      </c>
      <c r="D1001" t="str">
        <f t="shared" si="94"/>
        <v>Middle Age</v>
      </c>
      <c r="E1001">
        <v>3</v>
      </c>
      <c r="F1001" t="str">
        <f>HLOOKUP(E1001, LookUP_Table!$A$6:$D$7, 2, FALSE)</f>
        <v>Graduate</v>
      </c>
      <c r="G1001" t="str">
        <f>IFERROR(VLOOKUP(E1001, LookUP_Table!$A$1:$B$4, 2, FALSE), "")</f>
        <v>Graduate</v>
      </c>
      <c r="H1001">
        <v>1</v>
      </c>
      <c r="I1001">
        <v>20</v>
      </c>
      <c r="J1001" t="str">
        <f t="shared" si="90"/>
        <v>Smoker</v>
      </c>
      <c r="K1001">
        <v>0</v>
      </c>
      <c r="L1001">
        <v>0</v>
      </c>
      <c r="M1001">
        <v>0</v>
      </c>
      <c r="N1001">
        <v>0</v>
      </c>
      <c r="O1001">
        <v>220</v>
      </c>
      <c r="P1001" t="str">
        <f t="shared" si="91"/>
        <v>Normal</v>
      </c>
      <c r="Q1001">
        <v>119</v>
      </c>
      <c r="R1001">
        <v>73.5</v>
      </c>
      <c r="S1001">
        <v>23.31</v>
      </c>
      <c r="T1001" t="str">
        <f t="shared" si="92"/>
        <v>Normal</v>
      </c>
      <c r="U1001">
        <v>67</v>
      </c>
      <c r="V1001">
        <v>63</v>
      </c>
      <c r="W1001" t="str">
        <f t="shared" si="95"/>
        <v>Normal</v>
      </c>
      <c r="X1001">
        <v>0</v>
      </c>
    </row>
    <row r="1002" spans="1:24" ht="14.5" thickBot="1" x14ac:dyDescent="0.35">
      <c r="A1002">
        <v>0</v>
      </c>
      <c r="B1002" t="str">
        <f t="shared" si="93"/>
        <v>Female</v>
      </c>
      <c r="C1002" s="8">
        <v>42</v>
      </c>
      <c r="D1002" t="str">
        <f t="shared" si="94"/>
        <v>Middle Age</v>
      </c>
      <c r="E1002">
        <v>2</v>
      </c>
      <c r="F1002" t="str">
        <f>HLOOKUP(E1002, LookUP_Table!$A$6:$D$7, 2, FALSE)</f>
        <v>Secondary</v>
      </c>
      <c r="G1002" t="str">
        <f>IFERROR(VLOOKUP(E1002, LookUP_Table!$A$1:$B$4, 2, FALSE), "")</f>
        <v>Secondary</v>
      </c>
      <c r="H1002">
        <v>1</v>
      </c>
      <c r="I1002">
        <v>18</v>
      </c>
      <c r="J1002" t="str">
        <f t="shared" si="90"/>
        <v>Smoker</v>
      </c>
      <c r="K1002">
        <v>0</v>
      </c>
      <c r="L1002">
        <v>0</v>
      </c>
      <c r="M1002">
        <v>0</v>
      </c>
      <c r="N1002">
        <v>0</v>
      </c>
      <c r="O1002">
        <v>219</v>
      </c>
      <c r="P1002" t="str">
        <f t="shared" si="91"/>
        <v>Normal</v>
      </c>
      <c r="Q1002">
        <v>126</v>
      </c>
      <c r="R1002">
        <v>73</v>
      </c>
      <c r="S1002">
        <v>22.65</v>
      </c>
      <c r="T1002" t="str">
        <f t="shared" si="92"/>
        <v>Normal</v>
      </c>
      <c r="U1002">
        <v>80</v>
      </c>
      <c r="V1002">
        <v>65</v>
      </c>
      <c r="W1002" t="str">
        <f t="shared" si="95"/>
        <v>Normal</v>
      </c>
      <c r="X1002">
        <v>1</v>
      </c>
    </row>
    <row r="1003" spans="1:24" ht="14.5" thickBot="1" x14ac:dyDescent="0.35">
      <c r="A1003">
        <v>0</v>
      </c>
      <c r="B1003" t="str">
        <f t="shared" si="93"/>
        <v>Female</v>
      </c>
      <c r="C1003" s="8">
        <v>42</v>
      </c>
      <c r="D1003" t="str">
        <f t="shared" si="94"/>
        <v>Middle Age</v>
      </c>
      <c r="E1003">
        <v>2</v>
      </c>
      <c r="F1003" t="str">
        <f>HLOOKUP(E1003, LookUP_Table!$A$6:$D$7, 2, FALSE)</f>
        <v>Secondary</v>
      </c>
      <c r="G1003" t="str">
        <f>IFERROR(VLOOKUP(E1003, LookUP_Table!$A$1:$B$4, 2, FALSE), "")</f>
        <v>Secondary</v>
      </c>
      <c r="H1003">
        <v>1</v>
      </c>
      <c r="I1003">
        <v>25</v>
      </c>
      <c r="J1003" t="str">
        <f t="shared" si="90"/>
        <v>Smoker</v>
      </c>
      <c r="K1003">
        <v>0</v>
      </c>
      <c r="L1003">
        <v>0</v>
      </c>
      <c r="M1003">
        <v>0</v>
      </c>
      <c r="N1003">
        <v>0</v>
      </c>
      <c r="O1003">
        <v>286</v>
      </c>
      <c r="P1003" t="str">
        <f t="shared" si="91"/>
        <v>High</v>
      </c>
      <c r="Q1003">
        <v>133.5</v>
      </c>
      <c r="R1003">
        <v>80</v>
      </c>
      <c r="S1003">
        <v>26.25</v>
      </c>
      <c r="T1003" t="str">
        <f t="shared" si="92"/>
        <v>Overweight</v>
      </c>
      <c r="U1003">
        <v>75</v>
      </c>
      <c r="V1003">
        <v>65</v>
      </c>
      <c r="W1003" t="str">
        <f t="shared" si="95"/>
        <v>Normal</v>
      </c>
      <c r="X1003">
        <v>0</v>
      </c>
    </row>
    <row r="1004" spans="1:24" ht="14.5" thickBot="1" x14ac:dyDescent="0.35">
      <c r="A1004">
        <v>0</v>
      </c>
      <c r="B1004" t="str">
        <f t="shared" si="93"/>
        <v>Female</v>
      </c>
      <c r="C1004" s="8">
        <v>42</v>
      </c>
      <c r="D1004" t="str">
        <f t="shared" si="94"/>
        <v>Middle Age</v>
      </c>
      <c r="E1004">
        <v>3</v>
      </c>
      <c r="F1004" t="str">
        <f>HLOOKUP(E1004, LookUP_Table!$A$6:$D$7, 2, FALSE)</f>
        <v>Graduate</v>
      </c>
      <c r="G1004" t="str">
        <f>IFERROR(VLOOKUP(E1004, LookUP_Table!$A$1:$B$4, 2, FALSE), "")</f>
        <v>Graduate</v>
      </c>
      <c r="H1004">
        <v>1</v>
      </c>
      <c r="I1004">
        <v>20</v>
      </c>
      <c r="J1004" t="str">
        <f t="shared" si="90"/>
        <v>Smoker</v>
      </c>
      <c r="K1004">
        <v>0</v>
      </c>
      <c r="L1004">
        <v>0</v>
      </c>
      <c r="M1004">
        <v>0</v>
      </c>
      <c r="N1004">
        <v>0</v>
      </c>
      <c r="O1004">
        <v>193</v>
      </c>
      <c r="P1004" t="str">
        <f t="shared" si="91"/>
        <v>Normal</v>
      </c>
      <c r="Q1004">
        <v>129</v>
      </c>
      <c r="R1004">
        <v>91.5</v>
      </c>
      <c r="S1004">
        <v>27.78</v>
      </c>
      <c r="T1004" t="str">
        <f t="shared" si="92"/>
        <v>Overweight</v>
      </c>
      <c r="U1004">
        <v>95</v>
      </c>
      <c r="V1004">
        <v>74</v>
      </c>
      <c r="W1004" t="str">
        <f t="shared" si="95"/>
        <v>Normal</v>
      </c>
      <c r="X1004">
        <v>0</v>
      </c>
    </row>
    <row r="1005" spans="1:24" ht="14.5" thickBot="1" x14ac:dyDescent="0.35">
      <c r="A1005">
        <v>0</v>
      </c>
      <c r="B1005" t="str">
        <f t="shared" si="93"/>
        <v>Female</v>
      </c>
      <c r="C1005" s="8">
        <v>42</v>
      </c>
      <c r="D1005" t="str">
        <f t="shared" si="94"/>
        <v>Middle Age</v>
      </c>
      <c r="E1005">
        <v>3</v>
      </c>
      <c r="F1005" t="str">
        <f>HLOOKUP(E1005, LookUP_Table!$A$6:$D$7, 2, FALSE)</f>
        <v>Graduate</v>
      </c>
      <c r="G1005" t="str">
        <f>IFERROR(VLOOKUP(E1005, LookUP_Table!$A$1:$B$4, 2, FALSE), "")</f>
        <v>Graduate</v>
      </c>
      <c r="H1005">
        <v>0</v>
      </c>
      <c r="I1005">
        <v>0</v>
      </c>
      <c r="J1005" t="str">
        <f t="shared" si="90"/>
        <v>Non-Smoker</v>
      </c>
      <c r="K1005">
        <v>0</v>
      </c>
      <c r="L1005">
        <v>0</v>
      </c>
      <c r="M1005">
        <v>0</v>
      </c>
      <c r="N1005">
        <v>0</v>
      </c>
      <c r="O1005">
        <v>190</v>
      </c>
      <c r="P1005" t="str">
        <f t="shared" si="91"/>
        <v>Normal</v>
      </c>
      <c r="Q1005">
        <v>121</v>
      </c>
      <c r="R1005">
        <v>85.5</v>
      </c>
      <c r="S1005">
        <v>22.19</v>
      </c>
      <c r="T1005" t="str">
        <f t="shared" si="92"/>
        <v>Normal</v>
      </c>
      <c r="U1005">
        <v>87</v>
      </c>
      <c r="V1005">
        <v>85</v>
      </c>
      <c r="W1005" t="str">
        <f t="shared" si="95"/>
        <v>Normal</v>
      </c>
      <c r="X1005">
        <v>0</v>
      </c>
    </row>
    <row r="1006" spans="1:24" ht="14.5" thickBot="1" x14ac:dyDescent="0.35">
      <c r="A1006">
        <v>1</v>
      </c>
      <c r="B1006" t="str">
        <f t="shared" si="93"/>
        <v>Male</v>
      </c>
      <c r="C1006" s="8">
        <v>42</v>
      </c>
      <c r="D1006" t="str">
        <f t="shared" si="94"/>
        <v>Middle Age</v>
      </c>
      <c r="E1006">
        <v>1</v>
      </c>
      <c r="F1006" t="str">
        <f>HLOOKUP(E1006, LookUP_Table!$A$6:$D$7, 2, FALSE)</f>
        <v>Primary</v>
      </c>
      <c r="G1006" t="str">
        <f>IFERROR(VLOOKUP(E1006, LookUP_Table!$A$1:$B$4, 2, FALSE), "")</f>
        <v>Primary</v>
      </c>
      <c r="H1006">
        <v>1</v>
      </c>
      <c r="I1006">
        <v>20</v>
      </c>
      <c r="J1006" t="str">
        <f t="shared" si="90"/>
        <v>Smoker</v>
      </c>
      <c r="K1006">
        <v>0</v>
      </c>
      <c r="L1006">
        <v>0</v>
      </c>
      <c r="M1006">
        <v>0</v>
      </c>
      <c r="N1006">
        <v>0</v>
      </c>
      <c r="O1006">
        <v>319</v>
      </c>
      <c r="P1006" t="str">
        <f t="shared" si="91"/>
        <v>High</v>
      </c>
      <c r="Q1006">
        <v>116</v>
      </c>
      <c r="R1006">
        <v>74</v>
      </c>
      <c r="S1006">
        <v>26.62</v>
      </c>
      <c r="T1006" t="str">
        <f t="shared" si="92"/>
        <v>Overweight</v>
      </c>
      <c r="U1006">
        <v>83</v>
      </c>
      <c r="V1006">
        <v>136</v>
      </c>
      <c r="W1006" t="str">
        <f t="shared" si="95"/>
        <v>Diabetes</v>
      </c>
      <c r="X1006">
        <v>0</v>
      </c>
    </row>
    <row r="1007" spans="1:24" ht="14.5" thickBot="1" x14ac:dyDescent="0.35">
      <c r="A1007">
        <v>0</v>
      </c>
      <c r="B1007" t="str">
        <f t="shared" si="93"/>
        <v>Female</v>
      </c>
      <c r="C1007" s="8">
        <v>42</v>
      </c>
      <c r="D1007" t="str">
        <f t="shared" si="94"/>
        <v>Middle Age</v>
      </c>
      <c r="E1007">
        <v>1</v>
      </c>
      <c r="F1007" t="str">
        <f>HLOOKUP(E1007, LookUP_Table!$A$6:$D$7, 2, FALSE)</f>
        <v>Primary</v>
      </c>
      <c r="G1007" t="str">
        <f>IFERROR(VLOOKUP(E1007, LookUP_Table!$A$1:$B$4, 2, FALSE), "")</f>
        <v>Primary</v>
      </c>
      <c r="H1007">
        <v>1</v>
      </c>
      <c r="I1007">
        <v>9</v>
      </c>
      <c r="J1007" t="str">
        <f t="shared" si="90"/>
        <v>Smoker</v>
      </c>
      <c r="K1007">
        <v>0</v>
      </c>
      <c r="L1007">
        <v>0</v>
      </c>
      <c r="M1007">
        <v>1</v>
      </c>
      <c r="N1007">
        <v>0</v>
      </c>
      <c r="O1007">
        <v>274</v>
      </c>
      <c r="P1007" t="str">
        <f t="shared" si="91"/>
        <v>High</v>
      </c>
      <c r="Q1007">
        <v>135</v>
      </c>
      <c r="R1007">
        <v>90</v>
      </c>
      <c r="S1007">
        <v>22.19</v>
      </c>
      <c r="T1007" t="str">
        <f t="shared" si="92"/>
        <v>Normal</v>
      </c>
      <c r="U1007">
        <v>70</v>
      </c>
      <c r="V1007">
        <v>81.96365524402907</v>
      </c>
      <c r="W1007" t="str">
        <f t="shared" si="95"/>
        <v>Normal</v>
      </c>
      <c r="X1007">
        <v>0</v>
      </c>
    </row>
    <row r="1008" spans="1:24" ht="14.5" thickBot="1" x14ac:dyDescent="0.35">
      <c r="A1008">
        <v>1</v>
      </c>
      <c r="B1008" t="str">
        <f t="shared" si="93"/>
        <v>Male</v>
      </c>
      <c r="C1008" s="8">
        <v>42</v>
      </c>
      <c r="D1008" t="str">
        <f t="shared" si="94"/>
        <v>Middle Age</v>
      </c>
      <c r="E1008">
        <v>1</v>
      </c>
      <c r="F1008" t="str">
        <f>HLOOKUP(E1008, LookUP_Table!$A$6:$D$7, 2, FALSE)</f>
        <v>Primary</v>
      </c>
      <c r="G1008" t="str">
        <f>IFERROR(VLOOKUP(E1008, LookUP_Table!$A$1:$B$4, 2, FALSE), "")</f>
        <v>Primary</v>
      </c>
      <c r="H1008">
        <v>1</v>
      </c>
      <c r="I1008">
        <v>20</v>
      </c>
      <c r="J1008" t="str">
        <f t="shared" si="90"/>
        <v>Smoker</v>
      </c>
      <c r="K1008">
        <v>0</v>
      </c>
      <c r="L1008">
        <v>0</v>
      </c>
      <c r="M1008">
        <v>0</v>
      </c>
      <c r="N1008">
        <v>0</v>
      </c>
      <c r="O1008">
        <v>225</v>
      </c>
      <c r="P1008" t="str">
        <f t="shared" si="91"/>
        <v>Normal</v>
      </c>
      <c r="Q1008">
        <v>110</v>
      </c>
      <c r="R1008">
        <v>80</v>
      </c>
      <c r="S1008">
        <v>22.51</v>
      </c>
      <c r="T1008" t="str">
        <f t="shared" si="92"/>
        <v>Normal</v>
      </c>
      <c r="U1008">
        <v>65</v>
      </c>
      <c r="V1008">
        <v>77</v>
      </c>
      <c r="W1008" t="str">
        <f t="shared" si="95"/>
        <v>Normal</v>
      </c>
      <c r="X1008">
        <v>1</v>
      </c>
    </row>
    <row r="1009" spans="1:24" ht="14.5" thickBot="1" x14ac:dyDescent="0.35">
      <c r="A1009">
        <v>0</v>
      </c>
      <c r="B1009" t="str">
        <f t="shared" si="93"/>
        <v>Female</v>
      </c>
      <c r="C1009" s="8">
        <v>42</v>
      </c>
      <c r="D1009" t="str">
        <f t="shared" si="94"/>
        <v>Middle Age</v>
      </c>
      <c r="E1009">
        <v>2</v>
      </c>
      <c r="F1009" t="str">
        <f>HLOOKUP(E1009, LookUP_Table!$A$6:$D$7, 2, FALSE)</f>
        <v>Secondary</v>
      </c>
      <c r="G1009" t="str">
        <f>IFERROR(VLOOKUP(E1009, LookUP_Table!$A$1:$B$4, 2, FALSE), "")</f>
        <v>Secondary</v>
      </c>
      <c r="H1009">
        <v>0</v>
      </c>
      <c r="I1009">
        <v>0</v>
      </c>
      <c r="J1009" t="str">
        <f t="shared" si="90"/>
        <v>Non-Smoker</v>
      </c>
      <c r="K1009">
        <v>0</v>
      </c>
      <c r="L1009">
        <v>0</v>
      </c>
      <c r="M1009">
        <v>0</v>
      </c>
      <c r="N1009">
        <v>0</v>
      </c>
      <c r="O1009">
        <v>233</v>
      </c>
      <c r="P1009" t="str">
        <f t="shared" si="91"/>
        <v>Normal</v>
      </c>
      <c r="Q1009">
        <v>132</v>
      </c>
      <c r="R1009">
        <v>82</v>
      </c>
      <c r="S1009">
        <v>26.81</v>
      </c>
      <c r="T1009" t="str">
        <f t="shared" si="92"/>
        <v>Overweight</v>
      </c>
      <c r="U1009">
        <v>69</v>
      </c>
      <c r="V1009">
        <v>71</v>
      </c>
      <c r="W1009" t="str">
        <f t="shared" si="95"/>
        <v>Normal</v>
      </c>
      <c r="X1009">
        <v>0</v>
      </c>
    </row>
    <row r="1010" spans="1:24" ht="14.5" thickBot="1" x14ac:dyDescent="0.35">
      <c r="A1010">
        <v>0</v>
      </c>
      <c r="B1010" t="str">
        <f t="shared" si="93"/>
        <v>Female</v>
      </c>
      <c r="C1010" s="8">
        <v>42</v>
      </c>
      <c r="D1010" t="str">
        <f t="shared" si="94"/>
        <v>Middle Age</v>
      </c>
      <c r="E1010">
        <v>4</v>
      </c>
      <c r="F1010" t="str">
        <f>HLOOKUP(E1010, LookUP_Table!$A$6:$D$7, 2, FALSE)</f>
        <v>Post Graduate</v>
      </c>
      <c r="G1010" t="str">
        <f>IFERROR(VLOOKUP(E1010, LookUP_Table!$A$1:$B$4, 2, FALSE), "")</f>
        <v>Post Graduate</v>
      </c>
      <c r="H1010">
        <v>1</v>
      </c>
      <c r="I1010">
        <v>5</v>
      </c>
      <c r="J1010" t="str">
        <f t="shared" si="90"/>
        <v>Smoker</v>
      </c>
      <c r="K1010">
        <v>0</v>
      </c>
      <c r="L1010">
        <v>0</v>
      </c>
      <c r="M1010">
        <v>0</v>
      </c>
      <c r="N1010">
        <v>0</v>
      </c>
      <c r="O1010">
        <v>228</v>
      </c>
      <c r="P1010" t="str">
        <f t="shared" si="91"/>
        <v>Normal</v>
      </c>
      <c r="Q1010">
        <v>127.5</v>
      </c>
      <c r="R1010">
        <v>80</v>
      </c>
      <c r="S1010">
        <v>27.54</v>
      </c>
      <c r="T1010" t="str">
        <f t="shared" si="92"/>
        <v>Overweight</v>
      </c>
      <c r="U1010">
        <v>75</v>
      </c>
      <c r="V1010">
        <v>81.96365524402907</v>
      </c>
      <c r="W1010" t="str">
        <f t="shared" si="95"/>
        <v>Normal</v>
      </c>
      <c r="X1010">
        <v>0</v>
      </c>
    </row>
    <row r="1011" spans="1:24" ht="14.5" thickBot="1" x14ac:dyDescent="0.35">
      <c r="A1011">
        <v>1</v>
      </c>
      <c r="B1011" t="str">
        <f t="shared" si="93"/>
        <v>Male</v>
      </c>
      <c r="C1011" s="8">
        <v>42</v>
      </c>
      <c r="D1011" t="str">
        <f t="shared" si="94"/>
        <v>Middle Age</v>
      </c>
      <c r="E1011">
        <v>4</v>
      </c>
      <c r="F1011" t="str">
        <f>HLOOKUP(E1011, LookUP_Table!$A$6:$D$7, 2, FALSE)</f>
        <v>Post Graduate</v>
      </c>
      <c r="G1011" t="str">
        <f>IFERROR(VLOOKUP(E1011, LookUP_Table!$A$1:$B$4, 2, FALSE), "")</f>
        <v>Post Graduate</v>
      </c>
      <c r="H1011">
        <v>1</v>
      </c>
      <c r="I1011">
        <v>20</v>
      </c>
      <c r="J1011" t="str">
        <f t="shared" si="90"/>
        <v>Smoker</v>
      </c>
      <c r="K1011">
        <v>0</v>
      </c>
      <c r="L1011">
        <v>0</v>
      </c>
      <c r="M1011">
        <v>0</v>
      </c>
      <c r="N1011">
        <v>0</v>
      </c>
      <c r="O1011">
        <v>274</v>
      </c>
      <c r="P1011" t="str">
        <f t="shared" si="91"/>
        <v>High</v>
      </c>
      <c r="Q1011">
        <v>120</v>
      </c>
      <c r="R1011">
        <v>83.5</v>
      </c>
      <c r="S1011">
        <v>23.95</v>
      </c>
      <c r="T1011" t="str">
        <f t="shared" si="92"/>
        <v>Normal</v>
      </c>
      <c r="U1011">
        <v>80</v>
      </c>
      <c r="V1011">
        <v>79</v>
      </c>
      <c r="W1011" t="str">
        <f t="shared" si="95"/>
        <v>Normal</v>
      </c>
      <c r="X1011">
        <v>0</v>
      </c>
    </row>
    <row r="1012" spans="1:24" ht="14.5" thickBot="1" x14ac:dyDescent="0.35">
      <c r="A1012">
        <v>0</v>
      </c>
      <c r="B1012" t="str">
        <f t="shared" si="93"/>
        <v>Female</v>
      </c>
      <c r="C1012" s="8">
        <v>42</v>
      </c>
      <c r="D1012" t="str">
        <f t="shared" si="94"/>
        <v>Middle Age</v>
      </c>
      <c r="E1012">
        <v>2</v>
      </c>
      <c r="F1012" t="str">
        <f>HLOOKUP(E1012, LookUP_Table!$A$6:$D$7, 2, FALSE)</f>
        <v>Secondary</v>
      </c>
      <c r="G1012" t="str">
        <f>IFERROR(VLOOKUP(E1012, LookUP_Table!$A$1:$B$4, 2, FALSE), "")</f>
        <v>Secondary</v>
      </c>
      <c r="H1012">
        <v>0</v>
      </c>
      <c r="I1012">
        <v>0</v>
      </c>
      <c r="J1012" t="str">
        <f t="shared" si="90"/>
        <v>Non-Smoker</v>
      </c>
      <c r="K1012">
        <v>0</v>
      </c>
      <c r="L1012">
        <v>0</v>
      </c>
      <c r="M1012">
        <v>0</v>
      </c>
      <c r="N1012">
        <v>0</v>
      </c>
      <c r="O1012">
        <v>232</v>
      </c>
      <c r="P1012" t="str">
        <f t="shared" si="91"/>
        <v>Normal</v>
      </c>
      <c r="Q1012">
        <v>113</v>
      </c>
      <c r="R1012">
        <v>69</v>
      </c>
      <c r="S1012">
        <v>21.29</v>
      </c>
      <c r="T1012" t="str">
        <f t="shared" si="92"/>
        <v>Normal</v>
      </c>
      <c r="U1012">
        <v>68</v>
      </c>
      <c r="V1012">
        <v>70</v>
      </c>
      <c r="W1012" t="str">
        <f t="shared" si="95"/>
        <v>Normal</v>
      </c>
      <c r="X1012">
        <v>0</v>
      </c>
    </row>
    <row r="1013" spans="1:24" ht="14.5" thickBot="1" x14ac:dyDescent="0.35">
      <c r="A1013">
        <v>0</v>
      </c>
      <c r="B1013" t="str">
        <f t="shared" si="93"/>
        <v>Female</v>
      </c>
      <c r="C1013" s="8">
        <v>42</v>
      </c>
      <c r="D1013" t="str">
        <f t="shared" si="94"/>
        <v>Middle Age</v>
      </c>
      <c r="E1013">
        <v>2</v>
      </c>
      <c r="F1013" t="str">
        <f>HLOOKUP(E1013, LookUP_Table!$A$6:$D$7, 2, FALSE)</f>
        <v>Secondary</v>
      </c>
      <c r="G1013" t="str">
        <f>IFERROR(VLOOKUP(E1013, LookUP_Table!$A$1:$B$4, 2, FALSE), "")</f>
        <v>Secondary</v>
      </c>
      <c r="H1013">
        <v>1</v>
      </c>
      <c r="I1013">
        <v>9</v>
      </c>
      <c r="J1013" t="str">
        <f t="shared" si="90"/>
        <v>Smoker</v>
      </c>
      <c r="K1013">
        <v>0</v>
      </c>
      <c r="L1013">
        <v>0</v>
      </c>
      <c r="M1013">
        <v>0</v>
      </c>
      <c r="N1013">
        <v>0</v>
      </c>
      <c r="O1013">
        <v>185</v>
      </c>
      <c r="P1013" t="str">
        <f t="shared" si="91"/>
        <v>Normal</v>
      </c>
      <c r="Q1013">
        <v>123</v>
      </c>
      <c r="R1013">
        <v>74</v>
      </c>
      <c r="S1013">
        <v>24.41</v>
      </c>
      <c r="T1013" t="str">
        <f t="shared" si="92"/>
        <v>Normal</v>
      </c>
      <c r="U1013">
        <v>83</v>
      </c>
      <c r="V1013">
        <v>92</v>
      </c>
      <c r="W1013" t="str">
        <f t="shared" si="95"/>
        <v>Normal</v>
      </c>
      <c r="X1013">
        <v>0</v>
      </c>
    </row>
    <row r="1014" spans="1:24" ht="14.5" thickBot="1" x14ac:dyDescent="0.35">
      <c r="A1014">
        <v>1</v>
      </c>
      <c r="B1014" t="str">
        <f t="shared" si="93"/>
        <v>Male</v>
      </c>
      <c r="C1014" s="8">
        <v>42</v>
      </c>
      <c r="D1014" t="str">
        <f t="shared" si="94"/>
        <v>Middle Age</v>
      </c>
      <c r="E1014">
        <v>1</v>
      </c>
      <c r="F1014" t="str">
        <f>HLOOKUP(E1014, LookUP_Table!$A$6:$D$7, 2, FALSE)</f>
        <v>Primary</v>
      </c>
      <c r="G1014" t="str">
        <f>IFERROR(VLOOKUP(E1014, LookUP_Table!$A$1:$B$4, 2, FALSE), "")</f>
        <v>Primary</v>
      </c>
      <c r="H1014">
        <v>0</v>
      </c>
      <c r="I1014">
        <v>0</v>
      </c>
      <c r="J1014" t="str">
        <f t="shared" si="90"/>
        <v>Non-Smoker</v>
      </c>
      <c r="K1014">
        <v>0</v>
      </c>
      <c r="L1014">
        <v>0</v>
      </c>
      <c r="M1014">
        <v>0</v>
      </c>
      <c r="N1014">
        <v>0</v>
      </c>
      <c r="O1014">
        <v>258</v>
      </c>
      <c r="P1014" t="str">
        <f t="shared" si="91"/>
        <v>High</v>
      </c>
      <c r="Q1014">
        <v>110</v>
      </c>
      <c r="R1014">
        <v>69</v>
      </c>
      <c r="S1014">
        <v>26.25</v>
      </c>
      <c r="T1014" t="str">
        <f t="shared" si="92"/>
        <v>Overweight</v>
      </c>
      <c r="U1014">
        <v>60</v>
      </c>
      <c r="V1014">
        <v>73</v>
      </c>
      <c r="W1014" t="str">
        <f t="shared" si="95"/>
        <v>Normal</v>
      </c>
      <c r="X1014">
        <v>0</v>
      </c>
    </row>
    <row r="1015" spans="1:24" ht="14.5" thickBot="1" x14ac:dyDescent="0.35">
      <c r="A1015">
        <v>0</v>
      </c>
      <c r="B1015" t="str">
        <f t="shared" si="93"/>
        <v>Female</v>
      </c>
      <c r="C1015" s="8">
        <v>42</v>
      </c>
      <c r="D1015" t="str">
        <f t="shared" si="94"/>
        <v>Middle Age</v>
      </c>
      <c r="E1015">
        <v>3</v>
      </c>
      <c r="F1015" t="str">
        <f>HLOOKUP(E1015, LookUP_Table!$A$6:$D$7, 2, FALSE)</f>
        <v>Graduate</v>
      </c>
      <c r="G1015" t="str">
        <f>IFERROR(VLOOKUP(E1015, LookUP_Table!$A$1:$B$4, 2, FALSE), "")</f>
        <v>Graduate</v>
      </c>
      <c r="H1015">
        <v>1</v>
      </c>
      <c r="I1015">
        <v>15</v>
      </c>
      <c r="J1015" t="str">
        <f t="shared" si="90"/>
        <v>Smoker</v>
      </c>
      <c r="K1015">
        <v>0</v>
      </c>
      <c r="L1015">
        <v>0</v>
      </c>
      <c r="M1015">
        <v>0</v>
      </c>
      <c r="N1015">
        <v>0</v>
      </c>
      <c r="O1015">
        <v>212</v>
      </c>
      <c r="P1015" t="str">
        <f t="shared" si="91"/>
        <v>Normal</v>
      </c>
      <c r="Q1015">
        <v>115</v>
      </c>
      <c r="R1015">
        <v>72</v>
      </c>
      <c r="S1015">
        <v>23.72</v>
      </c>
      <c r="T1015" t="str">
        <f t="shared" si="92"/>
        <v>Normal</v>
      </c>
      <c r="U1015">
        <v>73</v>
      </c>
      <c r="V1015">
        <v>100</v>
      </c>
      <c r="W1015" t="str">
        <f t="shared" si="95"/>
        <v>Prediabetes</v>
      </c>
      <c r="X1015">
        <v>0</v>
      </c>
    </row>
    <row r="1016" spans="1:24" ht="14.5" thickBot="1" x14ac:dyDescent="0.35">
      <c r="A1016">
        <v>0</v>
      </c>
      <c r="B1016" t="str">
        <f t="shared" si="93"/>
        <v>Female</v>
      </c>
      <c r="C1016" s="8">
        <v>42</v>
      </c>
      <c r="D1016" t="str">
        <f t="shared" si="94"/>
        <v>Middle Age</v>
      </c>
      <c r="E1016">
        <v>4</v>
      </c>
      <c r="F1016" t="str">
        <f>HLOOKUP(E1016, LookUP_Table!$A$6:$D$7, 2, FALSE)</f>
        <v>Post Graduate</v>
      </c>
      <c r="G1016" t="str">
        <f>IFERROR(VLOOKUP(E1016, LookUP_Table!$A$1:$B$4, 2, FALSE), "")</f>
        <v>Post Graduate</v>
      </c>
      <c r="H1016">
        <v>0</v>
      </c>
      <c r="I1016">
        <v>0</v>
      </c>
      <c r="J1016" t="str">
        <f t="shared" si="90"/>
        <v>Non-Smoker</v>
      </c>
      <c r="K1016">
        <v>0</v>
      </c>
      <c r="L1016">
        <v>0</v>
      </c>
      <c r="M1016">
        <v>1</v>
      </c>
      <c r="N1016">
        <v>0</v>
      </c>
      <c r="O1016">
        <v>165</v>
      </c>
      <c r="P1016" t="str">
        <f t="shared" si="91"/>
        <v>Normal</v>
      </c>
      <c r="Q1016">
        <v>146</v>
      </c>
      <c r="R1016">
        <v>90</v>
      </c>
      <c r="S1016">
        <v>28.78</v>
      </c>
      <c r="T1016" t="str">
        <f t="shared" si="92"/>
        <v>Overweight</v>
      </c>
      <c r="U1016">
        <v>60</v>
      </c>
      <c r="V1016">
        <v>74</v>
      </c>
      <c r="W1016" t="str">
        <f t="shared" si="95"/>
        <v>Normal</v>
      </c>
      <c r="X1016">
        <v>0</v>
      </c>
    </row>
    <row r="1017" spans="1:24" ht="14.5" thickBot="1" x14ac:dyDescent="0.35">
      <c r="A1017">
        <v>0</v>
      </c>
      <c r="B1017" t="str">
        <f t="shared" si="93"/>
        <v>Female</v>
      </c>
      <c r="C1017" s="8">
        <v>42</v>
      </c>
      <c r="D1017" t="str">
        <f t="shared" si="94"/>
        <v>Middle Age</v>
      </c>
      <c r="E1017">
        <v>1</v>
      </c>
      <c r="F1017" t="str">
        <f>HLOOKUP(E1017, LookUP_Table!$A$6:$D$7, 2, FALSE)</f>
        <v>Primary</v>
      </c>
      <c r="G1017" t="str">
        <f>IFERROR(VLOOKUP(E1017, LookUP_Table!$A$1:$B$4, 2, FALSE), "")</f>
        <v>Primary</v>
      </c>
      <c r="H1017">
        <v>1</v>
      </c>
      <c r="I1017">
        <v>30</v>
      </c>
      <c r="J1017" t="str">
        <f t="shared" si="90"/>
        <v>Smoker</v>
      </c>
      <c r="K1017">
        <v>0</v>
      </c>
      <c r="L1017">
        <v>0</v>
      </c>
      <c r="M1017">
        <v>0</v>
      </c>
      <c r="N1017">
        <v>0</v>
      </c>
      <c r="O1017">
        <v>240</v>
      </c>
      <c r="P1017" t="str">
        <f t="shared" si="91"/>
        <v>Normal</v>
      </c>
      <c r="Q1017">
        <v>127</v>
      </c>
      <c r="R1017">
        <v>90</v>
      </c>
      <c r="S1017">
        <v>38.54</v>
      </c>
      <c r="T1017" t="str">
        <f t="shared" si="92"/>
        <v>Obese</v>
      </c>
      <c r="U1017">
        <v>75</v>
      </c>
      <c r="V1017">
        <v>69</v>
      </c>
      <c r="W1017" t="str">
        <f t="shared" si="95"/>
        <v>Normal</v>
      </c>
      <c r="X1017">
        <v>0</v>
      </c>
    </row>
    <row r="1018" spans="1:24" ht="14.5" thickBot="1" x14ac:dyDescent="0.35">
      <c r="A1018">
        <v>1</v>
      </c>
      <c r="B1018" t="str">
        <f t="shared" si="93"/>
        <v>Male</v>
      </c>
      <c r="C1018" s="8">
        <v>42</v>
      </c>
      <c r="D1018" t="str">
        <f t="shared" si="94"/>
        <v>Middle Age</v>
      </c>
      <c r="E1018">
        <v>1</v>
      </c>
      <c r="F1018" t="str">
        <f>HLOOKUP(E1018, LookUP_Table!$A$6:$D$7, 2, FALSE)</f>
        <v>Primary</v>
      </c>
      <c r="G1018" t="str">
        <f>IFERROR(VLOOKUP(E1018, LookUP_Table!$A$1:$B$4, 2, FALSE), "")</f>
        <v>Primary</v>
      </c>
      <c r="H1018">
        <v>1</v>
      </c>
      <c r="I1018">
        <v>30</v>
      </c>
      <c r="J1018" t="str">
        <f t="shared" si="90"/>
        <v>Smoker</v>
      </c>
      <c r="K1018">
        <v>0</v>
      </c>
      <c r="L1018">
        <v>0</v>
      </c>
      <c r="M1018">
        <v>0</v>
      </c>
      <c r="N1018">
        <v>0</v>
      </c>
      <c r="O1018">
        <v>232</v>
      </c>
      <c r="P1018" t="str">
        <f t="shared" si="91"/>
        <v>Normal</v>
      </c>
      <c r="Q1018">
        <v>130</v>
      </c>
      <c r="R1018">
        <v>91</v>
      </c>
      <c r="S1018">
        <v>25.77</v>
      </c>
      <c r="T1018" t="str">
        <f t="shared" si="92"/>
        <v>Overweight</v>
      </c>
      <c r="U1018">
        <v>72</v>
      </c>
      <c r="V1018">
        <v>70</v>
      </c>
      <c r="W1018" t="str">
        <f t="shared" si="95"/>
        <v>Normal</v>
      </c>
      <c r="X1018">
        <v>0</v>
      </c>
    </row>
    <row r="1019" spans="1:24" ht="14.5" thickBot="1" x14ac:dyDescent="0.35">
      <c r="A1019">
        <v>1</v>
      </c>
      <c r="B1019" t="str">
        <f t="shared" si="93"/>
        <v>Male</v>
      </c>
      <c r="C1019" s="8">
        <v>42</v>
      </c>
      <c r="D1019" t="str">
        <f t="shared" si="94"/>
        <v>Middle Age</v>
      </c>
      <c r="E1019">
        <v>3</v>
      </c>
      <c r="F1019" t="str">
        <f>HLOOKUP(E1019, LookUP_Table!$A$6:$D$7, 2, FALSE)</f>
        <v>Graduate</v>
      </c>
      <c r="G1019" t="str">
        <f>IFERROR(VLOOKUP(E1019, LookUP_Table!$A$1:$B$4, 2, FALSE), "")</f>
        <v>Graduate</v>
      </c>
      <c r="H1019">
        <v>1</v>
      </c>
      <c r="I1019">
        <v>43</v>
      </c>
      <c r="J1019" t="str">
        <f t="shared" si="90"/>
        <v>Smoker</v>
      </c>
      <c r="K1019">
        <v>0</v>
      </c>
      <c r="L1019">
        <v>0</v>
      </c>
      <c r="M1019">
        <v>1</v>
      </c>
      <c r="N1019">
        <v>0</v>
      </c>
      <c r="O1019">
        <v>272</v>
      </c>
      <c r="P1019" t="str">
        <f t="shared" si="91"/>
        <v>High</v>
      </c>
      <c r="Q1019">
        <v>128</v>
      </c>
      <c r="R1019">
        <v>83</v>
      </c>
      <c r="S1019">
        <v>33.26</v>
      </c>
      <c r="T1019" t="str">
        <f t="shared" si="92"/>
        <v>Obese</v>
      </c>
      <c r="U1019">
        <v>80</v>
      </c>
      <c r="V1019">
        <v>63</v>
      </c>
      <c r="W1019" t="str">
        <f t="shared" si="95"/>
        <v>Normal</v>
      </c>
      <c r="X1019">
        <v>1</v>
      </c>
    </row>
    <row r="1020" spans="1:24" ht="14.5" thickBot="1" x14ac:dyDescent="0.35">
      <c r="A1020">
        <v>1</v>
      </c>
      <c r="B1020" t="str">
        <f t="shared" si="93"/>
        <v>Male</v>
      </c>
      <c r="C1020" s="8">
        <v>42</v>
      </c>
      <c r="D1020" t="str">
        <f t="shared" si="94"/>
        <v>Middle Age</v>
      </c>
      <c r="E1020">
        <v>1</v>
      </c>
      <c r="F1020" t="str">
        <f>HLOOKUP(E1020, LookUP_Table!$A$6:$D$7, 2, FALSE)</f>
        <v>Primary</v>
      </c>
      <c r="G1020" t="str">
        <f>IFERROR(VLOOKUP(E1020, LookUP_Table!$A$1:$B$4, 2, FALSE), "")</f>
        <v>Primary</v>
      </c>
      <c r="H1020">
        <v>1</v>
      </c>
      <c r="I1020">
        <v>20</v>
      </c>
      <c r="J1020" t="str">
        <f t="shared" si="90"/>
        <v>Smoker</v>
      </c>
      <c r="K1020">
        <v>0</v>
      </c>
      <c r="L1020">
        <v>0</v>
      </c>
      <c r="M1020">
        <v>0</v>
      </c>
      <c r="N1020">
        <v>0</v>
      </c>
      <c r="O1020">
        <v>190</v>
      </c>
      <c r="P1020" t="str">
        <f t="shared" si="91"/>
        <v>Normal</v>
      </c>
      <c r="Q1020">
        <v>121.5</v>
      </c>
      <c r="R1020">
        <v>79</v>
      </c>
      <c r="S1020">
        <v>24.2</v>
      </c>
      <c r="T1020" t="str">
        <f t="shared" si="92"/>
        <v>Normal</v>
      </c>
      <c r="U1020">
        <v>92</v>
      </c>
      <c r="V1020">
        <v>77</v>
      </c>
      <c r="W1020" t="str">
        <f t="shared" si="95"/>
        <v>Normal</v>
      </c>
      <c r="X1020">
        <v>0</v>
      </c>
    </row>
    <row r="1021" spans="1:24" ht="14.5" thickBot="1" x14ac:dyDescent="0.35">
      <c r="A1021">
        <v>0</v>
      </c>
      <c r="B1021" t="str">
        <f t="shared" si="93"/>
        <v>Female</v>
      </c>
      <c r="C1021" s="8">
        <v>42</v>
      </c>
      <c r="D1021" t="str">
        <f t="shared" si="94"/>
        <v>Middle Age</v>
      </c>
      <c r="E1021">
        <v>2</v>
      </c>
      <c r="F1021" t="str">
        <f>HLOOKUP(E1021, LookUP_Table!$A$6:$D$7, 2, FALSE)</f>
        <v>Secondary</v>
      </c>
      <c r="G1021" t="str">
        <f>IFERROR(VLOOKUP(E1021, LookUP_Table!$A$1:$B$4, 2, FALSE), "")</f>
        <v>Secondary</v>
      </c>
      <c r="H1021">
        <v>1</v>
      </c>
      <c r="I1021">
        <v>10</v>
      </c>
      <c r="J1021" t="str">
        <f t="shared" si="90"/>
        <v>Smoker</v>
      </c>
      <c r="K1021">
        <v>0</v>
      </c>
      <c r="L1021">
        <v>0</v>
      </c>
      <c r="M1021">
        <v>0</v>
      </c>
      <c r="N1021">
        <v>0</v>
      </c>
      <c r="O1021">
        <v>359</v>
      </c>
      <c r="P1021" t="str">
        <f t="shared" si="91"/>
        <v>High</v>
      </c>
      <c r="Q1021">
        <v>115</v>
      </c>
      <c r="R1021">
        <v>71</v>
      </c>
      <c r="S1021">
        <v>24.46</v>
      </c>
      <c r="T1021" t="str">
        <f t="shared" si="92"/>
        <v>Normal</v>
      </c>
      <c r="U1021">
        <v>75</v>
      </c>
      <c r="V1021">
        <v>68</v>
      </c>
      <c r="W1021" t="str">
        <f t="shared" si="95"/>
        <v>Normal</v>
      </c>
      <c r="X1021">
        <v>0</v>
      </c>
    </row>
    <row r="1022" spans="1:24" ht="14.5" thickBot="1" x14ac:dyDescent="0.35">
      <c r="A1022">
        <v>1</v>
      </c>
      <c r="B1022" t="str">
        <f t="shared" si="93"/>
        <v>Male</v>
      </c>
      <c r="C1022" s="8">
        <v>42</v>
      </c>
      <c r="D1022" t="str">
        <f t="shared" si="94"/>
        <v>Middle Age</v>
      </c>
      <c r="E1022">
        <v>1</v>
      </c>
      <c r="F1022" t="str">
        <f>HLOOKUP(E1022, LookUP_Table!$A$6:$D$7, 2, FALSE)</f>
        <v>Primary</v>
      </c>
      <c r="G1022" t="str">
        <f>IFERROR(VLOOKUP(E1022, LookUP_Table!$A$1:$B$4, 2, FALSE), "")</f>
        <v>Primary</v>
      </c>
      <c r="H1022">
        <v>1</v>
      </c>
      <c r="I1022">
        <v>20</v>
      </c>
      <c r="J1022" t="str">
        <f t="shared" si="90"/>
        <v>Smoker</v>
      </c>
      <c r="K1022">
        <v>0</v>
      </c>
      <c r="L1022">
        <v>0</v>
      </c>
      <c r="M1022">
        <v>0</v>
      </c>
      <c r="N1022">
        <v>0</v>
      </c>
      <c r="O1022">
        <v>182</v>
      </c>
      <c r="P1022" t="str">
        <f t="shared" si="91"/>
        <v>Normal</v>
      </c>
      <c r="Q1022">
        <v>120</v>
      </c>
      <c r="R1022">
        <v>83</v>
      </c>
      <c r="S1022">
        <v>27.26</v>
      </c>
      <c r="T1022" t="str">
        <f t="shared" si="92"/>
        <v>Overweight</v>
      </c>
      <c r="U1022">
        <v>85</v>
      </c>
      <c r="V1022">
        <v>87</v>
      </c>
      <c r="W1022" t="str">
        <f t="shared" si="95"/>
        <v>Normal</v>
      </c>
      <c r="X1022">
        <v>0</v>
      </c>
    </row>
    <row r="1023" spans="1:24" ht="14.5" thickBot="1" x14ac:dyDescent="0.35">
      <c r="A1023">
        <v>1</v>
      </c>
      <c r="B1023" t="str">
        <f t="shared" si="93"/>
        <v>Male</v>
      </c>
      <c r="C1023" s="8">
        <v>42</v>
      </c>
      <c r="D1023" t="str">
        <f t="shared" si="94"/>
        <v>Middle Age</v>
      </c>
      <c r="E1023">
        <v>4</v>
      </c>
      <c r="F1023" t="str">
        <f>HLOOKUP(E1023, LookUP_Table!$A$6:$D$7, 2, FALSE)</f>
        <v>Post Graduate</v>
      </c>
      <c r="G1023" t="str">
        <f>IFERROR(VLOOKUP(E1023, LookUP_Table!$A$1:$B$4, 2, FALSE), "")</f>
        <v>Post Graduate</v>
      </c>
      <c r="H1023">
        <v>1</v>
      </c>
      <c r="I1023">
        <v>20</v>
      </c>
      <c r="J1023" t="str">
        <f t="shared" si="90"/>
        <v>Smoker</v>
      </c>
      <c r="K1023">
        <v>0</v>
      </c>
      <c r="L1023">
        <v>0</v>
      </c>
      <c r="M1023">
        <v>1</v>
      </c>
      <c r="N1023">
        <v>0</v>
      </c>
      <c r="O1023">
        <v>260</v>
      </c>
      <c r="P1023" t="str">
        <f t="shared" si="91"/>
        <v>High</v>
      </c>
      <c r="Q1023">
        <v>132</v>
      </c>
      <c r="R1023">
        <v>86</v>
      </c>
      <c r="S1023">
        <v>29.76</v>
      </c>
      <c r="T1023" t="str">
        <f t="shared" si="92"/>
        <v>Overweight</v>
      </c>
      <c r="U1023">
        <v>75</v>
      </c>
      <c r="V1023">
        <v>66</v>
      </c>
      <c r="W1023" t="str">
        <f t="shared" si="95"/>
        <v>Normal</v>
      </c>
      <c r="X1023">
        <v>0</v>
      </c>
    </row>
    <row r="1024" spans="1:24" ht="14.5" thickBot="1" x14ac:dyDescent="0.35">
      <c r="A1024">
        <v>1</v>
      </c>
      <c r="B1024" t="str">
        <f t="shared" si="93"/>
        <v>Male</v>
      </c>
      <c r="C1024" s="8">
        <v>42</v>
      </c>
      <c r="D1024" t="str">
        <f t="shared" si="94"/>
        <v>Middle Age</v>
      </c>
      <c r="E1024">
        <v>4</v>
      </c>
      <c r="F1024" t="str">
        <f>HLOOKUP(E1024, LookUP_Table!$A$6:$D$7, 2, FALSE)</f>
        <v>Post Graduate</v>
      </c>
      <c r="G1024" t="str">
        <f>IFERROR(VLOOKUP(E1024, LookUP_Table!$A$1:$B$4, 2, FALSE), "")</f>
        <v>Post Graduate</v>
      </c>
      <c r="H1024">
        <v>1</v>
      </c>
      <c r="I1024">
        <v>20</v>
      </c>
      <c r="J1024" t="str">
        <f t="shared" si="90"/>
        <v>Smoker</v>
      </c>
      <c r="K1024">
        <v>0</v>
      </c>
      <c r="L1024">
        <v>0</v>
      </c>
      <c r="M1024">
        <v>0</v>
      </c>
      <c r="N1024">
        <v>0</v>
      </c>
      <c r="O1024">
        <v>166</v>
      </c>
      <c r="P1024" t="str">
        <f t="shared" si="91"/>
        <v>Normal</v>
      </c>
      <c r="Q1024">
        <v>110</v>
      </c>
      <c r="R1024">
        <v>70</v>
      </c>
      <c r="S1024">
        <v>19.97</v>
      </c>
      <c r="T1024" t="str">
        <f t="shared" si="92"/>
        <v>Normal</v>
      </c>
      <c r="U1024">
        <v>75</v>
      </c>
      <c r="V1024">
        <v>69</v>
      </c>
      <c r="W1024" t="str">
        <f t="shared" si="95"/>
        <v>Normal</v>
      </c>
      <c r="X1024">
        <v>0</v>
      </c>
    </row>
    <row r="1025" spans="1:24" ht="14.5" thickBot="1" x14ac:dyDescent="0.35">
      <c r="A1025">
        <v>0</v>
      </c>
      <c r="B1025" t="str">
        <f t="shared" si="93"/>
        <v>Female</v>
      </c>
      <c r="C1025" s="8">
        <v>42</v>
      </c>
      <c r="D1025" t="str">
        <f t="shared" si="94"/>
        <v>Middle Age</v>
      </c>
      <c r="E1025">
        <v>4</v>
      </c>
      <c r="F1025" t="str">
        <f>HLOOKUP(E1025, LookUP_Table!$A$6:$D$7, 2, FALSE)</f>
        <v>Post Graduate</v>
      </c>
      <c r="G1025" t="str">
        <f>IFERROR(VLOOKUP(E1025, LookUP_Table!$A$1:$B$4, 2, FALSE), "")</f>
        <v>Post Graduate</v>
      </c>
      <c r="H1025">
        <v>1</v>
      </c>
      <c r="I1025">
        <v>6</v>
      </c>
      <c r="J1025" t="str">
        <f t="shared" si="90"/>
        <v>Smoker</v>
      </c>
      <c r="K1025">
        <v>0</v>
      </c>
      <c r="L1025">
        <v>0</v>
      </c>
      <c r="M1025">
        <v>0</v>
      </c>
      <c r="N1025">
        <v>0</v>
      </c>
      <c r="O1025">
        <v>219</v>
      </c>
      <c r="P1025" t="str">
        <f t="shared" si="91"/>
        <v>Normal</v>
      </c>
      <c r="Q1025">
        <v>120</v>
      </c>
      <c r="R1025">
        <v>70</v>
      </c>
      <c r="S1025">
        <v>24.1</v>
      </c>
      <c r="T1025" t="str">
        <f t="shared" si="92"/>
        <v>Normal</v>
      </c>
      <c r="U1025">
        <v>57</v>
      </c>
      <c r="V1025">
        <v>73</v>
      </c>
      <c r="W1025" t="str">
        <f t="shared" si="95"/>
        <v>Normal</v>
      </c>
      <c r="X1025">
        <v>0</v>
      </c>
    </row>
    <row r="1026" spans="1:24" ht="14.5" thickBot="1" x14ac:dyDescent="0.35">
      <c r="A1026">
        <v>0</v>
      </c>
      <c r="B1026" t="str">
        <f t="shared" si="93"/>
        <v>Female</v>
      </c>
      <c r="C1026" s="8">
        <v>42</v>
      </c>
      <c r="D1026" t="str">
        <f t="shared" si="94"/>
        <v>Middle Age</v>
      </c>
      <c r="E1026">
        <v>1</v>
      </c>
      <c r="F1026" t="str">
        <f>HLOOKUP(E1026, LookUP_Table!$A$6:$D$7, 2, FALSE)</f>
        <v>Primary</v>
      </c>
      <c r="G1026" t="str">
        <f>IFERROR(VLOOKUP(E1026, LookUP_Table!$A$1:$B$4, 2, FALSE), "")</f>
        <v>Primary</v>
      </c>
      <c r="H1026">
        <v>0</v>
      </c>
      <c r="I1026">
        <v>0</v>
      </c>
      <c r="J1026" t="str">
        <f t="shared" ref="J1026:J1089" si="96">IF(I1026&gt;0,"Smoker","Non-Smoker")</f>
        <v>Non-Smoker</v>
      </c>
      <c r="K1026">
        <v>0</v>
      </c>
      <c r="L1026">
        <v>0</v>
      </c>
      <c r="M1026">
        <v>0</v>
      </c>
      <c r="N1026">
        <v>0</v>
      </c>
      <c r="O1026">
        <v>199</v>
      </c>
      <c r="P1026" t="str">
        <f t="shared" ref="P1026:P1089" si="97">IF(O1026&gt;240,"High","Normal")</f>
        <v>Normal</v>
      </c>
      <c r="Q1026">
        <v>111</v>
      </c>
      <c r="R1026">
        <v>71</v>
      </c>
      <c r="S1026">
        <v>27.23</v>
      </c>
      <c r="T1026" t="str">
        <f t="shared" ref="T1026:T1089" si="98">IF(S1026&lt;18.5,"Underweight",
IF(S1026&lt;25,"Normal",
IF(S1026&lt;30,"Overweight","Obese")))</f>
        <v>Overweight</v>
      </c>
      <c r="U1026">
        <v>67</v>
      </c>
      <c r="V1026">
        <v>107</v>
      </c>
      <c r="W1026" t="str">
        <f t="shared" si="95"/>
        <v>Prediabetes</v>
      </c>
      <c r="X1026">
        <v>0</v>
      </c>
    </row>
    <row r="1027" spans="1:24" ht="14.5" thickBot="1" x14ac:dyDescent="0.35">
      <c r="A1027">
        <v>0</v>
      </c>
      <c r="B1027" t="str">
        <f t="shared" ref="B1027:B1090" si="99">IF(A1027=0,"Female","Male")</f>
        <v>Female</v>
      </c>
      <c r="C1027" s="8">
        <v>42</v>
      </c>
      <c r="D1027" t="str">
        <f t="shared" ref="D1027:D1090" si="100">IF(C1027&lt;40,"Young",
IF(C1027&lt;55,"Middle Age","Senior"))</f>
        <v>Middle Age</v>
      </c>
      <c r="E1027">
        <v>2</v>
      </c>
      <c r="F1027" t="str">
        <f>HLOOKUP(E1027, LookUP_Table!$A$6:$D$7, 2, FALSE)</f>
        <v>Secondary</v>
      </c>
      <c r="G1027" t="str">
        <f>IFERROR(VLOOKUP(E1027, LookUP_Table!$A$1:$B$4, 2, FALSE), "")</f>
        <v>Secondary</v>
      </c>
      <c r="H1027">
        <v>1</v>
      </c>
      <c r="I1027">
        <v>9</v>
      </c>
      <c r="J1027" t="str">
        <f t="shared" si="96"/>
        <v>Smoker</v>
      </c>
      <c r="K1027">
        <v>0</v>
      </c>
      <c r="L1027">
        <v>0</v>
      </c>
      <c r="M1027">
        <v>0</v>
      </c>
      <c r="N1027">
        <v>0</v>
      </c>
      <c r="O1027">
        <v>281</v>
      </c>
      <c r="P1027" t="str">
        <f t="shared" si="97"/>
        <v>High</v>
      </c>
      <c r="Q1027">
        <v>115.5</v>
      </c>
      <c r="R1027">
        <v>79</v>
      </c>
      <c r="S1027">
        <v>22.9</v>
      </c>
      <c r="T1027" t="str">
        <f t="shared" si="98"/>
        <v>Normal</v>
      </c>
      <c r="U1027">
        <v>80</v>
      </c>
      <c r="V1027">
        <v>71</v>
      </c>
      <c r="W1027" t="str">
        <f t="shared" ref="W1027:W1090" si="101">IF(V1027 &lt; 100, "Normal", IF(V1027 &lt;= 125, "Prediabetes", "Diabetes"))</f>
        <v>Normal</v>
      </c>
      <c r="X1027">
        <v>0</v>
      </c>
    </row>
    <row r="1028" spans="1:24" ht="14.5" thickBot="1" x14ac:dyDescent="0.35">
      <c r="A1028">
        <v>0</v>
      </c>
      <c r="B1028" t="str">
        <f t="shared" si="99"/>
        <v>Female</v>
      </c>
      <c r="C1028" s="8">
        <v>42</v>
      </c>
      <c r="D1028" t="str">
        <f t="shared" si="100"/>
        <v>Middle Age</v>
      </c>
      <c r="E1028">
        <v>3</v>
      </c>
      <c r="F1028" t="str">
        <f>HLOOKUP(E1028, LookUP_Table!$A$6:$D$7, 2, FALSE)</f>
        <v>Graduate</v>
      </c>
      <c r="G1028" t="str">
        <f>IFERROR(VLOOKUP(E1028, LookUP_Table!$A$1:$B$4, 2, FALSE), "")</f>
        <v>Graduate</v>
      </c>
      <c r="H1028">
        <v>0</v>
      </c>
      <c r="I1028">
        <v>0</v>
      </c>
      <c r="J1028" t="str">
        <f t="shared" si="96"/>
        <v>Non-Smoker</v>
      </c>
      <c r="K1028">
        <v>0</v>
      </c>
      <c r="L1028">
        <v>0</v>
      </c>
      <c r="M1028">
        <v>0</v>
      </c>
      <c r="N1028">
        <v>0</v>
      </c>
      <c r="O1028">
        <v>270</v>
      </c>
      <c r="P1028" t="str">
        <f t="shared" si="97"/>
        <v>High</v>
      </c>
      <c r="Q1028">
        <v>126</v>
      </c>
      <c r="R1028">
        <v>86</v>
      </c>
      <c r="S1028">
        <v>23.98</v>
      </c>
      <c r="T1028" t="str">
        <f t="shared" si="98"/>
        <v>Normal</v>
      </c>
      <c r="U1028">
        <v>80</v>
      </c>
      <c r="V1028">
        <v>77</v>
      </c>
      <c r="W1028" t="str">
        <f t="shared" si="101"/>
        <v>Normal</v>
      </c>
      <c r="X1028">
        <v>0</v>
      </c>
    </row>
    <row r="1029" spans="1:24" ht="14.5" thickBot="1" x14ac:dyDescent="0.35">
      <c r="A1029">
        <v>1</v>
      </c>
      <c r="B1029" t="str">
        <f t="shared" si="99"/>
        <v>Male</v>
      </c>
      <c r="C1029" s="8">
        <v>42</v>
      </c>
      <c r="D1029" t="str">
        <f t="shared" si="100"/>
        <v>Middle Age</v>
      </c>
      <c r="E1029">
        <v>2</v>
      </c>
      <c r="F1029" t="str">
        <f>HLOOKUP(E1029, LookUP_Table!$A$6:$D$7, 2, FALSE)</f>
        <v>Secondary</v>
      </c>
      <c r="G1029" t="str">
        <f>IFERROR(VLOOKUP(E1029, LookUP_Table!$A$1:$B$4, 2, FALSE), "")</f>
        <v>Secondary</v>
      </c>
      <c r="H1029">
        <v>1</v>
      </c>
      <c r="I1029">
        <v>5</v>
      </c>
      <c r="J1029" t="str">
        <f t="shared" si="96"/>
        <v>Smoker</v>
      </c>
      <c r="K1029">
        <v>0</v>
      </c>
      <c r="L1029">
        <v>0</v>
      </c>
      <c r="M1029">
        <v>0</v>
      </c>
      <c r="N1029">
        <v>0</v>
      </c>
      <c r="O1029">
        <v>355</v>
      </c>
      <c r="P1029" t="str">
        <f t="shared" si="97"/>
        <v>High</v>
      </c>
      <c r="Q1029">
        <v>113</v>
      </c>
      <c r="R1029">
        <v>81</v>
      </c>
      <c r="S1029">
        <v>26.17</v>
      </c>
      <c r="T1029" t="str">
        <f t="shared" si="98"/>
        <v>Overweight</v>
      </c>
      <c r="U1029">
        <v>90</v>
      </c>
      <c r="V1029">
        <v>71</v>
      </c>
      <c r="W1029" t="str">
        <f t="shared" si="101"/>
        <v>Normal</v>
      </c>
      <c r="X1029">
        <v>0</v>
      </c>
    </row>
    <row r="1030" spans="1:24" ht="14.5" thickBot="1" x14ac:dyDescent="0.35">
      <c r="A1030">
        <v>0</v>
      </c>
      <c r="B1030" t="str">
        <f t="shared" si="99"/>
        <v>Female</v>
      </c>
      <c r="C1030" s="8">
        <v>42</v>
      </c>
      <c r="D1030" t="str">
        <f t="shared" si="100"/>
        <v>Middle Age</v>
      </c>
      <c r="E1030">
        <v>2</v>
      </c>
      <c r="F1030" t="str">
        <f>HLOOKUP(E1030, LookUP_Table!$A$6:$D$7, 2, FALSE)</f>
        <v>Secondary</v>
      </c>
      <c r="G1030" t="str">
        <f>IFERROR(VLOOKUP(E1030, LookUP_Table!$A$1:$B$4, 2, FALSE), "")</f>
        <v>Secondary</v>
      </c>
      <c r="H1030">
        <v>0</v>
      </c>
      <c r="I1030">
        <v>0</v>
      </c>
      <c r="J1030" t="str">
        <f t="shared" si="96"/>
        <v>Non-Smoker</v>
      </c>
      <c r="K1030">
        <v>0</v>
      </c>
      <c r="L1030">
        <v>0</v>
      </c>
      <c r="M1030">
        <v>1</v>
      </c>
      <c r="N1030">
        <v>0</v>
      </c>
      <c r="O1030">
        <v>196</v>
      </c>
      <c r="P1030" t="str">
        <f t="shared" si="97"/>
        <v>Normal</v>
      </c>
      <c r="Q1030">
        <v>136</v>
      </c>
      <c r="R1030">
        <v>88</v>
      </c>
      <c r="S1030">
        <v>34.549999999999997</v>
      </c>
      <c r="T1030" t="str">
        <f t="shared" si="98"/>
        <v>Obese</v>
      </c>
      <c r="U1030">
        <v>75</v>
      </c>
      <c r="V1030">
        <v>78</v>
      </c>
      <c r="W1030" t="str">
        <f t="shared" si="101"/>
        <v>Normal</v>
      </c>
      <c r="X1030">
        <v>0</v>
      </c>
    </row>
    <row r="1031" spans="1:24" ht="14.5" thickBot="1" x14ac:dyDescent="0.35">
      <c r="A1031">
        <v>1</v>
      </c>
      <c r="B1031" t="str">
        <f t="shared" si="99"/>
        <v>Male</v>
      </c>
      <c r="C1031" s="8">
        <v>42</v>
      </c>
      <c r="D1031" t="str">
        <f t="shared" si="100"/>
        <v>Middle Age</v>
      </c>
      <c r="E1031">
        <v>2</v>
      </c>
      <c r="F1031" t="str">
        <f>HLOOKUP(E1031, LookUP_Table!$A$6:$D$7, 2, FALSE)</f>
        <v>Secondary</v>
      </c>
      <c r="G1031" t="str">
        <f>IFERROR(VLOOKUP(E1031, LookUP_Table!$A$1:$B$4, 2, FALSE), "")</f>
        <v>Secondary</v>
      </c>
      <c r="H1031">
        <v>1</v>
      </c>
      <c r="I1031">
        <v>9</v>
      </c>
      <c r="J1031" t="str">
        <f t="shared" si="96"/>
        <v>Smoker</v>
      </c>
      <c r="K1031">
        <v>0</v>
      </c>
      <c r="L1031">
        <v>0</v>
      </c>
      <c r="M1031">
        <v>0</v>
      </c>
      <c r="N1031">
        <v>0</v>
      </c>
      <c r="O1031">
        <v>205</v>
      </c>
      <c r="P1031" t="str">
        <f t="shared" si="97"/>
        <v>Normal</v>
      </c>
      <c r="Q1031">
        <v>110</v>
      </c>
      <c r="R1031">
        <v>73</v>
      </c>
      <c r="S1031">
        <v>22.4</v>
      </c>
      <c r="T1031" t="str">
        <f t="shared" si="98"/>
        <v>Normal</v>
      </c>
      <c r="U1031">
        <v>61</v>
      </c>
      <c r="V1031">
        <v>66</v>
      </c>
      <c r="W1031" t="str">
        <f t="shared" si="101"/>
        <v>Normal</v>
      </c>
      <c r="X1031">
        <v>0</v>
      </c>
    </row>
    <row r="1032" spans="1:24" ht="14.5" thickBot="1" x14ac:dyDescent="0.35">
      <c r="A1032">
        <v>1</v>
      </c>
      <c r="B1032" t="str">
        <f t="shared" si="99"/>
        <v>Male</v>
      </c>
      <c r="C1032" s="8">
        <v>42</v>
      </c>
      <c r="D1032" t="str">
        <f t="shared" si="100"/>
        <v>Middle Age</v>
      </c>
      <c r="E1032">
        <v>3</v>
      </c>
      <c r="F1032" t="str">
        <f>HLOOKUP(E1032, LookUP_Table!$A$6:$D$7, 2, FALSE)</f>
        <v>Graduate</v>
      </c>
      <c r="G1032" t="str">
        <f>IFERROR(VLOOKUP(E1032, LookUP_Table!$A$1:$B$4, 2, FALSE), "")</f>
        <v>Graduate</v>
      </c>
      <c r="H1032">
        <v>1</v>
      </c>
      <c r="I1032">
        <v>20</v>
      </c>
      <c r="J1032" t="str">
        <f t="shared" si="96"/>
        <v>Smoker</v>
      </c>
      <c r="K1032">
        <v>0</v>
      </c>
      <c r="L1032">
        <v>0</v>
      </c>
      <c r="M1032">
        <v>0</v>
      </c>
      <c r="N1032">
        <v>0</v>
      </c>
      <c r="O1032">
        <v>230</v>
      </c>
      <c r="P1032" t="str">
        <f t="shared" si="97"/>
        <v>Normal</v>
      </c>
      <c r="Q1032">
        <v>112</v>
      </c>
      <c r="R1032">
        <v>66</v>
      </c>
      <c r="S1032">
        <v>25.31</v>
      </c>
      <c r="T1032" t="str">
        <f t="shared" si="98"/>
        <v>Overweight</v>
      </c>
      <c r="U1032">
        <v>80</v>
      </c>
      <c r="V1032">
        <v>69</v>
      </c>
      <c r="W1032" t="str">
        <f t="shared" si="101"/>
        <v>Normal</v>
      </c>
      <c r="X1032">
        <v>0</v>
      </c>
    </row>
    <row r="1033" spans="1:24" ht="14.5" thickBot="1" x14ac:dyDescent="0.35">
      <c r="A1033">
        <v>0</v>
      </c>
      <c r="B1033" t="str">
        <f t="shared" si="99"/>
        <v>Female</v>
      </c>
      <c r="C1033" s="8">
        <v>42</v>
      </c>
      <c r="D1033" t="str">
        <f t="shared" si="100"/>
        <v>Middle Age</v>
      </c>
      <c r="E1033">
        <v>2</v>
      </c>
      <c r="F1033" t="str">
        <f>HLOOKUP(E1033, LookUP_Table!$A$6:$D$7, 2, FALSE)</f>
        <v>Secondary</v>
      </c>
      <c r="G1033" t="str">
        <f>IFERROR(VLOOKUP(E1033, LookUP_Table!$A$1:$B$4, 2, FALSE), "")</f>
        <v>Secondary</v>
      </c>
      <c r="H1033">
        <v>1</v>
      </c>
      <c r="I1033">
        <v>30</v>
      </c>
      <c r="J1033" t="str">
        <f t="shared" si="96"/>
        <v>Smoker</v>
      </c>
      <c r="K1033">
        <v>0</v>
      </c>
      <c r="L1033">
        <v>0</v>
      </c>
      <c r="M1033">
        <v>0</v>
      </c>
      <c r="N1033">
        <v>0</v>
      </c>
      <c r="O1033">
        <v>201</v>
      </c>
      <c r="P1033" t="str">
        <f t="shared" si="97"/>
        <v>Normal</v>
      </c>
      <c r="Q1033">
        <v>141</v>
      </c>
      <c r="R1033">
        <v>84.5</v>
      </c>
      <c r="S1033">
        <v>26.58</v>
      </c>
      <c r="T1033" t="str">
        <f t="shared" si="98"/>
        <v>Overweight</v>
      </c>
      <c r="U1033">
        <v>90</v>
      </c>
      <c r="V1033">
        <v>97</v>
      </c>
      <c r="W1033" t="str">
        <f t="shared" si="101"/>
        <v>Normal</v>
      </c>
      <c r="X1033">
        <v>0</v>
      </c>
    </row>
    <row r="1034" spans="1:24" ht="14.5" thickBot="1" x14ac:dyDescent="0.35">
      <c r="A1034">
        <v>1</v>
      </c>
      <c r="B1034" t="str">
        <f t="shared" si="99"/>
        <v>Male</v>
      </c>
      <c r="C1034" s="8">
        <v>42</v>
      </c>
      <c r="D1034" t="str">
        <f t="shared" si="100"/>
        <v>Middle Age</v>
      </c>
      <c r="E1034">
        <v>1</v>
      </c>
      <c r="F1034" t="str">
        <f>HLOOKUP(E1034, LookUP_Table!$A$6:$D$7, 2, FALSE)</f>
        <v>Primary</v>
      </c>
      <c r="G1034" t="str">
        <f>IFERROR(VLOOKUP(E1034, LookUP_Table!$A$1:$B$4, 2, FALSE), "")</f>
        <v>Primary</v>
      </c>
      <c r="H1034">
        <v>1</v>
      </c>
      <c r="I1034">
        <v>9</v>
      </c>
      <c r="J1034" t="str">
        <f t="shared" si="96"/>
        <v>Smoker</v>
      </c>
      <c r="K1034">
        <v>0</v>
      </c>
      <c r="L1034">
        <v>0</v>
      </c>
      <c r="M1034">
        <v>0</v>
      </c>
      <c r="N1034">
        <v>0</v>
      </c>
      <c r="O1034">
        <v>226</v>
      </c>
      <c r="P1034" t="str">
        <f t="shared" si="97"/>
        <v>Normal</v>
      </c>
      <c r="Q1034">
        <v>119</v>
      </c>
      <c r="R1034">
        <v>80</v>
      </c>
      <c r="S1034">
        <v>25.29</v>
      </c>
      <c r="T1034" t="str">
        <f t="shared" si="98"/>
        <v>Overweight</v>
      </c>
      <c r="U1034">
        <v>62</v>
      </c>
      <c r="V1034">
        <v>98</v>
      </c>
      <c r="W1034" t="str">
        <f t="shared" si="101"/>
        <v>Normal</v>
      </c>
      <c r="X1034">
        <v>0</v>
      </c>
    </row>
    <row r="1035" spans="1:24" ht="14.5" thickBot="1" x14ac:dyDescent="0.35">
      <c r="A1035">
        <v>0</v>
      </c>
      <c r="B1035" t="str">
        <f t="shared" si="99"/>
        <v>Female</v>
      </c>
      <c r="C1035" s="8">
        <v>42</v>
      </c>
      <c r="D1035" t="str">
        <f t="shared" si="100"/>
        <v>Middle Age</v>
      </c>
      <c r="E1035">
        <v>2</v>
      </c>
      <c r="F1035" t="str">
        <f>HLOOKUP(E1035, LookUP_Table!$A$6:$D$7, 2, FALSE)</f>
        <v>Secondary</v>
      </c>
      <c r="G1035" t="str">
        <f>IFERROR(VLOOKUP(E1035, LookUP_Table!$A$1:$B$4, 2, FALSE), "")</f>
        <v>Secondary</v>
      </c>
      <c r="H1035">
        <v>1</v>
      </c>
      <c r="I1035">
        <v>15</v>
      </c>
      <c r="J1035" t="str">
        <f t="shared" si="96"/>
        <v>Smoker</v>
      </c>
      <c r="K1035">
        <v>0</v>
      </c>
      <c r="L1035">
        <v>0</v>
      </c>
      <c r="M1035">
        <v>0</v>
      </c>
      <c r="N1035">
        <v>0</v>
      </c>
      <c r="O1035">
        <v>216</v>
      </c>
      <c r="P1035" t="str">
        <f t="shared" si="97"/>
        <v>Normal</v>
      </c>
      <c r="Q1035">
        <v>119</v>
      </c>
      <c r="R1035">
        <v>75</v>
      </c>
      <c r="S1035">
        <v>27.01</v>
      </c>
      <c r="T1035" t="str">
        <f t="shared" si="98"/>
        <v>Overweight</v>
      </c>
      <c r="U1035">
        <v>70</v>
      </c>
      <c r="V1035">
        <v>73</v>
      </c>
      <c r="W1035" t="str">
        <f t="shared" si="101"/>
        <v>Normal</v>
      </c>
      <c r="X1035">
        <v>0</v>
      </c>
    </row>
    <row r="1036" spans="1:24" ht="14.5" thickBot="1" x14ac:dyDescent="0.35">
      <c r="A1036">
        <v>0</v>
      </c>
      <c r="B1036" t="str">
        <f t="shared" si="99"/>
        <v>Female</v>
      </c>
      <c r="C1036" s="8">
        <v>42</v>
      </c>
      <c r="D1036" t="str">
        <f t="shared" si="100"/>
        <v>Middle Age</v>
      </c>
      <c r="E1036">
        <v>1</v>
      </c>
      <c r="F1036" t="str">
        <f>HLOOKUP(E1036, LookUP_Table!$A$6:$D$7, 2, FALSE)</f>
        <v>Primary</v>
      </c>
      <c r="G1036" t="str">
        <f>IFERROR(VLOOKUP(E1036, LookUP_Table!$A$1:$B$4, 2, FALSE), "")</f>
        <v>Primary</v>
      </c>
      <c r="H1036">
        <v>0</v>
      </c>
      <c r="I1036">
        <v>0</v>
      </c>
      <c r="J1036" t="str">
        <f t="shared" si="96"/>
        <v>Non-Smoker</v>
      </c>
      <c r="K1036">
        <v>0</v>
      </c>
      <c r="L1036">
        <v>0</v>
      </c>
      <c r="M1036">
        <v>0</v>
      </c>
      <c r="N1036">
        <v>0</v>
      </c>
      <c r="O1036">
        <v>193</v>
      </c>
      <c r="P1036" t="str">
        <f t="shared" si="97"/>
        <v>Normal</v>
      </c>
      <c r="Q1036">
        <v>137.5</v>
      </c>
      <c r="R1036">
        <v>82.5</v>
      </c>
      <c r="S1036">
        <v>30.55</v>
      </c>
      <c r="T1036" t="str">
        <f t="shared" si="98"/>
        <v>Obese</v>
      </c>
      <c r="U1036">
        <v>63</v>
      </c>
      <c r="V1036">
        <v>69</v>
      </c>
      <c r="W1036" t="str">
        <f t="shared" si="101"/>
        <v>Normal</v>
      </c>
      <c r="X1036">
        <v>0</v>
      </c>
    </row>
    <row r="1037" spans="1:24" ht="14.5" thickBot="1" x14ac:dyDescent="0.35">
      <c r="A1037">
        <v>0</v>
      </c>
      <c r="B1037" t="str">
        <f t="shared" si="99"/>
        <v>Female</v>
      </c>
      <c r="C1037" s="8">
        <v>42</v>
      </c>
      <c r="D1037" t="str">
        <f t="shared" si="100"/>
        <v>Middle Age</v>
      </c>
      <c r="E1037">
        <v>2</v>
      </c>
      <c r="F1037" t="str">
        <f>HLOOKUP(E1037, LookUP_Table!$A$6:$D$7, 2, FALSE)</f>
        <v>Secondary</v>
      </c>
      <c r="G1037" t="str">
        <f>IFERROR(VLOOKUP(E1037, LookUP_Table!$A$1:$B$4, 2, FALSE), "")</f>
        <v>Secondary</v>
      </c>
      <c r="H1037">
        <v>1</v>
      </c>
      <c r="I1037">
        <v>10</v>
      </c>
      <c r="J1037" t="str">
        <f t="shared" si="96"/>
        <v>Smoker</v>
      </c>
      <c r="K1037">
        <v>0</v>
      </c>
      <c r="L1037">
        <v>0</v>
      </c>
      <c r="M1037">
        <v>0</v>
      </c>
      <c r="N1037">
        <v>0</v>
      </c>
      <c r="O1037">
        <v>173</v>
      </c>
      <c r="P1037" t="str">
        <f t="shared" si="97"/>
        <v>Normal</v>
      </c>
      <c r="Q1037">
        <v>105</v>
      </c>
      <c r="R1037">
        <v>70</v>
      </c>
      <c r="S1037">
        <v>21.98</v>
      </c>
      <c r="T1037" t="str">
        <f t="shared" si="98"/>
        <v>Normal</v>
      </c>
      <c r="U1037">
        <v>60</v>
      </c>
      <c r="V1037">
        <v>79</v>
      </c>
      <c r="W1037" t="str">
        <f t="shared" si="101"/>
        <v>Normal</v>
      </c>
      <c r="X1037">
        <v>0</v>
      </c>
    </row>
    <row r="1038" spans="1:24" ht="14.5" thickBot="1" x14ac:dyDescent="0.35">
      <c r="A1038">
        <v>0</v>
      </c>
      <c r="B1038" t="str">
        <f t="shared" si="99"/>
        <v>Female</v>
      </c>
      <c r="C1038" s="8">
        <v>42</v>
      </c>
      <c r="D1038" t="str">
        <f t="shared" si="100"/>
        <v>Middle Age</v>
      </c>
      <c r="E1038">
        <v>1</v>
      </c>
      <c r="F1038" t="str">
        <f>HLOOKUP(E1038, LookUP_Table!$A$6:$D$7, 2, FALSE)</f>
        <v>Primary</v>
      </c>
      <c r="G1038" t="str">
        <f>IFERROR(VLOOKUP(E1038, LookUP_Table!$A$1:$B$4, 2, FALSE), "")</f>
        <v>Primary</v>
      </c>
      <c r="H1038">
        <v>1</v>
      </c>
      <c r="I1038">
        <v>20</v>
      </c>
      <c r="J1038" t="str">
        <f t="shared" si="96"/>
        <v>Smoker</v>
      </c>
      <c r="K1038">
        <v>0</v>
      </c>
      <c r="L1038">
        <v>0</v>
      </c>
      <c r="M1038">
        <v>0</v>
      </c>
      <c r="N1038">
        <v>0</v>
      </c>
      <c r="O1038">
        <v>171</v>
      </c>
      <c r="P1038" t="str">
        <f t="shared" si="97"/>
        <v>Normal</v>
      </c>
      <c r="Q1038">
        <v>111</v>
      </c>
      <c r="R1038">
        <v>81</v>
      </c>
      <c r="S1038">
        <v>29.47</v>
      </c>
      <c r="T1038" t="str">
        <f t="shared" si="98"/>
        <v>Overweight</v>
      </c>
      <c r="U1038">
        <v>75</v>
      </c>
      <c r="V1038">
        <v>77</v>
      </c>
      <c r="W1038" t="str">
        <f t="shared" si="101"/>
        <v>Normal</v>
      </c>
      <c r="X1038">
        <v>0</v>
      </c>
    </row>
    <row r="1039" spans="1:24" ht="14.5" thickBot="1" x14ac:dyDescent="0.35">
      <c r="A1039">
        <v>0</v>
      </c>
      <c r="B1039" t="str">
        <f t="shared" si="99"/>
        <v>Female</v>
      </c>
      <c r="C1039" s="8">
        <v>42</v>
      </c>
      <c r="D1039" t="str">
        <f t="shared" si="100"/>
        <v>Middle Age</v>
      </c>
      <c r="E1039">
        <v>1</v>
      </c>
      <c r="F1039" t="str">
        <f>HLOOKUP(E1039, LookUP_Table!$A$6:$D$7, 2, FALSE)</f>
        <v>Primary</v>
      </c>
      <c r="G1039" t="str">
        <f>IFERROR(VLOOKUP(E1039, LookUP_Table!$A$1:$B$4, 2, FALSE), "")</f>
        <v>Primary</v>
      </c>
      <c r="H1039">
        <v>0</v>
      </c>
      <c r="I1039">
        <v>0</v>
      </c>
      <c r="J1039" t="str">
        <f t="shared" si="96"/>
        <v>Non-Smoker</v>
      </c>
      <c r="K1039">
        <v>0</v>
      </c>
      <c r="L1039">
        <v>0</v>
      </c>
      <c r="M1039">
        <v>0</v>
      </c>
      <c r="N1039">
        <v>0</v>
      </c>
      <c r="O1039">
        <v>158</v>
      </c>
      <c r="P1039" t="str">
        <f t="shared" si="97"/>
        <v>Normal</v>
      </c>
      <c r="Q1039">
        <v>127.5</v>
      </c>
      <c r="R1039">
        <v>90</v>
      </c>
      <c r="S1039">
        <v>31.75</v>
      </c>
      <c r="T1039" t="str">
        <f t="shared" si="98"/>
        <v>Obese</v>
      </c>
      <c r="U1039">
        <v>120</v>
      </c>
      <c r="V1039">
        <v>92</v>
      </c>
      <c r="W1039" t="str">
        <f t="shared" si="101"/>
        <v>Normal</v>
      </c>
      <c r="X1039">
        <v>0</v>
      </c>
    </row>
    <row r="1040" spans="1:24" ht="14.5" thickBot="1" x14ac:dyDescent="0.35">
      <c r="A1040">
        <v>1</v>
      </c>
      <c r="B1040" t="str">
        <f t="shared" si="99"/>
        <v>Male</v>
      </c>
      <c r="C1040" s="8">
        <v>42</v>
      </c>
      <c r="D1040" t="str">
        <f t="shared" si="100"/>
        <v>Middle Age</v>
      </c>
      <c r="E1040">
        <v>2</v>
      </c>
      <c r="F1040" t="str">
        <f>HLOOKUP(E1040, LookUP_Table!$A$6:$D$7, 2, FALSE)</f>
        <v>Secondary</v>
      </c>
      <c r="G1040" t="str">
        <f>IFERROR(VLOOKUP(E1040, LookUP_Table!$A$1:$B$4, 2, FALSE), "")</f>
        <v>Secondary</v>
      </c>
      <c r="H1040">
        <v>1</v>
      </c>
      <c r="I1040">
        <v>20</v>
      </c>
      <c r="J1040" t="str">
        <f t="shared" si="96"/>
        <v>Smoker</v>
      </c>
      <c r="K1040">
        <v>0</v>
      </c>
      <c r="L1040">
        <v>0</v>
      </c>
      <c r="M1040">
        <v>0</v>
      </c>
      <c r="N1040">
        <v>0</v>
      </c>
      <c r="O1040">
        <v>272</v>
      </c>
      <c r="P1040" t="str">
        <f t="shared" si="97"/>
        <v>High</v>
      </c>
      <c r="Q1040">
        <v>125.5</v>
      </c>
      <c r="R1040">
        <v>80.5</v>
      </c>
      <c r="S1040">
        <v>25.35</v>
      </c>
      <c r="T1040" t="str">
        <f t="shared" si="98"/>
        <v>Overweight</v>
      </c>
      <c r="U1040">
        <v>66</v>
      </c>
      <c r="V1040">
        <v>71</v>
      </c>
      <c r="W1040" t="str">
        <f t="shared" si="101"/>
        <v>Normal</v>
      </c>
      <c r="X1040">
        <v>0</v>
      </c>
    </row>
    <row r="1041" spans="1:24" ht="14.5" thickBot="1" x14ac:dyDescent="0.35">
      <c r="A1041">
        <v>0</v>
      </c>
      <c r="B1041" t="str">
        <f t="shared" si="99"/>
        <v>Female</v>
      </c>
      <c r="C1041" s="8">
        <v>42</v>
      </c>
      <c r="D1041" t="str">
        <f t="shared" si="100"/>
        <v>Middle Age</v>
      </c>
      <c r="E1041">
        <v>3</v>
      </c>
      <c r="F1041" t="str">
        <f>HLOOKUP(E1041, LookUP_Table!$A$6:$D$7, 2, FALSE)</f>
        <v>Graduate</v>
      </c>
      <c r="G1041" t="str">
        <f>IFERROR(VLOOKUP(E1041, LookUP_Table!$A$1:$B$4, 2, FALSE), "")</f>
        <v>Graduate</v>
      </c>
      <c r="H1041">
        <v>0</v>
      </c>
      <c r="I1041">
        <v>0</v>
      </c>
      <c r="J1041" t="str">
        <f t="shared" si="96"/>
        <v>Non-Smoker</v>
      </c>
      <c r="K1041">
        <v>0</v>
      </c>
      <c r="L1041">
        <v>0</v>
      </c>
      <c r="M1041">
        <v>0</v>
      </c>
      <c r="N1041">
        <v>0</v>
      </c>
      <c r="O1041">
        <v>212</v>
      </c>
      <c r="P1041" t="str">
        <f t="shared" si="97"/>
        <v>Normal</v>
      </c>
      <c r="Q1041">
        <v>116</v>
      </c>
      <c r="R1041">
        <v>68</v>
      </c>
      <c r="S1041">
        <v>21.49</v>
      </c>
      <c r="T1041" t="str">
        <f t="shared" si="98"/>
        <v>Normal</v>
      </c>
      <c r="U1041">
        <v>72</v>
      </c>
      <c r="V1041">
        <v>79</v>
      </c>
      <c r="W1041" t="str">
        <f t="shared" si="101"/>
        <v>Normal</v>
      </c>
      <c r="X1041">
        <v>0</v>
      </c>
    </row>
    <row r="1042" spans="1:24" ht="14.5" thickBot="1" x14ac:dyDescent="0.35">
      <c r="A1042">
        <v>0</v>
      </c>
      <c r="B1042" t="str">
        <f t="shared" si="99"/>
        <v>Female</v>
      </c>
      <c r="C1042" s="8">
        <v>42</v>
      </c>
      <c r="D1042" t="str">
        <f t="shared" si="100"/>
        <v>Middle Age</v>
      </c>
      <c r="E1042">
        <v>2</v>
      </c>
      <c r="F1042" t="str">
        <f>HLOOKUP(E1042, LookUP_Table!$A$6:$D$7, 2, FALSE)</f>
        <v>Secondary</v>
      </c>
      <c r="G1042" t="str">
        <f>IFERROR(VLOOKUP(E1042, LookUP_Table!$A$1:$B$4, 2, FALSE), "")</f>
        <v>Secondary</v>
      </c>
      <c r="H1042">
        <v>0</v>
      </c>
      <c r="I1042">
        <v>0</v>
      </c>
      <c r="J1042" t="str">
        <f t="shared" si="96"/>
        <v>Non-Smoker</v>
      </c>
      <c r="K1042">
        <v>0</v>
      </c>
      <c r="L1042">
        <v>0</v>
      </c>
      <c r="M1042">
        <v>0</v>
      </c>
      <c r="N1042">
        <v>0</v>
      </c>
      <c r="O1042">
        <v>233</v>
      </c>
      <c r="P1042" t="str">
        <f t="shared" si="97"/>
        <v>Normal</v>
      </c>
      <c r="Q1042">
        <v>127</v>
      </c>
      <c r="R1042">
        <v>82</v>
      </c>
      <c r="S1042">
        <v>30.22</v>
      </c>
      <c r="T1042" t="str">
        <f t="shared" si="98"/>
        <v>Obese</v>
      </c>
      <c r="U1042">
        <v>70</v>
      </c>
      <c r="V1042">
        <v>81.96365524402907</v>
      </c>
      <c r="W1042" t="str">
        <f t="shared" si="101"/>
        <v>Normal</v>
      </c>
      <c r="X1042">
        <v>0</v>
      </c>
    </row>
    <row r="1043" spans="1:24" ht="14.5" thickBot="1" x14ac:dyDescent="0.35">
      <c r="A1043">
        <v>0</v>
      </c>
      <c r="B1043" t="str">
        <f t="shared" si="99"/>
        <v>Female</v>
      </c>
      <c r="C1043" s="8">
        <v>42</v>
      </c>
      <c r="D1043" t="str">
        <f t="shared" si="100"/>
        <v>Middle Age</v>
      </c>
      <c r="E1043">
        <v>4</v>
      </c>
      <c r="F1043" t="str">
        <f>HLOOKUP(E1043, LookUP_Table!$A$6:$D$7, 2, FALSE)</f>
        <v>Post Graduate</v>
      </c>
      <c r="G1043" t="str">
        <f>IFERROR(VLOOKUP(E1043, LookUP_Table!$A$1:$B$4, 2, FALSE), "")</f>
        <v>Post Graduate</v>
      </c>
      <c r="H1043">
        <v>0</v>
      </c>
      <c r="I1043">
        <v>0</v>
      </c>
      <c r="J1043" t="str">
        <f t="shared" si="96"/>
        <v>Non-Smoker</v>
      </c>
      <c r="K1043">
        <v>0</v>
      </c>
      <c r="L1043">
        <v>0</v>
      </c>
      <c r="M1043">
        <v>0</v>
      </c>
      <c r="N1043">
        <v>0</v>
      </c>
      <c r="O1043">
        <v>278</v>
      </c>
      <c r="P1043" t="str">
        <f t="shared" si="97"/>
        <v>High</v>
      </c>
      <c r="Q1043">
        <v>118.5</v>
      </c>
      <c r="R1043">
        <v>72</v>
      </c>
      <c r="S1043">
        <v>21.99</v>
      </c>
      <c r="T1043" t="str">
        <f t="shared" si="98"/>
        <v>Normal</v>
      </c>
      <c r="U1043">
        <v>72</v>
      </c>
      <c r="V1043">
        <v>78</v>
      </c>
      <c r="W1043" t="str">
        <f t="shared" si="101"/>
        <v>Normal</v>
      </c>
      <c r="X1043">
        <v>0</v>
      </c>
    </row>
    <row r="1044" spans="1:24" ht="14.5" thickBot="1" x14ac:dyDescent="0.35">
      <c r="A1044">
        <v>1</v>
      </c>
      <c r="B1044" t="str">
        <f t="shared" si="99"/>
        <v>Male</v>
      </c>
      <c r="C1044" s="8">
        <v>42</v>
      </c>
      <c r="D1044" t="str">
        <f t="shared" si="100"/>
        <v>Middle Age</v>
      </c>
      <c r="E1044">
        <v>2</v>
      </c>
      <c r="F1044" t="str">
        <f>HLOOKUP(E1044, LookUP_Table!$A$6:$D$7, 2, FALSE)</f>
        <v>Secondary</v>
      </c>
      <c r="G1044" t="str">
        <f>IFERROR(VLOOKUP(E1044, LookUP_Table!$A$1:$B$4, 2, FALSE), "")</f>
        <v>Secondary</v>
      </c>
      <c r="H1044">
        <v>1</v>
      </c>
      <c r="I1044">
        <v>20</v>
      </c>
      <c r="J1044" t="str">
        <f t="shared" si="96"/>
        <v>Smoker</v>
      </c>
      <c r="K1044">
        <v>0</v>
      </c>
      <c r="L1044">
        <v>0</v>
      </c>
      <c r="M1044">
        <v>0</v>
      </c>
      <c r="N1044">
        <v>0</v>
      </c>
      <c r="O1044">
        <v>238</v>
      </c>
      <c r="P1044" t="str">
        <f t="shared" si="97"/>
        <v>Normal</v>
      </c>
      <c r="Q1044">
        <v>133</v>
      </c>
      <c r="R1044">
        <v>88</v>
      </c>
      <c r="S1044">
        <v>28.84</v>
      </c>
      <c r="T1044" t="str">
        <f t="shared" si="98"/>
        <v>Overweight</v>
      </c>
      <c r="U1044">
        <v>80</v>
      </c>
      <c r="V1044">
        <v>58</v>
      </c>
      <c r="W1044" t="str">
        <f t="shared" si="101"/>
        <v>Normal</v>
      </c>
      <c r="X1044">
        <v>0</v>
      </c>
    </row>
    <row r="1045" spans="1:24" ht="14.5" thickBot="1" x14ac:dyDescent="0.35">
      <c r="A1045">
        <v>1</v>
      </c>
      <c r="B1045" t="str">
        <f t="shared" si="99"/>
        <v>Male</v>
      </c>
      <c r="C1045" s="8">
        <v>42</v>
      </c>
      <c r="D1045" t="str">
        <f t="shared" si="100"/>
        <v>Middle Age</v>
      </c>
      <c r="E1045">
        <v>1</v>
      </c>
      <c r="F1045" t="str">
        <f>HLOOKUP(E1045, LookUP_Table!$A$6:$D$7, 2, FALSE)</f>
        <v>Primary</v>
      </c>
      <c r="G1045" t="str">
        <f>IFERROR(VLOOKUP(E1045, LookUP_Table!$A$1:$B$4, 2, FALSE), "")</f>
        <v>Primary</v>
      </c>
      <c r="H1045">
        <v>1</v>
      </c>
      <c r="I1045">
        <v>20</v>
      </c>
      <c r="J1045" t="str">
        <f t="shared" si="96"/>
        <v>Smoker</v>
      </c>
      <c r="K1045">
        <v>0</v>
      </c>
      <c r="L1045">
        <v>0</v>
      </c>
      <c r="M1045">
        <v>0</v>
      </c>
      <c r="N1045">
        <v>0</v>
      </c>
      <c r="O1045">
        <v>241</v>
      </c>
      <c r="P1045" t="str">
        <f t="shared" si="97"/>
        <v>High</v>
      </c>
      <c r="Q1045">
        <v>118</v>
      </c>
      <c r="R1045">
        <v>85</v>
      </c>
      <c r="S1045">
        <v>30.03</v>
      </c>
      <c r="T1045" t="str">
        <f t="shared" si="98"/>
        <v>Obese</v>
      </c>
      <c r="U1045">
        <v>68</v>
      </c>
      <c r="V1045">
        <v>74</v>
      </c>
      <c r="W1045" t="str">
        <f t="shared" si="101"/>
        <v>Normal</v>
      </c>
      <c r="X1045">
        <v>1</v>
      </c>
    </row>
    <row r="1046" spans="1:24" ht="14.5" thickBot="1" x14ac:dyDescent="0.35">
      <c r="A1046">
        <v>1</v>
      </c>
      <c r="B1046" t="str">
        <f t="shared" si="99"/>
        <v>Male</v>
      </c>
      <c r="C1046" s="8">
        <v>42</v>
      </c>
      <c r="D1046" t="str">
        <f t="shared" si="100"/>
        <v>Middle Age</v>
      </c>
      <c r="E1046">
        <v>4</v>
      </c>
      <c r="F1046" t="str">
        <f>HLOOKUP(E1046, LookUP_Table!$A$6:$D$7, 2, FALSE)</f>
        <v>Post Graduate</v>
      </c>
      <c r="G1046" t="str">
        <f>IFERROR(VLOOKUP(E1046, LookUP_Table!$A$1:$B$4, 2, FALSE), "")</f>
        <v>Post Graduate</v>
      </c>
      <c r="H1046">
        <v>1</v>
      </c>
      <c r="I1046">
        <v>40</v>
      </c>
      <c r="J1046" t="str">
        <f t="shared" si="96"/>
        <v>Smoker</v>
      </c>
      <c r="K1046">
        <v>0</v>
      </c>
      <c r="L1046">
        <v>0</v>
      </c>
      <c r="M1046">
        <v>1</v>
      </c>
      <c r="N1046">
        <v>0</v>
      </c>
      <c r="O1046">
        <v>218</v>
      </c>
      <c r="P1046" t="str">
        <f t="shared" si="97"/>
        <v>Normal</v>
      </c>
      <c r="Q1046">
        <v>129</v>
      </c>
      <c r="R1046">
        <v>90</v>
      </c>
      <c r="S1046">
        <v>23.22</v>
      </c>
      <c r="T1046" t="str">
        <f t="shared" si="98"/>
        <v>Normal</v>
      </c>
      <c r="U1046">
        <v>70</v>
      </c>
      <c r="V1046">
        <v>73</v>
      </c>
      <c r="W1046" t="str">
        <f t="shared" si="101"/>
        <v>Normal</v>
      </c>
      <c r="X1046">
        <v>0</v>
      </c>
    </row>
    <row r="1047" spans="1:24" ht="14.5" thickBot="1" x14ac:dyDescent="0.35">
      <c r="A1047">
        <v>1</v>
      </c>
      <c r="B1047" t="str">
        <f t="shared" si="99"/>
        <v>Male</v>
      </c>
      <c r="C1047" s="8">
        <v>42</v>
      </c>
      <c r="D1047" t="str">
        <f t="shared" si="100"/>
        <v>Middle Age</v>
      </c>
      <c r="E1047">
        <v>2</v>
      </c>
      <c r="F1047" t="str">
        <f>HLOOKUP(E1047, LookUP_Table!$A$6:$D$7, 2, FALSE)</f>
        <v>Secondary</v>
      </c>
      <c r="G1047" t="str">
        <f>IFERROR(VLOOKUP(E1047, LookUP_Table!$A$1:$B$4, 2, FALSE), "")</f>
        <v>Secondary</v>
      </c>
      <c r="H1047">
        <v>1</v>
      </c>
      <c r="I1047">
        <v>20</v>
      </c>
      <c r="J1047" t="str">
        <f t="shared" si="96"/>
        <v>Smoker</v>
      </c>
      <c r="K1047">
        <v>0</v>
      </c>
      <c r="L1047">
        <v>0</v>
      </c>
      <c r="M1047">
        <v>1</v>
      </c>
      <c r="N1047">
        <v>0</v>
      </c>
      <c r="O1047">
        <v>220</v>
      </c>
      <c r="P1047" t="str">
        <f t="shared" si="97"/>
        <v>Normal</v>
      </c>
      <c r="Q1047">
        <v>131</v>
      </c>
      <c r="R1047">
        <v>90</v>
      </c>
      <c r="S1047">
        <v>24.21</v>
      </c>
      <c r="T1047" t="str">
        <f t="shared" si="98"/>
        <v>Normal</v>
      </c>
      <c r="U1047">
        <v>62</v>
      </c>
      <c r="V1047">
        <v>79</v>
      </c>
      <c r="W1047" t="str">
        <f t="shared" si="101"/>
        <v>Normal</v>
      </c>
      <c r="X1047">
        <v>0</v>
      </c>
    </row>
    <row r="1048" spans="1:24" ht="14.5" thickBot="1" x14ac:dyDescent="0.35">
      <c r="A1048">
        <v>1</v>
      </c>
      <c r="B1048" t="str">
        <f t="shared" si="99"/>
        <v>Male</v>
      </c>
      <c r="C1048" s="8">
        <v>42</v>
      </c>
      <c r="D1048" t="str">
        <f t="shared" si="100"/>
        <v>Middle Age</v>
      </c>
      <c r="E1048">
        <v>2</v>
      </c>
      <c r="F1048" t="str">
        <f>HLOOKUP(E1048, LookUP_Table!$A$6:$D$7, 2, FALSE)</f>
        <v>Secondary</v>
      </c>
      <c r="G1048" t="str">
        <f>IFERROR(VLOOKUP(E1048, LookUP_Table!$A$1:$B$4, 2, FALSE), "")</f>
        <v>Secondary</v>
      </c>
      <c r="H1048">
        <v>1</v>
      </c>
      <c r="I1048">
        <v>20</v>
      </c>
      <c r="J1048" t="str">
        <f t="shared" si="96"/>
        <v>Smoker</v>
      </c>
      <c r="K1048">
        <v>0</v>
      </c>
      <c r="L1048">
        <v>0</v>
      </c>
      <c r="M1048">
        <v>0</v>
      </c>
      <c r="N1048">
        <v>0</v>
      </c>
      <c r="O1048">
        <v>184</v>
      </c>
      <c r="P1048" t="str">
        <f t="shared" si="97"/>
        <v>Normal</v>
      </c>
      <c r="Q1048">
        <v>114.5</v>
      </c>
      <c r="R1048">
        <v>76</v>
      </c>
      <c r="S1048">
        <v>29.89</v>
      </c>
      <c r="T1048" t="str">
        <f t="shared" si="98"/>
        <v>Overweight</v>
      </c>
      <c r="U1048">
        <v>66</v>
      </c>
      <c r="V1048">
        <v>59</v>
      </c>
      <c r="W1048" t="str">
        <f t="shared" si="101"/>
        <v>Normal</v>
      </c>
      <c r="X1048">
        <v>0</v>
      </c>
    </row>
    <row r="1049" spans="1:24" ht="14.5" thickBot="1" x14ac:dyDescent="0.35">
      <c r="A1049">
        <v>0</v>
      </c>
      <c r="B1049" t="str">
        <f t="shared" si="99"/>
        <v>Female</v>
      </c>
      <c r="C1049" s="8">
        <v>42</v>
      </c>
      <c r="D1049" t="str">
        <f t="shared" si="100"/>
        <v>Middle Age</v>
      </c>
      <c r="E1049">
        <v>2</v>
      </c>
      <c r="F1049" t="str">
        <f>HLOOKUP(E1049, LookUP_Table!$A$6:$D$7, 2, FALSE)</f>
        <v>Secondary</v>
      </c>
      <c r="G1049" t="str">
        <f>IFERROR(VLOOKUP(E1049, LookUP_Table!$A$1:$B$4, 2, FALSE), "")</f>
        <v>Secondary</v>
      </c>
      <c r="H1049">
        <v>0</v>
      </c>
      <c r="I1049">
        <v>0</v>
      </c>
      <c r="J1049" t="str">
        <f t="shared" si="96"/>
        <v>Non-Smoker</v>
      </c>
      <c r="K1049">
        <v>0</v>
      </c>
      <c r="L1049">
        <v>0</v>
      </c>
      <c r="M1049">
        <v>1</v>
      </c>
      <c r="N1049">
        <v>0</v>
      </c>
      <c r="O1049">
        <v>263</v>
      </c>
      <c r="P1049" t="str">
        <f t="shared" si="97"/>
        <v>High</v>
      </c>
      <c r="Q1049">
        <v>150</v>
      </c>
      <c r="R1049">
        <v>88</v>
      </c>
      <c r="S1049">
        <v>23.68</v>
      </c>
      <c r="T1049" t="str">
        <f t="shared" si="98"/>
        <v>Normal</v>
      </c>
      <c r="U1049">
        <v>96</v>
      </c>
      <c r="V1049">
        <v>78</v>
      </c>
      <c r="W1049" t="str">
        <f t="shared" si="101"/>
        <v>Normal</v>
      </c>
      <c r="X1049">
        <v>0</v>
      </c>
    </row>
    <row r="1050" spans="1:24" ht="14.5" thickBot="1" x14ac:dyDescent="0.35">
      <c r="A1050">
        <v>0</v>
      </c>
      <c r="B1050" t="str">
        <f t="shared" si="99"/>
        <v>Female</v>
      </c>
      <c r="C1050" s="8">
        <v>42</v>
      </c>
      <c r="D1050" t="str">
        <f t="shared" si="100"/>
        <v>Middle Age</v>
      </c>
      <c r="E1050">
        <v>1</v>
      </c>
      <c r="F1050" t="str">
        <f>HLOOKUP(E1050, LookUP_Table!$A$6:$D$7, 2, FALSE)</f>
        <v>Primary</v>
      </c>
      <c r="G1050" t="str">
        <f>IFERROR(VLOOKUP(E1050, LookUP_Table!$A$1:$B$4, 2, FALSE), "")</f>
        <v>Primary</v>
      </c>
      <c r="H1050">
        <v>1</v>
      </c>
      <c r="I1050">
        <v>20</v>
      </c>
      <c r="J1050" t="str">
        <f t="shared" si="96"/>
        <v>Smoker</v>
      </c>
      <c r="K1050">
        <v>0</v>
      </c>
      <c r="L1050">
        <v>0</v>
      </c>
      <c r="M1050">
        <v>0</v>
      </c>
      <c r="N1050">
        <v>0</v>
      </c>
      <c r="O1050">
        <v>228</v>
      </c>
      <c r="P1050" t="str">
        <f t="shared" si="97"/>
        <v>Normal</v>
      </c>
      <c r="Q1050">
        <v>122</v>
      </c>
      <c r="R1050">
        <v>85</v>
      </c>
      <c r="S1050">
        <v>23.99</v>
      </c>
      <c r="T1050" t="str">
        <f t="shared" si="98"/>
        <v>Normal</v>
      </c>
      <c r="U1050">
        <v>69</v>
      </c>
      <c r="V1050">
        <v>68</v>
      </c>
      <c r="W1050" t="str">
        <f t="shared" si="101"/>
        <v>Normal</v>
      </c>
      <c r="X1050">
        <v>0</v>
      </c>
    </row>
    <row r="1051" spans="1:24" ht="14.5" thickBot="1" x14ac:dyDescent="0.35">
      <c r="A1051">
        <v>1</v>
      </c>
      <c r="B1051" t="str">
        <f t="shared" si="99"/>
        <v>Male</v>
      </c>
      <c r="C1051" s="8">
        <v>42</v>
      </c>
      <c r="D1051" t="str">
        <f t="shared" si="100"/>
        <v>Middle Age</v>
      </c>
      <c r="E1051">
        <v>1</v>
      </c>
      <c r="F1051" t="str">
        <f>HLOOKUP(E1051, LookUP_Table!$A$6:$D$7, 2, FALSE)</f>
        <v>Primary</v>
      </c>
      <c r="G1051" t="str">
        <f>IFERROR(VLOOKUP(E1051, LookUP_Table!$A$1:$B$4, 2, FALSE), "")</f>
        <v>Primary</v>
      </c>
      <c r="H1051">
        <v>1</v>
      </c>
      <c r="I1051">
        <v>15</v>
      </c>
      <c r="J1051" t="str">
        <f t="shared" si="96"/>
        <v>Smoker</v>
      </c>
      <c r="K1051">
        <v>1</v>
      </c>
      <c r="L1051">
        <v>0</v>
      </c>
      <c r="M1051">
        <v>1</v>
      </c>
      <c r="N1051">
        <v>0</v>
      </c>
      <c r="O1051">
        <v>222</v>
      </c>
      <c r="P1051" t="str">
        <f t="shared" si="97"/>
        <v>Normal</v>
      </c>
      <c r="Q1051">
        <v>143</v>
      </c>
      <c r="R1051">
        <v>92</v>
      </c>
      <c r="S1051">
        <v>27.38</v>
      </c>
      <c r="T1051" t="str">
        <f t="shared" si="98"/>
        <v>Overweight</v>
      </c>
      <c r="U1051">
        <v>78</v>
      </c>
      <c r="V1051">
        <v>89</v>
      </c>
      <c r="W1051" t="str">
        <f t="shared" si="101"/>
        <v>Normal</v>
      </c>
      <c r="X1051">
        <v>0</v>
      </c>
    </row>
    <row r="1052" spans="1:24" ht="14.5" thickBot="1" x14ac:dyDescent="0.35">
      <c r="A1052">
        <v>0</v>
      </c>
      <c r="B1052" t="str">
        <f t="shared" si="99"/>
        <v>Female</v>
      </c>
      <c r="C1052" s="8">
        <v>42</v>
      </c>
      <c r="D1052" t="str">
        <f t="shared" si="100"/>
        <v>Middle Age</v>
      </c>
      <c r="E1052">
        <v>2</v>
      </c>
      <c r="F1052" t="str">
        <f>HLOOKUP(E1052, LookUP_Table!$A$6:$D$7, 2, FALSE)</f>
        <v>Secondary</v>
      </c>
      <c r="G1052" t="str">
        <f>IFERROR(VLOOKUP(E1052, LookUP_Table!$A$1:$B$4, 2, FALSE), "")</f>
        <v>Secondary</v>
      </c>
      <c r="H1052">
        <v>1</v>
      </c>
      <c r="I1052">
        <v>20</v>
      </c>
      <c r="J1052" t="str">
        <f t="shared" si="96"/>
        <v>Smoker</v>
      </c>
      <c r="K1052">
        <v>0</v>
      </c>
      <c r="L1052">
        <v>0</v>
      </c>
      <c r="M1052">
        <v>0</v>
      </c>
      <c r="N1052">
        <v>0</v>
      </c>
      <c r="O1052">
        <v>223</v>
      </c>
      <c r="P1052" t="str">
        <f t="shared" si="97"/>
        <v>Normal</v>
      </c>
      <c r="Q1052">
        <v>129</v>
      </c>
      <c r="R1052">
        <v>79</v>
      </c>
      <c r="S1052">
        <v>28.04</v>
      </c>
      <c r="T1052" t="str">
        <f t="shared" si="98"/>
        <v>Overweight</v>
      </c>
      <c r="U1052">
        <v>98</v>
      </c>
      <c r="V1052">
        <v>100</v>
      </c>
      <c r="W1052" t="str">
        <f t="shared" si="101"/>
        <v>Prediabetes</v>
      </c>
      <c r="X1052">
        <v>0</v>
      </c>
    </row>
    <row r="1053" spans="1:24" ht="14.5" thickBot="1" x14ac:dyDescent="0.35">
      <c r="A1053">
        <v>0</v>
      </c>
      <c r="B1053" t="str">
        <f t="shared" si="99"/>
        <v>Female</v>
      </c>
      <c r="C1053" s="8">
        <v>42</v>
      </c>
      <c r="D1053" t="str">
        <f t="shared" si="100"/>
        <v>Middle Age</v>
      </c>
      <c r="E1053">
        <v>2</v>
      </c>
      <c r="F1053" t="str">
        <f>HLOOKUP(E1053, LookUP_Table!$A$6:$D$7, 2, FALSE)</f>
        <v>Secondary</v>
      </c>
      <c r="G1053" t="str">
        <f>IFERROR(VLOOKUP(E1053, LookUP_Table!$A$1:$B$4, 2, FALSE), "")</f>
        <v>Secondary</v>
      </c>
      <c r="H1053">
        <v>0</v>
      </c>
      <c r="I1053">
        <v>0</v>
      </c>
      <c r="J1053" t="str">
        <f t="shared" si="96"/>
        <v>Non-Smoker</v>
      </c>
      <c r="K1053">
        <v>0</v>
      </c>
      <c r="L1053">
        <v>0</v>
      </c>
      <c r="M1053">
        <v>0</v>
      </c>
      <c r="N1053">
        <v>0</v>
      </c>
      <c r="O1053">
        <v>183</v>
      </c>
      <c r="P1053" t="str">
        <f t="shared" si="97"/>
        <v>Normal</v>
      </c>
      <c r="Q1053">
        <v>120</v>
      </c>
      <c r="R1053">
        <v>76</v>
      </c>
      <c r="S1053">
        <v>21.12</v>
      </c>
      <c r="T1053" t="str">
        <f t="shared" si="98"/>
        <v>Normal</v>
      </c>
      <c r="U1053">
        <v>100</v>
      </c>
      <c r="V1053">
        <v>72</v>
      </c>
      <c r="W1053" t="str">
        <f t="shared" si="101"/>
        <v>Normal</v>
      </c>
      <c r="X1053">
        <v>0</v>
      </c>
    </row>
    <row r="1054" spans="1:24" ht="14.5" thickBot="1" x14ac:dyDescent="0.35">
      <c r="A1054">
        <v>0</v>
      </c>
      <c r="B1054" t="str">
        <f t="shared" si="99"/>
        <v>Female</v>
      </c>
      <c r="C1054" s="8">
        <v>42</v>
      </c>
      <c r="D1054" t="str">
        <f t="shared" si="100"/>
        <v>Middle Age</v>
      </c>
      <c r="E1054">
        <v>2</v>
      </c>
      <c r="F1054" t="str">
        <f>HLOOKUP(E1054, LookUP_Table!$A$6:$D$7, 2, FALSE)</f>
        <v>Secondary</v>
      </c>
      <c r="G1054" t="str">
        <f>IFERROR(VLOOKUP(E1054, LookUP_Table!$A$1:$B$4, 2, FALSE), "")</f>
        <v>Secondary</v>
      </c>
      <c r="H1054">
        <v>0</v>
      </c>
      <c r="I1054">
        <v>0</v>
      </c>
      <c r="J1054" t="str">
        <f t="shared" si="96"/>
        <v>Non-Smoker</v>
      </c>
      <c r="K1054">
        <v>0</v>
      </c>
      <c r="L1054">
        <v>0</v>
      </c>
      <c r="M1054">
        <v>0</v>
      </c>
      <c r="N1054">
        <v>0</v>
      </c>
      <c r="O1054">
        <v>176</v>
      </c>
      <c r="P1054" t="str">
        <f t="shared" si="97"/>
        <v>Normal</v>
      </c>
      <c r="Q1054">
        <v>136</v>
      </c>
      <c r="R1054">
        <v>87</v>
      </c>
      <c r="S1054">
        <v>30.91</v>
      </c>
      <c r="T1054" t="str">
        <f t="shared" si="98"/>
        <v>Obese</v>
      </c>
      <c r="U1054">
        <v>80</v>
      </c>
      <c r="V1054">
        <v>73</v>
      </c>
      <c r="W1054" t="str">
        <f t="shared" si="101"/>
        <v>Normal</v>
      </c>
      <c r="X1054">
        <v>0</v>
      </c>
    </row>
    <row r="1055" spans="1:24" ht="14.5" thickBot="1" x14ac:dyDescent="0.35">
      <c r="A1055">
        <v>1</v>
      </c>
      <c r="B1055" t="str">
        <f t="shared" si="99"/>
        <v>Male</v>
      </c>
      <c r="C1055" s="8">
        <v>42</v>
      </c>
      <c r="D1055" t="str">
        <f t="shared" si="100"/>
        <v>Middle Age</v>
      </c>
      <c r="E1055">
        <v>1</v>
      </c>
      <c r="F1055" t="str">
        <f>HLOOKUP(E1055, LookUP_Table!$A$6:$D$7, 2, FALSE)</f>
        <v>Primary</v>
      </c>
      <c r="G1055" t="str">
        <f>IFERROR(VLOOKUP(E1055, LookUP_Table!$A$1:$B$4, 2, FALSE), "")</f>
        <v>Primary</v>
      </c>
      <c r="H1055">
        <v>1</v>
      </c>
      <c r="I1055">
        <v>20</v>
      </c>
      <c r="J1055" t="str">
        <f t="shared" si="96"/>
        <v>Smoker</v>
      </c>
      <c r="K1055">
        <v>0</v>
      </c>
      <c r="L1055">
        <v>0</v>
      </c>
      <c r="M1055">
        <v>0</v>
      </c>
      <c r="N1055">
        <v>0</v>
      </c>
      <c r="O1055">
        <v>234</v>
      </c>
      <c r="P1055" t="str">
        <f t="shared" si="97"/>
        <v>Normal</v>
      </c>
      <c r="Q1055">
        <v>125</v>
      </c>
      <c r="R1055">
        <v>86</v>
      </c>
      <c r="S1055">
        <v>28.09</v>
      </c>
      <c r="T1055" t="str">
        <f t="shared" si="98"/>
        <v>Overweight</v>
      </c>
      <c r="U1055">
        <v>70</v>
      </c>
      <c r="V1055">
        <v>70</v>
      </c>
      <c r="W1055" t="str">
        <f t="shared" si="101"/>
        <v>Normal</v>
      </c>
      <c r="X1055">
        <v>0</v>
      </c>
    </row>
    <row r="1056" spans="1:24" ht="14.5" thickBot="1" x14ac:dyDescent="0.35">
      <c r="A1056">
        <v>1</v>
      </c>
      <c r="B1056" t="str">
        <f t="shared" si="99"/>
        <v>Male</v>
      </c>
      <c r="C1056" s="8">
        <v>42</v>
      </c>
      <c r="D1056" t="str">
        <f t="shared" si="100"/>
        <v>Middle Age</v>
      </c>
      <c r="E1056">
        <v>4</v>
      </c>
      <c r="F1056" t="str">
        <f>HLOOKUP(E1056, LookUP_Table!$A$6:$D$7, 2, FALSE)</f>
        <v>Post Graduate</v>
      </c>
      <c r="G1056" t="str">
        <f>IFERROR(VLOOKUP(E1056, LookUP_Table!$A$1:$B$4, 2, FALSE), "")</f>
        <v>Post Graduate</v>
      </c>
      <c r="H1056">
        <v>0</v>
      </c>
      <c r="I1056">
        <v>0</v>
      </c>
      <c r="J1056" t="str">
        <f t="shared" si="96"/>
        <v>Non-Smoker</v>
      </c>
      <c r="K1056">
        <v>0</v>
      </c>
      <c r="L1056">
        <v>0</v>
      </c>
      <c r="M1056">
        <v>0</v>
      </c>
      <c r="N1056">
        <v>0</v>
      </c>
      <c r="O1056">
        <v>191</v>
      </c>
      <c r="P1056" t="str">
        <f t="shared" si="97"/>
        <v>Normal</v>
      </c>
      <c r="Q1056">
        <v>118</v>
      </c>
      <c r="R1056">
        <v>80</v>
      </c>
      <c r="S1056">
        <v>24.98</v>
      </c>
      <c r="T1056" t="str">
        <f t="shared" si="98"/>
        <v>Normal</v>
      </c>
      <c r="U1056">
        <v>62</v>
      </c>
      <c r="V1056">
        <v>63</v>
      </c>
      <c r="W1056" t="str">
        <f t="shared" si="101"/>
        <v>Normal</v>
      </c>
      <c r="X1056">
        <v>0</v>
      </c>
    </row>
    <row r="1057" spans="1:24" ht="14.5" thickBot="1" x14ac:dyDescent="0.35">
      <c r="A1057">
        <v>0</v>
      </c>
      <c r="B1057" t="str">
        <f t="shared" si="99"/>
        <v>Female</v>
      </c>
      <c r="C1057" s="8">
        <v>42</v>
      </c>
      <c r="D1057" t="str">
        <f t="shared" si="100"/>
        <v>Middle Age</v>
      </c>
      <c r="E1057">
        <v>1</v>
      </c>
      <c r="F1057" t="str">
        <f>HLOOKUP(E1057, LookUP_Table!$A$6:$D$7, 2, FALSE)</f>
        <v>Primary</v>
      </c>
      <c r="G1057" t="str">
        <f>IFERROR(VLOOKUP(E1057, LookUP_Table!$A$1:$B$4, 2, FALSE), "")</f>
        <v>Primary</v>
      </c>
      <c r="H1057">
        <v>0</v>
      </c>
      <c r="I1057">
        <v>0</v>
      </c>
      <c r="J1057" t="str">
        <f t="shared" si="96"/>
        <v>Non-Smoker</v>
      </c>
      <c r="K1057">
        <v>0</v>
      </c>
      <c r="L1057">
        <v>0</v>
      </c>
      <c r="M1057">
        <v>0</v>
      </c>
      <c r="N1057">
        <v>0</v>
      </c>
      <c r="O1057">
        <v>245</v>
      </c>
      <c r="P1057" t="str">
        <f t="shared" si="97"/>
        <v>High</v>
      </c>
      <c r="Q1057">
        <v>117.5</v>
      </c>
      <c r="R1057">
        <v>90</v>
      </c>
      <c r="S1057">
        <v>22.65</v>
      </c>
      <c r="T1057" t="str">
        <f t="shared" si="98"/>
        <v>Normal</v>
      </c>
      <c r="U1057">
        <v>85</v>
      </c>
      <c r="V1057">
        <v>96</v>
      </c>
      <c r="W1057" t="str">
        <f t="shared" si="101"/>
        <v>Normal</v>
      </c>
      <c r="X1057">
        <v>0</v>
      </c>
    </row>
    <row r="1058" spans="1:24" ht="14.5" thickBot="1" x14ac:dyDescent="0.35">
      <c r="A1058">
        <v>0</v>
      </c>
      <c r="B1058" t="str">
        <f t="shared" si="99"/>
        <v>Female</v>
      </c>
      <c r="C1058" s="8">
        <v>42</v>
      </c>
      <c r="D1058" t="str">
        <f t="shared" si="100"/>
        <v>Middle Age</v>
      </c>
      <c r="E1058">
        <v>1</v>
      </c>
      <c r="F1058" t="str">
        <f>HLOOKUP(E1058, LookUP_Table!$A$6:$D$7, 2, FALSE)</f>
        <v>Primary</v>
      </c>
      <c r="G1058" t="str">
        <f>IFERROR(VLOOKUP(E1058, LookUP_Table!$A$1:$B$4, 2, FALSE), "")</f>
        <v>Primary</v>
      </c>
      <c r="H1058">
        <v>1</v>
      </c>
      <c r="I1058">
        <v>43</v>
      </c>
      <c r="J1058" t="str">
        <f t="shared" si="96"/>
        <v>Smoker</v>
      </c>
      <c r="K1058">
        <v>0</v>
      </c>
      <c r="L1058">
        <v>0</v>
      </c>
      <c r="M1058">
        <v>0</v>
      </c>
      <c r="N1058">
        <v>0</v>
      </c>
      <c r="O1058">
        <v>290</v>
      </c>
      <c r="P1058" t="str">
        <f t="shared" si="97"/>
        <v>High</v>
      </c>
      <c r="Q1058">
        <v>136</v>
      </c>
      <c r="R1058">
        <v>88</v>
      </c>
      <c r="S1058">
        <v>34.71</v>
      </c>
      <c r="T1058" t="str">
        <f t="shared" si="98"/>
        <v>Obese</v>
      </c>
      <c r="U1058">
        <v>110</v>
      </c>
      <c r="V1058">
        <v>81.96365524402907</v>
      </c>
      <c r="W1058" t="str">
        <f t="shared" si="101"/>
        <v>Normal</v>
      </c>
      <c r="X1058">
        <v>0</v>
      </c>
    </row>
    <row r="1059" spans="1:24" ht="14.5" thickBot="1" x14ac:dyDescent="0.35">
      <c r="A1059">
        <v>1</v>
      </c>
      <c r="B1059" t="str">
        <f t="shared" si="99"/>
        <v>Male</v>
      </c>
      <c r="C1059" s="8">
        <v>42</v>
      </c>
      <c r="D1059" t="str">
        <f t="shared" si="100"/>
        <v>Middle Age</v>
      </c>
      <c r="E1059">
        <v>1</v>
      </c>
      <c r="F1059" t="str">
        <f>HLOOKUP(E1059, LookUP_Table!$A$6:$D$7, 2, FALSE)</f>
        <v>Primary</v>
      </c>
      <c r="G1059" t="str">
        <f>IFERROR(VLOOKUP(E1059, LookUP_Table!$A$1:$B$4, 2, FALSE), "")</f>
        <v>Primary</v>
      </c>
      <c r="H1059">
        <v>1</v>
      </c>
      <c r="I1059">
        <v>5</v>
      </c>
      <c r="J1059" t="str">
        <f t="shared" si="96"/>
        <v>Smoker</v>
      </c>
      <c r="K1059">
        <v>0</v>
      </c>
      <c r="L1059">
        <v>0</v>
      </c>
      <c r="M1059">
        <v>1</v>
      </c>
      <c r="N1059">
        <v>0</v>
      </c>
      <c r="O1059">
        <v>184</v>
      </c>
      <c r="P1059" t="str">
        <f t="shared" si="97"/>
        <v>Normal</v>
      </c>
      <c r="Q1059">
        <v>149</v>
      </c>
      <c r="R1059">
        <v>95</v>
      </c>
      <c r="S1059">
        <v>28.77</v>
      </c>
      <c r="T1059" t="str">
        <f t="shared" si="98"/>
        <v>Overweight</v>
      </c>
      <c r="U1059">
        <v>80</v>
      </c>
      <c r="V1059">
        <v>94</v>
      </c>
      <c r="W1059" t="str">
        <f t="shared" si="101"/>
        <v>Normal</v>
      </c>
      <c r="X1059">
        <v>0</v>
      </c>
    </row>
    <row r="1060" spans="1:24" ht="14.5" thickBot="1" x14ac:dyDescent="0.35">
      <c r="A1060">
        <v>0</v>
      </c>
      <c r="B1060" t="str">
        <f t="shared" si="99"/>
        <v>Female</v>
      </c>
      <c r="C1060" s="8">
        <v>42</v>
      </c>
      <c r="D1060" t="str">
        <f t="shared" si="100"/>
        <v>Middle Age</v>
      </c>
      <c r="E1060">
        <v>3</v>
      </c>
      <c r="F1060" t="str">
        <f>HLOOKUP(E1060, LookUP_Table!$A$6:$D$7, 2, FALSE)</f>
        <v>Graduate</v>
      </c>
      <c r="G1060" t="str">
        <f>IFERROR(VLOOKUP(E1060, LookUP_Table!$A$1:$B$4, 2, FALSE), "")</f>
        <v>Graduate</v>
      </c>
      <c r="H1060">
        <v>0</v>
      </c>
      <c r="I1060">
        <v>0</v>
      </c>
      <c r="J1060" t="str">
        <f t="shared" si="96"/>
        <v>Non-Smoker</v>
      </c>
      <c r="K1060">
        <v>0</v>
      </c>
      <c r="L1060">
        <v>0</v>
      </c>
      <c r="M1060">
        <v>0</v>
      </c>
      <c r="N1060">
        <v>0</v>
      </c>
      <c r="O1060">
        <v>260</v>
      </c>
      <c r="P1060" t="str">
        <f t="shared" si="97"/>
        <v>High</v>
      </c>
      <c r="Q1060">
        <v>118.5</v>
      </c>
      <c r="R1060">
        <v>74.5</v>
      </c>
      <c r="S1060">
        <v>22.19</v>
      </c>
      <c r="T1060" t="str">
        <f t="shared" si="98"/>
        <v>Normal</v>
      </c>
      <c r="U1060">
        <v>60</v>
      </c>
      <c r="V1060">
        <v>75</v>
      </c>
      <c r="W1060" t="str">
        <f t="shared" si="101"/>
        <v>Normal</v>
      </c>
      <c r="X1060">
        <v>0</v>
      </c>
    </row>
    <row r="1061" spans="1:24" ht="14.5" thickBot="1" x14ac:dyDescent="0.35">
      <c r="A1061">
        <v>0</v>
      </c>
      <c r="B1061" t="str">
        <f t="shared" si="99"/>
        <v>Female</v>
      </c>
      <c r="C1061" s="8">
        <v>42</v>
      </c>
      <c r="D1061" t="str">
        <f t="shared" si="100"/>
        <v>Middle Age</v>
      </c>
      <c r="E1061">
        <v>2</v>
      </c>
      <c r="F1061" t="str">
        <f>HLOOKUP(E1061, LookUP_Table!$A$6:$D$7, 2, FALSE)</f>
        <v>Secondary</v>
      </c>
      <c r="G1061" t="str">
        <f>IFERROR(VLOOKUP(E1061, LookUP_Table!$A$1:$B$4, 2, FALSE), "")</f>
        <v>Secondary</v>
      </c>
      <c r="H1061">
        <v>1</v>
      </c>
      <c r="I1061">
        <v>20</v>
      </c>
      <c r="J1061" t="str">
        <f t="shared" si="96"/>
        <v>Smoker</v>
      </c>
      <c r="K1061">
        <v>0</v>
      </c>
      <c r="L1061">
        <v>0</v>
      </c>
      <c r="M1061">
        <v>0</v>
      </c>
      <c r="N1061">
        <v>0</v>
      </c>
      <c r="O1061">
        <v>310</v>
      </c>
      <c r="P1061" t="str">
        <f t="shared" si="97"/>
        <v>High</v>
      </c>
      <c r="Q1061">
        <v>124</v>
      </c>
      <c r="R1061">
        <v>72.5</v>
      </c>
      <c r="S1061">
        <v>22.32</v>
      </c>
      <c r="T1061" t="str">
        <f t="shared" si="98"/>
        <v>Normal</v>
      </c>
      <c r="U1061">
        <v>96</v>
      </c>
      <c r="V1061">
        <v>74</v>
      </c>
      <c r="W1061" t="str">
        <f t="shared" si="101"/>
        <v>Normal</v>
      </c>
      <c r="X1061">
        <v>0</v>
      </c>
    </row>
    <row r="1062" spans="1:24" ht="14.5" thickBot="1" x14ac:dyDescent="0.35">
      <c r="A1062">
        <v>1</v>
      </c>
      <c r="B1062" t="str">
        <f t="shared" si="99"/>
        <v>Male</v>
      </c>
      <c r="C1062" s="8">
        <v>42</v>
      </c>
      <c r="D1062" t="str">
        <f t="shared" si="100"/>
        <v>Middle Age</v>
      </c>
      <c r="E1062">
        <v>1</v>
      </c>
      <c r="F1062" t="str">
        <f>HLOOKUP(E1062, LookUP_Table!$A$6:$D$7, 2, FALSE)</f>
        <v>Primary</v>
      </c>
      <c r="G1062" t="str">
        <f>IFERROR(VLOOKUP(E1062, LookUP_Table!$A$1:$B$4, 2, FALSE), "")</f>
        <v>Primary</v>
      </c>
      <c r="H1062">
        <v>1</v>
      </c>
      <c r="I1062">
        <v>30</v>
      </c>
      <c r="J1062" t="str">
        <f t="shared" si="96"/>
        <v>Smoker</v>
      </c>
      <c r="K1062">
        <v>0</v>
      </c>
      <c r="L1062">
        <v>0</v>
      </c>
      <c r="M1062">
        <v>0</v>
      </c>
      <c r="N1062">
        <v>0</v>
      </c>
      <c r="O1062">
        <v>270</v>
      </c>
      <c r="P1062" t="str">
        <f t="shared" si="97"/>
        <v>High</v>
      </c>
      <c r="Q1062">
        <v>122</v>
      </c>
      <c r="R1062">
        <v>82</v>
      </c>
      <c r="S1062">
        <v>30.31</v>
      </c>
      <c r="T1062" t="str">
        <f t="shared" si="98"/>
        <v>Obese</v>
      </c>
      <c r="U1062">
        <v>72</v>
      </c>
      <c r="V1062">
        <v>142</v>
      </c>
      <c r="W1062" t="str">
        <f t="shared" si="101"/>
        <v>Diabetes</v>
      </c>
      <c r="X1062">
        <v>0</v>
      </c>
    </row>
    <row r="1063" spans="1:24" ht="14.5" thickBot="1" x14ac:dyDescent="0.35">
      <c r="A1063">
        <v>1</v>
      </c>
      <c r="B1063" t="str">
        <f t="shared" si="99"/>
        <v>Male</v>
      </c>
      <c r="C1063" s="8">
        <v>42</v>
      </c>
      <c r="D1063" t="str">
        <f t="shared" si="100"/>
        <v>Middle Age</v>
      </c>
      <c r="E1063">
        <v>1</v>
      </c>
      <c r="F1063" t="str">
        <f>HLOOKUP(E1063, LookUP_Table!$A$6:$D$7, 2, FALSE)</f>
        <v>Primary</v>
      </c>
      <c r="G1063" t="str">
        <f>IFERROR(VLOOKUP(E1063, LookUP_Table!$A$1:$B$4, 2, FALSE), "")</f>
        <v>Primary</v>
      </c>
      <c r="H1063">
        <v>1</v>
      </c>
      <c r="I1063">
        <v>20</v>
      </c>
      <c r="J1063" t="str">
        <f t="shared" si="96"/>
        <v>Smoker</v>
      </c>
      <c r="K1063">
        <v>0</v>
      </c>
      <c r="L1063">
        <v>0</v>
      </c>
      <c r="M1063">
        <v>0</v>
      </c>
      <c r="N1063">
        <v>0</v>
      </c>
      <c r="O1063">
        <v>234</v>
      </c>
      <c r="P1063" t="str">
        <f t="shared" si="97"/>
        <v>Normal</v>
      </c>
      <c r="Q1063">
        <v>103</v>
      </c>
      <c r="R1063">
        <v>71</v>
      </c>
      <c r="S1063">
        <v>21.88</v>
      </c>
      <c r="T1063" t="str">
        <f t="shared" si="98"/>
        <v>Normal</v>
      </c>
      <c r="U1063">
        <v>68</v>
      </c>
      <c r="V1063">
        <v>82</v>
      </c>
      <c r="W1063" t="str">
        <f t="shared" si="101"/>
        <v>Normal</v>
      </c>
      <c r="X1063">
        <v>1</v>
      </c>
    </row>
    <row r="1064" spans="1:24" ht="14.5" thickBot="1" x14ac:dyDescent="0.35">
      <c r="A1064">
        <v>1</v>
      </c>
      <c r="B1064" t="str">
        <f t="shared" si="99"/>
        <v>Male</v>
      </c>
      <c r="C1064" s="8">
        <v>42</v>
      </c>
      <c r="D1064" t="str">
        <f t="shared" si="100"/>
        <v>Middle Age</v>
      </c>
      <c r="E1064">
        <v>2</v>
      </c>
      <c r="F1064" t="str">
        <f>HLOOKUP(E1064, LookUP_Table!$A$6:$D$7, 2, FALSE)</f>
        <v>Secondary</v>
      </c>
      <c r="G1064" t="str">
        <f>IFERROR(VLOOKUP(E1064, LookUP_Table!$A$1:$B$4, 2, FALSE), "")</f>
        <v>Secondary</v>
      </c>
      <c r="H1064">
        <v>1</v>
      </c>
      <c r="I1064">
        <v>20</v>
      </c>
      <c r="J1064" t="str">
        <f t="shared" si="96"/>
        <v>Smoker</v>
      </c>
      <c r="K1064">
        <v>0</v>
      </c>
      <c r="L1064">
        <v>0</v>
      </c>
      <c r="M1064">
        <v>0</v>
      </c>
      <c r="N1064">
        <v>0</v>
      </c>
      <c r="O1064">
        <v>223</v>
      </c>
      <c r="P1064" t="str">
        <f t="shared" si="97"/>
        <v>Normal</v>
      </c>
      <c r="Q1064">
        <v>119.5</v>
      </c>
      <c r="R1064">
        <v>87</v>
      </c>
      <c r="S1064">
        <v>23.56</v>
      </c>
      <c r="T1064" t="str">
        <f t="shared" si="98"/>
        <v>Normal</v>
      </c>
      <c r="U1064">
        <v>70</v>
      </c>
      <c r="V1064">
        <v>73</v>
      </c>
      <c r="W1064" t="str">
        <f t="shared" si="101"/>
        <v>Normal</v>
      </c>
      <c r="X1064">
        <v>0</v>
      </c>
    </row>
    <row r="1065" spans="1:24" ht="14.5" thickBot="1" x14ac:dyDescent="0.35">
      <c r="A1065">
        <v>1</v>
      </c>
      <c r="B1065" t="str">
        <f t="shared" si="99"/>
        <v>Male</v>
      </c>
      <c r="C1065" s="8">
        <v>42</v>
      </c>
      <c r="D1065" t="str">
        <f t="shared" si="100"/>
        <v>Middle Age</v>
      </c>
      <c r="E1065">
        <v>3</v>
      </c>
      <c r="F1065" t="str">
        <f>HLOOKUP(E1065, LookUP_Table!$A$6:$D$7, 2, FALSE)</f>
        <v>Graduate</v>
      </c>
      <c r="G1065" t="str">
        <f>IFERROR(VLOOKUP(E1065, LookUP_Table!$A$1:$B$4, 2, FALSE), "")</f>
        <v>Graduate</v>
      </c>
      <c r="H1065">
        <v>0</v>
      </c>
      <c r="I1065">
        <v>0</v>
      </c>
      <c r="J1065" t="str">
        <f t="shared" si="96"/>
        <v>Non-Smoker</v>
      </c>
      <c r="K1065">
        <v>0</v>
      </c>
      <c r="L1065">
        <v>0</v>
      </c>
      <c r="M1065">
        <v>1</v>
      </c>
      <c r="N1065">
        <v>0</v>
      </c>
      <c r="O1065">
        <v>252</v>
      </c>
      <c r="P1065" t="str">
        <f t="shared" si="97"/>
        <v>High</v>
      </c>
      <c r="Q1065">
        <v>151.5</v>
      </c>
      <c r="R1065">
        <v>95</v>
      </c>
      <c r="S1065">
        <v>25.74</v>
      </c>
      <c r="T1065" t="str">
        <f t="shared" si="98"/>
        <v>Overweight</v>
      </c>
      <c r="U1065">
        <v>78</v>
      </c>
      <c r="V1065">
        <v>73</v>
      </c>
      <c r="W1065" t="str">
        <f t="shared" si="101"/>
        <v>Normal</v>
      </c>
      <c r="X1065">
        <v>0</v>
      </c>
    </row>
    <row r="1066" spans="1:24" ht="14.5" thickBot="1" x14ac:dyDescent="0.35">
      <c r="A1066">
        <v>0</v>
      </c>
      <c r="B1066" t="str">
        <f t="shared" si="99"/>
        <v>Female</v>
      </c>
      <c r="C1066" s="8">
        <v>42</v>
      </c>
      <c r="D1066" t="str">
        <f t="shared" si="100"/>
        <v>Middle Age</v>
      </c>
      <c r="E1066">
        <v>1</v>
      </c>
      <c r="F1066" t="str">
        <f>HLOOKUP(E1066, LookUP_Table!$A$6:$D$7, 2, FALSE)</f>
        <v>Primary</v>
      </c>
      <c r="G1066" t="str">
        <f>IFERROR(VLOOKUP(E1066, LookUP_Table!$A$1:$B$4, 2, FALSE), "")</f>
        <v>Primary</v>
      </c>
      <c r="H1066">
        <v>1</v>
      </c>
      <c r="I1066">
        <v>20</v>
      </c>
      <c r="J1066" t="str">
        <f t="shared" si="96"/>
        <v>Smoker</v>
      </c>
      <c r="K1066">
        <v>0</v>
      </c>
      <c r="L1066">
        <v>0</v>
      </c>
      <c r="M1066">
        <v>0</v>
      </c>
      <c r="N1066">
        <v>0</v>
      </c>
      <c r="O1066">
        <v>225</v>
      </c>
      <c r="P1066" t="str">
        <f t="shared" si="97"/>
        <v>Normal</v>
      </c>
      <c r="Q1066">
        <v>111</v>
      </c>
      <c r="R1066">
        <v>71</v>
      </c>
      <c r="S1066">
        <v>23.43</v>
      </c>
      <c r="T1066" t="str">
        <f t="shared" si="98"/>
        <v>Normal</v>
      </c>
      <c r="U1066">
        <v>95</v>
      </c>
      <c r="V1066">
        <v>85</v>
      </c>
      <c r="W1066" t="str">
        <f t="shared" si="101"/>
        <v>Normal</v>
      </c>
      <c r="X1066">
        <v>0</v>
      </c>
    </row>
    <row r="1067" spans="1:24" ht="14.5" thickBot="1" x14ac:dyDescent="0.35">
      <c r="A1067">
        <v>1</v>
      </c>
      <c r="B1067" t="str">
        <f t="shared" si="99"/>
        <v>Male</v>
      </c>
      <c r="C1067" s="8">
        <v>42</v>
      </c>
      <c r="D1067" t="str">
        <f t="shared" si="100"/>
        <v>Middle Age</v>
      </c>
      <c r="E1067">
        <v>1</v>
      </c>
      <c r="F1067" t="str">
        <f>HLOOKUP(E1067, LookUP_Table!$A$6:$D$7, 2, FALSE)</f>
        <v>Primary</v>
      </c>
      <c r="G1067" t="str">
        <f>IFERROR(VLOOKUP(E1067, LookUP_Table!$A$1:$B$4, 2, FALSE), "")</f>
        <v>Primary</v>
      </c>
      <c r="H1067">
        <v>0</v>
      </c>
      <c r="I1067">
        <v>0</v>
      </c>
      <c r="J1067" t="str">
        <f t="shared" si="96"/>
        <v>Non-Smoker</v>
      </c>
      <c r="K1067">
        <v>0</v>
      </c>
      <c r="L1067">
        <v>0</v>
      </c>
      <c r="M1067">
        <v>1</v>
      </c>
      <c r="N1067">
        <v>0</v>
      </c>
      <c r="O1067">
        <v>327</v>
      </c>
      <c r="P1067" t="str">
        <f t="shared" si="97"/>
        <v>High</v>
      </c>
      <c r="Q1067">
        <v>134</v>
      </c>
      <c r="R1067">
        <v>93</v>
      </c>
      <c r="S1067">
        <v>25.14</v>
      </c>
      <c r="T1067" t="str">
        <f t="shared" si="98"/>
        <v>Overweight</v>
      </c>
      <c r="U1067">
        <v>70</v>
      </c>
      <c r="V1067">
        <v>72</v>
      </c>
      <c r="W1067" t="str">
        <f t="shared" si="101"/>
        <v>Normal</v>
      </c>
      <c r="X1067">
        <v>1</v>
      </c>
    </row>
    <row r="1068" spans="1:24" ht="14.5" thickBot="1" x14ac:dyDescent="0.35">
      <c r="A1068">
        <v>1</v>
      </c>
      <c r="B1068" t="str">
        <f t="shared" si="99"/>
        <v>Male</v>
      </c>
      <c r="C1068" s="8">
        <v>42</v>
      </c>
      <c r="D1068" t="str">
        <f t="shared" si="100"/>
        <v>Middle Age</v>
      </c>
      <c r="E1068">
        <v>1</v>
      </c>
      <c r="F1068" t="str">
        <f>HLOOKUP(E1068, LookUP_Table!$A$6:$D$7, 2, FALSE)</f>
        <v>Primary</v>
      </c>
      <c r="G1068" t="str">
        <f>IFERROR(VLOOKUP(E1068, LookUP_Table!$A$1:$B$4, 2, FALSE), "")</f>
        <v>Primary</v>
      </c>
      <c r="H1068">
        <v>1</v>
      </c>
      <c r="I1068">
        <v>5</v>
      </c>
      <c r="J1068" t="str">
        <f t="shared" si="96"/>
        <v>Smoker</v>
      </c>
      <c r="K1068">
        <v>0</v>
      </c>
      <c r="L1068">
        <v>0</v>
      </c>
      <c r="M1068">
        <v>0</v>
      </c>
      <c r="N1068">
        <v>0</v>
      </c>
      <c r="O1068">
        <v>197</v>
      </c>
      <c r="P1068" t="str">
        <f t="shared" si="97"/>
        <v>Normal</v>
      </c>
      <c r="Q1068">
        <v>102</v>
      </c>
      <c r="R1068">
        <v>70.5</v>
      </c>
      <c r="S1068">
        <v>24.68</v>
      </c>
      <c r="T1068" t="str">
        <f t="shared" si="98"/>
        <v>Normal</v>
      </c>
      <c r="U1068">
        <v>83</v>
      </c>
      <c r="V1068">
        <v>45</v>
      </c>
      <c r="W1068" t="str">
        <f t="shared" si="101"/>
        <v>Normal</v>
      </c>
      <c r="X1068">
        <v>0</v>
      </c>
    </row>
    <row r="1069" spans="1:24" ht="14.5" thickBot="1" x14ac:dyDescent="0.35">
      <c r="A1069">
        <v>0</v>
      </c>
      <c r="B1069" t="str">
        <f t="shared" si="99"/>
        <v>Female</v>
      </c>
      <c r="C1069" s="8">
        <v>42</v>
      </c>
      <c r="D1069" t="str">
        <f t="shared" si="100"/>
        <v>Middle Age</v>
      </c>
      <c r="E1069">
        <v>2</v>
      </c>
      <c r="F1069" t="str">
        <f>HLOOKUP(E1069, LookUP_Table!$A$6:$D$7, 2, FALSE)</f>
        <v>Secondary</v>
      </c>
      <c r="G1069" t="str">
        <f>IFERROR(VLOOKUP(E1069, LookUP_Table!$A$1:$B$4, 2, FALSE), "")</f>
        <v>Secondary</v>
      </c>
      <c r="H1069">
        <v>0</v>
      </c>
      <c r="I1069">
        <v>0</v>
      </c>
      <c r="J1069" t="str">
        <f t="shared" si="96"/>
        <v>Non-Smoker</v>
      </c>
      <c r="K1069">
        <v>0</v>
      </c>
      <c r="L1069">
        <v>0</v>
      </c>
      <c r="M1069">
        <v>0</v>
      </c>
      <c r="N1069">
        <v>0</v>
      </c>
      <c r="O1069">
        <v>218</v>
      </c>
      <c r="P1069" t="str">
        <f t="shared" si="97"/>
        <v>Normal</v>
      </c>
      <c r="Q1069">
        <v>122</v>
      </c>
      <c r="R1069">
        <v>75</v>
      </c>
      <c r="S1069">
        <v>18.11</v>
      </c>
      <c r="T1069" t="str">
        <f t="shared" si="98"/>
        <v>Underweight</v>
      </c>
      <c r="U1069">
        <v>100</v>
      </c>
      <c r="V1069">
        <v>85</v>
      </c>
      <c r="W1069" t="str">
        <f t="shared" si="101"/>
        <v>Normal</v>
      </c>
      <c r="X1069">
        <v>0</v>
      </c>
    </row>
    <row r="1070" spans="1:24" ht="14.5" thickBot="1" x14ac:dyDescent="0.35">
      <c r="A1070">
        <v>0</v>
      </c>
      <c r="B1070" t="str">
        <f t="shared" si="99"/>
        <v>Female</v>
      </c>
      <c r="C1070" s="8">
        <v>42</v>
      </c>
      <c r="D1070" t="str">
        <f t="shared" si="100"/>
        <v>Middle Age</v>
      </c>
      <c r="E1070">
        <v>1</v>
      </c>
      <c r="F1070" t="str">
        <f>HLOOKUP(E1070, LookUP_Table!$A$6:$D$7, 2, FALSE)</f>
        <v>Primary</v>
      </c>
      <c r="G1070" t="str">
        <f>IFERROR(VLOOKUP(E1070, LookUP_Table!$A$1:$B$4, 2, FALSE), "")</f>
        <v>Primary</v>
      </c>
      <c r="H1070">
        <v>1</v>
      </c>
      <c r="I1070">
        <v>9</v>
      </c>
      <c r="J1070" t="str">
        <f t="shared" si="96"/>
        <v>Smoker</v>
      </c>
      <c r="K1070">
        <v>0</v>
      </c>
      <c r="L1070">
        <v>0</v>
      </c>
      <c r="M1070">
        <v>0</v>
      </c>
      <c r="N1070">
        <v>0</v>
      </c>
      <c r="O1070">
        <v>200</v>
      </c>
      <c r="P1070" t="str">
        <f t="shared" si="97"/>
        <v>Normal</v>
      </c>
      <c r="Q1070">
        <v>119</v>
      </c>
      <c r="R1070">
        <v>75</v>
      </c>
      <c r="S1070">
        <v>22.91</v>
      </c>
      <c r="T1070" t="str">
        <f t="shared" si="98"/>
        <v>Normal</v>
      </c>
      <c r="U1070">
        <v>57</v>
      </c>
      <c r="V1070">
        <v>69</v>
      </c>
      <c r="W1070" t="str">
        <f t="shared" si="101"/>
        <v>Normal</v>
      </c>
      <c r="X1070">
        <v>0</v>
      </c>
    </row>
    <row r="1071" spans="1:24" ht="14.5" thickBot="1" x14ac:dyDescent="0.35">
      <c r="A1071">
        <v>0</v>
      </c>
      <c r="B1071" t="str">
        <f t="shared" si="99"/>
        <v>Female</v>
      </c>
      <c r="C1071" s="8">
        <v>42</v>
      </c>
      <c r="D1071" t="str">
        <f t="shared" si="100"/>
        <v>Middle Age</v>
      </c>
      <c r="E1071">
        <v>1</v>
      </c>
      <c r="F1071" t="str">
        <f>HLOOKUP(E1071, LookUP_Table!$A$6:$D$7, 2, FALSE)</f>
        <v>Primary</v>
      </c>
      <c r="G1071" t="str">
        <f>IFERROR(VLOOKUP(E1071, LookUP_Table!$A$1:$B$4, 2, FALSE), "")</f>
        <v>Primary</v>
      </c>
      <c r="H1071">
        <v>1</v>
      </c>
      <c r="I1071">
        <v>9</v>
      </c>
      <c r="J1071" t="str">
        <f t="shared" si="96"/>
        <v>Smoker</v>
      </c>
      <c r="K1071">
        <v>0</v>
      </c>
      <c r="L1071">
        <v>0</v>
      </c>
      <c r="M1071">
        <v>0</v>
      </c>
      <c r="N1071">
        <v>0</v>
      </c>
      <c r="O1071">
        <v>231</v>
      </c>
      <c r="P1071" t="str">
        <f t="shared" si="97"/>
        <v>Normal</v>
      </c>
      <c r="Q1071">
        <v>110</v>
      </c>
      <c r="R1071">
        <v>80</v>
      </c>
      <c r="S1071">
        <v>19.12</v>
      </c>
      <c r="T1071" t="str">
        <f t="shared" si="98"/>
        <v>Normal</v>
      </c>
      <c r="U1071">
        <v>78</v>
      </c>
      <c r="V1071">
        <v>70</v>
      </c>
      <c r="W1071" t="str">
        <f t="shared" si="101"/>
        <v>Normal</v>
      </c>
      <c r="X1071">
        <v>0</v>
      </c>
    </row>
    <row r="1072" spans="1:24" ht="14.5" thickBot="1" x14ac:dyDescent="0.35">
      <c r="A1072">
        <v>0</v>
      </c>
      <c r="B1072" t="str">
        <f t="shared" si="99"/>
        <v>Female</v>
      </c>
      <c r="C1072" s="8">
        <v>42</v>
      </c>
      <c r="D1072" t="str">
        <f t="shared" si="100"/>
        <v>Middle Age</v>
      </c>
      <c r="E1072">
        <v>3</v>
      </c>
      <c r="F1072" t="str">
        <f>HLOOKUP(E1072, LookUP_Table!$A$6:$D$7, 2, FALSE)</f>
        <v>Graduate</v>
      </c>
      <c r="G1072" t="str">
        <f>IFERROR(VLOOKUP(E1072, LookUP_Table!$A$1:$B$4, 2, FALSE), "")</f>
        <v>Graduate</v>
      </c>
      <c r="H1072">
        <v>0</v>
      </c>
      <c r="I1072">
        <v>0</v>
      </c>
      <c r="J1072" t="str">
        <f t="shared" si="96"/>
        <v>Non-Smoker</v>
      </c>
      <c r="K1072">
        <v>0</v>
      </c>
      <c r="L1072">
        <v>0</v>
      </c>
      <c r="M1072">
        <v>0</v>
      </c>
      <c r="N1072">
        <v>0</v>
      </c>
      <c r="O1072">
        <v>204</v>
      </c>
      <c r="P1072" t="str">
        <f t="shared" si="97"/>
        <v>Normal</v>
      </c>
      <c r="Q1072">
        <v>108</v>
      </c>
      <c r="R1072">
        <v>70.5</v>
      </c>
      <c r="S1072">
        <v>27.71</v>
      </c>
      <c r="T1072" t="str">
        <f t="shared" si="98"/>
        <v>Overweight</v>
      </c>
      <c r="U1072">
        <v>75</v>
      </c>
      <c r="V1072">
        <v>65</v>
      </c>
      <c r="W1072" t="str">
        <f t="shared" si="101"/>
        <v>Normal</v>
      </c>
      <c r="X1072">
        <v>0</v>
      </c>
    </row>
    <row r="1073" spans="1:24" ht="14.5" thickBot="1" x14ac:dyDescent="0.35">
      <c r="A1073">
        <v>0</v>
      </c>
      <c r="B1073" t="str">
        <f t="shared" si="99"/>
        <v>Female</v>
      </c>
      <c r="C1073" s="8">
        <v>42</v>
      </c>
      <c r="D1073" t="str">
        <f t="shared" si="100"/>
        <v>Middle Age</v>
      </c>
      <c r="E1073">
        <v>4</v>
      </c>
      <c r="F1073" t="str">
        <f>HLOOKUP(E1073, LookUP_Table!$A$6:$D$7, 2, FALSE)</f>
        <v>Post Graduate</v>
      </c>
      <c r="G1073" t="str">
        <f>IFERROR(VLOOKUP(E1073, LookUP_Table!$A$1:$B$4, 2, FALSE), "")</f>
        <v>Post Graduate</v>
      </c>
      <c r="H1073">
        <v>0</v>
      </c>
      <c r="I1073">
        <v>0</v>
      </c>
      <c r="J1073" t="str">
        <f t="shared" si="96"/>
        <v>Non-Smoker</v>
      </c>
      <c r="K1073">
        <v>0</v>
      </c>
      <c r="L1073">
        <v>0</v>
      </c>
      <c r="M1073">
        <v>0</v>
      </c>
      <c r="N1073">
        <v>0</v>
      </c>
      <c r="O1073">
        <v>238</v>
      </c>
      <c r="P1073" t="str">
        <f t="shared" si="97"/>
        <v>Normal</v>
      </c>
      <c r="Q1073">
        <v>125</v>
      </c>
      <c r="R1073">
        <v>77.5</v>
      </c>
      <c r="S1073">
        <v>22.9</v>
      </c>
      <c r="T1073" t="str">
        <f t="shared" si="98"/>
        <v>Normal</v>
      </c>
      <c r="U1073">
        <v>95</v>
      </c>
      <c r="V1073">
        <v>77</v>
      </c>
      <c r="W1073" t="str">
        <f t="shared" si="101"/>
        <v>Normal</v>
      </c>
      <c r="X1073">
        <v>0</v>
      </c>
    </row>
    <row r="1074" spans="1:24" ht="14.5" thickBot="1" x14ac:dyDescent="0.35">
      <c r="A1074">
        <v>1</v>
      </c>
      <c r="B1074" t="str">
        <f t="shared" si="99"/>
        <v>Male</v>
      </c>
      <c r="C1074" s="8">
        <v>42</v>
      </c>
      <c r="D1074" t="str">
        <f t="shared" si="100"/>
        <v>Middle Age</v>
      </c>
      <c r="E1074">
        <v>2</v>
      </c>
      <c r="F1074" t="str">
        <f>HLOOKUP(E1074, LookUP_Table!$A$6:$D$7, 2, FALSE)</f>
        <v>Secondary</v>
      </c>
      <c r="G1074" t="str">
        <f>IFERROR(VLOOKUP(E1074, LookUP_Table!$A$1:$B$4, 2, FALSE), "")</f>
        <v>Secondary</v>
      </c>
      <c r="H1074">
        <v>0</v>
      </c>
      <c r="I1074">
        <v>0</v>
      </c>
      <c r="J1074" t="str">
        <f t="shared" si="96"/>
        <v>Non-Smoker</v>
      </c>
      <c r="K1074">
        <v>0</v>
      </c>
      <c r="L1074">
        <v>0</v>
      </c>
      <c r="M1074">
        <v>0</v>
      </c>
      <c r="N1074">
        <v>0</v>
      </c>
      <c r="O1074">
        <v>240</v>
      </c>
      <c r="P1074" t="str">
        <f t="shared" si="97"/>
        <v>Normal</v>
      </c>
      <c r="Q1074">
        <v>132</v>
      </c>
      <c r="R1074">
        <v>89.5</v>
      </c>
      <c r="S1074">
        <v>29.35</v>
      </c>
      <c r="T1074" t="str">
        <f t="shared" si="98"/>
        <v>Overweight</v>
      </c>
      <c r="U1074">
        <v>75</v>
      </c>
      <c r="V1074">
        <v>103</v>
      </c>
      <c r="W1074" t="str">
        <f t="shared" si="101"/>
        <v>Prediabetes</v>
      </c>
      <c r="X1074">
        <v>0</v>
      </c>
    </row>
    <row r="1075" spans="1:24" ht="14.5" thickBot="1" x14ac:dyDescent="0.35">
      <c r="A1075">
        <v>1</v>
      </c>
      <c r="B1075" t="str">
        <f t="shared" si="99"/>
        <v>Male</v>
      </c>
      <c r="C1075" s="8">
        <v>42</v>
      </c>
      <c r="D1075" t="str">
        <f t="shared" si="100"/>
        <v>Middle Age</v>
      </c>
      <c r="E1075">
        <v>4</v>
      </c>
      <c r="F1075" t="str">
        <f>HLOOKUP(E1075, LookUP_Table!$A$6:$D$7, 2, FALSE)</f>
        <v>Post Graduate</v>
      </c>
      <c r="G1075" t="str">
        <f>IFERROR(VLOOKUP(E1075, LookUP_Table!$A$1:$B$4, 2, FALSE), "")</f>
        <v>Post Graduate</v>
      </c>
      <c r="H1075">
        <v>0</v>
      </c>
      <c r="I1075">
        <v>0</v>
      </c>
      <c r="J1075" t="str">
        <f t="shared" si="96"/>
        <v>Non-Smoker</v>
      </c>
      <c r="K1075">
        <v>0</v>
      </c>
      <c r="L1075">
        <v>0</v>
      </c>
      <c r="M1075">
        <v>0</v>
      </c>
      <c r="N1075">
        <v>0</v>
      </c>
      <c r="O1075">
        <v>236</v>
      </c>
      <c r="P1075" t="str">
        <f t="shared" si="97"/>
        <v>Normal</v>
      </c>
      <c r="Q1075">
        <v>124</v>
      </c>
      <c r="R1075">
        <v>80</v>
      </c>
      <c r="S1075">
        <v>21.5</v>
      </c>
      <c r="T1075" t="str">
        <f t="shared" si="98"/>
        <v>Normal</v>
      </c>
      <c r="U1075">
        <v>65</v>
      </c>
      <c r="V1075">
        <v>60</v>
      </c>
      <c r="W1075" t="str">
        <f t="shared" si="101"/>
        <v>Normal</v>
      </c>
      <c r="X1075">
        <v>0</v>
      </c>
    </row>
    <row r="1076" spans="1:24" ht="14.5" thickBot="1" x14ac:dyDescent="0.35">
      <c r="A1076">
        <v>0</v>
      </c>
      <c r="B1076" t="str">
        <f t="shared" si="99"/>
        <v>Female</v>
      </c>
      <c r="C1076" s="8">
        <v>42</v>
      </c>
      <c r="D1076" t="str">
        <f t="shared" si="100"/>
        <v>Middle Age</v>
      </c>
      <c r="E1076">
        <v>2</v>
      </c>
      <c r="F1076" t="str">
        <f>HLOOKUP(E1076, LookUP_Table!$A$6:$D$7, 2, FALSE)</f>
        <v>Secondary</v>
      </c>
      <c r="G1076" t="str">
        <f>IFERROR(VLOOKUP(E1076, LookUP_Table!$A$1:$B$4, 2, FALSE), "")</f>
        <v>Secondary</v>
      </c>
      <c r="H1076">
        <v>1</v>
      </c>
      <c r="I1076">
        <v>9</v>
      </c>
      <c r="J1076" t="str">
        <f t="shared" si="96"/>
        <v>Smoker</v>
      </c>
      <c r="K1076">
        <v>0</v>
      </c>
      <c r="L1076">
        <v>0</v>
      </c>
      <c r="M1076">
        <v>0</v>
      </c>
      <c r="N1076">
        <v>0</v>
      </c>
      <c r="O1076">
        <v>195</v>
      </c>
      <c r="P1076" t="str">
        <f t="shared" si="97"/>
        <v>Normal</v>
      </c>
      <c r="Q1076">
        <v>126</v>
      </c>
      <c r="R1076">
        <v>81</v>
      </c>
      <c r="S1076">
        <v>22.26</v>
      </c>
      <c r="T1076" t="str">
        <f t="shared" si="98"/>
        <v>Normal</v>
      </c>
      <c r="U1076">
        <v>84</v>
      </c>
      <c r="V1076">
        <v>77</v>
      </c>
      <c r="W1076" t="str">
        <f t="shared" si="101"/>
        <v>Normal</v>
      </c>
      <c r="X1076">
        <v>0</v>
      </c>
    </row>
    <row r="1077" spans="1:24" ht="14.5" thickBot="1" x14ac:dyDescent="0.35">
      <c r="A1077">
        <v>1</v>
      </c>
      <c r="B1077" t="str">
        <f t="shared" si="99"/>
        <v>Male</v>
      </c>
      <c r="C1077" s="8">
        <v>42</v>
      </c>
      <c r="D1077" t="str">
        <f t="shared" si="100"/>
        <v>Middle Age</v>
      </c>
      <c r="E1077">
        <v>2</v>
      </c>
      <c r="F1077" t="str">
        <f>HLOOKUP(E1077, LookUP_Table!$A$6:$D$7, 2, FALSE)</f>
        <v>Secondary</v>
      </c>
      <c r="G1077" t="str">
        <f>IFERROR(VLOOKUP(E1077, LookUP_Table!$A$1:$B$4, 2, FALSE), "")</f>
        <v>Secondary</v>
      </c>
      <c r="H1077">
        <v>1</v>
      </c>
      <c r="I1077">
        <v>15</v>
      </c>
      <c r="J1077" t="str">
        <f t="shared" si="96"/>
        <v>Smoker</v>
      </c>
      <c r="K1077">
        <v>0</v>
      </c>
      <c r="L1077">
        <v>0</v>
      </c>
      <c r="M1077">
        <v>1</v>
      </c>
      <c r="N1077">
        <v>0</v>
      </c>
      <c r="O1077">
        <v>453</v>
      </c>
      <c r="P1077" t="str">
        <f t="shared" si="97"/>
        <v>High</v>
      </c>
      <c r="Q1077">
        <v>158</v>
      </c>
      <c r="R1077">
        <v>108</v>
      </c>
      <c r="S1077">
        <v>28.89</v>
      </c>
      <c r="T1077" t="str">
        <f t="shared" si="98"/>
        <v>Overweight</v>
      </c>
      <c r="U1077">
        <v>90</v>
      </c>
      <c r="V1077">
        <v>110</v>
      </c>
      <c r="W1077" t="str">
        <f t="shared" si="101"/>
        <v>Prediabetes</v>
      </c>
      <c r="X1077">
        <v>0</v>
      </c>
    </row>
    <row r="1078" spans="1:24" ht="14.5" thickBot="1" x14ac:dyDescent="0.35">
      <c r="A1078">
        <v>1</v>
      </c>
      <c r="B1078" t="str">
        <f t="shared" si="99"/>
        <v>Male</v>
      </c>
      <c r="C1078" s="8">
        <v>42</v>
      </c>
      <c r="D1078" t="str">
        <f t="shared" si="100"/>
        <v>Middle Age</v>
      </c>
      <c r="E1078">
        <v>1</v>
      </c>
      <c r="F1078" t="str">
        <f>HLOOKUP(E1078, LookUP_Table!$A$6:$D$7, 2, FALSE)</f>
        <v>Primary</v>
      </c>
      <c r="G1078" t="str">
        <f>IFERROR(VLOOKUP(E1078, LookUP_Table!$A$1:$B$4, 2, FALSE), "")</f>
        <v>Primary</v>
      </c>
      <c r="H1078">
        <v>1</v>
      </c>
      <c r="I1078">
        <v>20</v>
      </c>
      <c r="J1078" t="str">
        <f t="shared" si="96"/>
        <v>Smoker</v>
      </c>
      <c r="K1078">
        <v>0</v>
      </c>
      <c r="L1078">
        <v>0</v>
      </c>
      <c r="M1078">
        <v>1</v>
      </c>
      <c r="N1078">
        <v>0</v>
      </c>
      <c r="O1078">
        <v>306</v>
      </c>
      <c r="P1078" t="str">
        <f t="shared" si="97"/>
        <v>High</v>
      </c>
      <c r="Q1078">
        <v>196</v>
      </c>
      <c r="R1078">
        <v>109</v>
      </c>
      <c r="S1078">
        <v>27.72</v>
      </c>
      <c r="T1078" t="str">
        <f t="shared" si="98"/>
        <v>Overweight</v>
      </c>
      <c r="U1078">
        <v>102</v>
      </c>
      <c r="V1078">
        <v>87</v>
      </c>
      <c r="W1078" t="str">
        <f t="shared" si="101"/>
        <v>Normal</v>
      </c>
      <c r="X1078">
        <v>0</v>
      </c>
    </row>
    <row r="1079" spans="1:24" ht="14.5" thickBot="1" x14ac:dyDescent="0.35">
      <c r="A1079">
        <v>1</v>
      </c>
      <c r="B1079" t="str">
        <f t="shared" si="99"/>
        <v>Male</v>
      </c>
      <c r="C1079" s="8">
        <v>42</v>
      </c>
      <c r="D1079" t="str">
        <f t="shared" si="100"/>
        <v>Middle Age</v>
      </c>
      <c r="E1079">
        <v>1</v>
      </c>
      <c r="F1079" t="str">
        <f>HLOOKUP(E1079, LookUP_Table!$A$6:$D$7, 2, FALSE)</f>
        <v>Primary</v>
      </c>
      <c r="G1079" t="str">
        <f>IFERROR(VLOOKUP(E1079, LookUP_Table!$A$1:$B$4, 2, FALSE), "")</f>
        <v>Primary</v>
      </c>
      <c r="H1079">
        <v>1</v>
      </c>
      <c r="I1079">
        <v>9</v>
      </c>
      <c r="J1079" t="str">
        <f t="shared" si="96"/>
        <v>Smoker</v>
      </c>
      <c r="K1079">
        <v>0</v>
      </c>
      <c r="L1079">
        <v>0</v>
      </c>
      <c r="M1079">
        <v>0</v>
      </c>
      <c r="N1079">
        <v>0</v>
      </c>
      <c r="O1079">
        <v>196</v>
      </c>
      <c r="P1079" t="str">
        <f t="shared" si="97"/>
        <v>Normal</v>
      </c>
      <c r="Q1079">
        <v>123</v>
      </c>
      <c r="R1079">
        <v>73</v>
      </c>
      <c r="S1079">
        <v>22.06</v>
      </c>
      <c r="T1079" t="str">
        <f t="shared" si="98"/>
        <v>Normal</v>
      </c>
      <c r="U1079">
        <v>66</v>
      </c>
      <c r="V1079">
        <v>81.96365524402907</v>
      </c>
      <c r="W1079" t="str">
        <f t="shared" si="101"/>
        <v>Normal</v>
      </c>
      <c r="X1079">
        <v>0</v>
      </c>
    </row>
    <row r="1080" spans="1:24" ht="14.5" thickBot="1" x14ac:dyDescent="0.35">
      <c r="A1080">
        <v>0</v>
      </c>
      <c r="B1080" t="str">
        <f t="shared" si="99"/>
        <v>Female</v>
      </c>
      <c r="C1080" s="8">
        <v>42</v>
      </c>
      <c r="D1080" t="str">
        <f t="shared" si="100"/>
        <v>Middle Age</v>
      </c>
      <c r="E1080">
        <v>2</v>
      </c>
      <c r="F1080" t="str">
        <f>HLOOKUP(E1080, LookUP_Table!$A$6:$D$7, 2, FALSE)</f>
        <v>Secondary</v>
      </c>
      <c r="G1080" t="str">
        <f>IFERROR(VLOOKUP(E1080, LookUP_Table!$A$1:$B$4, 2, FALSE), "")</f>
        <v>Secondary</v>
      </c>
      <c r="H1080">
        <v>0</v>
      </c>
      <c r="I1080">
        <v>0</v>
      </c>
      <c r="J1080" t="str">
        <f t="shared" si="96"/>
        <v>Non-Smoker</v>
      </c>
      <c r="K1080">
        <v>0</v>
      </c>
      <c r="L1080">
        <v>1</v>
      </c>
      <c r="M1080">
        <v>0</v>
      </c>
      <c r="N1080">
        <v>0</v>
      </c>
      <c r="O1080">
        <v>206</v>
      </c>
      <c r="P1080" t="str">
        <f t="shared" si="97"/>
        <v>Normal</v>
      </c>
      <c r="Q1080">
        <v>101</v>
      </c>
      <c r="R1080">
        <v>75</v>
      </c>
      <c r="S1080">
        <v>18.73</v>
      </c>
      <c r="T1080" t="str">
        <f t="shared" si="98"/>
        <v>Normal</v>
      </c>
      <c r="U1080">
        <v>55</v>
      </c>
      <c r="V1080">
        <v>84</v>
      </c>
      <c r="W1080" t="str">
        <f t="shared" si="101"/>
        <v>Normal</v>
      </c>
      <c r="X1080">
        <v>0</v>
      </c>
    </row>
    <row r="1081" spans="1:24" ht="14.5" thickBot="1" x14ac:dyDescent="0.35">
      <c r="A1081">
        <v>0</v>
      </c>
      <c r="B1081" t="str">
        <f t="shared" si="99"/>
        <v>Female</v>
      </c>
      <c r="C1081" s="8">
        <v>42</v>
      </c>
      <c r="D1081" t="str">
        <f t="shared" si="100"/>
        <v>Middle Age</v>
      </c>
      <c r="E1081">
        <v>1</v>
      </c>
      <c r="F1081" t="str">
        <f>HLOOKUP(E1081, LookUP_Table!$A$6:$D$7, 2, FALSE)</f>
        <v>Primary</v>
      </c>
      <c r="G1081" t="str">
        <f>IFERROR(VLOOKUP(E1081, LookUP_Table!$A$1:$B$4, 2, FALSE), "")</f>
        <v>Primary</v>
      </c>
      <c r="H1081">
        <v>0</v>
      </c>
      <c r="I1081">
        <v>0</v>
      </c>
      <c r="J1081" t="str">
        <f t="shared" si="96"/>
        <v>Non-Smoker</v>
      </c>
      <c r="K1081">
        <v>0</v>
      </c>
      <c r="L1081">
        <v>0</v>
      </c>
      <c r="M1081">
        <v>0</v>
      </c>
      <c r="N1081">
        <v>0</v>
      </c>
      <c r="O1081">
        <v>216</v>
      </c>
      <c r="P1081" t="str">
        <f t="shared" si="97"/>
        <v>Normal</v>
      </c>
      <c r="Q1081">
        <v>124</v>
      </c>
      <c r="R1081">
        <v>82</v>
      </c>
      <c r="S1081">
        <v>28.74</v>
      </c>
      <c r="T1081" t="str">
        <f t="shared" si="98"/>
        <v>Overweight</v>
      </c>
      <c r="U1081">
        <v>70</v>
      </c>
      <c r="V1081">
        <v>67</v>
      </c>
      <c r="W1081" t="str">
        <f t="shared" si="101"/>
        <v>Normal</v>
      </c>
      <c r="X1081">
        <v>0</v>
      </c>
    </row>
    <row r="1082" spans="1:24" ht="14.5" thickBot="1" x14ac:dyDescent="0.35">
      <c r="A1082">
        <v>0</v>
      </c>
      <c r="B1082" t="str">
        <f t="shared" si="99"/>
        <v>Female</v>
      </c>
      <c r="C1082" s="8">
        <v>42</v>
      </c>
      <c r="D1082" t="str">
        <f t="shared" si="100"/>
        <v>Middle Age</v>
      </c>
      <c r="E1082">
        <v>2</v>
      </c>
      <c r="F1082" t="str">
        <f>HLOOKUP(E1082, LookUP_Table!$A$6:$D$7, 2, FALSE)</f>
        <v>Secondary</v>
      </c>
      <c r="G1082" t="str">
        <f>IFERROR(VLOOKUP(E1082, LookUP_Table!$A$1:$B$4, 2, FALSE), "")</f>
        <v>Secondary</v>
      </c>
      <c r="H1082">
        <v>1</v>
      </c>
      <c r="I1082">
        <v>2</v>
      </c>
      <c r="J1082" t="str">
        <f t="shared" si="96"/>
        <v>Smoker</v>
      </c>
      <c r="K1082">
        <v>0</v>
      </c>
      <c r="L1082">
        <v>0</v>
      </c>
      <c r="M1082">
        <v>0</v>
      </c>
      <c r="N1082">
        <v>0</v>
      </c>
      <c r="O1082">
        <v>230</v>
      </c>
      <c r="P1082" t="str">
        <f t="shared" si="97"/>
        <v>Normal</v>
      </c>
      <c r="Q1082">
        <v>124</v>
      </c>
      <c r="R1082">
        <v>80</v>
      </c>
      <c r="S1082">
        <v>24.87</v>
      </c>
      <c r="T1082" t="str">
        <f t="shared" si="98"/>
        <v>Normal</v>
      </c>
      <c r="U1082">
        <v>90</v>
      </c>
      <c r="V1082">
        <v>77</v>
      </c>
      <c r="W1082" t="str">
        <f t="shared" si="101"/>
        <v>Normal</v>
      </c>
      <c r="X1082">
        <v>0</v>
      </c>
    </row>
    <row r="1083" spans="1:24" ht="14.5" thickBot="1" x14ac:dyDescent="0.35">
      <c r="A1083">
        <v>1</v>
      </c>
      <c r="B1083" t="str">
        <f t="shared" si="99"/>
        <v>Male</v>
      </c>
      <c r="C1083" s="8">
        <v>42</v>
      </c>
      <c r="D1083" t="str">
        <f t="shared" si="100"/>
        <v>Middle Age</v>
      </c>
      <c r="E1083">
        <v>2</v>
      </c>
      <c r="F1083" t="str">
        <f>HLOOKUP(E1083, LookUP_Table!$A$6:$D$7, 2, FALSE)</f>
        <v>Secondary</v>
      </c>
      <c r="G1083" t="str">
        <f>IFERROR(VLOOKUP(E1083, LookUP_Table!$A$1:$B$4, 2, FALSE), "")</f>
        <v>Secondary</v>
      </c>
      <c r="H1083">
        <v>1</v>
      </c>
      <c r="I1083">
        <v>30</v>
      </c>
      <c r="J1083" t="str">
        <f t="shared" si="96"/>
        <v>Smoker</v>
      </c>
      <c r="K1083">
        <v>0</v>
      </c>
      <c r="L1083">
        <v>0</v>
      </c>
      <c r="M1083">
        <v>0</v>
      </c>
      <c r="N1083">
        <v>0</v>
      </c>
      <c r="O1083">
        <v>283</v>
      </c>
      <c r="P1083" t="str">
        <f t="shared" si="97"/>
        <v>High</v>
      </c>
      <c r="Q1083">
        <v>145</v>
      </c>
      <c r="R1083">
        <v>95</v>
      </c>
      <c r="S1083">
        <v>27.53</v>
      </c>
      <c r="T1083" t="str">
        <f t="shared" si="98"/>
        <v>Overweight</v>
      </c>
      <c r="U1083">
        <v>75</v>
      </c>
      <c r="V1083">
        <v>84</v>
      </c>
      <c r="W1083" t="str">
        <f t="shared" si="101"/>
        <v>Normal</v>
      </c>
      <c r="X1083">
        <v>0</v>
      </c>
    </row>
    <row r="1084" spans="1:24" ht="14.5" thickBot="1" x14ac:dyDescent="0.35">
      <c r="A1084">
        <v>1</v>
      </c>
      <c r="B1084" t="str">
        <f t="shared" si="99"/>
        <v>Male</v>
      </c>
      <c r="C1084" s="8">
        <v>42</v>
      </c>
      <c r="D1084" t="str">
        <f t="shared" si="100"/>
        <v>Middle Age</v>
      </c>
      <c r="E1084">
        <v>1</v>
      </c>
      <c r="F1084" t="str">
        <f>HLOOKUP(E1084, LookUP_Table!$A$6:$D$7, 2, FALSE)</f>
        <v>Primary</v>
      </c>
      <c r="G1084" t="str">
        <f>IFERROR(VLOOKUP(E1084, LookUP_Table!$A$1:$B$4, 2, FALSE), "")</f>
        <v>Primary</v>
      </c>
      <c r="H1084">
        <v>0</v>
      </c>
      <c r="I1084">
        <v>0</v>
      </c>
      <c r="J1084" t="str">
        <f t="shared" si="96"/>
        <v>Non-Smoker</v>
      </c>
      <c r="K1084">
        <v>0</v>
      </c>
      <c r="L1084">
        <v>0</v>
      </c>
      <c r="M1084">
        <v>0</v>
      </c>
      <c r="N1084">
        <v>0</v>
      </c>
      <c r="O1084">
        <v>186</v>
      </c>
      <c r="P1084" t="str">
        <f t="shared" si="97"/>
        <v>Normal</v>
      </c>
      <c r="Q1084">
        <v>134</v>
      </c>
      <c r="R1084">
        <v>86.5</v>
      </c>
      <c r="S1084">
        <v>25.71</v>
      </c>
      <c r="T1084" t="str">
        <f t="shared" si="98"/>
        <v>Overweight</v>
      </c>
      <c r="U1084">
        <v>88</v>
      </c>
      <c r="V1084">
        <v>92</v>
      </c>
      <c r="W1084" t="str">
        <f t="shared" si="101"/>
        <v>Normal</v>
      </c>
      <c r="X1084">
        <v>0</v>
      </c>
    </row>
    <row r="1085" spans="1:24" ht="14.5" thickBot="1" x14ac:dyDescent="0.35">
      <c r="A1085">
        <v>0</v>
      </c>
      <c r="B1085" t="str">
        <f t="shared" si="99"/>
        <v>Female</v>
      </c>
      <c r="C1085" s="8">
        <v>42</v>
      </c>
      <c r="D1085" t="str">
        <f t="shared" si="100"/>
        <v>Middle Age</v>
      </c>
      <c r="E1085">
        <v>2</v>
      </c>
      <c r="F1085" t="str">
        <f>HLOOKUP(E1085, LookUP_Table!$A$6:$D$7, 2, FALSE)</f>
        <v>Secondary</v>
      </c>
      <c r="G1085" t="str">
        <f>IFERROR(VLOOKUP(E1085, LookUP_Table!$A$1:$B$4, 2, FALSE), "")</f>
        <v>Secondary</v>
      </c>
      <c r="H1085">
        <v>0</v>
      </c>
      <c r="I1085">
        <v>0</v>
      </c>
      <c r="J1085" t="str">
        <f t="shared" si="96"/>
        <v>Non-Smoker</v>
      </c>
      <c r="K1085">
        <v>0</v>
      </c>
      <c r="L1085">
        <v>0</v>
      </c>
      <c r="M1085">
        <v>0</v>
      </c>
      <c r="N1085">
        <v>0</v>
      </c>
      <c r="O1085">
        <v>234</v>
      </c>
      <c r="P1085" t="str">
        <f t="shared" si="97"/>
        <v>Normal</v>
      </c>
      <c r="Q1085">
        <v>124</v>
      </c>
      <c r="R1085">
        <v>80.5</v>
      </c>
      <c r="S1085">
        <v>20.059999999999999</v>
      </c>
      <c r="T1085" t="str">
        <f t="shared" si="98"/>
        <v>Normal</v>
      </c>
      <c r="U1085">
        <v>75</v>
      </c>
      <c r="V1085">
        <v>81.96365524402907</v>
      </c>
      <c r="W1085" t="str">
        <f t="shared" si="101"/>
        <v>Normal</v>
      </c>
      <c r="X1085">
        <v>0</v>
      </c>
    </row>
    <row r="1086" spans="1:24" ht="14.5" thickBot="1" x14ac:dyDescent="0.35">
      <c r="A1086">
        <v>1</v>
      </c>
      <c r="B1086" t="str">
        <f t="shared" si="99"/>
        <v>Male</v>
      </c>
      <c r="C1086" s="8">
        <v>42</v>
      </c>
      <c r="D1086" t="str">
        <f t="shared" si="100"/>
        <v>Middle Age</v>
      </c>
      <c r="E1086">
        <v>1</v>
      </c>
      <c r="F1086" t="str">
        <f>HLOOKUP(E1086, LookUP_Table!$A$6:$D$7, 2, FALSE)</f>
        <v>Primary</v>
      </c>
      <c r="G1086" t="str">
        <f>IFERROR(VLOOKUP(E1086, LookUP_Table!$A$1:$B$4, 2, FALSE), "")</f>
        <v>Primary</v>
      </c>
      <c r="H1086">
        <v>0</v>
      </c>
      <c r="I1086">
        <v>0</v>
      </c>
      <c r="J1086" t="str">
        <f t="shared" si="96"/>
        <v>Non-Smoker</v>
      </c>
      <c r="K1086">
        <v>0</v>
      </c>
      <c r="L1086">
        <v>0</v>
      </c>
      <c r="M1086">
        <v>0</v>
      </c>
      <c r="N1086">
        <v>0</v>
      </c>
      <c r="O1086">
        <v>242</v>
      </c>
      <c r="P1086" t="str">
        <f t="shared" si="97"/>
        <v>High</v>
      </c>
      <c r="Q1086">
        <v>121</v>
      </c>
      <c r="R1086">
        <v>80</v>
      </c>
      <c r="S1086">
        <v>27.83</v>
      </c>
      <c r="T1086" t="str">
        <f t="shared" si="98"/>
        <v>Overweight</v>
      </c>
      <c r="U1086">
        <v>72</v>
      </c>
      <c r="V1086">
        <v>81.96365524402907</v>
      </c>
      <c r="W1086" t="str">
        <f t="shared" si="101"/>
        <v>Normal</v>
      </c>
      <c r="X1086">
        <v>0</v>
      </c>
    </row>
    <row r="1087" spans="1:24" ht="14.5" thickBot="1" x14ac:dyDescent="0.35">
      <c r="A1087">
        <v>0</v>
      </c>
      <c r="B1087" t="str">
        <f t="shared" si="99"/>
        <v>Female</v>
      </c>
      <c r="C1087" s="8">
        <v>42</v>
      </c>
      <c r="D1087" t="str">
        <f t="shared" si="100"/>
        <v>Middle Age</v>
      </c>
      <c r="E1087">
        <v>2</v>
      </c>
      <c r="F1087" t="str">
        <f>HLOOKUP(E1087, LookUP_Table!$A$6:$D$7, 2, FALSE)</f>
        <v>Secondary</v>
      </c>
      <c r="G1087" t="str">
        <f>IFERROR(VLOOKUP(E1087, LookUP_Table!$A$1:$B$4, 2, FALSE), "")</f>
        <v>Secondary</v>
      </c>
      <c r="H1087">
        <v>1</v>
      </c>
      <c r="I1087">
        <v>3</v>
      </c>
      <c r="J1087" t="str">
        <f t="shared" si="96"/>
        <v>Smoker</v>
      </c>
      <c r="K1087">
        <v>0</v>
      </c>
      <c r="L1087">
        <v>0</v>
      </c>
      <c r="M1087">
        <v>0</v>
      </c>
      <c r="N1087">
        <v>0</v>
      </c>
      <c r="O1087">
        <v>220</v>
      </c>
      <c r="P1087" t="str">
        <f t="shared" si="97"/>
        <v>Normal</v>
      </c>
      <c r="Q1087">
        <v>129</v>
      </c>
      <c r="R1087">
        <v>81</v>
      </c>
      <c r="S1087">
        <v>19.739999999999998</v>
      </c>
      <c r="T1087" t="str">
        <f t="shared" si="98"/>
        <v>Normal</v>
      </c>
      <c r="U1087">
        <v>80</v>
      </c>
      <c r="V1087">
        <v>61</v>
      </c>
      <c r="W1087" t="str">
        <f t="shared" si="101"/>
        <v>Normal</v>
      </c>
      <c r="X1087">
        <v>0</v>
      </c>
    </row>
    <row r="1088" spans="1:24" ht="14.5" thickBot="1" x14ac:dyDescent="0.35">
      <c r="A1088">
        <v>0</v>
      </c>
      <c r="B1088" t="str">
        <f t="shared" si="99"/>
        <v>Female</v>
      </c>
      <c r="C1088" s="8">
        <v>42</v>
      </c>
      <c r="D1088" t="str">
        <f t="shared" si="100"/>
        <v>Middle Age</v>
      </c>
      <c r="E1088">
        <v>3</v>
      </c>
      <c r="F1088" t="str">
        <f>HLOOKUP(E1088, LookUP_Table!$A$6:$D$7, 2, FALSE)</f>
        <v>Graduate</v>
      </c>
      <c r="G1088" t="str">
        <f>IFERROR(VLOOKUP(E1088, LookUP_Table!$A$1:$B$4, 2, FALSE), "")</f>
        <v>Graduate</v>
      </c>
      <c r="H1088">
        <v>0</v>
      </c>
      <c r="I1088">
        <v>0</v>
      </c>
      <c r="J1088" t="str">
        <f t="shared" si="96"/>
        <v>Non-Smoker</v>
      </c>
      <c r="K1088">
        <v>0</v>
      </c>
      <c r="L1088">
        <v>0</v>
      </c>
      <c r="M1088">
        <v>0</v>
      </c>
      <c r="N1088">
        <v>0</v>
      </c>
      <c r="O1088">
        <v>215</v>
      </c>
      <c r="P1088" t="str">
        <f t="shared" si="97"/>
        <v>Normal</v>
      </c>
      <c r="Q1088">
        <v>111</v>
      </c>
      <c r="R1088">
        <v>72</v>
      </c>
      <c r="S1088">
        <v>25.38</v>
      </c>
      <c r="T1088" t="str">
        <f t="shared" si="98"/>
        <v>Overweight</v>
      </c>
      <c r="U1088">
        <v>77</v>
      </c>
      <c r="V1088">
        <v>55</v>
      </c>
      <c r="W1088" t="str">
        <f t="shared" si="101"/>
        <v>Normal</v>
      </c>
      <c r="X1088">
        <v>0</v>
      </c>
    </row>
    <row r="1089" spans="1:24" ht="14.5" thickBot="1" x14ac:dyDescent="0.35">
      <c r="A1089">
        <v>1</v>
      </c>
      <c r="B1089" t="str">
        <f t="shared" si="99"/>
        <v>Male</v>
      </c>
      <c r="C1089" s="8">
        <v>42</v>
      </c>
      <c r="D1089" t="str">
        <f t="shared" si="100"/>
        <v>Middle Age</v>
      </c>
      <c r="E1089">
        <v>1</v>
      </c>
      <c r="F1089" t="str">
        <f>HLOOKUP(E1089, LookUP_Table!$A$6:$D$7, 2, FALSE)</f>
        <v>Primary</v>
      </c>
      <c r="G1089" t="str">
        <f>IFERROR(VLOOKUP(E1089, LookUP_Table!$A$1:$B$4, 2, FALSE), "")</f>
        <v>Primary</v>
      </c>
      <c r="H1089">
        <v>1</v>
      </c>
      <c r="I1089">
        <v>20</v>
      </c>
      <c r="J1089" t="str">
        <f t="shared" si="96"/>
        <v>Smoker</v>
      </c>
      <c r="K1089">
        <v>0</v>
      </c>
      <c r="L1089">
        <v>0</v>
      </c>
      <c r="M1089">
        <v>0</v>
      </c>
      <c r="N1089">
        <v>0</v>
      </c>
      <c r="O1089">
        <v>143</v>
      </c>
      <c r="P1089" t="str">
        <f t="shared" si="97"/>
        <v>Normal</v>
      </c>
      <c r="Q1089">
        <v>119</v>
      </c>
      <c r="R1089">
        <v>73</v>
      </c>
      <c r="S1089">
        <v>22.04</v>
      </c>
      <c r="T1089" t="str">
        <f t="shared" si="98"/>
        <v>Normal</v>
      </c>
      <c r="U1089">
        <v>60</v>
      </c>
      <c r="V1089">
        <v>70</v>
      </c>
      <c r="W1089" t="str">
        <f t="shared" si="101"/>
        <v>Normal</v>
      </c>
      <c r="X1089">
        <v>0</v>
      </c>
    </row>
    <row r="1090" spans="1:24" ht="14.5" thickBot="1" x14ac:dyDescent="0.35">
      <c r="A1090">
        <v>0</v>
      </c>
      <c r="B1090" t="str">
        <f t="shared" si="99"/>
        <v>Female</v>
      </c>
      <c r="C1090" s="8">
        <v>42</v>
      </c>
      <c r="D1090" t="str">
        <f t="shared" si="100"/>
        <v>Middle Age</v>
      </c>
      <c r="E1090">
        <v>2</v>
      </c>
      <c r="F1090" t="str">
        <f>HLOOKUP(E1090, LookUP_Table!$A$6:$D$7, 2, FALSE)</f>
        <v>Secondary</v>
      </c>
      <c r="G1090" t="str">
        <f>IFERROR(VLOOKUP(E1090, LookUP_Table!$A$1:$B$4, 2, FALSE), "")</f>
        <v>Secondary</v>
      </c>
      <c r="H1090">
        <v>0</v>
      </c>
      <c r="I1090">
        <v>0</v>
      </c>
      <c r="J1090" t="str">
        <f t="shared" ref="J1090:J1153" si="102">IF(I1090&gt;0,"Smoker","Non-Smoker")</f>
        <v>Non-Smoker</v>
      </c>
      <c r="K1090">
        <v>0</v>
      </c>
      <c r="L1090">
        <v>0</v>
      </c>
      <c r="M1090">
        <v>0</v>
      </c>
      <c r="N1090">
        <v>0</v>
      </c>
      <c r="O1090">
        <v>205</v>
      </c>
      <c r="P1090" t="str">
        <f t="shared" ref="P1090:P1153" si="103">IF(O1090&gt;240,"High","Normal")</f>
        <v>Normal</v>
      </c>
      <c r="Q1090">
        <v>112</v>
      </c>
      <c r="R1090">
        <v>65</v>
      </c>
      <c r="S1090">
        <v>27.35</v>
      </c>
      <c r="T1090" t="str">
        <f t="shared" ref="T1090:T1153" si="104">IF(S1090&lt;18.5,"Underweight",
IF(S1090&lt;25,"Normal",
IF(S1090&lt;30,"Overweight","Obese")))</f>
        <v>Overweight</v>
      </c>
      <c r="U1090">
        <v>79</v>
      </c>
      <c r="V1090">
        <v>60</v>
      </c>
      <c r="W1090" t="str">
        <f t="shared" si="101"/>
        <v>Normal</v>
      </c>
      <c r="X1090">
        <v>0</v>
      </c>
    </row>
    <row r="1091" spans="1:24" ht="14.5" thickBot="1" x14ac:dyDescent="0.35">
      <c r="A1091">
        <v>1</v>
      </c>
      <c r="B1091" t="str">
        <f t="shared" ref="B1091:B1154" si="105">IF(A1091=0,"Female","Male")</f>
        <v>Male</v>
      </c>
      <c r="C1091" s="8">
        <v>42</v>
      </c>
      <c r="D1091" t="str">
        <f t="shared" ref="D1091:D1154" si="106">IF(C1091&lt;40,"Young",
IF(C1091&lt;55,"Middle Age","Senior"))</f>
        <v>Middle Age</v>
      </c>
      <c r="E1091">
        <v>2</v>
      </c>
      <c r="F1091" t="str">
        <f>HLOOKUP(E1091, LookUP_Table!$A$6:$D$7, 2, FALSE)</f>
        <v>Secondary</v>
      </c>
      <c r="G1091" t="str">
        <f>IFERROR(VLOOKUP(E1091, LookUP_Table!$A$1:$B$4, 2, FALSE), "")</f>
        <v>Secondary</v>
      </c>
      <c r="H1091">
        <v>1</v>
      </c>
      <c r="I1091">
        <v>30</v>
      </c>
      <c r="J1091" t="str">
        <f t="shared" si="102"/>
        <v>Smoker</v>
      </c>
      <c r="K1091">
        <v>0</v>
      </c>
      <c r="L1091">
        <v>0</v>
      </c>
      <c r="M1091">
        <v>1</v>
      </c>
      <c r="N1091">
        <v>0</v>
      </c>
      <c r="O1091">
        <v>270</v>
      </c>
      <c r="P1091" t="str">
        <f t="shared" si="103"/>
        <v>High</v>
      </c>
      <c r="Q1091">
        <v>129.5</v>
      </c>
      <c r="R1091">
        <v>100</v>
      </c>
      <c r="S1091">
        <v>30.13</v>
      </c>
      <c r="T1091" t="str">
        <f t="shared" si="104"/>
        <v>Obese</v>
      </c>
      <c r="U1091">
        <v>82</v>
      </c>
      <c r="V1091">
        <v>88</v>
      </c>
      <c r="W1091" t="str">
        <f t="shared" ref="W1091:W1154" si="107">IF(V1091 &lt; 100, "Normal", IF(V1091 &lt;= 125, "Prediabetes", "Diabetes"))</f>
        <v>Normal</v>
      </c>
      <c r="X1091">
        <v>1</v>
      </c>
    </row>
    <row r="1092" spans="1:24" ht="14.5" thickBot="1" x14ac:dyDescent="0.35">
      <c r="A1092">
        <v>0</v>
      </c>
      <c r="B1092" t="str">
        <f t="shared" si="105"/>
        <v>Female</v>
      </c>
      <c r="C1092" s="8">
        <v>42</v>
      </c>
      <c r="D1092" t="str">
        <f t="shared" si="106"/>
        <v>Middle Age</v>
      </c>
      <c r="E1092">
        <v>2</v>
      </c>
      <c r="F1092" t="str">
        <f>HLOOKUP(E1092, LookUP_Table!$A$6:$D$7, 2, FALSE)</f>
        <v>Secondary</v>
      </c>
      <c r="G1092" t="str">
        <f>IFERROR(VLOOKUP(E1092, LookUP_Table!$A$1:$B$4, 2, FALSE), "")</f>
        <v>Secondary</v>
      </c>
      <c r="H1092">
        <v>0</v>
      </c>
      <c r="I1092">
        <v>0</v>
      </c>
      <c r="J1092" t="str">
        <f t="shared" si="102"/>
        <v>Non-Smoker</v>
      </c>
      <c r="K1092">
        <v>0</v>
      </c>
      <c r="L1092">
        <v>0</v>
      </c>
      <c r="M1092">
        <v>0</v>
      </c>
      <c r="N1092">
        <v>0</v>
      </c>
      <c r="O1092">
        <v>172</v>
      </c>
      <c r="P1092" t="str">
        <f t="shared" si="103"/>
        <v>Normal</v>
      </c>
      <c r="Q1092">
        <v>120.5</v>
      </c>
      <c r="R1092">
        <v>80</v>
      </c>
      <c r="S1092">
        <v>19.93</v>
      </c>
      <c r="T1092" t="str">
        <f t="shared" si="104"/>
        <v>Normal</v>
      </c>
      <c r="U1092">
        <v>80</v>
      </c>
      <c r="V1092">
        <v>61</v>
      </c>
      <c r="W1092" t="str">
        <f t="shared" si="107"/>
        <v>Normal</v>
      </c>
      <c r="X1092">
        <v>0</v>
      </c>
    </row>
    <row r="1093" spans="1:24" ht="14.5" thickBot="1" x14ac:dyDescent="0.35">
      <c r="A1093">
        <v>1</v>
      </c>
      <c r="B1093" t="str">
        <f t="shared" si="105"/>
        <v>Male</v>
      </c>
      <c r="C1093" s="8">
        <v>42</v>
      </c>
      <c r="D1093" t="str">
        <f t="shared" si="106"/>
        <v>Middle Age</v>
      </c>
      <c r="E1093">
        <v>2</v>
      </c>
      <c r="F1093" t="str">
        <f>HLOOKUP(E1093, LookUP_Table!$A$6:$D$7, 2, FALSE)</f>
        <v>Secondary</v>
      </c>
      <c r="G1093" t="str">
        <f>IFERROR(VLOOKUP(E1093, LookUP_Table!$A$1:$B$4, 2, FALSE), "")</f>
        <v>Secondary</v>
      </c>
      <c r="H1093">
        <v>1</v>
      </c>
      <c r="I1093">
        <v>30</v>
      </c>
      <c r="J1093" t="str">
        <f t="shared" si="102"/>
        <v>Smoker</v>
      </c>
      <c r="K1093">
        <v>0</v>
      </c>
      <c r="L1093">
        <v>0</v>
      </c>
      <c r="M1093">
        <v>0</v>
      </c>
      <c r="N1093">
        <v>0</v>
      </c>
      <c r="O1093">
        <v>209</v>
      </c>
      <c r="P1093" t="str">
        <f t="shared" si="103"/>
        <v>Normal</v>
      </c>
      <c r="Q1093">
        <v>130</v>
      </c>
      <c r="R1093">
        <v>86</v>
      </c>
      <c r="S1093">
        <v>24.01</v>
      </c>
      <c r="T1093" t="str">
        <f t="shared" si="104"/>
        <v>Normal</v>
      </c>
      <c r="U1093">
        <v>60</v>
      </c>
      <c r="V1093">
        <v>55</v>
      </c>
      <c r="W1093" t="str">
        <f t="shared" si="107"/>
        <v>Normal</v>
      </c>
      <c r="X1093">
        <v>0</v>
      </c>
    </row>
    <row r="1094" spans="1:24" ht="14.5" thickBot="1" x14ac:dyDescent="0.35">
      <c r="A1094">
        <v>1</v>
      </c>
      <c r="B1094" t="str">
        <f t="shared" si="105"/>
        <v>Male</v>
      </c>
      <c r="C1094" s="8">
        <v>42</v>
      </c>
      <c r="D1094" t="str">
        <f t="shared" si="106"/>
        <v>Middle Age</v>
      </c>
      <c r="E1094">
        <v>3</v>
      </c>
      <c r="F1094" t="str">
        <f>HLOOKUP(E1094, LookUP_Table!$A$6:$D$7, 2, FALSE)</f>
        <v>Graduate</v>
      </c>
      <c r="G1094" t="str">
        <f>IFERROR(VLOOKUP(E1094, LookUP_Table!$A$1:$B$4, 2, FALSE), "")</f>
        <v>Graduate</v>
      </c>
      <c r="H1094">
        <v>1</v>
      </c>
      <c r="I1094">
        <v>30</v>
      </c>
      <c r="J1094" t="str">
        <f t="shared" si="102"/>
        <v>Smoker</v>
      </c>
      <c r="K1094">
        <v>0</v>
      </c>
      <c r="L1094">
        <v>0</v>
      </c>
      <c r="M1094">
        <v>0</v>
      </c>
      <c r="N1094">
        <v>0</v>
      </c>
      <c r="O1094">
        <v>240</v>
      </c>
      <c r="P1094" t="str">
        <f t="shared" si="103"/>
        <v>Normal</v>
      </c>
      <c r="Q1094">
        <v>133.5</v>
      </c>
      <c r="R1094">
        <v>97.5</v>
      </c>
      <c r="S1094">
        <v>28.94</v>
      </c>
      <c r="T1094" t="str">
        <f t="shared" si="104"/>
        <v>Overweight</v>
      </c>
      <c r="U1094">
        <v>86</v>
      </c>
      <c r="V1094">
        <v>73</v>
      </c>
      <c r="W1094" t="str">
        <f t="shared" si="107"/>
        <v>Normal</v>
      </c>
      <c r="X1094">
        <v>1</v>
      </c>
    </row>
    <row r="1095" spans="1:24" ht="14.5" thickBot="1" x14ac:dyDescent="0.35">
      <c r="A1095">
        <v>1</v>
      </c>
      <c r="B1095" t="str">
        <f t="shared" si="105"/>
        <v>Male</v>
      </c>
      <c r="C1095" s="8">
        <v>42</v>
      </c>
      <c r="D1095" t="str">
        <f t="shared" si="106"/>
        <v>Middle Age</v>
      </c>
      <c r="E1095">
        <v>1</v>
      </c>
      <c r="F1095" t="str">
        <f>HLOOKUP(E1095, LookUP_Table!$A$6:$D$7, 2, FALSE)</f>
        <v>Primary</v>
      </c>
      <c r="G1095" t="str">
        <f>IFERROR(VLOOKUP(E1095, LookUP_Table!$A$1:$B$4, 2, FALSE), "")</f>
        <v>Primary</v>
      </c>
      <c r="H1095">
        <v>0</v>
      </c>
      <c r="I1095">
        <v>0</v>
      </c>
      <c r="J1095" t="str">
        <f t="shared" si="102"/>
        <v>Non-Smoker</v>
      </c>
      <c r="K1095">
        <v>0</v>
      </c>
      <c r="L1095">
        <v>0</v>
      </c>
      <c r="M1095">
        <v>0</v>
      </c>
      <c r="N1095">
        <v>0</v>
      </c>
      <c r="O1095">
        <v>214</v>
      </c>
      <c r="P1095" t="str">
        <f t="shared" si="103"/>
        <v>Normal</v>
      </c>
      <c r="Q1095">
        <v>120</v>
      </c>
      <c r="R1095">
        <v>81</v>
      </c>
      <c r="S1095">
        <v>28.47</v>
      </c>
      <c r="T1095" t="str">
        <f t="shared" si="104"/>
        <v>Overweight</v>
      </c>
      <c r="U1095">
        <v>78</v>
      </c>
      <c r="V1095">
        <v>77</v>
      </c>
      <c r="W1095" t="str">
        <f t="shared" si="107"/>
        <v>Normal</v>
      </c>
      <c r="X1095">
        <v>0</v>
      </c>
    </row>
    <row r="1096" spans="1:24" ht="14.5" thickBot="1" x14ac:dyDescent="0.35">
      <c r="A1096">
        <v>0</v>
      </c>
      <c r="B1096" t="str">
        <f t="shared" si="105"/>
        <v>Female</v>
      </c>
      <c r="C1096" s="8">
        <v>42</v>
      </c>
      <c r="D1096" t="str">
        <f t="shared" si="106"/>
        <v>Middle Age</v>
      </c>
      <c r="E1096">
        <v>1</v>
      </c>
      <c r="F1096" t="str">
        <f>HLOOKUP(E1096, LookUP_Table!$A$6:$D$7, 2, FALSE)</f>
        <v>Primary</v>
      </c>
      <c r="G1096" t="str">
        <f>IFERROR(VLOOKUP(E1096, LookUP_Table!$A$1:$B$4, 2, FALSE), "")</f>
        <v>Primary</v>
      </c>
      <c r="H1096">
        <v>0</v>
      </c>
      <c r="I1096">
        <v>0</v>
      </c>
      <c r="J1096" t="str">
        <f t="shared" si="102"/>
        <v>Non-Smoker</v>
      </c>
      <c r="K1096">
        <v>0</v>
      </c>
      <c r="L1096">
        <v>0</v>
      </c>
      <c r="M1096">
        <v>0</v>
      </c>
      <c r="N1096">
        <v>0</v>
      </c>
      <c r="O1096">
        <v>179</v>
      </c>
      <c r="P1096" t="str">
        <f t="shared" si="103"/>
        <v>Normal</v>
      </c>
      <c r="Q1096">
        <v>115</v>
      </c>
      <c r="R1096">
        <v>78</v>
      </c>
      <c r="S1096">
        <v>25.75</v>
      </c>
      <c r="T1096" t="str">
        <f t="shared" si="104"/>
        <v>Overweight</v>
      </c>
      <c r="U1096">
        <v>80</v>
      </c>
      <c r="V1096">
        <v>77</v>
      </c>
      <c r="W1096" t="str">
        <f t="shared" si="107"/>
        <v>Normal</v>
      </c>
      <c r="X1096">
        <v>0</v>
      </c>
    </row>
    <row r="1097" spans="1:24" ht="14.5" thickBot="1" x14ac:dyDescent="0.35">
      <c r="A1097">
        <v>0</v>
      </c>
      <c r="B1097" t="str">
        <f t="shared" si="105"/>
        <v>Female</v>
      </c>
      <c r="C1097" s="8">
        <v>42</v>
      </c>
      <c r="D1097" t="str">
        <f t="shared" si="106"/>
        <v>Middle Age</v>
      </c>
      <c r="E1097">
        <v>2</v>
      </c>
      <c r="F1097" t="str">
        <f>HLOOKUP(E1097, LookUP_Table!$A$6:$D$7, 2, FALSE)</f>
        <v>Secondary</v>
      </c>
      <c r="G1097" t="str">
        <f>IFERROR(VLOOKUP(E1097, LookUP_Table!$A$1:$B$4, 2, FALSE), "")</f>
        <v>Secondary</v>
      </c>
      <c r="H1097">
        <v>1</v>
      </c>
      <c r="I1097">
        <v>20</v>
      </c>
      <c r="J1097" t="str">
        <f t="shared" si="102"/>
        <v>Smoker</v>
      </c>
      <c r="K1097">
        <v>0</v>
      </c>
      <c r="L1097">
        <v>0</v>
      </c>
      <c r="M1097">
        <v>0</v>
      </c>
      <c r="N1097">
        <v>0</v>
      </c>
      <c r="O1097">
        <v>235</v>
      </c>
      <c r="P1097" t="str">
        <f t="shared" si="103"/>
        <v>Normal</v>
      </c>
      <c r="Q1097">
        <v>128</v>
      </c>
      <c r="R1097">
        <v>86</v>
      </c>
      <c r="S1097">
        <v>24.05</v>
      </c>
      <c r="T1097" t="str">
        <f t="shared" si="104"/>
        <v>Normal</v>
      </c>
      <c r="U1097">
        <v>66</v>
      </c>
      <c r="V1097">
        <v>70</v>
      </c>
      <c r="W1097" t="str">
        <f t="shared" si="107"/>
        <v>Normal</v>
      </c>
      <c r="X1097">
        <v>0</v>
      </c>
    </row>
    <row r="1098" spans="1:24" ht="14.5" thickBot="1" x14ac:dyDescent="0.35">
      <c r="A1098">
        <v>0</v>
      </c>
      <c r="B1098" t="str">
        <f t="shared" si="105"/>
        <v>Female</v>
      </c>
      <c r="C1098" s="8">
        <v>42</v>
      </c>
      <c r="D1098" t="str">
        <f t="shared" si="106"/>
        <v>Middle Age</v>
      </c>
      <c r="E1098">
        <v>2</v>
      </c>
      <c r="F1098" t="str">
        <f>HLOOKUP(E1098, LookUP_Table!$A$6:$D$7, 2, FALSE)</f>
        <v>Secondary</v>
      </c>
      <c r="G1098" t="str">
        <f>IFERROR(VLOOKUP(E1098, LookUP_Table!$A$1:$B$4, 2, FALSE), "")</f>
        <v>Secondary</v>
      </c>
      <c r="H1098">
        <v>0</v>
      </c>
      <c r="I1098">
        <v>0</v>
      </c>
      <c r="J1098" t="str">
        <f t="shared" si="102"/>
        <v>Non-Smoker</v>
      </c>
      <c r="K1098">
        <v>0</v>
      </c>
      <c r="L1098">
        <v>0</v>
      </c>
      <c r="M1098">
        <v>0</v>
      </c>
      <c r="N1098">
        <v>0</v>
      </c>
      <c r="O1098">
        <v>238</v>
      </c>
      <c r="P1098" t="str">
        <f t="shared" si="103"/>
        <v>Normal</v>
      </c>
      <c r="Q1098">
        <v>118</v>
      </c>
      <c r="R1098">
        <v>80</v>
      </c>
      <c r="S1098">
        <v>33.19</v>
      </c>
      <c r="T1098" t="str">
        <f t="shared" si="104"/>
        <v>Obese</v>
      </c>
      <c r="U1098">
        <v>75</v>
      </c>
      <c r="V1098">
        <v>76</v>
      </c>
      <c r="W1098" t="str">
        <f t="shared" si="107"/>
        <v>Normal</v>
      </c>
      <c r="X1098">
        <v>0</v>
      </c>
    </row>
    <row r="1099" spans="1:24" ht="14.5" thickBot="1" x14ac:dyDescent="0.35">
      <c r="A1099">
        <v>1</v>
      </c>
      <c r="B1099" t="str">
        <f t="shared" si="105"/>
        <v>Male</v>
      </c>
      <c r="C1099" s="8">
        <v>42</v>
      </c>
      <c r="D1099" t="str">
        <f t="shared" si="106"/>
        <v>Middle Age</v>
      </c>
      <c r="E1099">
        <v>3</v>
      </c>
      <c r="F1099" t="str">
        <f>HLOOKUP(E1099, LookUP_Table!$A$6:$D$7, 2, FALSE)</f>
        <v>Graduate</v>
      </c>
      <c r="G1099" t="str">
        <f>IFERROR(VLOOKUP(E1099, LookUP_Table!$A$1:$B$4, 2, FALSE), "")</f>
        <v>Graduate</v>
      </c>
      <c r="H1099">
        <v>0</v>
      </c>
      <c r="I1099">
        <v>0</v>
      </c>
      <c r="J1099" t="str">
        <f t="shared" si="102"/>
        <v>Non-Smoker</v>
      </c>
      <c r="K1099">
        <v>0</v>
      </c>
      <c r="L1099">
        <v>0</v>
      </c>
      <c r="M1099">
        <v>0</v>
      </c>
      <c r="N1099">
        <v>0</v>
      </c>
      <c r="O1099">
        <v>235</v>
      </c>
      <c r="P1099" t="str">
        <f t="shared" si="103"/>
        <v>Normal</v>
      </c>
      <c r="Q1099">
        <v>103</v>
      </c>
      <c r="R1099">
        <v>70</v>
      </c>
      <c r="S1099">
        <v>21.48</v>
      </c>
      <c r="T1099" t="str">
        <f t="shared" si="104"/>
        <v>Normal</v>
      </c>
      <c r="U1099">
        <v>67</v>
      </c>
      <c r="V1099">
        <v>73</v>
      </c>
      <c r="W1099" t="str">
        <f t="shared" si="107"/>
        <v>Normal</v>
      </c>
      <c r="X1099">
        <v>0</v>
      </c>
    </row>
    <row r="1100" spans="1:24" ht="14.5" thickBot="1" x14ac:dyDescent="0.35">
      <c r="A1100">
        <v>1</v>
      </c>
      <c r="B1100" t="str">
        <f t="shared" si="105"/>
        <v>Male</v>
      </c>
      <c r="C1100" s="8">
        <v>42</v>
      </c>
      <c r="D1100" t="str">
        <f t="shared" si="106"/>
        <v>Middle Age</v>
      </c>
      <c r="E1100">
        <v>1</v>
      </c>
      <c r="F1100" t="str">
        <f>HLOOKUP(E1100, LookUP_Table!$A$6:$D$7, 2, FALSE)</f>
        <v>Primary</v>
      </c>
      <c r="G1100" t="str">
        <f>IFERROR(VLOOKUP(E1100, LookUP_Table!$A$1:$B$4, 2, FALSE), "")</f>
        <v>Primary</v>
      </c>
      <c r="H1100">
        <v>1</v>
      </c>
      <c r="I1100">
        <v>43</v>
      </c>
      <c r="J1100" t="str">
        <f t="shared" si="102"/>
        <v>Smoker</v>
      </c>
      <c r="K1100">
        <v>0</v>
      </c>
      <c r="L1100">
        <v>0</v>
      </c>
      <c r="M1100">
        <v>0</v>
      </c>
      <c r="N1100">
        <v>0</v>
      </c>
      <c r="O1100">
        <v>226</v>
      </c>
      <c r="P1100" t="str">
        <f t="shared" si="103"/>
        <v>Normal</v>
      </c>
      <c r="Q1100">
        <v>108</v>
      </c>
      <c r="R1100">
        <v>78</v>
      </c>
      <c r="S1100">
        <v>22.54</v>
      </c>
      <c r="T1100" t="str">
        <f t="shared" si="104"/>
        <v>Normal</v>
      </c>
      <c r="U1100">
        <v>85</v>
      </c>
      <c r="V1100">
        <v>68</v>
      </c>
      <c r="W1100" t="str">
        <f t="shared" si="107"/>
        <v>Normal</v>
      </c>
      <c r="X1100">
        <v>0</v>
      </c>
    </row>
    <row r="1101" spans="1:24" ht="14.5" thickBot="1" x14ac:dyDescent="0.35">
      <c r="A1101">
        <v>0</v>
      </c>
      <c r="B1101" t="str">
        <f t="shared" si="105"/>
        <v>Female</v>
      </c>
      <c r="C1101" s="8">
        <v>42</v>
      </c>
      <c r="D1101" t="str">
        <f t="shared" si="106"/>
        <v>Middle Age</v>
      </c>
      <c r="E1101">
        <v>2</v>
      </c>
      <c r="F1101" t="str">
        <f>HLOOKUP(E1101, LookUP_Table!$A$6:$D$7, 2, FALSE)</f>
        <v>Secondary</v>
      </c>
      <c r="G1101" t="str">
        <f>IFERROR(VLOOKUP(E1101, LookUP_Table!$A$1:$B$4, 2, FALSE), "")</f>
        <v>Secondary</v>
      </c>
      <c r="H1101">
        <v>1</v>
      </c>
      <c r="I1101">
        <v>10</v>
      </c>
      <c r="J1101" t="str">
        <f t="shared" si="102"/>
        <v>Smoker</v>
      </c>
      <c r="K1101">
        <v>0</v>
      </c>
      <c r="L1101">
        <v>0</v>
      </c>
      <c r="M1101">
        <v>1</v>
      </c>
      <c r="N1101">
        <v>0</v>
      </c>
      <c r="O1101">
        <v>199</v>
      </c>
      <c r="P1101" t="str">
        <f t="shared" si="103"/>
        <v>Normal</v>
      </c>
      <c r="Q1101">
        <v>143</v>
      </c>
      <c r="R1101">
        <v>79</v>
      </c>
      <c r="S1101">
        <v>18.68</v>
      </c>
      <c r="T1101" t="str">
        <f t="shared" si="104"/>
        <v>Normal</v>
      </c>
      <c r="U1101">
        <v>92</v>
      </c>
      <c r="V1101">
        <v>76</v>
      </c>
      <c r="W1101" t="str">
        <f t="shared" si="107"/>
        <v>Normal</v>
      </c>
      <c r="X1101">
        <v>0</v>
      </c>
    </row>
    <row r="1102" spans="1:24" ht="14.5" thickBot="1" x14ac:dyDescent="0.35">
      <c r="A1102">
        <v>0</v>
      </c>
      <c r="B1102" t="str">
        <f t="shared" si="105"/>
        <v>Female</v>
      </c>
      <c r="C1102" s="8">
        <v>42</v>
      </c>
      <c r="D1102" t="str">
        <f t="shared" si="106"/>
        <v>Middle Age</v>
      </c>
      <c r="E1102">
        <v>2</v>
      </c>
      <c r="F1102" t="str">
        <f>HLOOKUP(E1102, LookUP_Table!$A$6:$D$7, 2, FALSE)</f>
        <v>Secondary</v>
      </c>
      <c r="G1102" t="str">
        <f>IFERROR(VLOOKUP(E1102, LookUP_Table!$A$1:$B$4, 2, FALSE), "")</f>
        <v>Secondary</v>
      </c>
      <c r="H1102">
        <v>0</v>
      </c>
      <c r="I1102">
        <v>0</v>
      </c>
      <c r="J1102" t="str">
        <f t="shared" si="102"/>
        <v>Non-Smoker</v>
      </c>
      <c r="K1102">
        <v>0</v>
      </c>
      <c r="L1102">
        <v>0</v>
      </c>
      <c r="M1102">
        <v>1</v>
      </c>
      <c r="N1102">
        <v>0</v>
      </c>
      <c r="O1102">
        <v>236</v>
      </c>
      <c r="P1102" t="str">
        <f t="shared" si="103"/>
        <v>Normal</v>
      </c>
      <c r="Q1102">
        <v>160.5</v>
      </c>
      <c r="R1102">
        <v>100</v>
      </c>
      <c r="S1102">
        <v>27.01</v>
      </c>
      <c r="T1102" t="str">
        <f t="shared" si="104"/>
        <v>Overweight</v>
      </c>
      <c r="U1102">
        <v>85</v>
      </c>
      <c r="V1102">
        <v>74</v>
      </c>
      <c r="W1102" t="str">
        <f t="shared" si="107"/>
        <v>Normal</v>
      </c>
      <c r="X1102">
        <v>0</v>
      </c>
    </row>
    <row r="1103" spans="1:24" ht="14.5" thickBot="1" x14ac:dyDescent="0.35">
      <c r="A1103">
        <v>1</v>
      </c>
      <c r="B1103" t="str">
        <f t="shared" si="105"/>
        <v>Male</v>
      </c>
      <c r="C1103" s="8">
        <v>42</v>
      </c>
      <c r="D1103" t="str">
        <f t="shared" si="106"/>
        <v>Middle Age</v>
      </c>
      <c r="E1103">
        <v>2</v>
      </c>
      <c r="F1103" t="str">
        <f>HLOOKUP(E1103, LookUP_Table!$A$6:$D$7, 2, FALSE)</f>
        <v>Secondary</v>
      </c>
      <c r="G1103" t="str">
        <f>IFERROR(VLOOKUP(E1103, LookUP_Table!$A$1:$B$4, 2, FALSE), "")</f>
        <v>Secondary</v>
      </c>
      <c r="H1103">
        <v>1</v>
      </c>
      <c r="I1103">
        <v>40</v>
      </c>
      <c r="J1103" t="str">
        <f t="shared" si="102"/>
        <v>Smoker</v>
      </c>
      <c r="K1103">
        <v>0</v>
      </c>
      <c r="L1103">
        <v>0</v>
      </c>
      <c r="M1103">
        <v>0</v>
      </c>
      <c r="N1103">
        <v>0</v>
      </c>
      <c r="O1103">
        <v>245</v>
      </c>
      <c r="P1103" t="str">
        <f t="shared" si="103"/>
        <v>High</v>
      </c>
      <c r="Q1103">
        <v>105</v>
      </c>
      <c r="R1103">
        <v>70</v>
      </c>
      <c r="S1103">
        <v>22.41</v>
      </c>
      <c r="T1103" t="str">
        <f t="shared" si="104"/>
        <v>Normal</v>
      </c>
      <c r="U1103">
        <v>65</v>
      </c>
      <c r="V1103">
        <v>69</v>
      </c>
      <c r="W1103" t="str">
        <f t="shared" si="107"/>
        <v>Normal</v>
      </c>
      <c r="X1103">
        <v>0</v>
      </c>
    </row>
    <row r="1104" spans="1:24" ht="14.5" thickBot="1" x14ac:dyDescent="0.35">
      <c r="A1104">
        <v>0</v>
      </c>
      <c r="B1104" t="str">
        <f t="shared" si="105"/>
        <v>Female</v>
      </c>
      <c r="C1104" s="8">
        <v>43</v>
      </c>
      <c r="D1104" t="str">
        <f t="shared" si="106"/>
        <v>Middle Age</v>
      </c>
      <c r="E1104">
        <v>2</v>
      </c>
      <c r="F1104" t="str">
        <f>HLOOKUP(E1104, LookUP_Table!$A$6:$D$7, 2, FALSE)</f>
        <v>Secondary</v>
      </c>
      <c r="G1104" t="str">
        <f>IFERROR(VLOOKUP(E1104, LookUP_Table!$A$1:$B$4, 2, FALSE), "")</f>
        <v>Secondary</v>
      </c>
      <c r="H1104">
        <v>0</v>
      </c>
      <c r="I1104">
        <v>0</v>
      </c>
      <c r="J1104" t="str">
        <f t="shared" si="102"/>
        <v>Non-Smoker</v>
      </c>
      <c r="K1104">
        <v>0</v>
      </c>
      <c r="L1104">
        <v>0</v>
      </c>
      <c r="M1104">
        <v>1</v>
      </c>
      <c r="N1104">
        <v>0</v>
      </c>
      <c r="O1104">
        <v>228</v>
      </c>
      <c r="P1104" t="str">
        <f t="shared" si="103"/>
        <v>Normal</v>
      </c>
      <c r="Q1104">
        <v>180</v>
      </c>
      <c r="R1104">
        <v>110</v>
      </c>
      <c r="S1104">
        <v>30.3</v>
      </c>
      <c r="T1104" t="str">
        <f t="shared" si="104"/>
        <v>Obese</v>
      </c>
      <c r="U1104">
        <v>77</v>
      </c>
      <c r="V1104">
        <v>99</v>
      </c>
      <c r="W1104" t="str">
        <f t="shared" si="107"/>
        <v>Normal</v>
      </c>
      <c r="X1104">
        <v>0</v>
      </c>
    </row>
    <row r="1105" spans="1:24" ht="14.5" thickBot="1" x14ac:dyDescent="0.35">
      <c r="A1105">
        <v>1</v>
      </c>
      <c r="B1105" t="str">
        <f t="shared" si="105"/>
        <v>Male</v>
      </c>
      <c r="C1105" s="8">
        <v>43</v>
      </c>
      <c r="D1105" t="str">
        <f t="shared" si="106"/>
        <v>Middle Age</v>
      </c>
      <c r="E1105">
        <v>1</v>
      </c>
      <c r="F1105" t="str">
        <f>HLOOKUP(E1105, LookUP_Table!$A$6:$D$7, 2, FALSE)</f>
        <v>Primary</v>
      </c>
      <c r="G1105" t="str">
        <f>IFERROR(VLOOKUP(E1105, LookUP_Table!$A$1:$B$4, 2, FALSE), "")</f>
        <v>Primary</v>
      </c>
      <c r="H1105">
        <v>1</v>
      </c>
      <c r="I1105">
        <v>30</v>
      </c>
      <c r="J1105" t="str">
        <f t="shared" si="102"/>
        <v>Smoker</v>
      </c>
      <c r="K1105">
        <v>0</v>
      </c>
      <c r="L1105">
        <v>0</v>
      </c>
      <c r="M1105">
        <v>1</v>
      </c>
      <c r="N1105">
        <v>0</v>
      </c>
      <c r="O1105">
        <v>225</v>
      </c>
      <c r="P1105" t="str">
        <f t="shared" si="103"/>
        <v>Normal</v>
      </c>
      <c r="Q1105">
        <v>162</v>
      </c>
      <c r="R1105">
        <v>107</v>
      </c>
      <c r="S1105">
        <v>23.61</v>
      </c>
      <c r="T1105" t="str">
        <f t="shared" si="104"/>
        <v>Normal</v>
      </c>
      <c r="U1105">
        <v>93</v>
      </c>
      <c r="V1105">
        <v>88</v>
      </c>
      <c r="W1105" t="str">
        <f t="shared" si="107"/>
        <v>Normal</v>
      </c>
      <c r="X1105">
        <v>0</v>
      </c>
    </row>
    <row r="1106" spans="1:24" ht="14.5" thickBot="1" x14ac:dyDescent="0.35">
      <c r="A1106">
        <v>0</v>
      </c>
      <c r="B1106" t="str">
        <f t="shared" si="105"/>
        <v>Female</v>
      </c>
      <c r="C1106" s="8">
        <v>43</v>
      </c>
      <c r="D1106" t="str">
        <f t="shared" si="106"/>
        <v>Middle Age</v>
      </c>
      <c r="E1106">
        <v>2</v>
      </c>
      <c r="F1106" t="str">
        <f>HLOOKUP(E1106, LookUP_Table!$A$6:$D$7, 2, FALSE)</f>
        <v>Secondary</v>
      </c>
      <c r="G1106" t="str">
        <f>IFERROR(VLOOKUP(E1106, LookUP_Table!$A$1:$B$4, 2, FALSE), "")</f>
        <v>Secondary</v>
      </c>
      <c r="H1106">
        <v>0</v>
      </c>
      <c r="I1106">
        <v>0</v>
      </c>
      <c r="J1106" t="str">
        <f t="shared" si="102"/>
        <v>Non-Smoker</v>
      </c>
      <c r="K1106">
        <v>0</v>
      </c>
      <c r="L1106">
        <v>0</v>
      </c>
      <c r="M1106">
        <v>0</v>
      </c>
      <c r="N1106">
        <v>0</v>
      </c>
      <c r="O1106">
        <v>247</v>
      </c>
      <c r="P1106" t="str">
        <f t="shared" si="103"/>
        <v>High</v>
      </c>
      <c r="Q1106">
        <v>131</v>
      </c>
      <c r="R1106">
        <v>88</v>
      </c>
      <c r="S1106">
        <v>27.64</v>
      </c>
      <c r="T1106" t="str">
        <f t="shared" si="104"/>
        <v>Overweight</v>
      </c>
      <c r="U1106">
        <v>72</v>
      </c>
      <c r="V1106">
        <v>61</v>
      </c>
      <c r="W1106" t="str">
        <f t="shared" si="107"/>
        <v>Normal</v>
      </c>
      <c r="X1106">
        <v>0</v>
      </c>
    </row>
    <row r="1107" spans="1:24" ht="14.5" thickBot="1" x14ac:dyDescent="0.35">
      <c r="A1107">
        <v>0</v>
      </c>
      <c r="B1107" t="str">
        <f t="shared" si="105"/>
        <v>Female</v>
      </c>
      <c r="C1107" s="8">
        <v>43</v>
      </c>
      <c r="D1107" t="str">
        <f t="shared" si="106"/>
        <v>Middle Age</v>
      </c>
      <c r="E1107">
        <v>1</v>
      </c>
      <c r="F1107" t="str">
        <f>HLOOKUP(E1107, LookUP_Table!$A$6:$D$7, 2, FALSE)</f>
        <v>Primary</v>
      </c>
      <c r="G1107" t="str">
        <f>IFERROR(VLOOKUP(E1107, LookUP_Table!$A$1:$B$4, 2, FALSE), "")</f>
        <v>Primary</v>
      </c>
      <c r="H1107">
        <v>0</v>
      </c>
      <c r="I1107">
        <v>0</v>
      </c>
      <c r="J1107" t="str">
        <f t="shared" si="102"/>
        <v>Non-Smoker</v>
      </c>
      <c r="K1107">
        <v>0</v>
      </c>
      <c r="L1107">
        <v>0</v>
      </c>
      <c r="M1107">
        <v>0</v>
      </c>
      <c r="N1107">
        <v>0</v>
      </c>
      <c r="O1107">
        <v>185</v>
      </c>
      <c r="P1107" t="str">
        <f t="shared" si="103"/>
        <v>Normal</v>
      </c>
      <c r="Q1107">
        <v>123.5</v>
      </c>
      <c r="R1107">
        <v>77.5</v>
      </c>
      <c r="S1107">
        <v>29.89</v>
      </c>
      <c r="T1107" t="str">
        <f t="shared" si="104"/>
        <v>Overweight</v>
      </c>
      <c r="U1107">
        <v>70</v>
      </c>
      <c r="V1107">
        <v>81.96365524402907</v>
      </c>
      <c r="W1107" t="str">
        <f t="shared" si="107"/>
        <v>Normal</v>
      </c>
      <c r="X1107">
        <v>0</v>
      </c>
    </row>
    <row r="1108" spans="1:24" ht="14.5" thickBot="1" x14ac:dyDescent="0.35">
      <c r="A1108">
        <v>1</v>
      </c>
      <c r="B1108" t="str">
        <f t="shared" si="105"/>
        <v>Male</v>
      </c>
      <c r="C1108" s="8">
        <v>43</v>
      </c>
      <c r="D1108" t="str">
        <f t="shared" si="106"/>
        <v>Middle Age</v>
      </c>
      <c r="E1108">
        <v>4</v>
      </c>
      <c r="F1108" t="str">
        <f>HLOOKUP(E1108, LookUP_Table!$A$6:$D$7, 2, FALSE)</f>
        <v>Post Graduate</v>
      </c>
      <c r="G1108" t="str">
        <f>IFERROR(VLOOKUP(E1108, LookUP_Table!$A$1:$B$4, 2, FALSE), "")</f>
        <v>Post Graduate</v>
      </c>
      <c r="H1108">
        <v>1</v>
      </c>
      <c r="I1108">
        <v>43</v>
      </c>
      <c r="J1108" t="str">
        <f t="shared" si="102"/>
        <v>Smoker</v>
      </c>
      <c r="K1108">
        <v>0</v>
      </c>
      <c r="L1108">
        <v>0</v>
      </c>
      <c r="M1108">
        <v>0</v>
      </c>
      <c r="N1108">
        <v>0</v>
      </c>
      <c r="O1108">
        <v>226</v>
      </c>
      <c r="P1108" t="str">
        <f t="shared" si="103"/>
        <v>Normal</v>
      </c>
      <c r="Q1108">
        <v>115</v>
      </c>
      <c r="R1108">
        <v>85.5</v>
      </c>
      <c r="S1108">
        <v>27.57</v>
      </c>
      <c r="T1108" t="str">
        <f t="shared" si="104"/>
        <v>Overweight</v>
      </c>
      <c r="U1108">
        <v>75</v>
      </c>
      <c r="V1108">
        <v>75</v>
      </c>
      <c r="W1108" t="str">
        <f t="shared" si="107"/>
        <v>Normal</v>
      </c>
      <c r="X1108">
        <v>0</v>
      </c>
    </row>
    <row r="1109" spans="1:24" ht="14.5" thickBot="1" x14ac:dyDescent="0.35">
      <c r="A1109">
        <v>0</v>
      </c>
      <c r="B1109" t="str">
        <f t="shared" si="105"/>
        <v>Female</v>
      </c>
      <c r="C1109" s="8">
        <v>43</v>
      </c>
      <c r="D1109" t="str">
        <f t="shared" si="106"/>
        <v>Middle Age</v>
      </c>
      <c r="E1109">
        <v>2</v>
      </c>
      <c r="F1109" t="str">
        <f>HLOOKUP(E1109, LookUP_Table!$A$6:$D$7, 2, FALSE)</f>
        <v>Secondary</v>
      </c>
      <c r="G1109" t="str">
        <f>IFERROR(VLOOKUP(E1109, LookUP_Table!$A$1:$B$4, 2, FALSE), "")</f>
        <v>Secondary</v>
      </c>
      <c r="H1109">
        <v>1</v>
      </c>
      <c r="I1109">
        <v>10</v>
      </c>
      <c r="J1109" t="str">
        <f t="shared" si="102"/>
        <v>Smoker</v>
      </c>
      <c r="K1109">
        <v>0</v>
      </c>
      <c r="L1109">
        <v>0</v>
      </c>
      <c r="M1109">
        <v>0</v>
      </c>
      <c r="N1109">
        <v>0</v>
      </c>
      <c r="O1109">
        <v>243</v>
      </c>
      <c r="P1109" t="str">
        <f t="shared" si="103"/>
        <v>High</v>
      </c>
      <c r="Q1109">
        <v>116.5</v>
      </c>
      <c r="R1109">
        <v>80</v>
      </c>
      <c r="S1109">
        <v>26.87</v>
      </c>
      <c r="T1109" t="str">
        <f t="shared" si="104"/>
        <v>Overweight</v>
      </c>
      <c r="U1109">
        <v>68</v>
      </c>
      <c r="V1109">
        <v>78</v>
      </c>
      <c r="W1109" t="str">
        <f t="shared" si="107"/>
        <v>Normal</v>
      </c>
      <c r="X1109">
        <v>0</v>
      </c>
    </row>
    <row r="1110" spans="1:24" ht="14.5" thickBot="1" x14ac:dyDescent="0.35">
      <c r="A1110">
        <v>1</v>
      </c>
      <c r="B1110" t="str">
        <f t="shared" si="105"/>
        <v>Male</v>
      </c>
      <c r="C1110" s="8">
        <v>43</v>
      </c>
      <c r="D1110" t="str">
        <f t="shared" si="106"/>
        <v>Middle Age</v>
      </c>
      <c r="E1110">
        <v>1</v>
      </c>
      <c r="F1110" t="str">
        <f>HLOOKUP(E1110, LookUP_Table!$A$6:$D$7, 2, FALSE)</f>
        <v>Primary</v>
      </c>
      <c r="G1110" t="str">
        <f>IFERROR(VLOOKUP(E1110, LookUP_Table!$A$1:$B$4, 2, FALSE), "")</f>
        <v>Primary</v>
      </c>
      <c r="H1110">
        <v>1</v>
      </c>
      <c r="I1110">
        <v>15</v>
      </c>
      <c r="J1110" t="str">
        <f t="shared" si="102"/>
        <v>Smoker</v>
      </c>
      <c r="K1110">
        <v>0</v>
      </c>
      <c r="L1110">
        <v>0</v>
      </c>
      <c r="M1110">
        <v>0</v>
      </c>
      <c r="N1110">
        <v>0</v>
      </c>
      <c r="O1110">
        <v>210</v>
      </c>
      <c r="P1110" t="str">
        <f t="shared" si="103"/>
        <v>Normal</v>
      </c>
      <c r="Q1110">
        <v>115</v>
      </c>
      <c r="R1110">
        <v>77.5</v>
      </c>
      <c r="S1110">
        <v>25.1</v>
      </c>
      <c r="T1110" t="str">
        <f t="shared" si="104"/>
        <v>Overweight</v>
      </c>
      <c r="U1110">
        <v>70</v>
      </c>
      <c r="V1110">
        <v>68</v>
      </c>
      <c r="W1110" t="str">
        <f t="shared" si="107"/>
        <v>Normal</v>
      </c>
      <c r="X1110">
        <v>0</v>
      </c>
    </row>
    <row r="1111" spans="1:24" ht="14.5" thickBot="1" x14ac:dyDescent="0.35">
      <c r="A1111">
        <v>1</v>
      </c>
      <c r="B1111" t="str">
        <f t="shared" si="105"/>
        <v>Male</v>
      </c>
      <c r="C1111" s="8">
        <v>43</v>
      </c>
      <c r="D1111" t="str">
        <f t="shared" si="106"/>
        <v>Middle Age</v>
      </c>
      <c r="E1111">
        <v>4</v>
      </c>
      <c r="F1111" t="str">
        <f>HLOOKUP(E1111, LookUP_Table!$A$6:$D$7, 2, FALSE)</f>
        <v>Post Graduate</v>
      </c>
      <c r="G1111" t="str">
        <f>IFERROR(VLOOKUP(E1111, LookUP_Table!$A$1:$B$4, 2, FALSE), "")</f>
        <v>Post Graduate</v>
      </c>
      <c r="H1111">
        <v>1</v>
      </c>
      <c r="I1111">
        <v>9</v>
      </c>
      <c r="J1111" t="str">
        <f t="shared" si="102"/>
        <v>Smoker</v>
      </c>
      <c r="K1111">
        <v>0</v>
      </c>
      <c r="L1111">
        <v>0</v>
      </c>
      <c r="M1111">
        <v>0</v>
      </c>
      <c r="N1111">
        <v>0</v>
      </c>
      <c r="O1111">
        <v>222</v>
      </c>
      <c r="P1111" t="str">
        <f t="shared" si="103"/>
        <v>Normal</v>
      </c>
      <c r="Q1111">
        <v>109.5</v>
      </c>
      <c r="R1111">
        <v>69</v>
      </c>
      <c r="S1111">
        <v>25.5</v>
      </c>
      <c r="T1111" t="str">
        <f t="shared" si="104"/>
        <v>Overweight</v>
      </c>
      <c r="U1111">
        <v>75</v>
      </c>
      <c r="V1111">
        <v>81.96365524402907</v>
      </c>
      <c r="W1111" t="str">
        <f t="shared" si="107"/>
        <v>Normal</v>
      </c>
      <c r="X1111">
        <v>0</v>
      </c>
    </row>
    <row r="1112" spans="1:24" ht="14.5" thickBot="1" x14ac:dyDescent="0.35">
      <c r="A1112">
        <v>0</v>
      </c>
      <c r="B1112" t="str">
        <f t="shared" si="105"/>
        <v>Female</v>
      </c>
      <c r="C1112" s="8">
        <v>43</v>
      </c>
      <c r="D1112" t="str">
        <f t="shared" si="106"/>
        <v>Middle Age</v>
      </c>
      <c r="E1112">
        <v>2</v>
      </c>
      <c r="F1112" t="str">
        <f>HLOOKUP(E1112, LookUP_Table!$A$6:$D$7, 2, FALSE)</f>
        <v>Secondary</v>
      </c>
      <c r="G1112" t="str">
        <f>IFERROR(VLOOKUP(E1112, LookUP_Table!$A$1:$B$4, 2, FALSE), "")</f>
        <v>Secondary</v>
      </c>
      <c r="H1112">
        <v>0</v>
      </c>
      <c r="I1112">
        <v>0</v>
      </c>
      <c r="J1112" t="str">
        <f t="shared" si="102"/>
        <v>Non-Smoker</v>
      </c>
      <c r="K1112">
        <v>0</v>
      </c>
      <c r="L1112">
        <v>0</v>
      </c>
      <c r="M1112">
        <v>0</v>
      </c>
      <c r="N1112">
        <v>0</v>
      </c>
      <c r="O1112">
        <v>266</v>
      </c>
      <c r="P1112" t="str">
        <f t="shared" si="103"/>
        <v>High</v>
      </c>
      <c r="Q1112">
        <v>131</v>
      </c>
      <c r="R1112">
        <v>81</v>
      </c>
      <c r="S1112">
        <v>24.03</v>
      </c>
      <c r="T1112" t="str">
        <f t="shared" si="104"/>
        <v>Normal</v>
      </c>
      <c r="U1112">
        <v>100</v>
      </c>
      <c r="V1112">
        <v>94</v>
      </c>
      <c r="W1112" t="str">
        <f t="shared" si="107"/>
        <v>Normal</v>
      </c>
      <c r="X1112">
        <v>0</v>
      </c>
    </row>
    <row r="1113" spans="1:24" ht="14.5" thickBot="1" x14ac:dyDescent="0.35">
      <c r="A1113">
        <v>1</v>
      </c>
      <c r="B1113" t="str">
        <f t="shared" si="105"/>
        <v>Male</v>
      </c>
      <c r="C1113" s="8">
        <v>43</v>
      </c>
      <c r="D1113" t="str">
        <f t="shared" si="106"/>
        <v>Middle Age</v>
      </c>
      <c r="E1113">
        <v>1</v>
      </c>
      <c r="F1113" t="str">
        <f>HLOOKUP(E1113, LookUP_Table!$A$6:$D$7, 2, FALSE)</f>
        <v>Primary</v>
      </c>
      <c r="G1113" t="str">
        <f>IFERROR(VLOOKUP(E1113, LookUP_Table!$A$1:$B$4, 2, FALSE), "")</f>
        <v>Primary</v>
      </c>
      <c r="H1113">
        <v>1</v>
      </c>
      <c r="I1113">
        <v>40</v>
      </c>
      <c r="J1113" t="str">
        <f t="shared" si="102"/>
        <v>Smoker</v>
      </c>
      <c r="K1113">
        <v>0</v>
      </c>
      <c r="L1113">
        <v>0</v>
      </c>
      <c r="M1113">
        <v>0</v>
      </c>
      <c r="N1113">
        <v>0</v>
      </c>
      <c r="O1113">
        <v>240</v>
      </c>
      <c r="P1113" t="str">
        <f t="shared" si="103"/>
        <v>Normal</v>
      </c>
      <c r="Q1113">
        <v>100</v>
      </c>
      <c r="R1113">
        <v>72.5</v>
      </c>
      <c r="S1113">
        <v>24.3</v>
      </c>
      <c r="T1113" t="str">
        <f t="shared" si="104"/>
        <v>Normal</v>
      </c>
      <c r="U1113">
        <v>70</v>
      </c>
      <c r="V1113">
        <v>65</v>
      </c>
      <c r="W1113" t="str">
        <f t="shared" si="107"/>
        <v>Normal</v>
      </c>
      <c r="X1113">
        <v>0</v>
      </c>
    </row>
    <row r="1114" spans="1:24" ht="14.5" thickBot="1" x14ac:dyDescent="0.35">
      <c r="A1114">
        <v>1</v>
      </c>
      <c r="B1114" t="str">
        <f t="shared" si="105"/>
        <v>Male</v>
      </c>
      <c r="C1114" s="8">
        <v>43</v>
      </c>
      <c r="D1114" t="str">
        <f t="shared" si="106"/>
        <v>Middle Age</v>
      </c>
      <c r="E1114">
        <v>2</v>
      </c>
      <c r="F1114" t="str">
        <f>HLOOKUP(E1114, LookUP_Table!$A$6:$D$7, 2, FALSE)</f>
        <v>Secondary</v>
      </c>
      <c r="G1114" t="str">
        <f>IFERROR(VLOOKUP(E1114, LookUP_Table!$A$1:$B$4, 2, FALSE), "")</f>
        <v>Secondary</v>
      </c>
      <c r="H1114">
        <v>1</v>
      </c>
      <c r="I1114">
        <v>30</v>
      </c>
      <c r="J1114" t="str">
        <f t="shared" si="102"/>
        <v>Smoker</v>
      </c>
      <c r="K1114">
        <v>0</v>
      </c>
      <c r="L1114">
        <v>0</v>
      </c>
      <c r="M1114">
        <v>0</v>
      </c>
      <c r="N1114">
        <v>0</v>
      </c>
      <c r="O1114">
        <v>185</v>
      </c>
      <c r="P1114" t="str">
        <f t="shared" si="103"/>
        <v>Normal</v>
      </c>
      <c r="Q1114">
        <v>125</v>
      </c>
      <c r="R1114">
        <v>65</v>
      </c>
      <c r="S1114">
        <v>20.65</v>
      </c>
      <c r="T1114" t="str">
        <f t="shared" si="104"/>
        <v>Normal</v>
      </c>
      <c r="U1114">
        <v>96</v>
      </c>
      <c r="V1114">
        <v>76</v>
      </c>
      <c r="W1114" t="str">
        <f t="shared" si="107"/>
        <v>Normal</v>
      </c>
      <c r="X1114">
        <v>0</v>
      </c>
    </row>
    <row r="1115" spans="1:24" ht="14.5" thickBot="1" x14ac:dyDescent="0.35">
      <c r="A1115">
        <v>0</v>
      </c>
      <c r="B1115" t="str">
        <f t="shared" si="105"/>
        <v>Female</v>
      </c>
      <c r="C1115" s="8">
        <v>43</v>
      </c>
      <c r="D1115" t="str">
        <f t="shared" si="106"/>
        <v>Middle Age</v>
      </c>
      <c r="E1115">
        <v>3</v>
      </c>
      <c r="F1115" t="str">
        <f>HLOOKUP(E1115, LookUP_Table!$A$6:$D$7, 2, FALSE)</f>
        <v>Graduate</v>
      </c>
      <c r="G1115" t="str">
        <f>IFERROR(VLOOKUP(E1115, LookUP_Table!$A$1:$B$4, 2, FALSE), "")</f>
        <v>Graduate</v>
      </c>
      <c r="H1115">
        <v>0</v>
      </c>
      <c r="I1115">
        <v>0</v>
      </c>
      <c r="J1115" t="str">
        <f t="shared" si="102"/>
        <v>Non-Smoker</v>
      </c>
      <c r="K1115">
        <v>0</v>
      </c>
      <c r="L1115">
        <v>0</v>
      </c>
      <c r="M1115">
        <v>0</v>
      </c>
      <c r="N1115">
        <v>0</v>
      </c>
      <c r="O1115">
        <v>263</v>
      </c>
      <c r="P1115" t="str">
        <f t="shared" si="103"/>
        <v>High</v>
      </c>
      <c r="Q1115">
        <v>115</v>
      </c>
      <c r="R1115">
        <v>82.5</v>
      </c>
      <c r="S1115">
        <v>25.91</v>
      </c>
      <c r="T1115" t="str">
        <f t="shared" si="104"/>
        <v>Overweight</v>
      </c>
      <c r="U1115">
        <v>105</v>
      </c>
      <c r="V1115">
        <v>81.96365524402907</v>
      </c>
      <c r="W1115" t="str">
        <f t="shared" si="107"/>
        <v>Normal</v>
      </c>
      <c r="X1115">
        <v>0</v>
      </c>
    </row>
    <row r="1116" spans="1:24" ht="14.5" thickBot="1" x14ac:dyDescent="0.35">
      <c r="A1116">
        <v>0</v>
      </c>
      <c r="B1116" t="str">
        <f t="shared" si="105"/>
        <v>Female</v>
      </c>
      <c r="C1116" s="8">
        <v>43</v>
      </c>
      <c r="D1116" t="str">
        <f t="shared" si="106"/>
        <v>Middle Age</v>
      </c>
      <c r="E1116">
        <v>1</v>
      </c>
      <c r="F1116" t="str">
        <f>HLOOKUP(E1116, LookUP_Table!$A$6:$D$7, 2, FALSE)</f>
        <v>Primary</v>
      </c>
      <c r="G1116" t="str">
        <f>IFERROR(VLOOKUP(E1116, LookUP_Table!$A$1:$B$4, 2, FALSE), "")</f>
        <v>Primary</v>
      </c>
      <c r="H1116">
        <v>0</v>
      </c>
      <c r="I1116">
        <v>0</v>
      </c>
      <c r="J1116" t="str">
        <f t="shared" si="102"/>
        <v>Non-Smoker</v>
      </c>
      <c r="K1116">
        <v>0</v>
      </c>
      <c r="L1116">
        <v>0</v>
      </c>
      <c r="M1116">
        <v>0</v>
      </c>
      <c r="N1116">
        <v>0</v>
      </c>
      <c r="O1116">
        <v>257</v>
      </c>
      <c r="P1116" t="str">
        <f t="shared" si="103"/>
        <v>High</v>
      </c>
      <c r="Q1116">
        <v>160</v>
      </c>
      <c r="R1116">
        <v>85</v>
      </c>
      <c r="S1116">
        <v>21.95</v>
      </c>
      <c r="T1116" t="str">
        <f t="shared" si="104"/>
        <v>Normal</v>
      </c>
      <c r="U1116">
        <v>100</v>
      </c>
      <c r="V1116">
        <v>84</v>
      </c>
      <c r="W1116" t="str">
        <f t="shared" si="107"/>
        <v>Normal</v>
      </c>
      <c r="X1116">
        <v>0</v>
      </c>
    </row>
    <row r="1117" spans="1:24" ht="14.5" thickBot="1" x14ac:dyDescent="0.35">
      <c r="A1117">
        <v>0</v>
      </c>
      <c r="B1117" t="str">
        <f t="shared" si="105"/>
        <v>Female</v>
      </c>
      <c r="C1117" s="8">
        <v>43</v>
      </c>
      <c r="D1117" t="str">
        <f t="shared" si="106"/>
        <v>Middle Age</v>
      </c>
      <c r="E1117">
        <v>4</v>
      </c>
      <c r="F1117" t="str">
        <f>HLOOKUP(E1117, LookUP_Table!$A$6:$D$7, 2, FALSE)</f>
        <v>Post Graduate</v>
      </c>
      <c r="G1117" t="str">
        <f>IFERROR(VLOOKUP(E1117, LookUP_Table!$A$1:$B$4, 2, FALSE), "")</f>
        <v>Post Graduate</v>
      </c>
      <c r="H1117">
        <v>0</v>
      </c>
      <c r="I1117">
        <v>0</v>
      </c>
      <c r="J1117" t="str">
        <f t="shared" si="102"/>
        <v>Non-Smoker</v>
      </c>
      <c r="K1117">
        <v>0</v>
      </c>
      <c r="L1117">
        <v>0</v>
      </c>
      <c r="M1117">
        <v>0</v>
      </c>
      <c r="N1117">
        <v>0</v>
      </c>
      <c r="O1117">
        <v>213</v>
      </c>
      <c r="P1117" t="str">
        <f t="shared" si="103"/>
        <v>Normal</v>
      </c>
      <c r="Q1117">
        <v>100</v>
      </c>
      <c r="R1117">
        <v>70</v>
      </c>
      <c r="S1117">
        <v>20.059999999999999</v>
      </c>
      <c r="T1117" t="str">
        <f t="shared" si="104"/>
        <v>Normal</v>
      </c>
      <c r="U1117">
        <v>68</v>
      </c>
      <c r="V1117">
        <v>81.96365524402907</v>
      </c>
      <c r="W1117" t="str">
        <f t="shared" si="107"/>
        <v>Normal</v>
      </c>
      <c r="X1117">
        <v>0</v>
      </c>
    </row>
    <row r="1118" spans="1:24" ht="14.5" thickBot="1" x14ac:dyDescent="0.35">
      <c r="A1118">
        <v>1</v>
      </c>
      <c r="B1118" t="str">
        <f t="shared" si="105"/>
        <v>Male</v>
      </c>
      <c r="C1118" s="8">
        <v>43</v>
      </c>
      <c r="D1118" t="str">
        <f t="shared" si="106"/>
        <v>Middle Age</v>
      </c>
      <c r="E1118">
        <v>3</v>
      </c>
      <c r="F1118" t="str">
        <f>HLOOKUP(E1118, LookUP_Table!$A$6:$D$7, 2, FALSE)</f>
        <v>Graduate</v>
      </c>
      <c r="G1118" t="str">
        <f>IFERROR(VLOOKUP(E1118, LookUP_Table!$A$1:$B$4, 2, FALSE), "")</f>
        <v>Graduate</v>
      </c>
      <c r="H1118">
        <v>0</v>
      </c>
      <c r="I1118">
        <v>0</v>
      </c>
      <c r="J1118" t="str">
        <f t="shared" si="102"/>
        <v>Non-Smoker</v>
      </c>
      <c r="K1118">
        <v>0</v>
      </c>
      <c r="L1118">
        <v>0</v>
      </c>
      <c r="M1118">
        <v>0</v>
      </c>
      <c r="N1118">
        <v>0</v>
      </c>
      <c r="O1118">
        <v>200</v>
      </c>
      <c r="P1118" t="str">
        <f t="shared" si="103"/>
        <v>Normal</v>
      </c>
      <c r="Q1118">
        <v>133</v>
      </c>
      <c r="R1118">
        <v>78</v>
      </c>
      <c r="S1118">
        <v>26.72</v>
      </c>
      <c r="T1118" t="str">
        <f t="shared" si="104"/>
        <v>Overweight</v>
      </c>
      <c r="U1118">
        <v>55</v>
      </c>
      <c r="V1118">
        <v>71</v>
      </c>
      <c r="W1118" t="str">
        <f t="shared" si="107"/>
        <v>Normal</v>
      </c>
      <c r="X1118">
        <v>0</v>
      </c>
    </row>
    <row r="1119" spans="1:24" ht="14.5" thickBot="1" x14ac:dyDescent="0.35">
      <c r="A1119">
        <v>0</v>
      </c>
      <c r="B1119" t="str">
        <f t="shared" si="105"/>
        <v>Female</v>
      </c>
      <c r="C1119" s="8">
        <v>43</v>
      </c>
      <c r="D1119" t="str">
        <f t="shared" si="106"/>
        <v>Middle Age</v>
      </c>
      <c r="E1119">
        <v>1</v>
      </c>
      <c r="F1119" t="str">
        <f>HLOOKUP(E1119, LookUP_Table!$A$6:$D$7, 2, FALSE)</f>
        <v>Primary</v>
      </c>
      <c r="G1119" t="str">
        <f>IFERROR(VLOOKUP(E1119, LookUP_Table!$A$1:$B$4, 2, FALSE), "")</f>
        <v>Primary</v>
      </c>
      <c r="H1119">
        <v>1</v>
      </c>
      <c r="I1119">
        <v>1</v>
      </c>
      <c r="J1119" t="str">
        <f t="shared" si="102"/>
        <v>Smoker</v>
      </c>
      <c r="K1119">
        <v>0</v>
      </c>
      <c r="L1119">
        <v>0</v>
      </c>
      <c r="M1119">
        <v>0</v>
      </c>
      <c r="N1119">
        <v>0</v>
      </c>
      <c r="O1119">
        <v>186</v>
      </c>
      <c r="P1119" t="str">
        <f t="shared" si="103"/>
        <v>Normal</v>
      </c>
      <c r="Q1119">
        <v>120</v>
      </c>
      <c r="R1119">
        <v>72</v>
      </c>
      <c r="S1119">
        <v>24.33</v>
      </c>
      <c r="T1119" t="str">
        <f t="shared" si="104"/>
        <v>Normal</v>
      </c>
      <c r="U1119">
        <v>80</v>
      </c>
      <c r="V1119">
        <v>86</v>
      </c>
      <c r="W1119" t="str">
        <f t="shared" si="107"/>
        <v>Normal</v>
      </c>
      <c r="X1119">
        <v>0</v>
      </c>
    </row>
    <row r="1120" spans="1:24" ht="14.5" thickBot="1" x14ac:dyDescent="0.35">
      <c r="A1120">
        <v>1</v>
      </c>
      <c r="B1120" t="str">
        <f t="shared" si="105"/>
        <v>Male</v>
      </c>
      <c r="C1120" s="8">
        <v>43</v>
      </c>
      <c r="D1120" t="str">
        <f t="shared" si="106"/>
        <v>Middle Age</v>
      </c>
      <c r="E1120">
        <v>4</v>
      </c>
      <c r="F1120" t="str">
        <f>HLOOKUP(E1120, LookUP_Table!$A$6:$D$7, 2, FALSE)</f>
        <v>Post Graduate</v>
      </c>
      <c r="G1120" t="str">
        <f>IFERROR(VLOOKUP(E1120, LookUP_Table!$A$1:$B$4, 2, FALSE), "")</f>
        <v>Post Graduate</v>
      </c>
      <c r="H1120">
        <v>1</v>
      </c>
      <c r="I1120">
        <v>25</v>
      </c>
      <c r="J1120" t="str">
        <f t="shared" si="102"/>
        <v>Smoker</v>
      </c>
      <c r="K1120">
        <v>0</v>
      </c>
      <c r="L1120">
        <v>0</v>
      </c>
      <c r="M1120">
        <v>0</v>
      </c>
      <c r="N1120">
        <v>0</v>
      </c>
      <c r="O1120">
        <v>245</v>
      </c>
      <c r="P1120" t="str">
        <f t="shared" si="103"/>
        <v>High</v>
      </c>
      <c r="Q1120">
        <v>126</v>
      </c>
      <c r="R1120">
        <v>88.5</v>
      </c>
      <c r="S1120">
        <v>23.16</v>
      </c>
      <c r="T1120" t="str">
        <f t="shared" si="104"/>
        <v>Normal</v>
      </c>
      <c r="U1120">
        <v>92</v>
      </c>
      <c r="V1120">
        <v>81.96365524402907</v>
      </c>
      <c r="W1120" t="str">
        <f t="shared" si="107"/>
        <v>Normal</v>
      </c>
      <c r="X1120">
        <v>1</v>
      </c>
    </row>
    <row r="1121" spans="1:24" ht="14.5" thickBot="1" x14ac:dyDescent="0.35">
      <c r="A1121">
        <v>0</v>
      </c>
      <c r="B1121" t="str">
        <f t="shared" si="105"/>
        <v>Female</v>
      </c>
      <c r="C1121" s="8">
        <v>43</v>
      </c>
      <c r="D1121" t="str">
        <f t="shared" si="106"/>
        <v>Middle Age</v>
      </c>
      <c r="E1121">
        <v>3</v>
      </c>
      <c r="F1121" t="str">
        <f>HLOOKUP(E1121, LookUP_Table!$A$6:$D$7, 2, FALSE)</f>
        <v>Graduate</v>
      </c>
      <c r="G1121" t="str">
        <f>IFERROR(VLOOKUP(E1121, LookUP_Table!$A$1:$B$4, 2, FALSE), "")</f>
        <v>Graduate</v>
      </c>
      <c r="H1121">
        <v>0</v>
      </c>
      <c r="I1121">
        <v>0</v>
      </c>
      <c r="J1121" t="str">
        <f t="shared" si="102"/>
        <v>Non-Smoker</v>
      </c>
      <c r="K1121">
        <v>0</v>
      </c>
      <c r="L1121">
        <v>0</v>
      </c>
      <c r="M1121">
        <v>1</v>
      </c>
      <c r="N1121">
        <v>0</v>
      </c>
      <c r="O1121">
        <v>240</v>
      </c>
      <c r="P1121" t="str">
        <f t="shared" si="103"/>
        <v>Normal</v>
      </c>
      <c r="Q1121">
        <v>141</v>
      </c>
      <c r="R1121">
        <v>91</v>
      </c>
      <c r="S1121">
        <v>29.25</v>
      </c>
      <c r="T1121" t="str">
        <f t="shared" si="104"/>
        <v>Overweight</v>
      </c>
      <c r="U1121">
        <v>78</v>
      </c>
      <c r="V1121">
        <v>65</v>
      </c>
      <c r="W1121" t="str">
        <f t="shared" si="107"/>
        <v>Normal</v>
      </c>
      <c r="X1121">
        <v>0</v>
      </c>
    </row>
    <row r="1122" spans="1:24" ht="14.5" thickBot="1" x14ac:dyDescent="0.35">
      <c r="A1122">
        <v>1</v>
      </c>
      <c r="B1122" t="str">
        <f t="shared" si="105"/>
        <v>Male</v>
      </c>
      <c r="C1122" s="8">
        <v>43</v>
      </c>
      <c r="D1122" t="str">
        <f t="shared" si="106"/>
        <v>Middle Age</v>
      </c>
      <c r="E1122">
        <v>2</v>
      </c>
      <c r="F1122" t="str">
        <f>HLOOKUP(E1122, LookUP_Table!$A$6:$D$7, 2, FALSE)</f>
        <v>Secondary</v>
      </c>
      <c r="G1122" t="str">
        <f>IFERROR(VLOOKUP(E1122, LookUP_Table!$A$1:$B$4, 2, FALSE), "")</f>
        <v>Secondary</v>
      </c>
      <c r="H1122">
        <v>1</v>
      </c>
      <c r="I1122">
        <v>40</v>
      </c>
      <c r="J1122" t="str">
        <f t="shared" si="102"/>
        <v>Smoker</v>
      </c>
      <c r="K1122">
        <v>0</v>
      </c>
      <c r="L1122">
        <v>0</v>
      </c>
      <c r="M1122">
        <v>1</v>
      </c>
      <c r="N1122">
        <v>0</v>
      </c>
      <c r="O1122">
        <v>220</v>
      </c>
      <c r="P1122" t="str">
        <f t="shared" si="103"/>
        <v>Normal</v>
      </c>
      <c r="Q1122">
        <v>165</v>
      </c>
      <c r="R1122">
        <v>105</v>
      </c>
      <c r="S1122">
        <v>31.07</v>
      </c>
      <c r="T1122" t="str">
        <f t="shared" si="104"/>
        <v>Obese</v>
      </c>
      <c r="U1122">
        <v>75</v>
      </c>
      <c r="V1122">
        <v>114</v>
      </c>
      <c r="W1122" t="str">
        <f t="shared" si="107"/>
        <v>Prediabetes</v>
      </c>
      <c r="X1122">
        <v>0</v>
      </c>
    </row>
    <row r="1123" spans="1:24" ht="14.5" thickBot="1" x14ac:dyDescent="0.35">
      <c r="A1123">
        <v>0</v>
      </c>
      <c r="B1123" t="str">
        <f t="shared" si="105"/>
        <v>Female</v>
      </c>
      <c r="C1123" s="8">
        <v>43</v>
      </c>
      <c r="D1123" t="str">
        <f t="shared" si="106"/>
        <v>Middle Age</v>
      </c>
      <c r="E1123">
        <v>4</v>
      </c>
      <c r="F1123" t="str">
        <f>HLOOKUP(E1123, LookUP_Table!$A$6:$D$7, 2, FALSE)</f>
        <v>Post Graduate</v>
      </c>
      <c r="G1123" t="str">
        <f>IFERROR(VLOOKUP(E1123, LookUP_Table!$A$1:$B$4, 2, FALSE), "")</f>
        <v>Post Graduate</v>
      </c>
      <c r="H1123">
        <v>1</v>
      </c>
      <c r="I1123">
        <v>20</v>
      </c>
      <c r="J1123" t="str">
        <f t="shared" si="102"/>
        <v>Smoker</v>
      </c>
      <c r="K1123">
        <v>0</v>
      </c>
      <c r="L1123">
        <v>0</v>
      </c>
      <c r="M1123">
        <v>0</v>
      </c>
      <c r="N1123">
        <v>0</v>
      </c>
      <c r="O1123">
        <v>265</v>
      </c>
      <c r="P1123" t="str">
        <f t="shared" si="103"/>
        <v>High</v>
      </c>
      <c r="Q1123">
        <v>107</v>
      </c>
      <c r="R1123">
        <v>68</v>
      </c>
      <c r="S1123">
        <v>21.08</v>
      </c>
      <c r="T1123" t="str">
        <f t="shared" si="104"/>
        <v>Normal</v>
      </c>
      <c r="U1123">
        <v>90</v>
      </c>
      <c r="V1123">
        <v>95</v>
      </c>
      <c r="W1123" t="str">
        <f t="shared" si="107"/>
        <v>Normal</v>
      </c>
      <c r="X1123">
        <v>0</v>
      </c>
    </row>
    <row r="1124" spans="1:24" ht="14.5" thickBot="1" x14ac:dyDescent="0.35">
      <c r="A1124">
        <v>1</v>
      </c>
      <c r="B1124" t="str">
        <f t="shared" si="105"/>
        <v>Male</v>
      </c>
      <c r="C1124" s="8">
        <v>43</v>
      </c>
      <c r="D1124" t="str">
        <f t="shared" si="106"/>
        <v>Middle Age</v>
      </c>
      <c r="E1124">
        <v>2</v>
      </c>
      <c r="F1124" t="str">
        <f>HLOOKUP(E1124, LookUP_Table!$A$6:$D$7, 2, FALSE)</f>
        <v>Secondary</v>
      </c>
      <c r="G1124" t="str">
        <f>IFERROR(VLOOKUP(E1124, LookUP_Table!$A$1:$B$4, 2, FALSE), "")</f>
        <v>Secondary</v>
      </c>
      <c r="H1124">
        <v>1</v>
      </c>
      <c r="I1124">
        <v>20</v>
      </c>
      <c r="J1124" t="str">
        <f t="shared" si="102"/>
        <v>Smoker</v>
      </c>
      <c r="K1124">
        <v>0</v>
      </c>
      <c r="L1124">
        <v>0</v>
      </c>
      <c r="M1124">
        <v>1</v>
      </c>
      <c r="N1124">
        <v>0</v>
      </c>
      <c r="O1124">
        <v>243</v>
      </c>
      <c r="P1124" t="str">
        <f t="shared" si="103"/>
        <v>High</v>
      </c>
      <c r="Q1124">
        <v>155</v>
      </c>
      <c r="R1124">
        <v>100</v>
      </c>
      <c r="S1124">
        <v>24.89</v>
      </c>
      <c r="T1124" t="str">
        <f t="shared" si="104"/>
        <v>Normal</v>
      </c>
      <c r="U1124">
        <v>80</v>
      </c>
      <c r="V1124">
        <v>63</v>
      </c>
      <c r="W1124" t="str">
        <f t="shared" si="107"/>
        <v>Normal</v>
      </c>
      <c r="X1124">
        <v>0</v>
      </c>
    </row>
    <row r="1125" spans="1:24" ht="14.5" thickBot="1" x14ac:dyDescent="0.35">
      <c r="A1125">
        <v>1</v>
      </c>
      <c r="B1125" t="str">
        <f t="shared" si="105"/>
        <v>Male</v>
      </c>
      <c r="C1125" s="8">
        <v>43</v>
      </c>
      <c r="D1125" t="str">
        <f t="shared" si="106"/>
        <v>Middle Age</v>
      </c>
      <c r="E1125">
        <v>1</v>
      </c>
      <c r="F1125" t="str">
        <f>HLOOKUP(E1125, LookUP_Table!$A$6:$D$7, 2, FALSE)</f>
        <v>Primary</v>
      </c>
      <c r="G1125" t="str">
        <f>IFERROR(VLOOKUP(E1125, LookUP_Table!$A$1:$B$4, 2, FALSE), "")</f>
        <v>Primary</v>
      </c>
      <c r="H1125">
        <v>0</v>
      </c>
      <c r="I1125">
        <v>0</v>
      </c>
      <c r="J1125" t="str">
        <f t="shared" si="102"/>
        <v>Non-Smoker</v>
      </c>
      <c r="K1125">
        <v>0</v>
      </c>
      <c r="L1125">
        <v>0</v>
      </c>
      <c r="M1125">
        <v>0</v>
      </c>
      <c r="N1125">
        <v>0</v>
      </c>
      <c r="O1125">
        <v>245</v>
      </c>
      <c r="P1125" t="str">
        <f t="shared" si="103"/>
        <v>High</v>
      </c>
      <c r="Q1125">
        <v>105</v>
      </c>
      <c r="R1125">
        <v>59.5</v>
      </c>
      <c r="S1125">
        <v>30.55</v>
      </c>
      <c r="T1125" t="str">
        <f t="shared" si="104"/>
        <v>Obese</v>
      </c>
      <c r="U1125">
        <v>85</v>
      </c>
      <c r="V1125">
        <v>77</v>
      </c>
      <c r="W1125" t="str">
        <f t="shared" si="107"/>
        <v>Normal</v>
      </c>
      <c r="X1125">
        <v>0</v>
      </c>
    </row>
    <row r="1126" spans="1:24" ht="14.5" thickBot="1" x14ac:dyDescent="0.35">
      <c r="A1126">
        <v>1</v>
      </c>
      <c r="B1126" t="str">
        <f t="shared" si="105"/>
        <v>Male</v>
      </c>
      <c r="C1126" s="8">
        <v>43</v>
      </c>
      <c r="D1126" t="str">
        <f t="shared" si="106"/>
        <v>Middle Age</v>
      </c>
      <c r="E1126">
        <v>2</v>
      </c>
      <c r="F1126" t="str">
        <f>HLOOKUP(E1126, LookUP_Table!$A$6:$D$7, 2, FALSE)</f>
        <v>Secondary</v>
      </c>
      <c r="G1126" t="str">
        <f>IFERROR(VLOOKUP(E1126, LookUP_Table!$A$1:$B$4, 2, FALSE), "")</f>
        <v>Secondary</v>
      </c>
      <c r="H1126">
        <v>1</v>
      </c>
      <c r="I1126">
        <v>35</v>
      </c>
      <c r="J1126" t="str">
        <f t="shared" si="102"/>
        <v>Smoker</v>
      </c>
      <c r="K1126">
        <v>0</v>
      </c>
      <c r="L1126">
        <v>0</v>
      </c>
      <c r="M1126">
        <v>0</v>
      </c>
      <c r="N1126">
        <v>0</v>
      </c>
      <c r="O1126">
        <v>207</v>
      </c>
      <c r="P1126" t="str">
        <f t="shared" si="103"/>
        <v>Normal</v>
      </c>
      <c r="Q1126">
        <v>117</v>
      </c>
      <c r="R1126">
        <v>65</v>
      </c>
      <c r="S1126">
        <v>24.42</v>
      </c>
      <c r="T1126" t="str">
        <f t="shared" si="104"/>
        <v>Normal</v>
      </c>
      <c r="U1126">
        <v>60</v>
      </c>
      <c r="V1126">
        <v>100</v>
      </c>
      <c r="W1126" t="str">
        <f t="shared" si="107"/>
        <v>Prediabetes</v>
      </c>
      <c r="X1126">
        <v>0</v>
      </c>
    </row>
    <row r="1127" spans="1:24" ht="14.5" thickBot="1" x14ac:dyDescent="0.35">
      <c r="A1127">
        <v>0</v>
      </c>
      <c r="B1127" t="str">
        <f t="shared" si="105"/>
        <v>Female</v>
      </c>
      <c r="C1127" s="8">
        <v>43</v>
      </c>
      <c r="D1127" t="str">
        <f t="shared" si="106"/>
        <v>Middle Age</v>
      </c>
      <c r="E1127">
        <v>1</v>
      </c>
      <c r="F1127" t="str">
        <f>HLOOKUP(E1127, LookUP_Table!$A$6:$D$7, 2, FALSE)</f>
        <v>Primary</v>
      </c>
      <c r="G1127" t="str">
        <f>IFERROR(VLOOKUP(E1127, LookUP_Table!$A$1:$B$4, 2, FALSE), "")</f>
        <v>Primary</v>
      </c>
      <c r="H1127">
        <v>0</v>
      </c>
      <c r="I1127">
        <v>0</v>
      </c>
      <c r="J1127" t="str">
        <f t="shared" si="102"/>
        <v>Non-Smoker</v>
      </c>
      <c r="K1127">
        <v>0</v>
      </c>
      <c r="L1127">
        <v>0</v>
      </c>
      <c r="M1127">
        <v>0</v>
      </c>
      <c r="N1127">
        <v>0</v>
      </c>
      <c r="O1127">
        <v>145</v>
      </c>
      <c r="P1127" t="str">
        <f t="shared" si="103"/>
        <v>Normal</v>
      </c>
      <c r="Q1127">
        <v>112</v>
      </c>
      <c r="R1127">
        <v>83</v>
      </c>
      <c r="S1127">
        <v>22.36</v>
      </c>
      <c r="T1127" t="str">
        <f t="shared" si="104"/>
        <v>Normal</v>
      </c>
      <c r="U1127">
        <v>90</v>
      </c>
      <c r="V1127">
        <v>70</v>
      </c>
      <c r="W1127" t="str">
        <f t="shared" si="107"/>
        <v>Normal</v>
      </c>
      <c r="X1127">
        <v>0</v>
      </c>
    </row>
    <row r="1128" spans="1:24" ht="14.5" thickBot="1" x14ac:dyDescent="0.35">
      <c r="A1128">
        <v>1</v>
      </c>
      <c r="B1128" t="str">
        <f t="shared" si="105"/>
        <v>Male</v>
      </c>
      <c r="C1128" s="8">
        <v>43</v>
      </c>
      <c r="D1128" t="str">
        <f t="shared" si="106"/>
        <v>Middle Age</v>
      </c>
      <c r="E1128">
        <v>1</v>
      </c>
      <c r="F1128" t="str">
        <f>HLOOKUP(E1128, LookUP_Table!$A$6:$D$7, 2, FALSE)</f>
        <v>Primary</v>
      </c>
      <c r="G1128" t="str">
        <f>IFERROR(VLOOKUP(E1128, LookUP_Table!$A$1:$B$4, 2, FALSE), "")</f>
        <v>Primary</v>
      </c>
      <c r="H1128">
        <v>1</v>
      </c>
      <c r="I1128">
        <v>43</v>
      </c>
      <c r="J1128" t="str">
        <f t="shared" si="102"/>
        <v>Smoker</v>
      </c>
      <c r="K1128">
        <v>0</v>
      </c>
      <c r="L1128">
        <v>0</v>
      </c>
      <c r="M1128">
        <v>0</v>
      </c>
      <c r="N1128">
        <v>0</v>
      </c>
      <c r="O1128">
        <v>215</v>
      </c>
      <c r="P1128" t="str">
        <f t="shared" si="103"/>
        <v>Normal</v>
      </c>
      <c r="Q1128">
        <v>122</v>
      </c>
      <c r="R1128">
        <v>76</v>
      </c>
      <c r="S1128">
        <v>26.84</v>
      </c>
      <c r="T1128" t="str">
        <f t="shared" si="104"/>
        <v>Overweight</v>
      </c>
      <c r="U1128">
        <v>85</v>
      </c>
      <c r="V1128">
        <v>74</v>
      </c>
      <c r="W1128" t="str">
        <f t="shared" si="107"/>
        <v>Normal</v>
      </c>
      <c r="X1128">
        <v>0</v>
      </c>
    </row>
    <row r="1129" spans="1:24" ht="14.5" thickBot="1" x14ac:dyDescent="0.35">
      <c r="A1129">
        <v>1</v>
      </c>
      <c r="B1129" t="str">
        <f t="shared" si="105"/>
        <v>Male</v>
      </c>
      <c r="C1129" s="8">
        <v>43</v>
      </c>
      <c r="D1129" t="str">
        <f t="shared" si="106"/>
        <v>Middle Age</v>
      </c>
      <c r="E1129">
        <v>4</v>
      </c>
      <c r="F1129" t="str">
        <f>HLOOKUP(E1129, LookUP_Table!$A$6:$D$7, 2, FALSE)</f>
        <v>Post Graduate</v>
      </c>
      <c r="G1129" t="str">
        <f>IFERROR(VLOOKUP(E1129, LookUP_Table!$A$1:$B$4, 2, FALSE), "")</f>
        <v>Post Graduate</v>
      </c>
      <c r="H1129">
        <v>1</v>
      </c>
      <c r="I1129">
        <v>30</v>
      </c>
      <c r="J1129" t="str">
        <f t="shared" si="102"/>
        <v>Smoker</v>
      </c>
      <c r="K1129">
        <v>0</v>
      </c>
      <c r="L1129">
        <v>0</v>
      </c>
      <c r="M1129">
        <v>0</v>
      </c>
      <c r="N1129">
        <v>0</v>
      </c>
      <c r="O1129">
        <v>292</v>
      </c>
      <c r="P1129" t="str">
        <f t="shared" si="103"/>
        <v>High</v>
      </c>
      <c r="Q1129">
        <v>121</v>
      </c>
      <c r="R1129">
        <v>75</v>
      </c>
      <c r="S1129">
        <v>21.73</v>
      </c>
      <c r="T1129" t="str">
        <f t="shared" si="104"/>
        <v>Normal</v>
      </c>
      <c r="U1129">
        <v>84</v>
      </c>
      <c r="V1129">
        <v>82</v>
      </c>
      <c r="W1129" t="str">
        <f t="shared" si="107"/>
        <v>Normal</v>
      </c>
      <c r="X1129">
        <v>0</v>
      </c>
    </row>
    <row r="1130" spans="1:24" ht="14.5" thickBot="1" x14ac:dyDescent="0.35">
      <c r="A1130">
        <v>0</v>
      </c>
      <c r="B1130" t="str">
        <f t="shared" si="105"/>
        <v>Female</v>
      </c>
      <c r="C1130" s="8">
        <v>43</v>
      </c>
      <c r="D1130" t="str">
        <f t="shared" si="106"/>
        <v>Middle Age</v>
      </c>
      <c r="E1130">
        <v>2</v>
      </c>
      <c r="F1130" t="str">
        <f>HLOOKUP(E1130, LookUP_Table!$A$6:$D$7, 2, FALSE)</f>
        <v>Secondary</v>
      </c>
      <c r="G1130" t="str">
        <f>IFERROR(VLOOKUP(E1130, LookUP_Table!$A$1:$B$4, 2, FALSE), "")</f>
        <v>Secondary</v>
      </c>
      <c r="H1130">
        <v>1</v>
      </c>
      <c r="I1130">
        <v>15</v>
      </c>
      <c r="J1130" t="str">
        <f t="shared" si="102"/>
        <v>Smoker</v>
      </c>
      <c r="K1130">
        <v>0</v>
      </c>
      <c r="L1130">
        <v>0</v>
      </c>
      <c r="M1130">
        <v>0</v>
      </c>
      <c r="N1130">
        <v>0</v>
      </c>
      <c r="O1130">
        <v>199</v>
      </c>
      <c r="P1130" t="str">
        <f t="shared" si="103"/>
        <v>Normal</v>
      </c>
      <c r="Q1130">
        <v>137</v>
      </c>
      <c r="R1130">
        <v>81</v>
      </c>
      <c r="S1130">
        <v>21.85</v>
      </c>
      <c r="T1130" t="str">
        <f t="shared" si="104"/>
        <v>Normal</v>
      </c>
      <c r="U1130">
        <v>70</v>
      </c>
      <c r="V1130">
        <v>72</v>
      </c>
      <c r="W1130" t="str">
        <f t="shared" si="107"/>
        <v>Normal</v>
      </c>
      <c r="X1130">
        <v>1</v>
      </c>
    </row>
    <row r="1131" spans="1:24" ht="14.5" thickBot="1" x14ac:dyDescent="0.35">
      <c r="A1131">
        <v>0</v>
      </c>
      <c r="B1131" t="str">
        <f t="shared" si="105"/>
        <v>Female</v>
      </c>
      <c r="C1131" s="8">
        <v>43</v>
      </c>
      <c r="D1131" t="str">
        <f t="shared" si="106"/>
        <v>Middle Age</v>
      </c>
      <c r="E1131">
        <v>1</v>
      </c>
      <c r="F1131" t="str">
        <f>HLOOKUP(E1131, LookUP_Table!$A$6:$D$7, 2, FALSE)</f>
        <v>Primary</v>
      </c>
      <c r="G1131" t="str">
        <f>IFERROR(VLOOKUP(E1131, LookUP_Table!$A$1:$B$4, 2, FALSE), "")</f>
        <v>Primary</v>
      </c>
      <c r="H1131">
        <v>1</v>
      </c>
      <c r="I1131">
        <v>20</v>
      </c>
      <c r="J1131" t="str">
        <f t="shared" si="102"/>
        <v>Smoker</v>
      </c>
      <c r="K1131">
        <v>0</v>
      </c>
      <c r="L1131">
        <v>0</v>
      </c>
      <c r="M1131">
        <v>0</v>
      </c>
      <c r="N1131">
        <v>0</v>
      </c>
      <c r="O1131">
        <v>276</v>
      </c>
      <c r="P1131" t="str">
        <f t="shared" si="103"/>
        <v>High</v>
      </c>
      <c r="Q1131">
        <v>127.5</v>
      </c>
      <c r="R1131">
        <v>85</v>
      </c>
      <c r="S1131">
        <v>25.09</v>
      </c>
      <c r="T1131" t="str">
        <f t="shared" si="104"/>
        <v>Overweight</v>
      </c>
      <c r="U1131">
        <v>85</v>
      </c>
      <c r="V1131">
        <v>74</v>
      </c>
      <c r="W1131" t="str">
        <f t="shared" si="107"/>
        <v>Normal</v>
      </c>
      <c r="X1131">
        <v>0</v>
      </c>
    </row>
    <row r="1132" spans="1:24" ht="14.5" thickBot="1" x14ac:dyDescent="0.35">
      <c r="A1132">
        <v>0</v>
      </c>
      <c r="B1132" t="str">
        <f t="shared" si="105"/>
        <v>Female</v>
      </c>
      <c r="C1132" s="8">
        <v>43</v>
      </c>
      <c r="D1132" t="str">
        <f t="shared" si="106"/>
        <v>Middle Age</v>
      </c>
      <c r="E1132">
        <v>3</v>
      </c>
      <c r="F1132" t="str">
        <f>HLOOKUP(E1132, LookUP_Table!$A$6:$D$7, 2, FALSE)</f>
        <v>Graduate</v>
      </c>
      <c r="G1132" t="str">
        <f>IFERROR(VLOOKUP(E1132, LookUP_Table!$A$1:$B$4, 2, FALSE), "")</f>
        <v>Graduate</v>
      </c>
      <c r="H1132">
        <v>0</v>
      </c>
      <c r="I1132">
        <v>0</v>
      </c>
      <c r="J1132" t="str">
        <f t="shared" si="102"/>
        <v>Non-Smoker</v>
      </c>
      <c r="K1132">
        <v>0</v>
      </c>
      <c r="L1132">
        <v>0</v>
      </c>
      <c r="M1132">
        <v>0</v>
      </c>
      <c r="N1132">
        <v>0</v>
      </c>
      <c r="O1132">
        <v>214</v>
      </c>
      <c r="P1132" t="str">
        <f t="shared" si="103"/>
        <v>Normal</v>
      </c>
      <c r="Q1132">
        <v>121.5</v>
      </c>
      <c r="R1132">
        <v>78</v>
      </c>
      <c r="S1132">
        <v>26.11</v>
      </c>
      <c r="T1132" t="str">
        <f t="shared" si="104"/>
        <v>Overweight</v>
      </c>
      <c r="U1132">
        <v>90</v>
      </c>
      <c r="V1132">
        <v>82</v>
      </c>
      <c r="W1132" t="str">
        <f t="shared" si="107"/>
        <v>Normal</v>
      </c>
      <c r="X1132">
        <v>0</v>
      </c>
    </row>
    <row r="1133" spans="1:24" ht="14.5" thickBot="1" x14ac:dyDescent="0.35">
      <c r="A1133">
        <v>1</v>
      </c>
      <c r="B1133" t="str">
        <f t="shared" si="105"/>
        <v>Male</v>
      </c>
      <c r="C1133" s="8">
        <v>43</v>
      </c>
      <c r="D1133" t="str">
        <f t="shared" si="106"/>
        <v>Middle Age</v>
      </c>
      <c r="E1133">
        <v>2</v>
      </c>
      <c r="F1133" t="str">
        <f>HLOOKUP(E1133, LookUP_Table!$A$6:$D$7, 2, FALSE)</f>
        <v>Secondary</v>
      </c>
      <c r="G1133" t="str">
        <f>IFERROR(VLOOKUP(E1133, LookUP_Table!$A$1:$B$4, 2, FALSE), "")</f>
        <v>Secondary</v>
      </c>
      <c r="H1133">
        <v>0</v>
      </c>
      <c r="I1133">
        <v>0</v>
      </c>
      <c r="J1133" t="str">
        <f t="shared" si="102"/>
        <v>Non-Smoker</v>
      </c>
      <c r="K1133">
        <v>0</v>
      </c>
      <c r="L1133">
        <v>0</v>
      </c>
      <c r="M1133">
        <v>1</v>
      </c>
      <c r="N1133">
        <v>0</v>
      </c>
      <c r="O1133">
        <v>214</v>
      </c>
      <c r="P1133" t="str">
        <f t="shared" si="103"/>
        <v>Normal</v>
      </c>
      <c r="Q1133">
        <v>132</v>
      </c>
      <c r="R1133">
        <v>84</v>
      </c>
      <c r="S1133">
        <v>26.77</v>
      </c>
      <c r="T1133" t="str">
        <f t="shared" si="104"/>
        <v>Overweight</v>
      </c>
      <c r="U1133">
        <v>65</v>
      </c>
      <c r="V1133">
        <v>102</v>
      </c>
      <c r="W1133" t="str">
        <f t="shared" si="107"/>
        <v>Prediabetes</v>
      </c>
      <c r="X1133">
        <v>1</v>
      </c>
    </row>
    <row r="1134" spans="1:24" ht="14.5" thickBot="1" x14ac:dyDescent="0.35">
      <c r="A1134">
        <v>0</v>
      </c>
      <c r="B1134" t="str">
        <f t="shared" si="105"/>
        <v>Female</v>
      </c>
      <c r="C1134" s="8">
        <v>43</v>
      </c>
      <c r="D1134" t="str">
        <f t="shared" si="106"/>
        <v>Middle Age</v>
      </c>
      <c r="E1134">
        <v>4</v>
      </c>
      <c r="F1134" t="str">
        <f>HLOOKUP(E1134, LookUP_Table!$A$6:$D$7, 2, FALSE)</f>
        <v>Post Graduate</v>
      </c>
      <c r="G1134" t="str">
        <f>IFERROR(VLOOKUP(E1134, LookUP_Table!$A$1:$B$4, 2, FALSE), "")</f>
        <v>Post Graduate</v>
      </c>
      <c r="H1134">
        <v>1</v>
      </c>
      <c r="I1134">
        <v>20</v>
      </c>
      <c r="J1134" t="str">
        <f t="shared" si="102"/>
        <v>Smoker</v>
      </c>
      <c r="K1134">
        <v>0</v>
      </c>
      <c r="L1134">
        <v>0</v>
      </c>
      <c r="M1134">
        <v>0</v>
      </c>
      <c r="N1134">
        <v>0</v>
      </c>
      <c r="O1134">
        <v>201</v>
      </c>
      <c r="P1134" t="str">
        <f t="shared" si="103"/>
        <v>Normal</v>
      </c>
      <c r="Q1134">
        <v>129</v>
      </c>
      <c r="R1134">
        <v>92</v>
      </c>
      <c r="S1134">
        <v>24.54</v>
      </c>
      <c r="T1134" t="str">
        <f t="shared" si="104"/>
        <v>Normal</v>
      </c>
      <c r="U1134">
        <v>88</v>
      </c>
      <c r="V1134">
        <v>63</v>
      </c>
      <c r="W1134" t="str">
        <f t="shared" si="107"/>
        <v>Normal</v>
      </c>
      <c r="X1134">
        <v>0</v>
      </c>
    </row>
    <row r="1135" spans="1:24" ht="14.5" thickBot="1" x14ac:dyDescent="0.35">
      <c r="A1135">
        <v>1</v>
      </c>
      <c r="B1135" t="str">
        <f t="shared" si="105"/>
        <v>Male</v>
      </c>
      <c r="C1135" s="8">
        <v>43</v>
      </c>
      <c r="D1135" t="str">
        <f t="shared" si="106"/>
        <v>Middle Age</v>
      </c>
      <c r="E1135">
        <v>4</v>
      </c>
      <c r="F1135" t="str">
        <f>HLOOKUP(E1135, LookUP_Table!$A$6:$D$7, 2, FALSE)</f>
        <v>Post Graduate</v>
      </c>
      <c r="G1135" t="str">
        <f>IFERROR(VLOOKUP(E1135, LookUP_Table!$A$1:$B$4, 2, FALSE), "")</f>
        <v>Post Graduate</v>
      </c>
      <c r="H1135">
        <v>0</v>
      </c>
      <c r="I1135">
        <v>0</v>
      </c>
      <c r="J1135" t="str">
        <f t="shared" si="102"/>
        <v>Non-Smoker</v>
      </c>
      <c r="K1135">
        <v>0</v>
      </c>
      <c r="L1135">
        <v>0</v>
      </c>
      <c r="M1135">
        <v>1</v>
      </c>
      <c r="N1135">
        <v>0</v>
      </c>
      <c r="O1135">
        <v>260</v>
      </c>
      <c r="P1135" t="str">
        <f t="shared" si="103"/>
        <v>High</v>
      </c>
      <c r="Q1135">
        <v>129</v>
      </c>
      <c r="R1135">
        <v>90</v>
      </c>
      <c r="S1135">
        <v>25.29</v>
      </c>
      <c r="T1135" t="str">
        <f t="shared" si="104"/>
        <v>Overweight</v>
      </c>
      <c r="U1135">
        <v>70</v>
      </c>
      <c r="V1135">
        <v>62</v>
      </c>
      <c r="W1135" t="str">
        <f t="shared" si="107"/>
        <v>Normal</v>
      </c>
      <c r="X1135">
        <v>0</v>
      </c>
    </row>
    <row r="1136" spans="1:24" ht="14.5" thickBot="1" x14ac:dyDescent="0.35">
      <c r="A1136">
        <v>0</v>
      </c>
      <c r="B1136" t="str">
        <f t="shared" si="105"/>
        <v>Female</v>
      </c>
      <c r="C1136" s="8">
        <v>43</v>
      </c>
      <c r="D1136" t="str">
        <f t="shared" si="106"/>
        <v>Middle Age</v>
      </c>
      <c r="E1136">
        <v>3</v>
      </c>
      <c r="F1136" t="str">
        <f>HLOOKUP(E1136, LookUP_Table!$A$6:$D$7, 2, FALSE)</f>
        <v>Graduate</v>
      </c>
      <c r="G1136" t="str">
        <f>IFERROR(VLOOKUP(E1136, LookUP_Table!$A$1:$B$4, 2, FALSE), "")</f>
        <v>Graduate</v>
      </c>
      <c r="H1136">
        <v>0</v>
      </c>
      <c r="I1136">
        <v>0</v>
      </c>
      <c r="J1136" t="str">
        <f t="shared" si="102"/>
        <v>Non-Smoker</v>
      </c>
      <c r="K1136">
        <v>0</v>
      </c>
      <c r="L1136">
        <v>0</v>
      </c>
      <c r="M1136">
        <v>0</v>
      </c>
      <c r="N1136">
        <v>0</v>
      </c>
      <c r="O1136">
        <v>202</v>
      </c>
      <c r="P1136" t="str">
        <f t="shared" si="103"/>
        <v>Normal</v>
      </c>
      <c r="Q1136">
        <v>115.5</v>
      </c>
      <c r="R1136">
        <v>68</v>
      </c>
      <c r="S1136">
        <v>23.33</v>
      </c>
      <c r="T1136" t="str">
        <f t="shared" si="104"/>
        <v>Normal</v>
      </c>
      <c r="U1136">
        <v>76</v>
      </c>
      <c r="V1136">
        <v>73</v>
      </c>
      <c r="W1136" t="str">
        <f t="shared" si="107"/>
        <v>Normal</v>
      </c>
      <c r="X1136">
        <v>0</v>
      </c>
    </row>
    <row r="1137" spans="1:24" ht="14.5" thickBot="1" x14ac:dyDescent="0.35">
      <c r="A1137">
        <v>0</v>
      </c>
      <c r="B1137" t="str">
        <f t="shared" si="105"/>
        <v>Female</v>
      </c>
      <c r="C1137" s="8">
        <v>43</v>
      </c>
      <c r="D1137" t="str">
        <f t="shared" si="106"/>
        <v>Middle Age</v>
      </c>
      <c r="E1137">
        <v>4</v>
      </c>
      <c r="F1137" t="str">
        <f>HLOOKUP(E1137, LookUP_Table!$A$6:$D$7, 2, FALSE)</f>
        <v>Post Graduate</v>
      </c>
      <c r="G1137" t="str">
        <f>IFERROR(VLOOKUP(E1137, LookUP_Table!$A$1:$B$4, 2, FALSE), "")</f>
        <v>Post Graduate</v>
      </c>
      <c r="H1137">
        <v>0</v>
      </c>
      <c r="I1137">
        <v>0</v>
      </c>
      <c r="J1137" t="str">
        <f t="shared" si="102"/>
        <v>Non-Smoker</v>
      </c>
      <c r="K1137">
        <v>0</v>
      </c>
      <c r="L1137">
        <v>0</v>
      </c>
      <c r="M1137">
        <v>0</v>
      </c>
      <c r="N1137">
        <v>0</v>
      </c>
      <c r="O1137">
        <v>229</v>
      </c>
      <c r="P1137" t="str">
        <f t="shared" si="103"/>
        <v>Normal</v>
      </c>
      <c r="Q1137">
        <v>118</v>
      </c>
      <c r="R1137">
        <v>77</v>
      </c>
      <c r="S1137">
        <v>25.32</v>
      </c>
      <c r="T1137" t="str">
        <f t="shared" si="104"/>
        <v>Overweight</v>
      </c>
      <c r="U1137">
        <v>78</v>
      </c>
      <c r="V1137">
        <v>103</v>
      </c>
      <c r="W1137" t="str">
        <f t="shared" si="107"/>
        <v>Prediabetes</v>
      </c>
      <c r="X1137">
        <v>0</v>
      </c>
    </row>
    <row r="1138" spans="1:24" ht="14.5" thickBot="1" x14ac:dyDescent="0.35">
      <c r="A1138">
        <v>0</v>
      </c>
      <c r="B1138" t="str">
        <f t="shared" si="105"/>
        <v>Female</v>
      </c>
      <c r="C1138" s="8">
        <v>43</v>
      </c>
      <c r="D1138" t="str">
        <f t="shared" si="106"/>
        <v>Middle Age</v>
      </c>
      <c r="E1138">
        <v>1</v>
      </c>
      <c r="F1138" t="str">
        <f>HLOOKUP(E1138, LookUP_Table!$A$6:$D$7, 2, FALSE)</f>
        <v>Primary</v>
      </c>
      <c r="G1138" t="str">
        <f>IFERROR(VLOOKUP(E1138, LookUP_Table!$A$1:$B$4, 2, FALSE), "")</f>
        <v>Primary</v>
      </c>
      <c r="H1138">
        <v>0</v>
      </c>
      <c r="I1138">
        <v>0</v>
      </c>
      <c r="J1138" t="str">
        <f t="shared" si="102"/>
        <v>Non-Smoker</v>
      </c>
      <c r="K1138">
        <v>0</v>
      </c>
      <c r="L1138">
        <v>0</v>
      </c>
      <c r="M1138">
        <v>0</v>
      </c>
      <c r="N1138">
        <v>0</v>
      </c>
      <c r="O1138">
        <v>175</v>
      </c>
      <c r="P1138" t="str">
        <f t="shared" si="103"/>
        <v>Normal</v>
      </c>
      <c r="Q1138">
        <v>117</v>
      </c>
      <c r="R1138">
        <v>67</v>
      </c>
      <c r="S1138">
        <v>22.36</v>
      </c>
      <c r="T1138" t="str">
        <f t="shared" si="104"/>
        <v>Normal</v>
      </c>
      <c r="U1138">
        <v>58</v>
      </c>
      <c r="V1138">
        <v>70</v>
      </c>
      <c r="W1138" t="str">
        <f t="shared" si="107"/>
        <v>Normal</v>
      </c>
      <c r="X1138">
        <v>0</v>
      </c>
    </row>
    <row r="1139" spans="1:24" ht="14.5" thickBot="1" x14ac:dyDescent="0.35">
      <c r="A1139">
        <v>1</v>
      </c>
      <c r="B1139" t="str">
        <f t="shared" si="105"/>
        <v>Male</v>
      </c>
      <c r="C1139" s="8">
        <v>43</v>
      </c>
      <c r="D1139" t="str">
        <f t="shared" si="106"/>
        <v>Middle Age</v>
      </c>
      <c r="E1139">
        <v>4</v>
      </c>
      <c r="F1139" t="str">
        <f>HLOOKUP(E1139, LookUP_Table!$A$6:$D$7, 2, FALSE)</f>
        <v>Post Graduate</v>
      </c>
      <c r="G1139" t="str">
        <f>IFERROR(VLOOKUP(E1139, LookUP_Table!$A$1:$B$4, 2, FALSE), "")</f>
        <v>Post Graduate</v>
      </c>
      <c r="H1139">
        <v>1</v>
      </c>
      <c r="I1139">
        <v>40</v>
      </c>
      <c r="J1139" t="str">
        <f t="shared" si="102"/>
        <v>Smoker</v>
      </c>
      <c r="K1139">
        <v>0</v>
      </c>
      <c r="L1139">
        <v>0</v>
      </c>
      <c r="M1139">
        <v>0</v>
      </c>
      <c r="N1139">
        <v>0</v>
      </c>
      <c r="O1139">
        <v>263</v>
      </c>
      <c r="P1139" t="str">
        <f t="shared" si="103"/>
        <v>High</v>
      </c>
      <c r="Q1139">
        <v>114</v>
      </c>
      <c r="R1139">
        <v>81</v>
      </c>
      <c r="S1139">
        <v>25.68</v>
      </c>
      <c r="T1139" t="str">
        <f t="shared" si="104"/>
        <v>Overweight</v>
      </c>
      <c r="U1139">
        <v>70</v>
      </c>
      <c r="V1139">
        <v>74</v>
      </c>
      <c r="W1139" t="str">
        <f t="shared" si="107"/>
        <v>Normal</v>
      </c>
      <c r="X1139">
        <v>1</v>
      </c>
    </row>
    <row r="1140" spans="1:24" ht="14.5" thickBot="1" x14ac:dyDescent="0.35">
      <c r="A1140">
        <v>1</v>
      </c>
      <c r="B1140" t="str">
        <f t="shared" si="105"/>
        <v>Male</v>
      </c>
      <c r="C1140" s="8">
        <v>43</v>
      </c>
      <c r="D1140" t="str">
        <f t="shared" si="106"/>
        <v>Middle Age</v>
      </c>
      <c r="E1140">
        <v>2</v>
      </c>
      <c r="F1140" t="str">
        <f>HLOOKUP(E1140, LookUP_Table!$A$6:$D$7, 2, FALSE)</f>
        <v>Secondary</v>
      </c>
      <c r="G1140" t="str">
        <f>IFERROR(VLOOKUP(E1140, LookUP_Table!$A$1:$B$4, 2, FALSE), "")</f>
        <v>Secondary</v>
      </c>
      <c r="H1140">
        <v>1</v>
      </c>
      <c r="I1140">
        <v>9</v>
      </c>
      <c r="J1140" t="str">
        <f t="shared" si="102"/>
        <v>Smoker</v>
      </c>
      <c r="K1140">
        <v>0</v>
      </c>
      <c r="L1140">
        <v>0</v>
      </c>
      <c r="M1140">
        <v>0</v>
      </c>
      <c r="N1140">
        <v>0</v>
      </c>
      <c r="O1140">
        <v>229</v>
      </c>
      <c r="P1140" t="str">
        <f t="shared" si="103"/>
        <v>Normal</v>
      </c>
      <c r="Q1140">
        <v>131</v>
      </c>
      <c r="R1140">
        <v>87</v>
      </c>
      <c r="S1140">
        <v>23.31</v>
      </c>
      <c r="T1140" t="str">
        <f t="shared" si="104"/>
        <v>Normal</v>
      </c>
      <c r="U1140">
        <v>80</v>
      </c>
      <c r="V1140">
        <v>74</v>
      </c>
      <c r="W1140" t="str">
        <f t="shared" si="107"/>
        <v>Normal</v>
      </c>
      <c r="X1140">
        <v>0</v>
      </c>
    </row>
    <row r="1141" spans="1:24" ht="14.5" thickBot="1" x14ac:dyDescent="0.35">
      <c r="A1141">
        <v>0</v>
      </c>
      <c r="B1141" t="str">
        <f t="shared" si="105"/>
        <v>Female</v>
      </c>
      <c r="C1141" s="8">
        <v>43</v>
      </c>
      <c r="D1141" t="str">
        <f t="shared" si="106"/>
        <v>Middle Age</v>
      </c>
      <c r="E1141">
        <v>3</v>
      </c>
      <c r="F1141" t="str">
        <f>HLOOKUP(E1141, LookUP_Table!$A$6:$D$7, 2, FALSE)</f>
        <v>Graduate</v>
      </c>
      <c r="G1141" t="str">
        <f>IFERROR(VLOOKUP(E1141, LookUP_Table!$A$1:$B$4, 2, FALSE), "")</f>
        <v>Graduate</v>
      </c>
      <c r="H1141">
        <v>0</v>
      </c>
      <c r="I1141">
        <v>0</v>
      </c>
      <c r="J1141" t="str">
        <f t="shared" si="102"/>
        <v>Non-Smoker</v>
      </c>
      <c r="K1141">
        <v>0</v>
      </c>
      <c r="L1141">
        <v>0</v>
      </c>
      <c r="M1141">
        <v>0</v>
      </c>
      <c r="N1141">
        <v>0</v>
      </c>
      <c r="O1141">
        <v>209</v>
      </c>
      <c r="P1141" t="str">
        <f t="shared" si="103"/>
        <v>Normal</v>
      </c>
      <c r="Q1141">
        <v>115</v>
      </c>
      <c r="R1141">
        <v>75</v>
      </c>
      <c r="S1141">
        <v>27.99</v>
      </c>
      <c r="T1141" t="str">
        <f t="shared" si="104"/>
        <v>Overweight</v>
      </c>
      <c r="U1141">
        <v>80</v>
      </c>
      <c r="V1141">
        <v>90</v>
      </c>
      <c r="W1141" t="str">
        <f t="shared" si="107"/>
        <v>Normal</v>
      </c>
      <c r="X1141">
        <v>0</v>
      </c>
    </row>
    <row r="1142" spans="1:24" ht="14.5" thickBot="1" x14ac:dyDescent="0.35">
      <c r="A1142">
        <v>0</v>
      </c>
      <c r="B1142" t="str">
        <f t="shared" si="105"/>
        <v>Female</v>
      </c>
      <c r="C1142" s="8">
        <v>43</v>
      </c>
      <c r="D1142" t="str">
        <f t="shared" si="106"/>
        <v>Middle Age</v>
      </c>
      <c r="E1142">
        <v>2</v>
      </c>
      <c r="F1142" t="str">
        <f>HLOOKUP(E1142, LookUP_Table!$A$6:$D$7, 2, FALSE)</f>
        <v>Secondary</v>
      </c>
      <c r="G1142" t="str">
        <f>IFERROR(VLOOKUP(E1142, LookUP_Table!$A$1:$B$4, 2, FALSE), "")</f>
        <v>Secondary</v>
      </c>
      <c r="H1142">
        <v>1</v>
      </c>
      <c r="I1142">
        <v>2</v>
      </c>
      <c r="J1142" t="str">
        <f t="shared" si="102"/>
        <v>Smoker</v>
      </c>
      <c r="K1142">
        <v>0</v>
      </c>
      <c r="L1142">
        <v>0</v>
      </c>
      <c r="M1142">
        <v>0</v>
      </c>
      <c r="N1142">
        <v>0</v>
      </c>
      <c r="O1142">
        <v>213</v>
      </c>
      <c r="P1142" t="str">
        <f t="shared" si="103"/>
        <v>Normal</v>
      </c>
      <c r="Q1142">
        <v>113</v>
      </c>
      <c r="R1142">
        <v>77</v>
      </c>
      <c r="S1142">
        <v>29.34</v>
      </c>
      <c r="T1142" t="str">
        <f t="shared" si="104"/>
        <v>Overweight</v>
      </c>
      <c r="U1142">
        <v>100</v>
      </c>
      <c r="V1142">
        <v>73</v>
      </c>
      <c r="W1142" t="str">
        <f t="shared" si="107"/>
        <v>Normal</v>
      </c>
      <c r="X1142">
        <v>0</v>
      </c>
    </row>
    <row r="1143" spans="1:24" ht="14.5" thickBot="1" x14ac:dyDescent="0.35">
      <c r="A1143">
        <v>0</v>
      </c>
      <c r="B1143" t="str">
        <f t="shared" si="105"/>
        <v>Female</v>
      </c>
      <c r="C1143" s="8">
        <v>43</v>
      </c>
      <c r="D1143" t="str">
        <f t="shared" si="106"/>
        <v>Middle Age</v>
      </c>
      <c r="E1143">
        <v>1</v>
      </c>
      <c r="F1143" t="str">
        <f>HLOOKUP(E1143, LookUP_Table!$A$6:$D$7, 2, FALSE)</f>
        <v>Primary</v>
      </c>
      <c r="G1143" t="str">
        <f>IFERROR(VLOOKUP(E1143, LookUP_Table!$A$1:$B$4, 2, FALSE), "")</f>
        <v>Primary</v>
      </c>
      <c r="H1143">
        <v>0</v>
      </c>
      <c r="I1143">
        <v>0</v>
      </c>
      <c r="J1143" t="str">
        <f t="shared" si="102"/>
        <v>Non-Smoker</v>
      </c>
      <c r="K1143">
        <v>0</v>
      </c>
      <c r="L1143">
        <v>0</v>
      </c>
      <c r="M1143">
        <v>0</v>
      </c>
      <c r="N1143">
        <v>0</v>
      </c>
      <c r="O1143">
        <v>204</v>
      </c>
      <c r="P1143" t="str">
        <f t="shared" si="103"/>
        <v>Normal</v>
      </c>
      <c r="Q1143">
        <v>132</v>
      </c>
      <c r="R1143">
        <v>88</v>
      </c>
      <c r="S1143">
        <v>28.59</v>
      </c>
      <c r="T1143" t="str">
        <f t="shared" si="104"/>
        <v>Overweight</v>
      </c>
      <c r="U1143">
        <v>80</v>
      </c>
      <c r="V1143">
        <v>83</v>
      </c>
      <c r="W1143" t="str">
        <f t="shared" si="107"/>
        <v>Normal</v>
      </c>
      <c r="X1143">
        <v>0</v>
      </c>
    </row>
    <row r="1144" spans="1:24" ht="14.5" thickBot="1" x14ac:dyDescent="0.35">
      <c r="A1144">
        <v>1</v>
      </c>
      <c r="B1144" t="str">
        <f t="shared" si="105"/>
        <v>Male</v>
      </c>
      <c r="C1144" s="8">
        <v>43</v>
      </c>
      <c r="D1144" t="str">
        <f t="shared" si="106"/>
        <v>Middle Age</v>
      </c>
      <c r="E1144">
        <v>2</v>
      </c>
      <c r="F1144" t="str">
        <f>HLOOKUP(E1144, LookUP_Table!$A$6:$D$7, 2, FALSE)</f>
        <v>Secondary</v>
      </c>
      <c r="G1144" t="str">
        <f>IFERROR(VLOOKUP(E1144, LookUP_Table!$A$1:$B$4, 2, FALSE), "")</f>
        <v>Secondary</v>
      </c>
      <c r="H1144">
        <v>0</v>
      </c>
      <c r="I1144">
        <v>0</v>
      </c>
      <c r="J1144" t="str">
        <f t="shared" si="102"/>
        <v>Non-Smoker</v>
      </c>
      <c r="K1144">
        <v>0</v>
      </c>
      <c r="L1144">
        <v>0</v>
      </c>
      <c r="M1144">
        <v>0</v>
      </c>
      <c r="N1144">
        <v>0</v>
      </c>
      <c r="O1144">
        <v>241</v>
      </c>
      <c r="P1144" t="str">
        <f t="shared" si="103"/>
        <v>High</v>
      </c>
      <c r="Q1144">
        <v>132.5</v>
      </c>
      <c r="R1144">
        <v>87.5</v>
      </c>
      <c r="S1144">
        <v>32.020000000000003</v>
      </c>
      <c r="T1144" t="str">
        <f t="shared" si="104"/>
        <v>Obese</v>
      </c>
      <c r="U1144">
        <v>63</v>
      </c>
      <c r="V1144">
        <v>83</v>
      </c>
      <c r="W1144" t="str">
        <f t="shared" si="107"/>
        <v>Normal</v>
      </c>
      <c r="X1144">
        <v>0</v>
      </c>
    </row>
    <row r="1145" spans="1:24" ht="14.5" thickBot="1" x14ac:dyDescent="0.35">
      <c r="A1145">
        <v>0</v>
      </c>
      <c r="B1145" t="str">
        <f t="shared" si="105"/>
        <v>Female</v>
      </c>
      <c r="C1145" s="8">
        <v>43</v>
      </c>
      <c r="D1145" t="str">
        <f t="shared" si="106"/>
        <v>Middle Age</v>
      </c>
      <c r="E1145">
        <v>3</v>
      </c>
      <c r="F1145" t="str">
        <f>HLOOKUP(E1145, LookUP_Table!$A$6:$D$7, 2, FALSE)</f>
        <v>Graduate</v>
      </c>
      <c r="G1145" t="str">
        <f>IFERROR(VLOOKUP(E1145, LookUP_Table!$A$1:$B$4, 2, FALSE), "")</f>
        <v>Graduate</v>
      </c>
      <c r="H1145">
        <v>1</v>
      </c>
      <c r="I1145">
        <v>10</v>
      </c>
      <c r="J1145" t="str">
        <f t="shared" si="102"/>
        <v>Smoker</v>
      </c>
      <c r="K1145">
        <v>0</v>
      </c>
      <c r="L1145">
        <v>0</v>
      </c>
      <c r="M1145">
        <v>0</v>
      </c>
      <c r="N1145">
        <v>0</v>
      </c>
      <c r="O1145">
        <v>186</v>
      </c>
      <c r="P1145" t="str">
        <f t="shared" si="103"/>
        <v>Normal</v>
      </c>
      <c r="Q1145">
        <v>111</v>
      </c>
      <c r="R1145">
        <v>82</v>
      </c>
      <c r="S1145">
        <v>23.22</v>
      </c>
      <c r="T1145" t="str">
        <f t="shared" si="104"/>
        <v>Normal</v>
      </c>
      <c r="U1145">
        <v>75</v>
      </c>
      <c r="V1145">
        <v>82</v>
      </c>
      <c r="W1145" t="str">
        <f t="shared" si="107"/>
        <v>Normal</v>
      </c>
      <c r="X1145">
        <v>0</v>
      </c>
    </row>
    <row r="1146" spans="1:24" ht="14.5" thickBot="1" x14ac:dyDescent="0.35">
      <c r="A1146">
        <v>1</v>
      </c>
      <c r="B1146" t="str">
        <f t="shared" si="105"/>
        <v>Male</v>
      </c>
      <c r="C1146" s="8">
        <v>43</v>
      </c>
      <c r="D1146" t="str">
        <f t="shared" si="106"/>
        <v>Middle Age</v>
      </c>
      <c r="E1146">
        <v>2</v>
      </c>
      <c r="F1146" t="str">
        <f>HLOOKUP(E1146, LookUP_Table!$A$6:$D$7, 2, FALSE)</f>
        <v>Secondary</v>
      </c>
      <c r="G1146" t="str">
        <f>IFERROR(VLOOKUP(E1146, LookUP_Table!$A$1:$B$4, 2, FALSE), "")</f>
        <v>Secondary</v>
      </c>
      <c r="H1146">
        <v>1</v>
      </c>
      <c r="I1146">
        <v>38</v>
      </c>
      <c r="J1146" t="str">
        <f t="shared" si="102"/>
        <v>Smoker</v>
      </c>
      <c r="K1146">
        <v>0</v>
      </c>
      <c r="L1146">
        <v>0</v>
      </c>
      <c r="M1146">
        <v>0</v>
      </c>
      <c r="N1146">
        <v>0</v>
      </c>
      <c r="O1146">
        <v>207</v>
      </c>
      <c r="P1146" t="str">
        <f t="shared" si="103"/>
        <v>Normal</v>
      </c>
      <c r="Q1146">
        <v>130</v>
      </c>
      <c r="R1146">
        <v>86</v>
      </c>
      <c r="S1146">
        <v>24.96</v>
      </c>
      <c r="T1146" t="str">
        <f t="shared" si="104"/>
        <v>Normal</v>
      </c>
      <c r="U1146">
        <v>75</v>
      </c>
      <c r="V1146">
        <v>103</v>
      </c>
      <c r="W1146" t="str">
        <f t="shared" si="107"/>
        <v>Prediabetes</v>
      </c>
      <c r="X1146">
        <v>0</v>
      </c>
    </row>
    <row r="1147" spans="1:24" ht="14.5" thickBot="1" x14ac:dyDescent="0.35">
      <c r="A1147">
        <v>0</v>
      </c>
      <c r="B1147" t="str">
        <f t="shared" si="105"/>
        <v>Female</v>
      </c>
      <c r="C1147" s="8">
        <v>43</v>
      </c>
      <c r="D1147" t="str">
        <f t="shared" si="106"/>
        <v>Middle Age</v>
      </c>
      <c r="E1147">
        <v>2</v>
      </c>
      <c r="F1147" t="str">
        <f>HLOOKUP(E1147, LookUP_Table!$A$6:$D$7, 2, FALSE)</f>
        <v>Secondary</v>
      </c>
      <c r="G1147" t="str">
        <f>IFERROR(VLOOKUP(E1147, LookUP_Table!$A$1:$B$4, 2, FALSE), "")</f>
        <v>Secondary</v>
      </c>
      <c r="H1147">
        <v>0</v>
      </c>
      <c r="I1147">
        <v>0</v>
      </c>
      <c r="J1147" t="str">
        <f t="shared" si="102"/>
        <v>Non-Smoker</v>
      </c>
      <c r="K1147">
        <v>0</v>
      </c>
      <c r="L1147">
        <v>0</v>
      </c>
      <c r="M1147">
        <v>0</v>
      </c>
      <c r="N1147">
        <v>0</v>
      </c>
      <c r="O1147">
        <v>237</v>
      </c>
      <c r="P1147" t="str">
        <f t="shared" si="103"/>
        <v>Normal</v>
      </c>
      <c r="Q1147">
        <v>130</v>
      </c>
      <c r="R1147">
        <v>80</v>
      </c>
      <c r="S1147">
        <v>22.71</v>
      </c>
      <c r="T1147" t="str">
        <f t="shared" si="104"/>
        <v>Normal</v>
      </c>
      <c r="U1147">
        <v>65</v>
      </c>
      <c r="V1147">
        <v>81.96365524402907</v>
      </c>
      <c r="W1147" t="str">
        <f t="shared" si="107"/>
        <v>Normal</v>
      </c>
      <c r="X1147">
        <v>0</v>
      </c>
    </row>
    <row r="1148" spans="1:24" ht="14.5" thickBot="1" x14ac:dyDescent="0.35">
      <c r="A1148">
        <v>0</v>
      </c>
      <c r="B1148" t="str">
        <f t="shared" si="105"/>
        <v>Female</v>
      </c>
      <c r="C1148" s="8">
        <v>43</v>
      </c>
      <c r="D1148" t="str">
        <f t="shared" si="106"/>
        <v>Middle Age</v>
      </c>
      <c r="E1148">
        <v>2</v>
      </c>
      <c r="F1148" t="str">
        <f>HLOOKUP(E1148, LookUP_Table!$A$6:$D$7, 2, FALSE)</f>
        <v>Secondary</v>
      </c>
      <c r="G1148" t="str">
        <f>IFERROR(VLOOKUP(E1148, LookUP_Table!$A$1:$B$4, 2, FALSE), "")</f>
        <v>Secondary</v>
      </c>
      <c r="H1148">
        <v>0</v>
      </c>
      <c r="I1148">
        <v>0</v>
      </c>
      <c r="J1148" t="str">
        <f t="shared" si="102"/>
        <v>Non-Smoker</v>
      </c>
      <c r="K1148">
        <v>0</v>
      </c>
      <c r="L1148">
        <v>0</v>
      </c>
      <c r="M1148">
        <v>0</v>
      </c>
      <c r="N1148">
        <v>0</v>
      </c>
      <c r="O1148">
        <v>232</v>
      </c>
      <c r="P1148" t="str">
        <f t="shared" si="103"/>
        <v>Normal</v>
      </c>
      <c r="Q1148">
        <v>138</v>
      </c>
      <c r="R1148">
        <v>88</v>
      </c>
      <c r="S1148">
        <v>22.53</v>
      </c>
      <c r="T1148" t="str">
        <f t="shared" si="104"/>
        <v>Normal</v>
      </c>
      <c r="U1148">
        <v>70</v>
      </c>
      <c r="V1148">
        <v>96</v>
      </c>
      <c r="W1148" t="str">
        <f t="shared" si="107"/>
        <v>Normal</v>
      </c>
      <c r="X1148">
        <v>0</v>
      </c>
    </row>
    <row r="1149" spans="1:24" ht="14.5" thickBot="1" x14ac:dyDescent="0.35">
      <c r="A1149">
        <v>0</v>
      </c>
      <c r="B1149" t="str">
        <f t="shared" si="105"/>
        <v>Female</v>
      </c>
      <c r="C1149" s="8">
        <v>43</v>
      </c>
      <c r="D1149" t="str">
        <f t="shared" si="106"/>
        <v>Middle Age</v>
      </c>
      <c r="E1149">
        <v>2</v>
      </c>
      <c r="F1149" t="str">
        <f>HLOOKUP(E1149, LookUP_Table!$A$6:$D$7, 2, FALSE)</f>
        <v>Secondary</v>
      </c>
      <c r="G1149" t="str">
        <f>IFERROR(VLOOKUP(E1149, LookUP_Table!$A$1:$B$4, 2, FALSE), "")</f>
        <v>Secondary</v>
      </c>
      <c r="H1149">
        <v>0</v>
      </c>
      <c r="I1149">
        <v>0</v>
      </c>
      <c r="J1149" t="str">
        <f t="shared" si="102"/>
        <v>Non-Smoker</v>
      </c>
      <c r="K1149">
        <v>1</v>
      </c>
      <c r="L1149">
        <v>0</v>
      </c>
      <c r="M1149">
        <v>1</v>
      </c>
      <c r="N1149">
        <v>0</v>
      </c>
      <c r="O1149">
        <v>234</v>
      </c>
      <c r="P1149" t="str">
        <f t="shared" si="103"/>
        <v>Normal</v>
      </c>
      <c r="Q1149">
        <v>127</v>
      </c>
      <c r="R1149">
        <v>88</v>
      </c>
      <c r="S1149">
        <v>33.17</v>
      </c>
      <c r="T1149" t="str">
        <f t="shared" si="104"/>
        <v>Obese</v>
      </c>
      <c r="U1149">
        <v>85</v>
      </c>
      <c r="V1149">
        <v>81.96365524402907</v>
      </c>
      <c r="W1149" t="str">
        <f t="shared" si="107"/>
        <v>Normal</v>
      </c>
      <c r="X1149">
        <v>0</v>
      </c>
    </row>
    <row r="1150" spans="1:24" ht="14.5" thickBot="1" x14ac:dyDescent="0.35">
      <c r="A1150">
        <v>0</v>
      </c>
      <c r="B1150" t="str">
        <f t="shared" si="105"/>
        <v>Female</v>
      </c>
      <c r="C1150" s="8">
        <v>43</v>
      </c>
      <c r="D1150" t="str">
        <f t="shared" si="106"/>
        <v>Middle Age</v>
      </c>
      <c r="E1150">
        <v>3</v>
      </c>
      <c r="F1150" t="str">
        <f>HLOOKUP(E1150, LookUP_Table!$A$6:$D$7, 2, FALSE)</f>
        <v>Graduate</v>
      </c>
      <c r="G1150" t="str">
        <f>IFERROR(VLOOKUP(E1150, LookUP_Table!$A$1:$B$4, 2, FALSE), "")</f>
        <v>Graduate</v>
      </c>
      <c r="H1150">
        <v>1</v>
      </c>
      <c r="I1150">
        <v>20</v>
      </c>
      <c r="J1150" t="str">
        <f t="shared" si="102"/>
        <v>Smoker</v>
      </c>
      <c r="K1150">
        <v>0</v>
      </c>
      <c r="L1150">
        <v>0</v>
      </c>
      <c r="M1150">
        <v>0</v>
      </c>
      <c r="N1150">
        <v>0</v>
      </c>
      <c r="O1150">
        <v>292</v>
      </c>
      <c r="P1150" t="str">
        <f t="shared" si="103"/>
        <v>High</v>
      </c>
      <c r="Q1150">
        <v>109</v>
      </c>
      <c r="R1150">
        <v>73</v>
      </c>
      <c r="S1150">
        <v>22.87</v>
      </c>
      <c r="T1150" t="str">
        <f t="shared" si="104"/>
        <v>Normal</v>
      </c>
      <c r="U1150">
        <v>90</v>
      </c>
      <c r="V1150">
        <v>93</v>
      </c>
      <c r="W1150" t="str">
        <f t="shared" si="107"/>
        <v>Normal</v>
      </c>
      <c r="X1150">
        <v>0</v>
      </c>
    </row>
    <row r="1151" spans="1:24" ht="14.5" thickBot="1" x14ac:dyDescent="0.35">
      <c r="A1151">
        <v>1</v>
      </c>
      <c r="B1151" t="str">
        <f t="shared" si="105"/>
        <v>Male</v>
      </c>
      <c r="C1151" s="8">
        <v>43</v>
      </c>
      <c r="D1151" t="str">
        <f t="shared" si="106"/>
        <v>Middle Age</v>
      </c>
      <c r="E1151">
        <v>4</v>
      </c>
      <c r="F1151" t="str">
        <f>HLOOKUP(E1151, LookUP_Table!$A$6:$D$7, 2, FALSE)</f>
        <v>Post Graduate</v>
      </c>
      <c r="G1151" t="str">
        <f>IFERROR(VLOOKUP(E1151, LookUP_Table!$A$1:$B$4, 2, FALSE), "")</f>
        <v>Post Graduate</v>
      </c>
      <c r="H1151">
        <v>0</v>
      </c>
      <c r="I1151">
        <v>0</v>
      </c>
      <c r="J1151" t="str">
        <f t="shared" si="102"/>
        <v>Non-Smoker</v>
      </c>
      <c r="K1151">
        <v>0</v>
      </c>
      <c r="L1151">
        <v>0</v>
      </c>
      <c r="M1151">
        <v>0</v>
      </c>
      <c r="N1151">
        <v>0</v>
      </c>
      <c r="O1151">
        <v>262</v>
      </c>
      <c r="P1151" t="str">
        <f t="shared" si="103"/>
        <v>High</v>
      </c>
      <c r="Q1151">
        <v>121</v>
      </c>
      <c r="R1151">
        <v>79</v>
      </c>
      <c r="S1151">
        <v>24.01</v>
      </c>
      <c r="T1151" t="str">
        <f t="shared" si="104"/>
        <v>Normal</v>
      </c>
      <c r="U1151">
        <v>85</v>
      </c>
      <c r="V1151">
        <v>87</v>
      </c>
      <c r="W1151" t="str">
        <f t="shared" si="107"/>
        <v>Normal</v>
      </c>
      <c r="X1151">
        <v>0</v>
      </c>
    </row>
    <row r="1152" spans="1:24" ht="14.5" thickBot="1" x14ac:dyDescent="0.35">
      <c r="A1152">
        <v>0</v>
      </c>
      <c r="B1152" t="str">
        <f t="shared" si="105"/>
        <v>Female</v>
      </c>
      <c r="C1152" s="8">
        <v>43</v>
      </c>
      <c r="D1152" t="str">
        <f t="shared" si="106"/>
        <v>Middle Age</v>
      </c>
      <c r="E1152">
        <v>1</v>
      </c>
      <c r="F1152" t="str">
        <f>HLOOKUP(E1152, LookUP_Table!$A$6:$D$7, 2, FALSE)</f>
        <v>Primary</v>
      </c>
      <c r="G1152" t="str">
        <f>IFERROR(VLOOKUP(E1152, LookUP_Table!$A$1:$B$4, 2, FALSE), "")</f>
        <v>Primary</v>
      </c>
      <c r="H1152">
        <v>1</v>
      </c>
      <c r="I1152">
        <v>10</v>
      </c>
      <c r="J1152" t="str">
        <f t="shared" si="102"/>
        <v>Smoker</v>
      </c>
      <c r="K1152">
        <v>0</v>
      </c>
      <c r="L1152">
        <v>0</v>
      </c>
      <c r="M1152">
        <v>0</v>
      </c>
      <c r="N1152">
        <v>0</v>
      </c>
      <c r="O1152">
        <v>216</v>
      </c>
      <c r="P1152" t="str">
        <f t="shared" si="103"/>
        <v>Normal</v>
      </c>
      <c r="Q1152">
        <v>116</v>
      </c>
      <c r="R1152">
        <v>74</v>
      </c>
      <c r="S1152">
        <v>22.65</v>
      </c>
      <c r="T1152" t="str">
        <f t="shared" si="104"/>
        <v>Normal</v>
      </c>
      <c r="U1152">
        <v>90</v>
      </c>
      <c r="V1152">
        <v>81.96365524402907</v>
      </c>
      <c r="W1152" t="str">
        <f t="shared" si="107"/>
        <v>Normal</v>
      </c>
      <c r="X1152">
        <v>0</v>
      </c>
    </row>
    <row r="1153" spans="1:24" ht="14.5" thickBot="1" x14ac:dyDescent="0.35">
      <c r="A1153">
        <v>1</v>
      </c>
      <c r="B1153" t="str">
        <f t="shared" si="105"/>
        <v>Male</v>
      </c>
      <c r="C1153" s="8">
        <v>43</v>
      </c>
      <c r="D1153" t="str">
        <f t="shared" si="106"/>
        <v>Middle Age</v>
      </c>
      <c r="E1153">
        <v>2</v>
      </c>
      <c r="F1153" t="str">
        <f>HLOOKUP(E1153, LookUP_Table!$A$6:$D$7, 2, FALSE)</f>
        <v>Secondary</v>
      </c>
      <c r="G1153" t="str">
        <f>IFERROR(VLOOKUP(E1153, LookUP_Table!$A$1:$B$4, 2, FALSE), "")</f>
        <v>Secondary</v>
      </c>
      <c r="H1153">
        <v>1</v>
      </c>
      <c r="I1153">
        <v>20</v>
      </c>
      <c r="J1153" t="str">
        <f t="shared" si="102"/>
        <v>Smoker</v>
      </c>
      <c r="K1153">
        <v>0</v>
      </c>
      <c r="L1153">
        <v>0</v>
      </c>
      <c r="M1153">
        <v>0</v>
      </c>
      <c r="N1153">
        <v>0</v>
      </c>
      <c r="O1153">
        <v>153</v>
      </c>
      <c r="P1153" t="str">
        <f t="shared" si="103"/>
        <v>Normal</v>
      </c>
      <c r="Q1153">
        <v>130</v>
      </c>
      <c r="R1153">
        <v>83.5</v>
      </c>
      <c r="S1153">
        <v>19.84</v>
      </c>
      <c r="T1153" t="str">
        <f t="shared" si="104"/>
        <v>Normal</v>
      </c>
      <c r="U1153">
        <v>63</v>
      </c>
      <c r="V1153">
        <v>81.96365524402907</v>
      </c>
      <c r="W1153" t="str">
        <f t="shared" si="107"/>
        <v>Normal</v>
      </c>
      <c r="X1153">
        <v>0</v>
      </c>
    </row>
    <row r="1154" spans="1:24" ht="14.5" thickBot="1" x14ac:dyDescent="0.35">
      <c r="A1154">
        <v>0</v>
      </c>
      <c r="B1154" t="str">
        <f t="shared" si="105"/>
        <v>Female</v>
      </c>
      <c r="C1154" s="8">
        <v>43</v>
      </c>
      <c r="D1154" t="str">
        <f t="shared" si="106"/>
        <v>Middle Age</v>
      </c>
      <c r="E1154">
        <v>2</v>
      </c>
      <c r="F1154" t="str">
        <f>HLOOKUP(E1154, LookUP_Table!$A$6:$D$7, 2, FALSE)</f>
        <v>Secondary</v>
      </c>
      <c r="G1154" t="str">
        <f>IFERROR(VLOOKUP(E1154, LookUP_Table!$A$1:$B$4, 2, FALSE), "")</f>
        <v>Secondary</v>
      </c>
      <c r="H1154">
        <v>1</v>
      </c>
      <c r="I1154">
        <v>15</v>
      </c>
      <c r="J1154" t="str">
        <f t="shared" ref="J1154:J1217" si="108">IF(I1154&gt;0,"Smoker","Non-Smoker")</f>
        <v>Smoker</v>
      </c>
      <c r="K1154">
        <v>0</v>
      </c>
      <c r="L1154">
        <v>0</v>
      </c>
      <c r="M1154">
        <v>1</v>
      </c>
      <c r="N1154">
        <v>0</v>
      </c>
      <c r="O1154">
        <v>174</v>
      </c>
      <c r="P1154" t="str">
        <f t="shared" ref="P1154:P1217" si="109">IF(O1154&gt;240,"High","Normal")</f>
        <v>Normal</v>
      </c>
      <c r="Q1154">
        <v>158.5</v>
      </c>
      <c r="R1154">
        <v>100.5</v>
      </c>
      <c r="S1154">
        <v>35.99</v>
      </c>
      <c r="T1154" t="str">
        <f t="shared" ref="T1154:T1217" si="110">IF(S1154&lt;18.5,"Underweight",
IF(S1154&lt;25,"Normal",
IF(S1154&lt;30,"Overweight","Obese")))</f>
        <v>Obese</v>
      </c>
      <c r="U1154">
        <v>82</v>
      </c>
      <c r="V1154">
        <v>88</v>
      </c>
      <c r="W1154" t="str">
        <f t="shared" si="107"/>
        <v>Normal</v>
      </c>
      <c r="X1154">
        <v>0</v>
      </c>
    </row>
    <row r="1155" spans="1:24" ht="14.5" thickBot="1" x14ac:dyDescent="0.35">
      <c r="A1155">
        <v>1</v>
      </c>
      <c r="B1155" t="str">
        <f t="shared" ref="B1155:B1218" si="111">IF(A1155=0,"Female","Male")</f>
        <v>Male</v>
      </c>
      <c r="C1155" s="8">
        <v>43</v>
      </c>
      <c r="D1155" t="str">
        <f t="shared" ref="D1155:D1218" si="112">IF(C1155&lt;40,"Young",
IF(C1155&lt;55,"Middle Age","Senior"))</f>
        <v>Middle Age</v>
      </c>
      <c r="E1155">
        <v>1</v>
      </c>
      <c r="F1155" t="str">
        <f>HLOOKUP(E1155, LookUP_Table!$A$6:$D$7, 2, FALSE)</f>
        <v>Primary</v>
      </c>
      <c r="G1155" t="str">
        <f>IFERROR(VLOOKUP(E1155, LookUP_Table!$A$1:$B$4, 2, FALSE), "")</f>
        <v>Primary</v>
      </c>
      <c r="H1155">
        <v>1</v>
      </c>
      <c r="I1155">
        <v>25</v>
      </c>
      <c r="J1155" t="str">
        <f t="shared" si="108"/>
        <v>Smoker</v>
      </c>
      <c r="K1155">
        <v>0</v>
      </c>
      <c r="L1155">
        <v>0</v>
      </c>
      <c r="M1155">
        <v>0</v>
      </c>
      <c r="N1155">
        <v>0</v>
      </c>
      <c r="O1155">
        <v>201</v>
      </c>
      <c r="P1155" t="str">
        <f t="shared" si="109"/>
        <v>Normal</v>
      </c>
      <c r="Q1155">
        <v>121</v>
      </c>
      <c r="R1155">
        <v>82</v>
      </c>
      <c r="S1155">
        <v>23.84</v>
      </c>
      <c r="T1155" t="str">
        <f t="shared" si="110"/>
        <v>Normal</v>
      </c>
      <c r="U1155">
        <v>70</v>
      </c>
      <c r="V1155">
        <v>91</v>
      </c>
      <c r="W1155" t="str">
        <f t="shared" ref="W1155:W1218" si="113">IF(V1155 &lt; 100, "Normal", IF(V1155 &lt;= 125, "Prediabetes", "Diabetes"))</f>
        <v>Normal</v>
      </c>
      <c r="X1155">
        <v>0</v>
      </c>
    </row>
    <row r="1156" spans="1:24" ht="14.5" thickBot="1" x14ac:dyDescent="0.35">
      <c r="A1156">
        <v>0</v>
      </c>
      <c r="B1156" t="str">
        <f t="shared" si="111"/>
        <v>Female</v>
      </c>
      <c r="C1156" s="8">
        <v>43</v>
      </c>
      <c r="D1156" t="str">
        <f t="shared" si="112"/>
        <v>Middle Age</v>
      </c>
      <c r="E1156">
        <v>3</v>
      </c>
      <c r="F1156" t="str">
        <f>HLOOKUP(E1156, LookUP_Table!$A$6:$D$7, 2, FALSE)</f>
        <v>Graduate</v>
      </c>
      <c r="G1156" t="str">
        <f>IFERROR(VLOOKUP(E1156, LookUP_Table!$A$1:$B$4, 2, FALSE), "")</f>
        <v>Graduate</v>
      </c>
      <c r="H1156">
        <v>1</v>
      </c>
      <c r="I1156">
        <v>20</v>
      </c>
      <c r="J1156" t="str">
        <f t="shared" si="108"/>
        <v>Smoker</v>
      </c>
      <c r="K1156">
        <v>0</v>
      </c>
      <c r="L1156">
        <v>0</v>
      </c>
      <c r="M1156">
        <v>0</v>
      </c>
      <c r="N1156">
        <v>0</v>
      </c>
      <c r="O1156">
        <v>232</v>
      </c>
      <c r="P1156" t="str">
        <f t="shared" si="109"/>
        <v>Normal</v>
      </c>
      <c r="Q1156">
        <v>122</v>
      </c>
      <c r="R1156">
        <v>70</v>
      </c>
      <c r="S1156">
        <v>23.09</v>
      </c>
      <c r="T1156" t="str">
        <f t="shared" si="110"/>
        <v>Normal</v>
      </c>
      <c r="U1156">
        <v>67</v>
      </c>
      <c r="V1156">
        <v>77</v>
      </c>
      <c r="W1156" t="str">
        <f t="shared" si="113"/>
        <v>Normal</v>
      </c>
      <c r="X1156">
        <v>0</v>
      </c>
    </row>
    <row r="1157" spans="1:24" ht="14.5" thickBot="1" x14ac:dyDescent="0.35">
      <c r="A1157">
        <v>0</v>
      </c>
      <c r="B1157" t="str">
        <f t="shared" si="111"/>
        <v>Female</v>
      </c>
      <c r="C1157" s="8">
        <v>43</v>
      </c>
      <c r="D1157" t="str">
        <f t="shared" si="112"/>
        <v>Middle Age</v>
      </c>
      <c r="E1157">
        <v>2</v>
      </c>
      <c r="F1157" t="str">
        <f>HLOOKUP(E1157, LookUP_Table!$A$6:$D$7, 2, FALSE)</f>
        <v>Secondary</v>
      </c>
      <c r="G1157" t="str">
        <f>IFERROR(VLOOKUP(E1157, LookUP_Table!$A$1:$B$4, 2, FALSE), "")</f>
        <v>Secondary</v>
      </c>
      <c r="H1157">
        <v>1</v>
      </c>
      <c r="I1157">
        <v>20</v>
      </c>
      <c r="J1157" t="str">
        <f t="shared" si="108"/>
        <v>Smoker</v>
      </c>
      <c r="K1157">
        <v>0</v>
      </c>
      <c r="L1157">
        <v>0</v>
      </c>
      <c r="M1157">
        <v>0</v>
      </c>
      <c r="N1157">
        <v>0</v>
      </c>
      <c r="O1157">
        <v>195</v>
      </c>
      <c r="P1157" t="str">
        <f t="shared" si="109"/>
        <v>Normal</v>
      </c>
      <c r="Q1157">
        <v>104</v>
      </c>
      <c r="R1157">
        <v>57</v>
      </c>
      <c r="S1157">
        <v>20.86</v>
      </c>
      <c r="T1157" t="str">
        <f t="shared" si="110"/>
        <v>Normal</v>
      </c>
      <c r="U1157">
        <v>75</v>
      </c>
      <c r="V1157">
        <v>78</v>
      </c>
      <c r="W1157" t="str">
        <f t="shared" si="113"/>
        <v>Normal</v>
      </c>
      <c r="X1157">
        <v>0</v>
      </c>
    </row>
    <row r="1158" spans="1:24" ht="14.5" thickBot="1" x14ac:dyDescent="0.35">
      <c r="A1158">
        <v>0</v>
      </c>
      <c r="B1158" t="str">
        <f t="shared" si="111"/>
        <v>Female</v>
      </c>
      <c r="C1158" s="8">
        <v>43</v>
      </c>
      <c r="D1158" t="str">
        <f t="shared" si="112"/>
        <v>Middle Age</v>
      </c>
      <c r="E1158">
        <v>2</v>
      </c>
      <c r="F1158" t="str">
        <f>HLOOKUP(E1158, LookUP_Table!$A$6:$D$7, 2, FALSE)</f>
        <v>Secondary</v>
      </c>
      <c r="G1158" t="str">
        <f>IFERROR(VLOOKUP(E1158, LookUP_Table!$A$1:$B$4, 2, FALSE), "")</f>
        <v>Secondary</v>
      </c>
      <c r="H1158">
        <v>0</v>
      </c>
      <c r="I1158">
        <v>0</v>
      </c>
      <c r="J1158" t="str">
        <f t="shared" si="108"/>
        <v>Non-Smoker</v>
      </c>
      <c r="K1158">
        <v>0</v>
      </c>
      <c r="L1158">
        <v>0</v>
      </c>
      <c r="M1158">
        <v>0</v>
      </c>
      <c r="N1158">
        <v>0</v>
      </c>
      <c r="O1158">
        <v>213</v>
      </c>
      <c r="P1158" t="str">
        <f t="shared" si="109"/>
        <v>Normal</v>
      </c>
      <c r="Q1158">
        <v>96</v>
      </c>
      <c r="R1158">
        <v>62</v>
      </c>
      <c r="S1158">
        <v>19.38</v>
      </c>
      <c r="T1158" t="str">
        <f t="shared" si="110"/>
        <v>Normal</v>
      </c>
      <c r="U1158">
        <v>74</v>
      </c>
      <c r="V1158">
        <v>80</v>
      </c>
      <c r="W1158" t="str">
        <f t="shared" si="113"/>
        <v>Normal</v>
      </c>
      <c r="X1158">
        <v>0</v>
      </c>
    </row>
    <row r="1159" spans="1:24" ht="14.5" thickBot="1" x14ac:dyDescent="0.35">
      <c r="A1159">
        <v>0</v>
      </c>
      <c r="B1159" t="str">
        <f t="shared" si="111"/>
        <v>Female</v>
      </c>
      <c r="C1159" s="8">
        <v>43</v>
      </c>
      <c r="D1159" t="str">
        <f t="shared" si="112"/>
        <v>Middle Age</v>
      </c>
      <c r="E1159">
        <v>2</v>
      </c>
      <c r="F1159" t="str">
        <f>HLOOKUP(E1159, LookUP_Table!$A$6:$D$7, 2, FALSE)</f>
        <v>Secondary</v>
      </c>
      <c r="G1159" t="str">
        <f>IFERROR(VLOOKUP(E1159, LookUP_Table!$A$1:$B$4, 2, FALSE), "")</f>
        <v>Secondary</v>
      </c>
      <c r="H1159">
        <v>0</v>
      </c>
      <c r="I1159">
        <v>0</v>
      </c>
      <c r="J1159" t="str">
        <f t="shared" si="108"/>
        <v>Non-Smoker</v>
      </c>
      <c r="K1159">
        <v>0</v>
      </c>
      <c r="L1159">
        <v>0</v>
      </c>
      <c r="M1159">
        <v>0</v>
      </c>
      <c r="N1159">
        <v>0</v>
      </c>
      <c r="O1159">
        <v>255</v>
      </c>
      <c r="P1159" t="str">
        <f t="shared" si="109"/>
        <v>High</v>
      </c>
      <c r="Q1159">
        <v>130</v>
      </c>
      <c r="R1159">
        <v>85</v>
      </c>
      <c r="S1159">
        <v>29.56</v>
      </c>
      <c r="T1159" t="str">
        <f t="shared" si="110"/>
        <v>Overweight</v>
      </c>
      <c r="U1159">
        <v>80</v>
      </c>
      <c r="V1159">
        <v>78</v>
      </c>
      <c r="W1159" t="str">
        <f t="shared" si="113"/>
        <v>Normal</v>
      </c>
      <c r="X1159">
        <v>0</v>
      </c>
    </row>
    <row r="1160" spans="1:24" ht="14.5" thickBot="1" x14ac:dyDescent="0.35">
      <c r="A1160">
        <v>0</v>
      </c>
      <c r="B1160" t="str">
        <f t="shared" si="111"/>
        <v>Female</v>
      </c>
      <c r="C1160" s="8">
        <v>43</v>
      </c>
      <c r="D1160" t="str">
        <f t="shared" si="112"/>
        <v>Middle Age</v>
      </c>
      <c r="E1160">
        <v>4</v>
      </c>
      <c r="F1160" t="str">
        <f>HLOOKUP(E1160, LookUP_Table!$A$6:$D$7, 2, FALSE)</f>
        <v>Post Graduate</v>
      </c>
      <c r="G1160" t="str">
        <f>IFERROR(VLOOKUP(E1160, LookUP_Table!$A$1:$B$4, 2, FALSE), "")</f>
        <v>Post Graduate</v>
      </c>
      <c r="H1160">
        <v>0</v>
      </c>
      <c r="I1160">
        <v>0</v>
      </c>
      <c r="J1160" t="str">
        <f t="shared" si="108"/>
        <v>Non-Smoker</v>
      </c>
      <c r="K1160">
        <v>0</v>
      </c>
      <c r="L1160">
        <v>0</v>
      </c>
      <c r="M1160">
        <v>0</v>
      </c>
      <c r="N1160">
        <v>0</v>
      </c>
      <c r="O1160">
        <v>240</v>
      </c>
      <c r="P1160" t="str">
        <f t="shared" si="109"/>
        <v>Normal</v>
      </c>
      <c r="Q1160">
        <v>110.5</v>
      </c>
      <c r="R1160">
        <v>66</v>
      </c>
      <c r="S1160">
        <v>24.09</v>
      </c>
      <c r="T1160" t="str">
        <f t="shared" si="110"/>
        <v>Normal</v>
      </c>
      <c r="U1160">
        <v>67</v>
      </c>
      <c r="V1160">
        <v>80</v>
      </c>
      <c r="W1160" t="str">
        <f t="shared" si="113"/>
        <v>Normal</v>
      </c>
      <c r="X1160">
        <v>0</v>
      </c>
    </row>
    <row r="1161" spans="1:24" ht="14.5" thickBot="1" x14ac:dyDescent="0.35">
      <c r="A1161">
        <v>0</v>
      </c>
      <c r="B1161" t="str">
        <f t="shared" si="111"/>
        <v>Female</v>
      </c>
      <c r="C1161" s="8">
        <v>43</v>
      </c>
      <c r="D1161" t="str">
        <f t="shared" si="112"/>
        <v>Middle Age</v>
      </c>
      <c r="E1161">
        <v>1</v>
      </c>
      <c r="F1161" t="str">
        <f>HLOOKUP(E1161, LookUP_Table!$A$6:$D$7, 2, FALSE)</f>
        <v>Primary</v>
      </c>
      <c r="G1161" t="str">
        <f>IFERROR(VLOOKUP(E1161, LookUP_Table!$A$1:$B$4, 2, FALSE), "")</f>
        <v>Primary</v>
      </c>
      <c r="H1161">
        <v>0</v>
      </c>
      <c r="I1161">
        <v>0</v>
      </c>
      <c r="J1161" t="str">
        <f t="shared" si="108"/>
        <v>Non-Smoker</v>
      </c>
      <c r="K1161">
        <v>0</v>
      </c>
      <c r="L1161">
        <v>0</v>
      </c>
      <c r="M1161">
        <v>1</v>
      </c>
      <c r="N1161">
        <v>1</v>
      </c>
      <c r="O1161">
        <v>231</v>
      </c>
      <c r="P1161" t="str">
        <f t="shared" si="109"/>
        <v>Normal</v>
      </c>
      <c r="Q1161">
        <v>155.5</v>
      </c>
      <c r="R1161">
        <v>99.5</v>
      </c>
      <c r="S1161">
        <v>34.950000000000003</v>
      </c>
      <c r="T1161" t="str">
        <f t="shared" si="110"/>
        <v>Obese</v>
      </c>
      <c r="U1161">
        <v>68</v>
      </c>
      <c r="V1161">
        <v>274</v>
      </c>
      <c r="W1161" t="str">
        <f t="shared" si="113"/>
        <v>Diabetes</v>
      </c>
      <c r="X1161">
        <v>1</v>
      </c>
    </row>
    <row r="1162" spans="1:24" ht="14.5" thickBot="1" x14ac:dyDescent="0.35">
      <c r="A1162">
        <v>1</v>
      </c>
      <c r="B1162" t="str">
        <f t="shared" si="111"/>
        <v>Male</v>
      </c>
      <c r="C1162" s="8">
        <v>43</v>
      </c>
      <c r="D1162" t="str">
        <f t="shared" si="112"/>
        <v>Middle Age</v>
      </c>
      <c r="E1162">
        <v>4</v>
      </c>
      <c r="F1162" t="str">
        <f>HLOOKUP(E1162, LookUP_Table!$A$6:$D$7, 2, FALSE)</f>
        <v>Post Graduate</v>
      </c>
      <c r="G1162" t="str">
        <f>IFERROR(VLOOKUP(E1162, LookUP_Table!$A$1:$B$4, 2, FALSE), "")</f>
        <v>Post Graduate</v>
      </c>
      <c r="H1162">
        <v>1</v>
      </c>
      <c r="I1162">
        <v>20</v>
      </c>
      <c r="J1162" t="str">
        <f t="shared" si="108"/>
        <v>Smoker</v>
      </c>
      <c r="K1162">
        <v>0</v>
      </c>
      <c r="L1162">
        <v>0</v>
      </c>
      <c r="M1162">
        <v>0</v>
      </c>
      <c r="N1162">
        <v>0</v>
      </c>
      <c r="O1162">
        <v>202</v>
      </c>
      <c r="P1162" t="str">
        <f t="shared" si="109"/>
        <v>Normal</v>
      </c>
      <c r="Q1162">
        <v>104</v>
      </c>
      <c r="R1162">
        <v>69</v>
      </c>
      <c r="S1162">
        <v>25.82</v>
      </c>
      <c r="T1162" t="str">
        <f t="shared" si="110"/>
        <v>Overweight</v>
      </c>
      <c r="U1162">
        <v>59</v>
      </c>
      <c r="V1162">
        <v>63</v>
      </c>
      <c r="W1162" t="str">
        <f t="shared" si="113"/>
        <v>Normal</v>
      </c>
      <c r="X1162">
        <v>0</v>
      </c>
    </row>
    <row r="1163" spans="1:24" ht="14.5" thickBot="1" x14ac:dyDescent="0.35">
      <c r="A1163">
        <v>0</v>
      </c>
      <c r="B1163" t="str">
        <f t="shared" si="111"/>
        <v>Female</v>
      </c>
      <c r="C1163" s="8">
        <v>43</v>
      </c>
      <c r="D1163" t="str">
        <f t="shared" si="112"/>
        <v>Middle Age</v>
      </c>
      <c r="E1163">
        <v>1</v>
      </c>
      <c r="F1163" t="str">
        <f>HLOOKUP(E1163, LookUP_Table!$A$6:$D$7, 2, FALSE)</f>
        <v>Primary</v>
      </c>
      <c r="G1163" t="str">
        <f>IFERROR(VLOOKUP(E1163, LookUP_Table!$A$1:$B$4, 2, FALSE), "")</f>
        <v>Primary</v>
      </c>
      <c r="H1163">
        <v>1</v>
      </c>
      <c r="I1163">
        <v>20</v>
      </c>
      <c r="J1163" t="str">
        <f t="shared" si="108"/>
        <v>Smoker</v>
      </c>
      <c r="K1163">
        <v>0</v>
      </c>
      <c r="L1163">
        <v>0</v>
      </c>
      <c r="M1163">
        <v>0</v>
      </c>
      <c r="N1163">
        <v>0</v>
      </c>
      <c r="O1163">
        <v>259</v>
      </c>
      <c r="P1163" t="str">
        <f t="shared" si="109"/>
        <v>High</v>
      </c>
      <c r="Q1163">
        <v>120</v>
      </c>
      <c r="R1163">
        <v>87</v>
      </c>
      <c r="S1163">
        <v>19.88</v>
      </c>
      <c r="T1163" t="str">
        <f t="shared" si="110"/>
        <v>Normal</v>
      </c>
      <c r="U1163">
        <v>86</v>
      </c>
      <c r="V1163">
        <v>71</v>
      </c>
      <c r="W1163" t="str">
        <f t="shared" si="113"/>
        <v>Normal</v>
      </c>
      <c r="X1163">
        <v>0</v>
      </c>
    </row>
    <row r="1164" spans="1:24" ht="14.5" thickBot="1" x14ac:dyDescent="0.35">
      <c r="A1164">
        <v>0</v>
      </c>
      <c r="B1164" t="str">
        <f t="shared" si="111"/>
        <v>Female</v>
      </c>
      <c r="C1164" s="8">
        <v>43</v>
      </c>
      <c r="D1164" t="str">
        <f t="shared" si="112"/>
        <v>Middle Age</v>
      </c>
      <c r="E1164">
        <v>2</v>
      </c>
      <c r="F1164" t="str">
        <f>HLOOKUP(E1164, LookUP_Table!$A$6:$D$7, 2, FALSE)</f>
        <v>Secondary</v>
      </c>
      <c r="G1164" t="str">
        <f>IFERROR(VLOOKUP(E1164, LookUP_Table!$A$1:$B$4, 2, FALSE), "")</f>
        <v>Secondary</v>
      </c>
      <c r="H1164">
        <v>0</v>
      </c>
      <c r="I1164">
        <v>0</v>
      </c>
      <c r="J1164" t="str">
        <f t="shared" si="108"/>
        <v>Non-Smoker</v>
      </c>
      <c r="K1164">
        <v>0</v>
      </c>
      <c r="L1164">
        <v>0</v>
      </c>
      <c r="M1164">
        <v>1</v>
      </c>
      <c r="N1164">
        <v>0</v>
      </c>
      <c r="O1164">
        <v>170</v>
      </c>
      <c r="P1164" t="str">
        <f t="shared" si="109"/>
        <v>Normal</v>
      </c>
      <c r="Q1164">
        <v>134</v>
      </c>
      <c r="R1164">
        <v>90</v>
      </c>
      <c r="S1164">
        <v>32.93</v>
      </c>
      <c r="T1164" t="str">
        <f t="shared" si="110"/>
        <v>Obese</v>
      </c>
      <c r="U1164">
        <v>95</v>
      </c>
      <c r="V1164">
        <v>73</v>
      </c>
      <c r="W1164" t="str">
        <f t="shared" si="113"/>
        <v>Normal</v>
      </c>
      <c r="X1164">
        <v>0</v>
      </c>
    </row>
    <row r="1165" spans="1:24" ht="14.5" thickBot="1" x14ac:dyDescent="0.35">
      <c r="A1165">
        <v>0</v>
      </c>
      <c r="B1165" t="str">
        <f t="shared" si="111"/>
        <v>Female</v>
      </c>
      <c r="C1165" s="8">
        <v>43</v>
      </c>
      <c r="D1165" t="str">
        <f t="shared" si="112"/>
        <v>Middle Age</v>
      </c>
      <c r="E1165">
        <v>4</v>
      </c>
      <c r="F1165" t="str">
        <f>HLOOKUP(E1165, LookUP_Table!$A$6:$D$7, 2, FALSE)</f>
        <v>Post Graduate</v>
      </c>
      <c r="G1165" t="str">
        <f>IFERROR(VLOOKUP(E1165, LookUP_Table!$A$1:$B$4, 2, FALSE), "")</f>
        <v>Post Graduate</v>
      </c>
      <c r="H1165">
        <v>1</v>
      </c>
      <c r="I1165">
        <v>15</v>
      </c>
      <c r="J1165" t="str">
        <f t="shared" si="108"/>
        <v>Smoker</v>
      </c>
      <c r="K1165">
        <v>0</v>
      </c>
      <c r="L1165">
        <v>0</v>
      </c>
      <c r="M1165">
        <v>0</v>
      </c>
      <c r="N1165">
        <v>0</v>
      </c>
      <c r="O1165">
        <v>203</v>
      </c>
      <c r="P1165" t="str">
        <f t="shared" si="109"/>
        <v>Normal</v>
      </c>
      <c r="Q1165">
        <v>110</v>
      </c>
      <c r="R1165">
        <v>71.5</v>
      </c>
      <c r="S1165">
        <v>24.56</v>
      </c>
      <c r="T1165" t="str">
        <f t="shared" si="110"/>
        <v>Normal</v>
      </c>
      <c r="U1165">
        <v>96</v>
      </c>
      <c r="V1165">
        <v>65</v>
      </c>
      <c r="W1165" t="str">
        <f t="shared" si="113"/>
        <v>Normal</v>
      </c>
      <c r="X1165">
        <v>0</v>
      </c>
    </row>
    <row r="1166" spans="1:24" ht="14.5" thickBot="1" x14ac:dyDescent="0.35">
      <c r="A1166">
        <v>0</v>
      </c>
      <c r="B1166" t="str">
        <f t="shared" si="111"/>
        <v>Female</v>
      </c>
      <c r="C1166" s="8">
        <v>43</v>
      </c>
      <c r="D1166" t="str">
        <f t="shared" si="112"/>
        <v>Middle Age</v>
      </c>
      <c r="E1166">
        <v>3</v>
      </c>
      <c r="F1166" t="str">
        <f>HLOOKUP(E1166, LookUP_Table!$A$6:$D$7, 2, FALSE)</f>
        <v>Graduate</v>
      </c>
      <c r="G1166" t="str">
        <f>IFERROR(VLOOKUP(E1166, LookUP_Table!$A$1:$B$4, 2, FALSE), "")</f>
        <v>Graduate</v>
      </c>
      <c r="H1166">
        <v>1</v>
      </c>
      <c r="I1166">
        <v>1</v>
      </c>
      <c r="J1166" t="str">
        <f t="shared" si="108"/>
        <v>Smoker</v>
      </c>
      <c r="K1166">
        <v>0</v>
      </c>
      <c r="L1166">
        <v>0</v>
      </c>
      <c r="M1166">
        <v>0</v>
      </c>
      <c r="N1166">
        <v>0</v>
      </c>
      <c r="O1166">
        <v>270</v>
      </c>
      <c r="P1166" t="str">
        <f t="shared" si="109"/>
        <v>High</v>
      </c>
      <c r="Q1166">
        <v>145.5</v>
      </c>
      <c r="R1166">
        <v>82</v>
      </c>
      <c r="S1166">
        <v>21.1</v>
      </c>
      <c r="T1166" t="str">
        <f t="shared" si="110"/>
        <v>Normal</v>
      </c>
      <c r="U1166">
        <v>80</v>
      </c>
      <c r="V1166">
        <v>87</v>
      </c>
      <c r="W1166" t="str">
        <f t="shared" si="113"/>
        <v>Normal</v>
      </c>
      <c r="X1166">
        <v>0</v>
      </c>
    </row>
    <row r="1167" spans="1:24" ht="14.5" thickBot="1" x14ac:dyDescent="0.35">
      <c r="A1167">
        <v>0</v>
      </c>
      <c r="B1167" t="str">
        <f t="shared" si="111"/>
        <v>Female</v>
      </c>
      <c r="C1167" s="8">
        <v>43</v>
      </c>
      <c r="D1167" t="str">
        <f t="shared" si="112"/>
        <v>Middle Age</v>
      </c>
      <c r="E1167">
        <v>3</v>
      </c>
      <c r="F1167" t="str">
        <f>HLOOKUP(E1167, LookUP_Table!$A$6:$D$7, 2, FALSE)</f>
        <v>Graduate</v>
      </c>
      <c r="G1167" t="str">
        <f>IFERROR(VLOOKUP(E1167, LookUP_Table!$A$1:$B$4, 2, FALSE), "")</f>
        <v>Graduate</v>
      </c>
      <c r="H1167">
        <v>1</v>
      </c>
      <c r="I1167">
        <v>5</v>
      </c>
      <c r="J1167" t="str">
        <f t="shared" si="108"/>
        <v>Smoker</v>
      </c>
      <c r="K1167">
        <v>0</v>
      </c>
      <c r="L1167">
        <v>0</v>
      </c>
      <c r="M1167">
        <v>0</v>
      </c>
      <c r="N1167">
        <v>0</v>
      </c>
      <c r="O1167">
        <v>250</v>
      </c>
      <c r="P1167" t="str">
        <f t="shared" si="109"/>
        <v>High</v>
      </c>
      <c r="Q1167">
        <v>110</v>
      </c>
      <c r="R1167">
        <v>70</v>
      </c>
      <c r="S1167">
        <v>21.14</v>
      </c>
      <c r="T1167" t="str">
        <f t="shared" si="110"/>
        <v>Normal</v>
      </c>
      <c r="U1167">
        <v>64</v>
      </c>
      <c r="V1167">
        <v>85</v>
      </c>
      <c r="W1167" t="str">
        <f t="shared" si="113"/>
        <v>Normal</v>
      </c>
      <c r="X1167">
        <v>0</v>
      </c>
    </row>
    <row r="1168" spans="1:24" ht="14.5" thickBot="1" x14ac:dyDescent="0.35">
      <c r="A1168">
        <v>0</v>
      </c>
      <c r="B1168" t="str">
        <f t="shared" si="111"/>
        <v>Female</v>
      </c>
      <c r="C1168" s="8">
        <v>43</v>
      </c>
      <c r="D1168" t="str">
        <f t="shared" si="112"/>
        <v>Middle Age</v>
      </c>
      <c r="E1168">
        <v>2</v>
      </c>
      <c r="F1168" t="str">
        <f>HLOOKUP(E1168, LookUP_Table!$A$6:$D$7, 2, FALSE)</f>
        <v>Secondary</v>
      </c>
      <c r="G1168" t="str">
        <f>IFERROR(VLOOKUP(E1168, LookUP_Table!$A$1:$B$4, 2, FALSE), "")</f>
        <v>Secondary</v>
      </c>
      <c r="H1168">
        <v>0</v>
      </c>
      <c r="I1168">
        <v>0</v>
      </c>
      <c r="J1168" t="str">
        <f t="shared" si="108"/>
        <v>Non-Smoker</v>
      </c>
      <c r="K1168">
        <v>0</v>
      </c>
      <c r="L1168">
        <v>0</v>
      </c>
      <c r="M1168">
        <v>0</v>
      </c>
      <c r="N1168">
        <v>0</v>
      </c>
      <c r="O1168">
        <v>190</v>
      </c>
      <c r="P1168" t="str">
        <f t="shared" si="109"/>
        <v>Normal</v>
      </c>
      <c r="Q1168">
        <v>111</v>
      </c>
      <c r="R1168">
        <v>74</v>
      </c>
      <c r="S1168">
        <v>24.47</v>
      </c>
      <c r="T1168" t="str">
        <f t="shared" si="110"/>
        <v>Normal</v>
      </c>
      <c r="U1168">
        <v>72</v>
      </c>
      <c r="V1168">
        <v>81.96365524402907</v>
      </c>
      <c r="W1168" t="str">
        <f t="shared" si="113"/>
        <v>Normal</v>
      </c>
      <c r="X1168">
        <v>0</v>
      </c>
    </row>
    <row r="1169" spans="1:24" ht="14.5" thickBot="1" x14ac:dyDescent="0.35">
      <c r="A1169">
        <v>1</v>
      </c>
      <c r="B1169" t="str">
        <f t="shared" si="111"/>
        <v>Male</v>
      </c>
      <c r="C1169" s="8">
        <v>43</v>
      </c>
      <c r="D1169" t="str">
        <f t="shared" si="112"/>
        <v>Middle Age</v>
      </c>
      <c r="E1169">
        <v>4</v>
      </c>
      <c r="F1169" t="str">
        <f>HLOOKUP(E1169, LookUP_Table!$A$6:$D$7, 2, FALSE)</f>
        <v>Post Graduate</v>
      </c>
      <c r="G1169" t="str">
        <f>IFERROR(VLOOKUP(E1169, LookUP_Table!$A$1:$B$4, 2, FALSE), "")</f>
        <v>Post Graduate</v>
      </c>
      <c r="H1169">
        <v>1</v>
      </c>
      <c r="I1169">
        <v>40</v>
      </c>
      <c r="J1169" t="str">
        <f t="shared" si="108"/>
        <v>Smoker</v>
      </c>
      <c r="K1169">
        <v>0</v>
      </c>
      <c r="L1169">
        <v>0</v>
      </c>
      <c r="M1169">
        <v>0</v>
      </c>
      <c r="N1169">
        <v>0</v>
      </c>
      <c r="O1169">
        <v>226</v>
      </c>
      <c r="P1169" t="str">
        <f t="shared" si="109"/>
        <v>Normal</v>
      </c>
      <c r="Q1169">
        <v>103.5</v>
      </c>
      <c r="R1169">
        <v>60</v>
      </c>
      <c r="S1169">
        <v>26.11</v>
      </c>
      <c r="T1169" t="str">
        <f t="shared" si="110"/>
        <v>Overweight</v>
      </c>
      <c r="U1169">
        <v>90</v>
      </c>
      <c r="V1169">
        <v>67</v>
      </c>
      <c r="W1169" t="str">
        <f t="shared" si="113"/>
        <v>Normal</v>
      </c>
      <c r="X1169">
        <v>1</v>
      </c>
    </row>
    <row r="1170" spans="1:24" ht="14.5" thickBot="1" x14ac:dyDescent="0.35">
      <c r="A1170">
        <v>1</v>
      </c>
      <c r="B1170" t="str">
        <f t="shared" si="111"/>
        <v>Male</v>
      </c>
      <c r="C1170" s="8">
        <v>43</v>
      </c>
      <c r="D1170" t="str">
        <f t="shared" si="112"/>
        <v>Middle Age</v>
      </c>
      <c r="E1170">
        <v>3</v>
      </c>
      <c r="F1170" t="str">
        <f>HLOOKUP(E1170, LookUP_Table!$A$6:$D$7, 2, FALSE)</f>
        <v>Graduate</v>
      </c>
      <c r="G1170" t="str">
        <f>IFERROR(VLOOKUP(E1170, LookUP_Table!$A$1:$B$4, 2, FALSE), "")</f>
        <v>Graduate</v>
      </c>
      <c r="H1170">
        <v>1</v>
      </c>
      <c r="I1170">
        <v>15</v>
      </c>
      <c r="J1170" t="str">
        <f t="shared" si="108"/>
        <v>Smoker</v>
      </c>
      <c r="K1170">
        <v>0</v>
      </c>
      <c r="L1170">
        <v>0</v>
      </c>
      <c r="M1170">
        <v>0</v>
      </c>
      <c r="N1170">
        <v>0</v>
      </c>
      <c r="O1170">
        <v>224</v>
      </c>
      <c r="P1170" t="str">
        <f t="shared" si="109"/>
        <v>Normal</v>
      </c>
      <c r="Q1170">
        <v>97</v>
      </c>
      <c r="R1170">
        <v>64</v>
      </c>
      <c r="S1170">
        <v>23.05</v>
      </c>
      <c r="T1170" t="str">
        <f t="shared" si="110"/>
        <v>Normal</v>
      </c>
      <c r="U1170">
        <v>75</v>
      </c>
      <c r="V1170">
        <v>68</v>
      </c>
      <c r="W1170" t="str">
        <f t="shared" si="113"/>
        <v>Normal</v>
      </c>
      <c r="X1170">
        <v>0</v>
      </c>
    </row>
    <row r="1171" spans="1:24" ht="14.5" thickBot="1" x14ac:dyDescent="0.35">
      <c r="A1171">
        <v>1</v>
      </c>
      <c r="B1171" t="str">
        <f t="shared" si="111"/>
        <v>Male</v>
      </c>
      <c r="C1171" s="8">
        <v>43</v>
      </c>
      <c r="D1171" t="str">
        <f t="shared" si="112"/>
        <v>Middle Age</v>
      </c>
      <c r="E1171">
        <v>1</v>
      </c>
      <c r="F1171" t="str">
        <f>HLOOKUP(E1171, LookUP_Table!$A$6:$D$7, 2, FALSE)</f>
        <v>Primary</v>
      </c>
      <c r="G1171" t="str">
        <f>IFERROR(VLOOKUP(E1171, LookUP_Table!$A$1:$B$4, 2, FALSE), "")</f>
        <v>Primary</v>
      </c>
      <c r="H1171">
        <v>1</v>
      </c>
      <c r="I1171">
        <v>20</v>
      </c>
      <c r="J1171" t="str">
        <f t="shared" si="108"/>
        <v>Smoker</v>
      </c>
      <c r="K1171">
        <v>0</v>
      </c>
      <c r="L1171">
        <v>0</v>
      </c>
      <c r="M1171">
        <v>0</v>
      </c>
      <c r="N1171">
        <v>0</v>
      </c>
      <c r="O1171">
        <v>180</v>
      </c>
      <c r="P1171" t="str">
        <f t="shared" si="109"/>
        <v>Normal</v>
      </c>
      <c r="Q1171">
        <v>131</v>
      </c>
      <c r="R1171">
        <v>92</v>
      </c>
      <c r="S1171">
        <v>27.18</v>
      </c>
      <c r="T1171" t="str">
        <f t="shared" si="110"/>
        <v>Overweight</v>
      </c>
      <c r="U1171">
        <v>65</v>
      </c>
      <c r="V1171">
        <v>85</v>
      </c>
      <c r="W1171" t="str">
        <f t="shared" si="113"/>
        <v>Normal</v>
      </c>
      <c r="X1171">
        <v>1</v>
      </c>
    </row>
    <row r="1172" spans="1:24" ht="14.5" thickBot="1" x14ac:dyDescent="0.35">
      <c r="A1172">
        <v>0</v>
      </c>
      <c r="B1172" t="str">
        <f t="shared" si="111"/>
        <v>Female</v>
      </c>
      <c r="C1172" s="8">
        <v>43</v>
      </c>
      <c r="D1172" t="str">
        <f t="shared" si="112"/>
        <v>Middle Age</v>
      </c>
      <c r="E1172">
        <v>3</v>
      </c>
      <c r="F1172" t="str">
        <f>HLOOKUP(E1172, LookUP_Table!$A$6:$D$7, 2, FALSE)</f>
        <v>Graduate</v>
      </c>
      <c r="G1172" t="str">
        <f>IFERROR(VLOOKUP(E1172, LookUP_Table!$A$1:$B$4, 2, FALSE), "")</f>
        <v>Graduate</v>
      </c>
      <c r="H1172">
        <v>1</v>
      </c>
      <c r="I1172">
        <v>15</v>
      </c>
      <c r="J1172" t="str">
        <f t="shared" si="108"/>
        <v>Smoker</v>
      </c>
      <c r="K1172">
        <v>0</v>
      </c>
      <c r="L1172">
        <v>0</v>
      </c>
      <c r="M1172">
        <v>0</v>
      </c>
      <c r="N1172">
        <v>0</v>
      </c>
      <c r="O1172">
        <v>233</v>
      </c>
      <c r="P1172" t="str">
        <f t="shared" si="109"/>
        <v>Normal</v>
      </c>
      <c r="Q1172">
        <v>100</v>
      </c>
      <c r="R1172">
        <v>70</v>
      </c>
      <c r="S1172">
        <v>22.9</v>
      </c>
      <c r="T1172" t="str">
        <f t="shared" si="110"/>
        <v>Normal</v>
      </c>
      <c r="U1172">
        <v>75</v>
      </c>
      <c r="V1172">
        <v>78</v>
      </c>
      <c r="W1172" t="str">
        <f t="shared" si="113"/>
        <v>Normal</v>
      </c>
      <c r="X1172">
        <v>0</v>
      </c>
    </row>
    <row r="1173" spans="1:24" ht="14.5" thickBot="1" x14ac:dyDescent="0.35">
      <c r="A1173">
        <v>0</v>
      </c>
      <c r="B1173" t="str">
        <f t="shared" si="111"/>
        <v>Female</v>
      </c>
      <c r="C1173" s="8">
        <v>43</v>
      </c>
      <c r="D1173" t="str">
        <f t="shared" si="112"/>
        <v>Middle Age</v>
      </c>
      <c r="E1173">
        <v>1</v>
      </c>
      <c r="F1173" t="str">
        <f>HLOOKUP(E1173, LookUP_Table!$A$6:$D$7, 2, FALSE)</f>
        <v>Primary</v>
      </c>
      <c r="G1173" t="str">
        <f>IFERROR(VLOOKUP(E1173, LookUP_Table!$A$1:$B$4, 2, FALSE), "")</f>
        <v>Primary</v>
      </c>
      <c r="H1173">
        <v>0</v>
      </c>
      <c r="I1173">
        <v>0</v>
      </c>
      <c r="J1173" t="str">
        <f t="shared" si="108"/>
        <v>Non-Smoker</v>
      </c>
      <c r="K1173">
        <v>0</v>
      </c>
      <c r="L1173">
        <v>0</v>
      </c>
      <c r="M1173">
        <v>0</v>
      </c>
      <c r="N1173">
        <v>0</v>
      </c>
      <c r="O1173">
        <v>249</v>
      </c>
      <c r="P1173" t="str">
        <f t="shared" si="109"/>
        <v>High</v>
      </c>
      <c r="Q1173">
        <v>155</v>
      </c>
      <c r="R1173">
        <v>93.5</v>
      </c>
      <c r="S1173">
        <v>21.99</v>
      </c>
      <c r="T1173" t="str">
        <f t="shared" si="110"/>
        <v>Normal</v>
      </c>
      <c r="U1173">
        <v>85</v>
      </c>
      <c r="V1173">
        <v>115</v>
      </c>
      <c r="W1173" t="str">
        <f t="shared" si="113"/>
        <v>Prediabetes</v>
      </c>
      <c r="X1173">
        <v>0</v>
      </c>
    </row>
    <row r="1174" spans="1:24" ht="14.5" thickBot="1" x14ac:dyDescent="0.35">
      <c r="A1174">
        <v>1</v>
      </c>
      <c r="B1174" t="str">
        <f t="shared" si="111"/>
        <v>Male</v>
      </c>
      <c r="C1174" s="8">
        <v>43</v>
      </c>
      <c r="D1174" t="str">
        <f t="shared" si="112"/>
        <v>Middle Age</v>
      </c>
      <c r="E1174">
        <v>1</v>
      </c>
      <c r="F1174" t="str">
        <f>HLOOKUP(E1174, LookUP_Table!$A$6:$D$7, 2, FALSE)</f>
        <v>Primary</v>
      </c>
      <c r="G1174" t="str">
        <f>IFERROR(VLOOKUP(E1174, LookUP_Table!$A$1:$B$4, 2, FALSE), "")</f>
        <v>Primary</v>
      </c>
      <c r="H1174">
        <v>0</v>
      </c>
      <c r="I1174">
        <v>0</v>
      </c>
      <c r="J1174" t="str">
        <f t="shared" si="108"/>
        <v>Non-Smoker</v>
      </c>
      <c r="K1174">
        <v>0</v>
      </c>
      <c r="L1174">
        <v>0</v>
      </c>
      <c r="M1174">
        <v>0</v>
      </c>
      <c r="N1174">
        <v>0</v>
      </c>
      <c r="O1174">
        <v>126</v>
      </c>
      <c r="P1174" t="str">
        <f t="shared" si="109"/>
        <v>Normal</v>
      </c>
      <c r="Q1174">
        <v>152</v>
      </c>
      <c r="R1174">
        <v>96.5</v>
      </c>
      <c r="S1174">
        <v>25.65</v>
      </c>
      <c r="T1174" t="str">
        <f t="shared" si="110"/>
        <v>Overweight</v>
      </c>
      <c r="U1174">
        <v>86</v>
      </c>
      <c r="V1174">
        <v>81.96365524402907</v>
      </c>
      <c r="W1174" t="str">
        <f t="shared" si="113"/>
        <v>Normal</v>
      </c>
      <c r="X1174">
        <v>0</v>
      </c>
    </row>
    <row r="1175" spans="1:24" ht="14.5" thickBot="1" x14ac:dyDescent="0.35">
      <c r="A1175">
        <v>0</v>
      </c>
      <c r="B1175" t="str">
        <f t="shared" si="111"/>
        <v>Female</v>
      </c>
      <c r="C1175" s="8">
        <v>43</v>
      </c>
      <c r="D1175" t="str">
        <f t="shared" si="112"/>
        <v>Middle Age</v>
      </c>
      <c r="E1175">
        <v>3</v>
      </c>
      <c r="F1175" t="str">
        <f>HLOOKUP(E1175, LookUP_Table!$A$6:$D$7, 2, FALSE)</f>
        <v>Graduate</v>
      </c>
      <c r="G1175" t="str">
        <f>IFERROR(VLOOKUP(E1175, LookUP_Table!$A$1:$B$4, 2, FALSE), "")</f>
        <v>Graduate</v>
      </c>
      <c r="H1175">
        <v>0</v>
      </c>
      <c r="I1175">
        <v>0</v>
      </c>
      <c r="J1175" t="str">
        <f t="shared" si="108"/>
        <v>Non-Smoker</v>
      </c>
      <c r="K1175">
        <v>0</v>
      </c>
      <c r="L1175">
        <v>0</v>
      </c>
      <c r="M1175">
        <v>0</v>
      </c>
      <c r="N1175">
        <v>0</v>
      </c>
      <c r="O1175">
        <v>192</v>
      </c>
      <c r="P1175" t="str">
        <f t="shared" si="109"/>
        <v>Normal</v>
      </c>
      <c r="Q1175">
        <v>107.5</v>
      </c>
      <c r="R1175">
        <v>67.5</v>
      </c>
      <c r="S1175">
        <v>21.22</v>
      </c>
      <c r="T1175" t="str">
        <f t="shared" si="110"/>
        <v>Normal</v>
      </c>
      <c r="U1175">
        <v>67</v>
      </c>
      <c r="V1175">
        <v>81.96365524402907</v>
      </c>
      <c r="W1175" t="str">
        <f t="shared" si="113"/>
        <v>Normal</v>
      </c>
      <c r="X1175">
        <v>0</v>
      </c>
    </row>
    <row r="1176" spans="1:24" ht="14.5" thickBot="1" x14ac:dyDescent="0.35">
      <c r="A1176">
        <v>0</v>
      </c>
      <c r="B1176" t="str">
        <f t="shared" si="111"/>
        <v>Female</v>
      </c>
      <c r="C1176" s="8">
        <v>43</v>
      </c>
      <c r="D1176" t="str">
        <f t="shared" si="112"/>
        <v>Middle Age</v>
      </c>
      <c r="E1176">
        <v>3</v>
      </c>
      <c r="F1176" t="str">
        <f>HLOOKUP(E1176, LookUP_Table!$A$6:$D$7, 2, FALSE)</f>
        <v>Graduate</v>
      </c>
      <c r="G1176" t="str">
        <f>IFERROR(VLOOKUP(E1176, LookUP_Table!$A$1:$B$4, 2, FALSE), "")</f>
        <v>Graduate</v>
      </c>
      <c r="H1176">
        <v>1</v>
      </c>
      <c r="I1176">
        <v>8</v>
      </c>
      <c r="J1176" t="str">
        <f t="shared" si="108"/>
        <v>Smoker</v>
      </c>
      <c r="K1176">
        <v>0</v>
      </c>
      <c r="L1176">
        <v>0</v>
      </c>
      <c r="M1176">
        <v>0</v>
      </c>
      <c r="N1176">
        <v>0</v>
      </c>
      <c r="O1176">
        <v>192</v>
      </c>
      <c r="P1176" t="str">
        <f t="shared" si="109"/>
        <v>Normal</v>
      </c>
      <c r="Q1176">
        <v>119.5</v>
      </c>
      <c r="R1176">
        <v>69.5</v>
      </c>
      <c r="S1176">
        <v>24.67</v>
      </c>
      <c r="T1176" t="str">
        <f t="shared" si="110"/>
        <v>Normal</v>
      </c>
      <c r="U1176">
        <v>90</v>
      </c>
      <c r="V1176">
        <v>83</v>
      </c>
      <c r="W1176" t="str">
        <f t="shared" si="113"/>
        <v>Normal</v>
      </c>
      <c r="X1176">
        <v>0</v>
      </c>
    </row>
    <row r="1177" spans="1:24" ht="14.5" thickBot="1" x14ac:dyDescent="0.35">
      <c r="A1177">
        <v>1</v>
      </c>
      <c r="B1177" t="str">
        <f t="shared" si="111"/>
        <v>Male</v>
      </c>
      <c r="C1177" s="8">
        <v>43</v>
      </c>
      <c r="D1177" t="str">
        <f t="shared" si="112"/>
        <v>Middle Age</v>
      </c>
      <c r="E1177">
        <v>2</v>
      </c>
      <c r="F1177" t="str">
        <f>HLOOKUP(E1177, LookUP_Table!$A$6:$D$7, 2, FALSE)</f>
        <v>Secondary</v>
      </c>
      <c r="G1177" t="str">
        <f>IFERROR(VLOOKUP(E1177, LookUP_Table!$A$1:$B$4, 2, FALSE), "")</f>
        <v>Secondary</v>
      </c>
      <c r="H1177">
        <v>0</v>
      </c>
      <c r="I1177">
        <v>0</v>
      </c>
      <c r="J1177" t="str">
        <f t="shared" si="108"/>
        <v>Non-Smoker</v>
      </c>
      <c r="K1177">
        <v>1</v>
      </c>
      <c r="L1177">
        <v>0</v>
      </c>
      <c r="M1177">
        <v>1</v>
      </c>
      <c r="N1177">
        <v>0</v>
      </c>
      <c r="O1177">
        <v>234</v>
      </c>
      <c r="P1177" t="str">
        <f t="shared" si="109"/>
        <v>Normal</v>
      </c>
      <c r="Q1177">
        <v>173</v>
      </c>
      <c r="R1177">
        <v>96</v>
      </c>
      <c r="S1177">
        <v>27.99</v>
      </c>
      <c r="T1177" t="str">
        <f t="shared" si="110"/>
        <v>Overweight</v>
      </c>
      <c r="U1177">
        <v>100</v>
      </c>
      <c r="V1177">
        <v>76</v>
      </c>
      <c r="W1177" t="str">
        <f t="shared" si="113"/>
        <v>Normal</v>
      </c>
      <c r="X1177">
        <v>0</v>
      </c>
    </row>
    <row r="1178" spans="1:24" ht="14.5" thickBot="1" x14ac:dyDescent="0.35">
      <c r="A1178">
        <v>0</v>
      </c>
      <c r="B1178" t="str">
        <f t="shared" si="111"/>
        <v>Female</v>
      </c>
      <c r="C1178" s="8">
        <v>43</v>
      </c>
      <c r="D1178" t="str">
        <f t="shared" si="112"/>
        <v>Middle Age</v>
      </c>
      <c r="E1178">
        <v>4</v>
      </c>
      <c r="F1178" t="str">
        <f>HLOOKUP(E1178, LookUP_Table!$A$6:$D$7, 2, FALSE)</f>
        <v>Post Graduate</v>
      </c>
      <c r="G1178" t="str">
        <f>IFERROR(VLOOKUP(E1178, LookUP_Table!$A$1:$B$4, 2, FALSE), "")</f>
        <v>Post Graduate</v>
      </c>
      <c r="H1178">
        <v>0</v>
      </c>
      <c r="I1178">
        <v>0</v>
      </c>
      <c r="J1178" t="str">
        <f t="shared" si="108"/>
        <v>Non-Smoker</v>
      </c>
      <c r="K1178">
        <v>0</v>
      </c>
      <c r="L1178">
        <v>0</v>
      </c>
      <c r="M1178">
        <v>1</v>
      </c>
      <c r="N1178">
        <v>0</v>
      </c>
      <c r="O1178">
        <v>240</v>
      </c>
      <c r="P1178" t="str">
        <f t="shared" si="109"/>
        <v>Normal</v>
      </c>
      <c r="Q1178">
        <v>141.5</v>
      </c>
      <c r="R1178">
        <v>93</v>
      </c>
      <c r="S1178">
        <v>38.43</v>
      </c>
      <c r="T1178" t="str">
        <f t="shared" si="110"/>
        <v>Obese</v>
      </c>
      <c r="U1178">
        <v>72</v>
      </c>
      <c r="V1178">
        <v>77</v>
      </c>
      <c r="W1178" t="str">
        <f t="shared" si="113"/>
        <v>Normal</v>
      </c>
      <c r="X1178">
        <v>0</v>
      </c>
    </row>
    <row r="1179" spans="1:24" ht="14.5" thickBot="1" x14ac:dyDescent="0.35">
      <c r="A1179">
        <v>0</v>
      </c>
      <c r="B1179" t="str">
        <f t="shared" si="111"/>
        <v>Female</v>
      </c>
      <c r="C1179" s="8">
        <v>43</v>
      </c>
      <c r="D1179" t="str">
        <f t="shared" si="112"/>
        <v>Middle Age</v>
      </c>
      <c r="E1179">
        <v>2</v>
      </c>
      <c r="F1179" t="str">
        <f>HLOOKUP(E1179, LookUP_Table!$A$6:$D$7, 2, FALSE)</f>
        <v>Secondary</v>
      </c>
      <c r="G1179" t="str">
        <f>IFERROR(VLOOKUP(E1179, LookUP_Table!$A$1:$B$4, 2, FALSE), "")</f>
        <v>Secondary</v>
      </c>
      <c r="H1179">
        <v>1</v>
      </c>
      <c r="I1179">
        <v>15</v>
      </c>
      <c r="J1179" t="str">
        <f t="shared" si="108"/>
        <v>Smoker</v>
      </c>
      <c r="K1179">
        <v>0</v>
      </c>
      <c r="L1179">
        <v>0</v>
      </c>
      <c r="M1179">
        <v>0</v>
      </c>
      <c r="N1179">
        <v>0</v>
      </c>
      <c r="O1179">
        <v>165</v>
      </c>
      <c r="P1179" t="str">
        <f t="shared" si="109"/>
        <v>Normal</v>
      </c>
      <c r="Q1179">
        <v>113</v>
      </c>
      <c r="R1179">
        <v>79</v>
      </c>
      <c r="S1179">
        <v>28.96</v>
      </c>
      <c r="T1179" t="str">
        <f t="shared" si="110"/>
        <v>Overweight</v>
      </c>
      <c r="U1179">
        <v>75</v>
      </c>
      <c r="V1179">
        <v>72</v>
      </c>
      <c r="W1179" t="str">
        <f t="shared" si="113"/>
        <v>Normal</v>
      </c>
      <c r="X1179">
        <v>0</v>
      </c>
    </row>
    <row r="1180" spans="1:24" ht="14.5" thickBot="1" x14ac:dyDescent="0.35">
      <c r="A1180">
        <v>1</v>
      </c>
      <c r="B1180" t="str">
        <f t="shared" si="111"/>
        <v>Male</v>
      </c>
      <c r="C1180" s="8">
        <v>43</v>
      </c>
      <c r="D1180" t="str">
        <f t="shared" si="112"/>
        <v>Middle Age</v>
      </c>
      <c r="E1180">
        <v>4</v>
      </c>
      <c r="F1180" t="str">
        <f>HLOOKUP(E1180, LookUP_Table!$A$6:$D$7, 2, FALSE)</f>
        <v>Post Graduate</v>
      </c>
      <c r="G1180" t="str">
        <f>IFERROR(VLOOKUP(E1180, LookUP_Table!$A$1:$B$4, 2, FALSE), "")</f>
        <v>Post Graduate</v>
      </c>
      <c r="H1180">
        <v>1</v>
      </c>
      <c r="I1180">
        <v>30</v>
      </c>
      <c r="J1180" t="str">
        <f t="shared" si="108"/>
        <v>Smoker</v>
      </c>
      <c r="K1180">
        <v>0</v>
      </c>
      <c r="L1180">
        <v>0</v>
      </c>
      <c r="M1180">
        <v>1</v>
      </c>
      <c r="N1180">
        <v>0</v>
      </c>
      <c r="O1180">
        <v>236.69952267303103</v>
      </c>
      <c r="P1180" t="str">
        <f t="shared" si="109"/>
        <v>Normal</v>
      </c>
      <c r="Q1180">
        <v>152</v>
      </c>
      <c r="R1180">
        <v>87</v>
      </c>
      <c r="S1180">
        <v>26.77</v>
      </c>
      <c r="T1180" t="str">
        <f t="shared" si="110"/>
        <v>Overweight</v>
      </c>
      <c r="U1180">
        <v>77</v>
      </c>
      <c r="V1180">
        <v>81.96365524402907</v>
      </c>
      <c r="W1180" t="str">
        <f t="shared" si="113"/>
        <v>Normal</v>
      </c>
      <c r="X1180">
        <v>1</v>
      </c>
    </row>
    <row r="1181" spans="1:24" ht="14.5" thickBot="1" x14ac:dyDescent="0.35">
      <c r="A1181">
        <v>1</v>
      </c>
      <c r="B1181" t="str">
        <f t="shared" si="111"/>
        <v>Male</v>
      </c>
      <c r="C1181" s="8">
        <v>43</v>
      </c>
      <c r="D1181" t="str">
        <f t="shared" si="112"/>
        <v>Middle Age</v>
      </c>
      <c r="E1181">
        <v>3</v>
      </c>
      <c r="F1181" t="str">
        <f>HLOOKUP(E1181, LookUP_Table!$A$6:$D$7, 2, FALSE)</f>
        <v>Graduate</v>
      </c>
      <c r="G1181" t="str">
        <f>IFERROR(VLOOKUP(E1181, LookUP_Table!$A$1:$B$4, 2, FALSE), "")</f>
        <v>Graduate</v>
      </c>
      <c r="H1181">
        <v>1</v>
      </c>
      <c r="I1181">
        <v>20</v>
      </c>
      <c r="J1181" t="str">
        <f t="shared" si="108"/>
        <v>Smoker</v>
      </c>
      <c r="K1181">
        <v>0</v>
      </c>
      <c r="L1181">
        <v>0</v>
      </c>
      <c r="M1181">
        <v>1</v>
      </c>
      <c r="N1181">
        <v>0</v>
      </c>
      <c r="O1181">
        <v>206</v>
      </c>
      <c r="P1181" t="str">
        <f t="shared" si="109"/>
        <v>Normal</v>
      </c>
      <c r="Q1181">
        <v>162.5</v>
      </c>
      <c r="R1181">
        <v>93.5</v>
      </c>
      <c r="S1181">
        <v>29.01</v>
      </c>
      <c r="T1181" t="str">
        <f t="shared" si="110"/>
        <v>Overweight</v>
      </c>
      <c r="U1181">
        <v>90</v>
      </c>
      <c r="V1181">
        <v>77</v>
      </c>
      <c r="W1181" t="str">
        <f t="shared" si="113"/>
        <v>Normal</v>
      </c>
      <c r="X1181">
        <v>0</v>
      </c>
    </row>
    <row r="1182" spans="1:24" ht="14.5" thickBot="1" x14ac:dyDescent="0.35">
      <c r="A1182">
        <v>0</v>
      </c>
      <c r="B1182" t="str">
        <f t="shared" si="111"/>
        <v>Female</v>
      </c>
      <c r="C1182" s="8">
        <v>43</v>
      </c>
      <c r="D1182" t="str">
        <f t="shared" si="112"/>
        <v>Middle Age</v>
      </c>
      <c r="E1182">
        <v>1</v>
      </c>
      <c r="F1182" t="str">
        <f>HLOOKUP(E1182, LookUP_Table!$A$6:$D$7, 2, FALSE)</f>
        <v>Primary</v>
      </c>
      <c r="G1182" t="str">
        <f>IFERROR(VLOOKUP(E1182, LookUP_Table!$A$1:$B$4, 2, FALSE), "")</f>
        <v>Primary</v>
      </c>
      <c r="H1182">
        <v>0</v>
      </c>
      <c r="I1182">
        <v>0</v>
      </c>
      <c r="J1182" t="str">
        <f t="shared" si="108"/>
        <v>Non-Smoker</v>
      </c>
      <c r="K1182">
        <v>0</v>
      </c>
      <c r="L1182">
        <v>0</v>
      </c>
      <c r="M1182">
        <v>0</v>
      </c>
      <c r="N1182">
        <v>0</v>
      </c>
      <c r="O1182">
        <v>229</v>
      </c>
      <c r="P1182" t="str">
        <f t="shared" si="109"/>
        <v>Normal</v>
      </c>
      <c r="Q1182">
        <v>124</v>
      </c>
      <c r="R1182">
        <v>79</v>
      </c>
      <c r="S1182">
        <v>30.28</v>
      </c>
      <c r="T1182" t="str">
        <f t="shared" si="110"/>
        <v>Obese</v>
      </c>
      <c r="U1182">
        <v>72</v>
      </c>
      <c r="V1182">
        <v>77</v>
      </c>
      <c r="W1182" t="str">
        <f t="shared" si="113"/>
        <v>Normal</v>
      </c>
      <c r="X1182">
        <v>0</v>
      </c>
    </row>
    <row r="1183" spans="1:24" ht="14.5" thickBot="1" x14ac:dyDescent="0.35">
      <c r="A1183">
        <v>1</v>
      </c>
      <c r="B1183" t="str">
        <f t="shared" si="111"/>
        <v>Male</v>
      </c>
      <c r="C1183" s="8">
        <v>43</v>
      </c>
      <c r="D1183" t="str">
        <f t="shared" si="112"/>
        <v>Middle Age</v>
      </c>
      <c r="E1183">
        <v>2</v>
      </c>
      <c r="F1183" t="str">
        <f>HLOOKUP(E1183, LookUP_Table!$A$6:$D$7, 2, FALSE)</f>
        <v>Secondary</v>
      </c>
      <c r="G1183" t="str">
        <f>IFERROR(VLOOKUP(E1183, LookUP_Table!$A$1:$B$4, 2, FALSE), "")</f>
        <v>Secondary</v>
      </c>
      <c r="H1183">
        <v>1</v>
      </c>
      <c r="I1183">
        <v>20</v>
      </c>
      <c r="J1183" t="str">
        <f t="shared" si="108"/>
        <v>Smoker</v>
      </c>
      <c r="K1183">
        <v>0</v>
      </c>
      <c r="L1183">
        <v>0</v>
      </c>
      <c r="M1183">
        <v>0</v>
      </c>
      <c r="N1183">
        <v>0</v>
      </c>
      <c r="O1183">
        <v>226</v>
      </c>
      <c r="P1183" t="str">
        <f t="shared" si="109"/>
        <v>Normal</v>
      </c>
      <c r="Q1183">
        <v>132.5</v>
      </c>
      <c r="R1183">
        <v>85</v>
      </c>
      <c r="S1183">
        <v>26.64</v>
      </c>
      <c r="T1183" t="str">
        <f t="shared" si="110"/>
        <v>Overweight</v>
      </c>
      <c r="U1183">
        <v>72</v>
      </c>
      <c r="V1183">
        <v>58</v>
      </c>
      <c r="W1183" t="str">
        <f t="shared" si="113"/>
        <v>Normal</v>
      </c>
      <c r="X1183">
        <v>0</v>
      </c>
    </row>
    <row r="1184" spans="1:24" ht="14.5" thickBot="1" x14ac:dyDescent="0.35">
      <c r="A1184">
        <v>1</v>
      </c>
      <c r="B1184" t="str">
        <f t="shared" si="111"/>
        <v>Male</v>
      </c>
      <c r="C1184" s="8">
        <v>43</v>
      </c>
      <c r="D1184" t="str">
        <f t="shared" si="112"/>
        <v>Middle Age</v>
      </c>
      <c r="E1184">
        <v>4</v>
      </c>
      <c r="F1184" t="str">
        <f>HLOOKUP(E1184, LookUP_Table!$A$6:$D$7, 2, FALSE)</f>
        <v>Post Graduate</v>
      </c>
      <c r="G1184" t="str">
        <f>IFERROR(VLOOKUP(E1184, LookUP_Table!$A$1:$B$4, 2, FALSE), "")</f>
        <v>Post Graduate</v>
      </c>
      <c r="H1184">
        <v>0</v>
      </c>
      <c r="I1184">
        <v>0</v>
      </c>
      <c r="J1184" t="str">
        <f t="shared" si="108"/>
        <v>Non-Smoker</v>
      </c>
      <c r="K1184">
        <v>0</v>
      </c>
      <c r="L1184">
        <v>0</v>
      </c>
      <c r="M1184">
        <v>0</v>
      </c>
      <c r="N1184">
        <v>0</v>
      </c>
      <c r="O1184">
        <v>179</v>
      </c>
      <c r="P1184" t="str">
        <f t="shared" si="109"/>
        <v>Normal</v>
      </c>
      <c r="Q1184">
        <v>125</v>
      </c>
      <c r="R1184">
        <v>80</v>
      </c>
      <c r="S1184">
        <v>23.05</v>
      </c>
      <c r="T1184" t="str">
        <f t="shared" si="110"/>
        <v>Normal</v>
      </c>
      <c r="U1184">
        <v>63</v>
      </c>
      <c r="V1184">
        <v>81.96365524402907</v>
      </c>
      <c r="W1184" t="str">
        <f t="shared" si="113"/>
        <v>Normal</v>
      </c>
      <c r="X1184">
        <v>0</v>
      </c>
    </row>
    <row r="1185" spans="1:24" ht="14.5" thickBot="1" x14ac:dyDescent="0.35">
      <c r="A1185">
        <v>1</v>
      </c>
      <c r="B1185" t="str">
        <f t="shared" si="111"/>
        <v>Male</v>
      </c>
      <c r="C1185" s="8">
        <v>43</v>
      </c>
      <c r="D1185" t="str">
        <f t="shared" si="112"/>
        <v>Middle Age</v>
      </c>
      <c r="E1185">
        <v>2</v>
      </c>
      <c r="F1185" t="str">
        <f>HLOOKUP(E1185, LookUP_Table!$A$6:$D$7, 2, FALSE)</f>
        <v>Secondary</v>
      </c>
      <c r="G1185" t="str">
        <f>IFERROR(VLOOKUP(E1185, LookUP_Table!$A$1:$B$4, 2, FALSE), "")</f>
        <v>Secondary</v>
      </c>
      <c r="H1185">
        <v>1</v>
      </c>
      <c r="I1185">
        <v>15</v>
      </c>
      <c r="J1185" t="str">
        <f t="shared" si="108"/>
        <v>Smoker</v>
      </c>
      <c r="K1185">
        <v>0</v>
      </c>
      <c r="L1185">
        <v>0</v>
      </c>
      <c r="M1185">
        <v>0</v>
      </c>
      <c r="N1185">
        <v>0</v>
      </c>
      <c r="O1185">
        <v>240</v>
      </c>
      <c r="P1185" t="str">
        <f t="shared" si="109"/>
        <v>Normal</v>
      </c>
      <c r="Q1185">
        <v>137</v>
      </c>
      <c r="R1185">
        <v>86</v>
      </c>
      <c r="S1185">
        <v>26.32</v>
      </c>
      <c r="T1185" t="str">
        <f t="shared" si="110"/>
        <v>Overweight</v>
      </c>
      <c r="U1185">
        <v>100</v>
      </c>
      <c r="V1185">
        <v>81.96365524402907</v>
      </c>
      <c r="W1185" t="str">
        <f t="shared" si="113"/>
        <v>Normal</v>
      </c>
      <c r="X1185">
        <v>0</v>
      </c>
    </row>
    <row r="1186" spans="1:24" ht="14.5" thickBot="1" x14ac:dyDescent="0.35">
      <c r="A1186">
        <v>0</v>
      </c>
      <c r="B1186" t="str">
        <f t="shared" si="111"/>
        <v>Female</v>
      </c>
      <c r="C1186" s="8">
        <v>43</v>
      </c>
      <c r="D1186" t="str">
        <f t="shared" si="112"/>
        <v>Middle Age</v>
      </c>
      <c r="E1186">
        <v>1</v>
      </c>
      <c r="F1186" t="str">
        <f>HLOOKUP(E1186, LookUP_Table!$A$6:$D$7, 2, FALSE)</f>
        <v>Primary</v>
      </c>
      <c r="G1186" t="str">
        <f>IFERROR(VLOOKUP(E1186, LookUP_Table!$A$1:$B$4, 2, FALSE), "")</f>
        <v>Primary</v>
      </c>
      <c r="H1186">
        <v>1</v>
      </c>
      <c r="I1186">
        <v>20</v>
      </c>
      <c r="J1186" t="str">
        <f t="shared" si="108"/>
        <v>Smoker</v>
      </c>
      <c r="K1186">
        <v>0</v>
      </c>
      <c r="L1186">
        <v>0</v>
      </c>
      <c r="M1186">
        <v>0</v>
      </c>
      <c r="N1186">
        <v>0</v>
      </c>
      <c r="O1186">
        <v>245</v>
      </c>
      <c r="P1186" t="str">
        <f t="shared" si="109"/>
        <v>High</v>
      </c>
      <c r="Q1186">
        <v>112.5</v>
      </c>
      <c r="R1186">
        <v>80</v>
      </c>
      <c r="S1186">
        <v>23.43</v>
      </c>
      <c r="T1186" t="str">
        <f t="shared" si="110"/>
        <v>Normal</v>
      </c>
      <c r="U1186">
        <v>90</v>
      </c>
      <c r="V1186">
        <v>77</v>
      </c>
      <c r="W1186" t="str">
        <f t="shared" si="113"/>
        <v>Normal</v>
      </c>
      <c r="X1186">
        <v>0</v>
      </c>
    </row>
    <row r="1187" spans="1:24" ht="14.5" thickBot="1" x14ac:dyDescent="0.35">
      <c r="A1187">
        <v>1</v>
      </c>
      <c r="B1187" t="str">
        <f t="shared" si="111"/>
        <v>Male</v>
      </c>
      <c r="C1187" s="8">
        <v>43</v>
      </c>
      <c r="D1187" t="str">
        <f t="shared" si="112"/>
        <v>Middle Age</v>
      </c>
      <c r="E1187">
        <v>1</v>
      </c>
      <c r="F1187" t="str">
        <f>HLOOKUP(E1187, LookUP_Table!$A$6:$D$7, 2, FALSE)</f>
        <v>Primary</v>
      </c>
      <c r="G1187" t="str">
        <f>IFERROR(VLOOKUP(E1187, LookUP_Table!$A$1:$B$4, 2, FALSE), "")</f>
        <v>Primary</v>
      </c>
      <c r="H1187">
        <v>1</v>
      </c>
      <c r="I1187">
        <v>15</v>
      </c>
      <c r="J1187" t="str">
        <f t="shared" si="108"/>
        <v>Smoker</v>
      </c>
      <c r="K1187">
        <v>0</v>
      </c>
      <c r="L1187">
        <v>0</v>
      </c>
      <c r="M1187">
        <v>0</v>
      </c>
      <c r="N1187">
        <v>0</v>
      </c>
      <c r="O1187">
        <v>249</v>
      </c>
      <c r="P1187" t="str">
        <f t="shared" si="109"/>
        <v>High</v>
      </c>
      <c r="Q1187">
        <v>145</v>
      </c>
      <c r="R1187">
        <v>85</v>
      </c>
      <c r="S1187">
        <v>28.77</v>
      </c>
      <c r="T1187" t="str">
        <f t="shared" si="110"/>
        <v>Overweight</v>
      </c>
      <c r="U1187">
        <v>75</v>
      </c>
      <c r="V1187">
        <v>100</v>
      </c>
      <c r="W1187" t="str">
        <f t="shared" si="113"/>
        <v>Prediabetes</v>
      </c>
      <c r="X1187">
        <v>0</v>
      </c>
    </row>
    <row r="1188" spans="1:24" ht="14.5" thickBot="1" x14ac:dyDescent="0.35">
      <c r="A1188">
        <v>1</v>
      </c>
      <c r="B1188" t="str">
        <f t="shared" si="111"/>
        <v>Male</v>
      </c>
      <c r="C1188" s="8">
        <v>43</v>
      </c>
      <c r="D1188" t="str">
        <f t="shared" si="112"/>
        <v>Middle Age</v>
      </c>
      <c r="E1188">
        <v>4</v>
      </c>
      <c r="F1188" t="str">
        <f>HLOOKUP(E1188, LookUP_Table!$A$6:$D$7, 2, FALSE)</f>
        <v>Post Graduate</v>
      </c>
      <c r="G1188" t="str">
        <f>IFERROR(VLOOKUP(E1188, LookUP_Table!$A$1:$B$4, 2, FALSE), "")</f>
        <v>Post Graduate</v>
      </c>
      <c r="H1188">
        <v>0</v>
      </c>
      <c r="I1188">
        <v>0</v>
      </c>
      <c r="J1188" t="str">
        <f t="shared" si="108"/>
        <v>Non-Smoker</v>
      </c>
      <c r="K1188">
        <v>0</v>
      </c>
      <c r="L1188">
        <v>0</v>
      </c>
      <c r="M1188">
        <v>0</v>
      </c>
      <c r="N1188">
        <v>0</v>
      </c>
      <c r="O1188">
        <v>217</v>
      </c>
      <c r="P1188" t="str">
        <f t="shared" si="109"/>
        <v>Normal</v>
      </c>
      <c r="Q1188">
        <v>115</v>
      </c>
      <c r="R1188">
        <v>80</v>
      </c>
      <c r="S1188">
        <v>28.82</v>
      </c>
      <c r="T1188" t="str">
        <f t="shared" si="110"/>
        <v>Overweight</v>
      </c>
      <c r="U1188">
        <v>52</v>
      </c>
      <c r="V1188">
        <v>70</v>
      </c>
      <c r="W1188" t="str">
        <f t="shared" si="113"/>
        <v>Normal</v>
      </c>
      <c r="X1188">
        <v>0</v>
      </c>
    </row>
    <row r="1189" spans="1:24" ht="14.5" thickBot="1" x14ac:dyDescent="0.35">
      <c r="A1189">
        <v>1</v>
      </c>
      <c r="B1189" t="str">
        <f t="shared" si="111"/>
        <v>Male</v>
      </c>
      <c r="C1189" s="8">
        <v>43</v>
      </c>
      <c r="D1189" t="str">
        <f t="shared" si="112"/>
        <v>Middle Age</v>
      </c>
      <c r="E1189">
        <v>1</v>
      </c>
      <c r="F1189" t="str">
        <f>HLOOKUP(E1189, LookUP_Table!$A$6:$D$7, 2, FALSE)</f>
        <v>Primary</v>
      </c>
      <c r="G1189" t="str">
        <f>IFERROR(VLOOKUP(E1189, LookUP_Table!$A$1:$B$4, 2, FALSE), "")</f>
        <v>Primary</v>
      </c>
      <c r="H1189">
        <v>1</v>
      </c>
      <c r="I1189">
        <v>30</v>
      </c>
      <c r="J1189" t="str">
        <f t="shared" si="108"/>
        <v>Smoker</v>
      </c>
      <c r="K1189">
        <v>0</v>
      </c>
      <c r="L1189">
        <v>0</v>
      </c>
      <c r="M1189">
        <v>0</v>
      </c>
      <c r="N1189">
        <v>0</v>
      </c>
      <c r="O1189">
        <v>262</v>
      </c>
      <c r="P1189" t="str">
        <f t="shared" si="109"/>
        <v>High</v>
      </c>
      <c r="Q1189">
        <v>105</v>
      </c>
      <c r="R1189">
        <v>72.5</v>
      </c>
      <c r="S1189">
        <v>28.36</v>
      </c>
      <c r="T1189" t="str">
        <f t="shared" si="110"/>
        <v>Overweight</v>
      </c>
      <c r="U1189">
        <v>82</v>
      </c>
      <c r="V1189">
        <v>70</v>
      </c>
      <c r="W1189" t="str">
        <f t="shared" si="113"/>
        <v>Normal</v>
      </c>
      <c r="X1189">
        <v>0</v>
      </c>
    </row>
    <row r="1190" spans="1:24" ht="14.5" thickBot="1" x14ac:dyDescent="0.35">
      <c r="A1190">
        <v>1</v>
      </c>
      <c r="B1190" t="str">
        <f t="shared" si="111"/>
        <v>Male</v>
      </c>
      <c r="C1190" s="8">
        <v>43</v>
      </c>
      <c r="D1190" t="str">
        <f t="shared" si="112"/>
        <v>Middle Age</v>
      </c>
      <c r="E1190">
        <v>1</v>
      </c>
      <c r="F1190" t="str">
        <f>HLOOKUP(E1190, LookUP_Table!$A$6:$D$7, 2, FALSE)</f>
        <v>Primary</v>
      </c>
      <c r="G1190" t="str">
        <f>IFERROR(VLOOKUP(E1190, LookUP_Table!$A$1:$B$4, 2, FALSE), "")</f>
        <v>Primary</v>
      </c>
      <c r="H1190">
        <v>1</v>
      </c>
      <c r="I1190">
        <v>20</v>
      </c>
      <c r="J1190" t="str">
        <f t="shared" si="108"/>
        <v>Smoker</v>
      </c>
      <c r="K1190">
        <v>0</v>
      </c>
      <c r="L1190">
        <v>0</v>
      </c>
      <c r="M1190">
        <v>0</v>
      </c>
      <c r="N1190">
        <v>0</v>
      </c>
      <c r="O1190">
        <v>179</v>
      </c>
      <c r="P1190" t="str">
        <f t="shared" si="109"/>
        <v>Normal</v>
      </c>
      <c r="Q1190">
        <v>129</v>
      </c>
      <c r="R1190">
        <v>81</v>
      </c>
      <c r="S1190">
        <v>19.05</v>
      </c>
      <c r="T1190" t="str">
        <f t="shared" si="110"/>
        <v>Normal</v>
      </c>
      <c r="U1190">
        <v>63</v>
      </c>
      <c r="V1190">
        <v>77</v>
      </c>
      <c r="W1190" t="str">
        <f t="shared" si="113"/>
        <v>Normal</v>
      </c>
      <c r="X1190">
        <v>0</v>
      </c>
    </row>
    <row r="1191" spans="1:24" ht="14.5" thickBot="1" x14ac:dyDescent="0.35">
      <c r="A1191">
        <v>1</v>
      </c>
      <c r="B1191" t="str">
        <f t="shared" si="111"/>
        <v>Male</v>
      </c>
      <c r="C1191" s="8">
        <v>43</v>
      </c>
      <c r="D1191" t="str">
        <f t="shared" si="112"/>
        <v>Middle Age</v>
      </c>
      <c r="E1191">
        <v>1</v>
      </c>
      <c r="F1191" t="str">
        <f>HLOOKUP(E1191, LookUP_Table!$A$6:$D$7, 2, FALSE)</f>
        <v>Primary</v>
      </c>
      <c r="G1191" t="str">
        <f>IFERROR(VLOOKUP(E1191, LookUP_Table!$A$1:$B$4, 2, FALSE), "")</f>
        <v>Primary</v>
      </c>
      <c r="H1191">
        <v>1</v>
      </c>
      <c r="I1191">
        <v>20</v>
      </c>
      <c r="J1191" t="str">
        <f t="shared" si="108"/>
        <v>Smoker</v>
      </c>
      <c r="K1191">
        <v>0</v>
      </c>
      <c r="L1191">
        <v>0</v>
      </c>
      <c r="M1191">
        <v>0</v>
      </c>
      <c r="N1191">
        <v>1</v>
      </c>
      <c r="O1191">
        <v>309</v>
      </c>
      <c r="P1191" t="str">
        <f t="shared" si="109"/>
        <v>High</v>
      </c>
      <c r="Q1191">
        <v>124</v>
      </c>
      <c r="R1191">
        <v>85</v>
      </c>
      <c r="S1191">
        <v>26.91</v>
      </c>
      <c r="T1191" t="str">
        <f t="shared" si="110"/>
        <v>Overweight</v>
      </c>
      <c r="U1191">
        <v>70</v>
      </c>
      <c r="V1191">
        <v>215</v>
      </c>
      <c r="W1191" t="str">
        <f t="shared" si="113"/>
        <v>Diabetes</v>
      </c>
      <c r="X1191">
        <v>0</v>
      </c>
    </row>
    <row r="1192" spans="1:24" ht="14.5" thickBot="1" x14ac:dyDescent="0.35">
      <c r="A1192">
        <v>0</v>
      </c>
      <c r="B1192" t="str">
        <f t="shared" si="111"/>
        <v>Female</v>
      </c>
      <c r="C1192" s="8">
        <v>43</v>
      </c>
      <c r="D1192" t="str">
        <f t="shared" si="112"/>
        <v>Middle Age</v>
      </c>
      <c r="E1192">
        <v>2</v>
      </c>
      <c r="F1192" t="str">
        <f>HLOOKUP(E1192, LookUP_Table!$A$6:$D$7, 2, FALSE)</f>
        <v>Secondary</v>
      </c>
      <c r="G1192" t="str">
        <f>IFERROR(VLOOKUP(E1192, LookUP_Table!$A$1:$B$4, 2, FALSE), "")</f>
        <v>Secondary</v>
      </c>
      <c r="H1192">
        <v>1</v>
      </c>
      <c r="I1192">
        <v>15</v>
      </c>
      <c r="J1192" t="str">
        <f t="shared" si="108"/>
        <v>Smoker</v>
      </c>
      <c r="K1192">
        <v>1</v>
      </c>
      <c r="L1192">
        <v>0</v>
      </c>
      <c r="M1192">
        <v>1</v>
      </c>
      <c r="N1192">
        <v>0</v>
      </c>
      <c r="O1192">
        <v>172</v>
      </c>
      <c r="P1192" t="str">
        <f t="shared" si="109"/>
        <v>Normal</v>
      </c>
      <c r="Q1192">
        <v>149</v>
      </c>
      <c r="R1192">
        <v>82</v>
      </c>
      <c r="S1192">
        <v>22.35</v>
      </c>
      <c r="T1192" t="str">
        <f t="shared" si="110"/>
        <v>Normal</v>
      </c>
      <c r="U1192">
        <v>60</v>
      </c>
      <c r="V1192">
        <v>64</v>
      </c>
      <c r="W1192" t="str">
        <f t="shared" si="113"/>
        <v>Normal</v>
      </c>
      <c r="X1192">
        <v>0</v>
      </c>
    </row>
    <row r="1193" spans="1:24" ht="14.5" thickBot="1" x14ac:dyDescent="0.35">
      <c r="A1193">
        <v>0</v>
      </c>
      <c r="B1193" t="str">
        <f t="shared" si="111"/>
        <v>Female</v>
      </c>
      <c r="C1193" s="8">
        <v>43</v>
      </c>
      <c r="D1193" t="str">
        <f t="shared" si="112"/>
        <v>Middle Age</v>
      </c>
      <c r="E1193">
        <v>3</v>
      </c>
      <c r="F1193" t="str">
        <f>HLOOKUP(E1193, LookUP_Table!$A$6:$D$7, 2, FALSE)</f>
        <v>Graduate</v>
      </c>
      <c r="G1193" t="str">
        <f>IFERROR(VLOOKUP(E1193, LookUP_Table!$A$1:$B$4, 2, FALSE), "")</f>
        <v>Graduate</v>
      </c>
      <c r="H1193">
        <v>0</v>
      </c>
      <c r="I1193">
        <v>0</v>
      </c>
      <c r="J1193" t="str">
        <f t="shared" si="108"/>
        <v>Non-Smoker</v>
      </c>
      <c r="K1193">
        <v>0</v>
      </c>
      <c r="L1193">
        <v>0</v>
      </c>
      <c r="M1193">
        <v>0</v>
      </c>
      <c r="N1193">
        <v>0</v>
      </c>
      <c r="O1193">
        <v>232</v>
      </c>
      <c r="P1193" t="str">
        <f t="shared" si="109"/>
        <v>Normal</v>
      </c>
      <c r="Q1193">
        <v>126</v>
      </c>
      <c r="R1193">
        <v>73</v>
      </c>
      <c r="S1193">
        <v>20.43</v>
      </c>
      <c r="T1193" t="str">
        <f t="shared" si="110"/>
        <v>Normal</v>
      </c>
      <c r="U1193">
        <v>72</v>
      </c>
      <c r="V1193">
        <v>75</v>
      </c>
      <c r="W1193" t="str">
        <f t="shared" si="113"/>
        <v>Normal</v>
      </c>
      <c r="X1193">
        <v>0</v>
      </c>
    </row>
    <row r="1194" spans="1:24" ht="14.5" thickBot="1" x14ac:dyDescent="0.35">
      <c r="A1194">
        <v>0</v>
      </c>
      <c r="B1194" t="str">
        <f t="shared" si="111"/>
        <v>Female</v>
      </c>
      <c r="C1194" s="8">
        <v>43</v>
      </c>
      <c r="D1194" t="str">
        <f t="shared" si="112"/>
        <v>Middle Age</v>
      </c>
      <c r="E1194">
        <v>2</v>
      </c>
      <c r="F1194" t="str">
        <f>HLOOKUP(E1194, LookUP_Table!$A$6:$D$7, 2, FALSE)</f>
        <v>Secondary</v>
      </c>
      <c r="G1194" t="str">
        <f>IFERROR(VLOOKUP(E1194, LookUP_Table!$A$1:$B$4, 2, FALSE), "")</f>
        <v>Secondary</v>
      </c>
      <c r="H1194">
        <v>0</v>
      </c>
      <c r="I1194">
        <v>0</v>
      </c>
      <c r="J1194" t="str">
        <f t="shared" si="108"/>
        <v>Non-Smoker</v>
      </c>
      <c r="K1194">
        <v>0</v>
      </c>
      <c r="L1194">
        <v>0</v>
      </c>
      <c r="M1194">
        <v>0</v>
      </c>
      <c r="N1194">
        <v>0</v>
      </c>
      <c r="O1194">
        <v>273</v>
      </c>
      <c r="P1194" t="str">
        <f t="shared" si="109"/>
        <v>High</v>
      </c>
      <c r="Q1194">
        <v>119</v>
      </c>
      <c r="R1194">
        <v>72</v>
      </c>
      <c r="S1194">
        <v>24.59</v>
      </c>
      <c r="T1194" t="str">
        <f t="shared" si="110"/>
        <v>Normal</v>
      </c>
      <c r="U1194">
        <v>90</v>
      </c>
      <c r="V1194">
        <v>75</v>
      </c>
      <c r="W1194" t="str">
        <f t="shared" si="113"/>
        <v>Normal</v>
      </c>
      <c r="X1194">
        <v>0</v>
      </c>
    </row>
    <row r="1195" spans="1:24" ht="14.5" thickBot="1" x14ac:dyDescent="0.35">
      <c r="A1195">
        <v>0</v>
      </c>
      <c r="B1195" t="str">
        <f t="shared" si="111"/>
        <v>Female</v>
      </c>
      <c r="C1195" s="8">
        <v>43</v>
      </c>
      <c r="D1195" t="str">
        <f t="shared" si="112"/>
        <v>Middle Age</v>
      </c>
      <c r="E1195">
        <v>1</v>
      </c>
      <c r="F1195" t="str">
        <f>HLOOKUP(E1195, LookUP_Table!$A$6:$D$7, 2, FALSE)</f>
        <v>Primary</v>
      </c>
      <c r="G1195" t="str">
        <f>IFERROR(VLOOKUP(E1195, LookUP_Table!$A$1:$B$4, 2, FALSE), "")</f>
        <v>Primary</v>
      </c>
      <c r="H1195">
        <v>1</v>
      </c>
      <c r="I1195">
        <v>1</v>
      </c>
      <c r="J1195" t="str">
        <f t="shared" si="108"/>
        <v>Smoker</v>
      </c>
      <c r="K1195">
        <v>0</v>
      </c>
      <c r="L1195">
        <v>0</v>
      </c>
      <c r="M1195">
        <v>0</v>
      </c>
      <c r="N1195">
        <v>0</v>
      </c>
      <c r="O1195">
        <v>256</v>
      </c>
      <c r="P1195" t="str">
        <f t="shared" si="109"/>
        <v>High</v>
      </c>
      <c r="Q1195">
        <v>129</v>
      </c>
      <c r="R1195">
        <v>86</v>
      </c>
      <c r="S1195">
        <v>25.89</v>
      </c>
      <c r="T1195" t="str">
        <f t="shared" si="110"/>
        <v>Overweight</v>
      </c>
      <c r="U1195">
        <v>96</v>
      </c>
      <c r="V1195">
        <v>72</v>
      </c>
      <c r="W1195" t="str">
        <f t="shared" si="113"/>
        <v>Normal</v>
      </c>
      <c r="X1195">
        <v>0</v>
      </c>
    </row>
    <row r="1196" spans="1:24" ht="14.5" thickBot="1" x14ac:dyDescent="0.35">
      <c r="A1196">
        <v>0</v>
      </c>
      <c r="B1196" t="str">
        <f t="shared" si="111"/>
        <v>Female</v>
      </c>
      <c r="C1196" s="8">
        <v>43</v>
      </c>
      <c r="D1196" t="str">
        <f t="shared" si="112"/>
        <v>Middle Age</v>
      </c>
      <c r="E1196">
        <v>2</v>
      </c>
      <c r="F1196" t="str">
        <f>HLOOKUP(E1196, LookUP_Table!$A$6:$D$7, 2, FALSE)</f>
        <v>Secondary</v>
      </c>
      <c r="G1196" t="str">
        <f>IFERROR(VLOOKUP(E1196, LookUP_Table!$A$1:$B$4, 2, FALSE), "")</f>
        <v>Secondary</v>
      </c>
      <c r="H1196">
        <v>0</v>
      </c>
      <c r="I1196">
        <v>0</v>
      </c>
      <c r="J1196" t="str">
        <f t="shared" si="108"/>
        <v>Non-Smoker</v>
      </c>
      <c r="K1196">
        <v>0</v>
      </c>
      <c r="L1196">
        <v>0</v>
      </c>
      <c r="M1196">
        <v>0</v>
      </c>
      <c r="N1196">
        <v>0</v>
      </c>
      <c r="O1196">
        <v>308</v>
      </c>
      <c r="P1196" t="str">
        <f t="shared" si="109"/>
        <v>High</v>
      </c>
      <c r="Q1196">
        <v>110</v>
      </c>
      <c r="R1196">
        <v>70</v>
      </c>
      <c r="S1196">
        <v>24.83</v>
      </c>
      <c r="T1196" t="str">
        <f t="shared" si="110"/>
        <v>Normal</v>
      </c>
      <c r="U1196">
        <v>55</v>
      </c>
      <c r="V1196">
        <v>83</v>
      </c>
      <c r="W1196" t="str">
        <f t="shared" si="113"/>
        <v>Normal</v>
      </c>
      <c r="X1196">
        <v>0</v>
      </c>
    </row>
    <row r="1197" spans="1:24" ht="14.5" thickBot="1" x14ac:dyDescent="0.35">
      <c r="A1197">
        <v>0</v>
      </c>
      <c r="B1197" t="str">
        <f t="shared" si="111"/>
        <v>Female</v>
      </c>
      <c r="C1197" s="8">
        <v>43</v>
      </c>
      <c r="D1197" t="str">
        <f t="shared" si="112"/>
        <v>Middle Age</v>
      </c>
      <c r="E1197">
        <v>2</v>
      </c>
      <c r="F1197" t="str">
        <f>HLOOKUP(E1197, LookUP_Table!$A$6:$D$7, 2, FALSE)</f>
        <v>Secondary</v>
      </c>
      <c r="G1197" t="str">
        <f>IFERROR(VLOOKUP(E1197, LookUP_Table!$A$1:$B$4, 2, FALSE), "")</f>
        <v>Secondary</v>
      </c>
      <c r="H1197">
        <v>0</v>
      </c>
      <c r="I1197">
        <v>0</v>
      </c>
      <c r="J1197" t="str">
        <f t="shared" si="108"/>
        <v>Non-Smoker</v>
      </c>
      <c r="K1197">
        <v>0</v>
      </c>
      <c r="L1197">
        <v>0</v>
      </c>
      <c r="M1197">
        <v>0</v>
      </c>
      <c r="N1197">
        <v>0</v>
      </c>
      <c r="O1197">
        <v>202</v>
      </c>
      <c r="P1197" t="str">
        <f t="shared" si="109"/>
        <v>Normal</v>
      </c>
      <c r="Q1197">
        <v>121.5</v>
      </c>
      <c r="R1197">
        <v>86.5</v>
      </c>
      <c r="S1197">
        <v>20.82</v>
      </c>
      <c r="T1197" t="str">
        <f t="shared" si="110"/>
        <v>Normal</v>
      </c>
      <c r="U1197">
        <v>92</v>
      </c>
      <c r="V1197">
        <v>77</v>
      </c>
      <c r="W1197" t="str">
        <f t="shared" si="113"/>
        <v>Normal</v>
      </c>
      <c r="X1197">
        <v>1</v>
      </c>
    </row>
    <row r="1198" spans="1:24" ht="14.5" thickBot="1" x14ac:dyDescent="0.35">
      <c r="A1198">
        <v>0</v>
      </c>
      <c r="B1198" t="str">
        <f t="shared" si="111"/>
        <v>Female</v>
      </c>
      <c r="C1198" s="8">
        <v>43</v>
      </c>
      <c r="D1198" t="str">
        <f t="shared" si="112"/>
        <v>Middle Age</v>
      </c>
      <c r="E1198">
        <v>1</v>
      </c>
      <c r="F1198" t="str">
        <f>HLOOKUP(E1198, LookUP_Table!$A$6:$D$7, 2, FALSE)</f>
        <v>Primary</v>
      </c>
      <c r="G1198" t="str">
        <f>IFERROR(VLOOKUP(E1198, LookUP_Table!$A$1:$B$4, 2, FALSE), "")</f>
        <v>Primary</v>
      </c>
      <c r="H1198">
        <v>0</v>
      </c>
      <c r="I1198">
        <v>0</v>
      </c>
      <c r="J1198" t="str">
        <f t="shared" si="108"/>
        <v>Non-Smoker</v>
      </c>
      <c r="K1198">
        <v>0</v>
      </c>
      <c r="L1198">
        <v>0</v>
      </c>
      <c r="M1198">
        <v>0</v>
      </c>
      <c r="N1198">
        <v>0</v>
      </c>
      <c r="O1198">
        <v>260</v>
      </c>
      <c r="P1198" t="str">
        <f t="shared" si="109"/>
        <v>High</v>
      </c>
      <c r="Q1198">
        <v>127</v>
      </c>
      <c r="R1198">
        <v>79.5</v>
      </c>
      <c r="S1198">
        <v>26.01</v>
      </c>
      <c r="T1198" t="str">
        <f t="shared" si="110"/>
        <v>Overweight</v>
      </c>
      <c r="U1198">
        <v>63</v>
      </c>
      <c r="V1198">
        <v>77</v>
      </c>
      <c r="W1198" t="str">
        <f t="shared" si="113"/>
        <v>Normal</v>
      </c>
      <c r="X1198">
        <v>0</v>
      </c>
    </row>
    <row r="1199" spans="1:24" ht="14.5" thickBot="1" x14ac:dyDescent="0.35">
      <c r="A1199">
        <v>0</v>
      </c>
      <c r="B1199" t="str">
        <f t="shared" si="111"/>
        <v>Female</v>
      </c>
      <c r="C1199" s="8">
        <v>43</v>
      </c>
      <c r="D1199" t="str">
        <f t="shared" si="112"/>
        <v>Middle Age</v>
      </c>
      <c r="E1199">
        <v>1</v>
      </c>
      <c r="F1199" t="str">
        <f>HLOOKUP(E1199, LookUP_Table!$A$6:$D$7, 2, FALSE)</f>
        <v>Primary</v>
      </c>
      <c r="G1199" t="str">
        <f>IFERROR(VLOOKUP(E1199, LookUP_Table!$A$1:$B$4, 2, FALSE), "")</f>
        <v>Primary</v>
      </c>
      <c r="H1199">
        <v>1</v>
      </c>
      <c r="I1199">
        <v>15</v>
      </c>
      <c r="J1199" t="str">
        <f t="shared" si="108"/>
        <v>Smoker</v>
      </c>
      <c r="K1199">
        <v>0</v>
      </c>
      <c r="L1199">
        <v>0</v>
      </c>
      <c r="M1199">
        <v>0</v>
      </c>
      <c r="N1199">
        <v>0</v>
      </c>
      <c r="O1199">
        <v>315</v>
      </c>
      <c r="P1199" t="str">
        <f t="shared" si="109"/>
        <v>High</v>
      </c>
      <c r="Q1199">
        <v>132.5</v>
      </c>
      <c r="R1199">
        <v>76.5</v>
      </c>
      <c r="S1199">
        <v>31.54</v>
      </c>
      <c r="T1199" t="str">
        <f t="shared" si="110"/>
        <v>Obese</v>
      </c>
      <c r="U1199">
        <v>95</v>
      </c>
      <c r="V1199">
        <v>81.96365524402907</v>
      </c>
      <c r="W1199" t="str">
        <f t="shared" si="113"/>
        <v>Normal</v>
      </c>
      <c r="X1199">
        <v>0</v>
      </c>
    </row>
    <row r="1200" spans="1:24" ht="14.5" thickBot="1" x14ac:dyDescent="0.35">
      <c r="A1200">
        <v>1</v>
      </c>
      <c r="B1200" t="str">
        <f t="shared" si="111"/>
        <v>Male</v>
      </c>
      <c r="C1200" s="8">
        <v>43</v>
      </c>
      <c r="D1200" t="str">
        <f t="shared" si="112"/>
        <v>Middle Age</v>
      </c>
      <c r="E1200">
        <v>1</v>
      </c>
      <c r="F1200" t="str">
        <f>HLOOKUP(E1200, LookUP_Table!$A$6:$D$7, 2, FALSE)</f>
        <v>Primary</v>
      </c>
      <c r="G1200" t="str">
        <f>IFERROR(VLOOKUP(E1200, LookUP_Table!$A$1:$B$4, 2, FALSE), "")</f>
        <v>Primary</v>
      </c>
      <c r="H1200">
        <v>1</v>
      </c>
      <c r="I1200">
        <v>20</v>
      </c>
      <c r="J1200" t="str">
        <f t="shared" si="108"/>
        <v>Smoker</v>
      </c>
      <c r="K1200">
        <v>0</v>
      </c>
      <c r="L1200">
        <v>0</v>
      </c>
      <c r="M1200">
        <v>0</v>
      </c>
      <c r="N1200">
        <v>0</v>
      </c>
      <c r="O1200">
        <v>263</v>
      </c>
      <c r="P1200" t="str">
        <f t="shared" si="109"/>
        <v>High</v>
      </c>
      <c r="Q1200">
        <v>132</v>
      </c>
      <c r="R1200">
        <v>90</v>
      </c>
      <c r="S1200">
        <v>28.85</v>
      </c>
      <c r="T1200" t="str">
        <f t="shared" si="110"/>
        <v>Overweight</v>
      </c>
      <c r="U1200">
        <v>72</v>
      </c>
      <c r="V1200">
        <v>71</v>
      </c>
      <c r="W1200" t="str">
        <f t="shared" si="113"/>
        <v>Normal</v>
      </c>
      <c r="X1200">
        <v>0</v>
      </c>
    </row>
    <row r="1201" spans="1:24" ht="14.5" thickBot="1" x14ac:dyDescent="0.35">
      <c r="A1201">
        <v>0</v>
      </c>
      <c r="B1201" t="str">
        <f t="shared" si="111"/>
        <v>Female</v>
      </c>
      <c r="C1201" s="8">
        <v>43</v>
      </c>
      <c r="D1201" t="str">
        <f t="shared" si="112"/>
        <v>Middle Age</v>
      </c>
      <c r="E1201">
        <v>1</v>
      </c>
      <c r="F1201" t="str">
        <f>HLOOKUP(E1201, LookUP_Table!$A$6:$D$7, 2, FALSE)</f>
        <v>Primary</v>
      </c>
      <c r="G1201" t="str">
        <f>IFERROR(VLOOKUP(E1201, LookUP_Table!$A$1:$B$4, 2, FALSE), "")</f>
        <v>Primary</v>
      </c>
      <c r="H1201">
        <v>1</v>
      </c>
      <c r="I1201">
        <v>10</v>
      </c>
      <c r="J1201" t="str">
        <f t="shared" si="108"/>
        <v>Smoker</v>
      </c>
      <c r="K1201">
        <v>0</v>
      </c>
      <c r="L1201">
        <v>0</v>
      </c>
      <c r="M1201">
        <v>0</v>
      </c>
      <c r="N1201">
        <v>0</v>
      </c>
      <c r="O1201">
        <v>249</v>
      </c>
      <c r="P1201" t="str">
        <f t="shared" si="109"/>
        <v>High</v>
      </c>
      <c r="Q1201">
        <v>108</v>
      </c>
      <c r="R1201">
        <v>76</v>
      </c>
      <c r="S1201">
        <v>27.49</v>
      </c>
      <c r="T1201" t="str">
        <f t="shared" si="110"/>
        <v>Overweight</v>
      </c>
      <c r="U1201">
        <v>80</v>
      </c>
      <c r="V1201">
        <v>76</v>
      </c>
      <c r="W1201" t="str">
        <f t="shared" si="113"/>
        <v>Normal</v>
      </c>
      <c r="X1201">
        <v>0</v>
      </c>
    </row>
    <row r="1202" spans="1:24" ht="14.5" thickBot="1" x14ac:dyDescent="0.35">
      <c r="A1202">
        <v>1</v>
      </c>
      <c r="B1202" t="str">
        <f t="shared" si="111"/>
        <v>Male</v>
      </c>
      <c r="C1202" s="8">
        <v>43</v>
      </c>
      <c r="D1202" t="str">
        <f t="shared" si="112"/>
        <v>Middle Age</v>
      </c>
      <c r="E1202">
        <v>2</v>
      </c>
      <c r="F1202" t="str">
        <f>HLOOKUP(E1202, LookUP_Table!$A$6:$D$7, 2, FALSE)</f>
        <v>Secondary</v>
      </c>
      <c r="G1202" t="str">
        <f>IFERROR(VLOOKUP(E1202, LookUP_Table!$A$1:$B$4, 2, FALSE), "")</f>
        <v>Secondary</v>
      </c>
      <c r="H1202">
        <v>1</v>
      </c>
      <c r="I1202">
        <v>20</v>
      </c>
      <c r="J1202" t="str">
        <f t="shared" si="108"/>
        <v>Smoker</v>
      </c>
      <c r="K1202">
        <v>0</v>
      </c>
      <c r="L1202">
        <v>0</v>
      </c>
      <c r="M1202">
        <v>0</v>
      </c>
      <c r="N1202">
        <v>0</v>
      </c>
      <c r="O1202">
        <v>275</v>
      </c>
      <c r="P1202" t="str">
        <f t="shared" si="109"/>
        <v>High</v>
      </c>
      <c r="Q1202">
        <v>111</v>
      </c>
      <c r="R1202">
        <v>76</v>
      </c>
      <c r="S1202">
        <v>23.95</v>
      </c>
      <c r="T1202" t="str">
        <f t="shared" si="110"/>
        <v>Normal</v>
      </c>
      <c r="U1202">
        <v>68</v>
      </c>
      <c r="V1202">
        <v>65</v>
      </c>
      <c r="W1202" t="str">
        <f t="shared" si="113"/>
        <v>Normal</v>
      </c>
      <c r="X1202">
        <v>0</v>
      </c>
    </row>
    <row r="1203" spans="1:24" ht="14.5" thickBot="1" x14ac:dyDescent="0.35">
      <c r="A1203">
        <v>1</v>
      </c>
      <c r="B1203" t="str">
        <f t="shared" si="111"/>
        <v>Male</v>
      </c>
      <c r="C1203" s="8">
        <v>43</v>
      </c>
      <c r="D1203" t="str">
        <f t="shared" si="112"/>
        <v>Middle Age</v>
      </c>
      <c r="E1203">
        <v>1</v>
      </c>
      <c r="F1203" t="str">
        <f>HLOOKUP(E1203, LookUP_Table!$A$6:$D$7, 2, FALSE)</f>
        <v>Primary</v>
      </c>
      <c r="G1203" t="str">
        <f>IFERROR(VLOOKUP(E1203, LookUP_Table!$A$1:$B$4, 2, FALSE), "")</f>
        <v>Primary</v>
      </c>
      <c r="H1203">
        <v>0</v>
      </c>
      <c r="I1203">
        <v>0</v>
      </c>
      <c r="J1203" t="str">
        <f t="shared" si="108"/>
        <v>Non-Smoker</v>
      </c>
      <c r="K1203">
        <v>1</v>
      </c>
      <c r="L1203">
        <v>0</v>
      </c>
      <c r="M1203">
        <v>1</v>
      </c>
      <c r="N1203">
        <v>0</v>
      </c>
      <c r="O1203">
        <v>210</v>
      </c>
      <c r="P1203" t="str">
        <f t="shared" si="109"/>
        <v>Normal</v>
      </c>
      <c r="Q1203">
        <v>181</v>
      </c>
      <c r="R1203">
        <v>97.5</v>
      </c>
      <c r="S1203">
        <v>21.83</v>
      </c>
      <c r="T1203" t="str">
        <f t="shared" si="110"/>
        <v>Normal</v>
      </c>
      <c r="U1203">
        <v>75</v>
      </c>
      <c r="V1203">
        <v>55</v>
      </c>
      <c r="W1203" t="str">
        <f t="shared" si="113"/>
        <v>Normal</v>
      </c>
      <c r="X1203">
        <v>0</v>
      </c>
    </row>
    <row r="1204" spans="1:24" ht="14.5" thickBot="1" x14ac:dyDescent="0.35">
      <c r="A1204">
        <v>1</v>
      </c>
      <c r="B1204" t="str">
        <f t="shared" si="111"/>
        <v>Male</v>
      </c>
      <c r="C1204" s="8">
        <v>43</v>
      </c>
      <c r="D1204" t="str">
        <f t="shared" si="112"/>
        <v>Middle Age</v>
      </c>
      <c r="E1204">
        <v>4</v>
      </c>
      <c r="F1204" t="str">
        <f>HLOOKUP(E1204, LookUP_Table!$A$6:$D$7, 2, FALSE)</f>
        <v>Post Graduate</v>
      </c>
      <c r="G1204" t="str">
        <f>IFERROR(VLOOKUP(E1204, LookUP_Table!$A$1:$B$4, 2, FALSE), "")</f>
        <v>Post Graduate</v>
      </c>
      <c r="H1204">
        <v>0</v>
      </c>
      <c r="I1204">
        <v>0</v>
      </c>
      <c r="J1204" t="str">
        <f t="shared" si="108"/>
        <v>Non-Smoker</v>
      </c>
      <c r="K1204">
        <v>0</v>
      </c>
      <c r="L1204">
        <v>0</v>
      </c>
      <c r="M1204">
        <v>1</v>
      </c>
      <c r="N1204">
        <v>0</v>
      </c>
      <c r="O1204">
        <v>367</v>
      </c>
      <c r="P1204" t="str">
        <f t="shared" si="109"/>
        <v>High</v>
      </c>
      <c r="Q1204">
        <v>141</v>
      </c>
      <c r="R1204">
        <v>82.5</v>
      </c>
      <c r="S1204">
        <v>25.62</v>
      </c>
      <c r="T1204" t="str">
        <f t="shared" si="110"/>
        <v>Overweight</v>
      </c>
      <c r="U1204">
        <v>92</v>
      </c>
      <c r="V1204">
        <v>90</v>
      </c>
      <c r="W1204" t="str">
        <f t="shared" si="113"/>
        <v>Normal</v>
      </c>
      <c r="X1204">
        <v>0</v>
      </c>
    </row>
    <row r="1205" spans="1:24" ht="14.5" thickBot="1" x14ac:dyDescent="0.35">
      <c r="A1205">
        <v>0</v>
      </c>
      <c r="B1205" t="str">
        <f t="shared" si="111"/>
        <v>Female</v>
      </c>
      <c r="C1205" s="8">
        <v>43</v>
      </c>
      <c r="D1205" t="str">
        <f t="shared" si="112"/>
        <v>Middle Age</v>
      </c>
      <c r="E1205">
        <v>2</v>
      </c>
      <c r="F1205" t="str">
        <f>HLOOKUP(E1205, LookUP_Table!$A$6:$D$7, 2, FALSE)</f>
        <v>Secondary</v>
      </c>
      <c r="G1205" t="str">
        <f>IFERROR(VLOOKUP(E1205, LookUP_Table!$A$1:$B$4, 2, FALSE), "")</f>
        <v>Secondary</v>
      </c>
      <c r="H1205">
        <v>1</v>
      </c>
      <c r="I1205">
        <v>20</v>
      </c>
      <c r="J1205" t="str">
        <f t="shared" si="108"/>
        <v>Smoker</v>
      </c>
      <c r="K1205">
        <v>0</v>
      </c>
      <c r="L1205">
        <v>0</v>
      </c>
      <c r="M1205">
        <v>0</v>
      </c>
      <c r="N1205">
        <v>0</v>
      </c>
      <c r="O1205">
        <v>208</v>
      </c>
      <c r="P1205" t="str">
        <f t="shared" si="109"/>
        <v>Normal</v>
      </c>
      <c r="Q1205">
        <v>119</v>
      </c>
      <c r="R1205">
        <v>69</v>
      </c>
      <c r="S1205">
        <v>19.48</v>
      </c>
      <c r="T1205" t="str">
        <f t="shared" si="110"/>
        <v>Normal</v>
      </c>
      <c r="U1205">
        <v>67</v>
      </c>
      <c r="V1205">
        <v>73</v>
      </c>
      <c r="W1205" t="str">
        <f t="shared" si="113"/>
        <v>Normal</v>
      </c>
      <c r="X1205">
        <v>0</v>
      </c>
    </row>
    <row r="1206" spans="1:24" ht="14.5" thickBot="1" x14ac:dyDescent="0.35">
      <c r="A1206">
        <v>0</v>
      </c>
      <c r="B1206" t="str">
        <f t="shared" si="111"/>
        <v>Female</v>
      </c>
      <c r="C1206" s="8">
        <v>43</v>
      </c>
      <c r="D1206" t="str">
        <f t="shared" si="112"/>
        <v>Middle Age</v>
      </c>
      <c r="E1206">
        <v>1</v>
      </c>
      <c r="F1206" t="str">
        <f>HLOOKUP(E1206, LookUP_Table!$A$6:$D$7, 2, FALSE)</f>
        <v>Primary</v>
      </c>
      <c r="G1206" t="str">
        <f>IFERROR(VLOOKUP(E1206, LookUP_Table!$A$1:$B$4, 2, FALSE), "")</f>
        <v>Primary</v>
      </c>
      <c r="H1206">
        <v>0</v>
      </c>
      <c r="I1206">
        <v>0</v>
      </c>
      <c r="J1206" t="str">
        <f t="shared" si="108"/>
        <v>Non-Smoker</v>
      </c>
      <c r="K1206">
        <v>0</v>
      </c>
      <c r="L1206">
        <v>0</v>
      </c>
      <c r="M1206">
        <v>0</v>
      </c>
      <c r="N1206">
        <v>0</v>
      </c>
      <c r="O1206">
        <v>230</v>
      </c>
      <c r="P1206" t="str">
        <f t="shared" si="109"/>
        <v>Normal</v>
      </c>
      <c r="Q1206">
        <v>116</v>
      </c>
      <c r="R1206">
        <v>86</v>
      </c>
      <c r="S1206">
        <v>27.78</v>
      </c>
      <c r="T1206" t="str">
        <f t="shared" si="110"/>
        <v>Overweight</v>
      </c>
      <c r="U1206">
        <v>62</v>
      </c>
      <c r="V1206">
        <v>78</v>
      </c>
      <c r="W1206" t="str">
        <f t="shared" si="113"/>
        <v>Normal</v>
      </c>
      <c r="X1206">
        <v>0</v>
      </c>
    </row>
    <row r="1207" spans="1:24" ht="14.5" thickBot="1" x14ac:dyDescent="0.35">
      <c r="A1207">
        <v>0</v>
      </c>
      <c r="B1207" t="str">
        <f t="shared" si="111"/>
        <v>Female</v>
      </c>
      <c r="C1207" s="8">
        <v>43</v>
      </c>
      <c r="D1207" t="str">
        <f t="shared" si="112"/>
        <v>Middle Age</v>
      </c>
      <c r="E1207">
        <v>3</v>
      </c>
      <c r="F1207" t="str">
        <f>HLOOKUP(E1207, LookUP_Table!$A$6:$D$7, 2, FALSE)</f>
        <v>Graduate</v>
      </c>
      <c r="G1207" t="str">
        <f>IFERROR(VLOOKUP(E1207, LookUP_Table!$A$1:$B$4, 2, FALSE), "")</f>
        <v>Graduate</v>
      </c>
      <c r="H1207">
        <v>1</v>
      </c>
      <c r="I1207">
        <v>1</v>
      </c>
      <c r="J1207" t="str">
        <f t="shared" si="108"/>
        <v>Smoker</v>
      </c>
      <c r="K1207">
        <v>0</v>
      </c>
      <c r="L1207">
        <v>0</v>
      </c>
      <c r="M1207">
        <v>0</v>
      </c>
      <c r="N1207">
        <v>0</v>
      </c>
      <c r="O1207">
        <v>185</v>
      </c>
      <c r="P1207" t="str">
        <f t="shared" si="109"/>
        <v>Normal</v>
      </c>
      <c r="Q1207">
        <v>125</v>
      </c>
      <c r="R1207">
        <v>84</v>
      </c>
      <c r="S1207">
        <v>23.18</v>
      </c>
      <c r="T1207" t="str">
        <f t="shared" si="110"/>
        <v>Normal</v>
      </c>
      <c r="U1207">
        <v>75</v>
      </c>
      <c r="V1207">
        <v>55</v>
      </c>
      <c r="W1207" t="str">
        <f t="shared" si="113"/>
        <v>Normal</v>
      </c>
      <c r="X1207">
        <v>0</v>
      </c>
    </row>
    <row r="1208" spans="1:24" ht="14.5" thickBot="1" x14ac:dyDescent="0.35">
      <c r="A1208">
        <v>0</v>
      </c>
      <c r="B1208" t="str">
        <f t="shared" si="111"/>
        <v>Female</v>
      </c>
      <c r="C1208" s="8">
        <v>43</v>
      </c>
      <c r="D1208" t="str">
        <f t="shared" si="112"/>
        <v>Middle Age</v>
      </c>
      <c r="E1208">
        <v>2</v>
      </c>
      <c r="F1208" t="str">
        <f>HLOOKUP(E1208, LookUP_Table!$A$6:$D$7, 2, FALSE)</f>
        <v>Secondary</v>
      </c>
      <c r="G1208" t="str">
        <f>IFERROR(VLOOKUP(E1208, LookUP_Table!$A$1:$B$4, 2, FALSE), "")</f>
        <v>Secondary</v>
      </c>
      <c r="H1208">
        <v>0</v>
      </c>
      <c r="I1208">
        <v>0</v>
      </c>
      <c r="J1208" t="str">
        <f t="shared" si="108"/>
        <v>Non-Smoker</v>
      </c>
      <c r="K1208">
        <v>0</v>
      </c>
      <c r="L1208">
        <v>0</v>
      </c>
      <c r="M1208">
        <v>0</v>
      </c>
      <c r="N1208">
        <v>0</v>
      </c>
      <c r="O1208">
        <v>194</v>
      </c>
      <c r="P1208" t="str">
        <f t="shared" si="109"/>
        <v>Normal</v>
      </c>
      <c r="Q1208">
        <v>122.5</v>
      </c>
      <c r="R1208">
        <v>82</v>
      </c>
      <c r="S1208">
        <v>35.159999999999997</v>
      </c>
      <c r="T1208" t="str">
        <f t="shared" si="110"/>
        <v>Obese</v>
      </c>
      <c r="U1208">
        <v>75</v>
      </c>
      <c r="V1208">
        <v>80</v>
      </c>
      <c r="W1208" t="str">
        <f t="shared" si="113"/>
        <v>Normal</v>
      </c>
      <c r="X1208">
        <v>0</v>
      </c>
    </row>
    <row r="1209" spans="1:24" ht="14.5" thickBot="1" x14ac:dyDescent="0.35">
      <c r="A1209">
        <v>1</v>
      </c>
      <c r="B1209" t="str">
        <f t="shared" si="111"/>
        <v>Male</v>
      </c>
      <c r="C1209" s="8">
        <v>43</v>
      </c>
      <c r="D1209" t="str">
        <f t="shared" si="112"/>
        <v>Middle Age</v>
      </c>
      <c r="E1209">
        <v>1</v>
      </c>
      <c r="F1209" t="str">
        <f>HLOOKUP(E1209, LookUP_Table!$A$6:$D$7, 2, FALSE)</f>
        <v>Primary</v>
      </c>
      <c r="G1209" t="str">
        <f>IFERROR(VLOOKUP(E1209, LookUP_Table!$A$1:$B$4, 2, FALSE), "")</f>
        <v>Primary</v>
      </c>
      <c r="H1209">
        <v>1</v>
      </c>
      <c r="I1209">
        <v>20</v>
      </c>
      <c r="J1209" t="str">
        <f t="shared" si="108"/>
        <v>Smoker</v>
      </c>
      <c r="K1209">
        <v>0</v>
      </c>
      <c r="L1209">
        <v>0</v>
      </c>
      <c r="M1209">
        <v>0</v>
      </c>
      <c r="N1209">
        <v>0</v>
      </c>
      <c r="O1209">
        <v>175</v>
      </c>
      <c r="P1209" t="str">
        <f t="shared" si="109"/>
        <v>Normal</v>
      </c>
      <c r="Q1209">
        <v>103</v>
      </c>
      <c r="R1209">
        <v>64.5</v>
      </c>
      <c r="S1209">
        <v>17.809999999999999</v>
      </c>
      <c r="T1209" t="str">
        <f t="shared" si="110"/>
        <v>Underweight</v>
      </c>
      <c r="U1209">
        <v>86</v>
      </c>
      <c r="V1209">
        <v>78</v>
      </c>
      <c r="W1209" t="str">
        <f t="shared" si="113"/>
        <v>Normal</v>
      </c>
      <c r="X1209">
        <v>0</v>
      </c>
    </row>
    <row r="1210" spans="1:24" ht="14.5" thickBot="1" x14ac:dyDescent="0.35">
      <c r="A1210">
        <v>1</v>
      </c>
      <c r="B1210" t="str">
        <f t="shared" si="111"/>
        <v>Male</v>
      </c>
      <c r="C1210" s="8">
        <v>43</v>
      </c>
      <c r="D1210" t="str">
        <f t="shared" si="112"/>
        <v>Middle Age</v>
      </c>
      <c r="E1210">
        <v>1</v>
      </c>
      <c r="F1210" t="str">
        <f>HLOOKUP(E1210, LookUP_Table!$A$6:$D$7, 2, FALSE)</f>
        <v>Primary</v>
      </c>
      <c r="G1210" t="str">
        <f>IFERROR(VLOOKUP(E1210, LookUP_Table!$A$1:$B$4, 2, FALSE), "")</f>
        <v>Primary</v>
      </c>
      <c r="H1210">
        <v>1</v>
      </c>
      <c r="I1210">
        <v>20</v>
      </c>
      <c r="J1210" t="str">
        <f t="shared" si="108"/>
        <v>Smoker</v>
      </c>
      <c r="K1210">
        <v>0</v>
      </c>
      <c r="L1210">
        <v>0</v>
      </c>
      <c r="M1210">
        <v>0</v>
      </c>
      <c r="N1210">
        <v>0</v>
      </c>
      <c r="O1210">
        <v>206</v>
      </c>
      <c r="P1210" t="str">
        <f t="shared" si="109"/>
        <v>Normal</v>
      </c>
      <c r="Q1210">
        <v>133.5</v>
      </c>
      <c r="R1210">
        <v>89.5</v>
      </c>
      <c r="S1210">
        <v>21.73</v>
      </c>
      <c r="T1210" t="str">
        <f t="shared" si="110"/>
        <v>Normal</v>
      </c>
      <c r="U1210">
        <v>86</v>
      </c>
      <c r="V1210">
        <v>89</v>
      </c>
      <c r="W1210" t="str">
        <f t="shared" si="113"/>
        <v>Normal</v>
      </c>
      <c r="X1210">
        <v>0</v>
      </c>
    </row>
    <row r="1211" spans="1:24" ht="14.5" thickBot="1" x14ac:dyDescent="0.35">
      <c r="A1211">
        <v>0</v>
      </c>
      <c r="B1211" t="str">
        <f t="shared" si="111"/>
        <v>Female</v>
      </c>
      <c r="C1211" s="8">
        <v>43</v>
      </c>
      <c r="D1211" t="str">
        <f t="shared" si="112"/>
        <v>Middle Age</v>
      </c>
      <c r="E1211">
        <v>2</v>
      </c>
      <c r="F1211" t="str">
        <f>HLOOKUP(E1211, LookUP_Table!$A$6:$D$7, 2, FALSE)</f>
        <v>Secondary</v>
      </c>
      <c r="G1211" t="str">
        <f>IFERROR(VLOOKUP(E1211, LookUP_Table!$A$1:$B$4, 2, FALSE), "")</f>
        <v>Secondary</v>
      </c>
      <c r="H1211">
        <v>1</v>
      </c>
      <c r="I1211">
        <v>15</v>
      </c>
      <c r="J1211" t="str">
        <f t="shared" si="108"/>
        <v>Smoker</v>
      </c>
      <c r="K1211">
        <v>0</v>
      </c>
      <c r="L1211">
        <v>0</v>
      </c>
      <c r="M1211">
        <v>0</v>
      </c>
      <c r="N1211">
        <v>0</v>
      </c>
      <c r="O1211">
        <v>230</v>
      </c>
      <c r="P1211" t="str">
        <f t="shared" si="109"/>
        <v>Normal</v>
      </c>
      <c r="Q1211">
        <v>118</v>
      </c>
      <c r="R1211">
        <v>70.5</v>
      </c>
      <c r="S1211">
        <v>26.24</v>
      </c>
      <c r="T1211" t="str">
        <f t="shared" si="110"/>
        <v>Overweight</v>
      </c>
      <c r="U1211">
        <v>100</v>
      </c>
      <c r="V1211">
        <v>67</v>
      </c>
      <c r="W1211" t="str">
        <f t="shared" si="113"/>
        <v>Normal</v>
      </c>
      <c r="X1211">
        <v>0</v>
      </c>
    </row>
    <row r="1212" spans="1:24" ht="14.5" thickBot="1" x14ac:dyDescent="0.35">
      <c r="A1212">
        <v>1</v>
      </c>
      <c r="B1212" t="str">
        <f t="shared" si="111"/>
        <v>Male</v>
      </c>
      <c r="C1212" s="8">
        <v>43</v>
      </c>
      <c r="D1212" t="str">
        <f t="shared" si="112"/>
        <v>Middle Age</v>
      </c>
      <c r="E1212">
        <v>4</v>
      </c>
      <c r="F1212" t="str">
        <f>HLOOKUP(E1212, LookUP_Table!$A$6:$D$7, 2, FALSE)</f>
        <v>Post Graduate</v>
      </c>
      <c r="G1212" t="str">
        <f>IFERROR(VLOOKUP(E1212, LookUP_Table!$A$1:$B$4, 2, FALSE), "")</f>
        <v>Post Graduate</v>
      </c>
      <c r="H1212">
        <v>1</v>
      </c>
      <c r="I1212">
        <v>25</v>
      </c>
      <c r="J1212" t="str">
        <f t="shared" si="108"/>
        <v>Smoker</v>
      </c>
      <c r="K1212">
        <v>0</v>
      </c>
      <c r="L1212">
        <v>0</v>
      </c>
      <c r="M1212">
        <v>0</v>
      </c>
      <c r="N1212">
        <v>0</v>
      </c>
      <c r="O1212">
        <v>296</v>
      </c>
      <c r="P1212" t="str">
        <f t="shared" si="109"/>
        <v>High</v>
      </c>
      <c r="Q1212">
        <v>137</v>
      </c>
      <c r="R1212">
        <v>90</v>
      </c>
      <c r="S1212">
        <v>23.97</v>
      </c>
      <c r="T1212" t="str">
        <f t="shared" si="110"/>
        <v>Normal</v>
      </c>
      <c r="U1212">
        <v>72</v>
      </c>
      <c r="V1212">
        <v>97</v>
      </c>
      <c r="W1212" t="str">
        <f t="shared" si="113"/>
        <v>Normal</v>
      </c>
      <c r="X1212">
        <v>0</v>
      </c>
    </row>
    <row r="1213" spans="1:24" ht="14.5" thickBot="1" x14ac:dyDescent="0.35">
      <c r="A1213">
        <v>1</v>
      </c>
      <c r="B1213" t="str">
        <f t="shared" si="111"/>
        <v>Male</v>
      </c>
      <c r="C1213" s="8">
        <v>43</v>
      </c>
      <c r="D1213" t="str">
        <f t="shared" si="112"/>
        <v>Middle Age</v>
      </c>
      <c r="E1213">
        <v>1</v>
      </c>
      <c r="F1213" t="str">
        <f>HLOOKUP(E1213, LookUP_Table!$A$6:$D$7, 2, FALSE)</f>
        <v>Primary</v>
      </c>
      <c r="G1213" t="str">
        <f>IFERROR(VLOOKUP(E1213, LookUP_Table!$A$1:$B$4, 2, FALSE), "")</f>
        <v>Primary</v>
      </c>
      <c r="H1213">
        <v>1</v>
      </c>
      <c r="I1213">
        <v>30</v>
      </c>
      <c r="J1213" t="str">
        <f t="shared" si="108"/>
        <v>Smoker</v>
      </c>
      <c r="K1213">
        <v>0</v>
      </c>
      <c r="L1213">
        <v>0</v>
      </c>
      <c r="M1213">
        <v>0</v>
      </c>
      <c r="N1213">
        <v>0</v>
      </c>
      <c r="O1213">
        <v>252</v>
      </c>
      <c r="P1213" t="str">
        <f t="shared" si="109"/>
        <v>High</v>
      </c>
      <c r="Q1213">
        <v>112</v>
      </c>
      <c r="R1213">
        <v>78</v>
      </c>
      <c r="S1213">
        <v>24.25</v>
      </c>
      <c r="T1213" t="str">
        <f t="shared" si="110"/>
        <v>Normal</v>
      </c>
      <c r="U1213">
        <v>90</v>
      </c>
      <c r="V1213">
        <v>65</v>
      </c>
      <c r="W1213" t="str">
        <f t="shared" si="113"/>
        <v>Normal</v>
      </c>
      <c r="X1213">
        <v>1</v>
      </c>
    </row>
    <row r="1214" spans="1:24" ht="14.5" thickBot="1" x14ac:dyDescent="0.35">
      <c r="A1214">
        <v>1</v>
      </c>
      <c r="B1214" t="str">
        <f t="shared" si="111"/>
        <v>Male</v>
      </c>
      <c r="C1214" s="8">
        <v>43</v>
      </c>
      <c r="D1214" t="str">
        <f t="shared" si="112"/>
        <v>Middle Age</v>
      </c>
      <c r="E1214">
        <v>2</v>
      </c>
      <c r="F1214" t="str">
        <f>HLOOKUP(E1214, LookUP_Table!$A$6:$D$7, 2, FALSE)</f>
        <v>Secondary</v>
      </c>
      <c r="G1214" t="str">
        <f>IFERROR(VLOOKUP(E1214, LookUP_Table!$A$1:$B$4, 2, FALSE), "")</f>
        <v>Secondary</v>
      </c>
      <c r="H1214">
        <v>0</v>
      </c>
      <c r="I1214">
        <v>0</v>
      </c>
      <c r="J1214" t="str">
        <f t="shared" si="108"/>
        <v>Non-Smoker</v>
      </c>
      <c r="K1214">
        <v>0</v>
      </c>
      <c r="L1214">
        <v>0</v>
      </c>
      <c r="M1214">
        <v>0</v>
      </c>
      <c r="N1214">
        <v>0</v>
      </c>
      <c r="O1214">
        <v>206</v>
      </c>
      <c r="P1214" t="str">
        <f t="shared" si="109"/>
        <v>Normal</v>
      </c>
      <c r="Q1214">
        <v>107.5</v>
      </c>
      <c r="R1214">
        <v>73.5</v>
      </c>
      <c r="S1214">
        <v>24.17</v>
      </c>
      <c r="T1214" t="str">
        <f t="shared" si="110"/>
        <v>Normal</v>
      </c>
      <c r="U1214">
        <v>60</v>
      </c>
      <c r="V1214">
        <v>71</v>
      </c>
      <c r="W1214" t="str">
        <f t="shared" si="113"/>
        <v>Normal</v>
      </c>
      <c r="X1214">
        <v>1</v>
      </c>
    </row>
    <row r="1215" spans="1:24" ht="14.5" thickBot="1" x14ac:dyDescent="0.35">
      <c r="A1215">
        <v>0</v>
      </c>
      <c r="B1215" t="str">
        <f t="shared" si="111"/>
        <v>Female</v>
      </c>
      <c r="C1215" s="8">
        <v>43</v>
      </c>
      <c r="D1215" t="str">
        <f t="shared" si="112"/>
        <v>Middle Age</v>
      </c>
      <c r="E1215">
        <v>3</v>
      </c>
      <c r="F1215" t="str">
        <f>HLOOKUP(E1215, LookUP_Table!$A$6:$D$7, 2, FALSE)</f>
        <v>Graduate</v>
      </c>
      <c r="G1215" t="str">
        <f>IFERROR(VLOOKUP(E1215, LookUP_Table!$A$1:$B$4, 2, FALSE), "")</f>
        <v>Graduate</v>
      </c>
      <c r="H1215">
        <v>1</v>
      </c>
      <c r="I1215">
        <v>20</v>
      </c>
      <c r="J1215" t="str">
        <f t="shared" si="108"/>
        <v>Smoker</v>
      </c>
      <c r="K1215">
        <v>0</v>
      </c>
      <c r="L1215">
        <v>0</v>
      </c>
      <c r="M1215">
        <v>0</v>
      </c>
      <c r="N1215">
        <v>0</v>
      </c>
      <c r="O1215">
        <v>276</v>
      </c>
      <c r="P1215" t="str">
        <f t="shared" si="109"/>
        <v>High</v>
      </c>
      <c r="Q1215">
        <v>138</v>
      </c>
      <c r="R1215">
        <v>88</v>
      </c>
      <c r="S1215">
        <v>20.399999999999999</v>
      </c>
      <c r="T1215" t="str">
        <f t="shared" si="110"/>
        <v>Normal</v>
      </c>
      <c r="U1215">
        <v>82</v>
      </c>
      <c r="V1215">
        <v>70</v>
      </c>
      <c r="W1215" t="str">
        <f t="shared" si="113"/>
        <v>Normal</v>
      </c>
      <c r="X1215">
        <v>0</v>
      </c>
    </row>
    <row r="1216" spans="1:24" ht="14.5" thickBot="1" x14ac:dyDescent="0.35">
      <c r="A1216">
        <v>0</v>
      </c>
      <c r="B1216" t="str">
        <f t="shared" si="111"/>
        <v>Female</v>
      </c>
      <c r="C1216" s="8">
        <v>43</v>
      </c>
      <c r="D1216" t="str">
        <f t="shared" si="112"/>
        <v>Middle Age</v>
      </c>
      <c r="E1216">
        <v>1</v>
      </c>
      <c r="F1216" t="str">
        <f>HLOOKUP(E1216, LookUP_Table!$A$6:$D$7, 2, FALSE)</f>
        <v>Primary</v>
      </c>
      <c r="G1216" t="str">
        <f>IFERROR(VLOOKUP(E1216, LookUP_Table!$A$1:$B$4, 2, FALSE), "")</f>
        <v>Primary</v>
      </c>
      <c r="H1216">
        <v>1</v>
      </c>
      <c r="I1216">
        <v>10</v>
      </c>
      <c r="J1216" t="str">
        <f t="shared" si="108"/>
        <v>Smoker</v>
      </c>
      <c r="K1216">
        <v>0</v>
      </c>
      <c r="L1216">
        <v>0</v>
      </c>
      <c r="M1216">
        <v>0</v>
      </c>
      <c r="N1216">
        <v>0</v>
      </c>
      <c r="O1216">
        <v>269</v>
      </c>
      <c r="P1216" t="str">
        <f t="shared" si="109"/>
        <v>High</v>
      </c>
      <c r="Q1216">
        <v>139</v>
      </c>
      <c r="R1216">
        <v>96</v>
      </c>
      <c r="S1216">
        <v>24.38</v>
      </c>
      <c r="T1216" t="str">
        <f t="shared" si="110"/>
        <v>Normal</v>
      </c>
      <c r="U1216">
        <v>77</v>
      </c>
      <c r="V1216">
        <v>71</v>
      </c>
      <c r="W1216" t="str">
        <f t="shared" si="113"/>
        <v>Normal</v>
      </c>
      <c r="X1216">
        <v>0</v>
      </c>
    </row>
    <row r="1217" spans="1:24" ht="14.5" thickBot="1" x14ac:dyDescent="0.35">
      <c r="A1217">
        <v>1</v>
      </c>
      <c r="B1217" t="str">
        <f t="shared" si="111"/>
        <v>Male</v>
      </c>
      <c r="C1217" s="8">
        <v>43</v>
      </c>
      <c r="D1217" t="str">
        <f t="shared" si="112"/>
        <v>Middle Age</v>
      </c>
      <c r="E1217">
        <v>2</v>
      </c>
      <c r="F1217" t="str">
        <f>HLOOKUP(E1217, LookUP_Table!$A$6:$D$7, 2, FALSE)</f>
        <v>Secondary</v>
      </c>
      <c r="G1217" t="str">
        <f>IFERROR(VLOOKUP(E1217, LookUP_Table!$A$1:$B$4, 2, FALSE), "")</f>
        <v>Secondary</v>
      </c>
      <c r="H1217">
        <v>0</v>
      </c>
      <c r="I1217">
        <v>0</v>
      </c>
      <c r="J1217" t="str">
        <f t="shared" si="108"/>
        <v>Non-Smoker</v>
      </c>
      <c r="K1217">
        <v>0</v>
      </c>
      <c r="L1217">
        <v>0</v>
      </c>
      <c r="M1217">
        <v>1</v>
      </c>
      <c r="N1217">
        <v>0</v>
      </c>
      <c r="O1217">
        <v>177</v>
      </c>
      <c r="P1217" t="str">
        <f t="shared" si="109"/>
        <v>Normal</v>
      </c>
      <c r="Q1217">
        <v>147.5</v>
      </c>
      <c r="R1217">
        <v>92</v>
      </c>
      <c r="S1217">
        <v>24.81</v>
      </c>
      <c r="T1217" t="str">
        <f t="shared" si="110"/>
        <v>Normal</v>
      </c>
      <c r="U1217">
        <v>64</v>
      </c>
      <c r="V1217">
        <v>90</v>
      </c>
      <c r="W1217" t="str">
        <f t="shared" si="113"/>
        <v>Normal</v>
      </c>
      <c r="X1217">
        <v>0</v>
      </c>
    </row>
    <row r="1218" spans="1:24" ht="14.5" thickBot="1" x14ac:dyDescent="0.35">
      <c r="A1218">
        <v>0</v>
      </c>
      <c r="B1218" t="str">
        <f t="shared" si="111"/>
        <v>Female</v>
      </c>
      <c r="C1218" s="8">
        <v>43</v>
      </c>
      <c r="D1218" t="str">
        <f t="shared" si="112"/>
        <v>Middle Age</v>
      </c>
      <c r="E1218">
        <v>4</v>
      </c>
      <c r="F1218" t="str">
        <f>HLOOKUP(E1218, LookUP_Table!$A$6:$D$7, 2, FALSE)</f>
        <v>Post Graduate</v>
      </c>
      <c r="G1218" t="str">
        <f>IFERROR(VLOOKUP(E1218, LookUP_Table!$A$1:$B$4, 2, FALSE), "")</f>
        <v>Post Graduate</v>
      </c>
      <c r="H1218">
        <v>1</v>
      </c>
      <c r="I1218">
        <v>15</v>
      </c>
      <c r="J1218" t="str">
        <f t="shared" ref="J1218:J1281" si="114">IF(I1218&gt;0,"Smoker","Non-Smoker")</f>
        <v>Smoker</v>
      </c>
      <c r="K1218">
        <v>0</v>
      </c>
      <c r="L1218">
        <v>0</v>
      </c>
      <c r="M1218">
        <v>0</v>
      </c>
      <c r="N1218">
        <v>0</v>
      </c>
      <c r="O1218">
        <v>205</v>
      </c>
      <c r="P1218" t="str">
        <f t="shared" ref="P1218:P1281" si="115">IF(O1218&gt;240,"High","Normal")</f>
        <v>Normal</v>
      </c>
      <c r="Q1218">
        <v>128.5</v>
      </c>
      <c r="R1218">
        <v>96</v>
      </c>
      <c r="S1218">
        <v>22.34</v>
      </c>
      <c r="T1218" t="str">
        <f t="shared" ref="T1218:T1281" si="116">IF(S1218&lt;18.5,"Underweight",
IF(S1218&lt;25,"Normal",
IF(S1218&lt;30,"Overweight","Obese")))</f>
        <v>Normal</v>
      </c>
      <c r="U1218">
        <v>100</v>
      </c>
      <c r="V1218">
        <v>81.96365524402907</v>
      </c>
      <c r="W1218" t="str">
        <f t="shared" si="113"/>
        <v>Normal</v>
      </c>
      <c r="X1218">
        <v>0</v>
      </c>
    </row>
    <row r="1219" spans="1:24" ht="14.5" thickBot="1" x14ac:dyDescent="0.35">
      <c r="A1219">
        <v>1</v>
      </c>
      <c r="B1219" t="str">
        <f t="shared" ref="B1219:B1282" si="117">IF(A1219=0,"Female","Male")</f>
        <v>Male</v>
      </c>
      <c r="C1219" s="8">
        <v>43</v>
      </c>
      <c r="D1219" t="str">
        <f t="shared" ref="D1219:D1282" si="118">IF(C1219&lt;40,"Young",
IF(C1219&lt;55,"Middle Age","Senior"))</f>
        <v>Middle Age</v>
      </c>
      <c r="E1219">
        <v>2</v>
      </c>
      <c r="F1219" t="str">
        <f>HLOOKUP(E1219, LookUP_Table!$A$6:$D$7, 2, FALSE)</f>
        <v>Secondary</v>
      </c>
      <c r="G1219" t="str">
        <f>IFERROR(VLOOKUP(E1219, LookUP_Table!$A$1:$B$4, 2, FALSE), "")</f>
        <v>Secondary</v>
      </c>
      <c r="H1219">
        <v>1</v>
      </c>
      <c r="I1219">
        <v>20</v>
      </c>
      <c r="J1219" t="str">
        <f t="shared" si="114"/>
        <v>Smoker</v>
      </c>
      <c r="K1219">
        <v>0</v>
      </c>
      <c r="L1219">
        <v>0</v>
      </c>
      <c r="M1219">
        <v>0</v>
      </c>
      <c r="N1219">
        <v>0</v>
      </c>
      <c r="O1219">
        <v>195</v>
      </c>
      <c r="P1219" t="str">
        <f t="shared" si="115"/>
        <v>Normal</v>
      </c>
      <c r="Q1219">
        <v>113</v>
      </c>
      <c r="R1219">
        <v>81</v>
      </c>
      <c r="S1219">
        <v>34.32</v>
      </c>
      <c r="T1219" t="str">
        <f t="shared" si="116"/>
        <v>Obese</v>
      </c>
      <c r="U1219">
        <v>70</v>
      </c>
      <c r="V1219">
        <v>87</v>
      </c>
      <c r="W1219" t="str">
        <f t="shared" ref="W1219:W1282" si="119">IF(V1219 &lt; 100, "Normal", IF(V1219 &lt;= 125, "Prediabetes", "Diabetes"))</f>
        <v>Normal</v>
      </c>
      <c r="X1219">
        <v>0</v>
      </c>
    </row>
    <row r="1220" spans="1:24" ht="14.5" thickBot="1" x14ac:dyDescent="0.35">
      <c r="A1220">
        <v>0</v>
      </c>
      <c r="B1220" t="str">
        <f t="shared" si="117"/>
        <v>Female</v>
      </c>
      <c r="C1220" s="8">
        <v>43</v>
      </c>
      <c r="D1220" t="str">
        <f t="shared" si="118"/>
        <v>Middle Age</v>
      </c>
      <c r="E1220">
        <v>4</v>
      </c>
      <c r="F1220" t="str">
        <f>HLOOKUP(E1220, LookUP_Table!$A$6:$D$7, 2, FALSE)</f>
        <v>Post Graduate</v>
      </c>
      <c r="G1220" t="str">
        <f>IFERROR(VLOOKUP(E1220, LookUP_Table!$A$1:$B$4, 2, FALSE), "")</f>
        <v>Post Graduate</v>
      </c>
      <c r="H1220">
        <v>1</v>
      </c>
      <c r="I1220">
        <v>9</v>
      </c>
      <c r="J1220" t="str">
        <f t="shared" si="114"/>
        <v>Smoker</v>
      </c>
      <c r="K1220">
        <v>0</v>
      </c>
      <c r="L1220">
        <v>0</v>
      </c>
      <c r="M1220">
        <v>0</v>
      </c>
      <c r="N1220">
        <v>0</v>
      </c>
      <c r="O1220">
        <v>207</v>
      </c>
      <c r="P1220" t="str">
        <f t="shared" si="115"/>
        <v>Normal</v>
      </c>
      <c r="Q1220">
        <v>95.5</v>
      </c>
      <c r="R1220">
        <v>70</v>
      </c>
      <c r="S1220">
        <v>19.78</v>
      </c>
      <c r="T1220" t="str">
        <f t="shared" si="116"/>
        <v>Normal</v>
      </c>
      <c r="U1220">
        <v>93</v>
      </c>
      <c r="V1220">
        <v>79</v>
      </c>
      <c r="W1220" t="str">
        <f t="shared" si="119"/>
        <v>Normal</v>
      </c>
      <c r="X1220">
        <v>0</v>
      </c>
    </row>
    <row r="1221" spans="1:24" ht="14.5" thickBot="1" x14ac:dyDescent="0.35">
      <c r="A1221">
        <v>1</v>
      </c>
      <c r="B1221" t="str">
        <f t="shared" si="117"/>
        <v>Male</v>
      </c>
      <c r="C1221" s="8">
        <v>43</v>
      </c>
      <c r="D1221" t="str">
        <f t="shared" si="118"/>
        <v>Middle Age</v>
      </c>
      <c r="E1221">
        <v>3</v>
      </c>
      <c r="F1221" t="str">
        <f>HLOOKUP(E1221, LookUP_Table!$A$6:$D$7, 2, FALSE)</f>
        <v>Graduate</v>
      </c>
      <c r="G1221" t="str">
        <f>IFERROR(VLOOKUP(E1221, LookUP_Table!$A$1:$B$4, 2, FALSE), "")</f>
        <v>Graduate</v>
      </c>
      <c r="H1221">
        <v>0</v>
      </c>
      <c r="I1221">
        <v>0</v>
      </c>
      <c r="J1221" t="str">
        <f t="shared" si="114"/>
        <v>Non-Smoker</v>
      </c>
      <c r="K1221">
        <v>0</v>
      </c>
      <c r="L1221">
        <v>0</v>
      </c>
      <c r="M1221">
        <v>0</v>
      </c>
      <c r="N1221">
        <v>0</v>
      </c>
      <c r="O1221">
        <v>237</v>
      </c>
      <c r="P1221" t="str">
        <f t="shared" si="115"/>
        <v>Normal</v>
      </c>
      <c r="Q1221">
        <v>104</v>
      </c>
      <c r="R1221">
        <v>74</v>
      </c>
      <c r="S1221">
        <v>23.02</v>
      </c>
      <c r="T1221" t="str">
        <f t="shared" si="116"/>
        <v>Normal</v>
      </c>
      <c r="U1221">
        <v>60</v>
      </c>
      <c r="V1221">
        <v>77</v>
      </c>
      <c r="W1221" t="str">
        <f t="shared" si="119"/>
        <v>Normal</v>
      </c>
      <c r="X1221">
        <v>0</v>
      </c>
    </row>
    <row r="1222" spans="1:24" ht="14.5" thickBot="1" x14ac:dyDescent="0.35">
      <c r="A1222">
        <v>0</v>
      </c>
      <c r="B1222" t="str">
        <f t="shared" si="117"/>
        <v>Female</v>
      </c>
      <c r="C1222" s="8">
        <v>43</v>
      </c>
      <c r="D1222" t="str">
        <f t="shared" si="118"/>
        <v>Middle Age</v>
      </c>
      <c r="E1222">
        <v>1</v>
      </c>
      <c r="F1222" t="str">
        <f>HLOOKUP(E1222, LookUP_Table!$A$6:$D$7, 2, FALSE)</f>
        <v>Primary</v>
      </c>
      <c r="G1222" t="str">
        <f>IFERROR(VLOOKUP(E1222, LookUP_Table!$A$1:$B$4, 2, FALSE), "")</f>
        <v>Primary</v>
      </c>
      <c r="H1222">
        <v>0</v>
      </c>
      <c r="I1222">
        <v>0</v>
      </c>
      <c r="J1222" t="str">
        <f t="shared" si="114"/>
        <v>Non-Smoker</v>
      </c>
      <c r="K1222">
        <v>0</v>
      </c>
      <c r="L1222">
        <v>0</v>
      </c>
      <c r="M1222">
        <v>0</v>
      </c>
      <c r="N1222">
        <v>0</v>
      </c>
      <c r="O1222">
        <v>202</v>
      </c>
      <c r="P1222" t="str">
        <f t="shared" si="115"/>
        <v>Normal</v>
      </c>
      <c r="Q1222">
        <v>124</v>
      </c>
      <c r="R1222">
        <v>92</v>
      </c>
      <c r="S1222">
        <v>21.26</v>
      </c>
      <c r="T1222" t="str">
        <f t="shared" si="116"/>
        <v>Normal</v>
      </c>
      <c r="U1222">
        <v>75</v>
      </c>
      <c r="V1222">
        <v>74</v>
      </c>
      <c r="W1222" t="str">
        <f t="shared" si="119"/>
        <v>Normal</v>
      </c>
      <c r="X1222">
        <v>0</v>
      </c>
    </row>
    <row r="1223" spans="1:24" ht="14.5" thickBot="1" x14ac:dyDescent="0.35">
      <c r="A1223">
        <v>0</v>
      </c>
      <c r="B1223" t="str">
        <f t="shared" si="117"/>
        <v>Female</v>
      </c>
      <c r="C1223" s="8">
        <v>43</v>
      </c>
      <c r="D1223" t="str">
        <f t="shared" si="118"/>
        <v>Middle Age</v>
      </c>
      <c r="E1223">
        <v>2</v>
      </c>
      <c r="F1223" t="str">
        <f>HLOOKUP(E1223, LookUP_Table!$A$6:$D$7, 2, FALSE)</f>
        <v>Secondary</v>
      </c>
      <c r="G1223" t="str">
        <f>IFERROR(VLOOKUP(E1223, LookUP_Table!$A$1:$B$4, 2, FALSE), "")</f>
        <v>Secondary</v>
      </c>
      <c r="H1223">
        <v>1</v>
      </c>
      <c r="I1223">
        <v>15</v>
      </c>
      <c r="J1223" t="str">
        <f t="shared" si="114"/>
        <v>Smoker</v>
      </c>
      <c r="K1223">
        <v>0</v>
      </c>
      <c r="L1223">
        <v>0</v>
      </c>
      <c r="M1223">
        <v>0</v>
      </c>
      <c r="N1223">
        <v>0</v>
      </c>
      <c r="O1223">
        <v>300</v>
      </c>
      <c r="P1223" t="str">
        <f t="shared" si="115"/>
        <v>High</v>
      </c>
      <c r="Q1223">
        <v>120</v>
      </c>
      <c r="R1223">
        <v>78</v>
      </c>
      <c r="S1223">
        <v>28.18</v>
      </c>
      <c r="T1223" t="str">
        <f t="shared" si="116"/>
        <v>Overweight</v>
      </c>
      <c r="U1223">
        <v>75</v>
      </c>
      <c r="V1223">
        <v>106</v>
      </c>
      <c r="W1223" t="str">
        <f t="shared" si="119"/>
        <v>Prediabetes</v>
      </c>
      <c r="X1223">
        <v>1</v>
      </c>
    </row>
    <row r="1224" spans="1:24" ht="14.5" thickBot="1" x14ac:dyDescent="0.35">
      <c r="A1224">
        <v>0</v>
      </c>
      <c r="B1224" t="str">
        <f t="shared" si="117"/>
        <v>Female</v>
      </c>
      <c r="C1224" s="8">
        <v>43</v>
      </c>
      <c r="D1224" t="str">
        <f t="shared" si="118"/>
        <v>Middle Age</v>
      </c>
      <c r="E1224">
        <v>1</v>
      </c>
      <c r="F1224" t="str">
        <f>HLOOKUP(E1224, LookUP_Table!$A$6:$D$7, 2, FALSE)</f>
        <v>Primary</v>
      </c>
      <c r="G1224" t="str">
        <f>IFERROR(VLOOKUP(E1224, LookUP_Table!$A$1:$B$4, 2, FALSE), "")</f>
        <v>Primary</v>
      </c>
      <c r="H1224">
        <v>1</v>
      </c>
      <c r="I1224">
        <v>20</v>
      </c>
      <c r="J1224" t="str">
        <f t="shared" si="114"/>
        <v>Smoker</v>
      </c>
      <c r="K1224">
        <v>0</v>
      </c>
      <c r="L1224">
        <v>0</v>
      </c>
      <c r="M1224">
        <v>0</v>
      </c>
      <c r="N1224">
        <v>0</v>
      </c>
      <c r="O1224">
        <v>200</v>
      </c>
      <c r="P1224" t="str">
        <f t="shared" si="115"/>
        <v>Normal</v>
      </c>
      <c r="Q1224">
        <v>115</v>
      </c>
      <c r="R1224">
        <v>80</v>
      </c>
      <c r="S1224">
        <v>26.66</v>
      </c>
      <c r="T1224" t="str">
        <f t="shared" si="116"/>
        <v>Overweight</v>
      </c>
      <c r="U1224">
        <v>60</v>
      </c>
      <c r="V1224">
        <v>81</v>
      </c>
      <c r="W1224" t="str">
        <f t="shared" si="119"/>
        <v>Normal</v>
      </c>
      <c r="X1224">
        <v>0</v>
      </c>
    </row>
    <row r="1225" spans="1:24" ht="14.5" thickBot="1" x14ac:dyDescent="0.35">
      <c r="A1225">
        <v>0</v>
      </c>
      <c r="B1225" t="str">
        <f t="shared" si="117"/>
        <v>Female</v>
      </c>
      <c r="C1225" s="8">
        <v>43</v>
      </c>
      <c r="D1225" t="str">
        <f t="shared" si="118"/>
        <v>Middle Age</v>
      </c>
      <c r="E1225">
        <v>3</v>
      </c>
      <c r="F1225" t="str">
        <f>HLOOKUP(E1225, LookUP_Table!$A$6:$D$7, 2, FALSE)</f>
        <v>Graduate</v>
      </c>
      <c r="G1225" t="str">
        <f>IFERROR(VLOOKUP(E1225, LookUP_Table!$A$1:$B$4, 2, FALSE), "")</f>
        <v>Graduate</v>
      </c>
      <c r="H1225">
        <v>1</v>
      </c>
      <c r="I1225">
        <v>20</v>
      </c>
      <c r="J1225" t="str">
        <f t="shared" si="114"/>
        <v>Smoker</v>
      </c>
      <c r="K1225">
        <v>0</v>
      </c>
      <c r="L1225">
        <v>0</v>
      </c>
      <c r="M1225">
        <v>0</v>
      </c>
      <c r="N1225">
        <v>0</v>
      </c>
      <c r="O1225">
        <v>202</v>
      </c>
      <c r="P1225" t="str">
        <f t="shared" si="115"/>
        <v>Normal</v>
      </c>
      <c r="Q1225">
        <v>114</v>
      </c>
      <c r="R1225">
        <v>78</v>
      </c>
      <c r="S1225">
        <v>26.61</v>
      </c>
      <c r="T1225" t="str">
        <f t="shared" si="116"/>
        <v>Overweight</v>
      </c>
      <c r="U1225">
        <v>82</v>
      </c>
      <c r="V1225">
        <v>87</v>
      </c>
      <c r="W1225" t="str">
        <f t="shared" si="119"/>
        <v>Normal</v>
      </c>
      <c r="X1225">
        <v>0</v>
      </c>
    </row>
    <row r="1226" spans="1:24" ht="14.5" thickBot="1" x14ac:dyDescent="0.35">
      <c r="A1226">
        <v>1</v>
      </c>
      <c r="B1226" t="str">
        <f t="shared" si="117"/>
        <v>Male</v>
      </c>
      <c r="C1226" s="8">
        <v>43</v>
      </c>
      <c r="D1226" t="str">
        <f t="shared" si="118"/>
        <v>Middle Age</v>
      </c>
      <c r="E1226">
        <v>3</v>
      </c>
      <c r="F1226" t="str">
        <f>HLOOKUP(E1226, LookUP_Table!$A$6:$D$7, 2, FALSE)</f>
        <v>Graduate</v>
      </c>
      <c r="G1226" t="str">
        <f>IFERROR(VLOOKUP(E1226, LookUP_Table!$A$1:$B$4, 2, FALSE), "")</f>
        <v>Graduate</v>
      </c>
      <c r="H1226">
        <v>0</v>
      </c>
      <c r="I1226">
        <v>0</v>
      </c>
      <c r="J1226" t="str">
        <f t="shared" si="114"/>
        <v>Non-Smoker</v>
      </c>
      <c r="K1226">
        <v>0</v>
      </c>
      <c r="L1226">
        <v>0</v>
      </c>
      <c r="M1226">
        <v>0</v>
      </c>
      <c r="N1226">
        <v>0</v>
      </c>
      <c r="O1226">
        <v>199</v>
      </c>
      <c r="P1226" t="str">
        <f t="shared" si="115"/>
        <v>Normal</v>
      </c>
      <c r="Q1226">
        <v>124.5</v>
      </c>
      <c r="R1226">
        <v>84.5</v>
      </c>
      <c r="S1226">
        <v>24.45</v>
      </c>
      <c r="T1226" t="str">
        <f t="shared" si="116"/>
        <v>Normal</v>
      </c>
      <c r="U1226">
        <v>74</v>
      </c>
      <c r="V1226">
        <v>81.96365524402907</v>
      </c>
      <c r="W1226" t="str">
        <f t="shared" si="119"/>
        <v>Normal</v>
      </c>
      <c r="X1226">
        <v>0</v>
      </c>
    </row>
    <row r="1227" spans="1:24" ht="14.5" thickBot="1" x14ac:dyDescent="0.35">
      <c r="A1227">
        <v>0</v>
      </c>
      <c r="B1227" t="str">
        <f t="shared" si="117"/>
        <v>Female</v>
      </c>
      <c r="C1227" s="8">
        <v>43</v>
      </c>
      <c r="D1227" t="str">
        <f t="shared" si="118"/>
        <v>Middle Age</v>
      </c>
      <c r="E1227">
        <v>3</v>
      </c>
      <c r="F1227" t="str">
        <f>HLOOKUP(E1227, LookUP_Table!$A$6:$D$7, 2, FALSE)</f>
        <v>Graduate</v>
      </c>
      <c r="G1227" t="str">
        <f>IFERROR(VLOOKUP(E1227, LookUP_Table!$A$1:$B$4, 2, FALSE), "")</f>
        <v>Graduate</v>
      </c>
      <c r="H1227">
        <v>1</v>
      </c>
      <c r="I1227">
        <v>5</v>
      </c>
      <c r="J1227" t="str">
        <f t="shared" si="114"/>
        <v>Smoker</v>
      </c>
      <c r="K1227">
        <v>0</v>
      </c>
      <c r="L1227">
        <v>0</v>
      </c>
      <c r="M1227">
        <v>0</v>
      </c>
      <c r="N1227">
        <v>0</v>
      </c>
      <c r="O1227">
        <v>214</v>
      </c>
      <c r="P1227" t="str">
        <f t="shared" si="115"/>
        <v>Normal</v>
      </c>
      <c r="Q1227">
        <v>121</v>
      </c>
      <c r="R1227">
        <v>84</v>
      </c>
      <c r="S1227">
        <v>24.68</v>
      </c>
      <c r="T1227" t="str">
        <f t="shared" si="116"/>
        <v>Normal</v>
      </c>
      <c r="U1227">
        <v>80</v>
      </c>
      <c r="V1227">
        <v>74</v>
      </c>
      <c r="W1227" t="str">
        <f t="shared" si="119"/>
        <v>Normal</v>
      </c>
      <c r="X1227">
        <v>0</v>
      </c>
    </row>
    <row r="1228" spans="1:24" ht="14.5" thickBot="1" x14ac:dyDescent="0.35">
      <c r="A1228">
        <v>1</v>
      </c>
      <c r="B1228" t="str">
        <f t="shared" si="117"/>
        <v>Male</v>
      </c>
      <c r="C1228" s="8">
        <v>43</v>
      </c>
      <c r="D1228" t="str">
        <f t="shared" si="118"/>
        <v>Middle Age</v>
      </c>
      <c r="E1228">
        <v>2</v>
      </c>
      <c r="F1228" t="str">
        <f>HLOOKUP(E1228, LookUP_Table!$A$6:$D$7, 2, FALSE)</f>
        <v>Secondary</v>
      </c>
      <c r="G1228" t="str">
        <f>IFERROR(VLOOKUP(E1228, LookUP_Table!$A$1:$B$4, 2, FALSE), "")</f>
        <v>Secondary</v>
      </c>
      <c r="H1228">
        <v>0</v>
      </c>
      <c r="I1228">
        <v>0</v>
      </c>
      <c r="J1228" t="str">
        <f t="shared" si="114"/>
        <v>Non-Smoker</v>
      </c>
      <c r="K1228">
        <v>0</v>
      </c>
      <c r="L1228">
        <v>0</v>
      </c>
      <c r="M1228">
        <v>1</v>
      </c>
      <c r="N1228">
        <v>0</v>
      </c>
      <c r="O1228">
        <v>245</v>
      </c>
      <c r="P1228" t="str">
        <f t="shared" si="115"/>
        <v>High</v>
      </c>
      <c r="Q1228">
        <v>144.5</v>
      </c>
      <c r="R1228">
        <v>95</v>
      </c>
      <c r="S1228">
        <v>27.15</v>
      </c>
      <c r="T1228" t="str">
        <f t="shared" si="116"/>
        <v>Overweight</v>
      </c>
      <c r="U1228">
        <v>70</v>
      </c>
      <c r="V1228">
        <v>45</v>
      </c>
      <c r="W1228" t="str">
        <f t="shared" si="119"/>
        <v>Normal</v>
      </c>
      <c r="X1228">
        <v>0</v>
      </c>
    </row>
    <row r="1229" spans="1:24" ht="14.5" thickBot="1" x14ac:dyDescent="0.35">
      <c r="A1229">
        <v>0</v>
      </c>
      <c r="B1229" t="str">
        <f t="shared" si="117"/>
        <v>Female</v>
      </c>
      <c r="C1229" s="8">
        <v>43</v>
      </c>
      <c r="D1229" t="str">
        <f t="shared" si="118"/>
        <v>Middle Age</v>
      </c>
      <c r="E1229">
        <v>2</v>
      </c>
      <c r="F1229" t="str">
        <f>HLOOKUP(E1229, LookUP_Table!$A$6:$D$7, 2, FALSE)</f>
        <v>Secondary</v>
      </c>
      <c r="G1229" t="str">
        <f>IFERROR(VLOOKUP(E1229, LookUP_Table!$A$1:$B$4, 2, FALSE), "")</f>
        <v>Secondary</v>
      </c>
      <c r="H1229">
        <v>0</v>
      </c>
      <c r="I1229">
        <v>0</v>
      </c>
      <c r="J1229" t="str">
        <f t="shared" si="114"/>
        <v>Non-Smoker</v>
      </c>
      <c r="K1229">
        <v>0</v>
      </c>
      <c r="L1229">
        <v>0</v>
      </c>
      <c r="M1229">
        <v>0</v>
      </c>
      <c r="N1229">
        <v>0</v>
      </c>
      <c r="O1229">
        <v>232</v>
      </c>
      <c r="P1229" t="str">
        <f t="shared" si="115"/>
        <v>Normal</v>
      </c>
      <c r="Q1229">
        <v>127</v>
      </c>
      <c r="R1229">
        <v>79</v>
      </c>
      <c r="S1229">
        <v>30.79</v>
      </c>
      <c r="T1229" t="str">
        <f t="shared" si="116"/>
        <v>Obese</v>
      </c>
      <c r="U1229">
        <v>75</v>
      </c>
      <c r="V1229">
        <v>54</v>
      </c>
      <c r="W1229" t="str">
        <f t="shared" si="119"/>
        <v>Normal</v>
      </c>
      <c r="X1229">
        <v>0</v>
      </c>
    </row>
    <row r="1230" spans="1:24" ht="14.5" thickBot="1" x14ac:dyDescent="0.35">
      <c r="A1230">
        <v>1</v>
      </c>
      <c r="B1230" t="str">
        <f t="shared" si="117"/>
        <v>Male</v>
      </c>
      <c r="C1230" s="8">
        <v>43</v>
      </c>
      <c r="D1230" t="str">
        <f t="shared" si="118"/>
        <v>Middle Age</v>
      </c>
      <c r="E1230">
        <v>3</v>
      </c>
      <c r="F1230" t="str">
        <f>HLOOKUP(E1230, LookUP_Table!$A$6:$D$7, 2, FALSE)</f>
        <v>Graduate</v>
      </c>
      <c r="G1230" t="str">
        <f>IFERROR(VLOOKUP(E1230, LookUP_Table!$A$1:$B$4, 2, FALSE), "")</f>
        <v>Graduate</v>
      </c>
      <c r="H1230">
        <v>1</v>
      </c>
      <c r="I1230">
        <v>30</v>
      </c>
      <c r="J1230" t="str">
        <f t="shared" si="114"/>
        <v>Smoker</v>
      </c>
      <c r="K1230">
        <v>0</v>
      </c>
      <c r="L1230">
        <v>0</v>
      </c>
      <c r="M1230">
        <v>0</v>
      </c>
      <c r="N1230">
        <v>0</v>
      </c>
      <c r="O1230">
        <v>218</v>
      </c>
      <c r="P1230" t="str">
        <f t="shared" si="115"/>
        <v>Normal</v>
      </c>
      <c r="Q1230">
        <v>121</v>
      </c>
      <c r="R1230">
        <v>69</v>
      </c>
      <c r="S1230">
        <v>24.21</v>
      </c>
      <c r="T1230" t="str">
        <f t="shared" si="116"/>
        <v>Normal</v>
      </c>
      <c r="U1230">
        <v>65</v>
      </c>
      <c r="V1230">
        <v>103</v>
      </c>
      <c r="W1230" t="str">
        <f t="shared" si="119"/>
        <v>Prediabetes</v>
      </c>
      <c r="X1230">
        <v>0</v>
      </c>
    </row>
    <row r="1231" spans="1:24" ht="14.5" thickBot="1" x14ac:dyDescent="0.35">
      <c r="A1231">
        <v>0</v>
      </c>
      <c r="B1231" t="str">
        <f t="shared" si="117"/>
        <v>Female</v>
      </c>
      <c r="C1231" s="8">
        <v>43</v>
      </c>
      <c r="D1231" t="str">
        <f t="shared" si="118"/>
        <v>Middle Age</v>
      </c>
      <c r="E1231">
        <v>1</v>
      </c>
      <c r="F1231" t="str">
        <f>HLOOKUP(E1231, LookUP_Table!$A$6:$D$7, 2, FALSE)</f>
        <v>Primary</v>
      </c>
      <c r="G1231" t="str">
        <f>IFERROR(VLOOKUP(E1231, LookUP_Table!$A$1:$B$4, 2, FALSE), "")</f>
        <v>Primary</v>
      </c>
      <c r="H1231">
        <v>1</v>
      </c>
      <c r="I1231">
        <v>25</v>
      </c>
      <c r="J1231" t="str">
        <f t="shared" si="114"/>
        <v>Smoker</v>
      </c>
      <c r="K1231">
        <v>0</v>
      </c>
      <c r="L1231">
        <v>0</v>
      </c>
      <c r="M1231">
        <v>1</v>
      </c>
      <c r="N1231">
        <v>0</v>
      </c>
      <c r="O1231">
        <v>258</v>
      </c>
      <c r="P1231" t="str">
        <f t="shared" si="115"/>
        <v>High</v>
      </c>
      <c r="Q1231">
        <v>161.5</v>
      </c>
      <c r="R1231">
        <v>96</v>
      </c>
      <c r="S1231">
        <v>38.96</v>
      </c>
      <c r="T1231" t="str">
        <f t="shared" si="116"/>
        <v>Obese</v>
      </c>
      <c r="U1231">
        <v>88</v>
      </c>
      <c r="V1231">
        <v>84</v>
      </c>
      <c r="W1231" t="str">
        <f t="shared" si="119"/>
        <v>Normal</v>
      </c>
      <c r="X1231">
        <v>0</v>
      </c>
    </row>
    <row r="1232" spans="1:24" ht="14.5" thickBot="1" x14ac:dyDescent="0.35">
      <c r="A1232">
        <v>1</v>
      </c>
      <c r="B1232" t="str">
        <f t="shared" si="117"/>
        <v>Male</v>
      </c>
      <c r="C1232" s="8">
        <v>43</v>
      </c>
      <c r="D1232" t="str">
        <f t="shared" si="118"/>
        <v>Middle Age</v>
      </c>
      <c r="E1232">
        <v>3</v>
      </c>
      <c r="F1232" t="str">
        <f>HLOOKUP(E1232, LookUP_Table!$A$6:$D$7, 2, FALSE)</f>
        <v>Graduate</v>
      </c>
      <c r="G1232" t="str">
        <f>IFERROR(VLOOKUP(E1232, LookUP_Table!$A$1:$B$4, 2, FALSE), "")</f>
        <v>Graduate</v>
      </c>
      <c r="H1232">
        <v>1</v>
      </c>
      <c r="I1232">
        <v>10</v>
      </c>
      <c r="J1232" t="str">
        <f t="shared" si="114"/>
        <v>Smoker</v>
      </c>
      <c r="K1232">
        <v>0</v>
      </c>
      <c r="L1232">
        <v>0</v>
      </c>
      <c r="M1232">
        <v>0</v>
      </c>
      <c r="N1232">
        <v>0</v>
      </c>
      <c r="O1232">
        <v>285</v>
      </c>
      <c r="P1232" t="str">
        <f t="shared" si="115"/>
        <v>High</v>
      </c>
      <c r="Q1232">
        <v>100.5</v>
      </c>
      <c r="R1232">
        <v>66</v>
      </c>
      <c r="S1232">
        <v>22.05</v>
      </c>
      <c r="T1232" t="str">
        <f t="shared" si="116"/>
        <v>Normal</v>
      </c>
      <c r="U1232">
        <v>65</v>
      </c>
      <c r="V1232">
        <v>75</v>
      </c>
      <c r="W1232" t="str">
        <f t="shared" si="119"/>
        <v>Normal</v>
      </c>
      <c r="X1232">
        <v>0</v>
      </c>
    </row>
    <row r="1233" spans="1:24" ht="14.5" thickBot="1" x14ac:dyDescent="0.35">
      <c r="A1233">
        <v>1</v>
      </c>
      <c r="B1233" t="str">
        <f t="shared" si="117"/>
        <v>Male</v>
      </c>
      <c r="C1233" s="8">
        <v>43</v>
      </c>
      <c r="D1233" t="str">
        <f t="shared" si="118"/>
        <v>Middle Age</v>
      </c>
      <c r="E1233">
        <v>1</v>
      </c>
      <c r="F1233" t="str">
        <f>HLOOKUP(E1233, LookUP_Table!$A$6:$D$7, 2, FALSE)</f>
        <v>Primary</v>
      </c>
      <c r="G1233" t="str">
        <f>IFERROR(VLOOKUP(E1233, LookUP_Table!$A$1:$B$4, 2, FALSE), "")</f>
        <v>Primary</v>
      </c>
      <c r="H1233">
        <v>1</v>
      </c>
      <c r="I1233">
        <v>15</v>
      </c>
      <c r="J1233" t="str">
        <f t="shared" si="114"/>
        <v>Smoker</v>
      </c>
      <c r="K1233">
        <v>0</v>
      </c>
      <c r="L1233">
        <v>0</v>
      </c>
      <c r="M1233">
        <v>0</v>
      </c>
      <c r="N1233">
        <v>0</v>
      </c>
      <c r="O1233">
        <v>175</v>
      </c>
      <c r="P1233" t="str">
        <f t="shared" si="115"/>
        <v>Normal</v>
      </c>
      <c r="Q1233">
        <v>125</v>
      </c>
      <c r="R1233">
        <v>76</v>
      </c>
      <c r="S1233">
        <v>24.92</v>
      </c>
      <c r="T1233" t="str">
        <f t="shared" si="116"/>
        <v>Normal</v>
      </c>
      <c r="U1233">
        <v>80</v>
      </c>
      <c r="V1233">
        <v>95</v>
      </c>
      <c r="W1233" t="str">
        <f t="shared" si="119"/>
        <v>Normal</v>
      </c>
      <c r="X1233">
        <v>0</v>
      </c>
    </row>
    <row r="1234" spans="1:24" ht="14.5" thickBot="1" x14ac:dyDescent="0.35">
      <c r="A1234">
        <v>0</v>
      </c>
      <c r="B1234" t="str">
        <f t="shared" si="117"/>
        <v>Female</v>
      </c>
      <c r="C1234" s="8">
        <v>43</v>
      </c>
      <c r="D1234" t="str">
        <f t="shared" si="118"/>
        <v>Middle Age</v>
      </c>
      <c r="E1234">
        <v>4</v>
      </c>
      <c r="F1234" t="str">
        <f>HLOOKUP(E1234, LookUP_Table!$A$6:$D$7, 2, FALSE)</f>
        <v>Post Graduate</v>
      </c>
      <c r="G1234" t="str">
        <f>IFERROR(VLOOKUP(E1234, LookUP_Table!$A$1:$B$4, 2, FALSE), "")</f>
        <v>Post Graduate</v>
      </c>
      <c r="H1234">
        <v>1</v>
      </c>
      <c r="I1234">
        <v>30</v>
      </c>
      <c r="J1234" t="str">
        <f t="shared" si="114"/>
        <v>Smoker</v>
      </c>
      <c r="K1234">
        <v>0</v>
      </c>
      <c r="L1234">
        <v>0</v>
      </c>
      <c r="M1234">
        <v>0</v>
      </c>
      <c r="N1234">
        <v>0</v>
      </c>
      <c r="O1234">
        <v>235</v>
      </c>
      <c r="P1234" t="str">
        <f t="shared" si="115"/>
        <v>Normal</v>
      </c>
      <c r="Q1234">
        <v>128.5</v>
      </c>
      <c r="R1234">
        <v>80</v>
      </c>
      <c r="S1234">
        <v>18.829999999999998</v>
      </c>
      <c r="T1234" t="str">
        <f t="shared" si="116"/>
        <v>Normal</v>
      </c>
      <c r="U1234">
        <v>90</v>
      </c>
      <c r="V1234">
        <v>70</v>
      </c>
      <c r="W1234" t="str">
        <f t="shared" si="119"/>
        <v>Normal</v>
      </c>
      <c r="X1234">
        <v>0</v>
      </c>
    </row>
    <row r="1235" spans="1:24" ht="14.5" thickBot="1" x14ac:dyDescent="0.35">
      <c r="A1235">
        <v>0</v>
      </c>
      <c r="B1235" t="str">
        <f t="shared" si="117"/>
        <v>Female</v>
      </c>
      <c r="C1235" s="8">
        <v>43</v>
      </c>
      <c r="D1235" t="str">
        <f t="shared" si="118"/>
        <v>Middle Age</v>
      </c>
      <c r="E1235">
        <v>2</v>
      </c>
      <c r="F1235" t="str">
        <f>HLOOKUP(E1235, LookUP_Table!$A$6:$D$7, 2, FALSE)</f>
        <v>Secondary</v>
      </c>
      <c r="G1235" t="str">
        <f>IFERROR(VLOOKUP(E1235, LookUP_Table!$A$1:$B$4, 2, FALSE), "")</f>
        <v>Secondary</v>
      </c>
      <c r="H1235">
        <v>1</v>
      </c>
      <c r="I1235">
        <v>20</v>
      </c>
      <c r="J1235" t="str">
        <f t="shared" si="114"/>
        <v>Smoker</v>
      </c>
      <c r="K1235">
        <v>0</v>
      </c>
      <c r="L1235">
        <v>0</v>
      </c>
      <c r="M1235">
        <v>0</v>
      </c>
      <c r="N1235">
        <v>0</v>
      </c>
      <c r="O1235">
        <v>291</v>
      </c>
      <c r="P1235" t="str">
        <f t="shared" si="115"/>
        <v>High</v>
      </c>
      <c r="Q1235">
        <v>106</v>
      </c>
      <c r="R1235">
        <v>65</v>
      </c>
      <c r="S1235">
        <v>23.83</v>
      </c>
      <c r="T1235" t="str">
        <f t="shared" si="116"/>
        <v>Normal</v>
      </c>
      <c r="U1235">
        <v>68</v>
      </c>
      <c r="V1235">
        <v>82</v>
      </c>
      <c r="W1235" t="str">
        <f t="shared" si="119"/>
        <v>Normal</v>
      </c>
      <c r="X1235">
        <v>0</v>
      </c>
    </row>
    <row r="1236" spans="1:24" ht="14.5" thickBot="1" x14ac:dyDescent="0.35">
      <c r="A1236">
        <v>0</v>
      </c>
      <c r="B1236" t="str">
        <f t="shared" si="117"/>
        <v>Female</v>
      </c>
      <c r="C1236" s="8">
        <v>43</v>
      </c>
      <c r="D1236" t="str">
        <f t="shared" si="118"/>
        <v>Middle Age</v>
      </c>
      <c r="E1236">
        <v>2</v>
      </c>
      <c r="F1236" t="str">
        <f>HLOOKUP(E1236, LookUP_Table!$A$6:$D$7, 2, FALSE)</f>
        <v>Secondary</v>
      </c>
      <c r="G1236" t="str">
        <f>IFERROR(VLOOKUP(E1236, LookUP_Table!$A$1:$B$4, 2, FALSE), "")</f>
        <v>Secondary</v>
      </c>
      <c r="H1236">
        <v>1</v>
      </c>
      <c r="I1236">
        <v>20</v>
      </c>
      <c r="J1236" t="str">
        <f t="shared" si="114"/>
        <v>Smoker</v>
      </c>
      <c r="K1236">
        <v>0</v>
      </c>
      <c r="L1236">
        <v>0</v>
      </c>
      <c r="M1236">
        <v>0</v>
      </c>
      <c r="N1236">
        <v>0</v>
      </c>
      <c r="O1236">
        <v>276</v>
      </c>
      <c r="P1236" t="str">
        <f t="shared" si="115"/>
        <v>High</v>
      </c>
      <c r="Q1236">
        <v>99</v>
      </c>
      <c r="R1236">
        <v>62</v>
      </c>
      <c r="S1236">
        <v>22.17</v>
      </c>
      <c r="T1236" t="str">
        <f t="shared" si="116"/>
        <v>Normal</v>
      </c>
      <c r="U1236">
        <v>60</v>
      </c>
      <c r="V1236">
        <v>80</v>
      </c>
      <c r="W1236" t="str">
        <f t="shared" si="119"/>
        <v>Normal</v>
      </c>
      <c r="X1236">
        <v>0</v>
      </c>
    </row>
    <row r="1237" spans="1:24" ht="14.5" thickBot="1" x14ac:dyDescent="0.35">
      <c r="A1237">
        <v>0</v>
      </c>
      <c r="B1237" t="str">
        <f t="shared" si="117"/>
        <v>Female</v>
      </c>
      <c r="C1237" s="8">
        <v>43</v>
      </c>
      <c r="D1237" t="str">
        <f t="shared" si="118"/>
        <v>Middle Age</v>
      </c>
      <c r="E1237">
        <v>2</v>
      </c>
      <c r="F1237" t="str">
        <f>HLOOKUP(E1237, LookUP_Table!$A$6:$D$7, 2, FALSE)</f>
        <v>Secondary</v>
      </c>
      <c r="G1237" t="str">
        <f>IFERROR(VLOOKUP(E1237, LookUP_Table!$A$1:$B$4, 2, FALSE), "")</f>
        <v>Secondary</v>
      </c>
      <c r="H1237">
        <v>1</v>
      </c>
      <c r="I1237">
        <v>20</v>
      </c>
      <c r="J1237" t="str">
        <f t="shared" si="114"/>
        <v>Smoker</v>
      </c>
      <c r="K1237">
        <v>0</v>
      </c>
      <c r="L1237">
        <v>0</v>
      </c>
      <c r="M1237">
        <v>1</v>
      </c>
      <c r="N1237">
        <v>0</v>
      </c>
      <c r="O1237">
        <v>286</v>
      </c>
      <c r="P1237" t="str">
        <f t="shared" si="115"/>
        <v>High</v>
      </c>
      <c r="Q1237">
        <v>164</v>
      </c>
      <c r="R1237">
        <v>89</v>
      </c>
      <c r="S1237">
        <v>24.44</v>
      </c>
      <c r="T1237" t="str">
        <f t="shared" si="116"/>
        <v>Normal</v>
      </c>
      <c r="U1237">
        <v>75</v>
      </c>
      <c r="V1237">
        <v>87</v>
      </c>
      <c r="W1237" t="str">
        <f t="shared" si="119"/>
        <v>Normal</v>
      </c>
      <c r="X1237">
        <v>0</v>
      </c>
    </row>
    <row r="1238" spans="1:24" ht="14.5" thickBot="1" x14ac:dyDescent="0.35">
      <c r="A1238">
        <v>0</v>
      </c>
      <c r="B1238" t="str">
        <f t="shared" si="117"/>
        <v>Female</v>
      </c>
      <c r="C1238" s="8">
        <v>43</v>
      </c>
      <c r="D1238" t="str">
        <f t="shared" si="118"/>
        <v>Middle Age</v>
      </c>
      <c r="E1238">
        <v>1</v>
      </c>
      <c r="F1238" t="str">
        <f>HLOOKUP(E1238, LookUP_Table!$A$6:$D$7, 2, FALSE)</f>
        <v>Primary</v>
      </c>
      <c r="G1238" t="str">
        <f>IFERROR(VLOOKUP(E1238, LookUP_Table!$A$1:$B$4, 2, FALSE), "")</f>
        <v>Primary</v>
      </c>
      <c r="H1238">
        <v>0</v>
      </c>
      <c r="I1238">
        <v>0</v>
      </c>
      <c r="J1238" t="str">
        <f t="shared" si="114"/>
        <v>Non-Smoker</v>
      </c>
      <c r="K1238">
        <v>0</v>
      </c>
      <c r="L1238">
        <v>0</v>
      </c>
      <c r="M1238">
        <v>1</v>
      </c>
      <c r="N1238">
        <v>0</v>
      </c>
      <c r="O1238">
        <v>210</v>
      </c>
      <c r="P1238" t="str">
        <f t="shared" si="115"/>
        <v>Normal</v>
      </c>
      <c r="Q1238">
        <v>138.5</v>
      </c>
      <c r="R1238">
        <v>95.5</v>
      </c>
      <c r="S1238">
        <v>23.09</v>
      </c>
      <c r="T1238" t="str">
        <f t="shared" si="116"/>
        <v>Normal</v>
      </c>
      <c r="U1238">
        <v>75</v>
      </c>
      <c r="V1238">
        <v>81.96365524402907</v>
      </c>
      <c r="W1238" t="str">
        <f t="shared" si="119"/>
        <v>Normal</v>
      </c>
      <c r="X1238">
        <v>0</v>
      </c>
    </row>
    <row r="1239" spans="1:24" ht="14.5" thickBot="1" x14ac:dyDescent="0.35">
      <c r="A1239">
        <v>1</v>
      </c>
      <c r="B1239" t="str">
        <f t="shared" si="117"/>
        <v>Male</v>
      </c>
      <c r="C1239" s="8">
        <v>43</v>
      </c>
      <c r="D1239" t="str">
        <f t="shared" si="118"/>
        <v>Middle Age</v>
      </c>
      <c r="E1239">
        <v>2</v>
      </c>
      <c r="F1239" t="str">
        <f>HLOOKUP(E1239, LookUP_Table!$A$6:$D$7, 2, FALSE)</f>
        <v>Secondary</v>
      </c>
      <c r="G1239" t="str">
        <f>IFERROR(VLOOKUP(E1239, LookUP_Table!$A$1:$B$4, 2, FALSE), "")</f>
        <v>Secondary</v>
      </c>
      <c r="H1239">
        <v>1</v>
      </c>
      <c r="I1239">
        <v>20</v>
      </c>
      <c r="J1239" t="str">
        <f t="shared" si="114"/>
        <v>Smoker</v>
      </c>
      <c r="K1239">
        <v>0</v>
      </c>
      <c r="L1239">
        <v>0</v>
      </c>
      <c r="M1239">
        <v>1</v>
      </c>
      <c r="N1239">
        <v>0</v>
      </c>
      <c r="O1239">
        <v>192</v>
      </c>
      <c r="P1239" t="str">
        <f t="shared" si="115"/>
        <v>Normal</v>
      </c>
      <c r="Q1239">
        <v>143</v>
      </c>
      <c r="R1239">
        <v>88</v>
      </c>
      <c r="S1239">
        <v>27.94</v>
      </c>
      <c r="T1239" t="str">
        <f t="shared" si="116"/>
        <v>Overweight</v>
      </c>
      <c r="U1239">
        <v>75</v>
      </c>
      <c r="V1239">
        <v>79</v>
      </c>
      <c r="W1239" t="str">
        <f t="shared" si="119"/>
        <v>Normal</v>
      </c>
      <c r="X1239">
        <v>0</v>
      </c>
    </row>
    <row r="1240" spans="1:24" ht="14.5" thickBot="1" x14ac:dyDescent="0.35">
      <c r="A1240">
        <v>0</v>
      </c>
      <c r="B1240" t="str">
        <f t="shared" si="117"/>
        <v>Female</v>
      </c>
      <c r="C1240" s="8">
        <v>43</v>
      </c>
      <c r="D1240" t="str">
        <f t="shared" si="118"/>
        <v>Middle Age</v>
      </c>
      <c r="E1240">
        <v>2</v>
      </c>
      <c r="F1240" t="str">
        <f>HLOOKUP(E1240, LookUP_Table!$A$6:$D$7, 2, FALSE)</f>
        <v>Secondary</v>
      </c>
      <c r="G1240" t="str">
        <f>IFERROR(VLOOKUP(E1240, LookUP_Table!$A$1:$B$4, 2, FALSE), "")</f>
        <v>Secondary</v>
      </c>
      <c r="H1240">
        <v>1</v>
      </c>
      <c r="I1240">
        <v>20</v>
      </c>
      <c r="J1240" t="str">
        <f t="shared" si="114"/>
        <v>Smoker</v>
      </c>
      <c r="K1240">
        <v>0</v>
      </c>
      <c r="L1240">
        <v>0</v>
      </c>
      <c r="M1240">
        <v>0</v>
      </c>
      <c r="N1240">
        <v>0</v>
      </c>
      <c r="O1240">
        <v>250</v>
      </c>
      <c r="P1240" t="str">
        <f t="shared" si="115"/>
        <v>High</v>
      </c>
      <c r="Q1240">
        <v>123</v>
      </c>
      <c r="R1240">
        <v>74</v>
      </c>
      <c r="S1240">
        <v>26.01</v>
      </c>
      <c r="T1240" t="str">
        <f t="shared" si="116"/>
        <v>Overweight</v>
      </c>
      <c r="U1240">
        <v>75</v>
      </c>
      <c r="V1240">
        <v>90</v>
      </c>
      <c r="W1240" t="str">
        <f t="shared" si="119"/>
        <v>Normal</v>
      </c>
      <c r="X1240">
        <v>0</v>
      </c>
    </row>
    <row r="1241" spans="1:24" ht="14.5" thickBot="1" x14ac:dyDescent="0.35">
      <c r="A1241">
        <v>1</v>
      </c>
      <c r="B1241" t="str">
        <f t="shared" si="117"/>
        <v>Male</v>
      </c>
      <c r="C1241" s="8">
        <v>43</v>
      </c>
      <c r="D1241" t="str">
        <f t="shared" si="118"/>
        <v>Middle Age</v>
      </c>
      <c r="E1241">
        <v>3</v>
      </c>
      <c r="F1241" t="str">
        <f>HLOOKUP(E1241, LookUP_Table!$A$6:$D$7, 2, FALSE)</f>
        <v>Graduate</v>
      </c>
      <c r="G1241" t="str">
        <f>IFERROR(VLOOKUP(E1241, LookUP_Table!$A$1:$B$4, 2, FALSE), "")</f>
        <v>Graduate</v>
      </c>
      <c r="H1241">
        <v>1</v>
      </c>
      <c r="I1241">
        <v>20</v>
      </c>
      <c r="J1241" t="str">
        <f t="shared" si="114"/>
        <v>Smoker</v>
      </c>
      <c r="K1241">
        <v>0</v>
      </c>
      <c r="L1241">
        <v>0</v>
      </c>
      <c r="M1241">
        <v>0</v>
      </c>
      <c r="N1241">
        <v>0</v>
      </c>
      <c r="O1241">
        <v>240</v>
      </c>
      <c r="P1241" t="str">
        <f t="shared" si="115"/>
        <v>Normal</v>
      </c>
      <c r="Q1241">
        <v>147.5</v>
      </c>
      <c r="R1241">
        <v>88</v>
      </c>
      <c r="S1241">
        <v>25.6</v>
      </c>
      <c r="T1241" t="str">
        <f t="shared" si="116"/>
        <v>Overweight</v>
      </c>
      <c r="U1241">
        <v>65</v>
      </c>
      <c r="V1241">
        <v>113</v>
      </c>
      <c r="W1241" t="str">
        <f t="shared" si="119"/>
        <v>Prediabetes</v>
      </c>
      <c r="X1241">
        <v>0</v>
      </c>
    </row>
    <row r="1242" spans="1:24" ht="14.5" thickBot="1" x14ac:dyDescent="0.35">
      <c r="A1242">
        <v>1</v>
      </c>
      <c r="B1242" t="str">
        <f t="shared" si="117"/>
        <v>Male</v>
      </c>
      <c r="C1242" s="8">
        <v>43</v>
      </c>
      <c r="D1242" t="str">
        <f t="shared" si="118"/>
        <v>Middle Age</v>
      </c>
      <c r="E1242">
        <v>1</v>
      </c>
      <c r="F1242" t="str">
        <f>HLOOKUP(E1242, LookUP_Table!$A$6:$D$7, 2, FALSE)</f>
        <v>Primary</v>
      </c>
      <c r="G1242" t="str">
        <f>IFERROR(VLOOKUP(E1242, LookUP_Table!$A$1:$B$4, 2, FALSE), "")</f>
        <v>Primary</v>
      </c>
      <c r="H1242">
        <v>1</v>
      </c>
      <c r="I1242">
        <v>40</v>
      </c>
      <c r="J1242" t="str">
        <f t="shared" si="114"/>
        <v>Smoker</v>
      </c>
      <c r="K1242">
        <v>0</v>
      </c>
      <c r="L1242">
        <v>0</v>
      </c>
      <c r="M1242">
        <v>1</v>
      </c>
      <c r="N1242">
        <v>0</v>
      </c>
      <c r="O1242">
        <v>212</v>
      </c>
      <c r="P1242" t="str">
        <f t="shared" si="115"/>
        <v>Normal</v>
      </c>
      <c r="Q1242">
        <v>135</v>
      </c>
      <c r="R1242">
        <v>86</v>
      </c>
      <c r="S1242">
        <v>30.22</v>
      </c>
      <c r="T1242" t="str">
        <f t="shared" si="116"/>
        <v>Obese</v>
      </c>
      <c r="U1242">
        <v>100</v>
      </c>
      <c r="V1242">
        <v>75</v>
      </c>
      <c r="W1242" t="str">
        <f t="shared" si="119"/>
        <v>Normal</v>
      </c>
      <c r="X1242">
        <v>0</v>
      </c>
    </row>
    <row r="1243" spans="1:24" ht="14.5" thickBot="1" x14ac:dyDescent="0.35">
      <c r="A1243">
        <v>1</v>
      </c>
      <c r="B1243" t="str">
        <f t="shared" si="117"/>
        <v>Male</v>
      </c>
      <c r="C1243" s="8">
        <v>43</v>
      </c>
      <c r="D1243" t="str">
        <f t="shared" si="118"/>
        <v>Middle Age</v>
      </c>
      <c r="E1243">
        <v>2</v>
      </c>
      <c r="F1243" t="str">
        <f>HLOOKUP(E1243, LookUP_Table!$A$6:$D$7, 2, FALSE)</f>
        <v>Secondary</v>
      </c>
      <c r="G1243" t="str">
        <f>IFERROR(VLOOKUP(E1243, LookUP_Table!$A$1:$B$4, 2, FALSE), "")</f>
        <v>Secondary</v>
      </c>
      <c r="H1243">
        <v>1</v>
      </c>
      <c r="I1243">
        <v>45</v>
      </c>
      <c r="J1243" t="str">
        <f t="shared" si="114"/>
        <v>Smoker</v>
      </c>
      <c r="K1243">
        <v>0</v>
      </c>
      <c r="L1243">
        <v>0</v>
      </c>
      <c r="M1243">
        <v>1</v>
      </c>
      <c r="N1243">
        <v>0</v>
      </c>
      <c r="O1243">
        <v>201</v>
      </c>
      <c r="P1243" t="str">
        <f t="shared" si="115"/>
        <v>Normal</v>
      </c>
      <c r="Q1243">
        <v>126</v>
      </c>
      <c r="R1243">
        <v>82</v>
      </c>
      <c r="S1243">
        <v>29.48</v>
      </c>
      <c r="T1243" t="str">
        <f t="shared" si="116"/>
        <v>Overweight</v>
      </c>
      <c r="U1243">
        <v>76</v>
      </c>
      <c r="V1243">
        <v>92</v>
      </c>
      <c r="W1243" t="str">
        <f t="shared" si="119"/>
        <v>Normal</v>
      </c>
      <c r="X1243">
        <v>0</v>
      </c>
    </row>
    <row r="1244" spans="1:24" ht="14.5" thickBot="1" x14ac:dyDescent="0.35">
      <c r="A1244">
        <v>1</v>
      </c>
      <c r="B1244" t="str">
        <f t="shared" si="117"/>
        <v>Male</v>
      </c>
      <c r="C1244" s="8">
        <v>43</v>
      </c>
      <c r="D1244" t="str">
        <f t="shared" si="118"/>
        <v>Middle Age</v>
      </c>
      <c r="E1244">
        <v>2</v>
      </c>
      <c r="F1244" t="str">
        <f>HLOOKUP(E1244, LookUP_Table!$A$6:$D$7, 2, FALSE)</f>
        <v>Secondary</v>
      </c>
      <c r="G1244" t="str">
        <f>IFERROR(VLOOKUP(E1244, LookUP_Table!$A$1:$B$4, 2, FALSE), "")</f>
        <v>Secondary</v>
      </c>
      <c r="H1244">
        <v>0</v>
      </c>
      <c r="I1244">
        <v>0</v>
      </c>
      <c r="J1244" t="str">
        <f t="shared" si="114"/>
        <v>Non-Smoker</v>
      </c>
      <c r="K1244">
        <v>0</v>
      </c>
      <c r="L1244">
        <v>0</v>
      </c>
      <c r="M1244">
        <v>0</v>
      </c>
      <c r="N1244">
        <v>0</v>
      </c>
      <c r="O1244">
        <v>210</v>
      </c>
      <c r="P1244" t="str">
        <f t="shared" si="115"/>
        <v>Normal</v>
      </c>
      <c r="Q1244">
        <v>127.5</v>
      </c>
      <c r="R1244">
        <v>82.5</v>
      </c>
      <c r="S1244">
        <v>27.94</v>
      </c>
      <c r="T1244" t="str">
        <f t="shared" si="116"/>
        <v>Overweight</v>
      </c>
      <c r="U1244">
        <v>78</v>
      </c>
      <c r="V1244">
        <v>80</v>
      </c>
      <c r="W1244" t="str">
        <f t="shared" si="119"/>
        <v>Normal</v>
      </c>
      <c r="X1244">
        <v>0</v>
      </c>
    </row>
    <row r="1245" spans="1:24" ht="14.5" thickBot="1" x14ac:dyDescent="0.35">
      <c r="A1245">
        <v>1</v>
      </c>
      <c r="B1245" t="str">
        <f t="shared" si="117"/>
        <v>Male</v>
      </c>
      <c r="C1245" s="8">
        <v>43</v>
      </c>
      <c r="D1245" t="str">
        <f t="shared" si="118"/>
        <v>Middle Age</v>
      </c>
      <c r="E1245">
        <v>2</v>
      </c>
      <c r="F1245" t="str">
        <f>HLOOKUP(E1245, LookUP_Table!$A$6:$D$7, 2, FALSE)</f>
        <v>Secondary</v>
      </c>
      <c r="G1245" t="str">
        <f>IFERROR(VLOOKUP(E1245, LookUP_Table!$A$1:$B$4, 2, FALSE), "")</f>
        <v>Secondary</v>
      </c>
      <c r="H1245">
        <v>1</v>
      </c>
      <c r="I1245">
        <v>40</v>
      </c>
      <c r="J1245" t="str">
        <f t="shared" si="114"/>
        <v>Smoker</v>
      </c>
      <c r="K1245">
        <v>0</v>
      </c>
      <c r="L1245">
        <v>0</v>
      </c>
      <c r="M1245">
        <v>1</v>
      </c>
      <c r="N1245">
        <v>0</v>
      </c>
      <c r="O1245">
        <v>188</v>
      </c>
      <c r="P1245" t="str">
        <f t="shared" si="115"/>
        <v>Normal</v>
      </c>
      <c r="Q1245">
        <v>137</v>
      </c>
      <c r="R1245">
        <v>87</v>
      </c>
      <c r="S1245">
        <v>26.28</v>
      </c>
      <c r="T1245" t="str">
        <f t="shared" si="116"/>
        <v>Overweight</v>
      </c>
      <c r="U1245">
        <v>75</v>
      </c>
      <c r="V1245">
        <v>73</v>
      </c>
      <c r="W1245" t="str">
        <f t="shared" si="119"/>
        <v>Normal</v>
      </c>
      <c r="X1245">
        <v>0</v>
      </c>
    </row>
    <row r="1246" spans="1:24" ht="14.5" thickBot="1" x14ac:dyDescent="0.35">
      <c r="A1246">
        <v>0</v>
      </c>
      <c r="B1246" t="str">
        <f t="shared" si="117"/>
        <v>Female</v>
      </c>
      <c r="C1246" s="8">
        <v>43</v>
      </c>
      <c r="D1246" t="str">
        <f t="shared" si="118"/>
        <v>Middle Age</v>
      </c>
      <c r="E1246">
        <v>4</v>
      </c>
      <c r="F1246" t="str">
        <f>HLOOKUP(E1246, LookUP_Table!$A$6:$D$7, 2, FALSE)</f>
        <v>Post Graduate</v>
      </c>
      <c r="G1246" t="str">
        <f>IFERROR(VLOOKUP(E1246, LookUP_Table!$A$1:$B$4, 2, FALSE), "")</f>
        <v>Post Graduate</v>
      </c>
      <c r="H1246">
        <v>0</v>
      </c>
      <c r="I1246">
        <v>0</v>
      </c>
      <c r="J1246" t="str">
        <f t="shared" si="114"/>
        <v>Non-Smoker</v>
      </c>
      <c r="K1246">
        <v>0</v>
      </c>
      <c r="L1246">
        <v>0</v>
      </c>
      <c r="M1246">
        <v>0</v>
      </c>
      <c r="N1246">
        <v>0</v>
      </c>
      <c r="O1246">
        <v>223</v>
      </c>
      <c r="P1246" t="str">
        <f t="shared" si="115"/>
        <v>Normal</v>
      </c>
      <c r="Q1246">
        <v>100</v>
      </c>
      <c r="R1246">
        <v>70</v>
      </c>
      <c r="S1246">
        <v>22.73</v>
      </c>
      <c r="T1246" t="str">
        <f t="shared" si="116"/>
        <v>Normal</v>
      </c>
      <c r="U1246">
        <v>63</v>
      </c>
      <c r="V1246">
        <v>68</v>
      </c>
      <c r="W1246" t="str">
        <f t="shared" si="119"/>
        <v>Normal</v>
      </c>
      <c r="X1246">
        <v>0</v>
      </c>
    </row>
    <row r="1247" spans="1:24" ht="14.5" thickBot="1" x14ac:dyDescent="0.35">
      <c r="A1247">
        <v>0</v>
      </c>
      <c r="B1247" t="str">
        <f t="shared" si="117"/>
        <v>Female</v>
      </c>
      <c r="C1247" s="8">
        <v>43</v>
      </c>
      <c r="D1247" t="str">
        <f t="shared" si="118"/>
        <v>Middle Age</v>
      </c>
      <c r="E1247">
        <v>2</v>
      </c>
      <c r="F1247" t="str">
        <f>HLOOKUP(E1247, LookUP_Table!$A$6:$D$7, 2, FALSE)</f>
        <v>Secondary</v>
      </c>
      <c r="G1247" t="str">
        <f>IFERROR(VLOOKUP(E1247, LookUP_Table!$A$1:$B$4, 2, FALSE), "")</f>
        <v>Secondary</v>
      </c>
      <c r="H1247">
        <v>1</v>
      </c>
      <c r="I1247">
        <v>20</v>
      </c>
      <c r="J1247" t="str">
        <f t="shared" si="114"/>
        <v>Smoker</v>
      </c>
      <c r="K1247">
        <v>0</v>
      </c>
      <c r="L1247">
        <v>0</v>
      </c>
      <c r="M1247">
        <v>0</v>
      </c>
      <c r="N1247">
        <v>0</v>
      </c>
      <c r="O1247">
        <v>163</v>
      </c>
      <c r="P1247" t="str">
        <f t="shared" si="115"/>
        <v>Normal</v>
      </c>
      <c r="Q1247">
        <v>104.5</v>
      </c>
      <c r="R1247">
        <v>65</v>
      </c>
      <c r="S1247">
        <v>17.84</v>
      </c>
      <c r="T1247" t="str">
        <f t="shared" si="116"/>
        <v>Underweight</v>
      </c>
      <c r="U1247">
        <v>75</v>
      </c>
      <c r="V1247">
        <v>71</v>
      </c>
      <c r="W1247" t="str">
        <f t="shared" si="119"/>
        <v>Normal</v>
      </c>
      <c r="X1247">
        <v>1</v>
      </c>
    </row>
    <row r="1248" spans="1:24" ht="14.5" thickBot="1" x14ac:dyDescent="0.35">
      <c r="A1248">
        <v>0</v>
      </c>
      <c r="B1248" t="str">
        <f t="shared" si="117"/>
        <v>Female</v>
      </c>
      <c r="C1248" s="8">
        <v>43</v>
      </c>
      <c r="D1248" t="str">
        <f t="shared" si="118"/>
        <v>Middle Age</v>
      </c>
      <c r="E1248">
        <v>1</v>
      </c>
      <c r="F1248" t="str">
        <f>HLOOKUP(E1248, LookUP_Table!$A$6:$D$7, 2, FALSE)</f>
        <v>Primary</v>
      </c>
      <c r="G1248" t="str">
        <f>IFERROR(VLOOKUP(E1248, LookUP_Table!$A$1:$B$4, 2, FALSE), "")</f>
        <v>Primary</v>
      </c>
      <c r="H1248">
        <v>1</v>
      </c>
      <c r="I1248">
        <v>20</v>
      </c>
      <c r="J1248" t="str">
        <f t="shared" si="114"/>
        <v>Smoker</v>
      </c>
      <c r="K1248">
        <v>0</v>
      </c>
      <c r="L1248">
        <v>0</v>
      </c>
      <c r="M1248">
        <v>0</v>
      </c>
      <c r="N1248">
        <v>0</v>
      </c>
      <c r="O1248">
        <v>204</v>
      </c>
      <c r="P1248" t="str">
        <f t="shared" si="115"/>
        <v>Normal</v>
      </c>
      <c r="Q1248">
        <v>133</v>
      </c>
      <c r="R1248">
        <v>86.5</v>
      </c>
      <c r="S1248">
        <v>26.01</v>
      </c>
      <c r="T1248" t="str">
        <f t="shared" si="116"/>
        <v>Overweight</v>
      </c>
      <c r="U1248">
        <v>100</v>
      </c>
      <c r="V1248">
        <v>79</v>
      </c>
      <c r="W1248" t="str">
        <f t="shared" si="119"/>
        <v>Normal</v>
      </c>
      <c r="X1248">
        <v>0</v>
      </c>
    </row>
    <row r="1249" spans="1:24" ht="14.5" thickBot="1" x14ac:dyDescent="0.35">
      <c r="A1249">
        <v>1</v>
      </c>
      <c r="B1249" t="str">
        <f t="shared" si="117"/>
        <v>Male</v>
      </c>
      <c r="C1249" s="8">
        <v>43</v>
      </c>
      <c r="D1249" t="str">
        <f t="shared" si="118"/>
        <v>Middle Age</v>
      </c>
      <c r="E1249">
        <v>2</v>
      </c>
      <c r="F1249" t="str">
        <f>HLOOKUP(E1249, LookUP_Table!$A$6:$D$7, 2, FALSE)</f>
        <v>Secondary</v>
      </c>
      <c r="G1249" t="str">
        <f>IFERROR(VLOOKUP(E1249, LookUP_Table!$A$1:$B$4, 2, FALSE), "")</f>
        <v>Secondary</v>
      </c>
      <c r="H1249">
        <v>0</v>
      </c>
      <c r="I1249">
        <v>0</v>
      </c>
      <c r="J1249" t="str">
        <f t="shared" si="114"/>
        <v>Non-Smoker</v>
      </c>
      <c r="K1249">
        <v>0</v>
      </c>
      <c r="L1249">
        <v>0</v>
      </c>
      <c r="M1249">
        <v>0</v>
      </c>
      <c r="N1249">
        <v>0</v>
      </c>
      <c r="O1249">
        <v>200</v>
      </c>
      <c r="P1249" t="str">
        <f t="shared" si="115"/>
        <v>Normal</v>
      </c>
      <c r="Q1249">
        <v>141</v>
      </c>
      <c r="R1249">
        <v>89</v>
      </c>
      <c r="S1249">
        <v>26.59</v>
      </c>
      <c r="T1249" t="str">
        <f t="shared" si="116"/>
        <v>Overweight</v>
      </c>
      <c r="U1249">
        <v>80</v>
      </c>
      <c r="V1249">
        <v>105</v>
      </c>
      <c r="W1249" t="str">
        <f t="shared" si="119"/>
        <v>Prediabetes</v>
      </c>
      <c r="X1249">
        <v>0</v>
      </c>
    </row>
    <row r="1250" spans="1:24" ht="14.5" thickBot="1" x14ac:dyDescent="0.35">
      <c r="A1250">
        <v>1</v>
      </c>
      <c r="B1250" t="str">
        <f t="shared" si="117"/>
        <v>Male</v>
      </c>
      <c r="C1250" s="8">
        <v>43</v>
      </c>
      <c r="D1250" t="str">
        <f t="shared" si="118"/>
        <v>Middle Age</v>
      </c>
      <c r="E1250">
        <v>4</v>
      </c>
      <c r="F1250" t="str">
        <f>HLOOKUP(E1250, LookUP_Table!$A$6:$D$7, 2, FALSE)</f>
        <v>Post Graduate</v>
      </c>
      <c r="G1250" t="str">
        <f>IFERROR(VLOOKUP(E1250, LookUP_Table!$A$1:$B$4, 2, FALSE), "")</f>
        <v>Post Graduate</v>
      </c>
      <c r="H1250">
        <v>1</v>
      </c>
      <c r="I1250">
        <v>20</v>
      </c>
      <c r="J1250" t="str">
        <f t="shared" si="114"/>
        <v>Smoker</v>
      </c>
      <c r="K1250">
        <v>0</v>
      </c>
      <c r="L1250">
        <v>0</v>
      </c>
      <c r="M1250">
        <v>0</v>
      </c>
      <c r="N1250">
        <v>0</v>
      </c>
      <c r="O1250">
        <v>184</v>
      </c>
      <c r="P1250" t="str">
        <f t="shared" si="115"/>
        <v>Normal</v>
      </c>
      <c r="Q1250">
        <v>127.5</v>
      </c>
      <c r="R1250">
        <v>81</v>
      </c>
      <c r="S1250">
        <v>28.31</v>
      </c>
      <c r="T1250" t="str">
        <f t="shared" si="116"/>
        <v>Overweight</v>
      </c>
      <c r="U1250">
        <v>108</v>
      </c>
      <c r="V1250">
        <v>75</v>
      </c>
      <c r="W1250" t="str">
        <f t="shared" si="119"/>
        <v>Normal</v>
      </c>
      <c r="X1250">
        <v>0</v>
      </c>
    </row>
    <row r="1251" spans="1:24" ht="14.5" thickBot="1" x14ac:dyDescent="0.35">
      <c r="A1251">
        <v>0</v>
      </c>
      <c r="B1251" t="str">
        <f t="shared" si="117"/>
        <v>Female</v>
      </c>
      <c r="C1251" s="8">
        <v>43</v>
      </c>
      <c r="D1251" t="str">
        <f t="shared" si="118"/>
        <v>Middle Age</v>
      </c>
      <c r="E1251">
        <v>4</v>
      </c>
      <c r="F1251" t="str">
        <f>HLOOKUP(E1251, LookUP_Table!$A$6:$D$7, 2, FALSE)</f>
        <v>Post Graduate</v>
      </c>
      <c r="G1251" t="str">
        <f>IFERROR(VLOOKUP(E1251, LookUP_Table!$A$1:$B$4, 2, FALSE), "")</f>
        <v>Post Graduate</v>
      </c>
      <c r="H1251">
        <v>1</v>
      </c>
      <c r="I1251">
        <v>10</v>
      </c>
      <c r="J1251" t="str">
        <f t="shared" si="114"/>
        <v>Smoker</v>
      </c>
      <c r="K1251">
        <v>0</v>
      </c>
      <c r="L1251">
        <v>0</v>
      </c>
      <c r="M1251">
        <v>0</v>
      </c>
      <c r="N1251">
        <v>0</v>
      </c>
      <c r="O1251">
        <v>214</v>
      </c>
      <c r="P1251" t="str">
        <f t="shared" si="115"/>
        <v>Normal</v>
      </c>
      <c r="Q1251">
        <v>133</v>
      </c>
      <c r="R1251">
        <v>86</v>
      </c>
      <c r="S1251">
        <v>22.72</v>
      </c>
      <c r="T1251" t="str">
        <f t="shared" si="116"/>
        <v>Normal</v>
      </c>
      <c r="U1251">
        <v>74</v>
      </c>
      <c r="V1251">
        <v>77</v>
      </c>
      <c r="W1251" t="str">
        <f t="shared" si="119"/>
        <v>Normal</v>
      </c>
      <c r="X1251">
        <v>0</v>
      </c>
    </row>
    <row r="1252" spans="1:24" ht="14.5" thickBot="1" x14ac:dyDescent="0.35">
      <c r="A1252">
        <v>0</v>
      </c>
      <c r="B1252" t="str">
        <f t="shared" si="117"/>
        <v>Female</v>
      </c>
      <c r="C1252" s="8">
        <v>43</v>
      </c>
      <c r="D1252" t="str">
        <f t="shared" si="118"/>
        <v>Middle Age</v>
      </c>
      <c r="E1252">
        <v>2</v>
      </c>
      <c r="F1252" t="str">
        <f>HLOOKUP(E1252, LookUP_Table!$A$6:$D$7, 2, FALSE)</f>
        <v>Secondary</v>
      </c>
      <c r="G1252" t="str">
        <f>IFERROR(VLOOKUP(E1252, LookUP_Table!$A$1:$B$4, 2, FALSE), "")</f>
        <v>Secondary</v>
      </c>
      <c r="H1252">
        <v>1</v>
      </c>
      <c r="I1252">
        <v>5</v>
      </c>
      <c r="J1252" t="str">
        <f t="shared" si="114"/>
        <v>Smoker</v>
      </c>
      <c r="K1252">
        <v>0</v>
      </c>
      <c r="L1252">
        <v>0</v>
      </c>
      <c r="M1252">
        <v>0</v>
      </c>
      <c r="N1252">
        <v>0</v>
      </c>
      <c r="O1252">
        <v>250</v>
      </c>
      <c r="P1252" t="str">
        <f t="shared" si="115"/>
        <v>High</v>
      </c>
      <c r="Q1252">
        <v>112.5</v>
      </c>
      <c r="R1252">
        <v>76.5</v>
      </c>
      <c r="S1252">
        <v>25.23</v>
      </c>
      <c r="T1252" t="str">
        <f t="shared" si="116"/>
        <v>Overweight</v>
      </c>
      <c r="U1252">
        <v>66</v>
      </c>
      <c r="V1252">
        <v>63</v>
      </c>
      <c r="W1252" t="str">
        <f t="shared" si="119"/>
        <v>Normal</v>
      </c>
      <c r="X1252">
        <v>0</v>
      </c>
    </row>
    <row r="1253" spans="1:24" ht="14.5" thickBot="1" x14ac:dyDescent="0.35">
      <c r="A1253">
        <v>1</v>
      </c>
      <c r="B1253" t="str">
        <f t="shared" si="117"/>
        <v>Male</v>
      </c>
      <c r="C1253" s="8">
        <v>43</v>
      </c>
      <c r="D1253" t="str">
        <f t="shared" si="118"/>
        <v>Middle Age</v>
      </c>
      <c r="E1253">
        <v>2</v>
      </c>
      <c r="F1253" t="str">
        <f>HLOOKUP(E1253, LookUP_Table!$A$6:$D$7, 2, FALSE)</f>
        <v>Secondary</v>
      </c>
      <c r="G1253" t="str">
        <f>IFERROR(VLOOKUP(E1253, LookUP_Table!$A$1:$B$4, 2, FALSE), "")</f>
        <v>Secondary</v>
      </c>
      <c r="H1253">
        <v>1</v>
      </c>
      <c r="I1253">
        <v>43</v>
      </c>
      <c r="J1253" t="str">
        <f t="shared" si="114"/>
        <v>Smoker</v>
      </c>
      <c r="K1253">
        <v>0</v>
      </c>
      <c r="L1253">
        <v>0</v>
      </c>
      <c r="M1253">
        <v>0</v>
      </c>
      <c r="N1253">
        <v>0</v>
      </c>
      <c r="O1253">
        <v>240</v>
      </c>
      <c r="P1253" t="str">
        <f t="shared" si="115"/>
        <v>Normal</v>
      </c>
      <c r="Q1253">
        <v>126</v>
      </c>
      <c r="R1253">
        <v>79</v>
      </c>
      <c r="S1253">
        <v>21.38</v>
      </c>
      <c r="T1253" t="str">
        <f t="shared" si="116"/>
        <v>Normal</v>
      </c>
      <c r="U1253">
        <v>88</v>
      </c>
      <c r="V1253">
        <v>40</v>
      </c>
      <c r="W1253" t="str">
        <f t="shared" si="119"/>
        <v>Normal</v>
      </c>
      <c r="X1253">
        <v>0</v>
      </c>
    </row>
    <row r="1254" spans="1:24" ht="14.5" thickBot="1" x14ac:dyDescent="0.35">
      <c r="A1254">
        <v>0</v>
      </c>
      <c r="B1254" t="str">
        <f t="shared" si="117"/>
        <v>Female</v>
      </c>
      <c r="C1254" s="8">
        <v>43</v>
      </c>
      <c r="D1254" t="str">
        <f t="shared" si="118"/>
        <v>Middle Age</v>
      </c>
      <c r="E1254">
        <v>1</v>
      </c>
      <c r="F1254" t="str">
        <f>HLOOKUP(E1254, LookUP_Table!$A$6:$D$7, 2, FALSE)</f>
        <v>Primary</v>
      </c>
      <c r="G1254" t="str">
        <f>IFERROR(VLOOKUP(E1254, LookUP_Table!$A$1:$B$4, 2, FALSE), "")</f>
        <v>Primary</v>
      </c>
      <c r="H1254">
        <v>1</v>
      </c>
      <c r="I1254">
        <v>15</v>
      </c>
      <c r="J1254" t="str">
        <f t="shared" si="114"/>
        <v>Smoker</v>
      </c>
      <c r="K1254">
        <v>0</v>
      </c>
      <c r="L1254">
        <v>0</v>
      </c>
      <c r="M1254">
        <v>0</v>
      </c>
      <c r="N1254">
        <v>0</v>
      </c>
      <c r="O1254">
        <v>179</v>
      </c>
      <c r="P1254" t="str">
        <f t="shared" si="115"/>
        <v>Normal</v>
      </c>
      <c r="Q1254">
        <v>101</v>
      </c>
      <c r="R1254">
        <v>68.5</v>
      </c>
      <c r="S1254">
        <v>19.829999999999998</v>
      </c>
      <c r="T1254" t="str">
        <f t="shared" si="116"/>
        <v>Normal</v>
      </c>
      <c r="U1254">
        <v>79</v>
      </c>
      <c r="V1254">
        <v>76</v>
      </c>
      <c r="W1254" t="str">
        <f t="shared" si="119"/>
        <v>Normal</v>
      </c>
      <c r="X1254">
        <v>0</v>
      </c>
    </row>
    <row r="1255" spans="1:24" ht="14.5" thickBot="1" x14ac:dyDescent="0.35">
      <c r="A1255">
        <v>1</v>
      </c>
      <c r="B1255" t="str">
        <f t="shared" si="117"/>
        <v>Male</v>
      </c>
      <c r="C1255" s="8">
        <v>43</v>
      </c>
      <c r="D1255" t="str">
        <f t="shared" si="118"/>
        <v>Middle Age</v>
      </c>
      <c r="E1255">
        <v>1</v>
      </c>
      <c r="F1255" t="str">
        <f>HLOOKUP(E1255, LookUP_Table!$A$6:$D$7, 2, FALSE)</f>
        <v>Primary</v>
      </c>
      <c r="G1255" t="str">
        <f>IFERROR(VLOOKUP(E1255, LookUP_Table!$A$1:$B$4, 2, FALSE), "")</f>
        <v>Primary</v>
      </c>
      <c r="H1255">
        <v>1</v>
      </c>
      <c r="I1255">
        <v>30</v>
      </c>
      <c r="J1255" t="str">
        <f t="shared" si="114"/>
        <v>Smoker</v>
      </c>
      <c r="K1255">
        <v>0</v>
      </c>
      <c r="L1255">
        <v>0</v>
      </c>
      <c r="M1255">
        <v>1</v>
      </c>
      <c r="N1255">
        <v>0</v>
      </c>
      <c r="O1255">
        <v>310</v>
      </c>
      <c r="P1255" t="str">
        <f t="shared" si="115"/>
        <v>High</v>
      </c>
      <c r="Q1255">
        <v>140</v>
      </c>
      <c r="R1255">
        <v>92</v>
      </c>
      <c r="S1255">
        <v>26</v>
      </c>
      <c r="T1255" t="str">
        <f t="shared" si="116"/>
        <v>Overweight</v>
      </c>
      <c r="U1255">
        <v>90</v>
      </c>
      <c r="V1255">
        <v>88</v>
      </c>
      <c r="W1255" t="str">
        <f t="shared" si="119"/>
        <v>Normal</v>
      </c>
      <c r="X1255">
        <v>0</v>
      </c>
    </row>
    <row r="1256" spans="1:24" ht="14.5" thickBot="1" x14ac:dyDescent="0.35">
      <c r="A1256">
        <v>1</v>
      </c>
      <c r="B1256" t="str">
        <f t="shared" si="117"/>
        <v>Male</v>
      </c>
      <c r="C1256" s="8">
        <v>43</v>
      </c>
      <c r="D1256" t="str">
        <f t="shared" si="118"/>
        <v>Middle Age</v>
      </c>
      <c r="E1256">
        <v>2</v>
      </c>
      <c r="F1256" t="str">
        <f>HLOOKUP(E1256, LookUP_Table!$A$6:$D$7, 2, FALSE)</f>
        <v>Secondary</v>
      </c>
      <c r="G1256" t="str">
        <f>IFERROR(VLOOKUP(E1256, LookUP_Table!$A$1:$B$4, 2, FALSE), "")</f>
        <v>Secondary</v>
      </c>
      <c r="H1256">
        <v>0</v>
      </c>
      <c r="I1256">
        <v>0</v>
      </c>
      <c r="J1256" t="str">
        <f t="shared" si="114"/>
        <v>Non-Smoker</v>
      </c>
      <c r="K1256">
        <v>0</v>
      </c>
      <c r="L1256">
        <v>0</v>
      </c>
      <c r="M1256">
        <v>0</v>
      </c>
      <c r="N1256">
        <v>0</v>
      </c>
      <c r="O1256">
        <v>222</v>
      </c>
      <c r="P1256" t="str">
        <f t="shared" si="115"/>
        <v>Normal</v>
      </c>
      <c r="Q1256">
        <v>115</v>
      </c>
      <c r="R1256">
        <v>72.5</v>
      </c>
      <c r="S1256">
        <v>25.46</v>
      </c>
      <c r="T1256" t="str">
        <f t="shared" si="116"/>
        <v>Overweight</v>
      </c>
      <c r="U1256">
        <v>75</v>
      </c>
      <c r="V1256">
        <v>69</v>
      </c>
      <c r="W1256" t="str">
        <f t="shared" si="119"/>
        <v>Normal</v>
      </c>
      <c r="X1256">
        <v>0</v>
      </c>
    </row>
    <row r="1257" spans="1:24" ht="14.5" thickBot="1" x14ac:dyDescent="0.35">
      <c r="A1257">
        <v>1</v>
      </c>
      <c r="B1257" t="str">
        <f t="shared" si="117"/>
        <v>Male</v>
      </c>
      <c r="C1257" s="8">
        <v>43</v>
      </c>
      <c r="D1257" t="str">
        <f t="shared" si="118"/>
        <v>Middle Age</v>
      </c>
      <c r="E1257">
        <v>4</v>
      </c>
      <c r="F1257" t="str">
        <f>HLOOKUP(E1257, LookUP_Table!$A$6:$D$7, 2, FALSE)</f>
        <v>Post Graduate</v>
      </c>
      <c r="G1257" t="str">
        <f>IFERROR(VLOOKUP(E1257, LookUP_Table!$A$1:$B$4, 2, FALSE), "")</f>
        <v>Post Graduate</v>
      </c>
      <c r="H1257">
        <v>1</v>
      </c>
      <c r="I1257">
        <v>20</v>
      </c>
      <c r="J1257" t="str">
        <f t="shared" si="114"/>
        <v>Smoker</v>
      </c>
      <c r="K1257">
        <v>0</v>
      </c>
      <c r="L1257">
        <v>0</v>
      </c>
      <c r="M1257">
        <v>0</v>
      </c>
      <c r="N1257">
        <v>0</v>
      </c>
      <c r="O1257">
        <v>198</v>
      </c>
      <c r="P1257" t="str">
        <f t="shared" si="115"/>
        <v>Normal</v>
      </c>
      <c r="Q1257">
        <v>116</v>
      </c>
      <c r="R1257">
        <v>74</v>
      </c>
      <c r="S1257">
        <v>23.99</v>
      </c>
      <c r="T1257" t="str">
        <f t="shared" si="116"/>
        <v>Normal</v>
      </c>
      <c r="U1257">
        <v>75</v>
      </c>
      <c r="V1257">
        <v>78</v>
      </c>
      <c r="W1257" t="str">
        <f t="shared" si="119"/>
        <v>Normal</v>
      </c>
      <c r="X1257">
        <v>0</v>
      </c>
    </row>
    <row r="1258" spans="1:24" ht="14.5" thickBot="1" x14ac:dyDescent="0.35">
      <c r="A1258">
        <v>1</v>
      </c>
      <c r="B1258" t="str">
        <f t="shared" si="117"/>
        <v>Male</v>
      </c>
      <c r="C1258" s="8">
        <v>43</v>
      </c>
      <c r="D1258" t="str">
        <f t="shared" si="118"/>
        <v>Middle Age</v>
      </c>
      <c r="E1258">
        <v>4</v>
      </c>
      <c r="F1258" t="str">
        <f>HLOOKUP(E1258, LookUP_Table!$A$6:$D$7, 2, FALSE)</f>
        <v>Post Graduate</v>
      </c>
      <c r="G1258" t="str">
        <f>IFERROR(VLOOKUP(E1258, LookUP_Table!$A$1:$B$4, 2, FALSE), "")</f>
        <v>Post Graduate</v>
      </c>
      <c r="H1258">
        <v>1</v>
      </c>
      <c r="I1258">
        <v>20</v>
      </c>
      <c r="J1258" t="str">
        <f t="shared" si="114"/>
        <v>Smoker</v>
      </c>
      <c r="K1258">
        <v>0</v>
      </c>
      <c r="L1258">
        <v>0</v>
      </c>
      <c r="M1258">
        <v>0</v>
      </c>
      <c r="N1258">
        <v>0</v>
      </c>
      <c r="O1258">
        <v>171</v>
      </c>
      <c r="P1258" t="str">
        <f t="shared" si="115"/>
        <v>Normal</v>
      </c>
      <c r="Q1258">
        <v>110</v>
      </c>
      <c r="R1258">
        <v>74.5</v>
      </c>
      <c r="S1258">
        <v>25.09</v>
      </c>
      <c r="T1258" t="str">
        <f t="shared" si="116"/>
        <v>Overweight</v>
      </c>
      <c r="U1258">
        <v>70</v>
      </c>
      <c r="V1258">
        <v>85</v>
      </c>
      <c r="W1258" t="str">
        <f t="shared" si="119"/>
        <v>Normal</v>
      </c>
      <c r="X1258">
        <v>0</v>
      </c>
    </row>
    <row r="1259" spans="1:24" ht="14.5" thickBot="1" x14ac:dyDescent="0.35">
      <c r="A1259">
        <v>0</v>
      </c>
      <c r="B1259" t="str">
        <f t="shared" si="117"/>
        <v>Female</v>
      </c>
      <c r="C1259" s="8">
        <v>43</v>
      </c>
      <c r="D1259" t="str">
        <f t="shared" si="118"/>
        <v>Middle Age</v>
      </c>
      <c r="E1259">
        <v>2</v>
      </c>
      <c r="F1259" t="str">
        <f>HLOOKUP(E1259, LookUP_Table!$A$6:$D$7, 2, FALSE)</f>
        <v>Secondary</v>
      </c>
      <c r="G1259" t="str">
        <f>IFERROR(VLOOKUP(E1259, LookUP_Table!$A$1:$B$4, 2, FALSE), "")</f>
        <v>Secondary</v>
      </c>
      <c r="H1259">
        <v>1</v>
      </c>
      <c r="I1259">
        <v>30</v>
      </c>
      <c r="J1259" t="str">
        <f t="shared" si="114"/>
        <v>Smoker</v>
      </c>
      <c r="K1259">
        <v>0</v>
      </c>
      <c r="L1259">
        <v>0</v>
      </c>
      <c r="M1259">
        <v>0</v>
      </c>
      <c r="N1259">
        <v>0</v>
      </c>
      <c r="O1259">
        <v>199</v>
      </c>
      <c r="P1259" t="str">
        <f t="shared" si="115"/>
        <v>Normal</v>
      </c>
      <c r="Q1259">
        <v>104</v>
      </c>
      <c r="R1259">
        <v>79</v>
      </c>
      <c r="S1259">
        <v>20.12</v>
      </c>
      <c r="T1259" t="str">
        <f t="shared" si="116"/>
        <v>Normal</v>
      </c>
      <c r="U1259">
        <v>72</v>
      </c>
      <c r="V1259">
        <v>64</v>
      </c>
      <c r="W1259" t="str">
        <f t="shared" si="119"/>
        <v>Normal</v>
      </c>
      <c r="X1259">
        <v>0</v>
      </c>
    </row>
    <row r="1260" spans="1:24" ht="14.5" thickBot="1" x14ac:dyDescent="0.35">
      <c r="A1260">
        <v>1</v>
      </c>
      <c r="B1260" t="str">
        <f t="shared" si="117"/>
        <v>Male</v>
      </c>
      <c r="C1260" s="8">
        <v>43</v>
      </c>
      <c r="D1260" t="str">
        <f t="shared" si="118"/>
        <v>Middle Age</v>
      </c>
      <c r="E1260">
        <v>2</v>
      </c>
      <c r="F1260" t="str">
        <f>HLOOKUP(E1260, LookUP_Table!$A$6:$D$7, 2, FALSE)</f>
        <v>Secondary</v>
      </c>
      <c r="G1260" t="str">
        <f>IFERROR(VLOOKUP(E1260, LookUP_Table!$A$1:$B$4, 2, FALSE), "")</f>
        <v>Secondary</v>
      </c>
      <c r="H1260">
        <v>0</v>
      </c>
      <c r="I1260">
        <v>0</v>
      </c>
      <c r="J1260" t="str">
        <f t="shared" si="114"/>
        <v>Non-Smoker</v>
      </c>
      <c r="K1260">
        <v>0</v>
      </c>
      <c r="L1260">
        <v>0</v>
      </c>
      <c r="M1260">
        <v>1</v>
      </c>
      <c r="N1260">
        <v>0</v>
      </c>
      <c r="O1260">
        <v>285</v>
      </c>
      <c r="P1260" t="str">
        <f t="shared" si="115"/>
        <v>High</v>
      </c>
      <c r="Q1260">
        <v>129</v>
      </c>
      <c r="R1260">
        <v>95</v>
      </c>
      <c r="S1260">
        <v>26.64</v>
      </c>
      <c r="T1260" t="str">
        <f t="shared" si="116"/>
        <v>Overweight</v>
      </c>
      <c r="U1260">
        <v>60</v>
      </c>
      <c r="V1260">
        <v>74</v>
      </c>
      <c r="W1260" t="str">
        <f t="shared" si="119"/>
        <v>Normal</v>
      </c>
      <c r="X1260">
        <v>0</v>
      </c>
    </row>
    <row r="1261" spans="1:24" ht="14.5" thickBot="1" x14ac:dyDescent="0.35">
      <c r="A1261">
        <v>0</v>
      </c>
      <c r="B1261" t="str">
        <f t="shared" si="117"/>
        <v>Female</v>
      </c>
      <c r="C1261" s="8">
        <v>43</v>
      </c>
      <c r="D1261" t="str">
        <f t="shared" si="118"/>
        <v>Middle Age</v>
      </c>
      <c r="E1261">
        <v>2</v>
      </c>
      <c r="F1261" t="str">
        <f>HLOOKUP(E1261, LookUP_Table!$A$6:$D$7, 2, FALSE)</f>
        <v>Secondary</v>
      </c>
      <c r="G1261" t="str">
        <f>IFERROR(VLOOKUP(E1261, LookUP_Table!$A$1:$B$4, 2, FALSE), "")</f>
        <v>Secondary</v>
      </c>
      <c r="H1261">
        <v>1</v>
      </c>
      <c r="I1261">
        <v>15</v>
      </c>
      <c r="J1261" t="str">
        <f t="shared" si="114"/>
        <v>Smoker</v>
      </c>
      <c r="K1261">
        <v>0</v>
      </c>
      <c r="L1261">
        <v>0</v>
      </c>
      <c r="M1261">
        <v>0</v>
      </c>
      <c r="N1261">
        <v>0</v>
      </c>
      <c r="O1261">
        <v>190</v>
      </c>
      <c r="P1261" t="str">
        <f t="shared" si="115"/>
        <v>Normal</v>
      </c>
      <c r="Q1261">
        <v>103</v>
      </c>
      <c r="R1261">
        <v>67.5</v>
      </c>
      <c r="S1261">
        <v>24.08</v>
      </c>
      <c r="T1261" t="str">
        <f t="shared" si="116"/>
        <v>Normal</v>
      </c>
      <c r="U1261">
        <v>89</v>
      </c>
      <c r="V1261">
        <v>69</v>
      </c>
      <c r="W1261" t="str">
        <f t="shared" si="119"/>
        <v>Normal</v>
      </c>
      <c r="X1261">
        <v>0</v>
      </c>
    </row>
    <row r="1262" spans="1:24" ht="14.5" thickBot="1" x14ac:dyDescent="0.35">
      <c r="A1262">
        <v>1</v>
      </c>
      <c r="B1262" t="str">
        <f t="shared" si="117"/>
        <v>Male</v>
      </c>
      <c r="C1262" s="8">
        <v>43</v>
      </c>
      <c r="D1262" t="str">
        <f t="shared" si="118"/>
        <v>Middle Age</v>
      </c>
      <c r="E1262">
        <v>4</v>
      </c>
      <c r="F1262" t="str">
        <f>HLOOKUP(E1262, LookUP_Table!$A$6:$D$7, 2, FALSE)</f>
        <v>Post Graduate</v>
      </c>
      <c r="G1262" t="str">
        <f>IFERROR(VLOOKUP(E1262, LookUP_Table!$A$1:$B$4, 2, FALSE), "")</f>
        <v>Post Graduate</v>
      </c>
      <c r="H1262">
        <v>1</v>
      </c>
      <c r="I1262">
        <v>20</v>
      </c>
      <c r="J1262" t="str">
        <f t="shared" si="114"/>
        <v>Smoker</v>
      </c>
      <c r="K1262">
        <v>0</v>
      </c>
      <c r="L1262">
        <v>0</v>
      </c>
      <c r="M1262">
        <v>0</v>
      </c>
      <c r="N1262">
        <v>0</v>
      </c>
      <c r="O1262">
        <v>187</v>
      </c>
      <c r="P1262" t="str">
        <f t="shared" si="115"/>
        <v>Normal</v>
      </c>
      <c r="Q1262">
        <v>129.5</v>
      </c>
      <c r="R1262">
        <v>88</v>
      </c>
      <c r="S1262">
        <v>25.62</v>
      </c>
      <c r="T1262" t="str">
        <f t="shared" si="116"/>
        <v>Overweight</v>
      </c>
      <c r="U1262">
        <v>80</v>
      </c>
      <c r="V1262">
        <v>75</v>
      </c>
      <c r="W1262" t="str">
        <f t="shared" si="119"/>
        <v>Normal</v>
      </c>
      <c r="X1262">
        <v>0</v>
      </c>
    </row>
    <row r="1263" spans="1:24" ht="14.5" thickBot="1" x14ac:dyDescent="0.35">
      <c r="A1263">
        <v>1</v>
      </c>
      <c r="B1263" t="str">
        <f t="shared" si="117"/>
        <v>Male</v>
      </c>
      <c r="C1263" s="8">
        <v>44</v>
      </c>
      <c r="D1263" t="str">
        <f t="shared" si="118"/>
        <v>Middle Age</v>
      </c>
      <c r="E1263">
        <v>2</v>
      </c>
      <c r="F1263" t="str">
        <f>HLOOKUP(E1263, LookUP_Table!$A$6:$D$7, 2, FALSE)</f>
        <v>Secondary</v>
      </c>
      <c r="G1263" t="str">
        <f>IFERROR(VLOOKUP(E1263, LookUP_Table!$A$1:$B$4, 2, FALSE), "")</f>
        <v>Secondary</v>
      </c>
      <c r="H1263">
        <v>1</v>
      </c>
      <c r="I1263">
        <v>30</v>
      </c>
      <c r="J1263" t="str">
        <f t="shared" si="114"/>
        <v>Smoker</v>
      </c>
      <c r="K1263">
        <v>0</v>
      </c>
      <c r="L1263">
        <v>0</v>
      </c>
      <c r="M1263">
        <v>1</v>
      </c>
      <c r="N1263">
        <v>0</v>
      </c>
      <c r="O1263">
        <v>270</v>
      </c>
      <c r="P1263" t="str">
        <f t="shared" si="115"/>
        <v>High</v>
      </c>
      <c r="Q1263">
        <v>137.5</v>
      </c>
      <c r="R1263">
        <v>90</v>
      </c>
      <c r="S1263">
        <v>21.96</v>
      </c>
      <c r="T1263" t="str">
        <f t="shared" si="116"/>
        <v>Normal</v>
      </c>
      <c r="U1263">
        <v>75</v>
      </c>
      <c r="V1263">
        <v>83</v>
      </c>
      <c r="W1263" t="str">
        <f t="shared" si="119"/>
        <v>Normal</v>
      </c>
      <c r="X1263">
        <v>0</v>
      </c>
    </row>
    <row r="1264" spans="1:24" ht="14.5" thickBot="1" x14ac:dyDescent="0.35">
      <c r="A1264">
        <v>1</v>
      </c>
      <c r="B1264" t="str">
        <f t="shared" si="117"/>
        <v>Male</v>
      </c>
      <c r="C1264" s="8">
        <v>44</v>
      </c>
      <c r="D1264" t="str">
        <f t="shared" si="118"/>
        <v>Middle Age</v>
      </c>
      <c r="E1264">
        <v>2</v>
      </c>
      <c r="F1264" t="str">
        <f>HLOOKUP(E1264, LookUP_Table!$A$6:$D$7, 2, FALSE)</f>
        <v>Secondary</v>
      </c>
      <c r="G1264" t="str">
        <f>IFERROR(VLOOKUP(E1264, LookUP_Table!$A$1:$B$4, 2, FALSE), "")</f>
        <v>Secondary</v>
      </c>
      <c r="H1264">
        <v>0</v>
      </c>
      <c r="I1264">
        <v>0</v>
      </c>
      <c r="J1264" t="str">
        <f t="shared" si="114"/>
        <v>Non-Smoker</v>
      </c>
      <c r="K1264">
        <v>0</v>
      </c>
      <c r="L1264">
        <v>0</v>
      </c>
      <c r="M1264">
        <v>0</v>
      </c>
      <c r="N1264">
        <v>0</v>
      </c>
      <c r="O1264">
        <v>185</v>
      </c>
      <c r="P1264" t="str">
        <f t="shared" si="115"/>
        <v>Normal</v>
      </c>
      <c r="Q1264">
        <v>115</v>
      </c>
      <c r="R1264">
        <v>69</v>
      </c>
      <c r="S1264">
        <v>22.29</v>
      </c>
      <c r="T1264" t="str">
        <f t="shared" si="116"/>
        <v>Normal</v>
      </c>
      <c r="U1264">
        <v>65</v>
      </c>
      <c r="V1264">
        <v>82</v>
      </c>
      <c r="W1264" t="str">
        <f t="shared" si="119"/>
        <v>Normal</v>
      </c>
      <c r="X1264">
        <v>0</v>
      </c>
    </row>
    <row r="1265" spans="1:24" ht="14.5" thickBot="1" x14ac:dyDescent="0.35">
      <c r="A1265">
        <v>0</v>
      </c>
      <c r="B1265" t="str">
        <f t="shared" si="117"/>
        <v>Female</v>
      </c>
      <c r="C1265" s="8">
        <v>44</v>
      </c>
      <c r="D1265" t="str">
        <f t="shared" si="118"/>
        <v>Middle Age</v>
      </c>
      <c r="E1265">
        <v>2</v>
      </c>
      <c r="F1265" t="str">
        <f>HLOOKUP(E1265, LookUP_Table!$A$6:$D$7, 2, FALSE)</f>
        <v>Secondary</v>
      </c>
      <c r="G1265" t="str">
        <f>IFERROR(VLOOKUP(E1265, LookUP_Table!$A$1:$B$4, 2, FALSE), "")</f>
        <v>Secondary</v>
      </c>
      <c r="H1265">
        <v>1</v>
      </c>
      <c r="I1265">
        <v>10</v>
      </c>
      <c r="J1265" t="str">
        <f t="shared" si="114"/>
        <v>Smoker</v>
      </c>
      <c r="K1265">
        <v>0</v>
      </c>
      <c r="L1265">
        <v>0</v>
      </c>
      <c r="M1265">
        <v>0</v>
      </c>
      <c r="N1265">
        <v>0</v>
      </c>
      <c r="O1265">
        <v>221</v>
      </c>
      <c r="P1265" t="str">
        <f t="shared" si="115"/>
        <v>Normal</v>
      </c>
      <c r="Q1265">
        <v>110</v>
      </c>
      <c r="R1265">
        <v>76</v>
      </c>
      <c r="S1265">
        <v>22.16</v>
      </c>
      <c r="T1265" t="str">
        <f t="shared" si="116"/>
        <v>Normal</v>
      </c>
      <c r="U1265">
        <v>64</v>
      </c>
      <c r="V1265">
        <v>83</v>
      </c>
      <c r="W1265" t="str">
        <f t="shared" si="119"/>
        <v>Normal</v>
      </c>
      <c r="X1265">
        <v>1</v>
      </c>
    </row>
    <row r="1266" spans="1:24" ht="14.5" thickBot="1" x14ac:dyDescent="0.35">
      <c r="A1266">
        <v>0</v>
      </c>
      <c r="B1266" t="str">
        <f t="shared" si="117"/>
        <v>Female</v>
      </c>
      <c r="C1266" s="8">
        <v>44</v>
      </c>
      <c r="D1266" t="str">
        <f t="shared" si="118"/>
        <v>Middle Age</v>
      </c>
      <c r="E1266">
        <v>1</v>
      </c>
      <c r="F1266" t="str">
        <f>HLOOKUP(E1266, LookUP_Table!$A$6:$D$7, 2, FALSE)</f>
        <v>Primary</v>
      </c>
      <c r="G1266" t="str">
        <f>IFERROR(VLOOKUP(E1266, LookUP_Table!$A$1:$B$4, 2, FALSE), "")</f>
        <v>Primary</v>
      </c>
      <c r="H1266">
        <v>0</v>
      </c>
      <c r="I1266">
        <v>0</v>
      </c>
      <c r="J1266" t="str">
        <f t="shared" si="114"/>
        <v>Non-Smoker</v>
      </c>
      <c r="K1266">
        <v>0</v>
      </c>
      <c r="L1266">
        <v>0</v>
      </c>
      <c r="M1266">
        <v>0</v>
      </c>
      <c r="N1266">
        <v>0</v>
      </c>
      <c r="O1266">
        <v>202</v>
      </c>
      <c r="P1266" t="str">
        <f t="shared" si="115"/>
        <v>Normal</v>
      </c>
      <c r="Q1266">
        <v>155</v>
      </c>
      <c r="R1266">
        <v>85</v>
      </c>
      <c r="S1266">
        <v>24.04</v>
      </c>
      <c r="T1266" t="str">
        <f t="shared" si="116"/>
        <v>Normal</v>
      </c>
      <c r="U1266">
        <v>83</v>
      </c>
      <c r="V1266">
        <v>68</v>
      </c>
      <c r="W1266" t="str">
        <f t="shared" si="119"/>
        <v>Normal</v>
      </c>
      <c r="X1266">
        <v>0</v>
      </c>
    </row>
    <row r="1267" spans="1:24" ht="14.5" thickBot="1" x14ac:dyDescent="0.35">
      <c r="A1267">
        <v>0</v>
      </c>
      <c r="B1267" t="str">
        <f t="shared" si="117"/>
        <v>Female</v>
      </c>
      <c r="C1267" s="8">
        <v>44</v>
      </c>
      <c r="D1267" t="str">
        <f t="shared" si="118"/>
        <v>Middle Age</v>
      </c>
      <c r="E1267">
        <v>3</v>
      </c>
      <c r="F1267" t="str">
        <f>HLOOKUP(E1267, LookUP_Table!$A$6:$D$7, 2, FALSE)</f>
        <v>Graduate</v>
      </c>
      <c r="G1267" t="str">
        <f>IFERROR(VLOOKUP(E1267, LookUP_Table!$A$1:$B$4, 2, FALSE), "")</f>
        <v>Graduate</v>
      </c>
      <c r="H1267">
        <v>1</v>
      </c>
      <c r="I1267">
        <v>20</v>
      </c>
      <c r="J1267" t="str">
        <f t="shared" si="114"/>
        <v>Smoker</v>
      </c>
      <c r="K1267">
        <v>0</v>
      </c>
      <c r="L1267">
        <v>0</v>
      </c>
      <c r="M1267">
        <v>0</v>
      </c>
      <c r="N1267">
        <v>0</v>
      </c>
      <c r="O1267">
        <v>213</v>
      </c>
      <c r="P1267" t="str">
        <f t="shared" si="115"/>
        <v>Normal</v>
      </c>
      <c r="Q1267">
        <v>115</v>
      </c>
      <c r="R1267">
        <v>72.5</v>
      </c>
      <c r="S1267">
        <v>21.16</v>
      </c>
      <c r="T1267" t="str">
        <f t="shared" si="116"/>
        <v>Normal</v>
      </c>
      <c r="U1267">
        <v>80</v>
      </c>
      <c r="V1267">
        <v>89</v>
      </c>
      <c r="W1267" t="str">
        <f t="shared" si="119"/>
        <v>Normal</v>
      </c>
      <c r="X1267">
        <v>0</v>
      </c>
    </row>
    <row r="1268" spans="1:24" ht="14.5" thickBot="1" x14ac:dyDescent="0.35">
      <c r="A1268">
        <v>1</v>
      </c>
      <c r="B1268" t="str">
        <f t="shared" si="117"/>
        <v>Male</v>
      </c>
      <c r="C1268" s="8">
        <v>44</v>
      </c>
      <c r="D1268" t="str">
        <f t="shared" si="118"/>
        <v>Middle Age</v>
      </c>
      <c r="E1268">
        <v>2</v>
      </c>
      <c r="F1268" t="str">
        <f>HLOOKUP(E1268, LookUP_Table!$A$6:$D$7, 2, FALSE)</f>
        <v>Secondary</v>
      </c>
      <c r="G1268" t="str">
        <f>IFERROR(VLOOKUP(E1268, LookUP_Table!$A$1:$B$4, 2, FALSE), "")</f>
        <v>Secondary</v>
      </c>
      <c r="H1268">
        <v>0</v>
      </c>
      <c r="I1268">
        <v>0</v>
      </c>
      <c r="J1268" t="str">
        <f t="shared" si="114"/>
        <v>Non-Smoker</v>
      </c>
      <c r="K1268">
        <v>0</v>
      </c>
      <c r="L1268">
        <v>0</v>
      </c>
      <c r="M1268">
        <v>0</v>
      </c>
      <c r="N1268">
        <v>0</v>
      </c>
      <c r="O1268">
        <v>244</v>
      </c>
      <c r="P1268" t="str">
        <f t="shared" si="115"/>
        <v>High</v>
      </c>
      <c r="Q1268">
        <v>128</v>
      </c>
      <c r="R1268">
        <v>77</v>
      </c>
      <c r="S1268">
        <v>25.95</v>
      </c>
      <c r="T1268" t="str">
        <f t="shared" si="116"/>
        <v>Overweight</v>
      </c>
      <c r="U1268">
        <v>75</v>
      </c>
      <c r="V1268">
        <v>90</v>
      </c>
      <c r="W1268" t="str">
        <f t="shared" si="119"/>
        <v>Normal</v>
      </c>
      <c r="X1268">
        <v>0</v>
      </c>
    </row>
    <row r="1269" spans="1:24" ht="14.5" thickBot="1" x14ac:dyDescent="0.35">
      <c r="A1269">
        <v>0</v>
      </c>
      <c r="B1269" t="str">
        <f t="shared" si="117"/>
        <v>Female</v>
      </c>
      <c r="C1269" s="8">
        <v>44</v>
      </c>
      <c r="D1269" t="str">
        <f t="shared" si="118"/>
        <v>Middle Age</v>
      </c>
      <c r="E1269">
        <v>3</v>
      </c>
      <c r="F1269" t="str">
        <f>HLOOKUP(E1269, LookUP_Table!$A$6:$D$7, 2, FALSE)</f>
        <v>Graduate</v>
      </c>
      <c r="G1269" t="str">
        <f>IFERROR(VLOOKUP(E1269, LookUP_Table!$A$1:$B$4, 2, FALSE), "")</f>
        <v>Graduate</v>
      </c>
      <c r="H1269">
        <v>0</v>
      </c>
      <c r="I1269">
        <v>0</v>
      </c>
      <c r="J1269" t="str">
        <f t="shared" si="114"/>
        <v>Non-Smoker</v>
      </c>
      <c r="K1269">
        <v>0</v>
      </c>
      <c r="L1269">
        <v>0</v>
      </c>
      <c r="M1269">
        <v>0</v>
      </c>
      <c r="N1269">
        <v>0</v>
      </c>
      <c r="O1269">
        <v>270</v>
      </c>
      <c r="P1269" t="str">
        <f t="shared" si="115"/>
        <v>High</v>
      </c>
      <c r="Q1269">
        <v>131.5</v>
      </c>
      <c r="R1269">
        <v>76</v>
      </c>
      <c r="S1269">
        <v>22.19</v>
      </c>
      <c r="T1269" t="str">
        <f t="shared" si="116"/>
        <v>Normal</v>
      </c>
      <c r="U1269">
        <v>68</v>
      </c>
      <c r="V1269">
        <v>113</v>
      </c>
      <c r="W1269" t="str">
        <f t="shared" si="119"/>
        <v>Prediabetes</v>
      </c>
      <c r="X1269">
        <v>0</v>
      </c>
    </row>
    <row r="1270" spans="1:24" ht="14.5" thickBot="1" x14ac:dyDescent="0.35">
      <c r="A1270">
        <v>1</v>
      </c>
      <c r="B1270" t="str">
        <f t="shared" si="117"/>
        <v>Male</v>
      </c>
      <c r="C1270" s="8">
        <v>44</v>
      </c>
      <c r="D1270" t="str">
        <f t="shared" si="118"/>
        <v>Middle Age</v>
      </c>
      <c r="E1270">
        <v>3</v>
      </c>
      <c r="F1270" t="str">
        <f>HLOOKUP(E1270, LookUP_Table!$A$6:$D$7, 2, FALSE)</f>
        <v>Graduate</v>
      </c>
      <c r="G1270" t="str">
        <f>IFERROR(VLOOKUP(E1270, LookUP_Table!$A$1:$B$4, 2, FALSE), "")</f>
        <v>Graduate</v>
      </c>
      <c r="H1270">
        <v>1</v>
      </c>
      <c r="I1270">
        <v>15</v>
      </c>
      <c r="J1270" t="str">
        <f t="shared" si="114"/>
        <v>Smoker</v>
      </c>
      <c r="K1270">
        <v>0</v>
      </c>
      <c r="L1270">
        <v>0</v>
      </c>
      <c r="M1270">
        <v>0</v>
      </c>
      <c r="N1270">
        <v>0</v>
      </c>
      <c r="O1270">
        <v>340</v>
      </c>
      <c r="P1270" t="str">
        <f t="shared" si="115"/>
        <v>High</v>
      </c>
      <c r="Q1270">
        <v>125</v>
      </c>
      <c r="R1270">
        <v>78</v>
      </c>
      <c r="S1270">
        <v>26.41</v>
      </c>
      <c r="T1270" t="str">
        <f t="shared" si="116"/>
        <v>Overweight</v>
      </c>
      <c r="U1270">
        <v>56</v>
      </c>
      <c r="V1270">
        <v>90</v>
      </c>
      <c r="W1270" t="str">
        <f t="shared" si="119"/>
        <v>Normal</v>
      </c>
      <c r="X1270">
        <v>0</v>
      </c>
    </row>
    <row r="1271" spans="1:24" ht="14.5" thickBot="1" x14ac:dyDescent="0.35">
      <c r="A1271">
        <v>1</v>
      </c>
      <c r="B1271" t="str">
        <f t="shared" si="117"/>
        <v>Male</v>
      </c>
      <c r="C1271" s="8">
        <v>44</v>
      </c>
      <c r="D1271" t="str">
        <f t="shared" si="118"/>
        <v>Middle Age</v>
      </c>
      <c r="E1271">
        <v>1</v>
      </c>
      <c r="F1271" t="str">
        <f>HLOOKUP(E1271, LookUP_Table!$A$6:$D$7, 2, FALSE)</f>
        <v>Primary</v>
      </c>
      <c r="G1271" t="str">
        <f>IFERROR(VLOOKUP(E1271, LookUP_Table!$A$1:$B$4, 2, FALSE), "")</f>
        <v>Primary</v>
      </c>
      <c r="H1271">
        <v>1</v>
      </c>
      <c r="I1271">
        <v>20</v>
      </c>
      <c r="J1271" t="str">
        <f t="shared" si="114"/>
        <v>Smoker</v>
      </c>
      <c r="K1271">
        <v>0</v>
      </c>
      <c r="L1271">
        <v>0</v>
      </c>
      <c r="M1271">
        <v>0</v>
      </c>
      <c r="N1271">
        <v>0</v>
      </c>
      <c r="O1271">
        <v>197</v>
      </c>
      <c r="P1271" t="str">
        <f t="shared" si="115"/>
        <v>Normal</v>
      </c>
      <c r="Q1271">
        <v>118</v>
      </c>
      <c r="R1271">
        <v>81</v>
      </c>
      <c r="S1271">
        <v>17.440000000000001</v>
      </c>
      <c r="T1271" t="str">
        <f t="shared" si="116"/>
        <v>Underweight</v>
      </c>
      <c r="U1271">
        <v>70</v>
      </c>
      <c r="V1271">
        <v>75</v>
      </c>
      <c r="W1271" t="str">
        <f t="shared" si="119"/>
        <v>Normal</v>
      </c>
      <c r="X1271">
        <v>0</v>
      </c>
    </row>
    <row r="1272" spans="1:24" ht="14.5" thickBot="1" x14ac:dyDescent="0.35">
      <c r="A1272">
        <v>1</v>
      </c>
      <c r="B1272" t="str">
        <f t="shared" si="117"/>
        <v>Male</v>
      </c>
      <c r="C1272" s="8">
        <v>44</v>
      </c>
      <c r="D1272" t="str">
        <f t="shared" si="118"/>
        <v>Middle Age</v>
      </c>
      <c r="E1272">
        <v>1</v>
      </c>
      <c r="F1272" t="str">
        <f>HLOOKUP(E1272, LookUP_Table!$A$6:$D$7, 2, FALSE)</f>
        <v>Primary</v>
      </c>
      <c r="G1272" t="str">
        <f>IFERROR(VLOOKUP(E1272, LookUP_Table!$A$1:$B$4, 2, FALSE), "")</f>
        <v>Primary</v>
      </c>
      <c r="H1272">
        <v>1</v>
      </c>
      <c r="I1272">
        <v>10</v>
      </c>
      <c r="J1272" t="str">
        <f t="shared" si="114"/>
        <v>Smoker</v>
      </c>
      <c r="K1272">
        <v>0</v>
      </c>
      <c r="L1272">
        <v>0</v>
      </c>
      <c r="M1272">
        <v>1</v>
      </c>
      <c r="N1272">
        <v>0</v>
      </c>
      <c r="O1272">
        <v>229</v>
      </c>
      <c r="P1272" t="str">
        <f t="shared" si="115"/>
        <v>Normal</v>
      </c>
      <c r="Q1272">
        <v>177.5</v>
      </c>
      <c r="R1272">
        <v>120</v>
      </c>
      <c r="S1272">
        <v>39.880000000000003</v>
      </c>
      <c r="T1272" t="str">
        <f t="shared" si="116"/>
        <v>Obese</v>
      </c>
      <c r="U1272">
        <v>104</v>
      </c>
      <c r="V1272">
        <v>78</v>
      </c>
      <c r="W1272" t="str">
        <f t="shared" si="119"/>
        <v>Normal</v>
      </c>
      <c r="X1272">
        <v>0</v>
      </c>
    </row>
    <row r="1273" spans="1:24" ht="14.5" thickBot="1" x14ac:dyDescent="0.35">
      <c r="A1273">
        <v>0</v>
      </c>
      <c r="B1273" t="str">
        <f t="shared" si="117"/>
        <v>Female</v>
      </c>
      <c r="C1273" s="8">
        <v>44</v>
      </c>
      <c r="D1273" t="str">
        <f t="shared" si="118"/>
        <v>Middle Age</v>
      </c>
      <c r="E1273">
        <v>1</v>
      </c>
      <c r="F1273" t="str">
        <f>HLOOKUP(E1273, LookUP_Table!$A$6:$D$7, 2, FALSE)</f>
        <v>Primary</v>
      </c>
      <c r="G1273" t="str">
        <f>IFERROR(VLOOKUP(E1273, LookUP_Table!$A$1:$B$4, 2, FALSE), "")</f>
        <v>Primary</v>
      </c>
      <c r="H1273">
        <v>0</v>
      </c>
      <c r="I1273">
        <v>0</v>
      </c>
      <c r="J1273" t="str">
        <f t="shared" si="114"/>
        <v>Non-Smoker</v>
      </c>
      <c r="K1273">
        <v>0</v>
      </c>
      <c r="L1273">
        <v>0</v>
      </c>
      <c r="M1273">
        <v>0</v>
      </c>
      <c r="N1273">
        <v>0</v>
      </c>
      <c r="O1273">
        <v>175</v>
      </c>
      <c r="P1273" t="str">
        <f t="shared" si="115"/>
        <v>Normal</v>
      </c>
      <c r="Q1273">
        <v>135</v>
      </c>
      <c r="R1273">
        <v>81</v>
      </c>
      <c r="S1273">
        <v>26.38</v>
      </c>
      <c r="T1273" t="str">
        <f t="shared" si="116"/>
        <v>Overweight</v>
      </c>
      <c r="U1273">
        <v>71</v>
      </c>
      <c r="V1273">
        <v>81.96365524402907</v>
      </c>
      <c r="W1273" t="str">
        <f t="shared" si="119"/>
        <v>Normal</v>
      </c>
      <c r="X1273">
        <v>0</v>
      </c>
    </row>
    <row r="1274" spans="1:24" ht="14.5" thickBot="1" x14ac:dyDescent="0.35">
      <c r="A1274">
        <v>1</v>
      </c>
      <c r="B1274" t="str">
        <f t="shared" si="117"/>
        <v>Male</v>
      </c>
      <c r="C1274" s="8">
        <v>44</v>
      </c>
      <c r="D1274" t="str">
        <f t="shared" si="118"/>
        <v>Middle Age</v>
      </c>
      <c r="E1274">
        <v>1</v>
      </c>
      <c r="F1274" t="str">
        <f>HLOOKUP(E1274, LookUP_Table!$A$6:$D$7, 2, FALSE)</f>
        <v>Primary</v>
      </c>
      <c r="G1274" t="str">
        <f>IFERROR(VLOOKUP(E1274, LookUP_Table!$A$1:$B$4, 2, FALSE), "")</f>
        <v>Primary</v>
      </c>
      <c r="H1274">
        <v>0</v>
      </c>
      <c r="I1274">
        <v>0</v>
      </c>
      <c r="J1274" t="str">
        <f t="shared" si="114"/>
        <v>Non-Smoker</v>
      </c>
      <c r="K1274">
        <v>0</v>
      </c>
      <c r="L1274">
        <v>0</v>
      </c>
      <c r="M1274">
        <v>0</v>
      </c>
      <c r="N1274">
        <v>1</v>
      </c>
      <c r="O1274">
        <v>190</v>
      </c>
      <c r="P1274" t="str">
        <f t="shared" si="115"/>
        <v>Normal</v>
      </c>
      <c r="Q1274">
        <v>122</v>
      </c>
      <c r="R1274">
        <v>81</v>
      </c>
      <c r="S1274">
        <v>36.119999999999997</v>
      </c>
      <c r="T1274" t="str">
        <f t="shared" si="116"/>
        <v>Obese</v>
      </c>
      <c r="U1274">
        <v>70</v>
      </c>
      <c r="V1274">
        <v>143</v>
      </c>
      <c r="W1274" t="str">
        <f t="shared" si="119"/>
        <v>Diabetes</v>
      </c>
      <c r="X1274">
        <v>0</v>
      </c>
    </row>
    <row r="1275" spans="1:24" ht="14.5" thickBot="1" x14ac:dyDescent="0.35">
      <c r="A1275">
        <v>1</v>
      </c>
      <c r="B1275" t="str">
        <f t="shared" si="117"/>
        <v>Male</v>
      </c>
      <c r="C1275" s="8">
        <v>44</v>
      </c>
      <c r="D1275" t="str">
        <f t="shared" si="118"/>
        <v>Middle Age</v>
      </c>
      <c r="E1275">
        <v>3</v>
      </c>
      <c r="F1275" t="str">
        <f>HLOOKUP(E1275, LookUP_Table!$A$6:$D$7, 2, FALSE)</f>
        <v>Graduate</v>
      </c>
      <c r="G1275" t="str">
        <f>IFERROR(VLOOKUP(E1275, LookUP_Table!$A$1:$B$4, 2, FALSE), "")</f>
        <v>Graduate</v>
      </c>
      <c r="H1275">
        <v>0</v>
      </c>
      <c r="I1275">
        <v>0</v>
      </c>
      <c r="J1275" t="str">
        <f t="shared" si="114"/>
        <v>Non-Smoker</v>
      </c>
      <c r="K1275">
        <v>0</v>
      </c>
      <c r="L1275">
        <v>0</v>
      </c>
      <c r="M1275">
        <v>0</v>
      </c>
      <c r="N1275">
        <v>0</v>
      </c>
      <c r="O1275">
        <v>243</v>
      </c>
      <c r="P1275" t="str">
        <f t="shared" si="115"/>
        <v>High</v>
      </c>
      <c r="Q1275">
        <v>146</v>
      </c>
      <c r="R1275">
        <v>91</v>
      </c>
      <c r="S1275">
        <v>26.72</v>
      </c>
      <c r="T1275" t="str">
        <f t="shared" si="116"/>
        <v>Overweight</v>
      </c>
      <c r="U1275">
        <v>80</v>
      </c>
      <c r="V1275">
        <v>104</v>
      </c>
      <c r="W1275" t="str">
        <f t="shared" si="119"/>
        <v>Prediabetes</v>
      </c>
      <c r="X1275">
        <v>0</v>
      </c>
    </row>
    <row r="1276" spans="1:24" ht="14.5" thickBot="1" x14ac:dyDescent="0.35">
      <c r="A1276">
        <v>0</v>
      </c>
      <c r="B1276" t="str">
        <f t="shared" si="117"/>
        <v>Female</v>
      </c>
      <c r="C1276" s="8">
        <v>44</v>
      </c>
      <c r="D1276" t="str">
        <f t="shared" si="118"/>
        <v>Middle Age</v>
      </c>
      <c r="E1276">
        <v>1</v>
      </c>
      <c r="F1276" t="str">
        <f>HLOOKUP(E1276, LookUP_Table!$A$6:$D$7, 2, FALSE)</f>
        <v>Primary</v>
      </c>
      <c r="G1276" t="str">
        <f>IFERROR(VLOOKUP(E1276, LookUP_Table!$A$1:$B$4, 2, FALSE), "")</f>
        <v>Primary</v>
      </c>
      <c r="H1276">
        <v>0</v>
      </c>
      <c r="I1276">
        <v>0</v>
      </c>
      <c r="J1276" t="str">
        <f t="shared" si="114"/>
        <v>Non-Smoker</v>
      </c>
      <c r="K1276">
        <v>0</v>
      </c>
      <c r="L1276">
        <v>0</v>
      </c>
      <c r="M1276">
        <v>0</v>
      </c>
      <c r="N1276">
        <v>0</v>
      </c>
      <c r="O1276">
        <v>173</v>
      </c>
      <c r="P1276" t="str">
        <f t="shared" si="115"/>
        <v>Normal</v>
      </c>
      <c r="Q1276">
        <v>136.5</v>
      </c>
      <c r="R1276">
        <v>77.5</v>
      </c>
      <c r="S1276">
        <v>26.62</v>
      </c>
      <c r="T1276" t="str">
        <f t="shared" si="116"/>
        <v>Overweight</v>
      </c>
      <c r="U1276">
        <v>66</v>
      </c>
      <c r="V1276">
        <v>72</v>
      </c>
      <c r="W1276" t="str">
        <f t="shared" si="119"/>
        <v>Normal</v>
      </c>
      <c r="X1276">
        <v>0</v>
      </c>
    </row>
    <row r="1277" spans="1:24" ht="14.5" thickBot="1" x14ac:dyDescent="0.35">
      <c r="A1277">
        <v>0</v>
      </c>
      <c r="B1277" t="str">
        <f t="shared" si="117"/>
        <v>Female</v>
      </c>
      <c r="C1277" s="8">
        <v>44</v>
      </c>
      <c r="D1277" t="str">
        <f t="shared" si="118"/>
        <v>Middle Age</v>
      </c>
      <c r="E1277">
        <v>3</v>
      </c>
      <c r="F1277" t="str">
        <f>HLOOKUP(E1277, LookUP_Table!$A$6:$D$7, 2, FALSE)</f>
        <v>Graduate</v>
      </c>
      <c r="G1277" t="str">
        <f>IFERROR(VLOOKUP(E1277, LookUP_Table!$A$1:$B$4, 2, FALSE), "")</f>
        <v>Graduate</v>
      </c>
      <c r="H1277">
        <v>1</v>
      </c>
      <c r="I1277">
        <v>15</v>
      </c>
      <c r="J1277" t="str">
        <f t="shared" si="114"/>
        <v>Smoker</v>
      </c>
      <c r="K1277">
        <v>0</v>
      </c>
      <c r="L1277">
        <v>0</v>
      </c>
      <c r="M1277">
        <v>0</v>
      </c>
      <c r="N1277">
        <v>0</v>
      </c>
      <c r="O1277">
        <v>198</v>
      </c>
      <c r="P1277" t="str">
        <f t="shared" si="115"/>
        <v>Normal</v>
      </c>
      <c r="Q1277">
        <v>112</v>
      </c>
      <c r="R1277">
        <v>68</v>
      </c>
      <c r="S1277">
        <v>22.17</v>
      </c>
      <c r="T1277" t="str">
        <f t="shared" si="116"/>
        <v>Normal</v>
      </c>
      <c r="U1277">
        <v>70</v>
      </c>
      <c r="V1277">
        <v>81.96365524402907</v>
      </c>
      <c r="W1277" t="str">
        <f t="shared" si="119"/>
        <v>Normal</v>
      </c>
      <c r="X1277">
        <v>0</v>
      </c>
    </row>
    <row r="1278" spans="1:24" ht="14.5" thickBot="1" x14ac:dyDescent="0.35">
      <c r="A1278">
        <v>0</v>
      </c>
      <c r="B1278" t="str">
        <f t="shared" si="117"/>
        <v>Female</v>
      </c>
      <c r="C1278" s="8">
        <v>44</v>
      </c>
      <c r="D1278" t="str">
        <f t="shared" si="118"/>
        <v>Middle Age</v>
      </c>
      <c r="E1278">
        <v>2</v>
      </c>
      <c r="F1278" t="str">
        <f>HLOOKUP(E1278, LookUP_Table!$A$6:$D$7, 2, FALSE)</f>
        <v>Secondary</v>
      </c>
      <c r="G1278" t="str">
        <f>IFERROR(VLOOKUP(E1278, LookUP_Table!$A$1:$B$4, 2, FALSE), "")</f>
        <v>Secondary</v>
      </c>
      <c r="H1278">
        <v>1</v>
      </c>
      <c r="I1278">
        <v>10</v>
      </c>
      <c r="J1278" t="str">
        <f t="shared" si="114"/>
        <v>Smoker</v>
      </c>
      <c r="K1278">
        <v>0</v>
      </c>
      <c r="L1278">
        <v>0</v>
      </c>
      <c r="M1278">
        <v>0</v>
      </c>
      <c r="N1278">
        <v>0</v>
      </c>
      <c r="O1278">
        <v>152</v>
      </c>
      <c r="P1278" t="str">
        <f t="shared" si="115"/>
        <v>Normal</v>
      </c>
      <c r="Q1278">
        <v>110</v>
      </c>
      <c r="R1278">
        <v>64</v>
      </c>
      <c r="S1278">
        <v>25.71</v>
      </c>
      <c r="T1278" t="str">
        <f t="shared" si="116"/>
        <v>Overweight</v>
      </c>
      <c r="U1278">
        <v>75</v>
      </c>
      <c r="V1278">
        <v>83</v>
      </c>
      <c r="W1278" t="str">
        <f t="shared" si="119"/>
        <v>Normal</v>
      </c>
      <c r="X1278">
        <v>0</v>
      </c>
    </row>
    <row r="1279" spans="1:24" ht="14.5" thickBot="1" x14ac:dyDescent="0.35">
      <c r="A1279">
        <v>1</v>
      </c>
      <c r="B1279" t="str">
        <f t="shared" si="117"/>
        <v>Male</v>
      </c>
      <c r="C1279" s="8">
        <v>44</v>
      </c>
      <c r="D1279" t="str">
        <f t="shared" si="118"/>
        <v>Middle Age</v>
      </c>
      <c r="E1279">
        <v>2</v>
      </c>
      <c r="F1279" t="str">
        <f>HLOOKUP(E1279, LookUP_Table!$A$6:$D$7, 2, FALSE)</f>
        <v>Secondary</v>
      </c>
      <c r="G1279" t="str">
        <f>IFERROR(VLOOKUP(E1279, LookUP_Table!$A$1:$B$4, 2, FALSE), "")</f>
        <v>Secondary</v>
      </c>
      <c r="H1279">
        <v>1</v>
      </c>
      <c r="I1279">
        <v>20</v>
      </c>
      <c r="J1279" t="str">
        <f t="shared" si="114"/>
        <v>Smoker</v>
      </c>
      <c r="K1279">
        <v>0</v>
      </c>
      <c r="L1279">
        <v>0</v>
      </c>
      <c r="M1279">
        <v>1</v>
      </c>
      <c r="N1279">
        <v>0</v>
      </c>
      <c r="O1279">
        <v>319</v>
      </c>
      <c r="P1279" t="str">
        <f t="shared" si="115"/>
        <v>High</v>
      </c>
      <c r="Q1279">
        <v>158</v>
      </c>
      <c r="R1279">
        <v>90</v>
      </c>
      <c r="S1279">
        <v>29.15</v>
      </c>
      <c r="T1279" t="str">
        <f t="shared" si="116"/>
        <v>Overweight</v>
      </c>
      <c r="U1279">
        <v>89</v>
      </c>
      <c r="V1279">
        <v>100</v>
      </c>
      <c r="W1279" t="str">
        <f t="shared" si="119"/>
        <v>Prediabetes</v>
      </c>
      <c r="X1279">
        <v>1</v>
      </c>
    </row>
    <row r="1280" spans="1:24" ht="14.5" thickBot="1" x14ac:dyDescent="0.35">
      <c r="A1280">
        <v>0</v>
      </c>
      <c r="B1280" t="str">
        <f t="shared" si="117"/>
        <v>Female</v>
      </c>
      <c r="C1280" s="8">
        <v>44</v>
      </c>
      <c r="D1280" t="str">
        <f t="shared" si="118"/>
        <v>Middle Age</v>
      </c>
      <c r="E1280">
        <v>1</v>
      </c>
      <c r="F1280" t="str">
        <f>HLOOKUP(E1280, LookUP_Table!$A$6:$D$7, 2, FALSE)</f>
        <v>Primary</v>
      </c>
      <c r="G1280" t="str">
        <f>IFERROR(VLOOKUP(E1280, LookUP_Table!$A$1:$B$4, 2, FALSE), "")</f>
        <v>Primary</v>
      </c>
      <c r="H1280">
        <v>1</v>
      </c>
      <c r="I1280">
        <v>5</v>
      </c>
      <c r="J1280" t="str">
        <f t="shared" si="114"/>
        <v>Smoker</v>
      </c>
      <c r="K1280">
        <v>0</v>
      </c>
      <c r="L1280">
        <v>0</v>
      </c>
      <c r="M1280">
        <v>1</v>
      </c>
      <c r="N1280">
        <v>0</v>
      </c>
      <c r="O1280">
        <v>181</v>
      </c>
      <c r="P1280" t="str">
        <f t="shared" si="115"/>
        <v>Normal</v>
      </c>
      <c r="Q1280">
        <v>150</v>
      </c>
      <c r="R1280">
        <v>101</v>
      </c>
      <c r="S1280">
        <v>23.74</v>
      </c>
      <c r="T1280" t="str">
        <f t="shared" si="116"/>
        <v>Normal</v>
      </c>
      <c r="U1280">
        <v>95</v>
      </c>
      <c r="V1280">
        <v>86</v>
      </c>
      <c r="W1280" t="str">
        <f t="shared" si="119"/>
        <v>Normal</v>
      </c>
      <c r="X1280">
        <v>0</v>
      </c>
    </row>
    <row r="1281" spans="1:24" ht="14.5" thickBot="1" x14ac:dyDescent="0.35">
      <c r="A1281">
        <v>1</v>
      </c>
      <c r="B1281" t="str">
        <f t="shared" si="117"/>
        <v>Male</v>
      </c>
      <c r="C1281" s="8">
        <v>44</v>
      </c>
      <c r="D1281" t="str">
        <f t="shared" si="118"/>
        <v>Middle Age</v>
      </c>
      <c r="E1281">
        <v>1</v>
      </c>
      <c r="F1281" t="str">
        <f>HLOOKUP(E1281, LookUP_Table!$A$6:$D$7, 2, FALSE)</f>
        <v>Primary</v>
      </c>
      <c r="G1281" t="str">
        <f>IFERROR(VLOOKUP(E1281, LookUP_Table!$A$1:$B$4, 2, FALSE), "")</f>
        <v>Primary</v>
      </c>
      <c r="H1281">
        <v>1</v>
      </c>
      <c r="I1281">
        <v>20</v>
      </c>
      <c r="J1281" t="str">
        <f t="shared" si="114"/>
        <v>Smoker</v>
      </c>
      <c r="K1281">
        <v>0</v>
      </c>
      <c r="L1281">
        <v>0</v>
      </c>
      <c r="M1281">
        <v>0</v>
      </c>
      <c r="N1281">
        <v>0</v>
      </c>
      <c r="O1281">
        <v>277</v>
      </c>
      <c r="P1281" t="str">
        <f t="shared" si="115"/>
        <v>High</v>
      </c>
      <c r="Q1281">
        <v>114</v>
      </c>
      <c r="R1281">
        <v>81</v>
      </c>
      <c r="S1281">
        <v>27.51</v>
      </c>
      <c r="T1281" t="str">
        <f t="shared" si="116"/>
        <v>Overweight</v>
      </c>
      <c r="U1281">
        <v>62</v>
      </c>
      <c r="V1281">
        <v>76</v>
      </c>
      <c r="W1281" t="str">
        <f t="shared" si="119"/>
        <v>Normal</v>
      </c>
      <c r="X1281">
        <v>0</v>
      </c>
    </row>
    <row r="1282" spans="1:24" ht="14.5" thickBot="1" x14ac:dyDescent="0.35">
      <c r="A1282">
        <v>0</v>
      </c>
      <c r="B1282" t="str">
        <f t="shared" si="117"/>
        <v>Female</v>
      </c>
      <c r="C1282" s="8">
        <v>44</v>
      </c>
      <c r="D1282" t="str">
        <f t="shared" si="118"/>
        <v>Middle Age</v>
      </c>
      <c r="E1282">
        <v>3</v>
      </c>
      <c r="F1282" t="str">
        <f>HLOOKUP(E1282, LookUP_Table!$A$6:$D$7, 2, FALSE)</f>
        <v>Graduate</v>
      </c>
      <c r="G1282" t="str">
        <f>IFERROR(VLOOKUP(E1282, LookUP_Table!$A$1:$B$4, 2, FALSE), "")</f>
        <v>Graduate</v>
      </c>
      <c r="H1282">
        <v>1</v>
      </c>
      <c r="I1282">
        <v>10</v>
      </c>
      <c r="J1282" t="str">
        <f t="shared" ref="J1282:J1345" si="120">IF(I1282&gt;0,"Smoker","Non-Smoker")</f>
        <v>Smoker</v>
      </c>
      <c r="K1282">
        <v>0</v>
      </c>
      <c r="L1282">
        <v>0</v>
      </c>
      <c r="M1282">
        <v>0</v>
      </c>
      <c r="N1282">
        <v>0</v>
      </c>
      <c r="O1282">
        <v>250</v>
      </c>
      <c r="P1282" t="str">
        <f t="shared" ref="P1282:P1345" si="121">IF(O1282&gt;240,"High","Normal")</f>
        <v>High</v>
      </c>
      <c r="Q1282">
        <v>136.5</v>
      </c>
      <c r="R1282">
        <v>83.5</v>
      </c>
      <c r="S1282">
        <v>21.33</v>
      </c>
      <c r="T1282" t="str">
        <f t="shared" ref="T1282:T1345" si="122">IF(S1282&lt;18.5,"Underweight",
IF(S1282&lt;25,"Normal",
IF(S1282&lt;30,"Overweight","Obese")))</f>
        <v>Normal</v>
      </c>
      <c r="U1282">
        <v>70</v>
      </c>
      <c r="V1282">
        <v>95</v>
      </c>
      <c r="W1282" t="str">
        <f t="shared" si="119"/>
        <v>Normal</v>
      </c>
      <c r="X1282">
        <v>1</v>
      </c>
    </row>
    <row r="1283" spans="1:24" ht="14.5" thickBot="1" x14ac:dyDescent="0.35">
      <c r="A1283">
        <v>0</v>
      </c>
      <c r="B1283" t="str">
        <f t="shared" ref="B1283:B1346" si="123">IF(A1283=0,"Female","Male")</f>
        <v>Female</v>
      </c>
      <c r="C1283" s="8">
        <v>44</v>
      </c>
      <c r="D1283" t="str">
        <f t="shared" ref="D1283:D1346" si="124">IF(C1283&lt;40,"Young",
IF(C1283&lt;55,"Middle Age","Senior"))</f>
        <v>Middle Age</v>
      </c>
      <c r="E1283">
        <v>3</v>
      </c>
      <c r="F1283" t="str">
        <f>HLOOKUP(E1283, LookUP_Table!$A$6:$D$7, 2, FALSE)</f>
        <v>Graduate</v>
      </c>
      <c r="G1283" t="str">
        <f>IFERROR(VLOOKUP(E1283, LookUP_Table!$A$1:$B$4, 2, FALSE), "")</f>
        <v>Graduate</v>
      </c>
      <c r="H1283">
        <v>1</v>
      </c>
      <c r="I1283">
        <v>15</v>
      </c>
      <c r="J1283" t="str">
        <f t="shared" si="120"/>
        <v>Smoker</v>
      </c>
      <c r="K1283">
        <v>0</v>
      </c>
      <c r="L1283">
        <v>0</v>
      </c>
      <c r="M1283">
        <v>0</v>
      </c>
      <c r="N1283">
        <v>0</v>
      </c>
      <c r="O1283">
        <v>242</v>
      </c>
      <c r="P1283" t="str">
        <f t="shared" si="121"/>
        <v>High</v>
      </c>
      <c r="Q1283">
        <v>135</v>
      </c>
      <c r="R1283">
        <v>89</v>
      </c>
      <c r="S1283">
        <v>23.29</v>
      </c>
      <c r="T1283" t="str">
        <f t="shared" si="122"/>
        <v>Normal</v>
      </c>
      <c r="U1283">
        <v>70</v>
      </c>
      <c r="V1283">
        <v>77</v>
      </c>
      <c r="W1283" t="str">
        <f t="shared" ref="W1283:W1346" si="125">IF(V1283 &lt; 100, "Normal", IF(V1283 &lt;= 125, "Prediabetes", "Diabetes"))</f>
        <v>Normal</v>
      </c>
      <c r="X1283">
        <v>0</v>
      </c>
    </row>
    <row r="1284" spans="1:24" ht="14.5" thickBot="1" x14ac:dyDescent="0.35">
      <c r="A1284">
        <v>1</v>
      </c>
      <c r="B1284" t="str">
        <f t="shared" si="123"/>
        <v>Male</v>
      </c>
      <c r="C1284" s="8">
        <v>44</v>
      </c>
      <c r="D1284" t="str">
        <f t="shared" si="124"/>
        <v>Middle Age</v>
      </c>
      <c r="E1284">
        <v>1</v>
      </c>
      <c r="F1284" t="str">
        <f>HLOOKUP(E1284, LookUP_Table!$A$6:$D$7, 2, FALSE)</f>
        <v>Primary</v>
      </c>
      <c r="G1284" t="str">
        <f>IFERROR(VLOOKUP(E1284, LookUP_Table!$A$1:$B$4, 2, FALSE), "")</f>
        <v>Primary</v>
      </c>
      <c r="H1284">
        <v>0</v>
      </c>
      <c r="I1284">
        <v>0</v>
      </c>
      <c r="J1284" t="str">
        <f t="shared" si="120"/>
        <v>Non-Smoker</v>
      </c>
      <c r="K1284">
        <v>0</v>
      </c>
      <c r="L1284">
        <v>0</v>
      </c>
      <c r="M1284">
        <v>0</v>
      </c>
      <c r="N1284">
        <v>0</v>
      </c>
      <c r="O1284">
        <v>198</v>
      </c>
      <c r="P1284" t="str">
        <f t="shared" si="121"/>
        <v>Normal</v>
      </c>
      <c r="Q1284">
        <v>119</v>
      </c>
      <c r="R1284">
        <v>82</v>
      </c>
      <c r="S1284">
        <v>28.04</v>
      </c>
      <c r="T1284" t="str">
        <f t="shared" si="122"/>
        <v>Overweight</v>
      </c>
      <c r="U1284">
        <v>75</v>
      </c>
      <c r="V1284">
        <v>66</v>
      </c>
      <c r="W1284" t="str">
        <f t="shared" si="125"/>
        <v>Normal</v>
      </c>
      <c r="X1284">
        <v>0</v>
      </c>
    </row>
    <row r="1285" spans="1:24" ht="14.5" thickBot="1" x14ac:dyDescent="0.35">
      <c r="A1285">
        <v>1</v>
      </c>
      <c r="B1285" t="str">
        <f t="shared" si="123"/>
        <v>Male</v>
      </c>
      <c r="C1285" s="8">
        <v>44</v>
      </c>
      <c r="D1285" t="str">
        <f t="shared" si="124"/>
        <v>Middle Age</v>
      </c>
      <c r="E1285">
        <v>2</v>
      </c>
      <c r="F1285" t="str">
        <f>HLOOKUP(E1285, LookUP_Table!$A$6:$D$7, 2, FALSE)</f>
        <v>Secondary</v>
      </c>
      <c r="G1285" t="str">
        <f>IFERROR(VLOOKUP(E1285, LookUP_Table!$A$1:$B$4, 2, FALSE), "")</f>
        <v>Secondary</v>
      </c>
      <c r="H1285">
        <v>0</v>
      </c>
      <c r="I1285">
        <v>0</v>
      </c>
      <c r="J1285" t="str">
        <f t="shared" si="120"/>
        <v>Non-Smoker</v>
      </c>
      <c r="K1285">
        <v>0</v>
      </c>
      <c r="L1285">
        <v>0</v>
      </c>
      <c r="M1285">
        <v>1</v>
      </c>
      <c r="N1285">
        <v>0</v>
      </c>
      <c r="O1285">
        <v>254</v>
      </c>
      <c r="P1285" t="str">
        <f t="shared" si="121"/>
        <v>High</v>
      </c>
      <c r="Q1285">
        <v>123</v>
      </c>
      <c r="R1285">
        <v>90</v>
      </c>
      <c r="S1285">
        <v>24.44</v>
      </c>
      <c r="T1285" t="str">
        <f t="shared" si="122"/>
        <v>Normal</v>
      </c>
      <c r="U1285">
        <v>66</v>
      </c>
      <c r="V1285">
        <v>72</v>
      </c>
      <c r="W1285" t="str">
        <f t="shared" si="125"/>
        <v>Normal</v>
      </c>
      <c r="X1285">
        <v>0</v>
      </c>
    </row>
    <row r="1286" spans="1:24" ht="14.5" thickBot="1" x14ac:dyDescent="0.35">
      <c r="A1286">
        <v>1</v>
      </c>
      <c r="B1286" t="str">
        <f t="shared" si="123"/>
        <v>Male</v>
      </c>
      <c r="C1286" s="8">
        <v>44</v>
      </c>
      <c r="D1286" t="str">
        <f t="shared" si="124"/>
        <v>Middle Age</v>
      </c>
      <c r="E1286">
        <v>2</v>
      </c>
      <c r="F1286" t="str">
        <f>HLOOKUP(E1286, LookUP_Table!$A$6:$D$7, 2, FALSE)</f>
        <v>Secondary</v>
      </c>
      <c r="G1286" t="str">
        <f>IFERROR(VLOOKUP(E1286, LookUP_Table!$A$1:$B$4, 2, FALSE), "")</f>
        <v>Secondary</v>
      </c>
      <c r="H1286">
        <v>1</v>
      </c>
      <c r="I1286">
        <v>20</v>
      </c>
      <c r="J1286" t="str">
        <f t="shared" si="120"/>
        <v>Smoker</v>
      </c>
      <c r="K1286">
        <v>0</v>
      </c>
      <c r="L1286">
        <v>0</v>
      </c>
      <c r="M1286">
        <v>0</v>
      </c>
      <c r="N1286">
        <v>0</v>
      </c>
      <c r="O1286">
        <v>157</v>
      </c>
      <c r="P1286" t="str">
        <f t="shared" si="121"/>
        <v>Normal</v>
      </c>
      <c r="Q1286">
        <v>108</v>
      </c>
      <c r="R1286">
        <v>70</v>
      </c>
      <c r="S1286">
        <v>20.56</v>
      </c>
      <c r="T1286" t="str">
        <f t="shared" si="122"/>
        <v>Normal</v>
      </c>
      <c r="U1286">
        <v>60</v>
      </c>
      <c r="V1286">
        <v>82</v>
      </c>
      <c r="W1286" t="str">
        <f t="shared" si="125"/>
        <v>Normal</v>
      </c>
      <c r="X1286">
        <v>0</v>
      </c>
    </row>
    <row r="1287" spans="1:24" ht="14.5" thickBot="1" x14ac:dyDescent="0.35">
      <c r="A1287">
        <v>1</v>
      </c>
      <c r="B1287" t="str">
        <f t="shared" si="123"/>
        <v>Male</v>
      </c>
      <c r="C1287" s="8">
        <v>44</v>
      </c>
      <c r="D1287" t="str">
        <f t="shared" si="124"/>
        <v>Middle Age</v>
      </c>
      <c r="E1287">
        <v>1</v>
      </c>
      <c r="F1287" t="str">
        <f>HLOOKUP(E1287, LookUP_Table!$A$6:$D$7, 2, FALSE)</f>
        <v>Primary</v>
      </c>
      <c r="G1287" t="str">
        <f>IFERROR(VLOOKUP(E1287, LookUP_Table!$A$1:$B$4, 2, FALSE), "")</f>
        <v>Primary</v>
      </c>
      <c r="H1287">
        <v>1</v>
      </c>
      <c r="I1287">
        <v>40</v>
      </c>
      <c r="J1287" t="str">
        <f t="shared" si="120"/>
        <v>Smoker</v>
      </c>
      <c r="K1287">
        <v>0</v>
      </c>
      <c r="L1287">
        <v>0</v>
      </c>
      <c r="M1287">
        <v>0</v>
      </c>
      <c r="N1287">
        <v>0</v>
      </c>
      <c r="O1287">
        <v>200</v>
      </c>
      <c r="P1287" t="str">
        <f t="shared" si="121"/>
        <v>Normal</v>
      </c>
      <c r="Q1287">
        <v>120</v>
      </c>
      <c r="R1287">
        <v>80</v>
      </c>
      <c r="S1287">
        <v>31.44</v>
      </c>
      <c r="T1287" t="str">
        <f t="shared" si="122"/>
        <v>Obese</v>
      </c>
      <c r="U1287">
        <v>68</v>
      </c>
      <c r="V1287">
        <v>74</v>
      </c>
      <c r="W1287" t="str">
        <f t="shared" si="125"/>
        <v>Normal</v>
      </c>
      <c r="X1287">
        <v>0</v>
      </c>
    </row>
    <row r="1288" spans="1:24" ht="14.5" thickBot="1" x14ac:dyDescent="0.35">
      <c r="A1288">
        <v>1</v>
      </c>
      <c r="B1288" t="str">
        <f t="shared" si="123"/>
        <v>Male</v>
      </c>
      <c r="C1288" s="8">
        <v>44</v>
      </c>
      <c r="D1288" t="str">
        <f t="shared" si="124"/>
        <v>Middle Age</v>
      </c>
      <c r="E1288">
        <v>1</v>
      </c>
      <c r="F1288" t="str">
        <f>HLOOKUP(E1288, LookUP_Table!$A$6:$D$7, 2, FALSE)</f>
        <v>Primary</v>
      </c>
      <c r="G1288" t="str">
        <f>IFERROR(VLOOKUP(E1288, LookUP_Table!$A$1:$B$4, 2, FALSE), "")</f>
        <v>Primary</v>
      </c>
      <c r="H1288">
        <v>1</v>
      </c>
      <c r="I1288">
        <v>30</v>
      </c>
      <c r="J1288" t="str">
        <f t="shared" si="120"/>
        <v>Smoker</v>
      </c>
      <c r="K1288">
        <v>0</v>
      </c>
      <c r="L1288">
        <v>0</v>
      </c>
      <c r="M1288">
        <v>0</v>
      </c>
      <c r="N1288">
        <v>0</v>
      </c>
      <c r="O1288">
        <v>334</v>
      </c>
      <c r="P1288" t="str">
        <f t="shared" si="121"/>
        <v>High</v>
      </c>
      <c r="Q1288">
        <v>131</v>
      </c>
      <c r="R1288">
        <v>74</v>
      </c>
      <c r="S1288">
        <v>28.82</v>
      </c>
      <c r="T1288" t="str">
        <f t="shared" si="122"/>
        <v>Overweight</v>
      </c>
      <c r="U1288">
        <v>80</v>
      </c>
      <c r="V1288">
        <v>77</v>
      </c>
      <c r="W1288" t="str">
        <f t="shared" si="125"/>
        <v>Normal</v>
      </c>
      <c r="X1288">
        <v>1</v>
      </c>
    </row>
    <row r="1289" spans="1:24" ht="14.5" thickBot="1" x14ac:dyDescent="0.35">
      <c r="A1289">
        <v>1</v>
      </c>
      <c r="B1289" t="str">
        <f t="shared" si="123"/>
        <v>Male</v>
      </c>
      <c r="C1289" s="8">
        <v>44</v>
      </c>
      <c r="D1289" t="str">
        <f t="shared" si="124"/>
        <v>Middle Age</v>
      </c>
      <c r="E1289">
        <v>2</v>
      </c>
      <c r="F1289" t="str">
        <f>HLOOKUP(E1289, LookUP_Table!$A$6:$D$7, 2, FALSE)</f>
        <v>Secondary</v>
      </c>
      <c r="G1289" t="str">
        <f>IFERROR(VLOOKUP(E1289, LookUP_Table!$A$1:$B$4, 2, FALSE), "")</f>
        <v>Secondary</v>
      </c>
      <c r="H1289">
        <v>1</v>
      </c>
      <c r="I1289">
        <v>20</v>
      </c>
      <c r="J1289" t="str">
        <f t="shared" si="120"/>
        <v>Smoker</v>
      </c>
      <c r="K1289">
        <v>0</v>
      </c>
      <c r="L1289">
        <v>0</v>
      </c>
      <c r="M1289">
        <v>1</v>
      </c>
      <c r="N1289">
        <v>0</v>
      </c>
      <c r="O1289">
        <v>205</v>
      </c>
      <c r="P1289" t="str">
        <f t="shared" si="121"/>
        <v>Normal</v>
      </c>
      <c r="Q1289">
        <v>160</v>
      </c>
      <c r="R1289">
        <v>108</v>
      </c>
      <c r="S1289">
        <v>22.92</v>
      </c>
      <c r="T1289" t="str">
        <f t="shared" si="122"/>
        <v>Normal</v>
      </c>
      <c r="U1289">
        <v>83</v>
      </c>
      <c r="V1289">
        <v>76</v>
      </c>
      <c r="W1289" t="str">
        <f t="shared" si="125"/>
        <v>Normal</v>
      </c>
      <c r="X1289">
        <v>0</v>
      </c>
    </row>
    <row r="1290" spans="1:24" ht="14.5" thickBot="1" x14ac:dyDescent="0.35">
      <c r="A1290">
        <v>0</v>
      </c>
      <c r="B1290" t="str">
        <f t="shared" si="123"/>
        <v>Female</v>
      </c>
      <c r="C1290" s="8">
        <v>44</v>
      </c>
      <c r="D1290" t="str">
        <f t="shared" si="124"/>
        <v>Middle Age</v>
      </c>
      <c r="E1290">
        <v>3</v>
      </c>
      <c r="F1290" t="str">
        <f>HLOOKUP(E1290, LookUP_Table!$A$6:$D$7, 2, FALSE)</f>
        <v>Graduate</v>
      </c>
      <c r="G1290" t="str">
        <f>IFERROR(VLOOKUP(E1290, LookUP_Table!$A$1:$B$4, 2, FALSE), "")</f>
        <v>Graduate</v>
      </c>
      <c r="H1290">
        <v>1</v>
      </c>
      <c r="I1290">
        <v>9</v>
      </c>
      <c r="J1290" t="str">
        <f t="shared" si="120"/>
        <v>Smoker</v>
      </c>
      <c r="K1290">
        <v>0</v>
      </c>
      <c r="L1290">
        <v>0</v>
      </c>
      <c r="M1290">
        <v>0</v>
      </c>
      <c r="N1290">
        <v>0</v>
      </c>
      <c r="O1290">
        <v>226</v>
      </c>
      <c r="P1290" t="str">
        <f t="shared" si="121"/>
        <v>Normal</v>
      </c>
      <c r="Q1290">
        <v>114</v>
      </c>
      <c r="R1290">
        <v>83</v>
      </c>
      <c r="S1290">
        <v>24.16</v>
      </c>
      <c r="T1290" t="str">
        <f t="shared" si="122"/>
        <v>Normal</v>
      </c>
      <c r="U1290">
        <v>80</v>
      </c>
      <c r="V1290">
        <v>81.96365524402907</v>
      </c>
      <c r="W1290" t="str">
        <f t="shared" si="125"/>
        <v>Normal</v>
      </c>
      <c r="X1290">
        <v>0</v>
      </c>
    </row>
    <row r="1291" spans="1:24" ht="14.5" thickBot="1" x14ac:dyDescent="0.35">
      <c r="A1291">
        <v>0</v>
      </c>
      <c r="B1291" t="str">
        <f t="shared" si="123"/>
        <v>Female</v>
      </c>
      <c r="C1291" s="8">
        <v>44</v>
      </c>
      <c r="D1291" t="str">
        <f t="shared" si="124"/>
        <v>Middle Age</v>
      </c>
      <c r="E1291">
        <v>1</v>
      </c>
      <c r="F1291" t="str">
        <f>HLOOKUP(E1291, LookUP_Table!$A$6:$D$7, 2, FALSE)</f>
        <v>Primary</v>
      </c>
      <c r="G1291" t="str">
        <f>IFERROR(VLOOKUP(E1291, LookUP_Table!$A$1:$B$4, 2, FALSE), "")</f>
        <v>Primary</v>
      </c>
      <c r="H1291">
        <v>0</v>
      </c>
      <c r="I1291">
        <v>0</v>
      </c>
      <c r="J1291" t="str">
        <f t="shared" si="120"/>
        <v>Non-Smoker</v>
      </c>
      <c r="K1291">
        <v>0</v>
      </c>
      <c r="L1291">
        <v>0</v>
      </c>
      <c r="M1291">
        <v>0</v>
      </c>
      <c r="N1291">
        <v>0</v>
      </c>
      <c r="O1291">
        <v>219</v>
      </c>
      <c r="P1291" t="str">
        <f t="shared" si="121"/>
        <v>Normal</v>
      </c>
      <c r="Q1291">
        <v>129</v>
      </c>
      <c r="R1291">
        <v>90</v>
      </c>
      <c r="S1291">
        <v>33.47</v>
      </c>
      <c r="T1291" t="str">
        <f t="shared" si="122"/>
        <v>Obese</v>
      </c>
      <c r="U1291">
        <v>88</v>
      </c>
      <c r="V1291">
        <v>73</v>
      </c>
      <c r="W1291" t="str">
        <f t="shared" si="125"/>
        <v>Normal</v>
      </c>
      <c r="X1291">
        <v>0</v>
      </c>
    </row>
    <row r="1292" spans="1:24" ht="14.5" thickBot="1" x14ac:dyDescent="0.35">
      <c r="A1292">
        <v>1</v>
      </c>
      <c r="B1292" t="str">
        <f t="shared" si="123"/>
        <v>Male</v>
      </c>
      <c r="C1292" s="8">
        <v>44</v>
      </c>
      <c r="D1292" t="str">
        <f t="shared" si="124"/>
        <v>Middle Age</v>
      </c>
      <c r="E1292">
        <v>2</v>
      </c>
      <c r="F1292" t="str">
        <f>HLOOKUP(E1292, LookUP_Table!$A$6:$D$7, 2, FALSE)</f>
        <v>Secondary</v>
      </c>
      <c r="G1292" t="str">
        <f>IFERROR(VLOOKUP(E1292, LookUP_Table!$A$1:$B$4, 2, FALSE), "")</f>
        <v>Secondary</v>
      </c>
      <c r="H1292">
        <v>1</v>
      </c>
      <c r="I1292">
        <v>20</v>
      </c>
      <c r="J1292" t="str">
        <f t="shared" si="120"/>
        <v>Smoker</v>
      </c>
      <c r="K1292">
        <v>0</v>
      </c>
      <c r="L1292">
        <v>0</v>
      </c>
      <c r="M1292">
        <v>0</v>
      </c>
      <c r="N1292">
        <v>0</v>
      </c>
      <c r="O1292">
        <v>225</v>
      </c>
      <c r="P1292" t="str">
        <f t="shared" si="121"/>
        <v>Normal</v>
      </c>
      <c r="Q1292">
        <v>128</v>
      </c>
      <c r="R1292">
        <v>82</v>
      </c>
      <c r="S1292">
        <v>26.79</v>
      </c>
      <c r="T1292" t="str">
        <f t="shared" si="122"/>
        <v>Overweight</v>
      </c>
      <c r="U1292">
        <v>82</v>
      </c>
      <c r="V1292">
        <v>85</v>
      </c>
      <c r="W1292" t="str">
        <f t="shared" si="125"/>
        <v>Normal</v>
      </c>
      <c r="X1292">
        <v>0</v>
      </c>
    </row>
    <row r="1293" spans="1:24" ht="14.5" thickBot="1" x14ac:dyDescent="0.35">
      <c r="A1293">
        <v>1</v>
      </c>
      <c r="B1293" t="str">
        <f t="shared" si="123"/>
        <v>Male</v>
      </c>
      <c r="C1293" s="8">
        <v>44</v>
      </c>
      <c r="D1293" t="str">
        <f t="shared" si="124"/>
        <v>Middle Age</v>
      </c>
      <c r="E1293">
        <v>2</v>
      </c>
      <c r="F1293" t="str">
        <f>HLOOKUP(E1293, LookUP_Table!$A$6:$D$7, 2, FALSE)</f>
        <v>Secondary</v>
      </c>
      <c r="G1293" t="str">
        <f>IFERROR(VLOOKUP(E1293, LookUP_Table!$A$1:$B$4, 2, FALSE), "")</f>
        <v>Secondary</v>
      </c>
      <c r="H1293">
        <v>1</v>
      </c>
      <c r="I1293">
        <v>30</v>
      </c>
      <c r="J1293" t="str">
        <f t="shared" si="120"/>
        <v>Smoker</v>
      </c>
      <c r="K1293">
        <v>0</v>
      </c>
      <c r="L1293">
        <v>0</v>
      </c>
      <c r="M1293">
        <v>0</v>
      </c>
      <c r="N1293">
        <v>0</v>
      </c>
      <c r="O1293">
        <v>217</v>
      </c>
      <c r="P1293" t="str">
        <f t="shared" si="121"/>
        <v>Normal</v>
      </c>
      <c r="Q1293">
        <v>126</v>
      </c>
      <c r="R1293">
        <v>85</v>
      </c>
      <c r="S1293">
        <v>28.49</v>
      </c>
      <c r="T1293" t="str">
        <f t="shared" si="122"/>
        <v>Overweight</v>
      </c>
      <c r="U1293">
        <v>65</v>
      </c>
      <c r="V1293">
        <v>68</v>
      </c>
      <c r="W1293" t="str">
        <f t="shared" si="125"/>
        <v>Normal</v>
      </c>
      <c r="X1293">
        <v>0</v>
      </c>
    </row>
    <row r="1294" spans="1:24" ht="14.5" thickBot="1" x14ac:dyDescent="0.35">
      <c r="A1294">
        <v>1</v>
      </c>
      <c r="B1294" t="str">
        <f t="shared" si="123"/>
        <v>Male</v>
      </c>
      <c r="C1294" s="8">
        <v>44</v>
      </c>
      <c r="D1294" t="str">
        <f t="shared" si="124"/>
        <v>Middle Age</v>
      </c>
      <c r="E1294">
        <v>1</v>
      </c>
      <c r="F1294" t="str">
        <f>HLOOKUP(E1294, LookUP_Table!$A$6:$D$7, 2, FALSE)</f>
        <v>Primary</v>
      </c>
      <c r="G1294" t="str">
        <f>IFERROR(VLOOKUP(E1294, LookUP_Table!$A$1:$B$4, 2, FALSE), "")</f>
        <v>Primary</v>
      </c>
      <c r="H1294">
        <v>0</v>
      </c>
      <c r="I1294">
        <v>0</v>
      </c>
      <c r="J1294" t="str">
        <f t="shared" si="120"/>
        <v>Non-Smoker</v>
      </c>
      <c r="K1294">
        <v>0</v>
      </c>
      <c r="L1294">
        <v>0</v>
      </c>
      <c r="M1294">
        <v>0</v>
      </c>
      <c r="N1294">
        <v>0</v>
      </c>
      <c r="O1294">
        <v>268</v>
      </c>
      <c r="P1294" t="str">
        <f t="shared" si="121"/>
        <v>High</v>
      </c>
      <c r="Q1294">
        <v>114</v>
      </c>
      <c r="R1294">
        <v>83</v>
      </c>
      <c r="S1294">
        <v>31.16</v>
      </c>
      <c r="T1294" t="str">
        <f t="shared" si="122"/>
        <v>Obese</v>
      </c>
      <c r="U1294">
        <v>75</v>
      </c>
      <c r="V1294">
        <v>76</v>
      </c>
      <c r="W1294" t="str">
        <f t="shared" si="125"/>
        <v>Normal</v>
      </c>
      <c r="X1294">
        <v>0</v>
      </c>
    </row>
    <row r="1295" spans="1:24" ht="14.5" thickBot="1" x14ac:dyDescent="0.35">
      <c r="A1295">
        <v>0</v>
      </c>
      <c r="B1295" t="str">
        <f t="shared" si="123"/>
        <v>Female</v>
      </c>
      <c r="C1295" s="8">
        <v>44</v>
      </c>
      <c r="D1295" t="str">
        <f t="shared" si="124"/>
        <v>Middle Age</v>
      </c>
      <c r="E1295">
        <v>1</v>
      </c>
      <c r="F1295" t="str">
        <f>HLOOKUP(E1295, LookUP_Table!$A$6:$D$7, 2, FALSE)</f>
        <v>Primary</v>
      </c>
      <c r="G1295" t="str">
        <f>IFERROR(VLOOKUP(E1295, LookUP_Table!$A$1:$B$4, 2, FALSE), "")</f>
        <v>Primary</v>
      </c>
      <c r="H1295">
        <v>0</v>
      </c>
      <c r="I1295">
        <v>0</v>
      </c>
      <c r="J1295" t="str">
        <f t="shared" si="120"/>
        <v>Non-Smoker</v>
      </c>
      <c r="K1295">
        <v>0</v>
      </c>
      <c r="L1295">
        <v>0</v>
      </c>
      <c r="M1295">
        <v>0</v>
      </c>
      <c r="N1295">
        <v>0</v>
      </c>
      <c r="O1295">
        <v>195</v>
      </c>
      <c r="P1295" t="str">
        <f t="shared" si="121"/>
        <v>Normal</v>
      </c>
      <c r="Q1295">
        <v>118</v>
      </c>
      <c r="R1295">
        <v>86</v>
      </c>
      <c r="S1295">
        <v>23.09</v>
      </c>
      <c r="T1295" t="str">
        <f t="shared" si="122"/>
        <v>Normal</v>
      </c>
      <c r="U1295">
        <v>70</v>
      </c>
      <c r="V1295">
        <v>75</v>
      </c>
      <c r="W1295" t="str">
        <f t="shared" si="125"/>
        <v>Normal</v>
      </c>
      <c r="X1295">
        <v>0</v>
      </c>
    </row>
    <row r="1296" spans="1:24" ht="14.5" thickBot="1" x14ac:dyDescent="0.35">
      <c r="A1296">
        <v>0</v>
      </c>
      <c r="B1296" t="str">
        <f t="shared" si="123"/>
        <v>Female</v>
      </c>
      <c r="C1296" s="8">
        <v>44</v>
      </c>
      <c r="D1296" t="str">
        <f t="shared" si="124"/>
        <v>Middle Age</v>
      </c>
      <c r="E1296">
        <v>1</v>
      </c>
      <c r="F1296" t="str">
        <f>HLOOKUP(E1296, LookUP_Table!$A$6:$D$7, 2, FALSE)</f>
        <v>Primary</v>
      </c>
      <c r="G1296" t="str">
        <f>IFERROR(VLOOKUP(E1296, LookUP_Table!$A$1:$B$4, 2, FALSE), "")</f>
        <v>Primary</v>
      </c>
      <c r="H1296">
        <v>1</v>
      </c>
      <c r="I1296">
        <v>1</v>
      </c>
      <c r="J1296" t="str">
        <f t="shared" si="120"/>
        <v>Smoker</v>
      </c>
      <c r="K1296">
        <v>0</v>
      </c>
      <c r="L1296">
        <v>0</v>
      </c>
      <c r="M1296">
        <v>0</v>
      </c>
      <c r="N1296">
        <v>0</v>
      </c>
      <c r="O1296">
        <v>217</v>
      </c>
      <c r="P1296" t="str">
        <f t="shared" si="121"/>
        <v>Normal</v>
      </c>
      <c r="Q1296">
        <v>124.5</v>
      </c>
      <c r="R1296">
        <v>82</v>
      </c>
      <c r="S1296">
        <v>22.36</v>
      </c>
      <c r="T1296" t="str">
        <f t="shared" si="122"/>
        <v>Normal</v>
      </c>
      <c r="U1296">
        <v>87</v>
      </c>
      <c r="V1296">
        <v>68</v>
      </c>
      <c r="W1296" t="str">
        <f t="shared" si="125"/>
        <v>Normal</v>
      </c>
      <c r="X1296">
        <v>0</v>
      </c>
    </row>
    <row r="1297" spans="1:24" ht="14.5" thickBot="1" x14ac:dyDescent="0.35">
      <c r="A1297">
        <v>1</v>
      </c>
      <c r="B1297" t="str">
        <f t="shared" si="123"/>
        <v>Male</v>
      </c>
      <c r="C1297" s="8">
        <v>44</v>
      </c>
      <c r="D1297" t="str">
        <f t="shared" si="124"/>
        <v>Middle Age</v>
      </c>
      <c r="E1297">
        <v>1</v>
      </c>
      <c r="F1297" t="str">
        <f>HLOOKUP(E1297, LookUP_Table!$A$6:$D$7, 2, FALSE)</f>
        <v>Primary</v>
      </c>
      <c r="G1297" t="str">
        <f>IFERROR(VLOOKUP(E1297, LookUP_Table!$A$1:$B$4, 2, FALSE), "")</f>
        <v>Primary</v>
      </c>
      <c r="H1297">
        <v>1</v>
      </c>
      <c r="I1297">
        <v>40</v>
      </c>
      <c r="J1297" t="str">
        <f t="shared" si="120"/>
        <v>Smoker</v>
      </c>
      <c r="K1297">
        <v>0</v>
      </c>
      <c r="L1297">
        <v>0</v>
      </c>
      <c r="M1297">
        <v>1</v>
      </c>
      <c r="N1297">
        <v>0</v>
      </c>
      <c r="O1297">
        <v>262</v>
      </c>
      <c r="P1297" t="str">
        <f t="shared" si="121"/>
        <v>High</v>
      </c>
      <c r="Q1297">
        <v>147</v>
      </c>
      <c r="R1297">
        <v>103</v>
      </c>
      <c r="S1297">
        <v>25.38</v>
      </c>
      <c r="T1297" t="str">
        <f t="shared" si="122"/>
        <v>Overweight</v>
      </c>
      <c r="U1297">
        <v>68</v>
      </c>
      <c r="V1297">
        <v>81.96365524402907</v>
      </c>
      <c r="W1297" t="str">
        <f t="shared" si="125"/>
        <v>Normal</v>
      </c>
      <c r="X1297">
        <v>0</v>
      </c>
    </row>
    <row r="1298" spans="1:24" ht="14.5" thickBot="1" x14ac:dyDescent="0.35">
      <c r="A1298">
        <v>0</v>
      </c>
      <c r="B1298" t="str">
        <f t="shared" si="123"/>
        <v>Female</v>
      </c>
      <c r="C1298" s="8">
        <v>44</v>
      </c>
      <c r="D1298" t="str">
        <f t="shared" si="124"/>
        <v>Middle Age</v>
      </c>
      <c r="E1298">
        <v>2</v>
      </c>
      <c r="F1298" t="str">
        <f>HLOOKUP(E1298, LookUP_Table!$A$6:$D$7, 2, FALSE)</f>
        <v>Secondary</v>
      </c>
      <c r="G1298" t="str">
        <f>IFERROR(VLOOKUP(E1298, LookUP_Table!$A$1:$B$4, 2, FALSE), "")</f>
        <v>Secondary</v>
      </c>
      <c r="H1298">
        <v>0</v>
      </c>
      <c r="I1298">
        <v>0</v>
      </c>
      <c r="J1298" t="str">
        <f t="shared" si="120"/>
        <v>Non-Smoker</v>
      </c>
      <c r="K1298">
        <v>0</v>
      </c>
      <c r="L1298">
        <v>0</v>
      </c>
      <c r="M1298">
        <v>1</v>
      </c>
      <c r="N1298">
        <v>0</v>
      </c>
      <c r="O1298">
        <v>187</v>
      </c>
      <c r="P1298" t="str">
        <f t="shared" si="121"/>
        <v>Normal</v>
      </c>
      <c r="Q1298">
        <v>122</v>
      </c>
      <c r="R1298">
        <v>83</v>
      </c>
      <c r="S1298">
        <v>30.4</v>
      </c>
      <c r="T1298" t="str">
        <f t="shared" si="122"/>
        <v>Obese</v>
      </c>
      <c r="U1298">
        <v>85</v>
      </c>
      <c r="V1298">
        <v>75</v>
      </c>
      <c r="W1298" t="str">
        <f t="shared" si="125"/>
        <v>Normal</v>
      </c>
      <c r="X1298">
        <v>0</v>
      </c>
    </row>
    <row r="1299" spans="1:24" ht="14.5" thickBot="1" x14ac:dyDescent="0.35">
      <c r="A1299">
        <v>1</v>
      </c>
      <c r="B1299" t="str">
        <f t="shared" si="123"/>
        <v>Male</v>
      </c>
      <c r="C1299" s="8">
        <v>44</v>
      </c>
      <c r="D1299" t="str">
        <f t="shared" si="124"/>
        <v>Middle Age</v>
      </c>
      <c r="E1299">
        <v>2</v>
      </c>
      <c r="F1299" t="str">
        <f>HLOOKUP(E1299, LookUP_Table!$A$6:$D$7, 2, FALSE)</f>
        <v>Secondary</v>
      </c>
      <c r="G1299" t="str">
        <f>IFERROR(VLOOKUP(E1299, LookUP_Table!$A$1:$B$4, 2, FALSE), "")</f>
        <v>Secondary</v>
      </c>
      <c r="H1299">
        <v>0</v>
      </c>
      <c r="I1299">
        <v>0</v>
      </c>
      <c r="J1299" t="str">
        <f t="shared" si="120"/>
        <v>Non-Smoker</v>
      </c>
      <c r="K1299">
        <v>0</v>
      </c>
      <c r="L1299">
        <v>0</v>
      </c>
      <c r="M1299">
        <v>0</v>
      </c>
      <c r="N1299">
        <v>0</v>
      </c>
      <c r="O1299">
        <v>169</v>
      </c>
      <c r="P1299" t="str">
        <f t="shared" si="121"/>
        <v>Normal</v>
      </c>
      <c r="Q1299">
        <v>116</v>
      </c>
      <c r="R1299">
        <v>62</v>
      </c>
      <c r="S1299">
        <v>19.440000000000001</v>
      </c>
      <c r="T1299" t="str">
        <f t="shared" si="122"/>
        <v>Normal</v>
      </c>
      <c r="U1299">
        <v>53</v>
      </c>
      <c r="V1299">
        <v>87</v>
      </c>
      <c r="W1299" t="str">
        <f t="shared" si="125"/>
        <v>Normal</v>
      </c>
      <c r="X1299">
        <v>0</v>
      </c>
    </row>
    <row r="1300" spans="1:24" ht="14.5" thickBot="1" x14ac:dyDescent="0.35">
      <c r="A1300">
        <v>1</v>
      </c>
      <c r="B1300" t="str">
        <f t="shared" si="123"/>
        <v>Male</v>
      </c>
      <c r="C1300" s="8">
        <v>44</v>
      </c>
      <c r="D1300" t="str">
        <f t="shared" si="124"/>
        <v>Middle Age</v>
      </c>
      <c r="E1300">
        <v>1</v>
      </c>
      <c r="F1300" t="str">
        <f>HLOOKUP(E1300, LookUP_Table!$A$6:$D$7, 2, FALSE)</f>
        <v>Primary</v>
      </c>
      <c r="G1300" t="str">
        <f>IFERROR(VLOOKUP(E1300, LookUP_Table!$A$1:$B$4, 2, FALSE), "")</f>
        <v>Primary</v>
      </c>
      <c r="H1300">
        <v>0</v>
      </c>
      <c r="I1300">
        <v>0</v>
      </c>
      <c r="J1300" t="str">
        <f t="shared" si="120"/>
        <v>Non-Smoker</v>
      </c>
      <c r="K1300">
        <v>0</v>
      </c>
      <c r="L1300">
        <v>0</v>
      </c>
      <c r="M1300">
        <v>0</v>
      </c>
      <c r="N1300">
        <v>0</v>
      </c>
      <c r="O1300">
        <v>271</v>
      </c>
      <c r="P1300" t="str">
        <f t="shared" si="121"/>
        <v>High</v>
      </c>
      <c r="Q1300">
        <v>132.5</v>
      </c>
      <c r="R1300">
        <v>90</v>
      </c>
      <c r="S1300">
        <v>24.06</v>
      </c>
      <c r="T1300" t="str">
        <f t="shared" si="122"/>
        <v>Normal</v>
      </c>
      <c r="U1300">
        <v>94</v>
      </c>
      <c r="V1300">
        <v>95</v>
      </c>
      <c r="W1300" t="str">
        <f t="shared" si="125"/>
        <v>Normal</v>
      </c>
      <c r="X1300">
        <v>0</v>
      </c>
    </row>
    <row r="1301" spans="1:24" ht="14.5" thickBot="1" x14ac:dyDescent="0.35">
      <c r="A1301">
        <v>1</v>
      </c>
      <c r="B1301" t="str">
        <f t="shared" si="123"/>
        <v>Male</v>
      </c>
      <c r="C1301" s="8">
        <v>44</v>
      </c>
      <c r="D1301" t="str">
        <f t="shared" si="124"/>
        <v>Middle Age</v>
      </c>
      <c r="E1301">
        <v>4</v>
      </c>
      <c r="F1301" t="str">
        <f>HLOOKUP(E1301, LookUP_Table!$A$6:$D$7, 2, FALSE)</f>
        <v>Post Graduate</v>
      </c>
      <c r="G1301" t="str">
        <f>IFERROR(VLOOKUP(E1301, LookUP_Table!$A$1:$B$4, 2, FALSE), "")</f>
        <v>Post Graduate</v>
      </c>
      <c r="H1301">
        <v>1</v>
      </c>
      <c r="I1301">
        <v>4</v>
      </c>
      <c r="J1301" t="str">
        <f t="shared" si="120"/>
        <v>Smoker</v>
      </c>
      <c r="K1301">
        <v>0</v>
      </c>
      <c r="L1301">
        <v>0</v>
      </c>
      <c r="M1301">
        <v>1</v>
      </c>
      <c r="N1301">
        <v>0</v>
      </c>
      <c r="O1301">
        <v>220</v>
      </c>
      <c r="P1301" t="str">
        <f t="shared" si="121"/>
        <v>Normal</v>
      </c>
      <c r="Q1301">
        <v>135</v>
      </c>
      <c r="R1301">
        <v>91</v>
      </c>
      <c r="S1301">
        <v>27.23</v>
      </c>
      <c r="T1301" t="str">
        <f t="shared" si="122"/>
        <v>Overweight</v>
      </c>
      <c r="U1301">
        <v>70</v>
      </c>
      <c r="V1301">
        <v>88</v>
      </c>
      <c r="W1301" t="str">
        <f t="shared" si="125"/>
        <v>Normal</v>
      </c>
      <c r="X1301">
        <v>0</v>
      </c>
    </row>
    <row r="1302" spans="1:24" ht="14.5" thickBot="1" x14ac:dyDescent="0.35">
      <c r="A1302">
        <v>0</v>
      </c>
      <c r="B1302" t="str">
        <f t="shared" si="123"/>
        <v>Female</v>
      </c>
      <c r="C1302" s="8">
        <v>44</v>
      </c>
      <c r="D1302" t="str">
        <f t="shared" si="124"/>
        <v>Middle Age</v>
      </c>
      <c r="E1302">
        <v>2</v>
      </c>
      <c r="F1302" t="str">
        <f>HLOOKUP(E1302, LookUP_Table!$A$6:$D$7, 2, FALSE)</f>
        <v>Secondary</v>
      </c>
      <c r="G1302" t="str">
        <f>IFERROR(VLOOKUP(E1302, LookUP_Table!$A$1:$B$4, 2, FALSE), "")</f>
        <v>Secondary</v>
      </c>
      <c r="H1302">
        <v>0</v>
      </c>
      <c r="I1302">
        <v>0</v>
      </c>
      <c r="J1302" t="str">
        <f t="shared" si="120"/>
        <v>Non-Smoker</v>
      </c>
      <c r="K1302">
        <v>0</v>
      </c>
      <c r="L1302">
        <v>0</v>
      </c>
      <c r="M1302">
        <v>0</v>
      </c>
      <c r="N1302">
        <v>0</v>
      </c>
      <c r="O1302">
        <v>210</v>
      </c>
      <c r="P1302" t="str">
        <f t="shared" si="121"/>
        <v>Normal</v>
      </c>
      <c r="Q1302">
        <v>138</v>
      </c>
      <c r="R1302">
        <v>92</v>
      </c>
      <c r="S1302">
        <v>23.13</v>
      </c>
      <c r="T1302" t="str">
        <f t="shared" si="122"/>
        <v>Normal</v>
      </c>
      <c r="U1302">
        <v>70</v>
      </c>
      <c r="V1302">
        <v>92</v>
      </c>
      <c r="W1302" t="str">
        <f t="shared" si="125"/>
        <v>Normal</v>
      </c>
      <c r="X1302">
        <v>0</v>
      </c>
    </row>
    <row r="1303" spans="1:24" ht="14.5" thickBot="1" x14ac:dyDescent="0.35">
      <c r="A1303">
        <v>0</v>
      </c>
      <c r="B1303" t="str">
        <f t="shared" si="123"/>
        <v>Female</v>
      </c>
      <c r="C1303" s="8">
        <v>44</v>
      </c>
      <c r="D1303" t="str">
        <f t="shared" si="124"/>
        <v>Middle Age</v>
      </c>
      <c r="E1303">
        <v>2</v>
      </c>
      <c r="F1303" t="str">
        <f>HLOOKUP(E1303, LookUP_Table!$A$6:$D$7, 2, FALSE)</f>
        <v>Secondary</v>
      </c>
      <c r="G1303" t="str">
        <f>IFERROR(VLOOKUP(E1303, LookUP_Table!$A$1:$B$4, 2, FALSE), "")</f>
        <v>Secondary</v>
      </c>
      <c r="H1303">
        <v>1</v>
      </c>
      <c r="I1303">
        <v>30</v>
      </c>
      <c r="J1303" t="str">
        <f t="shared" si="120"/>
        <v>Smoker</v>
      </c>
      <c r="K1303">
        <v>0</v>
      </c>
      <c r="L1303">
        <v>0</v>
      </c>
      <c r="M1303">
        <v>0</v>
      </c>
      <c r="N1303">
        <v>0</v>
      </c>
      <c r="O1303">
        <v>245</v>
      </c>
      <c r="P1303" t="str">
        <f t="shared" si="121"/>
        <v>High</v>
      </c>
      <c r="Q1303">
        <v>125</v>
      </c>
      <c r="R1303">
        <v>80.5</v>
      </c>
      <c r="S1303">
        <v>24.58</v>
      </c>
      <c r="T1303" t="str">
        <f t="shared" si="122"/>
        <v>Normal</v>
      </c>
      <c r="U1303">
        <v>64</v>
      </c>
      <c r="V1303">
        <v>80</v>
      </c>
      <c r="W1303" t="str">
        <f t="shared" si="125"/>
        <v>Normal</v>
      </c>
      <c r="X1303">
        <v>0</v>
      </c>
    </row>
    <row r="1304" spans="1:24" ht="14.5" thickBot="1" x14ac:dyDescent="0.35">
      <c r="A1304">
        <v>1</v>
      </c>
      <c r="B1304" t="str">
        <f t="shared" si="123"/>
        <v>Male</v>
      </c>
      <c r="C1304" s="8">
        <v>44</v>
      </c>
      <c r="D1304" t="str">
        <f t="shared" si="124"/>
        <v>Middle Age</v>
      </c>
      <c r="E1304">
        <v>2</v>
      </c>
      <c r="F1304" t="str">
        <f>HLOOKUP(E1304, LookUP_Table!$A$6:$D$7, 2, FALSE)</f>
        <v>Secondary</v>
      </c>
      <c r="G1304" t="str">
        <f>IFERROR(VLOOKUP(E1304, LookUP_Table!$A$1:$B$4, 2, FALSE), "")</f>
        <v>Secondary</v>
      </c>
      <c r="H1304">
        <v>1</v>
      </c>
      <c r="I1304">
        <v>35</v>
      </c>
      <c r="J1304" t="str">
        <f t="shared" si="120"/>
        <v>Smoker</v>
      </c>
      <c r="K1304">
        <v>0</v>
      </c>
      <c r="L1304">
        <v>0</v>
      </c>
      <c r="M1304">
        <v>1</v>
      </c>
      <c r="N1304">
        <v>0</v>
      </c>
      <c r="O1304">
        <v>217</v>
      </c>
      <c r="P1304" t="str">
        <f t="shared" si="121"/>
        <v>Normal</v>
      </c>
      <c r="Q1304">
        <v>144</v>
      </c>
      <c r="R1304">
        <v>99</v>
      </c>
      <c r="S1304">
        <v>25.16</v>
      </c>
      <c r="T1304" t="str">
        <f t="shared" si="122"/>
        <v>Overweight</v>
      </c>
      <c r="U1304">
        <v>68</v>
      </c>
      <c r="V1304">
        <v>60</v>
      </c>
      <c r="W1304" t="str">
        <f t="shared" si="125"/>
        <v>Normal</v>
      </c>
      <c r="X1304">
        <v>0</v>
      </c>
    </row>
    <row r="1305" spans="1:24" ht="14.5" thickBot="1" x14ac:dyDescent="0.35">
      <c r="A1305">
        <v>1</v>
      </c>
      <c r="B1305" t="str">
        <f t="shared" si="123"/>
        <v>Male</v>
      </c>
      <c r="C1305" s="8">
        <v>44</v>
      </c>
      <c r="D1305" t="str">
        <f t="shared" si="124"/>
        <v>Middle Age</v>
      </c>
      <c r="E1305">
        <v>1</v>
      </c>
      <c r="F1305" t="str">
        <f>HLOOKUP(E1305, LookUP_Table!$A$6:$D$7, 2, FALSE)</f>
        <v>Primary</v>
      </c>
      <c r="G1305" t="str">
        <f>IFERROR(VLOOKUP(E1305, LookUP_Table!$A$1:$B$4, 2, FALSE), "")</f>
        <v>Primary</v>
      </c>
      <c r="H1305">
        <v>1</v>
      </c>
      <c r="I1305">
        <v>4</v>
      </c>
      <c r="J1305" t="str">
        <f t="shared" si="120"/>
        <v>Smoker</v>
      </c>
      <c r="K1305">
        <v>0</v>
      </c>
      <c r="L1305">
        <v>0</v>
      </c>
      <c r="M1305">
        <v>0</v>
      </c>
      <c r="N1305">
        <v>0</v>
      </c>
      <c r="O1305">
        <v>196</v>
      </c>
      <c r="P1305" t="str">
        <f t="shared" si="121"/>
        <v>Normal</v>
      </c>
      <c r="Q1305">
        <v>107</v>
      </c>
      <c r="R1305">
        <v>73</v>
      </c>
      <c r="S1305">
        <v>24.36</v>
      </c>
      <c r="T1305" t="str">
        <f t="shared" si="122"/>
        <v>Normal</v>
      </c>
      <c r="U1305">
        <v>60</v>
      </c>
      <c r="V1305">
        <v>71</v>
      </c>
      <c r="W1305" t="str">
        <f t="shared" si="125"/>
        <v>Normal</v>
      </c>
      <c r="X1305">
        <v>0</v>
      </c>
    </row>
    <row r="1306" spans="1:24" ht="14.5" thickBot="1" x14ac:dyDescent="0.35">
      <c r="A1306">
        <v>1</v>
      </c>
      <c r="B1306" t="str">
        <f t="shared" si="123"/>
        <v>Male</v>
      </c>
      <c r="C1306" s="8">
        <v>44</v>
      </c>
      <c r="D1306" t="str">
        <f t="shared" si="124"/>
        <v>Middle Age</v>
      </c>
      <c r="E1306">
        <v>2</v>
      </c>
      <c r="F1306" t="str">
        <f>HLOOKUP(E1306, LookUP_Table!$A$6:$D$7, 2, FALSE)</f>
        <v>Secondary</v>
      </c>
      <c r="G1306" t="str">
        <f>IFERROR(VLOOKUP(E1306, LookUP_Table!$A$1:$B$4, 2, FALSE), "")</f>
        <v>Secondary</v>
      </c>
      <c r="H1306">
        <v>0</v>
      </c>
      <c r="I1306">
        <v>0</v>
      </c>
      <c r="J1306" t="str">
        <f t="shared" si="120"/>
        <v>Non-Smoker</v>
      </c>
      <c r="K1306">
        <v>0</v>
      </c>
      <c r="L1306">
        <v>0</v>
      </c>
      <c r="M1306">
        <v>1</v>
      </c>
      <c r="N1306">
        <v>0</v>
      </c>
      <c r="O1306">
        <v>248</v>
      </c>
      <c r="P1306" t="str">
        <f t="shared" si="121"/>
        <v>High</v>
      </c>
      <c r="Q1306">
        <v>174</v>
      </c>
      <c r="R1306">
        <v>110</v>
      </c>
      <c r="S1306">
        <v>31.74</v>
      </c>
      <c r="T1306" t="str">
        <f t="shared" si="122"/>
        <v>Obese</v>
      </c>
      <c r="U1306">
        <v>75</v>
      </c>
      <c r="V1306">
        <v>100</v>
      </c>
      <c r="W1306" t="str">
        <f t="shared" si="125"/>
        <v>Prediabetes</v>
      </c>
      <c r="X1306">
        <v>0</v>
      </c>
    </row>
    <row r="1307" spans="1:24" ht="14.5" thickBot="1" x14ac:dyDescent="0.35">
      <c r="A1307">
        <v>1</v>
      </c>
      <c r="B1307" t="str">
        <f t="shared" si="123"/>
        <v>Male</v>
      </c>
      <c r="C1307" s="8">
        <v>44</v>
      </c>
      <c r="D1307" t="str">
        <f t="shared" si="124"/>
        <v>Middle Age</v>
      </c>
      <c r="E1307">
        <v>1</v>
      </c>
      <c r="F1307" t="str">
        <f>HLOOKUP(E1307, LookUP_Table!$A$6:$D$7, 2, FALSE)</f>
        <v>Primary</v>
      </c>
      <c r="G1307" t="str">
        <f>IFERROR(VLOOKUP(E1307, LookUP_Table!$A$1:$B$4, 2, FALSE), "")</f>
        <v>Primary</v>
      </c>
      <c r="H1307">
        <v>1</v>
      </c>
      <c r="I1307">
        <v>30</v>
      </c>
      <c r="J1307" t="str">
        <f t="shared" si="120"/>
        <v>Smoker</v>
      </c>
      <c r="K1307">
        <v>0</v>
      </c>
      <c r="L1307">
        <v>0</v>
      </c>
      <c r="M1307">
        <v>1</v>
      </c>
      <c r="N1307">
        <v>0</v>
      </c>
      <c r="O1307">
        <v>230</v>
      </c>
      <c r="P1307" t="str">
        <f t="shared" si="121"/>
        <v>Normal</v>
      </c>
      <c r="Q1307">
        <v>128</v>
      </c>
      <c r="R1307">
        <v>87</v>
      </c>
      <c r="S1307">
        <v>26.02</v>
      </c>
      <c r="T1307" t="str">
        <f t="shared" si="122"/>
        <v>Overweight</v>
      </c>
      <c r="U1307">
        <v>70</v>
      </c>
      <c r="V1307">
        <v>73</v>
      </c>
      <c r="W1307" t="str">
        <f t="shared" si="125"/>
        <v>Normal</v>
      </c>
      <c r="X1307">
        <v>0</v>
      </c>
    </row>
    <row r="1308" spans="1:24" ht="14.5" thickBot="1" x14ac:dyDescent="0.35">
      <c r="A1308">
        <v>1</v>
      </c>
      <c r="B1308" t="str">
        <f t="shared" si="123"/>
        <v>Male</v>
      </c>
      <c r="C1308" s="8">
        <v>44</v>
      </c>
      <c r="D1308" t="str">
        <f t="shared" si="124"/>
        <v>Middle Age</v>
      </c>
      <c r="E1308">
        <v>1</v>
      </c>
      <c r="F1308" t="str">
        <f>HLOOKUP(E1308, LookUP_Table!$A$6:$D$7, 2, FALSE)</f>
        <v>Primary</v>
      </c>
      <c r="G1308" t="str">
        <f>IFERROR(VLOOKUP(E1308, LookUP_Table!$A$1:$B$4, 2, FALSE), "")</f>
        <v>Primary</v>
      </c>
      <c r="H1308">
        <v>1</v>
      </c>
      <c r="I1308">
        <v>20</v>
      </c>
      <c r="J1308" t="str">
        <f t="shared" si="120"/>
        <v>Smoker</v>
      </c>
      <c r="K1308">
        <v>0</v>
      </c>
      <c r="L1308">
        <v>0</v>
      </c>
      <c r="M1308">
        <v>0</v>
      </c>
      <c r="N1308">
        <v>0</v>
      </c>
      <c r="O1308">
        <v>214</v>
      </c>
      <c r="P1308" t="str">
        <f t="shared" si="121"/>
        <v>Normal</v>
      </c>
      <c r="Q1308">
        <v>128</v>
      </c>
      <c r="R1308">
        <v>94</v>
      </c>
      <c r="S1308">
        <v>23.51</v>
      </c>
      <c r="T1308" t="str">
        <f t="shared" si="122"/>
        <v>Normal</v>
      </c>
      <c r="U1308">
        <v>72</v>
      </c>
      <c r="V1308">
        <v>66</v>
      </c>
      <c r="W1308" t="str">
        <f t="shared" si="125"/>
        <v>Normal</v>
      </c>
      <c r="X1308">
        <v>0</v>
      </c>
    </row>
    <row r="1309" spans="1:24" ht="14.5" thickBot="1" x14ac:dyDescent="0.35">
      <c r="A1309">
        <v>0</v>
      </c>
      <c r="B1309" t="str">
        <f t="shared" si="123"/>
        <v>Female</v>
      </c>
      <c r="C1309" s="8">
        <v>44</v>
      </c>
      <c r="D1309" t="str">
        <f t="shared" si="124"/>
        <v>Middle Age</v>
      </c>
      <c r="E1309">
        <v>4</v>
      </c>
      <c r="F1309" t="str">
        <f>HLOOKUP(E1309, LookUP_Table!$A$6:$D$7, 2, FALSE)</f>
        <v>Post Graduate</v>
      </c>
      <c r="G1309" t="str">
        <f>IFERROR(VLOOKUP(E1309, LookUP_Table!$A$1:$B$4, 2, FALSE), "")</f>
        <v>Post Graduate</v>
      </c>
      <c r="H1309">
        <v>1</v>
      </c>
      <c r="I1309">
        <v>25</v>
      </c>
      <c r="J1309" t="str">
        <f t="shared" si="120"/>
        <v>Smoker</v>
      </c>
      <c r="K1309">
        <v>0</v>
      </c>
      <c r="L1309">
        <v>0</v>
      </c>
      <c r="M1309">
        <v>0</v>
      </c>
      <c r="N1309">
        <v>0</v>
      </c>
      <c r="O1309">
        <v>200</v>
      </c>
      <c r="P1309" t="str">
        <f t="shared" si="121"/>
        <v>Normal</v>
      </c>
      <c r="Q1309">
        <v>111</v>
      </c>
      <c r="R1309">
        <v>79</v>
      </c>
      <c r="S1309">
        <v>27.29</v>
      </c>
      <c r="T1309" t="str">
        <f t="shared" si="122"/>
        <v>Overweight</v>
      </c>
      <c r="U1309">
        <v>95</v>
      </c>
      <c r="V1309">
        <v>74</v>
      </c>
      <c r="W1309" t="str">
        <f t="shared" si="125"/>
        <v>Normal</v>
      </c>
      <c r="X1309">
        <v>0</v>
      </c>
    </row>
    <row r="1310" spans="1:24" ht="14.5" thickBot="1" x14ac:dyDescent="0.35">
      <c r="A1310">
        <v>1</v>
      </c>
      <c r="B1310" t="str">
        <f t="shared" si="123"/>
        <v>Male</v>
      </c>
      <c r="C1310" s="8">
        <v>44</v>
      </c>
      <c r="D1310" t="str">
        <f t="shared" si="124"/>
        <v>Middle Age</v>
      </c>
      <c r="E1310">
        <v>1</v>
      </c>
      <c r="F1310" t="str">
        <f>HLOOKUP(E1310, LookUP_Table!$A$6:$D$7, 2, FALSE)</f>
        <v>Primary</v>
      </c>
      <c r="G1310" t="str">
        <f>IFERROR(VLOOKUP(E1310, LookUP_Table!$A$1:$B$4, 2, FALSE), "")</f>
        <v>Primary</v>
      </c>
      <c r="H1310">
        <v>1</v>
      </c>
      <c r="I1310">
        <v>15</v>
      </c>
      <c r="J1310" t="str">
        <f t="shared" si="120"/>
        <v>Smoker</v>
      </c>
      <c r="K1310">
        <v>0</v>
      </c>
      <c r="L1310">
        <v>0</v>
      </c>
      <c r="M1310">
        <v>1</v>
      </c>
      <c r="N1310">
        <v>0</v>
      </c>
      <c r="O1310">
        <v>232</v>
      </c>
      <c r="P1310" t="str">
        <f t="shared" si="121"/>
        <v>Normal</v>
      </c>
      <c r="Q1310">
        <v>141</v>
      </c>
      <c r="R1310">
        <v>104</v>
      </c>
      <c r="S1310">
        <v>27.38</v>
      </c>
      <c r="T1310" t="str">
        <f t="shared" si="122"/>
        <v>Overweight</v>
      </c>
      <c r="U1310">
        <v>75</v>
      </c>
      <c r="V1310">
        <v>81.96365524402907</v>
      </c>
      <c r="W1310" t="str">
        <f t="shared" si="125"/>
        <v>Normal</v>
      </c>
      <c r="X1310">
        <v>1</v>
      </c>
    </row>
    <row r="1311" spans="1:24" ht="14.5" thickBot="1" x14ac:dyDescent="0.35">
      <c r="A1311">
        <v>1</v>
      </c>
      <c r="B1311" t="str">
        <f t="shared" si="123"/>
        <v>Male</v>
      </c>
      <c r="C1311" s="8">
        <v>44</v>
      </c>
      <c r="D1311" t="str">
        <f t="shared" si="124"/>
        <v>Middle Age</v>
      </c>
      <c r="E1311">
        <v>1</v>
      </c>
      <c r="F1311" t="str">
        <f>HLOOKUP(E1311, LookUP_Table!$A$6:$D$7, 2, FALSE)</f>
        <v>Primary</v>
      </c>
      <c r="G1311" t="str">
        <f>IFERROR(VLOOKUP(E1311, LookUP_Table!$A$1:$B$4, 2, FALSE), "")</f>
        <v>Primary</v>
      </c>
      <c r="H1311">
        <v>1</v>
      </c>
      <c r="I1311">
        <v>10</v>
      </c>
      <c r="J1311" t="str">
        <f t="shared" si="120"/>
        <v>Smoker</v>
      </c>
      <c r="K1311">
        <v>0</v>
      </c>
      <c r="L1311">
        <v>0</v>
      </c>
      <c r="M1311">
        <v>0</v>
      </c>
      <c r="N1311">
        <v>0</v>
      </c>
      <c r="O1311">
        <v>220</v>
      </c>
      <c r="P1311" t="str">
        <f t="shared" si="121"/>
        <v>Normal</v>
      </c>
      <c r="Q1311">
        <v>105</v>
      </c>
      <c r="R1311">
        <v>70</v>
      </c>
      <c r="S1311">
        <v>21.01</v>
      </c>
      <c r="T1311" t="str">
        <f t="shared" si="122"/>
        <v>Normal</v>
      </c>
      <c r="U1311">
        <v>58</v>
      </c>
      <c r="V1311">
        <v>68</v>
      </c>
      <c r="W1311" t="str">
        <f t="shared" si="125"/>
        <v>Normal</v>
      </c>
      <c r="X1311">
        <v>0</v>
      </c>
    </row>
    <row r="1312" spans="1:24" ht="14.5" thickBot="1" x14ac:dyDescent="0.35">
      <c r="A1312">
        <v>1</v>
      </c>
      <c r="B1312" t="str">
        <f t="shared" si="123"/>
        <v>Male</v>
      </c>
      <c r="C1312" s="8">
        <v>44</v>
      </c>
      <c r="D1312" t="str">
        <f t="shared" si="124"/>
        <v>Middle Age</v>
      </c>
      <c r="E1312">
        <v>3</v>
      </c>
      <c r="F1312" t="str">
        <f>HLOOKUP(E1312, LookUP_Table!$A$6:$D$7, 2, FALSE)</f>
        <v>Graduate</v>
      </c>
      <c r="G1312" t="str">
        <f>IFERROR(VLOOKUP(E1312, LookUP_Table!$A$1:$B$4, 2, FALSE), "")</f>
        <v>Graduate</v>
      </c>
      <c r="H1312">
        <v>1</v>
      </c>
      <c r="I1312">
        <v>23</v>
      </c>
      <c r="J1312" t="str">
        <f t="shared" si="120"/>
        <v>Smoker</v>
      </c>
      <c r="K1312">
        <v>0</v>
      </c>
      <c r="L1312">
        <v>0</v>
      </c>
      <c r="M1312">
        <v>0</v>
      </c>
      <c r="N1312">
        <v>0</v>
      </c>
      <c r="O1312">
        <v>272</v>
      </c>
      <c r="P1312" t="str">
        <f t="shared" si="121"/>
        <v>High</v>
      </c>
      <c r="Q1312">
        <v>115</v>
      </c>
      <c r="R1312">
        <v>76</v>
      </c>
      <c r="S1312">
        <v>24.16</v>
      </c>
      <c r="T1312" t="str">
        <f t="shared" si="122"/>
        <v>Normal</v>
      </c>
      <c r="U1312">
        <v>80</v>
      </c>
      <c r="V1312">
        <v>77</v>
      </c>
      <c r="W1312" t="str">
        <f t="shared" si="125"/>
        <v>Normal</v>
      </c>
      <c r="X1312">
        <v>0</v>
      </c>
    </row>
    <row r="1313" spans="1:24" ht="14.5" thickBot="1" x14ac:dyDescent="0.35">
      <c r="A1313">
        <v>1</v>
      </c>
      <c r="B1313" t="str">
        <f t="shared" si="123"/>
        <v>Male</v>
      </c>
      <c r="C1313" s="8">
        <v>44</v>
      </c>
      <c r="D1313" t="str">
        <f t="shared" si="124"/>
        <v>Middle Age</v>
      </c>
      <c r="E1313">
        <v>1</v>
      </c>
      <c r="F1313" t="str">
        <f>HLOOKUP(E1313, LookUP_Table!$A$6:$D$7, 2, FALSE)</f>
        <v>Primary</v>
      </c>
      <c r="G1313" t="str">
        <f>IFERROR(VLOOKUP(E1313, LookUP_Table!$A$1:$B$4, 2, FALSE), "")</f>
        <v>Primary</v>
      </c>
      <c r="H1313">
        <v>1</v>
      </c>
      <c r="I1313">
        <v>20</v>
      </c>
      <c r="J1313" t="str">
        <f t="shared" si="120"/>
        <v>Smoker</v>
      </c>
      <c r="K1313">
        <v>0</v>
      </c>
      <c r="L1313">
        <v>0</v>
      </c>
      <c r="M1313">
        <v>0</v>
      </c>
      <c r="N1313">
        <v>0</v>
      </c>
      <c r="O1313">
        <v>271</v>
      </c>
      <c r="P1313" t="str">
        <f t="shared" si="121"/>
        <v>High</v>
      </c>
      <c r="Q1313">
        <v>136</v>
      </c>
      <c r="R1313">
        <v>90</v>
      </c>
      <c r="S1313">
        <v>25.24</v>
      </c>
      <c r="T1313" t="str">
        <f t="shared" si="122"/>
        <v>Overweight</v>
      </c>
      <c r="U1313">
        <v>80</v>
      </c>
      <c r="V1313">
        <v>64</v>
      </c>
      <c r="W1313" t="str">
        <f t="shared" si="125"/>
        <v>Normal</v>
      </c>
      <c r="X1313">
        <v>0</v>
      </c>
    </row>
    <row r="1314" spans="1:24" ht="14.5" thickBot="1" x14ac:dyDescent="0.35">
      <c r="A1314">
        <v>0</v>
      </c>
      <c r="B1314" t="str">
        <f t="shared" si="123"/>
        <v>Female</v>
      </c>
      <c r="C1314" s="8">
        <v>44</v>
      </c>
      <c r="D1314" t="str">
        <f t="shared" si="124"/>
        <v>Middle Age</v>
      </c>
      <c r="E1314">
        <v>1</v>
      </c>
      <c r="F1314" t="str">
        <f>HLOOKUP(E1314, LookUP_Table!$A$6:$D$7, 2, FALSE)</f>
        <v>Primary</v>
      </c>
      <c r="G1314" t="str">
        <f>IFERROR(VLOOKUP(E1314, LookUP_Table!$A$1:$B$4, 2, FALSE), "")</f>
        <v>Primary</v>
      </c>
      <c r="H1314">
        <v>0</v>
      </c>
      <c r="I1314">
        <v>0</v>
      </c>
      <c r="J1314" t="str">
        <f t="shared" si="120"/>
        <v>Non-Smoker</v>
      </c>
      <c r="K1314">
        <v>0</v>
      </c>
      <c r="L1314">
        <v>0</v>
      </c>
      <c r="M1314">
        <v>0</v>
      </c>
      <c r="N1314">
        <v>0</v>
      </c>
      <c r="O1314">
        <v>206</v>
      </c>
      <c r="P1314" t="str">
        <f t="shared" si="121"/>
        <v>Normal</v>
      </c>
      <c r="Q1314">
        <v>121</v>
      </c>
      <c r="R1314">
        <v>81</v>
      </c>
      <c r="S1314">
        <v>24.12</v>
      </c>
      <c r="T1314" t="str">
        <f t="shared" si="122"/>
        <v>Normal</v>
      </c>
      <c r="U1314">
        <v>64</v>
      </c>
      <c r="V1314">
        <v>77</v>
      </c>
      <c r="W1314" t="str">
        <f t="shared" si="125"/>
        <v>Normal</v>
      </c>
      <c r="X1314">
        <v>0</v>
      </c>
    </row>
    <row r="1315" spans="1:24" ht="14.5" thickBot="1" x14ac:dyDescent="0.35">
      <c r="A1315">
        <v>0</v>
      </c>
      <c r="B1315" t="str">
        <f t="shared" si="123"/>
        <v>Female</v>
      </c>
      <c r="C1315" s="8">
        <v>44</v>
      </c>
      <c r="D1315" t="str">
        <f t="shared" si="124"/>
        <v>Middle Age</v>
      </c>
      <c r="E1315">
        <v>2</v>
      </c>
      <c r="F1315" t="str">
        <f>HLOOKUP(E1315, LookUP_Table!$A$6:$D$7, 2, FALSE)</f>
        <v>Secondary</v>
      </c>
      <c r="G1315" t="str">
        <f>IFERROR(VLOOKUP(E1315, LookUP_Table!$A$1:$B$4, 2, FALSE), "")</f>
        <v>Secondary</v>
      </c>
      <c r="H1315">
        <v>0</v>
      </c>
      <c r="I1315">
        <v>0</v>
      </c>
      <c r="J1315" t="str">
        <f t="shared" si="120"/>
        <v>Non-Smoker</v>
      </c>
      <c r="K1315">
        <v>0</v>
      </c>
      <c r="L1315">
        <v>0</v>
      </c>
      <c r="M1315">
        <v>1</v>
      </c>
      <c r="N1315">
        <v>0</v>
      </c>
      <c r="O1315">
        <v>169</v>
      </c>
      <c r="P1315" t="str">
        <f t="shared" si="121"/>
        <v>Normal</v>
      </c>
      <c r="Q1315">
        <v>179</v>
      </c>
      <c r="R1315">
        <v>107</v>
      </c>
      <c r="S1315">
        <v>44.55</v>
      </c>
      <c r="T1315" t="str">
        <f t="shared" si="122"/>
        <v>Obese</v>
      </c>
      <c r="U1315">
        <v>70</v>
      </c>
      <c r="V1315">
        <v>77</v>
      </c>
      <c r="W1315" t="str">
        <f t="shared" si="125"/>
        <v>Normal</v>
      </c>
      <c r="X1315">
        <v>0</v>
      </c>
    </row>
    <row r="1316" spans="1:24" ht="14.5" thickBot="1" x14ac:dyDescent="0.35">
      <c r="A1316">
        <v>1</v>
      </c>
      <c r="B1316" t="str">
        <f t="shared" si="123"/>
        <v>Male</v>
      </c>
      <c r="C1316" s="8">
        <v>44</v>
      </c>
      <c r="D1316" t="str">
        <f t="shared" si="124"/>
        <v>Middle Age</v>
      </c>
      <c r="E1316">
        <v>2</v>
      </c>
      <c r="F1316" t="str">
        <f>HLOOKUP(E1316, LookUP_Table!$A$6:$D$7, 2, FALSE)</f>
        <v>Secondary</v>
      </c>
      <c r="G1316" t="str">
        <f>IFERROR(VLOOKUP(E1316, LookUP_Table!$A$1:$B$4, 2, FALSE), "")</f>
        <v>Secondary</v>
      </c>
      <c r="H1316">
        <v>1</v>
      </c>
      <c r="I1316">
        <v>20</v>
      </c>
      <c r="J1316" t="str">
        <f t="shared" si="120"/>
        <v>Smoker</v>
      </c>
      <c r="K1316">
        <v>0</v>
      </c>
      <c r="L1316">
        <v>0</v>
      </c>
      <c r="M1316">
        <v>1</v>
      </c>
      <c r="N1316">
        <v>0</v>
      </c>
      <c r="O1316">
        <v>264</v>
      </c>
      <c r="P1316" t="str">
        <f t="shared" si="121"/>
        <v>High</v>
      </c>
      <c r="Q1316">
        <v>138</v>
      </c>
      <c r="R1316">
        <v>92</v>
      </c>
      <c r="S1316">
        <v>28.32</v>
      </c>
      <c r="T1316" t="str">
        <f t="shared" si="122"/>
        <v>Overweight</v>
      </c>
      <c r="U1316">
        <v>63</v>
      </c>
      <c r="V1316">
        <v>67</v>
      </c>
      <c r="W1316" t="str">
        <f t="shared" si="125"/>
        <v>Normal</v>
      </c>
      <c r="X1316">
        <v>0</v>
      </c>
    </row>
    <row r="1317" spans="1:24" ht="14.5" thickBot="1" x14ac:dyDescent="0.35">
      <c r="A1317">
        <v>0</v>
      </c>
      <c r="B1317" t="str">
        <f t="shared" si="123"/>
        <v>Female</v>
      </c>
      <c r="C1317" s="8">
        <v>44</v>
      </c>
      <c r="D1317" t="str">
        <f t="shared" si="124"/>
        <v>Middle Age</v>
      </c>
      <c r="E1317">
        <v>1</v>
      </c>
      <c r="F1317" t="str">
        <f>HLOOKUP(E1317, LookUP_Table!$A$6:$D$7, 2, FALSE)</f>
        <v>Primary</v>
      </c>
      <c r="G1317" t="str">
        <f>IFERROR(VLOOKUP(E1317, LookUP_Table!$A$1:$B$4, 2, FALSE), "")</f>
        <v>Primary</v>
      </c>
      <c r="H1317">
        <v>1</v>
      </c>
      <c r="I1317">
        <v>9</v>
      </c>
      <c r="J1317" t="str">
        <f t="shared" si="120"/>
        <v>Smoker</v>
      </c>
      <c r="K1317">
        <v>0</v>
      </c>
      <c r="L1317">
        <v>0</v>
      </c>
      <c r="M1317">
        <v>0</v>
      </c>
      <c r="N1317">
        <v>0</v>
      </c>
      <c r="O1317">
        <v>185</v>
      </c>
      <c r="P1317" t="str">
        <f t="shared" si="121"/>
        <v>Normal</v>
      </c>
      <c r="Q1317">
        <v>133</v>
      </c>
      <c r="R1317">
        <v>69</v>
      </c>
      <c r="S1317">
        <v>22.34</v>
      </c>
      <c r="T1317" t="str">
        <f t="shared" si="122"/>
        <v>Normal</v>
      </c>
      <c r="U1317">
        <v>70</v>
      </c>
      <c r="V1317">
        <v>76</v>
      </c>
      <c r="W1317" t="str">
        <f t="shared" si="125"/>
        <v>Normal</v>
      </c>
      <c r="X1317">
        <v>0</v>
      </c>
    </row>
    <row r="1318" spans="1:24" ht="14.5" thickBot="1" x14ac:dyDescent="0.35">
      <c r="A1318">
        <v>1</v>
      </c>
      <c r="B1318" t="str">
        <f t="shared" si="123"/>
        <v>Male</v>
      </c>
      <c r="C1318" s="8">
        <v>44</v>
      </c>
      <c r="D1318" t="str">
        <f t="shared" si="124"/>
        <v>Middle Age</v>
      </c>
      <c r="E1318">
        <v>2</v>
      </c>
      <c r="F1318" t="str">
        <f>HLOOKUP(E1318, LookUP_Table!$A$6:$D$7, 2, FALSE)</f>
        <v>Secondary</v>
      </c>
      <c r="G1318" t="str">
        <f>IFERROR(VLOOKUP(E1318, LookUP_Table!$A$1:$B$4, 2, FALSE), "")</f>
        <v>Secondary</v>
      </c>
      <c r="H1318">
        <v>0</v>
      </c>
      <c r="I1318">
        <v>0</v>
      </c>
      <c r="J1318" t="str">
        <f t="shared" si="120"/>
        <v>Non-Smoker</v>
      </c>
      <c r="K1318">
        <v>0</v>
      </c>
      <c r="L1318">
        <v>0</v>
      </c>
      <c r="M1318">
        <v>0</v>
      </c>
      <c r="N1318">
        <v>0</v>
      </c>
      <c r="O1318">
        <v>286</v>
      </c>
      <c r="P1318" t="str">
        <f t="shared" si="121"/>
        <v>High</v>
      </c>
      <c r="Q1318">
        <v>112.5</v>
      </c>
      <c r="R1318">
        <v>72.5</v>
      </c>
      <c r="S1318">
        <v>24.72</v>
      </c>
      <c r="T1318" t="str">
        <f t="shared" si="122"/>
        <v>Normal</v>
      </c>
      <c r="U1318">
        <v>85</v>
      </c>
      <c r="V1318">
        <v>76</v>
      </c>
      <c r="W1318" t="str">
        <f t="shared" si="125"/>
        <v>Normal</v>
      </c>
      <c r="X1318">
        <v>0</v>
      </c>
    </row>
    <row r="1319" spans="1:24" ht="14.5" thickBot="1" x14ac:dyDescent="0.35">
      <c r="A1319">
        <v>0</v>
      </c>
      <c r="B1319" t="str">
        <f t="shared" si="123"/>
        <v>Female</v>
      </c>
      <c r="C1319" s="8">
        <v>44</v>
      </c>
      <c r="D1319" t="str">
        <f t="shared" si="124"/>
        <v>Middle Age</v>
      </c>
      <c r="E1319">
        <v>1</v>
      </c>
      <c r="F1319" t="str">
        <f>HLOOKUP(E1319, LookUP_Table!$A$6:$D$7, 2, FALSE)</f>
        <v>Primary</v>
      </c>
      <c r="G1319" t="str">
        <f>IFERROR(VLOOKUP(E1319, LookUP_Table!$A$1:$B$4, 2, FALSE), "")</f>
        <v>Primary</v>
      </c>
      <c r="H1319">
        <v>0</v>
      </c>
      <c r="I1319">
        <v>0</v>
      </c>
      <c r="J1319" t="str">
        <f t="shared" si="120"/>
        <v>Non-Smoker</v>
      </c>
      <c r="K1319">
        <v>0</v>
      </c>
      <c r="L1319">
        <v>0</v>
      </c>
      <c r="M1319">
        <v>0</v>
      </c>
      <c r="N1319">
        <v>0</v>
      </c>
      <c r="O1319">
        <v>197</v>
      </c>
      <c r="P1319" t="str">
        <f t="shared" si="121"/>
        <v>Normal</v>
      </c>
      <c r="Q1319">
        <v>125.5</v>
      </c>
      <c r="R1319">
        <v>82.5</v>
      </c>
      <c r="S1319">
        <v>25.13</v>
      </c>
      <c r="T1319" t="str">
        <f t="shared" si="122"/>
        <v>Overweight</v>
      </c>
      <c r="U1319">
        <v>79</v>
      </c>
      <c r="V1319">
        <v>50</v>
      </c>
      <c r="W1319" t="str">
        <f t="shared" si="125"/>
        <v>Normal</v>
      </c>
      <c r="X1319">
        <v>0</v>
      </c>
    </row>
    <row r="1320" spans="1:24" ht="14.5" thickBot="1" x14ac:dyDescent="0.35">
      <c r="A1320">
        <v>1</v>
      </c>
      <c r="B1320" t="str">
        <f t="shared" si="123"/>
        <v>Male</v>
      </c>
      <c r="C1320" s="8">
        <v>44</v>
      </c>
      <c r="D1320" t="str">
        <f t="shared" si="124"/>
        <v>Middle Age</v>
      </c>
      <c r="E1320">
        <v>4</v>
      </c>
      <c r="F1320" t="str">
        <f>HLOOKUP(E1320, LookUP_Table!$A$6:$D$7, 2, FALSE)</f>
        <v>Post Graduate</v>
      </c>
      <c r="G1320" t="str">
        <f>IFERROR(VLOOKUP(E1320, LookUP_Table!$A$1:$B$4, 2, FALSE), "")</f>
        <v>Post Graduate</v>
      </c>
      <c r="H1320">
        <v>0</v>
      </c>
      <c r="I1320">
        <v>0</v>
      </c>
      <c r="J1320" t="str">
        <f t="shared" si="120"/>
        <v>Non-Smoker</v>
      </c>
      <c r="K1320">
        <v>0</v>
      </c>
      <c r="L1320">
        <v>0</v>
      </c>
      <c r="M1320">
        <v>0</v>
      </c>
      <c r="N1320">
        <v>0</v>
      </c>
      <c r="O1320">
        <v>211</v>
      </c>
      <c r="P1320" t="str">
        <f t="shared" si="121"/>
        <v>Normal</v>
      </c>
      <c r="Q1320">
        <v>130</v>
      </c>
      <c r="R1320">
        <v>85.5</v>
      </c>
      <c r="S1320">
        <v>26.98</v>
      </c>
      <c r="T1320" t="str">
        <f t="shared" si="122"/>
        <v>Overweight</v>
      </c>
      <c r="U1320">
        <v>60</v>
      </c>
      <c r="V1320">
        <v>82</v>
      </c>
      <c r="W1320" t="str">
        <f t="shared" si="125"/>
        <v>Normal</v>
      </c>
      <c r="X1320">
        <v>0</v>
      </c>
    </row>
    <row r="1321" spans="1:24" ht="14.5" thickBot="1" x14ac:dyDescent="0.35">
      <c r="A1321">
        <v>0</v>
      </c>
      <c r="B1321" t="str">
        <f t="shared" si="123"/>
        <v>Female</v>
      </c>
      <c r="C1321" s="8">
        <v>44</v>
      </c>
      <c r="D1321" t="str">
        <f t="shared" si="124"/>
        <v>Middle Age</v>
      </c>
      <c r="E1321">
        <v>1</v>
      </c>
      <c r="F1321" t="str">
        <f>HLOOKUP(E1321, LookUP_Table!$A$6:$D$7, 2, FALSE)</f>
        <v>Primary</v>
      </c>
      <c r="G1321" t="str">
        <f>IFERROR(VLOOKUP(E1321, LookUP_Table!$A$1:$B$4, 2, FALSE), "")</f>
        <v>Primary</v>
      </c>
      <c r="H1321">
        <v>1</v>
      </c>
      <c r="I1321">
        <v>20</v>
      </c>
      <c r="J1321" t="str">
        <f t="shared" si="120"/>
        <v>Smoker</v>
      </c>
      <c r="K1321">
        <v>0</v>
      </c>
      <c r="L1321">
        <v>0</v>
      </c>
      <c r="M1321">
        <v>0</v>
      </c>
      <c r="N1321">
        <v>0</v>
      </c>
      <c r="O1321">
        <v>173</v>
      </c>
      <c r="P1321" t="str">
        <f t="shared" si="121"/>
        <v>Normal</v>
      </c>
      <c r="Q1321">
        <v>121.5</v>
      </c>
      <c r="R1321">
        <v>69</v>
      </c>
      <c r="S1321">
        <v>23.72</v>
      </c>
      <c r="T1321" t="str">
        <f t="shared" si="122"/>
        <v>Normal</v>
      </c>
      <c r="U1321">
        <v>75</v>
      </c>
      <c r="V1321">
        <v>77</v>
      </c>
      <c r="W1321" t="str">
        <f t="shared" si="125"/>
        <v>Normal</v>
      </c>
      <c r="X1321">
        <v>0</v>
      </c>
    </row>
    <row r="1322" spans="1:24" ht="14.5" thickBot="1" x14ac:dyDescent="0.35">
      <c r="A1322">
        <v>0</v>
      </c>
      <c r="B1322" t="str">
        <f t="shared" si="123"/>
        <v>Female</v>
      </c>
      <c r="C1322" s="8">
        <v>44</v>
      </c>
      <c r="D1322" t="str">
        <f t="shared" si="124"/>
        <v>Middle Age</v>
      </c>
      <c r="E1322">
        <v>3</v>
      </c>
      <c r="F1322" t="str">
        <f>HLOOKUP(E1322, LookUP_Table!$A$6:$D$7, 2, FALSE)</f>
        <v>Graduate</v>
      </c>
      <c r="G1322" t="str">
        <f>IFERROR(VLOOKUP(E1322, LookUP_Table!$A$1:$B$4, 2, FALSE), "")</f>
        <v>Graduate</v>
      </c>
      <c r="H1322">
        <v>1</v>
      </c>
      <c r="I1322">
        <v>20</v>
      </c>
      <c r="J1322" t="str">
        <f t="shared" si="120"/>
        <v>Smoker</v>
      </c>
      <c r="K1322">
        <v>0</v>
      </c>
      <c r="L1322">
        <v>0</v>
      </c>
      <c r="M1322">
        <v>0</v>
      </c>
      <c r="N1322">
        <v>0</v>
      </c>
      <c r="O1322">
        <v>240</v>
      </c>
      <c r="P1322" t="str">
        <f t="shared" si="121"/>
        <v>Normal</v>
      </c>
      <c r="Q1322">
        <v>109</v>
      </c>
      <c r="R1322">
        <v>71</v>
      </c>
      <c r="S1322">
        <v>23.75</v>
      </c>
      <c r="T1322" t="str">
        <f t="shared" si="122"/>
        <v>Normal</v>
      </c>
      <c r="U1322">
        <v>70</v>
      </c>
      <c r="V1322">
        <v>83</v>
      </c>
      <c r="W1322" t="str">
        <f t="shared" si="125"/>
        <v>Normal</v>
      </c>
      <c r="X1322">
        <v>0</v>
      </c>
    </row>
    <row r="1323" spans="1:24" ht="14.5" thickBot="1" x14ac:dyDescent="0.35">
      <c r="A1323">
        <v>1</v>
      </c>
      <c r="B1323" t="str">
        <f t="shared" si="123"/>
        <v>Male</v>
      </c>
      <c r="C1323" s="8">
        <v>44</v>
      </c>
      <c r="D1323" t="str">
        <f t="shared" si="124"/>
        <v>Middle Age</v>
      </c>
      <c r="E1323">
        <v>1</v>
      </c>
      <c r="F1323" t="str">
        <f>HLOOKUP(E1323, LookUP_Table!$A$6:$D$7, 2, FALSE)</f>
        <v>Primary</v>
      </c>
      <c r="G1323" t="str">
        <f>IFERROR(VLOOKUP(E1323, LookUP_Table!$A$1:$B$4, 2, FALSE), "")</f>
        <v>Primary</v>
      </c>
      <c r="H1323">
        <v>1</v>
      </c>
      <c r="I1323">
        <v>40</v>
      </c>
      <c r="J1323" t="str">
        <f t="shared" si="120"/>
        <v>Smoker</v>
      </c>
      <c r="K1323">
        <v>0</v>
      </c>
      <c r="L1323">
        <v>0</v>
      </c>
      <c r="M1323">
        <v>1</v>
      </c>
      <c r="N1323">
        <v>0</v>
      </c>
      <c r="O1323">
        <v>312</v>
      </c>
      <c r="P1323" t="str">
        <f t="shared" si="121"/>
        <v>High</v>
      </c>
      <c r="Q1323">
        <v>157</v>
      </c>
      <c r="R1323">
        <v>97</v>
      </c>
      <c r="S1323">
        <v>29.91</v>
      </c>
      <c r="T1323" t="str">
        <f t="shared" si="122"/>
        <v>Overweight</v>
      </c>
      <c r="U1323">
        <v>85</v>
      </c>
      <c r="V1323">
        <v>74</v>
      </c>
      <c r="W1323" t="str">
        <f t="shared" si="125"/>
        <v>Normal</v>
      </c>
      <c r="X1323">
        <v>1</v>
      </c>
    </row>
    <row r="1324" spans="1:24" ht="14.5" thickBot="1" x14ac:dyDescent="0.35">
      <c r="A1324">
        <v>1</v>
      </c>
      <c r="B1324" t="str">
        <f t="shared" si="123"/>
        <v>Male</v>
      </c>
      <c r="C1324" s="8">
        <v>44</v>
      </c>
      <c r="D1324" t="str">
        <f t="shared" si="124"/>
        <v>Middle Age</v>
      </c>
      <c r="E1324">
        <v>1</v>
      </c>
      <c r="F1324" t="str">
        <f>HLOOKUP(E1324, LookUP_Table!$A$6:$D$7, 2, FALSE)</f>
        <v>Primary</v>
      </c>
      <c r="G1324" t="str">
        <f>IFERROR(VLOOKUP(E1324, LookUP_Table!$A$1:$B$4, 2, FALSE), "")</f>
        <v>Primary</v>
      </c>
      <c r="H1324">
        <v>1</v>
      </c>
      <c r="I1324">
        <v>40</v>
      </c>
      <c r="J1324" t="str">
        <f t="shared" si="120"/>
        <v>Smoker</v>
      </c>
      <c r="K1324">
        <v>0</v>
      </c>
      <c r="L1324">
        <v>0</v>
      </c>
      <c r="M1324">
        <v>0</v>
      </c>
      <c r="N1324">
        <v>0</v>
      </c>
      <c r="O1324">
        <v>227</v>
      </c>
      <c r="P1324" t="str">
        <f t="shared" si="121"/>
        <v>Normal</v>
      </c>
      <c r="Q1324">
        <v>146.5</v>
      </c>
      <c r="R1324">
        <v>97</v>
      </c>
      <c r="S1324">
        <v>26.92</v>
      </c>
      <c r="T1324" t="str">
        <f t="shared" si="122"/>
        <v>Overweight</v>
      </c>
      <c r="U1324">
        <v>80</v>
      </c>
      <c r="V1324">
        <v>67</v>
      </c>
      <c r="W1324" t="str">
        <f t="shared" si="125"/>
        <v>Normal</v>
      </c>
      <c r="X1324">
        <v>0</v>
      </c>
    </row>
    <row r="1325" spans="1:24" ht="14.5" thickBot="1" x14ac:dyDescent="0.35">
      <c r="A1325">
        <v>0</v>
      </c>
      <c r="B1325" t="str">
        <f t="shared" si="123"/>
        <v>Female</v>
      </c>
      <c r="C1325" s="8">
        <v>44</v>
      </c>
      <c r="D1325" t="str">
        <f t="shared" si="124"/>
        <v>Middle Age</v>
      </c>
      <c r="E1325">
        <v>1</v>
      </c>
      <c r="F1325" t="str">
        <f>HLOOKUP(E1325, LookUP_Table!$A$6:$D$7, 2, FALSE)</f>
        <v>Primary</v>
      </c>
      <c r="G1325" t="str">
        <f>IFERROR(VLOOKUP(E1325, LookUP_Table!$A$1:$B$4, 2, FALSE), "")</f>
        <v>Primary</v>
      </c>
      <c r="H1325">
        <v>0</v>
      </c>
      <c r="I1325">
        <v>0</v>
      </c>
      <c r="J1325" t="str">
        <f t="shared" si="120"/>
        <v>Non-Smoker</v>
      </c>
      <c r="K1325">
        <v>0</v>
      </c>
      <c r="L1325">
        <v>0</v>
      </c>
      <c r="M1325">
        <v>0</v>
      </c>
      <c r="N1325">
        <v>0</v>
      </c>
      <c r="O1325">
        <v>212</v>
      </c>
      <c r="P1325" t="str">
        <f t="shared" si="121"/>
        <v>Normal</v>
      </c>
      <c r="Q1325">
        <v>132</v>
      </c>
      <c r="R1325">
        <v>82</v>
      </c>
      <c r="S1325">
        <v>28.72</v>
      </c>
      <c r="T1325" t="str">
        <f t="shared" si="122"/>
        <v>Overweight</v>
      </c>
      <c r="U1325">
        <v>75</v>
      </c>
      <c r="V1325">
        <v>73</v>
      </c>
      <c r="W1325" t="str">
        <f t="shared" si="125"/>
        <v>Normal</v>
      </c>
      <c r="X1325">
        <v>0</v>
      </c>
    </row>
    <row r="1326" spans="1:24" ht="14.5" thickBot="1" x14ac:dyDescent="0.35">
      <c r="A1326">
        <v>1</v>
      </c>
      <c r="B1326" t="str">
        <f t="shared" si="123"/>
        <v>Male</v>
      </c>
      <c r="C1326" s="8">
        <v>44</v>
      </c>
      <c r="D1326" t="str">
        <f t="shared" si="124"/>
        <v>Middle Age</v>
      </c>
      <c r="E1326">
        <v>2</v>
      </c>
      <c r="F1326" t="str">
        <f>HLOOKUP(E1326, LookUP_Table!$A$6:$D$7, 2, FALSE)</f>
        <v>Secondary</v>
      </c>
      <c r="G1326" t="str">
        <f>IFERROR(VLOOKUP(E1326, LookUP_Table!$A$1:$B$4, 2, FALSE), "")</f>
        <v>Secondary</v>
      </c>
      <c r="H1326">
        <v>0</v>
      </c>
      <c r="I1326">
        <v>0</v>
      </c>
      <c r="J1326" t="str">
        <f t="shared" si="120"/>
        <v>Non-Smoker</v>
      </c>
      <c r="K1326">
        <v>1</v>
      </c>
      <c r="L1326">
        <v>0</v>
      </c>
      <c r="M1326">
        <v>1</v>
      </c>
      <c r="N1326">
        <v>0</v>
      </c>
      <c r="O1326">
        <v>228</v>
      </c>
      <c r="P1326" t="str">
        <f t="shared" si="121"/>
        <v>Normal</v>
      </c>
      <c r="Q1326">
        <v>178</v>
      </c>
      <c r="R1326">
        <v>123</v>
      </c>
      <c r="S1326">
        <v>31.55</v>
      </c>
      <c r="T1326" t="str">
        <f t="shared" si="122"/>
        <v>Obese</v>
      </c>
      <c r="U1326">
        <v>78</v>
      </c>
      <c r="V1326">
        <v>81.96365524402907</v>
      </c>
      <c r="W1326" t="str">
        <f t="shared" si="125"/>
        <v>Normal</v>
      </c>
      <c r="X1326">
        <v>0</v>
      </c>
    </row>
    <row r="1327" spans="1:24" ht="14.5" thickBot="1" x14ac:dyDescent="0.35">
      <c r="A1327">
        <v>1</v>
      </c>
      <c r="B1327" t="str">
        <f t="shared" si="123"/>
        <v>Male</v>
      </c>
      <c r="C1327" s="8">
        <v>44</v>
      </c>
      <c r="D1327" t="str">
        <f t="shared" si="124"/>
        <v>Middle Age</v>
      </c>
      <c r="E1327">
        <v>1</v>
      </c>
      <c r="F1327" t="str">
        <f>HLOOKUP(E1327, LookUP_Table!$A$6:$D$7, 2, FALSE)</f>
        <v>Primary</v>
      </c>
      <c r="G1327" t="str">
        <f>IFERROR(VLOOKUP(E1327, LookUP_Table!$A$1:$B$4, 2, FALSE), "")</f>
        <v>Primary</v>
      </c>
      <c r="H1327">
        <v>1</v>
      </c>
      <c r="I1327">
        <v>40</v>
      </c>
      <c r="J1327" t="str">
        <f t="shared" si="120"/>
        <v>Smoker</v>
      </c>
      <c r="K1327">
        <v>0</v>
      </c>
      <c r="L1327">
        <v>0</v>
      </c>
      <c r="M1327">
        <v>1</v>
      </c>
      <c r="N1327">
        <v>0</v>
      </c>
      <c r="O1327">
        <v>201</v>
      </c>
      <c r="P1327" t="str">
        <f t="shared" si="121"/>
        <v>Normal</v>
      </c>
      <c r="Q1327">
        <v>142.5</v>
      </c>
      <c r="R1327">
        <v>104.5</v>
      </c>
      <c r="S1327">
        <v>34.590000000000003</v>
      </c>
      <c r="T1327" t="str">
        <f t="shared" si="122"/>
        <v>Obese</v>
      </c>
      <c r="U1327">
        <v>67</v>
      </c>
      <c r="V1327">
        <v>67</v>
      </c>
      <c r="W1327" t="str">
        <f t="shared" si="125"/>
        <v>Normal</v>
      </c>
      <c r="X1327">
        <v>0</v>
      </c>
    </row>
    <row r="1328" spans="1:24" ht="14.5" thickBot="1" x14ac:dyDescent="0.35">
      <c r="A1328">
        <v>0</v>
      </c>
      <c r="B1328" t="str">
        <f t="shared" si="123"/>
        <v>Female</v>
      </c>
      <c r="C1328" s="8">
        <v>44</v>
      </c>
      <c r="D1328" t="str">
        <f t="shared" si="124"/>
        <v>Middle Age</v>
      </c>
      <c r="E1328">
        <v>1</v>
      </c>
      <c r="F1328" t="str">
        <f>HLOOKUP(E1328, LookUP_Table!$A$6:$D$7, 2, FALSE)</f>
        <v>Primary</v>
      </c>
      <c r="G1328" t="str">
        <f>IFERROR(VLOOKUP(E1328, LookUP_Table!$A$1:$B$4, 2, FALSE), "")</f>
        <v>Primary</v>
      </c>
      <c r="H1328">
        <v>0</v>
      </c>
      <c r="I1328">
        <v>0</v>
      </c>
      <c r="J1328" t="str">
        <f t="shared" si="120"/>
        <v>Non-Smoker</v>
      </c>
      <c r="K1328">
        <v>0</v>
      </c>
      <c r="L1328">
        <v>0</v>
      </c>
      <c r="M1328">
        <v>0</v>
      </c>
      <c r="N1328">
        <v>0</v>
      </c>
      <c r="O1328">
        <v>229</v>
      </c>
      <c r="P1328" t="str">
        <f t="shared" si="121"/>
        <v>Normal</v>
      </c>
      <c r="Q1328">
        <v>119</v>
      </c>
      <c r="R1328">
        <v>75.5</v>
      </c>
      <c r="S1328">
        <v>25.09</v>
      </c>
      <c r="T1328" t="str">
        <f t="shared" si="122"/>
        <v>Overweight</v>
      </c>
      <c r="U1328">
        <v>70</v>
      </c>
      <c r="V1328">
        <v>88</v>
      </c>
      <c r="W1328" t="str">
        <f t="shared" si="125"/>
        <v>Normal</v>
      </c>
      <c r="X1328">
        <v>1</v>
      </c>
    </row>
    <row r="1329" spans="1:24" ht="14.5" thickBot="1" x14ac:dyDescent="0.35">
      <c r="A1329">
        <v>0</v>
      </c>
      <c r="B1329" t="str">
        <f t="shared" si="123"/>
        <v>Female</v>
      </c>
      <c r="C1329" s="8">
        <v>44</v>
      </c>
      <c r="D1329" t="str">
        <f t="shared" si="124"/>
        <v>Middle Age</v>
      </c>
      <c r="E1329">
        <v>3</v>
      </c>
      <c r="F1329" t="str">
        <f>HLOOKUP(E1329, LookUP_Table!$A$6:$D$7, 2, FALSE)</f>
        <v>Graduate</v>
      </c>
      <c r="G1329" t="str">
        <f>IFERROR(VLOOKUP(E1329, LookUP_Table!$A$1:$B$4, 2, FALSE), "")</f>
        <v>Graduate</v>
      </c>
      <c r="H1329">
        <v>1</v>
      </c>
      <c r="I1329">
        <v>20</v>
      </c>
      <c r="J1329" t="str">
        <f t="shared" si="120"/>
        <v>Smoker</v>
      </c>
      <c r="K1329">
        <v>0</v>
      </c>
      <c r="L1329">
        <v>0</v>
      </c>
      <c r="M1329">
        <v>0</v>
      </c>
      <c r="N1329">
        <v>0</v>
      </c>
      <c r="O1329">
        <v>245</v>
      </c>
      <c r="P1329" t="str">
        <f t="shared" si="121"/>
        <v>High</v>
      </c>
      <c r="Q1329">
        <v>95</v>
      </c>
      <c r="R1329">
        <v>50</v>
      </c>
      <c r="S1329">
        <v>21.65</v>
      </c>
      <c r="T1329" t="str">
        <f t="shared" si="122"/>
        <v>Normal</v>
      </c>
      <c r="U1329">
        <v>82</v>
      </c>
      <c r="V1329">
        <v>81.96365524402907</v>
      </c>
      <c r="W1329" t="str">
        <f t="shared" si="125"/>
        <v>Normal</v>
      </c>
      <c r="X1329">
        <v>0</v>
      </c>
    </row>
    <row r="1330" spans="1:24" ht="14.5" thickBot="1" x14ac:dyDescent="0.35">
      <c r="A1330">
        <v>0</v>
      </c>
      <c r="B1330" t="str">
        <f t="shared" si="123"/>
        <v>Female</v>
      </c>
      <c r="C1330" s="8">
        <v>44</v>
      </c>
      <c r="D1330" t="str">
        <f t="shared" si="124"/>
        <v>Middle Age</v>
      </c>
      <c r="E1330">
        <v>2</v>
      </c>
      <c r="F1330" t="str">
        <f>HLOOKUP(E1330, LookUP_Table!$A$6:$D$7, 2, FALSE)</f>
        <v>Secondary</v>
      </c>
      <c r="G1330" t="str">
        <f>IFERROR(VLOOKUP(E1330, LookUP_Table!$A$1:$B$4, 2, FALSE), "")</f>
        <v>Secondary</v>
      </c>
      <c r="H1330">
        <v>1</v>
      </c>
      <c r="I1330">
        <v>20</v>
      </c>
      <c r="J1330" t="str">
        <f t="shared" si="120"/>
        <v>Smoker</v>
      </c>
      <c r="K1330">
        <v>0</v>
      </c>
      <c r="L1330">
        <v>0</v>
      </c>
      <c r="M1330">
        <v>0</v>
      </c>
      <c r="N1330">
        <v>0</v>
      </c>
      <c r="O1330">
        <v>243</v>
      </c>
      <c r="P1330" t="str">
        <f t="shared" si="121"/>
        <v>High</v>
      </c>
      <c r="Q1330">
        <v>129</v>
      </c>
      <c r="R1330">
        <v>88</v>
      </c>
      <c r="S1330">
        <v>30.85</v>
      </c>
      <c r="T1330" t="str">
        <f t="shared" si="122"/>
        <v>Obese</v>
      </c>
      <c r="U1330">
        <v>90</v>
      </c>
      <c r="V1330">
        <v>83</v>
      </c>
      <c r="W1330" t="str">
        <f t="shared" si="125"/>
        <v>Normal</v>
      </c>
      <c r="X1330">
        <v>0</v>
      </c>
    </row>
    <row r="1331" spans="1:24" ht="14.5" thickBot="1" x14ac:dyDescent="0.35">
      <c r="A1331">
        <v>1</v>
      </c>
      <c r="B1331" t="str">
        <f t="shared" si="123"/>
        <v>Male</v>
      </c>
      <c r="C1331" s="8">
        <v>44</v>
      </c>
      <c r="D1331" t="str">
        <f t="shared" si="124"/>
        <v>Middle Age</v>
      </c>
      <c r="E1331">
        <v>4</v>
      </c>
      <c r="F1331" t="str">
        <f>HLOOKUP(E1331, LookUP_Table!$A$6:$D$7, 2, FALSE)</f>
        <v>Post Graduate</v>
      </c>
      <c r="G1331" t="str">
        <f>IFERROR(VLOOKUP(E1331, LookUP_Table!$A$1:$B$4, 2, FALSE), "")</f>
        <v>Post Graduate</v>
      </c>
      <c r="H1331">
        <v>1</v>
      </c>
      <c r="I1331">
        <v>35</v>
      </c>
      <c r="J1331" t="str">
        <f t="shared" si="120"/>
        <v>Smoker</v>
      </c>
      <c r="K1331">
        <v>0</v>
      </c>
      <c r="L1331">
        <v>0</v>
      </c>
      <c r="M1331">
        <v>1</v>
      </c>
      <c r="N1331">
        <v>0</v>
      </c>
      <c r="O1331">
        <v>198</v>
      </c>
      <c r="P1331" t="str">
        <f t="shared" si="121"/>
        <v>Normal</v>
      </c>
      <c r="Q1331">
        <v>143.5</v>
      </c>
      <c r="R1331">
        <v>90</v>
      </c>
      <c r="S1331">
        <v>27.99</v>
      </c>
      <c r="T1331" t="str">
        <f t="shared" si="122"/>
        <v>Overweight</v>
      </c>
      <c r="U1331">
        <v>50</v>
      </c>
      <c r="V1331">
        <v>81.96365524402907</v>
      </c>
      <c r="W1331" t="str">
        <f t="shared" si="125"/>
        <v>Normal</v>
      </c>
      <c r="X1331">
        <v>1</v>
      </c>
    </row>
    <row r="1332" spans="1:24" ht="14.5" thickBot="1" x14ac:dyDescent="0.35">
      <c r="A1332">
        <v>1</v>
      </c>
      <c r="B1332" t="str">
        <f t="shared" si="123"/>
        <v>Male</v>
      </c>
      <c r="C1332" s="8">
        <v>44</v>
      </c>
      <c r="D1332" t="str">
        <f t="shared" si="124"/>
        <v>Middle Age</v>
      </c>
      <c r="E1332">
        <v>1</v>
      </c>
      <c r="F1332" t="str">
        <f>HLOOKUP(E1332, LookUP_Table!$A$6:$D$7, 2, FALSE)</f>
        <v>Primary</v>
      </c>
      <c r="G1332" t="str">
        <f>IFERROR(VLOOKUP(E1332, LookUP_Table!$A$1:$B$4, 2, FALSE), "")</f>
        <v>Primary</v>
      </c>
      <c r="H1332">
        <v>1</v>
      </c>
      <c r="I1332">
        <v>20</v>
      </c>
      <c r="J1332" t="str">
        <f t="shared" si="120"/>
        <v>Smoker</v>
      </c>
      <c r="K1332">
        <v>0</v>
      </c>
      <c r="L1332">
        <v>0</v>
      </c>
      <c r="M1332">
        <v>0</v>
      </c>
      <c r="N1332">
        <v>0</v>
      </c>
      <c r="O1332">
        <v>260</v>
      </c>
      <c r="P1332" t="str">
        <f t="shared" si="121"/>
        <v>High</v>
      </c>
      <c r="Q1332">
        <v>134</v>
      </c>
      <c r="R1332">
        <v>80</v>
      </c>
      <c r="S1332">
        <v>22.25</v>
      </c>
      <c r="T1332" t="str">
        <f t="shared" si="122"/>
        <v>Normal</v>
      </c>
      <c r="U1332">
        <v>87</v>
      </c>
      <c r="V1332">
        <v>81</v>
      </c>
      <c r="W1332" t="str">
        <f t="shared" si="125"/>
        <v>Normal</v>
      </c>
      <c r="X1332">
        <v>0</v>
      </c>
    </row>
    <row r="1333" spans="1:24" ht="14.5" thickBot="1" x14ac:dyDescent="0.35">
      <c r="A1333">
        <v>0</v>
      </c>
      <c r="B1333" t="str">
        <f t="shared" si="123"/>
        <v>Female</v>
      </c>
      <c r="C1333" s="8">
        <v>44</v>
      </c>
      <c r="D1333" t="str">
        <f t="shared" si="124"/>
        <v>Middle Age</v>
      </c>
      <c r="E1333">
        <v>1</v>
      </c>
      <c r="F1333" t="str">
        <f>HLOOKUP(E1333, LookUP_Table!$A$6:$D$7, 2, FALSE)</f>
        <v>Primary</v>
      </c>
      <c r="G1333" t="str">
        <f>IFERROR(VLOOKUP(E1333, LookUP_Table!$A$1:$B$4, 2, FALSE), "")</f>
        <v>Primary</v>
      </c>
      <c r="H1333">
        <v>0</v>
      </c>
      <c r="I1333">
        <v>0</v>
      </c>
      <c r="J1333" t="str">
        <f t="shared" si="120"/>
        <v>Non-Smoker</v>
      </c>
      <c r="K1333">
        <v>0</v>
      </c>
      <c r="L1333">
        <v>0</v>
      </c>
      <c r="M1333">
        <v>0</v>
      </c>
      <c r="N1333">
        <v>0</v>
      </c>
      <c r="O1333">
        <v>192</v>
      </c>
      <c r="P1333" t="str">
        <f t="shared" si="121"/>
        <v>Normal</v>
      </c>
      <c r="Q1333">
        <v>112</v>
      </c>
      <c r="R1333">
        <v>62</v>
      </c>
      <c r="S1333">
        <v>30.47</v>
      </c>
      <c r="T1333" t="str">
        <f t="shared" si="122"/>
        <v>Obese</v>
      </c>
      <c r="U1333">
        <v>75</v>
      </c>
      <c r="V1333">
        <v>82</v>
      </c>
      <c r="W1333" t="str">
        <f t="shared" si="125"/>
        <v>Normal</v>
      </c>
      <c r="X1333">
        <v>0</v>
      </c>
    </row>
    <row r="1334" spans="1:24" ht="14.5" thickBot="1" x14ac:dyDescent="0.35">
      <c r="A1334">
        <v>1</v>
      </c>
      <c r="B1334" t="str">
        <f t="shared" si="123"/>
        <v>Male</v>
      </c>
      <c r="C1334" s="8">
        <v>44</v>
      </c>
      <c r="D1334" t="str">
        <f t="shared" si="124"/>
        <v>Middle Age</v>
      </c>
      <c r="E1334">
        <v>1</v>
      </c>
      <c r="F1334" t="str">
        <f>HLOOKUP(E1334, LookUP_Table!$A$6:$D$7, 2, FALSE)</f>
        <v>Primary</v>
      </c>
      <c r="G1334" t="str">
        <f>IFERROR(VLOOKUP(E1334, LookUP_Table!$A$1:$B$4, 2, FALSE), "")</f>
        <v>Primary</v>
      </c>
      <c r="H1334">
        <v>0</v>
      </c>
      <c r="I1334">
        <v>0</v>
      </c>
      <c r="J1334" t="str">
        <f t="shared" si="120"/>
        <v>Non-Smoker</v>
      </c>
      <c r="K1334">
        <v>0</v>
      </c>
      <c r="L1334">
        <v>0</v>
      </c>
      <c r="M1334">
        <v>0</v>
      </c>
      <c r="N1334">
        <v>0</v>
      </c>
      <c r="O1334">
        <v>273</v>
      </c>
      <c r="P1334" t="str">
        <f t="shared" si="121"/>
        <v>High</v>
      </c>
      <c r="Q1334">
        <v>120</v>
      </c>
      <c r="R1334">
        <v>80</v>
      </c>
      <c r="S1334">
        <v>29.89</v>
      </c>
      <c r="T1334" t="str">
        <f t="shared" si="122"/>
        <v>Overweight</v>
      </c>
      <c r="U1334">
        <v>76</v>
      </c>
      <c r="V1334">
        <v>87</v>
      </c>
      <c r="W1334" t="str">
        <f t="shared" si="125"/>
        <v>Normal</v>
      </c>
      <c r="X1334">
        <v>0</v>
      </c>
    </row>
    <row r="1335" spans="1:24" ht="14.5" thickBot="1" x14ac:dyDescent="0.35">
      <c r="A1335">
        <v>1</v>
      </c>
      <c r="B1335" t="str">
        <f t="shared" si="123"/>
        <v>Male</v>
      </c>
      <c r="C1335" s="8">
        <v>44</v>
      </c>
      <c r="D1335" t="str">
        <f t="shared" si="124"/>
        <v>Middle Age</v>
      </c>
      <c r="E1335">
        <v>1</v>
      </c>
      <c r="F1335" t="str">
        <f>HLOOKUP(E1335, LookUP_Table!$A$6:$D$7, 2, FALSE)</f>
        <v>Primary</v>
      </c>
      <c r="G1335" t="str">
        <f>IFERROR(VLOOKUP(E1335, LookUP_Table!$A$1:$B$4, 2, FALSE), "")</f>
        <v>Primary</v>
      </c>
      <c r="H1335">
        <v>1</v>
      </c>
      <c r="I1335">
        <v>20</v>
      </c>
      <c r="J1335" t="str">
        <f t="shared" si="120"/>
        <v>Smoker</v>
      </c>
      <c r="K1335">
        <v>0</v>
      </c>
      <c r="L1335">
        <v>0</v>
      </c>
      <c r="M1335">
        <v>0</v>
      </c>
      <c r="N1335">
        <v>0</v>
      </c>
      <c r="O1335">
        <v>163</v>
      </c>
      <c r="P1335" t="str">
        <f t="shared" si="121"/>
        <v>Normal</v>
      </c>
      <c r="Q1335">
        <v>105</v>
      </c>
      <c r="R1335">
        <v>72.5</v>
      </c>
      <c r="S1335">
        <v>21.02</v>
      </c>
      <c r="T1335" t="str">
        <f t="shared" si="122"/>
        <v>Normal</v>
      </c>
      <c r="U1335">
        <v>67</v>
      </c>
      <c r="V1335">
        <v>62</v>
      </c>
      <c r="W1335" t="str">
        <f t="shared" si="125"/>
        <v>Normal</v>
      </c>
      <c r="X1335">
        <v>0</v>
      </c>
    </row>
    <row r="1336" spans="1:24" ht="14.5" thickBot="1" x14ac:dyDescent="0.35">
      <c r="A1336">
        <v>0</v>
      </c>
      <c r="B1336" t="str">
        <f t="shared" si="123"/>
        <v>Female</v>
      </c>
      <c r="C1336" s="8">
        <v>44</v>
      </c>
      <c r="D1336" t="str">
        <f t="shared" si="124"/>
        <v>Middle Age</v>
      </c>
      <c r="E1336">
        <v>1</v>
      </c>
      <c r="F1336" t="str">
        <f>HLOOKUP(E1336, LookUP_Table!$A$6:$D$7, 2, FALSE)</f>
        <v>Primary</v>
      </c>
      <c r="G1336" t="str">
        <f>IFERROR(VLOOKUP(E1336, LookUP_Table!$A$1:$B$4, 2, FALSE), "")</f>
        <v>Primary</v>
      </c>
      <c r="H1336">
        <v>0</v>
      </c>
      <c r="I1336">
        <v>0</v>
      </c>
      <c r="J1336" t="str">
        <f t="shared" si="120"/>
        <v>Non-Smoker</v>
      </c>
      <c r="K1336">
        <v>0</v>
      </c>
      <c r="L1336">
        <v>0</v>
      </c>
      <c r="M1336">
        <v>0</v>
      </c>
      <c r="N1336">
        <v>0</v>
      </c>
      <c r="O1336">
        <v>240</v>
      </c>
      <c r="P1336" t="str">
        <f t="shared" si="121"/>
        <v>Normal</v>
      </c>
      <c r="Q1336">
        <v>127.5</v>
      </c>
      <c r="R1336">
        <v>87</v>
      </c>
      <c r="S1336">
        <v>22.19</v>
      </c>
      <c r="T1336" t="str">
        <f t="shared" si="122"/>
        <v>Normal</v>
      </c>
      <c r="U1336">
        <v>60</v>
      </c>
      <c r="V1336">
        <v>81.96365524402907</v>
      </c>
      <c r="W1336" t="str">
        <f t="shared" si="125"/>
        <v>Normal</v>
      </c>
      <c r="X1336">
        <v>0</v>
      </c>
    </row>
    <row r="1337" spans="1:24" ht="14.5" thickBot="1" x14ac:dyDescent="0.35">
      <c r="A1337">
        <v>0</v>
      </c>
      <c r="B1337" t="str">
        <f t="shared" si="123"/>
        <v>Female</v>
      </c>
      <c r="C1337" s="8">
        <v>44</v>
      </c>
      <c r="D1337" t="str">
        <f t="shared" si="124"/>
        <v>Middle Age</v>
      </c>
      <c r="E1337">
        <v>4</v>
      </c>
      <c r="F1337" t="str">
        <f>HLOOKUP(E1337, LookUP_Table!$A$6:$D$7, 2, FALSE)</f>
        <v>Post Graduate</v>
      </c>
      <c r="G1337" t="str">
        <f>IFERROR(VLOOKUP(E1337, LookUP_Table!$A$1:$B$4, 2, FALSE), "")</f>
        <v>Post Graduate</v>
      </c>
      <c r="H1337">
        <v>1</v>
      </c>
      <c r="I1337">
        <v>5</v>
      </c>
      <c r="J1337" t="str">
        <f t="shared" si="120"/>
        <v>Smoker</v>
      </c>
      <c r="K1337">
        <v>0</v>
      </c>
      <c r="L1337">
        <v>0</v>
      </c>
      <c r="M1337">
        <v>0</v>
      </c>
      <c r="N1337">
        <v>0</v>
      </c>
      <c r="O1337">
        <v>265</v>
      </c>
      <c r="P1337" t="str">
        <f t="shared" si="121"/>
        <v>High</v>
      </c>
      <c r="Q1337">
        <v>110</v>
      </c>
      <c r="R1337">
        <v>78</v>
      </c>
      <c r="S1337">
        <v>20.88</v>
      </c>
      <c r="T1337" t="str">
        <f t="shared" si="122"/>
        <v>Normal</v>
      </c>
      <c r="U1337">
        <v>60</v>
      </c>
      <c r="V1337">
        <v>68</v>
      </c>
      <c r="W1337" t="str">
        <f t="shared" si="125"/>
        <v>Normal</v>
      </c>
      <c r="X1337">
        <v>0</v>
      </c>
    </row>
    <row r="1338" spans="1:24" ht="14.5" thickBot="1" x14ac:dyDescent="0.35">
      <c r="A1338">
        <v>1</v>
      </c>
      <c r="B1338" t="str">
        <f t="shared" si="123"/>
        <v>Male</v>
      </c>
      <c r="C1338" s="8">
        <v>44</v>
      </c>
      <c r="D1338" t="str">
        <f t="shared" si="124"/>
        <v>Middle Age</v>
      </c>
      <c r="E1338">
        <v>4</v>
      </c>
      <c r="F1338" t="str">
        <f>HLOOKUP(E1338, LookUP_Table!$A$6:$D$7, 2, FALSE)</f>
        <v>Post Graduate</v>
      </c>
      <c r="G1338" t="str">
        <f>IFERROR(VLOOKUP(E1338, LookUP_Table!$A$1:$B$4, 2, FALSE), "")</f>
        <v>Post Graduate</v>
      </c>
      <c r="H1338">
        <v>0</v>
      </c>
      <c r="I1338">
        <v>0</v>
      </c>
      <c r="J1338" t="str">
        <f t="shared" si="120"/>
        <v>Non-Smoker</v>
      </c>
      <c r="K1338">
        <v>0</v>
      </c>
      <c r="L1338">
        <v>0</v>
      </c>
      <c r="M1338">
        <v>1</v>
      </c>
      <c r="N1338">
        <v>0</v>
      </c>
      <c r="O1338">
        <v>249</v>
      </c>
      <c r="P1338" t="str">
        <f t="shared" si="121"/>
        <v>High</v>
      </c>
      <c r="Q1338">
        <v>182</v>
      </c>
      <c r="R1338">
        <v>111</v>
      </c>
      <c r="S1338">
        <v>39.04</v>
      </c>
      <c r="T1338" t="str">
        <f t="shared" si="122"/>
        <v>Obese</v>
      </c>
      <c r="U1338">
        <v>90</v>
      </c>
      <c r="V1338">
        <v>67</v>
      </c>
      <c r="W1338" t="str">
        <f t="shared" si="125"/>
        <v>Normal</v>
      </c>
      <c r="X1338">
        <v>0</v>
      </c>
    </row>
    <row r="1339" spans="1:24" ht="14.5" thickBot="1" x14ac:dyDescent="0.35">
      <c r="A1339">
        <v>1</v>
      </c>
      <c r="B1339" t="str">
        <f t="shared" si="123"/>
        <v>Male</v>
      </c>
      <c r="C1339" s="8">
        <v>44</v>
      </c>
      <c r="D1339" t="str">
        <f t="shared" si="124"/>
        <v>Middle Age</v>
      </c>
      <c r="E1339">
        <v>2</v>
      </c>
      <c r="F1339" t="str">
        <f>HLOOKUP(E1339, LookUP_Table!$A$6:$D$7, 2, FALSE)</f>
        <v>Secondary</v>
      </c>
      <c r="G1339" t="str">
        <f>IFERROR(VLOOKUP(E1339, LookUP_Table!$A$1:$B$4, 2, FALSE), "")</f>
        <v>Secondary</v>
      </c>
      <c r="H1339">
        <v>1</v>
      </c>
      <c r="I1339">
        <v>15</v>
      </c>
      <c r="J1339" t="str">
        <f t="shared" si="120"/>
        <v>Smoker</v>
      </c>
      <c r="K1339">
        <v>0</v>
      </c>
      <c r="L1339">
        <v>0</v>
      </c>
      <c r="M1339">
        <v>0</v>
      </c>
      <c r="N1339">
        <v>0</v>
      </c>
      <c r="O1339">
        <v>209</v>
      </c>
      <c r="P1339" t="str">
        <f t="shared" si="121"/>
        <v>Normal</v>
      </c>
      <c r="Q1339">
        <v>127</v>
      </c>
      <c r="R1339">
        <v>86</v>
      </c>
      <c r="S1339">
        <v>26.41</v>
      </c>
      <c r="T1339" t="str">
        <f t="shared" si="122"/>
        <v>Overweight</v>
      </c>
      <c r="U1339">
        <v>85</v>
      </c>
      <c r="V1339">
        <v>88</v>
      </c>
      <c r="W1339" t="str">
        <f t="shared" si="125"/>
        <v>Normal</v>
      </c>
      <c r="X1339">
        <v>0</v>
      </c>
    </row>
    <row r="1340" spans="1:24" ht="14.5" thickBot="1" x14ac:dyDescent="0.35">
      <c r="A1340">
        <v>1</v>
      </c>
      <c r="B1340" t="str">
        <f t="shared" si="123"/>
        <v>Male</v>
      </c>
      <c r="C1340" s="8">
        <v>44</v>
      </c>
      <c r="D1340" t="str">
        <f t="shared" si="124"/>
        <v>Middle Age</v>
      </c>
      <c r="E1340">
        <v>2</v>
      </c>
      <c r="F1340" t="str">
        <f>HLOOKUP(E1340, LookUP_Table!$A$6:$D$7, 2, FALSE)</f>
        <v>Secondary</v>
      </c>
      <c r="G1340" t="str">
        <f>IFERROR(VLOOKUP(E1340, LookUP_Table!$A$1:$B$4, 2, FALSE), "")</f>
        <v>Secondary</v>
      </c>
      <c r="H1340">
        <v>1</v>
      </c>
      <c r="I1340">
        <v>30</v>
      </c>
      <c r="J1340" t="str">
        <f t="shared" si="120"/>
        <v>Smoker</v>
      </c>
      <c r="K1340">
        <v>0</v>
      </c>
      <c r="L1340">
        <v>0</v>
      </c>
      <c r="M1340">
        <v>0</v>
      </c>
      <c r="N1340">
        <v>0</v>
      </c>
      <c r="O1340">
        <v>339</v>
      </c>
      <c r="P1340" t="str">
        <f t="shared" si="121"/>
        <v>High</v>
      </c>
      <c r="Q1340">
        <v>97</v>
      </c>
      <c r="R1340">
        <v>62</v>
      </c>
      <c r="S1340">
        <v>22.19</v>
      </c>
      <c r="T1340" t="str">
        <f t="shared" si="122"/>
        <v>Normal</v>
      </c>
      <c r="U1340">
        <v>90</v>
      </c>
      <c r="V1340">
        <v>85</v>
      </c>
      <c r="W1340" t="str">
        <f t="shared" si="125"/>
        <v>Normal</v>
      </c>
      <c r="X1340">
        <v>0</v>
      </c>
    </row>
    <row r="1341" spans="1:24" ht="14.5" thickBot="1" x14ac:dyDescent="0.35">
      <c r="A1341">
        <v>1</v>
      </c>
      <c r="B1341" t="str">
        <f t="shared" si="123"/>
        <v>Male</v>
      </c>
      <c r="C1341" s="8">
        <v>44</v>
      </c>
      <c r="D1341" t="str">
        <f t="shared" si="124"/>
        <v>Middle Age</v>
      </c>
      <c r="E1341">
        <v>1</v>
      </c>
      <c r="F1341" t="str">
        <f>HLOOKUP(E1341, LookUP_Table!$A$6:$D$7, 2, FALSE)</f>
        <v>Primary</v>
      </c>
      <c r="G1341" t="str">
        <f>IFERROR(VLOOKUP(E1341, LookUP_Table!$A$1:$B$4, 2, FALSE), "")</f>
        <v>Primary</v>
      </c>
      <c r="H1341">
        <v>1</v>
      </c>
      <c r="I1341">
        <v>20</v>
      </c>
      <c r="J1341" t="str">
        <f t="shared" si="120"/>
        <v>Smoker</v>
      </c>
      <c r="K1341">
        <v>0</v>
      </c>
      <c r="L1341">
        <v>0</v>
      </c>
      <c r="M1341">
        <v>0</v>
      </c>
      <c r="N1341">
        <v>0</v>
      </c>
      <c r="O1341">
        <v>258</v>
      </c>
      <c r="P1341" t="str">
        <f t="shared" si="121"/>
        <v>High</v>
      </c>
      <c r="Q1341">
        <v>116</v>
      </c>
      <c r="R1341">
        <v>67</v>
      </c>
      <c r="S1341">
        <v>28.3</v>
      </c>
      <c r="T1341" t="str">
        <f t="shared" si="122"/>
        <v>Overweight</v>
      </c>
      <c r="U1341">
        <v>75</v>
      </c>
      <c r="V1341">
        <v>79</v>
      </c>
      <c r="W1341" t="str">
        <f t="shared" si="125"/>
        <v>Normal</v>
      </c>
      <c r="X1341">
        <v>0</v>
      </c>
    </row>
    <row r="1342" spans="1:24" ht="14.5" thickBot="1" x14ac:dyDescent="0.35">
      <c r="A1342">
        <v>1</v>
      </c>
      <c r="B1342" t="str">
        <f t="shared" si="123"/>
        <v>Male</v>
      </c>
      <c r="C1342" s="8">
        <v>44</v>
      </c>
      <c r="D1342" t="str">
        <f t="shared" si="124"/>
        <v>Middle Age</v>
      </c>
      <c r="E1342">
        <v>1</v>
      </c>
      <c r="F1342" t="str">
        <f>HLOOKUP(E1342, LookUP_Table!$A$6:$D$7, 2, FALSE)</f>
        <v>Primary</v>
      </c>
      <c r="G1342" t="str">
        <f>IFERROR(VLOOKUP(E1342, LookUP_Table!$A$1:$B$4, 2, FALSE), "")</f>
        <v>Primary</v>
      </c>
      <c r="H1342">
        <v>1</v>
      </c>
      <c r="I1342">
        <v>20</v>
      </c>
      <c r="J1342" t="str">
        <f t="shared" si="120"/>
        <v>Smoker</v>
      </c>
      <c r="K1342">
        <v>0</v>
      </c>
      <c r="L1342">
        <v>0</v>
      </c>
      <c r="M1342">
        <v>0</v>
      </c>
      <c r="N1342">
        <v>0</v>
      </c>
      <c r="O1342">
        <v>193</v>
      </c>
      <c r="P1342" t="str">
        <f t="shared" si="121"/>
        <v>Normal</v>
      </c>
      <c r="Q1342">
        <v>134</v>
      </c>
      <c r="R1342">
        <v>88</v>
      </c>
      <c r="S1342">
        <v>23.77</v>
      </c>
      <c r="T1342" t="str">
        <f t="shared" si="122"/>
        <v>Normal</v>
      </c>
      <c r="U1342">
        <v>75</v>
      </c>
      <c r="V1342">
        <v>77</v>
      </c>
      <c r="W1342" t="str">
        <f t="shared" si="125"/>
        <v>Normal</v>
      </c>
      <c r="X1342">
        <v>0</v>
      </c>
    </row>
    <row r="1343" spans="1:24" ht="14.5" thickBot="1" x14ac:dyDescent="0.35">
      <c r="A1343">
        <v>0</v>
      </c>
      <c r="B1343" t="str">
        <f t="shared" si="123"/>
        <v>Female</v>
      </c>
      <c r="C1343" s="8">
        <v>44</v>
      </c>
      <c r="D1343" t="str">
        <f t="shared" si="124"/>
        <v>Middle Age</v>
      </c>
      <c r="E1343">
        <v>1</v>
      </c>
      <c r="F1343" t="str">
        <f>HLOOKUP(E1343, LookUP_Table!$A$6:$D$7, 2, FALSE)</f>
        <v>Primary</v>
      </c>
      <c r="G1343" t="str">
        <f>IFERROR(VLOOKUP(E1343, LookUP_Table!$A$1:$B$4, 2, FALSE), "")</f>
        <v>Primary</v>
      </c>
      <c r="H1343">
        <v>1</v>
      </c>
      <c r="I1343">
        <v>5</v>
      </c>
      <c r="J1343" t="str">
        <f t="shared" si="120"/>
        <v>Smoker</v>
      </c>
      <c r="K1343">
        <v>0</v>
      </c>
      <c r="L1343">
        <v>0</v>
      </c>
      <c r="M1343">
        <v>0</v>
      </c>
      <c r="N1343">
        <v>0</v>
      </c>
      <c r="O1343">
        <v>205</v>
      </c>
      <c r="P1343" t="str">
        <f t="shared" si="121"/>
        <v>Normal</v>
      </c>
      <c r="Q1343">
        <v>120</v>
      </c>
      <c r="R1343">
        <v>83.5</v>
      </c>
      <c r="S1343">
        <v>24.3</v>
      </c>
      <c r="T1343" t="str">
        <f t="shared" si="122"/>
        <v>Normal</v>
      </c>
      <c r="U1343">
        <v>67</v>
      </c>
      <c r="V1343">
        <v>77</v>
      </c>
      <c r="W1343" t="str">
        <f t="shared" si="125"/>
        <v>Normal</v>
      </c>
      <c r="X1343">
        <v>0</v>
      </c>
    </row>
    <row r="1344" spans="1:24" ht="14.5" thickBot="1" x14ac:dyDescent="0.35">
      <c r="A1344">
        <v>1</v>
      </c>
      <c r="B1344" t="str">
        <f t="shared" si="123"/>
        <v>Male</v>
      </c>
      <c r="C1344" s="8">
        <v>44</v>
      </c>
      <c r="D1344" t="str">
        <f t="shared" si="124"/>
        <v>Middle Age</v>
      </c>
      <c r="E1344">
        <v>1</v>
      </c>
      <c r="F1344" t="str">
        <f>HLOOKUP(E1344, LookUP_Table!$A$6:$D$7, 2, FALSE)</f>
        <v>Primary</v>
      </c>
      <c r="G1344" t="str">
        <f>IFERROR(VLOOKUP(E1344, LookUP_Table!$A$1:$B$4, 2, FALSE), "")</f>
        <v>Primary</v>
      </c>
      <c r="H1344">
        <v>1</v>
      </c>
      <c r="I1344">
        <v>20</v>
      </c>
      <c r="J1344" t="str">
        <f t="shared" si="120"/>
        <v>Smoker</v>
      </c>
      <c r="K1344">
        <v>0</v>
      </c>
      <c r="L1344">
        <v>0</v>
      </c>
      <c r="M1344">
        <v>0</v>
      </c>
      <c r="N1344">
        <v>0</v>
      </c>
      <c r="O1344">
        <v>213</v>
      </c>
      <c r="P1344" t="str">
        <f t="shared" si="121"/>
        <v>Normal</v>
      </c>
      <c r="Q1344">
        <v>116</v>
      </c>
      <c r="R1344">
        <v>77.5</v>
      </c>
      <c r="S1344">
        <v>26.09</v>
      </c>
      <c r="T1344" t="str">
        <f t="shared" si="122"/>
        <v>Overweight</v>
      </c>
      <c r="U1344">
        <v>75</v>
      </c>
      <c r="V1344">
        <v>83</v>
      </c>
      <c r="W1344" t="str">
        <f t="shared" si="125"/>
        <v>Normal</v>
      </c>
      <c r="X1344">
        <v>0</v>
      </c>
    </row>
    <row r="1345" spans="1:24" ht="14.5" thickBot="1" x14ac:dyDescent="0.35">
      <c r="A1345">
        <v>0</v>
      </c>
      <c r="B1345" t="str">
        <f t="shared" si="123"/>
        <v>Female</v>
      </c>
      <c r="C1345" s="8">
        <v>44</v>
      </c>
      <c r="D1345" t="str">
        <f t="shared" si="124"/>
        <v>Middle Age</v>
      </c>
      <c r="E1345">
        <v>1</v>
      </c>
      <c r="F1345" t="str">
        <f>HLOOKUP(E1345, LookUP_Table!$A$6:$D$7, 2, FALSE)</f>
        <v>Primary</v>
      </c>
      <c r="G1345" t="str">
        <f>IFERROR(VLOOKUP(E1345, LookUP_Table!$A$1:$B$4, 2, FALSE), "")</f>
        <v>Primary</v>
      </c>
      <c r="H1345">
        <v>1</v>
      </c>
      <c r="I1345">
        <v>10</v>
      </c>
      <c r="J1345" t="str">
        <f t="shared" si="120"/>
        <v>Smoker</v>
      </c>
      <c r="K1345">
        <v>0</v>
      </c>
      <c r="L1345">
        <v>0</v>
      </c>
      <c r="M1345">
        <v>1</v>
      </c>
      <c r="N1345">
        <v>0</v>
      </c>
      <c r="O1345">
        <v>229</v>
      </c>
      <c r="P1345" t="str">
        <f t="shared" si="121"/>
        <v>Normal</v>
      </c>
      <c r="Q1345">
        <v>146</v>
      </c>
      <c r="R1345">
        <v>78</v>
      </c>
      <c r="S1345">
        <v>25.25</v>
      </c>
      <c r="T1345" t="str">
        <f t="shared" si="122"/>
        <v>Overweight</v>
      </c>
      <c r="U1345">
        <v>69</v>
      </c>
      <c r="V1345">
        <v>75</v>
      </c>
      <c r="W1345" t="str">
        <f t="shared" si="125"/>
        <v>Normal</v>
      </c>
      <c r="X1345">
        <v>0</v>
      </c>
    </row>
    <row r="1346" spans="1:24" ht="14.5" thickBot="1" x14ac:dyDescent="0.35">
      <c r="A1346">
        <v>0</v>
      </c>
      <c r="B1346" t="str">
        <f t="shared" si="123"/>
        <v>Female</v>
      </c>
      <c r="C1346" s="8">
        <v>44</v>
      </c>
      <c r="D1346" t="str">
        <f t="shared" si="124"/>
        <v>Middle Age</v>
      </c>
      <c r="E1346">
        <v>1</v>
      </c>
      <c r="F1346" t="str">
        <f>HLOOKUP(E1346, LookUP_Table!$A$6:$D$7, 2, FALSE)</f>
        <v>Primary</v>
      </c>
      <c r="G1346" t="str">
        <f>IFERROR(VLOOKUP(E1346, LookUP_Table!$A$1:$B$4, 2, FALSE), "")</f>
        <v>Primary</v>
      </c>
      <c r="H1346">
        <v>1</v>
      </c>
      <c r="I1346">
        <v>9</v>
      </c>
      <c r="J1346" t="str">
        <f t="shared" ref="J1346:J1409" si="126">IF(I1346&gt;0,"Smoker","Non-Smoker")</f>
        <v>Smoker</v>
      </c>
      <c r="K1346">
        <v>0</v>
      </c>
      <c r="L1346">
        <v>0</v>
      </c>
      <c r="M1346">
        <v>0</v>
      </c>
      <c r="N1346">
        <v>0</v>
      </c>
      <c r="O1346">
        <v>212</v>
      </c>
      <c r="P1346" t="str">
        <f t="shared" ref="P1346:P1409" si="127">IF(O1346&gt;240,"High","Normal")</f>
        <v>Normal</v>
      </c>
      <c r="Q1346">
        <v>128</v>
      </c>
      <c r="R1346">
        <v>81.5</v>
      </c>
      <c r="S1346">
        <v>27.51</v>
      </c>
      <c r="T1346" t="str">
        <f t="shared" ref="T1346:T1409" si="128">IF(S1346&lt;18.5,"Underweight",
IF(S1346&lt;25,"Normal",
IF(S1346&lt;30,"Overweight","Obese")))</f>
        <v>Overweight</v>
      </c>
      <c r="U1346">
        <v>80</v>
      </c>
      <c r="V1346">
        <v>87</v>
      </c>
      <c r="W1346" t="str">
        <f t="shared" si="125"/>
        <v>Normal</v>
      </c>
      <c r="X1346">
        <v>0</v>
      </c>
    </row>
    <row r="1347" spans="1:24" ht="14.5" thickBot="1" x14ac:dyDescent="0.35">
      <c r="A1347">
        <v>0</v>
      </c>
      <c r="B1347" t="str">
        <f t="shared" ref="B1347:B1410" si="129">IF(A1347=0,"Female","Male")</f>
        <v>Female</v>
      </c>
      <c r="C1347" s="8">
        <v>44</v>
      </c>
      <c r="D1347" t="str">
        <f t="shared" ref="D1347:D1410" si="130">IF(C1347&lt;40,"Young",
IF(C1347&lt;55,"Middle Age","Senior"))</f>
        <v>Middle Age</v>
      </c>
      <c r="E1347">
        <v>2</v>
      </c>
      <c r="F1347" t="str">
        <f>HLOOKUP(E1347, LookUP_Table!$A$6:$D$7, 2, FALSE)</f>
        <v>Secondary</v>
      </c>
      <c r="G1347" t="str">
        <f>IFERROR(VLOOKUP(E1347, LookUP_Table!$A$1:$B$4, 2, FALSE), "")</f>
        <v>Secondary</v>
      </c>
      <c r="H1347">
        <v>1</v>
      </c>
      <c r="I1347">
        <v>3</v>
      </c>
      <c r="J1347" t="str">
        <f t="shared" si="126"/>
        <v>Smoker</v>
      </c>
      <c r="K1347">
        <v>0</v>
      </c>
      <c r="L1347">
        <v>0</v>
      </c>
      <c r="M1347">
        <v>0</v>
      </c>
      <c r="N1347">
        <v>0</v>
      </c>
      <c r="O1347">
        <v>288</v>
      </c>
      <c r="P1347" t="str">
        <f t="shared" si="127"/>
        <v>High</v>
      </c>
      <c r="Q1347">
        <v>150</v>
      </c>
      <c r="R1347">
        <v>89</v>
      </c>
      <c r="S1347">
        <v>21.11</v>
      </c>
      <c r="T1347" t="str">
        <f t="shared" si="128"/>
        <v>Normal</v>
      </c>
      <c r="U1347">
        <v>90</v>
      </c>
      <c r="V1347">
        <v>97</v>
      </c>
      <c r="W1347" t="str">
        <f t="shared" ref="W1347:W1410" si="131">IF(V1347 &lt; 100, "Normal", IF(V1347 &lt;= 125, "Prediabetes", "Diabetes"))</f>
        <v>Normal</v>
      </c>
      <c r="X1347">
        <v>0</v>
      </c>
    </row>
    <row r="1348" spans="1:24" ht="14.5" thickBot="1" x14ac:dyDescent="0.35">
      <c r="A1348">
        <v>0</v>
      </c>
      <c r="B1348" t="str">
        <f t="shared" si="129"/>
        <v>Female</v>
      </c>
      <c r="C1348" s="8">
        <v>44</v>
      </c>
      <c r="D1348" t="str">
        <f t="shared" si="130"/>
        <v>Middle Age</v>
      </c>
      <c r="E1348">
        <v>1</v>
      </c>
      <c r="F1348" t="str">
        <f>HLOOKUP(E1348, LookUP_Table!$A$6:$D$7, 2, FALSE)</f>
        <v>Primary</v>
      </c>
      <c r="G1348" t="str">
        <f>IFERROR(VLOOKUP(E1348, LookUP_Table!$A$1:$B$4, 2, FALSE), "")</f>
        <v>Primary</v>
      </c>
      <c r="H1348">
        <v>1</v>
      </c>
      <c r="I1348">
        <v>5</v>
      </c>
      <c r="J1348" t="str">
        <f t="shared" si="126"/>
        <v>Smoker</v>
      </c>
      <c r="K1348">
        <v>0</v>
      </c>
      <c r="L1348">
        <v>0</v>
      </c>
      <c r="M1348">
        <v>0</v>
      </c>
      <c r="N1348">
        <v>0</v>
      </c>
      <c r="O1348">
        <v>214</v>
      </c>
      <c r="P1348" t="str">
        <f t="shared" si="127"/>
        <v>Normal</v>
      </c>
      <c r="Q1348">
        <v>102</v>
      </c>
      <c r="R1348">
        <v>68</v>
      </c>
      <c r="S1348">
        <v>32.82</v>
      </c>
      <c r="T1348" t="str">
        <f t="shared" si="128"/>
        <v>Obese</v>
      </c>
      <c r="U1348">
        <v>88</v>
      </c>
      <c r="V1348">
        <v>80</v>
      </c>
      <c r="W1348" t="str">
        <f t="shared" si="131"/>
        <v>Normal</v>
      </c>
      <c r="X1348">
        <v>0</v>
      </c>
    </row>
    <row r="1349" spans="1:24" ht="14.5" thickBot="1" x14ac:dyDescent="0.35">
      <c r="A1349">
        <v>1</v>
      </c>
      <c r="B1349" t="str">
        <f t="shared" si="129"/>
        <v>Male</v>
      </c>
      <c r="C1349" s="8">
        <v>44</v>
      </c>
      <c r="D1349" t="str">
        <f t="shared" si="130"/>
        <v>Middle Age</v>
      </c>
      <c r="E1349">
        <v>4</v>
      </c>
      <c r="F1349" t="str">
        <f>HLOOKUP(E1349, LookUP_Table!$A$6:$D$7, 2, FALSE)</f>
        <v>Post Graduate</v>
      </c>
      <c r="G1349" t="str">
        <f>IFERROR(VLOOKUP(E1349, LookUP_Table!$A$1:$B$4, 2, FALSE), "")</f>
        <v>Post Graduate</v>
      </c>
      <c r="H1349">
        <v>1</v>
      </c>
      <c r="I1349">
        <v>43</v>
      </c>
      <c r="J1349" t="str">
        <f t="shared" si="126"/>
        <v>Smoker</v>
      </c>
      <c r="K1349">
        <v>0</v>
      </c>
      <c r="L1349">
        <v>0</v>
      </c>
      <c r="M1349">
        <v>0</v>
      </c>
      <c r="N1349">
        <v>0</v>
      </c>
      <c r="O1349">
        <v>275</v>
      </c>
      <c r="P1349" t="str">
        <f t="shared" si="127"/>
        <v>High</v>
      </c>
      <c r="Q1349">
        <v>127</v>
      </c>
      <c r="R1349">
        <v>82.5</v>
      </c>
      <c r="S1349">
        <v>27.43</v>
      </c>
      <c r="T1349" t="str">
        <f t="shared" si="128"/>
        <v>Overweight</v>
      </c>
      <c r="U1349">
        <v>77</v>
      </c>
      <c r="V1349">
        <v>76</v>
      </c>
      <c r="W1349" t="str">
        <f t="shared" si="131"/>
        <v>Normal</v>
      </c>
      <c r="X1349">
        <v>0</v>
      </c>
    </row>
    <row r="1350" spans="1:24" ht="14.5" thickBot="1" x14ac:dyDescent="0.35">
      <c r="A1350">
        <v>0</v>
      </c>
      <c r="B1350" t="str">
        <f t="shared" si="129"/>
        <v>Female</v>
      </c>
      <c r="C1350" s="8">
        <v>44</v>
      </c>
      <c r="D1350" t="str">
        <f t="shared" si="130"/>
        <v>Middle Age</v>
      </c>
      <c r="E1350">
        <v>1</v>
      </c>
      <c r="F1350" t="str">
        <f>HLOOKUP(E1350, LookUP_Table!$A$6:$D$7, 2, FALSE)</f>
        <v>Primary</v>
      </c>
      <c r="G1350" t="str">
        <f>IFERROR(VLOOKUP(E1350, LookUP_Table!$A$1:$B$4, 2, FALSE), "")</f>
        <v>Primary</v>
      </c>
      <c r="H1350">
        <v>0</v>
      </c>
      <c r="I1350">
        <v>0</v>
      </c>
      <c r="J1350" t="str">
        <f t="shared" si="126"/>
        <v>Non-Smoker</v>
      </c>
      <c r="K1350">
        <v>0</v>
      </c>
      <c r="L1350">
        <v>0</v>
      </c>
      <c r="M1350">
        <v>0</v>
      </c>
      <c r="N1350">
        <v>0</v>
      </c>
      <c r="O1350">
        <v>242</v>
      </c>
      <c r="P1350" t="str">
        <f t="shared" si="127"/>
        <v>High</v>
      </c>
      <c r="Q1350">
        <v>124</v>
      </c>
      <c r="R1350">
        <v>72.5</v>
      </c>
      <c r="S1350">
        <v>23.07</v>
      </c>
      <c r="T1350" t="str">
        <f t="shared" si="128"/>
        <v>Normal</v>
      </c>
      <c r="U1350">
        <v>67</v>
      </c>
      <c r="V1350">
        <v>83</v>
      </c>
      <c r="W1350" t="str">
        <f t="shared" si="131"/>
        <v>Normal</v>
      </c>
      <c r="X1350">
        <v>0</v>
      </c>
    </row>
    <row r="1351" spans="1:24" ht="14.5" thickBot="1" x14ac:dyDescent="0.35">
      <c r="A1351">
        <v>1</v>
      </c>
      <c r="B1351" t="str">
        <f t="shared" si="129"/>
        <v>Male</v>
      </c>
      <c r="C1351" s="8">
        <v>44</v>
      </c>
      <c r="D1351" t="str">
        <f t="shared" si="130"/>
        <v>Middle Age</v>
      </c>
      <c r="E1351">
        <v>4</v>
      </c>
      <c r="F1351" t="str">
        <f>HLOOKUP(E1351, LookUP_Table!$A$6:$D$7, 2, FALSE)</f>
        <v>Post Graduate</v>
      </c>
      <c r="G1351" t="str">
        <f>IFERROR(VLOOKUP(E1351, LookUP_Table!$A$1:$B$4, 2, FALSE), "")</f>
        <v>Post Graduate</v>
      </c>
      <c r="H1351">
        <v>0</v>
      </c>
      <c r="I1351">
        <v>0</v>
      </c>
      <c r="J1351" t="str">
        <f t="shared" si="126"/>
        <v>Non-Smoker</v>
      </c>
      <c r="K1351">
        <v>0</v>
      </c>
      <c r="L1351">
        <v>0</v>
      </c>
      <c r="M1351">
        <v>0</v>
      </c>
      <c r="N1351">
        <v>0</v>
      </c>
      <c r="O1351">
        <v>201</v>
      </c>
      <c r="P1351" t="str">
        <f t="shared" si="127"/>
        <v>Normal</v>
      </c>
      <c r="Q1351">
        <v>120</v>
      </c>
      <c r="R1351">
        <v>81</v>
      </c>
      <c r="S1351">
        <v>26.49</v>
      </c>
      <c r="T1351" t="str">
        <f t="shared" si="128"/>
        <v>Overweight</v>
      </c>
      <c r="U1351">
        <v>70</v>
      </c>
      <c r="V1351">
        <v>78</v>
      </c>
      <c r="W1351" t="str">
        <f t="shared" si="131"/>
        <v>Normal</v>
      </c>
      <c r="X1351">
        <v>0</v>
      </c>
    </row>
    <row r="1352" spans="1:24" ht="14.5" thickBot="1" x14ac:dyDescent="0.35">
      <c r="A1352">
        <v>0</v>
      </c>
      <c r="B1352" t="str">
        <f t="shared" si="129"/>
        <v>Female</v>
      </c>
      <c r="C1352" s="8">
        <v>44</v>
      </c>
      <c r="D1352" t="str">
        <f t="shared" si="130"/>
        <v>Middle Age</v>
      </c>
      <c r="E1352">
        <v>2</v>
      </c>
      <c r="F1352" t="str">
        <f>HLOOKUP(E1352, LookUP_Table!$A$6:$D$7, 2, FALSE)</f>
        <v>Secondary</v>
      </c>
      <c r="G1352" t="str">
        <f>IFERROR(VLOOKUP(E1352, LookUP_Table!$A$1:$B$4, 2, FALSE), "")</f>
        <v>Secondary</v>
      </c>
      <c r="H1352">
        <v>1</v>
      </c>
      <c r="I1352">
        <v>10</v>
      </c>
      <c r="J1352" t="str">
        <f t="shared" si="126"/>
        <v>Smoker</v>
      </c>
      <c r="K1352">
        <v>0</v>
      </c>
      <c r="L1352">
        <v>0</v>
      </c>
      <c r="M1352">
        <v>0</v>
      </c>
      <c r="N1352">
        <v>0</v>
      </c>
      <c r="O1352">
        <v>223</v>
      </c>
      <c r="P1352" t="str">
        <f t="shared" si="127"/>
        <v>Normal</v>
      </c>
      <c r="Q1352">
        <v>96</v>
      </c>
      <c r="R1352">
        <v>59</v>
      </c>
      <c r="S1352">
        <v>23.82</v>
      </c>
      <c r="T1352" t="str">
        <f t="shared" si="128"/>
        <v>Normal</v>
      </c>
      <c r="U1352">
        <v>67</v>
      </c>
      <c r="V1352">
        <v>87</v>
      </c>
      <c r="W1352" t="str">
        <f t="shared" si="131"/>
        <v>Normal</v>
      </c>
      <c r="X1352">
        <v>0</v>
      </c>
    </row>
    <row r="1353" spans="1:24" ht="14.5" thickBot="1" x14ac:dyDescent="0.35">
      <c r="A1353">
        <v>1</v>
      </c>
      <c r="B1353" t="str">
        <f t="shared" si="129"/>
        <v>Male</v>
      </c>
      <c r="C1353" s="8">
        <v>44</v>
      </c>
      <c r="D1353" t="str">
        <f t="shared" si="130"/>
        <v>Middle Age</v>
      </c>
      <c r="E1353">
        <v>2</v>
      </c>
      <c r="F1353" t="str">
        <f>HLOOKUP(E1353, LookUP_Table!$A$6:$D$7, 2, FALSE)</f>
        <v>Secondary</v>
      </c>
      <c r="G1353" t="str">
        <f>IFERROR(VLOOKUP(E1353, LookUP_Table!$A$1:$B$4, 2, FALSE), "")</f>
        <v>Secondary</v>
      </c>
      <c r="H1353">
        <v>1</v>
      </c>
      <c r="I1353">
        <v>20</v>
      </c>
      <c r="J1353" t="str">
        <f t="shared" si="126"/>
        <v>Smoker</v>
      </c>
      <c r="K1353">
        <v>0</v>
      </c>
      <c r="L1353">
        <v>0</v>
      </c>
      <c r="M1353">
        <v>0</v>
      </c>
      <c r="N1353">
        <v>0</v>
      </c>
      <c r="O1353">
        <v>246</v>
      </c>
      <c r="P1353" t="str">
        <f t="shared" si="127"/>
        <v>High</v>
      </c>
      <c r="Q1353">
        <v>142</v>
      </c>
      <c r="R1353">
        <v>92</v>
      </c>
      <c r="S1353">
        <v>23.85</v>
      </c>
      <c r="T1353" t="str">
        <f t="shared" si="128"/>
        <v>Normal</v>
      </c>
      <c r="U1353">
        <v>76</v>
      </c>
      <c r="V1353">
        <v>65</v>
      </c>
      <c r="W1353" t="str">
        <f t="shared" si="131"/>
        <v>Normal</v>
      </c>
      <c r="X1353">
        <v>1</v>
      </c>
    </row>
    <row r="1354" spans="1:24" ht="14.5" thickBot="1" x14ac:dyDescent="0.35">
      <c r="A1354">
        <v>0</v>
      </c>
      <c r="B1354" t="str">
        <f t="shared" si="129"/>
        <v>Female</v>
      </c>
      <c r="C1354" s="8">
        <v>44</v>
      </c>
      <c r="D1354" t="str">
        <f t="shared" si="130"/>
        <v>Middle Age</v>
      </c>
      <c r="E1354">
        <v>2</v>
      </c>
      <c r="F1354" t="str">
        <f>HLOOKUP(E1354, LookUP_Table!$A$6:$D$7, 2, FALSE)</f>
        <v>Secondary</v>
      </c>
      <c r="G1354" t="str">
        <f>IFERROR(VLOOKUP(E1354, LookUP_Table!$A$1:$B$4, 2, FALSE), "")</f>
        <v>Secondary</v>
      </c>
      <c r="H1354">
        <v>1</v>
      </c>
      <c r="I1354">
        <v>20</v>
      </c>
      <c r="J1354" t="str">
        <f t="shared" si="126"/>
        <v>Smoker</v>
      </c>
      <c r="K1354">
        <v>0</v>
      </c>
      <c r="L1354">
        <v>0</v>
      </c>
      <c r="M1354">
        <v>0</v>
      </c>
      <c r="N1354">
        <v>0</v>
      </c>
      <c r="O1354">
        <v>295</v>
      </c>
      <c r="P1354" t="str">
        <f t="shared" si="127"/>
        <v>High</v>
      </c>
      <c r="Q1354">
        <v>114</v>
      </c>
      <c r="R1354">
        <v>85</v>
      </c>
      <c r="S1354">
        <v>23.1</v>
      </c>
      <c r="T1354" t="str">
        <f t="shared" si="128"/>
        <v>Normal</v>
      </c>
      <c r="U1354">
        <v>85</v>
      </c>
      <c r="V1354">
        <v>84</v>
      </c>
      <c r="W1354" t="str">
        <f t="shared" si="131"/>
        <v>Normal</v>
      </c>
      <c r="X1354">
        <v>0</v>
      </c>
    </row>
    <row r="1355" spans="1:24" ht="14.5" thickBot="1" x14ac:dyDescent="0.35">
      <c r="A1355">
        <v>1</v>
      </c>
      <c r="B1355" t="str">
        <f t="shared" si="129"/>
        <v>Male</v>
      </c>
      <c r="C1355" s="8">
        <v>44</v>
      </c>
      <c r="D1355" t="str">
        <f t="shared" si="130"/>
        <v>Middle Age</v>
      </c>
      <c r="E1355">
        <v>4</v>
      </c>
      <c r="F1355" t="str">
        <f>HLOOKUP(E1355, LookUP_Table!$A$6:$D$7, 2, FALSE)</f>
        <v>Post Graduate</v>
      </c>
      <c r="G1355" t="str">
        <f>IFERROR(VLOOKUP(E1355, LookUP_Table!$A$1:$B$4, 2, FALSE), "")</f>
        <v>Post Graduate</v>
      </c>
      <c r="H1355">
        <v>1</v>
      </c>
      <c r="I1355">
        <v>25</v>
      </c>
      <c r="J1355" t="str">
        <f t="shared" si="126"/>
        <v>Smoker</v>
      </c>
      <c r="K1355">
        <v>0</v>
      </c>
      <c r="L1355">
        <v>0</v>
      </c>
      <c r="M1355">
        <v>0</v>
      </c>
      <c r="N1355">
        <v>0</v>
      </c>
      <c r="O1355">
        <v>210</v>
      </c>
      <c r="P1355" t="str">
        <f t="shared" si="127"/>
        <v>Normal</v>
      </c>
      <c r="Q1355">
        <v>103</v>
      </c>
      <c r="R1355">
        <v>78</v>
      </c>
      <c r="S1355">
        <v>34.89</v>
      </c>
      <c r="T1355" t="str">
        <f t="shared" si="128"/>
        <v>Obese</v>
      </c>
      <c r="U1355">
        <v>62</v>
      </c>
      <c r="V1355">
        <v>77</v>
      </c>
      <c r="W1355" t="str">
        <f t="shared" si="131"/>
        <v>Normal</v>
      </c>
      <c r="X1355">
        <v>0</v>
      </c>
    </row>
    <row r="1356" spans="1:24" ht="14.5" thickBot="1" x14ac:dyDescent="0.35">
      <c r="A1356">
        <v>1</v>
      </c>
      <c r="B1356" t="str">
        <f t="shared" si="129"/>
        <v>Male</v>
      </c>
      <c r="C1356" s="8">
        <v>44</v>
      </c>
      <c r="D1356" t="str">
        <f t="shared" si="130"/>
        <v>Middle Age</v>
      </c>
      <c r="E1356">
        <v>2</v>
      </c>
      <c r="F1356" t="str">
        <f>HLOOKUP(E1356, LookUP_Table!$A$6:$D$7, 2, FALSE)</f>
        <v>Secondary</v>
      </c>
      <c r="G1356" t="str">
        <f>IFERROR(VLOOKUP(E1356, LookUP_Table!$A$1:$B$4, 2, FALSE), "")</f>
        <v>Secondary</v>
      </c>
      <c r="H1356">
        <v>1</v>
      </c>
      <c r="I1356">
        <v>30</v>
      </c>
      <c r="J1356" t="str">
        <f t="shared" si="126"/>
        <v>Smoker</v>
      </c>
      <c r="K1356">
        <v>0</v>
      </c>
      <c r="L1356">
        <v>0</v>
      </c>
      <c r="M1356">
        <v>0</v>
      </c>
      <c r="N1356">
        <v>0</v>
      </c>
      <c r="O1356">
        <v>240</v>
      </c>
      <c r="P1356" t="str">
        <f t="shared" si="127"/>
        <v>Normal</v>
      </c>
      <c r="Q1356">
        <v>134</v>
      </c>
      <c r="R1356">
        <v>88</v>
      </c>
      <c r="S1356">
        <v>31.62</v>
      </c>
      <c r="T1356" t="str">
        <f t="shared" si="128"/>
        <v>Obese</v>
      </c>
      <c r="U1356">
        <v>70</v>
      </c>
      <c r="V1356">
        <v>61</v>
      </c>
      <c r="W1356" t="str">
        <f t="shared" si="131"/>
        <v>Normal</v>
      </c>
      <c r="X1356">
        <v>0</v>
      </c>
    </row>
    <row r="1357" spans="1:24" ht="14.5" thickBot="1" x14ac:dyDescent="0.35">
      <c r="A1357">
        <v>1</v>
      </c>
      <c r="B1357" t="str">
        <f t="shared" si="129"/>
        <v>Male</v>
      </c>
      <c r="C1357" s="8">
        <v>44</v>
      </c>
      <c r="D1357" t="str">
        <f t="shared" si="130"/>
        <v>Middle Age</v>
      </c>
      <c r="E1357">
        <v>2</v>
      </c>
      <c r="F1357" t="str">
        <f>HLOOKUP(E1357, LookUP_Table!$A$6:$D$7, 2, FALSE)</f>
        <v>Secondary</v>
      </c>
      <c r="G1357" t="str">
        <f>IFERROR(VLOOKUP(E1357, LookUP_Table!$A$1:$B$4, 2, FALSE), "")</f>
        <v>Secondary</v>
      </c>
      <c r="H1357">
        <v>0</v>
      </c>
      <c r="I1357">
        <v>0</v>
      </c>
      <c r="J1357" t="str">
        <f t="shared" si="126"/>
        <v>Non-Smoker</v>
      </c>
      <c r="K1357">
        <v>0</v>
      </c>
      <c r="L1357">
        <v>0</v>
      </c>
      <c r="M1357">
        <v>0</v>
      </c>
      <c r="N1357">
        <v>0</v>
      </c>
      <c r="O1357">
        <v>267</v>
      </c>
      <c r="P1357" t="str">
        <f t="shared" si="127"/>
        <v>High</v>
      </c>
      <c r="Q1357">
        <v>131</v>
      </c>
      <c r="R1357">
        <v>79</v>
      </c>
      <c r="S1357">
        <v>30.32</v>
      </c>
      <c r="T1357" t="str">
        <f t="shared" si="128"/>
        <v>Obese</v>
      </c>
      <c r="U1357">
        <v>70</v>
      </c>
      <c r="V1357">
        <v>79</v>
      </c>
      <c r="W1357" t="str">
        <f t="shared" si="131"/>
        <v>Normal</v>
      </c>
      <c r="X1357">
        <v>0</v>
      </c>
    </row>
    <row r="1358" spans="1:24" ht="14.5" thickBot="1" x14ac:dyDescent="0.35">
      <c r="A1358">
        <v>1</v>
      </c>
      <c r="B1358" t="str">
        <f t="shared" si="129"/>
        <v>Male</v>
      </c>
      <c r="C1358" s="8">
        <v>44</v>
      </c>
      <c r="D1358" t="str">
        <f t="shared" si="130"/>
        <v>Middle Age</v>
      </c>
      <c r="E1358">
        <v>2</v>
      </c>
      <c r="F1358" t="str">
        <f>HLOOKUP(E1358, LookUP_Table!$A$6:$D$7, 2, FALSE)</f>
        <v>Secondary</v>
      </c>
      <c r="G1358" t="str">
        <f>IFERROR(VLOOKUP(E1358, LookUP_Table!$A$1:$B$4, 2, FALSE), "")</f>
        <v>Secondary</v>
      </c>
      <c r="H1358">
        <v>1</v>
      </c>
      <c r="I1358">
        <v>20</v>
      </c>
      <c r="J1358" t="str">
        <f t="shared" si="126"/>
        <v>Smoker</v>
      </c>
      <c r="K1358">
        <v>0</v>
      </c>
      <c r="L1358">
        <v>0</v>
      </c>
      <c r="M1358">
        <v>0</v>
      </c>
      <c r="N1358">
        <v>0</v>
      </c>
      <c r="O1358">
        <v>211</v>
      </c>
      <c r="P1358" t="str">
        <f t="shared" si="127"/>
        <v>Normal</v>
      </c>
      <c r="Q1358">
        <v>145</v>
      </c>
      <c r="R1358">
        <v>88</v>
      </c>
      <c r="S1358">
        <v>23.39</v>
      </c>
      <c r="T1358" t="str">
        <f t="shared" si="128"/>
        <v>Normal</v>
      </c>
      <c r="U1358">
        <v>60</v>
      </c>
      <c r="V1358">
        <v>79</v>
      </c>
      <c r="W1358" t="str">
        <f t="shared" si="131"/>
        <v>Normal</v>
      </c>
      <c r="X1358">
        <v>0</v>
      </c>
    </row>
    <row r="1359" spans="1:24" ht="14.5" thickBot="1" x14ac:dyDescent="0.35">
      <c r="A1359">
        <v>1</v>
      </c>
      <c r="B1359" t="str">
        <f t="shared" si="129"/>
        <v>Male</v>
      </c>
      <c r="C1359" s="8">
        <v>44</v>
      </c>
      <c r="D1359" t="str">
        <f t="shared" si="130"/>
        <v>Middle Age</v>
      </c>
      <c r="E1359">
        <v>1</v>
      </c>
      <c r="F1359" t="str">
        <f>HLOOKUP(E1359, LookUP_Table!$A$6:$D$7, 2, FALSE)</f>
        <v>Primary</v>
      </c>
      <c r="G1359" t="str">
        <f>IFERROR(VLOOKUP(E1359, LookUP_Table!$A$1:$B$4, 2, FALSE), "")</f>
        <v>Primary</v>
      </c>
      <c r="H1359">
        <v>1</v>
      </c>
      <c r="I1359">
        <v>15</v>
      </c>
      <c r="J1359" t="str">
        <f t="shared" si="126"/>
        <v>Smoker</v>
      </c>
      <c r="K1359">
        <v>0</v>
      </c>
      <c r="L1359">
        <v>0</v>
      </c>
      <c r="M1359">
        <v>1</v>
      </c>
      <c r="N1359">
        <v>0</v>
      </c>
      <c r="O1359">
        <v>274</v>
      </c>
      <c r="P1359" t="str">
        <f t="shared" si="127"/>
        <v>High</v>
      </c>
      <c r="Q1359">
        <v>150</v>
      </c>
      <c r="R1359">
        <v>95</v>
      </c>
      <c r="S1359">
        <v>25.46</v>
      </c>
      <c r="T1359" t="str">
        <f t="shared" si="128"/>
        <v>Overweight</v>
      </c>
      <c r="U1359">
        <v>75</v>
      </c>
      <c r="V1359">
        <v>70</v>
      </c>
      <c r="W1359" t="str">
        <f t="shared" si="131"/>
        <v>Normal</v>
      </c>
      <c r="X1359">
        <v>0</v>
      </c>
    </row>
    <row r="1360" spans="1:24" ht="14.5" thickBot="1" x14ac:dyDescent="0.35">
      <c r="A1360">
        <v>1</v>
      </c>
      <c r="B1360" t="str">
        <f t="shared" si="129"/>
        <v>Male</v>
      </c>
      <c r="C1360" s="8">
        <v>44</v>
      </c>
      <c r="D1360" t="str">
        <f t="shared" si="130"/>
        <v>Middle Age</v>
      </c>
      <c r="E1360">
        <v>4</v>
      </c>
      <c r="F1360" t="str">
        <f>HLOOKUP(E1360, LookUP_Table!$A$6:$D$7, 2, FALSE)</f>
        <v>Post Graduate</v>
      </c>
      <c r="G1360" t="str">
        <f>IFERROR(VLOOKUP(E1360, LookUP_Table!$A$1:$B$4, 2, FALSE), "")</f>
        <v>Post Graduate</v>
      </c>
      <c r="H1360">
        <v>1</v>
      </c>
      <c r="I1360">
        <v>20</v>
      </c>
      <c r="J1360" t="str">
        <f t="shared" si="126"/>
        <v>Smoker</v>
      </c>
      <c r="K1360">
        <v>0</v>
      </c>
      <c r="L1360">
        <v>0</v>
      </c>
      <c r="M1360">
        <v>0</v>
      </c>
      <c r="N1360">
        <v>0</v>
      </c>
      <c r="O1360">
        <v>225</v>
      </c>
      <c r="P1360" t="str">
        <f t="shared" si="127"/>
        <v>Normal</v>
      </c>
      <c r="Q1360">
        <v>130</v>
      </c>
      <c r="R1360">
        <v>77.5</v>
      </c>
      <c r="S1360">
        <v>21.19</v>
      </c>
      <c r="T1360" t="str">
        <f t="shared" si="128"/>
        <v>Normal</v>
      </c>
      <c r="U1360">
        <v>92</v>
      </c>
      <c r="V1360">
        <v>82</v>
      </c>
      <c r="W1360" t="str">
        <f t="shared" si="131"/>
        <v>Normal</v>
      </c>
      <c r="X1360">
        <v>0</v>
      </c>
    </row>
    <row r="1361" spans="1:24" ht="14.5" thickBot="1" x14ac:dyDescent="0.35">
      <c r="A1361">
        <v>0</v>
      </c>
      <c r="B1361" t="str">
        <f t="shared" si="129"/>
        <v>Female</v>
      </c>
      <c r="C1361" s="8">
        <v>44</v>
      </c>
      <c r="D1361" t="str">
        <f t="shared" si="130"/>
        <v>Middle Age</v>
      </c>
      <c r="E1361">
        <v>1</v>
      </c>
      <c r="F1361" t="str">
        <f>HLOOKUP(E1361, LookUP_Table!$A$6:$D$7, 2, FALSE)</f>
        <v>Primary</v>
      </c>
      <c r="G1361" t="str">
        <f>IFERROR(VLOOKUP(E1361, LookUP_Table!$A$1:$B$4, 2, FALSE), "")</f>
        <v>Primary</v>
      </c>
      <c r="H1361">
        <v>1</v>
      </c>
      <c r="I1361">
        <v>9</v>
      </c>
      <c r="J1361" t="str">
        <f t="shared" si="126"/>
        <v>Smoker</v>
      </c>
      <c r="K1361">
        <v>0</v>
      </c>
      <c r="L1361">
        <v>0</v>
      </c>
      <c r="M1361">
        <v>0</v>
      </c>
      <c r="N1361">
        <v>0</v>
      </c>
      <c r="O1361">
        <v>231</v>
      </c>
      <c r="P1361" t="str">
        <f t="shared" si="127"/>
        <v>Normal</v>
      </c>
      <c r="Q1361">
        <v>103</v>
      </c>
      <c r="R1361">
        <v>73</v>
      </c>
      <c r="S1361">
        <v>22.02</v>
      </c>
      <c r="T1361" t="str">
        <f t="shared" si="128"/>
        <v>Normal</v>
      </c>
      <c r="U1361">
        <v>72</v>
      </c>
      <c r="V1361">
        <v>83</v>
      </c>
      <c r="W1361" t="str">
        <f t="shared" si="131"/>
        <v>Normal</v>
      </c>
      <c r="X1361">
        <v>0</v>
      </c>
    </row>
    <row r="1362" spans="1:24" ht="14.5" thickBot="1" x14ac:dyDescent="0.35">
      <c r="A1362">
        <v>1</v>
      </c>
      <c r="B1362" t="str">
        <f t="shared" si="129"/>
        <v>Male</v>
      </c>
      <c r="C1362" s="8">
        <v>44</v>
      </c>
      <c r="D1362" t="str">
        <f t="shared" si="130"/>
        <v>Middle Age</v>
      </c>
      <c r="E1362">
        <v>1</v>
      </c>
      <c r="F1362" t="str">
        <f>HLOOKUP(E1362, LookUP_Table!$A$6:$D$7, 2, FALSE)</f>
        <v>Primary</v>
      </c>
      <c r="G1362" t="str">
        <f>IFERROR(VLOOKUP(E1362, LookUP_Table!$A$1:$B$4, 2, FALSE), "")</f>
        <v>Primary</v>
      </c>
      <c r="H1362">
        <v>0</v>
      </c>
      <c r="I1362">
        <v>0</v>
      </c>
      <c r="J1362" t="str">
        <f t="shared" si="126"/>
        <v>Non-Smoker</v>
      </c>
      <c r="K1362">
        <v>0</v>
      </c>
      <c r="L1362">
        <v>0</v>
      </c>
      <c r="M1362">
        <v>0</v>
      </c>
      <c r="N1362">
        <v>0</v>
      </c>
      <c r="O1362">
        <v>229</v>
      </c>
      <c r="P1362" t="str">
        <f t="shared" si="127"/>
        <v>Normal</v>
      </c>
      <c r="Q1362">
        <v>132</v>
      </c>
      <c r="R1362">
        <v>94</v>
      </c>
      <c r="S1362">
        <v>34.39</v>
      </c>
      <c r="T1362" t="str">
        <f t="shared" si="128"/>
        <v>Obese</v>
      </c>
      <c r="U1362">
        <v>110</v>
      </c>
      <c r="V1362">
        <v>80</v>
      </c>
      <c r="W1362" t="str">
        <f t="shared" si="131"/>
        <v>Normal</v>
      </c>
      <c r="X1362">
        <v>1</v>
      </c>
    </row>
    <row r="1363" spans="1:24" ht="14.5" thickBot="1" x14ac:dyDescent="0.35">
      <c r="A1363">
        <v>0</v>
      </c>
      <c r="B1363" t="str">
        <f t="shared" si="129"/>
        <v>Female</v>
      </c>
      <c r="C1363" s="8">
        <v>44</v>
      </c>
      <c r="D1363" t="str">
        <f t="shared" si="130"/>
        <v>Middle Age</v>
      </c>
      <c r="E1363">
        <v>3</v>
      </c>
      <c r="F1363" t="str">
        <f>HLOOKUP(E1363, LookUP_Table!$A$6:$D$7, 2, FALSE)</f>
        <v>Graduate</v>
      </c>
      <c r="G1363" t="str">
        <f>IFERROR(VLOOKUP(E1363, LookUP_Table!$A$1:$B$4, 2, FALSE), "")</f>
        <v>Graduate</v>
      </c>
      <c r="H1363">
        <v>0</v>
      </c>
      <c r="I1363">
        <v>0</v>
      </c>
      <c r="J1363" t="str">
        <f t="shared" si="126"/>
        <v>Non-Smoker</v>
      </c>
      <c r="K1363">
        <v>0</v>
      </c>
      <c r="L1363">
        <v>0</v>
      </c>
      <c r="M1363">
        <v>0</v>
      </c>
      <c r="N1363">
        <v>0</v>
      </c>
      <c r="O1363">
        <v>244</v>
      </c>
      <c r="P1363" t="str">
        <f t="shared" si="127"/>
        <v>High</v>
      </c>
      <c r="Q1363">
        <v>132.5</v>
      </c>
      <c r="R1363">
        <v>87</v>
      </c>
      <c r="S1363">
        <v>24.17</v>
      </c>
      <c r="T1363" t="str">
        <f t="shared" si="128"/>
        <v>Normal</v>
      </c>
      <c r="U1363">
        <v>58</v>
      </c>
      <c r="V1363">
        <v>86</v>
      </c>
      <c r="W1363" t="str">
        <f t="shared" si="131"/>
        <v>Normal</v>
      </c>
      <c r="X1363">
        <v>0</v>
      </c>
    </row>
    <row r="1364" spans="1:24" ht="14.5" thickBot="1" x14ac:dyDescent="0.35">
      <c r="A1364">
        <v>0</v>
      </c>
      <c r="B1364" t="str">
        <f t="shared" si="129"/>
        <v>Female</v>
      </c>
      <c r="C1364" s="8">
        <v>44</v>
      </c>
      <c r="D1364" t="str">
        <f t="shared" si="130"/>
        <v>Middle Age</v>
      </c>
      <c r="E1364">
        <v>4</v>
      </c>
      <c r="F1364" t="str">
        <f>HLOOKUP(E1364, LookUP_Table!$A$6:$D$7, 2, FALSE)</f>
        <v>Post Graduate</v>
      </c>
      <c r="G1364" t="str">
        <f>IFERROR(VLOOKUP(E1364, LookUP_Table!$A$1:$B$4, 2, FALSE), "")</f>
        <v>Post Graduate</v>
      </c>
      <c r="H1364">
        <v>0</v>
      </c>
      <c r="I1364">
        <v>0</v>
      </c>
      <c r="J1364" t="str">
        <f t="shared" si="126"/>
        <v>Non-Smoker</v>
      </c>
      <c r="K1364">
        <v>0</v>
      </c>
      <c r="L1364">
        <v>0</v>
      </c>
      <c r="M1364">
        <v>0</v>
      </c>
      <c r="N1364">
        <v>0</v>
      </c>
      <c r="O1364">
        <v>205</v>
      </c>
      <c r="P1364" t="str">
        <f t="shared" si="127"/>
        <v>Normal</v>
      </c>
      <c r="Q1364">
        <v>109</v>
      </c>
      <c r="R1364">
        <v>73</v>
      </c>
      <c r="S1364">
        <v>17.48</v>
      </c>
      <c r="T1364" t="str">
        <f t="shared" si="128"/>
        <v>Underweight</v>
      </c>
      <c r="U1364">
        <v>75</v>
      </c>
      <c r="V1364">
        <v>57</v>
      </c>
      <c r="W1364" t="str">
        <f t="shared" si="131"/>
        <v>Normal</v>
      </c>
      <c r="X1364">
        <v>0</v>
      </c>
    </row>
    <row r="1365" spans="1:24" ht="14.5" thickBot="1" x14ac:dyDescent="0.35">
      <c r="A1365">
        <v>0</v>
      </c>
      <c r="B1365" t="str">
        <f t="shared" si="129"/>
        <v>Female</v>
      </c>
      <c r="C1365" s="8">
        <v>44</v>
      </c>
      <c r="D1365" t="str">
        <f t="shared" si="130"/>
        <v>Middle Age</v>
      </c>
      <c r="E1365">
        <v>2</v>
      </c>
      <c r="F1365" t="str">
        <f>HLOOKUP(E1365, LookUP_Table!$A$6:$D$7, 2, FALSE)</f>
        <v>Secondary</v>
      </c>
      <c r="G1365" t="str">
        <f>IFERROR(VLOOKUP(E1365, LookUP_Table!$A$1:$B$4, 2, FALSE), "")</f>
        <v>Secondary</v>
      </c>
      <c r="H1365">
        <v>0</v>
      </c>
      <c r="I1365">
        <v>0</v>
      </c>
      <c r="J1365" t="str">
        <f t="shared" si="126"/>
        <v>Non-Smoker</v>
      </c>
      <c r="K1365">
        <v>0</v>
      </c>
      <c r="L1365">
        <v>0</v>
      </c>
      <c r="M1365">
        <v>0</v>
      </c>
      <c r="N1365">
        <v>0</v>
      </c>
      <c r="O1365">
        <v>226</v>
      </c>
      <c r="P1365" t="str">
        <f t="shared" si="127"/>
        <v>Normal</v>
      </c>
      <c r="Q1365">
        <v>123</v>
      </c>
      <c r="R1365">
        <v>82</v>
      </c>
      <c r="S1365">
        <v>24.67</v>
      </c>
      <c r="T1365" t="str">
        <f t="shared" si="128"/>
        <v>Normal</v>
      </c>
      <c r="U1365">
        <v>72</v>
      </c>
      <c r="V1365">
        <v>70</v>
      </c>
      <c r="W1365" t="str">
        <f t="shared" si="131"/>
        <v>Normal</v>
      </c>
      <c r="X1365">
        <v>0</v>
      </c>
    </row>
    <row r="1366" spans="1:24" ht="14.5" thickBot="1" x14ac:dyDescent="0.35">
      <c r="A1366">
        <v>1</v>
      </c>
      <c r="B1366" t="str">
        <f t="shared" si="129"/>
        <v>Male</v>
      </c>
      <c r="C1366" s="8">
        <v>44</v>
      </c>
      <c r="D1366" t="str">
        <f t="shared" si="130"/>
        <v>Middle Age</v>
      </c>
      <c r="E1366">
        <v>4</v>
      </c>
      <c r="F1366" t="str">
        <f>HLOOKUP(E1366, LookUP_Table!$A$6:$D$7, 2, FALSE)</f>
        <v>Post Graduate</v>
      </c>
      <c r="G1366" t="str">
        <f>IFERROR(VLOOKUP(E1366, LookUP_Table!$A$1:$B$4, 2, FALSE), "")</f>
        <v>Post Graduate</v>
      </c>
      <c r="H1366">
        <v>1</v>
      </c>
      <c r="I1366">
        <v>20</v>
      </c>
      <c r="J1366" t="str">
        <f t="shared" si="126"/>
        <v>Smoker</v>
      </c>
      <c r="K1366">
        <v>0</v>
      </c>
      <c r="L1366">
        <v>0</v>
      </c>
      <c r="M1366">
        <v>1</v>
      </c>
      <c r="N1366">
        <v>0</v>
      </c>
      <c r="O1366">
        <v>230</v>
      </c>
      <c r="P1366" t="str">
        <f t="shared" si="127"/>
        <v>Normal</v>
      </c>
      <c r="Q1366">
        <v>138</v>
      </c>
      <c r="R1366">
        <v>98</v>
      </c>
      <c r="S1366">
        <v>25.12</v>
      </c>
      <c r="T1366" t="str">
        <f t="shared" si="128"/>
        <v>Overweight</v>
      </c>
      <c r="U1366">
        <v>75</v>
      </c>
      <c r="V1366">
        <v>93</v>
      </c>
      <c r="W1366" t="str">
        <f t="shared" si="131"/>
        <v>Normal</v>
      </c>
      <c r="X1366">
        <v>0</v>
      </c>
    </row>
    <row r="1367" spans="1:24" ht="14.5" thickBot="1" x14ac:dyDescent="0.35">
      <c r="A1367">
        <v>0</v>
      </c>
      <c r="B1367" t="str">
        <f t="shared" si="129"/>
        <v>Female</v>
      </c>
      <c r="C1367" s="8">
        <v>44</v>
      </c>
      <c r="D1367" t="str">
        <f t="shared" si="130"/>
        <v>Middle Age</v>
      </c>
      <c r="E1367">
        <v>3</v>
      </c>
      <c r="F1367" t="str">
        <f>HLOOKUP(E1367, LookUP_Table!$A$6:$D$7, 2, FALSE)</f>
        <v>Graduate</v>
      </c>
      <c r="G1367" t="str">
        <f>IFERROR(VLOOKUP(E1367, LookUP_Table!$A$1:$B$4, 2, FALSE), "")</f>
        <v>Graduate</v>
      </c>
      <c r="H1367">
        <v>1</v>
      </c>
      <c r="I1367">
        <v>30</v>
      </c>
      <c r="J1367" t="str">
        <f t="shared" si="126"/>
        <v>Smoker</v>
      </c>
      <c r="K1367">
        <v>0</v>
      </c>
      <c r="L1367">
        <v>0</v>
      </c>
      <c r="M1367">
        <v>0</v>
      </c>
      <c r="N1367">
        <v>0</v>
      </c>
      <c r="O1367">
        <v>188</v>
      </c>
      <c r="P1367" t="str">
        <f t="shared" si="127"/>
        <v>Normal</v>
      </c>
      <c r="Q1367">
        <v>122.5</v>
      </c>
      <c r="R1367">
        <v>67.5</v>
      </c>
      <c r="S1367">
        <v>23.13</v>
      </c>
      <c r="T1367" t="str">
        <f t="shared" si="128"/>
        <v>Normal</v>
      </c>
      <c r="U1367">
        <v>94</v>
      </c>
      <c r="V1367">
        <v>85</v>
      </c>
      <c r="W1367" t="str">
        <f t="shared" si="131"/>
        <v>Normal</v>
      </c>
      <c r="X1367">
        <v>0</v>
      </c>
    </row>
    <row r="1368" spans="1:24" ht="14.5" thickBot="1" x14ac:dyDescent="0.35">
      <c r="A1368">
        <v>1</v>
      </c>
      <c r="B1368" t="str">
        <f t="shared" si="129"/>
        <v>Male</v>
      </c>
      <c r="C1368" s="8">
        <v>44</v>
      </c>
      <c r="D1368" t="str">
        <f t="shared" si="130"/>
        <v>Middle Age</v>
      </c>
      <c r="E1368">
        <v>3</v>
      </c>
      <c r="F1368" t="str">
        <f>HLOOKUP(E1368, LookUP_Table!$A$6:$D$7, 2, FALSE)</f>
        <v>Graduate</v>
      </c>
      <c r="G1368" t="str">
        <f>IFERROR(VLOOKUP(E1368, LookUP_Table!$A$1:$B$4, 2, FALSE), "")</f>
        <v>Graduate</v>
      </c>
      <c r="H1368">
        <v>1</v>
      </c>
      <c r="I1368">
        <v>15</v>
      </c>
      <c r="J1368" t="str">
        <f t="shared" si="126"/>
        <v>Smoker</v>
      </c>
      <c r="K1368">
        <v>0</v>
      </c>
      <c r="L1368">
        <v>0</v>
      </c>
      <c r="M1368">
        <v>0</v>
      </c>
      <c r="N1368">
        <v>0</v>
      </c>
      <c r="O1368">
        <v>237</v>
      </c>
      <c r="P1368" t="str">
        <f t="shared" si="127"/>
        <v>Normal</v>
      </c>
      <c r="Q1368">
        <v>124</v>
      </c>
      <c r="R1368">
        <v>83</v>
      </c>
      <c r="S1368">
        <v>27.17</v>
      </c>
      <c r="T1368" t="str">
        <f t="shared" si="128"/>
        <v>Overweight</v>
      </c>
      <c r="U1368">
        <v>70</v>
      </c>
      <c r="V1368">
        <v>88</v>
      </c>
      <c r="W1368" t="str">
        <f t="shared" si="131"/>
        <v>Normal</v>
      </c>
      <c r="X1368">
        <v>0</v>
      </c>
    </row>
    <row r="1369" spans="1:24" ht="14.5" thickBot="1" x14ac:dyDescent="0.35">
      <c r="A1369">
        <v>1</v>
      </c>
      <c r="B1369" t="str">
        <f t="shared" si="129"/>
        <v>Male</v>
      </c>
      <c r="C1369" s="8">
        <v>44</v>
      </c>
      <c r="D1369" t="str">
        <f t="shared" si="130"/>
        <v>Middle Age</v>
      </c>
      <c r="E1369">
        <v>1</v>
      </c>
      <c r="F1369" t="str">
        <f>HLOOKUP(E1369, LookUP_Table!$A$6:$D$7, 2, FALSE)</f>
        <v>Primary</v>
      </c>
      <c r="G1369" t="str">
        <f>IFERROR(VLOOKUP(E1369, LookUP_Table!$A$1:$B$4, 2, FALSE), "")</f>
        <v>Primary</v>
      </c>
      <c r="H1369">
        <v>0</v>
      </c>
      <c r="I1369">
        <v>0</v>
      </c>
      <c r="J1369" t="str">
        <f t="shared" si="126"/>
        <v>Non-Smoker</v>
      </c>
      <c r="K1369">
        <v>0</v>
      </c>
      <c r="L1369">
        <v>0</v>
      </c>
      <c r="M1369">
        <v>0</v>
      </c>
      <c r="N1369">
        <v>0</v>
      </c>
      <c r="O1369">
        <v>253</v>
      </c>
      <c r="P1369" t="str">
        <f t="shared" si="127"/>
        <v>High</v>
      </c>
      <c r="Q1369">
        <v>152.5</v>
      </c>
      <c r="R1369">
        <v>87.5</v>
      </c>
      <c r="S1369">
        <v>26.84</v>
      </c>
      <c r="T1369" t="str">
        <f t="shared" si="128"/>
        <v>Overweight</v>
      </c>
      <c r="U1369">
        <v>56</v>
      </c>
      <c r="V1369">
        <v>81.96365524402907</v>
      </c>
      <c r="W1369" t="str">
        <f t="shared" si="131"/>
        <v>Normal</v>
      </c>
      <c r="X1369">
        <v>0</v>
      </c>
    </row>
    <row r="1370" spans="1:24" ht="14.5" thickBot="1" x14ac:dyDescent="0.35">
      <c r="A1370">
        <v>0</v>
      </c>
      <c r="B1370" t="str">
        <f t="shared" si="129"/>
        <v>Female</v>
      </c>
      <c r="C1370" s="8">
        <v>44</v>
      </c>
      <c r="D1370" t="str">
        <f t="shared" si="130"/>
        <v>Middle Age</v>
      </c>
      <c r="E1370">
        <v>1</v>
      </c>
      <c r="F1370" t="str">
        <f>HLOOKUP(E1370, LookUP_Table!$A$6:$D$7, 2, FALSE)</f>
        <v>Primary</v>
      </c>
      <c r="G1370" t="str">
        <f>IFERROR(VLOOKUP(E1370, LookUP_Table!$A$1:$B$4, 2, FALSE), "")</f>
        <v>Primary</v>
      </c>
      <c r="H1370">
        <v>1</v>
      </c>
      <c r="I1370">
        <v>20</v>
      </c>
      <c r="J1370" t="str">
        <f t="shared" si="126"/>
        <v>Smoker</v>
      </c>
      <c r="K1370">
        <v>0</v>
      </c>
      <c r="L1370">
        <v>0</v>
      </c>
      <c r="M1370">
        <v>0</v>
      </c>
      <c r="N1370">
        <v>0</v>
      </c>
      <c r="O1370">
        <v>160</v>
      </c>
      <c r="P1370" t="str">
        <f t="shared" si="127"/>
        <v>Normal</v>
      </c>
      <c r="Q1370">
        <v>131</v>
      </c>
      <c r="R1370">
        <v>81.5</v>
      </c>
      <c r="S1370">
        <v>25.71</v>
      </c>
      <c r="T1370" t="str">
        <f t="shared" si="128"/>
        <v>Overweight</v>
      </c>
      <c r="U1370">
        <v>75</v>
      </c>
      <c r="V1370">
        <v>70</v>
      </c>
      <c r="W1370" t="str">
        <f t="shared" si="131"/>
        <v>Normal</v>
      </c>
      <c r="X1370">
        <v>0</v>
      </c>
    </row>
    <row r="1371" spans="1:24" ht="14.5" thickBot="1" x14ac:dyDescent="0.35">
      <c r="A1371">
        <v>0</v>
      </c>
      <c r="B1371" t="str">
        <f t="shared" si="129"/>
        <v>Female</v>
      </c>
      <c r="C1371" s="8">
        <v>44</v>
      </c>
      <c r="D1371" t="str">
        <f t="shared" si="130"/>
        <v>Middle Age</v>
      </c>
      <c r="E1371">
        <v>2</v>
      </c>
      <c r="F1371" t="str">
        <f>HLOOKUP(E1371, LookUP_Table!$A$6:$D$7, 2, FALSE)</f>
        <v>Secondary</v>
      </c>
      <c r="G1371" t="str">
        <f>IFERROR(VLOOKUP(E1371, LookUP_Table!$A$1:$B$4, 2, FALSE), "")</f>
        <v>Secondary</v>
      </c>
      <c r="H1371">
        <v>1</v>
      </c>
      <c r="I1371">
        <v>3</v>
      </c>
      <c r="J1371" t="str">
        <f t="shared" si="126"/>
        <v>Smoker</v>
      </c>
      <c r="K1371">
        <v>0</v>
      </c>
      <c r="L1371">
        <v>0</v>
      </c>
      <c r="M1371">
        <v>0</v>
      </c>
      <c r="N1371">
        <v>0</v>
      </c>
      <c r="O1371">
        <v>244</v>
      </c>
      <c r="P1371" t="str">
        <f t="shared" si="127"/>
        <v>High</v>
      </c>
      <c r="Q1371">
        <v>105</v>
      </c>
      <c r="R1371">
        <v>60</v>
      </c>
      <c r="S1371">
        <v>23.24</v>
      </c>
      <c r="T1371" t="str">
        <f t="shared" si="128"/>
        <v>Normal</v>
      </c>
      <c r="U1371">
        <v>76</v>
      </c>
      <c r="V1371">
        <v>81.96365524402907</v>
      </c>
      <c r="W1371" t="str">
        <f t="shared" si="131"/>
        <v>Normal</v>
      </c>
      <c r="X1371">
        <v>0</v>
      </c>
    </row>
    <row r="1372" spans="1:24" ht="14.5" thickBot="1" x14ac:dyDescent="0.35">
      <c r="A1372">
        <v>1</v>
      </c>
      <c r="B1372" t="str">
        <f t="shared" si="129"/>
        <v>Male</v>
      </c>
      <c r="C1372" s="8">
        <v>44</v>
      </c>
      <c r="D1372" t="str">
        <f t="shared" si="130"/>
        <v>Middle Age</v>
      </c>
      <c r="E1372">
        <v>2</v>
      </c>
      <c r="F1372" t="str">
        <f>HLOOKUP(E1372, LookUP_Table!$A$6:$D$7, 2, FALSE)</f>
        <v>Secondary</v>
      </c>
      <c r="G1372" t="str">
        <f>IFERROR(VLOOKUP(E1372, LookUP_Table!$A$1:$B$4, 2, FALSE), "")</f>
        <v>Secondary</v>
      </c>
      <c r="H1372">
        <v>1</v>
      </c>
      <c r="I1372">
        <v>40</v>
      </c>
      <c r="J1372" t="str">
        <f t="shared" si="126"/>
        <v>Smoker</v>
      </c>
      <c r="K1372">
        <v>0</v>
      </c>
      <c r="L1372">
        <v>0</v>
      </c>
      <c r="M1372">
        <v>0</v>
      </c>
      <c r="N1372">
        <v>0</v>
      </c>
      <c r="O1372">
        <v>189</v>
      </c>
      <c r="P1372" t="str">
        <f t="shared" si="127"/>
        <v>Normal</v>
      </c>
      <c r="Q1372">
        <v>130</v>
      </c>
      <c r="R1372">
        <v>90</v>
      </c>
      <c r="S1372">
        <v>22.33</v>
      </c>
      <c r="T1372" t="str">
        <f t="shared" si="128"/>
        <v>Normal</v>
      </c>
      <c r="U1372">
        <v>90</v>
      </c>
      <c r="V1372">
        <v>64</v>
      </c>
      <c r="W1372" t="str">
        <f t="shared" si="131"/>
        <v>Normal</v>
      </c>
      <c r="X1372">
        <v>0</v>
      </c>
    </row>
    <row r="1373" spans="1:24" ht="14.5" thickBot="1" x14ac:dyDescent="0.35">
      <c r="A1373">
        <v>1</v>
      </c>
      <c r="B1373" t="str">
        <f t="shared" si="129"/>
        <v>Male</v>
      </c>
      <c r="C1373" s="8">
        <v>44</v>
      </c>
      <c r="D1373" t="str">
        <f t="shared" si="130"/>
        <v>Middle Age</v>
      </c>
      <c r="E1373">
        <v>1</v>
      </c>
      <c r="F1373" t="str">
        <f>HLOOKUP(E1373, LookUP_Table!$A$6:$D$7, 2, FALSE)</f>
        <v>Primary</v>
      </c>
      <c r="G1373" t="str">
        <f>IFERROR(VLOOKUP(E1373, LookUP_Table!$A$1:$B$4, 2, FALSE), "")</f>
        <v>Primary</v>
      </c>
      <c r="H1373">
        <v>0</v>
      </c>
      <c r="I1373">
        <v>0</v>
      </c>
      <c r="J1373" t="str">
        <f t="shared" si="126"/>
        <v>Non-Smoker</v>
      </c>
      <c r="K1373">
        <v>0</v>
      </c>
      <c r="L1373">
        <v>0</v>
      </c>
      <c r="M1373">
        <v>0</v>
      </c>
      <c r="N1373">
        <v>0</v>
      </c>
      <c r="O1373">
        <v>234</v>
      </c>
      <c r="P1373" t="str">
        <f t="shared" si="127"/>
        <v>Normal</v>
      </c>
      <c r="Q1373">
        <v>135</v>
      </c>
      <c r="R1373">
        <v>88</v>
      </c>
      <c r="S1373">
        <v>25.65</v>
      </c>
      <c r="T1373" t="str">
        <f t="shared" si="128"/>
        <v>Overweight</v>
      </c>
      <c r="U1373">
        <v>52</v>
      </c>
      <c r="V1373">
        <v>83</v>
      </c>
      <c r="W1373" t="str">
        <f t="shared" si="131"/>
        <v>Normal</v>
      </c>
      <c r="X1373">
        <v>0</v>
      </c>
    </row>
    <row r="1374" spans="1:24" ht="14.5" thickBot="1" x14ac:dyDescent="0.35">
      <c r="A1374">
        <v>1</v>
      </c>
      <c r="B1374" t="str">
        <f t="shared" si="129"/>
        <v>Male</v>
      </c>
      <c r="C1374" s="8">
        <v>44</v>
      </c>
      <c r="D1374" t="str">
        <f t="shared" si="130"/>
        <v>Middle Age</v>
      </c>
      <c r="E1374">
        <v>1</v>
      </c>
      <c r="F1374" t="str">
        <f>HLOOKUP(E1374, LookUP_Table!$A$6:$D$7, 2, FALSE)</f>
        <v>Primary</v>
      </c>
      <c r="G1374" t="str">
        <f>IFERROR(VLOOKUP(E1374, LookUP_Table!$A$1:$B$4, 2, FALSE), "")</f>
        <v>Primary</v>
      </c>
      <c r="H1374">
        <v>0</v>
      </c>
      <c r="I1374">
        <v>0</v>
      </c>
      <c r="J1374" t="str">
        <f t="shared" si="126"/>
        <v>Non-Smoker</v>
      </c>
      <c r="K1374">
        <v>0</v>
      </c>
      <c r="L1374">
        <v>0</v>
      </c>
      <c r="M1374">
        <v>1</v>
      </c>
      <c r="N1374">
        <v>0</v>
      </c>
      <c r="O1374">
        <v>260</v>
      </c>
      <c r="P1374" t="str">
        <f t="shared" si="127"/>
        <v>High</v>
      </c>
      <c r="Q1374">
        <v>127</v>
      </c>
      <c r="R1374">
        <v>80</v>
      </c>
      <c r="S1374">
        <v>31.69</v>
      </c>
      <c r="T1374" t="str">
        <f t="shared" si="128"/>
        <v>Obese</v>
      </c>
      <c r="U1374">
        <v>69</v>
      </c>
      <c r="V1374">
        <v>73</v>
      </c>
      <c r="W1374" t="str">
        <f t="shared" si="131"/>
        <v>Normal</v>
      </c>
      <c r="X1374">
        <v>0</v>
      </c>
    </row>
    <row r="1375" spans="1:24" ht="14.5" thickBot="1" x14ac:dyDescent="0.35">
      <c r="A1375">
        <v>1</v>
      </c>
      <c r="B1375" t="str">
        <f t="shared" si="129"/>
        <v>Male</v>
      </c>
      <c r="C1375" s="8">
        <v>44</v>
      </c>
      <c r="D1375" t="str">
        <f t="shared" si="130"/>
        <v>Middle Age</v>
      </c>
      <c r="E1375">
        <v>2</v>
      </c>
      <c r="F1375" t="str">
        <f>HLOOKUP(E1375, LookUP_Table!$A$6:$D$7, 2, FALSE)</f>
        <v>Secondary</v>
      </c>
      <c r="G1375" t="str">
        <f>IFERROR(VLOOKUP(E1375, LookUP_Table!$A$1:$B$4, 2, FALSE), "")</f>
        <v>Secondary</v>
      </c>
      <c r="H1375">
        <v>1</v>
      </c>
      <c r="I1375">
        <v>40</v>
      </c>
      <c r="J1375" t="str">
        <f t="shared" si="126"/>
        <v>Smoker</v>
      </c>
      <c r="K1375">
        <v>0</v>
      </c>
      <c r="L1375">
        <v>0</v>
      </c>
      <c r="M1375">
        <v>0</v>
      </c>
      <c r="N1375">
        <v>0</v>
      </c>
      <c r="O1375">
        <v>232</v>
      </c>
      <c r="P1375" t="str">
        <f t="shared" si="127"/>
        <v>Normal</v>
      </c>
      <c r="Q1375">
        <v>125</v>
      </c>
      <c r="R1375">
        <v>86</v>
      </c>
      <c r="S1375">
        <v>23.23</v>
      </c>
      <c r="T1375" t="str">
        <f t="shared" si="128"/>
        <v>Normal</v>
      </c>
      <c r="U1375">
        <v>72</v>
      </c>
      <c r="V1375">
        <v>80</v>
      </c>
      <c r="W1375" t="str">
        <f t="shared" si="131"/>
        <v>Normal</v>
      </c>
      <c r="X1375">
        <v>0</v>
      </c>
    </row>
    <row r="1376" spans="1:24" ht="14.5" thickBot="1" x14ac:dyDescent="0.35">
      <c r="A1376">
        <v>0</v>
      </c>
      <c r="B1376" t="str">
        <f t="shared" si="129"/>
        <v>Female</v>
      </c>
      <c r="C1376" s="8">
        <v>44</v>
      </c>
      <c r="D1376" t="str">
        <f t="shared" si="130"/>
        <v>Middle Age</v>
      </c>
      <c r="E1376">
        <v>1</v>
      </c>
      <c r="F1376" t="str">
        <f>HLOOKUP(E1376, LookUP_Table!$A$6:$D$7, 2, FALSE)</f>
        <v>Primary</v>
      </c>
      <c r="G1376" t="str">
        <f>IFERROR(VLOOKUP(E1376, LookUP_Table!$A$1:$B$4, 2, FALSE), "")</f>
        <v>Primary</v>
      </c>
      <c r="H1376">
        <v>1</v>
      </c>
      <c r="I1376">
        <v>10</v>
      </c>
      <c r="J1376" t="str">
        <f t="shared" si="126"/>
        <v>Smoker</v>
      </c>
      <c r="K1376">
        <v>0</v>
      </c>
      <c r="L1376">
        <v>0</v>
      </c>
      <c r="M1376">
        <v>0</v>
      </c>
      <c r="N1376">
        <v>0</v>
      </c>
      <c r="O1376">
        <v>310</v>
      </c>
      <c r="P1376" t="str">
        <f t="shared" si="127"/>
        <v>High</v>
      </c>
      <c r="Q1376">
        <v>141</v>
      </c>
      <c r="R1376">
        <v>76</v>
      </c>
      <c r="S1376">
        <v>20.52</v>
      </c>
      <c r="T1376" t="str">
        <f t="shared" si="128"/>
        <v>Normal</v>
      </c>
      <c r="U1376">
        <v>52</v>
      </c>
      <c r="V1376">
        <v>90</v>
      </c>
      <c r="W1376" t="str">
        <f t="shared" si="131"/>
        <v>Normal</v>
      </c>
      <c r="X1376">
        <v>0</v>
      </c>
    </row>
    <row r="1377" spans="1:24" ht="14.5" thickBot="1" x14ac:dyDescent="0.35">
      <c r="A1377">
        <v>1</v>
      </c>
      <c r="B1377" t="str">
        <f t="shared" si="129"/>
        <v>Male</v>
      </c>
      <c r="C1377" s="8">
        <v>44</v>
      </c>
      <c r="D1377" t="str">
        <f t="shared" si="130"/>
        <v>Middle Age</v>
      </c>
      <c r="E1377">
        <v>1</v>
      </c>
      <c r="F1377" t="str">
        <f>HLOOKUP(E1377, LookUP_Table!$A$6:$D$7, 2, FALSE)</f>
        <v>Primary</v>
      </c>
      <c r="G1377" t="str">
        <f>IFERROR(VLOOKUP(E1377, LookUP_Table!$A$1:$B$4, 2, FALSE), "")</f>
        <v>Primary</v>
      </c>
      <c r="H1377">
        <v>0</v>
      </c>
      <c r="I1377">
        <v>0</v>
      </c>
      <c r="J1377" t="str">
        <f t="shared" si="126"/>
        <v>Non-Smoker</v>
      </c>
      <c r="K1377">
        <v>0</v>
      </c>
      <c r="L1377">
        <v>0</v>
      </c>
      <c r="M1377">
        <v>0</v>
      </c>
      <c r="N1377">
        <v>0</v>
      </c>
      <c r="O1377">
        <v>195</v>
      </c>
      <c r="P1377" t="str">
        <f t="shared" si="127"/>
        <v>Normal</v>
      </c>
      <c r="Q1377">
        <v>114</v>
      </c>
      <c r="R1377">
        <v>79</v>
      </c>
      <c r="S1377">
        <v>25.01</v>
      </c>
      <c r="T1377" t="str">
        <f t="shared" si="128"/>
        <v>Overweight</v>
      </c>
      <c r="U1377">
        <v>60</v>
      </c>
      <c r="V1377">
        <v>76</v>
      </c>
      <c r="W1377" t="str">
        <f t="shared" si="131"/>
        <v>Normal</v>
      </c>
      <c r="X1377">
        <v>0</v>
      </c>
    </row>
    <row r="1378" spans="1:24" ht="14.5" thickBot="1" x14ac:dyDescent="0.35">
      <c r="A1378">
        <v>0</v>
      </c>
      <c r="B1378" t="str">
        <f t="shared" si="129"/>
        <v>Female</v>
      </c>
      <c r="C1378" s="8">
        <v>44</v>
      </c>
      <c r="D1378" t="str">
        <f t="shared" si="130"/>
        <v>Middle Age</v>
      </c>
      <c r="E1378">
        <v>1</v>
      </c>
      <c r="F1378" t="str">
        <f>HLOOKUP(E1378, LookUP_Table!$A$6:$D$7, 2, FALSE)</f>
        <v>Primary</v>
      </c>
      <c r="G1378" t="str">
        <f>IFERROR(VLOOKUP(E1378, LookUP_Table!$A$1:$B$4, 2, FALSE), "")</f>
        <v>Primary</v>
      </c>
      <c r="H1378">
        <v>1</v>
      </c>
      <c r="I1378">
        <v>8</v>
      </c>
      <c r="J1378" t="str">
        <f t="shared" si="126"/>
        <v>Smoker</v>
      </c>
      <c r="K1378">
        <v>0</v>
      </c>
      <c r="L1378">
        <v>0</v>
      </c>
      <c r="M1378">
        <v>0</v>
      </c>
      <c r="N1378">
        <v>0</v>
      </c>
      <c r="O1378">
        <v>351</v>
      </c>
      <c r="P1378" t="str">
        <f t="shared" si="127"/>
        <v>High</v>
      </c>
      <c r="Q1378">
        <v>106</v>
      </c>
      <c r="R1378">
        <v>65</v>
      </c>
      <c r="S1378">
        <v>25.34</v>
      </c>
      <c r="T1378" t="str">
        <f t="shared" si="128"/>
        <v>Overweight</v>
      </c>
      <c r="U1378">
        <v>95</v>
      </c>
      <c r="V1378">
        <v>69</v>
      </c>
      <c r="W1378" t="str">
        <f t="shared" si="131"/>
        <v>Normal</v>
      </c>
      <c r="X1378">
        <v>0</v>
      </c>
    </row>
    <row r="1379" spans="1:24" ht="14.5" thickBot="1" x14ac:dyDescent="0.35">
      <c r="A1379">
        <v>1</v>
      </c>
      <c r="B1379" t="str">
        <f t="shared" si="129"/>
        <v>Male</v>
      </c>
      <c r="C1379" s="8">
        <v>44</v>
      </c>
      <c r="D1379" t="str">
        <f t="shared" si="130"/>
        <v>Middle Age</v>
      </c>
      <c r="E1379">
        <v>1</v>
      </c>
      <c r="F1379" t="str">
        <f>HLOOKUP(E1379, LookUP_Table!$A$6:$D$7, 2, FALSE)</f>
        <v>Primary</v>
      </c>
      <c r="G1379" t="str">
        <f>IFERROR(VLOOKUP(E1379, LookUP_Table!$A$1:$B$4, 2, FALSE), "")</f>
        <v>Primary</v>
      </c>
      <c r="H1379">
        <v>0</v>
      </c>
      <c r="I1379">
        <v>0</v>
      </c>
      <c r="J1379" t="str">
        <f t="shared" si="126"/>
        <v>Non-Smoker</v>
      </c>
      <c r="K1379">
        <v>0</v>
      </c>
      <c r="L1379">
        <v>0</v>
      </c>
      <c r="M1379">
        <v>0</v>
      </c>
      <c r="N1379">
        <v>0</v>
      </c>
      <c r="O1379">
        <v>238</v>
      </c>
      <c r="P1379" t="str">
        <f t="shared" si="127"/>
        <v>Normal</v>
      </c>
      <c r="Q1379">
        <v>132</v>
      </c>
      <c r="R1379">
        <v>86</v>
      </c>
      <c r="S1379">
        <v>27.22</v>
      </c>
      <c r="T1379" t="str">
        <f t="shared" si="128"/>
        <v>Overweight</v>
      </c>
      <c r="U1379">
        <v>75</v>
      </c>
      <c r="V1379">
        <v>85</v>
      </c>
      <c r="W1379" t="str">
        <f t="shared" si="131"/>
        <v>Normal</v>
      </c>
      <c r="X1379">
        <v>0</v>
      </c>
    </row>
    <row r="1380" spans="1:24" ht="14.5" thickBot="1" x14ac:dyDescent="0.35">
      <c r="A1380">
        <v>0</v>
      </c>
      <c r="B1380" t="str">
        <f t="shared" si="129"/>
        <v>Female</v>
      </c>
      <c r="C1380" s="8">
        <v>44</v>
      </c>
      <c r="D1380" t="str">
        <f t="shared" si="130"/>
        <v>Middle Age</v>
      </c>
      <c r="E1380">
        <v>3</v>
      </c>
      <c r="F1380" t="str">
        <f>HLOOKUP(E1380, LookUP_Table!$A$6:$D$7, 2, FALSE)</f>
        <v>Graduate</v>
      </c>
      <c r="G1380" t="str">
        <f>IFERROR(VLOOKUP(E1380, LookUP_Table!$A$1:$B$4, 2, FALSE), "")</f>
        <v>Graduate</v>
      </c>
      <c r="H1380">
        <v>0</v>
      </c>
      <c r="I1380">
        <v>0</v>
      </c>
      <c r="J1380" t="str">
        <f t="shared" si="126"/>
        <v>Non-Smoker</v>
      </c>
      <c r="K1380">
        <v>0</v>
      </c>
      <c r="L1380">
        <v>0</v>
      </c>
      <c r="M1380">
        <v>0</v>
      </c>
      <c r="N1380">
        <v>0</v>
      </c>
      <c r="O1380">
        <v>213</v>
      </c>
      <c r="P1380" t="str">
        <f t="shared" si="127"/>
        <v>Normal</v>
      </c>
      <c r="Q1380">
        <v>126</v>
      </c>
      <c r="R1380">
        <v>76</v>
      </c>
      <c r="S1380">
        <v>19.05</v>
      </c>
      <c r="T1380" t="str">
        <f t="shared" si="128"/>
        <v>Normal</v>
      </c>
      <c r="U1380">
        <v>85</v>
      </c>
      <c r="V1380">
        <v>84</v>
      </c>
      <c r="W1380" t="str">
        <f t="shared" si="131"/>
        <v>Normal</v>
      </c>
      <c r="X1380">
        <v>0</v>
      </c>
    </row>
    <row r="1381" spans="1:24" ht="14.5" thickBot="1" x14ac:dyDescent="0.35">
      <c r="A1381">
        <v>1</v>
      </c>
      <c r="B1381" t="str">
        <f t="shared" si="129"/>
        <v>Male</v>
      </c>
      <c r="C1381" s="8">
        <v>44</v>
      </c>
      <c r="D1381" t="str">
        <f t="shared" si="130"/>
        <v>Middle Age</v>
      </c>
      <c r="E1381">
        <v>1</v>
      </c>
      <c r="F1381" t="str">
        <f>HLOOKUP(E1381, LookUP_Table!$A$6:$D$7, 2, FALSE)</f>
        <v>Primary</v>
      </c>
      <c r="G1381" t="str">
        <f>IFERROR(VLOOKUP(E1381, LookUP_Table!$A$1:$B$4, 2, FALSE), "")</f>
        <v>Primary</v>
      </c>
      <c r="H1381">
        <v>1</v>
      </c>
      <c r="I1381">
        <v>9</v>
      </c>
      <c r="J1381" t="str">
        <f t="shared" si="126"/>
        <v>Smoker</v>
      </c>
      <c r="K1381">
        <v>0</v>
      </c>
      <c r="L1381">
        <v>0</v>
      </c>
      <c r="M1381">
        <v>0</v>
      </c>
      <c r="N1381">
        <v>0</v>
      </c>
      <c r="O1381">
        <v>273</v>
      </c>
      <c r="P1381" t="str">
        <f t="shared" si="127"/>
        <v>High</v>
      </c>
      <c r="Q1381">
        <v>114</v>
      </c>
      <c r="R1381">
        <v>83</v>
      </c>
      <c r="S1381">
        <v>27.33</v>
      </c>
      <c r="T1381" t="str">
        <f t="shared" si="128"/>
        <v>Overweight</v>
      </c>
      <c r="U1381">
        <v>70</v>
      </c>
      <c r="V1381">
        <v>65</v>
      </c>
      <c r="W1381" t="str">
        <f t="shared" si="131"/>
        <v>Normal</v>
      </c>
      <c r="X1381">
        <v>0</v>
      </c>
    </row>
    <row r="1382" spans="1:24" ht="14.5" thickBot="1" x14ac:dyDescent="0.35">
      <c r="A1382">
        <v>0</v>
      </c>
      <c r="B1382" t="str">
        <f t="shared" si="129"/>
        <v>Female</v>
      </c>
      <c r="C1382" s="8">
        <v>44</v>
      </c>
      <c r="D1382" t="str">
        <f t="shared" si="130"/>
        <v>Middle Age</v>
      </c>
      <c r="E1382">
        <v>2</v>
      </c>
      <c r="F1382" t="str">
        <f>HLOOKUP(E1382, LookUP_Table!$A$6:$D$7, 2, FALSE)</f>
        <v>Secondary</v>
      </c>
      <c r="G1382" t="str">
        <f>IFERROR(VLOOKUP(E1382, LookUP_Table!$A$1:$B$4, 2, FALSE), "")</f>
        <v>Secondary</v>
      </c>
      <c r="H1382">
        <v>1</v>
      </c>
      <c r="I1382">
        <v>9</v>
      </c>
      <c r="J1382" t="str">
        <f t="shared" si="126"/>
        <v>Smoker</v>
      </c>
      <c r="K1382">
        <v>0</v>
      </c>
      <c r="L1382">
        <v>0</v>
      </c>
      <c r="M1382">
        <v>1</v>
      </c>
      <c r="N1382">
        <v>0</v>
      </c>
      <c r="O1382">
        <v>236.69952267303103</v>
      </c>
      <c r="P1382" t="str">
        <f t="shared" si="127"/>
        <v>Normal</v>
      </c>
      <c r="Q1382">
        <v>147.5</v>
      </c>
      <c r="R1382">
        <v>96</v>
      </c>
      <c r="S1382">
        <v>30.57</v>
      </c>
      <c r="T1382" t="str">
        <f t="shared" si="128"/>
        <v>Obese</v>
      </c>
      <c r="U1382">
        <v>78</v>
      </c>
      <c r="V1382">
        <v>81.96365524402907</v>
      </c>
      <c r="W1382" t="str">
        <f t="shared" si="131"/>
        <v>Normal</v>
      </c>
      <c r="X1382">
        <v>1</v>
      </c>
    </row>
    <row r="1383" spans="1:24" ht="14.5" thickBot="1" x14ac:dyDescent="0.35">
      <c r="A1383">
        <v>0</v>
      </c>
      <c r="B1383" t="str">
        <f t="shared" si="129"/>
        <v>Female</v>
      </c>
      <c r="C1383" s="8">
        <v>44</v>
      </c>
      <c r="D1383" t="str">
        <f t="shared" si="130"/>
        <v>Middle Age</v>
      </c>
      <c r="E1383">
        <v>2</v>
      </c>
      <c r="F1383" t="str">
        <f>HLOOKUP(E1383, LookUP_Table!$A$6:$D$7, 2, FALSE)</f>
        <v>Secondary</v>
      </c>
      <c r="G1383" t="str">
        <f>IFERROR(VLOOKUP(E1383, LookUP_Table!$A$1:$B$4, 2, FALSE), "")</f>
        <v>Secondary</v>
      </c>
      <c r="H1383">
        <v>1</v>
      </c>
      <c r="I1383">
        <v>8</v>
      </c>
      <c r="J1383" t="str">
        <f t="shared" si="126"/>
        <v>Smoker</v>
      </c>
      <c r="K1383">
        <v>0</v>
      </c>
      <c r="L1383">
        <v>0</v>
      </c>
      <c r="M1383">
        <v>0</v>
      </c>
      <c r="N1383">
        <v>0</v>
      </c>
      <c r="O1383">
        <v>179</v>
      </c>
      <c r="P1383" t="str">
        <f t="shared" si="127"/>
        <v>Normal</v>
      </c>
      <c r="Q1383">
        <v>122</v>
      </c>
      <c r="R1383">
        <v>70</v>
      </c>
      <c r="S1383">
        <v>24.37</v>
      </c>
      <c r="T1383" t="str">
        <f t="shared" si="128"/>
        <v>Normal</v>
      </c>
      <c r="U1383">
        <v>72</v>
      </c>
      <c r="V1383">
        <v>81.96365524402907</v>
      </c>
      <c r="W1383" t="str">
        <f t="shared" si="131"/>
        <v>Normal</v>
      </c>
      <c r="X1383">
        <v>0</v>
      </c>
    </row>
    <row r="1384" spans="1:24" ht="14.5" thickBot="1" x14ac:dyDescent="0.35">
      <c r="A1384">
        <v>1</v>
      </c>
      <c r="B1384" t="str">
        <f t="shared" si="129"/>
        <v>Male</v>
      </c>
      <c r="C1384" s="8">
        <v>44</v>
      </c>
      <c r="D1384" t="str">
        <f t="shared" si="130"/>
        <v>Middle Age</v>
      </c>
      <c r="E1384">
        <v>3</v>
      </c>
      <c r="F1384" t="str">
        <f>HLOOKUP(E1384, LookUP_Table!$A$6:$D$7, 2, FALSE)</f>
        <v>Graduate</v>
      </c>
      <c r="G1384" t="str">
        <f>IFERROR(VLOOKUP(E1384, LookUP_Table!$A$1:$B$4, 2, FALSE), "")</f>
        <v>Graduate</v>
      </c>
      <c r="H1384">
        <v>1</v>
      </c>
      <c r="I1384">
        <v>30</v>
      </c>
      <c r="J1384" t="str">
        <f t="shared" si="126"/>
        <v>Smoker</v>
      </c>
      <c r="K1384">
        <v>0</v>
      </c>
      <c r="L1384">
        <v>0</v>
      </c>
      <c r="M1384">
        <v>0</v>
      </c>
      <c r="N1384">
        <v>0</v>
      </c>
      <c r="O1384">
        <v>363</v>
      </c>
      <c r="P1384" t="str">
        <f t="shared" si="127"/>
        <v>High</v>
      </c>
      <c r="Q1384">
        <v>140</v>
      </c>
      <c r="R1384">
        <v>87</v>
      </c>
      <c r="S1384">
        <v>26.44</v>
      </c>
      <c r="T1384" t="str">
        <f t="shared" si="128"/>
        <v>Overweight</v>
      </c>
      <c r="U1384">
        <v>95</v>
      </c>
      <c r="V1384">
        <v>79</v>
      </c>
      <c r="W1384" t="str">
        <f t="shared" si="131"/>
        <v>Normal</v>
      </c>
      <c r="X1384">
        <v>0</v>
      </c>
    </row>
    <row r="1385" spans="1:24" ht="14.5" thickBot="1" x14ac:dyDescent="0.35">
      <c r="A1385">
        <v>0</v>
      </c>
      <c r="B1385" t="str">
        <f t="shared" si="129"/>
        <v>Female</v>
      </c>
      <c r="C1385" s="8">
        <v>44</v>
      </c>
      <c r="D1385" t="str">
        <f t="shared" si="130"/>
        <v>Middle Age</v>
      </c>
      <c r="E1385">
        <v>1</v>
      </c>
      <c r="F1385" t="str">
        <f>HLOOKUP(E1385, LookUP_Table!$A$6:$D$7, 2, FALSE)</f>
        <v>Primary</v>
      </c>
      <c r="G1385" t="str">
        <f>IFERROR(VLOOKUP(E1385, LookUP_Table!$A$1:$B$4, 2, FALSE), "")</f>
        <v>Primary</v>
      </c>
      <c r="H1385">
        <v>0</v>
      </c>
      <c r="I1385">
        <v>0</v>
      </c>
      <c r="J1385" t="str">
        <f t="shared" si="126"/>
        <v>Non-Smoker</v>
      </c>
      <c r="K1385">
        <v>0</v>
      </c>
      <c r="L1385">
        <v>0</v>
      </c>
      <c r="M1385">
        <v>0</v>
      </c>
      <c r="N1385">
        <v>0</v>
      </c>
      <c r="O1385">
        <v>200</v>
      </c>
      <c r="P1385" t="str">
        <f t="shared" si="127"/>
        <v>Normal</v>
      </c>
      <c r="Q1385">
        <v>128</v>
      </c>
      <c r="R1385">
        <v>82</v>
      </c>
      <c r="S1385">
        <v>23.24</v>
      </c>
      <c r="T1385" t="str">
        <f t="shared" si="128"/>
        <v>Normal</v>
      </c>
      <c r="U1385">
        <v>80</v>
      </c>
      <c r="V1385">
        <v>73</v>
      </c>
      <c r="W1385" t="str">
        <f t="shared" si="131"/>
        <v>Normal</v>
      </c>
      <c r="X1385">
        <v>0</v>
      </c>
    </row>
    <row r="1386" spans="1:24" ht="14.5" thickBot="1" x14ac:dyDescent="0.35">
      <c r="A1386">
        <v>0</v>
      </c>
      <c r="B1386" t="str">
        <f t="shared" si="129"/>
        <v>Female</v>
      </c>
      <c r="C1386" s="8">
        <v>44</v>
      </c>
      <c r="D1386" t="str">
        <f t="shared" si="130"/>
        <v>Middle Age</v>
      </c>
      <c r="E1386">
        <v>4</v>
      </c>
      <c r="F1386" t="str">
        <f>HLOOKUP(E1386, LookUP_Table!$A$6:$D$7, 2, FALSE)</f>
        <v>Post Graduate</v>
      </c>
      <c r="G1386" t="str">
        <f>IFERROR(VLOOKUP(E1386, LookUP_Table!$A$1:$B$4, 2, FALSE), "")</f>
        <v>Post Graduate</v>
      </c>
      <c r="H1386">
        <v>0</v>
      </c>
      <c r="I1386">
        <v>0</v>
      </c>
      <c r="J1386" t="str">
        <f t="shared" si="126"/>
        <v>Non-Smoker</v>
      </c>
      <c r="K1386">
        <v>0</v>
      </c>
      <c r="L1386">
        <v>0</v>
      </c>
      <c r="M1386">
        <v>1</v>
      </c>
      <c r="N1386">
        <v>1</v>
      </c>
      <c r="O1386">
        <v>254</v>
      </c>
      <c r="P1386" t="str">
        <f t="shared" si="127"/>
        <v>High</v>
      </c>
      <c r="Q1386">
        <v>145</v>
      </c>
      <c r="R1386">
        <v>85</v>
      </c>
      <c r="S1386">
        <v>21.27</v>
      </c>
      <c r="T1386" t="str">
        <f t="shared" si="128"/>
        <v>Normal</v>
      </c>
      <c r="U1386">
        <v>75</v>
      </c>
      <c r="V1386">
        <v>137</v>
      </c>
      <c r="W1386" t="str">
        <f t="shared" si="131"/>
        <v>Diabetes</v>
      </c>
      <c r="X1386">
        <v>0</v>
      </c>
    </row>
    <row r="1387" spans="1:24" ht="14.5" thickBot="1" x14ac:dyDescent="0.35">
      <c r="A1387">
        <v>1</v>
      </c>
      <c r="B1387" t="str">
        <f t="shared" si="129"/>
        <v>Male</v>
      </c>
      <c r="C1387" s="8">
        <v>44</v>
      </c>
      <c r="D1387" t="str">
        <f t="shared" si="130"/>
        <v>Middle Age</v>
      </c>
      <c r="E1387">
        <v>1</v>
      </c>
      <c r="F1387" t="str">
        <f>HLOOKUP(E1387, LookUP_Table!$A$6:$D$7, 2, FALSE)</f>
        <v>Primary</v>
      </c>
      <c r="G1387" t="str">
        <f>IFERROR(VLOOKUP(E1387, LookUP_Table!$A$1:$B$4, 2, FALSE), "")</f>
        <v>Primary</v>
      </c>
      <c r="H1387">
        <v>1</v>
      </c>
      <c r="I1387">
        <v>20</v>
      </c>
      <c r="J1387" t="str">
        <f t="shared" si="126"/>
        <v>Smoker</v>
      </c>
      <c r="K1387">
        <v>0</v>
      </c>
      <c r="L1387">
        <v>0</v>
      </c>
      <c r="M1387">
        <v>1</v>
      </c>
      <c r="N1387">
        <v>0</v>
      </c>
      <c r="O1387">
        <v>316</v>
      </c>
      <c r="P1387" t="str">
        <f t="shared" si="127"/>
        <v>High</v>
      </c>
      <c r="Q1387">
        <v>135</v>
      </c>
      <c r="R1387">
        <v>95</v>
      </c>
      <c r="S1387">
        <v>25.48</v>
      </c>
      <c r="T1387" t="str">
        <f t="shared" si="128"/>
        <v>Overweight</v>
      </c>
      <c r="U1387">
        <v>75</v>
      </c>
      <c r="V1387">
        <v>68</v>
      </c>
      <c r="W1387" t="str">
        <f t="shared" si="131"/>
        <v>Normal</v>
      </c>
      <c r="X1387">
        <v>0</v>
      </c>
    </row>
    <row r="1388" spans="1:24" ht="14.5" thickBot="1" x14ac:dyDescent="0.35">
      <c r="A1388">
        <v>1</v>
      </c>
      <c r="B1388" t="str">
        <f t="shared" si="129"/>
        <v>Male</v>
      </c>
      <c r="C1388" s="8">
        <v>44</v>
      </c>
      <c r="D1388" t="str">
        <f t="shared" si="130"/>
        <v>Middle Age</v>
      </c>
      <c r="E1388">
        <v>3</v>
      </c>
      <c r="F1388" t="str">
        <f>HLOOKUP(E1388, LookUP_Table!$A$6:$D$7, 2, FALSE)</f>
        <v>Graduate</v>
      </c>
      <c r="G1388" t="str">
        <f>IFERROR(VLOOKUP(E1388, LookUP_Table!$A$1:$B$4, 2, FALSE), "")</f>
        <v>Graduate</v>
      </c>
      <c r="H1388">
        <v>0</v>
      </c>
      <c r="I1388">
        <v>0</v>
      </c>
      <c r="J1388" t="str">
        <f t="shared" si="126"/>
        <v>Non-Smoker</v>
      </c>
      <c r="K1388">
        <v>0</v>
      </c>
      <c r="L1388">
        <v>0</v>
      </c>
      <c r="M1388">
        <v>0</v>
      </c>
      <c r="N1388">
        <v>0</v>
      </c>
      <c r="O1388">
        <v>216</v>
      </c>
      <c r="P1388" t="str">
        <f t="shared" si="127"/>
        <v>Normal</v>
      </c>
      <c r="Q1388">
        <v>113.5</v>
      </c>
      <c r="R1388">
        <v>77</v>
      </c>
      <c r="S1388">
        <v>28.23</v>
      </c>
      <c r="T1388" t="str">
        <f t="shared" si="128"/>
        <v>Overweight</v>
      </c>
      <c r="U1388">
        <v>64</v>
      </c>
      <c r="V1388">
        <v>77</v>
      </c>
      <c r="W1388" t="str">
        <f t="shared" si="131"/>
        <v>Normal</v>
      </c>
      <c r="X1388">
        <v>0</v>
      </c>
    </row>
    <row r="1389" spans="1:24" ht="14.5" thickBot="1" x14ac:dyDescent="0.35">
      <c r="A1389">
        <v>0</v>
      </c>
      <c r="B1389" t="str">
        <f t="shared" si="129"/>
        <v>Female</v>
      </c>
      <c r="C1389" s="8">
        <v>44</v>
      </c>
      <c r="D1389" t="str">
        <f t="shared" si="130"/>
        <v>Middle Age</v>
      </c>
      <c r="E1389">
        <v>2</v>
      </c>
      <c r="F1389" t="str">
        <f>HLOOKUP(E1389, LookUP_Table!$A$6:$D$7, 2, FALSE)</f>
        <v>Secondary</v>
      </c>
      <c r="G1389" t="str">
        <f>IFERROR(VLOOKUP(E1389, LookUP_Table!$A$1:$B$4, 2, FALSE), "")</f>
        <v>Secondary</v>
      </c>
      <c r="H1389">
        <v>0</v>
      </c>
      <c r="I1389">
        <v>0</v>
      </c>
      <c r="J1389" t="str">
        <f t="shared" si="126"/>
        <v>Non-Smoker</v>
      </c>
      <c r="K1389">
        <v>0</v>
      </c>
      <c r="L1389">
        <v>0</v>
      </c>
      <c r="M1389">
        <v>0</v>
      </c>
      <c r="N1389">
        <v>0</v>
      </c>
      <c r="O1389">
        <v>194</v>
      </c>
      <c r="P1389" t="str">
        <f t="shared" si="127"/>
        <v>Normal</v>
      </c>
      <c r="Q1389">
        <v>117</v>
      </c>
      <c r="R1389">
        <v>78</v>
      </c>
      <c r="S1389">
        <v>24.94</v>
      </c>
      <c r="T1389" t="str">
        <f t="shared" si="128"/>
        <v>Normal</v>
      </c>
      <c r="U1389">
        <v>65</v>
      </c>
      <c r="V1389">
        <v>79</v>
      </c>
      <c r="W1389" t="str">
        <f t="shared" si="131"/>
        <v>Normal</v>
      </c>
      <c r="X1389">
        <v>0</v>
      </c>
    </row>
    <row r="1390" spans="1:24" ht="14.5" thickBot="1" x14ac:dyDescent="0.35">
      <c r="A1390">
        <v>0</v>
      </c>
      <c r="B1390" t="str">
        <f t="shared" si="129"/>
        <v>Female</v>
      </c>
      <c r="C1390" s="8">
        <v>44</v>
      </c>
      <c r="D1390" t="str">
        <f t="shared" si="130"/>
        <v>Middle Age</v>
      </c>
      <c r="E1390">
        <v>2</v>
      </c>
      <c r="F1390" t="str">
        <f>HLOOKUP(E1390, LookUP_Table!$A$6:$D$7, 2, FALSE)</f>
        <v>Secondary</v>
      </c>
      <c r="G1390" t="str">
        <f>IFERROR(VLOOKUP(E1390, LookUP_Table!$A$1:$B$4, 2, FALSE), "")</f>
        <v>Secondary</v>
      </c>
      <c r="H1390">
        <v>1</v>
      </c>
      <c r="I1390">
        <v>5</v>
      </c>
      <c r="J1390" t="str">
        <f t="shared" si="126"/>
        <v>Smoker</v>
      </c>
      <c r="K1390">
        <v>0</v>
      </c>
      <c r="L1390">
        <v>0</v>
      </c>
      <c r="M1390">
        <v>0</v>
      </c>
      <c r="N1390">
        <v>0</v>
      </c>
      <c r="O1390">
        <v>175</v>
      </c>
      <c r="P1390" t="str">
        <f t="shared" si="127"/>
        <v>Normal</v>
      </c>
      <c r="Q1390">
        <v>130</v>
      </c>
      <c r="R1390">
        <v>80</v>
      </c>
      <c r="S1390">
        <v>19.18</v>
      </c>
      <c r="T1390" t="str">
        <f t="shared" si="128"/>
        <v>Normal</v>
      </c>
      <c r="U1390">
        <v>75</v>
      </c>
      <c r="V1390">
        <v>117</v>
      </c>
      <c r="W1390" t="str">
        <f t="shared" si="131"/>
        <v>Prediabetes</v>
      </c>
      <c r="X1390">
        <v>0</v>
      </c>
    </row>
    <row r="1391" spans="1:24" ht="14.5" thickBot="1" x14ac:dyDescent="0.35">
      <c r="A1391">
        <v>1</v>
      </c>
      <c r="B1391" t="str">
        <f t="shared" si="129"/>
        <v>Male</v>
      </c>
      <c r="C1391" s="8">
        <v>44</v>
      </c>
      <c r="D1391" t="str">
        <f t="shared" si="130"/>
        <v>Middle Age</v>
      </c>
      <c r="E1391">
        <v>4</v>
      </c>
      <c r="F1391" t="str">
        <f>HLOOKUP(E1391, LookUP_Table!$A$6:$D$7, 2, FALSE)</f>
        <v>Post Graduate</v>
      </c>
      <c r="G1391" t="str">
        <f>IFERROR(VLOOKUP(E1391, LookUP_Table!$A$1:$B$4, 2, FALSE), "")</f>
        <v>Post Graduate</v>
      </c>
      <c r="H1391">
        <v>1</v>
      </c>
      <c r="I1391">
        <v>25</v>
      </c>
      <c r="J1391" t="str">
        <f t="shared" si="126"/>
        <v>Smoker</v>
      </c>
      <c r="K1391">
        <v>0</v>
      </c>
      <c r="L1391">
        <v>0</v>
      </c>
      <c r="M1391">
        <v>0</v>
      </c>
      <c r="N1391">
        <v>1</v>
      </c>
      <c r="O1391">
        <v>241</v>
      </c>
      <c r="P1391" t="str">
        <f t="shared" si="127"/>
        <v>High</v>
      </c>
      <c r="Q1391">
        <v>111</v>
      </c>
      <c r="R1391">
        <v>78</v>
      </c>
      <c r="S1391">
        <v>27.78</v>
      </c>
      <c r="T1391" t="str">
        <f t="shared" si="128"/>
        <v>Overweight</v>
      </c>
      <c r="U1391">
        <v>85</v>
      </c>
      <c r="V1391">
        <v>167</v>
      </c>
      <c r="W1391" t="str">
        <f t="shared" si="131"/>
        <v>Diabetes</v>
      </c>
      <c r="X1391">
        <v>1</v>
      </c>
    </row>
    <row r="1392" spans="1:24" ht="14.5" thickBot="1" x14ac:dyDescent="0.35">
      <c r="A1392">
        <v>0</v>
      </c>
      <c r="B1392" t="str">
        <f t="shared" si="129"/>
        <v>Female</v>
      </c>
      <c r="C1392" s="8">
        <v>44</v>
      </c>
      <c r="D1392" t="str">
        <f t="shared" si="130"/>
        <v>Middle Age</v>
      </c>
      <c r="E1392">
        <v>1</v>
      </c>
      <c r="F1392" t="str">
        <f>HLOOKUP(E1392, LookUP_Table!$A$6:$D$7, 2, FALSE)</f>
        <v>Primary</v>
      </c>
      <c r="G1392" t="str">
        <f>IFERROR(VLOOKUP(E1392, LookUP_Table!$A$1:$B$4, 2, FALSE), "")</f>
        <v>Primary</v>
      </c>
      <c r="H1392">
        <v>0</v>
      </c>
      <c r="I1392">
        <v>0</v>
      </c>
      <c r="J1392" t="str">
        <f t="shared" si="126"/>
        <v>Non-Smoker</v>
      </c>
      <c r="K1392">
        <v>0</v>
      </c>
      <c r="L1392">
        <v>0</v>
      </c>
      <c r="M1392">
        <v>0</v>
      </c>
      <c r="N1392">
        <v>0</v>
      </c>
      <c r="O1392">
        <v>178</v>
      </c>
      <c r="P1392" t="str">
        <f t="shared" si="127"/>
        <v>Normal</v>
      </c>
      <c r="Q1392">
        <v>113</v>
      </c>
      <c r="R1392">
        <v>78</v>
      </c>
      <c r="S1392">
        <v>31.93</v>
      </c>
      <c r="T1392" t="str">
        <f t="shared" si="128"/>
        <v>Obese</v>
      </c>
      <c r="U1392">
        <v>64</v>
      </c>
      <c r="V1392">
        <v>74</v>
      </c>
      <c r="W1392" t="str">
        <f t="shared" si="131"/>
        <v>Normal</v>
      </c>
      <c r="X1392">
        <v>0</v>
      </c>
    </row>
    <row r="1393" spans="1:24" ht="14.5" thickBot="1" x14ac:dyDescent="0.35">
      <c r="A1393">
        <v>0</v>
      </c>
      <c r="B1393" t="str">
        <f t="shared" si="129"/>
        <v>Female</v>
      </c>
      <c r="C1393" s="8">
        <v>44</v>
      </c>
      <c r="D1393" t="str">
        <f t="shared" si="130"/>
        <v>Middle Age</v>
      </c>
      <c r="E1393">
        <v>2</v>
      </c>
      <c r="F1393" t="str">
        <f>HLOOKUP(E1393, LookUP_Table!$A$6:$D$7, 2, FALSE)</f>
        <v>Secondary</v>
      </c>
      <c r="G1393" t="str">
        <f>IFERROR(VLOOKUP(E1393, LookUP_Table!$A$1:$B$4, 2, FALSE), "")</f>
        <v>Secondary</v>
      </c>
      <c r="H1393">
        <v>1</v>
      </c>
      <c r="I1393">
        <v>3</v>
      </c>
      <c r="J1393" t="str">
        <f t="shared" si="126"/>
        <v>Smoker</v>
      </c>
      <c r="K1393">
        <v>0</v>
      </c>
      <c r="L1393">
        <v>0</v>
      </c>
      <c r="M1393">
        <v>0</v>
      </c>
      <c r="N1393">
        <v>0</v>
      </c>
      <c r="O1393">
        <v>239</v>
      </c>
      <c r="P1393" t="str">
        <f t="shared" si="127"/>
        <v>Normal</v>
      </c>
      <c r="Q1393">
        <v>103</v>
      </c>
      <c r="R1393">
        <v>67</v>
      </c>
      <c r="S1393">
        <v>26.58</v>
      </c>
      <c r="T1393" t="str">
        <f t="shared" si="128"/>
        <v>Overweight</v>
      </c>
      <c r="U1393">
        <v>66</v>
      </c>
      <c r="V1393">
        <v>73</v>
      </c>
      <c r="W1393" t="str">
        <f t="shared" si="131"/>
        <v>Normal</v>
      </c>
      <c r="X1393">
        <v>0</v>
      </c>
    </row>
    <row r="1394" spans="1:24" ht="14.5" thickBot="1" x14ac:dyDescent="0.35">
      <c r="A1394">
        <v>1</v>
      </c>
      <c r="B1394" t="str">
        <f t="shared" si="129"/>
        <v>Male</v>
      </c>
      <c r="C1394" s="8">
        <v>44</v>
      </c>
      <c r="D1394" t="str">
        <f t="shared" si="130"/>
        <v>Middle Age</v>
      </c>
      <c r="E1394">
        <v>1</v>
      </c>
      <c r="F1394" t="str">
        <f>HLOOKUP(E1394, LookUP_Table!$A$6:$D$7, 2, FALSE)</f>
        <v>Primary</v>
      </c>
      <c r="G1394" t="str">
        <f>IFERROR(VLOOKUP(E1394, LookUP_Table!$A$1:$B$4, 2, FALSE), "")</f>
        <v>Primary</v>
      </c>
      <c r="H1394">
        <v>1</v>
      </c>
      <c r="I1394">
        <v>40</v>
      </c>
      <c r="J1394" t="str">
        <f t="shared" si="126"/>
        <v>Smoker</v>
      </c>
      <c r="K1394">
        <v>0</v>
      </c>
      <c r="L1394">
        <v>0</v>
      </c>
      <c r="M1394">
        <v>0</v>
      </c>
      <c r="N1394">
        <v>0</v>
      </c>
      <c r="O1394">
        <v>158</v>
      </c>
      <c r="P1394" t="str">
        <f t="shared" si="127"/>
        <v>Normal</v>
      </c>
      <c r="Q1394">
        <v>150.5</v>
      </c>
      <c r="R1394">
        <v>87</v>
      </c>
      <c r="S1394">
        <v>21.44</v>
      </c>
      <c r="T1394" t="str">
        <f t="shared" si="128"/>
        <v>Normal</v>
      </c>
      <c r="U1394">
        <v>75</v>
      </c>
      <c r="V1394">
        <v>98</v>
      </c>
      <c r="W1394" t="str">
        <f t="shared" si="131"/>
        <v>Normal</v>
      </c>
      <c r="X1394">
        <v>1</v>
      </c>
    </row>
    <row r="1395" spans="1:24" ht="14.5" thickBot="1" x14ac:dyDescent="0.35">
      <c r="A1395">
        <v>1</v>
      </c>
      <c r="B1395" t="str">
        <f t="shared" si="129"/>
        <v>Male</v>
      </c>
      <c r="C1395" s="8">
        <v>44</v>
      </c>
      <c r="D1395" t="str">
        <f t="shared" si="130"/>
        <v>Middle Age</v>
      </c>
      <c r="E1395">
        <v>1</v>
      </c>
      <c r="F1395" t="str">
        <f>HLOOKUP(E1395, LookUP_Table!$A$6:$D$7, 2, FALSE)</f>
        <v>Primary</v>
      </c>
      <c r="G1395" t="str">
        <f>IFERROR(VLOOKUP(E1395, LookUP_Table!$A$1:$B$4, 2, FALSE), "")</f>
        <v>Primary</v>
      </c>
      <c r="H1395">
        <v>0</v>
      </c>
      <c r="I1395">
        <v>0</v>
      </c>
      <c r="J1395" t="str">
        <f t="shared" si="126"/>
        <v>Non-Smoker</v>
      </c>
      <c r="K1395">
        <v>0</v>
      </c>
      <c r="L1395">
        <v>0</v>
      </c>
      <c r="M1395">
        <v>1</v>
      </c>
      <c r="N1395">
        <v>0</v>
      </c>
      <c r="O1395">
        <v>229</v>
      </c>
      <c r="P1395" t="str">
        <f t="shared" si="127"/>
        <v>Normal</v>
      </c>
      <c r="Q1395">
        <v>142</v>
      </c>
      <c r="R1395">
        <v>92</v>
      </c>
      <c r="S1395">
        <v>25.21</v>
      </c>
      <c r="T1395" t="str">
        <f t="shared" si="128"/>
        <v>Overweight</v>
      </c>
      <c r="U1395">
        <v>72</v>
      </c>
      <c r="V1395">
        <v>76</v>
      </c>
      <c r="W1395" t="str">
        <f t="shared" si="131"/>
        <v>Normal</v>
      </c>
      <c r="X1395">
        <v>0</v>
      </c>
    </row>
    <row r="1396" spans="1:24" ht="14.5" thickBot="1" x14ac:dyDescent="0.35">
      <c r="A1396">
        <v>1</v>
      </c>
      <c r="B1396" t="str">
        <f t="shared" si="129"/>
        <v>Male</v>
      </c>
      <c r="C1396" s="8">
        <v>44</v>
      </c>
      <c r="D1396" t="str">
        <f t="shared" si="130"/>
        <v>Middle Age</v>
      </c>
      <c r="E1396">
        <v>2</v>
      </c>
      <c r="F1396" t="str">
        <f>HLOOKUP(E1396, LookUP_Table!$A$6:$D$7, 2, FALSE)</f>
        <v>Secondary</v>
      </c>
      <c r="G1396" t="str">
        <f>IFERROR(VLOOKUP(E1396, LookUP_Table!$A$1:$B$4, 2, FALSE), "")</f>
        <v>Secondary</v>
      </c>
      <c r="H1396">
        <v>0</v>
      </c>
      <c r="I1396">
        <v>0</v>
      </c>
      <c r="J1396" t="str">
        <f t="shared" si="126"/>
        <v>Non-Smoker</v>
      </c>
      <c r="K1396">
        <v>0</v>
      </c>
      <c r="L1396">
        <v>0</v>
      </c>
      <c r="M1396">
        <v>0</v>
      </c>
      <c r="N1396">
        <v>0</v>
      </c>
      <c r="O1396">
        <v>210</v>
      </c>
      <c r="P1396" t="str">
        <f t="shared" si="127"/>
        <v>Normal</v>
      </c>
      <c r="Q1396">
        <v>133</v>
      </c>
      <c r="R1396">
        <v>85.5</v>
      </c>
      <c r="S1396">
        <v>25.14</v>
      </c>
      <c r="T1396" t="str">
        <f t="shared" si="128"/>
        <v>Overweight</v>
      </c>
      <c r="U1396">
        <v>75</v>
      </c>
      <c r="V1396">
        <v>90</v>
      </c>
      <c r="W1396" t="str">
        <f t="shared" si="131"/>
        <v>Normal</v>
      </c>
      <c r="X1396">
        <v>0</v>
      </c>
    </row>
    <row r="1397" spans="1:24" ht="14.5" thickBot="1" x14ac:dyDescent="0.35">
      <c r="A1397">
        <v>0</v>
      </c>
      <c r="B1397" t="str">
        <f t="shared" si="129"/>
        <v>Female</v>
      </c>
      <c r="C1397" s="8">
        <v>44</v>
      </c>
      <c r="D1397" t="str">
        <f t="shared" si="130"/>
        <v>Middle Age</v>
      </c>
      <c r="E1397">
        <v>4</v>
      </c>
      <c r="F1397" t="str">
        <f>HLOOKUP(E1397, LookUP_Table!$A$6:$D$7, 2, FALSE)</f>
        <v>Post Graduate</v>
      </c>
      <c r="G1397" t="str">
        <f>IFERROR(VLOOKUP(E1397, LookUP_Table!$A$1:$B$4, 2, FALSE), "")</f>
        <v>Post Graduate</v>
      </c>
      <c r="H1397">
        <v>1</v>
      </c>
      <c r="I1397">
        <v>1</v>
      </c>
      <c r="J1397" t="str">
        <f t="shared" si="126"/>
        <v>Smoker</v>
      </c>
      <c r="K1397">
        <v>0</v>
      </c>
      <c r="L1397">
        <v>0</v>
      </c>
      <c r="M1397">
        <v>0</v>
      </c>
      <c r="N1397">
        <v>0</v>
      </c>
      <c r="O1397">
        <v>253</v>
      </c>
      <c r="P1397" t="str">
        <f t="shared" si="127"/>
        <v>High</v>
      </c>
      <c r="Q1397">
        <v>118</v>
      </c>
      <c r="R1397">
        <v>68</v>
      </c>
      <c r="S1397">
        <v>22.72</v>
      </c>
      <c r="T1397" t="str">
        <f t="shared" si="128"/>
        <v>Normal</v>
      </c>
      <c r="U1397">
        <v>68</v>
      </c>
      <c r="V1397">
        <v>110</v>
      </c>
      <c r="W1397" t="str">
        <f t="shared" si="131"/>
        <v>Prediabetes</v>
      </c>
      <c r="X1397">
        <v>0</v>
      </c>
    </row>
    <row r="1398" spans="1:24" ht="14.5" thickBot="1" x14ac:dyDescent="0.35">
      <c r="A1398">
        <v>1</v>
      </c>
      <c r="B1398" t="str">
        <f t="shared" si="129"/>
        <v>Male</v>
      </c>
      <c r="C1398" s="8">
        <v>44</v>
      </c>
      <c r="D1398" t="str">
        <f t="shared" si="130"/>
        <v>Middle Age</v>
      </c>
      <c r="E1398">
        <v>3</v>
      </c>
      <c r="F1398" t="str">
        <f>HLOOKUP(E1398, LookUP_Table!$A$6:$D$7, 2, FALSE)</f>
        <v>Graduate</v>
      </c>
      <c r="G1398" t="str">
        <f>IFERROR(VLOOKUP(E1398, LookUP_Table!$A$1:$B$4, 2, FALSE), "")</f>
        <v>Graduate</v>
      </c>
      <c r="H1398">
        <v>1</v>
      </c>
      <c r="I1398">
        <v>3</v>
      </c>
      <c r="J1398" t="str">
        <f t="shared" si="126"/>
        <v>Smoker</v>
      </c>
      <c r="K1398">
        <v>0</v>
      </c>
      <c r="L1398">
        <v>0</v>
      </c>
      <c r="M1398">
        <v>1</v>
      </c>
      <c r="N1398">
        <v>0</v>
      </c>
      <c r="O1398">
        <v>352</v>
      </c>
      <c r="P1398" t="str">
        <f t="shared" si="127"/>
        <v>High</v>
      </c>
      <c r="Q1398">
        <v>164</v>
      </c>
      <c r="R1398">
        <v>119</v>
      </c>
      <c r="S1398">
        <v>28.92</v>
      </c>
      <c r="T1398" t="str">
        <f t="shared" si="128"/>
        <v>Overweight</v>
      </c>
      <c r="U1398">
        <v>73</v>
      </c>
      <c r="V1398">
        <v>72</v>
      </c>
      <c r="W1398" t="str">
        <f t="shared" si="131"/>
        <v>Normal</v>
      </c>
      <c r="X1398">
        <v>1</v>
      </c>
    </row>
    <row r="1399" spans="1:24" ht="14.5" thickBot="1" x14ac:dyDescent="0.35">
      <c r="A1399">
        <v>0</v>
      </c>
      <c r="B1399" t="str">
        <f t="shared" si="129"/>
        <v>Female</v>
      </c>
      <c r="C1399" s="8">
        <v>44</v>
      </c>
      <c r="D1399" t="str">
        <f t="shared" si="130"/>
        <v>Middle Age</v>
      </c>
      <c r="E1399">
        <v>1</v>
      </c>
      <c r="F1399" t="str">
        <f>HLOOKUP(E1399, LookUP_Table!$A$6:$D$7, 2, FALSE)</f>
        <v>Primary</v>
      </c>
      <c r="G1399" t="str">
        <f>IFERROR(VLOOKUP(E1399, LookUP_Table!$A$1:$B$4, 2, FALSE), "")</f>
        <v>Primary</v>
      </c>
      <c r="H1399">
        <v>1</v>
      </c>
      <c r="I1399">
        <v>20</v>
      </c>
      <c r="J1399" t="str">
        <f t="shared" si="126"/>
        <v>Smoker</v>
      </c>
      <c r="K1399">
        <v>0</v>
      </c>
      <c r="L1399">
        <v>0</v>
      </c>
      <c r="M1399">
        <v>0</v>
      </c>
      <c r="N1399">
        <v>0</v>
      </c>
      <c r="O1399">
        <v>302</v>
      </c>
      <c r="P1399" t="str">
        <f t="shared" si="127"/>
        <v>High</v>
      </c>
      <c r="Q1399">
        <v>116</v>
      </c>
      <c r="R1399">
        <v>77</v>
      </c>
      <c r="S1399">
        <v>22.67</v>
      </c>
      <c r="T1399" t="str">
        <f t="shared" si="128"/>
        <v>Normal</v>
      </c>
      <c r="U1399">
        <v>75</v>
      </c>
      <c r="V1399">
        <v>98</v>
      </c>
      <c r="W1399" t="str">
        <f t="shared" si="131"/>
        <v>Normal</v>
      </c>
      <c r="X1399">
        <v>0</v>
      </c>
    </row>
    <row r="1400" spans="1:24" ht="14.5" thickBot="1" x14ac:dyDescent="0.35">
      <c r="A1400">
        <v>0</v>
      </c>
      <c r="B1400" t="str">
        <f t="shared" si="129"/>
        <v>Female</v>
      </c>
      <c r="C1400" s="8">
        <v>44</v>
      </c>
      <c r="D1400" t="str">
        <f t="shared" si="130"/>
        <v>Middle Age</v>
      </c>
      <c r="E1400">
        <v>4</v>
      </c>
      <c r="F1400" t="str">
        <f>HLOOKUP(E1400, LookUP_Table!$A$6:$D$7, 2, FALSE)</f>
        <v>Post Graduate</v>
      </c>
      <c r="G1400" t="str">
        <f>IFERROR(VLOOKUP(E1400, LookUP_Table!$A$1:$B$4, 2, FALSE), "")</f>
        <v>Post Graduate</v>
      </c>
      <c r="H1400">
        <v>0</v>
      </c>
      <c r="I1400">
        <v>0</v>
      </c>
      <c r="J1400" t="str">
        <f t="shared" si="126"/>
        <v>Non-Smoker</v>
      </c>
      <c r="K1400">
        <v>0</v>
      </c>
      <c r="L1400">
        <v>0</v>
      </c>
      <c r="M1400">
        <v>0</v>
      </c>
      <c r="N1400">
        <v>0</v>
      </c>
      <c r="O1400">
        <v>216</v>
      </c>
      <c r="P1400" t="str">
        <f t="shared" si="127"/>
        <v>Normal</v>
      </c>
      <c r="Q1400">
        <v>113</v>
      </c>
      <c r="R1400">
        <v>74</v>
      </c>
      <c r="S1400">
        <v>22.19</v>
      </c>
      <c r="T1400" t="str">
        <f t="shared" si="128"/>
        <v>Normal</v>
      </c>
      <c r="U1400">
        <v>80</v>
      </c>
      <c r="V1400">
        <v>76</v>
      </c>
      <c r="W1400" t="str">
        <f t="shared" si="131"/>
        <v>Normal</v>
      </c>
      <c r="X1400">
        <v>0</v>
      </c>
    </row>
    <row r="1401" spans="1:24" ht="14.5" thickBot="1" x14ac:dyDescent="0.35">
      <c r="A1401">
        <v>0</v>
      </c>
      <c r="B1401" t="str">
        <f t="shared" si="129"/>
        <v>Female</v>
      </c>
      <c r="C1401" s="8">
        <v>44</v>
      </c>
      <c r="D1401" t="str">
        <f t="shared" si="130"/>
        <v>Middle Age</v>
      </c>
      <c r="E1401">
        <v>1</v>
      </c>
      <c r="F1401" t="str">
        <f>HLOOKUP(E1401, LookUP_Table!$A$6:$D$7, 2, FALSE)</f>
        <v>Primary</v>
      </c>
      <c r="G1401" t="str">
        <f>IFERROR(VLOOKUP(E1401, LookUP_Table!$A$1:$B$4, 2, FALSE), "")</f>
        <v>Primary</v>
      </c>
      <c r="H1401">
        <v>1</v>
      </c>
      <c r="I1401">
        <v>30</v>
      </c>
      <c r="J1401" t="str">
        <f t="shared" si="126"/>
        <v>Smoker</v>
      </c>
      <c r="K1401">
        <v>0</v>
      </c>
      <c r="L1401">
        <v>0</v>
      </c>
      <c r="M1401">
        <v>0</v>
      </c>
      <c r="N1401">
        <v>0</v>
      </c>
      <c r="O1401">
        <v>292</v>
      </c>
      <c r="P1401" t="str">
        <f t="shared" si="127"/>
        <v>High</v>
      </c>
      <c r="Q1401">
        <v>110</v>
      </c>
      <c r="R1401">
        <v>65</v>
      </c>
      <c r="S1401">
        <v>22.55</v>
      </c>
      <c r="T1401" t="str">
        <f t="shared" si="128"/>
        <v>Normal</v>
      </c>
      <c r="U1401">
        <v>62</v>
      </c>
      <c r="V1401">
        <v>78</v>
      </c>
      <c r="W1401" t="str">
        <f t="shared" si="131"/>
        <v>Normal</v>
      </c>
      <c r="X1401">
        <v>0</v>
      </c>
    </row>
    <row r="1402" spans="1:24" ht="14.5" thickBot="1" x14ac:dyDescent="0.35">
      <c r="A1402">
        <v>0</v>
      </c>
      <c r="B1402" t="str">
        <f t="shared" si="129"/>
        <v>Female</v>
      </c>
      <c r="C1402" s="8">
        <v>44</v>
      </c>
      <c r="D1402" t="str">
        <f t="shared" si="130"/>
        <v>Middle Age</v>
      </c>
      <c r="E1402">
        <v>1</v>
      </c>
      <c r="F1402" t="str">
        <f>HLOOKUP(E1402, LookUP_Table!$A$6:$D$7, 2, FALSE)</f>
        <v>Primary</v>
      </c>
      <c r="G1402" t="str">
        <f>IFERROR(VLOOKUP(E1402, LookUP_Table!$A$1:$B$4, 2, FALSE), "")</f>
        <v>Primary</v>
      </c>
      <c r="H1402">
        <v>1</v>
      </c>
      <c r="I1402">
        <v>9</v>
      </c>
      <c r="J1402" t="str">
        <f t="shared" si="126"/>
        <v>Smoker</v>
      </c>
      <c r="K1402">
        <v>0</v>
      </c>
      <c r="L1402">
        <v>0</v>
      </c>
      <c r="M1402">
        <v>0</v>
      </c>
      <c r="N1402">
        <v>0</v>
      </c>
      <c r="O1402">
        <v>140</v>
      </c>
      <c r="P1402" t="str">
        <f t="shared" si="127"/>
        <v>Normal</v>
      </c>
      <c r="Q1402">
        <v>118</v>
      </c>
      <c r="R1402">
        <v>74</v>
      </c>
      <c r="S1402">
        <v>26.51</v>
      </c>
      <c r="T1402" t="str">
        <f t="shared" si="128"/>
        <v>Overweight</v>
      </c>
      <c r="U1402">
        <v>80</v>
      </c>
      <c r="V1402">
        <v>82</v>
      </c>
      <c r="W1402" t="str">
        <f t="shared" si="131"/>
        <v>Normal</v>
      </c>
      <c r="X1402">
        <v>0</v>
      </c>
    </row>
    <row r="1403" spans="1:24" ht="14.5" thickBot="1" x14ac:dyDescent="0.35">
      <c r="A1403">
        <v>1</v>
      </c>
      <c r="B1403" t="str">
        <f t="shared" si="129"/>
        <v>Male</v>
      </c>
      <c r="C1403" s="8">
        <v>44</v>
      </c>
      <c r="D1403" t="str">
        <f t="shared" si="130"/>
        <v>Middle Age</v>
      </c>
      <c r="E1403">
        <v>1</v>
      </c>
      <c r="F1403" t="str">
        <f>HLOOKUP(E1403, LookUP_Table!$A$6:$D$7, 2, FALSE)</f>
        <v>Primary</v>
      </c>
      <c r="G1403" t="str">
        <f>IFERROR(VLOOKUP(E1403, LookUP_Table!$A$1:$B$4, 2, FALSE), "")</f>
        <v>Primary</v>
      </c>
      <c r="H1403">
        <v>1</v>
      </c>
      <c r="I1403">
        <v>20</v>
      </c>
      <c r="J1403" t="str">
        <f t="shared" si="126"/>
        <v>Smoker</v>
      </c>
      <c r="K1403">
        <v>0</v>
      </c>
      <c r="L1403">
        <v>0</v>
      </c>
      <c r="M1403">
        <v>1</v>
      </c>
      <c r="N1403">
        <v>0</v>
      </c>
      <c r="O1403">
        <v>246</v>
      </c>
      <c r="P1403" t="str">
        <f t="shared" si="127"/>
        <v>High</v>
      </c>
      <c r="Q1403">
        <v>136</v>
      </c>
      <c r="R1403">
        <v>94</v>
      </c>
      <c r="S1403">
        <v>24.56</v>
      </c>
      <c r="T1403" t="str">
        <f t="shared" si="128"/>
        <v>Normal</v>
      </c>
      <c r="U1403">
        <v>85</v>
      </c>
      <c r="V1403">
        <v>86</v>
      </c>
      <c r="W1403" t="str">
        <f t="shared" si="131"/>
        <v>Normal</v>
      </c>
      <c r="X1403">
        <v>0</v>
      </c>
    </row>
    <row r="1404" spans="1:24" ht="14.5" thickBot="1" x14ac:dyDescent="0.35">
      <c r="A1404">
        <v>0</v>
      </c>
      <c r="B1404" t="str">
        <f t="shared" si="129"/>
        <v>Female</v>
      </c>
      <c r="C1404" s="8">
        <v>44</v>
      </c>
      <c r="D1404" t="str">
        <f t="shared" si="130"/>
        <v>Middle Age</v>
      </c>
      <c r="E1404">
        <v>2</v>
      </c>
      <c r="F1404" t="str">
        <f>HLOOKUP(E1404, LookUP_Table!$A$6:$D$7, 2, FALSE)</f>
        <v>Secondary</v>
      </c>
      <c r="G1404" t="str">
        <f>IFERROR(VLOOKUP(E1404, LookUP_Table!$A$1:$B$4, 2, FALSE), "")</f>
        <v>Secondary</v>
      </c>
      <c r="H1404">
        <v>1</v>
      </c>
      <c r="I1404">
        <v>20</v>
      </c>
      <c r="J1404" t="str">
        <f t="shared" si="126"/>
        <v>Smoker</v>
      </c>
      <c r="K1404">
        <v>0</v>
      </c>
      <c r="L1404">
        <v>0</v>
      </c>
      <c r="M1404">
        <v>1</v>
      </c>
      <c r="N1404">
        <v>0</v>
      </c>
      <c r="O1404">
        <v>270</v>
      </c>
      <c r="P1404" t="str">
        <f t="shared" si="127"/>
        <v>High</v>
      </c>
      <c r="Q1404">
        <v>167.5</v>
      </c>
      <c r="R1404">
        <v>92.5</v>
      </c>
      <c r="S1404">
        <v>21.28</v>
      </c>
      <c r="T1404" t="str">
        <f t="shared" si="128"/>
        <v>Normal</v>
      </c>
      <c r="U1404">
        <v>85</v>
      </c>
      <c r="V1404">
        <v>77</v>
      </c>
      <c r="W1404" t="str">
        <f t="shared" si="131"/>
        <v>Normal</v>
      </c>
      <c r="X1404">
        <v>0</v>
      </c>
    </row>
    <row r="1405" spans="1:24" ht="14.5" thickBot="1" x14ac:dyDescent="0.35">
      <c r="A1405">
        <v>0</v>
      </c>
      <c r="B1405" t="str">
        <f t="shared" si="129"/>
        <v>Female</v>
      </c>
      <c r="C1405" s="8">
        <v>44</v>
      </c>
      <c r="D1405" t="str">
        <f t="shared" si="130"/>
        <v>Middle Age</v>
      </c>
      <c r="E1405">
        <v>2</v>
      </c>
      <c r="F1405" t="str">
        <f>HLOOKUP(E1405, LookUP_Table!$A$6:$D$7, 2, FALSE)</f>
        <v>Secondary</v>
      </c>
      <c r="G1405" t="str">
        <f>IFERROR(VLOOKUP(E1405, LookUP_Table!$A$1:$B$4, 2, FALSE), "")</f>
        <v>Secondary</v>
      </c>
      <c r="H1405">
        <v>1</v>
      </c>
      <c r="I1405">
        <v>15</v>
      </c>
      <c r="J1405" t="str">
        <f t="shared" si="126"/>
        <v>Smoker</v>
      </c>
      <c r="K1405">
        <v>0</v>
      </c>
      <c r="L1405">
        <v>0</v>
      </c>
      <c r="M1405">
        <v>0</v>
      </c>
      <c r="N1405">
        <v>0</v>
      </c>
      <c r="O1405">
        <v>244</v>
      </c>
      <c r="P1405" t="str">
        <f t="shared" si="127"/>
        <v>High</v>
      </c>
      <c r="Q1405">
        <v>101</v>
      </c>
      <c r="R1405">
        <v>66</v>
      </c>
      <c r="S1405">
        <v>25.38</v>
      </c>
      <c r="T1405" t="str">
        <f t="shared" si="128"/>
        <v>Overweight</v>
      </c>
      <c r="U1405">
        <v>85</v>
      </c>
      <c r="V1405">
        <v>76</v>
      </c>
      <c r="W1405" t="str">
        <f t="shared" si="131"/>
        <v>Normal</v>
      </c>
      <c r="X1405">
        <v>0</v>
      </c>
    </row>
    <row r="1406" spans="1:24" ht="14.5" thickBot="1" x14ac:dyDescent="0.35">
      <c r="A1406">
        <v>0</v>
      </c>
      <c r="B1406" t="str">
        <f t="shared" si="129"/>
        <v>Female</v>
      </c>
      <c r="C1406" s="8">
        <v>44</v>
      </c>
      <c r="D1406" t="str">
        <f t="shared" si="130"/>
        <v>Middle Age</v>
      </c>
      <c r="E1406">
        <v>4</v>
      </c>
      <c r="F1406" t="str">
        <f>HLOOKUP(E1406, LookUP_Table!$A$6:$D$7, 2, FALSE)</f>
        <v>Post Graduate</v>
      </c>
      <c r="G1406" t="str">
        <f>IFERROR(VLOOKUP(E1406, LookUP_Table!$A$1:$B$4, 2, FALSE), "")</f>
        <v>Post Graduate</v>
      </c>
      <c r="H1406">
        <v>1</v>
      </c>
      <c r="I1406">
        <v>5</v>
      </c>
      <c r="J1406" t="str">
        <f t="shared" si="126"/>
        <v>Smoker</v>
      </c>
      <c r="K1406">
        <v>0</v>
      </c>
      <c r="L1406">
        <v>0</v>
      </c>
      <c r="M1406">
        <v>0</v>
      </c>
      <c r="N1406">
        <v>0</v>
      </c>
      <c r="O1406">
        <v>231</v>
      </c>
      <c r="P1406" t="str">
        <f t="shared" si="127"/>
        <v>Normal</v>
      </c>
      <c r="Q1406">
        <v>133</v>
      </c>
      <c r="R1406">
        <v>89</v>
      </c>
      <c r="S1406">
        <v>29.29</v>
      </c>
      <c r="T1406" t="str">
        <f t="shared" si="128"/>
        <v>Overweight</v>
      </c>
      <c r="U1406">
        <v>70</v>
      </c>
      <c r="V1406">
        <v>83</v>
      </c>
      <c r="W1406" t="str">
        <f t="shared" si="131"/>
        <v>Normal</v>
      </c>
      <c r="X1406">
        <v>0</v>
      </c>
    </row>
    <row r="1407" spans="1:24" ht="14.5" thickBot="1" x14ac:dyDescent="0.35">
      <c r="A1407">
        <v>0</v>
      </c>
      <c r="B1407" t="str">
        <f t="shared" si="129"/>
        <v>Female</v>
      </c>
      <c r="C1407" s="8">
        <v>44</v>
      </c>
      <c r="D1407" t="str">
        <f t="shared" si="130"/>
        <v>Middle Age</v>
      </c>
      <c r="E1407">
        <v>4</v>
      </c>
      <c r="F1407" t="str">
        <f>HLOOKUP(E1407, LookUP_Table!$A$6:$D$7, 2, FALSE)</f>
        <v>Post Graduate</v>
      </c>
      <c r="G1407" t="str">
        <f>IFERROR(VLOOKUP(E1407, LookUP_Table!$A$1:$B$4, 2, FALSE), "")</f>
        <v>Post Graduate</v>
      </c>
      <c r="H1407">
        <v>0</v>
      </c>
      <c r="I1407">
        <v>0</v>
      </c>
      <c r="J1407" t="str">
        <f t="shared" si="126"/>
        <v>Non-Smoker</v>
      </c>
      <c r="K1407">
        <v>0</v>
      </c>
      <c r="L1407">
        <v>0</v>
      </c>
      <c r="M1407">
        <v>0</v>
      </c>
      <c r="N1407">
        <v>0</v>
      </c>
      <c r="O1407">
        <v>205</v>
      </c>
      <c r="P1407" t="str">
        <f t="shared" si="127"/>
        <v>Normal</v>
      </c>
      <c r="Q1407">
        <v>116</v>
      </c>
      <c r="R1407">
        <v>70</v>
      </c>
      <c r="S1407">
        <v>21.99</v>
      </c>
      <c r="T1407" t="str">
        <f t="shared" si="128"/>
        <v>Normal</v>
      </c>
      <c r="U1407">
        <v>68</v>
      </c>
      <c r="V1407">
        <v>85</v>
      </c>
      <c r="W1407" t="str">
        <f t="shared" si="131"/>
        <v>Normal</v>
      </c>
      <c r="X1407">
        <v>0</v>
      </c>
    </row>
    <row r="1408" spans="1:24" ht="14.5" thickBot="1" x14ac:dyDescent="0.35">
      <c r="A1408">
        <v>0</v>
      </c>
      <c r="B1408" t="str">
        <f t="shared" si="129"/>
        <v>Female</v>
      </c>
      <c r="C1408" s="8">
        <v>44</v>
      </c>
      <c r="D1408" t="str">
        <f t="shared" si="130"/>
        <v>Middle Age</v>
      </c>
      <c r="E1408">
        <v>2</v>
      </c>
      <c r="F1408" t="str">
        <f>HLOOKUP(E1408, LookUP_Table!$A$6:$D$7, 2, FALSE)</f>
        <v>Secondary</v>
      </c>
      <c r="G1408" t="str">
        <f>IFERROR(VLOOKUP(E1408, LookUP_Table!$A$1:$B$4, 2, FALSE), "")</f>
        <v>Secondary</v>
      </c>
      <c r="H1408">
        <v>0</v>
      </c>
      <c r="I1408">
        <v>0</v>
      </c>
      <c r="J1408" t="str">
        <f t="shared" si="126"/>
        <v>Non-Smoker</v>
      </c>
      <c r="K1408">
        <v>1</v>
      </c>
      <c r="L1408">
        <v>0</v>
      </c>
      <c r="M1408">
        <v>1</v>
      </c>
      <c r="N1408">
        <v>0</v>
      </c>
      <c r="O1408">
        <v>208</v>
      </c>
      <c r="P1408" t="str">
        <f t="shared" si="127"/>
        <v>Normal</v>
      </c>
      <c r="Q1408">
        <v>142</v>
      </c>
      <c r="R1408">
        <v>88</v>
      </c>
      <c r="S1408">
        <v>31.29</v>
      </c>
      <c r="T1408" t="str">
        <f t="shared" si="128"/>
        <v>Obese</v>
      </c>
      <c r="U1408">
        <v>69</v>
      </c>
      <c r="V1408">
        <v>77</v>
      </c>
      <c r="W1408" t="str">
        <f t="shared" si="131"/>
        <v>Normal</v>
      </c>
      <c r="X1408">
        <v>0</v>
      </c>
    </row>
    <row r="1409" spans="1:24" ht="14.5" thickBot="1" x14ac:dyDescent="0.35">
      <c r="A1409">
        <v>1</v>
      </c>
      <c r="B1409" t="str">
        <f t="shared" si="129"/>
        <v>Male</v>
      </c>
      <c r="C1409" s="8">
        <v>44</v>
      </c>
      <c r="D1409" t="str">
        <f t="shared" si="130"/>
        <v>Middle Age</v>
      </c>
      <c r="E1409">
        <v>4</v>
      </c>
      <c r="F1409" t="str">
        <f>HLOOKUP(E1409, LookUP_Table!$A$6:$D$7, 2, FALSE)</f>
        <v>Post Graduate</v>
      </c>
      <c r="G1409" t="str">
        <f>IFERROR(VLOOKUP(E1409, LookUP_Table!$A$1:$B$4, 2, FALSE), "")</f>
        <v>Post Graduate</v>
      </c>
      <c r="H1409">
        <v>0</v>
      </c>
      <c r="I1409">
        <v>0</v>
      </c>
      <c r="J1409" t="str">
        <f t="shared" si="126"/>
        <v>Non-Smoker</v>
      </c>
      <c r="K1409">
        <v>0</v>
      </c>
      <c r="L1409">
        <v>0</v>
      </c>
      <c r="M1409">
        <v>0</v>
      </c>
      <c r="N1409">
        <v>0</v>
      </c>
      <c r="O1409">
        <v>175</v>
      </c>
      <c r="P1409" t="str">
        <f t="shared" si="127"/>
        <v>Normal</v>
      </c>
      <c r="Q1409">
        <v>104</v>
      </c>
      <c r="R1409">
        <v>78</v>
      </c>
      <c r="S1409">
        <v>26.26</v>
      </c>
      <c r="T1409" t="str">
        <f t="shared" si="128"/>
        <v>Overweight</v>
      </c>
      <c r="U1409">
        <v>55</v>
      </c>
      <c r="V1409">
        <v>82</v>
      </c>
      <c r="W1409" t="str">
        <f t="shared" si="131"/>
        <v>Normal</v>
      </c>
      <c r="X1409">
        <v>0</v>
      </c>
    </row>
    <row r="1410" spans="1:24" ht="14.5" thickBot="1" x14ac:dyDescent="0.35">
      <c r="A1410">
        <v>0</v>
      </c>
      <c r="B1410" t="str">
        <f t="shared" si="129"/>
        <v>Female</v>
      </c>
      <c r="C1410" s="8">
        <v>44</v>
      </c>
      <c r="D1410" t="str">
        <f t="shared" si="130"/>
        <v>Middle Age</v>
      </c>
      <c r="E1410">
        <v>3</v>
      </c>
      <c r="F1410" t="str">
        <f>HLOOKUP(E1410, LookUP_Table!$A$6:$D$7, 2, FALSE)</f>
        <v>Graduate</v>
      </c>
      <c r="G1410" t="str">
        <f>IFERROR(VLOOKUP(E1410, LookUP_Table!$A$1:$B$4, 2, FALSE), "")</f>
        <v>Graduate</v>
      </c>
      <c r="H1410">
        <v>1</v>
      </c>
      <c r="I1410">
        <v>20</v>
      </c>
      <c r="J1410" t="str">
        <f t="shared" ref="J1410:J1473" si="132">IF(I1410&gt;0,"Smoker","Non-Smoker")</f>
        <v>Smoker</v>
      </c>
      <c r="K1410">
        <v>0</v>
      </c>
      <c r="L1410">
        <v>0</v>
      </c>
      <c r="M1410">
        <v>1</v>
      </c>
      <c r="N1410">
        <v>0</v>
      </c>
      <c r="O1410">
        <v>284</v>
      </c>
      <c r="P1410" t="str">
        <f t="shared" ref="P1410:P1473" si="133">IF(O1410&gt;240,"High","Normal")</f>
        <v>High</v>
      </c>
      <c r="Q1410">
        <v>143</v>
      </c>
      <c r="R1410">
        <v>92</v>
      </c>
      <c r="S1410">
        <v>21.19</v>
      </c>
      <c r="T1410" t="str">
        <f t="shared" ref="T1410:T1473" si="134">IF(S1410&lt;18.5,"Underweight",
IF(S1410&lt;25,"Normal",
IF(S1410&lt;30,"Overweight","Obese")))</f>
        <v>Normal</v>
      </c>
      <c r="U1410">
        <v>84</v>
      </c>
      <c r="V1410">
        <v>88</v>
      </c>
      <c r="W1410" t="str">
        <f t="shared" si="131"/>
        <v>Normal</v>
      </c>
      <c r="X1410">
        <v>0</v>
      </c>
    </row>
    <row r="1411" spans="1:24" ht="14.5" thickBot="1" x14ac:dyDescent="0.35">
      <c r="A1411">
        <v>0</v>
      </c>
      <c r="B1411" t="str">
        <f t="shared" ref="B1411:B1474" si="135">IF(A1411=0,"Female","Male")</f>
        <v>Female</v>
      </c>
      <c r="C1411" s="8">
        <v>44</v>
      </c>
      <c r="D1411" t="str">
        <f t="shared" ref="D1411:D1474" si="136">IF(C1411&lt;40,"Young",
IF(C1411&lt;55,"Middle Age","Senior"))</f>
        <v>Middle Age</v>
      </c>
      <c r="E1411">
        <v>1</v>
      </c>
      <c r="F1411" t="str">
        <f>HLOOKUP(E1411, LookUP_Table!$A$6:$D$7, 2, FALSE)</f>
        <v>Primary</v>
      </c>
      <c r="G1411" t="str">
        <f>IFERROR(VLOOKUP(E1411, LookUP_Table!$A$1:$B$4, 2, FALSE), "")</f>
        <v>Primary</v>
      </c>
      <c r="H1411">
        <v>1</v>
      </c>
      <c r="I1411">
        <v>7</v>
      </c>
      <c r="J1411" t="str">
        <f t="shared" si="132"/>
        <v>Smoker</v>
      </c>
      <c r="K1411">
        <v>0</v>
      </c>
      <c r="L1411">
        <v>0</v>
      </c>
      <c r="M1411">
        <v>0</v>
      </c>
      <c r="N1411">
        <v>0</v>
      </c>
      <c r="O1411">
        <v>189</v>
      </c>
      <c r="P1411" t="str">
        <f t="shared" si="133"/>
        <v>Normal</v>
      </c>
      <c r="Q1411">
        <v>107.5</v>
      </c>
      <c r="R1411">
        <v>78</v>
      </c>
      <c r="S1411">
        <v>26.95</v>
      </c>
      <c r="T1411" t="str">
        <f t="shared" si="134"/>
        <v>Overweight</v>
      </c>
      <c r="U1411">
        <v>60</v>
      </c>
      <c r="V1411">
        <v>81.96365524402907</v>
      </c>
      <c r="W1411" t="str">
        <f t="shared" ref="W1411:W1474" si="137">IF(V1411 &lt; 100, "Normal", IF(V1411 &lt;= 125, "Prediabetes", "Diabetes"))</f>
        <v>Normal</v>
      </c>
      <c r="X1411">
        <v>0</v>
      </c>
    </row>
    <row r="1412" spans="1:24" ht="14.5" thickBot="1" x14ac:dyDescent="0.35">
      <c r="A1412">
        <v>0</v>
      </c>
      <c r="B1412" t="str">
        <f t="shared" si="135"/>
        <v>Female</v>
      </c>
      <c r="C1412" s="8">
        <v>44</v>
      </c>
      <c r="D1412" t="str">
        <f t="shared" si="136"/>
        <v>Middle Age</v>
      </c>
      <c r="E1412">
        <v>3</v>
      </c>
      <c r="F1412" t="str">
        <f>HLOOKUP(E1412, LookUP_Table!$A$6:$D$7, 2, FALSE)</f>
        <v>Graduate</v>
      </c>
      <c r="G1412" t="str">
        <f>IFERROR(VLOOKUP(E1412, LookUP_Table!$A$1:$B$4, 2, FALSE), "")</f>
        <v>Graduate</v>
      </c>
      <c r="H1412">
        <v>0</v>
      </c>
      <c r="I1412">
        <v>0</v>
      </c>
      <c r="J1412" t="str">
        <f t="shared" si="132"/>
        <v>Non-Smoker</v>
      </c>
      <c r="K1412">
        <v>0</v>
      </c>
      <c r="L1412">
        <v>0</v>
      </c>
      <c r="M1412">
        <v>0</v>
      </c>
      <c r="N1412">
        <v>0</v>
      </c>
      <c r="O1412">
        <v>257</v>
      </c>
      <c r="P1412" t="str">
        <f t="shared" si="133"/>
        <v>High</v>
      </c>
      <c r="Q1412">
        <v>129</v>
      </c>
      <c r="R1412">
        <v>93</v>
      </c>
      <c r="S1412">
        <v>27.56</v>
      </c>
      <c r="T1412" t="str">
        <f t="shared" si="134"/>
        <v>Overweight</v>
      </c>
      <c r="U1412">
        <v>75</v>
      </c>
      <c r="V1412">
        <v>76</v>
      </c>
      <c r="W1412" t="str">
        <f t="shared" si="137"/>
        <v>Normal</v>
      </c>
      <c r="X1412">
        <v>0</v>
      </c>
    </row>
    <row r="1413" spans="1:24" ht="14.5" thickBot="1" x14ac:dyDescent="0.35">
      <c r="A1413">
        <v>1</v>
      </c>
      <c r="B1413" t="str">
        <f t="shared" si="135"/>
        <v>Male</v>
      </c>
      <c r="C1413" s="8">
        <v>44</v>
      </c>
      <c r="D1413" t="str">
        <f t="shared" si="136"/>
        <v>Middle Age</v>
      </c>
      <c r="E1413">
        <v>1</v>
      </c>
      <c r="F1413" t="str">
        <f>HLOOKUP(E1413, LookUP_Table!$A$6:$D$7, 2, FALSE)</f>
        <v>Primary</v>
      </c>
      <c r="G1413" t="str">
        <f>IFERROR(VLOOKUP(E1413, LookUP_Table!$A$1:$B$4, 2, FALSE), "")</f>
        <v>Primary</v>
      </c>
      <c r="H1413">
        <v>0</v>
      </c>
      <c r="I1413">
        <v>0</v>
      </c>
      <c r="J1413" t="str">
        <f t="shared" si="132"/>
        <v>Non-Smoker</v>
      </c>
      <c r="K1413">
        <v>0</v>
      </c>
      <c r="L1413">
        <v>0</v>
      </c>
      <c r="M1413">
        <v>1</v>
      </c>
      <c r="N1413">
        <v>0</v>
      </c>
      <c r="O1413">
        <v>212</v>
      </c>
      <c r="P1413" t="str">
        <f t="shared" si="133"/>
        <v>Normal</v>
      </c>
      <c r="Q1413">
        <v>130</v>
      </c>
      <c r="R1413">
        <v>94</v>
      </c>
      <c r="S1413">
        <v>26.97</v>
      </c>
      <c r="T1413" t="str">
        <f t="shared" si="134"/>
        <v>Overweight</v>
      </c>
      <c r="U1413">
        <v>80</v>
      </c>
      <c r="V1413">
        <v>64</v>
      </c>
      <c r="W1413" t="str">
        <f t="shared" si="137"/>
        <v>Normal</v>
      </c>
      <c r="X1413">
        <v>0</v>
      </c>
    </row>
    <row r="1414" spans="1:24" ht="14.5" thickBot="1" x14ac:dyDescent="0.35">
      <c r="A1414">
        <v>0</v>
      </c>
      <c r="B1414" t="str">
        <f t="shared" si="135"/>
        <v>Female</v>
      </c>
      <c r="C1414" s="8">
        <v>44</v>
      </c>
      <c r="D1414" t="str">
        <f t="shared" si="136"/>
        <v>Middle Age</v>
      </c>
      <c r="E1414">
        <v>2</v>
      </c>
      <c r="F1414" t="str">
        <f>HLOOKUP(E1414, LookUP_Table!$A$6:$D$7, 2, FALSE)</f>
        <v>Secondary</v>
      </c>
      <c r="G1414" t="str">
        <f>IFERROR(VLOOKUP(E1414, LookUP_Table!$A$1:$B$4, 2, FALSE), "")</f>
        <v>Secondary</v>
      </c>
      <c r="H1414">
        <v>1</v>
      </c>
      <c r="I1414">
        <v>10</v>
      </c>
      <c r="J1414" t="str">
        <f t="shared" si="132"/>
        <v>Smoker</v>
      </c>
      <c r="K1414">
        <v>0</v>
      </c>
      <c r="L1414">
        <v>0</v>
      </c>
      <c r="M1414">
        <v>0</v>
      </c>
      <c r="N1414">
        <v>0</v>
      </c>
      <c r="O1414">
        <v>222</v>
      </c>
      <c r="P1414" t="str">
        <f t="shared" si="133"/>
        <v>Normal</v>
      </c>
      <c r="Q1414">
        <v>130</v>
      </c>
      <c r="R1414">
        <v>86</v>
      </c>
      <c r="S1414">
        <v>27.42</v>
      </c>
      <c r="T1414" t="str">
        <f t="shared" si="134"/>
        <v>Overweight</v>
      </c>
      <c r="U1414">
        <v>100</v>
      </c>
      <c r="V1414">
        <v>84</v>
      </c>
      <c r="W1414" t="str">
        <f t="shared" si="137"/>
        <v>Normal</v>
      </c>
      <c r="X1414">
        <v>0</v>
      </c>
    </row>
    <row r="1415" spans="1:24" ht="14.5" thickBot="1" x14ac:dyDescent="0.35">
      <c r="A1415">
        <v>0</v>
      </c>
      <c r="B1415" t="str">
        <f t="shared" si="135"/>
        <v>Female</v>
      </c>
      <c r="C1415" s="8">
        <v>44</v>
      </c>
      <c r="D1415" t="str">
        <f t="shared" si="136"/>
        <v>Middle Age</v>
      </c>
      <c r="E1415">
        <v>2</v>
      </c>
      <c r="F1415" t="str">
        <f>HLOOKUP(E1415, LookUP_Table!$A$6:$D$7, 2, FALSE)</f>
        <v>Secondary</v>
      </c>
      <c r="G1415" t="str">
        <f>IFERROR(VLOOKUP(E1415, LookUP_Table!$A$1:$B$4, 2, FALSE), "")</f>
        <v>Secondary</v>
      </c>
      <c r="H1415">
        <v>1</v>
      </c>
      <c r="I1415">
        <v>10</v>
      </c>
      <c r="J1415" t="str">
        <f t="shared" si="132"/>
        <v>Smoker</v>
      </c>
      <c r="K1415">
        <v>0</v>
      </c>
      <c r="L1415">
        <v>0</v>
      </c>
      <c r="M1415">
        <v>1</v>
      </c>
      <c r="N1415">
        <v>0</v>
      </c>
      <c r="O1415">
        <v>174</v>
      </c>
      <c r="P1415" t="str">
        <f t="shared" si="133"/>
        <v>Normal</v>
      </c>
      <c r="Q1415">
        <v>174</v>
      </c>
      <c r="R1415">
        <v>130</v>
      </c>
      <c r="S1415">
        <v>33.99</v>
      </c>
      <c r="T1415" t="str">
        <f t="shared" si="134"/>
        <v>Obese</v>
      </c>
      <c r="U1415">
        <v>80</v>
      </c>
      <c r="V1415">
        <v>63</v>
      </c>
      <c r="W1415" t="str">
        <f t="shared" si="137"/>
        <v>Normal</v>
      </c>
      <c r="X1415">
        <v>0</v>
      </c>
    </row>
    <row r="1416" spans="1:24" ht="14.5" thickBot="1" x14ac:dyDescent="0.35">
      <c r="A1416">
        <v>0</v>
      </c>
      <c r="B1416" t="str">
        <f t="shared" si="135"/>
        <v>Female</v>
      </c>
      <c r="C1416" s="8">
        <v>44</v>
      </c>
      <c r="D1416" t="str">
        <f t="shared" si="136"/>
        <v>Middle Age</v>
      </c>
      <c r="E1416">
        <v>3</v>
      </c>
      <c r="F1416" t="str">
        <f>HLOOKUP(E1416, LookUP_Table!$A$6:$D$7, 2, FALSE)</f>
        <v>Graduate</v>
      </c>
      <c r="G1416" t="str">
        <f>IFERROR(VLOOKUP(E1416, LookUP_Table!$A$1:$B$4, 2, FALSE), "")</f>
        <v>Graduate</v>
      </c>
      <c r="H1416">
        <v>0</v>
      </c>
      <c r="I1416">
        <v>0</v>
      </c>
      <c r="J1416" t="str">
        <f t="shared" si="132"/>
        <v>Non-Smoker</v>
      </c>
      <c r="K1416">
        <v>0</v>
      </c>
      <c r="L1416">
        <v>0</v>
      </c>
      <c r="M1416">
        <v>0</v>
      </c>
      <c r="N1416">
        <v>0</v>
      </c>
      <c r="O1416">
        <v>180</v>
      </c>
      <c r="P1416" t="str">
        <f t="shared" si="133"/>
        <v>Normal</v>
      </c>
      <c r="Q1416">
        <v>120</v>
      </c>
      <c r="R1416">
        <v>80</v>
      </c>
      <c r="S1416">
        <v>21.67</v>
      </c>
      <c r="T1416" t="str">
        <f t="shared" si="134"/>
        <v>Normal</v>
      </c>
      <c r="U1416">
        <v>60</v>
      </c>
      <c r="V1416">
        <v>81.96365524402907</v>
      </c>
      <c r="W1416" t="str">
        <f t="shared" si="137"/>
        <v>Normal</v>
      </c>
      <c r="X1416">
        <v>1</v>
      </c>
    </row>
    <row r="1417" spans="1:24" ht="14.5" thickBot="1" x14ac:dyDescent="0.35">
      <c r="A1417">
        <v>0</v>
      </c>
      <c r="B1417" t="str">
        <f t="shared" si="135"/>
        <v>Female</v>
      </c>
      <c r="C1417" s="8">
        <v>44</v>
      </c>
      <c r="D1417" t="str">
        <f t="shared" si="136"/>
        <v>Middle Age</v>
      </c>
      <c r="E1417">
        <v>1</v>
      </c>
      <c r="F1417" t="str">
        <f>HLOOKUP(E1417, LookUP_Table!$A$6:$D$7, 2, FALSE)</f>
        <v>Primary</v>
      </c>
      <c r="G1417" t="str">
        <f>IFERROR(VLOOKUP(E1417, LookUP_Table!$A$1:$B$4, 2, FALSE), "")</f>
        <v>Primary</v>
      </c>
      <c r="H1417">
        <v>1</v>
      </c>
      <c r="I1417">
        <v>20</v>
      </c>
      <c r="J1417" t="str">
        <f t="shared" si="132"/>
        <v>Smoker</v>
      </c>
      <c r="K1417">
        <v>0</v>
      </c>
      <c r="L1417">
        <v>0</v>
      </c>
      <c r="M1417">
        <v>0</v>
      </c>
      <c r="N1417">
        <v>0</v>
      </c>
      <c r="O1417">
        <v>205</v>
      </c>
      <c r="P1417" t="str">
        <f t="shared" si="133"/>
        <v>Normal</v>
      </c>
      <c r="Q1417">
        <v>132.5</v>
      </c>
      <c r="R1417">
        <v>82.5</v>
      </c>
      <c r="S1417">
        <v>30.98</v>
      </c>
      <c r="T1417" t="str">
        <f t="shared" si="134"/>
        <v>Obese</v>
      </c>
      <c r="U1417">
        <v>72</v>
      </c>
      <c r="V1417">
        <v>66</v>
      </c>
      <c r="W1417" t="str">
        <f t="shared" si="137"/>
        <v>Normal</v>
      </c>
      <c r="X1417">
        <v>0</v>
      </c>
    </row>
    <row r="1418" spans="1:24" ht="14.5" thickBot="1" x14ac:dyDescent="0.35">
      <c r="A1418">
        <v>1</v>
      </c>
      <c r="B1418" t="str">
        <f t="shared" si="135"/>
        <v>Male</v>
      </c>
      <c r="C1418" s="8">
        <v>44</v>
      </c>
      <c r="D1418" t="str">
        <f t="shared" si="136"/>
        <v>Middle Age</v>
      </c>
      <c r="E1418">
        <v>1</v>
      </c>
      <c r="F1418" t="str">
        <f>HLOOKUP(E1418, LookUP_Table!$A$6:$D$7, 2, FALSE)</f>
        <v>Primary</v>
      </c>
      <c r="G1418" t="str">
        <f>IFERROR(VLOOKUP(E1418, LookUP_Table!$A$1:$B$4, 2, FALSE), "")</f>
        <v>Primary</v>
      </c>
      <c r="H1418">
        <v>1</v>
      </c>
      <c r="I1418">
        <v>25</v>
      </c>
      <c r="J1418" t="str">
        <f t="shared" si="132"/>
        <v>Smoker</v>
      </c>
      <c r="K1418">
        <v>0</v>
      </c>
      <c r="L1418">
        <v>0</v>
      </c>
      <c r="M1418">
        <v>0</v>
      </c>
      <c r="N1418">
        <v>0</v>
      </c>
      <c r="O1418">
        <v>254</v>
      </c>
      <c r="P1418" t="str">
        <f t="shared" si="133"/>
        <v>High</v>
      </c>
      <c r="Q1418">
        <v>123</v>
      </c>
      <c r="R1418">
        <v>82</v>
      </c>
      <c r="S1418">
        <v>24.56</v>
      </c>
      <c r="T1418" t="str">
        <f t="shared" si="134"/>
        <v>Normal</v>
      </c>
      <c r="U1418">
        <v>87</v>
      </c>
      <c r="V1418">
        <v>68</v>
      </c>
      <c r="W1418" t="str">
        <f t="shared" si="137"/>
        <v>Normal</v>
      </c>
      <c r="X1418">
        <v>0</v>
      </c>
    </row>
    <row r="1419" spans="1:24" ht="14.5" thickBot="1" x14ac:dyDescent="0.35">
      <c r="A1419">
        <v>0</v>
      </c>
      <c r="B1419" t="str">
        <f t="shared" si="135"/>
        <v>Female</v>
      </c>
      <c r="C1419" s="8">
        <v>44</v>
      </c>
      <c r="D1419" t="str">
        <f t="shared" si="136"/>
        <v>Middle Age</v>
      </c>
      <c r="E1419">
        <v>4</v>
      </c>
      <c r="F1419" t="str">
        <f>HLOOKUP(E1419, LookUP_Table!$A$6:$D$7, 2, FALSE)</f>
        <v>Post Graduate</v>
      </c>
      <c r="G1419" t="str">
        <f>IFERROR(VLOOKUP(E1419, LookUP_Table!$A$1:$B$4, 2, FALSE), "")</f>
        <v>Post Graduate</v>
      </c>
      <c r="H1419">
        <v>1</v>
      </c>
      <c r="I1419">
        <v>10</v>
      </c>
      <c r="J1419" t="str">
        <f t="shared" si="132"/>
        <v>Smoker</v>
      </c>
      <c r="K1419">
        <v>0</v>
      </c>
      <c r="L1419">
        <v>0</v>
      </c>
      <c r="M1419">
        <v>0</v>
      </c>
      <c r="N1419">
        <v>0</v>
      </c>
      <c r="O1419">
        <v>170</v>
      </c>
      <c r="P1419" t="str">
        <f t="shared" si="133"/>
        <v>Normal</v>
      </c>
      <c r="Q1419">
        <v>107</v>
      </c>
      <c r="R1419">
        <v>70.5</v>
      </c>
      <c r="S1419">
        <v>19.28</v>
      </c>
      <c r="T1419" t="str">
        <f t="shared" si="134"/>
        <v>Normal</v>
      </c>
      <c r="U1419">
        <v>63</v>
      </c>
      <c r="V1419">
        <v>81.96365524402907</v>
      </c>
      <c r="W1419" t="str">
        <f t="shared" si="137"/>
        <v>Normal</v>
      </c>
      <c r="X1419">
        <v>0</v>
      </c>
    </row>
    <row r="1420" spans="1:24" ht="14.5" thickBot="1" x14ac:dyDescent="0.35">
      <c r="A1420">
        <v>1</v>
      </c>
      <c r="B1420" t="str">
        <f t="shared" si="135"/>
        <v>Male</v>
      </c>
      <c r="C1420" s="8">
        <v>44</v>
      </c>
      <c r="D1420" t="str">
        <f t="shared" si="136"/>
        <v>Middle Age</v>
      </c>
      <c r="E1420">
        <v>1</v>
      </c>
      <c r="F1420" t="str">
        <f>HLOOKUP(E1420, LookUP_Table!$A$6:$D$7, 2, FALSE)</f>
        <v>Primary</v>
      </c>
      <c r="G1420" t="str">
        <f>IFERROR(VLOOKUP(E1420, LookUP_Table!$A$1:$B$4, 2, FALSE), "")</f>
        <v>Primary</v>
      </c>
      <c r="H1420">
        <v>0</v>
      </c>
      <c r="I1420">
        <v>0</v>
      </c>
      <c r="J1420" t="str">
        <f t="shared" si="132"/>
        <v>Non-Smoker</v>
      </c>
      <c r="K1420">
        <v>0</v>
      </c>
      <c r="L1420">
        <v>0</v>
      </c>
      <c r="M1420">
        <v>1</v>
      </c>
      <c r="N1420">
        <v>1</v>
      </c>
      <c r="O1420">
        <v>208</v>
      </c>
      <c r="P1420" t="str">
        <f t="shared" si="133"/>
        <v>Normal</v>
      </c>
      <c r="Q1420">
        <v>175</v>
      </c>
      <c r="R1420">
        <v>101</v>
      </c>
      <c r="S1420">
        <v>27.93</v>
      </c>
      <c r="T1420" t="str">
        <f t="shared" si="134"/>
        <v>Overweight</v>
      </c>
      <c r="U1420">
        <v>95</v>
      </c>
      <c r="V1420">
        <v>193</v>
      </c>
      <c r="W1420" t="str">
        <f t="shared" si="137"/>
        <v>Diabetes</v>
      </c>
      <c r="X1420">
        <v>0</v>
      </c>
    </row>
    <row r="1421" spans="1:24" ht="14.5" thickBot="1" x14ac:dyDescent="0.35">
      <c r="A1421">
        <v>0</v>
      </c>
      <c r="B1421" t="str">
        <f t="shared" si="135"/>
        <v>Female</v>
      </c>
      <c r="C1421" s="8">
        <v>44</v>
      </c>
      <c r="D1421" t="str">
        <f t="shared" si="136"/>
        <v>Middle Age</v>
      </c>
      <c r="E1421">
        <v>1</v>
      </c>
      <c r="F1421" t="str">
        <f>HLOOKUP(E1421, LookUP_Table!$A$6:$D$7, 2, FALSE)</f>
        <v>Primary</v>
      </c>
      <c r="G1421" t="str">
        <f>IFERROR(VLOOKUP(E1421, LookUP_Table!$A$1:$B$4, 2, FALSE), "")</f>
        <v>Primary</v>
      </c>
      <c r="H1421">
        <v>0</v>
      </c>
      <c r="I1421">
        <v>0</v>
      </c>
      <c r="J1421" t="str">
        <f t="shared" si="132"/>
        <v>Non-Smoker</v>
      </c>
      <c r="K1421">
        <v>0</v>
      </c>
      <c r="L1421">
        <v>0</v>
      </c>
      <c r="M1421">
        <v>0</v>
      </c>
      <c r="N1421">
        <v>0</v>
      </c>
      <c r="O1421">
        <v>160</v>
      </c>
      <c r="P1421" t="str">
        <f t="shared" si="133"/>
        <v>Normal</v>
      </c>
      <c r="Q1421">
        <v>107</v>
      </c>
      <c r="R1421">
        <v>69</v>
      </c>
      <c r="S1421">
        <v>18.63</v>
      </c>
      <c r="T1421" t="str">
        <f t="shared" si="134"/>
        <v>Normal</v>
      </c>
      <c r="U1421">
        <v>125</v>
      </c>
      <c r="V1421">
        <v>78</v>
      </c>
      <c r="W1421" t="str">
        <f t="shared" si="137"/>
        <v>Normal</v>
      </c>
      <c r="X1421">
        <v>0</v>
      </c>
    </row>
    <row r="1422" spans="1:24" ht="14.5" thickBot="1" x14ac:dyDescent="0.35">
      <c r="A1422">
        <v>1</v>
      </c>
      <c r="B1422" t="str">
        <f t="shared" si="135"/>
        <v>Male</v>
      </c>
      <c r="C1422" s="8">
        <v>44</v>
      </c>
      <c r="D1422" t="str">
        <f t="shared" si="136"/>
        <v>Middle Age</v>
      </c>
      <c r="E1422">
        <v>2</v>
      </c>
      <c r="F1422" t="str">
        <f>HLOOKUP(E1422, LookUP_Table!$A$6:$D$7, 2, FALSE)</f>
        <v>Secondary</v>
      </c>
      <c r="G1422" t="str">
        <f>IFERROR(VLOOKUP(E1422, LookUP_Table!$A$1:$B$4, 2, FALSE), "")</f>
        <v>Secondary</v>
      </c>
      <c r="H1422">
        <v>1</v>
      </c>
      <c r="I1422">
        <v>20</v>
      </c>
      <c r="J1422" t="str">
        <f t="shared" si="132"/>
        <v>Smoker</v>
      </c>
      <c r="K1422">
        <v>0</v>
      </c>
      <c r="L1422">
        <v>0</v>
      </c>
      <c r="M1422">
        <v>0</v>
      </c>
      <c r="N1422">
        <v>0</v>
      </c>
      <c r="O1422">
        <v>311</v>
      </c>
      <c r="P1422" t="str">
        <f t="shared" si="133"/>
        <v>High</v>
      </c>
      <c r="Q1422">
        <v>115</v>
      </c>
      <c r="R1422">
        <v>80</v>
      </c>
      <c r="S1422">
        <v>25.43</v>
      </c>
      <c r="T1422" t="str">
        <f t="shared" si="134"/>
        <v>Overweight</v>
      </c>
      <c r="U1422">
        <v>68</v>
      </c>
      <c r="V1422">
        <v>90</v>
      </c>
      <c r="W1422" t="str">
        <f t="shared" si="137"/>
        <v>Normal</v>
      </c>
      <c r="X1422">
        <v>0</v>
      </c>
    </row>
    <row r="1423" spans="1:24" ht="14.5" thickBot="1" x14ac:dyDescent="0.35">
      <c r="A1423">
        <v>1</v>
      </c>
      <c r="B1423" t="str">
        <f t="shared" si="135"/>
        <v>Male</v>
      </c>
      <c r="C1423" s="8">
        <v>44</v>
      </c>
      <c r="D1423" t="str">
        <f t="shared" si="136"/>
        <v>Middle Age</v>
      </c>
      <c r="E1423">
        <v>2</v>
      </c>
      <c r="F1423" t="str">
        <f>HLOOKUP(E1423, LookUP_Table!$A$6:$D$7, 2, FALSE)</f>
        <v>Secondary</v>
      </c>
      <c r="G1423" t="str">
        <f>IFERROR(VLOOKUP(E1423, LookUP_Table!$A$1:$B$4, 2, FALSE), "")</f>
        <v>Secondary</v>
      </c>
      <c r="H1423">
        <v>0</v>
      </c>
      <c r="I1423">
        <v>0</v>
      </c>
      <c r="J1423" t="str">
        <f t="shared" si="132"/>
        <v>Non-Smoker</v>
      </c>
      <c r="K1423">
        <v>0</v>
      </c>
      <c r="L1423">
        <v>0</v>
      </c>
      <c r="M1423">
        <v>0</v>
      </c>
      <c r="N1423">
        <v>0</v>
      </c>
      <c r="O1423">
        <v>254</v>
      </c>
      <c r="P1423" t="str">
        <f t="shared" si="133"/>
        <v>High</v>
      </c>
      <c r="Q1423">
        <v>130</v>
      </c>
      <c r="R1423">
        <v>80</v>
      </c>
      <c r="S1423">
        <v>28.15</v>
      </c>
      <c r="T1423" t="str">
        <f t="shared" si="134"/>
        <v>Overweight</v>
      </c>
      <c r="U1423">
        <v>80</v>
      </c>
      <c r="V1423">
        <v>74</v>
      </c>
      <c r="W1423" t="str">
        <f t="shared" si="137"/>
        <v>Normal</v>
      </c>
      <c r="X1423">
        <v>0</v>
      </c>
    </row>
    <row r="1424" spans="1:24" ht="14.5" thickBot="1" x14ac:dyDescent="0.35">
      <c r="A1424">
        <v>1</v>
      </c>
      <c r="B1424" t="str">
        <f t="shared" si="135"/>
        <v>Male</v>
      </c>
      <c r="C1424" s="8">
        <v>44</v>
      </c>
      <c r="D1424" t="str">
        <f t="shared" si="136"/>
        <v>Middle Age</v>
      </c>
      <c r="E1424">
        <v>1</v>
      </c>
      <c r="F1424" t="str">
        <f>HLOOKUP(E1424, LookUP_Table!$A$6:$D$7, 2, FALSE)</f>
        <v>Primary</v>
      </c>
      <c r="G1424" t="str">
        <f>IFERROR(VLOOKUP(E1424, LookUP_Table!$A$1:$B$4, 2, FALSE), "")</f>
        <v>Primary</v>
      </c>
      <c r="H1424">
        <v>0</v>
      </c>
      <c r="I1424">
        <v>0</v>
      </c>
      <c r="J1424" t="str">
        <f t="shared" si="132"/>
        <v>Non-Smoker</v>
      </c>
      <c r="K1424">
        <v>0</v>
      </c>
      <c r="L1424">
        <v>0</v>
      </c>
      <c r="M1424">
        <v>0</v>
      </c>
      <c r="N1424">
        <v>0</v>
      </c>
      <c r="O1424">
        <v>160</v>
      </c>
      <c r="P1424" t="str">
        <f t="shared" si="133"/>
        <v>Normal</v>
      </c>
      <c r="Q1424">
        <v>118.5</v>
      </c>
      <c r="R1424">
        <v>87</v>
      </c>
      <c r="S1424">
        <v>25.81</v>
      </c>
      <c r="T1424" t="str">
        <f t="shared" si="134"/>
        <v>Overweight</v>
      </c>
      <c r="U1424">
        <v>54</v>
      </c>
      <c r="V1424">
        <v>81.96365524402907</v>
      </c>
      <c r="W1424" t="str">
        <f t="shared" si="137"/>
        <v>Normal</v>
      </c>
      <c r="X1424">
        <v>0</v>
      </c>
    </row>
    <row r="1425" spans="1:24" ht="14.5" thickBot="1" x14ac:dyDescent="0.35">
      <c r="A1425">
        <v>0</v>
      </c>
      <c r="B1425" t="str">
        <f t="shared" si="135"/>
        <v>Female</v>
      </c>
      <c r="C1425" s="8">
        <v>44</v>
      </c>
      <c r="D1425" t="str">
        <f t="shared" si="136"/>
        <v>Middle Age</v>
      </c>
      <c r="E1425">
        <v>1</v>
      </c>
      <c r="F1425" t="str">
        <f>HLOOKUP(E1425, LookUP_Table!$A$6:$D$7, 2, FALSE)</f>
        <v>Primary</v>
      </c>
      <c r="G1425" t="str">
        <f>IFERROR(VLOOKUP(E1425, LookUP_Table!$A$1:$B$4, 2, FALSE), "")</f>
        <v>Primary</v>
      </c>
      <c r="H1425">
        <v>0</v>
      </c>
      <c r="I1425">
        <v>0</v>
      </c>
      <c r="J1425" t="str">
        <f t="shared" si="132"/>
        <v>Non-Smoker</v>
      </c>
      <c r="K1425">
        <v>0</v>
      </c>
      <c r="L1425">
        <v>0</v>
      </c>
      <c r="M1425">
        <v>0</v>
      </c>
      <c r="N1425">
        <v>0</v>
      </c>
      <c r="O1425">
        <v>230</v>
      </c>
      <c r="P1425" t="str">
        <f t="shared" si="133"/>
        <v>Normal</v>
      </c>
      <c r="Q1425">
        <v>130</v>
      </c>
      <c r="R1425">
        <v>81.5</v>
      </c>
      <c r="S1425">
        <v>25.74</v>
      </c>
      <c r="T1425" t="str">
        <f t="shared" si="134"/>
        <v>Overweight</v>
      </c>
      <c r="U1425">
        <v>88</v>
      </c>
      <c r="V1425">
        <v>77</v>
      </c>
      <c r="W1425" t="str">
        <f t="shared" si="137"/>
        <v>Normal</v>
      </c>
      <c r="X1425">
        <v>0</v>
      </c>
    </row>
    <row r="1426" spans="1:24" ht="14.5" thickBot="1" x14ac:dyDescent="0.35">
      <c r="A1426">
        <v>1</v>
      </c>
      <c r="B1426" t="str">
        <f t="shared" si="135"/>
        <v>Male</v>
      </c>
      <c r="C1426" s="8">
        <v>44</v>
      </c>
      <c r="D1426" t="str">
        <f t="shared" si="136"/>
        <v>Middle Age</v>
      </c>
      <c r="E1426">
        <v>1</v>
      </c>
      <c r="F1426" t="str">
        <f>HLOOKUP(E1426, LookUP_Table!$A$6:$D$7, 2, FALSE)</f>
        <v>Primary</v>
      </c>
      <c r="G1426" t="str">
        <f>IFERROR(VLOOKUP(E1426, LookUP_Table!$A$1:$B$4, 2, FALSE), "")</f>
        <v>Primary</v>
      </c>
      <c r="H1426">
        <v>1</v>
      </c>
      <c r="I1426">
        <v>20</v>
      </c>
      <c r="J1426" t="str">
        <f t="shared" si="132"/>
        <v>Smoker</v>
      </c>
      <c r="K1426">
        <v>0</v>
      </c>
      <c r="L1426">
        <v>0</v>
      </c>
      <c r="M1426">
        <v>0</v>
      </c>
      <c r="N1426">
        <v>0</v>
      </c>
      <c r="O1426">
        <v>232</v>
      </c>
      <c r="P1426" t="str">
        <f t="shared" si="133"/>
        <v>Normal</v>
      </c>
      <c r="Q1426">
        <v>137.5</v>
      </c>
      <c r="R1426">
        <v>87.5</v>
      </c>
      <c r="S1426">
        <v>30.03</v>
      </c>
      <c r="T1426" t="str">
        <f t="shared" si="134"/>
        <v>Obese</v>
      </c>
      <c r="U1426">
        <v>88</v>
      </c>
      <c r="V1426">
        <v>70</v>
      </c>
      <c r="W1426" t="str">
        <f t="shared" si="137"/>
        <v>Normal</v>
      </c>
      <c r="X1426">
        <v>0</v>
      </c>
    </row>
    <row r="1427" spans="1:24" ht="14.5" thickBot="1" x14ac:dyDescent="0.35">
      <c r="A1427">
        <v>0</v>
      </c>
      <c r="B1427" t="str">
        <f t="shared" si="135"/>
        <v>Female</v>
      </c>
      <c r="C1427" s="8">
        <v>44</v>
      </c>
      <c r="D1427" t="str">
        <f t="shared" si="136"/>
        <v>Middle Age</v>
      </c>
      <c r="E1427">
        <v>3</v>
      </c>
      <c r="F1427" t="str">
        <f>HLOOKUP(E1427, LookUP_Table!$A$6:$D$7, 2, FALSE)</f>
        <v>Graduate</v>
      </c>
      <c r="G1427" t="str">
        <f>IFERROR(VLOOKUP(E1427, LookUP_Table!$A$1:$B$4, 2, FALSE), "")</f>
        <v>Graduate</v>
      </c>
      <c r="H1427">
        <v>0</v>
      </c>
      <c r="I1427">
        <v>0</v>
      </c>
      <c r="J1427" t="str">
        <f t="shared" si="132"/>
        <v>Non-Smoker</v>
      </c>
      <c r="K1427">
        <v>0</v>
      </c>
      <c r="L1427">
        <v>0</v>
      </c>
      <c r="M1427">
        <v>0</v>
      </c>
      <c r="N1427">
        <v>0</v>
      </c>
      <c r="O1427">
        <v>180</v>
      </c>
      <c r="P1427" t="str">
        <f t="shared" si="133"/>
        <v>Normal</v>
      </c>
      <c r="Q1427">
        <v>110</v>
      </c>
      <c r="R1427">
        <v>70</v>
      </c>
      <c r="S1427">
        <v>23.98</v>
      </c>
      <c r="T1427" t="str">
        <f t="shared" si="134"/>
        <v>Normal</v>
      </c>
      <c r="U1427">
        <v>92</v>
      </c>
      <c r="V1427">
        <v>67</v>
      </c>
      <c r="W1427" t="str">
        <f t="shared" si="137"/>
        <v>Normal</v>
      </c>
      <c r="X1427">
        <v>1</v>
      </c>
    </row>
    <row r="1428" spans="1:24" ht="14.5" thickBot="1" x14ac:dyDescent="0.35">
      <c r="A1428">
        <v>0</v>
      </c>
      <c r="B1428" t="str">
        <f t="shared" si="135"/>
        <v>Female</v>
      </c>
      <c r="C1428" s="8">
        <v>44</v>
      </c>
      <c r="D1428" t="str">
        <f t="shared" si="136"/>
        <v>Middle Age</v>
      </c>
      <c r="E1428">
        <v>1</v>
      </c>
      <c r="F1428" t="str">
        <f>HLOOKUP(E1428, LookUP_Table!$A$6:$D$7, 2, FALSE)</f>
        <v>Primary</v>
      </c>
      <c r="G1428" t="str">
        <f>IFERROR(VLOOKUP(E1428, LookUP_Table!$A$1:$B$4, 2, FALSE), "")</f>
        <v>Primary</v>
      </c>
      <c r="H1428">
        <v>1</v>
      </c>
      <c r="I1428">
        <v>15</v>
      </c>
      <c r="J1428" t="str">
        <f t="shared" si="132"/>
        <v>Smoker</v>
      </c>
      <c r="K1428">
        <v>0</v>
      </c>
      <c r="L1428">
        <v>0</v>
      </c>
      <c r="M1428">
        <v>0</v>
      </c>
      <c r="N1428">
        <v>0</v>
      </c>
      <c r="O1428">
        <v>210</v>
      </c>
      <c r="P1428" t="str">
        <f t="shared" si="133"/>
        <v>Normal</v>
      </c>
      <c r="Q1428">
        <v>126.5</v>
      </c>
      <c r="R1428">
        <v>87</v>
      </c>
      <c r="S1428">
        <v>19.16</v>
      </c>
      <c r="T1428" t="str">
        <f t="shared" si="134"/>
        <v>Normal</v>
      </c>
      <c r="U1428">
        <v>86</v>
      </c>
      <c r="V1428">
        <v>81.96365524402907</v>
      </c>
      <c r="W1428" t="str">
        <f t="shared" si="137"/>
        <v>Normal</v>
      </c>
      <c r="X1428">
        <v>0</v>
      </c>
    </row>
    <row r="1429" spans="1:24" ht="14.5" thickBot="1" x14ac:dyDescent="0.35">
      <c r="A1429">
        <v>0</v>
      </c>
      <c r="B1429" t="str">
        <f t="shared" si="135"/>
        <v>Female</v>
      </c>
      <c r="C1429" s="8">
        <v>45</v>
      </c>
      <c r="D1429" t="str">
        <f t="shared" si="136"/>
        <v>Middle Age</v>
      </c>
      <c r="E1429">
        <v>2</v>
      </c>
      <c r="F1429" t="str">
        <f>HLOOKUP(E1429, LookUP_Table!$A$6:$D$7, 2, FALSE)</f>
        <v>Secondary</v>
      </c>
      <c r="G1429" t="str">
        <f>IFERROR(VLOOKUP(E1429, LookUP_Table!$A$1:$B$4, 2, FALSE), "")</f>
        <v>Secondary</v>
      </c>
      <c r="H1429">
        <v>1</v>
      </c>
      <c r="I1429">
        <v>20</v>
      </c>
      <c r="J1429" t="str">
        <f t="shared" si="132"/>
        <v>Smoker</v>
      </c>
      <c r="K1429">
        <v>0</v>
      </c>
      <c r="L1429">
        <v>0</v>
      </c>
      <c r="M1429">
        <v>0</v>
      </c>
      <c r="N1429">
        <v>0</v>
      </c>
      <c r="O1429">
        <v>313</v>
      </c>
      <c r="P1429" t="str">
        <f t="shared" si="133"/>
        <v>High</v>
      </c>
      <c r="Q1429">
        <v>100</v>
      </c>
      <c r="R1429">
        <v>71</v>
      </c>
      <c r="S1429">
        <v>21.68</v>
      </c>
      <c r="T1429" t="str">
        <f t="shared" si="134"/>
        <v>Normal</v>
      </c>
      <c r="U1429">
        <v>79</v>
      </c>
      <c r="V1429">
        <v>78</v>
      </c>
      <c r="W1429" t="str">
        <f t="shared" si="137"/>
        <v>Normal</v>
      </c>
      <c r="X1429">
        <v>0</v>
      </c>
    </row>
    <row r="1430" spans="1:24" ht="14.5" thickBot="1" x14ac:dyDescent="0.35">
      <c r="A1430">
        <v>0</v>
      </c>
      <c r="B1430" t="str">
        <f t="shared" si="135"/>
        <v>Female</v>
      </c>
      <c r="C1430" s="8">
        <v>45</v>
      </c>
      <c r="D1430" t="str">
        <f t="shared" si="136"/>
        <v>Middle Age</v>
      </c>
      <c r="E1430">
        <v>1</v>
      </c>
      <c r="F1430" t="str">
        <f>HLOOKUP(E1430, LookUP_Table!$A$6:$D$7, 2, FALSE)</f>
        <v>Primary</v>
      </c>
      <c r="G1430" t="str">
        <f>IFERROR(VLOOKUP(E1430, LookUP_Table!$A$1:$B$4, 2, FALSE), "")</f>
        <v>Primary</v>
      </c>
      <c r="H1430">
        <v>0</v>
      </c>
      <c r="I1430">
        <v>0</v>
      </c>
      <c r="J1430" t="str">
        <f t="shared" si="132"/>
        <v>Non-Smoker</v>
      </c>
      <c r="K1430">
        <v>0</v>
      </c>
      <c r="L1430">
        <v>0</v>
      </c>
      <c r="M1430">
        <v>1</v>
      </c>
      <c r="N1430">
        <v>0</v>
      </c>
      <c r="O1430">
        <v>183</v>
      </c>
      <c r="P1430" t="str">
        <f t="shared" si="133"/>
        <v>Normal</v>
      </c>
      <c r="Q1430">
        <v>151</v>
      </c>
      <c r="R1430">
        <v>101</v>
      </c>
      <c r="S1430">
        <v>45.8</v>
      </c>
      <c r="T1430" t="str">
        <f t="shared" si="134"/>
        <v>Obese</v>
      </c>
      <c r="U1430">
        <v>80</v>
      </c>
      <c r="V1430">
        <v>63</v>
      </c>
      <c r="W1430" t="str">
        <f t="shared" si="137"/>
        <v>Normal</v>
      </c>
      <c r="X1430">
        <v>0</v>
      </c>
    </row>
    <row r="1431" spans="1:24" ht="14.5" thickBot="1" x14ac:dyDescent="0.35">
      <c r="A1431">
        <v>0</v>
      </c>
      <c r="B1431" t="str">
        <f t="shared" si="135"/>
        <v>Female</v>
      </c>
      <c r="C1431" s="8">
        <v>45</v>
      </c>
      <c r="D1431" t="str">
        <f t="shared" si="136"/>
        <v>Middle Age</v>
      </c>
      <c r="E1431">
        <v>3</v>
      </c>
      <c r="F1431" t="str">
        <f>HLOOKUP(E1431, LookUP_Table!$A$6:$D$7, 2, FALSE)</f>
        <v>Graduate</v>
      </c>
      <c r="G1431" t="str">
        <f>IFERROR(VLOOKUP(E1431, LookUP_Table!$A$1:$B$4, 2, FALSE), "")</f>
        <v>Graduate</v>
      </c>
      <c r="H1431">
        <v>1</v>
      </c>
      <c r="I1431">
        <v>9</v>
      </c>
      <c r="J1431" t="str">
        <f t="shared" si="132"/>
        <v>Smoker</v>
      </c>
      <c r="K1431">
        <v>0</v>
      </c>
      <c r="L1431">
        <v>0</v>
      </c>
      <c r="M1431">
        <v>0</v>
      </c>
      <c r="N1431">
        <v>0</v>
      </c>
      <c r="O1431">
        <v>268</v>
      </c>
      <c r="P1431" t="str">
        <f t="shared" si="133"/>
        <v>High</v>
      </c>
      <c r="Q1431">
        <v>110</v>
      </c>
      <c r="R1431">
        <v>64</v>
      </c>
      <c r="S1431">
        <v>20.68</v>
      </c>
      <c r="T1431" t="str">
        <f t="shared" si="134"/>
        <v>Normal</v>
      </c>
      <c r="U1431">
        <v>63</v>
      </c>
      <c r="V1431">
        <v>71</v>
      </c>
      <c r="W1431" t="str">
        <f t="shared" si="137"/>
        <v>Normal</v>
      </c>
      <c r="X1431">
        <v>0</v>
      </c>
    </row>
    <row r="1432" spans="1:24" ht="14.5" thickBot="1" x14ac:dyDescent="0.35">
      <c r="A1432">
        <v>0</v>
      </c>
      <c r="B1432" t="str">
        <f t="shared" si="135"/>
        <v>Female</v>
      </c>
      <c r="C1432" s="8">
        <v>45</v>
      </c>
      <c r="D1432" t="str">
        <f t="shared" si="136"/>
        <v>Middle Age</v>
      </c>
      <c r="E1432">
        <v>4</v>
      </c>
      <c r="F1432" t="str">
        <f>HLOOKUP(E1432, LookUP_Table!$A$6:$D$7, 2, FALSE)</f>
        <v>Post Graduate</v>
      </c>
      <c r="G1432" t="str">
        <f>IFERROR(VLOOKUP(E1432, LookUP_Table!$A$1:$B$4, 2, FALSE), "")</f>
        <v>Post Graduate</v>
      </c>
      <c r="H1432">
        <v>1</v>
      </c>
      <c r="I1432">
        <v>15</v>
      </c>
      <c r="J1432" t="str">
        <f t="shared" si="132"/>
        <v>Smoker</v>
      </c>
      <c r="K1432">
        <v>0</v>
      </c>
      <c r="L1432">
        <v>0</v>
      </c>
      <c r="M1432">
        <v>0</v>
      </c>
      <c r="N1432">
        <v>0</v>
      </c>
      <c r="O1432">
        <v>224</v>
      </c>
      <c r="P1432" t="str">
        <f t="shared" si="133"/>
        <v>Normal</v>
      </c>
      <c r="Q1432">
        <v>117</v>
      </c>
      <c r="R1432">
        <v>74.5</v>
      </c>
      <c r="S1432">
        <v>16.75</v>
      </c>
      <c r="T1432" t="str">
        <f t="shared" si="134"/>
        <v>Underweight</v>
      </c>
      <c r="U1432">
        <v>68</v>
      </c>
      <c r="V1432">
        <v>87</v>
      </c>
      <c r="W1432" t="str">
        <f t="shared" si="137"/>
        <v>Normal</v>
      </c>
      <c r="X1432">
        <v>0</v>
      </c>
    </row>
    <row r="1433" spans="1:24" ht="14.5" thickBot="1" x14ac:dyDescent="0.35">
      <c r="A1433">
        <v>1</v>
      </c>
      <c r="B1433" t="str">
        <f t="shared" si="135"/>
        <v>Male</v>
      </c>
      <c r="C1433" s="8">
        <v>45</v>
      </c>
      <c r="D1433" t="str">
        <f t="shared" si="136"/>
        <v>Middle Age</v>
      </c>
      <c r="E1433">
        <v>3</v>
      </c>
      <c r="F1433" t="str">
        <f>HLOOKUP(E1433, LookUP_Table!$A$6:$D$7, 2, FALSE)</f>
        <v>Graduate</v>
      </c>
      <c r="G1433" t="str">
        <f>IFERROR(VLOOKUP(E1433, LookUP_Table!$A$1:$B$4, 2, FALSE), "")</f>
        <v>Graduate</v>
      </c>
      <c r="H1433">
        <v>1</v>
      </c>
      <c r="I1433">
        <v>40</v>
      </c>
      <c r="J1433" t="str">
        <f t="shared" si="132"/>
        <v>Smoker</v>
      </c>
      <c r="K1433">
        <v>0</v>
      </c>
      <c r="L1433">
        <v>0</v>
      </c>
      <c r="M1433">
        <v>0</v>
      </c>
      <c r="N1433">
        <v>0</v>
      </c>
      <c r="O1433">
        <v>278</v>
      </c>
      <c r="P1433" t="str">
        <f t="shared" si="133"/>
        <v>High</v>
      </c>
      <c r="Q1433">
        <v>135</v>
      </c>
      <c r="R1433">
        <v>84</v>
      </c>
      <c r="S1433">
        <v>23.79</v>
      </c>
      <c r="T1433" t="str">
        <f t="shared" si="134"/>
        <v>Normal</v>
      </c>
      <c r="U1433">
        <v>75</v>
      </c>
      <c r="V1433">
        <v>79</v>
      </c>
      <c r="W1433" t="str">
        <f t="shared" si="137"/>
        <v>Normal</v>
      </c>
      <c r="X1433">
        <v>1</v>
      </c>
    </row>
    <row r="1434" spans="1:24" ht="14.5" thickBot="1" x14ac:dyDescent="0.35">
      <c r="A1434">
        <v>1</v>
      </c>
      <c r="B1434" t="str">
        <f t="shared" si="135"/>
        <v>Male</v>
      </c>
      <c r="C1434" s="8">
        <v>45</v>
      </c>
      <c r="D1434" t="str">
        <f t="shared" si="136"/>
        <v>Middle Age</v>
      </c>
      <c r="E1434">
        <v>4</v>
      </c>
      <c r="F1434" t="str">
        <f>HLOOKUP(E1434, LookUP_Table!$A$6:$D$7, 2, FALSE)</f>
        <v>Post Graduate</v>
      </c>
      <c r="G1434" t="str">
        <f>IFERROR(VLOOKUP(E1434, LookUP_Table!$A$1:$B$4, 2, FALSE), "")</f>
        <v>Post Graduate</v>
      </c>
      <c r="H1434">
        <v>1</v>
      </c>
      <c r="I1434">
        <v>18</v>
      </c>
      <c r="J1434" t="str">
        <f t="shared" si="132"/>
        <v>Smoker</v>
      </c>
      <c r="K1434">
        <v>0</v>
      </c>
      <c r="L1434">
        <v>0</v>
      </c>
      <c r="M1434">
        <v>0</v>
      </c>
      <c r="N1434">
        <v>0</v>
      </c>
      <c r="O1434">
        <v>176</v>
      </c>
      <c r="P1434" t="str">
        <f t="shared" si="133"/>
        <v>Normal</v>
      </c>
      <c r="Q1434">
        <v>124</v>
      </c>
      <c r="R1434">
        <v>84</v>
      </c>
      <c r="S1434">
        <v>20.27</v>
      </c>
      <c r="T1434" t="str">
        <f t="shared" si="134"/>
        <v>Normal</v>
      </c>
      <c r="U1434">
        <v>77</v>
      </c>
      <c r="V1434">
        <v>75</v>
      </c>
      <c r="W1434" t="str">
        <f t="shared" si="137"/>
        <v>Normal</v>
      </c>
      <c r="X1434">
        <v>0</v>
      </c>
    </row>
    <row r="1435" spans="1:24" ht="14.5" thickBot="1" x14ac:dyDescent="0.35">
      <c r="A1435">
        <v>1</v>
      </c>
      <c r="B1435" t="str">
        <f t="shared" si="135"/>
        <v>Male</v>
      </c>
      <c r="C1435" s="8">
        <v>45</v>
      </c>
      <c r="D1435" t="str">
        <f t="shared" si="136"/>
        <v>Middle Age</v>
      </c>
      <c r="E1435">
        <v>1</v>
      </c>
      <c r="F1435" t="str">
        <f>HLOOKUP(E1435, LookUP_Table!$A$6:$D$7, 2, FALSE)</f>
        <v>Primary</v>
      </c>
      <c r="G1435" t="str">
        <f>IFERROR(VLOOKUP(E1435, LookUP_Table!$A$1:$B$4, 2, FALSE), "")</f>
        <v>Primary</v>
      </c>
      <c r="H1435">
        <v>1</v>
      </c>
      <c r="I1435">
        <v>43</v>
      </c>
      <c r="J1435" t="str">
        <f t="shared" si="132"/>
        <v>Smoker</v>
      </c>
      <c r="K1435">
        <v>0</v>
      </c>
      <c r="L1435">
        <v>0</v>
      </c>
      <c r="M1435">
        <v>1</v>
      </c>
      <c r="N1435">
        <v>0</v>
      </c>
      <c r="O1435">
        <v>191</v>
      </c>
      <c r="P1435" t="str">
        <f t="shared" si="133"/>
        <v>Normal</v>
      </c>
      <c r="Q1435">
        <v>139.5</v>
      </c>
      <c r="R1435">
        <v>75</v>
      </c>
      <c r="S1435">
        <v>22.3</v>
      </c>
      <c r="T1435" t="str">
        <f t="shared" si="134"/>
        <v>Normal</v>
      </c>
      <c r="U1435">
        <v>77</v>
      </c>
      <c r="V1435">
        <v>81.96365524402907</v>
      </c>
      <c r="W1435" t="str">
        <f t="shared" si="137"/>
        <v>Normal</v>
      </c>
      <c r="X1435">
        <v>0</v>
      </c>
    </row>
    <row r="1436" spans="1:24" ht="14.5" thickBot="1" x14ac:dyDescent="0.35">
      <c r="A1436">
        <v>0</v>
      </c>
      <c r="B1436" t="str">
        <f t="shared" si="135"/>
        <v>Female</v>
      </c>
      <c r="C1436" s="8">
        <v>45</v>
      </c>
      <c r="D1436" t="str">
        <f t="shared" si="136"/>
        <v>Middle Age</v>
      </c>
      <c r="E1436">
        <v>3</v>
      </c>
      <c r="F1436" t="str">
        <f>HLOOKUP(E1436, LookUP_Table!$A$6:$D$7, 2, FALSE)</f>
        <v>Graduate</v>
      </c>
      <c r="G1436" t="str">
        <f>IFERROR(VLOOKUP(E1436, LookUP_Table!$A$1:$B$4, 2, FALSE), "")</f>
        <v>Graduate</v>
      </c>
      <c r="H1436">
        <v>0</v>
      </c>
      <c r="I1436">
        <v>0</v>
      </c>
      <c r="J1436" t="str">
        <f t="shared" si="132"/>
        <v>Non-Smoker</v>
      </c>
      <c r="K1436">
        <v>0</v>
      </c>
      <c r="L1436">
        <v>0</v>
      </c>
      <c r="M1436">
        <v>0</v>
      </c>
      <c r="N1436">
        <v>0</v>
      </c>
      <c r="O1436">
        <v>246</v>
      </c>
      <c r="P1436" t="str">
        <f t="shared" si="133"/>
        <v>High</v>
      </c>
      <c r="Q1436">
        <v>134</v>
      </c>
      <c r="R1436">
        <v>81</v>
      </c>
      <c r="S1436">
        <v>21.99</v>
      </c>
      <c r="T1436" t="str">
        <f t="shared" si="134"/>
        <v>Normal</v>
      </c>
      <c r="U1436">
        <v>85</v>
      </c>
      <c r="V1436">
        <v>76</v>
      </c>
      <c r="W1436" t="str">
        <f t="shared" si="137"/>
        <v>Normal</v>
      </c>
      <c r="X1436">
        <v>0</v>
      </c>
    </row>
    <row r="1437" spans="1:24" ht="14.5" thickBot="1" x14ac:dyDescent="0.35">
      <c r="A1437">
        <v>1</v>
      </c>
      <c r="B1437" t="str">
        <f t="shared" si="135"/>
        <v>Male</v>
      </c>
      <c r="C1437" s="8">
        <v>45</v>
      </c>
      <c r="D1437" t="str">
        <f t="shared" si="136"/>
        <v>Middle Age</v>
      </c>
      <c r="E1437">
        <v>2</v>
      </c>
      <c r="F1437" t="str">
        <f>HLOOKUP(E1437, LookUP_Table!$A$6:$D$7, 2, FALSE)</f>
        <v>Secondary</v>
      </c>
      <c r="G1437" t="str">
        <f>IFERROR(VLOOKUP(E1437, LookUP_Table!$A$1:$B$4, 2, FALSE), "")</f>
        <v>Secondary</v>
      </c>
      <c r="H1437">
        <v>0</v>
      </c>
      <c r="I1437">
        <v>0</v>
      </c>
      <c r="J1437" t="str">
        <f t="shared" si="132"/>
        <v>Non-Smoker</v>
      </c>
      <c r="K1437">
        <v>0</v>
      </c>
      <c r="L1437">
        <v>0</v>
      </c>
      <c r="M1437">
        <v>0</v>
      </c>
      <c r="N1437">
        <v>0</v>
      </c>
      <c r="O1437">
        <v>203</v>
      </c>
      <c r="P1437" t="str">
        <f t="shared" si="133"/>
        <v>Normal</v>
      </c>
      <c r="Q1437">
        <v>107.5</v>
      </c>
      <c r="R1437">
        <v>72.5</v>
      </c>
      <c r="S1437">
        <v>22.32</v>
      </c>
      <c r="T1437" t="str">
        <f t="shared" si="134"/>
        <v>Normal</v>
      </c>
      <c r="U1437">
        <v>75</v>
      </c>
      <c r="V1437">
        <v>83</v>
      </c>
      <c r="W1437" t="str">
        <f t="shared" si="137"/>
        <v>Normal</v>
      </c>
      <c r="X1437">
        <v>0</v>
      </c>
    </row>
    <row r="1438" spans="1:24" ht="14.5" thickBot="1" x14ac:dyDescent="0.35">
      <c r="A1438">
        <v>1</v>
      </c>
      <c r="B1438" t="str">
        <f t="shared" si="135"/>
        <v>Male</v>
      </c>
      <c r="C1438" s="8">
        <v>45</v>
      </c>
      <c r="D1438" t="str">
        <f t="shared" si="136"/>
        <v>Middle Age</v>
      </c>
      <c r="E1438">
        <v>1</v>
      </c>
      <c r="F1438" t="str">
        <f>HLOOKUP(E1438, LookUP_Table!$A$6:$D$7, 2, FALSE)</f>
        <v>Primary</v>
      </c>
      <c r="G1438" t="str">
        <f>IFERROR(VLOOKUP(E1438, LookUP_Table!$A$1:$B$4, 2, FALSE), "")</f>
        <v>Primary</v>
      </c>
      <c r="H1438">
        <v>1</v>
      </c>
      <c r="I1438">
        <v>9</v>
      </c>
      <c r="J1438" t="str">
        <f t="shared" si="132"/>
        <v>Smoker</v>
      </c>
      <c r="K1438">
        <v>0</v>
      </c>
      <c r="L1438">
        <v>0</v>
      </c>
      <c r="M1438">
        <v>1</v>
      </c>
      <c r="N1438">
        <v>0</v>
      </c>
      <c r="O1438">
        <v>265</v>
      </c>
      <c r="P1438" t="str">
        <f t="shared" si="133"/>
        <v>High</v>
      </c>
      <c r="Q1438">
        <v>156.5</v>
      </c>
      <c r="R1438">
        <v>86</v>
      </c>
      <c r="S1438">
        <v>24.15</v>
      </c>
      <c r="T1438" t="str">
        <f t="shared" si="134"/>
        <v>Normal</v>
      </c>
      <c r="U1438">
        <v>75</v>
      </c>
      <c r="V1438">
        <v>76</v>
      </c>
      <c r="W1438" t="str">
        <f t="shared" si="137"/>
        <v>Normal</v>
      </c>
      <c r="X1438">
        <v>1</v>
      </c>
    </row>
    <row r="1439" spans="1:24" ht="14.5" thickBot="1" x14ac:dyDescent="0.35">
      <c r="A1439">
        <v>0</v>
      </c>
      <c r="B1439" t="str">
        <f t="shared" si="135"/>
        <v>Female</v>
      </c>
      <c r="C1439" s="8">
        <v>45</v>
      </c>
      <c r="D1439" t="str">
        <f t="shared" si="136"/>
        <v>Middle Age</v>
      </c>
      <c r="E1439">
        <v>3</v>
      </c>
      <c r="F1439" t="str">
        <f>HLOOKUP(E1439, LookUP_Table!$A$6:$D$7, 2, FALSE)</f>
        <v>Graduate</v>
      </c>
      <c r="G1439" t="str">
        <f>IFERROR(VLOOKUP(E1439, LookUP_Table!$A$1:$B$4, 2, FALSE), "")</f>
        <v>Graduate</v>
      </c>
      <c r="H1439">
        <v>0</v>
      </c>
      <c r="I1439">
        <v>0</v>
      </c>
      <c r="J1439" t="str">
        <f t="shared" si="132"/>
        <v>Non-Smoker</v>
      </c>
      <c r="K1439">
        <v>0</v>
      </c>
      <c r="L1439">
        <v>0</v>
      </c>
      <c r="M1439">
        <v>0</v>
      </c>
      <c r="N1439">
        <v>0</v>
      </c>
      <c r="O1439">
        <v>129</v>
      </c>
      <c r="P1439" t="str">
        <f t="shared" si="133"/>
        <v>Normal</v>
      </c>
      <c r="Q1439">
        <v>109</v>
      </c>
      <c r="R1439">
        <v>69</v>
      </c>
      <c r="S1439">
        <v>22.36</v>
      </c>
      <c r="T1439" t="str">
        <f t="shared" si="134"/>
        <v>Normal</v>
      </c>
      <c r="U1439">
        <v>75</v>
      </c>
      <c r="V1439">
        <v>81.96365524402907</v>
      </c>
      <c r="W1439" t="str">
        <f t="shared" si="137"/>
        <v>Normal</v>
      </c>
      <c r="X1439">
        <v>0</v>
      </c>
    </row>
    <row r="1440" spans="1:24" ht="14.5" thickBot="1" x14ac:dyDescent="0.35">
      <c r="A1440">
        <v>0</v>
      </c>
      <c r="B1440" t="str">
        <f t="shared" si="135"/>
        <v>Female</v>
      </c>
      <c r="C1440" s="8">
        <v>45</v>
      </c>
      <c r="D1440" t="str">
        <f t="shared" si="136"/>
        <v>Middle Age</v>
      </c>
      <c r="E1440">
        <v>1</v>
      </c>
      <c r="F1440" t="str">
        <f>HLOOKUP(E1440, LookUP_Table!$A$6:$D$7, 2, FALSE)</f>
        <v>Primary</v>
      </c>
      <c r="G1440" t="str">
        <f>IFERROR(VLOOKUP(E1440, LookUP_Table!$A$1:$B$4, 2, FALSE), "")</f>
        <v>Primary</v>
      </c>
      <c r="H1440">
        <v>1</v>
      </c>
      <c r="I1440">
        <v>30</v>
      </c>
      <c r="J1440" t="str">
        <f t="shared" si="132"/>
        <v>Smoker</v>
      </c>
      <c r="K1440">
        <v>0</v>
      </c>
      <c r="L1440">
        <v>0</v>
      </c>
      <c r="M1440">
        <v>0</v>
      </c>
      <c r="N1440">
        <v>0</v>
      </c>
      <c r="O1440">
        <v>203</v>
      </c>
      <c r="P1440" t="str">
        <f t="shared" si="133"/>
        <v>Normal</v>
      </c>
      <c r="Q1440">
        <v>131</v>
      </c>
      <c r="R1440">
        <v>85</v>
      </c>
      <c r="S1440">
        <v>23.47</v>
      </c>
      <c r="T1440" t="str">
        <f t="shared" si="134"/>
        <v>Normal</v>
      </c>
      <c r="U1440">
        <v>94</v>
      </c>
      <c r="V1440">
        <v>70</v>
      </c>
      <c r="W1440" t="str">
        <f t="shared" si="137"/>
        <v>Normal</v>
      </c>
      <c r="X1440">
        <v>0</v>
      </c>
    </row>
    <row r="1441" spans="1:24" ht="14.5" thickBot="1" x14ac:dyDescent="0.35">
      <c r="A1441">
        <v>1</v>
      </c>
      <c r="B1441" t="str">
        <f t="shared" si="135"/>
        <v>Male</v>
      </c>
      <c r="C1441" s="8">
        <v>45</v>
      </c>
      <c r="D1441" t="str">
        <f t="shared" si="136"/>
        <v>Middle Age</v>
      </c>
      <c r="E1441">
        <v>1</v>
      </c>
      <c r="F1441" t="str">
        <f>HLOOKUP(E1441, LookUP_Table!$A$6:$D$7, 2, FALSE)</f>
        <v>Primary</v>
      </c>
      <c r="G1441" t="str">
        <f>IFERROR(VLOOKUP(E1441, LookUP_Table!$A$1:$B$4, 2, FALSE), "")</f>
        <v>Primary</v>
      </c>
      <c r="H1441">
        <v>1</v>
      </c>
      <c r="I1441">
        <v>5</v>
      </c>
      <c r="J1441" t="str">
        <f t="shared" si="132"/>
        <v>Smoker</v>
      </c>
      <c r="K1441">
        <v>0</v>
      </c>
      <c r="L1441">
        <v>0</v>
      </c>
      <c r="M1441">
        <v>0</v>
      </c>
      <c r="N1441">
        <v>0</v>
      </c>
      <c r="O1441">
        <v>272</v>
      </c>
      <c r="P1441" t="str">
        <f t="shared" si="133"/>
        <v>High</v>
      </c>
      <c r="Q1441">
        <v>140</v>
      </c>
      <c r="R1441">
        <v>94</v>
      </c>
      <c r="S1441">
        <v>27.87</v>
      </c>
      <c r="T1441" t="str">
        <f t="shared" si="134"/>
        <v>Overweight</v>
      </c>
      <c r="U1441">
        <v>61</v>
      </c>
      <c r="V1441">
        <v>79</v>
      </c>
      <c r="W1441" t="str">
        <f t="shared" si="137"/>
        <v>Normal</v>
      </c>
      <c r="X1441">
        <v>0</v>
      </c>
    </row>
    <row r="1442" spans="1:24" ht="14.5" thickBot="1" x14ac:dyDescent="0.35">
      <c r="A1442">
        <v>0</v>
      </c>
      <c r="B1442" t="str">
        <f t="shared" si="135"/>
        <v>Female</v>
      </c>
      <c r="C1442" s="8">
        <v>45</v>
      </c>
      <c r="D1442" t="str">
        <f t="shared" si="136"/>
        <v>Middle Age</v>
      </c>
      <c r="E1442">
        <v>3</v>
      </c>
      <c r="F1442" t="str">
        <f>HLOOKUP(E1442, LookUP_Table!$A$6:$D$7, 2, FALSE)</f>
        <v>Graduate</v>
      </c>
      <c r="G1442" t="str">
        <f>IFERROR(VLOOKUP(E1442, LookUP_Table!$A$1:$B$4, 2, FALSE), "")</f>
        <v>Graduate</v>
      </c>
      <c r="H1442">
        <v>0</v>
      </c>
      <c r="I1442">
        <v>0</v>
      </c>
      <c r="J1442" t="str">
        <f t="shared" si="132"/>
        <v>Non-Smoker</v>
      </c>
      <c r="K1442">
        <v>0</v>
      </c>
      <c r="L1442">
        <v>0</v>
      </c>
      <c r="M1442">
        <v>1</v>
      </c>
      <c r="N1442">
        <v>0</v>
      </c>
      <c r="O1442">
        <v>231</v>
      </c>
      <c r="P1442" t="str">
        <f t="shared" si="133"/>
        <v>Normal</v>
      </c>
      <c r="Q1442">
        <v>157.5</v>
      </c>
      <c r="R1442">
        <v>104.5</v>
      </c>
      <c r="S1442">
        <v>22.86</v>
      </c>
      <c r="T1442" t="str">
        <f t="shared" si="134"/>
        <v>Normal</v>
      </c>
      <c r="U1442">
        <v>75</v>
      </c>
      <c r="V1442">
        <v>92</v>
      </c>
      <c r="W1442" t="str">
        <f t="shared" si="137"/>
        <v>Normal</v>
      </c>
      <c r="X1442">
        <v>0</v>
      </c>
    </row>
    <row r="1443" spans="1:24" ht="14.5" thickBot="1" x14ac:dyDescent="0.35">
      <c r="A1443">
        <v>0</v>
      </c>
      <c r="B1443" t="str">
        <f t="shared" si="135"/>
        <v>Female</v>
      </c>
      <c r="C1443" s="8">
        <v>45</v>
      </c>
      <c r="D1443" t="str">
        <f t="shared" si="136"/>
        <v>Middle Age</v>
      </c>
      <c r="E1443">
        <v>2</v>
      </c>
      <c r="F1443" t="str">
        <f>HLOOKUP(E1443, LookUP_Table!$A$6:$D$7, 2, FALSE)</f>
        <v>Secondary</v>
      </c>
      <c r="G1443" t="str">
        <f>IFERROR(VLOOKUP(E1443, LookUP_Table!$A$1:$B$4, 2, FALSE), "")</f>
        <v>Secondary</v>
      </c>
      <c r="H1443">
        <v>1</v>
      </c>
      <c r="I1443">
        <v>20</v>
      </c>
      <c r="J1443" t="str">
        <f t="shared" si="132"/>
        <v>Smoker</v>
      </c>
      <c r="K1443">
        <v>0</v>
      </c>
      <c r="L1443">
        <v>0</v>
      </c>
      <c r="M1443">
        <v>0</v>
      </c>
      <c r="N1443">
        <v>0</v>
      </c>
      <c r="O1443">
        <v>285</v>
      </c>
      <c r="P1443" t="str">
        <f t="shared" si="133"/>
        <v>High</v>
      </c>
      <c r="Q1443">
        <v>116</v>
      </c>
      <c r="R1443">
        <v>87</v>
      </c>
      <c r="S1443">
        <v>23.85</v>
      </c>
      <c r="T1443" t="str">
        <f t="shared" si="134"/>
        <v>Normal</v>
      </c>
      <c r="U1443">
        <v>65</v>
      </c>
      <c r="V1443">
        <v>55</v>
      </c>
      <c r="W1443" t="str">
        <f t="shared" si="137"/>
        <v>Normal</v>
      </c>
      <c r="X1443">
        <v>1</v>
      </c>
    </row>
    <row r="1444" spans="1:24" ht="14.5" thickBot="1" x14ac:dyDescent="0.35">
      <c r="A1444">
        <v>1</v>
      </c>
      <c r="B1444" t="str">
        <f t="shared" si="135"/>
        <v>Male</v>
      </c>
      <c r="C1444" s="8">
        <v>45</v>
      </c>
      <c r="D1444" t="str">
        <f t="shared" si="136"/>
        <v>Middle Age</v>
      </c>
      <c r="E1444">
        <v>4</v>
      </c>
      <c r="F1444" t="str">
        <f>HLOOKUP(E1444, LookUP_Table!$A$6:$D$7, 2, FALSE)</f>
        <v>Post Graduate</v>
      </c>
      <c r="G1444" t="str">
        <f>IFERROR(VLOOKUP(E1444, LookUP_Table!$A$1:$B$4, 2, FALSE), "")</f>
        <v>Post Graduate</v>
      </c>
      <c r="H1444">
        <v>1</v>
      </c>
      <c r="I1444">
        <v>20</v>
      </c>
      <c r="J1444" t="str">
        <f t="shared" si="132"/>
        <v>Smoker</v>
      </c>
      <c r="K1444">
        <v>0</v>
      </c>
      <c r="L1444">
        <v>0</v>
      </c>
      <c r="M1444">
        <v>0</v>
      </c>
      <c r="N1444">
        <v>0</v>
      </c>
      <c r="O1444">
        <v>226</v>
      </c>
      <c r="P1444" t="str">
        <f t="shared" si="133"/>
        <v>Normal</v>
      </c>
      <c r="Q1444">
        <v>119</v>
      </c>
      <c r="R1444">
        <v>75</v>
      </c>
      <c r="S1444">
        <v>25.34</v>
      </c>
      <c r="T1444" t="str">
        <f t="shared" si="134"/>
        <v>Overweight</v>
      </c>
      <c r="U1444">
        <v>70</v>
      </c>
      <c r="V1444">
        <v>66</v>
      </c>
      <c r="W1444" t="str">
        <f t="shared" si="137"/>
        <v>Normal</v>
      </c>
      <c r="X1444">
        <v>0</v>
      </c>
    </row>
    <row r="1445" spans="1:24" ht="14.5" thickBot="1" x14ac:dyDescent="0.35">
      <c r="A1445">
        <v>1</v>
      </c>
      <c r="B1445" t="str">
        <f t="shared" si="135"/>
        <v>Male</v>
      </c>
      <c r="C1445" s="8">
        <v>45</v>
      </c>
      <c r="D1445" t="str">
        <f t="shared" si="136"/>
        <v>Middle Age</v>
      </c>
      <c r="E1445">
        <v>1</v>
      </c>
      <c r="F1445" t="str">
        <f>HLOOKUP(E1445, LookUP_Table!$A$6:$D$7, 2, FALSE)</f>
        <v>Primary</v>
      </c>
      <c r="G1445" t="str">
        <f>IFERROR(VLOOKUP(E1445, LookUP_Table!$A$1:$B$4, 2, FALSE), "")</f>
        <v>Primary</v>
      </c>
      <c r="H1445">
        <v>1</v>
      </c>
      <c r="I1445">
        <v>20</v>
      </c>
      <c r="J1445" t="str">
        <f t="shared" si="132"/>
        <v>Smoker</v>
      </c>
      <c r="K1445">
        <v>0</v>
      </c>
      <c r="L1445">
        <v>0</v>
      </c>
      <c r="M1445">
        <v>0</v>
      </c>
      <c r="N1445">
        <v>0</v>
      </c>
      <c r="O1445">
        <v>246</v>
      </c>
      <c r="P1445" t="str">
        <f t="shared" si="133"/>
        <v>High</v>
      </c>
      <c r="Q1445">
        <v>111</v>
      </c>
      <c r="R1445">
        <v>72</v>
      </c>
      <c r="S1445">
        <v>21.79</v>
      </c>
      <c r="T1445" t="str">
        <f t="shared" si="134"/>
        <v>Normal</v>
      </c>
      <c r="U1445">
        <v>75</v>
      </c>
      <c r="V1445">
        <v>118</v>
      </c>
      <c r="W1445" t="str">
        <f t="shared" si="137"/>
        <v>Prediabetes</v>
      </c>
      <c r="X1445">
        <v>0</v>
      </c>
    </row>
    <row r="1446" spans="1:24" ht="14.5" thickBot="1" x14ac:dyDescent="0.35">
      <c r="A1446">
        <v>0</v>
      </c>
      <c r="B1446" t="str">
        <f t="shared" si="135"/>
        <v>Female</v>
      </c>
      <c r="C1446" s="8">
        <v>45</v>
      </c>
      <c r="D1446" t="str">
        <f t="shared" si="136"/>
        <v>Middle Age</v>
      </c>
      <c r="E1446">
        <v>2</v>
      </c>
      <c r="F1446" t="str">
        <f>HLOOKUP(E1446, LookUP_Table!$A$6:$D$7, 2, FALSE)</f>
        <v>Secondary</v>
      </c>
      <c r="G1446" t="str">
        <f>IFERROR(VLOOKUP(E1446, LookUP_Table!$A$1:$B$4, 2, FALSE), "")</f>
        <v>Secondary</v>
      </c>
      <c r="H1446">
        <v>0</v>
      </c>
      <c r="I1446">
        <v>0</v>
      </c>
      <c r="J1446" t="str">
        <f t="shared" si="132"/>
        <v>Non-Smoker</v>
      </c>
      <c r="K1446">
        <v>0</v>
      </c>
      <c r="L1446">
        <v>0</v>
      </c>
      <c r="M1446">
        <v>1</v>
      </c>
      <c r="N1446">
        <v>0</v>
      </c>
      <c r="O1446">
        <v>304</v>
      </c>
      <c r="P1446" t="str">
        <f t="shared" si="133"/>
        <v>High</v>
      </c>
      <c r="Q1446">
        <v>148</v>
      </c>
      <c r="R1446">
        <v>106</v>
      </c>
      <c r="S1446">
        <v>22.98</v>
      </c>
      <c r="T1446" t="str">
        <f t="shared" si="134"/>
        <v>Normal</v>
      </c>
      <c r="U1446">
        <v>98</v>
      </c>
      <c r="V1446">
        <v>72</v>
      </c>
      <c r="W1446" t="str">
        <f t="shared" si="137"/>
        <v>Normal</v>
      </c>
      <c r="X1446">
        <v>0</v>
      </c>
    </row>
    <row r="1447" spans="1:24" ht="14.5" thickBot="1" x14ac:dyDescent="0.35">
      <c r="A1447">
        <v>0</v>
      </c>
      <c r="B1447" t="str">
        <f t="shared" si="135"/>
        <v>Female</v>
      </c>
      <c r="C1447" s="8">
        <v>45</v>
      </c>
      <c r="D1447" t="str">
        <f t="shared" si="136"/>
        <v>Middle Age</v>
      </c>
      <c r="E1447">
        <v>2</v>
      </c>
      <c r="F1447" t="str">
        <f>HLOOKUP(E1447, LookUP_Table!$A$6:$D$7, 2, FALSE)</f>
        <v>Secondary</v>
      </c>
      <c r="G1447" t="str">
        <f>IFERROR(VLOOKUP(E1447, LookUP_Table!$A$1:$B$4, 2, FALSE), "")</f>
        <v>Secondary</v>
      </c>
      <c r="H1447">
        <v>0</v>
      </c>
      <c r="I1447">
        <v>0</v>
      </c>
      <c r="J1447" t="str">
        <f t="shared" si="132"/>
        <v>Non-Smoker</v>
      </c>
      <c r="K1447">
        <v>0</v>
      </c>
      <c r="L1447">
        <v>0</v>
      </c>
      <c r="M1447">
        <v>1</v>
      </c>
      <c r="N1447">
        <v>0</v>
      </c>
      <c r="O1447">
        <v>226</v>
      </c>
      <c r="P1447" t="str">
        <f t="shared" si="133"/>
        <v>Normal</v>
      </c>
      <c r="Q1447">
        <v>180</v>
      </c>
      <c r="R1447">
        <v>99</v>
      </c>
      <c r="S1447">
        <v>45.79</v>
      </c>
      <c r="T1447" t="str">
        <f t="shared" si="134"/>
        <v>Obese</v>
      </c>
      <c r="U1447">
        <v>110</v>
      </c>
      <c r="V1447">
        <v>81.96365524402907</v>
      </c>
      <c r="W1447" t="str">
        <f t="shared" si="137"/>
        <v>Normal</v>
      </c>
      <c r="X1447">
        <v>0</v>
      </c>
    </row>
    <row r="1448" spans="1:24" ht="14.5" thickBot="1" x14ac:dyDescent="0.35">
      <c r="A1448">
        <v>1</v>
      </c>
      <c r="B1448" t="str">
        <f t="shared" si="135"/>
        <v>Male</v>
      </c>
      <c r="C1448" s="8">
        <v>45</v>
      </c>
      <c r="D1448" t="str">
        <f t="shared" si="136"/>
        <v>Middle Age</v>
      </c>
      <c r="E1448">
        <v>1</v>
      </c>
      <c r="F1448" t="str">
        <f>HLOOKUP(E1448, LookUP_Table!$A$6:$D$7, 2, FALSE)</f>
        <v>Primary</v>
      </c>
      <c r="G1448" t="str">
        <f>IFERROR(VLOOKUP(E1448, LookUP_Table!$A$1:$B$4, 2, FALSE), "")</f>
        <v>Primary</v>
      </c>
      <c r="H1448">
        <v>1</v>
      </c>
      <c r="I1448">
        <v>30</v>
      </c>
      <c r="J1448" t="str">
        <f t="shared" si="132"/>
        <v>Smoker</v>
      </c>
      <c r="K1448">
        <v>0</v>
      </c>
      <c r="L1448">
        <v>0</v>
      </c>
      <c r="M1448">
        <v>0</v>
      </c>
      <c r="N1448">
        <v>0</v>
      </c>
      <c r="O1448">
        <v>240</v>
      </c>
      <c r="P1448" t="str">
        <f t="shared" si="133"/>
        <v>Normal</v>
      </c>
      <c r="Q1448">
        <v>141</v>
      </c>
      <c r="R1448">
        <v>89</v>
      </c>
      <c r="S1448">
        <v>25.01</v>
      </c>
      <c r="T1448" t="str">
        <f t="shared" si="134"/>
        <v>Overweight</v>
      </c>
      <c r="U1448">
        <v>95</v>
      </c>
      <c r="V1448">
        <v>76</v>
      </c>
      <c r="W1448" t="str">
        <f t="shared" si="137"/>
        <v>Normal</v>
      </c>
      <c r="X1448">
        <v>0</v>
      </c>
    </row>
    <row r="1449" spans="1:24" ht="14.5" thickBot="1" x14ac:dyDescent="0.35">
      <c r="A1449">
        <v>1</v>
      </c>
      <c r="B1449" t="str">
        <f t="shared" si="135"/>
        <v>Male</v>
      </c>
      <c r="C1449" s="8">
        <v>45</v>
      </c>
      <c r="D1449" t="str">
        <f t="shared" si="136"/>
        <v>Middle Age</v>
      </c>
      <c r="E1449">
        <v>3</v>
      </c>
      <c r="F1449" t="str">
        <f>HLOOKUP(E1449, LookUP_Table!$A$6:$D$7, 2, FALSE)</f>
        <v>Graduate</v>
      </c>
      <c r="G1449" t="str">
        <f>IFERROR(VLOOKUP(E1449, LookUP_Table!$A$1:$B$4, 2, FALSE), "")</f>
        <v>Graduate</v>
      </c>
      <c r="H1449">
        <v>1</v>
      </c>
      <c r="I1449">
        <v>30</v>
      </c>
      <c r="J1449" t="str">
        <f t="shared" si="132"/>
        <v>Smoker</v>
      </c>
      <c r="K1449">
        <v>0</v>
      </c>
      <c r="L1449">
        <v>0</v>
      </c>
      <c r="M1449">
        <v>1</v>
      </c>
      <c r="N1449">
        <v>0</v>
      </c>
      <c r="O1449">
        <v>233</v>
      </c>
      <c r="P1449" t="str">
        <f t="shared" si="133"/>
        <v>Normal</v>
      </c>
      <c r="Q1449">
        <v>151</v>
      </c>
      <c r="R1449">
        <v>95</v>
      </c>
      <c r="S1449">
        <v>29.17</v>
      </c>
      <c r="T1449" t="str">
        <f t="shared" si="134"/>
        <v>Overweight</v>
      </c>
      <c r="U1449">
        <v>78</v>
      </c>
      <c r="V1449">
        <v>95</v>
      </c>
      <c r="W1449" t="str">
        <f t="shared" si="137"/>
        <v>Normal</v>
      </c>
      <c r="X1449">
        <v>0</v>
      </c>
    </row>
    <row r="1450" spans="1:24" ht="14.5" thickBot="1" x14ac:dyDescent="0.35">
      <c r="A1450">
        <v>1</v>
      </c>
      <c r="B1450" t="str">
        <f t="shared" si="135"/>
        <v>Male</v>
      </c>
      <c r="C1450" s="8">
        <v>45</v>
      </c>
      <c r="D1450" t="str">
        <f t="shared" si="136"/>
        <v>Middle Age</v>
      </c>
      <c r="E1450">
        <v>1</v>
      </c>
      <c r="F1450" t="str">
        <f>HLOOKUP(E1450, LookUP_Table!$A$6:$D$7, 2, FALSE)</f>
        <v>Primary</v>
      </c>
      <c r="G1450" t="str">
        <f>IFERROR(VLOOKUP(E1450, LookUP_Table!$A$1:$B$4, 2, FALSE), "")</f>
        <v>Primary</v>
      </c>
      <c r="H1450">
        <v>0</v>
      </c>
      <c r="I1450">
        <v>0</v>
      </c>
      <c r="J1450" t="str">
        <f t="shared" si="132"/>
        <v>Non-Smoker</v>
      </c>
      <c r="K1450">
        <v>0</v>
      </c>
      <c r="L1450">
        <v>0</v>
      </c>
      <c r="M1450">
        <v>0</v>
      </c>
      <c r="N1450">
        <v>0</v>
      </c>
      <c r="O1450">
        <v>258</v>
      </c>
      <c r="P1450" t="str">
        <f t="shared" si="133"/>
        <v>High</v>
      </c>
      <c r="Q1450">
        <v>114</v>
      </c>
      <c r="R1450">
        <v>80</v>
      </c>
      <c r="S1450">
        <v>26.6</v>
      </c>
      <c r="T1450" t="str">
        <f t="shared" si="134"/>
        <v>Overweight</v>
      </c>
      <c r="U1450">
        <v>80</v>
      </c>
      <c r="V1450">
        <v>68</v>
      </c>
      <c r="W1450" t="str">
        <f t="shared" si="137"/>
        <v>Normal</v>
      </c>
      <c r="X1450">
        <v>0</v>
      </c>
    </row>
    <row r="1451" spans="1:24" ht="14.5" thickBot="1" x14ac:dyDescent="0.35">
      <c r="A1451">
        <v>0</v>
      </c>
      <c r="B1451" t="str">
        <f t="shared" si="135"/>
        <v>Female</v>
      </c>
      <c r="C1451" s="8">
        <v>45</v>
      </c>
      <c r="D1451" t="str">
        <f t="shared" si="136"/>
        <v>Middle Age</v>
      </c>
      <c r="E1451">
        <v>1</v>
      </c>
      <c r="F1451" t="str">
        <f>HLOOKUP(E1451, LookUP_Table!$A$6:$D$7, 2, FALSE)</f>
        <v>Primary</v>
      </c>
      <c r="G1451" t="str">
        <f>IFERROR(VLOOKUP(E1451, LookUP_Table!$A$1:$B$4, 2, FALSE), "")</f>
        <v>Primary</v>
      </c>
      <c r="H1451">
        <v>0</v>
      </c>
      <c r="I1451">
        <v>0</v>
      </c>
      <c r="J1451" t="str">
        <f t="shared" si="132"/>
        <v>Non-Smoker</v>
      </c>
      <c r="K1451">
        <v>0</v>
      </c>
      <c r="L1451">
        <v>0</v>
      </c>
      <c r="M1451">
        <v>0</v>
      </c>
      <c r="N1451">
        <v>0</v>
      </c>
      <c r="O1451">
        <v>220</v>
      </c>
      <c r="P1451" t="str">
        <f t="shared" si="133"/>
        <v>Normal</v>
      </c>
      <c r="Q1451">
        <v>126</v>
      </c>
      <c r="R1451">
        <v>82</v>
      </c>
      <c r="S1451">
        <v>23.87</v>
      </c>
      <c r="T1451" t="str">
        <f t="shared" si="134"/>
        <v>Normal</v>
      </c>
      <c r="U1451">
        <v>79</v>
      </c>
      <c r="V1451">
        <v>90</v>
      </c>
      <c r="W1451" t="str">
        <f t="shared" si="137"/>
        <v>Normal</v>
      </c>
      <c r="X1451">
        <v>0</v>
      </c>
    </row>
    <row r="1452" spans="1:24" ht="14.5" thickBot="1" x14ac:dyDescent="0.35">
      <c r="A1452">
        <v>1</v>
      </c>
      <c r="B1452" t="str">
        <f t="shared" si="135"/>
        <v>Male</v>
      </c>
      <c r="C1452" s="8">
        <v>45</v>
      </c>
      <c r="D1452" t="str">
        <f t="shared" si="136"/>
        <v>Middle Age</v>
      </c>
      <c r="E1452">
        <v>4</v>
      </c>
      <c r="F1452" t="str">
        <f>HLOOKUP(E1452, LookUP_Table!$A$6:$D$7, 2, FALSE)</f>
        <v>Post Graduate</v>
      </c>
      <c r="G1452" t="str">
        <f>IFERROR(VLOOKUP(E1452, LookUP_Table!$A$1:$B$4, 2, FALSE), "")</f>
        <v>Post Graduate</v>
      </c>
      <c r="H1452">
        <v>1</v>
      </c>
      <c r="I1452">
        <v>30</v>
      </c>
      <c r="J1452" t="str">
        <f t="shared" si="132"/>
        <v>Smoker</v>
      </c>
      <c r="K1452">
        <v>0</v>
      </c>
      <c r="L1452">
        <v>0</v>
      </c>
      <c r="M1452">
        <v>0</v>
      </c>
      <c r="N1452">
        <v>0</v>
      </c>
      <c r="O1452">
        <v>307</v>
      </c>
      <c r="P1452" t="str">
        <f t="shared" si="133"/>
        <v>High</v>
      </c>
      <c r="Q1452">
        <v>110</v>
      </c>
      <c r="R1452">
        <v>78</v>
      </c>
      <c r="S1452">
        <v>28.57</v>
      </c>
      <c r="T1452" t="str">
        <f t="shared" si="134"/>
        <v>Overweight</v>
      </c>
      <c r="U1452">
        <v>68</v>
      </c>
      <c r="V1452">
        <v>69</v>
      </c>
      <c r="W1452" t="str">
        <f t="shared" si="137"/>
        <v>Normal</v>
      </c>
      <c r="X1452">
        <v>0</v>
      </c>
    </row>
    <row r="1453" spans="1:24" ht="14.5" thickBot="1" x14ac:dyDescent="0.35">
      <c r="A1453">
        <v>1</v>
      </c>
      <c r="B1453" t="str">
        <f t="shared" si="135"/>
        <v>Male</v>
      </c>
      <c r="C1453" s="8">
        <v>45</v>
      </c>
      <c r="D1453" t="str">
        <f t="shared" si="136"/>
        <v>Middle Age</v>
      </c>
      <c r="E1453">
        <v>4</v>
      </c>
      <c r="F1453" t="str">
        <f>HLOOKUP(E1453, LookUP_Table!$A$6:$D$7, 2, FALSE)</f>
        <v>Post Graduate</v>
      </c>
      <c r="G1453" t="str">
        <f>IFERROR(VLOOKUP(E1453, LookUP_Table!$A$1:$B$4, 2, FALSE), "")</f>
        <v>Post Graduate</v>
      </c>
      <c r="H1453">
        <v>1</v>
      </c>
      <c r="I1453">
        <v>5</v>
      </c>
      <c r="J1453" t="str">
        <f t="shared" si="132"/>
        <v>Smoker</v>
      </c>
      <c r="K1453">
        <v>0</v>
      </c>
      <c r="L1453">
        <v>0</v>
      </c>
      <c r="M1453">
        <v>1</v>
      </c>
      <c r="N1453">
        <v>0</v>
      </c>
      <c r="O1453">
        <v>227</v>
      </c>
      <c r="P1453" t="str">
        <f t="shared" si="133"/>
        <v>Normal</v>
      </c>
      <c r="Q1453">
        <v>166</v>
      </c>
      <c r="R1453">
        <v>102</v>
      </c>
      <c r="S1453">
        <v>29.32</v>
      </c>
      <c r="T1453" t="str">
        <f t="shared" si="134"/>
        <v>Overweight</v>
      </c>
      <c r="U1453">
        <v>58</v>
      </c>
      <c r="V1453">
        <v>85</v>
      </c>
      <c r="W1453" t="str">
        <f t="shared" si="137"/>
        <v>Normal</v>
      </c>
      <c r="X1453">
        <v>0</v>
      </c>
    </row>
    <row r="1454" spans="1:24" ht="14.5" thickBot="1" x14ac:dyDescent="0.35">
      <c r="A1454">
        <v>0</v>
      </c>
      <c r="B1454" t="str">
        <f t="shared" si="135"/>
        <v>Female</v>
      </c>
      <c r="C1454" s="8">
        <v>45</v>
      </c>
      <c r="D1454" t="str">
        <f t="shared" si="136"/>
        <v>Middle Age</v>
      </c>
      <c r="E1454">
        <v>2</v>
      </c>
      <c r="F1454" t="str">
        <f>HLOOKUP(E1454, LookUP_Table!$A$6:$D$7, 2, FALSE)</f>
        <v>Secondary</v>
      </c>
      <c r="G1454" t="str">
        <f>IFERROR(VLOOKUP(E1454, LookUP_Table!$A$1:$B$4, 2, FALSE), "")</f>
        <v>Secondary</v>
      </c>
      <c r="H1454">
        <v>0</v>
      </c>
      <c r="I1454">
        <v>0</v>
      </c>
      <c r="J1454" t="str">
        <f t="shared" si="132"/>
        <v>Non-Smoker</v>
      </c>
      <c r="K1454">
        <v>0</v>
      </c>
      <c r="L1454">
        <v>0</v>
      </c>
      <c r="M1454">
        <v>1</v>
      </c>
      <c r="N1454">
        <v>0</v>
      </c>
      <c r="O1454">
        <v>215</v>
      </c>
      <c r="P1454" t="str">
        <f t="shared" si="133"/>
        <v>Normal</v>
      </c>
      <c r="Q1454">
        <v>152.5</v>
      </c>
      <c r="R1454">
        <v>82</v>
      </c>
      <c r="S1454">
        <v>25.92</v>
      </c>
      <c r="T1454" t="str">
        <f t="shared" si="134"/>
        <v>Overweight</v>
      </c>
      <c r="U1454">
        <v>100</v>
      </c>
      <c r="V1454">
        <v>75</v>
      </c>
      <c r="W1454" t="str">
        <f t="shared" si="137"/>
        <v>Normal</v>
      </c>
      <c r="X1454">
        <v>0</v>
      </c>
    </row>
    <row r="1455" spans="1:24" ht="14.5" thickBot="1" x14ac:dyDescent="0.35">
      <c r="A1455">
        <v>0</v>
      </c>
      <c r="B1455" t="str">
        <f t="shared" si="135"/>
        <v>Female</v>
      </c>
      <c r="C1455" s="8">
        <v>45</v>
      </c>
      <c r="D1455" t="str">
        <f t="shared" si="136"/>
        <v>Middle Age</v>
      </c>
      <c r="E1455">
        <v>3</v>
      </c>
      <c r="F1455" t="str">
        <f>HLOOKUP(E1455, LookUP_Table!$A$6:$D$7, 2, FALSE)</f>
        <v>Graduate</v>
      </c>
      <c r="G1455" t="str">
        <f>IFERROR(VLOOKUP(E1455, LookUP_Table!$A$1:$B$4, 2, FALSE), "")</f>
        <v>Graduate</v>
      </c>
      <c r="H1455">
        <v>1</v>
      </c>
      <c r="I1455">
        <v>20</v>
      </c>
      <c r="J1455" t="str">
        <f t="shared" si="132"/>
        <v>Smoker</v>
      </c>
      <c r="K1455">
        <v>0</v>
      </c>
      <c r="L1455">
        <v>0</v>
      </c>
      <c r="M1455">
        <v>0</v>
      </c>
      <c r="N1455">
        <v>0</v>
      </c>
      <c r="O1455">
        <v>156</v>
      </c>
      <c r="P1455" t="str">
        <f t="shared" si="133"/>
        <v>Normal</v>
      </c>
      <c r="Q1455">
        <v>119</v>
      </c>
      <c r="R1455">
        <v>83</v>
      </c>
      <c r="S1455">
        <v>22.02</v>
      </c>
      <c r="T1455" t="str">
        <f t="shared" si="134"/>
        <v>Normal</v>
      </c>
      <c r="U1455">
        <v>68</v>
      </c>
      <c r="V1455">
        <v>78</v>
      </c>
      <c r="W1455" t="str">
        <f t="shared" si="137"/>
        <v>Normal</v>
      </c>
      <c r="X1455">
        <v>0</v>
      </c>
    </row>
    <row r="1456" spans="1:24" ht="14.5" thickBot="1" x14ac:dyDescent="0.35">
      <c r="A1456">
        <v>0</v>
      </c>
      <c r="B1456" t="str">
        <f t="shared" si="135"/>
        <v>Female</v>
      </c>
      <c r="C1456" s="8">
        <v>45</v>
      </c>
      <c r="D1456" t="str">
        <f t="shared" si="136"/>
        <v>Middle Age</v>
      </c>
      <c r="E1456">
        <v>3</v>
      </c>
      <c r="F1456" t="str">
        <f>HLOOKUP(E1456, LookUP_Table!$A$6:$D$7, 2, FALSE)</f>
        <v>Graduate</v>
      </c>
      <c r="G1456" t="str">
        <f>IFERROR(VLOOKUP(E1456, LookUP_Table!$A$1:$B$4, 2, FALSE), "")</f>
        <v>Graduate</v>
      </c>
      <c r="H1456">
        <v>0</v>
      </c>
      <c r="I1456">
        <v>0</v>
      </c>
      <c r="J1456" t="str">
        <f t="shared" si="132"/>
        <v>Non-Smoker</v>
      </c>
      <c r="K1456">
        <v>0</v>
      </c>
      <c r="L1456">
        <v>0</v>
      </c>
      <c r="M1456">
        <v>0</v>
      </c>
      <c r="N1456">
        <v>0</v>
      </c>
      <c r="O1456">
        <v>231</v>
      </c>
      <c r="P1456" t="str">
        <f t="shared" si="133"/>
        <v>Normal</v>
      </c>
      <c r="Q1456">
        <v>107.5</v>
      </c>
      <c r="R1456">
        <v>57.5</v>
      </c>
      <c r="S1456">
        <v>25.80080075811421</v>
      </c>
      <c r="T1456" t="str">
        <f t="shared" si="134"/>
        <v>Overweight</v>
      </c>
      <c r="U1456">
        <v>81</v>
      </c>
      <c r="V1456">
        <v>81.96365524402907</v>
      </c>
      <c r="W1456" t="str">
        <f t="shared" si="137"/>
        <v>Normal</v>
      </c>
      <c r="X1456">
        <v>0</v>
      </c>
    </row>
    <row r="1457" spans="1:24" ht="14.5" thickBot="1" x14ac:dyDescent="0.35">
      <c r="A1457">
        <v>0</v>
      </c>
      <c r="B1457" t="str">
        <f t="shared" si="135"/>
        <v>Female</v>
      </c>
      <c r="C1457" s="8">
        <v>45</v>
      </c>
      <c r="D1457" t="str">
        <f t="shared" si="136"/>
        <v>Middle Age</v>
      </c>
      <c r="E1457">
        <v>1</v>
      </c>
      <c r="F1457" t="str">
        <f>HLOOKUP(E1457, LookUP_Table!$A$6:$D$7, 2, FALSE)</f>
        <v>Primary</v>
      </c>
      <c r="G1457" t="str">
        <f>IFERROR(VLOOKUP(E1457, LookUP_Table!$A$1:$B$4, 2, FALSE), "")</f>
        <v>Primary</v>
      </c>
      <c r="H1457">
        <v>0</v>
      </c>
      <c r="I1457">
        <v>0</v>
      </c>
      <c r="J1457" t="str">
        <f t="shared" si="132"/>
        <v>Non-Smoker</v>
      </c>
      <c r="K1457">
        <v>0</v>
      </c>
      <c r="L1457">
        <v>0</v>
      </c>
      <c r="M1457">
        <v>0</v>
      </c>
      <c r="N1457">
        <v>0</v>
      </c>
      <c r="O1457">
        <v>211</v>
      </c>
      <c r="P1457" t="str">
        <f t="shared" si="133"/>
        <v>Normal</v>
      </c>
      <c r="Q1457">
        <v>127.5</v>
      </c>
      <c r="R1457">
        <v>80</v>
      </c>
      <c r="S1457">
        <v>27.05</v>
      </c>
      <c r="T1457" t="str">
        <f t="shared" si="134"/>
        <v>Overweight</v>
      </c>
      <c r="U1457">
        <v>72</v>
      </c>
      <c r="V1457">
        <v>68</v>
      </c>
      <c r="W1457" t="str">
        <f t="shared" si="137"/>
        <v>Normal</v>
      </c>
      <c r="X1457">
        <v>1</v>
      </c>
    </row>
    <row r="1458" spans="1:24" ht="14.5" thickBot="1" x14ac:dyDescent="0.35">
      <c r="A1458">
        <v>0</v>
      </c>
      <c r="B1458" t="str">
        <f t="shared" si="135"/>
        <v>Female</v>
      </c>
      <c r="C1458" s="8">
        <v>45</v>
      </c>
      <c r="D1458" t="str">
        <f t="shared" si="136"/>
        <v>Middle Age</v>
      </c>
      <c r="E1458">
        <v>3</v>
      </c>
      <c r="F1458" t="str">
        <f>HLOOKUP(E1458, LookUP_Table!$A$6:$D$7, 2, FALSE)</f>
        <v>Graduate</v>
      </c>
      <c r="G1458" t="str">
        <f>IFERROR(VLOOKUP(E1458, LookUP_Table!$A$1:$B$4, 2, FALSE), "")</f>
        <v>Graduate</v>
      </c>
      <c r="H1458">
        <v>1</v>
      </c>
      <c r="I1458">
        <v>15</v>
      </c>
      <c r="J1458" t="str">
        <f t="shared" si="132"/>
        <v>Smoker</v>
      </c>
      <c r="K1458">
        <v>0</v>
      </c>
      <c r="L1458">
        <v>0</v>
      </c>
      <c r="M1458">
        <v>0</v>
      </c>
      <c r="N1458">
        <v>0</v>
      </c>
      <c r="O1458">
        <v>210</v>
      </c>
      <c r="P1458" t="str">
        <f t="shared" si="133"/>
        <v>Normal</v>
      </c>
      <c r="Q1458">
        <v>127</v>
      </c>
      <c r="R1458">
        <v>76.5</v>
      </c>
      <c r="S1458">
        <v>21.67</v>
      </c>
      <c r="T1458" t="str">
        <f t="shared" si="134"/>
        <v>Normal</v>
      </c>
      <c r="U1458">
        <v>83</v>
      </c>
      <c r="V1458">
        <v>72</v>
      </c>
      <c r="W1458" t="str">
        <f t="shared" si="137"/>
        <v>Normal</v>
      </c>
      <c r="X1458">
        <v>0</v>
      </c>
    </row>
    <row r="1459" spans="1:24" ht="14.5" thickBot="1" x14ac:dyDescent="0.35">
      <c r="A1459">
        <v>0</v>
      </c>
      <c r="B1459" t="str">
        <f t="shared" si="135"/>
        <v>Female</v>
      </c>
      <c r="C1459" s="8">
        <v>45</v>
      </c>
      <c r="D1459" t="str">
        <f t="shared" si="136"/>
        <v>Middle Age</v>
      </c>
      <c r="E1459">
        <v>3</v>
      </c>
      <c r="F1459" t="str">
        <f>HLOOKUP(E1459, LookUP_Table!$A$6:$D$7, 2, FALSE)</f>
        <v>Graduate</v>
      </c>
      <c r="G1459" t="str">
        <f>IFERROR(VLOOKUP(E1459, LookUP_Table!$A$1:$B$4, 2, FALSE), "")</f>
        <v>Graduate</v>
      </c>
      <c r="H1459">
        <v>0</v>
      </c>
      <c r="I1459">
        <v>0</v>
      </c>
      <c r="J1459" t="str">
        <f t="shared" si="132"/>
        <v>Non-Smoker</v>
      </c>
      <c r="K1459">
        <v>0</v>
      </c>
      <c r="L1459">
        <v>0</v>
      </c>
      <c r="M1459">
        <v>0</v>
      </c>
      <c r="N1459">
        <v>0</v>
      </c>
      <c r="O1459">
        <v>222</v>
      </c>
      <c r="P1459" t="str">
        <f t="shared" si="133"/>
        <v>Normal</v>
      </c>
      <c r="Q1459">
        <v>121</v>
      </c>
      <c r="R1459">
        <v>78.5</v>
      </c>
      <c r="S1459">
        <v>24.58</v>
      </c>
      <c r="T1459" t="str">
        <f t="shared" si="134"/>
        <v>Normal</v>
      </c>
      <c r="U1459">
        <v>78</v>
      </c>
      <c r="V1459">
        <v>81.96365524402907</v>
      </c>
      <c r="W1459" t="str">
        <f t="shared" si="137"/>
        <v>Normal</v>
      </c>
      <c r="X1459">
        <v>0</v>
      </c>
    </row>
    <row r="1460" spans="1:24" ht="14.5" thickBot="1" x14ac:dyDescent="0.35">
      <c r="A1460">
        <v>1</v>
      </c>
      <c r="B1460" t="str">
        <f t="shared" si="135"/>
        <v>Male</v>
      </c>
      <c r="C1460" s="8">
        <v>45</v>
      </c>
      <c r="D1460" t="str">
        <f t="shared" si="136"/>
        <v>Middle Age</v>
      </c>
      <c r="E1460">
        <v>3</v>
      </c>
      <c r="F1460" t="str">
        <f>HLOOKUP(E1460, LookUP_Table!$A$6:$D$7, 2, FALSE)</f>
        <v>Graduate</v>
      </c>
      <c r="G1460" t="str">
        <f>IFERROR(VLOOKUP(E1460, LookUP_Table!$A$1:$B$4, 2, FALSE), "")</f>
        <v>Graduate</v>
      </c>
      <c r="H1460">
        <v>0</v>
      </c>
      <c r="I1460">
        <v>0</v>
      </c>
      <c r="J1460" t="str">
        <f t="shared" si="132"/>
        <v>Non-Smoker</v>
      </c>
      <c r="K1460">
        <v>0</v>
      </c>
      <c r="L1460">
        <v>0</v>
      </c>
      <c r="M1460">
        <v>0</v>
      </c>
      <c r="N1460">
        <v>0</v>
      </c>
      <c r="O1460">
        <v>162</v>
      </c>
      <c r="P1460" t="str">
        <f t="shared" si="133"/>
        <v>Normal</v>
      </c>
      <c r="Q1460">
        <v>125</v>
      </c>
      <c r="R1460">
        <v>89</v>
      </c>
      <c r="S1460">
        <v>27.98</v>
      </c>
      <c r="T1460" t="str">
        <f t="shared" si="134"/>
        <v>Overweight</v>
      </c>
      <c r="U1460">
        <v>85</v>
      </c>
      <c r="V1460">
        <v>83</v>
      </c>
      <c r="W1460" t="str">
        <f t="shared" si="137"/>
        <v>Normal</v>
      </c>
      <c r="X1460">
        <v>0</v>
      </c>
    </row>
    <row r="1461" spans="1:24" ht="14.5" thickBot="1" x14ac:dyDescent="0.35">
      <c r="A1461">
        <v>0</v>
      </c>
      <c r="B1461" t="str">
        <f t="shared" si="135"/>
        <v>Female</v>
      </c>
      <c r="C1461" s="8">
        <v>45</v>
      </c>
      <c r="D1461" t="str">
        <f t="shared" si="136"/>
        <v>Middle Age</v>
      </c>
      <c r="E1461">
        <v>2</v>
      </c>
      <c r="F1461" t="str">
        <f>HLOOKUP(E1461, LookUP_Table!$A$6:$D$7, 2, FALSE)</f>
        <v>Secondary</v>
      </c>
      <c r="G1461" t="str">
        <f>IFERROR(VLOOKUP(E1461, LookUP_Table!$A$1:$B$4, 2, FALSE), "")</f>
        <v>Secondary</v>
      </c>
      <c r="H1461">
        <v>0</v>
      </c>
      <c r="I1461">
        <v>0</v>
      </c>
      <c r="J1461" t="str">
        <f t="shared" si="132"/>
        <v>Non-Smoker</v>
      </c>
      <c r="K1461">
        <v>0</v>
      </c>
      <c r="L1461">
        <v>0</v>
      </c>
      <c r="M1461">
        <v>0</v>
      </c>
      <c r="N1461">
        <v>0</v>
      </c>
      <c r="O1461">
        <v>262</v>
      </c>
      <c r="P1461" t="str">
        <f t="shared" si="133"/>
        <v>High</v>
      </c>
      <c r="Q1461">
        <v>133</v>
      </c>
      <c r="R1461">
        <v>83</v>
      </c>
      <c r="S1461">
        <v>22.19</v>
      </c>
      <c r="T1461" t="str">
        <f t="shared" si="134"/>
        <v>Normal</v>
      </c>
      <c r="U1461">
        <v>76</v>
      </c>
      <c r="V1461">
        <v>92</v>
      </c>
      <c r="W1461" t="str">
        <f t="shared" si="137"/>
        <v>Normal</v>
      </c>
      <c r="X1461">
        <v>1</v>
      </c>
    </row>
    <row r="1462" spans="1:24" ht="14.5" thickBot="1" x14ac:dyDescent="0.35">
      <c r="A1462">
        <v>1</v>
      </c>
      <c r="B1462" t="str">
        <f t="shared" si="135"/>
        <v>Male</v>
      </c>
      <c r="C1462" s="8">
        <v>45</v>
      </c>
      <c r="D1462" t="str">
        <f t="shared" si="136"/>
        <v>Middle Age</v>
      </c>
      <c r="E1462">
        <v>3</v>
      </c>
      <c r="F1462" t="str">
        <f>HLOOKUP(E1462, LookUP_Table!$A$6:$D$7, 2, FALSE)</f>
        <v>Graduate</v>
      </c>
      <c r="G1462" t="str">
        <f>IFERROR(VLOOKUP(E1462, LookUP_Table!$A$1:$B$4, 2, FALSE), "")</f>
        <v>Graduate</v>
      </c>
      <c r="H1462">
        <v>0</v>
      </c>
      <c r="I1462">
        <v>0</v>
      </c>
      <c r="J1462" t="str">
        <f t="shared" si="132"/>
        <v>Non-Smoker</v>
      </c>
      <c r="K1462">
        <v>1</v>
      </c>
      <c r="L1462">
        <v>0</v>
      </c>
      <c r="M1462">
        <v>1</v>
      </c>
      <c r="N1462">
        <v>0</v>
      </c>
      <c r="O1462">
        <v>258</v>
      </c>
      <c r="P1462" t="str">
        <f t="shared" si="133"/>
        <v>High</v>
      </c>
      <c r="Q1462">
        <v>126</v>
      </c>
      <c r="R1462">
        <v>82</v>
      </c>
      <c r="S1462">
        <v>27.18</v>
      </c>
      <c r="T1462" t="str">
        <f t="shared" si="134"/>
        <v>Overweight</v>
      </c>
      <c r="U1462">
        <v>72</v>
      </c>
      <c r="V1462">
        <v>70</v>
      </c>
      <c r="W1462" t="str">
        <f t="shared" si="137"/>
        <v>Normal</v>
      </c>
      <c r="X1462">
        <v>0</v>
      </c>
    </row>
    <row r="1463" spans="1:24" ht="14.5" thickBot="1" x14ac:dyDescent="0.35">
      <c r="A1463">
        <v>1</v>
      </c>
      <c r="B1463" t="str">
        <f t="shared" si="135"/>
        <v>Male</v>
      </c>
      <c r="C1463" s="8">
        <v>45</v>
      </c>
      <c r="D1463" t="str">
        <f t="shared" si="136"/>
        <v>Middle Age</v>
      </c>
      <c r="E1463">
        <v>1</v>
      </c>
      <c r="F1463" t="str">
        <f>HLOOKUP(E1463, LookUP_Table!$A$6:$D$7, 2, FALSE)</f>
        <v>Primary</v>
      </c>
      <c r="G1463" t="str">
        <f>IFERROR(VLOOKUP(E1463, LookUP_Table!$A$1:$B$4, 2, FALSE), "")</f>
        <v>Primary</v>
      </c>
      <c r="H1463">
        <v>1</v>
      </c>
      <c r="I1463">
        <v>20</v>
      </c>
      <c r="J1463" t="str">
        <f t="shared" si="132"/>
        <v>Smoker</v>
      </c>
      <c r="K1463">
        <v>0</v>
      </c>
      <c r="L1463">
        <v>0</v>
      </c>
      <c r="M1463">
        <v>0</v>
      </c>
      <c r="N1463">
        <v>0</v>
      </c>
      <c r="O1463">
        <v>255</v>
      </c>
      <c r="P1463" t="str">
        <f t="shared" si="133"/>
        <v>High</v>
      </c>
      <c r="Q1463">
        <v>130</v>
      </c>
      <c r="R1463">
        <v>82.5</v>
      </c>
      <c r="S1463">
        <v>28.56</v>
      </c>
      <c r="T1463" t="str">
        <f t="shared" si="134"/>
        <v>Overweight</v>
      </c>
      <c r="U1463">
        <v>82</v>
      </c>
      <c r="V1463">
        <v>94</v>
      </c>
      <c r="W1463" t="str">
        <f t="shared" si="137"/>
        <v>Normal</v>
      </c>
      <c r="X1463">
        <v>0</v>
      </c>
    </row>
    <row r="1464" spans="1:24" ht="14.5" thickBot="1" x14ac:dyDescent="0.35">
      <c r="A1464">
        <v>0</v>
      </c>
      <c r="B1464" t="str">
        <f t="shared" si="135"/>
        <v>Female</v>
      </c>
      <c r="C1464" s="8">
        <v>45</v>
      </c>
      <c r="D1464" t="str">
        <f t="shared" si="136"/>
        <v>Middle Age</v>
      </c>
      <c r="E1464">
        <v>3</v>
      </c>
      <c r="F1464" t="str">
        <f>HLOOKUP(E1464, LookUP_Table!$A$6:$D$7, 2, FALSE)</f>
        <v>Graduate</v>
      </c>
      <c r="G1464" t="str">
        <f>IFERROR(VLOOKUP(E1464, LookUP_Table!$A$1:$B$4, 2, FALSE), "")</f>
        <v>Graduate</v>
      </c>
      <c r="H1464">
        <v>1</v>
      </c>
      <c r="I1464">
        <v>20</v>
      </c>
      <c r="J1464" t="str">
        <f t="shared" si="132"/>
        <v>Smoker</v>
      </c>
      <c r="K1464">
        <v>0</v>
      </c>
      <c r="L1464">
        <v>0</v>
      </c>
      <c r="M1464">
        <v>0</v>
      </c>
      <c r="N1464">
        <v>0</v>
      </c>
      <c r="O1464">
        <v>196</v>
      </c>
      <c r="P1464" t="str">
        <f t="shared" si="133"/>
        <v>Normal</v>
      </c>
      <c r="Q1464">
        <v>123</v>
      </c>
      <c r="R1464">
        <v>71</v>
      </c>
      <c r="S1464">
        <v>20.56</v>
      </c>
      <c r="T1464" t="str">
        <f t="shared" si="134"/>
        <v>Normal</v>
      </c>
      <c r="U1464">
        <v>80</v>
      </c>
      <c r="V1464">
        <v>76</v>
      </c>
      <c r="W1464" t="str">
        <f t="shared" si="137"/>
        <v>Normal</v>
      </c>
      <c r="X1464">
        <v>0</v>
      </c>
    </row>
    <row r="1465" spans="1:24" ht="14.5" thickBot="1" x14ac:dyDescent="0.35">
      <c r="A1465">
        <v>0</v>
      </c>
      <c r="B1465" t="str">
        <f t="shared" si="135"/>
        <v>Female</v>
      </c>
      <c r="C1465" s="8">
        <v>45</v>
      </c>
      <c r="D1465" t="str">
        <f t="shared" si="136"/>
        <v>Middle Age</v>
      </c>
      <c r="E1465">
        <v>2</v>
      </c>
      <c r="F1465" t="str">
        <f>HLOOKUP(E1465, LookUP_Table!$A$6:$D$7, 2, FALSE)</f>
        <v>Secondary</v>
      </c>
      <c r="G1465" t="str">
        <f>IFERROR(VLOOKUP(E1465, LookUP_Table!$A$1:$B$4, 2, FALSE), "")</f>
        <v>Secondary</v>
      </c>
      <c r="H1465">
        <v>1</v>
      </c>
      <c r="I1465">
        <v>2</v>
      </c>
      <c r="J1465" t="str">
        <f t="shared" si="132"/>
        <v>Smoker</v>
      </c>
      <c r="K1465">
        <v>0</v>
      </c>
      <c r="L1465">
        <v>0</v>
      </c>
      <c r="M1465">
        <v>0</v>
      </c>
      <c r="N1465">
        <v>0</v>
      </c>
      <c r="O1465">
        <v>258</v>
      </c>
      <c r="P1465" t="str">
        <f t="shared" si="133"/>
        <v>High</v>
      </c>
      <c r="Q1465">
        <v>111</v>
      </c>
      <c r="R1465">
        <v>72</v>
      </c>
      <c r="S1465">
        <v>26.24</v>
      </c>
      <c r="T1465" t="str">
        <f t="shared" si="134"/>
        <v>Overweight</v>
      </c>
      <c r="U1465">
        <v>70</v>
      </c>
      <c r="V1465">
        <v>65</v>
      </c>
      <c r="W1465" t="str">
        <f t="shared" si="137"/>
        <v>Normal</v>
      </c>
      <c r="X1465">
        <v>0</v>
      </c>
    </row>
    <row r="1466" spans="1:24" ht="14.5" thickBot="1" x14ac:dyDescent="0.35">
      <c r="A1466">
        <v>1</v>
      </c>
      <c r="B1466" t="str">
        <f t="shared" si="135"/>
        <v>Male</v>
      </c>
      <c r="C1466" s="8">
        <v>45</v>
      </c>
      <c r="D1466" t="str">
        <f t="shared" si="136"/>
        <v>Middle Age</v>
      </c>
      <c r="E1466">
        <v>2</v>
      </c>
      <c r="F1466" t="str">
        <f>HLOOKUP(E1466, LookUP_Table!$A$6:$D$7, 2, FALSE)</f>
        <v>Secondary</v>
      </c>
      <c r="G1466" t="str">
        <f>IFERROR(VLOOKUP(E1466, LookUP_Table!$A$1:$B$4, 2, FALSE), "")</f>
        <v>Secondary</v>
      </c>
      <c r="H1466">
        <v>1</v>
      </c>
      <c r="I1466">
        <v>20</v>
      </c>
      <c r="J1466" t="str">
        <f t="shared" si="132"/>
        <v>Smoker</v>
      </c>
      <c r="K1466">
        <v>0</v>
      </c>
      <c r="L1466">
        <v>0</v>
      </c>
      <c r="M1466">
        <v>0</v>
      </c>
      <c r="N1466">
        <v>1</v>
      </c>
      <c r="O1466">
        <v>279</v>
      </c>
      <c r="P1466" t="str">
        <f t="shared" si="133"/>
        <v>High</v>
      </c>
      <c r="Q1466">
        <v>138</v>
      </c>
      <c r="R1466">
        <v>86</v>
      </c>
      <c r="S1466">
        <v>30.63</v>
      </c>
      <c r="T1466" t="str">
        <f t="shared" si="134"/>
        <v>Obese</v>
      </c>
      <c r="U1466">
        <v>80</v>
      </c>
      <c r="V1466">
        <v>144</v>
      </c>
      <c r="W1466" t="str">
        <f t="shared" si="137"/>
        <v>Diabetes</v>
      </c>
      <c r="X1466">
        <v>0</v>
      </c>
    </row>
    <row r="1467" spans="1:24" ht="14.5" thickBot="1" x14ac:dyDescent="0.35">
      <c r="A1467">
        <v>1</v>
      </c>
      <c r="B1467" t="str">
        <f t="shared" si="135"/>
        <v>Male</v>
      </c>
      <c r="C1467" s="8">
        <v>45</v>
      </c>
      <c r="D1467" t="str">
        <f t="shared" si="136"/>
        <v>Middle Age</v>
      </c>
      <c r="E1467">
        <v>4</v>
      </c>
      <c r="F1467" t="str">
        <f>HLOOKUP(E1467, LookUP_Table!$A$6:$D$7, 2, FALSE)</f>
        <v>Post Graduate</v>
      </c>
      <c r="G1467" t="str">
        <f>IFERROR(VLOOKUP(E1467, LookUP_Table!$A$1:$B$4, 2, FALSE), "")</f>
        <v>Post Graduate</v>
      </c>
      <c r="H1467">
        <v>1</v>
      </c>
      <c r="I1467">
        <v>3</v>
      </c>
      <c r="J1467" t="str">
        <f t="shared" si="132"/>
        <v>Smoker</v>
      </c>
      <c r="K1467">
        <v>0</v>
      </c>
      <c r="L1467">
        <v>0</v>
      </c>
      <c r="M1467">
        <v>1</v>
      </c>
      <c r="N1467">
        <v>0</v>
      </c>
      <c r="O1467">
        <v>218</v>
      </c>
      <c r="P1467" t="str">
        <f t="shared" si="133"/>
        <v>Normal</v>
      </c>
      <c r="Q1467">
        <v>145</v>
      </c>
      <c r="R1467">
        <v>90</v>
      </c>
      <c r="S1467">
        <v>26.65</v>
      </c>
      <c r="T1467" t="str">
        <f t="shared" si="134"/>
        <v>Overweight</v>
      </c>
      <c r="U1467">
        <v>76</v>
      </c>
      <c r="V1467">
        <v>70</v>
      </c>
      <c r="W1467" t="str">
        <f t="shared" si="137"/>
        <v>Normal</v>
      </c>
      <c r="X1467">
        <v>1</v>
      </c>
    </row>
    <row r="1468" spans="1:24" ht="14.5" thickBot="1" x14ac:dyDescent="0.35">
      <c r="A1468">
        <v>1</v>
      </c>
      <c r="B1468" t="str">
        <f t="shared" si="135"/>
        <v>Male</v>
      </c>
      <c r="C1468" s="8">
        <v>45</v>
      </c>
      <c r="D1468" t="str">
        <f t="shared" si="136"/>
        <v>Middle Age</v>
      </c>
      <c r="E1468">
        <v>2</v>
      </c>
      <c r="F1468" t="str">
        <f>HLOOKUP(E1468, LookUP_Table!$A$6:$D$7, 2, FALSE)</f>
        <v>Secondary</v>
      </c>
      <c r="G1468" t="str">
        <f>IFERROR(VLOOKUP(E1468, LookUP_Table!$A$1:$B$4, 2, FALSE), "")</f>
        <v>Secondary</v>
      </c>
      <c r="H1468">
        <v>1</v>
      </c>
      <c r="I1468">
        <v>20</v>
      </c>
      <c r="J1468" t="str">
        <f t="shared" si="132"/>
        <v>Smoker</v>
      </c>
      <c r="K1468">
        <v>0</v>
      </c>
      <c r="L1468">
        <v>0</v>
      </c>
      <c r="M1468">
        <v>0</v>
      </c>
      <c r="N1468">
        <v>0</v>
      </c>
      <c r="O1468">
        <v>207</v>
      </c>
      <c r="P1468" t="str">
        <f t="shared" si="133"/>
        <v>Normal</v>
      </c>
      <c r="Q1468">
        <v>117</v>
      </c>
      <c r="R1468">
        <v>80</v>
      </c>
      <c r="S1468">
        <v>20.170000000000002</v>
      </c>
      <c r="T1468" t="str">
        <f t="shared" si="134"/>
        <v>Normal</v>
      </c>
      <c r="U1468">
        <v>75</v>
      </c>
      <c r="V1468">
        <v>59</v>
      </c>
      <c r="W1468" t="str">
        <f t="shared" si="137"/>
        <v>Normal</v>
      </c>
      <c r="X1468">
        <v>0</v>
      </c>
    </row>
    <row r="1469" spans="1:24" ht="14.5" thickBot="1" x14ac:dyDescent="0.35">
      <c r="A1469">
        <v>0</v>
      </c>
      <c r="B1469" t="str">
        <f t="shared" si="135"/>
        <v>Female</v>
      </c>
      <c r="C1469" s="8">
        <v>45</v>
      </c>
      <c r="D1469" t="str">
        <f t="shared" si="136"/>
        <v>Middle Age</v>
      </c>
      <c r="E1469">
        <v>1</v>
      </c>
      <c r="F1469" t="str">
        <f>HLOOKUP(E1469, LookUP_Table!$A$6:$D$7, 2, FALSE)</f>
        <v>Primary</v>
      </c>
      <c r="G1469" t="str">
        <f>IFERROR(VLOOKUP(E1469, LookUP_Table!$A$1:$B$4, 2, FALSE), "")</f>
        <v>Primary</v>
      </c>
      <c r="H1469">
        <v>1</v>
      </c>
      <c r="I1469">
        <v>20</v>
      </c>
      <c r="J1469" t="str">
        <f t="shared" si="132"/>
        <v>Smoker</v>
      </c>
      <c r="K1469">
        <v>0</v>
      </c>
      <c r="L1469">
        <v>0</v>
      </c>
      <c r="M1469">
        <v>0</v>
      </c>
      <c r="N1469">
        <v>0</v>
      </c>
      <c r="O1469">
        <v>215</v>
      </c>
      <c r="P1469" t="str">
        <f t="shared" si="133"/>
        <v>Normal</v>
      </c>
      <c r="Q1469">
        <v>107</v>
      </c>
      <c r="R1469">
        <v>75</v>
      </c>
      <c r="S1469">
        <v>22.14</v>
      </c>
      <c r="T1469" t="str">
        <f t="shared" si="134"/>
        <v>Normal</v>
      </c>
      <c r="U1469">
        <v>79</v>
      </c>
      <c r="V1469">
        <v>105</v>
      </c>
      <c r="W1469" t="str">
        <f t="shared" si="137"/>
        <v>Prediabetes</v>
      </c>
      <c r="X1469">
        <v>0</v>
      </c>
    </row>
    <row r="1470" spans="1:24" ht="14.5" thickBot="1" x14ac:dyDescent="0.35">
      <c r="A1470">
        <v>0</v>
      </c>
      <c r="B1470" t="str">
        <f t="shared" si="135"/>
        <v>Female</v>
      </c>
      <c r="C1470" s="8">
        <v>45</v>
      </c>
      <c r="D1470" t="str">
        <f t="shared" si="136"/>
        <v>Middle Age</v>
      </c>
      <c r="E1470">
        <v>1</v>
      </c>
      <c r="F1470" t="str">
        <f>HLOOKUP(E1470, LookUP_Table!$A$6:$D$7, 2, FALSE)</f>
        <v>Primary</v>
      </c>
      <c r="G1470" t="str">
        <f>IFERROR(VLOOKUP(E1470, LookUP_Table!$A$1:$B$4, 2, FALSE), "")</f>
        <v>Primary</v>
      </c>
      <c r="H1470">
        <v>1</v>
      </c>
      <c r="I1470">
        <v>5</v>
      </c>
      <c r="J1470" t="str">
        <f t="shared" si="132"/>
        <v>Smoker</v>
      </c>
      <c r="K1470">
        <v>0</v>
      </c>
      <c r="L1470">
        <v>0</v>
      </c>
      <c r="M1470">
        <v>0</v>
      </c>
      <c r="N1470">
        <v>0</v>
      </c>
      <c r="O1470">
        <v>170</v>
      </c>
      <c r="P1470" t="str">
        <f t="shared" si="133"/>
        <v>Normal</v>
      </c>
      <c r="Q1470">
        <v>109.5</v>
      </c>
      <c r="R1470">
        <v>69</v>
      </c>
      <c r="S1470">
        <v>17.38</v>
      </c>
      <c r="T1470" t="str">
        <f t="shared" si="134"/>
        <v>Underweight</v>
      </c>
      <c r="U1470">
        <v>88</v>
      </c>
      <c r="V1470">
        <v>66</v>
      </c>
      <c r="W1470" t="str">
        <f t="shared" si="137"/>
        <v>Normal</v>
      </c>
      <c r="X1470">
        <v>0</v>
      </c>
    </row>
    <row r="1471" spans="1:24" ht="14.5" thickBot="1" x14ac:dyDescent="0.35">
      <c r="A1471">
        <v>1</v>
      </c>
      <c r="B1471" t="str">
        <f t="shared" si="135"/>
        <v>Male</v>
      </c>
      <c r="C1471" s="8">
        <v>45</v>
      </c>
      <c r="D1471" t="str">
        <f t="shared" si="136"/>
        <v>Middle Age</v>
      </c>
      <c r="E1471">
        <v>2</v>
      </c>
      <c r="F1471" t="str">
        <f>HLOOKUP(E1471, LookUP_Table!$A$6:$D$7, 2, FALSE)</f>
        <v>Secondary</v>
      </c>
      <c r="G1471" t="str">
        <f>IFERROR(VLOOKUP(E1471, LookUP_Table!$A$1:$B$4, 2, FALSE), "")</f>
        <v>Secondary</v>
      </c>
      <c r="H1471">
        <v>0</v>
      </c>
      <c r="I1471">
        <v>0</v>
      </c>
      <c r="J1471" t="str">
        <f t="shared" si="132"/>
        <v>Non-Smoker</v>
      </c>
      <c r="K1471">
        <v>0</v>
      </c>
      <c r="L1471">
        <v>0</v>
      </c>
      <c r="M1471">
        <v>0</v>
      </c>
      <c r="N1471">
        <v>0</v>
      </c>
      <c r="O1471">
        <v>232</v>
      </c>
      <c r="P1471" t="str">
        <f t="shared" si="133"/>
        <v>Normal</v>
      </c>
      <c r="Q1471">
        <v>122.5</v>
      </c>
      <c r="R1471">
        <v>82.5</v>
      </c>
      <c r="S1471">
        <v>27.55</v>
      </c>
      <c r="T1471" t="str">
        <f t="shared" si="134"/>
        <v>Overweight</v>
      </c>
      <c r="U1471">
        <v>74</v>
      </c>
      <c r="V1471">
        <v>59</v>
      </c>
      <c r="W1471" t="str">
        <f t="shared" si="137"/>
        <v>Normal</v>
      </c>
      <c r="X1471">
        <v>1</v>
      </c>
    </row>
    <row r="1472" spans="1:24" ht="14.5" thickBot="1" x14ac:dyDescent="0.35">
      <c r="A1472">
        <v>0</v>
      </c>
      <c r="B1472" t="str">
        <f t="shared" si="135"/>
        <v>Female</v>
      </c>
      <c r="C1472" s="8">
        <v>45</v>
      </c>
      <c r="D1472" t="str">
        <f t="shared" si="136"/>
        <v>Middle Age</v>
      </c>
      <c r="E1472">
        <v>4</v>
      </c>
      <c r="F1472" t="str">
        <f>HLOOKUP(E1472, LookUP_Table!$A$6:$D$7, 2, FALSE)</f>
        <v>Post Graduate</v>
      </c>
      <c r="G1472" t="str">
        <f>IFERROR(VLOOKUP(E1472, LookUP_Table!$A$1:$B$4, 2, FALSE), "")</f>
        <v>Post Graduate</v>
      </c>
      <c r="H1472">
        <v>1</v>
      </c>
      <c r="I1472">
        <v>20</v>
      </c>
      <c r="J1472" t="str">
        <f t="shared" si="132"/>
        <v>Smoker</v>
      </c>
      <c r="K1472">
        <v>0</v>
      </c>
      <c r="L1472">
        <v>0</v>
      </c>
      <c r="M1472">
        <v>0</v>
      </c>
      <c r="N1472">
        <v>0</v>
      </c>
      <c r="O1472">
        <v>192</v>
      </c>
      <c r="P1472" t="str">
        <f t="shared" si="133"/>
        <v>Normal</v>
      </c>
      <c r="Q1472">
        <v>132</v>
      </c>
      <c r="R1472">
        <v>79</v>
      </c>
      <c r="S1472">
        <v>24.53</v>
      </c>
      <c r="T1472" t="str">
        <f t="shared" si="134"/>
        <v>Normal</v>
      </c>
      <c r="U1472">
        <v>68</v>
      </c>
      <c r="V1472">
        <v>112</v>
      </c>
      <c r="W1472" t="str">
        <f t="shared" si="137"/>
        <v>Prediabetes</v>
      </c>
      <c r="X1472">
        <v>0</v>
      </c>
    </row>
    <row r="1473" spans="1:24" ht="14.5" thickBot="1" x14ac:dyDescent="0.35">
      <c r="A1473">
        <v>0</v>
      </c>
      <c r="B1473" t="str">
        <f t="shared" si="135"/>
        <v>Female</v>
      </c>
      <c r="C1473" s="8">
        <v>45</v>
      </c>
      <c r="D1473" t="str">
        <f t="shared" si="136"/>
        <v>Middle Age</v>
      </c>
      <c r="E1473">
        <v>2</v>
      </c>
      <c r="F1473" t="str">
        <f>HLOOKUP(E1473, LookUP_Table!$A$6:$D$7, 2, FALSE)</f>
        <v>Secondary</v>
      </c>
      <c r="G1473" t="str">
        <f>IFERROR(VLOOKUP(E1473, LookUP_Table!$A$1:$B$4, 2, FALSE), "")</f>
        <v>Secondary</v>
      </c>
      <c r="H1473">
        <v>0</v>
      </c>
      <c r="I1473">
        <v>0</v>
      </c>
      <c r="J1473" t="str">
        <f t="shared" si="132"/>
        <v>Non-Smoker</v>
      </c>
      <c r="K1473">
        <v>0</v>
      </c>
      <c r="L1473">
        <v>0</v>
      </c>
      <c r="M1473">
        <v>1</v>
      </c>
      <c r="N1473">
        <v>0</v>
      </c>
      <c r="O1473">
        <v>222</v>
      </c>
      <c r="P1473" t="str">
        <f t="shared" si="133"/>
        <v>Normal</v>
      </c>
      <c r="Q1473">
        <v>167</v>
      </c>
      <c r="R1473">
        <v>107</v>
      </c>
      <c r="S1473">
        <v>25.56</v>
      </c>
      <c r="T1473" t="str">
        <f t="shared" si="134"/>
        <v>Overweight</v>
      </c>
      <c r="U1473">
        <v>82</v>
      </c>
      <c r="V1473">
        <v>88</v>
      </c>
      <c r="W1473" t="str">
        <f t="shared" si="137"/>
        <v>Normal</v>
      </c>
      <c r="X1473">
        <v>0</v>
      </c>
    </row>
    <row r="1474" spans="1:24" ht="14.5" thickBot="1" x14ac:dyDescent="0.35">
      <c r="A1474">
        <v>0</v>
      </c>
      <c r="B1474" t="str">
        <f t="shared" si="135"/>
        <v>Female</v>
      </c>
      <c r="C1474" s="8">
        <v>45</v>
      </c>
      <c r="D1474" t="str">
        <f t="shared" si="136"/>
        <v>Middle Age</v>
      </c>
      <c r="E1474">
        <v>4</v>
      </c>
      <c r="F1474" t="str">
        <f>HLOOKUP(E1474, LookUP_Table!$A$6:$D$7, 2, FALSE)</f>
        <v>Post Graduate</v>
      </c>
      <c r="G1474" t="str">
        <f>IFERROR(VLOOKUP(E1474, LookUP_Table!$A$1:$B$4, 2, FALSE), "")</f>
        <v>Post Graduate</v>
      </c>
      <c r="H1474">
        <v>0</v>
      </c>
      <c r="I1474">
        <v>0</v>
      </c>
      <c r="J1474" t="str">
        <f t="shared" ref="J1474:J1537" si="138">IF(I1474&gt;0,"Smoker","Non-Smoker")</f>
        <v>Non-Smoker</v>
      </c>
      <c r="K1474">
        <v>0</v>
      </c>
      <c r="L1474">
        <v>0</v>
      </c>
      <c r="M1474">
        <v>0</v>
      </c>
      <c r="N1474">
        <v>0</v>
      </c>
      <c r="O1474">
        <v>250</v>
      </c>
      <c r="P1474" t="str">
        <f t="shared" ref="P1474:P1537" si="139">IF(O1474&gt;240,"High","Normal")</f>
        <v>High</v>
      </c>
      <c r="Q1474">
        <v>116</v>
      </c>
      <c r="R1474">
        <v>79</v>
      </c>
      <c r="S1474">
        <v>28.59</v>
      </c>
      <c r="T1474" t="str">
        <f t="shared" ref="T1474:T1537" si="140">IF(S1474&lt;18.5,"Underweight",
IF(S1474&lt;25,"Normal",
IF(S1474&lt;30,"Overweight","Obese")))</f>
        <v>Overweight</v>
      </c>
      <c r="U1474">
        <v>93</v>
      </c>
      <c r="V1474">
        <v>87</v>
      </c>
      <c r="W1474" t="str">
        <f t="shared" si="137"/>
        <v>Normal</v>
      </c>
      <c r="X1474">
        <v>0</v>
      </c>
    </row>
    <row r="1475" spans="1:24" ht="14.5" thickBot="1" x14ac:dyDescent="0.35">
      <c r="A1475">
        <v>1</v>
      </c>
      <c r="B1475" t="str">
        <f t="shared" ref="B1475:B1538" si="141">IF(A1475=0,"Female","Male")</f>
        <v>Male</v>
      </c>
      <c r="C1475" s="8">
        <v>45</v>
      </c>
      <c r="D1475" t="str">
        <f t="shared" ref="D1475:D1538" si="142">IF(C1475&lt;40,"Young",
IF(C1475&lt;55,"Middle Age","Senior"))</f>
        <v>Middle Age</v>
      </c>
      <c r="E1475">
        <v>1</v>
      </c>
      <c r="F1475" t="str">
        <f>HLOOKUP(E1475, LookUP_Table!$A$6:$D$7, 2, FALSE)</f>
        <v>Primary</v>
      </c>
      <c r="G1475" t="str">
        <f>IFERROR(VLOOKUP(E1475, LookUP_Table!$A$1:$B$4, 2, FALSE), "")</f>
        <v>Primary</v>
      </c>
      <c r="H1475">
        <v>1</v>
      </c>
      <c r="I1475">
        <v>15</v>
      </c>
      <c r="J1475" t="str">
        <f t="shared" si="138"/>
        <v>Smoker</v>
      </c>
      <c r="K1475">
        <v>0</v>
      </c>
      <c r="L1475">
        <v>0</v>
      </c>
      <c r="M1475">
        <v>0</v>
      </c>
      <c r="N1475">
        <v>0</v>
      </c>
      <c r="O1475">
        <v>221</v>
      </c>
      <c r="P1475" t="str">
        <f t="shared" si="139"/>
        <v>Normal</v>
      </c>
      <c r="Q1475">
        <v>131</v>
      </c>
      <c r="R1475">
        <v>84</v>
      </c>
      <c r="S1475">
        <v>28.58</v>
      </c>
      <c r="T1475" t="str">
        <f t="shared" si="140"/>
        <v>Overweight</v>
      </c>
      <c r="U1475">
        <v>85</v>
      </c>
      <c r="V1475">
        <v>72</v>
      </c>
      <c r="W1475" t="str">
        <f t="shared" ref="W1475:W1538" si="143">IF(V1475 &lt; 100, "Normal", IF(V1475 &lt;= 125, "Prediabetes", "Diabetes"))</f>
        <v>Normal</v>
      </c>
      <c r="X1475">
        <v>0</v>
      </c>
    </row>
    <row r="1476" spans="1:24" ht="14.5" thickBot="1" x14ac:dyDescent="0.35">
      <c r="A1476">
        <v>0</v>
      </c>
      <c r="B1476" t="str">
        <f t="shared" si="141"/>
        <v>Female</v>
      </c>
      <c r="C1476" s="8">
        <v>45</v>
      </c>
      <c r="D1476" t="str">
        <f t="shared" si="142"/>
        <v>Middle Age</v>
      </c>
      <c r="E1476">
        <v>3</v>
      </c>
      <c r="F1476" t="str">
        <f>HLOOKUP(E1476, LookUP_Table!$A$6:$D$7, 2, FALSE)</f>
        <v>Graduate</v>
      </c>
      <c r="G1476" t="str">
        <f>IFERROR(VLOOKUP(E1476, LookUP_Table!$A$1:$B$4, 2, FALSE), "")</f>
        <v>Graduate</v>
      </c>
      <c r="H1476">
        <v>0</v>
      </c>
      <c r="I1476">
        <v>0</v>
      </c>
      <c r="J1476" t="str">
        <f t="shared" si="138"/>
        <v>Non-Smoker</v>
      </c>
      <c r="K1476">
        <v>0</v>
      </c>
      <c r="L1476">
        <v>0</v>
      </c>
      <c r="M1476">
        <v>0</v>
      </c>
      <c r="N1476">
        <v>0</v>
      </c>
      <c r="O1476">
        <v>186</v>
      </c>
      <c r="P1476" t="str">
        <f t="shared" si="139"/>
        <v>Normal</v>
      </c>
      <c r="Q1476">
        <v>104.5</v>
      </c>
      <c r="R1476">
        <v>71</v>
      </c>
      <c r="S1476">
        <v>31.35</v>
      </c>
      <c r="T1476" t="str">
        <f t="shared" si="140"/>
        <v>Obese</v>
      </c>
      <c r="U1476">
        <v>55</v>
      </c>
      <c r="V1476">
        <v>81.96365524402907</v>
      </c>
      <c r="W1476" t="str">
        <f t="shared" si="143"/>
        <v>Normal</v>
      </c>
      <c r="X1476">
        <v>0</v>
      </c>
    </row>
    <row r="1477" spans="1:24" ht="14.5" thickBot="1" x14ac:dyDescent="0.35">
      <c r="A1477">
        <v>0</v>
      </c>
      <c r="B1477" t="str">
        <f t="shared" si="141"/>
        <v>Female</v>
      </c>
      <c r="C1477" s="8">
        <v>45</v>
      </c>
      <c r="D1477" t="str">
        <f t="shared" si="142"/>
        <v>Middle Age</v>
      </c>
      <c r="E1477">
        <v>3</v>
      </c>
      <c r="F1477" t="str">
        <f>HLOOKUP(E1477, LookUP_Table!$A$6:$D$7, 2, FALSE)</f>
        <v>Graduate</v>
      </c>
      <c r="G1477" t="str">
        <f>IFERROR(VLOOKUP(E1477, LookUP_Table!$A$1:$B$4, 2, FALSE), "")</f>
        <v>Graduate</v>
      </c>
      <c r="H1477">
        <v>1</v>
      </c>
      <c r="I1477">
        <v>9</v>
      </c>
      <c r="J1477" t="str">
        <f t="shared" si="138"/>
        <v>Smoker</v>
      </c>
      <c r="K1477">
        <v>0</v>
      </c>
      <c r="L1477">
        <v>0</v>
      </c>
      <c r="M1477">
        <v>1</v>
      </c>
      <c r="N1477">
        <v>0</v>
      </c>
      <c r="O1477">
        <v>261</v>
      </c>
      <c r="P1477" t="str">
        <f t="shared" si="139"/>
        <v>High</v>
      </c>
      <c r="Q1477">
        <v>140</v>
      </c>
      <c r="R1477">
        <v>88</v>
      </c>
      <c r="S1477">
        <v>21.44</v>
      </c>
      <c r="T1477" t="str">
        <f t="shared" si="140"/>
        <v>Normal</v>
      </c>
      <c r="U1477">
        <v>70</v>
      </c>
      <c r="V1477">
        <v>78</v>
      </c>
      <c r="W1477" t="str">
        <f t="shared" si="143"/>
        <v>Normal</v>
      </c>
      <c r="X1477">
        <v>0</v>
      </c>
    </row>
    <row r="1478" spans="1:24" ht="14.5" thickBot="1" x14ac:dyDescent="0.35">
      <c r="A1478">
        <v>1</v>
      </c>
      <c r="B1478" t="str">
        <f t="shared" si="141"/>
        <v>Male</v>
      </c>
      <c r="C1478" s="8">
        <v>45</v>
      </c>
      <c r="D1478" t="str">
        <f t="shared" si="142"/>
        <v>Middle Age</v>
      </c>
      <c r="E1478">
        <v>1</v>
      </c>
      <c r="F1478" t="str">
        <f>HLOOKUP(E1478, LookUP_Table!$A$6:$D$7, 2, FALSE)</f>
        <v>Primary</v>
      </c>
      <c r="G1478" t="str">
        <f>IFERROR(VLOOKUP(E1478, LookUP_Table!$A$1:$B$4, 2, FALSE), "")</f>
        <v>Primary</v>
      </c>
      <c r="H1478">
        <v>0</v>
      </c>
      <c r="I1478">
        <v>0</v>
      </c>
      <c r="J1478" t="str">
        <f t="shared" si="138"/>
        <v>Non-Smoker</v>
      </c>
      <c r="K1478">
        <v>0</v>
      </c>
      <c r="L1478">
        <v>0</v>
      </c>
      <c r="M1478">
        <v>0</v>
      </c>
      <c r="N1478">
        <v>0</v>
      </c>
      <c r="O1478">
        <v>172</v>
      </c>
      <c r="P1478" t="str">
        <f t="shared" si="139"/>
        <v>Normal</v>
      </c>
      <c r="Q1478">
        <v>119</v>
      </c>
      <c r="R1478">
        <v>84</v>
      </c>
      <c r="S1478">
        <v>28.25</v>
      </c>
      <c r="T1478" t="str">
        <f t="shared" si="140"/>
        <v>Overweight</v>
      </c>
      <c r="U1478">
        <v>58</v>
      </c>
      <c r="V1478">
        <v>98</v>
      </c>
      <c r="W1478" t="str">
        <f t="shared" si="143"/>
        <v>Normal</v>
      </c>
      <c r="X1478">
        <v>0</v>
      </c>
    </row>
    <row r="1479" spans="1:24" ht="14.5" thickBot="1" x14ac:dyDescent="0.35">
      <c r="A1479">
        <v>0</v>
      </c>
      <c r="B1479" t="str">
        <f t="shared" si="141"/>
        <v>Female</v>
      </c>
      <c r="C1479" s="8">
        <v>45</v>
      </c>
      <c r="D1479" t="str">
        <f t="shared" si="142"/>
        <v>Middle Age</v>
      </c>
      <c r="E1479">
        <v>1</v>
      </c>
      <c r="F1479" t="str">
        <f>HLOOKUP(E1479, LookUP_Table!$A$6:$D$7, 2, FALSE)</f>
        <v>Primary</v>
      </c>
      <c r="G1479" t="str">
        <f>IFERROR(VLOOKUP(E1479, LookUP_Table!$A$1:$B$4, 2, FALSE), "")</f>
        <v>Primary</v>
      </c>
      <c r="H1479">
        <v>0</v>
      </c>
      <c r="I1479">
        <v>0</v>
      </c>
      <c r="J1479" t="str">
        <f t="shared" si="138"/>
        <v>Non-Smoker</v>
      </c>
      <c r="K1479">
        <v>0</v>
      </c>
      <c r="L1479">
        <v>0</v>
      </c>
      <c r="M1479">
        <v>0</v>
      </c>
      <c r="N1479">
        <v>0</v>
      </c>
      <c r="O1479">
        <v>244</v>
      </c>
      <c r="P1479" t="str">
        <f t="shared" si="139"/>
        <v>High</v>
      </c>
      <c r="Q1479">
        <v>112.5</v>
      </c>
      <c r="R1479">
        <v>77.5</v>
      </c>
      <c r="S1479">
        <v>25.97</v>
      </c>
      <c r="T1479" t="str">
        <f t="shared" si="140"/>
        <v>Overweight</v>
      </c>
      <c r="U1479">
        <v>75</v>
      </c>
      <c r="V1479">
        <v>81.96365524402907</v>
      </c>
      <c r="W1479" t="str">
        <f t="shared" si="143"/>
        <v>Normal</v>
      </c>
      <c r="X1479">
        <v>0</v>
      </c>
    </row>
    <row r="1480" spans="1:24" ht="14.5" thickBot="1" x14ac:dyDescent="0.35">
      <c r="A1480">
        <v>0</v>
      </c>
      <c r="B1480" t="str">
        <f t="shared" si="141"/>
        <v>Female</v>
      </c>
      <c r="C1480" s="8">
        <v>45</v>
      </c>
      <c r="D1480" t="str">
        <f t="shared" si="142"/>
        <v>Middle Age</v>
      </c>
      <c r="E1480">
        <v>3</v>
      </c>
      <c r="F1480" t="str">
        <f>HLOOKUP(E1480, LookUP_Table!$A$6:$D$7, 2, FALSE)</f>
        <v>Graduate</v>
      </c>
      <c r="G1480" t="str">
        <f>IFERROR(VLOOKUP(E1480, LookUP_Table!$A$1:$B$4, 2, FALSE), "")</f>
        <v>Graduate</v>
      </c>
      <c r="H1480">
        <v>0</v>
      </c>
      <c r="I1480">
        <v>0</v>
      </c>
      <c r="J1480" t="str">
        <f t="shared" si="138"/>
        <v>Non-Smoker</v>
      </c>
      <c r="K1480">
        <v>0</v>
      </c>
      <c r="L1480">
        <v>0</v>
      </c>
      <c r="M1480">
        <v>0</v>
      </c>
      <c r="N1480">
        <v>0</v>
      </c>
      <c r="O1480">
        <v>225</v>
      </c>
      <c r="P1480" t="str">
        <f t="shared" si="139"/>
        <v>Normal</v>
      </c>
      <c r="Q1480">
        <v>108.5</v>
      </c>
      <c r="R1480">
        <v>71.5</v>
      </c>
      <c r="S1480">
        <v>25.74</v>
      </c>
      <c r="T1480" t="str">
        <f t="shared" si="140"/>
        <v>Overweight</v>
      </c>
      <c r="U1480">
        <v>72</v>
      </c>
      <c r="V1480">
        <v>80</v>
      </c>
      <c r="W1480" t="str">
        <f t="shared" si="143"/>
        <v>Normal</v>
      </c>
      <c r="X1480">
        <v>0</v>
      </c>
    </row>
    <row r="1481" spans="1:24" ht="14.5" thickBot="1" x14ac:dyDescent="0.35">
      <c r="A1481">
        <v>1</v>
      </c>
      <c r="B1481" t="str">
        <f t="shared" si="141"/>
        <v>Male</v>
      </c>
      <c r="C1481" s="8">
        <v>45</v>
      </c>
      <c r="D1481" t="str">
        <f t="shared" si="142"/>
        <v>Middle Age</v>
      </c>
      <c r="E1481">
        <v>1</v>
      </c>
      <c r="F1481" t="str">
        <f>HLOOKUP(E1481, LookUP_Table!$A$6:$D$7, 2, FALSE)</f>
        <v>Primary</v>
      </c>
      <c r="G1481" t="str">
        <f>IFERROR(VLOOKUP(E1481, LookUP_Table!$A$1:$B$4, 2, FALSE), "")</f>
        <v>Primary</v>
      </c>
      <c r="H1481">
        <v>0</v>
      </c>
      <c r="I1481">
        <v>0</v>
      </c>
      <c r="J1481" t="str">
        <f t="shared" si="138"/>
        <v>Non-Smoker</v>
      </c>
      <c r="K1481">
        <v>0</v>
      </c>
      <c r="L1481">
        <v>0</v>
      </c>
      <c r="M1481">
        <v>1</v>
      </c>
      <c r="N1481">
        <v>0</v>
      </c>
      <c r="O1481">
        <v>218</v>
      </c>
      <c r="P1481" t="str">
        <f t="shared" si="139"/>
        <v>Normal</v>
      </c>
      <c r="Q1481">
        <v>128</v>
      </c>
      <c r="R1481">
        <v>90</v>
      </c>
      <c r="S1481">
        <v>32.15</v>
      </c>
      <c r="T1481" t="str">
        <f t="shared" si="140"/>
        <v>Obese</v>
      </c>
      <c r="U1481">
        <v>80</v>
      </c>
      <c r="V1481">
        <v>77</v>
      </c>
      <c r="W1481" t="str">
        <f t="shared" si="143"/>
        <v>Normal</v>
      </c>
      <c r="X1481">
        <v>0</v>
      </c>
    </row>
    <row r="1482" spans="1:24" ht="14.5" thickBot="1" x14ac:dyDescent="0.35">
      <c r="A1482">
        <v>0</v>
      </c>
      <c r="B1482" t="str">
        <f t="shared" si="141"/>
        <v>Female</v>
      </c>
      <c r="C1482" s="8">
        <v>45</v>
      </c>
      <c r="D1482" t="str">
        <f t="shared" si="142"/>
        <v>Middle Age</v>
      </c>
      <c r="E1482">
        <v>2</v>
      </c>
      <c r="F1482" t="str">
        <f>HLOOKUP(E1482, LookUP_Table!$A$6:$D$7, 2, FALSE)</f>
        <v>Secondary</v>
      </c>
      <c r="G1482" t="str">
        <f>IFERROR(VLOOKUP(E1482, LookUP_Table!$A$1:$B$4, 2, FALSE), "")</f>
        <v>Secondary</v>
      </c>
      <c r="H1482">
        <v>0</v>
      </c>
      <c r="I1482">
        <v>0</v>
      </c>
      <c r="J1482" t="str">
        <f t="shared" si="138"/>
        <v>Non-Smoker</v>
      </c>
      <c r="K1482">
        <v>0</v>
      </c>
      <c r="L1482">
        <v>0</v>
      </c>
      <c r="M1482">
        <v>0</v>
      </c>
      <c r="N1482">
        <v>0</v>
      </c>
      <c r="O1482">
        <v>218</v>
      </c>
      <c r="P1482" t="str">
        <f t="shared" si="139"/>
        <v>Normal</v>
      </c>
      <c r="Q1482">
        <v>110</v>
      </c>
      <c r="R1482">
        <v>70</v>
      </c>
      <c r="S1482">
        <v>20.239999999999998</v>
      </c>
      <c r="T1482" t="str">
        <f t="shared" si="140"/>
        <v>Normal</v>
      </c>
      <c r="U1482">
        <v>80</v>
      </c>
      <c r="V1482">
        <v>78</v>
      </c>
      <c r="W1482" t="str">
        <f t="shared" si="143"/>
        <v>Normal</v>
      </c>
      <c r="X1482">
        <v>0</v>
      </c>
    </row>
    <row r="1483" spans="1:24" ht="14.5" thickBot="1" x14ac:dyDescent="0.35">
      <c r="A1483">
        <v>0</v>
      </c>
      <c r="B1483" t="str">
        <f t="shared" si="141"/>
        <v>Female</v>
      </c>
      <c r="C1483" s="8">
        <v>45</v>
      </c>
      <c r="D1483" t="str">
        <f t="shared" si="142"/>
        <v>Middle Age</v>
      </c>
      <c r="E1483">
        <v>2</v>
      </c>
      <c r="F1483" t="str">
        <f>HLOOKUP(E1483, LookUP_Table!$A$6:$D$7, 2, FALSE)</f>
        <v>Secondary</v>
      </c>
      <c r="G1483" t="str">
        <f>IFERROR(VLOOKUP(E1483, LookUP_Table!$A$1:$B$4, 2, FALSE), "")</f>
        <v>Secondary</v>
      </c>
      <c r="H1483">
        <v>1</v>
      </c>
      <c r="I1483">
        <v>15</v>
      </c>
      <c r="J1483" t="str">
        <f t="shared" si="138"/>
        <v>Smoker</v>
      </c>
      <c r="K1483">
        <v>0</v>
      </c>
      <c r="L1483">
        <v>0</v>
      </c>
      <c r="M1483">
        <v>0</v>
      </c>
      <c r="N1483">
        <v>0</v>
      </c>
      <c r="O1483">
        <v>222</v>
      </c>
      <c r="P1483" t="str">
        <f t="shared" si="139"/>
        <v>Normal</v>
      </c>
      <c r="Q1483">
        <v>95</v>
      </c>
      <c r="R1483">
        <v>58</v>
      </c>
      <c r="S1483">
        <v>21.68</v>
      </c>
      <c r="T1483" t="str">
        <f t="shared" si="140"/>
        <v>Normal</v>
      </c>
      <c r="U1483">
        <v>75</v>
      </c>
      <c r="V1483">
        <v>77</v>
      </c>
      <c r="W1483" t="str">
        <f t="shared" si="143"/>
        <v>Normal</v>
      </c>
      <c r="X1483">
        <v>0</v>
      </c>
    </row>
    <row r="1484" spans="1:24" ht="14.5" thickBot="1" x14ac:dyDescent="0.35">
      <c r="A1484">
        <v>1</v>
      </c>
      <c r="B1484" t="str">
        <f t="shared" si="141"/>
        <v>Male</v>
      </c>
      <c r="C1484" s="8">
        <v>45</v>
      </c>
      <c r="D1484" t="str">
        <f t="shared" si="142"/>
        <v>Middle Age</v>
      </c>
      <c r="E1484">
        <v>2</v>
      </c>
      <c r="F1484" t="str">
        <f>HLOOKUP(E1484, LookUP_Table!$A$6:$D$7, 2, FALSE)</f>
        <v>Secondary</v>
      </c>
      <c r="G1484" t="str">
        <f>IFERROR(VLOOKUP(E1484, LookUP_Table!$A$1:$B$4, 2, FALSE), "")</f>
        <v>Secondary</v>
      </c>
      <c r="H1484">
        <v>1</v>
      </c>
      <c r="I1484">
        <v>20</v>
      </c>
      <c r="J1484" t="str">
        <f t="shared" si="138"/>
        <v>Smoker</v>
      </c>
      <c r="K1484">
        <v>0</v>
      </c>
      <c r="L1484">
        <v>0</v>
      </c>
      <c r="M1484">
        <v>0</v>
      </c>
      <c r="N1484">
        <v>0</v>
      </c>
      <c r="O1484">
        <v>194</v>
      </c>
      <c r="P1484" t="str">
        <f t="shared" si="139"/>
        <v>Normal</v>
      </c>
      <c r="Q1484">
        <v>133</v>
      </c>
      <c r="R1484">
        <v>83</v>
      </c>
      <c r="S1484">
        <v>20.41</v>
      </c>
      <c r="T1484" t="str">
        <f t="shared" si="140"/>
        <v>Normal</v>
      </c>
      <c r="U1484">
        <v>55</v>
      </c>
      <c r="V1484">
        <v>76</v>
      </c>
      <c r="W1484" t="str">
        <f t="shared" si="143"/>
        <v>Normal</v>
      </c>
      <c r="X1484">
        <v>1</v>
      </c>
    </row>
    <row r="1485" spans="1:24" ht="14.5" thickBot="1" x14ac:dyDescent="0.35">
      <c r="A1485">
        <v>0</v>
      </c>
      <c r="B1485" t="str">
        <f t="shared" si="141"/>
        <v>Female</v>
      </c>
      <c r="C1485" s="8">
        <v>45</v>
      </c>
      <c r="D1485" t="str">
        <f t="shared" si="142"/>
        <v>Middle Age</v>
      </c>
      <c r="E1485">
        <v>2</v>
      </c>
      <c r="F1485" t="str">
        <f>HLOOKUP(E1485, LookUP_Table!$A$6:$D$7, 2, FALSE)</f>
        <v>Secondary</v>
      </c>
      <c r="G1485" t="str">
        <f>IFERROR(VLOOKUP(E1485, LookUP_Table!$A$1:$B$4, 2, FALSE), "")</f>
        <v>Secondary</v>
      </c>
      <c r="H1485">
        <v>1</v>
      </c>
      <c r="I1485">
        <v>20</v>
      </c>
      <c r="J1485" t="str">
        <f t="shared" si="138"/>
        <v>Smoker</v>
      </c>
      <c r="K1485">
        <v>0</v>
      </c>
      <c r="L1485">
        <v>0</v>
      </c>
      <c r="M1485">
        <v>0</v>
      </c>
      <c r="N1485">
        <v>0</v>
      </c>
      <c r="O1485">
        <v>217</v>
      </c>
      <c r="P1485" t="str">
        <f t="shared" si="139"/>
        <v>Normal</v>
      </c>
      <c r="Q1485">
        <v>109</v>
      </c>
      <c r="R1485">
        <v>72</v>
      </c>
      <c r="S1485">
        <v>33.65</v>
      </c>
      <c r="T1485" t="str">
        <f t="shared" si="140"/>
        <v>Obese</v>
      </c>
      <c r="U1485">
        <v>75</v>
      </c>
      <c r="V1485">
        <v>68</v>
      </c>
      <c r="W1485" t="str">
        <f t="shared" si="143"/>
        <v>Normal</v>
      </c>
      <c r="X1485">
        <v>0</v>
      </c>
    </row>
    <row r="1486" spans="1:24" ht="14.5" thickBot="1" x14ac:dyDescent="0.35">
      <c r="A1486">
        <v>1</v>
      </c>
      <c r="B1486" t="str">
        <f t="shared" si="141"/>
        <v>Male</v>
      </c>
      <c r="C1486" s="8">
        <v>45</v>
      </c>
      <c r="D1486" t="str">
        <f t="shared" si="142"/>
        <v>Middle Age</v>
      </c>
      <c r="E1486">
        <v>3</v>
      </c>
      <c r="F1486" t="str">
        <f>HLOOKUP(E1486, LookUP_Table!$A$6:$D$7, 2, FALSE)</f>
        <v>Graduate</v>
      </c>
      <c r="G1486" t="str">
        <f>IFERROR(VLOOKUP(E1486, LookUP_Table!$A$1:$B$4, 2, FALSE), "")</f>
        <v>Graduate</v>
      </c>
      <c r="H1486">
        <v>1</v>
      </c>
      <c r="I1486">
        <v>23</v>
      </c>
      <c r="J1486" t="str">
        <f t="shared" si="138"/>
        <v>Smoker</v>
      </c>
      <c r="K1486">
        <v>0</v>
      </c>
      <c r="L1486">
        <v>0</v>
      </c>
      <c r="M1486">
        <v>0</v>
      </c>
      <c r="N1486">
        <v>0</v>
      </c>
      <c r="O1486">
        <v>263</v>
      </c>
      <c r="P1486" t="str">
        <f t="shared" si="139"/>
        <v>High</v>
      </c>
      <c r="Q1486">
        <v>115</v>
      </c>
      <c r="R1486">
        <v>76</v>
      </c>
      <c r="S1486">
        <v>24.94</v>
      </c>
      <c r="T1486" t="str">
        <f t="shared" si="140"/>
        <v>Normal</v>
      </c>
      <c r="U1486">
        <v>68</v>
      </c>
      <c r="V1486">
        <v>78</v>
      </c>
      <c r="W1486" t="str">
        <f t="shared" si="143"/>
        <v>Normal</v>
      </c>
      <c r="X1486">
        <v>0</v>
      </c>
    </row>
    <row r="1487" spans="1:24" ht="14.5" thickBot="1" x14ac:dyDescent="0.35">
      <c r="A1487">
        <v>0</v>
      </c>
      <c r="B1487" t="str">
        <f t="shared" si="141"/>
        <v>Female</v>
      </c>
      <c r="C1487" s="8">
        <v>45</v>
      </c>
      <c r="D1487" t="str">
        <f t="shared" si="142"/>
        <v>Middle Age</v>
      </c>
      <c r="E1487">
        <v>2</v>
      </c>
      <c r="F1487" t="str">
        <f>HLOOKUP(E1487, LookUP_Table!$A$6:$D$7, 2, FALSE)</f>
        <v>Secondary</v>
      </c>
      <c r="G1487" t="str">
        <f>IFERROR(VLOOKUP(E1487, LookUP_Table!$A$1:$B$4, 2, FALSE), "")</f>
        <v>Secondary</v>
      </c>
      <c r="H1487">
        <v>0</v>
      </c>
      <c r="I1487">
        <v>0</v>
      </c>
      <c r="J1487" t="str">
        <f t="shared" si="138"/>
        <v>Non-Smoker</v>
      </c>
      <c r="K1487">
        <v>0</v>
      </c>
      <c r="L1487">
        <v>0</v>
      </c>
      <c r="M1487">
        <v>0</v>
      </c>
      <c r="N1487">
        <v>0</v>
      </c>
      <c r="O1487">
        <v>262</v>
      </c>
      <c r="P1487" t="str">
        <f t="shared" si="139"/>
        <v>High</v>
      </c>
      <c r="Q1487">
        <v>116</v>
      </c>
      <c r="R1487">
        <v>66</v>
      </c>
      <c r="S1487">
        <v>21.56</v>
      </c>
      <c r="T1487" t="str">
        <f t="shared" si="140"/>
        <v>Normal</v>
      </c>
      <c r="U1487">
        <v>66</v>
      </c>
      <c r="V1487">
        <v>76</v>
      </c>
      <c r="W1487" t="str">
        <f t="shared" si="143"/>
        <v>Normal</v>
      </c>
      <c r="X1487">
        <v>0</v>
      </c>
    </row>
    <row r="1488" spans="1:24" ht="14.5" thickBot="1" x14ac:dyDescent="0.35">
      <c r="A1488">
        <v>0</v>
      </c>
      <c r="B1488" t="str">
        <f t="shared" si="141"/>
        <v>Female</v>
      </c>
      <c r="C1488" s="8">
        <v>45</v>
      </c>
      <c r="D1488" t="str">
        <f t="shared" si="142"/>
        <v>Middle Age</v>
      </c>
      <c r="E1488">
        <v>1</v>
      </c>
      <c r="F1488" t="str">
        <f>HLOOKUP(E1488, LookUP_Table!$A$6:$D$7, 2, FALSE)</f>
        <v>Primary</v>
      </c>
      <c r="G1488" t="str">
        <f>IFERROR(VLOOKUP(E1488, LookUP_Table!$A$1:$B$4, 2, FALSE), "")</f>
        <v>Primary</v>
      </c>
      <c r="H1488">
        <v>0</v>
      </c>
      <c r="I1488">
        <v>0</v>
      </c>
      <c r="J1488" t="str">
        <f t="shared" si="138"/>
        <v>Non-Smoker</v>
      </c>
      <c r="K1488">
        <v>0</v>
      </c>
      <c r="L1488">
        <v>0</v>
      </c>
      <c r="M1488">
        <v>1</v>
      </c>
      <c r="N1488">
        <v>0</v>
      </c>
      <c r="O1488">
        <v>172</v>
      </c>
      <c r="P1488" t="str">
        <f t="shared" si="139"/>
        <v>Normal</v>
      </c>
      <c r="Q1488">
        <v>137</v>
      </c>
      <c r="R1488">
        <v>92.5</v>
      </c>
      <c r="S1488">
        <v>30.35</v>
      </c>
      <c r="T1488" t="str">
        <f t="shared" si="140"/>
        <v>Obese</v>
      </c>
      <c r="U1488">
        <v>90</v>
      </c>
      <c r="V1488">
        <v>83</v>
      </c>
      <c r="W1488" t="str">
        <f t="shared" si="143"/>
        <v>Normal</v>
      </c>
      <c r="X1488">
        <v>1</v>
      </c>
    </row>
    <row r="1489" spans="1:24" ht="14.5" thickBot="1" x14ac:dyDescent="0.35">
      <c r="A1489">
        <v>0</v>
      </c>
      <c r="B1489" t="str">
        <f t="shared" si="141"/>
        <v>Female</v>
      </c>
      <c r="C1489" s="8">
        <v>45</v>
      </c>
      <c r="D1489" t="str">
        <f t="shared" si="142"/>
        <v>Middle Age</v>
      </c>
      <c r="E1489">
        <v>4</v>
      </c>
      <c r="F1489" t="str">
        <f>HLOOKUP(E1489, LookUP_Table!$A$6:$D$7, 2, FALSE)</f>
        <v>Post Graduate</v>
      </c>
      <c r="G1489" t="str">
        <f>IFERROR(VLOOKUP(E1489, LookUP_Table!$A$1:$B$4, 2, FALSE), "")</f>
        <v>Post Graduate</v>
      </c>
      <c r="H1489">
        <v>0</v>
      </c>
      <c r="I1489">
        <v>0</v>
      </c>
      <c r="J1489" t="str">
        <f t="shared" si="138"/>
        <v>Non-Smoker</v>
      </c>
      <c r="K1489">
        <v>0</v>
      </c>
      <c r="L1489">
        <v>0</v>
      </c>
      <c r="M1489">
        <v>0</v>
      </c>
      <c r="N1489">
        <v>0</v>
      </c>
      <c r="O1489">
        <v>220</v>
      </c>
      <c r="P1489" t="str">
        <f t="shared" si="139"/>
        <v>Normal</v>
      </c>
      <c r="Q1489">
        <v>108</v>
      </c>
      <c r="R1489">
        <v>81</v>
      </c>
      <c r="S1489">
        <v>25.68</v>
      </c>
      <c r="T1489" t="str">
        <f t="shared" si="140"/>
        <v>Overweight</v>
      </c>
      <c r="U1489">
        <v>75</v>
      </c>
      <c r="V1489">
        <v>70</v>
      </c>
      <c r="W1489" t="str">
        <f t="shared" si="143"/>
        <v>Normal</v>
      </c>
      <c r="X1489">
        <v>0</v>
      </c>
    </row>
    <row r="1490" spans="1:24" ht="14.5" thickBot="1" x14ac:dyDescent="0.35">
      <c r="A1490">
        <v>0</v>
      </c>
      <c r="B1490" t="str">
        <f t="shared" si="141"/>
        <v>Female</v>
      </c>
      <c r="C1490" s="8">
        <v>45</v>
      </c>
      <c r="D1490" t="str">
        <f t="shared" si="142"/>
        <v>Middle Age</v>
      </c>
      <c r="E1490">
        <v>2</v>
      </c>
      <c r="F1490" t="str">
        <f>HLOOKUP(E1490, LookUP_Table!$A$6:$D$7, 2, FALSE)</f>
        <v>Secondary</v>
      </c>
      <c r="G1490" t="str">
        <f>IFERROR(VLOOKUP(E1490, LookUP_Table!$A$1:$B$4, 2, FALSE), "")</f>
        <v>Secondary</v>
      </c>
      <c r="H1490">
        <v>1</v>
      </c>
      <c r="I1490">
        <v>20</v>
      </c>
      <c r="J1490" t="str">
        <f t="shared" si="138"/>
        <v>Smoker</v>
      </c>
      <c r="K1490">
        <v>1</v>
      </c>
      <c r="L1490">
        <v>0</v>
      </c>
      <c r="M1490">
        <v>1</v>
      </c>
      <c r="N1490">
        <v>0</v>
      </c>
      <c r="O1490">
        <v>213</v>
      </c>
      <c r="P1490" t="str">
        <f t="shared" si="139"/>
        <v>Normal</v>
      </c>
      <c r="Q1490">
        <v>150</v>
      </c>
      <c r="R1490">
        <v>90</v>
      </c>
      <c r="S1490">
        <v>22.35</v>
      </c>
      <c r="T1490" t="str">
        <f t="shared" si="140"/>
        <v>Normal</v>
      </c>
      <c r="U1490">
        <v>65</v>
      </c>
      <c r="V1490">
        <v>72</v>
      </c>
      <c r="W1490" t="str">
        <f t="shared" si="143"/>
        <v>Normal</v>
      </c>
      <c r="X1490">
        <v>0</v>
      </c>
    </row>
    <row r="1491" spans="1:24" ht="14.5" thickBot="1" x14ac:dyDescent="0.35">
      <c r="A1491">
        <v>1</v>
      </c>
      <c r="B1491" t="str">
        <f t="shared" si="141"/>
        <v>Male</v>
      </c>
      <c r="C1491" s="8">
        <v>45</v>
      </c>
      <c r="D1491" t="str">
        <f t="shared" si="142"/>
        <v>Middle Age</v>
      </c>
      <c r="E1491">
        <v>3</v>
      </c>
      <c r="F1491" t="str">
        <f>HLOOKUP(E1491, LookUP_Table!$A$6:$D$7, 2, FALSE)</f>
        <v>Graduate</v>
      </c>
      <c r="G1491" t="str">
        <f>IFERROR(VLOOKUP(E1491, LookUP_Table!$A$1:$B$4, 2, FALSE), "")</f>
        <v>Graduate</v>
      </c>
      <c r="H1491">
        <v>1</v>
      </c>
      <c r="I1491">
        <v>30</v>
      </c>
      <c r="J1491" t="str">
        <f t="shared" si="138"/>
        <v>Smoker</v>
      </c>
      <c r="K1491">
        <v>0</v>
      </c>
      <c r="L1491">
        <v>0</v>
      </c>
      <c r="M1491">
        <v>1</v>
      </c>
      <c r="N1491">
        <v>0</v>
      </c>
      <c r="O1491">
        <v>270</v>
      </c>
      <c r="P1491" t="str">
        <f t="shared" si="139"/>
        <v>High</v>
      </c>
      <c r="Q1491">
        <v>140</v>
      </c>
      <c r="R1491">
        <v>94</v>
      </c>
      <c r="S1491">
        <v>30.39</v>
      </c>
      <c r="T1491" t="str">
        <f t="shared" si="140"/>
        <v>Obese</v>
      </c>
      <c r="U1491">
        <v>75</v>
      </c>
      <c r="V1491">
        <v>80</v>
      </c>
      <c r="W1491" t="str">
        <f t="shared" si="143"/>
        <v>Normal</v>
      </c>
      <c r="X1491">
        <v>0</v>
      </c>
    </row>
    <row r="1492" spans="1:24" ht="14.5" thickBot="1" x14ac:dyDescent="0.35">
      <c r="A1492">
        <v>0</v>
      </c>
      <c r="B1492" t="str">
        <f t="shared" si="141"/>
        <v>Female</v>
      </c>
      <c r="C1492" s="8">
        <v>45</v>
      </c>
      <c r="D1492" t="str">
        <f t="shared" si="142"/>
        <v>Middle Age</v>
      </c>
      <c r="E1492">
        <v>2</v>
      </c>
      <c r="F1492" t="str">
        <f>HLOOKUP(E1492, LookUP_Table!$A$6:$D$7, 2, FALSE)</f>
        <v>Secondary</v>
      </c>
      <c r="G1492" t="str">
        <f>IFERROR(VLOOKUP(E1492, LookUP_Table!$A$1:$B$4, 2, FALSE), "")</f>
        <v>Secondary</v>
      </c>
      <c r="H1492">
        <v>1</v>
      </c>
      <c r="I1492">
        <v>20</v>
      </c>
      <c r="J1492" t="str">
        <f t="shared" si="138"/>
        <v>Smoker</v>
      </c>
      <c r="K1492">
        <v>0</v>
      </c>
      <c r="L1492">
        <v>0</v>
      </c>
      <c r="M1492">
        <v>1</v>
      </c>
      <c r="N1492">
        <v>0</v>
      </c>
      <c r="O1492">
        <v>234</v>
      </c>
      <c r="P1492" t="str">
        <f t="shared" si="139"/>
        <v>Normal</v>
      </c>
      <c r="Q1492">
        <v>189</v>
      </c>
      <c r="R1492">
        <v>87</v>
      </c>
      <c r="S1492">
        <v>23.1</v>
      </c>
      <c r="T1492" t="str">
        <f t="shared" si="140"/>
        <v>Normal</v>
      </c>
      <c r="U1492">
        <v>96</v>
      </c>
      <c r="V1492">
        <v>90</v>
      </c>
      <c r="W1492" t="str">
        <f t="shared" si="143"/>
        <v>Normal</v>
      </c>
      <c r="X1492">
        <v>0</v>
      </c>
    </row>
    <row r="1493" spans="1:24" ht="14.5" thickBot="1" x14ac:dyDescent="0.35">
      <c r="A1493">
        <v>1</v>
      </c>
      <c r="B1493" t="str">
        <f t="shared" si="141"/>
        <v>Male</v>
      </c>
      <c r="C1493" s="8">
        <v>45</v>
      </c>
      <c r="D1493" t="str">
        <f t="shared" si="142"/>
        <v>Middle Age</v>
      </c>
      <c r="E1493">
        <v>1</v>
      </c>
      <c r="F1493" t="str">
        <f>HLOOKUP(E1493, LookUP_Table!$A$6:$D$7, 2, FALSE)</f>
        <v>Primary</v>
      </c>
      <c r="G1493" t="str">
        <f>IFERROR(VLOOKUP(E1493, LookUP_Table!$A$1:$B$4, 2, FALSE), "")</f>
        <v>Primary</v>
      </c>
      <c r="H1493">
        <v>1</v>
      </c>
      <c r="I1493">
        <v>10</v>
      </c>
      <c r="J1493" t="str">
        <f t="shared" si="138"/>
        <v>Smoker</v>
      </c>
      <c r="K1493">
        <v>0</v>
      </c>
      <c r="L1493">
        <v>0</v>
      </c>
      <c r="M1493">
        <v>0</v>
      </c>
      <c r="N1493">
        <v>0</v>
      </c>
      <c r="O1493">
        <v>150</v>
      </c>
      <c r="P1493" t="str">
        <f t="shared" si="139"/>
        <v>Normal</v>
      </c>
      <c r="Q1493">
        <v>105.5</v>
      </c>
      <c r="R1493">
        <v>57.5</v>
      </c>
      <c r="S1493">
        <v>23.21</v>
      </c>
      <c r="T1493" t="str">
        <f t="shared" si="140"/>
        <v>Normal</v>
      </c>
      <c r="U1493">
        <v>70</v>
      </c>
      <c r="V1493">
        <v>87</v>
      </c>
      <c r="W1493" t="str">
        <f t="shared" si="143"/>
        <v>Normal</v>
      </c>
      <c r="X1493">
        <v>0</v>
      </c>
    </row>
    <row r="1494" spans="1:24" ht="14.5" thickBot="1" x14ac:dyDescent="0.35">
      <c r="A1494">
        <v>0</v>
      </c>
      <c r="B1494" t="str">
        <f t="shared" si="141"/>
        <v>Female</v>
      </c>
      <c r="C1494" s="8">
        <v>45</v>
      </c>
      <c r="D1494" t="str">
        <f t="shared" si="142"/>
        <v>Middle Age</v>
      </c>
      <c r="E1494">
        <v>3</v>
      </c>
      <c r="F1494" t="str">
        <f>HLOOKUP(E1494, LookUP_Table!$A$6:$D$7, 2, FALSE)</f>
        <v>Graduate</v>
      </c>
      <c r="G1494" t="str">
        <f>IFERROR(VLOOKUP(E1494, LookUP_Table!$A$1:$B$4, 2, FALSE), "")</f>
        <v>Graduate</v>
      </c>
      <c r="H1494">
        <v>1</v>
      </c>
      <c r="I1494">
        <v>8</v>
      </c>
      <c r="J1494" t="str">
        <f t="shared" si="138"/>
        <v>Smoker</v>
      </c>
      <c r="K1494">
        <v>0</v>
      </c>
      <c r="L1494">
        <v>0</v>
      </c>
      <c r="M1494">
        <v>0</v>
      </c>
      <c r="N1494">
        <v>0</v>
      </c>
      <c r="O1494">
        <v>195</v>
      </c>
      <c r="P1494" t="str">
        <f t="shared" si="139"/>
        <v>Normal</v>
      </c>
      <c r="Q1494">
        <v>111</v>
      </c>
      <c r="R1494">
        <v>79</v>
      </c>
      <c r="S1494">
        <v>23.22</v>
      </c>
      <c r="T1494" t="str">
        <f t="shared" si="140"/>
        <v>Normal</v>
      </c>
      <c r="U1494">
        <v>86</v>
      </c>
      <c r="V1494">
        <v>85</v>
      </c>
      <c r="W1494" t="str">
        <f t="shared" si="143"/>
        <v>Normal</v>
      </c>
      <c r="X1494">
        <v>0</v>
      </c>
    </row>
    <row r="1495" spans="1:24" ht="14.5" thickBot="1" x14ac:dyDescent="0.35">
      <c r="A1495">
        <v>0</v>
      </c>
      <c r="B1495" t="str">
        <f t="shared" si="141"/>
        <v>Female</v>
      </c>
      <c r="C1495" s="8">
        <v>45</v>
      </c>
      <c r="D1495" t="str">
        <f t="shared" si="142"/>
        <v>Middle Age</v>
      </c>
      <c r="E1495">
        <v>3</v>
      </c>
      <c r="F1495" t="str">
        <f>HLOOKUP(E1495, LookUP_Table!$A$6:$D$7, 2, FALSE)</f>
        <v>Graduate</v>
      </c>
      <c r="G1495" t="str">
        <f>IFERROR(VLOOKUP(E1495, LookUP_Table!$A$1:$B$4, 2, FALSE), "")</f>
        <v>Graduate</v>
      </c>
      <c r="H1495">
        <v>1</v>
      </c>
      <c r="I1495">
        <v>20</v>
      </c>
      <c r="J1495" t="str">
        <f t="shared" si="138"/>
        <v>Smoker</v>
      </c>
      <c r="K1495">
        <v>0</v>
      </c>
      <c r="L1495">
        <v>0</v>
      </c>
      <c r="M1495">
        <v>0</v>
      </c>
      <c r="N1495">
        <v>0</v>
      </c>
      <c r="O1495">
        <v>184</v>
      </c>
      <c r="P1495" t="str">
        <f t="shared" si="139"/>
        <v>Normal</v>
      </c>
      <c r="Q1495">
        <v>147</v>
      </c>
      <c r="R1495">
        <v>88</v>
      </c>
      <c r="S1495">
        <v>23.48</v>
      </c>
      <c r="T1495" t="str">
        <f t="shared" si="140"/>
        <v>Normal</v>
      </c>
      <c r="U1495">
        <v>66</v>
      </c>
      <c r="V1495">
        <v>76</v>
      </c>
      <c r="W1495" t="str">
        <f t="shared" si="143"/>
        <v>Normal</v>
      </c>
      <c r="X1495">
        <v>0</v>
      </c>
    </row>
    <row r="1496" spans="1:24" ht="14.5" thickBot="1" x14ac:dyDescent="0.35">
      <c r="A1496">
        <v>1</v>
      </c>
      <c r="B1496" t="str">
        <f t="shared" si="141"/>
        <v>Male</v>
      </c>
      <c r="C1496" s="8">
        <v>45</v>
      </c>
      <c r="D1496" t="str">
        <f t="shared" si="142"/>
        <v>Middle Age</v>
      </c>
      <c r="E1496">
        <v>2</v>
      </c>
      <c r="F1496" t="str">
        <f>HLOOKUP(E1496, LookUP_Table!$A$6:$D$7, 2, FALSE)</f>
        <v>Secondary</v>
      </c>
      <c r="G1496" t="str">
        <f>IFERROR(VLOOKUP(E1496, LookUP_Table!$A$1:$B$4, 2, FALSE), "")</f>
        <v>Secondary</v>
      </c>
      <c r="H1496">
        <v>1</v>
      </c>
      <c r="I1496">
        <v>5</v>
      </c>
      <c r="J1496" t="str">
        <f t="shared" si="138"/>
        <v>Smoker</v>
      </c>
      <c r="K1496">
        <v>0</v>
      </c>
      <c r="L1496">
        <v>0</v>
      </c>
      <c r="M1496">
        <v>1</v>
      </c>
      <c r="N1496">
        <v>0</v>
      </c>
      <c r="O1496">
        <v>238</v>
      </c>
      <c r="P1496" t="str">
        <f t="shared" si="139"/>
        <v>Normal</v>
      </c>
      <c r="Q1496">
        <v>141</v>
      </c>
      <c r="R1496">
        <v>87</v>
      </c>
      <c r="S1496">
        <v>26.46</v>
      </c>
      <c r="T1496" t="str">
        <f t="shared" si="140"/>
        <v>Overweight</v>
      </c>
      <c r="U1496">
        <v>54</v>
      </c>
      <c r="V1496">
        <v>68</v>
      </c>
      <c r="W1496" t="str">
        <f t="shared" si="143"/>
        <v>Normal</v>
      </c>
      <c r="X1496">
        <v>0</v>
      </c>
    </row>
    <row r="1497" spans="1:24" ht="14.5" thickBot="1" x14ac:dyDescent="0.35">
      <c r="A1497">
        <v>0</v>
      </c>
      <c r="B1497" t="str">
        <f t="shared" si="141"/>
        <v>Female</v>
      </c>
      <c r="C1497" s="8">
        <v>45</v>
      </c>
      <c r="D1497" t="str">
        <f t="shared" si="142"/>
        <v>Middle Age</v>
      </c>
      <c r="E1497">
        <v>3</v>
      </c>
      <c r="F1497" t="str">
        <f>HLOOKUP(E1497, LookUP_Table!$A$6:$D$7, 2, FALSE)</f>
        <v>Graduate</v>
      </c>
      <c r="G1497" t="str">
        <f>IFERROR(VLOOKUP(E1497, LookUP_Table!$A$1:$B$4, 2, FALSE), "")</f>
        <v>Graduate</v>
      </c>
      <c r="H1497">
        <v>0</v>
      </c>
      <c r="I1497">
        <v>0</v>
      </c>
      <c r="J1497" t="str">
        <f t="shared" si="138"/>
        <v>Non-Smoker</v>
      </c>
      <c r="K1497">
        <v>0</v>
      </c>
      <c r="L1497">
        <v>0</v>
      </c>
      <c r="M1497">
        <v>0</v>
      </c>
      <c r="N1497">
        <v>0</v>
      </c>
      <c r="O1497">
        <v>237</v>
      </c>
      <c r="P1497" t="str">
        <f t="shared" si="139"/>
        <v>Normal</v>
      </c>
      <c r="Q1497">
        <v>118</v>
      </c>
      <c r="R1497">
        <v>84</v>
      </c>
      <c r="S1497">
        <v>22.53</v>
      </c>
      <c r="T1497" t="str">
        <f t="shared" si="140"/>
        <v>Normal</v>
      </c>
      <c r="U1497">
        <v>68</v>
      </c>
      <c r="V1497">
        <v>78</v>
      </c>
      <c r="W1497" t="str">
        <f t="shared" si="143"/>
        <v>Normal</v>
      </c>
      <c r="X1497">
        <v>0</v>
      </c>
    </row>
    <row r="1498" spans="1:24" ht="14.5" thickBot="1" x14ac:dyDescent="0.35">
      <c r="A1498">
        <v>1</v>
      </c>
      <c r="B1498" t="str">
        <f t="shared" si="141"/>
        <v>Male</v>
      </c>
      <c r="C1498" s="8">
        <v>45</v>
      </c>
      <c r="D1498" t="str">
        <f t="shared" si="142"/>
        <v>Middle Age</v>
      </c>
      <c r="E1498">
        <v>3</v>
      </c>
      <c r="F1498" t="str">
        <f>HLOOKUP(E1498, LookUP_Table!$A$6:$D$7, 2, FALSE)</f>
        <v>Graduate</v>
      </c>
      <c r="G1498" t="str">
        <f>IFERROR(VLOOKUP(E1498, LookUP_Table!$A$1:$B$4, 2, FALSE), "")</f>
        <v>Graduate</v>
      </c>
      <c r="H1498">
        <v>1</v>
      </c>
      <c r="I1498">
        <v>35</v>
      </c>
      <c r="J1498" t="str">
        <f t="shared" si="138"/>
        <v>Smoker</v>
      </c>
      <c r="K1498">
        <v>0</v>
      </c>
      <c r="L1498">
        <v>0</v>
      </c>
      <c r="M1498">
        <v>0</v>
      </c>
      <c r="N1498">
        <v>0</v>
      </c>
      <c r="O1498">
        <v>161</v>
      </c>
      <c r="P1498" t="str">
        <f t="shared" si="139"/>
        <v>Normal</v>
      </c>
      <c r="Q1498">
        <v>122</v>
      </c>
      <c r="R1498">
        <v>82</v>
      </c>
      <c r="S1498">
        <v>26.09</v>
      </c>
      <c r="T1498" t="str">
        <f t="shared" si="140"/>
        <v>Overweight</v>
      </c>
      <c r="U1498">
        <v>65</v>
      </c>
      <c r="V1498">
        <v>91</v>
      </c>
      <c r="W1498" t="str">
        <f t="shared" si="143"/>
        <v>Normal</v>
      </c>
      <c r="X1498">
        <v>0</v>
      </c>
    </row>
    <row r="1499" spans="1:24" ht="14.5" thickBot="1" x14ac:dyDescent="0.35">
      <c r="A1499">
        <v>1</v>
      </c>
      <c r="B1499" t="str">
        <f t="shared" si="141"/>
        <v>Male</v>
      </c>
      <c r="C1499" s="8">
        <v>45</v>
      </c>
      <c r="D1499" t="str">
        <f t="shared" si="142"/>
        <v>Middle Age</v>
      </c>
      <c r="E1499">
        <v>3</v>
      </c>
      <c r="F1499" t="str">
        <f>HLOOKUP(E1499, LookUP_Table!$A$6:$D$7, 2, FALSE)</f>
        <v>Graduate</v>
      </c>
      <c r="G1499" t="str">
        <f>IFERROR(VLOOKUP(E1499, LookUP_Table!$A$1:$B$4, 2, FALSE), "")</f>
        <v>Graduate</v>
      </c>
      <c r="H1499">
        <v>1</v>
      </c>
      <c r="I1499">
        <v>9</v>
      </c>
      <c r="J1499" t="str">
        <f t="shared" si="138"/>
        <v>Smoker</v>
      </c>
      <c r="K1499">
        <v>0</v>
      </c>
      <c r="L1499">
        <v>0</v>
      </c>
      <c r="M1499">
        <v>1</v>
      </c>
      <c r="N1499">
        <v>0</v>
      </c>
      <c r="O1499">
        <v>170</v>
      </c>
      <c r="P1499" t="str">
        <f t="shared" si="139"/>
        <v>Normal</v>
      </c>
      <c r="Q1499">
        <v>145.5</v>
      </c>
      <c r="R1499">
        <v>99</v>
      </c>
      <c r="S1499">
        <v>26.74</v>
      </c>
      <c r="T1499" t="str">
        <f t="shared" si="140"/>
        <v>Overweight</v>
      </c>
      <c r="U1499">
        <v>83</v>
      </c>
      <c r="V1499">
        <v>85</v>
      </c>
      <c r="W1499" t="str">
        <f t="shared" si="143"/>
        <v>Normal</v>
      </c>
      <c r="X1499">
        <v>0</v>
      </c>
    </row>
    <row r="1500" spans="1:24" ht="14.5" thickBot="1" x14ac:dyDescent="0.35">
      <c r="A1500">
        <v>0</v>
      </c>
      <c r="B1500" t="str">
        <f t="shared" si="141"/>
        <v>Female</v>
      </c>
      <c r="C1500" s="8">
        <v>45</v>
      </c>
      <c r="D1500" t="str">
        <f t="shared" si="142"/>
        <v>Middle Age</v>
      </c>
      <c r="E1500">
        <v>1</v>
      </c>
      <c r="F1500" t="str">
        <f>HLOOKUP(E1500, LookUP_Table!$A$6:$D$7, 2, FALSE)</f>
        <v>Primary</v>
      </c>
      <c r="G1500" t="str">
        <f>IFERROR(VLOOKUP(E1500, LookUP_Table!$A$1:$B$4, 2, FALSE), "")</f>
        <v>Primary</v>
      </c>
      <c r="H1500">
        <v>0</v>
      </c>
      <c r="I1500">
        <v>0</v>
      </c>
      <c r="J1500" t="str">
        <f t="shared" si="138"/>
        <v>Non-Smoker</v>
      </c>
      <c r="K1500">
        <v>0</v>
      </c>
      <c r="L1500">
        <v>0</v>
      </c>
      <c r="M1500">
        <v>0</v>
      </c>
      <c r="N1500">
        <v>0</v>
      </c>
      <c r="O1500">
        <v>244</v>
      </c>
      <c r="P1500" t="str">
        <f t="shared" si="139"/>
        <v>High</v>
      </c>
      <c r="Q1500">
        <v>119</v>
      </c>
      <c r="R1500">
        <v>73</v>
      </c>
      <c r="S1500">
        <v>26.51</v>
      </c>
      <c r="T1500" t="str">
        <f t="shared" si="140"/>
        <v>Overweight</v>
      </c>
      <c r="U1500">
        <v>80</v>
      </c>
      <c r="V1500">
        <v>80</v>
      </c>
      <c r="W1500" t="str">
        <f t="shared" si="143"/>
        <v>Normal</v>
      </c>
      <c r="X1500">
        <v>0</v>
      </c>
    </row>
    <row r="1501" spans="1:24" ht="14.5" thickBot="1" x14ac:dyDescent="0.35">
      <c r="A1501">
        <v>1</v>
      </c>
      <c r="B1501" t="str">
        <f t="shared" si="141"/>
        <v>Male</v>
      </c>
      <c r="C1501" s="8">
        <v>45</v>
      </c>
      <c r="D1501" t="str">
        <f t="shared" si="142"/>
        <v>Middle Age</v>
      </c>
      <c r="E1501">
        <v>3</v>
      </c>
      <c r="F1501" t="str">
        <f>HLOOKUP(E1501, LookUP_Table!$A$6:$D$7, 2, FALSE)</f>
        <v>Graduate</v>
      </c>
      <c r="G1501" t="str">
        <f>IFERROR(VLOOKUP(E1501, LookUP_Table!$A$1:$B$4, 2, FALSE), "")</f>
        <v>Graduate</v>
      </c>
      <c r="H1501">
        <v>1</v>
      </c>
      <c r="I1501">
        <v>30</v>
      </c>
      <c r="J1501" t="str">
        <f t="shared" si="138"/>
        <v>Smoker</v>
      </c>
      <c r="K1501">
        <v>0</v>
      </c>
      <c r="L1501">
        <v>0</v>
      </c>
      <c r="M1501">
        <v>0</v>
      </c>
      <c r="N1501">
        <v>0</v>
      </c>
      <c r="O1501">
        <v>250</v>
      </c>
      <c r="P1501" t="str">
        <f t="shared" si="139"/>
        <v>High</v>
      </c>
      <c r="Q1501">
        <v>126</v>
      </c>
      <c r="R1501">
        <v>89.5</v>
      </c>
      <c r="S1501">
        <v>28.68</v>
      </c>
      <c r="T1501" t="str">
        <f t="shared" si="140"/>
        <v>Overweight</v>
      </c>
      <c r="U1501">
        <v>75</v>
      </c>
      <c r="V1501">
        <v>92</v>
      </c>
      <c r="W1501" t="str">
        <f t="shared" si="143"/>
        <v>Normal</v>
      </c>
      <c r="X1501">
        <v>0</v>
      </c>
    </row>
    <row r="1502" spans="1:24" ht="14.5" thickBot="1" x14ac:dyDescent="0.35">
      <c r="A1502">
        <v>1</v>
      </c>
      <c r="B1502" t="str">
        <f t="shared" si="141"/>
        <v>Male</v>
      </c>
      <c r="C1502" s="8">
        <v>45</v>
      </c>
      <c r="D1502" t="str">
        <f t="shared" si="142"/>
        <v>Middle Age</v>
      </c>
      <c r="E1502">
        <v>1</v>
      </c>
      <c r="F1502" t="str">
        <f>HLOOKUP(E1502, LookUP_Table!$A$6:$D$7, 2, FALSE)</f>
        <v>Primary</v>
      </c>
      <c r="G1502" t="str">
        <f>IFERROR(VLOOKUP(E1502, LookUP_Table!$A$1:$B$4, 2, FALSE), "")</f>
        <v>Primary</v>
      </c>
      <c r="H1502">
        <v>1</v>
      </c>
      <c r="I1502">
        <v>3</v>
      </c>
      <c r="J1502" t="str">
        <f t="shared" si="138"/>
        <v>Smoker</v>
      </c>
      <c r="K1502">
        <v>0</v>
      </c>
      <c r="L1502">
        <v>0</v>
      </c>
      <c r="M1502">
        <v>0</v>
      </c>
      <c r="N1502">
        <v>0</v>
      </c>
      <c r="O1502">
        <v>280</v>
      </c>
      <c r="P1502" t="str">
        <f t="shared" si="139"/>
        <v>High</v>
      </c>
      <c r="Q1502">
        <v>128</v>
      </c>
      <c r="R1502">
        <v>82</v>
      </c>
      <c r="S1502">
        <v>29.17</v>
      </c>
      <c r="T1502" t="str">
        <f t="shared" si="140"/>
        <v>Overweight</v>
      </c>
      <c r="U1502">
        <v>60</v>
      </c>
      <c r="V1502">
        <v>62</v>
      </c>
      <c r="W1502" t="str">
        <f t="shared" si="143"/>
        <v>Normal</v>
      </c>
      <c r="X1502">
        <v>0</v>
      </c>
    </row>
    <row r="1503" spans="1:24" ht="14.5" thickBot="1" x14ac:dyDescent="0.35">
      <c r="A1503">
        <v>0</v>
      </c>
      <c r="B1503" t="str">
        <f t="shared" si="141"/>
        <v>Female</v>
      </c>
      <c r="C1503" s="8">
        <v>45</v>
      </c>
      <c r="D1503" t="str">
        <f t="shared" si="142"/>
        <v>Middle Age</v>
      </c>
      <c r="E1503">
        <v>2</v>
      </c>
      <c r="F1503" t="str">
        <f>HLOOKUP(E1503, LookUP_Table!$A$6:$D$7, 2, FALSE)</f>
        <v>Secondary</v>
      </c>
      <c r="G1503" t="str">
        <f>IFERROR(VLOOKUP(E1503, LookUP_Table!$A$1:$B$4, 2, FALSE), "")</f>
        <v>Secondary</v>
      </c>
      <c r="H1503">
        <v>1</v>
      </c>
      <c r="I1503">
        <v>9</v>
      </c>
      <c r="J1503" t="str">
        <f t="shared" si="138"/>
        <v>Smoker</v>
      </c>
      <c r="K1503">
        <v>0</v>
      </c>
      <c r="L1503">
        <v>0</v>
      </c>
      <c r="M1503">
        <v>0</v>
      </c>
      <c r="N1503">
        <v>0</v>
      </c>
      <c r="O1503">
        <v>208</v>
      </c>
      <c r="P1503" t="str">
        <f t="shared" si="139"/>
        <v>Normal</v>
      </c>
      <c r="Q1503">
        <v>137</v>
      </c>
      <c r="R1503">
        <v>82</v>
      </c>
      <c r="S1503">
        <v>24.35</v>
      </c>
      <c r="T1503" t="str">
        <f t="shared" si="140"/>
        <v>Normal</v>
      </c>
      <c r="U1503">
        <v>85</v>
      </c>
      <c r="V1503">
        <v>81.96365524402907</v>
      </c>
      <c r="W1503" t="str">
        <f t="shared" si="143"/>
        <v>Normal</v>
      </c>
      <c r="X1503">
        <v>0</v>
      </c>
    </row>
    <row r="1504" spans="1:24" ht="14.5" thickBot="1" x14ac:dyDescent="0.35">
      <c r="A1504">
        <v>0</v>
      </c>
      <c r="B1504" t="str">
        <f t="shared" si="141"/>
        <v>Female</v>
      </c>
      <c r="C1504" s="8">
        <v>45</v>
      </c>
      <c r="D1504" t="str">
        <f t="shared" si="142"/>
        <v>Middle Age</v>
      </c>
      <c r="E1504">
        <v>2</v>
      </c>
      <c r="F1504" t="str">
        <f>HLOOKUP(E1504, LookUP_Table!$A$6:$D$7, 2, FALSE)</f>
        <v>Secondary</v>
      </c>
      <c r="G1504" t="str">
        <f>IFERROR(VLOOKUP(E1504, LookUP_Table!$A$1:$B$4, 2, FALSE), "")</f>
        <v>Secondary</v>
      </c>
      <c r="H1504">
        <v>0</v>
      </c>
      <c r="I1504">
        <v>0</v>
      </c>
      <c r="J1504" t="str">
        <f t="shared" si="138"/>
        <v>Non-Smoker</v>
      </c>
      <c r="K1504">
        <v>0</v>
      </c>
      <c r="L1504">
        <v>0</v>
      </c>
      <c r="M1504">
        <v>0</v>
      </c>
      <c r="N1504">
        <v>0</v>
      </c>
      <c r="O1504">
        <v>229</v>
      </c>
      <c r="P1504" t="str">
        <f t="shared" si="139"/>
        <v>Normal</v>
      </c>
      <c r="Q1504">
        <v>130</v>
      </c>
      <c r="R1504">
        <v>80</v>
      </c>
      <c r="S1504">
        <v>21.72</v>
      </c>
      <c r="T1504" t="str">
        <f t="shared" si="140"/>
        <v>Normal</v>
      </c>
      <c r="U1504">
        <v>75</v>
      </c>
      <c r="V1504">
        <v>77</v>
      </c>
      <c r="W1504" t="str">
        <f t="shared" si="143"/>
        <v>Normal</v>
      </c>
      <c r="X1504">
        <v>0</v>
      </c>
    </row>
    <row r="1505" spans="1:24" ht="14.5" thickBot="1" x14ac:dyDescent="0.35">
      <c r="A1505">
        <v>1</v>
      </c>
      <c r="B1505" t="str">
        <f t="shared" si="141"/>
        <v>Male</v>
      </c>
      <c r="C1505" s="8">
        <v>45</v>
      </c>
      <c r="D1505" t="str">
        <f t="shared" si="142"/>
        <v>Middle Age</v>
      </c>
      <c r="E1505">
        <v>2</v>
      </c>
      <c r="F1505" t="str">
        <f>HLOOKUP(E1505, LookUP_Table!$A$6:$D$7, 2, FALSE)</f>
        <v>Secondary</v>
      </c>
      <c r="G1505" t="str">
        <f>IFERROR(VLOOKUP(E1505, LookUP_Table!$A$1:$B$4, 2, FALSE), "")</f>
        <v>Secondary</v>
      </c>
      <c r="H1505">
        <v>1</v>
      </c>
      <c r="I1505">
        <v>10</v>
      </c>
      <c r="J1505" t="str">
        <f t="shared" si="138"/>
        <v>Smoker</v>
      </c>
      <c r="K1505">
        <v>0</v>
      </c>
      <c r="L1505">
        <v>0</v>
      </c>
      <c r="M1505">
        <v>1</v>
      </c>
      <c r="N1505">
        <v>0</v>
      </c>
      <c r="O1505">
        <v>232</v>
      </c>
      <c r="P1505" t="str">
        <f t="shared" si="139"/>
        <v>Normal</v>
      </c>
      <c r="Q1505">
        <v>136</v>
      </c>
      <c r="R1505">
        <v>85</v>
      </c>
      <c r="S1505">
        <v>30.29</v>
      </c>
      <c r="T1505" t="str">
        <f t="shared" si="140"/>
        <v>Obese</v>
      </c>
      <c r="U1505">
        <v>70</v>
      </c>
      <c r="V1505">
        <v>66</v>
      </c>
      <c r="W1505" t="str">
        <f t="shared" si="143"/>
        <v>Normal</v>
      </c>
      <c r="X1505">
        <v>0</v>
      </c>
    </row>
    <row r="1506" spans="1:24" ht="14.5" thickBot="1" x14ac:dyDescent="0.35">
      <c r="A1506">
        <v>1</v>
      </c>
      <c r="B1506" t="str">
        <f t="shared" si="141"/>
        <v>Male</v>
      </c>
      <c r="C1506" s="8">
        <v>45</v>
      </c>
      <c r="D1506" t="str">
        <f t="shared" si="142"/>
        <v>Middle Age</v>
      </c>
      <c r="E1506">
        <v>1</v>
      </c>
      <c r="F1506" t="str">
        <f>HLOOKUP(E1506, LookUP_Table!$A$6:$D$7, 2, FALSE)</f>
        <v>Primary</v>
      </c>
      <c r="G1506" t="str">
        <f>IFERROR(VLOOKUP(E1506, LookUP_Table!$A$1:$B$4, 2, FALSE), "")</f>
        <v>Primary</v>
      </c>
      <c r="H1506">
        <v>1</v>
      </c>
      <c r="I1506">
        <v>3</v>
      </c>
      <c r="J1506" t="str">
        <f t="shared" si="138"/>
        <v>Smoker</v>
      </c>
      <c r="K1506">
        <v>0</v>
      </c>
      <c r="L1506">
        <v>0</v>
      </c>
      <c r="M1506">
        <v>0</v>
      </c>
      <c r="N1506">
        <v>0</v>
      </c>
      <c r="O1506">
        <v>215</v>
      </c>
      <c r="P1506" t="str">
        <f t="shared" si="139"/>
        <v>Normal</v>
      </c>
      <c r="Q1506">
        <v>144</v>
      </c>
      <c r="R1506">
        <v>110</v>
      </c>
      <c r="S1506">
        <v>25.71</v>
      </c>
      <c r="T1506" t="str">
        <f t="shared" si="140"/>
        <v>Overweight</v>
      </c>
      <c r="U1506">
        <v>58</v>
      </c>
      <c r="V1506">
        <v>85</v>
      </c>
      <c r="W1506" t="str">
        <f t="shared" si="143"/>
        <v>Normal</v>
      </c>
      <c r="X1506">
        <v>0</v>
      </c>
    </row>
    <row r="1507" spans="1:24" ht="14.5" thickBot="1" x14ac:dyDescent="0.35">
      <c r="A1507">
        <v>0</v>
      </c>
      <c r="B1507" t="str">
        <f t="shared" si="141"/>
        <v>Female</v>
      </c>
      <c r="C1507" s="8">
        <v>45</v>
      </c>
      <c r="D1507" t="str">
        <f t="shared" si="142"/>
        <v>Middle Age</v>
      </c>
      <c r="E1507">
        <v>2</v>
      </c>
      <c r="F1507" t="str">
        <f>HLOOKUP(E1507, LookUP_Table!$A$6:$D$7, 2, FALSE)</f>
        <v>Secondary</v>
      </c>
      <c r="G1507" t="str">
        <f>IFERROR(VLOOKUP(E1507, LookUP_Table!$A$1:$B$4, 2, FALSE), "")</f>
        <v>Secondary</v>
      </c>
      <c r="H1507">
        <v>1</v>
      </c>
      <c r="I1507">
        <v>20</v>
      </c>
      <c r="J1507" t="str">
        <f t="shared" si="138"/>
        <v>Smoker</v>
      </c>
      <c r="K1507">
        <v>0</v>
      </c>
      <c r="L1507">
        <v>0</v>
      </c>
      <c r="M1507">
        <v>0</v>
      </c>
      <c r="N1507">
        <v>0</v>
      </c>
      <c r="O1507">
        <v>255</v>
      </c>
      <c r="P1507" t="str">
        <f t="shared" si="139"/>
        <v>High</v>
      </c>
      <c r="Q1507">
        <v>111</v>
      </c>
      <c r="R1507">
        <v>72</v>
      </c>
      <c r="S1507">
        <v>17.32</v>
      </c>
      <c r="T1507" t="str">
        <f t="shared" si="140"/>
        <v>Underweight</v>
      </c>
      <c r="U1507">
        <v>88</v>
      </c>
      <c r="V1507">
        <v>65</v>
      </c>
      <c r="W1507" t="str">
        <f t="shared" si="143"/>
        <v>Normal</v>
      </c>
      <c r="X1507">
        <v>0</v>
      </c>
    </row>
    <row r="1508" spans="1:24" ht="14.5" thickBot="1" x14ac:dyDescent="0.35">
      <c r="A1508">
        <v>0</v>
      </c>
      <c r="B1508" t="str">
        <f t="shared" si="141"/>
        <v>Female</v>
      </c>
      <c r="C1508" s="8">
        <v>45</v>
      </c>
      <c r="D1508" t="str">
        <f t="shared" si="142"/>
        <v>Middle Age</v>
      </c>
      <c r="E1508">
        <v>2</v>
      </c>
      <c r="F1508" t="str">
        <f>HLOOKUP(E1508, LookUP_Table!$A$6:$D$7, 2, FALSE)</f>
        <v>Secondary</v>
      </c>
      <c r="G1508" t="str">
        <f>IFERROR(VLOOKUP(E1508, LookUP_Table!$A$1:$B$4, 2, FALSE), "")</f>
        <v>Secondary</v>
      </c>
      <c r="H1508">
        <v>1</v>
      </c>
      <c r="I1508">
        <v>3</v>
      </c>
      <c r="J1508" t="str">
        <f t="shared" si="138"/>
        <v>Smoker</v>
      </c>
      <c r="K1508">
        <v>0</v>
      </c>
      <c r="L1508">
        <v>0</v>
      </c>
      <c r="M1508">
        <v>0</v>
      </c>
      <c r="N1508">
        <v>0</v>
      </c>
      <c r="O1508">
        <v>250</v>
      </c>
      <c r="P1508" t="str">
        <f t="shared" si="139"/>
        <v>High</v>
      </c>
      <c r="Q1508">
        <v>130</v>
      </c>
      <c r="R1508">
        <v>80</v>
      </c>
      <c r="S1508">
        <v>20.239999999999998</v>
      </c>
      <c r="T1508" t="str">
        <f t="shared" si="140"/>
        <v>Normal</v>
      </c>
      <c r="U1508">
        <v>90</v>
      </c>
      <c r="V1508">
        <v>86</v>
      </c>
      <c r="W1508" t="str">
        <f t="shared" si="143"/>
        <v>Normal</v>
      </c>
      <c r="X1508">
        <v>0</v>
      </c>
    </row>
    <row r="1509" spans="1:24" ht="14.5" thickBot="1" x14ac:dyDescent="0.35">
      <c r="A1509">
        <v>1</v>
      </c>
      <c r="B1509" t="str">
        <f t="shared" si="141"/>
        <v>Male</v>
      </c>
      <c r="C1509" s="8">
        <v>45</v>
      </c>
      <c r="D1509" t="str">
        <f t="shared" si="142"/>
        <v>Middle Age</v>
      </c>
      <c r="E1509">
        <v>2</v>
      </c>
      <c r="F1509" t="str">
        <f>HLOOKUP(E1509, LookUP_Table!$A$6:$D$7, 2, FALSE)</f>
        <v>Secondary</v>
      </c>
      <c r="G1509" t="str">
        <f>IFERROR(VLOOKUP(E1509, LookUP_Table!$A$1:$B$4, 2, FALSE), "")</f>
        <v>Secondary</v>
      </c>
      <c r="H1509">
        <v>1</v>
      </c>
      <c r="I1509">
        <v>25</v>
      </c>
      <c r="J1509" t="str">
        <f t="shared" si="138"/>
        <v>Smoker</v>
      </c>
      <c r="K1509">
        <v>0</v>
      </c>
      <c r="L1509">
        <v>0</v>
      </c>
      <c r="M1509">
        <v>0</v>
      </c>
      <c r="N1509">
        <v>0</v>
      </c>
      <c r="O1509">
        <v>288</v>
      </c>
      <c r="P1509" t="str">
        <f t="shared" si="139"/>
        <v>High</v>
      </c>
      <c r="Q1509">
        <v>124</v>
      </c>
      <c r="R1509">
        <v>81</v>
      </c>
      <c r="S1509">
        <v>27.94</v>
      </c>
      <c r="T1509" t="str">
        <f t="shared" si="140"/>
        <v>Overweight</v>
      </c>
      <c r="U1509">
        <v>69</v>
      </c>
      <c r="V1509">
        <v>118</v>
      </c>
      <c r="W1509" t="str">
        <f t="shared" si="143"/>
        <v>Prediabetes</v>
      </c>
      <c r="X1509">
        <v>0</v>
      </c>
    </row>
    <row r="1510" spans="1:24" ht="14.5" thickBot="1" x14ac:dyDescent="0.35">
      <c r="A1510">
        <v>1</v>
      </c>
      <c r="B1510" t="str">
        <f t="shared" si="141"/>
        <v>Male</v>
      </c>
      <c r="C1510" s="8">
        <v>45</v>
      </c>
      <c r="D1510" t="str">
        <f t="shared" si="142"/>
        <v>Middle Age</v>
      </c>
      <c r="E1510">
        <v>1</v>
      </c>
      <c r="F1510" t="str">
        <f>HLOOKUP(E1510, LookUP_Table!$A$6:$D$7, 2, FALSE)</f>
        <v>Primary</v>
      </c>
      <c r="G1510" t="str">
        <f>IFERROR(VLOOKUP(E1510, LookUP_Table!$A$1:$B$4, 2, FALSE), "")</f>
        <v>Primary</v>
      </c>
      <c r="H1510">
        <v>0</v>
      </c>
      <c r="I1510">
        <v>0</v>
      </c>
      <c r="J1510" t="str">
        <f t="shared" si="138"/>
        <v>Non-Smoker</v>
      </c>
      <c r="K1510">
        <v>0</v>
      </c>
      <c r="L1510">
        <v>0</v>
      </c>
      <c r="M1510">
        <v>0</v>
      </c>
      <c r="N1510">
        <v>0</v>
      </c>
      <c r="O1510">
        <v>258</v>
      </c>
      <c r="P1510" t="str">
        <f t="shared" si="139"/>
        <v>High</v>
      </c>
      <c r="Q1510">
        <v>128</v>
      </c>
      <c r="R1510">
        <v>79</v>
      </c>
      <c r="S1510">
        <v>32.03</v>
      </c>
      <c r="T1510" t="str">
        <f t="shared" si="140"/>
        <v>Obese</v>
      </c>
      <c r="U1510">
        <v>70</v>
      </c>
      <c r="V1510">
        <v>75</v>
      </c>
      <c r="W1510" t="str">
        <f t="shared" si="143"/>
        <v>Normal</v>
      </c>
      <c r="X1510">
        <v>0</v>
      </c>
    </row>
    <row r="1511" spans="1:24" ht="14.5" thickBot="1" x14ac:dyDescent="0.35">
      <c r="A1511">
        <v>1</v>
      </c>
      <c r="B1511" t="str">
        <f t="shared" si="141"/>
        <v>Male</v>
      </c>
      <c r="C1511" s="8">
        <v>45</v>
      </c>
      <c r="D1511" t="str">
        <f t="shared" si="142"/>
        <v>Middle Age</v>
      </c>
      <c r="E1511">
        <v>4</v>
      </c>
      <c r="F1511" t="str">
        <f>HLOOKUP(E1511, LookUP_Table!$A$6:$D$7, 2, FALSE)</f>
        <v>Post Graduate</v>
      </c>
      <c r="G1511" t="str">
        <f>IFERROR(VLOOKUP(E1511, LookUP_Table!$A$1:$B$4, 2, FALSE), "")</f>
        <v>Post Graduate</v>
      </c>
      <c r="H1511">
        <v>1</v>
      </c>
      <c r="I1511">
        <v>20</v>
      </c>
      <c r="J1511" t="str">
        <f t="shared" si="138"/>
        <v>Smoker</v>
      </c>
      <c r="K1511">
        <v>0</v>
      </c>
      <c r="L1511">
        <v>0</v>
      </c>
      <c r="M1511">
        <v>0</v>
      </c>
      <c r="N1511">
        <v>0</v>
      </c>
      <c r="O1511">
        <v>202</v>
      </c>
      <c r="P1511" t="str">
        <f t="shared" si="139"/>
        <v>Normal</v>
      </c>
      <c r="Q1511">
        <v>99</v>
      </c>
      <c r="R1511">
        <v>76</v>
      </c>
      <c r="S1511">
        <v>24.61</v>
      </c>
      <c r="T1511" t="str">
        <f t="shared" si="140"/>
        <v>Normal</v>
      </c>
      <c r="U1511">
        <v>94</v>
      </c>
      <c r="V1511">
        <v>81.96365524402907</v>
      </c>
      <c r="W1511" t="str">
        <f t="shared" si="143"/>
        <v>Normal</v>
      </c>
      <c r="X1511">
        <v>0</v>
      </c>
    </row>
    <row r="1512" spans="1:24" ht="14.5" thickBot="1" x14ac:dyDescent="0.35">
      <c r="A1512">
        <v>0</v>
      </c>
      <c r="B1512" t="str">
        <f t="shared" si="141"/>
        <v>Female</v>
      </c>
      <c r="C1512" s="8">
        <v>45</v>
      </c>
      <c r="D1512" t="str">
        <f t="shared" si="142"/>
        <v>Middle Age</v>
      </c>
      <c r="E1512">
        <v>1</v>
      </c>
      <c r="F1512" t="str">
        <f>HLOOKUP(E1512, LookUP_Table!$A$6:$D$7, 2, FALSE)</f>
        <v>Primary</v>
      </c>
      <c r="G1512" t="str">
        <f>IFERROR(VLOOKUP(E1512, LookUP_Table!$A$1:$B$4, 2, FALSE), "")</f>
        <v>Primary</v>
      </c>
      <c r="H1512">
        <v>1</v>
      </c>
      <c r="I1512">
        <v>10</v>
      </c>
      <c r="J1512" t="str">
        <f t="shared" si="138"/>
        <v>Smoker</v>
      </c>
      <c r="K1512">
        <v>0</v>
      </c>
      <c r="L1512">
        <v>0</v>
      </c>
      <c r="M1512">
        <v>0</v>
      </c>
      <c r="N1512">
        <v>0</v>
      </c>
      <c r="O1512">
        <v>230</v>
      </c>
      <c r="P1512" t="str">
        <f t="shared" si="139"/>
        <v>Normal</v>
      </c>
      <c r="Q1512">
        <v>116</v>
      </c>
      <c r="R1512">
        <v>75</v>
      </c>
      <c r="S1512">
        <v>21.35</v>
      </c>
      <c r="T1512" t="str">
        <f t="shared" si="140"/>
        <v>Normal</v>
      </c>
      <c r="U1512">
        <v>92</v>
      </c>
      <c r="V1512">
        <v>77</v>
      </c>
      <c r="W1512" t="str">
        <f t="shared" si="143"/>
        <v>Normal</v>
      </c>
      <c r="X1512">
        <v>0</v>
      </c>
    </row>
    <row r="1513" spans="1:24" ht="14.5" thickBot="1" x14ac:dyDescent="0.35">
      <c r="A1513">
        <v>0</v>
      </c>
      <c r="B1513" t="str">
        <f t="shared" si="141"/>
        <v>Female</v>
      </c>
      <c r="C1513" s="8">
        <v>45</v>
      </c>
      <c r="D1513" t="str">
        <f t="shared" si="142"/>
        <v>Middle Age</v>
      </c>
      <c r="E1513">
        <v>4</v>
      </c>
      <c r="F1513" t="str">
        <f>HLOOKUP(E1513, LookUP_Table!$A$6:$D$7, 2, FALSE)</f>
        <v>Post Graduate</v>
      </c>
      <c r="G1513" t="str">
        <f>IFERROR(VLOOKUP(E1513, LookUP_Table!$A$1:$B$4, 2, FALSE), "")</f>
        <v>Post Graduate</v>
      </c>
      <c r="H1513">
        <v>1</v>
      </c>
      <c r="I1513">
        <v>15</v>
      </c>
      <c r="J1513" t="str">
        <f t="shared" si="138"/>
        <v>Smoker</v>
      </c>
      <c r="K1513">
        <v>0</v>
      </c>
      <c r="L1513">
        <v>0</v>
      </c>
      <c r="M1513">
        <v>0</v>
      </c>
      <c r="N1513">
        <v>0</v>
      </c>
      <c r="O1513">
        <v>239</v>
      </c>
      <c r="P1513" t="str">
        <f t="shared" si="139"/>
        <v>Normal</v>
      </c>
      <c r="Q1513">
        <v>112</v>
      </c>
      <c r="R1513">
        <v>70</v>
      </c>
      <c r="S1513">
        <v>23.48</v>
      </c>
      <c r="T1513" t="str">
        <f t="shared" si="140"/>
        <v>Normal</v>
      </c>
      <c r="U1513">
        <v>68</v>
      </c>
      <c r="V1513">
        <v>95</v>
      </c>
      <c r="W1513" t="str">
        <f t="shared" si="143"/>
        <v>Normal</v>
      </c>
      <c r="X1513">
        <v>0</v>
      </c>
    </row>
    <row r="1514" spans="1:24" ht="14.5" thickBot="1" x14ac:dyDescent="0.35">
      <c r="A1514">
        <v>1</v>
      </c>
      <c r="B1514" t="str">
        <f t="shared" si="141"/>
        <v>Male</v>
      </c>
      <c r="C1514" s="8">
        <v>45</v>
      </c>
      <c r="D1514" t="str">
        <f t="shared" si="142"/>
        <v>Middle Age</v>
      </c>
      <c r="E1514">
        <v>2</v>
      </c>
      <c r="F1514" t="str">
        <f>HLOOKUP(E1514, LookUP_Table!$A$6:$D$7, 2, FALSE)</f>
        <v>Secondary</v>
      </c>
      <c r="G1514" t="str">
        <f>IFERROR(VLOOKUP(E1514, LookUP_Table!$A$1:$B$4, 2, FALSE), "")</f>
        <v>Secondary</v>
      </c>
      <c r="H1514">
        <v>1</v>
      </c>
      <c r="I1514">
        <v>20</v>
      </c>
      <c r="J1514" t="str">
        <f t="shared" si="138"/>
        <v>Smoker</v>
      </c>
      <c r="K1514">
        <v>0</v>
      </c>
      <c r="L1514">
        <v>0</v>
      </c>
      <c r="M1514">
        <v>0</v>
      </c>
      <c r="N1514">
        <v>0</v>
      </c>
      <c r="O1514">
        <v>239</v>
      </c>
      <c r="P1514" t="str">
        <f t="shared" si="139"/>
        <v>Normal</v>
      </c>
      <c r="Q1514">
        <v>116</v>
      </c>
      <c r="R1514">
        <v>68</v>
      </c>
      <c r="S1514">
        <v>26</v>
      </c>
      <c r="T1514" t="str">
        <f t="shared" si="140"/>
        <v>Overweight</v>
      </c>
      <c r="U1514">
        <v>78</v>
      </c>
      <c r="V1514">
        <v>79</v>
      </c>
      <c r="W1514" t="str">
        <f t="shared" si="143"/>
        <v>Normal</v>
      </c>
      <c r="X1514">
        <v>0</v>
      </c>
    </row>
    <row r="1515" spans="1:24" ht="14.5" thickBot="1" x14ac:dyDescent="0.35">
      <c r="A1515">
        <v>0</v>
      </c>
      <c r="B1515" t="str">
        <f t="shared" si="141"/>
        <v>Female</v>
      </c>
      <c r="C1515" s="8">
        <v>45</v>
      </c>
      <c r="D1515" t="str">
        <f t="shared" si="142"/>
        <v>Middle Age</v>
      </c>
      <c r="E1515">
        <v>3</v>
      </c>
      <c r="F1515" t="str">
        <f>HLOOKUP(E1515, LookUP_Table!$A$6:$D$7, 2, FALSE)</f>
        <v>Graduate</v>
      </c>
      <c r="G1515" t="str">
        <f>IFERROR(VLOOKUP(E1515, LookUP_Table!$A$1:$B$4, 2, FALSE), "")</f>
        <v>Graduate</v>
      </c>
      <c r="H1515">
        <v>1</v>
      </c>
      <c r="I1515">
        <v>5</v>
      </c>
      <c r="J1515" t="str">
        <f t="shared" si="138"/>
        <v>Smoker</v>
      </c>
      <c r="K1515">
        <v>0</v>
      </c>
      <c r="L1515">
        <v>0</v>
      </c>
      <c r="M1515">
        <v>0</v>
      </c>
      <c r="N1515">
        <v>0</v>
      </c>
      <c r="O1515">
        <v>268</v>
      </c>
      <c r="P1515" t="str">
        <f t="shared" si="139"/>
        <v>High</v>
      </c>
      <c r="Q1515">
        <v>100</v>
      </c>
      <c r="R1515">
        <v>70</v>
      </c>
      <c r="S1515">
        <v>23.45</v>
      </c>
      <c r="T1515" t="str">
        <f t="shared" si="140"/>
        <v>Normal</v>
      </c>
      <c r="U1515">
        <v>73</v>
      </c>
      <c r="V1515">
        <v>87</v>
      </c>
      <c r="W1515" t="str">
        <f t="shared" si="143"/>
        <v>Normal</v>
      </c>
      <c r="X1515">
        <v>0</v>
      </c>
    </row>
    <row r="1516" spans="1:24" ht="14.5" thickBot="1" x14ac:dyDescent="0.35">
      <c r="A1516">
        <v>0</v>
      </c>
      <c r="B1516" t="str">
        <f t="shared" si="141"/>
        <v>Female</v>
      </c>
      <c r="C1516" s="8">
        <v>45</v>
      </c>
      <c r="D1516" t="str">
        <f t="shared" si="142"/>
        <v>Middle Age</v>
      </c>
      <c r="E1516">
        <v>1</v>
      </c>
      <c r="F1516" t="str">
        <f>HLOOKUP(E1516, LookUP_Table!$A$6:$D$7, 2, FALSE)</f>
        <v>Primary</v>
      </c>
      <c r="G1516" t="str">
        <f>IFERROR(VLOOKUP(E1516, LookUP_Table!$A$1:$B$4, 2, FALSE), "")</f>
        <v>Primary</v>
      </c>
      <c r="H1516">
        <v>0</v>
      </c>
      <c r="I1516">
        <v>0</v>
      </c>
      <c r="J1516" t="str">
        <f t="shared" si="138"/>
        <v>Non-Smoker</v>
      </c>
      <c r="K1516">
        <v>0</v>
      </c>
      <c r="L1516">
        <v>0</v>
      </c>
      <c r="M1516">
        <v>0</v>
      </c>
      <c r="N1516">
        <v>0</v>
      </c>
      <c r="O1516">
        <v>285</v>
      </c>
      <c r="P1516" t="str">
        <f t="shared" si="139"/>
        <v>High</v>
      </c>
      <c r="Q1516">
        <v>107.5</v>
      </c>
      <c r="R1516">
        <v>80</v>
      </c>
      <c r="S1516">
        <v>28.06</v>
      </c>
      <c r="T1516" t="str">
        <f t="shared" si="140"/>
        <v>Overweight</v>
      </c>
      <c r="U1516">
        <v>74</v>
      </c>
      <c r="V1516">
        <v>81.96365524402907</v>
      </c>
      <c r="W1516" t="str">
        <f t="shared" si="143"/>
        <v>Normal</v>
      </c>
      <c r="X1516">
        <v>0</v>
      </c>
    </row>
    <row r="1517" spans="1:24" ht="14.5" thickBot="1" x14ac:dyDescent="0.35">
      <c r="A1517">
        <v>0</v>
      </c>
      <c r="B1517" t="str">
        <f t="shared" si="141"/>
        <v>Female</v>
      </c>
      <c r="C1517" s="8">
        <v>45</v>
      </c>
      <c r="D1517" t="str">
        <f t="shared" si="142"/>
        <v>Middle Age</v>
      </c>
      <c r="E1517">
        <v>1</v>
      </c>
      <c r="F1517" t="str">
        <f>HLOOKUP(E1517, LookUP_Table!$A$6:$D$7, 2, FALSE)</f>
        <v>Primary</v>
      </c>
      <c r="G1517" t="str">
        <f>IFERROR(VLOOKUP(E1517, LookUP_Table!$A$1:$B$4, 2, FALSE), "")</f>
        <v>Primary</v>
      </c>
      <c r="H1517">
        <v>0</v>
      </c>
      <c r="I1517">
        <v>0</v>
      </c>
      <c r="J1517" t="str">
        <f t="shared" si="138"/>
        <v>Non-Smoker</v>
      </c>
      <c r="K1517">
        <v>0</v>
      </c>
      <c r="L1517">
        <v>0</v>
      </c>
      <c r="M1517">
        <v>0</v>
      </c>
      <c r="N1517">
        <v>0</v>
      </c>
      <c r="O1517">
        <v>238</v>
      </c>
      <c r="P1517" t="str">
        <f t="shared" si="139"/>
        <v>Normal</v>
      </c>
      <c r="Q1517">
        <v>127.5</v>
      </c>
      <c r="R1517">
        <v>83.5</v>
      </c>
      <c r="S1517">
        <v>27.73</v>
      </c>
      <c r="T1517" t="str">
        <f t="shared" si="140"/>
        <v>Overweight</v>
      </c>
      <c r="U1517">
        <v>90</v>
      </c>
      <c r="V1517">
        <v>78</v>
      </c>
      <c r="W1517" t="str">
        <f t="shared" si="143"/>
        <v>Normal</v>
      </c>
      <c r="X1517">
        <v>0</v>
      </c>
    </row>
    <row r="1518" spans="1:24" ht="14.5" thickBot="1" x14ac:dyDescent="0.35">
      <c r="A1518">
        <v>1</v>
      </c>
      <c r="B1518" t="str">
        <f t="shared" si="141"/>
        <v>Male</v>
      </c>
      <c r="C1518" s="8">
        <v>45</v>
      </c>
      <c r="D1518" t="str">
        <f t="shared" si="142"/>
        <v>Middle Age</v>
      </c>
      <c r="E1518">
        <v>1</v>
      </c>
      <c r="F1518" t="str">
        <f>HLOOKUP(E1518, LookUP_Table!$A$6:$D$7, 2, FALSE)</f>
        <v>Primary</v>
      </c>
      <c r="G1518" t="str">
        <f>IFERROR(VLOOKUP(E1518, LookUP_Table!$A$1:$B$4, 2, FALSE), "")</f>
        <v>Primary</v>
      </c>
      <c r="H1518">
        <v>0</v>
      </c>
      <c r="I1518">
        <v>0</v>
      </c>
      <c r="J1518" t="str">
        <f t="shared" si="138"/>
        <v>Non-Smoker</v>
      </c>
      <c r="K1518">
        <v>0</v>
      </c>
      <c r="L1518">
        <v>0</v>
      </c>
      <c r="M1518">
        <v>1</v>
      </c>
      <c r="N1518">
        <v>0</v>
      </c>
      <c r="O1518">
        <v>218</v>
      </c>
      <c r="P1518" t="str">
        <f t="shared" si="139"/>
        <v>Normal</v>
      </c>
      <c r="Q1518">
        <v>133</v>
      </c>
      <c r="R1518">
        <v>87</v>
      </c>
      <c r="S1518">
        <v>31.9</v>
      </c>
      <c r="T1518" t="str">
        <f t="shared" si="140"/>
        <v>Obese</v>
      </c>
      <c r="U1518">
        <v>88</v>
      </c>
      <c r="V1518">
        <v>115</v>
      </c>
      <c r="W1518" t="str">
        <f t="shared" si="143"/>
        <v>Prediabetes</v>
      </c>
      <c r="X1518">
        <v>0</v>
      </c>
    </row>
    <row r="1519" spans="1:24" ht="14.5" thickBot="1" x14ac:dyDescent="0.35">
      <c r="A1519">
        <v>0</v>
      </c>
      <c r="B1519" t="str">
        <f t="shared" si="141"/>
        <v>Female</v>
      </c>
      <c r="C1519" s="8">
        <v>45</v>
      </c>
      <c r="D1519" t="str">
        <f t="shared" si="142"/>
        <v>Middle Age</v>
      </c>
      <c r="E1519">
        <v>3</v>
      </c>
      <c r="F1519" t="str">
        <f>HLOOKUP(E1519, LookUP_Table!$A$6:$D$7, 2, FALSE)</f>
        <v>Graduate</v>
      </c>
      <c r="G1519" t="str">
        <f>IFERROR(VLOOKUP(E1519, LookUP_Table!$A$1:$B$4, 2, FALSE), "")</f>
        <v>Graduate</v>
      </c>
      <c r="H1519">
        <v>1</v>
      </c>
      <c r="I1519">
        <v>3</v>
      </c>
      <c r="J1519" t="str">
        <f t="shared" si="138"/>
        <v>Smoker</v>
      </c>
      <c r="K1519">
        <v>0</v>
      </c>
      <c r="L1519">
        <v>0</v>
      </c>
      <c r="M1519">
        <v>0</v>
      </c>
      <c r="N1519">
        <v>0</v>
      </c>
      <c r="O1519">
        <v>152</v>
      </c>
      <c r="P1519" t="str">
        <f t="shared" si="139"/>
        <v>Normal</v>
      </c>
      <c r="Q1519">
        <v>118.5</v>
      </c>
      <c r="R1519">
        <v>76</v>
      </c>
      <c r="S1519">
        <v>25.38</v>
      </c>
      <c r="T1519" t="str">
        <f t="shared" si="140"/>
        <v>Overweight</v>
      </c>
      <c r="U1519">
        <v>74</v>
      </c>
      <c r="V1519">
        <v>68</v>
      </c>
      <c r="W1519" t="str">
        <f t="shared" si="143"/>
        <v>Normal</v>
      </c>
      <c r="X1519">
        <v>0</v>
      </c>
    </row>
    <row r="1520" spans="1:24" ht="14.5" thickBot="1" x14ac:dyDescent="0.35">
      <c r="A1520">
        <v>1</v>
      </c>
      <c r="B1520" t="str">
        <f t="shared" si="141"/>
        <v>Male</v>
      </c>
      <c r="C1520" s="8">
        <v>45</v>
      </c>
      <c r="D1520" t="str">
        <f t="shared" si="142"/>
        <v>Middle Age</v>
      </c>
      <c r="E1520">
        <v>2</v>
      </c>
      <c r="F1520" t="str">
        <f>HLOOKUP(E1520, LookUP_Table!$A$6:$D$7, 2, FALSE)</f>
        <v>Secondary</v>
      </c>
      <c r="G1520" t="str">
        <f>IFERROR(VLOOKUP(E1520, LookUP_Table!$A$1:$B$4, 2, FALSE), "")</f>
        <v>Secondary</v>
      </c>
      <c r="H1520">
        <v>1</v>
      </c>
      <c r="I1520">
        <v>9</v>
      </c>
      <c r="J1520" t="str">
        <f t="shared" si="138"/>
        <v>Smoker</v>
      </c>
      <c r="K1520">
        <v>0</v>
      </c>
      <c r="L1520">
        <v>0</v>
      </c>
      <c r="M1520">
        <v>1</v>
      </c>
      <c r="N1520">
        <v>0</v>
      </c>
      <c r="O1520">
        <v>188</v>
      </c>
      <c r="P1520" t="str">
        <f t="shared" si="139"/>
        <v>Normal</v>
      </c>
      <c r="Q1520">
        <v>132</v>
      </c>
      <c r="R1520">
        <v>91</v>
      </c>
      <c r="S1520">
        <v>28.04</v>
      </c>
      <c r="T1520" t="str">
        <f t="shared" si="140"/>
        <v>Overweight</v>
      </c>
      <c r="U1520">
        <v>70</v>
      </c>
      <c r="V1520">
        <v>77</v>
      </c>
      <c r="W1520" t="str">
        <f t="shared" si="143"/>
        <v>Normal</v>
      </c>
      <c r="X1520">
        <v>0</v>
      </c>
    </row>
    <row r="1521" spans="1:24" ht="14.5" thickBot="1" x14ac:dyDescent="0.35">
      <c r="A1521">
        <v>0</v>
      </c>
      <c r="B1521" t="str">
        <f t="shared" si="141"/>
        <v>Female</v>
      </c>
      <c r="C1521" s="8">
        <v>45</v>
      </c>
      <c r="D1521" t="str">
        <f t="shared" si="142"/>
        <v>Middle Age</v>
      </c>
      <c r="E1521">
        <v>2</v>
      </c>
      <c r="F1521" t="str">
        <f>HLOOKUP(E1521, LookUP_Table!$A$6:$D$7, 2, FALSE)</f>
        <v>Secondary</v>
      </c>
      <c r="G1521" t="str">
        <f>IFERROR(VLOOKUP(E1521, LookUP_Table!$A$1:$B$4, 2, FALSE), "")</f>
        <v>Secondary</v>
      </c>
      <c r="H1521">
        <v>0</v>
      </c>
      <c r="I1521">
        <v>0</v>
      </c>
      <c r="J1521" t="str">
        <f t="shared" si="138"/>
        <v>Non-Smoker</v>
      </c>
      <c r="K1521">
        <v>0</v>
      </c>
      <c r="L1521">
        <v>0</v>
      </c>
      <c r="M1521">
        <v>0</v>
      </c>
      <c r="N1521">
        <v>0</v>
      </c>
      <c r="O1521">
        <v>260</v>
      </c>
      <c r="P1521" t="str">
        <f t="shared" si="139"/>
        <v>High</v>
      </c>
      <c r="Q1521">
        <v>98</v>
      </c>
      <c r="R1521">
        <v>74</v>
      </c>
      <c r="S1521">
        <v>19.16</v>
      </c>
      <c r="T1521" t="str">
        <f t="shared" si="140"/>
        <v>Normal</v>
      </c>
      <c r="U1521">
        <v>73</v>
      </c>
      <c r="V1521">
        <v>76</v>
      </c>
      <c r="W1521" t="str">
        <f t="shared" si="143"/>
        <v>Normal</v>
      </c>
      <c r="X1521">
        <v>0</v>
      </c>
    </row>
    <row r="1522" spans="1:24" ht="14.5" thickBot="1" x14ac:dyDescent="0.35">
      <c r="A1522">
        <v>1</v>
      </c>
      <c r="B1522" t="str">
        <f t="shared" si="141"/>
        <v>Male</v>
      </c>
      <c r="C1522" s="8">
        <v>45</v>
      </c>
      <c r="D1522" t="str">
        <f t="shared" si="142"/>
        <v>Middle Age</v>
      </c>
      <c r="E1522">
        <v>2</v>
      </c>
      <c r="F1522" t="str">
        <f>HLOOKUP(E1522, LookUP_Table!$A$6:$D$7, 2, FALSE)</f>
        <v>Secondary</v>
      </c>
      <c r="G1522" t="str">
        <f>IFERROR(VLOOKUP(E1522, LookUP_Table!$A$1:$B$4, 2, FALSE), "")</f>
        <v>Secondary</v>
      </c>
      <c r="H1522">
        <v>0</v>
      </c>
      <c r="I1522">
        <v>0</v>
      </c>
      <c r="J1522" t="str">
        <f t="shared" si="138"/>
        <v>Non-Smoker</v>
      </c>
      <c r="K1522">
        <v>0</v>
      </c>
      <c r="L1522">
        <v>0</v>
      </c>
      <c r="M1522">
        <v>0</v>
      </c>
      <c r="N1522">
        <v>0</v>
      </c>
      <c r="O1522">
        <v>215</v>
      </c>
      <c r="P1522" t="str">
        <f t="shared" si="139"/>
        <v>Normal</v>
      </c>
      <c r="Q1522">
        <v>104</v>
      </c>
      <c r="R1522">
        <v>72</v>
      </c>
      <c r="S1522">
        <v>30.34</v>
      </c>
      <c r="T1522" t="str">
        <f t="shared" si="140"/>
        <v>Obese</v>
      </c>
      <c r="U1522">
        <v>70</v>
      </c>
      <c r="V1522">
        <v>79</v>
      </c>
      <c r="W1522" t="str">
        <f t="shared" si="143"/>
        <v>Normal</v>
      </c>
      <c r="X1522">
        <v>0</v>
      </c>
    </row>
    <row r="1523" spans="1:24" ht="14.5" thickBot="1" x14ac:dyDescent="0.35">
      <c r="A1523">
        <v>1</v>
      </c>
      <c r="B1523" t="str">
        <f t="shared" si="141"/>
        <v>Male</v>
      </c>
      <c r="C1523" s="8">
        <v>45</v>
      </c>
      <c r="D1523" t="str">
        <f t="shared" si="142"/>
        <v>Middle Age</v>
      </c>
      <c r="E1523">
        <v>1</v>
      </c>
      <c r="F1523" t="str">
        <f>HLOOKUP(E1523, LookUP_Table!$A$6:$D$7, 2, FALSE)</f>
        <v>Primary</v>
      </c>
      <c r="G1523" t="str">
        <f>IFERROR(VLOOKUP(E1523, LookUP_Table!$A$1:$B$4, 2, FALSE), "")</f>
        <v>Primary</v>
      </c>
      <c r="H1523">
        <v>1</v>
      </c>
      <c r="I1523">
        <v>1</v>
      </c>
      <c r="J1523" t="str">
        <f t="shared" si="138"/>
        <v>Smoker</v>
      </c>
      <c r="K1523">
        <v>0</v>
      </c>
      <c r="L1523">
        <v>0</v>
      </c>
      <c r="M1523">
        <v>1</v>
      </c>
      <c r="N1523">
        <v>0</v>
      </c>
      <c r="O1523">
        <v>277</v>
      </c>
      <c r="P1523" t="str">
        <f t="shared" si="139"/>
        <v>High</v>
      </c>
      <c r="Q1523">
        <v>140</v>
      </c>
      <c r="R1523">
        <v>84</v>
      </c>
      <c r="S1523">
        <v>28.74</v>
      </c>
      <c r="T1523" t="str">
        <f t="shared" si="140"/>
        <v>Overweight</v>
      </c>
      <c r="U1523">
        <v>69</v>
      </c>
      <c r="V1523">
        <v>74</v>
      </c>
      <c r="W1523" t="str">
        <f t="shared" si="143"/>
        <v>Normal</v>
      </c>
      <c r="X1523">
        <v>0</v>
      </c>
    </row>
    <row r="1524" spans="1:24" ht="14.5" thickBot="1" x14ac:dyDescent="0.35">
      <c r="A1524">
        <v>0</v>
      </c>
      <c r="B1524" t="str">
        <f t="shared" si="141"/>
        <v>Female</v>
      </c>
      <c r="C1524" s="8">
        <v>45</v>
      </c>
      <c r="D1524" t="str">
        <f t="shared" si="142"/>
        <v>Middle Age</v>
      </c>
      <c r="E1524">
        <v>2</v>
      </c>
      <c r="F1524" t="str">
        <f>HLOOKUP(E1524, LookUP_Table!$A$6:$D$7, 2, FALSE)</f>
        <v>Secondary</v>
      </c>
      <c r="G1524" t="str">
        <f>IFERROR(VLOOKUP(E1524, LookUP_Table!$A$1:$B$4, 2, FALSE), "")</f>
        <v>Secondary</v>
      </c>
      <c r="H1524">
        <v>1</v>
      </c>
      <c r="I1524">
        <v>7</v>
      </c>
      <c r="J1524" t="str">
        <f t="shared" si="138"/>
        <v>Smoker</v>
      </c>
      <c r="K1524">
        <v>0</v>
      </c>
      <c r="L1524">
        <v>0</v>
      </c>
      <c r="M1524">
        <v>0</v>
      </c>
      <c r="N1524">
        <v>0</v>
      </c>
      <c r="O1524">
        <v>199</v>
      </c>
      <c r="P1524" t="str">
        <f t="shared" si="139"/>
        <v>Normal</v>
      </c>
      <c r="Q1524">
        <v>124</v>
      </c>
      <c r="R1524">
        <v>78</v>
      </c>
      <c r="S1524">
        <v>21.94</v>
      </c>
      <c r="T1524" t="str">
        <f t="shared" si="140"/>
        <v>Normal</v>
      </c>
      <c r="U1524">
        <v>85</v>
      </c>
      <c r="V1524">
        <v>78</v>
      </c>
      <c r="W1524" t="str">
        <f t="shared" si="143"/>
        <v>Normal</v>
      </c>
      <c r="X1524">
        <v>0</v>
      </c>
    </row>
    <row r="1525" spans="1:24" ht="14.5" thickBot="1" x14ac:dyDescent="0.35">
      <c r="A1525">
        <v>0</v>
      </c>
      <c r="B1525" t="str">
        <f t="shared" si="141"/>
        <v>Female</v>
      </c>
      <c r="C1525" s="8">
        <v>45</v>
      </c>
      <c r="D1525" t="str">
        <f t="shared" si="142"/>
        <v>Middle Age</v>
      </c>
      <c r="E1525">
        <v>1</v>
      </c>
      <c r="F1525" t="str">
        <f>HLOOKUP(E1525, LookUP_Table!$A$6:$D$7, 2, FALSE)</f>
        <v>Primary</v>
      </c>
      <c r="G1525" t="str">
        <f>IFERROR(VLOOKUP(E1525, LookUP_Table!$A$1:$B$4, 2, FALSE), "")</f>
        <v>Primary</v>
      </c>
      <c r="H1525">
        <v>1</v>
      </c>
      <c r="I1525">
        <v>5</v>
      </c>
      <c r="J1525" t="str">
        <f t="shared" si="138"/>
        <v>Smoker</v>
      </c>
      <c r="K1525">
        <v>0</v>
      </c>
      <c r="L1525">
        <v>0</v>
      </c>
      <c r="M1525">
        <v>1</v>
      </c>
      <c r="N1525">
        <v>0</v>
      </c>
      <c r="O1525">
        <v>228</v>
      </c>
      <c r="P1525" t="str">
        <f t="shared" si="139"/>
        <v>Normal</v>
      </c>
      <c r="Q1525">
        <v>191.5</v>
      </c>
      <c r="R1525">
        <v>95.5</v>
      </c>
      <c r="S1525">
        <v>27.94</v>
      </c>
      <c r="T1525" t="str">
        <f t="shared" si="140"/>
        <v>Overweight</v>
      </c>
      <c r="U1525">
        <v>95</v>
      </c>
      <c r="V1525">
        <v>81.96365524402907</v>
      </c>
      <c r="W1525" t="str">
        <f t="shared" si="143"/>
        <v>Normal</v>
      </c>
      <c r="X1525">
        <v>0</v>
      </c>
    </row>
    <row r="1526" spans="1:24" ht="14.5" thickBot="1" x14ac:dyDescent="0.35">
      <c r="A1526">
        <v>0</v>
      </c>
      <c r="B1526" t="str">
        <f t="shared" si="141"/>
        <v>Female</v>
      </c>
      <c r="C1526" s="8">
        <v>45</v>
      </c>
      <c r="D1526" t="str">
        <f t="shared" si="142"/>
        <v>Middle Age</v>
      </c>
      <c r="E1526">
        <v>4</v>
      </c>
      <c r="F1526" t="str">
        <f>HLOOKUP(E1526, LookUP_Table!$A$6:$D$7, 2, FALSE)</f>
        <v>Post Graduate</v>
      </c>
      <c r="G1526" t="str">
        <f>IFERROR(VLOOKUP(E1526, LookUP_Table!$A$1:$B$4, 2, FALSE), "")</f>
        <v>Post Graduate</v>
      </c>
      <c r="H1526">
        <v>0</v>
      </c>
      <c r="I1526">
        <v>0</v>
      </c>
      <c r="J1526" t="str">
        <f t="shared" si="138"/>
        <v>Non-Smoker</v>
      </c>
      <c r="K1526">
        <v>0</v>
      </c>
      <c r="L1526">
        <v>0</v>
      </c>
      <c r="M1526">
        <v>0</v>
      </c>
      <c r="N1526">
        <v>0</v>
      </c>
      <c r="O1526">
        <v>253</v>
      </c>
      <c r="P1526" t="str">
        <f t="shared" si="139"/>
        <v>High</v>
      </c>
      <c r="Q1526">
        <v>135</v>
      </c>
      <c r="R1526">
        <v>85</v>
      </c>
      <c r="S1526">
        <v>24.35</v>
      </c>
      <c r="T1526" t="str">
        <f t="shared" si="140"/>
        <v>Normal</v>
      </c>
      <c r="U1526">
        <v>78</v>
      </c>
      <c r="V1526">
        <v>84</v>
      </c>
      <c r="W1526" t="str">
        <f t="shared" si="143"/>
        <v>Normal</v>
      </c>
      <c r="X1526">
        <v>0</v>
      </c>
    </row>
    <row r="1527" spans="1:24" ht="14.5" thickBot="1" x14ac:dyDescent="0.35">
      <c r="A1527">
        <v>1</v>
      </c>
      <c r="B1527" t="str">
        <f t="shared" si="141"/>
        <v>Male</v>
      </c>
      <c r="C1527" s="8">
        <v>45</v>
      </c>
      <c r="D1527" t="str">
        <f t="shared" si="142"/>
        <v>Middle Age</v>
      </c>
      <c r="E1527">
        <v>4</v>
      </c>
      <c r="F1527" t="str">
        <f>HLOOKUP(E1527, LookUP_Table!$A$6:$D$7, 2, FALSE)</f>
        <v>Post Graduate</v>
      </c>
      <c r="G1527" t="str">
        <f>IFERROR(VLOOKUP(E1527, LookUP_Table!$A$1:$B$4, 2, FALSE), "")</f>
        <v>Post Graduate</v>
      </c>
      <c r="H1527">
        <v>0</v>
      </c>
      <c r="I1527">
        <v>0</v>
      </c>
      <c r="J1527" t="str">
        <f t="shared" si="138"/>
        <v>Non-Smoker</v>
      </c>
      <c r="K1527">
        <v>0</v>
      </c>
      <c r="L1527">
        <v>0</v>
      </c>
      <c r="M1527">
        <v>0</v>
      </c>
      <c r="N1527">
        <v>0</v>
      </c>
      <c r="O1527">
        <v>221</v>
      </c>
      <c r="P1527" t="str">
        <f t="shared" si="139"/>
        <v>Normal</v>
      </c>
      <c r="Q1527">
        <v>105</v>
      </c>
      <c r="R1527">
        <v>70</v>
      </c>
      <c r="S1527">
        <v>23.95</v>
      </c>
      <c r="T1527" t="str">
        <f t="shared" si="140"/>
        <v>Normal</v>
      </c>
      <c r="U1527">
        <v>52</v>
      </c>
      <c r="V1527">
        <v>83</v>
      </c>
      <c r="W1527" t="str">
        <f t="shared" si="143"/>
        <v>Normal</v>
      </c>
      <c r="X1527">
        <v>0</v>
      </c>
    </row>
    <row r="1528" spans="1:24" ht="14.5" thickBot="1" x14ac:dyDescent="0.35">
      <c r="A1528">
        <v>0</v>
      </c>
      <c r="B1528" t="str">
        <f t="shared" si="141"/>
        <v>Female</v>
      </c>
      <c r="C1528" s="8">
        <v>45</v>
      </c>
      <c r="D1528" t="str">
        <f t="shared" si="142"/>
        <v>Middle Age</v>
      </c>
      <c r="E1528">
        <v>2</v>
      </c>
      <c r="F1528" t="str">
        <f>HLOOKUP(E1528, LookUP_Table!$A$6:$D$7, 2, FALSE)</f>
        <v>Secondary</v>
      </c>
      <c r="G1528" t="str">
        <f>IFERROR(VLOOKUP(E1528, LookUP_Table!$A$1:$B$4, 2, FALSE), "")</f>
        <v>Secondary</v>
      </c>
      <c r="H1528">
        <v>1</v>
      </c>
      <c r="I1528">
        <v>20</v>
      </c>
      <c r="J1528" t="str">
        <f t="shared" si="138"/>
        <v>Smoker</v>
      </c>
      <c r="K1528">
        <v>0</v>
      </c>
      <c r="L1528">
        <v>0</v>
      </c>
      <c r="M1528">
        <v>0</v>
      </c>
      <c r="N1528">
        <v>0</v>
      </c>
      <c r="O1528">
        <v>280</v>
      </c>
      <c r="P1528" t="str">
        <f t="shared" si="139"/>
        <v>High</v>
      </c>
      <c r="Q1528">
        <v>116</v>
      </c>
      <c r="R1528">
        <v>69</v>
      </c>
      <c r="S1528">
        <v>26.45</v>
      </c>
      <c r="T1528" t="str">
        <f t="shared" si="140"/>
        <v>Overweight</v>
      </c>
      <c r="U1528">
        <v>99</v>
      </c>
      <c r="V1528">
        <v>92</v>
      </c>
      <c r="W1528" t="str">
        <f t="shared" si="143"/>
        <v>Normal</v>
      </c>
      <c r="X1528">
        <v>0</v>
      </c>
    </row>
    <row r="1529" spans="1:24" ht="14.5" thickBot="1" x14ac:dyDescent="0.35">
      <c r="A1529">
        <v>1</v>
      </c>
      <c r="B1529" t="str">
        <f t="shared" si="141"/>
        <v>Male</v>
      </c>
      <c r="C1529" s="8">
        <v>45</v>
      </c>
      <c r="D1529" t="str">
        <f t="shared" si="142"/>
        <v>Middle Age</v>
      </c>
      <c r="E1529">
        <v>2</v>
      </c>
      <c r="F1529" t="str">
        <f>HLOOKUP(E1529, LookUP_Table!$A$6:$D$7, 2, FALSE)</f>
        <v>Secondary</v>
      </c>
      <c r="G1529" t="str">
        <f>IFERROR(VLOOKUP(E1529, LookUP_Table!$A$1:$B$4, 2, FALSE), "")</f>
        <v>Secondary</v>
      </c>
      <c r="H1529">
        <v>0</v>
      </c>
      <c r="I1529">
        <v>0</v>
      </c>
      <c r="J1529" t="str">
        <f t="shared" si="138"/>
        <v>Non-Smoker</v>
      </c>
      <c r="K1529">
        <v>0</v>
      </c>
      <c r="L1529">
        <v>0</v>
      </c>
      <c r="M1529">
        <v>0</v>
      </c>
      <c r="N1529">
        <v>0</v>
      </c>
      <c r="O1529">
        <v>279</v>
      </c>
      <c r="P1529" t="str">
        <f t="shared" si="139"/>
        <v>High</v>
      </c>
      <c r="Q1529">
        <v>143.5</v>
      </c>
      <c r="R1529">
        <v>90</v>
      </c>
      <c r="S1529">
        <v>21.07</v>
      </c>
      <c r="T1529" t="str">
        <f t="shared" si="140"/>
        <v>Normal</v>
      </c>
      <c r="U1529">
        <v>90</v>
      </c>
      <c r="V1529">
        <v>87</v>
      </c>
      <c r="W1529" t="str">
        <f t="shared" si="143"/>
        <v>Normal</v>
      </c>
      <c r="X1529">
        <v>0</v>
      </c>
    </row>
    <row r="1530" spans="1:24" ht="14.5" thickBot="1" x14ac:dyDescent="0.35">
      <c r="A1530">
        <v>1</v>
      </c>
      <c r="B1530" t="str">
        <f t="shared" si="141"/>
        <v>Male</v>
      </c>
      <c r="C1530" s="8">
        <v>45</v>
      </c>
      <c r="D1530" t="str">
        <f t="shared" si="142"/>
        <v>Middle Age</v>
      </c>
      <c r="E1530">
        <v>2</v>
      </c>
      <c r="F1530" t="str">
        <f>HLOOKUP(E1530, LookUP_Table!$A$6:$D$7, 2, FALSE)</f>
        <v>Secondary</v>
      </c>
      <c r="G1530" t="str">
        <f>IFERROR(VLOOKUP(E1530, LookUP_Table!$A$1:$B$4, 2, FALSE), "")</f>
        <v>Secondary</v>
      </c>
      <c r="H1530">
        <v>1</v>
      </c>
      <c r="I1530">
        <v>20</v>
      </c>
      <c r="J1530" t="str">
        <f t="shared" si="138"/>
        <v>Smoker</v>
      </c>
      <c r="K1530">
        <v>0</v>
      </c>
      <c r="L1530">
        <v>0</v>
      </c>
      <c r="M1530">
        <v>0</v>
      </c>
      <c r="N1530">
        <v>0</v>
      </c>
      <c r="O1530">
        <v>212</v>
      </c>
      <c r="P1530" t="str">
        <f t="shared" si="139"/>
        <v>Normal</v>
      </c>
      <c r="Q1530">
        <v>119</v>
      </c>
      <c r="R1530">
        <v>72</v>
      </c>
      <c r="S1530">
        <v>22.33</v>
      </c>
      <c r="T1530" t="str">
        <f t="shared" si="140"/>
        <v>Normal</v>
      </c>
      <c r="U1530">
        <v>60</v>
      </c>
      <c r="V1530">
        <v>91</v>
      </c>
      <c r="W1530" t="str">
        <f t="shared" si="143"/>
        <v>Normal</v>
      </c>
      <c r="X1530">
        <v>0</v>
      </c>
    </row>
    <row r="1531" spans="1:24" ht="14.5" thickBot="1" x14ac:dyDescent="0.35">
      <c r="A1531">
        <v>0</v>
      </c>
      <c r="B1531" t="str">
        <f t="shared" si="141"/>
        <v>Female</v>
      </c>
      <c r="C1531" s="8">
        <v>45</v>
      </c>
      <c r="D1531" t="str">
        <f t="shared" si="142"/>
        <v>Middle Age</v>
      </c>
      <c r="E1531">
        <v>2</v>
      </c>
      <c r="F1531" t="str">
        <f>HLOOKUP(E1531, LookUP_Table!$A$6:$D$7, 2, FALSE)</f>
        <v>Secondary</v>
      </c>
      <c r="G1531" t="str">
        <f>IFERROR(VLOOKUP(E1531, LookUP_Table!$A$1:$B$4, 2, FALSE), "")</f>
        <v>Secondary</v>
      </c>
      <c r="H1531">
        <v>1</v>
      </c>
      <c r="I1531">
        <v>15</v>
      </c>
      <c r="J1531" t="str">
        <f t="shared" si="138"/>
        <v>Smoker</v>
      </c>
      <c r="K1531">
        <v>0</v>
      </c>
      <c r="L1531">
        <v>0</v>
      </c>
      <c r="M1531">
        <v>0</v>
      </c>
      <c r="N1531">
        <v>0</v>
      </c>
      <c r="O1531">
        <v>200</v>
      </c>
      <c r="P1531" t="str">
        <f t="shared" si="139"/>
        <v>Normal</v>
      </c>
      <c r="Q1531">
        <v>117.5</v>
      </c>
      <c r="R1531">
        <v>83.5</v>
      </c>
      <c r="S1531">
        <v>23.68</v>
      </c>
      <c r="T1531" t="str">
        <f t="shared" si="140"/>
        <v>Normal</v>
      </c>
      <c r="U1531">
        <v>77</v>
      </c>
      <c r="V1531">
        <v>73</v>
      </c>
      <c r="W1531" t="str">
        <f t="shared" si="143"/>
        <v>Normal</v>
      </c>
      <c r="X1531">
        <v>0</v>
      </c>
    </row>
    <row r="1532" spans="1:24" ht="14.5" thickBot="1" x14ac:dyDescent="0.35">
      <c r="A1532">
        <v>0</v>
      </c>
      <c r="B1532" t="str">
        <f t="shared" si="141"/>
        <v>Female</v>
      </c>
      <c r="C1532" s="8">
        <v>45</v>
      </c>
      <c r="D1532" t="str">
        <f t="shared" si="142"/>
        <v>Middle Age</v>
      </c>
      <c r="E1532">
        <v>3</v>
      </c>
      <c r="F1532" t="str">
        <f>HLOOKUP(E1532, LookUP_Table!$A$6:$D$7, 2, FALSE)</f>
        <v>Graduate</v>
      </c>
      <c r="G1532" t="str">
        <f>IFERROR(VLOOKUP(E1532, LookUP_Table!$A$1:$B$4, 2, FALSE), "")</f>
        <v>Graduate</v>
      </c>
      <c r="H1532">
        <v>1</v>
      </c>
      <c r="I1532">
        <v>10</v>
      </c>
      <c r="J1532" t="str">
        <f t="shared" si="138"/>
        <v>Smoker</v>
      </c>
      <c r="K1532">
        <v>0</v>
      </c>
      <c r="L1532">
        <v>0</v>
      </c>
      <c r="M1532">
        <v>0</v>
      </c>
      <c r="N1532">
        <v>0</v>
      </c>
      <c r="O1532">
        <v>210</v>
      </c>
      <c r="P1532" t="str">
        <f t="shared" si="139"/>
        <v>Normal</v>
      </c>
      <c r="Q1532">
        <v>121</v>
      </c>
      <c r="R1532">
        <v>82</v>
      </c>
      <c r="S1532">
        <v>23.08</v>
      </c>
      <c r="T1532" t="str">
        <f t="shared" si="140"/>
        <v>Normal</v>
      </c>
      <c r="U1532">
        <v>85</v>
      </c>
      <c r="V1532">
        <v>71</v>
      </c>
      <c r="W1532" t="str">
        <f t="shared" si="143"/>
        <v>Normal</v>
      </c>
      <c r="X1532">
        <v>1</v>
      </c>
    </row>
    <row r="1533" spans="1:24" ht="14.5" thickBot="1" x14ac:dyDescent="0.35">
      <c r="A1533">
        <v>0</v>
      </c>
      <c r="B1533" t="str">
        <f t="shared" si="141"/>
        <v>Female</v>
      </c>
      <c r="C1533" s="8">
        <v>45</v>
      </c>
      <c r="D1533" t="str">
        <f t="shared" si="142"/>
        <v>Middle Age</v>
      </c>
      <c r="E1533">
        <v>1</v>
      </c>
      <c r="F1533" t="str">
        <f>HLOOKUP(E1533, LookUP_Table!$A$6:$D$7, 2, FALSE)</f>
        <v>Primary</v>
      </c>
      <c r="G1533" t="str">
        <f>IFERROR(VLOOKUP(E1533, LookUP_Table!$A$1:$B$4, 2, FALSE), "")</f>
        <v>Primary</v>
      </c>
      <c r="H1533">
        <v>0</v>
      </c>
      <c r="I1533">
        <v>0</v>
      </c>
      <c r="J1533" t="str">
        <f t="shared" si="138"/>
        <v>Non-Smoker</v>
      </c>
      <c r="K1533">
        <v>0</v>
      </c>
      <c r="L1533">
        <v>0</v>
      </c>
      <c r="M1533">
        <v>0</v>
      </c>
      <c r="N1533">
        <v>0</v>
      </c>
      <c r="O1533">
        <v>175</v>
      </c>
      <c r="P1533" t="str">
        <f t="shared" si="139"/>
        <v>Normal</v>
      </c>
      <c r="Q1533">
        <v>114</v>
      </c>
      <c r="R1533">
        <v>74</v>
      </c>
      <c r="S1533">
        <v>30.53</v>
      </c>
      <c r="T1533" t="str">
        <f t="shared" si="140"/>
        <v>Obese</v>
      </c>
      <c r="U1533">
        <v>72</v>
      </c>
      <c r="V1533">
        <v>105</v>
      </c>
      <c r="W1533" t="str">
        <f t="shared" si="143"/>
        <v>Prediabetes</v>
      </c>
      <c r="X1533">
        <v>0</v>
      </c>
    </row>
    <row r="1534" spans="1:24" ht="14.5" thickBot="1" x14ac:dyDescent="0.35">
      <c r="A1534">
        <v>1</v>
      </c>
      <c r="B1534" t="str">
        <f t="shared" si="141"/>
        <v>Male</v>
      </c>
      <c r="C1534" s="8">
        <v>45</v>
      </c>
      <c r="D1534" t="str">
        <f t="shared" si="142"/>
        <v>Middle Age</v>
      </c>
      <c r="E1534">
        <v>3</v>
      </c>
      <c r="F1534" t="str">
        <f>HLOOKUP(E1534, LookUP_Table!$A$6:$D$7, 2, FALSE)</f>
        <v>Graduate</v>
      </c>
      <c r="G1534" t="str">
        <f>IFERROR(VLOOKUP(E1534, LookUP_Table!$A$1:$B$4, 2, FALSE), "")</f>
        <v>Graduate</v>
      </c>
      <c r="H1534">
        <v>1</v>
      </c>
      <c r="I1534">
        <v>20</v>
      </c>
      <c r="J1534" t="str">
        <f t="shared" si="138"/>
        <v>Smoker</v>
      </c>
      <c r="K1534">
        <v>1</v>
      </c>
      <c r="L1534">
        <v>0</v>
      </c>
      <c r="M1534">
        <v>1</v>
      </c>
      <c r="N1534">
        <v>0</v>
      </c>
      <c r="O1534">
        <v>238</v>
      </c>
      <c r="P1534" t="str">
        <f t="shared" si="139"/>
        <v>Normal</v>
      </c>
      <c r="Q1534">
        <v>175</v>
      </c>
      <c r="R1534">
        <v>114</v>
      </c>
      <c r="S1534">
        <v>31.14</v>
      </c>
      <c r="T1534" t="str">
        <f t="shared" si="140"/>
        <v>Obese</v>
      </c>
      <c r="U1534">
        <v>78</v>
      </c>
      <c r="V1534">
        <v>70</v>
      </c>
      <c r="W1534" t="str">
        <f t="shared" si="143"/>
        <v>Normal</v>
      </c>
      <c r="X1534">
        <v>0</v>
      </c>
    </row>
    <row r="1535" spans="1:24" ht="14.5" thickBot="1" x14ac:dyDescent="0.35">
      <c r="A1535">
        <v>1</v>
      </c>
      <c r="B1535" t="str">
        <f t="shared" si="141"/>
        <v>Male</v>
      </c>
      <c r="C1535" s="8">
        <v>45</v>
      </c>
      <c r="D1535" t="str">
        <f t="shared" si="142"/>
        <v>Middle Age</v>
      </c>
      <c r="E1535">
        <v>1</v>
      </c>
      <c r="F1535" t="str">
        <f>HLOOKUP(E1535, LookUP_Table!$A$6:$D$7, 2, FALSE)</f>
        <v>Primary</v>
      </c>
      <c r="G1535" t="str">
        <f>IFERROR(VLOOKUP(E1535, LookUP_Table!$A$1:$B$4, 2, FALSE), "")</f>
        <v>Primary</v>
      </c>
      <c r="H1535">
        <v>1</v>
      </c>
      <c r="I1535">
        <v>20</v>
      </c>
      <c r="J1535" t="str">
        <f t="shared" si="138"/>
        <v>Smoker</v>
      </c>
      <c r="K1535">
        <v>0</v>
      </c>
      <c r="L1535">
        <v>0</v>
      </c>
      <c r="M1535">
        <v>0</v>
      </c>
      <c r="N1535">
        <v>0</v>
      </c>
      <c r="O1535">
        <v>234</v>
      </c>
      <c r="P1535" t="str">
        <f t="shared" si="139"/>
        <v>Normal</v>
      </c>
      <c r="Q1535">
        <v>126</v>
      </c>
      <c r="R1535">
        <v>80</v>
      </c>
      <c r="S1535">
        <v>23.14</v>
      </c>
      <c r="T1535" t="str">
        <f t="shared" si="140"/>
        <v>Normal</v>
      </c>
      <c r="U1535">
        <v>72</v>
      </c>
      <c r="V1535">
        <v>88</v>
      </c>
      <c r="W1535" t="str">
        <f t="shared" si="143"/>
        <v>Normal</v>
      </c>
      <c r="X1535">
        <v>0</v>
      </c>
    </row>
    <row r="1536" spans="1:24" ht="14.5" thickBot="1" x14ac:dyDescent="0.35">
      <c r="A1536">
        <v>0</v>
      </c>
      <c r="B1536" t="str">
        <f t="shared" si="141"/>
        <v>Female</v>
      </c>
      <c r="C1536" s="8">
        <v>45</v>
      </c>
      <c r="D1536" t="str">
        <f t="shared" si="142"/>
        <v>Middle Age</v>
      </c>
      <c r="E1536">
        <v>3</v>
      </c>
      <c r="F1536" t="str">
        <f>HLOOKUP(E1536, LookUP_Table!$A$6:$D$7, 2, FALSE)</f>
        <v>Graduate</v>
      </c>
      <c r="G1536" t="str">
        <f>IFERROR(VLOOKUP(E1536, LookUP_Table!$A$1:$B$4, 2, FALSE), "")</f>
        <v>Graduate</v>
      </c>
      <c r="H1536">
        <v>1</v>
      </c>
      <c r="I1536">
        <v>20</v>
      </c>
      <c r="J1536" t="str">
        <f t="shared" si="138"/>
        <v>Smoker</v>
      </c>
      <c r="K1536">
        <v>0</v>
      </c>
      <c r="L1536">
        <v>0</v>
      </c>
      <c r="M1536">
        <v>0</v>
      </c>
      <c r="N1536">
        <v>0</v>
      </c>
      <c r="O1536">
        <v>230</v>
      </c>
      <c r="P1536" t="str">
        <f t="shared" si="139"/>
        <v>Normal</v>
      </c>
      <c r="Q1536">
        <v>138</v>
      </c>
      <c r="R1536">
        <v>85</v>
      </c>
      <c r="S1536">
        <v>22.54</v>
      </c>
      <c r="T1536" t="str">
        <f t="shared" si="140"/>
        <v>Normal</v>
      </c>
      <c r="U1536">
        <v>66</v>
      </c>
      <c r="V1536">
        <v>67</v>
      </c>
      <c r="W1536" t="str">
        <f t="shared" si="143"/>
        <v>Normal</v>
      </c>
      <c r="X1536">
        <v>0</v>
      </c>
    </row>
    <row r="1537" spans="1:24" ht="14.5" thickBot="1" x14ac:dyDescent="0.35">
      <c r="A1537">
        <v>0</v>
      </c>
      <c r="B1537" t="str">
        <f t="shared" si="141"/>
        <v>Female</v>
      </c>
      <c r="C1537" s="8">
        <v>45</v>
      </c>
      <c r="D1537" t="str">
        <f t="shared" si="142"/>
        <v>Middle Age</v>
      </c>
      <c r="E1537">
        <v>2</v>
      </c>
      <c r="F1537" t="str">
        <f>HLOOKUP(E1537, LookUP_Table!$A$6:$D$7, 2, FALSE)</f>
        <v>Secondary</v>
      </c>
      <c r="G1537" t="str">
        <f>IFERROR(VLOOKUP(E1537, LookUP_Table!$A$1:$B$4, 2, FALSE), "")</f>
        <v>Secondary</v>
      </c>
      <c r="H1537">
        <v>1</v>
      </c>
      <c r="I1537">
        <v>30</v>
      </c>
      <c r="J1537" t="str">
        <f t="shared" si="138"/>
        <v>Smoker</v>
      </c>
      <c r="K1537">
        <v>0</v>
      </c>
      <c r="L1537">
        <v>0</v>
      </c>
      <c r="M1537">
        <v>1</v>
      </c>
      <c r="N1537">
        <v>0</v>
      </c>
      <c r="O1537">
        <v>181</v>
      </c>
      <c r="P1537" t="str">
        <f t="shared" si="139"/>
        <v>Normal</v>
      </c>
      <c r="Q1537">
        <v>138.5</v>
      </c>
      <c r="R1537">
        <v>90</v>
      </c>
      <c r="S1537">
        <v>26.32</v>
      </c>
      <c r="T1537" t="str">
        <f t="shared" si="140"/>
        <v>Overweight</v>
      </c>
      <c r="U1537">
        <v>90</v>
      </c>
      <c r="V1537">
        <v>81.96365524402907</v>
      </c>
      <c r="W1537" t="str">
        <f t="shared" si="143"/>
        <v>Normal</v>
      </c>
      <c r="X1537">
        <v>0</v>
      </c>
    </row>
    <row r="1538" spans="1:24" ht="14.5" thickBot="1" x14ac:dyDescent="0.35">
      <c r="A1538">
        <v>0</v>
      </c>
      <c r="B1538" t="str">
        <f t="shared" si="141"/>
        <v>Female</v>
      </c>
      <c r="C1538" s="8">
        <v>45</v>
      </c>
      <c r="D1538" t="str">
        <f t="shared" si="142"/>
        <v>Middle Age</v>
      </c>
      <c r="E1538">
        <v>1</v>
      </c>
      <c r="F1538" t="str">
        <f>HLOOKUP(E1538, LookUP_Table!$A$6:$D$7, 2, FALSE)</f>
        <v>Primary</v>
      </c>
      <c r="G1538" t="str">
        <f>IFERROR(VLOOKUP(E1538, LookUP_Table!$A$1:$B$4, 2, FALSE), "")</f>
        <v>Primary</v>
      </c>
      <c r="H1538">
        <v>0</v>
      </c>
      <c r="I1538">
        <v>0</v>
      </c>
      <c r="J1538" t="str">
        <f t="shared" ref="J1538:J1601" si="144">IF(I1538&gt;0,"Smoker","Non-Smoker")</f>
        <v>Non-Smoker</v>
      </c>
      <c r="K1538">
        <v>0</v>
      </c>
      <c r="L1538">
        <v>0</v>
      </c>
      <c r="M1538">
        <v>0</v>
      </c>
      <c r="N1538">
        <v>0</v>
      </c>
      <c r="O1538">
        <v>290</v>
      </c>
      <c r="P1538" t="str">
        <f t="shared" ref="P1538:P1601" si="145">IF(O1538&gt;240,"High","Normal")</f>
        <v>High</v>
      </c>
      <c r="Q1538">
        <v>124</v>
      </c>
      <c r="R1538">
        <v>72.5</v>
      </c>
      <c r="S1538">
        <v>24.24</v>
      </c>
      <c r="T1538" t="str">
        <f t="shared" ref="T1538:T1601" si="146">IF(S1538&lt;18.5,"Underweight",
IF(S1538&lt;25,"Normal",
IF(S1538&lt;30,"Overweight","Obese")))</f>
        <v>Normal</v>
      </c>
      <c r="U1538">
        <v>92</v>
      </c>
      <c r="V1538">
        <v>87</v>
      </c>
      <c r="W1538" t="str">
        <f t="shared" si="143"/>
        <v>Normal</v>
      </c>
      <c r="X1538">
        <v>0</v>
      </c>
    </row>
    <row r="1539" spans="1:24" ht="14.5" thickBot="1" x14ac:dyDescent="0.35">
      <c r="A1539">
        <v>0</v>
      </c>
      <c r="B1539" t="str">
        <f t="shared" ref="B1539:B1602" si="147">IF(A1539=0,"Female","Male")</f>
        <v>Female</v>
      </c>
      <c r="C1539" s="8">
        <v>45</v>
      </c>
      <c r="D1539" t="str">
        <f t="shared" ref="D1539:D1602" si="148">IF(C1539&lt;40,"Young",
IF(C1539&lt;55,"Middle Age","Senior"))</f>
        <v>Middle Age</v>
      </c>
      <c r="E1539">
        <v>1</v>
      </c>
      <c r="F1539" t="str">
        <f>HLOOKUP(E1539, LookUP_Table!$A$6:$D$7, 2, FALSE)</f>
        <v>Primary</v>
      </c>
      <c r="G1539" t="str">
        <f>IFERROR(VLOOKUP(E1539, LookUP_Table!$A$1:$B$4, 2, FALSE), "")</f>
        <v>Primary</v>
      </c>
      <c r="H1539">
        <v>0</v>
      </c>
      <c r="I1539">
        <v>0</v>
      </c>
      <c r="J1539" t="str">
        <f t="shared" si="144"/>
        <v>Non-Smoker</v>
      </c>
      <c r="K1539">
        <v>0</v>
      </c>
      <c r="L1539">
        <v>0</v>
      </c>
      <c r="M1539">
        <v>0</v>
      </c>
      <c r="N1539">
        <v>0</v>
      </c>
      <c r="O1539">
        <v>210</v>
      </c>
      <c r="P1539" t="str">
        <f t="shared" si="145"/>
        <v>Normal</v>
      </c>
      <c r="Q1539">
        <v>120</v>
      </c>
      <c r="R1539">
        <v>72</v>
      </c>
      <c r="S1539">
        <v>22.01</v>
      </c>
      <c r="T1539" t="str">
        <f t="shared" si="146"/>
        <v>Normal</v>
      </c>
      <c r="U1539">
        <v>75</v>
      </c>
      <c r="V1539">
        <v>93</v>
      </c>
      <c r="W1539" t="str">
        <f t="shared" ref="W1539:W1602" si="149">IF(V1539 &lt; 100, "Normal", IF(V1539 &lt;= 125, "Prediabetes", "Diabetes"))</f>
        <v>Normal</v>
      </c>
      <c r="X1539">
        <v>0</v>
      </c>
    </row>
    <row r="1540" spans="1:24" ht="14.5" thickBot="1" x14ac:dyDescent="0.35">
      <c r="A1540">
        <v>0</v>
      </c>
      <c r="B1540" t="str">
        <f t="shared" si="147"/>
        <v>Female</v>
      </c>
      <c r="C1540" s="8">
        <v>45</v>
      </c>
      <c r="D1540" t="str">
        <f t="shared" si="148"/>
        <v>Middle Age</v>
      </c>
      <c r="E1540">
        <v>3</v>
      </c>
      <c r="F1540" t="str">
        <f>HLOOKUP(E1540, LookUP_Table!$A$6:$D$7, 2, FALSE)</f>
        <v>Graduate</v>
      </c>
      <c r="G1540" t="str">
        <f>IFERROR(VLOOKUP(E1540, LookUP_Table!$A$1:$B$4, 2, FALSE), "")</f>
        <v>Graduate</v>
      </c>
      <c r="H1540">
        <v>0</v>
      </c>
      <c r="I1540">
        <v>0</v>
      </c>
      <c r="J1540" t="str">
        <f t="shared" si="144"/>
        <v>Non-Smoker</v>
      </c>
      <c r="K1540">
        <v>0</v>
      </c>
      <c r="L1540">
        <v>0</v>
      </c>
      <c r="M1540">
        <v>0</v>
      </c>
      <c r="N1540">
        <v>0</v>
      </c>
      <c r="O1540">
        <v>254</v>
      </c>
      <c r="P1540" t="str">
        <f t="shared" si="145"/>
        <v>High</v>
      </c>
      <c r="Q1540">
        <v>104</v>
      </c>
      <c r="R1540">
        <v>73</v>
      </c>
      <c r="S1540">
        <v>19.46</v>
      </c>
      <c r="T1540" t="str">
        <f t="shared" si="146"/>
        <v>Normal</v>
      </c>
      <c r="U1540">
        <v>60</v>
      </c>
      <c r="V1540">
        <v>77</v>
      </c>
      <c r="W1540" t="str">
        <f t="shared" si="149"/>
        <v>Normal</v>
      </c>
      <c r="X1540">
        <v>0</v>
      </c>
    </row>
    <row r="1541" spans="1:24" ht="14.5" thickBot="1" x14ac:dyDescent="0.35">
      <c r="A1541">
        <v>0</v>
      </c>
      <c r="B1541" t="str">
        <f t="shared" si="147"/>
        <v>Female</v>
      </c>
      <c r="C1541" s="8">
        <v>45</v>
      </c>
      <c r="D1541" t="str">
        <f t="shared" si="148"/>
        <v>Middle Age</v>
      </c>
      <c r="E1541">
        <v>2</v>
      </c>
      <c r="F1541" t="str">
        <f>HLOOKUP(E1541, LookUP_Table!$A$6:$D$7, 2, FALSE)</f>
        <v>Secondary</v>
      </c>
      <c r="G1541" t="str">
        <f>IFERROR(VLOOKUP(E1541, LookUP_Table!$A$1:$B$4, 2, FALSE), "")</f>
        <v>Secondary</v>
      </c>
      <c r="H1541">
        <v>0</v>
      </c>
      <c r="I1541">
        <v>0</v>
      </c>
      <c r="J1541" t="str">
        <f t="shared" si="144"/>
        <v>Non-Smoker</v>
      </c>
      <c r="K1541">
        <v>0</v>
      </c>
      <c r="L1541">
        <v>0</v>
      </c>
      <c r="M1541">
        <v>1</v>
      </c>
      <c r="N1541">
        <v>0</v>
      </c>
      <c r="O1541">
        <v>258</v>
      </c>
      <c r="P1541" t="str">
        <f t="shared" si="145"/>
        <v>High</v>
      </c>
      <c r="Q1541">
        <v>148.5</v>
      </c>
      <c r="R1541">
        <v>88</v>
      </c>
      <c r="S1541">
        <v>23.46</v>
      </c>
      <c r="T1541" t="str">
        <f t="shared" si="146"/>
        <v>Normal</v>
      </c>
      <c r="U1541">
        <v>85</v>
      </c>
      <c r="V1541">
        <v>90</v>
      </c>
      <c r="W1541" t="str">
        <f t="shared" si="149"/>
        <v>Normal</v>
      </c>
      <c r="X1541">
        <v>0</v>
      </c>
    </row>
    <row r="1542" spans="1:24" ht="14.5" thickBot="1" x14ac:dyDescent="0.35">
      <c r="A1542">
        <v>0</v>
      </c>
      <c r="B1542" t="str">
        <f t="shared" si="147"/>
        <v>Female</v>
      </c>
      <c r="C1542" s="8">
        <v>45</v>
      </c>
      <c r="D1542" t="str">
        <f t="shared" si="148"/>
        <v>Middle Age</v>
      </c>
      <c r="E1542">
        <v>4</v>
      </c>
      <c r="F1542" t="str">
        <f>HLOOKUP(E1542, LookUP_Table!$A$6:$D$7, 2, FALSE)</f>
        <v>Post Graduate</v>
      </c>
      <c r="G1542" t="str">
        <f>IFERROR(VLOOKUP(E1542, LookUP_Table!$A$1:$B$4, 2, FALSE), "")</f>
        <v>Post Graduate</v>
      </c>
      <c r="H1542">
        <v>0</v>
      </c>
      <c r="I1542">
        <v>0</v>
      </c>
      <c r="J1542" t="str">
        <f t="shared" si="144"/>
        <v>Non-Smoker</v>
      </c>
      <c r="K1542">
        <v>0</v>
      </c>
      <c r="L1542">
        <v>0</v>
      </c>
      <c r="M1542">
        <v>1</v>
      </c>
      <c r="N1542">
        <v>0</v>
      </c>
      <c r="O1542">
        <v>252</v>
      </c>
      <c r="P1542" t="str">
        <f t="shared" si="145"/>
        <v>High</v>
      </c>
      <c r="Q1542">
        <v>160</v>
      </c>
      <c r="R1542">
        <v>105</v>
      </c>
      <c r="S1542">
        <v>31.72</v>
      </c>
      <c r="T1542" t="str">
        <f t="shared" si="146"/>
        <v>Obese</v>
      </c>
      <c r="U1542">
        <v>65</v>
      </c>
      <c r="V1542">
        <v>83</v>
      </c>
      <c r="W1542" t="str">
        <f t="shared" si="149"/>
        <v>Normal</v>
      </c>
      <c r="X1542">
        <v>0</v>
      </c>
    </row>
    <row r="1543" spans="1:24" ht="14.5" thickBot="1" x14ac:dyDescent="0.35">
      <c r="A1543">
        <v>1</v>
      </c>
      <c r="B1543" t="str">
        <f t="shared" si="147"/>
        <v>Male</v>
      </c>
      <c r="C1543" s="8">
        <v>45</v>
      </c>
      <c r="D1543" t="str">
        <f t="shared" si="148"/>
        <v>Middle Age</v>
      </c>
      <c r="E1543">
        <v>1</v>
      </c>
      <c r="F1543" t="str">
        <f>HLOOKUP(E1543, LookUP_Table!$A$6:$D$7, 2, FALSE)</f>
        <v>Primary</v>
      </c>
      <c r="G1543" t="str">
        <f>IFERROR(VLOOKUP(E1543, LookUP_Table!$A$1:$B$4, 2, FALSE), "")</f>
        <v>Primary</v>
      </c>
      <c r="H1543">
        <v>1</v>
      </c>
      <c r="I1543">
        <v>20</v>
      </c>
      <c r="J1543" t="str">
        <f t="shared" si="144"/>
        <v>Smoker</v>
      </c>
      <c r="K1543">
        <v>0</v>
      </c>
      <c r="L1543">
        <v>0</v>
      </c>
      <c r="M1543">
        <v>0</v>
      </c>
      <c r="N1543">
        <v>0</v>
      </c>
      <c r="O1543">
        <v>264</v>
      </c>
      <c r="P1543" t="str">
        <f t="shared" si="145"/>
        <v>High</v>
      </c>
      <c r="Q1543">
        <v>118.5</v>
      </c>
      <c r="R1543">
        <v>81</v>
      </c>
      <c r="S1543">
        <v>26.35</v>
      </c>
      <c r="T1543" t="str">
        <f t="shared" si="146"/>
        <v>Overweight</v>
      </c>
      <c r="U1543">
        <v>75</v>
      </c>
      <c r="V1543">
        <v>90</v>
      </c>
      <c r="W1543" t="str">
        <f t="shared" si="149"/>
        <v>Normal</v>
      </c>
      <c r="X1543">
        <v>1</v>
      </c>
    </row>
    <row r="1544" spans="1:24" ht="14.5" thickBot="1" x14ac:dyDescent="0.35">
      <c r="A1544">
        <v>1</v>
      </c>
      <c r="B1544" t="str">
        <f t="shared" si="147"/>
        <v>Male</v>
      </c>
      <c r="C1544" s="8">
        <v>45</v>
      </c>
      <c r="D1544" t="str">
        <f t="shared" si="148"/>
        <v>Middle Age</v>
      </c>
      <c r="E1544">
        <v>3</v>
      </c>
      <c r="F1544" t="str">
        <f>HLOOKUP(E1544, LookUP_Table!$A$6:$D$7, 2, FALSE)</f>
        <v>Graduate</v>
      </c>
      <c r="G1544" t="str">
        <f>IFERROR(VLOOKUP(E1544, LookUP_Table!$A$1:$B$4, 2, FALSE), "")</f>
        <v>Graduate</v>
      </c>
      <c r="H1544">
        <v>1</v>
      </c>
      <c r="I1544">
        <v>15</v>
      </c>
      <c r="J1544" t="str">
        <f t="shared" si="144"/>
        <v>Smoker</v>
      </c>
      <c r="K1544">
        <v>0</v>
      </c>
      <c r="L1544">
        <v>0</v>
      </c>
      <c r="M1544">
        <v>0</v>
      </c>
      <c r="N1544">
        <v>0</v>
      </c>
      <c r="O1544">
        <v>266</v>
      </c>
      <c r="P1544" t="str">
        <f t="shared" si="145"/>
        <v>High</v>
      </c>
      <c r="Q1544">
        <v>109</v>
      </c>
      <c r="R1544">
        <v>70</v>
      </c>
      <c r="S1544">
        <v>23.72</v>
      </c>
      <c r="T1544" t="str">
        <f t="shared" si="146"/>
        <v>Normal</v>
      </c>
      <c r="U1544">
        <v>75</v>
      </c>
      <c r="V1544">
        <v>71</v>
      </c>
      <c r="W1544" t="str">
        <f t="shared" si="149"/>
        <v>Normal</v>
      </c>
      <c r="X1544">
        <v>0</v>
      </c>
    </row>
    <row r="1545" spans="1:24" ht="14.5" thickBot="1" x14ac:dyDescent="0.35">
      <c r="A1545">
        <v>0</v>
      </c>
      <c r="B1545" t="str">
        <f t="shared" si="147"/>
        <v>Female</v>
      </c>
      <c r="C1545" s="8">
        <v>45</v>
      </c>
      <c r="D1545" t="str">
        <f t="shared" si="148"/>
        <v>Middle Age</v>
      </c>
      <c r="E1545">
        <v>1</v>
      </c>
      <c r="F1545" t="str">
        <f>HLOOKUP(E1545, LookUP_Table!$A$6:$D$7, 2, FALSE)</f>
        <v>Primary</v>
      </c>
      <c r="G1545" t="str">
        <f>IFERROR(VLOOKUP(E1545, LookUP_Table!$A$1:$B$4, 2, FALSE), "")</f>
        <v>Primary</v>
      </c>
      <c r="H1545">
        <v>0</v>
      </c>
      <c r="I1545">
        <v>0</v>
      </c>
      <c r="J1545" t="str">
        <f t="shared" si="144"/>
        <v>Non-Smoker</v>
      </c>
      <c r="K1545">
        <v>0</v>
      </c>
      <c r="L1545">
        <v>0</v>
      </c>
      <c r="M1545">
        <v>0</v>
      </c>
      <c r="N1545">
        <v>0</v>
      </c>
      <c r="O1545">
        <v>282</v>
      </c>
      <c r="P1545" t="str">
        <f t="shared" si="145"/>
        <v>High</v>
      </c>
      <c r="Q1545">
        <v>115</v>
      </c>
      <c r="R1545">
        <v>71</v>
      </c>
      <c r="S1545">
        <v>22.54</v>
      </c>
      <c r="T1545" t="str">
        <f t="shared" si="146"/>
        <v>Normal</v>
      </c>
      <c r="U1545">
        <v>60</v>
      </c>
      <c r="V1545">
        <v>96</v>
      </c>
      <c r="W1545" t="str">
        <f t="shared" si="149"/>
        <v>Normal</v>
      </c>
      <c r="X1545">
        <v>0</v>
      </c>
    </row>
    <row r="1546" spans="1:24" ht="14.5" thickBot="1" x14ac:dyDescent="0.35">
      <c r="A1546">
        <v>0</v>
      </c>
      <c r="B1546" t="str">
        <f t="shared" si="147"/>
        <v>Female</v>
      </c>
      <c r="C1546" s="8">
        <v>45</v>
      </c>
      <c r="D1546" t="str">
        <f t="shared" si="148"/>
        <v>Middle Age</v>
      </c>
      <c r="E1546">
        <v>3</v>
      </c>
      <c r="F1546" t="str">
        <f>HLOOKUP(E1546, LookUP_Table!$A$6:$D$7, 2, FALSE)</f>
        <v>Graduate</v>
      </c>
      <c r="G1546" t="str">
        <f>IFERROR(VLOOKUP(E1546, LookUP_Table!$A$1:$B$4, 2, FALSE), "")</f>
        <v>Graduate</v>
      </c>
      <c r="H1546">
        <v>0</v>
      </c>
      <c r="I1546">
        <v>0</v>
      </c>
      <c r="J1546" t="str">
        <f t="shared" si="144"/>
        <v>Non-Smoker</v>
      </c>
      <c r="K1546">
        <v>0</v>
      </c>
      <c r="L1546">
        <v>0</v>
      </c>
      <c r="M1546">
        <v>0</v>
      </c>
      <c r="N1546">
        <v>0</v>
      </c>
      <c r="O1546">
        <v>271</v>
      </c>
      <c r="P1546" t="str">
        <f t="shared" si="145"/>
        <v>High</v>
      </c>
      <c r="Q1546">
        <v>121</v>
      </c>
      <c r="R1546">
        <v>77</v>
      </c>
      <c r="S1546">
        <v>23.96</v>
      </c>
      <c r="T1546" t="str">
        <f t="shared" si="146"/>
        <v>Normal</v>
      </c>
      <c r="U1546">
        <v>68</v>
      </c>
      <c r="V1546">
        <v>82</v>
      </c>
      <c r="W1546" t="str">
        <f t="shared" si="149"/>
        <v>Normal</v>
      </c>
      <c r="X1546">
        <v>0</v>
      </c>
    </row>
    <row r="1547" spans="1:24" ht="14.5" thickBot="1" x14ac:dyDescent="0.35">
      <c r="A1547">
        <v>1</v>
      </c>
      <c r="B1547" t="str">
        <f t="shared" si="147"/>
        <v>Male</v>
      </c>
      <c r="C1547" s="8">
        <v>45</v>
      </c>
      <c r="D1547" t="str">
        <f t="shared" si="148"/>
        <v>Middle Age</v>
      </c>
      <c r="E1547">
        <v>2</v>
      </c>
      <c r="F1547" t="str">
        <f>HLOOKUP(E1547, LookUP_Table!$A$6:$D$7, 2, FALSE)</f>
        <v>Secondary</v>
      </c>
      <c r="G1547" t="str">
        <f>IFERROR(VLOOKUP(E1547, LookUP_Table!$A$1:$B$4, 2, FALSE), "")</f>
        <v>Secondary</v>
      </c>
      <c r="H1547">
        <v>1</v>
      </c>
      <c r="I1547">
        <v>5</v>
      </c>
      <c r="J1547" t="str">
        <f t="shared" si="144"/>
        <v>Smoker</v>
      </c>
      <c r="K1547">
        <v>0</v>
      </c>
      <c r="L1547">
        <v>0</v>
      </c>
      <c r="M1547">
        <v>0</v>
      </c>
      <c r="N1547">
        <v>0</v>
      </c>
      <c r="O1547">
        <v>217</v>
      </c>
      <c r="P1547" t="str">
        <f t="shared" si="145"/>
        <v>Normal</v>
      </c>
      <c r="Q1547">
        <v>130</v>
      </c>
      <c r="R1547">
        <v>82</v>
      </c>
      <c r="S1547">
        <v>26.95</v>
      </c>
      <c r="T1547" t="str">
        <f t="shared" si="146"/>
        <v>Overweight</v>
      </c>
      <c r="U1547">
        <v>50</v>
      </c>
      <c r="V1547">
        <v>85</v>
      </c>
      <c r="W1547" t="str">
        <f t="shared" si="149"/>
        <v>Normal</v>
      </c>
      <c r="X1547">
        <v>0</v>
      </c>
    </row>
    <row r="1548" spans="1:24" ht="14.5" thickBot="1" x14ac:dyDescent="0.35">
      <c r="A1548">
        <v>1</v>
      </c>
      <c r="B1548" t="str">
        <f t="shared" si="147"/>
        <v>Male</v>
      </c>
      <c r="C1548" s="8">
        <v>45</v>
      </c>
      <c r="D1548" t="str">
        <f t="shared" si="148"/>
        <v>Middle Age</v>
      </c>
      <c r="E1548">
        <v>1</v>
      </c>
      <c r="F1548" t="str">
        <f>HLOOKUP(E1548, LookUP_Table!$A$6:$D$7, 2, FALSE)</f>
        <v>Primary</v>
      </c>
      <c r="G1548" t="str">
        <f>IFERROR(VLOOKUP(E1548, LookUP_Table!$A$1:$B$4, 2, FALSE), "")</f>
        <v>Primary</v>
      </c>
      <c r="H1548">
        <v>1</v>
      </c>
      <c r="I1548">
        <v>3</v>
      </c>
      <c r="J1548" t="str">
        <f t="shared" si="144"/>
        <v>Smoker</v>
      </c>
      <c r="K1548">
        <v>0</v>
      </c>
      <c r="L1548">
        <v>0</v>
      </c>
      <c r="M1548">
        <v>0</v>
      </c>
      <c r="N1548">
        <v>0</v>
      </c>
      <c r="O1548">
        <v>236.69952267303103</v>
      </c>
      <c r="P1548" t="str">
        <f t="shared" si="145"/>
        <v>Normal</v>
      </c>
      <c r="Q1548">
        <v>126</v>
      </c>
      <c r="R1548">
        <v>85</v>
      </c>
      <c r="S1548">
        <v>28.24</v>
      </c>
      <c r="T1548" t="str">
        <f t="shared" si="146"/>
        <v>Overweight</v>
      </c>
      <c r="U1548">
        <v>72</v>
      </c>
      <c r="V1548">
        <v>81.96365524402907</v>
      </c>
      <c r="W1548" t="str">
        <f t="shared" si="149"/>
        <v>Normal</v>
      </c>
      <c r="X1548">
        <v>0</v>
      </c>
    </row>
    <row r="1549" spans="1:24" ht="14.5" thickBot="1" x14ac:dyDescent="0.35">
      <c r="A1549">
        <v>0</v>
      </c>
      <c r="B1549" t="str">
        <f t="shared" si="147"/>
        <v>Female</v>
      </c>
      <c r="C1549" s="8">
        <v>45</v>
      </c>
      <c r="D1549" t="str">
        <f t="shared" si="148"/>
        <v>Middle Age</v>
      </c>
      <c r="E1549">
        <v>1</v>
      </c>
      <c r="F1549" t="str">
        <f>HLOOKUP(E1549, LookUP_Table!$A$6:$D$7, 2, FALSE)</f>
        <v>Primary</v>
      </c>
      <c r="G1549" t="str">
        <f>IFERROR(VLOOKUP(E1549, LookUP_Table!$A$1:$B$4, 2, FALSE), "")</f>
        <v>Primary</v>
      </c>
      <c r="H1549">
        <v>0</v>
      </c>
      <c r="I1549">
        <v>0</v>
      </c>
      <c r="J1549" t="str">
        <f t="shared" si="144"/>
        <v>Non-Smoker</v>
      </c>
      <c r="K1549">
        <v>0</v>
      </c>
      <c r="L1549">
        <v>0</v>
      </c>
      <c r="M1549">
        <v>0</v>
      </c>
      <c r="N1549">
        <v>0</v>
      </c>
      <c r="O1549">
        <v>195</v>
      </c>
      <c r="P1549" t="str">
        <f t="shared" si="145"/>
        <v>Normal</v>
      </c>
      <c r="Q1549">
        <v>129.5</v>
      </c>
      <c r="R1549">
        <v>83</v>
      </c>
      <c r="S1549">
        <v>25.74</v>
      </c>
      <c r="T1549" t="str">
        <f t="shared" si="146"/>
        <v>Overweight</v>
      </c>
      <c r="U1549">
        <v>77</v>
      </c>
      <c r="V1549">
        <v>74</v>
      </c>
      <c r="W1549" t="str">
        <f t="shared" si="149"/>
        <v>Normal</v>
      </c>
      <c r="X1549">
        <v>0</v>
      </c>
    </row>
    <row r="1550" spans="1:24" ht="14.5" thickBot="1" x14ac:dyDescent="0.35">
      <c r="A1550">
        <v>1</v>
      </c>
      <c r="B1550" t="str">
        <f t="shared" si="147"/>
        <v>Male</v>
      </c>
      <c r="C1550" s="8">
        <v>45</v>
      </c>
      <c r="D1550" t="str">
        <f t="shared" si="148"/>
        <v>Middle Age</v>
      </c>
      <c r="E1550">
        <v>2</v>
      </c>
      <c r="F1550" t="str">
        <f>HLOOKUP(E1550, LookUP_Table!$A$6:$D$7, 2, FALSE)</f>
        <v>Secondary</v>
      </c>
      <c r="G1550" t="str">
        <f>IFERROR(VLOOKUP(E1550, LookUP_Table!$A$1:$B$4, 2, FALSE), "")</f>
        <v>Secondary</v>
      </c>
      <c r="H1550">
        <v>0</v>
      </c>
      <c r="I1550">
        <v>0</v>
      </c>
      <c r="J1550" t="str">
        <f t="shared" si="144"/>
        <v>Non-Smoker</v>
      </c>
      <c r="K1550">
        <v>0</v>
      </c>
      <c r="L1550">
        <v>0</v>
      </c>
      <c r="M1550">
        <v>0</v>
      </c>
      <c r="N1550">
        <v>0</v>
      </c>
      <c r="O1550">
        <v>201</v>
      </c>
      <c r="P1550" t="str">
        <f t="shared" si="145"/>
        <v>Normal</v>
      </c>
      <c r="Q1550">
        <v>107.5</v>
      </c>
      <c r="R1550">
        <v>64.5</v>
      </c>
      <c r="S1550">
        <v>23.85</v>
      </c>
      <c r="T1550" t="str">
        <f t="shared" si="146"/>
        <v>Normal</v>
      </c>
      <c r="U1550">
        <v>88</v>
      </c>
      <c r="V1550">
        <v>81.96365524402907</v>
      </c>
      <c r="W1550" t="str">
        <f t="shared" si="149"/>
        <v>Normal</v>
      </c>
      <c r="X1550">
        <v>0</v>
      </c>
    </row>
    <row r="1551" spans="1:24" ht="14.5" thickBot="1" x14ac:dyDescent="0.35">
      <c r="A1551">
        <v>0</v>
      </c>
      <c r="B1551" t="str">
        <f t="shared" si="147"/>
        <v>Female</v>
      </c>
      <c r="C1551" s="8">
        <v>45</v>
      </c>
      <c r="D1551" t="str">
        <f t="shared" si="148"/>
        <v>Middle Age</v>
      </c>
      <c r="E1551">
        <v>2</v>
      </c>
      <c r="F1551" t="str">
        <f>HLOOKUP(E1551, LookUP_Table!$A$6:$D$7, 2, FALSE)</f>
        <v>Secondary</v>
      </c>
      <c r="G1551" t="str">
        <f>IFERROR(VLOOKUP(E1551, LookUP_Table!$A$1:$B$4, 2, FALSE), "")</f>
        <v>Secondary</v>
      </c>
      <c r="H1551">
        <v>1</v>
      </c>
      <c r="I1551">
        <v>20</v>
      </c>
      <c r="J1551" t="str">
        <f t="shared" si="144"/>
        <v>Smoker</v>
      </c>
      <c r="K1551">
        <v>0</v>
      </c>
      <c r="L1551">
        <v>0</v>
      </c>
      <c r="M1551">
        <v>0</v>
      </c>
      <c r="N1551">
        <v>0</v>
      </c>
      <c r="O1551">
        <v>311</v>
      </c>
      <c r="P1551" t="str">
        <f t="shared" si="145"/>
        <v>High</v>
      </c>
      <c r="Q1551">
        <v>117.5</v>
      </c>
      <c r="R1551">
        <v>76</v>
      </c>
      <c r="S1551">
        <v>26.27</v>
      </c>
      <c r="T1551" t="str">
        <f t="shared" si="146"/>
        <v>Overweight</v>
      </c>
      <c r="U1551">
        <v>68</v>
      </c>
      <c r="V1551">
        <v>67</v>
      </c>
      <c r="W1551" t="str">
        <f t="shared" si="149"/>
        <v>Normal</v>
      </c>
      <c r="X1551">
        <v>1</v>
      </c>
    </row>
    <row r="1552" spans="1:24" ht="14.5" thickBot="1" x14ac:dyDescent="0.35">
      <c r="A1552">
        <v>1</v>
      </c>
      <c r="B1552" t="str">
        <f t="shared" si="147"/>
        <v>Male</v>
      </c>
      <c r="C1552" s="8">
        <v>45</v>
      </c>
      <c r="D1552" t="str">
        <f t="shared" si="148"/>
        <v>Middle Age</v>
      </c>
      <c r="E1552">
        <v>2</v>
      </c>
      <c r="F1552" t="str">
        <f>HLOOKUP(E1552, LookUP_Table!$A$6:$D$7, 2, FALSE)</f>
        <v>Secondary</v>
      </c>
      <c r="G1552" t="str">
        <f>IFERROR(VLOOKUP(E1552, LookUP_Table!$A$1:$B$4, 2, FALSE), "")</f>
        <v>Secondary</v>
      </c>
      <c r="H1552">
        <v>1</v>
      </c>
      <c r="I1552">
        <v>9</v>
      </c>
      <c r="J1552" t="str">
        <f t="shared" si="144"/>
        <v>Smoker</v>
      </c>
      <c r="K1552">
        <v>0</v>
      </c>
      <c r="L1552">
        <v>0</v>
      </c>
      <c r="M1552">
        <v>0</v>
      </c>
      <c r="N1552">
        <v>0</v>
      </c>
      <c r="O1552">
        <v>248</v>
      </c>
      <c r="P1552" t="str">
        <f t="shared" si="145"/>
        <v>High</v>
      </c>
      <c r="Q1552">
        <v>121</v>
      </c>
      <c r="R1552">
        <v>72</v>
      </c>
      <c r="S1552">
        <v>27.88</v>
      </c>
      <c r="T1552" t="str">
        <f t="shared" si="146"/>
        <v>Overweight</v>
      </c>
      <c r="U1552">
        <v>64</v>
      </c>
      <c r="V1552">
        <v>88</v>
      </c>
      <c r="W1552" t="str">
        <f t="shared" si="149"/>
        <v>Normal</v>
      </c>
      <c r="X1552">
        <v>0</v>
      </c>
    </row>
    <row r="1553" spans="1:24" ht="14.5" thickBot="1" x14ac:dyDescent="0.35">
      <c r="A1553">
        <v>1</v>
      </c>
      <c r="B1553" t="str">
        <f t="shared" si="147"/>
        <v>Male</v>
      </c>
      <c r="C1553" s="8">
        <v>45</v>
      </c>
      <c r="D1553" t="str">
        <f t="shared" si="148"/>
        <v>Middle Age</v>
      </c>
      <c r="E1553">
        <v>4</v>
      </c>
      <c r="F1553" t="str">
        <f>HLOOKUP(E1553, LookUP_Table!$A$6:$D$7, 2, FALSE)</f>
        <v>Post Graduate</v>
      </c>
      <c r="G1553" t="str">
        <f>IFERROR(VLOOKUP(E1553, LookUP_Table!$A$1:$B$4, 2, FALSE), "")</f>
        <v>Post Graduate</v>
      </c>
      <c r="H1553">
        <v>1</v>
      </c>
      <c r="I1553">
        <v>20</v>
      </c>
      <c r="J1553" t="str">
        <f t="shared" si="144"/>
        <v>Smoker</v>
      </c>
      <c r="K1553">
        <v>0</v>
      </c>
      <c r="L1553">
        <v>0</v>
      </c>
      <c r="M1553">
        <v>1</v>
      </c>
      <c r="N1553">
        <v>0</v>
      </c>
      <c r="O1553">
        <v>271</v>
      </c>
      <c r="P1553" t="str">
        <f t="shared" si="145"/>
        <v>High</v>
      </c>
      <c r="Q1553">
        <v>164</v>
      </c>
      <c r="R1553">
        <v>98</v>
      </c>
      <c r="S1553">
        <v>26.05</v>
      </c>
      <c r="T1553" t="str">
        <f t="shared" si="146"/>
        <v>Overweight</v>
      </c>
      <c r="U1553">
        <v>94</v>
      </c>
      <c r="V1553">
        <v>81</v>
      </c>
      <c r="W1553" t="str">
        <f t="shared" si="149"/>
        <v>Normal</v>
      </c>
      <c r="X1553">
        <v>1</v>
      </c>
    </row>
    <row r="1554" spans="1:24" ht="14.5" thickBot="1" x14ac:dyDescent="0.35">
      <c r="A1554">
        <v>0</v>
      </c>
      <c r="B1554" t="str">
        <f t="shared" si="147"/>
        <v>Female</v>
      </c>
      <c r="C1554" s="8">
        <v>45</v>
      </c>
      <c r="D1554" t="str">
        <f t="shared" si="148"/>
        <v>Middle Age</v>
      </c>
      <c r="E1554">
        <v>2</v>
      </c>
      <c r="F1554" t="str">
        <f>HLOOKUP(E1554, LookUP_Table!$A$6:$D$7, 2, FALSE)</f>
        <v>Secondary</v>
      </c>
      <c r="G1554" t="str">
        <f>IFERROR(VLOOKUP(E1554, LookUP_Table!$A$1:$B$4, 2, FALSE), "")</f>
        <v>Secondary</v>
      </c>
      <c r="H1554">
        <v>0</v>
      </c>
      <c r="I1554">
        <v>0</v>
      </c>
      <c r="J1554" t="str">
        <f t="shared" si="144"/>
        <v>Non-Smoker</v>
      </c>
      <c r="K1554">
        <v>0</v>
      </c>
      <c r="L1554">
        <v>0</v>
      </c>
      <c r="M1554">
        <v>0</v>
      </c>
      <c r="N1554">
        <v>0</v>
      </c>
      <c r="O1554">
        <v>155</v>
      </c>
      <c r="P1554" t="str">
        <f t="shared" si="145"/>
        <v>Normal</v>
      </c>
      <c r="Q1554">
        <v>116</v>
      </c>
      <c r="R1554">
        <v>81.5</v>
      </c>
      <c r="S1554">
        <v>25.56</v>
      </c>
      <c r="T1554" t="str">
        <f t="shared" si="146"/>
        <v>Overweight</v>
      </c>
      <c r="U1554">
        <v>72</v>
      </c>
      <c r="V1554">
        <v>82</v>
      </c>
      <c r="W1554" t="str">
        <f t="shared" si="149"/>
        <v>Normal</v>
      </c>
      <c r="X1554">
        <v>0</v>
      </c>
    </row>
    <row r="1555" spans="1:24" ht="14.5" thickBot="1" x14ac:dyDescent="0.35">
      <c r="A1555">
        <v>1</v>
      </c>
      <c r="B1555" t="str">
        <f t="shared" si="147"/>
        <v>Male</v>
      </c>
      <c r="C1555" s="8">
        <v>45</v>
      </c>
      <c r="D1555" t="str">
        <f t="shared" si="148"/>
        <v>Middle Age</v>
      </c>
      <c r="E1555">
        <v>1</v>
      </c>
      <c r="F1555" t="str">
        <f>HLOOKUP(E1555, LookUP_Table!$A$6:$D$7, 2, FALSE)</f>
        <v>Primary</v>
      </c>
      <c r="G1555" t="str">
        <f>IFERROR(VLOOKUP(E1555, LookUP_Table!$A$1:$B$4, 2, FALSE), "")</f>
        <v>Primary</v>
      </c>
      <c r="H1555">
        <v>1</v>
      </c>
      <c r="I1555">
        <v>20</v>
      </c>
      <c r="J1555" t="str">
        <f t="shared" si="144"/>
        <v>Smoker</v>
      </c>
      <c r="K1555">
        <v>0</v>
      </c>
      <c r="L1555">
        <v>0</v>
      </c>
      <c r="M1555">
        <v>0</v>
      </c>
      <c r="N1555">
        <v>0</v>
      </c>
      <c r="O1555">
        <v>218</v>
      </c>
      <c r="P1555" t="str">
        <f t="shared" si="145"/>
        <v>Normal</v>
      </c>
      <c r="Q1555">
        <v>130</v>
      </c>
      <c r="R1555">
        <v>87</v>
      </c>
      <c r="S1555">
        <v>24.1</v>
      </c>
      <c r="T1555" t="str">
        <f t="shared" si="146"/>
        <v>Normal</v>
      </c>
      <c r="U1555">
        <v>72</v>
      </c>
      <c r="V1555">
        <v>64</v>
      </c>
      <c r="W1555" t="str">
        <f t="shared" si="149"/>
        <v>Normal</v>
      </c>
      <c r="X1555">
        <v>0</v>
      </c>
    </row>
    <row r="1556" spans="1:24" ht="14.5" thickBot="1" x14ac:dyDescent="0.35">
      <c r="A1556">
        <v>0</v>
      </c>
      <c r="B1556" t="str">
        <f t="shared" si="147"/>
        <v>Female</v>
      </c>
      <c r="C1556" s="8">
        <v>45</v>
      </c>
      <c r="D1556" t="str">
        <f t="shared" si="148"/>
        <v>Middle Age</v>
      </c>
      <c r="E1556">
        <v>2</v>
      </c>
      <c r="F1556" t="str">
        <f>HLOOKUP(E1556, LookUP_Table!$A$6:$D$7, 2, FALSE)</f>
        <v>Secondary</v>
      </c>
      <c r="G1556" t="str">
        <f>IFERROR(VLOOKUP(E1556, LookUP_Table!$A$1:$B$4, 2, FALSE), "")</f>
        <v>Secondary</v>
      </c>
      <c r="H1556">
        <v>1</v>
      </c>
      <c r="I1556">
        <v>20</v>
      </c>
      <c r="J1556" t="str">
        <f t="shared" si="144"/>
        <v>Smoker</v>
      </c>
      <c r="K1556">
        <v>0</v>
      </c>
      <c r="L1556">
        <v>0</v>
      </c>
      <c r="M1556">
        <v>1</v>
      </c>
      <c r="N1556">
        <v>0</v>
      </c>
      <c r="O1556">
        <v>297</v>
      </c>
      <c r="P1556" t="str">
        <f t="shared" si="145"/>
        <v>High</v>
      </c>
      <c r="Q1556">
        <v>142</v>
      </c>
      <c r="R1556">
        <v>91</v>
      </c>
      <c r="S1556">
        <v>35.020000000000003</v>
      </c>
      <c r="T1556" t="str">
        <f t="shared" si="146"/>
        <v>Obese</v>
      </c>
      <c r="U1556">
        <v>87</v>
      </c>
      <c r="V1556">
        <v>86</v>
      </c>
      <c r="W1556" t="str">
        <f t="shared" si="149"/>
        <v>Normal</v>
      </c>
      <c r="X1556">
        <v>0</v>
      </c>
    </row>
    <row r="1557" spans="1:24" ht="14.5" thickBot="1" x14ac:dyDescent="0.35">
      <c r="A1557">
        <v>1</v>
      </c>
      <c r="B1557" t="str">
        <f t="shared" si="147"/>
        <v>Male</v>
      </c>
      <c r="C1557" s="8">
        <v>45</v>
      </c>
      <c r="D1557" t="str">
        <f t="shared" si="148"/>
        <v>Middle Age</v>
      </c>
      <c r="E1557">
        <v>1</v>
      </c>
      <c r="F1557" t="str">
        <f>HLOOKUP(E1557, LookUP_Table!$A$6:$D$7, 2, FALSE)</f>
        <v>Primary</v>
      </c>
      <c r="G1557" t="str">
        <f>IFERROR(VLOOKUP(E1557, LookUP_Table!$A$1:$B$4, 2, FALSE), "")</f>
        <v>Primary</v>
      </c>
      <c r="H1557">
        <v>0</v>
      </c>
      <c r="I1557">
        <v>0</v>
      </c>
      <c r="J1557" t="str">
        <f t="shared" si="144"/>
        <v>Non-Smoker</v>
      </c>
      <c r="K1557">
        <v>0</v>
      </c>
      <c r="L1557">
        <v>0</v>
      </c>
      <c r="M1557">
        <v>0</v>
      </c>
      <c r="N1557">
        <v>0</v>
      </c>
      <c r="O1557">
        <v>275</v>
      </c>
      <c r="P1557" t="str">
        <f t="shared" si="145"/>
        <v>High</v>
      </c>
      <c r="Q1557">
        <v>105</v>
      </c>
      <c r="R1557">
        <v>86</v>
      </c>
      <c r="S1557">
        <v>32.92</v>
      </c>
      <c r="T1557" t="str">
        <f t="shared" si="146"/>
        <v>Obese</v>
      </c>
      <c r="U1557">
        <v>75</v>
      </c>
      <c r="V1557">
        <v>92</v>
      </c>
      <c r="W1557" t="str">
        <f t="shared" si="149"/>
        <v>Normal</v>
      </c>
      <c r="X1557">
        <v>0</v>
      </c>
    </row>
    <row r="1558" spans="1:24" ht="14.5" thickBot="1" x14ac:dyDescent="0.35">
      <c r="A1558">
        <v>1</v>
      </c>
      <c r="B1558" t="str">
        <f t="shared" si="147"/>
        <v>Male</v>
      </c>
      <c r="C1558" s="8">
        <v>45</v>
      </c>
      <c r="D1558" t="str">
        <f t="shared" si="148"/>
        <v>Middle Age</v>
      </c>
      <c r="E1558">
        <v>1</v>
      </c>
      <c r="F1558" t="str">
        <f>HLOOKUP(E1558, LookUP_Table!$A$6:$D$7, 2, FALSE)</f>
        <v>Primary</v>
      </c>
      <c r="G1558" t="str">
        <f>IFERROR(VLOOKUP(E1558, LookUP_Table!$A$1:$B$4, 2, FALSE), "")</f>
        <v>Primary</v>
      </c>
      <c r="H1558">
        <v>1</v>
      </c>
      <c r="I1558">
        <v>6</v>
      </c>
      <c r="J1558" t="str">
        <f t="shared" si="144"/>
        <v>Smoker</v>
      </c>
      <c r="K1558">
        <v>0</v>
      </c>
      <c r="L1558">
        <v>0</v>
      </c>
      <c r="M1558">
        <v>0</v>
      </c>
      <c r="N1558">
        <v>0</v>
      </c>
      <c r="O1558">
        <v>216</v>
      </c>
      <c r="P1558" t="str">
        <f t="shared" si="145"/>
        <v>Normal</v>
      </c>
      <c r="Q1558">
        <v>127.5</v>
      </c>
      <c r="R1558">
        <v>82.5</v>
      </c>
      <c r="S1558">
        <v>27.15</v>
      </c>
      <c r="T1558" t="str">
        <f t="shared" si="146"/>
        <v>Overweight</v>
      </c>
      <c r="U1558">
        <v>70</v>
      </c>
      <c r="V1558">
        <v>67</v>
      </c>
      <c r="W1558" t="str">
        <f t="shared" si="149"/>
        <v>Normal</v>
      </c>
      <c r="X1558">
        <v>0</v>
      </c>
    </row>
    <row r="1559" spans="1:24" ht="14.5" thickBot="1" x14ac:dyDescent="0.35">
      <c r="A1559">
        <v>0</v>
      </c>
      <c r="B1559" t="str">
        <f t="shared" si="147"/>
        <v>Female</v>
      </c>
      <c r="C1559" s="8">
        <v>45</v>
      </c>
      <c r="D1559" t="str">
        <f t="shared" si="148"/>
        <v>Middle Age</v>
      </c>
      <c r="E1559">
        <v>4</v>
      </c>
      <c r="F1559" t="str">
        <f>HLOOKUP(E1559, LookUP_Table!$A$6:$D$7, 2, FALSE)</f>
        <v>Post Graduate</v>
      </c>
      <c r="G1559" t="str">
        <f>IFERROR(VLOOKUP(E1559, LookUP_Table!$A$1:$B$4, 2, FALSE), "")</f>
        <v>Post Graduate</v>
      </c>
      <c r="H1559">
        <v>0</v>
      </c>
      <c r="I1559">
        <v>0</v>
      </c>
      <c r="J1559" t="str">
        <f t="shared" si="144"/>
        <v>Non-Smoker</v>
      </c>
      <c r="K1559">
        <v>0</v>
      </c>
      <c r="L1559">
        <v>0</v>
      </c>
      <c r="M1559">
        <v>0</v>
      </c>
      <c r="N1559">
        <v>0</v>
      </c>
      <c r="O1559">
        <v>201</v>
      </c>
      <c r="P1559" t="str">
        <f t="shared" si="145"/>
        <v>Normal</v>
      </c>
      <c r="Q1559">
        <v>128.5</v>
      </c>
      <c r="R1559">
        <v>73</v>
      </c>
      <c r="S1559">
        <v>24.56</v>
      </c>
      <c r="T1559" t="str">
        <f t="shared" si="146"/>
        <v>Normal</v>
      </c>
      <c r="U1559">
        <v>85</v>
      </c>
      <c r="V1559">
        <v>82</v>
      </c>
      <c r="W1559" t="str">
        <f t="shared" si="149"/>
        <v>Normal</v>
      </c>
      <c r="X1559">
        <v>0</v>
      </c>
    </row>
    <row r="1560" spans="1:24" ht="14.5" thickBot="1" x14ac:dyDescent="0.35">
      <c r="A1560">
        <v>0</v>
      </c>
      <c r="B1560" t="str">
        <f t="shared" si="147"/>
        <v>Female</v>
      </c>
      <c r="C1560" s="8">
        <v>45</v>
      </c>
      <c r="D1560" t="str">
        <f t="shared" si="148"/>
        <v>Middle Age</v>
      </c>
      <c r="E1560">
        <v>2</v>
      </c>
      <c r="F1560" t="str">
        <f>HLOOKUP(E1560, LookUP_Table!$A$6:$D$7, 2, FALSE)</f>
        <v>Secondary</v>
      </c>
      <c r="G1560" t="str">
        <f>IFERROR(VLOOKUP(E1560, LookUP_Table!$A$1:$B$4, 2, FALSE), "")</f>
        <v>Secondary</v>
      </c>
      <c r="H1560">
        <v>1</v>
      </c>
      <c r="I1560">
        <v>1</v>
      </c>
      <c r="J1560" t="str">
        <f t="shared" si="144"/>
        <v>Smoker</v>
      </c>
      <c r="K1560">
        <v>0</v>
      </c>
      <c r="L1560">
        <v>0</v>
      </c>
      <c r="M1560">
        <v>1</v>
      </c>
      <c r="N1560">
        <v>0</v>
      </c>
      <c r="O1560">
        <v>285</v>
      </c>
      <c r="P1560" t="str">
        <f t="shared" si="145"/>
        <v>High</v>
      </c>
      <c r="Q1560">
        <v>132.5</v>
      </c>
      <c r="R1560">
        <v>97.5</v>
      </c>
      <c r="S1560">
        <v>24.74</v>
      </c>
      <c r="T1560" t="str">
        <f t="shared" si="146"/>
        <v>Normal</v>
      </c>
      <c r="U1560">
        <v>98</v>
      </c>
      <c r="V1560">
        <v>77</v>
      </c>
      <c r="W1560" t="str">
        <f t="shared" si="149"/>
        <v>Normal</v>
      </c>
      <c r="X1560">
        <v>0</v>
      </c>
    </row>
    <row r="1561" spans="1:24" ht="14.5" thickBot="1" x14ac:dyDescent="0.35">
      <c r="A1561">
        <v>1</v>
      </c>
      <c r="B1561" t="str">
        <f t="shared" si="147"/>
        <v>Male</v>
      </c>
      <c r="C1561" s="8">
        <v>45</v>
      </c>
      <c r="D1561" t="str">
        <f t="shared" si="148"/>
        <v>Middle Age</v>
      </c>
      <c r="E1561">
        <v>2</v>
      </c>
      <c r="F1561" t="str">
        <f>HLOOKUP(E1561, LookUP_Table!$A$6:$D$7, 2, FALSE)</f>
        <v>Secondary</v>
      </c>
      <c r="G1561" t="str">
        <f>IFERROR(VLOOKUP(E1561, LookUP_Table!$A$1:$B$4, 2, FALSE), "")</f>
        <v>Secondary</v>
      </c>
      <c r="H1561">
        <v>1</v>
      </c>
      <c r="I1561">
        <v>20</v>
      </c>
      <c r="J1561" t="str">
        <f t="shared" si="144"/>
        <v>Smoker</v>
      </c>
      <c r="K1561">
        <v>0</v>
      </c>
      <c r="L1561">
        <v>0</v>
      </c>
      <c r="M1561">
        <v>0</v>
      </c>
      <c r="N1561">
        <v>0</v>
      </c>
      <c r="O1561">
        <v>229</v>
      </c>
      <c r="P1561" t="str">
        <f t="shared" si="145"/>
        <v>Normal</v>
      </c>
      <c r="Q1561">
        <v>117</v>
      </c>
      <c r="R1561">
        <v>78</v>
      </c>
      <c r="S1561">
        <v>22.79</v>
      </c>
      <c r="T1561" t="str">
        <f t="shared" si="146"/>
        <v>Normal</v>
      </c>
      <c r="U1561">
        <v>85</v>
      </c>
      <c r="V1561">
        <v>86</v>
      </c>
      <c r="W1561" t="str">
        <f t="shared" si="149"/>
        <v>Normal</v>
      </c>
      <c r="X1561">
        <v>0</v>
      </c>
    </row>
    <row r="1562" spans="1:24" ht="14.5" thickBot="1" x14ac:dyDescent="0.35">
      <c r="A1562">
        <v>0</v>
      </c>
      <c r="B1562" t="str">
        <f t="shared" si="147"/>
        <v>Female</v>
      </c>
      <c r="C1562" s="8">
        <v>45</v>
      </c>
      <c r="D1562" t="str">
        <f t="shared" si="148"/>
        <v>Middle Age</v>
      </c>
      <c r="E1562">
        <v>3</v>
      </c>
      <c r="F1562" t="str">
        <f>HLOOKUP(E1562, LookUP_Table!$A$6:$D$7, 2, FALSE)</f>
        <v>Graduate</v>
      </c>
      <c r="G1562" t="str">
        <f>IFERROR(VLOOKUP(E1562, LookUP_Table!$A$1:$B$4, 2, FALSE), "")</f>
        <v>Graduate</v>
      </c>
      <c r="H1562">
        <v>1</v>
      </c>
      <c r="I1562">
        <v>20</v>
      </c>
      <c r="J1562" t="str">
        <f t="shared" si="144"/>
        <v>Smoker</v>
      </c>
      <c r="K1562">
        <v>0</v>
      </c>
      <c r="L1562">
        <v>0</v>
      </c>
      <c r="M1562">
        <v>0</v>
      </c>
      <c r="N1562">
        <v>0</v>
      </c>
      <c r="O1562">
        <v>198</v>
      </c>
      <c r="P1562" t="str">
        <f t="shared" si="145"/>
        <v>Normal</v>
      </c>
      <c r="Q1562">
        <v>119</v>
      </c>
      <c r="R1562">
        <v>80</v>
      </c>
      <c r="S1562">
        <v>22.18</v>
      </c>
      <c r="T1562" t="str">
        <f t="shared" si="146"/>
        <v>Normal</v>
      </c>
      <c r="U1562">
        <v>78</v>
      </c>
      <c r="V1562">
        <v>79</v>
      </c>
      <c r="W1562" t="str">
        <f t="shared" si="149"/>
        <v>Normal</v>
      </c>
      <c r="X1562">
        <v>0</v>
      </c>
    </row>
    <row r="1563" spans="1:24" ht="14.5" thickBot="1" x14ac:dyDescent="0.35">
      <c r="A1563">
        <v>0</v>
      </c>
      <c r="B1563" t="str">
        <f t="shared" si="147"/>
        <v>Female</v>
      </c>
      <c r="C1563" s="8">
        <v>45</v>
      </c>
      <c r="D1563" t="str">
        <f t="shared" si="148"/>
        <v>Middle Age</v>
      </c>
      <c r="E1563">
        <v>1</v>
      </c>
      <c r="F1563" t="str">
        <f>HLOOKUP(E1563, LookUP_Table!$A$6:$D$7, 2, FALSE)</f>
        <v>Primary</v>
      </c>
      <c r="G1563" t="str">
        <f>IFERROR(VLOOKUP(E1563, LookUP_Table!$A$1:$B$4, 2, FALSE), "")</f>
        <v>Primary</v>
      </c>
      <c r="H1563">
        <v>0</v>
      </c>
      <c r="I1563">
        <v>0</v>
      </c>
      <c r="J1563" t="str">
        <f t="shared" si="144"/>
        <v>Non-Smoker</v>
      </c>
      <c r="K1563">
        <v>0</v>
      </c>
      <c r="L1563">
        <v>0</v>
      </c>
      <c r="M1563">
        <v>0</v>
      </c>
      <c r="N1563">
        <v>0</v>
      </c>
      <c r="O1563">
        <v>288</v>
      </c>
      <c r="P1563" t="str">
        <f t="shared" si="145"/>
        <v>High</v>
      </c>
      <c r="Q1563">
        <v>135</v>
      </c>
      <c r="R1563">
        <v>88</v>
      </c>
      <c r="S1563">
        <v>25.23</v>
      </c>
      <c r="T1563" t="str">
        <f t="shared" si="146"/>
        <v>Overweight</v>
      </c>
      <c r="U1563">
        <v>85</v>
      </c>
      <c r="V1563">
        <v>79</v>
      </c>
      <c r="W1563" t="str">
        <f t="shared" si="149"/>
        <v>Normal</v>
      </c>
      <c r="X1563">
        <v>0</v>
      </c>
    </row>
    <row r="1564" spans="1:24" ht="14.5" thickBot="1" x14ac:dyDescent="0.35">
      <c r="A1564">
        <v>1</v>
      </c>
      <c r="B1564" t="str">
        <f t="shared" si="147"/>
        <v>Male</v>
      </c>
      <c r="C1564" s="8">
        <v>45</v>
      </c>
      <c r="D1564" t="str">
        <f t="shared" si="148"/>
        <v>Middle Age</v>
      </c>
      <c r="E1564">
        <v>4</v>
      </c>
      <c r="F1564" t="str">
        <f>HLOOKUP(E1564, LookUP_Table!$A$6:$D$7, 2, FALSE)</f>
        <v>Post Graduate</v>
      </c>
      <c r="G1564" t="str">
        <f>IFERROR(VLOOKUP(E1564, LookUP_Table!$A$1:$B$4, 2, FALSE), "")</f>
        <v>Post Graduate</v>
      </c>
      <c r="H1564">
        <v>1</v>
      </c>
      <c r="I1564">
        <v>20</v>
      </c>
      <c r="J1564" t="str">
        <f t="shared" si="144"/>
        <v>Smoker</v>
      </c>
      <c r="K1564">
        <v>0</v>
      </c>
      <c r="L1564">
        <v>0</v>
      </c>
      <c r="M1564">
        <v>0</v>
      </c>
      <c r="N1564">
        <v>0</v>
      </c>
      <c r="O1564">
        <v>257</v>
      </c>
      <c r="P1564" t="str">
        <f t="shared" si="145"/>
        <v>High</v>
      </c>
      <c r="Q1564">
        <v>117.5</v>
      </c>
      <c r="R1564">
        <v>82.5</v>
      </c>
      <c r="S1564">
        <v>24.62</v>
      </c>
      <c r="T1564" t="str">
        <f t="shared" si="146"/>
        <v>Normal</v>
      </c>
      <c r="U1564">
        <v>58</v>
      </c>
      <c r="V1564">
        <v>86</v>
      </c>
      <c r="W1564" t="str">
        <f t="shared" si="149"/>
        <v>Normal</v>
      </c>
      <c r="X1564">
        <v>0</v>
      </c>
    </row>
    <row r="1565" spans="1:24" ht="14.5" thickBot="1" x14ac:dyDescent="0.35">
      <c r="A1565">
        <v>0</v>
      </c>
      <c r="B1565" t="str">
        <f t="shared" si="147"/>
        <v>Female</v>
      </c>
      <c r="C1565" s="8">
        <v>45</v>
      </c>
      <c r="D1565" t="str">
        <f t="shared" si="148"/>
        <v>Middle Age</v>
      </c>
      <c r="E1565">
        <v>4</v>
      </c>
      <c r="F1565" t="str">
        <f>HLOOKUP(E1565, LookUP_Table!$A$6:$D$7, 2, FALSE)</f>
        <v>Post Graduate</v>
      </c>
      <c r="G1565" t="str">
        <f>IFERROR(VLOOKUP(E1565, LookUP_Table!$A$1:$B$4, 2, FALSE), "")</f>
        <v>Post Graduate</v>
      </c>
      <c r="H1565">
        <v>0</v>
      </c>
      <c r="I1565">
        <v>0</v>
      </c>
      <c r="J1565" t="str">
        <f t="shared" si="144"/>
        <v>Non-Smoker</v>
      </c>
      <c r="K1565">
        <v>0</v>
      </c>
      <c r="L1565">
        <v>0</v>
      </c>
      <c r="M1565">
        <v>0</v>
      </c>
      <c r="N1565">
        <v>0</v>
      </c>
      <c r="O1565">
        <v>333</v>
      </c>
      <c r="P1565" t="str">
        <f t="shared" si="145"/>
        <v>High</v>
      </c>
      <c r="Q1565">
        <v>122</v>
      </c>
      <c r="R1565">
        <v>80</v>
      </c>
      <c r="S1565">
        <v>24.39</v>
      </c>
      <c r="T1565" t="str">
        <f t="shared" si="146"/>
        <v>Normal</v>
      </c>
      <c r="U1565">
        <v>75</v>
      </c>
      <c r="V1565">
        <v>80</v>
      </c>
      <c r="W1565" t="str">
        <f t="shared" si="149"/>
        <v>Normal</v>
      </c>
      <c r="X1565">
        <v>0</v>
      </c>
    </row>
    <row r="1566" spans="1:24" ht="14.5" thickBot="1" x14ac:dyDescent="0.35">
      <c r="A1566">
        <v>1</v>
      </c>
      <c r="B1566" t="str">
        <f t="shared" si="147"/>
        <v>Male</v>
      </c>
      <c r="C1566" s="8">
        <v>45</v>
      </c>
      <c r="D1566" t="str">
        <f t="shared" si="148"/>
        <v>Middle Age</v>
      </c>
      <c r="E1566">
        <v>1</v>
      </c>
      <c r="F1566" t="str">
        <f>HLOOKUP(E1566, LookUP_Table!$A$6:$D$7, 2, FALSE)</f>
        <v>Primary</v>
      </c>
      <c r="G1566" t="str">
        <f>IFERROR(VLOOKUP(E1566, LookUP_Table!$A$1:$B$4, 2, FALSE), "")</f>
        <v>Primary</v>
      </c>
      <c r="H1566">
        <v>1</v>
      </c>
      <c r="I1566">
        <v>25</v>
      </c>
      <c r="J1566" t="str">
        <f t="shared" si="144"/>
        <v>Smoker</v>
      </c>
      <c r="K1566">
        <v>0</v>
      </c>
      <c r="L1566">
        <v>0</v>
      </c>
      <c r="M1566">
        <v>1</v>
      </c>
      <c r="N1566">
        <v>0</v>
      </c>
      <c r="O1566">
        <v>232</v>
      </c>
      <c r="P1566" t="str">
        <f t="shared" si="145"/>
        <v>Normal</v>
      </c>
      <c r="Q1566">
        <v>165</v>
      </c>
      <c r="R1566">
        <v>86</v>
      </c>
      <c r="S1566">
        <v>23.86</v>
      </c>
      <c r="T1566" t="str">
        <f t="shared" si="146"/>
        <v>Normal</v>
      </c>
      <c r="U1566">
        <v>78</v>
      </c>
      <c r="V1566">
        <v>68</v>
      </c>
      <c r="W1566" t="str">
        <f t="shared" si="149"/>
        <v>Normal</v>
      </c>
      <c r="X1566">
        <v>0</v>
      </c>
    </row>
    <row r="1567" spans="1:24" ht="14.5" thickBot="1" x14ac:dyDescent="0.35">
      <c r="A1567">
        <v>0</v>
      </c>
      <c r="B1567" t="str">
        <f t="shared" si="147"/>
        <v>Female</v>
      </c>
      <c r="C1567" s="8">
        <v>45</v>
      </c>
      <c r="D1567" t="str">
        <f t="shared" si="148"/>
        <v>Middle Age</v>
      </c>
      <c r="E1567">
        <v>3</v>
      </c>
      <c r="F1567" t="str">
        <f>HLOOKUP(E1567, LookUP_Table!$A$6:$D$7, 2, FALSE)</f>
        <v>Graduate</v>
      </c>
      <c r="G1567" t="str">
        <f>IFERROR(VLOOKUP(E1567, LookUP_Table!$A$1:$B$4, 2, FALSE), "")</f>
        <v>Graduate</v>
      </c>
      <c r="H1567">
        <v>0</v>
      </c>
      <c r="I1567">
        <v>0</v>
      </c>
      <c r="J1567" t="str">
        <f t="shared" si="144"/>
        <v>Non-Smoker</v>
      </c>
      <c r="K1567">
        <v>0</v>
      </c>
      <c r="L1567">
        <v>0</v>
      </c>
      <c r="M1567">
        <v>0</v>
      </c>
      <c r="N1567">
        <v>0</v>
      </c>
      <c r="O1567">
        <v>230</v>
      </c>
      <c r="P1567" t="str">
        <f t="shared" si="145"/>
        <v>Normal</v>
      </c>
      <c r="Q1567">
        <v>128.5</v>
      </c>
      <c r="R1567">
        <v>87.5</v>
      </c>
      <c r="S1567">
        <v>23.75</v>
      </c>
      <c r="T1567" t="str">
        <f t="shared" si="146"/>
        <v>Normal</v>
      </c>
      <c r="U1567">
        <v>82</v>
      </c>
      <c r="V1567">
        <v>62</v>
      </c>
      <c r="W1567" t="str">
        <f t="shared" si="149"/>
        <v>Normal</v>
      </c>
      <c r="X1567">
        <v>0</v>
      </c>
    </row>
    <row r="1568" spans="1:24" ht="14.5" thickBot="1" x14ac:dyDescent="0.35">
      <c r="A1568">
        <v>1</v>
      </c>
      <c r="B1568" t="str">
        <f t="shared" si="147"/>
        <v>Male</v>
      </c>
      <c r="C1568" s="8">
        <v>45</v>
      </c>
      <c r="D1568" t="str">
        <f t="shared" si="148"/>
        <v>Middle Age</v>
      </c>
      <c r="E1568">
        <v>1</v>
      </c>
      <c r="F1568" t="str">
        <f>HLOOKUP(E1568, LookUP_Table!$A$6:$D$7, 2, FALSE)</f>
        <v>Primary</v>
      </c>
      <c r="G1568" t="str">
        <f>IFERROR(VLOOKUP(E1568, LookUP_Table!$A$1:$B$4, 2, FALSE), "")</f>
        <v>Primary</v>
      </c>
      <c r="H1568">
        <v>1</v>
      </c>
      <c r="I1568">
        <v>20</v>
      </c>
      <c r="J1568" t="str">
        <f t="shared" si="144"/>
        <v>Smoker</v>
      </c>
      <c r="K1568">
        <v>0</v>
      </c>
      <c r="L1568">
        <v>0</v>
      </c>
      <c r="M1568">
        <v>0</v>
      </c>
      <c r="N1568">
        <v>0</v>
      </c>
      <c r="O1568">
        <v>200</v>
      </c>
      <c r="P1568" t="str">
        <f t="shared" si="145"/>
        <v>Normal</v>
      </c>
      <c r="Q1568">
        <v>113</v>
      </c>
      <c r="R1568">
        <v>75.5</v>
      </c>
      <c r="S1568">
        <v>21.51</v>
      </c>
      <c r="T1568" t="str">
        <f t="shared" si="146"/>
        <v>Normal</v>
      </c>
      <c r="U1568">
        <v>88</v>
      </c>
      <c r="V1568">
        <v>72</v>
      </c>
      <c r="W1568" t="str">
        <f t="shared" si="149"/>
        <v>Normal</v>
      </c>
      <c r="X1568">
        <v>0</v>
      </c>
    </row>
    <row r="1569" spans="1:24" ht="14.5" thickBot="1" x14ac:dyDescent="0.35">
      <c r="A1569">
        <v>1</v>
      </c>
      <c r="B1569" t="str">
        <f t="shared" si="147"/>
        <v>Male</v>
      </c>
      <c r="C1569" s="8">
        <v>45</v>
      </c>
      <c r="D1569" t="str">
        <f t="shared" si="148"/>
        <v>Middle Age</v>
      </c>
      <c r="E1569">
        <v>1</v>
      </c>
      <c r="F1569" t="str">
        <f>HLOOKUP(E1569, LookUP_Table!$A$6:$D$7, 2, FALSE)</f>
        <v>Primary</v>
      </c>
      <c r="G1569" t="str">
        <f>IFERROR(VLOOKUP(E1569, LookUP_Table!$A$1:$B$4, 2, FALSE), "")</f>
        <v>Primary</v>
      </c>
      <c r="H1569">
        <v>0</v>
      </c>
      <c r="I1569">
        <v>0</v>
      </c>
      <c r="J1569" t="str">
        <f t="shared" si="144"/>
        <v>Non-Smoker</v>
      </c>
      <c r="K1569">
        <v>0</v>
      </c>
      <c r="L1569">
        <v>0</v>
      </c>
      <c r="M1569">
        <v>0</v>
      </c>
      <c r="N1569">
        <v>0</v>
      </c>
      <c r="O1569">
        <v>252</v>
      </c>
      <c r="P1569" t="str">
        <f t="shared" si="145"/>
        <v>High</v>
      </c>
      <c r="Q1569">
        <v>124</v>
      </c>
      <c r="R1569">
        <v>89</v>
      </c>
      <c r="S1569">
        <v>22.82</v>
      </c>
      <c r="T1569" t="str">
        <f t="shared" si="146"/>
        <v>Normal</v>
      </c>
      <c r="U1569">
        <v>82</v>
      </c>
      <c r="V1569">
        <v>71</v>
      </c>
      <c r="W1569" t="str">
        <f t="shared" si="149"/>
        <v>Normal</v>
      </c>
      <c r="X1569">
        <v>0</v>
      </c>
    </row>
    <row r="1570" spans="1:24" ht="14.5" thickBot="1" x14ac:dyDescent="0.35">
      <c r="A1570">
        <v>0</v>
      </c>
      <c r="B1570" t="str">
        <f t="shared" si="147"/>
        <v>Female</v>
      </c>
      <c r="C1570" s="8">
        <v>45</v>
      </c>
      <c r="D1570" t="str">
        <f t="shared" si="148"/>
        <v>Middle Age</v>
      </c>
      <c r="E1570">
        <v>1</v>
      </c>
      <c r="F1570" t="str">
        <f>HLOOKUP(E1570, LookUP_Table!$A$6:$D$7, 2, FALSE)</f>
        <v>Primary</v>
      </c>
      <c r="G1570" t="str">
        <f>IFERROR(VLOOKUP(E1570, LookUP_Table!$A$1:$B$4, 2, FALSE), "")</f>
        <v>Primary</v>
      </c>
      <c r="H1570">
        <v>1</v>
      </c>
      <c r="I1570">
        <v>5</v>
      </c>
      <c r="J1570" t="str">
        <f t="shared" si="144"/>
        <v>Smoker</v>
      </c>
      <c r="K1570">
        <v>0</v>
      </c>
      <c r="L1570">
        <v>0</v>
      </c>
      <c r="M1570">
        <v>1</v>
      </c>
      <c r="N1570">
        <v>0</v>
      </c>
      <c r="O1570">
        <v>268</v>
      </c>
      <c r="P1570" t="str">
        <f t="shared" si="145"/>
        <v>High</v>
      </c>
      <c r="Q1570">
        <v>130</v>
      </c>
      <c r="R1570">
        <v>94</v>
      </c>
      <c r="S1570">
        <v>34.270000000000003</v>
      </c>
      <c r="T1570" t="str">
        <f t="shared" si="146"/>
        <v>Obese</v>
      </c>
      <c r="U1570">
        <v>85</v>
      </c>
      <c r="V1570">
        <v>93</v>
      </c>
      <c r="W1570" t="str">
        <f t="shared" si="149"/>
        <v>Normal</v>
      </c>
      <c r="X1570">
        <v>0</v>
      </c>
    </row>
    <row r="1571" spans="1:24" ht="14.5" thickBot="1" x14ac:dyDescent="0.35">
      <c r="A1571">
        <v>1</v>
      </c>
      <c r="B1571" t="str">
        <f t="shared" si="147"/>
        <v>Male</v>
      </c>
      <c r="C1571" s="8">
        <v>45</v>
      </c>
      <c r="D1571" t="str">
        <f t="shared" si="148"/>
        <v>Middle Age</v>
      </c>
      <c r="E1571">
        <v>4</v>
      </c>
      <c r="F1571" t="str">
        <f>HLOOKUP(E1571, LookUP_Table!$A$6:$D$7, 2, FALSE)</f>
        <v>Post Graduate</v>
      </c>
      <c r="G1571" t="str">
        <f>IFERROR(VLOOKUP(E1571, LookUP_Table!$A$1:$B$4, 2, FALSE), "")</f>
        <v>Post Graduate</v>
      </c>
      <c r="H1571">
        <v>0</v>
      </c>
      <c r="I1571">
        <v>0</v>
      </c>
      <c r="J1571" t="str">
        <f t="shared" si="144"/>
        <v>Non-Smoker</v>
      </c>
      <c r="K1571">
        <v>0</v>
      </c>
      <c r="L1571">
        <v>0</v>
      </c>
      <c r="M1571">
        <v>0</v>
      </c>
      <c r="N1571">
        <v>1</v>
      </c>
      <c r="O1571">
        <v>189</v>
      </c>
      <c r="P1571" t="str">
        <f t="shared" si="145"/>
        <v>Normal</v>
      </c>
      <c r="Q1571">
        <v>132</v>
      </c>
      <c r="R1571">
        <v>78</v>
      </c>
      <c r="S1571">
        <v>28.4</v>
      </c>
      <c r="T1571" t="str">
        <f t="shared" si="146"/>
        <v>Overweight</v>
      </c>
      <c r="U1571">
        <v>75</v>
      </c>
      <c r="V1571">
        <v>177</v>
      </c>
      <c r="W1571" t="str">
        <f t="shared" si="149"/>
        <v>Diabetes</v>
      </c>
      <c r="X1571">
        <v>0</v>
      </c>
    </row>
    <row r="1572" spans="1:24" ht="14.5" thickBot="1" x14ac:dyDescent="0.35">
      <c r="A1572">
        <v>0</v>
      </c>
      <c r="B1572" t="str">
        <f t="shared" si="147"/>
        <v>Female</v>
      </c>
      <c r="C1572" s="8">
        <v>45</v>
      </c>
      <c r="D1572" t="str">
        <f t="shared" si="148"/>
        <v>Middle Age</v>
      </c>
      <c r="E1572">
        <v>3</v>
      </c>
      <c r="F1572" t="str">
        <f>HLOOKUP(E1572, LookUP_Table!$A$6:$D$7, 2, FALSE)</f>
        <v>Graduate</v>
      </c>
      <c r="G1572" t="str">
        <f>IFERROR(VLOOKUP(E1572, LookUP_Table!$A$1:$B$4, 2, FALSE), "")</f>
        <v>Graduate</v>
      </c>
      <c r="H1572">
        <v>0</v>
      </c>
      <c r="I1572">
        <v>0</v>
      </c>
      <c r="J1572" t="str">
        <f t="shared" si="144"/>
        <v>Non-Smoker</v>
      </c>
      <c r="K1572">
        <v>0</v>
      </c>
      <c r="L1572">
        <v>0</v>
      </c>
      <c r="M1572">
        <v>0</v>
      </c>
      <c r="N1572">
        <v>0</v>
      </c>
      <c r="O1572">
        <v>297</v>
      </c>
      <c r="P1572" t="str">
        <f t="shared" si="145"/>
        <v>High</v>
      </c>
      <c r="Q1572">
        <v>134</v>
      </c>
      <c r="R1572">
        <v>93</v>
      </c>
      <c r="S1572">
        <v>28.81</v>
      </c>
      <c r="T1572" t="str">
        <f t="shared" si="146"/>
        <v>Overweight</v>
      </c>
      <c r="U1572">
        <v>92</v>
      </c>
      <c r="V1572">
        <v>74</v>
      </c>
      <c r="W1572" t="str">
        <f t="shared" si="149"/>
        <v>Normal</v>
      </c>
      <c r="X1572">
        <v>0</v>
      </c>
    </row>
    <row r="1573" spans="1:24" ht="14.5" thickBot="1" x14ac:dyDescent="0.35">
      <c r="A1573">
        <v>1</v>
      </c>
      <c r="B1573" t="str">
        <f t="shared" si="147"/>
        <v>Male</v>
      </c>
      <c r="C1573" s="8">
        <v>45</v>
      </c>
      <c r="D1573" t="str">
        <f t="shared" si="148"/>
        <v>Middle Age</v>
      </c>
      <c r="E1573">
        <v>3</v>
      </c>
      <c r="F1573" t="str">
        <f>HLOOKUP(E1573, LookUP_Table!$A$6:$D$7, 2, FALSE)</f>
        <v>Graduate</v>
      </c>
      <c r="G1573" t="str">
        <f>IFERROR(VLOOKUP(E1573, LookUP_Table!$A$1:$B$4, 2, FALSE), "")</f>
        <v>Graduate</v>
      </c>
      <c r="H1573">
        <v>0</v>
      </c>
      <c r="I1573">
        <v>0</v>
      </c>
      <c r="J1573" t="str">
        <f t="shared" si="144"/>
        <v>Non-Smoker</v>
      </c>
      <c r="K1573">
        <v>0</v>
      </c>
      <c r="L1573">
        <v>0</v>
      </c>
      <c r="M1573">
        <v>0</v>
      </c>
      <c r="N1573">
        <v>0</v>
      </c>
      <c r="O1573">
        <v>185</v>
      </c>
      <c r="P1573" t="str">
        <f t="shared" si="145"/>
        <v>Normal</v>
      </c>
      <c r="Q1573">
        <v>108</v>
      </c>
      <c r="R1573">
        <v>70</v>
      </c>
      <c r="S1573">
        <v>20.5</v>
      </c>
      <c r="T1573" t="str">
        <f t="shared" si="146"/>
        <v>Normal</v>
      </c>
      <c r="U1573">
        <v>60</v>
      </c>
      <c r="V1573">
        <v>87</v>
      </c>
      <c r="W1573" t="str">
        <f t="shared" si="149"/>
        <v>Normal</v>
      </c>
      <c r="X1573">
        <v>0</v>
      </c>
    </row>
    <row r="1574" spans="1:24" ht="14.5" thickBot="1" x14ac:dyDescent="0.35">
      <c r="A1574">
        <v>0</v>
      </c>
      <c r="B1574" t="str">
        <f t="shared" si="147"/>
        <v>Female</v>
      </c>
      <c r="C1574" s="8">
        <v>45</v>
      </c>
      <c r="D1574" t="str">
        <f t="shared" si="148"/>
        <v>Middle Age</v>
      </c>
      <c r="E1574">
        <v>2</v>
      </c>
      <c r="F1574" t="str">
        <f>HLOOKUP(E1574, LookUP_Table!$A$6:$D$7, 2, FALSE)</f>
        <v>Secondary</v>
      </c>
      <c r="G1574" t="str">
        <f>IFERROR(VLOOKUP(E1574, LookUP_Table!$A$1:$B$4, 2, FALSE), "")</f>
        <v>Secondary</v>
      </c>
      <c r="H1574">
        <v>1</v>
      </c>
      <c r="I1574">
        <v>3</v>
      </c>
      <c r="J1574" t="str">
        <f t="shared" si="144"/>
        <v>Smoker</v>
      </c>
      <c r="K1574">
        <v>0</v>
      </c>
      <c r="L1574">
        <v>0</v>
      </c>
      <c r="M1574">
        <v>0</v>
      </c>
      <c r="N1574">
        <v>0</v>
      </c>
      <c r="O1574">
        <v>220</v>
      </c>
      <c r="P1574" t="str">
        <f t="shared" si="145"/>
        <v>Normal</v>
      </c>
      <c r="Q1574">
        <v>133.5</v>
      </c>
      <c r="R1574">
        <v>85.5</v>
      </c>
      <c r="S1574">
        <v>25.38</v>
      </c>
      <c r="T1574" t="str">
        <f t="shared" si="146"/>
        <v>Overweight</v>
      </c>
      <c r="U1574">
        <v>65</v>
      </c>
      <c r="V1574">
        <v>73</v>
      </c>
      <c r="W1574" t="str">
        <f t="shared" si="149"/>
        <v>Normal</v>
      </c>
      <c r="X1574">
        <v>0</v>
      </c>
    </row>
    <row r="1575" spans="1:24" ht="14.5" thickBot="1" x14ac:dyDescent="0.35">
      <c r="A1575">
        <v>0</v>
      </c>
      <c r="B1575" t="str">
        <f t="shared" si="147"/>
        <v>Female</v>
      </c>
      <c r="C1575" s="8">
        <v>45</v>
      </c>
      <c r="D1575" t="str">
        <f t="shared" si="148"/>
        <v>Middle Age</v>
      </c>
      <c r="E1575">
        <v>2</v>
      </c>
      <c r="F1575" t="str">
        <f>HLOOKUP(E1575, LookUP_Table!$A$6:$D$7, 2, FALSE)</f>
        <v>Secondary</v>
      </c>
      <c r="G1575" t="str">
        <f>IFERROR(VLOOKUP(E1575, LookUP_Table!$A$1:$B$4, 2, FALSE), "")</f>
        <v>Secondary</v>
      </c>
      <c r="H1575">
        <v>1</v>
      </c>
      <c r="I1575">
        <v>10</v>
      </c>
      <c r="J1575" t="str">
        <f t="shared" si="144"/>
        <v>Smoker</v>
      </c>
      <c r="K1575">
        <v>0</v>
      </c>
      <c r="L1575">
        <v>0</v>
      </c>
      <c r="M1575">
        <v>1</v>
      </c>
      <c r="N1575">
        <v>0</v>
      </c>
      <c r="O1575">
        <v>232</v>
      </c>
      <c r="P1575" t="str">
        <f t="shared" si="145"/>
        <v>Normal</v>
      </c>
      <c r="Q1575">
        <v>163</v>
      </c>
      <c r="R1575">
        <v>101</v>
      </c>
      <c r="S1575">
        <v>23.26</v>
      </c>
      <c r="T1575" t="str">
        <f t="shared" si="146"/>
        <v>Normal</v>
      </c>
      <c r="U1575">
        <v>100</v>
      </c>
      <c r="V1575">
        <v>74</v>
      </c>
      <c r="W1575" t="str">
        <f t="shared" si="149"/>
        <v>Normal</v>
      </c>
      <c r="X1575">
        <v>0</v>
      </c>
    </row>
    <row r="1576" spans="1:24" ht="14.5" thickBot="1" x14ac:dyDescent="0.35">
      <c r="A1576">
        <v>1</v>
      </c>
      <c r="B1576" t="str">
        <f t="shared" si="147"/>
        <v>Male</v>
      </c>
      <c r="C1576" s="8">
        <v>45</v>
      </c>
      <c r="D1576" t="str">
        <f t="shared" si="148"/>
        <v>Middle Age</v>
      </c>
      <c r="E1576">
        <v>1</v>
      </c>
      <c r="F1576" t="str">
        <f>HLOOKUP(E1576, LookUP_Table!$A$6:$D$7, 2, FALSE)</f>
        <v>Primary</v>
      </c>
      <c r="G1576" t="str">
        <f>IFERROR(VLOOKUP(E1576, LookUP_Table!$A$1:$B$4, 2, FALSE), "")</f>
        <v>Primary</v>
      </c>
      <c r="H1576">
        <v>1</v>
      </c>
      <c r="I1576">
        <v>20</v>
      </c>
      <c r="J1576" t="str">
        <f t="shared" si="144"/>
        <v>Smoker</v>
      </c>
      <c r="K1576">
        <v>0</v>
      </c>
      <c r="L1576">
        <v>0</v>
      </c>
      <c r="M1576">
        <v>0</v>
      </c>
      <c r="N1576">
        <v>0</v>
      </c>
      <c r="O1576">
        <v>212</v>
      </c>
      <c r="P1576" t="str">
        <f t="shared" si="145"/>
        <v>Normal</v>
      </c>
      <c r="Q1576">
        <v>118</v>
      </c>
      <c r="R1576">
        <v>71</v>
      </c>
      <c r="S1576">
        <v>21.03</v>
      </c>
      <c r="T1576" t="str">
        <f t="shared" si="146"/>
        <v>Normal</v>
      </c>
      <c r="U1576">
        <v>66</v>
      </c>
      <c r="V1576">
        <v>83</v>
      </c>
      <c r="W1576" t="str">
        <f t="shared" si="149"/>
        <v>Normal</v>
      </c>
      <c r="X1576">
        <v>0</v>
      </c>
    </row>
    <row r="1577" spans="1:24" ht="14.5" thickBot="1" x14ac:dyDescent="0.35">
      <c r="A1577">
        <v>1</v>
      </c>
      <c r="B1577" t="str">
        <f t="shared" si="147"/>
        <v>Male</v>
      </c>
      <c r="C1577" s="8">
        <v>45</v>
      </c>
      <c r="D1577" t="str">
        <f t="shared" si="148"/>
        <v>Middle Age</v>
      </c>
      <c r="E1577">
        <v>3</v>
      </c>
      <c r="F1577" t="str">
        <f>HLOOKUP(E1577, LookUP_Table!$A$6:$D$7, 2, FALSE)</f>
        <v>Graduate</v>
      </c>
      <c r="G1577" t="str">
        <f>IFERROR(VLOOKUP(E1577, LookUP_Table!$A$1:$B$4, 2, FALSE), "")</f>
        <v>Graduate</v>
      </c>
      <c r="H1577">
        <v>1</v>
      </c>
      <c r="I1577">
        <v>20</v>
      </c>
      <c r="J1577" t="str">
        <f t="shared" si="144"/>
        <v>Smoker</v>
      </c>
      <c r="K1577">
        <v>0</v>
      </c>
      <c r="L1577">
        <v>0</v>
      </c>
      <c r="M1577">
        <v>0</v>
      </c>
      <c r="N1577">
        <v>0</v>
      </c>
      <c r="O1577">
        <v>207</v>
      </c>
      <c r="P1577" t="str">
        <f t="shared" si="145"/>
        <v>Normal</v>
      </c>
      <c r="Q1577">
        <v>111</v>
      </c>
      <c r="R1577">
        <v>72</v>
      </c>
      <c r="S1577">
        <v>21.49</v>
      </c>
      <c r="T1577" t="str">
        <f t="shared" si="146"/>
        <v>Normal</v>
      </c>
      <c r="U1577">
        <v>67</v>
      </c>
      <c r="V1577">
        <v>87</v>
      </c>
      <c r="W1577" t="str">
        <f t="shared" si="149"/>
        <v>Normal</v>
      </c>
      <c r="X1577">
        <v>0</v>
      </c>
    </row>
    <row r="1578" spans="1:24" ht="14.5" thickBot="1" x14ac:dyDescent="0.35">
      <c r="A1578">
        <v>0</v>
      </c>
      <c r="B1578" t="str">
        <f t="shared" si="147"/>
        <v>Female</v>
      </c>
      <c r="C1578" s="8">
        <v>45</v>
      </c>
      <c r="D1578" t="str">
        <f t="shared" si="148"/>
        <v>Middle Age</v>
      </c>
      <c r="E1578">
        <v>1</v>
      </c>
      <c r="F1578" t="str">
        <f>HLOOKUP(E1578, LookUP_Table!$A$6:$D$7, 2, FALSE)</f>
        <v>Primary</v>
      </c>
      <c r="G1578" t="str">
        <f>IFERROR(VLOOKUP(E1578, LookUP_Table!$A$1:$B$4, 2, FALSE), "")</f>
        <v>Primary</v>
      </c>
      <c r="H1578">
        <v>0</v>
      </c>
      <c r="I1578">
        <v>0</v>
      </c>
      <c r="J1578" t="str">
        <f t="shared" si="144"/>
        <v>Non-Smoker</v>
      </c>
      <c r="K1578">
        <v>0</v>
      </c>
      <c r="L1578">
        <v>0</v>
      </c>
      <c r="M1578">
        <v>0</v>
      </c>
      <c r="N1578">
        <v>0</v>
      </c>
      <c r="O1578">
        <v>219</v>
      </c>
      <c r="P1578" t="str">
        <f t="shared" si="145"/>
        <v>Normal</v>
      </c>
      <c r="Q1578">
        <v>123.5</v>
      </c>
      <c r="R1578">
        <v>80.5</v>
      </c>
      <c r="S1578">
        <v>24.45</v>
      </c>
      <c r="T1578" t="str">
        <f t="shared" si="146"/>
        <v>Normal</v>
      </c>
      <c r="U1578">
        <v>65</v>
      </c>
      <c r="V1578">
        <v>83</v>
      </c>
      <c r="W1578" t="str">
        <f t="shared" si="149"/>
        <v>Normal</v>
      </c>
      <c r="X1578">
        <v>0</v>
      </c>
    </row>
    <row r="1579" spans="1:24" ht="14.5" thickBot="1" x14ac:dyDescent="0.35">
      <c r="A1579">
        <v>1</v>
      </c>
      <c r="B1579" t="str">
        <f t="shared" si="147"/>
        <v>Male</v>
      </c>
      <c r="C1579" s="8">
        <v>45</v>
      </c>
      <c r="D1579" t="str">
        <f t="shared" si="148"/>
        <v>Middle Age</v>
      </c>
      <c r="E1579">
        <v>1</v>
      </c>
      <c r="F1579" t="str">
        <f>HLOOKUP(E1579, LookUP_Table!$A$6:$D$7, 2, FALSE)</f>
        <v>Primary</v>
      </c>
      <c r="G1579" t="str">
        <f>IFERROR(VLOOKUP(E1579, LookUP_Table!$A$1:$B$4, 2, FALSE), "")</f>
        <v>Primary</v>
      </c>
      <c r="H1579">
        <v>0</v>
      </c>
      <c r="I1579">
        <v>0</v>
      </c>
      <c r="J1579" t="str">
        <f t="shared" si="144"/>
        <v>Non-Smoker</v>
      </c>
      <c r="K1579">
        <v>0</v>
      </c>
      <c r="L1579">
        <v>0</v>
      </c>
      <c r="M1579">
        <v>0</v>
      </c>
      <c r="N1579">
        <v>0</v>
      </c>
      <c r="O1579">
        <v>213</v>
      </c>
      <c r="P1579" t="str">
        <f t="shared" si="145"/>
        <v>Normal</v>
      </c>
      <c r="Q1579">
        <v>130</v>
      </c>
      <c r="R1579">
        <v>80</v>
      </c>
      <c r="S1579">
        <v>27.25</v>
      </c>
      <c r="T1579" t="str">
        <f t="shared" si="146"/>
        <v>Overweight</v>
      </c>
      <c r="U1579">
        <v>68</v>
      </c>
      <c r="V1579">
        <v>75</v>
      </c>
      <c r="W1579" t="str">
        <f t="shared" si="149"/>
        <v>Normal</v>
      </c>
      <c r="X1579">
        <v>0</v>
      </c>
    </row>
    <row r="1580" spans="1:24" ht="14.5" thickBot="1" x14ac:dyDescent="0.35">
      <c r="A1580">
        <v>1</v>
      </c>
      <c r="B1580" t="str">
        <f t="shared" si="147"/>
        <v>Male</v>
      </c>
      <c r="C1580" s="8">
        <v>45</v>
      </c>
      <c r="D1580" t="str">
        <f t="shared" si="148"/>
        <v>Middle Age</v>
      </c>
      <c r="E1580">
        <v>4</v>
      </c>
      <c r="F1580" t="str">
        <f>HLOOKUP(E1580, LookUP_Table!$A$6:$D$7, 2, FALSE)</f>
        <v>Post Graduate</v>
      </c>
      <c r="G1580" t="str">
        <f>IFERROR(VLOOKUP(E1580, LookUP_Table!$A$1:$B$4, 2, FALSE), "")</f>
        <v>Post Graduate</v>
      </c>
      <c r="H1580">
        <v>1</v>
      </c>
      <c r="I1580">
        <v>10</v>
      </c>
      <c r="J1580" t="str">
        <f t="shared" si="144"/>
        <v>Smoker</v>
      </c>
      <c r="K1580">
        <v>0</v>
      </c>
      <c r="L1580">
        <v>0</v>
      </c>
      <c r="M1580">
        <v>1</v>
      </c>
      <c r="N1580">
        <v>0</v>
      </c>
      <c r="O1580">
        <v>255</v>
      </c>
      <c r="P1580" t="str">
        <f t="shared" si="145"/>
        <v>High</v>
      </c>
      <c r="Q1580">
        <v>111</v>
      </c>
      <c r="R1580">
        <v>80</v>
      </c>
      <c r="S1580">
        <v>30.92</v>
      </c>
      <c r="T1580" t="str">
        <f t="shared" si="146"/>
        <v>Obese</v>
      </c>
      <c r="U1580">
        <v>72</v>
      </c>
      <c r="V1580">
        <v>80</v>
      </c>
      <c r="W1580" t="str">
        <f t="shared" si="149"/>
        <v>Normal</v>
      </c>
      <c r="X1580">
        <v>0</v>
      </c>
    </row>
    <row r="1581" spans="1:24" ht="14.5" thickBot="1" x14ac:dyDescent="0.35">
      <c r="A1581">
        <v>1</v>
      </c>
      <c r="B1581" t="str">
        <f t="shared" si="147"/>
        <v>Male</v>
      </c>
      <c r="C1581" s="8">
        <v>45</v>
      </c>
      <c r="D1581" t="str">
        <f t="shared" si="148"/>
        <v>Middle Age</v>
      </c>
      <c r="E1581">
        <v>3</v>
      </c>
      <c r="F1581" t="str">
        <f>HLOOKUP(E1581, LookUP_Table!$A$6:$D$7, 2, FALSE)</f>
        <v>Graduate</v>
      </c>
      <c r="G1581" t="str">
        <f>IFERROR(VLOOKUP(E1581, LookUP_Table!$A$1:$B$4, 2, FALSE), "")</f>
        <v>Graduate</v>
      </c>
      <c r="H1581">
        <v>0</v>
      </c>
      <c r="I1581">
        <v>0</v>
      </c>
      <c r="J1581" t="str">
        <f t="shared" si="144"/>
        <v>Non-Smoker</v>
      </c>
      <c r="K1581">
        <v>0</v>
      </c>
      <c r="L1581">
        <v>0</v>
      </c>
      <c r="M1581">
        <v>0</v>
      </c>
      <c r="N1581">
        <v>0</v>
      </c>
      <c r="O1581">
        <v>347</v>
      </c>
      <c r="P1581" t="str">
        <f t="shared" si="145"/>
        <v>High</v>
      </c>
      <c r="Q1581">
        <v>157</v>
      </c>
      <c r="R1581">
        <v>98</v>
      </c>
      <c r="S1581">
        <v>26.63</v>
      </c>
      <c r="T1581" t="str">
        <f t="shared" si="146"/>
        <v>Overweight</v>
      </c>
      <c r="U1581">
        <v>88</v>
      </c>
      <c r="V1581">
        <v>80</v>
      </c>
      <c r="W1581" t="str">
        <f t="shared" si="149"/>
        <v>Normal</v>
      </c>
      <c r="X1581">
        <v>0</v>
      </c>
    </row>
    <row r="1582" spans="1:24" ht="14.5" thickBot="1" x14ac:dyDescent="0.35">
      <c r="A1582">
        <v>1</v>
      </c>
      <c r="B1582" t="str">
        <f t="shared" si="147"/>
        <v>Male</v>
      </c>
      <c r="C1582" s="8">
        <v>45</v>
      </c>
      <c r="D1582" t="str">
        <f t="shared" si="148"/>
        <v>Middle Age</v>
      </c>
      <c r="E1582">
        <v>1</v>
      </c>
      <c r="F1582" t="str">
        <f>HLOOKUP(E1582, LookUP_Table!$A$6:$D$7, 2, FALSE)</f>
        <v>Primary</v>
      </c>
      <c r="G1582" t="str">
        <f>IFERROR(VLOOKUP(E1582, LookUP_Table!$A$1:$B$4, 2, FALSE), "")</f>
        <v>Primary</v>
      </c>
      <c r="H1582">
        <v>1</v>
      </c>
      <c r="I1582">
        <v>20</v>
      </c>
      <c r="J1582" t="str">
        <f t="shared" si="144"/>
        <v>Smoker</v>
      </c>
      <c r="K1582">
        <v>0</v>
      </c>
      <c r="L1582">
        <v>0</v>
      </c>
      <c r="M1582">
        <v>1</v>
      </c>
      <c r="N1582">
        <v>0</v>
      </c>
      <c r="O1582">
        <v>256</v>
      </c>
      <c r="P1582" t="str">
        <f t="shared" si="145"/>
        <v>High</v>
      </c>
      <c r="Q1582">
        <v>144</v>
      </c>
      <c r="R1582">
        <v>96</v>
      </c>
      <c r="S1582">
        <v>26.6</v>
      </c>
      <c r="T1582" t="str">
        <f t="shared" si="146"/>
        <v>Overweight</v>
      </c>
      <c r="U1582">
        <v>75</v>
      </c>
      <c r="V1582">
        <v>83</v>
      </c>
      <c r="W1582" t="str">
        <f t="shared" si="149"/>
        <v>Normal</v>
      </c>
      <c r="X1582">
        <v>0</v>
      </c>
    </row>
    <row r="1583" spans="1:24" ht="14.5" thickBot="1" x14ac:dyDescent="0.35">
      <c r="A1583">
        <v>0</v>
      </c>
      <c r="B1583" t="str">
        <f t="shared" si="147"/>
        <v>Female</v>
      </c>
      <c r="C1583" s="8">
        <v>45</v>
      </c>
      <c r="D1583" t="str">
        <f t="shared" si="148"/>
        <v>Middle Age</v>
      </c>
      <c r="E1583">
        <v>1</v>
      </c>
      <c r="F1583" t="str">
        <f>HLOOKUP(E1583, LookUP_Table!$A$6:$D$7, 2, FALSE)</f>
        <v>Primary</v>
      </c>
      <c r="G1583" t="str">
        <f>IFERROR(VLOOKUP(E1583, LookUP_Table!$A$1:$B$4, 2, FALSE), "")</f>
        <v>Primary</v>
      </c>
      <c r="H1583">
        <v>0</v>
      </c>
      <c r="I1583">
        <v>0</v>
      </c>
      <c r="J1583" t="str">
        <f t="shared" si="144"/>
        <v>Non-Smoker</v>
      </c>
      <c r="K1583">
        <v>0</v>
      </c>
      <c r="L1583">
        <v>0</v>
      </c>
      <c r="M1583">
        <v>0</v>
      </c>
      <c r="N1583">
        <v>0</v>
      </c>
      <c r="O1583">
        <v>285</v>
      </c>
      <c r="P1583" t="str">
        <f t="shared" si="145"/>
        <v>High</v>
      </c>
      <c r="Q1583">
        <v>120</v>
      </c>
      <c r="R1583">
        <v>80</v>
      </c>
      <c r="S1583">
        <v>27.45</v>
      </c>
      <c r="T1583" t="str">
        <f t="shared" si="146"/>
        <v>Overweight</v>
      </c>
      <c r="U1583">
        <v>84</v>
      </c>
      <c r="V1583">
        <v>93</v>
      </c>
      <c r="W1583" t="str">
        <f t="shared" si="149"/>
        <v>Normal</v>
      </c>
      <c r="X1583">
        <v>0</v>
      </c>
    </row>
    <row r="1584" spans="1:24" ht="14.5" thickBot="1" x14ac:dyDescent="0.35">
      <c r="A1584">
        <v>0</v>
      </c>
      <c r="B1584" t="str">
        <f t="shared" si="147"/>
        <v>Female</v>
      </c>
      <c r="C1584" s="8">
        <v>45</v>
      </c>
      <c r="D1584" t="str">
        <f t="shared" si="148"/>
        <v>Middle Age</v>
      </c>
      <c r="E1584">
        <v>4</v>
      </c>
      <c r="F1584" t="str">
        <f>HLOOKUP(E1584, LookUP_Table!$A$6:$D$7, 2, FALSE)</f>
        <v>Post Graduate</v>
      </c>
      <c r="G1584" t="str">
        <f>IFERROR(VLOOKUP(E1584, LookUP_Table!$A$1:$B$4, 2, FALSE), "")</f>
        <v>Post Graduate</v>
      </c>
      <c r="H1584">
        <v>1</v>
      </c>
      <c r="I1584">
        <v>10</v>
      </c>
      <c r="J1584" t="str">
        <f t="shared" si="144"/>
        <v>Smoker</v>
      </c>
      <c r="K1584">
        <v>0</v>
      </c>
      <c r="L1584">
        <v>0</v>
      </c>
      <c r="M1584">
        <v>0</v>
      </c>
      <c r="N1584">
        <v>0</v>
      </c>
      <c r="O1584">
        <v>202</v>
      </c>
      <c r="P1584" t="str">
        <f t="shared" si="145"/>
        <v>Normal</v>
      </c>
      <c r="Q1584">
        <v>93.5</v>
      </c>
      <c r="R1584">
        <v>58</v>
      </c>
      <c r="S1584">
        <v>21.25</v>
      </c>
      <c r="T1584" t="str">
        <f t="shared" si="146"/>
        <v>Normal</v>
      </c>
      <c r="U1584">
        <v>60</v>
      </c>
      <c r="V1584">
        <v>60</v>
      </c>
      <c r="W1584" t="str">
        <f t="shared" si="149"/>
        <v>Normal</v>
      </c>
      <c r="X1584">
        <v>0</v>
      </c>
    </row>
    <row r="1585" spans="1:24" ht="14.5" thickBot="1" x14ac:dyDescent="0.35">
      <c r="A1585">
        <v>1</v>
      </c>
      <c r="B1585" t="str">
        <f t="shared" si="147"/>
        <v>Male</v>
      </c>
      <c r="C1585" s="8">
        <v>45</v>
      </c>
      <c r="D1585" t="str">
        <f t="shared" si="148"/>
        <v>Middle Age</v>
      </c>
      <c r="E1585">
        <v>3</v>
      </c>
      <c r="F1585" t="str">
        <f>HLOOKUP(E1585, LookUP_Table!$A$6:$D$7, 2, FALSE)</f>
        <v>Graduate</v>
      </c>
      <c r="G1585" t="str">
        <f>IFERROR(VLOOKUP(E1585, LookUP_Table!$A$1:$B$4, 2, FALSE), "")</f>
        <v>Graduate</v>
      </c>
      <c r="H1585">
        <v>1</v>
      </c>
      <c r="I1585">
        <v>30</v>
      </c>
      <c r="J1585" t="str">
        <f t="shared" si="144"/>
        <v>Smoker</v>
      </c>
      <c r="K1585">
        <v>0</v>
      </c>
      <c r="L1585">
        <v>0</v>
      </c>
      <c r="M1585">
        <v>1</v>
      </c>
      <c r="N1585">
        <v>0</v>
      </c>
      <c r="O1585">
        <v>233</v>
      </c>
      <c r="P1585" t="str">
        <f t="shared" si="145"/>
        <v>Normal</v>
      </c>
      <c r="Q1585">
        <v>147</v>
      </c>
      <c r="R1585">
        <v>101</v>
      </c>
      <c r="S1585">
        <v>24.32</v>
      </c>
      <c r="T1585" t="str">
        <f t="shared" si="146"/>
        <v>Normal</v>
      </c>
      <c r="U1585">
        <v>75</v>
      </c>
      <c r="V1585">
        <v>99</v>
      </c>
      <c r="W1585" t="str">
        <f t="shared" si="149"/>
        <v>Normal</v>
      </c>
      <c r="X1585">
        <v>0</v>
      </c>
    </row>
    <row r="1586" spans="1:24" ht="14.5" thickBot="1" x14ac:dyDescent="0.35">
      <c r="A1586">
        <v>1</v>
      </c>
      <c r="B1586" t="str">
        <f t="shared" si="147"/>
        <v>Male</v>
      </c>
      <c r="C1586" s="8">
        <v>45</v>
      </c>
      <c r="D1586" t="str">
        <f t="shared" si="148"/>
        <v>Middle Age</v>
      </c>
      <c r="E1586">
        <v>1</v>
      </c>
      <c r="F1586" t="str">
        <f>HLOOKUP(E1586, LookUP_Table!$A$6:$D$7, 2, FALSE)</f>
        <v>Primary</v>
      </c>
      <c r="G1586" t="str">
        <f>IFERROR(VLOOKUP(E1586, LookUP_Table!$A$1:$B$4, 2, FALSE), "")</f>
        <v>Primary</v>
      </c>
      <c r="H1586">
        <v>0</v>
      </c>
      <c r="I1586">
        <v>0</v>
      </c>
      <c r="J1586" t="str">
        <f t="shared" si="144"/>
        <v>Non-Smoker</v>
      </c>
      <c r="K1586">
        <v>0</v>
      </c>
      <c r="L1586">
        <v>0</v>
      </c>
      <c r="M1586">
        <v>0</v>
      </c>
      <c r="N1586">
        <v>0</v>
      </c>
      <c r="O1586">
        <v>220</v>
      </c>
      <c r="P1586" t="str">
        <f t="shared" si="145"/>
        <v>Normal</v>
      </c>
      <c r="Q1586">
        <v>139</v>
      </c>
      <c r="R1586">
        <v>74</v>
      </c>
      <c r="S1586">
        <v>27.34</v>
      </c>
      <c r="T1586" t="str">
        <f t="shared" si="146"/>
        <v>Overweight</v>
      </c>
      <c r="U1586">
        <v>70</v>
      </c>
      <c r="V1586">
        <v>100</v>
      </c>
      <c r="W1586" t="str">
        <f t="shared" si="149"/>
        <v>Prediabetes</v>
      </c>
      <c r="X1586">
        <v>0</v>
      </c>
    </row>
    <row r="1587" spans="1:24" ht="14.5" thickBot="1" x14ac:dyDescent="0.35">
      <c r="A1587">
        <v>0</v>
      </c>
      <c r="B1587" t="str">
        <f t="shared" si="147"/>
        <v>Female</v>
      </c>
      <c r="C1587" s="8">
        <v>45</v>
      </c>
      <c r="D1587" t="str">
        <f t="shared" si="148"/>
        <v>Middle Age</v>
      </c>
      <c r="E1587">
        <v>1</v>
      </c>
      <c r="F1587" t="str">
        <f>HLOOKUP(E1587, LookUP_Table!$A$6:$D$7, 2, FALSE)</f>
        <v>Primary</v>
      </c>
      <c r="G1587" t="str">
        <f>IFERROR(VLOOKUP(E1587, LookUP_Table!$A$1:$B$4, 2, FALSE), "")</f>
        <v>Primary</v>
      </c>
      <c r="H1587">
        <v>1</v>
      </c>
      <c r="I1587">
        <v>2</v>
      </c>
      <c r="J1587" t="str">
        <f t="shared" si="144"/>
        <v>Smoker</v>
      </c>
      <c r="K1587">
        <v>0</v>
      </c>
      <c r="L1587">
        <v>0</v>
      </c>
      <c r="M1587">
        <v>0</v>
      </c>
      <c r="N1587">
        <v>0</v>
      </c>
      <c r="O1587">
        <v>291</v>
      </c>
      <c r="P1587" t="str">
        <f t="shared" si="145"/>
        <v>High</v>
      </c>
      <c r="Q1587">
        <v>125</v>
      </c>
      <c r="R1587">
        <v>82</v>
      </c>
      <c r="S1587">
        <v>21.26</v>
      </c>
      <c r="T1587" t="str">
        <f t="shared" si="146"/>
        <v>Normal</v>
      </c>
      <c r="U1587">
        <v>75</v>
      </c>
      <c r="V1587">
        <v>72</v>
      </c>
      <c r="W1587" t="str">
        <f t="shared" si="149"/>
        <v>Normal</v>
      </c>
      <c r="X1587">
        <v>0</v>
      </c>
    </row>
    <row r="1588" spans="1:24" ht="14.5" thickBot="1" x14ac:dyDescent="0.35">
      <c r="A1588">
        <v>0</v>
      </c>
      <c r="B1588" t="str">
        <f t="shared" si="147"/>
        <v>Female</v>
      </c>
      <c r="C1588" s="8">
        <v>45</v>
      </c>
      <c r="D1588" t="str">
        <f t="shared" si="148"/>
        <v>Middle Age</v>
      </c>
      <c r="E1588">
        <v>1</v>
      </c>
      <c r="F1588" t="str">
        <f>HLOOKUP(E1588, LookUP_Table!$A$6:$D$7, 2, FALSE)</f>
        <v>Primary</v>
      </c>
      <c r="G1588" t="str">
        <f>IFERROR(VLOOKUP(E1588, LookUP_Table!$A$1:$B$4, 2, FALSE), "")</f>
        <v>Primary</v>
      </c>
      <c r="H1588">
        <v>0</v>
      </c>
      <c r="I1588">
        <v>0</v>
      </c>
      <c r="J1588" t="str">
        <f t="shared" si="144"/>
        <v>Non-Smoker</v>
      </c>
      <c r="K1588">
        <v>0</v>
      </c>
      <c r="L1588">
        <v>0</v>
      </c>
      <c r="M1588">
        <v>0</v>
      </c>
      <c r="N1588">
        <v>0</v>
      </c>
      <c r="O1588">
        <v>235</v>
      </c>
      <c r="P1588" t="str">
        <f t="shared" si="145"/>
        <v>Normal</v>
      </c>
      <c r="Q1588">
        <v>106</v>
      </c>
      <c r="R1588">
        <v>58</v>
      </c>
      <c r="S1588">
        <v>26.79</v>
      </c>
      <c r="T1588" t="str">
        <f t="shared" si="146"/>
        <v>Overweight</v>
      </c>
      <c r="U1588">
        <v>75</v>
      </c>
      <c r="V1588">
        <v>79</v>
      </c>
      <c r="W1588" t="str">
        <f t="shared" si="149"/>
        <v>Normal</v>
      </c>
      <c r="X1588">
        <v>0</v>
      </c>
    </row>
    <row r="1589" spans="1:24" ht="14.5" thickBot="1" x14ac:dyDescent="0.35">
      <c r="A1589">
        <v>1</v>
      </c>
      <c r="B1589" t="str">
        <f t="shared" si="147"/>
        <v>Male</v>
      </c>
      <c r="C1589" s="8">
        <v>45</v>
      </c>
      <c r="D1589" t="str">
        <f t="shared" si="148"/>
        <v>Middle Age</v>
      </c>
      <c r="E1589">
        <v>1</v>
      </c>
      <c r="F1589" t="str">
        <f>HLOOKUP(E1589, LookUP_Table!$A$6:$D$7, 2, FALSE)</f>
        <v>Primary</v>
      </c>
      <c r="G1589" t="str">
        <f>IFERROR(VLOOKUP(E1589, LookUP_Table!$A$1:$B$4, 2, FALSE), "")</f>
        <v>Primary</v>
      </c>
      <c r="H1589">
        <v>1</v>
      </c>
      <c r="I1589">
        <v>20</v>
      </c>
      <c r="J1589" t="str">
        <f t="shared" si="144"/>
        <v>Smoker</v>
      </c>
      <c r="K1589">
        <v>0</v>
      </c>
      <c r="L1589">
        <v>0</v>
      </c>
      <c r="M1589">
        <v>0</v>
      </c>
      <c r="N1589">
        <v>0</v>
      </c>
      <c r="O1589">
        <v>241</v>
      </c>
      <c r="P1589" t="str">
        <f t="shared" si="145"/>
        <v>High</v>
      </c>
      <c r="Q1589">
        <v>129</v>
      </c>
      <c r="R1589">
        <v>80</v>
      </c>
      <c r="S1589">
        <v>27.11</v>
      </c>
      <c r="T1589" t="str">
        <f t="shared" si="146"/>
        <v>Overweight</v>
      </c>
      <c r="U1589">
        <v>65</v>
      </c>
      <c r="V1589">
        <v>65</v>
      </c>
      <c r="W1589" t="str">
        <f t="shared" si="149"/>
        <v>Normal</v>
      </c>
      <c r="X1589">
        <v>1</v>
      </c>
    </row>
    <row r="1590" spans="1:24" ht="14.5" thickBot="1" x14ac:dyDescent="0.35">
      <c r="A1590">
        <v>1</v>
      </c>
      <c r="B1590" t="str">
        <f t="shared" si="147"/>
        <v>Male</v>
      </c>
      <c r="C1590" s="8">
        <v>45</v>
      </c>
      <c r="D1590" t="str">
        <f t="shared" si="148"/>
        <v>Middle Age</v>
      </c>
      <c r="E1590">
        <v>4</v>
      </c>
      <c r="F1590" t="str">
        <f>HLOOKUP(E1590, LookUP_Table!$A$6:$D$7, 2, FALSE)</f>
        <v>Post Graduate</v>
      </c>
      <c r="G1590" t="str">
        <f>IFERROR(VLOOKUP(E1590, LookUP_Table!$A$1:$B$4, 2, FALSE), "")</f>
        <v>Post Graduate</v>
      </c>
      <c r="H1590">
        <v>1</v>
      </c>
      <c r="I1590">
        <v>43</v>
      </c>
      <c r="J1590" t="str">
        <f t="shared" si="144"/>
        <v>Smoker</v>
      </c>
      <c r="K1590">
        <v>0</v>
      </c>
      <c r="L1590">
        <v>0</v>
      </c>
      <c r="M1590">
        <v>0</v>
      </c>
      <c r="N1590">
        <v>0</v>
      </c>
      <c r="O1590">
        <v>216</v>
      </c>
      <c r="P1590" t="str">
        <f t="shared" si="145"/>
        <v>Normal</v>
      </c>
      <c r="Q1590">
        <v>137.5</v>
      </c>
      <c r="R1590">
        <v>85</v>
      </c>
      <c r="S1590">
        <v>24.24</v>
      </c>
      <c r="T1590" t="str">
        <f t="shared" si="146"/>
        <v>Normal</v>
      </c>
      <c r="U1590">
        <v>83</v>
      </c>
      <c r="V1590">
        <v>105</v>
      </c>
      <c r="W1590" t="str">
        <f t="shared" si="149"/>
        <v>Prediabetes</v>
      </c>
      <c r="X1590">
        <v>0</v>
      </c>
    </row>
    <row r="1591" spans="1:24" ht="14.5" thickBot="1" x14ac:dyDescent="0.35">
      <c r="A1591">
        <v>0</v>
      </c>
      <c r="B1591" t="str">
        <f t="shared" si="147"/>
        <v>Female</v>
      </c>
      <c r="C1591" s="8">
        <v>46</v>
      </c>
      <c r="D1591" t="str">
        <f t="shared" si="148"/>
        <v>Middle Age</v>
      </c>
      <c r="E1591">
        <v>2</v>
      </c>
      <c r="F1591" t="str">
        <f>HLOOKUP(E1591, LookUP_Table!$A$6:$D$7, 2, FALSE)</f>
        <v>Secondary</v>
      </c>
      <c r="G1591" t="str">
        <f>IFERROR(VLOOKUP(E1591, LookUP_Table!$A$1:$B$4, 2, FALSE), "")</f>
        <v>Secondary</v>
      </c>
      <c r="H1591">
        <v>0</v>
      </c>
      <c r="I1591">
        <v>0</v>
      </c>
      <c r="J1591" t="str">
        <f t="shared" si="144"/>
        <v>Non-Smoker</v>
      </c>
      <c r="K1591">
        <v>0</v>
      </c>
      <c r="L1591">
        <v>0</v>
      </c>
      <c r="M1591">
        <v>0</v>
      </c>
      <c r="N1591">
        <v>0</v>
      </c>
      <c r="O1591">
        <v>250</v>
      </c>
      <c r="P1591" t="str">
        <f t="shared" si="145"/>
        <v>High</v>
      </c>
      <c r="Q1591">
        <v>121</v>
      </c>
      <c r="R1591">
        <v>81</v>
      </c>
      <c r="S1591">
        <v>28.73</v>
      </c>
      <c r="T1591" t="str">
        <f t="shared" si="146"/>
        <v>Overweight</v>
      </c>
      <c r="U1591">
        <v>95</v>
      </c>
      <c r="V1591">
        <v>76</v>
      </c>
      <c r="W1591" t="str">
        <f t="shared" si="149"/>
        <v>Normal</v>
      </c>
      <c r="X1591">
        <v>0</v>
      </c>
    </row>
    <row r="1592" spans="1:24" ht="14.5" thickBot="1" x14ac:dyDescent="0.35">
      <c r="A1592">
        <v>0</v>
      </c>
      <c r="B1592" t="str">
        <f t="shared" si="147"/>
        <v>Female</v>
      </c>
      <c r="C1592" s="8">
        <v>46</v>
      </c>
      <c r="D1592" t="str">
        <f t="shared" si="148"/>
        <v>Middle Age</v>
      </c>
      <c r="E1592">
        <v>3</v>
      </c>
      <c r="F1592" t="str">
        <f>HLOOKUP(E1592, LookUP_Table!$A$6:$D$7, 2, FALSE)</f>
        <v>Graduate</v>
      </c>
      <c r="G1592" t="str">
        <f>IFERROR(VLOOKUP(E1592, LookUP_Table!$A$1:$B$4, 2, FALSE), "")</f>
        <v>Graduate</v>
      </c>
      <c r="H1592">
        <v>1</v>
      </c>
      <c r="I1592">
        <v>23</v>
      </c>
      <c r="J1592" t="str">
        <f t="shared" si="144"/>
        <v>Smoker</v>
      </c>
      <c r="K1592">
        <v>0</v>
      </c>
      <c r="L1592">
        <v>0</v>
      </c>
      <c r="M1592">
        <v>0</v>
      </c>
      <c r="N1592">
        <v>0</v>
      </c>
      <c r="O1592">
        <v>285</v>
      </c>
      <c r="P1592" t="str">
        <f t="shared" si="145"/>
        <v>High</v>
      </c>
      <c r="Q1592">
        <v>130</v>
      </c>
      <c r="R1592">
        <v>84</v>
      </c>
      <c r="S1592">
        <v>23.1</v>
      </c>
      <c r="T1592" t="str">
        <f t="shared" si="146"/>
        <v>Normal</v>
      </c>
      <c r="U1592">
        <v>85</v>
      </c>
      <c r="V1592">
        <v>85</v>
      </c>
      <c r="W1592" t="str">
        <f t="shared" si="149"/>
        <v>Normal</v>
      </c>
      <c r="X1592">
        <v>0</v>
      </c>
    </row>
    <row r="1593" spans="1:24" ht="14.5" thickBot="1" x14ac:dyDescent="0.35">
      <c r="A1593">
        <v>1</v>
      </c>
      <c r="B1593" t="str">
        <f t="shared" si="147"/>
        <v>Male</v>
      </c>
      <c r="C1593" s="8">
        <v>46</v>
      </c>
      <c r="D1593" t="str">
        <f t="shared" si="148"/>
        <v>Middle Age</v>
      </c>
      <c r="E1593">
        <v>1</v>
      </c>
      <c r="F1593" t="str">
        <f>HLOOKUP(E1593, LookUP_Table!$A$6:$D$7, 2, FALSE)</f>
        <v>Primary</v>
      </c>
      <c r="G1593" t="str">
        <f>IFERROR(VLOOKUP(E1593, LookUP_Table!$A$1:$B$4, 2, FALSE), "")</f>
        <v>Primary</v>
      </c>
      <c r="H1593">
        <v>1</v>
      </c>
      <c r="I1593">
        <v>15</v>
      </c>
      <c r="J1593" t="str">
        <f t="shared" si="144"/>
        <v>Smoker</v>
      </c>
      <c r="K1593">
        <v>0</v>
      </c>
      <c r="L1593">
        <v>0</v>
      </c>
      <c r="M1593">
        <v>1</v>
      </c>
      <c r="N1593">
        <v>0</v>
      </c>
      <c r="O1593">
        <v>294</v>
      </c>
      <c r="P1593" t="str">
        <f t="shared" si="145"/>
        <v>High</v>
      </c>
      <c r="Q1593">
        <v>142</v>
      </c>
      <c r="R1593">
        <v>94</v>
      </c>
      <c r="S1593">
        <v>26.31</v>
      </c>
      <c r="T1593" t="str">
        <f t="shared" si="146"/>
        <v>Overweight</v>
      </c>
      <c r="U1593">
        <v>98</v>
      </c>
      <c r="V1593">
        <v>64</v>
      </c>
      <c r="W1593" t="str">
        <f t="shared" si="149"/>
        <v>Normal</v>
      </c>
      <c r="X1593">
        <v>0</v>
      </c>
    </row>
    <row r="1594" spans="1:24" ht="14.5" thickBot="1" x14ac:dyDescent="0.35">
      <c r="A1594">
        <v>0</v>
      </c>
      <c r="B1594" t="str">
        <f t="shared" si="147"/>
        <v>Female</v>
      </c>
      <c r="C1594" s="8">
        <v>46</v>
      </c>
      <c r="D1594" t="str">
        <f t="shared" si="148"/>
        <v>Middle Age</v>
      </c>
      <c r="E1594">
        <v>2</v>
      </c>
      <c r="F1594" t="str">
        <f>HLOOKUP(E1594, LookUP_Table!$A$6:$D$7, 2, FALSE)</f>
        <v>Secondary</v>
      </c>
      <c r="G1594" t="str">
        <f>IFERROR(VLOOKUP(E1594, LookUP_Table!$A$1:$B$4, 2, FALSE), "")</f>
        <v>Secondary</v>
      </c>
      <c r="H1594">
        <v>1</v>
      </c>
      <c r="I1594">
        <v>20</v>
      </c>
      <c r="J1594" t="str">
        <f t="shared" si="144"/>
        <v>Smoker</v>
      </c>
      <c r="K1594">
        <v>0</v>
      </c>
      <c r="L1594">
        <v>0</v>
      </c>
      <c r="M1594">
        <v>0</v>
      </c>
      <c r="N1594">
        <v>0</v>
      </c>
      <c r="O1594">
        <v>291</v>
      </c>
      <c r="P1594" t="str">
        <f t="shared" si="145"/>
        <v>High</v>
      </c>
      <c r="Q1594">
        <v>112</v>
      </c>
      <c r="R1594">
        <v>78</v>
      </c>
      <c r="S1594">
        <v>23.38</v>
      </c>
      <c r="T1594" t="str">
        <f t="shared" si="146"/>
        <v>Normal</v>
      </c>
      <c r="U1594">
        <v>80</v>
      </c>
      <c r="V1594">
        <v>89</v>
      </c>
      <c r="W1594" t="str">
        <f t="shared" si="149"/>
        <v>Normal</v>
      </c>
      <c r="X1594">
        <v>1</v>
      </c>
    </row>
    <row r="1595" spans="1:24" ht="14.5" thickBot="1" x14ac:dyDescent="0.35">
      <c r="A1595">
        <v>1</v>
      </c>
      <c r="B1595" t="str">
        <f t="shared" si="147"/>
        <v>Male</v>
      </c>
      <c r="C1595" s="8">
        <v>46</v>
      </c>
      <c r="D1595" t="str">
        <f t="shared" si="148"/>
        <v>Middle Age</v>
      </c>
      <c r="E1595">
        <v>1</v>
      </c>
      <c r="F1595" t="str">
        <f>HLOOKUP(E1595, LookUP_Table!$A$6:$D$7, 2, FALSE)</f>
        <v>Primary</v>
      </c>
      <c r="G1595" t="str">
        <f>IFERROR(VLOOKUP(E1595, LookUP_Table!$A$1:$B$4, 2, FALSE), "")</f>
        <v>Primary</v>
      </c>
      <c r="H1595">
        <v>1</v>
      </c>
      <c r="I1595">
        <v>20</v>
      </c>
      <c r="J1595" t="str">
        <f t="shared" si="144"/>
        <v>Smoker</v>
      </c>
      <c r="K1595">
        <v>0</v>
      </c>
      <c r="L1595">
        <v>0</v>
      </c>
      <c r="M1595">
        <v>0</v>
      </c>
      <c r="N1595">
        <v>0</v>
      </c>
      <c r="O1595">
        <v>261</v>
      </c>
      <c r="P1595" t="str">
        <f t="shared" si="145"/>
        <v>High</v>
      </c>
      <c r="Q1595">
        <v>119</v>
      </c>
      <c r="R1595">
        <v>77.5</v>
      </c>
      <c r="S1595">
        <v>23.59</v>
      </c>
      <c r="T1595" t="str">
        <f t="shared" si="146"/>
        <v>Normal</v>
      </c>
      <c r="U1595">
        <v>75</v>
      </c>
      <c r="V1595">
        <v>74</v>
      </c>
      <c r="W1595" t="str">
        <f t="shared" si="149"/>
        <v>Normal</v>
      </c>
      <c r="X1595">
        <v>0</v>
      </c>
    </row>
    <row r="1596" spans="1:24" ht="14.5" thickBot="1" x14ac:dyDescent="0.35">
      <c r="A1596">
        <v>0</v>
      </c>
      <c r="B1596" t="str">
        <f t="shared" si="147"/>
        <v>Female</v>
      </c>
      <c r="C1596" s="8">
        <v>46</v>
      </c>
      <c r="D1596" t="str">
        <f t="shared" si="148"/>
        <v>Middle Age</v>
      </c>
      <c r="E1596">
        <v>1</v>
      </c>
      <c r="F1596" t="str">
        <f>HLOOKUP(E1596, LookUP_Table!$A$6:$D$7, 2, FALSE)</f>
        <v>Primary</v>
      </c>
      <c r="G1596" t="str">
        <f>IFERROR(VLOOKUP(E1596, LookUP_Table!$A$1:$B$4, 2, FALSE), "")</f>
        <v>Primary</v>
      </c>
      <c r="H1596">
        <v>1</v>
      </c>
      <c r="I1596">
        <v>10</v>
      </c>
      <c r="J1596" t="str">
        <f t="shared" si="144"/>
        <v>Smoker</v>
      </c>
      <c r="K1596">
        <v>0</v>
      </c>
      <c r="L1596">
        <v>0</v>
      </c>
      <c r="M1596">
        <v>0</v>
      </c>
      <c r="N1596">
        <v>0</v>
      </c>
      <c r="O1596">
        <v>250</v>
      </c>
      <c r="P1596" t="str">
        <f t="shared" si="145"/>
        <v>High</v>
      </c>
      <c r="Q1596">
        <v>116</v>
      </c>
      <c r="R1596">
        <v>71</v>
      </c>
      <c r="S1596">
        <v>20.350000000000001</v>
      </c>
      <c r="T1596" t="str">
        <f t="shared" si="146"/>
        <v>Normal</v>
      </c>
      <c r="U1596">
        <v>88</v>
      </c>
      <c r="V1596">
        <v>94</v>
      </c>
      <c r="W1596" t="str">
        <f t="shared" si="149"/>
        <v>Normal</v>
      </c>
      <c r="X1596">
        <v>0</v>
      </c>
    </row>
    <row r="1597" spans="1:24" ht="14.5" thickBot="1" x14ac:dyDescent="0.35">
      <c r="A1597">
        <v>0</v>
      </c>
      <c r="B1597" t="str">
        <f t="shared" si="147"/>
        <v>Female</v>
      </c>
      <c r="C1597" s="8">
        <v>46</v>
      </c>
      <c r="D1597" t="str">
        <f t="shared" si="148"/>
        <v>Middle Age</v>
      </c>
      <c r="E1597">
        <v>1</v>
      </c>
      <c r="F1597" t="str">
        <f>HLOOKUP(E1597, LookUP_Table!$A$6:$D$7, 2, FALSE)</f>
        <v>Primary</v>
      </c>
      <c r="G1597" t="str">
        <f>IFERROR(VLOOKUP(E1597, LookUP_Table!$A$1:$B$4, 2, FALSE), "")</f>
        <v>Primary</v>
      </c>
      <c r="H1597">
        <v>1</v>
      </c>
      <c r="I1597">
        <v>3</v>
      </c>
      <c r="J1597" t="str">
        <f t="shared" si="144"/>
        <v>Smoker</v>
      </c>
      <c r="K1597">
        <v>0</v>
      </c>
      <c r="L1597">
        <v>0</v>
      </c>
      <c r="M1597">
        <v>0</v>
      </c>
      <c r="N1597">
        <v>0</v>
      </c>
      <c r="O1597">
        <v>237</v>
      </c>
      <c r="P1597" t="str">
        <f t="shared" si="145"/>
        <v>Normal</v>
      </c>
      <c r="Q1597">
        <v>112</v>
      </c>
      <c r="R1597">
        <v>70</v>
      </c>
      <c r="S1597">
        <v>20.2</v>
      </c>
      <c r="T1597" t="str">
        <f t="shared" si="146"/>
        <v>Normal</v>
      </c>
      <c r="U1597">
        <v>75</v>
      </c>
      <c r="V1597">
        <v>62</v>
      </c>
      <c r="W1597" t="str">
        <f t="shared" si="149"/>
        <v>Normal</v>
      </c>
      <c r="X1597">
        <v>0</v>
      </c>
    </row>
    <row r="1598" spans="1:24" ht="14.5" thickBot="1" x14ac:dyDescent="0.35">
      <c r="A1598">
        <v>0</v>
      </c>
      <c r="B1598" t="str">
        <f t="shared" si="147"/>
        <v>Female</v>
      </c>
      <c r="C1598" s="8">
        <v>46</v>
      </c>
      <c r="D1598" t="str">
        <f t="shared" si="148"/>
        <v>Middle Age</v>
      </c>
      <c r="E1598">
        <v>1</v>
      </c>
      <c r="F1598" t="str">
        <f>HLOOKUP(E1598, LookUP_Table!$A$6:$D$7, 2, FALSE)</f>
        <v>Primary</v>
      </c>
      <c r="G1598" t="str">
        <f>IFERROR(VLOOKUP(E1598, LookUP_Table!$A$1:$B$4, 2, FALSE), "")</f>
        <v>Primary</v>
      </c>
      <c r="H1598">
        <v>0</v>
      </c>
      <c r="I1598">
        <v>0</v>
      </c>
      <c r="J1598" t="str">
        <f t="shared" si="144"/>
        <v>Non-Smoker</v>
      </c>
      <c r="K1598">
        <v>0</v>
      </c>
      <c r="L1598">
        <v>0</v>
      </c>
      <c r="M1598">
        <v>1</v>
      </c>
      <c r="N1598">
        <v>0</v>
      </c>
      <c r="O1598">
        <v>200</v>
      </c>
      <c r="P1598" t="str">
        <f t="shared" si="145"/>
        <v>Normal</v>
      </c>
      <c r="Q1598">
        <v>135</v>
      </c>
      <c r="R1598">
        <v>97</v>
      </c>
      <c r="S1598">
        <v>36.81</v>
      </c>
      <c r="T1598" t="str">
        <f t="shared" si="146"/>
        <v>Obese</v>
      </c>
      <c r="U1598">
        <v>100</v>
      </c>
      <c r="V1598">
        <v>97</v>
      </c>
      <c r="W1598" t="str">
        <f t="shared" si="149"/>
        <v>Normal</v>
      </c>
      <c r="X1598">
        <v>0</v>
      </c>
    </row>
    <row r="1599" spans="1:24" ht="14.5" thickBot="1" x14ac:dyDescent="0.35">
      <c r="A1599">
        <v>1</v>
      </c>
      <c r="B1599" t="str">
        <f t="shared" si="147"/>
        <v>Male</v>
      </c>
      <c r="C1599" s="8">
        <v>46</v>
      </c>
      <c r="D1599" t="str">
        <f t="shared" si="148"/>
        <v>Middle Age</v>
      </c>
      <c r="E1599">
        <v>1</v>
      </c>
      <c r="F1599" t="str">
        <f>HLOOKUP(E1599, LookUP_Table!$A$6:$D$7, 2, FALSE)</f>
        <v>Primary</v>
      </c>
      <c r="G1599" t="str">
        <f>IFERROR(VLOOKUP(E1599, LookUP_Table!$A$1:$B$4, 2, FALSE), "")</f>
        <v>Primary</v>
      </c>
      <c r="H1599">
        <v>1</v>
      </c>
      <c r="I1599">
        <v>30</v>
      </c>
      <c r="J1599" t="str">
        <f t="shared" si="144"/>
        <v>Smoker</v>
      </c>
      <c r="K1599">
        <v>0</v>
      </c>
      <c r="L1599">
        <v>0</v>
      </c>
      <c r="M1599">
        <v>0</v>
      </c>
      <c r="N1599">
        <v>0</v>
      </c>
      <c r="O1599">
        <v>270</v>
      </c>
      <c r="P1599" t="str">
        <f t="shared" si="145"/>
        <v>High</v>
      </c>
      <c r="Q1599">
        <v>131</v>
      </c>
      <c r="R1599">
        <v>81</v>
      </c>
      <c r="S1599">
        <v>26.4</v>
      </c>
      <c r="T1599" t="str">
        <f t="shared" si="146"/>
        <v>Overweight</v>
      </c>
      <c r="U1599">
        <v>75</v>
      </c>
      <c r="V1599">
        <v>83</v>
      </c>
      <c r="W1599" t="str">
        <f t="shared" si="149"/>
        <v>Normal</v>
      </c>
      <c r="X1599">
        <v>0</v>
      </c>
    </row>
    <row r="1600" spans="1:24" ht="14.5" thickBot="1" x14ac:dyDescent="0.35">
      <c r="A1600">
        <v>0</v>
      </c>
      <c r="B1600" t="str">
        <f t="shared" si="147"/>
        <v>Female</v>
      </c>
      <c r="C1600" s="8">
        <v>46</v>
      </c>
      <c r="D1600" t="str">
        <f t="shared" si="148"/>
        <v>Middle Age</v>
      </c>
      <c r="E1600">
        <v>3</v>
      </c>
      <c r="F1600" t="str">
        <f>HLOOKUP(E1600, LookUP_Table!$A$6:$D$7, 2, FALSE)</f>
        <v>Graduate</v>
      </c>
      <c r="G1600" t="str">
        <f>IFERROR(VLOOKUP(E1600, LookUP_Table!$A$1:$B$4, 2, FALSE), "")</f>
        <v>Graduate</v>
      </c>
      <c r="H1600">
        <v>0</v>
      </c>
      <c r="I1600">
        <v>0</v>
      </c>
      <c r="J1600" t="str">
        <f t="shared" si="144"/>
        <v>Non-Smoker</v>
      </c>
      <c r="K1600">
        <v>0</v>
      </c>
      <c r="L1600">
        <v>0</v>
      </c>
      <c r="M1600">
        <v>0</v>
      </c>
      <c r="N1600">
        <v>0</v>
      </c>
      <c r="O1600">
        <v>165</v>
      </c>
      <c r="P1600" t="str">
        <f t="shared" si="145"/>
        <v>Normal</v>
      </c>
      <c r="Q1600">
        <v>108</v>
      </c>
      <c r="R1600">
        <v>81</v>
      </c>
      <c r="S1600">
        <v>24.19</v>
      </c>
      <c r="T1600" t="str">
        <f t="shared" si="146"/>
        <v>Normal</v>
      </c>
      <c r="U1600">
        <v>80</v>
      </c>
      <c r="V1600">
        <v>72</v>
      </c>
      <c r="W1600" t="str">
        <f t="shared" si="149"/>
        <v>Normal</v>
      </c>
      <c r="X1600">
        <v>0</v>
      </c>
    </row>
    <row r="1601" spans="1:24" ht="14.5" thickBot="1" x14ac:dyDescent="0.35">
      <c r="A1601">
        <v>0</v>
      </c>
      <c r="B1601" t="str">
        <f t="shared" si="147"/>
        <v>Female</v>
      </c>
      <c r="C1601" s="8">
        <v>46</v>
      </c>
      <c r="D1601" t="str">
        <f t="shared" si="148"/>
        <v>Middle Age</v>
      </c>
      <c r="E1601">
        <v>2</v>
      </c>
      <c r="F1601" t="str">
        <f>HLOOKUP(E1601, LookUP_Table!$A$6:$D$7, 2, FALSE)</f>
        <v>Secondary</v>
      </c>
      <c r="G1601" t="str">
        <f>IFERROR(VLOOKUP(E1601, LookUP_Table!$A$1:$B$4, 2, FALSE), "")</f>
        <v>Secondary</v>
      </c>
      <c r="H1601">
        <v>1</v>
      </c>
      <c r="I1601">
        <v>20</v>
      </c>
      <c r="J1601" t="str">
        <f t="shared" si="144"/>
        <v>Smoker</v>
      </c>
      <c r="K1601">
        <v>0</v>
      </c>
      <c r="L1601">
        <v>0</v>
      </c>
      <c r="M1601">
        <v>1</v>
      </c>
      <c r="N1601">
        <v>0</v>
      </c>
      <c r="O1601">
        <v>197</v>
      </c>
      <c r="P1601" t="str">
        <f t="shared" si="145"/>
        <v>Normal</v>
      </c>
      <c r="Q1601">
        <v>144</v>
      </c>
      <c r="R1601">
        <v>78</v>
      </c>
      <c r="S1601">
        <v>22.51</v>
      </c>
      <c r="T1601" t="str">
        <f t="shared" si="146"/>
        <v>Normal</v>
      </c>
      <c r="U1601">
        <v>72</v>
      </c>
      <c r="V1601">
        <v>60</v>
      </c>
      <c r="W1601" t="str">
        <f t="shared" si="149"/>
        <v>Normal</v>
      </c>
      <c r="X1601">
        <v>0</v>
      </c>
    </row>
    <row r="1602" spans="1:24" ht="14.5" thickBot="1" x14ac:dyDescent="0.35">
      <c r="A1602">
        <v>1</v>
      </c>
      <c r="B1602" t="str">
        <f t="shared" si="147"/>
        <v>Male</v>
      </c>
      <c r="C1602" s="8">
        <v>46</v>
      </c>
      <c r="D1602" t="str">
        <f t="shared" si="148"/>
        <v>Middle Age</v>
      </c>
      <c r="E1602">
        <v>4</v>
      </c>
      <c r="F1602" t="str">
        <f>HLOOKUP(E1602, LookUP_Table!$A$6:$D$7, 2, FALSE)</f>
        <v>Post Graduate</v>
      </c>
      <c r="G1602" t="str">
        <f>IFERROR(VLOOKUP(E1602, LookUP_Table!$A$1:$B$4, 2, FALSE), "")</f>
        <v>Post Graduate</v>
      </c>
      <c r="H1602">
        <v>0</v>
      </c>
      <c r="I1602">
        <v>0</v>
      </c>
      <c r="J1602" t="str">
        <f t="shared" ref="J1602:J1665" si="150">IF(I1602&gt;0,"Smoker","Non-Smoker")</f>
        <v>Non-Smoker</v>
      </c>
      <c r="K1602">
        <v>0</v>
      </c>
      <c r="L1602">
        <v>0</v>
      </c>
      <c r="M1602">
        <v>1</v>
      </c>
      <c r="N1602">
        <v>0</v>
      </c>
      <c r="O1602">
        <v>220</v>
      </c>
      <c r="P1602" t="str">
        <f t="shared" ref="P1602:P1665" si="151">IF(O1602&gt;240,"High","Normal")</f>
        <v>Normal</v>
      </c>
      <c r="Q1602">
        <v>136.5</v>
      </c>
      <c r="R1602">
        <v>99.5</v>
      </c>
      <c r="S1602">
        <v>27.78</v>
      </c>
      <c r="T1602" t="str">
        <f t="shared" ref="T1602:T1665" si="152">IF(S1602&lt;18.5,"Underweight",
IF(S1602&lt;25,"Normal",
IF(S1602&lt;30,"Overweight","Obese")))</f>
        <v>Overweight</v>
      </c>
      <c r="U1602">
        <v>80</v>
      </c>
      <c r="V1602">
        <v>70</v>
      </c>
      <c r="W1602" t="str">
        <f t="shared" si="149"/>
        <v>Normal</v>
      </c>
      <c r="X1602">
        <v>0</v>
      </c>
    </row>
    <row r="1603" spans="1:24" ht="14.5" thickBot="1" x14ac:dyDescent="0.35">
      <c r="A1603">
        <v>1</v>
      </c>
      <c r="B1603" t="str">
        <f t="shared" ref="B1603:B1666" si="153">IF(A1603=0,"Female","Male")</f>
        <v>Male</v>
      </c>
      <c r="C1603" s="8">
        <v>46</v>
      </c>
      <c r="D1603" t="str">
        <f t="shared" ref="D1603:D1666" si="154">IF(C1603&lt;40,"Young",
IF(C1603&lt;55,"Middle Age","Senior"))</f>
        <v>Middle Age</v>
      </c>
      <c r="E1603">
        <v>1</v>
      </c>
      <c r="F1603" t="str">
        <f>HLOOKUP(E1603, LookUP_Table!$A$6:$D$7, 2, FALSE)</f>
        <v>Primary</v>
      </c>
      <c r="G1603" t="str">
        <f>IFERROR(VLOOKUP(E1603, LookUP_Table!$A$1:$B$4, 2, FALSE), "")</f>
        <v>Primary</v>
      </c>
      <c r="H1603">
        <v>1</v>
      </c>
      <c r="I1603">
        <v>30</v>
      </c>
      <c r="J1603" t="str">
        <f t="shared" si="150"/>
        <v>Smoker</v>
      </c>
      <c r="K1603">
        <v>0</v>
      </c>
      <c r="L1603">
        <v>0</v>
      </c>
      <c r="M1603">
        <v>1</v>
      </c>
      <c r="N1603">
        <v>0</v>
      </c>
      <c r="O1603">
        <v>253</v>
      </c>
      <c r="P1603" t="str">
        <f t="shared" si="151"/>
        <v>High</v>
      </c>
      <c r="Q1603">
        <v>147</v>
      </c>
      <c r="R1603">
        <v>85</v>
      </c>
      <c r="S1603">
        <v>30.62</v>
      </c>
      <c r="T1603" t="str">
        <f t="shared" si="152"/>
        <v>Obese</v>
      </c>
      <c r="U1603">
        <v>100</v>
      </c>
      <c r="V1603">
        <v>75</v>
      </c>
      <c r="W1603" t="str">
        <f t="shared" ref="W1603:W1666" si="155">IF(V1603 &lt; 100, "Normal", IF(V1603 &lt;= 125, "Prediabetes", "Diabetes"))</f>
        <v>Normal</v>
      </c>
      <c r="X1603">
        <v>0</v>
      </c>
    </row>
    <row r="1604" spans="1:24" ht="14.5" thickBot="1" x14ac:dyDescent="0.35">
      <c r="A1604">
        <v>0</v>
      </c>
      <c r="B1604" t="str">
        <f t="shared" si="153"/>
        <v>Female</v>
      </c>
      <c r="C1604" s="8">
        <v>46</v>
      </c>
      <c r="D1604" t="str">
        <f t="shared" si="154"/>
        <v>Middle Age</v>
      </c>
      <c r="E1604">
        <v>1</v>
      </c>
      <c r="F1604" t="str">
        <f>HLOOKUP(E1604, LookUP_Table!$A$6:$D$7, 2, FALSE)</f>
        <v>Primary</v>
      </c>
      <c r="G1604" t="str">
        <f>IFERROR(VLOOKUP(E1604, LookUP_Table!$A$1:$B$4, 2, FALSE), "")</f>
        <v>Primary</v>
      </c>
      <c r="H1604">
        <v>0</v>
      </c>
      <c r="I1604">
        <v>0</v>
      </c>
      <c r="J1604" t="str">
        <f t="shared" si="150"/>
        <v>Non-Smoker</v>
      </c>
      <c r="K1604">
        <v>0</v>
      </c>
      <c r="L1604">
        <v>0</v>
      </c>
      <c r="M1604">
        <v>0</v>
      </c>
      <c r="N1604">
        <v>0</v>
      </c>
      <c r="O1604">
        <v>219</v>
      </c>
      <c r="P1604" t="str">
        <f t="shared" si="151"/>
        <v>Normal</v>
      </c>
      <c r="Q1604">
        <v>150</v>
      </c>
      <c r="R1604">
        <v>81</v>
      </c>
      <c r="S1604">
        <v>25.43</v>
      </c>
      <c r="T1604" t="str">
        <f t="shared" si="152"/>
        <v>Overweight</v>
      </c>
      <c r="U1604">
        <v>69</v>
      </c>
      <c r="V1604">
        <v>93</v>
      </c>
      <c r="W1604" t="str">
        <f t="shared" si="155"/>
        <v>Normal</v>
      </c>
      <c r="X1604">
        <v>0</v>
      </c>
    </row>
    <row r="1605" spans="1:24" ht="14.5" thickBot="1" x14ac:dyDescent="0.35">
      <c r="A1605">
        <v>0</v>
      </c>
      <c r="B1605" t="str">
        <f t="shared" si="153"/>
        <v>Female</v>
      </c>
      <c r="C1605" s="8">
        <v>46</v>
      </c>
      <c r="D1605" t="str">
        <f t="shared" si="154"/>
        <v>Middle Age</v>
      </c>
      <c r="E1605">
        <v>1</v>
      </c>
      <c r="F1605" t="str">
        <f>HLOOKUP(E1605, LookUP_Table!$A$6:$D$7, 2, FALSE)</f>
        <v>Primary</v>
      </c>
      <c r="G1605" t="str">
        <f>IFERROR(VLOOKUP(E1605, LookUP_Table!$A$1:$B$4, 2, FALSE), "")</f>
        <v>Primary</v>
      </c>
      <c r="H1605">
        <v>0</v>
      </c>
      <c r="I1605">
        <v>0</v>
      </c>
      <c r="J1605" t="str">
        <f t="shared" si="150"/>
        <v>Non-Smoker</v>
      </c>
      <c r="K1605">
        <v>0</v>
      </c>
      <c r="L1605">
        <v>0</v>
      </c>
      <c r="M1605">
        <v>0</v>
      </c>
      <c r="N1605">
        <v>0</v>
      </c>
      <c r="O1605">
        <v>254</v>
      </c>
      <c r="P1605" t="str">
        <f t="shared" si="151"/>
        <v>High</v>
      </c>
      <c r="Q1605">
        <v>136</v>
      </c>
      <c r="R1605">
        <v>87</v>
      </c>
      <c r="S1605">
        <v>31.24</v>
      </c>
      <c r="T1605" t="str">
        <f t="shared" si="152"/>
        <v>Obese</v>
      </c>
      <c r="U1605">
        <v>88</v>
      </c>
      <c r="V1605">
        <v>80</v>
      </c>
      <c r="W1605" t="str">
        <f t="shared" si="155"/>
        <v>Normal</v>
      </c>
      <c r="X1605">
        <v>0</v>
      </c>
    </row>
    <row r="1606" spans="1:24" ht="14.5" thickBot="1" x14ac:dyDescent="0.35">
      <c r="A1606">
        <v>0</v>
      </c>
      <c r="B1606" t="str">
        <f t="shared" si="153"/>
        <v>Female</v>
      </c>
      <c r="C1606" s="8">
        <v>46</v>
      </c>
      <c r="D1606" t="str">
        <f t="shared" si="154"/>
        <v>Middle Age</v>
      </c>
      <c r="E1606">
        <v>2</v>
      </c>
      <c r="F1606" t="str">
        <f>HLOOKUP(E1606, LookUP_Table!$A$6:$D$7, 2, FALSE)</f>
        <v>Secondary</v>
      </c>
      <c r="G1606" t="str">
        <f>IFERROR(VLOOKUP(E1606, LookUP_Table!$A$1:$B$4, 2, FALSE), "")</f>
        <v>Secondary</v>
      </c>
      <c r="H1606">
        <v>1</v>
      </c>
      <c r="I1606">
        <v>20</v>
      </c>
      <c r="J1606" t="str">
        <f t="shared" si="150"/>
        <v>Smoker</v>
      </c>
      <c r="K1606">
        <v>0</v>
      </c>
      <c r="L1606">
        <v>0</v>
      </c>
      <c r="M1606">
        <v>0</v>
      </c>
      <c r="N1606">
        <v>0</v>
      </c>
      <c r="O1606">
        <v>188</v>
      </c>
      <c r="P1606" t="str">
        <f t="shared" si="151"/>
        <v>Normal</v>
      </c>
      <c r="Q1606">
        <v>97</v>
      </c>
      <c r="R1606">
        <v>65</v>
      </c>
      <c r="S1606">
        <v>21.17</v>
      </c>
      <c r="T1606" t="str">
        <f t="shared" si="152"/>
        <v>Normal</v>
      </c>
      <c r="U1606">
        <v>68</v>
      </c>
      <c r="V1606">
        <v>60</v>
      </c>
      <c r="W1606" t="str">
        <f t="shared" si="155"/>
        <v>Normal</v>
      </c>
      <c r="X1606">
        <v>0</v>
      </c>
    </row>
    <row r="1607" spans="1:24" ht="14.5" thickBot="1" x14ac:dyDescent="0.35">
      <c r="A1607">
        <v>0</v>
      </c>
      <c r="B1607" t="str">
        <f t="shared" si="153"/>
        <v>Female</v>
      </c>
      <c r="C1607" s="8">
        <v>46</v>
      </c>
      <c r="D1607" t="str">
        <f t="shared" si="154"/>
        <v>Middle Age</v>
      </c>
      <c r="E1607">
        <v>1</v>
      </c>
      <c r="F1607" t="str">
        <f>HLOOKUP(E1607, LookUP_Table!$A$6:$D$7, 2, FALSE)</f>
        <v>Primary</v>
      </c>
      <c r="G1607" t="str">
        <f>IFERROR(VLOOKUP(E1607, LookUP_Table!$A$1:$B$4, 2, FALSE), "")</f>
        <v>Primary</v>
      </c>
      <c r="H1607">
        <v>1</v>
      </c>
      <c r="I1607">
        <v>30</v>
      </c>
      <c r="J1607" t="str">
        <f t="shared" si="150"/>
        <v>Smoker</v>
      </c>
      <c r="K1607">
        <v>0</v>
      </c>
      <c r="L1607">
        <v>0</v>
      </c>
      <c r="M1607">
        <v>0</v>
      </c>
      <c r="N1607">
        <v>0</v>
      </c>
      <c r="O1607">
        <v>219</v>
      </c>
      <c r="P1607" t="str">
        <f t="shared" si="151"/>
        <v>Normal</v>
      </c>
      <c r="Q1607">
        <v>107</v>
      </c>
      <c r="R1607">
        <v>69</v>
      </c>
      <c r="S1607">
        <v>21.4</v>
      </c>
      <c r="T1607" t="str">
        <f t="shared" si="152"/>
        <v>Normal</v>
      </c>
      <c r="U1607">
        <v>66</v>
      </c>
      <c r="V1607">
        <v>81.96365524402907</v>
      </c>
      <c r="W1607" t="str">
        <f t="shared" si="155"/>
        <v>Normal</v>
      </c>
      <c r="X1607">
        <v>0</v>
      </c>
    </row>
    <row r="1608" spans="1:24" ht="14.5" thickBot="1" x14ac:dyDescent="0.35">
      <c r="A1608">
        <v>0</v>
      </c>
      <c r="B1608" t="str">
        <f t="shared" si="153"/>
        <v>Female</v>
      </c>
      <c r="C1608" s="8">
        <v>46</v>
      </c>
      <c r="D1608" t="str">
        <f t="shared" si="154"/>
        <v>Middle Age</v>
      </c>
      <c r="E1608">
        <v>2</v>
      </c>
      <c r="F1608" t="str">
        <f>HLOOKUP(E1608, LookUP_Table!$A$6:$D$7, 2, FALSE)</f>
        <v>Secondary</v>
      </c>
      <c r="G1608" t="str">
        <f>IFERROR(VLOOKUP(E1608, LookUP_Table!$A$1:$B$4, 2, FALSE), "")</f>
        <v>Secondary</v>
      </c>
      <c r="H1608">
        <v>0</v>
      </c>
      <c r="I1608">
        <v>0</v>
      </c>
      <c r="J1608" t="str">
        <f t="shared" si="150"/>
        <v>Non-Smoker</v>
      </c>
      <c r="K1608">
        <v>0</v>
      </c>
      <c r="L1608">
        <v>0</v>
      </c>
      <c r="M1608">
        <v>0</v>
      </c>
      <c r="N1608">
        <v>0</v>
      </c>
      <c r="O1608">
        <v>259</v>
      </c>
      <c r="P1608" t="str">
        <f t="shared" si="151"/>
        <v>High</v>
      </c>
      <c r="Q1608">
        <v>138</v>
      </c>
      <c r="R1608">
        <v>88</v>
      </c>
      <c r="S1608">
        <v>25.11</v>
      </c>
      <c r="T1608" t="str">
        <f t="shared" si="152"/>
        <v>Overweight</v>
      </c>
      <c r="U1608">
        <v>65</v>
      </c>
      <c r="V1608">
        <v>81.96365524402907</v>
      </c>
      <c r="W1608" t="str">
        <f t="shared" si="155"/>
        <v>Normal</v>
      </c>
      <c r="X1608">
        <v>0</v>
      </c>
    </row>
    <row r="1609" spans="1:24" ht="14.5" thickBot="1" x14ac:dyDescent="0.35">
      <c r="A1609">
        <v>0</v>
      </c>
      <c r="B1609" t="str">
        <f t="shared" si="153"/>
        <v>Female</v>
      </c>
      <c r="C1609" s="8">
        <v>46</v>
      </c>
      <c r="D1609" t="str">
        <f t="shared" si="154"/>
        <v>Middle Age</v>
      </c>
      <c r="E1609">
        <v>1</v>
      </c>
      <c r="F1609" t="str">
        <f>HLOOKUP(E1609, LookUP_Table!$A$6:$D$7, 2, FALSE)</f>
        <v>Primary</v>
      </c>
      <c r="G1609" t="str">
        <f>IFERROR(VLOOKUP(E1609, LookUP_Table!$A$1:$B$4, 2, FALSE), "")</f>
        <v>Primary</v>
      </c>
      <c r="H1609">
        <v>1</v>
      </c>
      <c r="I1609">
        <v>15</v>
      </c>
      <c r="J1609" t="str">
        <f t="shared" si="150"/>
        <v>Smoker</v>
      </c>
      <c r="K1609">
        <v>0</v>
      </c>
      <c r="L1609">
        <v>0</v>
      </c>
      <c r="M1609">
        <v>0</v>
      </c>
      <c r="N1609">
        <v>0</v>
      </c>
      <c r="O1609">
        <v>244</v>
      </c>
      <c r="P1609" t="str">
        <f t="shared" si="151"/>
        <v>High</v>
      </c>
      <c r="Q1609">
        <v>98</v>
      </c>
      <c r="R1609">
        <v>57</v>
      </c>
      <c r="S1609">
        <v>24.01</v>
      </c>
      <c r="T1609" t="str">
        <f t="shared" si="152"/>
        <v>Normal</v>
      </c>
      <c r="U1609">
        <v>84</v>
      </c>
      <c r="V1609">
        <v>95</v>
      </c>
      <c r="W1609" t="str">
        <f t="shared" si="155"/>
        <v>Normal</v>
      </c>
      <c r="X1609">
        <v>1</v>
      </c>
    </row>
    <row r="1610" spans="1:24" ht="14.5" thickBot="1" x14ac:dyDescent="0.35">
      <c r="A1610">
        <v>1</v>
      </c>
      <c r="B1610" t="str">
        <f t="shared" si="153"/>
        <v>Male</v>
      </c>
      <c r="C1610" s="8">
        <v>46</v>
      </c>
      <c r="D1610" t="str">
        <f t="shared" si="154"/>
        <v>Middle Age</v>
      </c>
      <c r="E1610">
        <v>1</v>
      </c>
      <c r="F1610" t="str">
        <f>HLOOKUP(E1610, LookUP_Table!$A$6:$D$7, 2, FALSE)</f>
        <v>Primary</v>
      </c>
      <c r="G1610" t="str">
        <f>IFERROR(VLOOKUP(E1610, LookUP_Table!$A$1:$B$4, 2, FALSE), "")</f>
        <v>Primary</v>
      </c>
      <c r="H1610">
        <v>1</v>
      </c>
      <c r="I1610">
        <v>30</v>
      </c>
      <c r="J1610" t="str">
        <f t="shared" si="150"/>
        <v>Smoker</v>
      </c>
      <c r="K1610">
        <v>0</v>
      </c>
      <c r="L1610">
        <v>0</v>
      </c>
      <c r="M1610">
        <v>0</v>
      </c>
      <c r="N1610">
        <v>0</v>
      </c>
      <c r="O1610">
        <v>198</v>
      </c>
      <c r="P1610" t="str">
        <f t="shared" si="151"/>
        <v>Normal</v>
      </c>
      <c r="Q1610">
        <v>128</v>
      </c>
      <c r="R1610">
        <v>85</v>
      </c>
      <c r="S1610">
        <v>29</v>
      </c>
      <c r="T1610" t="str">
        <f t="shared" si="152"/>
        <v>Overweight</v>
      </c>
      <c r="U1610">
        <v>75</v>
      </c>
      <c r="V1610">
        <v>77</v>
      </c>
      <c r="W1610" t="str">
        <f t="shared" si="155"/>
        <v>Normal</v>
      </c>
      <c r="X1610">
        <v>0</v>
      </c>
    </row>
    <row r="1611" spans="1:24" ht="14.5" thickBot="1" x14ac:dyDescent="0.35">
      <c r="A1611">
        <v>0</v>
      </c>
      <c r="B1611" t="str">
        <f t="shared" si="153"/>
        <v>Female</v>
      </c>
      <c r="C1611" s="8">
        <v>46</v>
      </c>
      <c r="D1611" t="str">
        <f t="shared" si="154"/>
        <v>Middle Age</v>
      </c>
      <c r="E1611">
        <v>2</v>
      </c>
      <c r="F1611" t="str">
        <f>HLOOKUP(E1611, LookUP_Table!$A$6:$D$7, 2, FALSE)</f>
        <v>Secondary</v>
      </c>
      <c r="G1611" t="str">
        <f>IFERROR(VLOOKUP(E1611, LookUP_Table!$A$1:$B$4, 2, FALSE), "")</f>
        <v>Secondary</v>
      </c>
      <c r="H1611">
        <v>0</v>
      </c>
      <c r="I1611">
        <v>0</v>
      </c>
      <c r="J1611" t="str">
        <f t="shared" si="150"/>
        <v>Non-Smoker</v>
      </c>
      <c r="K1611">
        <v>0</v>
      </c>
      <c r="L1611">
        <v>0</v>
      </c>
      <c r="M1611">
        <v>1</v>
      </c>
      <c r="N1611">
        <v>0</v>
      </c>
      <c r="O1611">
        <v>184</v>
      </c>
      <c r="P1611" t="str">
        <f t="shared" si="151"/>
        <v>Normal</v>
      </c>
      <c r="Q1611">
        <v>188</v>
      </c>
      <c r="R1611">
        <v>123</v>
      </c>
      <c r="S1611">
        <v>34.36</v>
      </c>
      <c r="T1611" t="str">
        <f t="shared" si="152"/>
        <v>Obese</v>
      </c>
      <c r="U1611">
        <v>90</v>
      </c>
      <c r="V1611">
        <v>81.96365524402907</v>
      </c>
      <c r="W1611" t="str">
        <f t="shared" si="155"/>
        <v>Normal</v>
      </c>
      <c r="X1611">
        <v>0</v>
      </c>
    </row>
    <row r="1612" spans="1:24" ht="14.5" thickBot="1" x14ac:dyDescent="0.35">
      <c r="A1612">
        <v>0</v>
      </c>
      <c r="B1612" t="str">
        <f t="shared" si="153"/>
        <v>Female</v>
      </c>
      <c r="C1612" s="8">
        <v>46</v>
      </c>
      <c r="D1612" t="str">
        <f t="shared" si="154"/>
        <v>Middle Age</v>
      </c>
      <c r="E1612">
        <v>1</v>
      </c>
      <c r="F1612" t="str">
        <f>HLOOKUP(E1612, LookUP_Table!$A$6:$D$7, 2, FALSE)</f>
        <v>Primary</v>
      </c>
      <c r="G1612" t="str">
        <f>IFERROR(VLOOKUP(E1612, LookUP_Table!$A$1:$B$4, 2, FALSE), "")</f>
        <v>Primary</v>
      </c>
      <c r="H1612">
        <v>1</v>
      </c>
      <c r="I1612">
        <v>20</v>
      </c>
      <c r="J1612" t="str">
        <f t="shared" si="150"/>
        <v>Smoker</v>
      </c>
      <c r="K1612">
        <v>0</v>
      </c>
      <c r="L1612">
        <v>0</v>
      </c>
      <c r="M1612">
        <v>0</v>
      </c>
      <c r="N1612">
        <v>0</v>
      </c>
      <c r="O1612">
        <v>212</v>
      </c>
      <c r="P1612" t="str">
        <f t="shared" si="151"/>
        <v>Normal</v>
      </c>
      <c r="Q1612">
        <v>122.5</v>
      </c>
      <c r="R1612">
        <v>75.5</v>
      </c>
      <c r="S1612">
        <v>23.51</v>
      </c>
      <c r="T1612" t="str">
        <f t="shared" si="152"/>
        <v>Normal</v>
      </c>
      <c r="U1612">
        <v>67</v>
      </c>
      <c r="V1612">
        <v>103</v>
      </c>
      <c r="W1612" t="str">
        <f t="shared" si="155"/>
        <v>Prediabetes</v>
      </c>
      <c r="X1612">
        <v>0</v>
      </c>
    </row>
    <row r="1613" spans="1:24" ht="14.5" thickBot="1" x14ac:dyDescent="0.35">
      <c r="A1613">
        <v>0</v>
      </c>
      <c r="B1613" t="str">
        <f t="shared" si="153"/>
        <v>Female</v>
      </c>
      <c r="C1613" s="8">
        <v>46</v>
      </c>
      <c r="D1613" t="str">
        <f t="shared" si="154"/>
        <v>Middle Age</v>
      </c>
      <c r="E1613">
        <v>2</v>
      </c>
      <c r="F1613" t="str">
        <f>HLOOKUP(E1613, LookUP_Table!$A$6:$D$7, 2, FALSE)</f>
        <v>Secondary</v>
      </c>
      <c r="G1613" t="str">
        <f>IFERROR(VLOOKUP(E1613, LookUP_Table!$A$1:$B$4, 2, FALSE), "")</f>
        <v>Secondary</v>
      </c>
      <c r="H1613">
        <v>0</v>
      </c>
      <c r="I1613">
        <v>0</v>
      </c>
      <c r="J1613" t="str">
        <f t="shared" si="150"/>
        <v>Non-Smoker</v>
      </c>
      <c r="K1613">
        <v>0</v>
      </c>
      <c r="L1613">
        <v>0</v>
      </c>
      <c r="M1613">
        <v>0</v>
      </c>
      <c r="N1613">
        <v>0</v>
      </c>
      <c r="O1613">
        <v>232</v>
      </c>
      <c r="P1613" t="str">
        <f t="shared" si="151"/>
        <v>Normal</v>
      </c>
      <c r="Q1613">
        <v>90</v>
      </c>
      <c r="R1613">
        <v>60</v>
      </c>
      <c r="S1613">
        <v>19.2</v>
      </c>
      <c r="T1613" t="str">
        <f t="shared" si="152"/>
        <v>Normal</v>
      </c>
      <c r="U1613">
        <v>60</v>
      </c>
      <c r="V1613">
        <v>82</v>
      </c>
      <c r="W1613" t="str">
        <f t="shared" si="155"/>
        <v>Normal</v>
      </c>
      <c r="X1613">
        <v>0</v>
      </c>
    </row>
    <row r="1614" spans="1:24" ht="14.5" thickBot="1" x14ac:dyDescent="0.35">
      <c r="A1614">
        <v>1</v>
      </c>
      <c r="B1614" t="str">
        <f t="shared" si="153"/>
        <v>Male</v>
      </c>
      <c r="C1614" s="8">
        <v>46</v>
      </c>
      <c r="D1614" t="str">
        <f t="shared" si="154"/>
        <v>Middle Age</v>
      </c>
      <c r="E1614">
        <v>4</v>
      </c>
      <c r="F1614" t="str">
        <f>HLOOKUP(E1614, LookUP_Table!$A$6:$D$7, 2, FALSE)</f>
        <v>Post Graduate</v>
      </c>
      <c r="G1614" t="str">
        <f>IFERROR(VLOOKUP(E1614, LookUP_Table!$A$1:$B$4, 2, FALSE), "")</f>
        <v>Post Graduate</v>
      </c>
      <c r="H1614">
        <v>1</v>
      </c>
      <c r="I1614">
        <v>45</v>
      </c>
      <c r="J1614" t="str">
        <f t="shared" si="150"/>
        <v>Smoker</v>
      </c>
      <c r="K1614">
        <v>0</v>
      </c>
      <c r="L1614">
        <v>0</v>
      </c>
      <c r="M1614">
        <v>0</v>
      </c>
      <c r="N1614">
        <v>0</v>
      </c>
      <c r="O1614">
        <v>209</v>
      </c>
      <c r="P1614" t="str">
        <f t="shared" si="151"/>
        <v>Normal</v>
      </c>
      <c r="Q1614">
        <v>112.5</v>
      </c>
      <c r="R1614">
        <v>65</v>
      </c>
      <c r="S1614">
        <v>27.48</v>
      </c>
      <c r="T1614" t="str">
        <f t="shared" si="152"/>
        <v>Overweight</v>
      </c>
      <c r="U1614">
        <v>75</v>
      </c>
      <c r="V1614">
        <v>78</v>
      </c>
      <c r="W1614" t="str">
        <f t="shared" si="155"/>
        <v>Normal</v>
      </c>
      <c r="X1614">
        <v>0</v>
      </c>
    </row>
    <row r="1615" spans="1:24" ht="14.5" thickBot="1" x14ac:dyDescent="0.35">
      <c r="A1615">
        <v>0</v>
      </c>
      <c r="B1615" t="str">
        <f t="shared" si="153"/>
        <v>Female</v>
      </c>
      <c r="C1615" s="8">
        <v>46</v>
      </c>
      <c r="D1615" t="str">
        <f t="shared" si="154"/>
        <v>Middle Age</v>
      </c>
      <c r="E1615">
        <v>4</v>
      </c>
      <c r="F1615" t="str">
        <f>HLOOKUP(E1615, LookUP_Table!$A$6:$D$7, 2, FALSE)</f>
        <v>Post Graduate</v>
      </c>
      <c r="G1615" t="str">
        <f>IFERROR(VLOOKUP(E1615, LookUP_Table!$A$1:$B$4, 2, FALSE), "")</f>
        <v>Post Graduate</v>
      </c>
      <c r="H1615">
        <v>0</v>
      </c>
      <c r="I1615">
        <v>0</v>
      </c>
      <c r="J1615" t="str">
        <f t="shared" si="150"/>
        <v>Non-Smoker</v>
      </c>
      <c r="K1615">
        <v>0</v>
      </c>
      <c r="L1615">
        <v>0</v>
      </c>
      <c r="M1615">
        <v>0</v>
      </c>
      <c r="N1615">
        <v>0</v>
      </c>
      <c r="O1615">
        <v>190</v>
      </c>
      <c r="P1615" t="str">
        <f t="shared" si="151"/>
        <v>Normal</v>
      </c>
      <c r="Q1615">
        <v>107.5</v>
      </c>
      <c r="R1615">
        <v>80</v>
      </c>
      <c r="S1615">
        <v>25.13</v>
      </c>
      <c r="T1615" t="str">
        <f t="shared" si="152"/>
        <v>Overweight</v>
      </c>
      <c r="U1615">
        <v>72</v>
      </c>
      <c r="V1615">
        <v>75</v>
      </c>
      <c r="W1615" t="str">
        <f t="shared" si="155"/>
        <v>Normal</v>
      </c>
      <c r="X1615">
        <v>0</v>
      </c>
    </row>
    <row r="1616" spans="1:24" ht="14.5" thickBot="1" x14ac:dyDescent="0.35">
      <c r="A1616">
        <v>1</v>
      </c>
      <c r="B1616" t="str">
        <f t="shared" si="153"/>
        <v>Male</v>
      </c>
      <c r="C1616" s="8">
        <v>46</v>
      </c>
      <c r="D1616" t="str">
        <f t="shared" si="154"/>
        <v>Middle Age</v>
      </c>
      <c r="E1616">
        <v>2</v>
      </c>
      <c r="F1616" t="str">
        <f>HLOOKUP(E1616, LookUP_Table!$A$6:$D$7, 2, FALSE)</f>
        <v>Secondary</v>
      </c>
      <c r="G1616" t="str">
        <f>IFERROR(VLOOKUP(E1616, LookUP_Table!$A$1:$B$4, 2, FALSE), "")</f>
        <v>Secondary</v>
      </c>
      <c r="H1616">
        <v>1</v>
      </c>
      <c r="I1616">
        <v>20</v>
      </c>
      <c r="J1616" t="str">
        <f t="shared" si="150"/>
        <v>Smoker</v>
      </c>
      <c r="K1616">
        <v>0</v>
      </c>
      <c r="L1616">
        <v>0</v>
      </c>
      <c r="M1616">
        <v>0</v>
      </c>
      <c r="N1616">
        <v>0</v>
      </c>
      <c r="O1616">
        <v>235</v>
      </c>
      <c r="P1616" t="str">
        <f t="shared" si="151"/>
        <v>Normal</v>
      </c>
      <c r="Q1616">
        <v>150</v>
      </c>
      <c r="R1616">
        <v>96.5</v>
      </c>
      <c r="S1616">
        <v>27.22</v>
      </c>
      <c r="T1616" t="str">
        <f t="shared" si="152"/>
        <v>Overweight</v>
      </c>
      <c r="U1616">
        <v>94</v>
      </c>
      <c r="V1616">
        <v>78</v>
      </c>
      <c r="W1616" t="str">
        <f t="shared" si="155"/>
        <v>Normal</v>
      </c>
      <c r="X1616">
        <v>0</v>
      </c>
    </row>
    <row r="1617" spans="1:24" ht="14.5" thickBot="1" x14ac:dyDescent="0.35">
      <c r="A1617">
        <v>0</v>
      </c>
      <c r="B1617" t="str">
        <f t="shared" si="153"/>
        <v>Female</v>
      </c>
      <c r="C1617" s="8">
        <v>46</v>
      </c>
      <c r="D1617" t="str">
        <f t="shared" si="154"/>
        <v>Middle Age</v>
      </c>
      <c r="E1617">
        <v>3</v>
      </c>
      <c r="F1617" t="str">
        <f>HLOOKUP(E1617, LookUP_Table!$A$6:$D$7, 2, FALSE)</f>
        <v>Graduate</v>
      </c>
      <c r="G1617" t="str">
        <f>IFERROR(VLOOKUP(E1617, LookUP_Table!$A$1:$B$4, 2, FALSE), "")</f>
        <v>Graduate</v>
      </c>
      <c r="H1617">
        <v>1</v>
      </c>
      <c r="I1617">
        <v>15</v>
      </c>
      <c r="J1617" t="str">
        <f t="shared" si="150"/>
        <v>Smoker</v>
      </c>
      <c r="K1617">
        <v>0</v>
      </c>
      <c r="L1617">
        <v>0</v>
      </c>
      <c r="M1617">
        <v>0</v>
      </c>
      <c r="N1617">
        <v>0</v>
      </c>
      <c r="O1617">
        <v>247</v>
      </c>
      <c r="P1617" t="str">
        <f t="shared" si="151"/>
        <v>High</v>
      </c>
      <c r="Q1617">
        <v>125</v>
      </c>
      <c r="R1617">
        <v>80</v>
      </c>
      <c r="S1617">
        <v>21.51</v>
      </c>
      <c r="T1617" t="str">
        <f t="shared" si="152"/>
        <v>Normal</v>
      </c>
      <c r="U1617">
        <v>60</v>
      </c>
      <c r="V1617">
        <v>80</v>
      </c>
      <c r="W1617" t="str">
        <f t="shared" si="155"/>
        <v>Normal</v>
      </c>
      <c r="X1617">
        <v>0</v>
      </c>
    </row>
    <row r="1618" spans="1:24" ht="14.5" thickBot="1" x14ac:dyDescent="0.35">
      <c r="A1618">
        <v>0</v>
      </c>
      <c r="B1618" t="str">
        <f t="shared" si="153"/>
        <v>Female</v>
      </c>
      <c r="C1618" s="8">
        <v>46</v>
      </c>
      <c r="D1618" t="str">
        <f t="shared" si="154"/>
        <v>Middle Age</v>
      </c>
      <c r="E1618">
        <v>3</v>
      </c>
      <c r="F1618" t="str">
        <f>HLOOKUP(E1618, LookUP_Table!$A$6:$D$7, 2, FALSE)</f>
        <v>Graduate</v>
      </c>
      <c r="G1618" t="str">
        <f>IFERROR(VLOOKUP(E1618, LookUP_Table!$A$1:$B$4, 2, FALSE), "")</f>
        <v>Graduate</v>
      </c>
      <c r="H1618">
        <v>1</v>
      </c>
      <c r="I1618">
        <v>10</v>
      </c>
      <c r="J1618" t="str">
        <f t="shared" si="150"/>
        <v>Smoker</v>
      </c>
      <c r="K1618">
        <v>0</v>
      </c>
      <c r="L1618">
        <v>0</v>
      </c>
      <c r="M1618">
        <v>0</v>
      </c>
      <c r="N1618">
        <v>0</v>
      </c>
      <c r="O1618">
        <v>269</v>
      </c>
      <c r="P1618" t="str">
        <f t="shared" si="151"/>
        <v>High</v>
      </c>
      <c r="Q1618">
        <v>134</v>
      </c>
      <c r="R1618">
        <v>78</v>
      </c>
      <c r="S1618">
        <v>26.8</v>
      </c>
      <c r="T1618" t="str">
        <f t="shared" si="152"/>
        <v>Overweight</v>
      </c>
      <c r="U1618">
        <v>105</v>
      </c>
      <c r="V1618">
        <v>104</v>
      </c>
      <c r="W1618" t="str">
        <f t="shared" si="155"/>
        <v>Prediabetes</v>
      </c>
      <c r="X1618">
        <v>0</v>
      </c>
    </row>
    <row r="1619" spans="1:24" ht="14.5" thickBot="1" x14ac:dyDescent="0.35">
      <c r="A1619">
        <v>0</v>
      </c>
      <c r="B1619" t="str">
        <f t="shared" si="153"/>
        <v>Female</v>
      </c>
      <c r="C1619" s="8">
        <v>46</v>
      </c>
      <c r="D1619" t="str">
        <f t="shared" si="154"/>
        <v>Middle Age</v>
      </c>
      <c r="E1619">
        <v>3</v>
      </c>
      <c r="F1619" t="str">
        <f>HLOOKUP(E1619, LookUP_Table!$A$6:$D$7, 2, FALSE)</f>
        <v>Graduate</v>
      </c>
      <c r="G1619" t="str">
        <f>IFERROR(VLOOKUP(E1619, LookUP_Table!$A$1:$B$4, 2, FALSE), "")</f>
        <v>Graduate</v>
      </c>
      <c r="H1619">
        <v>1</v>
      </c>
      <c r="I1619">
        <v>20</v>
      </c>
      <c r="J1619" t="str">
        <f t="shared" si="150"/>
        <v>Smoker</v>
      </c>
      <c r="K1619">
        <v>0</v>
      </c>
      <c r="L1619">
        <v>0</v>
      </c>
      <c r="M1619">
        <v>0</v>
      </c>
      <c r="N1619">
        <v>0</v>
      </c>
      <c r="O1619">
        <v>218</v>
      </c>
      <c r="P1619" t="str">
        <f t="shared" si="151"/>
        <v>Normal</v>
      </c>
      <c r="Q1619">
        <v>115.5</v>
      </c>
      <c r="R1619">
        <v>62</v>
      </c>
      <c r="S1619">
        <v>23.48</v>
      </c>
      <c r="T1619" t="str">
        <f t="shared" si="152"/>
        <v>Normal</v>
      </c>
      <c r="U1619">
        <v>65</v>
      </c>
      <c r="V1619">
        <v>77</v>
      </c>
      <c r="W1619" t="str">
        <f t="shared" si="155"/>
        <v>Normal</v>
      </c>
      <c r="X1619">
        <v>0</v>
      </c>
    </row>
    <row r="1620" spans="1:24" ht="14.5" thickBot="1" x14ac:dyDescent="0.35">
      <c r="A1620">
        <v>1</v>
      </c>
      <c r="B1620" t="str">
        <f t="shared" si="153"/>
        <v>Male</v>
      </c>
      <c r="C1620" s="8">
        <v>46</v>
      </c>
      <c r="D1620" t="str">
        <f t="shared" si="154"/>
        <v>Middle Age</v>
      </c>
      <c r="E1620">
        <v>1</v>
      </c>
      <c r="F1620" t="str">
        <f>HLOOKUP(E1620, LookUP_Table!$A$6:$D$7, 2, FALSE)</f>
        <v>Primary</v>
      </c>
      <c r="G1620" t="str">
        <f>IFERROR(VLOOKUP(E1620, LookUP_Table!$A$1:$B$4, 2, FALSE), "")</f>
        <v>Primary</v>
      </c>
      <c r="H1620">
        <v>1</v>
      </c>
      <c r="I1620">
        <v>20</v>
      </c>
      <c r="J1620" t="str">
        <f t="shared" si="150"/>
        <v>Smoker</v>
      </c>
      <c r="K1620">
        <v>0</v>
      </c>
      <c r="L1620">
        <v>0</v>
      </c>
      <c r="M1620">
        <v>0</v>
      </c>
      <c r="N1620">
        <v>0</v>
      </c>
      <c r="O1620">
        <v>269</v>
      </c>
      <c r="P1620" t="str">
        <f t="shared" si="151"/>
        <v>High</v>
      </c>
      <c r="Q1620">
        <v>135</v>
      </c>
      <c r="R1620">
        <v>95</v>
      </c>
      <c r="S1620">
        <v>26.55</v>
      </c>
      <c r="T1620" t="str">
        <f t="shared" si="152"/>
        <v>Overweight</v>
      </c>
      <c r="U1620">
        <v>75</v>
      </c>
      <c r="V1620">
        <v>92</v>
      </c>
      <c r="W1620" t="str">
        <f t="shared" si="155"/>
        <v>Normal</v>
      </c>
      <c r="X1620">
        <v>0</v>
      </c>
    </row>
    <row r="1621" spans="1:24" ht="14.5" thickBot="1" x14ac:dyDescent="0.35">
      <c r="A1621">
        <v>1</v>
      </c>
      <c r="B1621" t="str">
        <f t="shared" si="153"/>
        <v>Male</v>
      </c>
      <c r="C1621" s="8">
        <v>46</v>
      </c>
      <c r="D1621" t="str">
        <f t="shared" si="154"/>
        <v>Middle Age</v>
      </c>
      <c r="E1621">
        <v>2</v>
      </c>
      <c r="F1621" t="str">
        <f>HLOOKUP(E1621, LookUP_Table!$A$6:$D$7, 2, FALSE)</f>
        <v>Secondary</v>
      </c>
      <c r="G1621" t="str">
        <f>IFERROR(VLOOKUP(E1621, LookUP_Table!$A$1:$B$4, 2, FALSE), "")</f>
        <v>Secondary</v>
      </c>
      <c r="H1621">
        <v>1</v>
      </c>
      <c r="I1621">
        <v>30</v>
      </c>
      <c r="J1621" t="str">
        <f t="shared" si="150"/>
        <v>Smoker</v>
      </c>
      <c r="K1621">
        <v>0</v>
      </c>
      <c r="L1621">
        <v>0</v>
      </c>
      <c r="M1621">
        <v>0</v>
      </c>
      <c r="N1621">
        <v>0</v>
      </c>
      <c r="O1621">
        <v>216</v>
      </c>
      <c r="P1621" t="str">
        <f t="shared" si="151"/>
        <v>Normal</v>
      </c>
      <c r="Q1621">
        <v>107</v>
      </c>
      <c r="R1621">
        <v>73</v>
      </c>
      <c r="S1621">
        <v>31.46</v>
      </c>
      <c r="T1621" t="str">
        <f t="shared" si="152"/>
        <v>Obese</v>
      </c>
      <c r="U1621">
        <v>100</v>
      </c>
      <c r="V1621">
        <v>81.96365524402907</v>
      </c>
      <c r="W1621" t="str">
        <f t="shared" si="155"/>
        <v>Normal</v>
      </c>
      <c r="X1621">
        <v>0</v>
      </c>
    </row>
    <row r="1622" spans="1:24" ht="14.5" thickBot="1" x14ac:dyDescent="0.35">
      <c r="A1622">
        <v>0</v>
      </c>
      <c r="B1622" t="str">
        <f t="shared" si="153"/>
        <v>Female</v>
      </c>
      <c r="C1622" s="8">
        <v>46</v>
      </c>
      <c r="D1622" t="str">
        <f t="shared" si="154"/>
        <v>Middle Age</v>
      </c>
      <c r="E1622">
        <v>3</v>
      </c>
      <c r="F1622" t="str">
        <f>HLOOKUP(E1622, LookUP_Table!$A$6:$D$7, 2, FALSE)</f>
        <v>Graduate</v>
      </c>
      <c r="G1622" t="str">
        <f>IFERROR(VLOOKUP(E1622, LookUP_Table!$A$1:$B$4, 2, FALSE), "")</f>
        <v>Graduate</v>
      </c>
      <c r="H1622">
        <v>1</v>
      </c>
      <c r="I1622">
        <v>1</v>
      </c>
      <c r="J1622" t="str">
        <f t="shared" si="150"/>
        <v>Smoker</v>
      </c>
      <c r="K1622">
        <v>0</v>
      </c>
      <c r="L1622">
        <v>0</v>
      </c>
      <c r="M1622">
        <v>0</v>
      </c>
      <c r="N1622">
        <v>0</v>
      </c>
      <c r="O1622">
        <v>241</v>
      </c>
      <c r="P1622" t="str">
        <f t="shared" si="151"/>
        <v>High</v>
      </c>
      <c r="Q1622">
        <v>130</v>
      </c>
      <c r="R1622">
        <v>82</v>
      </c>
      <c r="S1622">
        <v>34.840000000000003</v>
      </c>
      <c r="T1622" t="str">
        <f t="shared" si="152"/>
        <v>Obese</v>
      </c>
      <c r="U1622">
        <v>62</v>
      </c>
      <c r="V1622">
        <v>93</v>
      </c>
      <c r="W1622" t="str">
        <f t="shared" si="155"/>
        <v>Normal</v>
      </c>
      <c r="X1622">
        <v>0</v>
      </c>
    </row>
    <row r="1623" spans="1:24" ht="14.5" thickBot="1" x14ac:dyDescent="0.35">
      <c r="A1623">
        <v>0</v>
      </c>
      <c r="B1623" t="str">
        <f t="shared" si="153"/>
        <v>Female</v>
      </c>
      <c r="C1623" s="8">
        <v>46</v>
      </c>
      <c r="D1623" t="str">
        <f t="shared" si="154"/>
        <v>Middle Age</v>
      </c>
      <c r="E1623">
        <v>2</v>
      </c>
      <c r="F1623" t="str">
        <f>HLOOKUP(E1623, LookUP_Table!$A$6:$D$7, 2, FALSE)</f>
        <v>Secondary</v>
      </c>
      <c r="G1623" t="str">
        <f>IFERROR(VLOOKUP(E1623, LookUP_Table!$A$1:$B$4, 2, FALSE), "")</f>
        <v>Secondary</v>
      </c>
      <c r="H1623">
        <v>0</v>
      </c>
      <c r="I1623">
        <v>0</v>
      </c>
      <c r="J1623" t="str">
        <f t="shared" si="150"/>
        <v>Non-Smoker</v>
      </c>
      <c r="K1623">
        <v>0</v>
      </c>
      <c r="L1623">
        <v>0</v>
      </c>
      <c r="M1623">
        <v>0</v>
      </c>
      <c r="N1623">
        <v>0</v>
      </c>
      <c r="O1623">
        <v>213</v>
      </c>
      <c r="P1623" t="str">
        <f t="shared" si="151"/>
        <v>Normal</v>
      </c>
      <c r="Q1623">
        <v>115</v>
      </c>
      <c r="R1623">
        <v>72.5</v>
      </c>
      <c r="S1623">
        <v>19.98</v>
      </c>
      <c r="T1623" t="str">
        <f t="shared" si="152"/>
        <v>Normal</v>
      </c>
      <c r="U1623">
        <v>80</v>
      </c>
      <c r="V1623">
        <v>107</v>
      </c>
      <c r="W1623" t="str">
        <f t="shared" si="155"/>
        <v>Prediabetes</v>
      </c>
      <c r="X1623">
        <v>0</v>
      </c>
    </row>
    <row r="1624" spans="1:24" ht="14.5" thickBot="1" x14ac:dyDescent="0.35">
      <c r="A1624">
        <v>0</v>
      </c>
      <c r="B1624" t="str">
        <f t="shared" si="153"/>
        <v>Female</v>
      </c>
      <c r="C1624" s="8">
        <v>46</v>
      </c>
      <c r="D1624" t="str">
        <f t="shared" si="154"/>
        <v>Middle Age</v>
      </c>
      <c r="E1624">
        <v>4</v>
      </c>
      <c r="F1624" t="str">
        <f>HLOOKUP(E1624, LookUP_Table!$A$6:$D$7, 2, FALSE)</f>
        <v>Post Graduate</v>
      </c>
      <c r="G1624" t="str">
        <f>IFERROR(VLOOKUP(E1624, LookUP_Table!$A$1:$B$4, 2, FALSE), "")</f>
        <v>Post Graduate</v>
      </c>
      <c r="H1624">
        <v>1</v>
      </c>
      <c r="I1624">
        <v>5</v>
      </c>
      <c r="J1624" t="str">
        <f t="shared" si="150"/>
        <v>Smoker</v>
      </c>
      <c r="K1624">
        <v>0</v>
      </c>
      <c r="L1624">
        <v>0</v>
      </c>
      <c r="M1624">
        <v>0</v>
      </c>
      <c r="N1624">
        <v>0</v>
      </c>
      <c r="O1624">
        <v>240</v>
      </c>
      <c r="P1624" t="str">
        <f t="shared" si="151"/>
        <v>Normal</v>
      </c>
      <c r="Q1624">
        <v>125</v>
      </c>
      <c r="R1624">
        <v>74</v>
      </c>
      <c r="S1624">
        <v>22.89</v>
      </c>
      <c r="T1624" t="str">
        <f t="shared" si="152"/>
        <v>Normal</v>
      </c>
      <c r="U1624">
        <v>87</v>
      </c>
      <c r="V1624">
        <v>76</v>
      </c>
      <c r="W1624" t="str">
        <f t="shared" si="155"/>
        <v>Normal</v>
      </c>
      <c r="X1624">
        <v>0</v>
      </c>
    </row>
    <row r="1625" spans="1:24" ht="14.5" thickBot="1" x14ac:dyDescent="0.35">
      <c r="A1625">
        <v>0</v>
      </c>
      <c r="B1625" t="str">
        <f t="shared" si="153"/>
        <v>Female</v>
      </c>
      <c r="C1625" s="8">
        <v>46</v>
      </c>
      <c r="D1625" t="str">
        <f t="shared" si="154"/>
        <v>Middle Age</v>
      </c>
      <c r="E1625">
        <v>1</v>
      </c>
      <c r="F1625" t="str">
        <f>HLOOKUP(E1625, LookUP_Table!$A$6:$D$7, 2, FALSE)</f>
        <v>Primary</v>
      </c>
      <c r="G1625" t="str">
        <f>IFERROR(VLOOKUP(E1625, LookUP_Table!$A$1:$B$4, 2, FALSE), "")</f>
        <v>Primary</v>
      </c>
      <c r="H1625">
        <v>1</v>
      </c>
      <c r="I1625">
        <v>5</v>
      </c>
      <c r="J1625" t="str">
        <f t="shared" si="150"/>
        <v>Smoker</v>
      </c>
      <c r="K1625">
        <v>0</v>
      </c>
      <c r="L1625">
        <v>0</v>
      </c>
      <c r="M1625">
        <v>0</v>
      </c>
      <c r="N1625">
        <v>0</v>
      </c>
      <c r="O1625">
        <v>220</v>
      </c>
      <c r="P1625" t="str">
        <f t="shared" si="151"/>
        <v>Normal</v>
      </c>
      <c r="Q1625">
        <v>123</v>
      </c>
      <c r="R1625">
        <v>88</v>
      </c>
      <c r="S1625">
        <v>32.49</v>
      </c>
      <c r="T1625" t="str">
        <f t="shared" si="152"/>
        <v>Obese</v>
      </c>
      <c r="U1625">
        <v>94</v>
      </c>
      <c r="V1625">
        <v>79</v>
      </c>
      <c r="W1625" t="str">
        <f t="shared" si="155"/>
        <v>Normal</v>
      </c>
      <c r="X1625">
        <v>1</v>
      </c>
    </row>
    <row r="1626" spans="1:24" ht="14.5" thickBot="1" x14ac:dyDescent="0.35">
      <c r="A1626">
        <v>1</v>
      </c>
      <c r="B1626" t="str">
        <f t="shared" si="153"/>
        <v>Male</v>
      </c>
      <c r="C1626" s="8">
        <v>46</v>
      </c>
      <c r="D1626" t="str">
        <f t="shared" si="154"/>
        <v>Middle Age</v>
      </c>
      <c r="E1626">
        <v>3</v>
      </c>
      <c r="F1626" t="str">
        <f>HLOOKUP(E1626, LookUP_Table!$A$6:$D$7, 2, FALSE)</f>
        <v>Graduate</v>
      </c>
      <c r="G1626" t="str">
        <f>IFERROR(VLOOKUP(E1626, LookUP_Table!$A$1:$B$4, 2, FALSE), "")</f>
        <v>Graduate</v>
      </c>
      <c r="H1626">
        <v>1</v>
      </c>
      <c r="I1626">
        <v>20</v>
      </c>
      <c r="J1626" t="str">
        <f t="shared" si="150"/>
        <v>Smoker</v>
      </c>
      <c r="K1626">
        <v>0</v>
      </c>
      <c r="L1626">
        <v>0</v>
      </c>
      <c r="M1626">
        <v>0</v>
      </c>
      <c r="N1626">
        <v>0</v>
      </c>
      <c r="O1626">
        <v>270</v>
      </c>
      <c r="P1626" t="str">
        <f t="shared" si="151"/>
        <v>High</v>
      </c>
      <c r="Q1626">
        <v>120.5</v>
      </c>
      <c r="R1626">
        <v>78</v>
      </c>
      <c r="S1626">
        <v>22.54</v>
      </c>
      <c r="T1626" t="str">
        <f t="shared" si="152"/>
        <v>Normal</v>
      </c>
      <c r="U1626">
        <v>83</v>
      </c>
      <c r="V1626">
        <v>83</v>
      </c>
      <c r="W1626" t="str">
        <f t="shared" si="155"/>
        <v>Normal</v>
      </c>
      <c r="X1626">
        <v>1</v>
      </c>
    </row>
    <row r="1627" spans="1:24" ht="14.5" thickBot="1" x14ac:dyDescent="0.35">
      <c r="A1627">
        <v>0</v>
      </c>
      <c r="B1627" t="str">
        <f t="shared" si="153"/>
        <v>Female</v>
      </c>
      <c r="C1627" s="8">
        <v>46</v>
      </c>
      <c r="D1627" t="str">
        <f t="shared" si="154"/>
        <v>Middle Age</v>
      </c>
      <c r="E1627">
        <v>1</v>
      </c>
      <c r="F1627" t="str">
        <f>HLOOKUP(E1627, LookUP_Table!$A$6:$D$7, 2, FALSE)</f>
        <v>Primary</v>
      </c>
      <c r="G1627" t="str">
        <f>IFERROR(VLOOKUP(E1627, LookUP_Table!$A$1:$B$4, 2, FALSE), "")</f>
        <v>Primary</v>
      </c>
      <c r="H1627">
        <v>1</v>
      </c>
      <c r="I1627">
        <v>20</v>
      </c>
      <c r="J1627" t="str">
        <f t="shared" si="150"/>
        <v>Smoker</v>
      </c>
      <c r="K1627">
        <v>0</v>
      </c>
      <c r="L1627">
        <v>0</v>
      </c>
      <c r="M1627">
        <v>0</v>
      </c>
      <c r="N1627">
        <v>0</v>
      </c>
      <c r="O1627">
        <v>203</v>
      </c>
      <c r="P1627" t="str">
        <f t="shared" si="151"/>
        <v>Normal</v>
      </c>
      <c r="Q1627">
        <v>117</v>
      </c>
      <c r="R1627">
        <v>68</v>
      </c>
      <c r="S1627">
        <v>21.5</v>
      </c>
      <c r="T1627" t="str">
        <f t="shared" si="152"/>
        <v>Normal</v>
      </c>
      <c r="U1627">
        <v>110</v>
      </c>
      <c r="V1627">
        <v>85</v>
      </c>
      <c r="W1627" t="str">
        <f t="shared" si="155"/>
        <v>Normal</v>
      </c>
      <c r="X1627">
        <v>0</v>
      </c>
    </row>
    <row r="1628" spans="1:24" ht="14.5" thickBot="1" x14ac:dyDescent="0.35">
      <c r="A1628">
        <v>0</v>
      </c>
      <c r="B1628" t="str">
        <f t="shared" si="153"/>
        <v>Female</v>
      </c>
      <c r="C1628" s="8">
        <v>46</v>
      </c>
      <c r="D1628" t="str">
        <f t="shared" si="154"/>
        <v>Middle Age</v>
      </c>
      <c r="E1628">
        <v>3</v>
      </c>
      <c r="F1628" t="str">
        <f>HLOOKUP(E1628, LookUP_Table!$A$6:$D$7, 2, FALSE)</f>
        <v>Graduate</v>
      </c>
      <c r="G1628" t="str">
        <f>IFERROR(VLOOKUP(E1628, LookUP_Table!$A$1:$B$4, 2, FALSE), "")</f>
        <v>Graduate</v>
      </c>
      <c r="H1628">
        <v>1</v>
      </c>
      <c r="I1628">
        <v>20</v>
      </c>
      <c r="J1628" t="str">
        <f t="shared" si="150"/>
        <v>Smoker</v>
      </c>
      <c r="K1628">
        <v>0</v>
      </c>
      <c r="L1628">
        <v>0</v>
      </c>
      <c r="M1628">
        <v>0</v>
      </c>
      <c r="N1628">
        <v>0</v>
      </c>
      <c r="O1628">
        <v>253</v>
      </c>
      <c r="P1628" t="str">
        <f t="shared" si="151"/>
        <v>High</v>
      </c>
      <c r="Q1628">
        <v>118</v>
      </c>
      <c r="R1628">
        <v>82</v>
      </c>
      <c r="S1628">
        <v>19.7</v>
      </c>
      <c r="T1628" t="str">
        <f t="shared" si="152"/>
        <v>Normal</v>
      </c>
      <c r="U1628">
        <v>100</v>
      </c>
      <c r="V1628">
        <v>70</v>
      </c>
      <c r="W1628" t="str">
        <f t="shared" si="155"/>
        <v>Normal</v>
      </c>
      <c r="X1628">
        <v>0</v>
      </c>
    </row>
    <row r="1629" spans="1:24" ht="14.5" thickBot="1" x14ac:dyDescent="0.35">
      <c r="A1629">
        <v>1</v>
      </c>
      <c r="B1629" t="str">
        <f t="shared" si="153"/>
        <v>Male</v>
      </c>
      <c r="C1629" s="8">
        <v>46</v>
      </c>
      <c r="D1629" t="str">
        <f t="shared" si="154"/>
        <v>Middle Age</v>
      </c>
      <c r="E1629">
        <v>1</v>
      </c>
      <c r="F1629" t="str">
        <f>HLOOKUP(E1629, LookUP_Table!$A$6:$D$7, 2, FALSE)</f>
        <v>Primary</v>
      </c>
      <c r="G1629" t="str">
        <f>IFERROR(VLOOKUP(E1629, LookUP_Table!$A$1:$B$4, 2, FALSE), "")</f>
        <v>Primary</v>
      </c>
      <c r="H1629">
        <v>1</v>
      </c>
      <c r="I1629">
        <v>20</v>
      </c>
      <c r="J1629" t="str">
        <f t="shared" si="150"/>
        <v>Smoker</v>
      </c>
      <c r="K1629">
        <v>0</v>
      </c>
      <c r="L1629">
        <v>0</v>
      </c>
      <c r="M1629">
        <v>1</v>
      </c>
      <c r="N1629">
        <v>0</v>
      </c>
      <c r="O1629">
        <v>208</v>
      </c>
      <c r="P1629" t="str">
        <f t="shared" si="151"/>
        <v>Normal</v>
      </c>
      <c r="Q1629">
        <v>164</v>
      </c>
      <c r="R1629">
        <v>107</v>
      </c>
      <c r="S1629">
        <v>20.63</v>
      </c>
      <c r="T1629" t="str">
        <f t="shared" si="152"/>
        <v>Normal</v>
      </c>
      <c r="U1629">
        <v>63</v>
      </c>
      <c r="V1629">
        <v>70</v>
      </c>
      <c r="W1629" t="str">
        <f t="shared" si="155"/>
        <v>Normal</v>
      </c>
      <c r="X1629">
        <v>1</v>
      </c>
    </row>
    <row r="1630" spans="1:24" ht="14.5" thickBot="1" x14ac:dyDescent="0.35">
      <c r="A1630">
        <v>0</v>
      </c>
      <c r="B1630" t="str">
        <f t="shared" si="153"/>
        <v>Female</v>
      </c>
      <c r="C1630" s="8">
        <v>46</v>
      </c>
      <c r="D1630" t="str">
        <f t="shared" si="154"/>
        <v>Middle Age</v>
      </c>
      <c r="E1630">
        <v>1</v>
      </c>
      <c r="F1630" t="str">
        <f>HLOOKUP(E1630, LookUP_Table!$A$6:$D$7, 2, FALSE)</f>
        <v>Primary</v>
      </c>
      <c r="G1630" t="str">
        <f>IFERROR(VLOOKUP(E1630, LookUP_Table!$A$1:$B$4, 2, FALSE), "")</f>
        <v>Primary</v>
      </c>
      <c r="H1630">
        <v>0</v>
      </c>
      <c r="I1630">
        <v>0</v>
      </c>
      <c r="J1630" t="str">
        <f t="shared" si="150"/>
        <v>Non-Smoker</v>
      </c>
      <c r="K1630">
        <v>0</v>
      </c>
      <c r="L1630">
        <v>0</v>
      </c>
      <c r="M1630">
        <v>1</v>
      </c>
      <c r="N1630">
        <v>0</v>
      </c>
      <c r="O1630">
        <v>238</v>
      </c>
      <c r="P1630" t="str">
        <f t="shared" si="151"/>
        <v>Normal</v>
      </c>
      <c r="Q1630">
        <v>162</v>
      </c>
      <c r="R1630">
        <v>87.5</v>
      </c>
      <c r="S1630">
        <v>26.95</v>
      </c>
      <c r="T1630" t="str">
        <f t="shared" si="152"/>
        <v>Overweight</v>
      </c>
      <c r="U1630">
        <v>100</v>
      </c>
      <c r="V1630">
        <v>93</v>
      </c>
      <c r="W1630" t="str">
        <f t="shared" si="155"/>
        <v>Normal</v>
      </c>
      <c r="X1630">
        <v>0</v>
      </c>
    </row>
    <row r="1631" spans="1:24" ht="14.5" thickBot="1" x14ac:dyDescent="0.35">
      <c r="A1631">
        <v>0</v>
      </c>
      <c r="B1631" t="str">
        <f t="shared" si="153"/>
        <v>Female</v>
      </c>
      <c r="C1631" s="8">
        <v>46</v>
      </c>
      <c r="D1631" t="str">
        <f t="shared" si="154"/>
        <v>Middle Age</v>
      </c>
      <c r="E1631">
        <v>2</v>
      </c>
      <c r="F1631" t="str">
        <f>HLOOKUP(E1631, LookUP_Table!$A$6:$D$7, 2, FALSE)</f>
        <v>Secondary</v>
      </c>
      <c r="G1631" t="str">
        <f>IFERROR(VLOOKUP(E1631, LookUP_Table!$A$1:$B$4, 2, FALSE), "")</f>
        <v>Secondary</v>
      </c>
      <c r="H1631">
        <v>0</v>
      </c>
      <c r="I1631">
        <v>0</v>
      </c>
      <c r="J1631" t="str">
        <f t="shared" si="150"/>
        <v>Non-Smoker</v>
      </c>
      <c r="K1631">
        <v>0</v>
      </c>
      <c r="L1631">
        <v>0</v>
      </c>
      <c r="M1631">
        <v>0</v>
      </c>
      <c r="N1631">
        <v>0</v>
      </c>
      <c r="O1631">
        <v>225</v>
      </c>
      <c r="P1631" t="str">
        <f t="shared" si="151"/>
        <v>Normal</v>
      </c>
      <c r="Q1631">
        <v>116</v>
      </c>
      <c r="R1631">
        <v>79</v>
      </c>
      <c r="S1631">
        <v>29.21</v>
      </c>
      <c r="T1631" t="str">
        <f t="shared" si="152"/>
        <v>Overweight</v>
      </c>
      <c r="U1631">
        <v>60</v>
      </c>
      <c r="V1631">
        <v>70</v>
      </c>
      <c r="W1631" t="str">
        <f t="shared" si="155"/>
        <v>Normal</v>
      </c>
      <c r="X1631">
        <v>0</v>
      </c>
    </row>
    <row r="1632" spans="1:24" ht="14.5" thickBot="1" x14ac:dyDescent="0.35">
      <c r="A1632">
        <v>0</v>
      </c>
      <c r="B1632" t="str">
        <f t="shared" si="153"/>
        <v>Female</v>
      </c>
      <c r="C1632" s="8">
        <v>46</v>
      </c>
      <c r="D1632" t="str">
        <f t="shared" si="154"/>
        <v>Middle Age</v>
      </c>
      <c r="E1632">
        <v>2</v>
      </c>
      <c r="F1632" t="str">
        <f>HLOOKUP(E1632, LookUP_Table!$A$6:$D$7, 2, FALSE)</f>
        <v>Secondary</v>
      </c>
      <c r="G1632" t="str">
        <f>IFERROR(VLOOKUP(E1632, LookUP_Table!$A$1:$B$4, 2, FALSE), "")</f>
        <v>Secondary</v>
      </c>
      <c r="H1632">
        <v>0</v>
      </c>
      <c r="I1632">
        <v>0</v>
      </c>
      <c r="J1632" t="str">
        <f t="shared" si="150"/>
        <v>Non-Smoker</v>
      </c>
      <c r="K1632">
        <v>0</v>
      </c>
      <c r="L1632">
        <v>0</v>
      </c>
      <c r="M1632">
        <v>0</v>
      </c>
      <c r="N1632">
        <v>0</v>
      </c>
      <c r="O1632">
        <v>304</v>
      </c>
      <c r="P1632" t="str">
        <f t="shared" si="151"/>
        <v>High</v>
      </c>
      <c r="Q1632">
        <v>131.5</v>
      </c>
      <c r="R1632">
        <v>78.5</v>
      </c>
      <c r="S1632">
        <v>21.02</v>
      </c>
      <c r="T1632" t="str">
        <f t="shared" si="152"/>
        <v>Normal</v>
      </c>
      <c r="U1632">
        <v>68</v>
      </c>
      <c r="V1632">
        <v>112</v>
      </c>
      <c r="W1632" t="str">
        <f t="shared" si="155"/>
        <v>Prediabetes</v>
      </c>
      <c r="X1632">
        <v>0</v>
      </c>
    </row>
    <row r="1633" spans="1:24" ht="14.5" thickBot="1" x14ac:dyDescent="0.35">
      <c r="A1633">
        <v>0</v>
      </c>
      <c r="B1633" t="str">
        <f t="shared" si="153"/>
        <v>Female</v>
      </c>
      <c r="C1633" s="8">
        <v>46</v>
      </c>
      <c r="D1633" t="str">
        <f t="shared" si="154"/>
        <v>Middle Age</v>
      </c>
      <c r="E1633">
        <v>1</v>
      </c>
      <c r="F1633" t="str">
        <f>HLOOKUP(E1633, LookUP_Table!$A$6:$D$7, 2, FALSE)</f>
        <v>Primary</v>
      </c>
      <c r="G1633" t="str">
        <f>IFERROR(VLOOKUP(E1633, LookUP_Table!$A$1:$B$4, 2, FALSE), "")</f>
        <v>Primary</v>
      </c>
      <c r="H1633">
        <v>1</v>
      </c>
      <c r="I1633">
        <v>40</v>
      </c>
      <c r="J1633" t="str">
        <f t="shared" si="150"/>
        <v>Smoker</v>
      </c>
      <c r="K1633">
        <v>0</v>
      </c>
      <c r="L1633">
        <v>0</v>
      </c>
      <c r="M1633">
        <v>0</v>
      </c>
      <c r="N1633">
        <v>0</v>
      </c>
      <c r="O1633">
        <v>253</v>
      </c>
      <c r="P1633" t="str">
        <f t="shared" si="151"/>
        <v>High</v>
      </c>
      <c r="Q1633">
        <v>118</v>
      </c>
      <c r="R1633">
        <v>74</v>
      </c>
      <c r="S1633">
        <v>26.42</v>
      </c>
      <c r="T1633" t="str">
        <f t="shared" si="152"/>
        <v>Overweight</v>
      </c>
      <c r="U1633">
        <v>75</v>
      </c>
      <c r="V1633">
        <v>64</v>
      </c>
      <c r="W1633" t="str">
        <f t="shared" si="155"/>
        <v>Normal</v>
      </c>
      <c r="X1633">
        <v>1</v>
      </c>
    </row>
    <row r="1634" spans="1:24" ht="14.5" thickBot="1" x14ac:dyDescent="0.35">
      <c r="A1634">
        <v>0</v>
      </c>
      <c r="B1634" t="str">
        <f t="shared" si="153"/>
        <v>Female</v>
      </c>
      <c r="C1634" s="8">
        <v>46</v>
      </c>
      <c r="D1634" t="str">
        <f t="shared" si="154"/>
        <v>Middle Age</v>
      </c>
      <c r="E1634">
        <v>2</v>
      </c>
      <c r="F1634" t="str">
        <f>HLOOKUP(E1634, LookUP_Table!$A$6:$D$7, 2, FALSE)</f>
        <v>Secondary</v>
      </c>
      <c r="G1634" t="str">
        <f>IFERROR(VLOOKUP(E1634, LookUP_Table!$A$1:$B$4, 2, FALSE), "")</f>
        <v>Secondary</v>
      </c>
      <c r="H1634">
        <v>0</v>
      </c>
      <c r="I1634">
        <v>0</v>
      </c>
      <c r="J1634" t="str">
        <f t="shared" si="150"/>
        <v>Non-Smoker</v>
      </c>
      <c r="K1634">
        <v>0</v>
      </c>
      <c r="L1634">
        <v>0</v>
      </c>
      <c r="M1634">
        <v>0</v>
      </c>
      <c r="N1634">
        <v>0</v>
      </c>
      <c r="O1634">
        <v>270</v>
      </c>
      <c r="P1634" t="str">
        <f t="shared" si="151"/>
        <v>High</v>
      </c>
      <c r="Q1634">
        <v>122</v>
      </c>
      <c r="R1634">
        <v>76</v>
      </c>
      <c r="S1634">
        <v>21.35</v>
      </c>
      <c r="T1634" t="str">
        <f t="shared" si="152"/>
        <v>Normal</v>
      </c>
      <c r="U1634">
        <v>77</v>
      </c>
      <c r="V1634">
        <v>88</v>
      </c>
      <c r="W1634" t="str">
        <f t="shared" si="155"/>
        <v>Normal</v>
      </c>
      <c r="X1634">
        <v>0</v>
      </c>
    </row>
    <row r="1635" spans="1:24" ht="14.5" thickBot="1" x14ac:dyDescent="0.35">
      <c r="A1635">
        <v>1</v>
      </c>
      <c r="B1635" t="str">
        <f t="shared" si="153"/>
        <v>Male</v>
      </c>
      <c r="C1635" s="8">
        <v>46</v>
      </c>
      <c r="D1635" t="str">
        <f t="shared" si="154"/>
        <v>Middle Age</v>
      </c>
      <c r="E1635">
        <v>3</v>
      </c>
      <c r="F1635" t="str">
        <f>HLOOKUP(E1635, LookUP_Table!$A$6:$D$7, 2, FALSE)</f>
        <v>Graduate</v>
      </c>
      <c r="G1635" t="str">
        <f>IFERROR(VLOOKUP(E1635, LookUP_Table!$A$1:$B$4, 2, FALSE), "")</f>
        <v>Graduate</v>
      </c>
      <c r="H1635">
        <v>0</v>
      </c>
      <c r="I1635">
        <v>0</v>
      </c>
      <c r="J1635" t="str">
        <f t="shared" si="150"/>
        <v>Non-Smoker</v>
      </c>
      <c r="K1635">
        <v>0</v>
      </c>
      <c r="L1635">
        <v>0</v>
      </c>
      <c r="M1635">
        <v>0</v>
      </c>
      <c r="N1635">
        <v>0</v>
      </c>
      <c r="O1635">
        <v>216</v>
      </c>
      <c r="P1635" t="str">
        <f t="shared" si="151"/>
        <v>Normal</v>
      </c>
      <c r="Q1635">
        <v>124</v>
      </c>
      <c r="R1635">
        <v>85</v>
      </c>
      <c r="S1635">
        <v>29.91</v>
      </c>
      <c r="T1635" t="str">
        <f t="shared" si="152"/>
        <v>Overweight</v>
      </c>
      <c r="U1635">
        <v>100</v>
      </c>
      <c r="V1635">
        <v>103</v>
      </c>
      <c r="W1635" t="str">
        <f t="shared" si="155"/>
        <v>Prediabetes</v>
      </c>
      <c r="X1635">
        <v>0</v>
      </c>
    </row>
    <row r="1636" spans="1:24" ht="14.5" thickBot="1" x14ac:dyDescent="0.35">
      <c r="A1636">
        <v>1</v>
      </c>
      <c r="B1636" t="str">
        <f t="shared" si="153"/>
        <v>Male</v>
      </c>
      <c r="C1636" s="8">
        <v>46</v>
      </c>
      <c r="D1636" t="str">
        <f t="shared" si="154"/>
        <v>Middle Age</v>
      </c>
      <c r="E1636">
        <v>2</v>
      </c>
      <c r="F1636" t="str">
        <f>HLOOKUP(E1636, LookUP_Table!$A$6:$D$7, 2, FALSE)</f>
        <v>Secondary</v>
      </c>
      <c r="G1636" t="str">
        <f>IFERROR(VLOOKUP(E1636, LookUP_Table!$A$1:$B$4, 2, FALSE), "")</f>
        <v>Secondary</v>
      </c>
      <c r="H1636">
        <v>0</v>
      </c>
      <c r="I1636">
        <v>0</v>
      </c>
      <c r="J1636" t="str">
        <f t="shared" si="150"/>
        <v>Non-Smoker</v>
      </c>
      <c r="K1636">
        <v>0</v>
      </c>
      <c r="L1636">
        <v>0</v>
      </c>
      <c r="M1636">
        <v>0</v>
      </c>
      <c r="N1636">
        <v>0</v>
      </c>
      <c r="O1636">
        <v>217</v>
      </c>
      <c r="P1636" t="str">
        <f t="shared" si="151"/>
        <v>Normal</v>
      </c>
      <c r="Q1636">
        <v>117.5</v>
      </c>
      <c r="R1636">
        <v>77.5</v>
      </c>
      <c r="S1636">
        <v>32.4</v>
      </c>
      <c r="T1636" t="str">
        <f t="shared" si="152"/>
        <v>Obese</v>
      </c>
      <c r="U1636">
        <v>55</v>
      </c>
      <c r="V1636">
        <v>83</v>
      </c>
      <c r="W1636" t="str">
        <f t="shared" si="155"/>
        <v>Normal</v>
      </c>
      <c r="X1636">
        <v>0</v>
      </c>
    </row>
    <row r="1637" spans="1:24" ht="14.5" thickBot="1" x14ac:dyDescent="0.35">
      <c r="A1637">
        <v>0</v>
      </c>
      <c r="B1637" t="str">
        <f t="shared" si="153"/>
        <v>Female</v>
      </c>
      <c r="C1637" s="8">
        <v>46</v>
      </c>
      <c r="D1637" t="str">
        <f t="shared" si="154"/>
        <v>Middle Age</v>
      </c>
      <c r="E1637">
        <v>3</v>
      </c>
      <c r="F1637" t="str">
        <f>HLOOKUP(E1637, LookUP_Table!$A$6:$D$7, 2, FALSE)</f>
        <v>Graduate</v>
      </c>
      <c r="G1637" t="str">
        <f>IFERROR(VLOOKUP(E1637, LookUP_Table!$A$1:$B$4, 2, FALSE), "")</f>
        <v>Graduate</v>
      </c>
      <c r="H1637">
        <v>0</v>
      </c>
      <c r="I1637">
        <v>0</v>
      </c>
      <c r="J1637" t="str">
        <f t="shared" si="150"/>
        <v>Non-Smoker</v>
      </c>
      <c r="K1637">
        <v>0</v>
      </c>
      <c r="L1637">
        <v>0</v>
      </c>
      <c r="M1637">
        <v>0</v>
      </c>
      <c r="N1637">
        <v>0</v>
      </c>
      <c r="O1637">
        <v>197</v>
      </c>
      <c r="P1637" t="str">
        <f t="shared" si="151"/>
        <v>Normal</v>
      </c>
      <c r="Q1637">
        <v>105.5</v>
      </c>
      <c r="R1637">
        <v>67</v>
      </c>
      <c r="S1637">
        <v>23.14</v>
      </c>
      <c r="T1637" t="str">
        <f t="shared" si="152"/>
        <v>Normal</v>
      </c>
      <c r="U1637">
        <v>60</v>
      </c>
      <c r="V1637">
        <v>69</v>
      </c>
      <c r="W1637" t="str">
        <f t="shared" si="155"/>
        <v>Normal</v>
      </c>
      <c r="X1637">
        <v>0</v>
      </c>
    </row>
    <row r="1638" spans="1:24" ht="14.5" thickBot="1" x14ac:dyDescent="0.35">
      <c r="A1638">
        <v>1</v>
      </c>
      <c r="B1638" t="str">
        <f t="shared" si="153"/>
        <v>Male</v>
      </c>
      <c r="C1638" s="8">
        <v>46</v>
      </c>
      <c r="D1638" t="str">
        <f t="shared" si="154"/>
        <v>Middle Age</v>
      </c>
      <c r="E1638">
        <v>1</v>
      </c>
      <c r="F1638" t="str">
        <f>HLOOKUP(E1638, LookUP_Table!$A$6:$D$7, 2, FALSE)</f>
        <v>Primary</v>
      </c>
      <c r="G1638" t="str">
        <f>IFERROR(VLOOKUP(E1638, LookUP_Table!$A$1:$B$4, 2, FALSE), "")</f>
        <v>Primary</v>
      </c>
      <c r="H1638">
        <v>1</v>
      </c>
      <c r="I1638">
        <v>9</v>
      </c>
      <c r="J1638" t="str">
        <f t="shared" si="150"/>
        <v>Smoker</v>
      </c>
      <c r="K1638">
        <v>0</v>
      </c>
      <c r="L1638">
        <v>0</v>
      </c>
      <c r="M1638">
        <v>1</v>
      </c>
      <c r="N1638">
        <v>0</v>
      </c>
      <c r="O1638">
        <v>346</v>
      </c>
      <c r="P1638" t="str">
        <f t="shared" si="151"/>
        <v>High</v>
      </c>
      <c r="Q1638">
        <v>137</v>
      </c>
      <c r="R1638">
        <v>97</v>
      </c>
      <c r="S1638">
        <v>29.11</v>
      </c>
      <c r="T1638" t="str">
        <f t="shared" si="152"/>
        <v>Overweight</v>
      </c>
      <c r="U1638">
        <v>75</v>
      </c>
      <c r="V1638">
        <v>82</v>
      </c>
      <c r="W1638" t="str">
        <f t="shared" si="155"/>
        <v>Normal</v>
      </c>
      <c r="X1638">
        <v>0</v>
      </c>
    </row>
    <row r="1639" spans="1:24" ht="14.5" thickBot="1" x14ac:dyDescent="0.35">
      <c r="A1639">
        <v>0</v>
      </c>
      <c r="B1639" t="str">
        <f t="shared" si="153"/>
        <v>Female</v>
      </c>
      <c r="C1639" s="8">
        <v>46</v>
      </c>
      <c r="D1639" t="str">
        <f t="shared" si="154"/>
        <v>Middle Age</v>
      </c>
      <c r="E1639">
        <v>2</v>
      </c>
      <c r="F1639" t="str">
        <f>HLOOKUP(E1639, LookUP_Table!$A$6:$D$7, 2, FALSE)</f>
        <v>Secondary</v>
      </c>
      <c r="G1639" t="str">
        <f>IFERROR(VLOOKUP(E1639, LookUP_Table!$A$1:$B$4, 2, FALSE), "")</f>
        <v>Secondary</v>
      </c>
      <c r="H1639">
        <v>0</v>
      </c>
      <c r="I1639">
        <v>0</v>
      </c>
      <c r="J1639" t="str">
        <f t="shared" si="150"/>
        <v>Non-Smoker</v>
      </c>
      <c r="K1639">
        <v>0</v>
      </c>
      <c r="L1639">
        <v>0</v>
      </c>
      <c r="M1639">
        <v>0</v>
      </c>
      <c r="N1639">
        <v>0</v>
      </c>
      <c r="O1639">
        <v>253</v>
      </c>
      <c r="P1639" t="str">
        <f t="shared" si="151"/>
        <v>High</v>
      </c>
      <c r="Q1639">
        <v>118</v>
      </c>
      <c r="R1639">
        <v>79</v>
      </c>
      <c r="S1639">
        <v>26.61</v>
      </c>
      <c r="T1639" t="str">
        <f t="shared" si="152"/>
        <v>Overweight</v>
      </c>
      <c r="U1639">
        <v>85</v>
      </c>
      <c r="V1639">
        <v>83</v>
      </c>
      <c r="W1639" t="str">
        <f t="shared" si="155"/>
        <v>Normal</v>
      </c>
      <c r="X1639">
        <v>0</v>
      </c>
    </row>
    <row r="1640" spans="1:24" ht="14.5" thickBot="1" x14ac:dyDescent="0.35">
      <c r="A1640">
        <v>0</v>
      </c>
      <c r="B1640" t="str">
        <f t="shared" si="153"/>
        <v>Female</v>
      </c>
      <c r="C1640" s="8">
        <v>46</v>
      </c>
      <c r="D1640" t="str">
        <f t="shared" si="154"/>
        <v>Middle Age</v>
      </c>
      <c r="E1640">
        <v>3</v>
      </c>
      <c r="F1640" t="str">
        <f>HLOOKUP(E1640, LookUP_Table!$A$6:$D$7, 2, FALSE)</f>
        <v>Graduate</v>
      </c>
      <c r="G1640" t="str">
        <f>IFERROR(VLOOKUP(E1640, LookUP_Table!$A$1:$B$4, 2, FALSE), "")</f>
        <v>Graduate</v>
      </c>
      <c r="H1640">
        <v>0</v>
      </c>
      <c r="I1640">
        <v>0</v>
      </c>
      <c r="J1640" t="str">
        <f t="shared" si="150"/>
        <v>Non-Smoker</v>
      </c>
      <c r="K1640">
        <v>0</v>
      </c>
      <c r="L1640">
        <v>0</v>
      </c>
      <c r="M1640">
        <v>1</v>
      </c>
      <c r="N1640">
        <v>0</v>
      </c>
      <c r="O1640">
        <v>259</v>
      </c>
      <c r="P1640" t="str">
        <f t="shared" si="151"/>
        <v>High</v>
      </c>
      <c r="Q1640">
        <v>173</v>
      </c>
      <c r="R1640">
        <v>102</v>
      </c>
      <c r="S1640">
        <v>27.22</v>
      </c>
      <c r="T1640" t="str">
        <f t="shared" si="152"/>
        <v>Overweight</v>
      </c>
      <c r="U1640">
        <v>85</v>
      </c>
      <c r="V1640">
        <v>75</v>
      </c>
      <c r="W1640" t="str">
        <f t="shared" si="155"/>
        <v>Normal</v>
      </c>
      <c r="X1640">
        <v>0</v>
      </c>
    </row>
    <row r="1641" spans="1:24" ht="14.5" thickBot="1" x14ac:dyDescent="0.35">
      <c r="A1641">
        <v>0</v>
      </c>
      <c r="B1641" t="str">
        <f t="shared" si="153"/>
        <v>Female</v>
      </c>
      <c r="C1641" s="8">
        <v>46</v>
      </c>
      <c r="D1641" t="str">
        <f t="shared" si="154"/>
        <v>Middle Age</v>
      </c>
      <c r="E1641">
        <v>1</v>
      </c>
      <c r="F1641" t="str">
        <f>HLOOKUP(E1641, LookUP_Table!$A$6:$D$7, 2, FALSE)</f>
        <v>Primary</v>
      </c>
      <c r="G1641" t="str">
        <f>IFERROR(VLOOKUP(E1641, LookUP_Table!$A$1:$B$4, 2, FALSE), "")</f>
        <v>Primary</v>
      </c>
      <c r="H1641">
        <v>1</v>
      </c>
      <c r="I1641">
        <v>10</v>
      </c>
      <c r="J1641" t="str">
        <f t="shared" si="150"/>
        <v>Smoker</v>
      </c>
      <c r="K1641">
        <v>0</v>
      </c>
      <c r="L1641">
        <v>0</v>
      </c>
      <c r="M1641">
        <v>0</v>
      </c>
      <c r="N1641">
        <v>0</v>
      </c>
      <c r="O1641">
        <v>392</v>
      </c>
      <c r="P1641" t="str">
        <f t="shared" si="151"/>
        <v>High</v>
      </c>
      <c r="Q1641">
        <v>113</v>
      </c>
      <c r="R1641">
        <v>68</v>
      </c>
      <c r="S1641">
        <v>23.35</v>
      </c>
      <c r="T1641" t="str">
        <f t="shared" si="152"/>
        <v>Normal</v>
      </c>
      <c r="U1641">
        <v>70</v>
      </c>
      <c r="V1641">
        <v>63</v>
      </c>
      <c r="W1641" t="str">
        <f t="shared" si="155"/>
        <v>Normal</v>
      </c>
      <c r="X1641">
        <v>0</v>
      </c>
    </row>
    <row r="1642" spans="1:24" ht="14.5" thickBot="1" x14ac:dyDescent="0.35">
      <c r="A1642">
        <v>0</v>
      </c>
      <c r="B1642" t="str">
        <f t="shared" si="153"/>
        <v>Female</v>
      </c>
      <c r="C1642" s="8">
        <v>46</v>
      </c>
      <c r="D1642" t="str">
        <f t="shared" si="154"/>
        <v>Middle Age</v>
      </c>
      <c r="E1642">
        <v>3</v>
      </c>
      <c r="F1642" t="str">
        <f>HLOOKUP(E1642, LookUP_Table!$A$6:$D$7, 2, FALSE)</f>
        <v>Graduate</v>
      </c>
      <c r="G1642" t="str">
        <f>IFERROR(VLOOKUP(E1642, LookUP_Table!$A$1:$B$4, 2, FALSE), "")</f>
        <v>Graduate</v>
      </c>
      <c r="H1642">
        <v>1</v>
      </c>
      <c r="I1642">
        <v>5</v>
      </c>
      <c r="J1642" t="str">
        <f t="shared" si="150"/>
        <v>Smoker</v>
      </c>
      <c r="K1642">
        <v>0</v>
      </c>
      <c r="L1642">
        <v>0</v>
      </c>
      <c r="M1642">
        <v>0</v>
      </c>
      <c r="N1642">
        <v>0</v>
      </c>
      <c r="O1642">
        <v>291</v>
      </c>
      <c r="P1642" t="str">
        <f t="shared" si="151"/>
        <v>High</v>
      </c>
      <c r="Q1642">
        <v>107.5</v>
      </c>
      <c r="R1642">
        <v>65</v>
      </c>
      <c r="S1642">
        <v>24.1</v>
      </c>
      <c r="T1642" t="str">
        <f t="shared" si="152"/>
        <v>Normal</v>
      </c>
      <c r="U1642">
        <v>82</v>
      </c>
      <c r="V1642">
        <v>78</v>
      </c>
      <c r="W1642" t="str">
        <f t="shared" si="155"/>
        <v>Normal</v>
      </c>
      <c r="X1642">
        <v>0</v>
      </c>
    </row>
    <row r="1643" spans="1:24" ht="14.5" thickBot="1" x14ac:dyDescent="0.35">
      <c r="A1643">
        <v>1</v>
      </c>
      <c r="B1643" t="str">
        <f t="shared" si="153"/>
        <v>Male</v>
      </c>
      <c r="C1643" s="8">
        <v>46</v>
      </c>
      <c r="D1643" t="str">
        <f t="shared" si="154"/>
        <v>Middle Age</v>
      </c>
      <c r="E1643">
        <v>1</v>
      </c>
      <c r="F1643" t="str">
        <f>HLOOKUP(E1643, LookUP_Table!$A$6:$D$7, 2, FALSE)</f>
        <v>Primary</v>
      </c>
      <c r="G1643" t="str">
        <f>IFERROR(VLOOKUP(E1643, LookUP_Table!$A$1:$B$4, 2, FALSE), "")</f>
        <v>Primary</v>
      </c>
      <c r="H1643">
        <v>0</v>
      </c>
      <c r="I1643">
        <v>0</v>
      </c>
      <c r="J1643" t="str">
        <f t="shared" si="150"/>
        <v>Non-Smoker</v>
      </c>
      <c r="K1643">
        <v>0</v>
      </c>
      <c r="L1643">
        <v>0</v>
      </c>
      <c r="M1643">
        <v>0</v>
      </c>
      <c r="N1643">
        <v>0</v>
      </c>
      <c r="O1643">
        <v>205</v>
      </c>
      <c r="P1643" t="str">
        <f t="shared" si="151"/>
        <v>Normal</v>
      </c>
      <c r="Q1643">
        <v>118</v>
      </c>
      <c r="R1643">
        <v>76.5</v>
      </c>
      <c r="S1643">
        <v>23.48</v>
      </c>
      <c r="T1643" t="str">
        <f t="shared" si="152"/>
        <v>Normal</v>
      </c>
      <c r="U1643">
        <v>75</v>
      </c>
      <c r="V1643">
        <v>77</v>
      </c>
      <c r="W1643" t="str">
        <f t="shared" si="155"/>
        <v>Normal</v>
      </c>
      <c r="X1643">
        <v>0</v>
      </c>
    </row>
    <row r="1644" spans="1:24" ht="14.5" thickBot="1" x14ac:dyDescent="0.35">
      <c r="A1644">
        <v>1</v>
      </c>
      <c r="B1644" t="str">
        <f t="shared" si="153"/>
        <v>Male</v>
      </c>
      <c r="C1644" s="8">
        <v>46</v>
      </c>
      <c r="D1644" t="str">
        <f t="shared" si="154"/>
        <v>Middle Age</v>
      </c>
      <c r="E1644">
        <v>3</v>
      </c>
      <c r="F1644" t="str">
        <f>HLOOKUP(E1644, LookUP_Table!$A$6:$D$7, 2, FALSE)</f>
        <v>Graduate</v>
      </c>
      <c r="G1644" t="str">
        <f>IFERROR(VLOOKUP(E1644, LookUP_Table!$A$1:$B$4, 2, FALSE), "")</f>
        <v>Graduate</v>
      </c>
      <c r="H1644">
        <v>0</v>
      </c>
      <c r="I1644">
        <v>0</v>
      </c>
      <c r="J1644" t="str">
        <f t="shared" si="150"/>
        <v>Non-Smoker</v>
      </c>
      <c r="K1644">
        <v>0</v>
      </c>
      <c r="L1644">
        <v>0</v>
      </c>
      <c r="M1644">
        <v>1</v>
      </c>
      <c r="N1644">
        <v>0</v>
      </c>
      <c r="O1644">
        <v>256</v>
      </c>
      <c r="P1644" t="str">
        <f t="shared" si="151"/>
        <v>High</v>
      </c>
      <c r="Q1644">
        <v>138</v>
      </c>
      <c r="R1644">
        <v>105</v>
      </c>
      <c r="S1644">
        <v>26.97</v>
      </c>
      <c r="T1644" t="str">
        <f t="shared" si="152"/>
        <v>Overweight</v>
      </c>
      <c r="U1644">
        <v>98</v>
      </c>
      <c r="V1644">
        <v>100</v>
      </c>
      <c r="W1644" t="str">
        <f t="shared" si="155"/>
        <v>Prediabetes</v>
      </c>
      <c r="X1644">
        <v>0</v>
      </c>
    </row>
    <row r="1645" spans="1:24" ht="14.5" thickBot="1" x14ac:dyDescent="0.35">
      <c r="A1645">
        <v>1</v>
      </c>
      <c r="B1645" t="str">
        <f t="shared" si="153"/>
        <v>Male</v>
      </c>
      <c r="C1645" s="8">
        <v>46</v>
      </c>
      <c r="D1645" t="str">
        <f t="shared" si="154"/>
        <v>Middle Age</v>
      </c>
      <c r="E1645">
        <v>3</v>
      </c>
      <c r="F1645" t="str">
        <f>HLOOKUP(E1645, LookUP_Table!$A$6:$D$7, 2, FALSE)</f>
        <v>Graduate</v>
      </c>
      <c r="G1645" t="str">
        <f>IFERROR(VLOOKUP(E1645, LookUP_Table!$A$1:$B$4, 2, FALSE), "")</f>
        <v>Graduate</v>
      </c>
      <c r="H1645">
        <v>0</v>
      </c>
      <c r="I1645">
        <v>0</v>
      </c>
      <c r="J1645" t="str">
        <f t="shared" si="150"/>
        <v>Non-Smoker</v>
      </c>
      <c r="K1645">
        <v>0</v>
      </c>
      <c r="L1645">
        <v>0</v>
      </c>
      <c r="M1645">
        <v>1</v>
      </c>
      <c r="N1645">
        <v>0</v>
      </c>
      <c r="O1645">
        <v>305</v>
      </c>
      <c r="P1645" t="str">
        <f t="shared" si="151"/>
        <v>High</v>
      </c>
      <c r="Q1645">
        <v>150</v>
      </c>
      <c r="R1645">
        <v>88</v>
      </c>
      <c r="S1645">
        <v>26.82</v>
      </c>
      <c r="T1645" t="str">
        <f t="shared" si="152"/>
        <v>Overweight</v>
      </c>
      <c r="U1645">
        <v>75</v>
      </c>
      <c r="V1645">
        <v>75</v>
      </c>
      <c r="W1645" t="str">
        <f t="shared" si="155"/>
        <v>Normal</v>
      </c>
      <c r="X1645">
        <v>0</v>
      </c>
    </row>
    <row r="1646" spans="1:24" ht="14.5" thickBot="1" x14ac:dyDescent="0.35">
      <c r="A1646">
        <v>0</v>
      </c>
      <c r="B1646" t="str">
        <f t="shared" si="153"/>
        <v>Female</v>
      </c>
      <c r="C1646" s="8">
        <v>46</v>
      </c>
      <c r="D1646" t="str">
        <f t="shared" si="154"/>
        <v>Middle Age</v>
      </c>
      <c r="E1646">
        <v>3</v>
      </c>
      <c r="F1646" t="str">
        <f>HLOOKUP(E1646, LookUP_Table!$A$6:$D$7, 2, FALSE)</f>
        <v>Graduate</v>
      </c>
      <c r="G1646" t="str">
        <f>IFERROR(VLOOKUP(E1646, LookUP_Table!$A$1:$B$4, 2, FALSE), "")</f>
        <v>Graduate</v>
      </c>
      <c r="H1646">
        <v>1</v>
      </c>
      <c r="I1646">
        <v>20</v>
      </c>
      <c r="J1646" t="str">
        <f t="shared" si="150"/>
        <v>Smoker</v>
      </c>
      <c r="K1646">
        <v>1</v>
      </c>
      <c r="L1646">
        <v>0</v>
      </c>
      <c r="M1646">
        <v>1</v>
      </c>
      <c r="N1646">
        <v>0</v>
      </c>
      <c r="O1646">
        <v>248</v>
      </c>
      <c r="P1646" t="str">
        <f t="shared" si="151"/>
        <v>High</v>
      </c>
      <c r="Q1646">
        <v>128</v>
      </c>
      <c r="R1646">
        <v>76</v>
      </c>
      <c r="S1646">
        <v>28.87</v>
      </c>
      <c r="T1646" t="str">
        <f t="shared" si="152"/>
        <v>Overweight</v>
      </c>
      <c r="U1646">
        <v>80</v>
      </c>
      <c r="V1646">
        <v>77</v>
      </c>
      <c r="W1646" t="str">
        <f t="shared" si="155"/>
        <v>Normal</v>
      </c>
      <c r="X1646">
        <v>0</v>
      </c>
    </row>
    <row r="1647" spans="1:24" ht="14.5" thickBot="1" x14ac:dyDescent="0.35">
      <c r="A1647">
        <v>0</v>
      </c>
      <c r="B1647" t="str">
        <f t="shared" si="153"/>
        <v>Female</v>
      </c>
      <c r="C1647" s="8">
        <v>46</v>
      </c>
      <c r="D1647" t="str">
        <f t="shared" si="154"/>
        <v>Middle Age</v>
      </c>
      <c r="E1647">
        <v>3</v>
      </c>
      <c r="F1647" t="str">
        <f>HLOOKUP(E1647, LookUP_Table!$A$6:$D$7, 2, FALSE)</f>
        <v>Graduate</v>
      </c>
      <c r="G1647" t="str">
        <f>IFERROR(VLOOKUP(E1647, LookUP_Table!$A$1:$B$4, 2, FALSE), "")</f>
        <v>Graduate</v>
      </c>
      <c r="H1647">
        <v>0</v>
      </c>
      <c r="I1647">
        <v>0</v>
      </c>
      <c r="J1647" t="str">
        <f t="shared" si="150"/>
        <v>Non-Smoker</v>
      </c>
      <c r="K1647">
        <v>0</v>
      </c>
      <c r="L1647">
        <v>0</v>
      </c>
      <c r="M1647">
        <v>0</v>
      </c>
      <c r="N1647">
        <v>0</v>
      </c>
      <c r="O1647">
        <v>190</v>
      </c>
      <c r="P1647" t="str">
        <f t="shared" si="151"/>
        <v>Normal</v>
      </c>
      <c r="Q1647">
        <v>128</v>
      </c>
      <c r="R1647">
        <v>74</v>
      </c>
      <c r="S1647">
        <v>23.01</v>
      </c>
      <c r="T1647" t="str">
        <f t="shared" si="152"/>
        <v>Normal</v>
      </c>
      <c r="U1647">
        <v>95</v>
      </c>
      <c r="V1647">
        <v>78</v>
      </c>
      <c r="W1647" t="str">
        <f t="shared" si="155"/>
        <v>Normal</v>
      </c>
      <c r="X1647">
        <v>0</v>
      </c>
    </row>
    <row r="1648" spans="1:24" ht="14.5" thickBot="1" x14ac:dyDescent="0.35">
      <c r="A1648">
        <v>1</v>
      </c>
      <c r="B1648" t="str">
        <f t="shared" si="153"/>
        <v>Male</v>
      </c>
      <c r="C1648" s="8">
        <v>46</v>
      </c>
      <c r="D1648" t="str">
        <f t="shared" si="154"/>
        <v>Middle Age</v>
      </c>
      <c r="E1648">
        <v>2</v>
      </c>
      <c r="F1648" t="str">
        <f>HLOOKUP(E1648, LookUP_Table!$A$6:$D$7, 2, FALSE)</f>
        <v>Secondary</v>
      </c>
      <c r="G1648" t="str">
        <f>IFERROR(VLOOKUP(E1648, LookUP_Table!$A$1:$B$4, 2, FALSE), "")</f>
        <v>Secondary</v>
      </c>
      <c r="H1648">
        <v>1</v>
      </c>
      <c r="I1648">
        <v>43</v>
      </c>
      <c r="J1648" t="str">
        <f t="shared" si="150"/>
        <v>Smoker</v>
      </c>
      <c r="K1648">
        <v>0</v>
      </c>
      <c r="L1648">
        <v>0</v>
      </c>
      <c r="M1648">
        <v>1</v>
      </c>
      <c r="N1648">
        <v>0</v>
      </c>
      <c r="O1648">
        <v>259</v>
      </c>
      <c r="P1648" t="str">
        <f t="shared" si="151"/>
        <v>High</v>
      </c>
      <c r="Q1648">
        <v>125</v>
      </c>
      <c r="R1648">
        <v>89</v>
      </c>
      <c r="S1648">
        <v>24.8</v>
      </c>
      <c r="T1648" t="str">
        <f t="shared" si="152"/>
        <v>Normal</v>
      </c>
      <c r="U1648">
        <v>100</v>
      </c>
      <c r="V1648">
        <v>57</v>
      </c>
      <c r="W1648" t="str">
        <f t="shared" si="155"/>
        <v>Normal</v>
      </c>
      <c r="X1648">
        <v>0</v>
      </c>
    </row>
    <row r="1649" spans="1:24" ht="14.5" thickBot="1" x14ac:dyDescent="0.35">
      <c r="A1649">
        <v>0</v>
      </c>
      <c r="B1649" t="str">
        <f t="shared" si="153"/>
        <v>Female</v>
      </c>
      <c r="C1649" s="8">
        <v>46</v>
      </c>
      <c r="D1649" t="str">
        <f t="shared" si="154"/>
        <v>Middle Age</v>
      </c>
      <c r="E1649">
        <v>1</v>
      </c>
      <c r="F1649" t="str">
        <f>HLOOKUP(E1649, LookUP_Table!$A$6:$D$7, 2, FALSE)</f>
        <v>Primary</v>
      </c>
      <c r="G1649" t="str">
        <f>IFERROR(VLOOKUP(E1649, LookUP_Table!$A$1:$B$4, 2, FALSE), "")</f>
        <v>Primary</v>
      </c>
      <c r="H1649">
        <v>0</v>
      </c>
      <c r="I1649">
        <v>0</v>
      </c>
      <c r="J1649" t="str">
        <f t="shared" si="150"/>
        <v>Non-Smoker</v>
      </c>
      <c r="K1649">
        <v>0</v>
      </c>
      <c r="L1649">
        <v>0</v>
      </c>
      <c r="M1649">
        <v>0</v>
      </c>
      <c r="N1649">
        <v>0</v>
      </c>
      <c r="O1649">
        <v>248</v>
      </c>
      <c r="P1649" t="str">
        <f t="shared" si="151"/>
        <v>High</v>
      </c>
      <c r="Q1649">
        <v>115</v>
      </c>
      <c r="R1649">
        <v>82</v>
      </c>
      <c r="S1649">
        <v>28.92</v>
      </c>
      <c r="T1649" t="str">
        <f t="shared" si="152"/>
        <v>Overweight</v>
      </c>
      <c r="U1649">
        <v>93</v>
      </c>
      <c r="V1649">
        <v>100</v>
      </c>
      <c r="W1649" t="str">
        <f t="shared" si="155"/>
        <v>Prediabetes</v>
      </c>
      <c r="X1649">
        <v>0</v>
      </c>
    </row>
    <row r="1650" spans="1:24" ht="14.5" thickBot="1" x14ac:dyDescent="0.35">
      <c r="A1650">
        <v>1</v>
      </c>
      <c r="B1650" t="str">
        <f t="shared" si="153"/>
        <v>Male</v>
      </c>
      <c r="C1650" s="8">
        <v>46</v>
      </c>
      <c r="D1650" t="str">
        <f t="shared" si="154"/>
        <v>Middle Age</v>
      </c>
      <c r="E1650">
        <v>3</v>
      </c>
      <c r="F1650" t="str">
        <f>HLOOKUP(E1650, LookUP_Table!$A$6:$D$7, 2, FALSE)</f>
        <v>Graduate</v>
      </c>
      <c r="G1650" t="str">
        <f>IFERROR(VLOOKUP(E1650, LookUP_Table!$A$1:$B$4, 2, FALSE), "")</f>
        <v>Graduate</v>
      </c>
      <c r="H1650">
        <v>0</v>
      </c>
      <c r="I1650">
        <v>0</v>
      </c>
      <c r="J1650" t="str">
        <f t="shared" si="150"/>
        <v>Non-Smoker</v>
      </c>
      <c r="K1650">
        <v>0</v>
      </c>
      <c r="L1650">
        <v>0</v>
      </c>
      <c r="M1650">
        <v>1</v>
      </c>
      <c r="N1650">
        <v>0</v>
      </c>
      <c r="O1650">
        <v>295</v>
      </c>
      <c r="P1650" t="str">
        <f t="shared" si="151"/>
        <v>High</v>
      </c>
      <c r="Q1650">
        <v>172.5</v>
      </c>
      <c r="R1650">
        <v>116.5</v>
      </c>
      <c r="S1650">
        <v>27.18</v>
      </c>
      <c r="T1650" t="str">
        <f t="shared" si="152"/>
        <v>Overweight</v>
      </c>
      <c r="U1650">
        <v>70</v>
      </c>
      <c r="V1650">
        <v>77</v>
      </c>
      <c r="W1650" t="str">
        <f t="shared" si="155"/>
        <v>Normal</v>
      </c>
      <c r="X1650">
        <v>0</v>
      </c>
    </row>
    <row r="1651" spans="1:24" ht="14.5" thickBot="1" x14ac:dyDescent="0.35">
      <c r="A1651">
        <v>0</v>
      </c>
      <c r="B1651" t="str">
        <f t="shared" si="153"/>
        <v>Female</v>
      </c>
      <c r="C1651" s="8">
        <v>46</v>
      </c>
      <c r="D1651" t="str">
        <f t="shared" si="154"/>
        <v>Middle Age</v>
      </c>
      <c r="E1651">
        <v>3</v>
      </c>
      <c r="F1651" t="str">
        <f>HLOOKUP(E1651, LookUP_Table!$A$6:$D$7, 2, FALSE)</f>
        <v>Graduate</v>
      </c>
      <c r="G1651" t="str">
        <f>IFERROR(VLOOKUP(E1651, LookUP_Table!$A$1:$B$4, 2, FALSE), "")</f>
        <v>Graduate</v>
      </c>
      <c r="H1651">
        <v>1</v>
      </c>
      <c r="I1651">
        <v>10</v>
      </c>
      <c r="J1651" t="str">
        <f t="shared" si="150"/>
        <v>Smoker</v>
      </c>
      <c r="K1651">
        <v>0</v>
      </c>
      <c r="L1651">
        <v>0</v>
      </c>
      <c r="M1651">
        <v>0</v>
      </c>
      <c r="N1651">
        <v>0</v>
      </c>
      <c r="O1651">
        <v>251</v>
      </c>
      <c r="P1651" t="str">
        <f t="shared" si="151"/>
        <v>High</v>
      </c>
      <c r="Q1651">
        <v>121</v>
      </c>
      <c r="R1651">
        <v>81</v>
      </c>
      <c r="S1651">
        <v>23.05</v>
      </c>
      <c r="T1651" t="str">
        <f t="shared" si="152"/>
        <v>Normal</v>
      </c>
      <c r="U1651">
        <v>75</v>
      </c>
      <c r="V1651">
        <v>84</v>
      </c>
      <c r="W1651" t="str">
        <f t="shared" si="155"/>
        <v>Normal</v>
      </c>
      <c r="X1651">
        <v>0</v>
      </c>
    </row>
    <row r="1652" spans="1:24" ht="14.5" thickBot="1" x14ac:dyDescent="0.35">
      <c r="A1652">
        <v>0</v>
      </c>
      <c r="B1652" t="str">
        <f t="shared" si="153"/>
        <v>Female</v>
      </c>
      <c r="C1652" s="8">
        <v>46</v>
      </c>
      <c r="D1652" t="str">
        <f t="shared" si="154"/>
        <v>Middle Age</v>
      </c>
      <c r="E1652">
        <v>2</v>
      </c>
      <c r="F1652" t="str">
        <f>HLOOKUP(E1652, LookUP_Table!$A$6:$D$7, 2, FALSE)</f>
        <v>Secondary</v>
      </c>
      <c r="G1652" t="str">
        <f>IFERROR(VLOOKUP(E1652, LookUP_Table!$A$1:$B$4, 2, FALSE), "")</f>
        <v>Secondary</v>
      </c>
      <c r="H1652">
        <v>1</v>
      </c>
      <c r="I1652">
        <v>20</v>
      </c>
      <c r="J1652" t="str">
        <f t="shared" si="150"/>
        <v>Smoker</v>
      </c>
      <c r="K1652">
        <v>0</v>
      </c>
      <c r="L1652">
        <v>0</v>
      </c>
      <c r="M1652">
        <v>0</v>
      </c>
      <c r="N1652">
        <v>0</v>
      </c>
      <c r="O1652">
        <v>161</v>
      </c>
      <c r="P1652" t="str">
        <f t="shared" si="151"/>
        <v>Normal</v>
      </c>
      <c r="Q1652">
        <v>100</v>
      </c>
      <c r="R1652">
        <v>64</v>
      </c>
      <c r="S1652">
        <v>20.66</v>
      </c>
      <c r="T1652" t="str">
        <f t="shared" si="152"/>
        <v>Normal</v>
      </c>
      <c r="U1652">
        <v>75</v>
      </c>
      <c r="V1652">
        <v>60</v>
      </c>
      <c r="W1652" t="str">
        <f t="shared" si="155"/>
        <v>Normal</v>
      </c>
      <c r="X1652">
        <v>0</v>
      </c>
    </row>
    <row r="1653" spans="1:24" ht="14.5" thickBot="1" x14ac:dyDescent="0.35">
      <c r="A1653">
        <v>0</v>
      </c>
      <c r="B1653" t="str">
        <f t="shared" si="153"/>
        <v>Female</v>
      </c>
      <c r="C1653" s="8">
        <v>46</v>
      </c>
      <c r="D1653" t="str">
        <f t="shared" si="154"/>
        <v>Middle Age</v>
      </c>
      <c r="E1653">
        <v>2</v>
      </c>
      <c r="F1653" t="str">
        <f>HLOOKUP(E1653, LookUP_Table!$A$6:$D$7, 2, FALSE)</f>
        <v>Secondary</v>
      </c>
      <c r="G1653" t="str">
        <f>IFERROR(VLOOKUP(E1653, LookUP_Table!$A$1:$B$4, 2, FALSE), "")</f>
        <v>Secondary</v>
      </c>
      <c r="H1653">
        <v>1</v>
      </c>
      <c r="I1653">
        <v>20</v>
      </c>
      <c r="J1653" t="str">
        <f t="shared" si="150"/>
        <v>Smoker</v>
      </c>
      <c r="K1653">
        <v>0</v>
      </c>
      <c r="L1653">
        <v>0</v>
      </c>
      <c r="M1653">
        <v>0</v>
      </c>
      <c r="N1653">
        <v>0</v>
      </c>
      <c r="O1653">
        <v>250</v>
      </c>
      <c r="P1653" t="str">
        <f t="shared" si="151"/>
        <v>High</v>
      </c>
      <c r="Q1653">
        <v>115</v>
      </c>
      <c r="R1653">
        <v>74</v>
      </c>
      <c r="S1653">
        <v>22.7</v>
      </c>
      <c r="T1653" t="str">
        <f t="shared" si="152"/>
        <v>Normal</v>
      </c>
      <c r="U1653">
        <v>100</v>
      </c>
      <c r="V1653">
        <v>69</v>
      </c>
      <c r="W1653" t="str">
        <f t="shared" si="155"/>
        <v>Normal</v>
      </c>
      <c r="X1653">
        <v>0</v>
      </c>
    </row>
    <row r="1654" spans="1:24" ht="14.5" thickBot="1" x14ac:dyDescent="0.35">
      <c r="A1654">
        <v>1</v>
      </c>
      <c r="B1654" t="str">
        <f t="shared" si="153"/>
        <v>Male</v>
      </c>
      <c r="C1654" s="8">
        <v>46</v>
      </c>
      <c r="D1654" t="str">
        <f t="shared" si="154"/>
        <v>Middle Age</v>
      </c>
      <c r="E1654">
        <v>1</v>
      </c>
      <c r="F1654" t="str">
        <f>HLOOKUP(E1654, LookUP_Table!$A$6:$D$7, 2, FALSE)</f>
        <v>Primary</v>
      </c>
      <c r="G1654" t="str">
        <f>IFERROR(VLOOKUP(E1654, LookUP_Table!$A$1:$B$4, 2, FALSE), "")</f>
        <v>Primary</v>
      </c>
      <c r="H1654">
        <v>1</v>
      </c>
      <c r="I1654">
        <v>20</v>
      </c>
      <c r="J1654" t="str">
        <f t="shared" si="150"/>
        <v>Smoker</v>
      </c>
      <c r="K1654">
        <v>0</v>
      </c>
      <c r="L1654">
        <v>0</v>
      </c>
      <c r="M1654">
        <v>0</v>
      </c>
      <c r="N1654">
        <v>0</v>
      </c>
      <c r="O1654">
        <v>279</v>
      </c>
      <c r="P1654" t="str">
        <f t="shared" si="151"/>
        <v>High</v>
      </c>
      <c r="Q1654">
        <v>118</v>
      </c>
      <c r="R1654">
        <v>82</v>
      </c>
      <c r="S1654">
        <v>22.78</v>
      </c>
      <c r="T1654" t="str">
        <f t="shared" si="152"/>
        <v>Normal</v>
      </c>
      <c r="U1654">
        <v>58</v>
      </c>
      <c r="V1654">
        <v>74</v>
      </c>
      <c r="W1654" t="str">
        <f t="shared" si="155"/>
        <v>Normal</v>
      </c>
      <c r="X1654">
        <v>0</v>
      </c>
    </row>
    <row r="1655" spans="1:24" ht="14.5" thickBot="1" x14ac:dyDescent="0.35">
      <c r="A1655">
        <v>1</v>
      </c>
      <c r="B1655" t="str">
        <f t="shared" si="153"/>
        <v>Male</v>
      </c>
      <c r="C1655" s="8">
        <v>46</v>
      </c>
      <c r="D1655" t="str">
        <f t="shared" si="154"/>
        <v>Middle Age</v>
      </c>
      <c r="E1655">
        <v>1</v>
      </c>
      <c r="F1655" t="str">
        <f>HLOOKUP(E1655, LookUP_Table!$A$6:$D$7, 2, FALSE)</f>
        <v>Primary</v>
      </c>
      <c r="G1655" t="str">
        <f>IFERROR(VLOOKUP(E1655, LookUP_Table!$A$1:$B$4, 2, FALSE), "")</f>
        <v>Primary</v>
      </c>
      <c r="H1655">
        <v>1</v>
      </c>
      <c r="I1655">
        <v>5</v>
      </c>
      <c r="J1655" t="str">
        <f t="shared" si="150"/>
        <v>Smoker</v>
      </c>
      <c r="K1655">
        <v>0</v>
      </c>
      <c r="L1655">
        <v>0</v>
      </c>
      <c r="M1655">
        <v>0</v>
      </c>
      <c r="N1655">
        <v>0</v>
      </c>
      <c r="O1655">
        <v>198</v>
      </c>
      <c r="P1655" t="str">
        <f t="shared" si="151"/>
        <v>Normal</v>
      </c>
      <c r="Q1655">
        <v>109</v>
      </c>
      <c r="R1655">
        <v>81</v>
      </c>
      <c r="S1655">
        <v>23.28</v>
      </c>
      <c r="T1655" t="str">
        <f t="shared" si="152"/>
        <v>Normal</v>
      </c>
      <c r="U1655">
        <v>62</v>
      </c>
      <c r="V1655">
        <v>85</v>
      </c>
      <c r="W1655" t="str">
        <f t="shared" si="155"/>
        <v>Normal</v>
      </c>
      <c r="X1655">
        <v>1</v>
      </c>
    </row>
    <row r="1656" spans="1:24" ht="14.5" thickBot="1" x14ac:dyDescent="0.35">
      <c r="A1656">
        <v>0</v>
      </c>
      <c r="B1656" t="str">
        <f t="shared" si="153"/>
        <v>Female</v>
      </c>
      <c r="C1656" s="8">
        <v>46</v>
      </c>
      <c r="D1656" t="str">
        <f t="shared" si="154"/>
        <v>Middle Age</v>
      </c>
      <c r="E1656">
        <v>2</v>
      </c>
      <c r="F1656" t="str">
        <f>HLOOKUP(E1656, LookUP_Table!$A$6:$D$7, 2, FALSE)</f>
        <v>Secondary</v>
      </c>
      <c r="G1656" t="str">
        <f>IFERROR(VLOOKUP(E1656, LookUP_Table!$A$1:$B$4, 2, FALSE), "")</f>
        <v>Secondary</v>
      </c>
      <c r="H1656">
        <v>1</v>
      </c>
      <c r="I1656">
        <v>3</v>
      </c>
      <c r="J1656" t="str">
        <f t="shared" si="150"/>
        <v>Smoker</v>
      </c>
      <c r="K1656">
        <v>0</v>
      </c>
      <c r="L1656">
        <v>0</v>
      </c>
      <c r="M1656">
        <v>0</v>
      </c>
      <c r="N1656">
        <v>0</v>
      </c>
      <c r="O1656">
        <v>214</v>
      </c>
      <c r="P1656" t="str">
        <f t="shared" si="151"/>
        <v>Normal</v>
      </c>
      <c r="Q1656">
        <v>128</v>
      </c>
      <c r="R1656">
        <v>71</v>
      </c>
      <c r="S1656">
        <v>21.82</v>
      </c>
      <c r="T1656" t="str">
        <f t="shared" si="152"/>
        <v>Normal</v>
      </c>
      <c r="U1656">
        <v>63</v>
      </c>
      <c r="V1656">
        <v>66</v>
      </c>
      <c r="W1656" t="str">
        <f t="shared" si="155"/>
        <v>Normal</v>
      </c>
      <c r="X1656">
        <v>0</v>
      </c>
    </row>
    <row r="1657" spans="1:24" ht="14.5" thickBot="1" x14ac:dyDescent="0.35">
      <c r="A1657">
        <v>1</v>
      </c>
      <c r="B1657" t="str">
        <f t="shared" si="153"/>
        <v>Male</v>
      </c>
      <c r="C1657" s="8">
        <v>46</v>
      </c>
      <c r="D1657" t="str">
        <f t="shared" si="154"/>
        <v>Middle Age</v>
      </c>
      <c r="E1657">
        <v>1</v>
      </c>
      <c r="F1657" t="str">
        <f>HLOOKUP(E1657, LookUP_Table!$A$6:$D$7, 2, FALSE)</f>
        <v>Primary</v>
      </c>
      <c r="G1657" t="str">
        <f>IFERROR(VLOOKUP(E1657, LookUP_Table!$A$1:$B$4, 2, FALSE), "")</f>
        <v>Primary</v>
      </c>
      <c r="H1657">
        <v>1</v>
      </c>
      <c r="I1657">
        <v>20</v>
      </c>
      <c r="J1657" t="str">
        <f t="shared" si="150"/>
        <v>Smoker</v>
      </c>
      <c r="K1657">
        <v>0</v>
      </c>
      <c r="L1657">
        <v>0</v>
      </c>
      <c r="M1657">
        <v>0</v>
      </c>
      <c r="N1657">
        <v>0</v>
      </c>
      <c r="O1657">
        <v>210</v>
      </c>
      <c r="P1657" t="str">
        <f t="shared" si="151"/>
        <v>Normal</v>
      </c>
      <c r="Q1657">
        <v>103</v>
      </c>
      <c r="R1657">
        <v>73</v>
      </c>
      <c r="S1657">
        <v>18</v>
      </c>
      <c r="T1657" t="str">
        <f t="shared" si="152"/>
        <v>Underweight</v>
      </c>
      <c r="U1657">
        <v>78</v>
      </c>
      <c r="V1657">
        <v>81.96365524402907</v>
      </c>
      <c r="W1657" t="str">
        <f t="shared" si="155"/>
        <v>Normal</v>
      </c>
      <c r="X1657">
        <v>0</v>
      </c>
    </row>
    <row r="1658" spans="1:24" ht="14.5" thickBot="1" x14ac:dyDescent="0.35">
      <c r="A1658">
        <v>0</v>
      </c>
      <c r="B1658" t="str">
        <f t="shared" si="153"/>
        <v>Female</v>
      </c>
      <c r="C1658" s="8">
        <v>46</v>
      </c>
      <c r="D1658" t="str">
        <f t="shared" si="154"/>
        <v>Middle Age</v>
      </c>
      <c r="E1658">
        <v>2</v>
      </c>
      <c r="F1658" t="str">
        <f>HLOOKUP(E1658, LookUP_Table!$A$6:$D$7, 2, FALSE)</f>
        <v>Secondary</v>
      </c>
      <c r="G1658" t="str">
        <f>IFERROR(VLOOKUP(E1658, LookUP_Table!$A$1:$B$4, 2, FALSE), "")</f>
        <v>Secondary</v>
      </c>
      <c r="H1658">
        <v>0</v>
      </c>
      <c r="I1658">
        <v>0</v>
      </c>
      <c r="J1658" t="str">
        <f t="shared" si="150"/>
        <v>Non-Smoker</v>
      </c>
      <c r="K1658">
        <v>0</v>
      </c>
      <c r="L1658">
        <v>0</v>
      </c>
      <c r="M1658">
        <v>0</v>
      </c>
      <c r="N1658">
        <v>0</v>
      </c>
      <c r="O1658">
        <v>165</v>
      </c>
      <c r="P1658" t="str">
        <f t="shared" si="151"/>
        <v>Normal</v>
      </c>
      <c r="Q1658">
        <v>127.5</v>
      </c>
      <c r="R1658">
        <v>87</v>
      </c>
      <c r="S1658">
        <v>23.29</v>
      </c>
      <c r="T1658" t="str">
        <f t="shared" si="152"/>
        <v>Normal</v>
      </c>
      <c r="U1658">
        <v>70</v>
      </c>
      <c r="V1658">
        <v>75</v>
      </c>
      <c r="W1658" t="str">
        <f t="shared" si="155"/>
        <v>Normal</v>
      </c>
      <c r="X1658">
        <v>0</v>
      </c>
    </row>
    <row r="1659" spans="1:24" ht="14.5" thickBot="1" x14ac:dyDescent="0.35">
      <c r="A1659">
        <v>1</v>
      </c>
      <c r="B1659" t="str">
        <f t="shared" si="153"/>
        <v>Male</v>
      </c>
      <c r="C1659" s="8">
        <v>46</v>
      </c>
      <c r="D1659" t="str">
        <f t="shared" si="154"/>
        <v>Middle Age</v>
      </c>
      <c r="E1659">
        <v>3</v>
      </c>
      <c r="F1659" t="str">
        <f>HLOOKUP(E1659, LookUP_Table!$A$6:$D$7, 2, FALSE)</f>
        <v>Graduate</v>
      </c>
      <c r="G1659" t="str">
        <f>IFERROR(VLOOKUP(E1659, LookUP_Table!$A$1:$B$4, 2, FALSE), "")</f>
        <v>Graduate</v>
      </c>
      <c r="H1659">
        <v>1</v>
      </c>
      <c r="I1659">
        <v>10</v>
      </c>
      <c r="J1659" t="str">
        <f t="shared" si="150"/>
        <v>Smoker</v>
      </c>
      <c r="K1659">
        <v>0</v>
      </c>
      <c r="L1659">
        <v>0</v>
      </c>
      <c r="M1659">
        <v>0</v>
      </c>
      <c r="N1659">
        <v>0</v>
      </c>
      <c r="O1659">
        <v>214</v>
      </c>
      <c r="P1659" t="str">
        <f t="shared" si="151"/>
        <v>Normal</v>
      </c>
      <c r="Q1659">
        <v>118</v>
      </c>
      <c r="R1659">
        <v>82</v>
      </c>
      <c r="S1659">
        <v>29.41</v>
      </c>
      <c r="T1659" t="str">
        <f t="shared" si="152"/>
        <v>Overweight</v>
      </c>
      <c r="U1659">
        <v>66</v>
      </c>
      <c r="V1659">
        <v>94</v>
      </c>
      <c r="W1659" t="str">
        <f t="shared" si="155"/>
        <v>Normal</v>
      </c>
      <c r="X1659">
        <v>0</v>
      </c>
    </row>
    <row r="1660" spans="1:24" ht="14.5" thickBot="1" x14ac:dyDescent="0.35">
      <c r="A1660">
        <v>0</v>
      </c>
      <c r="B1660" t="str">
        <f t="shared" si="153"/>
        <v>Female</v>
      </c>
      <c r="C1660" s="8">
        <v>46</v>
      </c>
      <c r="D1660" t="str">
        <f t="shared" si="154"/>
        <v>Middle Age</v>
      </c>
      <c r="E1660">
        <v>1</v>
      </c>
      <c r="F1660" t="str">
        <f>HLOOKUP(E1660, LookUP_Table!$A$6:$D$7, 2, FALSE)</f>
        <v>Primary</v>
      </c>
      <c r="G1660" t="str">
        <f>IFERROR(VLOOKUP(E1660, LookUP_Table!$A$1:$B$4, 2, FALSE), "")</f>
        <v>Primary</v>
      </c>
      <c r="H1660">
        <v>1</v>
      </c>
      <c r="I1660">
        <v>20</v>
      </c>
      <c r="J1660" t="str">
        <f t="shared" si="150"/>
        <v>Smoker</v>
      </c>
      <c r="K1660">
        <v>0</v>
      </c>
      <c r="L1660">
        <v>0</v>
      </c>
      <c r="M1660">
        <v>0</v>
      </c>
      <c r="N1660">
        <v>0</v>
      </c>
      <c r="O1660">
        <v>182</v>
      </c>
      <c r="P1660" t="str">
        <f t="shared" si="151"/>
        <v>Normal</v>
      </c>
      <c r="Q1660">
        <v>117</v>
      </c>
      <c r="R1660">
        <v>78</v>
      </c>
      <c r="S1660">
        <v>22.15</v>
      </c>
      <c r="T1660" t="str">
        <f t="shared" si="152"/>
        <v>Normal</v>
      </c>
      <c r="U1660">
        <v>72</v>
      </c>
      <c r="V1660">
        <v>59</v>
      </c>
      <c r="W1660" t="str">
        <f t="shared" si="155"/>
        <v>Normal</v>
      </c>
      <c r="X1660">
        <v>0</v>
      </c>
    </row>
    <row r="1661" spans="1:24" ht="14.5" thickBot="1" x14ac:dyDescent="0.35">
      <c r="A1661">
        <v>0</v>
      </c>
      <c r="B1661" t="str">
        <f t="shared" si="153"/>
        <v>Female</v>
      </c>
      <c r="C1661" s="8">
        <v>46</v>
      </c>
      <c r="D1661" t="str">
        <f t="shared" si="154"/>
        <v>Middle Age</v>
      </c>
      <c r="E1661">
        <v>2</v>
      </c>
      <c r="F1661" t="str">
        <f>HLOOKUP(E1661, LookUP_Table!$A$6:$D$7, 2, FALSE)</f>
        <v>Secondary</v>
      </c>
      <c r="G1661" t="str">
        <f>IFERROR(VLOOKUP(E1661, LookUP_Table!$A$1:$B$4, 2, FALSE), "")</f>
        <v>Secondary</v>
      </c>
      <c r="H1661">
        <v>1</v>
      </c>
      <c r="I1661">
        <v>20</v>
      </c>
      <c r="J1661" t="str">
        <f t="shared" si="150"/>
        <v>Smoker</v>
      </c>
      <c r="K1661">
        <v>0</v>
      </c>
      <c r="L1661">
        <v>0</v>
      </c>
      <c r="M1661">
        <v>1</v>
      </c>
      <c r="N1661">
        <v>0</v>
      </c>
      <c r="O1661">
        <v>271</v>
      </c>
      <c r="P1661" t="str">
        <f t="shared" si="151"/>
        <v>High</v>
      </c>
      <c r="Q1661">
        <v>158</v>
      </c>
      <c r="R1661">
        <v>94</v>
      </c>
      <c r="S1661">
        <v>25.17</v>
      </c>
      <c r="T1661" t="str">
        <f t="shared" si="152"/>
        <v>Overweight</v>
      </c>
      <c r="U1661">
        <v>78</v>
      </c>
      <c r="V1661">
        <v>71</v>
      </c>
      <c r="W1661" t="str">
        <f t="shared" si="155"/>
        <v>Normal</v>
      </c>
      <c r="X1661">
        <v>0</v>
      </c>
    </row>
    <row r="1662" spans="1:24" ht="14.5" thickBot="1" x14ac:dyDescent="0.35">
      <c r="A1662">
        <v>0</v>
      </c>
      <c r="B1662" t="str">
        <f t="shared" si="153"/>
        <v>Female</v>
      </c>
      <c r="C1662" s="8">
        <v>46</v>
      </c>
      <c r="D1662" t="str">
        <f t="shared" si="154"/>
        <v>Middle Age</v>
      </c>
      <c r="E1662">
        <v>3</v>
      </c>
      <c r="F1662" t="str">
        <f>HLOOKUP(E1662, LookUP_Table!$A$6:$D$7, 2, FALSE)</f>
        <v>Graduate</v>
      </c>
      <c r="G1662" t="str">
        <f>IFERROR(VLOOKUP(E1662, LookUP_Table!$A$1:$B$4, 2, FALSE), "")</f>
        <v>Graduate</v>
      </c>
      <c r="H1662">
        <v>0</v>
      </c>
      <c r="I1662">
        <v>0</v>
      </c>
      <c r="J1662" t="str">
        <f t="shared" si="150"/>
        <v>Non-Smoker</v>
      </c>
      <c r="K1662">
        <v>0</v>
      </c>
      <c r="L1662">
        <v>0</v>
      </c>
      <c r="M1662">
        <v>1</v>
      </c>
      <c r="N1662">
        <v>0</v>
      </c>
      <c r="O1662">
        <v>237</v>
      </c>
      <c r="P1662" t="str">
        <f t="shared" si="151"/>
        <v>Normal</v>
      </c>
      <c r="Q1662">
        <v>196</v>
      </c>
      <c r="R1662">
        <v>120</v>
      </c>
      <c r="S1662">
        <v>31.64</v>
      </c>
      <c r="T1662" t="str">
        <f t="shared" si="152"/>
        <v>Obese</v>
      </c>
      <c r="U1662">
        <v>58</v>
      </c>
      <c r="V1662">
        <v>60</v>
      </c>
      <c r="W1662" t="str">
        <f t="shared" si="155"/>
        <v>Normal</v>
      </c>
      <c r="X1662">
        <v>1</v>
      </c>
    </row>
    <row r="1663" spans="1:24" ht="14.5" thickBot="1" x14ac:dyDescent="0.35">
      <c r="A1663">
        <v>0</v>
      </c>
      <c r="B1663" t="str">
        <f t="shared" si="153"/>
        <v>Female</v>
      </c>
      <c r="C1663" s="8">
        <v>46</v>
      </c>
      <c r="D1663" t="str">
        <f t="shared" si="154"/>
        <v>Middle Age</v>
      </c>
      <c r="E1663">
        <v>2</v>
      </c>
      <c r="F1663" t="str">
        <f>HLOOKUP(E1663, LookUP_Table!$A$6:$D$7, 2, FALSE)</f>
        <v>Secondary</v>
      </c>
      <c r="G1663" t="str">
        <f>IFERROR(VLOOKUP(E1663, LookUP_Table!$A$1:$B$4, 2, FALSE), "")</f>
        <v>Secondary</v>
      </c>
      <c r="H1663">
        <v>0</v>
      </c>
      <c r="I1663">
        <v>0</v>
      </c>
      <c r="J1663" t="str">
        <f t="shared" si="150"/>
        <v>Non-Smoker</v>
      </c>
      <c r="K1663">
        <v>0</v>
      </c>
      <c r="L1663">
        <v>0</v>
      </c>
      <c r="M1663">
        <v>0</v>
      </c>
      <c r="N1663">
        <v>0</v>
      </c>
      <c r="O1663">
        <v>190</v>
      </c>
      <c r="P1663" t="str">
        <f t="shared" si="151"/>
        <v>Normal</v>
      </c>
      <c r="Q1663">
        <v>126.5</v>
      </c>
      <c r="R1663">
        <v>85</v>
      </c>
      <c r="S1663">
        <v>19.03</v>
      </c>
      <c r="T1663" t="str">
        <f t="shared" si="152"/>
        <v>Normal</v>
      </c>
      <c r="U1663">
        <v>80</v>
      </c>
      <c r="V1663">
        <v>75</v>
      </c>
      <c r="W1663" t="str">
        <f t="shared" si="155"/>
        <v>Normal</v>
      </c>
      <c r="X1663">
        <v>0</v>
      </c>
    </row>
    <row r="1664" spans="1:24" ht="14.5" thickBot="1" x14ac:dyDescent="0.35">
      <c r="A1664">
        <v>1</v>
      </c>
      <c r="B1664" t="str">
        <f t="shared" si="153"/>
        <v>Male</v>
      </c>
      <c r="C1664" s="8">
        <v>46</v>
      </c>
      <c r="D1664" t="str">
        <f t="shared" si="154"/>
        <v>Middle Age</v>
      </c>
      <c r="E1664">
        <v>1</v>
      </c>
      <c r="F1664" t="str">
        <f>HLOOKUP(E1664, LookUP_Table!$A$6:$D$7, 2, FALSE)</f>
        <v>Primary</v>
      </c>
      <c r="G1664" t="str">
        <f>IFERROR(VLOOKUP(E1664, LookUP_Table!$A$1:$B$4, 2, FALSE), "")</f>
        <v>Primary</v>
      </c>
      <c r="H1664">
        <v>1</v>
      </c>
      <c r="I1664">
        <v>5</v>
      </c>
      <c r="J1664" t="str">
        <f t="shared" si="150"/>
        <v>Smoker</v>
      </c>
      <c r="K1664">
        <v>0</v>
      </c>
      <c r="L1664">
        <v>0</v>
      </c>
      <c r="M1664">
        <v>0</v>
      </c>
      <c r="N1664">
        <v>0</v>
      </c>
      <c r="O1664">
        <v>221</v>
      </c>
      <c r="P1664" t="str">
        <f t="shared" si="151"/>
        <v>Normal</v>
      </c>
      <c r="Q1664">
        <v>125</v>
      </c>
      <c r="R1664">
        <v>88</v>
      </c>
      <c r="S1664">
        <v>24.81</v>
      </c>
      <c r="T1664" t="str">
        <f t="shared" si="152"/>
        <v>Normal</v>
      </c>
      <c r="U1664">
        <v>72</v>
      </c>
      <c r="V1664">
        <v>87</v>
      </c>
      <c r="W1664" t="str">
        <f t="shared" si="155"/>
        <v>Normal</v>
      </c>
      <c r="X1664">
        <v>0</v>
      </c>
    </row>
    <row r="1665" spans="1:24" ht="14.5" thickBot="1" x14ac:dyDescent="0.35">
      <c r="A1665">
        <v>0</v>
      </c>
      <c r="B1665" t="str">
        <f t="shared" si="153"/>
        <v>Female</v>
      </c>
      <c r="C1665" s="8">
        <v>46</v>
      </c>
      <c r="D1665" t="str">
        <f t="shared" si="154"/>
        <v>Middle Age</v>
      </c>
      <c r="E1665">
        <v>2</v>
      </c>
      <c r="F1665" t="str">
        <f>HLOOKUP(E1665, LookUP_Table!$A$6:$D$7, 2, FALSE)</f>
        <v>Secondary</v>
      </c>
      <c r="G1665" t="str">
        <f>IFERROR(VLOOKUP(E1665, LookUP_Table!$A$1:$B$4, 2, FALSE), "")</f>
        <v>Secondary</v>
      </c>
      <c r="H1665">
        <v>0</v>
      </c>
      <c r="I1665">
        <v>0</v>
      </c>
      <c r="J1665" t="str">
        <f t="shared" si="150"/>
        <v>Non-Smoker</v>
      </c>
      <c r="K1665">
        <v>0</v>
      </c>
      <c r="L1665">
        <v>0</v>
      </c>
      <c r="M1665">
        <v>0</v>
      </c>
      <c r="N1665">
        <v>0</v>
      </c>
      <c r="O1665">
        <v>244</v>
      </c>
      <c r="P1665" t="str">
        <f t="shared" si="151"/>
        <v>High</v>
      </c>
      <c r="Q1665">
        <v>107.5</v>
      </c>
      <c r="R1665">
        <v>70</v>
      </c>
      <c r="S1665">
        <v>22.72</v>
      </c>
      <c r="T1665" t="str">
        <f t="shared" si="152"/>
        <v>Normal</v>
      </c>
      <c r="U1665">
        <v>47</v>
      </c>
      <c r="V1665">
        <v>88</v>
      </c>
      <c r="W1665" t="str">
        <f t="shared" si="155"/>
        <v>Normal</v>
      </c>
      <c r="X1665">
        <v>0</v>
      </c>
    </row>
    <row r="1666" spans="1:24" ht="14.5" thickBot="1" x14ac:dyDescent="0.35">
      <c r="A1666">
        <v>0</v>
      </c>
      <c r="B1666" t="str">
        <f t="shared" si="153"/>
        <v>Female</v>
      </c>
      <c r="C1666" s="8">
        <v>46</v>
      </c>
      <c r="D1666" t="str">
        <f t="shared" si="154"/>
        <v>Middle Age</v>
      </c>
      <c r="E1666">
        <v>1</v>
      </c>
      <c r="F1666" t="str">
        <f>HLOOKUP(E1666, LookUP_Table!$A$6:$D$7, 2, FALSE)</f>
        <v>Primary</v>
      </c>
      <c r="G1666" t="str">
        <f>IFERROR(VLOOKUP(E1666, LookUP_Table!$A$1:$B$4, 2, FALSE), "")</f>
        <v>Primary</v>
      </c>
      <c r="H1666">
        <v>0</v>
      </c>
      <c r="I1666">
        <v>0</v>
      </c>
      <c r="J1666" t="str">
        <f t="shared" ref="J1666:J1729" si="156">IF(I1666&gt;0,"Smoker","Non-Smoker")</f>
        <v>Non-Smoker</v>
      </c>
      <c r="K1666">
        <v>0</v>
      </c>
      <c r="L1666">
        <v>0</v>
      </c>
      <c r="M1666">
        <v>0</v>
      </c>
      <c r="N1666">
        <v>0</v>
      </c>
      <c r="O1666">
        <v>222</v>
      </c>
      <c r="P1666" t="str">
        <f t="shared" ref="P1666:P1729" si="157">IF(O1666&gt;240,"High","Normal")</f>
        <v>Normal</v>
      </c>
      <c r="Q1666">
        <v>131</v>
      </c>
      <c r="R1666">
        <v>80</v>
      </c>
      <c r="S1666">
        <v>25.46</v>
      </c>
      <c r="T1666" t="str">
        <f t="shared" ref="T1666:T1729" si="158">IF(S1666&lt;18.5,"Underweight",
IF(S1666&lt;25,"Normal",
IF(S1666&lt;30,"Overweight","Obese")))</f>
        <v>Overweight</v>
      </c>
      <c r="U1666">
        <v>72</v>
      </c>
      <c r="V1666">
        <v>72</v>
      </c>
      <c r="W1666" t="str">
        <f t="shared" si="155"/>
        <v>Normal</v>
      </c>
      <c r="X1666">
        <v>0</v>
      </c>
    </row>
    <row r="1667" spans="1:24" ht="14.5" thickBot="1" x14ac:dyDescent="0.35">
      <c r="A1667">
        <v>0</v>
      </c>
      <c r="B1667" t="str">
        <f t="shared" ref="B1667:B1730" si="159">IF(A1667=0,"Female","Male")</f>
        <v>Female</v>
      </c>
      <c r="C1667" s="8">
        <v>46</v>
      </c>
      <c r="D1667" t="str">
        <f t="shared" ref="D1667:D1730" si="160">IF(C1667&lt;40,"Young",
IF(C1667&lt;55,"Middle Age","Senior"))</f>
        <v>Middle Age</v>
      </c>
      <c r="E1667">
        <v>1</v>
      </c>
      <c r="F1667" t="str">
        <f>HLOOKUP(E1667, LookUP_Table!$A$6:$D$7, 2, FALSE)</f>
        <v>Primary</v>
      </c>
      <c r="G1667" t="str">
        <f>IFERROR(VLOOKUP(E1667, LookUP_Table!$A$1:$B$4, 2, FALSE), "")</f>
        <v>Primary</v>
      </c>
      <c r="H1667">
        <v>0</v>
      </c>
      <c r="I1667">
        <v>0</v>
      </c>
      <c r="J1667" t="str">
        <f t="shared" si="156"/>
        <v>Non-Smoker</v>
      </c>
      <c r="K1667">
        <v>0</v>
      </c>
      <c r="L1667">
        <v>0</v>
      </c>
      <c r="M1667">
        <v>1</v>
      </c>
      <c r="N1667">
        <v>0</v>
      </c>
      <c r="O1667">
        <v>239</v>
      </c>
      <c r="P1667" t="str">
        <f t="shared" si="157"/>
        <v>Normal</v>
      </c>
      <c r="Q1667">
        <v>166.5</v>
      </c>
      <c r="R1667">
        <v>107</v>
      </c>
      <c r="S1667">
        <v>19.27</v>
      </c>
      <c r="T1667" t="str">
        <f t="shared" si="158"/>
        <v>Normal</v>
      </c>
      <c r="U1667">
        <v>110</v>
      </c>
      <c r="V1667">
        <v>70</v>
      </c>
      <c r="W1667" t="str">
        <f t="shared" ref="W1667:W1730" si="161">IF(V1667 &lt; 100, "Normal", IF(V1667 &lt;= 125, "Prediabetes", "Diabetes"))</f>
        <v>Normal</v>
      </c>
      <c r="X1667">
        <v>0</v>
      </c>
    </row>
    <row r="1668" spans="1:24" ht="14.5" thickBot="1" x14ac:dyDescent="0.35">
      <c r="A1668">
        <v>0</v>
      </c>
      <c r="B1668" t="str">
        <f t="shared" si="159"/>
        <v>Female</v>
      </c>
      <c r="C1668" s="8">
        <v>46</v>
      </c>
      <c r="D1668" t="str">
        <f t="shared" si="160"/>
        <v>Middle Age</v>
      </c>
      <c r="E1668">
        <v>2</v>
      </c>
      <c r="F1668" t="str">
        <f>HLOOKUP(E1668, LookUP_Table!$A$6:$D$7, 2, FALSE)</f>
        <v>Secondary</v>
      </c>
      <c r="G1668" t="str">
        <f>IFERROR(VLOOKUP(E1668, LookUP_Table!$A$1:$B$4, 2, FALSE), "")</f>
        <v>Secondary</v>
      </c>
      <c r="H1668">
        <v>0</v>
      </c>
      <c r="I1668">
        <v>0</v>
      </c>
      <c r="J1668" t="str">
        <f t="shared" si="156"/>
        <v>Non-Smoker</v>
      </c>
      <c r="K1668">
        <v>0</v>
      </c>
      <c r="L1668">
        <v>0</v>
      </c>
      <c r="M1668">
        <v>1</v>
      </c>
      <c r="N1668">
        <v>0</v>
      </c>
      <c r="O1668">
        <v>264</v>
      </c>
      <c r="P1668" t="str">
        <f t="shared" si="157"/>
        <v>High</v>
      </c>
      <c r="Q1668">
        <v>150</v>
      </c>
      <c r="R1668">
        <v>99</v>
      </c>
      <c r="S1668">
        <v>26.67</v>
      </c>
      <c r="T1668" t="str">
        <f t="shared" si="158"/>
        <v>Overweight</v>
      </c>
      <c r="U1668">
        <v>80</v>
      </c>
      <c r="V1668">
        <v>102</v>
      </c>
      <c r="W1668" t="str">
        <f t="shared" si="161"/>
        <v>Prediabetes</v>
      </c>
      <c r="X1668">
        <v>0</v>
      </c>
    </row>
    <row r="1669" spans="1:24" ht="14.5" thickBot="1" x14ac:dyDescent="0.35">
      <c r="A1669">
        <v>0</v>
      </c>
      <c r="B1669" t="str">
        <f t="shared" si="159"/>
        <v>Female</v>
      </c>
      <c r="C1669" s="8">
        <v>46</v>
      </c>
      <c r="D1669" t="str">
        <f t="shared" si="160"/>
        <v>Middle Age</v>
      </c>
      <c r="E1669">
        <v>1</v>
      </c>
      <c r="F1669" t="str">
        <f>HLOOKUP(E1669, LookUP_Table!$A$6:$D$7, 2, FALSE)</f>
        <v>Primary</v>
      </c>
      <c r="G1669" t="str">
        <f>IFERROR(VLOOKUP(E1669, LookUP_Table!$A$1:$B$4, 2, FALSE), "")</f>
        <v>Primary</v>
      </c>
      <c r="H1669">
        <v>0</v>
      </c>
      <c r="I1669">
        <v>0</v>
      </c>
      <c r="J1669" t="str">
        <f t="shared" si="156"/>
        <v>Non-Smoker</v>
      </c>
      <c r="K1669">
        <v>0</v>
      </c>
      <c r="L1669">
        <v>0</v>
      </c>
      <c r="M1669">
        <v>0</v>
      </c>
      <c r="N1669">
        <v>0</v>
      </c>
      <c r="O1669">
        <v>265</v>
      </c>
      <c r="P1669" t="str">
        <f t="shared" si="157"/>
        <v>High</v>
      </c>
      <c r="Q1669">
        <v>115</v>
      </c>
      <c r="R1669">
        <v>79.5</v>
      </c>
      <c r="S1669">
        <v>30</v>
      </c>
      <c r="T1669" t="str">
        <f t="shared" si="158"/>
        <v>Obese</v>
      </c>
      <c r="U1669">
        <v>50</v>
      </c>
      <c r="V1669">
        <v>61</v>
      </c>
      <c r="W1669" t="str">
        <f t="shared" si="161"/>
        <v>Normal</v>
      </c>
      <c r="X1669">
        <v>0</v>
      </c>
    </row>
    <row r="1670" spans="1:24" ht="14.5" thickBot="1" x14ac:dyDescent="0.35">
      <c r="A1670">
        <v>1</v>
      </c>
      <c r="B1670" t="str">
        <f t="shared" si="159"/>
        <v>Male</v>
      </c>
      <c r="C1670" s="8">
        <v>46</v>
      </c>
      <c r="D1670" t="str">
        <f t="shared" si="160"/>
        <v>Middle Age</v>
      </c>
      <c r="E1670">
        <v>1</v>
      </c>
      <c r="F1670" t="str">
        <f>HLOOKUP(E1670, LookUP_Table!$A$6:$D$7, 2, FALSE)</f>
        <v>Primary</v>
      </c>
      <c r="G1670" t="str">
        <f>IFERROR(VLOOKUP(E1670, LookUP_Table!$A$1:$B$4, 2, FALSE), "")</f>
        <v>Primary</v>
      </c>
      <c r="H1670">
        <v>0</v>
      </c>
      <c r="I1670">
        <v>0</v>
      </c>
      <c r="J1670" t="str">
        <f t="shared" si="156"/>
        <v>Non-Smoker</v>
      </c>
      <c r="K1670">
        <v>0</v>
      </c>
      <c r="L1670">
        <v>0</v>
      </c>
      <c r="M1670">
        <v>1</v>
      </c>
      <c r="N1670">
        <v>0</v>
      </c>
      <c r="O1670">
        <v>235</v>
      </c>
      <c r="P1670" t="str">
        <f t="shared" si="157"/>
        <v>Normal</v>
      </c>
      <c r="Q1670">
        <v>136.5</v>
      </c>
      <c r="R1670">
        <v>92</v>
      </c>
      <c r="S1670">
        <v>22.92</v>
      </c>
      <c r="T1670" t="str">
        <f t="shared" si="158"/>
        <v>Normal</v>
      </c>
      <c r="U1670">
        <v>68</v>
      </c>
      <c r="V1670">
        <v>89</v>
      </c>
      <c r="W1670" t="str">
        <f t="shared" si="161"/>
        <v>Normal</v>
      </c>
      <c r="X1670">
        <v>0</v>
      </c>
    </row>
    <row r="1671" spans="1:24" ht="14.5" thickBot="1" x14ac:dyDescent="0.35">
      <c r="A1671">
        <v>0</v>
      </c>
      <c r="B1671" t="str">
        <f t="shared" si="159"/>
        <v>Female</v>
      </c>
      <c r="C1671" s="8">
        <v>46</v>
      </c>
      <c r="D1671" t="str">
        <f t="shared" si="160"/>
        <v>Middle Age</v>
      </c>
      <c r="E1671">
        <v>1</v>
      </c>
      <c r="F1671" t="str">
        <f>HLOOKUP(E1671, LookUP_Table!$A$6:$D$7, 2, FALSE)</f>
        <v>Primary</v>
      </c>
      <c r="G1671" t="str">
        <f>IFERROR(VLOOKUP(E1671, LookUP_Table!$A$1:$B$4, 2, FALSE), "")</f>
        <v>Primary</v>
      </c>
      <c r="H1671">
        <v>0</v>
      </c>
      <c r="I1671">
        <v>0</v>
      </c>
      <c r="J1671" t="str">
        <f t="shared" si="156"/>
        <v>Non-Smoker</v>
      </c>
      <c r="K1671">
        <v>0</v>
      </c>
      <c r="L1671">
        <v>0</v>
      </c>
      <c r="M1671">
        <v>0</v>
      </c>
      <c r="N1671">
        <v>0</v>
      </c>
      <c r="O1671">
        <v>295</v>
      </c>
      <c r="P1671" t="str">
        <f t="shared" si="157"/>
        <v>High</v>
      </c>
      <c r="Q1671">
        <v>145</v>
      </c>
      <c r="R1671">
        <v>90</v>
      </c>
      <c r="S1671">
        <v>25.87</v>
      </c>
      <c r="T1671" t="str">
        <f t="shared" si="158"/>
        <v>Overweight</v>
      </c>
      <c r="U1671">
        <v>90</v>
      </c>
      <c r="V1671">
        <v>79</v>
      </c>
      <c r="W1671" t="str">
        <f t="shared" si="161"/>
        <v>Normal</v>
      </c>
      <c r="X1671">
        <v>0</v>
      </c>
    </row>
    <row r="1672" spans="1:24" ht="14.5" thickBot="1" x14ac:dyDescent="0.35">
      <c r="A1672">
        <v>1</v>
      </c>
      <c r="B1672" t="str">
        <f t="shared" si="159"/>
        <v>Male</v>
      </c>
      <c r="C1672" s="8">
        <v>46</v>
      </c>
      <c r="D1672" t="str">
        <f t="shared" si="160"/>
        <v>Middle Age</v>
      </c>
      <c r="E1672">
        <v>1</v>
      </c>
      <c r="F1672" t="str">
        <f>HLOOKUP(E1672, LookUP_Table!$A$6:$D$7, 2, FALSE)</f>
        <v>Primary</v>
      </c>
      <c r="G1672" t="str">
        <f>IFERROR(VLOOKUP(E1672, LookUP_Table!$A$1:$B$4, 2, FALSE), "")</f>
        <v>Primary</v>
      </c>
      <c r="H1672">
        <v>0</v>
      </c>
      <c r="I1672">
        <v>0</v>
      </c>
      <c r="J1672" t="str">
        <f t="shared" si="156"/>
        <v>Non-Smoker</v>
      </c>
      <c r="K1672">
        <v>0</v>
      </c>
      <c r="L1672">
        <v>0</v>
      </c>
      <c r="M1672">
        <v>0</v>
      </c>
      <c r="N1672">
        <v>0</v>
      </c>
      <c r="O1672">
        <v>222</v>
      </c>
      <c r="P1672" t="str">
        <f t="shared" si="157"/>
        <v>Normal</v>
      </c>
      <c r="Q1672">
        <v>120.5</v>
      </c>
      <c r="R1672">
        <v>73.5</v>
      </c>
      <c r="S1672">
        <v>27.23</v>
      </c>
      <c r="T1672" t="str">
        <f t="shared" si="158"/>
        <v>Overweight</v>
      </c>
      <c r="U1672">
        <v>77</v>
      </c>
      <c r="V1672">
        <v>60</v>
      </c>
      <c r="W1672" t="str">
        <f t="shared" si="161"/>
        <v>Normal</v>
      </c>
      <c r="X1672">
        <v>0</v>
      </c>
    </row>
    <row r="1673" spans="1:24" ht="14.5" thickBot="1" x14ac:dyDescent="0.35">
      <c r="A1673">
        <v>0</v>
      </c>
      <c r="B1673" t="str">
        <f t="shared" si="159"/>
        <v>Female</v>
      </c>
      <c r="C1673" s="8">
        <v>46</v>
      </c>
      <c r="D1673" t="str">
        <f t="shared" si="160"/>
        <v>Middle Age</v>
      </c>
      <c r="E1673">
        <v>2</v>
      </c>
      <c r="F1673" t="str">
        <f>HLOOKUP(E1673, LookUP_Table!$A$6:$D$7, 2, FALSE)</f>
        <v>Secondary</v>
      </c>
      <c r="G1673" t="str">
        <f>IFERROR(VLOOKUP(E1673, LookUP_Table!$A$1:$B$4, 2, FALSE), "")</f>
        <v>Secondary</v>
      </c>
      <c r="H1673">
        <v>0</v>
      </c>
      <c r="I1673">
        <v>0</v>
      </c>
      <c r="J1673" t="str">
        <f t="shared" si="156"/>
        <v>Non-Smoker</v>
      </c>
      <c r="K1673">
        <v>0</v>
      </c>
      <c r="L1673">
        <v>0</v>
      </c>
      <c r="M1673">
        <v>0</v>
      </c>
      <c r="N1673">
        <v>0</v>
      </c>
      <c r="O1673">
        <v>212</v>
      </c>
      <c r="P1673" t="str">
        <f t="shared" si="157"/>
        <v>Normal</v>
      </c>
      <c r="Q1673">
        <v>132</v>
      </c>
      <c r="R1673">
        <v>82</v>
      </c>
      <c r="S1673">
        <v>34.520000000000003</v>
      </c>
      <c r="T1673" t="str">
        <f t="shared" si="158"/>
        <v>Obese</v>
      </c>
      <c r="U1673">
        <v>80</v>
      </c>
      <c r="V1673">
        <v>72</v>
      </c>
      <c r="W1673" t="str">
        <f t="shared" si="161"/>
        <v>Normal</v>
      </c>
      <c r="X1673">
        <v>0</v>
      </c>
    </row>
    <row r="1674" spans="1:24" ht="14.5" thickBot="1" x14ac:dyDescent="0.35">
      <c r="A1674">
        <v>0</v>
      </c>
      <c r="B1674" t="str">
        <f t="shared" si="159"/>
        <v>Female</v>
      </c>
      <c r="C1674" s="8">
        <v>46</v>
      </c>
      <c r="D1674" t="str">
        <f t="shared" si="160"/>
        <v>Middle Age</v>
      </c>
      <c r="E1674">
        <v>2</v>
      </c>
      <c r="F1674" t="str">
        <f>HLOOKUP(E1674, LookUP_Table!$A$6:$D$7, 2, FALSE)</f>
        <v>Secondary</v>
      </c>
      <c r="G1674" t="str">
        <f>IFERROR(VLOOKUP(E1674, LookUP_Table!$A$1:$B$4, 2, FALSE), "")</f>
        <v>Secondary</v>
      </c>
      <c r="H1674">
        <v>1</v>
      </c>
      <c r="I1674">
        <v>5</v>
      </c>
      <c r="J1674" t="str">
        <f t="shared" si="156"/>
        <v>Smoker</v>
      </c>
      <c r="K1674">
        <v>0</v>
      </c>
      <c r="L1674">
        <v>0</v>
      </c>
      <c r="M1674">
        <v>0</v>
      </c>
      <c r="N1674">
        <v>0</v>
      </c>
      <c r="O1674">
        <v>174</v>
      </c>
      <c r="P1674" t="str">
        <f t="shared" si="157"/>
        <v>Normal</v>
      </c>
      <c r="Q1674">
        <v>115.5</v>
      </c>
      <c r="R1674">
        <v>65</v>
      </c>
      <c r="S1674">
        <v>29.84</v>
      </c>
      <c r="T1674" t="str">
        <f t="shared" si="158"/>
        <v>Overweight</v>
      </c>
      <c r="U1674">
        <v>73</v>
      </c>
      <c r="V1674">
        <v>80</v>
      </c>
      <c r="W1674" t="str">
        <f t="shared" si="161"/>
        <v>Normal</v>
      </c>
      <c r="X1674">
        <v>0</v>
      </c>
    </row>
    <row r="1675" spans="1:24" ht="14.5" thickBot="1" x14ac:dyDescent="0.35">
      <c r="A1675">
        <v>0</v>
      </c>
      <c r="B1675" t="str">
        <f t="shared" si="159"/>
        <v>Female</v>
      </c>
      <c r="C1675" s="8">
        <v>46</v>
      </c>
      <c r="D1675" t="str">
        <f t="shared" si="160"/>
        <v>Middle Age</v>
      </c>
      <c r="E1675">
        <v>4</v>
      </c>
      <c r="F1675" t="str">
        <f>HLOOKUP(E1675, LookUP_Table!$A$6:$D$7, 2, FALSE)</f>
        <v>Post Graduate</v>
      </c>
      <c r="G1675" t="str">
        <f>IFERROR(VLOOKUP(E1675, LookUP_Table!$A$1:$B$4, 2, FALSE), "")</f>
        <v>Post Graduate</v>
      </c>
      <c r="H1675">
        <v>1</v>
      </c>
      <c r="I1675">
        <v>5</v>
      </c>
      <c r="J1675" t="str">
        <f t="shared" si="156"/>
        <v>Smoker</v>
      </c>
      <c r="K1675">
        <v>0</v>
      </c>
      <c r="L1675">
        <v>0</v>
      </c>
      <c r="M1675">
        <v>0</v>
      </c>
      <c r="N1675">
        <v>0</v>
      </c>
      <c r="O1675">
        <v>228</v>
      </c>
      <c r="P1675" t="str">
        <f t="shared" si="157"/>
        <v>Normal</v>
      </c>
      <c r="Q1675">
        <v>110</v>
      </c>
      <c r="R1675">
        <v>80</v>
      </c>
      <c r="S1675">
        <v>19.739999999999998</v>
      </c>
      <c r="T1675" t="str">
        <f t="shared" si="158"/>
        <v>Normal</v>
      </c>
      <c r="U1675">
        <v>90</v>
      </c>
      <c r="V1675">
        <v>127</v>
      </c>
      <c r="W1675" t="str">
        <f t="shared" si="161"/>
        <v>Diabetes</v>
      </c>
      <c r="X1675">
        <v>0</v>
      </c>
    </row>
    <row r="1676" spans="1:24" ht="14.5" thickBot="1" x14ac:dyDescent="0.35">
      <c r="A1676">
        <v>1</v>
      </c>
      <c r="B1676" t="str">
        <f t="shared" si="159"/>
        <v>Male</v>
      </c>
      <c r="C1676" s="8">
        <v>46</v>
      </c>
      <c r="D1676" t="str">
        <f t="shared" si="160"/>
        <v>Middle Age</v>
      </c>
      <c r="E1676">
        <v>2</v>
      </c>
      <c r="F1676" t="str">
        <f>HLOOKUP(E1676, LookUP_Table!$A$6:$D$7, 2, FALSE)</f>
        <v>Secondary</v>
      </c>
      <c r="G1676" t="str">
        <f>IFERROR(VLOOKUP(E1676, LookUP_Table!$A$1:$B$4, 2, FALSE), "")</f>
        <v>Secondary</v>
      </c>
      <c r="H1676">
        <v>0</v>
      </c>
      <c r="I1676">
        <v>0</v>
      </c>
      <c r="J1676" t="str">
        <f t="shared" si="156"/>
        <v>Non-Smoker</v>
      </c>
      <c r="K1676">
        <v>0</v>
      </c>
      <c r="L1676">
        <v>0</v>
      </c>
      <c r="M1676">
        <v>0</v>
      </c>
      <c r="N1676">
        <v>0</v>
      </c>
      <c r="O1676">
        <v>280</v>
      </c>
      <c r="P1676" t="str">
        <f t="shared" si="157"/>
        <v>High</v>
      </c>
      <c r="Q1676">
        <v>142</v>
      </c>
      <c r="R1676">
        <v>91</v>
      </c>
      <c r="S1676">
        <v>28.09</v>
      </c>
      <c r="T1676" t="str">
        <f t="shared" si="158"/>
        <v>Overweight</v>
      </c>
      <c r="U1676">
        <v>85</v>
      </c>
      <c r="V1676">
        <v>65</v>
      </c>
      <c r="W1676" t="str">
        <f t="shared" si="161"/>
        <v>Normal</v>
      </c>
      <c r="X1676">
        <v>0</v>
      </c>
    </row>
    <row r="1677" spans="1:24" ht="14.5" thickBot="1" x14ac:dyDescent="0.35">
      <c r="A1677">
        <v>0</v>
      </c>
      <c r="B1677" t="str">
        <f t="shared" si="159"/>
        <v>Female</v>
      </c>
      <c r="C1677" s="8">
        <v>46</v>
      </c>
      <c r="D1677" t="str">
        <f t="shared" si="160"/>
        <v>Middle Age</v>
      </c>
      <c r="E1677">
        <v>2</v>
      </c>
      <c r="F1677" t="str">
        <f>HLOOKUP(E1677, LookUP_Table!$A$6:$D$7, 2, FALSE)</f>
        <v>Secondary</v>
      </c>
      <c r="G1677" t="str">
        <f>IFERROR(VLOOKUP(E1677, LookUP_Table!$A$1:$B$4, 2, FALSE), "")</f>
        <v>Secondary</v>
      </c>
      <c r="H1677">
        <v>0</v>
      </c>
      <c r="I1677">
        <v>0</v>
      </c>
      <c r="J1677" t="str">
        <f t="shared" si="156"/>
        <v>Non-Smoker</v>
      </c>
      <c r="K1677">
        <v>0</v>
      </c>
      <c r="L1677">
        <v>0</v>
      </c>
      <c r="M1677">
        <v>0</v>
      </c>
      <c r="N1677">
        <v>0</v>
      </c>
      <c r="O1677">
        <v>242</v>
      </c>
      <c r="P1677" t="str">
        <f t="shared" si="157"/>
        <v>High</v>
      </c>
      <c r="Q1677">
        <v>129</v>
      </c>
      <c r="R1677">
        <v>85</v>
      </c>
      <c r="S1677">
        <v>27.4</v>
      </c>
      <c r="T1677" t="str">
        <f t="shared" si="158"/>
        <v>Overweight</v>
      </c>
      <c r="U1677">
        <v>80</v>
      </c>
      <c r="V1677">
        <v>81.96365524402907</v>
      </c>
      <c r="W1677" t="str">
        <f t="shared" si="161"/>
        <v>Normal</v>
      </c>
      <c r="X1677">
        <v>1</v>
      </c>
    </row>
    <row r="1678" spans="1:24" ht="14.5" thickBot="1" x14ac:dyDescent="0.35">
      <c r="A1678">
        <v>0</v>
      </c>
      <c r="B1678" t="str">
        <f t="shared" si="159"/>
        <v>Female</v>
      </c>
      <c r="C1678" s="8">
        <v>46</v>
      </c>
      <c r="D1678" t="str">
        <f t="shared" si="160"/>
        <v>Middle Age</v>
      </c>
      <c r="E1678">
        <v>1</v>
      </c>
      <c r="F1678" t="str">
        <f>HLOOKUP(E1678, LookUP_Table!$A$6:$D$7, 2, FALSE)</f>
        <v>Primary</v>
      </c>
      <c r="G1678" t="str">
        <f>IFERROR(VLOOKUP(E1678, LookUP_Table!$A$1:$B$4, 2, FALSE), "")</f>
        <v>Primary</v>
      </c>
      <c r="H1678">
        <v>1</v>
      </c>
      <c r="I1678">
        <v>20</v>
      </c>
      <c r="J1678" t="str">
        <f t="shared" si="156"/>
        <v>Smoker</v>
      </c>
      <c r="K1678">
        <v>0</v>
      </c>
      <c r="L1678">
        <v>0</v>
      </c>
      <c r="M1678">
        <v>0</v>
      </c>
      <c r="N1678">
        <v>0</v>
      </c>
      <c r="O1678">
        <v>185</v>
      </c>
      <c r="P1678" t="str">
        <f t="shared" si="157"/>
        <v>Normal</v>
      </c>
      <c r="Q1678">
        <v>137</v>
      </c>
      <c r="R1678">
        <v>90</v>
      </c>
      <c r="S1678">
        <v>25.2</v>
      </c>
      <c r="T1678" t="str">
        <f t="shared" si="158"/>
        <v>Overweight</v>
      </c>
      <c r="U1678">
        <v>82</v>
      </c>
      <c r="V1678">
        <v>81.96365524402907</v>
      </c>
      <c r="W1678" t="str">
        <f t="shared" si="161"/>
        <v>Normal</v>
      </c>
      <c r="X1678">
        <v>0</v>
      </c>
    </row>
    <row r="1679" spans="1:24" ht="14.5" thickBot="1" x14ac:dyDescent="0.35">
      <c r="A1679">
        <v>0</v>
      </c>
      <c r="B1679" t="str">
        <f t="shared" si="159"/>
        <v>Female</v>
      </c>
      <c r="C1679" s="8">
        <v>46</v>
      </c>
      <c r="D1679" t="str">
        <f t="shared" si="160"/>
        <v>Middle Age</v>
      </c>
      <c r="E1679">
        <v>3</v>
      </c>
      <c r="F1679" t="str">
        <f>HLOOKUP(E1679, LookUP_Table!$A$6:$D$7, 2, FALSE)</f>
        <v>Graduate</v>
      </c>
      <c r="G1679" t="str">
        <f>IFERROR(VLOOKUP(E1679, LookUP_Table!$A$1:$B$4, 2, FALSE), "")</f>
        <v>Graduate</v>
      </c>
      <c r="H1679">
        <v>0</v>
      </c>
      <c r="I1679">
        <v>0</v>
      </c>
      <c r="J1679" t="str">
        <f t="shared" si="156"/>
        <v>Non-Smoker</v>
      </c>
      <c r="K1679">
        <v>0</v>
      </c>
      <c r="L1679">
        <v>0</v>
      </c>
      <c r="M1679">
        <v>1</v>
      </c>
      <c r="N1679">
        <v>0</v>
      </c>
      <c r="O1679">
        <v>230</v>
      </c>
      <c r="P1679" t="str">
        <f t="shared" si="157"/>
        <v>Normal</v>
      </c>
      <c r="Q1679">
        <v>154</v>
      </c>
      <c r="R1679">
        <v>98</v>
      </c>
      <c r="S1679">
        <v>28.23</v>
      </c>
      <c r="T1679" t="str">
        <f t="shared" si="158"/>
        <v>Overweight</v>
      </c>
      <c r="U1679">
        <v>75</v>
      </c>
      <c r="V1679">
        <v>90</v>
      </c>
      <c r="W1679" t="str">
        <f t="shared" si="161"/>
        <v>Normal</v>
      </c>
      <c r="X1679">
        <v>0</v>
      </c>
    </row>
    <row r="1680" spans="1:24" ht="14.5" thickBot="1" x14ac:dyDescent="0.35">
      <c r="A1680">
        <v>1</v>
      </c>
      <c r="B1680" t="str">
        <f t="shared" si="159"/>
        <v>Male</v>
      </c>
      <c r="C1680" s="8">
        <v>46</v>
      </c>
      <c r="D1680" t="str">
        <f t="shared" si="160"/>
        <v>Middle Age</v>
      </c>
      <c r="E1680">
        <v>1</v>
      </c>
      <c r="F1680" t="str">
        <f>HLOOKUP(E1680, LookUP_Table!$A$6:$D$7, 2, FALSE)</f>
        <v>Primary</v>
      </c>
      <c r="G1680" t="str">
        <f>IFERROR(VLOOKUP(E1680, LookUP_Table!$A$1:$B$4, 2, FALSE), "")</f>
        <v>Primary</v>
      </c>
      <c r="H1680">
        <v>1</v>
      </c>
      <c r="I1680">
        <v>15</v>
      </c>
      <c r="J1680" t="str">
        <f t="shared" si="156"/>
        <v>Smoker</v>
      </c>
      <c r="K1680">
        <v>0</v>
      </c>
      <c r="L1680">
        <v>0</v>
      </c>
      <c r="M1680">
        <v>1</v>
      </c>
      <c r="N1680">
        <v>0</v>
      </c>
      <c r="O1680">
        <v>405</v>
      </c>
      <c r="P1680" t="str">
        <f t="shared" si="157"/>
        <v>High</v>
      </c>
      <c r="Q1680">
        <v>181.5</v>
      </c>
      <c r="R1680">
        <v>102.5</v>
      </c>
      <c r="S1680">
        <v>26.33</v>
      </c>
      <c r="T1680" t="str">
        <f t="shared" si="158"/>
        <v>Overweight</v>
      </c>
      <c r="U1680">
        <v>98</v>
      </c>
      <c r="V1680">
        <v>97</v>
      </c>
      <c r="W1680" t="str">
        <f t="shared" si="161"/>
        <v>Normal</v>
      </c>
      <c r="X1680">
        <v>1</v>
      </c>
    </row>
    <row r="1681" spans="1:24" ht="14.5" thickBot="1" x14ac:dyDescent="0.35">
      <c r="A1681">
        <v>1</v>
      </c>
      <c r="B1681" t="str">
        <f t="shared" si="159"/>
        <v>Male</v>
      </c>
      <c r="C1681" s="8">
        <v>46</v>
      </c>
      <c r="D1681" t="str">
        <f t="shared" si="160"/>
        <v>Middle Age</v>
      </c>
      <c r="E1681">
        <v>2</v>
      </c>
      <c r="F1681" t="str">
        <f>HLOOKUP(E1681, LookUP_Table!$A$6:$D$7, 2, FALSE)</f>
        <v>Secondary</v>
      </c>
      <c r="G1681" t="str">
        <f>IFERROR(VLOOKUP(E1681, LookUP_Table!$A$1:$B$4, 2, FALSE), "")</f>
        <v>Secondary</v>
      </c>
      <c r="H1681">
        <v>0</v>
      </c>
      <c r="I1681">
        <v>0</v>
      </c>
      <c r="J1681" t="str">
        <f t="shared" si="156"/>
        <v>Non-Smoker</v>
      </c>
      <c r="K1681">
        <v>0</v>
      </c>
      <c r="L1681">
        <v>0</v>
      </c>
      <c r="M1681">
        <v>0</v>
      </c>
      <c r="N1681">
        <v>0</v>
      </c>
      <c r="O1681">
        <v>270</v>
      </c>
      <c r="P1681" t="str">
        <f t="shared" si="157"/>
        <v>High</v>
      </c>
      <c r="Q1681">
        <v>138</v>
      </c>
      <c r="R1681">
        <v>97</v>
      </c>
      <c r="S1681">
        <v>33.79</v>
      </c>
      <c r="T1681" t="str">
        <f t="shared" si="158"/>
        <v>Obese</v>
      </c>
      <c r="U1681">
        <v>90</v>
      </c>
      <c r="V1681">
        <v>65</v>
      </c>
      <c r="W1681" t="str">
        <f t="shared" si="161"/>
        <v>Normal</v>
      </c>
      <c r="X1681">
        <v>0</v>
      </c>
    </row>
    <row r="1682" spans="1:24" ht="14.5" thickBot="1" x14ac:dyDescent="0.35">
      <c r="A1682">
        <v>1</v>
      </c>
      <c r="B1682" t="str">
        <f t="shared" si="159"/>
        <v>Male</v>
      </c>
      <c r="C1682" s="8">
        <v>46</v>
      </c>
      <c r="D1682" t="str">
        <f t="shared" si="160"/>
        <v>Middle Age</v>
      </c>
      <c r="E1682">
        <v>4</v>
      </c>
      <c r="F1682" t="str">
        <f>HLOOKUP(E1682, LookUP_Table!$A$6:$D$7, 2, FALSE)</f>
        <v>Post Graduate</v>
      </c>
      <c r="G1682" t="str">
        <f>IFERROR(VLOOKUP(E1682, LookUP_Table!$A$1:$B$4, 2, FALSE), "")</f>
        <v>Post Graduate</v>
      </c>
      <c r="H1682">
        <v>1</v>
      </c>
      <c r="I1682">
        <v>20</v>
      </c>
      <c r="J1682" t="str">
        <f t="shared" si="156"/>
        <v>Smoker</v>
      </c>
      <c r="K1682">
        <v>0</v>
      </c>
      <c r="L1682">
        <v>0</v>
      </c>
      <c r="M1682">
        <v>0</v>
      </c>
      <c r="N1682">
        <v>0</v>
      </c>
      <c r="O1682">
        <v>233</v>
      </c>
      <c r="P1682" t="str">
        <f t="shared" si="157"/>
        <v>Normal</v>
      </c>
      <c r="Q1682">
        <v>108</v>
      </c>
      <c r="R1682">
        <v>74</v>
      </c>
      <c r="S1682">
        <v>23.97</v>
      </c>
      <c r="T1682" t="str">
        <f t="shared" si="158"/>
        <v>Normal</v>
      </c>
      <c r="U1682">
        <v>85</v>
      </c>
      <c r="V1682">
        <v>82</v>
      </c>
      <c r="W1682" t="str">
        <f t="shared" si="161"/>
        <v>Normal</v>
      </c>
      <c r="X1682">
        <v>0</v>
      </c>
    </row>
    <row r="1683" spans="1:24" ht="14.5" thickBot="1" x14ac:dyDescent="0.35">
      <c r="A1683">
        <v>0</v>
      </c>
      <c r="B1683" t="str">
        <f t="shared" si="159"/>
        <v>Female</v>
      </c>
      <c r="C1683" s="8">
        <v>46</v>
      </c>
      <c r="D1683" t="str">
        <f t="shared" si="160"/>
        <v>Middle Age</v>
      </c>
      <c r="E1683">
        <v>2</v>
      </c>
      <c r="F1683" t="str">
        <f>HLOOKUP(E1683, LookUP_Table!$A$6:$D$7, 2, FALSE)</f>
        <v>Secondary</v>
      </c>
      <c r="G1683" t="str">
        <f>IFERROR(VLOOKUP(E1683, LookUP_Table!$A$1:$B$4, 2, FALSE), "")</f>
        <v>Secondary</v>
      </c>
      <c r="H1683">
        <v>0</v>
      </c>
      <c r="I1683">
        <v>0</v>
      </c>
      <c r="J1683" t="str">
        <f t="shared" si="156"/>
        <v>Non-Smoker</v>
      </c>
      <c r="K1683">
        <v>0</v>
      </c>
      <c r="L1683">
        <v>0</v>
      </c>
      <c r="M1683">
        <v>0</v>
      </c>
      <c r="N1683">
        <v>0</v>
      </c>
      <c r="O1683">
        <v>275</v>
      </c>
      <c r="P1683" t="str">
        <f t="shared" si="157"/>
        <v>High</v>
      </c>
      <c r="Q1683">
        <v>116</v>
      </c>
      <c r="R1683">
        <v>88.5</v>
      </c>
      <c r="S1683">
        <v>28.04</v>
      </c>
      <c r="T1683" t="str">
        <f t="shared" si="158"/>
        <v>Overweight</v>
      </c>
      <c r="U1683">
        <v>70</v>
      </c>
      <c r="V1683">
        <v>70</v>
      </c>
      <c r="W1683" t="str">
        <f t="shared" si="161"/>
        <v>Normal</v>
      </c>
      <c r="X1683">
        <v>0</v>
      </c>
    </row>
    <row r="1684" spans="1:24" ht="14.5" thickBot="1" x14ac:dyDescent="0.35">
      <c r="A1684">
        <v>0</v>
      </c>
      <c r="B1684" t="str">
        <f t="shared" si="159"/>
        <v>Female</v>
      </c>
      <c r="C1684" s="8">
        <v>46</v>
      </c>
      <c r="D1684" t="str">
        <f t="shared" si="160"/>
        <v>Middle Age</v>
      </c>
      <c r="E1684">
        <v>1</v>
      </c>
      <c r="F1684" t="str">
        <f>HLOOKUP(E1684, LookUP_Table!$A$6:$D$7, 2, FALSE)</f>
        <v>Primary</v>
      </c>
      <c r="G1684" t="str">
        <f>IFERROR(VLOOKUP(E1684, LookUP_Table!$A$1:$B$4, 2, FALSE), "")</f>
        <v>Primary</v>
      </c>
      <c r="H1684">
        <v>0</v>
      </c>
      <c r="I1684">
        <v>0</v>
      </c>
      <c r="J1684" t="str">
        <f t="shared" si="156"/>
        <v>Non-Smoker</v>
      </c>
      <c r="K1684">
        <v>0</v>
      </c>
      <c r="L1684">
        <v>0</v>
      </c>
      <c r="M1684">
        <v>1</v>
      </c>
      <c r="N1684">
        <v>0</v>
      </c>
      <c r="O1684">
        <v>233</v>
      </c>
      <c r="P1684" t="str">
        <f t="shared" si="157"/>
        <v>Normal</v>
      </c>
      <c r="Q1684">
        <v>174</v>
      </c>
      <c r="R1684">
        <v>100</v>
      </c>
      <c r="S1684">
        <v>26.72</v>
      </c>
      <c r="T1684" t="str">
        <f t="shared" si="158"/>
        <v>Overweight</v>
      </c>
      <c r="U1684">
        <v>85</v>
      </c>
      <c r="V1684">
        <v>73</v>
      </c>
      <c r="W1684" t="str">
        <f t="shared" si="161"/>
        <v>Normal</v>
      </c>
      <c r="X1684">
        <v>0</v>
      </c>
    </row>
    <row r="1685" spans="1:24" ht="14.5" thickBot="1" x14ac:dyDescent="0.35">
      <c r="A1685">
        <v>0</v>
      </c>
      <c r="B1685" t="str">
        <f t="shared" si="159"/>
        <v>Female</v>
      </c>
      <c r="C1685" s="8">
        <v>46</v>
      </c>
      <c r="D1685" t="str">
        <f t="shared" si="160"/>
        <v>Middle Age</v>
      </c>
      <c r="E1685">
        <v>1</v>
      </c>
      <c r="F1685" t="str">
        <f>HLOOKUP(E1685, LookUP_Table!$A$6:$D$7, 2, FALSE)</f>
        <v>Primary</v>
      </c>
      <c r="G1685" t="str">
        <f>IFERROR(VLOOKUP(E1685, LookUP_Table!$A$1:$B$4, 2, FALSE), "")</f>
        <v>Primary</v>
      </c>
      <c r="H1685">
        <v>0</v>
      </c>
      <c r="I1685">
        <v>0</v>
      </c>
      <c r="J1685" t="str">
        <f t="shared" si="156"/>
        <v>Non-Smoker</v>
      </c>
      <c r="K1685">
        <v>0</v>
      </c>
      <c r="L1685">
        <v>0</v>
      </c>
      <c r="M1685">
        <v>0</v>
      </c>
      <c r="N1685">
        <v>0</v>
      </c>
      <c r="O1685">
        <v>200</v>
      </c>
      <c r="P1685" t="str">
        <f t="shared" si="157"/>
        <v>Normal</v>
      </c>
      <c r="Q1685">
        <v>133</v>
      </c>
      <c r="R1685">
        <v>84</v>
      </c>
      <c r="S1685">
        <v>26.15</v>
      </c>
      <c r="T1685" t="str">
        <f t="shared" si="158"/>
        <v>Overweight</v>
      </c>
      <c r="U1685">
        <v>70</v>
      </c>
      <c r="V1685">
        <v>83</v>
      </c>
      <c r="W1685" t="str">
        <f t="shared" si="161"/>
        <v>Normal</v>
      </c>
      <c r="X1685">
        <v>0</v>
      </c>
    </row>
    <row r="1686" spans="1:24" ht="14.5" thickBot="1" x14ac:dyDescent="0.35">
      <c r="A1686">
        <v>1</v>
      </c>
      <c r="B1686" t="str">
        <f t="shared" si="159"/>
        <v>Male</v>
      </c>
      <c r="C1686" s="8">
        <v>46</v>
      </c>
      <c r="D1686" t="str">
        <f t="shared" si="160"/>
        <v>Middle Age</v>
      </c>
      <c r="E1686">
        <v>4</v>
      </c>
      <c r="F1686" t="str">
        <f>HLOOKUP(E1686, LookUP_Table!$A$6:$D$7, 2, FALSE)</f>
        <v>Post Graduate</v>
      </c>
      <c r="G1686" t="str">
        <f>IFERROR(VLOOKUP(E1686, LookUP_Table!$A$1:$B$4, 2, FALSE), "")</f>
        <v>Post Graduate</v>
      </c>
      <c r="H1686">
        <v>1</v>
      </c>
      <c r="I1686">
        <v>20</v>
      </c>
      <c r="J1686" t="str">
        <f t="shared" si="156"/>
        <v>Smoker</v>
      </c>
      <c r="K1686">
        <v>0</v>
      </c>
      <c r="L1686">
        <v>0</v>
      </c>
      <c r="M1686">
        <v>0</v>
      </c>
      <c r="N1686">
        <v>0</v>
      </c>
      <c r="O1686">
        <v>259</v>
      </c>
      <c r="P1686" t="str">
        <f t="shared" si="157"/>
        <v>High</v>
      </c>
      <c r="Q1686">
        <v>101</v>
      </c>
      <c r="R1686">
        <v>71</v>
      </c>
      <c r="S1686">
        <v>20.100000000000001</v>
      </c>
      <c r="T1686" t="str">
        <f t="shared" si="158"/>
        <v>Normal</v>
      </c>
      <c r="U1686">
        <v>80</v>
      </c>
      <c r="V1686">
        <v>73</v>
      </c>
      <c r="W1686" t="str">
        <f t="shared" si="161"/>
        <v>Normal</v>
      </c>
      <c r="X1686">
        <v>0</v>
      </c>
    </row>
    <row r="1687" spans="1:24" ht="14.5" thickBot="1" x14ac:dyDescent="0.35">
      <c r="A1687">
        <v>1</v>
      </c>
      <c r="B1687" t="str">
        <f t="shared" si="159"/>
        <v>Male</v>
      </c>
      <c r="C1687" s="8">
        <v>46</v>
      </c>
      <c r="D1687" t="str">
        <f t="shared" si="160"/>
        <v>Middle Age</v>
      </c>
      <c r="E1687">
        <v>2</v>
      </c>
      <c r="F1687" t="str">
        <f>HLOOKUP(E1687, LookUP_Table!$A$6:$D$7, 2, FALSE)</f>
        <v>Secondary</v>
      </c>
      <c r="G1687" t="str">
        <f>IFERROR(VLOOKUP(E1687, LookUP_Table!$A$1:$B$4, 2, FALSE), "")</f>
        <v>Secondary</v>
      </c>
      <c r="H1687">
        <v>1</v>
      </c>
      <c r="I1687">
        <v>20</v>
      </c>
      <c r="J1687" t="str">
        <f t="shared" si="156"/>
        <v>Smoker</v>
      </c>
      <c r="K1687">
        <v>0</v>
      </c>
      <c r="L1687">
        <v>0</v>
      </c>
      <c r="M1687">
        <v>1</v>
      </c>
      <c r="N1687">
        <v>0</v>
      </c>
      <c r="O1687">
        <v>181</v>
      </c>
      <c r="P1687" t="str">
        <f t="shared" si="157"/>
        <v>Normal</v>
      </c>
      <c r="Q1687">
        <v>122</v>
      </c>
      <c r="R1687">
        <v>87.5</v>
      </c>
      <c r="S1687">
        <v>29.15</v>
      </c>
      <c r="T1687" t="str">
        <f t="shared" si="158"/>
        <v>Overweight</v>
      </c>
      <c r="U1687">
        <v>80</v>
      </c>
      <c r="V1687">
        <v>83</v>
      </c>
      <c r="W1687" t="str">
        <f t="shared" si="161"/>
        <v>Normal</v>
      </c>
      <c r="X1687">
        <v>0</v>
      </c>
    </row>
    <row r="1688" spans="1:24" ht="14.5" thickBot="1" x14ac:dyDescent="0.35">
      <c r="A1688">
        <v>0</v>
      </c>
      <c r="B1688" t="str">
        <f t="shared" si="159"/>
        <v>Female</v>
      </c>
      <c r="C1688" s="8">
        <v>46</v>
      </c>
      <c r="D1688" t="str">
        <f t="shared" si="160"/>
        <v>Middle Age</v>
      </c>
      <c r="E1688">
        <v>3</v>
      </c>
      <c r="F1688" t="str">
        <f>HLOOKUP(E1688, LookUP_Table!$A$6:$D$7, 2, FALSE)</f>
        <v>Graduate</v>
      </c>
      <c r="G1688" t="str">
        <f>IFERROR(VLOOKUP(E1688, LookUP_Table!$A$1:$B$4, 2, FALSE), "")</f>
        <v>Graduate</v>
      </c>
      <c r="H1688">
        <v>0</v>
      </c>
      <c r="I1688">
        <v>0</v>
      </c>
      <c r="J1688" t="str">
        <f t="shared" si="156"/>
        <v>Non-Smoker</v>
      </c>
      <c r="K1688">
        <v>0</v>
      </c>
      <c r="L1688">
        <v>0</v>
      </c>
      <c r="M1688">
        <v>0</v>
      </c>
      <c r="N1688">
        <v>0</v>
      </c>
      <c r="O1688">
        <v>230</v>
      </c>
      <c r="P1688" t="str">
        <f t="shared" si="157"/>
        <v>Normal</v>
      </c>
      <c r="Q1688">
        <v>115</v>
      </c>
      <c r="R1688">
        <v>75</v>
      </c>
      <c r="S1688">
        <v>22.9</v>
      </c>
      <c r="T1688" t="str">
        <f t="shared" si="158"/>
        <v>Normal</v>
      </c>
      <c r="U1688">
        <v>58</v>
      </c>
      <c r="V1688">
        <v>79</v>
      </c>
      <c r="W1688" t="str">
        <f t="shared" si="161"/>
        <v>Normal</v>
      </c>
      <c r="X1688">
        <v>0</v>
      </c>
    </row>
    <row r="1689" spans="1:24" ht="14.5" thickBot="1" x14ac:dyDescent="0.35">
      <c r="A1689">
        <v>1</v>
      </c>
      <c r="B1689" t="str">
        <f t="shared" si="159"/>
        <v>Male</v>
      </c>
      <c r="C1689" s="8">
        <v>46</v>
      </c>
      <c r="D1689" t="str">
        <f t="shared" si="160"/>
        <v>Middle Age</v>
      </c>
      <c r="E1689">
        <v>2</v>
      </c>
      <c r="F1689" t="str">
        <f>HLOOKUP(E1689, LookUP_Table!$A$6:$D$7, 2, FALSE)</f>
        <v>Secondary</v>
      </c>
      <c r="G1689" t="str">
        <f>IFERROR(VLOOKUP(E1689, LookUP_Table!$A$1:$B$4, 2, FALSE), "")</f>
        <v>Secondary</v>
      </c>
      <c r="H1689">
        <v>1</v>
      </c>
      <c r="I1689">
        <v>20</v>
      </c>
      <c r="J1689" t="str">
        <f t="shared" si="156"/>
        <v>Smoker</v>
      </c>
      <c r="K1689">
        <v>0</v>
      </c>
      <c r="L1689">
        <v>0</v>
      </c>
      <c r="M1689">
        <v>0</v>
      </c>
      <c r="N1689">
        <v>0</v>
      </c>
      <c r="O1689">
        <v>275</v>
      </c>
      <c r="P1689" t="str">
        <f t="shared" si="157"/>
        <v>High</v>
      </c>
      <c r="Q1689">
        <v>137</v>
      </c>
      <c r="R1689">
        <v>88</v>
      </c>
      <c r="S1689">
        <v>29.28</v>
      </c>
      <c r="T1689" t="str">
        <f t="shared" si="158"/>
        <v>Overweight</v>
      </c>
      <c r="U1689">
        <v>110</v>
      </c>
      <c r="V1689">
        <v>88</v>
      </c>
      <c r="W1689" t="str">
        <f t="shared" si="161"/>
        <v>Normal</v>
      </c>
      <c r="X1689">
        <v>0</v>
      </c>
    </row>
    <row r="1690" spans="1:24" ht="14.5" thickBot="1" x14ac:dyDescent="0.35">
      <c r="A1690">
        <v>0</v>
      </c>
      <c r="B1690" t="str">
        <f t="shared" si="159"/>
        <v>Female</v>
      </c>
      <c r="C1690" s="8">
        <v>46</v>
      </c>
      <c r="D1690" t="str">
        <f t="shared" si="160"/>
        <v>Middle Age</v>
      </c>
      <c r="E1690">
        <v>3</v>
      </c>
      <c r="F1690" t="str">
        <f>HLOOKUP(E1690, LookUP_Table!$A$6:$D$7, 2, FALSE)</f>
        <v>Graduate</v>
      </c>
      <c r="G1690" t="str">
        <f>IFERROR(VLOOKUP(E1690, LookUP_Table!$A$1:$B$4, 2, FALSE), "")</f>
        <v>Graduate</v>
      </c>
      <c r="H1690">
        <v>0</v>
      </c>
      <c r="I1690">
        <v>0</v>
      </c>
      <c r="J1690" t="str">
        <f t="shared" si="156"/>
        <v>Non-Smoker</v>
      </c>
      <c r="K1690">
        <v>0</v>
      </c>
      <c r="L1690">
        <v>0</v>
      </c>
      <c r="M1690">
        <v>0</v>
      </c>
      <c r="N1690">
        <v>0</v>
      </c>
      <c r="O1690">
        <v>193</v>
      </c>
      <c r="P1690" t="str">
        <f t="shared" si="157"/>
        <v>Normal</v>
      </c>
      <c r="Q1690">
        <v>110</v>
      </c>
      <c r="R1690">
        <v>68</v>
      </c>
      <c r="S1690">
        <v>22.19</v>
      </c>
      <c r="T1690" t="str">
        <f t="shared" si="158"/>
        <v>Normal</v>
      </c>
      <c r="U1690">
        <v>68</v>
      </c>
      <c r="V1690">
        <v>65</v>
      </c>
      <c r="W1690" t="str">
        <f t="shared" si="161"/>
        <v>Normal</v>
      </c>
      <c r="X1690">
        <v>0</v>
      </c>
    </row>
    <row r="1691" spans="1:24" ht="14.5" thickBot="1" x14ac:dyDescent="0.35">
      <c r="A1691">
        <v>1</v>
      </c>
      <c r="B1691" t="str">
        <f t="shared" si="159"/>
        <v>Male</v>
      </c>
      <c r="C1691" s="8">
        <v>46</v>
      </c>
      <c r="D1691" t="str">
        <f t="shared" si="160"/>
        <v>Middle Age</v>
      </c>
      <c r="E1691">
        <v>1</v>
      </c>
      <c r="F1691" t="str">
        <f>HLOOKUP(E1691, LookUP_Table!$A$6:$D$7, 2, FALSE)</f>
        <v>Primary</v>
      </c>
      <c r="G1691" t="str">
        <f>IFERROR(VLOOKUP(E1691, LookUP_Table!$A$1:$B$4, 2, FALSE), "")</f>
        <v>Primary</v>
      </c>
      <c r="H1691">
        <v>1</v>
      </c>
      <c r="I1691">
        <v>9</v>
      </c>
      <c r="J1691" t="str">
        <f t="shared" si="156"/>
        <v>Smoker</v>
      </c>
      <c r="K1691">
        <v>0</v>
      </c>
      <c r="L1691">
        <v>0</v>
      </c>
      <c r="M1691">
        <v>1</v>
      </c>
      <c r="N1691">
        <v>0</v>
      </c>
      <c r="O1691">
        <v>216</v>
      </c>
      <c r="P1691" t="str">
        <f t="shared" si="157"/>
        <v>Normal</v>
      </c>
      <c r="Q1691">
        <v>126</v>
      </c>
      <c r="R1691">
        <v>85</v>
      </c>
      <c r="S1691">
        <v>30.1</v>
      </c>
      <c r="T1691" t="str">
        <f t="shared" si="158"/>
        <v>Obese</v>
      </c>
      <c r="U1691">
        <v>80</v>
      </c>
      <c r="V1691">
        <v>70</v>
      </c>
      <c r="W1691" t="str">
        <f t="shared" si="161"/>
        <v>Normal</v>
      </c>
      <c r="X1691">
        <v>0</v>
      </c>
    </row>
    <row r="1692" spans="1:24" ht="14.5" thickBot="1" x14ac:dyDescent="0.35">
      <c r="A1692">
        <v>1</v>
      </c>
      <c r="B1692" t="str">
        <f t="shared" si="159"/>
        <v>Male</v>
      </c>
      <c r="C1692" s="8">
        <v>46</v>
      </c>
      <c r="D1692" t="str">
        <f t="shared" si="160"/>
        <v>Middle Age</v>
      </c>
      <c r="E1692">
        <v>3</v>
      </c>
      <c r="F1692" t="str">
        <f>HLOOKUP(E1692, LookUP_Table!$A$6:$D$7, 2, FALSE)</f>
        <v>Graduate</v>
      </c>
      <c r="G1692" t="str">
        <f>IFERROR(VLOOKUP(E1692, LookUP_Table!$A$1:$B$4, 2, FALSE), "")</f>
        <v>Graduate</v>
      </c>
      <c r="H1692">
        <v>0</v>
      </c>
      <c r="I1692">
        <v>0</v>
      </c>
      <c r="J1692" t="str">
        <f t="shared" si="156"/>
        <v>Non-Smoker</v>
      </c>
      <c r="K1692">
        <v>0</v>
      </c>
      <c r="L1692">
        <v>0</v>
      </c>
      <c r="M1692">
        <v>1</v>
      </c>
      <c r="N1692">
        <v>0</v>
      </c>
      <c r="O1692">
        <v>300</v>
      </c>
      <c r="P1692" t="str">
        <f t="shared" si="157"/>
        <v>High</v>
      </c>
      <c r="Q1692">
        <v>146</v>
      </c>
      <c r="R1692">
        <v>98.5</v>
      </c>
      <c r="S1692">
        <v>30.41</v>
      </c>
      <c r="T1692" t="str">
        <f t="shared" si="158"/>
        <v>Obese</v>
      </c>
      <c r="U1692">
        <v>60</v>
      </c>
      <c r="V1692">
        <v>79</v>
      </c>
      <c r="W1692" t="str">
        <f t="shared" si="161"/>
        <v>Normal</v>
      </c>
      <c r="X1692">
        <v>0</v>
      </c>
    </row>
    <row r="1693" spans="1:24" ht="14.5" thickBot="1" x14ac:dyDescent="0.35">
      <c r="A1693">
        <v>0</v>
      </c>
      <c r="B1693" t="str">
        <f t="shared" si="159"/>
        <v>Female</v>
      </c>
      <c r="C1693" s="8">
        <v>46</v>
      </c>
      <c r="D1693" t="str">
        <f t="shared" si="160"/>
        <v>Middle Age</v>
      </c>
      <c r="E1693">
        <v>2</v>
      </c>
      <c r="F1693" t="str">
        <f>HLOOKUP(E1693, LookUP_Table!$A$6:$D$7, 2, FALSE)</f>
        <v>Secondary</v>
      </c>
      <c r="G1693" t="str">
        <f>IFERROR(VLOOKUP(E1693, LookUP_Table!$A$1:$B$4, 2, FALSE), "")</f>
        <v>Secondary</v>
      </c>
      <c r="H1693">
        <v>1</v>
      </c>
      <c r="I1693">
        <v>15</v>
      </c>
      <c r="J1693" t="str">
        <f t="shared" si="156"/>
        <v>Smoker</v>
      </c>
      <c r="K1693">
        <v>0</v>
      </c>
      <c r="L1693">
        <v>0</v>
      </c>
      <c r="M1693">
        <v>0</v>
      </c>
      <c r="N1693">
        <v>0</v>
      </c>
      <c r="O1693">
        <v>232</v>
      </c>
      <c r="P1693" t="str">
        <f t="shared" si="157"/>
        <v>Normal</v>
      </c>
      <c r="Q1693">
        <v>115</v>
      </c>
      <c r="R1693">
        <v>70</v>
      </c>
      <c r="S1693">
        <v>25.18</v>
      </c>
      <c r="T1693" t="str">
        <f t="shared" si="158"/>
        <v>Overweight</v>
      </c>
      <c r="U1693">
        <v>75</v>
      </c>
      <c r="V1693">
        <v>59</v>
      </c>
      <c r="W1693" t="str">
        <f t="shared" si="161"/>
        <v>Normal</v>
      </c>
      <c r="X1693">
        <v>1</v>
      </c>
    </row>
    <row r="1694" spans="1:24" ht="14.5" thickBot="1" x14ac:dyDescent="0.35">
      <c r="A1694">
        <v>1</v>
      </c>
      <c r="B1694" t="str">
        <f t="shared" si="159"/>
        <v>Male</v>
      </c>
      <c r="C1694" s="8">
        <v>46</v>
      </c>
      <c r="D1694" t="str">
        <f t="shared" si="160"/>
        <v>Middle Age</v>
      </c>
      <c r="E1694">
        <v>2</v>
      </c>
      <c r="F1694" t="str">
        <f>HLOOKUP(E1694, LookUP_Table!$A$6:$D$7, 2, FALSE)</f>
        <v>Secondary</v>
      </c>
      <c r="G1694" t="str">
        <f>IFERROR(VLOOKUP(E1694, LookUP_Table!$A$1:$B$4, 2, FALSE), "")</f>
        <v>Secondary</v>
      </c>
      <c r="H1694">
        <v>0</v>
      </c>
      <c r="I1694">
        <v>0</v>
      </c>
      <c r="J1694" t="str">
        <f t="shared" si="156"/>
        <v>Non-Smoker</v>
      </c>
      <c r="K1694">
        <v>0</v>
      </c>
      <c r="L1694">
        <v>0</v>
      </c>
      <c r="M1694">
        <v>0</v>
      </c>
      <c r="N1694">
        <v>0</v>
      </c>
      <c r="O1694">
        <v>226</v>
      </c>
      <c r="P1694" t="str">
        <f t="shared" si="157"/>
        <v>Normal</v>
      </c>
      <c r="Q1694">
        <v>140</v>
      </c>
      <c r="R1694">
        <v>86</v>
      </c>
      <c r="S1694">
        <v>31.93</v>
      </c>
      <c r="T1694" t="str">
        <f t="shared" si="158"/>
        <v>Obese</v>
      </c>
      <c r="U1694">
        <v>85</v>
      </c>
      <c r="V1694">
        <v>72</v>
      </c>
      <c r="W1694" t="str">
        <f t="shared" si="161"/>
        <v>Normal</v>
      </c>
      <c r="X1694">
        <v>0</v>
      </c>
    </row>
    <row r="1695" spans="1:24" ht="14.5" thickBot="1" x14ac:dyDescent="0.35">
      <c r="A1695">
        <v>1</v>
      </c>
      <c r="B1695" t="str">
        <f t="shared" si="159"/>
        <v>Male</v>
      </c>
      <c r="C1695" s="8">
        <v>46</v>
      </c>
      <c r="D1695" t="str">
        <f t="shared" si="160"/>
        <v>Middle Age</v>
      </c>
      <c r="E1695">
        <v>4</v>
      </c>
      <c r="F1695" t="str">
        <f>HLOOKUP(E1695, LookUP_Table!$A$6:$D$7, 2, FALSE)</f>
        <v>Post Graduate</v>
      </c>
      <c r="G1695" t="str">
        <f>IFERROR(VLOOKUP(E1695, LookUP_Table!$A$1:$B$4, 2, FALSE), "")</f>
        <v>Post Graduate</v>
      </c>
      <c r="H1695">
        <v>1</v>
      </c>
      <c r="I1695">
        <v>9</v>
      </c>
      <c r="J1695" t="str">
        <f t="shared" si="156"/>
        <v>Smoker</v>
      </c>
      <c r="K1695">
        <v>0</v>
      </c>
      <c r="L1695">
        <v>0</v>
      </c>
      <c r="M1695">
        <v>1</v>
      </c>
      <c r="N1695">
        <v>0</v>
      </c>
      <c r="O1695">
        <v>260</v>
      </c>
      <c r="P1695" t="str">
        <f t="shared" si="157"/>
        <v>High</v>
      </c>
      <c r="Q1695">
        <v>137.5</v>
      </c>
      <c r="R1695">
        <v>94</v>
      </c>
      <c r="S1695">
        <v>32.369999999999997</v>
      </c>
      <c r="T1695" t="str">
        <f t="shared" si="158"/>
        <v>Obese</v>
      </c>
      <c r="U1695">
        <v>78</v>
      </c>
      <c r="V1695">
        <v>78</v>
      </c>
      <c r="W1695" t="str">
        <f t="shared" si="161"/>
        <v>Normal</v>
      </c>
      <c r="X1695">
        <v>0</v>
      </c>
    </row>
    <row r="1696" spans="1:24" ht="14.5" thickBot="1" x14ac:dyDescent="0.35">
      <c r="A1696">
        <v>1</v>
      </c>
      <c r="B1696" t="str">
        <f t="shared" si="159"/>
        <v>Male</v>
      </c>
      <c r="C1696" s="8">
        <v>46</v>
      </c>
      <c r="D1696" t="str">
        <f t="shared" si="160"/>
        <v>Middle Age</v>
      </c>
      <c r="E1696">
        <v>1</v>
      </c>
      <c r="F1696" t="str">
        <f>HLOOKUP(E1696, LookUP_Table!$A$6:$D$7, 2, FALSE)</f>
        <v>Primary</v>
      </c>
      <c r="G1696" t="str">
        <f>IFERROR(VLOOKUP(E1696, LookUP_Table!$A$1:$B$4, 2, FALSE), "")</f>
        <v>Primary</v>
      </c>
      <c r="H1696">
        <v>1</v>
      </c>
      <c r="I1696">
        <v>20</v>
      </c>
      <c r="J1696" t="str">
        <f t="shared" si="156"/>
        <v>Smoker</v>
      </c>
      <c r="K1696">
        <v>0</v>
      </c>
      <c r="L1696">
        <v>0</v>
      </c>
      <c r="M1696">
        <v>0</v>
      </c>
      <c r="N1696">
        <v>0</v>
      </c>
      <c r="O1696">
        <v>219</v>
      </c>
      <c r="P1696" t="str">
        <f t="shared" si="157"/>
        <v>Normal</v>
      </c>
      <c r="Q1696">
        <v>118</v>
      </c>
      <c r="R1696">
        <v>79</v>
      </c>
      <c r="S1696">
        <v>24.17</v>
      </c>
      <c r="T1696" t="str">
        <f t="shared" si="158"/>
        <v>Normal</v>
      </c>
      <c r="U1696">
        <v>70</v>
      </c>
      <c r="V1696">
        <v>90</v>
      </c>
      <c r="W1696" t="str">
        <f t="shared" si="161"/>
        <v>Normal</v>
      </c>
      <c r="X1696">
        <v>0</v>
      </c>
    </row>
    <row r="1697" spans="1:24" ht="14.5" thickBot="1" x14ac:dyDescent="0.35">
      <c r="A1697">
        <v>1</v>
      </c>
      <c r="B1697" t="str">
        <f t="shared" si="159"/>
        <v>Male</v>
      </c>
      <c r="C1697" s="8">
        <v>46</v>
      </c>
      <c r="D1697" t="str">
        <f t="shared" si="160"/>
        <v>Middle Age</v>
      </c>
      <c r="E1697">
        <v>1</v>
      </c>
      <c r="F1697" t="str">
        <f>HLOOKUP(E1697, LookUP_Table!$A$6:$D$7, 2, FALSE)</f>
        <v>Primary</v>
      </c>
      <c r="G1697" t="str">
        <f>IFERROR(VLOOKUP(E1697, LookUP_Table!$A$1:$B$4, 2, FALSE), "")</f>
        <v>Primary</v>
      </c>
      <c r="H1697">
        <v>0</v>
      </c>
      <c r="I1697">
        <v>0</v>
      </c>
      <c r="J1697" t="str">
        <f t="shared" si="156"/>
        <v>Non-Smoker</v>
      </c>
      <c r="K1697">
        <v>0</v>
      </c>
      <c r="L1697">
        <v>0</v>
      </c>
      <c r="M1697">
        <v>0</v>
      </c>
      <c r="N1697">
        <v>0</v>
      </c>
      <c r="O1697">
        <v>220</v>
      </c>
      <c r="P1697" t="str">
        <f t="shared" si="157"/>
        <v>Normal</v>
      </c>
      <c r="Q1697">
        <v>119</v>
      </c>
      <c r="R1697">
        <v>80</v>
      </c>
      <c r="S1697">
        <v>25.86</v>
      </c>
      <c r="T1697" t="str">
        <f t="shared" si="158"/>
        <v>Overweight</v>
      </c>
      <c r="U1697">
        <v>75</v>
      </c>
      <c r="V1697">
        <v>95</v>
      </c>
      <c r="W1697" t="str">
        <f t="shared" si="161"/>
        <v>Normal</v>
      </c>
      <c r="X1697">
        <v>0</v>
      </c>
    </row>
    <row r="1698" spans="1:24" ht="14.5" thickBot="1" x14ac:dyDescent="0.35">
      <c r="A1698">
        <v>0</v>
      </c>
      <c r="B1698" t="str">
        <f t="shared" si="159"/>
        <v>Female</v>
      </c>
      <c r="C1698" s="8">
        <v>46</v>
      </c>
      <c r="D1698" t="str">
        <f t="shared" si="160"/>
        <v>Middle Age</v>
      </c>
      <c r="E1698">
        <v>1</v>
      </c>
      <c r="F1698" t="str">
        <f>HLOOKUP(E1698, LookUP_Table!$A$6:$D$7, 2, FALSE)</f>
        <v>Primary</v>
      </c>
      <c r="G1698" t="str">
        <f>IFERROR(VLOOKUP(E1698, LookUP_Table!$A$1:$B$4, 2, FALSE), "")</f>
        <v>Primary</v>
      </c>
      <c r="H1698">
        <v>0</v>
      </c>
      <c r="I1698">
        <v>0</v>
      </c>
      <c r="J1698" t="str">
        <f t="shared" si="156"/>
        <v>Non-Smoker</v>
      </c>
      <c r="K1698">
        <v>0</v>
      </c>
      <c r="L1698">
        <v>0</v>
      </c>
      <c r="M1698">
        <v>0</v>
      </c>
      <c r="N1698">
        <v>0</v>
      </c>
      <c r="O1698">
        <v>208</v>
      </c>
      <c r="P1698" t="str">
        <f t="shared" si="157"/>
        <v>Normal</v>
      </c>
      <c r="Q1698">
        <v>122</v>
      </c>
      <c r="R1698">
        <v>76</v>
      </c>
      <c r="S1698">
        <v>18.399999999999999</v>
      </c>
      <c r="T1698" t="str">
        <f t="shared" si="158"/>
        <v>Underweight</v>
      </c>
      <c r="U1698">
        <v>75</v>
      </c>
      <c r="V1698">
        <v>70</v>
      </c>
      <c r="W1698" t="str">
        <f t="shared" si="161"/>
        <v>Normal</v>
      </c>
      <c r="X1698">
        <v>0</v>
      </c>
    </row>
    <row r="1699" spans="1:24" ht="14.5" thickBot="1" x14ac:dyDescent="0.35">
      <c r="A1699">
        <v>0</v>
      </c>
      <c r="B1699" t="str">
        <f t="shared" si="159"/>
        <v>Female</v>
      </c>
      <c r="C1699" s="8">
        <v>46</v>
      </c>
      <c r="D1699" t="str">
        <f t="shared" si="160"/>
        <v>Middle Age</v>
      </c>
      <c r="E1699">
        <v>4</v>
      </c>
      <c r="F1699" t="str">
        <f>HLOOKUP(E1699, LookUP_Table!$A$6:$D$7, 2, FALSE)</f>
        <v>Post Graduate</v>
      </c>
      <c r="G1699" t="str">
        <f>IFERROR(VLOOKUP(E1699, LookUP_Table!$A$1:$B$4, 2, FALSE), "")</f>
        <v>Post Graduate</v>
      </c>
      <c r="H1699">
        <v>0</v>
      </c>
      <c r="I1699">
        <v>0</v>
      </c>
      <c r="J1699" t="str">
        <f t="shared" si="156"/>
        <v>Non-Smoker</v>
      </c>
      <c r="K1699">
        <v>0</v>
      </c>
      <c r="L1699">
        <v>0</v>
      </c>
      <c r="M1699">
        <v>0</v>
      </c>
      <c r="N1699">
        <v>0</v>
      </c>
      <c r="O1699">
        <v>192</v>
      </c>
      <c r="P1699" t="str">
        <f t="shared" si="157"/>
        <v>Normal</v>
      </c>
      <c r="Q1699">
        <v>122</v>
      </c>
      <c r="R1699">
        <v>83</v>
      </c>
      <c r="S1699">
        <v>23.99</v>
      </c>
      <c r="T1699" t="str">
        <f t="shared" si="158"/>
        <v>Normal</v>
      </c>
      <c r="U1699">
        <v>78</v>
      </c>
      <c r="V1699">
        <v>106</v>
      </c>
      <c r="W1699" t="str">
        <f t="shared" si="161"/>
        <v>Prediabetes</v>
      </c>
      <c r="X1699">
        <v>0</v>
      </c>
    </row>
    <row r="1700" spans="1:24" ht="14.5" thickBot="1" x14ac:dyDescent="0.35">
      <c r="A1700">
        <v>1</v>
      </c>
      <c r="B1700" t="str">
        <f t="shared" si="159"/>
        <v>Male</v>
      </c>
      <c r="C1700" s="8">
        <v>46</v>
      </c>
      <c r="D1700" t="str">
        <f t="shared" si="160"/>
        <v>Middle Age</v>
      </c>
      <c r="E1700">
        <v>1</v>
      </c>
      <c r="F1700" t="str">
        <f>HLOOKUP(E1700, LookUP_Table!$A$6:$D$7, 2, FALSE)</f>
        <v>Primary</v>
      </c>
      <c r="G1700" t="str">
        <f>IFERROR(VLOOKUP(E1700, LookUP_Table!$A$1:$B$4, 2, FALSE), "")</f>
        <v>Primary</v>
      </c>
      <c r="H1700">
        <v>1</v>
      </c>
      <c r="I1700">
        <v>60</v>
      </c>
      <c r="J1700" t="str">
        <f t="shared" si="156"/>
        <v>Smoker</v>
      </c>
      <c r="K1700">
        <v>0</v>
      </c>
      <c r="L1700">
        <v>0</v>
      </c>
      <c r="M1700">
        <v>0</v>
      </c>
      <c r="N1700">
        <v>0</v>
      </c>
      <c r="O1700">
        <v>285</v>
      </c>
      <c r="P1700" t="str">
        <f t="shared" si="157"/>
        <v>High</v>
      </c>
      <c r="Q1700">
        <v>121</v>
      </c>
      <c r="R1700">
        <v>82</v>
      </c>
      <c r="S1700">
        <v>27.62</v>
      </c>
      <c r="T1700" t="str">
        <f t="shared" si="158"/>
        <v>Overweight</v>
      </c>
      <c r="U1700">
        <v>70</v>
      </c>
      <c r="V1700">
        <v>79</v>
      </c>
      <c r="W1700" t="str">
        <f t="shared" si="161"/>
        <v>Normal</v>
      </c>
      <c r="X1700">
        <v>0</v>
      </c>
    </row>
    <row r="1701" spans="1:24" ht="14.5" thickBot="1" x14ac:dyDescent="0.35">
      <c r="A1701">
        <v>1</v>
      </c>
      <c r="B1701" t="str">
        <f t="shared" si="159"/>
        <v>Male</v>
      </c>
      <c r="C1701" s="8">
        <v>46</v>
      </c>
      <c r="D1701" t="str">
        <f t="shared" si="160"/>
        <v>Middle Age</v>
      </c>
      <c r="E1701">
        <v>2</v>
      </c>
      <c r="F1701" t="str">
        <f>HLOOKUP(E1701, LookUP_Table!$A$6:$D$7, 2, FALSE)</f>
        <v>Secondary</v>
      </c>
      <c r="G1701" t="str">
        <f>IFERROR(VLOOKUP(E1701, LookUP_Table!$A$1:$B$4, 2, FALSE), "")</f>
        <v>Secondary</v>
      </c>
      <c r="H1701">
        <v>1</v>
      </c>
      <c r="I1701">
        <v>20</v>
      </c>
      <c r="J1701" t="str">
        <f t="shared" si="156"/>
        <v>Smoker</v>
      </c>
      <c r="K1701">
        <v>0</v>
      </c>
      <c r="L1701">
        <v>0</v>
      </c>
      <c r="M1701">
        <v>1</v>
      </c>
      <c r="N1701">
        <v>0</v>
      </c>
      <c r="O1701">
        <v>238</v>
      </c>
      <c r="P1701" t="str">
        <f t="shared" si="157"/>
        <v>Normal</v>
      </c>
      <c r="Q1701">
        <v>140.5</v>
      </c>
      <c r="R1701">
        <v>92.5</v>
      </c>
      <c r="S1701">
        <v>26.97</v>
      </c>
      <c r="T1701" t="str">
        <f t="shared" si="158"/>
        <v>Overweight</v>
      </c>
      <c r="U1701">
        <v>75</v>
      </c>
      <c r="V1701">
        <v>83</v>
      </c>
      <c r="W1701" t="str">
        <f t="shared" si="161"/>
        <v>Normal</v>
      </c>
      <c r="X1701">
        <v>0</v>
      </c>
    </row>
    <row r="1702" spans="1:24" ht="14.5" thickBot="1" x14ac:dyDescent="0.35">
      <c r="A1702">
        <v>0</v>
      </c>
      <c r="B1702" t="str">
        <f t="shared" si="159"/>
        <v>Female</v>
      </c>
      <c r="C1702" s="8">
        <v>46</v>
      </c>
      <c r="D1702" t="str">
        <f t="shared" si="160"/>
        <v>Middle Age</v>
      </c>
      <c r="E1702">
        <v>2</v>
      </c>
      <c r="F1702" t="str">
        <f>HLOOKUP(E1702, LookUP_Table!$A$6:$D$7, 2, FALSE)</f>
        <v>Secondary</v>
      </c>
      <c r="G1702" t="str">
        <f>IFERROR(VLOOKUP(E1702, LookUP_Table!$A$1:$B$4, 2, FALSE), "")</f>
        <v>Secondary</v>
      </c>
      <c r="H1702">
        <v>1</v>
      </c>
      <c r="I1702">
        <v>20</v>
      </c>
      <c r="J1702" t="str">
        <f t="shared" si="156"/>
        <v>Smoker</v>
      </c>
      <c r="K1702">
        <v>0</v>
      </c>
      <c r="L1702">
        <v>0</v>
      </c>
      <c r="M1702">
        <v>0</v>
      </c>
      <c r="N1702">
        <v>0</v>
      </c>
      <c r="O1702">
        <v>211</v>
      </c>
      <c r="P1702" t="str">
        <f t="shared" si="157"/>
        <v>Normal</v>
      </c>
      <c r="Q1702">
        <v>120</v>
      </c>
      <c r="R1702">
        <v>84</v>
      </c>
      <c r="S1702">
        <v>22.53</v>
      </c>
      <c r="T1702" t="str">
        <f t="shared" si="158"/>
        <v>Normal</v>
      </c>
      <c r="U1702">
        <v>94</v>
      </c>
      <c r="V1702">
        <v>87</v>
      </c>
      <c r="W1702" t="str">
        <f t="shared" si="161"/>
        <v>Normal</v>
      </c>
      <c r="X1702">
        <v>0</v>
      </c>
    </row>
    <row r="1703" spans="1:24" ht="14.5" thickBot="1" x14ac:dyDescent="0.35">
      <c r="A1703">
        <v>1</v>
      </c>
      <c r="B1703" t="str">
        <f t="shared" si="159"/>
        <v>Male</v>
      </c>
      <c r="C1703" s="8">
        <v>46</v>
      </c>
      <c r="D1703" t="str">
        <f t="shared" si="160"/>
        <v>Middle Age</v>
      </c>
      <c r="E1703">
        <v>1</v>
      </c>
      <c r="F1703" t="str">
        <f>HLOOKUP(E1703, LookUP_Table!$A$6:$D$7, 2, FALSE)</f>
        <v>Primary</v>
      </c>
      <c r="G1703" t="str">
        <f>IFERROR(VLOOKUP(E1703, LookUP_Table!$A$1:$B$4, 2, FALSE), "")</f>
        <v>Primary</v>
      </c>
      <c r="H1703">
        <v>1</v>
      </c>
      <c r="I1703">
        <v>9</v>
      </c>
      <c r="J1703" t="str">
        <f t="shared" si="156"/>
        <v>Smoker</v>
      </c>
      <c r="K1703">
        <v>0</v>
      </c>
      <c r="L1703">
        <v>0</v>
      </c>
      <c r="M1703">
        <v>0</v>
      </c>
      <c r="N1703">
        <v>0</v>
      </c>
      <c r="O1703">
        <v>255</v>
      </c>
      <c r="P1703" t="str">
        <f t="shared" si="157"/>
        <v>High</v>
      </c>
      <c r="Q1703">
        <v>113.5</v>
      </c>
      <c r="R1703">
        <v>72.5</v>
      </c>
      <c r="S1703">
        <v>23.22</v>
      </c>
      <c r="T1703" t="str">
        <f t="shared" si="158"/>
        <v>Normal</v>
      </c>
      <c r="U1703">
        <v>60</v>
      </c>
      <c r="V1703">
        <v>81.96365524402907</v>
      </c>
      <c r="W1703" t="str">
        <f t="shared" si="161"/>
        <v>Normal</v>
      </c>
      <c r="X1703">
        <v>0</v>
      </c>
    </row>
    <row r="1704" spans="1:24" ht="14.5" thickBot="1" x14ac:dyDescent="0.35">
      <c r="A1704">
        <v>0</v>
      </c>
      <c r="B1704" t="str">
        <f t="shared" si="159"/>
        <v>Female</v>
      </c>
      <c r="C1704" s="8">
        <v>46</v>
      </c>
      <c r="D1704" t="str">
        <f t="shared" si="160"/>
        <v>Middle Age</v>
      </c>
      <c r="E1704">
        <v>1</v>
      </c>
      <c r="F1704" t="str">
        <f>HLOOKUP(E1704, LookUP_Table!$A$6:$D$7, 2, FALSE)</f>
        <v>Primary</v>
      </c>
      <c r="G1704" t="str">
        <f>IFERROR(VLOOKUP(E1704, LookUP_Table!$A$1:$B$4, 2, FALSE), "")</f>
        <v>Primary</v>
      </c>
      <c r="H1704">
        <v>0</v>
      </c>
      <c r="I1704">
        <v>0</v>
      </c>
      <c r="J1704" t="str">
        <f t="shared" si="156"/>
        <v>Non-Smoker</v>
      </c>
      <c r="K1704">
        <v>0</v>
      </c>
      <c r="L1704">
        <v>0</v>
      </c>
      <c r="M1704">
        <v>0</v>
      </c>
      <c r="N1704">
        <v>0</v>
      </c>
      <c r="O1704">
        <v>284</v>
      </c>
      <c r="P1704" t="str">
        <f t="shared" si="157"/>
        <v>High</v>
      </c>
      <c r="Q1704">
        <v>147</v>
      </c>
      <c r="R1704">
        <v>82</v>
      </c>
      <c r="S1704">
        <v>25.6</v>
      </c>
      <c r="T1704" t="str">
        <f t="shared" si="158"/>
        <v>Overweight</v>
      </c>
      <c r="U1704">
        <v>80</v>
      </c>
      <c r="V1704">
        <v>81.96365524402907</v>
      </c>
      <c r="W1704" t="str">
        <f t="shared" si="161"/>
        <v>Normal</v>
      </c>
      <c r="X1704">
        <v>0</v>
      </c>
    </row>
    <row r="1705" spans="1:24" ht="14.5" thickBot="1" x14ac:dyDescent="0.35">
      <c r="A1705">
        <v>0</v>
      </c>
      <c r="B1705" t="str">
        <f t="shared" si="159"/>
        <v>Female</v>
      </c>
      <c r="C1705" s="8">
        <v>46</v>
      </c>
      <c r="D1705" t="str">
        <f t="shared" si="160"/>
        <v>Middle Age</v>
      </c>
      <c r="E1705">
        <v>2</v>
      </c>
      <c r="F1705" t="str">
        <f>HLOOKUP(E1705, LookUP_Table!$A$6:$D$7, 2, FALSE)</f>
        <v>Secondary</v>
      </c>
      <c r="G1705" t="str">
        <f>IFERROR(VLOOKUP(E1705, LookUP_Table!$A$1:$B$4, 2, FALSE), "")</f>
        <v>Secondary</v>
      </c>
      <c r="H1705">
        <v>0</v>
      </c>
      <c r="I1705">
        <v>0</v>
      </c>
      <c r="J1705" t="str">
        <f t="shared" si="156"/>
        <v>Non-Smoker</v>
      </c>
      <c r="K1705">
        <v>0</v>
      </c>
      <c r="L1705">
        <v>0</v>
      </c>
      <c r="M1705">
        <v>1</v>
      </c>
      <c r="N1705">
        <v>0</v>
      </c>
      <c r="O1705">
        <v>214</v>
      </c>
      <c r="P1705" t="str">
        <f t="shared" si="157"/>
        <v>Normal</v>
      </c>
      <c r="Q1705">
        <v>144</v>
      </c>
      <c r="R1705">
        <v>79</v>
      </c>
      <c r="S1705">
        <v>23.62</v>
      </c>
      <c r="T1705" t="str">
        <f t="shared" si="158"/>
        <v>Normal</v>
      </c>
      <c r="U1705">
        <v>96</v>
      </c>
      <c r="V1705">
        <v>80</v>
      </c>
      <c r="W1705" t="str">
        <f t="shared" si="161"/>
        <v>Normal</v>
      </c>
      <c r="X1705">
        <v>0</v>
      </c>
    </row>
    <row r="1706" spans="1:24" ht="14.5" thickBot="1" x14ac:dyDescent="0.35">
      <c r="A1706">
        <v>1</v>
      </c>
      <c r="B1706" t="str">
        <f t="shared" si="159"/>
        <v>Male</v>
      </c>
      <c r="C1706" s="8">
        <v>46</v>
      </c>
      <c r="D1706" t="str">
        <f t="shared" si="160"/>
        <v>Middle Age</v>
      </c>
      <c r="E1706">
        <v>2</v>
      </c>
      <c r="F1706" t="str">
        <f>HLOOKUP(E1706, LookUP_Table!$A$6:$D$7, 2, FALSE)</f>
        <v>Secondary</v>
      </c>
      <c r="G1706" t="str">
        <f>IFERROR(VLOOKUP(E1706, LookUP_Table!$A$1:$B$4, 2, FALSE), "")</f>
        <v>Secondary</v>
      </c>
      <c r="H1706">
        <v>1</v>
      </c>
      <c r="I1706">
        <v>43</v>
      </c>
      <c r="J1706" t="str">
        <f t="shared" si="156"/>
        <v>Smoker</v>
      </c>
      <c r="K1706">
        <v>0</v>
      </c>
      <c r="L1706">
        <v>0</v>
      </c>
      <c r="M1706">
        <v>1</v>
      </c>
      <c r="N1706">
        <v>0</v>
      </c>
      <c r="O1706">
        <v>272</v>
      </c>
      <c r="P1706" t="str">
        <f t="shared" si="157"/>
        <v>High</v>
      </c>
      <c r="Q1706">
        <v>145</v>
      </c>
      <c r="R1706">
        <v>88</v>
      </c>
      <c r="S1706">
        <v>28.12</v>
      </c>
      <c r="T1706" t="str">
        <f t="shared" si="158"/>
        <v>Overweight</v>
      </c>
      <c r="U1706">
        <v>103</v>
      </c>
      <c r="V1706">
        <v>65</v>
      </c>
      <c r="W1706" t="str">
        <f t="shared" si="161"/>
        <v>Normal</v>
      </c>
      <c r="X1706">
        <v>0</v>
      </c>
    </row>
    <row r="1707" spans="1:24" ht="14.5" thickBot="1" x14ac:dyDescent="0.35">
      <c r="A1707">
        <v>1</v>
      </c>
      <c r="B1707" t="str">
        <f t="shared" si="159"/>
        <v>Male</v>
      </c>
      <c r="C1707" s="8">
        <v>46</v>
      </c>
      <c r="D1707" t="str">
        <f t="shared" si="160"/>
        <v>Middle Age</v>
      </c>
      <c r="E1707">
        <v>4</v>
      </c>
      <c r="F1707" t="str">
        <f>HLOOKUP(E1707, LookUP_Table!$A$6:$D$7, 2, FALSE)</f>
        <v>Post Graduate</v>
      </c>
      <c r="G1707" t="str">
        <f>IFERROR(VLOOKUP(E1707, LookUP_Table!$A$1:$B$4, 2, FALSE), "")</f>
        <v>Post Graduate</v>
      </c>
      <c r="H1707">
        <v>1</v>
      </c>
      <c r="I1707">
        <v>40</v>
      </c>
      <c r="J1707" t="str">
        <f t="shared" si="156"/>
        <v>Smoker</v>
      </c>
      <c r="K1707">
        <v>0</v>
      </c>
      <c r="L1707">
        <v>0</v>
      </c>
      <c r="M1707">
        <v>0</v>
      </c>
      <c r="N1707">
        <v>0</v>
      </c>
      <c r="O1707">
        <v>165</v>
      </c>
      <c r="P1707" t="str">
        <f t="shared" si="157"/>
        <v>Normal</v>
      </c>
      <c r="Q1707">
        <v>107</v>
      </c>
      <c r="R1707">
        <v>82</v>
      </c>
      <c r="S1707">
        <v>24.67</v>
      </c>
      <c r="T1707" t="str">
        <f t="shared" si="158"/>
        <v>Normal</v>
      </c>
      <c r="U1707">
        <v>60</v>
      </c>
      <c r="V1707">
        <v>77</v>
      </c>
      <c r="W1707" t="str">
        <f t="shared" si="161"/>
        <v>Normal</v>
      </c>
      <c r="X1707">
        <v>0</v>
      </c>
    </row>
    <row r="1708" spans="1:24" ht="14.5" thickBot="1" x14ac:dyDescent="0.35">
      <c r="A1708">
        <v>1</v>
      </c>
      <c r="B1708" t="str">
        <f t="shared" si="159"/>
        <v>Male</v>
      </c>
      <c r="C1708" s="8">
        <v>46</v>
      </c>
      <c r="D1708" t="str">
        <f t="shared" si="160"/>
        <v>Middle Age</v>
      </c>
      <c r="E1708">
        <v>4</v>
      </c>
      <c r="F1708" t="str">
        <f>HLOOKUP(E1708, LookUP_Table!$A$6:$D$7, 2, FALSE)</f>
        <v>Post Graduate</v>
      </c>
      <c r="G1708" t="str">
        <f>IFERROR(VLOOKUP(E1708, LookUP_Table!$A$1:$B$4, 2, FALSE), "")</f>
        <v>Post Graduate</v>
      </c>
      <c r="H1708">
        <v>1</v>
      </c>
      <c r="I1708">
        <v>20</v>
      </c>
      <c r="J1708" t="str">
        <f t="shared" si="156"/>
        <v>Smoker</v>
      </c>
      <c r="K1708">
        <v>0</v>
      </c>
      <c r="L1708">
        <v>0</v>
      </c>
      <c r="M1708">
        <v>1</v>
      </c>
      <c r="N1708">
        <v>0</v>
      </c>
      <c r="O1708">
        <v>238</v>
      </c>
      <c r="P1708" t="str">
        <f t="shared" si="157"/>
        <v>Normal</v>
      </c>
      <c r="Q1708">
        <v>163.5</v>
      </c>
      <c r="R1708">
        <v>102</v>
      </c>
      <c r="S1708">
        <v>28.65</v>
      </c>
      <c r="T1708" t="str">
        <f t="shared" si="158"/>
        <v>Overweight</v>
      </c>
      <c r="U1708">
        <v>73</v>
      </c>
      <c r="V1708">
        <v>100</v>
      </c>
      <c r="W1708" t="str">
        <f t="shared" si="161"/>
        <v>Prediabetes</v>
      </c>
      <c r="X1708">
        <v>0</v>
      </c>
    </row>
    <row r="1709" spans="1:24" ht="14.5" thickBot="1" x14ac:dyDescent="0.35">
      <c r="A1709">
        <v>1</v>
      </c>
      <c r="B1709" t="str">
        <f t="shared" si="159"/>
        <v>Male</v>
      </c>
      <c r="C1709" s="8">
        <v>46</v>
      </c>
      <c r="D1709" t="str">
        <f t="shared" si="160"/>
        <v>Middle Age</v>
      </c>
      <c r="E1709">
        <v>1</v>
      </c>
      <c r="F1709" t="str">
        <f>HLOOKUP(E1709, LookUP_Table!$A$6:$D$7, 2, FALSE)</f>
        <v>Primary</v>
      </c>
      <c r="G1709" t="str">
        <f>IFERROR(VLOOKUP(E1709, LookUP_Table!$A$1:$B$4, 2, FALSE), "")</f>
        <v>Primary</v>
      </c>
      <c r="H1709">
        <v>1</v>
      </c>
      <c r="I1709">
        <v>20</v>
      </c>
      <c r="J1709" t="str">
        <f t="shared" si="156"/>
        <v>Smoker</v>
      </c>
      <c r="K1709">
        <v>0</v>
      </c>
      <c r="L1709">
        <v>0</v>
      </c>
      <c r="M1709">
        <v>0</v>
      </c>
      <c r="N1709">
        <v>0</v>
      </c>
      <c r="O1709">
        <v>273</v>
      </c>
      <c r="P1709" t="str">
        <f t="shared" si="157"/>
        <v>High</v>
      </c>
      <c r="Q1709">
        <v>132.5</v>
      </c>
      <c r="R1709">
        <v>69</v>
      </c>
      <c r="S1709">
        <v>26.83</v>
      </c>
      <c r="T1709" t="str">
        <f t="shared" si="158"/>
        <v>Overweight</v>
      </c>
      <c r="U1709">
        <v>120</v>
      </c>
      <c r="V1709">
        <v>88</v>
      </c>
      <c r="W1709" t="str">
        <f t="shared" si="161"/>
        <v>Normal</v>
      </c>
      <c r="X1709">
        <v>0</v>
      </c>
    </row>
    <row r="1710" spans="1:24" ht="14.5" thickBot="1" x14ac:dyDescent="0.35">
      <c r="A1710">
        <v>1</v>
      </c>
      <c r="B1710" t="str">
        <f t="shared" si="159"/>
        <v>Male</v>
      </c>
      <c r="C1710" s="8">
        <v>46</v>
      </c>
      <c r="D1710" t="str">
        <f t="shared" si="160"/>
        <v>Middle Age</v>
      </c>
      <c r="E1710">
        <v>1</v>
      </c>
      <c r="F1710" t="str">
        <f>HLOOKUP(E1710, LookUP_Table!$A$6:$D$7, 2, FALSE)</f>
        <v>Primary</v>
      </c>
      <c r="G1710" t="str">
        <f>IFERROR(VLOOKUP(E1710, LookUP_Table!$A$1:$B$4, 2, FALSE), "")</f>
        <v>Primary</v>
      </c>
      <c r="H1710">
        <v>1</v>
      </c>
      <c r="I1710">
        <v>15</v>
      </c>
      <c r="J1710" t="str">
        <f t="shared" si="156"/>
        <v>Smoker</v>
      </c>
      <c r="K1710">
        <v>0</v>
      </c>
      <c r="L1710">
        <v>0</v>
      </c>
      <c r="M1710">
        <v>1</v>
      </c>
      <c r="N1710">
        <v>0</v>
      </c>
      <c r="O1710">
        <v>212</v>
      </c>
      <c r="P1710" t="str">
        <f t="shared" si="157"/>
        <v>Normal</v>
      </c>
      <c r="Q1710">
        <v>132</v>
      </c>
      <c r="R1710">
        <v>92</v>
      </c>
      <c r="S1710">
        <v>22.08</v>
      </c>
      <c r="T1710" t="str">
        <f t="shared" si="158"/>
        <v>Normal</v>
      </c>
      <c r="U1710">
        <v>63</v>
      </c>
      <c r="V1710">
        <v>81.96365524402907</v>
      </c>
      <c r="W1710" t="str">
        <f t="shared" si="161"/>
        <v>Normal</v>
      </c>
      <c r="X1710">
        <v>0</v>
      </c>
    </row>
    <row r="1711" spans="1:24" ht="14.5" thickBot="1" x14ac:dyDescent="0.35">
      <c r="A1711">
        <v>1</v>
      </c>
      <c r="B1711" t="str">
        <f t="shared" si="159"/>
        <v>Male</v>
      </c>
      <c r="C1711" s="8">
        <v>46</v>
      </c>
      <c r="D1711" t="str">
        <f t="shared" si="160"/>
        <v>Middle Age</v>
      </c>
      <c r="E1711">
        <v>1</v>
      </c>
      <c r="F1711" t="str">
        <f>HLOOKUP(E1711, LookUP_Table!$A$6:$D$7, 2, FALSE)</f>
        <v>Primary</v>
      </c>
      <c r="G1711" t="str">
        <f>IFERROR(VLOOKUP(E1711, LookUP_Table!$A$1:$B$4, 2, FALSE), "")</f>
        <v>Primary</v>
      </c>
      <c r="H1711">
        <v>1</v>
      </c>
      <c r="I1711">
        <v>43</v>
      </c>
      <c r="J1711" t="str">
        <f t="shared" si="156"/>
        <v>Smoker</v>
      </c>
      <c r="K1711">
        <v>0</v>
      </c>
      <c r="L1711">
        <v>0</v>
      </c>
      <c r="M1711">
        <v>0</v>
      </c>
      <c r="N1711">
        <v>0</v>
      </c>
      <c r="O1711">
        <v>237</v>
      </c>
      <c r="P1711" t="str">
        <f t="shared" si="157"/>
        <v>Normal</v>
      </c>
      <c r="Q1711">
        <v>105</v>
      </c>
      <c r="R1711">
        <v>72.5</v>
      </c>
      <c r="S1711">
        <v>33.49</v>
      </c>
      <c r="T1711" t="str">
        <f t="shared" si="158"/>
        <v>Obese</v>
      </c>
      <c r="U1711">
        <v>67</v>
      </c>
      <c r="V1711">
        <v>79</v>
      </c>
      <c r="W1711" t="str">
        <f t="shared" si="161"/>
        <v>Normal</v>
      </c>
      <c r="X1711">
        <v>0</v>
      </c>
    </row>
    <row r="1712" spans="1:24" ht="14.5" thickBot="1" x14ac:dyDescent="0.35">
      <c r="A1712">
        <v>0</v>
      </c>
      <c r="B1712" t="str">
        <f t="shared" si="159"/>
        <v>Female</v>
      </c>
      <c r="C1712" s="8">
        <v>46</v>
      </c>
      <c r="D1712" t="str">
        <f t="shared" si="160"/>
        <v>Middle Age</v>
      </c>
      <c r="E1712">
        <v>1</v>
      </c>
      <c r="F1712" t="str">
        <f>HLOOKUP(E1712, LookUP_Table!$A$6:$D$7, 2, FALSE)</f>
        <v>Primary</v>
      </c>
      <c r="G1712" t="str">
        <f>IFERROR(VLOOKUP(E1712, LookUP_Table!$A$1:$B$4, 2, FALSE), "")</f>
        <v>Primary</v>
      </c>
      <c r="H1712">
        <v>0</v>
      </c>
      <c r="I1712">
        <v>0</v>
      </c>
      <c r="J1712" t="str">
        <f t="shared" si="156"/>
        <v>Non-Smoker</v>
      </c>
      <c r="K1712">
        <v>0</v>
      </c>
      <c r="L1712">
        <v>0</v>
      </c>
      <c r="M1712">
        <v>0</v>
      </c>
      <c r="N1712">
        <v>0</v>
      </c>
      <c r="O1712">
        <v>229</v>
      </c>
      <c r="P1712" t="str">
        <f t="shared" si="157"/>
        <v>Normal</v>
      </c>
      <c r="Q1712">
        <v>127.5</v>
      </c>
      <c r="R1712">
        <v>80</v>
      </c>
      <c r="S1712">
        <v>22.34</v>
      </c>
      <c r="T1712" t="str">
        <f t="shared" si="158"/>
        <v>Normal</v>
      </c>
      <c r="U1712">
        <v>84</v>
      </c>
      <c r="V1712">
        <v>77</v>
      </c>
      <c r="W1712" t="str">
        <f t="shared" si="161"/>
        <v>Normal</v>
      </c>
      <c r="X1712">
        <v>0</v>
      </c>
    </row>
    <row r="1713" spans="1:24" ht="14.5" thickBot="1" x14ac:dyDescent="0.35">
      <c r="A1713">
        <v>0</v>
      </c>
      <c r="B1713" t="str">
        <f t="shared" si="159"/>
        <v>Female</v>
      </c>
      <c r="C1713" s="8">
        <v>46</v>
      </c>
      <c r="D1713" t="str">
        <f t="shared" si="160"/>
        <v>Middle Age</v>
      </c>
      <c r="E1713">
        <v>2</v>
      </c>
      <c r="F1713" t="str">
        <f>HLOOKUP(E1713, LookUP_Table!$A$6:$D$7, 2, FALSE)</f>
        <v>Secondary</v>
      </c>
      <c r="G1713" t="str">
        <f>IFERROR(VLOOKUP(E1713, LookUP_Table!$A$1:$B$4, 2, FALSE), "")</f>
        <v>Secondary</v>
      </c>
      <c r="H1713">
        <v>1</v>
      </c>
      <c r="I1713">
        <v>18</v>
      </c>
      <c r="J1713" t="str">
        <f t="shared" si="156"/>
        <v>Smoker</v>
      </c>
      <c r="K1713">
        <v>0</v>
      </c>
      <c r="L1713">
        <v>0</v>
      </c>
      <c r="M1713">
        <v>0</v>
      </c>
      <c r="N1713">
        <v>0</v>
      </c>
      <c r="O1713">
        <v>290</v>
      </c>
      <c r="P1713" t="str">
        <f t="shared" si="157"/>
        <v>High</v>
      </c>
      <c r="Q1713">
        <v>131</v>
      </c>
      <c r="R1713">
        <v>84</v>
      </c>
      <c r="S1713">
        <v>18.28</v>
      </c>
      <c r="T1713" t="str">
        <f t="shared" si="158"/>
        <v>Underweight</v>
      </c>
      <c r="U1713">
        <v>75</v>
      </c>
      <c r="V1713">
        <v>68</v>
      </c>
      <c r="W1713" t="str">
        <f t="shared" si="161"/>
        <v>Normal</v>
      </c>
      <c r="X1713">
        <v>0</v>
      </c>
    </row>
    <row r="1714" spans="1:24" ht="14.5" thickBot="1" x14ac:dyDescent="0.35">
      <c r="A1714">
        <v>1</v>
      </c>
      <c r="B1714" t="str">
        <f t="shared" si="159"/>
        <v>Male</v>
      </c>
      <c r="C1714" s="8">
        <v>46</v>
      </c>
      <c r="D1714" t="str">
        <f t="shared" si="160"/>
        <v>Middle Age</v>
      </c>
      <c r="E1714">
        <v>1</v>
      </c>
      <c r="F1714" t="str">
        <f>HLOOKUP(E1714, LookUP_Table!$A$6:$D$7, 2, FALSE)</f>
        <v>Primary</v>
      </c>
      <c r="G1714" t="str">
        <f>IFERROR(VLOOKUP(E1714, LookUP_Table!$A$1:$B$4, 2, FALSE), "")</f>
        <v>Primary</v>
      </c>
      <c r="H1714">
        <v>0</v>
      </c>
      <c r="I1714">
        <v>0</v>
      </c>
      <c r="J1714" t="str">
        <f t="shared" si="156"/>
        <v>Non-Smoker</v>
      </c>
      <c r="K1714">
        <v>0</v>
      </c>
      <c r="L1714">
        <v>0</v>
      </c>
      <c r="M1714">
        <v>1</v>
      </c>
      <c r="N1714">
        <v>0</v>
      </c>
      <c r="O1714">
        <v>328</v>
      </c>
      <c r="P1714" t="str">
        <f t="shared" si="157"/>
        <v>High</v>
      </c>
      <c r="Q1714">
        <v>130</v>
      </c>
      <c r="R1714">
        <v>86.5</v>
      </c>
      <c r="S1714">
        <v>27.17</v>
      </c>
      <c r="T1714" t="str">
        <f t="shared" si="158"/>
        <v>Overweight</v>
      </c>
      <c r="U1714">
        <v>65</v>
      </c>
      <c r="V1714">
        <v>82</v>
      </c>
      <c r="W1714" t="str">
        <f t="shared" si="161"/>
        <v>Normal</v>
      </c>
      <c r="X1714">
        <v>0</v>
      </c>
    </row>
    <row r="1715" spans="1:24" ht="14.5" thickBot="1" x14ac:dyDescent="0.35">
      <c r="A1715">
        <v>0</v>
      </c>
      <c r="B1715" t="str">
        <f t="shared" si="159"/>
        <v>Female</v>
      </c>
      <c r="C1715" s="8">
        <v>46</v>
      </c>
      <c r="D1715" t="str">
        <f t="shared" si="160"/>
        <v>Middle Age</v>
      </c>
      <c r="E1715">
        <v>3</v>
      </c>
      <c r="F1715" t="str">
        <f>HLOOKUP(E1715, LookUP_Table!$A$6:$D$7, 2, FALSE)</f>
        <v>Graduate</v>
      </c>
      <c r="G1715" t="str">
        <f>IFERROR(VLOOKUP(E1715, LookUP_Table!$A$1:$B$4, 2, FALSE), "")</f>
        <v>Graduate</v>
      </c>
      <c r="H1715">
        <v>1</v>
      </c>
      <c r="I1715">
        <v>30</v>
      </c>
      <c r="J1715" t="str">
        <f t="shared" si="156"/>
        <v>Smoker</v>
      </c>
      <c r="K1715">
        <v>0</v>
      </c>
      <c r="L1715">
        <v>0</v>
      </c>
      <c r="M1715">
        <v>0</v>
      </c>
      <c r="N1715">
        <v>0</v>
      </c>
      <c r="O1715">
        <v>196</v>
      </c>
      <c r="P1715" t="str">
        <f t="shared" si="157"/>
        <v>Normal</v>
      </c>
      <c r="Q1715">
        <v>114</v>
      </c>
      <c r="R1715">
        <v>75</v>
      </c>
      <c r="S1715">
        <v>21.01</v>
      </c>
      <c r="T1715" t="str">
        <f t="shared" si="158"/>
        <v>Normal</v>
      </c>
      <c r="U1715">
        <v>60</v>
      </c>
      <c r="V1715">
        <v>69</v>
      </c>
      <c r="W1715" t="str">
        <f t="shared" si="161"/>
        <v>Normal</v>
      </c>
      <c r="X1715">
        <v>0</v>
      </c>
    </row>
    <row r="1716" spans="1:24" ht="14.5" thickBot="1" x14ac:dyDescent="0.35">
      <c r="A1716">
        <v>1</v>
      </c>
      <c r="B1716" t="str">
        <f t="shared" si="159"/>
        <v>Male</v>
      </c>
      <c r="C1716" s="8">
        <v>46</v>
      </c>
      <c r="D1716" t="str">
        <f t="shared" si="160"/>
        <v>Middle Age</v>
      </c>
      <c r="E1716">
        <v>3</v>
      </c>
      <c r="F1716" t="str">
        <f>HLOOKUP(E1716, LookUP_Table!$A$6:$D$7, 2, FALSE)</f>
        <v>Graduate</v>
      </c>
      <c r="G1716" t="str">
        <f>IFERROR(VLOOKUP(E1716, LookUP_Table!$A$1:$B$4, 2, FALSE), "")</f>
        <v>Graduate</v>
      </c>
      <c r="H1716">
        <v>0</v>
      </c>
      <c r="I1716">
        <v>0</v>
      </c>
      <c r="J1716" t="str">
        <f t="shared" si="156"/>
        <v>Non-Smoker</v>
      </c>
      <c r="K1716">
        <v>0</v>
      </c>
      <c r="L1716">
        <v>0</v>
      </c>
      <c r="M1716">
        <v>0</v>
      </c>
      <c r="N1716">
        <v>0</v>
      </c>
      <c r="O1716">
        <v>297</v>
      </c>
      <c r="P1716" t="str">
        <f t="shared" si="157"/>
        <v>High</v>
      </c>
      <c r="Q1716">
        <v>133</v>
      </c>
      <c r="R1716">
        <v>92</v>
      </c>
      <c r="S1716">
        <v>25.98</v>
      </c>
      <c r="T1716" t="str">
        <f t="shared" si="158"/>
        <v>Overweight</v>
      </c>
      <c r="U1716">
        <v>69</v>
      </c>
      <c r="V1716">
        <v>64</v>
      </c>
      <c r="W1716" t="str">
        <f t="shared" si="161"/>
        <v>Normal</v>
      </c>
      <c r="X1716">
        <v>0</v>
      </c>
    </row>
    <row r="1717" spans="1:24" ht="14.5" thickBot="1" x14ac:dyDescent="0.35">
      <c r="A1717">
        <v>0</v>
      </c>
      <c r="B1717" t="str">
        <f t="shared" si="159"/>
        <v>Female</v>
      </c>
      <c r="C1717" s="8">
        <v>46</v>
      </c>
      <c r="D1717" t="str">
        <f t="shared" si="160"/>
        <v>Middle Age</v>
      </c>
      <c r="E1717">
        <v>1</v>
      </c>
      <c r="F1717" t="str">
        <f>HLOOKUP(E1717, LookUP_Table!$A$6:$D$7, 2, FALSE)</f>
        <v>Primary</v>
      </c>
      <c r="G1717" t="str">
        <f>IFERROR(VLOOKUP(E1717, LookUP_Table!$A$1:$B$4, 2, FALSE), "")</f>
        <v>Primary</v>
      </c>
      <c r="H1717">
        <v>1</v>
      </c>
      <c r="I1717">
        <v>30</v>
      </c>
      <c r="J1717" t="str">
        <f t="shared" si="156"/>
        <v>Smoker</v>
      </c>
      <c r="K1717">
        <v>0</v>
      </c>
      <c r="L1717">
        <v>0</v>
      </c>
      <c r="M1717">
        <v>0</v>
      </c>
      <c r="N1717">
        <v>0</v>
      </c>
      <c r="O1717">
        <v>303</v>
      </c>
      <c r="P1717" t="str">
        <f t="shared" si="157"/>
        <v>High</v>
      </c>
      <c r="Q1717">
        <v>115</v>
      </c>
      <c r="R1717">
        <v>78</v>
      </c>
      <c r="S1717">
        <v>22.5</v>
      </c>
      <c r="T1717" t="str">
        <f t="shared" si="158"/>
        <v>Normal</v>
      </c>
      <c r="U1717">
        <v>70</v>
      </c>
      <c r="V1717">
        <v>67</v>
      </c>
      <c r="W1717" t="str">
        <f t="shared" si="161"/>
        <v>Normal</v>
      </c>
      <c r="X1717">
        <v>0</v>
      </c>
    </row>
    <row r="1718" spans="1:24" ht="14.5" thickBot="1" x14ac:dyDescent="0.35">
      <c r="A1718">
        <v>1</v>
      </c>
      <c r="B1718" t="str">
        <f t="shared" si="159"/>
        <v>Male</v>
      </c>
      <c r="C1718" s="8">
        <v>46</v>
      </c>
      <c r="D1718" t="str">
        <f t="shared" si="160"/>
        <v>Middle Age</v>
      </c>
      <c r="E1718">
        <v>1</v>
      </c>
      <c r="F1718" t="str">
        <f>HLOOKUP(E1718, LookUP_Table!$A$6:$D$7, 2, FALSE)</f>
        <v>Primary</v>
      </c>
      <c r="G1718" t="str">
        <f>IFERROR(VLOOKUP(E1718, LookUP_Table!$A$1:$B$4, 2, FALSE), "")</f>
        <v>Primary</v>
      </c>
      <c r="H1718">
        <v>1</v>
      </c>
      <c r="I1718">
        <v>20</v>
      </c>
      <c r="J1718" t="str">
        <f t="shared" si="156"/>
        <v>Smoker</v>
      </c>
      <c r="K1718">
        <v>0</v>
      </c>
      <c r="L1718">
        <v>0</v>
      </c>
      <c r="M1718">
        <v>0</v>
      </c>
      <c r="N1718">
        <v>0</v>
      </c>
      <c r="O1718">
        <v>182</v>
      </c>
      <c r="P1718" t="str">
        <f t="shared" si="157"/>
        <v>Normal</v>
      </c>
      <c r="Q1718">
        <v>120</v>
      </c>
      <c r="R1718">
        <v>78</v>
      </c>
      <c r="S1718">
        <v>20.23</v>
      </c>
      <c r="T1718" t="str">
        <f t="shared" si="158"/>
        <v>Normal</v>
      </c>
      <c r="U1718">
        <v>75</v>
      </c>
      <c r="V1718">
        <v>85</v>
      </c>
      <c r="W1718" t="str">
        <f t="shared" si="161"/>
        <v>Normal</v>
      </c>
      <c r="X1718">
        <v>0</v>
      </c>
    </row>
    <row r="1719" spans="1:24" ht="14.5" thickBot="1" x14ac:dyDescent="0.35">
      <c r="A1719">
        <v>0</v>
      </c>
      <c r="B1719" t="str">
        <f t="shared" si="159"/>
        <v>Female</v>
      </c>
      <c r="C1719" s="8">
        <v>46</v>
      </c>
      <c r="D1719" t="str">
        <f t="shared" si="160"/>
        <v>Middle Age</v>
      </c>
      <c r="E1719">
        <v>4</v>
      </c>
      <c r="F1719" t="str">
        <f>HLOOKUP(E1719, LookUP_Table!$A$6:$D$7, 2, FALSE)</f>
        <v>Post Graduate</v>
      </c>
      <c r="G1719" t="str">
        <f>IFERROR(VLOOKUP(E1719, LookUP_Table!$A$1:$B$4, 2, FALSE), "")</f>
        <v>Post Graduate</v>
      </c>
      <c r="H1719">
        <v>1</v>
      </c>
      <c r="I1719">
        <v>10</v>
      </c>
      <c r="J1719" t="str">
        <f t="shared" si="156"/>
        <v>Smoker</v>
      </c>
      <c r="K1719">
        <v>0</v>
      </c>
      <c r="L1719">
        <v>0</v>
      </c>
      <c r="M1719">
        <v>0</v>
      </c>
      <c r="N1719">
        <v>0</v>
      </c>
      <c r="O1719">
        <v>229</v>
      </c>
      <c r="P1719" t="str">
        <f t="shared" si="157"/>
        <v>Normal</v>
      </c>
      <c r="Q1719">
        <v>97.5</v>
      </c>
      <c r="R1719">
        <v>72</v>
      </c>
      <c r="S1719">
        <v>18.989999999999998</v>
      </c>
      <c r="T1719" t="str">
        <f t="shared" si="158"/>
        <v>Normal</v>
      </c>
      <c r="U1719">
        <v>80</v>
      </c>
      <c r="V1719">
        <v>81.96365524402907</v>
      </c>
      <c r="W1719" t="str">
        <f t="shared" si="161"/>
        <v>Normal</v>
      </c>
      <c r="X1719">
        <v>1</v>
      </c>
    </row>
    <row r="1720" spans="1:24" ht="14.5" thickBot="1" x14ac:dyDescent="0.35">
      <c r="A1720">
        <v>1</v>
      </c>
      <c r="B1720" t="str">
        <f t="shared" si="159"/>
        <v>Male</v>
      </c>
      <c r="C1720" s="8">
        <v>46</v>
      </c>
      <c r="D1720" t="str">
        <f t="shared" si="160"/>
        <v>Middle Age</v>
      </c>
      <c r="E1720">
        <v>1</v>
      </c>
      <c r="F1720" t="str">
        <f>HLOOKUP(E1720, LookUP_Table!$A$6:$D$7, 2, FALSE)</f>
        <v>Primary</v>
      </c>
      <c r="G1720" t="str">
        <f>IFERROR(VLOOKUP(E1720, LookUP_Table!$A$1:$B$4, 2, FALSE), "")</f>
        <v>Primary</v>
      </c>
      <c r="H1720">
        <v>1</v>
      </c>
      <c r="I1720">
        <v>30</v>
      </c>
      <c r="J1720" t="str">
        <f t="shared" si="156"/>
        <v>Smoker</v>
      </c>
      <c r="K1720">
        <v>0</v>
      </c>
      <c r="L1720">
        <v>0</v>
      </c>
      <c r="M1720">
        <v>1</v>
      </c>
      <c r="N1720">
        <v>0</v>
      </c>
      <c r="O1720">
        <v>187</v>
      </c>
      <c r="P1720" t="str">
        <f t="shared" si="157"/>
        <v>Normal</v>
      </c>
      <c r="Q1720">
        <v>140</v>
      </c>
      <c r="R1720">
        <v>94</v>
      </c>
      <c r="S1720">
        <v>24.3</v>
      </c>
      <c r="T1720" t="str">
        <f t="shared" si="158"/>
        <v>Normal</v>
      </c>
      <c r="U1720">
        <v>100</v>
      </c>
      <c r="V1720">
        <v>67</v>
      </c>
      <c r="W1720" t="str">
        <f t="shared" si="161"/>
        <v>Normal</v>
      </c>
      <c r="X1720">
        <v>1</v>
      </c>
    </row>
    <row r="1721" spans="1:24" ht="14.5" thickBot="1" x14ac:dyDescent="0.35">
      <c r="A1721">
        <v>0</v>
      </c>
      <c r="B1721" t="str">
        <f t="shared" si="159"/>
        <v>Female</v>
      </c>
      <c r="C1721" s="8">
        <v>46</v>
      </c>
      <c r="D1721" t="str">
        <f t="shared" si="160"/>
        <v>Middle Age</v>
      </c>
      <c r="E1721">
        <v>1</v>
      </c>
      <c r="F1721" t="str">
        <f>HLOOKUP(E1721, LookUP_Table!$A$6:$D$7, 2, FALSE)</f>
        <v>Primary</v>
      </c>
      <c r="G1721" t="str">
        <f>IFERROR(VLOOKUP(E1721, LookUP_Table!$A$1:$B$4, 2, FALSE), "")</f>
        <v>Primary</v>
      </c>
      <c r="H1721">
        <v>0</v>
      </c>
      <c r="I1721">
        <v>0</v>
      </c>
      <c r="J1721" t="str">
        <f t="shared" si="156"/>
        <v>Non-Smoker</v>
      </c>
      <c r="K1721">
        <v>0</v>
      </c>
      <c r="L1721">
        <v>0</v>
      </c>
      <c r="M1721">
        <v>1</v>
      </c>
      <c r="N1721">
        <v>0</v>
      </c>
      <c r="O1721">
        <v>313</v>
      </c>
      <c r="P1721" t="str">
        <f t="shared" si="157"/>
        <v>High</v>
      </c>
      <c r="Q1721">
        <v>170</v>
      </c>
      <c r="R1721">
        <v>107</v>
      </c>
      <c r="S1721">
        <v>27.78</v>
      </c>
      <c r="T1721" t="str">
        <f t="shared" si="158"/>
        <v>Overweight</v>
      </c>
      <c r="U1721">
        <v>95</v>
      </c>
      <c r="V1721">
        <v>62</v>
      </c>
      <c r="W1721" t="str">
        <f t="shared" si="161"/>
        <v>Normal</v>
      </c>
      <c r="X1721">
        <v>0</v>
      </c>
    </row>
    <row r="1722" spans="1:24" ht="14.5" thickBot="1" x14ac:dyDescent="0.35">
      <c r="A1722">
        <v>1</v>
      </c>
      <c r="B1722" t="str">
        <f t="shared" si="159"/>
        <v>Male</v>
      </c>
      <c r="C1722" s="8">
        <v>46</v>
      </c>
      <c r="D1722" t="str">
        <f t="shared" si="160"/>
        <v>Middle Age</v>
      </c>
      <c r="E1722">
        <v>1</v>
      </c>
      <c r="F1722" t="str">
        <f>HLOOKUP(E1722, LookUP_Table!$A$6:$D$7, 2, FALSE)</f>
        <v>Primary</v>
      </c>
      <c r="G1722" t="str">
        <f>IFERROR(VLOOKUP(E1722, LookUP_Table!$A$1:$B$4, 2, FALSE), "")</f>
        <v>Primary</v>
      </c>
      <c r="H1722">
        <v>1</v>
      </c>
      <c r="I1722">
        <v>40</v>
      </c>
      <c r="J1722" t="str">
        <f t="shared" si="156"/>
        <v>Smoker</v>
      </c>
      <c r="K1722">
        <v>0</v>
      </c>
      <c r="L1722">
        <v>0</v>
      </c>
      <c r="M1722">
        <v>0</v>
      </c>
      <c r="N1722">
        <v>0</v>
      </c>
      <c r="O1722">
        <v>210</v>
      </c>
      <c r="P1722" t="str">
        <f t="shared" si="157"/>
        <v>Normal</v>
      </c>
      <c r="Q1722">
        <v>154</v>
      </c>
      <c r="R1722">
        <v>91</v>
      </c>
      <c r="S1722">
        <v>26.25</v>
      </c>
      <c r="T1722" t="str">
        <f t="shared" si="158"/>
        <v>Overweight</v>
      </c>
      <c r="U1722">
        <v>88</v>
      </c>
      <c r="V1722">
        <v>82</v>
      </c>
      <c r="W1722" t="str">
        <f t="shared" si="161"/>
        <v>Normal</v>
      </c>
      <c r="X1722">
        <v>0</v>
      </c>
    </row>
    <row r="1723" spans="1:24" ht="14.5" thickBot="1" x14ac:dyDescent="0.35">
      <c r="A1723">
        <v>0</v>
      </c>
      <c r="B1723" t="str">
        <f t="shared" si="159"/>
        <v>Female</v>
      </c>
      <c r="C1723" s="8">
        <v>46</v>
      </c>
      <c r="D1723" t="str">
        <f t="shared" si="160"/>
        <v>Middle Age</v>
      </c>
      <c r="E1723">
        <v>3</v>
      </c>
      <c r="F1723" t="str">
        <f>HLOOKUP(E1723, LookUP_Table!$A$6:$D$7, 2, FALSE)</f>
        <v>Graduate</v>
      </c>
      <c r="G1723" t="str">
        <f>IFERROR(VLOOKUP(E1723, LookUP_Table!$A$1:$B$4, 2, FALSE), "")</f>
        <v>Graduate</v>
      </c>
      <c r="H1723">
        <v>1</v>
      </c>
      <c r="I1723">
        <v>6</v>
      </c>
      <c r="J1723" t="str">
        <f t="shared" si="156"/>
        <v>Smoker</v>
      </c>
      <c r="K1723">
        <v>0</v>
      </c>
      <c r="L1723">
        <v>0</v>
      </c>
      <c r="M1723">
        <v>1</v>
      </c>
      <c r="N1723">
        <v>0</v>
      </c>
      <c r="O1723">
        <v>315</v>
      </c>
      <c r="P1723" t="str">
        <f t="shared" si="157"/>
        <v>High</v>
      </c>
      <c r="Q1723">
        <v>165</v>
      </c>
      <c r="R1723">
        <v>85</v>
      </c>
      <c r="S1723">
        <v>32.89</v>
      </c>
      <c r="T1723" t="str">
        <f t="shared" si="158"/>
        <v>Obese</v>
      </c>
      <c r="U1723">
        <v>110</v>
      </c>
      <c r="V1723">
        <v>91</v>
      </c>
      <c r="W1723" t="str">
        <f t="shared" si="161"/>
        <v>Normal</v>
      </c>
      <c r="X1723">
        <v>0</v>
      </c>
    </row>
    <row r="1724" spans="1:24" ht="14.5" thickBot="1" x14ac:dyDescent="0.35">
      <c r="A1724">
        <v>0</v>
      </c>
      <c r="B1724" t="str">
        <f t="shared" si="159"/>
        <v>Female</v>
      </c>
      <c r="C1724" s="8">
        <v>46</v>
      </c>
      <c r="D1724" t="str">
        <f t="shared" si="160"/>
        <v>Middle Age</v>
      </c>
      <c r="E1724">
        <v>4</v>
      </c>
      <c r="F1724" t="str">
        <f>HLOOKUP(E1724, LookUP_Table!$A$6:$D$7, 2, FALSE)</f>
        <v>Post Graduate</v>
      </c>
      <c r="G1724" t="str">
        <f>IFERROR(VLOOKUP(E1724, LookUP_Table!$A$1:$B$4, 2, FALSE), "")</f>
        <v>Post Graduate</v>
      </c>
      <c r="H1724">
        <v>0</v>
      </c>
      <c r="I1724">
        <v>0</v>
      </c>
      <c r="J1724" t="str">
        <f t="shared" si="156"/>
        <v>Non-Smoker</v>
      </c>
      <c r="K1724">
        <v>0</v>
      </c>
      <c r="L1724">
        <v>0</v>
      </c>
      <c r="M1724">
        <v>0</v>
      </c>
      <c r="N1724">
        <v>0</v>
      </c>
      <c r="O1724">
        <v>255</v>
      </c>
      <c r="P1724" t="str">
        <f t="shared" si="157"/>
        <v>High</v>
      </c>
      <c r="Q1724">
        <v>117</v>
      </c>
      <c r="R1724">
        <v>77</v>
      </c>
      <c r="S1724">
        <v>26.35</v>
      </c>
      <c r="T1724" t="str">
        <f t="shared" si="158"/>
        <v>Overweight</v>
      </c>
      <c r="U1724">
        <v>90</v>
      </c>
      <c r="V1724">
        <v>76</v>
      </c>
      <c r="W1724" t="str">
        <f t="shared" si="161"/>
        <v>Normal</v>
      </c>
      <c r="X1724">
        <v>0</v>
      </c>
    </row>
    <row r="1725" spans="1:24" ht="14.5" thickBot="1" x14ac:dyDescent="0.35">
      <c r="A1725">
        <v>1</v>
      </c>
      <c r="B1725" t="str">
        <f t="shared" si="159"/>
        <v>Male</v>
      </c>
      <c r="C1725" s="8">
        <v>46</v>
      </c>
      <c r="D1725" t="str">
        <f t="shared" si="160"/>
        <v>Middle Age</v>
      </c>
      <c r="E1725">
        <v>1</v>
      </c>
      <c r="F1725" t="str">
        <f>HLOOKUP(E1725, LookUP_Table!$A$6:$D$7, 2, FALSE)</f>
        <v>Primary</v>
      </c>
      <c r="G1725" t="str">
        <f>IFERROR(VLOOKUP(E1725, LookUP_Table!$A$1:$B$4, 2, FALSE), "")</f>
        <v>Primary</v>
      </c>
      <c r="H1725">
        <v>0</v>
      </c>
      <c r="I1725">
        <v>0</v>
      </c>
      <c r="J1725" t="str">
        <f t="shared" si="156"/>
        <v>Non-Smoker</v>
      </c>
      <c r="K1725">
        <v>0</v>
      </c>
      <c r="L1725">
        <v>0</v>
      </c>
      <c r="M1725">
        <v>1</v>
      </c>
      <c r="N1725">
        <v>0</v>
      </c>
      <c r="O1725">
        <v>185</v>
      </c>
      <c r="P1725" t="str">
        <f t="shared" si="157"/>
        <v>Normal</v>
      </c>
      <c r="Q1725">
        <v>121</v>
      </c>
      <c r="R1725">
        <v>85</v>
      </c>
      <c r="S1725">
        <v>31.31</v>
      </c>
      <c r="T1725" t="str">
        <f t="shared" si="158"/>
        <v>Obese</v>
      </c>
      <c r="U1725">
        <v>80</v>
      </c>
      <c r="V1725">
        <v>97</v>
      </c>
      <c r="W1725" t="str">
        <f t="shared" si="161"/>
        <v>Normal</v>
      </c>
      <c r="X1725">
        <v>0</v>
      </c>
    </row>
    <row r="1726" spans="1:24" ht="14.5" thickBot="1" x14ac:dyDescent="0.35">
      <c r="A1726">
        <v>1</v>
      </c>
      <c r="B1726" t="str">
        <f t="shared" si="159"/>
        <v>Male</v>
      </c>
      <c r="C1726" s="8">
        <v>46</v>
      </c>
      <c r="D1726" t="str">
        <f t="shared" si="160"/>
        <v>Middle Age</v>
      </c>
      <c r="E1726">
        <v>1</v>
      </c>
      <c r="F1726" t="str">
        <f>HLOOKUP(E1726, LookUP_Table!$A$6:$D$7, 2, FALSE)</f>
        <v>Primary</v>
      </c>
      <c r="G1726" t="str">
        <f>IFERROR(VLOOKUP(E1726, LookUP_Table!$A$1:$B$4, 2, FALSE), "")</f>
        <v>Primary</v>
      </c>
      <c r="H1726">
        <v>1</v>
      </c>
      <c r="I1726">
        <v>43</v>
      </c>
      <c r="J1726" t="str">
        <f t="shared" si="156"/>
        <v>Smoker</v>
      </c>
      <c r="K1726">
        <v>0</v>
      </c>
      <c r="L1726">
        <v>0</v>
      </c>
      <c r="M1726">
        <v>0</v>
      </c>
      <c r="N1726">
        <v>0</v>
      </c>
      <c r="O1726">
        <v>270</v>
      </c>
      <c r="P1726" t="str">
        <f t="shared" si="157"/>
        <v>High</v>
      </c>
      <c r="Q1726">
        <v>116.5</v>
      </c>
      <c r="R1726">
        <v>87</v>
      </c>
      <c r="S1726">
        <v>28.53</v>
      </c>
      <c r="T1726" t="str">
        <f t="shared" si="158"/>
        <v>Overweight</v>
      </c>
      <c r="U1726">
        <v>75</v>
      </c>
      <c r="V1726">
        <v>71</v>
      </c>
      <c r="W1726" t="str">
        <f t="shared" si="161"/>
        <v>Normal</v>
      </c>
      <c r="X1726">
        <v>0</v>
      </c>
    </row>
    <row r="1727" spans="1:24" ht="14.5" thickBot="1" x14ac:dyDescent="0.35">
      <c r="A1727">
        <v>0</v>
      </c>
      <c r="B1727" t="str">
        <f t="shared" si="159"/>
        <v>Female</v>
      </c>
      <c r="C1727" s="8">
        <v>46</v>
      </c>
      <c r="D1727" t="str">
        <f t="shared" si="160"/>
        <v>Middle Age</v>
      </c>
      <c r="E1727">
        <v>1</v>
      </c>
      <c r="F1727" t="str">
        <f>HLOOKUP(E1727, LookUP_Table!$A$6:$D$7, 2, FALSE)</f>
        <v>Primary</v>
      </c>
      <c r="G1727" t="str">
        <f>IFERROR(VLOOKUP(E1727, LookUP_Table!$A$1:$B$4, 2, FALSE), "")</f>
        <v>Primary</v>
      </c>
      <c r="H1727">
        <v>0</v>
      </c>
      <c r="I1727">
        <v>0</v>
      </c>
      <c r="J1727" t="str">
        <f t="shared" si="156"/>
        <v>Non-Smoker</v>
      </c>
      <c r="K1727">
        <v>0</v>
      </c>
      <c r="L1727">
        <v>0</v>
      </c>
      <c r="M1727">
        <v>0</v>
      </c>
      <c r="N1727">
        <v>0</v>
      </c>
      <c r="O1727">
        <v>193</v>
      </c>
      <c r="P1727" t="str">
        <f t="shared" si="157"/>
        <v>Normal</v>
      </c>
      <c r="Q1727">
        <v>124.5</v>
      </c>
      <c r="R1727">
        <v>72</v>
      </c>
      <c r="S1727">
        <v>26.84</v>
      </c>
      <c r="T1727" t="str">
        <f t="shared" si="158"/>
        <v>Overweight</v>
      </c>
      <c r="U1727">
        <v>75</v>
      </c>
      <c r="V1727">
        <v>80</v>
      </c>
      <c r="W1727" t="str">
        <f t="shared" si="161"/>
        <v>Normal</v>
      </c>
      <c r="X1727">
        <v>0</v>
      </c>
    </row>
    <row r="1728" spans="1:24" ht="14.5" thickBot="1" x14ac:dyDescent="0.35">
      <c r="A1728">
        <v>0</v>
      </c>
      <c r="B1728" t="str">
        <f t="shared" si="159"/>
        <v>Female</v>
      </c>
      <c r="C1728" s="8">
        <v>46</v>
      </c>
      <c r="D1728" t="str">
        <f t="shared" si="160"/>
        <v>Middle Age</v>
      </c>
      <c r="E1728">
        <v>1</v>
      </c>
      <c r="F1728" t="str">
        <f>HLOOKUP(E1728, LookUP_Table!$A$6:$D$7, 2, FALSE)</f>
        <v>Primary</v>
      </c>
      <c r="G1728" t="str">
        <f>IFERROR(VLOOKUP(E1728, LookUP_Table!$A$1:$B$4, 2, FALSE), "")</f>
        <v>Primary</v>
      </c>
      <c r="H1728">
        <v>1</v>
      </c>
      <c r="I1728">
        <v>20</v>
      </c>
      <c r="J1728" t="str">
        <f t="shared" si="156"/>
        <v>Smoker</v>
      </c>
      <c r="K1728">
        <v>0</v>
      </c>
      <c r="L1728">
        <v>0</v>
      </c>
      <c r="M1728">
        <v>0</v>
      </c>
      <c r="N1728">
        <v>0</v>
      </c>
      <c r="O1728">
        <v>250</v>
      </c>
      <c r="P1728" t="str">
        <f t="shared" si="157"/>
        <v>High</v>
      </c>
      <c r="Q1728">
        <v>112.5</v>
      </c>
      <c r="R1728">
        <v>60</v>
      </c>
      <c r="S1728">
        <v>22.72</v>
      </c>
      <c r="T1728" t="str">
        <f t="shared" si="158"/>
        <v>Normal</v>
      </c>
      <c r="U1728">
        <v>82</v>
      </c>
      <c r="V1728">
        <v>74</v>
      </c>
      <c r="W1728" t="str">
        <f t="shared" si="161"/>
        <v>Normal</v>
      </c>
      <c r="X1728">
        <v>0</v>
      </c>
    </row>
    <row r="1729" spans="1:24" ht="14.5" thickBot="1" x14ac:dyDescent="0.35">
      <c r="A1729">
        <v>0</v>
      </c>
      <c r="B1729" t="str">
        <f t="shared" si="159"/>
        <v>Female</v>
      </c>
      <c r="C1729" s="8">
        <v>46</v>
      </c>
      <c r="D1729" t="str">
        <f t="shared" si="160"/>
        <v>Middle Age</v>
      </c>
      <c r="E1729">
        <v>3</v>
      </c>
      <c r="F1729" t="str">
        <f>HLOOKUP(E1729, LookUP_Table!$A$6:$D$7, 2, FALSE)</f>
        <v>Graduate</v>
      </c>
      <c r="G1729" t="str">
        <f>IFERROR(VLOOKUP(E1729, LookUP_Table!$A$1:$B$4, 2, FALSE), "")</f>
        <v>Graduate</v>
      </c>
      <c r="H1729">
        <v>1</v>
      </c>
      <c r="I1729">
        <v>20</v>
      </c>
      <c r="J1729" t="str">
        <f t="shared" si="156"/>
        <v>Smoker</v>
      </c>
      <c r="K1729">
        <v>0</v>
      </c>
      <c r="L1729">
        <v>0</v>
      </c>
      <c r="M1729">
        <v>0</v>
      </c>
      <c r="N1729">
        <v>0</v>
      </c>
      <c r="O1729">
        <v>267</v>
      </c>
      <c r="P1729" t="str">
        <f t="shared" si="157"/>
        <v>High</v>
      </c>
      <c r="Q1729">
        <v>119</v>
      </c>
      <c r="R1729">
        <v>65</v>
      </c>
      <c r="S1729">
        <v>29.15</v>
      </c>
      <c r="T1729" t="str">
        <f t="shared" si="158"/>
        <v>Overweight</v>
      </c>
      <c r="U1729">
        <v>83</v>
      </c>
      <c r="V1729">
        <v>75</v>
      </c>
      <c r="W1729" t="str">
        <f t="shared" si="161"/>
        <v>Normal</v>
      </c>
      <c r="X1729">
        <v>1</v>
      </c>
    </row>
    <row r="1730" spans="1:24" ht="14.5" thickBot="1" x14ac:dyDescent="0.35">
      <c r="A1730">
        <v>0</v>
      </c>
      <c r="B1730" t="str">
        <f t="shared" si="159"/>
        <v>Female</v>
      </c>
      <c r="C1730" s="8">
        <v>46</v>
      </c>
      <c r="D1730" t="str">
        <f t="shared" si="160"/>
        <v>Middle Age</v>
      </c>
      <c r="E1730">
        <v>3</v>
      </c>
      <c r="F1730" t="str">
        <f>HLOOKUP(E1730, LookUP_Table!$A$6:$D$7, 2, FALSE)</f>
        <v>Graduate</v>
      </c>
      <c r="G1730" t="str">
        <f>IFERROR(VLOOKUP(E1730, LookUP_Table!$A$1:$B$4, 2, FALSE), "")</f>
        <v>Graduate</v>
      </c>
      <c r="H1730">
        <v>0</v>
      </c>
      <c r="I1730">
        <v>0</v>
      </c>
      <c r="J1730" t="str">
        <f t="shared" ref="J1730:J1793" si="162">IF(I1730&gt;0,"Smoker","Non-Smoker")</f>
        <v>Non-Smoker</v>
      </c>
      <c r="K1730">
        <v>0</v>
      </c>
      <c r="L1730">
        <v>0</v>
      </c>
      <c r="M1730">
        <v>0</v>
      </c>
      <c r="N1730">
        <v>0</v>
      </c>
      <c r="O1730">
        <v>193</v>
      </c>
      <c r="P1730" t="str">
        <f t="shared" ref="P1730:P1793" si="163">IF(O1730&gt;240,"High","Normal")</f>
        <v>Normal</v>
      </c>
      <c r="Q1730">
        <v>106.5</v>
      </c>
      <c r="R1730">
        <v>70.5</v>
      </c>
      <c r="S1730">
        <v>26.18</v>
      </c>
      <c r="T1730" t="str">
        <f t="shared" ref="T1730:T1793" si="164">IF(S1730&lt;18.5,"Underweight",
IF(S1730&lt;25,"Normal",
IF(S1730&lt;30,"Overweight","Obese")))</f>
        <v>Overweight</v>
      </c>
      <c r="U1730">
        <v>75</v>
      </c>
      <c r="V1730">
        <v>81.96365524402907</v>
      </c>
      <c r="W1730" t="str">
        <f t="shared" si="161"/>
        <v>Normal</v>
      </c>
      <c r="X1730">
        <v>0</v>
      </c>
    </row>
    <row r="1731" spans="1:24" ht="14.5" thickBot="1" x14ac:dyDescent="0.35">
      <c r="A1731">
        <v>1</v>
      </c>
      <c r="B1731" t="str">
        <f t="shared" ref="B1731:B1794" si="165">IF(A1731=0,"Female","Male")</f>
        <v>Male</v>
      </c>
      <c r="C1731" s="8">
        <v>46</v>
      </c>
      <c r="D1731" t="str">
        <f t="shared" ref="D1731:D1794" si="166">IF(C1731&lt;40,"Young",
IF(C1731&lt;55,"Middle Age","Senior"))</f>
        <v>Middle Age</v>
      </c>
      <c r="E1731">
        <v>1</v>
      </c>
      <c r="F1731" t="str">
        <f>HLOOKUP(E1731, LookUP_Table!$A$6:$D$7, 2, FALSE)</f>
        <v>Primary</v>
      </c>
      <c r="G1731" t="str">
        <f>IFERROR(VLOOKUP(E1731, LookUP_Table!$A$1:$B$4, 2, FALSE), "")</f>
        <v>Primary</v>
      </c>
      <c r="H1731">
        <v>1</v>
      </c>
      <c r="I1731">
        <v>20</v>
      </c>
      <c r="J1731" t="str">
        <f t="shared" si="162"/>
        <v>Smoker</v>
      </c>
      <c r="K1731">
        <v>0</v>
      </c>
      <c r="L1731">
        <v>0</v>
      </c>
      <c r="M1731">
        <v>1</v>
      </c>
      <c r="N1731">
        <v>0</v>
      </c>
      <c r="O1731">
        <v>253</v>
      </c>
      <c r="P1731" t="str">
        <f t="shared" si="163"/>
        <v>High</v>
      </c>
      <c r="Q1731">
        <v>159</v>
      </c>
      <c r="R1731">
        <v>100</v>
      </c>
      <c r="S1731">
        <v>27.31</v>
      </c>
      <c r="T1731" t="str">
        <f t="shared" si="164"/>
        <v>Overweight</v>
      </c>
      <c r="U1731">
        <v>64</v>
      </c>
      <c r="V1731">
        <v>70</v>
      </c>
      <c r="W1731" t="str">
        <f t="shared" ref="W1731:W1794" si="167">IF(V1731 &lt; 100, "Normal", IF(V1731 &lt;= 125, "Prediabetes", "Diabetes"))</f>
        <v>Normal</v>
      </c>
      <c r="X1731">
        <v>0</v>
      </c>
    </row>
    <row r="1732" spans="1:24" ht="14.5" thickBot="1" x14ac:dyDescent="0.35">
      <c r="A1732">
        <v>1</v>
      </c>
      <c r="B1732" t="str">
        <f t="shared" si="165"/>
        <v>Male</v>
      </c>
      <c r="C1732" s="8">
        <v>46</v>
      </c>
      <c r="D1732" t="str">
        <f t="shared" si="166"/>
        <v>Middle Age</v>
      </c>
      <c r="E1732">
        <v>2</v>
      </c>
      <c r="F1732" t="str">
        <f>HLOOKUP(E1732, LookUP_Table!$A$6:$D$7, 2, FALSE)</f>
        <v>Secondary</v>
      </c>
      <c r="G1732" t="str">
        <f>IFERROR(VLOOKUP(E1732, LookUP_Table!$A$1:$B$4, 2, FALSE), "")</f>
        <v>Secondary</v>
      </c>
      <c r="H1732">
        <v>1</v>
      </c>
      <c r="I1732">
        <v>20</v>
      </c>
      <c r="J1732" t="str">
        <f t="shared" si="162"/>
        <v>Smoker</v>
      </c>
      <c r="K1732">
        <v>0</v>
      </c>
      <c r="L1732">
        <v>0</v>
      </c>
      <c r="M1732">
        <v>0</v>
      </c>
      <c r="N1732">
        <v>0</v>
      </c>
      <c r="O1732">
        <v>179</v>
      </c>
      <c r="P1732" t="str">
        <f t="shared" si="163"/>
        <v>Normal</v>
      </c>
      <c r="Q1732">
        <v>111</v>
      </c>
      <c r="R1732">
        <v>80</v>
      </c>
      <c r="S1732">
        <v>20.87</v>
      </c>
      <c r="T1732" t="str">
        <f t="shared" si="164"/>
        <v>Normal</v>
      </c>
      <c r="U1732">
        <v>72</v>
      </c>
      <c r="V1732">
        <v>76</v>
      </c>
      <c r="W1732" t="str">
        <f t="shared" si="167"/>
        <v>Normal</v>
      </c>
      <c r="X1732">
        <v>0</v>
      </c>
    </row>
    <row r="1733" spans="1:24" ht="14.5" thickBot="1" x14ac:dyDescent="0.35">
      <c r="A1733">
        <v>1</v>
      </c>
      <c r="B1733" t="str">
        <f t="shared" si="165"/>
        <v>Male</v>
      </c>
      <c r="C1733" s="8">
        <v>46</v>
      </c>
      <c r="D1733" t="str">
        <f t="shared" si="166"/>
        <v>Middle Age</v>
      </c>
      <c r="E1733">
        <v>2</v>
      </c>
      <c r="F1733" t="str">
        <f>HLOOKUP(E1733, LookUP_Table!$A$6:$D$7, 2, FALSE)</f>
        <v>Secondary</v>
      </c>
      <c r="G1733" t="str">
        <f>IFERROR(VLOOKUP(E1733, LookUP_Table!$A$1:$B$4, 2, FALSE), "")</f>
        <v>Secondary</v>
      </c>
      <c r="H1733">
        <v>1</v>
      </c>
      <c r="I1733">
        <v>30</v>
      </c>
      <c r="J1733" t="str">
        <f t="shared" si="162"/>
        <v>Smoker</v>
      </c>
      <c r="K1733">
        <v>0</v>
      </c>
      <c r="L1733">
        <v>0</v>
      </c>
      <c r="M1733">
        <v>0</v>
      </c>
      <c r="N1733">
        <v>0</v>
      </c>
      <c r="O1733">
        <v>250</v>
      </c>
      <c r="P1733" t="str">
        <f t="shared" si="163"/>
        <v>High</v>
      </c>
      <c r="Q1733">
        <v>123</v>
      </c>
      <c r="R1733">
        <v>76</v>
      </c>
      <c r="S1733">
        <v>21.66</v>
      </c>
      <c r="T1733" t="str">
        <f t="shared" si="164"/>
        <v>Normal</v>
      </c>
      <c r="U1733">
        <v>55</v>
      </c>
      <c r="V1733">
        <v>78</v>
      </c>
      <c r="W1733" t="str">
        <f t="shared" si="167"/>
        <v>Normal</v>
      </c>
      <c r="X1733">
        <v>0</v>
      </c>
    </row>
    <row r="1734" spans="1:24" ht="14.5" thickBot="1" x14ac:dyDescent="0.35">
      <c r="A1734">
        <v>0</v>
      </c>
      <c r="B1734" t="str">
        <f t="shared" si="165"/>
        <v>Female</v>
      </c>
      <c r="C1734" s="8">
        <v>46</v>
      </c>
      <c r="D1734" t="str">
        <f t="shared" si="166"/>
        <v>Middle Age</v>
      </c>
      <c r="E1734">
        <v>2</v>
      </c>
      <c r="F1734" t="str">
        <f>HLOOKUP(E1734, LookUP_Table!$A$6:$D$7, 2, FALSE)</f>
        <v>Secondary</v>
      </c>
      <c r="G1734" t="str">
        <f>IFERROR(VLOOKUP(E1734, LookUP_Table!$A$1:$B$4, 2, FALSE), "")</f>
        <v>Secondary</v>
      </c>
      <c r="H1734">
        <v>0</v>
      </c>
      <c r="I1734">
        <v>0</v>
      </c>
      <c r="J1734" t="str">
        <f t="shared" si="162"/>
        <v>Non-Smoker</v>
      </c>
      <c r="K1734">
        <v>0</v>
      </c>
      <c r="L1734">
        <v>0</v>
      </c>
      <c r="M1734">
        <v>0</v>
      </c>
      <c r="N1734">
        <v>0</v>
      </c>
      <c r="O1734">
        <v>221</v>
      </c>
      <c r="P1734" t="str">
        <f t="shared" si="163"/>
        <v>Normal</v>
      </c>
      <c r="Q1734">
        <v>108</v>
      </c>
      <c r="R1734">
        <v>73</v>
      </c>
      <c r="S1734">
        <v>20.059999999999999</v>
      </c>
      <c r="T1734" t="str">
        <f t="shared" si="164"/>
        <v>Normal</v>
      </c>
      <c r="U1734">
        <v>73</v>
      </c>
      <c r="V1734">
        <v>85</v>
      </c>
      <c r="W1734" t="str">
        <f t="shared" si="167"/>
        <v>Normal</v>
      </c>
      <c r="X1734">
        <v>0</v>
      </c>
    </row>
    <row r="1735" spans="1:24" ht="14.5" thickBot="1" x14ac:dyDescent="0.35">
      <c r="A1735">
        <v>0</v>
      </c>
      <c r="B1735" t="str">
        <f t="shared" si="165"/>
        <v>Female</v>
      </c>
      <c r="C1735" s="8">
        <v>46</v>
      </c>
      <c r="D1735" t="str">
        <f t="shared" si="166"/>
        <v>Middle Age</v>
      </c>
      <c r="E1735">
        <v>1</v>
      </c>
      <c r="F1735" t="str">
        <f>HLOOKUP(E1735, LookUP_Table!$A$6:$D$7, 2, FALSE)</f>
        <v>Primary</v>
      </c>
      <c r="G1735" t="str">
        <f>IFERROR(VLOOKUP(E1735, LookUP_Table!$A$1:$B$4, 2, FALSE), "")</f>
        <v>Primary</v>
      </c>
      <c r="H1735">
        <v>0</v>
      </c>
      <c r="I1735">
        <v>0</v>
      </c>
      <c r="J1735" t="str">
        <f t="shared" si="162"/>
        <v>Non-Smoker</v>
      </c>
      <c r="K1735">
        <v>0</v>
      </c>
      <c r="L1735">
        <v>0</v>
      </c>
      <c r="M1735">
        <v>0</v>
      </c>
      <c r="N1735">
        <v>0</v>
      </c>
      <c r="O1735">
        <v>217</v>
      </c>
      <c r="P1735" t="str">
        <f t="shared" si="163"/>
        <v>Normal</v>
      </c>
      <c r="Q1735">
        <v>131.5</v>
      </c>
      <c r="R1735">
        <v>77</v>
      </c>
      <c r="S1735">
        <v>20.25</v>
      </c>
      <c r="T1735" t="str">
        <f t="shared" si="164"/>
        <v>Normal</v>
      </c>
      <c r="U1735">
        <v>65</v>
      </c>
      <c r="V1735">
        <v>76</v>
      </c>
      <c r="W1735" t="str">
        <f t="shared" si="167"/>
        <v>Normal</v>
      </c>
      <c r="X1735">
        <v>0</v>
      </c>
    </row>
    <row r="1736" spans="1:24" ht="14.5" thickBot="1" x14ac:dyDescent="0.35">
      <c r="A1736">
        <v>0</v>
      </c>
      <c r="B1736" t="str">
        <f t="shared" si="165"/>
        <v>Female</v>
      </c>
      <c r="C1736" s="8">
        <v>46</v>
      </c>
      <c r="D1736" t="str">
        <f t="shared" si="166"/>
        <v>Middle Age</v>
      </c>
      <c r="E1736">
        <v>2</v>
      </c>
      <c r="F1736" t="str">
        <f>HLOOKUP(E1736, LookUP_Table!$A$6:$D$7, 2, FALSE)</f>
        <v>Secondary</v>
      </c>
      <c r="G1736" t="str">
        <f>IFERROR(VLOOKUP(E1736, LookUP_Table!$A$1:$B$4, 2, FALSE), "")</f>
        <v>Secondary</v>
      </c>
      <c r="H1736">
        <v>1</v>
      </c>
      <c r="I1736">
        <v>20</v>
      </c>
      <c r="J1736" t="str">
        <f t="shared" si="162"/>
        <v>Smoker</v>
      </c>
      <c r="K1736">
        <v>0</v>
      </c>
      <c r="L1736">
        <v>0</v>
      </c>
      <c r="M1736">
        <v>0</v>
      </c>
      <c r="N1736">
        <v>0</v>
      </c>
      <c r="O1736">
        <v>275</v>
      </c>
      <c r="P1736" t="str">
        <f t="shared" si="163"/>
        <v>High</v>
      </c>
      <c r="Q1736">
        <v>126</v>
      </c>
      <c r="R1736">
        <v>71</v>
      </c>
      <c r="S1736">
        <v>24.91</v>
      </c>
      <c r="T1736" t="str">
        <f t="shared" si="164"/>
        <v>Normal</v>
      </c>
      <c r="U1736">
        <v>80</v>
      </c>
      <c r="V1736">
        <v>71</v>
      </c>
      <c r="W1736" t="str">
        <f t="shared" si="167"/>
        <v>Normal</v>
      </c>
      <c r="X1736">
        <v>0</v>
      </c>
    </row>
    <row r="1737" spans="1:24" ht="14.5" thickBot="1" x14ac:dyDescent="0.35">
      <c r="A1737">
        <v>0</v>
      </c>
      <c r="B1737" t="str">
        <f t="shared" si="165"/>
        <v>Female</v>
      </c>
      <c r="C1737" s="8">
        <v>46</v>
      </c>
      <c r="D1737" t="str">
        <f t="shared" si="166"/>
        <v>Middle Age</v>
      </c>
      <c r="E1737">
        <v>1</v>
      </c>
      <c r="F1737" t="str">
        <f>HLOOKUP(E1737, LookUP_Table!$A$6:$D$7, 2, FALSE)</f>
        <v>Primary</v>
      </c>
      <c r="G1737" t="str">
        <f>IFERROR(VLOOKUP(E1737, LookUP_Table!$A$1:$B$4, 2, FALSE), "")</f>
        <v>Primary</v>
      </c>
      <c r="H1737">
        <v>1</v>
      </c>
      <c r="I1737">
        <v>43</v>
      </c>
      <c r="J1737" t="str">
        <f t="shared" si="162"/>
        <v>Smoker</v>
      </c>
      <c r="K1737">
        <v>0</v>
      </c>
      <c r="L1737">
        <v>0</v>
      </c>
      <c r="M1737">
        <v>0</v>
      </c>
      <c r="N1737">
        <v>0</v>
      </c>
      <c r="O1737">
        <v>262</v>
      </c>
      <c r="P1737" t="str">
        <f t="shared" si="163"/>
        <v>High</v>
      </c>
      <c r="Q1737">
        <v>121</v>
      </c>
      <c r="R1737">
        <v>78</v>
      </c>
      <c r="S1737">
        <v>24.24</v>
      </c>
      <c r="T1737" t="str">
        <f t="shared" si="164"/>
        <v>Normal</v>
      </c>
      <c r="U1737">
        <v>75</v>
      </c>
      <c r="V1737">
        <v>72</v>
      </c>
      <c r="W1737" t="str">
        <f t="shared" si="167"/>
        <v>Normal</v>
      </c>
      <c r="X1737">
        <v>0</v>
      </c>
    </row>
    <row r="1738" spans="1:24" ht="14.5" thickBot="1" x14ac:dyDescent="0.35">
      <c r="A1738">
        <v>1</v>
      </c>
      <c r="B1738" t="str">
        <f t="shared" si="165"/>
        <v>Male</v>
      </c>
      <c r="C1738" s="8">
        <v>46</v>
      </c>
      <c r="D1738" t="str">
        <f t="shared" si="166"/>
        <v>Middle Age</v>
      </c>
      <c r="E1738">
        <v>1</v>
      </c>
      <c r="F1738" t="str">
        <f>HLOOKUP(E1738, LookUP_Table!$A$6:$D$7, 2, FALSE)</f>
        <v>Primary</v>
      </c>
      <c r="G1738" t="str">
        <f>IFERROR(VLOOKUP(E1738, LookUP_Table!$A$1:$B$4, 2, FALSE), "")</f>
        <v>Primary</v>
      </c>
      <c r="H1738">
        <v>1</v>
      </c>
      <c r="I1738">
        <v>30</v>
      </c>
      <c r="J1738" t="str">
        <f t="shared" si="162"/>
        <v>Smoker</v>
      </c>
      <c r="K1738">
        <v>0</v>
      </c>
      <c r="L1738">
        <v>0</v>
      </c>
      <c r="M1738">
        <v>0</v>
      </c>
      <c r="N1738">
        <v>1</v>
      </c>
      <c r="O1738">
        <v>217</v>
      </c>
      <c r="P1738" t="str">
        <f t="shared" si="163"/>
        <v>Normal</v>
      </c>
      <c r="Q1738">
        <v>115</v>
      </c>
      <c r="R1738">
        <v>72</v>
      </c>
      <c r="S1738">
        <v>21.34</v>
      </c>
      <c r="T1738" t="str">
        <f t="shared" si="164"/>
        <v>Normal</v>
      </c>
      <c r="U1738">
        <v>90</v>
      </c>
      <c r="V1738">
        <v>73</v>
      </c>
      <c r="W1738" t="str">
        <f t="shared" si="167"/>
        <v>Normal</v>
      </c>
      <c r="X1738">
        <v>0</v>
      </c>
    </row>
    <row r="1739" spans="1:24" ht="14.5" thickBot="1" x14ac:dyDescent="0.35">
      <c r="A1739">
        <v>0</v>
      </c>
      <c r="B1739" t="str">
        <f t="shared" si="165"/>
        <v>Female</v>
      </c>
      <c r="C1739" s="8">
        <v>46</v>
      </c>
      <c r="D1739" t="str">
        <f t="shared" si="166"/>
        <v>Middle Age</v>
      </c>
      <c r="E1739">
        <v>1</v>
      </c>
      <c r="F1739" t="str">
        <f>HLOOKUP(E1739, LookUP_Table!$A$6:$D$7, 2, FALSE)</f>
        <v>Primary</v>
      </c>
      <c r="G1739" t="str">
        <f>IFERROR(VLOOKUP(E1739, LookUP_Table!$A$1:$B$4, 2, FALSE), "")</f>
        <v>Primary</v>
      </c>
      <c r="H1739">
        <v>1</v>
      </c>
      <c r="I1739">
        <v>7</v>
      </c>
      <c r="J1739" t="str">
        <f t="shared" si="162"/>
        <v>Smoker</v>
      </c>
      <c r="K1739">
        <v>1</v>
      </c>
      <c r="L1739">
        <v>0</v>
      </c>
      <c r="M1739">
        <v>1</v>
      </c>
      <c r="N1739">
        <v>0</v>
      </c>
      <c r="O1739">
        <v>280</v>
      </c>
      <c r="P1739" t="str">
        <f t="shared" si="163"/>
        <v>High</v>
      </c>
      <c r="Q1739">
        <v>202</v>
      </c>
      <c r="R1739">
        <v>124</v>
      </c>
      <c r="S1739">
        <v>28.06</v>
      </c>
      <c r="T1739" t="str">
        <f t="shared" si="164"/>
        <v>Overweight</v>
      </c>
      <c r="U1739">
        <v>66</v>
      </c>
      <c r="V1739">
        <v>63</v>
      </c>
      <c r="W1739" t="str">
        <f t="shared" si="167"/>
        <v>Normal</v>
      </c>
      <c r="X1739">
        <v>1</v>
      </c>
    </row>
    <row r="1740" spans="1:24" ht="14.5" thickBot="1" x14ac:dyDescent="0.35">
      <c r="A1740">
        <v>0</v>
      </c>
      <c r="B1740" t="str">
        <f t="shared" si="165"/>
        <v>Female</v>
      </c>
      <c r="C1740" s="8">
        <v>46</v>
      </c>
      <c r="D1740" t="str">
        <f t="shared" si="166"/>
        <v>Middle Age</v>
      </c>
      <c r="E1740">
        <v>1</v>
      </c>
      <c r="F1740" t="str">
        <f>HLOOKUP(E1740, LookUP_Table!$A$6:$D$7, 2, FALSE)</f>
        <v>Primary</v>
      </c>
      <c r="G1740" t="str">
        <f>IFERROR(VLOOKUP(E1740, LookUP_Table!$A$1:$B$4, 2, FALSE), "")</f>
        <v>Primary</v>
      </c>
      <c r="H1740">
        <v>1</v>
      </c>
      <c r="I1740">
        <v>15</v>
      </c>
      <c r="J1740" t="str">
        <f t="shared" si="162"/>
        <v>Smoker</v>
      </c>
      <c r="K1740">
        <v>0</v>
      </c>
      <c r="L1740">
        <v>0</v>
      </c>
      <c r="M1740">
        <v>0</v>
      </c>
      <c r="N1740">
        <v>0</v>
      </c>
      <c r="O1740">
        <v>210</v>
      </c>
      <c r="P1740" t="str">
        <f t="shared" si="163"/>
        <v>Normal</v>
      </c>
      <c r="Q1740">
        <v>117</v>
      </c>
      <c r="R1740">
        <v>78.5</v>
      </c>
      <c r="S1740">
        <v>22.54</v>
      </c>
      <c r="T1740" t="str">
        <f t="shared" si="164"/>
        <v>Normal</v>
      </c>
      <c r="U1740">
        <v>72</v>
      </c>
      <c r="V1740">
        <v>115</v>
      </c>
      <c r="W1740" t="str">
        <f t="shared" si="167"/>
        <v>Prediabetes</v>
      </c>
      <c r="X1740">
        <v>0</v>
      </c>
    </row>
    <row r="1741" spans="1:24" ht="14.5" thickBot="1" x14ac:dyDescent="0.35">
      <c r="A1741">
        <v>0</v>
      </c>
      <c r="B1741" t="str">
        <f t="shared" si="165"/>
        <v>Female</v>
      </c>
      <c r="C1741" s="8">
        <v>46</v>
      </c>
      <c r="D1741" t="str">
        <f t="shared" si="166"/>
        <v>Middle Age</v>
      </c>
      <c r="E1741">
        <v>3</v>
      </c>
      <c r="F1741" t="str">
        <f>HLOOKUP(E1741, LookUP_Table!$A$6:$D$7, 2, FALSE)</f>
        <v>Graduate</v>
      </c>
      <c r="G1741" t="str">
        <f>IFERROR(VLOOKUP(E1741, LookUP_Table!$A$1:$B$4, 2, FALSE), "")</f>
        <v>Graduate</v>
      </c>
      <c r="H1741">
        <v>1</v>
      </c>
      <c r="I1741">
        <v>25</v>
      </c>
      <c r="J1741" t="str">
        <f t="shared" si="162"/>
        <v>Smoker</v>
      </c>
      <c r="K1741">
        <v>0</v>
      </c>
      <c r="L1741">
        <v>0</v>
      </c>
      <c r="M1741">
        <v>0</v>
      </c>
      <c r="N1741">
        <v>0</v>
      </c>
      <c r="O1741">
        <v>165</v>
      </c>
      <c r="P1741" t="str">
        <f t="shared" si="163"/>
        <v>Normal</v>
      </c>
      <c r="Q1741">
        <v>99.5</v>
      </c>
      <c r="R1741">
        <v>66</v>
      </c>
      <c r="S1741">
        <v>21.67</v>
      </c>
      <c r="T1741" t="str">
        <f t="shared" si="164"/>
        <v>Normal</v>
      </c>
      <c r="U1741">
        <v>72</v>
      </c>
      <c r="V1741">
        <v>66</v>
      </c>
      <c r="W1741" t="str">
        <f t="shared" si="167"/>
        <v>Normal</v>
      </c>
      <c r="X1741">
        <v>0</v>
      </c>
    </row>
    <row r="1742" spans="1:24" ht="14.5" thickBot="1" x14ac:dyDescent="0.35">
      <c r="A1742">
        <v>0</v>
      </c>
      <c r="B1742" t="str">
        <f t="shared" si="165"/>
        <v>Female</v>
      </c>
      <c r="C1742" s="8">
        <v>46</v>
      </c>
      <c r="D1742" t="str">
        <f t="shared" si="166"/>
        <v>Middle Age</v>
      </c>
      <c r="E1742">
        <v>1</v>
      </c>
      <c r="F1742" t="str">
        <f>HLOOKUP(E1742, LookUP_Table!$A$6:$D$7, 2, FALSE)</f>
        <v>Primary</v>
      </c>
      <c r="G1742" t="str">
        <f>IFERROR(VLOOKUP(E1742, LookUP_Table!$A$1:$B$4, 2, FALSE), "")</f>
        <v>Primary</v>
      </c>
      <c r="H1742">
        <v>1</v>
      </c>
      <c r="I1742">
        <v>3</v>
      </c>
      <c r="J1742" t="str">
        <f t="shared" si="162"/>
        <v>Smoker</v>
      </c>
      <c r="K1742">
        <v>0</v>
      </c>
      <c r="L1742">
        <v>0</v>
      </c>
      <c r="M1742">
        <v>0</v>
      </c>
      <c r="N1742">
        <v>0</v>
      </c>
      <c r="O1742">
        <v>193</v>
      </c>
      <c r="P1742" t="str">
        <f t="shared" si="163"/>
        <v>Normal</v>
      </c>
      <c r="Q1742">
        <v>118</v>
      </c>
      <c r="R1742">
        <v>92</v>
      </c>
      <c r="S1742">
        <v>21.14</v>
      </c>
      <c r="T1742" t="str">
        <f t="shared" si="164"/>
        <v>Normal</v>
      </c>
      <c r="U1742">
        <v>75</v>
      </c>
      <c r="V1742">
        <v>78</v>
      </c>
      <c r="W1742" t="str">
        <f t="shared" si="167"/>
        <v>Normal</v>
      </c>
      <c r="X1742">
        <v>0</v>
      </c>
    </row>
    <row r="1743" spans="1:24" ht="14.5" thickBot="1" x14ac:dyDescent="0.35">
      <c r="A1743">
        <v>0</v>
      </c>
      <c r="B1743" t="str">
        <f t="shared" si="165"/>
        <v>Female</v>
      </c>
      <c r="C1743" s="8">
        <v>46</v>
      </c>
      <c r="D1743" t="str">
        <f t="shared" si="166"/>
        <v>Middle Age</v>
      </c>
      <c r="E1743">
        <v>2</v>
      </c>
      <c r="F1743" t="str">
        <f>HLOOKUP(E1743, LookUP_Table!$A$6:$D$7, 2, FALSE)</f>
        <v>Secondary</v>
      </c>
      <c r="G1743" t="str">
        <f>IFERROR(VLOOKUP(E1743, LookUP_Table!$A$1:$B$4, 2, FALSE), "")</f>
        <v>Secondary</v>
      </c>
      <c r="H1743">
        <v>1</v>
      </c>
      <c r="I1743">
        <v>15</v>
      </c>
      <c r="J1743" t="str">
        <f t="shared" si="162"/>
        <v>Smoker</v>
      </c>
      <c r="K1743">
        <v>0</v>
      </c>
      <c r="L1743">
        <v>0</v>
      </c>
      <c r="M1743">
        <v>1</v>
      </c>
      <c r="N1743">
        <v>0</v>
      </c>
      <c r="O1743">
        <v>207</v>
      </c>
      <c r="P1743" t="str">
        <f t="shared" si="163"/>
        <v>Normal</v>
      </c>
      <c r="Q1743">
        <v>144</v>
      </c>
      <c r="R1743">
        <v>88</v>
      </c>
      <c r="S1743">
        <v>23.65</v>
      </c>
      <c r="T1743" t="str">
        <f t="shared" si="164"/>
        <v>Normal</v>
      </c>
      <c r="U1743">
        <v>85</v>
      </c>
      <c r="V1743">
        <v>86</v>
      </c>
      <c r="W1743" t="str">
        <f t="shared" si="167"/>
        <v>Normal</v>
      </c>
      <c r="X1743">
        <v>0</v>
      </c>
    </row>
    <row r="1744" spans="1:24" ht="14.5" thickBot="1" x14ac:dyDescent="0.35">
      <c r="A1744">
        <v>0</v>
      </c>
      <c r="B1744" t="str">
        <f t="shared" si="165"/>
        <v>Female</v>
      </c>
      <c r="C1744" s="8">
        <v>46</v>
      </c>
      <c r="D1744" t="str">
        <f t="shared" si="166"/>
        <v>Middle Age</v>
      </c>
      <c r="E1744">
        <v>3</v>
      </c>
      <c r="F1744" t="str">
        <f>HLOOKUP(E1744, LookUP_Table!$A$6:$D$7, 2, FALSE)</f>
        <v>Graduate</v>
      </c>
      <c r="G1744" t="str">
        <f>IFERROR(VLOOKUP(E1744, LookUP_Table!$A$1:$B$4, 2, FALSE), "")</f>
        <v>Graduate</v>
      </c>
      <c r="H1744">
        <v>1</v>
      </c>
      <c r="I1744">
        <v>20</v>
      </c>
      <c r="J1744" t="str">
        <f t="shared" si="162"/>
        <v>Smoker</v>
      </c>
      <c r="K1744">
        <v>0</v>
      </c>
      <c r="L1744">
        <v>0</v>
      </c>
      <c r="M1744">
        <v>0</v>
      </c>
      <c r="N1744">
        <v>0</v>
      </c>
      <c r="O1744">
        <v>200</v>
      </c>
      <c r="P1744" t="str">
        <f t="shared" si="163"/>
        <v>Normal</v>
      </c>
      <c r="Q1744">
        <v>112.5</v>
      </c>
      <c r="R1744">
        <v>71</v>
      </c>
      <c r="S1744">
        <v>18.68</v>
      </c>
      <c r="T1744" t="str">
        <f t="shared" si="164"/>
        <v>Normal</v>
      </c>
      <c r="U1744">
        <v>80</v>
      </c>
      <c r="V1744">
        <v>77</v>
      </c>
      <c r="W1744" t="str">
        <f t="shared" si="167"/>
        <v>Normal</v>
      </c>
      <c r="X1744">
        <v>0</v>
      </c>
    </row>
    <row r="1745" spans="1:24" ht="14.5" thickBot="1" x14ac:dyDescent="0.35">
      <c r="A1745">
        <v>0</v>
      </c>
      <c r="B1745" t="str">
        <f t="shared" si="165"/>
        <v>Female</v>
      </c>
      <c r="C1745" s="8">
        <v>46</v>
      </c>
      <c r="D1745" t="str">
        <f t="shared" si="166"/>
        <v>Middle Age</v>
      </c>
      <c r="E1745">
        <v>1</v>
      </c>
      <c r="F1745" t="str">
        <f>HLOOKUP(E1745, LookUP_Table!$A$6:$D$7, 2, FALSE)</f>
        <v>Primary</v>
      </c>
      <c r="G1745" t="str">
        <f>IFERROR(VLOOKUP(E1745, LookUP_Table!$A$1:$B$4, 2, FALSE), "")</f>
        <v>Primary</v>
      </c>
      <c r="H1745">
        <v>1</v>
      </c>
      <c r="I1745">
        <v>20</v>
      </c>
      <c r="J1745" t="str">
        <f t="shared" si="162"/>
        <v>Smoker</v>
      </c>
      <c r="K1745">
        <v>0</v>
      </c>
      <c r="L1745">
        <v>0</v>
      </c>
      <c r="M1745">
        <v>1</v>
      </c>
      <c r="N1745">
        <v>0</v>
      </c>
      <c r="O1745">
        <v>275</v>
      </c>
      <c r="P1745" t="str">
        <f t="shared" si="163"/>
        <v>High</v>
      </c>
      <c r="Q1745">
        <v>170</v>
      </c>
      <c r="R1745">
        <v>118</v>
      </c>
      <c r="S1745">
        <v>36.119999999999997</v>
      </c>
      <c r="T1745" t="str">
        <f t="shared" si="164"/>
        <v>Obese</v>
      </c>
      <c r="U1745">
        <v>82</v>
      </c>
      <c r="V1745">
        <v>84</v>
      </c>
      <c r="W1745" t="str">
        <f t="shared" si="167"/>
        <v>Normal</v>
      </c>
      <c r="X1745">
        <v>0</v>
      </c>
    </row>
    <row r="1746" spans="1:24" ht="14.5" thickBot="1" x14ac:dyDescent="0.35">
      <c r="A1746">
        <v>1</v>
      </c>
      <c r="B1746" t="str">
        <f t="shared" si="165"/>
        <v>Male</v>
      </c>
      <c r="C1746" s="8">
        <v>46</v>
      </c>
      <c r="D1746" t="str">
        <f t="shared" si="166"/>
        <v>Middle Age</v>
      </c>
      <c r="E1746">
        <v>3</v>
      </c>
      <c r="F1746" t="str">
        <f>HLOOKUP(E1746, LookUP_Table!$A$6:$D$7, 2, FALSE)</f>
        <v>Graduate</v>
      </c>
      <c r="G1746" t="str">
        <f>IFERROR(VLOOKUP(E1746, LookUP_Table!$A$1:$B$4, 2, FALSE), "")</f>
        <v>Graduate</v>
      </c>
      <c r="H1746">
        <v>1</v>
      </c>
      <c r="I1746">
        <v>30</v>
      </c>
      <c r="J1746" t="str">
        <f t="shared" si="162"/>
        <v>Smoker</v>
      </c>
      <c r="K1746">
        <v>0</v>
      </c>
      <c r="L1746">
        <v>0</v>
      </c>
      <c r="M1746">
        <v>1</v>
      </c>
      <c r="N1746">
        <v>0</v>
      </c>
      <c r="O1746">
        <v>154</v>
      </c>
      <c r="P1746" t="str">
        <f t="shared" si="163"/>
        <v>Normal</v>
      </c>
      <c r="Q1746">
        <v>141</v>
      </c>
      <c r="R1746">
        <v>90</v>
      </c>
      <c r="S1746">
        <v>22.76</v>
      </c>
      <c r="T1746" t="str">
        <f t="shared" si="164"/>
        <v>Normal</v>
      </c>
      <c r="U1746">
        <v>65</v>
      </c>
      <c r="V1746">
        <v>65</v>
      </c>
      <c r="W1746" t="str">
        <f t="shared" si="167"/>
        <v>Normal</v>
      </c>
      <c r="X1746">
        <v>0</v>
      </c>
    </row>
    <row r="1747" spans="1:24" ht="14.5" thickBot="1" x14ac:dyDescent="0.35">
      <c r="A1747">
        <v>0</v>
      </c>
      <c r="B1747" t="str">
        <f t="shared" si="165"/>
        <v>Female</v>
      </c>
      <c r="C1747" s="8">
        <v>46</v>
      </c>
      <c r="D1747" t="str">
        <f t="shared" si="166"/>
        <v>Middle Age</v>
      </c>
      <c r="E1747">
        <v>1</v>
      </c>
      <c r="F1747" t="str">
        <f>HLOOKUP(E1747, LookUP_Table!$A$6:$D$7, 2, FALSE)</f>
        <v>Primary</v>
      </c>
      <c r="G1747" t="str">
        <f>IFERROR(VLOOKUP(E1747, LookUP_Table!$A$1:$B$4, 2, FALSE), "")</f>
        <v>Primary</v>
      </c>
      <c r="H1747">
        <v>0</v>
      </c>
      <c r="I1747">
        <v>0</v>
      </c>
      <c r="J1747" t="str">
        <f t="shared" si="162"/>
        <v>Non-Smoker</v>
      </c>
      <c r="K1747">
        <v>0</v>
      </c>
      <c r="L1747">
        <v>0</v>
      </c>
      <c r="M1747">
        <v>1</v>
      </c>
      <c r="N1747">
        <v>0</v>
      </c>
      <c r="O1747">
        <v>212</v>
      </c>
      <c r="P1747" t="str">
        <f t="shared" si="163"/>
        <v>Normal</v>
      </c>
      <c r="Q1747">
        <v>148</v>
      </c>
      <c r="R1747">
        <v>91.5</v>
      </c>
      <c r="S1747">
        <v>26.22</v>
      </c>
      <c r="T1747" t="str">
        <f t="shared" si="164"/>
        <v>Overweight</v>
      </c>
      <c r="U1747">
        <v>62</v>
      </c>
      <c r="V1747">
        <v>75</v>
      </c>
      <c r="W1747" t="str">
        <f t="shared" si="167"/>
        <v>Normal</v>
      </c>
      <c r="X1747">
        <v>0</v>
      </c>
    </row>
    <row r="1748" spans="1:24" ht="14.5" thickBot="1" x14ac:dyDescent="0.35">
      <c r="A1748">
        <v>0</v>
      </c>
      <c r="B1748" t="str">
        <f t="shared" si="165"/>
        <v>Female</v>
      </c>
      <c r="C1748" s="8">
        <v>46</v>
      </c>
      <c r="D1748" t="str">
        <f t="shared" si="166"/>
        <v>Middle Age</v>
      </c>
      <c r="E1748">
        <v>3</v>
      </c>
      <c r="F1748" t="str">
        <f>HLOOKUP(E1748, LookUP_Table!$A$6:$D$7, 2, FALSE)</f>
        <v>Graduate</v>
      </c>
      <c r="G1748" t="str">
        <f>IFERROR(VLOOKUP(E1748, LookUP_Table!$A$1:$B$4, 2, FALSE), "")</f>
        <v>Graduate</v>
      </c>
      <c r="H1748">
        <v>1</v>
      </c>
      <c r="I1748">
        <v>15</v>
      </c>
      <c r="J1748" t="str">
        <f t="shared" si="162"/>
        <v>Smoker</v>
      </c>
      <c r="K1748">
        <v>0</v>
      </c>
      <c r="L1748">
        <v>0</v>
      </c>
      <c r="M1748">
        <v>1</v>
      </c>
      <c r="N1748">
        <v>0</v>
      </c>
      <c r="O1748">
        <v>274</v>
      </c>
      <c r="P1748" t="str">
        <f t="shared" si="163"/>
        <v>High</v>
      </c>
      <c r="Q1748">
        <v>158</v>
      </c>
      <c r="R1748">
        <v>97</v>
      </c>
      <c r="S1748">
        <v>22.83</v>
      </c>
      <c r="T1748" t="str">
        <f t="shared" si="164"/>
        <v>Normal</v>
      </c>
      <c r="U1748">
        <v>92</v>
      </c>
      <c r="V1748">
        <v>78</v>
      </c>
      <c r="W1748" t="str">
        <f t="shared" si="167"/>
        <v>Normal</v>
      </c>
      <c r="X1748">
        <v>0</v>
      </c>
    </row>
    <row r="1749" spans="1:24" ht="14.5" thickBot="1" x14ac:dyDescent="0.35">
      <c r="A1749">
        <v>0</v>
      </c>
      <c r="B1749" t="str">
        <f t="shared" si="165"/>
        <v>Female</v>
      </c>
      <c r="C1749" s="8">
        <v>46</v>
      </c>
      <c r="D1749" t="str">
        <f t="shared" si="166"/>
        <v>Middle Age</v>
      </c>
      <c r="E1749">
        <v>3</v>
      </c>
      <c r="F1749" t="str">
        <f>HLOOKUP(E1749, LookUP_Table!$A$6:$D$7, 2, FALSE)</f>
        <v>Graduate</v>
      </c>
      <c r="G1749" t="str">
        <f>IFERROR(VLOOKUP(E1749, LookUP_Table!$A$1:$B$4, 2, FALSE), "")</f>
        <v>Graduate</v>
      </c>
      <c r="H1749">
        <v>1</v>
      </c>
      <c r="I1749">
        <v>10</v>
      </c>
      <c r="J1749" t="str">
        <f t="shared" si="162"/>
        <v>Smoker</v>
      </c>
      <c r="K1749">
        <v>0</v>
      </c>
      <c r="L1749">
        <v>0</v>
      </c>
      <c r="M1749">
        <v>0</v>
      </c>
      <c r="N1749">
        <v>0</v>
      </c>
      <c r="O1749">
        <v>205</v>
      </c>
      <c r="P1749" t="str">
        <f t="shared" si="163"/>
        <v>Normal</v>
      </c>
      <c r="Q1749">
        <v>115</v>
      </c>
      <c r="R1749">
        <v>75</v>
      </c>
      <c r="S1749">
        <v>19.48</v>
      </c>
      <c r="T1749" t="str">
        <f t="shared" si="164"/>
        <v>Normal</v>
      </c>
      <c r="U1749">
        <v>55</v>
      </c>
      <c r="V1749">
        <v>78</v>
      </c>
      <c r="W1749" t="str">
        <f t="shared" si="167"/>
        <v>Normal</v>
      </c>
      <c r="X1749">
        <v>0</v>
      </c>
    </row>
    <row r="1750" spans="1:24" ht="14.5" thickBot="1" x14ac:dyDescent="0.35">
      <c r="A1750">
        <v>1</v>
      </c>
      <c r="B1750" t="str">
        <f t="shared" si="165"/>
        <v>Male</v>
      </c>
      <c r="C1750" s="8">
        <v>46</v>
      </c>
      <c r="D1750" t="str">
        <f t="shared" si="166"/>
        <v>Middle Age</v>
      </c>
      <c r="E1750">
        <v>1</v>
      </c>
      <c r="F1750" t="str">
        <f>HLOOKUP(E1750, LookUP_Table!$A$6:$D$7, 2, FALSE)</f>
        <v>Primary</v>
      </c>
      <c r="G1750" t="str">
        <f>IFERROR(VLOOKUP(E1750, LookUP_Table!$A$1:$B$4, 2, FALSE), "")</f>
        <v>Primary</v>
      </c>
      <c r="H1750">
        <v>1</v>
      </c>
      <c r="I1750">
        <v>20</v>
      </c>
      <c r="J1750" t="str">
        <f t="shared" si="162"/>
        <v>Smoker</v>
      </c>
      <c r="K1750">
        <v>0</v>
      </c>
      <c r="L1750">
        <v>0</v>
      </c>
      <c r="M1750">
        <v>0</v>
      </c>
      <c r="N1750">
        <v>0</v>
      </c>
      <c r="O1750">
        <v>288</v>
      </c>
      <c r="P1750" t="str">
        <f t="shared" si="163"/>
        <v>High</v>
      </c>
      <c r="Q1750">
        <v>131</v>
      </c>
      <c r="R1750">
        <v>81</v>
      </c>
      <c r="S1750">
        <v>25.94</v>
      </c>
      <c r="T1750" t="str">
        <f t="shared" si="164"/>
        <v>Overweight</v>
      </c>
      <c r="U1750">
        <v>90</v>
      </c>
      <c r="V1750">
        <v>80</v>
      </c>
      <c r="W1750" t="str">
        <f t="shared" si="167"/>
        <v>Normal</v>
      </c>
      <c r="X1750">
        <v>0</v>
      </c>
    </row>
    <row r="1751" spans="1:24" ht="14.5" thickBot="1" x14ac:dyDescent="0.35">
      <c r="A1751">
        <v>0</v>
      </c>
      <c r="B1751" t="str">
        <f t="shared" si="165"/>
        <v>Female</v>
      </c>
      <c r="C1751" s="8">
        <v>46</v>
      </c>
      <c r="D1751" t="str">
        <f t="shared" si="166"/>
        <v>Middle Age</v>
      </c>
      <c r="E1751">
        <v>2</v>
      </c>
      <c r="F1751" t="str">
        <f>HLOOKUP(E1751, LookUP_Table!$A$6:$D$7, 2, FALSE)</f>
        <v>Secondary</v>
      </c>
      <c r="G1751" t="str">
        <f>IFERROR(VLOOKUP(E1751, LookUP_Table!$A$1:$B$4, 2, FALSE), "")</f>
        <v>Secondary</v>
      </c>
      <c r="H1751">
        <v>1</v>
      </c>
      <c r="I1751">
        <v>15</v>
      </c>
      <c r="J1751" t="str">
        <f t="shared" si="162"/>
        <v>Smoker</v>
      </c>
      <c r="K1751">
        <v>0</v>
      </c>
      <c r="L1751">
        <v>0</v>
      </c>
      <c r="M1751">
        <v>0</v>
      </c>
      <c r="N1751">
        <v>1</v>
      </c>
      <c r="O1751">
        <v>233</v>
      </c>
      <c r="P1751" t="str">
        <f t="shared" si="163"/>
        <v>Normal</v>
      </c>
      <c r="Q1751">
        <v>106</v>
      </c>
      <c r="R1751">
        <v>60</v>
      </c>
      <c r="S1751">
        <v>20.84</v>
      </c>
      <c r="T1751" t="str">
        <f t="shared" si="164"/>
        <v>Normal</v>
      </c>
      <c r="U1751">
        <v>75</v>
      </c>
      <c r="V1751">
        <v>348</v>
      </c>
      <c r="W1751" t="str">
        <f t="shared" si="167"/>
        <v>Diabetes</v>
      </c>
      <c r="X1751">
        <v>0</v>
      </c>
    </row>
    <row r="1752" spans="1:24" ht="14.5" thickBot="1" x14ac:dyDescent="0.35">
      <c r="A1752">
        <v>0</v>
      </c>
      <c r="B1752" t="str">
        <f t="shared" si="165"/>
        <v>Female</v>
      </c>
      <c r="C1752" s="8">
        <v>46</v>
      </c>
      <c r="D1752" t="str">
        <f t="shared" si="166"/>
        <v>Middle Age</v>
      </c>
      <c r="E1752">
        <v>1</v>
      </c>
      <c r="F1752" t="str">
        <f>HLOOKUP(E1752, LookUP_Table!$A$6:$D$7, 2, FALSE)</f>
        <v>Primary</v>
      </c>
      <c r="G1752" t="str">
        <f>IFERROR(VLOOKUP(E1752, LookUP_Table!$A$1:$B$4, 2, FALSE), "")</f>
        <v>Primary</v>
      </c>
      <c r="H1752">
        <v>0</v>
      </c>
      <c r="I1752">
        <v>0</v>
      </c>
      <c r="J1752" t="str">
        <f t="shared" si="162"/>
        <v>Non-Smoker</v>
      </c>
      <c r="K1752">
        <v>0</v>
      </c>
      <c r="L1752">
        <v>0</v>
      </c>
      <c r="M1752">
        <v>0</v>
      </c>
      <c r="N1752">
        <v>0</v>
      </c>
      <c r="O1752">
        <v>199</v>
      </c>
      <c r="P1752" t="str">
        <f t="shared" si="163"/>
        <v>Normal</v>
      </c>
      <c r="Q1752">
        <v>102</v>
      </c>
      <c r="R1752">
        <v>56</v>
      </c>
      <c r="S1752">
        <v>21.96</v>
      </c>
      <c r="T1752" t="str">
        <f t="shared" si="164"/>
        <v>Normal</v>
      </c>
      <c r="U1752">
        <v>80</v>
      </c>
      <c r="V1752">
        <v>84</v>
      </c>
      <c r="W1752" t="str">
        <f t="shared" si="167"/>
        <v>Normal</v>
      </c>
      <c r="X1752">
        <v>0</v>
      </c>
    </row>
    <row r="1753" spans="1:24" ht="14.5" thickBot="1" x14ac:dyDescent="0.35">
      <c r="A1753">
        <v>0</v>
      </c>
      <c r="B1753" t="str">
        <f t="shared" si="165"/>
        <v>Female</v>
      </c>
      <c r="C1753" s="8">
        <v>46</v>
      </c>
      <c r="D1753" t="str">
        <f t="shared" si="166"/>
        <v>Middle Age</v>
      </c>
      <c r="E1753">
        <v>2</v>
      </c>
      <c r="F1753" t="str">
        <f>HLOOKUP(E1753, LookUP_Table!$A$6:$D$7, 2, FALSE)</f>
        <v>Secondary</v>
      </c>
      <c r="G1753" t="str">
        <f>IFERROR(VLOOKUP(E1753, LookUP_Table!$A$1:$B$4, 2, FALSE), "")</f>
        <v>Secondary</v>
      </c>
      <c r="H1753">
        <v>1</v>
      </c>
      <c r="I1753">
        <v>20</v>
      </c>
      <c r="J1753" t="str">
        <f t="shared" si="162"/>
        <v>Smoker</v>
      </c>
      <c r="K1753">
        <v>0</v>
      </c>
      <c r="L1753">
        <v>0</v>
      </c>
      <c r="M1753">
        <v>0</v>
      </c>
      <c r="N1753">
        <v>0</v>
      </c>
      <c r="O1753">
        <v>291</v>
      </c>
      <c r="P1753" t="str">
        <f t="shared" si="163"/>
        <v>High</v>
      </c>
      <c r="Q1753">
        <v>124</v>
      </c>
      <c r="R1753">
        <v>81</v>
      </c>
      <c r="S1753">
        <v>22.02</v>
      </c>
      <c r="T1753" t="str">
        <f t="shared" si="164"/>
        <v>Normal</v>
      </c>
      <c r="U1753">
        <v>78</v>
      </c>
      <c r="V1753">
        <v>81.96365524402907</v>
      </c>
      <c r="W1753" t="str">
        <f t="shared" si="167"/>
        <v>Normal</v>
      </c>
      <c r="X1753">
        <v>1</v>
      </c>
    </row>
    <row r="1754" spans="1:24" ht="14.5" thickBot="1" x14ac:dyDescent="0.35">
      <c r="A1754">
        <v>1</v>
      </c>
      <c r="B1754" t="str">
        <f t="shared" si="165"/>
        <v>Male</v>
      </c>
      <c r="C1754" s="8">
        <v>46</v>
      </c>
      <c r="D1754" t="str">
        <f t="shared" si="166"/>
        <v>Middle Age</v>
      </c>
      <c r="E1754">
        <v>1</v>
      </c>
      <c r="F1754" t="str">
        <f>HLOOKUP(E1754, LookUP_Table!$A$6:$D$7, 2, FALSE)</f>
        <v>Primary</v>
      </c>
      <c r="G1754" t="str">
        <f>IFERROR(VLOOKUP(E1754, LookUP_Table!$A$1:$B$4, 2, FALSE), "")</f>
        <v>Primary</v>
      </c>
      <c r="H1754">
        <v>0</v>
      </c>
      <c r="I1754">
        <v>0</v>
      </c>
      <c r="J1754" t="str">
        <f t="shared" si="162"/>
        <v>Non-Smoker</v>
      </c>
      <c r="K1754">
        <v>0</v>
      </c>
      <c r="L1754">
        <v>0</v>
      </c>
      <c r="M1754">
        <v>0</v>
      </c>
      <c r="N1754">
        <v>0</v>
      </c>
      <c r="O1754">
        <v>188</v>
      </c>
      <c r="P1754" t="str">
        <f t="shared" si="163"/>
        <v>Normal</v>
      </c>
      <c r="Q1754">
        <v>135</v>
      </c>
      <c r="R1754">
        <v>95</v>
      </c>
      <c r="S1754">
        <v>26.84</v>
      </c>
      <c r="T1754" t="str">
        <f t="shared" si="164"/>
        <v>Overweight</v>
      </c>
      <c r="U1754">
        <v>60</v>
      </c>
      <c r="V1754">
        <v>78</v>
      </c>
      <c r="W1754" t="str">
        <f t="shared" si="167"/>
        <v>Normal</v>
      </c>
      <c r="X1754">
        <v>0</v>
      </c>
    </row>
    <row r="1755" spans="1:24" ht="14.5" thickBot="1" x14ac:dyDescent="0.35">
      <c r="A1755">
        <v>0</v>
      </c>
      <c r="B1755" t="str">
        <f t="shared" si="165"/>
        <v>Female</v>
      </c>
      <c r="C1755" s="8">
        <v>46</v>
      </c>
      <c r="D1755" t="str">
        <f t="shared" si="166"/>
        <v>Middle Age</v>
      </c>
      <c r="E1755">
        <v>1</v>
      </c>
      <c r="F1755" t="str">
        <f>HLOOKUP(E1755, LookUP_Table!$A$6:$D$7, 2, FALSE)</f>
        <v>Primary</v>
      </c>
      <c r="G1755" t="str">
        <f>IFERROR(VLOOKUP(E1755, LookUP_Table!$A$1:$B$4, 2, FALSE), "")</f>
        <v>Primary</v>
      </c>
      <c r="H1755">
        <v>1</v>
      </c>
      <c r="I1755">
        <v>10</v>
      </c>
      <c r="J1755" t="str">
        <f t="shared" si="162"/>
        <v>Smoker</v>
      </c>
      <c r="K1755">
        <v>0</v>
      </c>
      <c r="L1755">
        <v>0</v>
      </c>
      <c r="M1755">
        <v>0</v>
      </c>
      <c r="N1755">
        <v>0</v>
      </c>
      <c r="O1755">
        <v>263</v>
      </c>
      <c r="P1755" t="str">
        <f t="shared" si="163"/>
        <v>High</v>
      </c>
      <c r="Q1755">
        <v>110</v>
      </c>
      <c r="R1755">
        <v>65</v>
      </c>
      <c r="S1755">
        <v>27.27</v>
      </c>
      <c r="T1755" t="str">
        <f t="shared" si="164"/>
        <v>Overweight</v>
      </c>
      <c r="U1755">
        <v>84</v>
      </c>
      <c r="V1755">
        <v>73</v>
      </c>
      <c r="W1755" t="str">
        <f t="shared" si="167"/>
        <v>Normal</v>
      </c>
      <c r="X1755">
        <v>0</v>
      </c>
    </row>
    <row r="1756" spans="1:24" ht="14.5" thickBot="1" x14ac:dyDescent="0.35">
      <c r="A1756">
        <v>0</v>
      </c>
      <c r="B1756" t="str">
        <f t="shared" si="165"/>
        <v>Female</v>
      </c>
      <c r="C1756" s="8">
        <v>46</v>
      </c>
      <c r="D1756" t="str">
        <f t="shared" si="166"/>
        <v>Middle Age</v>
      </c>
      <c r="E1756">
        <v>1</v>
      </c>
      <c r="F1756" t="str">
        <f>HLOOKUP(E1756, LookUP_Table!$A$6:$D$7, 2, FALSE)</f>
        <v>Primary</v>
      </c>
      <c r="G1756" t="str">
        <f>IFERROR(VLOOKUP(E1756, LookUP_Table!$A$1:$B$4, 2, FALSE), "")</f>
        <v>Primary</v>
      </c>
      <c r="H1756">
        <v>0</v>
      </c>
      <c r="I1756">
        <v>0</v>
      </c>
      <c r="J1756" t="str">
        <f t="shared" si="162"/>
        <v>Non-Smoker</v>
      </c>
      <c r="K1756">
        <v>0</v>
      </c>
      <c r="L1756">
        <v>0</v>
      </c>
      <c r="M1756">
        <v>0</v>
      </c>
      <c r="N1756">
        <v>0</v>
      </c>
      <c r="O1756">
        <v>212</v>
      </c>
      <c r="P1756" t="str">
        <f t="shared" si="163"/>
        <v>Normal</v>
      </c>
      <c r="Q1756">
        <v>118</v>
      </c>
      <c r="R1756">
        <v>79</v>
      </c>
      <c r="S1756">
        <v>26.83</v>
      </c>
      <c r="T1756" t="str">
        <f t="shared" si="164"/>
        <v>Overweight</v>
      </c>
      <c r="U1756">
        <v>70</v>
      </c>
      <c r="V1756">
        <v>72</v>
      </c>
      <c r="W1756" t="str">
        <f t="shared" si="167"/>
        <v>Normal</v>
      </c>
      <c r="X1756">
        <v>0</v>
      </c>
    </row>
    <row r="1757" spans="1:24" ht="14.5" thickBot="1" x14ac:dyDescent="0.35">
      <c r="A1757">
        <v>0</v>
      </c>
      <c r="B1757" t="str">
        <f t="shared" si="165"/>
        <v>Female</v>
      </c>
      <c r="C1757" s="8">
        <v>46</v>
      </c>
      <c r="D1757" t="str">
        <f t="shared" si="166"/>
        <v>Middle Age</v>
      </c>
      <c r="E1757">
        <v>1</v>
      </c>
      <c r="F1757" t="str">
        <f>HLOOKUP(E1757, LookUP_Table!$A$6:$D$7, 2, FALSE)</f>
        <v>Primary</v>
      </c>
      <c r="G1757" t="str">
        <f>IFERROR(VLOOKUP(E1757, LookUP_Table!$A$1:$B$4, 2, FALSE), "")</f>
        <v>Primary</v>
      </c>
      <c r="H1757">
        <v>1</v>
      </c>
      <c r="I1757">
        <v>10</v>
      </c>
      <c r="J1757" t="str">
        <f t="shared" si="162"/>
        <v>Smoker</v>
      </c>
      <c r="K1757">
        <v>0</v>
      </c>
      <c r="L1757">
        <v>0</v>
      </c>
      <c r="M1757">
        <v>0</v>
      </c>
      <c r="N1757">
        <v>0</v>
      </c>
      <c r="O1757">
        <v>202</v>
      </c>
      <c r="P1757" t="str">
        <f t="shared" si="163"/>
        <v>Normal</v>
      </c>
      <c r="Q1757">
        <v>157</v>
      </c>
      <c r="R1757">
        <v>94</v>
      </c>
      <c r="S1757">
        <v>19.37</v>
      </c>
      <c r="T1757" t="str">
        <f t="shared" si="164"/>
        <v>Normal</v>
      </c>
      <c r="U1757">
        <v>88</v>
      </c>
      <c r="V1757">
        <v>65</v>
      </c>
      <c r="W1757" t="str">
        <f t="shared" si="167"/>
        <v>Normal</v>
      </c>
      <c r="X1757">
        <v>0</v>
      </c>
    </row>
    <row r="1758" spans="1:24" ht="14.5" thickBot="1" x14ac:dyDescent="0.35">
      <c r="A1758">
        <v>0</v>
      </c>
      <c r="B1758" t="str">
        <f t="shared" si="165"/>
        <v>Female</v>
      </c>
      <c r="C1758" s="8">
        <v>46</v>
      </c>
      <c r="D1758" t="str">
        <f t="shared" si="166"/>
        <v>Middle Age</v>
      </c>
      <c r="E1758">
        <v>2</v>
      </c>
      <c r="F1758" t="str">
        <f>HLOOKUP(E1758, LookUP_Table!$A$6:$D$7, 2, FALSE)</f>
        <v>Secondary</v>
      </c>
      <c r="G1758" t="str">
        <f>IFERROR(VLOOKUP(E1758, LookUP_Table!$A$1:$B$4, 2, FALSE), "")</f>
        <v>Secondary</v>
      </c>
      <c r="H1758">
        <v>0</v>
      </c>
      <c r="I1758">
        <v>0</v>
      </c>
      <c r="J1758" t="str">
        <f t="shared" si="162"/>
        <v>Non-Smoker</v>
      </c>
      <c r="K1758">
        <v>0</v>
      </c>
      <c r="L1758">
        <v>0</v>
      </c>
      <c r="M1758">
        <v>0</v>
      </c>
      <c r="N1758">
        <v>0</v>
      </c>
      <c r="O1758">
        <v>203</v>
      </c>
      <c r="P1758" t="str">
        <f t="shared" si="163"/>
        <v>Normal</v>
      </c>
      <c r="Q1758">
        <v>129</v>
      </c>
      <c r="R1758">
        <v>77</v>
      </c>
      <c r="S1758">
        <v>29.29</v>
      </c>
      <c r="T1758" t="str">
        <f t="shared" si="164"/>
        <v>Overweight</v>
      </c>
      <c r="U1758">
        <v>102</v>
      </c>
      <c r="V1758">
        <v>97</v>
      </c>
      <c r="W1758" t="str">
        <f t="shared" si="167"/>
        <v>Normal</v>
      </c>
      <c r="X1758">
        <v>0</v>
      </c>
    </row>
    <row r="1759" spans="1:24" ht="14.5" thickBot="1" x14ac:dyDescent="0.35">
      <c r="A1759">
        <v>0</v>
      </c>
      <c r="B1759" t="str">
        <f t="shared" si="165"/>
        <v>Female</v>
      </c>
      <c r="C1759" s="8">
        <v>46</v>
      </c>
      <c r="D1759" t="str">
        <f t="shared" si="166"/>
        <v>Middle Age</v>
      </c>
      <c r="E1759">
        <v>1</v>
      </c>
      <c r="F1759" t="str">
        <f>HLOOKUP(E1759, LookUP_Table!$A$6:$D$7, 2, FALSE)</f>
        <v>Primary</v>
      </c>
      <c r="G1759" t="str">
        <f>IFERROR(VLOOKUP(E1759, LookUP_Table!$A$1:$B$4, 2, FALSE), "")</f>
        <v>Primary</v>
      </c>
      <c r="H1759">
        <v>0</v>
      </c>
      <c r="I1759">
        <v>0</v>
      </c>
      <c r="J1759" t="str">
        <f t="shared" si="162"/>
        <v>Non-Smoker</v>
      </c>
      <c r="K1759">
        <v>0</v>
      </c>
      <c r="L1759">
        <v>0</v>
      </c>
      <c r="M1759">
        <v>0</v>
      </c>
      <c r="N1759">
        <v>0</v>
      </c>
      <c r="O1759">
        <v>325</v>
      </c>
      <c r="P1759" t="str">
        <f t="shared" si="163"/>
        <v>High</v>
      </c>
      <c r="Q1759">
        <v>119</v>
      </c>
      <c r="R1759">
        <v>86</v>
      </c>
      <c r="S1759">
        <v>35.130000000000003</v>
      </c>
      <c r="T1759" t="str">
        <f t="shared" si="164"/>
        <v>Obese</v>
      </c>
      <c r="U1759">
        <v>68</v>
      </c>
      <c r="V1759">
        <v>64</v>
      </c>
      <c r="W1759" t="str">
        <f t="shared" si="167"/>
        <v>Normal</v>
      </c>
      <c r="X1759">
        <v>0</v>
      </c>
    </row>
    <row r="1760" spans="1:24" ht="14.5" thickBot="1" x14ac:dyDescent="0.35">
      <c r="A1760">
        <v>1</v>
      </c>
      <c r="B1760" t="str">
        <f t="shared" si="165"/>
        <v>Male</v>
      </c>
      <c r="C1760" s="8">
        <v>46</v>
      </c>
      <c r="D1760" t="str">
        <f t="shared" si="166"/>
        <v>Middle Age</v>
      </c>
      <c r="E1760">
        <v>4</v>
      </c>
      <c r="F1760" t="str">
        <f>HLOOKUP(E1760, LookUP_Table!$A$6:$D$7, 2, FALSE)</f>
        <v>Post Graduate</v>
      </c>
      <c r="G1760" t="str">
        <f>IFERROR(VLOOKUP(E1760, LookUP_Table!$A$1:$B$4, 2, FALSE), "")</f>
        <v>Post Graduate</v>
      </c>
      <c r="H1760">
        <v>1</v>
      </c>
      <c r="I1760">
        <v>20</v>
      </c>
      <c r="J1760" t="str">
        <f t="shared" si="162"/>
        <v>Smoker</v>
      </c>
      <c r="K1760">
        <v>0</v>
      </c>
      <c r="L1760">
        <v>0</v>
      </c>
      <c r="M1760">
        <v>0</v>
      </c>
      <c r="N1760">
        <v>0</v>
      </c>
      <c r="O1760">
        <v>200</v>
      </c>
      <c r="P1760" t="str">
        <f t="shared" si="163"/>
        <v>Normal</v>
      </c>
      <c r="Q1760">
        <v>110</v>
      </c>
      <c r="R1760">
        <v>72</v>
      </c>
      <c r="S1760">
        <v>28.61</v>
      </c>
      <c r="T1760" t="str">
        <f t="shared" si="164"/>
        <v>Overweight</v>
      </c>
      <c r="U1760">
        <v>70</v>
      </c>
      <c r="V1760">
        <v>75</v>
      </c>
      <c r="W1760" t="str">
        <f t="shared" si="167"/>
        <v>Normal</v>
      </c>
      <c r="X1760">
        <v>0</v>
      </c>
    </row>
    <row r="1761" spans="1:24" ht="14.5" thickBot="1" x14ac:dyDescent="0.35">
      <c r="A1761">
        <v>0</v>
      </c>
      <c r="B1761" t="str">
        <f t="shared" si="165"/>
        <v>Female</v>
      </c>
      <c r="C1761" s="8">
        <v>46</v>
      </c>
      <c r="D1761" t="str">
        <f t="shared" si="166"/>
        <v>Middle Age</v>
      </c>
      <c r="E1761">
        <v>3</v>
      </c>
      <c r="F1761" t="str">
        <f>HLOOKUP(E1761, LookUP_Table!$A$6:$D$7, 2, FALSE)</f>
        <v>Graduate</v>
      </c>
      <c r="G1761" t="str">
        <f>IFERROR(VLOOKUP(E1761, LookUP_Table!$A$1:$B$4, 2, FALSE), "")</f>
        <v>Graduate</v>
      </c>
      <c r="H1761">
        <v>0</v>
      </c>
      <c r="I1761">
        <v>0</v>
      </c>
      <c r="J1761" t="str">
        <f t="shared" si="162"/>
        <v>Non-Smoker</v>
      </c>
      <c r="K1761">
        <v>0</v>
      </c>
      <c r="L1761">
        <v>0</v>
      </c>
      <c r="M1761">
        <v>0</v>
      </c>
      <c r="N1761">
        <v>0</v>
      </c>
      <c r="O1761">
        <v>277</v>
      </c>
      <c r="P1761" t="str">
        <f t="shared" si="163"/>
        <v>High</v>
      </c>
      <c r="Q1761">
        <v>122.5</v>
      </c>
      <c r="R1761">
        <v>77.5</v>
      </c>
      <c r="S1761">
        <v>27.42</v>
      </c>
      <c r="T1761" t="str">
        <f t="shared" si="164"/>
        <v>Overweight</v>
      </c>
      <c r="U1761">
        <v>63</v>
      </c>
      <c r="V1761">
        <v>77</v>
      </c>
      <c r="W1761" t="str">
        <f t="shared" si="167"/>
        <v>Normal</v>
      </c>
      <c r="X1761">
        <v>0</v>
      </c>
    </row>
    <row r="1762" spans="1:24" ht="14.5" thickBot="1" x14ac:dyDescent="0.35">
      <c r="A1762">
        <v>1</v>
      </c>
      <c r="B1762" t="str">
        <f t="shared" si="165"/>
        <v>Male</v>
      </c>
      <c r="C1762" s="8">
        <v>46</v>
      </c>
      <c r="D1762" t="str">
        <f t="shared" si="166"/>
        <v>Middle Age</v>
      </c>
      <c r="E1762">
        <v>2</v>
      </c>
      <c r="F1762" t="str">
        <f>HLOOKUP(E1762, LookUP_Table!$A$6:$D$7, 2, FALSE)</f>
        <v>Secondary</v>
      </c>
      <c r="G1762" t="str">
        <f>IFERROR(VLOOKUP(E1762, LookUP_Table!$A$1:$B$4, 2, FALSE), "")</f>
        <v>Secondary</v>
      </c>
      <c r="H1762">
        <v>0</v>
      </c>
      <c r="I1762">
        <v>0</v>
      </c>
      <c r="J1762" t="str">
        <f t="shared" si="162"/>
        <v>Non-Smoker</v>
      </c>
      <c r="K1762">
        <v>0</v>
      </c>
      <c r="L1762">
        <v>0</v>
      </c>
      <c r="M1762">
        <v>1</v>
      </c>
      <c r="N1762">
        <v>0</v>
      </c>
      <c r="O1762">
        <v>254</v>
      </c>
      <c r="P1762" t="str">
        <f t="shared" si="163"/>
        <v>High</v>
      </c>
      <c r="Q1762">
        <v>135</v>
      </c>
      <c r="R1762">
        <v>100</v>
      </c>
      <c r="S1762">
        <v>27.86</v>
      </c>
      <c r="T1762" t="str">
        <f t="shared" si="164"/>
        <v>Overweight</v>
      </c>
      <c r="U1762">
        <v>83</v>
      </c>
      <c r="V1762">
        <v>75</v>
      </c>
      <c r="W1762" t="str">
        <f t="shared" si="167"/>
        <v>Normal</v>
      </c>
      <c r="X1762">
        <v>0</v>
      </c>
    </row>
    <row r="1763" spans="1:24" ht="14.5" thickBot="1" x14ac:dyDescent="0.35">
      <c r="A1763">
        <v>0</v>
      </c>
      <c r="B1763" t="str">
        <f t="shared" si="165"/>
        <v>Female</v>
      </c>
      <c r="C1763" s="8">
        <v>46</v>
      </c>
      <c r="D1763" t="str">
        <f t="shared" si="166"/>
        <v>Middle Age</v>
      </c>
      <c r="E1763">
        <v>3</v>
      </c>
      <c r="F1763" t="str">
        <f>HLOOKUP(E1763, LookUP_Table!$A$6:$D$7, 2, FALSE)</f>
        <v>Graduate</v>
      </c>
      <c r="G1763" t="str">
        <f>IFERROR(VLOOKUP(E1763, LookUP_Table!$A$1:$B$4, 2, FALSE), "")</f>
        <v>Graduate</v>
      </c>
      <c r="H1763">
        <v>1</v>
      </c>
      <c r="I1763">
        <v>1</v>
      </c>
      <c r="J1763" t="str">
        <f t="shared" si="162"/>
        <v>Smoker</v>
      </c>
      <c r="K1763">
        <v>0</v>
      </c>
      <c r="L1763">
        <v>0</v>
      </c>
      <c r="M1763">
        <v>1</v>
      </c>
      <c r="N1763">
        <v>0</v>
      </c>
      <c r="O1763">
        <v>332</v>
      </c>
      <c r="P1763" t="str">
        <f t="shared" si="163"/>
        <v>High</v>
      </c>
      <c r="Q1763">
        <v>162.5</v>
      </c>
      <c r="R1763">
        <v>92.5</v>
      </c>
      <c r="S1763">
        <v>26.13</v>
      </c>
      <c r="T1763" t="str">
        <f t="shared" si="164"/>
        <v>Overweight</v>
      </c>
      <c r="U1763">
        <v>67</v>
      </c>
      <c r="V1763">
        <v>67</v>
      </c>
      <c r="W1763" t="str">
        <f t="shared" si="167"/>
        <v>Normal</v>
      </c>
      <c r="X1763">
        <v>0</v>
      </c>
    </row>
    <row r="1764" spans="1:24" ht="14.5" thickBot="1" x14ac:dyDescent="0.35">
      <c r="A1764">
        <v>0</v>
      </c>
      <c r="B1764" t="str">
        <f t="shared" si="165"/>
        <v>Female</v>
      </c>
      <c r="C1764" s="8">
        <v>46</v>
      </c>
      <c r="D1764" t="str">
        <f t="shared" si="166"/>
        <v>Middle Age</v>
      </c>
      <c r="E1764">
        <v>3</v>
      </c>
      <c r="F1764" t="str">
        <f>HLOOKUP(E1764, LookUP_Table!$A$6:$D$7, 2, FALSE)</f>
        <v>Graduate</v>
      </c>
      <c r="G1764" t="str">
        <f>IFERROR(VLOOKUP(E1764, LookUP_Table!$A$1:$B$4, 2, FALSE), "")</f>
        <v>Graduate</v>
      </c>
      <c r="H1764">
        <v>1</v>
      </c>
      <c r="I1764">
        <v>20</v>
      </c>
      <c r="J1764" t="str">
        <f t="shared" si="162"/>
        <v>Smoker</v>
      </c>
      <c r="K1764">
        <v>0</v>
      </c>
      <c r="L1764">
        <v>0</v>
      </c>
      <c r="M1764">
        <v>0</v>
      </c>
      <c r="N1764">
        <v>0</v>
      </c>
      <c r="O1764">
        <v>259</v>
      </c>
      <c r="P1764" t="str">
        <f t="shared" si="163"/>
        <v>High</v>
      </c>
      <c r="Q1764">
        <v>129</v>
      </c>
      <c r="R1764">
        <v>83</v>
      </c>
      <c r="S1764">
        <v>22.91</v>
      </c>
      <c r="T1764" t="str">
        <f t="shared" si="164"/>
        <v>Normal</v>
      </c>
      <c r="U1764">
        <v>66</v>
      </c>
      <c r="V1764">
        <v>84</v>
      </c>
      <c r="W1764" t="str">
        <f t="shared" si="167"/>
        <v>Normal</v>
      </c>
      <c r="X1764">
        <v>0</v>
      </c>
    </row>
    <row r="1765" spans="1:24" ht="14.5" thickBot="1" x14ac:dyDescent="0.35">
      <c r="A1765">
        <v>1</v>
      </c>
      <c r="B1765" t="str">
        <f t="shared" si="165"/>
        <v>Male</v>
      </c>
      <c r="C1765" s="8">
        <v>46</v>
      </c>
      <c r="D1765" t="str">
        <f t="shared" si="166"/>
        <v>Middle Age</v>
      </c>
      <c r="E1765">
        <v>2</v>
      </c>
      <c r="F1765" t="str">
        <f>HLOOKUP(E1765, LookUP_Table!$A$6:$D$7, 2, FALSE)</f>
        <v>Secondary</v>
      </c>
      <c r="G1765" t="str">
        <f>IFERROR(VLOOKUP(E1765, LookUP_Table!$A$1:$B$4, 2, FALSE), "")</f>
        <v>Secondary</v>
      </c>
      <c r="H1765">
        <v>1</v>
      </c>
      <c r="I1765">
        <v>20</v>
      </c>
      <c r="J1765" t="str">
        <f t="shared" si="162"/>
        <v>Smoker</v>
      </c>
      <c r="K1765">
        <v>0</v>
      </c>
      <c r="L1765">
        <v>0</v>
      </c>
      <c r="M1765">
        <v>0</v>
      </c>
      <c r="N1765">
        <v>0</v>
      </c>
      <c r="O1765">
        <v>214</v>
      </c>
      <c r="P1765" t="str">
        <f t="shared" si="163"/>
        <v>Normal</v>
      </c>
      <c r="Q1765">
        <v>110</v>
      </c>
      <c r="R1765">
        <v>73</v>
      </c>
      <c r="S1765">
        <v>18.100000000000001</v>
      </c>
      <c r="T1765" t="str">
        <f t="shared" si="164"/>
        <v>Underweight</v>
      </c>
      <c r="U1765">
        <v>60</v>
      </c>
      <c r="V1765">
        <v>60</v>
      </c>
      <c r="W1765" t="str">
        <f t="shared" si="167"/>
        <v>Normal</v>
      </c>
      <c r="X1765">
        <v>0</v>
      </c>
    </row>
    <row r="1766" spans="1:24" ht="14.5" thickBot="1" x14ac:dyDescent="0.35">
      <c r="A1766">
        <v>0</v>
      </c>
      <c r="B1766" t="str">
        <f t="shared" si="165"/>
        <v>Female</v>
      </c>
      <c r="C1766" s="8">
        <v>46</v>
      </c>
      <c r="D1766" t="str">
        <f t="shared" si="166"/>
        <v>Middle Age</v>
      </c>
      <c r="E1766">
        <v>1</v>
      </c>
      <c r="F1766" t="str">
        <f>HLOOKUP(E1766, LookUP_Table!$A$6:$D$7, 2, FALSE)</f>
        <v>Primary</v>
      </c>
      <c r="G1766" t="str">
        <f>IFERROR(VLOOKUP(E1766, LookUP_Table!$A$1:$B$4, 2, FALSE), "")</f>
        <v>Primary</v>
      </c>
      <c r="H1766">
        <v>0</v>
      </c>
      <c r="I1766">
        <v>0</v>
      </c>
      <c r="J1766" t="str">
        <f t="shared" si="162"/>
        <v>Non-Smoker</v>
      </c>
      <c r="K1766">
        <v>0</v>
      </c>
      <c r="L1766">
        <v>0</v>
      </c>
      <c r="M1766">
        <v>1</v>
      </c>
      <c r="N1766">
        <v>0</v>
      </c>
      <c r="O1766">
        <v>246</v>
      </c>
      <c r="P1766" t="str">
        <f t="shared" si="163"/>
        <v>High</v>
      </c>
      <c r="Q1766">
        <v>142.5</v>
      </c>
      <c r="R1766">
        <v>95</v>
      </c>
      <c r="S1766">
        <v>24.28</v>
      </c>
      <c r="T1766" t="str">
        <f t="shared" si="164"/>
        <v>Normal</v>
      </c>
      <c r="U1766">
        <v>88</v>
      </c>
      <c r="V1766">
        <v>99</v>
      </c>
      <c r="W1766" t="str">
        <f t="shared" si="167"/>
        <v>Normal</v>
      </c>
      <c r="X1766">
        <v>0</v>
      </c>
    </row>
    <row r="1767" spans="1:24" ht="14.5" thickBot="1" x14ac:dyDescent="0.35">
      <c r="A1767">
        <v>0</v>
      </c>
      <c r="B1767" t="str">
        <f t="shared" si="165"/>
        <v>Female</v>
      </c>
      <c r="C1767" s="8">
        <v>46</v>
      </c>
      <c r="D1767" t="str">
        <f t="shared" si="166"/>
        <v>Middle Age</v>
      </c>
      <c r="E1767">
        <v>2</v>
      </c>
      <c r="F1767" t="str">
        <f>HLOOKUP(E1767, LookUP_Table!$A$6:$D$7, 2, FALSE)</f>
        <v>Secondary</v>
      </c>
      <c r="G1767" t="str">
        <f>IFERROR(VLOOKUP(E1767, LookUP_Table!$A$1:$B$4, 2, FALSE), "")</f>
        <v>Secondary</v>
      </c>
      <c r="H1767">
        <v>0</v>
      </c>
      <c r="I1767">
        <v>0</v>
      </c>
      <c r="J1767" t="str">
        <f t="shared" si="162"/>
        <v>Non-Smoker</v>
      </c>
      <c r="K1767">
        <v>0</v>
      </c>
      <c r="L1767">
        <v>0</v>
      </c>
      <c r="M1767">
        <v>0</v>
      </c>
      <c r="N1767">
        <v>0</v>
      </c>
      <c r="O1767">
        <v>247</v>
      </c>
      <c r="P1767" t="str">
        <f t="shared" si="163"/>
        <v>High</v>
      </c>
      <c r="Q1767">
        <v>115</v>
      </c>
      <c r="R1767">
        <v>71</v>
      </c>
      <c r="S1767">
        <v>27.72</v>
      </c>
      <c r="T1767" t="str">
        <f t="shared" si="164"/>
        <v>Overweight</v>
      </c>
      <c r="U1767">
        <v>82</v>
      </c>
      <c r="V1767">
        <v>69</v>
      </c>
      <c r="W1767" t="str">
        <f t="shared" si="167"/>
        <v>Normal</v>
      </c>
      <c r="X1767">
        <v>0</v>
      </c>
    </row>
    <row r="1768" spans="1:24" ht="14.5" thickBot="1" x14ac:dyDescent="0.35">
      <c r="A1768">
        <v>0</v>
      </c>
      <c r="B1768" t="str">
        <f t="shared" si="165"/>
        <v>Female</v>
      </c>
      <c r="C1768" s="8">
        <v>46</v>
      </c>
      <c r="D1768" t="str">
        <f t="shared" si="166"/>
        <v>Middle Age</v>
      </c>
      <c r="E1768">
        <v>2</v>
      </c>
      <c r="F1768" t="str">
        <f>HLOOKUP(E1768, LookUP_Table!$A$6:$D$7, 2, FALSE)</f>
        <v>Secondary</v>
      </c>
      <c r="G1768" t="str">
        <f>IFERROR(VLOOKUP(E1768, LookUP_Table!$A$1:$B$4, 2, FALSE), "")</f>
        <v>Secondary</v>
      </c>
      <c r="H1768">
        <v>0</v>
      </c>
      <c r="I1768">
        <v>0</v>
      </c>
      <c r="J1768" t="str">
        <f t="shared" si="162"/>
        <v>Non-Smoker</v>
      </c>
      <c r="K1768">
        <v>0</v>
      </c>
      <c r="L1768">
        <v>0</v>
      </c>
      <c r="M1768">
        <v>0</v>
      </c>
      <c r="N1768">
        <v>0</v>
      </c>
      <c r="O1768">
        <v>229</v>
      </c>
      <c r="P1768" t="str">
        <f t="shared" si="163"/>
        <v>Normal</v>
      </c>
      <c r="Q1768">
        <v>125</v>
      </c>
      <c r="R1768">
        <v>80</v>
      </c>
      <c r="S1768">
        <v>27.27</v>
      </c>
      <c r="T1768" t="str">
        <f t="shared" si="164"/>
        <v>Overweight</v>
      </c>
      <c r="U1768">
        <v>66</v>
      </c>
      <c r="V1768">
        <v>80</v>
      </c>
      <c r="W1768" t="str">
        <f t="shared" si="167"/>
        <v>Normal</v>
      </c>
      <c r="X1768">
        <v>0</v>
      </c>
    </row>
    <row r="1769" spans="1:24" ht="14.5" thickBot="1" x14ac:dyDescent="0.35">
      <c r="A1769">
        <v>0</v>
      </c>
      <c r="B1769" t="str">
        <f t="shared" si="165"/>
        <v>Female</v>
      </c>
      <c r="C1769" s="8">
        <v>46</v>
      </c>
      <c r="D1769" t="str">
        <f t="shared" si="166"/>
        <v>Middle Age</v>
      </c>
      <c r="E1769">
        <v>2</v>
      </c>
      <c r="F1769" t="str">
        <f>HLOOKUP(E1769, LookUP_Table!$A$6:$D$7, 2, FALSE)</f>
        <v>Secondary</v>
      </c>
      <c r="G1769" t="str">
        <f>IFERROR(VLOOKUP(E1769, LookUP_Table!$A$1:$B$4, 2, FALSE), "")</f>
        <v>Secondary</v>
      </c>
      <c r="H1769">
        <v>1</v>
      </c>
      <c r="I1769">
        <v>7</v>
      </c>
      <c r="J1769" t="str">
        <f t="shared" si="162"/>
        <v>Smoker</v>
      </c>
      <c r="K1769">
        <v>1</v>
      </c>
      <c r="L1769">
        <v>0</v>
      </c>
      <c r="M1769">
        <v>1</v>
      </c>
      <c r="N1769">
        <v>0</v>
      </c>
      <c r="O1769">
        <v>282</v>
      </c>
      <c r="P1769" t="str">
        <f t="shared" si="163"/>
        <v>High</v>
      </c>
      <c r="Q1769">
        <v>176</v>
      </c>
      <c r="R1769">
        <v>98</v>
      </c>
      <c r="S1769">
        <v>33.020000000000003</v>
      </c>
      <c r="T1769" t="str">
        <f t="shared" si="164"/>
        <v>Obese</v>
      </c>
      <c r="U1769">
        <v>85</v>
      </c>
      <c r="V1769">
        <v>78</v>
      </c>
      <c r="W1769" t="str">
        <f t="shared" si="167"/>
        <v>Normal</v>
      </c>
      <c r="X1769">
        <v>0</v>
      </c>
    </row>
    <row r="1770" spans="1:24" ht="14.5" thickBot="1" x14ac:dyDescent="0.35">
      <c r="A1770">
        <v>1</v>
      </c>
      <c r="B1770" t="str">
        <f t="shared" si="165"/>
        <v>Male</v>
      </c>
      <c r="C1770" s="8">
        <v>46</v>
      </c>
      <c r="D1770" t="str">
        <f t="shared" si="166"/>
        <v>Middle Age</v>
      </c>
      <c r="E1770">
        <v>1</v>
      </c>
      <c r="F1770" t="str">
        <f>HLOOKUP(E1770, LookUP_Table!$A$6:$D$7, 2, FALSE)</f>
        <v>Primary</v>
      </c>
      <c r="G1770" t="str">
        <f>IFERROR(VLOOKUP(E1770, LookUP_Table!$A$1:$B$4, 2, FALSE), "")</f>
        <v>Primary</v>
      </c>
      <c r="H1770">
        <v>1</v>
      </c>
      <c r="I1770">
        <v>20</v>
      </c>
      <c r="J1770" t="str">
        <f t="shared" si="162"/>
        <v>Smoker</v>
      </c>
      <c r="K1770">
        <v>0</v>
      </c>
      <c r="L1770">
        <v>0</v>
      </c>
      <c r="M1770">
        <v>0</v>
      </c>
      <c r="N1770">
        <v>0</v>
      </c>
      <c r="O1770">
        <v>247</v>
      </c>
      <c r="P1770" t="str">
        <f t="shared" si="163"/>
        <v>High</v>
      </c>
      <c r="Q1770">
        <v>134</v>
      </c>
      <c r="R1770">
        <v>96</v>
      </c>
      <c r="S1770">
        <v>32.47</v>
      </c>
      <c r="T1770" t="str">
        <f t="shared" si="164"/>
        <v>Obese</v>
      </c>
      <c r="U1770">
        <v>80</v>
      </c>
      <c r="V1770">
        <v>72</v>
      </c>
      <c r="W1770" t="str">
        <f t="shared" si="167"/>
        <v>Normal</v>
      </c>
      <c r="X1770">
        <v>0</v>
      </c>
    </row>
    <row r="1771" spans="1:24" ht="14.5" thickBot="1" x14ac:dyDescent="0.35">
      <c r="A1771">
        <v>0</v>
      </c>
      <c r="B1771" t="str">
        <f t="shared" si="165"/>
        <v>Female</v>
      </c>
      <c r="C1771" s="8">
        <v>46</v>
      </c>
      <c r="D1771" t="str">
        <f t="shared" si="166"/>
        <v>Middle Age</v>
      </c>
      <c r="E1771">
        <v>1</v>
      </c>
      <c r="F1771" t="str">
        <f>HLOOKUP(E1771, LookUP_Table!$A$6:$D$7, 2, FALSE)</f>
        <v>Primary</v>
      </c>
      <c r="G1771" t="str">
        <f>IFERROR(VLOOKUP(E1771, LookUP_Table!$A$1:$B$4, 2, FALSE), "")</f>
        <v>Primary</v>
      </c>
      <c r="H1771">
        <v>0</v>
      </c>
      <c r="I1771">
        <v>0</v>
      </c>
      <c r="J1771" t="str">
        <f t="shared" si="162"/>
        <v>Non-Smoker</v>
      </c>
      <c r="K1771">
        <v>0</v>
      </c>
      <c r="L1771">
        <v>0</v>
      </c>
      <c r="M1771">
        <v>0</v>
      </c>
      <c r="N1771">
        <v>0</v>
      </c>
      <c r="O1771">
        <v>222</v>
      </c>
      <c r="P1771" t="str">
        <f t="shared" si="163"/>
        <v>Normal</v>
      </c>
      <c r="Q1771">
        <v>116</v>
      </c>
      <c r="R1771">
        <v>80</v>
      </c>
      <c r="S1771">
        <v>24.62</v>
      </c>
      <c r="T1771" t="str">
        <f t="shared" si="164"/>
        <v>Normal</v>
      </c>
      <c r="U1771">
        <v>75</v>
      </c>
      <c r="V1771">
        <v>87</v>
      </c>
      <c r="W1771" t="str">
        <f t="shared" si="167"/>
        <v>Normal</v>
      </c>
      <c r="X1771">
        <v>0</v>
      </c>
    </row>
    <row r="1772" spans="1:24" ht="14.5" thickBot="1" x14ac:dyDescent="0.35">
      <c r="A1772">
        <v>0</v>
      </c>
      <c r="B1772" t="str">
        <f t="shared" si="165"/>
        <v>Female</v>
      </c>
      <c r="C1772" s="8">
        <v>46</v>
      </c>
      <c r="D1772" t="str">
        <f t="shared" si="166"/>
        <v>Middle Age</v>
      </c>
      <c r="E1772">
        <v>1</v>
      </c>
      <c r="F1772" t="str">
        <f>HLOOKUP(E1772, LookUP_Table!$A$6:$D$7, 2, FALSE)</f>
        <v>Primary</v>
      </c>
      <c r="G1772" t="str">
        <f>IFERROR(VLOOKUP(E1772, LookUP_Table!$A$1:$B$4, 2, FALSE), "")</f>
        <v>Primary</v>
      </c>
      <c r="H1772">
        <v>0</v>
      </c>
      <c r="I1772">
        <v>0</v>
      </c>
      <c r="J1772" t="str">
        <f t="shared" si="162"/>
        <v>Non-Smoker</v>
      </c>
      <c r="K1772">
        <v>0</v>
      </c>
      <c r="L1772">
        <v>0</v>
      </c>
      <c r="M1772">
        <v>0</v>
      </c>
      <c r="N1772">
        <v>0</v>
      </c>
      <c r="O1772">
        <v>213</v>
      </c>
      <c r="P1772" t="str">
        <f t="shared" si="163"/>
        <v>Normal</v>
      </c>
      <c r="Q1772">
        <v>136</v>
      </c>
      <c r="R1772">
        <v>77</v>
      </c>
      <c r="S1772">
        <v>31.02</v>
      </c>
      <c r="T1772" t="str">
        <f t="shared" si="164"/>
        <v>Obese</v>
      </c>
      <c r="U1772">
        <v>75</v>
      </c>
      <c r="V1772">
        <v>73</v>
      </c>
      <c r="W1772" t="str">
        <f t="shared" si="167"/>
        <v>Normal</v>
      </c>
      <c r="X1772">
        <v>0</v>
      </c>
    </row>
    <row r="1773" spans="1:24" ht="14.5" thickBot="1" x14ac:dyDescent="0.35">
      <c r="A1773">
        <v>1</v>
      </c>
      <c r="B1773" t="str">
        <f t="shared" si="165"/>
        <v>Male</v>
      </c>
      <c r="C1773" s="8">
        <v>47</v>
      </c>
      <c r="D1773" t="str">
        <f t="shared" si="166"/>
        <v>Middle Age</v>
      </c>
      <c r="E1773">
        <v>4</v>
      </c>
      <c r="F1773" t="str">
        <f>HLOOKUP(E1773, LookUP_Table!$A$6:$D$7, 2, FALSE)</f>
        <v>Post Graduate</v>
      </c>
      <c r="G1773" t="str">
        <f>IFERROR(VLOOKUP(E1773, LookUP_Table!$A$1:$B$4, 2, FALSE), "")</f>
        <v>Post Graduate</v>
      </c>
      <c r="H1773">
        <v>1</v>
      </c>
      <c r="I1773">
        <v>20</v>
      </c>
      <c r="J1773" t="str">
        <f t="shared" si="162"/>
        <v>Smoker</v>
      </c>
      <c r="K1773">
        <v>0</v>
      </c>
      <c r="L1773">
        <v>0</v>
      </c>
      <c r="M1773">
        <v>0</v>
      </c>
      <c r="N1773">
        <v>0</v>
      </c>
      <c r="O1773">
        <v>294</v>
      </c>
      <c r="P1773" t="str">
        <f t="shared" si="163"/>
        <v>High</v>
      </c>
      <c r="Q1773">
        <v>102</v>
      </c>
      <c r="R1773">
        <v>68</v>
      </c>
      <c r="S1773">
        <v>24.18</v>
      </c>
      <c r="T1773" t="str">
        <f t="shared" si="164"/>
        <v>Normal</v>
      </c>
      <c r="U1773">
        <v>62</v>
      </c>
      <c r="V1773">
        <v>66</v>
      </c>
      <c r="W1773" t="str">
        <f t="shared" si="167"/>
        <v>Normal</v>
      </c>
      <c r="X1773">
        <v>1</v>
      </c>
    </row>
    <row r="1774" spans="1:24" ht="14.5" thickBot="1" x14ac:dyDescent="0.35">
      <c r="A1774">
        <v>0</v>
      </c>
      <c r="B1774" t="str">
        <f t="shared" si="165"/>
        <v>Female</v>
      </c>
      <c r="C1774" s="8">
        <v>47</v>
      </c>
      <c r="D1774" t="str">
        <f t="shared" si="166"/>
        <v>Middle Age</v>
      </c>
      <c r="E1774">
        <v>2</v>
      </c>
      <c r="F1774" t="str">
        <f>HLOOKUP(E1774, LookUP_Table!$A$6:$D$7, 2, FALSE)</f>
        <v>Secondary</v>
      </c>
      <c r="G1774" t="str">
        <f>IFERROR(VLOOKUP(E1774, LookUP_Table!$A$1:$B$4, 2, FALSE), "")</f>
        <v>Secondary</v>
      </c>
      <c r="H1774">
        <v>1</v>
      </c>
      <c r="I1774">
        <v>20</v>
      </c>
      <c r="J1774" t="str">
        <f t="shared" si="162"/>
        <v>Smoker</v>
      </c>
      <c r="K1774">
        <v>0</v>
      </c>
      <c r="L1774">
        <v>0</v>
      </c>
      <c r="M1774">
        <v>0</v>
      </c>
      <c r="N1774">
        <v>0</v>
      </c>
      <c r="O1774">
        <v>237</v>
      </c>
      <c r="P1774" t="str">
        <f t="shared" si="163"/>
        <v>Normal</v>
      </c>
      <c r="Q1774">
        <v>130</v>
      </c>
      <c r="R1774">
        <v>78</v>
      </c>
      <c r="S1774">
        <v>19.66</v>
      </c>
      <c r="T1774" t="str">
        <f t="shared" si="164"/>
        <v>Normal</v>
      </c>
      <c r="U1774">
        <v>80</v>
      </c>
      <c r="V1774">
        <v>75</v>
      </c>
      <c r="W1774" t="str">
        <f t="shared" si="167"/>
        <v>Normal</v>
      </c>
      <c r="X1774">
        <v>0</v>
      </c>
    </row>
    <row r="1775" spans="1:24" ht="14.5" thickBot="1" x14ac:dyDescent="0.35">
      <c r="A1775">
        <v>0</v>
      </c>
      <c r="B1775" t="str">
        <f t="shared" si="165"/>
        <v>Female</v>
      </c>
      <c r="C1775" s="8">
        <v>47</v>
      </c>
      <c r="D1775" t="str">
        <f t="shared" si="166"/>
        <v>Middle Age</v>
      </c>
      <c r="E1775">
        <v>2</v>
      </c>
      <c r="F1775" t="str">
        <f>HLOOKUP(E1775, LookUP_Table!$A$6:$D$7, 2, FALSE)</f>
        <v>Secondary</v>
      </c>
      <c r="G1775" t="str">
        <f>IFERROR(VLOOKUP(E1775, LookUP_Table!$A$1:$B$4, 2, FALSE), "")</f>
        <v>Secondary</v>
      </c>
      <c r="H1775">
        <v>1</v>
      </c>
      <c r="I1775">
        <v>20</v>
      </c>
      <c r="J1775" t="str">
        <f t="shared" si="162"/>
        <v>Smoker</v>
      </c>
      <c r="K1775">
        <v>0</v>
      </c>
      <c r="L1775">
        <v>0</v>
      </c>
      <c r="M1775">
        <v>0</v>
      </c>
      <c r="N1775">
        <v>0</v>
      </c>
      <c r="O1775">
        <v>300</v>
      </c>
      <c r="P1775" t="str">
        <f t="shared" si="163"/>
        <v>High</v>
      </c>
      <c r="Q1775">
        <v>112.5</v>
      </c>
      <c r="R1775">
        <v>60</v>
      </c>
      <c r="S1775">
        <v>20.13</v>
      </c>
      <c r="T1775" t="str">
        <f t="shared" si="164"/>
        <v>Normal</v>
      </c>
      <c r="U1775">
        <v>76</v>
      </c>
      <c r="V1775">
        <v>83</v>
      </c>
      <c r="W1775" t="str">
        <f t="shared" si="167"/>
        <v>Normal</v>
      </c>
      <c r="X1775">
        <v>0</v>
      </c>
    </row>
    <row r="1776" spans="1:24" ht="14.5" thickBot="1" x14ac:dyDescent="0.35">
      <c r="A1776">
        <v>0</v>
      </c>
      <c r="B1776" t="str">
        <f t="shared" si="165"/>
        <v>Female</v>
      </c>
      <c r="C1776" s="8">
        <v>47</v>
      </c>
      <c r="D1776" t="str">
        <f t="shared" si="166"/>
        <v>Middle Age</v>
      </c>
      <c r="E1776">
        <v>2</v>
      </c>
      <c r="F1776" t="str">
        <f>HLOOKUP(E1776, LookUP_Table!$A$6:$D$7, 2, FALSE)</f>
        <v>Secondary</v>
      </c>
      <c r="G1776" t="str">
        <f>IFERROR(VLOOKUP(E1776, LookUP_Table!$A$1:$B$4, 2, FALSE), "")</f>
        <v>Secondary</v>
      </c>
      <c r="H1776">
        <v>1</v>
      </c>
      <c r="I1776">
        <v>20</v>
      </c>
      <c r="J1776" t="str">
        <f t="shared" si="162"/>
        <v>Smoker</v>
      </c>
      <c r="K1776">
        <v>0</v>
      </c>
      <c r="L1776">
        <v>0</v>
      </c>
      <c r="M1776">
        <v>0</v>
      </c>
      <c r="N1776">
        <v>0</v>
      </c>
      <c r="O1776">
        <v>220</v>
      </c>
      <c r="P1776" t="str">
        <f t="shared" si="163"/>
        <v>Normal</v>
      </c>
      <c r="Q1776">
        <v>132.5</v>
      </c>
      <c r="R1776">
        <v>87</v>
      </c>
      <c r="S1776">
        <v>27.98</v>
      </c>
      <c r="T1776" t="str">
        <f t="shared" si="164"/>
        <v>Overweight</v>
      </c>
      <c r="U1776">
        <v>65</v>
      </c>
      <c r="V1776">
        <v>75</v>
      </c>
      <c r="W1776" t="str">
        <f t="shared" si="167"/>
        <v>Normal</v>
      </c>
      <c r="X1776">
        <v>0</v>
      </c>
    </row>
    <row r="1777" spans="1:24" ht="14.5" thickBot="1" x14ac:dyDescent="0.35">
      <c r="A1777">
        <v>0</v>
      </c>
      <c r="B1777" t="str">
        <f t="shared" si="165"/>
        <v>Female</v>
      </c>
      <c r="C1777" s="8">
        <v>47</v>
      </c>
      <c r="D1777" t="str">
        <f t="shared" si="166"/>
        <v>Middle Age</v>
      </c>
      <c r="E1777">
        <v>3</v>
      </c>
      <c r="F1777" t="str">
        <f>HLOOKUP(E1777, LookUP_Table!$A$6:$D$7, 2, FALSE)</f>
        <v>Graduate</v>
      </c>
      <c r="G1777" t="str">
        <f>IFERROR(VLOOKUP(E1777, LookUP_Table!$A$1:$B$4, 2, FALSE), "")</f>
        <v>Graduate</v>
      </c>
      <c r="H1777">
        <v>0</v>
      </c>
      <c r="I1777">
        <v>0</v>
      </c>
      <c r="J1777" t="str">
        <f t="shared" si="162"/>
        <v>Non-Smoker</v>
      </c>
      <c r="K1777">
        <v>0</v>
      </c>
      <c r="L1777">
        <v>0</v>
      </c>
      <c r="M1777">
        <v>1</v>
      </c>
      <c r="N1777">
        <v>0</v>
      </c>
      <c r="O1777">
        <v>219</v>
      </c>
      <c r="P1777" t="str">
        <f t="shared" si="163"/>
        <v>Normal</v>
      </c>
      <c r="Q1777">
        <v>153</v>
      </c>
      <c r="R1777">
        <v>98</v>
      </c>
      <c r="S1777">
        <v>22.02</v>
      </c>
      <c r="T1777" t="str">
        <f t="shared" si="164"/>
        <v>Normal</v>
      </c>
      <c r="U1777">
        <v>80</v>
      </c>
      <c r="V1777">
        <v>92</v>
      </c>
      <c r="W1777" t="str">
        <f t="shared" si="167"/>
        <v>Normal</v>
      </c>
      <c r="X1777">
        <v>0</v>
      </c>
    </row>
    <row r="1778" spans="1:24" ht="14.5" thickBot="1" x14ac:dyDescent="0.35">
      <c r="A1778">
        <v>0</v>
      </c>
      <c r="B1778" t="str">
        <f t="shared" si="165"/>
        <v>Female</v>
      </c>
      <c r="C1778" s="8">
        <v>47</v>
      </c>
      <c r="D1778" t="str">
        <f t="shared" si="166"/>
        <v>Middle Age</v>
      </c>
      <c r="E1778">
        <v>2</v>
      </c>
      <c r="F1778" t="str">
        <f>HLOOKUP(E1778, LookUP_Table!$A$6:$D$7, 2, FALSE)</f>
        <v>Secondary</v>
      </c>
      <c r="G1778" t="str">
        <f>IFERROR(VLOOKUP(E1778, LookUP_Table!$A$1:$B$4, 2, FALSE), "")</f>
        <v>Secondary</v>
      </c>
      <c r="H1778">
        <v>0</v>
      </c>
      <c r="I1778">
        <v>0</v>
      </c>
      <c r="J1778" t="str">
        <f t="shared" si="162"/>
        <v>Non-Smoker</v>
      </c>
      <c r="K1778">
        <v>0</v>
      </c>
      <c r="L1778">
        <v>0</v>
      </c>
      <c r="M1778">
        <v>0</v>
      </c>
      <c r="N1778">
        <v>0</v>
      </c>
      <c r="O1778">
        <v>174</v>
      </c>
      <c r="P1778" t="str">
        <f t="shared" si="163"/>
        <v>Normal</v>
      </c>
      <c r="Q1778">
        <v>118</v>
      </c>
      <c r="R1778">
        <v>86.5</v>
      </c>
      <c r="S1778">
        <v>26.15</v>
      </c>
      <c r="T1778" t="str">
        <f t="shared" si="164"/>
        <v>Overweight</v>
      </c>
      <c r="U1778">
        <v>110</v>
      </c>
      <c r="V1778">
        <v>86</v>
      </c>
      <c r="W1778" t="str">
        <f t="shared" si="167"/>
        <v>Normal</v>
      </c>
      <c r="X1778">
        <v>0</v>
      </c>
    </row>
    <row r="1779" spans="1:24" ht="14.5" thickBot="1" x14ac:dyDescent="0.35">
      <c r="A1779">
        <v>1</v>
      </c>
      <c r="B1779" t="str">
        <f t="shared" si="165"/>
        <v>Male</v>
      </c>
      <c r="C1779" s="8">
        <v>47</v>
      </c>
      <c r="D1779" t="str">
        <f t="shared" si="166"/>
        <v>Middle Age</v>
      </c>
      <c r="E1779">
        <v>1</v>
      </c>
      <c r="F1779" t="str">
        <f>HLOOKUP(E1779, LookUP_Table!$A$6:$D$7, 2, FALSE)</f>
        <v>Primary</v>
      </c>
      <c r="G1779" t="str">
        <f>IFERROR(VLOOKUP(E1779, LookUP_Table!$A$1:$B$4, 2, FALSE), "")</f>
        <v>Primary</v>
      </c>
      <c r="H1779">
        <v>1</v>
      </c>
      <c r="I1779">
        <v>20</v>
      </c>
      <c r="J1779" t="str">
        <f t="shared" si="162"/>
        <v>Smoker</v>
      </c>
      <c r="K1779">
        <v>0</v>
      </c>
      <c r="L1779">
        <v>0</v>
      </c>
      <c r="M1779">
        <v>0</v>
      </c>
      <c r="N1779">
        <v>0</v>
      </c>
      <c r="O1779">
        <v>284</v>
      </c>
      <c r="P1779" t="str">
        <f t="shared" si="163"/>
        <v>High</v>
      </c>
      <c r="Q1779">
        <v>137</v>
      </c>
      <c r="R1779">
        <v>91</v>
      </c>
      <c r="S1779">
        <v>27.33</v>
      </c>
      <c r="T1779" t="str">
        <f t="shared" si="164"/>
        <v>Overweight</v>
      </c>
      <c r="U1779">
        <v>73</v>
      </c>
      <c r="V1779">
        <v>61</v>
      </c>
      <c r="W1779" t="str">
        <f t="shared" si="167"/>
        <v>Normal</v>
      </c>
      <c r="X1779">
        <v>0</v>
      </c>
    </row>
    <row r="1780" spans="1:24" ht="14.5" thickBot="1" x14ac:dyDescent="0.35">
      <c r="A1780">
        <v>0</v>
      </c>
      <c r="B1780" t="str">
        <f t="shared" si="165"/>
        <v>Female</v>
      </c>
      <c r="C1780" s="8">
        <v>47</v>
      </c>
      <c r="D1780" t="str">
        <f t="shared" si="166"/>
        <v>Middle Age</v>
      </c>
      <c r="E1780">
        <v>1</v>
      </c>
      <c r="F1780" t="str">
        <f>HLOOKUP(E1780, LookUP_Table!$A$6:$D$7, 2, FALSE)</f>
        <v>Primary</v>
      </c>
      <c r="G1780" t="str">
        <f>IFERROR(VLOOKUP(E1780, LookUP_Table!$A$1:$B$4, 2, FALSE), "")</f>
        <v>Primary</v>
      </c>
      <c r="H1780">
        <v>1</v>
      </c>
      <c r="I1780">
        <v>25</v>
      </c>
      <c r="J1780" t="str">
        <f t="shared" si="162"/>
        <v>Smoker</v>
      </c>
      <c r="K1780">
        <v>0</v>
      </c>
      <c r="L1780">
        <v>0</v>
      </c>
      <c r="M1780">
        <v>1</v>
      </c>
      <c r="N1780">
        <v>1</v>
      </c>
      <c r="O1780">
        <v>258</v>
      </c>
      <c r="P1780" t="str">
        <f t="shared" si="163"/>
        <v>High</v>
      </c>
      <c r="Q1780">
        <v>195</v>
      </c>
      <c r="R1780">
        <v>90</v>
      </c>
      <c r="S1780">
        <v>25.80080075811421</v>
      </c>
      <c r="T1780" t="str">
        <f t="shared" si="164"/>
        <v>Overweight</v>
      </c>
      <c r="U1780">
        <v>86</v>
      </c>
      <c r="V1780">
        <v>81.96365524402907</v>
      </c>
      <c r="W1780" t="str">
        <f t="shared" si="167"/>
        <v>Normal</v>
      </c>
      <c r="X1780">
        <v>1</v>
      </c>
    </row>
    <row r="1781" spans="1:24" ht="14.5" thickBot="1" x14ac:dyDescent="0.35">
      <c r="A1781">
        <v>0</v>
      </c>
      <c r="B1781" t="str">
        <f t="shared" si="165"/>
        <v>Female</v>
      </c>
      <c r="C1781" s="8">
        <v>47</v>
      </c>
      <c r="D1781" t="str">
        <f t="shared" si="166"/>
        <v>Middle Age</v>
      </c>
      <c r="E1781">
        <v>3</v>
      </c>
      <c r="F1781" t="str">
        <f>HLOOKUP(E1781, LookUP_Table!$A$6:$D$7, 2, FALSE)</f>
        <v>Graduate</v>
      </c>
      <c r="G1781" t="str">
        <f>IFERROR(VLOOKUP(E1781, LookUP_Table!$A$1:$B$4, 2, FALSE), "")</f>
        <v>Graduate</v>
      </c>
      <c r="H1781">
        <v>0</v>
      </c>
      <c r="I1781">
        <v>0</v>
      </c>
      <c r="J1781" t="str">
        <f t="shared" si="162"/>
        <v>Non-Smoker</v>
      </c>
      <c r="K1781">
        <v>0</v>
      </c>
      <c r="L1781">
        <v>0</v>
      </c>
      <c r="M1781">
        <v>0</v>
      </c>
      <c r="N1781">
        <v>0</v>
      </c>
      <c r="O1781">
        <v>250</v>
      </c>
      <c r="P1781" t="str">
        <f t="shared" si="163"/>
        <v>High</v>
      </c>
      <c r="Q1781">
        <v>114</v>
      </c>
      <c r="R1781">
        <v>77</v>
      </c>
      <c r="S1781">
        <v>24.16</v>
      </c>
      <c r="T1781" t="str">
        <f t="shared" si="164"/>
        <v>Normal</v>
      </c>
      <c r="U1781">
        <v>80</v>
      </c>
      <c r="V1781">
        <v>93</v>
      </c>
      <c r="W1781" t="str">
        <f t="shared" si="167"/>
        <v>Normal</v>
      </c>
      <c r="X1781">
        <v>0</v>
      </c>
    </row>
    <row r="1782" spans="1:24" ht="14.5" thickBot="1" x14ac:dyDescent="0.35">
      <c r="A1782">
        <v>0</v>
      </c>
      <c r="B1782" t="str">
        <f t="shared" si="165"/>
        <v>Female</v>
      </c>
      <c r="C1782" s="8">
        <v>47</v>
      </c>
      <c r="D1782" t="str">
        <f t="shared" si="166"/>
        <v>Middle Age</v>
      </c>
      <c r="E1782">
        <v>2</v>
      </c>
      <c r="F1782" t="str">
        <f>HLOOKUP(E1782, LookUP_Table!$A$6:$D$7, 2, FALSE)</f>
        <v>Secondary</v>
      </c>
      <c r="G1782" t="str">
        <f>IFERROR(VLOOKUP(E1782, LookUP_Table!$A$1:$B$4, 2, FALSE), "")</f>
        <v>Secondary</v>
      </c>
      <c r="H1782">
        <v>1</v>
      </c>
      <c r="I1782">
        <v>3</v>
      </c>
      <c r="J1782" t="str">
        <f t="shared" si="162"/>
        <v>Smoker</v>
      </c>
      <c r="K1782">
        <v>0</v>
      </c>
      <c r="L1782">
        <v>0</v>
      </c>
      <c r="M1782">
        <v>0</v>
      </c>
      <c r="N1782">
        <v>0</v>
      </c>
      <c r="O1782">
        <v>155</v>
      </c>
      <c r="P1782" t="str">
        <f t="shared" si="163"/>
        <v>Normal</v>
      </c>
      <c r="Q1782">
        <v>122.5</v>
      </c>
      <c r="R1782">
        <v>77.5</v>
      </c>
      <c r="S1782">
        <v>21.34</v>
      </c>
      <c r="T1782" t="str">
        <f t="shared" si="164"/>
        <v>Normal</v>
      </c>
      <c r="U1782">
        <v>65</v>
      </c>
      <c r="V1782">
        <v>78</v>
      </c>
      <c r="W1782" t="str">
        <f t="shared" si="167"/>
        <v>Normal</v>
      </c>
      <c r="X1782">
        <v>0</v>
      </c>
    </row>
    <row r="1783" spans="1:24" ht="14.5" thickBot="1" x14ac:dyDescent="0.35">
      <c r="A1783">
        <v>0</v>
      </c>
      <c r="B1783" t="str">
        <f t="shared" si="165"/>
        <v>Female</v>
      </c>
      <c r="C1783" s="8">
        <v>47</v>
      </c>
      <c r="D1783" t="str">
        <f t="shared" si="166"/>
        <v>Middle Age</v>
      </c>
      <c r="E1783">
        <v>1</v>
      </c>
      <c r="F1783" t="str">
        <f>HLOOKUP(E1783, LookUP_Table!$A$6:$D$7, 2, FALSE)</f>
        <v>Primary</v>
      </c>
      <c r="G1783" t="str">
        <f>IFERROR(VLOOKUP(E1783, LookUP_Table!$A$1:$B$4, 2, FALSE), "")</f>
        <v>Primary</v>
      </c>
      <c r="H1783">
        <v>0</v>
      </c>
      <c r="I1783">
        <v>0</v>
      </c>
      <c r="J1783" t="str">
        <f t="shared" si="162"/>
        <v>Non-Smoker</v>
      </c>
      <c r="K1783">
        <v>0</v>
      </c>
      <c r="L1783">
        <v>0</v>
      </c>
      <c r="M1783">
        <v>0</v>
      </c>
      <c r="N1783">
        <v>0</v>
      </c>
      <c r="O1783">
        <v>234</v>
      </c>
      <c r="P1783" t="str">
        <f t="shared" si="163"/>
        <v>Normal</v>
      </c>
      <c r="Q1783">
        <v>127.5</v>
      </c>
      <c r="R1783">
        <v>83.5</v>
      </c>
      <c r="S1783">
        <v>27.65</v>
      </c>
      <c r="T1783" t="str">
        <f t="shared" si="164"/>
        <v>Overweight</v>
      </c>
      <c r="U1783">
        <v>85</v>
      </c>
      <c r="V1783">
        <v>89</v>
      </c>
      <c r="W1783" t="str">
        <f t="shared" si="167"/>
        <v>Normal</v>
      </c>
      <c r="X1783">
        <v>0</v>
      </c>
    </row>
    <row r="1784" spans="1:24" ht="14.5" thickBot="1" x14ac:dyDescent="0.35">
      <c r="A1784">
        <v>0</v>
      </c>
      <c r="B1784" t="str">
        <f t="shared" si="165"/>
        <v>Female</v>
      </c>
      <c r="C1784" s="8">
        <v>47</v>
      </c>
      <c r="D1784" t="str">
        <f t="shared" si="166"/>
        <v>Middle Age</v>
      </c>
      <c r="E1784">
        <v>2</v>
      </c>
      <c r="F1784" t="str">
        <f>HLOOKUP(E1784, LookUP_Table!$A$6:$D$7, 2, FALSE)</f>
        <v>Secondary</v>
      </c>
      <c r="G1784" t="str">
        <f>IFERROR(VLOOKUP(E1784, LookUP_Table!$A$1:$B$4, 2, FALSE), "")</f>
        <v>Secondary</v>
      </c>
      <c r="H1784">
        <v>1</v>
      </c>
      <c r="I1784">
        <v>10</v>
      </c>
      <c r="J1784" t="str">
        <f t="shared" si="162"/>
        <v>Smoker</v>
      </c>
      <c r="K1784">
        <v>1</v>
      </c>
      <c r="L1784">
        <v>0</v>
      </c>
      <c r="M1784">
        <v>1</v>
      </c>
      <c r="N1784">
        <v>0</v>
      </c>
      <c r="O1784">
        <v>186</v>
      </c>
      <c r="P1784" t="str">
        <f t="shared" si="163"/>
        <v>Normal</v>
      </c>
      <c r="Q1784">
        <v>150</v>
      </c>
      <c r="R1784">
        <v>85</v>
      </c>
      <c r="S1784">
        <v>22.53</v>
      </c>
      <c r="T1784" t="str">
        <f t="shared" si="164"/>
        <v>Normal</v>
      </c>
      <c r="U1784">
        <v>62</v>
      </c>
      <c r="V1784">
        <v>93</v>
      </c>
      <c r="W1784" t="str">
        <f t="shared" si="167"/>
        <v>Normal</v>
      </c>
      <c r="X1784">
        <v>0</v>
      </c>
    </row>
    <row r="1785" spans="1:24" ht="14.5" thickBot="1" x14ac:dyDescent="0.35">
      <c r="A1785">
        <v>0</v>
      </c>
      <c r="B1785" t="str">
        <f t="shared" si="165"/>
        <v>Female</v>
      </c>
      <c r="C1785" s="8">
        <v>47</v>
      </c>
      <c r="D1785" t="str">
        <f t="shared" si="166"/>
        <v>Middle Age</v>
      </c>
      <c r="E1785">
        <v>1</v>
      </c>
      <c r="F1785" t="str">
        <f>HLOOKUP(E1785, LookUP_Table!$A$6:$D$7, 2, FALSE)</f>
        <v>Primary</v>
      </c>
      <c r="G1785" t="str">
        <f>IFERROR(VLOOKUP(E1785, LookUP_Table!$A$1:$B$4, 2, FALSE), "")</f>
        <v>Primary</v>
      </c>
      <c r="H1785">
        <v>0</v>
      </c>
      <c r="I1785">
        <v>0</v>
      </c>
      <c r="J1785" t="str">
        <f t="shared" si="162"/>
        <v>Non-Smoker</v>
      </c>
      <c r="K1785">
        <v>0</v>
      </c>
      <c r="L1785">
        <v>0</v>
      </c>
      <c r="M1785">
        <v>1</v>
      </c>
      <c r="N1785">
        <v>0</v>
      </c>
      <c r="O1785">
        <v>222</v>
      </c>
      <c r="P1785" t="str">
        <f t="shared" si="163"/>
        <v>Normal</v>
      </c>
      <c r="Q1785">
        <v>162.5</v>
      </c>
      <c r="R1785">
        <v>92.5</v>
      </c>
      <c r="S1785">
        <v>23.45</v>
      </c>
      <c r="T1785" t="str">
        <f t="shared" si="164"/>
        <v>Normal</v>
      </c>
      <c r="U1785">
        <v>78</v>
      </c>
      <c r="V1785">
        <v>80</v>
      </c>
      <c r="W1785" t="str">
        <f t="shared" si="167"/>
        <v>Normal</v>
      </c>
      <c r="X1785">
        <v>0</v>
      </c>
    </row>
    <row r="1786" spans="1:24" ht="14.5" thickBot="1" x14ac:dyDescent="0.35">
      <c r="A1786">
        <v>0</v>
      </c>
      <c r="B1786" t="str">
        <f t="shared" si="165"/>
        <v>Female</v>
      </c>
      <c r="C1786" s="8">
        <v>47</v>
      </c>
      <c r="D1786" t="str">
        <f t="shared" si="166"/>
        <v>Middle Age</v>
      </c>
      <c r="E1786">
        <v>3</v>
      </c>
      <c r="F1786" t="str">
        <f>HLOOKUP(E1786, LookUP_Table!$A$6:$D$7, 2, FALSE)</f>
        <v>Graduate</v>
      </c>
      <c r="G1786" t="str">
        <f>IFERROR(VLOOKUP(E1786, LookUP_Table!$A$1:$B$4, 2, FALSE), "")</f>
        <v>Graduate</v>
      </c>
      <c r="H1786">
        <v>1</v>
      </c>
      <c r="I1786">
        <v>5</v>
      </c>
      <c r="J1786" t="str">
        <f t="shared" si="162"/>
        <v>Smoker</v>
      </c>
      <c r="K1786">
        <v>0</v>
      </c>
      <c r="L1786">
        <v>0</v>
      </c>
      <c r="M1786">
        <v>0</v>
      </c>
      <c r="N1786">
        <v>0</v>
      </c>
      <c r="O1786">
        <v>196</v>
      </c>
      <c r="P1786" t="str">
        <f t="shared" si="163"/>
        <v>Normal</v>
      </c>
      <c r="Q1786">
        <v>134</v>
      </c>
      <c r="R1786">
        <v>86</v>
      </c>
      <c r="S1786">
        <v>26.2</v>
      </c>
      <c r="T1786" t="str">
        <f t="shared" si="164"/>
        <v>Overweight</v>
      </c>
      <c r="U1786">
        <v>71</v>
      </c>
      <c r="V1786">
        <v>81.96365524402907</v>
      </c>
      <c r="W1786" t="str">
        <f t="shared" si="167"/>
        <v>Normal</v>
      </c>
      <c r="X1786">
        <v>0</v>
      </c>
    </row>
    <row r="1787" spans="1:24" ht="14.5" thickBot="1" x14ac:dyDescent="0.35">
      <c r="A1787">
        <v>1</v>
      </c>
      <c r="B1787" t="str">
        <f t="shared" si="165"/>
        <v>Male</v>
      </c>
      <c r="C1787" s="8">
        <v>47</v>
      </c>
      <c r="D1787" t="str">
        <f t="shared" si="166"/>
        <v>Middle Age</v>
      </c>
      <c r="E1787">
        <v>3</v>
      </c>
      <c r="F1787" t="str">
        <f>HLOOKUP(E1787, LookUP_Table!$A$6:$D$7, 2, FALSE)</f>
        <v>Graduate</v>
      </c>
      <c r="G1787" t="str">
        <f>IFERROR(VLOOKUP(E1787, LookUP_Table!$A$1:$B$4, 2, FALSE), "")</f>
        <v>Graduate</v>
      </c>
      <c r="H1787">
        <v>1</v>
      </c>
      <c r="I1787">
        <v>25</v>
      </c>
      <c r="J1787" t="str">
        <f t="shared" si="162"/>
        <v>Smoker</v>
      </c>
      <c r="K1787">
        <v>0</v>
      </c>
      <c r="L1787">
        <v>0</v>
      </c>
      <c r="M1787">
        <v>0</v>
      </c>
      <c r="N1787">
        <v>0</v>
      </c>
      <c r="O1787">
        <v>261</v>
      </c>
      <c r="P1787" t="str">
        <f t="shared" si="163"/>
        <v>High</v>
      </c>
      <c r="Q1787">
        <v>105</v>
      </c>
      <c r="R1787">
        <v>74</v>
      </c>
      <c r="S1787">
        <v>20.57</v>
      </c>
      <c r="T1787" t="str">
        <f t="shared" si="164"/>
        <v>Normal</v>
      </c>
      <c r="U1787">
        <v>85</v>
      </c>
      <c r="V1787">
        <v>75</v>
      </c>
      <c r="W1787" t="str">
        <f t="shared" si="167"/>
        <v>Normal</v>
      </c>
      <c r="X1787">
        <v>0</v>
      </c>
    </row>
    <row r="1788" spans="1:24" ht="14.5" thickBot="1" x14ac:dyDescent="0.35">
      <c r="A1788">
        <v>1</v>
      </c>
      <c r="B1788" t="str">
        <f t="shared" si="165"/>
        <v>Male</v>
      </c>
      <c r="C1788" s="8">
        <v>47</v>
      </c>
      <c r="D1788" t="str">
        <f t="shared" si="166"/>
        <v>Middle Age</v>
      </c>
      <c r="E1788">
        <v>2</v>
      </c>
      <c r="F1788" t="str">
        <f>HLOOKUP(E1788, LookUP_Table!$A$6:$D$7, 2, FALSE)</f>
        <v>Secondary</v>
      </c>
      <c r="G1788" t="str">
        <f>IFERROR(VLOOKUP(E1788, LookUP_Table!$A$1:$B$4, 2, FALSE), "")</f>
        <v>Secondary</v>
      </c>
      <c r="H1788">
        <v>1</v>
      </c>
      <c r="I1788">
        <v>18</v>
      </c>
      <c r="J1788" t="str">
        <f t="shared" si="162"/>
        <v>Smoker</v>
      </c>
      <c r="K1788">
        <v>0</v>
      </c>
      <c r="L1788">
        <v>0</v>
      </c>
      <c r="M1788">
        <v>1</v>
      </c>
      <c r="N1788">
        <v>0</v>
      </c>
      <c r="O1788">
        <v>439</v>
      </c>
      <c r="P1788" t="str">
        <f t="shared" si="163"/>
        <v>High</v>
      </c>
      <c r="Q1788">
        <v>145</v>
      </c>
      <c r="R1788">
        <v>74</v>
      </c>
      <c r="S1788">
        <v>22.42</v>
      </c>
      <c r="T1788" t="str">
        <f t="shared" si="164"/>
        <v>Normal</v>
      </c>
      <c r="U1788">
        <v>100</v>
      </c>
      <c r="V1788">
        <v>90</v>
      </c>
      <c r="W1788" t="str">
        <f t="shared" si="167"/>
        <v>Normal</v>
      </c>
      <c r="X1788">
        <v>1</v>
      </c>
    </row>
    <row r="1789" spans="1:24" ht="14.5" thickBot="1" x14ac:dyDescent="0.35">
      <c r="A1789">
        <v>0</v>
      </c>
      <c r="B1789" t="str">
        <f t="shared" si="165"/>
        <v>Female</v>
      </c>
      <c r="C1789" s="8">
        <v>47</v>
      </c>
      <c r="D1789" t="str">
        <f t="shared" si="166"/>
        <v>Middle Age</v>
      </c>
      <c r="E1789">
        <v>2</v>
      </c>
      <c r="F1789" t="str">
        <f>HLOOKUP(E1789, LookUP_Table!$A$6:$D$7, 2, FALSE)</f>
        <v>Secondary</v>
      </c>
      <c r="G1789" t="str">
        <f>IFERROR(VLOOKUP(E1789, LookUP_Table!$A$1:$B$4, 2, FALSE), "")</f>
        <v>Secondary</v>
      </c>
      <c r="H1789">
        <v>0</v>
      </c>
      <c r="I1789">
        <v>0</v>
      </c>
      <c r="J1789" t="str">
        <f t="shared" si="162"/>
        <v>Non-Smoker</v>
      </c>
      <c r="K1789">
        <v>0</v>
      </c>
      <c r="L1789">
        <v>0</v>
      </c>
      <c r="M1789">
        <v>0</v>
      </c>
      <c r="N1789">
        <v>0</v>
      </c>
      <c r="O1789">
        <v>223</v>
      </c>
      <c r="P1789" t="str">
        <f t="shared" si="163"/>
        <v>Normal</v>
      </c>
      <c r="Q1789">
        <v>120</v>
      </c>
      <c r="R1789">
        <v>74</v>
      </c>
      <c r="S1789">
        <v>20.27</v>
      </c>
      <c r="T1789" t="str">
        <f t="shared" si="164"/>
        <v>Normal</v>
      </c>
      <c r="U1789">
        <v>80</v>
      </c>
      <c r="V1789">
        <v>76</v>
      </c>
      <c r="W1789" t="str">
        <f t="shared" si="167"/>
        <v>Normal</v>
      </c>
      <c r="X1789">
        <v>0</v>
      </c>
    </row>
    <row r="1790" spans="1:24" ht="14.5" thickBot="1" x14ac:dyDescent="0.35">
      <c r="A1790">
        <v>0</v>
      </c>
      <c r="B1790" t="str">
        <f t="shared" si="165"/>
        <v>Female</v>
      </c>
      <c r="C1790" s="8">
        <v>47</v>
      </c>
      <c r="D1790" t="str">
        <f t="shared" si="166"/>
        <v>Middle Age</v>
      </c>
      <c r="E1790">
        <v>2</v>
      </c>
      <c r="F1790" t="str">
        <f>HLOOKUP(E1790, LookUP_Table!$A$6:$D$7, 2, FALSE)</f>
        <v>Secondary</v>
      </c>
      <c r="G1790" t="str">
        <f>IFERROR(VLOOKUP(E1790, LookUP_Table!$A$1:$B$4, 2, FALSE), "")</f>
        <v>Secondary</v>
      </c>
      <c r="H1790">
        <v>1</v>
      </c>
      <c r="I1790">
        <v>15</v>
      </c>
      <c r="J1790" t="str">
        <f t="shared" si="162"/>
        <v>Smoker</v>
      </c>
      <c r="K1790">
        <v>0</v>
      </c>
      <c r="L1790">
        <v>0</v>
      </c>
      <c r="M1790">
        <v>0</v>
      </c>
      <c r="N1790">
        <v>0</v>
      </c>
      <c r="O1790">
        <v>246</v>
      </c>
      <c r="P1790" t="str">
        <f t="shared" si="163"/>
        <v>High</v>
      </c>
      <c r="Q1790">
        <v>113</v>
      </c>
      <c r="R1790">
        <v>75</v>
      </c>
      <c r="S1790">
        <v>21.66</v>
      </c>
      <c r="T1790" t="str">
        <f t="shared" si="164"/>
        <v>Normal</v>
      </c>
      <c r="U1790">
        <v>68</v>
      </c>
      <c r="V1790">
        <v>68</v>
      </c>
      <c r="W1790" t="str">
        <f t="shared" si="167"/>
        <v>Normal</v>
      </c>
      <c r="X1790">
        <v>0</v>
      </c>
    </row>
    <row r="1791" spans="1:24" ht="14.5" thickBot="1" x14ac:dyDescent="0.35">
      <c r="A1791">
        <v>0</v>
      </c>
      <c r="B1791" t="str">
        <f t="shared" si="165"/>
        <v>Female</v>
      </c>
      <c r="C1791" s="8">
        <v>47</v>
      </c>
      <c r="D1791" t="str">
        <f t="shared" si="166"/>
        <v>Middle Age</v>
      </c>
      <c r="E1791">
        <v>2</v>
      </c>
      <c r="F1791" t="str">
        <f>HLOOKUP(E1791, LookUP_Table!$A$6:$D$7, 2, FALSE)</f>
        <v>Secondary</v>
      </c>
      <c r="G1791" t="str">
        <f>IFERROR(VLOOKUP(E1791, LookUP_Table!$A$1:$B$4, 2, FALSE), "")</f>
        <v>Secondary</v>
      </c>
      <c r="H1791">
        <v>1</v>
      </c>
      <c r="I1791">
        <v>20</v>
      </c>
      <c r="J1791" t="str">
        <f t="shared" si="162"/>
        <v>Smoker</v>
      </c>
      <c r="K1791">
        <v>0</v>
      </c>
      <c r="L1791">
        <v>0</v>
      </c>
      <c r="M1791">
        <v>0</v>
      </c>
      <c r="N1791">
        <v>0</v>
      </c>
      <c r="O1791">
        <v>272</v>
      </c>
      <c r="P1791" t="str">
        <f t="shared" si="163"/>
        <v>High</v>
      </c>
      <c r="Q1791">
        <v>127.5</v>
      </c>
      <c r="R1791">
        <v>87.5</v>
      </c>
      <c r="S1791">
        <v>22.35</v>
      </c>
      <c r="T1791" t="str">
        <f t="shared" si="164"/>
        <v>Normal</v>
      </c>
      <c r="U1791">
        <v>80</v>
      </c>
      <c r="V1791">
        <v>72</v>
      </c>
      <c r="W1791" t="str">
        <f t="shared" si="167"/>
        <v>Normal</v>
      </c>
      <c r="X1791">
        <v>0</v>
      </c>
    </row>
    <row r="1792" spans="1:24" ht="14.5" thickBot="1" x14ac:dyDescent="0.35">
      <c r="A1792">
        <v>0</v>
      </c>
      <c r="B1792" t="str">
        <f t="shared" si="165"/>
        <v>Female</v>
      </c>
      <c r="C1792" s="8">
        <v>47</v>
      </c>
      <c r="D1792" t="str">
        <f t="shared" si="166"/>
        <v>Middle Age</v>
      </c>
      <c r="E1792">
        <v>3</v>
      </c>
      <c r="F1792" t="str">
        <f>HLOOKUP(E1792, LookUP_Table!$A$6:$D$7, 2, FALSE)</f>
        <v>Graduate</v>
      </c>
      <c r="G1792" t="str">
        <f>IFERROR(VLOOKUP(E1792, LookUP_Table!$A$1:$B$4, 2, FALSE), "")</f>
        <v>Graduate</v>
      </c>
      <c r="H1792">
        <v>0</v>
      </c>
      <c r="I1792">
        <v>0</v>
      </c>
      <c r="J1792" t="str">
        <f t="shared" si="162"/>
        <v>Non-Smoker</v>
      </c>
      <c r="K1792">
        <v>0</v>
      </c>
      <c r="L1792">
        <v>0</v>
      </c>
      <c r="M1792">
        <v>0</v>
      </c>
      <c r="N1792">
        <v>0</v>
      </c>
      <c r="O1792">
        <v>294</v>
      </c>
      <c r="P1792" t="str">
        <f t="shared" si="163"/>
        <v>High</v>
      </c>
      <c r="Q1792">
        <v>109</v>
      </c>
      <c r="R1792">
        <v>72.5</v>
      </c>
      <c r="S1792">
        <v>28.59</v>
      </c>
      <c r="T1792" t="str">
        <f t="shared" si="164"/>
        <v>Overweight</v>
      </c>
      <c r="U1792">
        <v>82</v>
      </c>
      <c r="V1792">
        <v>77</v>
      </c>
      <c r="W1792" t="str">
        <f t="shared" si="167"/>
        <v>Normal</v>
      </c>
      <c r="X1792">
        <v>0</v>
      </c>
    </row>
    <row r="1793" spans="1:24" ht="14.5" thickBot="1" x14ac:dyDescent="0.35">
      <c r="A1793">
        <v>1</v>
      </c>
      <c r="B1793" t="str">
        <f t="shared" si="165"/>
        <v>Male</v>
      </c>
      <c r="C1793" s="8">
        <v>47</v>
      </c>
      <c r="D1793" t="str">
        <f t="shared" si="166"/>
        <v>Middle Age</v>
      </c>
      <c r="E1793">
        <v>1</v>
      </c>
      <c r="F1793" t="str">
        <f>HLOOKUP(E1793, LookUP_Table!$A$6:$D$7, 2, FALSE)</f>
        <v>Primary</v>
      </c>
      <c r="G1793" t="str">
        <f>IFERROR(VLOOKUP(E1793, LookUP_Table!$A$1:$B$4, 2, FALSE), "")</f>
        <v>Primary</v>
      </c>
      <c r="H1793">
        <v>1</v>
      </c>
      <c r="I1793">
        <v>30</v>
      </c>
      <c r="J1793" t="str">
        <f t="shared" si="162"/>
        <v>Smoker</v>
      </c>
      <c r="K1793">
        <v>0</v>
      </c>
      <c r="L1793">
        <v>0</v>
      </c>
      <c r="M1793">
        <v>0</v>
      </c>
      <c r="N1793">
        <v>0</v>
      </c>
      <c r="O1793">
        <v>143</v>
      </c>
      <c r="P1793" t="str">
        <f t="shared" si="163"/>
        <v>Normal</v>
      </c>
      <c r="Q1793">
        <v>114</v>
      </c>
      <c r="R1793">
        <v>79</v>
      </c>
      <c r="S1793">
        <v>26.59</v>
      </c>
      <c r="T1793" t="str">
        <f t="shared" si="164"/>
        <v>Overweight</v>
      </c>
      <c r="U1793">
        <v>69</v>
      </c>
      <c r="V1793">
        <v>72</v>
      </c>
      <c r="W1793" t="str">
        <f t="shared" si="167"/>
        <v>Normal</v>
      </c>
      <c r="X1793">
        <v>1</v>
      </c>
    </row>
    <row r="1794" spans="1:24" ht="14.5" thickBot="1" x14ac:dyDescent="0.35">
      <c r="A1794">
        <v>0</v>
      </c>
      <c r="B1794" t="str">
        <f t="shared" si="165"/>
        <v>Female</v>
      </c>
      <c r="C1794" s="8">
        <v>47</v>
      </c>
      <c r="D1794" t="str">
        <f t="shared" si="166"/>
        <v>Middle Age</v>
      </c>
      <c r="E1794">
        <v>4</v>
      </c>
      <c r="F1794" t="str">
        <f>HLOOKUP(E1794, LookUP_Table!$A$6:$D$7, 2, FALSE)</f>
        <v>Post Graduate</v>
      </c>
      <c r="G1794" t="str">
        <f>IFERROR(VLOOKUP(E1794, LookUP_Table!$A$1:$B$4, 2, FALSE), "")</f>
        <v>Post Graduate</v>
      </c>
      <c r="H1794">
        <v>0</v>
      </c>
      <c r="I1794">
        <v>0</v>
      </c>
      <c r="J1794" t="str">
        <f t="shared" ref="J1794:J1857" si="168">IF(I1794&gt;0,"Smoker","Non-Smoker")</f>
        <v>Non-Smoker</v>
      </c>
      <c r="K1794">
        <v>0</v>
      </c>
      <c r="L1794">
        <v>0</v>
      </c>
      <c r="M1794">
        <v>0</v>
      </c>
      <c r="N1794">
        <v>0</v>
      </c>
      <c r="O1794">
        <v>230</v>
      </c>
      <c r="P1794" t="str">
        <f t="shared" ref="P1794:P1857" si="169">IF(O1794&gt;240,"High","Normal")</f>
        <v>Normal</v>
      </c>
      <c r="Q1794">
        <v>119</v>
      </c>
      <c r="R1794">
        <v>87</v>
      </c>
      <c r="S1794">
        <v>29.23</v>
      </c>
      <c r="T1794" t="str">
        <f t="shared" ref="T1794:T1857" si="170">IF(S1794&lt;18.5,"Underweight",
IF(S1794&lt;25,"Normal",
IF(S1794&lt;30,"Overweight","Obese")))</f>
        <v>Overweight</v>
      </c>
      <c r="U1794">
        <v>75</v>
      </c>
      <c r="V1794">
        <v>81.96365524402907</v>
      </c>
      <c r="W1794" t="str">
        <f t="shared" si="167"/>
        <v>Normal</v>
      </c>
      <c r="X1794">
        <v>0</v>
      </c>
    </row>
    <row r="1795" spans="1:24" ht="14.5" thickBot="1" x14ac:dyDescent="0.35">
      <c r="A1795">
        <v>1</v>
      </c>
      <c r="B1795" t="str">
        <f t="shared" ref="B1795:B1858" si="171">IF(A1795=0,"Female","Male")</f>
        <v>Male</v>
      </c>
      <c r="C1795" s="8">
        <v>47</v>
      </c>
      <c r="D1795" t="str">
        <f t="shared" ref="D1795:D1858" si="172">IF(C1795&lt;40,"Young",
IF(C1795&lt;55,"Middle Age","Senior"))</f>
        <v>Middle Age</v>
      </c>
      <c r="E1795">
        <v>4</v>
      </c>
      <c r="F1795" t="str">
        <f>HLOOKUP(E1795, LookUP_Table!$A$6:$D$7, 2, FALSE)</f>
        <v>Post Graduate</v>
      </c>
      <c r="G1795" t="str">
        <f>IFERROR(VLOOKUP(E1795, LookUP_Table!$A$1:$B$4, 2, FALSE), "")</f>
        <v>Post Graduate</v>
      </c>
      <c r="H1795">
        <v>1</v>
      </c>
      <c r="I1795">
        <v>9</v>
      </c>
      <c r="J1795" t="str">
        <f t="shared" si="168"/>
        <v>Smoker</v>
      </c>
      <c r="K1795">
        <v>0</v>
      </c>
      <c r="L1795">
        <v>0</v>
      </c>
      <c r="M1795">
        <v>0</v>
      </c>
      <c r="N1795">
        <v>0</v>
      </c>
      <c r="O1795">
        <v>184</v>
      </c>
      <c r="P1795" t="str">
        <f t="shared" si="169"/>
        <v>Normal</v>
      </c>
      <c r="Q1795">
        <v>107</v>
      </c>
      <c r="R1795">
        <v>66.5</v>
      </c>
      <c r="S1795">
        <v>16.87</v>
      </c>
      <c r="T1795" t="str">
        <f t="shared" si="170"/>
        <v>Underweight</v>
      </c>
      <c r="U1795">
        <v>65</v>
      </c>
      <c r="V1795">
        <v>70</v>
      </c>
      <c r="W1795" t="str">
        <f t="shared" ref="W1795:W1858" si="173">IF(V1795 &lt; 100, "Normal", IF(V1795 &lt;= 125, "Prediabetes", "Diabetes"))</f>
        <v>Normal</v>
      </c>
      <c r="X1795">
        <v>0</v>
      </c>
    </row>
    <row r="1796" spans="1:24" ht="14.5" thickBot="1" x14ac:dyDescent="0.35">
      <c r="A1796">
        <v>1</v>
      </c>
      <c r="B1796" t="str">
        <f t="shared" si="171"/>
        <v>Male</v>
      </c>
      <c r="C1796" s="8">
        <v>47</v>
      </c>
      <c r="D1796" t="str">
        <f t="shared" si="172"/>
        <v>Middle Age</v>
      </c>
      <c r="E1796">
        <v>3</v>
      </c>
      <c r="F1796" t="str">
        <f>HLOOKUP(E1796, LookUP_Table!$A$6:$D$7, 2, FALSE)</f>
        <v>Graduate</v>
      </c>
      <c r="G1796" t="str">
        <f>IFERROR(VLOOKUP(E1796, LookUP_Table!$A$1:$B$4, 2, FALSE), "")</f>
        <v>Graduate</v>
      </c>
      <c r="H1796">
        <v>1</v>
      </c>
      <c r="I1796">
        <v>20</v>
      </c>
      <c r="J1796" t="str">
        <f t="shared" si="168"/>
        <v>Smoker</v>
      </c>
      <c r="K1796">
        <v>0</v>
      </c>
      <c r="L1796">
        <v>0</v>
      </c>
      <c r="M1796">
        <v>1</v>
      </c>
      <c r="N1796">
        <v>0</v>
      </c>
      <c r="O1796">
        <v>177</v>
      </c>
      <c r="P1796" t="str">
        <f t="shared" si="169"/>
        <v>Normal</v>
      </c>
      <c r="Q1796">
        <v>150</v>
      </c>
      <c r="R1796">
        <v>101</v>
      </c>
      <c r="S1796">
        <v>28.96</v>
      </c>
      <c r="T1796" t="str">
        <f t="shared" si="170"/>
        <v>Overweight</v>
      </c>
      <c r="U1796">
        <v>75</v>
      </c>
      <c r="V1796">
        <v>60</v>
      </c>
      <c r="W1796" t="str">
        <f t="shared" si="173"/>
        <v>Normal</v>
      </c>
      <c r="X1796">
        <v>0</v>
      </c>
    </row>
    <row r="1797" spans="1:24" ht="14.5" thickBot="1" x14ac:dyDescent="0.35">
      <c r="A1797">
        <v>1</v>
      </c>
      <c r="B1797" t="str">
        <f t="shared" si="171"/>
        <v>Male</v>
      </c>
      <c r="C1797" s="8">
        <v>47</v>
      </c>
      <c r="D1797" t="str">
        <f t="shared" si="172"/>
        <v>Middle Age</v>
      </c>
      <c r="E1797">
        <v>2</v>
      </c>
      <c r="F1797" t="str">
        <f>HLOOKUP(E1797, LookUP_Table!$A$6:$D$7, 2, FALSE)</f>
        <v>Secondary</v>
      </c>
      <c r="G1797" t="str">
        <f>IFERROR(VLOOKUP(E1797, LookUP_Table!$A$1:$B$4, 2, FALSE), "")</f>
        <v>Secondary</v>
      </c>
      <c r="H1797">
        <v>0</v>
      </c>
      <c r="I1797">
        <v>0</v>
      </c>
      <c r="J1797" t="str">
        <f t="shared" si="168"/>
        <v>Non-Smoker</v>
      </c>
      <c r="K1797">
        <v>0</v>
      </c>
      <c r="L1797">
        <v>0</v>
      </c>
      <c r="M1797">
        <v>1</v>
      </c>
      <c r="N1797">
        <v>0</v>
      </c>
      <c r="O1797">
        <v>219</v>
      </c>
      <c r="P1797" t="str">
        <f t="shared" si="169"/>
        <v>Normal</v>
      </c>
      <c r="Q1797">
        <v>132</v>
      </c>
      <c r="R1797">
        <v>91</v>
      </c>
      <c r="S1797">
        <v>27.93</v>
      </c>
      <c r="T1797" t="str">
        <f t="shared" si="170"/>
        <v>Overweight</v>
      </c>
      <c r="U1797">
        <v>75</v>
      </c>
      <c r="V1797">
        <v>80</v>
      </c>
      <c r="W1797" t="str">
        <f t="shared" si="173"/>
        <v>Normal</v>
      </c>
      <c r="X1797">
        <v>1</v>
      </c>
    </row>
    <row r="1798" spans="1:24" ht="14.5" thickBot="1" x14ac:dyDescent="0.35">
      <c r="A1798">
        <v>0</v>
      </c>
      <c r="B1798" t="str">
        <f t="shared" si="171"/>
        <v>Female</v>
      </c>
      <c r="C1798" s="8">
        <v>47</v>
      </c>
      <c r="D1798" t="str">
        <f t="shared" si="172"/>
        <v>Middle Age</v>
      </c>
      <c r="E1798">
        <v>2</v>
      </c>
      <c r="F1798" t="str">
        <f>HLOOKUP(E1798, LookUP_Table!$A$6:$D$7, 2, FALSE)</f>
        <v>Secondary</v>
      </c>
      <c r="G1798" t="str">
        <f>IFERROR(VLOOKUP(E1798, LookUP_Table!$A$1:$B$4, 2, FALSE), "")</f>
        <v>Secondary</v>
      </c>
      <c r="H1798">
        <v>1</v>
      </c>
      <c r="I1798">
        <v>10</v>
      </c>
      <c r="J1798" t="str">
        <f t="shared" si="168"/>
        <v>Smoker</v>
      </c>
      <c r="K1798">
        <v>0</v>
      </c>
      <c r="L1798">
        <v>0</v>
      </c>
      <c r="M1798">
        <v>0</v>
      </c>
      <c r="N1798">
        <v>0</v>
      </c>
      <c r="O1798">
        <v>191</v>
      </c>
      <c r="P1798" t="str">
        <f t="shared" si="169"/>
        <v>Normal</v>
      </c>
      <c r="Q1798">
        <v>125</v>
      </c>
      <c r="R1798">
        <v>72.5</v>
      </c>
      <c r="S1798">
        <v>23.81</v>
      </c>
      <c r="T1798" t="str">
        <f t="shared" si="170"/>
        <v>Normal</v>
      </c>
      <c r="U1798">
        <v>75</v>
      </c>
      <c r="V1798">
        <v>85</v>
      </c>
      <c r="W1798" t="str">
        <f t="shared" si="173"/>
        <v>Normal</v>
      </c>
      <c r="X1798">
        <v>0</v>
      </c>
    </row>
    <row r="1799" spans="1:24" ht="14.5" thickBot="1" x14ac:dyDescent="0.35">
      <c r="A1799">
        <v>0</v>
      </c>
      <c r="B1799" t="str">
        <f t="shared" si="171"/>
        <v>Female</v>
      </c>
      <c r="C1799" s="8">
        <v>47</v>
      </c>
      <c r="D1799" t="str">
        <f t="shared" si="172"/>
        <v>Middle Age</v>
      </c>
      <c r="E1799">
        <v>2</v>
      </c>
      <c r="F1799" t="str">
        <f>HLOOKUP(E1799, LookUP_Table!$A$6:$D$7, 2, FALSE)</f>
        <v>Secondary</v>
      </c>
      <c r="G1799" t="str">
        <f>IFERROR(VLOOKUP(E1799, LookUP_Table!$A$1:$B$4, 2, FALSE), "")</f>
        <v>Secondary</v>
      </c>
      <c r="H1799">
        <v>1</v>
      </c>
      <c r="I1799">
        <v>20</v>
      </c>
      <c r="J1799" t="str">
        <f t="shared" si="168"/>
        <v>Smoker</v>
      </c>
      <c r="K1799">
        <v>0</v>
      </c>
      <c r="L1799">
        <v>0</v>
      </c>
      <c r="M1799">
        <v>0</v>
      </c>
      <c r="N1799">
        <v>0</v>
      </c>
      <c r="O1799">
        <v>328</v>
      </c>
      <c r="P1799" t="str">
        <f t="shared" si="169"/>
        <v>High</v>
      </c>
      <c r="Q1799">
        <v>134</v>
      </c>
      <c r="R1799">
        <v>87</v>
      </c>
      <c r="S1799">
        <v>22.34</v>
      </c>
      <c r="T1799" t="str">
        <f t="shared" si="170"/>
        <v>Normal</v>
      </c>
      <c r="U1799">
        <v>92</v>
      </c>
      <c r="V1799">
        <v>99</v>
      </c>
      <c r="W1799" t="str">
        <f t="shared" si="173"/>
        <v>Normal</v>
      </c>
      <c r="X1799">
        <v>0</v>
      </c>
    </row>
    <row r="1800" spans="1:24" ht="14.5" thickBot="1" x14ac:dyDescent="0.35">
      <c r="A1800">
        <v>0</v>
      </c>
      <c r="B1800" t="str">
        <f t="shared" si="171"/>
        <v>Female</v>
      </c>
      <c r="C1800" s="8">
        <v>47</v>
      </c>
      <c r="D1800" t="str">
        <f t="shared" si="172"/>
        <v>Middle Age</v>
      </c>
      <c r="E1800">
        <v>2</v>
      </c>
      <c r="F1800" t="str">
        <f>HLOOKUP(E1800, LookUP_Table!$A$6:$D$7, 2, FALSE)</f>
        <v>Secondary</v>
      </c>
      <c r="G1800" t="str">
        <f>IFERROR(VLOOKUP(E1800, LookUP_Table!$A$1:$B$4, 2, FALSE), "")</f>
        <v>Secondary</v>
      </c>
      <c r="H1800">
        <v>1</v>
      </c>
      <c r="I1800">
        <v>6</v>
      </c>
      <c r="J1800" t="str">
        <f t="shared" si="168"/>
        <v>Smoker</v>
      </c>
      <c r="K1800">
        <v>0</v>
      </c>
      <c r="L1800">
        <v>0</v>
      </c>
      <c r="M1800">
        <v>0</v>
      </c>
      <c r="N1800">
        <v>0</v>
      </c>
      <c r="O1800">
        <v>234</v>
      </c>
      <c r="P1800" t="str">
        <f t="shared" si="169"/>
        <v>Normal</v>
      </c>
      <c r="Q1800">
        <v>128</v>
      </c>
      <c r="R1800">
        <v>91</v>
      </c>
      <c r="S1800">
        <v>25.59</v>
      </c>
      <c r="T1800" t="str">
        <f t="shared" si="170"/>
        <v>Overweight</v>
      </c>
      <c r="U1800">
        <v>80</v>
      </c>
      <c r="V1800">
        <v>93</v>
      </c>
      <c r="W1800" t="str">
        <f t="shared" si="173"/>
        <v>Normal</v>
      </c>
      <c r="X1800">
        <v>0</v>
      </c>
    </row>
    <row r="1801" spans="1:24" ht="14.5" thickBot="1" x14ac:dyDescent="0.35">
      <c r="A1801">
        <v>0</v>
      </c>
      <c r="B1801" t="str">
        <f t="shared" si="171"/>
        <v>Female</v>
      </c>
      <c r="C1801" s="8">
        <v>47</v>
      </c>
      <c r="D1801" t="str">
        <f t="shared" si="172"/>
        <v>Middle Age</v>
      </c>
      <c r="E1801">
        <v>1</v>
      </c>
      <c r="F1801" t="str">
        <f>HLOOKUP(E1801, LookUP_Table!$A$6:$D$7, 2, FALSE)</f>
        <v>Primary</v>
      </c>
      <c r="G1801" t="str">
        <f>IFERROR(VLOOKUP(E1801, LookUP_Table!$A$1:$B$4, 2, FALSE), "")</f>
        <v>Primary</v>
      </c>
      <c r="H1801">
        <v>0</v>
      </c>
      <c r="I1801">
        <v>0</v>
      </c>
      <c r="J1801" t="str">
        <f t="shared" si="168"/>
        <v>Non-Smoker</v>
      </c>
      <c r="K1801">
        <v>0</v>
      </c>
      <c r="L1801">
        <v>0</v>
      </c>
      <c r="M1801">
        <v>0</v>
      </c>
      <c r="N1801">
        <v>0</v>
      </c>
      <c r="O1801">
        <v>232</v>
      </c>
      <c r="P1801" t="str">
        <f t="shared" si="169"/>
        <v>Normal</v>
      </c>
      <c r="Q1801">
        <v>113.5</v>
      </c>
      <c r="R1801">
        <v>73</v>
      </c>
      <c r="S1801">
        <v>28.78</v>
      </c>
      <c r="T1801" t="str">
        <f t="shared" si="170"/>
        <v>Overweight</v>
      </c>
      <c r="U1801">
        <v>75</v>
      </c>
      <c r="V1801">
        <v>77</v>
      </c>
      <c r="W1801" t="str">
        <f t="shared" si="173"/>
        <v>Normal</v>
      </c>
      <c r="X1801">
        <v>0</v>
      </c>
    </row>
    <row r="1802" spans="1:24" ht="14.5" thickBot="1" x14ac:dyDescent="0.35">
      <c r="A1802">
        <v>1</v>
      </c>
      <c r="B1802" t="str">
        <f t="shared" si="171"/>
        <v>Male</v>
      </c>
      <c r="C1802" s="8">
        <v>47</v>
      </c>
      <c r="D1802" t="str">
        <f t="shared" si="172"/>
        <v>Middle Age</v>
      </c>
      <c r="E1802">
        <v>1</v>
      </c>
      <c r="F1802" t="str">
        <f>HLOOKUP(E1802, LookUP_Table!$A$6:$D$7, 2, FALSE)</f>
        <v>Primary</v>
      </c>
      <c r="G1802" t="str">
        <f>IFERROR(VLOOKUP(E1802, LookUP_Table!$A$1:$B$4, 2, FALSE), "")</f>
        <v>Primary</v>
      </c>
      <c r="H1802">
        <v>1</v>
      </c>
      <c r="I1802">
        <v>25</v>
      </c>
      <c r="J1802" t="str">
        <f t="shared" si="168"/>
        <v>Smoker</v>
      </c>
      <c r="K1802">
        <v>0</v>
      </c>
      <c r="L1802">
        <v>0</v>
      </c>
      <c r="M1802">
        <v>1</v>
      </c>
      <c r="N1802">
        <v>0</v>
      </c>
      <c r="O1802">
        <v>236</v>
      </c>
      <c r="P1802" t="str">
        <f t="shared" si="169"/>
        <v>Normal</v>
      </c>
      <c r="Q1802">
        <v>154</v>
      </c>
      <c r="R1802">
        <v>93</v>
      </c>
      <c r="S1802">
        <v>24.49</v>
      </c>
      <c r="T1802" t="str">
        <f t="shared" si="170"/>
        <v>Normal</v>
      </c>
      <c r="U1802">
        <v>94</v>
      </c>
      <c r="V1802">
        <v>76</v>
      </c>
      <c r="W1802" t="str">
        <f t="shared" si="173"/>
        <v>Normal</v>
      </c>
      <c r="X1802">
        <v>1</v>
      </c>
    </row>
    <row r="1803" spans="1:24" ht="14.5" thickBot="1" x14ac:dyDescent="0.35">
      <c r="A1803">
        <v>0</v>
      </c>
      <c r="B1803" t="str">
        <f t="shared" si="171"/>
        <v>Female</v>
      </c>
      <c r="C1803" s="8">
        <v>47</v>
      </c>
      <c r="D1803" t="str">
        <f t="shared" si="172"/>
        <v>Middle Age</v>
      </c>
      <c r="E1803">
        <v>2</v>
      </c>
      <c r="F1803" t="str">
        <f>HLOOKUP(E1803, LookUP_Table!$A$6:$D$7, 2, FALSE)</f>
        <v>Secondary</v>
      </c>
      <c r="G1803" t="str">
        <f>IFERROR(VLOOKUP(E1803, LookUP_Table!$A$1:$B$4, 2, FALSE), "")</f>
        <v>Secondary</v>
      </c>
      <c r="H1803">
        <v>1</v>
      </c>
      <c r="I1803">
        <v>2</v>
      </c>
      <c r="J1803" t="str">
        <f t="shared" si="168"/>
        <v>Smoker</v>
      </c>
      <c r="K1803">
        <v>0</v>
      </c>
      <c r="L1803">
        <v>0</v>
      </c>
      <c r="M1803">
        <v>0</v>
      </c>
      <c r="N1803">
        <v>0</v>
      </c>
      <c r="O1803">
        <v>232</v>
      </c>
      <c r="P1803" t="str">
        <f t="shared" si="169"/>
        <v>Normal</v>
      </c>
      <c r="Q1803">
        <v>133</v>
      </c>
      <c r="R1803">
        <v>86</v>
      </c>
      <c r="S1803">
        <v>20.149999999999999</v>
      </c>
      <c r="T1803" t="str">
        <f t="shared" si="170"/>
        <v>Normal</v>
      </c>
      <c r="U1803">
        <v>72</v>
      </c>
      <c r="V1803">
        <v>74</v>
      </c>
      <c r="W1803" t="str">
        <f t="shared" si="173"/>
        <v>Normal</v>
      </c>
      <c r="X1803">
        <v>0</v>
      </c>
    </row>
    <row r="1804" spans="1:24" ht="14.5" thickBot="1" x14ac:dyDescent="0.35">
      <c r="A1804">
        <v>0</v>
      </c>
      <c r="B1804" t="str">
        <f t="shared" si="171"/>
        <v>Female</v>
      </c>
      <c r="C1804" s="8">
        <v>47</v>
      </c>
      <c r="D1804" t="str">
        <f t="shared" si="172"/>
        <v>Middle Age</v>
      </c>
      <c r="E1804">
        <v>1</v>
      </c>
      <c r="F1804" t="str">
        <f>HLOOKUP(E1804, LookUP_Table!$A$6:$D$7, 2, FALSE)</f>
        <v>Primary</v>
      </c>
      <c r="G1804" t="str">
        <f>IFERROR(VLOOKUP(E1804, LookUP_Table!$A$1:$B$4, 2, FALSE), "")</f>
        <v>Primary</v>
      </c>
      <c r="H1804">
        <v>1</v>
      </c>
      <c r="I1804">
        <v>40</v>
      </c>
      <c r="J1804" t="str">
        <f t="shared" si="168"/>
        <v>Smoker</v>
      </c>
      <c r="K1804">
        <v>0</v>
      </c>
      <c r="L1804">
        <v>0</v>
      </c>
      <c r="M1804">
        <v>1</v>
      </c>
      <c r="N1804">
        <v>0</v>
      </c>
      <c r="O1804">
        <v>247</v>
      </c>
      <c r="P1804" t="str">
        <f t="shared" si="169"/>
        <v>High</v>
      </c>
      <c r="Q1804">
        <v>160</v>
      </c>
      <c r="R1804">
        <v>85</v>
      </c>
      <c r="S1804">
        <v>27.05</v>
      </c>
      <c r="T1804" t="str">
        <f t="shared" si="170"/>
        <v>Overweight</v>
      </c>
      <c r="U1804">
        <v>75</v>
      </c>
      <c r="V1804">
        <v>77</v>
      </c>
      <c r="W1804" t="str">
        <f t="shared" si="173"/>
        <v>Normal</v>
      </c>
      <c r="X1804">
        <v>0</v>
      </c>
    </row>
    <row r="1805" spans="1:24" ht="14.5" thickBot="1" x14ac:dyDescent="0.35">
      <c r="A1805">
        <v>0</v>
      </c>
      <c r="B1805" t="str">
        <f t="shared" si="171"/>
        <v>Female</v>
      </c>
      <c r="C1805" s="8">
        <v>47</v>
      </c>
      <c r="D1805" t="str">
        <f t="shared" si="172"/>
        <v>Middle Age</v>
      </c>
      <c r="E1805">
        <v>3</v>
      </c>
      <c r="F1805" t="str">
        <f>HLOOKUP(E1805, LookUP_Table!$A$6:$D$7, 2, FALSE)</f>
        <v>Graduate</v>
      </c>
      <c r="G1805" t="str">
        <f>IFERROR(VLOOKUP(E1805, LookUP_Table!$A$1:$B$4, 2, FALSE), "")</f>
        <v>Graduate</v>
      </c>
      <c r="H1805">
        <v>1</v>
      </c>
      <c r="I1805">
        <v>20</v>
      </c>
      <c r="J1805" t="str">
        <f t="shared" si="168"/>
        <v>Smoker</v>
      </c>
      <c r="K1805">
        <v>0</v>
      </c>
      <c r="L1805">
        <v>0</v>
      </c>
      <c r="M1805">
        <v>0</v>
      </c>
      <c r="N1805">
        <v>0</v>
      </c>
      <c r="O1805">
        <v>215</v>
      </c>
      <c r="P1805" t="str">
        <f t="shared" si="169"/>
        <v>Normal</v>
      </c>
      <c r="Q1805">
        <v>128</v>
      </c>
      <c r="R1805">
        <v>85</v>
      </c>
      <c r="S1805">
        <v>20.89</v>
      </c>
      <c r="T1805" t="str">
        <f t="shared" si="170"/>
        <v>Normal</v>
      </c>
      <c r="U1805">
        <v>75</v>
      </c>
      <c r="V1805">
        <v>90</v>
      </c>
      <c r="W1805" t="str">
        <f t="shared" si="173"/>
        <v>Normal</v>
      </c>
      <c r="X1805">
        <v>0</v>
      </c>
    </row>
    <row r="1806" spans="1:24" ht="14.5" thickBot="1" x14ac:dyDescent="0.35">
      <c r="A1806">
        <v>0</v>
      </c>
      <c r="B1806" t="str">
        <f t="shared" si="171"/>
        <v>Female</v>
      </c>
      <c r="C1806" s="8">
        <v>47</v>
      </c>
      <c r="D1806" t="str">
        <f t="shared" si="172"/>
        <v>Middle Age</v>
      </c>
      <c r="E1806">
        <v>3</v>
      </c>
      <c r="F1806" t="str">
        <f>HLOOKUP(E1806, LookUP_Table!$A$6:$D$7, 2, FALSE)</f>
        <v>Graduate</v>
      </c>
      <c r="G1806" t="str">
        <f>IFERROR(VLOOKUP(E1806, LookUP_Table!$A$1:$B$4, 2, FALSE), "")</f>
        <v>Graduate</v>
      </c>
      <c r="H1806">
        <v>0</v>
      </c>
      <c r="I1806">
        <v>0</v>
      </c>
      <c r="J1806" t="str">
        <f t="shared" si="168"/>
        <v>Non-Smoker</v>
      </c>
      <c r="K1806">
        <v>0</v>
      </c>
      <c r="L1806">
        <v>0</v>
      </c>
      <c r="M1806">
        <v>0</v>
      </c>
      <c r="N1806">
        <v>0</v>
      </c>
      <c r="O1806">
        <v>274</v>
      </c>
      <c r="P1806" t="str">
        <f t="shared" si="169"/>
        <v>High</v>
      </c>
      <c r="Q1806">
        <v>127</v>
      </c>
      <c r="R1806">
        <v>86</v>
      </c>
      <c r="S1806">
        <v>21.93</v>
      </c>
      <c r="T1806" t="str">
        <f t="shared" si="170"/>
        <v>Normal</v>
      </c>
      <c r="U1806">
        <v>90</v>
      </c>
      <c r="V1806">
        <v>83</v>
      </c>
      <c r="W1806" t="str">
        <f t="shared" si="173"/>
        <v>Normal</v>
      </c>
      <c r="X1806">
        <v>0</v>
      </c>
    </row>
    <row r="1807" spans="1:24" ht="14.5" thickBot="1" x14ac:dyDescent="0.35">
      <c r="A1807">
        <v>0</v>
      </c>
      <c r="B1807" t="str">
        <f t="shared" si="171"/>
        <v>Female</v>
      </c>
      <c r="C1807" s="8">
        <v>47</v>
      </c>
      <c r="D1807" t="str">
        <f t="shared" si="172"/>
        <v>Middle Age</v>
      </c>
      <c r="E1807">
        <v>2</v>
      </c>
      <c r="F1807" t="str">
        <f>HLOOKUP(E1807, LookUP_Table!$A$6:$D$7, 2, FALSE)</f>
        <v>Secondary</v>
      </c>
      <c r="G1807" t="str">
        <f>IFERROR(VLOOKUP(E1807, LookUP_Table!$A$1:$B$4, 2, FALSE), "")</f>
        <v>Secondary</v>
      </c>
      <c r="H1807">
        <v>0</v>
      </c>
      <c r="I1807">
        <v>0</v>
      </c>
      <c r="J1807" t="str">
        <f t="shared" si="168"/>
        <v>Non-Smoker</v>
      </c>
      <c r="K1807">
        <v>0</v>
      </c>
      <c r="L1807">
        <v>0</v>
      </c>
      <c r="M1807">
        <v>1</v>
      </c>
      <c r="N1807">
        <v>0</v>
      </c>
      <c r="O1807">
        <v>202</v>
      </c>
      <c r="P1807" t="str">
        <f t="shared" si="169"/>
        <v>Normal</v>
      </c>
      <c r="Q1807">
        <v>140</v>
      </c>
      <c r="R1807">
        <v>82</v>
      </c>
      <c r="S1807">
        <v>22.88</v>
      </c>
      <c r="T1807" t="str">
        <f t="shared" si="170"/>
        <v>Normal</v>
      </c>
      <c r="U1807">
        <v>75</v>
      </c>
      <c r="V1807">
        <v>95</v>
      </c>
      <c r="W1807" t="str">
        <f t="shared" si="173"/>
        <v>Normal</v>
      </c>
      <c r="X1807">
        <v>0</v>
      </c>
    </row>
    <row r="1808" spans="1:24" ht="14.5" thickBot="1" x14ac:dyDescent="0.35">
      <c r="A1808">
        <v>1</v>
      </c>
      <c r="B1808" t="str">
        <f t="shared" si="171"/>
        <v>Male</v>
      </c>
      <c r="C1808" s="8">
        <v>47</v>
      </c>
      <c r="D1808" t="str">
        <f t="shared" si="172"/>
        <v>Middle Age</v>
      </c>
      <c r="E1808">
        <v>4</v>
      </c>
      <c r="F1808" t="str">
        <f>HLOOKUP(E1808, LookUP_Table!$A$6:$D$7, 2, FALSE)</f>
        <v>Post Graduate</v>
      </c>
      <c r="G1808" t="str">
        <f>IFERROR(VLOOKUP(E1808, LookUP_Table!$A$1:$B$4, 2, FALSE), "")</f>
        <v>Post Graduate</v>
      </c>
      <c r="H1808">
        <v>0</v>
      </c>
      <c r="I1808">
        <v>0</v>
      </c>
      <c r="J1808" t="str">
        <f t="shared" si="168"/>
        <v>Non-Smoker</v>
      </c>
      <c r="K1808">
        <v>0</v>
      </c>
      <c r="L1808">
        <v>0</v>
      </c>
      <c r="M1808">
        <v>0</v>
      </c>
      <c r="N1808">
        <v>0</v>
      </c>
      <c r="O1808">
        <v>194</v>
      </c>
      <c r="P1808" t="str">
        <f t="shared" si="169"/>
        <v>Normal</v>
      </c>
      <c r="Q1808">
        <v>115</v>
      </c>
      <c r="R1808">
        <v>82</v>
      </c>
      <c r="S1808">
        <v>28.23</v>
      </c>
      <c r="T1808" t="str">
        <f t="shared" si="170"/>
        <v>Overweight</v>
      </c>
      <c r="U1808">
        <v>48</v>
      </c>
      <c r="V1808">
        <v>76</v>
      </c>
      <c r="W1808" t="str">
        <f t="shared" si="173"/>
        <v>Normal</v>
      </c>
      <c r="X1808">
        <v>0</v>
      </c>
    </row>
    <row r="1809" spans="1:24" ht="14.5" thickBot="1" x14ac:dyDescent="0.35">
      <c r="A1809">
        <v>1</v>
      </c>
      <c r="B1809" t="str">
        <f t="shared" si="171"/>
        <v>Male</v>
      </c>
      <c r="C1809" s="8">
        <v>47</v>
      </c>
      <c r="D1809" t="str">
        <f t="shared" si="172"/>
        <v>Middle Age</v>
      </c>
      <c r="E1809">
        <v>2</v>
      </c>
      <c r="F1809" t="str">
        <f>HLOOKUP(E1809, LookUP_Table!$A$6:$D$7, 2, FALSE)</f>
        <v>Secondary</v>
      </c>
      <c r="G1809" t="str">
        <f>IFERROR(VLOOKUP(E1809, LookUP_Table!$A$1:$B$4, 2, FALSE), "")</f>
        <v>Secondary</v>
      </c>
      <c r="H1809">
        <v>1</v>
      </c>
      <c r="I1809">
        <v>9</v>
      </c>
      <c r="J1809" t="str">
        <f t="shared" si="168"/>
        <v>Smoker</v>
      </c>
      <c r="K1809">
        <v>0</v>
      </c>
      <c r="L1809">
        <v>0</v>
      </c>
      <c r="M1809">
        <v>0</v>
      </c>
      <c r="N1809">
        <v>0</v>
      </c>
      <c r="O1809">
        <v>201</v>
      </c>
      <c r="P1809" t="str">
        <f t="shared" si="169"/>
        <v>Normal</v>
      </c>
      <c r="Q1809">
        <v>122</v>
      </c>
      <c r="R1809">
        <v>67</v>
      </c>
      <c r="S1809">
        <v>20.12</v>
      </c>
      <c r="T1809" t="str">
        <f t="shared" si="170"/>
        <v>Normal</v>
      </c>
      <c r="U1809">
        <v>68</v>
      </c>
      <c r="V1809">
        <v>81.96365524402907</v>
      </c>
      <c r="W1809" t="str">
        <f t="shared" si="173"/>
        <v>Normal</v>
      </c>
      <c r="X1809">
        <v>0</v>
      </c>
    </row>
    <row r="1810" spans="1:24" ht="14.5" thickBot="1" x14ac:dyDescent="0.35">
      <c r="A1810">
        <v>1</v>
      </c>
      <c r="B1810" t="str">
        <f t="shared" si="171"/>
        <v>Male</v>
      </c>
      <c r="C1810" s="8">
        <v>47</v>
      </c>
      <c r="D1810" t="str">
        <f t="shared" si="172"/>
        <v>Middle Age</v>
      </c>
      <c r="E1810">
        <v>1</v>
      </c>
      <c r="F1810" t="str">
        <f>HLOOKUP(E1810, LookUP_Table!$A$6:$D$7, 2, FALSE)</f>
        <v>Primary</v>
      </c>
      <c r="G1810" t="str">
        <f>IFERROR(VLOOKUP(E1810, LookUP_Table!$A$1:$B$4, 2, FALSE), "")</f>
        <v>Primary</v>
      </c>
      <c r="H1810">
        <v>1</v>
      </c>
      <c r="I1810">
        <v>30</v>
      </c>
      <c r="J1810" t="str">
        <f t="shared" si="168"/>
        <v>Smoker</v>
      </c>
      <c r="K1810">
        <v>0</v>
      </c>
      <c r="L1810">
        <v>0</v>
      </c>
      <c r="M1810">
        <v>0</v>
      </c>
      <c r="N1810">
        <v>0</v>
      </c>
      <c r="O1810">
        <v>210</v>
      </c>
      <c r="P1810" t="str">
        <f t="shared" si="169"/>
        <v>Normal</v>
      </c>
      <c r="Q1810">
        <v>112</v>
      </c>
      <c r="R1810">
        <v>66</v>
      </c>
      <c r="S1810">
        <v>24.58</v>
      </c>
      <c r="T1810" t="str">
        <f t="shared" si="170"/>
        <v>Normal</v>
      </c>
      <c r="U1810">
        <v>70</v>
      </c>
      <c r="V1810">
        <v>84</v>
      </c>
      <c r="W1810" t="str">
        <f t="shared" si="173"/>
        <v>Normal</v>
      </c>
      <c r="X1810">
        <v>1</v>
      </c>
    </row>
    <row r="1811" spans="1:24" ht="14.5" thickBot="1" x14ac:dyDescent="0.35">
      <c r="A1811">
        <v>1</v>
      </c>
      <c r="B1811" t="str">
        <f t="shared" si="171"/>
        <v>Male</v>
      </c>
      <c r="C1811" s="8">
        <v>47</v>
      </c>
      <c r="D1811" t="str">
        <f t="shared" si="172"/>
        <v>Middle Age</v>
      </c>
      <c r="E1811">
        <v>2</v>
      </c>
      <c r="F1811" t="str">
        <f>HLOOKUP(E1811, LookUP_Table!$A$6:$D$7, 2, FALSE)</f>
        <v>Secondary</v>
      </c>
      <c r="G1811" t="str">
        <f>IFERROR(VLOOKUP(E1811, LookUP_Table!$A$1:$B$4, 2, FALSE), "")</f>
        <v>Secondary</v>
      </c>
      <c r="H1811">
        <v>1</v>
      </c>
      <c r="I1811">
        <v>15</v>
      </c>
      <c r="J1811" t="str">
        <f t="shared" si="168"/>
        <v>Smoker</v>
      </c>
      <c r="K1811">
        <v>0</v>
      </c>
      <c r="L1811">
        <v>0</v>
      </c>
      <c r="M1811">
        <v>0</v>
      </c>
      <c r="N1811">
        <v>0</v>
      </c>
      <c r="O1811">
        <v>253</v>
      </c>
      <c r="P1811" t="str">
        <f t="shared" si="169"/>
        <v>High</v>
      </c>
      <c r="Q1811">
        <v>137</v>
      </c>
      <c r="R1811">
        <v>87</v>
      </c>
      <c r="S1811">
        <v>24.5</v>
      </c>
      <c r="T1811" t="str">
        <f t="shared" si="170"/>
        <v>Normal</v>
      </c>
      <c r="U1811">
        <v>80</v>
      </c>
      <c r="V1811">
        <v>81</v>
      </c>
      <c r="W1811" t="str">
        <f t="shared" si="173"/>
        <v>Normal</v>
      </c>
      <c r="X1811">
        <v>0</v>
      </c>
    </row>
    <row r="1812" spans="1:24" ht="14.5" thickBot="1" x14ac:dyDescent="0.35">
      <c r="A1812">
        <v>0</v>
      </c>
      <c r="B1812" t="str">
        <f t="shared" si="171"/>
        <v>Female</v>
      </c>
      <c r="C1812" s="8">
        <v>47</v>
      </c>
      <c r="D1812" t="str">
        <f t="shared" si="172"/>
        <v>Middle Age</v>
      </c>
      <c r="E1812">
        <v>1</v>
      </c>
      <c r="F1812" t="str">
        <f>HLOOKUP(E1812, LookUP_Table!$A$6:$D$7, 2, FALSE)</f>
        <v>Primary</v>
      </c>
      <c r="G1812" t="str">
        <f>IFERROR(VLOOKUP(E1812, LookUP_Table!$A$1:$B$4, 2, FALSE), "")</f>
        <v>Primary</v>
      </c>
      <c r="H1812">
        <v>0</v>
      </c>
      <c r="I1812">
        <v>0</v>
      </c>
      <c r="J1812" t="str">
        <f t="shared" si="168"/>
        <v>Non-Smoker</v>
      </c>
      <c r="K1812">
        <v>0</v>
      </c>
      <c r="L1812">
        <v>0</v>
      </c>
      <c r="M1812">
        <v>0</v>
      </c>
      <c r="N1812">
        <v>0</v>
      </c>
      <c r="O1812">
        <v>279</v>
      </c>
      <c r="P1812" t="str">
        <f t="shared" si="169"/>
        <v>High</v>
      </c>
      <c r="Q1812">
        <v>154.5</v>
      </c>
      <c r="R1812">
        <v>103.5</v>
      </c>
      <c r="S1812">
        <v>27.12</v>
      </c>
      <c r="T1812" t="str">
        <f t="shared" si="170"/>
        <v>Overweight</v>
      </c>
      <c r="U1812">
        <v>79</v>
      </c>
      <c r="V1812">
        <v>60</v>
      </c>
      <c r="W1812" t="str">
        <f t="shared" si="173"/>
        <v>Normal</v>
      </c>
      <c r="X1812">
        <v>0</v>
      </c>
    </row>
    <row r="1813" spans="1:24" ht="14.5" thickBot="1" x14ac:dyDescent="0.35">
      <c r="A1813">
        <v>0</v>
      </c>
      <c r="B1813" t="str">
        <f t="shared" si="171"/>
        <v>Female</v>
      </c>
      <c r="C1813" s="8">
        <v>47</v>
      </c>
      <c r="D1813" t="str">
        <f t="shared" si="172"/>
        <v>Middle Age</v>
      </c>
      <c r="E1813">
        <v>2</v>
      </c>
      <c r="F1813" t="str">
        <f>HLOOKUP(E1813, LookUP_Table!$A$6:$D$7, 2, FALSE)</f>
        <v>Secondary</v>
      </c>
      <c r="G1813" t="str">
        <f>IFERROR(VLOOKUP(E1813, LookUP_Table!$A$1:$B$4, 2, FALSE), "")</f>
        <v>Secondary</v>
      </c>
      <c r="H1813">
        <v>0</v>
      </c>
      <c r="I1813">
        <v>0</v>
      </c>
      <c r="J1813" t="str">
        <f t="shared" si="168"/>
        <v>Non-Smoker</v>
      </c>
      <c r="K1813">
        <v>0</v>
      </c>
      <c r="L1813">
        <v>0</v>
      </c>
      <c r="M1813">
        <v>0</v>
      </c>
      <c r="N1813">
        <v>0</v>
      </c>
      <c r="O1813">
        <v>195</v>
      </c>
      <c r="P1813" t="str">
        <f t="shared" si="169"/>
        <v>Normal</v>
      </c>
      <c r="Q1813">
        <v>126</v>
      </c>
      <c r="R1813">
        <v>75</v>
      </c>
      <c r="S1813">
        <v>25.80080075811421</v>
      </c>
      <c r="T1813" t="str">
        <f t="shared" si="170"/>
        <v>Overweight</v>
      </c>
      <c r="U1813">
        <v>60</v>
      </c>
      <c r="V1813">
        <v>81.96365524402907</v>
      </c>
      <c r="W1813" t="str">
        <f t="shared" si="173"/>
        <v>Normal</v>
      </c>
      <c r="X1813">
        <v>1</v>
      </c>
    </row>
    <row r="1814" spans="1:24" ht="14.5" thickBot="1" x14ac:dyDescent="0.35">
      <c r="A1814">
        <v>1</v>
      </c>
      <c r="B1814" t="str">
        <f t="shared" si="171"/>
        <v>Male</v>
      </c>
      <c r="C1814" s="8">
        <v>47</v>
      </c>
      <c r="D1814" t="str">
        <f t="shared" si="172"/>
        <v>Middle Age</v>
      </c>
      <c r="E1814">
        <v>2</v>
      </c>
      <c r="F1814" t="str">
        <f>HLOOKUP(E1814, LookUP_Table!$A$6:$D$7, 2, FALSE)</f>
        <v>Secondary</v>
      </c>
      <c r="G1814" t="str">
        <f>IFERROR(VLOOKUP(E1814, LookUP_Table!$A$1:$B$4, 2, FALSE), "")</f>
        <v>Secondary</v>
      </c>
      <c r="H1814">
        <v>1</v>
      </c>
      <c r="I1814">
        <v>20</v>
      </c>
      <c r="J1814" t="str">
        <f t="shared" si="168"/>
        <v>Smoker</v>
      </c>
      <c r="K1814">
        <v>0</v>
      </c>
      <c r="L1814">
        <v>0</v>
      </c>
      <c r="M1814">
        <v>0</v>
      </c>
      <c r="N1814">
        <v>0</v>
      </c>
      <c r="O1814">
        <v>200</v>
      </c>
      <c r="P1814" t="str">
        <f t="shared" si="169"/>
        <v>Normal</v>
      </c>
      <c r="Q1814">
        <v>126</v>
      </c>
      <c r="R1814">
        <v>86</v>
      </c>
      <c r="S1814">
        <v>26.84</v>
      </c>
      <c r="T1814" t="str">
        <f t="shared" si="170"/>
        <v>Overweight</v>
      </c>
      <c r="U1814">
        <v>80</v>
      </c>
      <c r="V1814">
        <v>96</v>
      </c>
      <c r="W1814" t="str">
        <f t="shared" si="173"/>
        <v>Normal</v>
      </c>
      <c r="X1814">
        <v>0</v>
      </c>
    </row>
    <row r="1815" spans="1:24" ht="14.5" thickBot="1" x14ac:dyDescent="0.35">
      <c r="A1815">
        <v>0</v>
      </c>
      <c r="B1815" t="str">
        <f t="shared" si="171"/>
        <v>Female</v>
      </c>
      <c r="C1815" s="8">
        <v>47</v>
      </c>
      <c r="D1815" t="str">
        <f t="shared" si="172"/>
        <v>Middle Age</v>
      </c>
      <c r="E1815">
        <v>4</v>
      </c>
      <c r="F1815" t="str">
        <f>HLOOKUP(E1815, LookUP_Table!$A$6:$D$7, 2, FALSE)</f>
        <v>Post Graduate</v>
      </c>
      <c r="G1815" t="str">
        <f>IFERROR(VLOOKUP(E1815, LookUP_Table!$A$1:$B$4, 2, FALSE), "")</f>
        <v>Post Graduate</v>
      </c>
      <c r="H1815">
        <v>0</v>
      </c>
      <c r="I1815">
        <v>0</v>
      </c>
      <c r="J1815" t="str">
        <f t="shared" si="168"/>
        <v>Non-Smoker</v>
      </c>
      <c r="K1815">
        <v>0</v>
      </c>
      <c r="L1815">
        <v>0</v>
      </c>
      <c r="M1815">
        <v>0</v>
      </c>
      <c r="N1815">
        <v>0</v>
      </c>
      <c r="O1815">
        <v>242</v>
      </c>
      <c r="P1815" t="str">
        <f t="shared" si="169"/>
        <v>High</v>
      </c>
      <c r="Q1815">
        <v>145</v>
      </c>
      <c r="R1815">
        <v>87.5</v>
      </c>
      <c r="S1815">
        <v>22.01</v>
      </c>
      <c r="T1815" t="str">
        <f t="shared" si="170"/>
        <v>Normal</v>
      </c>
      <c r="U1815">
        <v>58</v>
      </c>
      <c r="V1815">
        <v>73</v>
      </c>
      <c r="W1815" t="str">
        <f t="shared" si="173"/>
        <v>Normal</v>
      </c>
      <c r="X1815">
        <v>0</v>
      </c>
    </row>
    <row r="1816" spans="1:24" ht="14.5" thickBot="1" x14ac:dyDescent="0.35">
      <c r="A1816">
        <v>0</v>
      </c>
      <c r="B1816" t="str">
        <f t="shared" si="171"/>
        <v>Female</v>
      </c>
      <c r="C1816" s="8">
        <v>47</v>
      </c>
      <c r="D1816" t="str">
        <f t="shared" si="172"/>
        <v>Middle Age</v>
      </c>
      <c r="E1816">
        <v>1</v>
      </c>
      <c r="F1816" t="str">
        <f>HLOOKUP(E1816, LookUP_Table!$A$6:$D$7, 2, FALSE)</f>
        <v>Primary</v>
      </c>
      <c r="G1816" t="str">
        <f>IFERROR(VLOOKUP(E1816, LookUP_Table!$A$1:$B$4, 2, FALSE), "")</f>
        <v>Primary</v>
      </c>
      <c r="H1816">
        <v>1</v>
      </c>
      <c r="I1816">
        <v>20</v>
      </c>
      <c r="J1816" t="str">
        <f t="shared" si="168"/>
        <v>Smoker</v>
      </c>
      <c r="K1816">
        <v>0</v>
      </c>
      <c r="L1816">
        <v>0</v>
      </c>
      <c r="M1816">
        <v>0</v>
      </c>
      <c r="N1816">
        <v>0</v>
      </c>
      <c r="O1816">
        <v>195</v>
      </c>
      <c r="P1816" t="str">
        <f t="shared" si="169"/>
        <v>Normal</v>
      </c>
      <c r="Q1816">
        <v>134</v>
      </c>
      <c r="R1816">
        <v>81</v>
      </c>
      <c r="S1816">
        <v>21.4</v>
      </c>
      <c r="T1816" t="str">
        <f t="shared" si="170"/>
        <v>Normal</v>
      </c>
      <c r="U1816">
        <v>85</v>
      </c>
      <c r="V1816">
        <v>81.96365524402907</v>
      </c>
      <c r="W1816" t="str">
        <f t="shared" si="173"/>
        <v>Normal</v>
      </c>
      <c r="X1816">
        <v>0</v>
      </c>
    </row>
    <row r="1817" spans="1:24" ht="14.5" thickBot="1" x14ac:dyDescent="0.35">
      <c r="A1817">
        <v>0</v>
      </c>
      <c r="B1817" t="str">
        <f t="shared" si="171"/>
        <v>Female</v>
      </c>
      <c r="C1817" s="8">
        <v>47</v>
      </c>
      <c r="D1817" t="str">
        <f t="shared" si="172"/>
        <v>Middle Age</v>
      </c>
      <c r="E1817">
        <v>4</v>
      </c>
      <c r="F1817" t="str">
        <f>HLOOKUP(E1817, LookUP_Table!$A$6:$D$7, 2, FALSE)</f>
        <v>Post Graduate</v>
      </c>
      <c r="G1817" t="str">
        <f>IFERROR(VLOOKUP(E1817, LookUP_Table!$A$1:$B$4, 2, FALSE), "")</f>
        <v>Post Graduate</v>
      </c>
      <c r="H1817">
        <v>1</v>
      </c>
      <c r="I1817">
        <v>3</v>
      </c>
      <c r="J1817" t="str">
        <f t="shared" si="168"/>
        <v>Smoker</v>
      </c>
      <c r="K1817">
        <v>0</v>
      </c>
      <c r="L1817">
        <v>0</v>
      </c>
      <c r="M1817">
        <v>0</v>
      </c>
      <c r="N1817">
        <v>0</v>
      </c>
      <c r="O1817">
        <v>231</v>
      </c>
      <c r="P1817" t="str">
        <f t="shared" si="169"/>
        <v>Normal</v>
      </c>
      <c r="Q1817">
        <v>133.5</v>
      </c>
      <c r="R1817">
        <v>76</v>
      </c>
      <c r="S1817">
        <v>25.77</v>
      </c>
      <c r="T1817" t="str">
        <f t="shared" si="170"/>
        <v>Overweight</v>
      </c>
      <c r="U1817">
        <v>75</v>
      </c>
      <c r="V1817">
        <v>73</v>
      </c>
      <c r="W1817" t="str">
        <f t="shared" si="173"/>
        <v>Normal</v>
      </c>
      <c r="X1817">
        <v>0</v>
      </c>
    </row>
    <row r="1818" spans="1:24" ht="14.5" thickBot="1" x14ac:dyDescent="0.35">
      <c r="A1818">
        <v>1</v>
      </c>
      <c r="B1818" t="str">
        <f t="shared" si="171"/>
        <v>Male</v>
      </c>
      <c r="C1818" s="8">
        <v>47</v>
      </c>
      <c r="D1818" t="str">
        <f t="shared" si="172"/>
        <v>Middle Age</v>
      </c>
      <c r="E1818">
        <v>3</v>
      </c>
      <c r="F1818" t="str">
        <f>HLOOKUP(E1818, LookUP_Table!$A$6:$D$7, 2, FALSE)</f>
        <v>Graduate</v>
      </c>
      <c r="G1818" t="str">
        <f>IFERROR(VLOOKUP(E1818, LookUP_Table!$A$1:$B$4, 2, FALSE), "")</f>
        <v>Graduate</v>
      </c>
      <c r="H1818">
        <v>1</v>
      </c>
      <c r="I1818">
        <v>15</v>
      </c>
      <c r="J1818" t="str">
        <f t="shared" si="168"/>
        <v>Smoker</v>
      </c>
      <c r="K1818">
        <v>0</v>
      </c>
      <c r="L1818">
        <v>0</v>
      </c>
      <c r="M1818">
        <v>1</v>
      </c>
      <c r="N1818">
        <v>0</v>
      </c>
      <c r="O1818">
        <v>220</v>
      </c>
      <c r="P1818" t="str">
        <f t="shared" si="169"/>
        <v>Normal</v>
      </c>
      <c r="Q1818">
        <v>127</v>
      </c>
      <c r="R1818">
        <v>93</v>
      </c>
      <c r="S1818">
        <v>30.7</v>
      </c>
      <c r="T1818" t="str">
        <f t="shared" si="170"/>
        <v>Obese</v>
      </c>
      <c r="U1818">
        <v>82</v>
      </c>
      <c r="V1818">
        <v>57</v>
      </c>
      <c r="W1818" t="str">
        <f t="shared" si="173"/>
        <v>Normal</v>
      </c>
      <c r="X1818">
        <v>0</v>
      </c>
    </row>
    <row r="1819" spans="1:24" ht="14.5" thickBot="1" x14ac:dyDescent="0.35">
      <c r="A1819">
        <v>0</v>
      </c>
      <c r="B1819" t="str">
        <f t="shared" si="171"/>
        <v>Female</v>
      </c>
      <c r="C1819" s="8">
        <v>47</v>
      </c>
      <c r="D1819" t="str">
        <f t="shared" si="172"/>
        <v>Middle Age</v>
      </c>
      <c r="E1819">
        <v>1</v>
      </c>
      <c r="F1819" t="str">
        <f>HLOOKUP(E1819, LookUP_Table!$A$6:$D$7, 2, FALSE)</f>
        <v>Primary</v>
      </c>
      <c r="G1819" t="str">
        <f>IFERROR(VLOOKUP(E1819, LookUP_Table!$A$1:$B$4, 2, FALSE), "")</f>
        <v>Primary</v>
      </c>
      <c r="H1819">
        <v>1</v>
      </c>
      <c r="I1819">
        <v>15</v>
      </c>
      <c r="J1819" t="str">
        <f t="shared" si="168"/>
        <v>Smoker</v>
      </c>
      <c r="K1819">
        <v>0</v>
      </c>
      <c r="L1819">
        <v>0</v>
      </c>
      <c r="M1819">
        <v>0</v>
      </c>
      <c r="N1819">
        <v>0</v>
      </c>
      <c r="O1819">
        <v>285</v>
      </c>
      <c r="P1819" t="str">
        <f t="shared" si="169"/>
        <v>High</v>
      </c>
      <c r="Q1819">
        <v>122</v>
      </c>
      <c r="R1819">
        <v>70</v>
      </c>
      <c r="S1819">
        <v>23.48</v>
      </c>
      <c r="T1819" t="str">
        <f t="shared" si="170"/>
        <v>Normal</v>
      </c>
      <c r="U1819">
        <v>83</v>
      </c>
      <c r="V1819">
        <v>82</v>
      </c>
      <c r="W1819" t="str">
        <f t="shared" si="173"/>
        <v>Normal</v>
      </c>
      <c r="X1819">
        <v>0</v>
      </c>
    </row>
    <row r="1820" spans="1:24" ht="14.5" thickBot="1" x14ac:dyDescent="0.35">
      <c r="A1820">
        <v>0</v>
      </c>
      <c r="B1820" t="str">
        <f t="shared" si="171"/>
        <v>Female</v>
      </c>
      <c r="C1820" s="8">
        <v>47</v>
      </c>
      <c r="D1820" t="str">
        <f t="shared" si="172"/>
        <v>Middle Age</v>
      </c>
      <c r="E1820">
        <v>1</v>
      </c>
      <c r="F1820" t="str">
        <f>HLOOKUP(E1820, LookUP_Table!$A$6:$D$7, 2, FALSE)</f>
        <v>Primary</v>
      </c>
      <c r="G1820" t="str">
        <f>IFERROR(VLOOKUP(E1820, LookUP_Table!$A$1:$B$4, 2, FALSE), "")</f>
        <v>Primary</v>
      </c>
      <c r="H1820">
        <v>0</v>
      </c>
      <c r="I1820">
        <v>0</v>
      </c>
      <c r="J1820" t="str">
        <f t="shared" si="168"/>
        <v>Non-Smoker</v>
      </c>
      <c r="K1820">
        <v>0</v>
      </c>
      <c r="L1820">
        <v>0</v>
      </c>
      <c r="M1820">
        <v>0</v>
      </c>
      <c r="N1820">
        <v>0</v>
      </c>
      <c r="O1820">
        <v>230</v>
      </c>
      <c r="P1820" t="str">
        <f t="shared" si="169"/>
        <v>Normal</v>
      </c>
      <c r="Q1820">
        <v>123</v>
      </c>
      <c r="R1820">
        <v>71</v>
      </c>
      <c r="S1820">
        <v>26.98</v>
      </c>
      <c r="T1820" t="str">
        <f t="shared" si="170"/>
        <v>Overweight</v>
      </c>
      <c r="U1820">
        <v>83</v>
      </c>
      <c r="V1820">
        <v>73</v>
      </c>
      <c r="W1820" t="str">
        <f t="shared" si="173"/>
        <v>Normal</v>
      </c>
      <c r="X1820">
        <v>0</v>
      </c>
    </row>
    <row r="1821" spans="1:24" ht="14.5" thickBot="1" x14ac:dyDescent="0.35">
      <c r="A1821">
        <v>1</v>
      </c>
      <c r="B1821" t="str">
        <f t="shared" si="171"/>
        <v>Male</v>
      </c>
      <c r="C1821" s="8">
        <v>47</v>
      </c>
      <c r="D1821" t="str">
        <f t="shared" si="172"/>
        <v>Middle Age</v>
      </c>
      <c r="E1821">
        <v>1</v>
      </c>
      <c r="F1821" t="str">
        <f>HLOOKUP(E1821, LookUP_Table!$A$6:$D$7, 2, FALSE)</f>
        <v>Primary</v>
      </c>
      <c r="G1821" t="str">
        <f>IFERROR(VLOOKUP(E1821, LookUP_Table!$A$1:$B$4, 2, FALSE), "")</f>
        <v>Primary</v>
      </c>
      <c r="H1821">
        <v>0</v>
      </c>
      <c r="I1821">
        <v>0</v>
      </c>
      <c r="J1821" t="str">
        <f t="shared" si="168"/>
        <v>Non-Smoker</v>
      </c>
      <c r="K1821">
        <v>0</v>
      </c>
      <c r="L1821">
        <v>0</v>
      </c>
      <c r="M1821">
        <v>0</v>
      </c>
      <c r="N1821">
        <v>0</v>
      </c>
      <c r="O1821">
        <v>197</v>
      </c>
      <c r="P1821" t="str">
        <f t="shared" si="169"/>
        <v>Normal</v>
      </c>
      <c r="Q1821">
        <v>115</v>
      </c>
      <c r="R1821">
        <v>81</v>
      </c>
      <c r="S1821">
        <v>22.41</v>
      </c>
      <c r="T1821" t="str">
        <f t="shared" si="170"/>
        <v>Normal</v>
      </c>
      <c r="U1821">
        <v>50</v>
      </c>
      <c r="V1821">
        <v>66</v>
      </c>
      <c r="W1821" t="str">
        <f t="shared" si="173"/>
        <v>Normal</v>
      </c>
      <c r="X1821">
        <v>0</v>
      </c>
    </row>
    <row r="1822" spans="1:24" ht="14.5" thickBot="1" x14ac:dyDescent="0.35">
      <c r="A1822">
        <v>1</v>
      </c>
      <c r="B1822" t="str">
        <f t="shared" si="171"/>
        <v>Male</v>
      </c>
      <c r="C1822" s="8">
        <v>47</v>
      </c>
      <c r="D1822" t="str">
        <f t="shared" si="172"/>
        <v>Middle Age</v>
      </c>
      <c r="E1822">
        <v>2</v>
      </c>
      <c r="F1822" t="str">
        <f>HLOOKUP(E1822, LookUP_Table!$A$6:$D$7, 2, FALSE)</f>
        <v>Secondary</v>
      </c>
      <c r="G1822" t="str">
        <f>IFERROR(VLOOKUP(E1822, LookUP_Table!$A$1:$B$4, 2, FALSE), "")</f>
        <v>Secondary</v>
      </c>
      <c r="H1822">
        <v>1</v>
      </c>
      <c r="I1822">
        <v>50</v>
      </c>
      <c r="J1822" t="str">
        <f t="shared" si="168"/>
        <v>Smoker</v>
      </c>
      <c r="K1822">
        <v>0</v>
      </c>
      <c r="L1822">
        <v>0</v>
      </c>
      <c r="M1822">
        <v>0</v>
      </c>
      <c r="N1822">
        <v>0</v>
      </c>
      <c r="O1822">
        <v>217</v>
      </c>
      <c r="P1822" t="str">
        <f t="shared" si="169"/>
        <v>Normal</v>
      </c>
      <c r="Q1822">
        <v>145</v>
      </c>
      <c r="R1822">
        <v>89</v>
      </c>
      <c r="S1822">
        <v>28.88</v>
      </c>
      <c r="T1822" t="str">
        <f t="shared" si="170"/>
        <v>Overweight</v>
      </c>
      <c r="U1822">
        <v>82</v>
      </c>
      <c r="V1822">
        <v>75</v>
      </c>
      <c r="W1822" t="str">
        <f t="shared" si="173"/>
        <v>Normal</v>
      </c>
      <c r="X1822">
        <v>0</v>
      </c>
    </row>
    <row r="1823" spans="1:24" ht="14.5" thickBot="1" x14ac:dyDescent="0.35">
      <c r="A1823">
        <v>1</v>
      </c>
      <c r="B1823" t="str">
        <f t="shared" si="171"/>
        <v>Male</v>
      </c>
      <c r="C1823" s="8">
        <v>47</v>
      </c>
      <c r="D1823" t="str">
        <f t="shared" si="172"/>
        <v>Middle Age</v>
      </c>
      <c r="E1823">
        <v>1</v>
      </c>
      <c r="F1823" t="str">
        <f>HLOOKUP(E1823, LookUP_Table!$A$6:$D$7, 2, FALSE)</f>
        <v>Primary</v>
      </c>
      <c r="G1823" t="str">
        <f>IFERROR(VLOOKUP(E1823, LookUP_Table!$A$1:$B$4, 2, FALSE), "")</f>
        <v>Primary</v>
      </c>
      <c r="H1823">
        <v>0</v>
      </c>
      <c r="I1823">
        <v>0</v>
      </c>
      <c r="J1823" t="str">
        <f t="shared" si="168"/>
        <v>Non-Smoker</v>
      </c>
      <c r="K1823">
        <v>0</v>
      </c>
      <c r="L1823">
        <v>0</v>
      </c>
      <c r="M1823">
        <v>0</v>
      </c>
      <c r="N1823">
        <v>0</v>
      </c>
      <c r="O1823">
        <v>292</v>
      </c>
      <c r="P1823" t="str">
        <f t="shared" si="169"/>
        <v>High</v>
      </c>
      <c r="Q1823">
        <v>123</v>
      </c>
      <c r="R1823">
        <v>87</v>
      </c>
      <c r="S1823">
        <v>21.97</v>
      </c>
      <c r="T1823" t="str">
        <f t="shared" si="170"/>
        <v>Normal</v>
      </c>
      <c r="U1823">
        <v>80</v>
      </c>
      <c r="V1823">
        <v>78</v>
      </c>
      <c r="W1823" t="str">
        <f t="shared" si="173"/>
        <v>Normal</v>
      </c>
      <c r="X1823">
        <v>0</v>
      </c>
    </row>
    <row r="1824" spans="1:24" ht="14.5" thickBot="1" x14ac:dyDescent="0.35">
      <c r="A1824">
        <v>0</v>
      </c>
      <c r="B1824" t="str">
        <f t="shared" si="171"/>
        <v>Female</v>
      </c>
      <c r="C1824" s="8">
        <v>47</v>
      </c>
      <c r="D1824" t="str">
        <f t="shared" si="172"/>
        <v>Middle Age</v>
      </c>
      <c r="E1824">
        <v>3</v>
      </c>
      <c r="F1824" t="str">
        <f>HLOOKUP(E1824, LookUP_Table!$A$6:$D$7, 2, FALSE)</f>
        <v>Graduate</v>
      </c>
      <c r="G1824" t="str">
        <f>IFERROR(VLOOKUP(E1824, LookUP_Table!$A$1:$B$4, 2, FALSE), "")</f>
        <v>Graduate</v>
      </c>
      <c r="H1824">
        <v>1</v>
      </c>
      <c r="I1824">
        <v>2</v>
      </c>
      <c r="J1824" t="str">
        <f t="shared" si="168"/>
        <v>Smoker</v>
      </c>
      <c r="K1824">
        <v>0</v>
      </c>
      <c r="L1824">
        <v>0</v>
      </c>
      <c r="M1824">
        <v>0</v>
      </c>
      <c r="N1824">
        <v>0</v>
      </c>
      <c r="O1824">
        <v>232</v>
      </c>
      <c r="P1824" t="str">
        <f t="shared" si="169"/>
        <v>Normal</v>
      </c>
      <c r="Q1824">
        <v>110</v>
      </c>
      <c r="R1824">
        <v>70</v>
      </c>
      <c r="S1824">
        <v>25.86</v>
      </c>
      <c r="T1824" t="str">
        <f t="shared" si="170"/>
        <v>Overweight</v>
      </c>
      <c r="U1824">
        <v>76</v>
      </c>
      <c r="V1824">
        <v>82</v>
      </c>
      <c r="W1824" t="str">
        <f t="shared" si="173"/>
        <v>Normal</v>
      </c>
      <c r="X1824">
        <v>0</v>
      </c>
    </row>
    <row r="1825" spans="1:24" ht="14.5" thickBot="1" x14ac:dyDescent="0.35">
      <c r="A1825">
        <v>0</v>
      </c>
      <c r="B1825" t="str">
        <f t="shared" si="171"/>
        <v>Female</v>
      </c>
      <c r="C1825" s="8">
        <v>47</v>
      </c>
      <c r="D1825" t="str">
        <f t="shared" si="172"/>
        <v>Middle Age</v>
      </c>
      <c r="E1825">
        <v>1</v>
      </c>
      <c r="F1825" t="str">
        <f>HLOOKUP(E1825, LookUP_Table!$A$6:$D$7, 2, FALSE)</f>
        <v>Primary</v>
      </c>
      <c r="G1825" t="str">
        <f>IFERROR(VLOOKUP(E1825, LookUP_Table!$A$1:$B$4, 2, FALSE), "")</f>
        <v>Primary</v>
      </c>
      <c r="H1825">
        <v>1</v>
      </c>
      <c r="I1825">
        <v>20</v>
      </c>
      <c r="J1825" t="str">
        <f t="shared" si="168"/>
        <v>Smoker</v>
      </c>
      <c r="K1825">
        <v>0</v>
      </c>
      <c r="L1825">
        <v>0</v>
      </c>
      <c r="M1825">
        <v>1</v>
      </c>
      <c r="N1825">
        <v>0</v>
      </c>
      <c r="O1825">
        <v>325</v>
      </c>
      <c r="P1825" t="str">
        <f t="shared" si="169"/>
        <v>High</v>
      </c>
      <c r="Q1825">
        <v>160</v>
      </c>
      <c r="R1825">
        <v>95</v>
      </c>
      <c r="S1825">
        <v>32.07</v>
      </c>
      <c r="T1825" t="str">
        <f t="shared" si="170"/>
        <v>Obese</v>
      </c>
      <c r="U1825">
        <v>95</v>
      </c>
      <c r="V1825">
        <v>87</v>
      </c>
      <c r="W1825" t="str">
        <f t="shared" si="173"/>
        <v>Normal</v>
      </c>
      <c r="X1825">
        <v>0</v>
      </c>
    </row>
    <row r="1826" spans="1:24" ht="14.5" thickBot="1" x14ac:dyDescent="0.35">
      <c r="A1826">
        <v>0</v>
      </c>
      <c r="B1826" t="str">
        <f t="shared" si="171"/>
        <v>Female</v>
      </c>
      <c r="C1826" s="8">
        <v>47</v>
      </c>
      <c r="D1826" t="str">
        <f t="shared" si="172"/>
        <v>Middle Age</v>
      </c>
      <c r="E1826">
        <v>1</v>
      </c>
      <c r="F1826" t="str">
        <f>HLOOKUP(E1826, LookUP_Table!$A$6:$D$7, 2, FALSE)</f>
        <v>Primary</v>
      </c>
      <c r="G1826" t="str">
        <f>IFERROR(VLOOKUP(E1826, LookUP_Table!$A$1:$B$4, 2, FALSE), "")</f>
        <v>Primary</v>
      </c>
      <c r="H1826">
        <v>0</v>
      </c>
      <c r="I1826">
        <v>0</v>
      </c>
      <c r="J1826" t="str">
        <f t="shared" si="168"/>
        <v>Non-Smoker</v>
      </c>
      <c r="K1826">
        <v>0</v>
      </c>
      <c r="L1826">
        <v>0</v>
      </c>
      <c r="M1826">
        <v>0</v>
      </c>
      <c r="N1826">
        <v>0</v>
      </c>
      <c r="O1826">
        <v>278</v>
      </c>
      <c r="P1826" t="str">
        <f t="shared" si="169"/>
        <v>High</v>
      </c>
      <c r="Q1826">
        <v>156</v>
      </c>
      <c r="R1826">
        <v>96</v>
      </c>
      <c r="S1826">
        <v>27.86</v>
      </c>
      <c r="T1826" t="str">
        <f t="shared" si="170"/>
        <v>Overweight</v>
      </c>
      <c r="U1826">
        <v>80</v>
      </c>
      <c r="V1826">
        <v>70</v>
      </c>
      <c r="W1826" t="str">
        <f t="shared" si="173"/>
        <v>Normal</v>
      </c>
      <c r="X1826">
        <v>0</v>
      </c>
    </row>
    <row r="1827" spans="1:24" ht="14.5" thickBot="1" x14ac:dyDescent="0.35">
      <c r="A1827">
        <v>0</v>
      </c>
      <c r="B1827" t="str">
        <f t="shared" si="171"/>
        <v>Female</v>
      </c>
      <c r="C1827" s="8">
        <v>47</v>
      </c>
      <c r="D1827" t="str">
        <f t="shared" si="172"/>
        <v>Middle Age</v>
      </c>
      <c r="E1827">
        <v>4</v>
      </c>
      <c r="F1827" t="str">
        <f>HLOOKUP(E1827, LookUP_Table!$A$6:$D$7, 2, FALSE)</f>
        <v>Post Graduate</v>
      </c>
      <c r="G1827" t="str">
        <f>IFERROR(VLOOKUP(E1827, LookUP_Table!$A$1:$B$4, 2, FALSE), "")</f>
        <v>Post Graduate</v>
      </c>
      <c r="H1827">
        <v>1</v>
      </c>
      <c r="I1827">
        <v>20</v>
      </c>
      <c r="J1827" t="str">
        <f t="shared" si="168"/>
        <v>Smoker</v>
      </c>
      <c r="K1827">
        <v>0</v>
      </c>
      <c r="L1827">
        <v>0</v>
      </c>
      <c r="M1827">
        <v>0</v>
      </c>
      <c r="N1827">
        <v>0</v>
      </c>
      <c r="O1827">
        <v>241</v>
      </c>
      <c r="P1827" t="str">
        <f t="shared" si="169"/>
        <v>High</v>
      </c>
      <c r="Q1827">
        <v>122.5</v>
      </c>
      <c r="R1827">
        <v>77</v>
      </c>
      <c r="S1827">
        <v>22.18</v>
      </c>
      <c r="T1827" t="str">
        <f t="shared" si="170"/>
        <v>Normal</v>
      </c>
      <c r="U1827">
        <v>90</v>
      </c>
      <c r="V1827">
        <v>78</v>
      </c>
      <c r="W1827" t="str">
        <f t="shared" si="173"/>
        <v>Normal</v>
      </c>
      <c r="X1827">
        <v>0</v>
      </c>
    </row>
    <row r="1828" spans="1:24" ht="14.5" thickBot="1" x14ac:dyDescent="0.35">
      <c r="A1828">
        <v>0</v>
      </c>
      <c r="B1828" t="str">
        <f t="shared" si="171"/>
        <v>Female</v>
      </c>
      <c r="C1828" s="8">
        <v>47</v>
      </c>
      <c r="D1828" t="str">
        <f t="shared" si="172"/>
        <v>Middle Age</v>
      </c>
      <c r="E1828">
        <v>1</v>
      </c>
      <c r="F1828" t="str">
        <f>HLOOKUP(E1828, LookUP_Table!$A$6:$D$7, 2, FALSE)</f>
        <v>Primary</v>
      </c>
      <c r="G1828" t="str">
        <f>IFERROR(VLOOKUP(E1828, LookUP_Table!$A$1:$B$4, 2, FALSE), "")</f>
        <v>Primary</v>
      </c>
      <c r="H1828">
        <v>1</v>
      </c>
      <c r="I1828">
        <v>43</v>
      </c>
      <c r="J1828" t="str">
        <f t="shared" si="168"/>
        <v>Smoker</v>
      </c>
      <c r="K1828">
        <v>0</v>
      </c>
      <c r="L1828">
        <v>0</v>
      </c>
      <c r="M1828">
        <v>0</v>
      </c>
      <c r="N1828">
        <v>0</v>
      </c>
      <c r="O1828">
        <v>252</v>
      </c>
      <c r="P1828" t="str">
        <f t="shared" si="169"/>
        <v>High</v>
      </c>
      <c r="Q1828">
        <v>132.5</v>
      </c>
      <c r="R1828">
        <v>85</v>
      </c>
      <c r="S1828">
        <v>20.05</v>
      </c>
      <c r="T1828" t="str">
        <f t="shared" si="170"/>
        <v>Normal</v>
      </c>
      <c r="U1828">
        <v>72</v>
      </c>
      <c r="V1828">
        <v>80</v>
      </c>
      <c r="W1828" t="str">
        <f t="shared" si="173"/>
        <v>Normal</v>
      </c>
      <c r="X1828">
        <v>0</v>
      </c>
    </row>
    <row r="1829" spans="1:24" ht="14.5" thickBot="1" x14ac:dyDescent="0.35">
      <c r="A1829">
        <v>0</v>
      </c>
      <c r="B1829" t="str">
        <f t="shared" si="171"/>
        <v>Female</v>
      </c>
      <c r="C1829" s="8">
        <v>47</v>
      </c>
      <c r="D1829" t="str">
        <f t="shared" si="172"/>
        <v>Middle Age</v>
      </c>
      <c r="E1829">
        <v>2</v>
      </c>
      <c r="F1829" t="str">
        <f>HLOOKUP(E1829, LookUP_Table!$A$6:$D$7, 2, FALSE)</f>
        <v>Secondary</v>
      </c>
      <c r="G1829" t="str">
        <f>IFERROR(VLOOKUP(E1829, LookUP_Table!$A$1:$B$4, 2, FALSE), "")</f>
        <v>Secondary</v>
      </c>
      <c r="H1829">
        <v>1</v>
      </c>
      <c r="I1829">
        <v>9</v>
      </c>
      <c r="J1829" t="str">
        <f t="shared" si="168"/>
        <v>Smoker</v>
      </c>
      <c r="K1829">
        <v>0</v>
      </c>
      <c r="L1829">
        <v>0</v>
      </c>
      <c r="M1829">
        <v>1</v>
      </c>
      <c r="N1829">
        <v>0</v>
      </c>
      <c r="O1829">
        <v>253</v>
      </c>
      <c r="P1829" t="str">
        <f t="shared" si="169"/>
        <v>High</v>
      </c>
      <c r="Q1829">
        <v>129</v>
      </c>
      <c r="R1829">
        <v>81</v>
      </c>
      <c r="S1829">
        <v>22.18</v>
      </c>
      <c r="T1829" t="str">
        <f t="shared" si="170"/>
        <v>Normal</v>
      </c>
      <c r="U1829">
        <v>70</v>
      </c>
      <c r="V1829">
        <v>122</v>
      </c>
      <c r="W1829" t="str">
        <f t="shared" si="173"/>
        <v>Prediabetes</v>
      </c>
      <c r="X1829">
        <v>1</v>
      </c>
    </row>
    <row r="1830" spans="1:24" ht="14.5" thickBot="1" x14ac:dyDescent="0.35">
      <c r="A1830">
        <v>0</v>
      </c>
      <c r="B1830" t="str">
        <f t="shared" si="171"/>
        <v>Female</v>
      </c>
      <c r="C1830" s="8">
        <v>47</v>
      </c>
      <c r="D1830" t="str">
        <f t="shared" si="172"/>
        <v>Middle Age</v>
      </c>
      <c r="E1830">
        <v>2</v>
      </c>
      <c r="F1830" t="str">
        <f>HLOOKUP(E1830, LookUP_Table!$A$6:$D$7, 2, FALSE)</f>
        <v>Secondary</v>
      </c>
      <c r="G1830" t="str">
        <f>IFERROR(VLOOKUP(E1830, LookUP_Table!$A$1:$B$4, 2, FALSE), "")</f>
        <v>Secondary</v>
      </c>
      <c r="H1830">
        <v>0</v>
      </c>
      <c r="I1830">
        <v>0</v>
      </c>
      <c r="J1830" t="str">
        <f t="shared" si="168"/>
        <v>Non-Smoker</v>
      </c>
      <c r="K1830">
        <v>0</v>
      </c>
      <c r="L1830">
        <v>0</v>
      </c>
      <c r="M1830">
        <v>0</v>
      </c>
      <c r="N1830">
        <v>0</v>
      </c>
      <c r="O1830">
        <v>187</v>
      </c>
      <c r="P1830" t="str">
        <f t="shared" si="169"/>
        <v>Normal</v>
      </c>
      <c r="Q1830">
        <v>127.5</v>
      </c>
      <c r="R1830">
        <v>90</v>
      </c>
      <c r="S1830">
        <v>24.63</v>
      </c>
      <c r="T1830" t="str">
        <f t="shared" si="170"/>
        <v>Normal</v>
      </c>
      <c r="U1830">
        <v>110</v>
      </c>
      <c r="V1830">
        <v>72</v>
      </c>
      <c r="W1830" t="str">
        <f t="shared" si="173"/>
        <v>Normal</v>
      </c>
      <c r="X1830">
        <v>1</v>
      </c>
    </row>
    <row r="1831" spans="1:24" ht="14.5" thickBot="1" x14ac:dyDescent="0.35">
      <c r="A1831">
        <v>1</v>
      </c>
      <c r="B1831" t="str">
        <f t="shared" si="171"/>
        <v>Male</v>
      </c>
      <c r="C1831" s="8">
        <v>47</v>
      </c>
      <c r="D1831" t="str">
        <f t="shared" si="172"/>
        <v>Middle Age</v>
      </c>
      <c r="E1831">
        <v>1</v>
      </c>
      <c r="F1831" t="str">
        <f>HLOOKUP(E1831, LookUP_Table!$A$6:$D$7, 2, FALSE)</f>
        <v>Primary</v>
      </c>
      <c r="G1831" t="str">
        <f>IFERROR(VLOOKUP(E1831, LookUP_Table!$A$1:$B$4, 2, FALSE), "")</f>
        <v>Primary</v>
      </c>
      <c r="H1831">
        <v>0</v>
      </c>
      <c r="I1831">
        <v>0</v>
      </c>
      <c r="J1831" t="str">
        <f t="shared" si="168"/>
        <v>Non-Smoker</v>
      </c>
      <c r="K1831">
        <v>0</v>
      </c>
      <c r="L1831">
        <v>0</v>
      </c>
      <c r="M1831">
        <v>0</v>
      </c>
      <c r="N1831">
        <v>0</v>
      </c>
      <c r="O1831">
        <v>219</v>
      </c>
      <c r="P1831" t="str">
        <f t="shared" si="169"/>
        <v>Normal</v>
      </c>
      <c r="Q1831">
        <v>116</v>
      </c>
      <c r="R1831">
        <v>82</v>
      </c>
      <c r="S1831">
        <v>24.05</v>
      </c>
      <c r="T1831" t="str">
        <f t="shared" si="170"/>
        <v>Normal</v>
      </c>
      <c r="U1831">
        <v>58</v>
      </c>
      <c r="V1831">
        <v>87</v>
      </c>
      <c r="W1831" t="str">
        <f t="shared" si="173"/>
        <v>Normal</v>
      </c>
      <c r="X1831">
        <v>0</v>
      </c>
    </row>
    <row r="1832" spans="1:24" ht="14.5" thickBot="1" x14ac:dyDescent="0.35">
      <c r="A1832">
        <v>1</v>
      </c>
      <c r="B1832" t="str">
        <f t="shared" si="171"/>
        <v>Male</v>
      </c>
      <c r="C1832" s="8">
        <v>47</v>
      </c>
      <c r="D1832" t="str">
        <f t="shared" si="172"/>
        <v>Middle Age</v>
      </c>
      <c r="E1832">
        <v>1</v>
      </c>
      <c r="F1832" t="str">
        <f>HLOOKUP(E1832, LookUP_Table!$A$6:$D$7, 2, FALSE)</f>
        <v>Primary</v>
      </c>
      <c r="G1832" t="str">
        <f>IFERROR(VLOOKUP(E1832, LookUP_Table!$A$1:$B$4, 2, FALSE), "")</f>
        <v>Primary</v>
      </c>
      <c r="H1832">
        <v>0</v>
      </c>
      <c r="I1832">
        <v>0</v>
      </c>
      <c r="J1832" t="str">
        <f t="shared" si="168"/>
        <v>Non-Smoker</v>
      </c>
      <c r="K1832">
        <v>0</v>
      </c>
      <c r="L1832">
        <v>0</v>
      </c>
      <c r="M1832">
        <v>0</v>
      </c>
      <c r="N1832">
        <v>0</v>
      </c>
      <c r="O1832">
        <v>271</v>
      </c>
      <c r="P1832" t="str">
        <f t="shared" si="169"/>
        <v>High</v>
      </c>
      <c r="Q1832">
        <v>147</v>
      </c>
      <c r="R1832">
        <v>97</v>
      </c>
      <c r="S1832">
        <v>24.99</v>
      </c>
      <c r="T1832" t="str">
        <f t="shared" si="170"/>
        <v>Normal</v>
      </c>
      <c r="U1832">
        <v>90</v>
      </c>
      <c r="V1832">
        <v>78</v>
      </c>
      <c r="W1832" t="str">
        <f t="shared" si="173"/>
        <v>Normal</v>
      </c>
      <c r="X1832">
        <v>0</v>
      </c>
    </row>
    <row r="1833" spans="1:24" ht="14.5" thickBot="1" x14ac:dyDescent="0.35">
      <c r="A1833">
        <v>0</v>
      </c>
      <c r="B1833" t="str">
        <f t="shared" si="171"/>
        <v>Female</v>
      </c>
      <c r="C1833" s="8">
        <v>47</v>
      </c>
      <c r="D1833" t="str">
        <f t="shared" si="172"/>
        <v>Middle Age</v>
      </c>
      <c r="E1833">
        <v>3</v>
      </c>
      <c r="F1833" t="str">
        <f>HLOOKUP(E1833, LookUP_Table!$A$6:$D$7, 2, FALSE)</f>
        <v>Graduate</v>
      </c>
      <c r="G1833" t="str">
        <f>IFERROR(VLOOKUP(E1833, LookUP_Table!$A$1:$B$4, 2, FALSE), "")</f>
        <v>Graduate</v>
      </c>
      <c r="H1833">
        <v>0</v>
      </c>
      <c r="I1833">
        <v>0</v>
      </c>
      <c r="J1833" t="str">
        <f t="shared" si="168"/>
        <v>Non-Smoker</v>
      </c>
      <c r="K1833">
        <v>0</v>
      </c>
      <c r="L1833">
        <v>0</v>
      </c>
      <c r="M1833">
        <v>1</v>
      </c>
      <c r="N1833">
        <v>0</v>
      </c>
      <c r="O1833">
        <v>248</v>
      </c>
      <c r="P1833" t="str">
        <f t="shared" si="169"/>
        <v>High</v>
      </c>
      <c r="Q1833">
        <v>143.5</v>
      </c>
      <c r="R1833">
        <v>109</v>
      </c>
      <c r="S1833">
        <v>32.43</v>
      </c>
      <c r="T1833" t="str">
        <f t="shared" si="170"/>
        <v>Obese</v>
      </c>
      <c r="U1833">
        <v>76</v>
      </c>
      <c r="V1833">
        <v>66</v>
      </c>
      <c r="W1833" t="str">
        <f t="shared" si="173"/>
        <v>Normal</v>
      </c>
      <c r="X1833">
        <v>0</v>
      </c>
    </row>
    <row r="1834" spans="1:24" ht="14.5" thickBot="1" x14ac:dyDescent="0.35">
      <c r="A1834">
        <v>0</v>
      </c>
      <c r="B1834" t="str">
        <f t="shared" si="171"/>
        <v>Female</v>
      </c>
      <c r="C1834" s="8">
        <v>47</v>
      </c>
      <c r="D1834" t="str">
        <f t="shared" si="172"/>
        <v>Middle Age</v>
      </c>
      <c r="E1834">
        <v>1</v>
      </c>
      <c r="F1834" t="str">
        <f>HLOOKUP(E1834, LookUP_Table!$A$6:$D$7, 2, FALSE)</f>
        <v>Primary</v>
      </c>
      <c r="G1834" t="str">
        <f>IFERROR(VLOOKUP(E1834, LookUP_Table!$A$1:$B$4, 2, FALSE), "")</f>
        <v>Primary</v>
      </c>
      <c r="H1834">
        <v>0</v>
      </c>
      <c r="I1834">
        <v>0</v>
      </c>
      <c r="J1834" t="str">
        <f t="shared" si="168"/>
        <v>Non-Smoker</v>
      </c>
      <c r="K1834">
        <v>0</v>
      </c>
      <c r="L1834">
        <v>0</v>
      </c>
      <c r="M1834">
        <v>1</v>
      </c>
      <c r="N1834">
        <v>0</v>
      </c>
      <c r="O1834">
        <v>305</v>
      </c>
      <c r="P1834" t="str">
        <f t="shared" si="169"/>
        <v>High</v>
      </c>
      <c r="Q1834">
        <v>128</v>
      </c>
      <c r="R1834">
        <v>92.5</v>
      </c>
      <c r="S1834">
        <v>27.64</v>
      </c>
      <c r="T1834" t="str">
        <f t="shared" si="170"/>
        <v>Overweight</v>
      </c>
      <c r="U1834">
        <v>75</v>
      </c>
      <c r="V1834">
        <v>62</v>
      </c>
      <c r="W1834" t="str">
        <f t="shared" si="173"/>
        <v>Normal</v>
      </c>
      <c r="X1834">
        <v>0</v>
      </c>
    </row>
    <row r="1835" spans="1:24" ht="14.5" thickBot="1" x14ac:dyDescent="0.35">
      <c r="A1835">
        <v>0</v>
      </c>
      <c r="B1835" t="str">
        <f t="shared" si="171"/>
        <v>Female</v>
      </c>
      <c r="C1835" s="8">
        <v>47</v>
      </c>
      <c r="D1835" t="str">
        <f t="shared" si="172"/>
        <v>Middle Age</v>
      </c>
      <c r="E1835">
        <v>3</v>
      </c>
      <c r="F1835" t="str">
        <f>HLOOKUP(E1835, LookUP_Table!$A$6:$D$7, 2, FALSE)</f>
        <v>Graduate</v>
      </c>
      <c r="G1835" t="str">
        <f>IFERROR(VLOOKUP(E1835, LookUP_Table!$A$1:$B$4, 2, FALSE), "")</f>
        <v>Graduate</v>
      </c>
      <c r="H1835">
        <v>1</v>
      </c>
      <c r="I1835">
        <v>3</v>
      </c>
      <c r="J1835" t="str">
        <f t="shared" si="168"/>
        <v>Smoker</v>
      </c>
      <c r="K1835">
        <v>0</v>
      </c>
      <c r="L1835">
        <v>0</v>
      </c>
      <c r="M1835">
        <v>0</v>
      </c>
      <c r="N1835">
        <v>0</v>
      </c>
      <c r="O1835">
        <v>246</v>
      </c>
      <c r="P1835" t="str">
        <f t="shared" si="169"/>
        <v>High</v>
      </c>
      <c r="Q1835">
        <v>120</v>
      </c>
      <c r="R1835">
        <v>78</v>
      </c>
      <c r="S1835">
        <v>24.71</v>
      </c>
      <c r="T1835" t="str">
        <f t="shared" si="170"/>
        <v>Normal</v>
      </c>
      <c r="U1835">
        <v>63</v>
      </c>
      <c r="V1835">
        <v>75</v>
      </c>
      <c r="W1835" t="str">
        <f t="shared" si="173"/>
        <v>Normal</v>
      </c>
      <c r="X1835">
        <v>0</v>
      </c>
    </row>
    <row r="1836" spans="1:24" ht="14.5" thickBot="1" x14ac:dyDescent="0.35">
      <c r="A1836">
        <v>0</v>
      </c>
      <c r="B1836" t="str">
        <f t="shared" si="171"/>
        <v>Female</v>
      </c>
      <c r="C1836" s="8">
        <v>47</v>
      </c>
      <c r="D1836" t="str">
        <f t="shared" si="172"/>
        <v>Middle Age</v>
      </c>
      <c r="E1836">
        <v>1</v>
      </c>
      <c r="F1836" t="str">
        <f>HLOOKUP(E1836, LookUP_Table!$A$6:$D$7, 2, FALSE)</f>
        <v>Primary</v>
      </c>
      <c r="G1836" t="str">
        <f>IFERROR(VLOOKUP(E1836, LookUP_Table!$A$1:$B$4, 2, FALSE), "")</f>
        <v>Primary</v>
      </c>
      <c r="H1836">
        <v>0</v>
      </c>
      <c r="I1836">
        <v>0</v>
      </c>
      <c r="J1836" t="str">
        <f t="shared" si="168"/>
        <v>Non-Smoker</v>
      </c>
      <c r="K1836">
        <v>1</v>
      </c>
      <c r="L1836">
        <v>0</v>
      </c>
      <c r="M1836">
        <v>1</v>
      </c>
      <c r="N1836">
        <v>0</v>
      </c>
      <c r="O1836">
        <v>277</v>
      </c>
      <c r="P1836" t="str">
        <f t="shared" si="169"/>
        <v>High</v>
      </c>
      <c r="Q1836">
        <v>138.5</v>
      </c>
      <c r="R1836">
        <v>99</v>
      </c>
      <c r="S1836">
        <v>39.64</v>
      </c>
      <c r="T1836" t="str">
        <f t="shared" si="170"/>
        <v>Obese</v>
      </c>
      <c r="U1836">
        <v>85</v>
      </c>
      <c r="V1836">
        <v>81</v>
      </c>
      <c r="W1836" t="str">
        <f t="shared" si="173"/>
        <v>Normal</v>
      </c>
      <c r="X1836">
        <v>1</v>
      </c>
    </row>
    <row r="1837" spans="1:24" ht="14.5" thickBot="1" x14ac:dyDescent="0.35">
      <c r="A1837">
        <v>1</v>
      </c>
      <c r="B1837" t="str">
        <f t="shared" si="171"/>
        <v>Male</v>
      </c>
      <c r="C1837" s="8">
        <v>47</v>
      </c>
      <c r="D1837" t="str">
        <f t="shared" si="172"/>
        <v>Middle Age</v>
      </c>
      <c r="E1837">
        <v>2</v>
      </c>
      <c r="F1837" t="str">
        <f>HLOOKUP(E1837, LookUP_Table!$A$6:$D$7, 2, FALSE)</f>
        <v>Secondary</v>
      </c>
      <c r="G1837" t="str">
        <f>IFERROR(VLOOKUP(E1837, LookUP_Table!$A$1:$B$4, 2, FALSE), "")</f>
        <v>Secondary</v>
      </c>
      <c r="H1837">
        <v>0</v>
      </c>
      <c r="I1837">
        <v>0</v>
      </c>
      <c r="J1837" t="str">
        <f t="shared" si="168"/>
        <v>Non-Smoker</v>
      </c>
      <c r="K1837">
        <v>0</v>
      </c>
      <c r="L1837">
        <v>0</v>
      </c>
      <c r="M1837">
        <v>0</v>
      </c>
      <c r="N1837">
        <v>0</v>
      </c>
      <c r="O1837">
        <v>236.69952267303103</v>
      </c>
      <c r="P1837" t="str">
        <f t="shared" si="169"/>
        <v>Normal</v>
      </c>
      <c r="Q1837">
        <v>142</v>
      </c>
      <c r="R1837">
        <v>96</v>
      </c>
      <c r="S1837">
        <v>28.21</v>
      </c>
      <c r="T1837" t="str">
        <f t="shared" si="170"/>
        <v>Overweight</v>
      </c>
      <c r="U1837">
        <v>75</v>
      </c>
      <c r="V1837">
        <v>81.96365524402907</v>
      </c>
      <c r="W1837" t="str">
        <f t="shared" si="173"/>
        <v>Normal</v>
      </c>
      <c r="X1837">
        <v>1</v>
      </c>
    </row>
    <row r="1838" spans="1:24" ht="14.5" thickBot="1" x14ac:dyDescent="0.35">
      <c r="A1838">
        <v>0</v>
      </c>
      <c r="B1838" t="str">
        <f t="shared" si="171"/>
        <v>Female</v>
      </c>
      <c r="C1838" s="8">
        <v>47</v>
      </c>
      <c r="D1838" t="str">
        <f t="shared" si="172"/>
        <v>Middle Age</v>
      </c>
      <c r="E1838">
        <v>2</v>
      </c>
      <c r="F1838" t="str">
        <f>HLOOKUP(E1838, LookUP_Table!$A$6:$D$7, 2, FALSE)</f>
        <v>Secondary</v>
      </c>
      <c r="G1838" t="str">
        <f>IFERROR(VLOOKUP(E1838, LookUP_Table!$A$1:$B$4, 2, FALSE), "")</f>
        <v>Secondary</v>
      </c>
      <c r="H1838">
        <v>0</v>
      </c>
      <c r="I1838">
        <v>0</v>
      </c>
      <c r="J1838" t="str">
        <f t="shared" si="168"/>
        <v>Non-Smoker</v>
      </c>
      <c r="K1838">
        <v>0</v>
      </c>
      <c r="L1838">
        <v>0</v>
      </c>
      <c r="M1838">
        <v>1</v>
      </c>
      <c r="N1838">
        <v>0</v>
      </c>
      <c r="O1838">
        <v>215</v>
      </c>
      <c r="P1838" t="str">
        <f t="shared" si="169"/>
        <v>Normal</v>
      </c>
      <c r="Q1838">
        <v>202</v>
      </c>
      <c r="R1838">
        <v>132</v>
      </c>
      <c r="S1838">
        <v>20.49</v>
      </c>
      <c r="T1838" t="str">
        <f t="shared" si="170"/>
        <v>Normal</v>
      </c>
      <c r="U1838">
        <v>100</v>
      </c>
      <c r="V1838">
        <v>77</v>
      </c>
      <c r="W1838" t="str">
        <f t="shared" si="173"/>
        <v>Normal</v>
      </c>
      <c r="X1838">
        <v>0</v>
      </c>
    </row>
    <row r="1839" spans="1:24" ht="14.5" thickBot="1" x14ac:dyDescent="0.35">
      <c r="A1839">
        <v>0</v>
      </c>
      <c r="B1839" t="str">
        <f t="shared" si="171"/>
        <v>Female</v>
      </c>
      <c r="C1839" s="8">
        <v>47</v>
      </c>
      <c r="D1839" t="str">
        <f t="shared" si="172"/>
        <v>Middle Age</v>
      </c>
      <c r="E1839">
        <v>3</v>
      </c>
      <c r="F1839" t="str">
        <f>HLOOKUP(E1839, LookUP_Table!$A$6:$D$7, 2, FALSE)</f>
        <v>Graduate</v>
      </c>
      <c r="G1839" t="str">
        <f>IFERROR(VLOOKUP(E1839, LookUP_Table!$A$1:$B$4, 2, FALSE), "")</f>
        <v>Graduate</v>
      </c>
      <c r="H1839">
        <v>0</v>
      </c>
      <c r="I1839">
        <v>0</v>
      </c>
      <c r="J1839" t="str">
        <f t="shared" si="168"/>
        <v>Non-Smoker</v>
      </c>
      <c r="K1839">
        <v>0</v>
      </c>
      <c r="L1839">
        <v>0</v>
      </c>
      <c r="M1839">
        <v>1</v>
      </c>
      <c r="N1839">
        <v>0</v>
      </c>
      <c r="O1839">
        <v>250</v>
      </c>
      <c r="P1839" t="str">
        <f t="shared" si="169"/>
        <v>High</v>
      </c>
      <c r="Q1839">
        <v>167</v>
      </c>
      <c r="R1839">
        <v>96.5</v>
      </c>
      <c r="S1839">
        <v>23.79</v>
      </c>
      <c r="T1839" t="str">
        <f t="shared" si="170"/>
        <v>Normal</v>
      </c>
      <c r="U1839">
        <v>65</v>
      </c>
      <c r="V1839">
        <v>81.96365524402907</v>
      </c>
      <c r="W1839" t="str">
        <f t="shared" si="173"/>
        <v>Normal</v>
      </c>
      <c r="X1839">
        <v>0</v>
      </c>
    </row>
    <row r="1840" spans="1:24" ht="14.5" thickBot="1" x14ac:dyDescent="0.35">
      <c r="A1840">
        <v>0</v>
      </c>
      <c r="B1840" t="str">
        <f t="shared" si="171"/>
        <v>Female</v>
      </c>
      <c r="C1840" s="8">
        <v>47</v>
      </c>
      <c r="D1840" t="str">
        <f t="shared" si="172"/>
        <v>Middle Age</v>
      </c>
      <c r="E1840">
        <v>1</v>
      </c>
      <c r="F1840" t="str">
        <f>HLOOKUP(E1840, LookUP_Table!$A$6:$D$7, 2, FALSE)</f>
        <v>Primary</v>
      </c>
      <c r="G1840" t="str">
        <f>IFERROR(VLOOKUP(E1840, LookUP_Table!$A$1:$B$4, 2, FALSE), "")</f>
        <v>Primary</v>
      </c>
      <c r="H1840">
        <v>0</v>
      </c>
      <c r="I1840">
        <v>0</v>
      </c>
      <c r="J1840" t="str">
        <f t="shared" si="168"/>
        <v>Non-Smoker</v>
      </c>
      <c r="K1840">
        <v>0</v>
      </c>
      <c r="L1840">
        <v>0</v>
      </c>
      <c r="M1840">
        <v>0</v>
      </c>
      <c r="N1840">
        <v>0</v>
      </c>
      <c r="O1840">
        <v>289</v>
      </c>
      <c r="P1840" t="str">
        <f t="shared" si="169"/>
        <v>High</v>
      </c>
      <c r="Q1840">
        <v>126.5</v>
      </c>
      <c r="R1840">
        <v>84</v>
      </c>
      <c r="S1840">
        <v>21.71</v>
      </c>
      <c r="T1840" t="str">
        <f t="shared" si="170"/>
        <v>Normal</v>
      </c>
      <c r="U1840">
        <v>69</v>
      </c>
      <c r="V1840">
        <v>70</v>
      </c>
      <c r="W1840" t="str">
        <f t="shared" si="173"/>
        <v>Normal</v>
      </c>
      <c r="X1840">
        <v>0</v>
      </c>
    </row>
    <row r="1841" spans="1:24" ht="14.5" thickBot="1" x14ac:dyDescent="0.35">
      <c r="A1841">
        <v>0</v>
      </c>
      <c r="B1841" t="str">
        <f t="shared" si="171"/>
        <v>Female</v>
      </c>
      <c r="C1841" s="8">
        <v>47</v>
      </c>
      <c r="D1841" t="str">
        <f t="shared" si="172"/>
        <v>Middle Age</v>
      </c>
      <c r="E1841">
        <v>2</v>
      </c>
      <c r="F1841" t="str">
        <f>HLOOKUP(E1841, LookUP_Table!$A$6:$D$7, 2, FALSE)</f>
        <v>Secondary</v>
      </c>
      <c r="G1841" t="str">
        <f>IFERROR(VLOOKUP(E1841, LookUP_Table!$A$1:$B$4, 2, FALSE), "")</f>
        <v>Secondary</v>
      </c>
      <c r="H1841">
        <v>1</v>
      </c>
      <c r="I1841">
        <v>9</v>
      </c>
      <c r="J1841" t="str">
        <f t="shared" si="168"/>
        <v>Smoker</v>
      </c>
      <c r="K1841">
        <v>0</v>
      </c>
      <c r="L1841">
        <v>0</v>
      </c>
      <c r="M1841">
        <v>0</v>
      </c>
      <c r="N1841">
        <v>0</v>
      </c>
      <c r="O1841">
        <v>365</v>
      </c>
      <c r="P1841" t="str">
        <f t="shared" si="169"/>
        <v>High</v>
      </c>
      <c r="Q1841">
        <v>127</v>
      </c>
      <c r="R1841">
        <v>76</v>
      </c>
      <c r="S1841">
        <v>24.44</v>
      </c>
      <c r="T1841" t="str">
        <f t="shared" si="170"/>
        <v>Normal</v>
      </c>
      <c r="U1841">
        <v>72</v>
      </c>
      <c r="V1841">
        <v>80</v>
      </c>
      <c r="W1841" t="str">
        <f t="shared" si="173"/>
        <v>Normal</v>
      </c>
      <c r="X1841">
        <v>0</v>
      </c>
    </row>
    <row r="1842" spans="1:24" ht="14.5" thickBot="1" x14ac:dyDescent="0.35">
      <c r="A1842">
        <v>0</v>
      </c>
      <c r="B1842" t="str">
        <f t="shared" si="171"/>
        <v>Female</v>
      </c>
      <c r="C1842" s="8">
        <v>47</v>
      </c>
      <c r="D1842" t="str">
        <f t="shared" si="172"/>
        <v>Middle Age</v>
      </c>
      <c r="E1842">
        <v>1</v>
      </c>
      <c r="F1842" t="str">
        <f>HLOOKUP(E1842, LookUP_Table!$A$6:$D$7, 2, FALSE)</f>
        <v>Primary</v>
      </c>
      <c r="G1842" t="str">
        <f>IFERROR(VLOOKUP(E1842, LookUP_Table!$A$1:$B$4, 2, FALSE), "")</f>
        <v>Primary</v>
      </c>
      <c r="H1842">
        <v>1</v>
      </c>
      <c r="I1842">
        <v>40</v>
      </c>
      <c r="J1842" t="str">
        <f t="shared" si="168"/>
        <v>Smoker</v>
      </c>
      <c r="K1842">
        <v>0</v>
      </c>
      <c r="L1842">
        <v>0</v>
      </c>
      <c r="M1842">
        <v>0</v>
      </c>
      <c r="N1842">
        <v>0</v>
      </c>
      <c r="O1842">
        <v>221</v>
      </c>
      <c r="P1842" t="str">
        <f t="shared" si="169"/>
        <v>Normal</v>
      </c>
      <c r="Q1842">
        <v>144</v>
      </c>
      <c r="R1842">
        <v>91</v>
      </c>
      <c r="S1842">
        <v>35.78</v>
      </c>
      <c r="T1842" t="str">
        <f t="shared" si="170"/>
        <v>Obese</v>
      </c>
      <c r="U1842">
        <v>85</v>
      </c>
      <c r="V1842">
        <v>66</v>
      </c>
      <c r="W1842" t="str">
        <f t="shared" si="173"/>
        <v>Normal</v>
      </c>
      <c r="X1842">
        <v>0</v>
      </c>
    </row>
    <row r="1843" spans="1:24" ht="14.5" thickBot="1" x14ac:dyDescent="0.35">
      <c r="A1843">
        <v>0</v>
      </c>
      <c r="B1843" t="str">
        <f t="shared" si="171"/>
        <v>Female</v>
      </c>
      <c r="C1843" s="8">
        <v>47</v>
      </c>
      <c r="D1843" t="str">
        <f t="shared" si="172"/>
        <v>Middle Age</v>
      </c>
      <c r="E1843">
        <v>1</v>
      </c>
      <c r="F1843" t="str">
        <f>HLOOKUP(E1843, LookUP_Table!$A$6:$D$7, 2, FALSE)</f>
        <v>Primary</v>
      </c>
      <c r="G1843" t="str">
        <f>IFERROR(VLOOKUP(E1843, LookUP_Table!$A$1:$B$4, 2, FALSE), "")</f>
        <v>Primary</v>
      </c>
      <c r="H1843">
        <v>0</v>
      </c>
      <c r="I1843">
        <v>0</v>
      </c>
      <c r="J1843" t="str">
        <f t="shared" si="168"/>
        <v>Non-Smoker</v>
      </c>
      <c r="K1843">
        <v>0</v>
      </c>
      <c r="L1843">
        <v>0</v>
      </c>
      <c r="M1843">
        <v>0</v>
      </c>
      <c r="N1843">
        <v>0</v>
      </c>
      <c r="O1843">
        <v>210</v>
      </c>
      <c r="P1843" t="str">
        <f t="shared" si="169"/>
        <v>Normal</v>
      </c>
      <c r="Q1843">
        <v>113</v>
      </c>
      <c r="R1843">
        <v>65</v>
      </c>
      <c r="S1843">
        <v>21.33</v>
      </c>
      <c r="T1843" t="str">
        <f t="shared" si="170"/>
        <v>Normal</v>
      </c>
      <c r="U1843">
        <v>66</v>
      </c>
      <c r="V1843">
        <v>62</v>
      </c>
      <c r="W1843" t="str">
        <f t="shared" si="173"/>
        <v>Normal</v>
      </c>
      <c r="X1843">
        <v>0</v>
      </c>
    </row>
    <row r="1844" spans="1:24" ht="14.5" thickBot="1" x14ac:dyDescent="0.35">
      <c r="A1844">
        <v>0</v>
      </c>
      <c r="B1844" t="str">
        <f t="shared" si="171"/>
        <v>Female</v>
      </c>
      <c r="C1844" s="8">
        <v>47</v>
      </c>
      <c r="D1844" t="str">
        <f t="shared" si="172"/>
        <v>Middle Age</v>
      </c>
      <c r="E1844">
        <v>1</v>
      </c>
      <c r="F1844" t="str">
        <f>HLOOKUP(E1844, LookUP_Table!$A$6:$D$7, 2, FALSE)</f>
        <v>Primary</v>
      </c>
      <c r="G1844" t="str">
        <f>IFERROR(VLOOKUP(E1844, LookUP_Table!$A$1:$B$4, 2, FALSE), "")</f>
        <v>Primary</v>
      </c>
      <c r="H1844">
        <v>0</v>
      </c>
      <c r="I1844">
        <v>0</v>
      </c>
      <c r="J1844" t="str">
        <f t="shared" si="168"/>
        <v>Non-Smoker</v>
      </c>
      <c r="K1844">
        <v>0</v>
      </c>
      <c r="L1844">
        <v>0</v>
      </c>
      <c r="M1844">
        <v>0</v>
      </c>
      <c r="N1844">
        <v>0</v>
      </c>
      <c r="O1844">
        <v>228</v>
      </c>
      <c r="P1844" t="str">
        <f t="shared" si="169"/>
        <v>Normal</v>
      </c>
      <c r="Q1844">
        <v>118</v>
      </c>
      <c r="R1844">
        <v>84</v>
      </c>
      <c r="S1844">
        <v>18.670000000000002</v>
      </c>
      <c r="T1844" t="str">
        <f t="shared" si="170"/>
        <v>Normal</v>
      </c>
      <c r="U1844">
        <v>75</v>
      </c>
      <c r="V1844">
        <v>90</v>
      </c>
      <c r="W1844" t="str">
        <f t="shared" si="173"/>
        <v>Normal</v>
      </c>
      <c r="X1844">
        <v>0</v>
      </c>
    </row>
    <row r="1845" spans="1:24" ht="14.5" thickBot="1" x14ac:dyDescent="0.35">
      <c r="A1845">
        <v>1</v>
      </c>
      <c r="B1845" t="str">
        <f t="shared" si="171"/>
        <v>Male</v>
      </c>
      <c r="C1845" s="8">
        <v>47</v>
      </c>
      <c r="D1845" t="str">
        <f t="shared" si="172"/>
        <v>Middle Age</v>
      </c>
      <c r="E1845">
        <v>1</v>
      </c>
      <c r="F1845" t="str">
        <f>HLOOKUP(E1845, LookUP_Table!$A$6:$D$7, 2, FALSE)</f>
        <v>Primary</v>
      </c>
      <c r="G1845" t="str">
        <f>IFERROR(VLOOKUP(E1845, LookUP_Table!$A$1:$B$4, 2, FALSE), "")</f>
        <v>Primary</v>
      </c>
      <c r="H1845">
        <v>1</v>
      </c>
      <c r="I1845">
        <v>30</v>
      </c>
      <c r="J1845" t="str">
        <f t="shared" si="168"/>
        <v>Smoker</v>
      </c>
      <c r="K1845">
        <v>0</v>
      </c>
      <c r="L1845">
        <v>0</v>
      </c>
      <c r="M1845">
        <v>0</v>
      </c>
      <c r="N1845">
        <v>0</v>
      </c>
      <c r="O1845">
        <v>260</v>
      </c>
      <c r="P1845" t="str">
        <f t="shared" si="169"/>
        <v>High</v>
      </c>
      <c r="Q1845">
        <v>111</v>
      </c>
      <c r="R1845">
        <v>70</v>
      </c>
      <c r="S1845">
        <v>23.46</v>
      </c>
      <c r="T1845" t="str">
        <f t="shared" si="170"/>
        <v>Normal</v>
      </c>
      <c r="U1845">
        <v>66</v>
      </c>
      <c r="V1845">
        <v>71</v>
      </c>
      <c r="W1845" t="str">
        <f t="shared" si="173"/>
        <v>Normal</v>
      </c>
      <c r="X1845">
        <v>0</v>
      </c>
    </row>
    <row r="1846" spans="1:24" ht="14.5" thickBot="1" x14ac:dyDescent="0.35">
      <c r="A1846">
        <v>0</v>
      </c>
      <c r="B1846" t="str">
        <f t="shared" si="171"/>
        <v>Female</v>
      </c>
      <c r="C1846" s="8">
        <v>47</v>
      </c>
      <c r="D1846" t="str">
        <f t="shared" si="172"/>
        <v>Middle Age</v>
      </c>
      <c r="E1846">
        <v>1</v>
      </c>
      <c r="F1846" t="str">
        <f>HLOOKUP(E1846, LookUP_Table!$A$6:$D$7, 2, FALSE)</f>
        <v>Primary</v>
      </c>
      <c r="G1846" t="str">
        <f>IFERROR(VLOOKUP(E1846, LookUP_Table!$A$1:$B$4, 2, FALSE), "")</f>
        <v>Primary</v>
      </c>
      <c r="H1846">
        <v>1</v>
      </c>
      <c r="I1846">
        <v>9</v>
      </c>
      <c r="J1846" t="str">
        <f t="shared" si="168"/>
        <v>Smoker</v>
      </c>
      <c r="K1846">
        <v>0</v>
      </c>
      <c r="L1846">
        <v>0</v>
      </c>
      <c r="M1846">
        <v>0</v>
      </c>
      <c r="N1846">
        <v>0</v>
      </c>
      <c r="O1846">
        <v>261</v>
      </c>
      <c r="P1846" t="str">
        <f t="shared" si="169"/>
        <v>High</v>
      </c>
      <c r="Q1846">
        <v>133</v>
      </c>
      <c r="R1846">
        <v>77</v>
      </c>
      <c r="S1846">
        <v>27.96</v>
      </c>
      <c r="T1846" t="str">
        <f t="shared" si="170"/>
        <v>Overweight</v>
      </c>
      <c r="U1846">
        <v>87</v>
      </c>
      <c r="V1846">
        <v>105</v>
      </c>
      <c r="W1846" t="str">
        <f t="shared" si="173"/>
        <v>Prediabetes</v>
      </c>
      <c r="X1846">
        <v>0</v>
      </c>
    </row>
    <row r="1847" spans="1:24" ht="14.5" thickBot="1" x14ac:dyDescent="0.35">
      <c r="A1847">
        <v>1</v>
      </c>
      <c r="B1847" t="str">
        <f t="shared" si="171"/>
        <v>Male</v>
      </c>
      <c r="C1847" s="8">
        <v>47</v>
      </c>
      <c r="D1847" t="str">
        <f t="shared" si="172"/>
        <v>Middle Age</v>
      </c>
      <c r="E1847">
        <v>2</v>
      </c>
      <c r="F1847" t="str">
        <f>HLOOKUP(E1847, LookUP_Table!$A$6:$D$7, 2, FALSE)</f>
        <v>Secondary</v>
      </c>
      <c r="G1847" t="str">
        <f>IFERROR(VLOOKUP(E1847, LookUP_Table!$A$1:$B$4, 2, FALSE), "")</f>
        <v>Secondary</v>
      </c>
      <c r="H1847">
        <v>1</v>
      </c>
      <c r="I1847">
        <v>30</v>
      </c>
      <c r="J1847" t="str">
        <f t="shared" si="168"/>
        <v>Smoker</v>
      </c>
      <c r="K1847">
        <v>0</v>
      </c>
      <c r="L1847">
        <v>0</v>
      </c>
      <c r="M1847">
        <v>0</v>
      </c>
      <c r="N1847">
        <v>0</v>
      </c>
      <c r="O1847">
        <v>260</v>
      </c>
      <c r="P1847" t="str">
        <f t="shared" si="169"/>
        <v>High</v>
      </c>
      <c r="Q1847">
        <v>126</v>
      </c>
      <c r="R1847">
        <v>91</v>
      </c>
      <c r="S1847">
        <v>27.01</v>
      </c>
      <c r="T1847" t="str">
        <f t="shared" si="170"/>
        <v>Overweight</v>
      </c>
      <c r="U1847">
        <v>75</v>
      </c>
      <c r="V1847">
        <v>84</v>
      </c>
      <c r="W1847" t="str">
        <f t="shared" si="173"/>
        <v>Normal</v>
      </c>
      <c r="X1847">
        <v>0</v>
      </c>
    </row>
    <row r="1848" spans="1:24" ht="14.5" thickBot="1" x14ac:dyDescent="0.35">
      <c r="A1848">
        <v>1</v>
      </c>
      <c r="B1848" t="str">
        <f t="shared" si="171"/>
        <v>Male</v>
      </c>
      <c r="C1848" s="8">
        <v>47</v>
      </c>
      <c r="D1848" t="str">
        <f t="shared" si="172"/>
        <v>Middle Age</v>
      </c>
      <c r="E1848">
        <v>1</v>
      </c>
      <c r="F1848" t="str">
        <f>HLOOKUP(E1848, LookUP_Table!$A$6:$D$7, 2, FALSE)</f>
        <v>Primary</v>
      </c>
      <c r="G1848" t="str">
        <f>IFERROR(VLOOKUP(E1848, LookUP_Table!$A$1:$B$4, 2, FALSE), "")</f>
        <v>Primary</v>
      </c>
      <c r="H1848">
        <v>1</v>
      </c>
      <c r="I1848">
        <v>1</v>
      </c>
      <c r="J1848" t="str">
        <f t="shared" si="168"/>
        <v>Smoker</v>
      </c>
      <c r="K1848">
        <v>0</v>
      </c>
      <c r="L1848">
        <v>0</v>
      </c>
      <c r="M1848">
        <v>0</v>
      </c>
      <c r="N1848">
        <v>0</v>
      </c>
      <c r="O1848">
        <v>183</v>
      </c>
      <c r="P1848" t="str">
        <f t="shared" si="169"/>
        <v>Normal</v>
      </c>
      <c r="Q1848">
        <v>112.5</v>
      </c>
      <c r="R1848">
        <v>73</v>
      </c>
      <c r="S1848">
        <v>24.27</v>
      </c>
      <c r="T1848" t="str">
        <f t="shared" si="170"/>
        <v>Normal</v>
      </c>
      <c r="U1848">
        <v>68</v>
      </c>
      <c r="V1848">
        <v>80</v>
      </c>
      <c r="W1848" t="str">
        <f t="shared" si="173"/>
        <v>Normal</v>
      </c>
      <c r="X1848">
        <v>0</v>
      </c>
    </row>
    <row r="1849" spans="1:24" ht="14.5" thickBot="1" x14ac:dyDescent="0.35">
      <c r="A1849">
        <v>0</v>
      </c>
      <c r="B1849" t="str">
        <f t="shared" si="171"/>
        <v>Female</v>
      </c>
      <c r="C1849" s="8">
        <v>47</v>
      </c>
      <c r="D1849" t="str">
        <f t="shared" si="172"/>
        <v>Middle Age</v>
      </c>
      <c r="E1849">
        <v>1</v>
      </c>
      <c r="F1849" t="str">
        <f>HLOOKUP(E1849, LookUP_Table!$A$6:$D$7, 2, FALSE)</f>
        <v>Primary</v>
      </c>
      <c r="G1849" t="str">
        <f>IFERROR(VLOOKUP(E1849, LookUP_Table!$A$1:$B$4, 2, FALSE), "")</f>
        <v>Primary</v>
      </c>
      <c r="H1849">
        <v>0</v>
      </c>
      <c r="I1849">
        <v>0</v>
      </c>
      <c r="J1849" t="str">
        <f t="shared" si="168"/>
        <v>Non-Smoker</v>
      </c>
      <c r="K1849">
        <v>0</v>
      </c>
      <c r="L1849">
        <v>0</v>
      </c>
      <c r="M1849">
        <v>1</v>
      </c>
      <c r="N1849">
        <v>0</v>
      </c>
      <c r="O1849">
        <v>190</v>
      </c>
      <c r="P1849" t="str">
        <f t="shared" si="169"/>
        <v>Normal</v>
      </c>
      <c r="Q1849">
        <v>160</v>
      </c>
      <c r="R1849">
        <v>96</v>
      </c>
      <c r="S1849">
        <v>28.02</v>
      </c>
      <c r="T1849" t="str">
        <f t="shared" si="170"/>
        <v>Overweight</v>
      </c>
      <c r="U1849">
        <v>94</v>
      </c>
      <c r="V1849">
        <v>64</v>
      </c>
      <c r="W1849" t="str">
        <f t="shared" si="173"/>
        <v>Normal</v>
      </c>
      <c r="X1849">
        <v>0</v>
      </c>
    </row>
    <row r="1850" spans="1:24" ht="14.5" thickBot="1" x14ac:dyDescent="0.35">
      <c r="A1850">
        <v>1</v>
      </c>
      <c r="B1850" t="str">
        <f t="shared" si="171"/>
        <v>Male</v>
      </c>
      <c r="C1850" s="8">
        <v>47</v>
      </c>
      <c r="D1850" t="str">
        <f t="shared" si="172"/>
        <v>Middle Age</v>
      </c>
      <c r="E1850">
        <v>1</v>
      </c>
      <c r="F1850" t="str">
        <f>HLOOKUP(E1850, LookUP_Table!$A$6:$D$7, 2, FALSE)</f>
        <v>Primary</v>
      </c>
      <c r="G1850" t="str">
        <f>IFERROR(VLOOKUP(E1850, LookUP_Table!$A$1:$B$4, 2, FALSE), "")</f>
        <v>Primary</v>
      </c>
      <c r="H1850">
        <v>0</v>
      </c>
      <c r="I1850">
        <v>0</v>
      </c>
      <c r="J1850" t="str">
        <f t="shared" si="168"/>
        <v>Non-Smoker</v>
      </c>
      <c r="K1850">
        <v>0</v>
      </c>
      <c r="L1850">
        <v>0</v>
      </c>
      <c r="M1850">
        <v>0</v>
      </c>
      <c r="N1850">
        <v>0</v>
      </c>
      <c r="O1850">
        <v>265</v>
      </c>
      <c r="P1850" t="str">
        <f t="shared" si="169"/>
        <v>High</v>
      </c>
      <c r="Q1850">
        <v>137.5</v>
      </c>
      <c r="R1850">
        <v>88.5</v>
      </c>
      <c r="S1850">
        <v>23.75</v>
      </c>
      <c r="T1850" t="str">
        <f t="shared" si="170"/>
        <v>Normal</v>
      </c>
      <c r="U1850">
        <v>83</v>
      </c>
      <c r="V1850">
        <v>90</v>
      </c>
      <c r="W1850" t="str">
        <f t="shared" si="173"/>
        <v>Normal</v>
      </c>
      <c r="X1850">
        <v>0</v>
      </c>
    </row>
    <row r="1851" spans="1:24" ht="14.5" thickBot="1" x14ac:dyDescent="0.35">
      <c r="A1851">
        <v>1</v>
      </c>
      <c r="B1851" t="str">
        <f t="shared" si="171"/>
        <v>Male</v>
      </c>
      <c r="C1851" s="8">
        <v>47</v>
      </c>
      <c r="D1851" t="str">
        <f t="shared" si="172"/>
        <v>Middle Age</v>
      </c>
      <c r="E1851">
        <v>2</v>
      </c>
      <c r="F1851" t="str">
        <f>HLOOKUP(E1851, LookUP_Table!$A$6:$D$7, 2, FALSE)</f>
        <v>Secondary</v>
      </c>
      <c r="G1851" t="str">
        <f>IFERROR(VLOOKUP(E1851, LookUP_Table!$A$1:$B$4, 2, FALSE), "")</f>
        <v>Secondary</v>
      </c>
      <c r="H1851">
        <v>1</v>
      </c>
      <c r="I1851">
        <v>15</v>
      </c>
      <c r="J1851" t="str">
        <f t="shared" si="168"/>
        <v>Smoker</v>
      </c>
      <c r="K1851">
        <v>0</v>
      </c>
      <c r="L1851">
        <v>0</v>
      </c>
      <c r="M1851">
        <v>1</v>
      </c>
      <c r="N1851">
        <v>0</v>
      </c>
      <c r="O1851">
        <v>225</v>
      </c>
      <c r="P1851" t="str">
        <f t="shared" si="169"/>
        <v>Normal</v>
      </c>
      <c r="Q1851">
        <v>137</v>
      </c>
      <c r="R1851">
        <v>97</v>
      </c>
      <c r="S1851">
        <v>27.31</v>
      </c>
      <c r="T1851" t="str">
        <f t="shared" si="170"/>
        <v>Overweight</v>
      </c>
      <c r="U1851">
        <v>66</v>
      </c>
      <c r="V1851">
        <v>81.96365524402907</v>
      </c>
      <c r="W1851" t="str">
        <f t="shared" si="173"/>
        <v>Normal</v>
      </c>
      <c r="X1851">
        <v>0</v>
      </c>
    </row>
    <row r="1852" spans="1:24" ht="14.5" thickBot="1" x14ac:dyDescent="0.35">
      <c r="A1852">
        <v>0</v>
      </c>
      <c r="B1852" t="str">
        <f t="shared" si="171"/>
        <v>Female</v>
      </c>
      <c r="C1852" s="8">
        <v>47</v>
      </c>
      <c r="D1852" t="str">
        <f t="shared" si="172"/>
        <v>Middle Age</v>
      </c>
      <c r="E1852">
        <v>4</v>
      </c>
      <c r="F1852" t="str">
        <f>HLOOKUP(E1852, LookUP_Table!$A$6:$D$7, 2, FALSE)</f>
        <v>Post Graduate</v>
      </c>
      <c r="G1852" t="str">
        <f>IFERROR(VLOOKUP(E1852, LookUP_Table!$A$1:$B$4, 2, FALSE), "")</f>
        <v>Post Graduate</v>
      </c>
      <c r="H1852">
        <v>1</v>
      </c>
      <c r="I1852">
        <v>20</v>
      </c>
      <c r="J1852" t="str">
        <f t="shared" si="168"/>
        <v>Smoker</v>
      </c>
      <c r="K1852">
        <v>0</v>
      </c>
      <c r="L1852">
        <v>0</v>
      </c>
      <c r="M1852">
        <v>0</v>
      </c>
      <c r="N1852">
        <v>0</v>
      </c>
      <c r="O1852">
        <v>261</v>
      </c>
      <c r="P1852" t="str">
        <f t="shared" si="169"/>
        <v>High</v>
      </c>
      <c r="Q1852">
        <v>120</v>
      </c>
      <c r="R1852">
        <v>77.5</v>
      </c>
      <c r="S1852">
        <v>23.26</v>
      </c>
      <c r="T1852" t="str">
        <f t="shared" si="170"/>
        <v>Normal</v>
      </c>
      <c r="U1852">
        <v>85</v>
      </c>
      <c r="V1852">
        <v>81.96365524402907</v>
      </c>
      <c r="W1852" t="str">
        <f t="shared" si="173"/>
        <v>Normal</v>
      </c>
      <c r="X1852">
        <v>0</v>
      </c>
    </row>
    <row r="1853" spans="1:24" ht="14.5" thickBot="1" x14ac:dyDescent="0.35">
      <c r="A1853">
        <v>1</v>
      </c>
      <c r="B1853" t="str">
        <f t="shared" si="171"/>
        <v>Male</v>
      </c>
      <c r="C1853" s="8">
        <v>47</v>
      </c>
      <c r="D1853" t="str">
        <f t="shared" si="172"/>
        <v>Middle Age</v>
      </c>
      <c r="E1853">
        <v>4</v>
      </c>
      <c r="F1853" t="str">
        <f>HLOOKUP(E1853, LookUP_Table!$A$6:$D$7, 2, FALSE)</f>
        <v>Post Graduate</v>
      </c>
      <c r="G1853" t="str">
        <f>IFERROR(VLOOKUP(E1853, LookUP_Table!$A$1:$B$4, 2, FALSE), "")</f>
        <v>Post Graduate</v>
      </c>
      <c r="H1853">
        <v>0</v>
      </c>
      <c r="I1853">
        <v>0</v>
      </c>
      <c r="J1853" t="str">
        <f t="shared" si="168"/>
        <v>Non-Smoker</v>
      </c>
      <c r="K1853">
        <v>0</v>
      </c>
      <c r="L1853">
        <v>0</v>
      </c>
      <c r="M1853">
        <v>0</v>
      </c>
      <c r="N1853">
        <v>0</v>
      </c>
      <c r="O1853">
        <v>190</v>
      </c>
      <c r="P1853" t="str">
        <f t="shared" si="169"/>
        <v>Normal</v>
      </c>
      <c r="Q1853">
        <v>120</v>
      </c>
      <c r="R1853">
        <v>81</v>
      </c>
      <c r="S1853">
        <v>24.54</v>
      </c>
      <c r="T1853" t="str">
        <f t="shared" si="170"/>
        <v>Normal</v>
      </c>
      <c r="U1853">
        <v>60</v>
      </c>
      <c r="V1853">
        <v>73</v>
      </c>
      <c r="W1853" t="str">
        <f t="shared" si="173"/>
        <v>Normal</v>
      </c>
      <c r="X1853">
        <v>0</v>
      </c>
    </row>
    <row r="1854" spans="1:24" ht="14.5" thickBot="1" x14ac:dyDescent="0.35">
      <c r="A1854">
        <v>1</v>
      </c>
      <c r="B1854" t="str">
        <f t="shared" si="171"/>
        <v>Male</v>
      </c>
      <c r="C1854" s="8">
        <v>47</v>
      </c>
      <c r="D1854" t="str">
        <f t="shared" si="172"/>
        <v>Middle Age</v>
      </c>
      <c r="E1854">
        <v>1</v>
      </c>
      <c r="F1854" t="str">
        <f>HLOOKUP(E1854, LookUP_Table!$A$6:$D$7, 2, FALSE)</f>
        <v>Primary</v>
      </c>
      <c r="G1854" t="str">
        <f>IFERROR(VLOOKUP(E1854, LookUP_Table!$A$1:$B$4, 2, FALSE), "")</f>
        <v>Primary</v>
      </c>
      <c r="H1854">
        <v>1</v>
      </c>
      <c r="I1854">
        <v>20</v>
      </c>
      <c r="J1854" t="str">
        <f t="shared" si="168"/>
        <v>Smoker</v>
      </c>
      <c r="K1854">
        <v>0</v>
      </c>
      <c r="L1854">
        <v>0</v>
      </c>
      <c r="M1854">
        <v>0</v>
      </c>
      <c r="N1854">
        <v>0</v>
      </c>
      <c r="O1854">
        <v>234</v>
      </c>
      <c r="P1854" t="str">
        <f t="shared" si="169"/>
        <v>Normal</v>
      </c>
      <c r="Q1854">
        <v>120</v>
      </c>
      <c r="R1854">
        <v>73</v>
      </c>
      <c r="S1854">
        <v>24.45</v>
      </c>
      <c r="T1854" t="str">
        <f t="shared" si="170"/>
        <v>Normal</v>
      </c>
      <c r="U1854">
        <v>80</v>
      </c>
      <c r="V1854">
        <v>81.96365524402907</v>
      </c>
      <c r="W1854" t="str">
        <f t="shared" si="173"/>
        <v>Normal</v>
      </c>
      <c r="X1854">
        <v>0</v>
      </c>
    </row>
    <row r="1855" spans="1:24" ht="14.5" thickBot="1" x14ac:dyDescent="0.35">
      <c r="A1855">
        <v>1</v>
      </c>
      <c r="B1855" t="str">
        <f t="shared" si="171"/>
        <v>Male</v>
      </c>
      <c r="C1855" s="8">
        <v>47</v>
      </c>
      <c r="D1855" t="str">
        <f t="shared" si="172"/>
        <v>Middle Age</v>
      </c>
      <c r="E1855">
        <v>3</v>
      </c>
      <c r="F1855" t="str">
        <f>HLOOKUP(E1855, LookUP_Table!$A$6:$D$7, 2, FALSE)</f>
        <v>Graduate</v>
      </c>
      <c r="G1855" t="str">
        <f>IFERROR(VLOOKUP(E1855, LookUP_Table!$A$1:$B$4, 2, FALSE), "")</f>
        <v>Graduate</v>
      </c>
      <c r="H1855">
        <v>0</v>
      </c>
      <c r="I1855">
        <v>0</v>
      </c>
      <c r="J1855" t="str">
        <f t="shared" si="168"/>
        <v>Non-Smoker</v>
      </c>
      <c r="K1855">
        <v>0</v>
      </c>
      <c r="L1855">
        <v>0</v>
      </c>
      <c r="M1855">
        <v>0</v>
      </c>
      <c r="N1855">
        <v>1</v>
      </c>
      <c r="O1855">
        <v>199</v>
      </c>
      <c r="P1855" t="str">
        <f t="shared" si="169"/>
        <v>Normal</v>
      </c>
      <c r="Q1855">
        <v>161</v>
      </c>
      <c r="R1855">
        <v>102</v>
      </c>
      <c r="S1855">
        <v>29.17</v>
      </c>
      <c r="T1855" t="str">
        <f t="shared" si="170"/>
        <v>Overweight</v>
      </c>
      <c r="U1855">
        <v>58</v>
      </c>
      <c r="V1855">
        <v>81.96365524402907</v>
      </c>
      <c r="W1855" t="str">
        <f t="shared" si="173"/>
        <v>Normal</v>
      </c>
      <c r="X1855">
        <v>0</v>
      </c>
    </row>
    <row r="1856" spans="1:24" ht="14.5" thickBot="1" x14ac:dyDescent="0.35">
      <c r="A1856">
        <v>0</v>
      </c>
      <c r="B1856" t="str">
        <f t="shared" si="171"/>
        <v>Female</v>
      </c>
      <c r="C1856" s="8">
        <v>47</v>
      </c>
      <c r="D1856" t="str">
        <f t="shared" si="172"/>
        <v>Middle Age</v>
      </c>
      <c r="E1856">
        <v>1</v>
      </c>
      <c r="F1856" t="str">
        <f>HLOOKUP(E1856, LookUP_Table!$A$6:$D$7, 2, FALSE)</f>
        <v>Primary</v>
      </c>
      <c r="G1856" t="str">
        <f>IFERROR(VLOOKUP(E1856, LookUP_Table!$A$1:$B$4, 2, FALSE), "")</f>
        <v>Primary</v>
      </c>
      <c r="H1856">
        <v>1</v>
      </c>
      <c r="I1856">
        <v>9</v>
      </c>
      <c r="J1856" t="str">
        <f t="shared" si="168"/>
        <v>Smoker</v>
      </c>
      <c r="K1856">
        <v>0</v>
      </c>
      <c r="L1856">
        <v>0</v>
      </c>
      <c r="M1856">
        <v>0</v>
      </c>
      <c r="N1856">
        <v>0</v>
      </c>
      <c r="O1856">
        <v>214</v>
      </c>
      <c r="P1856" t="str">
        <f t="shared" si="169"/>
        <v>Normal</v>
      </c>
      <c r="Q1856">
        <v>118</v>
      </c>
      <c r="R1856">
        <v>72</v>
      </c>
      <c r="S1856">
        <v>24.08</v>
      </c>
      <c r="T1856" t="str">
        <f t="shared" si="170"/>
        <v>Normal</v>
      </c>
      <c r="U1856">
        <v>60</v>
      </c>
      <c r="V1856">
        <v>81.96365524402907</v>
      </c>
      <c r="W1856" t="str">
        <f t="shared" si="173"/>
        <v>Normal</v>
      </c>
      <c r="X1856">
        <v>0</v>
      </c>
    </row>
    <row r="1857" spans="1:24" ht="14.5" thickBot="1" x14ac:dyDescent="0.35">
      <c r="A1857">
        <v>0</v>
      </c>
      <c r="B1857" t="str">
        <f t="shared" si="171"/>
        <v>Female</v>
      </c>
      <c r="C1857" s="8">
        <v>47</v>
      </c>
      <c r="D1857" t="str">
        <f t="shared" si="172"/>
        <v>Middle Age</v>
      </c>
      <c r="E1857">
        <v>4</v>
      </c>
      <c r="F1857" t="str">
        <f>HLOOKUP(E1857, LookUP_Table!$A$6:$D$7, 2, FALSE)</f>
        <v>Post Graduate</v>
      </c>
      <c r="G1857" t="str">
        <f>IFERROR(VLOOKUP(E1857, LookUP_Table!$A$1:$B$4, 2, FALSE), "")</f>
        <v>Post Graduate</v>
      </c>
      <c r="H1857">
        <v>1</v>
      </c>
      <c r="I1857">
        <v>4</v>
      </c>
      <c r="J1857" t="str">
        <f t="shared" si="168"/>
        <v>Smoker</v>
      </c>
      <c r="K1857">
        <v>0</v>
      </c>
      <c r="L1857">
        <v>0</v>
      </c>
      <c r="M1857">
        <v>0</v>
      </c>
      <c r="N1857">
        <v>0</v>
      </c>
      <c r="O1857">
        <v>243</v>
      </c>
      <c r="P1857" t="str">
        <f t="shared" si="169"/>
        <v>High</v>
      </c>
      <c r="Q1857">
        <v>121</v>
      </c>
      <c r="R1857">
        <v>61</v>
      </c>
      <c r="S1857">
        <v>20.32</v>
      </c>
      <c r="T1857" t="str">
        <f t="shared" si="170"/>
        <v>Normal</v>
      </c>
      <c r="U1857">
        <v>84</v>
      </c>
      <c r="V1857">
        <v>110</v>
      </c>
      <c r="W1857" t="str">
        <f t="shared" si="173"/>
        <v>Prediabetes</v>
      </c>
      <c r="X1857">
        <v>0</v>
      </c>
    </row>
    <row r="1858" spans="1:24" ht="14.5" thickBot="1" x14ac:dyDescent="0.35">
      <c r="A1858">
        <v>1</v>
      </c>
      <c r="B1858" t="str">
        <f t="shared" si="171"/>
        <v>Male</v>
      </c>
      <c r="C1858" s="8">
        <v>47</v>
      </c>
      <c r="D1858" t="str">
        <f t="shared" si="172"/>
        <v>Middle Age</v>
      </c>
      <c r="E1858">
        <v>2</v>
      </c>
      <c r="F1858" t="str">
        <f>HLOOKUP(E1858, LookUP_Table!$A$6:$D$7, 2, FALSE)</f>
        <v>Secondary</v>
      </c>
      <c r="G1858" t="str">
        <f>IFERROR(VLOOKUP(E1858, LookUP_Table!$A$1:$B$4, 2, FALSE), "")</f>
        <v>Secondary</v>
      </c>
      <c r="H1858">
        <v>1</v>
      </c>
      <c r="I1858">
        <v>20</v>
      </c>
      <c r="J1858" t="str">
        <f t="shared" ref="J1858:J1921" si="174">IF(I1858&gt;0,"Smoker","Non-Smoker")</f>
        <v>Smoker</v>
      </c>
      <c r="K1858">
        <v>0</v>
      </c>
      <c r="L1858">
        <v>0</v>
      </c>
      <c r="M1858">
        <v>0</v>
      </c>
      <c r="N1858">
        <v>0</v>
      </c>
      <c r="O1858">
        <v>210</v>
      </c>
      <c r="P1858" t="str">
        <f t="shared" ref="P1858:P1921" si="175">IF(O1858&gt;240,"High","Normal")</f>
        <v>Normal</v>
      </c>
      <c r="Q1858">
        <v>131</v>
      </c>
      <c r="R1858">
        <v>74</v>
      </c>
      <c r="S1858">
        <v>18.88</v>
      </c>
      <c r="T1858" t="str">
        <f t="shared" ref="T1858:T1921" si="176">IF(S1858&lt;18.5,"Underweight",
IF(S1858&lt;25,"Normal",
IF(S1858&lt;30,"Overweight","Obese")))</f>
        <v>Normal</v>
      </c>
      <c r="U1858">
        <v>60</v>
      </c>
      <c r="V1858">
        <v>86</v>
      </c>
      <c r="W1858" t="str">
        <f t="shared" si="173"/>
        <v>Normal</v>
      </c>
      <c r="X1858">
        <v>0</v>
      </c>
    </row>
    <row r="1859" spans="1:24" ht="14.5" thickBot="1" x14ac:dyDescent="0.35">
      <c r="A1859">
        <v>0</v>
      </c>
      <c r="B1859" t="str">
        <f t="shared" ref="B1859:B1922" si="177">IF(A1859=0,"Female","Male")</f>
        <v>Female</v>
      </c>
      <c r="C1859" s="8">
        <v>47</v>
      </c>
      <c r="D1859" t="str">
        <f t="shared" ref="D1859:D1922" si="178">IF(C1859&lt;40,"Young",
IF(C1859&lt;55,"Middle Age","Senior"))</f>
        <v>Middle Age</v>
      </c>
      <c r="E1859">
        <v>3</v>
      </c>
      <c r="F1859" t="str">
        <f>HLOOKUP(E1859, LookUP_Table!$A$6:$D$7, 2, FALSE)</f>
        <v>Graduate</v>
      </c>
      <c r="G1859" t="str">
        <f>IFERROR(VLOOKUP(E1859, LookUP_Table!$A$1:$B$4, 2, FALSE), "")</f>
        <v>Graduate</v>
      </c>
      <c r="H1859">
        <v>1</v>
      </c>
      <c r="I1859">
        <v>9</v>
      </c>
      <c r="J1859" t="str">
        <f t="shared" si="174"/>
        <v>Smoker</v>
      </c>
      <c r="K1859">
        <v>0</v>
      </c>
      <c r="L1859">
        <v>0</v>
      </c>
      <c r="M1859">
        <v>0</v>
      </c>
      <c r="N1859">
        <v>0</v>
      </c>
      <c r="O1859">
        <v>250</v>
      </c>
      <c r="P1859" t="str">
        <f t="shared" si="175"/>
        <v>High</v>
      </c>
      <c r="Q1859">
        <v>98</v>
      </c>
      <c r="R1859">
        <v>73</v>
      </c>
      <c r="S1859">
        <v>24.39</v>
      </c>
      <c r="T1859" t="str">
        <f t="shared" si="176"/>
        <v>Normal</v>
      </c>
      <c r="U1859">
        <v>60</v>
      </c>
      <c r="V1859">
        <v>88</v>
      </c>
      <c r="W1859" t="str">
        <f t="shared" ref="W1859:W1922" si="179">IF(V1859 &lt; 100, "Normal", IF(V1859 &lt;= 125, "Prediabetes", "Diabetes"))</f>
        <v>Normal</v>
      </c>
      <c r="X1859">
        <v>0</v>
      </c>
    </row>
    <row r="1860" spans="1:24" ht="14.5" thickBot="1" x14ac:dyDescent="0.35">
      <c r="A1860">
        <v>1</v>
      </c>
      <c r="B1860" t="str">
        <f t="shared" si="177"/>
        <v>Male</v>
      </c>
      <c r="C1860" s="8">
        <v>47</v>
      </c>
      <c r="D1860" t="str">
        <f t="shared" si="178"/>
        <v>Middle Age</v>
      </c>
      <c r="E1860">
        <v>3</v>
      </c>
      <c r="F1860" t="str">
        <f>HLOOKUP(E1860, LookUP_Table!$A$6:$D$7, 2, FALSE)</f>
        <v>Graduate</v>
      </c>
      <c r="G1860" t="str">
        <f>IFERROR(VLOOKUP(E1860, LookUP_Table!$A$1:$B$4, 2, FALSE), "")</f>
        <v>Graduate</v>
      </c>
      <c r="H1860">
        <v>1</v>
      </c>
      <c r="I1860">
        <v>25</v>
      </c>
      <c r="J1860" t="str">
        <f t="shared" si="174"/>
        <v>Smoker</v>
      </c>
      <c r="K1860">
        <v>0</v>
      </c>
      <c r="L1860">
        <v>0</v>
      </c>
      <c r="M1860">
        <v>0</v>
      </c>
      <c r="N1860">
        <v>0</v>
      </c>
      <c r="O1860">
        <v>173</v>
      </c>
      <c r="P1860" t="str">
        <f t="shared" si="175"/>
        <v>Normal</v>
      </c>
      <c r="Q1860">
        <v>117.5</v>
      </c>
      <c r="R1860">
        <v>77.5</v>
      </c>
      <c r="S1860">
        <v>20.23</v>
      </c>
      <c r="T1860" t="str">
        <f t="shared" si="176"/>
        <v>Normal</v>
      </c>
      <c r="U1860">
        <v>68</v>
      </c>
      <c r="V1860">
        <v>75</v>
      </c>
      <c r="W1860" t="str">
        <f t="shared" si="179"/>
        <v>Normal</v>
      </c>
      <c r="X1860">
        <v>0</v>
      </c>
    </row>
    <row r="1861" spans="1:24" ht="14.5" thickBot="1" x14ac:dyDescent="0.35">
      <c r="A1861">
        <v>0</v>
      </c>
      <c r="B1861" t="str">
        <f t="shared" si="177"/>
        <v>Female</v>
      </c>
      <c r="C1861" s="8">
        <v>47</v>
      </c>
      <c r="D1861" t="str">
        <f t="shared" si="178"/>
        <v>Middle Age</v>
      </c>
      <c r="E1861">
        <v>4</v>
      </c>
      <c r="F1861" t="str">
        <f>HLOOKUP(E1861, LookUP_Table!$A$6:$D$7, 2, FALSE)</f>
        <v>Post Graduate</v>
      </c>
      <c r="G1861" t="str">
        <f>IFERROR(VLOOKUP(E1861, LookUP_Table!$A$1:$B$4, 2, FALSE), "")</f>
        <v>Post Graduate</v>
      </c>
      <c r="H1861">
        <v>1</v>
      </c>
      <c r="I1861">
        <v>10</v>
      </c>
      <c r="J1861" t="str">
        <f t="shared" si="174"/>
        <v>Smoker</v>
      </c>
      <c r="K1861">
        <v>0</v>
      </c>
      <c r="L1861">
        <v>0</v>
      </c>
      <c r="M1861">
        <v>0</v>
      </c>
      <c r="N1861">
        <v>0</v>
      </c>
      <c r="O1861">
        <v>205</v>
      </c>
      <c r="P1861" t="str">
        <f t="shared" si="175"/>
        <v>Normal</v>
      </c>
      <c r="Q1861">
        <v>107</v>
      </c>
      <c r="R1861">
        <v>68</v>
      </c>
      <c r="S1861">
        <v>23.29</v>
      </c>
      <c r="T1861" t="str">
        <f t="shared" si="176"/>
        <v>Normal</v>
      </c>
      <c r="U1861">
        <v>90</v>
      </c>
      <c r="V1861">
        <v>108</v>
      </c>
      <c r="W1861" t="str">
        <f t="shared" si="179"/>
        <v>Prediabetes</v>
      </c>
      <c r="X1861">
        <v>0</v>
      </c>
    </row>
    <row r="1862" spans="1:24" ht="14.5" thickBot="1" x14ac:dyDescent="0.35">
      <c r="A1862">
        <v>1</v>
      </c>
      <c r="B1862" t="str">
        <f t="shared" si="177"/>
        <v>Male</v>
      </c>
      <c r="C1862" s="8">
        <v>47</v>
      </c>
      <c r="D1862" t="str">
        <f t="shared" si="178"/>
        <v>Middle Age</v>
      </c>
      <c r="E1862">
        <v>2</v>
      </c>
      <c r="F1862" t="str">
        <f>HLOOKUP(E1862, LookUP_Table!$A$6:$D$7, 2, FALSE)</f>
        <v>Secondary</v>
      </c>
      <c r="G1862" t="str">
        <f>IFERROR(VLOOKUP(E1862, LookUP_Table!$A$1:$B$4, 2, FALSE), "")</f>
        <v>Secondary</v>
      </c>
      <c r="H1862">
        <v>1</v>
      </c>
      <c r="I1862">
        <v>20</v>
      </c>
      <c r="J1862" t="str">
        <f t="shared" si="174"/>
        <v>Smoker</v>
      </c>
      <c r="K1862">
        <v>0</v>
      </c>
      <c r="L1862">
        <v>0</v>
      </c>
      <c r="M1862">
        <v>0</v>
      </c>
      <c r="N1862">
        <v>0</v>
      </c>
      <c r="O1862">
        <v>344</v>
      </c>
      <c r="P1862" t="str">
        <f t="shared" si="175"/>
        <v>High</v>
      </c>
      <c r="Q1862">
        <v>102.5</v>
      </c>
      <c r="R1862">
        <v>71</v>
      </c>
      <c r="S1862">
        <v>27.73</v>
      </c>
      <c r="T1862" t="str">
        <f t="shared" si="176"/>
        <v>Overweight</v>
      </c>
      <c r="U1862">
        <v>65</v>
      </c>
      <c r="V1862">
        <v>80</v>
      </c>
      <c r="W1862" t="str">
        <f t="shared" si="179"/>
        <v>Normal</v>
      </c>
      <c r="X1862">
        <v>0</v>
      </c>
    </row>
    <row r="1863" spans="1:24" ht="14.5" thickBot="1" x14ac:dyDescent="0.35">
      <c r="A1863">
        <v>1</v>
      </c>
      <c r="B1863" t="str">
        <f t="shared" si="177"/>
        <v>Male</v>
      </c>
      <c r="C1863" s="8">
        <v>47</v>
      </c>
      <c r="D1863" t="str">
        <f t="shared" si="178"/>
        <v>Middle Age</v>
      </c>
      <c r="E1863">
        <v>1</v>
      </c>
      <c r="F1863" t="str">
        <f>HLOOKUP(E1863, LookUP_Table!$A$6:$D$7, 2, FALSE)</f>
        <v>Primary</v>
      </c>
      <c r="G1863" t="str">
        <f>IFERROR(VLOOKUP(E1863, LookUP_Table!$A$1:$B$4, 2, FALSE), "")</f>
        <v>Primary</v>
      </c>
      <c r="H1863">
        <v>1</v>
      </c>
      <c r="I1863">
        <v>20</v>
      </c>
      <c r="J1863" t="str">
        <f t="shared" si="174"/>
        <v>Smoker</v>
      </c>
      <c r="K1863">
        <v>0</v>
      </c>
      <c r="L1863">
        <v>0</v>
      </c>
      <c r="M1863">
        <v>1</v>
      </c>
      <c r="N1863">
        <v>0</v>
      </c>
      <c r="O1863">
        <v>286</v>
      </c>
      <c r="P1863" t="str">
        <f t="shared" si="175"/>
        <v>High</v>
      </c>
      <c r="Q1863">
        <v>148</v>
      </c>
      <c r="R1863">
        <v>98</v>
      </c>
      <c r="S1863">
        <v>29.98</v>
      </c>
      <c r="T1863" t="str">
        <f t="shared" si="176"/>
        <v>Overweight</v>
      </c>
      <c r="U1863">
        <v>80</v>
      </c>
      <c r="V1863">
        <v>93</v>
      </c>
      <c r="W1863" t="str">
        <f t="shared" si="179"/>
        <v>Normal</v>
      </c>
      <c r="X1863">
        <v>1</v>
      </c>
    </row>
    <row r="1864" spans="1:24" ht="14.5" thickBot="1" x14ac:dyDescent="0.35">
      <c r="A1864">
        <v>0</v>
      </c>
      <c r="B1864" t="str">
        <f t="shared" si="177"/>
        <v>Female</v>
      </c>
      <c r="C1864" s="8">
        <v>47</v>
      </c>
      <c r="D1864" t="str">
        <f t="shared" si="178"/>
        <v>Middle Age</v>
      </c>
      <c r="E1864">
        <v>1</v>
      </c>
      <c r="F1864" t="str">
        <f>HLOOKUP(E1864, LookUP_Table!$A$6:$D$7, 2, FALSE)</f>
        <v>Primary</v>
      </c>
      <c r="G1864" t="str">
        <f>IFERROR(VLOOKUP(E1864, LookUP_Table!$A$1:$B$4, 2, FALSE), "")</f>
        <v>Primary</v>
      </c>
      <c r="H1864">
        <v>1</v>
      </c>
      <c r="I1864">
        <v>1</v>
      </c>
      <c r="J1864" t="str">
        <f t="shared" si="174"/>
        <v>Smoker</v>
      </c>
      <c r="K1864">
        <v>0</v>
      </c>
      <c r="L1864">
        <v>0</v>
      </c>
      <c r="M1864">
        <v>1</v>
      </c>
      <c r="N1864">
        <v>1</v>
      </c>
      <c r="O1864">
        <v>160</v>
      </c>
      <c r="P1864" t="str">
        <f t="shared" si="175"/>
        <v>Normal</v>
      </c>
      <c r="Q1864">
        <v>197</v>
      </c>
      <c r="R1864">
        <v>109</v>
      </c>
      <c r="S1864">
        <v>34.909999999999997</v>
      </c>
      <c r="T1864" t="str">
        <f t="shared" si="176"/>
        <v>Obese</v>
      </c>
      <c r="U1864">
        <v>82</v>
      </c>
      <c r="V1864">
        <v>320</v>
      </c>
      <c r="W1864" t="str">
        <f t="shared" si="179"/>
        <v>Diabetes</v>
      </c>
      <c r="X1864">
        <v>1</v>
      </c>
    </row>
    <row r="1865" spans="1:24" ht="14.5" thickBot="1" x14ac:dyDescent="0.35">
      <c r="A1865">
        <v>0</v>
      </c>
      <c r="B1865" t="str">
        <f t="shared" si="177"/>
        <v>Female</v>
      </c>
      <c r="C1865" s="8">
        <v>47</v>
      </c>
      <c r="D1865" t="str">
        <f t="shared" si="178"/>
        <v>Middle Age</v>
      </c>
      <c r="E1865">
        <v>3</v>
      </c>
      <c r="F1865" t="str">
        <f>HLOOKUP(E1865, LookUP_Table!$A$6:$D$7, 2, FALSE)</f>
        <v>Graduate</v>
      </c>
      <c r="G1865" t="str">
        <f>IFERROR(VLOOKUP(E1865, LookUP_Table!$A$1:$B$4, 2, FALSE), "")</f>
        <v>Graduate</v>
      </c>
      <c r="H1865">
        <v>0</v>
      </c>
      <c r="I1865">
        <v>0</v>
      </c>
      <c r="J1865" t="str">
        <f t="shared" si="174"/>
        <v>Non-Smoker</v>
      </c>
      <c r="K1865">
        <v>0</v>
      </c>
      <c r="L1865">
        <v>0</v>
      </c>
      <c r="M1865">
        <v>0</v>
      </c>
      <c r="N1865">
        <v>0</v>
      </c>
      <c r="O1865">
        <v>205</v>
      </c>
      <c r="P1865" t="str">
        <f t="shared" si="175"/>
        <v>Normal</v>
      </c>
      <c r="Q1865">
        <v>106</v>
      </c>
      <c r="R1865">
        <v>75</v>
      </c>
      <c r="S1865">
        <v>23.44</v>
      </c>
      <c r="T1865" t="str">
        <f t="shared" si="176"/>
        <v>Normal</v>
      </c>
      <c r="U1865">
        <v>75</v>
      </c>
      <c r="V1865">
        <v>97</v>
      </c>
      <c r="W1865" t="str">
        <f t="shared" si="179"/>
        <v>Normal</v>
      </c>
      <c r="X1865">
        <v>0</v>
      </c>
    </row>
    <row r="1866" spans="1:24" ht="14.5" thickBot="1" x14ac:dyDescent="0.35">
      <c r="A1866">
        <v>1</v>
      </c>
      <c r="B1866" t="str">
        <f t="shared" si="177"/>
        <v>Male</v>
      </c>
      <c r="C1866" s="8">
        <v>47</v>
      </c>
      <c r="D1866" t="str">
        <f t="shared" si="178"/>
        <v>Middle Age</v>
      </c>
      <c r="E1866">
        <v>4</v>
      </c>
      <c r="F1866" t="str">
        <f>HLOOKUP(E1866, LookUP_Table!$A$6:$D$7, 2, FALSE)</f>
        <v>Post Graduate</v>
      </c>
      <c r="G1866" t="str">
        <f>IFERROR(VLOOKUP(E1866, LookUP_Table!$A$1:$B$4, 2, FALSE), "")</f>
        <v>Post Graduate</v>
      </c>
      <c r="H1866">
        <v>1</v>
      </c>
      <c r="I1866">
        <v>10</v>
      </c>
      <c r="J1866" t="str">
        <f t="shared" si="174"/>
        <v>Smoker</v>
      </c>
      <c r="K1866">
        <v>0</v>
      </c>
      <c r="L1866">
        <v>0</v>
      </c>
      <c r="M1866">
        <v>1</v>
      </c>
      <c r="N1866">
        <v>0</v>
      </c>
      <c r="O1866">
        <v>214</v>
      </c>
      <c r="P1866" t="str">
        <f t="shared" si="175"/>
        <v>Normal</v>
      </c>
      <c r="Q1866">
        <v>132</v>
      </c>
      <c r="R1866">
        <v>95</v>
      </c>
      <c r="S1866">
        <v>24.23</v>
      </c>
      <c r="T1866" t="str">
        <f t="shared" si="176"/>
        <v>Normal</v>
      </c>
      <c r="U1866">
        <v>70</v>
      </c>
      <c r="V1866">
        <v>77</v>
      </c>
      <c r="W1866" t="str">
        <f t="shared" si="179"/>
        <v>Normal</v>
      </c>
      <c r="X1866">
        <v>0</v>
      </c>
    </row>
    <row r="1867" spans="1:24" ht="14.5" thickBot="1" x14ac:dyDescent="0.35">
      <c r="A1867">
        <v>0</v>
      </c>
      <c r="B1867" t="str">
        <f t="shared" si="177"/>
        <v>Female</v>
      </c>
      <c r="C1867" s="8">
        <v>47</v>
      </c>
      <c r="D1867" t="str">
        <f t="shared" si="178"/>
        <v>Middle Age</v>
      </c>
      <c r="E1867">
        <v>1</v>
      </c>
      <c r="F1867" t="str">
        <f>HLOOKUP(E1867, LookUP_Table!$A$6:$D$7, 2, FALSE)</f>
        <v>Primary</v>
      </c>
      <c r="G1867" t="str">
        <f>IFERROR(VLOOKUP(E1867, LookUP_Table!$A$1:$B$4, 2, FALSE), "")</f>
        <v>Primary</v>
      </c>
      <c r="H1867">
        <v>0</v>
      </c>
      <c r="I1867">
        <v>0</v>
      </c>
      <c r="J1867" t="str">
        <f t="shared" si="174"/>
        <v>Non-Smoker</v>
      </c>
      <c r="K1867">
        <v>0</v>
      </c>
      <c r="L1867">
        <v>0</v>
      </c>
      <c r="M1867">
        <v>0</v>
      </c>
      <c r="N1867">
        <v>0</v>
      </c>
      <c r="O1867">
        <v>205</v>
      </c>
      <c r="P1867" t="str">
        <f t="shared" si="175"/>
        <v>Normal</v>
      </c>
      <c r="Q1867">
        <v>122</v>
      </c>
      <c r="R1867">
        <v>78</v>
      </c>
      <c r="S1867">
        <v>23.78</v>
      </c>
      <c r="T1867" t="str">
        <f t="shared" si="176"/>
        <v>Normal</v>
      </c>
      <c r="U1867">
        <v>67</v>
      </c>
      <c r="V1867">
        <v>83</v>
      </c>
      <c r="W1867" t="str">
        <f t="shared" si="179"/>
        <v>Normal</v>
      </c>
      <c r="X1867">
        <v>0</v>
      </c>
    </row>
    <row r="1868" spans="1:24" ht="14.5" thickBot="1" x14ac:dyDescent="0.35">
      <c r="A1868">
        <v>0</v>
      </c>
      <c r="B1868" t="str">
        <f t="shared" si="177"/>
        <v>Female</v>
      </c>
      <c r="C1868" s="8">
        <v>47</v>
      </c>
      <c r="D1868" t="str">
        <f t="shared" si="178"/>
        <v>Middle Age</v>
      </c>
      <c r="E1868">
        <v>2</v>
      </c>
      <c r="F1868" t="str">
        <f>HLOOKUP(E1868, LookUP_Table!$A$6:$D$7, 2, FALSE)</f>
        <v>Secondary</v>
      </c>
      <c r="G1868" t="str">
        <f>IFERROR(VLOOKUP(E1868, LookUP_Table!$A$1:$B$4, 2, FALSE), "")</f>
        <v>Secondary</v>
      </c>
      <c r="H1868">
        <v>1</v>
      </c>
      <c r="I1868">
        <v>43</v>
      </c>
      <c r="J1868" t="str">
        <f t="shared" si="174"/>
        <v>Smoker</v>
      </c>
      <c r="K1868">
        <v>0</v>
      </c>
      <c r="L1868">
        <v>0</v>
      </c>
      <c r="M1868">
        <v>1</v>
      </c>
      <c r="N1868">
        <v>0</v>
      </c>
      <c r="O1868">
        <v>218</v>
      </c>
      <c r="P1868" t="str">
        <f t="shared" si="175"/>
        <v>Normal</v>
      </c>
      <c r="Q1868">
        <v>147</v>
      </c>
      <c r="R1868">
        <v>81</v>
      </c>
      <c r="S1868">
        <v>20.39</v>
      </c>
      <c r="T1868" t="str">
        <f t="shared" si="176"/>
        <v>Normal</v>
      </c>
      <c r="U1868">
        <v>75</v>
      </c>
      <c r="V1868">
        <v>81.96365524402907</v>
      </c>
      <c r="W1868" t="str">
        <f t="shared" si="179"/>
        <v>Normal</v>
      </c>
      <c r="X1868">
        <v>0</v>
      </c>
    </row>
    <row r="1869" spans="1:24" ht="14.5" thickBot="1" x14ac:dyDescent="0.35">
      <c r="A1869">
        <v>0</v>
      </c>
      <c r="B1869" t="str">
        <f t="shared" si="177"/>
        <v>Female</v>
      </c>
      <c r="C1869" s="8">
        <v>47</v>
      </c>
      <c r="D1869" t="str">
        <f t="shared" si="178"/>
        <v>Middle Age</v>
      </c>
      <c r="E1869">
        <v>3</v>
      </c>
      <c r="F1869" t="str">
        <f>HLOOKUP(E1869, LookUP_Table!$A$6:$D$7, 2, FALSE)</f>
        <v>Graduate</v>
      </c>
      <c r="G1869" t="str">
        <f>IFERROR(VLOOKUP(E1869, LookUP_Table!$A$1:$B$4, 2, FALSE), "")</f>
        <v>Graduate</v>
      </c>
      <c r="H1869">
        <v>1</v>
      </c>
      <c r="I1869">
        <v>5</v>
      </c>
      <c r="J1869" t="str">
        <f t="shared" si="174"/>
        <v>Smoker</v>
      </c>
      <c r="K1869">
        <v>0</v>
      </c>
      <c r="L1869">
        <v>0</v>
      </c>
      <c r="M1869">
        <v>0</v>
      </c>
      <c r="N1869">
        <v>0</v>
      </c>
      <c r="O1869">
        <v>237</v>
      </c>
      <c r="P1869" t="str">
        <f t="shared" si="175"/>
        <v>Normal</v>
      </c>
      <c r="Q1869">
        <v>110</v>
      </c>
      <c r="R1869">
        <v>77</v>
      </c>
      <c r="S1869">
        <v>25.62</v>
      </c>
      <c r="T1869" t="str">
        <f t="shared" si="176"/>
        <v>Overweight</v>
      </c>
      <c r="U1869">
        <v>100</v>
      </c>
      <c r="V1869">
        <v>83</v>
      </c>
      <c r="W1869" t="str">
        <f t="shared" si="179"/>
        <v>Normal</v>
      </c>
      <c r="X1869">
        <v>0</v>
      </c>
    </row>
    <row r="1870" spans="1:24" ht="14.5" thickBot="1" x14ac:dyDescent="0.35">
      <c r="A1870">
        <v>0</v>
      </c>
      <c r="B1870" t="str">
        <f t="shared" si="177"/>
        <v>Female</v>
      </c>
      <c r="C1870" s="8">
        <v>47</v>
      </c>
      <c r="D1870" t="str">
        <f t="shared" si="178"/>
        <v>Middle Age</v>
      </c>
      <c r="E1870">
        <v>1</v>
      </c>
      <c r="F1870" t="str">
        <f>HLOOKUP(E1870, LookUP_Table!$A$6:$D$7, 2, FALSE)</f>
        <v>Primary</v>
      </c>
      <c r="G1870" t="str">
        <f>IFERROR(VLOOKUP(E1870, LookUP_Table!$A$1:$B$4, 2, FALSE), "")</f>
        <v>Primary</v>
      </c>
      <c r="H1870">
        <v>0</v>
      </c>
      <c r="I1870">
        <v>0</v>
      </c>
      <c r="J1870" t="str">
        <f t="shared" si="174"/>
        <v>Non-Smoker</v>
      </c>
      <c r="K1870">
        <v>0</v>
      </c>
      <c r="L1870">
        <v>0</v>
      </c>
      <c r="M1870">
        <v>0</v>
      </c>
      <c r="N1870">
        <v>0</v>
      </c>
      <c r="O1870">
        <v>266</v>
      </c>
      <c r="P1870" t="str">
        <f t="shared" si="175"/>
        <v>High</v>
      </c>
      <c r="Q1870">
        <v>107</v>
      </c>
      <c r="R1870">
        <v>77</v>
      </c>
      <c r="S1870">
        <v>30.61</v>
      </c>
      <c r="T1870" t="str">
        <f t="shared" si="176"/>
        <v>Obese</v>
      </c>
      <c r="U1870">
        <v>75</v>
      </c>
      <c r="V1870">
        <v>64</v>
      </c>
      <c r="W1870" t="str">
        <f t="shared" si="179"/>
        <v>Normal</v>
      </c>
      <c r="X1870">
        <v>0</v>
      </c>
    </row>
    <row r="1871" spans="1:24" ht="14.5" thickBot="1" x14ac:dyDescent="0.35">
      <c r="A1871">
        <v>0</v>
      </c>
      <c r="B1871" t="str">
        <f t="shared" si="177"/>
        <v>Female</v>
      </c>
      <c r="C1871" s="8">
        <v>47</v>
      </c>
      <c r="D1871" t="str">
        <f t="shared" si="178"/>
        <v>Middle Age</v>
      </c>
      <c r="E1871">
        <v>3</v>
      </c>
      <c r="F1871" t="str">
        <f>HLOOKUP(E1871, LookUP_Table!$A$6:$D$7, 2, FALSE)</f>
        <v>Graduate</v>
      </c>
      <c r="G1871" t="str">
        <f>IFERROR(VLOOKUP(E1871, LookUP_Table!$A$1:$B$4, 2, FALSE), "")</f>
        <v>Graduate</v>
      </c>
      <c r="H1871">
        <v>1</v>
      </c>
      <c r="I1871">
        <v>9</v>
      </c>
      <c r="J1871" t="str">
        <f t="shared" si="174"/>
        <v>Smoker</v>
      </c>
      <c r="K1871">
        <v>0</v>
      </c>
      <c r="L1871">
        <v>0</v>
      </c>
      <c r="M1871">
        <v>0</v>
      </c>
      <c r="N1871">
        <v>0</v>
      </c>
      <c r="O1871">
        <v>321</v>
      </c>
      <c r="P1871" t="str">
        <f t="shared" si="175"/>
        <v>High</v>
      </c>
      <c r="Q1871">
        <v>132</v>
      </c>
      <c r="R1871">
        <v>88</v>
      </c>
      <c r="S1871">
        <v>28.14</v>
      </c>
      <c r="T1871" t="str">
        <f t="shared" si="176"/>
        <v>Overweight</v>
      </c>
      <c r="U1871">
        <v>90</v>
      </c>
      <c r="V1871">
        <v>74</v>
      </c>
      <c r="W1871" t="str">
        <f t="shared" si="179"/>
        <v>Normal</v>
      </c>
      <c r="X1871">
        <v>0</v>
      </c>
    </row>
    <row r="1872" spans="1:24" ht="14.5" thickBot="1" x14ac:dyDescent="0.35">
      <c r="A1872">
        <v>1</v>
      </c>
      <c r="B1872" t="str">
        <f t="shared" si="177"/>
        <v>Male</v>
      </c>
      <c r="C1872" s="8">
        <v>47</v>
      </c>
      <c r="D1872" t="str">
        <f t="shared" si="178"/>
        <v>Middle Age</v>
      </c>
      <c r="E1872">
        <v>4</v>
      </c>
      <c r="F1872" t="str">
        <f>HLOOKUP(E1872, LookUP_Table!$A$6:$D$7, 2, FALSE)</f>
        <v>Post Graduate</v>
      </c>
      <c r="G1872" t="str">
        <f>IFERROR(VLOOKUP(E1872, LookUP_Table!$A$1:$B$4, 2, FALSE), "")</f>
        <v>Post Graduate</v>
      </c>
      <c r="H1872">
        <v>1</v>
      </c>
      <c r="I1872">
        <v>15</v>
      </c>
      <c r="J1872" t="str">
        <f t="shared" si="174"/>
        <v>Smoker</v>
      </c>
      <c r="K1872">
        <v>0</v>
      </c>
      <c r="L1872">
        <v>0</v>
      </c>
      <c r="M1872">
        <v>1</v>
      </c>
      <c r="N1872">
        <v>1</v>
      </c>
      <c r="O1872">
        <v>210</v>
      </c>
      <c r="P1872" t="str">
        <f t="shared" si="175"/>
        <v>Normal</v>
      </c>
      <c r="Q1872">
        <v>163.5</v>
      </c>
      <c r="R1872">
        <v>97</v>
      </c>
      <c r="S1872">
        <v>28.24</v>
      </c>
      <c r="T1872" t="str">
        <f t="shared" si="176"/>
        <v>Overweight</v>
      </c>
      <c r="U1872">
        <v>105</v>
      </c>
      <c r="V1872">
        <v>183</v>
      </c>
      <c r="W1872" t="str">
        <f t="shared" si="179"/>
        <v>Diabetes</v>
      </c>
      <c r="X1872">
        <v>0</v>
      </c>
    </row>
    <row r="1873" spans="1:24" ht="14.5" thickBot="1" x14ac:dyDescent="0.35">
      <c r="A1873">
        <v>0</v>
      </c>
      <c r="B1873" t="str">
        <f t="shared" si="177"/>
        <v>Female</v>
      </c>
      <c r="C1873" s="8">
        <v>47</v>
      </c>
      <c r="D1873" t="str">
        <f t="shared" si="178"/>
        <v>Middle Age</v>
      </c>
      <c r="E1873">
        <v>2</v>
      </c>
      <c r="F1873" t="str">
        <f>HLOOKUP(E1873, LookUP_Table!$A$6:$D$7, 2, FALSE)</f>
        <v>Secondary</v>
      </c>
      <c r="G1873" t="str">
        <f>IFERROR(VLOOKUP(E1873, LookUP_Table!$A$1:$B$4, 2, FALSE), "")</f>
        <v>Secondary</v>
      </c>
      <c r="H1873">
        <v>0</v>
      </c>
      <c r="I1873">
        <v>0</v>
      </c>
      <c r="J1873" t="str">
        <f t="shared" si="174"/>
        <v>Non-Smoker</v>
      </c>
      <c r="K1873">
        <v>0</v>
      </c>
      <c r="L1873">
        <v>0</v>
      </c>
      <c r="M1873">
        <v>0</v>
      </c>
      <c r="N1873">
        <v>1</v>
      </c>
      <c r="O1873">
        <v>221</v>
      </c>
      <c r="P1873" t="str">
        <f t="shared" si="175"/>
        <v>Normal</v>
      </c>
      <c r="Q1873">
        <v>140</v>
      </c>
      <c r="R1873">
        <v>94</v>
      </c>
      <c r="S1873">
        <v>28.84</v>
      </c>
      <c r="T1873" t="str">
        <f t="shared" si="176"/>
        <v>Overweight</v>
      </c>
      <c r="U1873">
        <v>80</v>
      </c>
      <c r="V1873">
        <v>85</v>
      </c>
      <c r="W1873" t="str">
        <f t="shared" si="179"/>
        <v>Normal</v>
      </c>
      <c r="X1873">
        <v>0</v>
      </c>
    </row>
    <row r="1874" spans="1:24" ht="14.5" thickBot="1" x14ac:dyDescent="0.35">
      <c r="A1874">
        <v>0</v>
      </c>
      <c r="B1874" t="str">
        <f t="shared" si="177"/>
        <v>Female</v>
      </c>
      <c r="C1874" s="8">
        <v>47</v>
      </c>
      <c r="D1874" t="str">
        <f t="shared" si="178"/>
        <v>Middle Age</v>
      </c>
      <c r="E1874">
        <v>1</v>
      </c>
      <c r="F1874" t="str">
        <f>HLOOKUP(E1874, LookUP_Table!$A$6:$D$7, 2, FALSE)</f>
        <v>Primary</v>
      </c>
      <c r="G1874" t="str">
        <f>IFERROR(VLOOKUP(E1874, LookUP_Table!$A$1:$B$4, 2, FALSE), "")</f>
        <v>Primary</v>
      </c>
      <c r="H1874">
        <v>1</v>
      </c>
      <c r="I1874">
        <v>9</v>
      </c>
      <c r="J1874" t="str">
        <f t="shared" si="174"/>
        <v>Smoker</v>
      </c>
      <c r="K1874">
        <v>0</v>
      </c>
      <c r="L1874">
        <v>0</v>
      </c>
      <c r="M1874">
        <v>1</v>
      </c>
      <c r="N1874">
        <v>1</v>
      </c>
      <c r="O1874">
        <v>214</v>
      </c>
      <c r="P1874" t="str">
        <f t="shared" si="175"/>
        <v>Normal</v>
      </c>
      <c r="Q1874">
        <v>144</v>
      </c>
      <c r="R1874">
        <v>92</v>
      </c>
      <c r="S1874">
        <v>22.73</v>
      </c>
      <c r="T1874" t="str">
        <f t="shared" si="176"/>
        <v>Normal</v>
      </c>
      <c r="U1874">
        <v>72</v>
      </c>
      <c r="V1874">
        <v>57</v>
      </c>
      <c r="W1874" t="str">
        <f t="shared" si="179"/>
        <v>Normal</v>
      </c>
      <c r="X1874">
        <v>0</v>
      </c>
    </row>
    <row r="1875" spans="1:24" ht="14.5" thickBot="1" x14ac:dyDescent="0.35">
      <c r="A1875">
        <v>0</v>
      </c>
      <c r="B1875" t="str">
        <f t="shared" si="177"/>
        <v>Female</v>
      </c>
      <c r="C1875" s="8">
        <v>47</v>
      </c>
      <c r="D1875" t="str">
        <f t="shared" si="178"/>
        <v>Middle Age</v>
      </c>
      <c r="E1875">
        <v>1</v>
      </c>
      <c r="F1875" t="str">
        <f>HLOOKUP(E1875, LookUP_Table!$A$6:$D$7, 2, FALSE)</f>
        <v>Primary</v>
      </c>
      <c r="G1875" t="str">
        <f>IFERROR(VLOOKUP(E1875, LookUP_Table!$A$1:$B$4, 2, FALSE), "")</f>
        <v>Primary</v>
      </c>
      <c r="H1875">
        <v>1</v>
      </c>
      <c r="I1875">
        <v>20</v>
      </c>
      <c r="J1875" t="str">
        <f t="shared" si="174"/>
        <v>Smoker</v>
      </c>
      <c r="K1875">
        <v>0</v>
      </c>
      <c r="L1875">
        <v>0</v>
      </c>
      <c r="M1875">
        <v>0</v>
      </c>
      <c r="N1875">
        <v>0</v>
      </c>
      <c r="O1875">
        <v>304</v>
      </c>
      <c r="P1875" t="str">
        <f t="shared" si="175"/>
        <v>High</v>
      </c>
      <c r="Q1875">
        <v>110</v>
      </c>
      <c r="R1875">
        <v>72</v>
      </c>
      <c r="S1875">
        <v>20.88</v>
      </c>
      <c r="T1875" t="str">
        <f t="shared" si="176"/>
        <v>Normal</v>
      </c>
      <c r="U1875">
        <v>85</v>
      </c>
      <c r="V1875">
        <v>75</v>
      </c>
      <c r="W1875" t="str">
        <f t="shared" si="179"/>
        <v>Normal</v>
      </c>
      <c r="X1875">
        <v>1</v>
      </c>
    </row>
    <row r="1876" spans="1:24" ht="14.5" thickBot="1" x14ac:dyDescent="0.35">
      <c r="A1876">
        <v>1</v>
      </c>
      <c r="B1876" t="str">
        <f t="shared" si="177"/>
        <v>Male</v>
      </c>
      <c r="C1876" s="8">
        <v>47</v>
      </c>
      <c r="D1876" t="str">
        <f t="shared" si="178"/>
        <v>Middle Age</v>
      </c>
      <c r="E1876">
        <v>3</v>
      </c>
      <c r="F1876" t="str">
        <f>HLOOKUP(E1876, LookUP_Table!$A$6:$D$7, 2, FALSE)</f>
        <v>Graduate</v>
      </c>
      <c r="G1876" t="str">
        <f>IFERROR(VLOOKUP(E1876, LookUP_Table!$A$1:$B$4, 2, FALSE), "")</f>
        <v>Graduate</v>
      </c>
      <c r="H1876">
        <v>1</v>
      </c>
      <c r="I1876">
        <v>20</v>
      </c>
      <c r="J1876" t="str">
        <f t="shared" si="174"/>
        <v>Smoker</v>
      </c>
      <c r="K1876">
        <v>0</v>
      </c>
      <c r="L1876">
        <v>0</v>
      </c>
      <c r="M1876">
        <v>0</v>
      </c>
      <c r="N1876">
        <v>0</v>
      </c>
      <c r="O1876">
        <v>281</v>
      </c>
      <c r="P1876" t="str">
        <f t="shared" si="175"/>
        <v>High</v>
      </c>
      <c r="Q1876">
        <v>119</v>
      </c>
      <c r="R1876">
        <v>81</v>
      </c>
      <c r="S1876">
        <v>23.72</v>
      </c>
      <c r="T1876" t="str">
        <f t="shared" si="176"/>
        <v>Normal</v>
      </c>
      <c r="U1876">
        <v>80</v>
      </c>
      <c r="V1876">
        <v>65</v>
      </c>
      <c r="W1876" t="str">
        <f t="shared" si="179"/>
        <v>Normal</v>
      </c>
      <c r="X1876">
        <v>0</v>
      </c>
    </row>
    <row r="1877" spans="1:24" ht="14.5" thickBot="1" x14ac:dyDescent="0.35">
      <c r="A1877">
        <v>0</v>
      </c>
      <c r="B1877" t="str">
        <f t="shared" si="177"/>
        <v>Female</v>
      </c>
      <c r="C1877" s="8">
        <v>47</v>
      </c>
      <c r="D1877" t="str">
        <f t="shared" si="178"/>
        <v>Middle Age</v>
      </c>
      <c r="E1877">
        <v>3</v>
      </c>
      <c r="F1877" t="str">
        <f>HLOOKUP(E1877, LookUP_Table!$A$6:$D$7, 2, FALSE)</f>
        <v>Graduate</v>
      </c>
      <c r="G1877" t="str">
        <f>IFERROR(VLOOKUP(E1877, LookUP_Table!$A$1:$B$4, 2, FALSE), "")</f>
        <v>Graduate</v>
      </c>
      <c r="H1877">
        <v>1</v>
      </c>
      <c r="I1877">
        <v>20</v>
      </c>
      <c r="J1877" t="str">
        <f t="shared" si="174"/>
        <v>Smoker</v>
      </c>
      <c r="K1877">
        <v>0</v>
      </c>
      <c r="L1877">
        <v>0</v>
      </c>
      <c r="M1877">
        <v>0</v>
      </c>
      <c r="N1877">
        <v>0</v>
      </c>
      <c r="O1877">
        <v>167</v>
      </c>
      <c r="P1877" t="str">
        <f t="shared" si="175"/>
        <v>Normal</v>
      </c>
      <c r="Q1877">
        <v>115</v>
      </c>
      <c r="R1877">
        <v>70</v>
      </c>
      <c r="S1877">
        <v>22.71</v>
      </c>
      <c r="T1877" t="str">
        <f t="shared" si="176"/>
        <v>Normal</v>
      </c>
      <c r="U1877">
        <v>75</v>
      </c>
      <c r="V1877">
        <v>100</v>
      </c>
      <c r="W1877" t="str">
        <f t="shared" si="179"/>
        <v>Prediabetes</v>
      </c>
      <c r="X1877">
        <v>0</v>
      </c>
    </row>
    <row r="1878" spans="1:24" ht="14.5" thickBot="1" x14ac:dyDescent="0.35">
      <c r="A1878">
        <v>0</v>
      </c>
      <c r="B1878" t="str">
        <f t="shared" si="177"/>
        <v>Female</v>
      </c>
      <c r="C1878" s="8">
        <v>47</v>
      </c>
      <c r="D1878" t="str">
        <f t="shared" si="178"/>
        <v>Middle Age</v>
      </c>
      <c r="E1878">
        <v>2</v>
      </c>
      <c r="F1878" t="str">
        <f>HLOOKUP(E1878, LookUP_Table!$A$6:$D$7, 2, FALSE)</f>
        <v>Secondary</v>
      </c>
      <c r="G1878" t="str">
        <f>IFERROR(VLOOKUP(E1878, LookUP_Table!$A$1:$B$4, 2, FALSE), "")</f>
        <v>Secondary</v>
      </c>
      <c r="H1878">
        <v>1</v>
      </c>
      <c r="I1878">
        <v>20</v>
      </c>
      <c r="J1878" t="str">
        <f t="shared" si="174"/>
        <v>Smoker</v>
      </c>
      <c r="K1878">
        <v>0</v>
      </c>
      <c r="L1878">
        <v>0</v>
      </c>
      <c r="M1878">
        <v>0</v>
      </c>
      <c r="N1878">
        <v>0</v>
      </c>
      <c r="O1878">
        <v>236.69952267303103</v>
      </c>
      <c r="P1878" t="str">
        <f t="shared" si="175"/>
        <v>Normal</v>
      </c>
      <c r="Q1878">
        <v>121</v>
      </c>
      <c r="R1878">
        <v>70</v>
      </c>
      <c r="S1878">
        <v>23.09</v>
      </c>
      <c r="T1878" t="str">
        <f t="shared" si="176"/>
        <v>Normal</v>
      </c>
      <c r="U1878">
        <v>80</v>
      </c>
      <c r="V1878">
        <v>83</v>
      </c>
      <c r="W1878" t="str">
        <f t="shared" si="179"/>
        <v>Normal</v>
      </c>
      <c r="X1878">
        <v>0</v>
      </c>
    </row>
    <row r="1879" spans="1:24" ht="14.5" thickBot="1" x14ac:dyDescent="0.35">
      <c r="A1879">
        <v>1</v>
      </c>
      <c r="B1879" t="str">
        <f t="shared" si="177"/>
        <v>Male</v>
      </c>
      <c r="C1879" s="8">
        <v>47</v>
      </c>
      <c r="D1879" t="str">
        <f t="shared" si="178"/>
        <v>Middle Age</v>
      </c>
      <c r="E1879">
        <v>1</v>
      </c>
      <c r="F1879" t="str">
        <f>HLOOKUP(E1879, LookUP_Table!$A$6:$D$7, 2, FALSE)</f>
        <v>Primary</v>
      </c>
      <c r="G1879" t="str">
        <f>IFERROR(VLOOKUP(E1879, LookUP_Table!$A$1:$B$4, 2, FALSE), "")</f>
        <v>Primary</v>
      </c>
      <c r="H1879">
        <v>0</v>
      </c>
      <c r="I1879">
        <v>0</v>
      </c>
      <c r="J1879" t="str">
        <f t="shared" si="174"/>
        <v>Non-Smoker</v>
      </c>
      <c r="K1879">
        <v>0</v>
      </c>
      <c r="L1879">
        <v>0</v>
      </c>
      <c r="M1879">
        <v>0</v>
      </c>
      <c r="N1879">
        <v>0</v>
      </c>
      <c r="O1879">
        <v>259</v>
      </c>
      <c r="P1879" t="str">
        <f t="shared" si="175"/>
        <v>High</v>
      </c>
      <c r="Q1879">
        <v>139</v>
      </c>
      <c r="R1879">
        <v>79</v>
      </c>
      <c r="S1879">
        <v>29.34</v>
      </c>
      <c r="T1879" t="str">
        <f t="shared" si="176"/>
        <v>Overweight</v>
      </c>
      <c r="U1879">
        <v>70</v>
      </c>
      <c r="V1879">
        <v>71</v>
      </c>
      <c r="W1879" t="str">
        <f t="shared" si="179"/>
        <v>Normal</v>
      </c>
      <c r="X1879">
        <v>1</v>
      </c>
    </row>
    <row r="1880" spans="1:24" ht="14.5" thickBot="1" x14ac:dyDescent="0.35">
      <c r="A1880">
        <v>0</v>
      </c>
      <c r="B1880" t="str">
        <f t="shared" si="177"/>
        <v>Female</v>
      </c>
      <c r="C1880" s="8">
        <v>47</v>
      </c>
      <c r="D1880" t="str">
        <f t="shared" si="178"/>
        <v>Middle Age</v>
      </c>
      <c r="E1880">
        <v>2</v>
      </c>
      <c r="F1880" t="str">
        <f>HLOOKUP(E1880, LookUP_Table!$A$6:$D$7, 2, FALSE)</f>
        <v>Secondary</v>
      </c>
      <c r="G1880" t="str">
        <f>IFERROR(VLOOKUP(E1880, LookUP_Table!$A$1:$B$4, 2, FALSE), "")</f>
        <v>Secondary</v>
      </c>
      <c r="H1880">
        <v>1</v>
      </c>
      <c r="I1880">
        <v>11</v>
      </c>
      <c r="J1880" t="str">
        <f t="shared" si="174"/>
        <v>Smoker</v>
      </c>
      <c r="K1880">
        <v>0</v>
      </c>
      <c r="L1880">
        <v>0</v>
      </c>
      <c r="M1880">
        <v>0</v>
      </c>
      <c r="N1880">
        <v>0</v>
      </c>
      <c r="O1880">
        <v>229</v>
      </c>
      <c r="P1880" t="str">
        <f t="shared" si="175"/>
        <v>Normal</v>
      </c>
      <c r="Q1880">
        <v>127</v>
      </c>
      <c r="R1880">
        <v>76.5</v>
      </c>
      <c r="S1880">
        <v>23.48</v>
      </c>
      <c r="T1880" t="str">
        <f t="shared" si="176"/>
        <v>Normal</v>
      </c>
      <c r="U1880">
        <v>65</v>
      </c>
      <c r="V1880">
        <v>64</v>
      </c>
      <c r="W1880" t="str">
        <f t="shared" si="179"/>
        <v>Normal</v>
      </c>
      <c r="X1880">
        <v>0</v>
      </c>
    </row>
    <row r="1881" spans="1:24" ht="14.5" thickBot="1" x14ac:dyDescent="0.35">
      <c r="A1881">
        <v>0</v>
      </c>
      <c r="B1881" t="str">
        <f t="shared" si="177"/>
        <v>Female</v>
      </c>
      <c r="C1881" s="8">
        <v>47</v>
      </c>
      <c r="D1881" t="str">
        <f t="shared" si="178"/>
        <v>Middle Age</v>
      </c>
      <c r="E1881">
        <v>1</v>
      </c>
      <c r="F1881" t="str">
        <f>HLOOKUP(E1881, LookUP_Table!$A$6:$D$7, 2, FALSE)</f>
        <v>Primary</v>
      </c>
      <c r="G1881" t="str">
        <f>IFERROR(VLOOKUP(E1881, LookUP_Table!$A$1:$B$4, 2, FALSE), "")</f>
        <v>Primary</v>
      </c>
      <c r="H1881">
        <v>0</v>
      </c>
      <c r="I1881">
        <v>0</v>
      </c>
      <c r="J1881" t="str">
        <f t="shared" si="174"/>
        <v>Non-Smoker</v>
      </c>
      <c r="K1881">
        <v>0</v>
      </c>
      <c r="L1881">
        <v>1</v>
      </c>
      <c r="M1881">
        <v>0</v>
      </c>
      <c r="N1881">
        <v>0</v>
      </c>
      <c r="O1881">
        <v>220</v>
      </c>
      <c r="P1881" t="str">
        <f t="shared" si="175"/>
        <v>Normal</v>
      </c>
      <c r="Q1881">
        <v>124</v>
      </c>
      <c r="R1881">
        <v>75.5</v>
      </c>
      <c r="S1881">
        <v>24.71</v>
      </c>
      <c r="T1881" t="str">
        <f t="shared" si="176"/>
        <v>Normal</v>
      </c>
      <c r="U1881">
        <v>65</v>
      </c>
      <c r="V1881">
        <v>68</v>
      </c>
      <c r="W1881" t="str">
        <f t="shared" si="179"/>
        <v>Normal</v>
      </c>
      <c r="X1881">
        <v>0</v>
      </c>
    </row>
    <row r="1882" spans="1:24" ht="14.5" thickBot="1" x14ac:dyDescent="0.35">
      <c r="A1882">
        <v>0</v>
      </c>
      <c r="B1882" t="str">
        <f t="shared" si="177"/>
        <v>Female</v>
      </c>
      <c r="C1882" s="8">
        <v>47</v>
      </c>
      <c r="D1882" t="str">
        <f t="shared" si="178"/>
        <v>Middle Age</v>
      </c>
      <c r="E1882">
        <v>1</v>
      </c>
      <c r="F1882" t="str">
        <f>HLOOKUP(E1882, LookUP_Table!$A$6:$D$7, 2, FALSE)</f>
        <v>Primary</v>
      </c>
      <c r="G1882" t="str">
        <f>IFERROR(VLOOKUP(E1882, LookUP_Table!$A$1:$B$4, 2, FALSE), "")</f>
        <v>Primary</v>
      </c>
      <c r="H1882">
        <v>0</v>
      </c>
      <c r="I1882">
        <v>0</v>
      </c>
      <c r="J1882" t="str">
        <f t="shared" si="174"/>
        <v>Non-Smoker</v>
      </c>
      <c r="K1882">
        <v>0</v>
      </c>
      <c r="L1882">
        <v>0</v>
      </c>
      <c r="M1882">
        <v>0</v>
      </c>
      <c r="N1882">
        <v>0</v>
      </c>
      <c r="O1882">
        <v>346</v>
      </c>
      <c r="P1882" t="str">
        <f t="shared" si="175"/>
        <v>High</v>
      </c>
      <c r="Q1882">
        <v>118.5</v>
      </c>
      <c r="R1882">
        <v>81</v>
      </c>
      <c r="S1882">
        <v>34.56</v>
      </c>
      <c r="T1882" t="str">
        <f t="shared" si="176"/>
        <v>Obese</v>
      </c>
      <c r="U1882">
        <v>70</v>
      </c>
      <c r="V1882">
        <v>81.96365524402907</v>
      </c>
      <c r="W1882" t="str">
        <f t="shared" si="179"/>
        <v>Normal</v>
      </c>
      <c r="X1882">
        <v>0</v>
      </c>
    </row>
    <row r="1883" spans="1:24" ht="14.5" thickBot="1" x14ac:dyDescent="0.35">
      <c r="A1883">
        <v>0</v>
      </c>
      <c r="B1883" t="str">
        <f t="shared" si="177"/>
        <v>Female</v>
      </c>
      <c r="C1883" s="8">
        <v>47</v>
      </c>
      <c r="D1883" t="str">
        <f t="shared" si="178"/>
        <v>Middle Age</v>
      </c>
      <c r="E1883">
        <v>2</v>
      </c>
      <c r="F1883" t="str">
        <f>HLOOKUP(E1883, LookUP_Table!$A$6:$D$7, 2, FALSE)</f>
        <v>Secondary</v>
      </c>
      <c r="G1883" t="str">
        <f>IFERROR(VLOOKUP(E1883, LookUP_Table!$A$1:$B$4, 2, FALSE), "")</f>
        <v>Secondary</v>
      </c>
      <c r="H1883">
        <v>1</v>
      </c>
      <c r="I1883">
        <v>30</v>
      </c>
      <c r="J1883" t="str">
        <f t="shared" si="174"/>
        <v>Smoker</v>
      </c>
      <c r="K1883">
        <v>0</v>
      </c>
      <c r="L1883">
        <v>0</v>
      </c>
      <c r="M1883">
        <v>0</v>
      </c>
      <c r="N1883">
        <v>0</v>
      </c>
      <c r="O1883">
        <v>198</v>
      </c>
      <c r="P1883" t="str">
        <f t="shared" si="175"/>
        <v>Normal</v>
      </c>
      <c r="Q1883">
        <v>143</v>
      </c>
      <c r="R1883">
        <v>87</v>
      </c>
      <c r="S1883">
        <v>20.86</v>
      </c>
      <c r="T1883" t="str">
        <f t="shared" si="176"/>
        <v>Normal</v>
      </c>
      <c r="U1883">
        <v>85</v>
      </c>
      <c r="V1883">
        <v>79</v>
      </c>
      <c r="W1883" t="str">
        <f t="shared" si="179"/>
        <v>Normal</v>
      </c>
      <c r="X1883">
        <v>1</v>
      </c>
    </row>
    <row r="1884" spans="1:24" ht="14.5" thickBot="1" x14ac:dyDescent="0.35">
      <c r="A1884">
        <v>1</v>
      </c>
      <c r="B1884" t="str">
        <f t="shared" si="177"/>
        <v>Male</v>
      </c>
      <c r="C1884" s="8">
        <v>47</v>
      </c>
      <c r="D1884" t="str">
        <f t="shared" si="178"/>
        <v>Middle Age</v>
      </c>
      <c r="E1884">
        <v>1</v>
      </c>
      <c r="F1884" t="str">
        <f>HLOOKUP(E1884, LookUP_Table!$A$6:$D$7, 2, FALSE)</f>
        <v>Primary</v>
      </c>
      <c r="G1884" t="str">
        <f>IFERROR(VLOOKUP(E1884, LookUP_Table!$A$1:$B$4, 2, FALSE), "")</f>
        <v>Primary</v>
      </c>
      <c r="H1884">
        <v>1</v>
      </c>
      <c r="I1884">
        <v>30</v>
      </c>
      <c r="J1884" t="str">
        <f t="shared" si="174"/>
        <v>Smoker</v>
      </c>
      <c r="K1884">
        <v>0</v>
      </c>
      <c r="L1884">
        <v>0</v>
      </c>
      <c r="M1884">
        <v>1</v>
      </c>
      <c r="N1884">
        <v>0</v>
      </c>
      <c r="O1884">
        <v>190</v>
      </c>
      <c r="P1884" t="str">
        <f t="shared" si="175"/>
        <v>Normal</v>
      </c>
      <c r="Q1884">
        <v>147.5</v>
      </c>
      <c r="R1884">
        <v>92.5</v>
      </c>
      <c r="S1884">
        <v>31.31</v>
      </c>
      <c r="T1884" t="str">
        <f t="shared" si="176"/>
        <v>Obese</v>
      </c>
      <c r="U1884">
        <v>77</v>
      </c>
      <c r="V1884">
        <v>82</v>
      </c>
      <c r="W1884" t="str">
        <f t="shared" si="179"/>
        <v>Normal</v>
      </c>
      <c r="X1884">
        <v>0</v>
      </c>
    </row>
    <row r="1885" spans="1:24" ht="14.5" thickBot="1" x14ac:dyDescent="0.35">
      <c r="A1885">
        <v>0</v>
      </c>
      <c r="B1885" t="str">
        <f t="shared" si="177"/>
        <v>Female</v>
      </c>
      <c r="C1885" s="8">
        <v>47</v>
      </c>
      <c r="D1885" t="str">
        <f t="shared" si="178"/>
        <v>Middle Age</v>
      </c>
      <c r="E1885">
        <v>3</v>
      </c>
      <c r="F1885" t="str">
        <f>HLOOKUP(E1885, LookUP_Table!$A$6:$D$7, 2, FALSE)</f>
        <v>Graduate</v>
      </c>
      <c r="G1885" t="str">
        <f>IFERROR(VLOOKUP(E1885, LookUP_Table!$A$1:$B$4, 2, FALSE), "")</f>
        <v>Graduate</v>
      </c>
      <c r="H1885">
        <v>0</v>
      </c>
      <c r="I1885">
        <v>0</v>
      </c>
      <c r="J1885" t="str">
        <f t="shared" si="174"/>
        <v>Non-Smoker</v>
      </c>
      <c r="K1885">
        <v>0</v>
      </c>
      <c r="L1885">
        <v>0</v>
      </c>
      <c r="M1885">
        <v>0</v>
      </c>
      <c r="N1885">
        <v>0</v>
      </c>
      <c r="O1885">
        <v>231</v>
      </c>
      <c r="P1885" t="str">
        <f t="shared" si="175"/>
        <v>Normal</v>
      </c>
      <c r="Q1885">
        <v>102.5</v>
      </c>
      <c r="R1885">
        <v>66</v>
      </c>
      <c r="S1885">
        <v>23.4</v>
      </c>
      <c r="T1885" t="str">
        <f t="shared" si="176"/>
        <v>Normal</v>
      </c>
      <c r="U1885">
        <v>70</v>
      </c>
      <c r="V1885">
        <v>78</v>
      </c>
      <c r="W1885" t="str">
        <f t="shared" si="179"/>
        <v>Normal</v>
      </c>
      <c r="X1885">
        <v>0</v>
      </c>
    </row>
    <row r="1886" spans="1:24" ht="14.5" thickBot="1" x14ac:dyDescent="0.35">
      <c r="A1886">
        <v>0</v>
      </c>
      <c r="B1886" t="str">
        <f t="shared" si="177"/>
        <v>Female</v>
      </c>
      <c r="C1886" s="8">
        <v>47</v>
      </c>
      <c r="D1886" t="str">
        <f t="shared" si="178"/>
        <v>Middle Age</v>
      </c>
      <c r="E1886">
        <v>1</v>
      </c>
      <c r="F1886" t="str">
        <f>HLOOKUP(E1886, LookUP_Table!$A$6:$D$7, 2, FALSE)</f>
        <v>Primary</v>
      </c>
      <c r="G1886" t="str">
        <f>IFERROR(VLOOKUP(E1886, LookUP_Table!$A$1:$B$4, 2, FALSE), "")</f>
        <v>Primary</v>
      </c>
      <c r="H1886">
        <v>0</v>
      </c>
      <c r="I1886">
        <v>0</v>
      </c>
      <c r="J1886" t="str">
        <f t="shared" si="174"/>
        <v>Non-Smoker</v>
      </c>
      <c r="K1886">
        <v>0</v>
      </c>
      <c r="L1886">
        <v>0</v>
      </c>
      <c r="M1886">
        <v>0</v>
      </c>
      <c r="N1886">
        <v>0</v>
      </c>
      <c r="O1886">
        <v>205</v>
      </c>
      <c r="P1886" t="str">
        <f t="shared" si="175"/>
        <v>Normal</v>
      </c>
      <c r="Q1886">
        <v>133</v>
      </c>
      <c r="R1886">
        <v>93</v>
      </c>
      <c r="S1886">
        <v>27.82</v>
      </c>
      <c r="T1886" t="str">
        <f t="shared" si="176"/>
        <v>Overweight</v>
      </c>
      <c r="U1886">
        <v>68</v>
      </c>
      <c r="V1886">
        <v>60</v>
      </c>
      <c r="W1886" t="str">
        <f t="shared" si="179"/>
        <v>Normal</v>
      </c>
      <c r="X1886">
        <v>0</v>
      </c>
    </row>
    <row r="1887" spans="1:24" ht="14.5" thickBot="1" x14ac:dyDescent="0.35">
      <c r="A1887">
        <v>0</v>
      </c>
      <c r="B1887" t="str">
        <f t="shared" si="177"/>
        <v>Female</v>
      </c>
      <c r="C1887" s="8">
        <v>47</v>
      </c>
      <c r="D1887" t="str">
        <f t="shared" si="178"/>
        <v>Middle Age</v>
      </c>
      <c r="E1887">
        <v>3</v>
      </c>
      <c r="F1887" t="str">
        <f>HLOOKUP(E1887, LookUP_Table!$A$6:$D$7, 2, FALSE)</f>
        <v>Graduate</v>
      </c>
      <c r="G1887" t="str">
        <f>IFERROR(VLOOKUP(E1887, LookUP_Table!$A$1:$B$4, 2, FALSE), "")</f>
        <v>Graduate</v>
      </c>
      <c r="H1887">
        <v>1</v>
      </c>
      <c r="I1887">
        <v>20</v>
      </c>
      <c r="J1887" t="str">
        <f t="shared" si="174"/>
        <v>Smoker</v>
      </c>
      <c r="K1887">
        <v>0</v>
      </c>
      <c r="L1887">
        <v>0</v>
      </c>
      <c r="M1887">
        <v>0</v>
      </c>
      <c r="N1887">
        <v>0</v>
      </c>
      <c r="O1887">
        <v>221</v>
      </c>
      <c r="P1887" t="str">
        <f t="shared" si="175"/>
        <v>Normal</v>
      </c>
      <c r="Q1887">
        <v>116.5</v>
      </c>
      <c r="R1887">
        <v>81</v>
      </c>
      <c r="S1887">
        <v>25.85</v>
      </c>
      <c r="T1887" t="str">
        <f t="shared" si="176"/>
        <v>Overweight</v>
      </c>
      <c r="U1887">
        <v>65</v>
      </c>
      <c r="V1887">
        <v>75</v>
      </c>
      <c r="W1887" t="str">
        <f t="shared" si="179"/>
        <v>Normal</v>
      </c>
      <c r="X1887">
        <v>0</v>
      </c>
    </row>
    <row r="1888" spans="1:24" ht="14.5" thickBot="1" x14ac:dyDescent="0.35">
      <c r="A1888">
        <v>1</v>
      </c>
      <c r="B1888" t="str">
        <f t="shared" si="177"/>
        <v>Male</v>
      </c>
      <c r="C1888" s="8">
        <v>47</v>
      </c>
      <c r="D1888" t="str">
        <f t="shared" si="178"/>
        <v>Middle Age</v>
      </c>
      <c r="E1888">
        <v>1</v>
      </c>
      <c r="F1888" t="str">
        <f>HLOOKUP(E1888, LookUP_Table!$A$6:$D$7, 2, FALSE)</f>
        <v>Primary</v>
      </c>
      <c r="G1888" t="str">
        <f>IFERROR(VLOOKUP(E1888, LookUP_Table!$A$1:$B$4, 2, FALSE), "")</f>
        <v>Primary</v>
      </c>
      <c r="H1888">
        <v>1</v>
      </c>
      <c r="I1888">
        <v>15</v>
      </c>
      <c r="J1888" t="str">
        <f t="shared" si="174"/>
        <v>Smoker</v>
      </c>
      <c r="K1888">
        <v>0</v>
      </c>
      <c r="L1888">
        <v>0</v>
      </c>
      <c r="M1888">
        <v>0</v>
      </c>
      <c r="N1888">
        <v>0</v>
      </c>
      <c r="O1888">
        <v>206</v>
      </c>
      <c r="P1888" t="str">
        <f t="shared" si="175"/>
        <v>Normal</v>
      </c>
      <c r="Q1888">
        <v>125</v>
      </c>
      <c r="R1888">
        <v>72</v>
      </c>
      <c r="S1888">
        <v>21.14</v>
      </c>
      <c r="T1888" t="str">
        <f t="shared" si="176"/>
        <v>Normal</v>
      </c>
      <c r="U1888">
        <v>80</v>
      </c>
      <c r="V1888">
        <v>74</v>
      </c>
      <c r="W1888" t="str">
        <f t="shared" si="179"/>
        <v>Normal</v>
      </c>
      <c r="X1888">
        <v>0</v>
      </c>
    </row>
    <row r="1889" spans="1:24" ht="14.5" thickBot="1" x14ac:dyDescent="0.35">
      <c r="A1889">
        <v>1</v>
      </c>
      <c r="B1889" t="str">
        <f t="shared" si="177"/>
        <v>Male</v>
      </c>
      <c r="C1889" s="8">
        <v>47</v>
      </c>
      <c r="D1889" t="str">
        <f t="shared" si="178"/>
        <v>Middle Age</v>
      </c>
      <c r="E1889">
        <v>4</v>
      </c>
      <c r="F1889" t="str">
        <f>HLOOKUP(E1889, LookUP_Table!$A$6:$D$7, 2, FALSE)</f>
        <v>Post Graduate</v>
      </c>
      <c r="G1889" t="str">
        <f>IFERROR(VLOOKUP(E1889, LookUP_Table!$A$1:$B$4, 2, FALSE), "")</f>
        <v>Post Graduate</v>
      </c>
      <c r="H1889">
        <v>0</v>
      </c>
      <c r="I1889">
        <v>0</v>
      </c>
      <c r="J1889" t="str">
        <f t="shared" si="174"/>
        <v>Non-Smoker</v>
      </c>
      <c r="K1889">
        <v>0</v>
      </c>
      <c r="L1889">
        <v>0</v>
      </c>
      <c r="M1889">
        <v>1</v>
      </c>
      <c r="N1889">
        <v>0</v>
      </c>
      <c r="O1889">
        <v>254</v>
      </c>
      <c r="P1889" t="str">
        <f t="shared" si="175"/>
        <v>High</v>
      </c>
      <c r="Q1889">
        <v>138</v>
      </c>
      <c r="R1889">
        <v>96</v>
      </c>
      <c r="S1889">
        <v>29.73</v>
      </c>
      <c r="T1889" t="str">
        <f t="shared" si="176"/>
        <v>Overweight</v>
      </c>
      <c r="U1889">
        <v>63</v>
      </c>
      <c r="V1889">
        <v>69</v>
      </c>
      <c r="W1889" t="str">
        <f t="shared" si="179"/>
        <v>Normal</v>
      </c>
      <c r="X1889">
        <v>0</v>
      </c>
    </row>
    <row r="1890" spans="1:24" ht="14.5" thickBot="1" x14ac:dyDescent="0.35">
      <c r="A1890">
        <v>1</v>
      </c>
      <c r="B1890" t="str">
        <f t="shared" si="177"/>
        <v>Male</v>
      </c>
      <c r="C1890" s="8">
        <v>47</v>
      </c>
      <c r="D1890" t="str">
        <f t="shared" si="178"/>
        <v>Middle Age</v>
      </c>
      <c r="E1890">
        <v>1</v>
      </c>
      <c r="F1890" t="str">
        <f>HLOOKUP(E1890, LookUP_Table!$A$6:$D$7, 2, FALSE)</f>
        <v>Primary</v>
      </c>
      <c r="G1890" t="str">
        <f>IFERROR(VLOOKUP(E1890, LookUP_Table!$A$1:$B$4, 2, FALSE), "")</f>
        <v>Primary</v>
      </c>
      <c r="H1890">
        <v>1</v>
      </c>
      <c r="I1890">
        <v>43</v>
      </c>
      <c r="J1890" t="str">
        <f t="shared" si="174"/>
        <v>Smoker</v>
      </c>
      <c r="K1890">
        <v>1</v>
      </c>
      <c r="L1890">
        <v>0</v>
      </c>
      <c r="M1890">
        <v>1</v>
      </c>
      <c r="N1890">
        <v>0</v>
      </c>
      <c r="O1890">
        <v>237</v>
      </c>
      <c r="P1890" t="str">
        <f t="shared" si="175"/>
        <v>Normal</v>
      </c>
      <c r="Q1890">
        <v>182</v>
      </c>
      <c r="R1890">
        <v>110</v>
      </c>
      <c r="S1890">
        <v>28.88</v>
      </c>
      <c r="T1890" t="str">
        <f t="shared" si="176"/>
        <v>Overweight</v>
      </c>
      <c r="U1890">
        <v>72</v>
      </c>
      <c r="V1890">
        <v>83</v>
      </c>
      <c r="W1890" t="str">
        <f t="shared" si="179"/>
        <v>Normal</v>
      </c>
      <c r="X1890">
        <v>0</v>
      </c>
    </row>
    <row r="1891" spans="1:24" ht="14.5" thickBot="1" x14ac:dyDescent="0.35">
      <c r="A1891">
        <v>0</v>
      </c>
      <c r="B1891" t="str">
        <f t="shared" si="177"/>
        <v>Female</v>
      </c>
      <c r="C1891" s="8">
        <v>47</v>
      </c>
      <c r="D1891" t="str">
        <f t="shared" si="178"/>
        <v>Middle Age</v>
      </c>
      <c r="E1891">
        <v>2</v>
      </c>
      <c r="F1891" t="str">
        <f>HLOOKUP(E1891, LookUP_Table!$A$6:$D$7, 2, FALSE)</f>
        <v>Secondary</v>
      </c>
      <c r="G1891" t="str">
        <f>IFERROR(VLOOKUP(E1891, LookUP_Table!$A$1:$B$4, 2, FALSE), "")</f>
        <v>Secondary</v>
      </c>
      <c r="H1891">
        <v>1</v>
      </c>
      <c r="I1891">
        <v>30</v>
      </c>
      <c r="J1891" t="str">
        <f t="shared" si="174"/>
        <v>Smoker</v>
      </c>
      <c r="K1891">
        <v>0</v>
      </c>
      <c r="L1891">
        <v>0</v>
      </c>
      <c r="M1891">
        <v>0</v>
      </c>
      <c r="N1891">
        <v>0</v>
      </c>
      <c r="O1891">
        <v>175</v>
      </c>
      <c r="P1891" t="str">
        <f t="shared" si="175"/>
        <v>Normal</v>
      </c>
      <c r="Q1891">
        <v>107</v>
      </c>
      <c r="R1891">
        <v>69</v>
      </c>
      <c r="S1891">
        <v>23.64</v>
      </c>
      <c r="T1891" t="str">
        <f t="shared" si="176"/>
        <v>Normal</v>
      </c>
      <c r="U1891">
        <v>92</v>
      </c>
      <c r="V1891">
        <v>70</v>
      </c>
      <c r="W1891" t="str">
        <f t="shared" si="179"/>
        <v>Normal</v>
      </c>
      <c r="X1891">
        <v>0</v>
      </c>
    </row>
    <row r="1892" spans="1:24" ht="14.5" thickBot="1" x14ac:dyDescent="0.35">
      <c r="A1892">
        <v>0</v>
      </c>
      <c r="B1892" t="str">
        <f t="shared" si="177"/>
        <v>Female</v>
      </c>
      <c r="C1892" s="8">
        <v>47</v>
      </c>
      <c r="D1892" t="str">
        <f t="shared" si="178"/>
        <v>Middle Age</v>
      </c>
      <c r="E1892">
        <v>1</v>
      </c>
      <c r="F1892" t="str">
        <f>HLOOKUP(E1892, LookUP_Table!$A$6:$D$7, 2, FALSE)</f>
        <v>Primary</v>
      </c>
      <c r="G1892" t="str">
        <f>IFERROR(VLOOKUP(E1892, LookUP_Table!$A$1:$B$4, 2, FALSE), "")</f>
        <v>Primary</v>
      </c>
      <c r="H1892">
        <v>1</v>
      </c>
      <c r="I1892">
        <v>20</v>
      </c>
      <c r="J1892" t="str">
        <f t="shared" si="174"/>
        <v>Smoker</v>
      </c>
      <c r="K1892">
        <v>0</v>
      </c>
      <c r="L1892">
        <v>0</v>
      </c>
      <c r="M1892">
        <v>1</v>
      </c>
      <c r="N1892">
        <v>0</v>
      </c>
      <c r="O1892">
        <v>226</v>
      </c>
      <c r="P1892" t="str">
        <f t="shared" si="175"/>
        <v>Normal</v>
      </c>
      <c r="Q1892">
        <v>122.5</v>
      </c>
      <c r="R1892">
        <v>80</v>
      </c>
      <c r="S1892">
        <v>24.62</v>
      </c>
      <c r="T1892" t="str">
        <f t="shared" si="176"/>
        <v>Normal</v>
      </c>
      <c r="U1892">
        <v>72</v>
      </c>
      <c r="V1892">
        <v>68</v>
      </c>
      <c r="W1892" t="str">
        <f t="shared" si="179"/>
        <v>Normal</v>
      </c>
      <c r="X1892">
        <v>0</v>
      </c>
    </row>
    <row r="1893" spans="1:24" ht="14.5" thickBot="1" x14ac:dyDescent="0.35">
      <c r="A1893">
        <v>0</v>
      </c>
      <c r="B1893" t="str">
        <f t="shared" si="177"/>
        <v>Female</v>
      </c>
      <c r="C1893" s="8">
        <v>47</v>
      </c>
      <c r="D1893" t="str">
        <f t="shared" si="178"/>
        <v>Middle Age</v>
      </c>
      <c r="E1893">
        <v>3</v>
      </c>
      <c r="F1893" t="str">
        <f>HLOOKUP(E1893, LookUP_Table!$A$6:$D$7, 2, FALSE)</f>
        <v>Graduate</v>
      </c>
      <c r="G1893" t="str">
        <f>IFERROR(VLOOKUP(E1893, LookUP_Table!$A$1:$B$4, 2, FALSE), "")</f>
        <v>Graduate</v>
      </c>
      <c r="H1893">
        <v>1</v>
      </c>
      <c r="I1893">
        <v>20</v>
      </c>
      <c r="J1893" t="str">
        <f t="shared" si="174"/>
        <v>Smoker</v>
      </c>
      <c r="K1893">
        <v>0</v>
      </c>
      <c r="L1893">
        <v>0</v>
      </c>
      <c r="M1893">
        <v>0</v>
      </c>
      <c r="N1893">
        <v>0</v>
      </c>
      <c r="O1893">
        <v>236.69952267303103</v>
      </c>
      <c r="P1893" t="str">
        <f t="shared" si="175"/>
        <v>Normal</v>
      </c>
      <c r="Q1893">
        <v>120</v>
      </c>
      <c r="R1893">
        <v>77.5</v>
      </c>
      <c r="S1893">
        <v>23.39</v>
      </c>
      <c r="T1893" t="str">
        <f t="shared" si="176"/>
        <v>Normal</v>
      </c>
      <c r="U1893">
        <v>82</v>
      </c>
      <c r="V1893">
        <v>81.96365524402907</v>
      </c>
      <c r="W1893" t="str">
        <f t="shared" si="179"/>
        <v>Normal</v>
      </c>
      <c r="X1893">
        <v>0</v>
      </c>
    </row>
    <row r="1894" spans="1:24" ht="14.5" thickBot="1" x14ac:dyDescent="0.35">
      <c r="A1894">
        <v>0</v>
      </c>
      <c r="B1894" t="str">
        <f t="shared" si="177"/>
        <v>Female</v>
      </c>
      <c r="C1894" s="8">
        <v>47</v>
      </c>
      <c r="D1894" t="str">
        <f t="shared" si="178"/>
        <v>Middle Age</v>
      </c>
      <c r="E1894">
        <v>1</v>
      </c>
      <c r="F1894" t="str">
        <f>HLOOKUP(E1894, LookUP_Table!$A$6:$D$7, 2, FALSE)</f>
        <v>Primary</v>
      </c>
      <c r="G1894" t="str">
        <f>IFERROR(VLOOKUP(E1894, LookUP_Table!$A$1:$B$4, 2, FALSE), "")</f>
        <v>Primary</v>
      </c>
      <c r="H1894">
        <v>0</v>
      </c>
      <c r="I1894">
        <v>0</v>
      </c>
      <c r="J1894" t="str">
        <f t="shared" si="174"/>
        <v>Non-Smoker</v>
      </c>
      <c r="K1894">
        <v>0</v>
      </c>
      <c r="L1894">
        <v>0</v>
      </c>
      <c r="M1894">
        <v>1</v>
      </c>
      <c r="N1894">
        <v>0</v>
      </c>
      <c r="O1894">
        <v>190</v>
      </c>
      <c r="P1894" t="str">
        <f t="shared" si="175"/>
        <v>Normal</v>
      </c>
      <c r="Q1894">
        <v>162</v>
      </c>
      <c r="R1894">
        <v>85</v>
      </c>
      <c r="S1894">
        <v>30.59</v>
      </c>
      <c r="T1894" t="str">
        <f t="shared" si="176"/>
        <v>Obese</v>
      </c>
      <c r="U1894">
        <v>65</v>
      </c>
      <c r="V1894">
        <v>80</v>
      </c>
      <c r="W1894" t="str">
        <f t="shared" si="179"/>
        <v>Normal</v>
      </c>
      <c r="X1894">
        <v>0</v>
      </c>
    </row>
    <row r="1895" spans="1:24" ht="14.5" thickBot="1" x14ac:dyDescent="0.35">
      <c r="A1895">
        <v>0</v>
      </c>
      <c r="B1895" t="str">
        <f t="shared" si="177"/>
        <v>Female</v>
      </c>
      <c r="C1895" s="8">
        <v>47</v>
      </c>
      <c r="D1895" t="str">
        <f t="shared" si="178"/>
        <v>Middle Age</v>
      </c>
      <c r="E1895">
        <v>2</v>
      </c>
      <c r="F1895" t="str">
        <f>HLOOKUP(E1895, LookUP_Table!$A$6:$D$7, 2, FALSE)</f>
        <v>Secondary</v>
      </c>
      <c r="G1895" t="str">
        <f>IFERROR(VLOOKUP(E1895, LookUP_Table!$A$1:$B$4, 2, FALSE), "")</f>
        <v>Secondary</v>
      </c>
      <c r="H1895">
        <v>1</v>
      </c>
      <c r="I1895">
        <v>20</v>
      </c>
      <c r="J1895" t="str">
        <f t="shared" si="174"/>
        <v>Smoker</v>
      </c>
      <c r="K1895">
        <v>0</v>
      </c>
      <c r="L1895">
        <v>0</v>
      </c>
      <c r="M1895">
        <v>1</v>
      </c>
      <c r="N1895">
        <v>1</v>
      </c>
      <c r="O1895">
        <v>211</v>
      </c>
      <c r="P1895" t="str">
        <f t="shared" si="175"/>
        <v>Normal</v>
      </c>
      <c r="Q1895">
        <v>159.5</v>
      </c>
      <c r="R1895">
        <v>82.5</v>
      </c>
      <c r="S1895">
        <v>34.08</v>
      </c>
      <c r="T1895" t="str">
        <f t="shared" si="176"/>
        <v>Obese</v>
      </c>
      <c r="U1895">
        <v>86</v>
      </c>
      <c r="V1895">
        <v>250</v>
      </c>
      <c r="W1895" t="str">
        <f t="shared" si="179"/>
        <v>Diabetes</v>
      </c>
      <c r="X1895">
        <v>1</v>
      </c>
    </row>
    <row r="1896" spans="1:24" ht="14.5" thickBot="1" x14ac:dyDescent="0.35">
      <c r="A1896">
        <v>0</v>
      </c>
      <c r="B1896" t="str">
        <f t="shared" si="177"/>
        <v>Female</v>
      </c>
      <c r="C1896" s="8">
        <v>47</v>
      </c>
      <c r="D1896" t="str">
        <f t="shared" si="178"/>
        <v>Middle Age</v>
      </c>
      <c r="E1896">
        <v>2</v>
      </c>
      <c r="F1896" t="str">
        <f>HLOOKUP(E1896, LookUP_Table!$A$6:$D$7, 2, FALSE)</f>
        <v>Secondary</v>
      </c>
      <c r="G1896" t="str">
        <f>IFERROR(VLOOKUP(E1896, LookUP_Table!$A$1:$B$4, 2, FALSE), "")</f>
        <v>Secondary</v>
      </c>
      <c r="H1896">
        <v>1</v>
      </c>
      <c r="I1896">
        <v>20</v>
      </c>
      <c r="J1896" t="str">
        <f t="shared" si="174"/>
        <v>Smoker</v>
      </c>
      <c r="K1896">
        <v>0</v>
      </c>
      <c r="L1896">
        <v>0</v>
      </c>
      <c r="M1896">
        <v>1</v>
      </c>
      <c r="N1896">
        <v>0</v>
      </c>
      <c r="O1896">
        <v>308</v>
      </c>
      <c r="P1896" t="str">
        <f t="shared" si="175"/>
        <v>High</v>
      </c>
      <c r="Q1896">
        <v>138</v>
      </c>
      <c r="R1896">
        <v>94</v>
      </c>
      <c r="S1896">
        <v>24.33</v>
      </c>
      <c r="T1896" t="str">
        <f t="shared" si="176"/>
        <v>Normal</v>
      </c>
      <c r="U1896">
        <v>70</v>
      </c>
      <c r="V1896">
        <v>90</v>
      </c>
      <c r="W1896" t="str">
        <f t="shared" si="179"/>
        <v>Normal</v>
      </c>
      <c r="X1896">
        <v>0</v>
      </c>
    </row>
    <row r="1897" spans="1:24" ht="14.5" thickBot="1" x14ac:dyDescent="0.35">
      <c r="A1897">
        <v>0</v>
      </c>
      <c r="B1897" t="str">
        <f t="shared" si="177"/>
        <v>Female</v>
      </c>
      <c r="C1897" s="8">
        <v>47</v>
      </c>
      <c r="D1897" t="str">
        <f t="shared" si="178"/>
        <v>Middle Age</v>
      </c>
      <c r="E1897">
        <v>2</v>
      </c>
      <c r="F1897" t="str">
        <f>HLOOKUP(E1897, LookUP_Table!$A$6:$D$7, 2, FALSE)</f>
        <v>Secondary</v>
      </c>
      <c r="G1897" t="str">
        <f>IFERROR(VLOOKUP(E1897, LookUP_Table!$A$1:$B$4, 2, FALSE), "")</f>
        <v>Secondary</v>
      </c>
      <c r="H1897">
        <v>1</v>
      </c>
      <c r="I1897">
        <v>5</v>
      </c>
      <c r="J1897" t="str">
        <f t="shared" si="174"/>
        <v>Smoker</v>
      </c>
      <c r="K1897">
        <v>0</v>
      </c>
      <c r="L1897">
        <v>0</v>
      </c>
      <c r="M1897">
        <v>0</v>
      </c>
      <c r="N1897">
        <v>0</v>
      </c>
      <c r="O1897">
        <v>236</v>
      </c>
      <c r="P1897" t="str">
        <f t="shared" si="175"/>
        <v>Normal</v>
      </c>
      <c r="Q1897">
        <v>128</v>
      </c>
      <c r="R1897">
        <v>81</v>
      </c>
      <c r="S1897">
        <v>27.42</v>
      </c>
      <c r="T1897" t="str">
        <f t="shared" si="176"/>
        <v>Overweight</v>
      </c>
      <c r="U1897">
        <v>60</v>
      </c>
      <c r="V1897">
        <v>93</v>
      </c>
      <c r="W1897" t="str">
        <f t="shared" si="179"/>
        <v>Normal</v>
      </c>
      <c r="X1897">
        <v>0</v>
      </c>
    </row>
    <row r="1898" spans="1:24" ht="14.5" thickBot="1" x14ac:dyDescent="0.35">
      <c r="A1898">
        <v>0</v>
      </c>
      <c r="B1898" t="str">
        <f t="shared" si="177"/>
        <v>Female</v>
      </c>
      <c r="C1898" s="8">
        <v>47</v>
      </c>
      <c r="D1898" t="str">
        <f t="shared" si="178"/>
        <v>Middle Age</v>
      </c>
      <c r="E1898">
        <v>1</v>
      </c>
      <c r="F1898" t="str">
        <f>HLOOKUP(E1898, LookUP_Table!$A$6:$D$7, 2, FALSE)</f>
        <v>Primary</v>
      </c>
      <c r="G1898" t="str">
        <f>IFERROR(VLOOKUP(E1898, LookUP_Table!$A$1:$B$4, 2, FALSE), "")</f>
        <v>Primary</v>
      </c>
      <c r="H1898">
        <v>1</v>
      </c>
      <c r="I1898">
        <v>20</v>
      </c>
      <c r="J1898" t="str">
        <f t="shared" si="174"/>
        <v>Smoker</v>
      </c>
      <c r="K1898">
        <v>0</v>
      </c>
      <c r="L1898">
        <v>0</v>
      </c>
      <c r="M1898">
        <v>0</v>
      </c>
      <c r="N1898">
        <v>1</v>
      </c>
      <c r="O1898">
        <v>186</v>
      </c>
      <c r="P1898" t="str">
        <f t="shared" si="175"/>
        <v>Normal</v>
      </c>
      <c r="Q1898">
        <v>139</v>
      </c>
      <c r="R1898">
        <v>85</v>
      </c>
      <c r="S1898">
        <v>27.9</v>
      </c>
      <c r="T1898" t="str">
        <f t="shared" si="176"/>
        <v>Overweight</v>
      </c>
      <c r="U1898">
        <v>80</v>
      </c>
      <c r="V1898">
        <v>125</v>
      </c>
      <c r="W1898" t="str">
        <f t="shared" si="179"/>
        <v>Prediabetes</v>
      </c>
      <c r="X1898">
        <v>0</v>
      </c>
    </row>
    <row r="1899" spans="1:24" ht="14.5" thickBot="1" x14ac:dyDescent="0.35">
      <c r="A1899">
        <v>1</v>
      </c>
      <c r="B1899" t="str">
        <f t="shared" si="177"/>
        <v>Male</v>
      </c>
      <c r="C1899" s="8">
        <v>47</v>
      </c>
      <c r="D1899" t="str">
        <f t="shared" si="178"/>
        <v>Middle Age</v>
      </c>
      <c r="E1899">
        <v>1</v>
      </c>
      <c r="F1899" t="str">
        <f>HLOOKUP(E1899, LookUP_Table!$A$6:$D$7, 2, FALSE)</f>
        <v>Primary</v>
      </c>
      <c r="G1899" t="str">
        <f>IFERROR(VLOOKUP(E1899, LookUP_Table!$A$1:$B$4, 2, FALSE), "")</f>
        <v>Primary</v>
      </c>
      <c r="H1899">
        <v>1</v>
      </c>
      <c r="I1899">
        <v>30</v>
      </c>
      <c r="J1899" t="str">
        <f t="shared" si="174"/>
        <v>Smoker</v>
      </c>
      <c r="K1899">
        <v>0</v>
      </c>
      <c r="L1899">
        <v>0</v>
      </c>
      <c r="M1899">
        <v>0</v>
      </c>
      <c r="N1899">
        <v>0</v>
      </c>
      <c r="O1899">
        <v>277</v>
      </c>
      <c r="P1899" t="str">
        <f t="shared" si="175"/>
        <v>High</v>
      </c>
      <c r="Q1899">
        <v>137</v>
      </c>
      <c r="R1899">
        <v>86</v>
      </c>
      <c r="S1899">
        <v>26.25</v>
      </c>
      <c r="T1899" t="str">
        <f t="shared" si="176"/>
        <v>Overweight</v>
      </c>
      <c r="U1899">
        <v>75</v>
      </c>
      <c r="V1899">
        <v>85</v>
      </c>
      <c r="W1899" t="str">
        <f t="shared" si="179"/>
        <v>Normal</v>
      </c>
      <c r="X1899">
        <v>0</v>
      </c>
    </row>
    <row r="1900" spans="1:24" ht="14.5" thickBot="1" x14ac:dyDescent="0.35">
      <c r="A1900">
        <v>1</v>
      </c>
      <c r="B1900" t="str">
        <f t="shared" si="177"/>
        <v>Male</v>
      </c>
      <c r="C1900" s="8">
        <v>47</v>
      </c>
      <c r="D1900" t="str">
        <f t="shared" si="178"/>
        <v>Middle Age</v>
      </c>
      <c r="E1900">
        <v>2</v>
      </c>
      <c r="F1900" t="str">
        <f>HLOOKUP(E1900, LookUP_Table!$A$6:$D$7, 2, FALSE)</f>
        <v>Secondary</v>
      </c>
      <c r="G1900" t="str">
        <f>IFERROR(VLOOKUP(E1900, LookUP_Table!$A$1:$B$4, 2, FALSE), "")</f>
        <v>Secondary</v>
      </c>
      <c r="H1900">
        <v>1</v>
      </c>
      <c r="I1900">
        <v>20</v>
      </c>
      <c r="J1900" t="str">
        <f t="shared" si="174"/>
        <v>Smoker</v>
      </c>
      <c r="K1900">
        <v>0</v>
      </c>
      <c r="L1900">
        <v>0</v>
      </c>
      <c r="M1900">
        <v>1</v>
      </c>
      <c r="N1900">
        <v>1</v>
      </c>
      <c r="O1900">
        <v>296</v>
      </c>
      <c r="P1900" t="str">
        <f t="shared" si="175"/>
        <v>High</v>
      </c>
      <c r="Q1900">
        <v>141</v>
      </c>
      <c r="R1900">
        <v>93</v>
      </c>
      <c r="S1900">
        <v>28.5</v>
      </c>
      <c r="T1900" t="str">
        <f t="shared" si="176"/>
        <v>Overweight</v>
      </c>
      <c r="U1900">
        <v>68</v>
      </c>
      <c r="V1900">
        <v>332</v>
      </c>
      <c r="W1900" t="str">
        <f t="shared" si="179"/>
        <v>Diabetes</v>
      </c>
      <c r="X1900">
        <v>1</v>
      </c>
    </row>
    <row r="1901" spans="1:24" ht="14.5" thickBot="1" x14ac:dyDescent="0.35">
      <c r="A1901">
        <v>1</v>
      </c>
      <c r="B1901" t="str">
        <f t="shared" si="177"/>
        <v>Male</v>
      </c>
      <c r="C1901" s="8">
        <v>47</v>
      </c>
      <c r="D1901" t="str">
        <f t="shared" si="178"/>
        <v>Middle Age</v>
      </c>
      <c r="E1901">
        <v>4</v>
      </c>
      <c r="F1901" t="str">
        <f>HLOOKUP(E1901, LookUP_Table!$A$6:$D$7, 2, FALSE)</f>
        <v>Post Graduate</v>
      </c>
      <c r="G1901" t="str">
        <f>IFERROR(VLOOKUP(E1901, LookUP_Table!$A$1:$B$4, 2, FALSE), "")</f>
        <v>Post Graduate</v>
      </c>
      <c r="H1901">
        <v>0</v>
      </c>
      <c r="I1901">
        <v>0</v>
      </c>
      <c r="J1901" t="str">
        <f t="shared" si="174"/>
        <v>Non-Smoker</v>
      </c>
      <c r="K1901">
        <v>0</v>
      </c>
      <c r="L1901">
        <v>0</v>
      </c>
      <c r="M1901">
        <v>1</v>
      </c>
      <c r="N1901">
        <v>0</v>
      </c>
      <c r="O1901">
        <v>270</v>
      </c>
      <c r="P1901" t="str">
        <f t="shared" si="175"/>
        <v>High</v>
      </c>
      <c r="Q1901">
        <v>152.5</v>
      </c>
      <c r="R1901">
        <v>108</v>
      </c>
      <c r="S1901">
        <v>26.09</v>
      </c>
      <c r="T1901" t="str">
        <f t="shared" si="176"/>
        <v>Overweight</v>
      </c>
      <c r="U1901">
        <v>90</v>
      </c>
      <c r="V1901">
        <v>88</v>
      </c>
      <c r="W1901" t="str">
        <f t="shared" si="179"/>
        <v>Normal</v>
      </c>
      <c r="X1901">
        <v>1</v>
      </c>
    </row>
    <row r="1902" spans="1:24" ht="14.5" thickBot="1" x14ac:dyDescent="0.35">
      <c r="A1902">
        <v>0</v>
      </c>
      <c r="B1902" t="str">
        <f t="shared" si="177"/>
        <v>Female</v>
      </c>
      <c r="C1902" s="8">
        <v>47</v>
      </c>
      <c r="D1902" t="str">
        <f t="shared" si="178"/>
        <v>Middle Age</v>
      </c>
      <c r="E1902">
        <v>3</v>
      </c>
      <c r="F1902" t="str">
        <f>HLOOKUP(E1902, LookUP_Table!$A$6:$D$7, 2, FALSE)</f>
        <v>Graduate</v>
      </c>
      <c r="G1902" t="str">
        <f>IFERROR(VLOOKUP(E1902, LookUP_Table!$A$1:$B$4, 2, FALSE), "")</f>
        <v>Graduate</v>
      </c>
      <c r="H1902">
        <v>0</v>
      </c>
      <c r="I1902">
        <v>0</v>
      </c>
      <c r="J1902" t="str">
        <f t="shared" si="174"/>
        <v>Non-Smoker</v>
      </c>
      <c r="K1902">
        <v>0</v>
      </c>
      <c r="L1902">
        <v>0</v>
      </c>
      <c r="M1902">
        <v>0</v>
      </c>
      <c r="N1902">
        <v>0</v>
      </c>
      <c r="O1902">
        <v>230</v>
      </c>
      <c r="P1902" t="str">
        <f t="shared" si="175"/>
        <v>Normal</v>
      </c>
      <c r="Q1902">
        <v>137</v>
      </c>
      <c r="R1902">
        <v>79</v>
      </c>
      <c r="S1902">
        <v>27.13</v>
      </c>
      <c r="T1902" t="str">
        <f t="shared" si="176"/>
        <v>Overweight</v>
      </c>
      <c r="U1902">
        <v>75</v>
      </c>
      <c r="V1902">
        <v>76</v>
      </c>
      <c r="W1902" t="str">
        <f t="shared" si="179"/>
        <v>Normal</v>
      </c>
      <c r="X1902">
        <v>1</v>
      </c>
    </row>
    <row r="1903" spans="1:24" ht="14.5" thickBot="1" x14ac:dyDescent="0.35">
      <c r="A1903">
        <v>0</v>
      </c>
      <c r="B1903" t="str">
        <f t="shared" si="177"/>
        <v>Female</v>
      </c>
      <c r="C1903" s="8">
        <v>47</v>
      </c>
      <c r="D1903" t="str">
        <f t="shared" si="178"/>
        <v>Middle Age</v>
      </c>
      <c r="E1903">
        <v>1</v>
      </c>
      <c r="F1903" t="str">
        <f>HLOOKUP(E1903, LookUP_Table!$A$6:$D$7, 2, FALSE)</f>
        <v>Primary</v>
      </c>
      <c r="G1903" t="str">
        <f>IFERROR(VLOOKUP(E1903, LookUP_Table!$A$1:$B$4, 2, FALSE), "")</f>
        <v>Primary</v>
      </c>
      <c r="H1903">
        <v>1</v>
      </c>
      <c r="I1903">
        <v>30</v>
      </c>
      <c r="J1903" t="str">
        <f t="shared" si="174"/>
        <v>Smoker</v>
      </c>
      <c r="K1903">
        <v>0</v>
      </c>
      <c r="L1903">
        <v>0</v>
      </c>
      <c r="M1903">
        <v>0</v>
      </c>
      <c r="N1903">
        <v>0</v>
      </c>
      <c r="O1903">
        <v>260</v>
      </c>
      <c r="P1903" t="str">
        <f t="shared" si="175"/>
        <v>High</v>
      </c>
      <c r="Q1903">
        <v>126.5</v>
      </c>
      <c r="R1903">
        <v>81</v>
      </c>
      <c r="S1903">
        <v>26.58</v>
      </c>
      <c r="T1903" t="str">
        <f t="shared" si="176"/>
        <v>Overweight</v>
      </c>
      <c r="U1903">
        <v>90</v>
      </c>
      <c r="V1903">
        <v>82</v>
      </c>
      <c r="W1903" t="str">
        <f t="shared" si="179"/>
        <v>Normal</v>
      </c>
      <c r="X1903">
        <v>0</v>
      </c>
    </row>
    <row r="1904" spans="1:24" ht="14.5" thickBot="1" x14ac:dyDescent="0.35">
      <c r="A1904">
        <v>0</v>
      </c>
      <c r="B1904" t="str">
        <f t="shared" si="177"/>
        <v>Female</v>
      </c>
      <c r="C1904" s="8">
        <v>47</v>
      </c>
      <c r="D1904" t="str">
        <f t="shared" si="178"/>
        <v>Middle Age</v>
      </c>
      <c r="E1904">
        <v>1</v>
      </c>
      <c r="F1904" t="str">
        <f>HLOOKUP(E1904, LookUP_Table!$A$6:$D$7, 2, FALSE)</f>
        <v>Primary</v>
      </c>
      <c r="G1904" t="str">
        <f>IFERROR(VLOOKUP(E1904, LookUP_Table!$A$1:$B$4, 2, FALSE), "")</f>
        <v>Primary</v>
      </c>
      <c r="H1904">
        <v>0</v>
      </c>
      <c r="I1904">
        <v>0</v>
      </c>
      <c r="J1904" t="str">
        <f t="shared" si="174"/>
        <v>Non-Smoker</v>
      </c>
      <c r="K1904">
        <v>0</v>
      </c>
      <c r="L1904">
        <v>0</v>
      </c>
      <c r="M1904">
        <v>0</v>
      </c>
      <c r="N1904">
        <v>0</v>
      </c>
      <c r="O1904">
        <v>200</v>
      </c>
      <c r="P1904" t="str">
        <f t="shared" si="175"/>
        <v>Normal</v>
      </c>
      <c r="Q1904">
        <v>126</v>
      </c>
      <c r="R1904">
        <v>86</v>
      </c>
      <c r="S1904">
        <v>26.32</v>
      </c>
      <c r="T1904" t="str">
        <f t="shared" si="176"/>
        <v>Overweight</v>
      </c>
      <c r="U1904">
        <v>73</v>
      </c>
      <c r="V1904">
        <v>92</v>
      </c>
      <c r="W1904" t="str">
        <f t="shared" si="179"/>
        <v>Normal</v>
      </c>
      <c r="X1904">
        <v>1</v>
      </c>
    </row>
    <row r="1905" spans="1:24" ht="14.5" thickBot="1" x14ac:dyDescent="0.35">
      <c r="A1905">
        <v>1</v>
      </c>
      <c r="B1905" t="str">
        <f t="shared" si="177"/>
        <v>Male</v>
      </c>
      <c r="C1905" s="8">
        <v>47</v>
      </c>
      <c r="D1905" t="str">
        <f t="shared" si="178"/>
        <v>Middle Age</v>
      </c>
      <c r="E1905">
        <v>2</v>
      </c>
      <c r="F1905" t="str">
        <f>HLOOKUP(E1905, LookUP_Table!$A$6:$D$7, 2, FALSE)</f>
        <v>Secondary</v>
      </c>
      <c r="G1905" t="str">
        <f>IFERROR(VLOOKUP(E1905, LookUP_Table!$A$1:$B$4, 2, FALSE), "")</f>
        <v>Secondary</v>
      </c>
      <c r="H1905">
        <v>1</v>
      </c>
      <c r="I1905">
        <v>30</v>
      </c>
      <c r="J1905" t="str">
        <f t="shared" si="174"/>
        <v>Smoker</v>
      </c>
      <c r="K1905">
        <v>0</v>
      </c>
      <c r="L1905">
        <v>0</v>
      </c>
      <c r="M1905">
        <v>0</v>
      </c>
      <c r="N1905">
        <v>0</v>
      </c>
      <c r="O1905">
        <v>271</v>
      </c>
      <c r="P1905" t="str">
        <f t="shared" si="175"/>
        <v>High</v>
      </c>
      <c r="Q1905">
        <v>150</v>
      </c>
      <c r="R1905">
        <v>74</v>
      </c>
      <c r="S1905">
        <v>20.7</v>
      </c>
      <c r="T1905" t="str">
        <f t="shared" si="176"/>
        <v>Normal</v>
      </c>
      <c r="U1905">
        <v>70</v>
      </c>
      <c r="V1905">
        <v>81.96365524402907</v>
      </c>
      <c r="W1905" t="str">
        <f t="shared" si="179"/>
        <v>Normal</v>
      </c>
      <c r="X1905">
        <v>0</v>
      </c>
    </row>
    <row r="1906" spans="1:24" ht="14.5" thickBot="1" x14ac:dyDescent="0.35">
      <c r="A1906">
        <v>1</v>
      </c>
      <c r="B1906" t="str">
        <f t="shared" si="177"/>
        <v>Male</v>
      </c>
      <c r="C1906" s="8">
        <v>47</v>
      </c>
      <c r="D1906" t="str">
        <f t="shared" si="178"/>
        <v>Middle Age</v>
      </c>
      <c r="E1906">
        <v>2</v>
      </c>
      <c r="F1906" t="str">
        <f>HLOOKUP(E1906, LookUP_Table!$A$6:$D$7, 2, FALSE)</f>
        <v>Secondary</v>
      </c>
      <c r="G1906" t="str">
        <f>IFERROR(VLOOKUP(E1906, LookUP_Table!$A$1:$B$4, 2, FALSE), "")</f>
        <v>Secondary</v>
      </c>
      <c r="H1906">
        <v>1</v>
      </c>
      <c r="I1906">
        <v>20</v>
      </c>
      <c r="J1906" t="str">
        <f t="shared" si="174"/>
        <v>Smoker</v>
      </c>
      <c r="K1906">
        <v>0</v>
      </c>
      <c r="L1906">
        <v>0</v>
      </c>
      <c r="M1906">
        <v>0</v>
      </c>
      <c r="N1906">
        <v>0</v>
      </c>
      <c r="O1906">
        <v>119</v>
      </c>
      <c r="P1906" t="str">
        <f t="shared" si="175"/>
        <v>Normal</v>
      </c>
      <c r="Q1906">
        <v>117</v>
      </c>
      <c r="R1906">
        <v>78.5</v>
      </c>
      <c r="S1906">
        <v>26.4</v>
      </c>
      <c r="T1906" t="str">
        <f t="shared" si="176"/>
        <v>Overweight</v>
      </c>
      <c r="U1906">
        <v>75</v>
      </c>
      <c r="V1906">
        <v>78</v>
      </c>
      <c r="W1906" t="str">
        <f t="shared" si="179"/>
        <v>Normal</v>
      </c>
      <c r="X1906">
        <v>0</v>
      </c>
    </row>
    <row r="1907" spans="1:24" ht="14.5" thickBot="1" x14ac:dyDescent="0.35">
      <c r="A1907">
        <v>1</v>
      </c>
      <c r="B1907" t="str">
        <f t="shared" si="177"/>
        <v>Male</v>
      </c>
      <c r="C1907" s="8">
        <v>47</v>
      </c>
      <c r="D1907" t="str">
        <f t="shared" si="178"/>
        <v>Middle Age</v>
      </c>
      <c r="E1907">
        <v>1</v>
      </c>
      <c r="F1907" t="str">
        <f>HLOOKUP(E1907, LookUP_Table!$A$6:$D$7, 2, FALSE)</f>
        <v>Primary</v>
      </c>
      <c r="G1907" t="str">
        <f>IFERROR(VLOOKUP(E1907, LookUP_Table!$A$1:$B$4, 2, FALSE), "")</f>
        <v>Primary</v>
      </c>
      <c r="H1907">
        <v>0</v>
      </c>
      <c r="I1907">
        <v>0</v>
      </c>
      <c r="J1907" t="str">
        <f t="shared" si="174"/>
        <v>Non-Smoker</v>
      </c>
      <c r="K1907">
        <v>0</v>
      </c>
      <c r="L1907">
        <v>0</v>
      </c>
      <c r="M1907">
        <v>1</v>
      </c>
      <c r="N1907">
        <v>0</v>
      </c>
      <c r="O1907">
        <v>254</v>
      </c>
      <c r="P1907" t="str">
        <f t="shared" si="175"/>
        <v>High</v>
      </c>
      <c r="Q1907">
        <v>137.5</v>
      </c>
      <c r="R1907">
        <v>91</v>
      </c>
      <c r="S1907">
        <v>31.98</v>
      </c>
      <c r="T1907" t="str">
        <f t="shared" si="176"/>
        <v>Obese</v>
      </c>
      <c r="U1907">
        <v>75</v>
      </c>
      <c r="V1907">
        <v>69</v>
      </c>
      <c r="W1907" t="str">
        <f t="shared" si="179"/>
        <v>Normal</v>
      </c>
      <c r="X1907">
        <v>0</v>
      </c>
    </row>
    <row r="1908" spans="1:24" ht="14.5" thickBot="1" x14ac:dyDescent="0.35">
      <c r="A1908">
        <v>1</v>
      </c>
      <c r="B1908" t="str">
        <f t="shared" si="177"/>
        <v>Male</v>
      </c>
      <c r="C1908" s="8">
        <v>47</v>
      </c>
      <c r="D1908" t="str">
        <f t="shared" si="178"/>
        <v>Middle Age</v>
      </c>
      <c r="E1908">
        <v>1</v>
      </c>
      <c r="F1908" t="str">
        <f>HLOOKUP(E1908, LookUP_Table!$A$6:$D$7, 2, FALSE)</f>
        <v>Primary</v>
      </c>
      <c r="G1908" t="str">
        <f>IFERROR(VLOOKUP(E1908, LookUP_Table!$A$1:$B$4, 2, FALSE), "")</f>
        <v>Primary</v>
      </c>
      <c r="H1908">
        <v>1</v>
      </c>
      <c r="I1908">
        <v>20</v>
      </c>
      <c r="J1908" t="str">
        <f t="shared" si="174"/>
        <v>Smoker</v>
      </c>
      <c r="K1908">
        <v>0</v>
      </c>
      <c r="L1908">
        <v>0</v>
      </c>
      <c r="M1908">
        <v>1</v>
      </c>
      <c r="N1908">
        <v>0</v>
      </c>
      <c r="O1908">
        <v>290</v>
      </c>
      <c r="P1908" t="str">
        <f t="shared" si="175"/>
        <v>High</v>
      </c>
      <c r="Q1908">
        <v>143</v>
      </c>
      <c r="R1908">
        <v>88</v>
      </c>
      <c r="S1908">
        <v>27.4</v>
      </c>
      <c r="T1908" t="str">
        <f t="shared" si="176"/>
        <v>Overweight</v>
      </c>
      <c r="U1908">
        <v>96</v>
      </c>
      <c r="V1908">
        <v>77</v>
      </c>
      <c r="W1908" t="str">
        <f t="shared" si="179"/>
        <v>Normal</v>
      </c>
      <c r="X1908">
        <v>0</v>
      </c>
    </row>
    <row r="1909" spans="1:24" ht="14.5" thickBot="1" x14ac:dyDescent="0.35">
      <c r="A1909">
        <v>1</v>
      </c>
      <c r="B1909" t="str">
        <f t="shared" si="177"/>
        <v>Male</v>
      </c>
      <c r="C1909" s="8">
        <v>47</v>
      </c>
      <c r="D1909" t="str">
        <f t="shared" si="178"/>
        <v>Middle Age</v>
      </c>
      <c r="E1909">
        <v>1</v>
      </c>
      <c r="F1909" t="str">
        <f>HLOOKUP(E1909, LookUP_Table!$A$6:$D$7, 2, FALSE)</f>
        <v>Primary</v>
      </c>
      <c r="G1909" t="str">
        <f>IFERROR(VLOOKUP(E1909, LookUP_Table!$A$1:$B$4, 2, FALSE), "")</f>
        <v>Primary</v>
      </c>
      <c r="H1909">
        <v>0</v>
      </c>
      <c r="I1909">
        <v>0</v>
      </c>
      <c r="J1909" t="str">
        <f t="shared" si="174"/>
        <v>Non-Smoker</v>
      </c>
      <c r="K1909">
        <v>0</v>
      </c>
      <c r="L1909">
        <v>0</v>
      </c>
      <c r="M1909">
        <v>1</v>
      </c>
      <c r="N1909">
        <v>0</v>
      </c>
      <c r="O1909">
        <v>283</v>
      </c>
      <c r="P1909" t="str">
        <f t="shared" si="175"/>
        <v>High</v>
      </c>
      <c r="Q1909">
        <v>146.5</v>
      </c>
      <c r="R1909">
        <v>97.5</v>
      </c>
      <c r="S1909">
        <v>26.25</v>
      </c>
      <c r="T1909" t="str">
        <f t="shared" si="176"/>
        <v>Overweight</v>
      </c>
      <c r="U1909">
        <v>66</v>
      </c>
      <c r="V1909">
        <v>73</v>
      </c>
      <c r="W1909" t="str">
        <f t="shared" si="179"/>
        <v>Normal</v>
      </c>
      <c r="X1909">
        <v>0</v>
      </c>
    </row>
    <row r="1910" spans="1:24" ht="14.5" thickBot="1" x14ac:dyDescent="0.35">
      <c r="A1910">
        <v>1</v>
      </c>
      <c r="B1910" t="str">
        <f t="shared" si="177"/>
        <v>Male</v>
      </c>
      <c r="C1910" s="8">
        <v>47</v>
      </c>
      <c r="D1910" t="str">
        <f t="shared" si="178"/>
        <v>Middle Age</v>
      </c>
      <c r="E1910">
        <v>2</v>
      </c>
      <c r="F1910" t="str">
        <f>HLOOKUP(E1910, LookUP_Table!$A$6:$D$7, 2, FALSE)</f>
        <v>Secondary</v>
      </c>
      <c r="G1910" t="str">
        <f>IFERROR(VLOOKUP(E1910, LookUP_Table!$A$1:$B$4, 2, FALSE), "")</f>
        <v>Secondary</v>
      </c>
      <c r="H1910">
        <v>1</v>
      </c>
      <c r="I1910">
        <v>20</v>
      </c>
      <c r="J1910" t="str">
        <f t="shared" si="174"/>
        <v>Smoker</v>
      </c>
      <c r="K1910">
        <v>0</v>
      </c>
      <c r="L1910">
        <v>0</v>
      </c>
      <c r="M1910">
        <v>1</v>
      </c>
      <c r="N1910">
        <v>0</v>
      </c>
      <c r="O1910">
        <v>234</v>
      </c>
      <c r="P1910" t="str">
        <f t="shared" si="175"/>
        <v>Normal</v>
      </c>
      <c r="Q1910">
        <v>162</v>
      </c>
      <c r="R1910">
        <v>110</v>
      </c>
      <c r="S1910">
        <v>27.51</v>
      </c>
      <c r="T1910" t="str">
        <f t="shared" si="176"/>
        <v>Overweight</v>
      </c>
      <c r="U1910">
        <v>80</v>
      </c>
      <c r="V1910">
        <v>85</v>
      </c>
      <c r="W1910" t="str">
        <f t="shared" si="179"/>
        <v>Normal</v>
      </c>
      <c r="X1910">
        <v>0</v>
      </c>
    </row>
    <row r="1911" spans="1:24" ht="14.5" thickBot="1" x14ac:dyDescent="0.35">
      <c r="A1911">
        <v>1</v>
      </c>
      <c r="B1911" t="str">
        <f t="shared" si="177"/>
        <v>Male</v>
      </c>
      <c r="C1911" s="8">
        <v>47</v>
      </c>
      <c r="D1911" t="str">
        <f t="shared" si="178"/>
        <v>Middle Age</v>
      </c>
      <c r="E1911">
        <v>4</v>
      </c>
      <c r="F1911" t="str">
        <f>HLOOKUP(E1911, LookUP_Table!$A$6:$D$7, 2, FALSE)</f>
        <v>Post Graduate</v>
      </c>
      <c r="G1911" t="str">
        <f>IFERROR(VLOOKUP(E1911, LookUP_Table!$A$1:$B$4, 2, FALSE), "")</f>
        <v>Post Graduate</v>
      </c>
      <c r="H1911">
        <v>1</v>
      </c>
      <c r="I1911">
        <v>43</v>
      </c>
      <c r="J1911" t="str">
        <f t="shared" si="174"/>
        <v>Smoker</v>
      </c>
      <c r="K1911">
        <v>0</v>
      </c>
      <c r="L1911">
        <v>0</v>
      </c>
      <c r="M1911">
        <v>0</v>
      </c>
      <c r="N1911">
        <v>0</v>
      </c>
      <c r="O1911">
        <v>227</v>
      </c>
      <c r="P1911" t="str">
        <f t="shared" si="175"/>
        <v>Normal</v>
      </c>
      <c r="Q1911">
        <v>126</v>
      </c>
      <c r="R1911">
        <v>84</v>
      </c>
      <c r="S1911">
        <v>19.14</v>
      </c>
      <c r="T1911" t="str">
        <f t="shared" si="176"/>
        <v>Normal</v>
      </c>
      <c r="U1911">
        <v>68</v>
      </c>
      <c r="V1911">
        <v>74</v>
      </c>
      <c r="W1911" t="str">
        <f t="shared" si="179"/>
        <v>Normal</v>
      </c>
      <c r="X1911">
        <v>1</v>
      </c>
    </row>
    <row r="1912" spans="1:24" ht="14.5" thickBot="1" x14ac:dyDescent="0.35">
      <c r="A1912">
        <v>0</v>
      </c>
      <c r="B1912" t="str">
        <f t="shared" si="177"/>
        <v>Female</v>
      </c>
      <c r="C1912" s="8">
        <v>47</v>
      </c>
      <c r="D1912" t="str">
        <f t="shared" si="178"/>
        <v>Middle Age</v>
      </c>
      <c r="E1912">
        <v>3</v>
      </c>
      <c r="F1912" t="str">
        <f>HLOOKUP(E1912, LookUP_Table!$A$6:$D$7, 2, FALSE)</f>
        <v>Graduate</v>
      </c>
      <c r="G1912" t="str">
        <f>IFERROR(VLOOKUP(E1912, LookUP_Table!$A$1:$B$4, 2, FALSE), "")</f>
        <v>Graduate</v>
      </c>
      <c r="H1912">
        <v>1</v>
      </c>
      <c r="I1912">
        <v>9</v>
      </c>
      <c r="J1912" t="str">
        <f t="shared" si="174"/>
        <v>Smoker</v>
      </c>
      <c r="K1912">
        <v>0</v>
      </c>
      <c r="L1912">
        <v>0</v>
      </c>
      <c r="M1912">
        <v>0</v>
      </c>
      <c r="N1912">
        <v>0</v>
      </c>
      <c r="O1912">
        <v>221</v>
      </c>
      <c r="P1912" t="str">
        <f t="shared" si="175"/>
        <v>Normal</v>
      </c>
      <c r="Q1912">
        <v>127.5</v>
      </c>
      <c r="R1912">
        <v>75</v>
      </c>
      <c r="S1912">
        <v>23.78</v>
      </c>
      <c r="T1912" t="str">
        <f t="shared" si="176"/>
        <v>Normal</v>
      </c>
      <c r="U1912">
        <v>69</v>
      </c>
      <c r="V1912">
        <v>73</v>
      </c>
      <c r="W1912" t="str">
        <f t="shared" si="179"/>
        <v>Normal</v>
      </c>
      <c r="X1912">
        <v>0</v>
      </c>
    </row>
    <row r="1913" spans="1:24" ht="14.5" thickBot="1" x14ac:dyDescent="0.35">
      <c r="A1913">
        <v>1</v>
      </c>
      <c r="B1913" t="str">
        <f t="shared" si="177"/>
        <v>Male</v>
      </c>
      <c r="C1913" s="8">
        <v>47</v>
      </c>
      <c r="D1913" t="str">
        <f t="shared" si="178"/>
        <v>Middle Age</v>
      </c>
      <c r="E1913">
        <v>2</v>
      </c>
      <c r="F1913" t="str">
        <f>HLOOKUP(E1913, LookUP_Table!$A$6:$D$7, 2, FALSE)</f>
        <v>Secondary</v>
      </c>
      <c r="G1913" t="str">
        <f>IFERROR(VLOOKUP(E1913, LookUP_Table!$A$1:$B$4, 2, FALSE), "")</f>
        <v>Secondary</v>
      </c>
      <c r="H1913">
        <v>1</v>
      </c>
      <c r="I1913">
        <v>3</v>
      </c>
      <c r="J1913" t="str">
        <f t="shared" si="174"/>
        <v>Smoker</v>
      </c>
      <c r="K1913">
        <v>0</v>
      </c>
      <c r="L1913">
        <v>0</v>
      </c>
      <c r="M1913">
        <v>0</v>
      </c>
      <c r="N1913">
        <v>0</v>
      </c>
      <c r="O1913">
        <v>198</v>
      </c>
      <c r="P1913" t="str">
        <f t="shared" si="175"/>
        <v>Normal</v>
      </c>
      <c r="Q1913">
        <v>120</v>
      </c>
      <c r="R1913">
        <v>80</v>
      </c>
      <c r="S1913">
        <v>25.23</v>
      </c>
      <c r="T1913" t="str">
        <f t="shared" si="176"/>
        <v>Overweight</v>
      </c>
      <c r="U1913">
        <v>75</v>
      </c>
      <c r="V1913">
        <v>76</v>
      </c>
      <c r="W1913" t="str">
        <f t="shared" si="179"/>
        <v>Normal</v>
      </c>
      <c r="X1913">
        <v>0</v>
      </c>
    </row>
    <row r="1914" spans="1:24" ht="14.5" thickBot="1" x14ac:dyDescent="0.35">
      <c r="A1914">
        <v>1</v>
      </c>
      <c r="B1914" t="str">
        <f t="shared" si="177"/>
        <v>Male</v>
      </c>
      <c r="C1914" s="8">
        <v>48</v>
      </c>
      <c r="D1914" t="str">
        <f t="shared" si="178"/>
        <v>Middle Age</v>
      </c>
      <c r="E1914">
        <v>1</v>
      </c>
      <c r="F1914" t="str">
        <f>HLOOKUP(E1914, LookUP_Table!$A$6:$D$7, 2, FALSE)</f>
        <v>Primary</v>
      </c>
      <c r="G1914" t="str">
        <f>IFERROR(VLOOKUP(E1914, LookUP_Table!$A$1:$B$4, 2, FALSE), "")</f>
        <v>Primary</v>
      </c>
      <c r="H1914">
        <v>1</v>
      </c>
      <c r="I1914">
        <v>20</v>
      </c>
      <c r="J1914" t="str">
        <f t="shared" si="174"/>
        <v>Smoker</v>
      </c>
      <c r="K1914">
        <v>0</v>
      </c>
      <c r="L1914">
        <v>0</v>
      </c>
      <c r="M1914">
        <v>0</v>
      </c>
      <c r="N1914">
        <v>0</v>
      </c>
      <c r="O1914">
        <v>245</v>
      </c>
      <c r="P1914" t="str">
        <f t="shared" si="175"/>
        <v>High</v>
      </c>
      <c r="Q1914">
        <v>127.5</v>
      </c>
      <c r="R1914">
        <v>80</v>
      </c>
      <c r="S1914">
        <v>25.34</v>
      </c>
      <c r="T1914" t="str">
        <f t="shared" si="176"/>
        <v>Overweight</v>
      </c>
      <c r="U1914">
        <v>75</v>
      </c>
      <c r="V1914">
        <v>70</v>
      </c>
      <c r="W1914" t="str">
        <f t="shared" si="179"/>
        <v>Normal</v>
      </c>
      <c r="X1914">
        <v>0</v>
      </c>
    </row>
    <row r="1915" spans="1:24" ht="14.5" thickBot="1" x14ac:dyDescent="0.35">
      <c r="A1915">
        <v>1</v>
      </c>
      <c r="B1915" t="str">
        <f t="shared" si="177"/>
        <v>Male</v>
      </c>
      <c r="C1915" s="8">
        <v>48</v>
      </c>
      <c r="D1915" t="str">
        <f t="shared" si="178"/>
        <v>Middle Age</v>
      </c>
      <c r="E1915">
        <v>3</v>
      </c>
      <c r="F1915" t="str">
        <f>HLOOKUP(E1915, LookUP_Table!$A$6:$D$7, 2, FALSE)</f>
        <v>Graduate</v>
      </c>
      <c r="G1915" t="str">
        <f>IFERROR(VLOOKUP(E1915, LookUP_Table!$A$1:$B$4, 2, FALSE), "")</f>
        <v>Graduate</v>
      </c>
      <c r="H1915">
        <v>1</v>
      </c>
      <c r="I1915">
        <v>10</v>
      </c>
      <c r="J1915" t="str">
        <f t="shared" si="174"/>
        <v>Smoker</v>
      </c>
      <c r="K1915">
        <v>0</v>
      </c>
      <c r="L1915">
        <v>0</v>
      </c>
      <c r="M1915">
        <v>1</v>
      </c>
      <c r="N1915">
        <v>0</v>
      </c>
      <c r="O1915">
        <v>232</v>
      </c>
      <c r="P1915" t="str">
        <f t="shared" si="175"/>
        <v>Normal</v>
      </c>
      <c r="Q1915">
        <v>138</v>
      </c>
      <c r="R1915">
        <v>90</v>
      </c>
      <c r="S1915">
        <v>22.37</v>
      </c>
      <c r="T1915" t="str">
        <f t="shared" si="176"/>
        <v>Normal</v>
      </c>
      <c r="U1915">
        <v>64</v>
      </c>
      <c r="V1915">
        <v>72</v>
      </c>
      <c r="W1915" t="str">
        <f t="shared" si="179"/>
        <v>Normal</v>
      </c>
      <c r="X1915">
        <v>0</v>
      </c>
    </row>
    <row r="1916" spans="1:24" ht="14.5" thickBot="1" x14ac:dyDescent="0.35">
      <c r="A1916">
        <v>0</v>
      </c>
      <c r="B1916" t="str">
        <f t="shared" si="177"/>
        <v>Female</v>
      </c>
      <c r="C1916" s="8">
        <v>48</v>
      </c>
      <c r="D1916" t="str">
        <f t="shared" si="178"/>
        <v>Middle Age</v>
      </c>
      <c r="E1916">
        <v>1</v>
      </c>
      <c r="F1916" t="str">
        <f>HLOOKUP(E1916, LookUP_Table!$A$6:$D$7, 2, FALSE)</f>
        <v>Primary</v>
      </c>
      <c r="G1916" t="str">
        <f>IFERROR(VLOOKUP(E1916, LookUP_Table!$A$1:$B$4, 2, FALSE), "")</f>
        <v>Primary</v>
      </c>
      <c r="H1916">
        <v>0</v>
      </c>
      <c r="I1916">
        <v>0</v>
      </c>
      <c r="J1916" t="str">
        <f t="shared" si="174"/>
        <v>Non-Smoker</v>
      </c>
      <c r="K1916">
        <v>0</v>
      </c>
      <c r="L1916">
        <v>0</v>
      </c>
      <c r="M1916">
        <v>1</v>
      </c>
      <c r="N1916">
        <v>0</v>
      </c>
      <c r="O1916">
        <v>265</v>
      </c>
      <c r="P1916" t="str">
        <f t="shared" si="175"/>
        <v>High</v>
      </c>
      <c r="Q1916">
        <v>145</v>
      </c>
      <c r="R1916">
        <v>77</v>
      </c>
      <c r="S1916">
        <v>24.23</v>
      </c>
      <c r="T1916" t="str">
        <f t="shared" si="176"/>
        <v>Normal</v>
      </c>
      <c r="U1916">
        <v>74</v>
      </c>
      <c r="V1916">
        <v>64</v>
      </c>
      <c r="W1916" t="str">
        <f t="shared" si="179"/>
        <v>Normal</v>
      </c>
      <c r="X1916">
        <v>0</v>
      </c>
    </row>
    <row r="1917" spans="1:24" ht="14.5" thickBot="1" x14ac:dyDescent="0.35">
      <c r="A1917">
        <v>1</v>
      </c>
      <c r="B1917" t="str">
        <f t="shared" si="177"/>
        <v>Male</v>
      </c>
      <c r="C1917" s="8">
        <v>48</v>
      </c>
      <c r="D1917" t="str">
        <f t="shared" si="178"/>
        <v>Middle Age</v>
      </c>
      <c r="E1917">
        <v>4</v>
      </c>
      <c r="F1917" t="str">
        <f>HLOOKUP(E1917, LookUP_Table!$A$6:$D$7, 2, FALSE)</f>
        <v>Post Graduate</v>
      </c>
      <c r="G1917" t="str">
        <f>IFERROR(VLOOKUP(E1917, LookUP_Table!$A$1:$B$4, 2, FALSE), "")</f>
        <v>Post Graduate</v>
      </c>
      <c r="H1917">
        <v>0</v>
      </c>
      <c r="I1917">
        <v>0</v>
      </c>
      <c r="J1917" t="str">
        <f t="shared" si="174"/>
        <v>Non-Smoker</v>
      </c>
      <c r="K1917">
        <v>0</v>
      </c>
      <c r="L1917">
        <v>0</v>
      </c>
      <c r="M1917">
        <v>0</v>
      </c>
      <c r="N1917">
        <v>0</v>
      </c>
      <c r="O1917">
        <v>233</v>
      </c>
      <c r="P1917" t="str">
        <f t="shared" si="175"/>
        <v>Normal</v>
      </c>
      <c r="Q1917">
        <v>138</v>
      </c>
      <c r="R1917">
        <v>88.5</v>
      </c>
      <c r="S1917">
        <v>23.62</v>
      </c>
      <c r="T1917" t="str">
        <f t="shared" si="176"/>
        <v>Normal</v>
      </c>
      <c r="U1917">
        <v>86</v>
      </c>
      <c r="V1917">
        <v>68</v>
      </c>
      <c r="W1917" t="str">
        <f t="shared" si="179"/>
        <v>Normal</v>
      </c>
      <c r="X1917">
        <v>0</v>
      </c>
    </row>
    <row r="1918" spans="1:24" ht="14.5" thickBot="1" x14ac:dyDescent="0.35">
      <c r="A1918">
        <v>1</v>
      </c>
      <c r="B1918" t="str">
        <f t="shared" si="177"/>
        <v>Male</v>
      </c>
      <c r="C1918" s="8">
        <v>48</v>
      </c>
      <c r="D1918" t="str">
        <f t="shared" si="178"/>
        <v>Middle Age</v>
      </c>
      <c r="E1918">
        <v>4</v>
      </c>
      <c r="F1918" t="str">
        <f>HLOOKUP(E1918, LookUP_Table!$A$6:$D$7, 2, FALSE)</f>
        <v>Post Graduate</v>
      </c>
      <c r="G1918" t="str">
        <f>IFERROR(VLOOKUP(E1918, LookUP_Table!$A$1:$B$4, 2, FALSE), "")</f>
        <v>Post Graduate</v>
      </c>
      <c r="H1918">
        <v>0</v>
      </c>
      <c r="I1918">
        <v>0</v>
      </c>
      <c r="J1918" t="str">
        <f t="shared" si="174"/>
        <v>Non-Smoker</v>
      </c>
      <c r="K1918">
        <v>0</v>
      </c>
      <c r="L1918">
        <v>0</v>
      </c>
      <c r="M1918">
        <v>1</v>
      </c>
      <c r="N1918">
        <v>0</v>
      </c>
      <c r="O1918">
        <v>293</v>
      </c>
      <c r="P1918" t="str">
        <f t="shared" si="175"/>
        <v>High</v>
      </c>
      <c r="Q1918">
        <v>149</v>
      </c>
      <c r="R1918">
        <v>100</v>
      </c>
      <c r="S1918">
        <v>31.61</v>
      </c>
      <c r="T1918" t="str">
        <f t="shared" si="176"/>
        <v>Obese</v>
      </c>
      <c r="U1918">
        <v>87</v>
      </c>
      <c r="V1918">
        <v>76</v>
      </c>
      <c r="W1918" t="str">
        <f t="shared" si="179"/>
        <v>Normal</v>
      </c>
      <c r="X1918">
        <v>1</v>
      </c>
    </row>
    <row r="1919" spans="1:24" ht="14.5" thickBot="1" x14ac:dyDescent="0.35">
      <c r="A1919">
        <v>1</v>
      </c>
      <c r="B1919" t="str">
        <f t="shared" si="177"/>
        <v>Male</v>
      </c>
      <c r="C1919" s="8">
        <v>48</v>
      </c>
      <c r="D1919" t="str">
        <f t="shared" si="178"/>
        <v>Middle Age</v>
      </c>
      <c r="E1919">
        <v>1</v>
      </c>
      <c r="F1919" t="str">
        <f>HLOOKUP(E1919, LookUP_Table!$A$6:$D$7, 2, FALSE)</f>
        <v>Primary</v>
      </c>
      <c r="G1919" t="str">
        <f>IFERROR(VLOOKUP(E1919, LookUP_Table!$A$1:$B$4, 2, FALSE), "")</f>
        <v>Primary</v>
      </c>
      <c r="H1919">
        <v>1</v>
      </c>
      <c r="I1919">
        <v>20</v>
      </c>
      <c r="J1919" t="str">
        <f t="shared" si="174"/>
        <v>Smoker</v>
      </c>
      <c r="K1919">
        <v>0</v>
      </c>
      <c r="L1919">
        <v>0</v>
      </c>
      <c r="M1919">
        <v>0</v>
      </c>
      <c r="N1919">
        <v>0</v>
      </c>
      <c r="O1919">
        <v>210</v>
      </c>
      <c r="P1919" t="str">
        <f t="shared" si="175"/>
        <v>Normal</v>
      </c>
      <c r="Q1919">
        <v>109</v>
      </c>
      <c r="R1919">
        <v>77</v>
      </c>
      <c r="S1919">
        <v>24.12</v>
      </c>
      <c r="T1919" t="str">
        <f t="shared" si="176"/>
        <v>Normal</v>
      </c>
      <c r="U1919">
        <v>73</v>
      </c>
      <c r="V1919">
        <v>79</v>
      </c>
      <c r="W1919" t="str">
        <f t="shared" si="179"/>
        <v>Normal</v>
      </c>
      <c r="X1919">
        <v>1</v>
      </c>
    </row>
    <row r="1920" spans="1:24" ht="14.5" thickBot="1" x14ac:dyDescent="0.35">
      <c r="A1920">
        <v>1</v>
      </c>
      <c r="B1920" t="str">
        <f t="shared" si="177"/>
        <v>Male</v>
      </c>
      <c r="C1920" s="8">
        <v>48</v>
      </c>
      <c r="D1920" t="str">
        <f t="shared" si="178"/>
        <v>Middle Age</v>
      </c>
      <c r="E1920">
        <v>1</v>
      </c>
      <c r="F1920" t="str">
        <f>HLOOKUP(E1920, LookUP_Table!$A$6:$D$7, 2, FALSE)</f>
        <v>Primary</v>
      </c>
      <c r="G1920" t="str">
        <f>IFERROR(VLOOKUP(E1920, LookUP_Table!$A$1:$B$4, 2, FALSE), "")</f>
        <v>Primary</v>
      </c>
      <c r="H1920">
        <v>1</v>
      </c>
      <c r="I1920">
        <v>10</v>
      </c>
      <c r="J1920" t="str">
        <f t="shared" si="174"/>
        <v>Smoker</v>
      </c>
      <c r="K1920">
        <v>0</v>
      </c>
      <c r="L1920">
        <v>0</v>
      </c>
      <c r="M1920">
        <v>0</v>
      </c>
      <c r="N1920">
        <v>0</v>
      </c>
      <c r="O1920">
        <v>308</v>
      </c>
      <c r="P1920" t="str">
        <f t="shared" si="175"/>
        <v>High</v>
      </c>
      <c r="Q1920">
        <v>117</v>
      </c>
      <c r="R1920">
        <v>76</v>
      </c>
      <c r="S1920">
        <v>30.85</v>
      </c>
      <c r="T1920" t="str">
        <f t="shared" si="176"/>
        <v>Obese</v>
      </c>
      <c r="U1920">
        <v>65</v>
      </c>
      <c r="V1920">
        <v>54</v>
      </c>
      <c r="W1920" t="str">
        <f t="shared" si="179"/>
        <v>Normal</v>
      </c>
      <c r="X1920">
        <v>1</v>
      </c>
    </row>
    <row r="1921" spans="1:24" ht="14.5" thickBot="1" x14ac:dyDescent="0.35">
      <c r="A1921">
        <v>0</v>
      </c>
      <c r="B1921" t="str">
        <f t="shared" si="177"/>
        <v>Female</v>
      </c>
      <c r="C1921" s="8">
        <v>48</v>
      </c>
      <c r="D1921" t="str">
        <f t="shared" si="178"/>
        <v>Middle Age</v>
      </c>
      <c r="E1921">
        <v>2</v>
      </c>
      <c r="F1921" t="str">
        <f>HLOOKUP(E1921, LookUP_Table!$A$6:$D$7, 2, FALSE)</f>
        <v>Secondary</v>
      </c>
      <c r="G1921" t="str">
        <f>IFERROR(VLOOKUP(E1921, LookUP_Table!$A$1:$B$4, 2, FALSE), "")</f>
        <v>Secondary</v>
      </c>
      <c r="H1921">
        <v>0</v>
      </c>
      <c r="I1921">
        <v>0</v>
      </c>
      <c r="J1921" t="str">
        <f t="shared" si="174"/>
        <v>Non-Smoker</v>
      </c>
      <c r="K1921">
        <v>0</v>
      </c>
      <c r="L1921">
        <v>0</v>
      </c>
      <c r="M1921">
        <v>0</v>
      </c>
      <c r="N1921">
        <v>0</v>
      </c>
      <c r="O1921">
        <v>196</v>
      </c>
      <c r="P1921" t="str">
        <f t="shared" si="175"/>
        <v>Normal</v>
      </c>
      <c r="Q1921">
        <v>96</v>
      </c>
      <c r="R1921">
        <v>70</v>
      </c>
      <c r="S1921">
        <v>22.72</v>
      </c>
      <c r="T1921" t="str">
        <f t="shared" si="176"/>
        <v>Normal</v>
      </c>
      <c r="U1921">
        <v>60</v>
      </c>
      <c r="V1921">
        <v>68</v>
      </c>
      <c r="W1921" t="str">
        <f t="shared" si="179"/>
        <v>Normal</v>
      </c>
      <c r="X1921">
        <v>0</v>
      </c>
    </row>
    <row r="1922" spans="1:24" ht="14.5" thickBot="1" x14ac:dyDescent="0.35">
      <c r="A1922">
        <v>1</v>
      </c>
      <c r="B1922" t="str">
        <f t="shared" si="177"/>
        <v>Male</v>
      </c>
      <c r="C1922" s="8">
        <v>48</v>
      </c>
      <c r="D1922" t="str">
        <f t="shared" si="178"/>
        <v>Middle Age</v>
      </c>
      <c r="E1922">
        <v>2</v>
      </c>
      <c r="F1922" t="str">
        <f>HLOOKUP(E1922, LookUP_Table!$A$6:$D$7, 2, FALSE)</f>
        <v>Secondary</v>
      </c>
      <c r="G1922" t="str">
        <f>IFERROR(VLOOKUP(E1922, LookUP_Table!$A$1:$B$4, 2, FALSE), "")</f>
        <v>Secondary</v>
      </c>
      <c r="H1922">
        <v>0</v>
      </c>
      <c r="I1922">
        <v>0</v>
      </c>
      <c r="J1922" t="str">
        <f t="shared" ref="J1922:J1985" si="180">IF(I1922&gt;0,"Smoker","Non-Smoker")</f>
        <v>Non-Smoker</v>
      </c>
      <c r="K1922">
        <v>0</v>
      </c>
      <c r="L1922">
        <v>0</v>
      </c>
      <c r="M1922">
        <v>0</v>
      </c>
      <c r="N1922">
        <v>0</v>
      </c>
      <c r="O1922">
        <v>232</v>
      </c>
      <c r="P1922" t="str">
        <f t="shared" ref="P1922:P1985" si="181">IF(O1922&gt;240,"High","Normal")</f>
        <v>Normal</v>
      </c>
      <c r="Q1922">
        <v>112.5</v>
      </c>
      <c r="R1922">
        <v>79</v>
      </c>
      <c r="S1922">
        <v>28.62</v>
      </c>
      <c r="T1922" t="str">
        <f t="shared" ref="T1922:T1985" si="182">IF(S1922&lt;18.5,"Underweight",
IF(S1922&lt;25,"Normal",
IF(S1922&lt;30,"Overweight","Obese")))</f>
        <v>Overweight</v>
      </c>
      <c r="U1922">
        <v>85</v>
      </c>
      <c r="V1922">
        <v>100</v>
      </c>
      <c r="W1922" t="str">
        <f t="shared" si="179"/>
        <v>Prediabetes</v>
      </c>
      <c r="X1922">
        <v>0</v>
      </c>
    </row>
    <row r="1923" spans="1:24" ht="14.5" thickBot="1" x14ac:dyDescent="0.35">
      <c r="A1923">
        <v>0</v>
      </c>
      <c r="B1923" t="str">
        <f t="shared" ref="B1923:B1986" si="183">IF(A1923=0,"Female","Male")</f>
        <v>Female</v>
      </c>
      <c r="C1923" s="8">
        <v>48</v>
      </c>
      <c r="D1923" t="str">
        <f t="shared" ref="D1923:D1986" si="184">IF(C1923&lt;40,"Young",
IF(C1923&lt;55,"Middle Age","Senior"))</f>
        <v>Middle Age</v>
      </c>
      <c r="E1923">
        <v>1</v>
      </c>
      <c r="F1923" t="str">
        <f>HLOOKUP(E1923, LookUP_Table!$A$6:$D$7, 2, FALSE)</f>
        <v>Primary</v>
      </c>
      <c r="G1923" t="str">
        <f>IFERROR(VLOOKUP(E1923, LookUP_Table!$A$1:$B$4, 2, FALSE), "")</f>
        <v>Primary</v>
      </c>
      <c r="H1923">
        <v>0</v>
      </c>
      <c r="I1923">
        <v>0</v>
      </c>
      <c r="J1923" t="str">
        <f t="shared" si="180"/>
        <v>Non-Smoker</v>
      </c>
      <c r="K1923">
        <v>0</v>
      </c>
      <c r="L1923">
        <v>0</v>
      </c>
      <c r="M1923">
        <v>0</v>
      </c>
      <c r="N1923">
        <v>0</v>
      </c>
      <c r="O1923">
        <v>164</v>
      </c>
      <c r="P1923" t="str">
        <f t="shared" si="181"/>
        <v>Normal</v>
      </c>
      <c r="Q1923">
        <v>159</v>
      </c>
      <c r="R1923">
        <v>90</v>
      </c>
      <c r="S1923">
        <v>26.73</v>
      </c>
      <c r="T1923" t="str">
        <f t="shared" si="182"/>
        <v>Overweight</v>
      </c>
      <c r="U1923">
        <v>80</v>
      </c>
      <c r="V1923">
        <v>63</v>
      </c>
      <c r="W1923" t="str">
        <f t="shared" ref="W1923:W1986" si="185">IF(V1923 &lt; 100, "Normal", IF(V1923 &lt;= 125, "Prediabetes", "Diabetes"))</f>
        <v>Normal</v>
      </c>
      <c r="X1923">
        <v>0</v>
      </c>
    </row>
    <row r="1924" spans="1:24" ht="14.5" thickBot="1" x14ac:dyDescent="0.35">
      <c r="A1924">
        <v>1</v>
      </c>
      <c r="B1924" t="str">
        <f t="shared" si="183"/>
        <v>Male</v>
      </c>
      <c r="C1924" s="8">
        <v>48</v>
      </c>
      <c r="D1924" t="str">
        <f t="shared" si="184"/>
        <v>Middle Age</v>
      </c>
      <c r="E1924">
        <v>4</v>
      </c>
      <c r="F1924" t="str">
        <f>HLOOKUP(E1924, LookUP_Table!$A$6:$D$7, 2, FALSE)</f>
        <v>Post Graduate</v>
      </c>
      <c r="G1924" t="str">
        <f>IFERROR(VLOOKUP(E1924, LookUP_Table!$A$1:$B$4, 2, FALSE), "")</f>
        <v>Post Graduate</v>
      </c>
      <c r="H1924">
        <v>0</v>
      </c>
      <c r="I1924">
        <v>0</v>
      </c>
      <c r="J1924" t="str">
        <f t="shared" si="180"/>
        <v>Non-Smoker</v>
      </c>
      <c r="K1924">
        <v>0</v>
      </c>
      <c r="L1924">
        <v>0</v>
      </c>
      <c r="M1924">
        <v>0</v>
      </c>
      <c r="N1924">
        <v>0</v>
      </c>
      <c r="O1924">
        <v>323</v>
      </c>
      <c r="P1924" t="str">
        <f t="shared" si="181"/>
        <v>High</v>
      </c>
      <c r="Q1924">
        <v>116</v>
      </c>
      <c r="R1924">
        <v>72</v>
      </c>
      <c r="S1924">
        <v>26.22</v>
      </c>
      <c r="T1924" t="str">
        <f t="shared" si="182"/>
        <v>Overweight</v>
      </c>
      <c r="U1924">
        <v>69</v>
      </c>
      <c r="V1924">
        <v>99</v>
      </c>
      <c r="W1924" t="str">
        <f t="shared" si="185"/>
        <v>Normal</v>
      </c>
      <c r="X1924">
        <v>0</v>
      </c>
    </row>
    <row r="1925" spans="1:24" ht="14.5" thickBot="1" x14ac:dyDescent="0.35">
      <c r="A1925">
        <v>0</v>
      </c>
      <c r="B1925" t="str">
        <f t="shared" si="183"/>
        <v>Female</v>
      </c>
      <c r="C1925" s="8">
        <v>48</v>
      </c>
      <c r="D1925" t="str">
        <f t="shared" si="184"/>
        <v>Middle Age</v>
      </c>
      <c r="E1925">
        <v>3</v>
      </c>
      <c r="F1925" t="str">
        <f>HLOOKUP(E1925, LookUP_Table!$A$6:$D$7, 2, FALSE)</f>
        <v>Graduate</v>
      </c>
      <c r="G1925" t="str">
        <f>IFERROR(VLOOKUP(E1925, LookUP_Table!$A$1:$B$4, 2, FALSE), "")</f>
        <v>Graduate</v>
      </c>
      <c r="H1925">
        <v>0</v>
      </c>
      <c r="I1925">
        <v>0</v>
      </c>
      <c r="J1925" t="str">
        <f t="shared" si="180"/>
        <v>Non-Smoker</v>
      </c>
      <c r="K1925">
        <v>0</v>
      </c>
      <c r="L1925">
        <v>0</v>
      </c>
      <c r="M1925">
        <v>0</v>
      </c>
      <c r="N1925">
        <v>0</v>
      </c>
      <c r="O1925">
        <v>230</v>
      </c>
      <c r="P1925" t="str">
        <f t="shared" si="181"/>
        <v>Normal</v>
      </c>
      <c r="Q1925">
        <v>129</v>
      </c>
      <c r="R1925">
        <v>84.5</v>
      </c>
      <c r="S1925">
        <v>24.73</v>
      </c>
      <c r="T1925" t="str">
        <f t="shared" si="182"/>
        <v>Normal</v>
      </c>
      <c r="U1925">
        <v>78</v>
      </c>
      <c r="V1925">
        <v>81.96365524402907</v>
      </c>
      <c r="W1925" t="str">
        <f t="shared" si="185"/>
        <v>Normal</v>
      </c>
      <c r="X1925">
        <v>0</v>
      </c>
    </row>
    <row r="1926" spans="1:24" ht="14.5" thickBot="1" x14ac:dyDescent="0.35">
      <c r="A1926">
        <v>0</v>
      </c>
      <c r="B1926" t="str">
        <f t="shared" si="183"/>
        <v>Female</v>
      </c>
      <c r="C1926" s="8">
        <v>48</v>
      </c>
      <c r="D1926" t="str">
        <f t="shared" si="184"/>
        <v>Middle Age</v>
      </c>
      <c r="E1926">
        <v>1</v>
      </c>
      <c r="F1926" t="str">
        <f>HLOOKUP(E1926, LookUP_Table!$A$6:$D$7, 2, FALSE)</f>
        <v>Primary</v>
      </c>
      <c r="G1926" t="str">
        <f>IFERROR(VLOOKUP(E1926, LookUP_Table!$A$1:$B$4, 2, FALSE), "")</f>
        <v>Primary</v>
      </c>
      <c r="H1926">
        <v>1</v>
      </c>
      <c r="I1926">
        <v>1</v>
      </c>
      <c r="J1926" t="str">
        <f t="shared" si="180"/>
        <v>Smoker</v>
      </c>
      <c r="K1926">
        <v>0</v>
      </c>
      <c r="L1926">
        <v>0</v>
      </c>
      <c r="M1926">
        <v>0</v>
      </c>
      <c r="N1926">
        <v>0</v>
      </c>
      <c r="O1926">
        <v>197</v>
      </c>
      <c r="P1926" t="str">
        <f t="shared" si="181"/>
        <v>Normal</v>
      </c>
      <c r="Q1926">
        <v>101</v>
      </c>
      <c r="R1926">
        <v>67</v>
      </c>
      <c r="S1926">
        <v>21.35</v>
      </c>
      <c r="T1926" t="str">
        <f t="shared" si="182"/>
        <v>Normal</v>
      </c>
      <c r="U1926">
        <v>88</v>
      </c>
      <c r="V1926">
        <v>100</v>
      </c>
      <c r="W1926" t="str">
        <f t="shared" si="185"/>
        <v>Prediabetes</v>
      </c>
      <c r="X1926">
        <v>0</v>
      </c>
    </row>
    <row r="1927" spans="1:24" ht="14.5" thickBot="1" x14ac:dyDescent="0.35">
      <c r="A1927">
        <v>0</v>
      </c>
      <c r="B1927" t="str">
        <f t="shared" si="183"/>
        <v>Female</v>
      </c>
      <c r="C1927" s="8">
        <v>48</v>
      </c>
      <c r="D1927" t="str">
        <f t="shared" si="184"/>
        <v>Middle Age</v>
      </c>
      <c r="E1927">
        <v>4</v>
      </c>
      <c r="F1927" t="str">
        <f>HLOOKUP(E1927, LookUP_Table!$A$6:$D$7, 2, FALSE)</f>
        <v>Post Graduate</v>
      </c>
      <c r="G1927" t="str">
        <f>IFERROR(VLOOKUP(E1927, LookUP_Table!$A$1:$B$4, 2, FALSE), "")</f>
        <v>Post Graduate</v>
      </c>
      <c r="H1927">
        <v>0</v>
      </c>
      <c r="I1927">
        <v>0</v>
      </c>
      <c r="J1927" t="str">
        <f t="shared" si="180"/>
        <v>Non-Smoker</v>
      </c>
      <c r="K1927">
        <v>0</v>
      </c>
      <c r="L1927">
        <v>0</v>
      </c>
      <c r="M1927">
        <v>0</v>
      </c>
      <c r="N1927">
        <v>0</v>
      </c>
      <c r="O1927">
        <v>200</v>
      </c>
      <c r="P1927" t="str">
        <f t="shared" si="181"/>
        <v>Normal</v>
      </c>
      <c r="Q1927">
        <v>118</v>
      </c>
      <c r="R1927">
        <v>78</v>
      </c>
      <c r="S1927">
        <v>24.53</v>
      </c>
      <c r="T1927" t="str">
        <f t="shared" si="182"/>
        <v>Normal</v>
      </c>
      <c r="U1927">
        <v>63</v>
      </c>
      <c r="V1927">
        <v>98</v>
      </c>
      <c r="W1927" t="str">
        <f t="shared" si="185"/>
        <v>Normal</v>
      </c>
      <c r="X1927">
        <v>0</v>
      </c>
    </row>
    <row r="1928" spans="1:24" ht="14.5" thickBot="1" x14ac:dyDescent="0.35">
      <c r="A1928">
        <v>0</v>
      </c>
      <c r="B1928" t="str">
        <f t="shared" si="183"/>
        <v>Female</v>
      </c>
      <c r="C1928" s="8">
        <v>48</v>
      </c>
      <c r="D1928" t="str">
        <f t="shared" si="184"/>
        <v>Middle Age</v>
      </c>
      <c r="E1928">
        <v>3</v>
      </c>
      <c r="F1928" t="str">
        <f>HLOOKUP(E1928, LookUP_Table!$A$6:$D$7, 2, FALSE)</f>
        <v>Graduate</v>
      </c>
      <c r="G1928" t="str">
        <f>IFERROR(VLOOKUP(E1928, LookUP_Table!$A$1:$B$4, 2, FALSE), "")</f>
        <v>Graduate</v>
      </c>
      <c r="H1928">
        <v>0</v>
      </c>
      <c r="I1928">
        <v>0</v>
      </c>
      <c r="J1928" t="str">
        <f t="shared" si="180"/>
        <v>Non-Smoker</v>
      </c>
      <c r="K1928">
        <v>0</v>
      </c>
      <c r="L1928">
        <v>0</v>
      </c>
      <c r="M1928">
        <v>0</v>
      </c>
      <c r="N1928">
        <v>0</v>
      </c>
      <c r="O1928">
        <v>310</v>
      </c>
      <c r="P1928" t="str">
        <f t="shared" si="181"/>
        <v>High</v>
      </c>
      <c r="Q1928">
        <v>124</v>
      </c>
      <c r="R1928">
        <v>74</v>
      </c>
      <c r="S1928">
        <v>25.94</v>
      </c>
      <c r="T1928" t="str">
        <f t="shared" si="182"/>
        <v>Overweight</v>
      </c>
      <c r="U1928">
        <v>70</v>
      </c>
      <c r="V1928">
        <v>73</v>
      </c>
      <c r="W1928" t="str">
        <f t="shared" si="185"/>
        <v>Normal</v>
      </c>
      <c r="X1928">
        <v>0</v>
      </c>
    </row>
    <row r="1929" spans="1:24" ht="14.5" thickBot="1" x14ac:dyDescent="0.35">
      <c r="A1929">
        <v>0</v>
      </c>
      <c r="B1929" t="str">
        <f t="shared" si="183"/>
        <v>Female</v>
      </c>
      <c r="C1929" s="8">
        <v>48</v>
      </c>
      <c r="D1929" t="str">
        <f t="shared" si="184"/>
        <v>Middle Age</v>
      </c>
      <c r="E1929">
        <v>1</v>
      </c>
      <c r="F1929" t="str">
        <f>HLOOKUP(E1929, LookUP_Table!$A$6:$D$7, 2, FALSE)</f>
        <v>Primary</v>
      </c>
      <c r="G1929" t="str">
        <f>IFERROR(VLOOKUP(E1929, LookUP_Table!$A$1:$B$4, 2, FALSE), "")</f>
        <v>Primary</v>
      </c>
      <c r="H1929">
        <v>1</v>
      </c>
      <c r="I1929">
        <v>10</v>
      </c>
      <c r="J1929" t="str">
        <f t="shared" si="180"/>
        <v>Smoker</v>
      </c>
      <c r="K1929">
        <v>0</v>
      </c>
      <c r="L1929">
        <v>0</v>
      </c>
      <c r="M1929">
        <v>1</v>
      </c>
      <c r="N1929">
        <v>0</v>
      </c>
      <c r="O1929">
        <v>268</v>
      </c>
      <c r="P1929" t="str">
        <f t="shared" si="181"/>
        <v>High</v>
      </c>
      <c r="Q1929">
        <v>117.5</v>
      </c>
      <c r="R1929">
        <v>80</v>
      </c>
      <c r="S1929">
        <v>36.11</v>
      </c>
      <c r="T1929" t="str">
        <f t="shared" si="182"/>
        <v>Obese</v>
      </c>
      <c r="U1929">
        <v>72</v>
      </c>
      <c r="V1929">
        <v>67</v>
      </c>
      <c r="W1929" t="str">
        <f t="shared" si="185"/>
        <v>Normal</v>
      </c>
      <c r="X1929">
        <v>0</v>
      </c>
    </row>
    <row r="1930" spans="1:24" ht="14.5" thickBot="1" x14ac:dyDescent="0.35">
      <c r="A1930">
        <v>0</v>
      </c>
      <c r="B1930" t="str">
        <f t="shared" si="183"/>
        <v>Female</v>
      </c>
      <c r="C1930" s="8">
        <v>48</v>
      </c>
      <c r="D1930" t="str">
        <f t="shared" si="184"/>
        <v>Middle Age</v>
      </c>
      <c r="E1930">
        <v>3</v>
      </c>
      <c r="F1930" t="str">
        <f>HLOOKUP(E1930, LookUP_Table!$A$6:$D$7, 2, FALSE)</f>
        <v>Graduate</v>
      </c>
      <c r="G1930" t="str">
        <f>IFERROR(VLOOKUP(E1930, LookUP_Table!$A$1:$B$4, 2, FALSE), "")</f>
        <v>Graduate</v>
      </c>
      <c r="H1930">
        <v>1</v>
      </c>
      <c r="I1930">
        <v>10</v>
      </c>
      <c r="J1930" t="str">
        <f t="shared" si="180"/>
        <v>Smoker</v>
      </c>
      <c r="K1930">
        <v>0</v>
      </c>
      <c r="L1930">
        <v>0</v>
      </c>
      <c r="M1930">
        <v>0</v>
      </c>
      <c r="N1930">
        <v>0</v>
      </c>
      <c r="O1930">
        <v>266</v>
      </c>
      <c r="P1930" t="str">
        <f t="shared" si="181"/>
        <v>High</v>
      </c>
      <c r="Q1930">
        <v>115</v>
      </c>
      <c r="R1930">
        <v>75</v>
      </c>
      <c r="S1930">
        <v>31.16</v>
      </c>
      <c r="T1930" t="str">
        <f t="shared" si="182"/>
        <v>Obese</v>
      </c>
      <c r="U1930">
        <v>75</v>
      </c>
      <c r="V1930">
        <v>90</v>
      </c>
      <c r="W1930" t="str">
        <f t="shared" si="185"/>
        <v>Normal</v>
      </c>
      <c r="X1930">
        <v>0</v>
      </c>
    </row>
    <row r="1931" spans="1:24" ht="14.5" thickBot="1" x14ac:dyDescent="0.35">
      <c r="A1931">
        <v>0</v>
      </c>
      <c r="B1931" t="str">
        <f t="shared" si="183"/>
        <v>Female</v>
      </c>
      <c r="C1931" s="8">
        <v>48</v>
      </c>
      <c r="D1931" t="str">
        <f t="shared" si="184"/>
        <v>Middle Age</v>
      </c>
      <c r="E1931">
        <v>4</v>
      </c>
      <c r="F1931" t="str">
        <f>HLOOKUP(E1931, LookUP_Table!$A$6:$D$7, 2, FALSE)</f>
        <v>Post Graduate</v>
      </c>
      <c r="G1931" t="str">
        <f>IFERROR(VLOOKUP(E1931, LookUP_Table!$A$1:$B$4, 2, FALSE), "")</f>
        <v>Post Graduate</v>
      </c>
      <c r="H1931">
        <v>1</v>
      </c>
      <c r="I1931">
        <v>9</v>
      </c>
      <c r="J1931" t="str">
        <f t="shared" si="180"/>
        <v>Smoker</v>
      </c>
      <c r="K1931">
        <v>0</v>
      </c>
      <c r="L1931">
        <v>0</v>
      </c>
      <c r="M1931">
        <v>0</v>
      </c>
      <c r="N1931">
        <v>0</v>
      </c>
      <c r="O1931">
        <v>195</v>
      </c>
      <c r="P1931" t="str">
        <f t="shared" si="181"/>
        <v>Normal</v>
      </c>
      <c r="Q1931">
        <v>109</v>
      </c>
      <c r="R1931">
        <v>71</v>
      </c>
      <c r="S1931">
        <v>21.1</v>
      </c>
      <c r="T1931" t="str">
        <f t="shared" si="182"/>
        <v>Normal</v>
      </c>
      <c r="U1931">
        <v>73</v>
      </c>
      <c r="V1931">
        <v>65</v>
      </c>
      <c r="W1931" t="str">
        <f t="shared" si="185"/>
        <v>Normal</v>
      </c>
      <c r="X1931">
        <v>0</v>
      </c>
    </row>
    <row r="1932" spans="1:24" ht="14.5" thickBot="1" x14ac:dyDescent="0.35">
      <c r="A1932">
        <v>1</v>
      </c>
      <c r="B1932" t="str">
        <f t="shared" si="183"/>
        <v>Male</v>
      </c>
      <c r="C1932" s="8">
        <v>48</v>
      </c>
      <c r="D1932" t="str">
        <f t="shared" si="184"/>
        <v>Middle Age</v>
      </c>
      <c r="E1932">
        <v>1</v>
      </c>
      <c r="F1932" t="str">
        <f>HLOOKUP(E1932, LookUP_Table!$A$6:$D$7, 2, FALSE)</f>
        <v>Primary</v>
      </c>
      <c r="G1932" t="str">
        <f>IFERROR(VLOOKUP(E1932, LookUP_Table!$A$1:$B$4, 2, FALSE), "")</f>
        <v>Primary</v>
      </c>
      <c r="H1932">
        <v>0</v>
      </c>
      <c r="I1932">
        <v>0</v>
      </c>
      <c r="J1932" t="str">
        <f t="shared" si="180"/>
        <v>Non-Smoker</v>
      </c>
      <c r="K1932">
        <v>0</v>
      </c>
      <c r="L1932">
        <v>0</v>
      </c>
      <c r="M1932">
        <v>1</v>
      </c>
      <c r="N1932">
        <v>0</v>
      </c>
      <c r="O1932">
        <v>245</v>
      </c>
      <c r="P1932" t="str">
        <f t="shared" si="181"/>
        <v>High</v>
      </c>
      <c r="Q1932">
        <v>144</v>
      </c>
      <c r="R1932">
        <v>96.5</v>
      </c>
      <c r="S1932">
        <v>32.58</v>
      </c>
      <c r="T1932" t="str">
        <f t="shared" si="182"/>
        <v>Obese</v>
      </c>
      <c r="U1932">
        <v>75</v>
      </c>
      <c r="V1932">
        <v>77</v>
      </c>
      <c r="W1932" t="str">
        <f t="shared" si="185"/>
        <v>Normal</v>
      </c>
      <c r="X1932">
        <v>0</v>
      </c>
    </row>
    <row r="1933" spans="1:24" ht="14.5" thickBot="1" x14ac:dyDescent="0.35">
      <c r="A1933">
        <v>1</v>
      </c>
      <c r="B1933" t="str">
        <f t="shared" si="183"/>
        <v>Male</v>
      </c>
      <c r="C1933" s="8">
        <v>48</v>
      </c>
      <c r="D1933" t="str">
        <f t="shared" si="184"/>
        <v>Middle Age</v>
      </c>
      <c r="E1933">
        <v>1</v>
      </c>
      <c r="F1933" t="str">
        <f>HLOOKUP(E1933, LookUP_Table!$A$6:$D$7, 2, FALSE)</f>
        <v>Primary</v>
      </c>
      <c r="G1933" t="str">
        <f>IFERROR(VLOOKUP(E1933, LookUP_Table!$A$1:$B$4, 2, FALSE), "")</f>
        <v>Primary</v>
      </c>
      <c r="H1933">
        <v>1</v>
      </c>
      <c r="I1933">
        <v>15</v>
      </c>
      <c r="J1933" t="str">
        <f t="shared" si="180"/>
        <v>Smoker</v>
      </c>
      <c r="K1933">
        <v>0</v>
      </c>
      <c r="L1933">
        <v>0</v>
      </c>
      <c r="M1933">
        <v>0</v>
      </c>
      <c r="N1933">
        <v>0</v>
      </c>
      <c r="O1933">
        <v>170</v>
      </c>
      <c r="P1933" t="str">
        <f t="shared" si="181"/>
        <v>Normal</v>
      </c>
      <c r="Q1933">
        <v>132</v>
      </c>
      <c r="R1933">
        <v>91</v>
      </c>
      <c r="S1933">
        <v>27.61</v>
      </c>
      <c r="T1933" t="str">
        <f t="shared" si="182"/>
        <v>Overweight</v>
      </c>
      <c r="U1933">
        <v>78</v>
      </c>
      <c r="V1933">
        <v>57</v>
      </c>
      <c r="W1933" t="str">
        <f t="shared" si="185"/>
        <v>Normal</v>
      </c>
      <c r="X1933">
        <v>1</v>
      </c>
    </row>
    <row r="1934" spans="1:24" ht="14.5" thickBot="1" x14ac:dyDescent="0.35">
      <c r="A1934">
        <v>1</v>
      </c>
      <c r="B1934" t="str">
        <f t="shared" si="183"/>
        <v>Male</v>
      </c>
      <c r="C1934" s="8">
        <v>48</v>
      </c>
      <c r="D1934" t="str">
        <f t="shared" si="184"/>
        <v>Middle Age</v>
      </c>
      <c r="E1934">
        <v>1</v>
      </c>
      <c r="F1934" t="str">
        <f>HLOOKUP(E1934, LookUP_Table!$A$6:$D$7, 2, FALSE)</f>
        <v>Primary</v>
      </c>
      <c r="G1934" t="str">
        <f>IFERROR(VLOOKUP(E1934, LookUP_Table!$A$1:$B$4, 2, FALSE), "")</f>
        <v>Primary</v>
      </c>
      <c r="H1934">
        <v>1</v>
      </c>
      <c r="I1934">
        <v>20</v>
      </c>
      <c r="J1934" t="str">
        <f t="shared" si="180"/>
        <v>Smoker</v>
      </c>
      <c r="K1934">
        <v>0</v>
      </c>
      <c r="L1934">
        <v>0</v>
      </c>
      <c r="M1934">
        <v>0</v>
      </c>
      <c r="N1934">
        <v>0</v>
      </c>
      <c r="O1934">
        <v>253</v>
      </c>
      <c r="P1934" t="str">
        <f t="shared" si="181"/>
        <v>High</v>
      </c>
      <c r="Q1934">
        <v>118.5</v>
      </c>
      <c r="R1934">
        <v>73</v>
      </c>
      <c r="S1934">
        <v>26.25</v>
      </c>
      <c r="T1934" t="str">
        <f t="shared" si="182"/>
        <v>Overweight</v>
      </c>
      <c r="U1934">
        <v>69</v>
      </c>
      <c r="V1934">
        <v>70</v>
      </c>
      <c r="W1934" t="str">
        <f t="shared" si="185"/>
        <v>Normal</v>
      </c>
      <c r="X1934">
        <v>0</v>
      </c>
    </row>
    <row r="1935" spans="1:24" ht="14.5" thickBot="1" x14ac:dyDescent="0.35">
      <c r="A1935">
        <v>0</v>
      </c>
      <c r="B1935" t="str">
        <f t="shared" si="183"/>
        <v>Female</v>
      </c>
      <c r="C1935" s="8">
        <v>48</v>
      </c>
      <c r="D1935" t="str">
        <f t="shared" si="184"/>
        <v>Middle Age</v>
      </c>
      <c r="E1935">
        <v>2</v>
      </c>
      <c r="F1935" t="str">
        <f>HLOOKUP(E1935, LookUP_Table!$A$6:$D$7, 2, FALSE)</f>
        <v>Secondary</v>
      </c>
      <c r="G1935" t="str">
        <f>IFERROR(VLOOKUP(E1935, LookUP_Table!$A$1:$B$4, 2, FALSE), "")</f>
        <v>Secondary</v>
      </c>
      <c r="H1935">
        <v>0</v>
      </c>
      <c r="I1935">
        <v>0</v>
      </c>
      <c r="J1935" t="str">
        <f t="shared" si="180"/>
        <v>Non-Smoker</v>
      </c>
      <c r="K1935">
        <v>0</v>
      </c>
      <c r="L1935">
        <v>0</v>
      </c>
      <c r="M1935">
        <v>0</v>
      </c>
      <c r="N1935">
        <v>0</v>
      </c>
      <c r="O1935">
        <v>240</v>
      </c>
      <c r="P1935" t="str">
        <f t="shared" si="181"/>
        <v>Normal</v>
      </c>
      <c r="Q1935">
        <v>119</v>
      </c>
      <c r="R1935">
        <v>80</v>
      </c>
      <c r="S1935">
        <v>31.67</v>
      </c>
      <c r="T1935" t="str">
        <f t="shared" si="182"/>
        <v>Obese</v>
      </c>
      <c r="U1935">
        <v>60</v>
      </c>
      <c r="V1935">
        <v>79</v>
      </c>
      <c r="W1935" t="str">
        <f t="shared" si="185"/>
        <v>Normal</v>
      </c>
      <c r="X1935">
        <v>0</v>
      </c>
    </row>
    <row r="1936" spans="1:24" ht="14.5" thickBot="1" x14ac:dyDescent="0.35">
      <c r="A1936">
        <v>1</v>
      </c>
      <c r="B1936" t="str">
        <f t="shared" si="183"/>
        <v>Male</v>
      </c>
      <c r="C1936" s="8">
        <v>48</v>
      </c>
      <c r="D1936" t="str">
        <f t="shared" si="184"/>
        <v>Middle Age</v>
      </c>
      <c r="E1936">
        <v>2</v>
      </c>
      <c r="F1936" t="str">
        <f>HLOOKUP(E1936, LookUP_Table!$A$6:$D$7, 2, FALSE)</f>
        <v>Secondary</v>
      </c>
      <c r="G1936" t="str">
        <f>IFERROR(VLOOKUP(E1936, LookUP_Table!$A$1:$B$4, 2, FALSE), "")</f>
        <v>Secondary</v>
      </c>
      <c r="H1936">
        <v>0</v>
      </c>
      <c r="I1936">
        <v>0</v>
      </c>
      <c r="J1936" t="str">
        <f t="shared" si="180"/>
        <v>Non-Smoker</v>
      </c>
      <c r="K1936">
        <v>0</v>
      </c>
      <c r="L1936">
        <v>0</v>
      </c>
      <c r="M1936">
        <v>0</v>
      </c>
      <c r="N1936">
        <v>0</v>
      </c>
      <c r="O1936">
        <v>215</v>
      </c>
      <c r="P1936" t="str">
        <f t="shared" si="181"/>
        <v>Normal</v>
      </c>
      <c r="Q1936">
        <v>127</v>
      </c>
      <c r="R1936">
        <v>81</v>
      </c>
      <c r="S1936">
        <v>24.87</v>
      </c>
      <c r="T1936" t="str">
        <f t="shared" si="182"/>
        <v>Normal</v>
      </c>
      <c r="U1936">
        <v>76</v>
      </c>
      <c r="V1936">
        <v>76</v>
      </c>
      <c r="W1936" t="str">
        <f t="shared" si="185"/>
        <v>Normal</v>
      </c>
      <c r="X1936">
        <v>0</v>
      </c>
    </row>
    <row r="1937" spans="1:24" ht="14.5" thickBot="1" x14ac:dyDescent="0.35">
      <c r="A1937">
        <v>0</v>
      </c>
      <c r="B1937" t="str">
        <f t="shared" si="183"/>
        <v>Female</v>
      </c>
      <c r="C1937" s="8">
        <v>48</v>
      </c>
      <c r="D1937" t="str">
        <f t="shared" si="184"/>
        <v>Middle Age</v>
      </c>
      <c r="E1937">
        <v>3</v>
      </c>
      <c r="F1937" t="str">
        <f>HLOOKUP(E1937, LookUP_Table!$A$6:$D$7, 2, FALSE)</f>
        <v>Graduate</v>
      </c>
      <c r="G1937" t="str">
        <f>IFERROR(VLOOKUP(E1937, LookUP_Table!$A$1:$B$4, 2, FALSE), "")</f>
        <v>Graduate</v>
      </c>
      <c r="H1937">
        <v>0</v>
      </c>
      <c r="I1937">
        <v>0</v>
      </c>
      <c r="J1937" t="str">
        <f t="shared" si="180"/>
        <v>Non-Smoker</v>
      </c>
      <c r="K1937">
        <v>0</v>
      </c>
      <c r="L1937">
        <v>0</v>
      </c>
      <c r="M1937">
        <v>0</v>
      </c>
      <c r="N1937">
        <v>0</v>
      </c>
      <c r="O1937">
        <v>197</v>
      </c>
      <c r="P1937" t="str">
        <f t="shared" si="181"/>
        <v>Normal</v>
      </c>
      <c r="Q1937">
        <v>107</v>
      </c>
      <c r="R1937">
        <v>73</v>
      </c>
      <c r="S1937">
        <v>19.78</v>
      </c>
      <c r="T1937" t="str">
        <f t="shared" si="182"/>
        <v>Normal</v>
      </c>
      <c r="U1937">
        <v>63</v>
      </c>
      <c r="V1937">
        <v>76</v>
      </c>
      <c r="W1937" t="str">
        <f t="shared" si="185"/>
        <v>Normal</v>
      </c>
      <c r="X1937">
        <v>0</v>
      </c>
    </row>
    <row r="1938" spans="1:24" ht="14.5" thickBot="1" x14ac:dyDescent="0.35">
      <c r="A1938">
        <v>0</v>
      </c>
      <c r="B1938" t="str">
        <f t="shared" si="183"/>
        <v>Female</v>
      </c>
      <c r="C1938" s="8">
        <v>48</v>
      </c>
      <c r="D1938" t="str">
        <f t="shared" si="184"/>
        <v>Middle Age</v>
      </c>
      <c r="E1938">
        <v>1</v>
      </c>
      <c r="F1938" t="str">
        <f>HLOOKUP(E1938, LookUP_Table!$A$6:$D$7, 2, FALSE)</f>
        <v>Primary</v>
      </c>
      <c r="G1938" t="str">
        <f>IFERROR(VLOOKUP(E1938, LookUP_Table!$A$1:$B$4, 2, FALSE), "")</f>
        <v>Primary</v>
      </c>
      <c r="H1938">
        <v>1</v>
      </c>
      <c r="I1938">
        <v>5</v>
      </c>
      <c r="J1938" t="str">
        <f t="shared" si="180"/>
        <v>Smoker</v>
      </c>
      <c r="K1938">
        <v>0</v>
      </c>
      <c r="L1938">
        <v>0</v>
      </c>
      <c r="M1938">
        <v>0</v>
      </c>
      <c r="N1938">
        <v>0</v>
      </c>
      <c r="O1938">
        <v>296</v>
      </c>
      <c r="P1938" t="str">
        <f t="shared" si="181"/>
        <v>High</v>
      </c>
      <c r="Q1938">
        <v>117</v>
      </c>
      <c r="R1938">
        <v>73</v>
      </c>
      <c r="S1938">
        <v>24.59</v>
      </c>
      <c r="T1938" t="str">
        <f t="shared" si="182"/>
        <v>Normal</v>
      </c>
      <c r="U1938">
        <v>70</v>
      </c>
      <c r="V1938">
        <v>78</v>
      </c>
      <c r="W1938" t="str">
        <f t="shared" si="185"/>
        <v>Normal</v>
      </c>
      <c r="X1938">
        <v>0</v>
      </c>
    </row>
    <row r="1939" spans="1:24" ht="14.5" thickBot="1" x14ac:dyDescent="0.35">
      <c r="A1939">
        <v>1</v>
      </c>
      <c r="B1939" t="str">
        <f t="shared" si="183"/>
        <v>Male</v>
      </c>
      <c r="C1939" s="8">
        <v>48</v>
      </c>
      <c r="D1939" t="str">
        <f t="shared" si="184"/>
        <v>Middle Age</v>
      </c>
      <c r="E1939">
        <v>1</v>
      </c>
      <c r="F1939" t="str">
        <f>HLOOKUP(E1939, LookUP_Table!$A$6:$D$7, 2, FALSE)</f>
        <v>Primary</v>
      </c>
      <c r="G1939" t="str">
        <f>IFERROR(VLOOKUP(E1939, LookUP_Table!$A$1:$B$4, 2, FALSE), "")</f>
        <v>Primary</v>
      </c>
      <c r="H1939">
        <v>0</v>
      </c>
      <c r="I1939">
        <v>0</v>
      </c>
      <c r="J1939" t="str">
        <f t="shared" si="180"/>
        <v>Non-Smoker</v>
      </c>
      <c r="K1939">
        <v>0</v>
      </c>
      <c r="L1939">
        <v>0</v>
      </c>
      <c r="M1939">
        <v>0</v>
      </c>
      <c r="N1939">
        <v>0</v>
      </c>
      <c r="O1939">
        <v>222</v>
      </c>
      <c r="P1939" t="str">
        <f t="shared" si="181"/>
        <v>Normal</v>
      </c>
      <c r="Q1939">
        <v>113</v>
      </c>
      <c r="R1939">
        <v>71.5</v>
      </c>
      <c r="S1939">
        <v>30.5</v>
      </c>
      <c r="T1939" t="str">
        <f t="shared" si="182"/>
        <v>Obese</v>
      </c>
      <c r="U1939">
        <v>78</v>
      </c>
      <c r="V1939">
        <v>80</v>
      </c>
      <c r="W1939" t="str">
        <f t="shared" si="185"/>
        <v>Normal</v>
      </c>
      <c r="X1939">
        <v>0</v>
      </c>
    </row>
    <row r="1940" spans="1:24" ht="14.5" thickBot="1" x14ac:dyDescent="0.35">
      <c r="A1940">
        <v>0</v>
      </c>
      <c r="B1940" t="str">
        <f t="shared" si="183"/>
        <v>Female</v>
      </c>
      <c r="C1940" s="8">
        <v>48</v>
      </c>
      <c r="D1940" t="str">
        <f t="shared" si="184"/>
        <v>Middle Age</v>
      </c>
      <c r="E1940">
        <v>4</v>
      </c>
      <c r="F1940" t="str">
        <f>HLOOKUP(E1940, LookUP_Table!$A$6:$D$7, 2, FALSE)</f>
        <v>Post Graduate</v>
      </c>
      <c r="G1940" t="str">
        <f>IFERROR(VLOOKUP(E1940, LookUP_Table!$A$1:$B$4, 2, FALSE), "")</f>
        <v>Post Graduate</v>
      </c>
      <c r="H1940">
        <v>1</v>
      </c>
      <c r="I1940">
        <v>3</v>
      </c>
      <c r="J1940" t="str">
        <f t="shared" si="180"/>
        <v>Smoker</v>
      </c>
      <c r="K1940">
        <v>0</v>
      </c>
      <c r="L1940">
        <v>0</v>
      </c>
      <c r="M1940">
        <v>0</v>
      </c>
      <c r="N1940">
        <v>0</v>
      </c>
      <c r="O1940">
        <v>249</v>
      </c>
      <c r="P1940" t="str">
        <f t="shared" si="181"/>
        <v>High</v>
      </c>
      <c r="Q1940">
        <v>132</v>
      </c>
      <c r="R1940">
        <v>78</v>
      </c>
      <c r="S1940">
        <v>23.1</v>
      </c>
      <c r="T1940" t="str">
        <f t="shared" si="182"/>
        <v>Normal</v>
      </c>
      <c r="U1940">
        <v>70</v>
      </c>
      <c r="V1940">
        <v>137</v>
      </c>
      <c r="W1940" t="str">
        <f t="shared" si="185"/>
        <v>Diabetes</v>
      </c>
      <c r="X1940">
        <v>0</v>
      </c>
    </row>
    <row r="1941" spans="1:24" ht="14.5" thickBot="1" x14ac:dyDescent="0.35">
      <c r="A1941">
        <v>1</v>
      </c>
      <c r="B1941" t="str">
        <f t="shared" si="183"/>
        <v>Male</v>
      </c>
      <c r="C1941" s="8">
        <v>48</v>
      </c>
      <c r="D1941" t="str">
        <f t="shared" si="184"/>
        <v>Middle Age</v>
      </c>
      <c r="E1941">
        <v>1</v>
      </c>
      <c r="F1941" t="str">
        <f>HLOOKUP(E1941, LookUP_Table!$A$6:$D$7, 2, FALSE)</f>
        <v>Primary</v>
      </c>
      <c r="G1941" t="str">
        <f>IFERROR(VLOOKUP(E1941, LookUP_Table!$A$1:$B$4, 2, FALSE), "")</f>
        <v>Primary</v>
      </c>
      <c r="H1941">
        <v>0</v>
      </c>
      <c r="I1941">
        <v>0</v>
      </c>
      <c r="J1941" t="str">
        <f t="shared" si="180"/>
        <v>Non-Smoker</v>
      </c>
      <c r="K1941">
        <v>0</v>
      </c>
      <c r="L1941">
        <v>0</v>
      </c>
      <c r="M1941">
        <v>1</v>
      </c>
      <c r="N1941">
        <v>0</v>
      </c>
      <c r="O1941">
        <v>202</v>
      </c>
      <c r="P1941" t="str">
        <f t="shared" si="181"/>
        <v>Normal</v>
      </c>
      <c r="Q1941">
        <v>138</v>
      </c>
      <c r="R1941">
        <v>96</v>
      </c>
      <c r="S1941">
        <v>27.97</v>
      </c>
      <c r="T1941" t="str">
        <f t="shared" si="182"/>
        <v>Overweight</v>
      </c>
      <c r="U1941">
        <v>68</v>
      </c>
      <c r="V1941">
        <v>85</v>
      </c>
      <c r="W1941" t="str">
        <f t="shared" si="185"/>
        <v>Normal</v>
      </c>
      <c r="X1941">
        <v>0</v>
      </c>
    </row>
    <row r="1942" spans="1:24" ht="14.5" thickBot="1" x14ac:dyDescent="0.35">
      <c r="A1942">
        <v>0</v>
      </c>
      <c r="B1942" t="str">
        <f t="shared" si="183"/>
        <v>Female</v>
      </c>
      <c r="C1942" s="8">
        <v>48</v>
      </c>
      <c r="D1942" t="str">
        <f t="shared" si="184"/>
        <v>Middle Age</v>
      </c>
      <c r="E1942">
        <v>1</v>
      </c>
      <c r="F1942" t="str">
        <f>HLOOKUP(E1942, LookUP_Table!$A$6:$D$7, 2, FALSE)</f>
        <v>Primary</v>
      </c>
      <c r="G1942" t="str">
        <f>IFERROR(VLOOKUP(E1942, LookUP_Table!$A$1:$B$4, 2, FALSE), "")</f>
        <v>Primary</v>
      </c>
      <c r="H1942">
        <v>0</v>
      </c>
      <c r="I1942">
        <v>0</v>
      </c>
      <c r="J1942" t="str">
        <f t="shared" si="180"/>
        <v>Non-Smoker</v>
      </c>
      <c r="K1942">
        <v>0</v>
      </c>
      <c r="L1942">
        <v>0</v>
      </c>
      <c r="M1942">
        <v>0</v>
      </c>
      <c r="N1942">
        <v>0</v>
      </c>
      <c r="O1942">
        <v>222</v>
      </c>
      <c r="P1942" t="str">
        <f t="shared" si="181"/>
        <v>Normal</v>
      </c>
      <c r="Q1942">
        <v>119</v>
      </c>
      <c r="R1942">
        <v>85</v>
      </c>
      <c r="S1942">
        <v>30.46</v>
      </c>
      <c r="T1942" t="str">
        <f t="shared" si="182"/>
        <v>Obese</v>
      </c>
      <c r="U1942">
        <v>77</v>
      </c>
      <c r="V1942">
        <v>80</v>
      </c>
      <c r="W1942" t="str">
        <f t="shared" si="185"/>
        <v>Normal</v>
      </c>
      <c r="X1942">
        <v>0</v>
      </c>
    </row>
    <row r="1943" spans="1:24" ht="14.5" thickBot="1" x14ac:dyDescent="0.35">
      <c r="A1943">
        <v>0</v>
      </c>
      <c r="B1943" t="str">
        <f t="shared" si="183"/>
        <v>Female</v>
      </c>
      <c r="C1943" s="8">
        <v>48</v>
      </c>
      <c r="D1943" t="str">
        <f t="shared" si="184"/>
        <v>Middle Age</v>
      </c>
      <c r="E1943">
        <v>3</v>
      </c>
      <c r="F1943" t="str">
        <f>HLOOKUP(E1943, LookUP_Table!$A$6:$D$7, 2, FALSE)</f>
        <v>Graduate</v>
      </c>
      <c r="G1943" t="str">
        <f>IFERROR(VLOOKUP(E1943, LookUP_Table!$A$1:$B$4, 2, FALSE), "")</f>
        <v>Graduate</v>
      </c>
      <c r="H1943">
        <v>0</v>
      </c>
      <c r="I1943">
        <v>0</v>
      </c>
      <c r="J1943" t="str">
        <f t="shared" si="180"/>
        <v>Non-Smoker</v>
      </c>
      <c r="K1943">
        <v>0</v>
      </c>
      <c r="L1943">
        <v>0</v>
      </c>
      <c r="M1943">
        <v>0</v>
      </c>
      <c r="N1943">
        <v>0</v>
      </c>
      <c r="O1943">
        <v>231</v>
      </c>
      <c r="P1943" t="str">
        <f t="shared" si="181"/>
        <v>Normal</v>
      </c>
      <c r="Q1943">
        <v>131</v>
      </c>
      <c r="R1943">
        <v>80</v>
      </c>
      <c r="S1943">
        <v>21.14</v>
      </c>
      <c r="T1943" t="str">
        <f t="shared" si="182"/>
        <v>Normal</v>
      </c>
      <c r="U1943">
        <v>70</v>
      </c>
      <c r="V1943">
        <v>85</v>
      </c>
      <c r="W1943" t="str">
        <f t="shared" si="185"/>
        <v>Normal</v>
      </c>
      <c r="X1943">
        <v>0</v>
      </c>
    </row>
    <row r="1944" spans="1:24" ht="14.5" thickBot="1" x14ac:dyDescent="0.35">
      <c r="A1944">
        <v>1</v>
      </c>
      <c r="B1944" t="str">
        <f t="shared" si="183"/>
        <v>Male</v>
      </c>
      <c r="C1944" s="8">
        <v>48</v>
      </c>
      <c r="D1944" t="str">
        <f t="shared" si="184"/>
        <v>Middle Age</v>
      </c>
      <c r="E1944">
        <v>2</v>
      </c>
      <c r="F1944" t="str">
        <f>HLOOKUP(E1944, LookUP_Table!$A$6:$D$7, 2, FALSE)</f>
        <v>Secondary</v>
      </c>
      <c r="G1944" t="str">
        <f>IFERROR(VLOOKUP(E1944, LookUP_Table!$A$1:$B$4, 2, FALSE), "")</f>
        <v>Secondary</v>
      </c>
      <c r="H1944">
        <v>0</v>
      </c>
      <c r="I1944">
        <v>0</v>
      </c>
      <c r="J1944" t="str">
        <f t="shared" si="180"/>
        <v>Non-Smoker</v>
      </c>
      <c r="K1944">
        <v>0</v>
      </c>
      <c r="L1944">
        <v>0</v>
      </c>
      <c r="M1944">
        <v>0</v>
      </c>
      <c r="N1944">
        <v>0</v>
      </c>
      <c r="O1944">
        <v>247</v>
      </c>
      <c r="P1944" t="str">
        <f t="shared" si="181"/>
        <v>High</v>
      </c>
      <c r="Q1944">
        <v>131</v>
      </c>
      <c r="R1944">
        <v>79</v>
      </c>
      <c r="S1944">
        <v>22.12</v>
      </c>
      <c r="T1944" t="str">
        <f t="shared" si="182"/>
        <v>Normal</v>
      </c>
      <c r="U1944">
        <v>78</v>
      </c>
      <c r="V1944">
        <v>83</v>
      </c>
      <c r="W1944" t="str">
        <f t="shared" si="185"/>
        <v>Normal</v>
      </c>
      <c r="X1944">
        <v>0</v>
      </c>
    </row>
    <row r="1945" spans="1:24" ht="14.5" thickBot="1" x14ac:dyDescent="0.35">
      <c r="A1945">
        <v>0</v>
      </c>
      <c r="B1945" t="str">
        <f t="shared" si="183"/>
        <v>Female</v>
      </c>
      <c r="C1945" s="8">
        <v>48</v>
      </c>
      <c r="D1945" t="str">
        <f t="shared" si="184"/>
        <v>Middle Age</v>
      </c>
      <c r="E1945">
        <v>1</v>
      </c>
      <c r="F1945" t="str">
        <f>HLOOKUP(E1945, LookUP_Table!$A$6:$D$7, 2, FALSE)</f>
        <v>Primary</v>
      </c>
      <c r="G1945" t="str">
        <f>IFERROR(VLOOKUP(E1945, LookUP_Table!$A$1:$B$4, 2, FALSE), "")</f>
        <v>Primary</v>
      </c>
      <c r="H1945">
        <v>0</v>
      </c>
      <c r="I1945">
        <v>0</v>
      </c>
      <c r="J1945" t="str">
        <f t="shared" si="180"/>
        <v>Non-Smoker</v>
      </c>
      <c r="K1945">
        <v>0</v>
      </c>
      <c r="L1945">
        <v>0</v>
      </c>
      <c r="M1945">
        <v>0</v>
      </c>
      <c r="N1945">
        <v>0</v>
      </c>
      <c r="O1945">
        <v>224</v>
      </c>
      <c r="P1945" t="str">
        <f t="shared" si="181"/>
        <v>Normal</v>
      </c>
      <c r="Q1945">
        <v>131</v>
      </c>
      <c r="R1945">
        <v>92</v>
      </c>
      <c r="S1945">
        <v>26.13</v>
      </c>
      <c r="T1945" t="str">
        <f t="shared" si="182"/>
        <v>Overweight</v>
      </c>
      <c r="U1945">
        <v>68</v>
      </c>
      <c r="V1945">
        <v>81.96365524402907</v>
      </c>
      <c r="W1945" t="str">
        <f t="shared" si="185"/>
        <v>Normal</v>
      </c>
      <c r="X1945">
        <v>0</v>
      </c>
    </row>
    <row r="1946" spans="1:24" ht="14.5" thickBot="1" x14ac:dyDescent="0.35">
      <c r="A1946">
        <v>1</v>
      </c>
      <c r="B1946" t="str">
        <f t="shared" si="183"/>
        <v>Male</v>
      </c>
      <c r="C1946" s="8">
        <v>48</v>
      </c>
      <c r="D1946" t="str">
        <f t="shared" si="184"/>
        <v>Middle Age</v>
      </c>
      <c r="E1946">
        <v>1</v>
      </c>
      <c r="F1946" t="str">
        <f>HLOOKUP(E1946, LookUP_Table!$A$6:$D$7, 2, FALSE)</f>
        <v>Primary</v>
      </c>
      <c r="G1946" t="str">
        <f>IFERROR(VLOOKUP(E1946, LookUP_Table!$A$1:$B$4, 2, FALSE), "")</f>
        <v>Primary</v>
      </c>
      <c r="H1946">
        <v>1</v>
      </c>
      <c r="I1946">
        <v>9</v>
      </c>
      <c r="J1946" t="str">
        <f t="shared" si="180"/>
        <v>Smoker</v>
      </c>
      <c r="K1946">
        <v>0</v>
      </c>
      <c r="L1946">
        <v>0</v>
      </c>
      <c r="M1946">
        <v>1</v>
      </c>
      <c r="N1946">
        <v>0</v>
      </c>
      <c r="O1946">
        <v>203</v>
      </c>
      <c r="P1946" t="str">
        <f t="shared" si="181"/>
        <v>Normal</v>
      </c>
      <c r="Q1946">
        <v>117.5</v>
      </c>
      <c r="R1946">
        <v>92</v>
      </c>
      <c r="S1946">
        <v>27.75</v>
      </c>
      <c r="T1946" t="str">
        <f t="shared" si="182"/>
        <v>Overweight</v>
      </c>
      <c r="U1946">
        <v>80</v>
      </c>
      <c r="V1946">
        <v>115</v>
      </c>
      <c r="W1946" t="str">
        <f t="shared" si="185"/>
        <v>Prediabetes</v>
      </c>
      <c r="X1946">
        <v>0</v>
      </c>
    </row>
    <row r="1947" spans="1:24" ht="14.5" thickBot="1" x14ac:dyDescent="0.35">
      <c r="A1947">
        <v>1</v>
      </c>
      <c r="B1947" t="str">
        <f t="shared" si="183"/>
        <v>Male</v>
      </c>
      <c r="C1947" s="8">
        <v>48</v>
      </c>
      <c r="D1947" t="str">
        <f t="shared" si="184"/>
        <v>Middle Age</v>
      </c>
      <c r="E1947">
        <v>1</v>
      </c>
      <c r="F1947" t="str">
        <f>HLOOKUP(E1947, LookUP_Table!$A$6:$D$7, 2, FALSE)</f>
        <v>Primary</v>
      </c>
      <c r="G1947" t="str">
        <f>IFERROR(VLOOKUP(E1947, LookUP_Table!$A$1:$B$4, 2, FALSE), "")</f>
        <v>Primary</v>
      </c>
      <c r="H1947">
        <v>1</v>
      </c>
      <c r="I1947">
        <v>30</v>
      </c>
      <c r="J1947" t="str">
        <f t="shared" si="180"/>
        <v>Smoker</v>
      </c>
      <c r="K1947">
        <v>0</v>
      </c>
      <c r="L1947">
        <v>0</v>
      </c>
      <c r="M1947">
        <v>0</v>
      </c>
      <c r="N1947">
        <v>0</v>
      </c>
      <c r="O1947">
        <v>150</v>
      </c>
      <c r="P1947" t="str">
        <f t="shared" si="181"/>
        <v>Normal</v>
      </c>
      <c r="Q1947">
        <v>127.5</v>
      </c>
      <c r="R1947">
        <v>75</v>
      </c>
      <c r="S1947">
        <v>26.6</v>
      </c>
      <c r="T1947" t="str">
        <f t="shared" si="182"/>
        <v>Overweight</v>
      </c>
      <c r="U1947">
        <v>75</v>
      </c>
      <c r="V1947">
        <v>112</v>
      </c>
      <c r="W1947" t="str">
        <f t="shared" si="185"/>
        <v>Prediabetes</v>
      </c>
      <c r="X1947">
        <v>0</v>
      </c>
    </row>
    <row r="1948" spans="1:24" ht="14.5" thickBot="1" x14ac:dyDescent="0.35">
      <c r="A1948">
        <v>0</v>
      </c>
      <c r="B1948" t="str">
        <f t="shared" si="183"/>
        <v>Female</v>
      </c>
      <c r="C1948" s="8">
        <v>48</v>
      </c>
      <c r="D1948" t="str">
        <f t="shared" si="184"/>
        <v>Middle Age</v>
      </c>
      <c r="E1948">
        <v>3</v>
      </c>
      <c r="F1948" t="str">
        <f>HLOOKUP(E1948, LookUP_Table!$A$6:$D$7, 2, FALSE)</f>
        <v>Graduate</v>
      </c>
      <c r="G1948" t="str">
        <f>IFERROR(VLOOKUP(E1948, LookUP_Table!$A$1:$B$4, 2, FALSE), "")</f>
        <v>Graduate</v>
      </c>
      <c r="H1948">
        <v>1</v>
      </c>
      <c r="I1948">
        <v>5</v>
      </c>
      <c r="J1948" t="str">
        <f t="shared" si="180"/>
        <v>Smoker</v>
      </c>
      <c r="K1948">
        <v>0</v>
      </c>
      <c r="L1948">
        <v>0</v>
      </c>
      <c r="M1948">
        <v>0</v>
      </c>
      <c r="N1948">
        <v>0</v>
      </c>
      <c r="O1948">
        <v>192</v>
      </c>
      <c r="P1948" t="str">
        <f t="shared" si="181"/>
        <v>Normal</v>
      </c>
      <c r="Q1948">
        <v>135</v>
      </c>
      <c r="R1948">
        <v>82.5</v>
      </c>
      <c r="S1948">
        <v>32.67</v>
      </c>
      <c r="T1948" t="str">
        <f t="shared" si="182"/>
        <v>Obese</v>
      </c>
      <c r="U1948">
        <v>67</v>
      </c>
      <c r="V1948">
        <v>69</v>
      </c>
      <c r="W1948" t="str">
        <f t="shared" si="185"/>
        <v>Normal</v>
      </c>
      <c r="X1948">
        <v>0</v>
      </c>
    </row>
    <row r="1949" spans="1:24" ht="14.5" thickBot="1" x14ac:dyDescent="0.35">
      <c r="A1949">
        <v>1</v>
      </c>
      <c r="B1949" t="str">
        <f t="shared" si="183"/>
        <v>Male</v>
      </c>
      <c r="C1949" s="8">
        <v>48</v>
      </c>
      <c r="D1949" t="str">
        <f t="shared" si="184"/>
        <v>Middle Age</v>
      </c>
      <c r="E1949">
        <v>1</v>
      </c>
      <c r="F1949" t="str">
        <f>HLOOKUP(E1949, LookUP_Table!$A$6:$D$7, 2, FALSE)</f>
        <v>Primary</v>
      </c>
      <c r="G1949" t="str">
        <f>IFERROR(VLOOKUP(E1949, LookUP_Table!$A$1:$B$4, 2, FALSE), "")</f>
        <v>Primary</v>
      </c>
      <c r="H1949">
        <v>0</v>
      </c>
      <c r="I1949">
        <v>0</v>
      </c>
      <c r="J1949" t="str">
        <f t="shared" si="180"/>
        <v>Non-Smoker</v>
      </c>
      <c r="K1949">
        <v>0</v>
      </c>
      <c r="L1949">
        <v>0</v>
      </c>
      <c r="M1949">
        <v>0</v>
      </c>
      <c r="N1949">
        <v>0</v>
      </c>
      <c r="O1949">
        <v>270</v>
      </c>
      <c r="P1949" t="str">
        <f t="shared" si="181"/>
        <v>High</v>
      </c>
      <c r="Q1949">
        <v>131</v>
      </c>
      <c r="R1949">
        <v>88</v>
      </c>
      <c r="S1949">
        <v>27.13</v>
      </c>
      <c r="T1949" t="str">
        <f t="shared" si="182"/>
        <v>Overweight</v>
      </c>
      <c r="U1949">
        <v>63</v>
      </c>
      <c r="V1949">
        <v>55</v>
      </c>
      <c r="W1949" t="str">
        <f t="shared" si="185"/>
        <v>Normal</v>
      </c>
      <c r="X1949">
        <v>0</v>
      </c>
    </row>
    <row r="1950" spans="1:24" ht="14.5" thickBot="1" x14ac:dyDescent="0.35">
      <c r="A1950">
        <v>1</v>
      </c>
      <c r="B1950" t="str">
        <f t="shared" si="183"/>
        <v>Male</v>
      </c>
      <c r="C1950" s="8">
        <v>48</v>
      </c>
      <c r="D1950" t="str">
        <f t="shared" si="184"/>
        <v>Middle Age</v>
      </c>
      <c r="E1950">
        <v>2</v>
      </c>
      <c r="F1950" t="str">
        <f>HLOOKUP(E1950, LookUP_Table!$A$6:$D$7, 2, FALSE)</f>
        <v>Secondary</v>
      </c>
      <c r="G1950" t="str">
        <f>IFERROR(VLOOKUP(E1950, LookUP_Table!$A$1:$B$4, 2, FALSE), "")</f>
        <v>Secondary</v>
      </c>
      <c r="H1950">
        <v>0</v>
      </c>
      <c r="I1950">
        <v>0</v>
      </c>
      <c r="J1950" t="str">
        <f t="shared" si="180"/>
        <v>Non-Smoker</v>
      </c>
      <c r="K1950">
        <v>0</v>
      </c>
      <c r="L1950">
        <v>0</v>
      </c>
      <c r="M1950">
        <v>0</v>
      </c>
      <c r="N1950">
        <v>0</v>
      </c>
      <c r="O1950">
        <v>287</v>
      </c>
      <c r="P1950" t="str">
        <f t="shared" si="181"/>
        <v>High</v>
      </c>
      <c r="Q1950">
        <v>141.5</v>
      </c>
      <c r="R1950">
        <v>82</v>
      </c>
      <c r="S1950">
        <v>27.88</v>
      </c>
      <c r="T1950" t="str">
        <f t="shared" si="182"/>
        <v>Overweight</v>
      </c>
      <c r="U1950">
        <v>84</v>
      </c>
      <c r="V1950">
        <v>81.96365524402907</v>
      </c>
      <c r="W1950" t="str">
        <f t="shared" si="185"/>
        <v>Normal</v>
      </c>
      <c r="X1950">
        <v>0</v>
      </c>
    </row>
    <row r="1951" spans="1:24" ht="14.5" thickBot="1" x14ac:dyDescent="0.35">
      <c r="A1951">
        <v>0</v>
      </c>
      <c r="B1951" t="str">
        <f t="shared" si="183"/>
        <v>Female</v>
      </c>
      <c r="C1951" s="8">
        <v>48</v>
      </c>
      <c r="D1951" t="str">
        <f t="shared" si="184"/>
        <v>Middle Age</v>
      </c>
      <c r="E1951">
        <v>2</v>
      </c>
      <c r="F1951" t="str">
        <f>HLOOKUP(E1951, LookUP_Table!$A$6:$D$7, 2, FALSE)</f>
        <v>Secondary</v>
      </c>
      <c r="G1951" t="str">
        <f>IFERROR(VLOOKUP(E1951, LookUP_Table!$A$1:$B$4, 2, FALSE), "")</f>
        <v>Secondary</v>
      </c>
      <c r="H1951">
        <v>0</v>
      </c>
      <c r="I1951">
        <v>0</v>
      </c>
      <c r="J1951" t="str">
        <f t="shared" si="180"/>
        <v>Non-Smoker</v>
      </c>
      <c r="K1951">
        <v>0</v>
      </c>
      <c r="L1951">
        <v>0</v>
      </c>
      <c r="M1951">
        <v>0</v>
      </c>
      <c r="N1951">
        <v>0</v>
      </c>
      <c r="O1951">
        <v>273</v>
      </c>
      <c r="P1951" t="str">
        <f t="shared" si="181"/>
        <v>High</v>
      </c>
      <c r="Q1951">
        <v>132</v>
      </c>
      <c r="R1951">
        <v>85</v>
      </c>
      <c r="S1951">
        <v>26.03</v>
      </c>
      <c r="T1951" t="str">
        <f t="shared" si="182"/>
        <v>Overweight</v>
      </c>
      <c r="U1951">
        <v>70</v>
      </c>
      <c r="V1951">
        <v>78</v>
      </c>
      <c r="W1951" t="str">
        <f t="shared" si="185"/>
        <v>Normal</v>
      </c>
      <c r="X1951">
        <v>0</v>
      </c>
    </row>
    <row r="1952" spans="1:24" ht="14.5" thickBot="1" x14ac:dyDescent="0.35">
      <c r="A1952">
        <v>1</v>
      </c>
      <c r="B1952" t="str">
        <f t="shared" si="183"/>
        <v>Male</v>
      </c>
      <c r="C1952" s="8">
        <v>48</v>
      </c>
      <c r="D1952" t="str">
        <f t="shared" si="184"/>
        <v>Middle Age</v>
      </c>
      <c r="E1952">
        <v>1</v>
      </c>
      <c r="F1952" t="str">
        <f>HLOOKUP(E1952, LookUP_Table!$A$6:$D$7, 2, FALSE)</f>
        <v>Primary</v>
      </c>
      <c r="G1952" t="str">
        <f>IFERROR(VLOOKUP(E1952, LookUP_Table!$A$1:$B$4, 2, FALSE), "")</f>
        <v>Primary</v>
      </c>
      <c r="H1952">
        <v>0</v>
      </c>
      <c r="I1952">
        <v>0</v>
      </c>
      <c r="J1952" t="str">
        <f t="shared" si="180"/>
        <v>Non-Smoker</v>
      </c>
      <c r="K1952">
        <v>0</v>
      </c>
      <c r="L1952">
        <v>0</v>
      </c>
      <c r="M1952">
        <v>0</v>
      </c>
      <c r="N1952">
        <v>0</v>
      </c>
      <c r="O1952">
        <v>181</v>
      </c>
      <c r="P1952" t="str">
        <f t="shared" si="181"/>
        <v>Normal</v>
      </c>
      <c r="Q1952">
        <v>153</v>
      </c>
      <c r="R1952">
        <v>93</v>
      </c>
      <c r="S1952">
        <v>29.34</v>
      </c>
      <c r="T1952" t="str">
        <f t="shared" si="182"/>
        <v>Overweight</v>
      </c>
      <c r="U1952">
        <v>103</v>
      </c>
      <c r="V1952">
        <v>88</v>
      </c>
      <c r="W1952" t="str">
        <f t="shared" si="185"/>
        <v>Normal</v>
      </c>
      <c r="X1952">
        <v>0</v>
      </c>
    </row>
    <row r="1953" spans="1:24" ht="14.5" thickBot="1" x14ac:dyDescent="0.35">
      <c r="A1953">
        <v>0</v>
      </c>
      <c r="B1953" t="str">
        <f t="shared" si="183"/>
        <v>Female</v>
      </c>
      <c r="C1953" s="8">
        <v>48</v>
      </c>
      <c r="D1953" t="str">
        <f t="shared" si="184"/>
        <v>Middle Age</v>
      </c>
      <c r="E1953">
        <v>1</v>
      </c>
      <c r="F1953" t="str">
        <f>HLOOKUP(E1953, LookUP_Table!$A$6:$D$7, 2, FALSE)</f>
        <v>Primary</v>
      </c>
      <c r="G1953" t="str">
        <f>IFERROR(VLOOKUP(E1953, LookUP_Table!$A$1:$B$4, 2, FALSE), "")</f>
        <v>Primary</v>
      </c>
      <c r="H1953">
        <v>0</v>
      </c>
      <c r="I1953">
        <v>0</v>
      </c>
      <c r="J1953" t="str">
        <f t="shared" si="180"/>
        <v>Non-Smoker</v>
      </c>
      <c r="K1953">
        <v>0</v>
      </c>
      <c r="L1953">
        <v>0</v>
      </c>
      <c r="M1953">
        <v>1</v>
      </c>
      <c r="N1953">
        <v>0</v>
      </c>
      <c r="O1953">
        <v>169</v>
      </c>
      <c r="P1953" t="str">
        <f t="shared" si="181"/>
        <v>Normal</v>
      </c>
      <c r="Q1953">
        <v>243</v>
      </c>
      <c r="R1953">
        <v>142.5</v>
      </c>
      <c r="S1953">
        <v>28.49</v>
      </c>
      <c r="T1953" t="str">
        <f t="shared" si="182"/>
        <v>Overweight</v>
      </c>
      <c r="U1953">
        <v>85</v>
      </c>
      <c r="V1953">
        <v>77</v>
      </c>
      <c r="W1953" t="str">
        <f t="shared" si="185"/>
        <v>Normal</v>
      </c>
      <c r="X1953">
        <v>0</v>
      </c>
    </row>
    <row r="1954" spans="1:24" ht="14.5" thickBot="1" x14ac:dyDescent="0.35">
      <c r="A1954">
        <v>1</v>
      </c>
      <c r="B1954" t="str">
        <f t="shared" si="183"/>
        <v>Male</v>
      </c>
      <c r="C1954" s="8">
        <v>48</v>
      </c>
      <c r="D1954" t="str">
        <f t="shared" si="184"/>
        <v>Middle Age</v>
      </c>
      <c r="E1954">
        <v>2</v>
      </c>
      <c r="F1954" t="str">
        <f>HLOOKUP(E1954, LookUP_Table!$A$6:$D$7, 2, FALSE)</f>
        <v>Secondary</v>
      </c>
      <c r="G1954" t="str">
        <f>IFERROR(VLOOKUP(E1954, LookUP_Table!$A$1:$B$4, 2, FALSE), "")</f>
        <v>Secondary</v>
      </c>
      <c r="H1954">
        <v>1</v>
      </c>
      <c r="I1954">
        <v>40</v>
      </c>
      <c r="J1954" t="str">
        <f t="shared" si="180"/>
        <v>Smoker</v>
      </c>
      <c r="K1954">
        <v>0</v>
      </c>
      <c r="L1954">
        <v>0</v>
      </c>
      <c r="M1954">
        <v>0</v>
      </c>
      <c r="N1954">
        <v>0</v>
      </c>
      <c r="O1954">
        <v>226</v>
      </c>
      <c r="P1954" t="str">
        <f t="shared" si="181"/>
        <v>Normal</v>
      </c>
      <c r="Q1954">
        <v>117.5</v>
      </c>
      <c r="R1954">
        <v>80</v>
      </c>
      <c r="S1954">
        <v>26.18</v>
      </c>
      <c r="T1954" t="str">
        <f t="shared" si="182"/>
        <v>Overweight</v>
      </c>
      <c r="U1954">
        <v>60</v>
      </c>
      <c r="V1954">
        <v>66</v>
      </c>
      <c r="W1954" t="str">
        <f t="shared" si="185"/>
        <v>Normal</v>
      </c>
      <c r="X1954">
        <v>0</v>
      </c>
    </row>
    <row r="1955" spans="1:24" ht="14.5" thickBot="1" x14ac:dyDescent="0.35">
      <c r="A1955">
        <v>0</v>
      </c>
      <c r="B1955" t="str">
        <f t="shared" si="183"/>
        <v>Female</v>
      </c>
      <c r="C1955" s="8">
        <v>48</v>
      </c>
      <c r="D1955" t="str">
        <f t="shared" si="184"/>
        <v>Middle Age</v>
      </c>
      <c r="E1955">
        <v>1</v>
      </c>
      <c r="F1955" t="str">
        <f>HLOOKUP(E1955, LookUP_Table!$A$6:$D$7, 2, FALSE)</f>
        <v>Primary</v>
      </c>
      <c r="G1955" t="str">
        <f>IFERROR(VLOOKUP(E1955, LookUP_Table!$A$1:$B$4, 2, FALSE), "")</f>
        <v>Primary</v>
      </c>
      <c r="H1955">
        <v>1</v>
      </c>
      <c r="I1955">
        <v>25</v>
      </c>
      <c r="J1955" t="str">
        <f t="shared" si="180"/>
        <v>Smoker</v>
      </c>
      <c r="K1955">
        <v>0</v>
      </c>
      <c r="L1955">
        <v>0</v>
      </c>
      <c r="M1955">
        <v>0</v>
      </c>
      <c r="N1955">
        <v>1</v>
      </c>
      <c r="O1955">
        <v>304</v>
      </c>
      <c r="P1955" t="str">
        <f t="shared" si="181"/>
        <v>High</v>
      </c>
      <c r="Q1955">
        <v>102</v>
      </c>
      <c r="R1955">
        <v>66.5</v>
      </c>
      <c r="S1955">
        <v>28.9</v>
      </c>
      <c r="T1955" t="str">
        <f t="shared" si="182"/>
        <v>Overweight</v>
      </c>
      <c r="U1955">
        <v>100</v>
      </c>
      <c r="V1955">
        <v>66</v>
      </c>
      <c r="W1955" t="str">
        <f t="shared" si="185"/>
        <v>Normal</v>
      </c>
      <c r="X1955">
        <v>1</v>
      </c>
    </row>
    <row r="1956" spans="1:24" ht="14.5" thickBot="1" x14ac:dyDescent="0.35">
      <c r="A1956">
        <v>0</v>
      </c>
      <c r="B1956" t="str">
        <f t="shared" si="183"/>
        <v>Female</v>
      </c>
      <c r="C1956" s="8">
        <v>48</v>
      </c>
      <c r="D1956" t="str">
        <f t="shared" si="184"/>
        <v>Middle Age</v>
      </c>
      <c r="E1956">
        <v>2</v>
      </c>
      <c r="F1956" t="str">
        <f>HLOOKUP(E1956, LookUP_Table!$A$6:$D$7, 2, FALSE)</f>
        <v>Secondary</v>
      </c>
      <c r="G1956" t="str">
        <f>IFERROR(VLOOKUP(E1956, LookUP_Table!$A$1:$B$4, 2, FALSE), "")</f>
        <v>Secondary</v>
      </c>
      <c r="H1956">
        <v>0</v>
      </c>
      <c r="I1956">
        <v>0</v>
      </c>
      <c r="J1956" t="str">
        <f t="shared" si="180"/>
        <v>Non-Smoker</v>
      </c>
      <c r="K1956">
        <v>0</v>
      </c>
      <c r="L1956">
        <v>0</v>
      </c>
      <c r="M1956">
        <v>1</v>
      </c>
      <c r="N1956">
        <v>0</v>
      </c>
      <c r="O1956">
        <v>211</v>
      </c>
      <c r="P1956" t="str">
        <f t="shared" si="181"/>
        <v>Normal</v>
      </c>
      <c r="Q1956">
        <v>149</v>
      </c>
      <c r="R1956">
        <v>100</v>
      </c>
      <c r="S1956">
        <v>30.91</v>
      </c>
      <c r="T1956" t="str">
        <f t="shared" si="182"/>
        <v>Obese</v>
      </c>
      <c r="U1956">
        <v>78</v>
      </c>
      <c r="V1956">
        <v>62</v>
      </c>
      <c r="W1956" t="str">
        <f t="shared" si="185"/>
        <v>Normal</v>
      </c>
      <c r="X1956">
        <v>0</v>
      </c>
    </row>
    <row r="1957" spans="1:24" ht="14.5" thickBot="1" x14ac:dyDescent="0.35">
      <c r="A1957">
        <v>0</v>
      </c>
      <c r="B1957" t="str">
        <f t="shared" si="183"/>
        <v>Female</v>
      </c>
      <c r="C1957" s="8">
        <v>48</v>
      </c>
      <c r="D1957" t="str">
        <f t="shared" si="184"/>
        <v>Middle Age</v>
      </c>
      <c r="E1957">
        <v>3</v>
      </c>
      <c r="F1957" t="str">
        <f>HLOOKUP(E1957, LookUP_Table!$A$6:$D$7, 2, FALSE)</f>
        <v>Graduate</v>
      </c>
      <c r="G1957" t="str">
        <f>IFERROR(VLOOKUP(E1957, LookUP_Table!$A$1:$B$4, 2, FALSE), "")</f>
        <v>Graduate</v>
      </c>
      <c r="H1957">
        <v>1</v>
      </c>
      <c r="I1957">
        <v>3</v>
      </c>
      <c r="J1957" t="str">
        <f t="shared" si="180"/>
        <v>Smoker</v>
      </c>
      <c r="K1957">
        <v>0</v>
      </c>
      <c r="L1957">
        <v>0</v>
      </c>
      <c r="M1957">
        <v>0</v>
      </c>
      <c r="N1957">
        <v>0</v>
      </c>
      <c r="O1957">
        <v>246</v>
      </c>
      <c r="P1957" t="str">
        <f t="shared" si="181"/>
        <v>High</v>
      </c>
      <c r="Q1957">
        <v>129</v>
      </c>
      <c r="R1957">
        <v>86</v>
      </c>
      <c r="S1957">
        <v>25.04</v>
      </c>
      <c r="T1957" t="str">
        <f t="shared" si="182"/>
        <v>Overweight</v>
      </c>
      <c r="U1957">
        <v>80</v>
      </c>
      <c r="V1957">
        <v>87</v>
      </c>
      <c r="W1957" t="str">
        <f t="shared" si="185"/>
        <v>Normal</v>
      </c>
      <c r="X1957">
        <v>0</v>
      </c>
    </row>
    <row r="1958" spans="1:24" ht="14.5" thickBot="1" x14ac:dyDescent="0.35">
      <c r="A1958">
        <v>1</v>
      </c>
      <c r="B1958" t="str">
        <f t="shared" si="183"/>
        <v>Male</v>
      </c>
      <c r="C1958" s="8">
        <v>48</v>
      </c>
      <c r="D1958" t="str">
        <f t="shared" si="184"/>
        <v>Middle Age</v>
      </c>
      <c r="E1958">
        <v>1</v>
      </c>
      <c r="F1958" t="str">
        <f>HLOOKUP(E1958, LookUP_Table!$A$6:$D$7, 2, FALSE)</f>
        <v>Primary</v>
      </c>
      <c r="G1958" t="str">
        <f>IFERROR(VLOOKUP(E1958, LookUP_Table!$A$1:$B$4, 2, FALSE), "")</f>
        <v>Primary</v>
      </c>
      <c r="H1958">
        <v>1</v>
      </c>
      <c r="I1958">
        <v>30</v>
      </c>
      <c r="J1958" t="str">
        <f t="shared" si="180"/>
        <v>Smoker</v>
      </c>
      <c r="K1958">
        <v>0</v>
      </c>
      <c r="L1958">
        <v>0</v>
      </c>
      <c r="M1958">
        <v>0</v>
      </c>
      <c r="N1958">
        <v>0</v>
      </c>
      <c r="O1958">
        <v>212</v>
      </c>
      <c r="P1958" t="str">
        <f t="shared" si="181"/>
        <v>Normal</v>
      </c>
      <c r="Q1958">
        <v>139</v>
      </c>
      <c r="R1958">
        <v>86</v>
      </c>
      <c r="S1958">
        <v>20.27</v>
      </c>
      <c r="T1958" t="str">
        <f t="shared" si="182"/>
        <v>Normal</v>
      </c>
      <c r="U1958">
        <v>66</v>
      </c>
      <c r="V1958">
        <v>62</v>
      </c>
      <c r="W1958" t="str">
        <f t="shared" si="185"/>
        <v>Normal</v>
      </c>
      <c r="X1958">
        <v>1</v>
      </c>
    </row>
    <row r="1959" spans="1:24" ht="14.5" thickBot="1" x14ac:dyDescent="0.35">
      <c r="A1959">
        <v>0</v>
      </c>
      <c r="B1959" t="str">
        <f t="shared" si="183"/>
        <v>Female</v>
      </c>
      <c r="C1959" s="8">
        <v>48</v>
      </c>
      <c r="D1959" t="str">
        <f t="shared" si="184"/>
        <v>Middle Age</v>
      </c>
      <c r="E1959">
        <v>1</v>
      </c>
      <c r="F1959" t="str">
        <f>HLOOKUP(E1959, LookUP_Table!$A$6:$D$7, 2, FALSE)</f>
        <v>Primary</v>
      </c>
      <c r="G1959" t="str">
        <f>IFERROR(VLOOKUP(E1959, LookUP_Table!$A$1:$B$4, 2, FALSE), "")</f>
        <v>Primary</v>
      </c>
      <c r="H1959">
        <v>0</v>
      </c>
      <c r="I1959">
        <v>0</v>
      </c>
      <c r="J1959" t="str">
        <f t="shared" si="180"/>
        <v>Non-Smoker</v>
      </c>
      <c r="K1959">
        <v>0</v>
      </c>
      <c r="L1959">
        <v>0</v>
      </c>
      <c r="M1959">
        <v>0</v>
      </c>
      <c r="N1959">
        <v>0</v>
      </c>
      <c r="O1959">
        <v>250</v>
      </c>
      <c r="P1959" t="str">
        <f t="shared" si="181"/>
        <v>High</v>
      </c>
      <c r="Q1959">
        <v>117</v>
      </c>
      <c r="R1959">
        <v>81</v>
      </c>
      <c r="S1959">
        <v>27.04</v>
      </c>
      <c r="T1959" t="str">
        <f t="shared" si="182"/>
        <v>Overweight</v>
      </c>
      <c r="U1959">
        <v>80</v>
      </c>
      <c r="V1959">
        <v>65</v>
      </c>
      <c r="W1959" t="str">
        <f t="shared" si="185"/>
        <v>Normal</v>
      </c>
      <c r="X1959">
        <v>0</v>
      </c>
    </row>
    <row r="1960" spans="1:24" ht="14.5" thickBot="1" x14ac:dyDescent="0.35">
      <c r="A1960">
        <v>0</v>
      </c>
      <c r="B1960" t="str">
        <f t="shared" si="183"/>
        <v>Female</v>
      </c>
      <c r="C1960" s="8">
        <v>48</v>
      </c>
      <c r="D1960" t="str">
        <f t="shared" si="184"/>
        <v>Middle Age</v>
      </c>
      <c r="E1960">
        <v>2</v>
      </c>
      <c r="F1960" t="str">
        <f>HLOOKUP(E1960, LookUP_Table!$A$6:$D$7, 2, FALSE)</f>
        <v>Secondary</v>
      </c>
      <c r="G1960" t="str">
        <f>IFERROR(VLOOKUP(E1960, LookUP_Table!$A$1:$B$4, 2, FALSE), "")</f>
        <v>Secondary</v>
      </c>
      <c r="H1960">
        <v>1</v>
      </c>
      <c r="I1960">
        <v>20</v>
      </c>
      <c r="J1960" t="str">
        <f t="shared" si="180"/>
        <v>Smoker</v>
      </c>
      <c r="K1960">
        <v>0</v>
      </c>
      <c r="L1960">
        <v>0</v>
      </c>
      <c r="M1960">
        <v>1</v>
      </c>
      <c r="N1960">
        <v>0</v>
      </c>
      <c r="O1960">
        <v>236.69952267303103</v>
      </c>
      <c r="P1960" t="str">
        <f t="shared" si="181"/>
        <v>Normal</v>
      </c>
      <c r="Q1960">
        <v>153.5</v>
      </c>
      <c r="R1960">
        <v>95</v>
      </c>
      <c r="S1960">
        <v>26.35</v>
      </c>
      <c r="T1960" t="str">
        <f t="shared" si="182"/>
        <v>Overweight</v>
      </c>
      <c r="U1960">
        <v>100</v>
      </c>
      <c r="V1960">
        <v>81.96365524402907</v>
      </c>
      <c r="W1960" t="str">
        <f t="shared" si="185"/>
        <v>Normal</v>
      </c>
      <c r="X1960">
        <v>0</v>
      </c>
    </row>
    <row r="1961" spans="1:24" ht="14.5" thickBot="1" x14ac:dyDescent="0.35">
      <c r="A1961">
        <v>0</v>
      </c>
      <c r="B1961" t="str">
        <f t="shared" si="183"/>
        <v>Female</v>
      </c>
      <c r="C1961" s="8">
        <v>48</v>
      </c>
      <c r="D1961" t="str">
        <f t="shared" si="184"/>
        <v>Middle Age</v>
      </c>
      <c r="E1961">
        <v>2</v>
      </c>
      <c r="F1961" t="str">
        <f>HLOOKUP(E1961, LookUP_Table!$A$6:$D$7, 2, FALSE)</f>
        <v>Secondary</v>
      </c>
      <c r="G1961" t="str">
        <f>IFERROR(VLOOKUP(E1961, LookUP_Table!$A$1:$B$4, 2, FALSE), "")</f>
        <v>Secondary</v>
      </c>
      <c r="H1961">
        <v>0</v>
      </c>
      <c r="I1961">
        <v>0</v>
      </c>
      <c r="J1961" t="str">
        <f t="shared" si="180"/>
        <v>Non-Smoker</v>
      </c>
      <c r="K1961">
        <v>0</v>
      </c>
      <c r="L1961">
        <v>0</v>
      </c>
      <c r="M1961">
        <v>0</v>
      </c>
      <c r="N1961">
        <v>0</v>
      </c>
      <c r="O1961">
        <v>231</v>
      </c>
      <c r="P1961" t="str">
        <f t="shared" si="181"/>
        <v>Normal</v>
      </c>
      <c r="Q1961">
        <v>115</v>
      </c>
      <c r="R1961">
        <v>69</v>
      </c>
      <c r="S1961">
        <v>25.48</v>
      </c>
      <c r="T1961" t="str">
        <f t="shared" si="182"/>
        <v>Overweight</v>
      </c>
      <c r="U1961">
        <v>90</v>
      </c>
      <c r="V1961">
        <v>77</v>
      </c>
      <c r="W1961" t="str">
        <f t="shared" si="185"/>
        <v>Normal</v>
      </c>
      <c r="X1961">
        <v>0</v>
      </c>
    </row>
    <row r="1962" spans="1:24" ht="14.5" thickBot="1" x14ac:dyDescent="0.35">
      <c r="A1962">
        <v>0</v>
      </c>
      <c r="B1962" t="str">
        <f t="shared" si="183"/>
        <v>Female</v>
      </c>
      <c r="C1962" s="8">
        <v>48</v>
      </c>
      <c r="D1962" t="str">
        <f t="shared" si="184"/>
        <v>Middle Age</v>
      </c>
      <c r="E1962">
        <v>1</v>
      </c>
      <c r="F1962" t="str">
        <f>HLOOKUP(E1962, LookUP_Table!$A$6:$D$7, 2, FALSE)</f>
        <v>Primary</v>
      </c>
      <c r="G1962" t="str">
        <f>IFERROR(VLOOKUP(E1962, LookUP_Table!$A$1:$B$4, 2, FALSE), "")</f>
        <v>Primary</v>
      </c>
      <c r="H1962">
        <v>0</v>
      </c>
      <c r="I1962">
        <v>0</v>
      </c>
      <c r="J1962" t="str">
        <f t="shared" si="180"/>
        <v>Non-Smoker</v>
      </c>
      <c r="K1962">
        <v>0</v>
      </c>
      <c r="L1962">
        <v>0</v>
      </c>
      <c r="M1962">
        <v>0</v>
      </c>
      <c r="N1962">
        <v>0</v>
      </c>
      <c r="O1962">
        <v>205</v>
      </c>
      <c r="P1962" t="str">
        <f t="shared" si="181"/>
        <v>Normal</v>
      </c>
      <c r="Q1962">
        <v>112</v>
      </c>
      <c r="R1962">
        <v>71</v>
      </c>
      <c r="S1962">
        <v>17.11</v>
      </c>
      <c r="T1962" t="str">
        <f t="shared" si="182"/>
        <v>Underweight</v>
      </c>
      <c r="U1962">
        <v>73</v>
      </c>
      <c r="V1962">
        <v>75</v>
      </c>
      <c r="W1962" t="str">
        <f t="shared" si="185"/>
        <v>Normal</v>
      </c>
      <c r="X1962">
        <v>0</v>
      </c>
    </row>
    <row r="1963" spans="1:24" ht="14.5" thickBot="1" x14ac:dyDescent="0.35">
      <c r="A1963">
        <v>0</v>
      </c>
      <c r="B1963" t="str">
        <f t="shared" si="183"/>
        <v>Female</v>
      </c>
      <c r="C1963" s="8">
        <v>48</v>
      </c>
      <c r="D1963" t="str">
        <f t="shared" si="184"/>
        <v>Middle Age</v>
      </c>
      <c r="E1963">
        <v>3</v>
      </c>
      <c r="F1963" t="str">
        <f>HLOOKUP(E1963, LookUP_Table!$A$6:$D$7, 2, FALSE)</f>
        <v>Graduate</v>
      </c>
      <c r="G1963" t="str">
        <f>IFERROR(VLOOKUP(E1963, LookUP_Table!$A$1:$B$4, 2, FALSE), "")</f>
        <v>Graduate</v>
      </c>
      <c r="H1963">
        <v>0</v>
      </c>
      <c r="I1963">
        <v>0</v>
      </c>
      <c r="J1963" t="str">
        <f t="shared" si="180"/>
        <v>Non-Smoker</v>
      </c>
      <c r="K1963">
        <v>0</v>
      </c>
      <c r="L1963">
        <v>0</v>
      </c>
      <c r="M1963">
        <v>0</v>
      </c>
      <c r="N1963">
        <v>0</v>
      </c>
      <c r="O1963">
        <v>258</v>
      </c>
      <c r="P1963" t="str">
        <f t="shared" si="181"/>
        <v>High</v>
      </c>
      <c r="Q1963">
        <v>109.5</v>
      </c>
      <c r="R1963">
        <v>74</v>
      </c>
      <c r="S1963">
        <v>26.73</v>
      </c>
      <c r="T1963" t="str">
        <f t="shared" si="182"/>
        <v>Overweight</v>
      </c>
      <c r="U1963">
        <v>68</v>
      </c>
      <c r="V1963">
        <v>81.96365524402907</v>
      </c>
      <c r="W1963" t="str">
        <f t="shared" si="185"/>
        <v>Normal</v>
      </c>
      <c r="X1963">
        <v>0</v>
      </c>
    </row>
    <row r="1964" spans="1:24" ht="14.5" thickBot="1" x14ac:dyDescent="0.35">
      <c r="A1964">
        <v>0</v>
      </c>
      <c r="B1964" t="str">
        <f t="shared" si="183"/>
        <v>Female</v>
      </c>
      <c r="C1964" s="8">
        <v>48</v>
      </c>
      <c r="D1964" t="str">
        <f t="shared" si="184"/>
        <v>Middle Age</v>
      </c>
      <c r="E1964">
        <v>1</v>
      </c>
      <c r="F1964" t="str">
        <f>HLOOKUP(E1964, LookUP_Table!$A$6:$D$7, 2, FALSE)</f>
        <v>Primary</v>
      </c>
      <c r="G1964" t="str">
        <f>IFERROR(VLOOKUP(E1964, LookUP_Table!$A$1:$B$4, 2, FALSE), "")</f>
        <v>Primary</v>
      </c>
      <c r="H1964">
        <v>0</v>
      </c>
      <c r="I1964">
        <v>0</v>
      </c>
      <c r="J1964" t="str">
        <f t="shared" si="180"/>
        <v>Non-Smoker</v>
      </c>
      <c r="K1964">
        <v>0</v>
      </c>
      <c r="L1964">
        <v>0</v>
      </c>
      <c r="M1964">
        <v>0</v>
      </c>
      <c r="N1964">
        <v>0</v>
      </c>
      <c r="O1964">
        <v>193</v>
      </c>
      <c r="P1964" t="str">
        <f t="shared" si="181"/>
        <v>Normal</v>
      </c>
      <c r="Q1964">
        <v>138.5</v>
      </c>
      <c r="R1964">
        <v>87.5</v>
      </c>
      <c r="S1964">
        <v>25.1</v>
      </c>
      <c r="T1964" t="str">
        <f t="shared" si="182"/>
        <v>Overweight</v>
      </c>
      <c r="U1964">
        <v>64</v>
      </c>
      <c r="V1964">
        <v>90</v>
      </c>
      <c r="W1964" t="str">
        <f t="shared" si="185"/>
        <v>Normal</v>
      </c>
      <c r="X1964">
        <v>0</v>
      </c>
    </row>
    <row r="1965" spans="1:24" ht="14.5" thickBot="1" x14ac:dyDescent="0.35">
      <c r="A1965">
        <v>1</v>
      </c>
      <c r="B1965" t="str">
        <f t="shared" si="183"/>
        <v>Male</v>
      </c>
      <c r="C1965" s="8">
        <v>48</v>
      </c>
      <c r="D1965" t="str">
        <f t="shared" si="184"/>
        <v>Middle Age</v>
      </c>
      <c r="E1965">
        <v>4</v>
      </c>
      <c r="F1965" t="str">
        <f>HLOOKUP(E1965, LookUP_Table!$A$6:$D$7, 2, FALSE)</f>
        <v>Post Graduate</v>
      </c>
      <c r="G1965" t="str">
        <f>IFERROR(VLOOKUP(E1965, LookUP_Table!$A$1:$B$4, 2, FALSE), "")</f>
        <v>Post Graduate</v>
      </c>
      <c r="H1965">
        <v>1</v>
      </c>
      <c r="I1965">
        <v>20</v>
      </c>
      <c r="J1965" t="str">
        <f t="shared" si="180"/>
        <v>Smoker</v>
      </c>
      <c r="K1965">
        <v>0</v>
      </c>
      <c r="L1965">
        <v>0</v>
      </c>
      <c r="M1965">
        <v>0</v>
      </c>
      <c r="N1965">
        <v>0</v>
      </c>
      <c r="O1965">
        <v>212</v>
      </c>
      <c r="P1965" t="str">
        <f t="shared" si="181"/>
        <v>Normal</v>
      </c>
      <c r="Q1965">
        <v>120</v>
      </c>
      <c r="R1965">
        <v>72</v>
      </c>
      <c r="S1965">
        <v>22.01</v>
      </c>
      <c r="T1965" t="str">
        <f t="shared" si="182"/>
        <v>Normal</v>
      </c>
      <c r="U1965">
        <v>72</v>
      </c>
      <c r="V1965">
        <v>77</v>
      </c>
      <c r="W1965" t="str">
        <f t="shared" si="185"/>
        <v>Normal</v>
      </c>
      <c r="X1965">
        <v>0</v>
      </c>
    </row>
    <row r="1966" spans="1:24" ht="14.5" thickBot="1" x14ac:dyDescent="0.35">
      <c r="A1966">
        <v>0</v>
      </c>
      <c r="B1966" t="str">
        <f t="shared" si="183"/>
        <v>Female</v>
      </c>
      <c r="C1966" s="8">
        <v>48</v>
      </c>
      <c r="D1966" t="str">
        <f t="shared" si="184"/>
        <v>Middle Age</v>
      </c>
      <c r="E1966">
        <v>2</v>
      </c>
      <c r="F1966" t="str">
        <f>HLOOKUP(E1966, LookUP_Table!$A$6:$D$7, 2, FALSE)</f>
        <v>Secondary</v>
      </c>
      <c r="G1966" t="str">
        <f>IFERROR(VLOOKUP(E1966, LookUP_Table!$A$1:$B$4, 2, FALSE), "")</f>
        <v>Secondary</v>
      </c>
      <c r="H1966">
        <v>0</v>
      </c>
      <c r="I1966">
        <v>0</v>
      </c>
      <c r="J1966" t="str">
        <f t="shared" si="180"/>
        <v>Non-Smoker</v>
      </c>
      <c r="K1966">
        <v>0</v>
      </c>
      <c r="L1966">
        <v>0</v>
      </c>
      <c r="M1966">
        <v>0</v>
      </c>
      <c r="N1966">
        <v>0</v>
      </c>
      <c r="O1966">
        <v>271</v>
      </c>
      <c r="P1966" t="str">
        <f t="shared" si="181"/>
        <v>High</v>
      </c>
      <c r="Q1966">
        <v>110</v>
      </c>
      <c r="R1966">
        <v>74</v>
      </c>
      <c r="S1966">
        <v>21.79</v>
      </c>
      <c r="T1966" t="str">
        <f t="shared" si="182"/>
        <v>Normal</v>
      </c>
      <c r="U1966">
        <v>56</v>
      </c>
      <c r="V1966">
        <v>67</v>
      </c>
      <c r="W1966" t="str">
        <f t="shared" si="185"/>
        <v>Normal</v>
      </c>
      <c r="X1966">
        <v>0</v>
      </c>
    </row>
    <row r="1967" spans="1:24" ht="14.5" thickBot="1" x14ac:dyDescent="0.35">
      <c r="A1967">
        <v>0</v>
      </c>
      <c r="B1967" t="str">
        <f t="shared" si="183"/>
        <v>Female</v>
      </c>
      <c r="C1967" s="8">
        <v>48</v>
      </c>
      <c r="D1967" t="str">
        <f t="shared" si="184"/>
        <v>Middle Age</v>
      </c>
      <c r="E1967">
        <v>3</v>
      </c>
      <c r="F1967" t="str">
        <f>HLOOKUP(E1967, LookUP_Table!$A$6:$D$7, 2, FALSE)</f>
        <v>Graduate</v>
      </c>
      <c r="G1967" t="str">
        <f>IFERROR(VLOOKUP(E1967, LookUP_Table!$A$1:$B$4, 2, FALSE), "")</f>
        <v>Graduate</v>
      </c>
      <c r="H1967">
        <v>1</v>
      </c>
      <c r="I1967">
        <v>1</v>
      </c>
      <c r="J1967" t="str">
        <f t="shared" si="180"/>
        <v>Smoker</v>
      </c>
      <c r="K1967">
        <v>0</v>
      </c>
      <c r="L1967">
        <v>0</v>
      </c>
      <c r="M1967">
        <v>0</v>
      </c>
      <c r="N1967">
        <v>0</v>
      </c>
      <c r="O1967">
        <v>234</v>
      </c>
      <c r="P1967" t="str">
        <f t="shared" si="181"/>
        <v>Normal</v>
      </c>
      <c r="Q1967">
        <v>120</v>
      </c>
      <c r="R1967">
        <v>81</v>
      </c>
      <c r="S1967">
        <v>23.22</v>
      </c>
      <c r="T1967" t="str">
        <f t="shared" si="182"/>
        <v>Normal</v>
      </c>
      <c r="U1967">
        <v>67</v>
      </c>
      <c r="V1967">
        <v>83</v>
      </c>
      <c r="W1967" t="str">
        <f t="shared" si="185"/>
        <v>Normal</v>
      </c>
      <c r="X1967">
        <v>0</v>
      </c>
    </row>
    <row r="1968" spans="1:24" ht="14.5" thickBot="1" x14ac:dyDescent="0.35">
      <c r="A1968">
        <v>1</v>
      </c>
      <c r="B1968" t="str">
        <f t="shared" si="183"/>
        <v>Male</v>
      </c>
      <c r="C1968" s="8">
        <v>48</v>
      </c>
      <c r="D1968" t="str">
        <f t="shared" si="184"/>
        <v>Middle Age</v>
      </c>
      <c r="E1968">
        <v>1</v>
      </c>
      <c r="F1968" t="str">
        <f>HLOOKUP(E1968, LookUP_Table!$A$6:$D$7, 2, FALSE)</f>
        <v>Primary</v>
      </c>
      <c r="G1968" t="str">
        <f>IFERROR(VLOOKUP(E1968, LookUP_Table!$A$1:$B$4, 2, FALSE), "")</f>
        <v>Primary</v>
      </c>
      <c r="H1968">
        <v>1</v>
      </c>
      <c r="I1968">
        <v>20</v>
      </c>
      <c r="J1968" t="str">
        <f t="shared" si="180"/>
        <v>Smoker</v>
      </c>
      <c r="K1968">
        <v>0</v>
      </c>
      <c r="L1968">
        <v>0</v>
      </c>
      <c r="M1968">
        <v>0</v>
      </c>
      <c r="N1968">
        <v>0</v>
      </c>
      <c r="O1968">
        <v>268</v>
      </c>
      <c r="P1968" t="str">
        <f t="shared" si="181"/>
        <v>High</v>
      </c>
      <c r="Q1968">
        <v>116.5</v>
      </c>
      <c r="R1968">
        <v>82</v>
      </c>
      <c r="S1968">
        <v>21.34</v>
      </c>
      <c r="T1968" t="str">
        <f t="shared" si="182"/>
        <v>Normal</v>
      </c>
      <c r="U1968">
        <v>60</v>
      </c>
      <c r="V1968">
        <v>82</v>
      </c>
      <c r="W1968" t="str">
        <f t="shared" si="185"/>
        <v>Normal</v>
      </c>
      <c r="X1968">
        <v>0</v>
      </c>
    </row>
    <row r="1969" spans="1:24" ht="14.5" thickBot="1" x14ac:dyDescent="0.35">
      <c r="A1969">
        <v>0</v>
      </c>
      <c r="B1969" t="str">
        <f t="shared" si="183"/>
        <v>Female</v>
      </c>
      <c r="C1969" s="8">
        <v>48</v>
      </c>
      <c r="D1969" t="str">
        <f t="shared" si="184"/>
        <v>Middle Age</v>
      </c>
      <c r="E1969">
        <v>1</v>
      </c>
      <c r="F1969" t="str">
        <f>HLOOKUP(E1969, LookUP_Table!$A$6:$D$7, 2, FALSE)</f>
        <v>Primary</v>
      </c>
      <c r="G1969" t="str">
        <f>IFERROR(VLOOKUP(E1969, LookUP_Table!$A$1:$B$4, 2, FALSE), "")</f>
        <v>Primary</v>
      </c>
      <c r="H1969">
        <v>0</v>
      </c>
      <c r="I1969">
        <v>0</v>
      </c>
      <c r="J1969" t="str">
        <f t="shared" si="180"/>
        <v>Non-Smoker</v>
      </c>
      <c r="K1969">
        <v>0</v>
      </c>
      <c r="L1969">
        <v>0</v>
      </c>
      <c r="M1969">
        <v>0</v>
      </c>
      <c r="N1969">
        <v>0</v>
      </c>
      <c r="O1969">
        <v>255</v>
      </c>
      <c r="P1969" t="str">
        <f t="shared" si="181"/>
        <v>High</v>
      </c>
      <c r="Q1969">
        <v>120</v>
      </c>
      <c r="R1969">
        <v>77.5</v>
      </c>
      <c r="S1969">
        <v>28.6</v>
      </c>
      <c r="T1969" t="str">
        <f t="shared" si="182"/>
        <v>Overweight</v>
      </c>
      <c r="U1969">
        <v>75</v>
      </c>
      <c r="V1969">
        <v>75</v>
      </c>
      <c r="W1969" t="str">
        <f t="shared" si="185"/>
        <v>Normal</v>
      </c>
      <c r="X1969">
        <v>0</v>
      </c>
    </row>
    <row r="1970" spans="1:24" ht="14.5" thickBot="1" x14ac:dyDescent="0.35">
      <c r="A1970">
        <v>1</v>
      </c>
      <c r="B1970" t="str">
        <f t="shared" si="183"/>
        <v>Male</v>
      </c>
      <c r="C1970" s="8">
        <v>48</v>
      </c>
      <c r="D1970" t="str">
        <f t="shared" si="184"/>
        <v>Middle Age</v>
      </c>
      <c r="E1970">
        <v>2</v>
      </c>
      <c r="F1970" t="str">
        <f>HLOOKUP(E1970, LookUP_Table!$A$6:$D$7, 2, FALSE)</f>
        <v>Secondary</v>
      </c>
      <c r="G1970" t="str">
        <f>IFERROR(VLOOKUP(E1970, LookUP_Table!$A$1:$B$4, 2, FALSE), "")</f>
        <v>Secondary</v>
      </c>
      <c r="H1970">
        <v>1</v>
      </c>
      <c r="I1970">
        <v>17</v>
      </c>
      <c r="J1970" t="str">
        <f t="shared" si="180"/>
        <v>Smoker</v>
      </c>
      <c r="K1970">
        <v>0</v>
      </c>
      <c r="L1970">
        <v>0</v>
      </c>
      <c r="M1970">
        <v>1</v>
      </c>
      <c r="N1970">
        <v>0</v>
      </c>
      <c r="O1970">
        <v>250</v>
      </c>
      <c r="P1970" t="str">
        <f t="shared" si="181"/>
        <v>High</v>
      </c>
      <c r="Q1970">
        <v>177</v>
      </c>
      <c r="R1970">
        <v>124</v>
      </c>
      <c r="S1970">
        <v>26.4</v>
      </c>
      <c r="T1970" t="str">
        <f t="shared" si="182"/>
        <v>Overweight</v>
      </c>
      <c r="U1970">
        <v>75</v>
      </c>
      <c r="V1970">
        <v>69</v>
      </c>
      <c r="W1970" t="str">
        <f t="shared" si="185"/>
        <v>Normal</v>
      </c>
      <c r="X1970">
        <v>1</v>
      </c>
    </row>
    <row r="1971" spans="1:24" ht="14.5" thickBot="1" x14ac:dyDescent="0.35">
      <c r="A1971">
        <v>1</v>
      </c>
      <c r="B1971" t="str">
        <f t="shared" si="183"/>
        <v>Male</v>
      </c>
      <c r="C1971" s="8">
        <v>48</v>
      </c>
      <c r="D1971" t="str">
        <f t="shared" si="184"/>
        <v>Middle Age</v>
      </c>
      <c r="E1971">
        <v>3</v>
      </c>
      <c r="F1971" t="str">
        <f>HLOOKUP(E1971, LookUP_Table!$A$6:$D$7, 2, FALSE)</f>
        <v>Graduate</v>
      </c>
      <c r="G1971" t="str">
        <f>IFERROR(VLOOKUP(E1971, LookUP_Table!$A$1:$B$4, 2, FALSE), "")</f>
        <v>Graduate</v>
      </c>
      <c r="H1971">
        <v>0</v>
      </c>
      <c r="I1971">
        <v>0</v>
      </c>
      <c r="J1971" t="str">
        <f t="shared" si="180"/>
        <v>Non-Smoker</v>
      </c>
      <c r="K1971">
        <v>0</v>
      </c>
      <c r="L1971">
        <v>0</v>
      </c>
      <c r="M1971">
        <v>0</v>
      </c>
      <c r="N1971">
        <v>0</v>
      </c>
      <c r="O1971">
        <v>235</v>
      </c>
      <c r="P1971" t="str">
        <f t="shared" si="181"/>
        <v>Normal</v>
      </c>
      <c r="Q1971">
        <v>150.5</v>
      </c>
      <c r="R1971">
        <v>98</v>
      </c>
      <c r="S1971">
        <v>32.4</v>
      </c>
      <c r="T1971" t="str">
        <f t="shared" si="182"/>
        <v>Obese</v>
      </c>
      <c r="U1971">
        <v>75</v>
      </c>
      <c r="V1971">
        <v>92</v>
      </c>
      <c r="W1971" t="str">
        <f t="shared" si="185"/>
        <v>Normal</v>
      </c>
      <c r="X1971">
        <v>0</v>
      </c>
    </row>
    <row r="1972" spans="1:24" ht="14.5" thickBot="1" x14ac:dyDescent="0.35">
      <c r="A1972">
        <v>0</v>
      </c>
      <c r="B1972" t="str">
        <f t="shared" si="183"/>
        <v>Female</v>
      </c>
      <c r="C1972" s="8">
        <v>48</v>
      </c>
      <c r="D1972" t="str">
        <f t="shared" si="184"/>
        <v>Middle Age</v>
      </c>
      <c r="E1972">
        <v>3</v>
      </c>
      <c r="F1972" t="str">
        <f>HLOOKUP(E1972, LookUP_Table!$A$6:$D$7, 2, FALSE)</f>
        <v>Graduate</v>
      </c>
      <c r="G1972" t="str">
        <f>IFERROR(VLOOKUP(E1972, LookUP_Table!$A$1:$B$4, 2, FALSE), "")</f>
        <v>Graduate</v>
      </c>
      <c r="H1972">
        <v>0</v>
      </c>
      <c r="I1972">
        <v>0</v>
      </c>
      <c r="J1972" t="str">
        <f t="shared" si="180"/>
        <v>Non-Smoker</v>
      </c>
      <c r="K1972">
        <v>0</v>
      </c>
      <c r="L1972">
        <v>0</v>
      </c>
      <c r="M1972">
        <v>0</v>
      </c>
      <c r="N1972">
        <v>0</v>
      </c>
      <c r="O1972">
        <v>253</v>
      </c>
      <c r="P1972" t="str">
        <f t="shared" si="181"/>
        <v>High</v>
      </c>
      <c r="Q1972">
        <v>124</v>
      </c>
      <c r="R1972">
        <v>77</v>
      </c>
      <c r="S1972">
        <v>20.27</v>
      </c>
      <c r="T1972" t="str">
        <f t="shared" si="182"/>
        <v>Normal</v>
      </c>
      <c r="U1972">
        <v>65</v>
      </c>
      <c r="V1972">
        <v>72</v>
      </c>
      <c r="W1972" t="str">
        <f t="shared" si="185"/>
        <v>Normal</v>
      </c>
      <c r="X1972">
        <v>0</v>
      </c>
    </row>
    <row r="1973" spans="1:24" ht="14.5" thickBot="1" x14ac:dyDescent="0.35">
      <c r="A1973">
        <v>1</v>
      </c>
      <c r="B1973" t="str">
        <f t="shared" si="183"/>
        <v>Male</v>
      </c>
      <c r="C1973" s="8">
        <v>48</v>
      </c>
      <c r="D1973" t="str">
        <f t="shared" si="184"/>
        <v>Middle Age</v>
      </c>
      <c r="E1973">
        <v>1</v>
      </c>
      <c r="F1973" t="str">
        <f>HLOOKUP(E1973, LookUP_Table!$A$6:$D$7, 2, FALSE)</f>
        <v>Primary</v>
      </c>
      <c r="G1973" t="str">
        <f>IFERROR(VLOOKUP(E1973, LookUP_Table!$A$1:$B$4, 2, FALSE), "")</f>
        <v>Primary</v>
      </c>
      <c r="H1973">
        <v>1</v>
      </c>
      <c r="I1973">
        <v>35</v>
      </c>
      <c r="J1973" t="str">
        <f t="shared" si="180"/>
        <v>Smoker</v>
      </c>
      <c r="K1973">
        <v>0</v>
      </c>
      <c r="L1973">
        <v>0</v>
      </c>
      <c r="M1973">
        <v>0</v>
      </c>
      <c r="N1973">
        <v>0</v>
      </c>
      <c r="O1973">
        <v>188</v>
      </c>
      <c r="P1973" t="str">
        <f t="shared" si="181"/>
        <v>Normal</v>
      </c>
      <c r="Q1973">
        <v>120</v>
      </c>
      <c r="R1973">
        <v>82.5</v>
      </c>
      <c r="S1973">
        <v>31.67</v>
      </c>
      <c r="T1973" t="str">
        <f t="shared" si="182"/>
        <v>Obese</v>
      </c>
      <c r="U1973">
        <v>80</v>
      </c>
      <c r="V1973">
        <v>68</v>
      </c>
      <c r="W1973" t="str">
        <f t="shared" si="185"/>
        <v>Normal</v>
      </c>
      <c r="X1973">
        <v>0</v>
      </c>
    </row>
    <row r="1974" spans="1:24" ht="14.5" thickBot="1" x14ac:dyDescent="0.35">
      <c r="A1974">
        <v>1</v>
      </c>
      <c r="B1974" t="str">
        <f t="shared" si="183"/>
        <v>Male</v>
      </c>
      <c r="C1974" s="8">
        <v>48</v>
      </c>
      <c r="D1974" t="str">
        <f t="shared" si="184"/>
        <v>Middle Age</v>
      </c>
      <c r="E1974">
        <v>1</v>
      </c>
      <c r="F1974" t="str">
        <f>HLOOKUP(E1974, LookUP_Table!$A$6:$D$7, 2, FALSE)</f>
        <v>Primary</v>
      </c>
      <c r="G1974" t="str">
        <f>IFERROR(VLOOKUP(E1974, LookUP_Table!$A$1:$B$4, 2, FALSE), "")</f>
        <v>Primary</v>
      </c>
      <c r="H1974">
        <v>1</v>
      </c>
      <c r="I1974">
        <v>60</v>
      </c>
      <c r="J1974" t="str">
        <f t="shared" si="180"/>
        <v>Smoker</v>
      </c>
      <c r="K1974">
        <v>0</v>
      </c>
      <c r="L1974">
        <v>0</v>
      </c>
      <c r="M1974">
        <v>0</v>
      </c>
      <c r="N1974">
        <v>0</v>
      </c>
      <c r="O1974">
        <v>252</v>
      </c>
      <c r="P1974" t="str">
        <f t="shared" si="181"/>
        <v>High</v>
      </c>
      <c r="Q1974">
        <v>104</v>
      </c>
      <c r="R1974">
        <v>73.5</v>
      </c>
      <c r="S1974">
        <v>23.03</v>
      </c>
      <c r="T1974" t="str">
        <f t="shared" si="182"/>
        <v>Normal</v>
      </c>
      <c r="U1974">
        <v>70</v>
      </c>
      <c r="V1974">
        <v>77</v>
      </c>
      <c r="W1974" t="str">
        <f t="shared" si="185"/>
        <v>Normal</v>
      </c>
      <c r="X1974">
        <v>0</v>
      </c>
    </row>
    <row r="1975" spans="1:24" ht="14.5" thickBot="1" x14ac:dyDescent="0.35">
      <c r="A1975">
        <v>1</v>
      </c>
      <c r="B1975" t="str">
        <f t="shared" si="183"/>
        <v>Male</v>
      </c>
      <c r="C1975" s="8">
        <v>48</v>
      </c>
      <c r="D1975" t="str">
        <f t="shared" si="184"/>
        <v>Middle Age</v>
      </c>
      <c r="E1975">
        <v>4</v>
      </c>
      <c r="F1975" t="str">
        <f>HLOOKUP(E1975, LookUP_Table!$A$6:$D$7, 2, FALSE)</f>
        <v>Post Graduate</v>
      </c>
      <c r="G1975" t="str">
        <f>IFERROR(VLOOKUP(E1975, LookUP_Table!$A$1:$B$4, 2, FALSE), "")</f>
        <v>Post Graduate</v>
      </c>
      <c r="H1975">
        <v>1</v>
      </c>
      <c r="I1975">
        <v>20</v>
      </c>
      <c r="J1975" t="str">
        <f t="shared" si="180"/>
        <v>Smoker</v>
      </c>
      <c r="K1975">
        <v>0</v>
      </c>
      <c r="L1975">
        <v>0</v>
      </c>
      <c r="M1975">
        <v>1</v>
      </c>
      <c r="N1975">
        <v>1</v>
      </c>
      <c r="O1975">
        <v>230</v>
      </c>
      <c r="P1975" t="str">
        <f t="shared" si="181"/>
        <v>Normal</v>
      </c>
      <c r="Q1975">
        <v>135.5</v>
      </c>
      <c r="R1975">
        <v>90</v>
      </c>
      <c r="S1975">
        <v>25.34</v>
      </c>
      <c r="T1975" t="str">
        <f t="shared" si="182"/>
        <v>Overweight</v>
      </c>
      <c r="U1975">
        <v>95</v>
      </c>
      <c r="V1975">
        <v>91</v>
      </c>
      <c r="W1975" t="str">
        <f t="shared" si="185"/>
        <v>Normal</v>
      </c>
      <c r="X1975">
        <v>0</v>
      </c>
    </row>
    <row r="1976" spans="1:24" ht="14.5" thickBot="1" x14ac:dyDescent="0.35">
      <c r="A1976">
        <v>0</v>
      </c>
      <c r="B1976" t="str">
        <f t="shared" si="183"/>
        <v>Female</v>
      </c>
      <c r="C1976" s="8">
        <v>48</v>
      </c>
      <c r="D1976" t="str">
        <f t="shared" si="184"/>
        <v>Middle Age</v>
      </c>
      <c r="E1976">
        <v>1</v>
      </c>
      <c r="F1976" t="str">
        <f>HLOOKUP(E1976, LookUP_Table!$A$6:$D$7, 2, FALSE)</f>
        <v>Primary</v>
      </c>
      <c r="G1976" t="str">
        <f>IFERROR(VLOOKUP(E1976, LookUP_Table!$A$1:$B$4, 2, FALSE), "")</f>
        <v>Primary</v>
      </c>
      <c r="H1976">
        <v>0</v>
      </c>
      <c r="I1976">
        <v>0</v>
      </c>
      <c r="J1976" t="str">
        <f t="shared" si="180"/>
        <v>Non-Smoker</v>
      </c>
      <c r="K1976">
        <v>0</v>
      </c>
      <c r="L1976">
        <v>0</v>
      </c>
      <c r="M1976">
        <v>0</v>
      </c>
      <c r="N1976">
        <v>0</v>
      </c>
      <c r="O1976">
        <v>186</v>
      </c>
      <c r="P1976" t="str">
        <f t="shared" si="181"/>
        <v>Normal</v>
      </c>
      <c r="Q1976">
        <v>107</v>
      </c>
      <c r="R1976">
        <v>76</v>
      </c>
      <c r="S1976">
        <v>26.39</v>
      </c>
      <c r="T1976" t="str">
        <f t="shared" si="182"/>
        <v>Overweight</v>
      </c>
      <c r="U1976">
        <v>65</v>
      </c>
      <c r="V1976">
        <v>90</v>
      </c>
      <c r="W1976" t="str">
        <f t="shared" si="185"/>
        <v>Normal</v>
      </c>
      <c r="X1976">
        <v>0</v>
      </c>
    </row>
    <row r="1977" spans="1:24" ht="14.5" thickBot="1" x14ac:dyDescent="0.35">
      <c r="A1977">
        <v>0</v>
      </c>
      <c r="B1977" t="str">
        <f t="shared" si="183"/>
        <v>Female</v>
      </c>
      <c r="C1977" s="8">
        <v>48</v>
      </c>
      <c r="D1977" t="str">
        <f t="shared" si="184"/>
        <v>Middle Age</v>
      </c>
      <c r="E1977">
        <v>1</v>
      </c>
      <c r="F1977" t="str">
        <f>HLOOKUP(E1977, LookUP_Table!$A$6:$D$7, 2, FALSE)</f>
        <v>Primary</v>
      </c>
      <c r="G1977" t="str">
        <f>IFERROR(VLOOKUP(E1977, LookUP_Table!$A$1:$B$4, 2, FALSE), "")</f>
        <v>Primary</v>
      </c>
      <c r="H1977">
        <v>1</v>
      </c>
      <c r="I1977">
        <v>10</v>
      </c>
      <c r="J1977" t="str">
        <f t="shared" si="180"/>
        <v>Smoker</v>
      </c>
      <c r="K1977">
        <v>0</v>
      </c>
      <c r="L1977">
        <v>0</v>
      </c>
      <c r="M1977">
        <v>1</v>
      </c>
      <c r="N1977">
        <v>0</v>
      </c>
      <c r="O1977">
        <v>188</v>
      </c>
      <c r="P1977" t="str">
        <f t="shared" si="181"/>
        <v>Normal</v>
      </c>
      <c r="Q1977">
        <v>170</v>
      </c>
      <c r="R1977">
        <v>110</v>
      </c>
      <c r="S1977">
        <v>26.03</v>
      </c>
      <c r="T1977" t="str">
        <f t="shared" si="182"/>
        <v>Overweight</v>
      </c>
      <c r="U1977">
        <v>90</v>
      </c>
      <c r="V1977">
        <v>118</v>
      </c>
      <c r="W1977" t="str">
        <f t="shared" si="185"/>
        <v>Prediabetes</v>
      </c>
      <c r="X1977">
        <v>0</v>
      </c>
    </row>
    <row r="1978" spans="1:24" ht="14.5" thickBot="1" x14ac:dyDescent="0.35">
      <c r="A1978">
        <v>0</v>
      </c>
      <c r="B1978" t="str">
        <f t="shared" si="183"/>
        <v>Female</v>
      </c>
      <c r="C1978" s="8">
        <v>48</v>
      </c>
      <c r="D1978" t="str">
        <f t="shared" si="184"/>
        <v>Middle Age</v>
      </c>
      <c r="E1978">
        <v>1</v>
      </c>
      <c r="F1978" t="str">
        <f>HLOOKUP(E1978, LookUP_Table!$A$6:$D$7, 2, FALSE)</f>
        <v>Primary</v>
      </c>
      <c r="G1978" t="str">
        <f>IFERROR(VLOOKUP(E1978, LookUP_Table!$A$1:$B$4, 2, FALSE), "")</f>
        <v>Primary</v>
      </c>
      <c r="H1978">
        <v>1</v>
      </c>
      <c r="I1978">
        <v>15</v>
      </c>
      <c r="J1978" t="str">
        <f t="shared" si="180"/>
        <v>Smoker</v>
      </c>
      <c r="K1978">
        <v>0</v>
      </c>
      <c r="L1978">
        <v>0</v>
      </c>
      <c r="M1978">
        <v>0</v>
      </c>
      <c r="N1978">
        <v>0</v>
      </c>
      <c r="O1978">
        <v>229</v>
      </c>
      <c r="P1978" t="str">
        <f t="shared" si="181"/>
        <v>Normal</v>
      </c>
      <c r="Q1978">
        <v>111</v>
      </c>
      <c r="R1978">
        <v>85</v>
      </c>
      <c r="S1978">
        <v>24.1</v>
      </c>
      <c r="T1978" t="str">
        <f t="shared" si="182"/>
        <v>Normal</v>
      </c>
      <c r="U1978">
        <v>75</v>
      </c>
      <c r="V1978">
        <v>74</v>
      </c>
      <c r="W1978" t="str">
        <f t="shared" si="185"/>
        <v>Normal</v>
      </c>
      <c r="X1978">
        <v>0</v>
      </c>
    </row>
    <row r="1979" spans="1:24" ht="14.5" thickBot="1" x14ac:dyDescent="0.35">
      <c r="A1979">
        <v>0</v>
      </c>
      <c r="B1979" t="str">
        <f t="shared" si="183"/>
        <v>Female</v>
      </c>
      <c r="C1979" s="8">
        <v>48</v>
      </c>
      <c r="D1979" t="str">
        <f t="shared" si="184"/>
        <v>Middle Age</v>
      </c>
      <c r="E1979">
        <v>1</v>
      </c>
      <c r="F1979" t="str">
        <f>HLOOKUP(E1979, LookUP_Table!$A$6:$D$7, 2, FALSE)</f>
        <v>Primary</v>
      </c>
      <c r="G1979" t="str">
        <f>IFERROR(VLOOKUP(E1979, LookUP_Table!$A$1:$B$4, 2, FALSE), "")</f>
        <v>Primary</v>
      </c>
      <c r="H1979">
        <v>0</v>
      </c>
      <c r="I1979">
        <v>0</v>
      </c>
      <c r="J1979" t="str">
        <f t="shared" si="180"/>
        <v>Non-Smoker</v>
      </c>
      <c r="K1979">
        <v>0</v>
      </c>
      <c r="L1979">
        <v>0</v>
      </c>
      <c r="M1979">
        <v>1</v>
      </c>
      <c r="N1979">
        <v>0</v>
      </c>
      <c r="O1979">
        <v>249</v>
      </c>
      <c r="P1979" t="str">
        <f t="shared" si="181"/>
        <v>High</v>
      </c>
      <c r="Q1979">
        <v>174</v>
      </c>
      <c r="R1979">
        <v>101.5</v>
      </c>
      <c r="S1979">
        <v>28.69</v>
      </c>
      <c r="T1979" t="str">
        <f t="shared" si="182"/>
        <v>Overweight</v>
      </c>
      <c r="U1979">
        <v>74</v>
      </c>
      <c r="V1979">
        <v>76</v>
      </c>
      <c r="W1979" t="str">
        <f t="shared" si="185"/>
        <v>Normal</v>
      </c>
      <c r="X1979">
        <v>0</v>
      </c>
    </row>
    <row r="1980" spans="1:24" ht="14.5" thickBot="1" x14ac:dyDescent="0.35">
      <c r="A1980">
        <v>1</v>
      </c>
      <c r="B1980" t="str">
        <f t="shared" si="183"/>
        <v>Male</v>
      </c>
      <c r="C1980" s="8">
        <v>48</v>
      </c>
      <c r="D1980" t="str">
        <f t="shared" si="184"/>
        <v>Middle Age</v>
      </c>
      <c r="E1980">
        <v>2</v>
      </c>
      <c r="F1980" t="str">
        <f>HLOOKUP(E1980, LookUP_Table!$A$6:$D$7, 2, FALSE)</f>
        <v>Secondary</v>
      </c>
      <c r="G1980" t="str">
        <f>IFERROR(VLOOKUP(E1980, LookUP_Table!$A$1:$B$4, 2, FALSE), "")</f>
        <v>Secondary</v>
      </c>
      <c r="H1980">
        <v>1</v>
      </c>
      <c r="I1980">
        <v>43</v>
      </c>
      <c r="J1980" t="str">
        <f t="shared" si="180"/>
        <v>Smoker</v>
      </c>
      <c r="K1980">
        <v>0</v>
      </c>
      <c r="L1980">
        <v>0</v>
      </c>
      <c r="M1980">
        <v>0</v>
      </c>
      <c r="N1980">
        <v>0</v>
      </c>
      <c r="O1980">
        <v>176</v>
      </c>
      <c r="P1980" t="str">
        <f t="shared" si="181"/>
        <v>Normal</v>
      </c>
      <c r="Q1980">
        <v>116</v>
      </c>
      <c r="R1980">
        <v>86</v>
      </c>
      <c r="S1980">
        <v>21.45</v>
      </c>
      <c r="T1980" t="str">
        <f t="shared" si="182"/>
        <v>Normal</v>
      </c>
      <c r="U1980">
        <v>62</v>
      </c>
      <c r="V1980">
        <v>76</v>
      </c>
      <c r="W1980" t="str">
        <f t="shared" si="185"/>
        <v>Normal</v>
      </c>
      <c r="X1980">
        <v>0</v>
      </c>
    </row>
    <row r="1981" spans="1:24" ht="14.5" thickBot="1" x14ac:dyDescent="0.35">
      <c r="A1981">
        <v>1</v>
      </c>
      <c r="B1981" t="str">
        <f t="shared" si="183"/>
        <v>Male</v>
      </c>
      <c r="C1981" s="8">
        <v>48</v>
      </c>
      <c r="D1981" t="str">
        <f t="shared" si="184"/>
        <v>Middle Age</v>
      </c>
      <c r="E1981">
        <v>4</v>
      </c>
      <c r="F1981" t="str">
        <f>HLOOKUP(E1981, LookUP_Table!$A$6:$D$7, 2, FALSE)</f>
        <v>Post Graduate</v>
      </c>
      <c r="G1981" t="str">
        <f>IFERROR(VLOOKUP(E1981, LookUP_Table!$A$1:$B$4, 2, FALSE), "")</f>
        <v>Post Graduate</v>
      </c>
      <c r="H1981">
        <v>1</v>
      </c>
      <c r="I1981">
        <v>20</v>
      </c>
      <c r="J1981" t="str">
        <f t="shared" si="180"/>
        <v>Smoker</v>
      </c>
      <c r="K1981">
        <v>0</v>
      </c>
      <c r="L1981">
        <v>0</v>
      </c>
      <c r="M1981">
        <v>0</v>
      </c>
      <c r="N1981">
        <v>0</v>
      </c>
      <c r="O1981">
        <v>236</v>
      </c>
      <c r="P1981" t="str">
        <f t="shared" si="181"/>
        <v>Normal</v>
      </c>
      <c r="Q1981">
        <v>112.5</v>
      </c>
      <c r="R1981">
        <v>75</v>
      </c>
      <c r="S1981">
        <v>30.43</v>
      </c>
      <c r="T1981" t="str">
        <f t="shared" si="182"/>
        <v>Obese</v>
      </c>
      <c r="U1981">
        <v>72</v>
      </c>
      <c r="V1981">
        <v>67</v>
      </c>
      <c r="W1981" t="str">
        <f t="shared" si="185"/>
        <v>Normal</v>
      </c>
      <c r="X1981">
        <v>0</v>
      </c>
    </row>
    <row r="1982" spans="1:24" ht="14.5" thickBot="1" x14ac:dyDescent="0.35">
      <c r="A1982">
        <v>0</v>
      </c>
      <c r="B1982" t="str">
        <f t="shared" si="183"/>
        <v>Female</v>
      </c>
      <c r="C1982" s="8">
        <v>48</v>
      </c>
      <c r="D1982" t="str">
        <f t="shared" si="184"/>
        <v>Middle Age</v>
      </c>
      <c r="E1982">
        <v>1</v>
      </c>
      <c r="F1982" t="str">
        <f>HLOOKUP(E1982, LookUP_Table!$A$6:$D$7, 2, FALSE)</f>
        <v>Primary</v>
      </c>
      <c r="G1982" t="str">
        <f>IFERROR(VLOOKUP(E1982, LookUP_Table!$A$1:$B$4, 2, FALSE), "")</f>
        <v>Primary</v>
      </c>
      <c r="H1982">
        <v>0</v>
      </c>
      <c r="I1982">
        <v>0</v>
      </c>
      <c r="J1982" t="str">
        <f t="shared" si="180"/>
        <v>Non-Smoker</v>
      </c>
      <c r="K1982">
        <v>0</v>
      </c>
      <c r="L1982">
        <v>0</v>
      </c>
      <c r="M1982">
        <v>0</v>
      </c>
      <c r="N1982">
        <v>0</v>
      </c>
      <c r="O1982">
        <v>279</v>
      </c>
      <c r="P1982" t="str">
        <f t="shared" si="181"/>
        <v>High</v>
      </c>
      <c r="Q1982">
        <v>128.5</v>
      </c>
      <c r="R1982">
        <v>73.5</v>
      </c>
      <c r="S1982">
        <v>27.49</v>
      </c>
      <c r="T1982" t="str">
        <f t="shared" si="182"/>
        <v>Overweight</v>
      </c>
      <c r="U1982">
        <v>72</v>
      </c>
      <c r="V1982">
        <v>77</v>
      </c>
      <c r="W1982" t="str">
        <f t="shared" si="185"/>
        <v>Normal</v>
      </c>
      <c r="X1982">
        <v>0</v>
      </c>
    </row>
    <row r="1983" spans="1:24" ht="14.5" thickBot="1" x14ac:dyDescent="0.35">
      <c r="A1983">
        <v>0</v>
      </c>
      <c r="B1983" t="str">
        <f t="shared" si="183"/>
        <v>Female</v>
      </c>
      <c r="C1983" s="8">
        <v>48</v>
      </c>
      <c r="D1983" t="str">
        <f t="shared" si="184"/>
        <v>Middle Age</v>
      </c>
      <c r="E1983">
        <v>3</v>
      </c>
      <c r="F1983" t="str">
        <f>HLOOKUP(E1983, LookUP_Table!$A$6:$D$7, 2, FALSE)</f>
        <v>Graduate</v>
      </c>
      <c r="G1983" t="str">
        <f>IFERROR(VLOOKUP(E1983, LookUP_Table!$A$1:$B$4, 2, FALSE), "")</f>
        <v>Graduate</v>
      </c>
      <c r="H1983">
        <v>1</v>
      </c>
      <c r="I1983">
        <v>20</v>
      </c>
      <c r="J1983" t="str">
        <f t="shared" si="180"/>
        <v>Smoker</v>
      </c>
      <c r="K1983">
        <v>0</v>
      </c>
      <c r="L1983">
        <v>0</v>
      </c>
      <c r="M1983">
        <v>0</v>
      </c>
      <c r="N1983">
        <v>0</v>
      </c>
      <c r="O1983">
        <v>253</v>
      </c>
      <c r="P1983" t="str">
        <f t="shared" si="181"/>
        <v>High</v>
      </c>
      <c r="Q1983">
        <v>105</v>
      </c>
      <c r="R1983">
        <v>59</v>
      </c>
      <c r="S1983">
        <v>19.420000000000002</v>
      </c>
      <c r="T1983" t="str">
        <f t="shared" si="182"/>
        <v>Normal</v>
      </c>
      <c r="U1983">
        <v>62</v>
      </c>
      <c r="V1983">
        <v>83</v>
      </c>
      <c r="W1983" t="str">
        <f t="shared" si="185"/>
        <v>Normal</v>
      </c>
      <c r="X1983">
        <v>0</v>
      </c>
    </row>
    <row r="1984" spans="1:24" ht="14.5" thickBot="1" x14ac:dyDescent="0.35">
      <c r="A1984">
        <v>1</v>
      </c>
      <c r="B1984" t="str">
        <f t="shared" si="183"/>
        <v>Male</v>
      </c>
      <c r="C1984" s="8">
        <v>48</v>
      </c>
      <c r="D1984" t="str">
        <f t="shared" si="184"/>
        <v>Middle Age</v>
      </c>
      <c r="E1984">
        <v>3</v>
      </c>
      <c r="F1984" t="str">
        <f>HLOOKUP(E1984, LookUP_Table!$A$6:$D$7, 2, FALSE)</f>
        <v>Graduate</v>
      </c>
      <c r="G1984" t="str">
        <f>IFERROR(VLOOKUP(E1984, LookUP_Table!$A$1:$B$4, 2, FALSE), "")</f>
        <v>Graduate</v>
      </c>
      <c r="H1984">
        <v>1</v>
      </c>
      <c r="I1984">
        <v>25</v>
      </c>
      <c r="J1984" t="str">
        <f t="shared" si="180"/>
        <v>Smoker</v>
      </c>
      <c r="K1984">
        <v>0</v>
      </c>
      <c r="L1984">
        <v>0</v>
      </c>
      <c r="M1984">
        <v>0</v>
      </c>
      <c r="N1984">
        <v>0</v>
      </c>
      <c r="O1984">
        <v>200</v>
      </c>
      <c r="P1984" t="str">
        <f t="shared" si="181"/>
        <v>Normal</v>
      </c>
      <c r="Q1984">
        <v>126.5</v>
      </c>
      <c r="R1984">
        <v>91.5</v>
      </c>
      <c r="S1984">
        <v>30.34</v>
      </c>
      <c r="T1984" t="str">
        <f t="shared" si="182"/>
        <v>Obese</v>
      </c>
      <c r="U1984">
        <v>75</v>
      </c>
      <c r="V1984">
        <v>81.96365524402907</v>
      </c>
      <c r="W1984" t="str">
        <f t="shared" si="185"/>
        <v>Normal</v>
      </c>
      <c r="X1984">
        <v>0</v>
      </c>
    </row>
    <row r="1985" spans="1:24" ht="14.5" thickBot="1" x14ac:dyDescent="0.35">
      <c r="A1985">
        <v>0</v>
      </c>
      <c r="B1985" t="str">
        <f t="shared" si="183"/>
        <v>Female</v>
      </c>
      <c r="C1985" s="8">
        <v>48</v>
      </c>
      <c r="D1985" t="str">
        <f t="shared" si="184"/>
        <v>Middle Age</v>
      </c>
      <c r="E1985">
        <v>1</v>
      </c>
      <c r="F1985" t="str">
        <f>HLOOKUP(E1985, LookUP_Table!$A$6:$D$7, 2, FALSE)</f>
        <v>Primary</v>
      </c>
      <c r="G1985" t="str">
        <f>IFERROR(VLOOKUP(E1985, LookUP_Table!$A$1:$B$4, 2, FALSE), "")</f>
        <v>Primary</v>
      </c>
      <c r="H1985">
        <v>0</v>
      </c>
      <c r="I1985">
        <v>0</v>
      </c>
      <c r="J1985" t="str">
        <f t="shared" si="180"/>
        <v>Non-Smoker</v>
      </c>
      <c r="K1985">
        <v>0</v>
      </c>
      <c r="L1985">
        <v>0</v>
      </c>
      <c r="M1985">
        <v>0</v>
      </c>
      <c r="N1985">
        <v>0</v>
      </c>
      <c r="O1985">
        <v>270</v>
      </c>
      <c r="P1985" t="str">
        <f t="shared" si="181"/>
        <v>High</v>
      </c>
      <c r="Q1985">
        <v>134</v>
      </c>
      <c r="R1985">
        <v>87</v>
      </c>
      <c r="S1985">
        <v>24.91</v>
      </c>
      <c r="T1985" t="str">
        <f t="shared" si="182"/>
        <v>Normal</v>
      </c>
      <c r="U1985">
        <v>75</v>
      </c>
      <c r="V1985">
        <v>77</v>
      </c>
      <c r="W1985" t="str">
        <f t="shared" si="185"/>
        <v>Normal</v>
      </c>
      <c r="X1985">
        <v>0</v>
      </c>
    </row>
    <row r="1986" spans="1:24" ht="14.5" thickBot="1" x14ac:dyDescent="0.35">
      <c r="A1986">
        <v>1</v>
      </c>
      <c r="B1986" t="str">
        <f t="shared" si="183"/>
        <v>Male</v>
      </c>
      <c r="C1986" s="8">
        <v>48</v>
      </c>
      <c r="D1986" t="str">
        <f t="shared" si="184"/>
        <v>Middle Age</v>
      </c>
      <c r="E1986">
        <v>3</v>
      </c>
      <c r="F1986" t="str">
        <f>HLOOKUP(E1986, LookUP_Table!$A$6:$D$7, 2, FALSE)</f>
        <v>Graduate</v>
      </c>
      <c r="G1986" t="str">
        <f>IFERROR(VLOOKUP(E1986, LookUP_Table!$A$1:$B$4, 2, FALSE), "")</f>
        <v>Graduate</v>
      </c>
      <c r="H1986">
        <v>0</v>
      </c>
      <c r="I1986">
        <v>0</v>
      </c>
      <c r="J1986" t="str">
        <f t="shared" ref="J1986:J2049" si="186">IF(I1986&gt;0,"Smoker","Non-Smoker")</f>
        <v>Non-Smoker</v>
      </c>
      <c r="K1986">
        <v>0</v>
      </c>
      <c r="L1986">
        <v>0</v>
      </c>
      <c r="M1986">
        <v>1</v>
      </c>
      <c r="N1986">
        <v>0</v>
      </c>
      <c r="O1986">
        <v>234</v>
      </c>
      <c r="P1986" t="str">
        <f t="shared" ref="P1986:P2049" si="187">IF(O1986&gt;240,"High","Normal")</f>
        <v>Normal</v>
      </c>
      <c r="Q1986">
        <v>141</v>
      </c>
      <c r="R1986">
        <v>98</v>
      </c>
      <c r="S1986">
        <v>21.06</v>
      </c>
      <c r="T1986" t="str">
        <f t="shared" ref="T1986:T2049" si="188">IF(S1986&lt;18.5,"Underweight",
IF(S1986&lt;25,"Normal",
IF(S1986&lt;30,"Overweight","Obese")))</f>
        <v>Normal</v>
      </c>
      <c r="U1986">
        <v>53</v>
      </c>
      <c r="V1986">
        <v>82</v>
      </c>
      <c r="W1986" t="str">
        <f t="shared" si="185"/>
        <v>Normal</v>
      </c>
      <c r="X1986">
        <v>0</v>
      </c>
    </row>
    <row r="1987" spans="1:24" ht="14.5" thickBot="1" x14ac:dyDescent="0.35">
      <c r="A1987">
        <v>1</v>
      </c>
      <c r="B1987" t="str">
        <f t="shared" ref="B1987:B2050" si="189">IF(A1987=0,"Female","Male")</f>
        <v>Male</v>
      </c>
      <c r="C1987" s="8">
        <v>48</v>
      </c>
      <c r="D1987" t="str">
        <f t="shared" ref="D1987:D2050" si="190">IF(C1987&lt;40,"Young",
IF(C1987&lt;55,"Middle Age","Senior"))</f>
        <v>Middle Age</v>
      </c>
      <c r="E1987">
        <v>1</v>
      </c>
      <c r="F1987" t="str">
        <f>HLOOKUP(E1987, LookUP_Table!$A$6:$D$7, 2, FALSE)</f>
        <v>Primary</v>
      </c>
      <c r="G1987" t="str">
        <f>IFERROR(VLOOKUP(E1987, LookUP_Table!$A$1:$B$4, 2, FALSE), "")</f>
        <v>Primary</v>
      </c>
      <c r="H1987">
        <v>1</v>
      </c>
      <c r="I1987">
        <v>1</v>
      </c>
      <c r="J1987" t="str">
        <f t="shared" si="186"/>
        <v>Smoker</v>
      </c>
      <c r="K1987">
        <v>0</v>
      </c>
      <c r="L1987">
        <v>0</v>
      </c>
      <c r="M1987">
        <v>0</v>
      </c>
      <c r="N1987">
        <v>0</v>
      </c>
      <c r="O1987">
        <v>259</v>
      </c>
      <c r="P1987" t="str">
        <f t="shared" si="187"/>
        <v>High</v>
      </c>
      <c r="Q1987">
        <v>130</v>
      </c>
      <c r="R1987">
        <v>95</v>
      </c>
      <c r="S1987">
        <v>23.68</v>
      </c>
      <c r="T1987" t="str">
        <f t="shared" si="188"/>
        <v>Normal</v>
      </c>
      <c r="U1987">
        <v>68</v>
      </c>
      <c r="V1987">
        <v>81.96365524402907</v>
      </c>
      <c r="W1987" t="str">
        <f t="shared" ref="W1987:W2050" si="191">IF(V1987 &lt; 100, "Normal", IF(V1987 &lt;= 125, "Prediabetes", "Diabetes"))</f>
        <v>Normal</v>
      </c>
      <c r="X1987">
        <v>0</v>
      </c>
    </row>
    <row r="1988" spans="1:24" ht="14.5" thickBot="1" x14ac:dyDescent="0.35">
      <c r="A1988">
        <v>1</v>
      </c>
      <c r="B1988" t="str">
        <f t="shared" si="189"/>
        <v>Male</v>
      </c>
      <c r="C1988" s="8">
        <v>48</v>
      </c>
      <c r="D1988" t="str">
        <f t="shared" si="190"/>
        <v>Middle Age</v>
      </c>
      <c r="E1988">
        <v>1</v>
      </c>
      <c r="F1988" t="str">
        <f>HLOOKUP(E1988, LookUP_Table!$A$6:$D$7, 2, FALSE)</f>
        <v>Primary</v>
      </c>
      <c r="G1988" t="str">
        <f>IFERROR(VLOOKUP(E1988, LookUP_Table!$A$1:$B$4, 2, FALSE), "")</f>
        <v>Primary</v>
      </c>
      <c r="H1988">
        <v>0</v>
      </c>
      <c r="I1988">
        <v>0</v>
      </c>
      <c r="J1988" t="str">
        <f t="shared" si="186"/>
        <v>Non-Smoker</v>
      </c>
      <c r="K1988">
        <v>0</v>
      </c>
      <c r="L1988">
        <v>0</v>
      </c>
      <c r="M1988">
        <v>0</v>
      </c>
      <c r="N1988">
        <v>0</v>
      </c>
      <c r="O1988">
        <v>210</v>
      </c>
      <c r="P1988" t="str">
        <f t="shared" si="187"/>
        <v>Normal</v>
      </c>
      <c r="Q1988">
        <v>134</v>
      </c>
      <c r="R1988">
        <v>83</v>
      </c>
      <c r="S1988">
        <v>25.08</v>
      </c>
      <c r="T1988" t="str">
        <f t="shared" si="188"/>
        <v>Overweight</v>
      </c>
      <c r="U1988">
        <v>75</v>
      </c>
      <c r="V1988">
        <v>107</v>
      </c>
      <c r="W1988" t="str">
        <f t="shared" si="191"/>
        <v>Prediabetes</v>
      </c>
      <c r="X1988">
        <v>0</v>
      </c>
    </row>
    <row r="1989" spans="1:24" ht="14.5" thickBot="1" x14ac:dyDescent="0.35">
      <c r="A1989">
        <v>0</v>
      </c>
      <c r="B1989" t="str">
        <f t="shared" si="189"/>
        <v>Female</v>
      </c>
      <c r="C1989" s="8">
        <v>48</v>
      </c>
      <c r="D1989" t="str">
        <f t="shared" si="190"/>
        <v>Middle Age</v>
      </c>
      <c r="E1989">
        <v>1</v>
      </c>
      <c r="F1989" t="str">
        <f>HLOOKUP(E1989, LookUP_Table!$A$6:$D$7, 2, FALSE)</f>
        <v>Primary</v>
      </c>
      <c r="G1989" t="str">
        <f>IFERROR(VLOOKUP(E1989, LookUP_Table!$A$1:$B$4, 2, FALSE), "")</f>
        <v>Primary</v>
      </c>
      <c r="H1989">
        <v>1</v>
      </c>
      <c r="I1989">
        <v>2</v>
      </c>
      <c r="J1989" t="str">
        <f t="shared" si="186"/>
        <v>Smoker</v>
      </c>
      <c r="K1989">
        <v>0</v>
      </c>
      <c r="L1989">
        <v>0</v>
      </c>
      <c r="M1989">
        <v>0</v>
      </c>
      <c r="N1989">
        <v>0</v>
      </c>
      <c r="O1989">
        <v>236.69952267303103</v>
      </c>
      <c r="P1989" t="str">
        <f t="shared" si="187"/>
        <v>Normal</v>
      </c>
      <c r="Q1989">
        <v>129</v>
      </c>
      <c r="R1989">
        <v>90</v>
      </c>
      <c r="S1989">
        <v>16.61</v>
      </c>
      <c r="T1989" t="str">
        <f t="shared" si="188"/>
        <v>Underweight</v>
      </c>
      <c r="U1989">
        <v>80</v>
      </c>
      <c r="V1989">
        <v>81.96365524402907</v>
      </c>
      <c r="W1989" t="str">
        <f t="shared" si="191"/>
        <v>Normal</v>
      </c>
      <c r="X1989">
        <v>1</v>
      </c>
    </row>
    <row r="1990" spans="1:24" ht="14.5" thickBot="1" x14ac:dyDescent="0.35">
      <c r="A1990">
        <v>0</v>
      </c>
      <c r="B1990" t="str">
        <f t="shared" si="189"/>
        <v>Female</v>
      </c>
      <c r="C1990" s="8">
        <v>48</v>
      </c>
      <c r="D1990" t="str">
        <f t="shared" si="190"/>
        <v>Middle Age</v>
      </c>
      <c r="E1990">
        <v>1</v>
      </c>
      <c r="F1990" t="str">
        <f>HLOOKUP(E1990, LookUP_Table!$A$6:$D$7, 2, FALSE)</f>
        <v>Primary</v>
      </c>
      <c r="G1990" t="str">
        <f>IFERROR(VLOOKUP(E1990, LookUP_Table!$A$1:$B$4, 2, FALSE), "")</f>
        <v>Primary</v>
      </c>
      <c r="H1990">
        <v>1</v>
      </c>
      <c r="I1990">
        <v>35</v>
      </c>
      <c r="J1990" t="str">
        <f t="shared" si="186"/>
        <v>Smoker</v>
      </c>
      <c r="K1990">
        <v>0</v>
      </c>
      <c r="L1990">
        <v>0</v>
      </c>
      <c r="M1990">
        <v>1</v>
      </c>
      <c r="N1990">
        <v>0</v>
      </c>
      <c r="O1990">
        <v>174</v>
      </c>
      <c r="P1990" t="str">
        <f t="shared" si="187"/>
        <v>Normal</v>
      </c>
      <c r="Q1990">
        <v>154</v>
      </c>
      <c r="R1990">
        <v>84</v>
      </c>
      <c r="S1990">
        <v>31.76</v>
      </c>
      <c r="T1990" t="str">
        <f t="shared" si="188"/>
        <v>Obese</v>
      </c>
      <c r="U1990">
        <v>72</v>
      </c>
      <c r="V1990">
        <v>90</v>
      </c>
      <c r="W1990" t="str">
        <f t="shared" si="191"/>
        <v>Normal</v>
      </c>
      <c r="X1990">
        <v>0</v>
      </c>
    </row>
    <row r="1991" spans="1:24" ht="14.5" thickBot="1" x14ac:dyDescent="0.35">
      <c r="A1991">
        <v>0</v>
      </c>
      <c r="B1991" t="str">
        <f t="shared" si="189"/>
        <v>Female</v>
      </c>
      <c r="C1991" s="8">
        <v>48</v>
      </c>
      <c r="D1991" t="str">
        <f t="shared" si="190"/>
        <v>Middle Age</v>
      </c>
      <c r="E1991">
        <v>1</v>
      </c>
      <c r="F1991" t="str">
        <f>HLOOKUP(E1991, LookUP_Table!$A$6:$D$7, 2, FALSE)</f>
        <v>Primary</v>
      </c>
      <c r="G1991" t="str">
        <f>IFERROR(VLOOKUP(E1991, LookUP_Table!$A$1:$B$4, 2, FALSE), "")</f>
        <v>Primary</v>
      </c>
      <c r="H1991">
        <v>0</v>
      </c>
      <c r="I1991">
        <v>0</v>
      </c>
      <c r="J1991" t="str">
        <f t="shared" si="186"/>
        <v>Non-Smoker</v>
      </c>
      <c r="K1991">
        <v>0</v>
      </c>
      <c r="L1991">
        <v>0</v>
      </c>
      <c r="M1991">
        <v>1</v>
      </c>
      <c r="N1991">
        <v>0</v>
      </c>
      <c r="O1991">
        <v>246</v>
      </c>
      <c r="P1991" t="str">
        <f t="shared" si="187"/>
        <v>High</v>
      </c>
      <c r="Q1991">
        <v>165</v>
      </c>
      <c r="R1991">
        <v>84</v>
      </c>
      <c r="S1991">
        <v>27.6</v>
      </c>
      <c r="T1991" t="str">
        <f t="shared" si="188"/>
        <v>Overweight</v>
      </c>
      <c r="U1991">
        <v>122</v>
      </c>
      <c r="V1991">
        <v>73</v>
      </c>
      <c r="W1991" t="str">
        <f t="shared" si="191"/>
        <v>Normal</v>
      </c>
      <c r="X1991">
        <v>0</v>
      </c>
    </row>
    <row r="1992" spans="1:24" ht="14.5" thickBot="1" x14ac:dyDescent="0.35">
      <c r="A1992">
        <v>1</v>
      </c>
      <c r="B1992" t="str">
        <f t="shared" si="189"/>
        <v>Male</v>
      </c>
      <c r="C1992" s="8">
        <v>48</v>
      </c>
      <c r="D1992" t="str">
        <f t="shared" si="190"/>
        <v>Middle Age</v>
      </c>
      <c r="E1992">
        <v>4</v>
      </c>
      <c r="F1992" t="str">
        <f>HLOOKUP(E1992, LookUP_Table!$A$6:$D$7, 2, FALSE)</f>
        <v>Post Graduate</v>
      </c>
      <c r="G1992" t="str">
        <f>IFERROR(VLOOKUP(E1992, LookUP_Table!$A$1:$B$4, 2, FALSE), "")</f>
        <v>Post Graduate</v>
      </c>
      <c r="H1992">
        <v>0</v>
      </c>
      <c r="I1992">
        <v>0</v>
      </c>
      <c r="J1992" t="str">
        <f t="shared" si="186"/>
        <v>Non-Smoker</v>
      </c>
      <c r="K1992">
        <v>0</v>
      </c>
      <c r="L1992">
        <v>0</v>
      </c>
      <c r="M1992">
        <v>1</v>
      </c>
      <c r="N1992">
        <v>0</v>
      </c>
      <c r="O1992">
        <v>205</v>
      </c>
      <c r="P1992" t="str">
        <f t="shared" si="187"/>
        <v>Normal</v>
      </c>
      <c r="Q1992">
        <v>148</v>
      </c>
      <c r="R1992">
        <v>103</v>
      </c>
      <c r="S1992">
        <v>28.31</v>
      </c>
      <c r="T1992" t="str">
        <f t="shared" si="188"/>
        <v>Overweight</v>
      </c>
      <c r="U1992">
        <v>75</v>
      </c>
      <c r="V1992">
        <v>60</v>
      </c>
      <c r="W1992" t="str">
        <f t="shared" si="191"/>
        <v>Normal</v>
      </c>
      <c r="X1992">
        <v>0</v>
      </c>
    </row>
    <row r="1993" spans="1:24" ht="14.5" thickBot="1" x14ac:dyDescent="0.35">
      <c r="A1993">
        <v>1</v>
      </c>
      <c r="B1993" t="str">
        <f t="shared" si="189"/>
        <v>Male</v>
      </c>
      <c r="C1993" s="8">
        <v>48</v>
      </c>
      <c r="D1993" t="str">
        <f t="shared" si="190"/>
        <v>Middle Age</v>
      </c>
      <c r="E1993">
        <v>1</v>
      </c>
      <c r="F1993" t="str">
        <f>HLOOKUP(E1993, LookUP_Table!$A$6:$D$7, 2, FALSE)</f>
        <v>Primary</v>
      </c>
      <c r="G1993" t="str">
        <f>IFERROR(VLOOKUP(E1993, LookUP_Table!$A$1:$B$4, 2, FALSE), "")</f>
        <v>Primary</v>
      </c>
      <c r="H1993">
        <v>0</v>
      </c>
      <c r="I1993">
        <v>0</v>
      </c>
      <c r="J1993" t="str">
        <f t="shared" si="186"/>
        <v>Non-Smoker</v>
      </c>
      <c r="K1993">
        <v>0</v>
      </c>
      <c r="L1993">
        <v>0</v>
      </c>
      <c r="M1993">
        <v>1</v>
      </c>
      <c r="N1993">
        <v>0</v>
      </c>
      <c r="O1993">
        <v>232</v>
      </c>
      <c r="P1993" t="str">
        <f t="shared" si="187"/>
        <v>Normal</v>
      </c>
      <c r="Q1993">
        <v>130.5</v>
      </c>
      <c r="R1993">
        <v>90</v>
      </c>
      <c r="S1993">
        <v>29.07</v>
      </c>
      <c r="T1993" t="str">
        <f t="shared" si="188"/>
        <v>Overweight</v>
      </c>
      <c r="U1993">
        <v>85</v>
      </c>
      <c r="V1993">
        <v>118</v>
      </c>
      <c r="W1993" t="str">
        <f t="shared" si="191"/>
        <v>Prediabetes</v>
      </c>
      <c r="X1993">
        <v>0</v>
      </c>
    </row>
    <row r="1994" spans="1:24" ht="14.5" thickBot="1" x14ac:dyDescent="0.35">
      <c r="A1994">
        <v>0</v>
      </c>
      <c r="B1994" t="str">
        <f t="shared" si="189"/>
        <v>Female</v>
      </c>
      <c r="C1994" s="8">
        <v>48</v>
      </c>
      <c r="D1994" t="str">
        <f t="shared" si="190"/>
        <v>Middle Age</v>
      </c>
      <c r="E1994">
        <v>2</v>
      </c>
      <c r="F1994" t="str">
        <f>HLOOKUP(E1994, LookUP_Table!$A$6:$D$7, 2, FALSE)</f>
        <v>Secondary</v>
      </c>
      <c r="G1994" t="str">
        <f>IFERROR(VLOOKUP(E1994, LookUP_Table!$A$1:$B$4, 2, FALSE), "")</f>
        <v>Secondary</v>
      </c>
      <c r="H1994">
        <v>0</v>
      </c>
      <c r="I1994">
        <v>0</v>
      </c>
      <c r="J1994" t="str">
        <f t="shared" si="186"/>
        <v>Non-Smoker</v>
      </c>
      <c r="K1994">
        <v>0</v>
      </c>
      <c r="L1994">
        <v>0</v>
      </c>
      <c r="M1994">
        <v>0</v>
      </c>
      <c r="N1994">
        <v>0</v>
      </c>
      <c r="O1994">
        <v>237</v>
      </c>
      <c r="P1994" t="str">
        <f t="shared" si="187"/>
        <v>Normal</v>
      </c>
      <c r="Q1994">
        <v>124.5</v>
      </c>
      <c r="R1994">
        <v>66.5</v>
      </c>
      <c r="S1994">
        <v>33.29</v>
      </c>
      <c r="T1994" t="str">
        <f t="shared" si="188"/>
        <v>Obese</v>
      </c>
      <c r="U1994">
        <v>80</v>
      </c>
      <c r="V1994">
        <v>91</v>
      </c>
      <c r="W1994" t="str">
        <f t="shared" si="191"/>
        <v>Normal</v>
      </c>
      <c r="X1994">
        <v>0</v>
      </c>
    </row>
    <row r="1995" spans="1:24" ht="14.5" thickBot="1" x14ac:dyDescent="0.35">
      <c r="A1995">
        <v>1</v>
      </c>
      <c r="B1995" t="str">
        <f t="shared" si="189"/>
        <v>Male</v>
      </c>
      <c r="C1995" s="8">
        <v>48</v>
      </c>
      <c r="D1995" t="str">
        <f t="shared" si="190"/>
        <v>Middle Age</v>
      </c>
      <c r="E1995">
        <v>2</v>
      </c>
      <c r="F1995" t="str">
        <f>HLOOKUP(E1995, LookUP_Table!$A$6:$D$7, 2, FALSE)</f>
        <v>Secondary</v>
      </c>
      <c r="G1995" t="str">
        <f>IFERROR(VLOOKUP(E1995, LookUP_Table!$A$1:$B$4, 2, FALSE), "")</f>
        <v>Secondary</v>
      </c>
      <c r="H1995">
        <v>0</v>
      </c>
      <c r="I1995">
        <v>0</v>
      </c>
      <c r="J1995" t="str">
        <f t="shared" si="186"/>
        <v>Non-Smoker</v>
      </c>
      <c r="K1995">
        <v>0</v>
      </c>
      <c r="L1995">
        <v>0</v>
      </c>
      <c r="M1995">
        <v>1</v>
      </c>
      <c r="N1995">
        <v>0</v>
      </c>
      <c r="O1995">
        <v>251</v>
      </c>
      <c r="P1995" t="str">
        <f t="shared" si="187"/>
        <v>High</v>
      </c>
      <c r="Q1995">
        <v>148</v>
      </c>
      <c r="R1995">
        <v>91</v>
      </c>
      <c r="S1995">
        <v>25.79</v>
      </c>
      <c r="T1995" t="str">
        <f t="shared" si="188"/>
        <v>Overweight</v>
      </c>
      <c r="U1995">
        <v>75</v>
      </c>
      <c r="V1995">
        <v>83</v>
      </c>
      <c r="W1995" t="str">
        <f t="shared" si="191"/>
        <v>Normal</v>
      </c>
      <c r="X1995">
        <v>0</v>
      </c>
    </row>
    <row r="1996" spans="1:24" ht="14.5" thickBot="1" x14ac:dyDescent="0.35">
      <c r="A1996">
        <v>1</v>
      </c>
      <c r="B1996" t="str">
        <f t="shared" si="189"/>
        <v>Male</v>
      </c>
      <c r="C1996" s="8">
        <v>48</v>
      </c>
      <c r="D1996" t="str">
        <f t="shared" si="190"/>
        <v>Middle Age</v>
      </c>
      <c r="E1996">
        <v>2</v>
      </c>
      <c r="F1996" t="str">
        <f>HLOOKUP(E1996, LookUP_Table!$A$6:$D$7, 2, FALSE)</f>
        <v>Secondary</v>
      </c>
      <c r="G1996" t="str">
        <f>IFERROR(VLOOKUP(E1996, LookUP_Table!$A$1:$B$4, 2, FALSE), "")</f>
        <v>Secondary</v>
      </c>
      <c r="H1996">
        <v>0</v>
      </c>
      <c r="I1996">
        <v>0</v>
      </c>
      <c r="J1996" t="str">
        <f t="shared" si="186"/>
        <v>Non-Smoker</v>
      </c>
      <c r="K1996">
        <v>1</v>
      </c>
      <c r="L1996">
        <v>0</v>
      </c>
      <c r="M1996">
        <v>1</v>
      </c>
      <c r="N1996">
        <v>0</v>
      </c>
      <c r="O1996">
        <v>336</v>
      </c>
      <c r="P1996" t="str">
        <f t="shared" si="187"/>
        <v>High</v>
      </c>
      <c r="Q1996">
        <v>183</v>
      </c>
      <c r="R1996">
        <v>108</v>
      </c>
      <c r="S1996">
        <v>28.11</v>
      </c>
      <c r="T1996" t="str">
        <f t="shared" si="188"/>
        <v>Overweight</v>
      </c>
      <c r="U1996">
        <v>106</v>
      </c>
      <c r="V1996">
        <v>96</v>
      </c>
      <c r="W1996" t="str">
        <f t="shared" si="191"/>
        <v>Normal</v>
      </c>
      <c r="X1996">
        <v>0</v>
      </c>
    </row>
    <row r="1997" spans="1:24" ht="14.5" thickBot="1" x14ac:dyDescent="0.35">
      <c r="A1997">
        <v>0</v>
      </c>
      <c r="B1997" t="str">
        <f t="shared" si="189"/>
        <v>Female</v>
      </c>
      <c r="C1997" s="8">
        <v>48</v>
      </c>
      <c r="D1997" t="str">
        <f t="shared" si="190"/>
        <v>Middle Age</v>
      </c>
      <c r="E1997">
        <v>1</v>
      </c>
      <c r="F1997" t="str">
        <f>HLOOKUP(E1997, LookUP_Table!$A$6:$D$7, 2, FALSE)</f>
        <v>Primary</v>
      </c>
      <c r="G1997" t="str">
        <f>IFERROR(VLOOKUP(E1997, LookUP_Table!$A$1:$B$4, 2, FALSE), "")</f>
        <v>Primary</v>
      </c>
      <c r="H1997">
        <v>0</v>
      </c>
      <c r="I1997">
        <v>0</v>
      </c>
      <c r="J1997" t="str">
        <f t="shared" si="186"/>
        <v>Non-Smoker</v>
      </c>
      <c r="K1997">
        <v>0</v>
      </c>
      <c r="L1997">
        <v>0</v>
      </c>
      <c r="M1997">
        <v>1</v>
      </c>
      <c r="N1997">
        <v>0</v>
      </c>
      <c r="O1997">
        <v>202</v>
      </c>
      <c r="P1997" t="str">
        <f t="shared" si="187"/>
        <v>Normal</v>
      </c>
      <c r="Q1997">
        <v>171</v>
      </c>
      <c r="R1997">
        <v>97</v>
      </c>
      <c r="S1997">
        <v>32.67</v>
      </c>
      <c r="T1997" t="str">
        <f t="shared" si="188"/>
        <v>Obese</v>
      </c>
      <c r="U1997">
        <v>95</v>
      </c>
      <c r="V1997">
        <v>78</v>
      </c>
      <c r="W1997" t="str">
        <f t="shared" si="191"/>
        <v>Normal</v>
      </c>
      <c r="X1997">
        <v>0</v>
      </c>
    </row>
    <row r="1998" spans="1:24" ht="14.5" thickBot="1" x14ac:dyDescent="0.35">
      <c r="A1998">
        <v>0</v>
      </c>
      <c r="B1998" t="str">
        <f t="shared" si="189"/>
        <v>Female</v>
      </c>
      <c r="C1998" s="8">
        <v>48</v>
      </c>
      <c r="D1998" t="str">
        <f t="shared" si="190"/>
        <v>Middle Age</v>
      </c>
      <c r="E1998">
        <v>1</v>
      </c>
      <c r="F1998" t="str">
        <f>HLOOKUP(E1998, LookUP_Table!$A$6:$D$7, 2, FALSE)</f>
        <v>Primary</v>
      </c>
      <c r="G1998" t="str">
        <f>IFERROR(VLOOKUP(E1998, LookUP_Table!$A$1:$B$4, 2, FALSE), "")</f>
        <v>Primary</v>
      </c>
      <c r="H1998">
        <v>1</v>
      </c>
      <c r="I1998">
        <v>20</v>
      </c>
      <c r="J1998" t="str">
        <f t="shared" si="186"/>
        <v>Smoker</v>
      </c>
      <c r="K1998">
        <v>0</v>
      </c>
      <c r="L1998">
        <v>0</v>
      </c>
      <c r="M1998">
        <v>1</v>
      </c>
      <c r="N1998">
        <v>0</v>
      </c>
      <c r="O1998">
        <v>252</v>
      </c>
      <c r="P1998" t="str">
        <f t="shared" si="187"/>
        <v>High</v>
      </c>
      <c r="Q1998">
        <v>143</v>
      </c>
      <c r="R1998">
        <v>81</v>
      </c>
      <c r="S1998">
        <v>24</v>
      </c>
      <c r="T1998" t="str">
        <f t="shared" si="188"/>
        <v>Normal</v>
      </c>
      <c r="U1998">
        <v>85</v>
      </c>
      <c r="V1998">
        <v>101</v>
      </c>
      <c r="W1998" t="str">
        <f t="shared" si="191"/>
        <v>Prediabetes</v>
      </c>
      <c r="X1998">
        <v>0</v>
      </c>
    </row>
    <row r="1999" spans="1:24" ht="14.5" thickBot="1" x14ac:dyDescent="0.35">
      <c r="A1999">
        <v>1</v>
      </c>
      <c r="B1999" t="str">
        <f t="shared" si="189"/>
        <v>Male</v>
      </c>
      <c r="C1999" s="8">
        <v>48</v>
      </c>
      <c r="D1999" t="str">
        <f t="shared" si="190"/>
        <v>Middle Age</v>
      </c>
      <c r="E1999">
        <v>4</v>
      </c>
      <c r="F1999" t="str">
        <f>HLOOKUP(E1999, LookUP_Table!$A$6:$D$7, 2, FALSE)</f>
        <v>Post Graduate</v>
      </c>
      <c r="G1999" t="str">
        <f>IFERROR(VLOOKUP(E1999, LookUP_Table!$A$1:$B$4, 2, FALSE), "")</f>
        <v>Post Graduate</v>
      </c>
      <c r="H1999">
        <v>1</v>
      </c>
      <c r="I1999">
        <v>25</v>
      </c>
      <c r="J1999" t="str">
        <f t="shared" si="186"/>
        <v>Smoker</v>
      </c>
      <c r="K1999">
        <v>0</v>
      </c>
      <c r="L1999">
        <v>0</v>
      </c>
      <c r="M1999">
        <v>1</v>
      </c>
      <c r="N1999">
        <v>0</v>
      </c>
      <c r="O1999">
        <v>216</v>
      </c>
      <c r="P1999" t="str">
        <f t="shared" si="187"/>
        <v>Normal</v>
      </c>
      <c r="Q1999">
        <v>144</v>
      </c>
      <c r="R1999">
        <v>79</v>
      </c>
      <c r="S1999">
        <v>25.09</v>
      </c>
      <c r="T1999" t="str">
        <f t="shared" si="188"/>
        <v>Overweight</v>
      </c>
      <c r="U1999">
        <v>67</v>
      </c>
      <c r="V1999">
        <v>85</v>
      </c>
      <c r="W1999" t="str">
        <f t="shared" si="191"/>
        <v>Normal</v>
      </c>
      <c r="X1999">
        <v>0</v>
      </c>
    </row>
    <row r="2000" spans="1:24" ht="14.5" thickBot="1" x14ac:dyDescent="0.35">
      <c r="A2000">
        <v>0</v>
      </c>
      <c r="B2000" t="str">
        <f t="shared" si="189"/>
        <v>Female</v>
      </c>
      <c r="C2000" s="8">
        <v>48</v>
      </c>
      <c r="D2000" t="str">
        <f t="shared" si="190"/>
        <v>Middle Age</v>
      </c>
      <c r="E2000">
        <v>4</v>
      </c>
      <c r="F2000" t="str">
        <f>HLOOKUP(E2000, LookUP_Table!$A$6:$D$7, 2, FALSE)</f>
        <v>Post Graduate</v>
      </c>
      <c r="G2000" t="str">
        <f>IFERROR(VLOOKUP(E2000, LookUP_Table!$A$1:$B$4, 2, FALSE), "")</f>
        <v>Post Graduate</v>
      </c>
      <c r="H2000">
        <v>1</v>
      </c>
      <c r="I2000">
        <v>17</v>
      </c>
      <c r="J2000" t="str">
        <f t="shared" si="186"/>
        <v>Smoker</v>
      </c>
      <c r="K2000">
        <v>0</v>
      </c>
      <c r="L2000">
        <v>0</v>
      </c>
      <c r="M2000">
        <v>0</v>
      </c>
      <c r="N2000">
        <v>0</v>
      </c>
      <c r="O2000">
        <v>299</v>
      </c>
      <c r="P2000" t="str">
        <f t="shared" si="187"/>
        <v>High</v>
      </c>
      <c r="Q2000">
        <v>132</v>
      </c>
      <c r="R2000">
        <v>81</v>
      </c>
      <c r="S2000">
        <v>24.35</v>
      </c>
      <c r="T2000" t="str">
        <f t="shared" si="188"/>
        <v>Normal</v>
      </c>
      <c r="U2000">
        <v>75</v>
      </c>
      <c r="V2000">
        <v>70</v>
      </c>
      <c r="W2000" t="str">
        <f t="shared" si="191"/>
        <v>Normal</v>
      </c>
      <c r="X2000">
        <v>0</v>
      </c>
    </row>
    <row r="2001" spans="1:24" ht="14.5" thickBot="1" x14ac:dyDescent="0.35">
      <c r="A2001">
        <v>1</v>
      </c>
      <c r="B2001" t="str">
        <f t="shared" si="189"/>
        <v>Male</v>
      </c>
      <c r="C2001" s="8">
        <v>48</v>
      </c>
      <c r="D2001" t="str">
        <f t="shared" si="190"/>
        <v>Middle Age</v>
      </c>
      <c r="E2001">
        <v>2</v>
      </c>
      <c r="F2001" t="str">
        <f>HLOOKUP(E2001, LookUP_Table!$A$6:$D$7, 2, FALSE)</f>
        <v>Secondary</v>
      </c>
      <c r="G2001" t="str">
        <f>IFERROR(VLOOKUP(E2001, LookUP_Table!$A$1:$B$4, 2, FALSE), "")</f>
        <v>Secondary</v>
      </c>
      <c r="H2001">
        <v>1</v>
      </c>
      <c r="I2001">
        <v>20</v>
      </c>
      <c r="J2001" t="str">
        <f t="shared" si="186"/>
        <v>Smoker</v>
      </c>
      <c r="K2001">
        <v>0</v>
      </c>
      <c r="L2001">
        <v>0</v>
      </c>
      <c r="M2001">
        <v>0</v>
      </c>
      <c r="N2001">
        <v>0</v>
      </c>
      <c r="O2001">
        <v>210</v>
      </c>
      <c r="P2001" t="str">
        <f t="shared" si="187"/>
        <v>Normal</v>
      </c>
      <c r="Q2001">
        <v>134.5</v>
      </c>
      <c r="R2001">
        <v>84</v>
      </c>
      <c r="S2001">
        <v>27.97</v>
      </c>
      <c r="T2001" t="str">
        <f t="shared" si="188"/>
        <v>Overweight</v>
      </c>
      <c r="U2001">
        <v>65</v>
      </c>
      <c r="V2001">
        <v>87</v>
      </c>
      <c r="W2001" t="str">
        <f t="shared" si="191"/>
        <v>Normal</v>
      </c>
      <c r="X2001">
        <v>0</v>
      </c>
    </row>
    <row r="2002" spans="1:24" ht="14.5" thickBot="1" x14ac:dyDescent="0.35">
      <c r="A2002">
        <v>1</v>
      </c>
      <c r="B2002" t="str">
        <f t="shared" si="189"/>
        <v>Male</v>
      </c>
      <c r="C2002" s="8">
        <v>48</v>
      </c>
      <c r="D2002" t="str">
        <f t="shared" si="190"/>
        <v>Middle Age</v>
      </c>
      <c r="E2002">
        <v>2</v>
      </c>
      <c r="F2002" t="str">
        <f>HLOOKUP(E2002, LookUP_Table!$A$6:$D$7, 2, FALSE)</f>
        <v>Secondary</v>
      </c>
      <c r="G2002" t="str">
        <f>IFERROR(VLOOKUP(E2002, LookUP_Table!$A$1:$B$4, 2, FALSE), "")</f>
        <v>Secondary</v>
      </c>
      <c r="H2002">
        <v>1</v>
      </c>
      <c r="I2002">
        <v>17</v>
      </c>
      <c r="J2002" t="str">
        <f t="shared" si="186"/>
        <v>Smoker</v>
      </c>
      <c r="K2002">
        <v>0</v>
      </c>
      <c r="L2002">
        <v>0</v>
      </c>
      <c r="M2002">
        <v>0</v>
      </c>
      <c r="N2002">
        <v>0</v>
      </c>
      <c r="O2002">
        <v>218</v>
      </c>
      <c r="P2002" t="str">
        <f t="shared" si="187"/>
        <v>Normal</v>
      </c>
      <c r="Q2002">
        <v>113</v>
      </c>
      <c r="R2002">
        <v>79</v>
      </c>
      <c r="S2002">
        <v>27.33</v>
      </c>
      <c r="T2002" t="str">
        <f t="shared" si="188"/>
        <v>Overweight</v>
      </c>
      <c r="U2002">
        <v>62</v>
      </c>
      <c r="V2002">
        <v>73</v>
      </c>
      <c r="W2002" t="str">
        <f t="shared" si="191"/>
        <v>Normal</v>
      </c>
      <c r="X2002">
        <v>0</v>
      </c>
    </row>
    <row r="2003" spans="1:24" ht="14.5" thickBot="1" x14ac:dyDescent="0.35">
      <c r="A2003">
        <v>0</v>
      </c>
      <c r="B2003" t="str">
        <f t="shared" si="189"/>
        <v>Female</v>
      </c>
      <c r="C2003" s="8">
        <v>48</v>
      </c>
      <c r="D2003" t="str">
        <f t="shared" si="190"/>
        <v>Middle Age</v>
      </c>
      <c r="E2003">
        <v>2</v>
      </c>
      <c r="F2003" t="str">
        <f>HLOOKUP(E2003, LookUP_Table!$A$6:$D$7, 2, FALSE)</f>
        <v>Secondary</v>
      </c>
      <c r="G2003" t="str">
        <f>IFERROR(VLOOKUP(E2003, LookUP_Table!$A$1:$B$4, 2, FALSE), "")</f>
        <v>Secondary</v>
      </c>
      <c r="H2003">
        <v>1</v>
      </c>
      <c r="I2003">
        <v>25</v>
      </c>
      <c r="J2003" t="str">
        <f t="shared" si="186"/>
        <v>Smoker</v>
      </c>
      <c r="K2003">
        <v>0</v>
      </c>
      <c r="L2003">
        <v>0</v>
      </c>
      <c r="M2003">
        <v>0</v>
      </c>
      <c r="N2003">
        <v>0</v>
      </c>
      <c r="O2003">
        <v>250</v>
      </c>
      <c r="P2003" t="str">
        <f t="shared" si="187"/>
        <v>High</v>
      </c>
      <c r="Q2003">
        <v>103</v>
      </c>
      <c r="R2003">
        <v>76.5</v>
      </c>
      <c r="S2003">
        <v>23.25</v>
      </c>
      <c r="T2003" t="str">
        <f t="shared" si="188"/>
        <v>Normal</v>
      </c>
      <c r="U2003">
        <v>72</v>
      </c>
      <c r="V2003">
        <v>66</v>
      </c>
      <c r="W2003" t="str">
        <f t="shared" si="191"/>
        <v>Normal</v>
      </c>
      <c r="X2003">
        <v>0</v>
      </c>
    </row>
    <row r="2004" spans="1:24" ht="14.5" thickBot="1" x14ac:dyDescent="0.35">
      <c r="A2004">
        <v>1</v>
      </c>
      <c r="B2004" t="str">
        <f t="shared" si="189"/>
        <v>Male</v>
      </c>
      <c r="C2004" s="8">
        <v>48</v>
      </c>
      <c r="D2004" t="str">
        <f t="shared" si="190"/>
        <v>Middle Age</v>
      </c>
      <c r="E2004">
        <v>3</v>
      </c>
      <c r="F2004" t="str">
        <f>HLOOKUP(E2004, LookUP_Table!$A$6:$D$7, 2, FALSE)</f>
        <v>Graduate</v>
      </c>
      <c r="G2004" t="str">
        <f>IFERROR(VLOOKUP(E2004, LookUP_Table!$A$1:$B$4, 2, FALSE), "")</f>
        <v>Graduate</v>
      </c>
      <c r="H2004">
        <v>0</v>
      </c>
      <c r="I2004">
        <v>0</v>
      </c>
      <c r="J2004" t="str">
        <f t="shared" si="186"/>
        <v>Non-Smoker</v>
      </c>
      <c r="K2004">
        <v>0</v>
      </c>
      <c r="L2004">
        <v>0</v>
      </c>
      <c r="M2004">
        <v>0</v>
      </c>
      <c r="N2004">
        <v>0</v>
      </c>
      <c r="O2004">
        <v>243</v>
      </c>
      <c r="P2004" t="str">
        <f t="shared" si="187"/>
        <v>High</v>
      </c>
      <c r="Q2004">
        <v>116</v>
      </c>
      <c r="R2004">
        <v>82</v>
      </c>
      <c r="S2004">
        <v>26.09</v>
      </c>
      <c r="T2004" t="str">
        <f t="shared" si="188"/>
        <v>Overweight</v>
      </c>
      <c r="U2004">
        <v>80</v>
      </c>
      <c r="V2004">
        <v>85</v>
      </c>
      <c r="W2004" t="str">
        <f t="shared" si="191"/>
        <v>Normal</v>
      </c>
      <c r="X2004">
        <v>0</v>
      </c>
    </row>
    <row r="2005" spans="1:24" ht="14.5" thickBot="1" x14ac:dyDescent="0.35">
      <c r="A2005">
        <v>1</v>
      </c>
      <c r="B2005" t="str">
        <f t="shared" si="189"/>
        <v>Male</v>
      </c>
      <c r="C2005" s="8">
        <v>48</v>
      </c>
      <c r="D2005" t="str">
        <f t="shared" si="190"/>
        <v>Middle Age</v>
      </c>
      <c r="E2005">
        <v>3</v>
      </c>
      <c r="F2005" t="str">
        <f>HLOOKUP(E2005, LookUP_Table!$A$6:$D$7, 2, FALSE)</f>
        <v>Graduate</v>
      </c>
      <c r="G2005" t="str">
        <f>IFERROR(VLOOKUP(E2005, LookUP_Table!$A$1:$B$4, 2, FALSE), "")</f>
        <v>Graduate</v>
      </c>
      <c r="H2005">
        <v>1</v>
      </c>
      <c r="I2005">
        <v>20</v>
      </c>
      <c r="J2005" t="str">
        <f t="shared" si="186"/>
        <v>Smoker</v>
      </c>
      <c r="K2005">
        <v>0</v>
      </c>
      <c r="L2005">
        <v>0</v>
      </c>
      <c r="M2005">
        <v>0</v>
      </c>
      <c r="N2005">
        <v>0</v>
      </c>
      <c r="O2005">
        <v>187</v>
      </c>
      <c r="P2005" t="str">
        <f t="shared" si="187"/>
        <v>Normal</v>
      </c>
      <c r="Q2005">
        <v>102</v>
      </c>
      <c r="R2005">
        <v>69</v>
      </c>
      <c r="S2005">
        <v>24.24</v>
      </c>
      <c r="T2005" t="str">
        <f t="shared" si="188"/>
        <v>Normal</v>
      </c>
      <c r="U2005">
        <v>68</v>
      </c>
      <c r="V2005">
        <v>72</v>
      </c>
      <c r="W2005" t="str">
        <f t="shared" si="191"/>
        <v>Normal</v>
      </c>
      <c r="X2005">
        <v>0</v>
      </c>
    </row>
    <row r="2006" spans="1:24" ht="14.5" thickBot="1" x14ac:dyDescent="0.35">
      <c r="A2006">
        <v>1</v>
      </c>
      <c r="B2006" t="str">
        <f t="shared" si="189"/>
        <v>Male</v>
      </c>
      <c r="C2006" s="8">
        <v>48</v>
      </c>
      <c r="D2006" t="str">
        <f t="shared" si="190"/>
        <v>Middle Age</v>
      </c>
      <c r="E2006">
        <v>4</v>
      </c>
      <c r="F2006" t="str">
        <f>HLOOKUP(E2006, LookUP_Table!$A$6:$D$7, 2, FALSE)</f>
        <v>Post Graduate</v>
      </c>
      <c r="G2006" t="str">
        <f>IFERROR(VLOOKUP(E2006, LookUP_Table!$A$1:$B$4, 2, FALSE), "")</f>
        <v>Post Graduate</v>
      </c>
      <c r="H2006">
        <v>1</v>
      </c>
      <c r="I2006">
        <v>20</v>
      </c>
      <c r="J2006" t="str">
        <f t="shared" si="186"/>
        <v>Smoker</v>
      </c>
      <c r="K2006">
        <v>0</v>
      </c>
      <c r="L2006">
        <v>0</v>
      </c>
      <c r="M2006">
        <v>1</v>
      </c>
      <c r="N2006">
        <v>0</v>
      </c>
      <c r="O2006">
        <v>259</v>
      </c>
      <c r="P2006" t="str">
        <f t="shared" si="187"/>
        <v>High</v>
      </c>
      <c r="Q2006">
        <v>135</v>
      </c>
      <c r="R2006">
        <v>90</v>
      </c>
      <c r="S2006">
        <v>20.72</v>
      </c>
      <c r="T2006" t="str">
        <f t="shared" si="188"/>
        <v>Normal</v>
      </c>
      <c r="U2006">
        <v>102</v>
      </c>
      <c r="V2006">
        <v>81</v>
      </c>
      <c r="W2006" t="str">
        <f t="shared" si="191"/>
        <v>Normal</v>
      </c>
      <c r="X2006">
        <v>1</v>
      </c>
    </row>
    <row r="2007" spans="1:24" ht="14.5" thickBot="1" x14ac:dyDescent="0.35">
      <c r="A2007">
        <v>0</v>
      </c>
      <c r="B2007" t="str">
        <f t="shared" si="189"/>
        <v>Female</v>
      </c>
      <c r="C2007" s="8">
        <v>48</v>
      </c>
      <c r="D2007" t="str">
        <f t="shared" si="190"/>
        <v>Middle Age</v>
      </c>
      <c r="E2007">
        <v>2</v>
      </c>
      <c r="F2007" t="str">
        <f>HLOOKUP(E2007, LookUP_Table!$A$6:$D$7, 2, FALSE)</f>
        <v>Secondary</v>
      </c>
      <c r="G2007" t="str">
        <f>IFERROR(VLOOKUP(E2007, LookUP_Table!$A$1:$B$4, 2, FALSE), "")</f>
        <v>Secondary</v>
      </c>
      <c r="H2007">
        <v>1</v>
      </c>
      <c r="I2007">
        <v>20</v>
      </c>
      <c r="J2007" t="str">
        <f t="shared" si="186"/>
        <v>Smoker</v>
      </c>
      <c r="K2007">
        <v>0</v>
      </c>
      <c r="L2007">
        <v>0</v>
      </c>
      <c r="M2007">
        <v>0</v>
      </c>
      <c r="N2007">
        <v>0</v>
      </c>
      <c r="O2007">
        <v>271</v>
      </c>
      <c r="P2007" t="str">
        <f t="shared" si="187"/>
        <v>High</v>
      </c>
      <c r="Q2007">
        <v>130</v>
      </c>
      <c r="R2007">
        <v>84</v>
      </c>
      <c r="S2007">
        <v>21.97</v>
      </c>
      <c r="T2007" t="str">
        <f t="shared" si="188"/>
        <v>Normal</v>
      </c>
      <c r="U2007">
        <v>120</v>
      </c>
      <c r="V2007">
        <v>85</v>
      </c>
      <c r="W2007" t="str">
        <f t="shared" si="191"/>
        <v>Normal</v>
      </c>
      <c r="X2007">
        <v>0</v>
      </c>
    </row>
    <row r="2008" spans="1:24" ht="14.5" thickBot="1" x14ac:dyDescent="0.35">
      <c r="A2008">
        <v>1</v>
      </c>
      <c r="B2008" t="str">
        <f t="shared" si="189"/>
        <v>Male</v>
      </c>
      <c r="C2008" s="8">
        <v>48</v>
      </c>
      <c r="D2008" t="str">
        <f t="shared" si="190"/>
        <v>Middle Age</v>
      </c>
      <c r="E2008">
        <v>1</v>
      </c>
      <c r="F2008" t="str">
        <f>HLOOKUP(E2008, LookUP_Table!$A$6:$D$7, 2, FALSE)</f>
        <v>Primary</v>
      </c>
      <c r="G2008" t="str">
        <f>IFERROR(VLOOKUP(E2008, LookUP_Table!$A$1:$B$4, 2, FALSE), "")</f>
        <v>Primary</v>
      </c>
      <c r="H2008">
        <v>0</v>
      </c>
      <c r="I2008">
        <v>0</v>
      </c>
      <c r="J2008" t="str">
        <f t="shared" si="186"/>
        <v>Non-Smoker</v>
      </c>
      <c r="K2008">
        <v>0</v>
      </c>
      <c r="L2008">
        <v>0</v>
      </c>
      <c r="M2008">
        <v>0</v>
      </c>
      <c r="N2008">
        <v>0</v>
      </c>
      <c r="O2008">
        <v>201</v>
      </c>
      <c r="P2008" t="str">
        <f t="shared" si="187"/>
        <v>Normal</v>
      </c>
      <c r="Q2008">
        <v>117.5</v>
      </c>
      <c r="R2008">
        <v>80</v>
      </c>
      <c r="S2008">
        <v>23.68</v>
      </c>
      <c r="T2008" t="str">
        <f t="shared" si="188"/>
        <v>Normal</v>
      </c>
      <c r="U2008">
        <v>66</v>
      </c>
      <c r="V2008">
        <v>85</v>
      </c>
      <c r="W2008" t="str">
        <f t="shared" si="191"/>
        <v>Normal</v>
      </c>
      <c r="X2008">
        <v>0</v>
      </c>
    </row>
    <row r="2009" spans="1:24" ht="14.5" thickBot="1" x14ac:dyDescent="0.35">
      <c r="A2009">
        <v>0</v>
      </c>
      <c r="B2009" t="str">
        <f t="shared" si="189"/>
        <v>Female</v>
      </c>
      <c r="C2009" s="8">
        <v>48</v>
      </c>
      <c r="D2009" t="str">
        <f t="shared" si="190"/>
        <v>Middle Age</v>
      </c>
      <c r="E2009">
        <v>3</v>
      </c>
      <c r="F2009" t="str">
        <f>HLOOKUP(E2009, LookUP_Table!$A$6:$D$7, 2, FALSE)</f>
        <v>Graduate</v>
      </c>
      <c r="G2009" t="str">
        <f>IFERROR(VLOOKUP(E2009, LookUP_Table!$A$1:$B$4, 2, FALSE), "")</f>
        <v>Graduate</v>
      </c>
      <c r="H2009">
        <v>1</v>
      </c>
      <c r="I2009">
        <v>9</v>
      </c>
      <c r="J2009" t="str">
        <f t="shared" si="186"/>
        <v>Smoker</v>
      </c>
      <c r="K2009">
        <v>0</v>
      </c>
      <c r="L2009">
        <v>0</v>
      </c>
      <c r="M2009">
        <v>1</v>
      </c>
      <c r="N2009">
        <v>0</v>
      </c>
      <c r="O2009">
        <v>266</v>
      </c>
      <c r="P2009" t="str">
        <f t="shared" si="187"/>
        <v>High</v>
      </c>
      <c r="Q2009">
        <v>155</v>
      </c>
      <c r="R2009">
        <v>100</v>
      </c>
      <c r="S2009">
        <v>27.86</v>
      </c>
      <c r="T2009" t="str">
        <f t="shared" si="188"/>
        <v>Overweight</v>
      </c>
      <c r="U2009">
        <v>75</v>
      </c>
      <c r="V2009">
        <v>84</v>
      </c>
      <c r="W2009" t="str">
        <f t="shared" si="191"/>
        <v>Normal</v>
      </c>
      <c r="X2009">
        <v>0</v>
      </c>
    </row>
    <row r="2010" spans="1:24" ht="14.5" thickBot="1" x14ac:dyDescent="0.35">
      <c r="A2010">
        <v>0</v>
      </c>
      <c r="B2010" t="str">
        <f t="shared" si="189"/>
        <v>Female</v>
      </c>
      <c r="C2010" s="8">
        <v>48</v>
      </c>
      <c r="D2010" t="str">
        <f t="shared" si="190"/>
        <v>Middle Age</v>
      </c>
      <c r="E2010">
        <v>1</v>
      </c>
      <c r="F2010" t="str">
        <f>HLOOKUP(E2010, LookUP_Table!$A$6:$D$7, 2, FALSE)</f>
        <v>Primary</v>
      </c>
      <c r="G2010" t="str">
        <f>IFERROR(VLOOKUP(E2010, LookUP_Table!$A$1:$B$4, 2, FALSE), "")</f>
        <v>Primary</v>
      </c>
      <c r="H2010">
        <v>0</v>
      </c>
      <c r="I2010">
        <v>0</v>
      </c>
      <c r="J2010" t="str">
        <f t="shared" si="186"/>
        <v>Non-Smoker</v>
      </c>
      <c r="K2010">
        <v>0</v>
      </c>
      <c r="L2010">
        <v>0</v>
      </c>
      <c r="M2010">
        <v>1</v>
      </c>
      <c r="N2010">
        <v>0</v>
      </c>
      <c r="O2010">
        <v>234</v>
      </c>
      <c r="P2010" t="str">
        <f t="shared" si="187"/>
        <v>Normal</v>
      </c>
      <c r="Q2010">
        <v>144</v>
      </c>
      <c r="R2010">
        <v>90</v>
      </c>
      <c r="S2010">
        <v>29.34</v>
      </c>
      <c r="T2010" t="str">
        <f t="shared" si="188"/>
        <v>Overweight</v>
      </c>
      <c r="U2010">
        <v>72</v>
      </c>
      <c r="V2010">
        <v>70</v>
      </c>
      <c r="W2010" t="str">
        <f t="shared" si="191"/>
        <v>Normal</v>
      </c>
      <c r="X2010">
        <v>0</v>
      </c>
    </row>
    <row r="2011" spans="1:24" ht="14.5" thickBot="1" x14ac:dyDescent="0.35">
      <c r="A2011">
        <v>0</v>
      </c>
      <c r="B2011" t="str">
        <f t="shared" si="189"/>
        <v>Female</v>
      </c>
      <c r="C2011" s="8">
        <v>48</v>
      </c>
      <c r="D2011" t="str">
        <f t="shared" si="190"/>
        <v>Middle Age</v>
      </c>
      <c r="E2011">
        <v>4</v>
      </c>
      <c r="F2011" t="str">
        <f>HLOOKUP(E2011, LookUP_Table!$A$6:$D$7, 2, FALSE)</f>
        <v>Post Graduate</v>
      </c>
      <c r="G2011" t="str">
        <f>IFERROR(VLOOKUP(E2011, LookUP_Table!$A$1:$B$4, 2, FALSE), "")</f>
        <v>Post Graduate</v>
      </c>
      <c r="H2011">
        <v>0</v>
      </c>
      <c r="I2011">
        <v>0</v>
      </c>
      <c r="J2011" t="str">
        <f t="shared" si="186"/>
        <v>Non-Smoker</v>
      </c>
      <c r="K2011">
        <v>0</v>
      </c>
      <c r="L2011">
        <v>0</v>
      </c>
      <c r="M2011">
        <v>0</v>
      </c>
      <c r="N2011">
        <v>0</v>
      </c>
      <c r="O2011">
        <v>240</v>
      </c>
      <c r="P2011" t="str">
        <f t="shared" si="187"/>
        <v>Normal</v>
      </c>
      <c r="Q2011">
        <v>123</v>
      </c>
      <c r="R2011">
        <v>80</v>
      </c>
      <c r="S2011">
        <v>24.57</v>
      </c>
      <c r="T2011" t="str">
        <f t="shared" si="188"/>
        <v>Normal</v>
      </c>
      <c r="U2011">
        <v>66</v>
      </c>
      <c r="V2011">
        <v>74</v>
      </c>
      <c r="W2011" t="str">
        <f t="shared" si="191"/>
        <v>Normal</v>
      </c>
      <c r="X2011">
        <v>0</v>
      </c>
    </row>
    <row r="2012" spans="1:24" ht="14.5" thickBot="1" x14ac:dyDescent="0.35">
      <c r="A2012">
        <v>1</v>
      </c>
      <c r="B2012" t="str">
        <f t="shared" si="189"/>
        <v>Male</v>
      </c>
      <c r="C2012" s="8">
        <v>48</v>
      </c>
      <c r="D2012" t="str">
        <f t="shared" si="190"/>
        <v>Middle Age</v>
      </c>
      <c r="E2012">
        <v>1</v>
      </c>
      <c r="F2012" t="str">
        <f>HLOOKUP(E2012, LookUP_Table!$A$6:$D$7, 2, FALSE)</f>
        <v>Primary</v>
      </c>
      <c r="G2012" t="str">
        <f>IFERROR(VLOOKUP(E2012, LookUP_Table!$A$1:$B$4, 2, FALSE), "")</f>
        <v>Primary</v>
      </c>
      <c r="H2012">
        <v>0</v>
      </c>
      <c r="I2012">
        <v>0</v>
      </c>
      <c r="J2012" t="str">
        <f t="shared" si="186"/>
        <v>Non-Smoker</v>
      </c>
      <c r="K2012">
        <v>0</v>
      </c>
      <c r="L2012">
        <v>0</v>
      </c>
      <c r="M2012">
        <v>0</v>
      </c>
      <c r="N2012">
        <v>0</v>
      </c>
      <c r="O2012">
        <v>251</v>
      </c>
      <c r="P2012" t="str">
        <f t="shared" si="187"/>
        <v>High</v>
      </c>
      <c r="Q2012">
        <v>112</v>
      </c>
      <c r="R2012">
        <v>77</v>
      </c>
      <c r="S2012">
        <v>30.28</v>
      </c>
      <c r="T2012" t="str">
        <f t="shared" si="188"/>
        <v>Obese</v>
      </c>
      <c r="U2012">
        <v>80</v>
      </c>
      <c r="V2012">
        <v>88</v>
      </c>
      <c r="W2012" t="str">
        <f t="shared" si="191"/>
        <v>Normal</v>
      </c>
      <c r="X2012">
        <v>0</v>
      </c>
    </row>
    <row r="2013" spans="1:24" ht="14.5" thickBot="1" x14ac:dyDescent="0.35">
      <c r="A2013">
        <v>0</v>
      </c>
      <c r="B2013" t="str">
        <f t="shared" si="189"/>
        <v>Female</v>
      </c>
      <c r="C2013" s="8">
        <v>48</v>
      </c>
      <c r="D2013" t="str">
        <f t="shared" si="190"/>
        <v>Middle Age</v>
      </c>
      <c r="E2013">
        <v>2</v>
      </c>
      <c r="F2013" t="str">
        <f>HLOOKUP(E2013, LookUP_Table!$A$6:$D$7, 2, FALSE)</f>
        <v>Secondary</v>
      </c>
      <c r="G2013" t="str">
        <f>IFERROR(VLOOKUP(E2013, LookUP_Table!$A$1:$B$4, 2, FALSE), "")</f>
        <v>Secondary</v>
      </c>
      <c r="H2013">
        <v>1</v>
      </c>
      <c r="I2013">
        <v>20</v>
      </c>
      <c r="J2013" t="str">
        <f t="shared" si="186"/>
        <v>Smoker</v>
      </c>
      <c r="K2013">
        <v>0</v>
      </c>
      <c r="L2013">
        <v>0</v>
      </c>
      <c r="M2013">
        <v>0</v>
      </c>
      <c r="N2013">
        <v>0</v>
      </c>
      <c r="O2013">
        <v>211</v>
      </c>
      <c r="P2013" t="str">
        <f t="shared" si="187"/>
        <v>Normal</v>
      </c>
      <c r="Q2013">
        <v>130</v>
      </c>
      <c r="R2013">
        <v>73</v>
      </c>
      <c r="S2013">
        <v>19.72</v>
      </c>
      <c r="T2013" t="str">
        <f t="shared" si="188"/>
        <v>Normal</v>
      </c>
      <c r="U2013">
        <v>82</v>
      </c>
      <c r="V2013">
        <v>81.96365524402907</v>
      </c>
      <c r="W2013" t="str">
        <f t="shared" si="191"/>
        <v>Normal</v>
      </c>
      <c r="X2013">
        <v>1</v>
      </c>
    </row>
    <row r="2014" spans="1:24" ht="14.5" thickBot="1" x14ac:dyDescent="0.35">
      <c r="A2014">
        <v>0</v>
      </c>
      <c r="B2014" t="str">
        <f t="shared" si="189"/>
        <v>Female</v>
      </c>
      <c r="C2014" s="8">
        <v>48</v>
      </c>
      <c r="D2014" t="str">
        <f t="shared" si="190"/>
        <v>Middle Age</v>
      </c>
      <c r="E2014">
        <v>1</v>
      </c>
      <c r="F2014" t="str">
        <f>HLOOKUP(E2014, LookUP_Table!$A$6:$D$7, 2, FALSE)</f>
        <v>Primary</v>
      </c>
      <c r="G2014" t="str">
        <f>IFERROR(VLOOKUP(E2014, LookUP_Table!$A$1:$B$4, 2, FALSE), "")</f>
        <v>Primary</v>
      </c>
      <c r="H2014">
        <v>0</v>
      </c>
      <c r="I2014">
        <v>0</v>
      </c>
      <c r="J2014" t="str">
        <f t="shared" si="186"/>
        <v>Non-Smoker</v>
      </c>
      <c r="K2014">
        <v>0</v>
      </c>
      <c r="L2014">
        <v>0</v>
      </c>
      <c r="M2014">
        <v>0</v>
      </c>
      <c r="N2014">
        <v>0</v>
      </c>
      <c r="O2014">
        <v>225</v>
      </c>
      <c r="P2014" t="str">
        <f t="shared" si="187"/>
        <v>Normal</v>
      </c>
      <c r="Q2014">
        <v>132</v>
      </c>
      <c r="R2014">
        <v>80</v>
      </c>
      <c r="S2014">
        <v>21.35</v>
      </c>
      <c r="T2014" t="str">
        <f t="shared" si="188"/>
        <v>Normal</v>
      </c>
      <c r="U2014">
        <v>60</v>
      </c>
      <c r="V2014">
        <v>74</v>
      </c>
      <c r="W2014" t="str">
        <f t="shared" si="191"/>
        <v>Normal</v>
      </c>
      <c r="X2014">
        <v>0</v>
      </c>
    </row>
    <row r="2015" spans="1:24" ht="14.5" thickBot="1" x14ac:dyDescent="0.35">
      <c r="A2015">
        <v>0</v>
      </c>
      <c r="B2015" t="str">
        <f t="shared" si="189"/>
        <v>Female</v>
      </c>
      <c r="C2015" s="8">
        <v>48</v>
      </c>
      <c r="D2015" t="str">
        <f t="shared" si="190"/>
        <v>Middle Age</v>
      </c>
      <c r="E2015">
        <v>3</v>
      </c>
      <c r="F2015" t="str">
        <f>HLOOKUP(E2015, LookUP_Table!$A$6:$D$7, 2, FALSE)</f>
        <v>Graduate</v>
      </c>
      <c r="G2015" t="str">
        <f>IFERROR(VLOOKUP(E2015, LookUP_Table!$A$1:$B$4, 2, FALSE), "")</f>
        <v>Graduate</v>
      </c>
      <c r="H2015">
        <v>1</v>
      </c>
      <c r="I2015">
        <v>5</v>
      </c>
      <c r="J2015" t="str">
        <f t="shared" si="186"/>
        <v>Smoker</v>
      </c>
      <c r="K2015">
        <v>0</v>
      </c>
      <c r="L2015">
        <v>0</v>
      </c>
      <c r="M2015">
        <v>0</v>
      </c>
      <c r="N2015">
        <v>0</v>
      </c>
      <c r="O2015">
        <v>172</v>
      </c>
      <c r="P2015" t="str">
        <f t="shared" si="187"/>
        <v>Normal</v>
      </c>
      <c r="Q2015">
        <v>114</v>
      </c>
      <c r="R2015">
        <v>80</v>
      </c>
      <c r="S2015">
        <v>21.33</v>
      </c>
      <c r="T2015" t="str">
        <f t="shared" si="188"/>
        <v>Normal</v>
      </c>
      <c r="U2015">
        <v>60</v>
      </c>
      <c r="V2015">
        <v>81.96365524402907</v>
      </c>
      <c r="W2015" t="str">
        <f t="shared" si="191"/>
        <v>Normal</v>
      </c>
      <c r="X2015">
        <v>0</v>
      </c>
    </row>
    <row r="2016" spans="1:24" ht="14.5" thickBot="1" x14ac:dyDescent="0.35">
      <c r="A2016">
        <v>0</v>
      </c>
      <c r="B2016" t="str">
        <f t="shared" si="189"/>
        <v>Female</v>
      </c>
      <c r="C2016" s="8">
        <v>48</v>
      </c>
      <c r="D2016" t="str">
        <f t="shared" si="190"/>
        <v>Middle Age</v>
      </c>
      <c r="E2016">
        <v>1</v>
      </c>
      <c r="F2016" t="str">
        <f>HLOOKUP(E2016, LookUP_Table!$A$6:$D$7, 2, FALSE)</f>
        <v>Primary</v>
      </c>
      <c r="G2016" t="str">
        <f>IFERROR(VLOOKUP(E2016, LookUP_Table!$A$1:$B$4, 2, FALSE), "")</f>
        <v>Primary</v>
      </c>
      <c r="H2016">
        <v>1</v>
      </c>
      <c r="I2016">
        <v>10</v>
      </c>
      <c r="J2016" t="str">
        <f t="shared" si="186"/>
        <v>Smoker</v>
      </c>
      <c r="K2016">
        <v>0</v>
      </c>
      <c r="L2016">
        <v>0</v>
      </c>
      <c r="M2016">
        <v>0</v>
      </c>
      <c r="N2016">
        <v>0</v>
      </c>
      <c r="O2016">
        <v>195</v>
      </c>
      <c r="P2016" t="str">
        <f t="shared" si="187"/>
        <v>Normal</v>
      </c>
      <c r="Q2016">
        <v>121</v>
      </c>
      <c r="R2016">
        <v>78</v>
      </c>
      <c r="S2016">
        <v>26.27</v>
      </c>
      <c r="T2016" t="str">
        <f t="shared" si="188"/>
        <v>Overweight</v>
      </c>
      <c r="U2016">
        <v>75</v>
      </c>
      <c r="V2016">
        <v>80</v>
      </c>
      <c r="W2016" t="str">
        <f t="shared" si="191"/>
        <v>Normal</v>
      </c>
      <c r="X2016">
        <v>0</v>
      </c>
    </row>
    <row r="2017" spans="1:24" ht="14.5" thickBot="1" x14ac:dyDescent="0.35">
      <c r="A2017">
        <v>0</v>
      </c>
      <c r="B2017" t="str">
        <f t="shared" si="189"/>
        <v>Female</v>
      </c>
      <c r="C2017" s="8">
        <v>48</v>
      </c>
      <c r="D2017" t="str">
        <f t="shared" si="190"/>
        <v>Middle Age</v>
      </c>
      <c r="E2017">
        <v>1</v>
      </c>
      <c r="F2017" t="str">
        <f>HLOOKUP(E2017, LookUP_Table!$A$6:$D$7, 2, FALSE)</f>
        <v>Primary</v>
      </c>
      <c r="G2017" t="str">
        <f>IFERROR(VLOOKUP(E2017, LookUP_Table!$A$1:$B$4, 2, FALSE), "")</f>
        <v>Primary</v>
      </c>
      <c r="H2017">
        <v>0</v>
      </c>
      <c r="I2017">
        <v>0</v>
      </c>
      <c r="J2017" t="str">
        <f t="shared" si="186"/>
        <v>Non-Smoker</v>
      </c>
      <c r="K2017">
        <v>0</v>
      </c>
      <c r="L2017">
        <v>0</v>
      </c>
      <c r="M2017">
        <v>1</v>
      </c>
      <c r="N2017">
        <v>0</v>
      </c>
      <c r="O2017">
        <v>275</v>
      </c>
      <c r="P2017" t="str">
        <f t="shared" si="187"/>
        <v>High</v>
      </c>
      <c r="Q2017">
        <v>177</v>
      </c>
      <c r="R2017">
        <v>101</v>
      </c>
      <c r="S2017">
        <v>25.22</v>
      </c>
      <c r="T2017" t="str">
        <f t="shared" si="188"/>
        <v>Overweight</v>
      </c>
      <c r="U2017">
        <v>75</v>
      </c>
      <c r="V2017">
        <v>82</v>
      </c>
      <c r="W2017" t="str">
        <f t="shared" si="191"/>
        <v>Normal</v>
      </c>
      <c r="X2017">
        <v>1</v>
      </c>
    </row>
    <row r="2018" spans="1:24" ht="14.5" thickBot="1" x14ac:dyDescent="0.35">
      <c r="A2018">
        <v>0</v>
      </c>
      <c r="B2018" t="str">
        <f t="shared" si="189"/>
        <v>Female</v>
      </c>
      <c r="C2018" s="8">
        <v>48</v>
      </c>
      <c r="D2018" t="str">
        <f t="shared" si="190"/>
        <v>Middle Age</v>
      </c>
      <c r="E2018">
        <v>2</v>
      </c>
      <c r="F2018" t="str">
        <f>HLOOKUP(E2018, LookUP_Table!$A$6:$D$7, 2, FALSE)</f>
        <v>Secondary</v>
      </c>
      <c r="G2018" t="str">
        <f>IFERROR(VLOOKUP(E2018, LookUP_Table!$A$1:$B$4, 2, FALSE), "")</f>
        <v>Secondary</v>
      </c>
      <c r="H2018">
        <v>1</v>
      </c>
      <c r="I2018">
        <v>20</v>
      </c>
      <c r="J2018" t="str">
        <f t="shared" si="186"/>
        <v>Smoker</v>
      </c>
      <c r="K2018">
        <v>0</v>
      </c>
      <c r="L2018">
        <v>0</v>
      </c>
      <c r="M2018">
        <v>0</v>
      </c>
      <c r="N2018">
        <v>0</v>
      </c>
      <c r="O2018">
        <v>182</v>
      </c>
      <c r="P2018" t="str">
        <f t="shared" si="187"/>
        <v>Normal</v>
      </c>
      <c r="Q2018">
        <v>121</v>
      </c>
      <c r="R2018">
        <v>72</v>
      </c>
      <c r="S2018">
        <v>26.39</v>
      </c>
      <c r="T2018" t="str">
        <f t="shared" si="188"/>
        <v>Overweight</v>
      </c>
      <c r="U2018">
        <v>76</v>
      </c>
      <c r="V2018">
        <v>81.96365524402907</v>
      </c>
      <c r="W2018" t="str">
        <f t="shared" si="191"/>
        <v>Normal</v>
      </c>
      <c r="X2018">
        <v>0</v>
      </c>
    </row>
    <row r="2019" spans="1:24" ht="14.5" thickBot="1" x14ac:dyDescent="0.35">
      <c r="A2019">
        <v>0</v>
      </c>
      <c r="B2019" t="str">
        <f t="shared" si="189"/>
        <v>Female</v>
      </c>
      <c r="C2019" s="8">
        <v>48</v>
      </c>
      <c r="D2019" t="str">
        <f t="shared" si="190"/>
        <v>Middle Age</v>
      </c>
      <c r="E2019">
        <v>1</v>
      </c>
      <c r="F2019" t="str">
        <f>HLOOKUP(E2019, LookUP_Table!$A$6:$D$7, 2, FALSE)</f>
        <v>Primary</v>
      </c>
      <c r="G2019" t="str">
        <f>IFERROR(VLOOKUP(E2019, LookUP_Table!$A$1:$B$4, 2, FALSE), "")</f>
        <v>Primary</v>
      </c>
      <c r="H2019">
        <v>1</v>
      </c>
      <c r="I2019">
        <v>20</v>
      </c>
      <c r="J2019" t="str">
        <f t="shared" si="186"/>
        <v>Smoker</v>
      </c>
      <c r="K2019">
        <v>0</v>
      </c>
      <c r="L2019">
        <v>0</v>
      </c>
      <c r="M2019">
        <v>0</v>
      </c>
      <c r="N2019">
        <v>0</v>
      </c>
      <c r="O2019">
        <v>236.69952267303103</v>
      </c>
      <c r="P2019" t="str">
        <f t="shared" si="187"/>
        <v>Normal</v>
      </c>
      <c r="Q2019">
        <v>117.5</v>
      </c>
      <c r="R2019">
        <v>67.5</v>
      </c>
      <c r="S2019">
        <v>28.62</v>
      </c>
      <c r="T2019" t="str">
        <f t="shared" si="188"/>
        <v>Overweight</v>
      </c>
      <c r="U2019">
        <v>75</v>
      </c>
      <c r="V2019">
        <v>68</v>
      </c>
      <c r="W2019" t="str">
        <f t="shared" si="191"/>
        <v>Normal</v>
      </c>
      <c r="X2019">
        <v>1</v>
      </c>
    </row>
    <row r="2020" spans="1:24" ht="14.5" thickBot="1" x14ac:dyDescent="0.35">
      <c r="A2020">
        <v>1</v>
      </c>
      <c r="B2020" t="str">
        <f t="shared" si="189"/>
        <v>Male</v>
      </c>
      <c r="C2020" s="8">
        <v>48</v>
      </c>
      <c r="D2020" t="str">
        <f t="shared" si="190"/>
        <v>Middle Age</v>
      </c>
      <c r="E2020">
        <v>2</v>
      </c>
      <c r="F2020" t="str">
        <f>HLOOKUP(E2020, LookUP_Table!$A$6:$D$7, 2, FALSE)</f>
        <v>Secondary</v>
      </c>
      <c r="G2020" t="str">
        <f>IFERROR(VLOOKUP(E2020, LookUP_Table!$A$1:$B$4, 2, FALSE), "")</f>
        <v>Secondary</v>
      </c>
      <c r="H2020">
        <v>1</v>
      </c>
      <c r="I2020">
        <v>15</v>
      </c>
      <c r="J2020" t="str">
        <f t="shared" si="186"/>
        <v>Smoker</v>
      </c>
      <c r="K2020">
        <v>0</v>
      </c>
      <c r="L2020">
        <v>0</v>
      </c>
      <c r="M2020">
        <v>0</v>
      </c>
      <c r="N2020">
        <v>0</v>
      </c>
      <c r="O2020">
        <v>214</v>
      </c>
      <c r="P2020" t="str">
        <f t="shared" si="187"/>
        <v>Normal</v>
      </c>
      <c r="Q2020">
        <v>114</v>
      </c>
      <c r="R2020">
        <v>80</v>
      </c>
      <c r="S2020">
        <v>26.27</v>
      </c>
      <c r="T2020" t="str">
        <f t="shared" si="188"/>
        <v>Overweight</v>
      </c>
      <c r="U2020">
        <v>95</v>
      </c>
      <c r="V2020">
        <v>99</v>
      </c>
      <c r="W2020" t="str">
        <f t="shared" si="191"/>
        <v>Normal</v>
      </c>
      <c r="X2020">
        <v>0</v>
      </c>
    </row>
    <row r="2021" spans="1:24" ht="14.5" thickBot="1" x14ac:dyDescent="0.35">
      <c r="A2021">
        <v>1</v>
      </c>
      <c r="B2021" t="str">
        <f t="shared" si="189"/>
        <v>Male</v>
      </c>
      <c r="C2021" s="8">
        <v>48</v>
      </c>
      <c r="D2021" t="str">
        <f t="shared" si="190"/>
        <v>Middle Age</v>
      </c>
      <c r="E2021">
        <v>2</v>
      </c>
      <c r="F2021" t="str">
        <f>HLOOKUP(E2021, LookUP_Table!$A$6:$D$7, 2, FALSE)</f>
        <v>Secondary</v>
      </c>
      <c r="G2021" t="str">
        <f>IFERROR(VLOOKUP(E2021, LookUP_Table!$A$1:$B$4, 2, FALSE), "")</f>
        <v>Secondary</v>
      </c>
      <c r="H2021">
        <v>1</v>
      </c>
      <c r="I2021">
        <v>20</v>
      </c>
      <c r="J2021" t="str">
        <f t="shared" si="186"/>
        <v>Smoker</v>
      </c>
      <c r="K2021">
        <v>0</v>
      </c>
      <c r="L2021">
        <v>0</v>
      </c>
      <c r="M2021">
        <v>0</v>
      </c>
      <c r="N2021">
        <v>0</v>
      </c>
      <c r="O2021">
        <v>194</v>
      </c>
      <c r="P2021" t="str">
        <f t="shared" si="187"/>
        <v>Normal</v>
      </c>
      <c r="Q2021">
        <v>102.5</v>
      </c>
      <c r="R2021">
        <v>69</v>
      </c>
      <c r="S2021">
        <v>18.55</v>
      </c>
      <c r="T2021" t="str">
        <f t="shared" si="188"/>
        <v>Normal</v>
      </c>
      <c r="U2021">
        <v>79</v>
      </c>
      <c r="V2021">
        <v>83</v>
      </c>
      <c r="W2021" t="str">
        <f t="shared" si="191"/>
        <v>Normal</v>
      </c>
      <c r="X2021">
        <v>0</v>
      </c>
    </row>
    <row r="2022" spans="1:24" ht="14.5" thickBot="1" x14ac:dyDescent="0.35">
      <c r="A2022">
        <v>1</v>
      </c>
      <c r="B2022" t="str">
        <f t="shared" si="189"/>
        <v>Male</v>
      </c>
      <c r="C2022" s="8">
        <v>48</v>
      </c>
      <c r="D2022" t="str">
        <f t="shared" si="190"/>
        <v>Middle Age</v>
      </c>
      <c r="E2022">
        <v>2</v>
      </c>
      <c r="F2022" t="str">
        <f>HLOOKUP(E2022, LookUP_Table!$A$6:$D$7, 2, FALSE)</f>
        <v>Secondary</v>
      </c>
      <c r="G2022" t="str">
        <f>IFERROR(VLOOKUP(E2022, LookUP_Table!$A$1:$B$4, 2, FALSE), "")</f>
        <v>Secondary</v>
      </c>
      <c r="H2022">
        <v>0</v>
      </c>
      <c r="I2022">
        <v>0</v>
      </c>
      <c r="J2022" t="str">
        <f t="shared" si="186"/>
        <v>Non-Smoker</v>
      </c>
      <c r="K2022">
        <v>0</v>
      </c>
      <c r="L2022">
        <v>0</v>
      </c>
      <c r="M2022">
        <v>0</v>
      </c>
      <c r="N2022">
        <v>0</v>
      </c>
      <c r="O2022">
        <v>263</v>
      </c>
      <c r="P2022" t="str">
        <f t="shared" si="187"/>
        <v>High</v>
      </c>
      <c r="Q2022">
        <v>114</v>
      </c>
      <c r="R2022">
        <v>80</v>
      </c>
      <c r="S2022">
        <v>25.14</v>
      </c>
      <c r="T2022" t="str">
        <f t="shared" si="188"/>
        <v>Overweight</v>
      </c>
      <c r="U2022">
        <v>80</v>
      </c>
      <c r="V2022">
        <v>77</v>
      </c>
      <c r="W2022" t="str">
        <f t="shared" si="191"/>
        <v>Normal</v>
      </c>
      <c r="X2022">
        <v>0</v>
      </c>
    </row>
    <row r="2023" spans="1:24" ht="14.5" thickBot="1" x14ac:dyDescent="0.35">
      <c r="A2023">
        <v>1</v>
      </c>
      <c r="B2023" t="str">
        <f t="shared" si="189"/>
        <v>Male</v>
      </c>
      <c r="C2023" s="8">
        <v>48</v>
      </c>
      <c r="D2023" t="str">
        <f t="shared" si="190"/>
        <v>Middle Age</v>
      </c>
      <c r="E2023">
        <v>1</v>
      </c>
      <c r="F2023" t="str">
        <f>HLOOKUP(E2023, LookUP_Table!$A$6:$D$7, 2, FALSE)</f>
        <v>Primary</v>
      </c>
      <c r="G2023" t="str">
        <f>IFERROR(VLOOKUP(E2023, LookUP_Table!$A$1:$B$4, 2, FALSE), "")</f>
        <v>Primary</v>
      </c>
      <c r="H2023">
        <v>1</v>
      </c>
      <c r="I2023">
        <v>20</v>
      </c>
      <c r="J2023" t="str">
        <f t="shared" si="186"/>
        <v>Smoker</v>
      </c>
      <c r="K2023">
        <v>0</v>
      </c>
      <c r="L2023">
        <v>0</v>
      </c>
      <c r="M2023">
        <v>0</v>
      </c>
      <c r="N2023">
        <v>0</v>
      </c>
      <c r="O2023">
        <v>285</v>
      </c>
      <c r="P2023" t="str">
        <f t="shared" si="187"/>
        <v>High</v>
      </c>
      <c r="Q2023">
        <v>116</v>
      </c>
      <c r="R2023">
        <v>81</v>
      </c>
      <c r="S2023">
        <v>23.1</v>
      </c>
      <c r="T2023" t="str">
        <f t="shared" si="188"/>
        <v>Normal</v>
      </c>
      <c r="U2023">
        <v>100</v>
      </c>
      <c r="V2023">
        <v>58</v>
      </c>
      <c r="W2023" t="str">
        <f t="shared" si="191"/>
        <v>Normal</v>
      </c>
      <c r="X2023">
        <v>0</v>
      </c>
    </row>
    <row r="2024" spans="1:24" ht="14.5" thickBot="1" x14ac:dyDescent="0.35">
      <c r="A2024">
        <v>1</v>
      </c>
      <c r="B2024" t="str">
        <f t="shared" si="189"/>
        <v>Male</v>
      </c>
      <c r="C2024" s="8">
        <v>48</v>
      </c>
      <c r="D2024" t="str">
        <f t="shared" si="190"/>
        <v>Middle Age</v>
      </c>
      <c r="E2024">
        <v>2</v>
      </c>
      <c r="F2024" t="str">
        <f>HLOOKUP(E2024, LookUP_Table!$A$6:$D$7, 2, FALSE)</f>
        <v>Secondary</v>
      </c>
      <c r="G2024" t="str">
        <f>IFERROR(VLOOKUP(E2024, LookUP_Table!$A$1:$B$4, 2, FALSE), "")</f>
        <v>Secondary</v>
      </c>
      <c r="H2024">
        <v>1</v>
      </c>
      <c r="I2024">
        <v>20</v>
      </c>
      <c r="J2024" t="str">
        <f t="shared" si="186"/>
        <v>Smoker</v>
      </c>
      <c r="K2024">
        <v>0</v>
      </c>
      <c r="L2024">
        <v>0</v>
      </c>
      <c r="M2024">
        <v>0</v>
      </c>
      <c r="N2024">
        <v>1</v>
      </c>
      <c r="O2024">
        <v>172</v>
      </c>
      <c r="P2024" t="str">
        <f t="shared" si="187"/>
        <v>Normal</v>
      </c>
      <c r="Q2024">
        <v>131</v>
      </c>
      <c r="R2024">
        <v>79</v>
      </c>
      <c r="S2024">
        <v>35.119999999999997</v>
      </c>
      <c r="T2024" t="str">
        <f t="shared" si="188"/>
        <v>Obese</v>
      </c>
      <c r="U2024">
        <v>75</v>
      </c>
      <c r="V2024">
        <v>108</v>
      </c>
      <c r="W2024" t="str">
        <f t="shared" si="191"/>
        <v>Prediabetes</v>
      </c>
      <c r="X2024">
        <v>0</v>
      </c>
    </row>
    <row r="2025" spans="1:24" ht="14.5" thickBot="1" x14ac:dyDescent="0.35">
      <c r="A2025">
        <v>0</v>
      </c>
      <c r="B2025" t="str">
        <f t="shared" si="189"/>
        <v>Female</v>
      </c>
      <c r="C2025" s="8">
        <v>48</v>
      </c>
      <c r="D2025" t="str">
        <f t="shared" si="190"/>
        <v>Middle Age</v>
      </c>
      <c r="E2025">
        <v>1</v>
      </c>
      <c r="F2025" t="str">
        <f>HLOOKUP(E2025, LookUP_Table!$A$6:$D$7, 2, FALSE)</f>
        <v>Primary</v>
      </c>
      <c r="G2025" t="str">
        <f>IFERROR(VLOOKUP(E2025, LookUP_Table!$A$1:$B$4, 2, FALSE), "")</f>
        <v>Primary</v>
      </c>
      <c r="H2025">
        <v>0</v>
      </c>
      <c r="I2025">
        <v>0</v>
      </c>
      <c r="J2025" t="str">
        <f t="shared" si="186"/>
        <v>Non-Smoker</v>
      </c>
      <c r="K2025">
        <v>0</v>
      </c>
      <c r="L2025">
        <v>0</v>
      </c>
      <c r="M2025">
        <v>0</v>
      </c>
      <c r="N2025">
        <v>0</v>
      </c>
      <c r="O2025">
        <v>186</v>
      </c>
      <c r="P2025" t="str">
        <f t="shared" si="187"/>
        <v>Normal</v>
      </c>
      <c r="Q2025">
        <v>113</v>
      </c>
      <c r="R2025">
        <v>78</v>
      </c>
      <c r="S2025">
        <v>22.98</v>
      </c>
      <c r="T2025" t="str">
        <f t="shared" si="188"/>
        <v>Normal</v>
      </c>
      <c r="U2025">
        <v>64</v>
      </c>
      <c r="V2025">
        <v>81.96365524402907</v>
      </c>
      <c r="W2025" t="str">
        <f t="shared" si="191"/>
        <v>Normal</v>
      </c>
      <c r="X2025">
        <v>0</v>
      </c>
    </row>
    <row r="2026" spans="1:24" ht="14.5" thickBot="1" x14ac:dyDescent="0.35">
      <c r="A2026">
        <v>0</v>
      </c>
      <c r="B2026" t="str">
        <f t="shared" si="189"/>
        <v>Female</v>
      </c>
      <c r="C2026" s="8">
        <v>48</v>
      </c>
      <c r="D2026" t="str">
        <f t="shared" si="190"/>
        <v>Middle Age</v>
      </c>
      <c r="E2026">
        <v>3</v>
      </c>
      <c r="F2026" t="str">
        <f>HLOOKUP(E2026, LookUP_Table!$A$6:$D$7, 2, FALSE)</f>
        <v>Graduate</v>
      </c>
      <c r="G2026" t="str">
        <f>IFERROR(VLOOKUP(E2026, LookUP_Table!$A$1:$B$4, 2, FALSE), "")</f>
        <v>Graduate</v>
      </c>
      <c r="H2026">
        <v>1</v>
      </c>
      <c r="I2026">
        <v>20</v>
      </c>
      <c r="J2026" t="str">
        <f t="shared" si="186"/>
        <v>Smoker</v>
      </c>
      <c r="K2026">
        <v>0</v>
      </c>
      <c r="L2026">
        <v>0</v>
      </c>
      <c r="M2026">
        <v>0</v>
      </c>
      <c r="N2026">
        <v>0</v>
      </c>
      <c r="O2026">
        <v>215</v>
      </c>
      <c r="P2026" t="str">
        <f t="shared" si="187"/>
        <v>Normal</v>
      </c>
      <c r="Q2026">
        <v>114</v>
      </c>
      <c r="R2026">
        <v>64</v>
      </c>
      <c r="S2026">
        <v>21.51</v>
      </c>
      <c r="T2026" t="str">
        <f t="shared" si="188"/>
        <v>Normal</v>
      </c>
      <c r="U2026">
        <v>74</v>
      </c>
      <c r="V2026">
        <v>64</v>
      </c>
      <c r="W2026" t="str">
        <f t="shared" si="191"/>
        <v>Normal</v>
      </c>
      <c r="X2026">
        <v>0</v>
      </c>
    </row>
    <row r="2027" spans="1:24" ht="14.5" thickBot="1" x14ac:dyDescent="0.35">
      <c r="A2027">
        <v>0</v>
      </c>
      <c r="B2027" t="str">
        <f t="shared" si="189"/>
        <v>Female</v>
      </c>
      <c r="C2027" s="8">
        <v>48</v>
      </c>
      <c r="D2027" t="str">
        <f t="shared" si="190"/>
        <v>Middle Age</v>
      </c>
      <c r="E2027">
        <v>4</v>
      </c>
      <c r="F2027" t="str">
        <f>HLOOKUP(E2027, LookUP_Table!$A$6:$D$7, 2, FALSE)</f>
        <v>Post Graduate</v>
      </c>
      <c r="G2027" t="str">
        <f>IFERROR(VLOOKUP(E2027, LookUP_Table!$A$1:$B$4, 2, FALSE), "")</f>
        <v>Post Graduate</v>
      </c>
      <c r="H2027">
        <v>1</v>
      </c>
      <c r="I2027">
        <v>3</v>
      </c>
      <c r="J2027" t="str">
        <f t="shared" si="186"/>
        <v>Smoker</v>
      </c>
      <c r="K2027">
        <v>0</v>
      </c>
      <c r="L2027">
        <v>0</v>
      </c>
      <c r="M2027">
        <v>1</v>
      </c>
      <c r="N2027">
        <v>0</v>
      </c>
      <c r="O2027">
        <v>247</v>
      </c>
      <c r="P2027" t="str">
        <f t="shared" si="187"/>
        <v>High</v>
      </c>
      <c r="Q2027">
        <v>142.5</v>
      </c>
      <c r="R2027">
        <v>86.5</v>
      </c>
      <c r="S2027">
        <v>24.87</v>
      </c>
      <c r="T2027" t="str">
        <f t="shared" si="188"/>
        <v>Normal</v>
      </c>
      <c r="U2027">
        <v>53</v>
      </c>
      <c r="V2027">
        <v>68</v>
      </c>
      <c r="W2027" t="str">
        <f t="shared" si="191"/>
        <v>Normal</v>
      </c>
      <c r="X2027">
        <v>0</v>
      </c>
    </row>
    <row r="2028" spans="1:24" ht="14.5" thickBot="1" x14ac:dyDescent="0.35">
      <c r="A2028">
        <v>1</v>
      </c>
      <c r="B2028" t="str">
        <f t="shared" si="189"/>
        <v>Male</v>
      </c>
      <c r="C2028" s="8">
        <v>48</v>
      </c>
      <c r="D2028" t="str">
        <f t="shared" si="190"/>
        <v>Middle Age</v>
      </c>
      <c r="E2028">
        <v>4</v>
      </c>
      <c r="F2028" t="str">
        <f>HLOOKUP(E2028, LookUP_Table!$A$6:$D$7, 2, FALSE)</f>
        <v>Post Graduate</v>
      </c>
      <c r="G2028" t="str">
        <f>IFERROR(VLOOKUP(E2028, LookUP_Table!$A$1:$B$4, 2, FALSE), "")</f>
        <v>Post Graduate</v>
      </c>
      <c r="H2028">
        <v>1</v>
      </c>
      <c r="I2028">
        <v>30</v>
      </c>
      <c r="J2028" t="str">
        <f t="shared" si="186"/>
        <v>Smoker</v>
      </c>
      <c r="K2028">
        <v>0</v>
      </c>
      <c r="L2028">
        <v>0</v>
      </c>
      <c r="M2028">
        <v>0</v>
      </c>
      <c r="N2028">
        <v>0</v>
      </c>
      <c r="O2028">
        <v>178</v>
      </c>
      <c r="P2028" t="str">
        <f t="shared" si="187"/>
        <v>Normal</v>
      </c>
      <c r="Q2028">
        <v>132.5</v>
      </c>
      <c r="R2028">
        <v>73</v>
      </c>
      <c r="S2028">
        <v>24.67</v>
      </c>
      <c r="T2028" t="str">
        <f t="shared" si="188"/>
        <v>Normal</v>
      </c>
      <c r="U2028">
        <v>80</v>
      </c>
      <c r="V2028">
        <v>70</v>
      </c>
      <c r="W2028" t="str">
        <f t="shared" si="191"/>
        <v>Normal</v>
      </c>
      <c r="X2028">
        <v>0</v>
      </c>
    </row>
    <row r="2029" spans="1:24" ht="14.5" thickBot="1" x14ac:dyDescent="0.35">
      <c r="A2029">
        <v>1</v>
      </c>
      <c r="B2029" t="str">
        <f t="shared" si="189"/>
        <v>Male</v>
      </c>
      <c r="C2029" s="8">
        <v>48</v>
      </c>
      <c r="D2029" t="str">
        <f t="shared" si="190"/>
        <v>Middle Age</v>
      </c>
      <c r="E2029">
        <v>2</v>
      </c>
      <c r="F2029" t="str">
        <f>HLOOKUP(E2029, LookUP_Table!$A$6:$D$7, 2, FALSE)</f>
        <v>Secondary</v>
      </c>
      <c r="G2029" t="str">
        <f>IFERROR(VLOOKUP(E2029, LookUP_Table!$A$1:$B$4, 2, FALSE), "")</f>
        <v>Secondary</v>
      </c>
      <c r="H2029">
        <v>1</v>
      </c>
      <c r="I2029">
        <v>20</v>
      </c>
      <c r="J2029" t="str">
        <f t="shared" si="186"/>
        <v>Smoker</v>
      </c>
      <c r="K2029">
        <v>0</v>
      </c>
      <c r="L2029">
        <v>0</v>
      </c>
      <c r="M2029">
        <v>1</v>
      </c>
      <c r="N2029">
        <v>0</v>
      </c>
      <c r="O2029">
        <v>230</v>
      </c>
      <c r="P2029" t="str">
        <f t="shared" si="187"/>
        <v>Normal</v>
      </c>
      <c r="Q2029">
        <v>140.5</v>
      </c>
      <c r="R2029">
        <v>89</v>
      </c>
      <c r="S2029">
        <v>23.34</v>
      </c>
      <c r="T2029" t="str">
        <f t="shared" si="188"/>
        <v>Normal</v>
      </c>
      <c r="U2029">
        <v>66</v>
      </c>
      <c r="V2029">
        <v>80</v>
      </c>
      <c r="W2029" t="str">
        <f t="shared" si="191"/>
        <v>Normal</v>
      </c>
      <c r="X2029">
        <v>1</v>
      </c>
    </row>
    <row r="2030" spans="1:24" ht="14.5" thickBot="1" x14ac:dyDescent="0.35">
      <c r="A2030">
        <v>1</v>
      </c>
      <c r="B2030" t="str">
        <f t="shared" si="189"/>
        <v>Male</v>
      </c>
      <c r="C2030" s="8">
        <v>48</v>
      </c>
      <c r="D2030" t="str">
        <f t="shared" si="190"/>
        <v>Middle Age</v>
      </c>
      <c r="E2030">
        <v>2</v>
      </c>
      <c r="F2030" t="str">
        <f>HLOOKUP(E2030, LookUP_Table!$A$6:$D$7, 2, FALSE)</f>
        <v>Secondary</v>
      </c>
      <c r="G2030" t="str">
        <f>IFERROR(VLOOKUP(E2030, LookUP_Table!$A$1:$B$4, 2, FALSE), "")</f>
        <v>Secondary</v>
      </c>
      <c r="H2030">
        <v>1</v>
      </c>
      <c r="I2030">
        <v>43</v>
      </c>
      <c r="J2030" t="str">
        <f t="shared" si="186"/>
        <v>Smoker</v>
      </c>
      <c r="K2030">
        <v>0</v>
      </c>
      <c r="L2030">
        <v>0</v>
      </c>
      <c r="M2030">
        <v>1</v>
      </c>
      <c r="N2030">
        <v>0</v>
      </c>
      <c r="O2030">
        <v>210</v>
      </c>
      <c r="P2030" t="str">
        <f t="shared" si="187"/>
        <v>Normal</v>
      </c>
      <c r="Q2030">
        <v>162.5</v>
      </c>
      <c r="R2030">
        <v>87.5</v>
      </c>
      <c r="S2030">
        <v>24.32</v>
      </c>
      <c r="T2030" t="str">
        <f t="shared" si="188"/>
        <v>Normal</v>
      </c>
      <c r="U2030">
        <v>95</v>
      </c>
      <c r="V2030">
        <v>81.96365524402907</v>
      </c>
      <c r="W2030" t="str">
        <f t="shared" si="191"/>
        <v>Normal</v>
      </c>
      <c r="X2030">
        <v>0</v>
      </c>
    </row>
    <row r="2031" spans="1:24" ht="14.5" thickBot="1" x14ac:dyDescent="0.35">
      <c r="A2031">
        <v>0</v>
      </c>
      <c r="B2031" t="str">
        <f t="shared" si="189"/>
        <v>Female</v>
      </c>
      <c r="C2031" s="8">
        <v>48</v>
      </c>
      <c r="D2031" t="str">
        <f t="shared" si="190"/>
        <v>Middle Age</v>
      </c>
      <c r="E2031">
        <v>4</v>
      </c>
      <c r="F2031" t="str">
        <f>HLOOKUP(E2031, LookUP_Table!$A$6:$D$7, 2, FALSE)</f>
        <v>Post Graduate</v>
      </c>
      <c r="G2031" t="str">
        <f>IFERROR(VLOOKUP(E2031, LookUP_Table!$A$1:$B$4, 2, FALSE), "")</f>
        <v>Post Graduate</v>
      </c>
      <c r="H2031">
        <v>1</v>
      </c>
      <c r="I2031">
        <v>9</v>
      </c>
      <c r="J2031" t="str">
        <f t="shared" si="186"/>
        <v>Smoker</v>
      </c>
      <c r="K2031">
        <v>0</v>
      </c>
      <c r="L2031">
        <v>0</v>
      </c>
      <c r="M2031">
        <v>0</v>
      </c>
      <c r="N2031">
        <v>0</v>
      </c>
      <c r="O2031">
        <v>280</v>
      </c>
      <c r="P2031" t="str">
        <f t="shared" si="187"/>
        <v>High</v>
      </c>
      <c r="Q2031">
        <v>105</v>
      </c>
      <c r="R2031">
        <v>85</v>
      </c>
      <c r="S2031">
        <v>25.5</v>
      </c>
      <c r="T2031" t="str">
        <f t="shared" si="188"/>
        <v>Overweight</v>
      </c>
      <c r="U2031">
        <v>85</v>
      </c>
      <c r="V2031">
        <v>79</v>
      </c>
      <c r="W2031" t="str">
        <f t="shared" si="191"/>
        <v>Normal</v>
      </c>
      <c r="X2031">
        <v>0</v>
      </c>
    </row>
    <row r="2032" spans="1:24" ht="14.5" thickBot="1" x14ac:dyDescent="0.35">
      <c r="A2032">
        <v>1</v>
      </c>
      <c r="B2032" t="str">
        <f t="shared" si="189"/>
        <v>Male</v>
      </c>
      <c r="C2032" s="8">
        <v>48</v>
      </c>
      <c r="D2032" t="str">
        <f t="shared" si="190"/>
        <v>Middle Age</v>
      </c>
      <c r="E2032">
        <v>2</v>
      </c>
      <c r="F2032" t="str">
        <f>HLOOKUP(E2032, LookUP_Table!$A$6:$D$7, 2, FALSE)</f>
        <v>Secondary</v>
      </c>
      <c r="G2032" t="str">
        <f>IFERROR(VLOOKUP(E2032, LookUP_Table!$A$1:$B$4, 2, FALSE), "")</f>
        <v>Secondary</v>
      </c>
      <c r="H2032">
        <v>1</v>
      </c>
      <c r="I2032">
        <v>20</v>
      </c>
      <c r="J2032" t="str">
        <f t="shared" si="186"/>
        <v>Smoker</v>
      </c>
      <c r="K2032">
        <v>0</v>
      </c>
      <c r="L2032">
        <v>0</v>
      </c>
      <c r="M2032">
        <v>1</v>
      </c>
      <c r="N2032">
        <v>0</v>
      </c>
      <c r="O2032">
        <v>258</v>
      </c>
      <c r="P2032" t="str">
        <f t="shared" si="187"/>
        <v>High</v>
      </c>
      <c r="Q2032">
        <v>150</v>
      </c>
      <c r="R2032">
        <v>105</v>
      </c>
      <c r="S2032">
        <v>25.94</v>
      </c>
      <c r="T2032" t="str">
        <f t="shared" si="188"/>
        <v>Overweight</v>
      </c>
      <c r="U2032">
        <v>83</v>
      </c>
      <c r="V2032">
        <v>60</v>
      </c>
      <c r="W2032" t="str">
        <f t="shared" si="191"/>
        <v>Normal</v>
      </c>
      <c r="X2032">
        <v>0</v>
      </c>
    </row>
    <row r="2033" spans="1:24" ht="14.5" thickBot="1" x14ac:dyDescent="0.35">
      <c r="A2033">
        <v>0</v>
      </c>
      <c r="B2033" t="str">
        <f t="shared" si="189"/>
        <v>Female</v>
      </c>
      <c r="C2033" s="8">
        <v>48</v>
      </c>
      <c r="D2033" t="str">
        <f t="shared" si="190"/>
        <v>Middle Age</v>
      </c>
      <c r="E2033">
        <v>2</v>
      </c>
      <c r="F2033" t="str">
        <f>HLOOKUP(E2033, LookUP_Table!$A$6:$D$7, 2, FALSE)</f>
        <v>Secondary</v>
      </c>
      <c r="G2033" t="str">
        <f>IFERROR(VLOOKUP(E2033, LookUP_Table!$A$1:$B$4, 2, FALSE), "")</f>
        <v>Secondary</v>
      </c>
      <c r="H2033">
        <v>1</v>
      </c>
      <c r="I2033">
        <v>5</v>
      </c>
      <c r="J2033" t="str">
        <f t="shared" si="186"/>
        <v>Smoker</v>
      </c>
      <c r="K2033">
        <v>0</v>
      </c>
      <c r="L2033">
        <v>0</v>
      </c>
      <c r="M2033">
        <v>1</v>
      </c>
      <c r="N2033">
        <v>0</v>
      </c>
      <c r="O2033">
        <v>150</v>
      </c>
      <c r="P2033" t="str">
        <f t="shared" si="187"/>
        <v>Normal</v>
      </c>
      <c r="Q2033">
        <v>175</v>
      </c>
      <c r="R2033">
        <v>110</v>
      </c>
      <c r="S2033">
        <v>26.4</v>
      </c>
      <c r="T2033" t="str">
        <f t="shared" si="188"/>
        <v>Overweight</v>
      </c>
      <c r="U2033">
        <v>100</v>
      </c>
      <c r="V2033">
        <v>81.96365524402907</v>
      </c>
      <c r="W2033" t="str">
        <f t="shared" si="191"/>
        <v>Normal</v>
      </c>
      <c r="X2033">
        <v>0</v>
      </c>
    </row>
    <row r="2034" spans="1:24" ht="14.5" thickBot="1" x14ac:dyDescent="0.35">
      <c r="A2034">
        <v>0</v>
      </c>
      <c r="B2034" t="str">
        <f t="shared" si="189"/>
        <v>Female</v>
      </c>
      <c r="C2034" s="8">
        <v>48</v>
      </c>
      <c r="D2034" t="str">
        <f t="shared" si="190"/>
        <v>Middle Age</v>
      </c>
      <c r="E2034">
        <v>3</v>
      </c>
      <c r="F2034" t="str">
        <f>HLOOKUP(E2034, LookUP_Table!$A$6:$D$7, 2, FALSE)</f>
        <v>Graduate</v>
      </c>
      <c r="G2034" t="str">
        <f>IFERROR(VLOOKUP(E2034, LookUP_Table!$A$1:$B$4, 2, FALSE), "")</f>
        <v>Graduate</v>
      </c>
      <c r="H2034">
        <v>1</v>
      </c>
      <c r="I2034">
        <v>9</v>
      </c>
      <c r="J2034" t="str">
        <f t="shared" si="186"/>
        <v>Smoker</v>
      </c>
      <c r="K2034">
        <v>0</v>
      </c>
      <c r="L2034">
        <v>0</v>
      </c>
      <c r="M2034">
        <v>0</v>
      </c>
      <c r="N2034">
        <v>0</v>
      </c>
      <c r="O2034">
        <v>248</v>
      </c>
      <c r="P2034" t="str">
        <f t="shared" si="187"/>
        <v>High</v>
      </c>
      <c r="Q2034">
        <v>114.5</v>
      </c>
      <c r="R2034">
        <v>70</v>
      </c>
      <c r="S2034">
        <v>27.69</v>
      </c>
      <c r="T2034" t="str">
        <f t="shared" si="188"/>
        <v>Overweight</v>
      </c>
      <c r="U2034">
        <v>95</v>
      </c>
      <c r="V2034">
        <v>75</v>
      </c>
      <c r="W2034" t="str">
        <f t="shared" si="191"/>
        <v>Normal</v>
      </c>
      <c r="X2034">
        <v>0</v>
      </c>
    </row>
    <row r="2035" spans="1:24" ht="14.5" thickBot="1" x14ac:dyDescent="0.35">
      <c r="A2035">
        <v>1</v>
      </c>
      <c r="B2035" t="str">
        <f t="shared" si="189"/>
        <v>Male</v>
      </c>
      <c r="C2035" s="8">
        <v>48</v>
      </c>
      <c r="D2035" t="str">
        <f t="shared" si="190"/>
        <v>Middle Age</v>
      </c>
      <c r="E2035">
        <v>2</v>
      </c>
      <c r="F2035" t="str">
        <f>HLOOKUP(E2035, LookUP_Table!$A$6:$D$7, 2, FALSE)</f>
        <v>Secondary</v>
      </c>
      <c r="G2035" t="str">
        <f>IFERROR(VLOOKUP(E2035, LookUP_Table!$A$1:$B$4, 2, FALSE), "")</f>
        <v>Secondary</v>
      </c>
      <c r="H2035">
        <v>0</v>
      </c>
      <c r="I2035">
        <v>0</v>
      </c>
      <c r="J2035" t="str">
        <f t="shared" si="186"/>
        <v>Non-Smoker</v>
      </c>
      <c r="K2035">
        <v>0</v>
      </c>
      <c r="L2035">
        <v>0</v>
      </c>
      <c r="M2035">
        <v>0</v>
      </c>
      <c r="N2035">
        <v>0</v>
      </c>
      <c r="O2035">
        <v>274</v>
      </c>
      <c r="P2035" t="str">
        <f t="shared" si="187"/>
        <v>High</v>
      </c>
      <c r="Q2035">
        <v>134</v>
      </c>
      <c r="R2035">
        <v>84</v>
      </c>
      <c r="S2035">
        <v>31.78</v>
      </c>
      <c r="T2035" t="str">
        <f t="shared" si="188"/>
        <v>Obese</v>
      </c>
      <c r="U2035">
        <v>85</v>
      </c>
      <c r="V2035">
        <v>80</v>
      </c>
      <c r="W2035" t="str">
        <f t="shared" si="191"/>
        <v>Normal</v>
      </c>
      <c r="X2035">
        <v>0</v>
      </c>
    </row>
    <row r="2036" spans="1:24" ht="14.5" thickBot="1" x14ac:dyDescent="0.35">
      <c r="A2036">
        <v>0</v>
      </c>
      <c r="B2036" t="str">
        <f t="shared" si="189"/>
        <v>Female</v>
      </c>
      <c r="C2036" s="8">
        <v>48</v>
      </c>
      <c r="D2036" t="str">
        <f t="shared" si="190"/>
        <v>Middle Age</v>
      </c>
      <c r="E2036">
        <v>1</v>
      </c>
      <c r="F2036" t="str">
        <f>HLOOKUP(E2036, LookUP_Table!$A$6:$D$7, 2, FALSE)</f>
        <v>Primary</v>
      </c>
      <c r="G2036" t="str">
        <f>IFERROR(VLOOKUP(E2036, LookUP_Table!$A$1:$B$4, 2, FALSE), "")</f>
        <v>Primary</v>
      </c>
      <c r="H2036">
        <v>1</v>
      </c>
      <c r="I2036">
        <v>5</v>
      </c>
      <c r="J2036" t="str">
        <f t="shared" si="186"/>
        <v>Smoker</v>
      </c>
      <c r="K2036">
        <v>0</v>
      </c>
      <c r="L2036">
        <v>0</v>
      </c>
      <c r="M2036">
        <v>0</v>
      </c>
      <c r="N2036">
        <v>0</v>
      </c>
      <c r="O2036">
        <v>235</v>
      </c>
      <c r="P2036" t="str">
        <f t="shared" si="187"/>
        <v>Normal</v>
      </c>
      <c r="Q2036">
        <v>120</v>
      </c>
      <c r="R2036">
        <v>81</v>
      </c>
      <c r="S2036">
        <v>23.36</v>
      </c>
      <c r="T2036" t="str">
        <f t="shared" si="188"/>
        <v>Normal</v>
      </c>
      <c r="U2036">
        <v>86</v>
      </c>
      <c r="V2036">
        <v>80</v>
      </c>
      <c r="W2036" t="str">
        <f t="shared" si="191"/>
        <v>Normal</v>
      </c>
      <c r="X2036">
        <v>0</v>
      </c>
    </row>
    <row r="2037" spans="1:24" ht="14.5" thickBot="1" x14ac:dyDescent="0.35">
      <c r="A2037">
        <v>1</v>
      </c>
      <c r="B2037" t="str">
        <f t="shared" si="189"/>
        <v>Male</v>
      </c>
      <c r="C2037" s="8">
        <v>48</v>
      </c>
      <c r="D2037" t="str">
        <f t="shared" si="190"/>
        <v>Middle Age</v>
      </c>
      <c r="E2037">
        <v>4</v>
      </c>
      <c r="F2037" t="str">
        <f>HLOOKUP(E2037, LookUP_Table!$A$6:$D$7, 2, FALSE)</f>
        <v>Post Graduate</v>
      </c>
      <c r="G2037" t="str">
        <f>IFERROR(VLOOKUP(E2037, LookUP_Table!$A$1:$B$4, 2, FALSE), "")</f>
        <v>Post Graduate</v>
      </c>
      <c r="H2037">
        <v>0</v>
      </c>
      <c r="I2037">
        <v>0</v>
      </c>
      <c r="J2037" t="str">
        <f t="shared" si="186"/>
        <v>Non-Smoker</v>
      </c>
      <c r="K2037">
        <v>0</v>
      </c>
      <c r="L2037">
        <v>0</v>
      </c>
      <c r="M2037">
        <v>0</v>
      </c>
      <c r="N2037">
        <v>0</v>
      </c>
      <c r="O2037">
        <v>195</v>
      </c>
      <c r="P2037" t="str">
        <f t="shared" si="187"/>
        <v>Normal</v>
      </c>
      <c r="Q2037">
        <v>124</v>
      </c>
      <c r="R2037">
        <v>80</v>
      </c>
      <c r="S2037">
        <v>23.96</v>
      </c>
      <c r="T2037" t="str">
        <f t="shared" si="188"/>
        <v>Normal</v>
      </c>
      <c r="U2037">
        <v>52</v>
      </c>
      <c r="V2037">
        <v>73</v>
      </c>
      <c r="W2037" t="str">
        <f t="shared" si="191"/>
        <v>Normal</v>
      </c>
      <c r="X2037">
        <v>0</v>
      </c>
    </row>
    <row r="2038" spans="1:24" ht="14.5" thickBot="1" x14ac:dyDescent="0.35">
      <c r="A2038">
        <v>1</v>
      </c>
      <c r="B2038" t="str">
        <f t="shared" si="189"/>
        <v>Male</v>
      </c>
      <c r="C2038" s="8">
        <v>48</v>
      </c>
      <c r="D2038" t="str">
        <f t="shared" si="190"/>
        <v>Middle Age</v>
      </c>
      <c r="E2038">
        <v>2</v>
      </c>
      <c r="F2038" t="str">
        <f>HLOOKUP(E2038, LookUP_Table!$A$6:$D$7, 2, FALSE)</f>
        <v>Secondary</v>
      </c>
      <c r="G2038" t="str">
        <f>IFERROR(VLOOKUP(E2038, LookUP_Table!$A$1:$B$4, 2, FALSE), "")</f>
        <v>Secondary</v>
      </c>
      <c r="H2038">
        <v>1</v>
      </c>
      <c r="I2038">
        <v>30</v>
      </c>
      <c r="J2038" t="str">
        <f t="shared" si="186"/>
        <v>Smoker</v>
      </c>
      <c r="K2038">
        <v>0</v>
      </c>
      <c r="L2038">
        <v>0</v>
      </c>
      <c r="M2038">
        <v>0</v>
      </c>
      <c r="N2038">
        <v>0</v>
      </c>
      <c r="O2038">
        <v>208</v>
      </c>
      <c r="P2038" t="str">
        <f t="shared" si="187"/>
        <v>Normal</v>
      </c>
      <c r="Q2038">
        <v>138.5</v>
      </c>
      <c r="R2038">
        <v>85.5</v>
      </c>
      <c r="S2038">
        <v>23.85</v>
      </c>
      <c r="T2038" t="str">
        <f t="shared" si="188"/>
        <v>Normal</v>
      </c>
      <c r="U2038">
        <v>82</v>
      </c>
      <c r="V2038">
        <v>64</v>
      </c>
      <c r="W2038" t="str">
        <f t="shared" si="191"/>
        <v>Normal</v>
      </c>
      <c r="X2038">
        <v>0</v>
      </c>
    </row>
    <row r="2039" spans="1:24" ht="14.5" thickBot="1" x14ac:dyDescent="0.35">
      <c r="A2039">
        <v>0</v>
      </c>
      <c r="B2039" t="str">
        <f t="shared" si="189"/>
        <v>Female</v>
      </c>
      <c r="C2039" s="8">
        <v>48</v>
      </c>
      <c r="D2039" t="str">
        <f t="shared" si="190"/>
        <v>Middle Age</v>
      </c>
      <c r="E2039">
        <v>3</v>
      </c>
      <c r="F2039" t="str">
        <f>HLOOKUP(E2039, LookUP_Table!$A$6:$D$7, 2, FALSE)</f>
        <v>Graduate</v>
      </c>
      <c r="G2039" t="str">
        <f>IFERROR(VLOOKUP(E2039, LookUP_Table!$A$1:$B$4, 2, FALSE), "")</f>
        <v>Graduate</v>
      </c>
      <c r="H2039">
        <v>1</v>
      </c>
      <c r="I2039">
        <v>20</v>
      </c>
      <c r="J2039" t="str">
        <f t="shared" si="186"/>
        <v>Smoker</v>
      </c>
      <c r="K2039">
        <v>0</v>
      </c>
      <c r="L2039">
        <v>0</v>
      </c>
      <c r="M2039">
        <v>0</v>
      </c>
      <c r="N2039">
        <v>0</v>
      </c>
      <c r="O2039">
        <v>259</v>
      </c>
      <c r="P2039" t="str">
        <f t="shared" si="187"/>
        <v>High</v>
      </c>
      <c r="Q2039">
        <v>129</v>
      </c>
      <c r="R2039">
        <v>81</v>
      </c>
      <c r="S2039">
        <v>21.08</v>
      </c>
      <c r="T2039" t="str">
        <f t="shared" si="188"/>
        <v>Normal</v>
      </c>
      <c r="U2039">
        <v>75</v>
      </c>
      <c r="V2039">
        <v>65</v>
      </c>
      <c r="W2039" t="str">
        <f t="shared" si="191"/>
        <v>Normal</v>
      </c>
      <c r="X2039">
        <v>0</v>
      </c>
    </row>
    <row r="2040" spans="1:24" ht="14.5" thickBot="1" x14ac:dyDescent="0.35">
      <c r="A2040">
        <v>0</v>
      </c>
      <c r="B2040" t="str">
        <f t="shared" si="189"/>
        <v>Female</v>
      </c>
      <c r="C2040" s="8">
        <v>48</v>
      </c>
      <c r="D2040" t="str">
        <f t="shared" si="190"/>
        <v>Middle Age</v>
      </c>
      <c r="E2040">
        <v>1</v>
      </c>
      <c r="F2040" t="str">
        <f>HLOOKUP(E2040, LookUP_Table!$A$6:$D$7, 2, FALSE)</f>
        <v>Primary</v>
      </c>
      <c r="G2040" t="str">
        <f>IFERROR(VLOOKUP(E2040, LookUP_Table!$A$1:$B$4, 2, FALSE), "")</f>
        <v>Primary</v>
      </c>
      <c r="H2040">
        <v>1</v>
      </c>
      <c r="I2040">
        <v>30</v>
      </c>
      <c r="J2040" t="str">
        <f t="shared" si="186"/>
        <v>Smoker</v>
      </c>
      <c r="K2040">
        <v>0</v>
      </c>
      <c r="L2040">
        <v>0</v>
      </c>
      <c r="M2040">
        <v>0</v>
      </c>
      <c r="N2040">
        <v>0</v>
      </c>
      <c r="O2040">
        <v>305</v>
      </c>
      <c r="P2040" t="str">
        <f t="shared" si="187"/>
        <v>High</v>
      </c>
      <c r="Q2040">
        <v>118.5</v>
      </c>
      <c r="R2040">
        <v>73</v>
      </c>
      <c r="S2040">
        <v>20.99</v>
      </c>
      <c r="T2040" t="str">
        <f t="shared" si="188"/>
        <v>Normal</v>
      </c>
      <c r="U2040">
        <v>70</v>
      </c>
      <c r="V2040">
        <v>84</v>
      </c>
      <c r="W2040" t="str">
        <f t="shared" si="191"/>
        <v>Normal</v>
      </c>
      <c r="X2040">
        <v>0</v>
      </c>
    </row>
    <row r="2041" spans="1:24" ht="14.5" thickBot="1" x14ac:dyDescent="0.35">
      <c r="A2041">
        <v>0</v>
      </c>
      <c r="B2041" t="str">
        <f t="shared" si="189"/>
        <v>Female</v>
      </c>
      <c r="C2041" s="8">
        <v>48</v>
      </c>
      <c r="D2041" t="str">
        <f t="shared" si="190"/>
        <v>Middle Age</v>
      </c>
      <c r="E2041">
        <v>1</v>
      </c>
      <c r="F2041" t="str">
        <f>HLOOKUP(E2041, LookUP_Table!$A$6:$D$7, 2, FALSE)</f>
        <v>Primary</v>
      </c>
      <c r="G2041" t="str">
        <f>IFERROR(VLOOKUP(E2041, LookUP_Table!$A$1:$B$4, 2, FALSE), "")</f>
        <v>Primary</v>
      </c>
      <c r="H2041">
        <v>0</v>
      </c>
      <c r="I2041">
        <v>0</v>
      </c>
      <c r="J2041" t="str">
        <f t="shared" si="186"/>
        <v>Non-Smoker</v>
      </c>
      <c r="K2041">
        <v>0</v>
      </c>
      <c r="L2041">
        <v>0</v>
      </c>
      <c r="M2041">
        <v>0</v>
      </c>
      <c r="N2041">
        <v>0</v>
      </c>
      <c r="O2041">
        <v>215</v>
      </c>
      <c r="P2041" t="str">
        <f t="shared" si="187"/>
        <v>Normal</v>
      </c>
      <c r="Q2041">
        <v>128</v>
      </c>
      <c r="R2041">
        <v>86.5</v>
      </c>
      <c r="S2041">
        <v>22.72</v>
      </c>
      <c r="T2041" t="str">
        <f t="shared" si="188"/>
        <v>Normal</v>
      </c>
      <c r="U2041">
        <v>89</v>
      </c>
      <c r="V2041">
        <v>85</v>
      </c>
      <c r="W2041" t="str">
        <f t="shared" si="191"/>
        <v>Normal</v>
      </c>
      <c r="X2041">
        <v>0</v>
      </c>
    </row>
    <row r="2042" spans="1:24" ht="14.5" thickBot="1" x14ac:dyDescent="0.35">
      <c r="A2042">
        <v>0</v>
      </c>
      <c r="B2042" t="str">
        <f t="shared" si="189"/>
        <v>Female</v>
      </c>
      <c r="C2042" s="8">
        <v>48</v>
      </c>
      <c r="D2042" t="str">
        <f t="shared" si="190"/>
        <v>Middle Age</v>
      </c>
      <c r="E2042">
        <v>1</v>
      </c>
      <c r="F2042" t="str">
        <f>HLOOKUP(E2042, LookUP_Table!$A$6:$D$7, 2, FALSE)</f>
        <v>Primary</v>
      </c>
      <c r="G2042" t="str">
        <f>IFERROR(VLOOKUP(E2042, LookUP_Table!$A$1:$B$4, 2, FALSE), "")</f>
        <v>Primary</v>
      </c>
      <c r="H2042">
        <v>1</v>
      </c>
      <c r="I2042">
        <v>4</v>
      </c>
      <c r="J2042" t="str">
        <f t="shared" si="186"/>
        <v>Smoker</v>
      </c>
      <c r="K2042">
        <v>0</v>
      </c>
      <c r="L2042">
        <v>0</v>
      </c>
      <c r="M2042">
        <v>0</v>
      </c>
      <c r="N2042">
        <v>0</v>
      </c>
      <c r="O2042">
        <v>253</v>
      </c>
      <c r="P2042" t="str">
        <f t="shared" si="187"/>
        <v>High</v>
      </c>
      <c r="Q2042">
        <v>120</v>
      </c>
      <c r="R2042">
        <v>77.5</v>
      </c>
      <c r="S2042">
        <v>24.53</v>
      </c>
      <c r="T2042" t="str">
        <f t="shared" si="188"/>
        <v>Normal</v>
      </c>
      <c r="U2042">
        <v>70</v>
      </c>
      <c r="V2042">
        <v>98</v>
      </c>
      <c r="W2042" t="str">
        <f t="shared" si="191"/>
        <v>Normal</v>
      </c>
      <c r="X2042">
        <v>0</v>
      </c>
    </row>
    <row r="2043" spans="1:24" ht="14.5" thickBot="1" x14ac:dyDescent="0.35">
      <c r="A2043">
        <v>1</v>
      </c>
      <c r="B2043" t="str">
        <f t="shared" si="189"/>
        <v>Male</v>
      </c>
      <c r="C2043" s="8">
        <v>48</v>
      </c>
      <c r="D2043" t="str">
        <f t="shared" si="190"/>
        <v>Middle Age</v>
      </c>
      <c r="E2043">
        <v>1</v>
      </c>
      <c r="F2043" t="str">
        <f>HLOOKUP(E2043, LookUP_Table!$A$6:$D$7, 2, FALSE)</f>
        <v>Primary</v>
      </c>
      <c r="G2043" t="str">
        <f>IFERROR(VLOOKUP(E2043, LookUP_Table!$A$1:$B$4, 2, FALSE), "")</f>
        <v>Primary</v>
      </c>
      <c r="H2043">
        <v>1</v>
      </c>
      <c r="I2043">
        <v>40</v>
      </c>
      <c r="J2043" t="str">
        <f t="shared" si="186"/>
        <v>Smoker</v>
      </c>
      <c r="K2043">
        <v>0</v>
      </c>
      <c r="L2043">
        <v>0</v>
      </c>
      <c r="M2043">
        <v>0</v>
      </c>
      <c r="N2043">
        <v>0</v>
      </c>
      <c r="O2043">
        <v>247</v>
      </c>
      <c r="P2043" t="str">
        <f t="shared" si="187"/>
        <v>High</v>
      </c>
      <c r="Q2043">
        <v>133</v>
      </c>
      <c r="R2043">
        <v>77.5</v>
      </c>
      <c r="S2043">
        <v>33.99</v>
      </c>
      <c r="T2043" t="str">
        <f t="shared" si="188"/>
        <v>Obese</v>
      </c>
      <c r="U2043">
        <v>81</v>
      </c>
      <c r="V2043">
        <v>95</v>
      </c>
      <c r="W2043" t="str">
        <f t="shared" si="191"/>
        <v>Normal</v>
      </c>
      <c r="X2043">
        <v>1</v>
      </c>
    </row>
    <row r="2044" spans="1:24" ht="14.5" thickBot="1" x14ac:dyDescent="0.35">
      <c r="A2044">
        <v>1</v>
      </c>
      <c r="B2044" t="str">
        <f t="shared" si="189"/>
        <v>Male</v>
      </c>
      <c r="C2044" s="8">
        <v>48</v>
      </c>
      <c r="D2044" t="str">
        <f t="shared" si="190"/>
        <v>Middle Age</v>
      </c>
      <c r="E2044">
        <v>3</v>
      </c>
      <c r="F2044" t="str">
        <f>HLOOKUP(E2044, LookUP_Table!$A$6:$D$7, 2, FALSE)</f>
        <v>Graduate</v>
      </c>
      <c r="G2044" t="str">
        <f>IFERROR(VLOOKUP(E2044, LookUP_Table!$A$1:$B$4, 2, FALSE), "")</f>
        <v>Graduate</v>
      </c>
      <c r="H2044">
        <v>0</v>
      </c>
      <c r="I2044">
        <v>0</v>
      </c>
      <c r="J2044" t="str">
        <f t="shared" si="186"/>
        <v>Non-Smoker</v>
      </c>
      <c r="K2044">
        <v>0</v>
      </c>
      <c r="L2044">
        <v>0</v>
      </c>
      <c r="M2044">
        <v>0</v>
      </c>
      <c r="N2044">
        <v>0</v>
      </c>
      <c r="O2044">
        <v>175</v>
      </c>
      <c r="P2044" t="str">
        <f t="shared" si="187"/>
        <v>Normal</v>
      </c>
      <c r="Q2044">
        <v>131</v>
      </c>
      <c r="R2044">
        <v>52</v>
      </c>
      <c r="S2044">
        <v>24.95</v>
      </c>
      <c r="T2044" t="str">
        <f t="shared" si="188"/>
        <v>Normal</v>
      </c>
      <c r="U2044">
        <v>75</v>
      </c>
      <c r="V2044">
        <v>77</v>
      </c>
      <c r="W2044" t="str">
        <f t="shared" si="191"/>
        <v>Normal</v>
      </c>
      <c r="X2044">
        <v>0</v>
      </c>
    </row>
    <row r="2045" spans="1:24" ht="14.5" thickBot="1" x14ac:dyDescent="0.35">
      <c r="A2045">
        <v>1</v>
      </c>
      <c r="B2045" t="str">
        <f t="shared" si="189"/>
        <v>Male</v>
      </c>
      <c r="C2045" s="8">
        <v>48</v>
      </c>
      <c r="D2045" t="str">
        <f t="shared" si="190"/>
        <v>Middle Age</v>
      </c>
      <c r="E2045">
        <v>1</v>
      </c>
      <c r="F2045" t="str">
        <f>HLOOKUP(E2045, LookUP_Table!$A$6:$D$7, 2, FALSE)</f>
        <v>Primary</v>
      </c>
      <c r="G2045" t="str">
        <f>IFERROR(VLOOKUP(E2045, LookUP_Table!$A$1:$B$4, 2, FALSE), "")</f>
        <v>Primary</v>
      </c>
      <c r="H2045">
        <v>1</v>
      </c>
      <c r="I2045">
        <v>15</v>
      </c>
      <c r="J2045" t="str">
        <f t="shared" si="186"/>
        <v>Smoker</v>
      </c>
      <c r="K2045">
        <v>0</v>
      </c>
      <c r="L2045">
        <v>0</v>
      </c>
      <c r="M2045">
        <v>0</v>
      </c>
      <c r="N2045">
        <v>0</v>
      </c>
      <c r="O2045">
        <v>240</v>
      </c>
      <c r="P2045" t="str">
        <f t="shared" si="187"/>
        <v>Normal</v>
      </c>
      <c r="Q2045">
        <v>126</v>
      </c>
      <c r="R2045">
        <v>84</v>
      </c>
      <c r="S2045">
        <v>25.82</v>
      </c>
      <c r="T2045" t="str">
        <f t="shared" si="188"/>
        <v>Overweight</v>
      </c>
      <c r="U2045">
        <v>73</v>
      </c>
      <c r="V2045">
        <v>60</v>
      </c>
      <c r="W2045" t="str">
        <f t="shared" si="191"/>
        <v>Normal</v>
      </c>
      <c r="X2045">
        <v>0</v>
      </c>
    </row>
    <row r="2046" spans="1:24" ht="14.5" thickBot="1" x14ac:dyDescent="0.35">
      <c r="A2046">
        <v>1</v>
      </c>
      <c r="B2046" t="str">
        <f t="shared" si="189"/>
        <v>Male</v>
      </c>
      <c r="C2046" s="8">
        <v>48</v>
      </c>
      <c r="D2046" t="str">
        <f t="shared" si="190"/>
        <v>Middle Age</v>
      </c>
      <c r="E2046">
        <v>1</v>
      </c>
      <c r="F2046" t="str">
        <f>HLOOKUP(E2046, LookUP_Table!$A$6:$D$7, 2, FALSE)</f>
        <v>Primary</v>
      </c>
      <c r="G2046" t="str">
        <f>IFERROR(VLOOKUP(E2046, LookUP_Table!$A$1:$B$4, 2, FALSE), "")</f>
        <v>Primary</v>
      </c>
      <c r="H2046">
        <v>0</v>
      </c>
      <c r="I2046">
        <v>0</v>
      </c>
      <c r="J2046" t="str">
        <f t="shared" si="186"/>
        <v>Non-Smoker</v>
      </c>
      <c r="K2046">
        <v>0</v>
      </c>
      <c r="L2046">
        <v>0</v>
      </c>
      <c r="M2046">
        <v>1</v>
      </c>
      <c r="N2046">
        <v>0</v>
      </c>
      <c r="O2046">
        <v>306</v>
      </c>
      <c r="P2046" t="str">
        <f t="shared" si="187"/>
        <v>High</v>
      </c>
      <c r="Q2046">
        <v>140</v>
      </c>
      <c r="R2046">
        <v>94</v>
      </c>
      <c r="S2046">
        <v>23.95</v>
      </c>
      <c r="T2046" t="str">
        <f t="shared" si="188"/>
        <v>Normal</v>
      </c>
      <c r="U2046">
        <v>65</v>
      </c>
      <c r="V2046">
        <v>70</v>
      </c>
      <c r="W2046" t="str">
        <f t="shared" si="191"/>
        <v>Normal</v>
      </c>
      <c r="X2046">
        <v>0</v>
      </c>
    </row>
    <row r="2047" spans="1:24" ht="14.5" thickBot="1" x14ac:dyDescent="0.35">
      <c r="A2047">
        <v>0</v>
      </c>
      <c r="B2047" t="str">
        <f t="shared" si="189"/>
        <v>Female</v>
      </c>
      <c r="C2047" s="8">
        <v>48</v>
      </c>
      <c r="D2047" t="str">
        <f t="shared" si="190"/>
        <v>Middle Age</v>
      </c>
      <c r="E2047">
        <v>1</v>
      </c>
      <c r="F2047" t="str">
        <f>HLOOKUP(E2047, LookUP_Table!$A$6:$D$7, 2, FALSE)</f>
        <v>Primary</v>
      </c>
      <c r="G2047" t="str">
        <f>IFERROR(VLOOKUP(E2047, LookUP_Table!$A$1:$B$4, 2, FALSE), "")</f>
        <v>Primary</v>
      </c>
      <c r="H2047">
        <v>1</v>
      </c>
      <c r="I2047">
        <v>5</v>
      </c>
      <c r="J2047" t="str">
        <f t="shared" si="186"/>
        <v>Smoker</v>
      </c>
      <c r="K2047">
        <v>0</v>
      </c>
      <c r="L2047">
        <v>0</v>
      </c>
      <c r="M2047">
        <v>0</v>
      </c>
      <c r="N2047">
        <v>0</v>
      </c>
      <c r="O2047">
        <v>262</v>
      </c>
      <c r="P2047" t="str">
        <f t="shared" si="187"/>
        <v>High</v>
      </c>
      <c r="Q2047">
        <v>141</v>
      </c>
      <c r="R2047">
        <v>88</v>
      </c>
      <c r="S2047">
        <v>25.21</v>
      </c>
      <c r="T2047" t="str">
        <f t="shared" si="188"/>
        <v>Overweight</v>
      </c>
      <c r="U2047">
        <v>80</v>
      </c>
      <c r="V2047">
        <v>81.96365524402907</v>
      </c>
      <c r="W2047" t="str">
        <f t="shared" si="191"/>
        <v>Normal</v>
      </c>
      <c r="X2047">
        <v>0</v>
      </c>
    </row>
    <row r="2048" spans="1:24" ht="14.5" thickBot="1" x14ac:dyDescent="0.35">
      <c r="A2048">
        <v>0</v>
      </c>
      <c r="B2048" t="str">
        <f t="shared" si="189"/>
        <v>Female</v>
      </c>
      <c r="C2048" s="8">
        <v>48</v>
      </c>
      <c r="D2048" t="str">
        <f t="shared" si="190"/>
        <v>Middle Age</v>
      </c>
      <c r="E2048">
        <v>3</v>
      </c>
      <c r="F2048" t="str">
        <f>HLOOKUP(E2048, LookUP_Table!$A$6:$D$7, 2, FALSE)</f>
        <v>Graduate</v>
      </c>
      <c r="G2048" t="str">
        <f>IFERROR(VLOOKUP(E2048, LookUP_Table!$A$1:$B$4, 2, FALSE), "")</f>
        <v>Graduate</v>
      </c>
      <c r="H2048">
        <v>0</v>
      </c>
      <c r="I2048">
        <v>0</v>
      </c>
      <c r="J2048" t="str">
        <f t="shared" si="186"/>
        <v>Non-Smoker</v>
      </c>
      <c r="K2048">
        <v>0</v>
      </c>
      <c r="L2048">
        <v>0</v>
      </c>
      <c r="M2048">
        <v>0</v>
      </c>
      <c r="N2048">
        <v>0</v>
      </c>
      <c r="O2048">
        <v>281</v>
      </c>
      <c r="P2048" t="str">
        <f t="shared" si="187"/>
        <v>High</v>
      </c>
      <c r="Q2048">
        <v>127</v>
      </c>
      <c r="R2048">
        <v>79.5</v>
      </c>
      <c r="S2048">
        <v>22.83</v>
      </c>
      <c r="T2048" t="str">
        <f t="shared" si="188"/>
        <v>Normal</v>
      </c>
      <c r="U2048">
        <v>84</v>
      </c>
      <c r="V2048">
        <v>80</v>
      </c>
      <c r="W2048" t="str">
        <f t="shared" si="191"/>
        <v>Normal</v>
      </c>
      <c r="X2048">
        <v>0</v>
      </c>
    </row>
    <row r="2049" spans="1:24" ht="14.5" thickBot="1" x14ac:dyDescent="0.35">
      <c r="A2049">
        <v>1</v>
      </c>
      <c r="B2049" t="str">
        <f t="shared" si="189"/>
        <v>Male</v>
      </c>
      <c r="C2049" s="8">
        <v>48</v>
      </c>
      <c r="D2049" t="str">
        <f t="shared" si="190"/>
        <v>Middle Age</v>
      </c>
      <c r="E2049">
        <v>1</v>
      </c>
      <c r="F2049" t="str">
        <f>HLOOKUP(E2049, LookUP_Table!$A$6:$D$7, 2, FALSE)</f>
        <v>Primary</v>
      </c>
      <c r="G2049" t="str">
        <f>IFERROR(VLOOKUP(E2049, LookUP_Table!$A$1:$B$4, 2, FALSE), "")</f>
        <v>Primary</v>
      </c>
      <c r="H2049">
        <v>1</v>
      </c>
      <c r="I2049">
        <v>20</v>
      </c>
      <c r="J2049" t="str">
        <f t="shared" si="186"/>
        <v>Smoker</v>
      </c>
      <c r="K2049">
        <v>0</v>
      </c>
      <c r="L2049">
        <v>0</v>
      </c>
      <c r="M2049">
        <v>0</v>
      </c>
      <c r="N2049">
        <v>0</v>
      </c>
      <c r="O2049">
        <v>170</v>
      </c>
      <c r="P2049" t="str">
        <f t="shared" si="187"/>
        <v>Normal</v>
      </c>
      <c r="Q2049">
        <v>122</v>
      </c>
      <c r="R2049">
        <v>70</v>
      </c>
      <c r="S2049">
        <v>23.62</v>
      </c>
      <c r="T2049" t="str">
        <f t="shared" si="188"/>
        <v>Normal</v>
      </c>
      <c r="U2049">
        <v>90</v>
      </c>
      <c r="V2049">
        <v>73</v>
      </c>
      <c r="W2049" t="str">
        <f t="shared" si="191"/>
        <v>Normal</v>
      </c>
      <c r="X2049">
        <v>1</v>
      </c>
    </row>
    <row r="2050" spans="1:24" ht="14.5" thickBot="1" x14ac:dyDescent="0.35">
      <c r="A2050">
        <v>0</v>
      </c>
      <c r="B2050" t="str">
        <f t="shared" si="189"/>
        <v>Female</v>
      </c>
      <c r="C2050" s="8">
        <v>48</v>
      </c>
      <c r="D2050" t="str">
        <f t="shared" si="190"/>
        <v>Middle Age</v>
      </c>
      <c r="E2050">
        <v>4</v>
      </c>
      <c r="F2050" t="str">
        <f>HLOOKUP(E2050, LookUP_Table!$A$6:$D$7, 2, FALSE)</f>
        <v>Post Graduate</v>
      </c>
      <c r="G2050" t="str">
        <f>IFERROR(VLOOKUP(E2050, LookUP_Table!$A$1:$B$4, 2, FALSE), "")</f>
        <v>Post Graduate</v>
      </c>
      <c r="H2050">
        <v>0</v>
      </c>
      <c r="I2050">
        <v>0</v>
      </c>
      <c r="J2050" t="str">
        <f t="shared" ref="J2050:J2113" si="192">IF(I2050&gt;0,"Smoker","Non-Smoker")</f>
        <v>Non-Smoker</v>
      </c>
      <c r="K2050">
        <v>0</v>
      </c>
      <c r="L2050">
        <v>0</v>
      </c>
      <c r="M2050">
        <v>0</v>
      </c>
      <c r="N2050">
        <v>0</v>
      </c>
      <c r="O2050">
        <v>241</v>
      </c>
      <c r="P2050" t="str">
        <f t="shared" ref="P2050:P2113" si="193">IF(O2050&gt;240,"High","Normal")</f>
        <v>High</v>
      </c>
      <c r="Q2050">
        <v>129</v>
      </c>
      <c r="R2050">
        <v>86</v>
      </c>
      <c r="S2050">
        <v>20.41</v>
      </c>
      <c r="T2050" t="str">
        <f t="shared" ref="T2050:T2113" si="194">IF(S2050&lt;18.5,"Underweight",
IF(S2050&lt;25,"Normal",
IF(S2050&lt;30,"Overweight","Obese")))</f>
        <v>Normal</v>
      </c>
      <c r="U2050">
        <v>65</v>
      </c>
      <c r="V2050">
        <v>67</v>
      </c>
      <c r="W2050" t="str">
        <f t="shared" si="191"/>
        <v>Normal</v>
      </c>
      <c r="X2050">
        <v>0</v>
      </c>
    </row>
    <row r="2051" spans="1:24" ht="14.5" thickBot="1" x14ac:dyDescent="0.35">
      <c r="A2051">
        <v>1</v>
      </c>
      <c r="B2051" t="str">
        <f t="shared" ref="B2051:B2114" si="195">IF(A2051=0,"Female","Male")</f>
        <v>Male</v>
      </c>
      <c r="C2051" s="8">
        <v>48</v>
      </c>
      <c r="D2051" t="str">
        <f t="shared" ref="D2051:D2114" si="196">IF(C2051&lt;40,"Young",
IF(C2051&lt;55,"Middle Age","Senior"))</f>
        <v>Middle Age</v>
      </c>
      <c r="E2051">
        <v>2</v>
      </c>
      <c r="F2051" t="str">
        <f>HLOOKUP(E2051, LookUP_Table!$A$6:$D$7, 2, FALSE)</f>
        <v>Secondary</v>
      </c>
      <c r="G2051" t="str">
        <f>IFERROR(VLOOKUP(E2051, LookUP_Table!$A$1:$B$4, 2, FALSE), "")</f>
        <v>Secondary</v>
      </c>
      <c r="H2051">
        <v>0</v>
      </c>
      <c r="I2051">
        <v>0</v>
      </c>
      <c r="J2051" t="str">
        <f t="shared" si="192"/>
        <v>Non-Smoker</v>
      </c>
      <c r="K2051">
        <v>0</v>
      </c>
      <c r="L2051">
        <v>0</v>
      </c>
      <c r="M2051">
        <v>0</v>
      </c>
      <c r="N2051">
        <v>0</v>
      </c>
      <c r="O2051">
        <v>165</v>
      </c>
      <c r="P2051" t="str">
        <f t="shared" si="193"/>
        <v>Normal</v>
      </c>
      <c r="Q2051">
        <v>115</v>
      </c>
      <c r="R2051">
        <v>80</v>
      </c>
      <c r="S2051">
        <v>26.79</v>
      </c>
      <c r="T2051" t="str">
        <f t="shared" si="194"/>
        <v>Overweight</v>
      </c>
      <c r="U2051">
        <v>75</v>
      </c>
      <c r="V2051">
        <v>78</v>
      </c>
      <c r="W2051" t="str">
        <f t="shared" ref="W2051:W2114" si="197">IF(V2051 &lt; 100, "Normal", IF(V2051 &lt;= 125, "Prediabetes", "Diabetes"))</f>
        <v>Normal</v>
      </c>
      <c r="X2051">
        <v>0</v>
      </c>
    </row>
    <row r="2052" spans="1:24" ht="14.5" thickBot="1" x14ac:dyDescent="0.35">
      <c r="A2052">
        <v>1</v>
      </c>
      <c r="B2052" t="str">
        <f t="shared" si="195"/>
        <v>Male</v>
      </c>
      <c r="C2052" s="8">
        <v>48</v>
      </c>
      <c r="D2052" t="str">
        <f t="shared" si="196"/>
        <v>Middle Age</v>
      </c>
      <c r="E2052">
        <v>1</v>
      </c>
      <c r="F2052" t="str">
        <f>HLOOKUP(E2052, LookUP_Table!$A$6:$D$7, 2, FALSE)</f>
        <v>Primary</v>
      </c>
      <c r="G2052" t="str">
        <f>IFERROR(VLOOKUP(E2052, LookUP_Table!$A$1:$B$4, 2, FALSE), "")</f>
        <v>Primary</v>
      </c>
      <c r="H2052">
        <v>1</v>
      </c>
      <c r="I2052">
        <v>30</v>
      </c>
      <c r="J2052" t="str">
        <f t="shared" si="192"/>
        <v>Smoker</v>
      </c>
      <c r="K2052">
        <v>0</v>
      </c>
      <c r="L2052">
        <v>0</v>
      </c>
      <c r="M2052">
        <v>0</v>
      </c>
      <c r="N2052">
        <v>0</v>
      </c>
      <c r="O2052">
        <v>205</v>
      </c>
      <c r="P2052" t="str">
        <f t="shared" si="193"/>
        <v>Normal</v>
      </c>
      <c r="Q2052">
        <v>108</v>
      </c>
      <c r="R2052">
        <v>75</v>
      </c>
      <c r="S2052">
        <v>17.5</v>
      </c>
      <c r="T2052" t="str">
        <f t="shared" si="194"/>
        <v>Underweight</v>
      </c>
      <c r="U2052">
        <v>63</v>
      </c>
      <c r="V2052">
        <v>70</v>
      </c>
      <c r="W2052" t="str">
        <f t="shared" si="197"/>
        <v>Normal</v>
      </c>
      <c r="X2052">
        <v>0</v>
      </c>
    </row>
    <row r="2053" spans="1:24" ht="14.5" thickBot="1" x14ac:dyDescent="0.35">
      <c r="A2053">
        <v>0</v>
      </c>
      <c r="B2053" t="str">
        <f t="shared" si="195"/>
        <v>Female</v>
      </c>
      <c r="C2053" s="8">
        <v>48</v>
      </c>
      <c r="D2053" t="str">
        <f t="shared" si="196"/>
        <v>Middle Age</v>
      </c>
      <c r="E2053">
        <v>3</v>
      </c>
      <c r="F2053" t="str">
        <f>HLOOKUP(E2053, LookUP_Table!$A$6:$D$7, 2, FALSE)</f>
        <v>Graduate</v>
      </c>
      <c r="G2053" t="str">
        <f>IFERROR(VLOOKUP(E2053, LookUP_Table!$A$1:$B$4, 2, FALSE), "")</f>
        <v>Graduate</v>
      </c>
      <c r="H2053">
        <v>0</v>
      </c>
      <c r="I2053">
        <v>0</v>
      </c>
      <c r="J2053" t="str">
        <f t="shared" si="192"/>
        <v>Non-Smoker</v>
      </c>
      <c r="K2053">
        <v>0</v>
      </c>
      <c r="L2053">
        <v>0</v>
      </c>
      <c r="M2053">
        <v>0</v>
      </c>
      <c r="N2053">
        <v>0</v>
      </c>
      <c r="O2053">
        <v>309</v>
      </c>
      <c r="P2053" t="str">
        <f t="shared" si="193"/>
        <v>High</v>
      </c>
      <c r="Q2053">
        <v>136</v>
      </c>
      <c r="R2053">
        <v>90</v>
      </c>
      <c r="S2053">
        <v>26.83</v>
      </c>
      <c r="T2053" t="str">
        <f t="shared" si="194"/>
        <v>Overweight</v>
      </c>
      <c r="U2053">
        <v>70</v>
      </c>
      <c r="V2053">
        <v>75</v>
      </c>
      <c r="W2053" t="str">
        <f t="shared" si="197"/>
        <v>Normal</v>
      </c>
      <c r="X2053">
        <v>0</v>
      </c>
    </row>
    <row r="2054" spans="1:24" ht="14.5" thickBot="1" x14ac:dyDescent="0.35">
      <c r="A2054">
        <v>0</v>
      </c>
      <c r="B2054" t="str">
        <f t="shared" si="195"/>
        <v>Female</v>
      </c>
      <c r="C2054" s="8">
        <v>48</v>
      </c>
      <c r="D2054" t="str">
        <f t="shared" si="196"/>
        <v>Middle Age</v>
      </c>
      <c r="E2054">
        <v>2</v>
      </c>
      <c r="F2054" t="str">
        <f>HLOOKUP(E2054, LookUP_Table!$A$6:$D$7, 2, FALSE)</f>
        <v>Secondary</v>
      </c>
      <c r="G2054" t="str">
        <f>IFERROR(VLOOKUP(E2054, LookUP_Table!$A$1:$B$4, 2, FALSE), "")</f>
        <v>Secondary</v>
      </c>
      <c r="H2054">
        <v>1</v>
      </c>
      <c r="I2054">
        <v>20</v>
      </c>
      <c r="J2054" t="str">
        <f t="shared" si="192"/>
        <v>Smoker</v>
      </c>
      <c r="K2054">
        <v>0</v>
      </c>
      <c r="L2054">
        <v>0</v>
      </c>
      <c r="M2054">
        <v>0</v>
      </c>
      <c r="N2054">
        <v>0</v>
      </c>
      <c r="O2054">
        <v>246</v>
      </c>
      <c r="P2054" t="str">
        <f t="shared" si="193"/>
        <v>High</v>
      </c>
      <c r="Q2054">
        <v>113</v>
      </c>
      <c r="R2054">
        <v>87</v>
      </c>
      <c r="S2054">
        <v>18.010000000000002</v>
      </c>
      <c r="T2054" t="str">
        <f t="shared" si="194"/>
        <v>Underweight</v>
      </c>
      <c r="U2054">
        <v>60</v>
      </c>
      <c r="V2054">
        <v>63</v>
      </c>
      <c r="W2054" t="str">
        <f t="shared" si="197"/>
        <v>Normal</v>
      </c>
      <c r="X2054">
        <v>0</v>
      </c>
    </row>
    <row r="2055" spans="1:24" ht="14.5" thickBot="1" x14ac:dyDescent="0.35">
      <c r="A2055">
        <v>1</v>
      </c>
      <c r="B2055" t="str">
        <f t="shared" si="195"/>
        <v>Male</v>
      </c>
      <c r="C2055" s="8">
        <v>48</v>
      </c>
      <c r="D2055" t="str">
        <f t="shared" si="196"/>
        <v>Middle Age</v>
      </c>
      <c r="E2055">
        <v>4</v>
      </c>
      <c r="F2055" t="str">
        <f>HLOOKUP(E2055, LookUP_Table!$A$6:$D$7, 2, FALSE)</f>
        <v>Post Graduate</v>
      </c>
      <c r="G2055" t="str">
        <f>IFERROR(VLOOKUP(E2055, LookUP_Table!$A$1:$B$4, 2, FALSE), "")</f>
        <v>Post Graduate</v>
      </c>
      <c r="H2055">
        <v>1</v>
      </c>
      <c r="I2055">
        <v>5</v>
      </c>
      <c r="J2055" t="str">
        <f t="shared" si="192"/>
        <v>Smoker</v>
      </c>
      <c r="K2055">
        <v>0</v>
      </c>
      <c r="L2055">
        <v>0</v>
      </c>
      <c r="M2055">
        <v>0</v>
      </c>
      <c r="N2055">
        <v>0</v>
      </c>
      <c r="O2055">
        <v>150</v>
      </c>
      <c r="P2055" t="str">
        <f t="shared" si="193"/>
        <v>Normal</v>
      </c>
      <c r="Q2055">
        <v>123</v>
      </c>
      <c r="R2055">
        <v>72.5</v>
      </c>
      <c r="S2055">
        <v>25.1</v>
      </c>
      <c r="T2055" t="str">
        <f t="shared" si="194"/>
        <v>Overweight</v>
      </c>
      <c r="U2055">
        <v>78</v>
      </c>
      <c r="V2055">
        <v>81.96365524402907</v>
      </c>
      <c r="W2055" t="str">
        <f t="shared" si="197"/>
        <v>Normal</v>
      </c>
      <c r="X2055">
        <v>0</v>
      </c>
    </row>
    <row r="2056" spans="1:24" ht="14.5" thickBot="1" x14ac:dyDescent="0.35">
      <c r="A2056">
        <v>1</v>
      </c>
      <c r="B2056" t="str">
        <f t="shared" si="195"/>
        <v>Male</v>
      </c>
      <c r="C2056" s="8">
        <v>48</v>
      </c>
      <c r="D2056" t="str">
        <f t="shared" si="196"/>
        <v>Middle Age</v>
      </c>
      <c r="E2056">
        <v>1</v>
      </c>
      <c r="F2056" t="str">
        <f>HLOOKUP(E2056, LookUP_Table!$A$6:$D$7, 2, FALSE)</f>
        <v>Primary</v>
      </c>
      <c r="G2056" t="str">
        <f>IFERROR(VLOOKUP(E2056, LookUP_Table!$A$1:$B$4, 2, FALSE), "")</f>
        <v>Primary</v>
      </c>
      <c r="H2056">
        <v>0</v>
      </c>
      <c r="I2056">
        <v>0</v>
      </c>
      <c r="J2056" t="str">
        <f t="shared" si="192"/>
        <v>Non-Smoker</v>
      </c>
      <c r="K2056">
        <v>0</v>
      </c>
      <c r="L2056">
        <v>0</v>
      </c>
      <c r="M2056">
        <v>0</v>
      </c>
      <c r="N2056">
        <v>0</v>
      </c>
      <c r="O2056">
        <v>235</v>
      </c>
      <c r="P2056" t="str">
        <f t="shared" si="193"/>
        <v>Normal</v>
      </c>
      <c r="Q2056">
        <v>135</v>
      </c>
      <c r="R2056">
        <v>88</v>
      </c>
      <c r="S2056">
        <v>27.61</v>
      </c>
      <c r="T2056" t="str">
        <f t="shared" si="194"/>
        <v>Overweight</v>
      </c>
      <c r="U2056">
        <v>92</v>
      </c>
      <c r="V2056">
        <v>137</v>
      </c>
      <c r="W2056" t="str">
        <f t="shared" si="197"/>
        <v>Diabetes</v>
      </c>
      <c r="X2056">
        <v>0</v>
      </c>
    </row>
    <row r="2057" spans="1:24" ht="14.5" thickBot="1" x14ac:dyDescent="0.35">
      <c r="A2057">
        <v>0</v>
      </c>
      <c r="B2057" t="str">
        <f t="shared" si="195"/>
        <v>Female</v>
      </c>
      <c r="C2057" s="8">
        <v>48</v>
      </c>
      <c r="D2057" t="str">
        <f t="shared" si="196"/>
        <v>Middle Age</v>
      </c>
      <c r="E2057">
        <v>1</v>
      </c>
      <c r="F2057" t="str">
        <f>HLOOKUP(E2057, LookUP_Table!$A$6:$D$7, 2, FALSE)</f>
        <v>Primary</v>
      </c>
      <c r="G2057" t="str">
        <f>IFERROR(VLOOKUP(E2057, LookUP_Table!$A$1:$B$4, 2, FALSE), "")</f>
        <v>Primary</v>
      </c>
      <c r="H2057">
        <v>0</v>
      </c>
      <c r="I2057">
        <v>0</v>
      </c>
      <c r="J2057" t="str">
        <f t="shared" si="192"/>
        <v>Non-Smoker</v>
      </c>
      <c r="K2057">
        <v>0</v>
      </c>
      <c r="L2057">
        <v>0</v>
      </c>
      <c r="M2057">
        <v>0</v>
      </c>
      <c r="N2057">
        <v>0</v>
      </c>
      <c r="O2057">
        <v>244</v>
      </c>
      <c r="P2057" t="str">
        <f t="shared" si="193"/>
        <v>High</v>
      </c>
      <c r="Q2057">
        <v>117</v>
      </c>
      <c r="R2057">
        <v>81.5</v>
      </c>
      <c r="S2057">
        <v>28.96</v>
      </c>
      <c r="T2057" t="str">
        <f t="shared" si="194"/>
        <v>Overweight</v>
      </c>
      <c r="U2057">
        <v>67</v>
      </c>
      <c r="V2057">
        <v>78</v>
      </c>
      <c r="W2057" t="str">
        <f t="shared" si="197"/>
        <v>Normal</v>
      </c>
      <c r="X2057">
        <v>0</v>
      </c>
    </row>
    <row r="2058" spans="1:24" ht="14.5" thickBot="1" x14ac:dyDescent="0.35">
      <c r="A2058">
        <v>0</v>
      </c>
      <c r="B2058" t="str">
        <f t="shared" si="195"/>
        <v>Female</v>
      </c>
      <c r="C2058" s="8">
        <v>48</v>
      </c>
      <c r="D2058" t="str">
        <f t="shared" si="196"/>
        <v>Middle Age</v>
      </c>
      <c r="E2058">
        <v>3</v>
      </c>
      <c r="F2058" t="str">
        <f>HLOOKUP(E2058, LookUP_Table!$A$6:$D$7, 2, FALSE)</f>
        <v>Graduate</v>
      </c>
      <c r="G2058" t="str">
        <f>IFERROR(VLOOKUP(E2058, LookUP_Table!$A$1:$B$4, 2, FALSE), "")</f>
        <v>Graduate</v>
      </c>
      <c r="H2058">
        <v>0</v>
      </c>
      <c r="I2058">
        <v>0</v>
      </c>
      <c r="J2058" t="str">
        <f t="shared" si="192"/>
        <v>Non-Smoker</v>
      </c>
      <c r="K2058">
        <v>0</v>
      </c>
      <c r="L2058">
        <v>0</v>
      </c>
      <c r="M2058">
        <v>0</v>
      </c>
      <c r="N2058">
        <v>0</v>
      </c>
      <c r="O2058">
        <v>202</v>
      </c>
      <c r="P2058" t="str">
        <f t="shared" si="193"/>
        <v>Normal</v>
      </c>
      <c r="Q2058">
        <v>146.5</v>
      </c>
      <c r="R2058">
        <v>79</v>
      </c>
      <c r="S2058">
        <v>22.19</v>
      </c>
      <c r="T2058" t="str">
        <f t="shared" si="194"/>
        <v>Normal</v>
      </c>
      <c r="U2058">
        <v>82</v>
      </c>
      <c r="V2058">
        <v>95</v>
      </c>
      <c r="W2058" t="str">
        <f t="shared" si="197"/>
        <v>Normal</v>
      </c>
      <c r="X2058">
        <v>0</v>
      </c>
    </row>
    <row r="2059" spans="1:24" ht="14.5" thickBot="1" x14ac:dyDescent="0.35">
      <c r="A2059">
        <v>1</v>
      </c>
      <c r="B2059" t="str">
        <f t="shared" si="195"/>
        <v>Male</v>
      </c>
      <c r="C2059" s="8">
        <v>48</v>
      </c>
      <c r="D2059" t="str">
        <f t="shared" si="196"/>
        <v>Middle Age</v>
      </c>
      <c r="E2059">
        <v>4</v>
      </c>
      <c r="F2059" t="str">
        <f>HLOOKUP(E2059, LookUP_Table!$A$6:$D$7, 2, FALSE)</f>
        <v>Post Graduate</v>
      </c>
      <c r="G2059" t="str">
        <f>IFERROR(VLOOKUP(E2059, LookUP_Table!$A$1:$B$4, 2, FALSE), "")</f>
        <v>Post Graduate</v>
      </c>
      <c r="H2059">
        <v>0</v>
      </c>
      <c r="I2059">
        <v>0</v>
      </c>
      <c r="J2059" t="str">
        <f t="shared" si="192"/>
        <v>Non-Smoker</v>
      </c>
      <c r="K2059">
        <v>0</v>
      </c>
      <c r="L2059">
        <v>0</v>
      </c>
      <c r="M2059">
        <v>0</v>
      </c>
      <c r="N2059">
        <v>0</v>
      </c>
      <c r="O2059">
        <v>240</v>
      </c>
      <c r="P2059" t="str">
        <f t="shared" si="193"/>
        <v>Normal</v>
      </c>
      <c r="Q2059">
        <v>136</v>
      </c>
      <c r="R2059">
        <v>95.5</v>
      </c>
      <c r="S2059">
        <v>26.36</v>
      </c>
      <c r="T2059" t="str">
        <f t="shared" si="194"/>
        <v>Overweight</v>
      </c>
      <c r="U2059">
        <v>75</v>
      </c>
      <c r="V2059">
        <v>73</v>
      </c>
      <c r="W2059" t="str">
        <f t="shared" si="197"/>
        <v>Normal</v>
      </c>
      <c r="X2059">
        <v>0</v>
      </c>
    </row>
    <row r="2060" spans="1:24" ht="14.5" thickBot="1" x14ac:dyDescent="0.35">
      <c r="A2060">
        <v>0</v>
      </c>
      <c r="B2060" t="str">
        <f t="shared" si="195"/>
        <v>Female</v>
      </c>
      <c r="C2060" s="8">
        <v>48</v>
      </c>
      <c r="D2060" t="str">
        <f t="shared" si="196"/>
        <v>Middle Age</v>
      </c>
      <c r="E2060">
        <v>1</v>
      </c>
      <c r="F2060" t="str">
        <f>HLOOKUP(E2060, LookUP_Table!$A$6:$D$7, 2, FALSE)</f>
        <v>Primary</v>
      </c>
      <c r="G2060" t="str">
        <f>IFERROR(VLOOKUP(E2060, LookUP_Table!$A$1:$B$4, 2, FALSE), "")</f>
        <v>Primary</v>
      </c>
      <c r="H2060">
        <v>0</v>
      </c>
      <c r="I2060">
        <v>0</v>
      </c>
      <c r="J2060" t="str">
        <f t="shared" si="192"/>
        <v>Non-Smoker</v>
      </c>
      <c r="K2060">
        <v>0</v>
      </c>
      <c r="L2060">
        <v>0</v>
      </c>
      <c r="M2060">
        <v>0</v>
      </c>
      <c r="N2060">
        <v>0</v>
      </c>
      <c r="O2060">
        <v>227</v>
      </c>
      <c r="P2060" t="str">
        <f t="shared" si="193"/>
        <v>Normal</v>
      </c>
      <c r="Q2060">
        <v>100</v>
      </c>
      <c r="R2060">
        <v>76</v>
      </c>
      <c r="S2060">
        <v>29.45</v>
      </c>
      <c r="T2060" t="str">
        <f t="shared" si="194"/>
        <v>Overweight</v>
      </c>
      <c r="U2060">
        <v>75</v>
      </c>
      <c r="V2060">
        <v>67</v>
      </c>
      <c r="W2060" t="str">
        <f t="shared" si="197"/>
        <v>Normal</v>
      </c>
      <c r="X2060">
        <v>1</v>
      </c>
    </row>
    <row r="2061" spans="1:24" ht="14.5" thickBot="1" x14ac:dyDescent="0.35">
      <c r="A2061">
        <v>1</v>
      </c>
      <c r="B2061" t="str">
        <f t="shared" si="195"/>
        <v>Male</v>
      </c>
      <c r="C2061" s="8">
        <v>48</v>
      </c>
      <c r="D2061" t="str">
        <f t="shared" si="196"/>
        <v>Middle Age</v>
      </c>
      <c r="E2061">
        <v>4</v>
      </c>
      <c r="F2061" t="str">
        <f>HLOOKUP(E2061, LookUP_Table!$A$6:$D$7, 2, FALSE)</f>
        <v>Post Graduate</v>
      </c>
      <c r="G2061" t="str">
        <f>IFERROR(VLOOKUP(E2061, LookUP_Table!$A$1:$B$4, 2, FALSE), "")</f>
        <v>Post Graduate</v>
      </c>
      <c r="H2061">
        <v>0</v>
      </c>
      <c r="I2061">
        <v>0</v>
      </c>
      <c r="J2061" t="str">
        <f t="shared" si="192"/>
        <v>Non-Smoker</v>
      </c>
      <c r="K2061">
        <v>0</v>
      </c>
      <c r="L2061">
        <v>0</v>
      </c>
      <c r="M2061">
        <v>1</v>
      </c>
      <c r="N2061">
        <v>0</v>
      </c>
      <c r="O2061">
        <v>273</v>
      </c>
      <c r="P2061" t="str">
        <f t="shared" si="193"/>
        <v>High</v>
      </c>
      <c r="Q2061">
        <v>140</v>
      </c>
      <c r="R2061">
        <v>90</v>
      </c>
      <c r="S2061">
        <v>27.48</v>
      </c>
      <c r="T2061" t="str">
        <f t="shared" si="194"/>
        <v>Overweight</v>
      </c>
      <c r="U2061">
        <v>67</v>
      </c>
      <c r="V2061">
        <v>78</v>
      </c>
      <c r="W2061" t="str">
        <f t="shared" si="197"/>
        <v>Normal</v>
      </c>
      <c r="X2061">
        <v>0</v>
      </c>
    </row>
    <row r="2062" spans="1:24" ht="14.5" thickBot="1" x14ac:dyDescent="0.35">
      <c r="A2062">
        <v>1</v>
      </c>
      <c r="B2062" t="str">
        <f t="shared" si="195"/>
        <v>Male</v>
      </c>
      <c r="C2062" s="8">
        <v>48</v>
      </c>
      <c r="D2062" t="str">
        <f t="shared" si="196"/>
        <v>Middle Age</v>
      </c>
      <c r="E2062">
        <v>1</v>
      </c>
      <c r="F2062" t="str">
        <f>HLOOKUP(E2062, LookUP_Table!$A$6:$D$7, 2, FALSE)</f>
        <v>Primary</v>
      </c>
      <c r="G2062" t="str">
        <f>IFERROR(VLOOKUP(E2062, LookUP_Table!$A$1:$B$4, 2, FALSE), "")</f>
        <v>Primary</v>
      </c>
      <c r="H2062">
        <v>1</v>
      </c>
      <c r="I2062">
        <v>60</v>
      </c>
      <c r="J2062" t="str">
        <f t="shared" si="192"/>
        <v>Smoker</v>
      </c>
      <c r="K2062">
        <v>0</v>
      </c>
      <c r="L2062">
        <v>0</v>
      </c>
      <c r="M2062">
        <v>0</v>
      </c>
      <c r="N2062">
        <v>0</v>
      </c>
      <c r="O2062">
        <v>232</v>
      </c>
      <c r="P2062" t="str">
        <f t="shared" si="193"/>
        <v>Normal</v>
      </c>
      <c r="Q2062">
        <v>136</v>
      </c>
      <c r="R2062">
        <v>81</v>
      </c>
      <c r="S2062">
        <v>25.83</v>
      </c>
      <c r="T2062" t="str">
        <f t="shared" si="194"/>
        <v>Overweight</v>
      </c>
      <c r="U2062">
        <v>80</v>
      </c>
      <c r="V2062">
        <v>78</v>
      </c>
      <c r="W2062" t="str">
        <f t="shared" si="197"/>
        <v>Normal</v>
      </c>
      <c r="X2062">
        <v>0</v>
      </c>
    </row>
    <row r="2063" spans="1:24" ht="14.5" thickBot="1" x14ac:dyDescent="0.35">
      <c r="A2063">
        <v>1</v>
      </c>
      <c r="B2063" t="str">
        <f t="shared" si="195"/>
        <v>Male</v>
      </c>
      <c r="C2063" s="8">
        <v>48</v>
      </c>
      <c r="D2063" t="str">
        <f t="shared" si="196"/>
        <v>Middle Age</v>
      </c>
      <c r="E2063">
        <v>4</v>
      </c>
      <c r="F2063" t="str">
        <f>HLOOKUP(E2063, LookUP_Table!$A$6:$D$7, 2, FALSE)</f>
        <v>Post Graduate</v>
      </c>
      <c r="G2063" t="str">
        <f>IFERROR(VLOOKUP(E2063, LookUP_Table!$A$1:$B$4, 2, FALSE), "")</f>
        <v>Post Graduate</v>
      </c>
      <c r="H2063">
        <v>1</v>
      </c>
      <c r="I2063">
        <v>15</v>
      </c>
      <c r="J2063" t="str">
        <f t="shared" si="192"/>
        <v>Smoker</v>
      </c>
      <c r="K2063">
        <v>0</v>
      </c>
      <c r="L2063">
        <v>0</v>
      </c>
      <c r="M2063">
        <v>0</v>
      </c>
      <c r="N2063">
        <v>0</v>
      </c>
      <c r="O2063">
        <v>194</v>
      </c>
      <c r="P2063" t="str">
        <f t="shared" si="193"/>
        <v>Normal</v>
      </c>
      <c r="Q2063">
        <v>134.5</v>
      </c>
      <c r="R2063">
        <v>90.5</v>
      </c>
      <c r="S2063">
        <v>25.68</v>
      </c>
      <c r="T2063" t="str">
        <f t="shared" si="194"/>
        <v>Overweight</v>
      </c>
      <c r="U2063">
        <v>60</v>
      </c>
      <c r="V2063">
        <v>72</v>
      </c>
      <c r="W2063" t="str">
        <f t="shared" si="197"/>
        <v>Normal</v>
      </c>
      <c r="X2063">
        <v>0</v>
      </c>
    </row>
    <row r="2064" spans="1:24" ht="14.5" thickBot="1" x14ac:dyDescent="0.35">
      <c r="A2064">
        <v>1</v>
      </c>
      <c r="B2064" t="str">
        <f t="shared" si="195"/>
        <v>Male</v>
      </c>
      <c r="C2064" s="8">
        <v>48</v>
      </c>
      <c r="D2064" t="str">
        <f t="shared" si="196"/>
        <v>Middle Age</v>
      </c>
      <c r="E2064">
        <v>1</v>
      </c>
      <c r="F2064" t="str">
        <f>HLOOKUP(E2064, LookUP_Table!$A$6:$D$7, 2, FALSE)</f>
        <v>Primary</v>
      </c>
      <c r="G2064" t="str">
        <f>IFERROR(VLOOKUP(E2064, LookUP_Table!$A$1:$B$4, 2, FALSE), "")</f>
        <v>Primary</v>
      </c>
      <c r="H2064">
        <v>1</v>
      </c>
      <c r="I2064">
        <v>35</v>
      </c>
      <c r="J2064" t="str">
        <f t="shared" si="192"/>
        <v>Smoker</v>
      </c>
      <c r="K2064">
        <v>0</v>
      </c>
      <c r="L2064">
        <v>0</v>
      </c>
      <c r="M2064">
        <v>0</v>
      </c>
      <c r="N2064">
        <v>0</v>
      </c>
      <c r="O2064">
        <v>263</v>
      </c>
      <c r="P2064" t="str">
        <f t="shared" si="193"/>
        <v>High</v>
      </c>
      <c r="Q2064">
        <v>132</v>
      </c>
      <c r="R2064">
        <v>91</v>
      </c>
      <c r="S2064">
        <v>40.08</v>
      </c>
      <c r="T2064" t="str">
        <f t="shared" si="194"/>
        <v>Obese</v>
      </c>
      <c r="U2064">
        <v>90</v>
      </c>
      <c r="V2064">
        <v>91</v>
      </c>
      <c r="W2064" t="str">
        <f t="shared" si="197"/>
        <v>Normal</v>
      </c>
      <c r="X2064">
        <v>1</v>
      </c>
    </row>
    <row r="2065" spans="1:24" ht="14.5" thickBot="1" x14ac:dyDescent="0.35">
      <c r="A2065">
        <v>0</v>
      </c>
      <c r="B2065" t="str">
        <f t="shared" si="195"/>
        <v>Female</v>
      </c>
      <c r="C2065" s="8">
        <v>48</v>
      </c>
      <c r="D2065" t="str">
        <f t="shared" si="196"/>
        <v>Middle Age</v>
      </c>
      <c r="E2065">
        <v>4</v>
      </c>
      <c r="F2065" t="str">
        <f>HLOOKUP(E2065, LookUP_Table!$A$6:$D$7, 2, FALSE)</f>
        <v>Post Graduate</v>
      </c>
      <c r="G2065" t="str">
        <f>IFERROR(VLOOKUP(E2065, LookUP_Table!$A$1:$B$4, 2, FALSE), "")</f>
        <v>Post Graduate</v>
      </c>
      <c r="H2065">
        <v>1</v>
      </c>
      <c r="I2065">
        <v>9</v>
      </c>
      <c r="J2065" t="str">
        <f t="shared" si="192"/>
        <v>Smoker</v>
      </c>
      <c r="K2065">
        <v>0</v>
      </c>
      <c r="L2065">
        <v>0</v>
      </c>
      <c r="M2065">
        <v>1</v>
      </c>
      <c r="N2065">
        <v>0</v>
      </c>
      <c r="O2065">
        <v>340</v>
      </c>
      <c r="P2065" t="str">
        <f t="shared" si="193"/>
        <v>High</v>
      </c>
      <c r="Q2065">
        <v>143</v>
      </c>
      <c r="R2065">
        <v>93</v>
      </c>
      <c r="S2065">
        <v>23.08</v>
      </c>
      <c r="T2065" t="str">
        <f t="shared" si="194"/>
        <v>Normal</v>
      </c>
      <c r="U2065">
        <v>85</v>
      </c>
      <c r="V2065">
        <v>83</v>
      </c>
      <c r="W2065" t="str">
        <f t="shared" si="197"/>
        <v>Normal</v>
      </c>
      <c r="X2065">
        <v>0</v>
      </c>
    </row>
    <row r="2066" spans="1:24" ht="14.5" thickBot="1" x14ac:dyDescent="0.35">
      <c r="A2066">
        <v>0</v>
      </c>
      <c r="B2066" t="str">
        <f t="shared" si="195"/>
        <v>Female</v>
      </c>
      <c r="C2066" s="8">
        <v>48</v>
      </c>
      <c r="D2066" t="str">
        <f t="shared" si="196"/>
        <v>Middle Age</v>
      </c>
      <c r="E2066">
        <v>1</v>
      </c>
      <c r="F2066" t="str">
        <f>HLOOKUP(E2066, LookUP_Table!$A$6:$D$7, 2, FALSE)</f>
        <v>Primary</v>
      </c>
      <c r="G2066" t="str">
        <f>IFERROR(VLOOKUP(E2066, LookUP_Table!$A$1:$B$4, 2, FALSE), "")</f>
        <v>Primary</v>
      </c>
      <c r="H2066">
        <v>0</v>
      </c>
      <c r="I2066">
        <v>0</v>
      </c>
      <c r="J2066" t="str">
        <f t="shared" si="192"/>
        <v>Non-Smoker</v>
      </c>
      <c r="K2066">
        <v>0</v>
      </c>
      <c r="L2066">
        <v>0</v>
      </c>
      <c r="M2066">
        <v>1</v>
      </c>
      <c r="N2066">
        <v>0</v>
      </c>
      <c r="O2066">
        <v>224</v>
      </c>
      <c r="P2066" t="str">
        <f t="shared" si="193"/>
        <v>Normal</v>
      </c>
      <c r="Q2066">
        <v>152.5</v>
      </c>
      <c r="R2066">
        <v>90</v>
      </c>
      <c r="S2066">
        <v>29.8</v>
      </c>
      <c r="T2066" t="str">
        <f t="shared" si="194"/>
        <v>Overweight</v>
      </c>
      <c r="U2066">
        <v>67</v>
      </c>
      <c r="V2066">
        <v>85</v>
      </c>
      <c r="W2066" t="str">
        <f t="shared" si="197"/>
        <v>Normal</v>
      </c>
      <c r="X2066">
        <v>0</v>
      </c>
    </row>
    <row r="2067" spans="1:24" ht="14.5" thickBot="1" x14ac:dyDescent="0.35">
      <c r="A2067">
        <v>0</v>
      </c>
      <c r="B2067" t="str">
        <f t="shared" si="195"/>
        <v>Female</v>
      </c>
      <c r="C2067" s="8">
        <v>48</v>
      </c>
      <c r="D2067" t="str">
        <f t="shared" si="196"/>
        <v>Middle Age</v>
      </c>
      <c r="E2067">
        <v>1</v>
      </c>
      <c r="F2067" t="str">
        <f>HLOOKUP(E2067, LookUP_Table!$A$6:$D$7, 2, FALSE)</f>
        <v>Primary</v>
      </c>
      <c r="G2067" t="str">
        <f>IFERROR(VLOOKUP(E2067, LookUP_Table!$A$1:$B$4, 2, FALSE), "")</f>
        <v>Primary</v>
      </c>
      <c r="H2067">
        <v>0</v>
      </c>
      <c r="I2067">
        <v>0</v>
      </c>
      <c r="J2067" t="str">
        <f t="shared" si="192"/>
        <v>Non-Smoker</v>
      </c>
      <c r="K2067">
        <v>0</v>
      </c>
      <c r="L2067">
        <v>0</v>
      </c>
      <c r="M2067">
        <v>0</v>
      </c>
      <c r="N2067">
        <v>0</v>
      </c>
      <c r="O2067">
        <v>274</v>
      </c>
      <c r="P2067" t="str">
        <f t="shared" si="193"/>
        <v>High</v>
      </c>
      <c r="Q2067">
        <v>110</v>
      </c>
      <c r="R2067">
        <v>84</v>
      </c>
      <c r="S2067">
        <v>22.51</v>
      </c>
      <c r="T2067" t="str">
        <f t="shared" si="194"/>
        <v>Normal</v>
      </c>
      <c r="U2067">
        <v>110</v>
      </c>
      <c r="V2067">
        <v>78</v>
      </c>
      <c r="W2067" t="str">
        <f t="shared" si="197"/>
        <v>Normal</v>
      </c>
      <c r="X2067">
        <v>0</v>
      </c>
    </row>
    <row r="2068" spans="1:24" ht="14.5" thickBot="1" x14ac:dyDescent="0.35">
      <c r="A2068">
        <v>0</v>
      </c>
      <c r="B2068" t="str">
        <f t="shared" si="195"/>
        <v>Female</v>
      </c>
      <c r="C2068" s="8">
        <v>48</v>
      </c>
      <c r="D2068" t="str">
        <f t="shared" si="196"/>
        <v>Middle Age</v>
      </c>
      <c r="E2068">
        <v>3</v>
      </c>
      <c r="F2068" t="str">
        <f>HLOOKUP(E2068, LookUP_Table!$A$6:$D$7, 2, FALSE)</f>
        <v>Graduate</v>
      </c>
      <c r="G2068" t="str">
        <f>IFERROR(VLOOKUP(E2068, LookUP_Table!$A$1:$B$4, 2, FALSE), "")</f>
        <v>Graduate</v>
      </c>
      <c r="H2068">
        <v>0</v>
      </c>
      <c r="I2068">
        <v>0</v>
      </c>
      <c r="J2068" t="str">
        <f t="shared" si="192"/>
        <v>Non-Smoker</v>
      </c>
      <c r="K2068">
        <v>0</v>
      </c>
      <c r="L2068">
        <v>0</v>
      </c>
      <c r="M2068">
        <v>0</v>
      </c>
      <c r="N2068">
        <v>0</v>
      </c>
      <c r="O2068">
        <v>262</v>
      </c>
      <c r="P2068" t="str">
        <f t="shared" si="193"/>
        <v>High</v>
      </c>
      <c r="Q2068">
        <v>125</v>
      </c>
      <c r="R2068">
        <v>80</v>
      </c>
      <c r="S2068">
        <v>25.23</v>
      </c>
      <c r="T2068" t="str">
        <f t="shared" si="194"/>
        <v>Overweight</v>
      </c>
      <c r="U2068">
        <v>85</v>
      </c>
      <c r="V2068">
        <v>72</v>
      </c>
      <c r="W2068" t="str">
        <f t="shared" si="197"/>
        <v>Normal</v>
      </c>
      <c r="X2068">
        <v>0</v>
      </c>
    </row>
    <row r="2069" spans="1:24" ht="14.5" thickBot="1" x14ac:dyDescent="0.35">
      <c r="A2069">
        <v>1</v>
      </c>
      <c r="B2069" t="str">
        <f t="shared" si="195"/>
        <v>Male</v>
      </c>
      <c r="C2069" s="8">
        <v>48</v>
      </c>
      <c r="D2069" t="str">
        <f t="shared" si="196"/>
        <v>Middle Age</v>
      </c>
      <c r="E2069">
        <v>1</v>
      </c>
      <c r="F2069" t="str">
        <f>HLOOKUP(E2069, LookUP_Table!$A$6:$D$7, 2, FALSE)</f>
        <v>Primary</v>
      </c>
      <c r="G2069" t="str">
        <f>IFERROR(VLOOKUP(E2069, LookUP_Table!$A$1:$B$4, 2, FALSE), "")</f>
        <v>Primary</v>
      </c>
      <c r="H2069">
        <v>0</v>
      </c>
      <c r="I2069">
        <v>0</v>
      </c>
      <c r="J2069" t="str">
        <f t="shared" si="192"/>
        <v>Non-Smoker</v>
      </c>
      <c r="K2069">
        <v>0</v>
      </c>
      <c r="L2069">
        <v>0</v>
      </c>
      <c r="M2069">
        <v>0</v>
      </c>
      <c r="N2069">
        <v>0</v>
      </c>
      <c r="O2069">
        <v>231</v>
      </c>
      <c r="P2069" t="str">
        <f t="shared" si="193"/>
        <v>Normal</v>
      </c>
      <c r="Q2069">
        <v>121</v>
      </c>
      <c r="R2069">
        <v>81</v>
      </c>
      <c r="S2069">
        <v>27.56</v>
      </c>
      <c r="T2069" t="str">
        <f t="shared" si="194"/>
        <v>Overweight</v>
      </c>
      <c r="U2069">
        <v>70</v>
      </c>
      <c r="V2069">
        <v>85</v>
      </c>
      <c r="W2069" t="str">
        <f t="shared" si="197"/>
        <v>Normal</v>
      </c>
      <c r="X2069">
        <v>0</v>
      </c>
    </row>
    <row r="2070" spans="1:24" ht="14.5" thickBot="1" x14ac:dyDescent="0.35">
      <c r="A2070">
        <v>1</v>
      </c>
      <c r="B2070" t="str">
        <f t="shared" si="195"/>
        <v>Male</v>
      </c>
      <c r="C2070" s="8">
        <v>48</v>
      </c>
      <c r="D2070" t="str">
        <f t="shared" si="196"/>
        <v>Middle Age</v>
      </c>
      <c r="E2070">
        <v>2</v>
      </c>
      <c r="F2070" t="str">
        <f>HLOOKUP(E2070, LookUP_Table!$A$6:$D$7, 2, FALSE)</f>
        <v>Secondary</v>
      </c>
      <c r="G2070" t="str">
        <f>IFERROR(VLOOKUP(E2070, LookUP_Table!$A$1:$B$4, 2, FALSE), "")</f>
        <v>Secondary</v>
      </c>
      <c r="H2070">
        <v>1</v>
      </c>
      <c r="I2070">
        <v>40</v>
      </c>
      <c r="J2070" t="str">
        <f t="shared" si="192"/>
        <v>Smoker</v>
      </c>
      <c r="K2070">
        <v>0</v>
      </c>
      <c r="L2070">
        <v>0</v>
      </c>
      <c r="M2070">
        <v>0</v>
      </c>
      <c r="N2070">
        <v>0</v>
      </c>
      <c r="O2070">
        <v>228</v>
      </c>
      <c r="P2070" t="str">
        <f t="shared" si="193"/>
        <v>Normal</v>
      </c>
      <c r="Q2070">
        <v>110</v>
      </c>
      <c r="R2070">
        <v>70</v>
      </c>
      <c r="S2070">
        <v>21.47</v>
      </c>
      <c r="T2070" t="str">
        <f t="shared" si="194"/>
        <v>Normal</v>
      </c>
      <c r="U2070">
        <v>70</v>
      </c>
      <c r="V2070">
        <v>76</v>
      </c>
      <c r="W2070" t="str">
        <f t="shared" si="197"/>
        <v>Normal</v>
      </c>
      <c r="X2070">
        <v>0</v>
      </c>
    </row>
    <row r="2071" spans="1:24" ht="14.5" thickBot="1" x14ac:dyDescent="0.35">
      <c r="A2071">
        <v>1</v>
      </c>
      <c r="B2071" t="str">
        <f t="shared" si="195"/>
        <v>Male</v>
      </c>
      <c r="C2071" s="8">
        <v>48</v>
      </c>
      <c r="D2071" t="str">
        <f t="shared" si="196"/>
        <v>Middle Age</v>
      </c>
      <c r="E2071">
        <v>1</v>
      </c>
      <c r="F2071" t="str">
        <f>HLOOKUP(E2071, LookUP_Table!$A$6:$D$7, 2, FALSE)</f>
        <v>Primary</v>
      </c>
      <c r="G2071" t="str">
        <f>IFERROR(VLOOKUP(E2071, LookUP_Table!$A$1:$B$4, 2, FALSE), "")</f>
        <v>Primary</v>
      </c>
      <c r="H2071">
        <v>0</v>
      </c>
      <c r="I2071">
        <v>0</v>
      </c>
      <c r="J2071" t="str">
        <f t="shared" si="192"/>
        <v>Non-Smoker</v>
      </c>
      <c r="K2071">
        <v>0</v>
      </c>
      <c r="L2071">
        <v>0</v>
      </c>
      <c r="M2071">
        <v>1</v>
      </c>
      <c r="N2071">
        <v>0</v>
      </c>
      <c r="O2071">
        <v>259</v>
      </c>
      <c r="P2071" t="str">
        <f t="shared" si="193"/>
        <v>High</v>
      </c>
      <c r="Q2071">
        <v>147.5</v>
      </c>
      <c r="R2071">
        <v>87.5</v>
      </c>
      <c r="S2071">
        <v>25.1</v>
      </c>
      <c r="T2071" t="str">
        <f t="shared" si="194"/>
        <v>Overweight</v>
      </c>
      <c r="U2071">
        <v>65</v>
      </c>
      <c r="V2071">
        <v>73</v>
      </c>
      <c r="W2071" t="str">
        <f t="shared" si="197"/>
        <v>Normal</v>
      </c>
      <c r="X2071">
        <v>1</v>
      </c>
    </row>
    <row r="2072" spans="1:24" ht="14.5" thickBot="1" x14ac:dyDescent="0.35">
      <c r="A2072">
        <v>0</v>
      </c>
      <c r="B2072" t="str">
        <f t="shared" si="195"/>
        <v>Female</v>
      </c>
      <c r="C2072" s="8">
        <v>48</v>
      </c>
      <c r="D2072" t="str">
        <f t="shared" si="196"/>
        <v>Middle Age</v>
      </c>
      <c r="E2072">
        <v>3</v>
      </c>
      <c r="F2072" t="str">
        <f>HLOOKUP(E2072, LookUP_Table!$A$6:$D$7, 2, FALSE)</f>
        <v>Graduate</v>
      </c>
      <c r="G2072" t="str">
        <f>IFERROR(VLOOKUP(E2072, LookUP_Table!$A$1:$B$4, 2, FALSE), "")</f>
        <v>Graduate</v>
      </c>
      <c r="H2072">
        <v>0</v>
      </c>
      <c r="I2072">
        <v>0</v>
      </c>
      <c r="J2072" t="str">
        <f t="shared" si="192"/>
        <v>Non-Smoker</v>
      </c>
      <c r="K2072">
        <v>0</v>
      </c>
      <c r="L2072">
        <v>0</v>
      </c>
      <c r="M2072">
        <v>1</v>
      </c>
      <c r="N2072">
        <v>0</v>
      </c>
      <c r="O2072">
        <v>205</v>
      </c>
      <c r="P2072" t="str">
        <f t="shared" si="193"/>
        <v>Normal</v>
      </c>
      <c r="Q2072">
        <v>140</v>
      </c>
      <c r="R2072">
        <v>99</v>
      </c>
      <c r="S2072">
        <v>24.41</v>
      </c>
      <c r="T2072" t="str">
        <f t="shared" si="194"/>
        <v>Normal</v>
      </c>
      <c r="U2072">
        <v>100</v>
      </c>
      <c r="V2072">
        <v>92</v>
      </c>
      <c r="W2072" t="str">
        <f t="shared" si="197"/>
        <v>Normal</v>
      </c>
      <c r="X2072">
        <v>0</v>
      </c>
    </row>
    <row r="2073" spans="1:24" ht="14.5" thickBot="1" x14ac:dyDescent="0.35">
      <c r="A2073">
        <v>1</v>
      </c>
      <c r="B2073" t="str">
        <f t="shared" si="195"/>
        <v>Male</v>
      </c>
      <c r="C2073" s="8">
        <v>48</v>
      </c>
      <c r="D2073" t="str">
        <f t="shared" si="196"/>
        <v>Middle Age</v>
      </c>
      <c r="E2073">
        <v>2</v>
      </c>
      <c r="F2073" t="str">
        <f>HLOOKUP(E2073, LookUP_Table!$A$6:$D$7, 2, FALSE)</f>
        <v>Secondary</v>
      </c>
      <c r="G2073" t="str">
        <f>IFERROR(VLOOKUP(E2073, LookUP_Table!$A$1:$B$4, 2, FALSE), "")</f>
        <v>Secondary</v>
      </c>
      <c r="H2073">
        <v>1</v>
      </c>
      <c r="I2073">
        <v>25</v>
      </c>
      <c r="J2073" t="str">
        <f t="shared" si="192"/>
        <v>Smoker</v>
      </c>
      <c r="K2073">
        <v>0</v>
      </c>
      <c r="L2073">
        <v>0</v>
      </c>
      <c r="M2073">
        <v>1</v>
      </c>
      <c r="N2073">
        <v>0</v>
      </c>
      <c r="O2073">
        <v>249</v>
      </c>
      <c r="P2073" t="str">
        <f t="shared" si="193"/>
        <v>High</v>
      </c>
      <c r="Q2073">
        <v>132</v>
      </c>
      <c r="R2073">
        <v>95</v>
      </c>
      <c r="S2073">
        <v>29.79</v>
      </c>
      <c r="T2073" t="str">
        <f t="shared" si="194"/>
        <v>Overweight</v>
      </c>
      <c r="U2073">
        <v>90</v>
      </c>
      <c r="V2073">
        <v>53</v>
      </c>
      <c r="W2073" t="str">
        <f t="shared" si="197"/>
        <v>Normal</v>
      </c>
      <c r="X2073">
        <v>0</v>
      </c>
    </row>
    <row r="2074" spans="1:24" ht="14.5" thickBot="1" x14ac:dyDescent="0.35">
      <c r="A2074">
        <v>1</v>
      </c>
      <c r="B2074" t="str">
        <f t="shared" si="195"/>
        <v>Male</v>
      </c>
      <c r="C2074" s="8">
        <v>48</v>
      </c>
      <c r="D2074" t="str">
        <f t="shared" si="196"/>
        <v>Middle Age</v>
      </c>
      <c r="E2074">
        <v>2</v>
      </c>
      <c r="F2074" t="str">
        <f>HLOOKUP(E2074, LookUP_Table!$A$6:$D$7, 2, FALSE)</f>
        <v>Secondary</v>
      </c>
      <c r="G2074" t="str">
        <f>IFERROR(VLOOKUP(E2074, LookUP_Table!$A$1:$B$4, 2, FALSE), "")</f>
        <v>Secondary</v>
      </c>
      <c r="H2074">
        <v>1</v>
      </c>
      <c r="I2074">
        <v>10</v>
      </c>
      <c r="J2074" t="str">
        <f t="shared" si="192"/>
        <v>Smoker</v>
      </c>
      <c r="K2074">
        <v>0</v>
      </c>
      <c r="L2074">
        <v>0</v>
      </c>
      <c r="M2074">
        <v>0</v>
      </c>
      <c r="N2074">
        <v>0</v>
      </c>
      <c r="O2074">
        <v>260</v>
      </c>
      <c r="P2074" t="str">
        <f t="shared" si="193"/>
        <v>High</v>
      </c>
      <c r="Q2074">
        <v>124.5</v>
      </c>
      <c r="R2074">
        <v>75.5</v>
      </c>
      <c r="S2074">
        <v>20.420000000000002</v>
      </c>
      <c r="T2074" t="str">
        <f t="shared" si="194"/>
        <v>Normal</v>
      </c>
      <c r="U2074">
        <v>68</v>
      </c>
      <c r="V2074">
        <v>85</v>
      </c>
      <c r="W2074" t="str">
        <f t="shared" si="197"/>
        <v>Normal</v>
      </c>
      <c r="X2074">
        <v>0</v>
      </c>
    </row>
    <row r="2075" spans="1:24" ht="14.5" thickBot="1" x14ac:dyDescent="0.35">
      <c r="A2075">
        <v>0</v>
      </c>
      <c r="B2075" t="str">
        <f t="shared" si="195"/>
        <v>Female</v>
      </c>
      <c r="C2075" s="8">
        <v>48</v>
      </c>
      <c r="D2075" t="str">
        <f t="shared" si="196"/>
        <v>Middle Age</v>
      </c>
      <c r="E2075">
        <v>1</v>
      </c>
      <c r="F2075" t="str">
        <f>HLOOKUP(E2075, LookUP_Table!$A$6:$D$7, 2, FALSE)</f>
        <v>Primary</v>
      </c>
      <c r="G2075" t="str">
        <f>IFERROR(VLOOKUP(E2075, LookUP_Table!$A$1:$B$4, 2, FALSE), "")</f>
        <v>Primary</v>
      </c>
      <c r="H2075">
        <v>0</v>
      </c>
      <c r="I2075">
        <v>0</v>
      </c>
      <c r="J2075" t="str">
        <f t="shared" si="192"/>
        <v>Non-Smoker</v>
      </c>
      <c r="K2075">
        <v>0</v>
      </c>
      <c r="L2075">
        <v>0</v>
      </c>
      <c r="M2075">
        <v>0</v>
      </c>
      <c r="N2075">
        <v>0</v>
      </c>
      <c r="O2075">
        <v>202</v>
      </c>
      <c r="P2075" t="str">
        <f t="shared" si="193"/>
        <v>Normal</v>
      </c>
      <c r="Q2075">
        <v>111.5</v>
      </c>
      <c r="R2075">
        <v>72</v>
      </c>
      <c r="S2075">
        <v>26.18</v>
      </c>
      <c r="T2075" t="str">
        <f t="shared" si="194"/>
        <v>Overweight</v>
      </c>
      <c r="U2075">
        <v>74</v>
      </c>
      <c r="V2075">
        <v>77</v>
      </c>
      <c r="W2075" t="str">
        <f t="shared" si="197"/>
        <v>Normal</v>
      </c>
      <c r="X2075">
        <v>0</v>
      </c>
    </row>
    <row r="2076" spans="1:24" ht="14.5" thickBot="1" x14ac:dyDescent="0.35">
      <c r="A2076">
        <v>1</v>
      </c>
      <c r="B2076" t="str">
        <f t="shared" si="195"/>
        <v>Male</v>
      </c>
      <c r="C2076" s="8">
        <v>48</v>
      </c>
      <c r="D2076" t="str">
        <f t="shared" si="196"/>
        <v>Middle Age</v>
      </c>
      <c r="E2076">
        <v>4</v>
      </c>
      <c r="F2076" t="str">
        <f>HLOOKUP(E2076, LookUP_Table!$A$6:$D$7, 2, FALSE)</f>
        <v>Post Graduate</v>
      </c>
      <c r="G2076" t="str">
        <f>IFERROR(VLOOKUP(E2076, LookUP_Table!$A$1:$B$4, 2, FALSE), "")</f>
        <v>Post Graduate</v>
      </c>
      <c r="H2076">
        <v>1</v>
      </c>
      <c r="I2076">
        <v>20</v>
      </c>
      <c r="J2076" t="str">
        <f t="shared" si="192"/>
        <v>Smoker</v>
      </c>
      <c r="K2076">
        <v>0</v>
      </c>
      <c r="L2076">
        <v>0</v>
      </c>
      <c r="M2076">
        <v>0</v>
      </c>
      <c r="N2076">
        <v>0</v>
      </c>
      <c r="O2076">
        <v>245</v>
      </c>
      <c r="P2076" t="str">
        <f t="shared" si="193"/>
        <v>High</v>
      </c>
      <c r="Q2076">
        <v>118</v>
      </c>
      <c r="R2076">
        <v>73</v>
      </c>
      <c r="S2076">
        <v>21.84</v>
      </c>
      <c r="T2076" t="str">
        <f t="shared" si="194"/>
        <v>Normal</v>
      </c>
      <c r="U2076">
        <v>75</v>
      </c>
      <c r="V2076">
        <v>102</v>
      </c>
      <c r="W2076" t="str">
        <f t="shared" si="197"/>
        <v>Prediabetes</v>
      </c>
      <c r="X2076">
        <v>0</v>
      </c>
    </row>
    <row r="2077" spans="1:24" ht="14.5" thickBot="1" x14ac:dyDescent="0.35">
      <c r="A2077">
        <v>1</v>
      </c>
      <c r="B2077" t="str">
        <f t="shared" si="195"/>
        <v>Male</v>
      </c>
      <c r="C2077" s="8">
        <v>48</v>
      </c>
      <c r="D2077" t="str">
        <f t="shared" si="196"/>
        <v>Middle Age</v>
      </c>
      <c r="E2077">
        <v>1</v>
      </c>
      <c r="F2077" t="str">
        <f>HLOOKUP(E2077, LookUP_Table!$A$6:$D$7, 2, FALSE)</f>
        <v>Primary</v>
      </c>
      <c r="G2077" t="str">
        <f>IFERROR(VLOOKUP(E2077, LookUP_Table!$A$1:$B$4, 2, FALSE), "")</f>
        <v>Primary</v>
      </c>
      <c r="H2077">
        <v>1</v>
      </c>
      <c r="I2077">
        <v>30</v>
      </c>
      <c r="J2077" t="str">
        <f t="shared" si="192"/>
        <v>Smoker</v>
      </c>
      <c r="K2077">
        <v>0</v>
      </c>
      <c r="L2077">
        <v>0</v>
      </c>
      <c r="M2077">
        <v>1</v>
      </c>
      <c r="N2077">
        <v>0</v>
      </c>
      <c r="O2077">
        <v>215</v>
      </c>
      <c r="P2077" t="str">
        <f t="shared" si="193"/>
        <v>Normal</v>
      </c>
      <c r="Q2077">
        <v>133</v>
      </c>
      <c r="R2077">
        <v>90</v>
      </c>
      <c r="S2077">
        <v>27.24</v>
      </c>
      <c r="T2077" t="str">
        <f t="shared" si="194"/>
        <v>Overweight</v>
      </c>
      <c r="U2077">
        <v>75</v>
      </c>
      <c r="V2077">
        <v>50</v>
      </c>
      <c r="W2077" t="str">
        <f t="shared" si="197"/>
        <v>Normal</v>
      </c>
      <c r="X2077">
        <v>1</v>
      </c>
    </row>
    <row r="2078" spans="1:24" ht="14.5" thickBot="1" x14ac:dyDescent="0.35">
      <c r="A2078">
        <v>0</v>
      </c>
      <c r="B2078" t="str">
        <f t="shared" si="195"/>
        <v>Female</v>
      </c>
      <c r="C2078" s="8">
        <v>48</v>
      </c>
      <c r="D2078" t="str">
        <f t="shared" si="196"/>
        <v>Middle Age</v>
      </c>
      <c r="E2078">
        <v>3</v>
      </c>
      <c r="F2078" t="str">
        <f>HLOOKUP(E2078, LookUP_Table!$A$6:$D$7, 2, FALSE)</f>
        <v>Graduate</v>
      </c>
      <c r="G2078" t="str">
        <f>IFERROR(VLOOKUP(E2078, LookUP_Table!$A$1:$B$4, 2, FALSE), "")</f>
        <v>Graduate</v>
      </c>
      <c r="H2078">
        <v>0</v>
      </c>
      <c r="I2078">
        <v>0</v>
      </c>
      <c r="J2078" t="str">
        <f t="shared" si="192"/>
        <v>Non-Smoker</v>
      </c>
      <c r="K2078">
        <v>0</v>
      </c>
      <c r="L2078">
        <v>0</v>
      </c>
      <c r="M2078">
        <v>0</v>
      </c>
      <c r="N2078">
        <v>0</v>
      </c>
      <c r="O2078">
        <v>193</v>
      </c>
      <c r="P2078" t="str">
        <f t="shared" si="193"/>
        <v>Normal</v>
      </c>
      <c r="Q2078">
        <v>127</v>
      </c>
      <c r="R2078">
        <v>81</v>
      </c>
      <c r="S2078">
        <v>25.85</v>
      </c>
      <c r="T2078" t="str">
        <f t="shared" si="194"/>
        <v>Overweight</v>
      </c>
      <c r="U2078">
        <v>58</v>
      </c>
      <c r="V2078">
        <v>70</v>
      </c>
      <c r="W2078" t="str">
        <f t="shared" si="197"/>
        <v>Normal</v>
      </c>
      <c r="X2078">
        <v>0</v>
      </c>
    </row>
    <row r="2079" spans="1:24" ht="14.5" thickBot="1" x14ac:dyDescent="0.35">
      <c r="A2079">
        <v>0</v>
      </c>
      <c r="B2079" t="str">
        <f t="shared" si="195"/>
        <v>Female</v>
      </c>
      <c r="C2079" s="8">
        <v>48</v>
      </c>
      <c r="D2079" t="str">
        <f t="shared" si="196"/>
        <v>Middle Age</v>
      </c>
      <c r="E2079">
        <v>2</v>
      </c>
      <c r="F2079" t="str">
        <f>HLOOKUP(E2079, LookUP_Table!$A$6:$D$7, 2, FALSE)</f>
        <v>Secondary</v>
      </c>
      <c r="G2079" t="str">
        <f>IFERROR(VLOOKUP(E2079, LookUP_Table!$A$1:$B$4, 2, FALSE), "")</f>
        <v>Secondary</v>
      </c>
      <c r="H2079">
        <v>0</v>
      </c>
      <c r="I2079">
        <v>0</v>
      </c>
      <c r="J2079" t="str">
        <f t="shared" si="192"/>
        <v>Non-Smoker</v>
      </c>
      <c r="K2079">
        <v>0</v>
      </c>
      <c r="L2079">
        <v>0</v>
      </c>
      <c r="M2079">
        <v>1</v>
      </c>
      <c r="N2079">
        <v>0</v>
      </c>
      <c r="O2079">
        <v>224</v>
      </c>
      <c r="P2079" t="str">
        <f t="shared" si="193"/>
        <v>Normal</v>
      </c>
      <c r="Q2079">
        <v>192.5</v>
      </c>
      <c r="R2079">
        <v>115</v>
      </c>
      <c r="S2079">
        <v>23.03</v>
      </c>
      <c r="T2079" t="str">
        <f t="shared" si="194"/>
        <v>Normal</v>
      </c>
      <c r="U2079">
        <v>67</v>
      </c>
      <c r="V2079">
        <v>85</v>
      </c>
      <c r="W2079" t="str">
        <f t="shared" si="197"/>
        <v>Normal</v>
      </c>
      <c r="X2079">
        <v>1</v>
      </c>
    </row>
    <row r="2080" spans="1:24" ht="14.5" thickBot="1" x14ac:dyDescent="0.35">
      <c r="A2080">
        <v>0</v>
      </c>
      <c r="B2080" t="str">
        <f t="shared" si="195"/>
        <v>Female</v>
      </c>
      <c r="C2080" s="8">
        <v>48</v>
      </c>
      <c r="D2080" t="str">
        <f t="shared" si="196"/>
        <v>Middle Age</v>
      </c>
      <c r="E2080">
        <v>1</v>
      </c>
      <c r="F2080" t="str">
        <f>HLOOKUP(E2080, LookUP_Table!$A$6:$D$7, 2, FALSE)</f>
        <v>Primary</v>
      </c>
      <c r="G2080" t="str">
        <f>IFERROR(VLOOKUP(E2080, LookUP_Table!$A$1:$B$4, 2, FALSE), "")</f>
        <v>Primary</v>
      </c>
      <c r="H2080">
        <v>0</v>
      </c>
      <c r="I2080">
        <v>0</v>
      </c>
      <c r="J2080" t="str">
        <f t="shared" si="192"/>
        <v>Non-Smoker</v>
      </c>
      <c r="K2080">
        <v>0</v>
      </c>
      <c r="L2080">
        <v>0</v>
      </c>
      <c r="M2080">
        <v>0</v>
      </c>
      <c r="N2080">
        <v>0</v>
      </c>
      <c r="O2080">
        <v>287</v>
      </c>
      <c r="P2080" t="str">
        <f t="shared" si="193"/>
        <v>High</v>
      </c>
      <c r="Q2080">
        <v>155</v>
      </c>
      <c r="R2080">
        <v>80</v>
      </c>
      <c r="S2080">
        <v>28.54</v>
      </c>
      <c r="T2080" t="str">
        <f t="shared" si="194"/>
        <v>Overweight</v>
      </c>
      <c r="U2080">
        <v>75</v>
      </c>
      <c r="V2080">
        <v>75</v>
      </c>
      <c r="W2080" t="str">
        <f t="shared" si="197"/>
        <v>Normal</v>
      </c>
      <c r="X2080">
        <v>0</v>
      </c>
    </row>
    <row r="2081" spans="1:24" ht="14.5" thickBot="1" x14ac:dyDescent="0.35">
      <c r="A2081">
        <v>1</v>
      </c>
      <c r="B2081" t="str">
        <f t="shared" si="195"/>
        <v>Male</v>
      </c>
      <c r="C2081" s="8">
        <v>48</v>
      </c>
      <c r="D2081" t="str">
        <f t="shared" si="196"/>
        <v>Middle Age</v>
      </c>
      <c r="E2081">
        <v>4</v>
      </c>
      <c r="F2081" t="str">
        <f>HLOOKUP(E2081, LookUP_Table!$A$6:$D$7, 2, FALSE)</f>
        <v>Post Graduate</v>
      </c>
      <c r="G2081" t="str">
        <f>IFERROR(VLOOKUP(E2081, LookUP_Table!$A$1:$B$4, 2, FALSE), "")</f>
        <v>Post Graduate</v>
      </c>
      <c r="H2081">
        <v>0</v>
      </c>
      <c r="I2081">
        <v>0</v>
      </c>
      <c r="J2081" t="str">
        <f t="shared" si="192"/>
        <v>Non-Smoker</v>
      </c>
      <c r="K2081">
        <v>0</v>
      </c>
      <c r="L2081">
        <v>0</v>
      </c>
      <c r="M2081">
        <v>0</v>
      </c>
      <c r="N2081">
        <v>0</v>
      </c>
      <c r="O2081">
        <v>206</v>
      </c>
      <c r="P2081" t="str">
        <f t="shared" si="193"/>
        <v>Normal</v>
      </c>
      <c r="Q2081">
        <v>118</v>
      </c>
      <c r="R2081">
        <v>81</v>
      </c>
      <c r="S2081">
        <v>28.13</v>
      </c>
      <c r="T2081" t="str">
        <f t="shared" si="194"/>
        <v>Overweight</v>
      </c>
      <c r="U2081">
        <v>72</v>
      </c>
      <c r="V2081">
        <v>87</v>
      </c>
      <c r="W2081" t="str">
        <f t="shared" si="197"/>
        <v>Normal</v>
      </c>
      <c r="X2081">
        <v>0</v>
      </c>
    </row>
    <row r="2082" spans="1:24" ht="14.5" thickBot="1" x14ac:dyDescent="0.35">
      <c r="A2082">
        <v>0</v>
      </c>
      <c r="B2082" t="str">
        <f t="shared" si="195"/>
        <v>Female</v>
      </c>
      <c r="C2082" s="8">
        <v>48</v>
      </c>
      <c r="D2082" t="str">
        <f t="shared" si="196"/>
        <v>Middle Age</v>
      </c>
      <c r="E2082">
        <v>1</v>
      </c>
      <c r="F2082" t="str">
        <f>HLOOKUP(E2082, LookUP_Table!$A$6:$D$7, 2, FALSE)</f>
        <v>Primary</v>
      </c>
      <c r="G2082" t="str">
        <f>IFERROR(VLOOKUP(E2082, LookUP_Table!$A$1:$B$4, 2, FALSE), "")</f>
        <v>Primary</v>
      </c>
      <c r="H2082">
        <v>1</v>
      </c>
      <c r="I2082">
        <v>20</v>
      </c>
      <c r="J2082" t="str">
        <f t="shared" si="192"/>
        <v>Smoker</v>
      </c>
      <c r="K2082">
        <v>0</v>
      </c>
      <c r="L2082">
        <v>0</v>
      </c>
      <c r="M2082">
        <v>0</v>
      </c>
      <c r="N2082">
        <v>0</v>
      </c>
      <c r="O2082">
        <v>202</v>
      </c>
      <c r="P2082" t="str">
        <f t="shared" si="193"/>
        <v>Normal</v>
      </c>
      <c r="Q2082">
        <v>128</v>
      </c>
      <c r="R2082">
        <v>74</v>
      </c>
      <c r="S2082">
        <v>25.11</v>
      </c>
      <c r="T2082" t="str">
        <f t="shared" si="194"/>
        <v>Overweight</v>
      </c>
      <c r="U2082">
        <v>80</v>
      </c>
      <c r="V2082">
        <v>75</v>
      </c>
      <c r="W2082" t="str">
        <f t="shared" si="197"/>
        <v>Normal</v>
      </c>
      <c r="X2082">
        <v>0</v>
      </c>
    </row>
    <row r="2083" spans="1:24" ht="14.5" thickBot="1" x14ac:dyDescent="0.35">
      <c r="A2083">
        <v>1</v>
      </c>
      <c r="B2083" t="str">
        <f t="shared" si="195"/>
        <v>Male</v>
      </c>
      <c r="C2083" s="8">
        <v>48</v>
      </c>
      <c r="D2083" t="str">
        <f t="shared" si="196"/>
        <v>Middle Age</v>
      </c>
      <c r="E2083">
        <v>2</v>
      </c>
      <c r="F2083" t="str">
        <f>HLOOKUP(E2083, LookUP_Table!$A$6:$D$7, 2, FALSE)</f>
        <v>Secondary</v>
      </c>
      <c r="G2083" t="str">
        <f>IFERROR(VLOOKUP(E2083, LookUP_Table!$A$1:$B$4, 2, FALSE), "")</f>
        <v>Secondary</v>
      </c>
      <c r="H2083">
        <v>1</v>
      </c>
      <c r="I2083">
        <v>43</v>
      </c>
      <c r="J2083" t="str">
        <f t="shared" si="192"/>
        <v>Smoker</v>
      </c>
      <c r="K2083">
        <v>0</v>
      </c>
      <c r="L2083">
        <v>0</v>
      </c>
      <c r="M2083">
        <v>1</v>
      </c>
      <c r="N2083">
        <v>0</v>
      </c>
      <c r="O2083">
        <v>209</v>
      </c>
      <c r="P2083" t="str">
        <f t="shared" si="193"/>
        <v>Normal</v>
      </c>
      <c r="Q2083">
        <v>144</v>
      </c>
      <c r="R2083">
        <v>88</v>
      </c>
      <c r="S2083">
        <v>29.11</v>
      </c>
      <c r="T2083" t="str">
        <f t="shared" si="194"/>
        <v>Overweight</v>
      </c>
      <c r="U2083">
        <v>84</v>
      </c>
      <c r="V2083">
        <v>60</v>
      </c>
      <c r="W2083" t="str">
        <f t="shared" si="197"/>
        <v>Normal</v>
      </c>
      <c r="X2083">
        <v>0</v>
      </c>
    </row>
    <row r="2084" spans="1:24" ht="14.5" thickBot="1" x14ac:dyDescent="0.35">
      <c r="A2084">
        <v>1</v>
      </c>
      <c r="B2084" t="str">
        <f t="shared" si="195"/>
        <v>Male</v>
      </c>
      <c r="C2084" s="8">
        <v>48</v>
      </c>
      <c r="D2084" t="str">
        <f t="shared" si="196"/>
        <v>Middle Age</v>
      </c>
      <c r="E2084">
        <v>2</v>
      </c>
      <c r="F2084" t="str">
        <f>HLOOKUP(E2084, LookUP_Table!$A$6:$D$7, 2, FALSE)</f>
        <v>Secondary</v>
      </c>
      <c r="G2084" t="str">
        <f>IFERROR(VLOOKUP(E2084, LookUP_Table!$A$1:$B$4, 2, FALSE), "")</f>
        <v>Secondary</v>
      </c>
      <c r="H2084">
        <v>0</v>
      </c>
      <c r="I2084">
        <v>0</v>
      </c>
      <c r="J2084" t="str">
        <f t="shared" si="192"/>
        <v>Non-Smoker</v>
      </c>
      <c r="K2084">
        <v>0</v>
      </c>
      <c r="L2084">
        <v>0</v>
      </c>
      <c r="M2084">
        <v>0</v>
      </c>
      <c r="N2084">
        <v>0</v>
      </c>
      <c r="O2084">
        <v>193</v>
      </c>
      <c r="P2084" t="str">
        <f t="shared" si="193"/>
        <v>Normal</v>
      </c>
      <c r="Q2084">
        <v>141</v>
      </c>
      <c r="R2084">
        <v>95</v>
      </c>
      <c r="S2084">
        <v>27.89</v>
      </c>
      <c r="T2084" t="str">
        <f t="shared" si="194"/>
        <v>Overweight</v>
      </c>
      <c r="U2084">
        <v>75</v>
      </c>
      <c r="V2084">
        <v>84</v>
      </c>
      <c r="W2084" t="str">
        <f t="shared" si="197"/>
        <v>Normal</v>
      </c>
      <c r="X2084">
        <v>1</v>
      </c>
    </row>
    <row r="2085" spans="1:24" ht="14.5" thickBot="1" x14ac:dyDescent="0.35">
      <c r="A2085">
        <v>1</v>
      </c>
      <c r="B2085" t="str">
        <f t="shared" si="195"/>
        <v>Male</v>
      </c>
      <c r="C2085" s="8">
        <v>48</v>
      </c>
      <c r="D2085" t="str">
        <f t="shared" si="196"/>
        <v>Middle Age</v>
      </c>
      <c r="E2085">
        <v>1</v>
      </c>
      <c r="F2085" t="str">
        <f>HLOOKUP(E2085, LookUP_Table!$A$6:$D$7, 2, FALSE)</f>
        <v>Primary</v>
      </c>
      <c r="G2085" t="str">
        <f>IFERROR(VLOOKUP(E2085, LookUP_Table!$A$1:$B$4, 2, FALSE), "")</f>
        <v>Primary</v>
      </c>
      <c r="H2085">
        <v>0</v>
      </c>
      <c r="I2085">
        <v>0</v>
      </c>
      <c r="J2085" t="str">
        <f t="shared" si="192"/>
        <v>Non-Smoker</v>
      </c>
      <c r="K2085">
        <v>0</v>
      </c>
      <c r="L2085">
        <v>0</v>
      </c>
      <c r="M2085">
        <v>0</v>
      </c>
      <c r="N2085">
        <v>0</v>
      </c>
      <c r="O2085">
        <v>204</v>
      </c>
      <c r="P2085" t="str">
        <f t="shared" si="193"/>
        <v>Normal</v>
      </c>
      <c r="Q2085">
        <v>125</v>
      </c>
      <c r="R2085">
        <v>84.5</v>
      </c>
      <c r="S2085">
        <v>22.37</v>
      </c>
      <c r="T2085" t="str">
        <f t="shared" si="194"/>
        <v>Normal</v>
      </c>
      <c r="U2085">
        <v>65</v>
      </c>
      <c r="V2085">
        <v>75</v>
      </c>
      <c r="W2085" t="str">
        <f t="shared" si="197"/>
        <v>Normal</v>
      </c>
      <c r="X2085">
        <v>0</v>
      </c>
    </row>
    <row r="2086" spans="1:24" ht="14.5" thickBot="1" x14ac:dyDescent="0.35">
      <c r="A2086">
        <v>0</v>
      </c>
      <c r="B2086" t="str">
        <f t="shared" si="195"/>
        <v>Female</v>
      </c>
      <c r="C2086" s="8">
        <v>48</v>
      </c>
      <c r="D2086" t="str">
        <f t="shared" si="196"/>
        <v>Middle Age</v>
      </c>
      <c r="E2086">
        <v>2</v>
      </c>
      <c r="F2086" t="str">
        <f>HLOOKUP(E2086, LookUP_Table!$A$6:$D$7, 2, FALSE)</f>
        <v>Secondary</v>
      </c>
      <c r="G2086" t="str">
        <f>IFERROR(VLOOKUP(E2086, LookUP_Table!$A$1:$B$4, 2, FALSE), "")</f>
        <v>Secondary</v>
      </c>
      <c r="H2086">
        <v>1</v>
      </c>
      <c r="I2086">
        <v>20</v>
      </c>
      <c r="J2086" t="str">
        <f t="shared" si="192"/>
        <v>Smoker</v>
      </c>
      <c r="K2086">
        <v>0</v>
      </c>
      <c r="L2086">
        <v>0</v>
      </c>
      <c r="M2086">
        <v>0</v>
      </c>
      <c r="N2086">
        <v>0</v>
      </c>
      <c r="O2086">
        <v>248</v>
      </c>
      <c r="P2086" t="str">
        <f t="shared" si="193"/>
        <v>High</v>
      </c>
      <c r="Q2086">
        <v>131</v>
      </c>
      <c r="R2086">
        <v>72</v>
      </c>
      <c r="S2086">
        <v>22</v>
      </c>
      <c r="T2086" t="str">
        <f t="shared" si="194"/>
        <v>Normal</v>
      </c>
      <c r="U2086">
        <v>84</v>
      </c>
      <c r="V2086">
        <v>86</v>
      </c>
      <c r="W2086" t="str">
        <f t="shared" si="197"/>
        <v>Normal</v>
      </c>
      <c r="X2086">
        <v>0</v>
      </c>
    </row>
    <row r="2087" spans="1:24" ht="14.5" thickBot="1" x14ac:dyDescent="0.35">
      <c r="A2087">
        <v>0</v>
      </c>
      <c r="B2087" t="str">
        <f t="shared" si="195"/>
        <v>Female</v>
      </c>
      <c r="C2087" s="8">
        <v>49</v>
      </c>
      <c r="D2087" t="str">
        <f t="shared" si="196"/>
        <v>Middle Age</v>
      </c>
      <c r="E2087">
        <v>2</v>
      </c>
      <c r="F2087" t="str">
        <f>HLOOKUP(E2087, LookUP_Table!$A$6:$D$7, 2, FALSE)</f>
        <v>Secondary</v>
      </c>
      <c r="G2087" t="str">
        <f>IFERROR(VLOOKUP(E2087, LookUP_Table!$A$1:$B$4, 2, FALSE), "")</f>
        <v>Secondary</v>
      </c>
      <c r="H2087">
        <v>0</v>
      </c>
      <c r="I2087">
        <v>0</v>
      </c>
      <c r="J2087" t="str">
        <f t="shared" si="192"/>
        <v>Non-Smoker</v>
      </c>
      <c r="K2087">
        <v>0</v>
      </c>
      <c r="L2087">
        <v>0</v>
      </c>
      <c r="M2087">
        <v>0</v>
      </c>
      <c r="N2087">
        <v>0</v>
      </c>
      <c r="O2087">
        <v>208</v>
      </c>
      <c r="P2087" t="str">
        <f t="shared" si="193"/>
        <v>Normal</v>
      </c>
      <c r="Q2087">
        <v>96</v>
      </c>
      <c r="R2087">
        <v>63</v>
      </c>
      <c r="S2087">
        <v>20.68</v>
      </c>
      <c r="T2087" t="str">
        <f t="shared" si="194"/>
        <v>Normal</v>
      </c>
      <c r="U2087">
        <v>65</v>
      </c>
      <c r="V2087">
        <v>98</v>
      </c>
      <c r="W2087" t="str">
        <f t="shared" si="197"/>
        <v>Normal</v>
      </c>
      <c r="X2087">
        <v>0</v>
      </c>
    </row>
    <row r="2088" spans="1:24" ht="14.5" thickBot="1" x14ac:dyDescent="0.35">
      <c r="A2088">
        <v>1</v>
      </c>
      <c r="B2088" t="str">
        <f t="shared" si="195"/>
        <v>Male</v>
      </c>
      <c r="C2088" s="8">
        <v>49</v>
      </c>
      <c r="D2088" t="str">
        <f t="shared" si="196"/>
        <v>Middle Age</v>
      </c>
      <c r="E2088">
        <v>1</v>
      </c>
      <c r="F2088" t="str">
        <f>HLOOKUP(E2088, LookUP_Table!$A$6:$D$7, 2, FALSE)</f>
        <v>Primary</v>
      </c>
      <c r="G2088" t="str">
        <f>IFERROR(VLOOKUP(E2088, LookUP_Table!$A$1:$B$4, 2, FALSE), "")</f>
        <v>Primary</v>
      </c>
      <c r="H2088">
        <v>1</v>
      </c>
      <c r="I2088">
        <v>2</v>
      </c>
      <c r="J2088" t="str">
        <f t="shared" si="192"/>
        <v>Smoker</v>
      </c>
      <c r="K2088">
        <v>0</v>
      </c>
      <c r="L2088">
        <v>0</v>
      </c>
      <c r="M2088">
        <v>1</v>
      </c>
      <c r="N2088">
        <v>0</v>
      </c>
      <c r="O2088">
        <v>255</v>
      </c>
      <c r="P2088" t="str">
        <f t="shared" si="193"/>
        <v>High</v>
      </c>
      <c r="Q2088">
        <v>143.5</v>
      </c>
      <c r="R2088">
        <v>81</v>
      </c>
      <c r="S2088">
        <v>25.65</v>
      </c>
      <c r="T2088" t="str">
        <f t="shared" si="194"/>
        <v>Overweight</v>
      </c>
      <c r="U2088">
        <v>75</v>
      </c>
      <c r="V2088">
        <v>80</v>
      </c>
      <c r="W2088" t="str">
        <f t="shared" si="197"/>
        <v>Normal</v>
      </c>
      <c r="X2088">
        <v>0</v>
      </c>
    </row>
    <row r="2089" spans="1:24" ht="14.5" thickBot="1" x14ac:dyDescent="0.35">
      <c r="A2089">
        <v>1</v>
      </c>
      <c r="B2089" t="str">
        <f t="shared" si="195"/>
        <v>Male</v>
      </c>
      <c r="C2089" s="8">
        <v>49</v>
      </c>
      <c r="D2089" t="str">
        <f t="shared" si="196"/>
        <v>Middle Age</v>
      </c>
      <c r="E2089">
        <v>1</v>
      </c>
      <c r="F2089" t="str">
        <f>HLOOKUP(E2089, LookUP_Table!$A$6:$D$7, 2, FALSE)</f>
        <v>Primary</v>
      </c>
      <c r="G2089" t="str">
        <f>IFERROR(VLOOKUP(E2089, LookUP_Table!$A$1:$B$4, 2, FALSE), "")</f>
        <v>Primary</v>
      </c>
      <c r="H2089">
        <v>1</v>
      </c>
      <c r="I2089">
        <v>20</v>
      </c>
      <c r="J2089" t="str">
        <f t="shared" si="192"/>
        <v>Smoker</v>
      </c>
      <c r="K2089">
        <v>0</v>
      </c>
      <c r="L2089">
        <v>0</v>
      </c>
      <c r="M2089">
        <v>0</v>
      </c>
      <c r="N2089">
        <v>0</v>
      </c>
      <c r="O2089">
        <v>197</v>
      </c>
      <c r="P2089" t="str">
        <f t="shared" si="193"/>
        <v>Normal</v>
      </c>
      <c r="Q2089">
        <v>123</v>
      </c>
      <c r="R2089">
        <v>69</v>
      </c>
      <c r="S2089">
        <v>29.62</v>
      </c>
      <c r="T2089" t="str">
        <f t="shared" si="194"/>
        <v>Overweight</v>
      </c>
      <c r="U2089">
        <v>76</v>
      </c>
      <c r="V2089">
        <v>60</v>
      </c>
      <c r="W2089" t="str">
        <f t="shared" si="197"/>
        <v>Normal</v>
      </c>
      <c r="X2089">
        <v>0</v>
      </c>
    </row>
    <row r="2090" spans="1:24" ht="14.5" thickBot="1" x14ac:dyDescent="0.35">
      <c r="A2090">
        <v>1</v>
      </c>
      <c r="B2090" t="str">
        <f t="shared" si="195"/>
        <v>Male</v>
      </c>
      <c r="C2090" s="8">
        <v>49</v>
      </c>
      <c r="D2090" t="str">
        <f t="shared" si="196"/>
        <v>Middle Age</v>
      </c>
      <c r="E2090">
        <v>4</v>
      </c>
      <c r="F2090" t="str">
        <f>HLOOKUP(E2090, LookUP_Table!$A$6:$D$7, 2, FALSE)</f>
        <v>Post Graduate</v>
      </c>
      <c r="G2090" t="str">
        <f>IFERROR(VLOOKUP(E2090, LookUP_Table!$A$1:$B$4, 2, FALSE), "")</f>
        <v>Post Graduate</v>
      </c>
      <c r="H2090">
        <v>1</v>
      </c>
      <c r="I2090">
        <v>9</v>
      </c>
      <c r="J2090" t="str">
        <f t="shared" si="192"/>
        <v>Smoker</v>
      </c>
      <c r="K2090">
        <v>0</v>
      </c>
      <c r="L2090">
        <v>0</v>
      </c>
      <c r="M2090">
        <v>0</v>
      </c>
      <c r="N2090">
        <v>0</v>
      </c>
      <c r="O2090">
        <v>256</v>
      </c>
      <c r="P2090" t="str">
        <f t="shared" si="193"/>
        <v>High</v>
      </c>
      <c r="Q2090">
        <v>127.5</v>
      </c>
      <c r="R2090">
        <v>81.5</v>
      </c>
      <c r="S2090">
        <v>28.21</v>
      </c>
      <c r="T2090" t="str">
        <f t="shared" si="194"/>
        <v>Overweight</v>
      </c>
      <c r="U2090">
        <v>93</v>
      </c>
      <c r="V2090">
        <v>85</v>
      </c>
      <c r="W2090" t="str">
        <f t="shared" si="197"/>
        <v>Normal</v>
      </c>
      <c r="X2090">
        <v>1</v>
      </c>
    </row>
    <row r="2091" spans="1:24" ht="14.5" thickBot="1" x14ac:dyDescent="0.35">
      <c r="A2091">
        <v>0</v>
      </c>
      <c r="B2091" t="str">
        <f t="shared" si="195"/>
        <v>Female</v>
      </c>
      <c r="C2091" s="8">
        <v>49</v>
      </c>
      <c r="D2091" t="str">
        <f t="shared" si="196"/>
        <v>Middle Age</v>
      </c>
      <c r="E2091">
        <v>1</v>
      </c>
      <c r="F2091" t="str">
        <f>HLOOKUP(E2091, LookUP_Table!$A$6:$D$7, 2, FALSE)</f>
        <v>Primary</v>
      </c>
      <c r="G2091" t="str">
        <f>IFERROR(VLOOKUP(E2091, LookUP_Table!$A$1:$B$4, 2, FALSE), "")</f>
        <v>Primary</v>
      </c>
      <c r="H2091">
        <v>0</v>
      </c>
      <c r="I2091">
        <v>0</v>
      </c>
      <c r="J2091" t="str">
        <f t="shared" si="192"/>
        <v>Non-Smoker</v>
      </c>
      <c r="K2091">
        <v>0</v>
      </c>
      <c r="L2091">
        <v>0</v>
      </c>
      <c r="M2091">
        <v>1</v>
      </c>
      <c r="N2091">
        <v>0</v>
      </c>
      <c r="O2091">
        <v>265</v>
      </c>
      <c r="P2091" t="str">
        <f t="shared" si="193"/>
        <v>High</v>
      </c>
      <c r="Q2091">
        <v>150</v>
      </c>
      <c r="R2091">
        <v>77.5</v>
      </c>
      <c r="S2091">
        <v>21.83</v>
      </c>
      <c r="T2091" t="str">
        <f t="shared" si="194"/>
        <v>Normal</v>
      </c>
      <c r="U2091">
        <v>96</v>
      </c>
      <c r="V2091">
        <v>107</v>
      </c>
      <c r="W2091" t="str">
        <f t="shared" si="197"/>
        <v>Prediabetes</v>
      </c>
      <c r="X2091">
        <v>0</v>
      </c>
    </row>
    <row r="2092" spans="1:24" ht="14.5" thickBot="1" x14ac:dyDescent="0.35">
      <c r="A2092">
        <v>0</v>
      </c>
      <c r="B2092" t="str">
        <f t="shared" si="195"/>
        <v>Female</v>
      </c>
      <c r="C2092" s="8">
        <v>49</v>
      </c>
      <c r="D2092" t="str">
        <f t="shared" si="196"/>
        <v>Middle Age</v>
      </c>
      <c r="E2092">
        <v>3</v>
      </c>
      <c r="F2092" t="str">
        <f>HLOOKUP(E2092, LookUP_Table!$A$6:$D$7, 2, FALSE)</f>
        <v>Graduate</v>
      </c>
      <c r="G2092" t="str">
        <f>IFERROR(VLOOKUP(E2092, LookUP_Table!$A$1:$B$4, 2, FALSE), "")</f>
        <v>Graduate</v>
      </c>
      <c r="H2092">
        <v>0</v>
      </c>
      <c r="I2092">
        <v>0</v>
      </c>
      <c r="J2092" t="str">
        <f t="shared" si="192"/>
        <v>Non-Smoker</v>
      </c>
      <c r="K2092">
        <v>1</v>
      </c>
      <c r="L2092">
        <v>0</v>
      </c>
      <c r="M2092">
        <v>1</v>
      </c>
      <c r="N2092">
        <v>0</v>
      </c>
      <c r="O2092">
        <v>254</v>
      </c>
      <c r="P2092" t="str">
        <f t="shared" si="193"/>
        <v>High</v>
      </c>
      <c r="Q2092">
        <v>191</v>
      </c>
      <c r="R2092">
        <v>124.5</v>
      </c>
      <c r="S2092">
        <v>28.35</v>
      </c>
      <c r="T2092" t="str">
        <f t="shared" si="194"/>
        <v>Overweight</v>
      </c>
      <c r="U2092">
        <v>78</v>
      </c>
      <c r="V2092">
        <v>54</v>
      </c>
      <c r="W2092" t="str">
        <f t="shared" si="197"/>
        <v>Normal</v>
      </c>
      <c r="X2092">
        <v>0</v>
      </c>
    </row>
    <row r="2093" spans="1:24" ht="14.5" thickBot="1" x14ac:dyDescent="0.35">
      <c r="A2093">
        <v>0</v>
      </c>
      <c r="B2093" t="str">
        <f t="shared" si="195"/>
        <v>Female</v>
      </c>
      <c r="C2093" s="8">
        <v>49</v>
      </c>
      <c r="D2093" t="str">
        <f t="shared" si="196"/>
        <v>Middle Age</v>
      </c>
      <c r="E2093">
        <v>2</v>
      </c>
      <c r="F2093" t="str">
        <f>HLOOKUP(E2093, LookUP_Table!$A$6:$D$7, 2, FALSE)</f>
        <v>Secondary</v>
      </c>
      <c r="G2093" t="str">
        <f>IFERROR(VLOOKUP(E2093, LookUP_Table!$A$1:$B$4, 2, FALSE), "")</f>
        <v>Secondary</v>
      </c>
      <c r="H2093">
        <v>1</v>
      </c>
      <c r="I2093">
        <v>9</v>
      </c>
      <c r="J2093" t="str">
        <f t="shared" si="192"/>
        <v>Smoker</v>
      </c>
      <c r="K2093">
        <v>0</v>
      </c>
      <c r="L2093">
        <v>0</v>
      </c>
      <c r="M2093">
        <v>0</v>
      </c>
      <c r="N2093">
        <v>0</v>
      </c>
      <c r="O2093">
        <v>226</v>
      </c>
      <c r="P2093" t="str">
        <f t="shared" si="193"/>
        <v>Normal</v>
      </c>
      <c r="Q2093">
        <v>106</v>
      </c>
      <c r="R2093">
        <v>71</v>
      </c>
      <c r="S2093">
        <v>22.89</v>
      </c>
      <c r="T2093" t="str">
        <f t="shared" si="194"/>
        <v>Normal</v>
      </c>
      <c r="U2093">
        <v>85</v>
      </c>
      <c r="V2093">
        <v>57</v>
      </c>
      <c r="W2093" t="str">
        <f t="shared" si="197"/>
        <v>Normal</v>
      </c>
      <c r="X2093">
        <v>0</v>
      </c>
    </row>
    <row r="2094" spans="1:24" ht="14.5" thickBot="1" x14ac:dyDescent="0.35">
      <c r="A2094">
        <v>1</v>
      </c>
      <c r="B2094" t="str">
        <f t="shared" si="195"/>
        <v>Male</v>
      </c>
      <c r="C2094" s="8">
        <v>49</v>
      </c>
      <c r="D2094" t="str">
        <f t="shared" si="196"/>
        <v>Middle Age</v>
      </c>
      <c r="E2094">
        <v>1</v>
      </c>
      <c r="F2094" t="str">
        <f>HLOOKUP(E2094, LookUP_Table!$A$6:$D$7, 2, FALSE)</f>
        <v>Primary</v>
      </c>
      <c r="G2094" t="str">
        <f>IFERROR(VLOOKUP(E2094, LookUP_Table!$A$1:$B$4, 2, FALSE), "")</f>
        <v>Primary</v>
      </c>
      <c r="H2094">
        <v>1</v>
      </c>
      <c r="I2094">
        <v>30</v>
      </c>
      <c r="J2094" t="str">
        <f t="shared" si="192"/>
        <v>Smoker</v>
      </c>
      <c r="K2094">
        <v>0</v>
      </c>
      <c r="L2094">
        <v>0</v>
      </c>
      <c r="M2094">
        <v>0</v>
      </c>
      <c r="N2094">
        <v>0</v>
      </c>
      <c r="O2094">
        <v>237</v>
      </c>
      <c r="P2094" t="str">
        <f t="shared" si="193"/>
        <v>Normal</v>
      </c>
      <c r="Q2094">
        <v>114</v>
      </c>
      <c r="R2094">
        <v>85.5</v>
      </c>
      <c r="S2094">
        <v>28.57</v>
      </c>
      <c r="T2094" t="str">
        <f t="shared" si="194"/>
        <v>Overweight</v>
      </c>
      <c r="U2094">
        <v>88</v>
      </c>
      <c r="V2094">
        <v>92</v>
      </c>
      <c r="W2094" t="str">
        <f t="shared" si="197"/>
        <v>Normal</v>
      </c>
      <c r="X2094">
        <v>0</v>
      </c>
    </row>
    <row r="2095" spans="1:24" ht="14.5" thickBot="1" x14ac:dyDescent="0.35">
      <c r="A2095">
        <v>1</v>
      </c>
      <c r="B2095" t="str">
        <f t="shared" si="195"/>
        <v>Male</v>
      </c>
      <c r="C2095" s="8">
        <v>49</v>
      </c>
      <c r="D2095" t="str">
        <f t="shared" si="196"/>
        <v>Middle Age</v>
      </c>
      <c r="E2095">
        <v>1</v>
      </c>
      <c r="F2095" t="str">
        <f>HLOOKUP(E2095, LookUP_Table!$A$6:$D$7, 2, FALSE)</f>
        <v>Primary</v>
      </c>
      <c r="G2095" t="str">
        <f>IFERROR(VLOOKUP(E2095, LookUP_Table!$A$1:$B$4, 2, FALSE), "")</f>
        <v>Primary</v>
      </c>
      <c r="H2095">
        <v>1</v>
      </c>
      <c r="I2095">
        <v>20</v>
      </c>
      <c r="J2095" t="str">
        <f t="shared" si="192"/>
        <v>Smoker</v>
      </c>
      <c r="K2095">
        <v>0</v>
      </c>
      <c r="L2095">
        <v>0</v>
      </c>
      <c r="M2095">
        <v>0</v>
      </c>
      <c r="N2095">
        <v>0</v>
      </c>
      <c r="O2095">
        <v>221</v>
      </c>
      <c r="P2095" t="str">
        <f t="shared" si="193"/>
        <v>Normal</v>
      </c>
      <c r="Q2095">
        <v>101</v>
      </c>
      <c r="R2095">
        <v>61</v>
      </c>
      <c r="S2095">
        <v>23.94</v>
      </c>
      <c r="T2095" t="str">
        <f t="shared" si="194"/>
        <v>Normal</v>
      </c>
      <c r="U2095">
        <v>75</v>
      </c>
      <c r="V2095">
        <v>79</v>
      </c>
      <c r="W2095" t="str">
        <f t="shared" si="197"/>
        <v>Normal</v>
      </c>
      <c r="X2095">
        <v>0</v>
      </c>
    </row>
    <row r="2096" spans="1:24" ht="14.5" thickBot="1" x14ac:dyDescent="0.35">
      <c r="A2096">
        <v>1</v>
      </c>
      <c r="B2096" t="str">
        <f t="shared" si="195"/>
        <v>Male</v>
      </c>
      <c r="C2096" s="8">
        <v>49</v>
      </c>
      <c r="D2096" t="str">
        <f t="shared" si="196"/>
        <v>Middle Age</v>
      </c>
      <c r="E2096">
        <v>2</v>
      </c>
      <c r="F2096" t="str">
        <f>HLOOKUP(E2096, LookUP_Table!$A$6:$D$7, 2, FALSE)</f>
        <v>Secondary</v>
      </c>
      <c r="G2096" t="str">
        <f>IFERROR(VLOOKUP(E2096, LookUP_Table!$A$1:$B$4, 2, FALSE), "")</f>
        <v>Secondary</v>
      </c>
      <c r="H2096">
        <v>1</v>
      </c>
      <c r="I2096">
        <v>40</v>
      </c>
      <c r="J2096" t="str">
        <f t="shared" si="192"/>
        <v>Smoker</v>
      </c>
      <c r="K2096">
        <v>0</v>
      </c>
      <c r="L2096">
        <v>0</v>
      </c>
      <c r="M2096">
        <v>1</v>
      </c>
      <c r="N2096">
        <v>0</v>
      </c>
      <c r="O2096">
        <v>240</v>
      </c>
      <c r="P2096" t="str">
        <f t="shared" si="193"/>
        <v>Normal</v>
      </c>
      <c r="Q2096">
        <v>148</v>
      </c>
      <c r="R2096">
        <v>85</v>
      </c>
      <c r="S2096">
        <v>29.69</v>
      </c>
      <c r="T2096" t="str">
        <f t="shared" si="194"/>
        <v>Overweight</v>
      </c>
      <c r="U2096">
        <v>65</v>
      </c>
      <c r="V2096">
        <v>68</v>
      </c>
      <c r="W2096" t="str">
        <f t="shared" si="197"/>
        <v>Normal</v>
      </c>
      <c r="X2096">
        <v>0</v>
      </c>
    </row>
    <row r="2097" spans="1:24" ht="14.5" thickBot="1" x14ac:dyDescent="0.35">
      <c r="A2097">
        <v>1</v>
      </c>
      <c r="B2097" t="str">
        <f t="shared" si="195"/>
        <v>Male</v>
      </c>
      <c r="C2097" s="8">
        <v>49</v>
      </c>
      <c r="D2097" t="str">
        <f t="shared" si="196"/>
        <v>Middle Age</v>
      </c>
      <c r="E2097">
        <v>2</v>
      </c>
      <c r="F2097" t="str">
        <f>HLOOKUP(E2097, LookUP_Table!$A$6:$D$7, 2, FALSE)</f>
        <v>Secondary</v>
      </c>
      <c r="G2097" t="str">
        <f>IFERROR(VLOOKUP(E2097, LookUP_Table!$A$1:$B$4, 2, FALSE), "")</f>
        <v>Secondary</v>
      </c>
      <c r="H2097">
        <v>1</v>
      </c>
      <c r="I2097">
        <v>5</v>
      </c>
      <c r="J2097" t="str">
        <f t="shared" si="192"/>
        <v>Smoker</v>
      </c>
      <c r="K2097">
        <v>0</v>
      </c>
      <c r="L2097">
        <v>0</v>
      </c>
      <c r="M2097">
        <v>0</v>
      </c>
      <c r="N2097">
        <v>0</v>
      </c>
      <c r="O2097">
        <v>187</v>
      </c>
      <c r="P2097" t="str">
        <f t="shared" si="193"/>
        <v>Normal</v>
      </c>
      <c r="Q2097">
        <v>110</v>
      </c>
      <c r="R2097">
        <v>67</v>
      </c>
      <c r="S2097">
        <v>19.260000000000002</v>
      </c>
      <c r="T2097" t="str">
        <f t="shared" si="194"/>
        <v>Normal</v>
      </c>
      <c r="U2097">
        <v>78</v>
      </c>
      <c r="V2097">
        <v>85</v>
      </c>
      <c r="W2097" t="str">
        <f t="shared" si="197"/>
        <v>Normal</v>
      </c>
      <c r="X2097">
        <v>0</v>
      </c>
    </row>
    <row r="2098" spans="1:24" ht="14.5" thickBot="1" x14ac:dyDescent="0.35">
      <c r="A2098">
        <v>0</v>
      </c>
      <c r="B2098" t="str">
        <f t="shared" si="195"/>
        <v>Female</v>
      </c>
      <c r="C2098" s="8">
        <v>49</v>
      </c>
      <c r="D2098" t="str">
        <f t="shared" si="196"/>
        <v>Middle Age</v>
      </c>
      <c r="E2098">
        <v>1</v>
      </c>
      <c r="F2098" t="str">
        <f>HLOOKUP(E2098, LookUP_Table!$A$6:$D$7, 2, FALSE)</f>
        <v>Primary</v>
      </c>
      <c r="G2098" t="str">
        <f>IFERROR(VLOOKUP(E2098, LookUP_Table!$A$1:$B$4, 2, FALSE), "")</f>
        <v>Primary</v>
      </c>
      <c r="H2098">
        <v>0</v>
      </c>
      <c r="I2098">
        <v>0</v>
      </c>
      <c r="J2098" t="str">
        <f t="shared" si="192"/>
        <v>Non-Smoker</v>
      </c>
      <c r="K2098">
        <v>0</v>
      </c>
      <c r="L2098">
        <v>0</v>
      </c>
      <c r="M2098">
        <v>0</v>
      </c>
      <c r="N2098">
        <v>0</v>
      </c>
      <c r="O2098">
        <v>305</v>
      </c>
      <c r="P2098" t="str">
        <f t="shared" si="193"/>
        <v>High</v>
      </c>
      <c r="Q2098">
        <v>135</v>
      </c>
      <c r="R2098">
        <v>89</v>
      </c>
      <c r="S2098">
        <v>25.04</v>
      </c>
      <c r="T2098" t="str">
        <f t="shared" si="194"/>
        <v>Overweight</v>
      </c>
      <c r="U2098">
        <v>62</v>
      </c>
      <c r="V2098">
        <v>117</v>
      </c>
      <c r="W2098" t="str">
        <f t="shared" si="197"/>
        <v>Prediabetes</v>
      </c>
      <c r="X2098">
        <v>0</v>
      </c>
    </row>
    <row r="2099" spans="1:24" ht="14.5" thickBot="1" x14ac:dyDescent="0.35">
      <c r="A2099">
        <v>1</v>
      </c>
      <c r="B2099" t="str">
        <f t="shared" si="195"/>
        <v>Male</v>
      </c>
      <c r="C2099" s="8">
        <v>49</v>
      </c>
      <c r="D2099" t="str">
        <f t="shared" si="196"/>
        <v>Middle Age</v>
      </c>
      <c r="E2099">
        <v>1</v>
      </c>
      <c r="F2099" t="str">
        <f>HLOOKUP(E2099, LookUP_Table!$A$6:$D$7, 2, FALSE)</f>
        <v>Primary</v>
      </c>
      <c r="G2099" t="str">
        <f>IFERROR(VLOOKUP(E2099, LookUP_Table!$A$1:$B$4, 2, FALSE), "")</f>
        <v>Primary</v>
      </c>
      <c r="H2099">
        <v>0</v>
      </c>
      <c r="I2099">
        <v>0</v>
      </c>
      <c r="J2099" t="str">
        <f t="shared" si="192"/>
        <v>Non-Smoker</v>
      </c>
      <c r="K2099">
        <v>0</v>
      </c>
      <c r="L2099">
        <v>0</v>
      </c>
      <c r="M2099">
        <v>0</v>
      </c>
      <c r="N2099">
        <v>0</v>
      </c>
      <c r="O2099">
        <v>168</v>
      </c>
      <c r="P2099" t="str">
        <f t="shared" si="193"/>
        <v>Normal</v>
      </c>
      <c r="Q2099">
        <v>127</v>
      </c>
      <c r="R2099">
        <v>74</v>
      </c>
      <c r="S2099">
        <v>27.38</v>
      </c>
      <c r="T2099" t="str">
        <f t="shared" si="194"/>
        <v>Overweight</v>
      </c>
      <c r="U2099">
        <v>63</v>
      </c>
      <c r="V2099">
        <v>85</v>
      </c>
      <c r="W2099" t="str">
        <f t="shared" si="197"/>
        <v>Normal</v>
      </c>
      <c r="X2099">
        <v>0</v>
      </c>
    </row>
    <row r="2100" spans="1:24" ht="14.5" thickBot="1" x14ac:dyDescent="0.35">
      <c r="A2100">
        <v>1</v>
      </c>
      <c r="B2100" t="str">
        <f t="shared" si="195"/>
        <v>Male</v>
      </c>
      <c r="C2100" s="8">
        <v>49</v>
      </c>
      <c r="D2100" t="str">
        <f t="shared" si="196"/>
        <v>Middle Age</v>
      </c>
      <c r="E2100">
        <v>1</v>
      </c>
      <c r="F2100" t="str">
        <f>HLOOKUP(E2100, LookUP_Table!$A$6:$D$7, 2, FALSE)</f>
        <v>Primary</v>
      </c>
      <c r="G2100" t="str">
        <f>IFERROR(VLOOKUP(E2100, LookUP_Table!$A$1:$B$4, 2, FALSE), "")</f>
        <v>Primary</v>
      </c>
      <c r="H2100">
        <v>1</v>
      </c>
      <c r="I2100">
        <v>15</v>
      </c>
      <c r="J2100" t="str">
        <f t="shared" si="192"/>
        <v>Smoker</v>
      </c>
      <c r="K2100">
        <v>0</v>
      </c>
      <c r="L2100">
        <v>0</v>
      </c>
      <c r="M2100">
        <v>0</v>
      </c>
      <c r="N2100">
        <v>0</v>
      </c>
      <c r="O2100">
        <v>215</v>
      </c>
      <c r="P2100" t="str">
        <f t="shared" si="193"/>
        <v>Normal</v>
      </c>
      <c r="Q2100">
        <v>122.5</v>
      </c>
      <c r="R2100">
        <v>76</v>
      </c>
      <c r="S2100">
        <v>27.17</v>
      </c>
      <c r="T2100" t="str">
        <f t="shared" si="194"/>
        <v>Overweight</v>
      </c>
      <c r="U2100">
        <v>58</v>
      </c>
      <c r="V2100">
        <v>61</v>
      </c>
      <c r="W2100" t="str">
        <f t="shared" si="197"/>
        <v>Normal</v>
      </c>
      <c r="X2100">
        <v>0</v>
      </c>
    </row>
    <row r="2101" spans="1:24" ht="14.5" thickBot="1" x14ac:dyDescent="0.35">
      <c r="A2101">
        <v>0</v>
      </c>
      <c r="B2101" t="str">
        <f t="shared" si="195"/>
        <v>Female</v>
      </c>
      <c r="C2101" s="8">
        <v>49</v>
      </c>
      <c r="D2101" t="str">
        <f t="shared" si="196"/>
        <v>Middle Age</v>
      </c>
      <c r="E2101">
        <v>2</v>
      </c>
      <c r="F2101" t="str">
        <f>HLOOKUP(E2101, LookUP_Table!$A$6:$D$7, 2, FALSE)</f>
        <v>Secondary</v>
      </c>
      <c r="G2101" t="str">
        <f>IFERROR(VLOOKUP(E2101, LookUP_Table!$A$1:$B$4, 2, FALSE), "")</f>
        <v>Secondary</v>
      </c>
      <c r="H2101">
        <v>1</v>
      </c>
      <c r="I2101">
        <v>20</v>
      </c>
      <c r="J2101" t="str">
        <f t="shared" si="192"/>
        <v>Smoker</v>
      </c>
      <c r="K2101">
        <v>0</v>
      </c>
      <c r="L2101">
        <v>0</v>
      </c>
      <c r="M2101">
        <v>0</v>
      </c>
      <c r="N2101">
        <v>0</v>
      </c>
      <c r="O2101">
        <v>229</v>
      </c>
      <c r="P2101" t="str">
        <f t="shared" si="193"/>
        <v>Normal</v>
      </c>
      <c r="Q2101">
        <v>118.5</v>
      </c>
      <c r="R2101">
        <v>76.5</v>
      </c>
      <c r="S2101">
        <v>21.42</v>
      </c>
      <c r="T2101" t="str">
        <f t="shared" si="194"/>
        <v>Normal</v>
      </c>
      <c r="U2101">
        <v>76</v>
      </c>
      <c r="V2101">
        <v>81.96365524402907</v>
      </c>
      <c r="W2101" t="str">
        <f t="shared" si="197"/>
        <v>Normal</v>
      </c>
      <c r="X2101">
        <v>0</v>
      </c>
    </row>
    <row r="2102" spans="1:24" ht="14.5" thickBot="1" x14ac:dyDescent="0.35">
      <c r="A2102">
        <v>0</v>
      </c>
      <c r="B2102" t="str">
        <f t="shared" si="195"/>
        <v>Female</v>
      </c>
      <c r="C2102" s="8">
        <v>49</v>
      </c>
      <c r="D2102" t="str">
        <f t="shared" si="196"/>
        <v>Middle Age</v>
      </c>
      <c r="E2102">
        <v>3</v>
      </c>
      <c r="F2102" t="str">
        <f>HLOOKUP(E2102, LookUP_Table!$A$6:$D$7, 2, FALSE)</f>
        <v>Graduate</v>
      </c>
      <c r="G2102" t="str">
        <f>IFERROR(VLOOKUP(E2102, LookUP_Table!$A$1:$B$4, 2, FALSE), "")</f>
        <v>Graduate</v>
      </c>
      <c r="H2102">
        <v>0</v>
      </c>
      <c r="I2102">
        <v>0</v>
      </c>
      <c r="J2102" t="str">
        <f t="shared" si="192"/>
        <v>Non-Smoker</v>
      </c>
      <c r="K2102">
        <v>1</v>
      </c>
      <c r="L2102">
        <v>0</v>
      </c>
      <c r="M2102">
        <v>1</v>
      </c>
      <c r="N2102">
        <v>0</v>
      </c>
      <c r="O2102">
        <v>300</v>
      </c>
      <c r="P2102" t="str">
        <f t="shared" si="193"/>
        <v>High</v>
      </c>
      <c r="Q2102">
        <v>131</v>
      </c>
      <c r="R2102">
        <v>88</v>
      </c>
      <c r="S2102">
        <v>26.85</v>
      </c>
      <c r="T2102" t="str">
        <f t="shared" si="194"/>
        <v>Overweight</v>
      </c>
      <c r="U2102">
        <v>70</v>
      </c>
      <c r="V2102">
        <v>73</v>
      </c>
      <c r="W2102" t="str">
        <f t="shared" si="197"/>
        <v>Normal</v>
      </c>
      <c r="X2102">
        <v>1</v>
      </c>
    </row>
    <row r="2103" spans="1:24" ht="14.5" thickBot="1" x14ac:dyDescent="0.35">
      <c r="A2103">
        <v>0</v>
      </c>
      <c r="B2103" t="str">
        <f t="shared" si="195"/>
        <v>Female</v>
      </c>
      <c r="C2103" s="8">
        <v>49</v>
      </c>
      <c r="D2103" t="str">
        <f t="shared" si="196"/>
        <v>Middle Age</v>
      </c>
      <c r="E2103">
        <v>3</v>
      </c>
      <c r="F2103" t="str">
        <f>HLOOKUP(E2103, LookUP_Table!$A$6:$D$7, 2, FALSE)</f>
        <v>Graduate</v>
      </c>
      <c r="G2103" t="str">
        <f>IFERROR(VLOOKUP(E2103, LookUP_Table!$A$1:$B$4, 2, FALSE), "")</f>
        <v>Graduate</v>
      </c>
      <c r="H2103">
        <v>1</v>
      </c>
      <c r="I2103">
        <v>3</v>
      </c>
      <c r="J2103" t="str">
        <f t="shared" si="192"/>
        <v>Smoker</v>
      </c>
      <c r="K2103">
        <v>0</v>
      </c>
      <c r="L2103">
        <v>0</v>
      </c>
      <c r="M2103">
        <v>0</v>
      </c>
      <c r="N2103">
        <v>0</v>
      </c>
      <c r="O2103">
        <v>247</v>
      </c>
      <c r="P2103" t="str">
        <f t="shared" si="193"/>
        <v>High</v>
      </c>
      <c r="Q2103">
        <v>121</v>
      </c>
      <c r="R2103">
        <v>82</v>
      </c>
      <c r="S2103">
        <v>29.07</v>
      </c>
      <c r="T2103" t="str">
        <f t="shared" si="194"/>
        <v>Overweight</v>
      </c>
      <c r="U2103">
        <v>72</v>
      </c>
      <c r="V2103">
        <v>69</v>
      </c>
      <c r="W2103" t="str">
        <f t="shared" si="197"/>
        <v>Normal</v>
      </c>
      <c r="X2103">
        <v>0</v>
      </c>
    </row>
    <row r="2104" spans="1:24" ht="14.5" thickBot="1" x14ac:dyDescent="0.35">
      <c r="A2104">
        <v>0</v>
      </c>
      <c r="B2104" t="str">
        <f t="shared" si="195"/>
        <v>Female</v>
      </c>
      <c r="C2104" s="8">
        <v>49</v>
      </c>
      <c r="D2104" t="str">
        <f t="shared" si="196"/>
        <v>Middle Age</v>
      </c>
      <c r="E2104">
        <v>2</v>
      </c>
      <c r="F2104" t="str">
        <f>HLOOKUP(E2104, LookUP_Table!$A$6:$D$7, 2, FALSE)</f>
        <v>Secondary</v>
      </c>
      <c r="G2104" t="str">
        <f>IFERROR(VLOOKUP(E2104, LookUP_Table!$A$1:$B$4, 2, FALSE), "")</f>
        <v>Secondary</v>
      </c>
      <c r="H2104">
        <v>0</v>
      </c>
      <c r="I2104">
        <v>0</v>
      </c>
      <c r="J2104" t="str">
        <f t="shared" si="192"/>
        <v>Non-Smoker</v>
      </c>
      <c r="K2104">
        <v>0</v>
      </c>
      <c r="L2104">
        <v>0</v>
      </c>
      <c r="M2104">
        <v>1</v>
      </c>
      <c r="N2104">
        <v>0</v>
      </c>
      <c r="O2104">
        <v>285</v>
      </c>
      <c r="P2104" t="str">
        <f t="shared" si="193"/>
        <v>High</v>
      </c>
      <c r="Q2104">
        <v>138</v>
      </c>
      <c r="R2104">
        <v>91</v>
      </c>
      <c r="S2104">
        <v>25.94</v>
      </c>
      <c r="T2104" t="str">
        <f t="shared" si="194"/>
        <v>Overweight</v>
      </c>
      <c r="U2104">
        <v>83</v>
      </c>
      <c r="V2104">
        <v>84</v>
      </c>
      <c r="W2104" t="str">
        <f t="shared" si="197"/>
        <v>Normal</v>
      </c>
      <c r="X2104">
        <v>0</v>
      </c>
    </row>
    <row r="2105" spans="1:24" ht="14.5" thickBot="1" x14ac:dyDescent="0.35">
      <c r="A2105">
        <v>0</v>
      </c>
      <c r="B2105" t="str">
        <f t="shared" si="195"/>
        <v>Female</v>
      </c>
      <c r="C2105" s="8">
        <v>49</v>
      </c>
      <c r="D2105" t="str">
        <f t="shared" si="196"/>
        <v>Middle Age</v>
      </c>
      <c r="E2105">
        <v>1</v>
      </c>
      <c r="F2105" t="str">
        <f>HLOOKUP(E2105, LookUP_Table!$A$6:$D$7, 2, FALSE)</f>
        <v>Primary</v>
      </c>
      <c r="G2105" t="str">
        <f>IFERROR(VLOOKUP(E2105, LookUP_Table!$A$1:$B$4, 2, FALSE), "")</f>
        <v>Primary</v>
      </c>
      <c r="H2105">
        <v>0</v>
      </c>
      <c r="I2105">
        <v>0</v>
      </c>
      <c r="J2105" t="str">
        <f t="shared" si="192"/>
        <v>Non-Smoker</v>
      </c>
      <c r="K2105">
        <v>0</v>
      </c>
      <c r="L2105">
        <v>0</v>
      </c>
      <c r="M2105">
        <v>1</v>
      </c>
      <c r="N2105">
        <v>0</v>
      </c>
      <c r="O2105">
        <v>262</v>
      </c>
      <c r="P2105" t="str">
        <f t="shared" si="193"/>
        <v>High</v>
      </c>
      <c r="Q2105">
        <v>145</v>
      </c>
      <c r="R2105">
        <v>81</v>
      </c>
      <c r="S2105">
        <v>23.1</v>
      </c>
      <c r="T2105" t="str">
        <f t="shared" si="194"/>
        <v>Normal</v>
      </c>
      <c r="U2105">
        <v>75</v>
      </c>
      <c r="V2105">
        <v>83</v>
      </c>
      <c r="W2105" t="str">
        <f t="shared" si="197"/>
        <v>Normal</v>
      </c>
      <c r="X2105">
        <v>0</v>
      </c>
    </row>
    <row r="2106" spans="1:24" ht="14.5" thickBot="1" x14ac:dyDescent="0.35">
      <c r="A2106">
        <v>0</v>
      </c>
      <c r="B2106" t="str">
        <f t="shared" si="195"/>
        <v>Female</v>
      </c>
      <c r="C2106" s="8">
        <v>49</v>
      </c>
      <c r="D2106" t="str">
        <f t="shared" si="196"/>
        <v>Middle Age</v>
      </c>
      <c r="E2106">
        <v>3</v>
      </c>
      <c r="F2106" t="str">
        <f>HLOOKUP(E2106, LookUP_Table!$A$6:$D$7, 2, FALSE)</f>
        <v>Graduate</v>
      </c>
      <c r="G2106" t="str">
        <f>IFERROR(VLOOKUP(E2106, LookUP_Table!$A$1:$B$4, 2, FALSE), "")</f>
        <v>Graduate</v>
      </c>
      <c r="H2106">
        <v>1</v>
      </c>
      <c r="I2106">
        <v>1</v>
      </c>
      <c r="J2106" t="str">
        <f t="shared" si="192"/>
        <v>Smoker</v>
      </c>
      <c r="K2106">
        <v>0</v>
      </c>
      <c r="L2106">
        <v>0</v>
      </c>
      <c r="M2106">
        <v>0</v>
      </c>
      <c r="N2106">
        <v>0</v>
      </c>
      <c r="O2106">
        <v>248</v>
      </c>
      <c r="P2106" t="str">
        <f t="shared" si="193"/>
        <v>High</v>
      </c>
      <c r="Q2106">
        <v>137</v>
      </c>
      <c r="R2106">
        <v>79</v>
      </c>
      <c r="S2106">
        <v>21.6</v>
      </c>
      <c r="T2106" t="str">
        <f t="shared" si="194"/>
        <v>Normal</v>
      </c>
      <c r="U2106">
        <v>85</v>
      </c>
      <c r="V2106">
        <v>74</v>
      </c>
      <c r="W2106" t="str">
        <f t="shared" si="197"/>
        <v>Normal</v>
      </c>
      <c r="X2106">
        <v>0</v>
      </c>
    </row>
    <row r="2107" spans="1:24" ht="14.5" thickBot="1" x14ac:dyDescent="0.35">
      <c r="A2107">
        <v>1</v>
      </c>
      <c r="B2107" t="str">
        <f t="shared" si="195"/>
        <v>Male</v>
      </c>
      <c r="C2107" s="8">
        <v>49</v>
      </c>
      <c r="D2107" t="str">
        <f t="shared" si="196"/>
        <v>Middle Age</v>
      </c>
      <c r="E2107">
        <v>2</v>
      </c>
      <c r="F2107" t="str">
        <f>HLOOKUP(E2107, LookUP_Table!$A$6:$D$7, 2, FALSE)</f>
        <v>Secondary</v>
      </c>
      <c r="G2107" t="str">
        <f>IFERROR(VLOOKUP(E2107, LookUP_Table!$A$1:$B$4, 2, FALSE), "")</f>
        <v>Secondary</v>
      </c>
      <c r="H2107">
        <v>1</v>
      </c>
      <c r="I2107">
        <v>20</v>
      </c>
      <c r="J2107" t="str">
        <f t="shared" si="192"/>
        <v>Smoker</v>
      </c>
      <c r="K2107">
        <v>0</v>
      </c>
      <c r="L2107">
        <v>0</v>
      </c>
      <c r="M2107">
        <v>1</v>
      </c>
      <c r="N2107">
        <v>0</v>
      </c>
      <c r="O2107">
        <v>212</v>
      </c>
      <c r="P2107" t="str">
        <f t="shared" si="193"/>
        <v>Normal</v>
      </c>
      <c r="Q2107">
        <v>141</v>
      </c>
      <c r="R2107">
        <v>99</v>
      </c>
      <c r="S2107">
        <v>25.94</v>
      </c>
      <c r="T2107" t="str">
        <f t="shared" si="194"/>
        <v>Overweight</v>
      </c>
      <c r="U2107">
        <v>60</v>
      </c>
      <c r="V2107">
        <v>70</v>
      </c>
      <c r="W2107" t="str">
        <f t="shared" si="197"/>
        <v>Normal</v>
      </c>
      <c r="X2107">
        <v>0</v>
      </c>
    </row>
    <row r="2108" spans="1:24" ht="14.5" thickBot="1" x14ac:dyDescent="0.35">
      <c r="A2108">
        <v>1</v>
      </c>
      <c r="B2108" t="str">
        <f t="shared" si="195"/>
        <v>Male</v>
      </c>
      <c r="C2108" s="8">
        <v>49</v>
      </c>
      <c r="D2108" t="str">
        <f t="shared" si="196"/>
        <v>Middle Age</v>
      </c>
      <c r="E2108">
        <v>4</v>
      </c>
      <c r="F2108" t="str">
        <f>HLOOKUP(E2108, LookUP_Table!$A$6:$D$7, 2, FALSE)</f>
        <v>Post Graduate</v>
      </c>
      <c r="G2108" t="str">
        <f>IFERROR(VLOOKUP(E2108, LookUP_Table!$A$1:$B$4, 2, FALSE), "")</f>
        <v>Post Graduate</v>
      </c>
      <c r="H2108">
        <v>0</v>
      </c>
      <c r="I2108">
        <v>0</v>
      </c>
      <c r="J2108" t="str">
        <f t="shared" si="192"/>
        <v>Non-Smoker</v>
      </c>
      <c r="K2108">
        <v>1</v>
      </c>
      <c r="L2108">
        <v>0</v>
      </c>
      <c r="M2108">
        <v>1</v>
      </c>
      <c r="N2108">
        <v>0</v>
      </c>
      <c r="O2108">
        <v>215</v>
      </c>
      <c r="P2108" t="str">
        <f t="shared" si="193"/>
        <v>Normal</v>
      </c>
      <c r="Q2108">
        <v>183</v>
      </c>
      <c r="R2108">
        <v>114.5</v>
      </c>
      <c r="S2108">
        <v>29.25</v>
      </c>
      <c r="T2108" t="str">
        <f t="shared" si="194"/>
        <v>Overweight</v>
      </c>
      <c r="U2108">
        <v>85</v>
      </c>
      <c r="V2108">
        <v>90</v>
      </c>
      <c r="W2108" t="str">
        <f t="shared" si="197"/>
        <v>Normal</v>
      </c>
      <c r="X2108">
        <v>1</v>
      </c>
    </row>
    <row r="2109" spans="1:24" ht="14.5" thickBot="1" x14ac:dyDescent="0.35">
      <c r="A2109">
        <v>1</v>
      </c>
      <c r="B2109" t="str">
        <f t="shared" si="195"/>
        <v>Male</v>
      </c>
      <c r="C2109" s="8">
        <v>49</v>
      </c>
      <c r="D2109" t="str">
        <f t="shared" si="196"/>
        <v>Middle Age</v>
      </c>
      <c r="E2109">
        <v>4</v>
      </c>
      <c r="F2109" t="str">
        <f>HLOOKUP(E2109, LookUP_Table!$A$6:$D$7, 2, FALSE)</f>
        <v>Post Graduate</v>
      </c>
      <c r="G2109" t="str">
        <f>IFERROR(VLOOKUP(E2109, LookUP_Table!$A$1:$B$4, 2, FALSE), "")</f>
        <v>Post Graduate</v>
      </c>
      <c r="H2109">
        <v>1</v>
      </c>
      <c r="I2109">
        <v>40</v>
      </c>
      <c r="J2109" t="str">
        <f t="shared" si="192"/>
        <v>Smoker</v>
      </c>
      <c r="K2109">
        <v>0</v>
      </c>
      <c r="L2109">
        <v>0</v>
      </c>
      <c r="M2109">
        <v>0</v>
      </c>
      <c r="N2109">
        <v>0</v>
      </c>
      <c r="O2109">
        <v>222</v>
      </c>
      <c r="P2109" t="str">
        <f t="shared" si="193"/>
        <v>Normal</v>
      </c>
      <c r="Q2109">
        <v>118.5</v>
      </c>
      <c r="R2109">
        <v>82</v>
      </c>
      <c r="S2109">
        <v>28.47</v>
      </c>
      <c r="T2109" t="str">
        <f t="shared" si="194"/>
        <v>Overweight</v>
      </c>
      <c r="U2109">
        <v>88</v>
      </c>
      <c r="V2109">
        <v>87</v>
      </c>
      <c r="W2109" t="str">
        <f t="shared" si="197"/>
        <v>Normal</v>
      </c>
      <c r="X2109">
        <v>0</v>
      </c>
    </row>
    <row r="2110" spans="1:24" ht="14.5" thickBot="1" x14ac:dyDescent="0.35">
      <c r="A2110">
        <v>1</v>
      </c>
      <c r="B2110" t="str">
        <f t="shared" si="195"/>
        <v>Male</v>
      </c>
      <c r="C2110" s="8">
        <v>49</v>
      </c>
      <c r="D2110" t="str">
        <f t="shared" si="196"/>
        <v>Middle Age</v>
      </c>
      <c r="E2110">
        <v>3</v>
      </c>
      <c r="F2110" t="str">
        <f>HLOOKUP(E2110, LookUP_Table!$A$6:$D$7, 2, FALSE)</f>
        <v>Graduate</v>
      </c>
      <c r="G2110" t="str">
        <f>IFERROR(VLOOKUP(E2110, LookUP_Table!$A$1:$B$4, 2, FALSE), "")</f>
        <v>Graduate</v>
      </c>
      <c r="H2110">
        <v>1</v>
      </c>
      <c r="I2110">
        <v>3</v>
      </c>
      <c r="J2110" t="str">
        <f t="shared" si="192"/>
        <v>Smoker</v>
      </c>
      <c r="K2110">
        <v>0</v>
      </c>
      <c r="L2110">
        <v>0</v>
      </c>
      <c r="M2110">
        <v>0</v>
      </c>
      <c r="N2110">
        <v>0</v>
      </c>
      <c r="O2110">
        <v>219</v>
      </c>
      <c r="P2110" t="str">
        <f t="shared" si="193"/>
        <v>Normal</v>
      </c>
      <c r="Q2110">
        <v>130</v>
      </c>
      <c r="R2110">
        <v>82</v>
      </c>
      <c r="S2110">
        <v>24.35</v>
      </c>
      <c r="T2110" t="str">
        <f t="shared" si="194"/>
        <v>Normal</v>
      </c>
      <c r="U2110">
        <v>60</v>
      </c>
      <c r="V2110">
        <v>65</v>
      </c>
      <c r="W2110" t="str">
        <f t="shared" si="197"/>
        <v>Normal</v>
      </c>
      <c r="X2110">
        <v>0</v>
      </c>
    </row>
    <row r="2111" spans="1:24" ht="14.5" thickBot="1" x14ac:dyDescent="0.35">
      <c r="A2111">
        <v>1</v>
      </c>
      <c r="B2111" t="str">
        <f t="shared" si="195"/>
        <v>Male</v>
      </c>
      <c r="C2111" s="8">
        <v>49</v>
      </c>
      <c r="D2111" t="str">
        <f t="shared" si="196"/>
        <v>Middle Age</v>
      </c>
      <c r="E2111">
        <v>2</v>
      </c>
      <c r="F2111" t="str">
        <f>HLOOKUP(E2111, LookUP_Table!$A$6:$D$7, 2, FALSE)</f>
        <v>Secondary</v>
      </c>
      <c r="G2111" t="str">
        <f>IFERROR(VLOOKUP(E2111, LookUP_Table!$A$1:$B$4, 2, FALSE), "")</f>
        <v>Secondary</v>
      </c>
      <c r="H2111">
        <v>1</v>
      </c>
      <c r="I2111">
        <v>5</v>
      </c>
      <c r="J2111" t="str">
        <f t="shared" si="192"/>
        <v>Smoker</v>
      </c>
      <c r="K2111">
        <v>0</v>
      </c>
      <c r="L2111">
        <v>0</v>
      </c>
      <c r="M2111">
        <v>0</v>
      </c>
      <c r="N2111">
        <v>0</v>
      </c>
      <c r="O2111">
        <v>260</v>
      </c>
      <c r="P2111" t="str">
        <f t="shared" si="193"/>
        <v>High</v>
      </c>
      <c r="Q2111">
        <v>111</v>
      </c>
      <c r="R2111">
        <v>70</v>
      </c>
      <c r="S2111">
        <v>24.24</v>
      </c>
      <c r="T2111" t="str">
        <f t="shared" si="194"/>
        <v>Normal</v>
      </c>
      <c r="U2111">
        <v>75</v>
      </c>
      <c r="V2111">
        <v>87</v>
      </c>
      <c r="W2111" t="str">
        <f t="shared" si="197"/>
        <v>Normal</v>
      </c>
      <c r="X2111">
        <v>0</v>
      </c>
    </row>
    <row r="2112" spans="1:24" ht="14.5" thickBot="1" x14ac:dyDescent="0.35">
      <c r="A2112">
        <v>1</v>
      </c>
      <c r="B2112" t="str">
        <f t="shared" si="195"/>
        <v>Male</v>
      </c>
      <c r="C2112" s="8">
        <v>49</v>
      </c>
      <c r="D2112" t="str">
        <f t="shared" si="196"/>
        <v>Middle Age</v>
      </c>
      <c r="E2112">
        <v>4</v>
      </c>
      <c r="F2112" t="str">
        <f>HLOOKUP(E2112, LookUP_Table!$A$6:$D$7, 2, FALSE)</f>
        <v>Post Graduate</v>
      </c>
      <c r="G2112" t="str">
        <f>IFERROR(VLOOKUP(E2112, LookUP_Table!$A$1:$B$4, 2, FALSE), "")</f>
        <v>Post Graduate</v>
      </c>
      <c r="H2112">
        <v>1</v>
      </c>
      <c r="I2112">
        <v>30</v>
      </c>
      <c r="J2112" t="str">
        <f t="shared" si="192"/>
        <v>Smoker</v>
      </c>
      <c r="K2112">
        <v>0</v>
      </c>
      <c r="L2112">
        <v>0</v>
      </c>
      <c r="M2112">
        <v>1</v>
      </c>
      <c r="N2112">
        <v>0</v>
      </c>
      <c r="O2112">
        <v>240</v>
      </c>
      <c r="P2112" t="str">
        <f t="shared" si="193"/>
        <v>Normal</v>
      </c>
      <c r="Q2112">
        <v>137</v>
      </c>
      <c r="R2112">
        <v>96.5</v>
      </c>
      <c r="S2112">
        <v>23.38</v>
      </c>
      <c r="T2112" t="str">
        <f t="shared" si="194"/>
        <v>Normal</v>
      </c>
      <c r="U2112">
        <v>75</v>
      </c>
      <c r="V2112">
        <v>118</v>
      </c>
      <c r="W2112" t="str">
        <f t="shared" si="197"/>
        <v>Prediabetes</v>
      </c>
      <c r="X2112">
        <v>0</v>
      </c>
    </row>
    <row r="2113" spans="1:24" ht="14.5" thickBot="1" x14ac:dyDescent="0.35">
      <c r="A2113">
        <v>1</v>
      </c>
      <c r="B2113" t="str">
        <f t="shared" si="195"/>
        <v>Male</v>
      </c>
      <c r="C2113" s="8">
        <v>49</v>
      </c>
      <c r="D2113" t="str">
        <f t="shared" si="196"/>
        <v>Middle Age</v>
      </c>
      <c r="E2113">
        <v>1</v>
      </c>
      <c r="F2113" t="str">
        <f>HLOOKUP(E2113, LookUP_Table!$A$6:$D$7, 2, FALSE)</f>
        <v>Primary</v>
      </c>
      <c r="G2113" t="str">
        <f>IFERROR(VLOOKUP(E2113, LookUP_Table!$A$1:$B$4, 2, FALSE), "")</f>
        <v>Primary</v>
      </c>
      <c r="H2113">
        <v>1</v>
      </c>
      <c r="I2113">
        <v>30</v>
      </c>
      <c r="J2113" t="str">
        <f t="shared" si="192"/>
        <v>Smoker</v>
      </c>
      <c r="K2113">
        <v>0</v>
      </c>
      <c r="L2113">
        <v>0</v>
      </c>
      <c r="M2113">
        <v>0</v>
      </c>
      <c r="N2113">
        <v>0</v>
      </c>
      <c r="O2113">
        <v>238</v>
      </c>
      <c r="P2113" t="str">
        <f t="shared" si="193"/>
        <v>Normal</v>
      </c>
      <c r="Q2113">
        <v>118</v>
      </c>
      <c r="R2113">
        <v>66</v>
      </c>
      <c r="S2113">
        <v>26.91</v>
      </c>
      <c r="T2113" t="str">
        <f t="shared" si="194"/>
        <v>Overweight</v>
      </c>
      <c r="U2113">
        <v>90</v>
      </c>
      <c r="V2113">
        <v>82</v>
      </c>
      <c r="W2113" t="str">
        <f t="shared" si="197"/>
        <v>Normal</v>
      </c>
      <c r="X2113">
        <v>0</v>
      </c>
    </row>
    <row r="2114" spans="1:24" ht="14.5" thickBot="1" x14ac:dyDescent="0.35">
      <c r="A2114">
        <v>1</v>
      </c>
      <c r="B2114" t="str">
        <f t="shared" si="195"/>
        <v>Male</v>
      </c>
      <c r="C2114" s="8">
        <v>49</v>
      </c>
      <c r="D2114" t="str">
        <f t="shared" si="196"/>
        <v>Middle Age</v>
      </c>
      <c r="E2114">
        <v>4</v>
      </c>
      <c r="F2114" t="str">
        <f>HLOOKUP(E2114, LookUP_Table!$A$6:$D$7, 2, FALSE)</f>
        <v>Post Graduate</v>
      </c>
      <c r="G2114" t="str">
        <f>IFERROR(VLOOKUP(E2114, LookUP_Table!$A$1:$B$4, 2, FALSE), "")</f>
        <v>Post Graduate</v>
      </c>
      <c r="H2114">
        <v>0</v>
      </c>
      <c r="I2114">
        <v>0</v>
      </c>
      <c r="J2114" t="str">
        <f t="shared" ref="J2114:J2177" si="198">IF(I2114&gt;0,"Smoker","Non-Smoker")</f>
        <v>Non-Smoker</v>
      </c>
      <c r="K2114">
        <v>0</v>
      </c>
      <c r="L2114">
        <v>0</v>
      </c>
      <c r="M2114">
        <v>0</v>
      </c>
      <c r="N2114">
        <v>0</v>
      </c>
      <c r="O2114">
        <v>264</v>
      </c>
      <c r="P2114" t="str">
        <f t="shared" ref="P2114:P2177" si="199">IF(O2114&gt;240,"High","Normal")</f>
        <v>High</v>
      </c>
      <c r="Q2114">
        <v>127.5</v>
      </c>
      <c r="R2114">
        <v>81</v>
      </c>
      <c r="S2114">
        <v>25.16</v>
      </c>
      <c r="T2114" t="str">
        <f t="shared" ref="T2114:T2177" si="200">IF(S2114&lt;18.5,"Underweight",
IF(S2114&lt;25,"Normal",
IF(S2114&lt;30,"Overweight","Obese")))</f>
        <v>Overweight</v>
      </c>
      <c r="U2114">
        <v>76</v>
      </c>
      <c r="V2114">
        <v>70</v>
      </c>
      <c r="W2114" t="str">
        <f t="shared" si="197"/>
        <v>Normal</v>
      </c>
      <c r="X2114">
        <v>0</v>
      </c>
    </row>
    <row r="2115" spans="1:24" ht="14.5" thickBot="1" x14ac:dyDescent="0.35">
      <c r="A2115">
        <v>1</v>
      </c>
      <c r="B2115" t="str">
        <f t="shared" ref="B2115:B2178" si="201">IF(A2115=0,"Female","Male")</f>
        <v>Male</v>
      </c>
      <c r="C2115" s="8">
        <v>49</v>
      </c>
      <c r="D2115" t="str">
        <f t="shared" ref="D2115:D2178" si="202">IF(C2115&lt;40,"Young",
IF(C2115&lt;55,"Middle Age","Senior"))</f>
        <v>Middle Age</v>
      </c>
      <c r="E2115">
        <v>1</v>
      </c>
      <c r="F2115" t="str">
        <f>HLOOKUP(E2115, LookUP_Table!$A$6:$D$7, 2, FALSE)</f>
        <v>Primary</v>
      </c>
      <c r="G2115" t="str">
        <f>IFERROR(VLOOKUP(E2115, LookUP_Table!$A$1:$B$4, 2, FALSE), "")</f>
        <v>Primary</v>
      </c>
      <c r="H2115">
        <v>0</v>
      </c>
      <c r="I2115">
        <v>0</v>
      </c>
      <c r="J2115" t="str">
        <f t="shared" si="198"/>
        <v>Non-Smoker</v>
      </c>
      <c r="K2115">
        <v>0</v>
      </c>
      <c r="L2115">
        <v>0</v>
      </c>
      <c r="M2115">
        <v>1</v>
      </c>
      <c r="N2115">
        <v>0</v>
      </c>
      <c r="O2115">
        <v>152</v>
      </c>
      <c r="P2115" t="str">
        <f t="shared" si="199"/>
        <v>Normal</v>
      </c>
      <c r="Q2115">
        <v>120</v>
      </c>
      <c r="R2115">
        <v>90</v>
      </c>
      <c r="S2115">
        <v>23.03</v>
      </c>
      <c r="T2115" t="str">
        <f t="shared" si="200"/>
        <v>Normal</v>
      </c>
      <c r="U2115">
        <v>77</v>
      </c>
      <c r="V2115">
        <v>93</v>
      </c>
      <c r="W2115" t="str">
        <f t="shared" ref="W2115:W2178" si="203">IF(V2115 &lt; 100, "Normal", IF(V2115 &lt;= 125, "Prediabetes", "Diabetes"))</f>
        <v>Normal</v>
      </c>
      <c r="X2115">
        <v>0</v>
      </c>
    </row>
    <row r="2116" spans="1:24" ht="14.5" thickBot="1" x14ac:dyDescent="0.35">
      <c r="A2116">
        <v>0</v>
      </c>
      <c r="B2116" t="str">
        <f t="shared" si="201"/>
        <v>Female</v>
      </c>
      <c r="C2116" s="8">
        <v>49</v>
      </c>
      <c r="D2116" t="str">
        <f t="shared" si="202"/>
        <v>Middle Age</v>
      </c>
      <c r="E2116">
        <v>2</v>
      </c>
      <c r="F2116" t="str">
        <f>HLOOKUP(E2116, LookUP_Table!$A$6:$D$7, 2, FALSE)</f>
        <v>Secondary</v>
      </c>
      <c r="G2116" t="str">
        <f>IFERROR(VLOOKUP(E2116, LookUP_Table!$A$1:$B$4, 2, FALSE), "")</f>
        <v>Secondary</v>
      </c>
      <c r="H2116">
        <v>1</v>
      </c>
      <c r="I2116">
        <v>15</v>
      </c>
      <c r="J2116" t="str">
        <f t="shared" si="198"/>
        <v>Smoker</v>
      </c>
      <c r="K2116">
        <v>0</v>
      </c>
      <c r="L2116">
        <v>0</v>
      </c>
      <c r="M2116">
        <v>0</v>
      </c>
      <c r="N2116">
        <v>0</v>
      </c>
      <c r="O2116">
        <v>236.69952267303103</v>
      </c>
      <c r="P2116" t="str">
        <f t="shared" si="199"/>
        <v>Normal</v>
      </c>
      <c r="Q2116">
        <v>108</v>
      </c>
      <c r="R2116">
        <v>76</v>
      </c>
      <c r="S2116">
        <v>19.25</v>
      </c>
      <c r="T2116" t="str">
        <f t="shared" si="200"/>
        <v>Normal</v>
      </c>
      <c r="U2116">
        <v>85</v>
      </c>
      <c r="V2116">
        <v>102</v>
      </c>
      <c r="W2116" t="str">
        <f t="shared" si="203"/>
        <v>Prediabetes</v>
      </c>
      <c r="X2116">
        <v>0</v>
      </c>
    </row>
    <row r="2117" spans="1:24" ht="14.5" thickBot="1" x14ac:dyDescent="0.35">
      <c r="A2117">
        <v>0</v>
      </c>
      <c r="B2117" t="str">
        <f t="shared" si="201"/>
        <v>Female</v>
      </c>
      <c r="C2117" s="8">
        <v>49</v>
      </c>
      <c r="D2117" t="str">
        <f t="shared" si="202"/>
        <v>Middle Age</v>
      </c>
      <c r="E2117">
        <v>2</v>
      </c>
      <c r="F2117" t="str">
        <f>HLOOKUP(E2117, LookUP_Table!$A$6:$D$7, 2, FALSE)</f>
        <v>Secondary</v>
      </c>
      <c r="G2117" t="str">
        <f>IFERROR(VLOOKUP(E2117, LookUP_Table!$A$1:$B$4, 2, FALSE), "")</f>
        <v>Secondary</v>
      </c>
      <c r="H2117">
        <v>0</v>
      </c>
      <c r="I2117">
        <v>0</v>
      </c>
      <c r="J2117" t="str">
        <f t="shared" si="198"/>
        <v>Non-Smoker</v>
      </c>
      <c r="K2117">
        <v>0</v>
      </c>
      <c r="L2117">
        <v>0</v>
      </c>
      <c r="M2117">
        <v>0</v>
      </c>
      <c r="N2117">
        <v>0</v>
      </c>
      <c r="O2117">
        <v>261</v>
      </c>
      <c r="P2117" t="str">
        <f t="shared" si="199"/>
        <v>High</v>
      </c>
      <c r="Q2117">
        <v>123.5</v>
      </c>
      <c r="R2117">
        <v>84</v>
      </c>
      <c r="S2117">
        <v>20.94</v>
      </c>
      <c r="T2117" t="str">
        <f t="shared" si="200"/>
        <v>Normal</v>
      </c>
      <c r="U2117">
        <v>75</v>
      </c>
      <c r="V2117">
        <v>75</v>
      </c>
      <c r="W2117" t="str">
        <f t="shared" si="203"/>
        <v>Normal</v>
      </c>
      <c r="X2117">
        <v>0</v>
      </c>
    </row>
    <row r="2118" spans="1:24" ht="14.5" thickBot="1" x14ac:dyDescent="0.35">
      <c r="A2118">
        <v>1</v>
      </c>
      <c r="B2118" t="str">
        <f t="shared" si="201"/>
        <v>Male</v>
      </c>
      <c r="C2118" s="8">
        <v>49</v>
      </c>
      <c r="D2118" t="str">
        <f t="shared" si="202"/>
        <v>Middle Age</v>
      </c>
      <c r="E2118">
        <v>1</v>
      </c>
      <c r="F2118" t="str">
        <f>HLOOKUP(E2118, LookUP_Table!$A$6:$D$7, 2, FALSE)</f>
        <v>Primary</v>
      </c>
      <c r="G2118" t="str">
        <f>IFERROR(VLOOKUP(E2118, LookUP_Table!$A$1:$B$4, 2, FALSE), "")</f>
        <v>Primary</v>
      </c>
      <c r="H2118">
        <v>1</v>
      </c>
      <c r="I2118">
        <v>30</v>
      </c>
      <c r="J2118" t="str">
        <f t="shared" si="198"/>
        <v>Smoker</v>
      </c>
      <c r="K2118">
        <v>0</v>
      </c>
      <c r="L2118">
        <v>0</v>
      </c>
      <c r="M2118">
        <v>0</v>
      </c>
      <c r="N2118">
        <v>0</v>
      </c>
      <c r="O2118">
        <v>199</v>
      </c>
      <c r="P2118" t="str">
        <f t="shared" si="199"/>
        <v>Normal</v>
      </c>
      <c r="Q2118">
        <v>107.5</v>
      </c>
      <c r="R2118">
        <v>71</v>
      </c>
      <c r="S2118">
        <v>26.62</v>
      </c>
      <c r="T2118" t="str">
        <f t="shared" si="200"/>
        <v>Overweight</v>
      </c>
      <c r="U2118">
        <v>70</v>
      </c>
      <c r="V2118">
        <v>68</v>
      </c>
      <c r="W2118" t="str">
        <f t="shared" si="203"/>
        <v>Normal</v>
      </c>
      <c r="X2118">
        <v>0</v>
      </c>
    </row>
    <row r="2119" spans="1:24" ht="14.5" thickBot="1" x14ac:dyDescent="0.35">
      <c r="A2119">
        <v>0</v>
      </c>
      <c r="B2119" t="str">
        <f t="shared" si="201"/>
        <v>Female</v>
      </c>
      <c r="C2119" s="8">
        <v>49</v>
      </c>
      <c r="D2119" t="str">
        <f t="shared" si="202"/>
        <v>Middle Age</v>
      </c>
      <c r="E2119">
        <v>1</v>
      </c>
      <c r="F2119" t="str">
        <f>HLOOKUP(E2119, LookUP_Table!$A$6:$D$7, 2, FALSE)</f>
        <v>Primary</v>
      </c>
      <c r="G2119" t="str">
        <f>IFERROR(VLOOKUP(E2119, LookUP_Table!$A$1:$B$4, 2, FALSE), "")</f>
        <v>Primary</v>
      </c>
      <c r="H2119">
        <v>1</v>
      </c>
      <c r="I2119">
        <v>9</v>
      </c>
      <c r="J2119" t="str">
        <f t="shared" si="198"/>
        <v>Smoker</v>
      </c>
      <c r="K2119">
        <v>0</v>
      </c>
      <c r="L2119">
        <v>0</v>
      </c>
      <c r="M2119">
        <v>0</v>
      </c>
      <c r="N2119">
        <v>0</v>
      </c>
      <c r="O2119">
        <v>280</v>
      </c>
      <c r="P2119" t="str">
        <f t="shared" si="199"/>
        <v>High</v>
      </c>
      <c r="Q2119">
        <v>120</v>
      </c>
      <c r="R2119">
        <v>80</v>
      </c>
      <c r="S2119">
        <v>22.33</v>
      </c>
      <c r="T2119" t="str">
        <f t="shared" si="200"/>
        <v>Normal</v>
      </c>
      <c r="U2119">
        <v>90</v>
      </c>
      <c r="V2119">
        <v>75</v>
      </c>
      <c r="W2119" t="str">
        <f t="shared" si="203"/>
        <v>Normal</v>
      </c>
      <c r="X2119">
        <v>0</v>
      </c>
    </row>
    <row r="2120" spans="1:24" ht="14.5" thickBot="1" x14ac:dyDescent="0.35">
      <c r="A2120">
        <v>0</v>
      </c>
      <c r="B2120" t="str">
        <f t="shared" si="201"/>
        <v>Female</v>
      </c>
      <c r="C2120" s="8">
        <v>49</v>
      </c>
      <c r="D2120" t="str">
        <f t="shared" si="202"/>
        <v>Middle Age</v>
      </c>
      <c r="E2120">
        <v>2</v>
      </c>
      <c r="F2120" t="str">
        <f>HLOOKUP(E2120, LookUP_Table!$A$6:$D$7, 2, FALSE)</f>
        <v>Secondary</v>
      </c>
      <c r="G2120" t="str">
        <f>IFERROR(VLOOKUP(E2120, LookUP_Table!$A$1:$B$4, 2, FALSE), "")</f>
        <v>Secondary</v>
      </c>
      <c r="H2120">
        <v>1</v>
      </c>
      <c r="I2120">
        <v>30</v>
      </c>
      <c r="J2120" t="str">
        <f t="shared" si="198"/>
        <v>Smoker</v>
      </c>
      <c r="K2120">
        <v>0</v>
      </c>
      <c r="L2120">
        <v>0</v>
      </c>
      <c r="M2120">
        <v>0</v>
      </c>
      <c r="N2120">
        <v>0</v>
      </c>
      <c r="O2120">
        <v>265</v>
      </c>
      <c r="P2120" t="str">
        <f t="shared" si="199"/>
        <v>High</v>
      </c>
      <c r="Q2120">
        <v>144</v>
      </c>
      <c r="R2120">
        <v>86</v>
      </c>
      <c r="S2120">
        <v>25.57</v>
      </c>
      <c r="T2120" t="str">
        <f t="shared" si="200"/>
        <v>Overweight</v>
      </c>
      <c r="U2120">
        <v>82</v>
      </c>
      <c r="V2120">
        <v>68</v>
      </c>
      <c r="W2120" t="str">
        <f t="shared" si="203"/>
        <v>Normal</v>
      </c>
      <c r="X2120">
        <v>0</v>
      </c>
    </row>
    <row r="2121" spans="1:24" ht="14.5" thickBot="1" x14ac:dyDescent="0.35">
      <c r="A2121">
        <v>1</v>
      </c>
      <c r="B2121" t="str">
        <f t="shared" si="201"/>
        <v>Male</v>
      </c>
      <c r="C2121" s="8">
        <v>49</v>
      </c>
      <c r="D2121" t="str">
        <f t="shared" si="202"/>
        <v>Middle Age</v>
      </c>
      <c r="E2121">
        <v>3</v>
      </c>
      <c r="F2121" t="str">
        <f>HLOOKUP(E2121, LookUP_Table!$A$6:$D$7, 2, FALSE)</f>
        <v>Graduate</v>
      </c>
      <c r="G2121" t="str">
        <f>IFERROR(VLOOKUP(E2121, LookUP_Table!$A$1:$B$4, 2, FALSE), "")</f>
        <v>Graduate</v>
      </c>
      <c r="H2121">
        <v>0</v>
      </c>
      <c r="I2121">
        <v>0</v>
      </c>
      <c r="J2121" t="str">
        <f t="shared" si="198"/>
        <v>Non-Smoker</v>
      </c>
      <c r="K2121">
        <v>0</v>
      </c>
      <c r="L2121">
        <v>0</v>
      </c>
      <c r="M2121">
        <v>1</v>
      </c>
      <c r="N2121">
        <v>0</v>
      </c>
      <c r="O2121">
        <v>221</v>
      </c>
      <c r="P2121" t="str">
        <f t="shared" si="199"/>
        <v>Normal</v>
      </c>
      <c r="Q2121">
        <v>175</v>
      </c>
      <c r="R2121">
        <v>107.5</v>
      </c>
      <c r="S2121">
        <v>25.97</v>
      </c>
      <c r="T2121" t="str">
        <f t="shared" si="200"/>
        <v>Overweight</v>
      </c>
      <c r="U2121">
        <v>63</v>
      </c>
      <c r="V2121">
        <v>78</v>
      </c>
      <c r="W2121" t="str">
        <f t="shared" si="203"/>
        <v>Normal</v>
      </c>
      <c r="X2121">
        <v>0</v>
      </c>
    </row>
    <row r="2122" spans="1:24" ht="14.5" thickBot="1" x14ac:dyDescent="0.35">
      <c r="A2122">
        <v>1</v>
      </c>
      <c r="B2122" t="str">
        <f t="shared" si="201"/>
        <v>Male</v>
      </c>
      <c r="C2122" s="8">
        <v>49</v>
      </c>
      <c r="D2122" t="str">
        <f t="shared" si="202"/>
        <v>Middle Age</v>
      </c>
      <c r="E2122">
        <v>3</v>
      </c>
      <c r="F2122" t="str">
        <f>HLOOKUP(E2122, LookUP_Table!$A$6:$D$7, 2, FALSE)</f>
        <v>Graduate</v>
      </c>
      <c r="G2122" t="str">
        <f>IFERROR(VLOOKUP(E2122, LookUP_Table!$A$1:$B$4, 2, FALSE), "")</f>
        <v>Graduate</v>
      </c>
      <c r="H2122">
        <v>0</v>
      </c>
      <c r="I2122">
        <v>0</v>
      </c>
      <c r="J2122" t="str">
        <f t="shared" si="198"/>
        <v>Non-Smoker</v>
      </c>
      <c r="K2122">
        <v>0</v>
      </c>
      <c r="L2122">
        <v>0</v>
      </c>
      <c r="M2122">
        <v>1</v>
      </c>
      <c r="N2122">
        <v>0</v>
      </c>
      <c r="O2122">
        <v>267</v>
      </c>
      <c r="P2122" t="str">
        <f t="shared" si="199"/>
        <v>High</v>
      </c>
      <c r="Q2122">
        <v>160.5</v>
      </c>
      <c r="R2122">
        <v>109</v>
      </c>
      <c r="S2122">
        <v>28.33</v>
      </c>
      <c r="T2122" t="str">
        <f t="shared" si="200"/>
        <v>Overweight</v>
      </c>
      <c r="U2122">
        <v>70</v>
      </c>
      <c r="V2122">
        <v>75</v>
      </c>
      <c r="W2122" t="str">
        <f t="shared" si="203"/>
        <v>Normal</v>
      </c>
      <c r="X2122">
        <v>1</v>
      </c>
    </row>
    <row r="2123" spans="1:24" ht="14.5" thickBot="1" x14ac:dyDescent="0.35">
      <c r="A2123">
        <v>0</v>
      </c>
      <c r="B2123" t="str">
        <f t="shared" si="201"/>
        <v>Female</v>
      </c>
      <c r="C2123" s="8">
        <v>49</v>
      </c>
      <c r="D2123" t="str">
        <f t="shared" si="202"/>
        <v>Middle Age</v>
      </c>
      <c r="E2123">
        <v>1</v>
      </c>
      <c r="F2123" t="str">
        <f>HLOOKUP(E2123, LookUP_Table!$A$6:$D$7, 2, FALSE)</f>
        <v>Primary</v>
      </c>
      <c r="G2123" t="str">
        <f>IFERROR(VLOOKUP(E2123, LookUP_Table!$A$1:$B$4, 2, FALSE), "")</f>
        <v>Primary</v>
      </c>
      <c r="H2123">
        <v>0</v>
      </c>
      <c r="I2123">
        <v>0</v>
      </c>
      <c r="J2123" t="str">
        <f t="shared" si="198"/>
        <v>Non-Smoker</v>
      </c>
      <c r="K2123">
        <v>0</v>
      </c>
      <c r="L2123">
        <v>0</v>
      </c>
      <c r="M2123">
        <v>0</v>
      </c>
      <c r="N2123">
        <v>0</v>
      </c>
      <c r="O2123">
        <v>246</v>
      </c>
      <c r="P2123" t="str">
        <f t="shared" si="199"/>
        <v>High</v>
      </c>
      <c r="Q2123">
        <v>138</v>
      </c>
      <c r="R2123">
        <v>92</v>
      </c>
      <c r="S2123">
        <v>28.23</v>
      </c>
      <c r="T2123" t="str">
        <f t="shared" si="200"/>
        <v>Overweight</v>
      </c>
      <c r="U2123">
        <v>72</v>
      </c>
      <c r="V2123">
        <v>91</v>
      </c>
      <c r="W2123" t="str">
        <f t="shared" si="203"/>
        <v>Normal</v>
      </c>
      <c r="X2123">
        <v>0</v>
      </c>
    </row>
    <row r="2124" spans="1:24" ht="14.5" thickBot="1" x14ac:dyDescent="0.35">
      <c r="A2124">
        <v>0</v>
      </c>
      <c r="B2124" t="str">
        <f t="shared" si="201"/>
        <v>Female</v>
      </c>
      <c r="C2124" s="8">
        <v>49</v>
      </c>
      <c r="D2124" t="str">
        <f t="shared" si="202"/>
        <v>Middle Age</v>
      </c>
      <c r="E2124">
        <v>1</v>
      </c>
      <c r="F2124" t="str">
        <f>HLOOKUP(E2124, LookUP_Table!$A$6:$D$7, 2, FALSE)</f>
        <v>Primary</v>
      </c>
      <c r="G2124" t="str">
        <f>IFERROR(VLOOKUP(E2124, LookUP_Table!$A$1:$B$4, 2, FALSE), "")</f>
        <v>Primary</v>
      </c>
      <c r="H2124">
        <v>0</v>
      </c>
      <c r="I2124">
        <v>0</v>
      </c>
      <c r="J2124" t="str">
        <f t="shared" si="198"/>
        <v>Non-Smoker</v>
      </c>
      <c r="K2124">
        <v>0</v>
      </c>
      <c r="L2124">
        <v>0</v>
      </c>
      <c r="M2124">
        <v>1</v>
      </c>
      <c r="N2124">
        <v>0</v>
      </c>
      <c r="O2124">
        <v>309</v>
      </c>
      <c r="P2124" t="str">
        <f t="shared" si="199"/>
        <v>High</v>
      </c>
      <c r="Q2124">
        <v>155</v>
      </c>
      <c r="R2124">
        <v>85</v>
      </c>
      <c r="S2124">
        <v>23.06</v>
      </c>
      <c r="T2124" t="str">
        <f t="shared" si="200"/>
        <v>Normal</v>
      </c>
      <c r="U2124">
        <v>70</v>
      </c>
      <c r="V2124">
        <v>63</v>
      </c>
      <c r="W2124" t="str">
        <f t="shared" si="203"/>
        <v>Normal</v>
      </c>
      <c r="X2124">
        <v>0</v>
      </c>
    </row>
    <row r="2125" spans="1:24" ht="14.5" thickBot="1" x14ac:dyDescent="0.35">
      <c r="A2125">
        <v>0</v>
      </c>
      <c r="B2125" t="str">
        <f t="shared" si="201"/>
        <v>Female</v>
      </c>
      <c r="C2125" s="8">
        <v>49</v>
      </c>
      <c r="D2125" t="str">
        <f t="shared" si="202"/>
        <v>Middle Age</v>
      </c>
      <c r="E2125">
        <v>3</v>
      </c>
      <c r="F2125" t="str">
        <f>HLOOKUP(E2125, LookUP_Table!$A$6:$D$7, 2, FALSE)</f>
        <v>Graduate</v>
      </c>
      <c r="G2125" t="str">
        <f>IFERROR(VLOOKUP(E2125, LookUP_Table!$A$1:$B$4, 2, FALSE), "")</f>
        <v>Graduate</v>
      </c>
      <c r="H2125">
        <v>0</v>
      </c>
      <c r="I2125">
        <v>0</v>
      </c>
      <c r="J2125" t="str">
        <f t="shared" si="198"/>
        <v>Non-Smoker</v>
      </c>
      <c r="K2125">
        <v>0</v>
      </c>
      <c r="L2125">
        <v>0</v>
      </c>
      <c r="M2125">
        <v>0</v>
      </c>
      <c r="N2125">
        <v>0</v>
      </c>
      <c r="O2125">
        <v>222</v>
      </c>
      <c r="P2125" t="str">
        <f t="shared" si="199"/>
        <v>Normal</v>
      </c>
      <c r="Q2125">
        <v>118</v>
      </c>
      <c r="R2125">
        <v>78</v>
      </c>
      <c r="S2125">
        <v>21.18</v>
      </c>
      <c r="T2125" t="str">
        <f t="shared" si="200"/>
        <v>Normal</v>
      </c>
      <c r="U2125">
        <v>70</v>
      </c>
      <c r="V2125">
        <v>73</v>
      </c>
      <c r="W2125" t="str">
        <f t="shared" si="203"/>
        <v>Normal</v>
      </c>
      <c r="X2125">
        <v>0</v>
      </c>
    </row>
    <row r="2126" spans="1:24" ht="14.5" thickBot="1" x14ac:dyDescent="0.35">
      <c r="A2126">
        <v>0</v>
      </c>
      <c r="B2126" t="str">
        <f t="shared" si="201"/>
        <v>Female</v>
      </c>
      <c r="C2126" s="8">
        <v>49</v>
      </c>
      <c r="D2126" t="str">
        <f t="shared" si="202"/>
        <v>Middle Age</v>
      </c>
      <c r="E2126">
        <v>1</v>
      </c>
      <c r="F2126" t="str">
        <f>HLOOKUP(E2126, LookUP_Table!$A$6:$D$7, 2, FALSE)</f>
        <v>Primary</v>
      </c>
      <c r="G2126" t="str">
        <f>IFERROR(VLOOKUP(E2126, LookUP_Table!$A$1:$B$4, 2, FALSE), "")</f>
        <v>Primary</v>
      </c>
      <c r="H2126">
        <v>1</v>
      </c>
      <c r="I2126">
        <v>9</v>
      </c>
      <c r="J2126" t="str">
        <f t="shared" si="198"/>
        <v>Smoker</v>
      </c>
      <c r="K2126">
        <v>0</v>
      </c>
      <c r="L2126">
        <v>0</v>
      </c>
      <c r="M2126">
        <v>1</v>
      </c>
      <c r="N2126">
        <v>0</v>
      </c>
      <c r="O2126">
        <v>266</v>
      </c>
      <c r="P2126" t="str">
        <f t="shared" si="199"/>
        <v>High</v>
      </c>
      <c r="Q2126">
        <v>159</v>
      </c>
      <c r="R2126">
        <v>88</v>
      </c>
      <c r="S2126">
        <v>20.66</v>
      </c>
      <c r="T2126" t="str">
        <f t="shared" si="200"/>
        <v>Normal</v>
      </c>
      <c r="U2126">
        <v>76</v>
      </c>
      <c r="V2126">
        <v>84</v>
      </c>
      <c r="W2126" t="str">
        <f t="shared" si="203"/>
        <v>Normal</v>
      </c>
      <c r="X2126">
        <v>0</v>
      </c>
    </row>
    <row r="2127" spans="1:24" ht="14.5" thickBot="1" x14ac:dyDescent="0.35">
      <c r="A2127">
        <v>0</v>
      </c>
      <c r="B2127" t="str">
        <f t="shared" si="201"/>
        <v>Female</v>
      </c>
      <c r="C2127" s="8">
        <v>49</v>
      </c>
      <c r="D2127" t="str">
        <f t="shared" si="202"/>
        <v>Middle Age</v>
      </c>
      <c r="E2127">
        <v>1</v>
      </c>
      <c r="F2127" t="str">
        <f>HLOOKUP(E2127, LookUP_Table!$A$6:$D$7, 2, FALSE)</f>
        <v>Primary</v>
      </c>
      <c r="G2127" t="str">
        <f>IFERROR(VLOOKUP(E2127, LookUP_Table!$A$1:$B$4, 2, FALSE), "")</f>
        <v>Primary</v>
      </c>
      <c r="H2127">
        <v>0</v>
      </c>
      <c r="I2127">
        <v>0</v>
      </c>
      <c r="J2127" t="str">
        <f t="shared" si="198"/>
        <v>Non-Smoker</v>
      </c>
      <c r="K2127">
        <v>0</v>
      </c>
      <c r="L2127">
        <v>0</v>
      </c>
      <c r="M2127">
        <v>0</v>
      </c>
      <c r="N2127">
        <v>0</v>
      </c>
      <c r="O2127">
        <v>270</v>
      </c>
      <c r="P2127" t="str">
        <f t="shared" si="199"/>
        <v>High</v>
      </c>
      <c r="Q2127">
        <v>126.5</v>
      </c>
      <c r="R2127">
        <v>67.5</v>
      </c>
      <c r="S2127">
        <v>26.56</v>
      </c>
      <c r="T2127" t="str">
        <f t="shared" si="200"/>
        <v>Overweight</v>
      </c>
      <c r="U2127">
        <v>70</v>
      </c>
      <c r="V2127">
        <v>77</v>
      </c>
      <c r="W2127" t="str">
        <f t="shared" si="203"/>
        <v>Normal</v>
      </c>
      <c r="X2127">
        <v>0</v>
      </c>
    </row>
    <row r="2128" spans="1:24" ht="14.5" thickBot="1" x14ac:dyDescent="0.35">
      <c r="A2128">
        <v>1</v>
      </c>
      <c r="B2128" t="str">
        <f t="shared" si="201"/>
        <v>Male</v>
      </c>
      <c r="C2128" s="8">
        <v>49</v>
      </c>
      <c r="D2128" t="str">
        <f t="shared" si="202"/>
        <v>Middle Age</v>
      </c>
      <c r="E2128">
        <v>2</v>
      </c>
      <c r="F2128" t="str">
        <f>HLOOKUP(E2128, LookUP_Table!$A$6:$D$7, 2, FALSE)</f>
        <v>Secondary</v>
      </c>
      <c r="G2128" t="str">
        <f>IFERROR(VLOOKUP(E2128, LookUP_Table!$A$1:$B$4, 2, FALSE), "")</f>
        <v>Secondary</v>
      </c>
      <c r="H2128">
        <v>0</v>
      </c>
      <c r="I2128">
        <v>0</v>
      </c>
      <c r="J2128" t="str">
        <f t="shared" si="198"/>
        <v>Non-Smoker</v>
      </c>
      <c r="K2128">
        <v>0</v>
      </c>
      <c r="L2128">
        <v>0</v>
      </c>
      <c r="M2128">
        <v>1</v>
      </c>
      <c r="N2128">
        <v>0</v>
      </c>
      <c r="O2128">
        <v>271</v>
      </c>
      <c r="P2128" t="str">
        <f t="shared" si="199"/>
        <v>High</v>
      </c>
      <c r="Q2128">
        <v>140</v>
      </c>
      <c r="R2128">
        <v>108</v>
      </c>
      <c r="S2128">
        <v>27.66</v>
      </c>
      <c r="T2128" t="str">
        <f t="shared" si="200"/>
        <v>Overweight</v>
      </c>
      <c r="U2128">
        <v>82</v>
      </c>
      <c r="V2128">
        <v>77</v>
      </c>
      <c r="W2128" t="str">
        <f t="shared" si="203"/>
        <v>Normal</v>
      </c>
      <c r="X2128">
        <v>0</v>
      </c>
    </row>
    <row r="2129" spans="1:24" ht="14.5" thickBot="1" x14ac:dyDescent="0.35">
      <c r="A2129">
        <v>0</v>
      </c>
      <c r="B2129" t="str">
        <f t="shared" si="201"/>
        <v>Female</v>
      </c>
      <c r="C2129" s="8">
        <v>49</v>
      </c>
      <c r="D2129" t="str">
        <f t="shared" si="202"/>
        <v>Middle Age</v>
      </c>
      <c r="E2129">
        <v>1</v>
      </c>
      <c r="F2129" t="str">
        <f>HLOOKUP(E2129, LookUP_Table!$A$6:$D$7, 2, FALSE)</f>
        <v>Primary</v>
      </c>
      <c r="G2129" t="str">
        <f>IFERROR(VLOOKUP(E2129, LookUP_Table!$A$1:$B$4, 2, FALSE), "")</f>
        <v>Primary</v>
      </c>
      <c r="H2129">
        <v>0</v>
      </c>
      <c r="I2129">
        <v>0</v>
      </c>
      <c r="J2129" t="str">
        <f t="shared" si="198"/>
        <v>Non-Smoker</v>
      </c>
      <c r="K2129">
        <v>0</v>
      </c>
      <c r="L2129">
        <v>0</v>
      </c>
      <c r="M2129">
        <v>0</v>
      </c>
      <c r="N2129">
        <v>0</v>
      </c>
      <c r="O2129">
        <v>250</v>
      </c>
      <c r="P2129" t="str">
        <f t="shared" si="199"/>
        <v>High</v>
      </c>
      <c r="Q2129">
        <v>133.5</v>
      </c>
      <c r="R2129">
        <v>87.5</v>
      </c>
      <c r="S2129">
        <v>29.45</v>
      </c>
      <c r="T2129" t="str">
        <f t="shared" si="200"/>
        <v>Overweight</v>
      </c>
      <c r="U2129">
        <v>83</v>
      </c>
      <c r="V2129">
        <v>84</v>
      </c>
      <c r="W2129" t="str">
        <f t="shared" si="203"/>
        <v>Normal</v>
      </c>
      <c r="X2129">
        <v>0</v>
      </c>
    </row>
    <row r="2130" spans="1:24" ht="14.5" thickBot="1" x14ac:dyDescent="0.35">
      <c r="A2130">
        <v>0</v>
      </c>
      <c r="B2130" t="str">
        <f t="shared" si="201"/>
        <v>Female</v>
      </c>
      <c r="C2130" s="8">
        <v>49</v>
      </c>
      <c r="D2130" t="str">
        <f t="shared" si="202"/>
        <v>Middle Age</v>
      </c>
      <c r="E2130">
        <v>1</v>
      </c>
      <c r="F2130" t="str">
        <f>HLOOKUP(E2130, LookUP_Table!$A$6:$D$7, 2, FALSE)</f>
        <v>Primary</v>
      </c>
      <c r="G2130" t="str">
        <f>IFERROR(VLOOKUP(E2130, LookUP_Table!$A$1:$B$4, 2, FALSE), "")</f>
        <v>Primary</v>
      </c>
      <c r="H2130">
        <v>0</v>
      </c>
      <c r="I2130">
        <v>0</v>
      </c>
      <c r="J2130" t="str">
        <f t="shared" si="198"/>
        <v>Non-Smoker</v>
      </c>
      <c r="K2130">
        <v>0</v>
      </c>
      <c r="L2130">
        <v>0</v>
      </c>
      <c r="M2130">
        <v>0</v>
      </c>
      <c r="N2130">
        <v>0</v>
      </c>
      <c r="O2130">
        <v>211</v>
      </c>
      <c r="P2130" t="str">
        <f t="shared" si="199"/>
        <v>Normal</v>
      </c>
      <c r="Q2130">
        <v>103.5</v>
      </c>
      <c r="R2130">
        <v>66.5</v>
      </c>
      <c r="S2130">
        <v>24.17</v>
      </c>
      <c r="T2130" t="str">
        <f t="shared" si="200"/>
        <v>Normal</v>
      </c>
      <c r="U2130">
        <v>75</v>
      </c>
      <c r="V2130">
        <v>87</v>
      </c>
      <c r="W2130" t="str">
        <f t="shared" si="203"/>
        <v>Normal</v>
      </c>
      <c r="X2130">
        <v>1</v>
      </c>
    </row>
    <row r="2131" spans="1:24" ht="14.5" thickBot="1" x14ac:dyDescent="0.35">
      <c r="A2131">
        <v>0</v>
      </c>
      <c r="B2131" t="str">
        <f t="shared" si="201"/>
        <v>Female</v>
      </c>
      <c r="C2131" s="8">
        <v>49</v>
      </c>
      <c r="D2131" t="str">
        <f t="shared" si="202"/>
        <v>Middle Age</v>
      </c>
      <c r="E2131">
        <v>3</v>
      </c>
      <c r="F2131" t="str">
        <f>HLOOKUP(E2131, LookUP_Table!$A$6:$D$7, 2, FALSE)</f>
        <v>Graduate</v>
      </c>
      <c r="G2131" t="str">
        <f>IFERROR(VLOOKUP(E2131, LookUP_Table!$A$1:$B$4, 2, FALSE), "")</f>
        <v>Graduate</v>
      </c>
      <c r="H2131">
        <v>1</v>
      </c>
      <c r="I2131">
        <v>10</v>
      </c>
      <c r="J2131" t="str">
        <f t="shared" si="198"/>
        <v>Smoker</v>
      </c>
      <c r="K2131">
        <v>0</v>
      </c>
      <c r="L2131">
        <v>0</v>
      </c>
      <c r="M2131">
        <v>0</v>
      </c>
      <c r="N2131">
        <v>0</v>
      </c>
      <c r="O2131">
        <v>260</v>
      </c>
      <c r="P2131" t="str">
        <f t="shared" si="199"/>
        <v>High</v>
      </c>
      <c r="Q2131">
        <v>123</v>
      </c>
      <c r="R2131">
        <v>80</v>
      </c>
      <c r="S2131">
        <v>23.1</v>
      </c>
      <c r="T2131" t="str">
        <f t="shared" si="200"/>
        <v>Normal</v>
      </c>
      <c r="U2131">
        <v>63</v>
      </c>
      <c r="V2131">
        <v>65</v>
      </c>
      <c r="W2131" t="str">
        <f t="shared" si="203"/>
        <v>Normal</v>
      </c>
      <c r="X2131">
        <v>1</v>
      </c>
    </row>
    <row r="2132" spans="1:24" ht="14.5" thickBot="1" x14ac:dyDescent="0.35">
      <c r="A2132">
        <v>1</v>
      </c>
      <c r="B2132" t="str">
        <f t="shared" si="201"/>
        <v>Male</v>
      </c>
      <c r="C2132" s="8">
        <v>49</v>
      </c>
      <c r="D2132" t="str">
        <f t="shared" si="202"/>
        <v>Middle Age</v>
      </c>
      <c r="E2132">
        <v>2</v>
      </c>
      <c r="F2132" t="str">
        <f>HLOOKUP(E2132, LookUP_Table!$A$6:$D$7, 2, FALSE)</f>
        <v>Secondary</v>
      </c>
      <c r="G2132" t="str">
        <f>IFERROR(VLOOKUP(E2132, LookUP_Table!$A$1:$B$4, 2, FALSE), "")</f>
        <v>Secondary</v>
      </c>
      <c r="H2132">
        <v>1</v>
      </c>
      <c r="I2132">
        <v>20</v>
      </c>
      <c r="J2132" t="str">
        <f t="shared" si="198"/>
        <v>Smoker</v>
      </c>
      <c r="K2132">
        <v>0</v>
      </c>
      <c r="L2132">
        <v>0</v>
      </c>
      <c r="M2132">
        <v>0</v>
      </c>
      <c r="N2132">
        <v>0</v>
      </c>
      <c r="O2132">
        <v>278</v>
      </c>
      <c r="P2132" t="str">
        <f t="shared" si="199"/>
        <v>High</v>
      </c>
      <c r="Q2132">
        <v>135</v>
      </c>
      <c r="R2132">
        <v>76</v>
      </c>
      <c r="S2132">
        <v>29.03</v>
      </c>
      <c r="T2132" t="str">
        <f t="shared" si="200"/>
        <v>Overweight</v>
      </c>
      <c r="U2132">
        <v>82</v>
      </c>
      <c r="V2132">
        <v>75</v>
      </c>
      <c r="W2132" t="str">
        <f t="shared" si="203"/>
        <v>Normal</v>
      </c>
      <c r="X2132">
        <v>1</v>
      </c>
    </row>
    <row r="2133" spans="1:24" ht="14.5" thickBot="1" x14ac:dyDescent="0.35">
      <c r="A2133">
        <v>0</v>
      </c>
      <c r="B2133" t="str">
        <f t="shared" si="201"/>
        <v>Female</v>
      </c>
      <c r="C2133" s="8">
        <v>49</v>
      </c>
      <c r="D2133" t="str">
        <f t="shared" si="202"/>
        <v>Middle Age</v>
      </c>
      <c r="E2133">
        <v>3</v>
      </c>
      <c r="F2133" t="str">
        <f>HLOOKUP(E2133, LookUP_Table!$A$6:$D$7, 2, FALSE)</f>
        <v>Graduate</v>
      </c>
      <c r="G2133" t="str">
        <f>IFERROR(VLOOKUP(E2133, LookUP_Table!$A$1:$B$4, 2, FALSE), "")</f>
        <v>Graduate</v>
      </c>
      <c r="H2133">
        <v>1</v>
      </c>
      <c r="I2133">
        <v>1</v>
      </c>
      <c r="J2133" t="str">
        <f t="shared" si="198"/>
        <v>Smoker</v>
      </c>
      <c r="K2133">
        <v>0</v>
      </c>
      <c r="L2133">
        <v>0</v>
      </c>
      <c r="M2133">
        <v>0</v>
      </c>
      <c r="N2133">
        <v>0</v>
      </c>
      <c r="O2133">
        <v>186</v>
      </c>
      <c r="P2133" t="str">
        <f t="shared" si="199"/>
        <v>Normal</v>
      </c>
      <c r="Q2133">
        <v>120</v>
      </c>
      <c r="R2133">
        <v>74</v>
      </c>
      <c r="S2133">
        <v>19.39</v>
      </c>
      <c r="T2133" t="str">
        <f t="shared" si="200"/>
        <v>Normal</v>
      </c>
      <c r="U2133">
        <v>80</v>
      </c>
      <c r="V2133">
        <v>69</v>
      </c>
      <c r="W2133" t="str">
        <f t="shared" si="203"/>
        <v>Normal</v>
      </c>
      <c r="X2133">
        <v>0</v>
      </c>
    </row>
    <row r="2134" spans="1:24" ht="14.5" thickBot="1" x14ac:dyDescent="0.35">
      <c r="A2134">
        <v>0</v>
      </c>
      <c r="B2134" t="str">
        <f t="shared" si="201"/>
        <v>Female</v>
      </c>
      <c r="C2134" s="8">
        <v>49</v>
      </c>
      <c r="D2134" t="str">
        <f t="shared" si="202"/>
        <v>Middle Age</v>
      </c>
      <c r="E2134">
        <v>2</v>
      </c>
      <c r="F2134" t="str">
        <f>HLOOKUP(E2134, LookUP_Table!$A$6:$D$7, 2, FALSE)</f>
        <v>Secondary</v>
      </c>
      <c r="G2134" t="str">
        <f>IFERROR(VLOOKUP(E2134, LookUP_Table!$A$1:$B$4, 2, FALSE), "")</f>
        <v>Secondary</v>
      </c>
      <c r="H2134">
        <v>0</v>
      </c>
      <c r="I2134">
        <v>0</v>
      </c>
      <c r="J2134" t="str">
        <f t="shared" si="198"/>
        <v>Non-Smoker</v>
      </c>
      <c r="K2134">
        <v>0</v>
      </c>
      <c r="L2134">
        <v>0</v>
      </c>
      <c r="M2134">
        <v>0</v>
      </c>
      <c r="N2134">
        <v>0</v>
      </c>
      <c r="O2134">
        <v>290</v>
      </c>
      <c r="P2134" t="str">
        <f t="shared" si="199"/>
        <v>High</v>
      </c>
      <c r="Q2134">
        <v>137.5</v>
      </c>
      <c r="R2134">
        <v>92</v>
      </c>
      <c r="S2134">
        <v>24.46</v>
      </c>
      <c r="T2134" t="str">
        <f t="shared" si="200"/>
        <v>Normal</v>
      </c>
      <c r="U2134">
        <v>80</v>
      </c>
      <c r="V2134">
        <v>74</v>
      </c>
      <c r="W2134" t="str">
        <f t="shared" si="203"/>
        <v>Normal</v>
      </c>
      <c r="X2134">
        <v>0</v>
      </c>
    </row>
    <row r="2135" spans="1:24" ht="14.5" thickBot="1" x14ac:dyDescent="0.35">
      <c r="A2135">
        <v>1</v>
      </c>
      <c r="B2135" t="str">
        <f t="shared" si="201"/>
        <v>Male</v>
      </c>
      <c r="C2135" s="8">
        <v>49</v>
      </c>
      <c r="D2135" t="str">
        <f t="shared" si="202"/>
        <v>Middle Age</v>
      </c>
      <c r="E2135">
        <v>2</v>
      </c>
      <c r="F2135" t="str">
        <f>HLOOKUP(E2135, LookUP_Table!$A$6:$D$7, 2, FALSE)</f>
        <v>Secondary</v>
      </c>
      <c r="G2135" t="str">
        <f>IFERROR(VLOOKUP(E2135, LookUP_Table!$A$1:$B$4, 2, FALSE), "")</f>
        <v>Secondary</v>
      </c>
      <c r="H2135">
        <v>1</v>
      </c>
      <c r="I2135">
        <v>20</v>
      </c>
      <c r="J2135" t="str">
        <f t="shared" si="198"/>
        <v>Smoker</v>
      </c>
      <c r="K2135">
        <v>0</v>
      </c>
      <c r="L2135">
        <v>0</v>
      </c>
      <c r="M2135">
        <v>1</v>
      </c>
      <c r="N2135">
        <v>0</v>
      </c>
      <c r="O2135">
        <v>273</v>
      </c>
      <c r="P2135" t="str">
        <f t="shared" si="199"/>
        <v>High</v>
      </c>
      <c r="Q2135">
        <v>142</v>
      </c>
      <c r="R2135">
        <v>108</v>
      </c>
      <c r="S2135">
        <v>23.19</v>
      </c>
      <c r="T2135" t="str">
        <f t="shared" si="200"/>
        <v>Normal</v>
      </c>
      <c r="U2135">
        <v>95</v>
      </c>
      <c r="V2135">
        <v>72</v>
      </c>
      <c r="W2135" t="str">
        <f t="shared" si="203"/>
        <v>Normal</v>
      </c>
      <c r="X2135">
        <v>0</v>
      </c>
    </row>
    <row r="2136" spans="1:24" ht="14.5" thickBot="1" x14ac:dyDescent="0.35">
      <c r="A2136">
        <v>0</v>
      </c>
      <c r="B2136" t="str">
        <f t="shared" si="201"/>
        <v>Female</v>
      </c>
      <c r="C2136" s="8">
        <v>49</v>
      </c>
      <c r="D2136" t="str">
        <f t="shared" si="202"/>
        <v>Middle Age</v>
      </c>
      <c r="E2136">
        <v>2</v>
      </c>
      <c r="F2136" t="str">
        <f>HLOOKUP(E2136, LookUP_Table!$A$6:$D$7, 2, FALSE)</f>
        <v>Secondary</v>
      </c>
      <c r="G2136" t="str">
        <f>IFERROR(VLOOKUP(E2136, LookUP_Table!$A$1:$B$4, 2, FALSE), "")</f>
        <v>Secondary</v>
      </c>
      <c r="H2136">
        <v>0</v>
      </c>
      <c r="I2136">
        <v>0</v>
      </c>
      <c r="J2136" t="str">
        <f t="shared" si="198"/>
        <v>Non-Smoker</v>
      </c>
      <c r="K2136">
        <v>0</v>
      </c>
      <c r="L2136">
        <v>0</v>
      </c>
      <c r="M2136">
        <v>0</v>
      </c>
      <c r="N2136">
        <v>0</v>
      </c>
      <c r="O2136">
        <v>170</v>
      </c>
      <c r="P2136" t="str">
        <f t="shared" si="199"/>
        <v>Normal</v>
      </c>
      <c r="Q2136">
        <v>112</v>
      </c>
      <c r="R2136">
        <v>79</v>
      </c>
      <c r="S2136">
        <v>21</v>
      </c>
      <c r="T2136" t="str">
        <f t="shared" si="200"/>
        <v>Normal</v>
      </c>
      <c r="U2136">
        <v>60</v>
      </c>
      <c r="V2136">
        <v>80</v>
      </c>
      <c r="W2136" t="str">
        <f t="shared" si="203"/>
        <v>Normal</v>
      </c>
      <c r="X2136">
        <v>0</v>
      </c>
    </row>
    <row r="2137" spans="1:24" ht="14.5" thickBot="1" x14ac:dyDescent="0.35">
      <c r="A2137">
        <v>0</v>
      </c>
      <c r="B2137" t="str">
        <f t="shared" si="201"/>
        <v>Female</v>
      </c>
      <c r="C2137" s="8">
        <v>49</v>
      </c>
      <c r="D2137" t="str">
        <f t="shared" si="202"/>
        <v>Middle Age</v>
      </c>
      <c r="E2137">
        <v>3</v>
      </c>
      <c r="F2137" t="str">
        <f>HLOOKUP(E2137, LookUP_Table!$A$6:$D$7, 2, FALSE)</f>
        <v>Graduate</v>
      </c>
      <c r="G2137" t="str">
        <f>IFERROR(VLOOKUP(E2137, LookUP_Table!$A$1:$B$4, 2, FALSE), "")</f>
        <v>Graduate</v>
      </c>
      <c r="H2137">
        <v>0</v>
      </c>
      <c r="I2137">
        <v>0</v>
      </c>
      <c r="J2137" t="str">
        <f t="shared" si="198"/>
        <v>Non-Smoker</v>
      </c>
      <c r="K2137">
        <v>0</v>
      </c>
      <c r="L2137">
        <v>0</v>
      </c>
      <c r="M2137">
        <v>0</v>
      </c>
      <c r="N2137">
        <v>0</v>
      </c>
      <c r="O2137">
        <v>241</v>
      </c>
      <c r="P2137" t="str">
        <f t="shared" si="199"/>
        <v>High</v>
      </c>
      <c r="Q2137">
        <v>120</v>
      </c>
      <c r="R2137">
        <v>70.5</v>
      </c>
      <c r="S2137">
        <v>23.29</v>
      </c>
      <c r="T2137" t="str">
        <f t="shared" si="200"/>
        <v>Normal</v>
      </c>
      <c r="U2137">
        <v>87</v>
      </c>
      <c r="V2137">
        <v>84</v>
      </c>
      <c r="W2137" t="str">
        <f t="shared" si="203"/>
        <v>Normal</v>
      </c>
      <c r="X2137">
        <v>0</v>
      </c>
    </row>
    <row r="2138" spans="1:24" ht="14.5" thickBot="1" x14ac:dyDescent="0.35">
      <c r="A2138">
        <v>0</v>
      </c>
      <c r="B2138" t="str">
        <f t="shared" si="201"/>
        <v>Female</v>
      </c>
      <c r="C2138" s="8">
        <v>49</v>
      </c>
      <c r="D2138" t="str">
        <f t="shared" si="202"/>
        <v>Middle Age</v>
      </c>
      <c r="E2138">
        <v>2</v>
      </c>
      <c r="F2138" t="str">
        <f>HLOOKUP(E2138, LookUP_Table!$A$6:$D$7, 2, FALSE)</f>
        <v>Secondary</v>
      </c>
      <c r="G2138" t="str">
        <f>IFERROR(VLOOKUP(E2138, LookUP_Table!$A$1:$B$4, 2, FALSE), "")</f>
        <v>Secondary</v>
      </c>
      <c r="H2138">
        <v>1</v>
      </c>
      <c r="I2138">
        <v>9</v>
      </c>
      <c r="J2138" t="str">
        <f t="shared" si="198"/>
        <v>Smoker</v>
      </c>
      <c r="K2138">
        <v>0</v>
      </c>
      <c r="L2138">
        <v>0</v>
      </c>
      <c r="M2138">
        <v>1</v>
      </c>
      <c r="N2138">
        <v>0</v>
      </c>
      <c r="O2138">
        <v>233</v>
      </c>
      <c r="P2138" t="str">
        <f t="shared" si="199"/>
        <v>Normal</v>
      </c>
      <c r="Q2138">
        <v>158</v>
      </c>
      <c r="R2138">
        <v>102</v>
      </c>
      <c r="S2138">
        <v>25.31</v>
      </c>
      <c r="T2138" t="str">
        <f t="shared" si="200"/>
        <v>Overweight</v>
      </c>
      <c r="U2138">
        <v>90</v>
      </c>
      <c r="V2138">
        <v>72</v>
      </c>
      <c r="W2138" t="str">
        <f t="shared" si="203"/>
        <v>Normal</v>
      </c>
      <c r="X2138">
        <v>0</v>
      </c>
    </row>
    <row r="2139" spans="1:24" ht="14.5" thickBot="1" x14ac:dyDescent="0.35">
      <c r="A2139">
        <v>0</v>
      </c>
      <c r="B2139" t="str">
        <f t="shared" si="201"/>
        <v>Female</v>
      </c>
      <c r="C2139" s="8">
        <v>49</v>
      </c>
      <c r="D2139" t="str">
        <f t="shared" si="202"/>
        <v>Middle Age</v>
      </c>
      <c r="E2139">
        <v>1</v>
      </c>
      <c r="F2139" t="str">
        <f>HLOOKUP(E2139, LookUP_Table!$A$6:$D$7, 2, FALSE)</f>
        <v>Primary</v>
      </c>
      <c r="G2139" t="str">
        <f>IFERROR(VLOOKUP(E2139, LookUP_Table!$A$1:$B$4, 2, FALSE), "")</f>
        <v>Primary</v>
      </c>
      <c r="H2139">
        <v>0</v>
      </c>
      <c r="I2139">
        <v>0</v>
      </c>
      <c r="J2139" t="str">
        <f t="shared" si="198"/>
        <v>Non-Smoker</v>
      </c>
      <c r="K2139">
        <v>0</v>
      </c>
      <c r="L2139">
        <v>0</v>
      </c>
      <c r="M2139">
        <v>0</v>
      </c>
      <c r="N2139">
        <v>0</v>
      </c>
      <c r="O2139">
        <v>225</v>
      </c>
      <c r="P2139" t="str">
        <f t="shared" si="199"/>
        <v>Normal</v>
      </c>
      <c r="Q2139">
        <v>115.5</v>
      </c>
      <c r="R2139">
        <v>72.5</v>
      </c>
      <c r="S2139">
        <v>21.83</v>
      </c>
      <c r="T2139" t="str">
        <f t="shared" si="200"/>
        <v>Normal</v>
      </c>
      <c r="U2139">
        <v>69</v>
      </c>
      <c r="V2139">
        <v>81.96365524402907</v>
      </c>
      <c r="W2139" t="str">
        <f t="shared" si="203"/>
        <v>Normal</v>
      </c>
      <c r="X2139">
        <v>1</v>
      </c>
    </row>
    <row r="2140" spans="1:24" ht="14.5" thickBot="1" x14ac:dyDescent="0.35">
      <c r="A2140">
        <v>0</v>
      </c>
      <c r="B2140" t="str">
        <f t="shared" si="201"/>
        <v>Female</v>
      </c>
      <c r="C2140" s="8">
        <v>49</v>
      </c>
      <c r="D2140" t="str">
        <f t="shared" si="202"/>
        <v>Middle Age</v>
      </c>
      <c r="E2140">
        <v>2</v>
      </c>
      <c r="F2140" t="str">
        <f>HLOOKUP(E2140, LookUP_Table!$A$6:$D$7, 2, FALSE)</f>
        <v>Secondary</v>
      </c>
      <c r="G2140" t="str">
        <f>IFERROR(VLOOKUP(E2140, LookUP_Table!$A$1:$B$4, 2, FALSE), "")</f>
        <v>Secondary</v>
      </c>
      <c r="H2140">
        <v>1</v>
      </c>
      <c r="I2140">
        <v>11</v>
      </c>
      <c r="J2140" t="str">
        <f t="shared" si="198"/>
        <v>Smoker</v>
      </c>
      <c r="K2140">
        <v>0</v>
      </c>
      <c r="L2140">
        <v>0</v>
      </c>
      <c r="M2140">
        <v>0</v>
      </c>
      <c r="N2140">
        <v>0</v>
      </c>
      <c r="O2140">
        <v>206</v>
      </c>
      <c r="P2140" t="str">
        <f t="shared" si="199"/>
        <v>Normal</v>
      </c>
      <c r="Q2140">
        <v>107</v>
      </c>
      <c r="R2140">
        <v>74</v>
      </c>
      <c r="S2140">
        <v>20.23</v>
      </c>
      <c r="T2140" t="str">
        <f t="shared" si="200"/>
        <v>Normal</v>
      </c>
      <c r="U2140">
        <v>65</v>
      </c>
      <c r="V2140">
        <v>83</v>
      </c>
      <c r="W2140" t="str">
        <f t="shared" si="203"/>
        <v>Normal</v>
      </c>
      <c r="X2140">
        <v>0</v>
      </c>
    </row>
    <row r="2141" spans="1:24" ht="14.5" thickBot="1" x14ac:dyDescent="0.35">
      <c r="A2141">
        <v>1</v>
      </c>
      <c r="B2141" t="str">
        <f t="shared" si="201"/>
        <v>Male</v>
      </c>
      <c r="C2141" s="8">
        <v>49</v>
      </c>
      <c r="D2141" t="str">
        <f t="shared" si="202"/>
        <v>Middle Age</v>
      </c>
      <c r="E2141">
        <v>3</v>
      </c>
      <c r="F2141" t="str">
        <f>HLOOKUP(E2141, LookUP_Table!$A$6:$D$7, 2, FALSE)</f>
        <v>Graduate</v>
      </c>
      <c r="G2141" t="str">
        <f>IFERROR(VLOOKUP(E2141, LookUP_Table!$A$1:$B$4, 2, FALSE), "")</f>
        <v>Graduate</v>
      </c>
      <c r="H2141">
        <v>1</v>
      </c>
      <c r="I2141">
        <v>40</v>
      </c>
      <c r="J2141" t="str">
        <f t="shared" si="198"/>
        <v>Smoker</v>
      </c>
      <c r="K2141">
        <v>0</v>
      </c>
      <c r="L2141">
        <v>0</v>
      </c>
      <c r="M2141">
        <v>1</v>
      </c>
      <c r="N2141">
        <v>0</v>
      </c>
      <c r="O2141">
        <v>260</v>
      </c>
      <c r="P2141" t="str">
        <f t="shared" si="199"/>
        <v>High</v>
      </c>
      <c r="Q2141">
        <v>142</v>
      </c>
      <c r="R2141">
        <v>54</v>
      </c>
      <c r="S2141">
        <v>25.4</v>
      </c>
      <c r="T2141" t="str">
        <f t="shared" si="200"/>
        <v>Overweight</v>
      </c>
      <c r="U2141">
        <v>67</v>
      </c>
      <c r="V2141">
        <v>95</v>
      </c>
      <c r="W2141" t="str">
        <f t="shared" si="203"/>
        <v>Normal</v>
      </c>
      <c r="X2141">
        <v>1</v>
      </c>
    </row>
    <row r="2142" spans="1:24" ht="14.5" thickBot="1" x14ac:dyDescent="0.35">
      <c r="A2142">
        <v>0</v>
      </c>
      <c r="B2142" t="str">
        <f t="shared" si="201"/>
        <v>Female</v>
      </c>
      <c r="C2142" s="8">
        <v>49</v>
      </c>
      <c r="D2142" t="str">
        <f t="shared" si="202"/>
        <v>Middle Age</v>
      </c>
      <c r="E2142">
        <v>3</v>
      </c>
      <c r="F2142" t="str">
        <f>HLOOKUP(E2142, LookUP_Table!$A$6:$D$7, 2, FALSE)</f>
        <v>Graduate</v>
      </c>
      <c r="G2142" t="str">
        <f>IFERROR(VLOOKUP(E2142, LookUP_Table!$A$1:$B$4, 2, FALSE), "")</f>
        <v>Graduate</v>
      </c>
      <c r="H2142">
        <v>0</v>
      </c>
      <c r="I2142">
        <v>0</v>
      </c>
      <c r="J2142" t="str">
        <f t="shared" si="198"/>
        <v>Non-Smoker</v>
      </c>
      <c r="K2142">
        <v>0</v>
      </c>
      <c r="L2142">
        <v>0</v>
      </c>
      <c r="M2142">
        <v>0</v>
      </c>
      <c r="N2142">
        <v>0</v>
      </c>
      <c r="O2142">
        <v>286</v>
      </c>
      <c r="P2142" t="str">
        <f t="shared" si="199"/>
        <v>High</v>
      </c>
      <c r="Q2142">
        <v>119</v>
      </c>
      <c r="R2142">
        <v>85.5</v>
      </c>
      <c r="S2142">
        <v>22.29</v>
      </c>
      <c r="T2142" t="str">
        <f t="shared" si="200"/>
        <v>Normal</v>
      </c>
      <c r="U2142">
        <v>60</v>
      </c>
      <c r="V2142">
        <v>72</v>
      </c>
      <c r="W2142" t="str">
        <f t="shared" si="203"/>
        <v>Normal</v>
      </c>
      <c r="X2142">
        <v>0</v>
      </c>
    </row>
    <row r="2143" spans="1:24" ht="14.5" thickBot="1" x14ac:dyDescent="0.35">
      <c r="A2143">
        <v>0</v>
      </c>
      <c r="B2143" t="str">
        <f t="shared" si="201"/>
        <v>Female</v>
      </c>
      <c r="C2143" s="8">
        <v>49</v>
      </c>
      <c r="D2143" t="str">
        <f t="shared" si="202"/>
        <v>Middle Age</v>
      </c>
      <c r="E2143">
        <v>2</v>
      </c>
      <c r="F2143" t="str">
        <f>HLOOKUP(E2143, LookUP_Table!$A$6:$D$7, 2, FALSE)</f>
        <v>Secondary</v>
      </c>
      <c r="G2143" t="str">
        <f>IFERROR(VLOOKUP(E2143, LookUP_Table!$A$1:$B$4, 2, FALSE), "")</f>
        <v>Secondary</v>
      </c>
      <c r="H2143">
        <v>0</v>
      </c>
      <c r="I2143">
        <v>0</v>
      </c>
      <c r="J2143" t="str">
        <f t="shared" si="198"/>
        <v>Non-Smoker</v>
      </c>
      <c r="K2143">
        <v>0</v>
      </c>
      <c r="L2143">
        <v>0</v>
      </c>
      <c r="M2143">
        <v>0</v>
      </c>
      <c r="N2143">
        <v>0</v>
      </c>
      <c r="O2143">
        <v>275</v>
      </c>
      <c r="P2143" t="str">
        <f t="shared" si="199"/>
        <v>High</v>
      </c>
      <c r="Q2143">
        <v>155</v>
      </c>
      <c r="R2143">
        <v>89</v>
      </c>
      <c r="S2143">
        <v>25.01</v>
      </c>
      <c r="T2143" t="str">
        <f t="shared" si="200"/>
        <v>Overweight</v>
      </c>
      <c r="U2143">
        <v>74</v>
      </c>
      <c r="V2143">
        <v>85</v>
      </c>
      <c r="W2143" t="str">
        <f t="shared" si="203"/>
        <v>Normal</v>
      </c>
      <c r="X2143">
        <v>0</v>
      </c>
    </row>
    <row r="2144" spans="1:24" ht="14.5" thickBot="1" x14ac:dyDescent="0.35">
      <c r="A2144">
        <v>0</v>
      </c>
      <c r="B2144" t="str">
        <f t="shared" si="201"/>
        <v>Female</v>
      </c>
      <c r="C2144" s="8">
        <v>49</v>
      </c>
      <c r="D2144" t="str">
        <f t="shared" si="202"/>
        <v>Middle Age</v>
      </c>
      <c r="E2144">
        <v>3</v>
      </c>
      <c r="F2144" t="str">
        <f>HLOOKUP(E2144, LookUP_Table!$A$6:$D$7, 2, FALSE)</f>
        <v>Graduate</v>
      </c>
      <c r="G2144" t="str">
        <f>IFERROR(VLOOKUP(E2144, LookUP_Table!$A$1:$B$4, 2, FALSE), "")</f>
        <v>Graduate</v>
      </c>
      <c r="H2144">
        <v>0</v>
      </c>
      <c r="I2144">
        <v>0</v>
      </c>
      <c r="J2144" t="str">
        <f t="shared" si="198"/>
        <v>Non-Smoker</v>
      </c>
      <c r="K2144">
        <v>0</v>
      </c>
      <c r="L2144">
        <v>0</v>
      </c>
      <c r="M2144">
        <v>0</v>
      </c>
      <c r="N2144">
        <v>0</v>
      </c>
      <c r="O2144">
        <v>203</v>
      </c>
      <c r="P2144" t="str">
        <f t="shared" si="199"/>
        <v>Normal</v>
      </c>
      <c r="Q2144">
        <v>128</v>
      </c>
      <c r="R2144">
        <v>72</v>
      </c>
      <c r="S2144">
        <v>24.87</v>
      </c>
      <c r="T2144" t="str">
        <f t="shared" si="200"/>
        <v>Normal</v>
      </c>
      <c r="U2144">
        <v>75</v>
      </c>
      <c r="V2144">
        <v>82</v>
      </c>
      <c r="W2144" t="str">
        <f t="shared" si="203"/>
        <v>Normal</v>
      </c>
      <c r="X2144">
        <v>0</v>
      </c>
    </row>
    <row r="2145" spans="1:24" ht="14.5" thickBot="1" x14ac:dyDescent="0.35">
      <c r="A2145">
        <v>1</v>
      </c>
      <c r="B2145" t="str">
        <f t="shared" si="201"/>
        <v>Male</v>
      </c>
      <c r="C2145" s="8">
        <v>49</v>
      </c>
      <c r="D2145" t="str">
        <f t="shared" si="202"/>
        <v>Middle Age</v>
      </c>
      <c r="E2145">
        <v>2</v>
      </c>
      <c r="F2145" t="str">
        <f>HLOOKUP(E2145, LookUP_Table!$A$6:$D$7, 2, FALSE)</f>
        <v>Secondary</v>
      </c>
      <c r="G2145" t="str">
        <f>IFERROR(VLOOKUP(E2145, LookUP_Table!$A$1:$B$4, 2, FALSE), "")</f>
        <v>Secondary</v>
      </c>
      <c r="H2145">
        <v>1</v>
      </c>
      <c r="I2145">
        <v>50</v>
      </c>
      <c r="J2145" t="str">
        <f t="shared" si="198"/>
        <v>Smoker</v>
      </c>
      <c r="K2145">
        <v>0</v>
      </c>
      <c r="L2145">
        <v>0</v>
      </c>
      <c r="M2145">
        <v>0</v>
      </c>
      <c r="N2145">
        <v>0</v>
      </c>
      <c r="O2145">
        <v>252</v>
      </c>
      <c r="P2145" t="str">
        <f t="shared" si="199"/>
        <v>High</v>
      </c>
      <c r="Q2145">
        <v>156</v>
      </c>
      <c r="R2145">
        <v>91</v>
      </c>
      <c r="S2145">
        <v>25.35</v>
      </c>
      <c r="T2145" t="str">
        <f t="shared" si="200"/>
        <v>Overweight</v>
      </c>
      <c r="U2145">
        <v>70</v>
      </c>
      <c r="V2145">
        <v>114</v>
      </c>
      <c r="W2145" t="str">
        <f t="shared" si="203"/>
        <v>Prediabetes</v>
      </c>
      <c r="X2145">
        <v>1</v>
      </c>
    </row>
    <row r="2146" spans="1:24" ht="14.5" thickBot="1" x14ac:dyDescent="0.35">
      <c r="A2146">
        <v>1</v>
      </c>
      <c r="B2146" t="str">
        <f t="shared" si="201"/>
        <v>Male</v>
      </c>
      <c r="C2146" s="8">
        <v>49</v>
      </c>
      <c r="D2146" t="str">
        <f t="shared" si="202"/>
        <v>Middle Age</v>
      </c>
      <c r="E2146">
        <v>1</v>
      </c>
      <c r="F2146" t="str">
        <f>HLOOKUP(E2146, LookUP_Table!$A$6:$D$7, 2, FALSE)</f>
        <v>Primary</v>
      </c>
      <c r="G2146" t="str">
        <f>IFERROR(VLOOKUP(E2146, LookUP_Table!$A$1:$B$4, 2, FALSE), "")</f>
        <v>Primary</v>
      </c>
      <c r="H2146">
        <v>1</v>
      </c>
      <c r="I2146">
        <v>20</v>
      </c>
      <c r="J2146" t="str">
        <f t="shared" si="198"/>
        <v>Smoker</v>
      </c>
      <c r="K2146">
        <v>0</v>
      </c>
      <c r="L2146">
        <v>0</v>
      </c>
      <c r="M2146">
        <v>0</v>
      </c>
      <c r="N2146">
        <v>0</v>
      </c>
      <c r="O2146">
        <v>222</v>
      </c>
      <c r="P2146" t="str">
        <f t="shared" si="199"/>
        <v>Normal</v>
      </c>
      <c r="Q2146">
        <v>124</v>
      </c>
      <c r="R2146">
        <v>86</v>
      </c>
      <c r="S2146">
        <v>27.25</v>
      </c>
      <c r="T2146" t="str">
        <f t="shared" si="200"/>
        <v>Overweight</v>
      </c>
      <c r="U2146">
        <v>80</v>
      </c>
      <c r="V2146">
        <v>81.96365524402907</v>
      </c>
      <c r="W2146" t="str">
        <f t="shared" si="203"/>
        <v>Normal</v>
      </c>
      <c r="X2146">
        <v>0</v>
      </c>
    </row>
    <row r="2147" spans="1:24" ht="14.5" thickBot="1" x14ac:dyDescent="0.35">
      <c r="A2147">
        <v>0</v>
      </c>
      <c r="B2147" t="str">
        <f t="shared" si="201"/>
        <v>Female</v>
      </c>
      <c r="C2147" s="8">
        <v>49</v>
      </c>
      <c r="D2147" t="str">
        <f t="shared" si="202"/>
        <v>Middle Age</v>
      </c>
      <c r="E2147">
        <v>1</v>
      </c>
      <c r="F2147" t="str">
        <f>HLOOKUP(E2147, LookUP_Table!$A$6:$D$7, 2, FALSE)</f>
        <v>Primary</v>
      </c>
      <c r="G2147" t="str">
        <f>IFERROR(VLOOKUP(E2147, LookUP_Table!$A$1:$B$4, 2, FALSE), "")</f>
        <v>Primary</v>
      </c>
      <c r="H2147">
        <v>0</v>
      </c>
      <c r="I2147">
        <v>0</v>
      </c>
      <c r="J2147" t="str">
        <f t="shared" si="198"/>
        <v>Non-Smoker</v>
      </c>
      <c r="K2147">
        <v>0</v>
      </c>
      <c r="L2147">
        <v>0</v>
      </c>
      <c r="M2147">
        <v>0</v>
      </c>
      <c r="N2147">
        <v>0</v>
      </c>
      <c r="O2147">
        <v>307</v>
      </c>
      <c r="P2147" t="str">
        <f t="shared" si="199"/>
        <v>High</v>
      </c>
      <c r="Q2147">
        <v>112.5</v>
      </c>
      <c r="R2147">
        <v>70</v>
      </c>
      <c r="S2147">
        <v>23.86</v>
      </c>
      <c r="T2147" t="str">
        <f t="shared" si="200"/>
        <v>Normal</v>
      </c>
      <c r="U2147">
        <v>60</v>
      </c>
      <c r="V2147">
        <v>72</v>
      </c>
      <c r="W2147" t="str">
        <f t="shared" si="203"/>
        <v>Normal</v>
      </c>
      <c r="X2147">
        <v>0</v>
      </c>
    </row>
    <row r="2148" spans="1:24" ht="14.5" thickBot="1" x14ac:dyDescent="0.35">
      <c r="A2148">
        <v>0</v>
      </c>
      <c r="B2148" t="str">
        <f t="shared" si="201"/>
        <v>Female</v>
      </c>
      <c r="C2148" s="8">
        <v>49</v>
      </c>
      <c r="D2148" t="str">
        <f t="shared" si="202"/>
        <v>Middle Age</v>
      </c>
      <c r="E2148">
        <v>3</v>
      </c>
      <c r="F2148" t="str">
        <f>HLOOKUP(E2148, LookUP_Table!$A$6:$D$7, 2, FALSE)</f>
        <v>Graduate</v>
      </c>
      <c r="G2148" t="str">
        <f>IFERROR(VLOOKUP(E2148, LookUP_Table!$A$1:$B$4, 2, FALSE), "")</f>
        <v>Graduate</v>
      </c>
      <c r="H2148">
        <v>0</v>
      </c>
      <c r="I2148">
        <v>0</v>
      </c>
      <c r="J2148" t="str">
        <f t="shared" si="198"/>
        <v>Non-Smoker</v>
      </c>
      <c r="K2148">
        <v>0</v>
      </c>
      <c r="L2148">
        <v>0</v>
      </c>
      <c r="M2148">
        <v>0</v>
      </c>
      <c r="N2148">
        <v>0</v>
      </c>
      <c r="O2148">
        <v>238</v>
      </c>
      <c r="P2148" t="str">
        <f t="shared" si="199"/>
        <v>Normal</v>
      </c>
      <c r="Q2148">
        <v>97</v>
      </c>
      <c r="R2148">
        <v>67</v>
      </c>
      <c r="S2148">
        <v>23.17</v>
      </c>
      <c r="T2148" t="str">
        <f t="shared" si="200"/>
        <v>Normal</v>
      </c>
      <c r="U2148">
        <v>75</v>
      </c>
      <c r="V2148">
        <v>77</v>
      </c>
      <c r="W2148" t="str">
        <f t="shared" si="203"/>
        <v>Normal</v>
      </c>
      <c r="X2148">
        <v>0</v>
      </c>
    </row>
    <row r="2149" spans="1:24" ht="14.5" thickBot="1" x14ac:dyDescent="0.35">
      <c r="A2149">
        <v>0</v>
      </c>
      <c r="B2149" t="str">
        <f t="shared" si="201"/>
        <v>Female</v>
      </c>
      <c r="C2149" s="8">
        <v>49</v>
      </c>
      <c r="D2149" t="str">
        <f t="shared" si="202"/>
        <v>Middle Age</v>
      </c>
      <c r="E2149">
        <v>1</v>
      </c>
      <c r="F2149" t="str">
        <f>HLOOKUP(E2149, LookUP_Table!$A$6:$D$7, 2, FALSE)</f>
        <v>Primary</v>
      </c>
      <c r="G2149" t="str">
        <f>IFERROR(VLOOKUP(E2149, LookUP_Table!$A$1:$B$4, 2, FALSE), "")</f>
        <v>Primary</v>
      </c>
      <c r="H2149">
        <v>0</v>
      </c>
      <c r="I2149">
        <v>0</v>
      </c>
      <c r="J2149" t="str">
        <f t="shared" si="198"/>
        <v>Non-Smoker</v>
      </c>
      <c r="K2149">
        <v>0</v>
      </c>
      <c r="L2149">
        <v>0</v>
      </c>
      <c r="M2149">
        <v>0</v>
      </c>
      <c r="N2149">
        <v>0</v>
      </c>
      <c r="O2149">
        <v>193</v>
      </c>
      <c r="P2149" t="str">
        <f t="shared" si="199"/>
        <v>Normal</v>
      </c>
      <c r="Q2149">
        <v>134</v>
      </c>
      <c r="R2149">
        <v>88</v>
      </c>
      <c r="S2149">
        <v>25.77</v>
      </c>
      <c r="T2149" t="str">
        <f t="shared" si="200"/>
        <v>Overweight</v>
      </c>
      <c r="U2149">
        <v>69</v>
      </c>
      <c r="V2149">
        <v>76</v>
      </c>
      <c r="W2149" t="str">
        <f t="shared" si="203"/>
        <v>Normal</v>
      </c>
      <c r="X2149">
        <v>0</v>
      </c>
    </row>
    <row r="2150" spans="1:24" ht="14.5" thickBot="1" x14ac:dyDescent="0.35">
      <c r="A2150">
        <v>0</v>
      </c>
      <c r="B2150" t="str">
        <f t="shared" si="201"/>
        <v>Female</v>
      </c>
      <c r="C2150" s="8">
        <v>49</v>
      </c>
      <c r="D2150" t="str">
        <f t="shared" si="202"/>
        <v>Middle Age</v>
      </c>
      <c r="E2150">
        <v>4</v>
      </c>
      <c r="F2150" t="str">
        <f>HLOOKUP(E2150, LookUP_Table!$A$6:$D$7, 2, FALSE)</f>
        <v>Post Graduate</v>
      </c>
      <c r="G2150" t="str">
        <f>IFERROR(VLOOKUP(E2150, LookUP_Table!$A$1:$B$4, 2, FALSE), "")</f>
        <v>Post Graduate</v>
      </c>
      <c r="H2150">
        <v>0</v>
      </c>
      <c r="I2150">
        <v>0</v>
      </c>
      <c r="J2150" t="str">
        <f t="shared" si="198"/>
        <v>Non-Smoker</v>
      </c>
      <c r="K2150">
        <v>0</v>
      </c>
      <c r="L2150">
        <v>0</v>
      </c>
      <c r="M2150">
        <v>0</v>
      </c>
      <c r="N2150">
        <v>0</v>
      </c>
      <c r="O2150">
        <v>224</v>
      </c>
      <c r="P2150" t="str">
        <f t="shared" si="199"/>
        <v>Normal</v>
      </c>
      <c r="Q2150">
        <v>130</v>
      </c>
      <c r="R2150">
        <v>87</v>
      </c>
      <c r="S2150">
        <v>29.01</v>
      </c>
      <c r="T2150" t="str">
        <f t="shared" si="200"/>
        <v>Overweight</v>
      </c>
      <c r="U2150">
        <v>75</v>
      </c>
      <c r="V2150">
        <v>73</v>
      </c>
      <c r="W2150" t="str">
        <f t="shared" si="203"/>
        <v>Normal</v>
      </c>
      <c r="X2150">
        <v>0</v>
      </c>
    </row>
    <row r="2151" spans="1:24" ht="14.5" thickBot="1" x14ac:dyDescent="0.35">
      <c r="A2151">
        <v>0</v>
      </c>
      <c r="B2151" t="str">
        <f t="shared" si="201"/>
        <v>Female</v>
      </c>
      <c r="C2151" s="8">
        <v>49</v>
      </c>
      <c r="D2151" t="str">
        <f t="shared" si="202"/>
        <v>Middle Age</v>
      </c>
      <c r="E2151">
        <v>2</v>
      </c>
      <c r="F2151" t="str">
        <f>HLOOKUP(E2151, LookUP_Table!$A$6:$D$7, 2, FALSE)</f>
        <v>Secondary</v>
      </c>
      <c r="G2151" t="str">
        <f>IFERROR(VLOOKUP(E2151, LookUP_Table!$A$1:$B$4, 2, FALSE), "")</f>
        <v>Secondary</v>
      </c>
      <c r="H2151">
        <v>1</v>
      </c>
      <c r="I2151">
        <v>20</v>
      </c>
      <c r="J2151" t="str">
        <f t="shared" si="198"/>
        <v>Smoker</v>
      </c>
      <c r="K2151">
        <v>0</v>
      </c>
      <c r="L2151">
        <v>0</v>
      </c>
      <c r="M2151">
        <v>0</v>
      </c>
      <c r="N2151">
        <v>0</v>
      </c>
      <c r="O2151">
        <v>283</v>
      </c>
      <c r="P2151" t="str">
        <f t="shared" si="199"/>
        <v>High</v>
      </c>
      <c r="Q2151">
        <v>127</v>
      </c>
      <c r="R2151">
        <v>86</v>
      </c>
      <c r="S2151">
        <v>23.68</v>
      </c>
      <c r="T2151" t="str">
        <f t="shared" si="200"/>
        <v>Normal</v>
      </c>
      <c r="U2151">
        <v>95</v>
      </c>
      <c r="V2151">
        <v>78</v>
      </c>
      <c r="W2151" t="str">
        <f t="shared" si="203"/>
        <v>Normal</v>
      </c>
      <c r="X2151">
        <v>0</v>
      </c>
    </row>
    <row r="2152" spans="1:24" ht="14.5" thickBot="1" x14ac:dyDescent="0.35">
      <c r="A2152">
        <v>1</v>
      </c>
      <c r="B2152" t="str">
        <f t="shared" si="201"/>
        <v>Male</v>
      </c>
      <c r="C2152" s="8">
        <v>49</v>
      </c>
      <c r="D2152" t="str">
        <f t="shared" si="202"/>
        <v>Middle Age</v>
      </c>
      <c r="E2152">
        <v>1</v>
      </c>
      <c r="F2152" t="str">
        <f>HLOOKUP(E2152, LookUP_Table!$A$6:$D$7, 2, FALSE)</f>
        <v>Primary</v>
      </c>
      <c r="G2152" t="str">
        <f>IFERROR(VLOOKUP(E2152, LookUP_Table!$A$1:$B$4, 2, FALSE), "")</f>
        <v>Primary</v>
      </c>
      <c r="H2152">
        <v>1</v>
      </c>
      <c r="I2152">
        <v>20</v>
      </c>
      <c r="J2152" t="str">
        <f t="shared" si="198"/>
        <v>Smoker</v>
      </c>
      <c r="K2152">
        <v>0</v>
      </c>
      <c r="L2152">
        <v>0</v>
      </c>
      <c r="M2152">
        <v>0</v>
      </c>
      <c r="N2152">
        <v>0</v>
      </c>
      <c r="O2152">
        <v>247</v>
      </c>
      <c r="P2152" t="str">
        <f t="shared" si="199"/>
        <v>High</v>
      </c>
      <c r="Q2152">
        <v>150</v>
      </c>
      <c r="R2152">
        <v>88</v>
      </c>
      <c r="S2152">
        <v>27.92</v>
      </c>
      <c r="T2152" t="str">
        <f t="shared" si="200"/>
        <v>Overweight</v>
      </c>
      <c r="U2152">
        <v>75</v>
      </c>
      <c r="V2152">
        <v>74</v>
      </c>
      <c r="W2152" t="str">
        <f t="shared" si="203"/>
        <v>Normal</v>
      </c>
      <c r="X2152">
        <v>1</v>
      </c>
    </row>
    <row r="2153" spans="1:24" ht="14.5" thickBot="1" x14ac:dyDescent="0.35">
      <c r="A2153">
        <v>0</v>
      </c>
      <c r="B2153" t="str">
        <f t="shared" si="201"/>
        <v>Female</v>
      </c>
      <c r="C2153" s="8">
        <v>49</v>
      </c>
      <c r="D2153" t="str">
        <f t="shared" si="202"/>
        <v>Middle Age</v>
      </c>
      <c r="E2153">
        <v>2</v>
      </c>
      <c r="F2153" t="str">
        <f>HLOOKUP(E2153, LookUP_Table!$A$6:$D$7, 2, FALSE)</f>
        <v>Secondary</v>
      </c>
      <c r="G2153" t="str">
        <f>IFERROR(VLOOKUP(E2153, LookUP_Table!$A$1:$B$4, 2, FALSE), "")</f>
        <v>Secondary</v>
      </c>
      <c r="H2153">
        <v>1</v>
      </c>
      <c r="I2153">
        <v>30</v>
      </c>
      <c r="J2153" t="str">
        <f t="shared" si="198"/>
        <v>Smoker</v>
      </c>
      <c r="K2153">
        <v>1</v>
      </c>
      <c r="L2153">
        <v>0</v>
      </c>
      <c r="M2153">
        <v>1</v>
      </c>
      <c r="N2153">
        <v>0</v>
      </c>
      <c r="O2153">
        <v>350</v>
      </c>
      <c r="P2153" t="str">
        <f t="shared" si="199"/>
        <v>High</v>
      </c>
      <c r="Q2153">
        <v>174</v>
      </c>
      <c r="R2153">
        <v>90</v>
      </c>
      <c r="S2153">
        <v>18.440000000000001</v>
      </c>
      <c r="T2153" t="str">
        <f t="shared" si="200"/>
        <v>Underweight</v>
      </c>
      <c r="U2153">
        <v>110</v>
      </c>
      <c r="V2153">
        <v>78</v>
      </c>
      <c r="W2153" t="str">
        <f t="shared" si="203"/>
        <v>Normal</v>
      </c>
      <c r="X2153">
        <v>0</v>
      </c>
    </row>
    <row r="2154" spans="1:24" ht="14.5" thickBot="1" x14ac:dyDescent="0.35">
      <c r="A2154">
        <v>0</v>
      </c>
      <c r="B2154" t="str">
        <f t="shared" si="201"/>
        <v>Female</v>
      </c>
      <c r="C2154" s="8">
        <v>49</v>
      </c>
      <c r="D2154" t="str">
        <f t="shared" si="202"/>
        <v>Middle Age</v>
      </c>
      <c r="E2154">
        <v>2</v>
      </c>
      <c r="F2154" t="str">
        <f>HLOOKUP(E2154, LookUP_Table!$A$6:$D$7, 2, FALSE)</f>
        <v>Secondary</v>
      </c>
      <c r="G2154" t="str">
        <f>IFERROR(VLOOKUP(E2154, LookUP_Table!$A$1:$B$4, 2, FALSE), "")</f>
        <v>Secondary</v>
      </c>
      <c r="H2154">
        <v>1</v>
      </c>
      <c r="I2154">
        <v>1</v>
      </c>
      <c r="J2154" t="str">
        <f t="shared" si="198"/>
        <v>Smoker</v>
      </c>
      <c r="K2154">
        <v>0</v>
      </c>
      <c r="L2154">
        <v>0</v>
      </c>
      <c r="M2154">
        <v>0</v>
      </c>
      <c r="N2154">
        <v>0</v>
      </c>
      <c r="O2154">
        <v>240</v>
      </c>
      <c r="P2154" t="str">
        <f t="shared" si="199"/>
        <v>Normal</v>
      </c>
      <c r="Q2154">
        <v>110</v>
      </c>
      <c r="R2154">
        <v>71</v>
      </c>
      <c r="S2154">
        <v>22.02</v>
      </c>
      <c r="T2154" t="str">
        <f t="shared" si="200"/>
        <v>Normal</v>
      </c>
      <c r="U2154">
        <v>73</v>
      </c>
      <c r="V2154">
        <v>84</v>
      </c>
      <c r="W2154" t="str">
        <f t="shared" si="203"/>
        <v>Normal</v>
      </c>
      <c r="X2154">
        <v>0</v>
      </c>
    </row>
    <row r="2155" spans="1:24" ht="14.5" thickBot="1" x14ac:dyDescent="0.35">
      <c r="A2155">
        <v>1</v>
      </c>
      <c r="B2155" t="str">
        <f t="shared" si="201"/>
        <v>Male</v>
      </c>
      <c r="C2155" s="8">
        <v>49</v>
      </c>
      <c r="D2155" t="str">
        <f t="shared" si="202"/>
        <v>Middle Age</v>
      </c>
      <c r="E2155">
        <v>1</v>
      </c>
      <c r="F2155" t="str">
        <f>HLOOKUP(E2155, LookUP_Table!$A$6:$D$7, 2, FALSE)</f>
        <v>Primary</v>
      </c>
      <c r="G2155" t="str">
        <f>IFERROR(VLOOKUP(E2155, LookUP_Table!$A$1:$B$4, 2, FALSE), "")</f>
        <v>Primary</v>
      </c>
      <c r="H2155">
        <v>1</v>
      </c>
      <c r="I2155">
        <v>20</v>
      </c>
      <c r="J2155" t="str">
        <f t="shared" si="198"/>
        <v>Smoker</v>
      </c>
      <c r="K2155">
        <v>0</v>
      </c>
      <c r="L2155">
        <v>0</v>
      </c>
      <c r="M2155">
        <v>0</v>
      </c>
      <c r="N2155">
        <v>0</v>
      </c>
      <c r="O2155">
        <v>206</v>
      </c>
      <c r="P2155" t="str">
        <f t="shared" si="199"/>
        <v>Normal</v>
      </c>
      <c r="Q2155">
        <v>101</v>
      </c>
      <c r="R2155">
        <v>69</v>
      </c>
      <c r="S2155">
        <v>28.4</v>
      </c>
      <c r="T2155" t="str">
        <f t="shared" si="200"/>
        <v>Overweight</v>
      </c>
      <c r="U2155">
        <v>85</v>
      </c>
      <c r="V2155">
        <v>82</v>
      </c>
      <c r="W2155" t="str">
        <f t="shared" si="203"/>
        <v>Normal</v>
      </c>
      <c r="X2155">
        <v>0</v>
      </c>
    </row>
    <row r="2156" spans="1:24" ht="14.5" thickBot="1" x14ac:dyDescent="0.35">
      <c r="A2156">
        <v>0</v>
      </c>
      <c r="B2156" t="str">
        <f t="shared" si="201"/>
        <v>Female</v>
      </c>
      <c r="C2156" s="8">
        <v>49</v>
      </c>
      <c r="D2156" t="str">
        <f t="shared" si="202"/>
        <v>Middle Age</v>
      </c>
      <c r="E2156">
        <v>1</v>
      </c>
      <c r="F2156" t="str">
        <f>HLOOKUP(E2156, LookUP_Table!$A$6:$D$7, 2, FALSE)</f>
        <v>Primary</v>
      </c>
      <c r="G2156" t="str">
        <f>IFERROR(VLOOKUP(E2156, LookUP_Table!$A$1:$B$4, 2, FALSE), "")</f>
        <v>Primary</v>
      </c>
      <c r="H2156">
        <v>1</v>
      </c>
      <c r="I2156">
        <v>9</v>
      </c>
      <c r="J2156" t="str">
        <f t="shared" si="198"/>
        <v>Smoker</v>
      </c>
      <c r="K2156">
        <v>0</v>
      </c>
      <c r="L2156">
        <v>0</v>
      </c>
      <c r="M2156">
        <v>0</v>
      </c>
      <c r="N2156">
        <v>0</v>
      </c>
      <c r="O2156">
        <v>235</v>
      </c>
      <c r="P2156" t="str">
        <f t="shared" si="199"/>
        <v>Normal</v>
      </c>
      <c r="Q2156">
        <v>109</v>
      </c>
      <c r="R2156">
        <v>70</v>
      </c>
      <c r="S2156">
        <v>28.66</v>
      </c>
      <c r="T2156" t="str">
        <f t="shared" si="200"/>
        <v>Overweight</v>
      </c>
      <c r="U2156">
        <v>74</v>
      </c>
      <c r="V2156">
        <v>73</v>
      </c>
      <c r="W2156" t="str">
        <f t="shared" si="203"/>
        <v>Normal</v>
      </c>
      <c r="X2156">
        <v>1</v>
      </c>
    </row>
    <row r="2157" spans="1:24" ht="14.5" thickBot="1" x14ac:dyDescent="0.35">
      <c r="A2157">
        <v>1</v>
      </c>
      <c r="B2157" t="str">
        <f t="shared" si="201"/>
        <v>Male</v>
      </c>
      <c r="C2157" s="8">
        <v>49</v>
      </c>
      <c r="D2157" t="str">
        <f t="shared" si="202"/>
        <v>Middle Age</v>
      </c>
      <c r="E2157">
        <v>2</v>
      </c>
      <c r="F2157" t="str">
        <f>HLOOKUP(E2157, LookUP_Table!$A$6:$D$7, 2, FALSE)</f>
        <v>Secondary</v>
      </c>
      <c r="G2157" t="str">
        <f>IFERROR(VLOOKUP(E2157, LookUP_Table!$A$1:$B$4, 2, FALSE), "")</f>
        <v>Secondary</v>
      </c>
      <c r="H2157">
        <v>0</v>
      </c>
      <c r="I2157">
        <v>0</v>
      </c>
      <c r="J2157" t="str">
        <f t="shared" si="198"/>
        <v>Non-Smoker</v>
      </c>
      <c r="K2157">
        <v>0</v>
      </c>
      <c r="L2157">
        <v>0</v>
      </c>
      <c r="M2157">
        <v>0</v>
      </c>
      <c r="N2157">
        <v>0</v>
      </c>
      <c r="O2157">
        <v>215</v>
      </c>
      <c r="P2157" t="str">
        <f t="shared" si="199"/>
        <v>Normal</v>
      </c>
      <c r="Q2157">
        <v>132</v>
      </c>
      <c r="R2157">
        <v>85</v>
      </c>
      <c r="S2157">
        <v>33.14</v>
      </c>
      <c r="T2157" t="str">
        <f t="shared" si="200"/>
        <v>Obese</v>
      </c>
      <c r="U2157">
        <v>81</v>
      </c>
      <c r="V2157">
        <v>75</v>
      </c>
      <c r="W2157" t="str">
        <f t="shared" si="203"/>
        <v>Normal</v>
      </c>
      <c r="X2157">
        <v>1</v>
      </c>
    </row>
    <row r="2158" spans="1:24" ht="14.5" thickBot="1" x14ac:dyDescent="0.35">
      <c r="A2158">
        <v>0</v>
      </c>
      <c r="B2158" t="str">
        <f t="shared" si="201"/>
        <v>Female</v>
      </c>
      <c r="C2158" s="8">
        <v>49</v>
      </c>
      <c r="D2158" t="str">
        <f t="shared" si="202"/>
        <v>Middle Age</v>
      </c>
      <c r="E2158">
        <v>1</v>
      </c>
      <c r="F2158" t="str">
        <f>HLOOKUP(E2158, LookUP_Table!$A$6:$D$7, 2, FALSE)</f>
        <v>Primary</v>
      </c>
      <c r="G2158" t="str">
        <f>IFERROR(VLOOKUP(E2158, LookUP_Table!$A$1:$B$4, 2, FALSE), "")</f>
        <v>Primary</v>
      </c>
      <c r="H2158">
        <v>0</v>
      </c>
      <c r="I2158">
        <v>0</v>
      </c>
      <c r="J2158" t="str">
        <f t="shared" si="198"/>
        <v>Non-Smoker</v>
      </c>
      <c r="K2158">
        <v>0</v>
      </c>
      <c r="L2158">
        <v>0</v>
      </c>
      <c r="M2158">
        <v>0</v>
      </c>
      <c r="N2158">
        <v>0</v>
      </c>
      <c r="O2158">
        <v>246</v>
      </c>
      <c r="P2158" t="str">
        <f t="shared" si="199"/>
        <v>High</v>
      </c>
      <c r="Q2158">
        <v>107</v>
      </c>
      <c r="R2158">
        <v>73</v>
      </c>
      <c r="S2158">
        <v>29.36</v>
      </c>
      <c r="T2158" t="str">
        <f t="shared" si="200"/>
        <v>Overweight</v>
      </c>
      <c r="U2158">
        <v>79</v>
      </c>
      <c r="V2158">
        <v>80</v>
      </c>
      <c r="W2158" t="str">
        <f t="shared" si="203"/>
        <v>Normal</v>
      </c>
      <c r="X2158">
        <v>0</v>
      </c>
    </row>
    <row r="2159" spans="1:24" ht="14.5" thickBot="1" x14ac:dyDescent="0.35">
      <c r="A2159">
        <v>0</v>
      </c>
      <c r="B2159" t="str">
        <f t="shared" si="201"/>
        <v>Female</v>
      </c>
      <c r="C2159" s="8">
        <v>49</v>
      </c>
      <c r="D2159" t="str">
        <f t="shared" si="202"/>
        <v>Middle Age</v>
      </c>
      <c r="E2159">
        <v>1</v>
      </c>
      <c r="F2159" t="str">
        <f>HLOOKUP(E2159, LookUP_Table!$A$6:$D$7, 2, FALSE)</f>
        <v>Primary</v>
      </c>
      <c r="G2159" t="str">
        <f>IFERROR(VLOOKUP(E2159, LookUP_Table!$A$1:$B$4, 2, FALSE), "")</f>
        <v>Primary</v>
      </c>
      <c r="H2159">
        <v>0</v>
      </c>
      <c r="I2159">
        <v>0</v>
      </c>
      <c r="J2159" t="str">
        <f t="shared" si="198"/>
        <v>Non-Smoker</v>
      </c>
      <c r="K2159">
        <v>0</v>
      </c>
      <c r="L2159">
        <v>0</v>
      </c>
      <c r="M2159">
        <v>1</v>
      </c>
      <c r="N2159">
        <v>0</v>
      </c>
      <c r="O2159">
        <v>205</v>
      </c>
      <c r="P2159" t="str">
        <f t="shared" si="199"/>
        <v>Normal</v>
      </c>
      <c r="Q2159">
        <v>137</v>
      </c>
      <c r="R2159">
        <v>95</v>
      </c>
      <c r="S2159">
        <v>25.29</v>
      </c>
      <c r="T2159" t="str">
        <f t="shared" si="200"/>
        <v>Overweight</v>
      </c>
      <c r="U2159">
        <v>100</v>
      </c>
      <c r="V2159">
        <v>74</v>
      </c>
      <c r="W2159" t="str">
        <f t="shared" si="203"/>
        <v>Normal</v>
      </c>
      <c r="X2159">
        <v>1</v>
      </c>
    </row>
    <row r="2160" spans="1:24" ht="14.5" thickBot="1" x14ac:dyDescent="0.35">
      <c r="A2160">
        <v>0</v>
      </c>
      <c r="B2160" t="str">
        <f t="shared" si="201"/>
        <v>Female</v>
      </c>
      <c r="C2160" s="8">
        <v>49</v>
      </c>
      <c r="D2160" t="str">
        <f t="shared" si="202"/>
        <v>Middle Age</v>
      </c>
      <c r="E2160">
        <v>1</v>
      </c>
      <c r="F2160" t="str">
        <f>HLOOKUP(E2160, LookUP_Table!$A$6:$D$7, 2, FALSE)</f>
        <v>Primary</v>
      </c>
      <c r="G2160" t="str">
        <f>IFERROR(VLOOKUP(E2160, LookUP_Table!$A$1:$B$4, 2, FALSE), "")</f>
        <v>Primary</v>
      </c>
      <c r="H2160">
        <v>1</v>
      </c>
      <c r="I2160">
        <v>9</v>
      </c>
      <c r="J2160" t="str">
        <f t="shared" si="198"/>
        <v>Smoker</v>
      </c>
      <c r="K2160">
        <v>0</v>
      </c>
      <c r="L2160">
        <v>0</v>
      </c>
      <c r="M2160">
        <v>0</v>
      </c>
      <c r="N2160">
        <v>0</v>
      </c>
      <c r="O2160">
        <v>252</v>
      </c>
      <c r="P2160" t="str">
        <f t="shared" si="199"/>
        <v>High</v>
      </c>
      <c r="Q2160">
        <v>123</v>
      </c>
      <c r="R2160">
        <v>69</v>
      </c>
      <c r="S2160">
        <v>21.45</v>
      </c>
      <c r="T2160" t="str">
        <f t="shared" si="200"/>
        <v>Normal</v>
      </c>
      <c r="U2160">
        <v>72</v>
      </c>
      <c r="V2160">
        <v>89</v>
      </c>
      <c r="W2160" t="str">
        <f t="shared" si="203"/>
        <v>Normal</v>
      </c>
      <c r="X2160">
        <v>0</v>
      </c>
    </row>
    <row r="2161" spans="1:24" ht="14.5" thickBot="1" x14ac:dyDescent="0.35">
      <c r="A2161">
        <v>0</v>
      </c>
      <c r="B2161" t="str">
        <f t="shared" si="201"/>
        <v>Female</v>
      </c>
      <c r="C2161" s="8">
        <v>49</v>
      </c>
      <c r="D2161" t="str">
        <f t="shared" si="202"/>
        <v>Middle Age</v>
      </c>
      <c r="E2161">
        <v>1</v>
      </c>
      <c r="F2161" t="str">
        <f>HLOOKUP(E2161, LookUP_Table!$A$6:$D$7, 2, FALSE)</f>
        <v>Primary</v>
      </c>
      <c r="G2161" t="str">
        <f>IFERROR(VLOOKUP(E2161, LookUP_Table!$A$1:$B$4, 2, FALSE), "")</f>
        <v>Primary</v>
      </c>
      <c r="H2161">
        <v>1</v>
      </c>
      <c r="I2161">
        <v>20</v>
      </c>
      <c r="J2161" t="str">
        <f t="shared" si="198"/>
        <v>Smoker</v>
      </c>
      <c r="K2161">
        <v>0</v>
      </c>
      <c r="L2161">
        <v>0</v>
      </c>
      <c r="M2161">
        <v>0</v>
      </c>
      <c r="N2161">
        <v>0</v>
      </c>
      <c r="O2161">
        <v>323</v>
      </c>
      <c r="P2161" t="str">
        <f t="shared" si="199"/>
        <v>High</v>
      </c>
      <c r="Q2161">
        <v>123.5</v>
      </c>
      <c r="R2161">
        <v>78</v>
      </c>
      <c r="S2161">
        <v>22.86</v>
      </c>
      <c r="T2161" t="str">
        <f t="shared" si="200"/>
        <v>Normal</v>
      </c>
      <c r="U2161">
        <v>92</v>
      </c>
      <c r="V2161">
        <v>63</v>
      </c>
      <c r="W2161" t="str">
        <f t="shared" si="203"/>
        <v>Normal</v>
      </c>
      <c r="X2161">
        <v>1</v>
      </c>
    </row>
    <row r="2162" spans="1:24" ht="14.5" thickBot="1" x14ac:dyDescent="0.35">
      <c r="A2162">
        <v>1</v>
      </c>
      <c r="B2162" t="str">
        <f t="shared" si="201"/>
        <v>Male</v>
      </c>
      <c r="C2162" s="8">
        <v>49</v>
      </c>
      <c r="D2162" t="str">
        <f t="shared" si="202"/>
        <v>Middle Age</v>
      </c>
      <c r="E2162">
        <v>3</v>
      </c>
      <c r="F2162" t="str">
        <f>HLOOKUP(E2162, LookUP_Table!$A$6:$D$7, 2, FALSE)</f>
        <v>Graduate</v>
      </c>
      <c r="G2162" t="str">
        <f>IFERROR(VLOOKUP(E2162, LookUP_Table!$A$1:$B$4, 2, FALSE), "")</f>
        <v>Graduate</v>
      </c>
      <c r="H2162">
        <v>1</v>
      </c>
      <c r="I2162">
        <v>20</v>
      </c>
      <c r="J2162" t="str">
        <f t="shared" si="198"/>
        <v>Smoker</v>
      </c>
      <c r="K2162">
        <v>0</v>
      </c>
      <c r="L2162">
        <v>0</v>
      </c>
      <c r="M2162">
        <v>1</v>
      </c>
      <c r="N2162">
        <v>0</v>
      </c>
      <c r="O2162">
        <v>193</v>
      </c>
      <c r="P2162" t="str">
        <f t="shared" si="199"/>
        <v>Normal</v>
      </c>
      <c r="Q2162">
        <v>172</v>
      </c>
      <c r="R2162">
        <v>105</v>
      </c>
      <c r="S2162">
        <v>19.7</v>
      </c>
      <c r="T2162" t="str">
        <f t="shared" si="200"/>
        <v>Normal</v>
      </c>
      <c r="U2162">
        <v>90</v>
      </c>
      <c r="V2162">
        <v>77</v>
      </c>
      <c r="W2162" t="str">
        <f t="shared" si="203"/>
        <v>Normal</v>
      </c>
      <c r="X2162">
        <v>1</v>
      </c>
    </row>
    <row r="2163" spans="1:24" ht="14.5" thickBot="1" x14ac:dyDescent="0.35">
      <c r="A2163">
        <v>1</v>
      </c>
      <c r="B2163" t="str">
        <f t="shared" si="201"/>
        <v>Male</v>
      </c>
      <c r="C2163" s="8">
        <v>49</v>
      </c>
      <c r="D2163" t="str">
        <f t="shared" si="202"/>
        <v>Middle Age</v>
      </c>
      <c r="E2163">
        <v>2</v>
      </c>
      <c r="F2163" t="str">
        <f>HLOOKUP(E2163, LookUP_Table!$A$6:$D$7, 2, FALSE)</f>
        <v>Secondary</v>
      </c>
      <c r="G2163" t="str">
        <f>IFERROR(VLOOKUP(E2163, LookUP_Table!$A$1:$B$4, 2, FALSE), "")</f>
        <v>Secondary</v>
      </c>
      <c r="H2163">
        <v>1</v>
      </c>
      <c r="I2163">
        <v>9</v>
      </c>
      <c r="J2163" t="str">
        <f t="shared" si="198"/>
        <v>Smoker</v>
      </c>
      <c r="K2163">
        <v>0</v>
      </c>
      <c r="L2163">
        <v>0</v>
      </c>
      <c r="M2163">
        <v>0</v>
      </c>
      <c r="N2163">
        <v>0</v>
      </c>
      <c r="O2163">
        <v>193</v>
      </c>
      <c r="P2163" t="str">
        <f t="shared" si="199"/>
        <v>Normal</v>
      </c>
      <c r="Q2163">
        <v>115</v>
      </c>
      <c r="R2163">
        <v>79</v>
      </c>
      <c r="S2163">
        <v>21.86</v>
      </c>
      <c r="T2163" t="str">
        <f t="shared" si="200"/>
        <v>Normal</v>
      </c>
      <c r="U2163">
        <v>48</v>
      </c>
      <c r="V2163">
        <v>88</v>
      </c>
      <c r="W2163" t="str">
        <f t="shared" si="203"/>
        <v>Normal</v>
      </c>
      <c r="X2163">
        <v>0</v>
      </c>
    </row>
    <row r="2164" spans="1:24" ht="14.5" thickBot="1" x14ac:dyDescent="0.35">
      <c r="A2164">
        <v>1</v>
      </c>
      <c r="B2164" t="str">
        <f t="shared" si="201"/>
        <v>Male</v>
      </c>
      <c r="C2164" s="8">
        <v>49</v>
      </c>
      <c r="D2164" t="str">
        <f t="shared" si="202"/>
        <v>Middle Age</v>
      </c>
      <c r="E2164">
        <v>3</v>
      </c>
      <c r="F2164" t="str">
        <f>HLOOKUP(E2164, LookUP_Table!$A$6:$D$7, 2, FALSE)</f>
        <v>Graduate</v>
      </c>
      <c r="G2164" t="str">
        <f>IFERROR(VLOOKUP(E2164, LookUP_Table!$A$1:$B$4, 2, FALSE), "")</f>
        <v>Graduate</v>
      </c>
      <c r="H2164">
        <v>1</v>
      </c>
      <c r="I2164">
        <v>20</v>
      </c>
      <c r="J2164" t="str">
        <f t="shared" si="198"/>
        <v>Smoker</v>
      </c>
      <c r="K2164">
        <v>0</v>
      </c>
      <c r="L2164">
        <v>0</v>
      </c>
      <c r="M2164">
        <v>0</v>
      </c>
      <c r="N2164">
        <v>0</v>
      </c>
      <c r="O2164">
        <v>189</v>
      </c>
      <c r="P2164" t="str">
        <f t="shared" si="199"/>
        <v>Normal</v>
      </c>
      <c r="Q2164">
        <v>132</v>
      </c>
      <c r="R2164">
        <v>76</v>
      </c>
      <c r="S2164">
        <v>20.260000000000002</v>
      </c>
      <c r="T2164" t="str">
        <f t="shared" si="200"/>
        <v>Normal</v>
      </c>
      <c r="U2164">
        <v>75</v>
      </c>
      <c r="V2164">
        <v>60</v>
      </c>
      <c r="W2164" t="str">
        <f t="shared" si="203"/>
        <v>Normal</v>
      </c>
      <c r="X2164">
        <v>0</v>
      </c>
    </row>
    <row r="2165" spans="1:24" ht="14.5" thickBot="1" x14ac:dyDescent="0.35">
      <c r="A2165">
        <v>0</v>
      </c>
      <c r="B2165" t="str">
        <f t="shared" si="201"/>
        <v>Female</v>
      </c>
      <c r="C2165" s="8">
        <v>49</v>
      </c>
      <c r="D2165" t="str">
        <f t="shared" si="202"/>
        <v>Middle Age</v>
      </c>
      <c r="E2165">
        <v>3</v>
      </c>
      <c r="F2165" t="str">
        <f>HLOOKUP(E2165, LookUP_Table!$A$6:$D$7, 2, FALSE)</f>
        <v>Graduate</v>
      </c>
      <c r="G2165" t="str">
        <f>IFERROR(VLOOKUP(E2165, LookUP_Table!$A$1:$B$4, 2, FALSE), "")</f>
        <v>Graduate</v>
      </c>
      <c r="H2165">
        <v>0</v>
      </c>
      <c r="I2165">
        <v>0</v>
      </c>
      <c r="J2165" t="str">
        <f t="shared" si="198"/>
        <v>Non-Smoker</v>
      </c>
      <c r="K2165">
        <v>0</v>
      </c>
      <c r="L2165">
        <v>0</v>
      </c>
      <c r="M2165">
        <v>0</v>
      </c>
      <c r="N2165">
        <v>0</v>
      </c>
      <c r="O2165">
        <v>224</v>
      </c>
      <c r="P2165" t="str">
        <f t="shared" si="199"/>
        <v>Normal</v>
      </c>
      <c r="Q2165">
        <v>126</v>
      </c>
      <c r="R2165">
        <v>82.5</v>
      </c>
      <c r="S2165">
        <v>27.49</v>
      </c>
      <c r="T2165" t="str">
        <f t="shared" si="200"/>
        <v>Overweight</v>
      </c>
      <c r="U2165">
        <v>100</v>
      </c>
      <c r="V2165">
        <v>67</v>
      </c>
      <c r="W2165" t="str">
        <f t="shared" si="203"/>
        <v>Normal</v>
      </c>
      <c r="X2165">
        <v>0</v>
      </c>
    </row>
    <row r="2166" spans="1:24" ht="14.5" thickBot="1" x14ac:dyDescent="0.35">
      <c r="A2166">
        <v>0</v>
      </c>
      <c r="B2166" t="str">
        <f t="shared" si="201"/>
        <v>Female</v>
      </c>
      <c r="C2166" s="8">
        <v>49</v>
      </c>
      <c r="D2166" t="str">
        <f t="shared" si="202"/>
        <v>Middle Age</v>
      </c>
      <c r="E2166">
        <v>4</v>
      </c>
      <c r="F2166" t="str">
        <f>HLOOKUP(E2166, LookUP_Table!$A$6:$D$7, 2, FALSE)</f>
        <v>Post Graduate</v>
      </c>
      <c r="G2166" t="str">
        <f>IFERROR(VLOOKUP(E2166, LookUP_Table!$A$1:$B$4, 2, FALSE), "")</f>
        <v>Post Graduate</v>
      </c>
      <c r="H2166">
        <v>1</v>
      </c>
      <c r="I2166">
        <v>9</v>
      </c>
      <c r="J2166" t="str">
        <f t="shared" si="198"/>
        <v>Smoker</v>
      </c>
      <c r="K2166">
        <v>0</v>
      </c>
      <c r="L2166">
        <v>0</v>
      </c>
      <c r="M2166">
        <v>1</v>
      </c>
      <c r="N2166">
        <v>0</v>
      </c>
      <c r="O2166">
        <v>231</v>
      </c>
      <c r="P2166" t="str">
        <f t="shared" si="199"/>
        <v>Normal</v>
      </c>
      <c r="Q2166">
        <v>137</v>
      </c>
      <c r="R2166">
        <v>96.5</v>
      </c>
      <c r="S2166">
        <v>29.3</v>
      </c>
      <c r="T2166" t="str">
        <f t="shared" si="200"/>
        <v>Overweight</v>
      </c>
      <c r="U2166">
        <v>70</v>
      </c>
      <c r="V2166">
        <v>81.96365524402907</v>
      </c>
      <c r="W2166" t="str">
        <f t="shared" si="203"/>
        <v>Normal</v>
      </c>
      <c r="X2166">
        <v>0</v>
      </c>
    </row>
    <row r="2167" spans="1:24" ht="14.5" thickBot="1" x14ac:dyDescent="0.35">
      <c r="A2167">
        <v>1</v>
      </c>
      <c r="B2167" t="str">
        <f t="shared" si="201"/>
        <v>Male</v>
      </c>
      <c r="C2167" s="8">
        <v>49</v>
      </c>
      <c r="D2167" t="str">
        <f t="shared" si="202"/>
        <v>Middle Age</v>
      </c>
      <c r="E2167">
        <v>1</v>
      </c>
      <c r="F2167" t="str">
        <f>HLOOKUP(E2167, LookUP_Table!$A$6:$D$7, 2, FALSE)</f>
        <v>Primary</v>
      </c>
      <c r="G2167" t="str">
        <f>IFERROR(VLOOKUP(E2167, LookUP_Table!$A$1:$B$4, 2, FALSE), "")</f>
        <v>Primary</v>
      </c>
      <c r="H2167">
        <v>0</v>
      </c>
      <c r="I2167">
        <v>0</v>
      </c>
      <c r="J2167" t="str">
        <f t="shared" si="198"/>
        <v>Non-Smoker</v>
      </c>
      <c r="K2167">
        <v>0</v>
      </c>
      <c r="L2167">
        <v>0</v>
      </c>
      <c r="M2167">
        <v>1</v>
      </c>
      <c r="N2167">
        <v>0</v>
      </c>
      <c r="O2167">
        <v>304</v>
      </c>
      <c r="P2167" t="str">
        <f t="shared" si="199"/>
        <v>High</v>
      </c>
      <c r="Q2167">
        <v>147</v>
      </c>
      <c r="R2167">
        <v>102</v>
      </c>
      <c r="S2167">
        <v>31.67</v>
      </c>
      <c r="T2167" t="str">
        <f t="shared" si="200"/>
        <v>Obese</v>
      </c>
      <c r="U2167">
        <v>70</v>
      </c>
      <c r="V2167">
        <v>77</v>
      </c>
      <c r="W2167" t="str">
        <f t="shared" si="203"/>
        <v>Normal</v>
      </c>
      <c r="X2167">
        <v>0</v>
      </c>
    </row>
    <row r="2168" spans="1:24" ht="14.5" thickBot="1" x14ac:dyDescent="0.35">
      <c r="A2168">
        <v>0</v>
      </c>
      <c r="B2168" t="str">
        <f t="shared" si="201"/>
        <v>Female</v>
      </c>
      <c r="C2168" s="8">
        <v>49</v>
      </c>
      <c r="D2168" t="str">
        <f t="shared" si="202"/>
        <v>Middle Age</v>
      </c>
      <c r="E2168">
        <v>4</v>
      </c>
      <c r="F2168" t="str">
        <f>HLOOKUP(E2168, LookUP_Table!$A$6:$D$7, 2, FALSE)</f>
        <v>Post Graduate</v>
      </c>
      <c r="G2168" t="str">
        <f>IFERROR(VLOOKUP(E2168, LookUP_Table!$A$1:$B$4, 2, FALSE), "")</f>
        <v>Post Graduate</v>
      </c>
      <c r="H2168">
        <v>0</v>
      </c>
      <c r="I2168">
        <v>0</v>
      </c>
      <c r="J2168" t="str">
        <f t="shared" si="198"/>
        <v>Non-Smoker</v>
      </c>
      <c r="K2168">
        <v>0</v>
      </c>
      <c r="L2168">
        <v>0</v>
      </c>
      <c r="M2168">
        <v>1</v>
      </c>
      <c r="N2168">
        <v>0</v>
      </c>
      <c r="O2168">
        <v>168</v>
      </c>
      <c r="P2168" t="str">
        <f t="shared" si="199"/>
        <v>Normal</v>
      </c>
      <c r="Q2168">
        <v>165</v>
      </c>
      <c r="R2168">
        <v>99</v>
      </c>
      <c r="S2168">
        <v>27.1</v>
      </c>
      <c r="T2168" t="str">
        <f t="shared" si="200"/>
        <v>Overweight</v>
      </c>
      <c r="U2168">
        <v>73</v>
      </c>
      <c r="V2168">
        <v>86</v>
      </c>
      <c r="W2168" t="str">
        <f t="shared" si="203"/>
        <v>Normal</v>
      </c>
      <c r="X2168">
        <v>0</v>
      </c>
    </row>
    <row r="2169" spans="1:24" ht="14.5" thickBot="1" x14ac:dyDescent="0.35">
      <c r="A2169">
        <v>1</v>
      </c>
      <c r="B2169" t="str">
        <f t="shared" si="201"/>
        <v>Male</v>
      </c>
      <c r="C2169" s="8">
        <v>49</v>
      </c>
      <c r="D2169" t="str">
        <f t="shared" si="202"/>
        <v>Middle Age</v>
      </c>
      <c r="E2169">
        <v>1</v>
      </c>
      <c r="F2169" t="str">
        <f>HLOOKUP(E2169, LookUP_Table!$A$6:$D$7, 2, FALSE)</f>
        <v>Primary</v>
      </c>
      <c r="G2169" t="str">
        <f>IFERROR(VLOOKUP(E2169, LookUP_Table!$A$1:$B$4, 2, FALSE), "")</f>
        <v>Primary</v>
      </c>
      <c r="H2169">
        <v>1</v>
      </c>
      <c r="I2169">
        <v>20</v>
      </c>
      <c r="J2169" t="str">
        <f t="shared" si="198"/>
        <v>Smoker</v>
      </c>
      <c r="K2169">
        <v>0</v>
      </c>
      <c r="L2169">
        <v>0</v>
      </c>
      <c r="M2169">
        <v>0</v>
      </c>
      <c r="N2169">
        <v>0</v>
      </c>
      <c r="O2169">
        <v>288</v>
      </c>
      <c r="P2169" t="str">
        <f t="shared" si="199"/>
        <v>High</v>
      </c>
      <c r="Q2169">
        <v>128</v>
      </c>
      <c r="R2169">
        <v>89</v>
      </c>
      <c r="S2169">
        <v>35.96</v>
      </c>
      <c r="T2169" t="str">
        <f t="shared" si="200"/>
        <v>Obese</v>
      </c>
      <c r="U2169">
        <v>73</v>
      </c>
      <c r="V2169">
        <v>75</v>
      </c>
      <c r="W2169" t="str">
        <f t="shared" si="203"/>
        <v>Normal</v>
      </c>
      <c r="X2169">
        <v>0</v>
      </c>
    </row>
    <row r="2170" spans="1:24" ht="14.5" thickBot="1" x14ac:dyDescent="0.35">
      <c r="A2170">
        <v>0</v>
      </c>
      <c r="B2170" t="str">
        <f t="shared" si="201"/>
        <v>Female</v>
      </c>
      <c r="C2170" s="8">
        <v>49</v>
      </c>
      <c r="D2170" t="str">
        <f t="shared" si="202"/>
        <v>Middle Age</v>
      </c>
      <c r="E2170">
        <v>1</v>
      </c>
      <c r="F2170" t="str">
        <f>HLOOKUP(E2170, LookUP_Table!$A$6:$D$7, 2, FALSE)</f>
        <v>Primary</v>
      </c>
      <c r="G2170" t="str">
        <f>IFERROR(VLOOKUP(E2170, LookUP_Table!$A$1:$B$4, 2, FALSE), "")</f>
        <v>Primary</v>
      </c>
      <c r="H2170">
        <v>1</v>
      </c>
      <c r="I2170">
        <v>10</v>
      </c>
      <c r="J2170" t="str">
        <f t="shared" si="198"/>
        <v>Smoker</v>
      </c>
      <c r="K2170">
        <v>0</v>
      </c>
      <c r="L2170">
        <v>0</v>
      </c>
      <c r="M2170">
        <v>0</v>
      </c>
      <c r="N2170">
        <v>0</v>
      </c>
      <c r="O2170">
        <v>288</v>
      </c>
      <c r="P2170" t="str">
        <f t="shared" si="199"/>
        <v>High</v>
      </c>
      <c r="Q2170">
        <v>99</v>
      </c>
      <c r="R2170">
        <v>60</v>
      </c>
      <c r="S2170">
        <v>22.19</v>
      </c>
      <c r="T2170" t="str">
        <f t="shared" si="200"/>
        <v>Normal</v>
      </c>
      <c r="U2170">
        <v>77</v>
      </c>
      <c r="V2170">
        <v>76</v>
      </c>
      <c r="W2170" t="str">
        <f t="shared" si="203"/>
        <v>Normal</v>
      </c>
      <c r="X2170">
        <v>0</v>
      </c>
    </row>
    <row r="2171" spans="1:24" ht="14.5" thickBot="1" x14ac:dyDescent="0.35">
      <c r="A2171">
        <v>1</v>
      </c>
      <c r="B2171" t="str">
        <f t="shared" si="201"/>
        <v>Male</v>
      </c>
      <c r="C2171" s="8">
        <v>49</v>
      </c>
      <c r="D2171" t="str">
        <f t="shared" si="202"/>
        <v>Middle Age</v>
      </c>
      <c r="E2171">
        <v>2</v>
      </c>
      <c r="F2171" t="str">
        <f>HLOOKUP(E2171, LookUP_Table!$A$6:$D$7, 2, FALSE)</f>
        <v>Secondary</v>
      </c>
      <c r="G2171" t="str">
        <f>IFERROR(VLOOKUP(E2171, LookUP_Table!$A$1:$B$4, 2, FALSE), "")</f>
        <v>Secondary</v>
      </c>
      <c r="H2171">
        <v>1</v>
      </c>
      <c r="I2171">
        <v>60</v>
      </c>
      <c r="J2171" t="str">
        <f t="shared" si="198"/>
        <v>Smoker</v>
      </c>
      <c r="K2171">
        <v>0</v>
      </c>
      <c r="L2171">
        <v>0</v>
      </c>
      <c r="M2171">
        <v>0</v>
      </c>
      <c r="N2171">
        <v>0</v>
      </c>
      <c r="O2171">
        <v>213</v>
      </c>
      <c r="P2171" t="str">
        <f t="shared" si="199"/>
        <v>Normal</v>
      </c>
      <c r="Q2171">
        <v>123</v>
      </c>
      <c r="R2171">
        <v>75</v>
      </c>
      <c r="S2171">
        <v>24.84</v>
      </c>
      <c r="T2171" t="str">
        <f t="shared" si="200"/>
        <v>Normal</v>
      </c>
      <c r="U2171">
        <v>70</v>
      </c>
      <c r="V2171">
        <v>81.96365524402907</v>
      </c>
      <c r="W2171" t="str">
        <f t="shared" si="203"/>
        <v>Normal</v>
      </c>
      <c r="X2171">
        <v>1</v>
      </c>
    </row>
    <row r="2172" spans="1:24" ht="14.5" thickBot="1" x14ac:dyDescent="0.35">
      <c r="A2172">
        <v>0</v>
      </c>
      <c r="B2172" t="str">
        <f t="shared" si="201"/>
        <v>Female</v>
      </c>
      <c r="C2172" s="8">
        <v>49</v>
      </c>
      <c r="D2172" t="str">
        <f t="shared" si="202"/>
        <v>Middle Age</v>
      </c>
      <c r="E2172">
        <v>2</v>
      </c>
      <c r="F2172" t="str">
        <f>HLOOKUP(E2172, LookUP_Table!$A$6:$D$7, 2, FALSE)</f>
        <v>Secondary</v>
      </c>
      <c r="G2172" t="str">
        <f>IFERROR(VLOOKUP(E2172, LookUP_Table!$A$1:$B$4, 2, FALSE), "")</f>
        <v>Secondary</v>
      </c>
      <c r="H2172">
        <v>0</v>
      </c>
      <c r="I2172">
        <v>0</v>
      </c>
      <c r="J2172" t="str">
        <f t="shared" si="198"/>
        <v>Non-Smoker</v>
      </c>
      <c r="K2172">
        <v>0</v>
      </c>
      <c r="L2172">
        <v>0</v>
      </c>
      <c r="M2172">
        <v>1</v>
      </c>
      <c r="N2172">
        <v>0</v>
      </c>
      <c r="O2172">
        <v>239</v>
      </c>
      <c r="P2172" t="str">
        <f t="shared" si="199"/>
        <v>Normal</v>
      </c>
      <c r="Q2172">
        <v>143</v>
      </c>
      <c r="R2172">
        <v>93</v>
      </c>
      <c r="S2172">
        <v>28.38</v>
      </c>
      <c r="T2172" t="str">
        <f t="shared" si="200"/>
        <v>Overweight</v>
      </c>
      <c r="U2172">
        <v>75</v>
      </c>
      <c r="V2172">
        <v>87</v>
      </c>
      <c r="W2172" t="str">
        <f t="shared" si="203"/>
        <v>Normal</v>
      </c>
      <c r="X2172">
        <v>0</v>
      </c>
    </row>
    <row r="2173" spans="1:24" ht="14.5" thickBot="1" x14ac:dyDescent="0.35">
      <c r="A2173">
        <v>1</v>
      </c>
      <c r="B2173" t="str">
        <f t="shared" si="201"/>
        <v>Male</v>
      </c>
      <c r="C2173" s="8">
        <v>49</v>
      </c>
      <c r="D2173" t="str">
        <f t="shared" si="202"/>
        <v>Middle Age</v>
      </c>
      <c r="E2173">
        <v>4</v>
      </c>
      <c r="F2173" t="str">
        <f>HLOOKUP(E2173, LookUP_Table!$A$6:$D$7, 2, FALSE)</f>
        <v>Post Graduate</v>
      </c>
      <c r="G2173" t="str">
        <f>IFERROR(VLOOKUP(E2173, LookUP_Table!$A$1:$B$4, 2, FALSE), "")</f>
        <v>Post Graduate</v>
      </c>
      <c r="H2173">
        <v>0</v>
      </c>
      <c r="I2173">
        <v>0</v>
      </c>
      <c r="J2173" t="str">
        <f t="shared" si="198"/>
        <v>Non-Smoker</v>
      </c>
      <c r="K2173">
        <v>1</v>
      </c>
      <c r="L2173">
        <v>0</v>
      </c>
      <c r="M2173">
        <v>1</v>
      </c>
      <c r="N2173">
        <v>0</v>
      </c>
      <c r="O2173">
        <v>280</v>
      </c>
      <c r="P2173" t="str">
        <f t="shared" si="199"/>
        <v>High</v>
      </c>
      <c r="Q2173">
        <v>166</v>
      </c>
      <c r="R2173">
        <v>98</v>
      </c>
      <c r="S2173">
        <v>23.03</v>
      </c>
      <c r="T2173" t="str">
        <f t="shared" si="200"/>
        <v>Normal</v>
      </c>
      <c r="U2173">
        <v>70</v>
      </c>
      <c r="V2173">
        <v>72</v>
      </c>
      <c r="W2173" t="str">
        <f t="shared" si="203"/>
        <v>Normal</v>
      </c>
      <c r="X2173">
        <v>1</v>
      </c>
    </row>
    <row r="2174" spans="1:24" ht="14.5" thickBot="1" x14ac:dyDescent="0.35">
      <c r="A2174">
        <v>1</v>
      </c>
      <c r="B2174" t="str">
        <f t="shared" si="201"/>
        <v>Male</v>
      </c>
      <c r="C2174" s="8">
        <v>49</v>
      </c>
      <c r="D2174" t="str">
        <f t="shared" si="202"/>
        <v>Middle Age</v>
      </c>
      <c r="E2174">
        <v>3</v>
      </c>
      <c r="F2174" t="str">
        <f>HLOOKUP(E2174, LookUP_Table!$A$6:$D$7, 2, FALSE)</f>
        <v>Graduate</v>
      </c>
      <c r="G2174" t="str">
        <f>IFERROR(VLOOKUP(E2174, LookUP_Table!$A$1:$B$4, 2, FALSE), "")</f>
        <v>Graduate</v>
      </c>
      <c r="H2174">
        <v>1</v>
      </c>
      <c r="I2174">
        <v>25</v>
      </c>
      <c r="J2174" t="str">
        <f t="shared" si="198"/>
        <v>Smoker</v>
      </c>
      <c r="K2174">
        <v>0</v>
      </c>
      <c r="L2174">
        <v>0</v>
      </c>
      <c r="M2174">
        <v>0</v>
      </c>
      <c r="N2174">
        <v>0</v>
      </c>
      <c r="O2174">
        <v>282</v>
      </c>
      <c r="P2174" t="str">
        <f t="shared" si="199"/>
        <v>High</v>
      </c>
      <c r="Q2174">
        <v>134</v>
      </c>
      <c r="R2174">
        <v>79</v>
      </c>
      <c r="S2174">
        <v>26.87</v>
      </c>
      <c r="T2174" t="str">
        <f t="shared" si="200"/>
        <v>Overweight</v>
      </c>
      <c r="U2174">
        <v>67</v>
      </c>
      <c r="V2174">
        <v>78</v>
      </c>
      <c r="W2174" t="str">
        <f t="shared" si="203"/>
        <v>Normal</v>
      </c>
      <c r="X2174">
        <v>0</v>
      </c>
    </row>
    <row r="2175" spans="1:24" ht="14.5" thickBot="1" x14ac:dyDescent="0.35">
      <c r="A2175">
        <v>0</v>
      </c>
      <c r="B2175" t="str">
        <f t="shared" si="201"/>
        <v>Female</v>
      </c>
      <c r="C2175" s="8">
        <v>49</v>
      </c>
      <c r="D2175" t="str">
        <f t="shared" si="202"/>
        <v>Middle Age</v>
      </c>
      <c r="E2175">
        <v>1</v>
      </c>
      <c r="F2175" t="str">
        <f>HLOOKUP(E2175, LookUP_Table!$A$6:$D$7, 2, FALSE)</f>
        <v>Primary</v>
      </c>
      <c r="G2175" t="str">
        <f>IFERROR(VLOOKUP(E2175, LookUP_Table!$A$1:$B$4, 2, FALSE), "")</f>
        <v>Primary</v>
      </c>
      <c r="H2175">
        <v>0</v>
      </c>
      <c r="I2175">
        <v>0</v>
      </c>
      <c r="J2175" t="str">
        <f t="shared" si="198"/>
        <v>Non-Smoker</v>
      </c>
      <c r="K2175">
        <v>0</v>
      </c>
      <c r="L2175">
        <v>0</v>
      </c>
      <c r="M2175">
        <v>0</v>
      </c>
      <c r="N2175">
        <v>0</v>
      </c>
      <c r="O2175">
        <v>257</v>
      </c>
      <c r="P2175" t="str">
        <f t="shared" si="199"/>
        <v>High</v>
      </c>
      <c r="Q2175">
        <v>115</v>
      </c>
      <c r="R2175">
        <v>75</v>
      </c>
      <c r="S2175">
        <v>25.61</v>
      </c>
      <c r="T2175" t="str">
        <f t="shared" si="200"/>
        <v>Overweight</v>
      </c>
      <c r="U2175">
        <v>72</v>
      </c>
      <c r="V2175">
        <v>74</v>
      </c>
      <c r="W2175" t="str">
        <f t="shared" si="203"/>
        <v>Normal</v>
      </c>
      <c r="X2175">
        <v>0</v>
      </c>
    </row>
    <row r="2176" spans="1:24" ht="14.5" thickBot="1" x14ac:dyDescent="0.35">
      <c r="A2176">
        <v>1</v>
      </c>
      <c r="B2176" t="str">
        <f t="shared" si="201"/>
        <v>Male</v>
      </c>
      <c r="C2176" s="8">
        <v>49</v>
      </c>
      <c r="D2176" t="str">
        <f t="shared" si="202"/>
        <v>Middle Age</v>
      </c>
      <c r="E2176">
        <v>2</v>
      </c>
      <c r="F2176" t="str">
        <f>HLOOKUP(E2176, LookUP_Table!$A$6:$D$7, 2, FALSE)</f>
        <v>Secondary</v>
      </c>
      <c r="G2176" t="str">
        <f>IFERROR(VLOOKUP(E2176, LookUP_Table!$A$1:$B$4, 2, FALSE), "")</f>
        <v>Secondary</v>
      </c>
      <c r="H2176">
        <v>1</v>
      </c>
      <c r="I2176">
        <v>20</v>
      </c>
      <c r="J2176" t="str">
        <f t="shared" si="198"/>
        <v>Smoker</v>
      </c>
      <c r="K2176">
        <v>0</v>
      </c>
      <c r="L2176">
        <v>0</v>
      </c>
      <c r="M2176">
        <v>1</v>
      </c>
      <c r="N2176">
        <v>0</v>
      </c>
      <c r="O2176">
        <v>291</v>
      </c>
      <c r="P2176" t="str">
        <f t="shared" si="199"/>
        <v>High</v>
      </c>
      <c r="Q2176">
        <v>160</v>
      </c>
      <c r="R2176">
        <v>99</v>
      </c>
      <c r="S2176">
        <v>29.91</v>
      </c>
      <c r="T2176" t="str">
        <f t="shared" si="200"/>
        <v>Overweight</v>
      </c>
      <c r="U2176">
        <v>85</v>
      </c>
      <c r="V2176">
        <v>88</v>
      </c>
      <c r="W2176" t="str">
        <f t="shared" si="203"/>
        <v>Normal</v>
      </c>
      <c r="X2176">
        <v>0</v>
      </c>
    </row>
    <row r="2177" spans="1:24" ht="14.5" thickBot="1" x14ac:dyDescent="0.35">
      <c r="A2177">
        <v>1</v>
      </c>
      <c r="B2177" t="str">
        <f t="shared" si="201"/>
        <v>Male</v>
      </c>
      <c r="C2177" s="8">
        <v>49</v>
      </c>
      <c r="D2177" t="str">
        <f t="shared" si="202"/>
        <v>Middle Age</v>
      </c>
      <c r="E2177">
        <v>2</v>
      </c>
      <c r="F2177" t="str">
        <f>HLOOKUP(E2177, LookUP_Table!$A$6:$D$7, 2, FALSE)</f>
        <v>Secondary</v>
      </c>
      <c r="G2177" t="str">
        <f>IFERROR(VLOOKUP(E2177, LookUP_Table!$A$1:$B$4, 2, FALSE), "")</f>
        <v>Secondary</v>
      </c>
      <c r="H2177">
        <v>1</v>
      </c>
      <c r="I2177">
        <v>17</v>
      </c>
      <c r="J2177" t="str">
        <f t="shared" si="198"/>
        <v>Smoker</v>
      </c>
      <c r="K2177">
        <v>0</v>
      </c>
      <c r="L2177">
        <v>0</v>
      </c>
      <c r="M2177">
        <v>0</v>
      </c>
      <c r="N2177">
        <v>0</v>
      </c>
      <c r="O2177">
        <v>211</v>
      </c>
      <c r="P2177" t="str">
        <f t="shared" si="199"/>
        <v>Normal</v>
      </c>
      <c r="Q2177">
        <v>128</v>
      </c>
      <c r="R2177">
        <v>89</v>
      </c>
      <c r="S2177">
        <v>31.07</v>
      </c>
      <c r="T2177" t="str">
        <f t="shared" si="200"/>
        <v>Obese</v>
      </c>
      <c r="U2177">
        <v>75</v>
      </c>
      <c r="V2177">
        <v>76</v>
      </c>
      <c r="W2177" t="str">
        <f t="shared" si="203"/>
        <v>Normal</v>
      </c>
      <c r="X2177">
        <v>1</v>
      </c>
    </row>
    <row r="2178" spans="1:24" ht="14.5" thickBot="1" x14ac:dyDescent="0.35">
      <c r="A2178">
        <v>0</v>
      </c>
      <c r="B2178" t="str">
        <f t="shared" si="201"/>
        <v>Female</v>
      </c>
      <c r="C2178" s="8">
        <v>49</v>
      </c>
      <c r="D2178" t="str">
        <f t="shared" si="202"/>
        <v>Middle Age</v>
      </c>
      <c r="E2178">
        <v>4</v>
      </c>
      <c r="F2178" t="str">
        <f>HLOOKUP(E2178, LookUP_Table!$A$6:$D$7, 2, FALSE)</f>
        <v>Post Graduate</v>
      </c>
      <c r="G2178" t="str">
        <f>IFERROR(VLOOKUP(E2178, LookUP_Table!$A$1:$B$4, 2, FALSE), "")</f>
        <v>Post Graduate</v>
      </c>
      <c r="H2178">
        <v>0</v>
      </c>
      <c r="I2178">
        <v>0</v>
      </c>
      <c r="J2178" t="str">
        <f t="shared" ref="J2178:J2241" si="204">IF(I2178&gt;0,"Smoker","Non-Smoker")</f>
        <v>Non-Smoker</v>
      </c>
      <c r="K2178">
        <v>0</v>
      </c>
      <c r="L2178">
        <v>0</v>
      </c>
      <c r="M2178">
        <v>0</v>
      </c>
      <c r="N2178">
        <v>0</v>
      </c>
      <c r="O2178">
        <v>189</v>
      </c>
      <c r="P2178" t="str">
        <f t="shared" ref="P2178:P2241" si="205">IF(O2178&gt;240,"High","Normal")</f>
        <v>Normal</v>
      </c>
      <c r="Q2178">
        <v>102</v>
      </c>
      <c r="R2178">
        <v>66.5</v>
      </c>
      <c r="S2178">
        <v>23.88</v>
      </c>
      <c r="T2178" t="str">
        <f t="shared" ref="T2178:T2241" si="206">IF(S2178&lt;18.5,"Underweight",
IF(S2178&lt;25,"Normal",
IF(S2178&lt;30,"Overweight","Obese")))</f>
        <v>Normal</v>
      </c>
      <c r="U2178">
        <v>70</v>
      </c>
      <c r="V2178">
        <v>70</v>
      </c>
      <c r="W2178" t="str">
        <f t="shared" si="203"/>
        <v>Normal</v>
      </c>
      <c r="X2178">
        <v>0</v>
      </c>
    </row>
    <row r="2179" spans="1:24" ht="14.5" thickBot="1" x14ac:dyDescent="0.35">
      <c r="A2179">
        <v>1</v>
      </c>
      <c r="B2179" t="str">
        <f t="shared" ref="B2179:B2242" si="207">IF(A2179=0,"Female","Male")</f>
        <v>Male</v>
      </c>
      <c r="C2179" s="8">
        <v>49</v>
      </c>
      <c r="D2179" t="str">
        <f t="shared" ref="D2179:D2242" si="208">IF(C2179&lt;40,"Young",
IF(C2179&lt;55,"Middle Age","Senior"))</f>
        <v>Middle Age</v>
      </c>
      <c r="E2179">
        <v>1</v>
      </c>
      <c r="F2179" t="str">
        <f>HLOOKUP(E2179, LookUP_Table!$A$6:$D$7, 2, FALSE)</f>
        <v>Primary</v>
      </c>
      <c r="G2179" t="str">
        <f>IFERROR(VLOOKUP(E2179, LookUP_Table!$A$1:$B$4, 2, FALSE), "")</f>
        <v>Primary</v>
      </c>
      <c r="H2179">
        <v>0</v>
      </c>
      <c r="I2179">
        <v>0</v>
      </c>
      <c r="J2179" t="str">
        <f t="shared" si="204"/>
        <v>Non-Smoker</v>
      </c>
      <c r="K2179">
        <v>0</v>
      </c>
      <c r="L2179">
        <v>0</v>
      </c>
      <c r="M2179">
        <v>0</v>
      </c>
      <c r="N2179">
        <v>1</v>
      </c>
      <c r="O2179">
        <v>248</v>
      </c>
      <c r="P2179" t="str">
        <f t="shared" si="205"/>
        <v>High</v>
      </c>
      <c r="Q2179">
        <v>130.5</v>
      </c>
      <c r="R2179">
        <v>82</v>
      </c>
      <c r="S2179">
        <v>27.29</v>
      </c>
      <c r="T2179" t="str">
        <f t="shared" si="206"/>
        <v>Overweight</v>
      </c>
      <c r="U2179">
        <v>52</v>
      </c>
      <c r="V2179">
        <v>254</v>
      </c>
      <c r="W2179" t="str">
        <f t="shared" ref="W2179:W2242" si="209">IF(V2179 &lt; 100, "Normal", IF(V2179 &lt;= 125, "Prediabetes", "Diabetes"))</f>
        <v>Diabetes</v>
      </c>
      <c r="X2179">
        <v>0</v>
      </c>
    </row>
    <row r="2180" spans="1:24" ht="14.5" thickBot="1" x14ac:dyDescent="0.35">
      <c r="A2180">
        <v>0</v>
      </c>
      <c r="B2180" t="str">
        <f t="shared" si="207"/>
        <v>Female</v>
      </c>
      <c r="C2180" s="8">
        <v>49</v>
      </c>
      <c r="D2180" t="str">
        <f t="shared" si="208"/>
        <v>Middle Age</v>
      </c>
      <c r="E2180">
        <v>1</v>
      </c>
      <c r="F2180" t="str">
        <f>HLOOKUP(E2180, LookUP_Table!$A$6:$D$7, 2, FALSE)</f>
        <v>Primary</v>
      </c>
      <c r="G2180" t="str">
        <f>IFERROR(VLOOKUP(E2180, LookUP_Table!$A$1:$B$4, 2, FALSE), "")</f>
        <v>Primary</v>
      </c>
      <c r="H2180">
        <v>0</v>
      </c>
      <c r="I2180">
        <v>0</v>
      </c>
      <c r="J2180" t="str">
        <f t="shared" si="204"/>
        <v>Non-Smoker</v>
      </c>
      <c r="K2180">
        <v>0</v>
      </c>
      <c r="L2180">
        <v>0</v>
      </c>
      <c r="M2180">
        <v>1</v>
      </c>
      <c r="N2180">
        <v>0</v>
      </c>
      <c r="O2180">
        <v>254</v>
      </c>
      <c r="P2180" t="str">
        <f t="shared" si="205"/>
        <v>High</v>
      </c>
      <c r="Q2180">
        <v>142</v>
      </c>
      <c r="R2180">
        <v>87</v>
      </c>
      <c r="S2180">
        <v>27.94</v>
      </c>
      <c r="T2180" t="str">
        <f t="shared" si="206"/>
        <v>Overweight</v>
      </c>
      <c r="U2180">
        <v>60</v>
      </c>
      <c r="V2180">
        <v>63</v>
      </c>
      <c r="W2180" t="str">
        <f t="shared" si="209"/>
        <v>Normal</v>
      </c>
      <c r="X2180">
        <v>0</v>
      </c>
    </row>
    <row r="2181" spans="1:24" ht="14.5" thickBot="1" x14ac:dyDescent="0.35">
      <c r="A2181">
        <v>0</v>
      </c>
      <c r="B2181" t="str">
        <f t="shared" si="207"/>
        <v>Female</v>
      </c>
      <c r="C2181" s="8">
        <v>49</v>
      </c>
      <c r="D2181" t="str">
        <f t="shared" si="208"/>
        <v>Middle Age</v>
      </c>
      <c r="E2181">
        <v>3</v>
      </c>
      <c r="F2181" t="str">
        <f>HLOOKUP(E2181, LookUP_Table!$A$6:$D$7, 2, FALSE)</f>
        <v>Graduate</v>
      </c>
      <c r="G2181" t="str">
        <f>IFERROR(VLOOKUP(E2181, LookUP_Table!$A$1:$B$4, 2, FALSE), "")</f>
        <v>Graduate</v>
      </c>
      <c r="H2181">
        <v>0</v>
      </c>
      <c r="I2181">
        <v>0</v>
      </c>
      <c r="J2181" t="str">
        <f t="shared" si="204"/>
        <v>Non-Smoker</v>
      </c>
      <c r="K2181">
        <v>0</v>
      </c>
      <c r="L2181">
        <v>0</v>
      </c>
      <c r="M2181">
        <v>0</v>
      </c>
      <c r="N2181">
        <v>0</v>
      </c>
      <c r="O2181">
        <v>228</v>
      </c>
      <c r="P2181" t="str">
        <f t="shared" si="205"/>
        <v>Normal</v>
      </c>
      <c r="Q2181">
        <v>124</v>
      </c>
      <c r="R2181">
        <v>72</v>
      </c>
      <c r="S2181">
        <v>21.18</v>
      </c>
      <c r="T2181" t="str">
        <f t="shared" si="206"/>
        <v>Normal</v>
      </c>
      <c r="U2181">
        <v>74</v>
      </c>
      <c r="V2181">
        <v>88</v>
      </c>
      <c r="W2181" t="str">
        <f t="shared" si="209"/>
        <v>Normal</v>
      </c>
      <c r="X2181">
        <v>0</v>
      </c>
    </row>
    <row r="2182" spans="1:24" ht="14.5" thickBot="1" x14ac:dyDescent="0.35">
      <c r="A2182">
        <v>0</v>
      </c>
      <c r="B2182" t="str">
        <f t="shared" si="207"/>
        <v>Female</v>
      </c>
      <c r="C2182" s="8">
        <v>49</v>
      </c>
      <c r="D2182" t="str">
        <f t="shared" si="208"/>
        <v>Middle Age</v>
      </c>
      <c r="E2182">
        <v>4</v>
      </c>
      <c r="F2182" t="str">
        <f>HLOOKUP(E2182, LookUP_Table!$A$6:$D$7, 2, FALSE)</f>
        <v>Post Graduate</v>
      </c>
      <c r="G2182" t="str">
        <f>IFERROR(VLOOKUP(E2182, LookUP_Table!$A$1:$B$4, 2, FALSE), "")</f>
        <v>Post Graduate</v>
      </c>
      <c r="H2182">
        <v>1</v>
      </c>
      <c r="I2182">
        <v>20</v>
      </c>
      <c r="J2182" t="str">
        <f t="shared" si="204"/>
        <v>Smoker</v>
      </c>
      <c r="K2182">
        <v>1</v>
      </c>
      <c r="L2182">
        <v>0</v>
      </c>
      <c r="M2182">
        <v>1</v>
      </c>
      <c r="N2182">
        <v>0</v>
      </c>
      <c r="O2182">
        <v>262</v>
      </c>
      <c r="P2182" t="str">
        <f t="shared" si="205"/>
        <v>High</v>
      </c>
      <c r="Q2182">
        <v>147.5</v>
      </c>
      <c r="R2182">
        <v>97.5</v>
      </c>
      <c r="S2182">
        <v>24.96</v>
      </c>
      <c r="T2182" t="str">
        <f t="shared" si="206"/>
        <v>Normal</v>
      </c>
      <c r="U2182">
        <v>60</v>
      </c>
      <c r="V2182">
        <v>67</v>
      </c>
      <c r="W2182" t="str">
        <f t="shared" si="209"/>
        <v>Normal</v>
      </c>
      <c r="X2182">
        <v>0</v>
      </c>
    </row>
    <row r="2183" spans="1:24" ht="14.5" thickBot="1" x14ac:dyDescent="0.35">
      <c r="A2183">
        <v>0</v>
      </c>
      <c r="B2183" t="str">
        <f t="shared" si="207"/>
        <v>Female</v>
      </c>
      <c r="C2183" s="8">
        <v>49</v>
      </c>
      <c r="D2183" t="str">
        <f t="shared" si="208"/>
        <v>Middle Age</v>
      </c>
      <c r="E2183">
        <v>2</v>
      </c>
      <c r="F2183" t="str">
        <f>HLOOKUP(E2183, LookUP_Table!$A$6:$D$7, 2, FALSE)</f>
        <v>Secondary</v>
      </c>
      <c r="G2183" t="str">
        <f>IFERROR(VLOOKUP(E2183, LookUP_Table!$A$1:$B$4, 2, FALSE), "")</f>
        <v>Secondary</v>
      </c>
      <c r="H2183">
        <v>1</v>
      </c>
      <c r="I2183">
        <v>20</v>
      </c>
      <c r="J2183" t="str">
        <f t="shared" si="204"/>
        <v>Smoker</v>
      </c>
      <c r="K2183">
        <v>0</v>
      </c>
      <c r="L2183">
        <v>0</v>
      </c>
      <c r="M2183">
        <v>0</v>
      </c>
      <c r="N2183">
        <v>0</v>
      </c>
      <c r="O2183">
        <v>239</v>
      </c>
      <c r="P2183" t="str">
        <f t="shared" si="205"/>
        <v>Normal</v>
      </c>
      <c r="Q2183">
        <v>123</v>
      </c>
      <c r="R2183">
        <v>72</v>
      </c>
      <c r="S2183">
        <v>23.35</v>
      </c>
      <c r="T2183" t="str">
        <f t="shared" si="206"/>
        <v>Normal</v>
      </c>
      <c r="U2183">
        <v>62</v>
      </c>
      <c r="V2183">
        <v>81.96365524402907</v>
      </c>
      <c r="W2183" t="str">
        <f t="shared" si="209"/>
        <v>Normal</v>
      </c>
      <c r="X2183">
        <v>0</v>
      </c>
    </row>
    <row r="2184" spans="1:24" ht="14.5" thickBot="1" x14ac:dyDescent="0.35">
      <c r="A2184">
        <v>0</v>
      </c>
      <c r="B2184" t="str">
        <f t="shared" si="207"/>
        <v>Female</v>
      </c>
      <c r="C2184" s="8">
        <v>49</v>
      </c>
      <c r="D2184" t="str">
        <f t="shared" si="208"/>
        <v>Middle Age</v>
      </c>
      <c r="E2184">
        <v>2</v>
      </c>
      <c r="F2184" t="str">
        <f>HLOOKUP(E2184, LookUP_Table!$A$6:$D$7, 2, FALSE)</f>
        <v>Secondary</v>
      </c>
      <c r="G2184" t="str">
        <f>IFERROR(VLOOKUP(E2184, LookUP_Table!$A$1:$B$4, 2, FALSE), "")</f>
        <v>Secondary</v>
      </c>
      <c r="H2184">
        <v>1</v>
      </c>
      <c r="I2184">
        <v>20</v>
      </c>
      <c r="J2184" t="str">
        <f t="shared" si="204"/>
        <v>Smoker</v>
      </c>
      <c r="K2184">
        <v>0</v>
      </c>
      <c r="L2184">
        <v>0</v>
      </c>
      <c r="M2184">
        <v>0</v>
      </c>
      <c r="N2184">
        <v>0</v>
      </c>
      <c r="O2184">
        <v>273</v>
      </c>
      <c r="P2184" t="str">
        <f t="shared" si="205"/>
        <v>High</v>
      </c>
      <c r="Q2184">
        <v>147</v>
      </c>
      <c r="R2184">
        <v>89</v>
      </c>
      <c r="S2184">
        <v>24.26</v>
      </c>
      <c r="T2184" t="str">
        <f t="shared" si="206"/>
        <v>Normal</v>
      </c>
      <c r="U2184">
        <v>85</v>
      </c>
      <c r="V2184">
        <v>62</v>
      </c>
      <c r="W2184" t="str">
        <f t="shared" si="209"/>
        <v>Normal</v>
      </c>
      <c r="X2184">
        <v>0</v>
      </c>
    </row>
    <row r="2185" spans="1:24" ht="14.5" thickBot="1" x14ac:dyDescent="0.35">
      <c r="A2185">
        <v>0</v>
      </c>
      <c r="B2185" t="str">
        <f t="shared" si="207"/>
        <v>Female</v>
      </c>
      <c r="C2185" s="8">
        <v>49</v>
      </c>
      <c r="D2185" t="str">
        <f t="shared" si="208"/>
        <v>Middle Age</v>
      </c>
      <c r="E2185">
        <v>1</v>
      </c>
      <c r="F2185" t="str">
        <f>HLOOKUP(E2185, LookUP_Table!$A$6:$D$7, 2, FALSE)</f>
        <v>Primary</v>
      </c>
      <c r="G2185" t="str">
        <f>IFERROR(VLOOKUP(E2185, LookUP_Table!$A$1:$B$4, 2, FALSE), "")</f>
        <v>Primary</v>
      </c>
      <c r="H2185">
        <v>0</v>
      </c>
      <c r="I2185">
        <v>0</v>
      </c>
      <c r="J2185" t="str">
        <f t="shared" si="204"/>
        <v>Non-Smoker</v>
      </c>
      <c r="K2185">
        <v>0</v>
      </c>
      <c r="L2185">
        <v>0</v>
      </c>
      <c r="M2185">
        <v>1</v>
      </c>
      <c r="N2185">
        <v>0</v>
      </c>
      <c r="O2185">
        <v>254</v>
      </c>
      <c r="P2185" t="str">
        <f t="shared" si="205"/>
        <v>High</v>
      </c>
      <c r="Q2185">
        <v>131</v>
      </c>
      <c r="R2185">
        <v>92</v>
      </c>
      <c r="S2185">
        <v>29.22</v>
      </c>
      <c r="T2185" t="str">
        <f t="shared" si="206"/>
        <v>Overweight</v>
      </c>
      <c r="U2185">
        <v>75</v>
      </c>
      <c r="V2185">
        <v>65</v>
      </c>
      <c r="W2185" t="str">
        <f t="shared" si="209"/>
        <v>Normal</v>
      </c>
      <c r="X2185">
        <v>0</v>
      </c>
    </row>
    <row r="2186" spans="1:24" ht="14.5" thickBot="1" x14ac:dyDescent="0.35">
      <c r="A2186">
        <v>1</v>
      </c>
      <c r="B2186" t="str">
        <f t="shared" si="207"/>
        <v>Male</v>
      </c>
      <c r="C2186" s="8">
        <v>49</v>
      </c>
      <c r="D2186" t="str">
        <f t="shared" si="208"/>
        <v>Middle Age</v>
      </c>
      <c r="E2186">
        <v>2</v>
      </c>
      <c r="F2186" t="str">
        <f>HLOOKUP(E2186, LookUP_Table!$A$6:$D$7, 2, FALSE)</f>
        <v>Secondary</v>
      </c>
      <c r="G2186" t="str">
        <f>IFERROR(VLOOKUP(E2186, LookUP_Table!$A$1:$B$4, 2, FALSE), "")</f>
        <v>Secondary</v>
      </c>
      <c r="H2186">
        <v>1</v>
      </c>
      <c r="I2186">
        <v>9</v>
      </c>
      <c r="J2186" t="str">
        <f t="shared" si="204"/>
        <v>Smoker</v>
      </c>
      <c r="K2186">
        <v>0</v>
      </c>
      <c r="L2186">
        <v>0</v>
      </c>
      <c r="M2186">
        <v>1</v>
      </c>
      <c r="N2186">
        <v>0</v>
      </c>
      <c r="O2186">
        <v>278</v>
      </c>
      <c r="P2186" t="str">
        <f t="shared" si="205"/>
        <v>High</v>
      </c>
      <c r="Q2186">
        <v>152</v>
      </c>
      <c r="R2186">
        <v>93</v>
      </c>
      <c r="S2186">
        <v>29.76</v>
      </c>
      <c r="T2186" t="str">
        <f t="shared" si="206"/>
        <v>Overweight</v>
      </c>
      <c r="U2186">
        <v>64</v>
      </c>
      <c r="V2186">
        <v>63</v>
      </c>
      <c r="W2186" t="str">
        <f t="shared" si="209"/>
        <v>Normal</v>
      </c>
      <c r="X2186">
        <v>1</v>
      </c>
    </row>
    <row r="2187" spans="1:24" ht="14.5" thickBot="1" x14ac:dyDescent="0.35">
      <c r="A2187">
        <v>0</v>
      </c>
      <c r="B2187" t="str">
        <f t="shared" si="207"/>
        <v>Female</v>
      </c>
      <c r="C2187" s="8">
        <v>49</v>
      </c>
      <c r="D2187" t="str">
        <f t="shared" si="208"/>
        <v>Middle Age</v>
      </c>
      <c r="E2187">
        <v>1</v>
      </c>
      <c r="F2187" t="str">
        <f>HLOOKUP(E2187, LookUP_Table!$A$6:$D$7, 2, FALSE)</f>
        <v>Primary</v>
      </c>
      <c r="G2187" t="str">
        <f>IFERROR(VLOOKUP(E2187, LookUP_Table!$A$1:$B$4, 2, FALSE), "")</f>
        <v>Primary</v>
      </c>
      <c r="H2187">
        <v>1</v>
      </c>
      <c r="I2187">
        <v>9</v>
      </c>
      <c r="J2187" t="str">
        <f t="shared" si="204"/>
        <v>Smoker</v>
      </c>
      <c r="K2187">
        <v>0</v>
      </c>
      <c r="L2187">
        <v>0</v>
      </c>
      <c r="M2187">
        <v>1</v>
      </c>
      <c r="N2187">
        <v>0</v>
      </c>
      <c r="O2187">
        <v>214</v>
      </c>
      <c r="P2187" t="str">
        <f t="shared" si="205"/>
        <v>Normal</v>
      </c>
      <c r="Q2187">
        <v>172</v>
      </c>
      <c r="R2187">
        <v>111</v>
      </c>
      <c r="S2187">
        <v>40.51</v>
      </c>
      <c r="T2187" t="str">
        <f t="shared" si="206"/>
        <v>Obese</v>
      </c>
      <c r="U2187">
        <v>80</v>
      </c>
      <c r="V2187">
        <v>70</v>
      </c>
      <c r="W2187" t="str">
        <f t="shared" si="209"/>
        <v>Normal</v>
      </c>
      <c r="X2187">
        <v>1</v>
      </c>
    </row>
    <row r="2188" spans="1:24" ht="14.5" thickBot="1" x14ac:dyDescent="0.35">
      <c r="A2188">
        <v>0</v>
      </c>
      <c r="B2188" t="str">
        <f t="shared" si="207"/>
        <v>Female</v>
      </c>
      <c r="C2188" s="8">
        <v>49</v>
      </c>
      <c r="D2188" t="str">
        <f t="shared" si="208"/>
        <v>Middle Age</v>
      </c>
      <c r="E2188">
        <v>1</v>
      </c>
      <c r="F2188" t="str">
        <f>HLOOKUP(E2188, LookUP_Table!$A$6:$D$7, 2, FALSE)</f>
        <v>Primary</v>
      </c>
      <c r="G2188" t="str">
        <f>IFERROR(VLOOKUP(E2188, LookUP_Table!$A$1:$B$4, 2, FALSE), "")</f>
        <v>Primary</v>
      </c>
      <c r="H2188">
        <v>0</v>
      </c>
      <c r="I2188">
        <v>0</v>
      </c>
      <c r="J2188" t="str">
        <f t="shared" si="204"/>
        <v>Non-Smoker</v>
      </c>
      <c r="K2188">
        <v>0</v>
      </c>
      <c r="L2188">
        <v>0</v>
      </c>
      <c r="M2188">
        <v>0</v>
      </c>
      <c r="N2188">
        <v>0</v>
      </c>
      <c r="O2188">
        <v>286</v>
      </c>
      <c r="P2188" t="str">
        <f t="shared" si="205"/>
        <v>High</v>
      </c>
      <c r="Q2188">
        <v>144</v>
      </c>
      <c r="R2188">
        <v>91</v>
      </c>
      <c r="S2188">
        <v>29.35</v>
      </c>
      <c r="T2188" t="str">
        <f t="shared" si="206"/>
        <v>Overweight</v>
      </c>
      <c r="U2188">
        <v>65</v>
      </c>
      <c r="V2188">
        <v>67</v>
      </c>
      <c r="W2188" t="str">
        <f t="shared" si="209"/>
        <v>Normal</v>
      </c>
      <c r="X2188">
        <v>0</v>
      </c>
    </row>
    <row r="2189" spans="1:24" ht="14.5" thickBot="1" x14ac:dyDescent="0.35">
      <c r="A2189">
        <v>0</v>
      </c>
      <c r="B2189" t="str">
        <f t="shared" si="207"/>
        <v>Female</v>
      </c>
      <c r="C2189" s="8">
        <v>49</v>
      </c>
      <c r="D2189" t="str">
        <f t="shared" si="208"/>
        <v>Middle Age</v>
      </c>
      <c r="E2189">
        <v>3</v>
      </c>
      <c r="F2189" t="str">
        <f>HLOOKUP(E2189, LookUP_Table!$A$6:$D$7, 2, FALSE)</f>
        <v>Graduate</v>
      </c>
      <c r="G2189" t="str">
        <f>IFERROR(VLOOKUP(E2189, LookUP_Table!$A$1:$B$4, 2, FALSE), "")</f>
        <v>Graduate</v>
      </c>
      <c r="H2189">
        <v>0</v>
      </c>
      <c r="I2189">
        <v>0</v>
      </c>
      <c r="J2189" t="str">
        <f t="shared" si="204"/>
        <v>Non-Smoker</v>
      </c>
      <c r="K2189">
        <v>0</v>
      </c>
      <c r="L2189">
        <v>0</v>
      </c>
      <c r="M2189">
        <v>0</v>
      </c>
      <c r="N2189">
        <v>0</v>
      </c>
      <c r="O2189">
        <v>278</v>
      </c>
      <c r="P2189" t="str">
        <f t="shared" si="205"/>
        <v>High</v>
      </c>
      <c r="Q2189">
        <v>131</v>
      </c>
      <c r="R2189">
        <v>93</v>
      </c>
      <c r="S2189">
        <v>31.4</v>
      </c>
      <c r="T2189" t="str">
        <f t="shared" si="206"/>
        <v>Obese</v>
      </c>
      <c r="U2189">
        <v>80</v>
      </c>
      <c r="V2189">
        <v>66</v>
      </c>
      <c r="W2189" t="str">
        <f t="shared" si="209"/>
        <v>Normal</v>
      </c>
      <c r="X2189">
        <v>0</v>
      </c>
    </row>
    <row r="2190" spans="1:24" ht="14.5" thickBot="1" x14ac:dyDescent="0.35">
      <c r="A2190">
        <v>0</v>
      </c>
      <c r="B2190" t="str">
        <f t="shared" si="207"/>
        <v>Female</v>
      </c>
      <c r="C2190" s="8">
        <v>49</v>
      </c>
      <c r="D2190" t="str">
        <f t="shared" si="208"/>
        <v>Middle Age</v>
      </c>
      <c r="E2190">
        <v>2</v>
      </c>
      <c r="F2190" t="str">
        <f>HLOOKUP(E2190, LookUP_Table!$A$6:$D$7, 2, FALSE)</f>
        <v>Secondary</v>
      </c>
      <c r="G2190" t="str">
        <f>IFERROR(VLOOKUP(E2190, LookUP_Table!$A$1:$B$4, 2, FALSE), "")</f>
        <v>Secondary</v>
      </c>
      <c r="H2190">
        <v>0</v>
      </c>
      <c r="I2190">
        <v>0</v>
      </c>
      <c r="J2190" t="str">
        <f t="shared" si="204"/>
        <v>Non-Smoker</v>
      </c>
      <c r="K2190">
        <v>0</v>
      </c>
      <c r="L2190">
        <v>0</v>
      </c>
      <c r="M2190">
        <v>0</v>
      </c>
      <c r="N2190">
        <v>0</v>
      </c>
      <c r="O2190">
        <v>165</v>
      </c>
      <c r="P2190" t="str">
        <f t="shared" si="205"/>
        <v>Normal</v>
      </c>
      <c r="Q2190">
        <v>120</v>
      </c>
      <c r="R2190">
        <v>66.5</v>
      </c>
      <c r="S2190">
        <v>21.45</v>
      </c>
      <c r="T2190" t="str">
        <f t="shared" si="206"/>
        <v>Normal</v>
      </c>
      <c r="U2190">
        <v>71</v>
      </c>
      <c r="V2190">
        <v>74</v>
      </c>
      <c r="W2190" t="str">
        <f t="shared" si="209"/>
        <v>Normal</v>
      </c>
      <c r="X2190">
        <v>0</v>
      </c>
    </row>
    <row r="2191" spans="1:24" ht="14.5" thickBot="1" x14ac:dyDescent="0.35">
      <c r="A2191">
        <v>0</v>
      </c>
      <c r="B2191" t="str">
        <f t="shared" si="207"/>
        <v>Female</v>
      </c>
      <c r="C2191" s="8">
        <v>49</v>
      </c>
      <c r="D2191" t="str">
        <f t="shared" si="208"/>
        <v>Middle Age</v>
      </c>
      <c r="E2191">
        <v>1</v>
      </c>
      <c r="F2191" t="str">
        <f>HLOOKUP(E2191, LookUP_Table!$A$6:$D$7, 2, FALSE)</f>
        <v>Primary</v>
      </c>
      <c r="G2191" t="str">
        <f>IFERROR(VLOOKUP(E2191, LookUP_Table!$A$1:$B$4, 2, FALSE), "")</f>
        <v>Primary</v>
      </c>
      <c r="H2191">
        <v>1</v>
      </c>
      <c r="I2191">
        <v>20</v>
      </c>
      <c r="J2191" t="str">
        <f t="shared" si="204"/>
        <v>Smoker</v>
      </c>
      <c r="K2191">
        <v>0</v>
      </c>
      <c r="L2191">
        <v>0</v>
      </c>
      <c r="M2191">
        <v>0</v>
      </c>
      <c r="N2191">
        <v>0</v>
      </c>
      <c r="O2191">
        <v>277</v>
      </c>
      <c r="P2191" t="str">
        <f t="shared" si="205"/>
        <v>High</v>
      </c>
      <c r="Q2191">
        <v>120</v>
      </c>
      <c r="R2191">
        <v>80</v>
      </c>
      <c r="S2191">
        <v>19.72</v>
      </c>
      <c r="T2191" t="str">
        <f t="shared" si="206"/>
        <v>Normal</v>
      </c>
      <c r="U2191">
        <v>60</v>
      </c>
      <c r="V2191">
        <v>75</v>
      </c>
      <c r="W2191" t="str">
        <f t="shared" si="209"/>
        <v>Normal</v>
      </c>
      <c r="X2191">
        <v>0</v>
      </c>
    </row>
    <row r="2192" spans="1:24" ht="14.5" thickBot="1" x14ac:dyDescent="0.35">
      <c r="A2192">
        <v>0</v>
      </c>
      <c r="B2192" t="str">
        <f t="shared" si="207"/>
        <v>Female</v>
      </c>
      <c r="C2192" s="8">
        <v>49</v>
      </c>
      <c r="D2192" t="str">
        <f t="shared" si="208"/>
        <v>Middle Age</v>
      </c>
      <c r="E2192">
        <v>1</v>
      </c>
      <c r="F2192" t="str">
        <f>HLOOKUP(E2192, LookUP_Table!$A$6:$D$7, 2, FALSE)</f>
        <v>Primary</v>
      </c>
      <c r="G2192" t="str">
        <f>IFERROR(VLOOKUP(E2192, LookUP_Table!$A$1:$B$4, 2, FALSE), "")</f>
        <v>Primary</v>
      </c>
      <c r="H2192">
        <v>0</v>
      </c>
      <c r="I2192">
        <v>0</v>
      </c>
      <c r="J2192" t="str">
        <f t="shared" si="204"/>
        <v>Non-Smoker</v>
      </c>
      <c r="K2192">
        <v>0</v>
      </c>
      <c r="L2192">
        <v>0</v>
      </c>
      <c r="M2192">
        <v>0</v>
      </c>
      <c r="N2192">
        <v>0</v>
      </c>
      <c r="O2192">
        <v>224</v>
      </c>
      <c r="P2192" t="str">
        <f t="shared" si="205"/>
        <v>Normal</v>
      </c>
      <c r="Q2192">
        <v>140</v>
      </c>
      <c r="R2192">
        <v>88</v>
      </c>
      <c r="S2192">
        <v>23.79</v>
      </c>
      <c r="T2192" t="str">
        <f t="shared" si="206"/>
        <v>Normal</v>
      </c>
      <c r="U2192">
        <v>80</v>
      </c>
      <c r="V2192">
        <v>86</v>
      </c>
      <c r="W2192" t="str">
        <f t="shared" si="209"/>
        <v>Normal</v>
      </c>
      <c r="X2192">
        <v>0</v>
      </c>
    </row>
    <row r="2193" spans="1:24" ht="14.5" thickBot="1" x14ac:dyDescent="0.35">
      <c r="A2193">
        <v>0</v>
      </c>
      <c r="B2193" t="str">
        <f t="shared" si="207"/>
        <v>Female</v>
      </c>
      <c r="C2193" s="8">
        <v>49</v>
      </c>
      <c r="D2193" t="str">
        <f t="shared" si="208"/>
        <v>Middle Age</v>
      </c>
      <c r="E2193">
        <v>4</v>
      </c>
      <c r="F2193" t="str">
        <f>HLOOKUP(E2193, LookUP_Table!$A$6:$D$7, 2, FALSE)</f>
        <v>Post Graduate</v>
      </c>
      <c r="G2193" t="str">
        <f>IFERROR(VLOOKUP(E2193, LookUP_Table!$A$1:$B$4, 2, FALSE), "")</f>
        <v>Post Graduate</v>
      </c>
      <c r="H2193">
        <v>0</v>
      </c>
      <c r="I2193">
        <v>0</v>
      </c>
      <c r="J2193" t="str">
        <f t="shared" si="204"/>
        <v>Non-Smoker</v>
      </c>
      <c r="K2193">
        <v>0</v>
      </c>
      <c r="L2193">
        <v>0</v>
      </c>
      <c r="M2193">
        <v>0</v>
      </c>
      <c r="N2193">
        <v>0</v>
      </c>
      <c r="O2193">
        <v>232</v>
      </c>
      <c r="P2193" t="str">
        <f t="shared" si="205"/>
        <v>Normal</v>
      </c>
      <c r="Q2193">
        <v>125</v>
      </c>
      <c r="R2193">
        <v>83</v>
      </c>
      <c r="S2193">
        <v>22.17</v>
      </c>
      <c r="T2193" t="str">
        <f t="shared" si="206"/>
        <v>Normal</v>
      </c>
      <c r="U2193">
        <v>70</v>
      </c>
      <c r="V2193">
        <v>77</v>
      </c>
      <c r="W2193" t="str">
        <f t="shared" si="209"/>
        <v>Normal</v>
      </c>
      <c r="X2193">
        <v>0</v>
      </c>
    </row>
    <row r="2194" spans="1:24" ht="14.5" thickBot="1" x14ac:dyDescent="0.35">
      <c r="A2194">
        <v>1</v>
      </c>
      <c r="B2194" t="str">
        <f t="shared" si="207"/>
        <v>Male</v>
      </c>
      <c r="C2194" s="8">
        <v>49</v>
      </c>
      <c r="D2194" t="str">
        <f t="shared" si="208"/>
        <v>Middle Age</v>
      </c>
      <c r="E2194">
        <v>1</v>
      </c>
      <c r="F2194" t="str">
        <f>HLOOKUP(E2194, LookUP_Table!$A$6:$D$7, 2, FALSE)</f>
        <v>Primary</v>
      </c>
      <c r="G2194" t="str">
        <f>IFERROR(VLOOKUP(E2194, LookUP_Table!$A$1:$B$4, 2, FALSE), "")</f>
        <v>Primary</v>
      </c>
      <c r="H2194">
        <v>1</v>
      </c>
      <c r="I2194">
        <v>20</v>
      </c>
      <c r="J2194" t="str">
        <f t="shared" si="204"/>
        <v>Smoker</v>
      </c>
      <c r="K2194">
        <v>0</v>
      </c>
      <c r="L2194">
        <v>0</v>
      </c>
      <c r="M2194">
        <v>1</v>
      </c>
      <c r="N2194">
        <v>0</v>
      </c>
      <c r="O2194">
        <v>270</v>
      </c>
      <c r="P2194" t="str">
        <f t="shared" si="205"/>
        <v>High</v>
      </c>
      <c r="Q2194">
        <v>160.5</v>
      </c>
      <c r="R2194">
        <v>106.5</v>
      </c>
      <c r="S2194">
        <v>30.33</v>
      </c>
      <c r="T2194" t="str">
        <f t="shared" si="206"/>
        <v>Obese</v>
      </c>
      <c r="U2194">
        <v>75</v>
      </c>
      <c r="V2194">
        <v>65</v>
      </c>
      <c r="W2194" t="str">
        <f t="shared" si="209"/>
        <v>Normal</v>
      </c>
      <c r="X2194">
        <v>0</v>
      </c>
    </row>
    <row r="2195" spans="1:24" ht="14.5" thickBot="1" x14ac:dyDescent="0.35">
      <c r="A2195">
        <v>0</v>
      </c>
      <c r="B2195" t="str">
        <f t="shared" si="207"/>
        <v>Female</v>
      </c>
      <c r="C2195" s="8">
        <v>49</v>
      </c>
      <c r="D2195" t="str">
        <f t="shared" si="208"/>
        <v>Middle Age</v>
      </c>
      <c r="E2195">
        <v>2</v>
      </c>
      <c r="F2195" t="str">
        <f>HLOOKUP(E2195, LookUP_Table!$A$6:$D$7, 2, FALSE)</f>
        <v>Secondary</v>
      </c>
      <c r="G2195" t="str">
        <f>IFERROR(VLOOKUP(E2195, LookUP_Table!$A$1:$B$4, 2, FALSE), "")</f>
        <v>Secondary</v>
      </c>
      <c r="H2195">
        <v>1</v>
      </c>
      <c r="I2195">
        <v>20</v>
      </c>
      <c r="J2195" t="str">
        <f t="shared" si="204"/>
        <v>Smoker</v>
      </c>
      <c r="K2195">
        <v>0</v>
      </c>
      <c r="L2195">
        <v>0</v>
      </c>
      <c r="M2195">
        <v>0</v>
      </c>
      <c r="N2195">
        <v>0</v>
      </c>
      <c r="O2195">
        <v>346</v>
      </c>
      <c r="P2195" t="str">
        <f t="shared" si="205"/>
        <v>High</v>
      </c>
      <c r="Q2195">
        <v>130</v>
      </c>
      <c r="R2195">
        <v>80</v>
      </c>
      <c r="S2195">
        <v>22.54</v>
      </c>
      <c r="T2195" t="str">
        <f t="shared" si="206"/>
        <v>Normal</v>
      </c>
      <c r="U2195">
        <v>83</v>
      </c>
      <c r="V2195">
        <v>77</v>
      </c>
      <c r="W2195" t="str">
        <f t="shared" si="209"/>
        <v>Normal</v>
      </c>
      <c r="X2195">
        <v>0</v>
      </c>
    </row>
    <row r="2196" spans="1:24" ht="14.5" thickBot="1" x14ac:dyDescent="0.35">
      <c r="A2196">
        <v>0</v>
      </c>
      <c r="B2196" t="str">
        <f t="shared" si="207"/>
        <v>Female</v>
      </c>
      <c r="C2196" s="8">
        <v>49</v>
      </c>
      <c r="D2196" t="str">
        <f t="shared" si="208"/>
        <v>Middle Age</v>
      </c>
      <c r="E2196">
        <v>2</v>
      </c>
      <c r="F2196" t="str">
        <f>HLOOKUP(E2196, LookUP_Table!$A$6:$D$7, 2, FALSE)</f>
        <v>Secondary</v>
      </c>
      <c r="G2196" t="str">
        <f>IFERROR(VLOOKUP(E2196, LookUP_Table!$A$1:$B$4, 2, FALSE), "")</f>
        <v>Secondary</v>
      </c>
      <c r="H2196">
        <v>0</v>
      </c>
      <c r="I2196">
        <v>0</v>
      </c>
      <c r="J2196" t="str">
        <f t="shared" si="204"/>
        <v>Non-Smoker</v>
      </c>
      <c r="K2196">
        <v>0</v>
      </c>
      <c r="L2196">
        <v>0</v>
      </c>
      <c r="M2196">
        <v>1</v>
      </c>
      <c r="N2196">
        <v>0</v>
      </c>
      <c r="O2196">
        <v>221</v>
      </c>
      <c r="P2196" t="str">
        <f t="shared" si="205"/>
        <v>Normal</v>
      </c>
      <c r="Q2196">
        <v>136</v>
      </c>
      <c r="R2196">
        <v>90</v>
      </c>
      <c r="S2196">
        <v>28.3</v>
      </c>
      <c r="T2196" t="str">
        <f t="shared" si="206"/>
        <v>Overweight</v>
      </c>
      <c r="U2196">
        <v>100</v>
      </c>
      <c r="V2196">
        <v>80</v>
      </c>
      <c r="W2196" t="str">
        <f t="shared" si="209"/>
        <v>Normal</v>
      </c>
      <c r="X2196">
        <v>0</v>
      </c>
    </row>
    <row r="2197" spans="1:24" ht="14.5" thickBot="1" x14ac:dyDescent="0.35">
      <c r="A2197">
        <v>0</v>
      </c>
      <c r="B2197" t="str">
        <f t="shared" si="207"/>
        <v>Female</v>
      </c>
      <c r="C2197" s="8">
        <v>49</v>
      </c>
      <c r="D2197" t="str">
        <f t="shared" si="208"/>
        <v>Middle Age</v>
      </c>
      <c r="E2197">
        <v>1</v>
      </c>
      <c r="F2197" t="str">
        <f>HLOOKUP(E2197, LookUP_Table!$A$6:$D$7, 2, FALSE)</f>
        <v>Primary</v>
      </c>
      <c r="G2197" t="str">
        <f>IFERROR(VLOOKUP(E2197, LookUP_Table!$A$1:$B$4, 2, FALSE), "")</f>
        <v>Primary</v>
      </c>
      <c r="H2197">
        <v>1</v>
      </c>
      <c r="I2197">
        <v>1</v>
      </c>
      <c r="J2197" t="str">
        <f t="shared" si="204"/>
        <v>Smoker</v>
      </c>
      <c r="K2197">
        <v>0</v>
      </c>
      <c r="L2197">
        <v>0</v>
      </c>
      <c r="M2197">
        <v>0</v>
      </c>
      <c r="N2197">
        <v>0</v>
      </c>
      <c r="O2197">
        <v>185</v>
      </c>
      <c r="P2197" t="str">
        <f t="shared" si="205"/>
        <v>Normal</v>
      </c>
      <c r="Q2197">
        <v>108</v>
      </c>
      <c r="R2197">
        <v>70</v>
      </c>
      <c r="S2197">
        <v>20.13</v>
      </c>
      <c r="T2197" t="str">
        <f t="shared" si="206"/>
        <v>Normal</v>
      </c>
      <c r="U2197">
        <v>107</v>
      </c>
      <c r="V2197">
        <v>58</v>
      </c>
      <c r="W2197" t="str">
        <f t="shared" si="209"/>
        <v>Normal</v>
      </c>
      <c r="X2197">
        <v>0</v>
      </c>
    </row>
    <row r="2198" spans="1:24" ht="14.5" thickBot="1" x14ac:dyDescent="0.35">
      <c r="A2198">
        <v>0</v>
      </c>
      <c r="B2198" t="str">
        <f t="shared" si="207"/>
        <v>Female</v>
      </c>
      <c r="C2198" s="8">
        <v>49</v>
      </c>
      <c r="D2198" t="str">
        <f t="shared" si="208"/>
        <v>Middle Age</v>
      </c>
      <c r="E2198">
        <v>3</v>
      </c>
      <c r="F2198" t="str">
        <f>HLOOKUP(E2198, LookUP_Table!$A$6:$D$7, 2, FALSE)</f>
        <v>Graduate</v>
      </c>
      <c r="G2198" t="str">
        <f>IFERROR(VLOOKUP(E2198, LookUP_Table!$A$1:$B$4, 2, FALSE), "")</f>
        <v>Graduate</v>
      </c>
      <c r="H2198">
        <v>0</v>
      </c>
      <c r="I2198">
        <v>0</v>
      </c>
      <c r="J2198" t="str">
        <f t="shared" si="204"/>
        <v>Non-Smoker</v>
      </c>
      <c r="K2198">
        <v>0</v>
      </c>
      <c r="L2198">
        <v>0</v>
      </c>
      <c r="M2198">
        <v>0</v>
      </c>
      <c r="N2198">
        <v>0</v>
      </c>
      <c r="O2198">
        <v>210</v>
      </c>
      <c r="P2198" t="str">
        <f t="shared" si="205"/>
        <v>Normal</v>
      </c>
      <c r="Q2198">
        <v>116</v>
      </c>
      <c r="R2198">
        <v>76</v>
      </c>
      <c r="S2198">
        <v>28.86</v>
      </c>
      <c r="T2198" t="str">
        <f t="shared" si="206"/>
        <v>Overweight</v>
      </c>
      <c r="U2198">
        <v>65</v>
      </c>
      <c r="V2198">
        <v>71</v>
      </c>
      <c r="W2198" t="str">
        <f t="shared" si="209"/>
        <v>Normal</v>
      </c>
      <c r="X2198">
        <v>0</v>
      </c>
    </row>
    <row r="2199" spans="1:24" ht="14.5" thickBot="1" x14ac:dyDescent="0.35">
      <c r="A2199">
        <v>0</v>
      </c>
      <c r="B2199" t="str">
        <f t="shared" si="207"/>
        <v>Female</v>
      </c>
      <c r="C2199" s="8">
        <v>49</v>
      </c>
      <c r="D2199" t="str">
        <f t="shared" si="208"/>
        <v>Middle Age</v>
      </c>
      <c r="E2199">
        <v>1</v>
      </c>
      <c r="F2199" t="str">
        <f>HLOOKUP(E2199, LookUP_Table!$A$6:$D$7, 2, FALSE)</f>
        <v>Primary</v>
      </c>
      <c r="G2199" t="str">
        <f>IFERROR(VLOOKUP(E2199, LookUP_Table!$A$1:$B$4, 2, FALSE), "")</f>
        <v>Primary</v>
      </c>
      <c r="H2199">
        <v>0</v>
      </c>
      <c r="I2199">
        <v>0</v>
      </c>
      <c r="J2199" t="str">
        <f t="shared" si="204"/>
        <v>Non-Smoker</v>
      </c>
      <c r="K2199">
        <v>0</v>
      </c>
      <c r="L2199">
        <v>0</v>
      </c>
      <c r="M2199">
        <v>1</v>
      </c>
      <c r="N2199">
        <v>0</v>
      </c>
      <c r="O2199">
        <v>233</v>
      </c>
      <c r="P2199" t="str">
        <f t="shared" si="205"/>
        <v>Normal</v>
      </c>
      <c r="Q2199">
        <v>149</v>
      </c>
      <c r="R2199">
        <v>91.5</v>
      </c>
      <c r="S2199">
        <v>26.03</v>
      </c>
      <c r="T2199" t="str">
        <f t="shared" si="206"/>
        <v>Overweight</v>
      </c>
      <c r="U2199">
        <v>68</v>
      </c>
      <c r="V2199">
        <v>81.96365524402907</v>
      </c>
      <c r="W2199" t="str">
        <f t="shared" si="209"/>
        <v>Normal</v>
      </c>
      <c r="X2199">
        <v>0</v>
      </c>
    </row>
    <row r="2200" spans="1:24" ht="14.5" thickBot="1" x14ac:dyDescent="0.35">
      <c r="A2200">
        <v>0</v>
      </c>
      <c r="B2200" t="str">
        <f t="shared" si="207"/>
        <v>Female</v>
      </c>
      <c r="C2200" s="8">
        <v>49</v>
      </c>
      <c r="D2200" t="str">
        <f t="shared" si="208"/>
        <v>Middle Age</v>
      </c>
      <c r="E2200">
        <v>3</v>
      </c>
      <c r="F2200" t="str">
        <f>HLOOKUP(E2200, LookUP_Table!$A$6:$D$7, 2, FALSE)</f>
        <v>Graduate</v>
      </c>
      <c r="G2200" t="str">
        <f>IFERROR(VLOOKUP(E2200, LookUP_Table!$A$1:$B$4, 2, FALSE), "")</f>
        <v>Graduate</v>
      </c>
      <c r="H2200">
        <v>0</v>
      </c>
      <c r="I2200">
        <v>0</v>
      </c>
      <c r="J2200" t="str">
        <f t="shared" si="204"/>
        <v>Non-Smoker</v>
      </c>
      <c r="K2200">
        <v>0</v>
      </c>
      <c r="L2200">
        <v>0</v>
      </c>
      <c r="M2200">
        <v>0</v>
      </c>
      <c r="N2200">
        <v>0</v>
      </c>
      <c r="O2200">
        <v>273</v>
      </c>
      <c r="P2200" t="str">
        <f t="shared" si="205"/>
        <v>High</v>
      </c>
      <c r="Q2200">
        <v>154</v>
      </c>
      <c r="R2200">
        <v>80</v>
      </c>
      <c r="S2200">
        <v>20.260000000000002</v>
      </c>
      <c r="T2200" t="str">
        <f t="shared" si="206"/>
        <v>Normal</v>
      </c>
      <c r="U2200">
        <v>75</v>
      </c>
      <c r="V2200">
        <v>63</v>
      </c>
      <c r="W2200" t="str">
        <f t="shared" si="209"/>
        <v>Normal</v>
      </c>
      <c r="X2200">
        <v>0</v>
      </c>
    </row>
    <row r="2201" spans="1:24" ht="14.5" thickBot="1" x14ac:dyDescent="0.35">
      <c r="A2201">
        <v>0</v>
      </c>
      <c r="B2201" t="str">
        <f t="shared" si="207"/>
        <v>Female</v>
      </c>
      <c r="C2201" s="8">
        <v>49</v>
      </c>
      <c r="D2201" t="str">
        <f t="shared" si="208"/>
        <v>Middle Age</v>
      </c>
      <c r="E2201">
        <v>1</v>
      </c>
      <c r="F2201" t="str">
        <f>HLOOKUP(E2201, LookUP_Table!$A$6:$D$7, 2, FALSE)</f>
        <v>Primary</v>
      </c>
      <c r="G2201" t="str">
        <f>IFERROR(VLOOKUP(E2201, LookUP_Table!$A$1:$B$4, 2, FALSE), "")</f>
        <v>Primary</v>
      </c>
      <c r="H2201">
        <v>0</v>
      </c>
      <c r="I2201">
        <v>0</v>
      </c>
      <c r="J2201" t="str">
        <f t="shared" si="204"/>
        <v>Non-Smoker</v>
      </c>
      <c r="K2201">
        <v>1</v>
      </c>
      <c r="L2201">
        <v>0</v>
      </c>
      <c r="M2201">
        <v>1</v>
      </c>
      <c r="N2201">
        <v>0</v>
      </c>
      <c r="O2201">
        <v>184</v>
      </c>
      <c r="P2201" t="str">
        <f t="shared" si="205"/>
        <v>Normal</v>
      </c>
      <c r="Q2201">
        <v>121</v>
      </c>
      <c r="R2201">
        <v>82</v>
      </c>
      <c r="S2201">
        <v>21.14</v>
      </c>
      <c r="T2201" t="str">
        <f t="shared" si="206"/>
        <v>Normal</v>
      </c>
      <c r="U2201">
        <v>60</v>
      </c>
      <c r="V2201">
        <v>78</v>
      </c>
      <c r="W2201" t="str">
        <f t="shared" si="209"/>
        <v>Normal</v>
      </c>
      <c r="X2201">
        <v>1</v>
      </c>
    </row>
    <row r="2202" spans="1:24" ht="14.5" thickBot="1" x14ac:dyDescent="0.35">
      <c r="A2202">
        <v>1</v>
      </c>
      <c r="B2202" t="str">
        <f t="shared" si="207"/>
        <v>Male</v>
      </c>
      <c r="C2202" s="8">
        <v>49</v>
      </c>
      <c r="D2202" t="str">
        <f t="shared" si="208"/>
        <v>Middle Age</v>
      </c>
      <c r="E2202">
        <v>3</v>
      </c>
      <c r="F2202" t="str">
        <f>HLOOKUP(E2202, LookUP_Table!$A$6:$D$7, 2, FALSE)</f>
        <v>Graduate</v>
      </c>
      <c r="G2202" t="str">
        <f>IFERROR(VLOOKUP(E2202, LookUP_Table!$A$1:$B$4, 2, FALSE), "")</f>
        <v>Graduate</v>
      </c>
      <c r="H2202">
        <v>1</v>
      </c>
      <c r="I2202">
        <v>40</v>
      </c>
      <c r="J2202" t="str">
        <f t="shared" si="204"/>
        <v>Smoker</v>
      </c>
      <c r="K2202">
        <v>0</v>
      </c>
      <c r="L2202">
        <v>0</v>
      </c>
      <c r="M2202">
        <v>0</v>
      </c>
      <c r="N2202">
        <v>0</v>
      </c>
      <c r="O2202">
        <v>167</v>
      </c>
      <c r="P2202" t="str">
        <f t="shared" si="205"/>
        <v>Normal</v>
      </c>
      <c r="Q2202">
        <v>119</v>
      </c>
      <c r="R2202">
        <v>67</v>
      </c>
      <c r="S2202">
        <v>25.83</v>
      </c>
      <c r="T2202" t="str">
        <f t="shared" si="206"/>
        <v>Overweight</v>
      </c>
      <c r="U2202">
        <v>79</v>
      </c>
      <c r="V2202">
        <v>83</v>
      </c>
      <c r="W2202" t="str">
        <f t="shared" si="209"/>
        <v>Normal</v>
      </c>
      <c r="X2202">
        <v>0</v>
      </c>
    </row>
    <row r="2203" spans="1:24" ht="14.5" thickBot="1" x14ac:dyDescent="0.35">
      <c r="A2203">
        <v>0</v>
      </c>
      <c r="B2203" t="str">
        <f t="shared" si="207"/>
        <v>Female</v>
      </c>
      <c r="C2203" s="8">
        <v>49</v>
      </c>
      <c r="D2203" t="str">
        <f t="shared" si="208"/>
        <v>Middle Age</v>
      </c>
      <c r="E2203">
        <v>2</v>
      </c>
      <c r="F2203" t="str">
        <f>HLOOKUP(E2203, LookUP_Table!$A$6:$D$7, 2, FALSE)</f>
        <v>Secondary</v>
      </c>
      <c r="G2203" t="str">
        <f>IFERROR(VLOOKUP(E2203, LookUP_Table!$A$1:$B$4, 2, FALSE), "")</f>
        <v>Secondary</v>
      </c>
      <c r="H2203">
        <v>0</v>
      </c>
      <c r="I2203">
        <v>0</v>
      </c>
      <c r="J2203" t="str">
        <f t="shared" si="204"/>
        <v>Non-Smoker</v>
      </c>
      <c r="K2203">
        <v>0</v>
      </c>
      <c r="L2203">
        <v>0</v>
      </c>
      <c r="M2203">
        <v>0</v>
      </c>
      <c r="N2203">
        <v>0</v>
      </c>
      <c r="O2203">
        <v>308</v>
      </c>
      <c r="P2203" t="str">
        <f t="shared" si="205"/>
        <v>High</v>
      </c>
      <c r="Q2203">
        <v>128</v>
      </c>
      <c r="R2203">
        <v>78</v>
      </c>
      <c r="S2203">
        <v>24.82</v>
      </c>
      <c r="T2203" t="str">
        <f t="shared" si="206"/>
        <v>Normal</v>
      </c>
      <c r="U2203">
        <v>80</v>
      </c>
      <c r="V2203">
        <v>70</v>
      </c>
      <c r="W2203" t="str">
        <f t="shared" si="209"/>
        <v>Normal</v>
      </c>
      <c r="X2203">
        <v>0</v>
      </c>
    </row>
    <row r="2204" spans="1:24" ht="14.5" thickBot="1" x14ac:dyDescent="0.35">
      <c r="A2204">
        <v>1</v>
      </c>
      <c r="B2204" t="str">
        <f t="shared" si="207"/>
        <v>Male</v>
      </c>
      <c r="C2204" s="8">
        <v>49</v>
      </c>
      <c r="D2204" t="str">
        <f t="shared" si="208"/>
        <v>Middle Age</v>
      </c>
      <c r="E2204">
        <v>2</v>
      </c>
      <c r="F2204" t="str">
        <f>HLOOKUP(E2204, LookUP_Table!$A$6:$D$7, 2, FALSE)</f>
        <v>Secondary</v>
      </c>
      <c r="G2204" t="str">
        <f>IFERROR(VLOOKUP(E2204, LookUP_Table!$A$1:$B$4, 2, FALSE), "")</f>
        <v>Secondary</v>
      </c>
      <c r="H2204">
        <v>0</v>
      </c>
      <c r="I2204">
        <v>0</v>
      </c>
      <c r="J2204" t="str">
        <f t="shared" si="204"/>
        <v>Non-Smoker</v>
      </c>
      <c r="K2204">
        <v>0</v>
      </c>
      <c r="L2204">
        <v>0</v>
      </c>
      <c r="M2204">
        <v>0</v>
      </c>
      <c r="N2204">
        <v>0</v>
      </c>
      <c r="O2204">
        <v>220</v>
      </c>
      <c r="P2204" t="str">
        <f t="shared" si="205"/>
        <v>Normal</v>
      </c>
      <c r="Q2204">
        <v>114</v>
      </c>
      <c r="R2204">
        <v>82</v>
      </c>
      <c r="S2204">
        <v>24.68</v>
      </c>
      <c r="T2204" t="str">
        <f t="shared" si="206"/>
        <v>Normal</v>
      </c>
      <c r="U2204">
        <v>69</v>
      </c>
      <c r="V2204">
        <v>60</v>
      </c>
      <c r="W2204" t="str">
        <f t="shared" si="209"/>
        <v>Normal</v>
      </c>
      <c r="X2204">
        <v>0</v>
      </c>
    </row>
    <row r="2205" spans="1:24" ht="14.5" thickBot="1" x14ac:dyDescent="0.35">
      <c r="A2205">
        <v>1</v>
      </c>
      <c r="B2205" t="str">
        <f t="shared" si="207"/>
        <v>Male</v>
      </c>
      <c r="C2205" s="8">
        <v>49</v>
      </c>
      <c r="D2205" t="str">
        <f t="shared" si="208"/>
        <v>Middle Age</v>
      </c>
      <c r="E2205">
        <v>1</v>
      </c>
      <c r="F2205" t="str">
        <f>HLOOKUP(E2205, LookUP_Table!$A$6:$D$7, 2, FALSE)</f>
        <v>Primary</v>
      </c>
      <c r="G2205" t="str">
        <f>IFERROR(VLOOKUP(E2205, LookUP_Table!$A$1:$B$4, 2, FALSE), "")</f>
        <v>Primary</v>
      </c>
      <c r="H2205">
        <v>1</v>
      </c>
      <c r="I2205">
        <v>20</v>
      </c>
      <c r="J2205" t="str">
        <f t="shared" si="204"/>
        <v>Smoker</v>
      </c>
      <c r="K2205">
        <v>0</v>
      </c>
      <c r="L2205">
        <v>0</v>
      </c>
      <c r="M2205">
        <v>0</v>
      </c>
      <c r="N2205">
        <v>0</v>
      </c>
      <c r="O2205">
        <v>155</v>
      </c>
      <c r="P2205" t="str">
        <f t="shared" si="205"/>
        <v>Normal</v>
      </c>
      <c r="Q2205">
        <v>128</v>
      </c>
      <c r="R2205">
        <v>82</v>
      </c>
      <c r="S2205">
        <v>23.58</v>
      </c>
      <c r="T2205" t="str">
        <f t="shared" si="206"/>
        <v>Normal</v>
      </c>
      <c r="U2205">
        <v>69</v>
      </c>
      <c r="V2205">
        <v>77</v>
      </c>
      <c r="W2205" t="str">
        <f t="shared" si="209"/>
        <v>Normal</v>
      </c>
      <c r="X2205">
        <v>0</v>
      </c>
    </row>
    <row r="2206" spans="1:24" ht="14.5" thickBot="1" x14ac:dyDescent="0.35">
      <c r="A2206">
        <v>1</v>
      </c>
      <c r="B2206" t="str">
        <f t="shared" si="207"/>
        <v>Male</v>
      </c>
      <c r="C2206" s="8">
        <v>49</v>
      </c>
      <c r="D2206" t="str">
        <f t="shared" si="208"/>
        <v>Middle Age</v>
      </c>
      <c r="E2206">
        <v>4</v>
      </c>
      <c r="F2206" t="str">
        <f>HLOOKUP(E2206, LookUP_Table!$A$6:$D$7, 2, FALSE)</f>
        <v>Post Graduate</v>
      </c>
      <c r="G2206" t="str">
        <f>IFERROR(VLOOKUP(E2206, LookUP_Table!$A$1:$B$4, 2, FALSE), "")</f>
        <v>Post Graduate</v>
      </c>
      <c r="H2206">
        <v>1</v>
      </c>
      <c r="I2206">
        <v>15</v>
      </c>
      <c r="J2206" t="str">
        <f t="shared" si="204"/>
        <v>Smoker</v>
      </c>
      <c r="K2206">
        <v>0</v>
      </c>
      <c r="L2206">
        <v>0</v>
      </c>
      <c r="M2206">
        <v>1</v>
      </c>
      <c r="N2206">
        <v>0</v>
      </c>
      <c r="O2206">
        <v>309</v>
      </c>
      <c r="P2206" t="str">
        <f t="shared" si="205"/>
        <v>High</v>
      </c>
      <c r="Q2206">
        <v>145</v>
      </c>
      <c r="R2206">
        <v>92</v>
      </c>
      <c r="S2206">
        <v>32.130000000000003</v>
      </c>
      <c r="T2206" t="str">
        <f t="shared" si="206"/>
        <v>Obese</v>
      </c>
      <c r="U2206">
        <v>60</v>
      </c>
      <c r="V2206">
        <v>73</v>
      </c>
      <c r="W2206" t="str">
        <f t="shared" si="209"/>
        <v>Normal</v>
      </c>
      <c r="X2206">
        <v>0</v>
      </c>
    </row>
    <row r="2207" spans="1:24" ht="14.5" thickBot="1" x14ac:dyDescent="0.35">
      <c r="A2207">
        <v>1</v>
      </c>
      <c r="B2207" t="str">
        <f t="shared" si="207"/>
        <v>Male</v>
      </c>
      <c r="C2207" s="8">
        <v>49</v>
      </c>
      <c r="D2207" t="str">
        <f t="shared" si="208"/>
        <v>Middle Age</v>
      </c>
      <c r="E2207">
        <v>2</v>
      </c>
      <c r="F2207" t="str">
        <f>HLOOKUP(E2207, LookUP_Table!$A$6:$D$7, 2, FALSE)</f>
        <v>Secondary</v>
      </c>
      <c r="G2207" t="str">
        <f>IFERROR(VLOOKUP(E2207, LookUP_Table!$A$1:$B$4, 2, FALSE), "")</f>
        <v>Secondary</v>
      </c>
      <c r="H2207">
        <v>1</v>
      </c>
      <c r="I2207">
        <v>3</v>
      </c>
      <c r="J2207" t="str">
        <f t="shared" si="204"/>
        <v>Smoker</v>
      </c>
      <c r="K2207">
        <v>0</v>
      </c>
      <c r="L2207">
        <v>0</v>
      </c>
      <c r="M2207">
        <v>1</v>
      </c>
      <c r="N2207">
        <v>0</v>
      </c>
      <c r="O2207">
        <v>246</v>
      </c>
      <c r="P2207" t="str">
        <f t="shared" si="205"/>
        <v>High</v>
      </c>
      <c r="Q2207">
        <v>141</v>
      </c>
      <c r="R2207">
        <v>92</v>
      </c>
      <c r="S2207">
        <v>27.92</v>
      </c>
      <c r="T2207" t="str">
        <f t="shared" si="206"/>
        <v>Overweight</v>
      </c>
      <c r="U2207">
        <v>75</v>
      </c>
      <c r="V2207">
        <v>76</v>
      </c>
      <c r="W2207" t="str">
        <f t="shared" si="209"/>
        <v>Normal</v>
      </c>
      <c r="X2207">
        <v>0</v>
      </c>
    </row>
    <row r="2208" spans="1:24" ht="14.5" thickBot="1" x14ac:dyDescent="0.35">
      <c r="A2208">
        <v>1</v>
      </c>
      <c r="B2208" t="str">
        <f t="shared" si="207"/>
        <v>Male</v>
      </c>
      <c r="C2208" s="8">
        <v>49</v>
      </c>
      <c r="D2208" t="str">
        <f t="shared" si="208"/>
        <v>Middle Age</v>
      </c>
      <c r="E2208">
        <v>3</v>
      </c>
      <c r="F2208" t="str">
        <f>HLOOKUP(E2208, LookUP_Table!$A$6:$D$7, 2, FALSE)</f>
        <v>Graduate</v>
      </c>
      <c r="G2208" t="str">
        <f>IFERROR(VLOOKUP(E2208, LookUP_Table!$A$1:$B$4, 2, FALSE), "")</f>
        <v>Graduate</v>
      </c>
      <c r="H2208">
        <v>1</v>
      </c>
      <c r="I2208">
        <v>15</v>
      </c>
      <c r="J2208" t="str">
        <f t="shared" si="204"/>
        <v>Smoker</v>
      </c>
      <c r="K2208">
        <v>0</v>
      </c>
      <c r="L2208">
        <v>0</v>
      </c>
      <c r="M2208">
        <v>0</v>
      </c>
      <c r="N2208">
        <v>0</v>
      </c>
      <c r="O2208">
        <v>208</v>
      </c>
      <c r="P2208" t="str">
        <f t="shared" si="205"/>
        <v>Normal</v>
      </c>
      <c r="Q2208">
        <v>118</v>
      </c>
      <c r="R2208">
        <v>73</v>
      </c>
      <c r="S2208">
        <v>24.16</v>
      </c>
      <c r="T2208" t="str">
        <f t="shared" si="206"/>
        <v>Normal</v>
      </c>
      <c r="U2208">
        <v>75</v>
      </c>
      <c r="V2208">
        <v>75</v>
      </c>
      <c r="W2208" t="str">
        <f t="shared" si="209"/>
        <v>Normal</v>
      </c>
      <c r="X2208">
        <v>0</v>
      </c>
    </row>
    <row r="2209" spans="1:24" ht="14.5" thickBot="1" x14ac:dyDescent="0.35">
      <c r="A2209">
        <v>1</v>
      </c>
      <c r="B2209" t="str">
        <f t="shared" si="207"/>
        <v>Male</v>
      </c>
      <c r="C2209" s="8">
        <v>49</v>
      </c>
      <c r="D2209" t="str">
        <f t="shared" si="208"/>
        <v>Middle Age</v>
      </c>
      <c r="E2209">
        <v>2</v>
      </c>
      <c r="F2209" t="str">
        <f>HLOOKUP(E2209, LookUP_Table!$A$6:$D$7, 2, FALSE)</f>
        <v>Secondary</v>
      </c>
      <c r="G2209" t="str">
        <f>IFERROR(VLOOKUP(E2209, LookUP_Table!$A$1:$B$4, 2, FALSE), "")</f>
        <v>Secondary</v>
      </c>
      <c r="H2209">
        <v>1</v>
      </c>
      <c r="I2209">
        <v>2</v>
      </c>
      <c r="J2209" t="str">
        <f t="shared" si="204"/>
        <v>Smoker</v>
      </c>
      <c r="K2209">
        <v>0</v>
      </c>
      <c r="L2209">
        <v>0</v>
      </c>
      <c r="M2209">
        <v>0</v>
      </c>
      <c r="N2209">
        <v>0</v>
      </c>
      <c r="O2209">
        <v>262</v>
      </c>
      <c r="P2209" t="str">
        <f t="shared" si="205"/>
        <v>High</v>
      </c>
      <c r="Q2209">
        <v>115</v>
      </c>
      <c r="R2209">
        <v>83</v>
      </c>
      <c r="S2209">
        <v>22.86</v>
      </c>
      <c r="T2209" t="str">
        <f t="shared" si="206"/>
        <v>Normal</v>
      </c>
      <c r="U2209">
        <v>65</v>
      </c>
      <c r="V2209">
        <v>57</v>
      </c>
      <c r="W2209" t="str">
        <f t="shared" si="209"/>
        <v>Normal</v>
      </c>
      <c r="X2209">
        <v>1</v>
      </c>
    </row>
    <row r="2210" spans="1:24" ht="14.5" thickBot="1" x14ac:dyDescent="0.35">
      <c r="A2210">
        <v>0</v>
      </c>
      <c r="B2210" t="str">
        <f t="shared" si="207"/>
        <v>Female</v>
      </c>
      <c r="C2210" s="8">
        <v>49</v>
      </c>
      <c r="D2210" t="str">
        <f t="shared" si="208"/>
        <v>Middle Age</v>
      </c>
      <c r="E2210">
        <v>3</v>
      </c>
      <c r="F2210" t="str">
        <f>HLOOKUP(E2210, LookUP_Table!$A$6:$D$7, 2, FALSE)</f>
        <v>Graduate</v>
      </c>
      <c r="G2210" t="str">
        <f>IFERROR(VLOOKUP(E2210, LookUP_Table!$A$1:$B$4, 2, FALSE), "")</f>
        <v>Graduate</v>
      </c>
      <c r="H2210">
        <v>0</v>
      </c>
      <c r="I2210">
        <v>0</v>
      </c>
      <c r="J2210" t="str">
        <f t="shared" si="204"/>
        <v>Non-Smoker</v>
      </c>
      <c r="K2210">
        <v>0</v>
      </c>
      <c r="L2210">
        <v>0</v>
      </c>
      <c r="M2210">
        <v>0</v>
      </c>
      <c r="N2210">
        <v>0</v>
      </c>
      <c r="O2210">
        <v>203</v>
      </c>
      <c r="P2210" t="str">
        <f t="shared" si="205"/>
        <v>Normal</v>
      </c>
      <c r="Q2210">
        <v>125</v>
      </c>
      <c r="R2210">
        <v>70</v>
      </c>
      <c r="S2210">
        <v>22.52</v>
      </c>
      <c r="T2210" t="str">
        <f t="shared" si="206"/>
        <v>Normal</v>
      </c>
      <c r="U2210">
        <v>72</v>
      </c>
      <c r="V2210">
        <v>81.96365524402907</v>
      </c>
      <c r="W2210" t="str">
        <f t="shared" si="209"/>
        <v>Normal</v>
      </c>
      <c r="X2210">
        <v>0</v>
      </c>
    </row>
    <row r="2211" spans="1:24" ht="14.5" thickBot="1" x14ac:dyDescent="0.35">
      <c r="A2211">
        <v>0</v>
      </c>
      <c r="B2211" t="str">
        <f t="shared" si="207"/>
        <v>Female</v>
      </c>
      <c r="C2211" s="8">
        <v>49</v>
      </c>
      <c r="D2211" t="str">
        <f t="shared" si="208"/>
        <v>Middle Age</v>
      </c>
      <c r="E2211">
        <v>1</v>
      </c>
      <c r="F2211" t="str">
        <f>HLOOKUP(E2211, LookUP_Table!$A$6:$D$7, 2, FALSE)</f>
        <v>Primary</v>
      </c>
      <c r="G2211" t="str">
        <f>IFERROR(VLOOKUP(E2211, LookUP_Table!$A$1:$B$4, 2, FALSE), "")</f>
        <v>Primary</v>
      </c>
      <c r="H2211">
        <v>1</v>
      </c>
      <c r="I2211">
        <v>5</v>
      </c>
      <c r="J2211" t="str">
        <f t="shared" si="204"/>
        <v>Smoker</v>
      </c>
      <c r="K2211">
        <v>0</v>
      </c>
      <c r="L2211">
        <v>0</v>
      </c>
      <c r="M2211">
        <v>0</v>
      </c>
      <c r="N2211">
        <v>0</v>
      </c>
      <c r="O2211">
        <v>350</v>
      </c>
      <c r="P2211" t="str">
        <f t="shared" si="205"/>
        <v>High</v>
      </c>
      <c r="Q2211">
        <v>135</v>
      </c>
      <c r="R2211">
        <v>86.5</v>
      </c>
      <c r="S2211">
        <v>25.56</v>
      </c>
      <c r="T2211" t="str">
        <f t="shared" si="206"/>
        <v>Overweight</v>
      </c>
      <c r="U2211">
        <v>75</v>
      </c>
      <c r="V2211">
        <v>83</v>
      </c>
      <c r="W2211" t="str">
        <f t="shared" si="209"/>
        <v>Normal</v>
      </c>
      <c r="X2211">
        <v>1</v>
      </c>
    </row>
    <row r="2212" spans="1:24" ht="14.5" thickBot="1" x14ac:dyDescent="0.35">
      <c r="A2212">
        <v>0</v>
      </c>
      <c r="B2212" t="str">
        <f t="shared" si="207"/>
        <v>Female</v>
      </c>
      <c r="C2212" s="8">
        <v>49</v>
      </c>
      <c r="D2212" t="str">
        <f t="shared" si="208"/>
        <v>Middle Age</v>
      </c>
      <c r="E2212">
        <v>3</v>
      </c>
      <c r="F2212" t="str">
        <f>HLOOKUP(E2212, LookUP_Table!$A$6:$D$7, 2, FALSE)</f>
        <v>Graduate</v>
      </c>
      <c r="G2212" t="str">
        <f>IFERROR(VLOOKUP(E2212, LookUP_Table!$A$1:$B$4, 2, FALSE), "")</f>
        <v>Graduate</v>
      </c>
      <c r="H2212">
        <v>1</v>
      </c>
      <c r="I2212">
        <v>15</v>
      </c>
      <c r="J2212" t="str">
        <f t="shared" si="204"/>
        <v>Smoker</v>
      </c>
      <c r="K2212">
        <v>0</v>
      </c>
      <c r="L2212">
        <v>0</v>
      </c>
      <c r="M2212">
        <v>0</v>
      </c>
      <c r="N2212">
        <v>0</v>
      </c>
      <c r="O2212">
        <v>267</v>
      </c>
      <c r="P2212" t="str">
        <f t="shared" si="205"/>
        <v>High</v>
      </c>
      <c r="Q2212">
        <v>107</v>
      </c>
      <c r="R2212">
        <v>74</v>
      </c>
      <c r="S2212">
        <v>27.8</v>
      </c>
      <c r="T2212" t="str">
        <f t="shared" si="206"/>
        <v>Overweight</v>
      </c>
      <c r="U2212">
        <v>65</v>
      </c>
      <c r="V2212">
        <v>75</v>
      </c>
      <c r="W2212" t="str">
        <f t="shared" si="209"/>
        <v>Normal</v>
      </c>
      <c r="X2212">
        <v>0</v>
      </c>
    </row>
    <row r="2213" spans="1:24" ht="14.5" thickBot="1" x14ac:dyDescent="0.35">
      <c r="A2213">
        <v>0</v>
      </c>
      <c r="B2213" t="str">
        <f t="shared" si="207"/>
        <v>Female</v>
      </c>
      <c r="C2213" s="8">
        <v>49</v>
      </c>
      <c r="D2213" t="str">
        <f t="shared" si="208"/>
        <v>Middle Age</v>
      </c>
      <c r="E2213">
        <v>3</v>
      </c>
      <c r="F2213" t="str">
        <f>HLOOKUP(E2213, LookUP_Table!$A$6:$D$7, 2, FALSE)</f>
        <v>Graduate</v>
      </c>
      <c r="G2213" t="str">
        <f>IFERROR(VLOOKUP(E2213, LookUP_Table!$A$1:$B$4, 2, FALSE), "")</f>
        <v>Graduate</v>
      </c>
      <c r="H2213">
        <v>1</v>
      </c>
      <c r="I2213">
        <v>4</v>
      </c>
      <c r="J2213" t="str">
        <f t="shared" si="204"/>
        <v>Smoker</v>
      </c>
      <c r="K2213">
        <v>0</v>
      </c>
      <c r="L2213">
        <v>0</v>
      </c>
      <c r="M2213">
        <v>1</v>
      </c>
      <c r="N2213">
        <v>0</v>
      </c>
      <c r="O2213">
        <v>227</v>
      </c>
      <c r="P2213" t="str">
        <f t="shared" si="205"/>
        <v>Normal</v>
      </c>
      <c r="Q2213">
        <v>150</v>
      </c>
      <c r="R2213">
        <v>91</v>
      </c>
      <c r="S2213">
        <v>24.3</v>
      </c>
      <c r="T2213" t="str">
        <f t="shared" si="206"/>
        <v>Normal</v>
      </c>
      <c r="U2213">
        <v>88</v>
      </c>
      <c r="V2213">
        <v>83</v>
      </c>
      <c r="W2213" t="str">
        <f t="shared" si="209"/>
        <v>Normal</v>
      </c>
      <c r="X2213">
        <v>0</v>
      </c>
    </row>
    <row r="2214" spans="1:24" ht="14.5" thickBot="1" x14ac:dyDescent="0.35">
      <c r="A2214">
        <v>1</v>
      </c>
      <c r="B2214" t="str">
        <f t="shared" si="207"/>
        <v>Male</v>
      </c>
      <c r="C2214" s="8">
        <v>49</v>
      </c>
      <c r="D2214" t="str">
        <f t="shared" si="208"/>
        <v>Middle Age</v>
      </c>
      <c r="E2214">
        <v>2</v>
      </c>
      <c r="F2214" t="str">
        <f>HLOOKUP(E2214, LookUP_Table!$A$6:$D$7, 2, FALSE)</f>
        <v>Secondary</v>
      </c>
      <c r="G2214" t="str">
        <f>IFERROR(VLOOKUP(E2214, LookUP_Table!$A$1:$B$4, 2, FALSE), "")</f>
        <v>Secondary</v>
      </c>
      <c r="H2214">
        <v>0</v>
      </c>
      <c r="I2214">
        <v>0</v>
      </c>
      <c r="J2214" t="str">
        <f t="shared" si="204"/>
        <v>Non-Smoker</v>
      </c>
      <c r="K2214">
        <v>0</v>
      </c>
      <c r="L2214">
        <v>0</v>
      </c>
      <c r="M2214">
        <v>0</v>
      </c>
      <c r="N2214">
        <v>0</v>
      </c>
      <c r="O2214">
        <v>239</v>
      </c>
      <c r="P2214" t="str">
        <f t="shared" si="205"/>
        <v>Normal</v>
      </c>
      <c r="Q2214">
        <v>116</v>
      </c>
      <c r="R2214">
        <v>84</v>
      </c>
      <c r="S2214">
        <v>31.47</v>
      </c>
      <c r="T2214" t="str">
        <f t="shared" si="206"/>
        <v>Obese</v>
      </c>
      <c r="U2214">
        <v>88</v>
      </c>
      <c r="V2214">
        <v>76</v>
      </c>
      <c r="W2214" t="str">
        <f t="shared" si="209"/>
        <v>Normal</v>
      </c>
      <c r="X2214">
        <v>0</v>
      </c>
    </row>
    <row r="2215" spans="1:24" ht="14.5" thickBot="1" x14ac:dyDescent="0.35">
      <c r="A2215">
        <v>0</v>
      </c>
      <c r="B2215" t="str">
        <f t="shared" si="207"/>
        <v>Female</v>
      </c>
      <c r="C2215" s="8">
        <v>49</v>
      </c>
      <c r="D2215" t="str">
        <f t="shared" si="208"/>
        <v>Middle Age</v>
      </c>
      <c r="E2215">
        <v>1</v>
      </c>
      <c r="F2215" t="str">
        <f>HLOOKUP(E2215, LookUP_Table!$A$6:$D$7, 2, FALSE)</f>
        <v>Primary</v>
      </c>
      <c r="G2215" t="str">
        <f>IFERROR(VLOOKUP(E2215, LookUP_Table!$A$1:$B$4, 2, FALSE), "")</f>
        <v>Primary</v>
      </c>
      <c r="H2215">
        <v>1</v>
      </c>
      <c r="I2215">
        <v>15</v>
      </c>
      <c r="J2215" t="str">
        <f t="shared" si="204"/>
        <v>Smoker</v>
      </c>
      <c r="K2215">
        <v>0</v>
      </c>
      <c r="L2215">
        <v>0</v>
      </c>
      <c r="M2215">
        <v>0</v>
      </c>
      <c r="N2215">
        <v>0</v>
      </c>
      <c r="O2215">
        <v>233</v>
      </c>
      <c r="P2215" t="str">
        <f t="shared" si="205"/>
        <v>Normal</v>
      </c>
      <c r="Q2215">
        <v>112.5</v>
      </c>
      <c r="R2215">
        <v>80</v>
      </c>
      <c r="S2215">
        <v>27.87</v>
      </c>
      <c r="T2215" t="str">
        <f t="shared" si="206"/>
        <v>Overweight</v>
      </c>
      <c r="U2215">
        <v>96</v>
      </c>
      <c r="V2215">
        <v>80</v>
      </c>
      <c r="W2215" t="str">
        <f t="shared" si="209"/>
        <v>Normal</v>
      </c>
      <c r="X2215">
        <v>0</v>
      </c>
    </row>
    <row r="2216" spans="1:24" ht="14.5" thickBot="1" x14ac:dyDescent="0.35">
      <c r="A2216">
        <v>1</v>
      </c>
      <c r="B2216" t="str">
        <f t="shared" si="207"/>
        <v>Male</v>
      </c>
      <c r="C2216" s="8">
        <v>49</v>
      </c>
      <c r="D2216" t="str">
        <f t="shared" si="208"/>
        <v>Middle Age</v>
      </c>
      <c r="E2216">
        <v>3</v>
      </c>
      <c r="F2216" t="str">
        <f>HLOOKUP(E2216, LookUP_Table!$A$6:$D$7, 2, FALSE)</f>
        <v>Graduate</v>
      </c>
      <c r="G2216" t="str">
        <f>IFERROR(VLOOKUP(E2216, LookUP_Table!$A$1:$B$4, 2, FALSE), "")</f>
        <v>Graduate</v>
      </c>
      <c r="H2216">
        <v>0</v>
      </c>
      <c r="I2216">
        <v>0</v>
      </c>
      <c r="J2216" t="str">
        <f t="shared" si="204"/>
        <v>Non-Smoker</v>
      </c>
      <c r="K2216">
        <v>0</v>
      </c>
      <c r="L2216">
        <v>0</v>
      </c>
      <c r="M2216">
        <v>0</v>
      </c>
      <c r="N2216">
        <v>0</v>
      </c>
      <c r="O2216">
        <v>230</v>
      </c>
      <c r="P2216" t="str">
        <f t="shared" si="205"/>
        <v>Normal</v>
      </c>
      <c r="Q2216">
        <v>108</v>
      </c>
      <c r="R2216">
        <v>68</v>
      </c>
      <c r="S2216">
        <v>26.17</v>
      </c>
      <c r="T2216" t="str">
        <f t="shared" si="206"/>
        <v>Overweight</v>
      </c>
      <c r="U2216">
        <v>68</v>
      </c>
      <c r="V2216">
        <v>82</v>
      </c>
      <c r="W2216" t="str">
        <f t="shared" si="209"/>
        <v>Normal</v>
      </c>
      <c r="X2216">
        <v>0</v>
      </c>
    </row>
    <row r="2217" spans="1:24" ht="14.5" thickBot="1" x14ac:dyDescent="0.35">
      <c r="A2217">
        <v>1</v>
      </c>
      <c r="B2217" t="str">
        <f t="shared" si="207"/>
        <v>Male</v>
      </c>
      <c r="C2217" s="8">
        <v>49</v>
      </c>
      <c r="D2217" t="str">
        <f t="shared" si="208"/>
        <v>Middle Age</v>
      </c>
      <c r="E2217">
        <v>3</v>
      </c>
      <c r="F2217" t="str">
        <f>HLOOKUP(E2217, LookUP_Table!$A$6:$D$7, 2, FALSE)</f>
        <v>Graduate</v>
      </c>
      <c r="G2217" t="str">
        <f>IFERROR(VLOOKUP(E2217, LookUP_Table!$A$1:$B$4, 2, FALSE), "")</f>
        <v>Graduate</v>
      </c>
      <c r="H2217">
        <v>1</v>
      </c>
      <c r="I2217">
        <v>10</v>
      </c>
      <c r="J2217" t="str">
        <f t="shared" si="204"/>
        <v>Smoker</v>
      </c>
      <c r="K2217">
        <v>0</v>
      </c>
      <c r="L2217">
        <v>0</v>
      </c>
      <c r="M2217">
        <v>0</v>
      </c>
      <c r="N2217">
        <v>0</v>
      </c>
      <c r="O2217">
        <v>305</v>
      </c>
      <c r="P2217" t="str">
        <f t="shared" si="205"/>
        <v>High</v>
      </c>
      <c r="Q2217">
        <v>135</v>
      </c>
      <c r="R2217">
        <v>82</v>
      </c>
      <c r="S2217">
        <v>26.29</v>
      </c>
      <c r="T2217" t="str">
        <f t="shared" si="206"/>
        <v>Overweight</v>
      </c>
      <c r="U2217">
        <v>84</v>
      </c>
      <c r="V2217">
        <v>65</v>
      </c>
      <c r="W2217" t="str">
        <f t="shared" si="209"/>
        <v>Normal</v>
      </c>
      <c r="X2217">
        <v>0</v>
      </c>
    </row>
    <row r="2218" spans="1:24" ht="14.5" thickBot="1" x14ac:dyDescent="0.35">
      <c r="A2218">
        <v>0</v>
      </c>
      <c r="B2218" t="str">
        <f t="shared" si="207"/>
        <v>Female</v>
      </c>
      <c r="C2218" s="8">
        <v>49</v>
      </c>
      <c r="D2218" t="str">
        <f t="shared" si="208"/>
        <v>Middle Age</v>
      </c>
      <c r="E2218">
        <v>3</v>
      </c>
      <c r="F2218" t="str">
        <f>HLOOKUP(E2218, LookUP_Table!$A$6:$D$7, 2, FALSE)</f>
        <v>Graduate</v>
      </c>
      <c r="G2218" t="str">
        <f>IFERROR(VLOOKUP(E2218, LookUP_Table!$A$1:$B$4, 2, FALSE), "")</f>
        <v>Graduate</v>
      </c>
      <c r="H2218">
        <v>1</v>
      </c>
      <c r="I2218">
        <v>8</v>
      </c>
      <c r="J2218" t="str">
        <f t="shared" si="204"/>
        <v>Smoker</v>
      </c>
      <c r="K2218">
        <v>0</v>
      </c>
      <c r="L2218">
        <v>0</v>
      </c>
      <c r="M2218">
        <v>0</v>
      </c>
      <c r="N2218">
        <v>0</v>
      </c>
      <c r="O2218">
        <v>215</v>
      </c>
      <c r="P2218" t="str">
        <f t="shared" si="205"/>
        <v>Normal</v>
      </c>
      <c r="Q2218">
        <v>106</v>
      </c>
      <c r="R2218">
        <v>63</v>
      </c>
      <c r="S2218">
        <v>19.22</v>
      </c>
      <c r="T2218" t="str">
        <f t="shared" si="206"/>
        <v>Normal</v>
      </c>
      <c r="U2218">
        <v>60</v>
      </c>
      <c r="V2218">
        <v>66</v>
      </c>
      <c r="W2218" t="str">
        <f t="shared" si="209"/>
        <v>Normal</v>
      </c>
      <c r="X2218">
        <v>0</v>
      </c>
    </row>
    <row r="2219" spans="1:24" ht="14.5" thickBot="1" x14ac:dyDescent="0.35">
      <c r="A2219">
        <v>0</v>
      </c>
      <c r="B2219" t="str">
        <f t="shared" si="207"/>
        <v>Female</v>
      </c>
      <c r="C2219" s="8">
        <v>50</v>
      </c>
      <c r="D2219" t="str">
        <f t="shared" si="208"/>
        <v>Middle Age</v>
      </c>
      <c r="E2219">
        <v>1</v>
      </c>
      <c r="F2219" t="str">
        <f>HLOOKUP(E2219, LookUP_Table!$A$6:$D$7, 2, FALSE)</f>
        <v>Primary</v>
      </c>
      <c r="G2219" t="str">
        <f>IFERROR(VLOOKUP(E2219, LookUP_Table!$A$1:$B$4, 2, FALSE), "")</f>
        <v>Primary</v>
      </c>
      <c r="H2219">
        <v>0</v>
      </c>
      <c r="I2219">
        <v>0</v>
      </c>
      <c r="J2219" t="str">
        <f t="shared" si="204"/>
        <v>Non-Smoker</v>
      </c>
      <c r="K2219">
        <v>0</v>
      </c>
      <c r="L2219">
        <v>0</v>
      </c>
      <c r="M2219">
        <v>0</v>
      </c>
      <c r="N2219">
        <v>0</v>
      </c>
      <c r="O2219">
        <v>254</v>
      </c>
      <c r="P2219" t="str">
        <f t="shared" si="205"/>
        <v>High</v>
      </c>
      <c r="Q2219">
        <v>133</v>
      </c>
      <c r="R2219">
        <v>76</v>
      </c>
      <c r="S2219">
        <v>22.91</v>
      </c>
      <c r="T2219" t="str">
        <f t="shared" si="206"/>
        <v>Normal</v>
      </c>
      <c r="U2219">
        <v>75</v>
      </c>
      <c r="V2219">
        <v>76</v>
      </c>
      <c r="W2219" t="str">
        <f t="shared" si="209"/>
        <v>Normal</v>
      </c>
      <c r="X2219">
        <v>0</v>
      </c>
    </row>
    <row r="2220" spans="1:24" ht="14.5" thickBot="1" x14ac:dyDescent="0.35">
      <c r="A2220">
        <v>1</v>
      </c>
      <c r="B2220" t="str">
        <f t="shared" si="207"/>
        <v>Male</v>
      </c>
      <c r="C2220" s="8">
        <v>50</v>
      </c>
      <c r="D2220" t="str">
        <f t="shared" si="208"/>
        <v>Middle Age</v>
      </c>
      <c r="E2220">
        <v>1</v>
      </c>
      <c r="F2220" t="str">
        <f>HLOOKUP(E2220, LookUP_Table!$A$6:$D$7, 2, FALSE)</f>
        <v>Primary</v>
      </c>
      <c r="G2220" t="str">
        <f>IFERROR(VLOOKUP(E2220, LookUP_Table!$A$1:$B$4, 2, FALSE), "")</f>
        <v>Primary</v>
      </c>
      <c r="H2220">
        <v>0</v>
      </c>
      <c r="I2220">
        <v>0</v>
      </c>
      <c r="J2220" t="str">
        <f t="shared" si="204"/>
        <v>Non-Smoker</v>
      </c>
      <c r="K2220">
        <v>0</v>
      </c>
      <c r="L2220">
        <v>0</v>
      </c>
      <c r="M2220">
        <v>1</v>
      </c>
      <c r="N2220">
        <v>0</v>
      </c>
      <c r="O2220">
        <v>257</v>
      </c>
      <c r="P2220" t="str">
        <f t="shared" si="205"/>
        <v>High</v>
      </c>
      <c r="Q2220">
        <v>127</v>
      </c>
      <c r="R2220">
        <v>82</v>
      </c>
      <c r="S2220">
        <v>32.229999999999997</v>
      </c>
      <c r="T2220" t="str">
        <f t="shared" si="206"/>
        <v>Obese</v>
      </c>
      <c r="U2220">
        <v>75</v>
      </c>
      <c r="V2220">
        <v>117</v>
      </c>
      <c r="W2220" t="str">
        <f t="shared" si="209"/>
        <v>Prediabetes</v>
      </c>
      <c r="X2220">
        <v>1</v>
      </c>
    </row>
    <row r="2221" spans="1:24" ht="14.5" thickBot="1" x14ac:dyDescent="0.35">
      <c r="A2221">
        <v>1</v>
      </c>
      <c r="B2221" t="str">
        <f t="shared" si="207"/>
        <v>Male</v>
      </c>
      <c r="C2221" s="8">
        <v>50</v>
      </c>
      <c r="D2221" t="str">
        <f t="shared" si="208"/>
        <v>Middle Age</v>
      </c>
      <c r="E2221">
        <v>3</v>
      </c>
      <c r="F2221" t="str">
        <f>HLOOKUP(E2221, LookUP_Table!$A$6:$D$7, 2, FALSE)</f>
        <v>Graduate</v>
      </c>
      <c r="G2221" t="str">
        <f>IFERROR(VLOOKUP(E2221, LookUP_Table!$A$1:$B$4, 2, FALSE), "")</f>
        <v>Graduate</v>
      </c>
      <c r="H2221">
        <v>1</v>
      </c>
      <c r="I2221">
        <v>40</v>
      </c>
      <c r="J2221" t="str">
        <f t="shared" si="204"/>
        <v>Smoker</v>
      </c>
      <c r="K2221">
        <v>0</v>
      </c>
      <c r="L2221">
        <v>0</v>
      </c>
      <c r="M2221">
        <v>1</v>
      </c>
      <c r="N2221">
        <v>0</v>
      </c>
      <c r="O2221">
        <v>175</v>
      </c>
      <c r="P2221" t="str">
        <f t="shared" si="205"/>
        <v>Normal</v>
      </c>
      <c r="Q2221">
        <v>157</v>
      </c>
      <c r="R2221">
        <v>88</v>
      </c>
      <c r="S2221">
        <v>25.09</v>
      </c>
      <c r="T2221" t="str">
        <f t="shared" si="206"/>
        <v>Overweight</v>
      </c>
      <c r="U2221">
        <v>88</v>
      </c>
      <c r="V2221">
        <v>85</v>
      </c>
      <c r="W2221" t="str">
        <f t="shared" si="209"/>
        <v>Normal</v>
      </c>
      <c r="X2221">
        <v>0</v>
      </c>
    </row>
    <row r="2222" spans="1:24" ht="14.5" thickBot="1" x14ac:dyDescent="0.35">
      <c r="A2222">
        <v>0</v>
      </c>
      <c r="B2222" t="str">
        <f t="shared" si="207"/>
        <v>Female</v>
      </c>
      <c r="C2222" s="8">
        <v>50</v>
      </c>
      <c r="D2222" t="str">
        <f t="shared" si="208"/>
        <v>Middle Age</v>
      </c>
      <c r="E2222">
        <v>3</v>
      </c>
      <c r="F2222" t="str">
        <f>HLOOKUP(E2222, LookUP_Table!$A$6:$D$7, 2, FALSE)</f>
        <v>Graduate</v>
      </c>
      <c r="G2222" t="str">
        <f>IFERROR(VLOOKUP(E2222, LookUP_Table!$A$1:$B$4, 2, FALSE), "")</f>
        <v>Graduate</v>
      </c>
      <c r="H2222">
        <v>1</v>
      </c>
      <c r="I2222">
        <v>15</v>
      </c>
      <c r="J2222" t="str">
        <f t="shared" si="204"/>
        <v>Smoker</v>
      </c>
      <c r="K2222">
        <v>0</v>
      </c>
      <c r="L2222">
        <v>0</v>
      </c>
      <c r="M2222">
        <v>0</v>
      </c>
      <c r="N2222">
        <v>0</v>
      </c>
      <c r="O2222">
        <v>150</v>
      </c>
      <c r="P2222" t="str">
        <f t="shared" si="205"/>
        <v>Normal</v>
      </c>
      <c r="Q2222">
        <v>121</v>
      </c>
      <c r="R2222">
        <v>84</v>
      </c>
      <c r="S2222">
        <v>28.69</v>
      </c>
      <c r="T2222" t="str">
        <f t="shared" si="206"/>
        <v>Overweight</v>
      </c>
      <c r="U2222">
        <v>75</v>
      </c>
      <c r="V2222">
        <v>88</v>
      </c>
      <c r="W2222" t="str">
        <f t="shared" si="209"/>
        <v>Normal</v>
      </c>
      <c r="X2222">
        <v>0</v>
      </c>
    </row>
    <row r="2223" spans="1:24" ht="14.5" thickBot="1" x14ac:dyDescent="0.35">
      <c r="A2223">
        <v>1</v>
      </c>
      <c r="B2223" t="str">
        <f t="shared" si="207"/>
        <v>Male</v>
      </c>
      <c r="C2223" s="8">
        <v>50</v>
      </c>
      <c r="D2223" t="str">
        <f t="shared" si="208"/>
        <v>Middle Age</v>
      </c>
      <c r="E2223">
        <v>1</v>
      </c>
      <c r="F2223" t="str">
        <f>HLOOKUP(E2223, LookUP_Table!$A$6:$D$7, 2, FALSE)</f>
        <v>Primary</v>
      </c>
      <c r="G2223" t="str">
        <f>IFERROR(VLOOKUP(E2223, LookUP_Table!$A$1:$B$4, 2, FALSE), "")</f>
        <v>Primary</v>
      </c>
      <c r="H2223">
        <v>0</v>
      </c>
      <c r="I2223">
        <v>0</v>
      </c>
      <c r="J2223" t="str">
        <f t="shared" si="204"/>
        <v>Non-Smoker</v>
      </c>
      <c r="K2223">
        <v>0</v>
      </c>
      <c r="L2223">
        <v>0</v>
      </c>
      <c r="M2223">
        <v>0</v>
      </c>
      <c r="N2223">
        <v>0</v>
      </c>
      <c r="O2223">
        <v>301</v>
      </c>
      <c r="P2223" t="str">
        <f t="shared" si="205"/>
        <v>High</v>
      </c>
      <c r="Q2223">
        <v>117.5</v>
      </c>
      <c r="R2223">
        <v>80</v>
      </c>
      <c r="S2223">
        <v>28.04</v>
      </c>
      <c r="T2223" t="str">
        <f t="shared" si="206"/>
        <v>Overweight</v>
      </c>
      <c r="U2223">
        <v>60</v>
      </c>
      <c r="V2223">
        <v>72</v>
      </c>
      <c r="W2223" t="str">
        <f t="shared" si="209"/>
        <v>Normal</v>
      </c>
      <c r="X2223">
        <v>0</v>
      </c>
    </row>
    <row r="2224" spans="1:24" ht="14.5" thickBot="1" x14ac:dyDescent="0.35">
      <c r="A2224">
        <v>0</v>
      </c>
      <c r="B2224" t="str">
        <f t="shared" si="207"/>
        <v>Female</v>
      </c>
      <c r="C2224" s="8">
        <v>50</v>
      </c>
      <c r="D2224" t="str">
        <f t="shared" si="208"/>
        <v>Middle Age</v>
      </c>
      <c r="E2224">
        <v>2</v>
      </c>
      <c r="F2224" t="str">
        <f>HLOOKUP(E2224, LookUP_Table!$A$6:$D$7, 2, FALSE)</f>
        <v>Secondary</v>
      </c>
      <c r="G2224" t="str">
        <f>IFERROR(VLOOKUP(E2224, LookUP_Table!$A$1:$B$4, 2, FALSE), "")</f>
        <v>Secondary</v>
      </c>
      <c r="H2224">
        <v>1</v>
      </c>
      <c r="I2224">
        <v>20</v>
      </c>
      <c r="J2224" t="str">
        <f t="shared" si="204"/>
        <v>Smoker</v>
      </c>
      <c r="K2224">
        <v>0</v>
      </c>
      <c r="L2224">
        <v>0</v>
      </c>
      <c r="M2224">
        <v>0</v>
      </c>
      <c r="N2224">
        <v>0</v>
      </c>
      <c r="O2224">
        <v>265</v>
      </c>
      <c r="P2224" t="str">
        <f t="shared" si="205"/>
        <v>High</v>
      </c>
      <c r="Q2224">
        <v>110</v>
      </c>
      <c r="R2224">
        <v>74</v>
      </c>
      <c r="S2224">
        <v>25.26</v>
      </c>
      <c r="T2224" t="str">
        <f t="shared" si="206"/>
        <v>Overweight</v>
      </c>
      <c r="U2224">
        <v>80</v>
      </c>
      <c r="V2224">
        <v>88</v>
      </c>
      <c r="W2224" t="str">
        <f t="shared" si="209"/>
        <v>Normal</v>
      </c>
      <c r="X2224">
        <v>0</v>
      </c>
    </row>
    <row r="2225" spans="1:24" ht="14.5" thickBot="1" x14ac:dyDescent="0.35">
      <c r="A2225">
        <v>0</v>
      </c>
      <c r="B2225" t="str">
        <f t="shared" si="207"/>
        <v>Female</v>
      </c>
      <c r="C2225" s="8">
        <v>50</v>
      </c>
      <c r="D2225" t="str">
        <f t="shared" si="208"/>
        <v>Middle Age</v>
      </c>
      <c r="E2225">
        <v>1</v>
      </c>
      <c r="F2225" t="str">
        <f>HLOOKUP(E2225, LookUP_Table!$A$6:$D$7, 2, FALSE)</f>
        <v>Primary</v>
      </c>
      <c r="G2225" t="str">
        <f>IFERROR(VLOOKUP(E2225, LookUP_Table!$A$1:$B$4, 2, FALSE), "")</f>
        <v>Primary</v>
      </c>
      <c r="H2225">
        <v>0</v>
      </c>
      <c r="I2225">
        <v>0</v>
      </c>
      <c r="J2225" t="str">
        <f t="shared" si="204"/>
        <v>Non-Smoker</v>
      </c>
      <c r="K2225">
        <v>0</v>
      </c>
      <c r="L2225">
        <v>0</v>
      </c>
      <c r="M2225">
        <v>0</v>
      </c>
      <c r="N2225">
        <v>0</v>
      </c>
      <c r="O2225">
        <v>273</v>
      </c>
      <c r="P2225" t="str">
        <f t="shared" si="205"/>
        <v>High</v>
      </c>
      <c r="Q2225">
        <v>131</v>
      </c>
      <c r="R2225">
        <v>93</v>
      </c>
      <c r="S2225">
        <v>27.61</v>
      </c>
      <c r="T2225" t="str">
        <f t="shared" si="206"/>
        <v>Overweight</v>
      </c>
      <c r="U2225">
        <v>80</v>
      </c>
      <c r="V2225">
        <v>94</v>
      </c>
      <c r="W2225" t="str">
        <f t="shared" si="209"/>
        <v>Normal</v>
      </c>
      <c r="X2225">
        <v>0</v>
      </c>
    </row>
    <row r="2226" spans="1:24" ht="14.5" thickBot="1" x14ac:dyDescent="0.35">
      <c r="A2226">
        <v>0</v>
      </c>
      <c r="B2226" t="str">
        <f t="shared" si="207"/>
        <v>Female</v>
      </c>
      <c r="C2226" s="8">
        <v>50</v>
      </c>
      <c r="D2226" t="str">
        <f t="shared" si="208"/>
        <v>Middle Age</v>
      </c>
      <c r="E2226">
        <v>2</v>
      </c>
      <c r="F2226" t="str">
        <f>HLOOKUP(E2226, LookUP_Table!$A$6:$D$7, 2, FALSE)</f>
        <v>Secondary</v>
      </c>
      <c r="G2226" t="str">
        <f>IFERROR(VLOOKUP(E2226, LookUP_Table!$A$1:$B$4, 2, FALSE), "")</f>
        <v>Secondary</v>
      </c>
      <c r="H2226">
        <v>0</v>
      </c>
      <c r="I2226">
        <v>0</v>
      </c>
      <c r="J2226" t="str">
        <f t="shared" si="204"/>
        <v>Non-Smoker</v>
      </c>
      <c r="K2226">
        <v>0</v>
      </c>
      <c r="L2226">
        <v>0</v>
      </c>
      <c r="M2226">
        <v>0</v>
      </c>
      <c r="N2226">
        <v>0</v>
      </c>
      <c r="O2226">
        <v>312</v>
      </c>
      <c r="P2226" t="str">
        <f t="shared" si="205"/>
        <v>High</v>
      </c>
      <c r="Q2226">
        <v>125</v>
      </c>
      <c r="R2226">
        <v>85</v>
      </c>
      <c r="S2226">
        <v>27.07</v>
      </c>
      <c r="T2226" t="str">
        <f t="shared" si="206"/>
        <v>Overweight</v>
      </c>
      <c r="U2226">
        <v>88</v>
      </c>
      <c r="V2226">
        <v>94</v>
      </c>
      <c r="W2226" t="str">
        <f t="shared" si="209"/>
        <v>Normal</v>
      </c>
      <c r="X2226">
        <v>0</v>
      </c>
    </row>
    <row r="2227" spans="1:24" ht="14.5" thickBot="1" x14ac:dyDescent="0.35">
      <c r="A2227">
        <v>1</v>
      </c>
      <c r="B2227" t="str">
        <f t="shared" si="207"/>
        <v>Male</v>
      </c>
      <c r="C2227" s="8">
        <v>50</v>
      </c>
      <c r="D2227" t="str">
        <f t="shared" si="208"/>
        <v>Middle Age</v>
      </c>
      <c r="E2227">
        <v>2</v>
      </c>
      <c r="F2227" t="str">
        <f>HLOOKUP(E2227, LookUP_Table!$A$6:$D$7, 2, FALSE)</f>
        <v>Secondary</v>
      </c>
      <c r="G2227" t="str">
        <f>IFERROR(VLOOKUP(E2227, LookUP_Table!$A$1:$B$4, 2, FALSE), "")</f>
        <v>Secondary</v>
      </c>
      <c r="H2227">
        <v>1</v>
      </c>
      <c r="I2227">
        <v>40</v>
      </c>
      <c r="J2227" t="str">
        <f t="shared" si="204"/>
        <v>Smoker</v>
      </c>
      <c r="K2227">
        <v>0</v>
      </c>
      <c r="L2227">
        <v>0</v>
      </c>
      <c r="M2227">
        <v>0</v>
      </c>
      <c r="N2227">
        <v>0</v>
      </c>
      <c r="O2227">
        <v>225</v>
      </c>
      <c r="P2227" t="str">
        <f t="shared" si="205"/>
        <v>Normal</v>
      </c>
      <c r="Q2227">
        <v>137</v>
      </c>
      <c r="R2227">
        <v>89.5</v>
      </c>
      <c r="S2227">
        <v>25.77</v>
      </c>
      <c r="T2227" t="str">
        <f t="shared" si="206"/>
        <v>Overweight</v>
      </c>
      <c r="U2227">
        <v>70</v>
      </c>
      <c r="V2227">
        <v>91</v>
      </c>
      <c r="W2227" t="str">
        <f t="shared" si="209"/>
        <v>Normal</v>
      </c>
      <c r="X2227">
        <v>0</v>
      </c>
    </row>
    <row r="2228" spans="1:24" ht="14.5" thickBot="1" x14ac:dyDescent="0.35">
      <c r="A2228">
        <v>0</v>
      </c>
      <c r="B2228" t="str">
        <f t="shared" si="207"/>
        <v>Female</v>
      </c>
      <c r="C2228" s="8">
        <v>50</v>
      </c>
      <c r="D2228" t="str">
        <f t="shared" si="208"/>
        <v>Middle Age</v>
      </c>
      <c r="E2228">
        <v>2</v>
      </c>
      <c r="F2228" t="str">
        <f>HLOOKUP(E2228, LookUP_Table!$A$6:$D$7, 2, FALSE)</f>
        <v>Secondary</v>
      </c>
      <c r="G2228" t="str">
        <f>IFERROR(VLOOKUP(E2228, LookUP_Table!$A$1:$B$4, 2, FALSE), "")</f>
        <v>Secondary</v>
      </c>
      <c r="H2228">
        <v>1</v>
      </c>
      <c r="I2228">
        <v>8</v>
      </c>
      <c r="J2228" t="str">
        <f t="shared" si="204"/>
        <v>Smoker</v>
      </c>
      <c r="K2228">
        <v>0</v>
      </c>
      <c r="L2228">
        <v>0</v>
      </c>
      <c r="M2228">
        <v>0</v>
      </c>
      <c r="N2228">
        <v>1</v>
      </c>
      <c r="O2228">
        <v>292</v>
      </c>
      <c r="P2228" t="str">
        <f t="shared" si="205"/>
        <v>High</v>
      </c>
      <c r="Q2228">
        <v>132</v>
      </c>
      <c r="R2228">
        <v>82</v>
      </c>
      <c r="S2228">
        <v>22.54</v>
      </c>
      <c r="T2228" t="str">
        <f t="shared" si="206"/>
        <v>Normal</v>
      </c>
      <c r="U2228">
        <v>80</v>
      </c>
      <c r="V2228">
        <v>110</v>
      </c>
      <c r="W2228" t="str">
        <f t="shared" si="209"/>
        <v>Prediabetes</v>
      </c>
      <c r="X2228">
        <v>0</v>
      </c>
    </row>
    <row r="2229" spans="1:24" ht="14.5" thickBot="1" x14ac:dyDescent="0.35">
      <c r="A2229">
        <v>1</v>
      </c>
      <c r="B2229" t="str">
        <f t="shared" si="207"/>
        <v>Male</v>
      </c>
      <c r="C2229" s="8">
        <v>50</v>
      </c>
      <c r="D2229" t="str">
        <f t="shared" si="208"/>
        <v>Middle Age</v>
      </c>
      <c r="E2229">
        <v>1</v>
      </c>
      <c r="F2229" t="str">
        <f>HLOOKUP(E2229, LookUP_Table!$A$6:$D$7, 2, FALSE)</f>
        <v>Primary</v>
      </c>
      <c r="G2229" t="str">
        <f>IFERROR(VLOOKUP(E2229, LookUP_Table!$A$1:$B$4, 2, FALSE), "")</f>
        <v>Primary</v>
      </c>
      <c r="H2229">
        <v>0</v>
      </c>
      <c r="I2229">
        <v>0</v>
      </c>
      <c r="J2229" t="str">
        <f t="shared" si="204"/>
        <v>Non-Smoker</v>
      </c>
      <c r="K2229">
        <v>0</v>
      </c>
      <c r="L2229">
        <v>0</v>
      </c>
      <c r="M2229">
        <v>1</v>
      </c>
      <c r="N2229">
        <v>0</v>
      </c>
      <c r="O2229">
        <v>227</v>
      </c>
      <c r="P2229" t="str">
        <f t="shared" si="205"/>
        <v>Normal</v>
      </c>
      <c r="Q2229">
        <v>152</v>
      </c>
      <c r="R2229">
        <v>99</v>
      </c>
      <c r="S2229">
        <v>29.46</v>
      </c>
      <c r="T2229" t="str">
        <f t="shared" si="206"/>
        <v>Overweight</v>
      </c>
      <c r="U2229">
        <v>78</v>
      </c>
      <c r="V2229">
        <v>115</v>
      </c>
      <c r="W2229" t="str">
        <f t="shared" si="209"/>
        <v>Prediabetes</v>
      </c>
      <c r="X2229">
        <v>0</v>
      </c>
    </row>
    <row r="2230" spans="1:24" ht="14.5" thickBot="1" x14ac:dyDescent="0.35">
      <c r="A2230">
        <v>1</v>
      </c>
      <c r="B2230" t="str">
        <f t="shared" si="207"/>
        <v>Male</v>
      </c>
      <c r="C2230" s="8">
        <v>50</v>
      </c>
      <c r="D2230" t="str">
        <f t="shared" si="208"/>
        <v>Middle Age</v>
      </c>
      <c r="E2230">
        <v>1</v>
      </c>
      <c r="F2230" t="str">
        <f>HLOOKUP(E2230, LookUP_Table!$A$6:$D$7, 2, FALSE)</f>
        <v>Primary</v>
      </c>
      <c r="G2230" t="str">
        <f>IFERROR(VLOOKUP(E2230, LookUP_Table!$A$1:$B$4, 2, FALSE), "")</f>
        <v>Primary</v>
      </c>
      <c r="H2230">
        <v>0</v>
      </c>
      <c r="I2230">
        <v>0</v>
      </c>
      <c r="J2230" t="str">
        <f t="shared" si="204"/>
        <v>Non-Smoker</v>
      </c>
      <c r="K2230">
        <v>0</v>
      </c>
      <c r="L2230">
        <v>0</v>
      </c>
      <c r="M2230">
        <v>1</v>
      </c>
      <c r="N2230">
        <v>0</v>
      </c>
      <c r="O2230">
        <v>219</v>
      </c>
      <c r="P2230" t="str">
        <f t="shared" si="205"/>
        <v>Normal</v>
      </c>
      <c r="Q2230">
        <v>145</v>
      </c>
      <c r="R2230">
        <v>100</v>
      </c>
      <c r="S2230">
        <v>26.26</v>
      </c>
      <c r="T2230" t="str">
        <f t="shared" si="206"/>
        <v>Overweight</v>
      </c>
      <c r="U2230">
        <v>78</v>
      </c>
      <c r="V2230">
        <v>108</v>
      </c>
      <c r="W2230" t="str">
        <f t="shared" si="209"/>
        <v>Prediabetes</v>
      </c>
      <c r="X2230">
        <v>0</v>
      </c>
    </row>
    <row r="2231" spans="1:24" ht="14.5" thickBot="1" x14ac:dyDescent="0.35">
      <c r="A2231">
        <v>0</v>
      </c>
      <c r="B2231" t="str">
        <f t="shared" si="207"/>
        <v>Female</v>
      </c>
      <c r="C2231" s="8">
        <v>50</v>
      </c>
      <c r="D2231" t="str">
        <f t="shared" si="208"/>
        <v>Middle Age</v>
      </c>
      <c r="E2231">
        <v>3</v>
      </c>
      <c r="F2231" t="str">
        <f>HLOOKUP(E2231, LookUP_Table!$A$6:$D$7, 2, FALSE)</f>
        <v>Graduate</v>
      </c>
      <c r="G2231" t="str">
        <f>IFERROR(VLOOKUP(E2231, LookUP_Table!$A$1:$B$4, 2, FALSE), "")</f>
        <v>Graduate</v>
      </c>
      <c r="H2231">
        <v>0</v>
      </c>
      <c r="I2231">
        <v>0</v>
      </c>
      <c r="J2231" t="str">
        <f t="shared" si="204"/>
        <v>Non-Smoker</v>
      </c>
      <c r="K2231">
        <v>0</v>
      </c>
      <c r="L2231">
        <v>0</v>
      </c>
      <c r="M2231">
        <v>1</v>
      </c>
      <c r="N2231">
        <v>0</v>
      </c>
      <c r="O2231">
        <v>258</v>
      </c>
      <c r="P2231" t="str">
        <f t="shared" si="205"/>
        <v>High</v>
      </c>
      <c r="Q2231">
        <v>144</v>
      </c>
      <c r="R2231">
        <v>88</v>
      </c>
      <c r="S2231">
        <v>24.19</v>
      </c>
      <c r="T2231" t="str">
        <f t="shared" si="206"/>
        <v>Normal</v>
      </c>
      <c r="U2231">
        <v>100</v>
      </c>
      <c r="V2231">
        <v>83</v>
      </c>
      <c r="W2231" t="str">
        <f t="shared" si="209"/>
        <v>Normal</v>
      </c>
      <c r="X2231">
        <v>0</v>
      </c>
    </row>
    <row r="2232" spans="1:24" ht="14.5" thickBot="1" x14ac:dyDescent="0.35">
      <c r="A2232">
        <v>0</v>
      </c>
      <c r="B2232" t="str">
        <f t="shared" si="207"/>
        <v>Female</v>
      </c>
      <c r="C2232" s="8">
        <v>50</v>
      </c>
      <c r="D2232" t="str">
        <f t="shared" si="208"/>
        <v>Middle Age</v>
      </c>
      <c r="E2232">
        <v>1</v>
      </c>
      <c r="F2232" t="str">
        <f>HLOOKUP(E2232, LookUP_Table!$A$6:$D$7, 2, FALSE)</f>
        <v>Primary</v>
      </c>
      <c r="G2232" t="str">
        <f>IFERROR(VLOOKUP(E2232, LookUP_Table!$A$1:$B$4, 2, FALSE), "")</f>
        <v>Primary</v>
      </c>
      <c r="H2232">
        <v>0</v>
      </c>
      <c r="I2232">
        <v>0</v>
      </c>
      <c r="J2232" t="str">
        <f t="shared" si="204"/>
        <v>Non-Smoker</v>
      </c>
      <c r="K2232">
        <v>0</v>
      </c>
      <c r="L2232">
        <v>0</v>
      </c>
      <c r="M2232">
        <v>0</v>
      </c>
      <c r="N2232">
        <v>0</v>
      </c>
      <c r="O2232">
        <v>296</v>
      </c>
      <c r="P2232" t="str">
        <f t="shared" si="205"/>
        <v>High</v>
      </c>
      <c r="Q2232">
        <v>134.5</v>
      </c>
      <c r="R2232">
        <v>89</v>
      </c>
      <c r="S2232">
        <v>24.91</v>
      </c>
      <c r="T2232" t="str">
        <f t="shared" si="206"/>
        <v>Normal</v>
      </c>
      <c r="U2232">
        <v>63</v>
      </c>
      <c r="V2232">
        <v>76</v>
      </c>
      <c r="W2232" t="str">
        <f t="shared" si="209"/>
        <v>Normal</v>
      </c>
      <c r="X2232">
        <v>0</v>
      </c>
    </row>
    <row r="2233" spans="1:24" ht="14.5" thickBot="1" x14ac:dyDescent="0.35">
      <c r="A2233">
        <v>0</v>
      </c>
      <c r="B2233" t="str">
        <f t="shared" si="207"/>
        <v>Female</v>
      </c>
      <c r="C2233" s="8">
        <v>50</v>
      </c>
      <c r="D2233" t="str">
        <f t="shared" si="208"/>
        <v>Middle Age</v>
      </c>
      <c r="E2233">
        <v>4</v>
      </c>
      <c r="F2233" t="str">
        <f>HLOOKUP(E2233, LookUP_Table!$A$6:$D$7, 2, FALSE)</f>
        <v>Post Graduate</v>
      </c>
      <c r="G2233" t="str">
        <f>IFERROR(VLOOKUP(E2233, LookUP_Table!$A$1:$B$4, 2, FALSE), "")</f>
        <v>Post Graduate</v>
      </c>
      <c r="H2233">
        <v>0</v>
      </c>
      <c r="I2233">
        <v>0</v>
      </c>
      <c r="J2233" t="str">
        <f t="shared" si="204"/>
        <v>Non-Smoker</v>
      </c>
      <c r="K2233">
        <v>0</v>
      </c>
      <c r="L2233">
        <v>0</v>
      </c>
      <c r="M2233">
        <v>0</v>
      </c>
      <c r="N2233">
        <v>0</v>
      </c>
      <c r="O2233">
        <v>261</v>
      </c>
      <c r="P2233" t="str">
        <f t="shared" si="205"/>
        <v>High</v>
      </c>
      <c r="Q2233">
        <v>129</v>
      </c>
      <c r="R2233">
        <v>80</v>
      </c>
      <c r="S2233">
        <v>23.06</v>
      </c>
      <c r="T2233" t="str">
        <f t="shared" si="206"/>
        <v>Normal</v>
      </c>
      <c r="U2233">
        <v>85</v>
      </c>
      <c r="V2233">
        <v>90</v>
      </c>
      <c r="W2233" t="str">
        <f t="shared" si="209"/>
        <v>Normal</v>
      </c>
      <c r="X2233">
        <v>0</v>
      </c>
    </row>
    <row r="2234" spans="1:24" ht="14.5" thickBot="1" x14ac:dyDescent="0.35">
      <c r="A2234">
        <v>1</v>
      </c>
      <c r="B2234" t="str">
        <f t="shared" si="207"/>
        <v>Male</v>
      </c>
      <c r="C2234" s="8">
        <v>50</v>
      </c>
      <c r="D2234" t="str">
        <f t="shared" si="208"/>
        <v>Middle Age</v>
      </c>
      <c r="E2234">
        <v>3</v>
      </c>
      <c r="F2234" t="str">
        <f>HLOOKUP(E2234, LookUP_Table!$A$6:$D$7, 2, FALSE)</f>
        <v>Graduate</v>
      </c>
      <c r="G2234" t="str">
        <f>IFERROR(VLOOKUP(E2234, LookUP_Table!$A$1:$B$4, 2, FALSE), "")</f>
        <v>Graduate</v>
      </c>
      <c r="H2234">
        <v>1</v>
      </c>
      <c r="I2234">
        <v>30</v>
      </c>
      <c r="J2234" t="str">
        <f t="shared" si="204"/>
        <v>Smoker</v>
      </c>
      <c r="K2234">
        <v>0</v>
      </c>
      <c r="L2234">
        <v>0</v>
      </c>
      <c r="M2234">
        <v>0</v>
      </c>
      <c r="N2234">
        <v>0</v>
      </c>
      <c r="O2234">
        <v>210</v>
      </c>
      <c r="P2234" t="str">
        <f t="shared" si="205"/>
        <v>Normal</v>
      </c>
      <c r="Q2234">
        <v>121.5</v>
      </c>
      <c r="R2234">
        <v>78</v>
      </c>
      <c r="S2234">
        <v>26.29</v>
      </c>
      <c r="T2234" t="str">
        <f t="shared" si="206"/>
        <v>Overweight</v>
      </c>
      <c r="U2234">
        <v>88</v>
      </c>
      <c r="V2234">
        <v>77</v>
      </c>
      <c r="W2234" t="str">
        <f t="shared" si="209"/>
        <v>Normal</v>
      </c>
      <c r="X2234">
        <v>0</v>
      </c>
    </row>
    <row r="2235" spans="1:24" ht="14.5" thickBot="1" x14ac:dyDescent="0.35">
      <c r="A2235">
        <v>0</v>
      </c>
      <c r="B2235" t="str">
        <f t="shared" si="207"/>
        <v>Female</v>
      </c>
      <c r="C2235" s="8">
        <v>50</v>
      </c>
      <c r="D2235" t="str">
        <f t="shared" si="208"/>
        <v>Middle Age</v>
      </c>
      <c r="E2235">
        <v>1</v>
      </c>
      <c r="F2235" t="str">
        <f>HLOOKUP(E2235, LookUP_Table!$A$6:$D$7, 2, FALSE)</f>
        <v>Primary</v>
      </c>
      <c r="G2235" t="str">
        <f>IFERROR(VLOOKUP(E2235, LookUP_Table!$A$1:$B$4, 2, FALSE), "")</f>
        <v>Primary</v>
      </c>
      <c r="H2235">
        <v>1</v>
      </c>
      <c r="I2235">
        <v>20</v>
      </c>
      <c r="J2235" t="str">
        <f t="shared" si="204"/>
        <v>Smoker</v>
      </c>
      <c r="K2235">
        <v>0</v>
      </c>
      <c r="L2235">
        <v>0</v>
      </c>
      <c r="M2235">
        <v>1</v>
      </c>
      <c r="N2235">
        <v>0</v>
      </c>
      <c r="O2235">
        <v>213</v>
      </c>
      <c r="P2235" t="str">
        <f t="shared" si="205"/>
        <v>Normal</v>
      </c>
      <c r="Q2235">
        <v>140</v>
      </c>
      <c r="R2235">
        <v>82</v>
      </c>
      <c r="S2235">
        <v>22.18</v>
      </c>
      <c r="T2235" t="str">
        <f t="shared" si="206"/>
        <v>Normal</v>
      </c>
      <c r="U2235">
        <v>64</v>
      </c>
      <c r="V2235">
        <v>72</v>
      </c>
      <c r="W2235" t="str">
        <f t="shared" si="209"/>
        <v>Normal</v>
      </c>
      <c r="X2235">
        <v>0</v>
      </c>
    </row>
    <row r="2236" spans="1:24" ht="14.5" thickBot="1" x14ac:dyDescent="0.35">
      <c r="A2236">
        <v>0</v>
      </c>
      <c r="B2236" t="str">
        <f t="shared" si="207"/>
        <v>Female</v>
      </c>
      <c r="C2236" s="8">
        <v>50</v>
      </c>
      <c r="D2236" t="str">
        <f t="shared" si="208"/>
        <v>Middle Age</v>
      </c>
      <c r="E2236">
        <v>2</v>
      </c>
      <c r="F2236" t="str">
        <f>HLOOKUP(E2236, LookUP_Table!$A$6:$D$7, 2, FALSE)</f>
        <v>Secondary</v>
      </c>
      <c r="G2236" t="str">
        <f>IFERROR(VLOOKUP(E2236, LookUP_Table!$A$1:$B$4, 2, FALSE), "")</f>
        <v>Secondary</v>
      </c>
      <c r="H2236">
        <v>0</v>
      </c>
      <c r="I2236">
        <v>0</v>
      </c>
      <c r="J2236" t="str">
        <f t="shared" si="204"/>
        <v>Non-Smoker</v>
      </c>
      <c r="K2236">
        <v>0</v>
      </c>
      <c r="L2236">
        <v>0</v>
      </c>
      <c r="M2236">
        <v>0</v>
      </c>
      <c r="N2236">
        <v>0</v>
      </c>
      <c r="O2236">
        <v>214</v>
      </c>
      <c r="P2236" t="str">
        <f t="shared" si="205"/>
        <v>Normal</v>
      </c>
      <c r="Q2236">
        <v>129</v>
      </c>
      <c r="R2236">
        <v>76</v>
      </c>
      <c r="S2236">
        <v>26.39</v>
      </c>
      <c r="T2236" t="str">
        <f t="shared" si="206"/>
        <v>Overweight</v>
      </c>
      <c r="U2236">
        <v>80</v>
      </c>
      <c r="V2236">
        <v>75</v>
      </c>
      <c r="W2236" t="str">
        <f t="shared" si="209"/>
        <v>Normal</v>
      </c>
      <c r="X2236">
        <v>0</v>
      </c>
    </row>
    <row r="2237" spans="1:24" ht="14.5" thickBot="1" x14ac:dyDescent="0.35">
      <c r="A2237">
        <v>1</v>
      </c>
      <c r="B2237" t="str">
        <f t="shared" si="207"/>
        <v>Male</v>
      </c>
      <c r="C2237" s="8">
        <v>50</v>
      </c>
      <c r="D2237" t="str">
        <f t="shared" si="208"/>
        <v>Middle Age</v>
      </c>
      <c r="E2237">
        <v>1</v>
      </c>
      <c r="F2237" t="str">
        <f>HLOOKUP(E2237, LookUP_Table!$A$6:$D$7, 2, FALSE)</f>
        <v>Primary</v>
      </c>
      <c r="G2237" t="str">
        <f>IFERROR(VLOOKUP(E2237, LookUP_Table!$A$1:$B$4, 2, FALSE), "")</f>
        <v>Primary</v>
      </c>
      <c r="H2237">
        <v>0</v>
      </c>
      <c r="I2237">
        <v>0</v>
      </c>
      <c r="J2237" t="str">
        <f t="shared" si="204"/>
        <v>Non-Smoker</v>
      </c>
      <c r="K2237">
        <v>0</v>
      </c>
      <c r="L2237">
        <v>0</v>
      </c>
      <c r="M2237">
        <v>1</v>
      </c>
      <c r="N2237">
        <v>0</v>
      </c>
      <c r="O2237">
        <v>230</v>
      </c>
      <c r="P2237" t="str">
        <f t="shared" si="205"/>
        <v>Normal</v>
      </c>
      <c r="Q2237">
        <v>133</v>
      </c>
      <c r="R2237">
        <v>91</v>
      </c>
      <c r="S2237">
        <v>25.74</v>
      </c>
      <c r="T2237" t="str">
        <f t="shared" si="206"/>
        <v>Overweight</v>
      </c>
      <c r="U2237">
        <v>72</v>
      </c>
      <c r="V2237">
        <v>70</v>
      </c>
      <c r="W2237" t="str">
        <f t="shared" si="209"/>
        <v>Normal</v>
      </c>
      <c r="X2237">
        <v>0</v>
      </c>
    </row>
    <row r="2238" spans="1:24" ht="14.5" thickBot="1" x14ac:dyDescent="0.35">
      <c r="A2238">
        <v>1</v>
      </c>
      <c r="B2238" t="str">
        <f t="shared" si="207"/>
        <v>Male</v>
      </c>
      <c r="C2238" s="8">
        <v>50</v>
      </c>
      <c r="D2238" t="str">
        <f t="shared" si="208"/>
        <v>Middle Age</v>
      </c>
      <c r="E2238">
        <v>3</v>
      </c>
      <c r="F2238" t="str">
        <f>HLOOKUP(E2238, LookUP_Table!$A$6:$D$7, 2, FALSE)</f>
        <v>Graduate</v>
      </c>
      <c r="G2238" t="str">
        <f>IFERROR(VLOOKUP(E2238, LookUP_Table!$A$1:$B$4, 2, FALSE), "")</f>
        <v>Graduate</v>
      </c>
      <c r="H2238">
        <v>1</v>
      </c>
      <c r="I2238">
        <v>3</v>
      </c>
      <c r="J2238" t="str">
        <f t="shared" si="204"/>
        <v>Smoker</v>
      </c>
      <c r="K2238">
        <v>0</v>
      </c>
      <c r="L2238">
        <v>0</v>
      </c>
      <c r="M2238">
        <v>0</v>
      </c>
      <c r="N2238">
        <v>0</v>
      </c>
      <c r="O2238">
        <v>200</v>
      </c>
      <c r="P2238" t="str">
        <f t="shared" si="205"/>
        <v>Normal</v>
      </c>
      <c r="Q2238">
        <v>105</v>
      </c>
      <c r="R2238">
        <v>68</v>
      </c>
      <c r="S2238">
        <v>23.3</v>
      </c>
      <c r="T2238" t="str">
        <f t="shared" si="206"/>
        <v>Normal</v>
      </c>
      <c r="U2238">
        <v>65</v>
      </c>
      <c r="V2238">
        <v>68</v>
      </c>
      <c r="W2238" t="str">
        <f t="shared" si="209"/>
        <v>Normal</v>
      </c>
      <c r="X2238">
        <v>0</v>
      </c>
    </row>
    <row r="2239" spans="1:24" ht="14.5" thickBot="1" x14ac:dyDescent="0.35">
      <c r="A2239">
        <v>0</v>
      </c>
      <c r="B2239" t="str">
        <f t="shared" si="207"/>
        <v>Female</v>
      </c>
      <c r="C2239" s="8">
        <v>50</v>
      </c>
      <c r="D2239" t="str">
        <f t="shared" si="208"/>
        <v>Middle Age</v>
      </c>
      <c r="E2239">
        <v>1</v>
      </c>
      <c r="F2239" t="str">
        <f>HLOOKUP(E2239, LookUP_Table!$A$6:$D$7, 2, FALSE)</f>
        <v>Primary</v>
      </c>
      <c r="G2239" t="str">
        <f>IFERROR(VLOOKUP(E2239, LookUP_Table!$A$1:$B$4, 2, FALSE), "")</f>
        <v>Primary</v>
      </c>
      <c r="H2239">
        <v>1</v>
      </c>
      <c r="I2239">
        <v>30</v>
      </c>
      <c r="J2239" t="str">
        <f t="shared" si="204"/>
        <v>Smoker</v>
      </c>
      <c r="K2239">
        <v>0</v>
      </c>
      <c r="L2239">
        <v>0</v>
      </c>
      <c r="M2239">
        <v>0</v>
      </c>
      <c r="N2239">
        <v>0</v>
      </c>
      <c r="O2239">
        <v>203</v>
      </c>
      <c r="P2239" t="str">
        <f t="shared" si="205"/>
        <v>Normal</v>
      </c>
      <c r="Q2239">
        <v>128.5</v>
      </c>
      <c r="R2239">
        <v>82</v>
      </c>
      <c r="S2239">
        <v>18.989999999999998</v>
      </c>
      <c r="T2239" t="str">
        <f t="shared" si="206"/>
        <v>Normal</v>
      </c>
      <c r="U2239">
        <v>55</v>
      </c>
      <c r="V2239">
        <v>84</v>
      </c>
      <c r="W2239" t="str">
        <f t="shared" si="209"/>
        <v>Normal</v>
      </c>
      <c r="X2239">
        <v>0</v>
      </c>
    </row>
    <row r="2240" spans="1:24" ht="14.5" thickBot="1" x14ac:dyDescent="0.35">
      <c r="A2240">
        <v>1</v>
      </c>
      <c r="B2240" t="str">
        <f t="shared" si="207"/>
        <v>Male</v>
      </c>
      <c r="C2240" s="8">
        <v>50</v>
      </c>
      <c r="D2240" t="str">
        <f t="shared" si="208"/>
        <v>Middle Age</v>
      </c>
      <c r="E2240">
        <v>4</v>
      </c>
      <c r="F2240" t="str">
        <f>HLOOKUP(E2240, LookUP_Table!$A$6:$D$7, 2, FALSE)</f>
        <v>Post Graduate</v>
      </c>
      <c r="G2240" t="str">
        <f>IFERROR(VLOOKUP(E2240, LookUP_Table!$A$1:$B$4, 2, FALSE), "")</f>
        <v>Post Graduate</v>
      </c>
      <c r="H2240">
        <v>1</v>
      </c>
      <c r="I2240">
        <v>43</v>
      </c>
      <c r="J2240" t="str">
        <f t="shared" si="204"/>
        <v>Smoker</v>
      </c>
      <c r="K2240">
        <v>1</v>
      </c>
      <c r="L2240">
        <v>0</v>
      </c>
      <c r="M2240">
        <v>1</v>
      </c>
      <c r="N2240">
        <v>0</v>
      </c>
      <c r="O2240">
        <v>255</v>
      </c>
      <c r="P2240" t="str">
        <f t="shared" si="205"/>
        <v>High</v>
      </c>
      <c r="Q2240">
        <v>126.5</v>
      </c>
      <c r="R2240">
        <v>92.5</v>
      </c>
      <c r="S2240">
        <v>25.35</v>
      </c>
      <c r="T2240" t="str">
        <f t="shared" si="206"/>
        <v>Overweight</v>
      </c>
      <c r="U2240">
        <v>90</v>
      </c>
      <c r="V2240">
        <v>74</v>
      </c>
      <c r="W2240" t="str">
        <f t="shared" si="209"/>
        <v>Normal</v>
      </c>
      <c r="X2240">
        <v>0</v>
      </c>
    </row>
    <row r="2241" spans="1:24" ht="14.5" thickBot="1" x14ac:dyDescent="0.35">
      <c r="A2241">
        <v>1</v>
      </c>
      <c r="B2241" t="str">
        <f t="shared" si="207"/>
        <v>Male</v>
      </c>
      <c r="C2241" s="8">
        <v>50</v>
      </c>
      <c r="D2241" t="str">
        <f t="shared" si="208"/>
        <v>Middle Age</v>
      </c>
      <c r="E2241">
        <v>1</v>
      </c>
      <c r="F2241" t="str">
        <f>HLOOKUP(E2241, LookUP_Table!$A$6:$D$7, 2, FALSE)</f>
        <v>Primary</v>
      </c>
      <c r="G2241" t="str">
        <f>IFERROR(VLOOKUP(E2241, LookUP_Table!$A$1:$B$4, 2, FALSE), "")</f>
        <v>Primary</v>
      </c>
      <c r="H2241">
        <v>1</v>
      </c>
      <c r="I2241">
        <v>20</v>
      </c>
      <c r="J2241" t="str">
        <f t="shared" si="204"/>
        <v>Smoker</v>
      </c>
      <c r="K2241">
        <v>0</v>
      </c>
      <c r="L2241">
        <v>0</v>
      </c>
      <c r="M2241">
        <v>0</v>
      </c>
      <c r="N2241">
        <v>0</v>
      </c>
      <c r="O2241">
        <v>329</v>
      </c>
      <c r="P2241" t="str">
        <f t="shared" si="205"/>
        <v>High</v>
      </c>
      <c r="Q2241">
        <v>126</v>
      </c>
      <c r="R2241">
        <v>84</v>
      </c>
      <c r="S2241">
        <v>21.45</v>
      </c>
      <c r="T2241" t="str">
        <f t="shared" si="206"/>
        <v>Normal</v>
      </c>
      <c r="U2241">
        <v>65</v>
      </c>
      <c r="V2241">
        <v>65</v>
      </c>
      <c r="W2241" t="str">
        <f t="shared" si="209"/>
        <v>Normal</v>
      </c>
      <c r="X2241">
        <v>0</v>
      </c>
    </row>
    <row r="2242" spans="1:24" ht="14.5" thickBot="1" x14ac:dyDescent="0.35">
      <c r="A2242">
        <v>1</v>
      </c>
      <c r="B2242" t="str">
        <f t="shared" si="207"/>
        <v>Male</v>
      </c>
      <c r="C2242" s="8">
        <v>50</v>
      </c>
      <c r="D2242" t="str">
        <f t="shared" si="208"/>
        <v>Middle Age</v>
      </c>
      <c r="E2242">
        <v>4</v>
      </c>
      <c r="F2242" t="str">
        <f>HLOOKUP(E2242, LookUP_Table!$A$6:$D$7, 2, FALSE)</f>
        <v>Post Graduate</v>
      </c>
      <c r="G2242" t="str">
        <f>IFERROR(VLOOKUP(E2242, LookUP_Table!$A$1:$B$4, 2, FALSE), "")</f>
        <v>Post Graduate</v>
      </c>
      <c r="H2242">
        <v>1</v>
      </c>
      <c r="I2242">
        <v>25</v>
      </c>
      <c r="J2242" t="str">
        <f t="shared" ref="J2242:J2305" si="210">IF(I2242&gt;0,"Smoker","Non-Smoker")</f>
        <v>Smoker</v>
      </c>
      <c r="K2242">
        <v>0</v>
      </c>
      <c r="L2242">
        <v>0</v>
      </c>
      <c r="M2242">
        <v>0</v>
      </c>
      <c r="N2242">
        <v>0</v>
      </c>
      <c r="O2242">
        <v>215</v>
      </c>
      <c r="P2242" t="str">
        <f t="shared" ref="P2242:P2305" si="211">IF(O2242&gt;240,"High","Normal")</f>
        <v>Normal</v>
      </c>
      <c r="Q2242">
        <v>134</v>
      </c>
      <c r="R2242">
        <v>80</v>
      </c>
      <c r="S2242">
        <v>29.98</v>
      </c>
      <c r="T2242" t="str">
        <f t="shared" ref="T2242:T2305" si="212">IF(S2242&lt;18.5,"Underweight",
IF(S2242&lt;25,"Normal",
IF(S2242&lt;30,"Overweight","Obese")))</f>
        <v>Overweight</v>
      </c>
      <c r="U2242">
        <v>67</v>
      </c>
      <c r="V2242">
        <v>75</v>
      </c>
      <c r="W2242" t="str">
        <f t="shared" si="209"/>
        <v>Normal</v>
      </c>
      <c r="X2242">
        <v>0</v>
      </c>
    </row>
    <row r="2243" spans="1:24" ht="14.5" thickBot="1" x14ac:dyDescent="0.35">
      <c r="A2243">
        <v>1</v>
      </c>
      <c r="B2243" t="str">
        <f t="shared" ref="B2243:B2306" si="213">IF(A2243=0,"Female","Male")</f>
        <v>Male</v>
      </c>
      <c r="C2243" s="8">
        <v>50</v>
      </c>
      <c r="D2243" t="str">
        <f t="shared" ref="D2243:D2306" si="214">IF(C2243&lt;40,"Young",
IF(C2243&lt;55,"Middle Age","Senior"))</f>
        <v>Middle Age</v>
      </c>
      <c r="E2243">
        <v>2</v>
      </c>
      <c r="F2243" t="str">
        <f>HLOOKUP(E2243, LookUP_Table!$A$6:$D$7, 2, FALSE)</f>
        <v>Secondary</v>
      </c>
      <c r="G2243" t="str">
        <f>IFERROR(VLOOKUP(E2243, LookUP_Table!$A$1:$B$4, 2, FALSE), "")</f>
        <v>Secondary</v>
      </c>
      <c r="H2243">
        <v>0</v>
      </c>
      <c r="I2243">
        <v>0</v>
      </c>
      <c r="J2243" t="str">
        <f t="shared" si="210"/>
        <v>Non-Smoker</v>
      </c>
      <c r="K2243">
        <v>0</v>
      </c>
      <c r="L2243">
        <v>0</v>
      </c>
      <c r="M2243">
        <v>0</v>
      </c>
      <c r="N2243">
        <v>0</v>
      </c>
      <c r="O2243">
        <v>296</v>
      </c>
      <c r="P2243" t="str">
        <f t="shared" si="211"/>
        <v>High</v>
      </c>
      <c r="Q2243">
        <v>129</v>
      </c>
      <c r="R2243">
        <v>85</v>
      </c>
      <c r="S2243">
        <v>25.86</v>
      </c>
      <c r="T2243" t="str">
        <f t="shared" si="212"/>
        <v>Overweight</v>
      </c>
      <c r="U2243">
        <v>56</v>
      </c>
      <c r="V2243">
        <v>106</v>
      </c>
      <c r="W2243" t="str">
        <f t="shared" ref="W2243:W2306" si="215">IF(V2243 &lt; 100, "Normal", IF(V2243 &lt;= 125, "Prediabetes", "Diabetes"))</f>
        <v>Prediabetes</v>
      </c>
      <c r="X2243">
        <v>1</v>
      </c>
    </row>
    <row r="2244" spans="1:24" ht="14.5" thickBot="1" x14ac:dyDescent="0.35">
      <c r="A2244">
        <v>1</v>
      </c>
      <c r="B2244" t="str">
        <f t="shared" si="213"/>
        <v>Male</v>
      </c>
      <c r="C2244" s="8">
        <v>50</v>
      </c>
      <c r="D2244" t="str">
        <f t="shared" si="214"/>
        <v>Middle Age</v>
      </c>
      <c r="E2244">
        <v>4</v>
      </c>
      <c r="F2244" t="str">
        <f>HLOOKUP(E2244, LookUP_Table!$A$6:$D$7, 2, FALSE)</f>
        <v>Post Graduate</v>
      </c>
      <c r="G2244" t="str">
        <f>IFERROR(VLOOKUP(E2244, LookUP_Table!$A$1:$B$4, 2, FALSE), "")</f>
        <v>Post Graduate</v>
      </c>
      <c r="H2244">
        <v>1</v>
      </c>
      <c r="I2244">
        <v>9</v>
      </c>
      <c r="J2244" t="str">
        <f t="shared" si="210"/>
        <v>Smoker</v>
      </c>
      <c r="K2244">
        <v>0</v>
      </c>
      <c r="L2244">
        <v>0</v>
      </c>
      <c r="M2244">
        <v>0</v>
      </c>
      <c r="N2244">
        <v>0</v>
      </c>
      <c r="O2244">
        <v>296</v>
      </c>
      <c r="P2244" t="str">
        <f t="shared" si="211"/>
        <v>High</v>
      </c>
      <c r="Q2244">
        <v>119</v>
      </c>
      <c r="R2244">
        <v>90</v>
      </c>
      <c r="S2244">
        <v>23.55</v>
      </c>
      <c r="T2244" t="str">
        <f t="shared" si="212"/>
        <v>Normal</v>
      </c>
      <c r="U2244">
        <v>75</v>
      </c>
      <c r="V2244">
        <v>69</v>
      </c>
      <c r="W2244" t="str">
        <f t="shared" si="215"/>
        <v>Normal</v>
      </c>
      <c r="X2244">
        <v>1</v>
      </c>
    </row>
    <row r="2245" spans="1:24" ht="14.5" thickBot="1" x14ac:dyDescent="0.35">
      <c r="A2245">
        <v>1</v>
      </c>
      <c r="B2245" t="str">
        <f t="shared" si="213"/>
        <v>Male</v>
      </c>
      <c r="C2245" s="8">
        <v>50</v>
      </c>
      <c r="D2245" t="str">
        <f t="shared" si="214"/>
        <v>Middle Age</v>
      </c>
      <c r="E2245">
        <v>3</v>
      </c>
      <c r="F2245" t="str">
        <f>HLOOKUP(E2245, LookUP_Table!$A$6:$D$7, 2, FALSE)</f>
        <v>Graduate</v>
      </c>
      <c r="G2245" t="str">
        <f>IFERROR(VLOOKUP(E2245, LookUP_Table!$A$1:$B$4, 2, FALSE), "")</f>
        <v>Graduate</v>
      </c>
      <c r="H2245">
        <v>0</v>
      </c>
      <c r="I2245">
        <v>0</v>
      </c>
      <c r="J2245" t="str">
        <f t="shared" si="210"/>
        <v>Non-Smoker</v>
      </c>
      <c r="K2245">
        <v>0</v>
      </c>
      <c r="L2245">
        <v>0</v>
      </c>
      <c r="M2245">
        <v>0</v>
      </c>
      <c r="N2245">
        <v>0</v>
      </c>
      <c r="O2245">
        <v>232</v>
      </c>
      <c r="P2245" t="str">
        <f t="shared" si="211"/>
        <v>Normal</v>
      </c>
      <c r="Q2245">
        <v>127.5</v>
      </c>
      <c r="R2245">
        <v>85</v>
      </c>
      <c r="S2245">
        <v>25.09</v>
      </c>
      <c r="T2245" t="str">
        <f t="shared" si="212"/>
        <v>Overweight</v>
      </c>
      <c r="U2245">
        <v>75</v>
      </c>
      <c r="V2245">
        <v>79</v>
      </c>
      <c r="W2245" t="str">
        <f t="shared" si="215"/>
        <v>Normal</v>
      </c>
      <c r="X2245">
        <v>0</v>
      </c>
    </row>
    <row r="2246" spans="1:24" ht="14.5" thickBot="1" x14ac:dyDescent="0.35">
      <c r="A2246">
        <v>0</v>
      </c>
      <c r="B2246" t="str">
        <f t="shared" si="213"/>
        <v>Female</v>
      </c>
      <c r="C2246" s="8">
        <v>50</v>
      </c>
      <c r="D2246" t="str">
        <f t="shared" si="214"/>
        <v>Middle Age</v>
      </c>
      <c r="E2246">
        <v>2</v>
      </c>
      <c r="F2246" t="str">
        <f>HLOOKUP(E2246, LookUP_Table!$A$6:$D$7, 2, FALSE)</f>
        <v>Secondary</v>
      </c>
      <c r="G2246" t="str">
        <f>IFERROR(VLOOKUP(E2246, LookUP_Table!$A$1:$B$4, 2, FALSE), "")</f>
        <v>Secondary</v>
      </c>
      <c r="H2246">
        <v>0</v>
      </c>
      <c r="I2246">
        <v>0</v>
      </c>
      <c r="J2246" t="str">
        <f t="shared" si="210"/>
        <v>Non-Smoker</v>
      </c>
      <c r="K2246">
        <v>0</v>
      </c>
      <c r="L2246">
        <v>0</v>
      </c>
      <c r="M2246">
        <v>1</v>
      </c>
      <c r="N2246">
        <v>0</v>
      </c>
      <c r="O2246">
        <v>173</v>
      </c>
      <c r="P2246" t="str">
        <f t="shared" si="211"/>
        <v>Normal</v>
      </c>
      <c r="Q2246">
        <v>147</v>
      </c>
      <c r="R2246">
        <v>90</v>
      </c>
      <c r="S2246">
        <v>24.06</v>
      </c>
      <c r="T2246" t="str">
        <f t="shared" si="212"/>
        <v>Normal</v>
      </c>
      <c r="U2246">
        <v>63</v>
      </c>
      <c r="V2246">
        <v>85</v>
      </c>
      <c r="W2246" t="str">
        <f t="shared" si="215"/>
        <v>Normal</v>
      </c>
      <c r="X2246">
        <v>0</v>
      </c>
    </row>
    <row r="2247" spans="1:24" ht="14.5" thickBot="1" x14ac:dyDescent="0.35">
      <c r="A2247">
        <v>0</v>
      </c>
      <c r="B2247" t="str">
        <f t="shared" si="213"/>
        <v>Female</v>
      </c>
      <c r="C2247" s="8">
        <v>50</v>
      </c>
      <c r="D2247" t="str">
        <f t="shared" si="214"/>
        <v>Middle Age</v>
      </c>
      <c r="E2247">
        <v>1</v>
      </c>
      <c r="F2247" t="str">
        <f>HLOOKUP(E2247, LookUP_Table!$A$6:$D$7, 2, FALSE)</f>
        <v>Primary</v>
      </c>
      <c r="G2247" t="str">
        <f>IFERROR(VLOOKUP(E2247, LookUP_Table!$A$1:$B$4, 2, FALSE), "")</f>
        <v>Primary</v>
      </c>
      <c r="H2247">
        <v>1</v>
      </c>
      <c r="I2247">
        <v>20</v>
      </c>
      <c r="J2247" t="str">
        <f t="shared" si="210"/>
        <v>Smoker</v>
      </c>
      <c r="K2247">
        <v>0</v>
      </c>
      <c r="L2247">
        <v>0</v>
      </c>
      <c r="M2247">
        <v>0</v>
      </c>
      <c r="N2247">
        <v>0</v>
      </c>
      <c r="O2247">
        <v>221</v>
      </c>
      <c r="P2247" t="str">
        <f t="shared" si="211"/>
        <v>Normal</v>
      </c>
      <c r="Q2247">
        <v>112</v>
      </c>
      <c r="R2247">
        <v>69</v>
      </c>
      <c r="S2247">
        <v>24.07</v>
      </c>
      <c r="T2247" t="str">
        <f t="shared" si="212"/>
        <v>Normal</v>
      </c>
      <c r="U2247">
        <v>80</v>
      </c>
      <c r="V2247">
        <v>79</v>
      </c>
      <c r="W2247" t="str">
        <f t="shared" si="215"/>
        <v>Normal</v>
      </c>
      <c r="X2247">
        <v>0</v>
      </c>
    </row>
    <row r="2248" spans="1:24" ht="14.5" thickBot="1" x14ac:dyDescent="0.35">
      <c r="A2248">
        <v>1</v>
      </c>
      <c r="B2248" t="str">
        <f t="shared" si="213"/>
        <v>Male</v>
      </c>
      <c r="C2248" s="8">
        <v>50</v>
      </c>
      <c r="D2248" t="str">
        <f t="shared" si="214"/>
        <v>Middle Age</v>
      </c>
      <c r="E2248">
        <v>1</v>
      </c>
      <c r="F2248" t="str">
        <f>HLOOKUP(E2248, LookUP_Table!$A$6:$D$7, 2, FALSE)</f>
        <v>Primary</v>
      </c>
      <c r="G2248" t="str">
        <f>IFERROR(VLOOKUP(E2248, LookUP_Table!$A$1:$B$4, 2, FALSE), "")</f>
        <v>Primary</v>
      </c>
      <c r="H2248">
        <v>1</v>
      </c>
      <c r="I2248">
        <v>20</v>
      </c>
      <c r="J2248" t="str">
        <f t="shared" si="210"/>
        <v>Smoker</v>
      </c>
      <c r="K2248">
        <v>0</v>
      </c>
      <c r="L2248">
        <v>0</v>
      </c>
      <c r="M2248">
        <v>1</v>
      </c>
      <c r="N2248">
        <v>0</v>
      </c>
      <c r="O2248">
        <v>272</v>
      </c>
      <c r="P2248" t="str">
        <f t="shared" si="211"/>
        <v>High</v>
      </c>
      <c r="Q2248">
        <v>159</v>
      </c>
      <c r="R2248">
        <v>109</v>
      </c>
      <c r="S2248">
        <v>31.27</v>
      </c>
      <c r="T2248" t="str">
        <f t="shared" si="212"/>
        <v>Obese</v>
      </c>
      <c r="U2248">
        <v>80</v>
      </c>
      <c r="V2248">
        <v>68</v>
      </c>
      <c r="W2248" t="str">
        <f t="shared" si="215"/>
        <v>Normal</v>
      </c>
      <c r="X2248">
        <v>0</v>
      </c>
    </row>
    <row r="2249" spans="1:24" ht="14.5" thickBot="1" x14ac:dyDescent="0.35">
      <c r="A2249">
        <v>0</v>
      </c>
      <c r="B2249" t="str">
        <f t="shared" si="213"/>
        <v>Female</v>
      </c>
      <c r="C2249" s="8">
        <v>50</v>
      </c>
      <c r="D2249" t="str">
        <f t="shared" si="214"/>
        <v>Middle Age</v>
      </c>
      <c r="E2249">
        <v>1</v>
      </c>
      <c r="F2249" t="str">
        <f>HLOOKUP(E2249, LookUP_Table!$A$6:$D$7, 2, FALSE)</f>
        <v>Primary</v>
      </c>
      <c r="G2249" t="str">
        <f>IFERROR(VLOOKUP(E2249, LookUP_Table!$A$1:$B$4, 2, FALSE), "")</f>
        <v>Primary</v>
      </c>
      <c r="H2249">
        <v>1</v>
      </c>
      <c r="I2249">
        <v>10</v>
      </c>
      <c r="J2249" t="str">
        <f t="shared" si="210"/>
        <v>Smoker</v>
      </c>
      <c r="K2249">
        <v>0</v>
      </c>
      <c r="L2249">
        <v>0</v>
      </c>
      <c r="M2249">
        <v>0</v>
      </c>
      <c r="N2249">
        <v>0</v>
      </c>
      <c r="O2249">
        <v>177</v>
      </c>
      <c r="P2249" t="str">
        <f t="shared" si="211"/>
        <v>Normal</v>
      </c>
      <c r="Q2249">
        <v>121</v>
      </c>
      <c r="R2249">
        <v>67</v>
      </c>
      <c r="S2249">
        <v>22.02</v>
      </c>
      <c r="T2249" t="str">
        <f t="shared" si="212"/>
        <v>Normal</v>
      </c>
      <c r="U2249">
        <v>71</v>
      </c>
      <c r="V2249">
        <v>77</v>
      </c>
      <c r="W2249" t="str">
        <f t="shared" si="215"/>
        <v>Normal</v>
      </c>
      <c r="X2249">
        <v>0</v>
      </c>
    </row>
    <row r="2250" spans="1:24" ht="14.5" thickBot="1" x14ac:dyDescent="0.35">
      <c r="A2250">
        <v>1</v>
      </c>
      <c r="B2250" t="str">
        <f t="shared" si="213"/>
        <v>Male</v>
      </c>
      <c r="C2250" s="8">
        <v>50</v>
      </c>
      <c r="D2250" t="str">
        <f t="shared" si="214"/>
        <v>Middle Age</v>
      </c>
      <c r="E2250">
        <v>1</v>
      </c>
      <c r="F2250" t="str">
        <f>HLOOKUP(E2250, LookUP_Table!$A$6:$D$7, 2, FALSE)</f>
        <v>Primary</v>
      </c>
      <c r="G2250" t="str">
        <f>IFERROR(VLOOKUP(E2250, LookUP_Table!$A$1:$B$4, 2, FALSE), "")</f>
        <v>Primary</v>
      </c>
      <c r="H2250">
        <v>0</v>
      </c>
      <c r="I2250">
        <v>0</v>
      </c>
      <c r="J2250" t="str">
        <f t="shared" si="210"/>
        <v>Non-Smoker</v>
      </c>
      <c r="K2250">
        <v>0</v>
      </c>
      <c r="L2250">
        <v>0</v>
      </c>
      <c r="M2250">
        <v>0</v>
      </c>
      <c r="N2250">
        <v>0</v>
      </c>
      <c r="O2250">
        <v>240</v>
      </c>
      <c r="P2250" t="str">
        <f t="shared" si="211"/>
        <v>Normal</v>
      </c>
      <c r="Q2250">
        <v>145</v>
      </c>
      <c r="R2250">
        <v>94</v>
      </c>
      <c r="S2250">
        <v>28.86</v>
      </c>
      <c r="T2250" t="str">
        <f t="shared" si="212"/>
        <v>Overweight</v>
      </c>
      <c r="U2250">
        <v>60</v>
      </c>
      <c r="V2250">
        <v>68</v>
      </c>
      <c r="W2250" t="str">
        <f t="shared" si="215"/>
        <v>Normal</v>
      </c>
      <c r="X2250">
        <v>0</v>
      </c>
    </row>
    <row r="2251" spans="1:24" ht="14.5" thickBot="1" x14ac:dyDescent="0.35">
      <c r="A2251">
        <v>0</v>
      </c>
      <c r="B2251" t="str">
        <f t="shared" si="213"/>
        <v>Female</v>
      </c>
      <c r="C2251" s="8">
        <v>50</v>
      </c>
      <c r="D2251" t="str">
        <f t="shared" si="214"/>
        <v>Middle Age</v>
      </c>
      <c r="E2251">
        <v>3</v>
      </c>
      <c r="F2251" t="str">
        <f>HLOOKUP(E2251, LookUP_Table!$A$6:$D$7, 2, FALSE)</f>
        <v>Graduate</v>
      </c>
      <c r="G2251" t="str">
        <f>IFERROR(VLOOKUP(E2251, LookUP_Table!$A$1:$B$4, 2, FALSE), "")</f>
        <v>Graduate</v>
      </c>
      <c r="H2251">
        <v>0</v>
      </c>
      <c r="I2251">
        <v>0</v>
      </c>
      <c r="J2251" t="str">
        <f t="shared" si="210"/>
        <v>Non-Smoker</v>
      </c>
      <c r="K2251">
        <v>0</v>
      </c>
      <c r="L2251">
        <v>0</v>
      </c>
      <c r="M2251">
        <v>1</v>
      </c>
      <c r="N2251">
        <v>0</v>
      </c>
      <c r="O2251">
        <v>224</v>
      </c>
      <c r="P2251" t="str">
        <f t="shared" si="211"/>
        <v>Normal</v>
      </c>
      <c r="Q2251">
        <v>149</v>
      </c>
      <c r="R2251">
        <v>90</v>
      </c>
      <c r="S2251">
        <v>29.94</v>
      </c>
      <c r="T2251" t="str">
        <f t="shared" si="212"/>
        <v>Overweight</v>
      </c>
      <c r="U2251">
        <v>100</v>
      </c>
      <c r="V2251">
        <v>85</v>
      </c>
      <c r="W2251" t="str">
        <f t="shared" si="215"/>
        <v>Normal</v>
      </c>
      <c r="X2251">
        <v>0</v>
      </c>
    </row>
    <row r="2252" spans="1:24" ht="14.5" thickBot="1" x14ac:dyDescent="0.35">
      <c r="A2252">
        <v>1</v>
      </c>
      <c r="B2252" t="str">
        <f t="shared" si="213"/>
        <v>Male</v>
      </c>
      <c r="C2252" s="8">
        <v>50</v>
      </c>
      <c r="D2252" t="str">
        <f t="shared" si="214"/>
        <v>Middle Age</v>
      </c>
      <c r="E2252">
        <v>1</v>
      </c>
      <c r="F2252" t="str">
        <f>HLOOKUP(E2252, LookUP_Table!$A$6:$D$7, 2, FALSE)</f>
        <v>Primary</v>
      </c>
      <c r="G2252" t="str">
        <f>IFERROR(VLOOKUP(E2252, LookUP_Table!$A$1:$B$4, 2, FALSE), "")</f>
        <v>Primary</v>
      </c>
      <c r="H2252">
        <v>0</v>
      </c>
      <c r="I2252">
        <v>0</v>
      </c>
      <c r="J2252" t="str">
        <f t="shared" si="210"/>
        <v>Non-Smoker</v>
      </c>
      <c r="K2252">
        <v>0</v>
      </c>
      <c r="L2252">
        <v>0</v>
      </c>
      <c r="M2252">
        <v>0</v>
      </c>
      <c r="N2252">
        <v>0</v>
      </c>
      <c r="O2252">
        <v>220</v>
      </c>
      <c r="P2252" t="str">
        <f t="shared" si="211"/>
        <v>Normal</v>
      </c>
      <c r="Q2252">
        <v>124</v>
      </c>
      <c r="R2252">
        <v>82</v>
      </c>
      <c r="S2252">
        <v>24.54</v>
      </c>
      <c r="T2252" t="str">
        <f t="shared" si="212"/>
        <v>Normal</v>
      </c>
      <c r="U2252">
        <v>54</v>
      </c>
      <c r="V2252">
        <v>83</v>
      </c>
      <c r="W2252" t="str">
        <f t="shared" si="215"/>
        <v>Normal</v>
      </c>
      <c r="X2252">
        <v>0</v>
      </c>
    </row>
    <row r="2253" spans="1:24" ht="14.5" thickBot="1" x14ac:dyDescent="0.35">
      <c r="A2253">
        <v>1</v>
      </c>
      <c r="B2253" t="str">
        <f t="shared" si="213"/>
        <v>Male</v>
      </c>
      <c r="C2253" s="8">
        <v>50</v>
      </c>
      <c r="D2253" t="str">
        <f t="shared" si="214"/>
        <v>Middle Age</v>
      </c>
      <c r="E2253">
        <v>4</v>
      </c>
      <c r="F2253" t="str">
        <f>HLOOKUP(E2253, LookUP_Table!$A$6:$D$7, 2, FALSE)</f>
        <v>Post Graduate</v>
      </c>
      <c r="G2253" t="str">
        <f>IFERROR(VLOOKUP(E2253, LookUP_Table!$A$1:$B$4, 2, FALSE), "")</f>
        <v>Post Graduate</v>
      </c>
      <c r="H2253">
        <v>0</v>
      </c>
      <c r="I2253">
        <v>0</v>
      </c>
      <c r="J2253" t="str">
        <f t="shared" si="210"/>
        <v>Non-Smoker</v>
      </c>
      <c r="K2253">
        <v>0</v>
      </c>
      <c r="L2253">
        <v>0</v>
      </c>
      <c r="M2253">
        <v>0</v>
      </c>
      <c r="N2253">
        <v>0</v>
      </c>
      <c r="O2253">
        <v>220</v>
      </c>
      <c r="P2253" t="str">
        <f t="shared" si="211"/>
        <v>Normal</v>
      </c>
      <c r="Q2253">
        <v>114</v>
      </c>
      <c r="R2253">
        <v>78</v>
      </c>
      <c r="S2253">
        <v>26.26</v>
      </c>
      <c r="T2253" t="str">
        <f t="shared" si="212"/>
        <v>Overweight</v>
      </c>
      <c r="U2253">
        <v>79</v>
      </c>
      <c r="V2253">
        <v>83</v>
      </c>
      <c r="W2253" t="str">
        <f t="shared" si="215"/>
        <v>Normal</v>
      </c>
      <c r="X2253">
        <v>1</v>
      </c>
    </row>
    <row r="2254" spans="1:24" ht="14.5" thickBot="1" x14ac:dyDescent="0.35">
      <c r="A2254">
        <v>0</v>
      </c>
      <c r="B2254" t="str">
        <f t="shared" si="213"/>
        <v>Female</v>
      </c>
      <c r="C2254" s="8">
        <v>50</v>
      </c>
      <c r="D2254" t="str">
        <f t="shared" si="214"/>
        <v>Middle Age</v>
      </c>
      <c r="E2254">
        <v>4</v>
      </c>
      <c r="F2254" t="str">
        <f>HLOOKUP(E2254, LookUP_Table!$A$6:$D$7, 2, FALSE)</f>
        <v>Post Graduate</v>
      </c>
      <c r="G2254" t="str">
        <f>IFERROR(VLOOKUP(E2254, LookUP_Table!$A$1:$B$4, 2, FALSE), "")</f>
        <v>Post Graduate</v>
      </c>
      <c r="H2254">
        <v>0</v>
      </c>
      <c r="I2254">
        <v>0</v>
      </c>
      <c r="J2254" t="str">
        <f t="shared" si="210"/>
        <v>Non-Smoker</v>
      </c>
      <c r="K2254">
        <v>0</v>
      </c>
      <c r="L2254">
        <v>0</v>
      </c>
      <c r="M2254">
        <v>0</v>
      </c>
      <c r="N2254">
        <v>0</v>
      </c>
      <c r="O2254">
        <v>274</v>
      </c>
      <c r="P2254" t="str">
        <f t="shared" si="211"/>
        <v>High</v>
      </c>
      <c r="Q2254">
        <v>125</v>
      </c>
      <c r="R2254">
        <v>87</v>
      </c>
      <c r="S2254">
        <v>21.67</v>
      </c>
      <c r="T2254" t="str">
        <f t="shared" si="212"/>
        <v>Normal</v>
      </c>
      <c r="U2254">
        <v>75</v>
      </c>
      <c r="V2254">
        <v>73</v>
      </c>
      <c r="W2254" t="str">
        <f t="shared" si="215"/>
        <v>Normal</v>
      </c>
      <c r="X2254">
        <v>0</v>
      </c>
    </row>
    <row r="2255" spans="1:24" ht="14.5" thickBot="1" x14ac:dyDescent="0.35">
      <c r="A2255">
        <v>1</v>
      </c>
      <c r="B2255" t="str">
        <f t="shared" si="213"/>
        <v>Male</v>
      </c>
      <c r="C2255" s="8">
        <v>50</v>
      </c>
      <c r="D2255" t="str">
        <f t="shared" si="214"/>
        <v>Middle Age</v>
      </c>
      <c r="E2255">
        <v>2</v>
      </c>
      <c r="F2255" t="str">
        <f>HLOOKUP(E2255, LookUP_Table!$A$6:$D$7, 2, FALSE)</f>
        <v>Secondary</v>
      </c>
      <c r="G2255" t="str">
        <f>IFERROR(VLOOKUP(E2255, LookUP_Table!$A$1:$B$4, 2, FALSE), "")</f>
        <v>Secondary</v>
      </c>
      <c r="H2255">
        <v>1</v>
      </c>
      <c r="I2255">
        <v>30</v>
      </c>
      <c r="J2255" t="str">
        <f t="shared" si="210"/>
        <v>Smoker</v>
      </c>
      <c r="K2255">
        <v>0</v>
      </c>
      <c r="L2255">
        <v>0</v>
      </c>
      <c r="M2255">
        <v>0</v>
      </c>
      <c r="N2255">
        <v>0</v>
      </c>
      <c r="O2255">
        <v>249</v>
      </c>
      <c r="P2255" t="str">
        <f t="shared" si="211"/>
        <v>High</v>
      </c>
      <c r="Q2255">
        <v>133</v>
      </c>
      <c r="R2255">
        <v>88</v>
      </c>
      <c r="S2255">
        <v>28.5</v>
      </c>
      <c r="T2255" t="str">
        <f t="shared" si="212"/>
        <v>Overweight</v>
      </c>
      <c r="U2255">
        <v>75</v>
      </c>
      <c r="V2255">
        <v>75</v>
      </c>
      <c r="W2255" t="str">
        <f t="shared" si="215"/>
        <v>Normal</v>
      </c>
      <c r="X2255">
        <v>1</v>
      </c>
    </row>
    <row r="2256" spans="1:24" ht="14.5" thickBot="1" x14ac:dyDescent="0.35">
      <c r="A2256">
        <v>0</v>
      </c>
      <c r="B2256" t="str">
        <f t="shared" si="213"/>
        <v>Female</v>
      </c>
      <c r="C2256" s="8">
        <v>50</v>
      </c>
      <c r="D2256" t="str">
        <f t="shared" si="214"/>
        <v>Middle Age</v>
      </c>
      <c r="E2256">
        <v>1</v>
      </c>
      <c r="F2256" t="str">
        <f>HLOOKUP(E2256, LookUP_Table!$A$6:$D$7, 2, FALSE)</f>
        <v>Primary</v>
      </c>
      <c r="G2256" t="str">
        <f>IFERROR(VLOOKUP(E2256, LookUP_Table!$A$1:$B$4, 2, FALSE), "")</f>
        <v>Primary</v>
      </c>
      <c r="H2256">
        <v>1</v>
      </c>
      <c r="I2256">
        <v>20</v>
      </c>
      <c r="J2256" t="str">
        <f t="shared" si="210"/>
        <v>Smoker</v>
      </c>
      <c r="K2256">
        <v>0</v>
      </c>
      <c r="L2256">
        <v>0</v>
      </c>
      <c r="M2256">
        <v>0</v>
      </c>
      <c r="N2256">
        <v>0</v>
      </c>
      <c r="O2256">
        <v>242</v>
      </c>
      <c r="P2256" t="str">
        <f t="shared" si="211"/>
        <v>High</v>
      </c>
      <c r="Q2256">
        <v>116</v>
      </c>
      <c r="R2256">
        <v>69</v>
      </c>
      <c r="S2256">
        <v>21.65</v>
      </c>
      <c r="T2256" t="str">
        <f t="shared" si="212"/>
        <v>Normal</v>
      </c>
      <c r="U2256">
        <v>75</v>
      </c>
      <c r="V2256">
        <v>73</v>
      </c>
      <c r="W2256" t="str">
        <f t="shared" si="215"/>
        <v>Normal</v>
      </c>
      <c r="X2256">
        <v>0</v>
      </c>
    </row>
    <row r="2257" spans="1:24" ht="14.5" thickBot="1" x14ac:dyDescent="0.35">
      <c r="A2257">
        <v>1</v>
      </c>
      <c r="B2257" t="str">
        <f t="shared" si="213"/>
        <v>Male</v>
      </c>
      <c r="C2257" s="8">
        <v>50</v>
      </c>
      <c r="D2257" t="str">
        <f t="shared" si="214"/>
        <v>Middle Age</v>
      </c>
      <c r="E2257">
        <v>1</v>
      </c>
      <c r="F2257" t="str">
        <f>HLOOKUP(E2257, LookUP_Table!$A$6:$D$7, 2, FALSE)</f>
        <v>Primary</v>
      </c>
      <c r="G2257" t="str">
        <f>IFERROR(VLOOKUP(E2257, LookUP_Table!$A$1:$B$4, 2, FALSE), "")</f>
        <v>Primary</v>
      </c>
      <c r="H2257">
        <v>1</v>
      </c>
      <c r="I2257">
        <v>20</v>
      </c>
      <c r="J2257" t="str">
        <f t="shared" si="210"/>
        <v>Smoker</v>
      </c>
      <c r="K2257">
        <v>0</v>
      </c>
      <c r="L2257">
        <v>0</v>
      </c>
      <c r="M2257">
        <v>0</v>
      </c>
      <c r="N2257">
        <v>0</v>
      </c>
      <c r="O2257">
        <v>261</v>
      </c>
      <c r="P2257" t="str">
        <f t="shared" si="211"/>
        <v>High</v>
      </c>
      <c r="Q2257">
        <v>114</v>
      </c>
      <c r="R2257">
        <v>64</v>
      </c>
      <c r="S2257">
        <v>22.32</v>
      </c>
      <c r="T2257" t="str">
        <f t="shared" si="212"/>
        <v>Normal</v>
      </c>
      <c r="U2257">
        <v>85</v>
      </c>
      <c r="V2257">
        <v>71</v>
      </c>
      <c r="W2257" t="str">
        <f t="shared" si="215"/>
        <v>Normal</v>
      </c>
      <c r="X2257">
        <v>0</v>
      </c>
    </row>
    <row r="2258" spans="1:24" ht="14.5" thickBot="1" x14ac:dyDescent="0.35">
      <c r="A2258">
        <v>0</v>
      </c>
      <c r="B2258" t="str">
        <f t="shared" si="213"/>
        <v>Female</v>
      </c>
      <c r="C2258" s="8">
        <v>50</v>
      </c>
      <c r="D2258" t="str">
        <f t="shared" si="214"/>
        <v>Middle Age</v>
      </c>
      <c r="E2258">
        <v>2</v>
      </c>
      <c r="F2258" t="str">
        <f>HLOOKUP(E2258, LookUP_Table!$A$6:$D$7, 2, FALSE)</f>
        <v>Secondary</v>
      </c>
      <c r="G2258" t="str">
        <f>IFERROR(VLOOKUP(E2258, LookUP_Table!$A$1:$B$4, 2, FALSE), "")</f>
        <v>Secondary</v>
      </c>
      <c r="H2258">
        <v>1</v>
      </c>
      <c r="I2258">
        <v>10</v>
      </c>
      <c r="J2258" t="str">
        <f t="shared" si="210"/>
        <v>Smoker</v>
      </c>
      <c r="K2258">
        <v>0</v>
      </c>
      <c r="L2258">
        <v>0</v>
      </c>
      <c r="M2258">
        <v>1</v>
      </c>
      <c r="N2258">
        <v>0</v>
      </c>
      <c r="O2258">
        <v>298</v>
      </c>
      <c r="P2258" t="str">
        <f t="shared" si="211"/>
        <v>High</v>
      </c>
      <c r="Q2258">
        <v>156</v>
      </c>
      <c r="R2258">
        <v>90</v>
      </c>
      <c r="S2258">
        <v>24.24</v>
      </c>
      <c r="T2258" t="str">
        <f t="shared" si="212"/>
        <v>Normal</v>
      </c>
      <c r="U2258">
        <v>75</v>
      </c>
      <c r="V2258">
        <v>100</v>
      </c>
      <c r="W2258" t="str">
        <f t="shared" si="215"/>
        <v>Prediabetes</v>
      </c>
      <c r="X2258">
        <v>0</v>
      </c>
    </row>
    <row r="2259" spans="1:24" ht="14.5" thickBot="1" x14ac:dyDescent="0.35">
      <c r="A2259">
        <v>1</v>
      </c>
      <c r="B2259" t="str">
        <f t="shared" si="213"/>
        <v>Male</v>
      </c>
      <c r="C2259" s="8">
        <v>50</v>
      </c>
      <c r="D2259" t="str">
        <f t="shared" si="214"/>
        <v>Middle Age</v>
      </c>
      <c r="E2259">
        <v>1</v>
      </c>
      <c r="F2259" t="str">
        <f>HLOOKUP(E2259, LookUP_Table!$A$6:$D$7, 2, FALSE)</f>
        <v>Primary</v>
      </c>
      <c r="G2259" t="str">
        <f>IFERROR(VLOOKUP(E2259, LookUP_Table!$A$1:$B$4, 2, FALSE), "")</f>
        <v>Primary</v>
      </c>
      <c r="H2259">
        <v>0</v>
      </c>
      <c r="I2259">
        <v>0</v>
      </c>
      <c r="J2259" t="str">
        <f t="shared" si="210"/>
        <v>Non-Smoker</v>
      </c>
      <c r="K2259">
        <v>0</v>
      </c>
      <c r="L2259">
        <v>0</v>
      </c>
      <c r="M2259">
        <v>0</v>
      </c>
      <c r="N2259">
        <v>0</v>
      </c>
      <c r="O2259">
        <v>200</v>
      </c>
      <c r="P2259" t="str">
        <f t="shared" si="211"/>
        <v>Normal</v>
      </c>
      <c r="Q2259">
        <v>126</v>
      </c>
      <c r="R2259">
        <v>88</v>
      </c>
      <c r="S2259">
        <v>26.73</v>
      </c>
      <c r="T2259" t="str">
        <f t="shared" si="212"/>
        <v>Overweight</v>
      </c>
      <c r="U2259">
        <v>80</v>
      </c>
      <c r="V2259">
        <v>76</v>
      </c>
      <c r="W2259" t="str">
        <f t="shared" si="215"/>
        <v>Normal</v>
      </c>
      <c r="X2259">
        <v>1</v>
      </c>
    </row>
    <row r="2260" spans="1:24" ht="14.5" thickBot="1" x14ac:dyDescent="0.35">
      <c r="A2260">
        <v>0</v>
      </c>
      <c r="B2260" t="str">
        <f t="shared" si="213"/>
        <v>Female</v>
      </c>
      <c r="C2260" s="8">
        <v>50</v>
      </c>
      <c r="D2260" t="str">
        <f t="shared" si="214"/>
        <v>Middle Age</v>
      </c>
      <c r="E2260">
        <v>1</v>
      </c>
      <c r="F2260" t="str">
        <f>HLOOKUP(E2260, LookUP_Table!$A$6:$D$7, 2, FALSE)</f>
        <v>Primary</v>
      </c>
      <c r="G2260" t="str">
        <f>IFERROR(VLOOKUP(E2260, LookUP_Table!$A$1:$B$4, 2, FALSE), "")</f>
        <v>Primary</v>
      </c>
      <c r="H2260">
        <v>0</v>
      </c>
      <c r="I2260">
        <v>0</v>
      </c>
      <c r="J2260" t="str">
        <f t="shared" si="210"/>
        <v>Non-Smoker</v>
      </c>
      <c r="K2260">
        <v>0</v>
      </c>
      <c r="L2260">
        <v>0</v>
      </c>
      <c r="M2260">
        <v>1</v>
      </c>
      <c r="N2260">
        <v>0</v>
      </c>
      <c r="O2260">
        <v>240</v>
      </c>
      <c r="P2260" t="str">
        <f t="shared" si="211"/>
        <v>Normal</v>
      </c>
      <c r="Q2260">
        <v>163</v>
      </c>
      <c r="R2260">
        <v>105</v>
      </c>
      <c r="S2260">
        <v>31.37</v>
      </c>
      <c r="T2260" t="str">
        <f t="shared" si="212"/>
        <v>Obese</v>
      </c>
      <c r="U2260">
        <v>89</v>
      </c>
      <c r="V2260">
        <v>75</v>
      </c>
      <c r="W2260" t="str">
        <f t="shared" si="215"/>
        <v>Normal</v>
      </c>
      <c r="X2260">
        <v>0</v>
      </c>
    </row>
    <row r="2261" spans="1:24" ht="14.5" thickBot="1" x14ac:dyDescent="0.35">
      <c r="A2261">
        <v>1</v>
      </c>
      <c r="B2261" t="str">
        <f t="shared" si="213"/>
        <v>Male</v>
      </c>
      <c r="C2261" s="8">
        <v>50</v>
      </c>
      <c r="D2261" t="str">
        <f t="shared" si="214"/>
        <v>Middle Age</v>
      </c>
      <c r="E2261">
        <v>1</v>
      </c>
      <c r="F2261" t="str">
        <f>HLOOKUP(E2261, LookUP_Table!$A$6:$D$7, 2, FALSE)</f>
        <v>Primary</v>
      </c>
      <c r="G2261" t="str">
        <f>IFERROR(VLOOKUP(E2261, LookUP_Table!$A$1:$B$4, 2, FALSE), "")</f>
        <v>Primary</v>
      </c>
      <c r="H2261">
        <v>0</v>
      </c>
      <c r="I2261">
        <v>0</v>
      </c>
      <c r="J2261" t="str">
        <f t="shared" si="210"/>
        <v>Non-Smoker</v>
      </c>
      <c r="K2261">
        <v>0</v>
      </c>
      <c r="L2261">
        <v>0</v>
      </c>
      <c r="M2261">
        <v>0</v>
      </c>
      <c r="N2261">
        <v>0</v>
      </c>
      <c r="O2261">
        <v>253</v>
      </c>
      <c r="P2261" t="str">
        <f t="shared" si="211"/>
        <v>High</v>
      </c>
      <c r="Q2261">
        <v>131</v>
      </c>
      <c r="R2261">
        <v>87</v>
      </c>
      <c r="S2261">
        <v>26.54</v>
      </c>
      <c r="T2261" t="str">
        <f t="shared" si="212"/>
        <v>Overweight</v>
      </c>
      <c r="U2261">
        <v>90</v>
      </c>
      <c r="V2261">
        <v>76</v>
      </c>
      <c r="W2261" t="str">
        <f t="shared" si="215"/>
        <v>Normal</v>
      </c>
      <c r="X2261">
        <v>0</v>
      </c>
    </row>
    <row r="2262" spans="1:24" ht="14.5" thickBot="1" x14ac:dyDescent="0.35">
      <c r="A2262">
        <v>1</v>
      </c>
      <c r="B2262" t="str">
        <f t="shared" si="213"/>
        <v>Male</v>
      </c>
      <c r="C2262" s="8">
        <v>50</v>
      </c>
      <c r="D2262" t="str">
        <f t="shared" si="214"/>
        <v>Middle Age</v>
      </c>
      <c r="E2262">
        <v>4</v>
      </c>
      <c r="F2262" t="str">
        <f>HLOOKUP(E2262, LookUP_Table!$A$6:$D$7, 2, FALSE)</f>
        <v>Post Graduate</v>
      </c>
      <c r="G2262" t="str">
        <f>IFERROR(VLOOKUP(E2262, LookUP_Table!$A$1:$B$4, 2, FALSE), "")</f>
        <v>Post Graduate</v>
      </c>
      <c r="H2262">
        <v>1</v>
      </c>
      <c r="I2262">
        <v>15</v>
      </c>
      <c r="J2262" t="str">
        <f t="shared" si="210"/>
        <v>Smoker</v>
      </c>
      <c r="K2262">
        <v>0</v>
      </c>
      <c r="L2262">
        <v>0</v>
      </c>
      <c r="M2262">
        <v>0</v>
      </c>
      <c r="N2262">
        <v>0</v>
      </c>
      <c r="O2262">
        <v>212</v>
      </c>
      <c r="P2262" t="str">
        <f t="shared" si="211"/>
        <v>Normal</v>
      </c>
      <c r="Q2262">
        <v>132</v>
      </c>
      <c r="R2262">
        <v>87</v>
      </c>
      <c r="S2262">
        <v>25.9</v>
      </c>
      <c r="T2262" t="str">
        <f t="shared" si="212"/>
        <v>Overweight</v>
      </c>
      <c r="U2262">
        <v>75</v>
      </c>
      <c r="V2262">
        <v>83</v>
      </c>
      <c r="W2262" t="str">
        <f t="shared" si="215"/>
        <v>Normal</v>
      </c>
      <c r="X2262">
        <v>0</v>
      </c>
    </row>
    <row r="2263" spans="1:24" ht="14.5" thickBot="1" x14ac:dyDescent="0.35">
      <c r="A2263">
        <v>1</v>
      </c>
      <c r="B2263" t="str">
        <f t="shared" si="213"/>
        <v>Male</v>
      </c>
      <c r="C2263" s="8">
        <v>50</v>
      </c>
      <c r="D2263" t="str">
        <f t="shared" si="214"/>
        <v>Middle Age</v>
      </c>
      <c r="E2263">
        <v>2</v>
      </c>
      <c r="F2263" t="str">
        <f>HLOOKUP(E2263, LookUP_Table!$A$6:$D$7, 2, FALSE)</f>
        <v>Secondary</v>
      </c>
      <c r="G2263" t="str">
        <f>IFERROR(VLOOKUP(E2263, LookUP_Table!$A$1:$B$4, 2, FALSE), "")</f>
        <v>Secondary</v>
      </c>
      <c r="H2263">
        <v>1</v>
      </c>
      <c r="I2263">
        <v>40</v>
      </c>
      <c r="J2263" t="str">
        <f t="shared" si="210"/>
        <v>Smoker</v>
      </c>
      <c r="K2263">
        <v>0</v>
      </c>
      <c r="L2263">
        <v>0</v>
      </c>
      <c r="M2263">
        <v>0</v>
      </c>
      <c r="N2263">
        <v>0</v>
      </c>
      <c r="O2263">
        <v>238</v>
      </c>
      <c r="P2263" t="str">
        <f t="shared" si="211"/>
        <v>Normal</v>
      </c>
      <c r="Q2263">
        <v>127.5</v>
      </c>
      <c r="R2263">
        <v>85</v>
      </c>
      <c r="S2263">
        <v>27.82</v>
      </c>
      <c r="T2263" t="str">
        <f t="shared" si="212"/>
        <v>Overweight</v>
      </c>
      <c r="U2263">
        <v>80</v>
      </c>
      <c r="V2263">
        <v>69</v>
      </c>
      <c r="W2263" t="str">
        <f t="shared" si="215"/>
        <v>Normal</v>
      </c>
      <c r="X2263">
        <v>0</v>
      </c>
    </row>
    <row r="2264" spans="1:24" ht="14.5" thickBot="1" x14ac:dyDescent="0.35">
      <c r="A2264">
        <v>1</v>
      </c>
      <c r="B2264" t="str">
        <f t="shared" si="213"/>
        <v>Male</v>
      </c>
      <c r="C2264" s="8">
        <v>50</v>
      </c>
      <c r="D2264" t="str">
        <f t="shared" si="214"/>
        <v>Middle Age</v>
      </c>
      <c r="E2264">
        <v>3</v>
      </c>
      <c r="F2264" t="str">
        <f>HLOOKUP(E2264, LookUP_Table!$A$6:$D$7, 2, FALSE)</f>
        <v>Graduate</v>
      </c>
      <c r="G2264" t="str">
        <f>IFERROR(VLOOKUP(E2264, LookUP_Table!$A$1:$B$4, 2, FALSE), "")</f>
        <v>Graduate</v>
      </c>
      <c r="H2264">
        <v>1</v>
      </c>
      <c r="I2264">
        <v>25</v>
      </c>
      <c r="J2264" t="str">
        <f t="shared" si="210"/>
        <v>Smoker</v>
      </c>
      <c r="K2264">
        <v>0</v>
      </c>
      <c r="L2264">
        <v>0</v>
      </c>
      <c r="M2264">
        <v>0</v>
      </c>
      <c r="N2264">
        <v>0</v>
      </c>
      <c r="O2264">
        <v>240</v>
      </c>
      <c r="P2264" t="str">
        <f t="shared" si="211"/>
        <v>Normal</v>
      </c>
      <c r="Q2264">
        <v>112</v>
      </c>
      <c r="R2264">
        <v>82</v>
      </c>
      <c r="S2264">
        <v>24.39</v>
      </c>
      <c r="T2264" t="str">
        <f t="shared" si="212"/>
        <v>Normal</v>
      </c>
      <c r="U2264">
        <v>66</v>
      </c>
      <c r="V2264">
        <v>62</v>
      </c>
      <c r="W2264" t="str">
        <f t="shared" si="215"/>
        <v>Normal</v>
      </c>
      <c r="X2264">
        <v>0</v>
      </c>
    </row>
    <row r="2265" spans="1:24" ht="14.5" thickBot="1" x14ac:dyDescent="0.35">
      <c r="A2265">
        <v>1</v>
      </c>
      <c r="B2265" t="str">
        <f t="shared" si="213"/>
        <v>Male</v>
      </c>
      <c r="C2265" s="8">
        <v>50</v>
      </c>
      <c r="D2265" t="str">
        <f t="shared" si="214"/>
        <v>Middle Age</v>
      </c>
      <c r="E2265">
        <v>1</v>
      </c>
      <c r="F2265" t="str">
        <f>HLOOKUP(E2265, LookUP_Table!$A$6:$D$7, 2, FALSE)</f>
        <v>Primary</v>
      </c>
      <c r="G2265" t="str">
        <f>IFERROR(VLOOKUP(E2265, LookUP_Table!$A$1:$B$4, 2, FALSE), "")</f>
        <v>Primary</v>
      </c>
      <c r="H2265">
        <v>1</v>
      </c>
      <c r="I2265">
        <v>60</v>
      </c>
      <c r="J2265" t="str">
        <f t="shared" si="210"/>
        <v>Smoker</v>
      </c>
      <c r="K2265">
        <v>0</v>
      </c>
      <c r="L2265">
        <v>0</v>
      </c>
      <c r="M2265">
        <v>1</v>
      </c>
      <c r="N2265">
        <v>0</v>
      </c>
      <c r="O2265">
        <v>340</v>
      </c>
      <c r="P2265" t="str">
        <f t="shared" si="211"/>
        <v>High</v>
      </c>
      <c r="Q2265">
        <v>134</v>
      </c>
      <c r="R2265">
        <v>95</v>
      </c>
      <c r="S2265">
        <v>30.46</v>
      </c>
      <c r="T2265" t="str">
        <f t="shared" si="212"/>
        <v>Obese</v>
      </c>
      <c r="U2265">
        <v>85</v>
      </c>
      <c r="V2265">
        <v>86</v>
      </c>
      <c r="W2265" t="str">
        <f t="shared" si="215"/>
        <v>Normal</v>
      </c>
      <c r="X2265">
        <v>0</v>
      </c>
    </row>
    <row r="2266" spans="1:24" ht="14.5" thickBot="1" x14ac:dyDescent="0.35">
      <c r="A2266">
        <v>0</v>
      </c>
      <c r="B2266" t="str">
        <f t="shared" si="213"/>
        <v>Female</v>
      </c>
      <c r="C2266" s="8">
        <v>50</v>
      </c>
      <c r="D2266" t="str">
        <f t="shared" si="214"/>
        <v>Middle Age</v>
      </c>
      <c r="E2266">
        <v>2</v>
      </c>
      <c r="F2266" t="str">
        <f>HLOOKUP(E2266, LookUP_Table!$A$6:$D$7, 2, FALSE)</f>
        <v>Secondary</v>
      </c>
      <c r="G2266" t="str">
        <f>IFERROR(VLOOKUP(E2266, LookUP_Table!$A$1:$B$4, 2, FALSE), "")</f>
        <v>Secondary</v>
      </c>
      <c r="H2266">
        <v>0</v>
      </c>
      <c r="I2266">
        <v>0</v>
      </c>
      <c r="J2266" t="str">
        <f t="shared" si="210"/>
        <v>Non-Smoker</v>
      </c>
      <c r="K2266">
        <v>0</v>
      </c>
      <c r="L2266">
        <v>0</v>
      </c>
      <c r="M2266">
        <v>1</v>
      </c>
      <c r="N2266">
        <v>0</v>
      </c>
      <c r="O2266">
        <v>215</v>
      </c>
      <c r="P2266" t="str">
        <f t="shared" si="211"/>
        <v>Normal</v>
      </c>
      <c r="Q2266">
        <v>130.5</v>
      </c>
      <c r="R2266">
        <v>98</v>
      </c>
      <c r="S2266">
        <v>24.94</v>
      </c>
      <c r="T2266" t="str">
        <f t="shared" si="212"/>
        <v>Normal</v>
      </c>
      <c r="U2266">
        <v>68</v>
      </c>
      <c r="V2266">
        <v>100</v>
      </c>
      <c r="W2266" t="str">
        <f t="shared" si="215"/>
        <v>Prediabetes</v>
      </c>
      <c r="X2266">
        <v>0</v>
      </c>
    </row>
    <row r="2267" spans="1:24" ht="14.5" thickBot="1" x14ac:dyDescent="0.35">
      <c r="A2267">
        <v>0</v>
      </c>
      <c r="B2267" t="str">
        <f t="shared" si="213"/>
        <v>Female</v>
      </c>
      <c r="C2267" s="8">
        <v>50</v>
      </c>
      <c r="D2267" t="str">
        <f t="shared" si="214"/>
        <v>Middle Age</v>
      </c>
      <c r="E2267">
        <v>4</v>
      </c>
      <c r="F2267" t="str">
        <f>HLOOKUP(E2267, LookUP_Table!$A$6:$D$7, 2, FALSE)</f>
        <v>Post Graduate</v>
      </c>
      <c r="G2267" t="str">
        <f>IFERROR(VLOOKUP(E2267, LookUP_Table!$A$1:$B$4, 2, FALSE), "")</f>
        <v>Post Graduate</v>
      </c>
      <c r="H2267">
        <v>0</v>
      </c>
      <c r="I2267">
        <v>0</v>
      </c>
      <c r="J2267" t="str">
        <f t="shared" si="210"/>
        <v>Non-Smoker</v>
      </c>
      <c r="K2267">
        <v>0</v>
      </c>
      <c r="L2267">
        <v>0</v>
      </c>
      <c r="M2267">
        <v>0</v>
      </c>
      <c r="N2267">
        <v>0</v>
      </c>
      <c r="O2267">
        <v>243</v>
      </c>
      <c r="P2267" t="str">
        <f t="shared" si="211"/>
        <v>High</v>
      </c>
      <c r="Q2267">
        <v>131</v>
      </c>
      <c r="R2267">
        <v>80</v>
      </c>
      <c r="S2267">
        <v>23.24</v>
      </c>
      <c r="T2267" t="str">
        <f t="shared" si="212"/>
        <v>Normal</v>
      </c>
      <c r="U2267">
        <v>110</v>
      </c>
      <c r="V2267">
        <v>81.96365524402907</v>
      </c>
      <c r="W2267" t="str">
        <f t="shared" si="215"/>
        <v>Normal</v>
      </c>
      <c r="X2267">
        <v>0</v>
      </c>
    </row>
    <row r="2268" spans="1:24" ht="14.5" thickBot="1" x14ac:dyDescent="0.35">
      <c r="A2268">
        <v>1</v>
      </c>
      <c r="B2268" t="str">
        <f t="shared" si="213"/>
        <v>Male</v>
      </c>
      <c r="C2268" s="8">
        <v>50</v>
      </c>
      <c r="D2268" t="str">
        <f t="shared" si="214"/>
        <v>Middle Age</v>
      </c>
      <c r="E2268">
        <v>2</v>
      </c>
      <c r="F2268" t="str">
        <f>HLOOKUP(E2268, LookUP_Table!$A$6:$D$7, 2, FALSE)</f>
        <v>Secondary</v>
      </c>
      <c r="G2268" t="str">
        <f>IFERROR(VLOOKUP(E2268, LookUP_Table!$A$1:$B$4, 2, FALSE), "")</f>
        <v>Secondary</v>
      </c>
      <c r="H2268">
        <v>1</v>
      </c>
      <c r="I2268">
        <v>10</v>
      </c>
      <c r="J2268" t="str">
        <f t="shared" si="210"/>
        <v>Smoker</v>
      </c>
      <c r="K2268">
        <v>0</v>
      </c>
      <c r="L2268">
        <v>0</v>
      </c>
      <c r="M2268">
        <v>0</v>
      </c>
      <c r="N2268">
        <v>0</v>
      </c>
      <c r="O2268">
        <v>180</v>
      </c>
      <c r="P2268" t="str">
        <f t="shared" si="211"/>
        <v>Normal</v>
      </c>
      <c r="Q2268">
        <v>116</v>
      </c>
      <c r="R2268">
        <v>82</v>
      </c>
      <c r="S2268">
        <v>30.11</v>
      </c>
      <c r="T2268" t="str">
        <f t="shared" si="212"/>
        <v>Obese</v>
      </c>
      <c r="U2268">
        <v>80</v>
      </c>
      <c r="V2268">
        <v>92</v>
      </c>
      <c r="W2268" t="str">
        <f t="shared" si="215"/>
        <v>Normal</v>
      </c>
      <c r="X2268">
        <v>0</v>
      </c>
    </row>
    <row r="2269" spans="1:24" ht="14.5" thickBot="1" x14ac:dyDescent="0.35">
      <c r="A2269">
        <v>0</v>
      </c>
      <c r="B2269" t="str">
        <f t="shared" si="213"/>
        <v>Female</v>
      </c>
      <c r="C2269" s="8">
        <v>50</v>
      </c>
      <c r="D2269" t="str">
        <f t="shared" si="214"/>
        <v>Middle Age</v>
      </c>
      <c r="E2269">
        <v>1</v>
      </c>
      <c r="F2269" t="str">
        <f>HLOOKUP(E2269, LookUP_Table!$A$6:$D$7, 2, FALSE)</f>
        <v>Primary</v>
      </c>
      <c r="G2269" t="str">
        <f>IFERROR(VLOOKUP(E2269, LookUP_Table!$A$1:$B$4, 2, FALSE), "")</f>
        <v>Primary</v>
      </c>
      <c r="H2269">
        <v>1</v>
      </c>
      <c r="I2269">
        <v>15</v>
      </c>
      <c r="J2269" t="str">
        <f t="shared" si="210"/>
        <v>Smoker</v>
      </c>
      <c r="K2269">
        <v>0</v>
      </c>
      <c r="L2269">
        <v>0</v>
      </c>
      <c r="M2269">
        <v>1</v>
      </c>
      <c r="N2269">
        <v>0</v>
      </c>
      <c r="O2269">
        <v>253</v>
      </c>
      <c r="P2269" t="str">
        <f t="shared" si="211"/>
        <v>High</v>
      </c>
      <c r="Q2269">
        <v>132</v>
      </c>
      <c r="R2269">
        <v>84.5</v>
      </c>
      <c r="S2269">
        <v>27.96</v>
      </c>
      <c r="T2269" t="str">
        <f t="shared" si="212"/>
        <v>Overweight</v>
      </c>
      <c r="U2269">
        <v>88</v>
      </c>
      <c r="V2269">
        <v>73</v>
      </c>
      <c r="W2269" t="str">
        <f t="shared" si="215"/>
        <v>Normal</v>
      </c>
      <c r="X2269">
        <v>0</v>
      </c>
    </row>
    <row r="2270" spans="1:24" ht="14.5" thickBot="1" x14ac:dyDescent="0.35">
      <c r="A2270">
        <v>0</v>
      </c>
      <c r="B2270" t="str">
        <f t="shared" si="213"/>
        <v>Female</v>
      </c>
      <c r="C2270" s="8">
        <v>50</v>
      </c>
      <c r="D2270" t="str">
        <f t="shared" si="214"/>
        <v>Middle Age</v>
      </c>
      <c r="E2270">
        <v>1</v>
      </c>
      <c r="F2270" t="str">
        <f>HLOOKUP(E2270, LookUP_Table!$A$6:$D$7, 2, FALSE)</f>
        <v>Primary</v>
      </c>
      <c r="G2270" t="str">
        <f>IFERROR(VLOOKUP(E2270, LookUP_Table!$A$1:$B$4, 2, FALSE), "")</f>
        <v>Primary</v>
      </c>
      <c r="H2270">
        <v>1</v>
      </c>
      <c r="I2270">
        <v>9</v>
      </c>
      <c r="J2270" t="str">
        <f t="shared" si="210"/>
        <v>Smoker</v>
      </c>
      <c r="K2270">
        <v>0</v>
      </c>
      <c r="L2270">
        <v>0</v>
      </c>
      <c r="M2270">
        <v>0</v>
      </c>
      <c r="N2270">
        <v>0</v>
      </c>
      <c r="O2270">
        <v>229</v>
      </c>
      <c r="P2270" t="str">
        <f t="shared" si="211"/>
        <v>Normal</v>
      </c>
      <c r="Q2270">
        <v>114</v>
      </c>
      <c r="R2270">
        <v>68</v>
      </c>
      <c r="S2270">
        <v>23.2</v>
      </c>
      <c r="T2270" t="str">
        <f t="shared" si="212"/>
        <v>Normal</v>
      </c>
      <c r="U2270">
        <v>90</v>
      </c>
      <c r="V2270">
        <v>70</v>
      </c>
      <c r="W2270" t="str">
        <f t="shared" si="215"/>
        <v>Normal</v>
      </c>
      <c r="X2270">
        <v>0</v>
      </c>
    </row>
    <row r="2271" spans="1:24" ht="14.5" thickBot="1" x14ac:dyDescent="0.35">
      <c r="A2271">
        <v>1</v>
      </c>
      <c r="B2271" t="str">
        <f t="shared" si="213"/>
        <v>Male</v>
      </c>
      <c r="C2271" s="8">
        <v>50</v>
      </c>
      <c r="D2271" t="str">
        <f t="shared" si="214"/>
        <v>Middle Age</v>
      </c>
      <c r="E2271">
        <v>2</v>
      </c>
      <c r="F2271" t="str">
        <f>HLOOKUP(E2271, LookUP_Table!$A$6:$D$7, 2, FALSE)</f>
        <v>Secondary</v>
      </c>
      <c r="G2271" t="str">
        <f>IFERROR(VLOOKUP(E2271, LookUP_Table!$A$1:$B$4, 2, FALSE), "")</f>
        <v>Secondary</v>
      </c>
      <c r="H2271">
        <v>1</v>
      </c>
      <c r="I2271">
        <v>30</v>
      </c>
      <c r="J2271" t="str">
        <f t="shared" si="210"/>
        <v>Smoker</v>
      </c>
      <c r="K2271">
        <v>0</v>
      </c>
      <c r="L2271">
        <v>0</v>
      </c>
      <c r="M2271">
        <v>0</v>
      </c>
      <c r="N2271">
        <v>0</v>
      </c>
      <c r="O2271">
        <v>258</v>
      </c>
      <c r="P2271" t="str">
        <f t="shared" si="211"/>
        <v>High</v>
      </c>
      <c r="Q2271">
        <v>124</v>
      </c>
      <c r="R2271">
        <v>78</v>
      </c>
      <c r="S2271">
        <v>24.33</v>
      </c>
      <c r="T2271" t="str">
        <f t="shared" si="212"/>
        <v>Normal</v>
      </c>
      <c r="U2271">
        <v>72</v>
      </c>
      <c r="V2271">
        <v>83</v>
      </c>
      <c r="W2271" t="str">
        <f t="shared" si="215"/>
        <v>Normal</v>
      </c>
      <c r="X2271">
        <v>0</v>
      </c>
    </row>
    <row r="2272" spans="1:24" ht="14.5" thickBot="1" x14ac:dyDescent="0.35">
      <c r="A2272">
        <v>0</v>
      </c>
      <c r="B2272" t="str">
        <f t="shared" si="213"/>
        <v>Female</v>
      </c>
      <c r="C2272" s="8">
        <v>50</v>
      </c>
      <c r="D2272" t="str">
        <f t="shared" si="214"/>
        <v>Middle Age</v>
      </c>
      <c r="E2272">
        <v>3</v>
      </c>
      <c r="F2272" t="str">
        <f>HLOOKUP(E2272, LookUP_Table!$A$6:$D$7, 2, FALSE)</f>
        <v>Graduate</v>
      </c>
      <c r="G2272" t="str">
        <f>IFERROR(VLOOKUP(E2272, LookUP_Table!$A$1:$B$4, 2, FALSE), "")</f>
        <v>Graduate</v>
      </c>
      <c r="H2272">
        <v>0</v>
      </c>
      <c r="I2272">
        <v>0</v>
      </c>
      <c r="J2272" t="str">
        <f t="shared" si="210"/>
        <v>Non-Smoker</v>
      </c>
      <c r="K2272">
        <v>0</v>
      </c>
      <c r="L2272">
        <v>0</v>
      </c>
      <c r="M2272">
        <v>0</v>
      </c>
      <c r="N2272">
        <v>0</v>
      </c>
      <c r="O2272">
        <v>208</v>
      </c>
      <c r="P2272" t="str">
        <f t="shared" si="211"/>
        <v>Normal</v>
      </c>
      <c r="Q2272">
        <v>126.5</v>
      </c>
      <c r="R2272">
        <v>84</v>
      </c>
      <c r="S2272">
        <v>22.01</v>
      </c>
      <c r="T2272" t="str">
        <f t="shared" si="212"/>
        <v>Normal</v>
      </c>
      <c r="U2272">
        <v>75</v>
      </c>
      <c r="V2272">
        <v>79</v>
      </c>
      <c r="W2272" t="str">
        <f t="shared" si="215"/>
        <v>Normal</v>
      </c>
      <c r="X2272">
        <v>0</v>
      </c>
    </row>
    <row r="2273" spans="1:24" ht="14.5" thickBot="1" x14ac:dyDescent="0.35">
      <c r="A2273">
        <v>1</v>
      </c>
      <c r="B2273" t="str">
        <f t="shared" si="213"/>
        <v>Male</v>
      </c>
      <c r="C2273" s="8">
        <v>50</v>
      </c>
      <c r="D2273" t="str">
        <f t="shared" si="214"/>
        <v>Middle Age</v>
      </c>
      <c r="E2273">
        <v>1</v>
      </c>
      <c r="F2273" t="str">
        <f>HLOOKUP(E2273, LookUP_Table!$A$6:$D$7, 2, FALSE)</f>
        <v>Primary</v>
      </c>
      <c r="G2273" t="str">
        <f>IFERROR(VLOOKUP(E2273, LookUP_Table!$A$1:$B$4, 2, FALSE), "")</f>
        <v>Primary</v>
      </c>
      <c r="H2273">
        <v>0</v>
      </c>
      <c r="I2273">
        <v>0</v>
      </c>
      <c r="J2273" t="str">
        <f t="shared" si="210"/>
        <v>Non-Smoker</v>
      </c>
      <c r="K2273">
        <v>0</v>
      </c>
      <c r="L2273">
        <v>0</v>
      </c>
      <c r="M2273">
        <v>1</v>
      </c>
      <c r="N2273">
        <v>0</v>
      </c>
      <c r="O2273">
        <v>208</v>
      </c>
      <c r="P2273" t="str">
        <f t="shared" si="211"/>
        <v>Normal</v>
      </c>
      <c r="Q2273">
        <v>166.5</v>
      </c>
      <c r="R2273">
        <v>106.5</v>
      </c>
      <c r="S2273">
        <v>29.13</v>
      </c>
      <c r="T2273" t="str">
        <f t="shared" si="212"/>
        <v>Overweight</v>
      </c>
      <c r="U2273">
        <v>85</v>
      </c>
      <c r="V2273">
        <v>84</v>
      </c>
      <c r="W2273" t="str">
        <f t="shared" si="215"/>
        <v>Normal</v>
      </c>
      <c r="X2273">
        <v>1</v>
      </c>
    </row>
    <row r="2274" spans="1:24" ht="14.5" thickBot="1" x14ac:dyDescent="0.35">
      <c r="A2274">
        <v>1</v>
      </c>
      <c r="B2274" t="str">
        <f t="shared" si="213"/>
        <v>Male</v>
      </c>
      <c r="C2274" s="8">
        <v>50</v>
      </c>
      <c r="D2274" t="str">
        <f t="shared" si="214"/>
        <v>Middle Age</v>
      </c>
      <c r="E2274">
        <v>1</v>
      </c>
      <c r="F2274" t="str">
        <f>HLOOKUP(E2274, LookUP_Table!$A$6:$D$7, 2, FALSE)</f>
        <v>Primary</v>
      </c>
      <c r="G2274" t="str">
        <f>IFERROR(VLOOKUP(E2274, LookUP_Table!$A$1:$B$4, 2, FALSE), "")</f>
        <v>Primary</v>
      </c>
      <c r="H2274">
        <v>1</v>
      </c>
      <c r="I2274">
        <v>20</v>
      </c>
      <c r="J2274" t="str">
        <f t="shared" si="210"/>
        <v>Smoker</v>
      </c>
      <c r="K2274">
        <v>0</v>
      </c>
      <c r="L2274">
        <v>0</v>
      </c>
      <c r="M2274">
        <v>0</v>
      </c>
      <c r="N2274">
        <v>0</v>
      </c>
      <c r="O2274">
        <v>193</v>
      </c>
      <c r="P2274" t="str">
        <f t="shared" si="211"/>
        <v>Normal</v>
      </c>
      <c r="Q2274">
        <v>149</v>
      </c>
      <c r="R2274">
        <v>96</v>
      </c>
      <c r="S2274">
        <v>28.55</v>
      </c>
      <c r="T2274" t="str">
        <f t="shared" si="212"/>
        <v>Overweight</v>
      </c>
      <c r="U2274">
        <v>88</v>
      </c>
      <c r="V2274">
        <v>81.96365524402907</v>
      </c>
      <c r="W2274" t="str">
        <f t="shared" si="215"/>
        <v>Normal</v>
      </c>
      <c r="X2274">
        <v>0</v>
      </c>
    </row>
    <row r="2275" spans="1:24" ht="14.5" thickBot="1" x14ac:dyDescent="0.35">
      <c r="A2275">
        <v>0</v>
      </c>
      <c r="B2275" t="str">
        <f t="shared" si="213"/>
        <v>Female</v>
      </c>
      <c r="C2275" s="8">
        <v>50</v>
      </c>
      <c r="D2275" t="str">
        <f t="shared" si="214"/>
        <v>Middle Age</v>
      </c>
      <c r="E2275">
        <v>3</v>
      </c>
      <c r="F2275" t="str">
        <f>HLOOKUP(E2275, LookUP_Table!$A$6:$D$7, 2, FALSE)</f>
        <v>Graduate</v>
      </c>
      <c r="G2275" t="str">
        <f>IFERROR(VLOOKUP(E2275, LookUP_Table!$A$1:$B$4, 2, FALSE), "")</f>
        <v>Graduate</v>
      </c>
      <c r="H2275">
        <v>0</v>
      </c>
      <c r="I2275">
        <v>0</v>
      </c>
      <c r="J2275" t="str">
        <f t="shared" si="210"/>
        <v>Non-Smoker</v>
      </c>
      <c r="K2275">
        <v>0</v>
      </c>
      <c r="L2275">
        <v>0</v>
      </c>
      <c r="M2275">
        <v>0</v>
      </c>
      <c r="N2275">
        <v>0</v>
      </c>
      <c r="O2275">
        <v>229</v>
      </c>
      <c r="P2275" t="str">
        <f t="shared" si="211"/>
        <v>Normal</v>
      </c>
      <c r="Q2275">
        <v>105</v>
      </c>
      <c r="R2275">
        <v>72.5</v>
      </c>
      <c r="S2275">
        <v>26.25</v>
      </c>
      <c r="T2275" t="str">
        <f t="shared" si="212"/>
        <v>Overweight</v>
      </c>
      <c r="U2275">
        <v>90</v>
      </c>
      <c r="V2275">
        <v>79</v>
      </c>
      <c r="W2275" t="str">
        <f t="shared" si="215"/>
        <v>Normal</v>
      </c>
      <c r="X2275">
        <v>0</v>
      </c>
    </row>
    <row r="2276" spans="1:24" ht="14.5" thickBot="1" x14ac:dyDescent="0.35">
      <c r="A2276">
        <v>0</v>
      </c>
      <c r="B2276" t="str">
        <f t="shared" si="213"/>
        <v>Female</v>
      </c>
      <c r="C2276" s="8">
        <v>50</v>
      </c>
      <c r="D2276" t="str">
        <f t="shared" si="214"/>
        <v>Middle Age</v>
      </c>
      <c r="E2276">
        <v>2</v>
      </c>
      <c r="F2276" t="str">
        <f>HLOOKUP(E2276, LookUP_Table!$A$6:$D$7, 2, FALSE)</f>
        <v>Secondary</v>
      </c>
      <c r="G2276" t="str">
        <f>IFERROR(VLOOKUP(E2276, LookUP_Table!$A$1:$B$4, 2, FALSE), "")</f>
        <v>Secondary</v>
      </c>
      <c r="H2276">
        <v>1</v>
      </c>
      <c r="I2276">
        <v>20</v>
      </c>
      <c r="J2276" t="str">
        <f t="shared" si="210"/>
        <v>Smoker</v>
      </c>
      <c r="K2276">
        <v>0</v>
      </c>
      <c r="L2276">
        <v>0</v>
      </c>
      <c r="M2276">
        <v>0</v>
      </c>
      <c r="N2276">
        <v>0</v>
      </c>
      <c r="O2276">
        <v>235</v>
      </c>
      <c r="P2276" t="str">
        <f t="shared" si="211"/>
        <v>Normal</v>
      </c>
      <c r="Q2276">
        <v>121</v>
      </c>
      <c r="R2276">
        <v>78</v>
      </c>
      <c r="S2276">
        <v>23.01</v>
      </c>
      <c r="T2276" t="str">
        <f t="shared" si="212"/>
        <v>Normal</v>
      </c>
      <c r="U2276">
        <v>52</v>
      </c>
      <c r="V2276">
        <v>78</v>
      </c>
      <c r="W2276" t="str">
        <f t="shared" si="215"/>
        <v>Normal</v>
      </c>
      <c r="X2276">
        <v>0</v>
      </c>
    </row>
    <row r="2277" spans="1:24" ht="14.5" thickBot="1" x14ac:dyDescent="0.35">
      <c r="A2277">
        <v>1</v>
      </c>
      <c r="B2277" t="str">
        <f t="shared" si="213"/>
        <v>Male</v>
      </c>
      <c r="C2277" s="8">
        <v>50</v>
      </c>
      <c r="D2277" t="str">
        <f t="shared" si="214"/>
        <v>Middle Age</v>
      </c>
      <c r="E2277">
        <v>1</v>
      </c>
      <c r="F2277" t="str">
        <f>HLOOKUP(E2277, LookUP_Table!$A$6:$D$7, 2, FALSE)</f>
        <v>Primary</v>
      </c>
      <c r="G2277" t="str">
        <f>IFERROR(VLOOKUP(E2277, LookUP_Table!$A$1:$B$4, 2, FALSE), "")</f>
        <v>Primary</v>
      </c>
      <c r="H2277">
        <v>0</v>
      </c>
      <c r="I2277">
        <v>0</v>
      </c>
      <c r="J2277" t="str">
        <f t="shared" si="210"/>
        <v>Non-Smoker</v>
      </c>
      <c r="K2277">
        <v>0</v>
      </c>
      <c r="L2277">
        <v>0</v>
      </c>
      <c r="M2277">
        <v>0</v>
      </c>
      <c r="N2277">
        <v>0</v>
      </c>
      <c r="O2277">
        <v>227</v>
      </c>
      <c r="P2277" t="str">
        <f t="shared" si="211"/>
        <v>Normal</v>
      </c>
      <c r="Q2277">
        <v>114</v>
      </c>
      <c r="R2277">
        <v>87</v>
      </c>
      <c r="S2277">
        <v>33.1</v>
      </c>
      <c r="T2277" t="str">
        <f t="shared" si="212"/>
        <v>Obese</v>
      </c>
      <c r="U2277">
        <v>92</v>
      </c>
      <c r="V2277">
        <v>120</v>
      </c>
      <c r="W2277" t="str">
        <f t="shared" si="215"/>
        <v>Prediabetes</v>
      </c>
      <c r="X2277">
        <v>0</v>
      </c>
    </row>
    <row r="2278" spans="1:24" ht="14.5" thickBot="1" x14ac:dyDescent="0.35">
      <c r="A2278">
        <v>0</v>
      </c>
      <c r="B2278" t="str">
        <f t="shared" si="213"/>
        <v>Female</v>
      </c>
      <c r="C2278" s="8">
        <v>50</v>
      </c>
      <c r="D2278" t="str">
        <f t="shared" si="214"/>
        <v>Middle Age</v>
      </c>
      <c r="E2278">
        <v>1</v>
      </c>
      <c r="F2278" t="str">
        <f>HLOOKUP(E2278, LookUP_Table!$A$6:$D$7, 2, FALSE)</f>
        <v>Primary</v>
      </c>
      <c r="G2278" t="str">
        <f>IFERROR(VLOOKUP(E2278, LookUP_Table!$A$1:$B$4, 2, FALSE), "")</f>
        <v>Primary</v>
      </c>
      <c r="H2278">
        <v>1</v>
      </c>
      <c r="I2278">
        <v>30</v>
      </c>
      <c r="J2278" t="str">
        <f t="shared" si="210"/>
        <v>Smoker</v>
      </c>
      <c r="K2278">
        <v>0</v>
      </c>
      <c r="L2278">
        <v>0</v>
      </c>
      <c r="M2278">
        <v>1</v>
      </c>
      <c r="N2278">
        <v>0</v>
      </c>
      <c r="O2278">
        <v>287</v>
      </c>
      <c r="P2278" t="str">
        <f t="shared" si="211"/>
        <v>High</v>
      </c>
      <c r="Q2278">
        <v>147.5</v>
      </c>
      <c r="R2278">
        <v>87.5</v>
      </c>
      <c r="S2278">
        <v>30.36</v>
      </c>
      <c r="T2278" t="str">
        <f t="shared" si="212"/>
        <v>Obese</v>
      </c>
      <c r="U2278">
        <v>64</v>
      </c>
      <c r="V2278">
        <v>72</v>
      </c>
      <c r="W2278" t="str">
        <f t="shared" si="215"/>
        <v>Normal</v>
      </c>
      <c r="X2278">
        <v>0</v>
      </c>
    </row>
    <row r="2279" spans="1:24" ht="14.5" thickBot="1" x14ac:dyDescent="0.35">
      <c r="A2279">
        <v>0</v>
      </c>
      <c r="B2279" t="str">
        <f t="shared" si="213"/>
        <v>Female</v>
      </c>
      <c r="C2279" s="8">
        <v>50</v>
      </c>
      <c r="D2279" t="str">
        <f t="shared" si="214"/>
        <v>Middle Age</v>
      </c>
      <c r="E2279">
        <v>2</v>
      </c>
      <c r="F2279" t="str">
        <f>HLOOKUP(E2279, LookUP_Table!$A$6:$D$7, 2, FALSE)</f>
        <v>Secondary</v>
      </c>
      <c r="G2279" t="str">
        <f>IFERROR(VLOOKUP(E2279, LookUP_Table!$A$1:$B$4, 2, FALSE), "")</f>
        <v>Secondary</v>
      </c>
      <c r="H2279">
        <v>0</v>
      </c>
      <c r="I2279">
        <v>0</v>
      </c>
      <c r="J2279" t="str">
        <f t="shared" si="210"/>
        <v>Non-Smoker</v>
      </c>
      <c r="K2279">
        <v>0</v>
      </c>
      <c r="L2279">
        <v>0</v>
      </c>
      <c r="M2279">
        <v>0</v>
      </c>
      <c r="N2279">
        <v>0</v>
      </c>
      <c r="O2279">
        <v>225</v>
      </c>
      <c r="P2279" t="str">
        <f t="shared" si="211"/>
        <v>Normal</v>
      </c>
      <c r="Q2279">
        <v>132</v>
      </c>
      <c r="R2279">
        <v>81</v>
      </c>
      <c r="S2279">
        <v>23.62</v>
      </c>
      <c r="T2279" t="str">
        <f t="shared" si="212"/>
        <v>Normal</v>
      </c>
      <c r="U2279">
        <v>74</v>
      </c>
      <c r="V2279">
        <v>103</v>
      </c>
      <c r="W2279" t="str">
        <f t="shared" si="215"/>
        <v>Prediabetes</v>
      </c>
      <c r="X2279">
        <v>0</v>
      </c>
    </row>
    <row r="2280" spans="1:24" ht="14.5" thickBot="1" x14ac:dyDescent="0.35">
      <c r="A2280">
        <v>0</v>
      </c>
      <c r="B2280" t="str">
        <f t="shared" si="213"/>
        <v>Female</v>
      </c>
      <c r="C2280" s="8">
        <v>50</v>
      </c>
      <c r="D2280" t="str">
        <f t="shared" si="214"/>
        <v>Middle Age</v>
      </c>
      <c r="E2280">
        <v>2</v>
      </c>
      <c r="F2280" t="str">
        <f>HLOOKUP(E2280, LookUP_Table!$A$6:$D$7, 2, FALSE)</f>
        <v>Secondary</v>
      </c>
      <c r="G2280" t="str">
        <f>IFERROR(VLOOKUP(E2280, LookUP_Table!$A$1:$B$4, 2, FALSE), "")</f>
        <v>Secondary</v>
      </c>
      <c r="H2280">
        <v>0</v>
      </c>
      <c r="I2280">
        <v>0</v>
      </c>
      <c r="J2280" t="str">
        <f t="shared" si="210"/>
        <v>Non-Smoker</v>
      </c>
      <c r="K2280">
        <v>1</v>
      </c>
      <c r="L2280">
        <v>0</v>
      </c>
      <c r="M2280">
        <v>1</v>
      </c>
      <c r="N2280">
        <v>0</v>
      </c>
      <c r="O2280">
        <v>241</v>
      </c>
      <c r="P2280" t="str">
        <f t="shared" si="211"/>
        <v>High</v>
      </c>
      <c r="Q2280">
        <v>132</v>
      </c>
      <c r="R2280">
        <v>85</v>
      </c>
      <c r="S2280">
        <v>23.81</v>
      </c>
      <c r="T2280" t="str">
        <f t="shared" si="212"/>
        <v>Normal</v>
      </c>
      <c r="U2280">
        <v>55</v>
      </c>
      <c r="V2280">
        <v>84</v>
      </c>
      <c r="W2280" t="str">
        <f t="shared" si="215"/>
        <v>Normal</v>
      </c>
      <c r="X2280">
        <v>0</v>
      </c>
    </row>
    <row r="2281" spans="1:24" ht="14.5" thickBot="1" x14ac:dyDescent="0.35">
      <c r="A2281">
        <v>1</v>
      </c>
      <c r="B2281" t="str">
        <f t="shared" si="213"/>
        <v>Male</v>
      </c>
      <c r="C2281" s="8">
        <v>50</v>
      </c>
      <c r="D2281" t="str">
        <f t="shared" si="214"/>
        <v>Middle Age</v>
      </c>
      <c r="E2281">
        <v>3</v>
      </c>
      <c r="F2281" t="str">
        <f>HLOOKUP(E2281, LookUP_Table!$A$6:$D$7, 2, FALSE)</f>
        <v>Graduate</v>
      </c>
      <c r="G2281" t="str">
        <f>IFERROR(VLOOKUP(E2281, LookUP_Table!$A$1:$B$4, 2, FALSE), "")</f>
        <v>Graduate</v>
      </c>
      <c r="H2281">
        <v>1</v>
      </c>
      <c r="I2281">
        <v>30</v>
      </c>
      <c r="J2281" t="str">
        <f t="shared" si="210"/>
        <v>Smoker</v>
      </c>
      <c r="K2281">
        <v>0</v>
      </c>
      <c r="L2281">
        <v>0</v>
      </c>
      <c r="M2281">
        <v>1</v>
      </c>
      <c r="N2281">
        <v>0</v>
      </c>
      <c r="O2281">
        <v>236.69952267303103</v>
      </c>
      <c r="P2281" t="str">
        <f t="shared" si="211"/>
        <v>Normal</v>
      </c>
      <c r="Q2281">
        <v>152.5</v>
      </c>
      <c r="R2281">
        <v>105</v>
      </c>
      <c r="S2281">
        <v>35.85</v>
      </c>
      <c r="T2281" t="str">
        <f t="shared" si="212"/>
        <v>Obese</v>
      </c>
      <c r="U2281">
        <v>72</v>
      </c>
      <c r="V2281">
        <v>81.96365524402907</v>
      </c>
      <c r="W2281" t="str">
        <f t="shared" si="215"/>
        <v>Normal</v>
      </c>
      <c r="X2281">
        <v>0</v>
      </c>
    </row>
    <row r="2282" spans="1:24" ht="14.5" thickBot="1" x14ac:dyDescent="0.35">
      <c r="A2282">
        <v>0</v>
      </c>
      <c r="B2282" t="str">
        <f t="shared" si="213"/>
        <v>Female</v>
      </c>
      <c r="C2282" s="8">
        <v>50</v>
      </c>
      <c r="D2282" t="str">
        <f t="shared" si="214"/>
        <v>Middle Age</v>
      </c>
      <c r="E2282">
        <v>2</v>
      </c>
      <c r="F2282" t="str">
        <f>HLOOKUP(E2282, LookUP_Table!$A$6:$D$7, 2, FALSE)</f>
        <v>Secondary</v>
      </c>
      <c r="G2282" t="str">
        <f>IFERROR(VLOOKUP(E2282, LookUP_Table!$A$1:$B$4, 2, FALSE), "")</f>
        <v>Secondary</v>
      </c>
      <c r="H2282">
        <v>0</v>
      </c>
      <c r="I2282">
        <v>0</v>
      </c>
      <c r="J2282" t="str">
        <f t="shared" si="210"/>
        <v>Non-Smoker</v>
      </c>
      <c r="K2282">
        <v>0</v>
      </c>
      <c r="L2282">
        <v>0</v>
      </c>
      <c r="M2282">
        <v>0</v>
      </c>
      <c r="N2282">
        <v>0</v>
      </c>
      <c r="O2282">
        <v>216</v>
      </c>
      <c r="P2282" t="str">
        <f t="shared" si="211"/>
        <v>Normal</v>
      </c>
      <c r="Q2282">
        <v>100</v>
      </c>
      <c r="R2282">
        <v>70</v>
      </c>
      <c r="S2282">
        <v>23.88</v>
      </c>
      <c r="T2282" t="str">
        <f t="shared" si="212"/>
        <v>Normal</v>
      </c>
      <c r="U2282">
        <v>70</v>
      </c>
      <c r="V2282">
        <v>73</v>
      </c>
      <c r="W2282" t="str">
        <f t="shared" si="215"/>
        <v>Normal</v>
      </c>
      <c r="X2282">
        <v>0</v>
      </c>
    </row>
    <row r="2283" spans="1:24" ht="14.5" thickBot="1" x14ac:dyDescent="0.35">
      <c r="A2283">
        <v>1</v>
      </c>
      <c r="B2283" t="str">
        <f t="shared" si="213"/>
        <v>Male</v>
      </c>
      <c r="C2283" s="8">
        <v>50</v>
      </c>
      <c r="D2283" t="str">
        <f t="shared" si="214"/>
        <v>Middle Age</v>
      </c>
      <c r="E2283">
        <v>1</v>
      </c>
      <c r="F2283" t="str">
        <f>HLOOKUP(E2283, LookUP_Table!$A$6:$D$7, 2, FALSE)</f>
        <v>Primary</v>
      </c>
      <c r="G2283" t="str">
        <f>IFERROR(VLOOKUP(E2283, LookUP_Table!$A$1:$B$4, 2, FALSE), "")</f>
        <v>Primary</v>
      </c>
      <c r="H2283">
        <v>1</v>
      </c>
      <c r="I2283">
        <v>30</v>
      </c>
      <c r="J2283" t="str">
        <f t="shared" si="210"/>
        <v>Smoker</v>
      </c>
      <c r="K2283">
        <v>0</v>
      </c>
      <c r="L2283">
        <v>0</v>
      </c>
      <c r="M2283">
        <v>0</v>
      </c>
      <c r="N2283">
        <v>0</v>
      </c>
      <c r="O2283">
        <v>234</v>
      </c>
      <c r="P2283" t="str">
        <f t="shared" si="211"/>
        <v>Normal</v>
      </c>
      <c r="Q2283">
        <v>122</v>
      </c>
      <c r="R2283">
        <v>81.5</v>
      </c>
      <c r="S2283">
        <v>29.64</v>
      </c>
      <c r="T2283" t="str">
        <f t="shared" si="212"/>
        <v>Overweight</v>
      </c>
      <c r="U2283">
        <v>64</v>
      </c>
      <c r="V2283">
        <v>76</v>
      </c>
      <c r="W2283" t="str">
        <f t="shared" si="215"/>
        <v>Normal</v>
      </c>
      <c r="X2283">
        <v>0</v>
      </c>
    </row>
    <row r="2284" spans="1:24" ht="14.5" thickBot="1" x14ac:dyDescent="0.35">
      <c r="A2284">
        <v>0</v>
      </c>
      <c r="B2284" t="str">
        <f t="shared" si="213"/>
        <v>Female</v>
      </c>
      <c r="C2284" s="8">
        <v>50</v>
      </c>
      <c r="D2284" t="str">
        <f t="shared" si="214"/>
        <v>Middle Age</v>
      </c>
      <c r="E2284">
        <v>1</v>
      </c>
      <c r="F2284" t="str">
        <f>HLOOKUP(E2284, LookUP_Table!$A$6:$D$7, 2, FALSE)</f>
        <v>Primary</v>
      </c>
      <c r="G2284" t="str">
        <f>IFERROR(VLOOKUP(E2284, LookUP_Table!$A$1:$B$4, 2, FALSE), "")</f>
        <v>Primary</v>
      </c>
      <c r="H2284">
        <v>0</v>
      </c>
      <c r="I2284">
        <v>0</v>
      </c>
      <c r="J2284" t="str">
        <f t="shared" si="210"/>
        <v>Non-Smoker</v>
      </c>
      <c r="K2284">
        <v>0</v>
      </c>
      <c r="L2284">
        <v>0</v>
      </c>
      <c r="M2284">
        <v>0</v>
      </c>
      <c r="N2284">
        <v>0</v>
      </c>
      <c r="O2284">
        <v>281</v>
      </c>
      <c r="P2284" t="str">
        <f t="shared" si="211"/>
        <v>High</v>
      </c>
      <c r="Q2284">
        <v>107.5</v>
      </c>
      <c r="R2284">
        <v>74</v>
      </c>
      <c r="S2284">
        <v>23.44</v>
      </c>
      <c r="T2284" t="str">
        <f t="shared" si="212"/>
        <v>Normal</v>
      </c>
      <c r="U2284">
        <v>85</v>
      </c>
      <c r="V2284">
        <v>79</v>
      </c>
      <c r="W2284" t="str">
        <f t="shared" si="215"/>
        <v>Normal</v>
      </c>
      <c r="X2284">
        <v>0</v>
      </c>
    </row>
    <row r="2285" spans="1:24" ht="14.5" thickBot="1" x14ac:dyDescent="0.35">
      <c r="A2285">
        <v>1</v>
      </c>
      <c r="B2285" t="str">
        <f t="shared" si="213"/>
        <v>Male</v>
      </c>
      <c r="C2285" s="8">
        <v>50</v>
      </c>
      <c r="D2285" t="str">
        <f t="shared" si="214"/>
        <v>Middle Age</v>
      </c>
      <c r="E2285">
        <v>4</v>
      </c>
      <c r="F2285" t="str">
        <f>HLOOKUP(E2285, LookUP_Table!$A$6:$D$7, 2, FALSE)</f>
        <v>Post Graduate</v>
      </c>
      <c r="G2285" t="str">
        <f>IFERROR(VLOOKUP(E2285, LookUP_Table!$A$1:$B$4, 2, FALSE), "")</f>
        <v>Post Graduate</v>
      </c>
      <c r="H2285">
        <v>0</v>
      </c>
      <c r="I2285">
        <v>0</v>
      </c>
      <c r="J2285" t="str">
        <f t="shared" si="210"/>
        <v>Non-Smoker</v>
      </c>
      <c r="K2285">
        <v>0</v>
      </c>
      <c r="L2285">
        <v>0</v>
      </c>
      <c r="M2285">
        <v>1</v>
      </c>
      <c r="N2285">
        <v>0</v>
      </c>
      <c r="O2285">
        <v>259</v>
      </c>
      <c r="P2285" t="str">
        <f t="shared" si="211"/>
        <v>High</v>
      </c>
      <c r="Q2285">
        <v>171</v>
      </c>
      <c r="R2285">
        <v>120</v>
      </c>
      <c r="S2285">
        <v>29.38</v>
      </c>
      <c r="T2285" t="str">
        <f t="shared" si="212"/>
        <v>Overweight</v>
      </c>
      <c r="U2285">
        <v>72</v>
      </c>
      <c r="V2285">
        <v>85</v>
      </c>
      <c r="W2285" t="str">
        <f t="shared" si="215"/>
        <v>Normal</v>
      </c>
      <c r="X2285">
        <v>1</v>
      </c>
    </row>
    <row r="2286" spans="1:24" ht="14.5" thickBot="1" x14ac:dyDescent="0.35">
      <c r="A2286">
        <v>1</v>
      </c>
      <c r="B2286" t="str">
        <f t="shared" si="213"/>
        <v>Male</v>
      </c>
      <c r="C2286" s="8">
        <v>50</v>
      </c>
      <c r="D2286" t="str">
        <f t="shared" si="214"/>
        <v>Middle Age</v>
      </c>
      <c r="E2286">
        <v>4</v>
      </c>
      <c r="F2286" t="str">
        <f>HLOOKUP(E2286, LookUP_Table!$A$6:$D$7, 2, FALSE)</f>
        <v>Post Graduate</v>
      </c>
      <c r="G2286" t="str">
        <f>IFERROR(VLOOKUP(E2286, LookUP_Table!$A$1:$B$4, 2, FALSE), "")</f>
        <v>Post Graduate</v>
      </c>
      <c r="H2286">
        <v>1</v>
      </c>
      <c r="I2286">
        <v>35</v>
      </c>
      <c r="J2286" t="str">
        <f t="shared" si="210"/>
        <v>Smoker</v>
      </c>
      <c r="K2286">
        <v>0</v>
      </c>
      <c r="L2286">
        <v>0</v>
      </c>
      <c r="M2286">
        <v>0</v>
      </c>
      <c r="N2286">
        <v>0</v>
      </c>
      <c r="O2286">
        <v>236</v>
      </c>
      <c r="P2286" t="str">
        <f t="shared" si="211"/>
        <v>Normal</v>
      </c>
      <c r="Q2286">
        <v>102</v>
      </c>
      <c r="R2286">
        <v>69</v>
      </c>
      <c r="S2286">
        <v>21.98</v>
      </c>
      <c r="T2286" t="str">
        <f t="shared" si="212"/>
        <v>Normal</v>
      </c>
      <c r="U2286">
        <v>70</v>
      </c>
      <c r="V2286">
        <v>73</v>
      </c>
      <c r="W2286" t="str">
        <f t="shared" si="215"/>
        <v>Normal</v>
      </c>
      <c r="X2286">
        <v>0</v>
      </c>
    </row>
    <row r="2287" spans="1:24" ht="14.5" thickBot="1" x14ac:dyDescent="0.35">
      <c r="A2287">
        <v>0</v>
      </c>
      <c r="B2287" t="str">
        <f t="shared" si="213"/>
        <v>Female</v>
      </c>
      <c r="C2287" s="8">
        <v>50</v>
      </c>
      <c r="D2287" t="str">
        <f t="shared" si="214"/>
        <v>Middle Age</v>
      </c>
      <c r="E2287">
        <v>3</v>
      </c>
      <c r="F2287" t="str">
        <f>HLOOKUP(E2287, LookUP_Table!$A$6:$D$7, 2, FALSE)</f>
        <v>Graduate</v>
      </c>
      <c r="G2287" t="str">
        <f>IFERROR(VLOOKUP(E2287, LookUP_Table!$A$1:$B$4, 2, FALSE), "")</f>
        <v>Graduate</v>
      </c>
      <c r="H2287">
        <v>0</v>
      </c>
      <c r="I2287">
        <v>0</v>
      </c>
      <c r="J2287" t="str">
        <f t="shared" si="210"/>
        <v>Non-Smoker</v>
      </c>
      <c r="K2287">
        <v>0</v>
      </c>
      <c r="L2287">
        <v>0</v>
      </c>
      <c r="M2287">
        <v>1</v>
      </c>
      <c r="N2287">
        <v>0</v>
      </c>
      <c r="O2287">
        <v>243</v>
      </c>
      <c r="P2287" t="str">
        <f t="shared" si="211"/>
        <v>High</v>
      </c>
      <c r="Q2287">
        <v>157</v>
      </c>
      <c r="R2287">
        <v>98</v>
      </c>
      <c r="S2287">
        <v>23.82</v>
      </c>
      <c r="T2287" t="str">
        <f t="shared" si="212"/>
        <v>Normal</v>
      </c>
      <c r="U2287">
        <v>70</v>
      </c>
      <c r="V2287">
        <v>78</v>
      </c>
      <c r="W2287" t="str">
        <f t="shared" si="215"/>
        <v>Normal</v>
      </c>
      <c r="X2287">
        <v>1</v>
      </c>
    </row>
    <row r="2288" spans="1:24" ht="14.5" thickBot="1" x14ac:dyDescent="0.35">
      <c r="A2288">
        <v>0</v>
      </c>
      <c r="B2288" t="str">
        <f t="shared" si="213"/>
        <v>Female</v>
      </c>
      <c r="C2288" s="8">
        <v>50</v>
      </c>
      <c r="D2288" t="str">
        <f t="shared" si="214"/>
        <v>Middle Age</v>
      </c>
      <c r="E2288">
        <v>4</v>
      </c>
      <c r="F2288" t="str">
        <f>HLOOKUP(E2288, LookUP_Table!$A$6:$D$7, 2, FALSE)</f>
        <v>Post Graduate</v>
      </c>
      <c r="G2288" t="str">
        <f>IFERROR(VLOOKUP(E2288, LookUP_Table!$A$1:$B$4, 2, FALSE), "")</f>
        <v>Post Graduate</v>
      </c>
      <c r="H2288">
        <v>0</v>
      </c>
      <c r="I2288">
        <v>0</v>
      </c>
      <c r="J2288" t="str">
        <f t="shared" si="210"/>
        <v>Non-Smoker</v>
      </c>
      <c r="K2288">
        <v>0</v>
      </c>
      <c r="L2288">
        <v>0</v>
      </c>
      <c r="M2288">
        <v>0</v>
      </c>
      <c r="N2288">
        <v>0</v>
      </c>
      <c r="O2288">
        <v>305</v>
      </c>
      <c r="P2288" t="str">
        <f t="shared" si="211"/>
        <v>High</v>
      </c>
      <c r="Q2288">
        <v>114</v>
      </c>
      <c r="R2288">
        <v>80</v>
      </c>
      <c r="S2288">
        <v>24.33</v>
      </c>
      <c r="T2288" t="str">
        <f t="shared" si="212"/>
        <v>Normal</v>
      </c>
      <c r="U2288">
        <v>55</v>
      </c>
      <c r="V2288">
        <v>80</v>
      </c>
      <c r="W2288" t="str">
        <f t="shared" si="215"/>
        <v>Normal</v>
      </c>
      <c r="X2288">
        <v>0</v>
      </c>
    </row>
    <row r="2289" spans="1:24" ht="14.5" thickBot="1" x14ac:dyDescent="0.35">
      <c r="A2289">
        <v>1</v>
      </c>
      <c r="B2289" t="str">
        <f t="shared" si="213"/>
        <v>Male</v>
      </c>
      <c r="C2289" s="8">
        <v>50</v>
      </c>
      <c r="D2289" t="str">
        <f t="shared" si="214"/>
        <v>Middle Age</v>
      </c>
      <c r="E2289">
        <v>4</v>
      </c>
      <c r="F2289" t="str">
        <f>HLOOKUP(E2289, LookUP_Table!$A$6:$D$7, 2, FALSE)</f>
        <v>Post Graduate</v>
      </c>
      <c r="G2289" t="str">
        <f>IFERROR(VLOOKUP(E2289, LookUP_Table!$A$1:$B$4, 2, FALSE), "")</f>
        <v>Post Graduate</v>
      </c>
      <c r="H2289">
        <v>0</v>
      </c>
      <c r="I2289">
        <v>0</v>
      </c>
      <c r="J2289" t="str">
        <f t="shared" si="210"/>
        <v>Non-Smoker</v>
      </c>
      <c r="K2289">
        <v>0</v>
      </c>
      <c r="L2289">
        <v>0</v>
      </c>
      <c r="M2289">
        <v>0</v>
      </c>
      <c r="N2289">
        <v>0</v>
      </c>
      <c r="O2289">
        <v>227</v>
      </c>
      <c r="P2289" t="str">
        <f t="shared" si="211"/>
        <v>Normal</v>
      </c>
      <c r="Q2289">
        <v>132</v>
      </c>
      <c r="R2289">
        <v>59</v>
      </c>
      <c r="S2289">
        <v>25.12</v>
      </c>
      <c r="T2289" t="str">
        <f t="shared" si="212"/>
        <v>Overweight</v>
      </c>
      <c r="U2289">
        <v>57</v>
      </c>
      <c r="V2289">
        <v>81.96365524402907</v>
      </c>
      <c r="W2289" t="str">
        <f t="shared" si="215"/>
        <v>Normal</v>
      </c>
      <c r="X2289">
        <v>0</v>
      </c>
    </row>
    <row r="2290" spans="1:24" ht="14.5" thickBot="1" x14ac:dyDescent="0.35">
      <c r="A2290">
        <v>0</v>
      </c>
      <c r="B2290" t="str">
        <f t="shared" si="213"/>
        <v>Female</v>
      </c>
      <c r="C2290" s="8">
        <v>50</v>
      </c>
      <c r="D2290" t="str">
        <f t="shared" si="214"/>
        <v>Middle Age</v>
      </c>
      <c r="E2290">
        <v>2</v>
      </c>
      <c r="F2290" t="str">
        <f>HLOOKUP(E2290, LookUP_Table!$A$6:$D$7, 2, FALSE)</f>
        <v>Secondary</v>
      </c>
      <c r="G2290" t="str">
        <f>IFERROR(VLOOKUP(E2290, LookUP_Table!$A$1:$B$4, 2, FALSE), "")</f>
        <v>Secondary</v>
      </c>
      <c r="H2290">
        <v>0</v>
      </c>
      <c r="I2290">
        <v>0</v>
      </c>
      <c r="J2290" t="str">
        <f t="shared" si="210"/>
        <v>Non-Smoker</v>
      </c>
      <c r="K2290">
        <v>0</v>
      </c>
      <c r="L2290">
        <v>0</v>
      </c>
      <c r="M2290">
        <v>1</v>
      </c>
      <c r="N2290">
        <v>0</v>
      </c>
      <c r="O2290">
        <v>259</v>
      </c>
      <c r="P2290" t="str">
        <f t="shared" si="211"/>
        <v>High</v>
      </c>
      <c r="Q2290">
        <v>152</v>
      </c>
      <c r="R2290">
        <v>97</v>
      </c>
      <c r="S2290">
        <v>33.68</v>
      </c>
      <c r="T2290" t="str">
        <f t="shared" si="212"/>
        <v>Obese</v>
      </c>
      <c r="U2290">
        <v>75</v>
      </c>
      <c r="V2290">
        <v>76</v>
      </c>
      <c r="W2290" t="str">
        <f t="shared" si="215"/>
        <v>Normal</v>
      </c>
      <c r="X2290">
        <v>0</v>
      </c>
    </row>
    <row r="2291" spans="1:24" ht="14.5" thickBot="1" x14ac:dyDescent="0.35">
      <c r="A2291">
        <v>0</v>
      </c>
      <c r="B2291" t="str">
        <f t="shared" si="213"/>
        <v>Female</v>
      </c>
      <c r="C2291" s="8">
        <v>50</v>
      </c>
      <c r="D2291" t="str">
        <f t="shared" si="214"/>
        <v>Middle Age</v>
      </c>
      <c r="E2291">
        <v>2</v>
      </c>
      <c r="F2291" t="str">
        <f>HLOOKUP(E2291, LookUP_Table!$A$6:$D$7, 2, FALSE)</f>
        <v>Secondary</v>
      </c>
      <c r="G2291" t="str">
        <f>IFERROR(VLOOKUP(E2291, LookUP_Table!$A$1:$B$4, 2, FALSE), "")</f>
        <v>Secondary</v>
      </c>
      <c r="H2291">
        <v>0</v>
      </c>
      <c r="I2291">
        <v>0</v>
      </c>
      <c r="J2291" t="str">
        <f t="shared" si="210"/>
        <v>Non-Smoker</v>
      </c>
      <c r="K2291">
        <v>0</v>
      </c>
      <c r="L2291">
        <v>0</v>
      </c>
      <c r="M2291">
        <v>0</v>
      </c>
      <c r="N2291">
        <v>0</v>
      </c>
      <c r="O2291">
        <v>232</v>
      </c>
      <c r="P2291" t="str">
        <f t="shared" si="211"/>
        <v>Normal</v>
      </c>
      <c r="Q2291">
        <v>120</v>
      </c>
      <c r="R2291">
        <v>75</v>
      </c>
      <c r="S2291">
        <v>23.88</v>
      </c>
      <c r="T2291" t="str">
        <f t="shared" si="212"/>
        <v>Normal</v>
      </c>
      <c r="U2291">
        <v>60</v>
      </c>
      <c r="V2291">
        <v>74</v>
      </c>
      <c r="W2291" t="str">
        <f t="shared" si="215"/>
        <v>Normal</v>
      </c>
      <c r="X2291">
        <v>0</v>
      </c>
    </row>
    <row r="2292" spans="1:24" ht="14.5" thickBot="1" x14ac:dyDescent="0.35">
      <c r="A2292">
        <v>0</v>
      </c>
      <c r="B2292" t="str">
        <f t="shared" si="213"/>
        <v>Female</v>
      </c>
      <c r="C2292" s="8">
        <v>50</v>
      </c>
      <c r="D2292" t="str">
        <f t="shared" si="214"/>
        <v>Middle Age</v>
      </c>
      <c r="E2292">
        <v>2</v>
      </c>
      <c r="F2292" t="str">
        <f>HLOOKUP(E2292, LookUP_Table!$A$6:$D$7, 2, FALSE)</f>
        <v>Secondary</v>
      </c>
      <c r="G2292" t="str">
        <f>IFERROR(VLOOKUP(E2292, LookUP_Table!$A$1:$B$4, 2, FALSE), "")</f>
        <v>Secondary</v>
      </c>
      <c r="H2292">
        <v>1</v>
      </c>
      <c r="I2292">
        <v>20</v>
      </c>
      <c r="J2292" t="str">
        <f t="shared" si="210"/>
        <v>Smoker</v>
      </c>
      <c r="K2292">
        <v>0</v>
      </c>
      <c r="L2292">
        <v>0</v>
      </c>
      <c r="M2292">
        <v>0</v>
      </c>
      <c r="N2292">
        <v>0</v>
      </c>
      <c r="O2292">
        <v>202</v>
      </c>
      <c r="P2292" t="str">
        <f t="shared" si="211"/>
        <v>Normal</v>
      </c>
      <c r="Q2292">
        <v>138</v>
      </c>
      <c r="R2292">
        <v>72</v>
      </c>
      <c r="S2292">
        <v>25.03</v>
      </c>
      <c r="T2292" t="str">
        <f t="shared" si="212"/>
        <v>Overweight</v>
      </c>
      <c r="U2292">
        <v>110</v>
      </c>
      <c r="V2292">
        <v>98</v>
      </c>
      <c r="W2292" t="str">
        <f t="shared" si="215"/>
        <v>Normal</v>
      </c>
      <c r="X2292">
        <v>0</v>
      </c>
    </row>
    <row r="2293" spans="1:24" ht="14.5" thickBot="1" x14ac:dyDescent="0.35">
      <c r="A2293">
        <v>1</v>
      </c>
      <c r="B2293" t="str">
        <f t="shared" si="213"/>
        <v>Male</v>
      </c>
      <c r="C2293" s="8">
        <v>50</v>
      </c>
      <c r="D2293" t="str">
        <f t="shared" si="214"/>
        <v>Middle Age</v>
      </c>
      <c r="E2293">
        <v>4</v>
      </c>
      <c r="F2293" t="str">
        <f>HLOOKUP(E2293, LookUP_Table!$A$6:$D$7, 2, FALSE)</f>
        <v>Post Graduate</v>
      </c>
      <c r="G2293" t="str">
        <f>IFERROR(VLOOKUP(E2293, LookUP_Table!$A$1:$B$4, 2, FALSE), "")</f>
        <v>Post Graduate</v>
      </c>
      <c r="H2293">
        <v>1</v>
      </c>
      <c r="I2293">
        <v>20</v>
      </c>
      <c r="J2293" t="str">
        <f t="shared" si="210"/>
        <v>Smoker</v>
      </c>
      <c r="K2293">
        <v>0</v>
      </c>
      <c r="L2293">
        <v>0</v>
      </c>
      <c r="M2293">
        <v>1</v>
      </c>
      <c r="N2293">
        <v>0</v>
      </c>
      <c r="O2293">
        <v>250</v>
      </c>
      <c r="P2293" t="str">
        <f t="shared" si="211"/>
        <v>High</v>
      </c>
      <c r="Q2293">
        <v>148</v>
      </c>
      <c r="R2293">
        <v>108</v>
      </c>
      <c r="S2293">
        <v>24</v>
      </c>
      <c r="T2293" t="str">
        <f t="shared" si="212"/>
        <v>Normal</v>
      </c>
      <c r="U2293">
        <v>80</v>
      </c>
      <c r="V2293">
        <v>86</v>
      </c>
      <c r="W2293" t="str">
        <f t="shared" si="215"/>
        <v>Normal</v>
      </c>
      <c r="X2293">
        <v>0</v>
      </c>
    </row>
    <row r="2294" spans="1:24" ht="14.5" thickBot="1" x14ac:dyDescent="0.35">
      <c r="A2294">
        <v>0</v>
      </c>
      <c r="B2294" t="str">
        <f t="shared" si="213"/>
        <v>Female</v>
      </c>
      <c r="C2294" s="8">
        <v>50</v>
      </c>
      <c r="D2294" t="str">
        <f t="shared" si="214"/>
        <v>Middle Age</v>
      </c>
      <c r="E2294">
        <v>3</v>
      </c>
      <c r="F2294" t="str">
        <f>HLOOKUP(E2294, LookUP_Table!$A$6:$D$7, 2, FALSE)</f>
        <v>Graduate</v>
      </c>
      <c r="G2294" t="str">
        <f>IFERROR(VLOOKUP(E2294, LookUP_Table!$A$1:$B$4, 2, FALSE), "")</f>
        <v>Graduate</v>
      </c>
      <c r="H2294">
        <v>1</v>
      </c>
      <c r="I2294">
        <v>10</v>
      </c>
      <c r="J2294" t="str">
        <f t="shared" si="210"/>
        <v>Smoker</v>
      </c>
      <c r="K2294">
        <v>0</v>
      </c>
      <c r="L2294">
        <v>0</v>
      </c>
      <c r="M2294">
        <v>1</v>
      </c>
      <c r="N2294">
        <v>0</v>
      </c>
      <c r="O2294">
        <v>240</v>
      </c>
      <c r="P2294" t="str">
        <f t="shared" si="211"/>
        <v>Normal</v>
      </c>
      <c r="Q2294">
        <v>176.5</v>
      </c>
      <c r="R2294">
        <v>115</v>
      </c>
      <c r="S2294">
        <v>27.71</v>
      </c>
      <c r="T2294" t="str">
        <f t="shared" si="212"/>
        <v>Overweight</v>
      </c>
      <c r="U2294">
        <v>70</v>
      </c>
      <c r="V2294">
        <v>83</v>
      </c>
      <c r="W2294" t="str">
        <f t="shared" si="215"/>
        <v>Normal</v>
      </c>
      <c r="X2294">
        <v>0</v>
      </c>
    </row>
    <row r="2295" spans="1:24" ht="14.5" thickBot="1" x14ac:dyDescent="0.35">
      <c r="A2295">
        <v>0</v>
      </c>
      <c r="B2295" t="str">
        <f t="shared" si="213"/>
        <v>Female</v>
      </c>
      <c r="C2295" s="8">
        <v>50</v>
      </c>
      <c r="D2295" t="str">
        <f t="shared" si="214"/>
        <v>Middle Age</v>
      </c>
      <c r="E2295">
        <v>1</v>
      </c>
      <c r="F2295" t="str">
        <f>HLOOKUP(E2295, LookUP_Table!$A$6:$D$7, 2, FALSE)</f>
        <v>Primary</v>
      </c>
      <c r="G2295" t="str">
        <f>IFERROR(VLOOKUP(E2295, LookUP_Table!$A$1:$B$4, 2, FALSE), "")</f>
        <v>Primary</v>
      </c>
      <c r="H2295">
        <v>1</v>
      </c>
      <c r="I2295">
        <v>15</v>
      </c>
      <c r="J2295" t="str">
        <f t="shared" si="210"/>
        <v>Smoker</v>
      </c>
      <c r="K2295">
        <v>0</v>
      </c>
      <c r="L2295">
        <v>0</v>
      </c>
      <c r="M2295">
        <v>0</v>
      </c>
      <c r="N2295">
        <v>0</v>
      </c>
      <c r="O2295">
        <v>168</v>
      </c>
      <c r="P2295" t="str">
        <f t="shared" si="211"/>
        <v>Normal</v>
      </c>
      <c r="Q2295">
        <v>120</v>
      </c>
      <c r="R2295">
        <v>80</v>
      </c>
      <c r="S2295">
        <v>25.26</v>
      </c>
      <c r="T2295" t="str">
        <f t="shared" si="212"/>
        <v>Overweight</v>
      </c>
      <c r="U2295">
        <v>96</v>
      </c>
      <c r="V2295">
        <v>60</v>
      </c>
      <c r="W2295" t="str">
        <f t="shared" si="215"/>
        <v>Normal</v>
      </c>
      <c r="X2295">
        <v>1</v>
      </c>
    </row>
    <row r="2296" spans="1:24" ht="14.5" thickBot="1" x14ac:dyDescent="0.35">
      <c r="A2296">
        <v>1</v>
      </c>
      <c r="B2296" t="str">
        <f t="shared" si="213"/>
        <v>Male</v>
      </c>
      <c r="C2296" s="8">
        <v>50</v>
      </c>
      <c r="D2296" t="str">
        <f t="shared" si="214"/>
        <v>Middle Age</v>
      </c>
      <c r="E2296">
        <v>4</v>
      </c>
      <c r="F2296" t="str">
        <f>HLOOKUP(E2296, LookUP_Table!$A$6:$D$7, 2, FALSE)</f>
        <v>Post Graduate</v>
      </c>
      <c r="G2296" t="str">
        <f>IFERROR(VLOOKUP(E2296, LookUP_Table!$A$1:$B$4, 2, FALSE), "")</f>
        <v>Post Graduate</v>
      </c>
      <c r="H2296">
        <v>1</v>
      </c>
      <c r="I2296">
        <v>20</v>
      </c>
      <c r="J2296" t="str">
        <f t="shared" si="210"/>
        <v>Smoker</v>
      </c>
      <c r="K2296">
        <v>0</v>
      </c>
      <c r="L2296">
        <v>0</v>
      </c>
      <c r="M2296">
        <v>1</v>
      </c>
      <c r="N2296">
        <v>0</v>
      </c>
      <c r="O2296">
        <v>261</v>
      </c>
      <c r="P2296" t="str">
        <f t="shared" si="211"/>
        <v>High</v>
      </c>
      <c r="Q2296">
        <v>180</v>
      </c>
      <c r="R2296">
        <v>100</v>
      </c>
      <c r="S2296">
        <v>25.9</v>
      </c>
      <c r="T2296" t="str">
        <f t="shared" si="212"/>
        <v>Overweight</v>
      </c>
      <c r="U2296">
        <v>92</v>
      </c>
      <c r="V2296">
        <v>66</v>
      </c>
      <c r="W2296" t="str">
        <f t="shared" si="215"/>
        <v>Normal</v>
      </c>
      <c r="X2296">
        <v>1</v>
      </c>
    </row>
    <row r="2297" spans="1:24" ht="14.5" thickBot="1" x14ac:dyDescent="0.35">
      <c r="A2297">
        <v>0</v>
      </c>
      <c r="B2297" t="str">
        <f t="shared" si="213"/>
        <v>Female</v>
      </c>
      <c r="C2297" s="8">
        <v>50</v>
      </c>
      <c r="D2297" t="str">
        <f t="shared" si="214"/>
        <v>Middle Age</v>
      </c>
      <c r="E2297">
        <v>3</v>
      </c>
      <c r="F2297" t="str">
        <f>HLOOKUP(E2297, LookUP_Table!$A$6:$D$7, 2, FALSE)</f>
        <v>Graduate</v>
      </c>
      <c r="G2297" t="str">
        <f>IFERROR(VLOOKUP(E2297, LookUP_Table!$A$1:$B$4, 2, FALSE), "")</f>
        <v>Graduate</v>
      </c>
      <c r="H2297">
        <v>0</v>
      </c>
      <c r="I2297">
        <v>0</v>
      </c>
      <c r="J2297" t="str">
        <f t="shared" si="210"/>
        <v>Non-Smoker</v>
      </c>
      <c r="K2297">
        <v>0</v>
      </c>
      <c r="L2297">
        <v>0</v>
      </c>
      <c r="M2297">
        <v>1</v>
      </c>
      <c r="N2297">
        <v>0</v>
      </c>
      <c r="O2297">
        <v>236.69952267303103</v>
      </c>
      <c r="P2297" t="str">
        <f t="shared" si="211"/>
        <v>Normal</v>
      </c>
      <c r="Q2297">
        <v>165</v>
      </c>
      <c r="R2297">
        <v>100</v>
      </c>
      <c r="S2297">
        <v>24.59</v>
      </c>
      <c r="T2297" t="str">
        <f t="shared" si="212"/>
        <v>Normal</v>
      </c>
      <c r="U2297">
        <v>75</v>
      </c>
      <c r="V2297">
        <v>81.96365524402907</v>
      </c>
      <c r="W2297" t="str">
        <f t="shared" si="215"/>
        <v>Normal</v>
      </c>
      <c r="X2297">
        <v>1</v>
      </c>
    </row>
    <row r="2298" spans="1:24" ht="14.5" thickBot="1" x14ac:dyDescent="0.35">
      <c r="A2298">
        <v>0</v>
      </c>
      <c r="B2298" t="str">
        <f t="shared" si="213"/>
        <v>Female</v>
      </c>
      <c r="C2298" s="8">
        <v>50</v>
      </c>
      <c r="D2298" t="str">
        <f t="shared" si="214"/>
        <v>Middle Age</v>
      </c>
      <c r="E2298">
        <v>3</v>
      </c>
      <c r="F2298" t="str">
        <f>HLOOKUP(E2298, LookUP_Table!$A$6:$D$7, 2, FALSE)</f>
        <v>Graduate</v>
      </c>
      <c r="G2298" t="str">
        <f>IFERROR(VLOOKUP(E2298, LookUP_Table!$A$1:$B$4, 2, FALSE), "")</f>
        <v>Graduate</v>
      </c>
      <c r="H2298">
        <v>0</v>
      </c>
      <c r="I2298">
        <v>0</v>
      </c>
      <c r="J2298" t="str">
        <f t="shared" si="210"/>
        <v>Non-Smoker</v>
      </c>
      <c r="K2298">
        <v>0</v>
      </c>
      <c r="L2298">
        <v>0</v>
      </c>
      <c r="M2298">
        <v>1</v>
      </c>
      <c r="N2298">
        <v>0</v>
      </c>
      <c r="O2298">
        <v>254</v>
      </c>
      <c r="P2298" t="str">
        <f t="shared" si="211"/>
        <v>High</v>
      </c>
      <c r="Q2298">
        <v>132</v>
      </c>
      <c r="R2298">
        <v>96</v>
      </c>
      <c r="S2298">
        <v>29.35</v>
      </c>
      <c r="T2298" t="str">
        <f t="shared" si="212"/>
        <v>Overweight</v>
      </c>
      <c r="U2298">
        <v>90</v>
      </c>
      <c r="V2298">
        <v>67</v>
      </c>
      <c r="W2298" t="str">
        <f t="shared" si="215"/>
        <v>Normal</v>
      </c>
      <c r="X2298">
        <v>0</v>
      </c>
    </row>
    <row r="2299" spans="1:24" ht="14.5" thickBot="1" x14ac:dyDescent="0.35">
      <c r="A2299">
        <v>0</v>
      </c>
      <c r="B2299" t="str">
        <f t="shared" si="213"/>
        <v>Female</v>
      </c>
      <c r="C2299" s="8">
        <v>50</v>
      </c>
      <c r="D2299" t="str">
        <f t="shared" si="214"/>
        <v>Middle Age</v>
      </c>
      <c r="E2299">
        <v>2</v>
      </c>
      <c r="F2299" t="str">
        <f>HLOOKUP(E2299, LookUP_Table!$A$6:$D$7, 2, FALSE)</f>
        <v>Secondary</v>
      </c>
      <c r="G2299" t="str">
        <f>IFERROR(VLOOKUP(E2299, LookUP_Table!$A$1:$B$4, 2, FALSE), "")</f>
        <v>Secondary</v>
      </c>
      <c r="H2299">
        <v>0</v>
      </c>
      <c r="I2299">
        <v>0</v>
      </c>
      <c r="J2299" t="str">
        <f t="shared" si="210"/>
        <v>Non-Smoker</v>
      </c>
      <c r="K2299">
        <v>0</v>
      </c>
      <c r="L2299">
        <v>0</v>
      </c>
      <c r="M2299">
        <v>1</v>
      </c>
      <c r="N2299">
        <v>0</v>
      </c>
      <c r="O2299">
        <v>190</v>
      </c>
      <c r="P2299" t="str">
        <f t="shared" si="211"/>
        <v>Normal</v>
      </c>
      <c r="Q2299">
        <v>148</v>
      </c>
      <c r="R2299">
        <v>92.5</v>
      </c>
      <c r="S2299">
        <v>22.99</v>
      </c>
      <c r="T2299" t="str">
        <f t="shared" si="212"/>
        <v>Normal</v>
      </c>
      <c r="U2299">
        <v>80</v>
      </c>
      <c r="V2299">
        <v>90</v>
      </c>
      <c r="W2299" t="str">
        <f t="shared" si="215"/>
        <v>Normal</v>
      </c>
      <c r="X2299">
        <v>0</v>
      </c>
    </row>
    <row r="2300" spans="1:24" ht="14.5" thickBot="1" x14ac:dyDescent="0.35">
      <c r="A2300">
        <v>0</v>
      </c>
      <c r="B2300" t="str">
        <f t="shared" si="213"/>
        <v>Female</v>
      </c>
      <c r="C2300" s="8">
        <v>50</v>
      </c>
      <c r="D2300" t="str">
        <f t="shared" si="214"/>
        <v>Middle Age</v>
      </c>
      <c r="E2300">
        <v>1</v>
      </c>
      <c r="F2300" t="str">
        <f>HLOOKUP(E2300, LookUP_Table!$A$6:$D$7, 2, FALSE)</f>
        <v>Primary</v>
      </c>
      <c r="G2300" t="str">
        <f>IFERROR(VLOOKUP(E2300, LookUP_Table!$A$1:$B$4, 2, FALSE), "")</f>
        <v>Primary</v>
      </c>
      <c r="H2300">
        <v>0</v>
      </c>
      <c r="I2300">
        <v>0</v>
      </c>
      <c r="J2300" t="str">
        <f t="shared" si="210"/>
        <v>Non-Smoker</v>
      </c>
      <c r="K2300">
        <v>0</v>
      </c>
      <c r="L2300">
        <v>0</v>
      </c>
      <c r="M2300">
        <v>0</v>
      </c>
      <c r="N2300">
        <v>0</v>
      </c>
      <c r="O2300">
        <v>189</v>
      </c>
      <c r="P2300" t="str">
        <f t="shared" si="211"/>
        <v>Normal</v>
      </c>
      <c r="Q2300">
        <v>144</v>
      </c>
      <c r="R2300">
        <v>88</v>
      </c>
      <c r="S2300">
        <v>39.08</v>
      </c>
      <c r="T2300" t="str">
        <f t="shared" si="212"/>
        <v>Obese</v>
      </c>
      <c r="U2300">
        <v>60</v>
      </c>
      <c r="V2300">
        <v>87</v>
      </c>
      <c r="W2300" t="str">
        <f t="shared" si="215"/>
        <v>Normal</v>
      </c>
      <c r="X2300">
        <v>1</v>
      </c>
    </row>
    <row r="2301" spans="1:24" ht="14.5" thickBot="1" x14ac:dyDescent="0.35">
      <c r="A2301">
        <v>1</v>
      </c>
      <c r="B2301" t="str">
        <f t="shared" si="213"/>
        <v>Male</v>
      </c>
      <c r="C2301" s="8">
        <v>50</v>
      </c>
      <c r="D2301" t="str">
        <f t="shared" si="214"/>
        <v>Middle Age</v>
      </c>
      <c r="E2301">
        <v>4</v>
      </c>
      <c r="F2301" t="str">
        <f>HLOOKUP(E2301, LookUP_Table!$A$6:$D$7, 2, FALSE)</f>
        <v>Post Graduate</v>
      </c>
      <c r="G2301" t="str">
        <f>IFERROR(VLOOKUP(E2301, LookUP_Table!$A$1:$B$4, 2, FALSE), "")</f>
        <v>Post Graduate</v>
      </c>
      <c r="H2301">
        <v>0</v>
      </c>
      <c r="I2301">
        <v>0</v>
      </c>
      <c r="J2301" t="str">
        <f t="shared" si="210"/>
        <v>Non-Smoker</v>
      </c>
      <c r="K2301">
        <v>0</v>
      </c>
      <c r="L2301">
        <v>0</v>
      </c>
      <c r="M2301">
        <v>0</v>
      </c>
      <c r="N2301">
        <v>0</v>
      </c>
      <c r="O2301">
        <v>259</v>
      </c>
      <c r="P2301" t="str">
        <f t="shared" si="211"/>
        <v>High</v>
      </c>
      <c r="Q2301">
        <v>132.5</v>
      </c>
      <c r="R2301">
        <v>92</v>
      </c>
      <c r="S2301">
        <v>30.41</v>
      </c>
      <c r="T2301" t="str">
        <f t="shared" si="212"/>
        <v>Obese</v>
      </c>
      <c r="U2301">
        <v>68</v>
      </c>
      <c r="V2301">
        <v>75</v>
      </c>
      <c r="W2301" t="str">
        <f t="shared" si="215"/>
        <v>Normal</v>
      </c>
      <c r="X2301">
        <v>0</v>
      </c>
    </row>
    <row r="2302" spans="1:24" ht="14.5" thickBot="1" x14ac:dyDescent="0.35">
      <c r="A2302">
        <v>0</v>
      </c>
      <c r="B2302" t="str">
        <f t="shared" si="213"/>
        <v>Female</v>
      </c>
      <c r="C2302" s="8">
        <v>50</v>
      </c>
      <c r="D2302" t="str">
        <f t="shared" si="214"/>
        <v>Middle Age</v>
      </c>
      <c r="E2302">
        <v>2</v>
      </c>
      <c r="F2302" t="str">
        <f>HLOOKUP(E2302, LookUP_Table!$A$6:$D$7, 2, FALSE)</f>
        <v>Secondary</v>
      </c>
      <c r="G2302" t="str">
        <f>IFERROR(VLOOKUP(E2302, LookUP_Table!$A$1:$B$4, 2, FALSE), "")</f>
        <v>Secondary</v>
      </c>
      <c r="H2302">
        <v>1</v>
      </c>
      <c r="I2302">
        <v>9</v>
      </c>
      <c r="J2302" t="str">
        <f t="shared" si="210"/>
        <v>Smoker</v>
      </c>
      <c r="K2302">
        <v>0</v>
      </c>
      <c r="L2302">
        <v>0</v>
      </c>
      <c r="M2302">
        <v>1</v>
      </c>
      <c r="N2302">
        <v>0</v>
      </c>
      <c r="O2302">
        <v>161</v>
      </c>
      <c r="P2302" t="str">
        <f t="shared" si="211"/>
        <v>Normal</v>
      </c>
      <c r="Q2302">
        <v>145</v>
      </c>
      <c r="R2302">
        <v>89</v>
      </c>
      <c r="S2302">
        <v>20.3</v>
      </c>
      <c r="T2302" t="str">
        <f t="shared" si="212"/>
        <v>Normal</v>
      </c>
      <c r="U2302">
        <v>66</v>
      </c>
      <c r="V2302">
        <v>81</v>
      </c>
      <c r="W2302" t="str">
        <f t="shared" si="215"/>
        <v>Normal</v>
      </c>
      <c r="X2302">
        <v>0</v>
      </c>
    </row>
    <row r="2303" spans="1:24" ht="14.5" thickBot="1" x14ac:dyDescent="0.35">
      <c r="A2303">
        <v>0</v>
      </c>
      <c r="B2303" t="str">
        <f t="shared" si="213"/>
        <v>Female</v>
      </c>
      <c r="C2303" s="8">
        <v>50</v>
      </c>
      <c r="D2303" t="str">
        <f t="shared" si="214"/>
        <v>Middle Age</v>
      </c>
      <c r="E2303">
        <v>4</v>
      </c>
      <c r="F2303" t="str">
        <f>HLOOKUP(E2303, LookUP_Table!$A$6:$D$7, 2, FALSE)</f>
        <v>Post Graduate</v>
      </c>
      <c r="G2303" t="str">
        <f>IFERROR(VLOOKUP(E2303, LookUP_Table!$A$1:$B$4, 2, FALSE), "")</f>
        <v>Post Graduate</v>
      </c>
      <c r="H2303">
        <v>1</v>
      </c>
      <c r="I2303">
        <v>30</v>
      </c>
      <c r="J2303" t="str">
        <f t="shared" si="210"/>
        <v>Smoker</v>
      </c>
      <c r="K2303">
        <v>0</v>
      </c>
      <c r="L2303">
        <v>0</v>
      </c>
      <c r="M2303">
        <v>1</v>
      </c>
      <c r="N2303">
        <v>0</v>
      </c>
      <c r="O2303">
        <v>214</v>
      </c>
      <c r="P2303" t="str">
        <f t="shared" si="211"/>
        <v>Normal</v>
      </c>
      <c r="Q2303">
        <v>176</v>
      </c>
      <c r="R2303">
        <v>113</v>
      </c>
      <c r="S2303">
        <v>22.17</v>
      </c>
      <c r="T2303" t="str">
        <f t="shared" si="212"/>
        <v>Normal</v>
      </c>
      <c r="U2303">
        <v>68</v>
      </c>
      <c r="V2303">
        <v>71</v>
      </c>
      <c r="W2303" t="str">
        <f t="shared" si="215"/>
        <v>Normal</v>
      </c>
      <c r="X2303">
        <v>0</v>
      </c>
    </row>
    <row r="2304" spans="1:24" ht="14.5" thickBot="1" x14ac:dyDescent="0.35">
      <c r="A2304">
        <v>0</v>
      </c>
      <c r="B2304" t="str">
        <f t="shared" si="213"/>
        <v>Female</v>
      </c>
      <c r="C2304" s="8">
        <v>50</v>
      </c>
      <c r="D2304" t="str">
        <f t="shared" si="214"/>
        <v>Middle Age</v>
      </c>
      <c r="E2304">
        <v>2</v>
      </c>
      <c r="F2304" t="str">
        <f>HLOOKUP(E2304, LookUP_Table!$A$6:$D$7, 2, FALSE)</f>
        <v>Secondary</v>
      </c>
      <c r="G2304" t="str">
        <f>IFERROR(VLOOKUP(E2304, LookUP_Table!$A$1:$B$4, 2, FALSE), "")</f>
        <v>Secondary</v>
      </c>
      <c r="H2304">
        <v>1</v>
      </c>
      <c r="I2304">
        <v>10</v>
      </c>
      <c r="J2304" t="str">
        <f t="shared" si="210"/>
        <v>Smoker</v>
      </c>
      <c r="K2304">
        <v>0</v>
      </c>
      <c r="L2304">
        <v>0</v>
      </c>
      <c r="M2304">
        <v>0</v>
      </c>
      <c r="N2304">
        <v>0</v>
      </c>
      <c r="O2304">
        <v>220</v>
      </c>
      <c r="P2304" t="str">
        <f t="shared" si="211"/>
        <v>Normal</v>
      </c>
      <c r="Q2304">
        <v>122</v>
      </c>
      <c r="R2304">
        <v>80</v>
      </c>
      <c r="S2304">
        <v>24.22</v>
      </c>
      <c r="T2304" t="str">
        <f t="shared" si="212"/>
        <v>Normal</v>
      </c>
      <c r="U2304">
        <v>75</v>
      </c>
      <c r="V2304">
        <v>72</v>
      </c>
      <c r="W2304" t="str">
        <f t="shared" si="215"/>
        <v>Normal</v>
      </c>
      <c r="X2304">
        <v>0</v>
      </c>
    </row>
    <row r="2305" spans="1:24" ht="14.5" thickBot="1" x14ac:dyDescent="0.35">
      <c r="A2305">
        <v>0</v>
      </c>
      <c r="B2305" t="str">
        <f t="shared" si="213"/>
        <v>Female</v>
      </c>
      <c r="C2305" s="8">
        <v>50</v>
      </c>
      <c r="D2305" t="str">
        <f t="shared" si="214"/>
        <v>Middle Age</v>
      </c>
      <c r="E2305">
        <v>1</v>
      </c>
      <c r="F2305" t="str">
        <f>HLOOKUP(E2305, LookUP_Table!$A$6:$D$7, 2, FALSE)</f>
        <v>Primary</v>
      </c>
      <c r="G2305" t="str">
        <f>IFERROR(VLOOKUP(E2305, LookUP_Table!$A$1:$B$4, 2, FALSE), "")</f>
        <v>Primary</v>
      </c>
      <c r="H2305">
        <v>0</v>
      </c>
      <c r="I2305">
        <v>0</v>
      </c>
      <c r="J2305" t="str">
        <f t="shared" si="210"/>
        <v>Non-Smoker</v>
      </c>
      <c r="K2305">
        <v>0</v>
      </c>
      <c r="L2305">
        <v>0</v>
      </c>
      <c r="M2305">
        <v>1</v>
      </c>
      <c r="N2305">
        <v>0</v>
      </c>
      <c r="O2305">
        <v>212</v>
      </c>
      <c r="P2305" t="str">
        <f t="shared" si="211"/>
        <v>Normal</v>
      </c>
      <c r="Q2305">
        <v>169</v>
      </c>
      <c r="R2305">
        <v>117</v>
      </c>
      <c r="S2305">
        <v>27.08</v>
      </c>
      <c r="T2305" t="str">
        <f t="shared" si="212"/>
        <v>Overweight</v>
      </c>
      <c r="U2305">
        <v>100</v>
      </c>
      <c r="V2305">
        <v>68</v>
      </c>
      <c r="W2305" t="str">
        <f t="shared" si="215"/>
        <v>Normal</v>
      </c>
      <c r="X2305">
        <v>0</v>
      </c>
    </row>
    <row r="2306" spans="1:24" ht="14.5" thickBot="1" x14ac:dyDescent="0.35">
      <c r="A2306">
        <v>1</v>
      </c>
      <c r="B2306" t="str">
        <f t="shared" si="213"/>
        <v>Male</v>
      </c>
      <c r="C2306" s="8">
        <v>50</v>
      </c>
      <c r="D2306" t="str">
        <f t="shared" si="214"/>
        <v>Middle Age</v>
      </c>
      <c r="E2306">
        <v>1</v>
      </c>
      <c r="F2306" t="str">
        <f>HLOOKUP(E2306, LookUP_Table!$A$6:$D$7, 2, FALSE)</f>
        <v>Primary</v>
      </c>
      <c r="G2306" t="str">
        <f>IFERROR(VLOOKUP(E2306, LookUP_Table!$A$1:$B$4, 2, FALSE), "")</f>
        <v>Primary</v>
      </c>
      <c r="H2306">
        <v>0</v>
      </c>
      <c r="I2306">
        <v>0</v>
      </c>
      <c r="J2306" t="str">
        <f t="shared" ref="J2306:J2369" si="216">IF(I2306&gt;0,"Smoker","Non-Smoker")</f>
        <v>Non-Smoker</v>
      </c>
      <c r="K2306">
        <v>0</v>
      </c>
      <c r="L2306">
        <v>0</v>
      </c>
      <c r="M2306">
        <v>1</v>
      </c>
      <c r="N2306">
        <v>0</v>
      </c>
      <c r="O2306">
        <v>167</v>
      </c>
      <c r="P2306" t="str">
        <f t="shared" ref="P2306:P2369" si="217">IF(O2306&gt;240,"High","Normal")</f>
        <v>Normal</v>
      </c>
      <c r="Q2306">
        <v>159</v>
      </c>
      <c r="R2306">
        <v>95</v>
      </c>
      <c r="S2306">
        <v>25.2</v>
      </c>
      <c r="T2306" t="str">
        <f t="shared" ref="T2306:T2369" si="218">IF(S2306&lt;18.5,"Underweight",
IF(S2306&lt;25,"Normal",
IF(S2306&lt;30,"Overweight","Obese")))</f>
        <v>Overweight</v>
      </c>
      <c r="U2306">
        <v>75</v>
      </c>
      <c r="V2306">
        <v>87</v>
      </c>
      <c r="W2306" t="str">
        <f t="shared" si="215"/>
        <v>Normal</v>
      </c>
      <c r="X2306">
        <v>0</v>
      </c>
    </row>
    <row r="2307" spans="1:24" ht="14.5" thickBot="1" x14ac:dyDescent="0.35">
      <c r="A2307">
        <v>0</v>
      </c>
      <c r="B2307" t="str">
        <f t="shared" ref="B2307:B2370" si="219">IF(A2307=0,"Female","Male")</f>
        <v>Female</v>
      </c>
      <c r="C2307" s="8">
        <v>50</v>
      </c>
      <c r="D2307" t="str">
        <f t="shared" ref="D2307:D2370" si="220">IF(C2307&lt;40,"Young",
IF(C2307&lt;55,"Middle Age","Senior"))</f>
        <v>Middle Age</v>
      </c>
      <c r="E2307">
        <v>1</v>
      </c>
      <c r="F2307" t="str">
        <f>HLOOKUP(E2307, LookUP_Table!$A$6:$D$7, 2, FALSE)</f>
        <v>Primary</v>
      </c>
      <c r="G2307" t="str">
        <f>IFERROR(VLOOKUP(E2307, LookUP_Table!$A$1:$B$4, 2, FALSE), "")</f>
        <v>Primary</v>
      </c>
      <c r="H2307">
        <v>1</v>
      </c>
      <c r="I2307">
        <v>20</v>
      </c>
      <c r="J2307" t="str">
        <f t="shared" si="216"/>
        <v>Smoker</v>
      </c>
      <c r="K2307">
        <v>0</v>
      </c>
      <c r="L2307">
        <v>0</v>
      </c>
      <c r="M2307">
        <v>1</v>
      </c>
      <c r="N2307">
        <v>0</v>
      </c>
      <c r="O2307">
        <v>248</v>
      </c>
      <c r="P2307" t="str">
        <f t="shared" si="217"/>
        <v>High</v>
      </c>
      <c r="Q2307">
        <v>154.5</v>
      </c>
      <c r="R2307">
        <v>104</v>
      </c>
      <c r="S2307">
        <v>19.88</v>
      </c>
      <c r="T2307" t="str">
        <f t="shared" si="218"/>
        <v>Normal</v>
      </c>
      <c r="U2307">
        <v>75</v>
      </c>
      <c r="V2307">
        <v>87</v>
      </c>
      <c r="W2307" t="str">
        <f t="shared" ref="W2307:W2370" si="221">IF(V2307 &lt; 100, "Normal", IF(V2307 &lt;= 125, "Prediabetes", "Diabetes"))</f>
        <v>Normal</v>
      </c>
      <c r="X2307">
        <v>0</v>
      </c>
    </row>
    <row r="2308" spans="1:24" ht="14.5" thickBot="1" x14ac:dyDescent="0.35">
      <c r="A2308">
        <v>0</v>
      </c>
      <c r="B2308" t="str">
        <f t="shared" si="219"/>
        <v>Female</v>
      </c>
      <c r="C2308" s="8">
        <v>50</v>
      </c>
      <c r="D2308" t="str">
        <f t="shared" si="220"/>
        <v>Middle Age</v>
      </c>
      <c r="E2308">
        <v>1</v>
      </c>
      <c r="F2308" t="str">
        <f>HLOOKUP(E2308, LookUP_Table!$A$6:$D$7, 2, FALSE)</f>
        <v>Primary</v>
      </c>
      <c r="G2308" t="str">
        <f>IFERROR(VLOOKUP(E2308, LookUP_Table!$A$1:$B$4, 2, FALSE), "")</f>
        <v>Primary</v>
      </c>
      <c r="H2308">
        <v>0</v>
      </c>
      <c r="I2308">
        <v>0</v>
      </c>
      <c r="J2308" t="str">
        <f t="shared" si="216"/>
        <v>Non-Smoker</v>
      </c>
      <c r="K2308">
        <v>0</v>
      </c>
      <c r="L2308">
        <v>0</v>
      </c>
      <c r="M2308">
        <v>1</v>
      </c>
      <c r="N2308">
        <v>0</v>
      </c>
      <c r="O2308">
        <v>312</v>
      </c>
      <c r="P2308" t="str">
        <f t="shared" si="217"/>
        <v>High</v>
      </c>
      <c r="Q2308">
        <v>165</v>
      </c>
      <c r="R2308">
        <v>90</v>
      </c>
      <c r="S2308">
        <v>30.47</v>
      </c>
      <c r="T2308" t="str">
        <f t="shared" si="218"/>
        <v>Obese</v>
      </c>
      <c r="U2308">
        <v>72</v>
      </c>
      <c r="V2308">
        <v>83</v>
      </c>
      <c r="W2308" t="str">
        <f t="shared" si="221"/>
        <v>Normal</v>
      </c>
      <c r="X2308">
        <v>0</v>
      </c>
    </row>
    <row r="2309" spans="1:24" ht="14.5" thickBot="1" x14ac:dyDescent="0.35">
      <c r="A2309">
        <v>1</v>
      </c>
      <c r="B2309" t="str">
        <f t="shared" si="219"/>
        <v>Male</v>
      </c>
      <c r="C2309" s="8">
        <v>50</v>
      </c>
      <c r="D2309" t="str">
        <f t="shared" si="220"/>
        <v>Middle Age</v>
      </c>
      <c r="E2309">
        <v>1</v>
      </c>
      <c r="F2309" t="str">
        <f>HLOOKUP(E2309, LookUP_Table!$A$6:$D$7, 2, FALSE)</f>
        <v>Primary</v>
      </c>
      <c r="G2309" t="str">
        <f>IFERROR(VLOOKUP(E2309, LookUP_Table!$A$1:$B$4, 2, FALSE), "")</f>
        <v>Primary</v>
      </c>
      <c r="H2309">
        <v>1</v>
      </c>
      <c r="I2309">
        <v>35</v>
      </c>
      <c r="J2309" t="str">
        <f t="shared" si="216"/>
        <v>Smoker</v>
      </c>
      <c r="K2309">
        <v>0</v>
      </c>
      <c r="L2309">
        <v>0</v>
      </c>
      <c r="M2309">
        <v>0</v>
      </c>
      <c r="N2309">
        <v>0</v>
      </c>
      <c r="O2309">
        <v>293</v>
      </c>
      <c r="P2309" t="str">
        <f t="shared" si="217"/>
        <v>High</v>
      </c>
      <c r="Q2309">
        <v>150</v>
      </c>
      <c r="R2309">
        <v>85</v>
      </c>
      <c r="S2309">
        <v>26.09</v>
      </c>
      <c r="T2309" t="str">
        <f t="shared" si="218"/>
        <v>Overweight</v>
      </c>
      <c r="U2309">
        <v>67</v>
      </c>
      <c r="V2309">
        <v>68</v>
      </c>
      <c r="W2309" t="str">
        <f t="shared" si="221"/>
        <v>Normal</v>
      </c>
      <c r="X2309">
        <v>1</v>
      </c>
    </row>
    <row r="2310" spans="1:24" ht="14.5" thickBot="1" x14ac:dyDescent="0.35">
      <c r="A2310">
        <v>0</v>
      </c>
      <c r="B2310" t="str">
        <f t="shared" si="219"/>
        <v>Female</v>
      </c>
      <c r="C2310" s="8">
        <v>50</v>
      </c>
      <c r="D2310" t="str">
        <f t="shared" si="220"/>
        <v>Middle Age</v>
      </c>
      <c r="E2310">
        <v>4</v>
      </c>
      <c r="F2310" t="str">
        <f>HLOOKUP(E2310, LookUP_Table!$A$6:$D$7, 2, FALSE)</f>
        <v>Post Graduate</v>
      </c>
      <c r="G2310" t="str">
        <f>IFERROR(VLOOKUP(E2310, LookUP_Table!$A$1:$B$4, 2, FALSE), "")</f>
        <v>Post Graduate</v>
      </c>
      <c r="H2310">
        <v>1</v>
      </c>
      <c r="I2310">
        <v>30</v>
      </c>
      <c r="J2310" t="str">
        <f t="shared" si="216"/>
        <v>Smoker</v>
      </c>
      <c r="K2310">
        <v>0</v>
      </c>
      <c r="L2310">
        <v>0</v>
      </c>
      <c r="M2310">
        <v>0</v>
      </c>
      <c r="N2310">
        <v>0</v>
      </c>
      <c r="O2310">
        <v>243</v>
      </c>
      <c r="P2310" t="str">
        <f t="shared" si="217"/>
        <v>High</v>
      </c>
      <c r="Q2310">
        <v>128</v>
      </c>
      <c r="R2310">
        <v>76</v>
      </c>
      <c r="S2310">
        <v>25.65</v>
      </c>
      <c r="T2310" t="str">
        <f t="shared" si="218"/>
        <v>Overweight</v>
      </c>
      <c r="U2310">
        <v>69</v>
      </c>
      <c r="V2310">
        <v>80</v>
      </c>
      <c r="W2310" t="str">
        <f t="shared" si="221"/>
        <v>Normal</v>
      </c>
      <c r="X2310">
        <v>0</v>
      </c>
    </row>
    <row r="2311" spans="1:24" ht="14.5" thickBot="1" x14ac:dyDescent="0.35">
      <c r="A2311">
        <v>1</v>
      </c>
      <c r="B2311" t="str">
        <f t="shared" si="219"/>
        <v>Male</v>
      </c>
      <c r="C2311" s="8">
        <v>50</v>
      </c>
      <c r="D2311" t="str">
        <f t="shared" si="220"/>
        <v>Middle Age</v>
      </c>
      <c r="E2311">
        <v>1</v>
      </c>
      <c r="F2311" t="str">
        <f>HLOOKUP(E2311, LookUP_Table!$A$6:$D$7, 2, FALSE)</f>
        <v>Primary</v>
      </c>
      <c r="G2311" t="str">
        <f>IFERROR(VLOOKUP(E2311, LookUP_Table!$A$1:$B$4, 2, FALSE), "")</f>
        <v>Primary</v>
      </c>
      <c r="H2311">
        <v>1</v>
      </c>
      <c r="I2311">
        <v>9</v>
      </c>
      <c r="J2311" t="str">
        <f t="shared" si="216"/>
        <v>Smoker</v>
      </c>
      <c r="K2311">
        <v>0</v>
      </c>
      <c r="L2311">
        <v>0</v>
      </c>
      <c r="M2311">
        <v>0</v>
      </c>
      <c r="N2311">
        <v>0</v>
      </c>
      <c r="O2311">
        <v>206</v>
      </c>
      <c r="P2311" t="str">
        <f t="shared" si="217"/>
        <v>Normal</v>
      </c>
      <c r="Q2311">
        <v>140</v>
      </c>
      <c r="R2311">
        <v>92</v>
      </c>
      <c r="S2311">
        <v>28.21</v>
      </c>
      <c r="T2311" t="str">
        <f t="shared" si="218"/>
        <v>Overweight</v>
      </c>
      <c r="U2311">
        <v>85</v>
      </c>
      <c r="V2311">
        <v>81.96365524402907</v>
      </c>
      <c r="W2311" t="str">
        <f t="shared" si="221"/>
        <v>Normal</v>
      </c>
      <c r="X2311">
        <v>1</v>
      </c>
    </row>
    <row r="2312" spans="1:24" ht="14.5" thickBot="1" x14ac:dyDescent="0.35">
      <c r="A2312">
        <v>0</v>
      </c>
      <c r="B2312" t="str">
        <f t="shared" si="219"/>
        <v>Female</v>
      </c>
      <c r="C2312" s="8">
        <v>50</v>
      </c>
      <c r="D2312" t="str">
        <f t="shared" si="220"/>
        <v>Middle Age</v>
      </c>
      <c r="E2312">
        <v>2</v>
      </c>
      <c r="F2312" t="str">
        <f>HLOOKUP(E2312, LookUP_Table!$A$6:$D$7, 2, FALSE)</f>
        <v>Secondary</v>
      </c>
      <c r="G2312" t="str">
        <f>IFERROR(VLOOKUP(E2312, LookUP_Table!$A$1:$B$4, 2, FALSE), "")</f>
        <v>Secondary</v>
      </c>
      <c r="H2312">
        <v>1</v>
      </c>
      <c r="I2312">
        <v>30</v>
      </c>
      <c r="J2312" t="str">
        <f t="shared" si="216"/>
        <v>Smoker</v>
      </c>
      <c r="K2312">
        <v>0</v>
      </c>
      <c r="L2312">
        <v>0</v>
      </c>
      <c r="M2312">
        <v>1</v>
      </c>
      <c r="N2312">
        <v>0</v>
      </c>
      <c r="O2312">
        <v>308</v>
      </c>
      <c r="P2312" t="str">
        <f t="shared" si="217"/>
        <v>High</v>
      </c>
      <c r="Q2312">
        <v>145.5</v>
      </c>
      <c r="R2312">
        <v>96</v>
      </c>
      <c r="S2312">
        <v>25.61</v>
      </c>
      <c r="T2312" t="str">
        <f t="shared" si="218"/>
        <v>Overweight</v>
      </c>
      <c r="U2312">
        <v>72</v>
      </c>
      <c r="V2312">
        <v>81.96365524402907</v>
      </c>
      <c r="W2312" t="str">
        <f t="shared" si="221"/>
        <v>Normal</v>
      </c>
      <c r="X2312">
        <v>0</v>
      </c>
    </row>
    <row r="2313" spans="1:24" ht="14.5" thickBot="1" x14ac:dyDescent="0.35">
      <c r="A2313">
        <v>0</v>
      </c>
      <c r="B2313" t="str">
        <f t="shared" si="219"/>
        <v>Female</v>
      </c>
      <c r="C2313" s="8">
        <v>50</v>
      </c>
      <c r="D2313" t="str">
        <f t="shared" si="220"/>
        <v>Middle Age</v>
      </c>
      <c r="E2313">
        <v>1</v>
      </c>
      <c r="F2313" t="str">
        <f>HLOOKUP(E2313, LookUP_Table!$A$6:$D$7, 2, FALSE)</f>
        <v>Primary</v>
      </c>
      <c r="G2313" t="str">
        <f>IFERROR(VLOOKUP(E2313, LookUP_Table!$A$1:$B$4, 2, FALSE), "")</f>
        <v>Primary</v>
      </c>
      <c r="H2313">
        <v>0</v>
      </c>
      <c r="I2313">
        <v>0</v>
      </c>
      <c r="J2313" t="str">
        <f t="shared" si="216"/>
        <v>Non-Smoker</v>
      </c>
      <c r="K2313">
        <v>0</v>
      </c>
      <c r="L2313">
        <v>0</v>
      </c>
      <c r="M2313">
        <v>0</v>
      </c>
      <c r="N2313">
        <v>0</v>
      </c>
      <c r="O2313">
        <v>280</v>
      </c>
      <c r="P2313" t="str">
        <f t="shared" si="217"/>
        <v>High</v>
      </c>
      <c r="Q2313">
        <v>126</v>
      </c>
      <c r="R2313">
        <v>76</v>
      </c>
      <c r="S2313">
        <v>21.82</v>
      </c>
      <c r="T2313" t="str">
        <f t="shared" si="218"/>
        <v>Normal</v>
      </c>
      <c r="U2313">
        <v>65</v>
      </c>
      <c r="V2313">
        <v>74</v>
      </c>
      <c r="W2313" t="str">
        <f t="shared" si="221"/>
        <v>Normal</v>
      </c>
      <c r="X2313">
        <v>0</v>
      </c>
    </row>
    <row r="2314" spans="1:24" ht="14.5" thickBot="1" x14ac:dyDescent="0.35">
      <c r="A2314">
        <v>1</v>
      </c>
      <c r="B2314" t="str">
        <f t="shared" si="219"/>
        <v>Male</v>
      </c>
      <c r="C2314" s="8">
        <v>50</v>
      </c>
      <c r="D2314" t="str">
        <f t="shared" si="220"/>
        <v>Middle Age</v>
      </c>
      <c r="E2314">
        <v>3</v>
      </c>
      <c r="F2314" t="str">
        <f>HLOOKUP(E2314, LookUP_Table!$A$6:$D$7, 2, FALSE)</f>
        <v>Graduate</v>
      </c>
      <c r="G2314" t="str">
        <f>IFERROR(VLOOKUP(E2314, LookUP_Table!$A$1:$B$4, 2, FALSE), "")</f>
        <v>Graduate</v>
      </c>
      <c r="H2314">
        <v>1</v>
      </c>
      <c r="I2314">
        <v>30</v>
      </c>
      <c r="J2314" t="str">
        <f t="shared" si="216"/>
        <v>Smoker</v>
      </c>
      <c r="K2314">
        <v>0</v>
      </c>
      <c r="L2314">
        <v>0</v>
      </c>
      <c r="M2314">
        <v>1</v>
      </c>
      <c r="N2314">
        <v>0</v>
      </c>
      <c r="O2314">
        <v>320</v>
      </c>
      <c r="P2314" t="str">
        <f t="shared" si="217"/>
        <v>High</v>
      </c>
      <c r="Q2314">
        <v>190</v>
      </c>
      <c r="R2314">
        <v>110</v>
      </c>
      <c r="S2314">
        <v>25.45</v>
      </c>
      <c r="T2314" t="str">
        <f t="shared" si="218"/>
        <v>Overweight</v>
      </c>
      <c r="U2314">
        <v>90</v>
      </c>
      <c r="V2314">
        <v>71</v>
      </c>
      <c r="W2314" t="str">
        <f t="shared" si="221"/>
        <v>Normal</v>
      </c>
      <c r="X2314">
        <v>0</v>
      </c>
    </row>
    <row r="2315" spans="1:24" ht="14.5" thickBot="1" x14ac:dyDescent="0.35">
      <c r="A2315">
        <v>1</v>
      </c>
      <c r="B2315" t="str">
        <f t="shared" si="219"/>
        <v>Male</v>
      </c>
      <c r="C2315" s="8">
        <v>50</v>
      </c>
      <c r="D2315" t="str">
        <f t="shared" si="220"/>
        <v>Middle Age</v>
      </c>
      <c r="E2315">
        <v>2</v>
      </c>
      <c r="F2315" t="str">
        <f>HLOOKUP(E2315, LookUP_Table!$A$6:$D$7, 2, FALSE)</f>
        <v>Secondary</v>
      </c>
      <c r="G2315" t="str">
        <f>IFERROR(VLOOKUP(E2315, LookUP_Table!$A$1:$B$4, 2, FALSE), "")</f>
        <v>Secondary</v>
      </c>
      <c r="H2315">
        <v>1</v>
      </c>
      <c r="I2315">
        <v>20</v>
      </c>
      <c r="J2315" t="str">
        <f t="shared" si="216"/>
        <v>Smoker</v>
      </c>
      <c r="K2315">
        <v>0</v>
      </c>
      <c r="L2315">
        <v>0</v>
      </c>
      <c r="M2315">
        <v>0</v>
      </c>
      <c r="N2315">
        <v>0</v>
      </c>
      <c r="O2315">
        <v>163</v>
      </c>
      <c r="P2315" t="str">
        <f t="shared" si="217"/>
        <v>Normal</v>
      </c>
      <c r="Q2315">
        <v>96.5</v>
      </c>
      <c r="R2315">
        <v>72.5</v>
      </c>
      <c r="S2315">
        <v>20.72</v>
      </c>
      <c r="T2315" t="str">
        <f t="shared" si="218"/>
        <v>Normal</v>
      </c>
      <c r="U2315">
        <v>75</v>
      </c>
      <c r="V2315">
        <v>77</v>
      </c>
      <c r="W2315" t="str">
        <f t="shared" si="221"/>
        <v>Normal</v>
      </c>
      <c r="X2315">
        <v>0</v>
      </c>
    </row>
    <row r="2316" spans="1:24" ht="14.5" thickBot="1" x14ac:dyDescent="0.35">
      <c r="A2316">
        <v>0</v>
      </c>
      <c r="B2316" t="str">
        <f t="shared" si="219"/>
        <v>Female</v>
      </c>
      <c r="C2316" s="8">
        <v>50</v>
      </c>
      <c r="D2316" t="str">
        <f t="shared" si="220"/>
        <v>Middle Age</v>
      </c>
      <c r="E2316">
        <v>3</v>
      </c>
      <c r="F2316" t="str">
        <f>HLOOKUP(E2316, LookUP_Table!$A$6:$D$7, 2, FALSE)</f>
        <v>Graduate</v>
      </c>
      <c r="G2316" t="str">
        <f>IFERROR(VLOOKUP(E2316, LookUP_Table!$A$1:$B$4, 2, FALSE), "")</f>
        <v>Graduate</v>
      </c>
      <c r="H2316">
        <v>0</v>
      </c>
      <c r="I2316">
        <v>0</v>
      </c>
      <c r="J2316" t="str">
        <f t="shared" si="216"/>
        <v>Non-Smoker</v>
      </c>
      <c r="K2316">
        <v>0</v>
      </c>
      <c r="L2316">
        <v>0</v>
      </c>
      <c r="M2316">
        <v>0</v>
      </c>
      <c r="N2316">
        <v>0</v>
      </c>
      <c r="O2316">
        <v>250</v>
      </c>
      <c r="P2316" t="str">
        <f t="shared" si="217"/>
        <v>High</v>
      </c>
      <c r="Q2316">
        <v>109</v>
      </c>
      <c r="R2316">
        <v>70</v>
      </c>
      <c r="S2316">
        <v>20.74</v>
      </c>
      <c r="T2316" t="str">
        <f t="shared" si="218"/>
        <v>Normal</v>
      </c>
      <c r="U2316">
        <v>75</v>
      </c>
      <c r="V2316">
        <v>77</v>
      </c>
      <c r="W2316" t="str">
        <f t="shared" si="221"/>
        <v>Normal</v>
      </c>
      <c r="X2316">
        <v>0</v>
      </c>
    </row>
    <row r="2317" spans="1:24" ht="14.5" thickBot="1" x14ac:dyDescent="0.35">
      <c r="A2317">
        <v>0</v>
      </c>
      <c r="B2317" t="str">
        <f t="shared" si="219"/>
        <v>Female</v>
      </c>
      <c r="C2317" s="8">
        <v>50</v>
      </c>
      <c r="D2317" t="str">
        <f t="shared" si="220"/>
        <v>Middle Age</v>
      </c>
      <c r="E2317">
        <v>1</v>
      </c>
      <c r="F2317" t="str">
        <f>HLOOKUP(E2317, LookUP_Table!$A$6:$D$7, 2, FALSE)</f>
        <v>Primary</v>
      </c>
      <c r="G2317" t="str">
        <f>IFERROR(VLOOKUP(E2317, LookUP_Table!$A$1:$B$4, 2, FALSE), "")</f>
        <v>Primary</v>
      </c>
      <c r="H2317">
        <v>0</v>
      </c>
      <c r="I2317">
        <v>0</v>
      </c>
      <c r="J2317" t="str">
        <f t="shared" si="216"/>
        <v>Non-Smoker</v>
      </c>
      <c r="K2317">
        <v>0</v>
      </c>
      <c r="L2317">
        <v>0</v>
      </c>
      <c r="M2317">
        <v>0</v>
      </c>
      <c r="N2317">
        <v>1</v>
      </c>
      <c r="O2317">
        <v>258</v>
      </c>
      <c r="P2317" t="str">
        <f t="shared" si="217"/>
        <v>High</v>
      </c>
      <c r="Q2317">
        <v>127</v>
      </c>
      <c r="R2317">
        <v>80</v>
      </c>
      <c r="S2317">
        <v>24.1</v>
      </c>
      <c r="T2317" t="str">
        <f t="shared" si="218"/>
        <v>Normal</v>
      </c>
      <c r="U2317">
        <v>75</v>
      </c>
      <c r="V2317">
        <v>124</v>
      </c>
      <c r="W2317" t="str">
        <f t="shared" si="221"/>
        <v>Prediabetes</v>
      </c>
      <c r="X2317">
        <v>0</v>
      </c>
    </row>
    <row r="2318" spans="1:24" ht="14.5" thickBot="1" x14ac:dyDescent="0.35">
      <c r="A2318">
        <v>1</v>
      </c>
      <c r="B2318" t="str">
        <f t="shared" si="219"/>
        <v>Male</v>
      </c>
      <c r="C2318" s="8">
        <v>50</v>
      </c>
      <c r="D2318" t="str">
        <f t="shared" si="220"/>
        <v>Middle Age</v>
      </c>
      <c r="E2318">
        <v>1</v>
      </c>
      <c r="F2318" t="str">
        <f>HLOOKUP(E2318, LookUP_Table!$A$6:$D$7, 2, FALSE)</f>
        <v>Primary</v>
      </c>
      <c r="G2318" t="str">
        <f>IFERROR(VLOOKUP(E2318, LookUP_Table!$A$1:$B$4, 2, FALSE), "")</f>
        <v>Primary</v>
      </c>
      <c r="H2318">
        <v>1</v>
      </c>
      <c r="I2318">
        <v>30</v>
      </c>
      <c r="J2318" t="str">
        <f t="shared" si="216"/>
        <v>Smoker</v>
      </c>
      <c r="K2318">
        <v>0</v>
      </c>
      <c r="L2318">
        <v>0</v>
      </c>
      <c r="M2318">
        <v>0</v>
      </c>
      <c r="N2318">
        <v>0</v>
      </c>
      <c r="O2318">
        <v>225</v>
      </c>
      <c r="P2318" t="str">
        <f t="shared" si="217"/>
        <v>Normal</v>
      </c>
      <c r="Q2318">
        <v>133.5</v>
      </c>
      <c r="R2318">
        <v>86</v>
      </c>
      <c r="S2318">
        <v>29.38</v>
      </c>
      <c r="T2318" t="str">
        <f t="shared" si="218"/>
        <v>Overweight</v>
      </c>
      <c r="U2318">
        <v>79</v>
      </c>
      <c r="V2318">
        <v>106</v>
      </c>
      <c r="W2318" t="str">
        <f t="shared" si="221"/>
        <v>Prediabetes</v>
      </c>
      <c r="X2318">
        <v>1</v>
      </c>
    </row>
    <row r="2319" spans="1:24" ht="14.5" thickBot="1" x14ac:dyDescent="0.35">
      <c r="A2319">
        <v>1</v>
      </c>
      <c r="B2319" t="str">
        <f t="shared" si="219"/>
        <v>Male</v>
      </c>
      <c r="C2319" s="8">
        <v>50</v>
      </c>
      <c r="D2319" t="str">
        <f t="shared" si="220"/>
        <v>Middle Age</v>
      </c>
      <c r="E2319">
        <v>1</v>
      </c>
      <c r="F2319" t="str">
        <f>HLOOKUP(E2319, LookUP_Table!$A$6:$D$7, 2, FALSE)</f>
        <v>Primary</v>
      </c>
      <c r="G2319" t="str">
        <f>IFERROR(VLOOKUP(E2319, LookUP_Table!$A$1:$B$4, 2, FALSE), "")</f>
        <v>Primary</v>
      </c>
      <c r="H2319">
        <v>1</v>
      </c>
      <c r="I2319">
        <v>20</v>
      </c>
      <c r="J2319" t="str">
        <f t="shared" si="216"/>
        <v>Smoker</v>
      </c>
      <c r="K2319">
        <v>0</v>
      </c>
      <c r="L2319">
        <v>0</v>
      </c>
      <c r="M2319">
        <v>1</v>
      </c>
      <c r="N2319">
        <v>0</v>
      </c>
      <c r="O2319">
        <v>233</v>
      </c>
      <c r="P2319" t="str">
        <f t="shared" si="217"/>
        <v>Normal</v>
      </c>
      <c r="Q2319">
        <v>158</v>
      </c>
      <c r="R2319">
        <v>88</v>
      </c>
      <c r="S2319">
        <v>28.26</v>
      </c>
      <c r="T2319" t="str">
        <f t="shared" si="218"/>
        <v>Overweight</v>
      </c>
      <c r="U2319">
        <v>68</v>
      </c>
      <c r="V2319">
        <v>94</v>
      </c>
      <c r="W2319" t="str">
        <f t="shared" si="221"/>
        <v>Normal</v>
      </c>
      <c r="X2319">
        <v>1</v>
      </c>
    </row>
    <row r="2320" spans="1:24" ht="14.5" thickBot="1" x14ac:dyDescent="0.35">
      <c r="A2320">
        <v>1</v>
      </c>
      <c r="B2320" t="str">
        <f t="shared" si="219"/>
        <v>Male</v>
      </c>
      <c r="C2320" s="8">
        <v>50</v>
      </c>
      <c r="D2320" t="str">
        <f t="shared" si="220"/>
        <v>Middle Age</v>
      </c>
      <c r="E2320">
        <v>1</v>
      </c>
      <c r="F2320" t="str">
        <f>HLOOKUP(E2320, LookUP_Table!$A$6:$D$7, 2, FALSE)</f>
        <v>Primary</v>
      </c>
      <c r="G2320" t="str">
        <f>IFERROR(VLOOKUP(E2320, LookUP_Table!$A$1:$B$4, 2, FALSE), "")</f>
        <v>Primary</v>
      </c>
      <c r="H2320">
        <v>1</v>
      </c>
      <c r="I2320">
        <v>15</v>
      </c>
      <c r="J2320" t="str">
        <f t="shared" si="216"/>
        <v>Smoker</v>
      </c>
      <c r="K2320">
        <v>1</v>
      </c>
      <c r="L2320">
        <v>0</v>
      </c>
      <c r="M2320">
        <v>1</v>
      </c>
      <c r="N2320">
        <v>0</v>
      </c>
      <c r="O2320">
        <v>258</v>
      </c>
      <c r="P2320" t="str">
        <f t="shared" si="217"/>
        <v>High</v>
      </c>
      <c r="Q2320">
        <v>198</v>
      </c>
      <c r="R2320">
        <v>106</v>
      </c>
      <c r="S2320">
        <v>26.73</v>
      </c>
      <c r="T2320" t="str">
        <f t="shared" si="218"/>
        <v>Overweight</v>
      </c>
      <c r="U2320">
        <v>102</v>
      </c>
      <c r="V2320">
        <v>73</v>
      </c>
      <c r="W2320" t="str">
        <f t="shared" si="221"/>
        <v>Normal</v>
      </c>
      <c r="X2320">
        <v>0</v>
      </c>
    </row>
    <row r="2321" spans="1:24" ht="14.5" thickBot="1" x14ac:dyDescent="0.35">
      <c r="A2321">
        <v>0</v>
      </c>
      <c r="B2321" t="str">
        <f t="shared" si="219"/>
        <v>Female</v>
      </c>
      <c r="C2321" s="8">
        <v>50</v>
      </c>
      <c r="D2321" t="str">
        <f t="shared" si="220"/>
        <v>Middle Age</v>
      </c>
      <c r="E2321">
        <v>1</v>
      </c>
      <c r="F2321" t="str">
        <f>HLOOKUP(E2321, LookUP_Table!$A$6:$D$7, 2, FALSE)</f>
        <v>Primary</v>
      </c>
      <c r="G2321" t="str">
        <f>IFERROR(VLOOKUP(E2321, LookUP_Table!$A$1:$B$4, 2, FALSE), "")</f>
        <v>Primary</v>
      </c>
      <c r="H2321">
        <v>0</v>
      </c>
      <c r="I2321">
        <v>0</v>
      </c>
      <c r="J2321" t="str">
        <f t="shared" si="216"/>
        <v>Non-Smoker</v>
      </c>
      <c r="K2321">
        <v>0</v>
      </c>
      <c r="L2321">
        <v>0</v>
      </c>
      <c r="M2321">
        <v>0</v>
      </c>
      <c r="N2321">
        <v>0</v>
      </c>
      <c r="O2321">
        <v>229</v>
      </c>
      <c r="P2321" t="str">
        <f t="shared" si="217"/>
        <v>Normal</v>
      </c>
      <c r="Q2321">
        <v>121</v>
      </c>
      <c r="R2321">
        <v>85.5</v>
      </c>
      <c r="S2321">
        <v>23.09</v>
      </c>
      <c r="T2321" t="str">
        <f t="shared" si="218"/>
        <v>Normal</v>
      </c>
      <c r="U2321">
        <v>63</v>
      </c>
      <c r="V2321">
        <v>75</v>
      </c>
      <c r="W2321" t="str">
        <f t="shared" si="221"/>
        <v>Normal</v>
      </c>
      <c r="X2321">
        <v>0</v>
      </c>
    </row>
    <row r="2322" spans="1:24" ht="14.5" thickBot="1" x14ac:dyDescent="0.35">
      <c r="A2322">
        <v>0</v>
      </c>
      <c r="B2322" t="str">
        <f t="shared" si="219"/>
        <v>Female</v>
      </c>
      <c r="C2322" s="8">
        <v>50</v>
      </c>
      <c r="D2322" t="str">
        <f t="shared" si="220"/>
        <v>Middle Age</v>
      </c>
      <c r="E2322">
        <v>3</v>
      </c>
      <c r="F2322" t="str">
        <f>HLOOKUP(E2322, LookUP_Table!$A$6:$D$7, 2, FALSE)</f>
        <v>Graduate</v>
      </c>
      <c r="G2322" t="str">
        <f>IFERROR(VLOOKUP(E2322, LookUP_Table!$A$1:$B$4, 2, FALSE), "")</f>
        <v>Graduate</v>
      </c>
      <c r="H2322">
        <v>1</v>
      </c>
      <c r="I2322">
        <v>9</v>
      </c>
      <c r="J2322" t="str">
        <f t="shared" si="216"/>
        <v>Smoker</v>
      </c>
      <c r="K2322">
        <v>0</v>
      </c>
      <c r="L2322">
        <v>0</v>
      </c>
      <c r="M2322">
        <v>0</v>
      </c>
      <c r="N2322">
        <v>1</v>
      </c>
      <c r="O2322">
        <v>210</v>
      </c>
      <c r="P2322" t="str">
        <f t="shared" si="217"/>
        <v>Normal</v>
      </c>
      <c r="Q2322">
        <v>134</v>
      </c>
      <c r="R2322">
        <v>80</v>
      </c>
      <c r="S2322">
        <v>18.260000000000002</v>
      </c>
      <c r="T2322" t="str">
        <f t="shared" si="218"/>
        <v>Underweight</v>
      </c>
      <c r="U2322">
        <v>64</v>
      </c>
      <c r="V2322">
        <v>81.96365524402907</v>
      </c>
      <c r="W2322" t="str">
        <f t="shared" si="221"/>
        <v>Normal</v>
      </c>
      <c r="X2322">
        <v>0</v>
      </c>
    </row>
    <row r="2323" spans="1:24" ht="14.5" thickBot="1" x14ac:dyDescent="0.35">
      <c r="A2323">
        <v>0</v>
      </c>
      <c r="B2323" t="str">
        <f t="shared" si="219"/>
        <v>Female</v>
      </c>
      <c r="C2323" s="8">
        <v>50</v>
      </c>
      <c r="D2323" t="str">
        <f t="shared" si="220"/>
        <v>Middle Age</v>
      </c>
      <c r="E2323">
        <v>2</v>
      </c>
      <c r="F2323" t="str">
        <f>HLOOKUP(E2323, LookUP_Table!$A$6:$D$7, 2, FALSE)</f>
        <v>Secondary</v>
      </c>
      <c r="G2323" t="str">
        <f>IFERROR(VLOOKUP(E2323, LookUP_Table!$A$1:$B$4, 2, FALSE), "")</f>
        <v>Secondary</v>
      </c>
      <c r="H2323">
        <v>1</v>
      </c>
      <c r="I2323">
        <v>20</v>
      </c>
      <c r="J2323" t="str">
        <f t="shared" si="216"/>
        <v>Smoker</v>
      </c>
      <c r="K2323">
        <v>0</v>
      </c>
      <c r="L2323">
        <v>0</v>
      </c>
      <c r="M2323">
        <v>0</v>
      </c>
      <c r="N2323">
        <v>0</v>
      </c>
      <c r="O2323">
        <v>275</v>
      </c>
      <c r="P2323" t="str">
        <f t="shared" si="217"/>
        <v>High</v>
      </c>
      <c r="Q2323">
        <v>123</v>
      </c>
      <c r="R2323">
        <v>83</v>
      </c>
      <c r="S2323">
        <v>24.29</v>
      </c>
      <c r="T2323" t="str">
        <f t="shared" si="218"/>
        <v>Normal</v>
      </c>
      <c r="U2323">
        <v>90</v>
      </c>
      <c r="V2323">
        <v>64</v>
      </c>
      <c r="W2323" t="str">
        <f t="shared" si="221"/>
        <v>Normal</v>
      </c>
      <c r="X2323">
        <v>0</v>
      </c>
    </row>
    <row r="2324" spans="1:24" ht="14.5" thickBot="1" x14ac:dyDescent="0.35">
      <c r="A2324">
        <v>1</v>
      </c>
      <c r="B2324" t="str">
        <f t="shared" si="219"/>
        <v>Male</v>
      </c>
      <c r="C2324" s="8">
        <v>50</v>
      </c>
      <c r="D2324" t="str">
        <f t="shared" si="220"/>
        <v>Middle Age</v>
      </c>
      <c r="E2324">
        <v>2</v>
      </c>
      <c r="F2324" t="str">
        <f>HLOOKUP(E2324, LookUP_Table!$A$6:$D$7, 2, FALSE)</f>
        <v>Secondary</v>
      </c>
      <c r="G2324" t="str">
        <f>IFERROR(VLOOKUP(E2324, LookUP_Table!$A$1:$B$4, 2, FALSE), "")</f>
        <v>Secondary</v>
      </c>
      <c r="H2324">
        <v>0</v>
      </c>
      <c r="I2324">
        <v>0</v>
      </c>
      <c r="J2324" t="str">
        <f t="shared" si="216"/>
        <v>Non-Smoker</v>
      </c>
      <c r="K2324">
        <v>0</v>
      </c>
      <c r="L2324">
        <v>0</v>
      </c>
      <c r="M2324">
        <v>1</v>
      </c>
      <c r="N2324">
        <v>0</v>
      </c>
      <c r="O2324">
        <v>239</v>
      </c>
      <c r="P2324" t="str">
        <f t="shared" si="217"/>
        <v>Normal</v>
      </c>
      <c r="Q2324">
        <v>148.5</v>
      </c>
      <c r="R2324">
        <v>100</v>
      </c>
      <c r="S2324">
        <v>27.83</v>
      </c>
      <c r="T2324" t="str">
        <f t="shared" si="218"/>
        <v>Overweight</v>
      </c>
      <c r="U2324">
        <v>80</v>
      </c>
      <c r="V2324">
        <v>90</v>
      </c>
      <c r="W2324" t="str">
        <f t="shared" si="221"/>
        <v>Normal</v>
      </c>
      <c r="X2324">
        <v>0</v>
      </c>
    </row>
    <row r="2325" spans="1:24" ht="14.5" thickBot="1" x14ac:dyDescent="0.35">
      <c r="A2325">
        <v>0</v>
      </c>
      <c r="B2325" t="str">
        <f t="shared" si="219"/>
        <v>Female</v>
      </c>
      <c r="C2325" s="8">
        <v>50</v>
      </c>
      <c r="D2325" t="str">
        <f t="shared" si="220"/>
        <v>Middle Age</v>
      </c>
      <c r="E2325">
        <v>3</v>
      </c>
      <c r="F2325" t="str">
        <f>HLOOKUP(E2325, LookUP_Table!$A$6:$D$7, 2, FALSE)</f>
        <v>Graduate</v>
      </c>
      <c r="G2325" t="str">
        <f>IFERROR(VLOOKUP(E2325, LookUP_Table!$A$1:$B$4, 2, FALSE), "")</f>
        <v>Graduate</v>
      </c>
      <c r="H2325">
        <v>0</v>
      </c>
      <c r="I2325">
        <v>0</v>
      </c>
      <c r="J2325" t="str">
        <f t="shared" si="216"/>
        <v>Non-Smoker</v>
      </c>
      <c r="K2325">
        <v>0</v>
      </c>
      <c r="L2325">
        <v>0</v>
      </c>
      <c r="M2325">
        <v>1</v>
      </c>
      <c r="N2325">
        <v>0</v>
      </c>
      <c r="O2325">
        <v>305</v>
      </c>
      <c r="P2325" t="str">
        <f t="shared" si="217"/>
        <v>High</v>
      </c>
      <c r="Q2325">
        <v>151</v>
      </c>
      <c r="R2325">
        <v>106.5</v>
      </c>
      <c r="S2325">
        <v>25.38</v>
      </c>
      <c r="T2325" t="str">
        <f t="shared" si="218"/>
        <v>Overweight</v>
      </c>
      <c r="U2325">
        <v>100</v>
      </c>
      <c r="V2325">
        <v>75</v>
      </c>
      <c r="W2325" t="str">
        <f t="shared" si="221"/>
        <v>Normal</v>
      </c>
      <c r="X2325">
        <v>0</v>
      </c>
    </row>
    <row r="2326" spans="1:24" ht="14.5" thickBot="1" x14ac:dyDescent="0.35">
      <c r="A2326">
        <v>0</v>
      </c>
      <c r="B2326" t="str">
        <f t="shared" si="219"/>
        <v>Female</v>
      </c>
      <c r="C2326" s="8">
        <v>50</v>
      </c>
      <c r="D2326" t="str">
        <f t="shared" si="220"/>
        <v>Middle Age</v>
      </c>
      <c r="E2326">
        <v>4</v>
      </c>
      <c r="F2326" t="str">
        <f>HLOOKUP(E2326, LookUP_Table!$A$6:$D$7, 2, FALSE)</f>
        <v>Post Graduate</v>
      </c>
      <c r="G2326" t="str">
        <f>IFERROR(VLOOKUP(E2326, LookUP_Table!$A$1:$B$4, 2, FALSE), "")</f>
        <v>Post Graduate</v>
      </c>
      <c r="H2326">
        <v>1</v>
      </c>
      <c r="I2326">
        <v>9</v>
      </c>
      <c r="J2326" t="str">
        <f t="shared" si="216"/>
        <v>Smoker</v>
      </c>
      <c r="K2326">
        <v>0</v>
      </c>
      <c r="L2326">
        <v>0</v>
      </c>
      <c r="M2326">
        <v>0</v>
      </c>
      <c r="N2326">
        <v>0</v>
      </c>
      <c r="O2326">
        <v>256</v>
      </c>
      <c r="P2326" t="str">
        <f t="shared" si="217"/>
        <v>High</v>
      </c>
      <c r="Q2326">
        <v>136.5</v>
      </c>
      <c r="R2326">
        <v>81</v>
      </c>
      <c r="S2326">
        <v>23.07</v>
      </c>
      <c r="T2326" t="str">
        <f t="shared" si="218"/>
        <v>Normal</v>
      </c>
      <c r="U2326">
        <v>75</v>
      </c>
      <c r="V2326">
        <v>78</v>
      </c>
      <c r="W2326" t="str">
        <f t="shared" si="221"/>
        <v>Normal</v>
      </c>
      <c r="X2326">
        <v>0</v>
      </c>
    </row>
    <row r="2327" spans="1:24" ht="14.5" thickBot="1" x14ac:dyDescent="0.35">
      <c r="A2327">
        <v>0</v>
      </c>
      <c r="B2327" t="str">
        <f t="shared" si="219"/>
        <v>Female</v>
      </c>
      <c r="C2327" s="8">
        <v>50</v>
      </c>
      <c r="D2327" t="str">
        <f t="shared" si="220"/>
        <v>Middle Age</v>
      </c>
      <c r="E2327">
        <v>2</v>
      </c>
      <c r="F2327" t="str">
        <f>HLOOKUP(E2327, LookUP_Table!$A$6:$D$7, 2, FALSE)</f>
        <v>Secondary</v>
      </c>
      <c r="G2327" t="str">
        <f>IFERROR(VLOOKUP(E2327, LookUP_Table!$A$1:$B$4, 2, FALSE), "")</f>
        <v>Secondary</v>
      </c>
      <c r="H2327">
        <v>1</v>
      </c>
      <c r="I2327">
        <v>20</v>
      </c>
      <c r="J2327" t="str">
        <f t="shared" si="216"/>
        <v>Smoker</v>
      </c>
      <c r="K2327">
        <v>0</v>
      </c>
      <c r="L2327">
        <v>0</v>
      </c>
      <c r="M2327">
        <v>0</v>
      </c>
      <c r="N2327">
        <v>0</v>
      </c>
      <c r="O2327">
        <v>258</v>
      </c>
      <c r="P2327" t="str">
        <f t="shared" si="217"/>
        <v>High</v>
      </c>
      <c r="Q2327">
        <v>123</v>
      </c>
      <c r="R2327">
        <v>70</v>
      </c>
      <c r="S2327">
        <v>19.72</v>
      </c>
      <c r="T2327" t="str">
        <f t="shared" si="218"/>
        <v>Normal</v>
      </c>
      <c r="U2327">
        <v>80</v>
      </c>
      <c r="V2327">
        <v>71</v>
      </c>
      <c r="W2327" t="str">
        <f t="shared" si="221"/>
        <v>Normal</v>
      </c>
      <c r="X2327">
        <v>0</v>
      </c>
    </row>
    <row r="2328" spans="1:24" ht="14.5" thickBot="1" x14ac:dyDescent="0.35">
      <c r="A2328">
        <v>0</v>
      </c>
      <c r="B2328" t="str">
        <f t="shared" si="219"/>
        <v>Female</v>
      </c>
      <c r="C2328" s="8">
        <v>50</v>
      </c>
      <c r="D2328" t="str">
        <f t="shared" si="220"/>
        <v>Middle Age</v>
      </c>
      <c r="E2328">
        <v>1</v>
      </c>
      <c r="F2328" t="str">
        <f>HLOOKUP(E2328, LookUP_Table!$A$6:$D$7, 2, FALSE)</f>
        <v>Primary</v>
      </c>
      <c r="G2328" t="str">
        <f>IFERROR(VLOOKUP(E2328, LookUP_Table!$A$1:$B$4, 2, FALSE), "")</f>
        <v>Primary</v>
      </c>
      <c r="H2328">
        <v>0</v>
      </c>
      <c r="I2328">
        <v>0</v>
      </c>
      <c r="J2328" t="str">
        <f t="shared" si="216"/>
        <v>Non-Smoker</v>
      </c>
      <c r="K2328">
        <v>0</v>
      </c>
      <c r="L2328">
        <v>0</v>
      </c>
      <c r="M2328">
        <v>1</v>
      </c>
      <c r="N2328">
        <v>0</v>
      </c>
      <c r="O2328">
        <v>236</v>
      </c>
      <c r="P2328" t="str">
        <f t="shared" si="217"/>
        <v>Normal</v>
      </c>
      <c r="Q2328">
        <v>152</v>
      </c>
      <c r="R2328">
        <v>92</v>
      </c>
      <c r="S2328">
        <v>24.47</v>
      </c>
      <c r="T2328" t="str">
        <f t="shared" si="218"/>
        <v>Normal</v>
      </c>
      <c r="U2328">
        <v>120</v>
      </c>
      <c r="V2328">
        <v>67</v>
      </c>
      <c r="W2328" t="str">
        <f t="shared" si="221"/>
        <v>Normal</v>
      </c>
      <c r="X2328">
        <v>1</v>
      </c>
    </row>
    <row r="2329" spans="1:24" ht="14.5" thickBot="1" x14ac:dyDescent="0.35">
      <c r="A2329">
        <v>1</v>
      </c>
      <c r="B2329" t="str">
        <f t="shared" si="219"/>
        <v>Male</v>
      </c>
      <c r="C2329" s="8">
        <v>50</v>
      </c>
      <c r="D2329" t="str">
        <f t="shared" si="220"/>
        <v>Middle Age</v>
      </c>
      <c r="E2329">
        <v>2</v>
      </c>
      <c r="F2329" t="str">
        <f>HLOOKUP(E2329, LookUP_Table!$A$6:$D$7, 2, FALSE)</f>
        <v>Secondary</v>
      </c>
      <c r="G2329" t="str">
        <f>IFERROR(VLOOKUP(E2329, LookUP_Table!$A$1:$B$4, 2, FALSE), "")</f>
        <v>Secondary</v>
      </c>
      <c r="H2329">
        <v>0</v>
      </c>
      <c r="I2329">
        <v>0</v>
      </c>
      <c r="J2329" t="str">
        <f t="shared" si="216"/>
        <v>Non-Smoker</v>
      </c>
      <c r="K2329">
        <v>0</v>
      </c>
      <c r="L2329">
        <v>0</v>
      </c>
      <c r="M2329">
        <v>0</v>
      </c>
      <c r="N2329">
        <v>0</v>
      </c>
      <c r="O2329">
        <v>258</v>
      </c>
      <c r="P2329" t="str">
        <f t="shared" si="217"/>
        <v>High</v>
      </c>
      <c r="Q2329">
        <v>129</v>
      </c>
      <c r="R2329">
        <v>84</v>
      </c>
      <c r="S2329">
        <v>24.56</v>
      </c>
      <c r="T2329" t="str">
        <f t="shared" si="218"/>
        <v>Normal</v>
      </c>
      <c r="U2329">
        <v>80</v>
      </c>
      <c r="V2329">
        <v>75</v>
      </c>
      <c r="W2329" t="str">
        <f t="shared" si="221"/>
        <v>Normal</v>
      </c>
      <c r="X2329">
        <v>0</v>
      </c>
    </row>
    <row r="2330" spans="1:24" ht="14.5" thickBot="1" x14ac:dyDescent="0.35">
      <c r="A2330">
        <v>1</v>
      </c>
      <c r="B2330" t="str">
        <f t="shared" si="219"/>
        <v>Male</v>
      </c>
      <c r="C2330" s="8">
        <v>50</v>
      </c>
      <c r="D2330" t="str">
        <f t="shared" si="220"/>
        <v>Middle Age</v>
      </c>
      <c r="E2330">
        <v>1</v>
      </c>
      <c r="F2330" t="str">
        <f>HLOOKUP(E2330, LookUP_Table!$A$6:$D$7, 2, FALSE)</f>
        <v>Primary</v>
      </c>
      <c r="G2330" t="str">
        <f>IFERROR(VLOOKUP(E2330, LookUP_Table!$A$1:$B$4, 2, FALSE), "")</f>
        <v>Primary</v>
      </c>
      <c r="H2330">
        <v>0</v>
      </c>
      <c r="I2330">
        <v>0</v>
      </c>
      <c r="J2330" t="str">
        <f t="shared" si="216"/>
        <v>Non-Smoker</v>
      </c>
      <c r="K2330">
        <v>0</v>
      </c>
      <c r="L2330">
        <v>0</v>
      </c>
      <c r="M2330">
        <v>0</v>
      </c>
      <c r="N2330">
        <v>0</v>
      </c>
      <c r="O2330">
        <v>268</v>
      </c>
      <c r="P2330" t="str">
        <f t="shared" si="217"/>
        <v>High</v>
      </c>
      <c r="Q2330">
        <v>108</v>
      </c>
      <c r="R2330">
        <v>69</v>
      </c>
      <c r="S2330">
        <v>25.14</v>
      </c>
      <c r="T2330" t="str">
        <f t="shared" si="218"/>
        <v>Overweight</v>
      </c>
      <c r="U2330">
        <v>65</v>
      </c>
      <c r="V2330">
        <v>67</v>
      </c>
      <c r="W2330" t="str">
        <f t="shared" si="221"/>
        <v>Normal</v>
      </c>
      <c r="X2330">
        <v>0</v>
      </c>
    </row>
    <row r="2331" spans="1:24" ht="14.5" thickBot="1" x14ac:dyDescent="0.35">
      <c r="A2331">
        <v>0</v>
      </c>
      <c r="B2331" t="str">
        <f t="shared" si="219"/>
        <v>Female</v>
      </c>
      <c r="C2331" s="8">
        <v>50</v>
      </c>
      <c r="D2331" t="str">
        <f t="shared" si="220"/>
        <v>Middle Age</v>
      </c>
      <c r="E2331">
        <v>2</v>
      </c>
      <c r="F2331" t="str">
        <f>HLOOKUP(E2331, LookUP_Table!$A$6:$D$7, 2, FALSE)</f>
        <v>Secondary</v>
      </c>
      <c r="G2331" t="str">
        <f>IFERROR(VLOOKUP(E2331, LookUP_Table!$A$1:$B$4, 2, FALSE), "")</f>
        <v>Secondary</v>
      </c>
      <c r="H2331">
        <v>0</v>
      </c>
      <c r="I2331">
        <v>0</v>
      </c>
      <c r="J2331" t="str">
        <f t="shared" si="216"/>
        <v>Non-Smoker</v>
      </c>
      <c r="K2331">
        <v>0</v>
      </c>
      <c r="L2331">
        <v>0</v>
      </c>
      <c r="M2331">
        <v>0</v>
      </c>
      <c r="N2331">
        <v>0</v>
      </c>
      <c r="O2331">
        <v>240</v>
      </c>
      <c r="P2331" t="str">
        <f t="shared" si="217"/>
        <v>Normal</v>
      </c>
      <c r="Q2331">
        <v>107.5</v>
      </c>
      <c r="R2331">
        <v>70</v>
      </c>
      <c r="S2331">
        <v>26.76</v>
      </c>
      <c r="T2331" t="str">
        <f t="shared" si="218"/>
        <v>Overweight</v>
      </c>
      <c r="U2331">
        <v>67</v>
      </c>
      <c r="V2331">
        <v>102</v>
      </c>
      <c r="W2331" t="str">
        <f t="shared" si="221"/>
        <v>Prediabetes</v>
      </c>
      <c r="X2331">
        <v>0</v>
      </c>
    </row>
    <row r="2332" spans="1:24" ht="14.5" thickBot="1" x14ac:dyDescent="0.35">
      <c r="A2332">
        <v>0</v>
      </c>
      <c r="B2332" t="str">
        <f t="shared" si="219"/>
        <v>Female</v>
      </c>
      <c r="C2332" s="8">
        <v>50</v>
      </c>
      <c r="D2332" t="str">
        <f t="shared" si="220"/>
        <v>Middle Age</v>
      </c>
      <c r="E2332">
        <v>1</v>
      </c>
      <c r="F2332" t="str">
        <f>HLOOKUP(E2332, LookUP_Table!$A$6:$D$7, 2, FALSE)</f>
        <v>Primary</v>
      </c>
      <c r="G2332" t="str">
        <f>IFERROR(VLOOKUP(E2332, LookUP_Table!$A$1:$B$4, 2, FALSE), "")</f>
        <v>Primary</v>
      </c>
      <c r="H2332">
        <v>0</v>
      </c>
      <c r="I2332">
        <v>0</v>
      </c>
      <c r="J2332" t="str">
        <f t="shared" si="216"/>
        <v>Non-Smoker</v>
      </c>
      <c r="K2332">
        <v>0</v>
      </c>
      <c r="L2332">
        <v>0</v>
      </c>
      <c r="M2332">
        <v>1</v>
      </c>
      <c r="N2332">
        <v>0</v>
      </c>
      <c r="O2332">
        <v>234</v>
      </c>
      <c r="P2332" t="str">
        <f t="shared" si="217"/>
        <v>Normal</v>
      </c>
      <c r="Q2332">
        <v>143</v>
      </c>
      <c r="R2332">
        <v>90</v>
      </c>
      <c r="S2332">
        <v>29.36</v>
      </c>
      <c r="T2332" t="str">
        <f t="shared" si="218"/>
        <v>Overweight</v>
      </c>
      <c r="U2332">
        <v>70</v>
      </c>
      <c r="V2332">
        <v>86</v>
      </c>
      <c r="W2332" t="str">
        <f t="shared" si="221"/>
        <v>Normal</v>
      </c>
      <c r="X2332">
        <v>1</v>
      </c>
    </row>
    <row r="2333" spans="1:24" ht="14.5" thickBot="1" x14ac:dyDescent="0.35">
      <c r="A2333">
        <v>0</v>
      </c>
      <c r="B2333" t="str">
        <f t="shared" si="219"/>
        <v>Female</v>
      </c>
      <c r="C2333" s="8">
        <v>50</v>
      </c>
      <c r="D2333" t="str">
        <f t="shared" si="220"/>
        <v>Middle Age</v>
      </c>
      <c r="E2333">
        <v>2</v>
      </c>
      <c r="F2333" t="str">
        <f>HLOOKUP(E2333, LookUP_Table!$A$6:$D$7, 2, FALSE)</f>
        <v>Secondary</v>
      </c>
      <c r="G2333" t="str">
        <f>IFERROR(VLOOKUP(E2333, LookUP_Table!$A$1:$B$4, 2, FALSE), "")</f>
        <v>Secondary</v>
      </c>
      <c r="H2333">
        <v>1</v>
      </c>
      <c r="I2333">
        <v>25</v>
      </c>
      <c r="J2333" t="str">
        <f t="shared" si="216"/>
        <v>Smoker</v>
      </c>
      <c r="K2333">
        <v>0</v>
      </c>
      <c r="L2333">
        <v>0</v>
      </c>
      <c r="M2333">
        <v>0</v>
      </c>
      <c r="N2333">
        <v>0</v>
      </c>
      <c r="O2333">
        <v>330</v>
      </c>
      <c r="P2333" t="str">
        <f t="shared" si="217"/>
        <v>High</v>
      </c>
      <c r="Q2333">
        <v>119</v>
      </c>
      <c r="R2333">
        <v>86</v>
      </c>
      <c r="S2333">
        <v>26.3</v>
      </c>
      <c r="T2333" t="str">
        <f t="shared" si="218"/>
        <v>Overweight</v>
      </c>
      <c r="U2333">
        <v>86</v>
      </c>
      <c r="V2333">
        <v>81.96365524402907</v>
      </c>
      <c r="W2333" t="str">
        <f t="shared" si="221"/>
        <v>Normal</v>
      </c>
      <c r="X2333">
        <v>0</v>
      </c>
    </row>
    <row r="2334" spans="1:24" ht="14.5" thickBot="1" x14ac:dyDescent="0.35">
      <c r="A2334">
        <v>1</v>
      </c>
      <c r="B2334" t="str">
        <f t="shared" si="219"/>
        <v>Male</v>
      </c>
      <c r="C2334" s="8">
        <v>50</v>
      </c>
      <c r="D2334" t="str">
        <f t="shared" si="220"/>
        <v>Middle Age</v>
      </c>
      <c r="E2334">
        <v>1</v>
      </c>
      <c r="F2334" t="str">
        <f>HLOOKUP(E2334, LookUP_Table!$A$6:$D$7, 2, FALSE)</f>
        <v>Primary</v>
      </c>
      <c r="G2334" t="str">
        <f>IFERROR(VLOOKUP(E2334, LookUP_Table!$A$1:$B$4, 2, FALSE), "")</f>
        <v>Primary</v>
      </c>
      <c r="H2334">
        <v>1</v>
      </c>
      <c r="I2334">
        <v>20</v>
      </c>
      <c r="J2334" t="str">
        <f t="shared" si="216"/>
        <v>Smoker</v>
      </c>
      <c r="K2334">
        <v>0</v>
      </c>
      <c r="L2334">
        <v>0</v>
      </c>
      <c r="M2334">
        <v>0</v>
      </c>
      <c r="N2334">
        <v>0</v>
      </c>
      <c r="O2334">
        <v>265</v>
      </c>
      <c r="P2334" t="str">
        <f t="shared" si="217"/>
        <v>High</v>
      </c>
      <c r="Q2334">
        <v>110</v>
      </c>
      <c r="R2334">
        <v>65</v>
      </c>
      <c r="S2334">
        <v>24.45</v>
      </c>
      <c r="T2334" t="str">
        <f t="shared" si="218"/>
        <v>Normal</v>
      </c>
      <c r="U2334">
        <v>69</v>
      </c>
      <c r="V2334">
        <v>70</v>
      </c>
      <c r="W2334" t="str">
        <f t="shared" si="221"/>
        <v>Normal</v>
      </c>
      <c r="X2334">
        <v>0</v>
      </c>
    </row>
    <row r="2335" spans="1:24" ht="14.5" thickBot="1" x14ac:dyDescent="0.35">
      <c r="A2335">
        <v>0</v>
      </c>
      <c r="B2335" t="str">
        <f t="shared" si="219"/>
        <v>Female</v>
      </c>
      <c r="C2335" s="8">
        <v>50</v>
      </c>
      <c r="D2335" t="str">
        <f t="shared" si="220"/>
        <v>Middle Age</v>
      </c>
      <c r="E2335">
        <v>3</v>
      </c>
      <c r="F2335" t="str">
        <f>HLOOKUP(E2335, LookUP_Table!$A$6:$D$7, 2, FALSE)</f>
        <v>Graduate</v>
      </c>
      <c r="G2335" t="str">
        <f>IFERROR(VLOOKUP(E2335, LookUP_Table!$A$1:$B$4, 2, FALSE), "")</f>
        <v>Graduate</v>
      </c>
      <c r="H2335">
        <v>1</v>
      </c>
      <c r="I2335">
        <v>3</v>
      </c>
      <c r="J2335" t="str">
        <f t="shared" si="216"/>
        <v>Smoker</v>
      </c>
      <c r="K2335">
        <v>0</v>
      </c>
      <c r="L2335">
        <v>0</v>
      </c>
      <c r="M2335">
        <v>0</v>
      </c>
      <c r="N2335">
        <v>0</v>
      </c>
      <c r="O2335">
        <v>271</v>
      </c>
      <c r="P2335" t="str">
        <f t="shared" si="217"/>
        <v>High</v>
      </c>
      <c r="Q2335">
        <v>112.5</v>
      </c>
      <c r="R2335">
        <v>60</v>
      </c>
      <c r="S2335">
        <v>23.29</v>
      </c>
      <c r="T2335" t="str">
        <f t="shared" si="218"/>
        <v>Normal</v>
      </c>
      <c r="U2335">
        <v>60</v>
      </c>
      <c r="V2335">
        <v>61</v>
      </c>
      <c r="W2335" t="str">
        <f t="shared" si="221"/>
        <v>Normal</v>
      </c>
      <c r="X2335">
        <v>0</v>
      </c>
    </row>
    <row r="2336" spans="1:24" ht="14.5" thickBot="1" x14ac:dyDescent="0.35">
      <c r="A2336">
        <v>1</v>
      </c>
      <c r="B2336" t="str">
        <f t="shared" si="219"/>
        <v>Male</v>
      </c>
      <c r="C2336" s="8">
        <v>50</v>
      </c>
      <c r="D2336" t="str">
        <f t="shared" si="220"/>
        <v>Middle Age</v>
      </c>
      <c r="E2336">
        <v>1</v>
      </c>
      <c r="F2336" t="str">
        <f>HLOOKUP(E2336, LookUP_Table!$A$6:$D$7, 2, FALSE)</f>
        <v>Primary</v>
      </c>
      <c r="G2336" t="str">
        <f>IFERROR(VLOOKUP(E2336, LookUP_Table!$A$1:$B$4, 2, FALSE), "")</f>
        <v>Primary</v>
      </c>
      <c r="H2336">
        <v>1</v>
      </c>
      <c r="I2336">
        <v>20</v>
      </c>
      <c r="J2336" t="str">
        <f t="shared" si="216"/>
        <v>Smoker</v>
      </c>
      <c r="K2336">
        <v>0</v>
      </c>
      <c r="L2336">
        <v>0</v>
      </c>
      <c r="M2336">
        <v>0</v>
      </c>
      <c r="N2336">
        <v>0</v>
      </c>
      <c r="O2336">
        <v>231</v>
      </c>
      <c r="P2336" t="str">
        <f t="shared" si="217"/>
        <v>Normal</v>
      </c>
      <c r="Q2336">
        <v>126</v>
      </c>
      <c r="R2336">
        <v>76</v>
      </c>
      <c r="S2336">
        <v>20.170000000000002</v>
      </c>
      <c r="T2336" t="str">
        <f t="shared" si="218"/>
        <v>Normal</v>
      </c>
      <c r="U2336">
        <v>100</v>
      </c>
      <c r="V2336">
        <v>81.96365524402907</v>
      </c>
      <c r="W2336" t="str">
        <f t="shared" si="221"/>
        <v>Normal</v>
      </c>
      <c r="X2336">
        <v>0</v>
      </c>
    </row>
    <row r="2337" spans="1:24" ht="14.5" thickBot="1" x14ac:dyDescent="0.35">
      <c r="A2337">
        <v>1</v>
      </c>
      <c r="B2337" t="str">
        <f t="shared" si="219"/>
        <v>Male</v>
      </c>
      <c r="C2337" s="8">
        <v>50</v>
      </c>
      <c r="D2337" t="str">
        <f t="shared" si="220"/>
        <v>Middle Age</v>
      </c>
      <c r="E2337">
        <v>1</v>
      </c>
      <c r="F2337" t="str">
        <f>HLOOKUP(E2337, LookUP_Table!$A$6:$D$7, 2, FALSE)</f>
        <v>Primary</v>
      </c>
      <c r="G2337" t="str">
        <f>IFERROR(VLOOKUP(E2337, LookUP_Table!$A$1:$B$4, 2, FALSE), "")</f>
        <v>Primary</v>
      </c>
      <c r="H2337">
        <v>1</v>
      </c>
      <c r="I2337">
        <v>20</v>
      </c>
      <c r="J2337" t="str">
        <f t="shared" si="216"/>
        <v>Smoker</v>
      </c>
      <c r="K2337">
        <v>0</v>
      </c>
      <c r="L2337">
        <v>0</v>
      </c>
      <c r="M2337">
        <v>0</v>
      </c>
      <c r="N2337">
        <v>0</v>
      </c>
      <c r="O2337">
        <v>259</v>
      </c>
      <c r="P2337" t="str">
        <f t="shared" si="217"/>
        <v>High</v>
      </c>
      <c r="Q2337">
        <v>108</v>
      </c>
      <c r="R2337">
        <v>81</v>
      </c>
      <c r="S2337">
        <v>22.81</v>
      </c>
      <c r="T2337" t="str">
        <f t="shared" si="218"/>
        <v>Normal</v>
      </c>
      <c r="U2337">
        <v>80</v>
      </c>
      <c r="V2337">
        <v>72</v>
      </c>
      <c r="W2337" t="str">
        <f t="shared" si="221"/>
        <v>Normal</v>
      </c>
      <c r="X2337">
        <v>0</v>
      </c>
    </row>
    <row r="2338" spans="1:24" ht="14.5" thickBot="1" x14ac:dyDescent="0.35">
      <c r="A2338">
        <v>0</v>
      </c>
      <c r="B2338" t="str">
        <f t="shared" si="219"/>
        <v>Female</v>
      </c>
      <c r="C2338" s="8">
        <v>50</v>
      </c>
      <c r="D2338" t="str">
        <f t="shared" si="220"/>
        <v>Middle Age</v>
      </c>
      <c r="E2338">
        <v>1</v>
      </c>
      <c r="F2338" t="str">
        <f>HLOOKUP(E2338, LookUP_Table!$A$6:$D$7, 2, FALSE)</f>
        <v>Primary</v>
      </c>
      <c r="G2338" t="str">
        <f>IFERROR(VLOOKUP(E2338, LookUP_Table!$A$1:$B$4, 2, FALSE), "")</f>
        <v>Primary</v>
      </c>
      <c r="H2338">
        <v>1</v>
      </c>
      <c r="I2338">
        <v>3</v>
      </c>
      <c r="J2338" t="str">
        <f t="shared" si="216"/>
        <v>Smoker</v>
      </c>
      <c r="K2338">
        <v>0</v>
      </c>
      <c r="L2338">
        <v>0</v>
      </c>
      <c r="M2338">
        <v>1</v>
      </c>
      <c r="N2338">
        <v>0</v>
      </c>
      <c r="O2338">
        <v>238</v>
      </c>
      <c r="P2338" t="str">
        <f t="shared" si="217"/>
        <v>Normal</v>
      </c>
      <c r="Q2338">
        <v>158</v>
      </c>
      <c r="R2338">
        <v>74</v>
      </c>
      <c r="S2338">
        <v>35.68</v>
      </c>
      <c r="T2338" t="str">
        <f t="shared" si="218"/>
        <v>Obese</v>
      </c>
      <c r="U2338">
        <v>69</v>
      </c>
      <c r="V2338">
        <v>98</v>
      </c>
      <c r="W2338" t="str">
        <f t="shared" si="221"/>
        <v>Normal</v>
      </c>
      <c r="X2338">
        <v>0</v>
      </c>
    </row>
    <row r="2339" spans="1:24" ht="14.5" thickBot="1" x14ac:dyDescent="0.35">
      <c r="A2339">
        <v>1</v>
      </c>
      <c r="B2339" t="str">
        <f t="shared" si="219"/>
        <v>Male</v>
      </c>
      <c r="C2339" s="8">
        <v>50</v>
      </c>
      <c r="D2339" t="str">
        <f t="shared" si="220"/>
        <v>Middle Age</v>
      </c>
      <c r="E2339">
        <v>1</v>
      </c>
      <c r="F2339" t="str">
        <f>HLOOKUP(E2339, LookUP_Table!$A$6:$D$7, 2, FALSE)</f>
        <v>Primary</v>
      </c>
      <c r="G2339" t="str">
        <f>IFERROR(VLOOKUP(E2339, LookUP_Table!$A$1:$B$4, 2, FALSE), "")</f>
        <v>Primary</v>
      </c>
      <c r="H2339">
        <v>0</v>
      </c>
      <c r="I2339">
        <v>0</v>
      </c>
      <c r="J2339" t="str">
        <f t="shared" si="216"/>
        <v>Non-Smoker</v>
      </c>
      <c r="K2339">
        <v>0</v>
      </c>
      <c r="L2339">
        <v>0</v>
      </c>
      <c r="M2339">
        <v>0</v>
      </c>
      <c r="N2339">
        <v>0</v>
      </c>
      <c r="O2339">
        <v>204</v>
      </c>
      <c r="P2339" t="str">
        <f t="shared" si="217"/>
        <v>Normal</v>
      </c>
      <c r="Q2339">
        <v>122</v>
      </c>
      <c r="R2339">
        <v>81</v>
      </c>
      <c r="S2339">
        <v>32.22</v>
      </c>
      <c r="T2339" t="str">
        <f t="shared" si="218"/>
        <v>Obese</v>
      </c>
      <c r="U2339">
        <v>63</v>
      </c>
      <c r="V2339">
        <v>73</v>
      </c>
      <c r="W2339" t="str">
        <f t="shared" si="221"/>
        <v>Normal</v>
      </c>
      <c r="X2339">
        <v>0</v>
      </c>
    </row>
    <row r="2340" spans="1:24" ht="14.5" thickBot="1" x14ac:dyDescent="0.35">
      <c r="A2340">
        <v>1</v>
      </c>
      <c r="B2340" t="str">
        <f t="shared" si="219"/>
        <v>Male</v>
      </c>
      <c r="C2340" s="8">
        <v>50</v>
      </c>
      <c r="D2340" t="str">
        <f t="shared" si="220"/>
        <v>Middle Age</v>
      </c>
      <c r="E2340">
        <v>2</v>
      </c>
      <c r="F2340" t="str">
        <f>HLOOKUP(E2340, LookUP_Table!$A$6:$D$7, 2, FALSE)</f>
        <v>Secondary</v>
      </c>
      <c r="G2340" t="str">
        <f>IFERROR(VLOOKUP(E2340, LookUP_Table!$A$1:$B$4, 2, FALSE), "")</f>
        <v>Secondary</v>
      </c>
      <c r="H2340">
        <v>1</v>
      </c>
      <c r="I2340">
        <v>16</v>
      </c>
      <c r="J2340" t="str">
        <f t="shared" si="216"/>
        <v>Smoker</v>
      </c>
      <c r="K2340">
        <v>0</v>
      </c>
      <c r="L2340">
        <v>0</v>
      </c>
      <c r="M2340">
        <v>0</v>
      </c>
      <c r="N2340">
        <v>0</v>
      </c>
      <c r="O2340">
        <v>214</v>
      </c>
      <c r="P2340" t="str">
        <f t="shared" si="217"/>
        <v>Normal</v>
      </c>
      <c r="Q2340">
        <v>114</v>
      </c>
      <c r="R2340">
        <v>72</v>
      </c>
      <c r="S2340">
        <v>22.93</v>
      </c>
      <c r="T2340" t="str">
        <f t="shared" si="218"/>
        <v>Normal</v>
      </c>
      <c r="U2340">
        <v>66</v>
      </c>
      <c r="V2340">
        <v>83</v>
      </c>
      <c r="W2340" t="str">
        <f t="shared" si="221"/>
        <v>Normal</v>
      </c>
      <c r="X2340">
        <v>0</v>
      </c>
    </row>
    <row r="2341" spans="1:24" ht="14.5" thickBot="1" x14ac:dyDescent="0.35">
      <c r="A2341">
        <v>0</v>
      </c>
      <c r="B2341" t="str">
        <f t="shared" si="219"/>
        <v>Female</v>
      </c>
      <c r="C2341" s="8">
        <v>50</v>
      </c>
      <c r="D2341" t="str">
        <f t="shared" si="220"/>
        <v>Middle Age</v>
      </c>
      <c r="E2341">
        <v>1</v>
      </c>
      <c r="F2341" t="str">
        <f>HLOOKUP(E2341, LookUP_Table!$A$6:$D$7, 2, FALSE)</f>
        <v>Primary</v>
      </c>
      <c r="G2341" t="str">
        <f>IFERROR(VLOOKUP(E2341, LookUP_Table!$A$1:$B$4, 2, FALSE), "")</f>
        <v>Primary</v>
      </c>
      <c r="H2341">
        <v>1</v>
      </c>
      <c r="I2341">
        <v>20</v>
      </c>
      <c r="J2341" t="str">
        <f t="shared" si="216"/>
        <v>Smoker</v>
      </c>
      <c r="K2341">
        <v>0</v>
      </c>
      <c r="L2341">
        <v>0</v>
      </c>
      <c r="M2341">
        <v>0</v>
      </c>
      <c r="N2341">
        <v>0</v>
      </c>
      <c r="O2341">
        <v>195</v>
      </c>
      <c r="P2341" t="str">
        <f t="shared" si="217"/>
        <v>Normal</v>
      </c>
      <c r="Q2341">
        <v>131.5</v>
      </c>
      <c r="R2341">
        <v>83</v>
      </c>
      <c r="S2341">
        <v>24.61</v>
      </c>
      <c r="T2341" t="str">
        <f t="shared" si="218"/>
        <v>Normal</v>
      </c>
      <c r="U2341">
        <v>75</v>
      </c>
      <c r="V2341">
        <v>78</v>
      </c>
      <c r="W2341" t="str">
        <f t="shared" si="221"/>
        <v>Normal</v>
      </c>
      <c r="X2341">
        <v>0</v>
      </c>
    </row>
    <row r="2342" spans="1:24" ht="14.5" thickBot="1" x14ac:dyDescent="0.35">
      <c r="A2342">
        <v>1</v>
      </c>
      <c r="B2342" t="str">
        <f t="shared" si="219"/>
        <v>Male</v>
      </c>
      <c r="C2342" s="8">
        <v>50</v>
      </c>
      <c r="D2342" t="str">
        <f t="shared" si="220"/>
        <v>Middle Age</v>
      </c>
      <c r="E2342">
        <v>1</v>
      </c>
      <c r="F2342" t="str">
        <f>HLOOKUP(E2342, LookUP_Table!$A$6:$D$7, 2, FALSE)</f>
        <v>Primary</v>
      </c>
      <c r="G2342" t="str">
        <f>IFERROR(VLOOKUP(E2342, LookUP_Table!$A$1:$B$4, 2, FALSE), "")</f>
        <v>Primary</v>
      </c>
      <c r="H2342">
        <v>1</v>
      </c>
      <c r="I2342">
        <v>2</v>
      </c>
      <c r="J2342" t="str">
        <f t="shared" si="216"/>
        <v>Smoker</v>
      </c>
      <c r="K2342">
        <v>0</v>
      </c>
      <c r="L2342">
        <v>0</v>
      </c>
      <c r="M2342">
        <v>0</v>
      </c>
      <c r="N2342">
        <v>0</v>
      </c>
      <c r="O2342">
        <v>238</v>
      </c>
      <c r="P2342" t="str">
        <f t="shared" si="217"/>
        <v>Normal</v>
      </c>
      <c r="Q2342">
        <v>121</v>
      </c>
      <c r="R2342">
        <v>85</v>
      </c>
      <c r="S2342">
        <v>25.31</v>
      </c>
      <c r="T2342" t="str">
        <f t="shared" si="218"/>
        <v>Overweight</v>
      </c>
      <c r="U2342">
        <v>88</v>
      </c>
      <c r="V2342">
        <v>81.96365524402907</v>
      </c>
      <c r="W2342" t="str">
        <f t="shared" si="221"/>
        <v>Normal</v>
      </c>
      <c r="X2342">
        <v>0</v>
      </c>
    </row>
    <row r="2343" spans="1:24" ht="14.5" thickBot="1" x14ac:dyDescent="0.35">
      <c r="A2343">
        <v>1</v>
      </c>
      <c r="B2343" t="str">
        <f t="shared" si="219"/>
        <v>Male</v>
      </c>
      <c r="C2343" s="8">
        <v>50</v>
      </c>
      <c r="D2343" t="str">
        <f t="shared" si="220"/>
        <v>Middle Age</v>
      </c>
      <c r="E2343">
        <v>1</v>
      </c>
      <c r="F2343" t="str">
        <f>HLOOKUP(E2343, LookUP_Table!$A$6:$D$7, 2, FALSE)</f>
        <v>Primary</v>
      </c>
      <c r="G2343" t="str">
        <f>IFERROR(VLOOKUP(E2343, LookUP_Table!$A$1:$B$4, 2, FALSE), "")</f>
        <v>Primary</v>
      </c>
      <c r="H2343">
        <v>1</v>
      </c>
      <c r="I2343">
        <v>10</v>
      </c>
      <c r="J2343" t="str">
        <f t="shared" si="216"/>
        <v>Smoker</v>
      </c>
      <c r="K2343">
        <v>0</v>
      </c>
      <c r="L2343">
        <v>0</v>
      </c>
      <c r="M2343">
        <v>1</v>
      </c>
      <c r="N2343">
        <v>0</v>
      </c>
      <c r="O2343">
        <v>202</v>
      </c>
      <c r="P2343" t="str">
        <f t="shared" si="217"/>
        <v>Normal</v>
      </c>
      <c r="Q2343">
        <v>189</v>
      </c>
      <c r="R2343">
        <v>121</v>
      </c>
      <c r="S2343">
        <v>33.81</v>
      </c>
      <c r="T2343" t="str">
        <f t="shared" si="218"/>
        <v>Obese</v>
      </c>
      <c r="U2343">
        <v>65</v>
      </c>
      <c r="V2343">
        <v>72</v>
      </c>
      <c r="W2343" t="str">
        <f t="shared" si="221"/>
        <v>Normal</v>
      </c>
      <c r="X2343">
        <v>1</v>
      </c>
    </row>
    <row r="2344" spans="1:24" ht="14.5" thickBot="1" x14ac:dyDescent="0.35">
      <c r="A2344">
        <v>0</v>
      </c>
      <c r="B2344" t="str">
        <f t="shared" si="219"/>
        <v>Female</v>
      </c>
      <c r="C2344" s="8">
        <v>50</v>
      </c>
      <c r="D2344" t="str">
        <f t="shared" si="220"/>
        <v>Middle Age</v>
      </c>
      <c r="E2344">
        <v>2</v>
      </c>
      <c r="F2344" t="str">
        <f>HLOOKUP(E2344, LookUP_Table!$A$6:$D$7, 2, FALSE)</f>
        <v>Secondary</v>
      </c>
      <c r="G2344" t="str">
        <f>IFERROR(VLOOKUP(E2344, LookUP_Table!$A$1:$B$4, 2, FALSE), "")</f>
        <v>Secondary</v>
      </c>
      <c r="H2344">
        <v>0</v>
      </c>
      <c r="I2344">
        <v>0</v>
      </c>
      <c r="J2344" t="str">
        <f t="shared" si="216"/>
        <v>Non-Smoker</v>
      </c>
      <c r="K2344">
        <v>0</v>
      </c>
      <c r="L2344">
        <v>0</v>
      </c>
      <c r="M2344">
        <v>0</v>
      </c>
      <c r="N2344">
        <v>0</v>
      </c>
      <c r="O2344">
        <v>270</v>
      </c>
      <c r="P2344" t="str">
        <f t="shared" si="217"/>
        <v>High</v>
      </c>
      <c r="Q2344">
        <v>142.5</v>
      </c>
      <c r="R2344">
        <v>85</v>
      </c>
      <c r="S2344">
        <v>21.86</v>
      </c>
      <c r="T2344" t="str">
        <f t="shared" si="218"/>
        <v>Normal</v>
      </c>
      <c r="U2344">
        <v>72</v>
      </c>
      <c r="V2344">
        <v>75</v>
      </c>
      <c r="W2344" t="str">
        <f t="shared" si="221"/>
        <v>Normal</v>
      </c>
      <c r="X2344">
        <v>0</v>
      </c>
    </row>
    <row r="2345" spans="1:24" ht="14.5" thickBot="1" x14ac:dyDescent="0.35">
      <c r="A2345">
        <v>0</v>
      </c>
      <c r="B2345" t="str">
        <f t="shared" si="219"/>
        <v>Female</v>
      </c>
      <c r="C2345" s="8">
        <v>50</v>
      </c>
      <c r="D2345" t="str">
        <f t="shared" si="220"/>
        <v>Middle Age</v>
      </c>
      <c r="E2345">
        <v>1</v>
      </c>
      <c r="F2345" t="str">
        <f>HLOOKUP(E2345, LookUP_Table!$A$6:$D$7, 2, FALSE)</f>
        <v>Primary</v>
      </c>
      <c r="G2345" t="str">
        <f>IFERROR(VLOOKUP(E2345, LookUP_Table!$A$1:$B$4, 2, FALSE), "")</f>
        <v>Primary</v>
      </c>
      <c r="H2345">
        <v>1</v>
      </c>
      <c r="I2345">
        <v>15</v>
      </c>
      <c r="J2345" t="str">
        <f t="shared" si="216"/>
        <v>Smoker</v>
      </c>
      <c r="K2345">
        <v>0</v>
      </c>
      <c r="L2345">
        <v>0</v>
      </c>
      <c r="M2345">
        <v>1</v>
      </c>
      <c r="N2345">
        <v>0</v>
      </c>
      <c r="O2345">
        <v>204</v>
      </c>
      <c r="P2345" t="str">
        <f t="shared" si="217"/>
        <v>Normal</v>
      </c>
      <c r="Q2345">
        <v>147</v>
      </c>
      <c r="R2345">
        <v>100</v>
      </c>
      <c r="S2345">
        <v>39.94</v>
      </c>
      <c r="T2345" t="str">
        <f t="shared" si="218"/>
        <v>Obese</v>
      </c>
      <c r="U2345">
        <v>85</v>
      </c>
      <c r="V2345">
        <v>90</v>
      </c>
      <c r="W2345" t="str">
        <f t="shared" si="221"/>
        <v>Normal</v>
      </c>
      <c r="X2345">
        <v>0</v>
      </c>
    </row>
    <row r="2346" spans="1:24" ht="14.5" thickBot="1" x14ac:dyDescent="0.35">
      <c r="A2346">
        <v>1</v>
      </c>
      <c r="B2346" t="str">
        <f t="shared" si="219"/>
        <v>Male</v>
      </c>
      <c r="C2346" s="8">
        <v>50</v>
      </c>
      <c r="D2346" t="str">
        <f t="shared" si="220"/>
        <v>Middle Age</v>
      </c>
      <c r="E2346">
        <v>2</v>
      </c>
      <c r="F2346" t="str">
        <f>HLOOKUP(E2346, LookUP_Table!$A$6:$D$7, 2, FALSE)</f>
        <v>Secondary</v>
      </c>
      <c r="G2346" t="str">
        <f>IFERROR(VLOOKUP(E2346, LookUP_Table!$A$1:$B$4, 2, FALSE), "")</f>
        <v>Secondary</v>
      </c>
      <c r="H2346">
        <v>0</v>
      </c>
      <c r="I2346">
        <v>0</v>
      </c>
      <c r="J2346" t="str">
        <f t="shared" si="216"/>
        <v>Non-Smoker</v>
      </c>
      <c r="K2346">
        <v>0</v>
      </c>
      <c r="L2346">
        <v>0</v>
      </c>
      <c r="M2346">
        <v>1</v>
      </c>
      <c r="N2346">
        <v>0</v>
      </c>
      <c r="O2346">
        <v>252</v>
      </c>
      <c r="P2346" t="str">
        <f t="shared" si="217"/>
        <v>High</v>
      </c>
      <c r="Q2346">
        <v>114</v>
      </c>
      <c r="R2346">
        <v>75</v>
      </c>
      <c r="S2346">
        <v>30.89</v>
      </c>
      <c r="T2346" t="str">
        <f t="shared" si="218"/>
        <v>Obese</v>
      </c>
      <c r="U2346">
        <v>60</v>
      </c>
      <c r="V2346">
        <v>69</v>
      </c>
      <c r="W2346" t="str">
        <f t="shared" si="221"/>
        <v>Normal</v>
      </c>
      <c r="X2346">
        <v>0</v>
      </c>
    </row>
    <row r="2347" spans="1:24" ht="14.5" thickBot="1" x14ac:dyDescent="0.35">
      <c r="A2347">
        <v>0</v>
      </c>
      <c r="B2347" t="str">
        <f t="shared" si="219"/>
        <v>Female</v>
      </c>
      <c r="C2347" s="8">
        <v>50</v>
      </c>
      <c r="D2347" t="str">
        <f t="shared" si="220"/>
        <v>Middle Age</v>
      </c>
      <c r="E2347">
        <v>2</v>
      </c>
      <c r="F2347" t="str">
        <f>HLOOKUP(E2347, LookUP_Table!$A$6:$D$7, 2, FALSE)</f>
        <v>Secondary</v>
      </c>
      <c r="G2347" t="str">
        <f>IFERROR(VLOOKUP(E2347, LookUP_Table!$A$1:$B$4, 2, FALSE), "")</f>
        <v>Secondary</v>
      </c>
      <c r="H2347">
        <v>0</v>
      </c>
      <c r="I2347">
        <v>0</v>
      </c>
      <c r="J2347" t="str">
        <f t="shared" si="216"/>
        <v>Non-Smoker</v>
      </c>
      <c r="K2347">
        <v>0</v>
      </c>
      <c r="L2347">
        <v>0</v>
      </c>
      <c r="M2347">
        <v>0</v>
      </c>
      <c r="N2347">
        <v>0</v>
      </c>
      <c r="O2347">
        <v>210</v>
      </c>
      <c r="P2347" t="str">
        <f t="shared" si="217"/>
        <v>Normal</v>
      </c>
      <c r="Q2347">
        <v>105</v>
      </c>
      <c r="R2347">
        <v>77</v>
      </c>
      <c r="S2347">
        <v>23.96</v>
      </c>
      <c r="T2347" t="str">
        <f t="shared" si="218"/>
        <v>Normal</v>
      </c>
      <c r="U2347">
        <v>60</v>
      </c>
      <c r="V2347">
        <v>86</v>
      </c>
      <c r="W2347" t="str">
        <f t="shared" si="221"/>
        <v>Normal</v>
      </c>
      <c r="X2347">
        <v>0</v>
      </c>
    </row>
    <row r="2348" spans="1:24" ht="14.5" thickBot="1" x14ac:dyDescent="0.35">
      <c r="A2348">
        <v>0</v>
      </c>
      <c r="B2348" t="str">
        <f t="shared" si="219"/>
        <v>Female</v>
      </c>
      <c r="C2348" s="8">
        <v>50</v>
      </c>
      <c r="D2348" t="str">
        <f t="shared" si="220"/>
        <v>Middle Age</v>
      </c>
      <c r="E2348">
        <v>4</v>
      </c>
      <c r="F2348" t="str">
        <f>HLOOKUP(E2348, LookUP_Table!$A$6:$D$7, 2, FALSE)</f>
        <v>Post Graduate</v>
      </c>
      <c r="G2348" t="str">
        <f>IFERROR(VLOOKUP(E2348, LookUP_Table!$A$1:$B$4, 2, FALSE), "")</f>
        <v>Post Graduate</v>
      </c>
      <c r="H2348">
        <v>1</v>
      </c>
      <c r="I2348">
        <v>30</v>
      </c>
      <c r="J2348" t="str">
        <f t="shared" si="216"/>
        <v>Smoker</v>
      </c>
      <c r="K2348">
        <v>0</v>
      </c>
      <c r="L2348">
        <v>0</v>
      </c>
      <c r="M2348">
        <v>0</v>
      </c>
      <c r="N2348">
        <v>0</v>
      </c>
      <c r="O2348">
        <v>165</v>
      </c>
      <c r="P2348" t="str">
        <f t="shared" si="217"/>
        <v>Normal</v>
      </c>
      <c r="Q2348">
        <v>96.5</v>
      </c>
      <c r="R2348">
        <v>62.5</v>
      </c>
      <c r="S2348">
        <v>23.48</v>
      </c>
      <c r="T2348" t="str">
        <f t="shared" si="218"/>
        <v>Normal</v>
      </c>
      <c r="U2348">
        <v>87</v>
      </c>
      <c r="V2348">
        <v>78</v>
      </c>
      <c r="W2348" t="str">
        <f t="shared" si="221"/>
        <v>Normal</v>
      </c>
      <c r="X2348">
        <v>0</v>
      </c>
    </row>
    <row r="2349" spans="1:24" ht="14.5" thickBot="1" x14ac:dyDescent="0.35">
      <c r="A2349">
        <v>0</v>
      </c>
      <c r="B2349" t="str">
        <f t="shared" si="219"/>
        <v>Female</v>
      </c>
      <c r="C2349" s="8">
        <v>50</v>
      </c>
      <c r="D2349" t="str">
        <f t="shared" si="220"/>
        <v>Middle Age</v>
      </c>
      <c r="E2349">
        <v>4</v>
      </c>
      <c r="F2349" t="str">
        <f>HLOOKUP(E2349, LookUP_Table!$A$6:$D$7, 2, FALSE)</f>
        <v>Post Graduate</v>
      </c>
      <c r="G2349" t="str">
        <f>IFERROR(VLOOKUP(E2349, LookUP_Table!$A$1:$B$4, 2, FALSE), "")</f>
        <v>Post Graduate</v>
      </c>
      <c r="H2349">
        <v>1</v>
      </c>
      <c r="I2349">
        <v>15</v>
      </c>
      <c r="J2349" t="str">
        <f t="shared" si="216"/>
        <v>Smoker</v>
      </c>
      <c r="K2349">
        <v>0</v>
      </c>
      <c r="L2349">
        <v>0</v>
      </c>
      <c r="M2349">
        <v>0</v>
      </c>
      <c r="N2349">
        <v>0</v>
      </c>
      <c r="O2349">
        <v>261</v>
      </c>
      <c r="P2349" t="str">
        <f t="shared" si="217"/>
        <v>High</v>
      </c>
      <c r="Q2349">
        <v>110</v>
      </c>
      <c r="R2349">
        <v>76</v>
      </c>
      <c r="S2349">
        <v>23.31</v>
      </c>
      <c r="T2349" t="str">
        <f t="shared" si="218"/>
        <v>Normal</v>
      </c>
      <c r="U2349">
        <v>75</v>
      </c>
      <c r="V2349">
        <v>85</v>
      </c>
      <c r="W2349" t="str">
        <f t="shared" si="221"/>
        <v>Normal</v>
      </c>
      <c r="X2349">
        <v>0</v>
      </c>
    </row>
    <row r="2350" spans="1:24" ht="14.5" thickBot="1" x14ac:dyDescent="0.35">
      <c r="A2350">
        <v>1</v>
      </c>
      <c r="B2350" t="str">
        <f t="shared" si="219"/>
        <v>Male</v>
      </c>
      <c r="C2350" s="8">
        <v>50</v>
      </c>
      <c r="D2350" t="str">
        <f t="shared" si="220"/>
        <v>Middle Age</v>
      </c>
      <c r="E2350">
        <v>1</v>
      </c>
      <c r="F2350" t="str">
        <f>HLOOKUP(E2350, LookUP_Table!$A$6:$D$7, 2, FALSE)</f>
        <v>Primary</v>
      </c>
      <c r="G2350" t="str">
        <f>IFERROR(VLOOKUP(E2350, LookUP_Table!$A$1:$B$4, 2, FALSE), "")</f>
        <v>Primary</v>
      </c>
      <c r="H2350">
        <v>1</v>
      </c>
      <c r="I2350">
        <v>30</v>
      </c>
      <c r="J2350" t="str">
        <f t="shared" si="216"/>
        <v>Smoker</v>
      </c>
      <c r="K2350">
        <v>0</v>
      </c>
      <c r="L2350">
        <v>0</v>
      </c>
      <c r="M2350">
        <v>0</v>
      </c>
      <c r="N2350">
        <v>0</v>
      </c>
      <c r="O2350">
        <v>196</v>
      </c>
      <c r="P2350" t="str">
        <f t="shared" si="217"/>
        <v>Normal</v>
      </c>
      <c r="Q2350">
        <v>131</v>
      </c>
      <c r="R2350">
        <v>80</v>
      </c>
      <c r="S2350">
        <v>20.420000000000002</v>
      </c>
      <c r="T2350" t="str">
        <f t="shared" si="218"/>
        <v>Normal</v>
      </c>
      <c r="U2350">
        <v>108</v>
      </c>
      <c r="V2350">
        <v>81.96365524402907</v>
      </c>
      <c r="W2350" t="str">
        <f t="shared" si="221"/>
        <v>Normal</v>
      </c>
      <c r="X2350">
        <v>0</v>
      </c>
    </row>
    <row r="2351" spans="1:24" ht="14.5" thickBot="1" x14ac:dyDescent="0.35">
      <c r="A2351">
        <v>1</v>
      </c>
      <c r="B2351" t="str">
        <f t="shared" si="219"/>
        <v>Male</v>
      </c>
      <c r="C2351" s="8">
        <v>50</v>
      </c>
      <c r="D2351" t="str">
        <f t="shared" si="220"/>
        <v>Middle Age</v>
      </c>
      <c r="E2351">
        <v>3</v>
      </c>
      <c r="F2351" t="str">
        <f>HLOOKUP(E2351, LookUP_Table!$A$6:$D$7, 2, FALSE)</f>
        <v>Graduate</v>
      </c>
      <c r="G2351" t="str">
        <f>IFERROR(VLOOKUP(E2351, LookUP_Table!$A$1:$B$4, 2, FALSE), "")</f>
        <v>Graduate</v>
      </c>
      <c r="H2351">
        <v>0</v>
      </c>
      <c r="I2351">
        <v>0</v>
      </c>
      <c r="J2351" t="str">
        <f t="shared" si="216"/>
        <v>Non-Smoker</v>
      </c>
      <c r="K2351">
        <v>0</v>
      </c>
      <c r="L2351">
        <v>0</v>
      </c>
      <c r="M2351">
        <v>1</v>
      </c>
      <c r="N2351">
        <v>1</v>
      </c>
      <c r="O2351">
        <v>232</v>
      </c>
      <c r="P2351" t="str">
        <f t="shared" si="217"/>
        <v>Normal</v>
      </c>
      <c r="Q2351">
        <v>148.5</v>
      </c>
      <c r="R2351">
        <v>94</v>
      </c>
      <c r="S2351">
        <v>25.78</v>
      </c>
      <c r="T2351" t="str">
        <f t="shared" si="218"/>
        <v>Overweight</v>
      </c>
      <c r="U2351">
        <v>80</v>
      </c>
      <c r="V2351">
        <v>88</v>
      </c>
      <c r="W2351" t="str">
        <f t="shared" si="221"/>
        <v>Normal</v>
      </c>
      <c r="X2351">
        <v>1</v>
      </c>
    </row>
    <row r="2352" spans="1:24" ht="14.5" thickBot="1" x14ac:dyDescent="0.35">
      <c r="A2352">
        <v>0</v>
      </c>
      <c r="B2352" t="str">
        <f t="shared" si="219"/>
        <v>Female</v>
      </c>
      <c r="C2352" s="8">
        <v>50</v>
      </c>
      <c r="D2352" t="str">
        <f t="shared" si="220"/>
        <v>Middle Age</v>
      </c>
      <c r="E2352">
        <v>1</v>
      </c>
      <c r="F2352" t="str">
        <f>HLOOKUP(E2352, LookUP_Table!$A$6:$D$7, 2, FALSE)</f>
        <v>Primary</v>
      </c>
      <c r="G2352" t="str">
        <f>IFERROR(VLOOKUP(E2352, LookUP_Table!$A$1:$B$4, 2, FALSE), "")</f>
        <v>Primary</v>
      </c>
      <c r="H2352">
        <v>0</v>
      </c>
      <c r="I2352">
        <v>0</v>
      </c>
      <c r="J2352" t="str">
        <f t="shared" si="216"/>
        <v>Non-Smoker</v>
      </c>
      <c r="K2352">
        <v>0</v>
      </c>
      <c r="L2352">
        <v>0</v>
      </c>
      <c r="M2352">
        <v>0</v>
      </c>
      <c r="N2352">
        <v>0</v>
      </c>
      <c r="O2352">
        <v>236.69952267303103</v>
      </c>
      <c r="P2352" t="str">
        <f t="shared" si="217"/>
        <v>Normal</v>
      </c>
      <c r="Q2352">
        <v>120</v>
      </c>
      <c r="R2352">
        <v>75.5</v>
      </c>
      <c r="S2352">
        <v>24.77</v>
      </c>
      <c r="T2352" t="str">
        <f t="shared" si="218"/>
        <v>Normal</v>
      </c>
      <c r="U2352">
        <v>65</v>
      </c>
      <c r="V2352">
        <v>81.96365524402907</v>
      </c>
      <c r="W2352" t="str">
        <f t="shared" si="221"/>
        <v>Normal</v>
      </c>
      <c r="X2352">
        <v>0</v>
      </c>
    </row>
    <row r="2353" spans="1:24" ht="14.5" thickBot="1" x14ac:dyDescent="0.35">
      <c r="A2353">
        <v>1</v>
      </c>
      <c r="B2353" t="str">
        <f t="shared" si="219"/>
        <v>Male</v>
      </c>
      <c r="C2353" s="8">
        <v>50</v>
      </c>
      <c r="D2353" t="str">
        <f t="shared" si="220"/>
        <v>Middle Age</v>
      </c>
      <c r="E2353">
        <v>2</v>
      </c>
      <c r="F2353" t="str">
        <f>HLOOKUP(E2353, LookUP_Table!$A$6:$D$7, 2, FALSE)</f>
        <v>Secondary</v>
      </c>
      <c r="G2353" t="str">
        <f>IFERROR(VLOOKUP(E2353, LookUP_Table!$A$1:$B$4, 2, FALSE), "")</f>
        <v>Secondary</v>
      </c>
      <c r="H2353">
        <v>1</v>
      </c>
      <c r="I2353">
        <v>20</v>
      </c>
      <c r="J2353" t="str">
        <f t="shared" si="216"/>
        <v>Smoker</v>
      </c>
      <c r="K2353">
        <v>0</v>
      </c>
      <c r="L2353">
        <v>0</v>
      </c>
      <c r="M2353">
        <v>0</v>
      </c>
      <c r="N2353">
        <v>0</v>
      </c>
      <c r="O2353">
        <v>262</v>
      </c>
      <c r="P2353" t="str">
        <f t="shared" si="217"/>
        <v>High</v>
      </c>
      <c r="Q2353">
        <v>97.5</v>
      </c>
      <c r="R2353">
        <v>62.5</v>
      </c>
      <c r="S2353">
        <v>21.55</v>
      </c>
      <c r="T2353" t="str">
        <f t="shared" si="218"/>
        <v>Normal</v>
      </c>
      <c r="U2353">
        <v>80</v>
      </c>
      <c r="V2353">
        <v>84</v>
      </c>
      <c r="W2353" t="str">
        <f t="shared" si="221"/>
        <v>Normal</v>
      </c>
      <c r="X2353">
        <v>0</v>
      </c>
    </row>
    <row r="2354" spans="1:24" ht="14.5" thickBot="1" x14ac:dyDescent="0.35">
      <c r="A2354">
        <v>1</v>
      </c>
      <c r="B2354" t="str">
        <f t="shared" si="219"/>
        <v>Male</v>
      </c>
      <c r="C2354" s="8">
        <v>50</v>
      </c>
      <c r="D2354" t="str">
        <f t="shared" si="220"/>
        <v>Middle Age</v>
      </c>
      <c r="E2354">
        <v>2</v>
      </c>
      <c r="F2354" t="str">
        <f>HLOOKUP(E2354, LookUP_Table!$A$6:$D$7, 2, FALSE)</f>
        <v>Secondary</v>
      </c>
      <c r="G2354" t="str">
        <f>IFERROR(VLOOKUP(E2354, LookUP_Table!$A$1:$B$4, 2, FALSE), "")</f>
        <v>Secondary</v>
      </c>
      <c r="H2354">
        <v>1</v>
      </c>
      <c r="I2354">
        <v>20</v>
      </c>
      <c r="J2354" t="str">
        <f t="shared" si="216"/>
        <v>Smoker</v>
      </c>
      <c r="K2354">
        <v>0</v>
      </c>
      <c r="L2354">
        <v>0</v>
      </c>
      <c r="M2354">
        <v>0</v>
      </c>
      <c r="N2354">
        <v>0</v>
      </c>
      <c r="O2354">
        <v>256</v>
      </c>
      <c r="P2354" t="str">
        <f t="shared" si="217"/>
        <v>High</v>
      </c>
      <c r="Q2354">
        <v>130</v>
      </c>
      <c r="R2354">
        <v>84</v>
      </c>
      <c r="S2354">
        <v>28.67</v>
      </c>
      <c r="T2354" t="str">
        <f t="shared" si="218"/>
        <v>Overweight</v>
      </c>
      <c r="U2354">
        <v>70</v>
      </c>
      <c r="V2354">
        <v>67</v>
      </c>
      <c r="W2354" t="str">
        <f t="shared" si="221"/>
        <v>Normal</v>
      </c>
      <c r="X2354">
        <v>0</v>
      </c>
    </row>
    <row r="2355" spans="1:24" ht="14.5" thickBot="1" x14ac:dyDescent="0.35">
      <c r="A2355">
        <v>1</v>
      </c>
      <c r="B2355" t="str">
        <f t="shared" si="219"/>
        <v>Male</v>
      </c>
      <c r="C2355" s="8">
        <v>50</v>
      </c>
      <c r="D2355" t="str">
        <f t="shared" si="220"/>
        <v>Middle Age</v>
      </c>
      <c r="E2355">
        <v>1</v>
      </c>
      <c r="F2355" t="str">
        <f>HLOOKUP(E2355, LookUP_Table!$A$6:$D$7, 2, FALSE)</f>
        <v>Primary</v>
      </c>
      <c r="G2355" t="str">
        <f>IFERROR(VLOOKUP(E2355, LookUP_Table!$A$1:$B$4, 2, FALSE), "")</f>
        <v>Primary</v>
      </c>
      <c r="H2355">
        <v>0</v>
      </c>
      <c r="I2355">
        <v>0</v>
      </c>
      <c r="J2355" t="str">
        <f t="shared" si="216"/>
        <v>Non-Smoker</v>
      </c>
      <c r="K2355">
        <v>0</v>
      </c>
      <c r="L2355">
        <v>0</v>
      </c>
      <c r="M2355">
        <v>0</v>
      </c>
      <c r="N2355">
        <v>0</v>
      </c>
      <c r="O2355">
        <v>282</v>
      </c>
      <c r="P2355" t="str">
        <f t="shared" si="217"/>
        <v>High</v>
      </c>
      <c r="Q2355">
        <v>126.5</v>
      </c>
      <c r="R2355">
        <v>88</v>
      </c>
      <c r="S2355">
        <v>27.3</v>
      </c>
      <c r="T2355" t="str">
        <f t="shared" si="218"/>
        <v>Overweight</v>
      </c>
      <c r="U2355">
        <v>85</v>
      </c>
      <c r="V2355">
        <v>87</v>
      </c>
      <c r="W2355" t="str">
        <f t="shared" si="221"/>
        <v>Normal</v>
      </c>
      <c r="X2355">
        <v>0</v>
      </c>
    </row>
    <row r="2356" spans="1:24" ht="14.5" thickBot="1" x14ac:dyDescent="0.35">
      <c r="A2356">
        <v>1</v>
      </c>
      <c r="B2356" t="str">
        <f t="shared" si="219"/>
        <v>Male</v>
      </c>
      <c r="C2356" s="8">
        <v>50</v>
      </c>
      <c r="D2356" t="str">
        <f t="shared" si="220"/>
        <v>Middle Age</v>
      </c>
      <c r="E2356">
        <v>1</v>
      </c>
      <c r="F2356" t="str">
        <f>HLOOKUP(E2356, LookUP_Table!$A$6:$D$7, 2, FALSE)</f>
        <v>Primary</v>
      </c>
      <c r="G2356" t="str">
        <f>IFERROR(VLOOKUP(E2356, LookUP_Table!$A$1:$B$4, 2, FALSE), "")</f>
        <v>Primary</v>
      </c>
      <c r="H2356">
        <v>0</v>
      </c>
      <c r="I2356">
        <v>0</v>
      </c>
      <c r="J2356" t="str">
        <f t="shared" si="216"/>
        <v>Non-Smoker</v>
      </c>
      <c r="K2356">
        <v>0</v>
      </c>
      <c r="L2356">
        <v>0</v>
      </c>
      <c r="M2356">
        <v>0</v>
      </c>
      <c r="N2356">
        <v>0</v>
      </c>
      <c r="O2356">
        <v>260</v>
      </c>
      <c r="P2356" t="str">
        <f t="shared" si="217"/>
        <v>High</v>
      </c>
      <c r="Q2356">
        <v>119</v>
      </c>
      <c r="R2356">
        <v>74</v>
      </c>
      <c r="S2356">
        <v>21.85</v>
      </c>
      <c r="T2356" t="str">
        <f t="shared" si="218"/>
        <v>Normal</v>
      </c>
      <c r="U2356">
        <v>80</v>
      </c>
      <c r="V2356">
        <v>72</v>
      </c>
      <c r="W2356" t="str">
        <f t="shared" si="221"/>
        <v>Normal</v>
      </c>
      <c r="X2356">
        <v>1</v>
      </c>
    </row>
    <row r="2357" spans="1:24" ht="14.5" thickBot="1" x14ac:dyDescent="0.35">
      <c r="A2357">
        <v>0</v>
      </c>
      <c r="B2357" t="str">
        <f t="shared" si="219"/>
        <v>Female</v>
      </c>
      <c r="C2357" s="8">
        <v>50</v>
      </c>
      <c r="D2357" t="str">
        <f t="shared" si="220"/>
        <v>Middle Age</v>
      </c>
      <c r="E2357">
        <v>1</v>
      </c>
      <c r="F2357" t="str">
        <f>HLOOKUP(E2357, LookUP_Table!$A$6:$D$7, 2, FALSE)</f>
        <v>Primary</v>
      </c>
      <c r="G2357" t="str">
        <f>IFERROR(VLOOKUP(E2357, LookUP_Table!$A$1:$B$4, 2, FALSE), "")</f>
        <v>Primary</v>
      </c>
      <c r="H2357">
        <v>0</v>
      </c>
      <c r="I2357">
        <v>0</v>
      </c>
      <c r="J2357" t="str">
        <f t="shared" si="216"/>
        <v>Non-Smoker</v>
      </c>
      <c r="K2357">
        <v>0</v>
      </c>
      <c r="L2357">
        <v>0</v>
      </c>
      <c r="M2357">
        <v>1</v>
      </c>
      <c r="N2357">
        <v>1</v>
      </c>
      <c r="O2357">
        <v>260</v>
      </c>
      <c r="P2357" t="str">
        <f t="shared" si="217"/>
        <v>High</v>
      </c>
      <c r="Q2357">
        <v>190</v>
      </c>
      <c r="R2357">
        <v>130</v>
      </c>
      <c r="S2357">
        <v>43.67</v>
      </c>
      <c r="T2357" t="str">
        <f t="shared" si="218"/>
        <v>Obese</v>
      </c>
      <c r="U2357">
        <v>85</v>
      </c>
      <c r="V2357">
        <v>260</v>
      </c>
      <c r="W2357" t="str">
        <f t="shared" si="221"/>
        <v>Diabetes</v>
      </c>
      <c r="X2357">
        <v>0</v>
      </c>
    </row>
    <row r="2358" spans="1:24" ht="14.5" thickBot="1" x14ac:dyDescent="0.35">
      <c r="A2358">
        <v>1</v>
      </c>
      <c r="B2358" t="str">
        <f t="shared" si="219"/>
        <v>Male</v>
      </c>
      <c r="C2358" s="8">
        <v>50</v>
      </c>
      <c r="D2358" t="str">
        <f t="shared" si="220"/>
        <v>Middle Age</v>
      </c>
      <c r="E2358">
        <v>1</v>
      </c>
      <c r="F2358" t="str">
        <f>HLOOKUP(E2358, LookUP_Table!$A$6:$D$7, 2, FALSE)</f>
        <v>Primary</v>
      </c>
      <c r="G2358" t="str">
        <f>IFERROR(VLOOKUP(E2358, LookUP_Table!$A$1:$B$4, 2, FALSE), "")</f>
        <v>Primary</v>
      </c>
      <c r="H2358">
        <v>1</v>
      </c>
      <c r="I2358">
        <v>1</v>
      </c>
      <c r="J2358" t="str">
        <f t="shared" si="216"/>
        <v>Smoker</v>
      </c>
      <c r="K2358">
        <v>0</v>
      </c>
      <c r="L2358">
        <v>0</v>
      </c>
      <c r="M2358">
        <v>1</v>
      </c>
      <c r="N2358">
        <v>0</v>
      </c>
      <c r="O2358">
        <v>313</v>
      </c>
      <c r="P2358" t="str">
        <f t="shared" si="217"/>
        <v>High</v>
      </c>
      <c r="Q2358">
        <v>179</v>
      </c>
      <c r="R2358">
        <v>92</v>
      </c>
      <c r="S2358">
        <v>25.97</v>
      </c>
      <c r="T2358" t="str">
        <f t="shared" si="218"/>
        <v>Overweight</v>
      </c>
      <c r="U2358">
        <v>66</v>
      </c>
      <c r="V2358">
        <v>86</v>
      </c>
      <c r="W2358" t="str">
        <f t="shared" si="221"/>
        <v>Normal</v>
      </c>
      <c r="X2358">
        <v>1</v>
      </c>
    </row>
    <row r="2359" spans="1:24" ht="14.5" thickBot="1" x14ac:dyDescent="0.35">
      <c r="A2359">
        <v>1</v>
      </c>
      <c r="B2359" t="str">
        <f t="shared" si="219"/>
        <v>Male</v>
      </c>
      <c r="C2359" s="8">
        <v>51</v>
      </c>
      <c r="D2359" t="str">
        <f t="shared" si="220"/>
        <v>Middle Age</v>
      </c>
      <c r="E2359">
        <v>4</v>
      </c>
      <c r="F2359" t="str">
        <f>HLOOKUP(E2359, LookUP_Table!$A$6:$D$7, 2, FALSE)</f>
        <v>Post Graduate</v>
      </c>
      <c r="G2359" t="str">
        <f>IFERROR(VLOOKUP(E2359, LookUP_Table!$A$1:$B$4, 2, FALSE), "")</f>
        <v>Post Graduate</v>
      </c>
      <c r="H2359">
        <v>0</v>
      </c>
      <c r="I2359">
        <v>0</v>
      </c>
      <c r="J2359" t="str">
        <f t="shared" si="216"/>
        <v>Non-Smoker</v>
      </c>
      <c r="K2359">
        <v>0</v>
      </c>
      <c r="L2359">
        <v>0</v>
      </c>
      <c r="M2359">
        <v>0</v>
      </c>
      <c r="N2359">
        <v>0</v>
      </c>
      <c r="O2359">
        <v>216</v>
      </c>
      <c r="P2359" t="str">
        <f t="shared" si="217"/>
        <v>Normal</v>
      </c>
      <c r="Q2359">
        <v>112</v>
      </c>
      <c r="R2359">
        <v>66</v>
      </c>
      <c r="S2359">
        <v>23.47</v>
      </c>
      <c r="T2359" t="str">
        <f t="shared" si="218"/>
        <v>Normal</v>
      </c>
      <c r="U2359">
        <v>90</v>
      </c>
      <c r="V2359">
        <v>95</v>
      </c>
      <c r="W2359" t="str">
        <f t="shared" si="221"/>
        <v>Normal</v>
      </c>
      <c r="X2359">
        <v>0</v>
      </c>
    </row>
    <row r="2360" spans="1:24" ht="14.5" thickBot="1" x14ac:dyDescent="0.35">
      <c r="A2360">
        <v>0</v>
      </c>
      <c r="B2360" t="str">
        <f t="shared" si="219"/>
        <v>Female</v>
      </c>
      <c r="C2360" s="8">
        <v>51</v>
      </c>
      <c r="D2360" t="str">
        <f t="shared" si="220"/>
        <v>Middle Age</v>
      </c>
      <c r="E2360">
        <v>1</v>
      </c>
      <c r="F2360" t="str">
        <f>HLOOKUP(E2360, LookUP_Table!$A$6:$D$7, 2, FALSE)</f>
        <v>Primary</v>
      </c>
      <c r="G2360" t="str">
        <f>IFERROR(VLOOKUP(E2360, LookUP_Table!$A$1:$B$4, 2, FALSE), "")</f>
        <v>Primary</v>
      </c>
      <c r="H2360">
        <v>0</v>
      </c>
      <c r="I2360">
        <v>0</v>
      </c>
      <c r="J2360" t="str">
        <f t="shared" si="216"/>
        <v>Non-Smoker</v>
      </c>
      <c r="K2360">
        <v>0</v>
      </c>
      <c r="L2360">
        <v>0</v>
      </c>
      <c r="M2360">
        <v>0</v>
      </c>
      <c r="N2360">
        <v>0</v>
      </c>
      <c r="O2360">
        <v>244</v>
      </c>
      <c r="P2360" t="str">
        <f t="shared" si="217"/>
        <v>High</v>
      </c>
      <c r="Q2360">
        <v>102</v>
      </c>
      <c r="R2360">
        <v>71.5</v>
      </c>
      <c r="S2360">
        <v>27.38</v>
      </c>
      <c r="T2360" t="str">
        <f t="shared" si="218"/>
        <v>Overweight</v>
      </c>
      <c r="U2360">
        <v>71</v>
      </c>
      <c r="V2360">
        <v>77</v>
      </c>
      <c r="W2360" t="str">
        <f t="shared" si="221"/>
        <v>Normal</v>
      </c>
      <c r="X2360">
        <v>0</v>
      </c>
    </row>
    <row r="2361" spans="1:24" ht="14.5" thickBot="1" x14ac:dyDescent="0.35">
      <c r="A2361">
        <v>1</v>
      </c>
      <c r="B2361" t="str">
        <f t="shared" si="219"/>
        <v>Male</v>
      </c>
      <c r="C2361" s="8">
        <v>51</v>
      </c>
      <c r="D2361" t="str">
        <f t="shared" si="220"/>
        <v>Middle Age</v>
      </c>
      <c r="E2361">
        <v>3</v>
      </c>
      <c r="F2361" t="str">
        <f>HLOOKUP(E2361, LookUP_Table!$A$6:$D$7, 2, FALSE)</f>
        <v>Graduate</v>
      </c>
      <c r="G2361" t="str">
        <f>IFERROR(VLOOKUP(E2361, LookUP_Table!$A$1:$B$4, 2, FALSE), "")</f>
        <v>Graduate</v>
      </c>
      <c r="H2361">
        <v>0</v>
      </c>
      <c r="I2361">
        <v>0</v>
      </c>
      <c r="J2361" t="str">
        <f t="shared" si="216"/>
        <v>Non-Smoker</v>
      </c>
      <c r="K2361">
        <v>0</v>
      </c>
      <c r="L2361">
        <v>0</v>
      </c>
      <c r="M2361">
        <v>1</v>
      </c>
      <c r="N2361">
        <v>0</v>
      </c>
      <c r="O2361">
        <v>214</v>
      </c>
      <c r="P2361" t="str">
        <f t="shared" si="217"/>
        <v>Normal</v>
      </c>
      <c r="Q2361">
        <v>145</v>
      </c>
      <c r="R2361">
        <v>92.5</v>
      </c>
      <c r="S2361">
        <v>26.09</v>
      </c>
      <c r="T2361" t="str">
        <f t="shared" si="218"/>
        <v>Overweight</v>
      </c>
      <c r="U2361">
        <v>70</v>
      </c>
      <c r="V2361">
        <v>81.96365524402907</v>
      </c>
      <c r="W2361" t="str">
        <f t="shared" si="221"/>
        <v>Normal</v>
      </c>
      <c r="X2361">
        <v>0</v>
      </c>
    </row>
    <row r="2362" spans="1:24" ht="14.5" thickBot="1" x14ac:dyDescent="0.35">
      <c r="A2362">
        <v>1</v>
      </c>
      <c r="B2362" t="str">
        <f t="shared" si="219"/>
        <v>Male</v>
      </c>
      <c r="C2362" s="8">
        <v>51</v>
      </c>
      <c r="D2362" t="str">
        <f t="shared" si="220"/>
        <v>Middle Age</v>
      </c>
      <c r="E2362">
        <v>4</v>
      </c>
      <c r="F2362" t="str">
        <f>HLOOKUP(E2362, LookUP_Table!$A$6:$D$7, 2, FALSE)</f>
        <v>Post Graduate</v>
      </c>
      <c r="G2362" t="str">
        <f>IFERROR(VLOOKUP(E2362, LookUP_Table!$A$1:$B$4, 2, FALSE), "")</f>
        <v>Post Graduate</v>
      </c>
      <c r="H2362">
        <v>1</v>
      </c>
      <c r="I2362">
        <v>15</v>
      </c>
      <c r="J2362" t="str">
        <f t="shared" si="216"/>
        <v>Smoker</v>
      </c>
      <c r="K2362">
        <v>0</v>
      </c>
      <c r="L2362">
        <v>0</v>
      </c>
      <c r="M2362">
        <v>0</v>
      </c>
      <c r="N2362">
        <v>0</v>
      </c>
      <c r="O2362">
        <v>238</v>
      </c>
      <c r="P2362" t="str">
        <f t="shared" si="217"/>
        <v>Normal</v>
      </c>
      <c r="Q2362">
        <v>125</v>
      </c>
      <c r="R2362">
        <v>80</v>
      </c>
      <c r="S2362">
        <v>19.36</v>
      </c>
      <c r="T2362" t="str">
        <f t="shared" si="218"/>
        <v>Normal</v>
      </c>
      <c r="U2362">
        <v>60</v>
      </c>
      <c r="V2362">
        <v>66</v>
      </c>
      <c r="W2362" t="str">
        <f t="shared" si="221"/>
        <v>Normal</v>
      </c>
      <c r="X2362">
        <v>0</v>
      </c>
    </row>
    <row r="2363" spans="1:24" ht="14.5" thickBot="1" x14ac:dyDescent="0.35">
      <c r="A2363">
        <v>0</v>
      </c>
      <c r="B2363" t="str">
        <f t="shared" si="219"/>
        <v>Female</v>
      </c>
      <c r="C2363" s="8">
        <v>51</v>
      </c>
      <c r="D2363" t="str">
        <f t="shared" si="220"/>
        <v>Middle Age</v>
      </c>
      <c r="E2363">
        <v>2</v>
      </c>
      <c r="F2363" t="str">
        <f>HLOOKUP(E2363, LookUP_Table!$A$6:$D$7, 2, FALSE)</f>
        <v>Secondary</v>
      </c>
      <c r="G2363" t="str">
        <f>IFERROR(VLOOKUP(E2363, LookUP_Table!$A$1:$B$4, 2, FALSE), "")</f>
        <v>Secondary</v>
      </c>
      <c r="H2363">
        <v>0</v>
      </c>
      <c r="I2363">
        <v>0</v>
      </c>
      <c r="J2363" t="str">
        <f t="shared" si="216"/>
        <v>Non-Smoker</v>
      </c>
      <c r="K2363">
        <v>0</v>
      </c>
      <c r="L2363">
        <v>0</v>
      </c>
      <c r="M2363">
        <v>0</v>
      </c>
      <c r="N2363">
        <v>0</v>
      </c>
      <c r="O2363">
        <v>284</v>
      </c>
      <c r="P2363" t="str">
        <f t="shared" si="217"/>
        <v>High</v>
      </c>
      <c r="Q2363">
        <v>132</v>
      </c>
      <c r="R2363">
        <v>78</v>
      </c>
      <c r="S2363">
        <v>21.94</v>
      </c>
      <c r="T2363" t="str">
        <f t="shared" si="218"/>
        <v>Normal</v>
      </c>
      <c r="U2363">
        <v>68</v>
      </c>
      <c r="V2363">
        <v>94</v>
      </c>
      <c r="W2363" t="str">
        <f t="shared" si="221"/>
        <v>Normal</v>
      </c>
      <c r="X2363">
        <v>1</v>
      </c>
    </row>
    <row r="2364" spans="1:24" ht="14.5" thickBot="1" x14ac:dyDescent="0.35">
      <c r="A2364">
        <v>1</v>
      </c>
      <c r="B2364" t="str">
        <f t="shared" si="219"/>
        <v>Male</v>
      </c>
      <c r="C2364" s="8">
        <v>51</v>
      </c>
      <c r="D2364" t="str">
        <f t="shared" si="220"/>
        <v>Middle Age</v>
      </c>
      <c r="E2364">
        <v>3</v>
      </c>
      <c r="F2364" t="str">
        <f>HLOOKUP(E2364, LookUP_Table!$A$6:$D$7, 2, FALSE)</f>
        <v>Graduate</v>
      </c>
      <c r="G2364" t="str">
        <f>IFERROR(VLOOKUP(E2364, LookUP_Table!$A$1:$B$4, 2, FALSE), "")</f>
        <v>Graduate</v>
      </c>
      <c r="H2364">
        <v>0</v>
      </c>
      <c r="I2364">
        <v>0</v>
      </c>
      <c r="J2364" t="str">
        <f t="shared" si="216"/>
        <v>Non-Smoker</v>
      </c>
      <c r="K2364">
        <v>0</v>
      </c>
      <c r="L2364">
        <v>0</v>
      </c>
      <c r="M2364">
        <v>0</v>
      </c>
      <c r="N2364">
        <v>0</v>
      </c>
      <c r="O2364">
        <v>245</v>
      </c>
      <c r="P2364" t="str">
        <f t="shared" si="217"/>
        <v>High</v>
      </c>
      <c r="Q2364">
        <v>124</v>
      </c>
      <c r="R2364">
        <v>69</v>
      </c>
      <c r="S2364">
        <v>21.52</v>
      </c>
      <c r="T2364" t="str">
        <f t="shared" si="218"/>
        <v>Normal</v>
      </c>
      <c r="U2364">
        <v>85</v>
      </c>
      <c r="V2364">
        <v>81.96365524402907</v>
      </c>
      <c r="W2364" t="str">
        <f t="shared" si="221"/>
        <v>Normal</v>
      </c>
      <c r="X2364">
        <v>0</v>
      </c>
    </row>
    <row r="2365" spans="1:24" ht="14.5" thickBot="1" x14ac:dyDescent="0.35">
      <c r="A2365">
        <v>0</v>
      </c>
      <c r="B2365" t="str">
        <f t="shared" si="219"/>
        <v>Female</v>
      </c>
      <c r="C2365" s="8">
        <v>51</v>
      </c>
      <c r="D2365" t="str">
        <f t="shared" si="220"/>
        <v>Middle Age</v>
      </c>
      <c r="E2365">
        <v>3</v>
      </c>
      <c r="F2365" t="str">
        <f>HLOOKUP(E2365, LookUP_Table!$A$6:$D$7, 2, FALSE)</f>
        <v>Graduate</v>
      </c>
      <c r="G2365" t="str">
        <f>IFERROR(VLOOKUP(E2365, LookUP_Table!$A$1:$B$4, 2, FALSE), "")</f>
        <v>Graduate</v>
      </c>
      <c r="H2365">
        <v>1</v>
      </c>
      <c r="I2365">
        <v>4</v>
      </c>
      <c r="J2365" t="str">
        <f t="shared" si="216"/>
        <v>Smoker</v>
      </c>
      <c r="K2365">
        <v>0</v>
      </c>
      <c r="L2365">
        <v>0</v>
      </c>
      <c r="M2365">
        <v>0</v>
      </c>
      <c r="N2365">
        <v>0</v>
      </c>
      <c r="O2365">
        <v>220</v>
      </c>
      <c r="P2365" t="str">
        <f t="shared" si="217"/>
        <v>Normal</v>
      </c>
      <c r="Q2365">
        <v>112</v>
      </c>
      <c r="R2365">
        <v>74</v>
      </c>
      <c r="S2365">
        <v>31.23</v>
      </c>
      <c r="T2365" t="str">
        <f t="shared" si="218"/>
        <v>Obese</v>
      </c>
      <c r="U2365">
        <v>88</v>
      </c>
      <c r="V2365">
        <v>66</v>
      </c>
      <c r="W2365" t="str">
        <f t="shared" si="221"/>
        <v>Normal</v>
      </c>
      <c r="X2365">
        <v>0</v>
      </c>
    </row>
    <row r="2366" spans="1:24" ht="14.5" thickBot="1" x14ac:dyDescent="0.35">
      <c r="A2366">
        <v>1</v>
      </c>
      <c r="B2366" t="str">
        <f t="shared" si="219"/>
        <v>Male</v>
      </c>
      <c r="C2366" s="8">
        <v>51</v>
      </c>
      <c r="D2366" t="str">
        <f t="shared" si="220"/>
        <v>Middle Age</v>
      </c>
      <c r="E2366">
        <v>1</v>
      </c>
      <c r="F2366" t="str">
        <f>HLOOKUP(E2366, LookUP_Table!$A$6:$D$7, 2, FALSE)</f>
        <v>Primary</v>
      </c>
      <c r="G2366" t="str">
        <f>IFERROR(VLOOKUP(E2366, LookUP_Table!$A$1:$B$4, 2, FALSE), "")</f>
        <v>Primary</v>
      </c>
      <c r="H2366">
        <v>1</v>
      </c>
      <c r="I2366">
        <v>30</v>
      </c>
      <c r="J2366" t="str">
        <f t="shared" si="216"/>
        <v>Smoker</v>
      </c>
      <c r="K2366">
        <v>0</v>
      </c>
      <c r="L2366">
        <v>0</v>
      </c>
      <c r="M2366">
        <v>0</v>
      </c>
      <c r="N2366">
        <v>0</v>
      </c>
      <c r="O2366">
        <v>241</v>
      </c>
      <c r="P2366" t="str">
        <f t="shared" si="217"/>
        <v>High</v>
      </c>
      <c r="Q2366">
        <v>126.5</v>
      </c>
      <c r="R2366">
        <v>78.5</v>
      </c>
      <c r="S2366">
        <v>29.91</v>
      </c>
      <c r="T2366" t="str">
        <f t="shared" si="218"/>
        <v>Overweight</v>
      </c>
      <c r="U2366">
        <v>85</v>
      </c>
      <c r="V2366">
        <v>70</v>
      </c>
      <c r="W2366" t="str">
        <f t="shared" si="221"/>
        <v>Normal</v>
      </c>
      <c r="X2366">
        <v>1</v>
      </c>
    </row>
    <row r="2367" spans="1:24" ht="14.5" thickBot="1" x14ac:dyDescent="0.35">
      <c r="A2367">
        <v>1</v>
      </c>
      <c r="B2367" t="str">
        <f t="shared" si="219"/>
        <v>Male</v>
      </c>
      <c r="C2367" s="8">
        <v>51</v>
      </c>
      <c r="D2367" t="str">
        <f t="shared" si="220"/>
        <v>Middle Age</v>
      </c>
      <c r="E2367">
        <v>1</v>
      </c>
      <c r="F2367" t="str">
        <f>HLOOKUP(E2367, LookUP_Table!$A$6:$D$7, 2, FALSE)</f>
        <v>Primary</v>
      </c>
      <c r="G2367" t="str">
        <f>IFERROR(VLOOKUP(E2367, LookUP_Table!$A$1:$B$4, 2, FALSE), "")</f>
        <v>Primary</v>
      </c>
      <c r="H2367">
        <v>1</v>
      </c>
      <c r="I2367">
        <v>30</v>
      </c>
      <c r="J2367" t="str">
        <f t="shared" si="216"/>
        <v>Smoker</v>
      </c>
      <c r="K2367">
        <v>0</v>
      </c>
      <c r="L2367">
        <v>0</v>
      </c>
      <c r="M2367">
        <v>1</v>
      </c>
      <c r="N2367">
        <v>0</v>
      </c>
      <c r="O2367">
        <v>230</v>
      </c>
      <c r="P2367" t="str">
        <f t="shared" si="217"/>
        <v>Normal</v>
      </c>
      <c r="Q2367">
        <v>171</v>
      </c>
      <c r="R2367">
        <v>112</v>
      </c>
      <c r="S2367">
        <v>25.08</v>
      </c>
      <c r="T2367" t="str">
        <f t="shared" si="218"/>
        <v>Overweight</v>
      </c>
      <c r="U2367">
        <v>95</v>
      </c>
      <c r="V2367">
        <v>88</v>
      </c>
      <c r="W2367" t="str">
        <f t="shared" si="221"/>
        <v>Normal</v>
      </c>
      <c r="X2367">
        <v>1</v>
      </c>
    </row>
    <row r="2368" spans="1:24" ht="14.5" thickBot="1" x14ac:dyDescent="0.35">
      <c r="A2368">
        <v>1</v>
      </c>
      <c r="B2368" t="str">
        <f t="shared" si="219"/>
        <v>Male</v>
      </c>
      <c r="C2368" s="8">
        <v>51</v>
      </c>
      <c r="D2368" t="str">
        <f t="shared" si="220"/>
        <v>Middle Age</v>
      </c>
      <c r="E2368">
        <v>1</v>
      </c>
      <c r="F2368" t="str">
        <f>HLOOKUP(E2368, LookUP_Table!$A$6:$D$7, 2, FALSE)</f>
        <v>Primary</v>
      </c>
      <c r="G2368" t="str">
        <f>IFERROR(VLOOKUP(E2368, LookUP_Table!$A$1:$B$4, 2, FALSE), "")</f>
        <v>Primary</v>
      </c>
      <c r="H2368">
        <v>1</v>
      </c>
      <c r="I2368">
        <v>20</v>
      </c>
      <c r="J2368" t="str">
        <f t="shared" si="216"/>
        <v>Smoker</v>
      </c>
      <c r="K2368">
        <v>0</v>
      </c>
      <c r="L2368">
        <v>0</v>
      </c>
      <c r="M2368">
        <v>0</v>
      </c>
      <c r="N2368">
        <v>0</v>
      </c>
      <c r="O2368">
        <v>240</v>
      </c>
      <c r="P2368" t="str">
        <f t="shared" si="217"/>
        <v>Normal</v>
      </c>
      <c r="Q2368">
        <v>146.5</v>
      </c>
      <c r="R2368">
        <v>83</v>
      </c>
      <c r="S2368">
        <v>25.62</v>
      </c>
      <c r="T2368" t="str">
        <f t="shared" si="218"/>
        <v>Overweight</v>
      </c>
      <c r="U2368">
        <v>83</v>
      </c>
      <c r="V2368">
        <v>140</v>
      </c>
      <c r="W2368" t="str">
        <f t="shared" si="221"/>
        <v>Diabetes</v>
      </c>
      <c r="X2368">
        <v>0</v>
      </c>
    </row>
    <row r="2369" spans="1:24" ht="14.5" thickBot="1" x14ac:dyDescent="0.35">
      <c r="A2369">
        <v>1</v>
      </c>
      <c r="B2369" t="str">
        <f t="shared" si="219"/>
        <v>Male</v>
      </c>
      <c r="C2369" s="8">
        <v>51</v>
      </c>
      <c r="D2369" t="str">
        <f t="shared" si="220"/>
        <v>Middle Age</v>
      </c>
      <c r="E2369">
        <v>1</v>
      </c>
      <c r="F2369" t="str">
        <f>HLOOKUP(E2369, LookUP_Table!$A$6:$D$7, 2, FALSE)</f>
        <v>Primary</v>
      </c>
      <c r="G2369" t="str">
        <f>IFERROR(VLOOKUP(E2369, LookUP_Table!$A$1:$B$4, 2, FALSE), "")</f>
        <v>Primary</v>
      </c>
      <c r="H2369">
        <v>1</v>
      </c>
      <c r="I2369">
        <v>20</v>
      </c>
      <c r="J2369" t="str">
        <f t="shared" si="216"/>
        <v>Smoker</v>
      </c>
      <c r="K2369">
        <v>0</v>
      </c>
      <c r="L2369">
        <v>0</v>
      </c>
      <c r="M2369">
        <v>0</v>
      </c>
      <c r="N2369">
        <v>0</v>
      </c>
      <c r="O2369">
        <v>300</v>
      </c>
      <c r="P2369" t="str">
        <f t="shared" si="217"/>
        <v>High</v>
      </c>
      <c r="Q2369">
        <v>134</v>
      </c>
      <c r="R2369">
        <v>86.5</v>
      </c>
      <c r="S2369">
        <v>24.76</v>
      </c>
      <c r="T2369" t="str">
        <f t="shared" si="218"/>
        <v>Normal</v>
      </c>
      <c r="U2369">
        <v>90</v>
      </c>
      <c r="V2369">
        <v>81</v>
      </c>
      <c r="W2369" t="str">
        <f t="shared" si="221"/>
        <v>Normal</v>
      </c>
      <c r="X2369">
        <v>0</v>
      </c>
    </row>
    <row r="2370" spans="1:24" ht="14.5" thickBot="1" x14ac:dyDescent="0.35">
      <c r="A2370">
        <v>0</v>
      </c>
      <c r="B2370" t="str">
        <f t="shared" si="219"/>
        <v>Female</v>
      </c>
      <c r="C2370" s="8">
        <v>51</v>
      </c>
      <c r="D2370" t="str">
        <f t="shared" si="220"/>
        <v>Middle Age</v>
      </c>
      <c r="E2370">
        <v>3</v>
      </c>
      <c r="F2370" t="str">
        <f>HLOOKUP(E2370, LookUP_Table!$A$6:$D$7, 2, FALSE)</f>
        <v>Graduate</v>
      </c>
      <c r="G2370" t="str">
        <f>IFERROR(VLOOKUP(E2370, LookUP_Table!$A$1:$B$4, 2, FALSE), "")</f>
        <v>Graduate</v>
      </c>
      <c r="H2370">
        <v>1</v>
      </c>
      <c r="I2370">
        <v>10</v>
      </c>
      <c r="J2370" t="str">
        <f t="shared" ref="J2370:J2433" si="222">IF(I2370&gt;0,"Smoker","Non-Smoker")</f>
        <v>Smoker</v>
      </c>
      <c r="K2370">
        <v>0</v>
      </c>
      <c r="L2370">
        <v>0</v>
      </c>
      <c r="M2370">
        <v>0</v>
      </c>
      <c r="N2370">
        <v>0</v>
      </c>
      <c r="O2370">
        <v>234</v>
      </c>
      <c r="P2370" t="str">
        <f t="shared" ref="P2370:P2433" si="223">IF(O2370&gt;240,"High","Normal")</f>
        <v>Normal</v>
      </c>
      <c r="Q2370">
        <v>98</v>
      </c>
      <c r="R2370">
        <v>68</v>
      </c>
      <c r="S2370">
        <v>18.8</v>
      </c>
      <c r="T2370" t="str">
        <f t="shared" ref="T2370:T2433" si="224">IF(S2370&lt;18.5,"Underweight",
IF(S2370&lt;25,"Normal",
IF(S2370&lt;30,"Overweight","Obese")))</f>
        <v>Normal</v>
      </c>
      <c r="U2370">
        <v>79</v>
      </c>
      <c r="V2370">
        <v>81.96365524402907</v>
      </c>
      <c r="W2370" t="str">
        <f t="shared" si="221"/>
        <v>Normal</v>
      </c>
      <c r="X2370">
        <v>1</v>
      </c>
    </row>
    <row r="2371" spans="1:24" ht="14.5" thickBot="1" x14ac:dyDescent="0.35">
      <c r="A2371">
        <v>0</v>
      </c>
      <c r="B2371" t="str">
        <f t="shared" ref="B2371:B2434" si="225">IF(A2371=0,"Female","Male")</f>
        <v>Female</v>
      </c>
      <c r="C2371" s="8">
        <v>51</v>
      </c>
      <c r="D2371" t="str">
        <f t="shared" ref="D2371:D2434" si="226">IF(C2371&lt;40,"Young",
IF(C2371&lt;55,"Middle Age","Senior"))</f>
        <v>Middle Age</v>
      </c>
      <c r="E2371">
        <v>4</v>
      </c>
      <c r="F2371" t="str">
        <f>HLOOKUP(E2371, LookUP_Table!$A$6:$D$7, 2, FALSE)</f>
        <v>Post Graduate</v>
      </c>
      <c r="G2371" t="str">
        <f>IFERROR(VLOOKUP(E2371, LookUP_Table!$A$1:$B$4, 2, FALSE), "")</f>
        <v>Post Graduate</v>
      </c>
      <c r="H2371">
        <v>1</v>
      </c>
      <c r="I2371">
        <v>9</v>
      </c>
      <c r="J2371" t="str">
        <f t="shared" si="222"/>
        <v>Smoker</v>
      </c>
      <c r="K2371">
        <v>0</v>
      </c>
      <c r="L2371">
        <v>0</v>
      </c>
      <c r="M2371">
        <v>1</v>
      </c>
      <c r="N2371">
        <v>0</v>
      </c>
      <c r="O2371">
        <v>320</v>
      </c>
      <c r="P2371" t="str">
        <f t="shared" si="223"/>
        <v>High</v>
      </c>
      <c r="Q2371">
        <v>145</v>
      </c>
      <c r="R2371">
        <v>85</v>
      </c>
      <c r="S2371">
        <v>24.03</v>
      </c>
      <c r="T2371" t="str">
        <f t="shared" si="224"/>
        <v>Normal</v>
      </c>
      <c r="U2371">
        <v>75</v>
      </c>
      <c r="V2371">
        <v>98</v>
      </c>
      <c r="W2371" t="str">
        <f t="shared" ref="W2371:W2434" si="227">IF(V2371 &lt; 100, "Normal", IF(V2371 &lt;= 125, "Prediabetes", "Diabetes"))</f>
        <v>Normal</v>
      </c>
      <c r="X2371">
        <v>0</v>
      </c>
    </row>
    <row r="2372" spans="1:24" ht="14.5" thickBot="1" x14ac:dyDescent="0.35">
      <c r="A2372">
        <v>0</v>
      </c>
      <c r="B2372" t="str">
        <f t="shared" si="225"/>
        <v>Female</v>
      </c>
      <c r="C2372" s="8">
        <v>51</v>
      </c>
      <c r="D2372" t="str">
        <f t="shared" si="226"/>
        <v>Middle Age</v>
      </c>
      <c r="E2372">
        <v>2</v>
      </c>
      <c r="F2372" t="str">
        <f>HLOOKUP(E2372, LookUP_Table!$A$6:$D$7, 2, FALSE)</f>
        <v>Secondary</v>
      </c>
      <c r="G2372" t="str">
        <f>IFERROR(VLOOKUP(E2372, LookUP_Table!$A$1:$B$4, 2, FALSE), "")</f>
        <v>Secondary</v>
      </c>
      <c r="H2372">
        <v>0</v>
      </c>
      <c r="I2372">
        <v>0</v>
      </c>
      <c r="J2372" t="str">
        <f t="shared" si="222"/>
        <v>Non-Smoker</v>
      </c>
      <c r="K2372">
        <v>0</v>
      </c>
      <c r="L2372">
        <v>0</v>
      </c>
      <c r="M2372">
        <v>0</v>
      </c>
      <c r="N2372">
        <v>0</v>
      </c>
      <c r="O2372">
        <v>220</v>
      </c>
      <c r="P2372" t="str">
        <f t="shared" si="223"/>
        <v>Normal</v>
      </c>
      <c r="Q2372">
        <v>98</v>
      </c>
      <c r="R2372">
        <v>64.5</v>
      </c>
      <c r="S2372">
        <v>21.14</v>
      </c>
      <c r="T2372" t="str">
        <f t="shared" si="224"/>
        <v>Normal</v>
      </c>
      <c r="U2372">
        <v>80</v>
      </c>
      <c r="V2372">
        <v>79</v>
      </c>
      <c r="W2372" t="str">
        <f t="shared" si="227"/>
        <v>Normal</v>
      </c>
      <c r="X2372">
        <v>0</v>
      </c>
    </row>
    <row r="2373" spans="1:24" ht="14.5" thickBot="1" x14ac:dyDescent="0.35">
      <c r="A2373">
        <v>1</v>
      </c>
      <c r="B2373" t="str">
        <f t="shared" si="225"/>
        <v>Male</v>
      </c>
      <c r="C2373" s="8">
        <v>51</v>
      </c>
      <c r="D2373" t="str">
        <f t="shared" si="226"/>
        <v>Middle Age</v>
      </c>
      <c r="E2373">
        <v>2</v>
      </c>
      <c r="F2373" t="str">
        <f>HLOOKUP(E2373, LookUP_Table!$A$6:$D$7, 2, FALSE)</f>
        <v>Secondary</v>
      </c>
      <c r="G2373" t="str">
        <f>IFERROR(VLOOKUP(E2373, LookUP_Table!$A$1:$B$4, 2, FALSE), "")</f>
        <v>Secondary</v>
      </c>
      <c r="H2373">
        <v>1</v>
      </c>
      <c r="I2373">
        <v>13</v>
      </c>
      <c r="J2373" t="str">
        <f t="shared" si="222"/>
        <v>Smoker</v>
      </c>
      <c r="K2373">
        <v>0</v>
      </c>
      <c r="L2373">
        <v>0</v>
      </c>
      <c r="M2373">
        <v>0</v>
      </c>
      <c r="N2373">
        <v>0</v>
      </c>
      <c r="O2373">
        <v>245</v>
      </c>
      <c r="P2373" t="str">
        <f t="shared" si="223"/>
        <v>High</v>
      </c>
      <c r="Q2373">
        <v>137</v>
      </c>
      <c r="R2373">
        <v>76</v>
      </c>
      <c r="S2373">
        <v>22.26</v>
      </c>
      <c r="T2373" t="str">
        <f t="shared" si="224"/>
        <v>Normal</v>
      </c>
      <c r="U2373">
        <v>83</v>
      </c>
      <c r="V2373">
        <v>73</v>
      </c>
      <c r="W2373" t="str">
        <f t="shared" si="227"/>
        <v>Normal</v>
      </c>
      <c r="X2373">
        <v>0</v>
      </c>
    </row>
    <row r="2374" spans="1:24" ht="14.5" thickBot="1" x14ac:dyDescent="0.35">
      <c r="A2374">
        <v>0</v>
      </c>
      <c r="B2374" t="str">
        <f t="shared" si="225"/>
        <v>Female</v>
      </c>
      <c r="C2374" s="8">
        <v>51</v>
      </c>
      <c r="D2374" t="str">
        <f t="shared" si="226"/>
        <v>Middle Age</v>
      </c>
      <c r="E2374">
        <v>3</v>
      </c>
      <c r="F2374" t="str">
        <f>HLOOKUP(E2374, LookUP_Table!$A$6:$D$7, 2, FALSE)</f>
        <v>Graduate</v>
      </c>
      <c r="G2374" t="str">
        <f>IFERROR(VLOOKUP(E2374, LookUP_Table!$A$1:$B$4, 2, FALSE), "")</f>
        <v>Graduate</v>
      </c>
      <c r="H2374">
        <v>1</v>
      </c>
      <c r="I2374">
        <v>5</v>
      </c>
      <c r="J2374" t="str">
        <f t="shared" si="222"/>
        <v>Smoker</v>
      </c>
      <c r="K2374">
        <v>0</v>
      </c>
      <c r="L2374">
        <v>0</v>
      </c>
      <c r="M2374">
        <v>0</v>
      </c>
      <c r="N2374">
        <v>0</v>
      </c>
      <c r="O2374">
        <v>248</v>
      </c>
      <c r="P2374" t="str">
        <f t="shared" si="223"/>
        <v>High</v>
      </c>
      <c r="Q2374">
        <v>139</v>
      </c>
      <c r="R2374">
        <v>81</v>
      </c>
      <c r="S2374">
        <v>31.16</v>
      </c>
      <c r="T2374" t="str">
        <f t="shared" si="224"/>
        <v>Obese</v>
      </c>
      <c r="U2374">
        <v>68</v>
      </c>
      <c r="V2374">
        <v>95</v>
      </c>
      <c r="W2374" t="str">
        <f t="shared" si="227"/>
        <v>Normal</v>
      </c>
      <c r="X2374">
        <v>0</v>
      </c>
    </row>
    <row r="2375" spans="1:24" ht="14.5" thickBot="1" x14ac:dyDescent="0.35">
      <c r="A2375">
        <v>0</v>
      </c>
      <c r="B2375" t="str">
        <f t="shared" si="225"/>
        <v>Female</v>
      </c>
      <c r="C2375" s="8">
        <v>51</v>
      </c>
      <c r="D2375" t="str">
        <f t="shared" si="226"/>
        <v>Middle Age</v>
      </c>
      <c r="E2375">
        <v>1</v>
      </c>
      <c r="F2375" t="str">
        <f>HLOOKUP(E2375, LookUP_Table!$A$6:$D$7, 2, FALSE)</f>
        <v>Primary</v>
      </c>
      <c r="G2375" t="str">
        <f>IFERROR(VLOOKUP(E2375, LookUP_Table!$A$1:$B$4, 2, FALSE), "")</f>
        <v>Primary</v>
      </c>
      <c r="H2375">
        <v>0</v>
      </c>
      <c r="I2375">
        <v>0</v>
      </c>
      <c r="J2375" t="str">
        <f t="shared" si="222"/>
        <v>Non-Smoker</v>
      </c>
      <c r="K2375">
        <v>0</v>
      </c>
      <c r="L2375">
        <v>0</v>
      </c>
      <c r="M2375">
        <v>1</v>
      </c>
      <c r="N2375">
        <v>0</v>
      </c>
      <c r="O2375">
        <v>287</v>
      </c>
      <c r="P2375" t="str">
        <f t="shared" si="223"/>
        <v>High</v>
      </c>
      <c r="Q2375">
        <v>139</v>
      </c>
      <c r="R2375">
        <v>92</v>
      </c>
      <c r="S2375">
        <v>37.479999999999997</v>
      </c>
      <c r="T2375" t="str">
        <f t="shared" si="224"/>
        <v>Obese</v>
      </c>
      <c r="U2375">
        <v>75</v>
      </c>
      <c r="V2375">
        <v>74</v>
      </c>
      <c r="W2375" t="str">
        <f t="shared" si="227"/>
        <v>Normal</v>
      </c>
      <c r="X2375">
        <v>1</v>
      </c>
    </row>
    <row r="2376" spans="1:24" ht="14.5" thickBot="1" x14ac:dyDescent="0.35">
      <c r="A2376">
        <v>0</v>
      </c>
      <c r="B2376" t="str">
        <f t="shared" si="225"/>
        <v>Female</v>
      </c>
      <c r="C2376" s="8">
        <v>51</v>
      </c>
      <c r="D2376" t="str">
        <f t="shared" si="226"/>
        <v>Middle Age</v>
      </c>
      <c r="E2376">
        <v>2</v>
      </c>
      <c r="F2376" t="str">
        <f>HLOOKUP(E2376, LookUP_Table!$A$6:$D$7, 2, FALSE)</f>
        <v>Secondary</v>
      </c>
      <c r="G2376" t="str">
        <f>IFERROR(VLOOKUP(E2376, LookUP_Table!$A$1:$B$4, 2, FALSE), "")</f>
        <v>Secondary</v>
      </c>
      <c r="H2376">
        <v>1</v>
      </c>
      <c r="I2376">
        <v>18</v>
      </c>
      <c r="J2376" t="str">
        <f t="shared" si="222"/>
        <v>Smoker</v>
      </c>
      <c r="K2376">
        <v>0</v>
      </c>
      <c r="L2376">
        <v>0</v>
      </c>
      <c r="M2376">
        <v>1</v>
      </c>
      <c r="N2376">
        <v>0</v>
      </c>
      <c r="O2376">
        <v>176</v>
      </c>
      <c r="P2376" t="str">
        <f t="shared" si="223"/>
        <v>Normal</v>
      </c>
      <c r="Q2376">
        <v>146</v>
      </c>
      <c r="R2376">
        <v>94</v>
      </c>
      <c r="S2376">
        <v>27.42</v>
      </c>
      <c r="T2376" t="str">
        <f t="shared" si="224"/>
        <v>Overweight</v>
      </c>
      <c r="U2376">
        <v>80</v>
      </c>
      <c r="V2376">
        <v>85</v>
      </c>
      <c r="W2376" t="str">
        <f t="shared" si="227"/>
        <v>Normal</v>
      </c>
      <c r="X2376">
        <v>0</v>
      </c>
    </row>
    <row r="2377" spans="1:24" ht="14.5" thickBot="1" x14ac:dyDescent="0.35">
      <c r="A2377">
        <v>0</v>
      </c>
      <c r="B2377" t="str">
        <f t="shared" si="225"/>
        <v>Female</v>
      </c>
      <c r="C2377" s="8">
        <v>51</v>
      </c>
      <c r="D2377" t="str">
        <f t="shared" si="226"/>
        <v>Middle Age</v>
      </c>
      <c r="E2377">
        <v>3</v>
      </c>
      <c r="F2377" t="str">
        <f>HLOOKUP(E2377, LookUP_Table!$A$6:$D$7, 2, FALSE)</f>
        <v>Graduate</v>
      </c>
      <c r="G2377" t="str">
        <f>IFERROR(VLOOKUP(E2377, LookUP_Table!$A$1:$B$4, 2, FALSE), "")</f>
        <v>Graduate</v>
      </c>
      <c r="H2377">
        <v>1</v>
      </c>
      <c r="I2377">
        <v>3</v>
      </c>
      <c r="J2377" t="str">
        <f t="shared" si="222"/>
        <v>Smoker</v>
      </c>
      <c r="K2377">
        <v>0</v>
      </c>
      <c r="L2377">
        <v>0</v>
      </c>
      <c r="M2377">
        <v>1</v>
      </c>
      <c r="N2377">
        <v>0</v>
      </c>
      <c r="O2377">
        <v>398</v>
      </c>
      <c r="P2377" t="str">
        <f t="shared" si="223"/>
        <v>High</v>
      </c>
      <c r="Q2377">
        <v>161</v>
      </c>
      <c r="R2377">
        <v>96</v>
      </c>
      <c r="S2377">
        <v>23.63</v>
      </c>
      <c r="T2377" t="str">
        <f t="shared" si="224"/>
        <v>Normal</v>
      </c>
      <c r="U2377">
        <v>77</v>
      </c>
      <c r="V2377">
        <v>83</v>
      </c>
      <c r="W2377" t="str">
        <f t="shared" si="227"/>
        <v>Normal</v>
      </c>
      <c r="X2377">
        <v>0</v>
      </c>
    </row>
    <row r="2378" spans="1:24" ht="14.5" thickBot="1" x14ac:dyDescent="0.35">
      <c r="A2378">
        <v>0</v>
      </c>
      <c r="B2378" t="str">
        <f t="shared" si="225"/>
        <v>Female</v>
      </c>
      <c r="C2378" s="8">
        <v>51</v>
      </c>
      <c r="D2378" t="str">
        <f t="shared" si="226"/>
        <v>Middle Age</v>
      </c>
      <c r="E2378">
        <v>1</v>
      </c>
      <c r="F2378" t="str">
        <f>HLOOKUP(E2378, LookUP_Table!$A$6:$D$7, 2, FALSE)</f>
        <v>Primary</v>
      </c>
      <c r="G2378" t="str">
        <f>IFERROR(VLOOKUP(E2378, LookUP_Table!$A$1:$B$4, 2, FALSE), "")</f>
        <v>Primary</v>
      </c>
      <c r="H2378">
        <v>1</v>
      </c>
      <c r="I2378">
        <v>20</v>
      </c>
      <c r="J2378" t="str">
        <f t="shared" si="222"/>
        <v>Smoker</v>
      </c>
      <c r="K2378">
        <v>0</v>
      </c>
      <c r="L2378">
        <v>0</v>
      </c>
      <c r="M2378">
        <v>0</v>
      </c>
      <c r="N2378">
        <v>0</v>
      </c>
      <c r="O2378">
        <v>264</v>
      </c>
      <c r="P2378" t="str">
        <f t="shared" si="223"/>
        <v>High</v>
      </c>
      <c r="Q2378">
        <v>139.5</v>
      </c>
      <c r="R2378">
        <v>89</v>
      </c>
      <c r="S2378">
        <v>29.38</v>
      </c>
      <c r="T2378" t="str">
        <f t="shared" si="224"/>
        <v>Overweight</v>
      </c>
      <c r="U2378">
        <v>70</v>
      </c>
      <c r="V2378">
        <v>76</v>
      </c>
      <c r="W2378" t="str">
        <f t="shared" si="227"/>
        <v>Normal</v>
      </c>
      <c r="X2378">
        <v>1</v>
      </c>
    </row>
    <row r="2379" spans="1:24" ht="14.5" thickBot="1" x14ac:dyDescent="0.35">
      <c r="A2379">
        <v>1</v>
      </c>
      <c r="B2379" t="str">
        <f t="shared" si="225"/>
        <v>Male</v>
      </c>
      <c r="C2379" s="8">
        <v>51</v>
      </c>
      <c r="D2379" t="str">
        <f t="shared" si="226"/>
        <v>Middle Age</v>
      </c>
      <c r="E2379">
        <v>1</v>
      </c>
      <c r="F2379" t="str">
        <f>HLOOKUP(E2379, LookUP_Table!$A$6:$D$7, 2, FALSE)</f>
        <v>Primary</v>
      </c>
      <c r="G2379" t="str">
        <f>IFERROR(VLOOKUP(E2379, LookUP_Table!$A$1:$B$4, 2, FALSE), "")</f>
        <v>Primary</v>
      </c>
      <c r="H2379">
        <v>0</v>
      </c>
      <c r="I2379">
        <v>0</v>
      </c>
      <c r="J2379" t="str">
        <f t="shared" si="222"/>
        <v>Non-Smoker</v>
      </c>
      <c r="K2379">
        <v>0</v>
      </c>
      <c r="L2379">
        <v>0</v>
      </c>
      <c r="M2379">
        <v>0</v>
      </c>
      <c r="N2379">
        <v>0</v>
      </c>
      <c r="O2379">
        <v>250</v>
      </c>
      <c r="P2379" t="str">
        <f t="shared" si="223"/>
        <v>High</v>
      </c>
      <c r="Q2379">
        <v>125</v>
      </c>
      <c r="R2379">
        <v>80</v>
      </c>
      <c r="S2379">
        <v>26.98</v>
      </c>
      <c r="T2379" t="str">
        <f t="shared" si="224"/>
        <v>Overweight</v>
      </c>
      <c r="U2379">
        <v>67</v>
      </c>
      <c r="V2379">
        <v>108</v>
      </c>
      <c r="W2379" t="str">
        <f t="shared" si="227"/>
        <v>Prediabetes</v>
      </c>
      <c r="X2379">
        <v>0</v>
      </c>
    </row>
    <row r="2380" spans="1:24" ht="14.5" thickBot="1" x14ac:dyDescent="0.35">
      <c r="A2380">
        <v>1</v>
      </c>
      <c r="B2380" t="str">
        <f t="shared" si="225"/>
        <v>Male</v>
      </c>
      <c r="C2380" s="8">
        <v>51</v>
      </c>
      <c r="D2380" t="str">
        <f t="shared" si="226"/>
        <v>Middle Age</v>
      </c>
      <c r="E2380">
        <v>1</v>
      </c>
      <c r="F2380" t="str">
        <f>HLOOKUP(E2380, LookUP_Table!$A$6:$D$7, 2, FALSE)</f>
        <v>Primary</v>
      </c>
      <c r="G2380" t="str">
        <f>IFERROR(VLOOKUP(E2380, LookUP_Table!$A$1:$B$4, 2, FALSE), "")</f>
        <v>Primary</v>
      </c>
      <c r="H2380">
        <v>1</v>
      </c>
      <c r="I2380">
        <v>20</v>
      </c>
      <c r="J2380" t="str">
        <f t="shared" si="222"/>
        <v>Smoker</v>
      </c>
      <c r="K2380">
        <v>0</v>
      </c>
      <c r="L2380">
        <v>0</v>
      </c>
      <c r="M2380">
        <v>0</v>
      </c>
      <c r="N2380">
        <v>0</v>
      </c>
      <c r="O2380">
        <v>243</v>
      </c>
      <c r="P2380" t="str">
        <f t="shared" si="223"/>
        <v>High</v>
      </c>
      <c r="Q2380">
        <v>130</v>
      </c>
      <c r="R2380">
        <v>86.5</v>
      </c>
      <c r="S2380">
        <v>29.86</v>
      </c>
      <c r="T2380" t="str">
        <f t="shared" si="224"/>
        <v>Overweight</v>
      </c>
      <c r="U2380">
        <v>85</v>
      </c>
      <c r="V2380">
        <v>74</v>
      </c>
      <c r="W2380" t="str">
        <f t="shared" si="227"/>
        <v>Normal</v>
      </c>
      <c r="X2380">
        <v>1</v>
      </c>
    </row>
    <row r="2381" spans="1:24" ht="14.5" thickBot="1" x14ac:dyDescent="0.35">
      <c r="A2381">
        <v>0</v>
      </c>
      <c r="B2381" t="str">
        <f t="shared" si="225"/>
        <v>Female</v>
      </c>
      <c r="C2381" s="8">
        <v>51</v>
      </c>
      <c r="D2381" t="str">
        <f t="shared" si="226"/>
        <v>Middle Age</v>
      </c>
      <c r="E2381">
        <v>1</v>
      </c>
      <c r="F2381" t="str">
        <f>HLOOKUP(E2381, LookUP_Table!$A$6:$D$7, 2, FALSE)</f>
        <v>Primary</v>
      </c>
      <c r="G2381" t="str">
        <f>IFERROR(VLOOKUP(E2381, LookUP_Table!$A$1:$B$4, 2, FALSE), "")</f>
        <v>Primary</v>
      </c>
      <c r="H2381">
        <v>0</v>
      </c>
      <c r="I2381">
        <v>0</v>
      </c>
      <c r="J2381" t="str">
        <f t="shared" si="222"/>
        <v>Non-Smoker</v>
      </c>
      <c r="K2381">
        <v>0</v>
      </c>
      <c r="L2381">
        <v>0</v>
      </c>
      <c r="M2381">
        <v>0</v>
      </c>
      <c r="N2381">
        <v>0</v>
      </c>
      <c r="O2381">
        <v>197</v>
      </c>
      <c r="P2381" t="str">
        <f t="shared" si="223"/>
        <v>Normal</v>
      </c>
      <c r="Q2381">
        <v>126</v>
      </c>
      <c r="R2381">
        <v>86</v>
      </c>
      <c r="S2381">
        <v>24.16</v>
      </c>
      <c r="T2381" t="str">
        <f t="shared" si="224"/>
        <v>Normal</v>
      </c>
      <c r="U2381">
        <v>75</v>
      </c>
      <c r="V2381">
        <v>81.96365524402907</v>
      </c>
      <c r="W2381" t="str">
        <f t="shared" si="227"/>
        <v>Normal</v>
      </c>
      <c r="X2381">
        <v>0</v>
      </c>
    </row>
    <row r="2382" spans="1:24" ht="14.5" thickBot="1" x14ac:dyDescent="0.35">
      <c r="A2382">
        <v>0</v>
      </c>
      <c r="B2382" t="str">
        <f t="shared" si="225"/>
        <v>Female</v>
      </c>
      <c r="C2382" s="8">
        <v>51</v>
      </c>
      <c r="D2382" t="str">
        <f t="shared" si="226"/>
        <v>Middle Age</v>
      </c>
      <c r="E2382">
        <v>1</v>
      </c>
      <c r="F2382" t="str">
        <f>HLOOKUP(E2382, LookUP_Table!$A$6:$D$7, 2, FALSE)</f>
        <v>Primary</v>
      </c>
      <c r="G2382" t="str">
        <f>IFERROR(VLOOKUP(E2382, LookUP_Table!$A$1:$B$4, 2, FALSE), "")</f>
        <v>Primary</v>
      </c>
      <c r="H2382">
        <v>0</v>
      </c>
      <c r="I2382">
        <v>0</v>
      </c>
      <c r="J2382" t="str">
        <f t="shared" si="222"/>
        <v>Non-Smoker</v>
      </c>
      <c r="K2382">
        <v>0</v>
      </c>
      <c r="L2382">
        <v>0</v>
      </c>
      <c r="M2382">
        <v>1</v>
      </c>
      <c r="N2382">
        <v>0</v>
      </c>
      <c r="O2382">
        <v>160</v>
      </c>
      <c r="P2382" t="str">
        <f t="shared" si="223"/>
        <v>Normal</v>
      </c>
      <c r="Q2382">
        <v>140.5</v>
      </c>
      <c r="R2382">
        <v>84</v>
      </c>
      <c r="S2382">
        <v>26.28</v>
      </c>
      <c r="T2382" t="str">
        <f t="shared" si="224"/>
        <v>Overweight</v>
      </c>
      <c r="U2382">
        <v>76</v>
      </c>
      <c r="V2382">
        <v>122</v>
      </c>
      <c r="W2382" t="str">
        <f t="shared" si="227"/>
        <v>Prediabetes</v>
      </c>
      <c r="X2382">
        <v>0</v>
      </c>
    </row>
    <row r="2383" spans="1:24" ht="14.5" thickBot="1" x14ac:dyDescent="0.35">
      <c r="A2383">
        <v>0</v>
      </c>
      <c r="B2383" t="str">
        <f t="shared" si="225"/>
        <v>Female</v>
      </c>
      <c r="C2383" s="8">
        <v>51</v>
      </c>
      <c r="D2383" t="str">
        <f t="shared" si="226"/>
        <v>Middle Age</v>
      </c>
      <c r="E2383">
        <v>2</v>
      </c>
      <c r="F2383" t="str">
        <f>HLOOKUP(E2383, LookUP_Table!$A$6:$D$7, 2, FALSE)</f>
        <v>Secondary</v>
      </c>
      <c r="G2383" t="str">
        <f>IFERROR(VLOOKUP(E2383, LookUP_Table!$A$1:$B$4, 2, FALSE), "")</f>
        <v>Secondary</v>
      </c>
      <c r="H2383">
        <v>0</v>
      </c>
      <c r="I2383">
        <v>0</v>
      </c>
      <c r="J2383" t="str">
        <f t="shared" si="222"/>
        <v>Non-Smoker</v>
      </c>
      <c r="K2383">
        <v>1</v>
      </c>
      <c r="L2383">
        <v>0</v>
      </c>
      <c r="M2383">
        <v>1</v>
      </c>
      <c r="N2383">
        <v>0</v>
      </c>
      <c r="O2383">
        <v>283</v>
      </c>
      <c r="P2383" t="str">
        <f t="shared" si="223"/>
        <v>High</v>
      </c>
      <c r="Q2383">
        <v>152</v>
      </c>
      <c r="R2383">
        <v>99</v>
      </c>
      <c r="S2383">
        <v>31.63</v>
      </c>
      <c r="T2383" t="str">
        <f t="shared" si="224"/>
        <v>Obese</v>
      </c>
      <c r="U2383">
        <v>62</v>
      </c>
      <c r="V2383">
        <v>73</v>
      </c>
      <c r="W2383" t="str">
        <f t="shared" si="227"/>
        <v>Normal</v>
      </c>
      <c r="X2383">
        <v>0</v>
      </c>
    </row>
    <row r="2384" spans="1:24" ht="14.5" thickBot="1" x14ac:dyDescent="0.35">
      <c r="A2384">
        <v>0</v>
      </c>
      <c r="B2384" t="str">
        <f t="shared" si="225"/>
        <v>Female</v>
      </c>
      <c r="C2384" s="8">
        <v>51</v>
      </c>
      <c r="D2384" t="str">
        <f t="shared" si="226"/>
        <v>Middle Age</v>
      </c>
      <c r="E2384">
        <v>1</v>
      </c>
      <c r="F2384" t="str">
        <f>HLOOKUP(E2384, LookUP_Table!$A$6:$D$7, 2, FALSE)</f>
        <v>Primary</v>
      </c>
      <c r="G2384" t="str">
        <f>IFERROR(VLOOKUP(E2384, LookUP_Table!$A$1:$B$4, 2, FALSE), "")</f>
        <v>Primary</v>
      </c>
      <c r="H2384">
        <v>0</v>
      </c>
      <c r="I2384">
        <v>0</v>
      </c>
      <c r="J2384" t="str">
        <f t="shared" si="222"/>
        <v>Non-Smoker</v>
      </c>
      <c r="K2384">
        <v>0</v>
      </c>
      <c r="L2384">
        <v>0</v>
      </c>
      <c r="M2384">
        <v>1</v>
      </c>
      <c r="N2384">
        <v>0</v>
      </c>
      <c r="O2384">
        <v>225</v>
      </c>
      <c r="P2384" t="str">
        <f t="shared" si="223"/>
        <v>Normal</v>
      </c>
      <c r="Q2384">
        <v>155</v>
      </c>
      <c r="R2384">
        <v>92.5</v>
      </c>
      <c r="S2384">
        <v>23.84</v>
      </c>
      <c r="T2384" t="str">
        <f t="shared" si="224"/>
        <v>Normal</v>
      </c>
      <c r="U2384">
        <v>72</v>
      </c>
      <c r="V2384">
        <v>63</v>
      </c>
      <c r="W2384" t="str">
        <f t="shared" si="227"/>
        <v>Normal</v>
      </c>
      <c r="X2384">
        <v>0</v>
      </c>
    </row>
    <row r="2385" spans="1:24" ht="14.5" thickBot="1" x14ac:dyDescent="0.35">
      <c r="A2385">
        <v>1</v>
      </c>
      <c r="B2385" t="str">
        <f t="shared" si="225"/>
        <v>Male</v>
      </c>
      <c r="C2385" s="8">
        <v>51</v>
      </c>
      <c r="D2385" t="str">
        <f t="shared" si="226"/>
        <v>Middle Age</v>
      </c>
      <c r="E2385">
        <v>1</v>
      </c>
      <c r="F2385" t="str">
        <f>HLOOKUP(E2385, LookUP_Table!$A$6:$D$7, 2, FALSE)</f>
        <v>Primary</v>
      </c>
      <c r="G2385" t="str">
        <f>IFERROR(VLOOKUP(E2385, LookUP_Table!$A$1:$B$4, 2, FALSE), "")</f>
        <v>Primary</v>
      </c>
      <c r="H2385">
        <v>1</v>
      </c>
      <c r="I2385">
        <v>20</v>
      </c>
      <c r="J2385" t="str">
        <f t="shared" si="222"/>
        <v>Smoker</v>
      </c>
      <c r="K2385">
        <v>0</v>
      </c>
      <c r="L2385">
        <v>0</v>
      </c>
      <c r="M2385">
        <v>1</v>
      </c>
      <c r="N2385">
        <v>0</v>
      </c>
      <c r="O2385">
        <v>239</v>
      </c>
      <c r="P2385" t="str">
        <f t="shared" si="223"/>
        <v>Normal</v>
      </c>
      <c r="Q2385">
        <v>168</v>
      </c>
      <c r="R2385">
        <v>102</v>
      </c>
      <c r="S2385">
        <v>30.38</v>
      </c>
      <c r="T2385" t="str">
        <f t="shared" si="224"/>
        <v>Obese</v>
      </c>
      <c r="U2385">
        <v>82</v>
      </c>
      <c r="V2385">
        <v>68</v>
      </c>
      <c r="W2385" t="str">
        <f t="shared" si="227"/>
        <v>Normal</v>
      </c>
      <c r="X2385">
        <v>1</v>
      </c>
    </row>
    <row r="2386" spans="1:24" ht="14.5" thickBot="1" x14ac:dyDescent="0.35">
      <c r="A2386">
        <v>0</v>
      </c>
      <c r="B2386" t="str">
        <f t="shared" si="225"/>
        <v>Female</v>
      </c>
      <c r="C2386" s="8">
        <v>51</v>
      </c>
      <c r="D2386" t="str">
        <f t="shared" si="226"/>
        <v>Middle Age</v>
      </c>
      <c r="E2386">
        <v>3</v>
      </c>
      <c r="F2386" t="str">
        <f>HLOOKUP(E2386, LookUP_Table!$A$6:$D$7, 2, FALSE)</f>
        <v>Graduate</v>
      </c>
      <c r="G2386" t="str">
        <f>IFERROR(VLOOKUP(E2386, LookUP_Table!$A$1:$B$4, 2, FALSE), "")</f>
        <v>Graduate</v>
      </c>
      <c r="H2386">
        <v>0</v>
      </c>
      <c r="I2386">
        <v>0</v>
      </c>
      <c r="J2386" t="str">
        <f t="shared" si="222"/>
        <v>Non-Smoker</v>
      </c>
      <c r="K2386">
        <v>0</v>
      </c>
      <c r="L2386">
        <v>0</v>
      </c>
      <c r="M2386">
        <v>0</v>
      </c>
      <c r="N2386">
        <v>0</v>
      </c>
      <c r="O2386">
        <v>257</v>
      </c>
      <c r="P2386" t="str">
        <f t="shared" si="223"/>
        <v>High</v>
      </c>
      <c r="Q2386">
        <v>128</v>
      </c>
      <c r="R2386">
        <v>77</v>
      </c>
      <c r="S2386">
        <v>24.94</v>
      </c>
      <c r="T2386" t="str">
        <f t="shared" si="224"/>
        <v>Normal</v>
      </c>
      <c r="U2386">
        <v>68</v>
      </c>
      <c r="V2386">
        <v>88</v>
      </c>
      <c r="W2386" t="str">
        <f t="shared" si="227"/>
        <v>Normal</v>
      </c>
      <c r="X2386">
        <v>0</v>
      </c>
    </row>
    <row r="2387" spans="1:24" ht="14.5" thickBot="1" x14ac:dyDescent="0.35">
      <c r="A2387">
        <v>0</v>
      </c>
      <c r="B2387" t="str">
        <f t="shared" si="225"/>
        <v>Female</v>
      </c>
      <c r="C2387" s="8">
        <v>51</v>
      </c>
      <c r="D2387" t="str">
        <f t="shared" si="226"/>
        <v>Middle Age</v>
      </c>
      <c r="E2387">
        <v>2</v>
      </c>
      <c r="F2387" t="str">
        <f>HLOOKUP(E2387, LookUP_Table!$A$6:$D$7, 2, FALSE)</f>
        <v>Secondary</v>
      </c>
      <c r="G2387" t="str">
        <f>IFERROR(VLOOKUP(E2387, LookUP_Table!$A$1:$B$4, 2, FALSE), "")</f>
        <v>Secondary</v>
      </c>
      <c r="H2387">
        <v>1</v>
      </c>
      <c r="I2387">
        <v>30</v>
      </c>
      <c r="J2387" t="str">
        <f t="shared" si="222"/>
        <v>Smoker</v>
      </c>
      <c r="K2387">
        <v>0</v>
      </c>
      <c r="L2387">
        <v>0</v>
      </c>
      <c r="M2387">
        <v>1</v>
      </c>
      <c r="N2387">
        <v>0</v>
      </c>
      <c r="O2387">
        <v>295</v>
      </c>
      <c r="P2387" t="str">
        <f t="shared" si="223"/>
        <v>High</v>
      </c>
      <c r="Q2387">
        <v>176</v>
      </c>
      <c r="R2387">
        <v>99</v>
      </c>
      <c r="S2387">
        <v>26.27</v>
      </c>
      <c r="T2387" t="str">
        <f t="shared" si="224"/>
        <v>Overweight</v>
      </c>
      <c r="U2387">
        <v>82</v>
      </c>
      <c r="V2387">
        <v>81.96365524402907</v>
      </c>
      <c r="W2387" t="str">
        <f t="shared" si="227"/>
        <v>Normal</v>
      </c>
      <c r="X2387">
        <v>0</v>
      </c>
    </row>
    <row r="2388" spans="1:24" ht="14.5" thickBot="1" x14ac:dyDescent="0.35">
      <c r="A2388">
        <v>0</v>
      </c>
      <c r="B2388" t="str">
        <f t="shared" si="225"/>
        <v>Female</v>
      </c>
      <c r="C2388" s="8">
        <v>51</v>
      </c>
      <c r="D2388" t="str">
        <f t="shared" si="226"/>
        <v>Middle Age</v>
      </c>
      <c r="E2388">
        <v>1</v>
      </c>
      <c r="F2388" t="str">
        <f>HLOOKUP(E2388, LookUP_Table!$A$6:$D$7, 2, FALSE)</f>
        <v>Primary</v>
      </c>
      <c r="G2388" t="str">
        <f>IFERROR(VLOOKUP(E2388, LookUP_Table!$A$1:$B$4, 2, FALSE), "")</f>
        <v>Primary</v>
      </c>
      <c r="H2388">
        <v>1</v>
      </c>
      <c r="I2388">
        <v>30</v>
      </c>
      <c r="J2388" t="str">
        <f t="shared" si="222"/>
        <v>Smoker</v>
      </c>
      <c r="K2388">
        <v>0</v>
      </c>
      <c r="L2388">
        <v>0</v>
      </c>
      <c r="M2388">
        <v>0</v>
      </c>
      <c r="N2388">
        <v>0</v>
      </c>
      <c r="O2388">
        <v>272</v>
      </c>
      <c r="P2388" t="str">
        <f t="shared" si="223"/>
        <v>High</v>
      </c>
      <c r="Q2388">
        <v>133</v>
      </c>
      <c r="R2388">
        <v>91</v>
      </c>
      <c r="S2388">
        <v>28.5</v>
      </c>
      <c r="T2388" t="str">
        <f t="shared" si="224"/>
        <v>Overweight</v>
      </c>
      <c r="U2388">
        <v>72</v>
      </c>
      <c r="V2388">
        <v>81.96365524402907</v>
      </c>
      <c r="W2388" t="str">
        <f t="shared" si="227"/>
        <v>Normal</v>
      </c>
      <c r="X2388">
        <v>0</v>
      </c>
    </row>
    <row r="2389" spans="1:24" ht="14.5" thickBot="1" x14ac:dyDescent="0.35">
      <c r="A2389">
        <v>0</v>
      </c>
      <c r="B2389" t="str">
        <f t="shared" si="225"/>
        <v>Female</v>
      </c>
      <c r="C2389" s="8">
        <v>51</v>
      </c>
      <c r="D2389" t="str">
        <f t="shared" si="226"/>
        <v>Middle Age</v>
      </c>
      <c r="E2389">
        <v>2</v>
      </c>
      <c r="F2389" t="str">
        <f>HLOOKUP(E2389, LookUP_Table!$A$6:$D$7, 2, FALSE)</f>
        <v>Secondary</v>
      </c>
      <c r="G2389" t="str">
        <f>IFERROR(VLOOKUP(E2389, LookUP_Table!$A$1:$B$4, 2, FALSE), "")</f>
        <v>Secondary</v>
      </c>
      <c r="H2389">
        <v>1</v>
      </c>
      <c r="I2389">
        <v>1</v>
      </c>
      <c r="J2389" t="str">
        <f t="shared" si="222"/>
        <v>Smoker</v>
      </c>
      <c r="K2389">
        <v>0</v>
      </c>
      <c r="L2389">
        <v>0</v>
      </c>
      <c r="M2389">
        <v>0</v>
      </c>
      <c r="N2389">
        <v>0</v>
      </c>
      <c r="O2389">
        <v>220</v>
      </c>
      <c r="P2389" t="str">
        <f t="shared" si="223"/>
        <v>Normal</v>
      </c>
      <c r="Q2389">
        <v>142</v>
      </c>
      <c r="R2389">
        <v>82.5</v>
      </c>
      <c r="S2389">
        <v>21.02</v>
      </c>
      <c r="T2389" t="str">
        <f t="shared" si="224"/>
        <v>Normal</v>
      </c>
      <c r="U2389">
        <v>56</v>
      </c>
      <c r="V2389">
        <v>78</v>
      </c>
      <c r="W2389" t="str">
        <f t="shared" si="227"/>
        <v>Normal</v>
      </c>
      <c r="X2389">
        <v>0</v>
      </c>
    </row>
    <row r="2390" spans="1:24" ht="14.5" thickBot="1" x14ac:dyDescent="0.35">
      <c r="A2390">
        <v>1</v>
      </c>
      <c r="B2390" t="str">
        <f t="shared" si="225"/>
        <v>Male</v>
      </c>
      <c r="C2390" s="8">
        <v>51</v>
      </c>
      <c r="D2390" t="str">
        <f t="shared" si="226"/>
        <v>Middle Age</v>
      </c>
      <c r="E2390">
        <v>1</v>
      </c>
      <c r="F2390" t="str">
        <f>HLOOKUP(E2390, LookUP_Table!$A$6:$D$7, 2, FALSE)</f>
        <v>Primary</v>
      </c>
      <c r="G2390" t="str">
        <f>IFERROR(VLOOKUP(E2390, LookUP_Table!$A$1:$B$4, 2, FALSE), "")</f>
        <v>Primary</v>
      </c>
      <c r="H2390">
        <v>1</v>
      </c>
      <c r="I2390">
        <v>20</v>
      </c>
      <c r="J2390" t="str">
        <f t="shared" si="222"/>
        <v>Smoker</v>
      </c>
      <c r="K2390">
        <v>0</v>
      </c>
      <c r="L2390">
        <v>0</v>
      </c>
      <c r="M2390">
        <v>0</v>
      </c>
      <c r="N2390">
        <v>0</v>
      </c>
      <c r="O2390">
        <v>219</v>
      </c>
      <c r="P2390" t="str">
        <f t="shared" si="223"/>
        <v>Normal</v>
      </c>
      <c r="Q2390">
        <v>125</v>
      </c>
      <c r="R2390">
        <v>71</v>
      </c>
      <c r="S2390">
        <v>21.19</v>
      </c>
      <c r="T2390" t="str">
        <f t="shared" si="224"/>
        <v>Normal</v>
      </c>
      <c r="U2390">
        <v>77</v>
      </c>
      <c r="V2390">
        <v>75</v>
      </c>
      <c r="W2390" t="str">
        <f t="shared" si="227"/>
        <v>Normal</v>
      </c>
      <c r="X2390">
        <v>1</v>
      </c>
    </row>
    <row r="2391" spans="1:24" ht="14.5" thickBot="1" x14ac:dyDescent="0.35">
      <c r="A2391">
        <v>0</v>
      </c>
      <c r="B2391" t="str">
        <f t="shared" si="225"/>
        <v>Female</v>
      </c>
      <c r="C2391" s="8">
        <v>51</v>
      </c>
      <c r="D2391" t="str">
        <f t="shared" si="226"/>
        <v>Middle Age</v>
      </c>
      <c r="E2391">
        <v>2</v>
      </c>
      <c r="F2391" t="str">
        <f>HLOOKUP(E2391, LookUP_Table!$A$6:$D$7, 2, FALSE)</f>
        <v>Secondary</v>
      </c>
      <c r="G2391" t="str">
        <f>IFERROR(VLOOKUP(E2391, LookUP_Table!$A$1:$B$4, 2, FALSE), "")</f>
        <v>Secondary</v>
      </c>
      <c r="H2391">
        <v>0</v>
      </c>
      <c r="I2391">
        <v>0</v>
      </c>
      <c r="J2391" t="str">
        <f t="shared" si="222"/>
        <v>Non-Smoker</v>
      </c>
      <c r="K2391">
        <v>0</v>
      </c>
      <c r="L2391">
        <v>0</v>
      </c>
      <c r="M2391">
        <v>1</v>
      </c>
      <c r="N2391">
        <v>0</v>
      </c>
      <c r="O2391">
        <v>206</v>
      </c>
      <c r="P2391" t="str">
        <f t="shared" si="223"/>
        <v>Normal</v>
      </c>
      <c r="Q2391">
        <v>146</v>
      </c>
      <c r="R2391">
        <v>77</v>
      </c>
      <c r="S2391">
        <v>23.58</v>
      </c>
      <c r="T2391" t="str">
        <f t="shared" si="224"/>
        <v>Normal</v>
      </c>
      <c r="U2391">
        <v>87</v>
      </c>
      <c r="V2391">
        <v>90</v>
      </c>
      <c r="W2391" t="str">
        <f t="shared" si="227"/>
        <v>Normal</v>
      </c>
      <c r="X2391">
        <v>0</v>
      </c>
    </row>
    <row r="2392" spans="1:24" ht="14.5" thickBot="1" x14ac:dyDescent="0.35">
      <c r="A2392">
        <v>0</v>
      </c>
      <c r="B2392" t="str">
        <f t="shared" si="225"/>
        <v>Female</v>
      </c>
      <c r="C2392" s="8">
        <v>51</v>
      </c>
      <c r="D2392" t="str">
        <f t="shared" si="226"/>
        <v>Middle Age</v>
      </c>
      <c r="E2392">
        <v>3</v>
      </c>
      <c r="F2392" t="str">
        <f>HLOOKUP(E2392, LookUP_Table!$A$6:$D$7, 2, FALSE)</f>
        <v>Graduate</v>
      </c>
      <c r="G2392" t="str">
        <f>IFERROR(VLOOKUP(E2392, LookUP_Table!$A$1:$B$4, 2, FALSE), "")</f>
        <v>Graduate</v>
      </c>
      <c r="H2392">
        <v>0</v>
      </c>
      <c r="I2392">
        <v>0</v>
      </c>
      <c r="J2392" t="str">
        <f t="shared" si="222"/>
        <v>Non-Smoker</v>
      </c>
      <c r="K2392">
        <v>0</v>
      </c>
      <c r="L2392">
        <v>0</v>
      </c>
      <c r="M2392">
        <v>1</v>
      </c>
      <c r="N2392">
        <v>0</v>
      </c>
      <c r="O2392">
        <v>214</v>
      </c>
      <c r="P2392" t="str">
        <f t="shared" si="223"/>
        <v>Normal</v>
      </c>
      <c r="Q2392">
        <v>153.5</v>
      </c>
      <c r="R2392">
        <v>103.5</v>
      </c>
      <c r="S2392">
        <v>23.45</v>
      </c>
      <c r="T2392" t="str">
        <f t="shared" si="224"/>
        <v>Normal</v>
      </c>
      <c r="U2392">
        <v>70</v>
      </c>
      <c r="V2392">
        <v>71</v>
      </c>
      <c r="W2392" t="str">
        <f t="shared" si="227"/>
        <v>Normal</v>
      </c>
      <c r="X2392">
        <v>0</v>
      </c>
    </row>
    <row r="2393" spans="1:24" ht="14.5" thickBot="1" x14ac:dyDescent="0.35">
      <c r="A2393">
        <v>1</v>
      </c>
      <c r="B2393" t="str">
        <f t="shared" si="225"/>
        <v>Male</v>
      </c>
      <c r="C2393" s="8">
        <v>51</v>
      </c>
      <c r="D2393" t="str">
        <f t="shared" si="226"/>
        <v>Middle Age</v>
      </c>
      <c r="E2393">
        <v>1</v>
      </c>
      <c r="F2393" t="str">
        <f>HLOOKUP(E2393, LookUP_Table!$A$6:$D$7, 2, FALSE)</f>
        <v>Primary</v>
      </c>
      <c r="G2393" t="str">
        <f>IFERROR(VLOOKUP(E2393, LookUP_Table!$A$1:$B$4, 2, FALSE), "")</f>
        <v>Primary</v>
      </c>
      <c r="H2393">
        <v>1</v>
      </c>
      <c r="I2393">
        <v>20</v>
      </c>
      <c r="J2393" t="str">
        <f t="shared" si="222"/>
        <v>Smoker</v>
      </c>
      <c r="K2393">
        <v>0</v>
      </c>
      <c r="L2393">
        <v>0</v>
      </c>
      <c r="M2393">
        <v>1</v>
      </c>
      <c r="N2393">
        <v>0</v>
      </c>
      <c r="O2393">
        <v>246</v>
      </c>
      <c r="P2393" t="str">
        <f t="shared" si="223"/>
        <v>High</v>
      </c>
      <c r="Q2393">
        <v>128</v>
      </c>
      <c r="R2393">
        <v>69</v>
      </c>
      <c r="S2393">
        <v>27.57</v>
      </c>
      <c r="T2393" t="str">
        <f t="shared" si="224"/>
        <v>Overweight</v>
      </c>
      <c r="U2393">
        <v>80</v>
      </c>
      <c r="V2393">
        <v>72</v>
      </c>
      <c r="W2393" t="str">
        <f t="shared" si="227"/>
        <v>Normal</v>
      </c>
      <c r="X2393">
        <v>1</v>
      </c>
    </row>
    <row r="2394" spans="1:24" ht="14.5" thickBot="1" x14ac:dyDescent="0.35">
      <c r="A2394">
        <v>0</v>
      </c>
      <c r="B2394" t="str">
        <f t="shared" si="225"/>
        <v>Female</v>
      </c>
      <c r="C2394" s="8">
        <v>51</v>
      </c>
      <c r="D2394" t="str">
        <f t="shared" si="226"/>
        <v>Middle Age</v>
      </c>
      <c r="E2394">
        <v>2</v>
      </c>
      <c r="F2394" t="str">
        <f>HLOOKUP(E2394, LookUP_Table!$A$6:$D$7, 2, FALSE)</f>
        <v>Secondary</v>
      </c>
      <c r="G2394" t="str">
        <f>IFERROR(VLOOKUP(E2394, LookUP_Table!$A$1:$B$4, 2, FALSE), "")</f>
        <v>Secondary</v>
      </c>
      <c r="H2394">
        <v>0</v>
      </c>
      <c r="I2394">
        <v>0</v>
      </c>
      <c r="J2394" t="str">
        <f t="shared" si="222"/>
        <v>Non-Smoker</v>
      </c>
      <c r="K2394">
        <v>0</v>
      </c>
      <c r="L2394">
        <v>0</v>
      </c>
      <c r="M2394">
        <v>0</v>
      </c>
      <c r="N2394">
        <v>0</v>
      </c>
      <c r="O2394">
        <v>234</v>
      </c>
      <c r="P2394" t="str">
        <f t="shared" si="223"/>
        <v>Normal</v>
      </c>
      <c r="Q2394">
        <v>114</v>
      </c>
      <c r="R2394">
        <v>85</v>
      </c>
      <c r="S2394">
        <v>28.68</v>
      </c>
      <c r="T2394" t="str">
        <f t="shared" si="224"/>
        <v>Overweight</v>
      </c>
      <c r="U2394">
        <v>72</v>
      </c>
      <c r="V2394">
        <v>84</v>
      </c>
      <c r="W2394" t="str">
        <f t="shared" si="227"/>
        <v>Normal</v>
      </c>
      <c r="X2394">
        <v>0</v>
      </c>
    </row>
    <row r="2395" spans="1:24" ht="14.5" thickBot="1" x14ac:dyDescent="0.35">
      <c r="A2395">
        <v>0</v>
      </c>
      <c r="B2395" t="str">
        <f t="shared" si="225"/>
        <v>Female</v>
      </c>
      <c r="C2395" s="8">
        <v>51</v>
      </c>
      <c r="D2395" t="str">
        <f t="shared" si="226"/>
        <v>Middle Age</v>
      </c>
      <c r="E2395">
        <v>2</v>
      </c>
      <c r="F2395" t="str">
        <f>HLOOKUP(E2395, LookUP_Table!$A$6:$D$7, 2, FALSE)</f>
        <v>Secondary</v>
      </c>
      <c r="G2395" t="str">
        <f>IFERROR(VLOOKUP(E2395, LookUP_Table!$A$1:$B$4, 2, FALSE), "")</f>
        <v>Secondary</v>
      </c>
      <c r="H2395">
        <v>0</v>
      </c>
      <c r="I2395">
        <v>0</v>
      </c>
      <c r="J2395" t="str">
        <f t="shared" si="222"/>
        <v>Non-Smoker</v>
      </c>
      <c r="K2395">
        <v>1</v>
      </c>
      <c r="L2395">
        <v>0</v>
      </c>
      <c r="M2395">
        <v>1</v>
      </c>
      <c r="N2395">
        <v>0</v>
      </c>
      <c r="O2395">
        <v>358</v>
      </c>
      <c r="P2395" t="str">
        <f t="shared" si="223"/>
        <v>High</v>
      </c>
      <c r="Q2395">
        <v>134</v>
      </c>
      <c r="R2395">
        <v>87</v>
      </c>
      <c r="S2395">
        <v>29.36</v>
      </c>
      <c r="T2395" t="str">
        <f t="shared" si="224"/>
        <v>Overweight</v>
      </c>
      <c r="U2395">
        <v>75</v>
      </c>
      <c r="V2395">
        <v>87</v>
      </c>
      <c r="W2395" t="str">
        <f t="shared" si="227"/>
        <v>Normal</v>
      </c>
      <c r="X2395">
        <v>1</v>
      </c>
    </row>
    <row r="2396" spans="1:24" ht="14.5" thickBot="1" x14ac:dyDescent="0.35">
      <c r="A2396">
        <v>1</v>
      </c>
      <c r="B2396" t="str">
        <f t="shared" si="225"/>
        <v>Male</v>
      </c>
      <c r="C2396" s="8">
        <v>51</v>
      </c>
      <c r="D2396" t="str">
        <f t="shared" si="226"/>
        <v>Middle Age</v>
      </c>
      <c r="E2396">
        <v>4</v>
      </c>
      <c r="F2396" t="str">
        <f>HLOOKUP(E2396, LookUP_Table!$A$6:$D$7, 2, FALSE)</f>
        <v>Post Graduate</v>
      </c>
      <c r="G2396" t="str">
        <f>IFERROR(VLOOKUP(E2396, LookUP_Table!$A$1:$B$4, 2, FALSE), "")</f>
        <v>Post Graduate</v>
      </c>
      <c r="H2396">
        <v>1</v>
      </c>
      <c r="I2396">
        <v>10</v>
      </c>
      <c r="J2396" t="str">
        <f t="shared" si="222"/>
        <v>Smoker</v>
      </c>
      <c r="K2396">
        <v>0</v>
      </c>
      <c r="L2396">
        <v>0</v>
      </c>
      <c r="M2396">
        <v>0</v>
      </c>
      <c r="N2396">
        <v>0</v>
      </c>
      <c r="O2396">
        <v>185</v>
      </c>
      <c r="P2396" t="str">
        <f t="shared" si="223"/>
        <v>Normal</v>
      </c>
      <c r="Q2396">
        <v>125</v>
      </c>
      <c r="R2396">
        <v>85</v>
      </c>
      <c r="S2396">
        <v>29.43</v>
      </c>
      <c r="T2396" t="str">
        <f t="shared" si="224"/>
        <v>Overweight</v>
      </c>
      <c r="U2396">
        <v>56</v>
      </c>
      <c r="V2396">
        <v>72</v>
      </c>
      <c r="W2396" t="str">
        <f t="shared" si="227"/>
        <v>Normal</v>
      </c>
      <c r="X2396">
        <v>1</v>
      </c>
    </row>
    <row r="2397" spans="1:24" ht="14.5" thickBot="1" x14ac:dyDescent="0.35">
      <c r="A2397">
        <v>0</v>
      </c>
      <c r="B2397" t="str">
        <f t="shared" si="225"/>
        <v>Female</v>
      </c>
      <c r="C2397" s="8">
        <v>51</v>
      </c>
      <c r="D2397" t="str">
        <f t="shared" si="226"/>
        <v>Middle Age</v>
      </c>
      <c r="E2397">
        <v>1</v>
      </c>
      <c r="F2397" t="str">
        <f>HLOOKUP(E2397, LookUP_Table!$A$6:$D$7, 2, FALSE)</f>
        <v>Primary</v>
      </c>
      <c r="G2397" t="str">
        <f>IFERROR(VLOOKUP(E2397, LookUP_Table!$A$1:$B$4, 2, FALSE), "")</f>
        <v>Primary</v>
      </c>
      <c r="H2397">
        <v>1</v>
      </c>
      <c r="I2397">
        <v>15</v>
      </c>
      <c r="J2397" t="str">
        <f t="shared" si="222"/>
        <v>Smoker</v>
      </c>
      <c r="K2397">
        <v>0</v>
      </c>
      <c r="L2397">
        <v>0</v>
      </c>
      <c r="M2397">
        <v>0</v>
      </c>
      <c r="N2397">
        <v>0</v>
      </c>
      <c r="O2397">
        <v>345</v>
      </c>
      <c r="P2397" t="str">
        <f t="shared" si="223"/>
        <v>High</v>
      </c>
      <c r="Q2397">
        <v>142</v>
      </c>
      <c r="R2397">
        <v>88</v>
      </c>
      <c r="S2397">
        <v>19.05</v>
      </c>
      <c r="T2397" t="str">
        <f t="shared" si="224"/>
        <v>Normal</v>
      </c>
      <c r="U2397">
        <v>80</v>
      </c>
      <c r="V2397">
        <v>73</v>
      </c>
      <c r="W2397" t="str">
        <f t="shared" si="227"/>
        <v>Normal</v>
      </c>
      <c r="X2397">
        <v>0</v>
      </c>
    </row>
    <row r="2398" spans="1:24" ht="14.5" thickBot="1" x14ac:dyDescent="0.35">
      <c r="A2398">
        <v>1</v>
      </c>
      <c r="B2398" t="str">
        <f t="shared" si="225"/>
        <v>Male</v>
      </c>
      <c r="C2398" s="8">
        <v>51</v>
      </c>
      <c r="D2398" t="str">
        <f t="shared" si="226"/>
        <v>Middle Age</v>
      </c>
      <c r="E2398">
        <v>3</v>
      </c>
      <c r="F2398" t="str">
        <f>HLOOKUP(E2398, LookUP_Table!$A$6:$D$7, 2, FALSE)</f>
        <v>Graduate</v>
      </c>
      <c r="G2398" t="str">
        <f>IFERROR(VLOOKUP(E2398, LookUP_Table!$A$1:$B$4, 2, FALSE), "")</f>
        <v>Graduate</v>
      </c>
      <c r="H2398">
        <v>1</v>
      </c>
      <c r="I2398">
        <v>20</v>
      </c>
      <c r="J2398" t="str">
        <f t="shared" si="222"/>
        <v>Smoker</v>
      </c>
      <c r="K2398">
        <v>0</v>
      </c>
      <c r="L2398">
        <v>0</v>
      </c>
      <c r="M2398">
        <v>1</v>
      </c>
      <c r="N2398">
        <v>0</v>
      </c>
      <c r="O2398">
        <v>260</v>
      </c>
      <c r="P2398" t="str">
        <f t="shared" si="223"/>
        <v>High</v>
      </c>
      <c r="Q2398">
        <v>123</v>
      </c>
      <c r="R2398">
        <v>72</v>
      </c>
      <c r="S2398">
        <v>26.83</v>
      </c>
      <c r="T2398" t="str">
        <f t="shared" si="224"/>
        <v>Overweight</v>
      </c>
      <c r="U2398">
        <v>65</v>
      </c>
      <c r="V2398">
        <v>65</v>
      </c>
      <c r="W2398" t="str">
        <f t="shared" si="227"/>
        <v>Normal</v>
      </c>
      <c r="X2398">
        <v>1</v>
      </c>
    </row>
    <row r="2399" spans="1:24" ht="14.5" thickBot="1" x14ac:dyDescent="0.35">
      <c r="A2399">
        <v>0</v>
      </c>
      <c r="B2399" t="str">
        <f t="shared" si="225"/>
        <v>Female</v>
      </c>
      <c r="C2399" s="8">
        <v>51</v>
      </c>
      <c r="D2399" t="str">
        <f t="shared" si="226"/>
        <v>Middle Age</v>
      </c>
      <c r="E2399">
        <v>2</v>
      </c>
      <c r="F2399" t="str">
        <f>HLOOKUP(E2399, LookUP_Table!$A$6:$D$7, 2, FALSE)</f>
        <v>Secondary</v>
      </c>
      <c r="G2399" t="str">
        <f>IFERROR(VLOOKUP(E2399, LookUP_Table!$A$1:$B$4, 2, FALSE), "")</f>
        <v>Secondary</v>
      </c>
      <c r="H2399">
        <v>0</v>
      </c>
      <c r="I2399">
        <v>0</v>
      </c>
      <c r="J2399" t="str">
        <f t="shared" si="222"/>
        <v>Non-Smoker</v>
      </c>
      <c r="K2399">
        <v>0</v>
      </c>
      <c r="L2399">
        <v>0</v>
      </c>
      <c r="M2399">
        <v>0</v>
      </c>
      <c r="N2399">
        <v>0</v>
      </c>
      <c r="O2399">
        <v>239</v>
      </c>
      <c r="P2399" t="str">
        <f t="shared" si="223"/>
        <v>Normal</v>
      </c>
      <c r="Q2399">
        <v>127.5</v>
      </c>
      <c r="R2399">
        <v>77.5</v>
      </c>
      <c r="S2399">
        <v>26.65</v>
      </c>
      <c r="T2399" t="str">
        <f t="shared" si="224"/>
        <v>Overweight</v>
      </c>
      <c r="U2399">
        <v>70</v>
      </c>
      <c r="V2399">
        <v>79</v>
      </c>
      <c r="W2399" t="str">
        <f t="shared" si="227"/>
        <v>Normal</v>
      </c>
      <c r="X2399">
        <v>0</v>
      </c>
    </row>
    <row r="2400" spans="1:24" ht="14.5" thickBot="1" x14ac:dyDescent="0.35">
      <c r="A2400">
        <v>0</v>
      </c>
      <c r="B2400" t="str">
        <f t="shared" si="225"/>
        <v>Female</v>
      </c>
      <c r="C2400" s="8">
        <v>51</v>
      </c>
      <c r="D2400" t="str">
        <f t="shared" si="226"/>
        <v>Middle Age</v>
      </c>
      <c r="E2400">
        <v>3</v>
      </c>
      <c r="F2400" t="str">
        <f>HLOOKUP(E2400, LookUP_Table!$A$6:$D$7, 2, FALSE)</f>
        <v>Graduate</v>
      </c>
      <c r="G2400" t="str">
        <f>IFERROR(VLOOKUP(E2400, LookUP_Table!$A$1:$B$4, 2, FALSE), "")</f>
        <v>Graduate</v>
      </c>
      <c r="H2400">
        <v>0</v>
      </c>
      <c r="I2400">
        <v>0</v>
      </c>
      <c r="J2400" t="str">
        <f t="shared" si="222"/>
        <v>Non-Smoker</v>
      </c>
      <c r="K2400">
        <v>0</v>
      </c>
      <c r="L2400">
        <v>0</v>
      </c>
      <c r="M2400">
        <v>0</v>
      </c>
      <c r="N2400">
        <v>0</v>
      </c>
      <c r="O2400">
        <v>214</v>
      </c>
      <c r="P2400" t="str">
        <f t="shared" si="223"/>
        <v>Normal</v>
      </c>
      <c r="Q2400">
        <v>139</v>
      </c>
      <c r="R2400">
        <v>93</v>
      </c>
      <c r="S2400">
        <v>29.8</v>
      </c>
      <c r="T2400" t="str">
        <f t="shared" si="224"/>
        <v>Overweight</v>
      </c>
      <c r="U2400">
        <v>67</v>
      </c>
      <c r="V2400">
        <v>82</v>
      </c>
      <c r="W2400" t="str">
        <f t="shared" si="227"/>
        <v>Normal</v>
      </c>
      <c r="X2400">
        <v>0</v>
      </c>
    </row>
    <row r="2401" spans="1:24" ht="14.5" thickBot="1" x14ac:dyDescent="0.35">
      <c r="A2401">
        <v>1</v>
      </c>
      <c r="B2401" t="str">
        <f t="shared" si="225"/>
        <v>Male</v>
      </c>
      <c r="C2401" s="8">
        <v>51</v>
      </c>
      <c r="D2401" t="str">
        <f t="shared" si="226"/>
        <v>Middle Age</v>
      </c>
      <c r="E2401">
        <v>1</v>
      </c>
      <c r="F2401" t="str">
        <f>HLOOKUP(E2401, LookUP_Table!$A$6:$D$7, 2, FALSE)</f>
        <v>Primary</v>
      </c>
      <c r="G2401" t="str">
        <f>IFERROR(VLOOKUP(E2401, LookUP_Table!$A$1:$B$4, 2, FALSE), "")</f>
        <v>Primary</v>
      </c>
      <c r="H2401">
        <v>1</v>
      </c>
      <c r="I2401">
        <v>50</v>
      </c>
      <c r="J2401" t="str">
        <f t="shared" si="222"/>
        <v>Smoker</v>
      </c>
      <c r="K2401">
        <v>0</v>
      </c>
      <c r="L2401">
        <v>0</v>
      </c>
      <c r="M2401">
        <v>0</v>
      </c>
      <c r="N2401">
        <v>0</v>
      </c>
      <c r="O2401">
        <v>335</v>
      </c>
      <c r="P2401" t="str">
        <f t="shared" si="223"/>
        <v>High</v>
      </c>
      <c r="Q2401">
        <v>125.5</v>
      </c>
      <c r="R2401">
        <v>94</v>
      </c>
      <c r="S2401">
        <v>27.77</v>
      </c>
      <c r="T2401" t="str">
        <f t="shared" si="224"/>
        <v>Overweight</v>
      </c>
      <c r="U2401">
        <v>80</v>
      </c>
      <c r="V2401">
        <v>67</v>
      </c>
      <c r="W2401" t="str">
        <f t="shared" si="227"/>
        <v>Normal</v>
      </c>
      <c r="X2401">
        <v>0</v>
      </c>
    </row>
    <row r="2402" spans="1:24" ht="14.5" thickBot="1" x14ac:dyDescent="0.35">
      <c r="A2402">
        <v>0</v>
      </c>
      <c r="B2402" t="str">
        <f t="shared" si="225"/>
        <v>Female</v>
      </c>
      <c r="C2402" s="8">
        <v>51</v>
      </c>
      <c r="D2402" t="str">
        <f t="shared" si="226"/>
        <v>Middle Age</v>
      </c>
      <c r="E2402">
        <v>3</v>
      </c>
      <c r="F2402" t="str">
        <f>HLOOKUP(E2402, LookUP_Table!$A$6:$D$7, 2, FALSE)</f>
        <v>Graduate</v>
      </c>
      <c r="G2402" t="str">
        <f>IFERROR(VLOOKUP(E2402, LookUP_Table!$A$1:$B$4, 2, FALSE), "")</f>
        <v>Graduate</v>
      </c>
      <c r="H2402">
        <v>0</v>
      </c>
      <c r="I2402">
        <v>0</v>
      </c>
      <c r="J2402" t="str">
        <f t="shared" si="222"/>
        <v>Non-Smoker</v>
      </c>
      <c r="K2402">
        <v>0</v>
      </c>
      <c r="L2402">
        <v>0</v>
      </c>
      <c r="M2402">
        <v>0</v>
      </c>
      <c r="N2402">
        <v>0</v>
      </c>
      <c r="O2402">
        <v>260</v>
      </c>
      <c r="P2402" t="str">
        <f t="shared" si="223"/>
        <v>High</v>
      </c>
      <c r="Q2402">
        <v>107.5</v>
      </c>
      <c r="R2402">
        <v>70</v>
      </c>
      <c r="S2402">
        <v>23.53</v>
      </c>
      <c r="T2402" t="str">
        <f t="shared" si="224"/>
        <v>Normal</v>
      </c>
      <c r="U2402">
        <v>80</v>
      </c>
      <c r="V2402">
        <v>67</v>
      </c>
      <c r="W2402" t="str">
        <f t="shared" si="227"/>
        <v>Normal</v>
      </c>
      <c r="X2402">
        <v>0</v>
      </c>
    </row>
    <row r="2403" spans="1:24" ht="14.5" thickBot="1" x14ac:dyDescent="0.35">
      <c r="A2403">
        <v>0</v>
      </c>
      <c r="B2403" t="str">
        <f t="shared" si="225"/>
        <v>Female</v>
      </c>
      <c r="C2403" s="8">
        <v>51</v>
      </c>
      <c r="D2403" t="str">
        <f t="shared" si="226"/>
        <v>Middle Age</v>
      </c>
      <c r="E2403">
        <v>2</v>
      </c>
      <c r="F2403" t="str">
        <f>HLOOKUP(E2403, LookUP_Table!$A$6:$D$7, 2, FALSE)</f>
        <v>Secondary</v>
      </c>
      <c r="G2403" t="str">
        <f>IFERROR(VLOOKUP(E2403, LookUP_Table!$A$1:$B$4, 2, FALSE), "")</f>
        <v>Secondary</v>
      </c>
      <c r="H2403">
        <v>0</v>
      </c>
      <c r="I2403">
        <v>0</v>
      </c>
      <c r="J2403" t="str">
        <f t="shared" si="222"/>
        <v>Non-Smoker</v>
      </c>
      <c r="K2403">
        <v>0</v>
      </c>
      <c r="L2403">
        <v>0</v>
      </c>
      <c r="M2403">
        <v>1</v>
      </c>
      <c r="N2403">
        <v>0</v>
      </c>
      <c r="O2403">
        <v>320</v>
      </c>
      <c r="P2403" t="str">
        <f t="shared" si="223"/>
        <v>High</v>
      </c>
      <c r="Q2403">
        <v>142.5</v>
      </c>
      <c r="R2403">
        <v>93.5</v>
      </c>
      <c r="S2403">
        <v>33.659999999999997</v>
      </c>
      <c r="T2403" t="str">
        <f t="shared" si="224"/>
        <v>Obese</v>
      </c>
      <c r="U2403">
        <v>65</v>
      </c>
      <c r="V2403">
        <v>80</v>
      </c>
      <c r="W2403" t="str">
        <f t="shared" si="227"/>
        <v>Normal</v>
      </c>
      <c r="X2403">
        <v>0</v>
      </c>
    </row>
    <row r="2404" spans="1:24" ht="14.5" thickBot="1" x14ac:dyDescent="0.35">
      <c r="A2404">
        <v>1</v>
      </c>
      <c r="B2404" t="str">
        <f t="shared" si="225"/>
        <v>Male</v>
      </c>
      <c r="C2404" s="8">
        <v>51</v>
      </c>
      <c r="D2404" t="str">
        <f t="shared" si="226"/>
        <v>Middle Age</v>
      </c>
      <c r="E2404">
        <v>4</v>
      </c>
      <c r="F2404" t="str">
        <f>HLOOKUP(E2404, LookUP_Table!$A$6:$D$7, 2, FALSE)</f>
        <v>Post Graduate</v>
      </c>
      <c r="G2404" t="str">
        <f>IFERROR(VLOOKUP(E2404, LookUP_Table!$A$1:$B$4, 2, FALSE), "")</f>
        <v>Post Graduate</v>
      </c>
      <c r="H2404">
        <v>1</v>
      </c>
      <c r="I2404">
        <v>10</v>
      </c>
      <c r="J2404" t="str">
        <f t="shared" si="222"/>
        <v>Smoker</v>
      </c>
      <c r="K2404">
        <v>0</v>
      </c>
      <c r="L2404">
        <v>0</v>
      </c>
      <c r="M2404">
        <v>1</v>
      </c>
      <c r="N2404">
        <v>0</v>
      </c>
      <c r="O2404">
        <v>269</v>
      </c>
      <c r="P2404" t="str">
        <f t="shared" si="223"/>
        <v>High</v>
      </c>
      <c r="Q2404">
        <v>134</v>
      </c>
      <c r="R2404">
        <v>92</v>
      </c>
      <c r="S2404">
        <v>30.39</v>
      </c>
      <c r="T2404" t="str">
        <f t="shared" si="224"/>
        <v>Obese</v>
      </c>
      <c r="U2404">
        <v>85</v>
      </c>
      <c r="V2404">
        <v>81</v>
      </c>
      <c r="W2404" t="str">
        <f t="shared" si="227"/>
        <v>Normal</v>
      </c>
      <c r="X2404">
        <v>0</v>
      </c>
    </row>
    <row r="2405" spans="1:24" ht="14.5" thickBot="1" x14ac:dyDescent="0.35">
      <c r="A2405">
        <v>0</v>
      </c>
      <c r="B2405" t="str">
        <f t="shared" si="225"/>
        <v>Female</v>
      </c>
      <c r="C2405" s="8">
        <v>51</v>
      </c>
      <c r="D2405" t="str">
        <f t="shared" si="226"/>
        <v>Middle Age</v>
      </c>
      <c r="E2405">
        <v>3</v>
      </c>
      <c r="F2405" t="str">
        <f>HLOOKUP(E2405, LookUP_Table!$A$6:$D$7, 2, FALSE)</f>
        <v>Graduate</v>
      </c>
      <c r="G2405" t="str">
        <f>IFERROR(VLOOKUP(E2405, LookUP_Table!$A$1:$B$4, 2, FALSE), "")</f>
        <v>Graduate</v>
      </c>
      <c r="H2405">
        <v>1</v>
      </c>
      <c r="I2405">
        <v>15</v>
      </c>
      <c r="J2405" t="str">
        <f t="shared" si="222"/>
        <v>Smoker</v>
      </c>
      <c r="K2405">
        <v>0</v>
      </c>
      <c r="L2405">
        <v>0</v>
      </c>
      <c r="M2405">
        <v>0</v>
      </c>
      <c r="N2405">
        <v>0</v>
      </c>
      <c r="O2405">
        <v>326</v>
      </c>
      <c r="P2405" t="str">
        <f t="shared" si="223"/>
        <v>High</v>
      </c>
      <c r="Q2405">
        <v>101</v>
      </c>
      <c r="R2405">
        <v>67</v>
      </c>
      <c r="S2405">
        <v>22.73</v>
      </c>
      <c r="T2405" t="str">
        <f t="shared" si="224"/>
        <v>Normal</v>
      </c>
      <c r="U2405">
        <v>69</v>
      </c>
      <c r="V2405">
        <v>87</v>
      </c>
      <c r="W2405" t="str">
        <f t="shared" si="227"/>
        <v>Normal</v>
      </c>
      <c r="X2405">
        <v>0</v>
      </c>
    </row>
    <row r="2406" spans="1:24" ht="14.5" thickBot="1" x14ac:dyDescent="0.35">
      <c r="A2406">
        <v>0</v>
      </c>
      <c r="B2406" t="str">
        <f t="shared" si="225"/>
        <v>Female</v>
      </c>
      <c r="C2406" s="8">
        <v>51</v>
      </c>
      <c r="D2406" t="str">
        <f t="shared" si="226"/>
        <v>Middle Age</v>
      </c>
      <c r="E2406">
        <v>1</v>
      </c>
      <c r="F2406" t="str">
        <f>HLOOKUP(E2406, LookUP_Table!$A$6:$D$7, 2, FALSE)</f>
        <v>Primary</v>
      </c>
      <c r="G2406" t="str">
        <f>IFERROR(VLOOKUP(E2406, LookUP_Table!$A$1:$B$4, 2, FALSE), "")</f>
        <v>Primary</v>
      </c>
      <c r="H2406">
        <v>0</v>
      </c>
      <c r="I2406">
        <v>0</v>
      </c>
      <c r="J2406" t="str">
        <f t="shared" si="222"/>
        <v>Non-Smoker</v>
      </c>
      <c r="K2406">
        <v>0</v>
      </c>
      <c r="L2406">
        <v>0</v>
      </c>
      <c r="M2406">
        <v>0</v>
      </c>
      <c r="N2406">
        <v>0</v>
      </c>
      <c r="O2406">
        <v>226</v>
      </c>
      <c r="P2406" t="str">
        <f t="shared" si="223"/>
        <v>Normal</v>
      </c>
      <c r="Q2406">
        <v>130</v>
      </c>
      <c r="R2406">
        <v>80</v>
      </c>
      <c r="S2406">
        <v>23.24</v>
      </c>
      <c r="T2406" t="str">
        <f t="shared" si="224"/>
        <v>Normal</v>
      </c>
      <c r="U2406">
        <v>60</v>
      </c>
      <c r="V2406">
        <v>63</v>
      </c>
      <c r="W2406" t="str">
        <f t="shared" si="227"/>
        <v>Normal</v>
      </c>
      <c r="X2406">
        <v>0</v>
      </c>
    </row>
    <row r="2407" spans="1:24" ht="14.5" thickBot="1" x14ac:dyDescent="0.35">
      <c r="A2407">
        <v>0</v>
      </c>
      <c r="B2407" t="str">
        <f t="shared" si="225"/>
        <v>Female</v>
      </c>
      <c r="C2407" s="8">
        <v>51</v>
      </c>
      <c r="D2407" t="str">
        <f t="shared" si="226"/>
        <v>Middle Age</v>
      </c>
      <c r="E2407">
        <v>1</v>
      </c>
      <c r="F2407" t="str">
        <f>HLOOKUP(E2407, LookUP_Table!$A$6:$D$7, 2, FALSE)</f>
        <v>Primary</v>
      </c>
      <c r="G2407" t="str">
        <f>IFERROR(VLOOKUP(E2407, LookUP_Table!$A$1:$B$4, 2, FALSE), "")</f>
        <v>Primary</v>
      </c>
      <c r="H2407">
        <v>0</v>
      </c>
      <c r="I2407">
        <v>0</v>
      </c>
      <c r="J2407" t="str">
        <f t="shared" si="222"/>
        <v>Non-Smoker</v>
      </c>
      <c r="K2407">
        <v>0</v>
      </c>
      <c r="L2407">
        <v>0</v>
      </c>
      <c r="M2407">
        <v>1</v>
      </c>
      <c r="N2407">
        <v>0</v>
      </c>
      <c r="O2407">
        <v>216</v>
      </c>
      <c r="P2407" t="str">
        <f t="shared" si="223"/>
        <v>Normal</v>
      </c>
      <c r="Q2407">
        <v>154</v>
      </c>
      <c r="R2407">
        <v>98</v>
      </c>
      <c r="S2407">
        <v>32.35</v>
      </c>
      <c r="T2407" t="str">
        <f t="shared" si="224"/>
        <v>Obese</v>
      </c>
      <c r="U2407">
        <v>75</v>
      </c>
      <c r="V2407">
        <v>103</v>
      </c>
      <c r="W2407" t="str">
        <f t="shared" si="227"/>
        <v>Prediabetes</v>
      </c>
      <c r="X2407">
        <v>0</v>
      </c>
    </row>
    <row r="2408" spans="1:24" ht="14.5" thickBot="1" x14ac:dyDescent="0.35">
      <c r="A2408">
        <v>0</v>
      </c>
      <c r="B2408" t="str">
        <f t="shared" si="225"/>
        <v>Female</v>
      </c>
      <c r="C2408" s="8">
        <v>51</v>
      </c>
      <c r="D2408" t="str">
        <f t="shared" si="226"/>
        <v>Middle Age</v>
      </c>
      <c r="E2408">
        <v>1</v>
      </c>
      <c r="F2408" t="str">
        <f>HLOOKUP(E2408, LookUP_Table!$A$6:$D$7, 2, FALSE)</f>
        <v>Primary</v>
      </c>
      <c r="G2408" t="str">
        <f>IFERROR(VLOOKUP(E2408, LookUP_Table!$A$1:$B$4, 2, FALSE), "")</f>
        <v>Primary</v>
      </c>
      <c r="H2408">
        <v>1</v>
      </c>
      <c r="I2408">
        <v>3</v>
      </c>
      <c r="J2408" t="str">
        <f t="shared" si="222"/>
        <v>Smoker</v>
      </c>
      <c r="K2408">
        <v>0</v>
      </c>
      <c r="L2408">
        <v>0</v>
      </c>
      <c r="M2408">
        <v>0</v>
      </c>
      <c r="N2408">
        <v>0</v>
      </c>
      <c r="O2408">
        <v>246</v>
      </c>
      <c r="P2408" t="str">
        <f t="shared" si="223"/>
        <v>High</v>
      </c>
      <c r="Q2408">
        <v>111.5</v>
      </c>
      <c r="R2408">
        <v>74</v>
      </c>
      <c r="S2408">
        <v>25.09</v>
      </c>
      <c r="T2408" t="str">
        <f t="shared" si="224"/>
        <v>Overweight</v>
      </c>
      <c r="U2408">
        <v>78</v>
      </c>
      <c r="V2408">
        <v>78</v>
      </c>
      <c r="W2408" t="str">
        <f t="shared" si="227"/>
        <v>Normal</v>
      </c>
      <c r="X2408">
        <v>0</v>
      </c>
    </row>
    <row r="2409" spans="1:24" ht="14.5" thickBot="1" x14ac:dyDescent="0.35">
      <c r="A2409">
        <v>0</v>
      </c>
      <c r="B2409" t="str">
        <f t="shared" si="225"/>
        <v>Female</v>
      </c>
      <c r="C2409" s="8">
        <v>51</v>
      </c>
      <c r="D2409" t="str">
        <f t="shared" si="226"/>
        <v>Middle Age</v>
      </c>
      <c r="E2409">
        <v>1</v>
      </c>
      <c r="F2409" t="str">
        <f>HLOOKUP(E2409, LookUP_Table!$A$6:$D$7, 2, FALSE)</f>
        <v>Primary</v>
      </c>
      <c r="G2409" t="str">
        <f>IFERROR(VLOOKUP(E2409, LookUP_Table!$A$1:$B$4, 2, FALSE), "")</f>
        <v>Primary</v>
      </c>
      <c r="H2409">
        <v>1</v>
      </c>
      <c r="I2409">
        <v>20</v>
      </c>
      <c r="J2409" t="str">
        <f t="shared" si="222"/>
        <v>Smoker</v>
      </c>
      <c r="K2409">
        <v>0</v>
      </c>
      <c r="L2409">
        <v>0</v>
      </c>
      <c r="M2409">
        <v>0</v>
      </c>
      <c r="N2409">
        <v>0</v>
      </c>
      <c r="O2409">
        <v>168</v>
      </c>
      <c r="P2409" t="str">
        <f t="shared" si="223"/>
        <v>Normal</v>
      </c>
      <c r="Q2409">
        <v>128</v>
      </c>
      <c r="R2409">
        <v>80</v>
      </c>
      <c r="S2409">
        <v>23.08</v>
      </c>
      <c r="T2409" t="str">
        <f t="shared" si="224"/>
        <v>Normal</v>
      </c>
      <c r="U2409">
        <v>75</v>
      </c>
      <c r="V2409">
        <v>93</v>
      </c>
      <c r="W2409" t="str">
        <f t="shared" si="227"/>
        <v>Normal</v>
      </c>
      <c r="X2409">
        <v>0</v>
      </c>
    </row>
    <row r="2410" spans="1:24" ht="14.5" thickBot="1" x14ac:dyDescent="0.35">
      <c r="A2410">
        <v>1</v>
      </c>
      <c r="B2410" t="str">
        <f t="shared" si="225"/>
        <v>Male</v>
      </c>
      <c r="C2410" s="8">
        <v>51</v>
      </c>
      <c r="D2410" t="str">
        <f t="shared" si="226"/>
        <v>Middle Age</v>
      </c>
      <c r="E2410">
        <v>2</v>
      </c>
      <c r="F2410" t="str">
        <f>HLOOKUP(E2410, LookUP_Table!$A$6:$D$7, 2, FALSE)</f>
        <v>Secondary</v>
      </c>
      <c r="G2410" t="str">
        <f>IFERROR(VLOOKUP(E2410, LookUP_Table!$A$1:$B$4, 2, FALSE), "")</f>
        <v>Secondary</v>
      </c>
      <c r="H2410">
        <v>1</v>
      </c>
      <c r="I2410">
        <v>20</v>
      </c>
      <c r="J2410" t="str">
        <f t="shared" si="222"/>
        <v>Smoker</v>
      </c>
      <c r="K2410">
        <v>0</v>
      </c>
      <c r="L2410">
        <v>0</v>
      </c>
      <c r="M2410">
        <v>1</v>
      </c>
      <c r="N2410">
        <v>0</v>
      </c>
      <c r="O2410">
        <v>261</v>
      </c>
      <c r="P2410" t="str">
        <f t="shared" si="223"/>
        <v>High</v>
      </c>
      <c r="Q2410">
        <v>161</v>
      </c>
      <c r="R2410">
        <v>105</v>
      </c>
      <c r="S2410">
        <v>27.47</v>
      </c>
      <c r="T2410" t="str">
        <f t="shared" si="224"/>
        <v>Overweight</v>
      </c>
      <c r="U2410">
        <v>70</v>
      </c>
      <c r="V2410">
        <v>81.96365524402907</v>
      </c>
      <c r="W2410" t="str">
        <f t="shared" si="227"/>
        <v>Normal</v>
      </c>
      <c r="X2410">
        <v>0</v>
      </c>
    </row>
    <row r="2411" spans="1:24" ht="14.5" thickBot="1" x14ac:dyDescent="0.35">
      <c r="A2411">
        <v>0</v>
      </c>
      <c r="B2411" t="str">
        <f t="shared" si="225"/>
        <v>Female</v>
      </c>
      <c r="C2411" s="8">
        <v>51</v>
      </c>
      <c r="D2411" t="str">
        <f t="shared" si="226"/>
        <v>Middle Age</v>
      </c>
      <c r="E2411">
        <v>1</v>
      </c>
      <c r="F2411" t="str">
        <f>HLOOKUP(E2411, LookUP_Table!$A$6:$D$7, 2, FALSE)</f>
        <v>Primary</v>
      </c>
      <c r="G2411" t="str">
        <f>IFERROR(VLOOKUP(E2411, LookUP_Table!$A$1:$B$4, 2, FALSE), "")</f>
        <v>Primary</v>
      </c>
      <c r="H2411">
        <v>0</v>
      </c>
      <c r="I2411">
        <v>0</v>
      </c>
      <c r="J2411" t="str">
        <f t="shared" si="222"/>
        <v>Non-Smoker</v>
      </c>
      <c r="K2411">
        <v>0</v>
      </c>
      <c r="L2411">
        <v>0</v>
      </c>
      <c r="M2411">
        <v>0</v>
      </c>
      <c r="N2411">
        <v>0</v>
      </c>
      <c r="O2411">
        <v>226</v>
      </c>
      <c r="P2411" t="str">
        <f t="shared" si="223"/>
        <v>Normal</v>
      </c>
      <c r="Q2411">
        <v>131</v>
      </c>
      <c r="R2411">
        <v>87</v>
      </c>
      <c r="S2411">
        <v>24.36</v>
      </c>
      <c r="T2411" t="str">
        <f t="shared" si="224"/>
        <v>Normal</v>
      </c>
      <c r="U2411">
        <v>75</v>
      </c>
      <c r="V2411">
        <v>73</v>
      </c>
      <c r="W2411" t="str">
        <f t="shared" si="227"/>
        <v>Normal</v>
      </c>
      <c r="X2411">
        <v>0</v>
      </c>
    </row>
    <row r="2412" spans="1:24" ht="14.5" thickBot="1" x14ac:dyDescent="0.35">
      <c r="A2412">
        <v>0</v>
      </c>
      <c r="B2412" t="str">
        <f t="shared" si="225"/>
        <v>Female</v>
      </c>
      <c r="C2412" s="8">
        <v>51</v>
      </c>
      <c r="D2412" t="str">
        <f t="shared" si="226"/>
        <v>Middle Age</v>
      </c>
      <c r="E2412">
        <v>1</v>
      </c>
      <c r="F2412" t="str">
        <f>HLOOKUP(E2412, LookUP_Table!$A$6:$D$7, 2, FALSE)</f>
        <v>Primary</v>
      </c>
      <c r="G2412" t="str">
        <f>IFERROR(VLOOKUP(E2412, LookUP_Table!$A$1:$B$4, 2, FALSE), "")</f>
        <v>Primary</v>
      </c>
      <c r="H2412">
        <v>1</v>
      </c>
      <c r="I2412">
        <v>10</v>
      </c>
      <c r="J2412" t="str">
        <f t="shared" si="222"/>
        <v>Smoker</v>
      </c>
      <c r="K2412">
        <v>0</v>
      </c>
      <c r="L2412">
        <v>0</v>
      </c>
      <c r="M2412">
        <v>1</v>
      </c>
      <c r="N2412">
        <v>0</v>
      </c>
      <c r="O2412">
        <v>201</v>
      </c>
      <c r="P2412" t="str">
        <f t="shared" si="223"/>
        <v>Normal</v>
      </c>
      <c r="Q2412">
        <v>147.5</v>
      </c>
      <c r="R2412">
        <v>95</v>
      </c>
      <c r="S2412">
        <v>22.34</v>
      </c>
      <c r="T2412" t="str">
        <f t="shared" si="224"/>
        <v>Normal</v>
      </c>
      <c r="U2412">
        <v>100</v>
      </c>
      <c r="V2412">
        <v>67</v>
      </c>
      <c r="W2412" t="str">
        <f t="shared" si="227"/>
        <v>Normal</v>
      </c>
      <c r="X2412">
        <v>0</v>
      </c>
    </row>
    <row r="2413" spans="1:24" ht="14.5" thickBot="1" x14ac:dyDescent="0.35">
      <c r="A2413">
        <v>0</v>
      </c>
      <c r="B2413" t="str">
        <f t="shared" si="225"/>
        <v>Female</v>
      </c>
      <c r="C2413" s="8">
        <v>51</v>
      </c>
      <c r="D2413" t="str">
        <f t="shared" si="226"/>
        <v>Middle Age</v>
      </c>
      <c r="E2413">
        <v>1</v>
      </c>
      <c r="F2413" t="str">
        <f>HLOOKUP(E2413, LookUP_Table!$A$6:$D$7, 2, FALSE)</f>
        <v>Primary</v>
      </c>
      <c r="G2413" t="str">
        <f>IFERROR(VLOOKUP(E2413, LookUP_Table!$A$1:$B$4, 2, FALSE), "")</f>
        <v>Primary</v>
      </c>
      <c r="H2413">
        <v>1</v>
      </c>
      <c r="I2413">
        <v>20</v>
      </c>
      <c r="J2413" t="str">
        <f t="shared" si="222"/>
        <v>Smoker</v>
      </c>
      <c r="K2413">
        <v>0</v>
      </c>
      <c r="L2413">
        <v>0</v>
      </c>
      <c r="M2413">
        <v>0</v>
      </c>
      <c r="N2413">
        <v>0</v>
      </c>
      <c r="O2413">
        <v>262</v>
      </c>
      <c r="P2413" t="str">
        <f t="shared" si="223"/>
        <v>High</v>
      </c>
      <c r="Q2413">
        <v>102</v>
      </c>
      <c r="R2413">
        <v>64</v>
      </c>
      <c r="S2413">
        <v>28.06</v>
      </c>
      <c r="T2413" t="str">
        <f t="shared" si="224"/>
        <v>Overweight</v>
      </c>
      <c r="U2413">
        <v>80</v>
      </c>
      <c r="V2413">
        <v>66</v>
      </c>
      <c r="W2413" t="str">
        <f t="shared" si="227"/>
        <v>Normal</v>
      </c>
      <c r="X2413">
        <v>0</v>
      </c>
    </row>
    <row r="2414" spans="1:24" ht="14.5" thickBot="1" x14ac:dyDescent="0.35">
      <c r="A2414">
        <v>0</v>
      </c>
      <c r="B2414" t="str">
        <f t="shared" si="225"/>
        <v>Female</v>
      </c>
      <c r="C2414" s="8">
        <v>51</v>
      </c>
      <c r="D2414" t="str">
        <f t="shared" si="226"/>
        <v>Middle Age</v>
      </c>
      <c r="E2414">
        <v>1</v>
      </c>
      <c r="F2414" t="str">
        <f>HLOOKUP(E2414, LookUP_Table!$A$6:$D$7, 2, FALSE)</f>
        <v>Primary</v>
      </c>
      <c r="G2414" t="str">
        <f>IFERROR(VLOOKUP(E2414, LookUP_Table!$A$1:$B$4, 2, FALSE), "")</f>
        <v>Primary</v>
      </c>
      <c r="H2414">
        <v>0</v>
      </c>
      <c r="I2414">
        <v>0</v>
      </c>
      <c r="J2414" t="str">
        <f t="shared" si="222"/>
        <v>Non-Smoker</v>
      </c>
      <c r="K2414">
        <v>0</v>
      </c>
      <c r="L2414">
        <v>0</v>
      </c>
      <c r="M2414">
        <v>0</v>
      </c>
      <c r="N2414">
        <v>0</v>
      </c>
      <c r="O2414">
        <v>236.69952267303103</v>
      </c>
      <c r="P2414" t="str">
        <f t="shared" si="223"/>
        <v>Normal</v>
      </c>
      <c r="Q2414">
        <v>130</v>
      </c>
      <c r="R2414">
        <v>89.5</v>
      </c>
      <c r="S2414">
        <v>25.80080075811421</v>
      </c>
      <c r="T2414" t="str">
        <f t="shared" si="224"/>
        <v>Overweight</v>
      </c>
      <c r="U2414">
        <v>80</v>
      </c>
      <c r="V2414">
        <v>81.96365524402907</v>
      </c>
      <c r="W2414" t="str">
        <f t="shared" si="227"/>
        <v>Normal</v>
      </c>
      <c r="X2414">
        <v>0</v>
      </c>
    </row>
    <row r="2415" spans="1:24" ht="14.5" thickBot="1" x14ac:dyDescent="0.35">
      <c r="A2415">
        <v>0</v>
      </c>
      <c r="B2415" t="str">
        <f t="shared" si="225"/>
        <v>Female</v>
      </c>
      <c r="C2415" s="8">
        <v>51</v>
      </c>
      <c r="D2415" t="str">
        <f t="shared" si="226"/>
        <v>Middle Age</v>
      </c>
      <c r="E2415">
        <v>1</v>
      </c>
      <c r="F2415" t="str">
        <f>HLOOKUP(E2415, LookUP_Table!$A$6:$D$7, 2, FALSE)</f>
        <v>Primary</v>
      </c>
      <c r="G2415" t="str">
        <f>IFERROR(VLOOKUP(E2415, LookUP_Table!$A$1:$B$4, 2, FALSE), "")</f>
        <v>Primary</v>
      </c>
      <c r="H2415">
        <v>1</v>
      </c>
      <c r="I2415">
        <v>25</v>
      </c>
      <c r="J2415" t="str">
        <f t="shared" si="222"/>
        <v>Smoker</v>
      </c>
      <c r="K2415">
        <v>0</v>
      </c>
      <c r="L2415">
        <v>0</v>
      </c>
      <c r="M2415">
        <v>0</v>
      </c>
      <c r="N2415">
        <v>0</v>
      </c>
      <c r="O2415">
        <v>327</v>
      </c>
      <c r="P2415" t="str">
        <f t="shared" si="223"/>
        <v>High</v>
      </c>
      <c r="Q2415">
        <v>117</v>
      </c>
      <c r="R2415">
        <v>70</v>
      </c>
      <c r="S2415">
        <v>18.52</v>
      </c>
      <c r="T2415" t="str">
        <f t="shared" si="224"/>
        <v>Normal</v>
      </c>
      <c r="U2415">
        <v>90</v>
      </c>
      <c r="V2415">
        <v>76</v>
      </c>
      <c r="W2415" t="str">
        <f t="shared" si="227"/>
        <v>Normal</v>
      </c>
      <c r="X2415">
        <v>1</v>
      </c>
    </row>
    <row r="2416" spans="1:24" ht="14.5" thickBot="1" x14ac:dyDescent="0.35">
      <c r="A2416">
        <v>0</v>
      </c>
      <c r="B2416" t="str">
        <f t="shared" si="225"/>
        <v>Female</v>
      </c>
      <c r="C2416" s="8">
        <v>51</v>
      </c>
      <c r="D2416" t="str">
        <f t="shared" si="226"/>
        <v>Middle Age</v>
      </c>
      <c r="E2416">
        <v>2</v>
      </c>
      <c r="F2416" t="str">
        <f>HLOOKUP(E2416, LookUP_Table!$A$6:$D$7, 2, FALSE)</f>
        <v>Secondary</v>
      </c>
      <c r="G2416" t="str">
        <f>IFERROR(VLOOKUP(E2416, LookUP_Table!$A$1:$B$4, 2, FALSE), "")</f>
        <v>Secondary</v>
      </c>
      <c r="H2416">
        <v>0</v>
      </c>
      <c r="I2416">
        <v>0</v>
      </c>
      <c r="J2416" t="str">
        <f t="shared" si="222"/>
        <v>Non-Smoker</v>
      </c>
      <c r="K2416">
        <v>0</v>
      </c>
      <c r="L2416">
        <v>0</v>
      </c>
      <c r="M2416">
        <v>0</v>
      </c>
      <c r="N2416">
        <v>0</v>
      </c>
      <c r="O2416">
        <v>285</v>
      </c>
      <c r="P2416" t="str">
        <f t="shared" si="223"/>
        <v>High</v>
      </c>
      <c r="Q2416">
        <v>136.5</v>
      </c>
      <c r="R2416">
        <v>86.5</v>
      </c>
      <c r="S2416">
        <v>24.81</v>
      </c>
      <c r="T2416" t="str">
        <f t="shared" si="224"/>
        <v>Normal</v>
      </c>
      <c r="U2416">
        <v>70</v>
      </c>
      <c r="V2416">
        <v>83</v>
      </c>
      <c r="W2416" t="str">
        <f t="shared" si="227"/>
        <v>Normal</v>
      </c>
      <c r="X2416">
        <v>0</v>
      </c>
    </row>
    <row r="2417" spans="1:24" ht="14.5" thickBot="1" x14ac:dyDescent="0.35">
      <c r="A2417">
        <v>0</v>
      </c>
      <c r="B2417" t="str">
        <f t="shared" si="225"/>
        <v>Female</v>
      </c>
      <c r="C2417" s="8">
        <v>51</v>
      </c>
      <c r="D2417" t="str">
        <f t="shared" si="226"/>
        <v>Middle Age</v>
      </c>
      <c r="E2417">
        <v>3</v>
      </c>
      <c r="F2417" t="str">
        <f>HLOOKUP(E2417, LookUP_Table!$A$6:$D$7, 2, FALSE)</f>
        <v>Graduate</v>
      </c>
      <c r="G2417" t="str">
        <f>IFERROR(VLOOKUP(E2417, LookUP_Table!$A$1:$B$4, 2, FALSE), "")</f>
        <v>Graduate</v>
      </c>
      <c r="H2417">
        <v>0</v>
      </c>
      <c r="I2417">
        <v>0</v>
      </c>
      <c r="J2417" t="str">
        <f t="shared" si="222"/>
        <v>Non-Smoker</v>
      </c>
      <c r="K2417">
        <v>0</v>
      </c>
      <c r="L2417">
        <v>0</v>
      </c>
      <c r="M2417">
        <v>0</v>
      </c>
      <c r="N2417">
        <v>0</v>
      </c>
      <c r="O2417">
        <v>230</v>
      </c>
      <c r="P2417" t="str">
        <f t="shared" si="223"/>
        <v>Normal</v>
      </c>
      <c r="Q2417">
        <v>134</v>
      </c>
      <c r="R2417">
        <v>84</v>
      </c>
      <c r="S2417">
        <v>23.54</v>
      </c>
      <c r="T2417" t="str">
        <f t="shared" si="224"/>
        <v>Normal</v>
      </c>
      <c r="U2417">
        <v>80</v>
      </c>
      <c r="V2417">
        <v>78</v>
      </c>
      <c r="W2417" t="str">
        <f t="shared" si="227"/>
        <v>Normal</v>
      </c>
      <c r="X2417">
        <v>0</v>
      </c>
    </row>
    <row r="2418" spans="1:24" ht="14.5" thickBot="1" x14ac:dyDescent="0.35">
      <c r="A2418">
        <v>1</v>
      </c>
      <c r="B2418" t="str">
        <f t="shared" si="225"/>
        <v>Male</v>
      </c>
      <c r="C2418" s="8">
        <v>51</v>
      </c>
      <c r="D2418" t="str">
        <f t="shared" si="226"/>
        <v>Middle Age</v>
      </c>
      <c r="E2418">
        <v>1</v>
      </c>
      <c r="F2418" t="str">
        <f>HLOOKUP(E2418, LookUP_Table!$A$6:$D$7, 2, FALSE)</f>
        <v>Primary</v>
      </c>
      <c r="G2418" t="str">
        <f>IFERROR(VLOOKUP(E2418, LookUP_Table!$A$1:$B$4, 2, FALSE), "")</f>
        <v>Primary</v>
      </c>
      <c r="H2418">
        <v>1</v>
      </c>
      <c r="I2418">
        <v>43</v>
      </c>
      <c r="J2418" t="str">
        <f t="shared" si="222"/>
        <v>Smoker</v>
      </c>
      <c r="K2418">
        <v>0</v>
      </c>
      <c r="L2418">
        <v>0</v>
      </c>
      <c r="M2418">
        <v>1</v>
      </c>
      <c r="N2418">
        <v>0</v>
      </c>
      <c r="O2418">
        <v>176</v>
      </c>
      <c r="P2418" t="str">
        <f t="shared" si="223"/>
        <v>Normal</v>
      </c>
      <c r="Q2418">
        <v>140</v>
      </c>
      <c r="R2418">
        <v>88</v>
      </c>
      <c r="S2418">
        <v>27.56</v>
      </c>
      <c r="T2418" t="str">
        <f t="shared" si="224"/>
        <v>Overweight</v>
      </c>
      <c r="U2418">
        <v>110</v>
      </c>
      <c r="V2418">
        <v>83</v>
      </c>
      <c r="W2418" t="str">
        <f t="shared" si="227"/>
        <v>Normal</v>
      </c>
      <c r="X2418">
        <v>0</v>
      </c>
    </row>
    <row r="2419" spans="1:24" ht="14.5" thickBot="1" x14ac:dyDescent="0.35">
      <c r="A2419">
        <v>1</v>
      </c>
      <c r="B2419" t="str">
        <f t="shared" si="225"/>
        <v>Male</v>
      </c>
      <c r="C2419" s="8">
        <v>51</v>
      </c>
      <c r="D2419" t="str">
        <f t="shared" si="226"/>
        <v>Middle Age</v>
      </c>
      <c r="E2419">
        <v>2</v>
      </c>
      <c r="F2419" t="str">
        <f>HLOOKUP(E2419, LookUP_Table!$A$6:$D$7, 2, FALSE)</f>
        <v>Secondary</v>
      </c>
      <c r="G2419" t="str">
        <f>IFERROR(VLOOKUP(E2419, LookUP_Table!$A$1:$B$4, 2, FALSE), "")</f>
        <v>Secondary</v>
      </c>
      <c r="H2419">
        <v>1</v>
      </c>
      <c r="I2419">
        <v>20</v>
      </c>
      <c r="J2419" t="str">
        <f t="shared" si="222"/>
        <v>Smoker</v>
      </c>
      <c r="K2419">
        <v>0</v>
      </c>
      <c r="L2419">
        <v>0</v>
      </c>
      <c r="M2419">
        <v>0</v>
      </c>
      <c r="N2419">
        <v>0</v>
      </c>
      <c r="O2419">
        <v>244</v>
      </c>
      <c r="P2419" t="str">
        <f t="shared" si="223"/>
        <v>High</v>
      </c>
      <c r="Q2419">
        <v>129</v>
      </c>
      <c r="R2419">
        <v>72</v>
      </c>
      <c r="S2419">
        <v>22.67</v>
      </c>
      <c r="T2419" t="str">
        <f t="shared" si="224"/>
        <v>Normal</v>
      </c>
      <c r="U2419">
        <v>60</v>
      </c>
      <c r="V2419">
        <v>80</v>
      </c>
      <c r="W2419" t="str">
        <f t="shared" si="227"/>
        <v>Normal</v>
      </c>
      <c r="X2419">
        <v>0</v>
      </c>
    </row>
    <row r="2420" spans="1:24" ht="14.5" thickBot="1" x14ac:dyDescent="0.35">
      <c r="A2420">
        <v>0</v>
      </c>
      <c r="B2420" t="str">
        <f t="shared" si="225"/>
        <v>Female</v>
      </c>
      <c r="C2420" s="8">
        <v>51</v>
      </c>
      <c r="D2420" t="str">
        <f t="shared" si="226"/>
        <v>Middle Age</v>
      </c>
      <c r="E2420">
        <v>1</v>
      </c>
      <c r="F2420" t="str">
        <f>HLOOKUP(E2420, LookUP_Table!$A$6:$D$7, 2, FALSE)</f>
        <v>Primary</v>
      </c>
      <c r="G2420" t="str">
        <f>IFERROR(VLOOKUP(E2420, LookUP_Table!$A$1:$B$4, 2, FALSE), "")</f>
        <v>Primary</v>
      </c>
      <c r="H2420">
        <v>1</v>
      </c>
      <c r="I2420">
        <v>20</v>
      </c>
      <c r="J2420" t="str">
        <f t="shared" si="222"/>
        <v>Smoker</v>
      </c>
      <c r="K2420">
        <v>0</v>
      </c>
      <c r="L2420">
        <v>0</v>
      </c>
      <c r="M2420">
        <v>0</v>
      </c>
      <c r="N2420">
        <v>0</v>
      </c>
      <c r="O2420">
        <v>300</v>
      </c>
      <c r="P2420" t="str">
        <f t="shared" si="223"/>
        <v>High</v>
      </c>
      <c r="Q2420">
        <v>128</v>
      </c>
      <c r="R2420">
        <v>78</v>
      </c>
      <c r="S2420">
        <v>26.69</v>
      </c>
      <c r="T2420" t="str">
        <f t="shared" si="224"/>
        <v>Overweight</v>
      </c>
      <c r="U2420">
        <v>65</v>
      </c>
      <c r="V2420">
        <v>97</v>
      </c>
      <c r="W2420" t="str">
        <f t="shared" si="227"/>
        <v>Normal</v>
      </c>
      <c r="X2420">
        <v>0</v>
      </c>
    </row>
    <row r="2421" spans="1:24" ht="14.5" thickBot="1" x14ac:dyDescent="0.35">
      <c r="A2421">
        <v>1</v>
      </c>
      <c r="B2421" t="str">
        <f t="shared" si="225"/>
        <v>Male</v>
      </c>
      <c r="C2421" s="8">
        <v>51</v>
      </c>
      <c r="D2421" t="str">
        <f t="shared" si="226"/>
        <v>Middle Age</v>
      </c>
      <c r="E2421">
        <v>1</v>
      </c>
      <c r="F2421" t="str">
        <f>HLOOKUP(E2421, LookUP_Table!$A$6:$D$7, 2, FALSE)</f>
        <v>Primary</v>
      </c>
      <c r="G2421" t="str">
        <f>IFERROR(VLOOKUP(E2421, LookUP_Table!$A$1:$B$4, 2, FALSE), "")</f>
        <v>Primary</v>
      </c>
      <c r="H2421">
        <v>0</v>
      </c>
      <c r="I2421">
        <v>0</v>
      </c>
      <c r="J2421" t="str">
        <f t="shared" si="222"/>
        <v>Non-Smoker</v>
      </c>
      <c r="K2421">
        <v>0</v>
      </c>
      <c r="L2421">
        <v>0</v>
      </c>
      <c r="M2421">
        <v>0</v>
      </c>
      <c r="N2421">
        <v>0</v>
      </c>
      <c r="O2421">
        <v>166</v>
      </c>
      <c r="P2421" t="str">
        <f t="shared" si="223"/>
        <v>Normal</v>
      </c>
      <c r="Q2421">
        <v>115</v>
      </c>
      <c r="R2421">
        <v>82.5</v>
      </c>
      <c r="S2421">
        <v>26.69</v>
      </c>
      <c r="T2421" t="str">
        <f t="shared" si="224"/>
        <v>Overweight</v>
      </c>
      <c r="U2421">
        <v>64</v>
      </c>
      <c r="V2421">
        <v>67</v>
      </c>
      <c r="W2421" t="str">
        <f t="shared" si="227"/>
        <v>Normal</v>
      </c>
      <c r="X2421">
        <v>0</v>
      </c>
    </row>
    <row r="2422" spans="1:24" ht="14.5" thickBot="1" x14ac:dyDescent="0.35">
      <c r="A2422">
        <v>1</v>
      </c>
      <c r="B2422" t="str">
        <f t="shared" si="225"/>
        <v>Male</v>
      </c>
      <c r="C2422" s="8">
        <v>51</v>
      </c>
      <c r="D2422" t="str">
        <f t="shared" si="226"/>
        <v>Middle Age</v>
      </c>
      <c r="E2422">
        <v>3</v>
      </c>
      <c r="F2422" t="str">
        <f>HLOOKUP(E2422, LookUP_Table!$A$6:$D$7, 2, FALSE)</f>
        <v>Graduate</v>
      </c>
      <c r="G2422" t="str">
        <f>IFERROR(VLOOKUP(E2422, LookUP_Table!$A$1:$B$4, 2, FALSE), "")</f>
        <v>Graduate</v>
      </c>
      <c r="H2422">
        <v>0</v>
      </c>
      <c r="I2422">
        <v>0</v>
      </c>
      <c r="J2422" t="str">
        <f t="shared" si="222"/>
        <v>Non-Smoker</v>
      </c>
      <c r="K2422">
        <v>0</v>
      </c>
      <c r="L2422">
        <v>0</v>
      </c>
      <c r="M2422">
        <v>0</v>
      </c>
      <c r="N2422">
        <v>0</v>
      </c>
      <c r="O2422">
        <v>215</v>
      </c>
      <c r="P2422" t="str">
        <f t="shared" si="223"/>
        <v>Normal</v>
      </c>
      <c r="Q2422">
        <v>147</v>
      </c>
      <c r="R2422">
        <v>96</v>
      </c>
      <c r="S2422">
        <v>28.59</v>
      </c>
      <c r="T2422" t="str">
        <f t="shared" si="224"/>
        <v>Overweight</v>
      </c>
      <c r="U2422">
        <v>65</v>
      </c>
      <c r="V2422">
        <v>100</v>
      </c>
      <c r="W2422" t="str">
        <f t="shared" si="227"/>
        <v>Prediabetes</v>
      </c>
      <c r="X2422">
        <v>0</v>
      </c>
    </row>
    <row r="2423" spans="1:24" ht="14.5" thickBot="1" x14ac:dyDescent="0.35">
      <c r="A2423">
        <v>1</v>
      </c>
      <c r="B2423" t="str">
        <f t="shared" si="225"/>
        <v>Male</v>
      </c>
      <c r="C2423" s="8">
        <v>51</v>
      </c>
      <c r="D2423" t="str">
        <f t="shared" si="226"/>
        <v>Middle Age</v>
      </c>
      <c r="E2423">
        <v>1</v>
      </c>
      <c r="F2423" t="str">
        <f>HLOOKUP(E2423, LookUP_Table!$A$6:$D$7, 2, FALSE)</f>
        <v>Primary</v>
      </c>
      <c r="G2423" t="str">
        <f>IFERROR(VLOOKUP(E2423, LookUP_Table!$A$1:$B$4, 2, FALSE), "")</f>
        <v>Primary</v>
      </c>
      <c r="H2423">
        <v>1</v>
      </c>
      <c r="I2423">
        <v>20</v>
      </c>
      <c r="J2423" t="str">
        <f t="shared" si="222"/>
        <v>Smoker</v>
      </c>
      <c r="K2423">
        <v>0</v>
      </c>
      <c r="L2423">
        <v>0</v>
      </c>
      <c r="M2423">
        <v>0</v>
      </c>
      <c r="N2423">
        <v>0</v>
      </c>
      <c r="O2423">
        <v>256</v>
      </c>
      <c r="P2423" t="str">
        <f t="shared" si="223"/>
        <v>High</v>
      </c>
      <c r="Q2423">
        <v>130</v>
      </c>
      <c r="R2423">
        <v>75</v>
      </c>
      <c r="S2423">
        <v>28.76</v>
      </c>
      <c r="T2423" t="str">
        <f t="shared" si="224"/>
        <v>Overweight</v>
      </c>
      <c r="U2423">
        <v>60</v>
      </c>
      <c r="V2423">
        <v>83</v>
      </c>
      <c r="W2423" t="str">
        <f t="shared" si="227"/>
        <v>Normal</v>
      </c>
      <c r="X2423">
        <v>0</v>
      </c>
    </row>
    <row r="2424" spans="1:24" ht="14.5" thickBot="1" x14ac:dyDescent="0.35">
      <c r="A2424">
        <v>0</v>
      </c>
      <c r="B2424" t="str">
        <f t="shared" si="225"/>
        <v>Female</v>
      </c>
      <c r="C2424" s="8">
        <v>51</v>
      </c>
      <c r="D2424" t="str">
        <f t="shared" si="226"/>
        <v>Middle Age</v>
      </c>
      <c r="E2424">
        <v>1</v>
      </c>
      <c r="F2424" t="str">
        <f>HLOOKUP(E2424, LookUP_Table!$A$6:$D$7, 2, FALSE)</f>
        <v>Primary</v>
      </c>
      <c r="G2424" t="str">
        <f>IFERROR(VLOOKUP(E2424, LookUP_Table!$A$1:$B$4, 2, FALSE), "")</f>
        <v>Primary</v>
      </c>
      <c r="H2424">
        <v>0</v>
      </c>
      <c r="I2424">
        <v>0</v>
      </c>
      <c r="J2424" t="str">
        <f t="shared" si="222"/>
        <v>Non-Smoker</v>
      </c>
      <c r="K2424">
        <v>0</v>
      </c>
      <c r="L2424">
        <v>0</v>
      </c>
      <c r="M2424">
        <v>0</v>
      </c>
      <c r="N2424">
        <v>0</v>
      </c>
      <c r="O2424">
        <v>246</v>
      </c>
      <c r="P2424" t="str">
        <f t="shared" si="223"/>
        <v>High</v>
      </c>
      <c r="Q2424">
        <v>135</v>
      </c>
      <c r="R2424">
        <v>82</v>
      </c>
      <c r="S2424">
        <v>24.67</v>
      </c>
      <c r="T2424" t="str">
        <f t="shared" si="224"/>
        <v>Normal</v>
      </c>
      <c r="U2424">
        <v>70</v>
      </c>
      <c r="V2424">
        <v>77</v>
      </c>
      <c r="W2424" t="str">
        <f t="shared" si="227"/>
        <v>Normal</v>
      </c>
      <c r="X2424">
        <v>0</v>
      </c>
    </row>
    <row r="2425" spans="1:24" ht="14.5" thickBot="1" x14ac:dyDescent="0.35">
      <c r="A2425">
        <v>0</v>
      </c>
      <c r="B2425" t="str">
        <f t="shared" si="225"/>
        <v>Female</v>
      </c>
      <c r="C2425" s="8">
        <v>51</v>
      </c>
      <c r="D2425" t="str">
        <f t="shared" si="226"/>
        <v>Middle Age</v>
      </c>
      <c r="E2425">
        <v>3</v>
      </c>
      <c r="F2425" t="str">
        <f>HLOOKUP(E2425, LookUP_Table!$A$6:$D$7, 2, FALSE)</f>
        <v>Graduate</v>
      </c>
      <c r="G2425" t="str">
        <f>IFERROR(VLOOKUP(E2425, LookUP_Table!$A$1:$B$4, 2, FALSE), "")</f>
        <v>Graduate</v>
      </c>
      <c r="H2425">
        <v>0</v>
      </c>
      <c r="I2425">
        <v>0</v>
      </c>
      <c r="J2425" t="str">
        <f t="shared" si="222"/>
        <v>Non-Smoker</v>
      </c>
      <c r="K2425">
        <v>0</v>
      </c>
      <c r="L2425">
        <v>0</v>
      </c>
      <c r="M2425">
        <v>0</v>
      </c>
      <c r="N2425">
        <v>0</v>
      </c>
      <c r="O2425">
        <v>216</v>
      </c>
      <c r="P2425" t="str">
        <f t="shared" si="223"/>
        <v>Normal</v>
      </c>
      <c r="Q2425">
        <v>128</v>
      </c>
      <c r="R2425">
        <v>83.5</v>
      </c>
      <c r="S2425">
        <v>24.41</v>
      </c>
      <c r="T2425" t="str">
        <f t="shared" si="224"/>
        <v>Normal</v>
      </c>
      <c r="U2425">
        <v>72</v>
      </c>
      <c r="V2425">
        <v>75</v>
      </c>
      <c r="W2425" t="str">
        <f t="shared" si="227"/>
        <v>Normal</v>
      </c>
      <c r="X2425">
        <v>0</v>
      </c>
    </row>
    <row r="2426" spans="1:24" ht="14.5" thickBot="1" x14ac:dyDescent="0.35">
      <c r="A2426">
        <v>0</v>
      </c>
      <c r="B2426" t="str">
        <f t="shared" si="225"/>
        <v>Female</v>
      </c>
      <c r="C2426" s="8">
        <v>51</v>
      </c>
      <c r="D2426" t="str">
        <f t="shared" si="226"/>
        <v>Middle Age</v>
      </c>
      <c r="E2426">
        <v>2</v>
      </c>
      <c r="F2426" t="str">
        <f>HLOOKUP(E2426, LookUP_Table!$A$6:$D$7, 2, FALSE)</f>
        <v>Secondary</v>
      </c>
      <c r="G2426" t="str">
        <f>IFERROR(VLOOKUP(E2426, LookUP_Table!$A$1:$B$4, 2, FALSE), "")</f>
        <v>Secondary</v>
      </c>
      <c r="H2426">
        <v>0</v>
      </c>
      <c r="I2426">
        <v>0</v>
      </c>
      <c r="J2426" t="str">
        <f t="shared" si="222"/>
        <v>Non-Smoker</v>
      </c>
      <c r="K2426">
        <v>0</v>
      </c>
      <c r="L2426">
        <v>0</v>
      </c>
      <c r="M2426">
        <v>0</v>
      </c>
      <c r="N2426">
        <v>0</v>
      </c>
      <c r="O2426">
        <v>224</v>
      </c>
      <c r="P2426" t="str">
        <f t="shared" si="223"/>
        <v>Normal</v>
      </c>
      <c r="Q2426">
        <v>111.5</v>
      </c>
      <c r="R2426">
        <v>77</v>
      </c>
      <c r="S2426">
        <v>24.08</v>
      </c>
      <c r="T2426" t="str">
        <f t="shared" si="224"/>
        <v>Normal</v>
      </c>
      <c r="U2426">
        <v>63</v>
      </c>
      <c r="V2426">
        <v>74</v>
      </c>
      <c r="W2426" t="str">
        <f t="shared" si="227"/>
        <v>Normal</v>
      </c>
      <c r="X2426">
        <v>0</v>
      </c>
    </row>
    <row r="2427" spans="1:24" ht="14.5" thickBot="1" x14ac:dyDescent="0.35">
      <c r="A2427">
        <v>0</v>
      </c>
      <c r="B2427" t="str">
        <f t="shared" si="225"/>
        <v>Female</v>
      </c>
      <c r="C2427" s="8">
        <v>51</v>
      </c>
      <c r="D2427" t="str">
        <f t="shared" si="226"/>
        <v>Middle Age</v>
      </c>
      <c r="E2427">
        <v>1</v>
      </c>
      <c r="F2427" t="str">
        <f>HLOOKUP(E2427, LookUP_Table!$A$6:$D$7, 2, FALSE)</f>
        <v>Primary</v>
      </c>
      <c r="G2427" t="str">
        <f>IFERROR(VLOOKUP(E2427, LookUP_Table!$A$1:$B$4, 2, FALSE), "")</f>
        <v>Primary</v>
      </c>
      <c r="H2427">
        <v>1</v>
      </c>
      <c r="I2427">
        <v>15</v>
      </c>
      <c r="J2427" t="str">
        <f t="shared" si="222"/>
        <v>Smoker</v>
      </c>
      <c r="K2427">
        <v>0</v>
      </c>
      <c r="L2427">
        <v>0</v>
      </c>
      <c r="M2427">
        <v>1</v>
      </c>
      <c r="N2427">
        <v>0</v>
      </c>
      <c r="O2427">
        <v>240</v>
      </c>
      <c r="P2427" t="str">
        <f t="shared" si="223"/>
        <v>Normal</v>
      </c>
      <c r="Q2427">
        <v>180</v>
      </c>
      <c r="R2427">
        <v>107.5</v>
      </c>
      <c r="S2427">
        <v>25.33</v>
      </c>
      <c r="T2427" t="str">
        <f t="shared" si="224"/>
        <v>Overweight</v>
      </c>
      <c r="U2427">
        <v>68</v>
      </c>
      <c r="V2427">
        <v>80</v>
      </c>
      <c r="W2427" t="str">
        <f t="shared" si="227"/>
        <v>Normal</v>
      </c>
      <c r="X2427">
        <v>0</v>
      </c>
    </row>
    <row r="2428" spans="1:24" ht="14.5" thickBot="1" x14ac:dyDescent="0.35">
      <c r="A2428">
        <v>1</v>
      </c>
      <c r="B2428" t="str">
        <f t="shared" si="225"/>
        <v>Male</v>
      </c>
      <c r="C2428" s="8">
        <v>51</v>
      </c>
      <c r="D2428" t="str">
        <f t="shared" si="226"/>
        <v>Middle Age</v>
      </c>
      <c r="E2428">
        <v>1</v>
      </c>
      <c r="F2428" t="str">
        <f>HLOOKUP(E2428, LookUP_Table!$A$6:$D$7, 2, FALSE)</f>
        <v>Primary</v>
      </c>
      <c r="G2428" t="str">
        <f>IFERROR(VLOOKUP(E2428, LookUP_Table!$A$1:$B$4, 2, FALSE), "")</f>
        <v>Primary</v>
      </c>
      <c r="H2428">
        <v>1</v>
      </c>
      <c r="I2428">
        <v>20</v>
      </c>
      <c r="J2428" t="str">
        <f t="shared" si="222"/>
        <v>Smoker</v>
      </c>
      <c r="K2428">
        <v>0</v>
      </c>
      <c r="L2428">
        <v>0</v>
      </c>
      <c r="M2428">
        <v>0</v>
      </c>
      <c r="N2428">
        <v>0</v>
      </c>
      <c r="O2428">
        <v>236.69952267303103</v>
      </c>
      <c r="P2428" t="str">
        <f t="shared" si="223"/>
        <v>Normal</v>
      </c>
      <c r="Q2428">
        <v>112.5</v>
      </c>
      <c r="R2428">
        <v>74</v>
      </c>
      <c r="S2428">
        <v>26.37</v>
      </c>
      <c r="T2428" t="str">
        <f t="shared" si="224"/>
        <v>Overweight</v>
      </c>
      <c r="U2428">
        <v>70</v>
      </c>
      <c r="V2428">
        <v>81.96365524402907</v>
      </c>
      <c r="W2428" t="str">
        <f t="shared" si="227"/>
        <v>Normal</v>
      </c>
      <c r="X2428">
        <v>0</v>
      </c>
    </row>
    <row r="2429" spans="1:24" ht="14.5" thickBot="1" x14ac:dyDescent="0.35">
      <c r="A2429">
        <v>0</v>
      </c>
      <c r="B2429" t="str">
        <f t="shared" si="225"/>
        <v>Female</v>
      </c>
      <c r="C2429" s="8">
        <v>51</v>
      </c>
      <c r="D2429" t="str">
        <f t="shared" si="226"/>
        <v>Middle Age</v>
      </c>
      <c r="E2429">
        <v>2</v>
      </c>
      <c r="F2429" t="str">
        <f>HLOOKUP(E2429, LookUP_Table!$A$6:$D$7, 2, FALSE)</f>
        <v>Secondary</v>
      </c>
      <c r="G2429" t="str">
        <f>IFERROR(VLOOKUP(E2429, LookUP_Table!$A$1:$B$4, 2, FALSE), "")</f>
        <v>Secondary</v>
      </c>
      <c r="H2429">
        <v>0</v>
      </c>
      <c r="I2429">
        <v>0</v>
      </c>
      <c r="J2429" t="str">
        <f t="shared" si="222"/>
        <v>Non-Smoker</v>
      </c>
      <c r="K2429">
        <v>0</v>
      </c>
      <c r="L2429">
        <v>0</v>
      </c>
      <c r="M2429">
        <v>1</v>
      </c>
      <c r="N2429">
        <v>0</v>
      </c>
      <c r="O2429">
        <v>351</v>
      </c>
      <c r="P2429" t="str">
        <f t="shared" si="223"/>
        <v>High</v>
      </c>
      <c r="Q2429">
        <v>134</v>
      </c>
      <c r="R2429">
        <v>97.5</v>
      </c>
      <c r="S2429">
        <v>21.66</v>
      </c>
      <c r="T2429" t="str">
        <f t="shared" si="224"/>
        <v>Normal</v>
      </c>
      <c r="U2429">
        <v>100</v>
      </c>
      <c r="V2429">
        <v>81.96365524402907</v>
      </c>
      <c r="W2429" t="str">
        <f t="shared" si="227"/>
        <v>Normal</v>
      </c>
      <c r="X2429">
        <v>0</v>
      </c>
    </row>
    <row r="2430" spans="1:24" ht="14.5" thickBot="1" x14ac:dyDescent="0.35">
      <c r="A2430">
        <v>1</v>
      </c>
      <c r="B2430" t="str">
        <f t="shared" si="225"/>
        <v>Male</v>
      </c>
      <c r="C2430" s="8">
        <v>51</v>
      </c>
      <c r="D2430" t="str">
        <f t="shared" si="226"/>
        <v>Middle Age</v>
      </c>
      <c r="E2430">
        <v>3</v>
      </c>
      <c r="F2430" t="str">
        <f>HLOOKUP(E2430, LookUP_Table!$A$6:$D$7, 2, FALSE)</f>
        <v>Graduate</v>
      </c>
      <c r="G2430" t="str">
        <f>IFERROR(VLOOKUP(E2430, LookUP_Table!$A$1:$B$4, 2, FALSE), "")</f>
        <v>Graduate</v>
      </c>
      <c r="H2430">
        <v>1</v>
      </c>
      <c r="I2430">
        <v>20</v>
      </c>
      <c r="J2430" t="str">
        <f t="shared" si="222"/>
        <v>Smoker</v>
      </c>
      <c r="K2430">
        <v>0</v>
      </c>
      <c r="L2430">
        <v>0</v>
      </c>
      <c r="M2430">
        <v>0</v>
      </c>
      <c r="N2430">
        <v>0</v>
      </c>
      <c r="O2430">
        <v>163</v>
      </c>
      <c r="P2430" t="str">
        <f t="shared" si="223"/>
        <v>Normal</v>
      </c>
      <c r="Q2430">
        <v>126</v>
      </c>
      <c r="R2430">
        <v>78</v>
      </c>
      <c r="S2430">
        <v>26.56</v>
      </c>
      <c r="T2430" t="str">
        <f t="shared" si="224"/>
        <v>Overweight</v>
      </c>
      <c r="U2430">
        <v>63</v>
      </c>
      <c r="V2430">
        <v>78</v>
      </c>
      <c r="W2430" t="str">
        <f t="shared" si="227"/>
        <v>Normal</v>
      </c>
      <c r="X2430">
        <v>0</v>
      </c>
    </row>
    <row r="2431" spans="1:24" ht="14.5" thickBot="1" x14ac:dyDescent="0.35">
      <c r="A2431">
        <v>0</v>
      </c>
      <c r="B2431" t="str">
        <f t="shared" si="225"/>
        <v>Female</v>
      </c>
      <c r="C2431" s="8">
        <v>51</v>
      </c>
      <c r="D2431" t="str">
        <f t="shared" si="226"/>
        <v>Middle Age</v>
      </c>
      <c r="E2431">
        <v>1</v>
      </c>
      <c r="F2431" t="str">
        <f>HLOOKUP(E2431, LookUP_Table!$A$6:$D$7, 2, FALSE)</f>
        <v>Primary</v>
      </c>
      <c r="G2431" t="str">
        <f>IFERROR(VLOOKUP(E2431, LookUP_Table!$A$1:$B$4, 2, FALSE), "")</f>
        <v>Primary</v>
      </c>
      <c r="H2431">
        <v>1</v>
      </c>
      <c r="I2431">
        <v>20</v>
      </c>
      <c r="J2431" t="str">
        <f t="shared" si="222"/>
        <v>Smoker</v>
      </c>
      <c r="K2431">
        <v>0</v>
      </c>
      <c r="L2431">
        <v>0</v>
      </c>
      <c r="M2431">
        <v>1</v>
      </c>
      <c r="N2431">
        <v>0</v>
      </c>
      <c r="O2431">
        <v>195</v>
      </c>
      <c r="P2431" t="str">
        <f t="shared" si="223"/>
        <v>Normal</v>
      </c>
      <c r="Q2431">
        <v>154</v>
      </c>
      <c r="R2431">
        <v>96</v>
      </c>
      <c r="S2431">
        <v>28.38</v>
      </c>
      <c r="T2431" t="str">
        <f t="shared" si="224"/>
        <v>Overweight</v>
      </c>
      <c r="U2431">
        <v>75</v>
      </c>
      <c r="V2431">
        <v>75</v>
      </c>
      <c r="W2431" t="str">
        <f t="shared" si="227"/>
        <v>Normal</v>
      </c>
      <c r="X2431">
        <v>0</v>
      </c>
    </row>
    <row r="2432" spans="1:24" ht="14.5" thickBot="1" x14ac:dyDescent="0.35">
      <c r="A2432">
        <v>1</v>
      </c>
      <c r="B2432" t="str">
        <f t="shared" si="225"/>
        <v>Male</v>
      </c>
      <c r="C2432" s="8">
        <v>51</v>
      </c>
      <c r="D2432" t="str">
        <f t="shared" si="226"/>
        <v>Middle Age</v>
      </c>
      <c r="E2432">
        <v>2</v>
      </c>
      <c r="F2432" t="str">
        <f>HLOOKUP(E2432, LookUP_Table!$A$6:$D$7, 2, FALSE)</f>
        <v>Secondary</v>
      </c>
      <c r="G2432" t="str">
        <f>IFERROR(VLOOKUP(E2432, LookUP_Table!$A$1:$B$4, 2, FALSE), "")</f>
        <v>Secondary</v>
      </c>
      <c r="H2432">
        <v>1</v>
      </c>
      <c r="I2432">
        <v>6</v>
      </c>
      <c r="J2432" t="str">
        <f t="shared" si="222"/>
        <v>Smoker</v>
      </c>
      <c r="K2432">
        <v>0</v>
      </c>
      <c r="L2432">
        <v>0</v>
      </c>
      <c r="M2432">
        <v>0</v>
      </c>
      <c r="N2432">
        <v>0</v>
      </c>
      <c r="O2432">
        <v>234</v>
      </c>
      <c r="P2432" t="str">
        <f t="shared" si="223"/>
        <v>Normal</v>
      </c>
      <c r="Q2432">
        <v>129</v>
      </c>
      <c r="R2432">
        <v>94</v>
      </c>
      <c r="S2432">
        <v>23.9</v>
      </c>
      <c r="T2432" t="str">
        <f t="shared" si="224"/>
        <v>Normal</v>
      </c>
      <c r="U2432">
        <v>65</v>
      </c>
      <c r="V2432">
        <v>96</v>
      </c>
      <c r="W2432" t="str">
        <f t="shared" si="227"/>
        <v>Normal</v>
      </c>
      <c r="X2432">
        <v>0</v>
      </c>
    </row>
    <row r="2433" spans="1:24" ht="14.5" thickBot="1" x14ac:dyDescent="0.35">
      <c r="A2433">
        <v>0</v>
      </c>
      <c r="B2433" t="str">
        <f t="shared" si="225"/>
        <v>Female</v>
      </c>
      <c r="C2433" s="8">
        <v>51</v>
      </c>
      <c r="D2433" t="str">
        <f t="shared" si="226"/>
        <v>Middle Age</v>
      </c>
      <c r="E2433">
        <v>2</v>
      </c>
      <c r="F2433" t="str">
        <f>HLOOKUP(E2433, LookUP_Table!$A$6:$D$7, 2, FALSE)</f>
        <v>Secondary</v>
      </c>
      <c r="G2433" t="str">
        <f>IFERROR(VLOOKUP(E2433, LookUP_Table!$A$1:$B$4, 2, FALSE), "")</f>
        <v>Secondary</v>
      </c>
      <c r="H2433">
        <v>1</v>
      </c>
      <c r="I2433">
        <v>20</v>
      </c>
      <c r="J2433" t="str">
        <f t="shared" si="222"/>
        <v>Smoker</v>
      </c>
      <c r="K2433">
        <v>0</v>
      </c>
      <c r="L2433">
        <v>0</v>
      </c>
      <c r="M2433">
        <v>1</v>
      </c>
      <c r="N2433">
        <v>0</v>
      </c>
      <c r="O2433">
        <v>293</v>
      </c>
      <c r="P2433" t="str">
        <f t="shared" si="223"/>
        <v>High</v>
      </c>
      <c r="Q2433">
        <v>151</v>
      </c>
      <c r="R2433">
        <v>92</v>
      </c>
      <c r="S2433">
        <v>30.67</v>
      </c>
      <c r="T2433" t="str">
        <f t="shared" si="224"/>
        <v>Obese</v>
      </c>
      <c r="U2433">
        <v>80</v>
      </c>
      <c r="V2433">
        <v>77</v>
      </c>
      <c r="W2433" t="str">
        <f t="shared" si="227"/>
        <v>Normal</v>
      </c>
      <c r="X2433">
        <v>0</v>
      </c>
    </row>
    <row r="2434" spans="1:24" ht="14.5" thickBot="1" x14ac:dyDescent="0.35">
      <c r="A2434">
        <v>0</v>
      </c>
      <c r="B2434" t="str">
        <f t="shared" si="225"/>
        <v>Female</v>
      </c>
      <c r="C2434" s="8">
        <v>51</v>
      </c>
      <c r="D2434" t="str">
        <f t="shared" si="226"/>
        <v>Middle Age</v>
      </c>
      <c r="E2434">
        <v>2</v>
      </c>
      <c r="F2434" t="str">
        <f>HLOOKUP(E2434, LookUP_Table!$A$6:$D$7, 2, FALSE)</f>
        <v>Secondary</v>
      </c>
      <c r="G2434" t="str">
        <f>IFERROR(VLOOKUP(E2434, LookUP_Table!$A$1:$B$4, 2, FALSE), "")</f>
        <v>Secondary</v>
      </c>
      <c r="H2434">
        <v>0</v>
      </c>
      <c r="I2434">
        <v>0</v>
      </c>
      <c r="J2434" t="str">
        <f t="shared" ref="J2434:J2497" si="228">IF(I2434&gt;0,"Smoker","Non-Smoker")</f>
        <v>Non-Smoker</v>
      </c>
      <c r="K2434">
        <v>0</v>
      </c>
      <c r="L2434">
        <v>0</v>
      </c>
      <c r="M2434">
        <v>0</v>
      </c>
      <c r="N2434">
        <v>0</v>
      </c>
      <c r="O2434">
        <v>235</v>
      </c>
      <c r="P2434" t="str">
        <f t="shared" ref="P2434:P2497" si="229">IF(O2434&gt;240,"High","Normal")</f>
        <v>Normal</v>
      </c>
      <c r="Q2434">
        <v>110.5</v>
      </c>
      <c r="R2434">
        <v>69</v>
      </c>
      <c r="S2434">
        <v>21.8</v>
      </c>
      <c r="T2434" t="str">
        <f t="shared" ref="T2434:T2497" si="230">IF(S2434&lt;18.5,"Underweight",
IF(S2434&lt;25,"Normal",
IF(S2434&lt;30,"Overweight","Obese")))</f>
        <v>Normal</v>
      </c>
      <c r="U2434">
        <v>70</v>
      </c>
      <c r="V2434">
        <v>86</v>
      </c>
      <c r="W2434" t="str">
        <f t="shared" si="227"/>
        <v>Normal</v>
      </c>
      <c r="X2434">
        <v>0</v>
      </c>
    </row>
    <row r="2435" spans="1:24" ht="14.5" thickBot="1" x14ac:dyDescent="0.35">
      <c r="A2435">
        <v>0</v>
      </c>
      <c r="B2435" t="str">
        <f t="shared" ref="B2435:B2498" si="231">IF(A2435=0,"Female","Male")</f>
        <v>Female</v>
      </c>
      <c r="C2435" s="8">
        <v>51</v>
      </c>
      <c r="D2435" t="str">
        <f t="shared" ref="D2435:D2498" si="232">IF(C2435&lt;40,"Young",
IF(C2435&lt;55,"Middle Age","Senior"))</f>
        <v>Middle Age</v>
      </c>
      <c r="E2435">
        <v>2</v>
      </c>
      <c r="F2435" t="str">
        <f>HLOOKUP(E2435, LookUP_Table!$A$6:$D$7, 2, FALSE)</f>
        <v>Secondary</v>
      </c>
      <c r="G2435" t="str">
        <f>IFERROR(VLOOKUP(E2435, LookUP_Table!$A$1:$B$4, 2, FALSE), "")</f>
        <v>Secondary</v>
      </c>
      <c r="H2435">
        <v>1</v>
      </c>
      <c r="I2435">
        <v>5</v>
      </c>
      <c r="J2435" t="str">
        <f t="shared" si="228"/>
        <v>Smoker</v>
      </c>
      <c r="K2435">
        <v>0</v>
      </c>
      <c r="L2435">
        <v>0</v>
      </c>
      <c r="M2435">
        <v>0</v>
      </c>
      <c r="N2435">
        <v>0</v>
      </c>
      <c r="O2435">
        <v>192</v>
      </c>
      <c r="P2435" t="str">
        <f t="shared" si="229"/>
        <v>Normal</v>
      </c>
      <c r="Q2435">
        <v>133</v>
      </c>
      <c r="R2435">
        <v>87</v>
      </c>
      <c r="S2435">
        <v>20.72</v>
      </c>
      <c r="T2435" t="str">
        <f t="shared" si="230"/>
        <v>Normal</v>
      </c>
      <c r="U2435">
        <v>78</v>
      </c>
      <c r="V2435">
        <v>77</v>
      </c>
      <c r="W2435" t="str">
        <f t="shared" ref="W2435:W2498" si="233">IF(V2435 &lt; 100, "Normal", IF(V2435 &lt;= 125, "Prediabetes", "Diabetes"))</f>
        <v>Normal</v>
      </c>
      <c r="X2435">
        <v>0</v>
      </c>
    </row>
    <row r="2436" spans="1:24" ht="14.5" thickBot="1" x14ac:dyDescent="0.35">
      <c r="A2436">
        <v>0</v>
      </c>
      <c r="B2436" t="str">
        <f t="shared" si="231"/>
        <v>Female</v>
      </c>
      <c r="C2436" s="8">
        <v>51</v>
      </c>
      <c r="D2436" t="str">
        <f t="shared" si="232"/>
        <v>Middle Age</v>
      </c>
      <c r="E2436">
        <v>2</v>
      </c>
      <c r="F2436" t="str">
        <f>HLOOKUP(E2436, LookUP_Table!$A$6:$D$7, 2, FALSE)</f>
        <v>Secondary</v>
      </c>
      <c r="G2436" t="str">
        <f>IFERROR(VLOOKUP(E2436, LookUP_Table!$A$1:$B$4, 2, FALSE), "")</f>
        <v>Secondary</v>
      </c>
      <c r="H2436">
        <v>0</v>
      </c>
      <c r="I2436">
        <v>0</v>
      </c>
      <c r="J2436" t="str">
        <f t="shared" si="228"/>
        <v>Non-Smoker</v>
      </c>
      <c r="K2436">
        <v>0</v>
      </c>
      <c r="L2436">
        <v>0</v>
      </c>
      <c r="M2436">
        <v>0</v>
      </c>
      <c r="N2436">
        <v>0</v>
      </c>
      <c r="O2436">
        <v>233</v>
      </c>
      <c r="P2436" t="str">
        <f t="shared" si="229"/>
        <v>Normal</v>
      </c>
      <c r="Q2436">
        <v>120</v>
      </c>
      <c r="R2436">
        <v>81</v>
      </c>
      <c r="S2436">
        <v>28.25</v>
      </c>
      <c r="T2436" t="str">
        <f t="shared" si="230"/>
        <v>Overweight</v>
      </c>
      <c r="U2436">
        <v>80</v>
      </c>
      <c r="V2436">
        <v>75</v>
      </c>
      <c r="W2436" t="str">
        <f t="shared" si="233"/>
        <v>Normal</v>
      </c>
      <c r="X2436">
        <v>0</v>
      </c>
    </row>
    <row r="2437" spans="1:24" ht="14.5" thickBot="1" x14ac:dyDescent="0.35">
      <c r="A2437">
        <v>1</v>
      </c>
      <c r="B2437" t="str">
        <f t="shared" si="231"/>
        <v>Male</v>
      </c>
      <c r="C2437" s="8">
        <v>51</v>
      </c>
      <c r="D2437" t="str">
        <f t="shared" si="232"/>
        <v>Middle Age</v>
      </c>
      <c r="E2437">
        <v>1</v>
      </c>
      <c r="F2437" t="str">
        <f>HLOOKUP(E2437, LookUP_Table!$A$6:$D$7, 2, FALSE)</f>
        <v>Primary</v>
      </c>
      <c r="G2437" t="str">
        <f>IFERROR(VLOOKUP(E2437, LookUP_Table!$A$1:$B$4, 2, FALSE), "")</f>
        <v>Primary</v>
      </c>
      <c r="H2437">
        <v>1</v>
      </c>
      <c r="I2437">
        <v>15</v>
      </c>
      <c r="J2437" t="str">
        <f t="shared" si="228"/>
        <v>Smoker</v>
      </c>
      <c r="K2437">
        <v>0</v>
      </c>
      <c r="L2437">
        <v>0</v>
      </c>
      <c r="M2437">
        <v>0</v>
      </c>
      <c r="N2437">
        <v>0</v>
      </c>
      <c r="O2437">
        <v>220</v>
      </c>
      <c r="P2437" t="str">
        <f t="shared" si="229"/>
        <v>Normal</v>
      </c>
      <c r="Q2437">
        <v>125</v>
      </c>
      <c r="R2437">
        <v>82</v>
      </c>
      <c r="S2437">
        <v>24.1</v>
      </c>
      <c r="T2437" t="str">
        <f t="shared" si="230"/>
        <v>Normal</v>
      </c>
      <c r="U2437">
        <v>60</v>
      </c>
      <c r="V2437">
        <v>73</v>
      </c>
      <c r="W2437" t="str">
        <f t="shared" si="233"/>
        <v>Normal</v>
      </c>
      <c r="X2437">
        <v>1</v>
      </c>
    </row>
    <row r="2438" spans="1:24" ht="14.5" thickBot="1" x14ac:dyDescent="0.35">
      <c r="A2438">
        <v>0</v>
      </c>
      <c r="B2438" t="str">
        <f t="shared" si="231"/>
        <v>Female</v>
      </c>
      <c r="C2438" s="8">
        <v>51</v>
      </c>
      <c r="D2438" t="str">
        <f t="shared" si="232"/>
        <v>Middle Age</v>
      </c>
      <c r="E2438">
        <v>2</v>
      </c>
      <c r="F2438" t="str">
        <f>HLOOKUP(E2438, LookUP_Table!$A$6:$D$7, 2, FALSE)</f>
        <v>Secondary</v>
      </c>
      <c r="G2438" t="str">
        <f>IFERROR(VLOOKUP(E2438, LookUP_Table!$A$1:$B$4, 2, FALSE), "")</f>
        <v>Secondary</v>
      </c>
      <c r="H2438">
        <v>1</v>
      </c>
      <c r="I2438">
        <v>10</v>
      </c>
      <c r="J2438" t="str">
        <f t="shared" si="228"/>
        <v>Smoker</v>
      </c>
      <c r="K2438">
        <v>0</v>
      </c>
      <c r="L2438">
        <v>0</v>
      </c>
      <c r="M2438">
        <v>0</v>
      </c>
      <c r="N2438">
        <v>0</v>
      </c>
      <c r="O2438">
        <v>255</v>
      </c>
      <c r="P2438" t="str">
        <f t="shared" si="229"/>
        <v>High</v>
      </c>
      <c r="Q2438">
        <v>102.5</v>
      </c>
      <c r="R2438">
        <v>64.5</v>
      </c>
      <c r="S2438">
        <v>24.14</v>
      </c>
      <c r="T2438" t="str">
        <f t="shared" si="230"/>
        <v>Normal</v>
      </c>
      <c r="U2438">
        <v>65</v>
      </c>
      <c r="V2438">
        <v>71</v>
      </c>
      <c r="W2438" t="str">
        <f t="shared" si="233"/>
        <v>Normal</v>
      </c>
      <c r="X2438">
        <v>0</v>
      </c>
    </row>
    <row r="2439" spans="1:24" ht="14.5" thickBot="1" x14ac:dyDescent="0.35">
      <c r="A2439">
        <v>1</v>
      </c>
      <c r="B2439" t="str">
        <f t="shared" si="231"/>
        <v>Male</v>
      </c>
      <c r="C2439" s="8">
        <v>51</v>
      </c>
      <c r="D2439" t="str">
        <f t="shared" si="232"/>
        <v>Middle Age</v>
      </c>
      <c r="E2439">
        <v>2</v>
      </c>
      <c r="F2439" t="str">
        <f>HLOOKUP(E2439, LookUP_Table!$A$6:$D$7, 2, FALSE)</f>
        <v>Secondary</v>
      </c>
      <c r="G2439" t="str">
        <f>IFERROR(VLOOKUP(E2439, LookUP_Table!$A$1:$B$4, 2, FALSE), "")</f>
        <v>Secondary</v>
      </c>
      <c r="H2439">
        <v>0</v>
      </c>
      <c r="I2439">
        <v>0</v>
      </c>
      <c r="J2439" t="str">
        <f t="shared" si="228"/>
        <v>Non-Smoker</v>
      </c>
      <c r="K2439">
        <v>0</v>
      </c>
      <c r="L2439">
        <v>0</v>
      </c>
      <c r="M2439">
        <v>0</v>
      </c>
      <c r="N2439">
        <v>0</v>
      </c>
      <c r="O2439">
        <v>223</v>
      </c>
      <c r="P2439" t="str">
        <f t="shared" si="229"/>
        <v>Normal</v>
      </c>
      <c r="Q2439">
        <v>117.5</v>
      </c>
      <c r="R2439">
        <v>77.5</v>
      </c>
      <c r="S2439">
        <v>27.78</v>
      </c>
      <c r="T2439" t="str">
        <f t="shared" si="230"/>
        <v>Overweight</v>
      </c>
      <c r="U2439">
        <v>68</v>
      </c>
      <c r="V2439">
        <v>97</v>
      </c>
      <c r="W2439" t="str">
        <f t="shared" si="233"/>
        <v>Normal</v>
      </c>
      <c r="X2439">
        <v>0</v>
      </c>
    </row>
    <row r="2440" spans="1:24" ht="14.5" thickBot="1" x14ac:dyDescent="0.35">
      <c r="A2440">
        <v>1</v>
      </c>
      <c r="B2440" t="str">
        <f t="shared" si="231"/>
        <v>Male</v>
      </c>
      <c r="C2440" s="8">
        <v>51</v>
      </c>
      <c r="D2440" t="str">
        <f t="shared" si="232"/>
        <v>Middle Age</v>
      </c>
      <c r="E2440">
        <v>1</v>
      </c>
      <c r="F2440" t="str">
        <f>HLOOKUP(E2440, LookUP_Table!$A$6:$D$7, 2, FALSE)</f>
        <v>Primary</v>
      </c>
      <c r="G2440" t="str">
        <f>IFERROR(VLOOKUP(E2440, LookUP_Table!$A$1:$B$4, 2, FALSE), "")</f>
        <v>Primary</v>
      </c>
      <c r="H2440">
        <v>0</v>
      </c>
      <c r="I2440">
        <v>0</v>
      </c>
      <c r="J2440" t="str">
        <f t="shared" si="228"/>
        <v>Non-Smoker</v>
      </c>
      <c r="K2440">
        <v>0</v>
      </c>
      <c r="L2440">
        <v>0</v>
      </c>
      <c r="M2440">
        <v>1</v>
      </c>
      <c r="N2440">
        <v>0</v>
      </c>
      <c r="O2440">
        <v>205</v>
      </c>
      <c r="P2440" t="str">
        <f t="shared" si="229"/>
        <v>Normal</v>
      </c>
      <c r="Q2440">
        <v>125</v>
      </c>
      <c r="R2440">
        <v>94</v>
      </c>
      <c r="S2440">
        <v>29.11</v>
      </c>
      <c r="T2440" t="str">
        <f t="shared" si="230"/>
        <v>Overweight</v>
      </c>
      <c r="U2440">
        <v>72</v>
      </c>
      <c r="V2440">
        <v>90</v>
      </c>
      <c r="W2440" t="str">
        <f t="shared" si="233"/>
        <v>Normal</v>
      </c>
      <c r="X2440">
        <v>0</v>
      </c>
    </row>
    <row r="2441" spans="1:24" ht="14.5" thickBot="1" x14ac:dyDescent="0.35">
      <c r="A2441">
        <v>1</v>
      </c>
      <c r="B2441" t="str">
        <f t="shared" si="231"/>
        <v>Male</v>
      </c>
      <c r="C2441" s="8">
        <v>51</v>
      </c>
      <c r="D2441" t="str">
        <f t="shared" si="232"/>
        <v>Middle Age</v>
      </c>
      <c r="E2441">
        <v>2</v>
      </c>
      <c r="F2441" t="str">
        <f>HLOOKUP(E2441, LookUP_Table!$A$6:$D$7, 2, FALSE)</f>
        <v>Secondary</v>
      </c>
      <c r="G2441" t="str">
        <f>IFERROR(VLOOKUP(E2441, LookUP_Table!$A$1:$B$4, 2, FALSE), "")</f>
        <v>Secondary</v>
      </c>
      <c r="H2441">
        <v>1</v>
      </c>
      <c r="I2441">
        <v>20</v>
      </c>
      <c r="J2441" t="str">
        <f t="shared" si="228"/>
        <v>Smoker</v>
      </c>
      <c r="K2441">
        <v>0</v>
      </c>
      <c r="L2441">
        <v>0</v>
      </c>
      <c r="M2441">
        <v>0</v>
      </c>
      <c r="N2441">
        <v>0</v>
      </c>
      <c r="O2441">
        <v>227</v>
      </c>
      <c r="P2441" t="str">
        <f t="shared" si="229"/>
        <v>Normal</v>
      </c>
      <c r="Q2441">
        <v>139</v>
      </c>
      <c r="R2441">
        <v>74</v>
      </c>
      <c r="S2441">
        <v>29.29</v>
      </c>
      <c r="T2441" t="str">
        <f t="shared" si="230"/>
        <v>Overweight</v>
      </c>
      <c r="U2441">
        <v>80</v>
      </c>
      <c r="V2441">
        <v>67</v>
      </c>
      <c r="W2441" t="str">
        <f t="shared" si="233"/>
        <v>Normal</v>
      </c>
      <c r="X2441">
        <v>0</v>
      </c>
    </row>
    <row r="2442" spans="1:24" ht="14.5" thickBot="1" x14ac:dyDescent="0.35">
      <c r="A2442">
        <v>0</v>
      </c>
      <c r="B2442" t="str">
        <f t="shared" si="231"/>
        <v>Female</v>
      </c>
      <c r="C2442" s="8">
        <v>51</v>
      </c>
      <c r="D2442" t="str">
        <f t="shared" si="232"/>
        <v>Middle Age</v>
      </c>
      <c r="E2442">
        <v>2</v>
      </c>
      <c r="F2442" t="str">
        <f>HLOOKUP(E2442, LookUP_Table!$A$6:$D$7, 2, FALSE)</f>
        <v>Secondary</v>
      </c>
      <c r="G2442" t="str">
        <f>IFERROR(VLOOKUP(E2442, LookUP_Table!$A$1:$B$4, 2, FALSE), "")</f>
        <v>Secondary</v>
      </c>
      <c r="H2442">
        <v>1</v>
      </c>
      <c r="I2442">
        <v>6</v>
      </c>
      <c r="J2442" t="str">
        <f t="shared" si="228"/>
        <v>Smoker</v>
      </c>
      <c r="K2442">
        <v>0</v>
      </c>
      <c r="L2442">
        <v>0</v>
      </c>
      <c r="M2442">
        <v>0</v>
      </c>
      <c r="N2442">
        <v>0</v>
      </c>
      <c r="O2442">
        <v>190</v>
      </c>
      <c r="P2442" t="str">
        <f t="shared" si="229"/>
        <v>Normal</v>
      </c>
      <c r="Q2442">
        <v>131.5</v>
      </c>
      <c r="R2442">
        <v>89</v>
      </c>
      <c r="S2442">
        <v>23.66</v>
      </c>
      <c r="T2442" t="str">
        <f t="shared" si="230"/>
        <v>Normal</v>
      </c>
      <c r="U2442">
        <v>92</v>
      </c>
      <c r="V2442">
        <v>100</v>
      </c>
      <c r="W2442" t="str">
        <f t="shared" si="233"/>
        <v>Prediabetes</v>
      </c>
      <c r="X2442">
        <v>0</v>
      </c>
    </row>
    <row r="2443" spans="1:24" ht="14.5" thickBot="1" x14ac:dyDescent="0.35">
      <c r="A2443">
        <v>0</v>
      </c>
      <c r="B2443" t="str">
        <f t="shared" si="231"/>
        <v>Female</v>
      </c>
      <c r="C2443" s="8">
        <v>51</v>
      </c>
      <c r="D2443" t="str">
        <f t="shared" si="232"/>
        <v>Middle Age</v>
      </c>
      <c r="E2443">
        <v>1</v>
      </c>
      <c r="F2443" t="str">
        <f>HLOOKUP(E2443, LookUP_Table!$A$6:$D$7, 2, FALSE)</f>
        <v>Primary</v>
      </c>
      <c r="G2443" t="str">
        <f>IFERROR(VLOOKUP(E2443, LookUP_Table!$A$1:$B$4, 2, FALSE), "")</f>
        <v>Primary</v>
      </c>
      <c r="H2443">
        <v>0</v>
      </c>
      <c r="I2443">
        <v>0</v>
      </c>
      <c r="J2443" t="str">
        <f t="shared" si="228"/>
        <v>Non-Smoker</v>
      </c>
      <c r="K2443">
        <v>0</v>
      </c>
      <c r="L2443">
        <v>0</v>
      </c>
      <c r="M2443">
        <v>0</v>
      </c>
      <c r="N2443">
        <v>0</v>
      </c>
      <c r="O2443">
        <v>226</v>
      </c>
      <c r="P2443" t="str">
        <f t="shared" si="229"/>
        <v>Normal</v>
      </c>
      <c r="Q2443">
        <v>105</v>
      </c>
      <c r="R2443">
        <v>71</v>
      </c>
      <c r="S2443">
        <v>27.73</v>
      </c>
      <c r="T2443" t="str">
        <f t="shared" si="230"/>
        <v>Overweight</v>
      </c>
      <c r="U2443">
        <v>68</v>
      </c>
      <c r="V2443">
        <v>79</v>
      </c>
      <c r="W2443" t="str">
        <f t="shared" si="233"/>
        <v>Normal</v>
      </c>
      <c r="X2443">
        <v>0</v>
      </c>
    </row>
    <row r="2444" spans="1:24" ht="14.5" thickBot="1" x14ac:dyDescent="0.35">
      <c r="A2444">
        <v>0</v>
      </c>
      <c r="B2444" t="str">
        <f t="shared" si="231"/>
        <v>Female</v>
      </c>
      <c r="C2444" s="8">
        <v>51</v>
      </c>
      <c r="D2444" t="str">
        <f t="shared" si="232"/>
        <v>Middle Age</v>
      </c>
      <c r="E2444">
        <v>1</v>
      </c>
      <c r="F2444" t="str">
        <f>HLOOKUP(E2444, LookUP_Table!$A$6:$D$7, 2, FALSE)</f>
        <v>Primary</v>
      </c>
      <c r="G2444" t="str">
        <f>IFERROR(VLOOKUP(E2444, LookUP_Table!$A$1:$B$4, 2, FALSE), "")</f>
        <v>Primary</v>
      </c>
      <c r="H2444">
        <v>0</v>
      </c>
      <c r="I2444">
        <v>0</v>
      </c>
      <c r="J2444" t="str">
        <f t="shared" si="228"/>
        <v>Non-Smoker</v>
      </c>
      <c r="K2444">
        <v>1</v>
      </c>
      <c r="L2444">
        <v>0</v>
      </c>
      <c r="M2444">
        <v>1</v>
      </c>
      <c r="N2444">
        <v>0</v>
      </c>
      <c r="O2444">
        <v>227</v>
      </c>
      <c r="P2444" t="str">
        <f t="shared" si="229"/>
        <v>Normal</v>
      </c>
      <c r="Q2444">
        <v>160</v>
      </c>
      <c r="R2444">
        <v>90</v>
      </c>
      <c r="S2444">
        <v>23.48</v>
      </c>
      <c r="T2444" t="str">
        <f t="shared" si="230"/>
        <v>Normal</v>
      </c>
      <c r="U2444">
        <v>88</v>
      </c>
      <c r="V2444">
        <v>57</v>
      </c>
      <c r="W2444" t="str">
        <f t="shared" si="233"/>
        <v>Normal</v>
      </c>
      <c r="X2444">
        <v>0</v>
      </c>
    </row>
    <row r="2445" spans="1:24" ht="14.5" thickBot="1" x14ac:dyDescent="0.35">
      <c r="A2445">
        <v>1</v>
      </c>
      <c r="B2445" t="str">
        <f t="shared" si="231"/>
        <v>Male</v>
      </c>
      <c r="C2445" s="8">
        <v>51</v>
      </c>
      <c r="D2445" t="str">
        <f t="shared" si="232"/>
        <v>Middle Age</v>
      </c>
      <c r="E2445">
        <v>4</v>
      </c>
      <c r="F2445" t="str">
        <f>HLOOKUP(E2445, LookUP_Table!$A$6:$D$7, 2, FALSE)</f>
        <v>Post Graduate</v>
      </c>
      <c r="G2445" t="str">
        <f>IFERROR(VLOOKUP(E2445, LookUP_Table!$A$1:$B$4, 2, FALSE), "")</f>
        <v>Post Graduate</v>
      </c>
      <c r="H2445">
        <v>1</v>
      </c>
      <c r="I2445">
        <v>10</v>
      </c>
      <c r="J2445" t="str">
        <f t="shared" si="228"/>
        <v>Smoker</v>
      </c>
      <c r="K2445">
        <v>0</v>
      </c>
      <c r="L2445">
        <v>0</v>
      </c>
      <c r="M2445">
        <v>0</v>
      </c>
      <c r="N2445">
        <v>0</v>
      </c>
      <c r="O2445">
        <v>231</v>
      </c>
      <c r="P2445" t="str">
        <f t="shared" si="229"/>
        <v>Normal</v>
      </c>
      <c r="Q2445">
        <v>110</v>
      </c>
      <c r="R2445">
        <v>72</v>
      </c>
      <c r="S2445">
        <v>21.19</v>
      </c>
      <c r="T2445" t="str">
        <f t="shared" si="230"/>
        <v>Normal</v>
      </c>
      <c r="U2445">
        <v>75</v>
      </c>
      <c r="V2445">
        <v>81</v>
      </c>
      <c r="W2445" t="str">
        <f t="shared" si="233"/>
        <v>Normal</v>
      </c>
      <c r="X2445">
        <v>0</v>
      </c>
    </row>
    <row r="2446" spans="1:24" ht="14.5" thickBot="1" x14ac:dyDescent="0.35">
      <c r="A2446">
        <v>0</v>
      </c>
      <c r="B2446" t="str">
        <f t="shared" si="231"/>
        <v>Female</v>
      </c>
      <c r="C2446" s="8">
        <v>51</v>
      </c>
      <c r="D2446" t="str">
        <f t="shared" si="232"/>
        <v>Middle Age</v>
      </c>
      <c r="E2446">
        <v>1</v>
      </c>
      <c r="F2446" t="str">
        <f>HLOOKUP(E2446, LookUP_Table!$A$6:$D$7, 2, FALSE)</f>
        <v>Primary</v>
      </c>
      <c r="G2446" t="str">
        <f>IFERROR(VLOOKUP(E2446, LookUP_Table!$A$1:$B$4, 2, FALSE), "")</f>
        <v>Primary</v>
      </c>
      <c r="H2446">
        <v>0</v>
      </c>
      <c r="I2446">
        <v>0</v>
      </c>
      <c r="J2446" t="str">
        <f t="shared" si="228"/>
        <v>Non-Smoker</v>
      </c>
      <c r="K2446">
        <v>0</v>
      </c>
      <c r="L2446">
        <v>0</v>
      </c>
      <c r="M2446">
        <v>1</v>
      </c>
      <c r="N2446">
        <v>0</v>
      </c>
      <c r="O2446">
        <v>285</v>
      </c>
      <c r="P2446" t="str">
        <f t="shared" si="229"/>
        <v>High</v>
      </c>
      <c r="Q2446">
        <v>151.5</v>
      </c>
      <c r="R2446">
        <v>79</v>
      </c>
      <c r="S2446">
        <v>26.91</v>
      </c>
      <c r="T2446" t="str">
        <f t="shared" si="230"/>
        <v>Overweight</v>
      </c>
      <c r="U2446">
        <v>84</v>
      </c>
      <c r="V2446">
        <v>76</v>
      </c>
      <c r="W2446" t="str">
        <f t="shared" si="233"/>
        <v>Normal</v>
      </c>
      <c r="X2446">
        <v>0</v>
      </c>
    </row>
    <row r="2447" spans="1:24" ht="14.5" thickBot="1" x14ac:dyDescent="0.35">
      <c r="A2447">
        <v>1</v>
      </c>
      <c r="B2447" t="str">
        <f t="shared" si="231"/>
        <v>Male</v>
      </c>
      <c r="C2447" s="8">
        <v>51</v>
      </c>
      <c r="D2447" t="str">
        <f t="shared" si="232"/>
        <v>Middle Age</v>
      </c>
      <c r="E2447">
        <v>1</v>
      </c>
      <c r="F2447" t="str">
        <f>HLOOKUP(E2447, LookUP_Table!$A$6:$D$7, 2, FALSE)</f>
        <v>Primary</v>
      </c>
      <c r="G2447" t="str">
        <f>IFERROR(VLOOKUP(E2447, LookUP_Table!$A$1:$B$4, 2, FALSE), "")</f>
        <v>Primary</v>
      </c>
      <c r="H2447">
        <v>1</v>
      </c>
      <c r="I2447">
        <v>15</v>
      </c>
      <c r="J2447" t="str">
        <f t="shared" si="228"/>
        <v>Smoker</v>
      </c>
      <c r="K2447">
        <v>0</v>
      </c>
      <c r="L2447">
        <v>0</v>
      </c>
      <c r="M2447">
        <v>0</v>
      </c>
      <c r="N2447">
        <v>0</v>
      </c>
      <c r="O2447">
        <v>339</v>
      </c>
      <c r="P2447" t="str">
        <f t="shared" si="229"/>
        <v>High</v>
      </c>
      <c r="Q2447">
        <v>137.5</v>
      </c>
      <c r="R2447">
        <v>81</v>
      </c>
      <c r="S2447">
        <v>24.22</v>
      </c>
      <c r="T2447" t="str">
        <f t="shared" si="230"/>
        <v>Normal</v>
      </c>
      <c r="U2447">
        <v>80</v>
      </c>
      <c r="V2447">
        <v>85</v>
      </c>
      <c r="W2447" t="str">
        <f t="shared" si="233"/>
        <v>Normal</v>
      </c>
      <c r="X2447">
        <v>1</v>
      </c>
    </row>
    <row r="2448" spans="1:24" ht="14.5" thickBot="1" x14ac:dyDescent="0.35">
      <c r="A2448">
        <v>1</v>
      </c>
      <c r="B2448" t="str">
        <f t="shared" si="231"/>
        <v>Male</v>
      </c>
      <c r="C2448" s="8">
        <v>51</v>
      </c>
      <c r="D2448" t="str">
        <f t="shared" si="232"/>
        <v>Middle Age</v>
      </c>
      <c r="E2448">
        <v>4</v>
      </c>
      <c r="F2448" t="str">
        <f>HLOOKUP(E2448, LookUP_Table!$A$6:$D$7, 2, FALSE)</f>
        <v>Post Graduate</v>
      </c>
      <c r="G2448" t="str">
        <f>IFERROR(VLOOKUP(E2448, LookUP_Table!$A$1:$B$4, 2, FALSE), "")</f>
        <v>Post Graduate</v>
      </c>
      <c r="H2448">
        <v>1</v>
      </c>
      <c r="I2448">
        <v>20</v>
      </c>
      <c r="J2448" t="str">
        <f t="shared" si="228"/>
        <v>Smoker</v>
      </c>
      <c r="K2448">
        <v>0</v>
      </c>
      <c r="L2448">
        <v>0</v>
      </c>
      <c r="M2448">
        <v>0</v>
      </c>
      <c r="N2448">
        <v>0</v>
      </c>
      <c r="O2448">
        <v>215</v>
      </c>
      <c r="P2448" t="str">
        <f t="shared" si="229"/>
        <v>Normal</v>
      </c>
      <c r="Q2448">
        <v>115</v>
      </c>
      <c r="R2448">
        <v>69</v>
      </c>
      <c r="S2448">
        <v>25.7</v>
      </c>
      <c r="T2448" t="str">
        <f t="shared" si="230"/>
        <v>Overweight</v>
      </c>
      <c r="U2448">
        <v>68</v>
      </c>
      <c r="V2448">
        <v>77</v>
      </c>
      <c r="W2448" t="str">
        <f t="shared" si="233"/>
        <v>Normal</v>
      </c>
      <c r="X2448">
        <v>0</v>
      </c>
    </row>
    <row r="2449" spans="1:24" ht="14.5" thickBot="1" x14ac:dyDescent="0.35">
      <c r="A2449">
        <v>0</v>
      </c>
      <c r="B2449" t="str">
        <f t="shared" si="231"/>
        <v>Female</v>
      </c>
      <c r="C2449" s="8">
        <v>51</v>
      </c>
      <c r="D2449" t="str">
        <f t="shared" si="232"/>
        <v>Middle Age</v>
      </c>
      <c r="E2449">
        <v>1</v>
      </c>
      <c r="F2449" t="str">
        <f>HLOOKUP(E2449, LookUP_Table!$A$6:$D$7, 2, FALSE)</f>
        <v>Primary</v>
      </c>
      <c r="G2449" t="str">
        <f>IFERROR(VLOOKUP(E2449, LookUP_Table!$A$1:$B$4, 2, FALSE), "")</f>
        <v>Primary</v>
      </c>
      <c r="H2449">
        <v>0</v>
      </c>
      <c r="I2449">
        <v>0</v>
      </c>
      <c r="J2449" t="str">
        <f t="shared" si="228"/>
        <v>Non-Smoker</v>
      </c>
      <c r="K2449">
        <v>0</v>
      </c>
      <c r="L2449">
        <v>0</v>
      </c>
      <c r="M2449">
        <v>0</v>
      </c>
      <c r="N2449">
        <v>0</v>
      </c>
      <c r="O2449">
        <v>198</v>
      </c>
      <c r="P2449" t="str">
        <f t="shared" si="229"/>
        <v>Normal</v>
      </c>
      <c r="Q2449">
        <v>128</v>
      </c>
      <c r="R2449">
        <v>90</v>
      </c>
      <c r="S2449">
        <v>26.32</v>
      </c>
      <c r="T2449" t="str">
        <f t="shared" si="230"/>
        <v>Overweight</v>
      </c>
      <c r="U2449">
        <v>70</v>
      </c>
      <c r="V2449">
        <v>75</v>
      </c>
      <c r="W2449" t="str">
        <f t="shared" si="233"/>
        <v>Normal</v>
      </c>
      <c r="X2449">
        <v>0</v>
      </c>
    </row>
    <row r="2450" spans="1:24" ht="14.5" thickBot="1" x14ac:dyDescent="0.35">
      <c r="A2450">
        <v>1</v>
      </c>
      <c r="B2450" t="str">
        <f t="shared" si="231"/>
        <v>Male</v>
      </c>
      <c r="C2450" s="8">
        <v>51</v>
      </c>
      <c r="D2450" t="str">
        <f t="shared" si="232"/>
        <v>Middle Age</v>
      </c>
      <c r="E2450">
        <v>1</v>
      </c>
      <c r="F2450" t="str">
        <f>HLOOKUP(E2450, LookUP_Table!$A$6:$D$7, 2, FALSE)</f>
        <v>Primary</v>
      </c>
      <c r="G2450" t="str">
        <f>IFERROR(VLOOKUP(E2450, LookUP_Table!$A$1:$B$4, 2, FALSE), "")</f>
        <v>Primary</v>
      </c>
      <c r="H2450">
        <v>1</v>
      </c>
      <c r="I2450">
        <v>7</v>
      </c>
      <c r="J2450" t="str">
        <f t="shared" si="228"/>
        <v>Smoker</v>
      </c>
      <c r="K2450">
        <v>0</v>
      </c>
      <c r="L2450">
        <v>0</v>
      </c>
      <c r="M2450">
        <v>1</v>
      </c>
      <c r="N2450">
        <v>0</v>
      </c>
      <c r="O2450">
        <v>133</v>
      </c>
      <c r="P2450" t="str">
        <f t="shared" si="229"/>
        <v>Normal</v>
      </c>
      <c r="Q2450">
        <v>138</v>
      </c>
      <c r="R2450">
        <v>78</v>
      </c>
      <c r="S2450">
        <v>16.98</v>
      </c>
      <c r="T2450" t="str">
        <f t="shared" si="230"/>
        <v>Underweight</v>
      </c>
      <c r="U2450">
        <v>80</v>
      </c>
      <c r="V2450">
        <v>65</v>
      </c>
      <c r="W2450" t="str">
        <f t="shared" si="233"/>
        <v>Normal</v>
      </c>
      <c r="X2450">
        <v>1</v>
      </c>
    </row>
    <row r="2451" spans="1:24" ht="14.5" thickBot="1" x14ac:dyDescent="0.35">
      <c r="A2451">
        <v>1</v>
      </c>
      <c r="B2451" t="str">
        <f t="shared" si="231"/>
        <v>Male</v>
      </c>
      <c r="C2451" s="8">
        <v>51</v>
      </c>
      <c r="D2451" t="str">
        <f t="shared" si="232"/>
        <v>Middle Age</v>
      </c>
      <c r="E2451">
        <v>1</v>
      </c>
      <c r="F2451" t="str">
        <f>HLOOKUP(E2451, LookUP_Table!$A$6:$D$7, 2, FALSE)</f>
        <v>Primary</v>
      </c>
      <c r="G2451" t="str">
        <f>IFERROR(VLOOKUP(E2451, LookUP_Table!$A$1:$B$4, 2, FALSE), "")</f>
        <v>Primary</v>
      </c>
      <c r="H2451">
        <v>1</v>
      </c>
      <c r="I2451">
        <v>15</v>
      </c>
      <c r="J2451" t="str">
        <f t="shared" si="228"/>
        <v>Smoker</v>
      </c>
      <c r="K2451">
        <v>0</v>
      </c>
      <c r="L2451">
        <v>0</v>
      </c>
      <c r="M2451">
        <v>0</v>
      </c>
      <c r="N2451">
        <v>0</v>
      </c>
      <c r="O2451">
        <v>212</v>
      </c>
      <c r="P2451" t="str">
        <f t="shared" si="229"/>
        <v>Normal</v>
      </c>
      <c r="Q2451">
        <v>146</v>
      </c>
      <c r="R2451">
        <v>89</v>
      </c>
      <c r="S2451">
        <v>24.49</v>
      </c>
      <c r="T2451" t="str">
        <f t="shared" si="230"/>
        <v>Normal</v>
      </c>
      <c r="U2451">
        <v>100</v>
      </c>
      <c r="V2451">
        <v>132</v>
      </c>
      <c r="W2451" t="str">
        <f t="shared" si="233"/>
        <v>Diabetes</v>
      </c>
      <c r="X2451">
        <v>1</v>
      </c>
    </row>
    <row r="2452" spans="1:24" ht="14.5" thickBot="1" x14ac:dyDescent="0.35">
      <c r="A2452">
        <v>0</v>
      </c>
      <c r="B2452" t="str">
        <f t="shared" si="231"/>
        <v>Female</v>
      </c>
      <c r="C2452" s="8">
        <v>51</v>
      </c>
      <c r="D2452" t="str">
        <f t="shared" si="232"/>
        <v>Middle Age</v>
      </c>
      <c r="E2452">
        <v>3</v>
      </c>
      <c r="F2452" t="str">
        <f>HLOOKUP(E2452, LookUP_Table!$A$6:$D$7, 2, FALSE)</f>
        <v>Graduate</v>
      </c>
      <c r="G2452" t="str">
        <f>IFERROR(VLOOKUP(E2452, LookUP_Table!$A$1:$B$4, 2, FALSE), "")</f>
        <v>Graduate</v>
      </c>
      <c r="H2452">
        <v>0</v>
      </c>
      <c r="I2452">
        <v>0</v>
      </c>
      <c r="J2452" t="str">
        <f t="shared" si="228"/>
        <v>Non-Smoker</v>
      </c>
      <c r="K2452">
        <v>0</v>
      </c>
      <c r="L2452">
        <v>0</v>
      </c>
      <c r="M2452">
        <v>1</v>
      </c>
      <c r="N2452">
        <v>0</v>
      </c>
      <c r="O2452">
        <v>304</v>
      </c>
      <c r="P2452" t="str">
        <f t="shared" si="229"/>
        <v>High</v>
      </c>
      <c r="Q2452">
        <v>132</v>
      </c>
      <c r="R2452">
        <v>80</v>
      </c>
      <c r="S2452">
        <v>25.15</v>
      </c>
      <c r="T2452" t="str">
        <f t="shared" si="230"/>
        <v>Overweight</v>
      </c>
      <c r="U2452">
        <v>85</v>
      </c>
      <c r="V2452">
        <v>106</v>
      </c>
      <c r="W2452" t="str">
        <f t="shared" si="233"/>
        <v>Prediabetes</v>
      </c>
      <c r="X2452">
        <v>0</v>
      </c>
    </row>
    <row r="2453" spans="1:24" ht="14.5" thickBot="1" x14ac:dyDescent="0.35">
      <c r="A2453">
        <v>1</v>
      </c>
      <c r="B2453" t="str">
        <f t="shared" si="231"/>
        <v>Male</v>
      </c>
      <c r="C2453" s="8">
        <v>51</v>
      </c>
      <c r="D2453" t="str">
        <f t="shared" si="232"/>
        <v>Middle Age</v>
      </c>
      <c r="E2453">
        <v>1</v>
      </c>
      <c r="F2453" t="str">
        <f>HLOOKUP(E2453, LookUP_Table!$A$6:$D$7, 2, FALSE)</f>
        <v>Primary</v>
      </c>
      <c r="G2453" t="str">
        <f>IFERROR(VLOOKUP(E2453, LookUP_Table!$A$1:$B$4, 2, FALSE), "")</f>
        <v>Primary</v>
      </c>
      <c r="H2453">
        <v>0</v>
      </c>
      <c r="I2453">
        <v>0</v>
      </c>
      <c r="J2453" t="str">
        <f t="shared" si="228"/>
        <v>Non-Smoker</v>
      </c>
      <c r="K2453">
        <v>0</v>
      </c>
      <c r="L2453">
        <v>0</v>
      </c>
      <c r="M2453">
        <v>0</v>
      </c>
      <c r="N2453">
        <v>0</v>
      </c>
      <c r="O2453">
        <v>237</v>
      </c>
      <c r="P2453" t="str">
        <f t="shared" si="229"/>
        <v>Normal</v>
      </c>
      <c r="Q2453">
        <v>135</v>
      </c>
      <c r="R2453">
        <v>87.5</v>
      </c>
      <c r="S2453">
        <v>24.87</v>
      </c>
      <c r="T2453" t="str">
        <f t="shared" si="230"/>
        <v>Normal</v>
      </c>
      <c r="U2453">
        <v>65</v>
      </c>
      <c r="V2453">
        <v>63</v>
      </c>
      <c r="W2453" t="str">
        <f t="shared" si="233"/>
        <v>Normal</v>
      </c>
      <c r="X2453">
        <v>0</v>
      </c>
    </row>
    <row r="2454" spans="1:24" ht="14.5" thickBot="1" x14ac:dyDescent="0.35">
      <c r="A2454">
        <v>1</v>
      </c>
      <c r="B2454" t="str">
        <f t="shared" si="231"/>
        <v>Male</v>
      </c>
      <c r="C2454" s="8">
        <v>51</v>
      </c>
      <c r="D2454" t="str">
        <f t="shared" si="232"/>
        <v>Middle Age</v>
      </c>
      <c r="E2454">
        <v>1</v>
      </c>
      <c r="F2454" t="str">
        <f>HLOOKUP(E2454, LookUP_Table!$A$6:$D$7, 2, FALSE)</f>
        <v>Primary</v>
      </c>
      <c r="G2454" t="str">
        <f>IFERROR(VLOOKUP(E2454, LookUP_Table!$A$1:$B$4, 2, FALSE), "")</f>
        <v>Primary</v>
      </c>
      <c r="H2454">
        <v>1</v>
      </c>
      <c r="I2454">
        <v>40</v>
      </c>
      <c r="J2454" t="str">
        <f t="shared" si="228"/>
        <v>Smoker</v>
      </c>
      <c r="K2454">
        <v>0</v>
      </c>
      <c r="L2454">
        <v>0</v>
      </c>
      <c r="M2454">
        <v>0</v>
      </c>
      <c r="N2454">
        <v>0</v>
      </c>
      <c r="O2454">
        <v>264</v>
      </c>
      <c r="P2454" t="str">
        <f t="shared" si="229"/>
        <v>High</v>
      </c>
      <c r="Q2454">
        <v>119</v>
      </c>
      <c r="R2454">
        <v>82</v>
      </c>
      <c r="S2454">
        <v>28.55</v>
      </c>
      <c r="T2454" t="str">
        <f t="shared" si="230"/>
        <v>Overweight</v>
      </c>
      <c r="U2454">
        <v>85</v>
      </c>
      <c r="V2454">
        <v>63</v>
      </c>
      <c r="W2454" t="str">
        <f t="shared" si="233"/>
        <v>Normal</v>
      </c>
      <c r="X2454">
        <v>0</v>
      </c>
    </row>
    <row r="2455" spans="1:24" ht="14.5" thickBot="1" x14ac:dyDescent="0.35">
      <c r="A2455">
        <v>0</v>
      </c>
      <c r="B2455" t="str">
        <f t="shared" si="231"/>
        <v>Female</v>
      </c>
      <c r="C2455" s="8">
        <v>51</v>
      </c>
      <c r="D2455" t="str">
        <f t="shared" si="232"/>
        <v>Middle Age</v>
      </c>
      <c r="E2455">
        <v>1</v>
      </c>
      <c r="F2455" t="str">
        <f>HLOOKUP(E2455, LookUP_Table!$A$6:$D$7, 2, FALSE)</f>
        <v>Primary</v>
      </c>
      <c r="G2455" t="str">
        <f>IFERROR(VLOOKUP(E2455, LookUP_Table!$A$1:$B$4, 2, FALSE), "")</f>
        <v>Primary</v>
      </c>
      <c r="H2455">
        <v>0</v>
      </c>
      <c r="I2455">
        <v>0</v>
      </c>
      <c r="J2455" t="str">
        <f t="shared" si="228"/>
        <v>Non-Smoker</v>
      </c>
      <c r="K2455">
        <v>0</v>
      </c>
      <c r="L2455">
        <v>0</v>
      </c>
      <c r="M2455">
        <v>1</v>
      </c>
      <c r="N2455">
        <v>0</v>
      </c>
      <c r="O2455">
        <v>292</v>
      </c>
      <c r="P2455" t="str">
        <f t="shared" si="229"/>
        <v>High</v>
      </c>
      <c r="Q2455">
        <v>166</v>
      </c>
      <c r="R2455">
        <v>89</v>
      </c>
      <c r="S2455">
        <v>27.51</v>
      </c>
      <c r="T2455" t="str">
        <f t="shared" si="230"/>
        <v>Overweight</v>
      </c>
      <c r="U2455">
        <v>68</v>
      </c>
      <c r="V2455">
        <v>88</v>
      </c>
      <c r="W2455" t="str">
        <f t="shared" si="233"/>
        <v>Normal</v>
      </c>
      <c r="X2455">
        <v>0</v>
      </c>
    </row>
    <row r="2456" spans="1:24" ht="14.5" thickBot="1" x14ac:dyDescent="0.35">
      <c r="A2456">
        <v>1</v>
      </c>
      <c r="B2456" t="str">
        <f t="shared" si="231"/>
        <v>Male</v>
      </c>
      <c r="C2456" s="8">
        <v>51</v>
      </c>
      <c r="D2456" t="str">
        <f t="shared" si="232"/>
        <v>Middle Age</v>
      </c>
      <c r="E2456">
        <v>3</v>
      </c>
      <c r="F2456" t="str">
        <f>HLOOKUP(E2456, LookUP_Table!$A$6:$D$7, 2, FALSE)</f>
        <v>Graduate</v>
      </c>
      <c r="G2456" t="str">
        <f>IFERROR(VLOOKUP(E2456, LookUP_Table!$A$1:$B$4, 2, FALSE), "")</f>
        <v>Graduate</v>
      </c>
      <c r="H2456">
        <v>0</v>
      </c>
      <c r="I2456">
        <v>0</v>
      </c>
      <c r="J2456" t="str">
        <f t="shared" si="228"/>
        <v>Non-Smoker</v>
      </c>
      <c r="K2456">
        <v>0</v>
      </c>
      <c r="L2456">
        <v>0</v>
      </c>
      <c r="M2456">
        <v>0</v>
      </c>
      <c r="N2456">
        <v>0</v>
      </c>
      <c r="O2456">
        <v>218</v>
      </c>
      <c r="P2456" t="str">
        <f t="shared" si="229"/>
        <v>Normal</v>
      </c>
      <c r="Q2456">
        <v>115</v>
      </c>
      <c r="R2456">
        <v>75</v>
      </c>
      <c r="S2456">
        <v>25.62</v>
      </c>
      <c r="T2456" t="str">
        <f t="shared" si="230"/>
        <v>Overweight</v>
      </c>
      <c r="U2456">
        <v>82</v>
      </c>
      <c r="V2456">
        <v>62</v>
      </c>
      <c r="W2456" t="str">
        <f t="shared" si="233"/>
        <v>Normal</v>
      </c>
      <c r="X2456">
        <v>0</v>
      </c>
    </row>
    <row r="2457" spans="1:24" ht="14.5" thickBot="1" x14ac:dyDescent="0.35">
      <c r="A2457">
        <v>1</v>
      </c>
      <c r="B2457" t="str">
        <f t="shared" si="231"/>
        <v>Male</v>
      </c>
      <c r="C2457" s="8">
        <v>51</v>
      </c>
      <c r="D2457" t="str">
        <f t="shared" si="232"/>
        <v>Middle Age</v>
      </c>
      <c r="E2457">
        <v>1</v>
      </c>
      <c r="F2457" t="str">
        <f>HLOOKUP(E2457, LookUP_Table!$A$6:$D$7, 2, FALSE)</f>
        <v>Primary</v>
      </c>
      <c r="G2457" t="str">
        <f>IFERROR(VLOOKUP(E2457, LookUP_Table!$A$1:$B$4, 2, FALSE), "")</f>
        <v>Primary</v>
      </c>
      <c r="H2457">
        <v>1</v>
      </c>
      <c r="I2457">
        <v>30</v>
      </c>
      <c r="J2457" t="str">
        <f t="shared" si="228"/>
        <v>Smoker</v>
      </c>
      <c r="K2457">
        <v>0</v>
      </c>
      <c r="L2457">
        <v>0</v>
      </c>
      <c r="M2457">
        <v>0</v>
      </c>
      <c r="N2457">
        <v>0</v>
      </c>
      <c r="O2457">
        <v>240</v>
      </c>
      <c r="P2457" t="str">
        <f t="shared" si="229"/>
        <v>Normal</v>
      </c>
      <c r="Q2457">
        <v>127</v>
      </c>
      <c r="R2457">
        <v>80</v>
      </c>
      <c r="S2457">
        <v>28.85</v>
      </c>
      <c r="T2457" t="str">
        <f t="shared" si="230"/>
        <v>Overweight</v>
      </c>
      <c r="U2457">
        <v>70</v>
      </c>
      <c r="V2457">
        <v>67</v>
      </c>
      <c r="W2457" t="str">
        <f t="shared" si="233"/>
        <v>Normal</v>
      </c>
      <c r="X2457">
        <v>1</v>
      </c>
    </row>
    <row r="2458" spans="1:24" ht="14.5" thickBot="1" x14ac:dyDescent="0.35">
      <c r="A2458">
        <v>0</v>
      </c>
      <c r="B2458" t="str">
        <f t="shared" si="231"/>
        <v>Female</v>
      </c>
      <c r="C2458" s="8">
        <v>51</v>
      </c>
      <c r="D2458" t="str">
        <f t="shared" si="232"/>
        <v>Middle Age</v>
      </c>
      <c r="E2458">
        <v>3</v>
      </c>
      <c r="F2458" t="str">
        <f>HLOOKUP(E2458, LookUP_Table!$A$6:$D$7, 2, FALSE)</f>
        <v>Graduate</v>
      </c>
      <c r="G2458" t="str">
        <f>IFERROR(VLOOKUP(E2458, LookUP_Table!$A$1:$B$4, 2, FALSE), "")</f>
        <v>Graduate</v>
      </c>
      <c r="H2458">
        <v>0</v>
      </c>
      <c r="I2458">
        <v>0</v>
      </c>
      <c r="J2458" t="str">
        <f t="shared" si="228"/>
        <v>Non-Smoker</v>
      </c>
      <c r="K2458">
        <v>0</v>
      </c>
      <c r="L2458">
        <v>0</v>
      </c>
      <c r="M2458">
        <v>0</v>
      </c>
      <c r="N2458">
        <v>0</v>
      </c>
      <c r="O2458">
        <v>250</v>
      </c>
      <c r="P2458" t="str">
        <f t="shared" si="229"/>
        <v>High</v>
      </c>
      <c r="Q2458">
        <v>148.5</v>
      </c>
      <c r="R2458">
        <v>90</v>
      </c>
      <c r="S2458">
        <v>24.58</v>
      </c>
      <c r="T2458" t="str">
        <f t="shared" si="230"/>
        <v>Normal</v>
      </c>
      <c r="U2458">
        <v>80</v>
      </c>
      <c r="V2458">
        <v>81.96365524402907</v>
      </c>
      <c r="W2458" t="str">
        <f t="shared" si="233"/>
        <v>Normal</v>
      </c>
      <c r="X2458">
        <v>0</v>
      </c>
    </row>
    <row r="2459" spans="1:24" ht="14.5" thickBot="1" x14ac:dyDescent="0.35">
      <c r="A2459">
        <v>1</v>
      </c>
      <c r="B2459" t="str">
        <f t="shared" si="231"/>
        <v>Male</v>
      </c>
      <c r="C2459" s="8">
        <v>51</v>
      </c>
      <c r="D2459" t="str">
        <f t="shared" si="232"/>
        <v>Middle Age</v>
      </c>
      <c r="E2459">
        <v>2</v>
      </c>
      <c r="F2459" t="str">
        <f>HLOOKUP(E2459, LookUP_Table!$A$6:$D$7, 2, FALSE)</f>
        <v>Secondary</v>
      </c>
      <c r="G2459" t="str">
        <f>IFERROR(VLOOKUP(E2459, LookUP_Table!$A$1:$B$4, 2, FALSE), "")</f>
        <v>Secondary</v>
      </c>
      <c r="H2459">
        <v>1</v>
      </c>
      <c r="I2459">
        <v>20</v>
      </c>
      <c r="J2459" t="str">
        <f t="shared" si="228"/>
        <v>Smoker</v>
      </c>
      <c r="K2459">
        <v>0</v>
      </c>
      <c r="L2459">
        <v>0</v>
      </c>
      <c r="M2459">
        <v>0</v>
      </c>
      <c r="N2459">
        <v>0</v>
      </c>
      <c r="O2459">
        <v>274</v>
      </c>
      <c r="P2459" t="str">
        <f t="shared" si="229"/>
        <v>High</v>
      </c>
      <c r="Q2459">
        <v>108</v>
      </c>
      <c r="R2459">
        <v>75</v>
      </c>
      <c r="S2459">
        <v>23.6</v>
      </c>
      <c r="T2459" t="str">
        <f t="shared" si="230"/>
        <v>Normal</v>
      </c>
      <c r="U2459">
        <v>70</v>
      </c>
      <c r="V2459">
        <v>68</v>
      </c>
      <c r="W2459" t="str">
        <f t="shared" si="233"/>
        <v>Normal</v>
      </c>
      <c r="X2459">
        <v>0</v>
      </c>
    </row>
    <row r="2460" spans="1:24" ht="14.5" thickBot="1" x14ac:dyDescent="0.35">
      <c r="A2460">
        <v>0</v>
      </c>
      <c r="B2460" t="str">
        <f t="shared" si="231"/>
        <v>Female</v>
      </c>
      <c r="C2460" s="8">
        <v>51</v>
      </c>
      <c r="D2460" t="str">
        <f t="shared" si="232"/>
        <v>Middle Age</v>
      </c>
      <c r="E2460">
        <v>1</v>
      </c>
      <c r="F2460" t="str">
        <f>HLOOKUP(E2460, LookUP_Table!$A$6:$D$7, 2, FALSE)</f>
        <v>Primary</v>
      </c>
      <c r="G2460" t="str">
        <f>IFERROR(VLOOKUP(E2460, LookUP_Table!$A$1:$B$4, 2, FALSE), "")</f>
        <v>Primary</v>
      </c>
      <c r="H2460">
        <v>1</v>
      </c>
      <c r="I2460">
        <v>15</v>
      </c>
      <c r="J2460" t="str">
        <f t="shared" si="228"/>
        <v>Smoker</v>
      </c>
      <c r="K2460">
        <v>0</v>
      </c>
      <c r="L2460">
        <v>0</v>
      </c>
      <c r="M2460">
        <v>0</v>
      </c>
      <c r="N2460">
        <v>0</v>
      </c>
      <c r="O2460">
        <v>352</v>
      </c>
      <c r="P2460" t="str">
        <f t="shared" si="229"/>
        <v>High</v>
      </c>
      <c r="Q2460">
        <v>136.5</v>
      </c>
      <c r="R2460">
        <v>87</v>
      </c>
      <c r="S2460">
        <v>25.79</v>
      </c>
      <c r="T2460" t="str">
        <f t="shared" si="230"/>
        <v>Overweight</v>
      </c>
      <c r="U2460">
        <v>73</v>
      </c>
      <c r="V2460">
        <v>67</v>
      </c>
      <c r="W2460" t="str">
        <f t="shared" si="233"/>
        <v>Normal</v>
      </c>
      <c r="X2460">
        <v>0</v>
      </c>
    </row>
    <row r="2461" spans="1:24" ht="14.5" thickBot="1" x14ac:dyDescent="0.35">
      <c r="A2461">
        <v>1</v>
      </c>
      <c r="B2461" t="str">
        <f t="shared" si="231"/>
        <v>Male</v>
      </c>
      <c r="C2461" s="8">
        <v>51</v>
      </c>
      <c r="D2461" t="str">
        <f t="shared" si="232"/>
        <v>Middle Age</v>
      </c>
      <c r="E2461">
        <v>4</v>
      </c>
      <c r="F2461" t="str">
        <f>HLOOKUP(E2461, LookUP_Table!$A$6:$D$7, 2, FALSE)</f>
        <v>Post Graduate</v>
      </c>
      <c r="G2461" t="str">
        <f>IFERROR(VLOOKUP(E2461, LookUP_Table!$A$1:$B$4, 2, FALSE), "")</f>
        <v>Post Graduate</v>
      </c>
      <c r="H2461">
        <v>0</v>
      </c>
      <c r="I2461">
        <v>0</v>
      </c>
      <c r="J2461" t="str">
        <f t="shared" si="228"/>
        <v>Non-Smoker</v>
      </c>
      <c r="K2461">
        <v>0</v>
      </c>
      <c r="L2461">
        <v>0</v>
      </c>
      <c r="M2461">
        <v>1</v>
      </c>
      <c r="N2461">
        <v>0</v>
      </c>
      <c r="O2461">
        <v>200</v>
      </c>
      <c r="P2461" t="str">
        <f t="shared" si="229"/>
        <v>Normal</v>
      </c>
      <c r="Q2461">
        <v>115</v>
      </c>
      <c r="R2461">
        <v>76</v>
      </c>
      <c r="S2461">
        <v>31.04</v>
      </c>
      <c r="T2461" t="str">
        <f t="shared" si="230"/>
        <v>Obese</v>
      </c>
      <c r="U2461">
        <v>78</v>
      </c>
      <c r="V2461">
        <v>81.96365524402907</v>
      </c>
      <c r="W2461" t="str">
        <f t="shared" si="233"/>
        <v>Normal</v>
      </c>
      <c r="X2461">
        <v>1</v>
      </c>
    </row>
    <row r="2462" spans="1:24" ht="14.5" thickBot="1" x14ac:dyDescent="0.35">
      <c r="A2462">
        <v>0</v>
      </c>
      <c r="B2462" t="str">
        <f t="shared" si="231"/>
        <v>Female</v>
      </c>
      <c r="C2462" s="8">
        <v>51</v>
      </c>
      <c r="D2462" t="str">
        <f t="shared" si="232"/>
        <v>Middle Age</v>
      </c>
      <c r="E2462">
        <v>1</v>
      </c>
      <c r="F2462" t="str">
        <f>HLOOKUP(E2462, LookUP_Table!$A$6:$D$7, 2, FALSE)</f>
        <v>Primary</v>
      </c>
      <c r="G2462" t="str">
        <f>IFERROR(VLOOKUP(E2462, LookUP_Table!$A$1:$B$4, 2, FALSE), "")</f>
        <v>Primary</v>
      </c>
      <c r="H2462">
        <v>0</v>
      </c>
      <c r="I2462">
        <v>0</v>
      </c>
      <c r="J2462" t="str">
        <f t="shared" si="228"/>
        <v>Non-Smoker</v>
      </c>
      <c r="K2462">
        <v>0</v>
      </c>
      <c r="L2462">
        <v>0</v>
      </c>
      <c r="M2462">
        <v>1</v>
      </c>
      <c r="N2462">
        <v>0</v>
      </c>
      <c r="O2462">
        <v>177</v>
      </c>
      <c r="P2462" t="str">
        <f t="shared" si="229"/>
        <v>Normal</v>
      </c>
      <c r="Q2462">
        <v>141</v>
      </c>
      <c r="R2462">
        <v>92</v>
      </c>
      <c r="S2462">
        <v>29.64</v>
      </c>
      <c r="T2462" t="str">
        <f t="shared" si="230"/>
        <v>Overweight</v>
      </c>
      <c r="U2462">
        <v>72</v>
      </c>
      <c r="V2462">
        <v>130</v>
      </c>
      <c r="W2462" t="str">
        <f t="shared" si="233"/>
        <v>Diabetes</v>
      </c>
      <c r="X2462">
        <v>1</v>
      </c>
    </row>
    <row r="2463" spans="1:24" ht="14.5" thickBot="1" x14ac:dyDescent="0.35">
      <c r="A2463">
        <v>1</v>
      </c>
      <c r="B2463" t="str">
        <f t="shared" si="231"/>
        <v>Male</v>
      </c>
      <c r="C2463" s="8">
        <v>51</v>
      </c>
      <c r="D2463" t="str">
        <f t="shared" si="232"/>
        <v>Middle Age</v>
      </c>
      <c r="E2463">
        <v>4</v>
      </c>
      <c r="F2463" t="str">
        <f>HLOOKUP(E2463, LookUP_Table!$A$6:$D$7, 2, FALSE)</f>
        <v>Post Graduate</v>
      </c>
      <c r="G2463" t="str">
        <f>IFERROR(VLOOKUP(E2463, LookUP_Table!$A$1:$B$4, 2, FALSE), "")</f>
        <v>Post Graduate</v>
      </c>
      <c r="H2463">
        <v>0</v>
      </c>
      <c r="I2463">
        <v>0</v>
      </c>
      <c r="J2463" t="str">
        <f t="shared" si="228"/>
        <v>Non-Smoker</v>
      </c>
      <c r="K2463">
        <v>0</v>
      </c>
      <c r="L2463">
        <v>0</v>
      </c>
      <c r="M2463">
        <v>0</v>
      </c>
      <c r="N2463">
        <v>0</v>
      </c>
      <c r="O2463">
        <v>260</v>
      </c>
      <c r="P2463" t="str">
        <f t="shared" si="229"/>
        <v>High</v>
      </c>
      <c r="Q2463">
        <v>127.5</v>
      </c>
      <c r="R2463">
        <v>92</v>
      </c>
      <c r="S2463">
        <v>32.979999999999997</v>
      </c>
      <c r="T2463" t="str">
        <f t="shared" si="230"/>
        <v>Obese</v>
      </c>
      <c r="U2463">
        <v>56</v>
      </c>
      <c r="V2463">
        <v>93</v>
      </c>
      <c r="W2463" t="str">
        <f t="shared" si="233"/>
        <v>Normal</v>
      </c>
      <c r="X2463">
        <v>0</v>
      </c>
    </row>
    <row r="2464" spans="1:24" ht="14.5" thickBot="1" x14ac:dyDescent="0.35">
      <c r="A2464">
        <v>0</v>
      </c>
      <c r="B2464" t="str">
        <f t="shared" si="231"/>
        <v>Female</v>
      </c>
      <c r="C2464" s="8">
        <v>51</v>
      </c>
      <c r="D2464" t="str">
        <f t="shared" si="232"/>
        <v>Middle Age</v>
      </c>
      <c r="E2464">
        <v>2</v>
      </c>
      <c r="F2464" t="str">
        <f>HLOOKUP(E2464, LookUP_Table!$A$6:$D$7, 2, FALSE)</f>
        <v>Secondary</v>
      </c>
      <c r="G2464" t="str">
        <f>IFERROR(VLOOKUP(E2464, LookUP_Table!$A$1:$B$4, 2, FALSE), "")</f>
        <v>Secondary</v>
      </c>
      <c r="H2464">
        <v>0</v>
      </c>
      <c r="I2464">
        <v>0</v>
      </c>
      <c r="J2464" t="str">
        <f t="shared" si="228"/>
        <v>Non-Smoker</v>
      </c>
      <c r="K2464">
        <v>0</v>
      </c>
      <c r="L2464">
        <v>0</v>
      </c>
      <c r="M2464">
        <v>1</v>
      </c>
      <c r="N2464">
        <v>0</v>
      </c>
      <c r="O2464">
        <v>262</v>
      </c>
      <c r="P2464" t="str">
        <f t="shared" si="229"/>
        <v>High</v>
      </c>
      <c r="Q2464">
        <v>150.5</v>
      </c>
      <c r="R2464">
        <v>95</v>
      </c>
      <c r="S2464">
        <v>30.79</v>
      </c>
      <c r="T2464" t="str">
        <f t="shared" si="230"/>
        <v>Obese</v>
      </c>
      <c r="U2464">
        <v>75</v>
      </c>
      <c r="V2464">
        <v>77</v>
      </c>
      <c r="W2464" t="str">
        <f t="shared" si="233"/>
        <v>Normal</v>
      </c>
      <c r="X2464">
        <v>0</v>
      </c>
    </row>
    <row r="2465" spans="1:24" ht="14.5" thickBot="1" x14ac:dyDescent="0.35">
      <c r="A2465">
        <v>0</v>
      </c>
      <c r="B2465" t="str">
        <f t="shared" si="231"/>
        <v>Female</v>
      </c>
      <c r="C2465" s="8">
        <v>51</v>
      </c>
      <c r="D2465" t="str">
        <f t="shared" si="232"/>
        <v>Middle Age</v>
      </c>
      <c r="E2465">
        <v>1</v>
      </c>
      <c r="F2465" t="str">
        <f>HLOOKUP(E2465, LookUP_Table!$A$6:$D$7, 2, FALSE)</f>
        <v>Primary</v>
      </c>
      <c r="G2465" t="str">
        <f>IFERROR(VLOOKUP(E2465, LookUP_Table!$A$1:$B$4, 2, FALSE), "")</f>
        <v>Primary</v>
      </c>
      <c r="H2465">
        <v>0</v>
      </c>
      <c r="I2465">
        <v>0</v>
      </c>
      <c r="J2465" t="str">
        <f t="shared" si="228"/>
        <v>Non-Smoker</v>
      </c>
      <c r="K2465">
        <v>0</v>
      </c>
      <c r="L2465">
        <v>0</v>
      </c>
      <c r="M2465">
        <v>0</v>
      </c>
      <c r="N2465">
        <v>0</v>
      </c>
      <c r="O2465">
        <v>236</v>
      </c>
      <c r="P2465" t="str">
        <f t="shared" si="229"/>
        <v>Normal</v>
      </c>
      <c r="Q2465">
        <v>115</v>
      </c>
      <c r="R2465">
        <v>71</v>
      </c>
      <c r="S2465">
        <v>23.48</v>
      </c>
      <c r="T2465" t="str">
        <f t="shared" si="230"/>
        <v>Normal</v>
      </c>
      <c r="U2465">
        <v>80</v>
      </c>
      <c r="V2465">
        <v>84</v>
      </c>
      <c r="W2465" t="str">
        <f t="shared" si="233"/>
        <v>Normal</v>
      </c>
      <c r="X2465">
        <v>0</v>
      </c>
    </row>
    <row r="2466" spans="1:24" ht="14.5" thickBot="1" x14ac:dyDescent="0.35">
      <c r="A2466">
        <v>0</v>
      </c>
      <c r="B2466" t="str">
        <f t="shared" si="231"/>
        <v>Female</v>
      </c>
      <c r="C2466" s="8">
        <v>51</v>
      </c>
      <c r="D2466" t="str">
        <f t="shared" si="232"/>
        <v>Middle Age</v>
      </c>
      <c r="E2466">
        <v>3</v>
      </c>
      <c r="F2466" t="str">
        <f>HLOOKUP(E2466, LookUP_Table!$A$6:$D$7, 2, FALSE)</f>
        <v>Graduate</v>
      </c>
      <c r="G2466" t="str">
        <f>IFERROR(VLOOKUP(E2466, LookUP_Table!$A$1:$B$4, 2, FALSE), "")</f>
        <v>Graduate</v>
      </c>
      <c r="H2466">
        <v>0</v>
      </c>
      <c r="I2466">
        <v>0</v>
      </c>
      <c r="J2466" t="str">
        <f t="shared" si="228"/>
        <v>Non-Smoker</v>
      </c>
      <c r="K2466">
        <v>0</v>
      </c>
      <c r="L2466">
        <v>0</v>
      </c>
      <c r="M2466">
        <v>1</v>
      </c>
      <c r="N2466">
        <v>0</v>
      </c>
      <c r="O2466">
        <v>198</v>
      </c>
      <c r="P2466" t="str">
        <f t="shared" si="229"/>
        <v>Normal</v>
      </c>
      <c r="Q2466">
        <v>142.5</v>
      </c>
      <c r="R2466">
        <v>80</v>
      </c>
      <c r="S2466">
        <v>23.86</v>
      </c>
      <c r="T2466" t="str">
        <f t="shared" si="230"/>
        <v>Normal</v>
      </c>
      <c r="U2466">
        <v>76</v>
      </c>
      <c r="V2466">
        <v>100</v>
      </c>
      <c r="W2466" t="str">
        <f t="shared" si="233"/>
        <v>Prediabetes</v>
      </c>
      <c r="X2466">
        <v>0</v>
      </c>
    </row>
    <row r="2467" spans="1:24" ht="14.5" thickBot="1" x14ac:dyDescent="0.35">
      <c r="A2467">
        <v>1</v>
      </c>
      <c r="B2467" t="str">
        <f t="shared" si="231"/>
        <v>Male</v>
      </c>
      <c r="C2467" s="8">
        <v>51</v>
      </c>
      <c r="D2467" t="str">
        <f t="shared" si="232"/>
        <v>Middle Age</v>
      </c>
      <c r="E2467">
        <v>1</v>
      </c>
      <c r="F2467" t="str">
        <f>HLOOKUP(E2467, LookUP_Table!$A$6:$D$7, 2, FALSE)</f>
        <v>Primary</v>
      </c>
      <c r="G2467" t="str">
        <f>IFERROR(VLOOKUP(E2467, LookUP_Table!$A$1:$B$4, 2, FALSE), "")</f>
        <v>Primary</v>
      </c>
      <c r="H2467">
        <v>0</v>
      </c>
      <c r="I2467">
        <v>0</v>
      </c>
      <c r="J2467" t="str">
        <f t="shared" si="228"/>
        <v>Non-Smoker</v>
      </c>
      <c r="K2467">
        <v>0</v>
      </c>
      <c r="L2467">
        <v>0</v>
      </c>
      <c r="M2467">
        <v>1</v>
      </c>
      <c r="N2467">
        <v>0</v>
      </c>
      <c r="O2467">
        <v>275</v>
      </c>
      <c r="P2467" t="str">
        <f t="shared" si="229"/>
        <v>High</v>
      </c>
      <c r="Q2467">
        <v>159</v>
      </c>
      <c r="R2467">
        <v>99</v>
      </c>
      <c r="S2467">
        <v>28.57</v>
      </c>
      <c r="T2467" t="str">
        <f t="shared" si="230"/>
        <v>Overweight</v>
      </c>
      <c r="U2467">
        <v>60</v>
      </c>
      <c r="V2467">
        <v>88</v>
      </c>
      <c r="W2467" t="str">
        <f t="shared" si="233"/>
        <v>Normal</v>
      </c>
      <c r="X2467">
        <v>1</v>
      </c>
    </row>
    <row r="2468" spans="1:24" ht="14.5" thickBot="1" x14ac:dyDescent="0.35">
      <c r="A2468">
        <v>1</v>
      </c>
      <c r="B2468" t="str">
        <f t="shared" si="231"/>
        <v>Male</v>
      </c>
      <c r="C2468" s="8">
        <v>51</v>
      </c>
      <c r="D2468" t="str">
        <f t="shared" si="232"/>
        <v>Middle Age</v>
      </c>
      <c r="E2468">
        <v>1</v>
      </c>
      <c r="F2468" t="str">
        <f>HLOOKUP(E2468, LookUP_Table!$A$6:$D$7, 2, FALSE)</f>
        <v>Primary</v>
      </c>
      <c r="G2468" t="str">
        <f>IFERROR(VLOOKUP(E2468, LookUP_Table!$A$1:$B$4, 2, FALSE), "")</f>
        <v>Primary</v>
      </c>
      <c r="H2468">
        <v>1</v>
      </c>
      <c r="I2468">
        <v>9</v>
      </c>
      <c r="J2468" t="str">
        <f t="shared" si="228"/>
        <v>Smoker</v>
      </c>
      <c r="K2468">
        <v>0</v>
      </c>
      <c r="L2468">
        <v>0</v>
      </c>
      <c r="M2468">
        <v>1</v>
      </c>
      <c r="N2468">
        <v>0</v>
      </c>
      <c r="O2468">
        <v>696</v>
      </c>
      <c r="P2468" t="str">
        <f t="shared" si="229"/>
        <v>High</v>
      </c>
      <c r="Q2468">
        <v>157</v>
      </c>
      <c r="R2468">
        <v>87</v>
      </c>
      <c r="S2468">
        <v>24.44</v>
      </c>
      <c r="T2468" t="str">
        <f t="shared" si="230"/>
        <v>Normal</v>
      </c>
      <c r="U2468">
        <v>95</v>
      </c>
      <c r="V2468">
        <v>84</v>
      </c>
      <c r="W2468" t="str">
        <f t="shared" si="233"/>
        <v>Normal</v>
      </c>
      <c r="X2468">
        <v>0</v>
      </c>
    </row>
    <row r="2469" spans="1:24" ht="14.5" thickBot="1" x14ac:dyDescent="0.35">
      <c r="A2469">
        <v>0</v>
      </c>
      <c r="B2469" t="str">
        <f t="shared" si="231"/>
        <v>Female</v>
      </c>
      <c r="C2469" s="8">
        <v>51</v>
      </c>
      <c r="D2469" t="str">
        <f t="shared" si="232"/>
        <v>Middle Age</v>
      </c>
      <c r="E2469">
        <v>3</v>
      </c>
      <c r="F2469" t="str">
        <f>HLOOKUP(E2469, LookUP_Table!$A$6:$D$7, 2, FALSE)</f>
        <v>Graduate</v>
      </c>
      <c r="G2469" t="str">
        <f>IFERROR(VLOOKUP(E2469, LookUP_Table!$A$1:$B$4, 2, FALSE), "")</f>
        <v>Graduate</v>
      </c>
      <c r="H2469">
        <v>0</v>
      </c>
      <c r="I2469">
        <v>0</v>
      </c>
      <c r="J2469" t="str">
        <f t="shared" si="228"/>
        <v>Non-Smoker</v>
      </c>
      <c r="K2469">
        <v>0</v>
      </c>
      <c r="L2469">
        <v>0</v>
      </c>
      <c r="M2469">
        <v>0</v>
      </c>
      <c r="N2469">
        <v>0</v>
      </c>
      <c r="O2469">
        <v>204</v>
      </c>
      <c r="P2469" t="str">
        <f t="shared" si="229"/>
        <v>Normal</v>
      </c>
      <c r="Q2469">
        <v>119</v>
      </c>
      <c r="R2469">
        <v>80</v>
      </c>
      <c r="S2469">
        <v>24.03</v>
      </c>
      <c r="T2469" t="str">
        <f t="shared" si="230"/>
        <v>Normal</v>
      </c>
      <c r="U2469">
        <v>85</v>
      </c>
      <c r="V2469">
        <v>87</v>
      </c>
      <c r="W2469" t="str">
        <f t="shared" si="233"/>
        <v>Normal</v>
      </c>
      <c r="X2469">
        <v>0</v>
      </c>
    </row>
    <row r="2470" spans="1:24" ht="14.5" thickBot="1" x14ac:dyDescent="0.35">
      <c r="A2470">
        <v>1</v>
      </c>
      <c r="B2470" t="str">
        <f t="shared" si="231"/>
        <v>Male</v>
      </c>
      <c r="C2470" s="8">
        <v>51</v>
      </c>
      <c r="D2470" t="str">
        <f t="shared" si="232"/>
        <v>Middle Age</v>
      </c>
      <c r="E2470">
        <v>4</v>
      </c>
      <c r="F2470" t="str">
        <f>HLOOKUP(E2470, LookUP_Table!$A$6:$D$7, 2, FALSE)</f>
        <v>Post Graduate</v>
      </c>
      <c r="G2470" t="str">
        <f>IFERROR(VLOOKUP(E2470, LookUP_Table!$A$1:$B$4, 2, FALSE), "")</f>
        <v>Post Graduate</v>
      </c>
      <c r="H2470">
        <v>0</v>
      </c>
      <c r="I2470">
        <v>0</v>
      </c>
      <c r="J2470" t="str">
        <f t="shared" si="228"/>
        <v>Non-Smoker</v>
      </c>
      <c r="K2470">
        <v>0</v>
      </c>
      <c r="L2470">
        <v>0</v>
      </c>
      <c r="M2470">
        <v>0</v>
      </c>
      <c r="N2470">
        <v>0</v>
      </c>
      <c r="O2470">
        <v>230</v>
      </c>
      <c r="P2470" t="str">
        <f t="shared" si="229"/>
        <v>Normal</v>
      </c>
      <c r="Q2470">
        <v>115.5</v>
      </c>
      <c r="R2470">
        <v>85</v>
      </c>
      <c r="S2470">
        <v>30.75</v>
      </c>
      <c r="T2470" t="str">
        <f t="shared" si="230"/>
        <v>Obese</v>
      </c>
      <c r="U2470">
        <v>48</v>
      </c>
      <c r="V2470">
        <v>85</v>
      </c>
      <c r="W2470" t="str">
        <f t="shared" si="233"/>
        <v>Normal</v>
      </c>
      <c r="X2470">
        <v>0</v>
      </c>
    </row>
    <row r="2471" spans="1:24" ht="14.5" thickBot="1" x14ac:dyDescent="0.35">
      <c r="A2471">
        <v>1</v>
      </c>
      <c r="B2471" t="str">
        <f t="shared" si="231"/>
        <v>Male</v>
      </c>
      <c r="C2471" s="8">
        <v>51</v>
      </c>
      <c r="D2471" t="str">
        <f t="shared" si="232"/>
        <v>Middle Age</v>
      </c>
      <c r="E2471">
        <v>1</v>
      </c>
      <c r="F2471" t="str">
        <f>HLOOKUP(E2471, LookUP_Table!$A$6:$D$7, 2, FALSE)</f>
        <v>Primary</v>
      </c>
      <c r="G2471" t="str">
        <f>IFERROR(VLOOKUP(E2471, LookUP_Table!$A$1:$B$4, 2, FALSE), "")</f>
        <v>Primary</v>
      </c>
      <c r="H2471">
        <v>1</v>
      </c>
      <c r="I2471">
        <v>40</v>
      </c>
      <c r="J2471" t="str">
        <f t="shared" si="228"/>
        <v>Smoker</v>
      </c>
      <c r="K2471">
        <v>0</v>
      </c>
      <c r="L2471">
        <v>0</v>
      </c>
      <c r="M2471">
        <v>0</v>
      </c>
      <c r="N2471">
        <v>0</v>
      </c>
      <c r="O2471">
        <v>212</v>
      </c>
      <c r="P2471" t="str">
        <f t="shared" si="229"/>
        <v>Normal</v>
      </c>
      <c r="Q2471">
        <v>122.5</v>
      </c>
      <c r="R2471">
        <v>73</v>
      </c>
      <c r="S2471">
        <v>22.34</v>
      </c>
      <c r="T2471" t="str">
        <f t="shared" si="230"/>
        <v>Normal</v>
      </c>
      <c r="U2471">
        <v>75</v>
      </c>
      <c r="V2471">
        <v>74</v>
      </c>
      <c r="W2471" t="str">
        <f t="shared" si="233"/>
        <v>Normal</v>
      </c>
      <c r="X2471">
        <v>0</v>
      </c>
    </row>
    <row r="2472" spans="1:24" ht="14.5" thickBot="1" x14ac:dyDescent="0.35">
      <c r="A2472">
        <v>1</v>
      </c>
      <c r="B2472" t="str">
        <f t="shared" si="231"/>
        <v>Male</v>
      </c>
      <c r="C2472" s="8">
        <v>51</v>
      </c>
      <c r="D2472" t="str">
        <f t="shared" si="232"/>
        <v>Middle Age</v>
      </c>
      <c r="E2472">
        <v>4</v>
      </c>
      <c r="F2472" t="str">
        <f>HLOOKUP(E2472, LookUP_Table!$A$6:$D$7, 2, FALSE)</f>
        <v>Post Graduate</v>
      </c>
      <c r="G2472" t="str">
        <f>IFERROR(VLOOKUP(E2472, LookUP_Table!$A$1:$B$4, 2, FALSE), "")</f>
        <v>Post Graduate</v>
      </c>
      <c r="H2472">
        <v>1</v>
      </c>
      <c r="I2472">
        <v>30</v>
      </c>
      <c r="J2472" t="str">
        <f t="shared" si="228"/>
        <v>Smoker</v>
      </c>
      <c r="K2472">
        <v>0</v>
      </c>
      <c r="L2472">
        <v>0</v>
      </c>
      <c r="M2472">
        <v>0</v>
      </c>
      <c r="N2472">
        <v>0</v>
      </c>
      <c r="O2472">
        <v>342</v>
      </c>
      <c r="P2472" t="str">
        <f t="shared" si="229"/>
        <v>High</v>
      </c>
      <c r="Q2472">
        <v>110</v>
      </c>
      <c r="R2472">
        <v>70</v>
      </c>
      <c r="S2472">
        <v>28.86</v>
      </c>
      <c r="T2472" t="str">
        <f t="shared" si="230"/>
        <v>Overweight</v>
      </c>
      <c r="U2472">
        <v>72</v>
      </c>
      <c r="V2472">
        <v>87</v>
      </c>
      <c r="W2472" t="str">
        <f t="shared" si="233"/>
        <v>Normal</v>
      </c>
      <c r="X2472">
        <v>1</v>
      </c>
    </row>
    <row r="2473" spans="1:24" ht="14.5" thickBot="1" x14ac:dyDescent="0.35">
      <c r="A2473">
        <v>0</v>
      </c>
      <c r="B2473" t="str">
        <f t="shared" si="231"/>
        <v>Female</v>
      </c>
      <c r="C2473" s="8">
        <v>51</v>
      </c>
      <c r="D2473" t="str">
        <f t="shared" si="232"/>
        <v>Middle Age</v>
      </c>
      <c r="E2473">
        <v>1</v>
      </c>
      <c r="F2473" t="str">
        <f>HLOOKUP(E2473, LookUP_Table!$A$6:$D$7, 2, FALSE)</f>
        <v>Primary</v>
      </c>
      <c r="G2473" t="str">
        <f>IFERROR(VLOOKUP(E2473, LookUP_Table!$A$1:$B$4, 2, FALSE), "")</f>
        <v>Primary</v>
      </c>
      <c r="H2473">
        <v>1</v>
      </c>
      <c r="I2473">
        <v>2</v>
      </c>
      <c r="J2473" t="str">
        <f t="shared" si="228"/>
        <v>Smoker</v>
      </c>
      <c r="K2473">
        <v>0</v>
      </c>
      <c r="L2473">
        <v>0</v>
      </c>
      <c r="M2473">
        <v>0</v>
      </c>
      <c r="N2473">
        <v>0</v>
      </c>
      <c r="O2473">
        <v>261</v>
      </c>
      <c r="P2473" t="str">
        <f t="shared" si="229"/>
        <v>High</v>
      </c>
      <c r="Q2473">
        <v>127</v>
      </c>
      <c r="R2473">
        <v>81</v>
      </c>
      <c r="S2473">
        <v>20.239999999999998</v>
      </c>
      <c r="T2473" t="str">
        <f t="shared" si="230"/>
        <v>Normal</v>
      </c>
      <c r="U2473">
        <v>75</v>
      </c>
      <c r="V2473">
        <v>96</v>
      </c>
      <c r="W2473" t="str">
        <f t="shared" si="233"/>
        <v>Normal</v>
      </c>
      <c r="X2473">
        <v>0</v>
      </c>
    </row>
    <row r="2474" spans="1:24" ht="14.5" thickBot="1" x14ac:dyDescent="0.35">
      <c r="A2474">
        <v>0</v>
      </c>
      <c r="B2474" t="str">
        <f t="shared" si="231"/>
        <v>Female</v>
      </c>
      <c r="C2474" s="8">
        <v>51</v>
      </c>
      <c r="D2474" t="str">
        <f t="shared" si="232"/>
        <v>Middle Age</v>
      </c>
      <c r="E2474">
        <v>2</v>
      </c>
      <c r="F2474" t="str">
        <f>HLOOKUP(E2474, LookUP_Table!$A$6:$D$7, 2, FALSE)</f>
        <v>Secondary</v>
      </c>
      <c r="G2474" t="str">
        <f>IFERROR(VLOOKUP(E2474, LookUP_Table!$A$1:$B$4, 2, FALSE), "")</f>
        <v>Secondary</v>
      </c>
      <c r="H2474">
        <v>1</v>
      </c>
      <c r="I2474">
        <v>20</v>
      </c>
      <c r="J2474" t="str">
        <f t="shared" si="228"/>
        <v>Smoker</v>
      </c>
      <c r="K2474">
        <v>0</v>
      </c>
      <c r="L2474">
        <v>0</v>
      </c>
      <c r="M2474">
        <v>0</v>
      </c>
      <c r="N2474">
        <v>0</v>
      </c>
      <c r="O2474">
        <v>326</v>
      </c>
      <c r="P2474" t="str">
        <f t="shared" si="229"/>
        <v>High</v>
      </c>
      <c r="Q2474">
        <v>112</v>
      </c>
      <c r="R2474">
        <v>83</v>
      </c>
      <c r="S2474">
        <v>20.82</v>
      </c>
      <c r="T2474" t="str">
        <f t="shared" si="230"/>
        <v>Normal</v>
      </c>
      <c r="U2474">
        <v>104</v>
      </c>
      <c r="V2474">
        <v>70</v>
      </c>
      <c r="W2474" t="str">
        <f t="shared" si="233"/>
        <v>Normal</v>
      </c>
      <c r="X2474">
        <v>1</v>
      </c>
    </row>
    <row r="2475" spans="1:24" ht="14.5" thickBot="1" x14ac:dyDescent="0.35">
      <c r="A2475">
        <v>1</v>
      </c>
      <c r="B2475" t="str">
        <f t="shared" si="231"/>
        <v>Male</v>
      </c>
      <c r="C2475" s="8">
        <v>51</v>
      </c>
      <c r="D2475" t="str">
        <f t="shared" si="232"/>
        <v>Middle Age</v>
      </c>
      <c r="E2475">
        <v>2</v>
      </c>
      <c r="F2475" t="str">
        <f>HLOOKUP(E2475, LookUP_Table!$A$6:$D$7, 2, FALSE)</f>
        <v>Secondary</v>
      </c>
      <c r="G2475" t="str">
        <f>IFERROR(VLOOKUP(E2475, LookUP_Table!$A$1:$B$4, 2, FALSE), "")</f>
        <v>Secondary</v>
      </c>
      <c r="H2475">
        <v>1</v>
      </c>
      <c r="I2475">
        <v>5</v>
      </c>
      <c r="J2475" t="str">
        <f t="shared" si="228"/>
        <v>Smoker</v>
      </c>
      <c r="K2475">
        <v>0</v>
      </c>
      <c r="L2475">
        <v>0</v>
      </c>
      <c r="M2475">
        <v>1</v>
      </c>
      <c r="N2475">
        <v>0</v>
      </c>
      <c r="O2475">
        <v>290</v>
      </c>
      <c r="P2475" t="str">
        <f t="shared" si="229"/>
        <v>High</v>
      </c>
      <c r="Q2475">
        <v>168</v>
      </c>
      <c r="R2475">
        <v>103</v>
      </c>
      <c r="S2475">
        <v>29.11</v>
      </c>
      <c r="T2475" t="str">
        <f t="shared" si="230"/>
        <v>Overweight</v>
      </c>
      <c r="U2475">
        <v>80</v>
      </c>
      <c r="V2475">
        <v>64</v>
      </c>
      <c r="W2475" t="str">
        <f t="shared" si="233"/>
        <v>Normal</v>
      </c>
      <c r="X2475">
        <v>1</v>
      </c>
    </row>
    <row r="2476" spans="1:24" ht="14.5" thickBot="1" x14ac:dyDescent="0.35">
      <c r="A2476">
        <v>0</v>
      </c>
      <c r="B2476" t="str">
        <f t="shared" si="231"/>
        <v>Female</v>
      </c>
      <c r="C2476" s="8">
        <v>51</v>
      </c>
      <c r="D2476" t="str">
        <f t="shared" si="232"/>
        <v>Middle Age</v>
      </c>
      <c r="E2476">
        <v>2</v>
      </c>
      <c r="F2476" t="str">
        <f>HLOOKUP(E2476, LookUP_Table!$A$6:$D$7, 2, FALSE)</f>
        <v>Secondary</v>
      </c>
      <c r="G2476" t="str">
        <f>IFERROR(VLOOKUP(E2476, LookUP_Table!$A$1:$B$4, 2, FALSE), "")</f>
        <v>Secondary</v>
      </c>
      <c r="H2476">
        <v>0</v>
      </c>
      <c r="I2476">
        <v>0</v>
      </c>
      <c r="J2476" t="str">
        <f t="shared" si="228"/>
        <v>Non-Smoker</v>
      </c>
      <c r="K2476">
        <v>0</v>
      </c>
      <c r="L2476">
        <v>0</v>
      </c>
      <c r="M2476">
        <v>1</v>
      </c>
      <c r="N2476">
        <v>0</v>
      </c>
      <c r="O2476">
        <v>261</v>
      </c>
      <c r="P2476" t="str">
        <f t="shared" si="229"/>
        <v>High</v>
      </c>
      <c r="Q2476">
        <v>142</v>
      </c>
      <c r="R2476">
        <v>90</v>
      </c>
      <c r="S2476">
        <v>28.58</v>
      </c>
      <c r="T2476" t="str">
        <f t="shared" si="230"/>
        <v>Overweight</v>
      </c>
      <c r="U2476">
        <v>95</v>
      </c>
      <c r="V2476">
        <v>84</v>
      </c>
      <c r="W2476" t="str">
        <f t="shared" si="233"/>
        <v>Normal</v>
      </c>
      <c r="X2476">
        <v>0</v>
      </c>
    </row>
    <row r="2477" spans="1:24" ht="14.5" thickBot="1" x14ac:dyDescent="0.35">
      <c r="A2477">
        <v>1</v>
      </c>
      <c r="B2477" t="str">
        <f t="shared" si="231"/>
        <v>Male</v>
      </c>
      <c r="C2477" s="8">
        <v>51</v>
      </c>
      <c r="D2477" t="str">
        <f t="shared" si="232"/>
        <v>Middle Age</v>
      </c>
      <c r="E2477">
        <v>4</v>
      </c>
      <c r="F2477" t="str">
        <f>HLOOKUP(E2477, LookUP_Table!$A$6:$D$7, 2, FALSE)</f>
        <v>Post Graduate</v>
      </c>
      <c r="G2477" t="str">
        <f>IFERROR(VLOOKUP(E2477, LookUP_Table!$A$1:$B$4, 2, FALSE), "")</f>
        <v>Post Graduate</v>
      </c>
      <c r="H2477">
        <v>0</v>
      </c>
      <c r="I2477">
        <v>0</v>
      </c>
      <c r="J2477" t="str">
        <f t="shared" si="228"/>
        <v>Non-Smoker</v>
      </c>
      <c r="K2477">
        <v>0</v>
      </c>
      <c r="L2477">
        <v>0</v>
      </c>
      <c r="M2477">
        <v>0</v>
      </c>
      <c r="N2477">
        <v>0</v>
      </c>
      <c r="O2477">
        <v>154</v>
      </c>
      <c r="P2477" t="str">
        <f t="shared" si="229"/>
        <v>Normal</v>
      </c>
      <c r="Q2477">
        <v>98</v>
      </c>
      <c r="R2477">
        <v>66</v>
      </c>
      <c r="S2477">
        <v>22.86</v>
      </c>
      <c r="T2477" t="str">
        <f t="shared" si="230"/>
        <v>Normal</v>
      </c>
      <c r="U2477">
        <v>63</v>
      </c>
      <c r="V2477">
        <v>82</v>
      </c>
      <c r="W2477" t="str">
        <f t="shared" si="233"/>
        <v>Normal</v>
      </c>
      <c r="X2477">
        <v>0</v>
      </c>
    </row>
    <row r="2478" spans="1:24" ht="14.5" thickBot="1" x14ac:dyDescent="0.35">
      <c r="A2478">
        <v>1</v>
      </c>
      <c r="B2478" t="str">
        <f t="shared" si="231"/>
        <v>Male</v>
      </c>
      <c r="C2478" s="8">
        <v>51</v>
      </c>
      <c r="D2478" t="str">
        <f t="shared" si="232"/>
        <v>Middle Age</v>
      </c>
      <c r="E2478">
        <v>2</v>
      </c>
      <c r="F2478" t="str">
        <f>HLOOKUP(E2478, LookUP_Table!$A$6:$D$7, 2, FALSE)</f>
        <v>Secondary</v>
      </c>
      <c r="G2478" t="str">
        <f>IFERROR(VLOOKUP(E2478, LookUP_Table!$A$1:$B$4, 2, FALSE), "")</f>
        <v>Secondary</v>
      </c>
      <c r="H2478">
        <v>0</v>
      </c>
      <c r="I2478">
        <v>0</v>
      </c>
      <c r="J2478" t="str">
        <f t="shared" si="228"/>
        <v>Non-Smoker</v>
      </c>
      <c r="K2478">
        <v>0</v>
      </c>
      <c r="L2478">
        <v>0</v>
      </c>
      <c r="M2478">
        <v>1</v>
      </c>
      <c r="N2478">
        <v>0</v>
      </c>
      <c r="O2478">
        <v>227</v>
      </c>
      <c r="P2478" t="str">
        <f t="shared" si="229"/>
        <v>Normal</v>
      </c>
      <c r="Q2478">
        <v>158</v>
      </c>
      <c r="R2478">
        <v>105</v>
      </c>
      <c r="S2478">
        <v>27.22</v>
      </c>
      <c r="T2478" t="str">
        <f t="shared" si="230"/>
        <v>Overweight</v>
      </c>
      <c r="U2478">
        <v>60</v>
      </c>
      <c r="V2478">
        <v>96</v>
      </c>
      <c r="W2478" t="str">
        <f t="shared" si="233"/>
        <v>Normal</v>
      </c>
      <c r="X2478">
        <v>1</v>
      </c>
    </row>
    <row r="2479" spans="1:24" ht="14.5" thickBot="1" x14ac:dyDescent="0.35">
      <c r="A2479">
        <v>0</v>
      </c>
      <c r="B2479" t="str">
        <f t="shared" si="231"/>
        <v>Female</v>
      </c>
      <c r="C2479" s="8">
        <v>51</v>
      </c>
      <c r="D2479" t="str">
        <f t="shared" si="232"/>
        <v>Middle Age</v>
      </c>
      <c r="E2479">
        <v>4</v>
      </c>
      <c r="F2479" t="str">
        <f>HLOOKUP(E2479, LookUP_Table!$A$6:$D$7, 2, FALSE)</f>
        <v>Post Graduate</v>
      </c>
      <c r="G2479" t="str">
        <f>IFERROR(VLOOKUP(E2479, LookUP_Table!$A$1:$B$4, 2, FALSE), "")</f>
        <v>Post Graduate</v>
      </c>
      <c r="H2479">
        <v>1</v>
      </c>
      <c r="I2479">
        <v>10</v>
      </c>
      <c r="J2479" t="str">
        <f t="shared" si="228"/>
        <v>Smoker</v>
      </c>
      <c r="K2479">
        <v>0</v>
      </c>
      <c r="L2479">
        <v>0</v>
      </c>
      <c r="M2479">
        <v>0</v>
      </c>
      <c r="N2479">
        <v>0</v>
      </c>
      <c r="O2479">
        <v>240</v>
      </c>
      <c r="P2479" t="str">
        <f t="shared" si="229"/>
        <v>Normal</v>
      </c>
      <c r="Q2479">
        <v>112</v>
      </c>
      <c r="R2479">
        <v>83</v>
      </c>
      <c r="S2479">
        <v>24.1</v>
      </c>
      <c r="T2479" t="str">
        <f t="shared" si="230"/>
        <v>Normal</v>
      </c>
      <c r="U2479">
        <v>75</v>
      </c>
      <c r="V2479">
        <v>77</v>
      </c>
      <c r="W2479" t="str">
        <f t="shared" si="233"/>
        <v>Normal</v>
      </c>
      <c r="X2479">
        <v>0</v>
      </c>
    </row>
    <row r="2480" spans="1:24" ht="14.5" thickBot="1" x14ac:dyDescent="0.35">
      <c r="A2480">
        <v>0</v>
      </c>
      <c r="B2480" t="str">
        <f t="shared" si="231"/>
        <v>Female</v>
      </c>
      <c r="C2480" s="8">
        <v>51</v>
      </c>
      <c r="D2480" t="str">
        <f t="shared" si="232"/>
        <v>Middle Age</v>
      </c>
      <c r="E2480">
        <v>1</v>
      </c>
      <c r="F2480" t="str">
        <f>HLOOKUP(E2480, LookUP_Table!$A$6:$D$7, 2, FALSE)</f>
        <v>Primary</v>
      </c>
      <c r="G2480" t="str">
        <f>IFERROR(VLOOKUP(E2480, LookUP_Table!$A$1:$B$4, 2, FALSE), "")</f>
        <v>Primary</v>
      </c>
      <c r="H2480">
        <v>0</v>
      </c>
      <c r="I2480">
        <v>0</v>
      </c>
      <c r="J2480" t="str">
        <f t="shared" si="228"/>
        <v>Non-Smoker</v>
      </c>
      <c r="K2480">
        <v>0</v>
      </c>
      <c r="L2480">
        <v>0</v>
      </c>
      <c r="M2480">
        <v>1</v>
      </c>
      <c r="N2480">
        <v>0</v>
      </c>
      <c r="O2480">
        <v>230</v>
      </c>
      <c r="P2480" t="str">
        <f t="shared" si="229"/>
        <v>Normal</v>
      </c>
      <c r="Q2480">
        <v>168.5</v>
      </c>
      <c r="R2480">
        <v>97</v>
      </c>
      <c r="S2480">
        <v>26.36</v>
      </c>
      <c r="T2480" t="str">
        <f t="shared" si="230"/>
        <v>Overweight</v>
      </c>
      <c r="U2480">
        <v>57</v>
      </c>
      <c r="V2480">
        <v>77</v>
      </c>
      <c r="W2480" t="str">
        <f t="shared" si="233"/>
        <v>Normal</v>
      </c>
      <c r="X2480">
        <v>0</v>
      </c>
    </row>
    <row r="2481" spans="1:24" ht="14.5" thickBot="1" x14ac:dyDescent="0.35">
      <c r="A2481">
        <v>1</v>
      </c>
      <c r="B2481" t="str">
        <f t="shared" si="231"/>
        <v>Male</v>
      </c>
      <c r="C2481" s="8">
        <v>51</v>
      </c>
      <c r="D2481" t="str">
        <f t="shared" si="232"/>
        <v>Middle Age</v>
      </c>
      <c r="E2481">
        <v>1</v>
      </c>
      <c r="F2481" t="str">
        <f>HLOOKUP(E2481, LookUP_Table!$A$6:$D$7, 2, FALSE)</f>
        <v>Primary</v>
      </c>
      <c r="G2481" t="str">
        <f>IFERROR(VLOOKUP(E2481, LookUP_Table!$A$1:$B$4, 2, FALSE), "")</f>
        <v>Primary</v>
      </c>
      <c r="H2481">
        <v>1</v>
      </c>
      <c r="I2481">
        <v>9</v>
      </c>
      <c r="J2481" t="str">
        <f t="shared" si="228"/>
        <v>Smoker</v>
      </c>
      <c r="K2481">
        <v>0</v>
      </c>
      <c r="L2481">
        <v>0</v>
      </c>
      <c r="M2481">
        <v>0</v>
      </c>
      <c r="N2481">
        <v>0</v>
      </c>
      <c r="O2481">
        <v>255</v>
      </c>
      <c r="P2481" t="str">
        <f t="shared" si="229"/>
        <v>High</v>
      </c>
      <c r="Q2481">
        <v>115</v>
      </c>
      <c r="R2481">
        <v>67</v>
      </c>
      <c r="S2481">
        <v>26.97</v>
      </c>
      <c r="T2481" t="str">
        <f t="shared" si="230"/>
        <v>Overweight</v>
      </c>
      <c r="U2481">
        <v>83</v>
      </c>
      <c r="V2481">
        <v>58</v>
      </c>
      <c r="W2481" t="str">
        <f t="shared" si="233"/>
        <v>Normal</v>
      </c>
      <c r="X2481">
        <v>0</v>
      </c>
    </row>
    <row r="2482" spans="1:24" ht="14.5" thickBot="1" x14ac:dyDescent="0.35">
      <c r="A2482">
        <v>0</v>
      </c>
      <c r="B2482" t="str">
        <f t="shared" si="231"/>
        <v>Female</v>
      </c>
      <c r="C2482" s="8">
        <v>51</v>
      </c>
      <c r="D2482" t="str">
        <f t="shared" si="232"/>
        <v>Middle Age</v>
      </c>
      <c r="E2482">
        <v>3</v>
      </c>
      <c r="F2482" t="str">
        <f>HLOOKUP(E2482, LookUP_Table!$A$6:$D$7, 2, FALSE)</f>
        <v>Graduate</v>
      </c>
      <c r="G2482" t="str">
        <f>IFERROR(VLOOKUP(E2482, LookUP_Table!$A$1:$B$4, 2, FALSE), "")</f>
        <v>Graduate</v>
      </c>
      <c r="H2482">
        <v>0</v>
      </c>
      <c r="I2482">
        <v>0</v>
      </c>
      <c r="J2482" t="str">
        <f t="shared" si="228"/>
        <v>Non-Smoker</v>
      </c>
      <c r="K2482">
        <v>0</v>
      </c>
      <c r="L2482">
        <v>0</v>
      </c>
      <c r="M2482">
        <v>0</v>
      </c>
      <c r="N2482">
        <v>0</v>
      </c>
      <c r="O2482">
        <v>242</v>
      </c>
      <c r="P2482" t="str">
        <f t="shared" si="229"/>
        <v>High</v>
      </c>
      <c r="Q2482">
        <v>108</v>
      </c>
      <c r="R2482">
        <v>77</v>
      </c>
      <c r="S2482">
        <v>22.91</v>
      </c>
      <c r="T2482" t="str">
        <f t="shared" si="230"/>
        <v>Normal</v>
      </c>
      <c r="U2482">
        <v>68</v>
      </c>
      <c r="V2482">
        <v>80</v>
      </c>
      <c r="W2482" t="str">
        <f t="shared" si="233"/>
        <v>Normal</v>
      </c>
      <c r="X2482">
        <v>0</v>
      </c>
    </row>
    <row r="2483" spans="1:24" ht="14.5" thickBot="1" x14ac:dyDescent="0.35">
      <c r="A2483">
        <v>1</v>
      </c>
      <c r="B2483" t="str">
        <f t="shared" si="231"/>
        <v>Male</v>
      </c>
      <c r="C2483" s="8">
        <v>51</v>
      </c>
      <c r="D2483" t="str">
        <f t="shared" si="232"/>
        <v>Middle Age</v>
      </c>
      <c r="E2483">
        <v>4</v>
      </c>
      <c r="F2483" t="str">
        <f>HLOOKUP(E2483, LookUP_Table!$A$6:$D$7, 2, FALSE)</f>
        <v>Post Graduate</v>
      </c>
      <c r="G2483" t="str">
        <f>IFERROR(VLOOKUP(E2483, LookUP_Table!$A$1:$B$4, 2, FALSE), "")</f>
        <v>Post Graduate</v>
      </c>
      <c r="H2483">
        <v>1</v>
      </c>
      <c r="I2483">
        <v>9</v>
      </c>
      <c r="J2483" t="str">
        <f t="shared" si="228"/>
        <v>Smoker</v>
      </c>
      <c r="K2483">
        <v>0</v>
      </c>
      <c r="L2483">
        <v>0</v>
      </c>
      <c r="M2483">
        <v>1</v>
      </c>
      <c r="N2483">
        <v>0</v>
      </c>
      <c r="O2483">
        <v>251</v>
      </c>
      <c r="P2483" t="str">
        <f t="shared" si="229"/>
        <v>High</v>
      </c>
      <c r="Q2483">
        <v>160</v>
      </c>
      <c r="R2483">
        <v>98</v>
      </c>
      <c r="S2483">
        <v>24.63</v>
      </c>
      <c r="T2483" t="str">
        <f t="shared" si="230"/>
        <v>Normal</v>
      </c>
      <c r="U2483">
        <v>98</v>
      </c>
      <c r="V2483">
        <v>85</v>
      </c>
      <c r="W2483" t="str">
        <f t="shared" si="233"/>
        <v>Normal</v>
      </c>
      <c r="X2483">
        <v>0</v>
      </c>
    </row>
    <row r="2484" spans="1:24" ht="14.5" thickBot="1" x14ac:dyDescent="0.35">
      <c r="A2484">
        <v>0</v>
      </c>
      <c r="B2484" t="str">
        <f t="shared" si="231"/>
        <v>Female</v>
      </c>
      <c r="C2484" s="8">
        <v>51</v>
      </c>
      <c r="D2484" t="str">
        <f t="shared" si="232"/>
        <v>Middle Age</v>
      </c>
      <c r="E2484">
        <v>2</v>
      </c>
      <c r="F2484" t="str">
        <f>HLOOKUP(E2484, LookUP_Table!$A$6:$D$7, 2, FALSE)</f>
        <v>Secondary</v>
      </c>
      <c r="G2484" t="str">
        <f>IFERROR(VLOOKUP(E2484, LookUP_Table!$A$1:$B$4, 2, FALSE), "")</f>
        <v>Secondary</v>
      </c>
      <c r="H2484">
        <v>1</v>
      </c>
      <c r="I2484">
        <v>15</v>
      </c>
      <c r="J2484" t="str">
        <f t="shared" si="228"/>
        <v>Smoker</v>
      </c>
      <c r="K2484">
        <v>0</v>
      </c>
      <c r="L2484">
        <v>0</v>
      </c>
      <c r="M2484">
        <v>0</v>
      </c>
      <c r="N2484">
        <v>0</v>
      </c>
      <c r="O2484">
        <v>220</v>
      </c>
      <c r="P2484" t="str">
        <f t="shared" si="229"/>
        <v>Normal</v>
      </c>
      <c r="Q2484">
        <v>137</v>
      </c>
      <c r="R2484">
        <v>79</v>
      </c>
      <c r="S2484">
        <v>21.66</v>
      </c>
      <c r="T2484" t="str">
        <f t="shared" si="230"/>
        <v>Normal</v>
      </c>
      <c r="U2484">
        <v>80</v>
      </c>
      <c r="V2484">
        <v>74</v>
      </c>
      <c r="W2484" t="str">
        <f t="shared" si="233"/>
        <v>Normal</v>
      </c>
      <c r="X2484">
        <v>0</v>
      </c>
    </row>
    <row r="2485" spans="1:24" ht="14.5" thickBot="1" x14ac:dyDescent="0.35">
      <c r="A2485">
        <v>0</v>
      </c>
      <c r="B2485" t="str">
        <f t="shared" si="231"/>
        <v>Female</v>
      </c>
      <c r="C2485" s="8">
        <v>51</v>
      </c>
      <c r="D2485" t="str">
        <f t="shared" si="232"/>
        <v>Middle Age</v>
      </c>
      <c r="E2485">
        <v>1</v>
      </c>
      <c r="F2485" t="str">
        <f>HLOOKUP(E2485, LookUP_Table!$A$6:$D$7, 2, FALSE)</f>
        <v>Primary</v>
      </c>
      <c r="G2485" t="str">
        <f>IFERROR(VLOOKUP(E2485, LookUP_Table!$A$1:$B$4, 2, FALSE), "")</f>
        <v>Primary</v>
      </c>
      <c r="H2485">
        <v>0</v>
      </c>
      <c r="I2485">
        <v>0</v>
      </c>
      <c r="J2485" t="str">
        <f t="shared" si="228"/>
        <v>Non-Smoker</v>
      </c>
      <c r="K2485">
        <v>0</v>
      </c>
      <c r="L2485">
        <v>0</v>
      </c>
      <c r="M2485">
        <v>1</v>
      </c>
      <c r="N2485">
        <v>0</v>
      </c>
      <c r="O2485">
        <v>190</v>
      </c>
      <c r="P2485" t="str">
        <f t="shared" si="229"/>
        <v>Normal</v>
      </c>
      <c r="Q2485">
        <v>153</v>
      </c>
      <c r="R2485">
        <v>102.5</v>
      </c>
      <c r="S2485">
        <v>39.22</v>
      </c>
      <c r="T2485" t="str">
        <f t="shared" si="230"/>
        <v>Obese</v>
      </c>
      <c r="U2485">
        <v>100</v>
      </c>
      <c r="V2485">
        <v>69</v>
      </c>
      <c r="W2485" t="str">
        <f t="shared" si="233"/>
        <v>Normal</v>
      </c>
      <c r="X2485">
        <v>0</v>
      </c>
    </row>
    <row r="2486" spans="1:24" ht="14.5" thickBot="1" x14ac:dyDescent="0.35">
      <c r="A2486">
        <v>0</v>
      </c>
      <c r="B2486" t="str">
        <f t="shared" si="231"/>
        <v>Female</v>
      </c>
      <c r="C2486" s="8">
        <v>51</v>
      </c>
      <c r="D2486" t="str">
        <f t="shared" si="232"/>
        <v>Middle Age</v>
      </c>
      <c r="E2486">
        <v>2</v>
      </c>
      <c r="F2486" t="str">
        <f>HLOOKUP(E2486, LookUP_Table!$A$6:$D$7, 2, FALSE)</f>
        <v>Secondary</v>
      </c>
      <c r="G2486" t="str">
        <f>IFERROR(VLOOKUP(E2486, LookUP_Table!$A$1:$B$4, 2, FALSE), "")</f>
        <v>Secondary</v>
      </c>
      <c r="H2486">
        <v>1</v>
      </c>
      <c r="I2486">
        <v>5</v>
      </c>
      <c r="J2486" t="str">
        <f t="shared" si="228"/>
        <v>Smoker</v>
      </c>
      <c r="K2486">
        <v>0</v>
      </c>
      <c r="L2486">
        <v>0</v>
      </c>
      <c r="M2486">
        <v>0</v>
      </c>
      <c r="N2486">
        <v>0</v>
      </c>
      <c r="O2486">
        <v>315</v>
      </c>
      <c r="P2486" t="str">
        <f t="shared" si="229"/>
        <v>High</v>
      </c>
      <c r="Q2486">
        <v>119</v>
      </c>
      <c r="R2486">
        <v>75</v>
      </c>
      <c r="S2486">
        <v>25.79</v>
      </c>
      <c r="T2486" t="str">
        <f t="shared" si="230"/>
        <v>Overweight</v>
      </c>
      <c r="U2486">
        <v>75</v>
      </c>
      <c r="V2486">
        <v>55</v>
      </c>
      <c r="W2486" t="str">
        <f t="shared" si="233"/>
        <v>Normal</v>
      </c>
      <c r="X2486">
        <v>0</v>
      </c>
    </row>
    <row r="2487" spans="1:24" ht="14.5" thickBot="1" x14ac:dyDescent="0.35">
      <c r="A2487">
        <v>0</v>
      </c>
      <c r="B2487" t="str">
        <f t="shared" si="231"/>
        <v>Female</v>
      </c>
      <c r="C2487" s="8">
        <v>51</v>
      </c>
      <c r="D2487" t="str">
        <f t="shared" si="232"/>
        <v>Middle Age</v>
      </c>
      <c r="E2487">
        <v>2</v>
      </c>
      <c r="F2487" t="str">
        <f>HLOOKUP(E2487, LookUP_Table!$A$6:$D$7, 2, FALSE)</f>
        <v>Secondary</v>
      </c>
      <c r="G2487" t="str">
        <f>IFERROR(VLOOKUP(E2487, LookUP_Table!$A$1:$B$4, 2, FALSE), "")</f>
        <v>Secondary</v>
      </c>
      <c r="H2487">
        <v>0</v>
      </c>
      <c r="I2487">
        <v>0</v>
      </c>
      <c r="J2487" t="str">
        <f t="shared" si="228"/>
        <v>Non-Smoker</v>
      </c>
      <c r="K2487">
        <v>0</v>
      </c>
      <c r="L2487">
        <v>0</v>
      </c>
      <c r="M2487">
        <v>0</v>
      </c>
      <c r="N2487">
        <v>0</v>
      </c>
      <c r="O2487">
        <v>295</v>
      </c>
      <c r="P2487" t="str">
        <f t="shared" si="229"/>
        <v>High</v>
      </c>
      <c r="Q2487">
        <v>131</v>
      </c>
      <c r="R2487">
        <v>87</v>
      </c>
      <c r="S2487">
        <v>24.41</v>
      </c>
      <c r="T2487" t="str">
        <f t="shared" si="230"/>
        <v>Normal</v>
      </c>
      <c r="U2487">
        <v>85</v>
      </c>
      <c r="V2487">
        <v>77</v>
      </c>
      <c r="W2487" t="str">
        <f t="shared" si="233"/>
        <v>Normal</v>
      </c>
      <c r="X2487">
        <v>0</v>
      </c>
    </row>
    <row r="2488" spans="1:24" ht="14.5" thickBot="1" x14ac:dyDescent="0.35">
      <c r="A2488">
        <v>1</v>
      </c>
      <c r="B2488" t="str">
        <f t="shared" si="231"/>
        <v>Male</v>
      </c>
      <c r="C2488" s="8">
        <v>51</v>
      </c>
      <c r="D2488" t="str">
        <f t="shared" si="232"/>
        <v>Middle Age</v>
      </c>
      <c r="E2488">
        <v>1</v>
      </c>
      <c r="F2488" t="str">
        <f>HLOOKUP(E2488, LookUP_Table!$A$6:$D$7, 2, FALSE)</f>
        <v>Primary</v>
      </c>
      <c r="G2488" t="str">
        <f>IFERROR(VLOOKUP(E2488, LookUP_Table!$A$1:$B$4, 2, FALSE), "")</f>
        <v>Primary</v>
      </c>
      <c r="H2488">
        <v>1</v>
      </c>
      <c r="I2488">
        <v>40</v>
      </c>
      <c r="J2488" t="str">
        <f t="shared" si="228"/>
        <v>Smoker</v>
      </c>
      <c r="K2488">
        <v>0</v>
      </c>
      <c r="L2488">
        <v>0</v>
      </c>
      <c r="M2488">
        <v>1</v>
      </c>
      <c r="N2488">
        <v>0</v>
      </c>
      <c r="O2488">
        <v>227</v>
      </c>
      <c r="P2488" t="str">
        <f t="shared" si="229"/>
        <v>Normal</v>
      </c>
      <c r="Q2488">
        <v>162.5</v>
      </c>
      <c r="R2488">
        <v>104</v>
      </c>
      <c r="S2488">
        <v>34.97</v>
      </c>
      <c r="T2488" t="str">
        <f t="shared" si="230"/>
        <v>Obese</v>
      </c>
      <c r="U2488">
        <v>90</v>
      </c>
      <c r="V2488">
        <v>65</v>
      </c>
      <c r="W2488" t="str">
        <f t="shared" si="233"/>
        <v>Normal</v>
      </c>
      <c r="X2488">
        <v>1</v>
      </c>
    </row>
    <row r="2489" spans="1:24" ht="14.5" thickBot="1" x14ac:dyDescent="0.35">
      <c r="A2489">
        <v>0</v>
      </c>
      <c r="B2489" t="str">
        <f t="shared" si="231"/>
        <v>Female</v>
      </c>
      <c r="C2489" s="8">
        <v>51</v>
      </c>
      <c r="D2489" t="str">
        <f t="shared" si="232"/>
        <v>Middle Age</v>
      </c>
      <c r="E2489">
        <v>3</v>
      </c>
      <c r="F2489" t="str">
        <f>HLOOKUP(E2489, LookUP_Table!$A$6:$D$7, 2, FALSE)</f>
        <v>Graduate</v>
      </c>
      <c r="G2489" t="str">
        <f>IFERROR(VLOOKUP(E2489, LookUP_Table!$A$1:$B$4, 2, FALSE), "")</f>
        <v>Graduate</v>
      </c>
      <c r="H2489">
        <v>1</v>
      </c>
      <c r="I2489">
        <v>15</v>
      </c>
      <c r="J2489" t="str">
        <f t="shared" si="228"/>
        <v>Smoker</v>
      </c>
      <c r="K2489">
        <v>0</v>
      </c>
      <c r="L2489">
        <v>0</v>
      </c>
      <c r="M2489">
        <v>1</v>
      </c>
      <c r="N2489">
        <v>0</v>
      </c>
      <c r="O2489">
        <v>275</v>
      </c>
      <c r="P2489" t="str">
        <f t="shared" si="229"/>
        <v>High</v>
      </c>
      <c r="Q2489">
        <v>150</v>
      </c>
      <c r="R2489">
        <v>99</v>
      </c>
      <c r="S2489">
        <v>23.17</v>
      </c>
      <c r="T2489" t="str">
        <f t="shared" si="230"/>
        <v>Normal</v>
      </c>
      <c r="U2489">
        <v>75</v>
      </c>
      <c r="V2489">
        <v>65</v>
      </c>
      <c r="W2489" t="str">
        <f t="shared" si="233"/>
        <v>Normal</v>
      </c>
      <c r="X2489">
        <v>0</v>
      </c>
    </row>
    <row r="2490" spans="1:24" ht="14.5" thickBot="1" x14ac:dyDescent="0.35">
      <c r="A2490">
        <v>1</v>
      </c>
      <c r="B2490" t="str">
        <f t="shared" si="231"/>
        <v>Male</v>
      </c>
      <c r="C2490" s="8">
        <v>51</v>
      </c>
      <c r="D2490" t="str">
        <f t="shared" si="232"/>
        <v>Middle Age</v>
      </c>
      <c r="E2490">
        <v>1</v>
      </c>
      <c r="F2490" t="str">
        <f>HLOOKUP(E2490, LookUP_Table!$A$6:$D$7, 2, FALSE)</f>
        <v>Primary</v>
      </c>
      <c r="G2490" t="str">
        <f>IFERROR(VLOOKUP(E2490, LookUP_Table!$A$1:$B$4, 2, FALSE), "")</f>
        <v>Primary</v>
      </c>
      <c r="H2490">
        <v>0</v>
      </c>
      <c r="I2490">
        <v>0</v>
      </c>
      <c r="J2490" t="str">
        <f t="shared" si="228"/>
        <v>Non-Smoker</v>
      </c>
      <c r="K2490">
        <v>0</v>
      </c>
      <c r="L2490">
        <v>0</v>
      </c>
      <c r="M2490">
        <v>0</v>
      </c>
      <c r="N2490">
        <v>0</v>
      </c>
      <c r="O2490">
        <v>219</v>
      </c>
      <c r="P2490" t="str">
        <f t="shared" si="229"/>
        <v>Normal</v>
      </c>
      <c r="Q2490">
        <v>125</v>
      </c>
      <c r="R2490">
        <v>84</v>
      </c>
      <c r="S2490">
        <v>20.12</v>
      </c>
      <c r="T2490" t="str">
        <f t="shared" si="230"/>
        <v>Normal</v>
      </c>
      <c r="U2490">
        <v>72</v>
      </c>
      <c r="V2490">
        <v>76</v>
      </c>
      <c r="W2490" t="str">
        <f t="shared" si="233"/>
        <v>Normal</v>
      </c>
      <c r="X2490">
        <v>0</v>
      </c>
    </row>
    <row r="2491" spans="1:24" ht="14.5" thickBot="1" x14ac:dyDescent="0.35">
      <c r="A2491">
        <v>0</v>
      </c>
      <c r="B2491" t="str">
        <f t="shared" si="231"/>
        <v>Female</v>
      </c>
      <c r="C2491" s="8">
        <v>51</v>
      </c>
      <c r="D2491" t="str">
        <f t="shared" si="232"/>
        <v>Middle Age</v>
      </c>
      <c r="E2491">
        <v>2</v>
      </c>
      <c r="F2491" t="str">
        <f>HLOOKUP(E2491, LookUP_Table!$A$6:$D$7, 2, FALSE)</f>
        <v>Secondary</v>
      </c>
      <c r="G2491" t="str">
        <f>IFERROR(VLOOKUP(E2491, LookUP_Table!$A$1:$B$4, 2, FALSE), "")</f>
        <v>Secondary</v>
      </c>
      <c r="H2491">
        <v>0</v>
      </c>
      <c r="I2491">
        <v>0</v>
      </c>
      <c r="J2491" t="str">
        <f t="shared" si="228"/>
        <v>Non-Smoker</v>
      </c>
      <c r="K2491">
        <v>0</v>
      </c>
      <c r="L2491">
        <v>0</v>
      </c>
      <c r="M2491">
        <v>1</v>
      </c>
      <c r="N2491">
        <v>0</v>
      </c>
      <c r="O2491">
        <v>346</v>
      </c>
      <c r="P2491" t="str">
        <f t="shared" si="229"/>
        <v>High</v>
      </c>
      <c r="Q2491">
        <v>152</v>
      </c>
      <c r="R2491">
        <v>96.5</v>
      </c>
      <c r="S2491">
        <v>25.29</v>
      </c>
      <c r="T2491" t="str">
        <f t="shared" si="230"/>
        <v>Overweight</v>
      </c>
      <c r="U2491">
        <v>102</v>
      </c>
      <c r="V2491">
        <v>79</v>
      </c>
      <c r="W2491" t="str">
        <f t="shared" si="233"/>
        <v>Normal</v>
      </c>
      <c r="X2491">
        <v>0</v>
      </c>
    </row>
    <row r="2492" spans="1:24" ht="14.5" thickBot="1" x14ac:dyDescent="0.35">
      <c r="A2492">
        <v>1</v>
      </c>
      <c r="B2492" t="str">
        <f t="shared" si="231"/>
        <v>Male</v>
      </c>
      <c r="C2492" s="8">
        <v>51</v>
      </c>
      <c r="D2492" t="str">
        <f t="shared" si="232"/>
        <v>Middle Age</v>
      </c>
      <c r="E2492">
        <v>4</v>
      </c>
      <c r="F2492" t="str">
        <f>HLOOKUP(E2492, LookUP_Table!$A$6:$D$7, 2, FALSE)</f>
        <v>Post Graduate</v>
      </c>
      <c r="G2492" t="str">
        <f>IFERROR(VLOOKUP(E2492, LookUP_Table!$A$1:$B$4, 2, FALSE), "")</f>
        <v>Post Graduate</v>
      </c>
      <c r="H2492">
        <v>0</v>
      </c>
      <c r="I2492">
        <v>0</v>
      </c>
      <c r="J2492" t="str">
        <f t="shared" si="228"/>
        <v>Non-Smoker</v>
      </c>
      <c r="K2492">
        <v>0</v>
      </c>
      <c r="L2492">
        <v>0</v>
      </c>
      <c r="M2492">
        <v>0</v>
      </c>
      <c r="N2492">
        <v>0</v>
      </c>
      <c r="O2492">
        <v>199</v>
      </c>
      <c r="P2492" t="str">
        <f t="shared" si="229"/>
        <v>Normal</v>
      </c>
      <c r="Q2492">
        <v>113</v>
      </c>
      <c r="R2492">
        <v>68</v>
      </c>
      <c r="S2492">
        <v>22.46</v>
      </c>
      <c r="T2492" t="str">
        <f t="shared" si="230"/>
        <v>Normal</v>
      </c>
      <c r="U2492">
        <v>58</v>
      </c>
      <c r="V2492">
        <v>68</v>
      </c>
      <c r="W2492" t="str">
        <f t="shared" si="233"/>
        <v>Normal</v>
      </c>
      <c r="X2492">
        <v>0</v>
      </c>
    </row>
    <row r="2493" spans="1:24" ht="14.5" thickBot="1" x14ac:dyDescent="0.35">
      <c r="A2493">
        <v>0</v>
      </c>
      <c r="B2493" t="str">
        <f t="shared" si="231"/>
        <v>Female</v>
      </c>
      <c r="C2493" s="8">
        <v>51</v>
      </c>
      <c r="D2493" t="str">
        <f t="shared" si="232"/>
        <v>Middle Age</v>
      </c>
      <c r="E2493">
        <v>4</v>
      </c>
      <c r="F2493" t="str">
        <f>HLOOKUP(E2493, LookUP_Table!$A$6:$D$7, 2, FALSE)</f>
        <v>Post Graduate</v>
      </c>
      <c r="G2493" t="str">
        <f>IFERROR(VLOOKUP(E2493, LookUP_Table!$A$1:$B$4, 2, FALSE), "")</f>
        <v>Post Graduate</v>
      </c>
      <c r="H2493">
        <v>0</v>
      </c>
      <c r="I2493">
        <v>0</v>
      </c>
      <c r="J2493" t="str">
        <f t="shared" si="228"/>
        <v>Non-Smoker</v>
      </c>
      <c r="K2493">
        <v>0</v>
      </c>
      <c r="L2493">
        <v>0</v>
      </c>
      <c r="M2493">
        <v>0</v>
      </c>
      <c r="N2493">
        <v>0</v>
      </c>
      <c r="O2493">
        <v>239</v>
      </c>
      <c r="P2493" t="str">
        <f t="shared" si="229"/>
        <v>Normal</v>
      </c>
      <c r="Q2493">
        <v>110</v>
      </c>
      <c r="R2493">
        <v>73</v>
      </c>
      <c r="S2493">
        <v>22.62</v>
      </c>
      <c r="T2493" t="str">
        <f t="shared" si="230"/>
        <v>Normal</v>
      </c>
      <c r="U2493">
        <v>87</v>
      </c>
      <c r="V2493">
        <v>81.96365524402907</v>
      </c>
      <c r="W2493" t="str">
        <f t="shared" si="233"/>
        <v>Normal</v>
      </c>
      <c r="X2493">
        <v>0</v>
      </c>
    </row>
    <row r="2494" spans="1:24" ht="14.5" thickBot="1" x14ac:dyDescent="0.35">
      <c r="A2494">
        <v>0</v>
      </c>
      <c r="B2494" t="str">
        <f t="shared" si="231"/>
        <v>Female</v>
      </c>
      <c r="C2494" s="8">
        <v>51</v>
      </c>
      <c r="D2494" t="str">
        <f t="shared" si="232"/>
        <v>Middle Age</v>
      </c>
      <c r="E2494">
        <v>3</v>
      </c>
      <c r="F2494" t="str">
        <f>HLOOKUP(E2494, LookUP_Table!$A$6:$D$7, 2, FALSE)</f>
        <v>Graduate</v>
      </c>
      <c r="G2494" t="str">
        <f>IFERROR(VLOOKUP(E2494, LookUP_Table!$A$1:$B$4, 2, FALSE), "")</f>
        <v>Graduate</v>
      </c>
      <c r="H2494">
        <v>1</v>
      </c>
      <c r="I2494">
        <v>43</v>
      </c>
      <c r="J2494" t="str">
        <f t="shared" si="228"/>
        <v>Smoker</v>
      </c>
      <c r="K2494">
        <v>0</v>
      </c>
      <c r="L2494">
        <v>0</v>
      </c>
      <c r="M2494">
        <v>0</v>
      </c>
      <c r="N2494">
        <v>0</v>
      </c>
      <c r="O2494">
        <v>236.69952267303103</v>
      </c>
      <c r="P2494" t="str">
        <f t="shared" si="229"/>
        <v>Normal</v>
      </c>
      <c r="Q2494">
        <v>122</v>
      </c>
      <c r="R2494">
        <v>76</v>
      </c>
      <c r="S2494">
        <v>25.73</v>
      </c>
      <c r="T2494" t="str">
        <f t="shared" si="230"/>
        <v>Overweight</v>
      </c>
      <c r="U2494">
        <v>80</v>
      </c>
      <c r="V2494">
        <v>81.96365524402907</v>
      </c>
      <c r="W2494" t="str">
        <f t="shared" si="233"/>
        <v>Normal</v>
      </c>
      <c r="X2494">
        <v>0</v>
      </c>
    </row>
    <row r="2495" spans="1:24" ht="14.5" thickBot="1" x14ac:dyDescent="0.35">
      <c r="A2495">
        <v>0</v>
      </c>
      <c r="B2495" t="str">
        <f t="shared" si="231"/>
        <v>Female</v>
      </c>
      <c r="C2495" s="8">
        <v>51</v>
      </c>
      <c r="D2495" t="str">
        <f t="shared" si="232"/>
        <v>Middle Age</v>
      </c>
      <c r="E2495">
        <v>3</v>
      </c>
      <c r="F2495" t="str">
        <f>HLOOKUP(E2495, LookUP_Table!$A$6:$D$7, 2, FALSE)</f>
        <v>Graduate</v>
      </c>
      <c r="G2495" t="str">
        <f>IFERROR(VLOOKUP(E2495, LookUP_Table!$A$1:$B$4, 2, FALSE), "")</f>
        <v>Graduate</v>
      </c>
      <c r="H2495">
        <v>0</v>
      </c>
      <c r="I2495">
        <v>0</v>
      </c>
      <c r="J2495" t="str">
        <f t="shared" si="228"/>
        <v>Non-Smoker</v>
      </c>
      <c r="K2495">
        <v>0</v>
      </c>
      <c r="L2495">
        <v>0</v>
      </c>
      <c r="M2495">
        <v>0</v>
      </c>
      <c r="N2495">
        <v>0</v>
      </c>
      <c r="O2495">
        <v>264</v>
      </c>
      <c r="P2495" t="str">
        <f t="shared" si="229"/>
        <v>High</v>
      </c>
      <c r="Q2495">
        <v>135</v>
      </c>
      <c r="R2495">
        <v>83</v>
      </c>
      <c r="S2495">
        <v>26.68</v>
      </c>
      <c r="T2495" t="str">
        <f t="shared" si="230"/>
        <v>Overweight</v>
      </c>
      <c r="U2495">
        <v>60</v>
      </c>
      <c r="V2495">
        <v>74</v>
      </c>
      <c r="W2495" t="str">
        <f t="shared" si="233"/>
        <v>Normal</v>
      </c>
      <c r="X2495">
        <v>0</v>
      </c>
    </row>
    <row r="2496" spans="1:24" ht="14.5" thickBot="1" x14ac:dyDescent="0.35">
      <c r="A2496">
        <v>1</v>
      </c>
      <c r="B2496" t="str">
        <f t="shared" si="231"/>
        <v>Male</v>
      </c>
      <c r="C2496" s="8">
        <v>51</v>
      </c>
      <c r="D2496" t="str">
        <f t="shared" si="232"/>
        <v>Middle Age</v>
      </c>
      <c r="E2496">
        <v>1</v>
      </c>
      <c r="F2496" t="str">
        <f>HLOOKUP(E2496, LookUP_Table!$A$6:$D$7, 2, FALSE)</f>
        <v>Primary</v>
      </c>
      <c r="G2496" t="str">
        <f>IFERROR(VLOOKUP(E2496, LookUP_Table!$A$1:$B$4, 2, FALSE), "")</f>
        <v>Primary</v>
      </c>
      <c r="H2496">
        <v>1</v>
      </c>
      <c r="I2496">
        <v>30</v>
      </c>
      <c r="J2496" t="str">
        <f t="shared" si="228"/>
        <v>Smoker</v>
      </c>
      <c r="K2496">
        <v>0</v>
      </c>
      <c r="L2496">
        <v>0</v>
      </c>
      <c r="M2496">
        <v>0</v>
      </c>
      <c r="N2496">
        <v>0</v>
      </c>
      <c r="O2496">
        <v>241</v>
      </c>
      <c r="P2496" t="str">
        <f t="shared" si="229"/>
        <v>High</v>
      </c>
      <c r="Q2496">
        <v>118</v>
      </c>
      <c r="R2496">
        <v>79</v>
      </c>
      <c r="S2496">
        <v>20.09</v>
      </c>
      <c r="T2496" t="str">
        <f t="shared" si="230"/>
        <v>Normal</v>
      </c>
      <c r="U2496">
        <v>70</v>
      </c>
      <c r="V2496">
        <v>56</v>
      </c>
      <c r="W2496" t="str">
        <f t="shared" si="233"/>
        <v>Normal</v>
      </c>
      <c r="X2496">
        <v>0</v>
      </c>
    </row>
    <row r="2497" spans="1:24" ht="14.5" thickBot="1" x14ac:dyDescent="0.35">
      <c r="A2497">
        <v>1</v>
      </c>
      <c r="B2497" t="str">
        <f t="shared" si="231"/>
        <v>Male</v>
      </c>
      <c r="C2497" s="8">
        <v>51</v>
      </c>
      <c r="D2497" t="str">
        <f t="shared" si="232"/>
        <v>Middle Age</v>
      </c>
      <c r="E2497">
        <v>1</v>
      </c>
      <c r="F2497" t="str">
        <f>HLOOKUP(E2497, LookUP_Table!$A$6:$D$7, 2, FALSE)</f>
        <v>Primary</v>
      </c>
      <c r="G2497" t="str">
        <f>IFERROR(VLOOKUP(E2497, LookUP_Table!$A$1:$B$4, 2, FALSE), "")</f>
        <v>Primary</v>
      </c>
      <c r="H2497">
        <v>0</v>
      </c>
      <c r="I2497">
        <v>0</v>
      </c>
      <c r="J2497" t="str">
        <f t="shared" si="228"/>
        <v>Non-Smoker</v>
      </c>
      <c r="K2497">
        <v>0</v>
      </c>
      <c r="L2497">
        <v>0</v>
      </c>
      <c r="M2497">
        <v>1</v>
      </c>
      <c r="N2497">
        <v>0</v>
      </c>
      <c r="O2497">
        <v>220</v>
      </c>
      <c r="P2497" t="str">
        <f t="shared" si="229"/>
        <v>Normal</v>
      </c>
      <c r="Q2497">
        <v>151</v>
      </c>
      <c r="R2497">
        <v>87.5</v>
      </c>
      <c r="S2497">
        <v>22.01</v>
      </c>
      <c r="T2497" t="str">
        <f t="shared" si="230"/>
        <v>Normal</v>
      </c>
      <c r="U2497">
        <v>80</v>
      </c>
      <c r="V2497">
        <v>86</v>
      </c>
      <c r="W2497" t="str">
        <f t="shared" si="233"/>
        <v>Normal</v>
      </c>
      <c r="X2497">
        <v>0</v>
      </c>
    </row>
    <row r="2498" spans="1:24" ht="14.5" thickBot="1" x14ac:dyDescent="0.35">
      <c r="A2498">
        <v>0</v>
      </c>
      <c r="B2498" t="str">
        <f t="shared" si="231"/>
        <v>Female</v>
      </c>
      <c r="C2498" s="8">
        <v>51</v>
      </c>
      <c r="D2498" t="str">
        <f t="shared" si="232"/>
        <v>Middle Age</v>
      </c>
      <c r="E2498">
        <v>2</v>
      </c>
      <c r="F2498" t="str">
        <f>HLOOKUP(E2498, LookUP_Table!$A$6:$D$7, 2, FALSE)</f>
        <v>Secondary</v>
      </c>
      <c r="G2498" t="str">
        <f>IFERROR(VLOOKUP(E2498, LookUP_Table!$A$1:$B$4, 2, FALSE), "")</f>
        <v>Secondary</v>
      </c>
      <c r="H2498">
        <v>0</v>
      </c>
      <c r="I2498">
        <v>0</v>
      </c>
      <c r="J2498" t="str">
        <f t="shared" ref="J2498:J2561" si="234">IF(I2498&gt;0,"Smoker","Non-Smoker")</f>
        <v>Non-Smoker</v>
      </c>
      <c r="K2498">
        <v>0</v>
      </c>
      <c r="L2498">
        <v>0</v>
      </c>
      <c r="M2498">
        <v>1</v>
      </c>
      <c r="N2498">
        <v>0</v>
      </c>
      <c r="O2498">
        <v>238</v>
      </c>
      <c r="P2498" t="str">
        <f t="shared" ref="P2498:P2561" si="235">IF(O2498&gt;240,"High","Normal")</f>
        <v>Normal</v>
      </c>
      <c r="Q2498">
        <v>123</v>
      </c>
      <c r="R2498">
        <v>80</v>
      </c>
      <c r="S2498">
        <v>22.19</v>
      </c>
      <c r="T2498" t="str">
        <f t="shared" ref="T2498:T2561" si="236">IF(S2498&lt;18.5,"Underweight",
IF(S2498&lt;25,"Normal",
IF(S2498&lt;30,"Overweight","Obese")))</f>
        <v>Normal</v>
      </c>
      <c r="U2498">
        <v>80</v>
      </c>
      <c r="V2498">
        <v>100</v>
      </c>
      <c r="W2498" t="str">
        <f t="shared" si="233"/>
        <v>Prediabetes</v>
      </c>
      <c r="X2498">
        <v>0</v>
      </c>
    </row>
    <row r="2499" spans="1:24" ht="14.5" thickBot="1" x14ac:dyDescent="0.35">
      <c r="A2499">
        <v>1</v>
      </c>
      <c r="B2499" t="str">
        <f t="shared" ref="B2499:B2562" si="237">IF(A2499=0,"Female","Male")</f>
        <v>Male</v>
      </c>
      <c r="C2499" s="8">
        <v>51</v>
      </c>
      <c r="D2499" t="str">
        <f t="shared" ref="D2499:D2562" si="238">IF(C2499&lt;40,"Young",
IF(C2499&lt;55,"Middle Age","Senior"))</f>
        <v>Middle Age</v>
      </c>
      <c r="E2499">
        <v>1</v>
      </c>
      <c r="F2499" t="str">
        <f>HLOOKUP(E2499, LookUP_Table!$A$6:$D$7, 2, FALSE)</f>
        <v>Primary</v>
      </c>
      <c r="G2499" t="str">
        <f>IFERROR(VLOOKUP(E2499, LookUP_Table!$A$1:$B$4, 2, FALSE), "")</f>
        <v>Primary</v>
      </c>
      <c r="H2499">
        <v>1</v>
      </c>
      <c r="I2499">
        <v>20</v>
      </c>
      <c r="J2499" t="str">
        <f t="shared" si="234"/>
        <v>Smoker</v>
      </c>
      <c r="K2499">
        <v>0</v>
      </c>
      <c r="L2499">
        <v>0</v>
      </c>
      <c r="M2499">
        <v>0</v>
      </c>
      <c r="N2499">
        <v>0</v>
      </c>
      <c r="O2499">
        <v>195</v>
      </c>
      <c r="P2499" t="str">
        <f t="shared" si="235"/>
        <v>Normal</v>
      </c>
      <c r="Q2499">
        <v>122</v>
      </c>
      <c r="R2499">
        <v>72</v>
      </c>
      <c r="S2499">
        <v>21.51</v>
      </c>
      <c r="T2499" t="str">
        <f t="shared" si="236"/>
        <v>Normal</v>
      </c>
      <c r="U2499">
        <v>82</v>
      </c>
      <c r="V2499">
        <v>64</v>
      </c>
      <c r="W2499" t="str">
        <f t="shared" ref="W2499:W2562" si="239">IF(V2499 &lt; 100, "Normal", IF(V2499 &lt;= 125, "Prediabetes", "Diabetes"))</f>
        <v>Normal</v>
      </c>
      <c r="X2499">
        <v>1</v>
      </c>
    </row>
    <row r="2500" spans="1:24" ht="14.5" thickBot="1" x14ac:dyDescent="0.35">
      <c r="A2500">
        <v>1</v>
      </c>
      <c r="B2500" t="str">
        <f t="shared" si="237"/>
        <v>Male</v>
      </c>
      <c r="C2500" s="8">
        <v>51</v>
      </c>
      <c r="D2500" t="str">
        <f t="shared" si="238"/>
        <v>Middle Age</v>
      </c>
      <c r="E2500">
        <v>3</v>
      </c>
      <c r="F2500" t="str">
        <f>HLOOKUP(E2500, LookUP_Table!$A$6:$D$7, 2, FALSE)</f>
        <v>Graduate</v>
      </c>
      <c r="G2500" t="str">
        <f>IFERROR(VLOOKUP(E2500, LookUP_Table!$A$1:$B$4, 2, FALSE), "")</f>
        <v>Graduate</v>
      </c>
      <c r="H2500">
        <v>0</v>
      </c>
      <c r="I2500">
        <v>0</v>
      </c>
      <c r="J2500" t="str">
        <f t="shared" si="234"/>
        <v>Non-Smoker</v>
      </c>
      <c r="K2500">
        <v>0</v>
      </c>
      <c r="L2500">
        <v>0</v>
      </c>
      <c r="M2500">
        <v>1</v>
      </c>
      <c r="N2500">
        <v>0</v>
      </c>
      <c r="O2500">
        <v>268</v>
      </c>
      <c r="P2500" t="str">
        <f t="shared" si="235"/>
        <v>High</v>
      </c>
      <c r="Q2500">
        <v>206</v>
      </c>
      <c r="R2500">
        <v>116</v>
      </c>
      <c r="S2500">
        <v>26.35</v>
      </c>
      <c r="T2500" t="str">
        <f t="shared" si="236"/>
        <v>Overweight</v>
      </c>
      <c r="U2500">
        <v>98</v>
      </c>
      <c r="V2500">
        <v>70</v>
      </c>
      <c r="W2500" t="str">
        <f t="shared" si="239"/>
        <v>Normal</v>
      </c>
      <c r="X2500">
        <v>1</v>
      </c>
    </row>
    <row r="2501" spans="1:24" ht="14.5" thickBot="1" x14ac:dyDescent="0.35">
      <c r="A2501">
        <v>1</v>
      </c>
      <c r="B2501" t="str">
        <f t="shared" si="237"/>
        <v>Male</v>
      </c>
      <c r="C2501" s="8">
        <v>51</v>
      </c>
      <c r="D2501" t="str">
        <f t="shared" si="238"/>
        <v>Middle Age</v>
      </c>
      <c r="E2501">
        <v>2</v>
      </c>
      <c r="F2501" t="str">
        <f>HLOOKUP(E2501, LookUP_Table!$A$6:$D$7, 2, FALSE)</f>
        <v>Secondary</v>
      </c>
      <c r="G2501" t="str">
        <f>IFERROR(VLOOKUP(E2501, LookUP_Table!$A$1:$B$4, 2, FALSE), "")</f>
        <v>Secondary</v>
      </c>
      <c r="H2501">
        <v>1</v>
      </c>
      <c r="I2501">
        <v>15</v>
      </c>
      <c r="J2501" t="str">
        <f t="shared" si="234"/>
        <v>Smoker</v>
      </c>
      <c r="K2501">
        <v>0</v>
      </c>
      <c r="L2501">
        <v>0</v>
      </c>
      <c r="M2501">
        <v>0</v>
      </c>
      <c r="N2501">
        <v>0</v>
      </c>
      <c r="O2501">
        <v>267</v>
      </c>
      <c r="P2501" t="str">
        <f t="shared" si="235"/>
        <v>High</v>
      </c>
      <c r="Q2501">
        <v>129.5</v>
      </c>
      <c r="R2501">
        <v>80</v>
      </c>
      <c r="S2501">
        <v>25.98</v>
      </c>
      <c r="T2501" t="str">
        <f t="shared" si="236"/>
        <v>Overweight</v>
      </c>
      <c r="U2501">
        <v>70</v>
      </c>
      <c r="V2501">
        <v>79</v>
      </c>
      <c r="W2501" t="str">
        <f t="shared" si="239"/>
        <v>Normal</v>
      </c>
      <c r="X2501">
        <v>0</v>
      </c>
    </row>
    <row r="2502" spans="1:24" ht="14.5" thickBot="1" x14ac:dyDescent="0.35">
      <c r="A2502">
        <v>0</v>
      </c>
      <c r="B2502" t="str">
        <f t="shared" si="237"/>
        <v>Female</v>
      </c>
      <c r="C2502" s="8">
        <v>51</v>
      </c>
      <c r="D2502" t="str">
        <f t="shared" si="238"/>
        <v>Middle Age</v>
      </c>
      <c r="E2502">
        <v>1</v>
      </c>
      <c r="F2502" t="str">
        <f>HLOOKUP(E2502, LookUP_Table!$A$6:$D$7, 2, FALSE)</f>
        <v>Primary</v>
      </c>
      <c r="G2502" t="str">
        <f>IFERROR(VLOOKUP(E2502, LookUP_Table!$A$1:$B$4, 2, FALSE), "")</f>
        <v>Primary</v>
      </c>
      <c r="H2502">
        <v>1</v>
      </c>
      <c r="I2502">
        <v>9</v>
      </c>
      <c r="J2502" t="str">
        <f t="shared" si="234"/>
        <v>Smoker</v>
      </c>
      <c r="K2502">
        <v>0</v>
      </c>
      <c r="L2502">
        <v>0</v>
      </c>
      <c r="M2502">
        <v>0</v>
      </c>
      <c r="N2502">
        <v>0</v>
      </c>
      <c r="O2502">
        <v>340</v>
      </c>
      <c r="P2502" t="str">
        <f t="shared" si="235"/>
        <v>High</v>
      </c>
      <c r="Q2502">
        <v>152</v>
      </c>
      <c r="R2502">
        <v>76</v>
      </c>
      <c r="S2502">
        <v>25.74</v>
      </c>
      <c r="T2502" t="str">
        <f t="shared" si="236"/>
        <v>Overweight</v>
      </c>
      <c r="U2502">
        <v>70</v>
      </c>
      <c r="V2502">
        <v>81.96365524402907</v>
      </c>
      <c r="W2502" t="str">
        <f t="shared" si="239"/>
        <v>Normal</v>
      </c>
      <c r="X2502">
        <v>0</v>
      </c>
    </row>
    <row r="2503" spans="1:24" ht="14.5" thickBot="1" x14ac:dyDescent="0.35">
      <c r="A2503">
        <v>0</v>
      </c>
      <c r="B2503" t="str">
        <f t="shared" si="237"/>
        <v>Female</v>
      </c>
      <c r="C2503" s="8">
        <v>51</v>
      </c>
      <c r="D2503" t="str">
        <f t="shared" si="238"/>
        <v>Middle Age</v>
      </c>
      <c r="E2503">
        <v>3</v>
      </c>
      <c r="F2503" t="str">
        <f>HLOOKUP(E2503, LookUP_Table!$A$6:$D$7, 2, FALSE)</f>
        <v>Graduate</v>
      </c>
      <c r="G2503" t="str">
        <f>IFERROR(VLOOKUP(E2503, LookUP_Table!$A$1:$B$4, 2, FALSE), "")</f>
        <v>Graduate</v>
      </c>
      <c r="H2503">
        <v>1</v>
      </c>
      <c r="I2503">
        <v>20</v>
      </c>
      <c r="J2503" t="str">
        <f t="shared" si="234"/>
        <v>Smoker</v>
      </c>
      <c r="K2503">
        <v>0</v>
      </c>
      <c r="L2503">
        <v>0</v>
      </c>
      <c r="M2503">
        <v>1</v>
      </c>
      <c r="N2503">
        <v>0</v>
      </c>
      <c r="O2503">
        <v>251</v>
      </c>
      <c r="P2503" t="str">
        <f t="shared" si="235"/>
        <v>High</v>
      </c>
      <c r="Q2503">
        <v>140</v>
      </c>
      <c r="R2503">
        <v>80</v>
      </c>
      <c r="S2503">
        <v>25.6</v>
      </c>
      <c r="T2503" t="str">
        <f t="shared" si="236"/>
        <v>Overweight</v>
      </c>
      <c r="U2503">
        <v>75</v>
      </c>
      <c r="V2503">
        <v>81.96365524402907</v>
      </c>
      <c r="W2503" t="str">
        <f t="shared" si="239"/>
        <v>Normal</v>
      </c>
      <c r="X2503">
        <v>0</v>
      </c>
    </row>
    <row r="2504" spans="1:24" ht="14.5" thickBot="1" x14ac:dyDescent="0.35">
      <c r="A2504">
        <v>1</v>
      </c>
      <c r="B2504" t="str">
        <f t="shared" si="237"/>
        <v>Male</v>
      </c>
      <c r="C2504" s="8">
        <v>51</v>
      </c>
      <c r="D2504" t="str">
        <f t="shared" si="238"/>
        <v>Middle Age</v>
      </c>
      <c r="E2504">
        <v>3</v>
      </c>
      <c r="F2504" t="str">
        <f>HLOOKUP(E2504, LookUP_Table!$A$6:$D$7, 2, FALSE)</f>
        <v>Graduate</v>
      </c>
      <c r="G2504" t="str">
        <f>IFERROR(VLOOKUP(E2504, LookUP_Table!$A$1:$B$4, 2, FALSE), "")</f>
        <v>Graduate</v>
      </c>
      <c r="H2504">
        <v>1</v>
      </c>
      <c r="I2504">
        <v>43</v>
      </c>
      <c r="J2504" t="str">
        <f t="shared" si="234"/>
        <v>Smoker</v>
      </c>
      <c r="K2504">
        <v>0</v>
      </c>
      <c r="L2504">
        <v>0</v>
      </c>
      <c r="M2504">
        <v>0</v>
      </c>
      <c r="N2504">
        <v>0</v>
      </c>
      <c r="O2504">
        <v>207</v>
      </c>
      <c r="P2504" t="str">
        <f t="shared" si="235"/>
        <v>Normal</v>
      </c>
      <c r="Q2504">
        <v>126.5</v>
      </c>
      <c r="R2504">
        <v>80</v>
      </c>
      <c r="S2504">
        <v>19.71</v>
      </c>
      <c r="T2504" t="str">
        <f t="shared" si="236"/>
        <v>Normal</v>
      </c>
      <c r="U2504">
        <v>65</v>
      </c>
      <c r="V2504">
        <v>68</v>
      </c>
      <c r="W2504" t="str">
        <f t="shared" si="239"/>
        <v>Normal</v>
      </c>
      <c r="X2504">
        <v>0</v>
      </c>
    </row>
    <row r="2505" spans="1:24" ht="14.5" thickBot="1" x14ac:dyDescent="0.35">
      <c r="A2505">
        <v>1</v>
      </c>
      <c r="B2505" t="str">
        <f t="shared" si="237"/>
        <v>Male</v>
      </c>
      <c r="C2505" s="8">
        <v>52</v>
      </c>
      <c r="D2505" t="str">
        <f t="shared" si="238"/>
        <v>Middle Age</v>
      </c>
      <c r="E2505">
        <v>1</v>
      </c>
      <c r="F2505" t="str">
        <f>HLOOKUP(E2505, LookUP_Table!$A$6:$D$7, 2, FALSE)</f>
        <v>Primary</v>
      </c>
      <c r="G2505" t="str">
        <f>IFERROR(VLOOKUP(E2505, LookUP_Table!$A$1:$B$4, 2, FALSE), "")</f>
        <v>Primary</v>
      </c>
      <c r="H2505">
        <v>0</v>
      </c>
      <c r="I2505">
        <v>0</v>
      </c>
      <c r="J2505" t="str">
        <f t="shared" si="234"/>
        <v>Non-Smoker</v>
      </c>
      <c r="K2505">
        <v>0</v>
      </c>
      <c r="L2505">
        <v>0</v>
      </c>
      <c r="M2505">
        <v>1</v>
      </c>
      <c r="N2505">
        <v>0</v>
      </c>
      <c r="O2505">
        <v>260</v>
      </c>
      <c r="P2505" t="str">
        <f t="shared" si="235"/>
        <v>High</v>
      </c>
      <c r="Q2505">
        <v>141.5</v>
      </c>
      <c r="R2505">
        <v>89</v>
      </c>
      <c r="S2505">
        <v>26.36</v>
      </c>
      <c r="T2505" t="str">
        <f t="shared" si="236"/>
        <v>Overweight</v>
      </c>
      <c r="U2505">
        <v>76</v>
      </c>
      <c r="V2505">
        <v>79</v>
      </c>
      <c r="W2505" t="str">
        <f t="shared" si="239"/>
        <v>Normal</v>
      </c>
      <c r="X2505">
        <v>0</v>
      </c>
    </row>
    <row r="2506" spans="1:24" ht="14.5" thickBot="1" x14ac:dyDescent="0.35">
      <c r="A2506">
        <v>0</v>
      </c>
      <c r="B2506" t="str">
        <f t="shared" si="237"/>
        <v>Female</v>
      </c>
      <c r="C2506" s="8">
        <v>52</v>
      </c>
      <c r="D2506" t="str">
        <f t="shared" si="238"/>
        <v>Middle Age</v>
      </c>
      <c r="E2506">
        <v>1</v>
      </c>
      <c r="F2506" t="str">
        <f>HLOOKUP(E2506, LookUP_Table!$A$6:$D$7, 2, FALSE)</f>
        <v>Primary</v>
      </c>
      <c r="G2506" t="str">
        <f>IFERROR(VLOOKUP(E2506, LookUP_Table!$A$1:$B$4, 2, FALSE), "")</f>
        <v>Primary</v>
      </c>
      <c r="H2506">
        <v>0</v>
      </c>
      <c r="I2506">
        <v>0</v>
      </c>
      <c r="J2506" t="str">
        <f t="shared" si="234"/>
        <v>Non-Smoker</v>
      </c>
      <c r="K2506">
        <v>0</v>
      </c>
      <c r="L2506">
        <v>0</v>
      </c>
      <c r="M2506">
        <v>0</v>
      </c>
      <c r="N2506">
        <v>0</v>
      </c>
      <c r="O2506">
        <v>234</v>
      </c>
      <c r="P2506" t="str">
        <f t="shared" si="235"/>
        <v>Normal</v>
      </c>
      <c r="Q2506">
        <v>148</v>
      </c>
      <c r="R2506">
        <v>78</v>
      </c>
      <c r="S2506">
        <v>34.17</v>
      </c>
      <c r="T2506" t="str">
        <f t="shared" si="236"/>
        <v>Obese</v>
      </c>
      <c r="U2506">
        <v>70</v>
      </c>
      <c r="V2506">
        <v>113</v>
      </c>
      <c r="W2506" t="str">
        <f t="shared" si="239"/>
        <v>Prediabetes</v>
      </c>
      <c r="X2506">
        <v>0</v>
      </c>
    </row>
    <row r="2507" spans="1:24" ht="14.5" thickBot="1" x14ac:dyDescent="0.35">
      <c r="A2507">
        <v>0</v>
      </c>
      <c r="B2507" t="str">
        <f t="shared" si="237"/>
        <v>Female</v>
      </c>
      <c r="C2507" s="8">
        <v>52</v>
      </c>
      <c r="D2507" t="str">
        <f t="shared" si="238"/>
        <v>Middle Age</v>
      </c>
      <c r="E2507">
        <v>3</v>
      </c>
      <c r="F2507" t="str">
        <f>HLOOKUP(E2507, LookUP_Table!$A$6:$D$7, 2, FALSE)</f>
        <v>Graduate</v>
      </c>
      <c r="G2507" t="str">
        <f>IFERROR(VLOOKUP(E2507, LookUP_Table!$A$1:$B$4, 2, FALSE), "")</f>
        <v>Graduate</v>
      </c>
      <c r="H2507">
        <v>1</v>
      </c>
      <c r="I2507">
        <v>20</v>
      </c>
      <c r="J2507" t="str">
        <f t="shared" si="234"/>
        <v>Smoker</v>
      </c>
      <c r="K2507">
        <v>0</v>
      </c>
      <c r="L2507">
        <v>0</v>
      </c>
      <c r="M2507">
        <v>0</v>
      </c>
      <c r="N2507">
        <v>0</v>
      </c>
      <c r="O2507">
        <v>215</v>
      </c>
      <c r="P2507" t="str">
        <f t="shared" si="235"/>
        <v>Normal</v>
      </c>
      <c r="Q2507">
        <v>132</v>
      </c>
      <c r="R2507">
        <v>82</v>
      </c>
      <c r="S2507">
        <v>25.11</v>
      </c>
      <c r="T2507" t="str">
        <f t="shared" si="236"/>
        <v>Overweight</v>
      </c>
      <c r="U2507">
        <v>71</v>
      </c>
      <c r="V2507">
        <v>75</v>
      </c>
      <c r="W2507" t="str">
        <f t="shared" si="239"/>
        <v>Normal</v>
      </c>
      <c r="X2507">
        <v>0</v>
      </c>
    </row>
    <row r="2508" spans="1:24" ht="14.5" thickBot="1" x14ac:dyDescent="0.35">
      <c r="A2508">
        <v>1</v>
      </c>
      <c r="B2508" t="str">
        <f t="shared" si="237"/>
        <v>Male</v>
      </c>
      <c r="C2508" s="8">
        <v>52</v>
      </c>
      <c r="D2508" t="str">
        <f t="shared" si="238"/>
        <v>Middle Age</v>
      </c>
      <c r="E2508">
        <v>1</v>
      </c>
      <c r="F2508" t="str">
        <f>HLOOKUP(E2508, LookUP_Table!$A$6:$D$7, 2, FALSE)</f>
        <v>Primary</v>
      </c>
      <c r="G2508" t="str">
        <f>IFERROR(VLOOKUP(E2508, LookUP_Table!$A$1:$B$4, 2, FALSE), "")</f>
        <v>Primary</v>
      </c>
      <c r="H2508">
        <v>0</v>
      </c>
      <c r="I2508">
        <v>0</v>
      </c>
      <c r="J2508" t="str">
        <f t="shared" si="234"/>
        <v>Non-Smoker</v>
      </c>
      <c r="K2508">
        <v>0</v>
      </c>
      <c r="L2508">
        <v>0</v>
      </c>
      <c r="M2508">
        <v>1</v>
      </c>
      <c r="N2508">
        <v>1</v>
      </c>
      <c r="O2508">
        <v>178</v>
      </c>
      <c r="P2508" t="str">
        <f t="shared" si="235"/>
        <v>Normal</v>
      </c>
      <c r="Q2508">
        <v>160</v>
      </c>
      <c r="R2508">
        <v>98</v>
      </c>
      <c r="S2508">
        <v>40.11</v>
      </c>
      <c r="T2508" t="str">
        <f t="shared" si="236"/>
        <v>Obese</v>
      </c>
      <c r="U2508">
        <v>75</v>
      </c>
      <c r="V2508">
        <v>225</v>
      </c>
      <c r="W2508" t="str">
        <f t="shared" si="239"/>
        <v>Diabetes</v>
      </c>
      <c r="X2508">
        <v>0</v>
      </c>
    </row>
    <row r="2509" spans="1:24" ht="14.5" thickBot="1" x14ac:dyDescent="0.35">
      <c r="A2509">
        <v>0</v>
      </c>
      <c r="B2509" t="str">
        <f t="shared" si="237"/>
        <v>Female</v>
      </c>
      <c r="C2509" s="8">
        <v>52</v>
      </c>
      <c r="D2509" t="str">
        <f t="shared" si="238"/>
        <v>Middle Age</v>
      </c>
      <c r="E2509">
        <v>1</v>
      </c>
      <c r="F2509" t="str">
        <f>HLOOKUP(E2509, LookUP_Table!$A$6:$D$7, 2, FALSE)</f>
        <v>Primary</v>
      </c>
      <c r="G2509" t="str">
        <f>IFERROR(VLOOKUP(E2509, LookUP_Table!$A$1:$B$4, 2, FALSE), "")</f>
        <v>Primary</v>
      </c>
      <c r="H2509">
        <v>0</v>
      </c>
      <c r="I2509">
        <v>0</v>
      </c>
      <c r="J2509" t="str">
        <f t="shared" si="234"/>
        <v>Non-Smoker</v>
      </c>
      <c r="K2509">
        <v>1</v>
      </c>
      <c r="L2509">
        <v>0</v>
      </c>
      <c r="M2509">
        <v>1</v>
      </c>
      <c r="N2509">
        <v>0</v>
      </c>
      <c r="O2509">
        <v>236.69952267303103</v>
      </c>
      <c r="P2509" t="str">
        <f t="shared" si="235"/>
        <v>Normal</v>
      </c>
      <c r="Q2509">
        <v>148</v>
      </c>
      <c r="R2509">
        <v>92</v>
      </c>
      <c r="S2509">
        <v>25.09</v>
      </c>
      <c r="T2509" t="str">
        <f t="shared" si="236"/>
        <v>Overweight</v>
      </c>
      <c r="U2509">
        <v>70</v>
      </c>
      <c r="V2509">
        <v>81.96365524402907</v>
      </c>
      <c r="W2509" t="str">
        <f t="shared" si="239"/>
        <v>Normal</v>
      </c>
      <c r="X2509">
        <v>1</v>
      </c>
    </row>
    <row r="2510" spans="1:24" ht="14.5" thickBot="1" x14ac:dyDescent="0.35">
      <c r="A2510">
        <v>0</v>
      </c>
      <c r="B2510" t="str">
        <f t="shared" si="237"/>
        <v>Female</v>
      </c>
      <c r="C2510" s="8">
        <v>52</v>
      </c>
      <c r="D2510" t="str">
        <f t="shared" si="238"/>
        <v>Middle Age</v>
      </c>
      <c r="E2510">
        <v>4</v>
      </c>
      <c r="F2510" t="str">
        <f>HLOOKUP(E2510, LookUP_Table!$A$6:$D$7, 2, FALSE)</f>
        <v>Post Graduate</v>
      </c>
      <c r="G2510" t="str">
        <f>IFERROR(VLOOKUP(E2510, LookUP_Table!$A$1:$B$4, 2, FALSE), "")</f>
        <v>Post Graduate</v>
      </c>
      <c r="H2510">
        <v>0</v>
      </c>
      <c r="I2510">
        <v>0</v>
      </c>
      <c r="J2510" t="str">
        <f t="shared" si="234"/>
        <v>Non-Smoker</v>
      </c>
      <c r="K2510">
        <v>0</v>
      </c>
      <c r="L2510">
        <v>0</v>
      </c>
      <c r="M2510">
        <v>0</v>
      </c>
      <c r="N2510">
        <v>0</v>
      </c>
      <c r="O2510">
        <v>302</v>
      </c>
      <c r="P2510" t="str">
        <f t="shared" si="235"/>
        <v>High</v>
      </c>
      <c r="Q2510">
        <v>110</v>
      </c>
      <c r="R2510">
        <v>67.5</v>
      </c>
      <c r="S2510">
        <v>23.51</v>
      </c>
      <c r="T2510" t="str">
        <f t="shared" si="236"/>
        <v>Normal</v>
      </c>
      <c r="U2510">
        <v>63</v>
      </c>
      <c r="V2510">
        <v>87</v>
      </c>
      <c r="W2510" t="str">
        <f t="shared" si="239"/>
        <v>Normal</v>
      </c>
      <c r="X2510">
        <v>0</v>
      </c>
    </row>
    <row r="2511" spans="1:24" ht="14.5" thickBot="1" x14ac:dyDescent="0.35">
      <c r="A2511">
        <v>0</v>
      </c>
      <c r="B2511" t="str">
        <f t="shared" si="237"/>
        <v>Female</v>
      </c>
      <c r="C2511" s="8">
        <v>52</v>
      </c>
      <c r="D2511" t="str">
        <f t="shared" si="238"/>
        <v>Middle Age</v>
      </c>
      <c r="E2511">
        <v>1</v>
      </c>
      <c r="F2511" t="str">
        <f>HLOOKUP(E2511, LookUP_Table!$A$6:$D$7, 2, FALSE)</f>
        <v>Primary</v>
      </c>
      <c r="G2511" t="str">
        <f>IFERROR(VLOOKUP(E2511, LookUP_Table!$A$1:$B$4, 2, FALSE), "")</f>
        <v>Primary</v>
      </c>
      <c r="H2511">
        <v>1</v>
      </c>
      <c r="I2511">
        <v>15</v>
      </c>
      <c r="J2511" t="str">
        <f t="shared" si="234"/>
        <v>Smoker</v>
      </c>
      <c r="K2511">
        <v>0</v>
      </c>
      <c r="L2511">
        <v>0</v>
      </c>
      <c r="M2511">
        <v>0</v>
      </c>
      <c r="N2511">
        <v>0</v>
      </c>
      <c r="O2511">
        <v>170</v>
      </c>
      <c r="P2511" t="str">
        <f t="shared" si="235"/>
        <v>Normal</v>
      </c>
      <c r="Q2511">
        <v>124</v>
      </c>
      <c r="R2511">
        <v>78</v>
      </c>
      <c r="S2511">
        <v>26.03</v>
      </c>
      <c r="T2511" t="str">
        <f t="shared" si="236"/>
        <v>Overweight</v>
      </c>
      <c r="U2511">
        <v>75</v>
      </c>
      <c r="V2511">
        <v>82</v>
      </c>
      <c r="W2511" t="str">
        <f t="shared" si="239"/>
        <v>Normal</v>
      </c>
      <c r="X2511">
        <v>0</v>
      </c>
    </row>
    <row r="2512" spans="1:24" ht="14.5" thickBot="1" x14ac:dyDescent="0.35">
      <c r="A2512">
        <v>0</v>
      </c>
      <c r="B2512" t="str">
        <f t="shared" si="237"/>
        <v>Female</v>
      </c>
      <c r="C2512" s="8">
        <v>52</v>
      </c>
      <c r="D2512" t="str">
        <f t="shared" si="238"/>
        <v>Middle Age</v>
      </c>
      <c r="E2512">
        <v>1</v>
      </c>
      <c r="F2512" t="str">
        <f>HLOOKUP(E2512, LookUP_Table!$A$6:$D$7, 2, FALSE)</f>
        <v>Primary</v>
      </c>
      <c r="G2512" t="str">
        <f>IFERROR(VLOOKUP(E2512, LookUP_Table!$A$1:$B$4, 2, FALSE), "")</f>
        <v>Primary</v>
      </c>
      <c r="H2512">
        <v>0</v>
      </c>
      <c r="I2512">
        <v>0</v>
      </c>
      <c r="J2512" t="str">
        <f t="shared" si="234"/>
        <v>Non-Smoker</v>
      </c>
      <c r="K2512">
        <v>0</v>
      </c>
      <c r="L2512">
        <v>0</v>
      </c>
      <c r="M2512">
        <v>0</v>
      </c>
      <c r="N2512">
        <v>0</v>
      </c>
      <c r="O2512">
        <v>235</v>
      </c>
      <c r="P2512" t="str">
        <f t="shared" si="235"/>
        <v>Normal</v>
      </c>
      <c r="Q2512">
        <v>129.5</v>
      </c>
      <c r="R2512">
        <v>83</v>
      </c>
      <c r="S2512">
        <v>28.86</v>
      </c>
      <c r="T2512" t="str">
        <f t="shared" si="236"/>
        <v>Overweight</v>
      </c>
      <c r="U2512">
        <v>65</v>
      </c>
      <c r="V2512">
        <v>79</v>
      </c>
      <c r="W2512" t="str">
        <f t="shared" si="239"/>
        <v>Normal</v>
      </c>
      <c r="X2512">
        <v>1</v>
      </c>
    </row>
    <row r="2513" spans="1:24" ht="14.5" thickBot="1" x14ac:dyDescent="0.35">
      <c r="A2513">
        <v>0</v>
      </c>
      <c r="B2513" t="str">
        <f t="shared" si="237"/>
        <v>Female</v>
      </c>
      <c r="C2513" s="8">
        <v>52</v>
      </c>
      <c r="D2513" t="str">
        <f t="shared" si="238"/>
        <v>Middle Age</v>
      </c>
      <c r="E2513">
        <v>2</v>
      </c>
      <c r="F2513" t="str">
        <f>HLOOKUP(E2513, LookUP_Table!$A$6:$D$7, 2, FALSE)</f>
        <v>Secondary</v>
      </c>
      <c r="G2513" t="str">
        <f>IFERROR(VLOOKUP(E2513, LookUP_Table!$A$1:$B$4, 2, FALSE), "")</f>
        <v>Secondary</v>
      </c>
      <c r="H2513">
        <v>0</v>
      </c>
      <c r="I2513">
        <v>0</v>
      </c>
      <c r="J2513" t="str">
        <f t="shared" si="234"/>
        <v>Non-Smoker</v>
      </c>
      <c r="K2513">
        <v>0</v>
      </c>
      <c r="L2513">
        <v>0</v>
      </c>
      <c r="M2513">
        <v>1</v>
      </c>
      <c r="N2513">
        <v>0</v>
      </c>
      <c r="O2513">
        <v>216</v>
      </c>
      <c r="P2513" t="str">
        <f t="shared" si="235"/>
        <v>Normal</v>
      </c>
      <c r="Q2513">
        <v>158</v>
      </c>
      <c r="R2513">
        <v>98</v>
      </c>
      <c r="S2513">
        <v>24.53</v>
      </c>
      <c r="T2513" t="str">
        <f t="shared" si="236"/>
        <v>Normal</v>
      </c>
      <c r="U2513">
        <v>70</v>
      </c>
      <c r="V2513">
        <v>86</v>
      </c>
      <c r="W2513" t="str">
        <f t="shared" si="239"/>
        <v>Normal</v>
      </c>
      <c r="X2513">
        <v>0</v>
      </c>
    </row>
    <row r="2514" spans="1:24" ht="14.5" thickBot="1" x14ac:dyDescent="0.35">
      <c r="A2514">
        <v>1</v>
      </c>
      <c r="B2514" t="str">
        <f t="shared" si="237"/>
        <v>Male</v>
      </c>
      <c r="C2514" s="8">
        <v>52</v>
      </c>
      <c r="D2514" t="str">
        <f t="shared" si="238"/>
        <v>Middle Age</v>
      </c>
      <c r="E2514">
        <v>2</v>
      </c>
      <c r="F2514" t="str">
        <f>HLOOKUP(E2514, LookUP_Table!$A$6:$D$7, 2, FALSE)</f>
        <v>Secondary</v>
      </c>
      <c r="G2514" t="str">
        <f>IFERROR(VLOOKUP(E2514, LookUP_Table!$A$1:$B$4, 2, FALSE), "")</f>
        <v>Secondary</v>
      </c>
      <c r="H2514">
        <v>1</v>
      </c>
      <c r="I2514">
        <v>15</v>
      </c>
      <c r="J2514" t="str">
        <f t="shared" si="234"/>
        <v>Smoker</v>
      </c>
      <c r="K2514">
        <v>0</v>
      </c>
      <c r="L2514">
        <v>0</v>
      </c>
      <c r="M2514">
        <v>0</v>
      </c>
      <c r="N2514">
        <v>0</v>
      </c>
      <c r="O2514">
        <v>240</v>
      </c>
      <c r="P2514" t="str">
        <f t="shared" si="235"/>
        <v>Normal</v>
      </c>
      <c r="Q2514">
        <v>94</v>
      </c>
      <c r="R2514">
        <v>66.5</v>
      </c>
      <c r="S2514">
        <v>22.93</v>
      </c>
      <c r="T2514" t="str">
        <f t="shared" si="236"/>
        <v>Normal</v>
      </c>
      <c r="U2514">
        <v>70</v>
      </c>
      <c r="V2514">
        <v>88</v>
      </c>
      <c r="W2514" t="str">
        <f t="shared" si="239"/>
        <v>Normal</v>
      </c>
      <c r="X2514">
        <v>0</v>
      </c>
    </row>
    <row r="2515" spans="1:24" ht="14.5" thickBot="1" x14ac:dyDescent="0.35">
      <c r="A2515">
        <v>0</v>
      </c>
      <c r="B2515" t="str">
        <f t="shared" si="237"/>
        <v>Female</v>
      </c>
      <c r="C2515" s="8">
        <v>52</v>
      </c>
      <c r="D2515" t="str">
        <f t="shared" si="238"/>
        <v>Middle Age</v>
      </c>
      <c r="E2515">
        <v>3</v>
      </c>
      <c r="F2515" t="str">
        <f>HLOOKUP(E2515, LookUP_Table!$A$6:$D$7, 2, FALSE)</f>
        <v>Graduate</v>
      </c>
      <c r="G2515" t="str">
        <f>IFERROR(VLOOKUP(E2515, LookUP_Table!$A$1:$B$4, 2, FALSE), "")</f>
        <v>Graduate</v>
      </c>
      <c r="H2515">
        <v>0</v>
      </c>
      <c r="I2515">
        <v>0</v>
      </c>
      <c r="J2515" t="str">
        <f t="shared" si="234"/>
        <v>Non-Smoker</v>
      </c>
      <c r="K2515">
        <v>0</v>
      </c>
      <c r="L2515">
        <v>0</v>
      </c>
      <c r="M2515">
        <v>0</v>
      </c>
      <c r="N2515">
        <v>0</v>
      </c>
      <c r="O2515">
        <v>254</v>
      </c>
      <c r="P2515" t="str">
        <f t="shared" si="235"/>
        <v>High</v>
      </c>
      <c r="Q2515">
        <v>126.5</v>
      </c>
      <c r="R2515">
        <v>93</v>
      </c>
      <c r="S2515">
        <v>26.79</v>
      </c>
      <c r="T2515" t="str">
        <f t="shared" si="236"/>
        <v>Overweight</v>
      </c>
      <c r="U2515">
        <v>75</v>
      </c>
      <c r="V2515">
        <v>65</v>
      </c>
      <c r="W2515" t="str">
        <f t="shared" si="239"/>
        <v>Normal</v>
      </c>
      <c r="X2515">
        <v>0</v>
      </c>
    </row>
    <row r="2516" spans="1:24" ht="14.5" thickBot="1" x14ac:dyDescent="0.35">
      <c r="A2516">
        <v>1</v>
      </c>
      <c r="B2516" t="str">
        <f t="shared" si="237"/>
        <v>Male</v>
      </c>
      <c r="C2516" s="8">
        <v>52</v>
      </c>
      <c r="D2516" t="str">
        <f t="shared" si="238"/>
        <v>Middle Age</v>
      </c>
      <c r="E2516">
        <v>3</v>
      </c>
      <c r="F2516" t="str">
        <f>HLOOKUP(E2516, LookUP_Table!$A$6:$D$7, 2, FALSE)</f>
        <v>Graduate</v>
      </c>
      <c r="G2516" t="str">
        <f>IFERROR(VLOOKUP(E2516, LookUP_Table!$A$1:$B$4, 2, FALSE), "")</f>
        <v>Graduate</v>
      </c>
      <c r="H2516">
        <v>0</v>
      </c>
      <c r="I2516">
        <v>0</v>
      </c>
      <c r="J2516" t="str">
        <f t="shared" si="234"/>
        <v>Non-Smoker</v>
      </c>
      <c r="K2516">
        <v>0</v>
      </c>
      <c r="L2516">
        <v>0</v>
      </c>
      <c r="M2516">
        <v>1</v>
      </c>
      <c r="N2516">
        <v>1</v>
      </c>
      <c r="O2516">
        <v>240</v>
      </c>
      <c r="P2516" t="str">
        <f t="shared" si="235"/>
        <v>Normal</v>
      </c>
      <c r="Q2516">
        <v>146</v>
      </c>
      <c r="R2516">
        <v>89</v>
      </c>
      <c r="S2516">
        <v>24.59</v>
      </c>
      <c r="T2516" t="str">
        <f t="shared" si="236"/>
        <v>Normal</v>
      </c>
      <c r="U2516">
        <v>64</v>
      </c>
      <c r="V2516">
        <v>73</v>
      </c>
      <c r="W2516" t="str">
        <f t="shared" si="239"/>
        <v>Normal</v>
      </c>
      <c r="X2516">
        <v>0</v>
      </c>
    </row>
    <row r="2517" spans="1:24" ht="14.5" thickBot="1" x14ac:dyDescent="0.35">
      <c r="A2517">
        <v>1</v>
      </c>
      <c r="B2517" t="str">
        <f t="shared" si="237"/>
        <v>Male</v>
      </c>
      <c r="C2517" s="8">
        <v>52</v>
      </c>
      <c r="D2517" t="str">
        <f t="shared" si="238"/>
        <v>Middle Age</v>
      </c>
      <c r="E2517">
        <v>1</v>
      </c>
      <c r="F2517" t="str">
        <f>HLOOKUP(E2517, LookUP_Table!$A$6:$D$7, 2, FALSE)</f>
        <v>Primary</v>
      </c>
      <c r="G2517" t="str">
        <f>IFERROR(VLOOKUP(E2517, LookUP_Table!$A$1:$B$4, 2, FALSE), "")</f>
        <v>Primary</v>
      </c>
      <c r="H2517">
        <v>0</v>
      </c>
      <c r="I2517">
        <v>0</v>
      </c>
      <c r="J2517" t="str">
        <f t="shared" si="234"/>
        <v>Non-Smoker</v>
      </c>
      <c r="K2517">
        <v>0</v>
      </c>
      <c r="L2517">
        <v>0</v>
      </c>
      <c r="M2517">
        <v>0</v>
      </c>
      <c r="N2517">
        <v>0</v>
      </c>
      <c r="O2517">
        <v>215</v>
      </c>
      <c r="P2517" t="str">
        <f t="shared" si="235"/>
        <v>Normal</v>
      </c>
      <c r="Q2517">
        <v>129</v>
      </c>
      <c r="R2517">
        <v>80</v>
      </c>
      <c r="S2517">
        <v>29.29</v>
      </c>
      <c r="T2517" t="str">
        <f t="shared" si="236"/>
        <v>Overweight</v>
      </c>
      <c r="U2517">
        <v>70</v>
      </c>
      <c r="V2517">
        <v>87</v>
      </c>
      <c r="W2517" t="str">
        <f t="shared" si="239"/>
        <v>Normal</v>
      </c>
      <c r="X2517">
        <v>0</v>
      </c>
    </row>
    <row r="2518" spans="1:24" ht="14.5" thickBot="1" x14ac:dyDescent="0.35">
      <c r="A2518">
        <v>0</v>
      </c>
      <c r="B2518" t="str">
        <f t="shared" si="237"/>
        <v>Female</v>
      </c>
      <c r="C2518" s="8">
        <v>52</v>
      </c>
      <c r="D2518" t="str">
        <f t="shared" si="238"/>
        <v>Middle Age</v>
      </c>
      <c r="E2518">
        <v>1</v>
      </c>
      <c r="F2518" t="str">
        <f>HLOOKUP(E2518, LookUP_Table!$A$6:$D$7, 2, FALSE)</f>
        <v>Primary</v>
      </c>
      <c r="G2518" t="str">
        <f>IFERROR(VLOOKUP(E2518, LookUP_Table!$A$1:$B$4, 2, FALSE), "")</f>
        <v>Primary</v>
      </c>
      <c r="H2518">
        <v>0</v>
      </c>
      <c r="I2518">
        <v>0</v>
      </c>
      <c r="J2518" t="str">
        <f t="shared" si="234"/>
        <v>Non-Smoker</v>
      </c>
      <c r="K2518">
        <v>0</v>
      </c>
      <c r="L2518">
        <v>0</v>
      </c>
      <c r="M2518">
        <v>0</v>
      </c>
      <c r="N2518">
        <v>0</v>
      </c>
      <c r="O2518">
        <v>268</v>
      </c>
      <c r="P2518" t="str">
        <f t="shared" si="235"/>
        <v>High</v>
      </c>
      <c r="Q2518">
        <v>109</v>
      </c>
      <c r="R2518">
        <v>70</v>
      </c>
      <c r="S2518">
        <v>23.74</v>
      </c>
      <c r="T2518" t="str">
        <f t="shared" si="236"/>
        <v>Normal</v>
      </c>
      <c r="U2518">
        <v>75</v>
      </c>
      <c r="V2518">
        <v>78</v>
      </c>
      <c r="W2518" t="str">
        <f t="shared" si="239"/>
        <v>Normal</v>
      </c>
      <c r="X2518">
        <v>0</v>
      </c>
    </row>
    <row r="2519" spans="1:24" ht="14.5" thickBot="1" x14ac:dyDescent="0.35">
      <c r="A2519">
        <v>0</v>
      </c>
      <c r="B2519" t="str">
        <f t="shared" si="237"/>
        <v>Female</v>
      </c>
      <c r="C2519" s="8">
        <v>52</v>
      </c>
      <c r="D2519" t="str">
        <f t="shared" si="238"/>
        <v>Middle Age</v>
      </c>
      <c r="E2519">
        <v>2</v>
      </c>
      <c r="F2519" t="str">
        <f>HLOOKUP(E2519, LookUP_Table!$A$6:$D$7, 2, FALSE)</f>
        <v>Secondary</v>
      </c>
      <c r="G2519" t="str">
        <f>IFERROR(VLOOKUP(E2519, LookUP_Table!$A$1:$B$4, 2, FALSE), "")</f>
        <v>Secondary</v>
      </c>
      <c r="H2519">
        <v>0</v>
      </c>
      <c r="I2519">
        <v>0</v>
      </c>
      <c r="J2519" t="str">
        <f t="shared" si="234"/>
        <v>Non-Smoker</v>
      </c>
      <c r="K2519">
        <v>0</v>
      </c>
      <c r="L2519">
        <v>0</v>
      </c>
      <c r="M2519">
        <v>1</v>
      </c>
      <c r="N2519">
        <v>0</v>
      </c>
      <c r="O2519">
        <v>225</v>
      </c>
      <c r="P2519" t="str">
        <f t="shared" si="235"/>
        <v>Normal</v>
      </c>
      <c r="Q2519">
        <v>157.5</v>
      </c>
      <c r="R2519">
        <v>80.5</v>
      </c>
      <c r="S2519">
        <v>24.36</v>
      </c>
      <c r="T2519" t="str">
        <f t="shared" si="236"/>
        <v>Normal</v>
      </c>
      <c r="U2519">
        <v>79</v>
      </c>
      <c r="V2519">
        <v>81.96365524402907</v>
      </c>
      <c r="W2519" t="str">
        <f t="shared" si="239"/>
        <v>Normal</v>
      </c>
      <c r="X2519">
        <v>0</v>
      </c>
    </row>
    <row r="2520" spans="1:24" ht="14.5" thickBot="1" x14ac:dyDescent="0.35">
      <c r="A2520">
        <v>0</v>
      </c>
      <c r="B2520" t="str">
        <f t="shared" si="237"/>
        <v>Female</v>
      </c>
      <c r="C2520" s="8">
        <v>52</v>
      </c>
      <c r="D2520" t="str">
        <f t="shared" si="238"/>
        <v>Middle Age</v>
      </c>
      <c r="E2520">
        <v>1</v>
      </c>
      <c r="F2520" t="str">
        <f>HLOOKUP(E2520, LookUP_Table!$A$6:$D$7, 2, FALSE)</f>
        <v>Primary</v>
      </c>
      <c r="G2520" t="str">
        <f>IFERROR(VLOOKUP(E2520, LookUP_Table!$A$1:$B$4, 2, FALSE), "")</f>
        <v>Primary</v>
      </c>
      <c r="H2520">
        <v>0</v>
      </c>
      <c r="I2520">
        <v>0</v>
      </c>
      <c r="J2520" t="str">
        <f t="shared" si="234"/>
        <v>Non-Smoker</v>
      </c>
      <c r="K2520">
        <v>0</v>
      </c>
      <c r="L2520">
        <v>0</v>
      </c>
      <c r="M2520">
        <v>0</v>
      </c>
      <c r="N2520">
        <v>0</v>
      </c>
      <c r="O2520">
        <v>245</v>
      </c>
      <c r="P2520" t="str">
        <f t="shared" si="235"/>
        <v>High</v>
      </c>
      <c r="Q2520">
        <v>145</v>
      </c>
      <c r="R2520">
        <v>89</v>
      </c>
      <c r="S2520">
        <v>25.02</v>
      </c>
      <c r="T2520" t="str">
        <f t="shared" si="236"/>
        <v>Overweight</v>
      </c>
      <c r="U2520">
        <v>90</v>
      </c>
      <c r="V2520">
        <v>80</v>
      </c>
      <c r="W2520" t="str">
        <f t="shared" si="239"/>
        <v>Normal</v>
      </c>
      <c r="X2520">
        <v>0</v>
      </c>
    </row>
    <row r="2521" spans="1:24" ht="14.5" thickBot="1" x14ac:dyDescent="0.35">
      <c r="A2521">
        <v>0</v>
      </c>
      <c r="B2521" t="str">
        <f t="shared" si="237"/>
        <v>Female</v>
      </c>
      <c r="C2521" s="8">
        <v>52</v>
      </c>
      <c r="D2521" t="str">
        <f t="shared" si="238"/>
        <v>Middle Age</v>
      </c>
      <c r="E2521">
        <v>1</v>
      </c>
      <c r="F2521" t="str">
        <f>HLOOKUP(E2521, LookUP_Table!$A$6:$D$7, 2, FALSE)</f>
        <v>Primary</v>
      </c>
      <c r="G2521" t="str">
        <f>IFERROR(VLOOKUP(E2521, LookUP_Table!$A$1:$B$4, 2, FALSE), "")</f>
        <v>Primary</v>
      </c>
      <c r="H2521">
        <v>1</v>
      </c>
      <c r="I2521">
        <v>25</v>
      </c>
      <c r="J2521" t="str">
        <f t="shared" si="234"/>
        <v>Smoker</v>
      </c>
      <c r="K2521">
        <v>0</v>
      </c>
      <c r="L2521">
        <v>0</v>
      </c>
      <c r="M2521">
        <v>0</v>
      </c>
      <c r="N2521">
        <v>0</v>
      </c>
      <c r="O2521">
        <v>235</v>
      </c>
      <c r="P2521" t="str">
        <f t="shared" si="235"/>
        <v>Normal</v>
      </c>
      <c r="Q2521">
        <v>119</v>
      </c>
      <c r="R2521">
        <v>82</v>
      </c>
      <c r="S2521">
        <v>24.25</v>
      </c>
      <c r="T2521" t="str">
        <f t="shared" si="236"/>
        <v>Normal</v>
      </c>
      <c r="U2521">
        <v>77</v>
      </c>
      <c r="V2521">
        <v>79</v>
      </c>
      <c r="W2521" t="str">
        <f t="shared" si="239"/>
        <v>Normal</v>
      </c>
      <c r="X2521">
        <v>0</v>
      </c>
    </row>
    <row r="2522" spans="1:24" ht="14.5" thickBot="1" x14ac:dyDescent="0.35">
      <c r="A2522">
        <v>0</v>
      </c>
      <c r="B2522" t="str">
        <f t="shared" si="237"/>
        <v>Female</v>
      </c>
      <c r="C2522" s="8">
        <v>52</v>
      </c>
      <c r="D2522" t="str">
        <f t="shared" si="238"/>
        <v>Middle Age</v>
      </c>
      <c r="E2522">
        <v>1</v>
      </c>
      <c r="F2522" t="str">
        <f>HLOOKUP(E2522, LookUP_Table!$A$6:$D$7, 2, FALSE)</f>
        <v>Primary</v>
      </c>
      <c r="G2522" t="str">
        <f>IFERROR(VLOOKUP(E2522, LookUP_Table!$A$1:$B$4, 2, FALSE), "")</f>
        <v>Primary</v>
      </c>
      <c r="H2522">
        <v>0</v>
      </c>
      <c r="I2522">
        <v>0</v>
      </c>
      <c r="J2522" t="str">
        <f t="shared" si="234"/>
        <v>Non-Smoker</v>
      </c>
      <c r="K2522">
        <v>0</v>
      </c>
      <c r="L2522">
        <v>0</v>
      </c>
      <c r="M2522">
        <v>0</v>
      </c>
      <c r="N2522">
        <v>0</v>
      </c>
      <c r="O2522">
        <v>248</v>
      </c>
      <c r="P2522" t="str">
        <f t="shared" si="235"/>
        <v>High</v>
      </c>
      <c r="Q2522">
        <v>155</v>
      </c>
      <c r="R2522">
        <v>93</v>
      </c>
      <c r="S2522">
        <v>23.09</v>
      </c>
      <c r="T2522" t="str">
        <f t="shared" si="236"/>
        <v>Normal</v>
      </c>
      <c r="U2522">
        <v>75</v>
      </c>
      <c r="V2522">
        <v>70</v>
      </c>
      <c r="W2522" t="str">
        <f t="shared" si="239"/>
        <v>Normal</v>
      </c>
      <c r="X2522">
        <v>0</v>
      </c>
    </row>
    <row r="2523" spans="1:24" ht="14.5" thickBot="1" x14ac:dyDescent="0.35">
      <c r="A2523">
        <v>1</v>
      </c>
      <c r="B2523" t="str">
        <f t="shared" si="237"/>
        <v>Male</v>
      </c>
      <c r="C2523" s="8">
        <v>52</v>
      </c>
      <c r="D2523" t="str">
        <f t="shared" si="238"/>
        <v>Middle Age</v>
      </c>
      <c r="E2523">
        <v>1</v>
      </c>
      <c r="F2523" t="str">
        <f>HLOOKUP(E2523, LookUP_Table!$A$6:$D$7, 2, FALSE)</f>
        <v>Primary</v>
      </c>
      <c r="G2523" t="str">
        <f>IFERROR(VLOOKUP(E2523, LookUP_Table!$A$1:$B$4, 2, FALSE), "")</f>
        <v>Primary</v>
      </c>
      <c r="H2523">
        <v>1</v>
      </c>
      <c r="I2523">
        <v>25</v>
      </c>
      <c r="J2523" t="str">
        <f t="shared" si="234"/>
        <v>Smoker</v>
      </c>
      <c r="K2523">
        <v>0</v>
      </c>
      <c r="L2523">
        <v>0</v>
      </c>
      <c r="M2523">
        <v>1</v>
      </c>
      <c r="N2523">
        <v>0</v>
      </c>
      <c r="O2523">
        <v>206</v>
      </c>
      <c r="P2523" t="str">
        <f t="shared" si="235"/>
        <v>Normal</v>
      </c>
      <c r="Q2523">
        <v>173</v>
      </c>
      <c r="R2523">
        <v>117</v>
      </c>
      <c r="S2523">
        <v>29.63</v>
      </c>
      <c r="T2523" t="str">
        <f t="shared" si="236"/>
        <v>Overweight</v>
      </c>
      <c r="U2523">
        <v>75</v>
      </c>
      <c r="V2523">
        <v>77</v>
      </c>
      <c r="W2523" t="str">
        <f t="shared" si="239"/>
        <v>Normal</v>
      </c>
      <c r="X2523">
        <v>1</v>
      </c>
    </row>
    <row r="2524" spans="1:24" ht="14.5" thickBot="1" x14ac:dyDescent="0.35">
      <c r="A2524">
        <v>1</v>
      </c>
      <c r="B2524" t="str">
        <f t="shared" si="237"/>
        <v>Male</v>
      </c>
      <c r="C2524" s="8">
        <v>52</v>
      </c>
      <c r="D2524" t="str">
        <f t="shared" si="238"/>
        <v>Middle Age</v>
      </c>
      <c r="E2524">
        <v>2</v>
      </c>
      <c r="F2524" t="str">
        <f>HLOOKUP(E2524, LookUP_Table!$A$6:$D$7, 2, FALSE)</f>
        <v>Secondary</v>
      </c>
      <c r="G2524" t="str">
        <f>IFERROR(VLOOKUP(E2524, LookUP_Table!$A$1:$B$4, 2, FALSE), "")</f>
        <v>Secondary</v>
      </c>
      <c r="H2524">
        <v>1</v>
      </c>
      <c r="I2524">
        <v>20</v>
      </c>
      <c r="J2524" t="str">
        <f t="shared" si="234"/>
        <v>Smoker</v>
      </c>
      <c r="K2524">
        <v>0</v>
      </c>
      <c r="L2524">
        <v>0</v>
      </c>
      <c r="M2524">
        <v>0</v>
      </c>
      <c r="N2524">
        <v>0</v>
      </c>
      <c r="O2524">
        <v>215</v>
      </c>
      <c r="P2524" t="str">
        <f t="shared" si="235"/>
        <v>Normal</v>
      </c>
      <c r="Q2524">
        <v>98</v>
      </c>
      <c r="R2524">
        <v>65</v>
      </c>
      <c r="S2524">
        <v>20.87</v>
      </c>
      <c r="T2524" t="str">
        <f t="shared" si="236"/>
        <v>Normal</v>
      </c>
      <c r="U2524">
        <v>68</v>
      </c>
      <c r="V2524">
        <v>76</v>
      </c>
      <c r="W2524" t="str">
        <f t="shared" si="239"/>
        <v>Normal</v>
      </c>
      <c r="X2524">
        <v>0</v>
      </c>
    </row>
    <row r="2525" spans="1:24" ht="14.5" thickBot="1" x14ac:dyDescent="0.35">
      <c r="A2525">
        <v>0</v>
      </c>
      <c r="B2525" t="str">
        <f t="shared" si="237"/>
        <v>Female</v>
      </c>
      <c r="C2525" s="8">
        <v>52</v>
      </c>
      <c r="D2525" t="str">
        <f t="shared" si="238"/>
        <v>Middle Age</v>
      </c>
      <c r="E2525">
        <v>1</v>
      </c>
      <c r="F2525" t="str">
        <f>HLOOKUP(E2525, LookUP_Table!$A$6:$D$7, 2, FALSE)</f>
        <v>Primary</v>
      </c>
      <c r="G2525" t="str">
        <f>IFERROR(VLOOKUP(E2525, LookUP_Table!$A$1:$B$4, 2, FALSE), "")</f>
        <v>Primary</v>
      </c>
      <c r="H2525">
        <v>1</v>
      </c>
      <c r="I2525">
        <v>3</v>
      </c>
      <c r="J2525" t="str">
        <f t="shared" si="234"/>
        <v>Smoker</v>
      </c>
      <c r="K2525">
        <v>0</v>
      </c>
      <c r="L2525">
        <v>0</v>
      </c>
      <c r="M2525">
        <v>1</v>
      </c>
      <c r="N2525">
        <v>0</v>
      </c>
      <c r="O2525">
        <v>210</v>
      </c>
      <c r="P2525" t="str">
        <f t="shared" si="235"/>
        <v>Normal</v>
      </c>
      <c r="Q2525">
        <v>185</v>
      </c>
      <c r="R2525">
        <v>114</v>
      </c>
      <c r="S2525">
        <v>27.01</v>
      </c>
      <c r="T2525" t="str">
        <f t="shared" si="236"/>
        <v>Overweight</v>
      </c>
      <c r="U2525">
        <v>70</v>
      </c>
      <c r="V2525">
        <v>83</v>
      </c>
      <c r="W2525" t="str">
        <f t="shared" si="239"/>
        <v>Normal</v>
      </c>
      <c r="X2525">
        <v>0</v>
      </c>
    </row>
    <row r="2526" spans="1:24" ht="14.5" thickBot="1" x14ac:dyDescent="0.35">
      <c r="A2526">
        <v>0</v>
      </c>
      <c r="B2526" t="str">
        <f t="shared" si="237"/>
        <v>Female</v>
      </c>
      <c r="C2526" s="8">
        <v>52</v>
      </c>
      <c r="D2526" t="str">
        <f t="shared" si="238"/>
        <v>Middle Age</v>
      </c>
      <c r="E2526">
        <v>2</v>
      </c>
      <c r="F2526" t="str">
        <f>HLOOKUP(E2526, LookUP_Table!$A$6:$D$7, 2, FALSE)</f>
        <v>Secondary</v>
      </c>
      <c r="G2526" t="str">
        <f>IFERROR(VLOOKUP(E2526, LookUP_Table!$A$1:$B$4, 2, FALSE), "")</f>
        <v>Secondary</v>
      </c>
      <c r="H2526">
        <v>1</v>
      </c>
      <c r="I2526">
        <v>20</v>
      </c>
      <c r="J2526" t="str">
        <f t="shared" si="234"/>
        <v>Smoker</v>
      </c>
      <c r="K2526">
        <v>0</v>
      </c>
      <c r="L2526">
        <v>0</v>
      </c>
      <c r="M2526">
        <v>0</v>
      </c>
      <c r="N2526">
        <v>0</v>
      </c>
      <c r="O2526">
        <v>244</v>
      </c>
      <c r="P2526" t="str">
        <f t="shared" si="235"/>
        <v>High</v>
      </c>
      <c r="Q2526">
        <v>127.5</v>
      </c>
      <c r="R2526">
        <v>72.5</v>
      </c>
      <c r="S2526">
        <v>24.29</v>
      </c>
      <c r="T2526" t="str">
        <f t="shared" si="236"/>
        <v>Normal</v>
      </c>
      <c r="U2526">
        <v>67</v>
      </c>
      <c r="V2526">
        <v>118</v>
      </c>
      <c r="W2526" t="str">
        <f t="shared" si="239"/>
        <v>Prediabetes</v>
      </c>
      <c r="X2526">
        <v>0</v>
      </c>
    </row>
    <row r="2527" spans="1:24" ht="14.5" thickBot="1" x14ac:dyDescent="0.35">
      <c r="A2527">
        <v>0</v>
      </c>
      <c r="B2527" t="str">
        <f t="shared" si="237"/>
        <v>Female</v>
      </c>
      <c r="C2527" s="8">
        <v>52</v>
      </c>
      <c r="D2527" t="str">
        <f t="shared" si="238"/>
        <v>Middle Age</v>
      </c>
      <c r="E2527">
        <v>2</v>
      </c>
      <c r="F2527" t="str">
        <f>HLOOKUP(E2527, LookUP_Table!$A$6:$D$7, 2, FALSE)</f>
        <v>Secondary</v>
      </c>
      <c r="G2527" t="str">
        <f>IFERROR(VLOOKUP(E2527, LookUP_Table!$A$1:$B$4, 2, FALSE), "")</f>
        <v>Secondary</v>
      </c>
      <c r="H2527">
        <v>1</v>
      </c>
      <c r="I2527">
        <v>20</v>
      </c>
      <c r="J2527" t="str">
        <f t="shared" si="234"/>
        <v>Smoker</v>
      </c>
      <c r="K2527">
        <v>0</v>
      </c>
      <c r="L2527">
        <v>0</v>
      </c>
      <c r="M2527">
        <v>0</v>
      </c>
      <c r="N2527">
        <v>0</v>
      </c>
      <c r="O2527">
        <v>190</v>
      </c>
      <c r="P2527" t="str">
        <f t="shared" si="235"/>
        <v>Normal</v>
      </c>
      <c r="Q2527">
        <v>117</v>
      </c>
      <c r="R2527">
        <v>75</v>
      </c>
      <c r="S2527">
        <v>21.48</v>
      </c>
      <c r="T2527" t="str">
        <f t="shared" si="236"/>
        <v>Normal</v>
      </c>
      <c r="U2527">
        <v>67</v>
      </c>
      <c r="V2527">
        <v>67</v>
      </c>
      <c r="W2527" t="str">
        <f t="shared" si="239"/>
        <v>Normal</v>
      </c>
      <c r="X2527">
        <v>0</v>
      </c>
    </row>
    <row r="2528" spans="1:24" ht="14.5" thickBot="1" x14ac:dyDescent="0.35">
      <c r="A2528">
        <v>1</v>
      </c>
      <c r="B2528" t="str">
        <f t="shared" si="237"/>
        <v>Male</v>
      </c>
      <c r="C2528" s="8">
        <v>52</v>
      </c>
      <c r="D2528" t="str">
        <f t="shared" si="238"/>
        <v>Middle Age</v>
      </c>
      <c r="E2528">
        <v>2</v>
      </c>
      <c r="F2528" t="str">
        <f>HLOOKUP(E2528, LookUP_Table!$A$6:$D$7, 2, FALSE)</f>
        <v>Secondary</v>
      </c>
      <c r="G2528" t="str">
        <f>IFERROR(VLOOKUP(E2528, LookUP_Table!$A$1:$B$4, 2, FALSE), "")</f>
        <v>Secondary</v>
      </c>
      <c r="H2528">
        <v>0</v>
      </c>
      <c r="I2528">
        <v>0</v>
      </c>
      <c r="J2528" t="str">
        <f t="shared" si="234"/>
        <v>Non-Smoker</v>
      </c>
      <c r="K2528">
        <v>0</v>
      </c>
      <c r="L2528">
        <v>0</v>
      </c>
      <c r="M2528">
        <v>1</v>
      </c>
      <c r="N2528">
        <v>0</v>
      </c>
      <c r="O2528">
        <v>196</v>
      </c>
      <c r="P2528" t="str">
        <f t="shared" si="235"/>
        <v>Normal</v>
      </c>
      <c r="Q2528">
        <v>126</v>
      </c>
      <c r="R2528">
        <v>80</v>
      </c>
      <c r="S2528">
        <v>22.32</v>
      </c>
      <c r="T2528" t="str">
        <f t="shared" si="236"/>
        <v>Normal</v>
      </c>
      <c r="U2528">
        <v>104</v>
      </c>
      <c r="V2528">
        <v>74</v>
      </c>
      <c r="W2528" t="str">
        <f t="shared" si="239"/>
        <v>Normal</v>
      </c>
      <c r="X2528">
        <v>0</v>
      </c>
    </row>
    <row r="2529" spans="1:24" ht="14.5" thickBot="1" x14ac:dyDescent="0.35">
      <c r="A2529">
        <v>1</v>
      </c>
      <c r="B2529" t="str">
        <f t="shared" si="237"/>
        <v>Male</v>
      </c>
      <c r="C2529" s="8">
        <v>52</v>
      </c>
      <c r="D2529" t="str">
        <f t="shared" si="238"/>
        <v>Middle Age</v>
      </c>
      <c r="E2529">
        <v>1</v>
      </c>
      <c r="F2529" t="str">
        <f>HLOOKUP(E2529, LookUP_Table!$A$6:$D$7, 2, FALSE)</f>
        <v>Primary</v>
      </c>
      <c r="G2529" t="str">
        <f>IFERROR(VLOOKUP(E2529, LookUP_Table!$A$1:$B$4, 2, FALSE), "")</f>
        <v>Primary</v>
      </c>
      <c r="H2529">
        <v>1</v>
      </c>
      <c r="I2529">
        <v>1</v>
      </c>
      <c r="J2529" t="str">
        <f t="shared" si="234"/>
        <v>Smoker</v>
      </c>
      <c r="K2529">
        <v>0</v>
      </c>
      <c r="L2529">
        <v>0</v>
      </c>
      <c r="M2529">
        <v>0</v>
      </c>
      <c r="N2529">
        <v>0</v>
      </c>
      <c r="O2529">
        <v>211</v>
      </c>
      <c r="P2529" t="str">
        <f t="shared" si="235"/>
        <v>Normal</v>
      </c>
      <c r="Q2529">
        <v>118.5</v>
      </c>
      <c r="R2529">
        <v>82.5</v>
      </c>
      <c r="S2529">
        <v>24.83</v>
      </c>
      <c r="T2529" t="str">
        <f t="shared" si="236"/>
        <v>Normal</v>
      </c>
      <c r="U2529">
        <v>76</v>
      </c>
      <c r="V2529">
        <v>80</v>
      </c>
      <c r="W2529" t="str">
        <f t="shared" si="239"/>
        <v>Normal</v>
      </c>
      <c r="X2529">
        <v>0</v>
      </c>
    </row>
    <row r="2530" spans="1:24" ht="14.5" thickBot="1" x14ac:dyDescent="0.35">
      <c r="A2530">
        <v>0</v>
      </c>
      <c r="B2530" t="str">
        <f t="shared" si="237"/>
        <v>Female</v>
      </c>
      <c r="C2530" s="8">
        <v>52</v>
      </c>
      <c r="D2530" t="str">
        <f t="shared" si="238"/>
        <v>Middle Age</v>
      </c>
      <c r="E2530">
        <v>3</v>
      </c>
      <c r="F2530" t="str">
        <f>HLOOKUP(E2530, LookUP_Table!$A$6:$D$7, 2, FALSE)</f>
        <v>Graduate</v>
      </c>
      <c r="G2530" t="str">
        <f>IFERROR(VLOOKUP(E2530, LookUP_Table!$A$1:$B$4, 2, FALSE), "")</f>
        <v>Graduate</v>
      </c>
      <c r="H2530">
        <v>0</v>
      </c>
      <c r="I2530">
        <v>0</v>
      </c>
      <c r="J2530" t="str">
        <f t="shared" si="234"/>
        <v>Non-Smoker</v>
      </c>
      <c r="K2530">
        <v>0</v>
      </c>
      <c r="L2530">
        <v>0</v>
      </c>
      <c r="M2530">
        <v>0</v>
      </c>
      <c r="N2530">
        <v>0</v>
      </c>
      <c r="O2530">
        <v>272</v>
      </c>
      <c r="P2530" t="str">
        <f t="shared" si="235"/>
        <v>High</v>
      </c>
      <c r="Q2530">
        <v>118.5</v>
      </c>
      <c r="R2530">
        <v>69</v>
      </c>
      <c r="S2530">
        <v>18.98</v>
      </c>
      <c r="T2530" t="str">
        <f t="shared" si="236"/>
        <v>Normal</v>
      </c>
      <c r="U2530">
        <v>70</v>
      </c>
      <c r="V2530">
        <v>75</v>
      </c>
      <c r="W2530" t="str">
        <f t="shared" si="239"/>
        <v>Normal</v>
      </c>
      <c r="X2530">
        <v>0</v>
      </c>
    </row>
    <row r="2531" spans="1:24" ht="14.5" thickBot="1" x14ac:dyDescent="0.35">
      <c r="A2531">
        <v>0</v>
      </c>
      <c r="B2531" t="str">
        <f t="shared" si="237"/>
        <v>Female</v>
      </c>
      <c r="C2531" s="8">
        <v>52</v>
      </c>
      <c r="D2531" t="str">
        <f t="shared" si="238"/>
        <v>Middle Age</v>
      </c>
      <c r="E2531">
        <v>1</v>
      </c>
      <c r="F2531" t="str">
        <f>HLOOKUP(E2531, LookUP_Table!$A$6:$D$7, 2, FALSE)</f>
        <v>Primary</v>
      </c>
      <c r="G2531" t="str">
        <f>IFERROR(VLOOKUP(E2531, LookUP_Table!$A$1:$B$4, 2, FALSE), "")</f>
        <v>Primary</v>
      </c>
      <c r="H2531">
        <v>0</v>
      </c>
      <c r="I2531">
        <v>0</v>
      </c>
      <c r="J2531" t="str">
        <f t="shared" si="234"/>
        <v>Non-Smoker</v>
      </c>
      <c r="K2531">
        <v>0</v>
      </c>
      <c r="L2531">
        <v>0</v>
      </c>
      <c r="M2531">
        <v>1</v>
      </c>
      <c r="N2531">
        <v>0</v>
      </c>
      <c r="O2531">
        <v>247</v>
      </c>
      <c r="P2531" t="str">
        <f t="shared" si="235"/>
        <v>High</v>
      </c>
      <c r="Q2531">
        <v>146</v>
      </c>
      <c r="R2531">
        <v>88</v>
      </c>
      <c r="S2531">
        <v>27.26</v>
      </c>
      <c r="T2531" t="str">
        <f t="shared" si="236"/>
        <v>Overweight</v>
      </c>
      <c r="U2531">
        <v>69</v>
      </c>
      <c r="V2531">
        <v>63</v>
      </c>
      <c r="W2531" t="str">
        <f t="shared" si="239"/>
        <v>Normal</v>
      </c>
      <c r="X2531">
        <v>0</v>
      </c>
    </row>
    <row r="2532" spans="1:24" ht="14.5" thickBot="1" x14ac:dyDescent="0.35">
      <c r="A2532">
        <v>1</v>
      </c>
      <c r="B2532" t="str">
        <f t="shared" si="237"/>
        <v>Male</v>
      </c>
      <c r="C2532" s="8">
        <v>52</v>
      </c>
      <c r="D2532" t="str">
        <f t="shared" si="238"/>
        <v>Middle Age</v>
      </c>
      <c r="E2532">
        <v>3</v>
      </c>
      <c r="F2532" t="str">
        <f>HLOOKUP(E2532, LookUP_Table!$A$6:$D$7, 2, FALSE)</f>
        <v>Graduate</v>
      </c>
      <c r="G2532" t="str">
        <f>IFERROR(VLOOKUP(E2532, LookUP_Table!$A$1:$B$4, 2, FALSE), "")</f>
        <v>Graduate</v>
      </c>
      <c r="H2532">
        <v>0</v>
      </c>
      <c r="I2532">
        <v>0</v>
      </c>
      <c r="J2532" t="str">
        <f t="shared" si="234"/>
        <v>Non-Smoker</v>
      </c>
      <c r="K2532">
        <v>0</v>
      </c>
      <c r="L2532">
        <v>0</v>
      </c>
      <c r="M2532">
        <v>0</v>
      </c>
      <c r="N2532">
        <v>0</v>
      </c>
      <c r="O2532">
        <v>205</v>
      </c>
      <c r="P2532" t="str">
        <f t="shared" si="235"/>
        <v>Normal</v>
      </c>
      <c r="Q2532">
        <v>122</v>
      </c>
      <c r="R2532">
        <v>73</v>
      </c>
      <c r="S2532">
        <v>22.73</v>
      </c>
      <c r="T2532" t="str">
        <f t="shared" si="236"/>
        <v>Normal</v>
      </c>
      <c r="U2532">
        <v>70</v>
      </c>
      <c r="V2532">
        <v>85</v>
      </c>
      <c r="W2532" t="str">
        <f t="shared" si="239"/>
        <v>Normal</v>
      </c>
      <c r="X2532">
        <v>0</v>
      </c>
    </row>
    <row r="2533" spans="1:24" ht="14.5" thickBot="1" x14ac:dyDescent="0.35">
      <c r="A2533">
        <v>1</v>
      </c>
      <c r="B2533" t="str">
        <f t="shared" si="237"/>
        <v>Male</v>
      </c>
      <c r="C2533" s="8">
        <v>52</v>
      </c>
      <c r="D2533" t="str">
        <f t="shared" si="238"/>
        <v>Middle Age</v>
      </c>
      <c r="E2533">
        <v>4</v>
      </c>
      <c r="F2533" t="str">
        <f>HLOOKUP(E2533, LookUP_Table!$A$6:$D$7, 2, FALSE)</f>
        <v>Post Graduate</v>
      </c>
      <c r="G2533" t="str">
        <f>IFERROR(VLOOKUP(E2533, LookUP_Table!$A$1:$B$4, 2, FALSE), "")</f>
        <v>Post Graduate</v>
      </c>
      <c r="H2533">
        <v>1</v>
      </c>
      <c r="I2533">
        <v>20</v>
      </c>
      <c r="J2533" t="str">
        <f t="shared" si="234"/>
        <v>Smoker</v>
      </c>
      <c r="K2533">
        <v>0</v>
      </c>
      <c r="L2533">
        <v>0</v>
      </c>
      <c r="M2533">
        <v>1</v>
      </c>
      <c r="N2533">
        <v>0</v>
      </c>
      <c r="O2533">
        <v>225</v>
      </c>
      <c r="P2533" t="str">
        <f t="shared" si="235"/>
        <v>Normal</v>
      </c>
      <c r="Q2533">
        <v>156</v>
      </c>
      <c r="R2533">
        <v>98</v>
      </c>
      <c r="S2533">
        <v>30.93</v>
      </c>
      <c r="T2533" t="str">
        <f t="shared" si="236"/>
        <v>Obese</v>
      </c>
      <c r="U2533">
        <v>80</v>
      </c>
      <c r="V2533">
        <v>100</v>
      </c>
      <c r="W2533" t="str">
        <f t="shared" si="239"/>
        <v>Prediabetes</v>
      </c>
      <c r="X2533">
        <v>1</v>
      </c>
    </row>
    <row r="2534" spans="1:24" ht="14.5" thickBot="1" x14ac:dyDescent="0.35">
      <c r="A2534">
        <v>1</v>
      </c>
      <c r="B2534" t="str">
        <f t="shared" si="237"/>
        <v>Male</v>
      </c>
      <c r="C2534" s="8">
        <v>52</v>
      </c>
      <c r="D2534" t="str">
        <f t="shared" si="238"/>
        <v>Middle Age</v>
      </c>
      <c r="E2534">
        <v>3</v>
      </c>
      <c r="F2534" t="str">
        <f>HLOOKUP(E2534, LookUP_Table!$A$6:$D$7, 2, FALSE)</f>
        <v>Graduate</v>
      </c>
      <c r="G2534" t="str">
        <f>IFERROR(VLOOKUP(E2534, LookUP_Table!$A$1:$B$4, 2, FALSE), "")</f>
        <v>Graduate</v>
      </c>
      <c r="H2534">
        <v>1</v>
      </c>
      <c r="I2534">
        <v>20</v>
      </c>
      <c r="J2534" t="str">
        <f t="shared" si="234"/>
        <v>Smoker</v>
      </c>
      <c r="K2534">
        <v>0</v>
      </c>
      <c r="L2534">
        <v>0</v>
      </c>
      <c r="M2534">
        <v>0</v>
      </c>
      <c r="N2534">
        <v>0</v>
      </c>
      <c r="O2534">
        <v>265</v>
      </c>
      <c r="P2534" t="str">
        <f t="shared" si="235"/>
        <v>High</v>
      </c>
      <c r="Q2534">
        <v>106</v>
      </c>
      <c r="R2534">
        <v>79</v>
      </c>
      <c r="S2534">
        <v>26.48</v>
      </c>
      <c r="T2534" t="str">
        <f t="shared" si="236"/>
        <v>Overweight</v>
      </c>
      <c r="U2534">
        <v>80</v>
      </c>
      <c r="V2534">
        <v>163</v>
      </c>
      <c r="W2534" t="str">
        <f t="shared" si="239"/>
        <v>Diabetes</v>
      </c>
      <c r="X2534">
        <v>1</v>
      </c>
    </row>
    <row r="2535" spans="1:24" ht="14.5" thickBot="1" x14ac:dyDescent="0.35">
      <c r="A2535">
        <v>1</v>
      </c>
      <c r="B2535" t="str">
        <f t="shared" si="237"/>
        <v>Male</v>
      </c>
      <c r="C2535" s="8">
        <v>52</v>
      </c>
      <c r="D2535" t="str">
        <f t="shared" si="238"/>
        <v>Middle Age</v>
      </c>
      <c r="E2535">
        <v>1</v>
      </c>
      <c r="F2535" t="str">
        <f>HLOOKUP(E2535, LookUP_Table!$A$6:$D$7, 2, FALSE)</f>
        <v>Primary</v>
      </c>
      <c r="G2535" t="str">
        <f>IFERROR(VLOOKUP(E2535, LookUP_Table!$A$1:$B$4, 2, FALSE), "")</f>
        <v>Primary</v>
      </c>
      <c r="H2535">
        <v>1</v>
      </c>
      <c r="I2535">
        <v>3</v>
      </c>
      <c r="J2535" t="str">
        <f t="shared" si="234"/>
        <v>Smoker</v>
      </c>
      <c r="K2535">
        <v>0</v>
      </c>
      <c r="L2535">
        <v>0</v>
      </c>
      <c r="M2535">
        <v>1</v>
      </c>
      <c r="N2535">
        <v>0</v>
      </c>
      <c r="O2535">
        <v>199</v>
      </c>
      <c r="P2535" t="str">
        <f t="shared" si="235"/>
        <v>Normal</v>
      </c>
      <c r="Q2535">
        <v>134</v>
      </c>
      <c r="R2535">
        <v>98</v>
      </c>
      <c r="S2535">
        <v>27.78</v>
      </c>
      <c r="T2535" t="str">
        <f t="shared" si="236"/>
        <v>Overweight</v>
      </c>
      <c r="U2535">
        <v>75</v>
      </c>
      <c r="V2535">
        <v>89</v>
      </c>
      <c r="W2535" t="str">
        <f t="shared" si="239"/>
        <v>Normal</v>
      </c>
      <c r="X2535">
        <v>1</v>
      </c>
    </row>
    <row r="2536" spans="1:24" ht="14.5" thickBot="1" x14ac:dyDescent="0.35">
      <c r="A2536">
        <v>1</v>
      </c>
      <c r="B2536" t="str">
        <f t="shared" si="237"/>
        <v>Male</v>
      </c>
      <c r="C2536" s="8">
        <v>52</v>
      </c>
      <c r="D2536" t="str">
        <f t="shared" si="238"/>
        <v>Middle Age</v>
      </c>
      <c r="E2536">
        <v>3</v>
      </c>
      <c r="F2536" t="str">
        <f>HLOOKUP(E2536, LookUP_Table!$A$6:$D$7, 2, FALSE)</f>
        <v>Graduate</v>
      </c>
      <c r="G2536" t="str">
        <f>IFERROR(VLOOKUP(E2536, LookUP_Table!$A$1:$B$4, 2, FALSE), "")</f>
        <v>Graduate</v>
      </c>
      <c r="H2536">
        <v>1</v>
      </c>
      <c r="I2536">
        <v>15</v>
      </c>
      <c r="J2536" t="str">
        <f t="shared" si="234"/>
        <v>Smoker</v>
      </c>
      <c r="K2536">
        <v>0</v>
      </c>
      <c r="L2536">
        <v>0</v>
      </c>
      <c r="M2536">
        <v>0</v>
      </c>
      <c r="N2536">
        <v>0</v>
      </c>
      <c r="O2536">
        <v>225</v>
      </c>
      <c r="P2536" t="str">
        <f t="shared" si="235"/>
        <v>Normal</v>
      </c>
      <c r="Q2536">
        <v>131</v>
      </c>
      <c r="R2536">
        <v>74</v>
      </c>
      <c r="S2536">
        <v>24.54</v>
      </c>
      <c r="T2536" t="str">
        <f t="shared" si="236"/>
        <v>Normal</v>
      </c>
      <c r="U2536">
        <v>65</v>
      </c>
      <c r="V2536">
        <v>77</v>
      </c>
      <c r="W2536" t="str">
        <f t="shared" si="239"/>
        <v>Normal</v>
      </c>
      <c r="X2536">
        <v>1</v>
      </c>
    </row>
    <row r="2537" spans="1:24" ht="14.5" thickBot="1" x14ac:dyDescent="0.35">
      <c r="A2537">
        <v>0</v>
      </c>
      <c r="B2537" t="str">
        <f t="shared" si="237"/>
        <v>Female</v>
      </c>
      <c r="C2537" s="8">
        <v>52</v>
      </c>
      <c r="D2537" t="str">
        <f t="shared" si="238"/>
        <v>Middle Age</v>
      </c>
      <c r="E2537">
        <v>4</v>
      </c>
      <c r="F2537" t="str">
        <f>HLOOKUP(E2537, LookUP_Table!$A$6:$D$7, 2, FALSE)</f>
        <v>Post Graduate</v>
      </c>
      <c r="G2537" t="str">
        <f>IFERROR(VLOOKUP(E2537, LookUP_Table!$A$1:$B$4, 2, FALSE), "")</f>
        <v>Post Graduate</v>
      </c>
      <c r="H2537">
        <v>0</v>
      </c>
      <c r="I2537">
        <v>0</v>
      </c>
      <c r="J2537" t="str">
        <f t="shared" si="234"/>
        <v>Non-Smoker</v>
      </c>
      <c r="K2537">
        <v>0</v>
      </c>
      <c r="L2537">
        <v>0</v>
      </c>
      <c r="M2537">
        <v>1</v>
      </c>
      <c r="N2537">
        <v>0</v>
      </c>
      <c r="O2537">
        <v>240</v>
      </c>
      <c r="P2537" t="str">
        <f t="shared" si="235"/>
        <v>Normal</v>
      </c>
      <c r="Q2537">
        <v>177</v>
      </c>
      <c r="R2537">
        <v>103.5</v>
      </c>
      <c r="S2537">
        <v>24.39</v>
      </c>
      <c r="T2537" t="str">
        <f t="shared" si="236"/>
        <v>Normal</v>
      </c>
      <c r="U2537">
        <v>86</v>
      </c>
      <c r="V2537">
        <v>75</v>
      </c>
      <c r="W2537" t="str">
        <f t="shared" si="239"/>
        <v>Normal</v>
      </c>
      <c r="X2537">
        <v>1</v>
      </c>
    </row>
    <row r="2538" spans="1:24" ht="14.5" thickBot="1" x14ac:dyDescent="0.35">
      <c r="A2538">
        <v>0</v>
      </c>
      <c r="B2538" t="str">
        <f t="shared" si="237"/>
        <v>Female</v>
      </c>
      <c r="C2538" s="8">
        <v>52</v>
      </c>
      <c r="D2538" t="str">
        <f t="shared" si="238"/>
        <v>Middle Age</v>
      </c>
      <c r="E2538">
        <v>1</v>
      </c>
      <c r="F2538" t="str">
        <f>HLOOKUP(E2538, LookUP_Table!$A$6:$D$7, 2, FALSE)</f>
        <v>Primary</v>
      </c>
      <c r="G2538" t="str">
        <f>IFERROR(VLOOKUP(E2538, LookUP_Table!$A$1:$B$4, 2, FALSE), "")</f>
        <v>Primary</v>
      </c>
      <c r="H2538">
        <v>0</v>
      </c>
      <c r="I2538">
        <v>0</v>
      </c>
      <c r="J2538" t="str">
        <f t="shared" si="234"/>
        <v>Non-Smoker</v>
      </c>
      <c r="K2538">
        <v>0</v>
      </c>
      <c r="L2538">
        <v>0</v>
      </c>
      <c r="M2538">
        <v>0</v>
      </c>
      <c r="N2538">
        <v>0</v>
      </c>
      <c r="O2538">
        <v>245</v>
      </c>
      <c r="P2538" t="str">
        <f t="shared" si="235"/>
        <v>High</v>
      </c>
      <c r="Q2538">
        <v>131</v>
      </c>
      <c r="R2538">
        <v>80</v>
      </c>
      <c r="S2538">
        <v>32.04</v>
      </c>
      <c r="T2538" t="str">
        <f t="shared" si="236"/>
        <v>Obese</v>
      </c>
      <c r="U2538">
        <v>80</v>
      </c>
      <c r="V2538">
        <v>81</v>
      </c>
      <c r="W2538" t="str">
        <f t="shared" si="239"/>
        <v>Normal</v>
      </c>
      <c r="X2538">
        <v>0</v>
      </c>
    </row>
    <row r="2539" spans="1:24" ht="14.5" thickBot="1" x14ac:dyDescent="0.35">
      <c r="A2539">
        <v>1</v>
      </c>
      <c r="B2539" t="str">
        <f t="shared" si="237"/>
        <v>Male</v>
      </c>
      <c r="C2539" s="8">
        <v>52</v>
      </c>
      <c r="D2539" t="str">
        <f t="shared" si="238"/>
        <v>Middle Age</v>
      </c>
      <c r="E2539">
        <v>1</v>
      </c>
      <c r="F2539" t="str">
        <f>HLOOKUP(E2539, LookUP_Table!$A$6:$D$7, 2, FALSE)</f>
        <v>Primary</v>
      </c>
      <c r="G2539" t="str">
        <f>IFERROR(VLOOKUP(E2539, LookUP_Table!$A$1:$B$4, 2, FALSE), "")</f>
        <v>Primary</v>
      </c>
      <c r="H2539">
        <v>0</v>
      </c>
      <c r="I2539">
        <v>0</v>
      </c>
      <c r="J2539" t="str">
        <f t="shared" si="234"/>
        <v>Non-Smoker</v>
      </c>
      <c r="K2539">
        <v>0</v>
      </c>
      <c r="L2539">
        <v>0</v>
      </c>
      <c r="M2539">
        <v>0</v>
      </c>
      <c r="N2539">
        <v>0</v>
      </c>
      <c r="O2539">
        <v>200</v>
      </c>
      <c r="P2539" t="str">
        <f t="shared" si="235"/>
        <v>Normal</v>
      </c>
      <c r="Q2539">
        <v>114</v>
      </c>
      <c r="R2539">
        <v>77</v>
      </c>
      <c r="S2539">
        <v>28.28</v>
      </c>
      <c r="T2539" t="str">
        <f t="shared" si="236"/>
        <v>Overweight</v>
      </c>
      <c r="U2539">
        <v>66</v>
      </c>
      <c r="V2539">
        <v>84</v>
      </c>
      <c r="W2539" t="str">
        <f t="shared" si="239"/>
        <v>Normal</v>
      </c>
      <c r="X2539">
        <v>0</v>
      </c>
    </row>
    <row r="2540" spans="1:24" ht="14.5" thickBot="1" x14ac:dyDescent="0.35">
      <c r="A2540">
        <v>0</v>
      </c>
      <c r="B2540" t="str">
        <f t="shared" si="237"/>
        <v>Female</v>
      </c>
      <c r="C2540" s="8">
        <v>52</v>
      </c>
      <c r="D2540" t="str">
        <f t="shared" si="238"/>
        <v>Middle Age</v>
      </c>
      <c r="E2540">
        <v>1</v>
      </c>
      <c r="F2540" t="str">
        <f>HLOOKUP(E2540, LookUP_Table!$A$6:$D$7, 2, FALSE)</f>
        <v>Primary</v>
      </c>
      <c r="G2540" t="str">
        <f>IFERROR(VLOOKUP(E2540, LookUP_Table!$A$1:$B$4, 2, FALSE), "")</f>
        <v>Primary</v>
      </c>
      <c r="H2540">
        <v>1</v>
      </c>
      <c r="I2540">
        <v>10</v>
      </c>
      <c r="J2540" t="str">
        <f t="shared" si="234"/>
        <v>Smoker</v>
      </c>
      <c r="K2540">
        <v>0</v>
      </c>
      <c r="L2540">
        <v>0</v>
      </c>
      <c r="M2540">
        <v>0</v>
      </c>
      <c r="N2540">
        <v>0</v>
      </c>
      <c r="O2540">
        <v>246</v>
      </c>
      <c r="P2540" t="str">
        <f t="shared" si="235"/>
        <v>High</v>
      </c>
      <c r="Q2540">
        <v>113.5</v>
      </c>
      <c r="R2540">
        <v>66.5</v>
      </c>
      <c r="S2540">
        <v>19.47</v>
      </c>
      <c r="T2540" t="str">
        <f t="shared" si="236"/>
        <v>Normal</v>
      </c>
      <c r="U2540">
        <v>85</v>
      </c>
      <c r="V2540">
        <v>60</v>
      </c>
      <c r="W2540" t="str">
        <f t="shared" si="239"/>
        <v>Normal</v>
      </c>
      <c r="X2540">
        <v>0</v>
      </c>
    </row>
    <row r="2541" spans="1:24" ht="14.5" thickBot="1" x14ac:dyDescent="0.35">
      <c r="A2541">
        <v>1</v>
      </c>
      <c r="B2541" t="str">
        <f t="shared" si="237"/>
        <v>Male</v>
      </c>
      <c r="C2541" s="8">
        <v>52</v>
      </c>
      <c r="D2541" t="str">
        <f t="shared" si="238"/>
        <v>Middle Age</v>
      </c>
      <c r="E2541">
        <v>1</v>
      </c>
      <c r="F2541" t="str">
        <f>HLOOKUP(E2541, LookUP_Table!$A$6:$D$7, 2, FALSE)</f>
        <v>Primary</v>
      </c>
      <c r="G2541" t="str">
        <f>IFERROR(VLOOKUP(E2541, LookUP_Table!$A$1:$B$4, 2, FALSE), "")</f>
        <v>Primary</v>
      </c>
      <c r="H2541">
        <v>0</v>
      </c>
      <c r="I2541">
        <v>0</v>
      </c>
      <c r="J2541" t="str">
        <f t="shared" si="234"/>
        <v>Non-Smoker</v>
      </c>
      <c r="K2541">
        <v>0</v>
      </c>
      <c r="L2541">
        <v>0</v>
      </c>
      <c r="M2541">
        <v>0</v>
      </c>
      <c r="N2541">
        <v>0</v>
      </c>
      <c r="O2541">
        <v>200</v>
      </c>
      <c r="P2541" t="str">
        <f t="shared" si="235"/>
        <v>Normal</v>
      </c>
      <c r="Q2541">
        <v>113</v>
      </c>
      <c r="R2541">
        <v>76.5</v>
      </c>
      <c r="S2541">
        <v>27.22</v>
      </c>
      <c r="T2541" t="str">
        <f t="shared" si="236"/>
        <v>Overweight</v>
      </c>
      <c r="U2541">
        <v>72</v>
      </c>
      <c r="V2541">
        <v>73</v>
      </c>
      <c r="W2541" t="str">
        <f t="shared" si="239"/>
        <v>Normal</v>
      </c>
      <c r="X2541">
        <v>0</v>
      </c>
    </row>
    <row r="2542" spans="1:24" ht="14.5" thickBot="1" x14ac:dyDescent="0.35">
      <c r="A2542">
        <v>0</v>
      </c>
      <c r="B2542" t="str">
        <f t="shared" si="237"/>
        <v>Female</v>
      </c>
      <c r="C2542" s="8">
        <v>52</v>
      </c>
      <c r="D2542" t="str">
        <f t="shared" si="238"/>
        <v>Middle Age</v>
      </c>
      <c r="E2542">
        <v>2</v>
      </c>
      <c r="F2542" t="str">
        <f>HLOOKUP(E2542, LookUP_Table!$A$6:$D$7, 2, FALSE)</f>
        <v>Secondary</v>
      </c>
      <c r="G2542" t="str">
        <f>IFERROR(VLOOKUP(E2542, LookUP_Table!$A$1:$B$4, 2, FALSE), "")</f>
        <v>Secondary</v>
      </c>
      <c r="H2542">
        <v>0</v>
      </c>
      <c r="I2542">
        <v>0</v>
      </c>
      <c r="J2542" t="str">
        <f t="shared" si="234"/>
        <v>Non-Smoker</v>
      </c>
      <c r="K2542">
        <v>0</v>
      </c>
      <c r="L2542">
        <v>0</v>
      </c>
      <c r="M2542">
        <v>1</v>
      </c>
      <c r="N2542">
        <v>1</v>
      </c>
      <c r="O2542">
        <v>600</v>
      </c>
      <c r="P2542" t="str">
        <f t="shared" si="235"/>
        <v>High</v>
      </c>
      <c r="Q2542">
        <v>159.5</v>
      </c>
      <c r="R2542">
        <v>94</v>
      </c>
      <c r="S2542">
        <v>28.27</v>
      </c>
      <c r="T2542" t="str">
        <f t="shared" si="236"/>
        <v>Overweight</v>
      </c>
      <c r="U2542">
        <v>78</v>
      </c>
      <c r="V2542">
        <v>140</v>
      </c>
      <c r="W2542" t="str">
        <f t="shared" si="239"/>
        <v>Diabetes</v>
      </c>
      <c r="X2542">
        <v>1</v>
      </c>
    </row>
    <row r="2543" spans="1:24" ht="14.5" thickBot="1" x14ac:dyDescent="0.35">
      <c r="A2543">
        <v>0</v>
      </c>
      <c r="B2543" t="str">
        <f t="shared" si="237"/>
        <v>Female</v>
      </c>
      <c r="C2543" s="8">
        <v>52</v>
      </c>
      <c r="D2543" t="str">
        <f t="shared" si="238"/>
        <v>Middle Age</v>
      </c>
      <c r="E2543">
        <v>2</v>
      </c>
      <c r="F2543" t="str">
        <f>HLOOKUP(E2543, LookUP_Table!$A$6:$D$7, 2, FALSE)</f>
        <v>Secondary</v>
      </c>
      <c r="G2543" t="str">
        <f>IFERROR(VLOOKUP(E2543, LookUP_Table!$A$1:$B$4, 2, FALSE), "")</f>
        <v>Secondary</v>
      </c>
      <c r="H2543">
        <v>0</v>
      </c>
      <c r="I2543">
        <v>0</v>
      </c>
      <c r="J2543" t="str">
        <f t="shared" si="234"/>
        <v>Non-Smoker</v>
      </c>
      <c r="K2543">
        <v>0</v>
      </c>
      <c r="L2543">
        <v>0</v>
      </c>
      <c r="M2543">
        <v>1</v>
      </c>
      <c r="N2543">
        <v>0</v>
      </c>
      <c r="O2543">
        <v>215</v>
      </c>
      <c r="P2543" t="str">
        <f t="shared" si="235"/>
        <v>Normal</v>
      </c>
      <c r="Q2543">
        <v>159</v>
      </c>
      <c r="R2543">
        <v>64</v>
      </c>
      <c r="S2543">
        <v>24.56</v>
      </c>
      <c r="T2543" t="str">
        <f t="shared" si="236"/>
        <v>Normal</v>
      </c>
      <c r="U2543">
        <v>58</v>
      </c>
      <c r="V2543">
        <v>124</v>
      </c>
      <c r="W2543" t="str">
        <f t="shared" si="239"/>
        <v>Prediabetes</v>
      </c>
      <c r="X2543">
        <v>1</v>
      </c>
    </row>
    <row r="2544" spans="1:24" ht="14.5" thickBot="1" x14ac:dyDescent="0.35">
      <c r="A2544">
        <v>0</v>
      </c>
      <c r="B2544" t="str">
        <f t="shared" si="237"/>
        <v>Female</v>
      </c>
      <c r="C2544" s="8">
        <v>52</v>
      </c>
      <c r="D2544" t="str">
        <f t="shared" si="238"/>
        <v>Middle Age</v>
      </c>
      <c r="E2544">
        <v>2</v>
      </c>
      <c r="F2544" t="str">
        <f>HLOOKUP(E2544, LookUP_Table!$A$6:$D$7, 2, FALSE)</f>
        <v>Secondary</v>
      </c>
      <c r="G2544" t="str">
        <f>IFERROR(VLOOKUP(E2544, LookUP_Table!$A$1:$B$4, 2, FALSE), "")</f>
        <v>Secondary</v>
      </c>
      <c r="H2544">
        <v>1</v>
      </c>
      <c r="I2544">
        <v>20</v>
      </c>
      <c r="J2544" t="str">
        <f t="shared" si="234"/>
        <v>Smoker</v>
      </c>
      <c r="K2544">
        <v>0</v>
      </c>
      <c r="L2544">
        <v>0</v>
      </c>
      <c r="M2544">
        <v>1</v>
      </c>
      <c r="N2544">
        <v>1</v>
      </c>
      <c r="O2544">
        <v>334</v>
      </c>
      <c r="P2544" t="str">
        <f t="shared" si="235"/>
        <v>High</v>
      </c>
      <c r="Q2544">
        <v>147</v>
      </c>
      <c r="R2544">
        <v>86</v>
      </c>
      <c r="S2544">
        <v>29.01</v>
      </c>
      <c r="T2544" t="str">
        <f t="shared" si="236"/>
        <v>Overweight</v>
      </c>
      <c r="U2544">
        <v>80</v>
      </c>
      <c r="V2544">
        <v>63</v>
      </c>
      <c r="W2544" t="str">
        <f t="shared" si="239"/>
        <v>Normal</v>
      </c>
      <c r="X2544">
        <v>0</v>
      </c>
    </row>
    <row r="2545" spans="1:24" ht="14.5" thickBot="1" x14ac:dyDescent="0.35">
      <c r="A2545">
        <v>1</v>
      </c>
      <c r="B2545" t="str">
        <f t="shared" si="237"/>
        <v>Male</v>
      </c>
      <c r="C2545" s="8">
        <v>52</v>
      </c>
      <c r="D2545" t="str">
        <f t="shared" si="238"/>
        <v>Middle Age</v>
      </c>
      <c r="E2545">
        <v>1</v>
      </c>
      <c r="F2545" t="str">
        <f>HLOOKUP(E2545, LookUP_Table!$A$6:$D$7, 2, FALSE)</f>
        <v>Primary</v>
      </c>
      <c r="G2545" t="str">
        <f>IFERROR(VLOOKUP(E2545, LookUP_Table!$A$1:$B$4, 2, FALSE), "")</f>
        <v>Primary</v>
      </c>
      <c r="H2545">
        <v>0</v>
      </c>
      <c r="I2545">
        <v>0</v>
      </c>
      <c r="J2545" t="str">
        <f t="shared" si="234"/>
        <v>Non-Smoker</v>
      </c>
      <c r="K2545">
        <v>0</v>
      </c>
      <c r="L2545">
        <v>0</v>
      </c>
      <c r="M2545">
        <v>0</v>
      </c>
      <c r="N2545">
        <v>0</v>
      </c>
      <c r="O2545">
        <v>206</v>
      </c>
      <c r="P2545" t="str">
        <f t="shared" si="235"/>
        <v>Normal</v>
      </c>
      <c r="Q2545">
        <v>110</v>
      </c>
      <c r="R2545">
        <v>78</v>
      </c>
      <c r="S2545">
        <v>33.03</v>
      </c>
      <c r="T2545" t="str">
        <f t="shared" si="236"/>
        <v>Obese</v>
      </c>
      <c r="U2545">
        <v>65</v>
      </c>
      <c r="V2545">
        <v>62</v>
      </c>
      <c r="W2545" t="str">
        <f t="shared" si="239"/>
        <v>Normal</v>
      </c>
      <c r="X2545">
        <v>0</v>
      </c>
    </row>
    <row r="2546" spans="1:24" ht="14.5" thickBot="1" x14ac:dyDescent="0.35">
      <c r="A2546">
        <v>0</v>
      </c>
      <c r="B2546" t="str">
        <f t="shared" si="237"/>
        <v>Female</v>
      </c>
      <c r="C2546" s="8">
        <v>52</v>
      </c>
      <c r="D2546" t="str">
        <f t="shared" si="238"/>
        <v>Middle Age</v>
      </c>
      <c r="E2546">
        <v>1</v>
      </c>
      <c r="F2546" t="str">
        <f>HLOOKUP(E2546, LookUP_Table!$A$6:$D$7, 2, FALSE)</f>
        <v>Primary</v>
      </c>
      <c r="G2546" t="str">
        <f>IFERROR(VLOOKUP(E2546, LookUP_Table!$A$1:$B$4, 2, FALSE), "")</f>
        <v>Primary</v>
      </c>
      <c r="H2546">
        <v>1</v>
      </c>
      <c r="I2546">
        <v>1</v>
      </c>
      <c r="J2546" t="str">
        <f t="shared" si="234"/>
        <v>Smoker</v>
      </c>
      <c r="K2546">
        <v>0</v>
      </c>
      <c r="L2546">
        <v>0</v>
      </c>
      <c r="M2546">
        <v>0</v>
      </c>
      <c r="N2546">
        <v>0</v>
      </c>
      <c r="O2546">
        <v>234</v>
      </c>
      <c r="P2546" t="str">
        <f t="shared" si="235"/>
        <v>Normal</v>
      </c>
      <c r="Q2546">
        <v>111</v>
      </c>
      <c r="R2546">
        <v>81</v>
      </c>
      <c r="S2546">
        <v>22.35</v>
      </c>
      <c r="T2546" t="str">
        <f t="shared" si="236"/>
        <v>Normal</v>
      </c>
      <c r="U2546">
        <v>70</v>
      </c>
      <c r="V2546">
        <v>77</v>
      </c>
      <c r="W2546" t="str">
        <f t="shared" si="239"/>
        <v>Normal</v>
      </c>
      <c r="X2546">
        <v>0</v>
      </c>
    </row>
    <row r="2547" spans="1:24" ht="14.5" thickBot="1" x14ac:dyDescent="0.35">
      <c r="A2547">
        <v>1</v>
      </c>
      <c r="B2547" t="str">
        <f t="shared" si="237"/>
        <v>Male</v>
      </c>
      <c r="C2547" s="8">
        <v>52</v>
      </c>
      <c r="D2547" t="str">
        <f t="shared" si="238"/>
        <v>Middle Age</v>
      </c>
      <c r="E2547">
        <v>1</v>
      </c>
      <c r="F2547" t="str">
        <f>HLOOKUP(E2547, LookUP_Table!$A$6:$D$7, 2, FALSE)</f>
        <v>Primary</v>
      </c>
      <c r="G2547" t="str">
        <f>IFERROR(VLOOKUP(E2547, LookUP_Table!$A$1:$B$4, 2, FALSE), "")</f>
        <v>Primary</v>
      </c>
      <c r="H2547">
        <v>0</v>
      </c>
      <c r="I2547">
        <v>0</v>
      </c>
      <c r="J2547" t="str">
        <f t="shared" si="234"/>
        <v>Non-Smoker</v>
      </c>
      <c r="K2547">
        <v>0</v>
      </c>
      <c r="L2547">
        <v>0</v>
      </c>
      <c r="M2547">
        <v>1</v>
      </c>
      <c r="N2547">
        <v>0</v>
      </c>
      <c r="O2547">
        <v>318</v>
      </c>
      <c r="P2547" t="str">
        <f t="shared" si="235"/>
        <v>High</v>
      </c>
      <c r="Q2547">
        <v>144</v>
      </c>
      <c r="R2547">
        <v>85</v>
      </c>
      <c r="S2547">
        <v>27.66</v>
      </c>
      <c r="T2547" t="str">
        <f t="shared" si="236"/>
        <v>Overweight</v>
      </c>
      <c r="U2547">
        <v>78</v>
      </c>
      <c r="V2547">
        <v>64</v>
      </c>
      <c r="W2547" t="str">
        <f t="shared" si="239"/>
        <v>Normal</v>
      </c>
      <c r="X2547">
        <v>0</v>
      </c>
    </row>
    <row r="2548" spans="1:24" ht="14.5" thickBot="1" x14ac:dyDescent="0.35">
      <c r="A2548">
        <v>1</v>
      </c>
      <c r="B2548" t="str">
        <f t="shared" si="237"/>
        <v>Male</v>
      </c>
      <c r="C2548" s="8">
        <v>52</v>
      </c>
      <c r="D2548" t="str">
        <f t="shared" si="238"/>
        <v>Middle Age</v>
      </c>
      <c r="E2548">
        <v>2</v>
      </c>
      <c r="F2548" t="str">
        <f>HLOOKUP(E2548, LookUP_Table!$A$6:$D$7, 2, FALSE)</f>
        <v>Secondary</v>
      </c>
      <c r="G2548" t="str">
        <f>IFERROR(VLOOKUP(E2548, LookUP_Table!$A$1:$B$4, 2, FALSE), "")</f>
        <v>Secondary</v>
      </c>
      <c r="H2548">
        <v>1</v>
      </c>
      <c r="I2548">
        <v>30</v>
      </c>
      <c r="J2548" t="str">
        <f t="shared" si="234"/>
        <v>Smoker</v>
      </c>
      <c r="K2548">
        <v>0</v>
      </c>
      <c r="L2548">
        <v>0</v>
      </c>
      <c r="M2548">
        <v>1</v>
      </c>
      <c r="N2548">
        <v>0</v>
      </c>
      <c r="O2548">
        <v>312</v>
      </c>
      <c r="P2548" t="str">
        <f t="shared" si="235"/>
        <v>High</v>
      </c>
      <c r="Q2548">
        <v>148</v>
      </c>
      <c r="R2548">
        <v>99</v>
      </c>
      <c r="S2548">
        <v>26.73</v>
      </c>
      <c r="T2548" t="str">
        <f t="shared" si="236"/>
        <v>Overweight</v>
      </c>
      <c r="U2548">
        <v>75</v>
      </c>
      <c r="V2548">
        <v>65</v>
      </c>
      <c r="W2548" t="str">
        <f t="shared" si="239"/>
        <v>Normal</v>
      </c>
      <c r="X2548">
        <v>0</v>
      </c>
    </row>
    <row r="2549" spans="1:24" ht="14.5" thickBot="1" x14ac:dyDescent="0.35">
      <c r="A2549">
        <v>0</v>
      </c>
      <c r="B2549" t="str">
        <f t="shared" si="237"/>
        <v>Female</v>
      </c>
      <c r="C2549" s="8">
        <v>52</v>
      </c>
      <c r="D2549" t="str">
        <f t="shared" si="238"/>
        <v>Middle Age</v>
      </c>
      <c r="E2549">
        <v>1</v>
      </c>
      <c r="F2549" t="str">
        <f>HLOOKUP(E2549, LookUP_Table!$A$6:$D$7, 2, FALSE)</f>
        <v>Primary</v>
      </c>
      <c r="G2549" t="str">
        <f>IFERROR(VLOOKUP(E2549, LookUP_Table!$A$1:$B$4, 2, FALSE), "")</f>
        <v>Primary</v>
      </c>
      <c r="H2549">
        <v>0</v>
      </c>
      <c r="I2549">
        <v>0</v>
      </c>
      <c r="J2549" t="str">
        <f t="shared" si="234"/>
        <v>Non-Smoker</v>
      </c>
      <c r="K2549">
        <v>0</v>
      </c>
      <c r="L2549">
        <v>0</v>
      </c>
      <c r="M2549">
        <v>0</v>
      </c>
      <c r="N2549">
        <v>0</v>
      </c>
      <c r="O2549">
        <v>236.69952267303103</v>
      </c>
      <c r="P2549" t="str">
        <f t="shared" si="235"/>
        <v>Normal</v>
      </c>
      <c r="Q2549">
        <v>129</v>
      </c>
      <c r="R2549">
        <v>80</v>
      </c>
      <c r="S2549">
        <v>28.06</v>
      </c>
      <c r="T2549" t="str">
        <f t="shared" si="236"/>
        <v>Overweight</v>
      </c>
      <c r="U2549">
        <v>90</v>
      </c>
      <c r="V2549">
        <v>81.96365524402907</v>
      </c>
      <c r="W2549" t="str">
        <f t="shared" si="239"/>
        <v>Normal</v>
      </c>
      <c r="X2549">
        <v>1</v>
      </c>
    </row>
    <row r="2550" spans="1:24" ht="14.5" thickBot="1" x14ac:dyDescent="0.35">
      <c r="A2550">
        <v>1</v>
      </c>
      <c r="B2550" t="str">
        <f t="shared" si="237"/>
        <v>Male</v>
      </c>
      <c r="C2550" s="8">
        <v>52</v>
      </c>
      <c r="D2550" t="str">
        <f t="shared" si="238"/>
        <v>Middle Age</v>
      </c>
      <c r="E2550">
        <v>1</v>
      </c>
      <c r="F2550" t="str">
        <f>HLOOKUP(E2550, LookUP_Table!$A$6:$D$7, 2, FALSE)</f>
        <v>Primary</v>
      </c>
      <c r="G2550" t="str">
        <f>IFERROR(VLOOKUP(E2550, LookUP_Table!$A$1:$B$4, 2, FALSE), "")</f>
        <v>Primary</v>
      </c>
      <c r="H2550">
        <v>1</v>
      </c>
      <c r="I2550">
        <v>15</v>
      </c>
      <c r="J2550" t="str">
        <f t="shared" si="234"/>
        <v>Smoker</v>
      </c>
      <c r="K2550">
        <v>0</v>
      </c>
      <c r="L2550">
        <v>0</v>
      </c>
      <c r="M2550">
        <v>0</v>
      </c>
      <c r="N2550">
        <v>0</v>
      </c>
      <c r="O2550">
        <v>240</v>
      </c>
      <c r="P2550" t="str">
        <f t="shared" si="235"/>
        <v>Normal</v>
      </c>
      <c r="Q2550">
        <v>120</v>
      </c>
      <c r="R2550">
        <v>77</v>
      </c>
      <c r="S2550">
        <v>32.270000000000003</v>
      </c>
      <c r="T2550" t="str">
        <f t="shared" si="236"/>
        <v>Obese</v>
      </c>
      <c r="U2550">
        <v>80</v>
      </c>
      <c r="V2550">
        <v>62</v>
      </c>
      <c r="W2550" t="str">
        <f t="shared" si="239"/>
        <v>Normal</v>
      </c>
      <c r="X2550">
        <v>0</v>
      </c>
    </row>
    <row r="2551" spans="1:24" ht="14.5" thickBot="1" x14ac:dyDescent="0.35">
      <c r="A2551">
        <v>1</v>
      </c>
      <c r="B2551" t="str">
        <f t="shared" si="237"/>
        <v>Male</v>
      </c>
      <c r="C2551" s="8">
        <v>52</v>
      </c>
      <c r="D2551" t="str">
        <f t="shared" si="238"/>
        <v>Middle Age</v>
      </c>
      <c r="E2551">
        <v>1</v>
      </c>
      <c r="F2551" t="str">
        <f>HLOOKUP(E2551, LookUP_Table!$A$6:$D$7, 2, FALSE)</f>
        <v>Primary</v>
      </c>
      <c r="G2551" t="str">
        <f>IFERROR(VLOOKUP(E2551, LookUP_Table!$A$1:$B$4, 2, FALSE), "")</f>
        <v>Primary</v>
      </c>
      <c r="H2551">
        <v>1</v>
      </c>
      <c r="I2551">
        <v>25</v>
      </c>
      <c r="J2551" t="str">
        <f t="shared" si="234"/>
        <v>Smoker</v>
      </c>
      <c r="K2551">
        <v>0</v>
      </c>
      <c r="L2551">
        <v>0</v>
      </c>
      <c r="M2551">
        <v>0</v>
      </c>
      <c r="N2551">
        <v>0</v>
      </c>
      <c r="O2551">
        <v>271</v>
      </c>
      <c r="P2551" t="str">
        <f t="shared" si="235"/>
        <v>High</v>
      </c>
      <c r="Q2551">
        <v>121</v>
      </c>
      <c r="R2551">
        <v>73</v>
      </c>
      <c r="S2551">
        <v>21.85</v>
      </c>
      <c r="T2551" t="str">
        <f t="shared" si="236"/>
        <v>Normal</v>
      </c>
      <c r="U2551">
        <v>70</v>
      </c>
      <c r="V2551">
        <v>86</v>
      </c>
      <c r="W2551" t="str">
        <f t="shared" si="239"/>
        <v>Normal</v>
      </c>
      <c r="X2551">
        <v>1</v>
      </c>
    </row>
    <row r="2552" spans="1:24" ht="14.5" thickBot="1" x14ac:dyDescent="0.35">
      <c r="A2552">
        <v>0</v>
      </c>
      <c r="B2552" t="str">
        <f t="shared" si="237"/>
        <v>Female</v>
      </c>
      <c r="C2552" s="8">
        <v>52</v>
      </c>
      <c r="D2552" t="str">
        <f t="shared" si="238"/>
        <v>Middle Age</v>
      </c>
      <c r="E2552">
        <v>3</v>
      </c>
      <c r="F2552" t="str">
        <f>HLOOKUP(E2552, LookUP_Table!$A$6:$D$7, 2, FALSE)</f>
        <v>Graduate</v>
      </c>
      <c r="G2552" t="str">
        <f>IFERROR(VLOOKUP(E2552, LookUP_Table!$A$1:$B$4, 2, FALSE), "")</f>
        <v>Graduate</v>
      </c>
      <c r="H2552">
        <v>0</v>
      </c>
      <c r="I2552">
        <v>0</v>
      </c>
      <c r="J2552" t="str">
        <f t="shared" si="234"/>
        <v>Non-Smoker</v>
      </c>
      <c r="K2552">
        <v>0</v>
      </c>
      <c r="L2552">
        <v>0</v>
      </c>
      <c r="M2552">
        <v>0</v>
      </c>
      <c r="N2552">
        <v>0</v>
      </c>
      <c r="O2552">
        <v>275</v>
      </c>
      <c r="P2552" t="str">
        <f t="shared" si="235"/>
        <v>High</v>
      </c>
      <c r="Q2552">
        <v>137</v>
      </c>
      <c r="R2552">
        <v>85</v>
      </c>
      <c r="S2552">
        <v>25.89</v>
      </c>
      <c r="T2552" t="str">
        <f t="shared" si="236"/>
        <v>Overweight</v>
      </c>
      <c r="U2552">
        <v>70</v>
      </c>
      <c r="V2552">
        <v>81.96365524402907</v>
      </c>
      <c r="W2552" t="str">
        <f t="shared" si="239"/>
        <v>Normal</v>
      </c>
      <c r="X2552">
        <v>0</v>
      </c>
    </row>
    <row r="2553" spans="1:24" ht="14.5" thickBot="1" x14ac:dyDescent="0.35">
      <c r="A2553">
        <v>1</v>
      </c>
      <c r="B2553" t="str">
        <f t="shared" si="237"/>
        <v>Male</v>
      </c>
      <c r="C2553" s="8">
        <v>52</v>
      </c>
      <c r="D2553" t="str">
        <f t="shared" si="238"/>
        <v>Middle Age</v>
      </c>
      <c r="E2553">
        <v>2</v>
      </c>
      <c r="F2553" t="str">
        <f>HLOOKUP(E2553, LookUP_Table!$A$6:$D$7, 2, FALSE)</f>
        <v>Secondary</v>
      </c>
      <c r="G2553" t="str">
        <f>IFERROR(VLOOKUP(E2553, LookUP_Table!$A$1:$B$4, 2, FALSE), "")</f>
        <v>Secondary</v>
      </c>
      <c r="H2553">
        <v>0</v>
      </c>
      <c r="I2553">
        <v>0</v>
      </c>
      <c r="J2553" t="str">
        <f t="shared" si="234"/>
        <v>Non-Smoker</v>
      </c>
      <c r="K2553">
        <v>0</v>
      </c>
      <c r="L2553">
        <v>0</v>
      </c>
      <c r="M2553">
        <v>0</v>
      </c>
      <c r="N2553">
        <v>0</v>
      </c>
      <c r="O2553">
        <v>310</v>
      </c>
      <c r="P2553" t="str">
        <f t="shared" si="235"/>
        <v>High</v>
      </c>
      <c r="Q2553">
        <v>135</v>
      </c>
      <c r="R2553">
        <v>89</v>
      </c>
      <c r="S2553">
        <v>29.51</v>
      </c>
      <c r="T2553" t="str">
        <f t="shared" si="236"/>
        <v>Overweight</v>
      </c>
      <c r="U2553">
        <v>64</v>
      </c>
      <c r="V2553">
        <v>74</v>
      </c>
      <c r="W2553" t="str">
        <f t="shared" si="239"/>
        <v>Normal</v>
      </c>
      <c r="X2553">
        <v>1</v>
      </c>
    </row>
    <row r="2554" spans="1:24" ht="14.5" thickBot="1" x14ac:dyDescent="0.35">
      <c r="A2554">
        <v>1</v>
      </c>
      <c r="B2554" t="str">
        <f t="shared" si="237"/>
        <v>Male</v>
      </c>
      <c r="C2554" s="8">
        <v>52</v>
      </c>
      <c r="D2554" t="str">
        <f t="shared" si="238"/>
        <v>Middle Age</v>
      </c>
      <c r="E2554">
        <v>2</v>
      </c>
      <c r="F2554" t="str">
        <f>HLOOKUP(E2554, LookUP_Table!$A$6:$D$7, 2, FALSE)</f>
        <v>Secondary</v>
      </c>
      <c r="G2554" t="str">
        <f>IFERROR(VLOOKUP(E2554, LookUP_Table!$A$1:$B$4, 2, FALSE), "")</f>
        <v>Secondary</v>
      </c>
      <c r="H2554">
        <v>1</v>
      </c>
      <c r="I2554">
        <v>20</v>
      </c>
      <c r="J2554" t="str">
        <f t="shared" si="234"/>
        <v>Smoker</v>
      </c>
      <c r="K2554">
        <v>0</v>
      </c>
      <c r="L2554">
        <v>0</v>
      </c>
      <c r="M2554">
        <v>0</v>
      </c>
      <c r="N2554">
        <v>1</v>
      </c>
      <c r="O2554">
        <v>258</v>
      </c>
      <c r="P2554" t="str">
        <f t="shared" si="235"/>
        <v>High</v>
      </c>
      <c r="Q2554">
        <v>132</v>
      </c>
      <c r="R2554">
        <v>80</v>
      </c>
      <c r="S2554">
        <v>27.52</v>
      </c>
      <c r="T2554" t="str">
        <f t="shared" si="236"/>
        <v>Overweight</v>
      </c>
      <c r="U2554">
        <v>90</v>
      </c>
      <c r="V2554">
        <v>268</v>
      </c>
      <c r="W2554" t="str">
        <f t="shared" si="239"/>
        <v>Diabetes</v>
      </c>
      <c r="X2554">
        <v>1</v>
      </c>
    </row>
    <row r="2555" spans="1:24" ht="14.5" thickBot="1" x14ac:dyDescent="0.35">
      <c r="A2555">
        <v>1</v>
      </c>
      <c r="B2555" t="str">
        <f t="shared" si="237"/>
        <v>Male</v>
      </c>
      <c r="C2555" s="8">
        <v>52</v>
      </c>
      <c r="D2555" t="str">
        <f t="shared" si="238"/>
        <v>Middle Age</v>
      </c>
      <c r="E2555">
        <v>1</v>
      </c>
      <c r="F2555" t="str">
        <f>HLOOKUP(E2555, LookUP_Table!$A$6:$D$7, 2, FALSE)</f>
        <v>Primary</v>
      </c>
      <c r="G2555" t="str">
        <f>IFERROR(VLOOKUP(E2555, LookUP_Table!$A$1:$B$4, 2, FALSE), "")</f>
        <v>Primary</v>
      </c>
      <c r="H2555">
        <v>1</v>
      </c>
      <c r="I2555">
        <v>20</v>
      </c>
      <c r="J2555" t="str">
        <f t="shared" si="234"/>
        <v>Smoker</v>
      </c>
      <c r="K2555">
        <v>0</v>
      </c>
      <c r="L2555">
        <v>0</v>
      </c>
      <c r="M2555">
        <v>0</v>
      </c>
      <c r="N2555">
        <v>0</v>
      </c>
      <c r="O2555">
        <v>262</v>
      </c>
      <c r="P2555" t="str">
        <f t="shared" si="235"/>
        <v>High</v>
      </c>
      <c r="Q2555">
        <v>100</v>
      </c>
      <c r="R2555">
        <v>68</v>
      </c>
      <c r="S2555">
        <v>18.649999999999999</v>
      </c>
      <c r="T2555" t="str">
        <f t="shared" si="236"/>
        <v>Normal</v>
      </c>
      <c r="U2555">
        <v>70</v>
      </c>
      <c r="V2555">
        <v>74</v>
      </c>
      <c r="W2555" t="str">
        <f t="shared" si="239"/>
        <v>Normal</v>
      </c>
      <c r="X2555">
        <v>0</v>
      </c>
    </row>
    <row r="2556" spans="1:24" ht="14.5" thickBot="1" x14ac:dyDescent="0.35">
      <c r="A2556">
        <v>0</v>
      </c>
      <c r="B2556" t="str">
        <f t="shared" si="237"/>
        <v>Female</v>
      </c>
      <c r="C2556" s="8">
        <v>52</v>
      </c>
      <c r="D2556" t="str">
        <f t="shared" si="238"/>
        <v>Middle Age</v>
      </c>
      <c r="E2556">
        <v>3</v>
      </c>
      <c r="F2556" t="str">
        <f>HLOOKUP(E2556, LookUP_Table!$A$6:$D$7, 2, FALSE)</f>
        <v>Graduate</v>
      </c>
      <c r="G2556" t="str">
        <f>IFERROR(VLOOKUP(E2556, LookUP_Table!$A$1:$B$4, 2, FALSE), "")</f>
        <v>Graduate</v>
      </c>
      <c r="H2556">
        <v>0</v>
      </c>
      <c r="I2556">
        <v>0</v>
      </c>
      <c r="J2556" t="str">
        <f t="shared" si="234"/>
        <v>Non-Smoker</v>
      </c>
      <c r="K2556">
        <v>0</v>
      </c>
      <c r="L2556">
        <v>0</v>
      </c>
      <c r="M2556">
        <v>0</v>
      </c>
      <c r="N2556">
        <v>0</v>
      </c>
      <c r="O2556">
        <v>234</v>
      </c>
      <c r="P2556" t="str">
        <f t="shared" si="235"/>
        <v>Normal</v>
      </c>
      <c r="Q2556">
        <v>126</v>
      </c>
      <c r="R2556">
        <v>85</v>
      </c>
      <c r="S2556">
        <v>26.36</v>
      </c>
      <c r="T2556" t="str">
        <f t="shared" si="236"/>
        <v>Overweight</v>
      </c>
      <c r="U2556">
        <v>72</v>
      </c>
      <c r="V2556">
        <v>96</v>
      </c>
      <c r="W2556" t="str">
        <f t="shared" si="239"/>
        <v>Normal</v>
      </c>
      <c r="X2556">
        <v>0</v>
      </c>
    </row>
    <row r="2557" spans="1:24" ht="14.5" thickBot="1" x14ac:dyDescent="0.35">
      <c r="A2557">
        <v>1</v>
      </c>
      <c r="B2557" t="str">
        <f t="shared" si="237"/>
        <v>Male</v>
      </c>
      <c r="C2557" s="8">
        <v>52</v>
      </c>
      <c r="D2557" t="str">
        <f t="shared" si="238"/>
        <v>Middle Age</v>
      </c>
      <c r="E2557">
        <v>1</v>
      </c>
      <c r="F2557" t="str">
        <f>HLOOKUP(E2557, LookUP_Table!$A$6:$D$7, 2, FALSE)</f>
        <v>Primary</v>
      </c>
      <c r="G2557" t="str">
        <f>IFERROR(VLOOKUP(E2557, LookUP_Table!$A$1:$B$4, 2, FALSE), "")</f>
        <v>Primary</v>
      </c>
      <c r="H2557">
        <v>0</v>
      </c>
      <c r="I2557">
        <v>0</v>
      </c>
      <c r="J2557" t="str">
        <f t="shared" si="234"/>
        <v>Non-Smoker</v>
      </c>
      <c r="K2557">
        <v>0</v>
      </c>
      <c r="L2557">
        <v>0</v>
      </c>
      <c r="M2557">
        <v>0</v>
      </c>
      <c r="N2557">
        <v>0</v>
      </c>
      <c r="O2557">
        <v>265</v>
      </c>
      <c r="P2557" t="str">
        <f t="shared" si="235"/>
        <v>High</v>
      </c>
      <c r="Q2557">
        <v>143</v>
      </c>
      <c r="R2557">
        <v>94.5</v>
      </c>
      <c r="S2557">
        <v>26</v>
      </c>
      <c r="T2557" t="str">
        <f t="shared" si="236"/>
        <v>Overweight</v>
      </c>
      <c r="U2557">
        <v>50</v>
      </c>
      <c r="V2557">
        <v>75</v>
      </c>
      <c r="W2557" t="str">
        <f t="shared" si="239"/>
        <v>Normal</v>
      </c>
      <c r="X2557">
        <v>0</v>
      </c>
    </row>
    <row r="2558" spans="1:24" ht="14.5" thickBot="1" x14ac:dyDescent="0.35">
      <c r="A2558">
        <v>1</v>
      </c>
      <c r="B2558" t="str">
        <f t="shared" si="237"/>
        <v>Male</v>
      </c>
      <c r="C2558" s="8">
        <v>52</v>
      </c>
      <c r="D2558" t="str">
        <f t="shared" si="238"/>
        <v>Middle Age</v>
      </c>
      <c r="E2558">
        <v>3</v>
      </c>
      <c r="F2558" t="str">
        <f>HLOOKUP(E2558, LookUP_Table!$A$6:$D$7, 2, FALSE)</f>
        <v>Graduate</v>
      </c>
      <c r="G2558" t="str">
        <f>IFERROR(VLOOKUP(E2558, LookUP_Table!$A$1:$B$4, 2, FALSE), "")</f>
        <v>Graduate</v>
      </c>
      <c r="H2558">
        <v>0</v>
      </c>
      <c r="I2558">
        <v>0</v>
      </c>
      <c r="J2558" t="str">
        <f t="shared" si="234"/>
        <v>Non-Smoker</v>
      </c>
      <c r="K2558">
        <v>0</v>
      </c>
      <c r="L2558">
        <v>0</v>
      </c>
      <c r="M2558">
        <v>1</v>
      </c>
      <c r="N2558">
        <v>0</v>
      </c>
      <c r="O2558">
        <v>238</v>
      </c>
      <c r="P2558" t="str">
        <f t="shared" si="235"/>
        <v>Normal</v>
      </c>
      <c r="Q2558">
        <v>131</v>
      </c>
      <c r="R2558">
        <v>99</v>
      </c>
      <c r="S2558">
        <v>31.19</v>
      </c>
      <c r="T2558" t="str">
        <f t="shared" si="236"/>
        <v>Obese</v>
      </c>
      <c r="U2558">
        <v>96</v>
      </c>
      <c r="V2558">
        <v>86</v>
      </c>
      <c r="W2558" t="str">
        <f t="shared" si="239"/>
        <v>Normal</v>
      </c>
      <c r="X2558">
        <v>0</v>
      </c>
    </row>
    <row r="2559" spans="1:24" ht="14.5" thickBot="1" x14ac:dyDescent="0.35">
      <c r="A2559">
        <v>1</v>
      </c>
      <c r="B2559" t="str">
        <f t="shared" si="237"/>
        <v>Male</v>
      </c>
      <c r="C2559" s="8">
        <v>52</v>
      </c>
      <c r="D2559" t="str">
        <f t="shared" si="238"/>
        <v>Middle Age</v>
      </c>
      <c r="E2559">
        <v>4</v>
      </c>
      <c r="F2559" t="str">
        <f>HLOOKUP(E2559, LookUP_Table!$A$6:$D$7, 2, FALSE)</f>
        <v>Post Graduate</v>
      </c>
      <c r="G2559" t="str">
        <f>IFERROR(VLOOKUP(E2559, LookUP_Table!$A$1:$B$4, 2, FALSE), "")</f>
        <v>Post Graduate</v>
      </c>
      <c r="H2559">
        <v>1</v>
      </c>
      <c r="I2559">
        <v>20</v>
      </c>
      <c r="J2559" t="str">
        <f t="shared" si="234"/>
        <v>Smoker</v>
      </c>
      <c r="K2559">
        <v>0</v>
      </c>
      <c r="L2559">
        <v>0</v>
      </c>
      <c r="M2559">
        <v>0</v>
      </c>
      <c r="N2559">
        <v>0</v>
      </c>
      <c r="O2559">
        <v>167</v>
      </c>
      <c r="P2559" t="str">
        <f t="shared" si="235"/>
        <v>Normal</v>
      </c>
      <c r="Q2559">
        <v>134</v>
      </c>
      <c r="R2559">
        <v>80</v>
      </c>
      <c r="S2559">
        <v>29.77</v>
      </c>
      <c r="T2559" t="str">
        <f t="shared" si="236"/>
        <v>Overweight</v>
      </c>
      <c r="U2559">
        <v>72</v>
      </c>
      <c r="V2559">
        <v>102</v>
      </c>
      <c r="W2559" t="str">
        <f t="shared" si="239"/>
        <v>Prediabetes</v>
      </c>
      <c r="X2559">
        <v>0</v>
      </c>
    </row>
    <row r="2560" spans="1:24" ht="14.5" thickBot="1" x14ac:dyDescent="0.35">
      <c r="A2560">
        <v>1</v>
      </c>
      <c r="B2560" t="str">
        <f t="shared" si="237"/>
        <v>Male</v>
      </c>
      <c r="C2560" s="8">
        <v>52</v>
      </c>
      <c r="D2560" t="str">
        <f t="shared" si="238"/>
        <v>Middle Age</v>
      </c>
      <c r="E2560">
        <v>1</v>
      </c>
      <c r="F2560" t="str">
        <f>HLOOKUP(E2560, LookUP_Table!$A$6:$D$7, 2, FALSE)</f>
        <v>Primary</v>
      </c>
      <c r="G2560" t="str">
        <f>IFERROR(VLOOKUP(E2560, LookUP_Table!$A$1:$B$4, 2, FALSE), "")</f>
        <v>Primary</v>
      </c>
      <c r="H2560">
        <v>1</v>
      </c>
      <c r="I2560">
        <v>20</v>
      </c>
      <c r="J2560" t="str">
        <f t="shared" si="234"/>
        <v>Smoker</v>
      </c>
      <c r="K2560">
        <v>0</v>
      </c>
      <c r="L2560">
        <v>0</v>
      </c>
      <c r="M2560">
        <v>0</v>
      </c>
      <c r="N2560">
        <v>0</v>
      </c>
      <c r="O2560">
        <v>233</v>
      </c>
      <c r="P2560" t="str">
        <f t="shared" si="235"/>
        <v>Normal</v>
      </c>
      <c r="Q2560">
        <v>114</v>
      </c>
      <c r="R2560">
        <v>78</v>
      </c>
      <c r="S2560">
        <v>22.81</v>
      </c>
      <c r="T2560" t="str">
        <f t="shared" si="236"/>
        <v>Normal</v>
      </c>
      <c r="U2560">
        <v>50</v>
      </c>
      <c r="V2560">
        <v>73</v>
      </c>
      <c r="W2560" t="str">
        <f t="shared" si="239"/>
        <v>Normal</v>
      </c>
      <c r="X2560">
        <v>0</v>
      </c>
    </row>
    <row r="2561" spans="1:24" ht="14.5" thickBot="1" x14ac:dyDescent="0.35">
      <c r="A2561">
        <v>0</v>
      </c>
      <c r="B2561" t="str">
        <f t="shared" si="237"/>
        <v>Female</v>
      </c>
      <c r="C2561" s="8">
        <v>52</v>
      </c>
      <c r="D2561" t="str">
        <f t="shared" si="238"/>
        <v>Middle Age</v>
      </c>
      <c r="E2561">
        <v>3</v>
      </c>
      <c r="F2561" t="str">
        <f>HLOOKUP(E2561, LookUP_Table!$A$6:$D$7, 2, FALSE)</f>
        <v>Graduate</v>
      </c>
      <c r="G2561" t="str">
        <f>IFERROR(VLOOKUP(E2561, LookUP_Table!$A$1:$B$4, 2, FALSE), "")</f>
        <v>Graduate</v>
      </c>
      <c r="H2561">
        <v>0</v>
      </c>
      <c r="I2561">
        <v>0</v>
      </c>
      <c r="J2561" t="str">
        <f t="shared" si="234"/>
        <v>Non-Smoker</v>
      </c>
      <c r="K2561">
        <v>0</v>
      </c>
      <c r="L2561">
        <v>0</v>
      </c>
      <c r="M2561">
        <v>0</v>
      </c>
      <c r="N2561">
        <v>0</v>
      </c>
      <c r="O2561">
        <v>272</v>
      </c>
      <c r="P2561" t="str">
        <f t="shared" si="235"/>
        <v>High</v>
      </c>
      <c r="Q2561">
        <v>112.5</v>
      </c>
      <c r="R2561">
        <v>75.5</v>
      </c>
      <c r="S2561">
        <v>22.69</v>
      </c>
      <c r="T2561" t="str">
        <f t="shared" si="236"/>
        <v>Normal</v>
      </c>
      <c r="U2561">
        <v>90</v>
      </c>
      <c r="V2561">
        <v>83</v>
      </c>
      <c r="W2561" t="str">
        <f t="shared" si="239"/>
        <v>Normal</v>
      </c>
      <c r="X2561">
        <v>0</v>
      </c>
    </row>
    <row r="2562" spans="1:24" ht="14.5" thickBot="1" x14ac:dyDescent="0.35">
      <c r="A2562">
        <v>1</v>
      </c>
      <c r="B2562" t="str">
        <f t="shared" si="237"/>
        <v>Male</v>
      </c>
      <c r="C2562" s="8">
        <v>52</v>
      </c>
      <c r="D2562" t="str">
        <f t="shared" si="238"/>
        <v>Middle Age</v>
      </c>
      <c r="E2562">
        <v>2</v>
      </c>
      <c r="F2562" t="str">
        <f>HLOOKUP(E2562, LookUP_Table!$A$6:$D$7, 2, FALSE)</f>
        <v>Secondary</v>
      </c>
      <c r="G2562" t="str">
        <f>IFERROR(VLOOKUP(E2562, LookUP_Table!$A$1:$B$4, 2, FALSE), "")</f>
        <v>Secondary</v>
      </c>
      <c r="H2562">
        <v>0</v>
      </c>
      <c r="I2562">
        <v>0</v>
      </c>
      <c r="J2562" t="str">
        <f t="shared" ref="J2562:J2625" si="240">IF(I2562&gt;0,"Smoker","Non-Smoker")</f>
        <v>Non-Smoker</v>
      </c>
      <c r="K2562">
        <v>0</v>
      </c>
      <c r="L2562">
        <v>0</v>
      </c>
      <c r="M2562">
        <v>0</v>
      </c>
      <c r="N2562">
        <v>0</v>
      </c>
      <c r="O2562">
        <v>219</v>
      </c>
      <c r="P2562" t="str">
        <f t="shared" ref="P2562:P2625" si="241">IF(O2562&gt;240,"High","Normal")</f>
        <v>Normal</v>
      </c>
      <c r="Q2562">
        <v>136</v>
      </c>
      <c r="R2562">
        <v>76</v>
      </c>
      <c r="S2562">
        <v>24.49</v>
      </c>
      <c r="T2562" t="str">
        <f t="shared" ref="T2562:T2625" si="242">IF(S2562&lt;18.5,"Underweight",
IF(S2562&lt;25,"Normal",
IF(S2562&lt;30,"Overweight","Obese")))</f>
        <v>Normal</v>
      </c>
      <c r="U2562">
        <v>52</v>
      </c>
      <c r="V2562">
        <v>73</v>
      </c>
      <c r="W2562" t="str">
        <f t="shared" si="239"/>
        <v>Normal</v>
      </c>
      <c r="X2562">
        <v>1</v>
      </c>
    </row>
    <row r="2563" spans="1:24" ht="14.5" thickBot="1" x14ac:dyDescent="0.35">
      <c r="A2563">
        <v>1</v>
      </c>
      <c r="B2563" t="str">
        <f t="shared" ref="B2563:B2626" si="243">IF(A2563=0,"Female","Male")</f>
        <v>Male</v>
      </c>
      <c r="C2563" s="8">
        <v>52</v>
      </c>
      <c r="D2563" t="str">
        <f t="shared" ref="D2563:D2626" si="244">IF(C2563&lt;40,"Young",
IF(C2563&lt;55,"Middle Age","Senior"))</f>
        <v>Middle Age</v>
      </c>
      <c r="E2563">
        <v>1</v>
      </c>
      <c r="F2563" t="str">
        <f>HLOOKUP(E2563, LookUP_Table!$A$6:$D$7, 2, FALSE)</f>
        <v>Primary</v>
      </c>
      <c r="G2563" t="str">
        <f>IFERROR(VLOOKUP(E2563, LookUP_Table!$A$1:$B$4, 2, FALSE), "")</f>
        <v>Primary</v>
      </c>
      <c r="H2563">
        <v>1</v>
      </c>
      <c r="I2563">
        <v>2</v>
      </c>
      <c r="J2563" t="str">
        <f t="shared" si="240"/>
        <v>Smoker</v>
      </c>
      <c r="K2563">
        <v>0</v>
      </c>
      <c r="L2563">
        <v>0</v>
      </c>
      <c r="M2563">
        <v>0</v>
      </c>
      <c r="N2563">
        <v>0</v>
      </c>
      <c r="O2563">
        <v>246</v>
      </c>
      <c r="P2563" t="str">
        <f t="shared" si="241"/>
        <v>High</v>
      </c>
      <c r="Q2563">
        <v>122</v>
      </c>
      <c r="R2563">
        <v>81</v>
      </c>
      <c r="S2563">
        <v>27.61</v>
      </c>
      <c r="T2563" t="str">
        <f t="shared" si="242"/>
        <v>Overweight</v>
      </c>
      <c r="U2563">
        <v>90</v>
      </c>
      <c r="V2563">
        <v>98</v>
      </c>
      <c r="W2563" t="str">
        <f t="shared" ref="W2563:W2626" si="245">IF(V2563 &lt; 100, "Normal", IF(V2563 &lt;= 125, "Prediabetes", "Diabetes"))</f>
        <v>Normal</v>
      </c>
      <c r="X2563">
        <v>0</v>
      </c>
    </row>
    <row r="2564" spans="1:24" ht="14.5" thickBot="1" x14ac:dyDescent="0.35">
      <c r="A2564">
        <v>1</v>
      </c>
      <c r="B2564" t="str">
        <f t="shared" si="243"/>
        <v>Male</v>
      </c>
      <c r="C2564" s="8">
        <v>52</v>
      </c>
      <c r="D2564" t="str">
        <f t="shared" si="244"/>
        <v>Middle Age</v>
      </c>
      <c r="E2564">
        <v>1</v>
      </c>
      <c r="F2564" t="str">
        <f>HLOOKUP(E2564, LookUP_Table!$A$6:$D$7, 2, FALSE)</f>
        <v>Primary</v>
      </c>
      <c r="G2564" t="str">
        <f>IFERROR(VLOOKUP(E2564, LookUP_Table!$A$1:$B$4, 2, FALSE), "")</f>
        <v>Primary</v>
      </c>
      <c r="H2564">
        <v>0</v>
      </c>
      <c r="I2564">
        <v>0</v>
      </c>
      <c r="J2564" t="str">
        <f t="shared" si="240"/>
        <v>Non-Smoker</v>
      </c>
      <c r="K2564">
        <v>0</v>
      </c>
      <c r="L2564">
        <v>0</v>
      </c>
      <c r="M2564">
        <v>0</v>
      </c>
      <c r="N2564">
        <v>0</v>
      </c>
      <c r="O2564">
        <v>222</v>
      </c>
      <c r="P2564" t="str">
        <f t="shared" si="241"/>
        <v>Normal</v>
      </c>
      <c r="Q2564">
        <v>110</v>
      </c>
      <c r="R2564">
        <v>71</v>
      </c>
      <c r="S2564">
        <v>29.82</v>
      </c>
      <c r="T2564" t="str">
        <f t="shared" si="242"/>
        <v>Overweight</v>
      </c>
      <c r="U2564">
        <v>66</v>
      </c>
      <c r="V2564">
        <v>104</v>
      </c>
      <c r="W2564" t="str">
        <f t="shared" si="245"/>
        <v>Prediabetes</v>
      </c>
      <c r="X2564">
        <v>0</v>
      </c>
    </row>
    <row r="2565" spans="1:24" ht="14.5" thickBot="1" x14ac:dyDescent="0.35">
      <c r="A2565">
        <v>0</v>
      </c>
      <c r="B2565" t="str">
        <f t="shared" si="243"/>
        <v>Female</v>
      </c>
      <c r="C2565" s="8">
        <v>52</v>
      </c>
      <c r="D2565" t="str">
        <f t="shared" si="244"/>
        <v>Middle Age</v>
      </c>
      <c r="E2565">
        <v>2</v>
      </c>
      <c r="F2565" t="str">
        <f>HLOOKUP(E2565, LookUP_Table!$A$6:$D$7, 2, FALSE)</f>
        <v>Secondary</v>
      </c>
      <c r="G2565" t="str">
        <f>IFERROR(VLOOKUP(E2565, LookUP_Table!$A$1:$B$4, 2, FALSE), "")</f>
        <v>Secondary</v>
      </c>
      <c r="H2565">
        <v>0</v>
      </c>
      <c r="I2565">
        <v>0</v>
      </c>
      <c r="J2565" t="str">
        <f t="shared" si="240"/>
        <v>Non-Smoker</v>
      </c>
      <c r="K2565">
        <v>0</v>
      </c>
      <c r="L2565">
        <v>0</v>
      </c>
      <c r="M2565">
        <v>0</v>
      </c>
      <c r="N2565">
        <v>0</v>
      </c>
      <c r="O2565">
        <v>221</v>
      </c>
      <c r="P2565" t="str">
        <f t="shared" si="241"/>
        <v>Normal</v>
      </c>
      <c r="Q2565">
        <v>124</v>
      </c>
      <c r="R2565">
        <v>69</v>
      </c>
      <c r="S2565">
        <v>23.37</v>
      </c>
      <c r="T2565" t="str">
        <f t="shared" si="242"/>
        <v>Normal</v>
      </c>
      <c r="U2565">
        <v>58</v>
      </c>
      <c r="V2565">
        <v>81</v>
      </c>
      <c r="W2565" t="str">
        <f t="shared" si="245"/>
        <v>Normal</v>
      </c>
      <c r="X2565">
        <v>0</v>
      </c>
    </row>
    <row r="2566" spans="1:24" ht="14.5" thickBot="1" x14ac:dyDescent="0.35">
      <c r="A2566">
        <v>0</v>
      </c>
      <c r="B2566" t="str">
        <f t="shared" si="243"/>
        <v>Female</v>
      </c>
      <c r="C2566" s="8">
        <v>52</v>
      </c>
      <c r="D2566" t="str">
        <f t="shared" si="244"/>
        <v>Middle Age</v>
      </c>
      <c r="E2566">
        <v>1</v>
      </c>
      <c r="F2566" t="str">
        <f>HLOOKUP(E2566, LookUP_Table!$A$6:$D$7, 2, FALSE)</f>
        <v>Primary</v>
      </c>
      <c r="G2566" t="str">
        <f>IFERROR(VLOOKUP(E2566, LookUP_Table!$A$1:$B$4, 2, FALSE), "")</f>
        <v>Primary</v>
      </c>
      <c r="H2566">
        <v>0</v>
      </c>
      <c r="I2566">
        <v>0</v>
      </c>
      <c r="J2566" t="str">
        <f t="shared" si="240"/>
        <v>Non-Smoker</v>
      </c>
      <c r="K2566">
        <v>0</v>
      </c>
      <c r="L2566">
        <v>0</v>
      </c>
      <c r="M2566">
        <v>1</v>
      </c>
      <c r="N2566">
        <v>0</v>
      </c>
      <c r="O2566">
        <v>225</v>
      </c>
      <c r="P2566" t="str">
        <f t="shared" si="241"/>
        <v>Normal</v>
      </c>
      <c r="Q2566">
        <v>159</v>
      </c>
      <c r="R2566">
        <v>95</v>
      </c>
      <c r="S2566">
        <v>30.18</v>
      </c>
      <c r="T2566" t="str">
        <f t="shared" si="242"/>
        <v>Obese</v>
      </c>
      <c r="U2566">
        <v>71</v>
      </c>
      <c r="V2566">
        <v>114</v>
      </c>
      <c r="W2566" t="str">
        <f t="shared" si="245"/>
        <v>Prediabetes</v>
      </c>
      <c r="X2566">
        <v>0</v>
      </c>
    </row>
    <row r="2567" spans="1:24" ht="14.5" thickBot="1" x14ac:dyDescent="0.35">
      <c r="A2567">
        <v>0</v>
      </c>
      <c r="B2567" t="str">
        <f t="shared" si="243"/>
        <v>Female</v>
      </c>
      <c r="C2567" s="8">
        <v>52</v>
      </c>
      <c r="D2567" t="str">
        <f t="shared" si="244"/>
        <v>Middle Age</v>
      </c>
      <c r="E2567">
        <v>1</v>
      </c>
      <c r="F2567" t="str">
        <f>HLOOKUP(E2567, LookUP_Table!$A$6:$D$7, 2, FALSE)</f>
        <v>Primary</v>
      </c>
      <c r="G2567" t="str">
        <f>IFERROR(VLOOKUP(E2567, LookUP_Table!$A$1:$B$4, 2, FALSE), "")</f>
        <v>Primary</v>
      </c>
      <c r="H2567">
        <v>0</v>
      </c>
      <c r="I2567">
        <v>0</v>
      </c>
      <c r="J2567" t="str">
        <f t="shared" si="240"/>
        <v>Non-Smoker</v>
      </c>
      <c r="K2567">
        <v>0</v>
      </c>
      <c r="L2567">
        <v>0</v>
      </c>
      <c r="M2567">
        <v>0</v>
      </c>
      <c r="N2567">
        <v>0</v>
      </c>
      <c r="O2567">
        <v>236.69952267303103</v>
      </c>
      <c r="P2567" t="str">
        <f t="shared" si="241"/>
        <v>Normal</v>
      </c>
      <c r="Q2567">
        <v>129</v>
      </c>
      <c r="R2567">
        <v>83</v>
      </c>
      <c r="S2567">
        <v>32.57</v>
      </c>
      <c r="T2567" t="str">
        <f t="shared" si="242"/>
        <v>Obese</v>
      </c>
      <c r="U2567">
        <v>65</v>
      </c>
      <c r="V2567">
        <v>81.96365524402907</v>
      </c>
      <c r="W2567" t="str">
        <f t="shared" si="245"/>
        <v>Normal</v>
      </c>
      <c r="X2567">
        <v>0</v>
      </c>
    </row>
    <row r="2568" spans="1:24" ht="14.5" thickBot="1" x14ac:dyDescent="0.35">
      <c r="A2568">
        <v>0</v>
      </c>
      <c r="B2568" t="str">
        <f t="shared" si="243"/>
        <v>Female</v>
      </c>
      <c r="C2568" s="8">
        <v>52</v>
      </c>
      <c r="D2568" t="str">
        <f t="shared" si="244"/>
        <v>Middle Age</v>
      </c>
      <c r="E2568">
        <v>1</v>
      </c>
      <c r="F2568" t="str">
        <f>HLOOKUP(E2568, LookUP_Table!$A$6:$D$7, 2, FALSE)</f>
        <v>Primary</v>
      </c>
      <c r="G2568" t="str">
        <f>IFERROR(VLOOKUP(E2568, LookUP_Table!$A$1:$B$4, 2, FALSE), "")</f>
        <v>Primary</v>
      </c>
      <c r="H2568">
        <v>1</v>
      </c>
      <c r="I2568">
        <v>20</v>
      </c>
      <c r="J2568" t="str">
        <f t="shared" si="240"/>
        <v>Smoker</v>
      </c>
      <c r="K2568">
        <v>1</v>
      </c>
      <c r="L2568">
        <v>0</v>
      </c>
      <c r="M2568">
        <v>1</v>
      </c>
      <c r="N2568">
        <v>0</v>
      </c>
      <c r="O2568">
        <v>161</v>
      </c>
      <c r="P2568" t="str">
        <f t="shared" si="241"/>
        <v>Normal</v>
      </c>
      <c r="Q2568">
        <v>180</v>
      </c>
      <c r="R2568">
        <v>114</v>
      </c>
      <c r="S2568">
        <v>32.520000000000003</v>
      </c>
      <c r="T2568" t="str">
        <f t="shared" si="242"/>
        <v>Obese</v>
      </c>
      <c r="U2568">
        <v>105</v>
      </c>
      <c r="V2568">
        <v>104</v>
      </c>
      <c r="W2568" t="str">
        <f t="shared" si="245"/>
        <v>Prediabetes</v>
      </c>
      <c r="X2568">
        <v>0</v>
      </c>
    </row>
    <row r="2569" spans="1:24" ht="14.5" thickBot="1" x14ac:dyDescent="0.35">
      <c r="A2569">
        <v>0</v>
      </c>
      <c r="B2569" t="str">
        <f t="shared" si="243"/>
        <v>Female</v>
      </c>
      <c r="C2569" s="8">
        <v>52</v>
      </c>
      <c r="D2569" t="str">
        <f t="shared" si="244"/>
        <v>Middle Age</v>
      </c>
      <c r="E2569">
        <v>1</v>
      </c>
      <c r="F2569" t="str">
        <f>HLOOKUP(E2569, LookUP_Table!$A$6:$D$7, 2, FALSE)</f>
        <v>Primary</v>
      </c>
      <c r="G2569" t="str">
        <f>IFERROR(VLOOKUP(E2569, LookUP_Table!$A$1:$B$4, 2, FALSE), "")</f>
        <v>Primary</v>
      </c>
      <c r="H2569">
        <v>0</v>
      </c>
      <c r="I2569">
        <v>0</v>
      </c>
      <c r="J2569" t="str">
        <f t="shared" si="240"/>
        <v>Non-Smoker</v>
      </c>
      <c r="K2569">
        <v>0</v>
      </c>
      <c r="L2569">
        <v>0</v>
      </c>
      <c r="M2569">
        <v>0</v>
      </c>
      <c r="N2569">
        <v>0</v>
      </c>
      <c r="O2569">
        <v>223</v>
      </c>
      <c r="P2569" t="str">
        <f t="shared" si="241"/>
        <v>Normal</v>
      </c>
      <c r="Q2569">
        <v>132</v>
      </c>
      <c r="R2569">
        <v>82</v>
      </c>
      <c r="S2569">
        <v>26.06</v>
      </c>
      <c r="T2569" t="str">
        <f t="shared" si="242"/>
        <v>Overweight</v>
      </c>
      <c r="U2569">
        <v>75</v>
      </c>
      <c r="V2569">
        <v>63</v>
      </c>
      <c r="W2569" t="str">
        <f t="shared" si="245"/>
        <v>Normal</v>
      </c>
      <c r="X2569">
        <v>0</v>
      </c>
    </row>
    <row r="2570" spans="1:24" ht="14.5" thickBot="1" x14ac:dyDescent="0.35">
      <c r="A2570">
        <v>0</v>
      </c>
      <c r="B2570" t="str">
        <f t="shared" si="243"/>
        <v>Female</v>
      </c>
      <c r="C2570" s="8">
        <v>52</v>
      </c>
      <c r="D2570" t="str">
        <f t="shared" si="244"/>
        <v>Middle Age</v>
      </c>
      <c r="E2570">
        <v>4</v>
      </c>
      <c r="F2570" t="str">
        <f>HLOOKUP(E2570, LookUP_Table!$A$6:$D$7, 2, FALSE)</f>
        <v>Post Graduate</v>
      </c>
      <c r="G2570" t="str">
        <f>IFERROR(VLOOKUP(E2570, LookUP_Table!$A$1:$B$4, 2, FALSE), "")</f>
        <v>Post Graduate</v>
      </c>
      <c r="H2570">
        <v>1</v>
      </c>
      <c r="I2570">
        <v>20</v>
      </c>
      <c r="J2570" t="str">
        <f t="shared" si="240"/>
        <v>Smoker</v>
      </c>
      <c r="K2570">
        <v>0</v>
      </c>
      <c r="L2570">
        <v>0</v>
      </c>
      <c r="M2570">
        <v>0</v>
      </c>
      <c r="N2570">
        <v>0</v>
      </c>
      <c r="O2570">
        <v>236.69952267303103</v>
      </c>
      <c r="P2570" t="str">
        <f t="shared" si="241"/>
        <v>Normal</v>
      </c>
      <c r="Q2570">
        <v>110</v>
      </c>
      <c r="R2570">
        <v>70</v>
      </c>
      <c r="S2570">
        <v>22.52</v>
      </c>
      <c r="T2570" t="str">
        <f t="shared" si="242"/>
        <v>Normal</v>
      </c>
      <c r="U2570">
        <v>75</v>
      </c>
      <c r="V2570">
        <v>81.96365524402907</v>
      </c>
      <c r="W2570" t="str">
        <f t="shared" si="245"/>
        <v>Normal</v>
      </c>
      <c r="X2570">
        <v>0</v>
      </c>
    </row>
    <row r="2571" spans="1:24" ht="14.5" thickBot="1" x14ac:dyDescent="0.35">
      <c r="A2571">
        <v>0</v>
      </c>
      <c r="B2571" t="str">
        <f t="shared" si="243"/>
        <v>Female</v>
      </c>
      <c r="C2571" s="8">
        <v>52</v>
      </c>
      <c r="D2571" t="str">
        <f t="shared" si="244"/>
        <v>Middle Age</v>
      </c>
      <c r="E2571">
        <v>3</v>
      </c>
      <c r="F2571" t="str">
        <f>HLOOKUP(E2571, LookUP_Table!$A$6:$D$7, 2, FALSE)</f>
        <v>Graduate</v>
      </c>
      <c r="G2571" t="str">
        <f>IFERROR(VLOOKUP(E2571, LookUP_Table!$A$1:$B$4, 2, FALSE), "")</f>
        <v>Graduate</v>
      </c>
      <c r="H2571">
        <v>1</v>
      </c>
      <c r="I2571">
        <v>9</v>
      </c>
      <c r="J2571" t="str">
        <f t="shared" si="240"/>
        <v>Smoker</v>
      </c>
      <c r="K2571">
        <v>0</v>
      </c>
      <c r="L2571">
        <v>0</v>
      </c>
      <c r="M2571">
        <v>0</v>
      </c>
      <c r="N2571">
        <v>0</v>
      </c>
      <c r="O2571">
        <v>249</v>
      </c>
      <c r="P2571" t="str">
        <f t="shared" si="241"/>
        <v>High</v>
      </c>
      <c r="Q2571">
        <v>112</v>
      </c>
      <c r="R2571">
        <v>75</v>
      </c>
      <c r="S2571">
        <v>22.54</v>
      </c>
      <c r="T2571" t="str">
        <f t="shared" si="242"/>
        <v>Normal</v>
      </c>
      <c r="U2571">
        <v>72</v>
      </c>
      <c r="V2571">
        <v>71</v>
      </c>
      <c r="W2571" t="str">
        <f t="shared" si="245"/>
        <v>Normal</v>
      </c>
      <c r="X2571">
        <v>1</v>
      </c>
    </row>
    <row r="2572" spans="1:24" ht="14.5" thickBot="1" x14ac:dyDescent="0.35">
      <c r="A2572">
        <v>0</v>
      </c>
      <c r="B2572" t="str">
        <f t="shared" si="243"/>
        <v>Female</v>
      </c>
      <c r="C2572" s="8">
        <v>52</v>
      </c>
      <c r="D2572" t="str">
        <f t="shared" si="244"/>
        <v>Middle Age</v>
      </c>
      <c r="E2572">
        <v>2</v>
      </c>
      <c r="F2572" t="str">
        <f>HLOOKUP(E2572, LookUP_Table!$A$6:$D$7, 2, FALSE)</f>
        <v>Secondary</v>
      </c>
      <c r="G2572" t="str">
        <f>IFERROR(VLOOKUP(E2572, LookUP_Table!$A$1:$B$4, 2, FALSE), "")</f>
        <v>Secondary</v>
      </c>
      <c r="H2572">
        <v>0</v>
      </c>
      <c r="I2572">
        <v>0</v>
      </c>
      <c r="J2572" t="str">
        <f t="shared" si="240"/>
        <v>Non-Smoker</v>
      </c>
      <c r="K2572">
        <v>0</v>
      </c>
      <c r="L2572">
        <v>0</v>
      </c>
      <c r="M2572">
        <v>1</v>
      </c>
      <c r="N2572">
        <v>0</v>
      </c>
      <c r="O2572">
        <v>279</v>
      </c>
      <c r="P2572" t="str">
        <f t="shared" si="241"/>
        <v>High</v>
      </c>
      <c r="Q2572">
        <v>148</v>
      </c>
      <c r="R2572">
        <v>99</v>
      </c>
      <c r="S2572">
        <v>26.64</v>
      </c>
      <c r="T2572" t="str">
        <f t="shared" si="242"/>
        <v>Overweight</v>
      </c>
      <c r="U2572">
        <v>86</v>
      </c>
      <c r="V2572">
        <v>85</v>
      </c>
      <c r="W2572" t="str">
        <f t="shared" si="245"/>
        <v>Normal</v>
      </c>
      <c r="X2572">
        <v>0</v>
      </c>
    </row>
    <row r="2573" spans="1:24" ht="14.5" thickBot="1" x14ac:dyDescent="0.35">
      <c r="A2573">
        <v>1</v>
      </c>
      <c r="B2573" t="str">
        <f t="shared" si="243"/>
        <v>Male</v>
      </c>
      <c r="C2573" s="8">
        <v>52</v>
      </c>
      <c r="D2573" t="str">
        <f t="shared" si="244"/>
        <v>Middle Age</v>
      </c>
      <c r="E2573">
        <v>4</v>
      </c>
      <c r="F2573" t="str">
        <f>HLOOKUP(E2573, LookUP_Table!$A$6:$D$7, 2, FALSE)</f>
        <v>Post Graduate</v>
      </c>
      <c r="G2573" t="str">
        <f>IFERROR(VLOOKUP(E2573, LookUP_Table!$A$1:$B$4, 2, FALSE), "")</f>
        <v>Post Graduate</v>
      </c>
      <c r="H2573">
        <v>1</v>
      </c>
      <c r="I2573">
        <v>15</v>
      </c>
      <c r="J2573" t="str">
        <f t="shared" si="240"/>
        <v>Smoker</v>
      </c>
      <c r="K2573">
        <v>0</v>
      </c>
      <c r="L2573">
        <v>0</v>
      </c>
      <c r="M2573">
        <v>0</v>
      </c>
      <c r="N2573">
        <v>0</v>
      </c>
      <c r="O2573">
        <v>190</v>
      </c>
      <c r="P2573" t="str">
        <f t="shared" si="241"/>
        <v>Normal</v>
      </c>
      <c r="Q2573">
        <v>118</v>
      </c>
      <c r="R2573">
        <v>80</v>
      </c>
      <c r="S2573">
        <v>24.47</v>
      </c>
      <c r="T2573" t="str">
        <f t="shared" si="242"/>
        <v>Normal</v>
      </c>
      <c r="U2573">
        <v>50</v>
      </c>
      <c r="V2573">
        <v>88</v>
      </c>
      <c r="W2573" t="str">
        <f t="shared" si="245"/>
        <v>Normal</v>
      </c>
      <c r="X2573">
        <v>0</v>
      </c>
    </row>
    <row r="2574" spans="1:24" ht="14.5" thickBot="1" x14ac:dyDescent="0.35">
      <c r="A2574">
        <v>0</v>
      </c>
      <c r="B2574" t="str">
        <f t="shared" si="243"/>
        <v>Female</v>
      </c>
      <c r="C2574" s="8">
        <v>52</v>
      </c>
      <c r="D2574" t="str">
        <f t="shared" si="244"/>
        <v>Middle Age</v>
      </c>
      <c r="E2574">
        <v>1</v>
      </c>
      <c r="F2574" t="str">
        <f>HLOOKUP(E2574, LookUP_Table!$A$6:$D$7, 2, FALSE)</f>
        <v>Primary</v>
      </c>
      <c r="G2574" t="str">
        <f>IFERROR(VLOOKUP(E2574, LookUP_Table!$A$1:$B$4, 2, FALSE), "")</f>
        <v>Primary</v>
      </c>
      <c r="H2574">
        <v>0</v>
      </c>
      <c r="I2574">
        <v>0</v>
      </c>
      <c r="J2574" t="str">
        <f t="shared" si="240"/>
        <v>Non-Smoker</v>
      </c>
      <c r="K2574">
        <v>0</v>
      </c>
      <c r="L2574">
        <v>0</v>
      </c>
      <c r="M2574">
        <v>0</v>
      </c>
      <c r="N2574">
        <v>0</v>
      </c>
      <c r="O2574">
        <v>275</v>
      </c>
      <c r="P2574" t="str">
        <f t="shared" si="241"/>
        <v>High</v>
      </c>
      <c r="Q2574">
        <v>112</v>
      </c>
      <c r="R2574">
        <v>71</v>
      </c>
      <c r="S2574">
        <v>25.68</v>
      </c>
      <c r="T2574" t="str">
        <f t="shared" si="242"/>
        <v>Overweight</v>
      </c>
      <c r="U2574">
        <v>80</v>
      </c>
      <c r="V2574">
        <v>81.96365524402907</v>
      </c>
      <c r="W2574" t="str">
        <f t="shared" si="245"/>
        <v>Normal</v>
      </c>
      <c r="X2574">
        <v>0</v>
      </c>
    </row>
    <row r="2575" spans="1:24" ht="14.5" thickBot="1" x14ac:dyDescent="0.35">
      <c r="A2575">
        <v>0</v>
      </c>
      <c r="B2575" t="str">
        <f t="shared" si="243"/>
        <v>Female</v>
      </c>
      <c r="C2575" s="8">
        <v>52</v>
      </c>
      <c r="D2575" t="str">
        <f t="shared" si="244"/>
        <v>Middle Age</v>
      </c>
      <c r="E2575">
        <v>1</v>
      </c>
      <c r="F2575" t="str">
        <f>HLOOKUP(E2575, LookUP_Table!$A$6:$D$7, 2, FALSE)</f>
        <v>Primary</v>
      </c>
      <c r="G2575" t="str">
        <f>IFERROR(VLOOKUP(E2575, LookUP_Table!$A$1:$B$4, 2, FALSE), "")</f>
        <v>Primary</v>
      </c>
      <c r="H2575">
        <v>0</v>
      </c>
      <c r="I2575">
        <v>0</v>
      </c>
      <c r="J2575" t="str">
        <f t="shared" si="240"/>
        <v>Non-Smoker</v>
      </c>
      <c r="K2575">
        <v>0</v>
      </c>
      <c r="L2575">
        <v>0</v>
      </c>
      <c r="M2575">
        <v>0</v>
      </c>
      <c r="N2575">
        <v>0</v>
      </c>
      <c r="O2575">
        <v>210</v>
      </c>
      <c r="P2575" t="str">
        <f t="shared" si="241"/>
        <v>Normal</v>
      </c>
      <c r="Q2575">
        <v>146.5</v>
      </c>
      <c r="R2575">
        <v>82</v>
      </c>
      <c r="S2575">
        <v>32.270000000000003</v>
      </c>
      <c r="T2575" t="str">
        <f t="shared" si="242"/>
        <v>Obese</v>
      </c>
      <c r="U2575">
        <v>85</v>
      </c>
      <c r="V2575">
        <v>72</v>
      </c>
      <c r="W2575" t="str">
        <f t="shared" si="245"/>
        <v>Normal</v>
      </c>
      <c r="X2575">
        <v>0</v>
      </c>
    </row>
    <row r="2576" spans="1:24" ht="14.5" thickBot="1" x14ac:dyDescent="0.35">
      <c r="A2576">
        <v>1</v>
      </c>
      <c r="B2576" t="str">
        <f t="shared" si="243"/>
        <v>Male</v>
      </c>
      <c r="C2576" s="8">
        <v>52</v>
      </c>
      <c r="D2576" t="str">
        <f t="shared" si="244"/>
        <v>Middle Age</v>
      </c>
      <c r="E2576">
        <v>1</v>
      </c>
      <c r="F2576" t="str">
        <f>HLOOKUP(E2576, LookUP_Table!$A$6:$D$7, 2, FALSE)</f>
        <v>Primary</v>
      </c>
      <c r="G2576" t="str">
        <f>IFERROR(VLOOKUP(E2576, LookUP_Table!$A$1:$B$4, 2, FALSE), "")</f>
        <v>Primary</v>
      </c>
      <c r="H2576">
        <v>0</v>
      </c>
      <c r="I2576">
        <v>0</v>
      </c>
      <c r="J2576" t="str">
        <f t="shared" si="240"/>
        <v>Non-Smoker</v>
      </c>
      <c r="K2576">
        <v>0</v>
      </c>
      <c r="L2576">
        <v>0</v>
      </c>
      <c r="M2576">
        <v>0</v>
      </c>
      <c r="N2576">
        <v>0</v>
      </c>
      <c r="O2576">
        <v>266</v>
      </c>
      <c r="P2576" t="str">
        <f t="shared" si="241"/>
        <v>High</v>
      </c>
      <c r="Q2576">
        <v>117</v>
      </c>
      <c r="R2576">
        <v>78</v>
      </c>
      <c r="S2576">
        <v>27.39</v>
      </c>
      <c r="T2576" t="str">
        <f t="shared" si="242"/>
        <v>Overweight</v>
      </c>
      <c r="U2576">
        <v>70</v>
      </c>
      <c r="V2576">
        <v>88</v>
      </c>
      <c r="W2576" t="str">
        <f t="shared" si="245"/>
        <v>Normal</v>
      </c>
      <c r="X2576">
        <v>0</v>
      </c>
    </row>
    <row r="2577" spans="1:24" ht="14.5" thickBot="1" x14ac:dyDescent="0.35">
      <c r="A2577">
        <v>0</v>
      </c>
      <c r="B2577" t="str">
        <f t="shared" si="243"/>
        <v>Female</v>
      </c>
      <c r="C2577" s="8">
        <v>52</v>
      </c>
      <c r="D2577" t="str">
        <f t="shared" si="244"/>
        <v>Middle Age</v>
      </c>
      <c r="E2577">
        <v>1</v>
      </c>
      <c r="F2577" t="str">
        <f>HLOOKUP(E2577, LookUP_Table!$A$6:$D$7, 2, FALSE)</f>
        <v>Primary</v>
      </c>
      <c r="G2577" t="str">
        <f>IFERROR(VLOOKUP(E2577, LookUP_Table!$A$1:$B$4, 2, FALSE), "")</f>
        <v>Primary</v>
      </c>
      <c r="H2577">
        <v>0</v>
      </c>
      <c r="I2577">
        <v>0</v>
      </c>
      <c r="J2577" t="str">
        <f t="shared" si="240"/>
        <v>Non-Smoker</v>
      </c>
      <c r="K2577">
        <v>0</v>
      </c>
      <c r="L2577">
        <v>0</v>
      </c>
      <c r="M2577">
        <v>1</v>
      </c>
      <c r="N2577">
        <v>0</v>
      </c>
      <c r="O2577">
        <v>245</v>
      </c>
      <c r="P2577" t="str">
        <f t="shared" si="241"/>
        <v>High</v>
      </c>
      <c r="Q2577">
        <v>148</v>
      </c>
      <c r="R2577">
        <v>92</v>
      </c>
      <c r="S2577">
        <v>22.7</v>
      </c>
      <c r="T2577" t="str">
        <f t="shared" si="242"/>
        <v>Normal</v>
      </c>
      <c r="U2577">
        <v>70</v>
      </c>
      <c r="V2577">
        <v>60</v>
      </c>
      <c r="W2577" t="str">
        <f t="shared" si="245"/>
        <v>Normal</v>
      </c>
      <c r="X2577">
        <v>0</v>
      </c>
    </row>
    <row r="2578" spans="1:24" ht="14.5" thickBot="1" x14ac:dyDescent="0.35">
      <c r="A2578">
        <v>1</v>
      </c>
      <c r="B2578" t="str">
        <f t="shared" si="243"/>
        <v>Male</v>
      </c>
      <c r="C2578" s="8">
        <v>52</v>
      </c>
      <c r="D2578" t="str">
        <f t="shared" si="244"/>
        <v>Middle Age</v>
      </c>
      <c r="E2578">
        <v>1</v>
      </c>
      <c r="F2578" t="str">
        <f>HLOOKUP(E2578, LookUP_Table!$A$6:$D$7, 2, FALSE)</f>
        <v>Primary</v>
      </c>
      <c r="G2578" t="str">
        <f>IFERROR(VLOOKUP(E2578, LookUP_Table!$A$1:$B$4, 2, FALSE), "")</f>
        <v>Primary</v>
      </c>
      <c r="H2578">
        <v>1</v>
      </c>
      <c r="I2578">
        <v>30</v>
      </c>
      <c r="J2578" t="str">
        <f t="shared" si="240"/>
        <v>Smoker</v>
      </c>
      <c r="K2578">
        <v>1</v>
      </c>
      <c r="L2578">
        <v>0</v>
      </c>
      <c r="M2578">
        <v>1</v>
      </c>
      <c r="N2578">
        <v>0</v>
      </c>
      <c r="O2578">
        <v>238</v>
      </c>
      <c r="P2578" t="str">
        <f t="shared" si="241"/>
        <v>Normal</v>
      </c>
      <c r="Q2578">
        <v>184</v>
      </c>
      <c r="R2578">
        <v>102</v>
      </c>
      <c r="S2578">
        <v>28.88</v>
      </c>
      <c r="T2578" t="str">
        <f t="shared" si="242"/>
        <v>Overweight</v>
      </c>
      <c r="U2578">
        <v>90</v>
      </c>
      <c r="V2578">
        <v>94</v>
      </c>
      <c r="W2578" t="str">
        <f t="shared" si="245"/>
        <v>Normal</v>
      </c>
      <c r="X2578">
        <v>1</v>
      </c>
    </row>
    <row r="2579" spans="1:24" ht="14.5" thickBot="1" x14ac:dyDescent="0.35">
      <c r="A2579">
        <v>0</v>
      </c>
      <c r="B2579" t="str">
        <f t="shared" si="243"/>
        <v>Female</v>
      </c>
      <c r="C2579" s="8">
        <v>52</v>
      </c>
      <c r="D2579" t="str">
        <f t="shared" si="244"/>
        <v>Middle Age</v>
      </c>
      <c r="E2579">
        <v>1</v>
      </c>
      <c r="F2579" t="str">
        <f>HLOOKUP(E2579, LookUP_Table!$A$6:$D$7, 2, FALSE)</f>
        <v>Primary</v>
      </c>
      <c r="G2579" t="str">
        <f>IFERROR(VLOOKUP(E2579, LookUP_Table!$A$1:$B$4, 2, FALSE), "")</f>
        <v>Primary</v>
      </c>
      <c r="H2579">
        <v>1</v>
      </c>
      <c r="I2579">
        <v>20</v>
      </c>
      <c r="J2579" t="str">
        <f t="shared" si="240"/>
        <v>Smoker</v>
      </c>
      <c r="K2579">
        <v>0</v>
      </c>
      <c r="L2579">
        <v>0</v>
      </c>
      <c r="M2579">
        <v>0</v>
      </c>
      <c r="N2579">
        <v>0</v>
      </c>
      <c r="O2579">
        <v>232</v>
      </c>
      <c r="P2579" t="str">
        <f t="shared" si="241"/>
        <v>Normal</v>
      </c>
      <c r="Q2579">
        <v>115</v>
      </c>
      <c r="R2579">
        <v>80</v>
      </c>
      <c r="S2579">
        <v>28.79</v>
      </c>
      <c r="T2579" t="str">
        <f t="shared" si="242"/>
        <v>Overweight</v>
      </c>
      <c r="U2579">
        <v>72</v>
      </c>
      <c r="V2579">
        <v>68</v>
      </c>
      <c r="W2579" t="str">
        <f t="shared" si="245"/>
        <v>Normal</v>
      </c>
      <c r="X2579">
        <v>0</v>
      </c>
    </row>
    <row r="2580" spans="1:24" ht="14.5" thickBot="1" x14ac:dyDescent="0.35">
      <c r="A2580">
        <v>1</v>
      </c>
      <c r="B2580" t="str">
        <f t="shared" si="243"/>
        <v>Male</v>
      </c>
      <c r="C2580" s="8">
        <v>52</v>
      </c>
      <c r="D2580" t="str">
        <f t="shared" si="244"/>
        <v>Middle Age</v>
      </c>
      <c r="E2580">
        <v>2</v>
      </c>
      <c r="F2580" t="str">
        <f>HLOOKUP(E2580, LookUP_Table!$A$6:$D$7, 2, FALSE)</f>
        <v>Secondary</v>
      </c>
      <c r="G2580" t="str">
        <f>IFERROR(VLOOKUP(E2580, LookUP_Table!$A$1:$B$4, 2, FALSE), "")</f>
        <v>Secondary</v>
      </c>
      <c r="H2580">
        <v>1</v>
      </c>
      <c r="I2580">
        <v>20</v>
      </c>
      <c r="J2580" t="str">
        <f t="shared" si="240"/>
        <v>Smoker</v>
      </c>
      <c r="K2580">
        <v>0</v>
      </c>
      <c r="L2580">
        <v>1</v>
      </c>
      <c r="M2580">
        <v>1</v>
      </c>
      <c r="N2580">
        <v>0</v>
      </c>
      <c r="O2580">
        <v>260</v>
      </c>
      <c r="P2580" t="str">
        <f t="shared" si="241"/>
        <v>High</v>
      </c>
      <c r="Q2580">
        <v>158</v>
      </c>
      <c r="R2580">
        <v>96</v>
      </c>
      <c r="S2580">
        <v>21.17</v>
      </c>
      <c r="T2580" t="str">
        <f t="shared" si="242"/>
        <v>Normal</v>
      </c>
      <c r="U2580">
        <v>74</v>
      </c>
      <c r="V2580">
        <v>82</v>
      </c>
      <c r="W2580" t="str">
        <f t="shared" si="245"/>
        <v>Normal</v>
      </c>
      <c r="X2580">
        <v>0</v>
      </c>
    </row>
    <row r="2581" spans="1:24" ht="14.5" thickBot="1" x14ac:dyDescent="0.35">
      <c r="A2581">
        <v>0</v>
      </c>
      <c r="B2581" t="str">
        <f t="shared" si="243"/>
        <v>Female</v>
      </c>
      <c r="C2581" s="8">
        <v>52</v>
      </c>
      <c r="D2581" t="str">
        <f t="shared" si="244"/>
        <v>Middle Age</v>
      </c>
      <c r="E2581">
        <v>1</v>
      </c>
      <c r="F2581" t="str">
        <f>HLOOKUP(E2581, LookUP_Table!$A$6:$D$7, 2, FALSE)</f>
        <v>Primary</v>
      </c>
      <c r="G2581" t="str">
        <f>IFERROR(VLOOKUP(E2581, LookUP_Table!$A$1:$B$4, 2, FALSE), "")</f>
        <v>Primary</v>
      </c>
      <c r="H2581">
        <v>0</v>
      </c>
      <c r="I2581">
        <v>0</v>
      </c>
      <c r="J2581" t="str">
        <f t="shared" si="240"/>
        <v>Non-Smoker</v>
      </c>
      <c r="K2581">
        <v>0</v>
      </c>
      <c r="L2581">
        <v>0</v>
      </c>
      <c r="M2581">
        <v>0</v>
      </c>
      <c r="N2581">
        <v>0</v>
      </c>
      <c r="O2581">
        <v>234</v>
      </c>
      <c r="P2581" t="str">
        <f t="shared" si="241"/>
        <v>Normal</v>
      </c>
      <c r="Q2581">
        <v>130</v>
      </c>
      <c r="R2581">
        <v>75</v>
      </c>
      <c r="S2581">
        <v>28.35</v>
      </c>
      <c r="T2581" t="str">
        <f t="shared" si="242"/>
        <v>Overweight</v>
      </c>
      <c r="U2581">
        <v>82</v>
      </c>
      <c r="V2581">
        <v>72</v>
      </c>
      <c r="W2581" t="str">
        <f t="shared" si="245"/>
        <v>Normal</v>
      </c>
      <c r="X2581">
        <v>0</v>
      </c>
    </row>
    <row r="2582" spans="1:24" ht="14.5" thickBot="1" x14ac:dyDescent="0.35">
      <c r="A2582">
        <v>1</v>
      </c>
      <c r="B2582" t="str">
        <f t="shared" si="243"/>
        <v>Male</v>
      </c>
      <c r="C2582" s="8">
        <v>52</v>
      </c>
      <c r="D2582" t="str">
        <f t="shared" si="244"/>
        <v>Middle Age</v>
      </c>
      <c r="E2582">
        <v>4</v>
      </c>
      <c r="F2582" t="str">
        <f>HLOOKUP(E2582, LookUP_Table!$A$6:$D$7, 2, FALSE)</f>
        <v>Post Graduate</v>
      </c>
      <c r="G2582" t="str">
        <f>IFERROR(VLOOKUP(E2582, LookUP_Table!$A$1:$B$4, 2, FALSE), "")</f>
        <v>Post Graduate</v>
      </c>
      <c r="H2582">
        <v>0</v>
      </c>
      <c r="I2582">
        <v>0</v>
      </c>
      <c r="J2582" t="str">
        <f t="shared" si="240"/>
        <v>Non-Smoker</v>
      </c>
      <c r="K2582">
        <v>0</v>
      </c>
      <c r="L2582">
        <v>0</v>
      </c>
      <c r="M2582">
        <v>0</v>
      </c>
      <c r="N2582">
        <v>0</v>
      </c>
      <c r="O2582">
        <v>285</v>
      </c>
      <c r="P2582" t="str">
        <f t="shared" si="241"/>
        <v>High</v>
      </c>
      <c r="Q2582">
        <v>110</v>
      </c>
      <c r="R2582">
        <v>79</v>
      </c>
      <c r="S2582">
        <v>23.41</v>
      </c>
      <c r="T2582" t="str">
        <f t="shared" si="242"/>
        <v>Normal</v>
      </c>
      <c r="U2582">
        <v>67</v>
      </c>
      <c r="V2582">
        <v>65</v>
      </c>
      <c r="W2582" t="str">
        <f t="shared" si="245"/>
        <v>Normal</v>
      </c>
      <c r="X2582">
        <v>0</v>
      </c>
    </row>
    <row r="2583" spans="1:24" ht="14.5" thickBot="1" x14ac:dyDescent="0.35">
      <c r="A2583">
        <v>1</v>
      </c>
      <c r="B2583" t="str">
        <f t="shared" si="243"/>
        <v>Male</v>
      </c>
      <c r="C2583" s="8">
        <v>52</v>
      </c>
      <c r="D2583" t="str">
        <f t="shared" si="244"/>
        <v>Middle Age</v>
      </c>
      <c r="E2583">
        <v>1</v>
      </c>
      <c r="F2583" t="str">
        <f>HLOOKUP(E2583, LookUP_Table!$A$6:$D$7, 2, FALSE)</f>
        <v>Primary</v>
      </c>
      <c r="G2583" t="str">
        <f>IFERROR(VLOOKUP(E2583, LookUP_Table!$A$1:$B$4, 2, FALSE), "")</f>
        <v>Primary</v>
      </c>
      <c r="H2583">
        <v>0</v>
      </c>
      <c r="I2583">
        <v>0</v>
      </c>
      <c r="J2583" t="str">
        <f t="shared" si="240"/>
        <v>Non-Smoker</v>
      </c>
      <c r="K2583">
        <v>0</v>
      </c>
      <c r="L2583">
        <v>0</v>
      </c>
      <c r="M2583">
        <v>0</v>
      </c>
      <c r="N2583">
        <v>1</v>
      </c>
      <c r="O2583">
        <v>219</v>
      </c>
      <c r="P2583" t="str">
        <f t="shared" si="241"/>
        <v>Normal</v>
      </c>
      <c r="Q2583">
        <v>125</v>
      </c>
      <c r="R2583">
        <v>82</v>
      </c>
      <c r="S2583">
        <v>24.06</v>
      </c>
      <c r="T2583" t="str">
        <f t="shared" si="242"/>
        <v>Normal</v>
      </c>
      <c r="U2583">
        <v>73</v>
      </c>
      <c r="V2583">
        <v>173</v>
      </c>
      <c r="W2583" t="str">
        <f t="shared" si="245"/>
        <v>Diabetes</v>
      </c>
      <c r="X2583">
        <v>1</v>
      </c>
    </row>
    <row r="2584" spans="1:24" ht="14.5" thickBot="1" x14ac:dyDescent="0.35">
      <c r="A2584">
        <v>1</v>
      </c>
      <c r="B2584" t="str">
        <f t="shared" si="243"/>
        <v>Male</v>
      </c>
      <c r="C2584" s="8">
        <v>52</v>
      </c>
      <c r="D2584" t="str">
        <f t="shared" si="244"/>
        <v>Middle Age</v>
      </c>
      <c r="E2584">
        <v>4</v>
      </c>
      <c r="F2584" t="str">
        <f>HLOOKUP(E2584, LookUP_Table!$A$6:$D$7, 2, FALSE)</f>
        <v>Post Graduate</v>
      </c>
      <c r="G2584" t="str">
        <f>IFERROR(VLOOKUP(E2584, LookUP_Table!$A$1:$B$4, 2, FALSE), "")</f>
        <v>Post Graduate</v>
      </c>
      <c r="H2584">
        <v>1</v>
      </c>
      <c r="I2584">
        <v>30</v>
      </c>
      <c r="J2584" t="str">
        <f t="shared" si="240"/>
        <v>Smoker</v>
      </c>
      <c r="K2584">
        <v>0</v>
      </c>
      <c r="L2584">
        <v>0</v>
      </c>
      <c r="M2584">
        <v>0</v>
      </c>
      <c r="N2584">
        <v>0</v>
      </c>
      <c r="O2584">
        <v>346</v>
      </c>
      <c r="P2584" t="str">
        <f t="shared" si="241"/>
        <v>High</v>
      </c>
      <c r="Q2584">
        <v>133</v>
      </c>
      <c r="R2584">
        <v>96</v>
      </c>
      <c r="S2584">
        <v>25.95</v>
      </c>
      <c r="T2584" t="str">
        <f t="shared" si="242"/>
        <v>Overweight</v>
      </c>
      <c r="U2584">
        <v>65</v>
      </c>
      <c r="V2584">
        <v>126</v>
      </c>
      <c r="W2584" t="str">
        <f t="shared" si="245"/>
        <v>Diabetes</v>
      </c>
      <c r="X2584">
        <v>1</v>
      </c>
    </row>
    <row r="2585" spans="1:24" ht="14.5" thickBot="1" x14ac:dyDescent="0.35">
      <c r="A2585">
        <v>0</v>
      </c>
      <c r="B2585" t="str">
        <f t="shared" si="243"/>
        <v>Female</v>
      </c>
      <c r="C2585" s="8">
        <v>52</v>
      </c>
      <c r="D2585" t="str">
        <f t="shared" si="244"/>
        <v>Middle Age</v>
      </c>
      <c r="E2585">
        <v>1</v>
      </c>
      <c r="F2585" t="str">
        <f>HLOOKUP(E2585, LookUP_Table!$A$6:$D$7, 2, FALSE)</f>
        <v>Primary</v>
      </c>
      <c r="G2585" t="str">
        <f>IFERROR(VLOOKUP(E2585, LookUP_Table!$A$1:$B$4, 2, FALSE), "")</f>
        <v>Primary</v>
      </c>
      <c r="H2585">
        <v>0</v>
      </c>
      <c r="I2585">
        <v>0</v>
      </c>
      <c r="J2585" t="str">
        <f t="shared" si="240"/>
        <v>Non-Smoker</v>
      </c>
      <c r="K2585">
        <v>0</v>
      </c>
      <c r="L2585">
        <v>0</v>
      </c>
      <c r="M2585">
        <v>0</v>
      </c>
      <c r="N2585">
        <v>0</v>
      </c>
      <c r="O2585">
        <v>279</v>
      </c>
      <c r="P2585" t="str">
        <f t="shared" si="241"/>
        <v>High</v>
      </c>
      <c r="Q2585">
        <v>135</v>
      </c>
      <c r="R2585">
        <v>86</v>
      </c>
      <c r="S2585">
        <v>27.02</v>
      </c>
      <c r="T2585" t="str">
        <f t="shared" si="242"/>
        <v>Overweight</v>
      </c>
      <c r="U2585">
        <v>100</v>
      </c>
      <c r="V2585">
        <v>72</v>
      </c>
      <c r="W2585" t="str">
        <f t="shared" si="245"/>
        <v>Normal</v>
      </c>
      <c r="X2585">
        <v>1</v>
      </c>
    </row>
    <row r="2586" spans="1:24" ht="14.5" thickBot="1" x14ac:dyDescent="0.35">
      <c r="A2586">
        <v>0</v>
      </c>
      <c r="B2586" t="str">
        <f t="shared" si="243"/>
        <v>Female</v>
      </c>
      <c r="C2586" s="8">
        <v>52</v>
      </c>
      <c r="D2586" t="str">
        <f t="shared" si="244"/>
        <v>Middle Age</v>
      </c>
      <c r="E2586">
        <v>3</v>
      </c>
      <c r="F2586" t="str">
        <f>HLOOKUP(E2586, LookUP_Table!$A$6:$D$7, 2, FALSE)</f>
        <v>Graduate</v>
      </c>
      <c r="G2586" t="str">
        <f>IFERROR(VLOOKUP(E2586, LookUP_Table!$A$1:$B$4, 2, FALSE), "")</f>
        <v>Graduate</v>
      </c>
      <c r="H2586">
        <v>1</v>
      </c>
      <c r="I2586">
        <v>20</v>
      </c>
      <c r="J2586" t="str">
        <f t="shared" si="240"/>
        <v>Smoker</v>
      </c>
      <c r="K2586">
        <v>0</v>
      </c>
      <c r="L2586">
        <v>0</v>
      </c>
      <c r="M2586">
        <v>0</v>
      </c>
      <c r="N2586">
        <v>0</v>
      </c>
      <c r="O2586">
        <v>248</v>
      </c>
      <c r="P2586" t="str">
        <f t="shared" si="241"/>
        <v>High</v>
      </c>
      <c r="Q2586">
        <v>128</v>
      </c>
      <c r="R2586">
        <v>74</v>
      </c>
      <c r="S2586">
        <v>21.84</v>
      </c>
      <c r="T2586" t="str">
        <f t="shared" si="242"/>
        <v>Normal</v>
      </c>
      <c r="U2586">
        <v>65</v>
      </c>
      <c r="V2586">
        <v>79</v>
      </c>
      <c r="W2586" t="str">
        <f t="shared" si="245"/>
        <v>Normal</v>
      </c>
      <c r="X2586">
        <v>0</v>
      </c>
    </row>
    <row r="2587" spans="1:24" ht="14.5" thickBot="1" x14ac:dyDescent="0.35">
      <c r="A2587">
        <v>1</v>
      </c>
      <c r="B2587" t="str">
        <f t="shared" si="243"/>
        <v>Male</v>
      </c>
      <c r="C2587" s="8">
        <v>52</v>
      </c>
      <c r="D2587" t="str">
        <f t="shared" si="244"/>
        <v>Middle Age</v>
      </c>
      <c r="E2587">
        <v>2</v>
      </c>
      <c r="F2587" t="str">
        <f>HLOOKUP(E2587, LookUP_Table!$A$6:$D$7, 2, FALSE)</f>
        <v>Secondary</v>
      </c>
      <c r="G2587" t="str">
        <f>IFERROR(VLOOKUP(E2587, LookUP_Table!$A$1:$B$4, 2, FALSE), "")</f>
        <v>Secondary</v>
      </c>
      <c r="H2587">
        <v>0</v>
      </c>
      <c r="I2587">
        <v>0</v>
      </c>
      <c r="J2587" t="str">
        <f t="shared" si="240"/>
        <v>Non-Smoker</v>
      </c>
      <c r="K2587">
        <v>0</v>
      </c>
      <c r="L2587">
        <v>1</v>
      </c>
      <c r="M2587">
        <v>0</v>
      </c>
      <c r="N2587">
        <v>0</v>
      </c>
      <c r="O2587">
        <v>202</v>
      </c>
      <c r="P2587" t="str">
        <f t="shared" si="241"/>
        <v>Normal</v>
      </c>
      <c r="Q2587">
        <v>136</v>
      </c>
      <c r="R2587">
        <v>94</v>
      </c>
      <c r="S2587">
        <v>29.93</v>
      </c>
      <c r="T2587" t="str">
        <f t="shared" si="242"/>
        <v>Overweight</v>
      </c>
      <c r="U2587">
        <v>83</v>
      </c>
      <c r="V2587">
        <v>67</v>
      </c>
      <c r="W2587" t="str">
        <f t="shared" si="245"/>
        <v>Normal</v>
      </c>
      <c r="X2587">
        <v>1</v>
      </c>
    </row>
    <row r="2588" spans="1:24" ht="14.5" thickBot="1" x14ac:dyDescent="0.35">
      <c r="A2588">
        <v>1</v>
      </c>
      <c r="B2588" t="str">
        <f t="shared" si="243"/>
        <v>Male</v>
      </c>
      <c r="C2588" s="8">
        <v>52</v>
      </c>
      <c r="D2588" t="str">
        <f t="shared" si="244"/>
        <v>Middle Age</v>
      </c>
      <c r="E2588">
        <v>4</v>
      </c>
      <c r="F2588" t="str">
        <f>HLOOKUP(E2588, LookUP_Table!$A$6:$D$7, 2, FALSE)</f>
        <v>Post Graduate</v>
      </c>
      <c r="G2588" t="str">
        <f>IFERROR(VLOOKUP(E2588, LookUP_Table!$A$1:$B$4, 2, FALSE), "")</f>
        <v>Post Graduate</v>
      </c>
      <c r="H2588">
        <v>0</v>
      </c>
      <c r="I2588">
        <v>0</v>
      </c>
      <c r="J2588" t="str">
        <f t="shared" si="240"/>
        <v>Non-Smoker</v>
      </c>
      <c r="K2588">
        <v>0</v>
      </c>
      <c r="L2588">
        <v>0</v>
      </c>
      <c r="M2588">
        <v>0</v>
      </c>
      <c r="N2588">
        <v>0</v>
      </c>
      <c r="O2588">
        <v>224</v>
      </c>
      <c r="P2588" t="str">
        <f t="shared" si="241"/>
        <v>Normal</v>
      </c>
      <c r="Q2588">
        <v>128</v>
      </c>
      <c r="R2588">
        <v>82</v>
      </c>
      <c r="S2588">
        <v>23.96</v>
      </c>
      <c r="T2588" t="str">
        <f t="shared" si="242"/>
        <v>Normal</v>
      </c>
      <c r="U2588">
        <v>70</v>
      </c>
      <c r="V2588">
        <v>68</v>
      </c>
      <c r="W2588" t="str">
        <f t="shared" si="245"/>
        <v>Normal</v>
      </c>
      <c r="X2588">
        <v>0</v>
      </c>
    </row>
    <row r="2589" spans="1:24" ht="14.5" thickBot="1" x14ac:dyDescent="0.35">
      <c r="A2589">
        <v>1</v>
      </c>
      <c r="B2589" t="str">
        <f t="shared" si="243"/>
        <v>Male</v>
      </c>
      <c r="C2589" s="8">
        <v>52</v>
      </c>
      <c r="D2589" t="str">
        <f t="shared" si="244"/>
        <v>Middle Age</v>
      </c>
      <c r="E2589">
        <v>1</v>
      </c>
      <c r="F2589" t="str">
        <f>HLOOKUP(E2589, LookUP_Table!$A$6:$D$7, 2, FALSE)</f>
        <v>Primary</v>
      </c>
      <c r="G2589" t="str">
        <f>IFERROR(VLOOKUP(E2589, LookUP_Table!$A$1:$B$4, 2, FALSE), "")</f>
        <v>Primary</v>
      </c>
      <c r="H2589">
        <v>1</v>
      </c>
      <c r="I2589">
        <v>20</v>
      </c>
      <c r="J2589" t="str">
        <f t="shared" si="240"/>
        <v>Smoker</v>
      </c>
      <c r="K2589">
        <v>0</v>
      </c>
      <c r="L2589">
        <v>0</v>
      </c>
      <c r="M2589">
        <v>1</v>
      </c>
      <c r="N2589">
        <v>0</v>
      </c>
      <c r="O2589">
        <v>200</v>
      </c>
      <c r="P2589" t="str">
        <f t="shared" si="241"/>
        <v>Normal</v>
      </c>
      <c r="Q2589">
        <v>141</v>
      </c>
      <c r="R2589">
        <v>81.5</v>
      </c>
      <c r="S2589">
        <v>26.56</v>
      </c>
      <c r="T2589" t="str">
        <f t="shared" si="242"/>
        <v>Overweight</v>
      </c>
      <c r="U2589">
        <v>70</v>
      </c>
      <c r="V2589">
        <v>85</v>
      </c>
      <c r="W2589" t="str">
        <f t="shared" si="245"/>
        <v>Normal</v>
      </c>
      <c r="X2589">
        <v>0</v>
      </c>
    </row>
    <row r="2590" spans="1:24" ht="14.5" thickBot="1" x14ac:dyDescent="0.35">
      <c r="A2590">
        <v>0</v>
      </c>
      <c r="B2590" t="str">
        <f t="shared" si="243"/>
        <v>Female</v>
      </c>
      <c r="C2590" s="8">
        <v>52</v>
      </c>
      <c r="D2590" t="str">
        <f t="shared" si="244"/>
        <v>Middle Age</v>
      </c>
      <c r="E2590">
        <v>1</v>
      </c>
      <c r="F2590" t="str">
        <f>HLOOKUP(E2590, LookUP_Table!$A$6:$D$7, 2, FALSE)</f>
        <v>Primary</v>
      </c>
      <c r="G2590" t="str">
        <f>IFERROR(VLOOKUP(E2590, LookUP_Table!$A$1:$B$4, 2, FALSE), "")</f>
        <v>Primary</v>
      </c>
      <c r="H2590">
        <v>0</v>
      </c>
      <c r="I2590">
        <v>0</v>
      </c>
      <c r="J2590" t="str">
        <f t="shared" si="240"/>
        <v>Non-Smoker</v>
      </c>
      <c r="K2590">
        <v>0</v>
      </c>
      <c r="L2590">
        <v>0</v>
      </c>
      <c r="M2590">
        <v>1</v>
      </c>
      <c r="N2590">
        <v>0</v>
      </c>
      <c r="O2590">
        <v>215</v>
      </c>
      <c r="P2590" t="str">
        <f t="shared" si="241"/>
        <v>Normal</v>
      </c>
      <c r="Q2590">
        <v>180</v>
      </c>
      <c r="R2590">
        <v>108</v>
      </c>
      <c r="S2590">
        <v>37.020000000000003</v>
      </c>
      <c r="T2590" t="str">
        <f t="shared" si="242"/>
        <v>Obese</v>
      </c>
      <c r="U2590">
        <v>60</v>
      </c>
      <c r="V2590">
        <v>89</v>
      </c>
      <c r="W2590" t="str">
        <f t="shared" si="245"/>
        <v>Normal</v>
      </c>
      <c r="X2590">
        <v>0</v>
      </c>
    </row>
    <row r="2591" spans="1:24" ht="14.5" thickBot="1" x14ac:dyDescent="0.35">
      <c r="A2591">
        <v>0</v>
      </c>
      <c r="B2591" t="str">
        <f t="shared" si="243"/>
        <v>Female</v>
      </c>
      <c r="C2591" s="8">
        <v>52</v>
      </c>
      <c r="D2591" t="str">
        <f t="shared" si="244"/>
        <v>Middle Age</v>
      </c>
      <c r="E2591">
        <v>3</v>
      </c>
      <c r="F2591" t="str">
        <f>HLOOKUP(E2591, LookUP_Table!$A$6:$D$7, 2, FALSE)</f>
        <v>Graduate</v>
      </c>
      <c r="G2591" t="str">
        <f>IFERROR(VLOOKUP(E2591, LookUP_Table!$A$1:$B$4, 2, FALSE), "")</f>
        <v>Graduate</v>
      </c>
      <c r="H2591">
        <v>0</v>
      </c>
      <c r="I2591">
        <v>0</v>
      </c>
      <c r="J2591" t="str">
        <f t="shared" si="240"/>
        <v>Non-Smoker</v>
      </c>
      <c r="K2591">
        <v>0</v>
      </c>
      <c r="L2591">
        <v>0</v>
      </c>
      <c r="M2591">
        <v>1</v>
      </c>
      <c r="N2591">
        <v>0</v>
      </c>
      <c r="O2591">
        <v>350</v>
      </c>
      <c r="P2591" t="str">
        <f t="shared" si="241"/>
        <v>High</v>
      </c>
      <c r="Q2591">
        <v>175</v>
      </c>
      <c r="R2591">
        <v>85</v>
      </c>
      <c r="S2591">
        <v>30.99</v>
      </c>
      <c r="T2591" t="str">
        <f t="shared" si="242"/>
        <v>Obese</v>
      </c>
      <c r="U2591">
        <v>92</v>
      </c>
      <c r="V2591">
        <v>63</v>
      </c>
      <c r="W2591" t="str">
        <f t="shared" si="245"/>
        <v>Normal</v>
      </c>
      <c r="X2591">
        <v>0</v>
      </c>
    </row>
    <row r="2592" spans="1:24" ht="14.5" thickBot="1" x14ac:dyDescent="0.35">
      <c r="A2592">
        <v>0</v>
      </c>
      <c r="B2592" t="str">
        <f t="shared" si="243"/>
        <v>Female</v>
      </c>
      <c r="C2592" s="8">
        <v>52</v>
      </c>
      <c r="D2592" t="str">
        <f t="shared" si="244"/>
        <v>Middle Age</v>
      </c>
      <c r="E2592">
        <v>1</v>
      </c>
      <c r="F2592" t="str">
        <f>HLOOKUP(E2592, LookUP_Table!$A$6:$D$7, 2, FALSE)</f>
        <v>Primary</v>
      </c>
      <c r="G2592" t="str">
        <f>IFERROR(VLOOKUP(E2592, LookUP_Table!$A$1:$B$4, 2, FALSE), "")</f>
        <v>Primary</v>
      </c>
      <c r="H2592">
        <v>0</v>
      </c>
      <c r="I2592">
        <v>0</v>
      </c>
      <c r="J2592" t="str">
        <f t="shared" si="240"/>
        <v>Non-Smoker</v>
      </c>
      <c r="K2592">
        <v>0</v>
      </c>
      <c r="L2592">
        <v>0</v>
      </c>
      <c r="M2592">
        <v>1</v>
      </c>
      <c r="N2592">
        <v>0</v>
      </c>
      <c r="O2592">
        <v>252</v>
      </c>
      <c r="P2592" t="str">
        <f t="shared" si="241"/>
        <v>High</v>
      </c>
      <c r="Q2592">
        <v>208</v>
      </c>
      <c r="R2592">
        <v>136</v>
      </c>
      <c r="S2592">
        <v>25.79</v>
      </c>
      <c r="T2592" t="str">
        <f t="shared" si="242"/>
        <v>Overweight</v>
      </c>
      <c r="U2592">
        <v>92</v>
      </c>
      <c r="V2592">
        <v>82</v>
      </c>
      <c r="W2592" t="str">
        <f t="shared" si="245"/>
        <v>Normal</v>
      </c>
      <c r="X2592">
        <v>0</v>
      </c>
    </row>
    <row r="2593" spans="1:24" ht="14.5" thickBot="1" x14ac:dyDescent="0.35">
      <c r="A2593">
        <v>0</v>
      </c>
      <c r="B2593" t="str">
        <f t="shared" si="243"/>
        <v>Female</v>
      </c>
      <c r="C2593" s="8">
        <v>52</v>
      </c>
      <c r="D2593" t="str">
        <f t="shared" si="244"/>
        <v>Middle Age</v>
      </c>
      <c r="E2593">
        <v>1</v>
      </c>
      <c r="F2593" t="str">
        <f>HLOOKUP(E2593, LookUP_Table!$A$6:$D$7, 2, FALSE)</f>
        <v>Primary</v>
      </c>
      <c r="G2593" t="str">
        <f>IFERROR(VLOOKUP(E2593, LookUP_Table!$A$1:$B$4, 2, FALSE), "")</f>
        <v>Primary</v>
      </c>
      <c r="H2593">
        <v>0</v>
      </c>
      <c r="I2593">
        <v>0</v>
      </c>
      <c r="J2593" t="str">
        <f t="shared" si="240"/>
        <v>Non-Smoker</v>
      </c>
      <c r="K2593">
        <v>0</v>
      </c>
      <c r="L2593">
        <v>0</v>
      </c>
      <c r="M2593">
        <v>0</v>
      </c>
      <c r="N2593">
        <v>0</v>
      </c>
      <c r="O2593">
        <v>211</v>
      </c>
      <c r="P2593" t="str">
        <f t="shared" si="241"/>
        <v>Normal</v>
      </c>
      <c r="Q2593">
        <v>129</v>
      </c>
      <c r="R2593">
        <v>73</v>
      </c>
      <c r="S2593">
        <v>29.09</v>
      </c>
      <c r="T2593" t="str">
        <f t="shared" si="242"/>
        <v>Overweight</v>
      </c>
      <c r="U2593">
        <v>62</v>
      </c>
      <c r="V2593">
        <v>117</v>
      </c>
      <c r="W2593" t="str">
        <f t="shared" si="245"/>
        <v>Prediabetes</v>
      </c>
      <c r="X2593">
        <v>0</v>
      </c>
    </row>
    <row r="2594" spans="1:24" ht="14.5" thickBot="1" x14ac:dyDescent="0.35">
      <c r="A2594">
        <v>0</v>
      </c>
      <c r="B2594" t="str">
        <f t="shared" si="243"/>
        <v>Female</v>
      </c>
      <c r="C2594" s="8">
        <v>52</v>
      </c>
      <c r="D2594" t="str">
        <f t="shared" si="244"/>
        <v>Middle Age</v>
      </c>
      <c r="E2594">
        <v>4</v>
      </c>
      <c r="F2594" t="str">
        <f>HLOOKUP(E2594, LookUP_Table!$A$6:$D$7, 2, FALSE)</f>
        <v>Post Graduate</v>
      </c>
      <c r="G2594" t="str">
        <f>IFERROR(VLOOKUP(E2594, LookUP_Table!$A$1:$B$4, 2, FALSE), "")</f>
        <v>Post Graduate</v>
      </c>
      <c r="H2594">
        <v>0</v>
      </c>
      <c r="I2594">
        <v>0</v>
      </c>
      <c r="J2594" t="str">
        <f t="shared" si="240"/>
        <v>Non-Smoker</v>
      </c>
      <c r="K2594">
        <v>0</v>
      </c>
      <c r="L2594">
        <v>0</v>
      </c>
      <c r="M2594">
        <v>1</v>
      </c>
      <c r="N2594">
        <v>0</v>
      </c>
      <c r="O2594">
        <v>240</v>
      </c>
      <c r="P2594" t="str">
        <f t="shared" si="241"/>
        <v>Normal</v>
      </c>
      <c r="Q2594">
        <v>139</v>
      </c>
      <c r="R2594">
        <v>80</v>
      </c>
      <c r="S2594">
        <v>22</v>
      </c>
      <c r="T2594" t="str">
        <f t="shared" si="242"/>
        <v>Normal</v>
      </c>
      <c r="U2594">
        <v>68</v>
      </c>
      <c r="V2594">
        <v>81.96365524402907</v>
      </c>
      <c r="W2594" t="str">
        <f t="shared" si="245"/>
        <v>Normal</v>
      </c>
      <c r="X2594">
        <v>0</v>
      </c>
    </row>
    <row r="2595" spans="1:24" ht="14.5" thickBot="1" x14ac:dyDescent="0.35">
      <c r="A2595">
        <v>1</v>
      </c>
      <c r="B2595" t="str">
        <f t="shared" si="243"/>
        <v>Male</v>
      </c>
      <c r="C2595" s="8">
        <v>52</v>
      </c>
      <c r="D2595" t="str">
        <f t="shared" si="244"/>
        <v>Middle Age</v>
      </c>
      <c r="E2595">
        <v>3</v>
      </c>
      <c r="F2595" t="str">
        <f>HLOOKUP(E2595, LookUP_Table!$A$6:$D$7, 2, FALSE)</f>
        <v>Graduate</v>
      </c>
      <c r="G2595" t="str">
        <f>IFERROR(VLOOKUP(E2595, LookUP_Table!$A$1:$B$4, 2, FALSE), "")</f>
        <v>Graduate</v>
      </c>
      <c r="H2595">
        <v>1</v>
      </c>
      <c r="I2595">
        <v>30</v>
      </c>
      <c r="J2595" t="str">
        <f t="shared" si="240"/>
        <v>Smoker</v>
      </c>
      <c r="K2595">
        <v>0</v>
      </c>
      <c r="L2595">
        <v>0</v>
      </c>
      <c r="M2595">
        <v>0</v>
      </c>
      <c r="N2595">
        <v>0</v>
      </c>
      <c r="O2595">
        <v>248</v>
      </c>
      <c r="P2595" t="str">
        <f t="shared" si="241"/>
        <v>High</v>
      </c>
      <c r="Q2595">
        <v>119</v>
      </c>
      <c r="R2595">
        <v>82</v>
      </c>
      <c r="S2595">
        <v>26.55</v>
      </c>
      <c r="T2595" t="str">
        <f t="shared" si="242"/>
        <v>Overweight</v>
      </c>
      <c r="U2595">
        <v>65</v>
      </c>
      <c r="V2595">
        <v>100</v>
      </c>
      <c r="W2595" t="str">
        <f t="shared" si="245"/>
        <v>Prediabetes</v>
      </c>
      <c r="X2595">
        <v>0</v>
      </c>
    </row>
    <row r="2596" spans="1:24" ht="14.5" thickBot="1" x14ac:dyDescent="0.35">
      <c r="A2596">
        <v>1</v>
      </c>
      <c r="B2596" t="str">
        <f t="shared" si="243"/>
        <v>Male</v>
      </c>
      <c r="C2596" s="8">
        <v>52</v>
      </c>
      <c r="D2596" t="str">
        <f t="shared" si="244"/>
        <v>Middle Age</v>
      </c>
      <c r="E2596">
        <v>2</v>
      </c>
      <c r="F2596" t="str">
        <f>HLOOKUP(E2596, LookUP_Table!$A$6:$D$7, 2, FALSE)</f>
        <v>Secondary</v>
      </c>
      <c r="G2596" t="str">
        <f>IFERROR(VLOOKUP(E2596, LookUP_Table!$A$1:$B$4, 2, FALSE), "")</f>
        <v>Secondary</v>
      </c>
      <c r="H2596">
        <v>0</v>
      </c>
      <c r="I2596">
        <v>0</v>
      </c>
      <c r="J2596" t="str">
        <f t="shared" si="240"/>
        <v>Non-Smoker</v>
      </c>
      <c r="K2596">
        <v>0</v>
      </c>
      <c r="L2596">
        <v>0</v>
      </c>
      <c r="M2596">
        <v>0</v>
      </c>
      <c r="N2596">
        <v>0</v>
      </c>
      <c r="O2596">
        <v>210</v>
      </c>
      <c r="P2596" t="str">
        <f t="shared" si="241"/>
        <v>Normal</v>
      </c>
      <c r="Q2596">
        <v>128</v>
      </c>
      <c r="R2596">
        <v>87</v>
      </c>
      <c r="S2596">
        <v>26.25</v>
      </c>
      <c r="T2596" t="str">
        <f t="shared" si="242"/>
        <v>Overweight</v>
      </c>
      <c r="U2596">
        <v>67</v>
      </c>
      <c r="V2596">
        <v>61</v>
      </c>
      <c r="W2596" t="str">
        <f t="shared" si="245"/>
        <v>Normal</v>
      </c>
      <c r="X2596">
        <v>0</v>
      </c>
    </row>
    <row r="2597" spans="1:24" ht="14.5" thickBot="1" x14ac:dyDescent="0.35">
      <c r="A2597">
        <v>0</v>
      </c>
      <c r="B2597" t="str">
        <f t="shared" si="243"/>
        <v>Female</v>
      </c>
      <c r="C2597" s="8">
        <v>52</v>
      </c>
      <c r="D2597" t="str">
        <f t="shared" si="244"/>
        <v>Middle Age</v>
      </c>
      <c r="E2597">
        <v>1</v>
      </c>
      <c r="F2597" t="str">
        <f>HLOOKUP(E2597, LookUP_Table!$A$6:$D$7, 2, FALSE)</f>
        <v>Primary</v>
      </c>
      <c r="G2597" t="str">
        <f>IFERROR(VLOOKUP(E2597, LookUP_Table!$A$1:$B$4, 2, FALSE), "")</f>
        <v>Primary</v>
      </c>
      <c r="H2597">
        <v>0</v>
      </c>
      <c r="I2597">
        <v>0</v>
      </c>
      <c r="J2597" t="str">
        <f t="shared" si="240"/>
        <v>Non-Smoker</v>
      </c>
      <c r="K2597">
        <v>0</v>
      </c>
      <c r="L2597">
        <v>1</v>
      </c>
      <c r="M2597">
        <v>1</v>
      </c>
      <c r="N2597">
        <v>0</v>
      </c>
      <c r="O2597">
        <v>291</v>
      </c>
      <c r="P2597" t="str">
        <f t="shared" si="241"/>
        <v>High</v>
      </c>
      <c r="Q2597">
        <v>150</v>
      </c>
      <c r="R2597">
        <v>94</v>
      </c>
      <c r="S2597">
        <v>28.68</v>
      </c>
      <c r="T2597" t="str">
        <f t="shared" si="242"/>
        <v>Overweight</v>
      </c>
      <c r="U2597">
        <v>67</v>
      </c>
      <c r="V2597">
        <v>74</v>
      </c>
      <c r="W2597" t="str">
        <f t="shared" si="245"/>
        <v>Normal</v>
      </c>
      <c r="X2597">
        <v>0</v>
      </c>
    </row>
    <row r="2598" spans="1:24" ht="14.5" thickBot="1" x14ac:dyDescent="0.35">
      <c r="A2598">
        <v>0</v>
      </c>
      <c r="B2598" t="str">
        <f t="shared" si="243"/>
        <v>Female</v>
      </c>
      <c r="C2598" s="8">
        <v>52</v>
      </c>
      <c r="D2598" t="str">
        <f t="shared" si="244"/>
        <v>Middle Age</v>
      </c>
      <c r="E2598">
        <v>3</v>
      </c>
      <c r="F2598" t="str">
        <f>HLOOKUP(E2598, LookUP_Table!$A$6:$D$7, 2, FALSE)</f>
        <v>Graduate</v>
      </c>
      <c r="G2598" t="str">
        <f>IFERROR(VLOOKUP(E2598, LookUP_Table!$A$1:$B$4, 2, FALSE), "")</f>
        <v>Graduate</v>
      </c>
      <c r="H2598">
        <v>0</v>
      </c>
      <c r="I2598">
        <v>0</v>
      </c>
      <c r="J2598" t="str">
        <f t="shared" si="240"/>
        <v>Non-Smoker</v>
      </c>
      <c r="K2598">
        <v>0</v>
      </c>
      <c r="L2598">
        <v>0</v>
      </c>
      <c r="M2598">
        <v>0</v>
      </c>
      <c r="N2598">
        <v>0</v>
      </c>
      <c r="O2598">
        <v>325</v>
      </c>
      <c r="P2598" t="str">
        <f t="shared" si="241"/>
        <v>High</v>
      </c>
      <c r="Q2598">
        <v>119.5</v>
      </c>
      <c r="R2598">
        <v>86</v>
      </c>
      <c r="S2598">
        <v>24.56</v>
      </c>
      <c r="T2598" t="str">
        <f t="shared" si="242"/>
        <v>Normal</v>
      </c>
      <c r="U2598">
        <v>64</v>
      </c>
      <c r="V2598">
        <v>81.96365524402907</v>
      </c>
      <c r="W2598" t="str">
        <f t="shared" si="245"/>
        <v>Normal</v>
      </c>
      <c r="X2598">
        <v>1</v>
      </c>
    </row>
    <row r="2599" spans="1:24" ht="14.5" thickBot="1" x14ac:dyDescent="0.35">
      <c r="A2599">
        <v>0</v>
      </c>
      <c r="B2599" t="str">
        <f t="shared" si="243"/>
        <v>Female</v>
      </c>
      <c r="C2599" s="8">
        <v>52</v>
      </c>
      <c r="D2599" t="str">
        <f t="shared" si="244"/>
        <v>Middle Age</v>
      </c>
      <c r="E2599">
        <v>2</v>
      </c>
      <c r="F2599" t="str">
        <f>HLOOKUP(E2599, LookUP_Table!$A$6:$D$7, 2, FALSE)</f>
        <v>Secondary</v>
      </c>
      <c r="G2599" t="str">
        <f>IFERROR(VLOOKUP(E2599, LookUP_Table!$A$1:$B$4, 2, FALSE), "")</f>
        <v>Secondary</v>
      </c>
      <c r="H2599">
        <v>0</v>
      </c>
      <c r="I2599">
        <v>0</v>
      </c>
      <c r="J2599" t="str">
        <f t="shared" si="240"/>
        <v>Non-Smoker</v>
      </c>
      <c r="K2599">
        <v>0</v>
      </c>
      <c r="L2599">
        <v>0</v>
      </c>
      <c r="M2599">
        <v>1</v>
      </c>
      <c r="N2599">
        <v>0</v>
      </c>
      <c r="O2599">
        <v>260</v>
      </c>
      <c r="P2599" t="str">
        <f t="shared" si="241"/>
        <v>High</v>
      </c>
      <c r="Q2599">
        <v>171</v>
      </c>
      <c r="R2599">
        <v>118</v>
      </c>
      <c r="S2599">
        <v>28.33</v>
      </c>
      <c r="T2599" t="str">
        <f t="shared" si="242"/>
        <v>Overweight</v>
      </c>
      <c r="U2599">
        <v>69</v>
      </c>
      <c r="V2599">
        <v>80</v>
      </c>
      <c r="W2599" t="str">
        <f t="shared" si="245"/>
        <v>Normal</v>
      </c>
      <c r="X2599">
        <v>1</v>
      </c>
    </row>
    <row r="2600" spans="1:24" ht="14.5" thickBot="1" x14ac:dyDescent="0.35">
      <c r="A2600">
        <v>0</v>
      </c>
      <c r="B2600" t="str">
        <f t="shared" si="243"/>
        <v>Female</v>
      </c>
      <c r="C2600" s="8">
        <v>52</v>
      </c>
      <c r="D2600" t="str">
        <f t="shared" si="244"/>
        <v>Middle Age</v>
      </c>
      <c r="E2600">
        <v>1</v>
      </c>
      <c r="F2600" t="str">
        <f>HLOOKUP(E2600, LookUP_Table!$A$6:$D$7, 2, FALSE)</f>
        <v>Primary</v>
      </c>
      <c r="G2600" t="str">
        <f>IFERROR(VLOOKUP(E2600, LookUP_Table!$A$1:$B$4, 2, FALSE), "")</f>
        <v>Primary</v>
      </c>
      <c r="H2600">
        <v>0</v>
      </c>
      <c r="I2600">
        <v>0</v>
      </c>
      <c r="J2600" t="str">
        <f t="shared" si="240"/>
        <v>Non-Smoker</v>
      </c>
      <c r="K2600">
        <v>0</v>
      </c>
      <c r="L2600">
        <v>0</v>
      </c>
      <c r="M2600">
        <v>1</v>
      </c>
      <c r="N2600">
        <v>0</v>
      </c>
      <c r="O2600">
        <v>220</v>
      </c>
      <c r="P2600" t="str">
        <f t="shared" si="241"/>
        <v>Normal</v>
      </c>
      <c r="Q2600">
        <v>163</v>
      </c>
      <c r="R2600">
        <v>87</v>
      </c>
      <c r="S2600">
        <v>25.12</v>
      </c>
      <c r="T2600" t="str">
        <f t="shared" si="242"/>
        <v>Overweight</v>
      </c>
      <c r="U2600">
        <v>100</v>
      </c>
      <c r="V2600">
        <v>94</v>
      </c>
      <c r="W2600" t="str">
        <f t="shared" si="245"/>
        <v>Normal</v>
      </c>
      <c r="X2600">
        <v>0</v>
      </c>
    </row>
    <row r="2601" spans="1:24" ht="14.5" thickBot="1" x14ac:dyDescent="0.35">
      <c r="A2601">
        <v>0</v>
      </c>
      <c r="B2601" t="str">
        <f t="shared" si="243"/>
        <v>Female</v>
      </c>
      <c r="C2601" s="8">
        <v>52</v>
      </c>
      <c r="D2601" t="str">
        <f t="shared" si="244"/>
        <v>Middle Age</v>
      </c>
      <c r="E2601">
        <v>1</v>
      </c>
      <c r="F2601" t="str">
        <f>HLOOKUP(E2601, LookUP_Table!$A$6:$D$7, 2, FALSE)</f>
        <v>Primary</v>
      </c>
      <c r="G2601" t="str">
        <f>IFERROR(VLOOKUP(E2601, LookUP_Table!$A$1:$B$4, 2, FALSE), "")</f>
        <v>Primary</v>
      </c>
      <c r="H2601">
        <v>0</v>
      </c>
      <c r="I2601">
        <v>0</v>
      </c>
      <c r="J2601" t="str">
        <f t="shared" si="240"/>
        <v>Non-Smoker</v>
      </c>
      <c r="K2601">
        <v>0</v>
      </c>
      <c r="L2601">
        <v>0</v>
      </c>
      <c r="M2601">
        <v>0</v>
      </c>
      <c r="N2601">
        <v>0</v>
      </c>
      <c r="O2601">
        <v>208</v>
      </c>
      <c r="P2601" t="str">
        <f t="shared" si="241"/>
        <v>Normal</v>
      </c>
      <c r="Q2601">
        <v>141</v>
      </c>
      <c r="R2601">
        <v>85</v>
      </c>
      <c r="S2601">
        <v>24.85</v>
      </c>
      <c r="T2601" t="str">
        <f t="shared" si="242"/>
        <v>Normal</v>
      </c>
      <c r="U2601">
        <v>75</v>
      </c>
      <c r="V2601">
        <v>68</v>
      </c>
      <c r="W2601" t="str">
        <f t="shared" si="245"/>
        <v>Normal</v>
      </c>
      <c r="X2601">
        <v>0</v>
      </c>
    </row>
    <row r="2602" spans="1:24" ht="14.5" thickBot="1" x14ac:dyDescent="0.35">
      <c r="A2602">
        <v>1</v>
      </c>
      <c r="B2602" t="str">
        <f t="shared" si="243"/>
        <v>Male</v>
      </c>
      <c r="C2602" s="8">
        <v>52</v>
      </c>
      <c r="D2602" t="str">
        <f t="shared" si="244"/>
        <v>Middle Age</v>
      </c>
      <c r="E2602">
        <v>2</v>
      </c>
      <c r="F2602" t="str">
        <f>HLOOKUP(E2602, LookUP_Table!$A$6:$D$7, 2, FALSE)</f>
        <v>Secondary</v>
      </c>
      <c r="G2602" t="str">
        <f>IFERROR(VLOOKUP(E2602, LookUP_Table!$A$1:$B$4, 2, FALSE), "")</f>
        <v>Secondary</v>
      </c>
      <c r="H2602">
        <v>1</v>
      </c>
      <c r="I2602">
        <v>20</v>
      </c>
      <c r="J2602" t="str">
        <f t="shared" si="240"/>
        <v>Smoker</v>
      </c>
      <c r="K2602">
        <v>0</v>
      </c>
      <c r="L2602">
        <v>0</v>
      </c>
      <c r="M2602">
        <v>0</v>
      </c>
      <c r="N2602">
        <v>0</v>
      </c>
      <c r="O2602">
        <v>240</v>
      </c>
      <c r="P2602" t="str">
        <f t="shared" si="241"/>
        <v>Normal</v>
      </c>
      <c r="Q2602">
        <v>135</v>
      </c>
      <c r="R2602">
        <v>82</v>
      </c>
      <c r="S2602">
        <v>27.73</v>
      </c>
      <c r="T2602" t="str">
        <f t="shared" si="242"/>
        <v>Overweight</v>
      </c>
      <c r="U2602">
        <v>100</v>
      </c>
      <c r="V2602">
        <v>87</v>
      </c>
      <c r="W2602" t="str">
        <f t="shared" si="245"/>
        <v>Normal</v>
      </c>
      <c r="X2602">
        <v>0</v>
      </c>
    </row>
    <row r="2603" spans="1:24" ht="14.5" thickBot="1" x14ac:dyDescent="0.35">
      <c r="A2603">
        <v>0</v>
      </c>
      <c r="B2603" t="str">
        <f t="shared" si="243"/>
        <v>Female</v>
      </c>
      <c r="C2603" s="8">
        <v>52</v>
      </c>
      <c r="D2603" t="str">
        <f t="shared" si="244"/>
        <v>Middle Age</v>
      </c>
      <c r="E2603">
        <v>1</v>
      </c>
      <c r="F2603" t="str">
        <f>HLOOKUP(E2603, LookUP_Table!$A$6:$D$7, 2, FALSE)</f>
        <v>Primary</v>
      </c>
      <c r="G2603" t="str">
        <f>IFERROR(VLOOKUP(E2603, LookUP_Table!$A$1:$B$4, 2, FALSE), "")</f>
        <v>Primary</v>
      </c>
      <c r="H2603">
        <v>0</v>
      </c>
      <c r="I2603">
        <v>0</v>
      </c>
      <c r="J2603" t="str">
        <f t="shared" si="240"/>
        <v>Non-Smoker</v>
      </c>
      <c r="K2603">
        <v>0</v>
      </c>
      <c r="L2603">
        <v>0</v>
      </c>
      <c r="M2603">
        <v>0</v>
      </c>
      <c r="N2603">
        <v>0</v>
      </c>
      <c r="O2603">
        <v>280</v>
      </c>
      <c r="P2603" t="str">
        <f t="shared" si="241"/>
        <v>High</v>
      </c>
      <c r="Q2603">
        <v>118</v>
      </c>
      <c r="R2603">
        <v>71</v>
      </c>
      <c r="S2603">
        <v>21.84</v>
      </c>
      <c r="T2603" t="str">
        <f t="shared" si="242"/>
        <v>Normal</v>
      </c>
      <c r="U2603">
        <v>96</v>
      </c>
      <c r="V2603">
        <v>62</v>
      </c>
      <c r="W2603" t="str">
        <f t="shared" si="245"/>
        <v>Normal</v>
      </c>
      <c r="X2603">
        <v>0</v>
      </c>
    </row>
    <row r="2604" spans="1:24" ht="14.5" thickBot="1" x14ac:dyDescent="0.35">
      <c r="A2604">
        <v>1</v>
      </c>
      <c r="B2604" t="str">
        <f t="shared" si="243"/>
        <v>Male</v>
      </c>
      <c r="C2604" s="8">
        <v>52</v>
      </c>
      <c r="D2604" t="str">
        <f t="shared" si="244"/>
        <v>Middle Age</v>
      </c>
      <c r="E2604">
        <v>1</v>
      </c>
      <c r="F2604" t="str">
        <f>HLOOKUP(E2604, LookUP_Table!$A$6:$D$7, 2, FALSE)</f>
        <v>Primary</v>
      </c>
      <c r="G2604" t="str">
        <f>IFERROR(VLOOKUP(E2604, LookUP_Table!$A$1:$B$4, 2, FALSE), "")</f>
        <v>Primary</v>
      </c>
      <c r="H2604">
        <v>0</v>
      </c>
      <c r="I2604">
        <v>0</v>
      </c>
      <c r="J2604" t="str">
        <f t="shared" si="240"/>
        <v>Non-Smoker</v>
      </c>
      <c r="K2604">
        <v>0</v>
      </c>
      <c r="L2604">
        <v>0</v>
      </c>
      <c r="M2604">
        <v>0</v>
      </c>
      <c r="N2604">
        <v>0</v>
      </c>
      <c r="O2604">
        <v>340</v>
      </c>
      <c r="P2604" t="str">
        <f t="shared" si="241"/>
        <v>High</v>
      </c>
      <c r="Q2604">
        <v>114</v>
      </c>
      <c r="R2604">
        <v>83</v>
      </c>
      <c r="S2604">
        <v>31.02</v>
      </c>
      <c r="T2604" t="str">
        <f t="shared" si="242"/>
        <v>Obese</v>
      </c>
      <c r="U2604">
        <v>78</v>
      </c>
      <c r="V2604">
        <v>80</v>
      </c>
      <c r="W2604" t="str">
        <f t="shared" si="245"/>
        <v>Normal</v>
      </c>
      <c r="X2604">
        <v>0</v>
      </c>
    </row>
    <row r="2605" spans="1:24" ht="14.5" thickBot="1" x14ac:dyDescent="0.35">
      <c r="A2605">
        <v>0</v>
      </c>
      <c r="B2605" t="str">
        <f t="shared" si="243"/>
        <v>Female</v>
      </c>
      <c r="C2605" s="8">
        <v>52</v>
      </c>
      <c r="D2605" t="str">
        <f t="shared" si="244"/>
        <v>Middle Age</v>
      </c>
      <c r="E2605">
        <v>1</v>
      </c>
      <c r="F2605" t="str">
        <f>HLOOKUP(E2605, LookUP_Table!$A$6:$D$7, 2, FALSE)</f>
        <v>Primary</v>
      </c>
      <c r="G2605" t="str">
        <f>IFERROR(VLOOKUP(E2605, LookUP_Table!$A$1:$B$4, 2, FALSE), "")</f>
        <v>Primary</v>
      </c>
      <c r="H2605">
        <v>0</v>
      </c>
      <c r="I2605">
        <v>0</v>
      </c>
      <c r="J2605" t="str">
        <f t="shared" si="240"/>
        <v>Non-Smoker</v>
      </c>
      <c r="K2605">
        <v>0</v>
      </c>
      <c r="L2605">
        <v>0</v>
      </c>
      <c r="M2605">
        <v>0</v>
      </c>
      <c r="N2605">
        <v>0</v>
      </c>
      <c r="O2605">
        <v>263</v>
      </c>
      <c r="P2605" t="str">
        <f t="shared" si="241"/>
        <v>High</v>
      </c>
      <c r="Q2605">
        <v>132.5</v>
      </c>
      <c r="R2605">
        <v>87</v>
      </c>
      <c r="S2605">
        <v>30.42</v>
      </c>
      <c r="T2605" t="str">
        <f t="shared" si="242"/>
        <v>Obese</v>
      </c>
      <c r="U2605">
        <v>75</v>
      </c>
      <c r="V2605">
        <v>64</v>
      </c>
      <c r="W2605" t="str">
        <f t="shared" si="245"/>
        <v>Normal</v>
      </c>
      <c r="X2605">
        <v>0</v>
      </c>
    </row>
    <row r="2606" spans="1:24" ht="14.5" thickBot="1" x14ac:dyDescent="0.35">
      <c r="A2606">
        <v>1</v>
      </c>
      <c r="B2606" t="str">
        <f t="shared" si="243"/>
        <v>Male</v>
      </c>
      <c r="C2606" s="8">
        <v>52</v>
      </c>
      <c r="D2606" t="str">
        <f t="shared" si="244"/>
        <v>Middle Age</v>
      </c>
      <c r="E2606">
        <v>1</v>
      </c>
      <c r="F2606" t="str">
        <f>HLOOKUP(E2606, LookUP_Table!$A$6:$D$7, 2, FALSE)</f>
        <v>Primary</v>
      </c>
      <c r="G2606" t="str">
        <f>IFERROR(VLOOKUP(E2606, LookUP_Table!$A$1:$B$4, 2, FALSE), "")</f>
        <v>Primary</v>
      </c>
      <c r="H2606">
        <v>0</v>
      </c>
      <c r="I2606">
        <v>0</v>
      </c>
      <c r="J2606" t="str">
        <f t="shared" si="240"/>
        <v>Non-Smoker</v>
      </c>
      <c r="K2606">
        <v>0</v>
      </c>
      <c r="L2606">
        <v>0</v>
      </c>
      <c r="M2606">
        <v>1</v>
      </c>
      <c r="N2606">
        <v>1</v>
      </c>
      <c r="O2606">
        <v>258</v>
      </c>
      <c r="P2606" t="str">
        <f t="shared" si="241"/>
        <v>High</v>
      </c>
      <c r="Q2606">
        <v>177</v>
      </c>
      <c r="R2606">
        <v>111</v>
      </c>
      <c r="S2606">
        <v>30.38</v>
      </c>
      <c r="T2606" t="str">
        <f t="shared" si="242"/>
        <v>Obese</v>
      </c>
      <c r="U2606">
        <v>80</v>
      </c>
      <c r="V2606">
        <v>270</v>
      </c>
      <c r="W2606" t="str">
        <f t="shared" si="245"/>
        <v>Diabetes</v>
      </c>
      <c r="X2606">
        <v>1</v>
      </c>
    </row>
    <row r="2607" spans="1:24" ht="14.5" thickBot="1" x14ac:dyDescent="0.35">
      <c r="A2607">
        <v>0</v>
      </c>
      <c r="B2607" t="str">
        <f t="shared" si="243"/>
        <v>Female</v>
      </c>
      <c r="C2607" s="8">
        <v>52</v>
      </c>
      <c r="D2607" t="str">
        <f t="shared" si="244"/>
        <v>Middle Age</v>
      </c>
      <c r="E2607">
        <v>3</v>
      </c>
      <c r="F2607" t="str">
        <f>HLOOKUP(E2607, LookUP_Table!$A$6:$D$7, 2, FALSE)</f>
        <v>Graduate</v>
      </c>
      <c r="G2607" t="str">
        <f>IFERROR(VLOOKUP(E2607, LookUP_Table!$A$1:$B$4, 2, FALSE), "")</f>
        <v>Graduate</v>
      </c>
      <c r="H2607">
        <v>0</v>
      </c>
      <c r="I2607">
        <v>0</v>
      </c>
      <c r="J2607" t="str">
        <f t="shared" si="240"/>
        <v>Non-Smoker</v>
      </c>
      <c r="K2607">
        <v>0</v>
      </c>
      <c r="L2607">
        <v>0</v>
      </c>
      <c r="M2607">
        <v>0</v>
      </c>
      <c r="N2607">
        <v>0</v>
      </c>
      <c r="O2607">
        <v>265</v>
      </c>
      <c r="P2607" t="str">
        <f t="shared" si="241"/>
        <v>High</v>
      </c>
      <c r="Q2607">
        <v>130</v>
      </c>
      <c r="R2607">
        <v>84</v>
      </c>
      <c r="S2607">
        <v>27.09</v>
      </c>
      <c r="T2607" t="str">
        <f t="shared" si="242"/>
        <v>Overweight</v>
      </c>
      <c r="U2607">
        <v>63</v>
      </c>
      <c r="V2607">
        <v>69</v>
      </c>
      <c r="W2607" t="str">
        <f t="shared" si="245"/>
        <v>Normal</v>
      </c>
      <c r="X2607">
        <v>0</v>
      </c>
    </row>
    <row r="2608" spans="1:24" ht="14.5" thickBot="1" x14ac:dyDescent="0.35">
      <c r="A2608">
        <v>1</v>
      </c>
      <c r="B2608" t="str">
        <f t="shared" si="243"/>
        <v>Male</v>
      </c>
      <c r="C2608" s="8">
        <v>52</v>
      </c>
      <c r="D2608" t="str">
        <f t="shared" si="244"/>
        <v>Middle Age</v>
      </c>
      <c r="E2608">
        <v>4</v>
      </c>
      <c r="F2608" t="str">
        <f>HLOOKUP(E2608, LookUP_Table!$A$6:$D$7, 2, FALSE)</f>
        <v>Post Graduate</v>
      </c>
      <c r="G2608" t="str">
        <f>IFERROR(VLOOKUP(E2608, LookUP_Table!$A$1:$B$4, 2, FALSE), "")</f>
        <v>Post Graduate</v>
      </c>
      <c r="H2608">
        <v>1</v>
      </c>
      <c r="I2608">
        <v>20</v>
      </c>
      <c r="J2608" t="str">
        <f t="shared" si="240"/>
        <v>Smoker</v>
      </c>
      <c r="K2608">
        <v>0</v>
      </c>
      <c r="L2608">
        <v>0</v>
      </c>
      <c r="M2608">
        <v>1</v>
      </c>
      <c r="N2608">
        <v>0</v>
      </c>
      <c r="O2608">
        <v>200</v>
      </c>
      <c r="P2608" t="str">
        <f t="shared" si="241"/>
        <v>Normal</v>
      </c>
      <c r="Q2608">
        <v>131</v>
      </c>
      <c r="R2608">
        <v>94</v>
      </c>
      <c r="S2608">
        <v>26.77</v>
      </c>
      <c r="T2608" t="str">
        <f t="shared" si="242"/>
        <v>Overweight</v>
      </c>
      <c r="U2608">
        <v>70</v>
      </c>
      <c r="V2608">
        <v>82</v>
      </c>
      <c r="W2608" t="str">
        <f t="shared" si="245"/>
        <v>Normal</v>
      </c>
      <c r="X2608">
        <v>0</v>
      </c>
    </row>
    <row r="2609" spans="1:24" ht="14.5" thickBot="1" x14ac:dyDescent="0.35">
      <c r="A2609">
        <v>0</v>
      </c>
      <c r="B2609" t="str">
        <f t="shared" si="243"/>
        <v>Female</v>
      </c>
      <c r="C2609" s="8">
        <v>52</v>
      </c>
      <c r="D2609" t="str">
        <f t="shared" si="244"/>
        <v>Middle Age</v>
      </c>
      <c r="E2609">
        <v>2</v>
      </c>
      <c r="F2609" t="str">
        <f>HLOOKUP(E2609, LookUP_Table!$A$6:$D$7, 2, FALSE)</f>
        <v>Secondary</v>
      </c>
      <c r="G2609" t="str">
        <f>IFERROR(VLOOKUP(E2609, LookUP_Table!$A$1:$B$4, 2, FALSE), "")</f>
        <v>Secondary</v>
      </c>
      <c r="H2609">
        <v>0</v>
      </c>
      <c r="I2609">
        <v>0</v>
      </c>
      <c r="J2609" t="str">
        <f t="shared" si="240"/>
        <v>Non-Smoker</v>
      </c>
      <c r="K2609">
        <v>0</v>
      </c>
      <c r="L2609">
        <v>0</v>
      </c>
      <c r="M2609">
        <v>0</v>
      </c>
      <c r="N2609">
        <v>0</v>
      </c>
      <c r="O2609">
        <v>300</v>
      </c>
      <c r="P2609" t="str">
        <f t="shared" si="241"/>
        <v>High</v>
      </c>
      <c r="Q2609">
        <v>137</v>
      </c>
      <c r="R2609">
        <v>79</v>
      </c>
      <c r="S2609">
        <v>25.4</v>
      </c>
      <c r="T2609" t="str">
        <f t="shared" si="242"/>
        <v>Overweight</v>
      </c>
      <c r="U2609">
        <v>86</v>
      </c>
      <c r="V2609">
        <v>73</v>
      </c>
      <c r="W2609" t="str">
        <f t="shared" si="245"/>
        <v>Normal</v>
      </c>
      <c r="X2609">
        <v>0</v>
      </c>
    </row>
    <row r="2610" spans="1:24" ht="14.5" thickBot="1" x14ac:dyDescent="0.35">
      <c r="A2610">
        <v>0</v>
      </c>
      <c r="B2610" t="str">
        <f t="shared" si="243"/>
        <v>Female</v>
      </c>
      <c r="C2610" s="8">
        <v>52</v>
      </c>
      <c r="D2610" t="str">
        <f t="shared" si="244"/>
        <v>Middle Age</v>
      </c>
      <c r="E2610">
        <v>1</v>
      </c>
      <c r="F2610" t="str">
        <f>HLOOKUP(E2610, LookUP_Table!$A$6:$D$7, 2, FALSE)</f>
        <v>Primary</v>
      </c>
      <c r="G2610" t="str">
        <f>IFERROR(VLOOKUP(E2610, LookUP_Table!$A$1:$B$4, 2, FALSE), "")</f>
        <v>Primary</v>
      </c>
      <c r="H2610">
        <v>0</v>
      </c>
      <c r="I2610">
        <v>0</v>
      </c>
      <c r="J2610" t="str">
        <f t="shared" si="240"/>
        <v>Non-Smoker</v>
      </c>
      <c r="K2610">
        <v>0</v>
      </c>
      <c r="L2610">
        <v>0</v>
      </c>
      <c r="M2610">
        <v>0</v>
      </c>
      <c r="N2610">
        <v>0</v>
      </c>
      <c r="O2610">
        <v>280</v>
      </c>
      <c r="P2610" t="str">
        <f t="shared" si="241"/>
        <v>High</v>
      </c>
      <c r="Q2610">
        <v>127.5</v>
      </c>
      <c r="R2610">
        <v>81.5</v>
      </c>
      <c r="S2610">
        <v>33.9</v>
      </c>
      <c r="T2610" t="str">
        <f t="shared" si="242"/>
        <v>Obese</v>
      </c>
      <c r="U2610">
        <v>82</v>
      </c>
      <c r="V2610">
        <v>70</v>
      </c>
      <c r="W2610" t="str">
        <f t="shared" si="245"/>
        <v>Normal</v>
      </c>
      <c r="X2610">
        <v>0</v>
      </c>
    </row>
    <row r="2611" spans="1:24" ht="14.5" thickBot="1" x14ac:dyDescent="0.35">
      <c r="A2611">
        <v>1</v>
      </c>
      <c r="B2611" t="str">
        <f t="shared" si="243"/>
        <v>Male</v>
      </c>
      <c r="C2611" s="8">
        <v>52</v>
      </c>
      <c r="D2611" t="str">
        <f t="shared" si="244"/>
        <v>Middle Age</v>
      </c>
      <c r="E2611">
        <v>2</v>
      </c>
      <c r="F2611" t="str">
        <f>HLOOKUP(E2611, LookUP_Table!$A$6:$D$7, 2, FALSE)</f>
        <v>Secondary</v>
      </c>
      <c r="G2611" t="str">
        <f>IFERROR(VLOOKUP(E2611, LookUP_Table!$A$1:$B$4, 2, FALSE), "")</f>
        <v>Secondary</v>
      </c>
      <c r="H2611">
        <v>1</v>
      </c>
      <c r="I2611">
        <v>20</v>
      </c>
      <c r="J2611" t="str">
        <f t="shared" si="240"/>
        <v>Smoker</v>
      </c>
      <c r="K2611">
        <v>0</v>
      </c>
      <c r="L2611">
        <v>0</v>
      </c>
      <c r="M2611">
        <v>0</v>
      </c>
      <c r="N2611">
        <v>0</v>
      </c>
      <c r="O2611">
        <v>243</v>
      </c>
      <c r="P2611" t="str">
        <f t="shared" si="241"/>
        <v>High</v>
      </c>
      <c r="Q2611">
        <v>116</v>
      </c>
      <c r="R2611">
        <v>64</v>
      </c>
      <c r="S2611">
        <v>23.78</v>
      </c>
      <c r="T2611" t="str">
        <f t="shared" si="242"/>
        <v>Normal</v>
      </c>
      <c r="U2611">
        <v>69</v>
      </c>
      <c r="V2611">
        <v>70</v>
      </c>
      <c r="W2611" t="str">
        <f t="shared" si="245"/>
        <v>Normal</v>
      </c>
      <c r="X2611">
        <v>0</v>
      </c>
    </row>
    <row r="2612" spans="1:24" ht="14.5" thickBot="1" x14ac:dyDescent="0.35">
      <c r="A2612">
        <v>1</v>
      </c>
      <c r="B2612" t="str">
        <f t="shared" si="243"/>
        <v>Male</v>
      </c>
      <c r="C2612" s="8">
        <v>52</v>
      </c>
      <c r="D2612" t="str">
        <f t="shared" si="244"/>
        <v>Middle Age</v>
      </c>
      <c r="E2612">
        <v>2</v>
      </c>
      <c r="F2612" t="str">
        <f>HLOOKUP(E2612, LookUP_Table!$A$6:$D$7, 2, FALSE)</f>
        <v>Secondary</v>
      </c>
      <c r="G2612" t="str">
        <f>IFERROR(VLOOKUP(E2612, LookUP_Table!$A$1:$B$4, 2, FALSE), "")</f>
        <v>Secondary</v>
      </c>
      <c r="H2612">
        <v>0</v>
      </c>
      <c r="I2612">
        <v>0</v>
      </c>
      <c r="J2612" t="str">
        <f t="shared" si="240"/>
        <v>Non-Smoker</v>
      </c>
      <c r="K2612">
        <v>0</v>
      </c>
      <c r="L2612">
        <v>0</v>
      </c>
      <c r="M2612">
        <v>0</v>
      </c>
      <c r="N2612">
        <v>0</v>
      </c>
      <c r="O2612">
        <v>214</v>
      </c>
      <c r="P2612" t="str">
        <f t="shared" si="241"/>
        <v>Normal</v>
      </c>
      <c r="Q2612">
        <v>98</v>
      </c>
      <c r="R2612">
        <v>67</v>
      </c>
      <c r="S2612">
        <v>23.43</v>
      </c>
      <c r="T2612" t="str">
        <f t="shared" si="242"/>
        <v>Normal</v>
      </c>
      <c r="U2612">
        <v>68</v>
      </c>
      <c r="V2612">
        <v>90</v>
      </c>
      <c r="W2612" t="str">
        <f t="shared" si="245"/>
        <v>Normal</v>
      </c>
      <c r="X2612">
        <v>0</v>
      </c>
    </row>
    <row r="2613" spans="1:24" ht="14.5" thickBot="1" x14ac:dyDescent="0.35">
      <c r="A2613">
        <v>0</v>
      </c>
      <c r="B2613" t="str">
        <f t="shared" si="243"/>
        <v>Female</v>
      </c>
      <c r="C2613" s="8">
        <v>52</v>
      </c>
      <c r="D2613" t="str">
        <f t="shared" si="244"/>
        <v>Middle Age</v>
      </c>
      <c r="E2613">
        <v>4</v>
      </c>
      <c r="F2613" t="str">
        <f>HLOOKUP(E2613, LookUP_Table!$A$6:$D$7, 2, FALSE)</f>
        <v>Post Graduate</v>
      </c>
      <c r="G2613" t="str">
        <f>IFERROR(VLOOKUP(E2613, LookUP_Table!$A$1:$B$4, 2, FALSE), "")</f>
        <v>Post Graduate</v>
      </c>
      <c r="H2613">
        <v>1</v>
      </c>
      <c r="I2613">
        <v>20</v>
      </c>
      <c r="J2613" t="str">
        <f t="shared" si="240"/>
        <v>Smoker</v>
      </c>
      <c r="K2613">
        <v>0</v>
      </c>
      <c r="L2613">
        <v>0</v>
      </c>
      <c r="M2613">
        <v>0</v>
      </c>
      <c r="N2613">
        <v>0</v>
      </c>
      <c r="O2613">
        <v>254</v>
      </c>
      <c r="P2613" t="str">
        <f t="shared" si="241"/>
        <v>High</v>
      </c>
      <c r="Q2613">
        <v>114</v>
      </c>
      <c r="R2613">
        <v>80</v>
      </c>
      <c r="S2613">
        <v>16.59</v>
      </c>
      <c r="T2613" t="str">
        <f t="shared" si="242"/>
        <v>Underweight</v>
      </c>
      <c r="U2613">
        <v>75</v>
      </c>
      <c r="V2613">
        <v>74</v>
      </c>
      <c r="W2613" t="str">
        <f t="shared" si="245"/>
        <v>Normal</v>
      </c>
      <c r="X2613">
        <v>0</v>
      </c>
    </row>
    <row r="2614" spans="1:24" ht="14.5" thickBot="1" x14ac:dyDescent="0.35">
      <c r="A2614">
        <v>1</v>
      </c>
      <c r="B2614" t="str">
        <f t="shared" si="243"/>
        <v>Male</v>
      </c>
      <c r="C2614" s="8">
        <v>52</v>
      </c>
      <c r="D2614" t="str">
        <f t="shared" si="244"/>
        <v>Middle Age</v>
      </c>
      <c r="E2614">
        <v>1</v>
      </c>
      <c r="F2614" t="str">
        <f>HLOOKUP(E2614, LookUP_Table!$A$6:$D$7, 2, FALSE)</f>
        <v>Primary</v>
      </c>
      <c r="G2614" t="str">
        <f>IFERROR(VLOOKUP(E2614, LookUP_Table!$A$1:$B$4, 2, FALSE), "")</f>
        <v>Primary</v>
      </c>
      <c r="H2614">
        <v>0</v>
      </c>
      <c r="I2614">
        <v>0</v>
      </c>
      <c r="J2614" t="str">
        <f t="shared" si="240"/>
        <v>Non-Smoker</v>
      </c>
      <c r="K2614">
        <v>0</v>
      </c>
      <c r="L2614">
        <v>0</v>
      </c>
      <c r="M2614">
        <v>0</v>
      </c>
      <c r="N2614">
        <v>0</v>
      </c>
      <c r="O2614">
        <v>222</v>
      </c>
      <c r="P2614" t="str">
        <f t="shared" si="241"/>
        <v>Normal</v>
      </c>
      <c r="Q2614">
        <v>125</v>
      </c>
      <c r="R2614">
        <v>76</v>
      </c>
      <c r="S2614">
        <v>25.23</v>
      </c>
      <c r="T2614" t="str">
        <f t="shared" si="242"/>
        <v>Overweight</v>
      </c>
      <c r="U2614">
        <v>60</v>
      </c>
      <c r="V2614">
        <v>77</v>
      </c>
      <c r="W2614" t="str">
        <f t="shared" si="245"/>
        <v>Normal</v>
      </c>
      <c r="X2614">
        <v>0</v>
      </c>
    </row>
    <row r="2615" spans="1:24" ht="14.5" thickBot="1" x14ac:dyDescent="0.35">
      <c r="A2615">
        <v>0</v>
      </c>
      <c r="B2615" t="str">
        <f t="shared" si="243"/>
        <v>Female</v>
      </c>
      <c r="C2615" s="8">
        <v>52</v>
      </c>
      <c r="D2615" t="str">
        <f t="shared" si="244"/>
        <v>Middle Age</v>
      </c>
      <c r="E2615">
        <v>2</v>
      </c>
      <c r="F2615" t="str">
        <f>HLOOKUP(E2615, LookUP_Table!$A$6:$D$7, 2, FALSE)</f>
        <v>Secondary</v>
      </c>
      <c r="G2615" t="str">
        <f>IFERROR(VLOOKUP(E2615, LookUP_Table!$A$1:$B$4, 2, FALSE), "")</f>
        <v>Secondary</v>
      </c>
      <c r="H2615">
        <v>0</v>
      </c>
      <c r="I2615">
        <v>0</v>
      </c>
      <c r="J2615" t="str">
        <f t="shared" si="240"/>
        <v>Non-Smoker</v>
      </c>
      <c r="K2615">
        <v>0</v>
      </c>
      <c r="L2615">
        <v>0</v>
      </c>
      <c r="M2615">
        <v>0</v>
      </c>
      <c r="N2615">
        <v>0</v>
      </c>
      <c r="O2615">
        <v>246</v>
      </c>
      <c r="P2615" t="str">
        <f t="shared" si="241"/>
        <v>High</v>
      </c>
      <c r="Q2615">
        <v>136</v>
      </c>
      <c r="R2615">
        <v>84</v>
      </c>
      <c r="S2615">
        <v>20.149999999999999</v>
      </c>
      <c r="T2615" t="str">
        <f t="shared" si="242"/>
        <v>Normal</v>
      </c>
      <c r="U2615">
        <v>101</v>
      </c>
      <c r="V2615">
        <v>86</v>
      </c>
      <c r="W2615" t="str">
        <f t="shared" si="245"/>
        <v>Normal</v>
      </c>
      <c r="X2615">
        <v>0</v>
      </c>
    </row>
    <row r="2616" spans="1:24" ht="14.5" thickBot="1" x14ac:dyDescent="0.35">
      <c r="A2616">
        <v>1</v>
      </c>
      <c r="B2616" t="str">
        <f t="shared" si="243"/>
        <v>Male</v>
      </c>
      <c r="C2616" s="8">
        <v>52</v>
      </c>
      <c r="D2616" t="str">
        <f t="shared" si="244"/>
        <v>Middle Age</v>
      </c>
      <c r="E2616">
        <v>3</v>
      </c>
      <c r="F2616" t="str">
        <f>HLOOKUP(E2616, LookUP_Table!$A$6:$D$7, 2, FALSE)</f>
        <v>Graduate</v>
      </c>
      <c r="G2616" t="str">
        <f>IFERROR(VLOOKUP(E2616, LookUP_Table!$A$1:$B$4, 2, FALSE), "")</f>
        <v>Graduate</v>
      </c>
      <c r="H2616">
        <v>1</v>
      </c>
      <c r="I2616">
        <v>20</v>
      </c>
      <c r="J2616" t="str">
        <f t="shared" si="240"/>
        <v>Smoker</v>
      </c>
      <c r="K2616">
        <v>0</v>
      </c>
      <c r="L2616">
        <v>0</v>
      </c>
      <c r="M2616">
        <v>0</v>
      </c>
      <c r="N2616">
        <v>0</v>
      </c>
      <c r="O2616">
        <v>205</v>
      </c>
      <c r="P2616" t="str">
        <f t="shared" si="241"/>
        <v>Normal</v>
      </c>
      <c r="Q2616">
        <v>136.5</v>
      </c>
      <c r="R2616">
        <v>92.5</v>
      </c>
      <c r="S2616">
        <v>31.05</v>
      </c>
      <c r="T2616" t="str">
        <f t="shared" si="242"/>
        <v>Obese</v>
      </c>
      <c r="U2616">
        <v>70</v>
      </c>
      <c r="V2616">
        <v>81.96365524402907</v>
      </c>
      <c r="W2616" t="str">
        <f t="shared" si="245"/>
        <v>Normal</v>
      </c>
      <c r="X2616">
        <v>1</v>
      </c>
    </row>
    <row r="2617" spans="1:24" ht="14.5" thickBot="1" x14ac:dyDescent="0.35">
      <c r="A2617">
        <v>1</v>
      </c>
      <c r="B2617" t="str">
        <f t="shared" si="243"/>
        <v>Male</v>
      </c>
      <c r="C2617" s="8">
        <v>52</v>
      </c>
      <c r="D2617" t="str">
        <f t="shared" si="244"/>
        <v>Middle Age</v>
      </c>
      <c r="E2617">
        <v>3</v>
      </c>
      <c r="F2617" t="str">
        <f>HLOOKUP(E2617, LookUP_Table!$A$6:$D$7, 2, FALSE)</f>
        <v>Graduate</v>
      </c>
      <c r="G2617" t="str">
        <f>IFERROR(VLOOKUP(E2617, LookUP_Table!$A$1:$B$4, 2, FALSE), "")</f>
        <v>Graduate</v>
      </c>
      <c r="H2617">
        <v>1</v>
      </c>
      <c r="I2617">
        <v>35</v>
      </c>
      <c r="J2617" t="str">
        <f t="shared" si="240"/>
        <v>Smoker</v>
      </c>
      <c r="K2617">
        <v>0</v>
      </c>
      <c r="L2617">
        <v>0</v>
      </c>
      <c r="M2617">
        <v>1</v>
      </c>
      <c r="N2617">
        <v>1</v>
      </c>
      <c r="O2617">
        <v>281</v>
      </c>
      <c r="P2617" t="str">
        <f t="shared" si="241"/>
        <v>High</v>
      </c>
      <c r="Q2617">
        <v>133</v>
      </c>
      <c r="R2617">
        <v>93</v>
      </c>
      <c r="S2617">
        <v>32.270000000000003</v>
      </c>
      <c r="T2617" t="str">
        <f t="shared" si="242"/>
        <v>Obese</v>
      </c>
      <c r="U2617">
        <v>115</v>
      </c>
      <c r="V2617">
        <v>80</v>
      </c>
      <c r="W2617" t="str">
        <f t="shared" si="245"/>
        <v>Normal</v>
      </c>
      <c r="X2617">
        <v>0</v>
      </c>
    </row>
    <row r="2618" spans="1:24" ht="14.5" thickBot="1" x14ac:dyDescent="0.35">
      <c r="A2618">
        <v>0</v>
      </c>
      <c r="B2618" t="str">
        <f t="shared" si="243"/>
        <v>Female</v>
      </c>
      <c r="C2618" s="8">
        <v>52</v>
      </c>
      <c r="D2618" t="str">
        <f t="shared" si="244"/>
        <v>Middle Age</v>
      </c>
      <c r="E2618">
        <v>3</v>
      </c>
      <c r="F2618" t="str">
        <f>HLOOKUP(E2618, LookUP_Table!$A$6:$D$7, 2, FALSE)</f>
        <v>Graduate</v>
      </c>
      <c r="G2618" t="str">
        <f>IFERROR(VLOOKUP(E2618, LookUP_Table!$A$1:$B$4, 2, FALSE), "")</f>
        <v>Graduate</v>
      </c>
      <c r="H2618">
        <v>1</v>
      </c>
      <c r="I2618">
        <v>9</v>
      </c>
      <c r="J2618" t="str">
        <f t="shared" si="240"/>
        <v>Smoker</v>
      </c>
      <c r="K2618">
        <v>0</v>
      </c>
      <c r="L2618">
        <v>0</v>
      </c>
      <c r="M2618">
        <v>0</v>
      </c>
      <c r="N2618">
        <v>0</v>
      </c>
      <c r="O2618">
        <v>275</v>
      </c>
      <c r="P2618" t="str">
        <f t="shared" si="241"/>
        <v>High</v>
      </c>
      <c r="Q2618">
        <v>102</v>
      </c>
      <c r="R2618">
        <v>70.5</v>
      </c>
      <c r="S2618">
        <v>20.399999999999999</v>
      </c>
      <c r="T2618" t="str">
        <f t="shared" si="242"/>
        <v>Normal</v>
      </c>
      <c r="U2618">
        <v>65</v>
      </c>
      <c r="V2618">
        <v>81.96365524402907</v>
      </c>
      <c r="W2618" t="str">
        <f t="shared" si="245"/>
        <v>Normal</v>
      </c>
      <c r="X2618">
        <v>0</v>
      </c>
    </row>
    <row r="2619" spans="1:24" ht="14.5" thickBot="1" x14ac:dyDescent="0.35">
      <c r="A2619">
        <v>0</v>
      </c>
      <c r="B2619" t="str">
        <f t="shared" si="243"/>
        <v>Female</v>
      </c>
      <c r="C2619" s="8">
        <v>52</v>
      </c>
      <c r="D2619" t="str">
        <f t="shared" si="244"/>
        <v>Middle Age</v>
      </c>
      <c r="E2619">
        <v>4</v>
      </c>
      <c r="F2619" t="str">
        <f>HLOOKUP(E2619, LookUP_Table!$A$6:$D$7, 2, FALSE)</f>
        <v>Post Graduate</v>
      </c>
      <c r="G2619" t="str">
        <f>IFERROR(VLOOKUP(E2619, LookUP_Table!$A$1:$B$4, 2, FALSE), "")</f>
        <v>Post Graduate</v>
      </c>
      <c r="H2619">
        <v>0</v>
      </c>
      <c r="I2619">
        <v>0</v>
      </c>
      <c r="J2619" t="str">
        <f t="shared" si="240"/>
        <v>Non-Smoker</v>
      </c>
      <c r="K2619">
        <v>1</v>
      </c>
      <c r="L2619">
        <v>0</v>
      </c>
      <c r="M2619">
        <v>1</v>
      </c>
      <c r="N2619">
        <v>0</v>
      </c>
      <c r="O2619">
        <v>264</v>
      </c>
      <c r="P2619" t="str">
        <f t="shared" si="241"/>
        <v>High</v>
      </c>
      <c r="Q2619">
        <v>181</v>
      </c>
      <c r="R2619">
        <v>112.5</v>
      </c>
      <c r="S2619">
        <v>24.8</v>
      </c>
      <c r="T2619" t="str">
        <f t="shared" si="242"/>
        <v>Normal</v>
      </c>
      <c r="U2619">
        <v>74</v>
      </c>
      <c r="V2619">
        <v>77</v>
      </c>
      <c r="W2619" t="str">
        <f t="shared" si="245"/>
        <v>Normal</v>
      </c>
      <c r="X2619">
        <v>1</v>
      </c>
    </row>
    <row r="2620" spans="1:24" ht="14.5" thickBot="1" x14ac:dyDescent="0.35">
      <c r="A2620">
        <v>1</v>
      </c>
      <c r="B2620" t="str">
        <f t="shared" si="243"/>
        <v>Male</v>
      </c>
      <c r="C2620" s="8">
        <v>52</v>
      </c>
      <c r="D2620" t="str">
        <f t="shared" si="244"/>
        <v>Middle Age</v>
      </c>
      <c r="E2620">
        <v>1</v>
      </c>
      <c r="F2620" t="str">
        <f>HLOOKUP(E2620, LookUP_Table!$A$6:$D$7, 2, FALSE)</f>
        <v>Primary</v>
      </c>
      <c r="G2620" t="str">
        <f>IFERROR(VLOOKUP(E2620, LookUP_Table!$A$1:$B$4, 2, FALSE), "")</f>
        <v>Primary</v>
      </c>
      <c r="H2620">
        <v>1</v>
      </c>
      <c r="I2620">
        <v>15</v>
      </c>
      <c r="J2620" t="str">
        <f t="shared" si="240"/>
        <v>Smoker</v>
      </c>
      <c r="K2620">
        <v>0</v>
      </c>
      <c r="L2620">
        <v>0</v>
      </c>
      <c r="M2620">
        <v>0</v>
      </c>
      <c r="N2620">
        <v>0</v>
      </c>
      <c r="O2620">
        <v>212</v>
      </c>
      <c r="P2620" t="str">
        <f t="shared" si="241"/>
        <v>Normal</v>
      </c>
      <c r="Q2620">
        <v>138</v>
      </c>
      <c r="R2620">
        <v>86.5</v>
      </c>
      <c r="S2620">
        <v>24.88</v>
      </c>
      <c r="T2620" t="str">
        <f t="shared" si="242"/>
        <v>Normal</v>
      </c>
      <c r="U2620">
        <v>60</v>
      </c>
      <c r="V2620">
        <v>81.96365524402907</v>
      </c>
      <c r="W2620" t="str">
        <f t="shared" si="245"/>
        <v>Normal</v>
      </c>
      <c r="X2620">
        <v>0</v>
      </c>
    </row>
    <row r="2621" spans="1:24" ht="14.5" thickBot="1" x14ac:dyDescent="0.35">
      <c r="A2621">
        <v>1</v>
      </c>
      <c r="B2621" t="str">
        <f t="shared" si="243"/>
        <v>Male</v>
      </c>
      <c r="C2621" s="8">
        <v>52</v>
      </c>
      <c r="D2621" t="str">
        <f t="shared" si="244"/>
        <v>Middle Age</v>
      </c>
      <c r="E2621">
        <v>1</v>
      </c>
      <c r="F2621" t="str">
        <f>HLOOKUP(E2621, LookUP_Table!$A$6:$D$7, 2, FALSE)</f>
        <v>Primary</v>
      </c>
      <c r="G2621" t="str">
        <f>IFERROR(VLOOKUP(E2621, LookUP_Table!$A$1:$B$4, 2, FALSE), "")</f>
        <v>Primary</v>
      </c>
      <c r="H2621">
        <v>1</v>
      </c>
      <c r="I2621">
        <v>15</v>
      </c>
      <c r="J2621" t="str">
        <f t="shared" si="240"/>
        <v>Smoker</v>
      </c>
      <c r="K2621">
        <v>0</v>
      </c>
      <c r="L2621">
        <v>0</v>
      </c>
      <c r="M2621">
        <v>1</v>
      </c>
      <c r="N2621">
        <v>0</v>
      </c>
      <c r="O2621">
        <v>253</v>
      </c>
      <c r="P2621" t="str">
        <f t="shared" si="241"/>
        <v>High</v>
      </c>
      <c r="Q2621">
        <v>159</v>
      </c>
      <c r="R2621">
        <v>89</v>
      </c>
      <c r="S2621">
        <v>23.68</v>
      </c>
      <c r="T2621" t="str">
        <f t="shared" si="242"/>
        <v>Normal</v>
      </c>
      <c r="U2621">
        <v>100</v>
      </c>
      <c r="V2621">
        <v>81.96365524402907</v>
      </c>
      <c r="W2621" t="str">
        <f t="shared" si="245"/>
        <v>Normal</v>
      </c>
      <c r="X2621">
        <v>1</v>
      </c>
    </row>
    <row r="2622" spans="1:24" ht="14.5" thickBot="1" x14ac:dyDescent="0.35">
      <c r="A2622">
        <v>1</v>
      </c>
      <c r="B2622" t="str">
        <f t="shared" si="243"/>
        <v>Male</v>
      </c>
      <c r="C2622" s="8">
        <v>52</v>
      </c>
      <c r="D2622" t="str">
        <f t="shared" si="244"/>
        <v>Middle Age</v>
      </c>
      <c r="E2622">
        <v>4</v>
      </c>
      <c r="F2622" t="str">
        <f>HLOOKUP(E2622, LookUP_Table!$A$6:$D$7, 2, FALSE)</f>
        <v>Post Graduate</v>
      </c>
      <c r="G2622" t="str">
        <f>IFERROR(VLOOKUP(E2622, LookUP_Table!$A$1:$B$4, 2, FALSE), "")</f>
        <v>Post Graduate</v>
      </c>
      <c r="H2622">
        <v>0</v>
      </c>
      <c r="I2622">
        <v>0</v>
      </c>
      <c r="J2622" t="str">
        <f t="shared" si="240"/>
        <v>Non-Smoker</v>
      </c>
      <c r="K2622">
        <v>0</v>
      </c>
      <c r="L2622">
        <v>0</v>
      </c>
      <c r="M2622">
        <v>0</v>
      </c>
      <c r="N2622">
        <v>0</v>
      </c>
      <c r="O2622">
        <v>225</v>
      </c>
      <c r="P2622" t="str">
        <f t="shared" si="241"/>
        <v>Normal</v>
      </c>
      <c r="Q2622">
        <v>132</v>
      </c>
      <c r="R2622">
        <v>88</v>
      </c>
      <c r="S2622">
        <v>23.35</v>
      </c>
      <c r="T2622" t="str">
        <f t="shared" si="242"/>
        <v>Normal</v>
      </c>
      <c r="U2622">
        <v>72</v>
      </c>
      <c r="V2622">
        <v>69</v>
      </c>
      <c r="W2622" t="str">
        <f t="shared" si="245"/>
        <v>Normal</v>
      </c>
      <c r="X2622">
        <v>0</v>
      </c>
    </row>
    <row r="2623" spans="1:24" ht="14.5" thickBot="1" x14ac:dyDescent="0.35">
      <c r="A2623">
        <v>1</v>
      </c>
      <c r="B2623" t="str">
        <f t="shared" si="243"/>
        <v>Male</v>
      </c>
      <c r="C2623" s="8">
        <v>52</v>
      </c>
      <c r="D2623" t="str">
        <f t="shared" si="244"/>
        <v>Middle Age</v>
      </c>
      <c r="E2623">
        <v>1</v>
      </c>
      <c r="F2623" t="str">
        <f>HLOOKUP(E2623, LookUP_Table!$A$6:$D$7, 2, FALSE)</f>
        <v>Primary</v>
      </c>
      <c r="G2623" t="str">
        <f>IFERROR(VLOOKUP(E2623, LookUP_Table!$A$1:$B$4, 2, FALSE), "")</f>
        <v>Primary</v>
      </c>
      <c r="H2623">
        <v>0</v>
      </c>
      <c r="I2623">
        <v>0</v>
      </c>
      <c r="J2623" t="str">
        <f t="shared" si="240"/>
        <v>Non-Smoker</v>
      </c>
      <c r="K2623">
        <v>0</v>
      </c>
      <c r="L2623">
        <v>0</v>
      </c>
      <c r="M2623">
        <v>1</v>
      </c>
      <c r="N2623">
        <v>0</v>
      </c>
      <c r="O2623">
        <v>220</v>
      </c>
      <c r="P2623" t="str">
        <f t="shared" si="241"/>
        <v>Normal</v>
      </c>
      <c r="Q2623">
        <v>151</v>
      </c>
      <c r="R2623">
        <v>102</v>
      </c>
      <c r="S2623">
        <v>25.82</v>
      </c>
      <c r="T2623" t="str">
        <f t="shared" si="242"/>
        <v>Overweight</v>
      </c>
      <c r="U2623">
        <v>95</v>
      </c>
      <c r="V2623">
        <v>85</v>
      </c>
      <c r="W2623" t="str">
        <f t="shared" si="245"/>
        <v>Normal</v>
      </c>
      <c r="X2623">
        <v>0</v>
      </c>
    </row>
    <row r="2624" spans="1:24" ht="14.5" thickBot="1" x14ac:dyDescent="0.35">
      <c r="A2624">
        <v>1</v>
      </c>
      <c r="B2624" t="str">
        <f t="shared" si="243"/>
        <v>Male</v>
      </c>
      <c r="C2624" s="8">
        <v>52</v>
      </c>
      <c r="D2624" t="str">
        <f t="shared" si="244"/>
        <v>Middle Age</v>
      </c>
      <c r="E2624">
        <v>1</v>
      </c>
      <c r="F2624" t="str">
        <f>HLOOKUP(E2624, LookUP_Table!$A$6:$D$7, 2, FALSE)</f>
        <v>Primary</v>
      </c>
      <c r="G2624" t="str">
        <f>IFERROR(VLOOKUP(E2624, LookUP_Table!$A$1:$B$4, 2, FALSE), "")</f>
        <v>Primary</v>
      </c>
      <c r="H2624">
        <v>0</v>
      </c>
      <c r="I2624">
        <v>0</v>
      </c>
      <c r="J2624" t="str">
        <f t="shared" si="240"/>
        <v>Non-Smoker</v>
      </c>
      <c r="K2624">
        <v>0</v>
      </c>
      <c r="L2624">
        <v>0</v>
      </c>
      <c r="M2624">
        <v>0</v>
      </c>
      <c r="N2624">
        <v>0</v>
      </c>
      <c r="O2624">
        <v>285</v>
      </c>
      <c r="P2624" t="str">
        <f t="shared" si="241"/>
        <v>High</v>
      </c>
      <c r="Q2624">
        <v>135</v>
      </c>
      <c r="R2624">
        <v>86</v>
      </c>
      <c r="S2624">
        <v>27.78</v>
      </c>
      <c r="T2624" t="str">
        <f t="shared" si="242"/>
        <v>Overweight</v>
      </c>
      <c r="U2624">
        <v>88</v>
      </c>
      <c r="V2624">
        <v>93</v>
      </c>
      <c r="W2624" t="str">
        <f t="shared" si="245"/>
        <v>Normal</v>
      </c>
      <c r="X2624">
        <v>0</v>
      </c>
    </row>
    <row r="2625" spans="1:24" ht="14.5" thickBot="1" x14ac:dyDescent="0.35">
      <c r="A2625">
        <v>0</v>
      </c>
      <c r="B2625" t="str">
        <f t="shared" si="243"/>
        <v>Female</v>
      </c>
      <c r="C2625" s="8">
        <v>52</v>
      </c>
      <c r="D2625" t="str">
        <f t="shared" si="244"/>
        <v>Middle Age</v>
      </c>
      <c r="E2625">
        <v>3</v>
      </c>
      <c r="F2625" t="str">
        <f>HLOOKUP(E2625, LookUP_Table!$A$6:$D$7, 2, FALSE)</f>
        <v>Graduate</v>
      </c>
      <c r="G2625" t="str">
        <f>IFERROR(VLOOKUP(E2625, LookUP_Table!$A$1:$B$4, 2, FALSE), "")</f>
        <v>Graduate</v>
      </c>
      <c r="H2625">
        <v>1</v>
      </c>
      <c r="I2625">
        <v>20</v>
      </c>
      <c r="J2625" t="str">
        <f t="shared" si="240"/>
        <v>Smoker</v>
      </c>
      <c r="K2625">
        <v>0</v>
      </c>
      <c r="L2625">
        <v>0</v>
      </c>
      <c r="M2625">
        <v>1</v>
      </c>
      <c r="N2625">
        <v>0</v>
      </c>
      <c r="O2625">
        <v>287</v>
      </c>
      <c r="P2625" t="str">
        <f t="shared" si="241"/>
        <v>High</v>
      </c>
      <c r="Q2625">
        <v>139</v>
      </c>
      <c r="R2625">
        <v>88</v>
      </c>
      <c r="S2625">
        <v>26.55</v>
      </c>
      <c r="T2625" t="str">
        <f t="shared" si="242"/>
        <v>Overweight</v>
      </c>
      <c r="U2625">
        <v>110</v>
      </c>
      <c r="V2625">
        <v>81.96365524402907</v>
      </c>
      <c r="W2625" t="str">
        <f t="shared" si="245"/>
        <v>Normal</v>
      </c>
      <c r="X2625">
        <v>1</v>
      </c>
    </row>
    <row r="2626" spans="1:24" ht="14.5" thickBot="1" x14ac:dyDescent="0.35">
      <c r="A2626">
        <v>0</v>
      </c>
      <c r="B2626" t="str">
        <f t="shared" si="243"/>
        <v>Female</v>
      </c>
      <c r="C2626" s="8">
        <v>52</v>
      </c>
      <c r="D2626" t="str">
        <f t="shared" si="244"/>
        <v>Middle Age</v>
      </c>
      <c r="E2626">
        <v>4</v>
      </c>
      <c r="F2626" t="str">
        <f>HLOOKUP(E2626, LookUP_Table!$A$6:$D$7, 2, FALSE)</f>
        <v>Post Graduate</v>
      </c>
      <c r="G2626" t="str">
        <f>IFERROR(VLOOKUP(E2626, LookUP_Table!$A$1:$B$4, 2, FALSE), "")</f>
        <v>Post Graduate</v>
      </c>
      <c r="H2626">
        <v>0</v>
      </c>
      <c r="I2626">
        <v>0</v>
      </c>
      <c r="J2626" t="str">
        <f t="shared" ref="J2626:J2689" si="246">IF(I2626&gt;0,"Smoker","Non-Smoker")</f>
        <v>Non-Smoker</v>
      </c>
      <c r="K2626">
        <v>0</v>
      </c>
      <c r="L2626">
        <v>0</v>
      </c>
      <c r="M2626">
        <v>0</v>
      </c>
      <c r="N2626">
        <v>0</v>
      </c>
      <c r="O2626">
        <v>216</v>
      </c>
      <c r="P2626" t="str">
        <f t="shared" ref="P2626:P2689" si="247">IF(O2626&gt;240,"High","Normal")</f>
        <v>Normal</v>
      </c>
      <c r="Q2626">
        <v>125</v>
      </c>
      <c r="R2626">
        <v>72</v>
      </c>
      <c r="S2626">
        <v>24.98</v>
      </c>
      <c r="T2626" t="str">
        <f t="shared" ref="T2626:T2689" si="248">IF(S2626&lt;18.5,"Underweight",
IF(S2626&lt;25,"Normal",
IF(S2626&lt;30,"Overweight","Obese")))</f>
        <v>Normal</v>
      </c>
      <c r="U2626">
        <v>75</v>
      </c>
      <c r="V2626">
        <v>95</v>
      </c>
      <c r="W2626" t="str">
        <f t="shared" si="245"/>
        <v>Normal</v>
      </c>
      <c r="X2626">
        <v>0</v>
      </c>
    </row>
    <row r="2627" spans="1:24" ht="14.5" thickBot="1" x14ac:dyDescent="0.35">
      <c r="A2627">
        <v>1</v>
      </c>
      <c r="B2627" t="str">
        <f t="shared" ref="B2627:B2690" si="249">IF(A2627=0,"Female","Male")</f>
        <v>Male</v>
      </c>
      <c r="C2627" s="8">
        <v>52</v>
      </c>
      <c r="D2627" t="str">
        <f t="shared" ref="D2627:D2690" si="250">IF(C2627&lt;40,"Young",
IF(C2627&lt;55,"Middle Age","Senior"))</f>
        <v>Middle Age</v>
      </c>
      <c r="E2627">
        <v>1</v>
      </c>
      <c r="F2627" t="str">
        <f>HLOOKUP(E2627, LookUP_Table!$A$6:$D$7, 2, FALSE)</f>
        <v>Primary</v>
      </c>
      <c r="G2627" t="str">
        <f>IFERROR(VLOOKUP(E2627, LookUP_Table!$A$1:$B$4, 2, FALSE), "")</f>
        <v>Primary</v>
      </c>
      <c r="H2627">
        <v>0</v>
      </c>
      <c r="I2627">
        <v>0</v>
      </c>
      <c r="J2627" t="str">
        <f t="shared" si="246"/>
        <v>Non-Smoker</v>
      </c>
      <c r="K2627">
        <v>0</v>
      </c>
      <c r="L2627">
        <v>0</v>
      </c>
      <c r="M2627">
        <v>0</v>
      </c>
      <c r="N2627">
        <v>0</v>
      </c>
      <c r="O2627">
        <v>248</v>
      </c>
      <c r="P2627" t="str">
        <f t="shared" si="247"/>
        <v>High</v>
      </c>
      <c r="Q2627">
        <v>128</v>
      </c>
      <c r="R2627">
        <v>83.5</v>
      </c>
      <c r="S2627">
        <v>25.88</v>
      </c>
      <c r="T2627" t="str">
        <f t="shared" si="248"/>
        <v>Overweight</v>
      </c>
      <c r="U2627">
        <v>68</v>
      </c>
      <c r="V2627">
        <v>75</v>
      </c>
      <c r="W2627" t="str">
        <f t="shared" ref="W2627:W2690" si="251">IF(V2627 &lt; 100, "Normal", IF(V2627 &lt;= 125, "Prediabetes", "Diabetes"))</f>
        <v>Normal</v>
      </c>
      <c r="X2627">
        <v>0</v>
      </c>
    </row>
    <row r="2628" spans="1:24" ht="14.5" thickBot="1" x14ac:dyDescent="0.35">
      <c r="A2628">
        <v>1</v>
      </c>
      <c r="B2628" t="str">
        <f t="shared" si="249"/>
        <v>Male</v>
      </c>
      <c r="C2628" s="8">
        <v>52</v>
      </c>
      <c r="D2628" t="str">
        <f t="shared" si="250"/>
        <v>Middle Age</v>
      </c>
      <c r="E2628">
        <v>1</v>
      </c>
      <c r="F2628" t="str">
        <f>HLOOKUP(E2628, LookUP_Table!$A$6:$D$7, 2, FALSE)</f>
        <v>Primary</v>
      </c>
      <c r="G2628" t="str">
        <f>IFERROR(VLOOKUP(E2628, LookUP_Table!$A$1:$B$4, 2, FALSE), "")</f>
        <v>Primary</v>
      </c>
      <c r="H2628">
        <v>1</v>
      </c>
      <c r="I2628">
        <v>30</v>
      </c>
      <c r="J2628" t="str">
        <f t="shared" si="246"/>
        <v>Smoker</v>
      </c>
      <c r="K2628">
        <v>0</v>
      </c>
      <c r="L2628">
        <v>0</v>
      </c>
      <c r="M2628">
        <v>0</v>
      </c>
      <c r="N2628">
        <v>0</v>
      </c>
      <c r="O2628">
        <v>223</v>
      </c>
      <c r="P2628" t="str">
        <f t="shared" si="247"/>
        <v>Normal</v>
      </c>
      <c r="Q2628">
        <v>133</v>
      </c>
      <c r="R2628">
        <v>82</v>
      </c>
      <c r="S2628">
        <v>21.18</v>
      </c>
      <c r="T2628" t="str">
        <f t="shared" si="248"/>
        <v>Normal</v>
      </c>
      <c r="U2628">
        <v>66</v>
      </c>
      <c r="V2628">
        <v>77</v>
      </c>
      <c r="W2628" t="str">
        <f t="shared" si="251"/>
        <v>Normal</v>
      </c>
      <c r="X2628">
        <v>0</v>
      </c>
    </row>
    <row r="2629" spans="1:24" ht="14.5" thickBot="1" x14ac:dyDescent="0.35">
      <c r="A2629">
        <v>0</v>
      </c>
      <c r="B2629" t="str">
        <f t="shared" si="249"/>
        <v>Female</v>
      </c>
      <c r="C2629" s="8">
        <v>52</v>
      </c>
      <c r="D2629" t="str">
        <f t="shared" si="250"/>
        <v>Middle Age</v>
      </c>
      <c r="E2629">
        <v>2</v>
      </c>
      <c r="F2629" t="str">
        <f>HLOOKUP(E2629, LookUP_Table!$A$6:$D$7, 2, FALSE)</f>
        <v>Secondary</v>
      </c>
      <c r="G2629" t="str">
        <f>IFERROR(VLOOKUP(E2629, LookUP_Table!$A$1:$B$4, 2, FALSE), "")</f>
        <v>Secondary</v>
      </c>
      <c r="H2629">
        <v>0</v>
      </c>
      <c r="I2629">
        <v>0</v>
      </c>
      <c r="J2629" t="str">
        <f t="shared" si="246"/>
        <v>Non-Smoker</v>
      </c>
      <c r="K2629">
        <v>0</v>
      </c>
      <c r="L2629">
        <v>0</v>
      </c>
      <c r="M2629">
        <v>0</v>
      </c>
      <c r="N2629">
        <v>0</v>
      </c>
      <c r="O2629">
        <v>193</v>
      </c>
      <c r="P2629" t="str">
        <f t="shared" si="247"/>
        <v>Normal</v>
      </c>
      <c r="Q2629">
        <v>146</v>
      </c>
      <c r="R2629">
        <v>89</v>
      </c>
      <c r="S2629">
        <v>25.37</v>
      </c>
      <c r="T2629" t="str">
        <f t="shared" si="248"/>
        <v>Overweight</v>
      </c>
      <c r="U2629">
        <v>115</v>
      </c>
      <c r="V2629">
        <v>84</v>
      </c>
      <c r="W2629" t="str">
        <f t="shared" si="251"/>
        <v>Normal</v>
      </c>
      <c r="X2629">
        <v>0</v>
      </c>
    </row>
    <row r="2630" spans="1:24" ht="14.5" thickBot="1" x14ac:dyDescent="0.35">
      <c r="A2630">
        <v>1</v>
      </c>
      <c r="B2630" t="str">
        <f t="shared" si="249"/>
        <v>Male</v>
      </c>
      <c r="C2630" s="8">
        <v>52</v>
      </c>
      <c r="D2630" t="str">
        <f t="shared" si="250"/>
        <v>Middle Age</v>
      </c>
      <c r="E2630">
        <v>1</v>
      </c>
      <c r="F2630" t="str">
        <f>HLOOKUP(E2630, LookUP_Table!$A$6:$D$7, 2, FALSE)</f>
        <v>Primary</v>
      </c>
      <c r="G2630" t="str">
        <f>IFERROR(VLOOKUP(E2630, LookUP_Table!$A$1:$B$4, 2, FALSE), "")</f>
        <v>Primary</v>
      </c>
      <c r="H2630">
        <v>0</v>
      </c>
      <c r="I2630">
        <v>0</v>
      </c>
      <c r="J2630" t="str">
        <f t="shared" si="246"/>
        <v>Non-Smoker</v>
      </c>
      <c r="K2630">
        <v>0</v>
      </c>
      <c r="L2630">
        <v>0</v>
      </c>
      <c r="M2630">
        <v>1</v>
      </c>
      <c r="N2630">
        <v>0</v>
      </c>
      <c r="O2630">
        <v>170</v>
      </c>
      <c r="P2630" t="str">
        <f t="shared" si="247"/>
        <v>Normal</v>
      </c>
      <c r="Q2630">
        <v>153</v>
      </c>
      <c r="R2630">
        <v>102.5</v>
      </c>
      <c r="S2630">
        <v>29.35</v>
      </c>
      <c r="T2630" t="str">
        <f t="shared" si="248"/>
        <v>Overweight</v>
      </c>
      <c r="U2630">
        <v>91</v>
      </c>
      <c r="V2630">
        <v>67</v>
      </c>
      <c r="W2630" t="str">
        <f t="shared" si="251"/>
        <v>Normal</v>
      </c>
      <c r="X2630">
        <v>0</v>
      </c>
    </row>
    <row r="2631" spans="1:24" ht="14.5" thickBot="1" x14ac:dyDescent="0.35">
      <c r="A2631">
        <v>1</v>
      </c>
      <c r="B2631" t="str">
        <f t="shared" si="249"/>
        <v>Male</v>
      </c>
      <c r="C2631" s="8">
        <v>52</v>
      </c>
      <c r="D2631" t="str">
        <f t="shared" si="250"/>
        <v>Middle Age</v>
      </c>
      <c r="E2631">
        <v>3</v>
      </c>
      <c r="F2631" t="str">
        <f>HLOOKUP(E2631, LookUP_Table!$A$6:$D$7, 2, FALSE)</f>
        <v>Graduate</v>
      </c>
      <c r="G2631" t="str">
        <f>IFERROR(VLOOKUP(E2631, LookUP_Table!$A$1:$B$4, 2, FALSE), "")</f>
        <v>Graduate</v>
      </c>
      <c r="H2631">
        <v>0</v>
      </c>
      <c r="I2631">
        <v>0</v>
      </c>
      <c r="J2631" t="str">
        <f t="shared" si="246"/>
        <v>Non-Smoker</v>
      </c>
      <c r="K2631">
        <v>0</v>
      </c>
      <c r="L2631">
        <v>0</v>
      </c>
      <c r="M2631">
        <v>0</v>
      </c>
      <c r="N2631">
        <v>0</v>
      </c>
      <c r="O2631">
        <v>225</v>
      </c>
      <c r="P2631" t="str">
        <f t="shared" si="247"/>
        <v>Normal</v>
      </c>
      <c r="Q2631">
        <v>119</v>
      </c>
      <c r="R2631">
        <v>65</v>
      </c>
      <c r="S2631">
        <v>26.89</v>
      </c>
      <c r="T2631" t="str">
        <f t="shared" si="248"/>
        <v>Overweight</v>
      </c>
      <c r="U2631">
        <v>62</v>
      </c>
      <c r="V2631">
        <v>74</v>
      </c>
      <c r="W2631" t="str">
        <f t="shared" si="251"/>
        <v>Normal</v>
      </c>
      <c r="X2631">
        <v>0</v>
      </c>
    </row>
    <row r="2632" spans="1:24" ht="14.5" thickBot="1" x14ac:dyDescent="0.35">
      <c r="A2632">
        <v>1</v>
      </c>
      <c r="B2632" t="str">
        <f t="shared" si="249"/>
        <v>Male</v>
      </c>
      <c r="C2632" s="8">
        <v>52</v>
      </c>
      <c r="D2632" t="str">
        <f t="shared" si="250"/>
        <v>Middle Age</v>
      </c>
      <c r="E2632">
        <v>1</v>
      </c>
      <c r="F2632" t="str">
        <f>HLOOKUP(E2632, LookUP_Table!$A$6:$D$7, 2, FALSE)</f>
        <v>Primary</v>
      </c>
      <c r="G2632" t="str">
        <f>IFERROR(VLOOKUP(E2632, LookUP_Table!$A$1:$B$4, 2, FALSE), "")</f>
        <v>Primary</v>
      </c>
      <c r="H2632">
        <v>1</v>
      </c>
      <c r="I2632">
        <v>20</v>
      </c>
      <c r="J2632" t="str">
        <f t="shared" si="246"/>
        <v>Smoker</v>
      </c>
      <c r="K2632">
        <v>0</v>
      </c>
      <c r="L2632">
        <v>0</v>
      </c>
      <c r="M2632">
        <v>0</v>
      </c>
      <c r="N2632">
        <v>0</v>
      </c>
      <c r="O2632">
        <v>239</v>
      </c>
      <c r="P2632" t="str">
        <f t="shared" si="247"/>
        <v>Normal</v>
      </c>
      <c r="Q2632">
        <v>125</v>
      </c>
      <c r="R2632">
        <v>88</v>
      </c>
      <c r="S2632">
        <v>23.86</v>
      </c>
      <c r="T2632" t="str">
        <f t="shared" si="248"/>
        <v>Normal</v>
      </c>
      <c r="U2632">
        <v>67</v>
      </c>
      <c r="V2632">
        <v>123</v>
      </c>
      <c r="W2632" t="str">
        <f t="shared" si="251"/>
        <v>Prediabetes</v>
      </c>
      <c r="X2632">
        <v>0</v>
      </c>
    </row>
    <row r="2633" spans="1:24" ht="14.5" thickBot="1" x14ac:dyDescent="0.35">
      <c r="A2633">
        <v>1</v>
      </c>
      <c r="B2633" t="str">
        <f t="shared" si="249"/>
        <v>Male</v>
      </c>
      <c r="C2633" s="8">
        <v>52</v>
      </c>
      <c r="D2633" t="str">
        <f t="shared" si="250"/>
        <v>Middle Age</v>
      </c>
      <c r="E2633">
        <v>3</v>
      </c>
      <c r="F2633" t="str">
        <f>HLOOKUP(E2633, LookUP_Table!$A$6:$D$7, 2, FALSE)</f>
        <v>Graduate</v>
      </c>
      <c r="G2633" t="str">
        <f>IFERROR(VLOOKUP(E2633, LookUP_Table!$A$1:$B$4, 2, FALSE), "")</f>
        <v>Graduate</v>
      </c>
      <c r="H2633">
        <v>0</v>
      </c>
      <c r="I2633">
        <v>0</v>
      </c>
      <c r="J2633" t="str">
        <f t="shared" si="246"/>
        <v>Non-Smoker</v>
      </c>
      <c r="K2633">
        <v>0</v>
      </c>
      <c r="L2633">
        <v>0</v>
      </c>
      <c r="M2633">
        <v>1</v>
      </c>
      <c r="N2633">
        <v>0</v>
      </c>
      <c r="O2633">
        <v>232</v>
      </c>
      <c r="P2633" t="str">
        <f t="shared" si="247"/>
        <v>Normal</v>
      </c>
      <c r="Q2633">
        <v>154</v>
      </c>
      <c r="R2633">
        <v>92</v>
      </c>
      <c r="S2633">
        <v>26.51</v>
      </c>
      <c r="T2633" t="str">
        <f t="shared" si="248"/>
        <v>Overweight</v>
      </c>
      <c r="U2633">
        <v>90</v>
      </c>
      <c r="V2633">
        <v>74</v>
      </c>
      <c r="W2633" t="str">
        <f t="shared" si="251"/>
        <v>Normal</v>
      </c>
      <c r="X2633">
        <v>0</v>
      </c>
    </row>
    <row r="2634" spans="1:24" ht="14.5" thickBot="1" x14ac:dyDescent="0.35">
      <c r="A2634">
        <v>0</v>
      </c>
      <c r="B2634" t="str">
        <f t="shared" si="249"/>
        <v>Female</v>
      </c>
      <c r="C2634" s="8">
        <v>52</v>
      </c>
      <c r="D2634" t="str">
        <f t="shared" si="250"/>
        <v>Middle Age</v>
      </c>
      <c r="E2634">
        <v>2</v>
      </c>
      <c r="F2634" t="str">
        <f>HLOOKUP(E2634, LookUP_Table!$A$6:$D$7, 2, FALSE)</f>
        <v>Secondary</v>
      </c>
      <c r="G2634" t="str">
        <f>IFERROR(VLOOKUP(E2634, LookUP_Table!$A$1:$B$4, 2, FALSE), "")</f>
        <v>Secondary</v>
      </c>
      <c r="H2634">
        <v>1</v>
      </c>
      <c r="I2634">
        <v>20</v>
      </c>
      <c r="J2634" t="str">
        <f t="shared" si="246"/>
        <v>Smoker</v>
      </c>
      <c r="K2634">
        <v>0</v>
      </c>
      <c r="L2634">
        <v>0</v>
      </c>
      <c r="M2634">
        <v>0</v>
      </c>
      <c r="N2634">
        <v>0</v>
      </c>
      <c r="O2634">
        <v>410</v>
      </c>
      <c r="P2634" t="str">
        <f t="shared" si="247"/>
        <v>High</v>
      </c>
      <c r="Q2634">
        <v>105</v>
      </c>
      <c r="R2634">
        <v>67.5</v>
      </c>
      <c r="S2634">
        <v>27.33</v>
      </c>
      <c r="T2634" t="str">
        <f t="shared" si="248"/>
        <v>Overweight</v>
      </c>
      <c r="U2634">
        <v>75</v>
      </c>
      <c r="V2634">
        <v>90</v>
      </c>
      <c r="W2634" t="str">
        <f t="shared" si="251"/>
        <v>Normal</v>
      </c>
      <c r="X2634">
        <v>0</v>
      </c>
    </row>
    <row r="2635" spans="1:24" ht="14.5" thickBot="1" x14ac:dyDescent="0.35">
      <c r="A2635">
        <v>0</v>
      </c>
      <c r="B2635" t="str">
        <f t="shared" si="249"/>
        <v>Female</v>
      </c>
      <c r="C2635" s="8">
        <v>52</v>
      </c>
      <c r="D2635" t="str">
        <f t="shared" si="250"/>
        <v>Middle Age</v>
      </c>
      <c r="E2635">
        <v>1</v>
      </c>
      <c r="F2635" t="str">
        <f>HLOOKUP(E2635, LookUP_Table!$A$6:$D$7, 2, FALSE)</f>
        <v>Primary</v>
      </c>
      <c r="G2635" t="str">
        <f>IFERROR(VLOOKUP(E2635, LookUP_Table!$A$1:$B$4, 2, FALSE), "")</f>
        <v>Primary</v>
      </c>
      <c r="H2635">
        <v>1</v>
      </c>
      <c r="I2635">
        <v>10</v>
      </c>
      <c r="J2635" t="str">
        <f t="shared" si="246"/>
        <v>Smoker</v>
      </c>
      <c r="K2635">
        <v>0</v>
      </c>
      <c r="L2635">
        <v>0</v>
      </c>
      <c r="M2635">
        <v>0</v>
      </c>
      <c r="N2635">
        <v>0</v>
      </c>
      <c r="O2635">
        <v>188</v>
      </c>
      <c r="P2635" t="str">
        <f t="shared" si="247"/>
        <v>Normal</v>
      </c>
      <c r="Q2635">
        <v>130</v>
      </c>
      <c r="R2635">
        <v>71</v>
      </c>
      <c r="S2635">
        <v>23.88</v>
      </c>
      <c r="T2635" t="str">
        <f t="shared" si="248"/>
        <v>Normal</v>
      </c>
      <c r="U2635">
        <v>80</v>
      </c>
      <c r="V2635">
        <v>89</v>
      </c>
      <c r="W2635" t="str">
        <f t="shared" si="251"/>
        <v>Normal</v>
      </c>
      <c r="X2635">
        <v>0</v>
      </c>
    </row>
    <row r="2636" spans="1:24" ht="14.5" thickBot="1" x14ac:dyDescent="0.35">
      <c r="A2636">
        <v>1</v>
      </c>
      <c r="B2636" t="str">
        <f t="shared" si="249"/>
        <v>Male</v>
      </c>
      <c r="C2636" s="8">
        <v>52</v>
      </c>
      <c r="D2636" t="str">
        <f t="shared" si="250"/>
        <v>Middle Age</v>
      </c>
      <c r="E2636">
        <v>2</v>
      </c>
      <c r="F2636" t="str">
        <f>HLOOKUP(E2636, LookUP_Table!$A$6:$D$7, 2, FALSE)</f>
        <v>Secondary</v>
      </c>
      <c r="G2636" t="str">
        <f>IFERROR(VLOOKUP(E2636, LookUP_Table!$A$1:$B$4, 2, FALSE), "")</f>
        <v>Secondary</v>
      </c>
      <c r="H2636">
        <v>1</v>
      </c>
      <c r="I2636">
        <v>30</v>
      </c>
      <c r="J2636" t="str">
        <f t="shared" si="246"/>
        <v>Smoker</v>
      </c>
      <c r="K2636">
        <v>0</v>
      </c>
      <c r="L2636">
        <v>0</v>
      </c>
      <c r="M2636">
        <v>0</v>
      </c>
      <c r="N2636">
        <v>0</v>
      </c>
      <c r="O2636">
        <v>222</v>
      </c>
      <c r="P2636" t="str">
        <f t="shared" si="247"/>
        <v>Normal</v>
      </c>
      <c r="Q2636">
        <v>108</v>
      </c>
      <c r="R2636">
        <v>70</v>
      </c>
      <c r="S2636">
        <v>23.09</v>
      </c>
      <c r="T2636" t="str">
        <f t="shared" si="248"/>
        <v>Normal</v>
      </c>
      <c r="U2636">
        <v>72</v>
      </c>
      <c r="V2636">
        <v>61</v>
      </c>
      <c r="W2636" t="str">
        <f t="shared" si="251"/>
        <v>Normal</v>
      </c>
      <c r="X2636">
        <v>0</v>
      </c>
    </row>
    <row r="2637" spans="1:24" ht="14.5" thickBot="1" x14ac:dyDescent="0.35">
      <c r="A2637">
        <v>0</v>
      </c>
      <c r="B2637" t="str">
        <f t="shared" si="249"/>
        <v>Female</v>
      </c>
      <c r="C2637" s="8">
        <v>52</v>
      </c>
      <c r="D2637" t="str">
        <f t="shared" si="250"/>
        <v>Middle Age</v>
      </c>
      <c r="E2637">
        <v>2</v>
      </c>
      <c r="F2637" t="str">
        <f>HLOOKUP(E2637, LookUP_Table!$A$6:$D$7, 2, FALSE)</f>
        <v>Secondary</v>
      </c>
      <c r="G2637" t="str">
        <f>IFERROR(VLOOKUP(E2637, LookUP_Table!$A$1:$B$4, 2, FALSE), "")</f>
        <v>Secondary</v>
      </c>
      <c r="H2637">
        <v>0</v>
      </c>
      <c r="I2637">
        <v>0</v>
      </c>
      <c r="J2637" t="str">
        <f t="shared" si="246"/>
        <v>Non-Smoker</v>
      </c>
      <c r="K2637">
        <v>0</v>
      </c>
      <c r="L2637">
        <v>0</v>
      </c>
      <c r="M2637">
        <v>0</v>
      </c>
      <c r="N2637">
        <v>0</v>
      </c>
      <c r="O2637">
        <v>209</v>
      </c>
      <c r="P2637" t="str">
        <f t="shared" si="247"/>
        <v>Normal</v>
      </c>
      <c r="Q2637">
        <v>111</v>
      </c>
      <c r="R2637">
        <v>79</v>
      </c>
      <c r="S2637">
        <v>23.63</v>
      </c>
      <c r="T2637" t="str">
        <f t="shared" si="248"/>
        <v>Normal</v>
      </c>
      <c r="U2637">
        <v>96</v>
      </c>
      <c r="V2637">
        <v>70</v>
      </c>
      <c r="W2637" t="str">
        <f t="shared" si="251"/>
        <v>Normal</v>
      </c>
      <c r="X2637">
        <v>0</v>
      </c>
    </row>
    <row r="2638" spans="1:24" ht="14.5" thickBot="1" x14ac:dyDescent="0.35">
      <c r="A2638">
        <v>1</v>
      </c>
      <c r="B2638" t="str">
        <f t="shared" si="249"/>
        <v>Male</v>
      </c>
      <c r="C2638" s="8">
        <v>52</v>
      </c>
      <c r="D2638" t="str">
        <f t="shared" si="250"/>
        <v>Middle Age</v>
      </c>
      <c r="E2638">
        <v>1</v>
      </c>
      <c r="F2638" t="str">
        <f>HLOOKUP(E2638, LookUP_Table!$A$6:$D$7, 2, FALSE)</f>
        <v>Primary</v>
      </c>
      <c r="G2638" t="str">
        <f>IFERROR(VLOOKUP(E2638, LookUP_Table!$A$1:$B$4, 2, FALSE), "")</f>
        <v>Primary</v>
      </c>
      <c r="H2638">
        <v>0</v>
      </c>
      <c r="I2638">
        <v>0</v>
      </c>
      <c r="J2638" t="str">
        <f t="shared" si="246"/>
        <v>Non-Smoker</v>
      </c>
      <c r="K2638">
        <v>0</v>
      </c>
      <c r="L2638">
        <v>0</v>
      </c>
      <c r="M2638">
        <v>0</v>
      </c>
      <c r="N2638">
        <v>1</v>
      </c>
      <c r="O2638">
        <v>232</v>
      </c>
      <c r="P2638" t="str">
        <f t="shared" si="247"/>
        <v>Normal</v>
      </c>
      <c r="Q2638">
        <v>130</v>
      </c>
      <c r="R2638">
        <v>74</v>
      </c>
      <c r="S2638">
        <v>32.520000000000003</v>
      </c>
      <c r="T2638" t="str">
        <f t="shared" si="248"/>
        <v>Obese</v>
      </c>
      <c r="U2638">
        <v>95</v>
      </c>
      <c r="V2638">
        <v>248</v>
      </c>
      <c r="W2638" t="str">
        <f t="shared" si="251"/>
        <v>Diabetes</v>
      </c>
      <c r="X2638">
        <v>1</v>
      </c>
    </row>
    <row r="2639" spans="1:24" ht="14.5" thickBot="1" x14ac:dyDescent="0.35">
      <c r="A2639">
        <v>1</v>
      </c>
      <c r="B2639" t="str">
        <f t="shared" si="249"/>
        <v>Male</v>
      </c>
      <c r="C2639" s="8">
        <v>52</v>
      </c>
      <c r="D2639" t="str">
        <f t="shared" si="250"/>
        <v>Middle Age</v>
      </c>
      <c r="E2639">
        <v>1</v>
      </c>
      <c r="F2639" t="str">
        <f>HLOOKUP(E2639, LookUP_Table!$A$6:$D$7, 2, FALSE)</f>
        <v>Primary</v>
      </c>
      <c r="G2639" t="str">
        <f>IFERROR(VLOOKUP(E2639, LookUP_Table!$A$1:$B$4, 2, FALSE), "")</f>
        <v>Primary</v>
      </c>
      <c r="H2639">
        <v>1</v>
      </c>
      <c r="I2639">
        <v>20</v>
      </c>
      <c r="J2639" t="str">
        <f t="shared" si="246"/>
        <v>Smoker</v>
      </c>
      <c r="K2639">
        <v>0</v>
      </c>
      <c r="L2639">
        <v>0</v>
      </c>
      <c r="M2639">
        <v>1</v>
      </c>
      <c r="N2639">
        <v>0</v>
      </c>
      <c r="O2639">
        <v>232</v>
      </c>
      <c r="P2639" t="str">
        <f t="shared" si="247"/>
        <v>Normal</v>
      </c>
      <c r="Q2639">
        <v>155</v>
      </c>
      <c r="R2639">
        <v>80.5</v>
      </c>
      <c r="S2639">
        <v>29.6</v>
      </c>
      <c r="T2639" t="str">
        <f t="shared" si="248"/>
        <v>Overweight</v>
      </c>
      <c r="U2639">
        <v>72</v>
      </c>
      <c r="V2639">
        <v>67</v>
      </c>
      <c r="W2639" t="str">
        <f t="shared" si="251"/>
        <v>Normal</v>
      </c>
      <c r="X2639">
        <v>0</v>
      </c>
    </row>
    <row r="2640" spans="1:24" ht="14.5" thickBot="1" x14ac:dyDescent="0.35">
      <c r="A2640">
        <v>0</v>
      </c>
      <c r="B2640" t="str">
        <f t="shared" si="249"/>
        <v>Female</v>
      </c>
      <c r="C2640" s="8">
        <v>52</v>
      </c>
      <c r="D2640" t="str">
        <f t="shared" si="250"/>
        <v>Middle Age</v>
      </c>
      <c r="E2640">
        <v>1</v>
      </c>
      <c r="F2640" t="str">
        <f>HLOOKUP(E2640, LookUP_Table!$A$6:$D$7, 2, FALSE)</f>
        <v>Primary</v>
      </c>
      <c r="G2640" t="str">
        <f>IFERROR(VLOOKUP(E2640, LookUP_Table!$A$1:$B$4, 2, FALSE), "")</f>
        <v>Primary</v>
      </c>
      <c r="H2640">
        <v>0</v>
      </c>
      <c r="I2640">
        <v>0</v>
      </c>
      <c r="J2640" t="str">
        <f t="shared" si="246"/>
        <v>Non-Smoker</v>
      </c>
      <c r="K2640">
        <v>0</v>
      </c>
      <c r="L2640">
        <v>0</v>
      </c>
      <c r="M2640">
        <v>1</v>
      </c>
      <c r="N2640">
        <v>0</v>
      </c>
      <c r="O2640">
        <v>203</v>
      </c>
      <c r="P2640" t="str">
        <f t="shared" si="247"/>
        <v>Normal</v>
      </c>
      <c r="Q2640">
        <v>129</v>
      </c>
      <c r="R2640">
        <v>97</v>
      </c>
      <c r="S2640">
        <v>37.58</v>
      </c>
      <c r="T2640" t="str">
        <f t="shared" si="248"/>
        <v>Obese</v>
      </c>
      <c r="U2640">
        <v>90</v>
      </c>
      <c r="V2640">
        <v>77</v>
      </c>
      <c r="W2640" t="str">
        <f t="shared" si="251"/>
        <v>Normal</v>
      </c>
      <c r="X2640">
        <v>0</v>
      </c>
    </row>
    <row r="2641" spans="1:24" ht="14.5" thickBot="1" x14ac:dyDescent="0.35">
      <c r="A2641">
        <v>0</v>
      </c>
      <c r="B2641" t="str">
        <f t="shared" si="249"/>
        <v>Female</v>
      </c>
      <c r="C2641" s="8">
        <v>52</v>
      </c>
      <c r="D2641" t="str">
        <f t="shared" si="250"/>
        <v>Middle Age</v>
      </c>
      <c r="E2641">
        <v>2</v>
      </c>
      <c r="F2641" t="str">
        <f>HLOOKUP(E2641, LookUP_Table!$A$6:$D$7, 2, FALSE)</f>
        <v>Secondary</v>
      </c>
      <c r="G2641" t="str">
        <f>IFERROR(VLOOKUP(E2641, LookUP_Table!$A$1:$B$4, 2, FALSE), "")</f>
        <v>Secondary</v>
      </c>
      <c r="H2641">
        <v>1</v>
      </c>
      <c r="I2641">
        <v>9</v>
      </c>
      <c r="J2641" t="str">
        <f t="shared" si="246"/>
        <v>Smoker</v>
      </c>
      <c r="K2641">
        <v>0</v>
      </c>
      <c r="L2641">
        <v>0</v>
      </c>
      <c r="M2641">
        <v>1</v>
      </c>
      <c r="N2641">
        <v>0</v>
      </c>
      <c r="O2641">
        <v>292</v>
      </c>
      <c r="P2641" t="str">
        <f t="shared" si="247"/>
        <v>High</v>
      </c>
      <c r="Q2641">
        <v>157</v>
      </c>
      <c r="R2641">
        <v>112</v>
      </c>
      <c r="S2641">
        <v>29.56</v>
      </c>
      <c r="T2641" t="str">
        <f t="shared" si="248"/>
        <v>Overweight</v>
      </c>
      <c r="U2641">
        <v>95</v>
      </c>
      <c r="V2641">
        <v>84</v>
      </c>
      <c r="W2641" t="str">
        <f t="shared" si="251"/>
        <v>Normal</v>
      </c>
      <c r="X2641">
        <v>0</v>
      </c>
    </row>
    <row r="2642" spans="1:24" ht="14.5" thickBot="1" x14ac:dyDescent="0.35">
      <c r="A2642">
        <v>1</v>
      </c>
      <c r="B2642" t="str">
        <f t="shared" si="249"/>
        <v>Male</v>
      </c>
      <c r="C2642" s="8">
        <v>52</v>
      </c>
      <c r="D2642" t="str">
        <f t="shared" si="250"/>
        <v>Middle Age</v>
      </c>
      <c r="E2642">
        <v>1</v>
      </c>
      <c r="F2642" t="str">
        <f>HLOOKUP(E2642, LookUP_Table!$A$6:$D$7, 2, FALSE)</f>
        <v>Primary</v>
      </c>
      <c r="G2642" t="str">
        <f>IFERROR(VLOOKUP(E2642, LookUP_Table!$A$1:$B$4, 2, FALSE), "")</f>
        <v>Primary</v>
      </c>
      <c r="H2642">
        <v>1</v>
      </c>
      <c r="I2642">
        <v>20</v>
      </c>
      <c r="J2642" t="str">
        <f t="shared" si="246"/>
        <v>Smoker</v>
      </c>
      <c r="K2642">
        <v>0</v>
      </c>
      <c r="L2642">
        <v>0</v>
      </c>
      <c r="M2642">
        <v>1</v>
      </c>
      <c r="N2642">
        <v>0</v>
      </c>
      <c r="O2642">
        <v>283</v>
      </c>
      <c r="P2642" t="str">
        <f t="shared" si="247"/>
        <v>High</v>
      </c>
      <c r="Q2642">
        <v>145</v>
      </c>
      <c r="R2642">
        <v>79</v>
      </c>
      <c r="S2642">
        <v>30.12</v>
      </c>
      <c r="T2642" t="str">
        <f t="shared" si="248"/>
        <v>Obese</v>
      </c>
      <c r="U2642">
        <v>72</v>
      </c>
      <c r="V2642">
        <v>81.96365524402907</v>
      </c>
      <c r="W2642" t="str">
        <f t="shared" si="251"/>
        <v>Normal</v>
      </c>
      <c r="X2642">
        <v>1</v>
      </c>
    </row>
    <row r="2643" spans="1:24" ht="14.5" thickBot="1" x14ac:dyDescent="0.35">
      <c r="A2643">
        <v>0</v>
      </c>
      <c r="B2643" t="str">
        <f t="shared" si="249"/>
        <v>Female</v>
      </c>
      <c r="C2643" s="8">
        <v>52</v>
      </c>
      <c r="D2643" t="str">
        <f t="shared" si="250"/>
        <v>Middle Age</v>
      </c>
      <c r="E2643">
        <v>1</v>
      </c>
      <c r="F2643" t="str">
        <f>HLOOKUP(E2643, LookUP_Table!$A$6:$D$7, 2, FALSE)</f>
        <v>Primary</v>
      </c>
      <c r="G2643" t="str">
        <f>IFERROR(VLOOKUP(E2643, LookUP_Table!$A$1:$B$4, 2, FALSE), "")</f>
        <v>Primary</v>
      </c>
      <c r="H2643">
        <v>0</v>
      </c>
      <c r="I2643">
        <v>0</v>
      </c>
      <c r="J2643" t="str">
        <f t="shared" si="246"/>
        <v>Non-Smoker</v>
      </c>
      <c r="K2643">
        <v>0</v>
      </c>
      <c r="L2643">
        <v>0</v>
      </c>
      <c r="M2643">
        <v>0</v>
      </c>
      <c r="N2643">
        <v>0</v>
      </c>
      <c r="O2643">
        <v>292</v>
      </c>
      <c r="P2643" t="str">
        <f t="shared" si="247"/>
        <v>High</v>
      </c>
      <c r="Q2643">
        <v>125</v>
      </c>
      <c r="R2643">
        <v>87</v>
      </c>
      <c r="S2643">
        <v>31.92</v>
      </c>
      <c r="T2643" t="str">
        <f t="shared" si="248"/>
        <v>Obese</v>
      </c>
      <c r="U2643">
        <v>75</v>
      </c>
      <c r="V2643">
        <v>67</v>
      </c>
      <c r="W2643" t="str">
        <f t="shared" si="251"/>
        <v>Normal</v>
      </c>
      <c r="X2643">
        <v>0</v>
      </c>
    </row>
    <row r="2644" spans="1:24" ht="14.5" thickBot="1" x14ac:dyDescent="0.35">
      <c r="A2644">
        <v>0</v>
      </c>
      <c r="B2644" t="str">
        <f t="shared" si="249"/>
        <v>Female</v>
      </c>
      <c r="C2644" s="8">
        <v>52</v>
      </c>
      <c r="D2644" t="str">
        <f t="shared" si="250"/>
        <v>Middle Age</v>
      </c>
      <c r="E2644">
        <v>4</v>
      </c>
      <c r="F2644" t="str">
        <f>HLOOKUP(E2644, LookUP_Table!$A$6:$D$7, 2, FALSE)</f>
        <v>Post Graduate</v>
      </c>
      <c r="G2644" t="str">
        <f>IFERROR(VLOOKUP(E2644, LookUP_Table!$A$1:$B$4, 2, FALSE), "")</f>
        <v>Post Graduate</v>
      </c>
      <c r="H2644">
        <v>0</v>
      </c>
      <c r="I2644">
        <v>0</v>
      </c>
      <c r="J2644" t="str">
        <f t="shared" si="246"/>
        <v>Non-Smoker</v>
      </c>
      <c r="K2644">
        <v>0</v>
      </c>
      <c r="L2644">
        <v>0</v>
      </c>
      <c r="M2644">
        <v>0</v>
      </c>
      <c r="N2644">
        <v>0</v>
      </c>
      <c r="O2644">
        <v>309</v>
      </c>
      <c r="P2644" t="str">
        <f t="shared" si="247"/>
        <v>High</v>
      </c>
      <c r="Q2644">
        <v>142</v>
      </c>
      <c r="R2644">
        <v>87</v>
      </c>
      <c r="S2644">
        <v>24.22</v>
      </c>
      <c r="T2644" t="str">
        <f t="shared" si="248"/>
        <v>Normal</v>
      </c>
      <c r="U2644">
        <v>86</v>
      </c>
      <c r="V2644">
        <v>110</v>
      </c>
      <c r="W2644" t="str">
        <f t="shared" si="251"/>
        <v>Prediabetes</v>
      </c>
      <c r="X2644">
        <v>0</v>
      </c>
    </row>
    <row r="2645" spans="1:24" ht="14.5" thickBot="1" x14ac:dyDescent="0.35">
      <c r="A2645">
        <v>0</v>
      </c>
      <c r="B2645" t="str">
        <f t="shared" si="249"/>
        <v>Female</v>
      </c>
      <c r="C2645" s="8">
        <v>52</v>
      </c>
      <c r="D2645" t="str">
        <f t="shared" si="250"/>
        <v>Middle Age</v>
      </c>
      <c r="E2645">
        <v>2</v>
      </c>
      <c r="F2645" t="str">
        <f>HLOOKUP(E2645, LookUP_Table!$A$6:$D$7, 2, FALSE)</f>
        <v>Secondary</v>
      </c>
      <c r="G2645" t="str">
        <f>IFERROR(VLOOKUP(E2645, LookUP_Table!$A$1:$B$4, 2, FALSE), "")</f>
        <v>Secondary</v>
      </c>
      <c r="H2645">
        <v>1</v>
      </c>
      <c r="I2645">
        <v>5</v>
      </c>
      <c r="J2645" t="str">
        <f t="shared" si="246"/>
        <v>Smoker</v>
      </c>
      <c r="K2645">
        <v>0</v>
      </c>
      <c r="L2645">
        <v>1</v>
      </c>
      <c r="M2645">
        <v>1</v>
      </c>
      <c r="N2645">
        <v>0</v>
      </c>
      <c r="O2645">
        <v>205</v>
      </c>
      <c r="P2645" t="str">
        <f t="shared" si="247"/>
        <v>Normal</v>
      </c>
      <c r="Q2645">
        <v>159</v>
      </c>
      <c r="R2645">
        <v>110</v>
      </c>
      <c r="S2645">
        <v>28.18</v>
      </c>
      <c r="T2645" t="str">
        <f t="shared" si="248"/>
        <v>Overweight</v>
      </c>
      <c r="U2645">
        <v>75</v>
      </c>
      <c r="V2645">
        <v>83</v>
      </c>
      <c r="W2645" t="str">
        <f t="shared" si="251"/>
        <v>Normal</v>
      </c>
      <c r="X2645">
        <v>1</v>
      </c>
    </row>
    <row r="2646" spans="1:24" ht="14.5" thickBot="1" x14ac:dyDescent="0.35">
      <c r="A2646">
        <v>1</v>
      </c>
      <c r="B2646" t="str">
        <f t="shared" si="249"/>
        <v>Male</v>
      </c>
      <c r="C2646" s="8">
        <v>52</v>
      </c>
      <c r="D2646" t="str">
        <f t="shared" si="250"/>
        <v>Middle Age</v>
      </c>
      <c r="E2646">
        <v>1</v>
      </c>
      <c r="F2646" t="str">
        <f>HLOOKUP(E2646, LookUP_Table!$A$6:$D$7, 2, FALSE)</f>
        <v>Primary</v>
      </c>
      <c r="G2646" t="str">
        <f>IFERROR(VLOOKUP(E2646, LookUP_Table!$A$1:$B$4, 2, FALSE), "")</f>
        <v>Primary</v>
      </c>
      <c r="H2646">
        <v>1</v>
      </c>
      <c r="I2646">
        <v>20</v>
      </c>
      <c r="J2646" t="str">
        <f t="shared" si="246"/>
        <v>Smoker</v>
      </c>
      <c r="K2646">
        <v>0</v>
      </c>
      <c r="L2646">
        <v>0</v>
      </c>
      <c r="M2646">
        <v>0</v>
      </c>
      <c r="N2646">
        <v>0</v>
      </c>
      <c r="O2646">
        <v>225</v>
      </c>
      <c r="P2646" t="str">
        <f t="shared" si="247"/>
        <v>Normal</v>
      </c>
      <c r="Q2646">
        <v>126</v>
      </c>
      <c r="R2646">
        <v>75</v>
      </c>
      <c r="S2646">
        <v>22.18</v>
      </c>
      <c r="T2646" t="str">
        <f t="shared" si="248"/>
        <v>Normal</v>
      </c>
      <c r="U2646">
        <v>85</v>
      </c>
      <c r="V2646">
        <v>100</v>
      </c>
      <c r="W2646" t="str">
        <f t="shared" si="251"/>
        <v>Prediabetes</v>
      </c>
      <c r="X2646">
        <v>1</v>
      </c>
    </row>
    <row r="2647" spans="1:24" ht="14.5" thickBot="1" x14ac:dyDescent="0.35">
      <c r="A2647">
        <v>0</v>
      </c>
      <c r="B2647" t="str">
        <f t="shared" si="249"/>
        <v>Female</v>
      </c>
      <c r="C2647" s="8">
        <v>52</v>
      </c>
      <c r="D2647" t="str">
        <f t="shared" si="250"/>
        <v>Middle Age</v>
      </c>
      <c r="E2647">
        <v>2</v>
      </c>
      <c r="F2647" t="str">
        <f>HLOOKUP(E2647, LookUP_Table!$A$6:$D$7, 2, FALSE)</f>
        <v>Secondary</v>
      </c>
      <c r="G2647" t="str">
        <f>IFERROR(VLOOKUP(E2647, LookUP_Table!$A$1:$B$4, 2, FALSE), "")</f>
        <v>Secondary</v>
      </c>
      <c r="H2647">
        <v>0</v>
      </c>
      <c r="I2647">
        <v>0</v>
      </c>
      <c r="J2647" t="str">
        <f t="shared" si="246"/>
        <v>Non-Smoker</v>
      </c>
      <c r="K2647">
        <v>0</v>
      </c>
      <c r="L2647">
        <v>0</v>
      </c>
      <c r="M2647">
        <v>1</v>
      </c>
      <c r="N2647">
        <v>0</v>
      </c>
      <c r="O2647">
        <v>296</v>
      </c>
      <c r="P2647" t="str">
        <f t="shared" si="247"/>
        <v>High</v>
      </c>
      <c r="Q2647">
        <v>140</v>
      </c>
      <c r="R2647">
        <v>93</v>
      </c>
      <c r="S2647">
        <v>26.81</v>
      </c>
      <c r="T2647" t="str">
        <f t="shared" si="248"/>
        <v>Overweight</v>
      </c>
      <c r="U2647">
        <v>88</v>
      </c>
      <c r="V2647">
        <v>74</v>
      </c>
      <c r="W2647" t="str">
        <f t="shared" si="251"/>
        <v>Normal</v>
      </c>
      <c r="X2647">
        <v>0</v>
      </c>
    </row>
    <row r="2648" spans="1:24" ht="14.5" thickBot="1" x14ac:dyDescent="0.35">
      <c r="A2648">
        <v>1</v>
      </c>
      <c r="B2648" t="str">
        <f t="shared" si="249"/>
        <v>Male</v>
      </c>
      <c r="C2648" s="8">
        <v>52</v>
      </c>
      <c r="D2648" t="str">
        <f t="shared" si="250"/>
        <v>Middle Age</v>
      </c>
      <c r="E2648">
        <v>2</v>
      </c>
      <c r="F2648" t="str">
        <f>HLOOKUP(E2648, LookUP_Table!$A$6:$D$7, 2, FALSE)</f>
        <v>Secondary</v>
      </c>
      <c r="G2648" t="str">
        <f>IFERROR(VLOOKUP(E2648, LookUP_Table!$A$1:$B$4, 2, FALSE), "")</f>
        <v>Secondary</v>
      </c>
      <c r="H2648">
        <v>0</v>
      </c>
      <c r="I2648">
        <v>0</v>
      </c>
      <c r="J2648" t="str">
        <f t="shared" si="246"/>
        <v>Non-Smoker</v>
      </c>
      <c r="K2648">
        <v>0</v>
      </c>
      <c r="L2648">
        <v>0</v>
      </c>
      <c r="M2648">
        <v>1</v>
      </c>
      <c r="N2648">
        <v>1</v>
      </c>
      <c r="O2648">
        <v>269</v>
      </c>
      <c r="P2648" t="str">
        <f t="shared" si="247"/>
        <v>High</v>
      </c>
      <c r="Q2648">
        <v>157.5</v>
      </c>
      <c r="R2648">
        <v>83</v>
      </c>
      <c r="S2648">
        <v>26.6</v>
      </c>
      <c r="T2648" t="str">
        <f t="shared" si="248"/>
        <v>Overweight</v>
      </c>
      <c r="U2648">
        <v>70</v>
      </c>
      <c r="V2648">
        <v>80</v>
      </c>
      <c r="W2648" t="str">
        <f t="shared" si="251"/>
        <v>Normal</v>
      </c>
      <c r="X2648">
        <v>0</v>
      </c>
    </row>
    <row r="2649" spans="1:24" ht="14.5" thickBot="1" x14ac:dyDescent="0.35">
      <c r="A2649">
        <v>1</v>
      </c>
      <c r="B2649" t="str">
        <f t="shared" si="249"/>
        <v>Male</v>
      </c>
      <c r="C2649" s="8">
        <v>52</v>
      </c>
      <c r="D2649" t="str">
        <f t="shared" si="250"/>
        <v>Middle Age</v>
      </c>
      <c r="E2649">
        <v>1</v>
      </c>
      <c r="F2649" t="str">
        <f>HLOOKUP(E2649, LookUP_Table!$A$6:$D$7, 2, FALSE)</f>
        <v>Primary</v>
      </c>
      <c r="G2649" t="str">
        <f>IFERROR(VLOOKUP(E2649, LookUP_Table!$A$1:$B$4, 2, FALSE), "")</f>
        <v>Primary</v>
      </c>
      <c r="H2649">
        <v>0</v>
      </c>
      <c r="I2649">
        <v>0</v>
      </c>
      <c r="J2649" t="str">
        <f t="shared" si="246"/>
        <v>Non-Smoker</v>
      </c>
      <c r="K2649">
        <v>0</v>
      </c>
      <c r="L2649">
        <v>0</v>
      </c>
      <c r="M2649">
        <v>0</v>
      </c>
      <c r="N2649">
        <v>0</v>
      </c>
      <c r="O2649">
        <v>266</v>
      </c>
      <c r="P2649" t="str">
        <f t="shared" si="247"/>
        <v>High</v>
      </c>
      <c r="Q2649">
        <v>107</v>
      </c>
      <c r="R2649">
        <v>75</v>
      </c>
      <c r="S2649">
        <v>25.64</v>
      </c>
      <c r="T2649" t="str">
        <f t="shared" si="248"/>
        <v>Overweight</v>
      </c>
      <c r="U2649">
        <v>82</v>
      </c>
      <c r="V2649">
        <v>98</v>
      </c>
      <c r="W2649" t="str">
        <f t="shared" si="251"/>
        <v>Normal</v>
      </c>
      <c r="X2649">
        <v>0</v>
      </c>
    </row>
    <row r="2650" spans="1:24" ht="14.5" thickBot="1" x14ac:dyDescent="0.35">
      <c r="A2650">
        <v>0</v>
      </c>
      <c r="B2650" t="str">
        <f t="shared" si="249"/>
        <v>Female</v>
      </c>
      <c r="C2650" s="8">
        <v>52</v>
      </c>
      <c r="D2650" t="str">
        <f t="shared" si="250"/>
        <v>Middle Age</v>
      </c>
      <c r="E2650">
        <v>2</v>
      </c>
      <c r="F2650" t="str">
        <f>HLOOKUP(E2650, LookUP_Table!$A$6:$D$7, 2, FALSE)</f>
        <v>Secondary</v>
      </c>
      <c r="G2650" t="str">
        <f>IFERROR(VLOOKUP(E2650, LookUP_Table!$A$1:$B$4, 2, FALSE), "")</f>
        <v>Secondary</v>
      </c>
      <c r="H2650">
        <v>1</v>
      </c>
      <c r="I2650">
        <v>9</v>
      </c>
      <c r="J2650" t="str">
        <f t="shared" si="246"/>
        <v>Smoker</v>
      </c>
      <c r="K2650">
        <v>0</v>
      </c>
      <c r="L2650">
        <v>0</v>
      </c>
      <c r="M2650">
        <v>0</v>
      </c>
      <c r="N2650">
        <v>0</v>
      </c>
      <c r="O2650">
        <v>218</v>
      </c>
      <c r="P2650" t="str">
        <f t="shared" si="247"/>
        <v>Normal</v>
      </c>
      <c r="Q2650">
        <v>121.5</v>
      </c>
      <c r="R2650">
        <v>57</v>
      </c>
      <c r="S2650">
        <v>20.78</v>
      </c>
      <c r="T2650" t="str">
        <f t="shared" si="248"/>
        <v>Normal</v>
      </c>
      <c r="U2650">
        <v>79</v>
      </c>
      <c r="V2650">
        <v>85</v>
      </c>
      <c r="W2650" t="str">
        <f t="shared" si="251"/>
        <v>Normal</v>
      </c>
      <c r="X2650">
        <v>0</v>
      </c>
    </row>
    <row r="2651" spans="1:24" ht="14.5" thickBot="1" x14ac:dyDescent="0.35">
      <c r="A2651">
        <v>0</v>
      </c>
      <c r="B2651" t="str">
        <f t="shared" si="249"/>
        <v>Female</v>
      </c>
      <c r="C2651" s="8">
        <v>52</v>
      </c>
      <c r="D2651" t="str">
        <f t="shared" si="250"/>
        <v>Middle Age</v>
      </c>
      <c r="E2651">
        <v>1</v>
      </c>
      <c r="F2651" t="str">
        <f>HLOOKUP(E2651, LookUP_Table!$A$6:$D$7, 2, FALSE)</f>
        <v>Primary</v>
      </c>
      <c r="G2651" t="str">
        <f>IFERROR(VLOOKUP(E2651, LookUP_Table!$A$1:$B$4, 2, FALSE), "")</f>
        <v>Primary</v>
      </c>
      <c r="H2651">
        <v>1</v>
      </c>
      <c r="I2651">
        <v>30</v>
      </c>
      <c r="J2651" t="str">
        <f t="shared" si="246"/>
        <v>Smoker</v>
      </c>
      <c r="K2651">
        <v>0</v>
      </c>
      <c r="L2651">
        <v>0</v>
      </c>
      <c r="M2651">
        <v>1</v>
      </c>
      <c r="N2651">
        <v>0</v>
      </c>
      <c r="O2651">
        <v>240</v>
      </c>
      <c r="P2651" t="str">
        <f t="shared" si="247"/>
        <v>Normal</v>
      </c>
      <c r="Q2651">
        <v>157.5</v>
      </c>
      <c r="R2651">
        <v>105</v>
      </c>
      <c r="S2651">
        <v>29.64</v>
      </c>
      <c r="T2651" t="str">
        <f t="shared" si="248"/>
        <v>Overweight</v>
      </c>
      <c r="U2651">
        <v>72</v>
      </c>
      <c r="V2651">
        <v>80</v>
      </c>
      <c r="W2651" t="str">
        <f t="shared" si="251"/>
        <v>Normal</v>
      </c>
      <c r="X2651">
        <v>0</v>
      </c>
    </row>
    <row r="2652" spans="1:24" ht="14.5" thickBot="1" x14ac:dyDescent="0.35">
      <c r="A2652">
        <v>0</v>
      </c>
      <c r="B2652" t="str">
        <f t="shared" si="249"/>
        <v>Female</v>
      </c>
      <c r="C2652" s="8">
        <v>52</v>
      </c>
      <c r="D2652" t="str">
        <f t="shared" si="250"/>
        <v>Middle Age</v>
      </c>
      <c r="E2652">
        <v>1</v>
      </c>
      <c r="F2652" t="str">
        <f>HLOOKUP(E2652, LookUP_Table!$A$6:$D$7, 2, FALSE)</f>
        <v>Primary</v>
      </c>
      <c r="G2652" t="str">
        <f>IFERROR(VLOOKUP(E2652, LookUP_Table!$A$1:$B$4, 2, FALSE), "")</f>
        <v>Primary</v>
      </c>
      <c r="H2652">
        <v>0</v>
      </c>
      <c r="I2652">
        <v>0</v>
      </c>
      <c r="J2652" t="str">
        <f t="shared" si="246"/>
        <v>Non-Smoker</v>
      </c>
      <c r="K2652">
        <v>0</v>
      </c>
      <c r="L2652">
        <v>0</v>
      </c>
      <c r="M2652">
        <v>0</v>
      </c>
      <c r="N2652">
        <v>0</v>
      </c>
      <c r="O2652">
        <v>265</v>
      </c>
      <c r="P2652" t="str">
        <f t="shared" si="247"/>
        <v>High</v>
      </c>
      <c r="Q2652">
        <v>137.5</v>
      </c>
      <c r="R2652">
        <v>84.5</v>
      </c>
      <c r="S2652">
        <v>26.91</v>
      </c>
      <c r="T2652" t="str">
        <f t="shared" si="248"/>
        <v>Overweight</v>
      </c>
      <c r="U2652">
        <v>72</v>
      </c>
      <c r="V2652">
        <v>86</v>
      </c>
      <c r="W2652" t="str">
        <f t="shared" si="251"/>
        <v>Normal</v>
      </c>
      <c r="X2652">
        <v>0</v>
      </c>
    </row>
    <row r="2653" spans="1:24" ht="14.5" thickBot="1" x14ac:dyDescent="0.35">
      <c r="A2653">
        <v>0</v>
      </c>
      <c r="B2653" t="str">
        <f t="shared" si="249"/>
        <v>Female</v>
      </c>
      <c r="C2653" s="8">
        <v>52</v>
      </c>
      <c r="D2653" t="str">
        <f t="shared" si="250"/>
        <v>Middle Age</v>
      </c>
      <c r="E2653">
        <v>2</v>
      </c>
      <c r="F2653" t="str">
        <f>HLOOKUP(E2653, LookUP_Table!$A$6:$D$7, 2, FALSE)</f>
        <v>Secondary</v>
      </c>
      <c r="G2653" t="str">
        <f>IFERROR(VLOOKUP(E2653, LookUP_Table!$A$1:$B$4, 2, FALSE), "")</f>
        <v>Secondary</v>
      </c>
      <c r="H2653">
        <v>0</v>
      </c>
      <c r="I2653">
        <v>0</v>
      </c>
      <c r="J2653" t="str">
        <f t="shared" si="246"/>
        <v>Non-Smoker</v>
      </c>
      <c r="K2653">
        <v>0</v>
      </c>
      <c r="L2653">
        <v>0</v>
      </c>
      <c r="M2653">
        <v>0</v>
      </c>
      <c r="N2653">
        <v>0</v>
      </c>
      <c r="O2653">
        <v>269</v>
      </c>
      <c r="P2653" t="str">
        <f t="shared" si="247"/>
        <v>High</v>
      </c>
      <c r="Q2653">
        <v>133.5</v>
      </c>
      <c r="R2653">
        <v>83</v>
      </c>
      <c r="S2653">
        <v>21.47</v>
      </c>
      <c r="T2653" t="str">
        <f t="shared" si="248"/>
        <v>Normal</v>
      </c>
      <c r="U2653">
        <v>80</v>
      </c>
      <c r="V2653">
        <v>107</v>
      </c>
      <c r="W2653" t="str">
        <f t="shared" si="251"/>
        <v>Prediabetes</v>
      </c>
      <c r="X2653">
        <v>0</v>
      </c>
    </row>
    <row r="2654" spans="1:24" ht="14.5" thickBot="1" x14ac:dyDescent="0.35">
      <c r="A2654">
        <v>0</v>
      </c>
      <c r="B2654" t="str">
        <f t="shared" si="249"/>
        <v>Female</v>
      </c>
      <c r="C2654" s="8">
        <v>53</v>
      </c>
      <c r="D2654" t="str">
        <f t="shared" si="250"/>
        <v>Middle Age</v>
      </c>
      <c r="E2654">
        <v>3</v>
      </c>
      <c r="F2654" t="str">
        <f>HLOOKUP(E2654, LookUP_Table!$A$6:$D$7, 2, FALSE)</f>
        <v>Graduate</v>
      </c>
      <c r="G2654" t="str">
        <f>IFERROR(VLOOKUP(E2654, LookUP_Table!$A$1:$B$4, 2, FALSE), "")</f>
        <v>Graduate</v>
      </c>
      <c r="H2654">
        <v>0</v>
      </c>
      <c r="I2654">
        <v>0</v>
      </c>
      <c r="J2654" t="str">
        <f t="shared" si="246"/>
        <v>Non-Smoker</v>
      </c>
      <c r="K2654">
        <v>1</v>
      </c>
      <c r="L2654">
        <v>0</v>
      </c>
      <c r="M2654">
        <v>1</v>
      </c>
      <c r="N2654">
        <v>1</v>
      </c>
      <c r="O2654">
        <v>311</v>
      </c>
      <c r="P2654" t="str">
        <f t="shared" si="247"/>
        <v>High</v>
      </c>
      <c r="Q2654">
        <v>206</v>
      </c>
      <c r="R2654">
        <v>92</v>
      </c>
      <c r="S2654">
        <v>21.51</v>
      </c>
      <c r="T2654" t="str">
        <f t="shared" si="248"/>
        <v>Normal</v>
      </c>
      <c r="U2654">
        <v>76</v>
      </c>
      <c r="V2654">
        <v>215</v>
      </c>
      <c r="W2654" t="str">
        <f t="shared" si="251"/>
        <v>Diabetes</v>
      </c>
      <c r="X2654">
        <v>1</v>
      </c>
    </row>
    <row r="2655" spans="1:24" ht="14.5" thickBot="1" x14ac:dyDescent="0.35">
      <c r="A2655">
        <v>1</v>
      </c>
      <c r="B2655" t="str">
        <f t="shared" si="249"/>
        <v>Male</v>
      </c>
      <c r="C2655" s="8">
        <v>53</v>
      </c>
      <c r="D2655" t="str">
        <f t="shared" si="250"/>
        <v>Middle Age</v>
      </c>
      <c r="E2655">
        <v>1</v>
      </c>
      <c r="F2655" t="str">
        <f>HLOOKUP(E2655, LookUP_Table!$A$6:$D$7, 2, FALSE)</f>
        <v>Primary</v>
      </c>
      <c r="G2655" t="str">
        <f>IFERROR(VLOOKUP(E2655, LookUP_Table!$A$1:$B$4, 2, FALSE), "")</f>
        <v>Primary</v>
      </c>
      <c r="H2655">
        <v>1</v>
      </c>
      <c r="I2655">
        <v>20</v>
      </c>
      <c r="J2655" t="str">
        <f t="shared" si="246"/>
        <v>Smoker</v>
      </c>
      <c r="K2655">
        <v>0</v>
      </c>
      <c r="L2655">
        <v>0</v>
      </c>
      <c r="M2655">
        <v>0</v>
      </c>
      <c r="N2655">
        <v>0</v>
      </c>
      <c r="O2655">
        <v>220</v>
      </c>
      <c r="P2655" t="str">
        <f t="shared" si="247"/>
        <v>Normal</v>
      </c>
      <c r="Q2655">
        <v>123.5</v>
      </c>
      <c r="R2655">
        <v>75</v>
      </c>
      <c r="S2655">
        <v>19.64</v>
      </c>
      <c r="T2655" t="str">
        <f t="shared" si="248"/>
        <v>Normal</v>
      </c>
      <c r="U2655">
        <v>78</v>
      </c>
      <c r="V2655">
        <v>73</v>
      </c>
      <c r="W2655" t="str">
        <f t="shared" si="251"/>
        <v>Normal</v>
      </c>
      <c r="X2655">
        <v>0</v>
      </c>
    </row>
    <row r="2656" spans="1:24" ht="14.5" thickBot="1" x14ac:dyDescent="0.35">
      <c r="A2656">
        <v>0</v>
      </c>
      <c r="B2656" t="str">
        <f t="shared" si="249"/>
        <v>Female</v>
      </c>
      <c r="C2656" s="8">
        <v>53</v>
      </c>
      <c r="D2656" t="str">
        <f t="shared" si="250"/>
        <v>Middle Age</v>
      </c>
      <c r="E2656">
        <v>2</v>
      </c>
      <c r="F2656" t="str">
        <f>HLOOKUP(E2656, LookUP_Table!$A$6:$D$7, 2, FALSE)</f>
        <v>Secondary</v>
      </c>
      <c r="G2656" t="str">
        <f>IFERROR(VLOOKUP(E2656, LookUP_Table!$A$1:$B$4, 2, FALSE), "")</f>
        <v>Secondary</v>
      </c>
      <c r="H2656">
        <v>0</v>
      </c>
      <c r="I2656">
        <v>0</v>
      </c>
      <c r="J2656" t="str">
        <f t="shared" si="246"/>
        <v>Non-Smoker</v>
      </c>
      <c r="K2656">
        <v>0</v>
      </c>
      <c r="L2656">
        <v>0</v>
      </c>
      <c r="M2656">
        <v>0</v>
      </c>
      <c r="N2656">
        <v>0</v>
      </c>
      <c r="O2656">
        <v>210</v>
      </c>
      <c r="P2656" t="str">
        <f t="shared" si="247"/>
        <v>Normal</v>
      </c>
      <c r="Q2656">
        <v>138</v>
      </c>
      <c r="R2656">
        <v>86.5</v>
      </c>
      <c r="S2656">
        <v>22.49</v>
      </c>
      <c r="T2656" t="str">
        <f t="shared" si="248"/>
        <v>Normal</v>
      </c>
      <c r="U2656">
        <v>88</v>
      </c>
      <c r="V2656">
        <v>87</v>
      </c>
      <c r="W2656" t="str">
        <f t="shared" si="251"/>
        <v>Normal</v>
      </c>
      <c r="X2656">
        <v>0</v>
      </c>
    </row>
    <row r="2657" spans="1:24" ht="14.5" thickBot="1" x14ac:dyDescent="0.35">
      <c r="A2657">
        <v>1</v>
      </c>
      <c r="B2657" t="str">
        <f t="shared" si="249"/>
        <v>Male</v>
      </c>
      <c r="C2657" s="8">
        <v>53</v>
      </c>
      <c r="D2657" t="str">
        <f t="shared" si="250"/>
        <v>Middle Age</v>
      </c>
      <c r="E2657">
        <v>1</v>
      </c>
      <c r="F2657" t="str">
        <f>HLOOKUP(E2657, LookUP_Table!$A$6:$D$7, 2, FALSE)</f>
        <v>Primary</v>
      </c>
      <c r="G2657" t="str">
        <f>IFERROR(VLOOKUP(E2657, LookUP_Table!$A$1:$B$4, 2, FALSE), "")</f>
        <v>Primary</v>
      </c>
      <c r="H2657">
        <v>1</v>
      </c>
      <c r="I2657">
        <v>20</v>
      </c>
      <c r="J2657" t="str">
        <f t="shared" si="246"/>
        <v>Smoker</v>
      </c>
      <c r="K2657">
        <v>0</v>
      </c>
      <c r="L2657">
        <v>0</v>
      </c>
      <c r="M2657">
        <v>0</v>
      </c>
      <c r="N2657">
        <v>0</v>
      </c>
      <c r="O2657">
        <v>188</v>
      </c>
      <c r="P2657" t="str">
        <f t="shared" si="247"/>
        <v>Normal</v>
      </c>
      <c r="Q2657">
        <v>138</v>
      </c>
      <c r="R2657">
        <v>89</v>
      </c>
      <c r="S2657">
        <v>18.23</v>
      </c>
      <c r="T2657" t="str">
        <f t="shared" si="248"/>
        <v>Underweight</v>
      </c>
      <c r="U2657">
        <v>60</v>
      </c>
      <c r="V2657">
        <v>75</v>
      </c>
      <c r="W2657" t="str">
        <f t="shared" si="251"/>
        <v>Normal</v>
      </c>
      <c r="X2657">
        <v>0</v>
      </c>
    </row>
    <row r="2658" spans="1:24" ht="14.5" thickBot="1" x14ac:dyDescent="0.35">
      <c r="A2658">
        <v>1</v>
      </c>
      <c r="B2658" t="str">
        <f t="shared" si="249"/>
        <v>Male</v>
      </c>
      <c r="C2658" s="8">
        <v>53</v>
      </c>
      <c r="D2658" t="str">
        <f t="shared" si="250"/>
        <v>Middle Age</v>
      </c>
      <c r="E2658">
        <v>1</v>
      </c>
      <c r="F2658" t="str">
        <f>HLOOKUP(E2658, LookUP_Table!$A$6:$D$7, 2, FALSE)</f>
        <v>Primary</v>
      </c>
      <c r="G2658" t="str">
        <f>IFERROR(VLOOKUP(E2658, LookUP_Table!$A$1:$B$4, 2, FALSE), "")</f>
        <v>Primary</v>
      </c>
      <c r="H2658">
        <v>1</v>
      </c>
      <c r="I2658">
        <v>30</v>
      </c>
      <c r="J2658" t="str">
        <f t="shared" si="246"/>
        <v>Smoker</v>
      </c>
      <c r="K2658">
        <v>0</v>
      </c>
      <c r="L2658">
        <v>0</v>
      </c>
      <c r="M2658">
        <v>0</v>
      </c>
      <c r="N2658">
        <v>0</v>
      </c>
      <c r="O2658">
        <v>244</v>
      </c>
      <c r="P2658" t="str">
        <f t="shared" si="247"/>
        <v>High</v>
      </c>
      <c r="Q2658">
        <v>106</v>
      </c>
      <c r="R2658">
        <v>67.5</v>
      </c>
      <c r="S2658">
        <v>21.84</v>
      </c>
      <c r="T2658" t="str">
        <f t="shared" si="248"/>
        <v>Normal</v>
      </c>
      <c r="U2658">
        <v>88</v>
      </c>
      <c r="V2658">
        <v>65</v>
      </c>
      <c r="W2658" t="str">
        <f t="shared" si="251"/>
        <v>Normal</v>
      </c>
      <c r="X2658">
        <v>0</v>
      </c>
    </row>
    <row r="2659" spans="1:24" ht="14.5" thickBot="1" x14ac:dyDescent="0.35">
      <c r="A2659">
        <v>0</v>
      </c>
      <c r="B2659" t="str">
        <f t="shared" si="249"/>
        <v>Female</v>
      </c>
      <c r="C2659" s="8">
        <v>53</v>
      </c>
      <c r="D2659" t="str">
        <f t="shared" si="250"/>
        <v>Middle Age</v>
      </c>
      <c r="E2659">
        <v>1</v>
      </c>
      <c r="F2659" t="str">
        <f>HLOOKUP(E2659, LookUP_Table!$A$6:$D$7, 2, FALSE)</f>
        <v>Primary</v>
      </c>
      <c r="G2659" t="str">
        <f>IFERROR(VLOOKUP(E2659, LookUP_Table!$A$1:$B$4, 2, FALSE), "")</f>
        <v>Primary</v>
      </c>
      <c r="H2659">
        <v>1</v>
      </c>
      <c r="I2659">
        <v>15</v>
      </c>
      <c r="J2659" t="str">
        <f t="shared" si="246"/>
        <v>Smoker</v>
      </c>
      <c r="K2659">
        <v>0</v>
      </c>
      <c r="L2659">
        <v>0</v>
      </c>
      <c r="M2659">
        <v>0</v>
      </c>
      <c r="N2659">
        <v>0</v>
      </c>
      <c r="O2659">
        <v>225</v>
      </c>
      <c r="P2659" t="str">
        <f t="shared" si="247"/>
        <v>Normal</v>
      </c>
      <c r="Q2659">
        <v>128</v>
      </c>
      <c r="R2659">
        <v>77</v>
      </c>
      <c r="S2659">
        <v>23.95</v>
      </c>
      <c r="T2659" t="str">
        <f t="shared" si="248"/>
        <v>Normal</v>
      </c>
      <c r="U2659">
        <v>80</v>
      </c>
      <c r="V2659">
        <v>78</v>
      </c>
      <c r="W2659" t="str">
        <f t="shared" si="251"/>
        <v>Normal</v>
      </c>
      <c r="X2659">
        <v>0</v>
      </c>
    </row>
    <row r="2660" spans="1:24" ht="14.5" thickBot="1" x14ac:dyDescent="0.35">
      <c r="A2660">
        <v>1</v>
      </c>
      <c r="B2660" t="str">
        <f t="shared" si="249"/>
        <v>Male</v>
      </c>
      <c r="C2660" s="8">
        <v>53</v>
      </c>
      <c r="D2660" t="str">
        <f t="shared" si="250"/>
        <v>Middle Age</v>
      </c>
      <c r="E2660">
        <v>4</v>
      </c>
      <c r="F2660" t="str">
        <f>HLOOKUP(E2660, LookUP_Table!$A$6:$D$7, 2, FALSE)</f>
        <v>Post Graduate</v>
      </c>
      <c r="G2660" t="str">
        <f>IFERROR(VLOOKUP(E2660, LookUP_Table!$A$1:$B$4, 2, FALSE), "")</f>
        <v>Post Graduate</v>
      </c>
      <c r="H2660">
        <v>1</v>
      </c>
      <c r="I2660">
        <v>30</v>
      </c>
      <c r="J2660" t="str">
        <f t="shared" si="246"/>
        <v>Smoker</v>
      </c>
      <c r="K2660">
        <v>0</v>
      </c>
      <c r="L2660">
        <v>0</v>
      </c>
      <c r="M2660">
        <v>0</v>
      </c>
      <c r="N2660">
        <v>0</v>
      </c>
      <c r="O2660">
        <v>189</v>
      </c>
      <c r="P2660" t="str">
        <f t="shared" si="247"/>
        <v>Normal</v>
      </c>
      <c r="Q2660">
        <v>110</v>
      </c>
      <c r="R2660">
        <v>67.5</v>
      </c>
      <c r="S2660">
        <v>23.59</v>
      </c>
      <c r="T2660" t="str">
        <f t="shared" si="248"/>
        <v>Normal</v>
      </c>
      <c r="U2660">
        <v>60</v>
      </c>
      <c r="V2660">
        <v>63</v>
      </c>
      <c r="W2660" t="str">
        <f t="shared" si="251"/>
        <v>Normal</v>
      </c>
      <c r="X2660">
        <v>0</v>
      </c>
    </row>
    <row r="2661" spans="1:24" ht="14.5" thickBot="1" x14ac:dyDescent="0.35">
      <c r="A2661">
        <v>1</v>
      </c>
      <c r="B2661" t="str">
        <f t="shared" si="249"/>
        <v>Male</v>
      </c>
      <c r="C2661" s="8">
        <v>53</v>
      </c>
      <c r="D2661" t="str">
        <f t="shared" si="250"/>
        <v>Middle Age</v>
      </c>
      <c r="E2661">
        <v>2</v>
      </c>
      <c r="F2661" t="str">
        <f>HLOOKUP(E2661, LookUP_Table!$A$6:$D$7, 2, FALSE)</f>
        <v>Secondary</v>
      </c>
      <c r="G2661" t="str">
        <f>IFERROR(VLOOKUP(E2661, LookUP_Table!$A$1:$B$4, 2, FALSE), "")</f>
        <v>Secondary</v>
      </c>
      <c r="H2661">
        <v>0</v>
      </c>
      <c r="I2661">
        <v>0</v>
      </c>
      <c r="J2661" t="str">
        <f t="shared" si="246"/>
        <v>Non-Smoker</v>
      </c>
      <c r="K2661">
        <v>0</v>
      </c>
      <c r="L2661">
        <v>0</v>
      </c>
      <c r="M2661">
        <v>0</v>
      </c>
      <c r="N2661">
        <v>0</v>
      </c>
      <c r="O2661">
        <v>193</v>
      </c>
      <c r="P2661" t="str">
        <f t="shared" si="247"/>
        <v>Normal</v>
      </c>
      <c r="Q2661">
        <v>142</v>
      </c>
      <c r="R2661">
        <v>89</v>
      </c>
      <c r="S2661">
        <v>29.56</v>
      </c>
      <c r="T2661" t="str">
        <f t="shared" si="248"/>
        <v>Overweight</v>
      </c>
      <c r="U2661">
        <v>70</v>
      </c>
      <c r="V2661">
        <v>78</v>
      </c>
      <c r="W2661" t="str">
        <f t="shared" si="251"/>
        <v>Normal</v>
      </c>
      <c r="X2661">
        <v>0</v>
      </c>
    </row>
    <row r="2662" spans="1:24" ht="14.5" thickBot="1" x14ac:dyDescent="0.35">
      <c r="A2662">
        <v>0</v>
      </c>
      <c r="B2662" t="str">
        <f t="shared" si="249"/>
        <v>Female</v>
      </c>
      <c r="C2662" s="8">
        <v>53</v>
      </c>
      <c r="D2662" t="str">
        <f t="shared" si="250"/>
        <v>Middle Age</v>
      </c>
      <c r="E2662">
        <v>1</v>
      </c>
      <c r="F2662" t="str">
        <f>HLOOKUP(E2662, LookUP_Table!$A$6:$D$7, 2, FALSE)</f>
        <v>Primary</v>
      </c>
      <c r="G2662" t="str">
        <f>IFERROR(VLOOKUP(E2662, LookUP_Table!$A$1:$B$4, 2, FALSE), "")</f>
        <v>Primary</v>
      </c>
      <c r="H2662">
        <v>0</v>
      </c>
      <c r="I2662">
        <v>0</v>
      </c>
      <c r="J2662" t="str">
        <f t="shared" si="246"/>
        <v>Non-Smoker</v>
      </c>
      <c r="K2662">
        <v>0</v>
      </c>
      <c r="L2662">
        <v>0</v>
      </c>
      <c r="M2662">
        <v>1</v>
      </c>
      <c r="N2662">
        <v>0</v>
      </c>
      <c r="O2662">
        <v>303</v>
      </c>
      <c r="P2662" t="str">
        <f t="shared" si="247"/>
        <v>High</v>
      </c>
      <c r="Q2662">
        <v>128</v>
      </c>
      <c r="R2662">
        <v>91</v>
      </c>
      <c r="S2662">
        <v>27.35</v>
      </c>
      <c r="T2662" t="str">
        <f t="shared" si="248"/>
        <v>Overweight</v>
      </c>
      <c r="U2662">
        <v>60</v>
      </c>
      <c r="V2662">
        <v>77</v>
      </c>
      <c r="W2662" t="str">
        <f t="shared" si="251"/>
        <v>Normal</v>
      </c>
      <c r="X2662">
        <v>1</v>
      </c>
    </row>
    <row r="2663" spans="1:24" ht="14.5" thickBot="1" x14ac:dyDescent="0.35">
      <c r="A2663">
        <v>0</v>
      </c>
      <c r="B2663" t="str">
        <f t="shared" si="249"/>
        <v>Female</v>
      </c>
      <c r="C2663" s="8">
        <v>53</v>
      </c>
      <c r="D2663" t="str">
        <f t="shared" si="250"/>
        <v>Middle Age</v>
      </c>
      <c r="E2663">
        <v>2</v>
      </c>
      <c r="F2663" t="str">
        <f>HLOOKUP(E2663, LookUP_Table!$A$6:$D$7, 2, FALSE)</f>
        <v>Secondary</v>
      </c>
      <c r="G2663" t="str">
        <f>IFERROR(VLOOKUP(E2663, LookUP_Table!$A$1:$B$4, 2, FALSE), "")</f>
        <v>Secondary</v>
      </c>
      <c r="H2663">
        <v>1</v>
      </c>
      <c r="I2663">
        <v>20</v>
      </c>
      <c r="J2663" t="str">
        <f t="shared" si="246"/>
        <v>Smoker</v>
      </c>
      <c r="K2663">
        <v>0</v>
      </c>
      <c r="L2663">
        <v>0</v>
      </c>
      <c r="M2663">
        <v>0</v>
      </c>
      <c r="N2663">
        <v>0</v>
      </c>
      <c r="O2663">
        <v>262</v>
      </c>
      <c r="P2663" t="str">
        <f t="shared" si="247"/>
        <v>High</v>
      </c>
      <c r="Q2663">
        <v>127.5</v>
      </c>
      <c r="R2663">
        <v>86</v>
      </c>
      <c r="S2663">
        <v>24.11</v>
      </c>
      <c r="T2663" t="str">
        <f t="shared" si="248"/>
        <v>Normal</v>
      </c>
      <c r="U2663">
        <v>87</v>
      </c>
      <c r="V2663">
        <v>73</v>
      </c>
      <c r="W2663" t="str">
        <f t="shared" si="251"/>
        <v>Normal</v>
      </c>
      <c r="X2663">
        <v>0</v>
      </c>
    </row>
    <row r="2664" spans="1:24" ht="14.5" thickBot="1" x14ac:dyDescent="0.35">
      <c r="A2664">
        <v>0</v>
      </c>
      <c r="B2664" t="str">
        <f t="shared" si="249"/>
        <v>Female</v>
      </c>
      <c r="C2664" s="8">
        <v>53</v>
      </c>
      <c r="D2664" t="str">
        <f t="shared" si="250"/>
        <v>Middle Age</v>
      </c>
      <c r="E2664">
        <v>2</v>
      </c>
      <c r="F2664" t="str">
        <f>HLOOKUP(E2664, LookUP_Table!$A$6:$D$7, 2, FALSE)</f>
        <v>Secondary</v>
      </c>
      <c r="G2664" t="str">
        <f>IFERROR(VLOOKUP(E2664, LookUP_Table!$A$1:$B$4, 2, FALSE), "")</f>
        <v>Secondary</v>
      </c>
      <c r="H2664">
        <v>1</v>
      </c>
      <c r="I2664">
        <v>20</v>
      </c>
      <c r="J2664" t="str">
        <f t="shared" si="246"/>
        <v>Smoker</v>
      </c>
      <c r="K2664">
        <v>0</v>
      </c>
      <c r="L2664">
        <v>0</v>
      </c>
      <c r="M2664">
        <v>0</v>
      </c>
      <c r="N2664">
        <v>0</v>
      </c>
      <c r="O2664">
        <v>240</v>
      </c>
      <c r="P2664" t="str">
        <f t="shared" si="247"/>
        <v>Normal</v>
      </c>
      <c r="Q2664">
        <v>131</v>
      </c>
      <c r="R2664">
        <v>82</v>
      </c>
      <c r="S2664">
        <v>24.22</v>
      </c>
      <c r="T2664" t="str">
        <f t="shared" si="248"/>
        <v>Normal</v>
      </c>
      <c r="U2664">
        <v>66</v>
      </c>
      <c r="V2664">
        <v>80</v>
      </c>
      <c r="W2664" t="str">
        <f t="shared" si="251"/>
        <v>Normal</v>
      </c>
      <c r="X2664">
        <v>0</v>
      </c>
    </row>
    <row r="2665" spans="1:24" ht="14.5" thickBot="1" x14ac:dyDescent="0.35">
      <c r="A2665">
        <v>0</v>
      </c>
      <c r="B2665" t="str">
        <f t="shared" si="249"/>
        <v>Female</v>
      </c>
      <c r="C2665" s="8">
        <v>53</v>
      </c>
      <c r="D2665" t="str">
        <f t="shared" si="250"/>
        <v>Middle Age</v>
      </c>
      <c r="E2665">
        <v>2</v>
      </c>
      <c r="F2665" t="str">
        <f>HLOOKUP(E2665, LookUP_Table!$A$6:$D$7, 2, FALSE)</f>
        <v>Secondary</v>
      </c>
      <c r="G2665" t="str">
        <f>IFERROR(VLOOKUP(E2665, LookUP_Table!$A$1:$B$4, 2, FALSE), "")</f>
        <v>Secondary</v>
      </c>
      <c r="H2665">
        <v>0</v>
      </c>
      <c r="I2665">
        <v>0</v>
      </c>
      <c r="J2665" t="str">
        <f t="shared" si="246"/>
        <v>Non-Smoker</v>
      </c>
      <c r="K2665">
        <v>1</v>
      </c>
      <c r="L2665">
        <v>0</v>
      </c>
      <c r="M2665">
        <v>1</v>
      </c>
      <c r="N2665">
        <v>0</v>
      </c>
      <c r="O2665">
        <v>250</v>
      </c>
      <c r="P2665" t="str">
        <f t="shared" si="247"/>
        <v>High</v>
      </c>
      <c r="Q2665">
        <v>144</v>
      </c>
      <c r="R2665">
        <v>98</v>
      </c>
      <c r="S2665">
        <v>28.78</v>
      </c>
      <c r="T2665" t="str">
        <f t="shared" si="248"/>
        <v>Overweight</v>
      </c>
      <c r="U2665">
        <v>90</v>
      </c>
      <c r="V2665">
        <v>78</v>
      </c>
      <c r="W2665" t="str">
        <f t="shared" si="251"/>
        <v>Normal</v>
      </c>
      <c r="X2665">
        <v>0</v>
      </c>
    </row>
    <row r="2666" spans="1:24" ht="14.5" thickBot="1" x14ac:dyDescent="0.35">
      <c r="A2666">
        <v>0</v>
      </c>
      <c r="B2666" t="str">
        <f t="shared" si="249"/>
        <v>Female</v>
      </c>
      <c r="C2666" s="8">
        <v>53</v>
      </c>
      <c r="D2666" t="str">
        <f t="shared" si="250"/>
        <v>Middle Age</v>
      </c>
      <c r="E2666">
        <v>2</v>
      </c>
      <c r="F2666" t="str">
        <f>HLOOKUP(E2666, LookUP_Table!$A$6:$D$7, 2, FALSE)</f>
        <v>Secondary</v>
      </c>
      <c r="G2666" t="str">
        <f>IFERROR(VLOOKUP(E2666, LookUP_Table!$A$1:$B$4, 2, FALSE), "")</f>
        <v>Secondary</v>
      </c>
      <c r="H2666">
        <v>1</v>
      </c>
      <c r="I2666">
        <v>10</v>
      </c>
      <c r="J2666" t="str">
        <f t="shared" si="246"/>
        <v>Smoker</v>
      </c>
      <c r="K2666">
        <v>0</v>
      </c>
      <c r="L2666">
        <v>0</v>
      </c>
      <c r="M2666">
        <v>0</v>
      </c>
      <c r="N2666">
        <v>0</v>
      </c>
      <c r="O2666">
        <v>276</v>
      </c>
      <c r="P2666" t="str">
        <f t="shared" si="247"/>
        <v>High</v>
      </c>
      <c r="Q2666">
        <v>130</v>
      </c>
      <c r="R2666">
        <v>86</v>
      </c>
      <c r="S2666">
        <v>27.09</v>
      </c>
      <c r="T2666" t="str">
        <f t="shared" si="248"/>
        <v>Overweight</v>
      </c>
      <c r="U2666">
        <v>75</v>
      </c>
      <c r="V2666">
        <v>56</v>
      </c>
      <c r="W2666" t="str">
        <f t="shared" si="251"/>
        <v>Normal</v>
      </c>
      <c r="X2666">
        <v>0</v>
      </c>
    </row>
    <row r="2667" spans="1:24" ht="14.5" thickBot="1" x14ac:dyDescent="0.35">
      <c r="A2667">
        <v>1</v>
      </c>
      <c r="B2667" t="str">
        <f t="shared" si="249"/>
        <v>Male</v>
      </c>
      <c r="C2667" s="8">
        <v>53</v>
      </c>
      <c r="D2667" t="str">
        <f t="shared" si="250"/>
        <v>Middle Age</v>
      </c>
      <c r="E2667">
        <v>1</v>
      </c>
      <c r="F2667" t="str">
        <f>HLOOKUP(E2667, LookUP_Table!$A$6:$D$7, 2, FALSE)</f>
        <v>Primary</v>
      </c>
      <c r="G2667" t="str">
        <f>IFERROR(VLOOKUP(E2667, LookUP_Table!$A$1:$B$4, 2, FALSE), "")</f>
        <v>Primary</v>
      </c>
      <c r="H2667">
        <v>0</v>
      </c>
      <c r="I2667">
        <v>0</v>
      </c>
      <c r="J2667" t="str">
        <f t="shared" si="246"/>
        <v>Non-Smoker</v>
      </c>
      <c r="K2667">
        <v>0</v>
      </c>
      <c r="L2667">
        <v>0</v>
      </c>
      <c r="M2667">
        <v>1</v>
      </c>
      <c r="N2667">
        <v>0</v>
      </c>
      <c r="O2667">
        <v>202</v>
      </c>
      <c r="P2667" t="str">
        <f t="shared" si="247"/>
        <v>Normal</v>
      </c>
      <c r="Q2667">
        <v>140.5</v>
      </c>
      <c r="R2667">
        <v>90</v>
      </c>
      <c r="S2667">
        <v>25.82</v>
      </c>
      <c r="T2667" t="str">
        <f t="shared" si="248"/>
        <v>Overweight</v>
      </c>
      <c r="U2667">
        <v>85</v>
      </c>
      <c r="V2667">
        <v>74</v>
      </c>
      <c r="W2667" t="str">
        <f t="shared" si="251"/>
        <v>Normal</v>
      </c>
      <c r="X2667">
        <v>0</v>
      </c>
    </row>
    <row r="2668" spans="1:24" ht="14.5" thickBot="1" x14ac:dyDescent="0.35">
      <c r="A2668">
        <v>0</v>
      </c>
      <c r="B2668" t="str">
        <f t="shared" si="249"/>
        <v>Female</v>
      </c>
      <c r="C2668" s="8">
        <v>53</v>
      </c>
      <c r="D2668" t="str">
        <f t="shared" si="250"/>
        <v>Middle Age</v>
      </c>
      <c r="E2668">
        <v>1</v>
      </c>
      <c r="F2668" t="str">
        <f>HLOOKUP(E2668, LookUP_Table!$A$6:$D$7, 2, FALSE)</f>
        <v>Primary</v>
      </c>
      <c r="G2668" t="str">
        <f>IFERROR(VLOOKUP(E2668, LookUP_Table!$A$1:$B$4, 2, FALSE), "")</f>
        <v>Primary</v>
      </c>
      <c r="H2668">
        <v>0</v>
      </c>
      <c r="I2668">
        <v>0</v>
      </c>
      <c r="J2668" t="str">
        <f t="shared" si="246"/>
        <v>Non-Smoker</v>
      </c>
      <c r="K2668">
        <v>0</v>
      </c>
      <c r="L2668">
        <v>0</v>
      </c>
      <c r="M2668">
        <v>1</v>
      </c>
      <c r="N2668">
        <v>0</v>
      </c>
      <c r="O2668">
        <v>174</v>
      </c>
      <c r="P2668" t="str">
        <f t="shared" si="247"/>
        <v>Normal</v>
      </c>
      <c r="Q2668">
        <v>165</v>
      </c>
      <c r="R2668">
        <v>93</v>
      </c>
      <c r="S2668">
        <v>27.45</v>
      </c>
      <c r="T2668" t="str">
        <f t="shared" si="248"/>
        <v>Overweight</v>
      </c>
      <c r="U2668">
        <v>108</v>
      </c>
      <c r="V2668">
        <v>81.96365524402907</v>
      </c>
      <c r="W2668" t="str">
        <f t="shared" si="251"/>
        <v>Normal</v>
      </c>
      <c r="X2668">
        <v>0</v>
      </c>
    </row>
    <row r="2669" spans="1:24" ht="14.5" thickBot="1" x14ac:dyDescent="0.35">
      <c r="A2669">
        <v>0</v>
      </c>
      <c r="B2669" t="str">
        <f t="shared" si="249"/>
        <v>Female</v>
      </c>
      <c r="C2669" s="8">
        <v>53</v>
      </c>
      <c r="D2669" t="str">
        <f t="shared" si="250"/>
        <v>Middle Age</v>
      </c>
      <c r="E2669">
        <v>3</v>
      </c>
      <c r="F2669" t="str">
        <f>HLOOKUP(E2669, LookUP_Table!$A$6:$D$7, 2, FALSE)</f>
        <v>Graduate</v>
      </c>
      <c r="G2669" t="str">
        <f>IFERROR(VLOOKUP(E2669, LookUP_Table!$A$1:$B$4, 2, FALSE), "")</f>
        <v>Graduate</v>
      </c>
      <c r="H2669">
        <v>1</v>
      </c>
      <c r="I2669">
        <v>14</v>
      </c>
      <c r="J2669" t="str">
        <f t="shared" si="246"/>
        <v>Smoker</v>
      </c>
      <c r="K2669">
        <v>0</v>
      </c>
      <c r="L2669">
        <v>0</v>
      </c>
      <c r="M2669">
        <v>0</v>
      </c>
      <c r="N2669">
        <v>0</v>
      </c>
      <c r="O2669">
        <v>252</v>
      </c>
      <c r="P2669" t="str">
        <f t="shared" si="247"/>
        <v>High</v>
      </c>
      <c r="Q2669">
        <v>120</v>
      </c>
      <c r="R2669">
        <v>74</v>
      </c>
      <c r="S2669">
        <v>21.14</v>
      </c>
      <c r="T2669" t="str">
        <f t="shared" si="248"/>
        <v>Normal</v>
      </c>
      <c r="U2669">
        <v>68</v>
      </c>
      <c r="V2669">
        <v>81.96365524402907</v>
      </c>
      <c r="W2669" t="str">
        <f t="shared" si="251"/>
        <v>Normal</v>
      </c>
      <c r="X2669">
        <v>0</v>
      </c>
    </row>
    <row r="2670" spans="1:24" ht="14.5" thickBot="1" x14ac:dyDescent="0.35">
      <c r="A2670">
        <v>1</v>
      </c>
      <c r="B2670" t="str">
        <f t="shared" si="249"/>
        <v>Male</v>
      </c>
      <c r="C2670" s="8">
        <v>53</v>
      </c>
      <c r="D2670" t="str">
        <f t="shared" si="250"/>
        <v>Middle Age</v>
      </c>
      <c r="E2670">
        <v>1</v>
      </c>
      <c r="F2670" t="str">
        <f>HLOOKUP(E2670, LookUP_Table!$A$6:$D$7, 2, FALSE)</f>
        <v>Primary</v>
      </c>
      <c r="G2670" t="str">
        <f>IFERROR(VLOOKUP(E2670, LookUP_Table!$A$1:$B$4, 2, FALSE), "")</f>
        <v>Primary</v>
      </c>
      <c r="H2670">
        <v>1</v>
      </c>
      <c r="I2670">
        <v>50</v>
      </c>
      <c r="J2670" t="str">
        <f t="shared" si="246"/>
        <v>Smoker</v>
      </c>
      <c r="K2670">
        <v>0</v>
      </c>
      <c r="L2670">
        <v>0</v>
      </c>
      <c r="M2670">
        <v>0</v>
      </c>
      <c r="N2670">
        <v>0</v>
      </c>
      <c r="O2670">
        <v>306</v>
      </c>
      <c r="P2670" t="str">
        <f t="shared" si="247"/>
        <v>High</v>
      </c>
      <c r="Q2670">
        <v>127</v>
      </c>
      <c r="R2670">
        <v>82.5</v>
      </c>
      <c r="S2670">
        <v>31.22</v>
      </c>
      <c r="T2670" t="str">
        <f t="shared" si="248"/>
        <v>Obese</v>
      </c>
      <c r="U2670">
        <v>72</v>
      </c>
      <c r="V2670">
        <v>81.96365524402907</v>
      </c>
      <c r="W2670" t="str">
        <f t="shared" si="251"/>
        <v>Normal</v>
      </c>
      <c r="X2670">
        <v>0</v>
      </c>
    </row>
    <row r="2671" spans="1:24" ht="14.5" thickBot="1" x14ac:dyDescent="0.35">
      <c r="A2671">
        <v>1</v>
      </c>
      <c r="B2671" t="str">
        <f t="shared" si="249"/>
        <v>Male</v>
      </c>
      <c r="C2671" s="8">
        <v>53</v>
      </c>
      <c r="D2671" t="str">
        <f t="shared" si="250"/>
        <v>Middle Age</v>
      </c>
      <c r="E2671">
        <v>3</v>
      </c>
      <c r="F2671" t="str">
        <f>HLOOKUP(E2671, LookUP_Table!$A$6:$D$7, 2, FALSE)</f>
        <v>Graduate</v>
      </c>
      <c r="G2671" t="str">
        <f>IFERROR(VLOOKUP(E2671, LookUP_Table!$A$1:$B$4, 2, FALSE), "")</f>
        <v>Graduate</v>
      </c>
      <c r="H2671">
        <v>1</v>
      </c>
      <c r="I2671">
        <v>15</v>
      </c>
      <c r="J2671" t="str">
        <f t="shared" si="246"/>
        <v>Smoker</v>
      </c>
      <c r="K2671">
        <v>0</v>
      </c>
      <c r="L2671">
        <v>1</v>
      </c>
      <c r="M2671">
        <v>0</v>
      </c>
      <c r="N2671">
        <v>0</v>
      </c>
      <c r="O2671">
        <v>161</v>
      </c>
      <c r="P2671" t="str">
        <f t="shared" si="247"/>
        <v>Normal</v>
      </c>
      <c r="Q2671">
        <v>116</v>
      </c>
      <c r="R2671">
        <v>74.5</v>
      </c>
      <c r="S2671">
        <v>19.82</v>
      </c>
      <c r="T2671" t="str">
        <f t="shared" si="248"/>
        <v>Normal</v>
      </c>
      <c r="U2671">
        <v>80</v>
      </c>
      <c r="V2671">
        <v>90</v>
      </c>
      <c r="W2671" t="str">
        <f t="shared" si="251"/>
        <v>Normal</v>
      </c>
      <c r="X2671">
        <v>0</v>
      </c>
    </row>
    <row r="2672" spans="1:24" ht="14.5" thickBot="1" x14ac:dyDescent="0.35">
      <c r="A2672">
        <v>0</v>
      </c>
      <c r="B2672" t="str">
        <f t="shared" si="249"/>
        <v>Female</v>
      </c>
      <c r="C2672" s="8">
        <v>53</v>
      </c>
      <c r="D2672" t="str">
        <f t="shared" si="250"/>
        <v>Middle Age</v>
      </c>
      <c r="E2672">
        <v>2</v>
      </c>
      <c r="F2672" t="str">
        <f>HLOOKUP(E2672, LookUP_Table!$A$6:$D$7, 2, FALSE)</f>
        <v>Secondary</v>
      </c>
      <c r="G2672" t="str">
        <f>IFERROR(VLOOKUP(E2672, LookUP_Table!$A$1:$B$4, 2, FALSE), "")</f>
        <v>Secondary</v>
      </c>
      <c r="H2672">
        <v>0</v>
      </c>
      <c r="I2672">
        <v>0</v>
      </c>
      <c r="J2672" t="str">
        <f t="shared" si="246"/>
        <v>Non-Smoker</v>
      </c>
      <c r="K2672">
        <v>0</v>
      </c>
      <c r="L2672">
        <v>0</v>
      </c>
      <c r="M2672">
        <v>0</v>
      </c>
      <c r="N2672">
        <v>0</v>
      </c>
      <c r="O2672">
        <v>235</v>
      </c>
      <c r="P2672" t="str">
        <f t="shared" si="247"/>
        <v>Normal</v>
      </c>
      <c r="Q2672">
        <v>132</v>
      </c>
      <c r="R2672">
        <v>84</v>
      </c>
      <c r="S2672">
        <v>30.1</v>
      </c>
      <c r="T2672" t="str">
        <f t="shared" si="248"/>
        <v>Obese</v>
      </c>
      <c r="U2672">
        <v>80</v>
      </c>
      <c r="V2672">
        <v>63</v>
      </c>
      <c r="W2672" t="str">
        <f t="shared" si="251"/>
        <v>Normal</v>
      </c>
      <c r="X2672">
        <v>0</v>
      </c>
    </row>
    <row r="2673" spans="1:24" ht="14.5" thickBot="1" x14ac:dyDescent="0.35">
      <c r="A2673">
        <v>0</v>
      </c>
      <c r="B2673" t="str">
        <f t="shared" si="249"/>
        <v>Female</v>
      </c>
      <c r="C2673" s="8">
        <v>53</v>
      </c>
      <c r="D2673" t="str">
        <f t="shared" si="250"/>
        <v>Middle Age</v>
      </c>
      <c r="E2673">
        <v>3</v>
      </c>
      <c r="F2673" t="str">
        <f>HLOOKUP(E2673, LookUP_Table!$A$6:$D$7, 2, FALSE)</f>
        <v>Graduate</v>
      </c>
      <c r="G2673" t="str">
        <f>IFERROR(VLOOKUP(E2673, LookUP_Table!$A$1:$B$4, 2, FALSE), "")</f>
        <v>Graduate</v>
      </c>
      <c r="H2673">
        <v>1</v>
      </c>
      <c r="I2673">
        <v>9</v>
      </c>
      <c r="J2673" t="str">
        <f t="shared" si="246"/>
        <v>Smoker</v>
      </c>
      <c r="K2673">
        <v>0</v>
      </c>
      <c r="L2673">
        <v>0</v>
      </c>
      <c r="M2673">
        <v>0</v>
      </c>
      <c r="N2673">
        <v>0</v>
      </c>
      <c r="O2673">
        <v>210</v>
      </c>
      <c r="P2673" t="str">
        <f t="shared" si="247"/>
        <v>Normal</v>
      </c>
      <c r="Q2673">
        <v>132</v>
      </c>
      <c r="R2673">
        <v>84.5</v>
      </c>
      <c r="S2673">
        <v>27.08</v>
      </c>
      <c r="T2673" t="str">
        <f t="shared" si="248"/>
        <v>Overweight</v>
      </c>
      <c r="U2673">
        <v>110</v>
      </c>
      <c r="V2673">
        <v>84</v>
      </c>
      <c r="W2673" t="str">
        <f t="shared" si="251"/>
        <v>Normal</v>
      </c>
      <c r="X2673">
        <v>1</v>
      </c>
    </row>
    <row r="2674" spans="1:24" ht="14.5" thickBot="1" x14ac:dyDescent="0.35">
      <c r="A2674">
        <v>0</v>
      </c>
      <c r="B2674" t="str">
        <f t="shared" si="249"/>
        <v>Female</v>
      </c>
      <c r="C2674" s="8">
        <v>53</v>
      </c>
      <c r="D2674" t="str">
        <f t="shared" si="250"/>
        <v>Middle Age</v>
      </c>
      <c r="E2674">
        <v>2</v>
      </c>
      <c r="F2674" t="str">
        <f>HLOOKUP(E2674, LookUP_Table!$A$6:$D$7, 2, FALSE)</f>
        <v>Secondary</v>
      </c>
      <c r="G2674" t="str">
        <f>IFERROR(VLOOKUP(E2674, LookUP_Table!$A$1:$B$4, 2, FALSE), "")</f>
        <v>Secondary</v>
      </c>
      <c r="H2674">
        <v>0</v>
      </c>
      <c r="I2674">
        <v>0</v>
      </c>
      <c r="J2674" t="str">
        <f t="shared" si="246"/>
        <v>Non-Smoker</v>
      </c>
      <c r="K2674">
        <v>0</v>
      </c>
      <c r="L2674">
        <v>0</v>
      </c>
      <c r="M2674">
        <v>0</v>
      </c>
      <c r="N2674">
        <v>0</v>
      </c>
      <c r="O2674">
        <v>370</v>
      </c>
      <c r="P2674" t="str">
        <f t="shared" si="247"/>
        <v>High</v>
      </c>
      <c r="Q2674">
        <v>123</v>
      </c>
      <c r="R2674">
        <v>83</v>
      </c>
      <c r="S2674">
        <v>24.64</v>
      </c>
      <c r="T2674" t="str">
        <f t="shared" si="248"/>
        <v>Normal</v>
      </c>
      <c r="U2674">
        <v>63</v>
      </c>
      <c r="V2674">
        <v>74</v>
      </c>
      <c r="W2674" t="str">
        <f t="shared" si="251"/>
        <v>Normal</v>
      </c>
      <c r="X2674">
        <v>1</v>
      </c>
    </row>
    <row r="2675" spans="1:24" ht="14.5" thickBot="1" x14ac:dyDescent="0.35">
      <c r="A2675">
        <v>1</v>
      </c>
      <c r="B2675" t="str">
        <f t="shared" si="249"/>
        <v>Male</v>
      </c>
      <c r="C2675" s="8">
        <v>53</v>
      </c>
      <c r="D2675" t="str">
        <f t="shared" si="250"/>
        <v>Middle Age</v>
      </c>
      <c r="E2675">
        <v>1</v>
      </c>
      <c r="F2675" t="str">
        <f>HLOOKUP(E2675, LookUP_Table!$A$6:$D$7, 2, FALSE)</f>
        <v>Primary</v>
      </c>
      <c r="G2675" t="str">
        <f>IFERROR(VLOOKUP(E2675, LookUP_Table!$A$1:$B$4, 2, FALSE), "")</f>
        <v>Primary</v>
      </c>
      <c r="H2675">
        <v>0</v>
      </c>
      <c r="I2675">
        <v>0</v>
      </c>
      <c r="J2675" t="str">
        <f t="shared" si="246"/>
        <v>Non-Smoker</v>
      </c>
      <c r="K2675">
        <v>0</v>
      </c>
      <c r="L2675">
        <v>0</v>
      </c>
      <c r="M2675">
        <v>1</v>
      </c>
      <c r="N2675">
        <v>0</v>
      </c>
      <c r="O2675">
        <v>240</v>
      </c>
      <c r="P2675" t="str">
        <f t="shared" si="247"/>
        <v>Normal</v>
      </c>
      <c r="Q2675">
        <v>174.5</v>
      </c>
      <c r="R2675">
        <v>103</v>
      </c>
      <c r="S2675">
        <v>29.82</v>
      </c>
      <c r="T2675" t="str">
        <f t="shared" si="248"/>
        <v>Overweight</v>
      </c>
      <c r="U2675">
        <v>81</v>
      </c>
      <c r="V2675">
        <v>74</v>
      </c>
      <c r="W2675" t="str">
        <f t="shared" si="251"/>
        <v>Normal</v>
      </c>
      <c r="X2675">
        <v>1</v>
      </c>
    </row>
    <row r="2676" spans="1:24" ht="14.5" thickBot="1" x14ac:dyDescent="0.35">
      <c r="A2676">
        <v>0</v>
      </c>
      <c r="B2676" t="str">
        <f t="shared" si="249"/>
        <v>Female</v>
      </c>
      <c r="C2676" s="8">
        <v>53</v>
      </c>
      <c r="D2676" t="str">
        <f t="shared" si="250"/>
        <v>Middle Age</v>
      </c>
      <c r="E2676">
        <v>3</v>
      </c>
      <c r="F2676" t="str">
        <f>HLOOKUP(E2676, LookUP_Table!$A$6:$D$7, 2, FALSE)</f>
        <v>Graduate</v>
      </c>
      <c r="G2676" t="str">
        <f>IFERROR(VLOOKUP(E2676, LookUP_Table!$A$1:$B$4, 2, FALSE), "")</f>
        <v>Graduate</v>
      </c>
      <c r="H2676">
        <v>0</v>
      </c>
      <c r="I2676">
        <v>0</v>
      </c>
      <c r="J2676" t="str">
        <f t="shared" si="246"/>
        <v>Non-Smoker</v>
      </c>
      <c r="K2676">
        <v>0</v>
      </c>
      <c r="L2676">
        <v>0</v>
      </c>
      <c r="M2676">
        <v>1</v>
      </c>
      <c r="N2676">
        <v>0</v>
      </c>
      <c r="O2676">
        <v>156</v>
      </c>
      <c r="P2676" t="str">
        <f t="shared" si="247"/>
        <v>Normal</v>
      </c>
      <c r="Q2676">
        <v>141.5</v>
      </c>
      <c r="R2676">
        <v>95</v>
      </c>
      <c r="S2676">
        <v>39.6</v>
      </c>
      <c r="T2676" t="str">
        <f t="shared" si="248"/>
        <v>Obese</v>
      </c>
      <c r="U2676">
        <v>80</v>
      </c>
      <c r="V2676">
        <v>81.96365524402907</v>
      </c>
      <c r="W2676" t="str">
        <f t="shared" si="251"/>
        <v>Normal</v>
      </c>
      <c r="X2676">
        <v>0</v>
      </c>
    </row>
    <row r="2677" spans="1:24" ht="14.5" thickBot="1" x14ac:dyDescent="0.35">
      <c r="A2677">
        <v>0</v>
      </c>
      <c r="B2677" t="str">
        <f t="shared" si="249"/>
        <v>Female</v>
      </c>
      <c r="C2677" s="8">
        <v>53</v>
      </c>
      <c r="D2677" t="str">
        <f t="shared" si="250"/>
        <v>Middle Age</v>
      </c>
      <c r="E2677">
        <v>3</v>
      </c>
      <c r="F2677" t="str">
        <f>HLOOKUP(E2677, LookUP_Table!$A$6:$D$7, 2, FALSE)</f>
        <v>Graduate</v>
      </c>
      <c r="G2677" t="str">
        <f>IFERROR(VLOOKUP(E2677, LookUP_Table!$A$1:$B$4, 2, FALSE), "")</f>
        <v>Graduate</v>
      </c>
      <c r="H2677">
        <v>0</v>
      </c>
      <c r="I2677">
        <v>0</v>
      </c>
      <c r="J2677" t="str">
        <f t="shared" si="246"/>
        <v>Non-Smoker</v>
      </c>
      <c r="K2677">
        <v>0</v>
      </c>
      <c r="L2677">
        <v>0</v>
      </c>
      <c r="M2677">
        <v>0</v>
      </c>
      <c r="N2677">
        <v>0</v>
      </c>
      <c r="O2677">
        <v>245</v>
      </c>
      <c r="P2677" t="str">
        <f t="shared" si="247"/>
        <v>High</v>
      </c>
      <c r="Q2677">
        <v>103</v>
      </c>
      <c r="R2677">
        <v>68</v>
      </c>
      <c r="S2677">
        <v>21.8</v>
      </c>
      <c r="T2677" t="str">
        <f t="shared" si="248"/>
        <v>Normal</v>
      </c>
      <c r="U2677">
        <v>60</v>
      </c>
      <c r="V2677">
        <v>63</v>
      </c>
      <c r="W2677" t="str">
        <f t="shared" si="251"/>
        <v>Normal</v>
      </c>
      <c r="X2677">
        <v>0</v>
      </c>
    </row>
    <row r="2678" spans="1:24" ht="14.5" thickBot="1" x14ac:dyDescent="0.35">
      <c r="A2678">
        <v>0</v>
      </c>
      <c r="B2678" t="str">
        <f t="shared" si="249"/>
        <v>Female</v>
      </c>
      <c r="C2678" s="8">
        <v>53</v>
      </c>
      <c r="D2678" t="str">
        <f t="shared" si="250"/>
        <v>Middle Age</v>
      </c>
      <c r="E2678">
        <v>1</v>
      </c>
      <c r="F2678" t="str">
        <f>HLOOKUP(E2678, LookUP_Table!$A$6:$D$7, 2, FALSE)</f>
        <v>Primary</v>
      </c>
      <c r="G2678" t="str">
        <f>IFERROR(VLOOKUP(E2678, LookUP_Table!$A$1:$B$4, 2, FALSE), "")</f>
        <v>Primary</v>
      </c>
      <c r="H2678">
        <v>1</v>
      </c>
      <c r="I2678">
        <v>9</v>
      </c>
      <c r="J2678" t="str">
        <f t="shared" si="246"/>
        <v>Smoker</v>
      </c>
      <c r="K2678">
        <v>0</v>
      </c>
      <c r="L2678">
        <v>0</v>
      </c>
      <c r="M2678">
        <v>0</v>
      </c>
      <c r="N2678">
        <v>0</v>
      </c>
      <c r="O2678">
        <v>278</v>
      </c>
      <c r="P2678" t="str">
        <f t="shared" si="247"/>
        <v>High</v>
      </c>
      <c r="Q2678">
        <v>131</v>
      </c>
      <c r="R2678">
        <v>87</v>
      </c>
      <c r="S2678">
        <v>33.380000000000003</v>
      </c>
      <c r="T2678" t="str">
        <f t="shared" si="248"/>
        <v>Obese</v>
      </c>
      <c r="U2678">
        <v>63</v>
      </c>
      <c r="V2678">
        <v>74</v>
      </c>
      <c r="W2678" t="str">
        <f t="shared" si="251"/>
        <v>Normal</v>
      </c>
      <c r="X2678">
        <v>1</v>
      </c>
    </row>
    <row r="2679" spans="1:24" ht="14.5" thickBot="1" x14ac:dyDescent="0.35">
      <c r="A2679">
        <v>1</v>
      </c>
      <c r="B2679" t="str">
        <f t="shared" si="249"/>
        <v>Male</v>
      </c>
      <c r="C2679" s="8">
        <v>53</v>
      </c>
      <c r="D2679" t="str">
        <f t="shared" si="250"/>
        <v>Middle Age</v>
      </c>
      <c r="E2679">
        <v>2</v>
      </c>
      <c r="F2679" t="str">
        <f>HLOOKUP(E2679, LookUP_Table!$A$6:$D$7, 2, FALSE)</f>
        <v>Secondary</v>
      </c>
      <c r="G2679" t="str">
        <f>IFERROR(VLOOKUP(E2679, LookUP_Table!$A$1:$B$4, 2, FALSE), "")</f>
        <v>Secondary</v>
      </c>
      <c r="H2679">
        <v>0</v>
      </c>
      <c r="I2679">
        <v>0</v>
      </c>
      <c r="J2679" t="str">
        <f t="shared" si="246"/>
        <v>Non-Smoker</v>
      </c>
      <c r="K2679">
        <v>0</v>
      </c>
      <c r="L2679">
        <v>0</v>
      </c>
      <c r="M2679">
        <v>1</v>
      </c>
      <c r="N2679">
        <v>0</v>
      </c>
      <c r="O2679">
        <v>254</v>
      </c>
      <c r="P2679" t="str">
        <f t="shared" si="247"/>
        <v>High</v>
      </c>
      <c r="Q2679">
        <v>160</v>
      </c>
      <c r="R2679">
        <v>92</v>
      </c>
      <c r="S2679">
        <v>25.61</v>
      </c>
      <c r="T2679" t="str">
        <f t="shared" si="248"/>
        <v>Overweight</v>
      </c>
      <c r="U2679">
        <v>60</v>
      </c>
      <c r="V2679">
        <v>80</v>
      </c>
      <c r="W2679" t="str">
        <f t="shared" si="251"/>
        <v>Normal</v>
      </c>
      <c r="X2679">
        <v>0</v>
      </c>
    </row>
    <row r="2680" spans="1:24" ht="14.5" thickBot="1" x14ac:dyDescent="0.35">
      <c r="A2680">
        <v>0</v>
      </c>
      <c r="B2680" t="str">
        <f t="shared" si="249"/>
        <v>Female</v>
      </c>
      <c r="C2680" s="8">
        <v>53</v>
      </c>
      <c r="D2680" t="str">
        <f t="shared" si="250"/>
        <v>Middle Age</v>
      </c>
      <c r="E2680">
        <v>1</v>
      </c>
      <c r="F2680" t="str">
        <f>HLOOKUP(E2680, LookUP_Table!$A$6:$D$7, 2, FALSE)</f>
        <v>Primary</v>
      </c>
      <c r="G2680" t="str">
        <f>IFERROR(VLOOKUP(E2680, LookUP_Table!$A$1:$B$4, 2, FALSE), "")</f>
        <v>Primary</v>
      </c>
      <c r="H2680">
        <v>1</v>
      </c>
      <c r="I2680">
        <v>20</v>
      </c>
      <c r="J2680" t="str">
        <f t="shared" si="246"/>
        <v>Smoker</v>
      </c>
      <c r="K2680">
        <v>0</v>
      </c>
      <c r="L2680">
        <v>0</v>
      </c>
      <c r="M2680">
        <v>0</v>
      </c>
      <c r="N2680">
        <v>0</v>
      </c>
      <c r="O2680">
        <v>242</v>
      </c>
      <c r="P2680" t="str">
        <f t="shared" si="247"/>
        <v>High</v>
      </c>
      <c r="Q2680">
        <v>127</v>
      </c>
      <c r="R2680">
        <v>79</v>
      </c>
      <c r="S2680">
        <v>19.64</v>
      </c>
      <c r="T2680" t="str">
        <f t="shared" si="248"/>
        <v>Normal</v>
      </c>
      <c r="U2680">
        <v>70</v>
      </c>
      <c r="V2680">
        <v>74</v>
      </c>
      <c r="W2680" t="str">
        <f t="shared" si="251"/>
        <v>Normal</v>
      </c>
      <c r="X2680">
        <v>0</v>
      </c>
    </row>
    <row r="2681" spans="1:24" ht="14.5" thickBot="1" x14ac:dyDescent="0.35">
      <c r="A2681">
        <v>1</v>
      </c>
      <c r="B2681" t="str">
        <f t="shared" si="249"/>
        <v>Male</v>
      </c>
      <c r="C2681" s="8">
        <v>53</v>
      </c>
      <c r="D2681" t="str">
        <f t="shared" si="250"/>
        <v>Middle Age</v>
      </c>
      <c r="E2681">
        <v>4</v>
      </c>
      <c r="F2681" t="str">
        <f>HLOOKUP(E2681, LookUP_Table!$A$6:$D$7, 2, FALSE)</f>
        <v>Post Graduate</v>
      </c>
      <c r="G2681" t="str">
        <f>IFERROR(VLOOKUP(E2681, LookUP_Table!$A$1:$B$4, 2, FALSE), "")</f>
        <v>Post Graduate</v>
      </c>
      <c r="H2681">
        <v>0</v>
      </c>
      <c r="I2681">
        <v>0</v>
      </c>
      <c r="J2681" t="str">
        <f t="shared" si="246"/>
        <v>Non-Smoker</v>
      </c>
      <c r="K2681">
        <v>0</v>
      </c>
      <c r="L2681">
        <v>0</v>
      </c>
      <c r="M2681">
        <v>0</v>
      </c>
      <c r="N2681">
        <v>0</v>
      </c>
      <c r="O2681">
        <v>292</v>
      </c>
      <c r="P2681" t="str">
        <f t="shared" si="247"/>
        <v>High</v>
      </c>
      <c r="Q2681">
        <v>112.5</v>
      </c>
      <c r="R2681">
        <v>82.5</v>
      </c>
      <c r="S2681">
        <v>25.04</v>
      </c>
      <c r="T2681" t="str">
        <f t="shared" si="248"/>
        <v>Overweight</v>
      </c>
      <c r="U2681">
        <v>67</v>
      </c>
      <c r="V2681">
        <v>82</v>
      </c>
      <c r="W2681" t="str">
        <f t="shared" si="251"/>
        <v>Normal</v>
      </c>
      <c r="X2681">
        <v>0</v>
      </c>
    </row>
    <row r="2682" spans="1:24" ht="14.5" thickBot="1" x14ac:dyDescent="0.35">
      <c r="A2682">
        <v>0</v>
      </c>
      <c r="B2682" t="str">
        <f t="shared" si="249"/>
        <v>Female</v>
      </c>
      <c r="C2682" s="8">
        <v>53</v>
      </c>
      <c r="D2682" t="str">
        <f t="shared" si="250"/>
        <v>Middle Age</v>
      </c>
      <c r="E2682">
        <v>4</v>
      </c>
      <c r="F2682" t="str">
        <f>HLOOKUP(E2682, LookUP_Table!$A$6:$D$7, 2, FALSE)</f>
        <v>Post Graduate</v>
      </c>
      <c r="G2682" t="str">
        <f>IFERROR(VLOOKUP(E2682, LookUP_Table!$A$1:$B$4, 2, FALSE), "")</f>
        <v>Post Graduate</v>
      </c>
      <c r="H2682">
        <v>0</v>
      </c>
      <c r="I2682">
        <v>0</v>
      </c>
      <c r="J2682" t="str">
        <f t="shared" si="246"/>
        <v>Non-Smoker</v>
      </c>
      <c r="K2682">
        <v>0</v>
      </c>
      <c r="L2682">
        <v>0</v>
      </c>
      <c r="M2682">
        <v>0</v>
      </c>
      <c r="N2682">
        <v>0</v>
      </c>
      <c r="O2682">
        <v>240</v>
      </c>
      <c r="P2682" t="str">
        <f t="shared" si="247"/>
        <v>Normal</v>
      </c>
      <c r="Q2682">
        <v>133.5</v>
      </c>
      <c r="R2682">
        <v>82.5</v>
      </c>
      <c r="S2682">
        <v>40.58</v>
      </c>
      <c r="T2682" t="str">
        <f t="shared" si="248"/>
        <v>Obese</v>
      </c>
      <c r="U2682">
        <v>70</v>
      </c>
      <c r="V2682">
        <v>81.96365524402907</v>
      </c>
      <c r="W2682" t="str">
        <f t="shared" si="251"/>
        <v>Normal</v>
      </c>
      <c r="X2682">
        <v>0</v>
      </c>
    </row>
    <row r="2683" spans="1:24" ht="14.5" thickBot="1" x14ac:dyDescent="0.35">
      <c r="A2683">
        <v>0</v>
      </c>
      <c r="B2683" t="str">
        <f t="shared" si="249"/>
        <v>Female</v>
      </c>
      <c r="C2683" s="8">
        <v>53</v>
      </c>
      <c r="D2683" t="str">
        <f t="shared" si="250"/>
        <v>Middle Age</v>
      </c>
      <c r="E2683">
        <v>1</v>
      </c>
      <c r="F2683" t="str">
        <f>HLOOKUP(E2683, LookUP_Table!$A$6:$D$7, 2, FALSE)</f>
        <v>Primary</v>
      </c>
      <c r="G2683" t="str">
        <f>IFERROR(VLOOKUP(E2683, LookUP_Table!$A$1:$B$4, 2, FALSE), "")</f>
        <v>Primary</v>
      </c>
      <c r="H2683">
        <v>0</v>
      </c>
      <c r="I2683">
        <v>0</v>
      </c>
      <c r="J2683" t="str">
        <f t="shared" si="246"/>
        <v>Non-Smoker</v>
      </c>
      <c r="K2683">
        <v>0</v>
      </c>
      <c r="L2683">
        <v>0</v>
      </c>
      <c r="M2683">
        <v>1</v>
      </c>
      <c r="N2683">
        <v>1</v>
      </c>
      <c r="O2683">
        <v>248</v>
      </c>
      <c r="P2683" t="str">
        <f t="shared" si="247"/>
        <v>High</v>
      </c>
      <c r="Q2683">
        <v>200</v>
      </c>
      <c r="R2683">
        <v>140</v>
      </c>
      <c r="S2683">
        <v>43.3</v>
      </c>
      <c r="T2683" t="str">
        <f t="shared" si="248"/>
        <v>Obese</v>
      </c>
      <c r="U2683">
        <v>107</v>
      </c>
      <c r="V2683">
        <v>130</v>
      </c>
      <c r="W2683" t="str">
        <f t="shared" si="251"/>
        <v>Diabetes</v>
      </c>
      <c r="X2683">
        <v>1</v>
      </c>
    </row>
    <row r="2684" spans="1:24" ht="14.5" thickBot="1" x14ac:dyDescent="0.35">
      <c r="A2684">
        <v>0</v>
      </c>
      <c r="B2684" t="str">
        <f t="shared" si="249"/>
        <v>Female</v>
      </c>
      <c r="C2684" s="8">
        <v>53</v>
      </c>
      <c r="D2684" t="str">
        <f t="shared" si="250"/>
        <v>Middle Age</v>
      </c>
      <c r="E2684">
        <v>2</v>
      </c>
      <c r="F2684" t="str">
        <f>HLOOKUP(E2684, LookUP_Table!$A$6:$D$7, 2, FALSE)</f>
        <v>Secondary</v>
      </c>
      <c r="G2684" t="str">
        <f>IFERROR(VLOOKUP(E2684, LookUP_Table!$A$1:$B$4, 2, FALSE), "")</f>
        <v>Secondary</v>
      </c>
      <c r="H2684">
        <v>1</v>
      </c>
      <c r="I2684">
        <v>10</v>
      </c>
      <c r="J2684" t="str">
        <f t="shared" si="246"/>
        <v>Smoker</v>
      </c>
      <c r="K2684">
        <v>0</v>
      </c>
      <c r="L2684">
        <v>0</v>
      </c>
      <c r="M2684">
        <v>1</v>
      </c>
      <c r="N2684">
        <v>0</v>
      </c>
      <c r="O2684">
        <v>261</v>
      </c>
      <c r="P2684" t="str">
        <f t="shared" si="247"/>
        <v>High</v>
      </c>
      <c r="Q2684">
        <v>136</v>
      </c>
      <c r="R2684">
        <v>99</v>
      </c>
      <c r="S2684">
        <v>21.02</v>
      </c>
      <c r="T2684" t="str">
        <f t="shared" si="248"/>
        <v>Normal</v>
      </c>
      <c r="U2684">
        <v>85</v>
      </c>
      <c r="V2684">
        <v>94</v>
      </c>
      <c r="W2684" t="str">
        <f t="shared" si="251"/>
        <v>Normal</v>
      </c>
      <c r="X2684">
        <v>0</v>
      </c>
    </row>
    <row r="2685" spans="1:24" ht="14.5" thickBot="1" x14ac:dyDescent="0.35">
      <c r="A2685">
        <v>1</v>
      </c>
      <c r="B2685" t="str">
        <f t="shared" si="249"/>
        <v>Male</v>
      </c>
      <c r="C2685" s="8">
        <v>53</v>
      </c>
      <c r="D2685" t="str">
        <f t="shared" si="250"/>
        <v>Middle Age</v>
      </c>
      <c r="E2685">
        <v>4</v>
      </c>
      <c r="F2685" t="str">
        <f>HLOOKUP(E2685, LookUP_Table!$A$6:$D$7, 2, FALSE)</f>
        <v>Post Graduate</v>
      </c>
      <c r="G2685" t="str">
        <f>IFERROR(VLOOKUP(E2685, LookUP_Table!$A$1:$B$4, 2, FALSE), "")</f>
        <v>Post Graduate</v>
      </c>
      <c r="H2685">
        <v>1</v>
      </c>
      <c r="I2685">
        <v>5</v>
      </c>
      <c r="J2685" t="str">
        <f t="shared" si="246"/>
        <v>Smoker</v>
      </c>
      <c r="K2685">
        <v>0</v>
      </c>
      <c r="L2685">
        <v>0</v>
      </c>
      <c r="M2685">
        <v>1</v>
      </c>
      <c r="N2685">
        <v>0</v>
      </c>
      <c r="O2685">
        <v>232</v>
      </c>
      <c r="P2685" t="str">
        <f t="shared" si="247"/>
        <v>Normal</v>
      </c>
      <c r="Q2685">
        <v>134</v>
      </c>
      <c r="R2685">
        <v>91</v>
      </c>
      <c r="S2685">
        <v>25.13</v>
      </c>
      <c r="T2685" t="str">
        <f t="shared" si="248"/>
        <v>Overweight</v>
      </c>
      <c r="U2685">
        <v>54</v>
      </c>
      <c r="V2685">
        <v>75</v>
      </c>
      <c r="W2685" t="str">
        <f t="shared" si="251"/>
        <v>Normal</v>
      </c>
      <c r="X2685">
        <v>0</v>
      </c>
    </row>
    <row r="2686" spans="1:24" ht="14.5" thickBot="1" x14ac:dyDescent="0.35">
      <c r="A2686">
        <v>1</v>
      </c>
      <c r="B2686" t="str">
        <f t="shared" si="249"/>
        <v>Male</v>
      </c>
      <c r="C2686" s="8">
        <v>53</v>
      </c>
      <c r="D2686" t="str">
        <f t="shared" si="250"/>
        <v>Middle Age</v>
      </c>
      <c r="E2686">
        <v>1</v>
      </c>
      <c r="F2686" t="str">
        <f>HLOOKUP(E2686, LookUP_Table!$A$6:$D$7, 2, FALSE)</f>
        <v>Primary</v>
      </c>
      <c r="G2686" t="str">
        <f>IFERROR(VLOOKUP(E2686, LookUP_Table!$A$1:$B$4, 2, FALSE), "")</f>
        <v>Primary</v>
      </c>
      <c r="H2686">
        <v>0</v>
      </c>
      <c r="I2686">
        <v>0</v>
      </c>
      <c r="J2686" t="str">
        <f t="shared" si="246"/>
        <v>Non-Smoker</v>
      </c>
      <c r="K2686">
        <v>0</v>
      </c>
      <c r="L2686">
        <v>0</v>
      </c>
      <c r="M2686">
        <v>0</v>
      </c>
      <c r="N2686">
        <v>0</v>
      </c>
      <c r="O2686">
        <v>220</v>
      </c>
      <c r="P2686" t="str">
        <f t="shared" si="247"/>
        <v>Normal</v>
      </c>
      <c r="Q2686">
        <v>127</v>
      </c>
      <c r="R2686">
        <v>76</v>
      </c>
      <c r="S2686">
        <v>24.27</v>
      </c>
      <c r="T2686" t="str">
        <f t="shared" si="248"/>
        <v>Normal</v>
      </c>
      <c r="U2686">
        <v>75</v>
      </c>
      <c r="V2686">
        <v>74</v>
      </c>
      <c r="W2686" t="str">
        <f t="shared" si="251"/>
        <v>Normal</v>
      </c>
      <c r="X2686">
        <v>0</v>
      </c>
    </row>
    <row r="2687" spans="1:24" ht="14.5" thickBot="1" x14ac:dyDescent="0.35">
      <c r="A2687">
        <v>0</v>
      </c>
      <c r="B2687" t="str">
        <f t="shared" si="249"/>
        <v>Female</v>
      </c>
      <c r="C2687" s="8">
        <v>53</v>
      </c>
      <c r="D2687" t="str">
        <f t="shared" si="250"/>
        <v>Middle Age</v>
      </c>
      <c r="E2687">
        <v>2</v>
      </c>
      <c r="F2687" t="str">
        <f>HLOOKUP(E2687, LookUP_Table!$A$6:$D$7, 2, FALSE)</f>
        <v>Secondary</v>
      </c>
      <c r="G2687" t="str">
        <f>IFERROR(VLOOKUP(E2687, LookUP_Table!$A$1:$B$4, 2, FALSE), "")</f>
        <v>Secondary</v>
      </c>
      <c r="H2687">
        <v>0</v>
      </c>
      <c r="I2687">
        <v>0</v>
      </c>
      <c r="J2687" t="str">
        <f t="shared" si="246"/>
        <v>Non-Smoker</v>
      </c>
      <c r="K2687">
        <v>0</v>
      </c>
      <c r="L2687">
        <v>0</v>
      </c>
      <c r="M2687">
        <v>0</v>
      </c>
      <c r="N2687">
        <v>0</v>
      </c>
      <c r="O2687">
        <v>303</v>
      </c>
      <c r="P2687" t="str">
        <f t="shared" si="247"/>
        <v>High</v>
      </c>
      <c r="Q2687">
        <v>117</v>
      </c>
      <c r="R2687">
        <v>71</v>
      </c>
      <c r="S2687">
        <v>22.01</v>
      </c>
      <c r="T2687" t="str">
        <f t="shared" si="248"/>
        <v>Normal</v>
      </c>
      <c r="U2687">
        <v>108</v>
      </c>
      <c r="V2687">
        <v>85</v>
      </c>
      <c r="W2687" t="str">
        <f t="shared" si="251"/>
        <v>Normal</v>
      </c>
      <c r="X2687">
        <v>0</v>
      </c>
    </row>
    <row r="2688" spans="1:24" ht="14.5" thickBot="1" x14ac:dyDescent="0.35">
      <c r="A2688">
        <v>0</v>
      </c>
      <c r="B2688" t="str">
        <f t="shared" si="249"/>
        <v>Female</v>
      </c>
      <c r="C2688" s="8">
        <v>53</v>
      </c>
      <c r="D2688" t="str">
        <f t="shared" si="250"/>
        <v>Middle Age</v>
      </c>
      <c r="E2688">
        <v>1</v>
      </c>
      <c r="F2688" t="str">
        <f>HLOOKUP(E2688, LookUP_Table!$A$6:$D$7, 2, FALSE)</f>
        <v>Primary</v>
      </c>
      <c r="G2688" t="str">
        <f>IFERROR(VLOOKUP(E2688, LookUP_Table!$A$1:$B$4, 2, FALSE), "")</f>
        <v>Primary</v>
      </c>
      <c r="H2688">
        <v>1</v>
      </c>
      <c r="I2688">
        <v>5</v>
      </c>
      <c r="J2688" t="str">
        <f t="shared" si="246"/>
        <v>Smoker</v>
      </c>
      <c r="K2688">
        <v>0</v>
      </c>
      <c r="L2688">
        <v>0</v>
      </c>
      <c r="M2688">
        <v>0</v>
      </c>
      <c r="N2688">
        <v>0</v>
      </c>
      <c r="O2688">
        <v>247</v>
      </c>
      <c r="P2688" t="str">
        <f t="shared" si="247"/>
        <v>High</v>
      </c>
      <c r="Q2688">
        <v>139</v>
      </c>
      <c r="R2688">
        <v>88</v>
      </c>
      <c r="S2688">
        <v>23.71</v>
      </c>
      <c r="T2688" t="str">
        <f t="shared" si="248"/>
        <v>Normal</v>
      </c>
      <c r="U2688">
        <v>60</v>
      </c>
      <c r="V2688">
        <v>53</v>
      </c>
      <c r="W2688" t="str">
        <f t="shared" si="251"/>
        <v>Normal</v>
      </c>
      <c r="X2688">
        <v>1</v>
      </c>
    </row>
    <row r="2689" spans="1:24" ht="14.5" thickBot="1" x14ac:dyDescent="0.35">
      <c r="A2689">
        <v>0</v>
      </c>
      <c r="B2689" t="str">
        <f t="shared" si="249"/>
        <v>Female</v>
      </c>
      <c r="C2689" s="8">
        <v>53</v>
      </c>
      <c r="D2689" t="str">
        <f t="shared" si="250"/>
        <v>Middle Age</v>
      </c>
      <c r="E2689">
        <v>2</v>
      </c>
      <c r="F2689" t="str">
        <f>HLOOKUP(E2689, LookUP_Table!$A$6:$D$7, 2, FALSE)</f>
        <v>Secondary</v>
      </c>
      <c r="G2689" t="str">
        <f>IFERROR(VLOOKUP(E2689, LookUP_Table!$A$1:$B$4, 2, FALSE), "")</f>
        <v>Secondary</v>
      </c>
      <c r="H2689">
        <v>0</v>
      </c>
      <c r="I2689">
        <v>0</v>
      </c>
      <c r="J2689" t="str">
        <f t="shared" si="246"/>
        <v>Non-Smoker</v>
      </c>
      <c r="K2689">
        <v>0</v>
      </c>
      <c r="L2689">
        <v>0</v>
      </c>
      <c r="M2689">
        <v>1</v>
      </c>
      <c r="N2689">
        <v>0</v>
      </c>
      <c r="O2689">
        <v>219</v>
      </c>
      <c r="P2689" t="str">
        <f t="shared" si="247"/>
        <v>Normal</v>
      </c>
      <c r="Q2689">
        <v>184</v>
      </c>
      <c r="R2689">
        <v>109</v>
      </c>
      <c r="S2689">
        <v>22.73</v>
      </c>
      <c r="T2689" t="str">
        <f t="shared" si="248"/>
        <v>Normal</v>
      </c>
      <c r="U2689">
        <v>80</v>
      </c>
      <c r="V2689">
        <v>73</v>
      </c>
      <c r="W2689" t="str">
        <f t="shared" si="251"/>
        <v>Normal</v>
      </c>
      <c r="X2689">
        <v>1</v>
      </c>
    </row>
    <row r="2690" spans="1:24" ht="14.5" thickBot="1" x14ac:dyDescent="0.35">
      <c r="A2690">
        <v>0</v>
      </c>
      <c r="B2690" t="str">
        <f t="shared" si="249"/>
        <v>Female</v>
      </c>
      <c r="C2690" s="8">
        <v>53</v>
      </c>
      <c r="D2690" t="str">
        <f t="shared" si="250"/>
        <v>Middle Age</v>
      </c>
      <c r="E2690">
        <v>2</v>
      </c>
      <c r="F2690" t="str">
        <f>HLOOKUP(E2690, LookUP_Table!$A$6:$D$7, 2, FALSE)</f>
        <v>Secondary</v>
      </c>
      <c r="G2690" t="str">
        <f>IFERROR(VLOOKUP(E2690, LookUP_Table!$A$1:$B$4, 2, FALSE), "")</f>
        <v>Secondary</v>
      </c>
      <c r="H2690">
        <v>0</v>
      </c>
      <c r="I2690">
        <v>0</v>
      </c>
      <c r="J2690" t="str">
        <f t="shared" ref="J2690:J2753" si="252">IF(I2690&gt;0,"Smoker","Non-Smoker")</f>
        <v>Non-Smoker</v>
      </c>
      <c r="K2690">
        <v>0</v>
      </c>
      <c r="L2690">
        <v>0</v>
      </c>
      <c r="M2690">
        <v>1</v>
      </c>
      <c r="N2690">
        <v>0</v>
      </c>
      <c r="O2690">
        <v>284</v>
      </c>
      <c r="P2690" t="str">
        <f t="shared" ref="P2690:P2753" si="253">IF(O2690&gt;240,"High","Normal")</f>
        <v>High</v>
      </c>
      <c r="Q2690">
        <v>167.5</v>
      </c>
      <c r="R2690">
        <v>102.5</v>
      </c>
      <c r="S2690">
        <v>31.5</v>
      </c>
      <c r="T2690" t="str">
        <f t="shared" ref="T2690:T2753" si="254">IF(S2690&lt;18.5,"Underweight",
IF(S2690&lt;25,"Normal",
IF(S2690&lt;30,"Overweight","Obese")))</f>
        <v>Obese</v>
      </c>
      <c r="U2690">
        <v>88</v>
      </c>
      <c r="V2690">
        <v>87</v>
      </c>
      <c r="W2690" t="str">
        <f t="shared" si="251"/>
        <v>Normal</v>
      </c>
      <c r="X2690">
        <v>0</v>
      </c>
    </row>
    <row r="2691" spans="1:24" ht="14.5" thickBot="1" x14ac:dyDescent="0.35">
      <c r="A2691">
        <v>0</v>
      </c>
      <c r="B2691" t="str">
        <f t="shared" ref="B2691:B2754" si="255">IF(A2691=0,"Female","Male")</f>
        <v>Female</v>
      </c>
      <c r="C2691" s="8">
        <v>53</v>
      </c>
      <c r="D2691" t="str">
        <f t="shared" ref="D2691:D2754" si="256">IF(C2691&lt;40,"Young",
IF(C2691&lt;55,"Middle Age","Senior"))</f>
        <v>Middle Age</v>
      </c>
      <c r="E2691">
        <v>3</v>
      </c>
      <c r="F2691" t="str">
        <f>HLOOKUP(E2691, LookUP_Table!$A$6:$D$7, 2, FALSE)</f>
        <v>Graduate</v>
      </c>
      <c r="G2691" t="str">
        <f>IFERROR(VLOOKUP(E2691, LookUP_Table!$A$1:$B$4, 2, FALSE), "")</f>
        <v>Graduate</v>
      </c>
      <c r="H2691">
        <v>0</v>
      </c>
      <c r="I2691">
        <v>0</v>
      </c>
      <c r="J2691" t="str">
        <f t="shared" si="252"/>
        <v>Non-Smoker</v>
      </c>
      <c r="K2691">
        <v>0</v>
      </c>
      <c r="L2691">
        <v>0</v>
      </c>
      <c r="M2691">
        <v>1</v>
      </c>
      <c r="N2691">
        <v>0</v>
      </c>
      <c r="O2691">
        <v>285</v>
      </c>
      <c r="P2691" t="str">
        <f t="shared" si="253"/>
        <v>High</v>
      </c>
      <c r="Q2691">
        <v>160</v>
      </c>
      <c r="R2691">
        <v>97</v>
      </c>
      <c r="S2691">
        <v>31.31</v>
      </c>
      <c r="T2691" t="str">
        <f t="shared" si="254"/>
        <v>Obese</v>
      </c>
      <c r="U2691">
        <v>75</v>
      </c>
      <c r="V2691">
        <v>65</v>
      </c>
      <c r="W2691" t="str">
        <f t="shared" ref="W2691:W2754" si="257">IF(V2691 &lt; 100, "Normal", IF(V2691 &lt;= 125, "Prediabetes", "Diabetes"))</f>
        <v>Normal</v>
      </c>
      <c r="X2691">
        <v>0</v>
      </c>
    </row>
    <row r="2692" spans="1:24" ht="14.5" thickBot="1" x14ac:dyDescent="0.35">
      <c r="A2692">
        <v>0</v>
      </c>
      <c r="B2692" t="str">
        <f t="shared" si="255"/>
        <v>Female</v>
      </c>
      <c r="C2692" s="8">
        <v>53</v>
      </c>
      <c r="D2692" t="str">
        <f t="shared" si="256"/>
        <v>Middle Age</v>
      </c>
      <c r="E2692">
        <v>2</v>
      </c>
      <c r="F2692" t="str">
        <f>HLOOKUP(E2692, LookUP_Table!$A$6:$D$7, 2, FALSE)</f>
        <v>Secondary</v>
      </c>
      <c r="G2692" t="str">
        <f>IFERROR(VLOOKUP(E2692, LookUP_Table!$A$1:$B$4, 2, FALSE), "")</f>
        <v>Secondary</v>
      </c>
      <c r="H2692">
        <v>1</v>
      </c>
      <c r="I2692">
        <v>10</v>
      </c>
      <c r="J2692" t="str">
        <f t="shared" si="252"/>
        <v>Smoker</v>
      </c>
      <c r="K2692">
        <v>0</v>
      </c>
      <c r="L2692">
        <v>0</v>
      </c>
      <c r="M2692">
        <v>0</v>
      </c>
      <c r="N2692">
        <v>0</v>
      </c>
      <c r="O2692">
        <v>300</v>
      </c>
      <c r="P2692" t="str">
        <f t="shared" si="253"/>
        <v>High</v>
      </c>
      <c r="Q2692">
        <v>127</v>
      </c>
      <c r="R2692">
        <v>89</v>
      </c>
      <c r="S2692">
        <v>25.46</v>
      </c>
      <c r="T2692" t="str">
        <f t="shared" si="254"/>
        <v>Overweight</v>
      </c>
      <c r="U2692">
        <v>75</v>
      </c>
      <c r="V2692">
        <v>70</v>
      </c>
      <c r="W2692" t="str">
        <f t="shared" si="257"/>
        <v>Normal</v>
      </c>
      <c r="X2692">
        <v>1</v>
      </c>
    </row>
    <row r="2693" spans="1:24" ht="14.5" thickBot="1" x14ac:dyDescent="0.35">
      <c r="A2693">
        <v>1</v>
      </c>
      <c r="B2693" t="str">
        <f t="shared" si="255"/>
        <v>Male</v>
      </c>
      <c r="C2693" s="8">
        <v>53</v>
      </c>
      <c r="D2693" t="str">
        <f t="shared" si="256"/>
        <v>Middle Age</v>
      </c>
      <c r="E2693">
        <v>2</v>
      </c>
      <c r="F2693" t="str">
        <f>HLOOKUP(E2693, LookUP_Table!$A$6:$D$7, 2, FALSE)</f>
        <v>Secondary</v>
      </c>
      <c r="G2693" t="str">
        <f>IFERROR(VLOOKUP(E2693, LookUP_Table!$A$1:$B$4, 2, FALSE), "")</f>
        <v>Secondary</v>
      </c>
      <c r="H2693">
        <v>0</v>
      </c>
      <c r="I2693">
        <v>0</v>
      </c>
      <c r="J2693" t="str">
        <f t="shared" si="252"/>
        <v>Non-Smoker</v>
      </c>
      <c r="K2693">
        <v>0</v>
      </c>
      <c r="L2693">
        <v>0</v>
      </c>
      <c r="M2693">
        <v>1</v>
      </c>
      <c r="N2693">
        <v>0</v>
      </c>
      <c r="O2693">
        <v>287</v>
      </c>
      <c r="P2693" t="str">
        <f t="shared" si="253"/>
        <v>High</v>
      </c>
      <c r="Q2693">
        <v>122</v>
      </c>
      <c r="R2693">
        <v>80</v>
      </c>
      <c r="S2693">
        <v>26.26</v>
      </c>
      <c r="T2693" t="str">
        <f t="shared" si="254"/>
        <v>Overweight</v>
      </c>
      <c r="U2693">
        <v>77</v>
      </c>
      <c r="V2693">
        <v>85</v>
      </c>
      <c r="W2693" t="str">
        <f t="shared" si="257"/>
        <v>Normal</v>
      </c>
      <c r="X2693">
        <v>0</v>
      </c>
    </row>
    <row r="2694" spans="1:24" ht="14.5" thickBot="1" x14ac:dyDescent="0.35">
      <c r="A2694">
        <v>1</v>
      </c>
      <c r="B2694" t="str">
        <f t="shared" si="255"/>
        <v>Male</v>
      </c>
      <c r="C2694" s="8">
        <v>53</v>
      </c>
      <c r="D2694" t="str">
        <f t="shared" si="256"/>
        <v>Middle Age</v>
      </c>
      <c r="E2694">
        <v>1</v>
      </c>
      <c r="F2694" t="str">
        <f>HLOOKUP(E2694, LookUP_Table!$A$6:$D$7, 2, FALSE)</f>
        <v>Primary</v>
      </c>
      <c r="G2694" t="str">
        <f>IFERROR(VLOOKUP(E2694, LookUP_Table!$A$1:$B$4, 2, FALSE), "")</f>
        <v>Primary</v>
      </c>
      <c r="H2694">
        <v>1</v>
      </c>
      <c r="I2694">
        <v>20</v>
      </c>
      <c r="J2694" t="str">
        <f t="shared" si="252"/>
        <v>Smoker</v>
      </c>
      <c r="K2694">
        <v>0</v>
      </c>
      <c r="L2694">
        <v>0</v>
      </c>
      <c r="M2694">
        <v>1</v>
      </c>
      <c r="N2694">
        <v>0</v>
      </c>
      <c r="O2694">
        <v>186</v>
      </c>
      <c r="P2694" t="str">
        <f t="shared" si="253"/>
        <v>Normal</v>
      </c>
      <c r="Q2694">
        <v>167</v>
      </c>
      <c r="R2694">
        <v>96.5</v>
      </c>
      <c r="S2694">
        <v>25.09</v>
      </c>
      <c r="T2694" t="str">
        <f t="shared" si="254"/>
        <v>Overweight</v>
      </c>
      <c r="U2694">
        <v>112</v>
      </c>
      <c r="V2694">
        <v>113</v>
      </c>
      <c r="W2694" t="str">
        <f t="shared" si="257"/>
        <v>Prediabetes</v>
      </c>
      <c r="X2694">
        <v>0</v>
      </c>
    </row>
    <row r="2695" spans="1:24" ht="14.5" thickBot="1" x14ac:dyDescent="0.35">
      <c r="A2695">
        <v>1</v>
      </c>
      <c r="B2695" t="str">
        <f t="shared" si="255"/>
        <v>Male</v>
      </c>
      <c r="C2695" s="8">
        <v>53</v>
      </c>
      <c r="D2695" t="str">
        <f t="shared" si="256"/>
        <v>Middle Age</v>
      </c>
      <c r="E2695">
        <v>2</v>
      </c>
      <c r="F2695" t="str">
        <f>HLOOKUP(E2695, LookUP_Table!$A$6:$D$7, 2, FALSE)</f>
        <v>Secondary</v>
      </c>
      <c r="G2695" t="str">
        <f>IFERROR(VLOOKUP(E2695, LookUP_Table!$A$1:$B$4, 2, FALSE), "")</f>
        <v>Secondary</v>
      </c>
      <c r="H2695">
        <v>0</v>
      </c>
      <c r="I2695">
        <v>0</v>
      </c>
      <c r="J2695" t="str">
        <f t="shared" si="252"/>
        <v>Non-Smoker</v>
      </c>
      <c r="K2695">
        <v>0</v>
      </c>
      <c r="L2695">
        <v>0</v>
      </c>
      <c r="M2695">
        <v>0</v>
      </c>
      <c r="N2695">
        <v>0</v>
      </c>
      <c r="O2695">
        <v>213</v>
      </c>
      <c r="P2695" t="str">
        <f t="shared" si="253"/>
        <v>Normal</v>
      </c>
      <c r="Q2695">
        <v>100</v>
      </c>
      <c r="R2695">
        <v>71</v>
      </c>
      <c r="S2695">
        <v>23.85</v>
      </c>
      <c r="T2695" t="str">
        <f t="shared" si="254"/>
        <v>Normal</v>
      </c>
      <c r="U2695">
        <v>77</v>
      </c>
      <c r="V2695">
        <v>75</v>
      </c>
      <c r="W2695" t="str">
        <f t="shared" si="257"/>
        <v>Normal</v>
      </c>
      <c r="X2695">
        <v>0</v>
      </c>
    </row>
    <row r="2696" spans="1:24" ht="14.5" thickBot="1" x14ac:dyDescent="0.35">
      <c r="A2696">
        <v>0</v>
      </c>
      <c r="B2696" t="str">
        <f t="shared" si="255"/>
        <v>Female</v>
      </c>
      <c r="C2696" s="8">
        <v>53</v>
      </c>
      <c r="D2696" t="str">
        <f t="shared" si="256"/>
        <v>Middle Age</v>
      </c>
      <c r="E2696">
        <v>2</v>
      </c>
      <c r="F2696" t="str">
        <f>HLOOKUP(E2696, LookUP_Table!$A$6:$D$7, 2, FALSE)</f>
        <v>Secondary</v>
      </c>
      <c r="G2696" t="str">
        <f>IFERROR(VLOOKUP(E2696, LookUP_Table!$A$1:$B$4, 2, FALSE), "")</f>
        <v>Secondary</v>
      </c>
      <c r="H2696">
        <v>0</v>
      </c>
      <c r="I2696">
        <v>0</v>
      </c>
      <c r="J2696" t="str">
        <f t="shared" si="252"/>
        <v>Non-Smoker</v>
      </c>
      <c r="K2696">
        <v>0</v>
      </c>
      <c r="L2696">
        <v>0</v>
      </c>
      <c r="M2696">
        <v>1</v>
      </c>
      <c r="N2696">
        <v>0</v>
      </c>
      <c r="O2696">
        <v>232</v>
      </c>
      <c r="P2696" t="str">
        <f t="shared" si="253"/>
        <v>Normal</v>
      </c>
      <c r="Q2696">
        <v>147</v>
      </c>
      <c r="R2696">
        <v>71.5</v>
      </c>
      <c r="S2696">
        <v>25.45</v>
      </c>
      <c r="T2696" t="str">
        <f t="shared" si="254"/>
        <v>Overweight</v>
      </c>
      <c r="U2696">
        <v>85</v>
      </c>
      <c r="V2696">
        <v>74</v>
      </c>
      <c r="W2696" t="str">
        <f t="shared" si="257"/>
        <v>Normal</v>
      </c>
      <c r="X2696">
        <v>0</v>
      </c>
    </row>
    <row r="2697" spans="1:24" ht="14.5" thickBot="1" x14ac:dyDescent="0.35">
      <c r="A2697">
        <v>1</v>
      </c>
      <c r="B2697" t="str">
        <f t="shared" si="255"/>
        <v>Male</v>
      </c>
      <c r="C2697" s="8">
        <v>53</v>
      </c>
      <c r="D2697" t="str">
        <f t="shared" si="256"/>
        <v>Middle Age</v>
      </c>
      <c r="E2697">
        <v>2</v>
      </c>
      <c r="F2697" t="str">
        <f>HLOOKUP(E2697, LookUP_Table!$A$6:$D$7, 2, FALSE)</f>
        <v>Secondary</v>
      </c>
      <c r="G2697" t="str">
        <f>IFERROR(VLOOKUP(E2697, LookUP_Table!$A$1:$B$4, 2, FALSE), "")</f>
        <v>Secondary</v>
      </c>
      <c r="H2697">
        <v>1</v>
      </c>
      <c r="I2697">
        <v>20</v>
      </c>
      <c r="J2697" t="str">
        <f t="shared" si="252"/>
        <v>Smoker</v>
      </c>
      <c r="K2697">
        <v>0</v>
      </c>
      <c r="L2697">
        <v>0</v>
      </c>
      <c r="M2697">
        <v>1</v>
      </c>
      <c r="N2697">
        <v>0</v>
      </c>
      <c r="O2697">
        <v>266</v>
      </c>
      <c r="P2697" t="str">
        <f t="shared" si="253"/>
        <v>High</v>
      </c>
      <c r="Q2697">
        <v>163</v>
      </c>
      <c r="R2697">
        <v>105</v>
      </c>
      <c r="S2697">
        <v>28.04</v>
      </c>
      <c r="T2697" t="str">
        <f t="shared" si="254"/>
        <v>Overweight</v>
      </c>
      <c r="U2697">
        <v>90</v>
      </c>
      <c r="V2697">
        <v>79</v>
      </c>
      <c r="W2697" t="str">
        <f t="shared" si="257"/>
        <v>Normal</v>
      </c>
      <c r="X2697">
        <v>1</v>
      </c>
    </row>
    <row r="2698" spans="1:24" ht="14.5" thickBot="1" x14ac:dyDescent="0.35">
      <c r="A2698">
        <v>1</v>
      </c>
      <c r="B2698" t="str">
        <f t="shared" si="255"/>
        <v>Male</v>
      </c>
      <c r="C2698" s="8">
        <v>53</v>
      </c>
      <c r="D2698" t="str">
        <f t="shared" si="256"/>
        <v>Middle Age</v>
      </c>
      <c r="E2698">
        <v>1</v>
      </c>
      <c r="F2698" t="str">
        <f>HLOOKUP(E2698, LookUP_Table!$A$6:$D$7, 2, FALSE)</f>
        <v>Primary</v>
      </c>
      <c r="G2698" t="str">
        <f>IFERROR(VLOOKUP(E2698, LookUP_Table!$A$1:$B$4, 2, FALSE), "")</f>
        <v>Primary</v>
      </c>
      <c r="H2698">
        <v>1</v>
      </c>
      <c r="I2698">
        <v>10</v>
      </c>
      <c r="J2698" t="str">
        <f t="shared" si="252"/>
        <v>Smoker</v>
      </c>
      <c r="K2698">
        <v>0</v>
      </c>
      <c r="L2698">
        <v>0</v>
      </c>
      <c r="M2698">
        <v>1</v>
      </c>
      <c r="N2698">
        <v>1</v>
      </c>
      <c r="O2698">
        <v>229</v>
      </c>
      <c r="P2698" t="str">
        <f t="shared" si="253"/>
        <v>Normal</v>
      </c>
      <c r="Q2698">
        <v>146.5</v>
      </c>
      <c r="R2698">
        <v>82</v>
      </c>
      <c r="S2698">
        <v>27.8</v>
      </c>
      <c r="T2698" t="str">
        <f t="shared" si="254"/>
        <v>Overweight</v>
      </c>
      <c r="U2698">
        <v>60</v>
      </c>
      <c r="V2698">
        <v>172</v>
      </c>
      <c r="W2698" t="str">
        <f t="shared" si="257"/>
        <v>Diabetes</v>
      </c>
      <c r="X2698">
        <v>0</v>
      </c>
    </row>
    <row r="2699" spans="1:24" ht="14.5" thickBot="1" x14ac:dyDescent="0.35">
      <c r="A2699">
        <v>0</v>
      </c>
      <c r="B2699" t="str">
        <f t="shared" si="255"/>
        <v>Female</v>
      </c>
      <c r="C2699" s="8">
        <v>53</v>
      </c>
      <c r="D2699" t="str">
        <f t="shared" si="256"/>
        <v>Middle Age</v>
      </c>
      <c r="E2699">
        <v>1</v>
      </c>
      <c r="F2699" t="str">
        <f>HLOOKUP(E2699, LookUP_Table!$A$6:$D$7, 2, FALSE)</f>
        <v>Primary</v>
      </c>
      <c r="G2699" t="str">
        <f>IFERROR(VLOOKUP(E2699, LookUP_Table!$A$1:$B$4, 2, FALSE), "")</f>
        <v>Primary</v>
      </c>
      <c r="H2699">
        <v>0</v>
      </c>
      <c r="I2699">
        <v>0</v>
      </c>
      <c r="J2699" t="str">
        <f t="shared" si="252"/>
        <v>Non-Smoker</v>
      </c>
      <c r="K2699">
        <v>0</v>
      </c>
      <c r="L2699">
        <v>0</v>
      </c>
      <c r="M2699">
        <v>0</v>
      </c>
      <c r="N2699">
        <v>0</v>
      </c>
      <c r="O2699">
        <v>265</v>
      </c>
      <c r="P2699" t="str">
        <f t="shared" si="253"/>
        <v>High</v>
      </c>
      <c r="Q2699">
        <v>137</v>
      </c>
      <c r="R2699">
        <v>76</v>
      </c>
      <c r="S2699">
        <v>25.46</v>
      </c>
      <c r="T2699" t="str">
        <f t="shared" si="254"/>
        <v>Overweight</v>
      </c>
      <c r="U2699">
        <v>85</v>
      </c>
      <c r="V2699">
        <v>84</v>
      </c>
      <c r="W2699" t="str">
        <f t="shared" si="257"/>
        <v>Normal</v>
      </c>
      <c r="X2699">
        <v>0</v>
      </c>
    </row>
    <row r="2700" spans="1:24" ht="14.5" thickBot="1" x14ac:dyDescent="0.35">
      <c r="A2700">
        <v>1</v>
      </c>
      <c r="B2700" t="str">
        <f t="shared" si="255"/>
        <v>Male</v>
      </c>
      <c r="C2700" s="8">
        <v>53</v>
      </c>
      <c r="D2700" t="str">
        <f t="shared" si="256"/>
        <v>Middle Age</v>
      </c>
      <c r="E2700">
        <v>2</v>
      </c>
      <c r="F2700" t="str">
        <f>HLOOKUP(E2700, LookUP_Table!$A$6:$D$7, 2, FALSE)</f>
        <v>Secondary</v>
      </c>
      <c r="G2700" t="str">
        <f>IFERROR(VLOOKUP(E2700, LookUP_Table!$A$1:$B$4, 2, FALSE), "")</f>
        <v>Secondary</v>
      </c>
      <c r="H2700">
        <v>1</v>
      </c>
      <c r="I2700">
        <v>9</v>
      </c>
      <c r="J2700" t="str">
        <f t="shared" si="252"/>
        <v>Smoker</v>
      </c>
      <c r="K2700">
        <v>0</v>
      </c>
      <c r="L2700">
        <v>0</v>
      </c>
      <c r="M2700">
        <v>1</v>
      </c>
      <c r="N2700">
        <v>0</v>
      </c>
      <c r="O2700">
        <v>230</v>
      </c>
      <c r="P2700" t="str">
        <f t="shared" si="253"/>
        <v>Normal</v>
      </c>
      <c r="Q2700">
        <v>137</v>
      </c>
      <c r="R2700">
        <v>99</v>
      </c>
      <c r="S2700">
        <v>25.77</v>
      </c>
      <c r="T2700" t="str">
        <f t="shared" si="254"/>
        <v>Overweight</v>
      </c>
      <c r="U2700">
        <v>83</v>
      </c>
      <c r="V2700">
        <v>79</v>
      </c>
      <c r="W2700" t="str">
        <f t="shared" si="257"/>
        <v>Normal</v>
      </c>
      <c r="X2700">
        <v>0</v>
      </c>
    </row>
    <row r="2701" spans="1:24" ht="14.5" thickBot="1" x14ac:dyDescent="0.35">
      <c r="A2701">
        <v>1</v>
      </c>
      <c r="B2701" t="str">
        <f t="shared" si="255"/>
        <v>Male</v>
      </c>
      <c r="C2701" s="8">
        <v>53</v>
      </c>
      <c r="D2701" t="str">
        <f t="shared" si="256"/>
        <v>Middle Age</v>
      </c>
      <c r="E2701">
        <v>2</v>
      </c>
      <c r="F2701" t="str">
        <f>HLOOKUP(E2701, LookUP_Table!$A$6:$D$7, 2, FALSE)</f>
        <v>Secondary</v>
      </c>
      <c r="G2701" t="str">
        <f>IFERROR(VLOOKUP(E2701, LookUP_Table!$A$1:$B$4, 2, FALSE), "")</f>
        <v>Secondary</v>
      </c>
      <c r="H2701">
        <v>1</v>
      </c>
      <c r="I2701">
        <v>43</v>
      </c>
      <c r="J2701" t="str">
        <f t="shared" si="252"/>
        <v>Smoker</v>
      </c>
      <c r="K2701">
        <v>0</v>
      </c>
      <c r="L2701">
        <v>0</v>
      </c>
      <c r="M2701">
        <v>0</v>
      </c>
      <c r="N2701">
        <v>0</v>
      </c>
      <c r="O2701">
        <v>220</v>
      </c>
      <c r="P2701" t="str">
        <f t="shared" si="253"/>
        <v>Normal</v>
      </c>
      <c r="Q2701">
        <v>119</v>
      </c>
      <c r="R2701">
        <v>75</v>
      </c>
      <c r="S2701">
        <v>26.28</v>
      </c>
      <c r="T2701" t="str">
        <f t="shared" si="254"/>
        <v>Overweight</v>
      </c>
      <c r="U2701">
        <v>82</v>
      </c>
      <c r="V2701">
        <v>67</v>
      </c>
      <c r="W2701" t="str">
        <f t="shared" si="257"/>
        <v>Normal</v>
      </c>
      <c r="X2701">
        <v>0</v>
      </c>
    </row>
    <row r="2702" spans="1:24" ht="14.5" thickBot="1" x14ac:dyDescent="0.35">
      <c r="A2702">
        <v>0</v>
      </c>
      <c r="B2702" t="str">
        <f t="shared" si="255"/>
        <v>Female</v>
      </c>
      <c r="C2702" s="8">
        <v>53</v>
      </c>
      <c r="D2702" t="str">
        <f t="shared" si="256"/>
        <v>Middle Age</v>
      </c>
      <c r="E2702">
        <v>3</v>
      </c>
      <c r="F2702" t="str">
        <f>HLOOKUP(E2702, LookUP_Table!$A$6:$D$7, 2, FALSE)</f>
        <v>Graduate</v>
      </c>
      <c r="G2702" t="str">
        <f>IFERROR(VLOOKUP(E2702, LookUP_Table!$A$1:$B$4, 2, FALSE), "")</f>
        <v>Graduate</v>
      </c>
      <c r="H2702">
        <v>0</v>
      </c>
      <c r="I2702">
        <v>0</v>
      </c>
      <c r="J2702" t="str">
        <f t="shared" si="252"/>
        <v>Non-Smoker</v>
      </c>
      <c r="K2702">
        <v>0</v>
      </c>
      <c r="L2702">
        <v>0</v>
      </c>
      <c r="M2702">
        <v>0</v>
      </c>
      <c r="N2702">
        <v>0</v>
      </c>
      <c r="O2702">
        <v>218</v>
      </c>
      <c r="P2702" t="str">
        <f t="shared" si="253"/>
        <v>Normal</v>
      </c>
      <c r="Q2702">
        <v>125</v>
      </c>
      <c r="R2702">
        <v>80</v>
      </c>
      <c r="S2702">
        <v>24.96</v>
      </c>
      <c r="T2702" t="str">
        <f t="shared" si="254"/>
        <v>Normal</v>
      </c>
      <c r="U2702">
        <v>72</v>
      </c>
      <c r="V2702">
        <v>81.96365524402907</v>
      </c>
      <c r="W2702" t="str">
        <f t="shared" si="257"/>
        <v>Normal</v>
      </c>
      <c r="X2702">
        <v>1</v>
      </c>
    </row>
    <row r="2703" spans="1:24" ht="14.5" thickBot="1" x14ac:dyDescent="0.35">
      <c r="A2703">
        <v>0</v>
      </c>
      <c r="B2703" t="str">
        <f t="shared" si="255"/>
        <v>Female</v>
      </c>
      <c r="C2703" s="8">
        <v>53</v>
      </c>
      <c r="D2703" t="str">
        <f t="shared" si="256"/>
        <v>Middle Age</v>
      </c>
      <c r="E2703">
        <v>4</v>
      </c>
      <c r="F2703" t="str">
        <f>HLOOKUP(E2703, LookUP_Table!$A$6:$D$7, 2, FALSE)</f>
        <v>Post Graduate</v>
      </c>
      <c r="G2703" t="str">
        <f>IFERROR(VLOOKUP(E2703, LookUP_Table!$A$1:$B$4, 2, FALSE), "")</f>
        <v>Post Graduate</v>
      </c>
      <c r="H2703">
        <v>0</v>
      </c>
      <c r="I2703">
        <v>0</v>
      </c>
      <c r="J2703" t="str">
        <f t="shared" si="252"/>
        <v>Non-Smoker</v>
      </c>
      <c r="K2703">
        <v>0</v>
      </c>
      <c r="L2703">
        <v>0</v>
      </c>
      <c r="M2703">
        <v>0</v>
      </c>
      <c r="N2703">
        <v>0</v>
      </c>
      <c r="O2703">
        <v>291</v>
      </c>
      <c r="P2703" t="str">
        <f t="shared" si="253"/>
        <v>High</v>
      </c>
      <c r="Q2703">
        <v>114</v>
      </c>
      <c r="R2703">
        <v>81</v>
      </c>
      <c r="S2703">
        <v>26.21</v>
      </c>
      <c r="T2703" t="str">
        <f t="shared" si="254"/>
        <v>Overweight</v>
      </c>
      <c r="U2703">
        <v>70</v>
      </c>
      <c r="V2703">
        <v>79</v>
      </c>
      <c r="W2703" t="str">
        <f t="shared" si="257"/>
        <v>Normal</v>
      </c>
      <c r="X2703">
        <v>0</v>
      </c>
    </row>
    <row r="2704" spans="1:24" ht="14.5" thickBot="1" x14ac:dyDescent="0.35">
      <c r="A2704">
        <v>0</v>
      </c>
      <c r="B2704" t="str">
        <f t="shared" si="255"/>
        <v>Female</v>
      </c>
      <c r="C2704" s="8">
        <v>53</v>
      </c>
      <c r="D2704" t="str">
        <f t="shared" si="256"/>
        <v>Middle Age</v>
      </c>
      <c r="E2704">
        <v>3</v>
      </c>
      <c r="F2704" t="str">
        <f>HLOOKUP(E2704, LookUP_Table!$A$6:$D$7, 2, FALSE)</f>
        <v>Graduate</v>
      </c>
      <c r="G2704" t="str">
        <f>IFERROR(VLOOKUP(E2704, LookUP_Table!$A$1:$B$4, 2, FALSE), "")</f>
        <v>Graduate</v>
      </c>
      <c r="H2704">
        <v>0</v>
      </c>
      <c r="I2704">
        <v>0</v>
      </c>
      <c r="J2704" t="str">
        <f t="shared" si="252"/>
        <v>Non-Smoker</v>
      </c>
      <c r="K2704">
        <v>0</v>
      </c>
      <c r="L2704">
        <v>0</v>
      </c>
      <c r="M2704">
        <v>0</v>
      </c>
      <c r="N2704">
        <v>0</v>
      </c>
      <c r="O2704">
        <v>245</v>
      </c>
      <c r="P2704" t="str">
        <f t="shared" si="253"/>
        <v>High</v>
      </c>
      <c r="Q2704">
        <v>102</v>
      </c>
      <c r="R2704">
        <v>68</v>
      </c>
      <c r="S2704">
        <v>23.01</v>
      </c>
      <c r="T2704" t="str">
        <f t="shared" si="254"/>
        <v>Normal</v>
      </c>
      <c r="U2704">
        <v>60</v>
      </c>
      <c r="V2704">
        <v>81.96365524402907</v>
      </c>
      <c r="W2704" t="str">
        <f t="shared" si="257"/>
        <v>Normal</v>
      </c>
      <c r="X2704">
        <v>0</v>
      </c>
    </row>
    <row r="2705" spans="1:24" ht="14.5" thickBot="1" x14ac:dyDescent="0.35">
      <c r="A2705">
        <v>1</v>
      </c>
      <c r="B2705" t="str">
        <f t="shared" si="255"/>
        <v>Male</v>
      </c>
      <c r="C2705" s="8">
        <v>53</v>
      </c>
      <c r="D2705" t="str">
        <f t="shared" si="256"/>
        <v>Middle Age</v>
      </c>
      <c r="E2705">
        <v>1</v>
      </c>
      <c r="F2705" t="str">
        <f>HLOOKUP(E2705, LookUP_Table!$A$6:$D$7, 2, FALSE)</f>
        <v>Primary</v>
      </c>
      <c r="G2705" t="str">
        <f>IFERROR(VLOOKUP(E2705, LookUP_Table!$A$1:$B$4, 2, FALSE), "")</f>
        <v>Primary</v>
      </c>
      <c r="H2705">
        <v>1</v>
      </c>
      <c r="I2705">
        <v>20</v>
      </c>
      <c r="J2705" t="str">
        <f t="shared" si="252"/>
        <v>Smoker</v>
      </c>
      <c r="K2705">
        <v>0</v>
      </c>
      <c r="L2705">
        <v>0</v>
      </c>
      <c r="M2705">
        <v>1</v>
      </c>
      <c r="N2705">
        <v>0</v>
      </c>
      <c r="O2705">
        <v>248</v>
      </c>
      <c r="P2705" t="str">
        <f t="shared" si="253"/>
        <v>High</v>
      </c>
      <c r="Q2705">
        <v>165</v>
      </c>
      <c r="R2705">
        <v>96</v>
      </c>
      <c r="S2705">
        <v>24.45</v>
      </c>
      <c r="T2705" t="str">
        <f t="shared" si="254"/>
        <v>Normal</v>
      </c>
      <c r="U2705">
        <v>100</v>
      </c>
      <c r="V2705">
        <v>71</v>
      </c>
      <c r="W2705" t="str">
        <f t="shared" si="257"/>
        <v>Normal</v>
      </c>
      <c r="X2705">
        <v>0</v>
      </c>
    </row>
    <row r="2706" spans="1:24" ht="14.5" thickBot="1" x14ac:dyDescent="0.35">
      <c r="A2706">
        <v>0</v>
      </c>
      <c r="B2706" t="str">
        <f t="shared" si="255"/>
        <v>Female</v>
      </c>
      <c r="C2706" s="8">
        <v>53</v>
      </c>
      <c r="D2706" t="str">
        <f t="shared" si="256"/>
        <v>Middle Age</v>
      </c>
      <c r="E2706">
        <v>1</v>
      </c>
      <c r="F2706" t="str">
        <f>HLOOKUP(E2706, LookUP_Table!$A$6:$D$7, 2, FALSE)</f>
        <v>Primary</v>
      </c>
      <c r="G2706" t="str">
        <f>IFERROR(VLOOKUP(E2706, LookUP_Table!$A$1:$B$4, 2, FALSE), "")</f>
        <v>Primary</v>
      </c>
      <c r="H2706">
        <v>1</v>
      </c>
      <c r="I2706">
        <v>3</v>
      </c>
      <c r="J2706" t="str">
        <f t="shared" si="252"/>
        <v>Smoker</v>
      </c>
      <c r="K2706">
        <v>0</v>
      </c>
      <c r="L2706">
        <v>0</v>
      </c>
      <c r="M2706">
        <v>1</v>
      </c>
      <c r="N2706">
        <v>0</v>
      </c>
      <c r="O2706">
        <v>268</v>
      </c>
      <c r="P2706" t="str">
        <f t="shared" si="253"/>
        <v>High</v>
      </c>
      <c r="Q2706">
        <v>136.5</v>
      </c>
      <c r="R2706">
        <v>94.5</v>
      </c>
      <c r="S2706">
        <v>25.51</v>
      </c>
      <c r="T2706" t="str">
        <f t="shared" si="254"/>
        <v>Overweight</v>
      </c>
      <c r="U2706">
        <v>100</v>
      </c>
      <c r="V2706">
        <v>81.96365524402907</v>
      </c>
      <c r="W2706" t="str">
        <f t="shared" si="257"/>
        <v>Normal</v>
      </c>
      <c r="X2706">
        <v>0</v>
      </c>
    </row>
    <row r="2707" spans="1:24" ht="14.5" thickBot="1" x14ac:dyDescent="0.35">
      <c r="A2707">
        <v>1</v>
      </c>
      <c r="B2707" t="str">
        <f t="shared" si="255"/>
        <v>Male</v>
      </c>
      <c r="C2707" s="8">
        <v>53</v>
      </c>
      <c r="D2707" t="str">
        <f t="shared" si="256"/>
        <v>Middle Age</v>
      </c>
      <c r="E2707">
        <v>1</v>
      </c>
      <c r="F2707" t="str">
        <f>HLOOKUP(E2707, LookUP_Table!$A$6:$D$7, 2, FALSE)</f>
        <v>Primary</v>
      </c>
      <c r="G2707" t="str">
        <f>IFERROR(VLOOKUP(E2707, LookUP_Table!$A$1:$B$4, 2, FALSE), "")</f>
        <v>Primary</v>
      </c>
      <c r="H2707">
        <v>1</v>
      </c>
      <c r="I2707">
        <v>30</v>
      </c>
      <c r="J2707" t="str">
        <f t="shared" si="252"/>
        <v>Smoker</v>
      </c>
      <c r="K2707">
        <v>0</v>
      </c>
      <c r="L2707">
        <v>0</v>
      </c>
      <c r="M2707">
        <v>0</v>
      </c>
      <c r="N2707">
        <v>0</v>
      </c>
      <c r="O2707">
        <v>253</v>
      </c>
      <c r="P2707" t="str">
        <f t="shared" si="253"/>
        <v>High</v>
      </c>
      <c r="Q2707">
        <v>121</v>
      </c>
      <c r="R2707">
        <v>85.5</v>
      </c>
      <c r="S2707">
        <v>28.52</v>
      </c>
      <c r="T2707" t="str">
        <f t="shared" si="254"/>
        <v>Overweight</v>
      </c>
      <c r="U2707">
        <v>80</v>
      </c>
      <c r="V2707">
        <v>68</v>
      </c>
      <c r="W2707" t="str">
        <f t="shared" si="257"/>
        <v>Normal</v>
      </c>
      <c r="X2707">
        <v>0</v>
      </c>
    </row>
    <row r="2708" spans="1:24" ht="14.5" thickBot="1" x14ac:dyDescent="0.35">
      <c r="A2708">
        <v>0</v>
      </c>
      <c r="B2708" t="str">
        <f t="shared" si="255"/>
        <v>Female</v>
      </c>
      <c r="C2708" s="8">
        <v>53</v>
      </c>
      <c r="D2708" t="str">
        <f t="shared" si="256"/>
        <v>Middle Age</v>
      </c>
      <c r="E2708">
        <v>1</v>
      </c>
      <c r="F2708" t="str">
        <f>HLOOKUP(E2708, LookUP_Table!$A$6:$D$7, 2, FALSE)</f>
        <v>Primary</v>
      </c>
      <c r="G2708" t="str">
        <f>IFERROR(VLOOKUP(E2708, LookUP_Table!$A$1:$B$4, 2, FALSE), "")</f>
        <v>Primary</v>
      </c>
      <c r="H2708">
        <v>0</v>
      </c>
      <c r="I2708">
        <v>0</v>
      </c>
      <c r="J2708" t="str">
        <f t="shared" si="252"/>
        <v>Non-Smoker</v>
      </c>
      <c r="K2708">
        <v>0</v>
      </c>
      <c r="L2708">
        <v>0</v>
      </c>
      <c r="M2708">
        <v>0</v>
      </c>
      <c r="N2708">
        <v>0</v>
      </c>
      <c r="O2708">
        <v>225</v>
      </c>
      <c r="P2708" t="str">
        <f t="shared" si="253"/>
        <v>Normal</v>
      </c>
      <c r="Q2708">
        <v>125</v>
      </c>
      <c r="R2708">
        <v>76</v>
      </c>
      <c r="S2708">
        <v>30.24</v>
      </c>
      <c r="T2708" t="str">
        <f t="shared" si="254"/>
        <v>Obese</v>
      </c>
      <c r="U2708">
        <v>86</v>
      </c>
      <c r="V2708">
        <v>75</v>
      </c>
      <c r="W2708" t="str">
        <f t="shared" si="257"/>
        <v>Normal</v>
      </c>
      <c r="X2708">
        <v>0</v>
      </c>
    </row>
    <row r="2709" spans="1:24" ht="14.5" thickBot="1" x14ac:dyDescent="0.35">
      <c r="A2709">
        <v>0</v>
      </c>
      <c r="B2709" t="str">
        <f t="shared" si="255"/>
        <v>Female</v>
      </c>
      <c r="C2709" s="8">
        <v>53</v>
      </c>
      <c r="D2709" t="str">
        <f t="shared" si="256"/>
        <v>Middle Age</v>
      </c>
      <c r="E2709">
        <v>1</v>
      </c>
      <c r="F2709" t="str">
        <f>HLOOKUP(E2709, LookUP_Table!$A$6:$D$7, 2, FALSE)</f>
        <v>Primary</v>
      </c>
      <c r="G2709" t="str">
        <f>IFERROR(VLOOKUP(E2709, LookUP_Table!$A$1:$B$4, 2, FALSE), "")</f>
        <v>Primary</v>
      </c>
      <c r="H2709">
        <v>1</v>
      </c>
      <c r="I2709">
        <v>20</v>
      </c>
      <c r="J2709" t="str">
        <f t="shared" si="252"/>
        <v>Smoker</v>
      </c>
      <c r="K2709">
        <v>0</v>
      </c>
      <c r="L2709">
        <v>0</v>
      </c>
      <c r="M2709">
        <v>1</v>
      </c>
      <c r="N2709">
        <v>0</v>
      </c>
      <c r="O2709">
        <v>235</v>
      </c>
      <c r="P2709" t="str">
        <f t="shared" si="253"/>
        <v>Normal</v>
      </c>
      <c r="Q2709">
        <v>154</v>
      </c>
      <c r="R2709">
        <v>98</v>
      </c>
      <c r="S2709">
        <v>26.91</v>
      </c>
      <c r="T2709" t="str">
        <f t="shared" si="254"/>
        <v>Overweight</v>
      </c>
      <c r="U2709">
        <v>80</v>
      </c>
      <c r="V2709">
        <v>65</v>
      </c>
      <c r="W2709" t="str">
        <f t="shared" si="257"/>
        <v>Normal</v>
      </c>
      <c r="X2709">
        <v>0</v>
      </c>
    </row>
    <row r="2710" spans="1:24" ht="14.5" thickBot="1" x14ac:dyDescent="0.35">
      <c r="A2710">
        <v>0</v>
      </c>
      <c r="B2710" t="str">
        <f t="shared" si="255"/>
        <v>Female</v>
      </c>
      <c r="C2710" s="8">
        <v>53</v>
      </c>
      <c r="D2710" t="str">
        <f t="shared" si="256"/>
        <v>Middle Age</v>
      </c>
      <c r="E2710">
        <v>2</v>
      </c>
      <c r="F2710" t="str">
        <f>HLOOKUP(E2710, LookUP_Table!$A$6:$D$7, 2, FALSE)</f>
        <v>Secondary</v>
      </c>
      <c r="G2710" t="str">
        <f>IFERROR(VLOOKUP(E2710, LookUP_Table!$A$1:$B$4, 2, FALSE), "")</f>
        <v>Secondary</v>
      </c>
      <c r="H2710">
        <v>0</v>
      </c>
      <c r="I2710">
        <v>0</v>
      </c>
      <c r="J2710" t="str">
        <f t="shared" si="252"/>
        <v>Non-Smoker</v>
      </c>
      <c r="K2710">
        <v>0</v>
      </c>
      <c r="L2710">
        <v>0</v>
      </c>
      <c r="M2710">
        <v>1</v>
      </c>
      <c r="N2710">
        <v>0</v>
      </c>
      <c r="O2710">
        <v>272</v>
      </c>
      <c r="P2710" t="str">
        <f t="shared" si="253"/>
        <v>High</v>
      </c>
      <c r="Q2710">
        <v>146</v>
      </c>
      <c r="R2710">
        <v>89</v>
      </c>
      <c r="S2710">
        <v>25.5</v>
      </c>
      <c r="T2710" t="str">
        <f t="shared" si="254"/>
        <v>Overweight</v>
      </c>
      <c r="U2710">
        <v>73</v>
      </c>
      <c r="V2710">
        <v>67</v>
      </c>
      <c r="W2710" t="str">
        <f t="shared" si="257"/>
        <v>Normal</v>
      </c>
      <c r="X2710">
        <v>0</v>
      </c>
    </row>
    <row r="2711" spans="1:24" ht="14.5" thickBot="1" x14ac:dyDescent="0.35">
      <c r="A2711">
        <v>1</v>
      </c>
      <c r="B2711" t="str">
        <f t="shared" si="255"/>
        <v>Male</v>
      </c>
      <c r="C2711" s="8">
        <v>53</v>
      </c>
      <c r="D2711" t="str">
        <f t="shared" si="256"/>
        <v>Middle Age</v>
      </c>
      <c r="E2711">
        <v>2</v>
      </c>
      <c r="F2711" t="str">
        <f>HLOOKUP(E2711, LookUP_Table!$A$6:$D$7, 2, FALSE)</f>
        <v>Secondary</v>
      </c>
      <c r="G2711" t="str">
        <f>IFERROR(VLOOKUP(E2711, LookUP_Table!$A$1:$B$4, 2, FALSE), "")</f>
        <v>Secondary</v>
      </c>
      <c r="H2711">
        <v>1</v>
      </c>
      <c r="I2711">
        <v>20</v>
      </c>
      <c r="J2711" t="str">
        <f t="shared" si="252"/>
        <v>Smoker</v>
      </c>
      <c r="K2711">
        <v>0</v>
      </c>
      <c r="L2711">
        <v>0</v>
      </c>
      <c r="M2711">
        <v>0</v>
      </c>
      <c r="N2711">
        <v>0</v>
      </c>
      <c r="O2711">
        <v>314</v>
      </c>
      <c r="P2711" t="str">
        <f t="shared" si="253"/>
        <v>High</v>
      </c>
      <c r="Q2711">
        <v>128</v>
      </c>
      <c r="R2711">
        <v>77</v>
      </c>
      <c r="S2711">
        <v>24.74</v>
      </c>
      <c r="T2711" t="str">
        <f t="shared" si="254"/>
        <v>Normal</v>
      </c>
      <c r="U2711">
        <v>60</v>
      </c>
      <c r="V2711">
        <v>78</v>
      </c>
      <c r="W2711" t="str">
        <f t="shared" si="257"/>
        <v>Normal</v>
      </c>
      <c r="X2711">
        <v>0</v>
      </c>
    </row>
    <row r="2712" spans="1:24" ht="14.5" thickBot="1" x14ac:dyDescent="0.35">
      <c r="A2712">
        <v>0</v>
      </c>
      <c r="B2712" t="str">
        <f t="shared" si="255"/>
        <v>Female</v>
      </c>
      <c r="C2712" s="8">
        <v>53</v>
      </c>
      <c r="D2712" t="str">
        <f t="shared" si="256"/>
        <v>Middle Age</v>
      </c>
      <c r="E2712">
        <v>1</v>
      </c>
      <c r="F2712" t="str">
        <f>HLOOKUP(E2712, LookUP_Table!$A$6:$D$7, 2, FALSE)</f>
        <v>Primary</v>
      </c>
      <c r="G2712" t="str">
        <f>IFERROR(VLOOKUP(E2712, LookUP_Table!$A$1:$B$4, 2, FALSE), "")</f>
        <v>Primary</v>
      </c>
      <c r="H2712">
        <v>0</v>
      </c>
      <c r="I2712">
        <v>0</v>
      </c>
      <c r="J2712" t="str">
        <f t="shared" si="252"/>
        <v>Non-Smoker</v>
      </c>
      <c r="K2712">
        <v>0</v>
      </c>
      <c r="L2712">
        <v>0</v>
      </c>
      <c r="M2712">
        <v>0</v>
      </c>
      <c r="N2712">
        <v>0</v>
      </c>
      <c r="O2712">
        <v>234</v>
      </c>
      <c r="P2712" t="str">
        <f t="shared" si="253"/>
        <v>Normal</v>
      </c>
      <c r="Q2712">
        <v>126</v>
      </c>
      <c r="R2712">
        <v>73</v>
      </c>
      <c r="S2712">
        <v>27.6</v>
      </c>
      <c r="T2712" t="str">
        <f t="shared" si="254"/>
        <v>Overweight</v>
      </c>
      <c r="U2712">
        <v>75</v>
      </c>
      <c r="V2712">
        <v>90</v>
      </c>
      <c r="W2712" t="str">
        <f t="shared" si="257"/>
        <v>Normal</v>
      </c>
      <c r="X2712">
        <v>0</v>
      </c>
    </row>
    <row r="2713" spans="1:24" ht="14.5" thickBot="1" x14ac:dyDescent="0.35">
      <c r="A2713">
        <v>0</v>
      </c>
      <c r="B2713" t="str">
        <f t="shared" si="255"/>
        <v>Female</v>
      </c>
      <c r="C2713" s="8">
        <v>53</v>
      </c>
      <c r="D2713" t="str">
        <f t="shared" si="256"/>
        <v>Middle Age</v>
      </c>
      <c r="E2713">
        <v>3</v>
      </c>
      <c r="F2713" t="str">
        <f>HLOOKUP(E2713, LookUP_Table!$A$6:$D$7, 2, FALSE)</f>
        <v>Graduate</v>
      </c>
      <c r="G2713" t="str">
        <f>IFERROR(VLOOKUP(E2713, LookUP_Table!$A$1:$B$4, 2, FALSE), "")</f>
        <v>Graduate</v>
      </c>
      <c r="H2713">
        <v>1</v>
      </c>
      <c r="I2713">
        <v>20</v>
      </c>
      <c r="J2713" t="str">
        <f t="shared" si="252"/>
        <v>Smoker</v>
      </c>
      <c r="K2713">
        <v>0</v>
      </c>
      <c r="L2713">
        <v>0</v>
      </c>
      <c r="M2713">
        <v>0</v>
      </c>
      <c r="N2713">
        <v>0</v>
      </c>
      <c r="O2713">
        <v>221</v>
      </c>
      <c r="P2713" t="str">
        <f t="shared" si="253"/>
        <v>Normal</v>
      </c>
      <c r="Q2713">
        <v>131</v>
      </c>
      <c r="R2713">
        <v>89</v>
      </c>
      <c r="S2713">
        <v>24.09</v>
      </c>
      <c r="T2713" t="str">
        <f t="shared" si="254"/>
        <v>Normal</v>
      </c>
      <c r="U2713">
        <v>90</v>
      </c>
      <c r="V2713">
        <v>95</v>
      </c>
      <c r="W2713" t="str">
        <f t="shared" si="257"/>
        <v>Normal</v>
      </c>
      <c r="X2713">
        <v>0</v>
      </c>
    </row>
    <row r="2714" spans="1:24" ht="14.5" thickBot="1" x14ac:dyDescent="0.35">
      <c r="A2714">
        <v>0</v>
      </c>
      <c r="B2714" t="str">
        <f t="shared" si="255"/>
        <v>Female</v>
      </c>
      <c r="C2714" s="8">
        <v>53</v>
      </c>
      <c r="D2714" t="str">
        <f t="shared" si="256"/>
        <v>Middle Age</v>
      </c>
      <c r="E2714">
        <v>3</v>
      </c>
      <c r="F2714" t="str">
        <f>HLOOKUP(E2714, LookUP_Table!$A$6:$D$7, 2, FALSE)</f>
        <v>Graduate</v>
      </c>
      <c r="G2714" t="str">
        <f>IFERROR(VLOOKUP(E2714, LookUP_Table!$A$1:$B$4, 2, FALSE), "")</f>
        <v>Graduate</v>
      </c>
      <c r="H2714">
        <v>0</v>
      </c>
      <c r="I2714">
        <v>0</v>
      </c>
      <c r="J2714" t="str">
        <f t="shared" si="252"/>
        <v>Non-Smoker</v>
      </c>
      <c r="K2714">
        <v>0</v>
      </c>
      <c r="L2714">
        <v>0</v>
      </c>
      <c r="M2714">
        <v>1</v>
      </c>
      <c r="N2714">
        <v>0</v>
      </c>
      <c r="O2714">
        <v>238</v>
      </c>
      <c r="P2714" t="str">
        <f t="shared" si="253"/>
        <v>Normal</v>
      </c>
      <c r="Q2714">
        <v>172.5</v>
      </c>
      <c r="R2714">
        <v>91</v>
      </c>
      <c r="S2714">
        <v>24.16</v>
      </c>
      <c r="T2714" t="str">
        <f t="shared" si="254"/>
        <v>Normal</v>
      </c>
      <c r="U2714">
        <v>112</v>
      </c>
      <c r="V2714">
        <v>81.96365524402907</v>
      </c>
      <c r="W2714" t="str">
        <f t="shared" si="257"/>
        <v>Normal</v>
      </c>
      <c r="X2714">
        <v>0</v>
      </c>
    </row>
    <row r="2715" spans="1:24" ht="14.5" thickBot="1" x14ac:dyDescent="0.35">
      <c r="A2715">
        <v>0</v>
      </c>
      <c r="B2715" t="str">
        <f t="shared" si="255"/>
        <v>Female</v>
      </c>
      <c r="C2715" s="8">
        <v>53</v>
      </c>
      <c r="D2715" t="str">
        <f t="shared" si="256"/>
        <v>Middle Age</v>
      </c>
      <c r="E2715">
        <v>1</v>
      </c>
      <c r="F2715" t="str">
        <f>HLOOKUP(E2715, LookUP_Table!$A$6:$D$7, 2, FALSE)</f>
        <v>Primary</v>
      </c>
      <c r="G2715" t="str">
        <f>IFERROR(VLOOKUP(E2715, LookUP_Table!$A$1:$B$4, 2, FALSE), "")</f>
        <v>Primary</v>
      </c>
      <c r="H2715">
        <v>1</v>
      </c>
      <c r="I2715">
        <v>40</v>
      </c>
      <c r="J2715" t="str">
        <f t="shared" si="252"/>
        <v>Smoker</v>
      </c>
      <c r="K2715">
        <v>0</v>
      </c>
      <c r="L2715">
        <v>0</v>
      </c>
      <c r="M2715">
        <v>0</v>
      </c>
      <c r="N2715">
        <v>0</v>
      </c>
      <c r="O2715">
        <v>183</v>
      </c>
      <c r="P2715" t="str">
        <f t="shared" si="253"/>
        <v>Normal</v>
      </c>
      <c r="Q2715">
        <v>129</v>
      </c>
      <c r="R2715">
        <v>80</v>
      </c>
      <c r="S2715">
        <v>26.51</v>
      </c>
      <c r="T2715" t="str">
        <f t="shared" si="254"/>
        <v>Overweight</v>
      </c>
      <c r="U2715">
        <v>78</v>
      </c>
      <c r="V2715">
        <v>80</v>
      </c>
      <c r="W2715" t="str">
        <f t="shared" si="257"/>
        <v>Normal</v>
      </c>
      <c r="X2715">
        <v>0</v>
      </c>
    </row>
    <row r="2716" spans="1:24" ht="14.5" thickBot="1" x14ac:dyDescent="0.35">
      <c r="A2716">
        <v>1</v>
      </c>
      <c r="B2716" t="str">
        <f t="shared" si="255"/>
        <v>Male</v>
      </c>
      <c r="C2716" s="8">
        <v>53</v>
      </c>
      <c r="D2716" t="str">
        <f t="shared" si="256"/>
        <v>Middle Age</v>
      </c>
      <c r="E2716">
        <v>2</v>
      </c>
      <c r="F2716" t="str">
        <f>HLOOKUP(E2716, LookUP_Table!$A$6:$D$7, 2, FALSE)</f>
        <v>Secondary</v>
      </c>
      <c r="G2716" t="str">
        <f>IFERROR(VLOOKUP(E2716, LookUP_Table!$A$1:$B$4, 2, FALSE), "")</f>
        <v>Secondary</v>
      </c>
      <c r="H2716">
        <v>1</v>
      </c>
      <c r="I2716">
        <v>20</v>
      </c>
      <c r="J2716" t="str">
        <f t="shared" si="252"/>
        <v>Smoker</v>
      </c>
      <c r="K2716">
        <v>0</v>
      </c>
      <c r="L2716">
        <v>0</v>
      </c>
      <c r="M2716">
        <v>0</v>
      </c>
      <c r="N2716">
        <v>0</v>
      </c>
      <c r="O2716">
        <v>211</v>
      </c>
      <c r="P2716" t="str">
        <f t="shared" si="253"/>
        <v>Normal</v>
      </c>
      <c r="Q2716">
        <v>112.5</v>
      </c>
      <c r="R2716">
        <v>70</v>
      </c>
      <c r="S2716">
        <v>22.74</v>
      </c>
      <c r="T2716" t="str">
        <f t="shared" si="254"/>
        <v>Normal</v>
      </c>
      <c r="U2716">
        <v>63</v>
      </c>
      <c r="V2716">
        <v>81.96365524402907</v>
      </c>
      <c r="W2716" t="str">
        <f t="shared" si="257"/>
        <v>Normal</v>
      </c>
      <c r="X2716">
        <v>0</v>
      </c>
    </row>
    <row r="2717" spans="1:24" ht="14.5" thickBot="1" x14ac:dyDescent="0.35">
      <c r="A2717">
        <v>0</v>
      </c>
      <c r="B2717" t="str">
        <f t="shared" si="255"/>
        <v>Female</v>
      </c>
      <c r="C2717" s="8">
        <v>53</v>
      </c>
      <c r="D2717" t="str">
        <f t="shared" si="256"/>
        <v>Middle Age</v>
      </c>
      <c r="E2717">
        <v>4</v>
      </c>
      <c r="F2717" t="str">
        <f>HLOOKUP(E2717, LookUP_Table!$A$6:$D$7, 2, FALSE)</f>
        <v>Post Graduate</v>
      </c>
      <c r="G2717" t="str">
        <f>IFERROR(VLOOKUP(E2717, LookUP_Table!$A$1:$B$4, 2, FALSE), "")</f>
        <v>Post Graduate</v>
      </c>
      <c r="H2717">
        <v>1</v>
      </c>
      <c r="I2717">
        <v>1</v>
      </c>
      <c r="J2717" t="str">
        <f t="shared" si="252"/>
        <v>Smoker</v>
      </c>
      <c r="K2717">
        <v>0</v>
      </c>
      <c r="L2717">
        <v>0</v>
      </c>
      <c r="M2717">
        <v>1</v>
      </c>
      <c r="N2717">
        <v>0</v>
      </c>
      <c r="O2717">
        <v>297</v>
      </c>
      <c r="P2717" t="str">
        <f t="shared" si="253"/>
        <v>High</v>
      </c>
      <c r="Q2717">
        <v>164</v>
      </c>
      <c r="R2717">
        <v>102</v>
      </c>
      <c r="S2717">
        <v>24.5</v>
      </c>
      <c r="T2717" t="str">
        <f t="shared" si="254"/>
        <v>Normal</v>
      </c>
      <c r="U2717">
        <v>75</v>
      </c>
      <c r="V2717">
        <v>95</v>
      </c>
      <c r="W2717" t="str">
        <f t="shared" si="257"/>
        <v>Normal</v>
      </c>
      <c r="X2717">
        <v>0</v>
      </c>
    </row>
    <row r="2718" spans="1:24" ht="14.5" thickBot="1" x14ac:dyDescent="0.35">
      <c r="A2718">
        <v>0</v>
      </c>
      <c r="B2718" t="str">
        <f t="shared" si="255"/>
        <v>Female</v>
      </c>
      <c r="C2718" s="8">
        <v>53</v>
      </c>
      <c r="D2718" t="str">
        <f t="shared" si="256"/>
        <v>Middle Age</v>
      </c>
      <c r="E2718">
        <v>2</v>
      </c>
      <c r="F2718" t="str">
        <f>HLOOKUP(E2718, LookUP_Table!$A$6:$D$7, 2, FALSE)</f>
        <v>Secondary</v>
      </c>
      <c r="G2718" t="str">
        <f>IFERROR(VLOOKUP(E2718, LookUP_Table!$A$1:$B$4, 2, FALSE), "")</f>
        <v>Secondary</v>
      </c>
      <c r="H2718">
        <v>0</v>
      </c>
      <c r="I2718">
        <v>0</v>
      </c>
      <c r="J2718" t="str">
        <f t="shared" si="252"/>
        <v>Non-Smoker</v>
      </c>
      <c r="K2718">
        <v>0</v>
      </c>
      <c r="L2718">
        <v>0</v>
      </c>
      <c r="M2718">
        <v>1</v>
      </c>
      <c r="N2718">
        <v>0</v>
      </c>
      <c r="O2718">
        <v>258</v>
      </c>
      <c r="P2718" t="str">
        <f t="shared" si="253"/>
        <v>High</v>
      </c>
      <c r="Q2718">
        <v>186</v>
      </c>
      <c r="R2718">
        <v>101</v>
      </c>
      <c r="S2718">
        <v>28.9</v>
      </c>
      <c r="T2718" t="str">
        <f t="shared" si="254"/>
        <v>Overweight</v>
      </c>
      <c r="U2718">
        <v>80</v>
      </c>
      <c r="V2718">
        <v>70</v>
      </c>
      <c r="W2718" t="str">
        <f t="shared" si="257"/>
        <v>Normal</v>
      </c>
      <c r="X2718">
        <v>0</v>
      </c>
    </row>
    <row r="2719" spans="1:24" ht="14.5" thickBot="1" x14ac:dyDescent="0.35">
      <c r="A2719">
        <v>1</v>
      </c>
      <c r="B2719" t="str">
        <f t="shared" si="255"/>
        <v>Male</v>
      </c>
      <c r="C2719" s="8">
        <v>53</v>
      </c>
      <c r="D2719" t="str">
        <f t="shared" si="256"/>
        <v>Middle Age</v>
      </c>
      <c r="E2719">
        <v>1</v>
      </c>
      <c r="F2719" t="str">
        <f>HLOOKUP(E2719, LookUP_Table!$A$6:$D$7, 2, FALSE)</f>
        <v>Primary</v>
      </c>
      <c r="G2719" t="str">
        <f>IFERROR(VLOOKUP(E2719, LookUP_Table!$A$1:$B$4, 2, FALSE), "")</f>
        <v>Primary</v>
      </c>
      <c r="H2719">
        <v>0</v>
      </c>
      <c r="I2719">
        <v>0</v>
      </c>
      <c r="J2719" t="str">
        <f t="shared" si="252"/>
        <v>Non-Smoker</v>
      </c>
      <c r="K2719">
        <v>0</v>
      </c>
      <c r="L2719">
        <v>0</v>
      </c>
      <c r="M2719">
        <v>0</v>
      </c>
      <c r="N2719">
        <v>0</v>
      </c>
      <c r="O2719">
        <v>157</v>
      </c>
      <c r="P2719" t="str">
        <f t="shared" si="253"/>
        <v>Normal</v>
      </c>
      <c r="Q2719">
        <v>123</v>
      </c>
      <c r="R2719">
        <v>83</v>
      </c>
      <c r="S2719">
        <v>19.940000000000001</v>
      </c>
      <c r="T2719" t="str">
        <f t="shared" si="254"/>
        <v>Normal</v>
      </c>
      <c r="U2719">
        <v>75</v>
      </c>
      <c r="V2719">
        <v>88</v>
      </c>
      <c r="W2719" t="str">
        <f t="shared" si="257"/>
        <v>Normal</v>
      </c>
      <c r="X2719">
        <v>0</v>
      </c>
    </row>
    <row r="2720" spans="1:24" ht="14.5" thickBot="1" x14ac:dyDescent="0.35">
      <c r="A2720">
        <v>0</v>
      </c>
      <c r="B2720" t="str">
        <f t="shared" si="255"/>
        <v>Female</v>
      </c>
      <c r="C2720" s="8">
        <v>53</v>
      </c>
      <c r="D2720" t="str">
        <f t="shared" si="256"/>
        <v>Middle Age</v>
      </c>
      <c r="E2720">
        <v>1</v>
      </c>
      <c r="F2720" t="str">
        <f>HLOOKUP(E2720, LookUP_Table!$A$6:$D$7, 2, FALSE)</f>
        <v>Primary</v>
      </c>
      <c r="G2720" t="str">
        <f>IFERROR(VLOOKUP(E2720, LookUP_Table!$A$1:$B$4, 2, FALSE), "")</f>
        <v>Primary</v>
      </c>
      <c r="H2720">
        <v>0</v>
      </c>
      <c r="I2720">
        <v>0</v>
      </c>
      <c r="J2720" t="str">
        <f t="shared" si="252"/>
        <v>Non-Smoker</v>
      </c>
      <c r="K2720">
        <v>0</v>
      </c>
      <c r="L2720">
        <v>0</v>
      </c>
      <c r="M2720">
        <v>0</v>
      </c>
      <c r="N2720">
        <v>0</v>
      </c>
      <c r="O2720">
        <v>246</v>
      </c>
      <c r="P2720" t="str">
        <f t="shared" si="253"/>
        <v>High</v>
      </c>
      <c r="Q2720">
        <v>115</v>
      </c>
      <c r="R2720">
        <v>61</v>
      </c>
      <c r="S2720">
        <v>25.96</v>
      </c>
      <c r="T2720" t="str">
        <f t="shared" si="254"/>
        <v>Overweight</v>
      </c>
      <c r="U2720">
        <v>80</v>
      </c>
      <c r="V2720">
        <v>60</v>
      </c>
      <c r="W2720" t="str">
        <f t="shared" si="257"/>
        <v>Normal</v>
      </c>
      <c r="X2720">
        <v>0</v>
      </c>
    </row>
    <row r="2721" spans="1:24" ht="14.5" thickBot="1" x14ac:dyDescent="0.35">
      <c r="A2721">
        <v>1</v>
      </c>
      <c r="B2721" t="str">
        <f t="shared" si="255"/>
        <v>Male</v>
      </c>
      <c r="C2721" s="8">
        <v>53</v>
      </c>
      <c r="D2721" t="str">
        <f t="shared" si="256"/>
        <v>Middle Age</v>
      </c>
      <c r="E2721">
        <v>3</v>
      </c>
      <c r="F2721" t="str">
        <f>HLOOKUP(E2721, LookUP_Table!$A$6:$D$7, 2, FALSE)</f>
        <v>Graduate</v>
      </c>
      <c r="G2721" t="str">
        <f>IFERROR(VLOOKUP(E2721, LookUP_Table!$A$1:$B$4, 2, FALSE), "")</f>
        <v>Graduate</v>
      </c>
      <c r="H2721">
        <v>1</v>
      </c>
      <c r="I2721">
        <v>15</v>
      </c>
      <c r="J2721" t="str">
        <f t="shared" si="252"/>
        <v>Smoker</v>
      </c>
      <c r="K2721">
        <v>0</v>
      </c>
      <c r="L2721">
        <v>0</v>
      </c>
      <c r="M2721">
        <v>1</v>
      </c>
      <c r="N2721">
        <v>0</v>
      </c>
      <c r="O2721">
        <v>233</v>
      </c>
      <c r="P2721" t="str">
        <f t="shared" si="253"/>
        <v>Normal</v>
      </c>
      <c r="Q2721">
        <v>130</v>
      </c>
      <c r="R2721">
        <v>94</v>
      </c>
      <c r="S2721">
        <v>30.63</v>
      </c>
      <c r="T2721" t="str">
        <f t="shared" si="254"/>
        <v>Obese</v>
      </c>
      <c r="U2721">
        <v>75</v>
      </c>
      <c r="V2721">
        <v>75</v>
      </c>
      <c r="W2721" t="str">
        <f t="shared" si="257"/>
        <v>Normal</v>
      </c>
      <c r="X2721">
        <v>0</v>
      </c>
    </row>
    <row r="2722" spans="1:24" ht="14.5" thickBot="1" x14ac:dyDescent="0.35">
      <c r="A2722">
        <v>0</v>
      </c>
      <c r="B2722" t="str">
        <f t="shared" si="255"/>
        <v>Female</v>
      </c>
      <c r="C2722" s="8">
        <v>53</v>
      </c>
      <c r="D2722" t="str">
        <f t="shared" si="256"/>
        <v>Middle Age</v>
      </c>
      <c r="E2722">
        <v>1</v>
      </c>
      <c r="F2722" t="str">
        <f>HLOOKUP(E2722, LookUP_Table!$A$6:$D$7, 2, FALSE)</f>
        <v>Primary</v>
      </c>
      <c r="G2722" t="str">
        <f>IFERROR(VLOOKUP(E2722, LookUP_Table!$A$1:$B$4, 2, FALSE), "")</f>
        <v>Primary</v>
      </c>
      <c r="H2722">
        <v>0</v>
      </c>
      <c r="I2722">
        <v>0</v>
      </c>
      <c r="J2722" t="str">
        <f t="shared" si="252"/>
        <v>Non-Smoker</v>
      </c>
      <c r="K2722">
        <v>0</v>
      </c>
      <c r="L2722">
        <v>0</v>
      </c>
      <c r="M2722">
        <v>0</v>
      </c>
      <c r="N2722">
        <v>0</v>
      </c>
      <c r="O2722">
        <v>225</v>
      </c>
      <c r="P2722" t="str">
        <f t="shared" si="253"/>
        <v>Normal</v>
      </c>
      <c r="Q2722">
        <v>92</v>
      </c>
      <c r="R2722">
        <v>69</v>
      </c>
      <c r="S2722">
        <v>24.17</v>
      </c>
      <c r="T2722" t="str">
        <f t="shared" si="254"/>
        <v>Normal</v>
      </c>
      <c r="U2722">
        <v>56</v>
      </c>
      <c r="V2722">
        <v>68</v>
      </c>
      <c r="W2722" t="str">
        <f t="shared" si="257"/>
        <v>Normal</v>
      </c>
      <c r="X2722">
        <v>0</v>
      </c>
    </row>
    <row r="2723" spans="1:24" ht="14.5" thickBot="1" x14ac:dyDescent="0.35">
      <c r="A2723">
        <v>0</v>
      </c>
      <c r="B2723" t="str">
        <f t="shared" si="255"/>
        <v>Female</v>
      </c>
      <c r="C2723" s="8">
        <v>53</v>
      </c>
      <c r="D2723" t="str">
        <f t="shared" si="256"/>
        <v>Middle Age</v>
      </c>
      <c r="E2723">
        <v>2</v>
      </c>
      <c r="F2723" t="str">
        <f>HLOOKUP(E2723, LookUP_Table!$A$6:$D$7, 2, FALSE)</f>
        <v>Secondary</v>
      </c>
      <c r="G2723" t="str">
        <f>IFERROR(VLOOKUP(E2723, LookUP_Table!$A$1:$B$4, 2, FALSE), "")</f>
        <v>Secondary</v>
      </c>
      <c r="H2723">
        <v>1</v>
      </c>
      <c r="I2723">
        <v>30</v>
      </c>
      <c r="J2723" t="str">
        <f t="shared" si="252"/>
        <v>Smoker</v>
      </c>
      <c r="K2723">
        <v>0</v>
      </c>
      <c r="L2723">
        <v>0</v>
      </c>
      <c r="M2723">
        <v>0</v>
      </c>
      <c r="N2723">
        <v>0</v>
      </c>
      <c r="O2723">
        <v>250</v>
      </c>
      <c r="P2723" t="str">
        <f t="shared" si="253"/>
        <v>High</v>
      </c>
      <c r="Q2723">
        <v>149.5</v>
      </c>
      <c r="R2723">
        <v>95</v>
      </c>
      <c r="S2723">
        <v>28.02</v>
      </c>
      <c r="T2723" t="str">
        <f t="shared" si="254"/>
        <v>Overweight</v>
      </c>
      <c r="U2723">
        <v>68</v>
      </c>
      <c r="V2723">
        <v>81.96365524402907</v>
      </c>
      <c r="W2723" t="str">
        <f t="shared" si="257"/>
        <v>Normal</v>
      </c>
      <c r="X2723">
        <v>0</v>
      </c>
    </row>
    <row r="2724" spans="1:24" ht="14.5" thickBot="1" x14ac:dyDescent="0.35">
      <c r="A2724">
        <v>1</v>
      </c>
      <c r="B2724" t="str">
        <f t="shared" si="255"/>
        <v>Male</v>
      </c>
      <c r="C2724" s="8">
        <v>53</v>
      </c>
      <c r="D2724" t="str">
        <f t="shared" si="256"/>
        <v>Middle Age</v>
      </c>
      <c r="E2724">
        <v>2</v>
      </c>
      <c r="F2724" t="str">
        <f>HLOOKUP(E2724, LookUP_Table!$A$6:$D$7, 2, FALSE)</f>
        <v>Secondary</v>
      </c>
      <c r="G2724" t="str">
        <f>IFERROR(VLOOKUP(E2724, LookUP_Table!$A$1:$B$4, 2, FALSE), "")</f>
        <v>Secondary</v>
      </c>
      <c r="H2724">
        <v>0</v>
      </c>
      <c r="I2724">
        <v>0</v>
      </c>
      <c r="J2724" t="str">
        <f t="shared" si="252"/>
        <v>Non-Smoker</v>
      </c>
      <c r="K2724">
        <v>0</v>
      </c>
      <c r="L2724">
        <v>0</v>
      </c>
      <c r="M2724">
        <v>0</v>
      </c>
      <c r="N2724">
        <v>0</v>
      </c>
      <c r="O2724">
        <v>202</v>
      </c>
      <c r="P2724" t="str">
        <f t="shared" si="253"/>
        <v>Normal</v>
      </c>
      <c r="Q2724">
        <v>119</v>
      </c>
      <c r="R2724">
        <v>80</v>
      </c>
      <c r="S2724">
        <v>23.98</v>
      </c>
      <c r="T2724" t="str">
        <f t="shared" si="254"/>
        <v>Normal</v>
      </c>
      <c r="U2724">
        <v>64</v>
      </c>
      <c r="V2724">
        <v>78</v>
      </c>
      <c r="W2724" t="str">
        <f t="shared" si="257"/>
        <v>Normal</v>
      </c>
      <c r="X2724">
        <v>0</v>
      </c>
    </row>
    <row r="2725" spans="1:24" ht="14.5" thickBot="1" x14ac:dyDescent="0.35">
      <c r="A2725">
        <v>0</v>
      </c>
      <c r="B2725" t="str">
        <f t="shared" si="255"/>
        <v>Female</v>
      </c>
      <c r="C2725" s="8">
        <v>53</v>
      </c>
      <c r="D2725" t="str">
        <f t="shared" si="256"/>
        <v>Middle Age</v>
      </c>
      <c r="E2725">
        <v>1</v>
      </c>
      <c r="F2725" t="str">
        <f>HLOOKUP(E2725, LookUP_Table!$A$6:$D$7, 2, FALSE)</f>
        <v>Primary</v>
      </c>
      <c r="G2725" t="str">
        <f>IFERROR(VLOOKUP(E2725, LookUP_Table!$A$1:$B$4, 2, FALSE), "")</f>
        <v>Primary</v>
      </c>
      <c r="H2725">
        <v>1</v>
      </c>
      <c r="I2725">
        <v>3</v>
      </c>
      <c r="J2725" t="str">
        <f t="shared" si="252"/>
        <v>Smoker</v>
      </c>
      <c r="K2725">
        <v>0</v>
      </c>
      <c r="L2725">
        <v>0</v>
      </c>
      <c r="M2725">
        <v>0</v>
      </c>
      <c r="N2725">
        <v>0</v>
      </c>
      <c r="O2725">
        <v>239</v>
      </c>
      <c r="P2725" t="str">
        <f t="shared" si="253"/>
        <v>Normal</v>
      </c>
      <c r="Q2725">
        <v>112.5</v>
      </c>
      <c r="R2725">
        <v>67</v>
      </c>
      <c r="S2725">
        <v>25.63</v>
      </c>
      <c r="T2725" t="str">
        <f t="shared" si="254"/>
        <v>Overweight</v>
      </c>
      <c r="U2725">
        <v>77</v>
      </c>
      <c r="V2725">
        <v>74</v>
      </c>
      <c r="W2725" t="str">
        <f t="shared" si="257"/>
        <v>Normal</v>
      </c>
      <c r="X2725">
        <v>0</v>
      </c>
    </row>
    <row r="2726" spans="1:24" ht="14.5" thickBot="1" x14ac:dyDescent="0.35">
      <c r="A2726">
        <v>0</v>
      </c>
      <c r="B2726" t="str">
        <f t="shared" si="255"/>
        <v>Female</v>
      </c>
      <c r="C2726" s="8">
        <v>53</v>
      </c>
      <c r="D2726" t="str">
        <f t="shared" si="256"/>
        <v>Middle Age</v>
      </c>
      <c r="E2726">
        <v>1</v>
      </c>
      <c r="F2726" t="str">
        <f>HLOOKUP(E2726, LookUP_Table!$A$6:$D$7, 2, FALSE)</f>
        <v>Primary</v>
      </c>
      <c r="G2726" t="str">
        <f>IFERROR(VLOOKUP(E2726, LookUP_Table!$A$1:$B$4, 2, FALSE), "")</f>
        <v>Primary</v>
      </c>
      <c r="H2726">
        <v>0</v>
      </c>
      <c r="I2726">
        <v>0</v>
      </c>
      <c r="J2726" t="str">
        <f t="shared" si="252"/>
        <v>Non-Smoker</v>
      </c>
      <c r="K2726">
        <v>0</v>
      </c>
      <c r="L2726">
        <v>0</v>
      </c>
      <c r="M2726">
        <v>0</v>
      </c>
      <c r="N2726">
        <v>0</v>
      </c>
      <c r="O2726">
        <v>185</v>
      </c>
      <c r="P2726" t="str">
        <f t="shared" si="253"/>
        <v>Normal</v>
      </c>
      <c r="Q2726">
        <v>96</v>
      </c>
      <c r="R2726">
        <v>72</v>
      </c>
      <c r="S2726">
        <v>21.35</v>
      </c>
      <c r="T2726" t="str">
        <f t="shared" si="254"/>
        <v>Normal</v>
      </c>
      <c r="U2726">
        <v>60</v>
      </c>
      <c r="V2726">
        <v>82</v>
      </c>
      <c r="W2726" t="str">
        <f t="shared" si="257"/>
        <v>Normal</v>
      </c>
      <c r="X2726">
        <v>0</v>
      </c>
    </row>
    <row r="2727" spans="1:24" ht="14.5" thickBot="1" x14ac:dyDescent="0.35">
      <c r="A2727">
        <v>1</v>
      </c>
      <c r="B2727" t="str">
        <f t="shared" si="255"/>
        <v>Male</v>
      </c>
      <c r="C2727" s="8">
        <v>53</v>
      </c>
      <c r="D2727" t="str">
        <f t="shared" si="256"/>
        <v>Middle Age</v>
      </c>
      <c r="E2727">
        <v>4</v>
      </c>
      <c r="F2727" t="str">
        <f>HLOOKUP(E2727, LookUP_Table!$A$6:$D$7, 2, FALSE)</f>
        <v>Post Graduate</v>
      </c>
      <c r="G2727" t="str">
        <f>IFERROR(VLOOKUP(E2727, LookUP_Table!$A$1:$B$4, 2, FALSE), "")</f>
        <v>Post Graduate</v>
      </c>
      <c r="H2727">
        <v>1</v>
      </c>
      <c r="I2727">
        <v>30</v>
      </c>
      <c r="J2727" t="str">
        <f t="shared" si="252"/>
        <v>Smoker</v>
      </c>
      <c r="K2727">
        <v>0</v>
      </c>
      <c r="L2727">
        <v>0</v>
      </c>
      <c r="M2727">
        <v>1</v>
      </c>
      <c r="N2727">
        <v>0</v>
      </c>
      <c r="O2727">
        <v>226</v>
      </c>
      <c r="P2727" t="str">
        <f t="shared" si="253"/>
        <v>Normal</v>
      </c>
      <c r="Q2727">
        <v>139</v>
      </c>
      <c r="R2727">
        <v>80</v>
      </c>
      <c r="S2727">
        <v>23.62</v>
      </c>
      <c r="T2727" t="str">
        <f t="shared" si="254"/>
        <v>Normal</v>
      </c>
      <c r="U2727">
        <v>72</v>
      </c>
      <c r="V2727">
        <v>69</v>
      </c>
      <c r="W2727" t="str">
        <f t="shared" si="257"/>
        <v>Normal</v>
      </c>
      <c r="X2727">
        <v>0</v>
      </c>
    </row>
    <row r="2728" spans="1:24" ht="14.5" thickBot="1" x14ac:dyDescent="0.35">
      <c r="A2728">
        <v>0</v>
      </c>
      <c r="B2728" t="str">
        <f t="shared" si="255"/>
        <v>Female</v>
      </c>
      <c r="C2728" s="8">
        <v>53</v>
      </c>
      <c r="D2728" t="str">
        <f t="shared" si="256"/>
        <v>Middle Age</v>
      </c>
      <c r="E2728">
        <v>2</v>
      </c>
      <c r="F2728" t="str">
        <f>HLOOKUP(E2728, LookUP_Table!$A$6:$D$7, 2, FALSE)</f>
        <v>Secondary</v>
      </c>
      <c r="G2728" t="str">
        <f>IFERROR(VLOOKUP(E2728, LookUP_Table!$A$1:$B$4, 2, FALSE), "")</f>
        <v>Secondary</v>
      </c>
      <c r="H2728">
        <v>1</v>
      </c>
      <c r="I2728">
        <v>20</v>
      </c>
      <c r="J2728" t="str">
        <f t="shared" si="252"/>
        <v>Smoker</v>
      </c>
      <c r="K2728">
        <v>0</v>
      </c>
      <c r="L2728">
        <v>0</v>
      </c>
      <c r="M2728">
        <v>0</v>
      </c>
      <c r="N2728">
        <v>0</v>
      </c>
      <c r="O2728">
        <v>317</v>
      </c>
      <c r="P2728" t="str">
        <f t="shared" si="253"/>
        <v>High</v>
      </c>
      <c r="Q2728">
        <v>123</v>
      </c>
      <c r="R2728">
        <v>81</v>
      </c>
      <c r="S2728">
        <v>20.329999999999998</v>
      </c>
      <c r="T2728" t="str">
        <f t="shared" si="254"/>
        <v>Normal</v>
      </c>
      <c r="U2728">
        <v>80</v>
      </c>
      <c r="V2728">
        <v>81.96365524402907</v>
      </c>
      <c r="W2728" t="str">
        <f t="shared" si="257"/>
        <v>Normal</v>
      </c>
      <c r="X2728">
        <v>0</v>
      </c>
    </row>
    <row r="2729" spans="1:24" ht="14.5" thickBot="1" x14ac:dyDescent="0.35">
      <c r="A2729">
        <v>1</v>
      </c>
      <c r="B2729" t="str">
        <f t="shared" si="255"/>
        <v>Male</v>
      </c>
      <c r="C2729" s="8">
        <v>53</v>
      </c>
      <c r="D2729" t="str">
        <f t="shared" si="256"/>
        <v>Middle Age</v>
      </c>
      <c r="E2729">
        <v>3</v>
      </c>
      <c r="F2729" t="str">
        <f>HLOOKUP(E2729, LookUP_Table!$A$6:$D$7, 2, FALSE)</f>
        <v>Graduate</v>
      </c>
      <c r="G2729" t="str">
        <f>IFERROR(VLOOKUP(E2729, LookUP_Table!$A$1:$B$4, 2, FALSE), "")</f>
        <v>Graduate</v>
      </c>
      <c r="H2729">
        <v>1</v>
      </c>
      <c r="I2729">
        <v>43</v>
      </c>
      <c r="J2729" t="str">
        <f t="shared" si="252"/>
        <v>Smoker</v>
      </c>
      <c r="K2729">
        <v>0</v>
      </c>
      <c r="L2729">
        <v>0</v>
      </c>
      <c r="M2729">
        <v>0</v>
      </c>
      <c r="N2729">
        <v>0</v>
      </c>
      <c r="O2729">
        <v>238</v>
      </c>
      <c r="P2729" t="str">
        <f t="shared" si="253"/>
        <v>Normal</v>
      </c>
      <c r="Q2729">
        <v>126</v>
      </c>
      <c r="R2729">
        <v>72</v>
      </c>
      <c r="S2729">
        <v>23.4</v>
      </c>
      <c r="T2729" t="str">
        <f t="shared" si="254"/>
        <v>Normal</v>
      </c>
      <c r="U2729">
        <v>62</v>
      </c>
      <c r="V2729">
        <v>73</v>
      </c>
      <c r="W2729" t="str">
        <f t="shared" si="257"/>
        <v>Normal</v>
      </c>
      <c r="X2729">
        <v>0</v>
      </c>
    </row>
    <row r="2730" spans="1:24" ht="14.5" thickBot="1" x14ac:dyDescent="0.35">
      <c r="A2730">
        <v>0</v>
      </c>
      <c r="B2730" t="str">
        <f t="shared" si="255"/>
        <v>Female</v>
      </c>
      <c r="C2730" s="8">
        <v>53</v>
      </c>
      <c r="D2730" t="str">
        <f t="shared" si="256"/>
        <v>Middle Age</v>
      </c>
      <c r="E2730">
        <v>1</v>
      </c>
      <c r="F2730" t="str">
        <f>HLOOKUP(E2730, LookUP_Table!$A$6:$D$7, 2, FALSE)</f>
        <v>Primary</v>
      </c>
      <c r="G2730" t="str">
        <f>IFERROR(VLOOKUP(E2730, LookUP_Table!$A$1:$B$4, 2, FALSE), "")</f>
        <v>Primary</v>
      </c>
      <c r="H2730">
        <v>1</v>
      </c>
      <c r="I2730">
        <v>9</v>
      </c>
      <c r="J2730" t="str">
        <f t="shared" si="252"/>
        <v>Smoker</v>
      </c>
      <c r="K2730">
        <v>0</v>
      </c>
      <c r="L2730">
        <v>0</v>
      </c>
      <c r="M2730">
        <v>0</v>
      </c>
      <c r="N2730">
        <v>0</v>
      </c>
      <c r="O2730">
        <v>309</v>
      </c>
      <c r="P2730" t="str">
        <f t="shared" si="253"/>
        <v>High</v>
      </c>
      <c r="Q2730">
        <v>130</v>
      </c>
      <c r="R2730">
        <v>86</v>
      </c>
      <c r="S2730">
        <v>22.37</v>
      </c>
      <c r="T2730" t="str">
        <f t="shared" si="254"/>
        <v>Normal</v>
      </c>
      <c r="U2730">
        <v>82</v>
      </c>
      <c r="V2730">
        <v>80</v>
      </c>
      <c r="W2730" t="str">
        <f t="shared" si="257"/>
        <v>Normal</v>
      </c>
      <c r="X2730">
        <v>0</v>
      </c>
    </row>
    <row r="2731" spans="1:24" ht="14.5" thickBot="1" x14ac:dyDescent="0.35">
      <c r="A2731">
        <v>0</v>
      </c>
      <c r="B2731" t="str">
        <f t="shared" si="255"/>
        <v>Female</v>
      </c>
      <c r="C2731" s="8">
        <v>53</v>
      </c>
      <c r="D2731" t="str">
        <f t="shared" si="256"/>
        <v>Middle Age</v>
      </c>
      <c r="E2731">
        <v>2</v>
      </c>
      <c r="F2731" t="str">
        <f>HLOOKUP(E2731, LookUP_Table!$A$6:$D$7, 2, FALSE)</f>
        <v>Secondary</v>
      </c>
      <c r="G2731" t="str">
        <f>IFERROR(VLOOKUP(E2731, LookUP_Table!$A$1:$B$4, 2, FALSE), "")</f>
        <v>Secondary</v>
      </c>
      <c r="H2731">
        <v>0</v>
      </c>
      <c r="I2731">
        <v>0</v>
      </c>
      <c r="J2731" t="str">
        <f t="shared" si="252"/>
        <v>Non-Smoker</v>
      </c>
      <c r="K2731">
        <v>0</v>
      </c>
      <c r="L2731">
        <v>0</v>
      </c>
      <c r="M2731">
        <v>1</v>
      </c>
      <c r="N2731">
        <v>0</v>
      </c>
      <c r="O2731">
        <v>315</v>
      </c>
      <c r="P2731" t="str">
        <f t="shared" si="253"/>
        <v>High</v>
      </c>
      <c r="Q2731">
        <v>159</v>
      </c>
      <c r="R2731">
        <v>99</v>
      </c>
      <c r="S2731">
        <v>27.94</v>
      </c>
      <c r="T2731" t="str">
        <f t="shared" si="254"/>
        <v>Overweight</v>
      </c>
      <c r="U2731">
        <v>75</v>
      </c>
      <c r="V2731">
        <v>81.96365524402907</v>
      </c>
      <c r="W2731" t="str">
        <f t="shared" si="257"/>
        <v>Normal</v>
      </c>
      <c r="X2731">
        <v>0</v>
      </c>
    </row>
    <row r="2732" spans="1:24" ht="14.5" thickBot="1" x14ac:dyDescent="0.35">
      <c r="A2732">
        <v>0</v>
      </c>
      <c r="B2732" t="str">
        <f t="shared" si="255"/>
        <v>Female</v>
      </c>
      <c r="C2732" s="8">
        <v>53</v>
      </c>
      <c r="D2732" t="str">
        <f t="shared" si="256"/>
        <v>Middle Age</v>
      </c>
      <c r="E2732">
        <v>3</v>
      </c>
      <c r="F2732" t="str">
        <f>HLOOKUP(E2732, LookUP_Table!$A$6:$D$7, 2, FALSE)</f>
        <v>Graduate</v>
      </c>
      <c r="G2732" t="str">
        <f>IFERROR(VLOOKUP(E2732, LookUP_Table!$A$1:$B$4, 2, FALSE), "")</f>
        <v>Graduate</v>
      </c>
      <c r="H2732">
        <v>0</v>
      </c>
      <c r="I2732">
        <v>0</v>
      </c>
      <c r="J2732" t="str">
        <f t="shared" si="252"/>
        <v>Non-Smoker</v>
      </c>
      <c r="K2732">
        <v>0</v>
      </c>
      <c r="L2732">
        <v>0</v>
      </c>
      <c r="M2732">
        <v>0</v>
      </c>
      <c r="N2732">
        <v>0</v>
      </c>
      <c r="O2732">
        <v>240</v>
      </c>
      <c r="P2732" t="str">
        <f t="shared" si="253"/>
        <v>Normal</v>
      </c>
      <c r="Q2732">
        <v>109</v>
      </c>
      <c r="R2732">
        <v>79</v>
      </c>
      <c r="S2732">
        <v>25.80080075811421</v>
      </c>
      <c r="T2732" t="str">
        <f t="shared" si="254"/>
        <v>Overweight</v>
      </c>
      <c r="U2732">
        <v>92</v>
      </c>
      <c r="V2732">
        <v>80</v>
      </c>
      <c r="W2732" t="str">
        <f t="shared" si="257"/>
        <v>Normal</v>
      </c>
      <c r="X2732">
        <v>1</v>
      </c>
    </row>
    <row r="2733" spans="1:24" ht="14.5" thickBot="1" x14ac:dyDescent="0.35">
      <c r="A2733">
        <v>0</v>
      </c>
      <c r="B2733" t="str">
        <f t="shared" si="255"/>
        <v>Female</v>
      </c>
      <c r="C2733" s="8">
        <v>53</v>
      </c>
      <c r="D2733" t="str">
        <f t="shared" si="256"/>
        <v>Middle Age</v>
      </c>
      <c r="E2733">
        <v>1</v>
      </c>
      <c r="F2733" t="str">
        <f>HLOOKUP(E2733, LookUP_Table!$A$6:$D$7, 2, FALSE)</f>
        <v>Primary</v>
      </c>
      <c r="G2733" t="str">
        <f>IFERROR(VLOOKUP(E2733, LookUP_Table!$A$1:$B$4, 2, FALSE), "")</f>
        <v>Primary</v>
      </c>
      <c r="H2733">
        <v>0</v>
      </c>
      <c r="I2733">
        <v>0</v>
      </c>
      <c r="J2733" t="str">
        <f t="shared" si="252"/>
        <v>Non-Smoker</v>
      </c>
      <c r="K2733">
        <v>0</v>
      </c>
      <c r="L2733">
        <v>0</v>
      </c>
      <c r="M2733">
        <v>0</v>
      </c>
      <c r="N2733">
        <v>0</v>
      </c>
      <c r="O2733">
        <v>279</v>
      </c>
      <c r="P2733" t="str">
        <f t="shared" si="253"/>
        <v>High</v>
      </c>
      <c r="Q2733">
        <v>132</v>
      </c>
      <c r="R2733">
        <v>81</v>
      </c>
      <c r="S2733">
        <v>26.18</v>
      </c>
      <c r="T2733" t="str">
        <f t="shared" si="254"/>
        <v>Overweight</v>
      </c>
      <c r="U2733">
        <v>67</v>
      </c>
      <c r="V2733">
        <v>77</v>
      </c>
      <c r="W2733" t="str">
        <f t="shared" si="257"/>
        <v>Normal</v>
      </c>
      <c r="X2733">
        <v>0</v>
      </c>
    </row>
    <row r="2734" spans="1:24" ht="14.5" thickBot="1" x14ac:dyDescent="0.35">
      <c r="A2734">
        <v>1</v>
      </c>
      <c r="B2734" t="str">
        <f t="shared" si="255"/>
        <v>Male</v>
      </c>
      <c r="C2734" s="8">
        <v>53</v>
      </c>
      <c r="D2734" t="str">
        <f t="shared" si="256"/>
        <v>Middle Age</v>
      </c>
      <c r="E2734">
        <v>1</v>
      </c>
      <c r="F2734" t="str">
        <f>HLOOKUP(E2734, LookUP_Table!$A$6:$D$7, 2, FALSE)</f>
        <v>Primary</v>
      </c>
      <c r="G2734" t="str">
        <f>IFERROR(VLOOKUP(E2734, LookUP_Table!$A$1:$B$4, 2, FALSE), "")</f>
        <v>Primary</v>
      </c>
      <c r="H2734">
        <v>1</v>
      </c>
      <c r="I2734">
        <v>20</v>
      </c>
      <c r="J2734" t="str">
        <f t="shared" si="252"/>
        <v>Smoker</v>
      </c>
      <c r="K2734">
        <v>0</v>
      </c>
      <c r="L2734">
        <v>0</v>
      </c>
      <c r="M2734">
        <v>0</v>
      </c>
      <c r="N2734">
        <v>0</v>
      </c>
      <c r="O2734">
        <v>260</v>
      </c>
      <c r="P2734" t="str">
        <f t="shared" si="253"/>
        <v>High</v>
      </c>
      <c r="Q2734">
        <v>120</v>
      </c>
      <c r="R2734">
        <v>80</v>
      </c>
      <c r="S2734">
        <v>29.35</v>
      </c>
      <c r="T2734" t="str">
        <f t="shared" si="254"/>
        <v>Overweight</v>
      </c>
      <c r="U2734">
        <v>64</v>
      </c>
      <c r="V2734">
        <v>73</v>
      </c>
      <c r="W2734" t="str">
        <f t="shared" si="257"/>
        <v>Normal</v>
      </c>
      <c r="X2734">
        <v>0</v>
      </c>
    </row>
    <row r="2735" spans="1:24" ht="14.5" thickBot="1" x14ac:dyDescent="0.35">
      <c r="A2735">
        <v>0</v>
      </c>
      <c r="B2735" t="str">
        <f t="shared" si="255"/>
        <v>Female</v>
      </c>
      <c r="C2735" s="8">
        <v>53</v>
      </c>
      <c r="D2735" t="str">
        <f t="shared" si="256"/>
        <v>Middle Age</v>
      </c>
      <c r="E2735">
        <v>4</v>
      </c>
      <c r="F2735" t="str">
        <f>HLOOKUP(E2735, LookUP_Table!$A$6:$D$7, 2, FALSE)</f>
        <v>Post Graduate</v>
      </c>
      <c r="G2735" t="str">
        <f>IFERROR(VLOOKUP(E2735, LookUP_Table!$A$1:$B$4, 2, FALSE), "")</f>
        <v>Post Graduate</v>
      </c>
      <c r="H2735">
        <v>0</v>
      </c>
      <c r="I2735">
        <v>0</v>
      </c>
      <c r="J2735" t="str">
        <f t="shared" si="252"/>
        <v>Non-Smoker</v>
      </c>
      <c r="K2735">
        <v>0</v>
      </c>
      <c r="L2735">
        <v>0</v>
      </c>
      <c r="M2735">
        <v>1</v>
      </c>
      <c r="N2735">
        <v>0</v>
      </c>
      <c r="O2735">
        <v>243</v>
      </c>
      <c r="P2735" t="str">
        <f t="shared" si="253"/>
        <v>High</v>
      </c>
      <c r="Q2735">
        <v>188.5</v>
      </c>
      <c r="R2735">
        <v>106.5</v>
      </c>
      <c r="S2735">
        <v>29.82</v>
      </c>
      <c r="T2735" t="str">
        <f t="shared" si="254"/>
        <v>Overweight</v>
      </c>
      <c r="U2735">
        <v>68</v>
      </c>
      <c r="V2735">
        <v>70</v>
      </c>
      <c r="W2735" t="str">
        <f t="shared" si="257"/>
        <v>Normal</v>
      </c>
      <c r="X2735">
        <v>0</v>
      </c>
    </row>
    <row r="2736" spans="1:24" ht="14.5" thickBot="1" x14ac:dyDescent="0.35">
      <c r="A2736">
        <v>0</v>
      </c>
      <c r="B2736" t="str">
        <f t="shared" si="255"/>
        <v>Female</v>
      </c>
      <c r="C2736" s="8">
        <v>53</v>
      </c>
      <c r="D2736" t="str">
        <f t="shared" si="256"/>
        <v>Middle Age</v>
      </c>
      <c r="E2736">
        <v>3</v>
      </c>
      <c r="F2736" t="str">
        <f>HLOOKUP(E2736, LookUP_Table!$A$6:$D$7, 2, FALSE)</f>
        <v>Graduate</v>
      </c>
      <c r="G2736" t="str">
        <f>IFERROR(VLOOKUP(E2736, LookUP_Table!$A$1:$B$4, 2, FALSE), "")</f>
        <v>Graduate</v>
      </c>
      <c r="H2736">
        <v>0</v>
      </c>
      <c r="I2736">
        <v>0</v>
      </c>
      <c r="J2736" t="str">
        <f t="shared" si="252"/>
        <v>Non-Smoker</v>
      </c>
      <c r="K2736">
        <v>0</v>
      </c>
      <c r="L2736">
        <v>0</v>
      </c>
      <c r="M2736">
        <v>0</v>
      </c>
      <c r="N2736">
        <v>0</v>
      </c>
      <c r="O2736">
        <v>260</v>
      </c>
      <c r="P2736" t="str">
        <f t="shared" si="253"/>
        <v>High</v>
      </c>
      <c r="Q2736">
        <v>139</v>
      </c>
      <c r="R2736">
        <v>80</v>
      </c>
      <c r="S2736">
        <v>20.309999999999999</v>
      </c>
      <c r="T2736" t="str">
        <f t="shared" si="254"/>
        <v>Normal</v>
      </c>
      <c r="U2736">
        <v>72</v>
      </c>
      <c r="V2736">
        <v>76</v>
      </c>
      <c r="W2736" t="str">
        <f t="shared" si="257"/>
        <v>Normal</v>
      </c>
      <c r="X2736">
        <v>0</v>
      </c>
    </row>
    <row r="2737" spans="1:24" ht="14.5" thickBot="1" x14ac:dyDescent="0.35">
      <c r="A2737">
        <v>0</v>
      </c>
      <c r="B2737" t="str">
        <f t="shared" si="255"/>
        <v>Female</v>
      </c>
      <c r="C2737" s="8">
        <v>53</v>
      </c>
      <c r="D2737" t="str">
        <f t="shared" si="256"/>
        <v>Middle Age</v>
      </c>
      <c r="E2737">
        <v>4</v>
      </c>
      <c r="F2737" t="str">
        <f>HLOOKUP(E2737, LookUP_Table!$A$6:$D$7, 2, FALSE)</f>
        <v>Post Graduate</v>
      </c>
      <c r="G2737" t="str">
        <f>IFERROR(VLOOKUP(E2737, LookUP_Table!$A$1:$B$4, 2, FALSE), "")</f>
        <v>Post Graduate</v>
      </c>
      <c r="H2737">
        <v>0</v>
      </c>
      <c r="I2737">
        <v>0</v>
      </c>
      <c r="J2737" t="str">
        <f t="shared" si="252"/>
        <v>Non-Smoker</v>
      </c>
      <c r="K2737">
        <v>0</v>
      </c>
      <c r="L2737">
        <v>0</v>
      </c>
      <c r="M2737">
        <v>1</v>
      </c>
      <c r="N2737">
        <v>0</v>
      </c>
      <c r="O2737">
        <v>243</v>
      </c>
      <c r="P2737" t="str">
        <f t="shared" si="253"/>
        <v>High</v>
      </c>
      <c r="Q2737">
        <v>164</v>
      </c>
      <c r="R2737">
        <v>111</v>
      </c>
      <c r="S2737">
        <v>39.53</v>
      </c>
      <c r="T2737" t="str">
        <f t="shared" si="254"/>
        <v>Obese</v>
      </c>
      <c r="U2737">
        <v>100</v>
      </c>
      <c r="V2737">
        <v>70</v>
      </c>
      <c r="W2737" t="str">
        <f t="shared" si="257"/>
        <v>Normal</v>
      </c>
      <c r="X2737">
        <v>0</v>
      </c>
    </row>
    <row r="2738" spans="1:24" ht="14.5" thickBot="1" x14ac:dyDescent="0.35">
      <c r="A2738">
        <v>0</v>
      </c>
      <c r="B2738" t="str">
        <f t="shared" si="255"/>
        <v>Female</v>
      </c>
      <c r="C2738" s="8">
        <v>53</v>
      </c>
      <c r="D2738" t="str">
        <f t="shared" si="256"/>
        <v>Middle Age</v>
      </c>
      <c r="E2738">
        <v>4</v>
      </c>
      <c r="F2738" t="str">
        <f>HLOOKUP(E2738, LookUP_Table!$A$6:$D$7, 2, FALSE)</f>
        <v>Post Graduate</v>
      </c>
      <c r="G2738" t="str">
        <f>IFERROR(VLOOKUP(E2738, LookUP_Table!$A$1:$B$4, 2, FALSE), "")</f>
        <v>Post Graduate</v>
      </c>
      <c r="H2738">
        <v>0</v>
      </c>
      <c r="I2738">
        <v>0</v>
      </c>
      <c r="J2738" t="str">
        <f t="shared" si="252"/>
        <v>Non-Smoker</v>
      </c>
      <c r="K2738">
        <v>0</v>
      </c>
      <c r="L2738">
        <v>0</v>
      </c>
      <c r="M2738">
        <v>1</v>
      </c>
      <c r="N2738">
        <v>0</v>
      </c>
      <c r="O2738">
        <v>310</v>
      </c>
      <c r="P2738" t="str">
        <f t="shared" si="253"/>
        <v>High</v>
      </c>
      <c r="Q2738">
        <v>146</v>
      </c>
      <c r="R2738">
        <v>91</v>
      </c>
      <c r="S2738">
        <v>29.3</v>
      </c>
      <c r="T2738" t="str">
        <f t="shared" si="254"/>
        <v>Overweight</v>
      </c>
      <c r="U2738">
        <v>75</v>
      </c>
      <c r="V2738">
        <v>72</v>
      </c>
      <c r="W2738" t="str">
        <f t="shared" si="257"/>
        <v>Normal</v>
      </c>
      <c r="X2738">
        <v>1</v>
      </c>
    </row>
    <row r="2739" spans="1:24" ht="14.5" thickBot="1" x14ac:dyDescent="0.35">
      <c r="A2739">
        <v>0</v>
      </c>
      <c r="B2739" t="str">
        <f t="shared" si="255"/>
        <v>Female</v>
      </c>
      <c r="C2739" s="8">
        <v>53</v>
      </c>
      <c r="D2739" t="str">
        <f t="shared" si="256"/>
        <v>Middle Age</v>
      </c>
      <c r="E2739">
        <v>1</v>
      </c>
      <c r="F2739" t="str">
        <f>HLOOKUP(E2739, LookUP_Table!$A$6:$D$7, 2, FALSE)</f>
        <v>Primary</v>
      </c>
      <c r="G2739" t="str">
        <f>IFERROR(VLOOKUP(E2739, LookUP_Table!$A$1:$B$4, 2, FALSE), "")</f>
        <v>Primary</v>
      </c>
      <c r="H2739">
        <v>0</v>
      </c>
      <c r="I2739">
        <v>0</v>
      </c>
      <c r="J2739" t="str">
        <f t="shared" si="252"/>
        <v>Non-Smoker</v>
      </c>
      <c r="K2739">
        <v>0</v>
      </c>
      <c r="L2739">
        <v>0</v>
      </c>
      <c r="M2739">
        <v>1</v>
      </c>
      <c r="N2739">
        <v>0</v>
      </c>
      <c r="O2739">
        <v>180</v>
      </c>
      <c r="P2739" t="str">
        <f t="shared" si="253"/>
        <v>Normal</v>
      </c>
      <c r="Q2739">
        <v>184.5</v>
      </c>
      <c r="R2739">
        <v>110.5</v>
      </c>
      <c r="S2739">
        <v>27.49</v>
      </c>
      <c r="T2739" t="str">
        <f t="shared" si="254"/>
        <v>Overweight</v>
      </c>
      <c r="U2739">
        <v>62</v>
      </c>
      <c r="V2739">
        <v>74</v>
      </c>
      <c r="W2739" t="str">
        <f t="shared" si="257"/>
        <v>Normal</v>
      </c>
      <c r="X2739">
        <v>0</v>
      </c>
    </row>
    <row r="2740" spans="1:24" ht="14.5" thickBot="1" x14ac:dyDescent="0.35">
      <c r="A2740">
        <v>0</v>
      </c>
      <c r="B2740" t="str">
        <f t="shared" si="255"/>
        <v>Female</v>
      </c>
      <c r="C2740" s="8">
        <v>53</v>
      </c>
      <c r="D2740" t="str">
        <f t="shared" si="256"/>
        <v>Middle Age</v>
      </c>
      <c r="E2740">
        <v>2</v>
      </c>
      <c r="F2740" t="str">
        <f>HLOOKUP(E2740, LookUP_Table!$A$6:$D$7, 2, FALSE)</f>
        <v>Secondary</v>
      </c>
      <c r="G2740" t="str">
        <f>IFERROR(VLOOKUP(E2740, LookUP_Table!$A$1:$B$4, 2, FALSE), "")</f>
        <v>Secondary</v>
      </c>
      <c r="H2740">
        <v>0</v>
      </c>
      <c r="I2740">
        <v>0</v>
      </c>
      <c r="J2740" t="str">
        <f t="shared" si="252"/>
        <v>Non-Smoker</v>
      </c>
      <c r="K2740">
        <v>0</v>
      </c>
      <c r="L2740">
        <v>0</v>
      </c>
      <c r="M2740">
        <v>1</v>
      </c>
      <c r="N2740">
        <v>0</v>
      </c>
      <c r="O2740">
        <v>185</v>
      </c>
      <c r="P2740" t="str">
        <f t="shared" si="253"/>
        <v>Normal</v>
      </c>
      <c r="Q2740">
        <v>202.5</v>
      </c>
      <c r="R2740">
        <v>85</v>
      </c>
      <c r="S2740">
        <v>24.65</v>
      </c>
      <c r="T2740" t="str">
        <f t="shared" si="254"/>
        <v>Normal</v>
      </c>
      <c r="U2740">
        <v>107</v>
      </c>
      <c r="V2740">
        <v>104</v>
      </c>
      <c r="W2740" t="str">
        <f t="shared" si="257"/>
        <v>Prediabetes</v>
      </c>
      <c r="X2740">
        <v>0</v>
      </c>
    </row>
    <row r="2741" spans="1:24" ht="14.5" thickBot="1" x14ac:dyDescent="0.35">
      <c r="A2741">
        <v>1</v>
      </c>
      <c r="B2741" t="str">
        <f t="shared" si="255"/>
        <v>Male</v>
      </c>
      <c r="C2741" s="8">
        <v>53</v>
      </c>
      <c r="D2741" t="str">
        <f t="shared" si="256"/>
        <v>Middle Age</v>
      </c>
      <c r="E2741">
        <v>1</v>
      </c>
      <c r="F2741" t="str">
        <f>HLOOKUP(E2741, LookUP_Table!$A$6:$D$7, 2, FALSE)</f>
        <v>Primary</v>
      </c>
      <c r="G2741" t="str">
        <f>IFERROR(VLOOKUP(E2741, LookUP_Table!$A$1:$B$4, 2, FALSE), "")</f>
        <v>Primary</v>
      </c>
      <c r="H2741">
        <v>0</v>
      </c>
      <c r="I2741">
        <v>0</v>
      </c>
      <c r="J2741" t="str">
        <f t="shared" si="252"/>
        <v>Non-Smoker</v>
      </c>
      <c r="K2741">
        <v>0</v>
      </c>
      <c r="L2741">
        <v>0</v>
      </c>
      <c r="M2741">
        <v>0</v>
      </c>
      <c r="N2741">
        <v>0</v>
      </c>
      <c r="O2741">
        <v>235</v>
      </c>
      <c r="P2741" t="str">
        <f t="shared" si="253"/>
        <v>Normal</v>
      </c>
      <c r="Q2741">
        <v>130</v>
      </c>
      <c r="R2741">
        <v>80</v>
      </c>
      <c r="S2741">
        <v>28.15</v>
      </c>
      <c r="T2741" t="str">
        <f t="shared" si="254"/>
        <v>Overweight</v>
      </c>
      <c r="U2741">
        <v>84</v>
      </c>
      <c r="V2741">
        <v>78</v>
      </c>
      <c r="W2741" t="str">
        <f t="shared" si="257"/>
        <v>Normal</v>
      </c>
      <c r="X2741">
        <v>1</v>
      </c>
    </row>
    <row r="2742" spans="1:24" ht="14.5" thickBot="1" x14ac:dyDescent="0.35">
      <c r="A2742">
        <v>1</v>
      </c>
      <c r="B2742" t="str">
        <f t="shared" si="255"/>
        <v>Male</v>
      </c>
      <c r="C2742" s="8">
        <v>53</v>
      </c>
      <c r="D2742" t="str">
        <f t="shared" si="256"/>
        <v>Middle Age</v>
      </c>
      <c r="E2742">
        <v>1</v>
      </c>
      <c r="F2742" t="str">
        <f>HLOOKUP(E2742, LookUP_Table!$A$6:$D$7, 2, FALSE)</f>
        <v>Primary</v>
      </c>
      <c r="G2742" t="str">
        <f>IFERROR(VLOOKUP(E2742, LookUP_Table!$A$1:$B$4, 2, FALSE), "")</f>
        <v>Primary</v>
      </c>
      <c r="H2742">
        <v>0</v>
      </c>
      <c r="I2742">
        <v>0</v>
      </c>
      <c r="J2742" t="str">
        <f t="shared" si="252"/>
        <v>Non-Smoker</v>
      </c>
      <c r="K2742">
        <v>0</v>
      </c>
      <c r="L2742">
        <v>0</v>
      </c>
      <c r="M2742">
        <v>1</v>
      </c>
      <c r="N2742">
        <v>0</v>
      </c>
      <c r="O2742">
        <v>219</v>
      </c>
      <c r="P2742" t="str">
        <f t="shared" si="253"/>
        <v>Normal</v>
      </c>
      <c r="Q2742">
        <v>141</v>
      </c>
      <c r="R2742">
        <v>105</v>
      </c>
      <c r="S2742">
        <v>26.86</v>
      </c>
      <c r="T2742" t="str">
        <f t="shared" si="254"/>
        <v>Overweight</v>
      </c>
      <c r="U2742">
        <v>62</v>
      </c>
      <c r="V2742">
        <v>60</v>
      </c>
      <c r="W2742" t="str">
        <f t="shared" si="257"/>
        <v>Normal</v>
      </c>
      <c r="X2742">
        <v>0</v>
      </c>
    </row>
    <row r="2743" spans="1:24" ht="14.5" thickBot="1" x14ac:dyDescent="0.35">
      <c r="A2743">
        <v>1</v>
      </c>
      <c r="B2743" t="str">
        <f t="shared" si="255"/>
        <v>Male</v>
      </c>
      <c r="C2743" s="8">
        <v>53</v>
      </c>
      <c r="D2743" t="str">
        <f t="shared" si="256"/>
        <v>Middle Age</v>
      </c>
      <c r="E2743">
        <v>1</v>
      </c>
      <c r="F2743" t="str">
        <f>HLOOKUP(E2743, LookUP_Table!$A$6:$D$7, 2, FALSE)</f>
        <v>Primary</v>
      </c>
      <c r="G2743" t="str">
        <f>IFERROR(VLOOKUP(E2743, LookUP_Table!$A$1:$B$4, 2, FALSE), "")</f>
        <v>Primary</v>
      </c>
      <c r="H2743">
        <v>1</v>
      </c>
      <c r="I2743">
        <v>20</v>
      </c>
      <c r="J2743" t="str">
        <f t="shared" si="252"/>
        <v>Smoker</v>
      </c>
      <c r="K2743">
        <v>0</v>
      </c>
      <c r="L2743">
        <v>0</v>
      </c>
      <c r="M2743">
        <v>1</v>
      </c>
      <c r="N2743">
        <v>0</v>
      </c>
      <c r="O2743">
        <v>216</v>
      </c>
      <c r="P2743" t="str">
        <f t="shared" si="253"/>
        <v>Normal</v>
      </c>
      <c r="Q2743">
        <v>110</v>
      </c>
      <c r="R2743">
        <v>79</v>
      </c>
      <c r="S2743">
        <v>24.76</v>
      </c>
      <c r="T2743" t="str">
        <f t="shared" si="254"/>
        <v>Normal</v>
      </c>
      <c r="U2743">
        <v>75</v>
      </c>
      <c r="V2743">
        <v>74</v>
      </c>
      <c r="W2743" t="str">
        <f t="shared" si="257"/>
        <v>Normal</v>
      </c>
      <c r="X2743">
        <v>0</v>
      </c>
    </row>
    <row r="2744" spans="1:24" ht="14.5" thickBot="1" x14ac:dyDescent="0.35">
      <c r="A2744">
        <v>0</v>
      </c>
      <c r="B2744" t="str">
        <f t="shared" si="255"/>
        <v>Female</v>
      </c>
      <c r="C2744" s="8">
        <v>53</v>
      </c>
      <c r="D2744" t="str">
        <f t="shared" si="256"/>
        <v>Middle Age</v>
      </c>
      <c r="E2744">
        <v>1</v>
      </c>
      <c r="F2744" t="str">
        <f>HLOOKUP(E2744, LookUP_Table!$A$6:$D$7, 2, FALSE)</f>
        <v>Primary</v>
      </c>
      <c r="G2744" t="str">
        <f>IFERROR(VLOOKUP(E2744, LookUP_Table!$A$1:$B$4, 2, FALSE), "")</f>
        <v>Primary</v>
      </c>
      <c r="H2744">
        <v>0</v>
      </c>
      <c r="I2744">
        <v>0</v>
      </c>
      <c r="J2744" t="str">
        <f t="shared" si="252"/>
        <v>Non-Smoker</v>
      </c>
      <c r="K2744">
        <v>0</v>
      </c>
      <c r="L2744">
        <v>0</v>
      </c>
      <c r="M2744">
        <v>0</v>
      </c>
      <c r="N2744">
        <v>0</v>
      </c>
      <c r="O2744">
        <v>237</v>
      </c>
      <c r="P2744" t="str">
        <f t="shared" si="253"/>
        <v>Normal</v>
      </c>
      <c r="Q2744">
        <v>126</v>
      </c>
      <c r="R2744">
        <v>84</v>
      </c>
      <c r="S2744">
        <v>27.04</v>
      </c>
      <c r="T2744" t="str">
        <f t="shared" si="254"/>
        <v>Overweight</v>
      </c>
      <c r="U2744">
        <v>66</v>
      </c>
      <c r="V2744">
        <v>88</v>
      </c>
      <c r="W2744" t="str">
        <f t="shared" si="257"/>
        <v>Normal</v>
      </c>
      <c r="X2744">
        <v>1</v>
      </c>
    </row>
    <row r="2745" spans="1:24" ht="14.5" thickBot="1" x14ac:dyDescent="0.35">
      <c r="A2745">
        <v>1</v>
      </c>
      <c r="B2745" t="str">
        <f t="shared" si="255"/>
        <v>Male</v>
      </c>
      <c r="C2745" s="8">
        <v>53</v>
      </c>
      <c r="D2745" t="str">
        <f t="shared" si="256"/>
        <v>Middle Age</v>
      </c>
      <c r="E2745">
        <v>4</v>
      </c>
      <c r="F2745" t="str">
        <f>HLOOKUP(E2745, LookUP_Table!$A$6:$D$7, 2, FALSE)</f>
        <v>Post Graduate</v>
      </c>
      <c r="G2745" t="str">
        <f>IFERROR(VLOOKUP(E2745, LookUP_Table!$A$1:$B$4, 2, FALSE), "")</f>
        <v>Post Graduate</v>
      </c>
      <c r="H2745">
        <v>0</v>
      </c>
      <c r="I2745">
        <v>0</v>
      </c>
      <c r="J2745" t="str">
        <f t="shared" si="252"/>
        <v>Non-Smoker</v>
      </c>
      <c r="K2745">
        <v>0</v>
      </c>
      <c r="L2745">
        <v>0</v>
      </c>
      <c r="M2745">
        <v>0</v>
      </c>
      <c r="N2745">
        <v>0</v>
      </c>
      <c r="O2745">
        <v>207</v>
      </c>
      <c r="P2745" t="str">
        <f t="shared" si="253"/>
        <v>Normal</v>
      </c>
      <c r="Q2745">
        <v>102.5</v>
      </c>
      <c r="R2745">
        <v>72.5</v>
      </c>
      <c r="S2745">
        <v>26.5</v>
      </c>
      <c r="T2745" t="str">
        <f t="shared" si="254"/>
        <v>Overweight</v>
      </c>
      <c r="U2745">
        <v>72</v>
      </c>
      <c r="V2745">
        <v>95</v>
      </c>
      <c r="W2745" t="str">
        <f t="shared" si="257"/>
        <v>Normal</v>
      </c>
      <c r="X2745">
        <v>0</v>
      </c>
    </row>
    <row r="2746" spans="1:24" ht="14.5" thickBot="1" x14ac:dyDescent="0.35">
      <c r="A2746">
        <v>0</v>
      </c>
      <c r="B2746" t="str">
        <f t="shared" si="255"/>
        <v>Female</v>
      </c>
      <c r="C2746" s="8">
        <v>53</v>
      </c>
      <c r="D2746" t="str">
        <f t="shared" si="256"/>
        <v>Middle Age</v>
      </c>
      <c r="E2746">
        <v>3</v>
      </c>
      <c r="F2746" t="str">
        <f>HLOOKUP(E2746, LookUP_Table!$A$6:$D$7, 2, FALSE)</f>
        <v>Graduate</v>
      </c>
      <c r="G2746" t="str">
        <f>IFERROR(VLOOKUP(E2746, LookUP_Table!$A$1:$B$4, 2, FALSE), "")</f>
        <v>Graduate</v>
      </c>
      <c r="H2746">
        <v>1</v>
      </c>
      <c r="I2746">
        <v>9</v>
      </c>
      <c r="J2746" t="str">
        <f t="shared" si="252"/>
        <v>Smoker</v>
      </c>
      <c r="K2746">
        <v>0</v>
      </c>
      <c r="L2746">
        <v>0</v>
      </c>
      <c r="M2746">
        <v>0</v>
      </c>
      <c r="N2746">
        <v>0</v>
      </c>
      <c r="O2746">
        <v>304</v>
      </c>
      <c r="P2746" t="str">
        <f t="shared" si="253"/>
        <v>High</v>
      </c>
      <c r="Q2746">
        <v>119</v>
      </c>
      <c r="R2746">
        <v>72.5</v>
      </c>
      <c r="S2746">
        <v>22.91</v>
      </c>
      <c r="T2746" t="str">
        <f t="shared" si="254"/>
        <v>Normal</v>
      </c>
      <c r="U2746">
        <v>53</v>
      </c>
      <c r="V2746">
        <v>81.96365524402907</v>
      </c>
      <c r="W2746" t="str">
        <f t="shared" si="257"/>
        <v>Normal</v>
      </c>
      <c r="X2746">
        <v>0</v>
      </c>
    </row>
    <row r="2747" spans="1:24" ht="14.5" thickBot="1" x14ac:dyDescent="0.35">
      <c r="A2747">
        <v>1</v>
      </c>
      <c r="B2747" t="str">
        <f t="shared" si="255"/>
        <v>Male</v>
      </c>
      <c r="C2747" s="8">
        <v>53</v>
      </c>
      <c r="D2747" t="str">
        <f t="shared" si="256"/>
        <v>Middle Age</v>
      </c>
      <c r="E2747">
        <v>4</v>
      </c>
      <c r="F2747" t="str">
        <f>HLOOKUP(E2747, LookUP_Table!$A$6:$D$7, 2, FALSE)</f>
        <v>Post Graduate</v>
      </c>
      <c r="G2747" t="str">
        <f>IFERROR(VLOOKUP(E2747, LookUP_Table!$A$1:$B$4, 2, FALSE), "")</f>
        <v>Post Graduate</v>
      </c>
      <c r="H2747">
        <v>0</v>
      </c>
      <c r="I2747">
        <v>0</v>
      </c>
      <c r="J2747" t="str">
        <f t="shared" si="252"/>
        <v>Non-Smoker</v>
      </c>
      <c r="K2747">
        <v>0</v>
      </c>
      <c r="L2747">
        <v>0</v>
      </c>
      <c r="M2747">
        <v>0</v>
      </c>
      <c r="N2747">
        <v>0</v>
      </c>
      <c r="O2747">
        <v>241</v>
      </c>
      <c r="P2747" t="str">
        <f t="shared" si="253"/>
        <v>High</v>
      </c>
      <c r="Q2747">
        <v>113</v>
      </c>
      <c r="R2747">
        <v>84</v>
      </c>
      <c r="S2747">
        <v>28.27</v>
      </c>
      <c r="T2747" t="str">
        <f t="shared" si="254"/>
        <v>Overweight</v>
      </c>
      <c r="U2747">
        <v>62</v>
      </c>
      <c r="V2747">
        <v>73</v>
      </c>
      <c r="W2747" t="str">
        <f t="shared" si="257"/>
        <v>Normal</v>
      </c>
      <c r="X2747">
        <v>0</v>
      </c>
    </row>
    <row r="2748" spans="1:24" ht="14.5" thickBot="1" x14ac:dyDescent="0.35">
      <c r="A2748">
        <v>0</v>
      </c>
      <c r="B2748" t="str">
        <f t="shared" si="255"/>
        <v>Female</v>
      </c>
      <c r="C2748" s="8">
        <v>53</v>
      </c>
      <c r="D2748" t="str">
        <f t="shared" si="256"/>
        <v>Middle Age</v>
      </c>
      <c r="E2748">
        <v>2</v>
      </c>
      <c r="F2748" t="str">
        <f>HLOOKUP(E2748, LookUP_Table!$A$6:$D$7, 2, FALSE)</f>
        <v>Secondary</v>
      </c>
      <c r="G2748" t="str">
        <f>IFERROR(VLOOKUP(E2748, LookUP_Table!$A$1:$B$4, 2, FALSE), "")</f>
        <v>Secondary</v>
      </c>
      <c r="H2748">
        <v>0</v>
      </c>
      <c r="I2748">
        <v>0</v>
      </c>
      <c r="J2748" t="str">
        <f t="shared" si="252"/>
        <v>Non-Smoker</v>
      </c>
      <c r="K2748">
        <v>0</v>
      </c>
      <c r="L2748">
        <v>0</v>
      </c>
      <c r="M2748">
        <v>0</v>
      </c>
      <c r="N2748">
        <v>0</v>
      </c>
      <c r="O2748">
        <v>213</v>
      </c>
      <c r="P2748" t="str">
        <f t="shared" si="253"/>
        <v>Normal</v>
      </c>
      <c r="Q2748">
        <v>133</v>
      </c>
      <c r="R2748">
        <v>89</v>
      </c>
      <c r="S2748">
        <v>17.89</v>
      </c>
      <c r="T2748" t="str">
        <f t="shared" si="254"/>
        <v>Underweight</v>
      </c>
      <c r="U2748">
        <v>75</v>
      </c>
      <c r="V2748">
        <v>73</v>
      </c>
      <c r="W2748" t="str">
        <f t="shared" si="257"/>
        <v>Normal</v>
      </c>
      <c r="X2748">
        <v>0</v>
      </c>
    </row>
    <row r="2749" spans="1:24" ht="14.5" thickBot="1" x14ac:dyDescent="0.35">
      <c r="A2749">
        <v>0</v>
      </c>
      <c r="B2749" t="str">
        <f t="shared" si="255"/>
        <v>Female</v>
      </c>
      <c r="C2749" s="8">
        <v>53</v>
      </c>
      <c r="D2749" t="str">
        <f t="shared" si="256"/>
        <v>Middle Age</v>
      </c>
      <c r="E2749">
        <v>1</v>
      </c>
      <c r="F2749" t="str">
        <f>HLOOKUP(E2749, LookUP_Table!$A$6:$D$7, 2, FALSE)</f>
        <v>Primary</v>
      </c>
      <c r="G2749" t="str">
        <f>IFERROR(VLOOKUP(E2749, LookUP_Table!$A$1:$B$4, 2, FALSE), "")</f>
        <v>Primary</v>
      </c>
      <c r="H2749">
        <v>0</v>
      </c>
      <c r="I2749">
        <v>0</v>
      </c>
      <c r="J2749" t="str">
        <f t="shared" si="252"/>
        <v>Non-Smoker</v>
      </c>
      <c r="K2749">
        <v>0</v>
      </c>
      <c r="L2749">
        <v>0</v>
      </c>
      <c r="M2749">
        <v>1</v>
      </c>
      <c r="N2749">
        <v>0</v>
      </c>
      <c r="O2749">
        <v>342</v>
      </c>
      <c r="P2749" t="str">
        <f t="shared" si="253"/>
        <v>High</v>
      </c>
      <c r="Q2749">
        <v>144</v>
      </c>
      <c r="R2749">
        <v>96</v>
      </c>
      <c r="S2749">
        <v>32.6</v>
      </c>
      <c r="T2749" t="str">
        <f t="shared" si="254"/>
        <v>Obese</v>
      </c>
      <c r="U2749">
        <v>75</v>
      </c>
      <c r="V2749">
        <v>81.96365524402907</v>
      </c>
      <c r="W2749" t="str">
        <f t="shared" si="257"/>
        <v>Normal</v>
      </c>
      <c r="X2749">
        <v>0</v>
      </c>
    </row>
    <row r="2750" spans="1:24" ht="14.5" thickBot="1" x14ac:dyDescent="0.35">
      <c r="A2750">
        <v>1</v>
      </c>
      <c r="B2750" t="str">
        <f t="shared" si="255"/>
        <v>Male</v>
      </c>
      <c r="C2750" s="8">
        <v>53</v>
      </c>
      <c r="D2750" t="str">
        <f t="shared" si="256"/>
        <v>Middle Age</v>
      </c>
      <c r="E2750">
        <v>3</v>
      </c>
      <c r="F2750" t="str">
        <f>HLOOKUP(E2750, LookUP_Table!$A$6:$D$7, 2, FALSE)</f>
        <v>Graduate</v>
      </c>
      <c r="G2750" t="str">
        <f>IFERROR(VLOOKUP(E2750, LookUP_Table!$A$1:$B$4, 2, FALSE), "")</f>
        <v>Graduate</v>
      </c>
      <c r="H2750">
        <v>1</v>
      </c>
      <c r="I2750">
        <v>30</v>
      </c>
      <c r="J2750" t="str">
        <f t="shared" si="252"/>
        <v>Smoker</v>
      </c>
      <c r="K2750">
        <v>1</v>
      </c>
      <c r="L2750">
        <v>0</v>
      </c>
      <c r="M2750">
        <v>1</v>
      </c>
      <c r="N2750">
        <v>0</v>
      </c>
      <c r="O2750">
        <v>190</v>
      </c>
      <c r="P2750" t="str">
        <f t="shared" si="253"/>
        <v>Normal</v>
      </c>
      <c r="Q2750">
        <v>141</v>
      </c>
      <c r="R2750">
        <v>115</v>
      </c>
      <c r="S2750">
        <v>21.01</v>
      </c>
      <c r="T2750" t="str">
        <f t="shared" si="254"/>
        <v>Normal</v>
      </c>
      <c r="U2750">
        <v>115</v>
      </c>
      <c r="V2750">
        <v>86</v>
      </c>
      <c r="W2750" t="str">
        <f t="shared" si="257"/>
        <v>Normal</v>
      </c>
      <c r="X2750">
        <v>1</v>
      </c>
    </row>
    <row r="2751" spans="1:24" ht="14.5" thickBot="1" x14ac:dyDescent="0.35">
      <c r="A2751">
        <v>1</v>
      </c>
      <c r="B2751" t="str">
        <f t="shared" si="255"/>
        <v>Male</v>
      </c>
      <c r="C2751" s="8">
        <v>53</v>
      </c>
      <c r="D2751" t="str">
        <f t="shared" si="256"/>
        <v>Middle Age</v>
      </c>
      <c r="E2751">
        <v>3</v>
      </c>
      <c r="F2751" t="str">
        <f>HLOOKUP(E2751, LookUP_Table!$A$6:$D$7, 2, FALSE)</f>
        <v>Graduate</v>
      </c>
      <c r="G2751" t="str">
        <f>IFERROR(VLOOKUP(E2751, LookUP_Table!$A$1:$B$4, 2, FALSE), "")</f>
        <v>Graduate</v>
      </c>
      <c r="H2751">
        <v>1</v>
      </c>
      <c r="I2751">
        <v>43</v>
      </c>
      <c r="J2751" t="str">
        <f t="shared" si="252"/>
        <v>Smoker</v>
      </c>
      <c r="K2751">
        <v>0</v>
      </c>
      <c r="L2751">
        <v>0</v>
      </c>
      <c r="M2751">
        <v>1</v>
      </c>
      <c r="N2751">
        <v>0</v>
      </c>
      <c r="O2751">
        <v>193</v>
      </c>
      <c r="P2751" t="str">
        <f t="shared" si="253"/>
        <v>Normal</v>
      </c>
      <c r="Q2751">
        <v>142.5</v>
      </c>
      <c r="R2751">
        <v>100</v>
      </c>
      <c r="S2751">
        <v>24.15</v>
      </c>
      <c r="T2751" t="str">
        <f t="shared" si="254"/>
        <v>Normal</v>
      </c>
      <c r="U2751">
        <v>82</v>
      </c>
      <c r="V2751">
        <v>69</v>
      </c>
      <c r="W2751" t="str">
        <f t="shared" si="257"/>
        <v>Normal</v>
      </c>
      <c r="X2751">
        <v>0</v>
      </c>
    </row>
    <row r="2752" spans="1:24" ht="14.5" thickBot="1" x14ac:dyDescent="0.35">
      <c r="A2752">
        <v>0</v>
      </c>
      <c r="B2752" t="str">
        <f t="shared" si="255"/>
        <v>Female</v>
      </c>
      <c r="C2752" s="8">
        <v>53</v>
      </c>
      <c r="D2752" t="str">
        <f t="shared" si="256"/>
        <v>Middle Age</v>
      </c>
      <c r="E2752">
        <v>1</v>
      </c>
      <c r="F2752" t="str">
        <f>HLOOKUP(E2752, LookUP_Table!$A$6:$D$7, 2, FALSE)</f>
        <v>Primary</v>
      </c>
      <c r="G2752" t="str">
        <f>IFERROR(VLOOKUP(E2752, LookUP_Table!$A$1:$B$4, 2, FALSE), "")</f>
        <v>Primary</v>
      </c>
      <c r="H2752">
        <v>0</v>
      </c>
      <c r="I2752">
        <v>0</v>
      </c>
      <c r="J2752" t="str">
        <f t="shared" si="252"/>
        <v>Non-Smoker</v>
      </c>
      <c r="K2752">
        <v>0</v>
      </c>
      <c r="L2752">
        <v>0</v>
      </c>
      <c r="M2752">
        <v>1</v>
      </c>
      <c r="N2752">
        <v>0</v>
      </c>
      <c r="O2752">
        <v>268</v>
      </c>
      <c r="P2752" t="str">
        <f t="shared" si="253"/>
        <v>High</v>
      </c>
      <c r="Q2752">
        <v>156</v>
      </c>
      <c r="R2752">
        <v>100</v>
      </c>
      <c r="S2752">
        <v>26.73</v>
      </c>
      <c r="T2752" t="str">
        <f t="shared" si="254"/>
        <v>Overweight</v>
      </c>
      <c r="U2752">
        <v>85</v>
      </c>
      <c r="V2752">
        <v>69</v>
      </c>
      <c r="W2752" t="str">
        <f t="shared" si="257"/>
        <v>Normal</v>
      </c>
      <c r="X2752">
        <v>0</v>
      </c>
    </row>
    <row r="2753" spans="1:24" ht="14.5" thickBot="1" x14ac:dyDescent="0.35">
      <c r="A2753">
        <v>0</v>
      </c>
      <c r="B2753" t="str">
        <f t="shared" si="255"/>
        <v>Female</v>
      </c>
      <c r="C2753" s="8">
        <v>53</v>
      </c>
      <c r="D2753" t="str">
        <f t="shared" si="256"/>
        <v>Middle Age</v>
      </c>
      <c r="E2753">
        <v>3</v>
      </c>
      <c r="F2753" t="str">
        <f>HLOOKUP(E2753, LookUP_Table!$A$6:$D$7, 2, FALSE)</f>
        <v>Graduate</v>
      </c>
      <c r="G2753" t="str">
        <f>IFERROR(VLOOKUP(E2753, LookUP_Table!$A$1:$B$4, 2, FALSE), "")</f>
        <v>Graduate</v>
      </c>
      <c r="H2753">
        <v>0</v>
      </c>
      <c r="I2753">
        <v>0</v>
      </c>
      <c r="J2753" t="str">
        <f t="shared" si="252"/>
        <v>Non-Smoker</v>
      </c>
      <c r="K2753">
        <v>0</v>
      </c>
      <c r="L2753">
        <v>0</v>
      </c>
      <c r="M2753">
        <v>0</v>
      </c>
      <c r="N2753">
        <v>0</v>
      </c>
      <c r="O2753">
        <v>280</v>
      </c>
      <c r="P2753" t="str">
        <f t="shared" si="253"/>
        <v>High</v>
      </c>
      <c r="Q2753">
        <v>135</v>
      </c>
      <c r="R2753">
        <v>87</v>
      </c>
      <c r="S2753">
        <v>27.17</v>
      </c>
      <c r="T2753" t="str">
        <f t="shared" si="254"/>
        <v>Overweight</v>
      </c>
      <c r="U2753">
        <v>80</v>
      </c>
      <c r="V2753">
        <v>80</v>
      </c>
      <c r="W2753" t="str">
        <f t="shared" si="257"/>
        <v>Normal</v>
      </c>
      <c r="X2753">
        <v>0</v>
      </c>
    </row>
    <row r="2754" spans="1:24" ht="14.5" thickBot="1" x14ac:dyDescent="0.35">
      <c r="A2754">
        <v>0</v>
      </c>
      <c r="B2754" t="str">
        <f t="shared" si="255"/>
        <v>Female</v>
      </c>
      <c r="C2754" s="8">
        <v>53</v>
      </c>
      <c r="D2754" t="str">
        <f t="shared" si="256"/>
        <v>Middle Age</v>
      </c>
      <c r="E2754">
        <v>1</v>
      </c>
      <c r="F2754" t="str">
        <f>HLOOKUP(E2754, LookUP_Table!$A$6:$D$7, 2, FALSE)</f>
        <v>Primary</v>
      </c>
      <c r="G2754" t="str">
        <f>IFERROR(VLOOKUP(E2754, LookUP_Table!$A$1:$B$4, 2, FALSE), "")</f>
        <v>Primary</v>
      </c>
      <c r="H2754">
        <v>0</v>
      </c>
      <c r="I2754">
        <v>0</v>
      </c>
      <c r="J2754" t="str">
        <f t="shared" ref="J2754:J2817" si="258">IF(I2754&gt;0,"Smoker","Non-Smoker")</f>
        <v>Non-Smoker</v>
      </c>
      <c r="K2754">
        <v>0</v>
      </c>
      <c r="L2754">
        <v>0</v>
      </c>
      <c r="M2754">
        <v>0</v>
      </c>
      <c r="N2754">
        <v>0</v>
      </c>
      <c r="O2754">
        <v>328</v>
      </c>
      <c r="P2754" t="str">
        <f t="shared" ref="P2754:P2817" si="259">IF(O2754&gt;240,"High","Normal")</f>
        <v>High</v>
      </c>
      <c r="Q2754">
        <v>121</v>
      </c>
      <c r="R2754">
        <v>70</v>
      </c>
      <c r="S2754">
        <v>30.75</v>
      </c>
      <c r="T2754" t="str">
        <f t="shared" ref="T2754:T2817" si="260">IF(S2754&lt;18.5,"Underweight",
IF(S2754&lt;25,"Normal",
IF(S2754&lt;30,"Overweight","Obese")))</f>
        <v>Obese</v>
      </c>
      <c r="U2754">
        <v>90</v>
      </c>
      <c r="V2754">
        <v>77</v>
      </c>
      <c r="W2754" t="str">
        <f t="shared" si="257"/>
        <v>Normal</v>
      </c>
      <c r="X2754">
        <v>0</v>
      </c>
    </row>
    <row r="2755" spans="1:24" ht="14.5" thickBot="1" x14ac:dyDescent="0.35">
      <c r="A2755">
        <v>1</v>
      </c>
      <c r="B2755" t="str">
        <f t="shared" ref="B2755:B2818" si="261">IF(A2755=0,"Female","Male")</f>
        <v>Male</v>
      </c>
      <c r="C2755" s="8">
        <v>53</v>
      </c>
      <c r="D2755" t="str">
        <f t="shared" ref="D2755:D2818" si="262">IF(C2755&lt;40,"Young",
IF(C2755&lt;55,"Middle Age","Senior"))</f>
        <v>Middle Age</v>
      </c>
      <c r="E2755">
        <v>1</v>
      </c>
      <c r="F2755" t="str">
        <f>HLOOKUP(E2755, LookUP_Table!$A$6:$D$7, 2, FALSE)</f>
        <v>Primary</v>
      </c>
      <c r="G2755" t="str">
        <f>IFERROR(VLOOKUP(E2755, LookUP_Table!$A$1:$B$4, 2, FALSE), "")</f>
        <v>Primary</v>
      </c>
      <c r="H2755">
        <v>1</v>
      </c>
      <c r="I2755">
        <v>15</v>
      </c>
      <c r="J2755" t="str">
        <f t="shared" si="258"/>
        <v>Smoker</v>
      </c>
      <c r="K2755">
        <v>0</v>
      </c>
      <c r="L2755">
        <v>0</v>
      </c>
      <c r="M2755">
        <v>1</v>
      </c>
      <c r="N2755">
        <v>0</v>
      </c>
      <c r="O2755">
        <v>260</v>
      </c>
      <c r="P2755" t="str">
        <f t="shared" si="259"/>
        <v>High</v>
      </c>
      <c r="Q2755">
        <v>142</v>
      </c>
      <c r="R2755">
        <v>88</v>
      </c>
      <c r="S2755">
        <v>23.65</v>
      </c>
      <c r="T2755" t="str">
        <f t="shared" si="260"/>
        <v>Normal</v>
      </c>
      <c r="U2755">
        <v>96</v>
      </c>
      <c r="V2755">
        <v>77</v>
      </c>
      <c r="W2755" t="str">
        <f t="shared" ref="W2755:W2818" si="263">IF(V2755 &lt; 100, "Normal", IF(V2755 &lt;= 125, "Prediabetes", "Diabetes"))</f>
        <v>Normal</v>
      </c>
      <c r="X2755">
        <v>0</v>
      </c>
    </row>
    <row r="2756" spans="1:24" ht="14.5" thickBot="1" x14ac:dyDescent="0.35">
      <c r="A2756">
        <v>0</v>
      </c>
      <c r="B2756" t="str">
        <f t="shared" si="261"/>
        <v>Female</v>
      </c>
      <c r="C2756" s="8">
        <v>53</v>
      </c>
      <c r="D2756" t="str">
        <f t="shared" si="262"/>
        <v>Middle Age</v>
      </c>
      <c r="E2756">
        <v>1</v>
      </c>
      <c r="F2756" t="str">
        <f>HLOOKUP(E2756, LookUP_Table!$A$6:$D$7, 2, FALSE)</f>
        <v>Primary</v>
      </c>
      <c r="G2756" t="str">
        <f>IFERROR(VLOOKUP(E2756, LookUP_Table!$A$1:$B$4, 2, FALSE), "")</f>
        <v>Primary</v>
      </c>
      <c r="H2756">
        <v>1</v>
      </c>
      <c r="I2756">
        <v>20</v>
      </c>
      <c r="J2756" t="str">
        <f t="shared" si="258"/>
        <v>Smoker</v>
      </c>
      <c r="K2756">
        <v>0</v>
      </c>
      <c r="L2756">
        <v>0</v>
      </c>
      <c r="M2756">
        <v>1</v>
      </c>
      <c r="N2756">
        <v>0</v>
      </c>
      <c r="O2756">
        <v>181</v>
      </c>
      <c r="P2756" t="str">
        <f t="shared" si="259"/>
        <v>Normal</v>
      </c>
      <c r="Q2756">
        <v>163.5</v>
      </c>
      <c r="R2756">
        <v>87</v>
      </c>
      <c r="S2756">
        <v>34.69</v>
      </c>
      <c r="T2756" t="str">
        <f t="shared" si="260"/>
        <v>Obese</v>
      </c>
      <c r="U2756">
        <v>80</v>
      </c>
      <c r="V2756">
        <v>71</v>
      </c>
      <c r="W2756" t="str">
        <f t="shared" si="263"/>
        <v>Normal</v>
      </c>
      <c r="X2756">
        <v>0</v>
      </c>
    </row>
    <row r="2757" spans="1:24" ht="14.5" thickBot="1" x14ac:dyDescent="0.35">
      <c r="A2757">
        <v>1</v>
      </c>
      <c r="B2757" t="str">
        <f t="shared" si="261"/>
        <v>Male</v>
      </c>
      <c r="C2757" s="8">
        <v>53</v>
      </c>
      <c r="D2757" t="str">
        <f t="shared" si="262"/>
        <v>Middle Age</v>
      </c>
      <c r="E2757">
        <v>2</v>
      </c>
      <c r="F2757" t="str">
        <f>HLOOKUP(E2757, LookUP_Table!$A$6:$D$7, 2, FALSE)</f>
        <v>Secondary</v>
      </c>
      <c r="G2757" t="str">
        <f>IFERROR(VLOOKUP(E2757, LookUP_Table!$A$1:$B$4, 2, FALSE), "")</f>
        <v>Secondary</v>
      </c>
      <c r="H2757">
        <v>1</v>
      </c>
      <c r="I2757">
        <v>9</v>
      </c>
      <c r="J2757" t="str">
        <f t="shared" si="258"/>
        <v>Smoker</v>
      </c>
      <c r="K2757">
        <v>0</v>
      </c>
      <c r="L2757">
        <v>0</v>
      </c>
      <c r="M2757">
        <v>0</v>
      </c>
      <c r="N2757">
        <v>0</v>
      </c>
      <c r="O2757">
        <v>276</v>
      </c>
      <c r="P2757" t="str">
        <f t="shared" si="259"/>
        <v>High</v>
      </c>
      <c r="Q2757">
        <v>130</v>
      </c>
      <c r="R2757">
        <v>86</v>
      </c>
      <c r="S2757">
        <v>24.21</v>
      </c>
      <c r="T2757" t="str">
        <f t="shared" si="260"/>
        <v>Normal</v>
      </c>
      <c r="U2757">
        <v>58</v>
      </c>
      <c r="V2757">
        <v>82</v>
      </c>
      <c r="W2757" t="str">
        <f t="shared" si="263"/>
        <v>Normal</v>
      </c>
      <c r="X2757">
        <v>0</v>
      </c>
    </row>
    <row r="2758" spans="1:24" ht="14.5" thickBot="1" x14ac:dyDescent="0.35">
      <c r="A2758">
        <v>1</v>
      </c>
      <c r="B2758" t="str">
        <f t="shared" si="261"/>
        <v>Male</v>
      </c>
      <c r="C2758" s="8">
        <v>53</v>
      </c>
      <c r="D2758" t="str">
        <f t="shared" si="262"/>
        <v>Middle Age</v>
      </c>
      <c r="E2758">
        <v>2</v>
      </c>
      <c r="F2758" t="str">
        <f>HLOOKUP(E2758, LookUP_Table!$A$6:$D$7, 2, FALSE)</f>
        <v>Secondary</v>
      </c>
      <c r="G2758" t="str">
        <f>IFERROR(VLOOKUP(E2758, LookUP_Table!$A$1:$B$4, 2, FALSE), "")</f>
        <v>Secondary</v>
      </c>
      <c r="H2758">
        <v>1</v>
      </c>
      <c r="I2758">
        <v>20</v>
      </c>
      <c r="J2758" t="str">
        <f t="shared" si="258"/>
        <v>Smoker</v>
      </c>
      <c r="K2758">
        <v>0</v>
      </c>
      <c r="L2758">
        <v>0</v>
      </c>
      <c r="M2758">
        <v>0</v>
      </c>
      <c r="N2758">
        <v>0</v>
      </c>
      <c r="O2758">
        <v>239</v>
      </c>
      <c r="P2758" t="str">
        <f t="shared" si="259"/>
        <v>Normal</v>
      </c>
      <c r="Q2758">
        <v>122</v>
      </c>
      <c r="R2758">
        <v>82</v>
      </c>
      <c r="S2758">
        <v>29.4</v>
      </c>
      <c r="T2758" t="str">
        <f t="shared" si="260"/>
        <v>Overweight</v>
      </c>
      <c r="U2758">
        <v>70</v>
      </c>
      <c r="V2758">
        <v>84</v>
      </c>
      <c r="W2758" t="str">
        <f t="shared" si="263"/>
        <v>Normal</v>
      </c>
      <c r="X2758">
        <v>0</v>
      </c>
    </row>
    <row r="2759" spans="1:24" ht="14.5" thickBot="1" x14ac:dyDescent="0.35">
      <c r="A2759">
        <v>1</v>
      </c>
      <c r="B2759" t="str">
        <f t="shared" si="261"/>
        <v>Male</v>
      </c>
      <c r="C2759" s="8">
        <v>53</v>
      </c>
      <c r="D2759" t="str">
        <f t="shared" si="262"/>
        <v>Middle Age</v>
      </c>
      <c r="E2759">
        <v>4</v>
      </c>
      <c r="F2759" t="str">
        <f>HLOOKUP(E2759, LookUP_Table!$A$6:$D$7, 2, FALSE)</f>
        <v>Post Graduate</v>
      </c>
      <c r="G2759" t="str">
        <f>IFERROR(VLOOKUP(E2759, LookUP_Table!$A$1:$B$4, 2, FALSE), "")</f>
        <v>Post Graduate</v>
      </c>
      <c r="H2759">
        <v>0</v>
      </c>
      <c r="I2759">
        <v>0</v>
      </c>
      <c r="J2759" t="str">
        <f t="shared" si="258"/>
        <v>Non-Smoker</v>
      </c>
      <c r="K2759">
        <v>0</v>
      </c>
      <c r="L2759">
        <v>0</v>
      </c>
      <c r="M2759">
        <v>0</v>
      </c>
      <c r="N2759">
        <v>0</v>
      </c>
      <c r="O2759">
        <v>225</v>
      </c>
      <c r="P2759" t="str">
        <f t="shared" si="259"/>
        <v>Normal</v>
      </c>
      <c r="Q2759">
        <v>108.5</v>
      </c>
      <c r="R2759">
        <v>73</v>
      </c>
      <c r="S2759">
        <v>26.55</v>
      </c>
      <c r="T2759" t="str">
        <f t="shared" si="260"/>
        <v>Overweight</v>
      </c>
      <c r="U2759">
        <v>54</v>
      </c>
      <c r="V2759">
        <v>73</v>
      </c>
      <c r="W2759" t="str">
        <f t="shared" si="263"/>
        <v>Normal</v>
      </c>
      <c r="X2759">
        <v>0</v>
      </c>
    </row>
    <row r="2760" spans="1:24" ht="14.5" thickBot="1" x14ac:dyDescent="0.35">
      <c r="A2760">
        <v>1</v>
      </c>
      <c r="B2760" t="str">
        <f t="shared" si="261"/>
        <v>Male</v>
      </c>
      <c r="C2760" s="8">
        <v>53</v>
      </c>
      <c r="D2760" t="str">
        <f t="shared" si="262"/>
        <v>Middle Age</v>
      </c>
      <c r="E2760">
        <v>3</v>
      </c>
      <c r="F2760" t="str">
        <f>HLOOKUP(E2760, LookUP_Table!$A$6:$D$7, 2, FALSE)</f>
        <v>Graduate</v>
      </c>
      <c r="G2760" t="str">
        <f>IFERROR(VLOOKUP(E2760, LookUP_Table!$A$1:$B$4, 2, FALSE), "")</f>
        <v>Graduate</v>
      </c>
      <c r="H2760">
        <v>1</v>
      </c>
      <c r="I2760">
        <v>20</v>
      </c>
      <c r="J2760" t="str">
        <f t="shared" si="258"/>
        <v>Smoker</v>
      </c>
      <c r="K2760">
        <v>0</v>
      </c>
      <c r="L2760">
        <v>0</v>
      </c>
      <c r="M2760">
        <v>1</v>
      </c>
      <c r="N2760">
        <v>0</v>
      </c>
      <c r="O2760">
        <v>204</v>
      </c>
      <c r="P2760" t="str">
        <f t="shared" si="259"/>
        <v>Normal</v>
      </c>
      <c r="Q2760">
        <v>152</v>
      </c>
      <c r="R2760">
        <v>74</v>
      </c>
      <c r="S2760">
        <v>24.8</v>
      </c>
      <c r="T2760" t="str">
        <f t="shared" si="260"/>
        <v>Normal</v>
      </c>
      <c r="U2760">
        <v>78</v>
      </c>
      <c r="V2760">
        <v>89</v>
      </c>
      <c r="W2760" t="str">
        <f t="shared" si="263"/>
        <v>Normal</v>
      </c>
      <c r="X2760">
        <v>0</v>
      </c>
    </row>
    <row r="2761" spans="1:24" ht="14.5" thickBot="1" x14ac:dyDescent="0.35">
      <c r="A2761">
        <v>0</v>
      </c>
      <c r="B2761" t="str">
        <f t="shared" si="261"/>
        <v>Female</v>
      </c>
      <c r="C2761" s="8">
        <v>53</v>
      </c>
      <c r="D2761" t="str">
        <f t="shared" si="262"/>
        <v>Middle Age</v>
      </c>
      <c r="E2761">
        <v>3</v>
      </c>
      <c r="F2761" t="str">
        <f>HLOOKUP(E2761, LookUP_Table!$A$6:$D$7, 2, FALSE)</f>
        <v>Graduate</v>
      </c>
      <c r="G2761" t="str">
        <f>IFERROR(VLOOKUP(E2761, LookUP_Table!$A$1:$B$4, 2, FALSE), "")</f>
        <v>Graduate</v>
      </c>
      <c r="H2761">
        <v>1</v>
      </c>
      <c r="I2761">
        <v>30</v>
      </c>
      <c r="J2761" t="str">
        <f t="shared" si="258"/>
        <v>Smoker</v>
      </c>
      <c r="K2761">
        <v>0</v>
      </c>
      <c r="L2761">
        <v>0</v>
      </c>
      <c r="M2761">
        <v>1</v>
      </c>
      <c r="N2761">
        <v>0</v>
      </c>
      <c r="O2761">
        <v>268</v>
      </c>
      <c r="P2761" t="str">
        <f t="shared" si="259"/>
        <v>High</v>
      </c>
      <c r="Q2761">
        <v>163</v>
      </c>
      <c r="R2761">
        <v>97</v>
      </c>
      <c r="S2761">
        <v>27.88</v>
      </c>
      <c r="T2761" t="str">
        <f t="shared" si="260"/>
        <v>Overweight</v>
      </c>
      <c r="U2761">
        <v>80</v>
      </c>
      <c r="V2761">
        <v>65</v>
      </c>
      <c r="W2761" t="str">
        <f t="shared" si="263"/>
        <v>Normal</v>
      </c>
      <c r="X2761">
        <v>0</v>
      </c>
    </row>
    <row r="2762" spans="1:24" ht="14.5" thickBot="1" x14ac:dyDescent="0.35">
      <c r="A2762">
        <v>0</v>
      </c>
      <c r="B2762" t="str">
        <f t="shared" si="261"/>
        <v>Female</v>
      </c>
      <c r="C2762" s="8">
        <v>53</v>
      </c>
      <c r="D2762" t="str">
        <f t="shared" si="262"/>
        <v>Middle Age</v>
      </c>
      <c r="E2762">
        <v>1</v>
      </c>
      <c r="F2762" t="str">
        <f>HLOOKUP(E2762, LookUP_Table!$A$6:$D$7, 2, FALSE)</f>
        <v>Primary</v>
      </c>
      <c r="G2762" t="str">
        <f>IFERROR(VLOOKUP(E2762, LookUP_Table!$A$1:$B$4, 2, FALSE), "")</f>
        <v>Primary</v>
      </c>
      <c r="H2762">
        <v>0</v>
      </c>
      <c r="I2762">
        <v>0</v>
      </c>
      <c r="J2762" t="str">
        <f t="shared" si="258"/>
        <v>Non-Smoker</v>
      </c>
      <c r="K2762">
        <v>0</v>
      </c>
      <c r="L2762">
        <v>0</v>
      </c>
      <c r="M2762">
        <v>0</v>
      </c>
      <c r="N2762">
        <v>0</v>
      </c>
      <c r="O2762">
        <v>265</v>
      </c>
      <c r="P2762" t="str">
        <f t="shared" si="259"/>
        <v>High</v>
      </c>
      <c r="Q2762">
        <v>132</v>
      </c>
      <c r="R2762">
        <v>80</v>
      </c>
      <c r="S2762">
        <v>26.25</v>
      </c>
      <c r="T2762" t="str">
        <f t="shared" si="260"/>
        <v>Overweight</v>
      </c>
      <c r="U2762">
        <v>67</v>
      </c>
      <c r="V2762">
        <v>76</v>
      </c>
      <c r="W2762" t="str">
        <f t="shared" si="263"/>
        <v>Normal</v>
      </c>
      <c r="X2762">
        <v>1</v>
      </c>
    </row>
    <row r="2763" spans="1:24" ht="14.5" thickBot="1" x14ac:dyDescent="0.35">
      <c r="A2763">
        <v>1</v>
      </c>
      <c r="B2763" t="str">
        <f t="shared" si="261"/>
        <v>Male</v>
      </c>
      <c r="C2763" s="8">
        <v>53</v>
      </c>
      <c r="D2763" t="str">
        <f t="shared" si="262"/>
        <v>Middle Age</v>
      </c>
      <c r="E2763">
        <v>3</v>
      </c>
      <c r="F2763" t="str">
        <f>HLOOKUP(E2763, LookUP_Table!$A$6:$D$7, 2, FALSE)</f>
        <v>Graduate</v>
      </c>
      <c r="G2763" t="str">
        <f>IFERROR(VLOOKUP(E2763, LookUP_Table!$A$1:$B$4, 2, FALSE), "")</f>
        <v>Graduate</v>
      </c>
      <c r="H2763">
        <v>0</v>
      </c>
      <c r="I2763">
        <v>0</v>
      </c>
      <c r="J2763" t="str">
        <f t="shared" si="258"/>
        <v>Non-Smoker</v>
      </c>
      <c r="K2763">
        <v>0</v>
      </c>
      <c r="L2763">
        <v>0</v>
      </c>
      <c r="M2763">
        <v>0</v>
      </c>
      <c r="N2763">
        <v>0</v>
      </c>
      <c r="O2763">
        <v>253</v>
      </c>
      <c r="P2763" t="str">
        <f t="shared" si="259"/>
        <v>High</v>
      </c>
      <c r="Q2763">
        <v>115</v>
      </c>
      <c r="R2763">
        <v>81</v>
      </c>
      <c r="S2763">
        <v>28.09</v>
      </c>
      <c r="T2763" t="str">
        <f t="shared" si="260"/>
        <v>Overweight</v>
      </c>
      <c r="U2763">
        <v>70</v>
      </c>
      <c r="V2763">
        <v>84</v>
      </c>
      <c r="W2763" t="str">
        <f t="shared" si="263"/>
        <v>Normal</v>
      </c>
      <c r="X2763">
        <v>0</v>
      </c>
    </row>
    <row r="2764" spans="1:24" ht="14.5" thickBot="1" x14ac:dyDescent="0.35">
      <c r="A2764">
        <v>0</v>
      </c>
      <c r="B2764" t="str">
        <f t="shared" si="261"/>
        <v>Female</v>
      </c>
      <c r="C2764" s="8">
        <v>53</v>
      </c>
      <c r="D2764" t="str">
        <f t="shared" si="262"/>
        <v>Middle Age</v>
      </c>
      <c r="E2764">
        <v>1</v>
      </c>
      <c r="F2764" t="str">
        <f>HLOOKUP(E2764, LookUP_Table!$A$6:$D$7, 2, FALSE)</f>
        <v>Primary</v>
      </c>
      <c r="G2764" t="str">
        <f>IFERROR(VLOOKUP(E2764, LookUP_Table!$A$1:$B$4, 2, FALSE), "")</f>
        <v>Primary</v>
      </c>
      <c r="H2764">
        <v>0</v>
      </c>
      <c r="I2764">
        <v>0</v>
      </c>
      <c r="J2764" t="str">
        <f t="shared" si="258"/>
        <v>Non-Smoker</v>
      </c>
      <c r="K2764">
        <v>0</v>
      </c>
      <c r="L2764">
        <v>0</v>
      </c>
      <c r="M2764">
        <v>1</v>
      </c>
      <c r="N2764">
        <v>0</v>
      </c>
      <c r="O2764">
        <v>267</v>
      </c>
      <c r="P2764" t="str">
        <f t="shared" si="259"/>
        <v>High</v>
      </c>
      <c r="Q2764">
        <v>152</v>
      </c>
      <c r="R2764">
        <v>89</v>
      </c>
      <c r="S2764">
        <v>28.49</v>
      </c>
      <c r="T2764" t="str">
        <f t="shared" si="260"/>
        <v>Overweight</v>
      </c>
      <c r="U2764">
        <v>94</v>
      </c>
      <c r="V2764">
        <v>103</v>
      </c>
      <c r="W2764" t="str">
        <f t="shared" si="263"/>
        <v>Prediabetes</v>
      </c>
      <c r="X2764">
        <v>0</v>
      </c>
    </row>
    <row r="2765" spans="1:24" ht="14.5" thickBot="1" x14ac:dyDescent="0.35">
      <c r="A2765">
        <v>0</v>
      </c>
      <c r="B2765" t="str">
        <f t="shared" si="261"/>
        <v>Female</v>
      </c>
      <c r="C2765" s="8">
        <v>53</v>
      </c>
      <c r="D2765" t="str">
        <f t="shared" si="262"/>
        <v>Middle Age</v>
      </c>
      <c r="E2765">
        <v>1</v>
      </c>
      <c r="F2765" t="str">
        <f>HLOOKUP(E2765, LookUP_Table!$A$6:$D$7, 2, FALSE)</f>
        <v>Primary</v>
      </c>
      <c r="G2765" t="str">
        <f>IFERROR(VLOOKUP(E2765, LookUP_Table!$A$1:$B$4, 2, FALSE), "")</f>
        <v>Primary</v>
      </c>
      <c r="H2765">
        <v>0</v>
      </c>
      <c r="I2765">
        <v>0</v>
      </c>
      <c r="J2765" t="str">
        <f t="shared" si="258"/>
        <v>Non-Smoker</v>
      </c>
      <c r="K2765">
        <v>0</v>
      </c>
      <c r="L2765">
        <v>0</v>
      </c>
      <c r="M2765">
        <v>0</v>
      </c>
      <c r="N2765">
        <v>0</v>
      </c>
      <c r="O2765">
        <v>307</v>
      </c>
      <c r="P2765" t="str">
        <f t="shared" si="259"/>
        <v>High</v>
      </c>
      <c r="Q2765">
        <v>142</v>
      </c>
      <c r="R2765">
        <v>94</v>
      </c>
      <c r="S2765">
        <v>25.7</v>
      </c>
      <c r="T2765" t="str">
        <f t="shared" si="260"/>
        <v>Overweight</v>
      </c>
      <c r="U2765">
        <v>85</v>
      </c>
      <c r="V2765">
        <v>60</v>
      </c>
      <c r="W2765" t="str">
        <f t="shared" si="263"/>
        <v>Normal</v>
      </c>
      <c r="X2765">
        <v>0</v>
      </c>
    </row>
    <row r="2766" spans="1:24" ht="14.5" thickBot="1" x14ac:dyDescent="0.35">
      <c r="A2766">
        <v>1</v>
      </c>
      <c r="B2766" t="str">
        <f t="shared" si="261"/>
        <v>Male</v>
      </c>
      <c r="C2766" s="8">
        <v>53</v>
      </c>
      <c r="D2766" t="str">
        <f t="shared" si="262"/>
        <v>Middle Age</v>
      </c>
      <c r="E2766">
        <v>1</v>
      </c>
      <c r="F2766" t="str">
        <f>HLOOKUP(E2766, LookUP_Table!$A$6:$D$7, 2, FALSE)</f>
        <v>Primary</v>
      </c>
      <c r="G2766" t="str">
        <f>IFERROR(VLOOKUP(E2766, LookUP_Table!$A$1:$B$4, 2, FALSE), "")</f>
        <v>Primary</v>
      </c>
      <c r="H2766">
        <v>1</v>
      </c>
      <c r="I2766">
        <v>11</v>
      </c>
      <c r="J2766" t="str">
        <f t="shared" si="258"/>
        <v>Smoker</v>
      </c>
      <c r="K2766">
        <v>1</v>
      </c>
      <c r="L2766">
        <v>0</v>
      </c>
      <c r="M2766">
        <v>1</v>
      </c>
      <c r="N2766">
        <v>0</v>
      </c>
      <c r="O2766">
        <v>228</v>
      </c>
      <c r="P2766" t="str">
        <f t="shared" si="259"/>
        <v>Normal</v>
      </c>
      <c r="Q2766">
        <v>132.5</v>
      </c>
      <c r="R2766">
        <v>55</v>
      </c>
      <c r="S2766">
        <v>19.97</v>
      </c>
      <c r="T2766" t="str">
        <f t="shared" si="260"/>
        <v>Normal</v>
      </c>
      <c r="U2766">
        <v>90</v>
      </c>
      <c r="V2766">
        <v>83</v>
      </c>
      <c r="W2766" t="str">
        <f t="shared" si="263"/>
        <v>Normal</v>
      </c>
      <c r="X2766">
        <v>1</v>
      </c>
    </row>
    <row r="2767" spans="1:24" ht="14.5" thickBot="1" x14ac:dyDescent="0.35">
      <c r="A2767">
        <v>0</v>
      </c>
      <c r="B2767" t="str">
        <f t="shared" si="261"/>
        <v>Female</v>
      </c>
      <c r="C2767" s="8">
        <v>53</v>
      </c>
      <c r="D2767" t="str">
        <f t="shared" si="262"/>
        <v>Middle Age</v>
      </c>
      <c r="E2767">
        <v>4</v>
      </c>
      <c r="F2767" t="str">
        <f>HLOOKUP(E2767, LookUP_Table!$A$6:$D$7, 2, FALSE)</f>
        <v>Post Graduate</v>
      </c>
      <c r="G2767" t="str">
        <f>IFERROR(VLOOKUP(E2767, LookUP_Table!$A$1:$B$4, 2, FALSE), "")</f>
        <v>Post Graduate</v>
      </c>
      <c r="H2767">
        <v>0</v>
      </c>
      <c r="I2767">
        <v>0</v>
      </c>
      <c r="J2767" t="str">
        <f t="shared" si="258"/>
        <v>Non-Smoker</v>
      </c>
      <c r="K2767">
        <v>0</v>
      </c>
      <c r="L2767">
        <v>0</v>
      </c>
      <c r="M2767">
        <v>0</v>
      </c>
      <c r="N2767">
        <v>0</v>
      </c>
      <c r="O2767">
        <v>219</v>
      </c>
      <c r="P2767" t="str">
        <f t="shared" si="259"/>
        <v>Normal</v>
      </c>
      <c r="Q2767">
        <v>108</v>
      </c>
      <c r="R2767">
        <v>65</v>
      </c>
      <c r="S2767">
        <v>22.19</v>
      </c>
      <c r="T2767" t="str">
        <f t="shared" si="260"/>
        <v>Normal</v>
      </c>
      <c r="U2767">
        <v>70</v>
      </c>
      <c r="V2767">
        <v>76</v>
      </c>
      <c r="W2767" t="str">
        <f t="shared" si="263"/>
        <v>Normal</v>
      </c>
      <c r="X2767">
        <v>0</v>
      </c>
    </row>
    <row r="2768" spans="1:24" ht="14.5" thickBot="1" x14ac:dyDescent="0.35">
      <c r="A2768">
        <v>0</v>
      </c>
      <c r="B2768" t="str">
        <f t="shared" si="261"/>
        <v>Female</v>
      </c>
      <c r="C2768" s="8">
        <v>53</v>
      </c>
      <c r="D2768" t="str">
        <f t="shared" si="262"/>
        <v>Middle Age</v>
      </c>
      <c r="E2768">
        <v>2</v>
      </c>
      <c r="F2768" t="str">
        <f>HLOOKUP(E2768, LookUP_Table!$A$6:$D$7, 2, FALSE)</f>
        <v>Secondary</v>
      </c>
      <c r="G2768" t="str">
        <f>IFERROR(VLOOKUP(E2768, LookUP_Table!$A$1:$B$4, 2, FALSE), "")</f>
        <v>Secondary</v>
      </c>
      <c r="H2768">
        <v>1</v>
      </c>
      <c r="I2768">
        <v>20</v>
      </c>
      <c r="J2768" t="str">
        <f t="shared" si="258"/>
        <v>Smoker</v>
      </c>
      <c r="K2768">
        <v>0</v>
      </c>
      <c r="L2768">
        <v>0</v>
      </c>
      <c r="M2768">
        <v>1</v>
      </c>
      <c r="N2768">
        <v>0</v>
      </c>
      <c r="O2768">
        <v>256</v>
      </c>
      <c r="P2768" t="str">
        <f t="shared" si="259"/>
        <v>High</v>
      </c>
      <c r="Q2768">
        <v>128</v>
      </c>
      <c r="R2768">
        <v>90</v>
      </c>
      <c r="S2768">
        <v>23.65</v>
      </c>
      <c r="T2768" t="str">
        <f t="shared" si="260"/>
        <v>Normal</v>
      </c>
      <c r="U2768">
        <v>105</v>
      </c>
      <c r="V2768">
        <v>102</v>
      </c>
      <c r="W2768" t="str">
        <f t="shared" si="263"/>
        <v>Prediabetes</v>
      </c>
      <c r="X2768">
        <v>0</v>
      </c>
    </row>
    <row r="2769" spans="1:24" ht="14.5" thickBot="1" x14ac:dyDescent="0.35">
      <c r="A2769">
        <v>1</v>
      </c>
      <c r="B2769" t="str">
        <f t="shared" si="261"/>
        <v>Male</v>
      </c>
      <c r="C2769" s="8">
        <v>53</v>
      </c>
      <c r="D2769" t="str">
        <f t="shared" si="262"/>
        <v>Middle Age</v>
      </c>
      <c r="E2769">
        <v>2</v>
      </c>
      <c r="F2769" t="str">
        <f>HLOOKUP(E2769, LookUP_Table!$A$6:$D$7, 2, FALSE)</f>
        <v>Secondary</v>
      </c>
      <c r="G2769" t="str">
        <f>IFERROR(VLOOKUP(E2769, LookUP_Table!$A$1:$B$4, 2, FALSE), "")</f>
        <v>Secondary</v>
      </c>
      <c r="H2769">
        <v>0</v>
      </c>
      <c r="I2769">
        <v>0</v>
      </c>
      <c r="J2769" t="str">
        <f t="shared" si="258"/>
        <v>Non-Smoker</v>
      </c>
      <c r="K2769">
        <v>0</v>
      </c>
      <c r="L2769">
        <v>0</v>
      </c>
      <c r="M2769">
        <v>1</v>
      </c>
      <c r="N2769">
        <v>0</v>
      </c>
      <c r="O2769">
        <v>325</v>
      </c>
      <c r="P2769" t="str">
        <f t="shared" si="259"/>
        <v>High</v>
      </c>
      <c r="Q2769">
        <v>172.5</v>
      </c>
      <c r="R2769">
        <v>112.5</v>
      </c>
      <c r="S2769">
        <v>28.47</v>
      </c>
      <c r="T2769" t="str">
        <f t="shared" si="260"/>
        <v>Overweight</v>
      </c>
      <c r="U2769">
        <v>75</v>
      </c>
      <c r="V2769">
        <v>74</v>
      </c>
      <c r="W2769" t="str">
        <f t="shared" si="263"/>
        <v>Normal</v>
      </c>
      <c r="X2769">
        <v>0</v>
      </c>
    </row>
    <row r="2770" spans="1:24" ht="14.5" thickBot="1" x14ac:dyDescent="0.35">
      <c r="A2770">
        <v>0</v>
      </c>
      <c r="B2770" t="str">
        <f t="shared" si="261"/>
        <v>Female</v>
      </c>
      <c r="C2770" s="8">
        <v>53</v>
      </c>
      <c r="D2770" t="str">
        <f t="shared" si="262"/>
        <v>Middle Age</v>
      </c>
      <c r="E2770">
        <v>3</v>
      </c>
      <c r="F2770" t="str">
        <f>HLOOKUP(E2770, LookUP_Table!$A$6:$D$7, 2, FALSE)</f>
        <v>Graduate</v>
      </c>
      <c r="G2770" t="str">
        <f>IFERROR(VLOOKUP(E2770, LookUP_Table!$A$1:$B$4, 2, FALSE), "")</f>
        <v>Graduate</v>
      </c>
      <c r="H2770">
        <v>0</v>
      </c>
      <c r="I2770">
        <v>0</v>
      </c>
      <c r="J2770" t="str">
        <f t="shared" si="258"/>
        <v>Non-Smoker</v>
      </c>
      <c r="K2770">
        <v>0</v>
      </c>
      <c r="L2770">
        <v>0</v>
      </c>
      <c r="M2770">
        <v>0</v>
      </c>
      <c r="N2770">
        <v>0</v>
      </c>
      <c r="O2770">
        <v>294</v>
      </c>
      <c r="P2770" t="str">
        <f t="shared" si="259"/>
        <v>High</v>
      </c>
      <c r="Q2770">
        <v>156</v>
      </c>
      <c r="R2770">
        <v>95</v>
      </c>
      <c r="S2770">
        <v>26.05</v>
      </c>
      <c r="T2770" t="str">
        <f t="shared" si="260"/>
        <v>Overweight</v>
      </c>
      <c r="U2770">
        <v>94</v>
      </c>
      <c r="V2770">
        <v>115</v>
      </c>
      <c r="W2770" t="str">
        <f t="shared" si="263"/>
        <v>Prediabetes</v>
      </c>
      <c r="X2770">
        <v>0</v>
      </c>
    </row>
    <row r="2771" spans="1:24" ht="14.5" thickBot="1" x14ac:dyDescent="0.35">
      <c r="A2771">
        <v>0</v>
      </c>
      <c r="B2771" t="str">
        <f t="shared" si="261"/>
        <v>Female</v>
      </c>
      <c r="C2771" s="8">
        <v>53</v>
      </c>
      <c r="D2771" t="str">
        <f t="shared" si="262"/>
        <v>Middle Age</v>
      </c>
      <c r="E2771">
        <v>1</v>
      </c>
      <c r="F2771" t="str">
        <f>HLOOKUP(E2771, LookUP_Table!$A$6:$D$7, 2, FALSE)</f>
        <v>Primary</v>
      </c>
      <c r="G2771" t="str">
        <f>IFERROR(VLOOKUP(E2771, LookUP_Table!$A$1:$B$4, 2, FALSE), "")</f>
        <v>Primary</v>
      </c>
      <c r="H2771">
        <v>1</v>
      </c>
      <c r="I2771">
        <v>20</v>
      </c>
      <c r="J2771" t="str">
        <f t="shared" si="258"/>
        <v>Smoker</v>
      </c>
      <c r="K2771">
        <v>0</v>
      </c>
      <c r="L2771">
        <v>0</v>
      </c>
      <c r="M2771">
        <v>0</v>
      </c>
      <c r="N2771">
        <v>0</v>
      </c>
      <c r="O2771">
        <v>222</v>
      </c>
      <c r="P2771" t="str">
        <f t="shared" si="259"/>
        <v>Normal</v>
      </c>
      <c r="Q2771">
        <v>123</v>
      </c>
      <c r="R2771">
        <v>82</v>
      </c>
      <c r="S2771">
        <v>25.52</v>
      </c>
      <c r="T2771" t="str">
        <f t="shared" si="260"/>
        <v>Overweight</v>
      </c>
      <c r="U2771">
        <v>72</v>
      </c>
      <c r="V2771">
        <v>67</v>
      </c>
      <c r="W2771" t="str">
        <f t="shared" si="263"/>
        <v>Normal</v>
      </c>
      <c r="X2771">
        <v>0</v>
      </c>
    </row>
    <row r="2772" spans="1:24" ht="14.5" thickBot="1" x14ac:dyDescent="0.35">
      <c r="A2772">
        <v>0</v>
      </c>
      <c r="B2772" t="str">
        <f t="shared" si="261"/>
        <v>Female</v>
      </c>
      <c r="C2772" s="8">
        <v>53</v>
      </c>
      <c r="D2772" t="str">
        <f t="shared" si="262"/>
        <v>Middle Age</v>
      </c>
      <c r="E2772">
        <v>2</v>
      </c>
      <c r="F2772" t="str">
        <f>HLOOKUP(E2772, LookUP_Table!$A$6:$D$7, 2, FALSE)</f>
        <v>Secondary</v>
      </c>
      <c r="G2772" t="str">
        <f>IFERROR(VLOOKUP(E2772, LookUP_Table!$A$1:$B$4, 2, FALSE), "")</f>
        <v>Secondary</v>
      </c>
      <c r="H2772">
        <v>0</v>
      </c>
      <c r="I2772">
        <v>0</v>
      </c>
      <c r="J2772" t="str">
        <f t="shared" si="258"/>
        <v>Non-Smoker</v>
      </c>
      <c r="K2772">
        <v>0</v>
      </c>
      <c r="L2772">
        <v>0</v>
      </c>
      <c r="M2772">
        <v>1</v>
      </c>
      <c r="N2772">
        <v>0</v>
      </c>
      <c r="O2772">
        <v>366</v>
      </c>
      <c r="P2772" t="str">
        <f t="shared" si="259"/>
        <v>High</v>
      </c>
      <c r="Q2772">
        <v>148</v>
      </c>
      <c r="R2772">
        <v>88</v>
      </c>
      <c r="S2772">
        <v>32.520000000000003</v>
      </c>
      <c r="T2772" t="str">
        <f t="shared" si="260"/>
        <v>Obese</v>
      </c>
      <c r="U2772">
        <v>85</v>
      </c>
      <c r="V2772">
        <v>81.96365524402907</v>
      </c>
      <c r="W2772" t="str">
        <f t="shared" si="263"/>
        <v>Normal</v>
      </c>
      <c r="X2772">
        <v>0</v>
      </c>
    </row>
    <row r="2773" spans="1:24" ht="14.5" thickBot="1" x14ac:dyDescent="0.35">
      <c r="A2773">
        <v>1</v>
      </c>
      <c r="B2773" t="str">
        <f t="shared" si="261"/>
        <v>Male</v>
      </c>
      <c r="C2773" s="8">
        <v>53</v>
      </c>
      <c r="D2773" t="str">
        <f t="shared" si="262"/>
        <v>Middle Age</v>
      </c>
      <c r="E2773">
        <v>1</v>
      </c>
      <c r="F2773" t="str">
        <f>HLOOKUP(E2773, LookUP_Table!$A$6:$D$7, 2, FALSE)</f>
        <v>Primary</v>
      </c>
      <c r="G2773" t="str">
        <f>IFERROR(VLOOKUP(E2773, LookUP_Table!$A$1:$B$4, 2, FALSE), "")</f>
        <v>Primary</v>
      </c>
      <c r="H2773">
        <v>1</v>
      </c>
      <c r="I2773">
        <v>43</v>
      </c>
      <c r="J2773" t="str">
        <f t="shared" si="258"/>
        <v>Smoker</v>
      </c>
      <c r="K2773">
        <v>0</v>
      </c>
      <c r="L2773">
        <v>0</v>
      </c>
      <c r="M2773">
        <v>1</v>
      </c>
      <c r="N2773">
        <v>0</v>
      </c>
      <c r="O2773">
        <v>246</v>
      </c>
      <c r="P2773" t="str">
        <f t="shared" si="259"/>
        <v>High</v>
      </c>
      <c r="Q2773">
        <v>176</v>
      </c>
      <c r="R2773">
        <v>109</v>
      </c>
      <c r="S2773">
        <v>32.32</v>
      </c>
      <c r="T2773" t="str">
        <f t="shared" si="260"/>
        <v>Obese</v>
      </c>
      <c r="U2773">
        <v>72</v>
      </c>
      <c r="V2773">
        <v>59</v>
      </c>
      <c r="W2773" t="str">
        <f t="shared" si="263"/>
        <v>Normal</v>
      </c>
      <c r="X2773">
        <v>0</v>
      </c>
    </row>
    <row r="2774" spans="1:24" ht="14.5" thickBot="1" x14ac:dyDescent="0.35">
      <c r="A2774">
        <v>1</v>
      </c>
      <c r="B2774" t="str">
        <f t="shared" si="261"/>
        <v>Male</v>
      </c>
      <c r="C2774" s="8">
        <v>53</v>
      </c>
      <c r="D2774" t="str">
        <f t="shared" si="262"/>
        <v>Middle Age</v>
      </c>
      <c r="E2774">
        <v>2</v>
      </c>
      <c r="F2774" t="str">
        <f>HLOOKUP(E2774, LookUP_Table!$A$6:$D$7, 2, FALSE)</f>
        <v>Secondary</v>
      </c>
      <c r="G2774" t="str">
        <f>IFERROR(VLOOKUP(E2774, LookUP_Table!$A$1:$B$4, 2, FALSE), "")</f>
        <v>Secondary</v>
      </c>
      <c r="H2774">
        <v>0</v>
      </c>
      <c r="I2774">
        <v>0</v>
      </c>
      <c r="J2774" t="str">
        <f t="shared" si="258"/>
        <v>Non-Smoker</v>
      </c>
      <c r="K2774">
        <v>0</v>
      </c>
      <c r="L2774">
        <v>0</v>
      </c>
      <c r="M2774">
        <v>0</v>
      </c>
      <c r="N2774">
        <v>0</v>
      </c>
      <c r="O2774">
        <v>196</v>
      </c>
      <c r="P2774" t="str">
        <f t="shared" si="259"/>
        <v>Normal</v>
      </c>
      <c r="Q2774">
        <v>129</v>
      </c>
      <c r="R2774">
        <v>80</v>
      </c>
      <c r="S2774">
        <v>26.32</v>
      </c>
      <c r="T2774" t="str">
        <f t="shared" si="260"/>
        <v>Overweight</v>
      </c>
      <c r="U2774">
        <v>75</v>
      </c>
      <c r="V2774">
        <v>89</v>
      </c>
      <c r="W2774" t="str">
        <f t="shared" si="263"/>
        <v>Normal</v>
      </c>
      <c r="X2774">
        <v>0</v>
      </c>
    </row>
    <row r="2775" spans="1:24" ht="14.5" thickBot="1" x14ac:dyDescent="0.35">
      <c r="A2775">
        <v>0</v>
      </c>
      <c r="B2775" t="str">
        <f t="shared" si="261"/>
        <v>Female</v>
      </c>
      <c r="C2775" s="8">
        <v>53</v>
      </c>
      <c r="D2775" t="str">
        <f t="shared" si="262"/>
        <v>Middle Age</v>
      </c>
      <c r="E2775">
        <v>2</v>
      </c>
      <c r="F2775" t="str">
        <f>HLOOKUP(E2775, LookUP_Table!$A$6:$D$7, 2, FALSE)</f>
        <v>Secondary</v>
      </c>
      <c r="G2775" t="str">
        <f>IFERROR(VLOOKUP(E2775, LookUP_Table!$A$1:$B$4, 2, FALSE), "")</f>
        <v>Secondary</v>
      </c>
      <c r="H2775">
        <v>0</v>
      </c>
      <c r="I2775">
        <v>0</v>
      </c>
      <c r="J2775" t="str">
        <f t="shared" si="258"/>
        <v>Non-Smoker</v>
      </c>
      <c r="K2775">
        <v>0</v>
      </c>
      <c r="L2775">
        <v>0</v>
      </c>
      <c r="M2775">
        <v>0</v>
      </c>
      <c r="N2775">
        <v>0</v>
      </c>
      <c r="O2775">
        <v>220</v>
      </c>
      <c r="P2775" t="str">
        <f t="shared" si="259"/>
        <v>Normal</v>
      </c>
      <c r="Q2775">
        <v>108</v>
      </c>
      <c r="R2775">
        <v>81</v>
      </c>
      <c r="S2775">
        <v>28.71</v>
      </c>
      <c r="T2775" t="str">
        <f t="shared" si="260"/>
        <v>Overweight</v>
      </c>
      <c r="U2775">
        <v>56</v>
      </c>
      <c r="V2775">
        <v>81.96365524402907</v>
      </c>
      <c r="W2775" t="str">
        <f t="shared" si="263"/>
        <v>Normal</v>
      </c>
      <c r="X2775">
        <v>0</v>
      </c>
    </row>
    <row r="2776" spans="1:24" ht="14.5" thickBot="1" x14ac:dyDescent="0.35">
      <c r="A2776">
        <v>1</v>
      </c>
      <c r="B2776" t="str">
        <f t="shared" si="261"/>
        <v>Male</v>
      </c>
      <c r="C2776" s="8">
        <v>53</v>
      </c>
      <c r="D2776" t="str">
        <f t="shared" si="262"/>
        <v>Middle Age</v>
      </c>
      <c r="E2776">
        <v>1</v>
      </c>
      <c r="F2776" t="str">
        <f>HLOOKUP(E2776, LookUP_Table!$A$6:$D$7, 2, FALSE)</f>
        <v>Primary</v>
      </c>
      <c r="G2776" t="str">
        <f>IFERROR(VLOOKUP(E2776, LookUP_Table!$A$1:$B$4, 2, FALSE), "")</f>
        <v>Primary</v>
      </c>
      <c r="H2776">
        <v>1</v>
      </c>
      <c r="I2776">
        <v>40</v>
      </c>
      <c r="J2776" t="str">
        <f t="shared" si="258"/>
        <v>Smoker</v>
      </c>
      <c r="K2776">
        <v>0</v>
      </c>
      <c r="L2776">
        <v>0</v>
      </c>
      <c r="M2776">
        <v>1</v>
      </c>
      <c r="N2776">
        <v>0</v>
      </c>
      <c r="O2776">
        <v>270</v>
      </c>
      <c r="P2776" t="str">
        <f t="shared" si="259"/>
        <v>High</v>
      </c>
      <c r="Q2776">
        <v>151</v>
      </c>
      <c r="R2776">
        <v>89</v>
      </c>
      <c r="S2776">
        <v>26.76</v>
      </c>
      <c r="T2776" t="str">
        <f t="shared" si="260"/>
        <v>Overweight</v>
      </c>
      <c r="U2776">
        <v>75</v>
      </c>
      <c r="V2776">
        <v>75</v>
      </c>
      <c r="W2776" t="str">
        <f t="shared" si="263"/>
        <v>Normal</v>
      </c>
      <c r="X2776">
        <v>0</v>
      </c>
    </row>
    <row r="2777" spans="1:24" ht="14.5" thickBot="1" x14ac:dyDescent="0.35">
      <c r="A2777">
        <v>1</v>
      </c>
      <c r="B2777" t="str">
        <f t="shared" si="261"/>
        <v>Male</v>
      </c>
      <c r="C2777" s="8">
        <v>53</v>
      </c>
      <c r="D2777" t="str">
        <f t="shared" si="262"/>
        <v>Middle Age</v>
      </c>
      <c r="E2777">
        <v>2</v>
      </c>
      <c r="F2777" t="str">
        <f>HLOOKUP(E2777, LookUP_Table!$A$6:$D$7, 2, FALSE)</f>
        <v>Secondary</v>
      </c>
      <c r="G2777" t="str">
        <f>IFERROR(VLOOKUP(E2777, LookUP_Table!$A$1:$B$4, 2, FALSE), "")</f>
        <v>Secondary</v>
      </c>
      <c r="H2777">
        <v>0</v>
      </c>
      <c r="I2777">
        <v>0</v>
      </c>
      <c r="J2777" t="str">
        <f t="shared" si="258"/>
        <v>Non-Smoker</v>
      </c>
      <c r="K2777">
        <v>0</v>
      </c>
      <c r="L2777">
        <v>0</v>
      </c>
      <c r="M2777">
        <v>1</v>
      </c>
      <c r="N2777">
        <v>0</v>
      </c>
      <c r="O2777">
        <v>198</v>
      </c>
      <c r="P2777" t="str">
        <f t="shared" si="259"/>
        <v>Normal</v>
      </c>
      <c r="Q2777">
        <v>142.5</v>
      </c>
      <c r="R2777">
        <v>82</v>
      </c>
      <c r="S2777">
        <v>23.84</v>
      </c>
      <c r="T2777" t="str">
        <f t="shared" si="260"/>
        <v>Normal</v>
      </c>
      <c r="U2777">
        <v>57</v>
      </c>
      <c r="V2777">
        <v>78</v>
      </c>
      <c r="W2777" t="str">
        <f t="shared" si="263"/>
        <v>Normal</v>
      </c>
      <c r="X2777">
        <v>1</v>
      </c>
    </row>
    <row r="2778" spans="1:24" ht="14.5" thickBot="1" x14ac:dyDescent="0.35">
      <c r="A2778">
        <v>1</v>
      </c>
      <c r="B2778" t="str">
        <f t="shared" si="261"/>
        <v>Male</v>
      </c>
      <c r="C2778" s="8">
        <v>53</v>
      </c>
      <c r="D2778" t="str">
        <f t="shared" si="262"/>
        <v>Middle Age</v>
      </c>
      <c r="E2778">
        <v>1</v>
      </c>
      <c r="F2778" t="str">
        <f>HLOOKUP(E2778, LookUP_Table!$A$6:$D$7, 2, FALSE)</f>
        <v>Primary</v>
      </c>
      <c r="G2778" t="str">
        <f>IFERROR(VLOOKUP(E2778, LookUP_Table!$A$1:$B$4, 2, FALSE), "")</f>
        <v>Primary</v>
      </c>
      <c r="H2778">
        <v>1</v>
      </c>
      <c r="I2778">
        <v>20</v>
      </c>
      <c r="J2778" t="str">
        <f t="shared" si="258"/>
        <v>Smoker</v>
      </c>
      <c r="K2778">
        <v>0</v>
      </c>
      <c r="L2778">
        <v>0</v>
      </c>
      <c r="M2778">
        <v>0</v>
      </c>
      <c r="N2778">
        <v>0</v>
      </c>
      <c r="O2778">
        <v>231</v>
      </c>
      <c r="P2778" t="str">
        <f t="shared" si="259"/>
        <v>Normal</v>
      </c>
      <c r="Q2778">
        <v>130</v>
      </c>
      <c r="R2778">
        <v>71.5</v>
      </c>
      <c r="S2778">
        <v>25.23</v>
      </c>
      <c r="T2778" t="str">
        <f t="shared" si="260"/>
        <v>Overweight</v>
      </c>
      <c r="U2778">
        <v>75</v>
      </c>
      <c r="V2778">
        <v>75</v>
      </c>
      <c r="W2778" t="str">
        <f t="shared" si="263"/>
        <v>Normal</v>
      </c>
      <c r="X2778">
        <v>0</v>
      </c>
    </row>
    <row r="2779" spans="1:24" ht="14.5" thickBot="1" x14ac:dyDescent="0.35">
      <c r="A2779">
        <v>1</v>
      </c>
      <c r="B2779" t="str">
        <f t="shared" si="261"/>
        <v>Male</v>
      </c>
      <c r="C2779" s="8">
        <v>53</v>
      </c>
      <c r="D2779" t="str">
        <f t="shared" si="262"/>
        <v>Middle Age</v>
      </c>
      <c r="E2779">
        <v>2</v>
      </c>
      <c r="F2779" t="str">
        <f>HLOOKUP(E2779, LookUP_Table!$A$6:$D$7, 2, FALSE)</f>
        <v>Secondary</v>
      </c>
      <c r="G2779" t="str">
        <f>IFERROR(VLOOKUP(E2779, LookUP_Table!$A$1:$B$4, 2, FALSE), "")</f>
        <v>Secondary</v>
      </c>
      <c r="H2779">
        <v>0</v>
      </c>
      <c r="I2779">
        <v>0</v>
      </c>
      <c r="J2779" t="str">
        <f t="shared" si="258"/>
        <v>Non-Smoker</v>
      </c>
      <c r="K2779">
        <v>0</v>
      </c>
      <c r="L2779">
        <v>0</v>
      </c>
      <c r="M2779">
        <v>0</v>
      </c>
      <c r="N2779">
        <v>1</v>
      </c>
      <c r="O2779">
        <v>234</v>
      </c>
      <c r="P2779" t="str">
        <f t="shared" si="259"/>
        <v>Normal</v>
      </c>
      <c r="Q2779">
        <v>113</v>
      </c>
      <c r="R2779">
        <v>68</v>
      </c>
      <c r="S2779">
        <v>24.8</v>
      </c>
      <c r="T2779" t="str">
        <f t="shared" si="260"/>
        <v>Normal</v>
      </c>
      <c r="U2779">
        <v>76</v>
      </c>
      <c r="V2779">
        <v>108</v>
      </c>
      <c r="W2779" t="str">
        <f t="shared" si="263"/>
        <v>Prediabetes</v>
      </c>
      <c r="X2779">
        <v>1</v>
      </c>
    </row>
    <row r="2780" spans="1:24" ht="14.5" thickBot="1" x14ac:dyDescent="0.35">
      <c r="A2780">
        <v>0</v>
      </c>
      <c r="B2780" t="str">
        <f t="shared" si="261"/>
        <v>Female</v>
      </c>
      <c r="C2780" s="8">
        <v>53</v>
      </c>
      <c r="D2780" t="str">
        <f t="shared" si="262"/>
        <v>Middle Age</v>
      </c>
      <c r="E2780">
        <v>4</v>
      </c>
      <c r="F2780" t="str">
        <f>HLOOKUP(E2780, LookUP_Table!$A$6:$D$7, 2, FALSE)</f>
        <v>Post Graduate</v>
      </c>
      <c r="G2780" t="str">
        <f>IFERROR(VLOOKUP(E2780, LookUP_Table!$A$1:$B$4, 2, FALSE), "")</f>
        <v>Post Graduate</v>
      </c>
      <c r="H2780">
        <v>0</v>
      </c>
      <c r="I2780">
        <v>0</v>
      </c>
      <c r="J2780" t="str">
        <f t="shared" si="258"/>
        <v>Non-Smoker</v>
      </c>
      <c r="K2780">
        <v>0</v>
      </c>
      <c r="L2780">
        <v>0</v>
      </c>
      <c r="M2780">
        <v>1</v>
      </c>
      <c r="N2780">
        <v>0</v>
      </c>
      <c r="O2780">
        <v>263</v>
      </c>
      <c r="P2780" t="str">
        <f t="shared" si="259"/>
        <v>High</v>
      </c>
      <c r="Q2780">
        <v>173</v>
      </c>
      <c r="R2780">
        <v>89</v>
      </c>
      <c r="S2780">
        <v>23.03</v>
      </c>
      <c r="T2780" t="str">
        <f t="shared" si="260"/>
        <v>Normal</v>
      </c>
      <c r="U2780">
        <v>65</v>
      </c>
      <c r="V2780">
        <v>82</v>
      </c>
      <c r="W2780" t="str">
        <f t="shared" si="263"/>
        <v>Normal</v>
      </c>
      <c r="X2780">
        <v>1</v>
      </c>
    </row>
    <row r="2781" spans="1:24" ht="14.5" thickBot="1" x14ac:dyDescent="0.35">
      <c r="A2781">
        <v>0</v>
      </c>
      <c r="B2781" t="str">
        <f t="shared" si="261"/>
        <v>Female</v>
      </c>
      <c r="C2781" s="8">
        <v>53</v>
      </c>
      <c r="D2781" t="str">
        <f t="shared" si="262"/>
        <v>Middle Age</v>
      </c>
      <c r="E2781">
        <v>2</v>
      </c>
      <c r="F2781" t="str">
        <f>HLOOKUP(E2781, LookUP_Table!$A$6:$D$7, 2, FALSE)</f>
        <v>Secondary</v>
      </c>
      <c r="G2781" t="str">
        <f>IFERROR(VLOOKUP(E2781, LookUP_Table!$A$1:$B$4, 2, FALSE), "")</f>
        <v>Secondary</v>
      </c>
      <c r="H2781">
        <v>0</v>
      </c>
      <c r="I2781">
        <v>0</v>
      </c>
      <c r="J2781" t="str">
        <f t="shared" si="258"/>
        <v>Non-Smoker</v>
      </c>
      <c r="K2781">
        <v>0</v>
      </c>
      <c r="L2781">
        <v>0</v>
      </c>
      <c r="M2781">
        <v>1</v>
      </c>
      <c r="N2781">
        <v>0</v>
      </c>
      <c r="O2781">
        <v>230</v>
      </c>
      <c r="P2781" t="str">
        <f t="shared" si="259"/>
        <v>Normal</v>
      </c>
      <c r="Q2781">
        <v>170</v>
      </c>
      <c r="R2781">
        <v>113</v>
      </c>
      <c r="S2781">
        <v>29.55</v>
      </c>
      <c r="T2781" t="str">
        <f t="shared" si="260"/>
        <v>Overweight</v>
      </c>
      <c r="U2781">
        <v>115</v>
      </c>
      <c r="V2781">
        <v>115</v>
      </c>
      <c r="W2781" t="str">
        <f t="shared" si="263"/>
        <v>Prediabetes</v>
      </c>
      <c r="X2781">
        <v>0</v>
      </c>
    </row>
    <row r="2782" spans="1:24" ht="14.5" thickBot="1" x14ac:dyDescent="0.35">
      <c r="A2782">
        <v>0</v>
      </c>
      <c r="B2782" t="str">
        <f t="shared" si="261"/>
        <v>Female</v>
      </c>
      <c r="C2782" s="8">
        <v>53</v>
      </c>
      <c r="D2782" t="str">
        <f t="shared" si="262"/>
        <v>Middle Age</v>
      </c>
      <c r="E2782">
        <v>2</v>
      </c>
      <c r="F2782" t="str">
        <f>HLOOKUP(E2782, LookUP_Table!$A$6:$D$7, 2, FALSE)</f>
        <v>Secondary</v>
      </c>
      <c r="G2782" t="str">
        <f>IFERROR(VLOOKUP(E2782, LookUP_Table!$A$1:$B$4, 2, FALSE), "")</f>
        <v>Secondary</v>
      </c>
      <c r="H2782">
        <v>0</v>
      </c>
      <c r="I2782">
        <v>0</v>
      </c>
      <c r="J2782" t="str">
        <f t="shared" si="258"/>
        <v>Non-Smoker</v>
      </c>
      <c r="K2782">
        <v>0</v>
      </c>
      <c r="L2782">
        <v>0</v>
      </c>
      <c r="M2782">
        <v>1</v>
      </c>
      <c r="N2782">
        <v>0</v>
      </c>
      <c r="O2782">
        <v>279</v>
      </c>
      <c r="P2782" t="str">
        <f t="shared" si="259"/>
        <v>High</v>
      </c>
      <c r="Q2782">
        <v>167</v>
      </c>
      <c r="R2782">
        <v>101</v>
      </c>
      <c r="S2782">
        <v>30.85</v>
      </c>
      <c r="T2782" t="str">
        <f t="shared" si="260"/>
        <v>Obese</v>
      </c>
      <c r="U2782">
        <v>90</v>
      </c>
      <c r="V2782">
        <v>87</v>
      </c>
      <c r="W2782" t="str">
        <f t="shared" si="263"/>
        <v>Normal</v>
      </c>
      <c r="X2782">
        <v>0</v>
      </c>
    </row>
    <row r="2783" spans="1:24" ht="14.5" thickBot="1" x14ac:dyDescent="0.35">
      <c r="A2783">
        <v>1</v>
      </c>
      <c r="B2783" t="str">
        <f t="shared" si="261"/>
        <v>Male</v>
      </c>
      <c r="C2783" s="8">
        <v>53</v>
      </c>
      <c r="D2783" t="str">
        <f t="shared" si="262"/>
        <v>Middle Age</v>
      </c>
      <c r="E2783">
        <v>1</v>
      </c>
      <c r="F2783" t="str">
        <f>HLOOKUP(E2783, LookUP_Table!$A$6:$D$7, 2, FALSE)</f>
        <v>Primary</v>
      </c>
      <c r="G2783" t="str">
        <f>IFERROR(VLOOKUP(E2783, LookUP_Table!$A$1:$B$4, 2, FALSE), "")</f>
        <v>Primary</v>
      </c>
      <c r="H2783">
        <v>1</v>
      </c>
      <c r="I2783">
        <v>3</v>
      </c>
      <c r="J2783" t="str">
        <f t="shared" si="258"/>
        <v>Smoker</v>
      </c>
      <c r="K2783">
        <v>0</v>
      </c>
      <c r="L2783">
        <v>0</v>
      </c>
      <c r="M2783">
        <v>0</v>
      </c>
      <c r="N2783">
        <v>0</v>
      </c>
      <c r="O2783">
        <v>218</v>
      </c>
      <c r="P2783" t="str">
        <f t="shared" si="259"/>
        <v>Normal</v>
      </c>
      <c r="Q2783">
        <v>120</v>
      </c>
      <c r="R2783">
        <v>80</v>
      </c>
      <c r="S2783">
        <v>29.87</v>
      </c>
      <c r="T2783" t="str">
        <f t="shared" si="260"/>
        <v>Overweight</v>
      </c>
      <c r="U2783">
        <v>90</v>
      </c>
      <c r="V2783">
        <v>73</v>
      </c>
      <c r="W2783" t="str">
        <f t="shared" si="263"/>
        <v>Normal</v>
      </c>
      <c r="X2783">
        <v>1</v>
      </c>
    </row>
    <row r="2784" spans="1:24" ht="14.5" thickBot="1" x14ac:dyDescent="0.35">
      <c r="A2784">
        <v>0</v>
      </c>
      <c r="B2784" t="str">
        <f t="shared" si="261"/>
        <v>Female</v>
      </c>
      <c r="C2784" s="8">
        <v>53</v>
      </c>
      <c r="D2784" t="str">
        <f t="shared" si="262"/>
        <v>Middle Age</v>
      </c>
      <c r="E2784">
        <v>1</v>
      </c>
      <c r="F2784" t="str">
        <f>HLOOKUP(E2784, LookUP_Table!$A$6:$D$7, 2, FALSE)</f>
        <v>Primary</v>
      </c>
      <c r="G2784" t="str">
        <f>IFERROR(VLOOKUP(E2784, LookUP_Table!$A$1:$B$4, 2, FALSE), "")</f>
        <v>Primary</v>
      </c>
      <c r="H2784">
        <v>0</v>
      </c>
      <c r="I2784">
        <v>0</v>
      </c>
      <c r="J2784" t="str">
        <f t="shared" si="258"/>
        <v>Non-Smoker</v>
      </c>
      <c r="K2784">
        <v>0</v>
      </c>
      <c r="L2784">
        <v>0</v>
      </c>
      <c r="M2784">
        <v>1</v>
      </c>
      <c r="N2784">
        <v>0</v>
      </c>
      <c r="O2784">
        <v>272</v>
      </c>
      <c r="P2784" t="str">
        <f t="shared" si="259"/>
        <v>High</v>
      </c>
      <c r="Q2784">
        <v>165</v>
      </c>
      <c r="R2784">
        <v>95</v>
      </c>
      <c r="S2784">
        <v>28.92</v>
      </c>
      <c r="T2784" t="str">
        <f t="shared" si="260"/>
        <v>Overweight</v>
      </c>
      <c r="U2784">
        <v>100</v>
      </c>
      <c r="V2784">
        <v>100</v>
      </c>
      <c r="W2784" t="str">
        <f t="shared" si="263"/>
        <v>Prediabetes</v>
      </c>
      <c r="X2784">
        <v>0</v>
      </c>
    </row>
    <row r="2785" spans="1:24" ht="14.5" thickBot="1" x14ac:dyDescent="0.35">
      <c r="A2785">
        <v>0</v>
      </c>
      <c r="B2785" t="str">
        <f t="shared" si="261"/>
        <v>Female</v>
      </c>
      <c r="C2785" s="8">
        <v>53</v>
      </c>
      <c r="D2785" t="str">
        <f t="shared" si="262"/>
        <v>Middle Age</v>
      </c>
      <c r="E2785">
        <v>1</v>
      </c>
      <c r="F2785" t="str">
        <f>HLOOKUP(E2785, LookUP_Table!$A$6:$D$7, 2, FALSE)</f>
        <v>Primary</v>
      </c>
      <c r="G2785" t="str">
        <f>IFERROR(VLOOKUP(E2785, LookUP_Table!$A$1:$B$4, 2, FALSE), "")</f>
        <v>Primary</v>
      </c>
      <c r="H2785">
        <v>0</v>
      </c>
      <c r="I2785">
        <v>0</v>
      </c>
      <c r="J2785" t="str">
        <f t="shared" si="258"/>
        <v>Non-Smoker</v>
      </c>
      <c r="K2785">
        <v>1</v>
      </c>
      <c r="L2785">
        <v>1</v>
      </c>
      <c r="M2785">
        <v>1</v>
      </c>
      <c r="N2785">
        <v>0</v>
      </c>
      <c r="O2785">
        <v>291</v>
      </c>
      <c r="P2785" t="str">
        <f t="shared" si="259"/>
        <v>High</v>
      </c>
      <c r="Q2785">
        <v>137</v>
      </c>
      <c r="R2785">
        <v>83</v>
      </c>
      <c r="S2785">
        <v>38.94</v>
      </c>
      <c r="T2785" t="str">
        <f t="shared" si="260"/>
        <v>Obese</v>
      </c>
      <c r="U2785">
        <v>75</v>
      </c>
      <c r="V2785">
        <v>73</v>
      </c>
      <c r="W2785" t="str">
        <f t="shared" si="263"/>
        <v>Normal</v>
      </c>
      <c r="X2785">
        <v>0</v>
      </c>
    </row>
    <row r="2786" spans="1:24" ht="14.5" thickBot="1" x14ac:dyDescent="0.35">
      <c r="A2786">
        <v>0</v>
      </c>
      <c r="B2786" t="str">
        <f t="shared" si="261"/>
        <v>Female</v>
      </c>
      <c r="C2786" s="8">
        <v>53</v>
      </c>
      <c r="D2786" t="str">
        <f t="shared" si="262"/>
        <v>Middle Age</v>
      </c>
      <c r="E2786">
        <v>1</v>
      </c>
      <c r="F2786" t="str">
        <f>HLOOKUP(E2786, LookUP_Table!$A$6:$D$7, 2, FALSE)</f>
        <v>Primary</v>
      </c>
      <c r="G2786" t="str">
        <f>IFERROR(VLOOKUP(E2786, LookUP_Table!$A$1:$B$4, 2, FALSE), "")</f>
        <v>Primary</v>
      </c>
      <c r="H2786">
        <v>1</v>
      </c>
      <c r="I2786">
        <v>10</v>
      </c>
      <c r="J2786" t="str">
        <f t="shared" si="258"/>
        <v>Smoker</v>
      </c>
      <c r="K2786">
        <v>0</v>
      </c>
      <c r="L2786">
        <v>0</v>
      </c>
      <c r="M2786">
        <v>0</v>
      </c>
      <c r="N2786">
        <v>0</v>
      </c>
      <c r="O2786">
        <v>366</v>
      </c>
      <c r="P2786" t="str">
        <f t="shared" si="259"/>
        <v>High</v>
      </c>
      <c r="Q2786">
        <v>116</v>
      </c>
      <c r="R2786">
        <v>83</v>
      </c>
      <c r="S2786">
        <v>27.87</v>
      </c>
      <c r="T2786" t="str">
        <f t="shared" si="260"/>
        <v>Overweight</v>
      </c>
      <c r="U2786">
        <v>68</v>
      </c>
      <c r="V2786">
        <v>81.96365524402907</v>
      </c>
      <c r="W2786" t="str">
        <f t="shared" si="263"/>
        <v>Normal</v>
      </c>
      <c r="X2786">
        <v>0</v>
      </c>
    </row>
    <row r="2787" spans="1:24" ht="14.5" thickBot="1" x14ac:dyDescent="0.35">
      <c r="A2787">
        <v>1</v>
      </c>
      <c r="B2787" t="str">
        <f t="shared" si="261"/>
        <v>Male</v>
      </c>
      <c r="C2787" s="8">
        <v>53</v>
      </c>
      <c r="D2787" t="str">
        <f t="shared" si="262"/>
        <v>Middle Age</v>
      </c>
      <c r="E2787">
        <v>1</v>
      </c>
      <c r="F2787" t="str">
        <f>HLOOKUP(E2787, LookUP_Table!$A$6:$D$7, 2, FALSE)</f>
        <v>Primary</v>
      </c>
      <c r="G2787" t="str">
        <f>IFERROR(VLOOKUP(E2787, LookUP_Table!$A$1:$B$4, 2, FALSE), "")</f>
        <v>Primary</v>
      </c>
      <c r="H2787">
        <v>1</v>
      </c>
      <c r="I2787">
        <v>40</v>
      </c>
      <c r="J2787" t="str">
        <f t="shared" si="258"/>
        <v>Smoker</v>
      </c>
      <c r="K2787">
        <v>0</v>
      </c>
      <c r="L2787">
        <v>0</v>
      </c>
      <c r="M2787">
        <v>0</v>
      </c>
      <c r="N2787">
        <v>0</v>
      </c>
      <c r="O2787">
        <v>232</v>
      </c>
      <c r="P2787" t="str">
        <f t="shared" si="259"/>
        <v>Normal</v>
      </c>
      <c r="Q2787">
        <v>136</v>
      </c>
      <c r="R2787">
        <v>73</v>
      </c>
      <c r="S2787">
        <v>22.26</v>
      </c>
      <c r="T2787" t="str">
        <f t="shared" si="260"/>
        <v>Normal</v>
      </c>
      <c r="U2787">
        <v>73</v>
      </c>
      <c r="V2787">
        <v>73</v>
      </c>
      <c r="W2787" t="str">
        <f t="shared" si="263"/>
        <v>Normal</v>
      </c>
      <c r="X2787">
        <v>0</v>
      </c>
    </row>
    <row r="2788" spans="1:24" ht="14.5" thickBot="1" x14ac:dyDescent="0.35">
      <c r="A2788">
        <v>0</v>
      </c>
      <c r="B2788" t="str">
        <f t="shared" si="261"/>
        <v>Female</v>
      </c>
      <c r="C2788" s="8">
        <v>53</v>
      </c>
      <c r="D2788" t="str">
        <f t="shared" si="262"/>
        <v>Middle Age</v>
      </c>
      <c r="E2788">
        <v>4</v>
      </c>
      <c r="F2788" t="str">
        <f>HLOOKUP(E2788, LookUP_Table!$A$6:$D$7, 2, FALSE)</f>
        <v>Post Graduate</v>
      </c>
      <c r="G2788" t="str">
        <f>IFERROR(VLOOKUP(E2788, LookUP_Table!$A$1:$B$4, 2, FALSE), "")</f>
        <v>Post Graduate</v>
      </c>
      <c r="H2788">
        <v>0</v>
      </c>
      <c r="I2788">
        <v>0</v>
      </c>
      <c r="J2788" t="str">
        <f t="shared" si="258"/>
        <v>Non-Smoker</v>
      </c>
      <c r="K2788">
        <v>0</v>
      </c>
      <c r="L2788">
        <v>0</v>
      </c>
      <c r="M2788">
        <v>0</v>
      </c>
      <c r="N2788">
        <v>0</v>
      </c>
      <c r="O2788">
        <v>232</v>
      </c>
      <c r="P2788" t="str">
        <f t="shared" si="259"/>
        <v>Normal</v>
      </c>
      <c r="Q2788">
        <v>116</v>
      </c>
      <c r="R2788">
        <v>71.5</v>
      </c>
      <c r="S2788">
        <v>21.31</v>
      </c>
      <c r="T2788" t="str">
        <f t="shared" si="260"/>
        <v>Normal</v>
      </c>
      <c r="U2788">
        <v>73</v>
      </c>
      <c r="V2788">
        <v>83</v>
      </c>
      <c r="W2788" t="str">
        <f t="shared" si="263"/>
        <v>Normal</v>
      </c>
      <c r="X2788">
        <v>0</v>
      </c>
    </row>
    <row r="2789" spans="1:24" ht="14.5" thickBot="1" x14ac:dyDescent="0.35">
      <c r="A2789">
        <v>1</v>
      </c>
      <c r="B2789" t="str">
        <f t="shared" si="261"/>
        <v>Male</v>
      </c>
      <c r="C2789" s="8">
        <v>53</v>
      </c>
      <c r="D2789" t="str">
        <f t="shared" si="262"/>
        <v>Middle Age</v>
      </c>
      <c r="E2789">
        <v>2</v>
      </c>
      <c r="F2789" t="str">
        <f>HLOOKUP(E2789, LookUP_Table!$A$6:$D$7, 2, FALSE)</f>
        <v>Secondary</v>
      </c>
      <c r="G2789" t="str">
        <f>IFERROR(VLOOKUP(E2789, LookUP_Table!$A$1:$B$4, 2, FALSE), "")</f>
        <v>Secondary</v>
      </c>
      <c r="H2789">
        <v>0</v>
      </c>
      <c r="I2789">
        <v>0</v>
      </c>
      <c r="J2789" t="str">
        <f t="shared" si="258"/>
        <v>Non-Smoker</v>
      </c>
      <c r="K2789">
        <v>0</v>
      </c>
      <c r="L2789">
        <v>0</v>
      </c>
      <c r="M2789">
        <v>0</v>
      </c>
      <c r="N2789">
        <v>0</v>
      </c>
      <c r="O2789">
        <v>275</v>
      </c>
      <c r="P2789" t="str">
        <f t="shared" si="259"/>
        <v>High</v>
      </c>
      <c r="Q2789">
        <v>109</v>
      </c>
      <c r="R2789">
        <v>79</v>
      </c>
      <c r="S2789">
        <v>27.75</v>
      </c>
      <c r="T2789" t="str">
        <f t="shared" si="260"/>
        <v>Overweight</v>
      </c>
      <c r="U2789">
        <v>67</v>
      </c>
      <c r="V2789">
        <v>104</v>
      </c>
      <c r="W2789" t="str">
        <f t="shared" si="263"/>
        <v>Prediabetes</v>
      </c>
      <c r="X2789">
        <v>0</v>
      </c>
    </row>
    <row r="2790" spans="1:24" ht="14.5" thickBot="1" x14ac:dyDescent="0.35">
      <c r="A2790">
        <v>1</v>
      </c>
      <c r="B2790" t="str">
        <f t="shared" si="261"/>
        <v>Male</v>
      </c>
      <c r="C2790" s="8">
        <v>53</v>
      </c>
      <c r="D2790" t="str">
        <f t="shared" si="262"/>
        <v>Middle Age</v>
      </c>
      <c r="E2790">
        <v>3</v>
      </c>
      <c r="F2790" t="str">
        <f>HLOOKUP(E2790, LookUP_Table!$A$6:$D$7, 2, FALSE)</f>
        <v>Graduate</v>
      </c>
      <c r="G2790" t="str">
        <f>IFERROR(VLOOKUP(E2790, LookUP_Table!$A$1:$B$4, 2, FALSE), "")</f>
        <v>Graduate</v>
      </c>
      <c r="H2790">
        <v>0</v>
      </c>
      <c r="I2790">
        <v>0</v>
      </c>
      <c r="J2790" t="str">
        <f t="shared" si="258"/>
        <v>Non-Smoker</v>
      </c>
      <c r="K2790">
        <v>0</v>
      </c>
      <c r="L2790">
        <v>0</v>
      </c>
      <c r="M2790">
        <v>0</v>
      </c>
      <c r="N2790">
        <v>0</v>
      </c>
      <c r="O2790">
        <v>228</v>
      </c>
      <c r="P2790" t="str">
        <f t="shared" si="259"/>
        <v>Normal</v>
      </c>
      <c r="Q2790">
        <v>114</v>
      </c>
      <c r="R2790">
        <v>80</v>
      </c>
      <c r="S2790">
        <v>20.54</v>
      </c>
      <c r="T2790" t="str">
        <f t="shared" si="260"/>
        <v>Normal</v>
      </c>
      <c r="U2790">
        <v>55</v>
      </c>
      <c r="V2790">
        <v>75</v>
      </c>
      <c r="W2790" t="str">
        <f t="shared" si="263"/>
        <v>Normal</v>
      </c>
      <c r="X2790">
        <v>0</v>
      </c>
    </row>
    <row r="2791" spans="1:24" ht="14.5" thickBot="1" x14ac:dyDescent="0.35">
      <c r="A2791">
        <v>0</v>
      </c>
      <c r="B2791" t="str">
        <f t="shared" si="261"/>
        <v>Female</v>
      </c>
      <c r="C2791" s="8">
        <v>53</v>
      </c>
      <c r="D2791" t="str">
        <f t="shared" si="262"/>
        <v>Middle Age</v>
      </c>
      <c r="E2791">
        <v>3</v>
      </c>
      <c r="F2791" t="str">
        <f>HLOOKUP(E2791, LookUP_Table!$A$6:$D$7, 2, FALSE)</f>
        <v>Graduate</v>
      </c>
      <c r="G2791" t="str">
        <f>IFERROR(VLOOKUP(E2791, LookUP_Table!$A$1:$B$4, 2, FALSE), "")</f>
        <v>Graduate</v>
      </c>
      <c r="H2791">
        <v>0</v>
      </c>
      <c r="I2791">
        <v>0</v>
      </c>
      <c r="J2791" t="str">
        <f t="shared" si="258"/>
        <v>Non-Smoker</v>
      </c>
      <c r="K2791">
        <v>0</v>
      </c>
      <c r="L2791">
        <v>0</v>
      </c>
      <c r="M2791">
        <v>0</v>
      </c>
      <c r="N2791">
        <v>0</v>
      </c>
      <c r="O2791">
        <v>252</v>
      </c>
      <c r="P2791" t="str">
        <f t="shared" si="259"/>
        <v>High</v>
      </c>
      <c r="Q2791">
        <v>122.5</v>
      </c>
      <c r="R2791">
        <v>75.5</v>
      </c>
      <c r="S2791">
        <v>25.29</v>
      </c>
      <c r="T2791" t="str">
        <f t="shared" si="260"/>
        <v>Overweight</v>
      </c>
      <c r="U2791">
        <v>75</v>
      </c>
      <c r="V2791">
        <v>71</v>
      </c>
      <c r="W2791" t="str">
        <f t="shared" si="263"/>
        <v>Normal</v>
      </c>
      <c r="X2791">
        <v>0</v>
      </c>
    </row>
    <row r="2792" spans="1:24" ht="14.5" thickBot="1" x14ac:dyDescent="0.35">
      <c r="A2792">
        <v>1</v>
      </c>
      <c r="B2792" t="str">
        <f t="shared" si="261"/>
        <v>Male</v>
      </c>
      <c r="C2792" s="8">
        <v>53</v>
      </c>
      <c r="D2792" t="str">
        <f t="shared" si="262"/>
        <v>Middle Age</v>
      </c>
      <c r="E2792">
        <v>3</v>
      </c>
      <c r="F2792" t="str">
        <f>HLOOKUP(E2792, LookUP_Table!$A$6:$D$7, 2, FALSE)</f>
        <v>Graduate</v>
      </c>
      <c r="G2792" t="str">
        <f>IFERROR(VLOOKUP(E2792, LookUP_Table!$A$1:$B$4, 2, FALSE), "")</f>
        <v>Graduate</v>
      </c>
      <c r="H2792">
        <v>0</v>
      </c>
      <c r="I2792">
        <v>0</v>
      </c>
      <c r="J2792" t="str">
        <f t="shared" si="258"/>
        <v>Non-Smoker</v>
      </c>
      <c r="K2792">
        <v>0</v>
      </c>
      <c r="L2792">
        <v>0</v>
      </c>
      <c r="M2792">
        <v>1</v>
      </c>
      <c r="N2792">
        <v>0</v>
      </c>
      <c r="O2792">
        <v>289</v>
      </c>
      <c r="P2792" t="str">
        <f t="shared" si="259"/>
        <v>High</v>
      </c>
      <c r="Q2792">
        <v>188</v>
      </c>
      <c r="R2792">
        <v>110</v>
      </c>
      <c r="S2792">
        <v>26.7</v>
      </c>
      <c r="T2792" t="str">
        <f t="shared" si="260"/>
        <v>Overweight</v>
      </c>
      <c r="U2792">
        <v>70</v>
      </c>
      <c r="V2792">
        <v>63</v>
      </c>
      <c r="W2792" t="str">
        <f t="shared" si="263"/>
        <v>Normal</v>
      </c>
      <c r="X2792">
        <v>0</v>
      </c>
    </row>
    <row r="2793" spans="1:24" ht="14.5" thickBot="1" x14ac:dyDescent="0.35">
      <c r="A2793">
        <v>1</v>
      </c>
      <c r="B2793" t="str">
        <f t="shared" si="261"/>
        <v>Male</v>
      </c>
      <c r="C2793" s="8">
        <v>54</v>
      </c>
      <c r="D2793" t="str">
        <f t="shared" si="262"/>
        <v>Middle Age</v>
      </c>
      <c r="E2793">
        <v>1</v>
      </c>
      <c r="F2793" t="str">
        <f>HLOOKUP(E2793, LookUP_Table!$A$6:$D$7, 2, FALSE)</f>
        <v>Primary</v>
      </c>
      <c r="G2793" t="str">
        <f>IFERROR(VLOOKUP(E2793, LookUP_Table!$A$1:$B$4, 2, FALSE), "")</f>
        <v>Primary</v>
      </c>
      <c r="H2793">
        <v>1</v>
      </c>
      <c r="I2793">
        <v>20</v>
      </c>
      <c r="J2793" t="str">
        <f t="shared" si="258"/>
        <v>Smoker</v>
      </c>
      <c r="K2793">
        <v>0</v>
      </c>
      <c r="L2793">
        <v>0</v>
      </c>
      <c r="M2793">
        <v>1</v>
      </c>
      <c r="N2793">
        <v>0</v>
      </c>
      <c r="O2793">
        <v>214</v>
      </c>
      <c r="P2793" t="str">
        <f t="shared" si="259"/>
        <v>Normal</v>
      </c>
      <c r="Q2793">
        <v>147</v>
      </c>
      <c r="R2793">
        <v>74</v>
      </c>
      <c r="S2793">
        <v>24.71</v>
      </c>
      <c r="T2793" t="str">
        <f t="shared" si="260"/>
        <v>Normal</v>
      </c>
      <c r="U2793">
        <v>96</v>
      </c>
      <c r="V2793">
        <v>87</v>
      </c>
      <c r="W2793" t="str">
        <f t="shared" si="263"/>
        <v>Normal</v>
      </c>
      <c r="X2793">
        <v>0</v>
      </c>
    </row>
    <row r="2794" spans="1:24" ht="14.5" thickBot="1" x14ac:dyDescent="0.35">
      <c r="A2794">
        <v>1</v>
      </c>
      <c r="B2794" t="str">
        <f t="shared" si="261"/>
        <v>Male</v>
      </c>
      <c r="C2794" s="8">
        <v>54</v>
      </c>
      <c r="D2794" t="str">
        <f t="shared" si="262"/>
        <v>Middle Age</v>
      </c>
      <c r="E2794">
        <v>2</v>
      </c>
      <c r="F2794" t="str">
        <f>HLOOKUP(E2794, LookUP_Table!$A$6:$D$7, 2, FALSE)</f>
        <v>Secondary</v>
      </c>
      <c r="G2794" t="str">
        <f>IFERROR(VLOOKUP(E2794, LookUP_Table!$A$1:$B$4, 2, FALSE), "")</f>
        <v>Secondary</v>
      </c>
      <c r="H2794">
        <v>0</v>
      </c>
      <c r="I2794">
        <v>0</v>
      </c>
      <c r="J2794" t="str">
        <f t="shared" si="258"/>
        <v>Non-Smoker</v>
      </c>
      <c r="K2794">
        <v>0</v>
      </c>
      <c r="L2794">
        <v>0</v>
      </c>
      <c r="M2794">
        <v>0</v>
      </c>
      <c r="N2794">
        <v>0</v>
      </c>
      <c r="O2794">
        <v>195</v>
      </c>
      <c r="P2794" t="str">
        <f t="shared" si="259"/>
        <v>Normal</v>
      </c>
      <c r="Q2794">
        <v>132</v>
      </c>
      <c r="R2794">
        <v>83.5</v>
      </c>
      <c r="S2794">
        <v>26.21</v>
      </c>
      <c r="T2794" t="str">
        <f t="shared" si="260"/>
        <v>Overweight</v>
      </c>
      <c r="U2794">
        <v>75</v>
      </c>
      <c r="V2794">
        <v>100</v>
      </c>
      <c r="W2794" t="str">
        <f t="shared" si="263"/>
        <v>Prediabetes</v>
      </c>
      <c r="X2794">
        <v>0</v>
      </c>
    </row>
    <row r="2795" spans="1:24" ht="14.5" thickBot="1" x14ac:dyDescent="0.35">
      <c r="A2795">
        <v>0</v>
      </c>
      <c r="B2795" t="str">
        <f t="shared" si="261"/>
        <v>Female</v>
      </c>
      <c r="C2795" s="8">
        <v>54</v>
      </c>
      <c r="D2795" t="str">
        <f t="shared" si="262"/>
        <v>Middle Age</v>
      </c>
      <c r="E2795">
        <v>1</v>
      </c>
      <c r="F2795" t="str">
        <f>HLOOKUP(E2795, LookUP_Table!$A$6:$D$7, 2, FALSE)</f>
        <v>Primary</v>
      </c>
      <c r="G2795" t="str">
        <f>IFERROR(VLOOKUP(E2795, LookUP_Table!$A$1:$B$4, 2, FALSE), "")</f>
        <v>Primary</v>
      </c>
      <c r="H2795">
        <v>1</v>
      </c>
      <c r="I2795">
        <v>9</v>
      </c>
      <c r="J2795" t="str">
        <f t="shared" si="258"/>
        <v>Smoker</v>
      </c>
      <c r="K2795">
        <v>0</v>
      </c>
      <c r="L2795">
        <v>0</v>
      </c>
      <c r="M2795">
        <v>0</v>
      </c>
      <c r="N2795">
        <v>1</v>
      </c>
      <c r="O2795">
        <v>266</v>
      </c>
      <c r="P2795" t="str">
        <f t="shared" si="259"/>
        <v>High</v>
      </c>
      <c r="Q2795">
        <v>114</v>
      </c>
      <c r="R2795">
        <v>76</v>
      </c>
      <c r="S2795">
        <v>17.61</v>
      </c>
      <c r="T2795" t="str">
        <f t="shared" si="260"/>
        <v>Underweight</v>
      </c>
      <c r="U2795">
        <v>88</v>
      </c>
      <c r="V2795">
        <v>55</v>
      </c>
      <c r="W2795" t="str">
        <f t="shared" si="263"/>
        <v>Normal</v>
      </c>
      <c r="X2795">
        <v>0</v>
      </c>
    </row>
    <row r="2796" spans="1:24" ht="14.5" thickBot="1" x14ac:dyDescent="0.35">
      <c r="A2796">
        <v>0</v>
      </c>
      <c r="B2796" t="str">
        <f t="shared" si="261"/>
        <v>Female</v>
      </c>
      <c r="C2796" s="8">
        <v>54</v>
      </c>
      <c r="D2796" t="str">
        <f t="shared" si="262"/>
        <v>Middle Age</v>
      </c>
      <c r="E2796">
        <v>1</v>
      </c>
      <c r="F2796" t="str">
        <f>HLOOKUP(E2796, LookUP_Table!$A$6:$D$7, 2, FALSE)</f>
        <v>Primary</v>
      </c>
      <c r="G2796" t="str">
        <f>IFERROR(VLOOKUP(E2796, LookUP_Table!$A$1:$B$4, 2, FALSE), "")</f>
        <v>Primary</v>
      </c>
      <c r="H2796">
        <v>0</v>
      </c>
      <c r="I2796">
        <v>0</v>
      </c>
      <c r="J2796" t="str">
        <f t="shared" si="258"/>
        <v>Non-Smoker</v>
      </c>
      <c r="K2796">
        <v>0</v>
      </c>
      <c r="L2796">
        <v>0</v>
      </c>
      <c r="M2796">
        <v>1</v>
      </c>
      <c r="N2796">
        <v>0</v>
      </c>
      <c r="O2796">
        <v>230</v>
      </c>
      <c r="P2796" t="str">
        <f t="shared" si="259"/>
        <v>Normal</v>
      </c>
      <c r="Q2796">
        <v>180.5</v>
      </c>
      <c r="R2796">
        <v>106.5</v>
      </c>
      <c r="S2796">
        <v>28.92</v>
      </c>
      <c r="T2796" t="str">
        <f t="shared" si="260"/>
        <v>Overweight</v>
      </c>
      <c r="U2796">
        <v>72</v>
      </c>
      <c r="V2796">
        <v>64</v>
      </c>
      <c r="W2796" t="str">
        <f t="shared" si="263"/>
        <v>Normal</v>
      </c>
      <c r="X2796">
        <v>0</v>
      </c>
    </row>
    <row r="2797" spans="1:24" ht="14.5" thickBot="1" x14ac:dyDescent="0.35">
      <c r="A2797">
        <v>1</v>
      </c>
      <c r="B2797" t="str">
        <f t="shared" si="261"/>
        <v>Male</v>
      </c>
      <c r="C2797" s="8">
        <v>54</v>
      </c>
      <c r="D2797" t="str">
        <f t="shared" si="262"/>
        <v>Middle Age</v>
      </c>
      <c r="E2797">
        <v>1</v>
      </c>
      <c r="F2797" t="str">
        <f>HLOOKUP(E2797, LookUP_Table!$A$6:$D$7, 2, FALSE)</f>
        <v>Primary</v>
      </c>
      <c r="G2797" t="str">
        <f>IFERROR(VLOOKUP(E2797, LookUP_Table!$A$1:$B$4, 2, FALSE), "")</f>
        <v>Primary</v>
      </c>
      <c r="H2797">
        <v>1</v>
      </c>
      <c r="I2797">
        <v>43</v>
      </c>
      <c r="J2797" t="str">
        <f t="shared" si="258"/>
        <v>Smoker</v>
      </c>
      <c r="K2797">
        <v>0</v>
      </c>
      <c r="L2797">
        <v>0</v>
      </c>
      <c r="M2797">
        <v>0</v>
      </c>
      <c r="N2797">
        <v>0</v>
      </c>
      <c r="O2797">
        <v>243</v>
      </c>
      <c r="P2797" t="str">
        <f t="shared" si="259"/>
        <v>High</v>
      </c>
      <c r="Q2797">
        <v>135</v>
      </c>
      <c r="R2797">
        <v>92</v>
      </c>
      <c r="S2797">
        <v>31.3</v>
      </c>
      <c r="T2797" t="str">
        <f t="shared" si="260"/>
        <v>Obese</v>
      </c>
      <c r="U2797">
        <v>90</v>
      </c>
      <c r="V2797">
        <v>65</v>
      </c>
      <c r="W2797" t="str">
        <f t="shared" si="263"/>
        <v>Normal</v>
      </c>
      <c r="X2797">
        <v>1</v>
      </c>
    </row>
    <row r="2798" spans="1:24" ht="14.5" thickBot="1" x14ac:dyDescent="0.35">
      <c r="A2798">
        <v>1</v>
      </c>
      <c r="B2798" t="str">
        <f t="shared" si="261"/>
        <v>Male</v>
      </c>
      <c r="C2798" s="8">
        <v>54</v>
      </c>
      <c r="D2798" t="str">
        <f t="shared" si="262"/>
        <v>Middle Age</v>
      </c>
      <c r="E2798">
        <v>1</v>
      </c>
      <c r="F2798" t="str">
        <f>HLOOKUP(E2798, LookUP_Table!$A$6:$D$7, 2, FALSE)</f>
        <v>Primary</v>
      </c>
      <c r="G2798" t="str">
        <f>IFERROR(VLOOKUP(E2798, LookUP_Table!$A$1:$B$4, 2, FALSE), "")</f>
        <v>Primary</v>
      </c>
      <c r="H2798">
        <v>1</v>
      </c>
      <c r="I2798">
        <v>20</v>
      </c>
      <c r="J2798" t="str">
        <f t="shared" si="258"/>
        <v>Smoker</v>
      </c>
      <c r="K2798">
        <v>0</v>
      </c>
      <c r="L2798">
        <v>0</v>
      </c>
      <c r="M2798">
        <v>0</v>
      </c>
      <c r="N2798">
        <v>0</v>
      </c>
      <c r="O2798">
        <v>245</v>
      </c>
      <c r="P2798" t="str">
        <f t="shared" si="259"/>
        <v>High</v>
      </c>
      <c r="Q2798">
        <v>128</v>
      </c>
      <c r="R2798">
        <v>74</v>
      </c>
      <c r="S2798">
        <v>24.85</v>
      </c>
      <c r="T2798" t="str">
        <f t="shared" si="260"/>
        <v>Normal</v>
      </c>
      <c r="U2798">
        <v>72</v>
      </c>
      <c r="V2798">
        <v>75</v>
      </c>
      <c r="W2798" t="str">
        <f t="shared" si="263"/>
        <v>Normal</v>
      </c>
      <c r="X2798">
        <v>1</v>
      </c>
    </row>
    <row r="2799" spans="1:24" ht="14.5" thickBot="1" x14ac:dyDescent="0.35">
      <c r="A2799">
        <v>0</v>
      </c>
      <c r="B2799" t="str">
        <f t="shared" si="261"/>
        <v>Female</v>
      </c>
      <c r="C2799" s="8">
        <v>54</v>
      </c>
      <c r="D2799" t="str">
        <f t="shared" si="262"/>
        <v>Middle Age</v>
      </c>
      <c r="E2799">
        <v>1</v>
      </c>
      <c r="F2799" t="str">
        <f>HLOOKUP(E2799, LookUP_Table!$A$6:$D$7, 2, FALSE)</f>
        <v>Primary</v>
      </c>
      <c r="G2799" t="str">
        <f>IFERROR(VLOOKUP(E2799, LookUP_Table!$A$1:$B$4, 2, FALSE), "")</f>
        <v>Primary</v>
      </c>
      <c r="H2799">
        <v>0</v>
      </c>
      <c r="I2799">
        <v>0</v>
      </c>
      <c r="J2799" t="str">
        <f t="shared" si="258"/>
        <v>Non-Smoker</v>
      </c>
      <c r="K2799">
        <v>0</v>
      </c>
      <c r="L2799">
        <v>0</v>
      </c>
      <c r="M2799">
        <v>1</v>
      </c>
      <c r="N2799">
        <v>0</v>
      </c>
      <c r="O2799">
        <v>273</v>
      </c>
      <c r="P2799" t="str">
        <f t="shared" si="259"/>
        <v>High</v>
      </c>
      <c r="Q2799">
        <v>139</v>
      </c>
      <c r="R2799">
        <v>98</v>
      </c>
      <c r="S2799">
        <v>29.06</v>
      </c>
      <c r="T2799" t="str">
        <f t="shared" si="260"/>
        <v>Overweight</v>
      </c>
      <c r="U2799">
        <v>110</v>
      </c>
      <c r="V2799">
        <v>73</v>
      </c>
      <c r="W2799" t="str">
        <f t="shared" si="263"/>
        <v>Normal</v>
      </c>
      <c r="X2799">
        <v>1</v>
      </c>
    </row>
    <row r="2800" spans="1:24" ht="14.5" thickBot="1" x14ac:dyDescent="0.35">
      <c r="A2800">
        <v>0</v>
      </c>
      <c r="B2800" t="str">
        <f t="shared" si="261"/>
        <v>Female</v>
      </c>
      <c r="C2800" s="8">
        <v>54</v>
      </c>
      <c r="D2800" t="str">
        <f t="shared" si="262"/>
        <v>Middle Age</v>
      </c>
      <c r="E2800">
        <v>2</v>
      </c>
      <c r="F2800" t="str">
        <f>HLOOKUP(E2800, LookUP_Table!$A$6:$D$7, 2, FALSE)</f>
        <v>Secondary</v>
      </c>
      <c r="G2800" t="str">
        <f>IFERROR(VLOOKUP(E2800, LookUP_Table!$A$1:$B$4, 2, FALSE), "")</f>
        <v>Secondary</v>
      </c>
      <c r="H2800">
        <v>0</v>
      </c>
      <c r="I2800">
        <v>0</v>
      </c>
      <c r="J2800" t="str">
        <f t="shared" si="258"/>
        <v>Non-Smoker</v>
      </c>
      <c r="K2800">
        <v>0</v>
      </c>
      <c r="L2800">
        <v>0</v>
      </c>
      <c r="M2800">
        <v>0</v>
      </c>
      <c r="N2800">
        <v>0</v>
      </c>
      <c r="O2800">
        <v>270</v>
      </c>
      <c r="P2800" t="str">
        <f t="shared" si="259"/>
        <v>High</v>
      </c>
      <c r="Q2800">
        <v>98</v>
      </c>
      <c r="R2800">
        <v>64</v>
      </c>
      <c r="S2800">
        <v>22.02</v>
      </c>
      <c r="T2800" t="str">
        <f t="shared" si="260"/>
        <v>Normal</v>
      </c>
      <c r="U2800">
        <v>67</v>
      </c>
      <c r="V2800">
        <v>75</v>
      </c>
      <c r="W2800" t="str">
        <f t="shared" si="263"/>
        <v>Normal</v>
      </c>
      <c r="X2800">
        <v>0</v>
      </c>
    </row>
    <row r="2801" spans="1:24" ht="14.5" thickBot="1" x14ac:dyDescent="0.35">
      <c r="A2801">
        <v>0</v>
      </c>
      <c r="B2801" t="str">
        <f t="shared" si="261"/>
        <v>Female</v>
      </c>
      <c r="C2801" s="8">
        <v>54</v>
      </c>
      <c r="D2801" t="str">
        <f t="shared" si="262"/>
        <v>Middle Age</v>
      </c>
      <c r="E2801">
        <v>4</v>
      </c>
      <c r="F2801" t="str">
        <f>HLOOKUP(E2801, LookUP_Table!$A$6:$D$7, 2, FALSE)</f>
        <v>Post Graduate</v>
      </c>
      <c r="G2801" t="str">
        <f>IFERROR(VLOOKUP(E2801, LookUP_Table!$A$1:$B$4, 2, FALSE), "")</f>
        <v>Post Graduate</v>
      </c>
      <c r="H2801">
        <v>1</v>
      </c>
      <c r="I2801">
        <v>20</v>
      </c>
      <c r="J2801" t="str">
        <f t="shared" si="258"/>
        <v>Smoker</v>
      </c>
      <c r="K2801">
        <v>0</v>
      </c>
      <c r="L2801">
        <v>0</v>
      </c>
      <c r="M2801">
        <v>0</v>
      </c>
      <c r="N2801">
        <v>0</v>
      </c>
      <c r="O2801">
        <v>242</v>
      </c>
      <c r="P2801" t="str">
        <f t="shared" si="259"/>
        <v>High</v>
      </c>
      <c r="Q2801">
        <v>125</v>
      </c>
      <c r="R2801">
        <v>76</v>
      </c>
      <c r="S2801">
        <v>22.16</v>
      </c>
      <c r="T2801" t="str">
        <f t="shared" si="260"/>
        <v>Normal</v>
      </c>
      <c r="U2801">
        <v>70</v>
      </c>
      <c r="V2801">
        <v>87</v>
      </c>
      <c r="W2801" t="str">
        <f t="shared" si="263"/>
        <v>Normal</v>
      </c>
      <c r="X2801">
        <v>0</v>
      </c>
    </row>
    <row r="2802" spans="1:24" ht="14.5" thickBot="1" x14ac:dyDescent="0.35">
      <c r="A2802">
        <v>0</v>
      </c>
      <c r="B2802" t="str">
        <f t="shared" si="261"/>
        <v>Female</v>
      </c>
      <c r="C2802" s="8">
        <v>54</v>
      </c>
      <c r="D2802" t="str">
        <f t="shared" si="262"/>
        <v>Middle Age</v>
      </c>
      <c r="E2802">
        <v>2</v>
      </c>
      <c r="F2802" t="str">
        <f>HLOOKUP(E2802, LookUP_Table!$A$6:$D$7, 2, FALSE)</f>
        <v>Secondary</v>
      </c>
      <c r="G2802" t="str">
        <f>IFERROR(VLOOKUP(E2802, LookUP_Table!$A$1:$B$4, 2, FALSE), "")</f>
        <v>Secondary</v>
      </c>
      <c r="H2802">
        <v>0</v>
      </c>
      <c r="I2802">
        <v>0</v>
      </c>
      <c r="J2802" t="str">
        <f t="shared" si="258"/>
        <v>Non-Smoker</v>
      </c>
      <c r="K2802">
        <v>0</v>
      </c>
      <c r="L2802">
        <v>0</v>
      </c>
      <c r="M2802">
        <v>0</v>
      </c>
      <c r="N2802">
        <v>0</v>
      </c>
      <c r="O2802">
        <v>288</v>
      </c>
      <c r="P2802" t="str">
        <f t="shared" si="259"/>
        <v>High</v>
      </c>
      <c r="Q2802">
        <v>137.5</v>
      </c>
      <c r="R2802">
        <v>77.5</v>
      </c>
      <c r="S2802">
        <v>22.19</v>
      </c>
      <c r="T2802" t="str">
        <f t="shared" si="260"/>
        <v>Normal</v>
      </c>
      <c r="U2802">
        <v>68</v>
      </c>
      <c r="V2802">
        <v>81.96365524402907</v>
      </c>
      <c r="W2802" t="str">
        <f t="shared" si="263"/>
        <v>Normal</v>
      </c>
      <c r="X2802">
        <v>0</v>
      </c>
    </row>
    <row r="2803" spans="1:24" ht="14.5" thickBot="1" x14ac:dyDescent="0.35">
      <c r="A2803">
        <v>0</v>
      </c>
      <c r="B2803" t="str">
        <f t="shared" si="261"/>
        <v>Female</v>
      </c>
      <c r="C2803" s="8">
        <v>54</v>
      </c>
      <c r="D2803" t="str">
        <f t="shared" si="262"/>
        <v>Middle Age</v>
      </c>
      <c r="E2803">
        <v>1</v>
      </c>
      <c r="F2803" t="str">
        <f>HLOOKUP(E2803, LookUP_Table!$A$6:$D$7, 2, FALSE)</f>
        <v>Primary</v>
      </c>
      <c r="G2803" t="str">
        <f>IFERROR(VLOOKUP(E2803, LookUP_Table!$A$1:$B$4, 2, FALSE), "")</f>
        <v>Primary</v>
      </c>
      <c r="H2803">
        <v>0</v>
      </c>
      <c r="I2803">
        <v>0</v>
      </c>
      <c r="J2803" t="str">
        <f t="shared" si="258"/>
        <v>Non-Smoker</v>
      </c>
      <c r="K2803">
        <v>0</v>
      </c>
      <c r="L2803">
        <v>0</v>
      </c>
      <c r="M2803">
        <v>0</v>
      </c>
      <c r="N2803">
        <v>0</v>
      </c>
      <c r="O2803">
        <v>219</v>
      </c>
      <c r="P2803" t="str">
        <f t="shared" si="259"/>
        <v>Normal</v>
      </c>
      <c r="Q2803">
        <v>143.5</v>
      </c>
      <c r="R2803">
        <v>89</v>
      </c>
      <c r="S2803">
        <v>28.47</v>
      </c>
      <c r="T2803" t="str">
        <f t="shared" si="260"/>
        <v>Overweight</v>
      </c>
      <c r="U2803">
        <v>73</v>
      </c>
      <c r="V2803">
        <v>96</v>
      </c>
      <c r="W2803" t="str">
        <f t="shared" si="263"/>
        <v>Normal</v>
      </c>
      <c r="X2803">
        <v>0</v>
      </c>
    </row>
    <row r="2804" spans="1:24" ht="14.5" thickBot="1" x14ac:dyDescent="0.35">
      <c r="A2804">
        <v>0</v>
      </c>
      <c r="B2804" t="str">
        <f t="shared" si="261"/>
        <v>Female</v>
      </c>
      <c r="C2804" s="8">
        <v>54</v>
      </c>
      <c r="D2804" t="str">
        <f t="shared" si="262"/>
        <v>Middle Age</v>
      </c>
      <c r="E2804">
        <v>2</v>
      </c>
      <c r="F2804" t="str">
        <f>HLOOKUP(E2804, LookUP_Table!$A$6:$D$7, 2, FALSE)</f>
        <v>Secondary</v>
      </c>
      <c r="G2804" t="str">
        <f>IFERROR(VLOOKUP(E2804, LookUP_Table!$A$1:$B$4, 2, FALSE), "")</f>
        <v>Secondary</v>
      </c>
      <c r="H2804">
        <v>1</v>
      </c>
      <c r="I2804">
        <v>3</v>
      </c>
      <c r="J2804" t="str">
        <f t="shared" si="258"/>
        <v>Smoker</v>
      </c>
      <c r="K2804">
        <v>0</v>
      </c>
      <c r="L2804">
        <v>0</v>
      </c>
      <c r="M2804">
        <v>1</v>
      </c>
      <c r="N2804">
        <v>1</v>
      </c>
      <c r="O2804">
        <v>231</v>
      </c>
      <c r="P2804" t="str">
        <f t="shared" si="259"/>
        <v>Normal</v>
      </c>
      <c r="Q2804">
        <v>127.5</v>
      </c>
      <c r="R2804">
        <v>83</v>
      </c>
      <c r="S2804">
        <v>21.31</v>
      </c>
      <c r="T2804" t="str">
        <f t="shared" si="260"/>
        <v>Normal</v>
      </c>
      <c r="U2804">
        <v>70</v>
      </c>
      <c r="V2804">
        <v>115</v>
      </c>
      <c r="W2804" t="str">
        <f t="shared" si="263"/>
        <v>Prediabetes</v>
      </c>
      <c r="X2804">
        <v>0</v>
      </c>
    </row>
    <row r="2805" spans="1:24" ht="14.5" thickBot="1" x14ac:dyDescent="0.35">
      <c r="A2805">
        <v>0</v>
      </c>
      <c r="B2805" t="str">
        <f t="shared" si="261"/>
        <v>Female</v>
      </c>
      <c r="C2805" s="8">
        <v>54</v>
      </c>
      <c r="D2805" t="str">
        <f t="shared" si="262"/>
        <v>Middle Age</v>
      </c>
      <c r="E2805">
        <v>4</v>
      </c>
      <c r="F2805" t="str">
        <f>HLOOKUP(E2805, LookUP_Table!$A$6:$D$7, 2, FALSE)</f>
        <v>Post Graduate</v>
      </c>
      <c r="G2805" t="str">
        <f>IFERROR(VLOOKUP(E2805, LookUP_Table!$A$1:$B$4, 2, FALSE), "")</f>
        <v>Post Graduate</v>
      </c>
      <c r="H2805">
        <v>0</v>
      </c>
      <c r="I2805">
        <v>0</v>
      </c>
      <c r="J2805" t="str">
        <f t="shared" si="258"/>
        <v>Non-Smoker</v>
      </c>
      <c r="K2805">
        <v>1</v>
      </c>
      <c r="L2805">
        <v>0</v>
      </c>
      <c r="M2805">
        <v>1</v>
      </c>
      <c r="N2805">
        <v>0</v>
      </c>
      <c r="O2805">
        <v>201</v>
      </c>
      <c r="P2805" t="str">
        <f t="shared" si="259"/>
        <v>Normal</v>
      </c>
      <c r="Q2805">
        <v>156</v>
      </c>
      <c r="R2805">
        <v>93</v>
      </c>
      <c r="S2805">
        <v>27.91</v>
      </c>
      <c r="T2805" t="str">
        <f t="shared" si="260"/>
        <v>Overweight</v>
      </c>
      <c r="U2805">
        <v>80</v>
      </c>
      <c r="V2805">
        <v>70</v>
      </c>
      <c r="W2805" t="str">
        <f t="shared" si="263"/>
        <v>Normal</v>
      </c>
      <c r="X2805">
        <v>0</v>
      </c>
    </row>
    <row r="2806" spans="1:24" ht="14.5" thickBot="1" x14ac:dyDescent="0.35">
      <c r="A2806">
        <v>0</v>
      </c>
      <c r="B2806" t="str">
        <f t="shared" si="261"/>
        <v>Female</v>
      </c>
      <c r="C2806" s="8">
        <v>54</v>
      </c>
      <c r="D2806" t="str">
        <f t="shared" si="262"/>
        <v>Middle Age</v>
      </c>
      <c r="E2806">
        <v>1</v>
      </c>
      <c r="F2806" t="str">
        <f>HLOOKUP(E2806, LookUP_Table!$A$6:$D$7, 2, FALSE)</f>
        <v>Primary</v>
      </c>
      <c r="G2806" t="str">
        <f>IFERROR(VLOOKUP(E2806, LookUP_Table!$A$1:$B$4, 2, FALSE), "")</f>
        <v>Primary</v>
      </c>
      <c r="H2806">
        <v>0</v>
      </c>
      <c r="I2806">
        <v>0</v>
      </c>
      <c r="J2806" t="str">
        <f t="shared" si="258"/>
        <v>Non-Smoker</v>
      </c>
      <c r="K2806">
        <v>0</v>
      </c>
      <c r="L2806">
        <v>0</v>
      </c>
      <c r="M2806">
        <v>0</v>
      </c>
      <c r="N2806">
        <v>0</v>
      </c>
      <c r="O2806">
        <v>245</v>
      </c>
      <c r="P2806" t="str">
        <f t="shared" si="259"/>
        <v>High</v>
      </c>
      <c r="Q2806">
        <v>117</v>
      </c>
      <c r="R2806">
        <v>76</v>
      </c>
      <c r="S2806">
        <v>26.64</v>
      </c>
      <c r="T2806" t="str">
        <f t="shared" si="260"/>
        <v>Overweight</v>
      </c>
      <c r="U2806">
        <v>65</v>
      </c>
      <c r="V2806">
        <v>76</v>
      </c>
      <c r="W2806" t="str">
        <f t="shared" si="263"/>
        <v>Normal</v>
      </c>
      <c r="X2806">
        <v>1</v>
      </c>
    </row>
    <row r="2807" spans="1:24" ht="14.5" thickBot="1" x14ac:dyDescent="0.35">
      <c r="A2807">
        <v>1</v>
      </c>
      <c r="B2807" t="str">
        <f t="shared" si="261"/>
        <v>Male</v>
      </c>
      <c r="C2807" s="8">
        <v>54</v>
      </c>
      <c r="D2807" t="str">
        <f t="shared" si="262"/>
        <v>Middle Age</v>
      </c>
      <c r="E2807">
        <v>1</v>
      </c>
      <c r="F2807" t="str">
        <f>HLOOKUP(E2807, LookUP_Table!$A$6:$D$7, 2, FALSE)</f>
        <v>Primary</v>
      </c>
      <c r="G2807" t="str">
        <f>IFERROR(VLOOKUP(E2807, LookUP_Table!$A$1:$B$4, 2, FALSE), "")</f>
        <v>Primary</v>
      </c>
      <c r="H2807">
        <v>0</v>
      </c>
      <c r="I2807">
        <v>0</v>
      </c>
      <c r="J2807" t="str">
        <f t="shared" si="258"/>
        <v>Non-Smoker</v>
      </c>
      <c r="K2807">
        <v>0</v>
      </c>
      <c r="L2807">
        <v>0</v>
      </c>
      <c r="M2807">
        <v>1</v>
      </c>
      <c r="N2807">
        <v>0</v>
      </c>
      <c r="O2807">
        <v>224</v>
      </c>
      <c r="P2807" t="str">
        <f t="shared" si="259"/>
        <v>Normal</v>
      </c>
      <c r="Q2807">
        <v>170</v>
      </c>
      <c r="R2807">
        <v>102</v>
      </c>
      <c r="S2807">
        <v>29.18</v>
      </c>
      <c r="T2807" t="str">
        <f t="shared" si="260"/>
        <v>Overweight</v>
      </c>
      <c r="U2807">
        <v>72</v>
      </c>
      <c r="V2807">
        <v>81.96365524402907</v>
      </c>
      <c r="W2807" t="str">
        <f t="shared" si="263"/>
        <v>Normal</v>
      </c>
      <c r="X2807">
        <v>0</v>
      </c>
    </row>
    <row r="2808" spans="1:24" ht="14.5" thickBot="1" x14ac:dyDescent="0.35">
      <c r="A2808">
        <v>1</v>
      </c>
      <c r="B2808" t="str">
        <f t="shared" si="261"/>
        <v>Male</v>
      </c>
      <c r="C2808" s="8">
        <v>54</v>
      </c>
      <c r="D2808" t="str">
        <f t="shared" si="262"/>
        <v>Middle Age</v>
      </c>
      <c r="E2808">
        <v>2</v>
      </c>
      <c r="F2808" t="str">
        <f>HLOOKUP(E2808, LookUP_Table!$A$6:$D$7, 2, FALSE)</f>
        <v>Secondary</v>
      </c>
      <c r="G2808" t="str">
        <f>IFERROR(VLOOKUP(E2808, LookUP_Table!$A$1:$B$4, 2, FALSE), "")</f>
        <v>Secondary</v>
      </c>
      <c r="H2808">
        <v>1</v>
      </c>
      <c r="I2808">
        <v>40</v>
      </c>
      <c r="J2808" t="str">
        <f t="shared" si="258"/>
        <v>Smoker</v>
      </c>
      <c r="K2808">
        <v>0</v>
      </c>
      <c r="L2808">
        <v>0</v>
      </c>
      <c r="M2808">
        <v>0</v>
      </c>
      <c r="N2808">
        <v>0</v>
      </c>
      <c r="O2808">
        <v>230</v>
      </c>
      <c r="P2808" t="str">
        <f t="shared" si="259"/>
        <v>Normal</v>
      </c>
      <c r="Q2808">
        <v>145</v>
      </c>
      <c r="R2808">
        <v>90</v>
      </c>
      <c r="S2808">
        <v>25.72</v>
      </c>
      <c r="T2808" t="str">
        <f t="shared" si="260"/>
        <v>Overweight</v>
      </c>
      <c r="U2808">
        <v>75</v>
      </c>
      <c r="V2808">
        <v>85</v>
      </c>
      <c r="W2808" t="str">
        <f t="shared" si="263"/>
        <v>Normal</v>
      </c>
      <c r="X2808">
        <v>1</v>
      </c>
    </row>
    <row r="2809" spans="1:24" ht="14.5" thickBot="1" x14ac:dyDescent="0.35">
      <c r="A2809">
        <v>0</v>
      </c>
      <c r="B2809" t="str">
        <f t="shared" si="261"/>
        <v>Female</v>
      </c>
      <c r="C2809" s="8">
        <v>54</v>
      </c>
      <c r="D2809" t="str">
        <f t="shared" si="262"/>
        <v>Middle Age</v>
      </c>
      <c r="E2809">
        <v>1</v>
      </c>
      <c r="F2809" t="str">
        <f>HLOOKUP(E2809, LookUP_Table!$A$6:$D$7, 2, FALSE)</f>
        <v>Primary</v>
      </c>
      <c r="G2809" t="str">
        <f>IFERROR(VLOOKUP(E2809, LookUP_Table!$A$1:$B$4, 2, FALSE), "")</f>
        <v>Primary</v>
      </c>
      <c r="H2809">
        <v>0</v>
      </c>
      <c r="I2809">
        <v>0</v>
      </c>
      <c r="J2809" t="str">
        <f t="shared" si="258"/>
        <v>Non-Smoker</v>
      </c>
      <c r="K2809">
        <v>0</v>
      </c>
      <c r="L2809">
        <v>0</v>
      </c>
      <c r="M2809">
        <v>1</v>
      </c>
      <c r="N2809">
        <v>0</v>
      </c>
      <c r="O2809">
        <v>255</v>
      </c>
      <c r="P2809" t="str">
        <f t="shared" si="259"/>
        <v>High</v>
      </c>
      <c r="Q2809">
        <v>132.5</v>
      </c>
      <c r="R2809">
        <v>81</v>
      </c>
      <c r="S2809">
        <v>26.77</v>
      </c>
      <c r="T2809" t="str">
        <f t="shared" si="260"/>
        <v>Overweight</v>
      </c>
      <c r="U2809">
        <v>82</v>
      </c>
      <c r="V2809">
        <v>81.96365524402907</v>
      </c>
      <c r="W2809" t="str">
        <f t="shared" si="263"/>
        <v>Normal</v>
      </c>
      <c r="X2809">
        <v>0</v>
      </c>
    </row>
    <row r="2810" spans="1:24" ht="14.5" thickBot="1" x14ac:dyDescent="0.35">
      <c r="A2810">
        <v>0</v>
      </c>
      <c r="B2810" t="str">
        <f t="shared" si="261"/>
        <v>Female</v>
      </c>
      <c r="C2810" s="8">
        <v>54</v>
      </c>
      <c r="D2810" t="str">
        <f t="shared" si="262"/>
        <v>Middle Age</v>
      </c>
      <c r="E2810">
        <v>1</v>
      </c>
      <c r="F2810" t="str">
        <f>HLOOKUP(E2810, LookUP_Table!$A$6:$D$7, 2, FALSE)</f>
        <v>Primary</v>
      </c>
      <c r="G2810" t="str">
        <f>IFERROR(VLOOKUP(E2810, LookUP_Table!$A$1:$B$4, 2, FALSE), "")</f>
        <v>Primary</v>
      </c>
      <c r="H2810">
        <v>0</v>
      </c>
      <c r="I2810">
        <v>0</v>
      </c>
      <c r="J2810" t="str">
        <f t="shared" si="258"/>
        <v>Non-Smoker</v>
      </c>
      <c r="K2810">
        <v>0</v>
      </c>
      <c r="L2810">
        <v>0</v>
      </c>
      <c r="M2810">
        <v>0</v>
      </c>
      <c r="N2810">
        <v>0</v>
      </c>
      <c r="O2810">
        <v>275</v>
      </c>
      <c r="P2810" t="str">
        <f t="shared" si="259"/>
        <v>High</v>
      </c>
      <c r="Q2810">
        <v>113.5</v>
      </c>
      <c r="R2810">
        <v>75.5</v>
      </c>
      <c r="S2810">
        <v>19.63</v>
      </c>
      <c r="T2810" t="str">
        <f t="shared" si="260"/>
        <v>Normal</v>
      </c>
      <c r="U2810">
        <v>66</v>
      </c>
      <c r="V2810">
        <v>78</v>
      </c>
      <c r="W2810" t="str">
        <f t="shared" si="263"/>
        <v>Normal</v>
      </c>
      <c r="X2810">
        <v>0</v>
      </c>
    </row>
    <row r="2811" spans="1:24" ht="14.5" thickBot="1" x14ac:dyDescent="0.35">
      <c r="A2811">
        <v>0</v>
      </c>
      <c r="B2811" t="str">
        <f t="shared" si="261"/>
        <v>Female</v>
      </c>
      <c r="C2811" s="8">
        <v>54</v>
      </c>
      <c r="D2811" t="str">
        <f t="shared" si="262"/>
        <v>Middle Age</v>
      </c>
      <c r="E2811">
        <v>1</v>
      </c>
      <c r="F2811" t="str">
        <f>HLOOKUP(E2811, LookUP_Table!$A$6:$D$7, 2, FALSE)</f>
        <v>Primary</v>
      </c>
      <c r="G2811" t="str">
        <f>IFERROR(VLOOKUP(E2811, LookUP_Table!$A$1:$B$4, 2, FALSE), "")</f>
        <v>Primary</v>
      </c>
      <c r="H2811">
        <v>0</v>
      </c>
      <c r="I2811">
        <v>0</v>
      </c>
      <c r="J2811" t="str">
        <f t="shared" si="258"/>
        <v>Non-Smoker</v>
      </c>
      <c r="K2811">
        <v>0</v>
      </c>
      <c r="L2811">
        <v>0</v>
      </c>
      <c r="M2811">
        <v>1</v>
      </c>
      <c r="N2811">
        <v>0</v>
      </c>
      <c r="O2811">
        <v>287</v>
      </c>
      <c r="P2811" t="str">
        <f t="shared" si="259"/>
        <v>High</v>
      </c>
      <c r="Q2811">
        <v>145</v>
      </c>
      <c r="R2811">
        <v>91</v>
      </c>
      <c r="S2811">
        <v>23.81</v>
      </c>
      <c r="T2811" t="str">
        <f t="shared" si="260"/>
        <v>Normal</v>
      </c>
      <c r="U2811">
        <v>68</v>
      </c>
      <c r="V2811">
        <v>83</v>
      </c>
      <c r="W2811" t="str">
        <f t="shared" si="263"/>
        <v>Normal</v>
      </c>
      <c r="X2811">
        <v>0</v>
      </c>
    </row>
    <row r="2812" spans="1:24" ht="14.5" thickBot="1" x14ac:dyDescent="0.35">
      <c r="A2812">
        <v>0</v>
      </c>
      <c r="B2812" t="str">
        <f t="shared" si="261"/>
        <v>Female</v>
      </c>
      <c r="C2812" s="8">
        <v>54</v>
      </c>
      <c r="D2812" t="str">
        <f t="shared" si="262"/>
        <v>Middle Age</v>
      </c>
      <c r="E2812">
        <v>4</v>
      </c>
      <c r="F2812" t="str">
        <f>HLOOKUP(E2812, LookUP_Table!$A$6:$D$7, 2, FALSE)</f>
        <v>Post Graduate</v>
      </c>
      <c r="G2812" t="str">
        <f>IFERROR(VLOOKUP(E2812, LookUP_Table!$A$1:$B$4, 2, FALSE), "")</f>
        <v>Post Graduate</v>
      </c>
      <c r="H2812">
        <v>0</v>
      </c>
      <c r="I2812">
        <v>0</v>
      </c>
      <c r="J2812" t="str">
        <f t="shared" si="258"/>
        <v>Non-Smoker</v>
      </c>
      <c r="K2812">
        <v>0</v>
      </c>
      <c r="L2812">
        <v>0</v>
      </c>
      <c r="M2812">
        <v>1</v>
      </c>
      <c r="N2812">
        <v>0</v>
      </c>
      <c r="O2812">
        <v>195</v>
      </c>
      <c r="P2812" t="str">
        <f t="shared" si="259"/>
        <v>Normal</v>
      </c>
      <c r="Q2812">
        <v>163.5</v>
      </c>
      <c r="R2812">
        <v>103</v>
      </c>
      <c r="S2812">
        <v>26.89</v>
      </c>
      <c r="T2812" t="str">
        <f t="shared" si="260"/>
        <v>Overweight</v>
      </c>
      <c r="U2812">
        <v>56</v>
      </c>
      <c r="V2812">
        <v>80</v>
      </c>
      <c r="W2812" t="str">
        <f t="shared" si="263"/>
        <v>Normal</v>
      </c>
      <c r="X2812">
        <v>0</v>
      </c>
    </row>
    <row r="2813" spans="1:24" ht="14.5" thickBot="1" x14ac:dyDescent="0.35">
      <c r="A2813">
        <v>1</v>
      </c>
      <c r="B2813" t="str">
        <f t="shared" si="261"/>
        <v>Male</v>
      </c>
      <c r="C2813" s="8">
        <v>54</v>
      </c>
      <c r="D2813" t="str">
        <f t="shared" si="262"/>
        <v>Middle Age</v>
      </c>
      <c r="E2813">
        <v>1</v>
      </c>
      <c r="F2813" t="str">
        <f>HLOOKUP(E2813, LookUP_Table!$A$6:$D$7, 2, FALSE)</f>
        <v>Primary</v>
      </c>
      <c r="G2813" t="str">
        <f>IFERROR(VLOOKUP(E2813, LookUP_Table!$A$1:$B$4, 2, FALSE), "")</f>
        <v>Primary</v>
      </c>
      <c r="H2813">
        <v>0</v>
      </c>
      <c r="I2813">
        <v>0</v>
      </c>
      <c r="J2813" t="str">
        <f t="shared" si="258"/>
        <v>Non-Smoker</v>
      </c>
      <c r="K2813">
        <v>0</v>
      </c>
      <c r="L2813">
        <v>0</v>
      </c>
      <c r="M2813">
        <v>1</v>
      </c>
      <c r="N2813">
        <v>0</v>
      </c>
      <c r="O2813">
        <v>267</v>
      </c>
      <c r="P2813" t="str">
        <f t="shared" si="259"/>
        <v>High</v>
      </c>
      <c r="Q2813">
        <v>148</v>
      </c>
      <c r="R2813">
        <v>92.5</v>
      </c>
      <c r="S2813">
        <v>26.58</v>
      </c>
      <c r="T2813" t="str">
        <f t="shared" si="260"/>
        <v>Overweight</v>
      </c>
      <c r="U2813">
        <v>75</v>
      </c>
      <c r="V2813">
        <v>98</v>
      </c>
      <c r="W2813" t="str">
        <f t="shared" si="263"/>
        <v>Normal</v>
      </c>
      <c r="X2813">
        <v>1</v>
      </c>
    </row>
    <row r="2814" spans="1:24" ht="14.5" thickBot="1" x14ac:dyDescent="0.35">
      <c r="A2814">
        <v>0</v>
      </c>
      <c r="B2814" t="str">
        <f t="shared" si="261"/>
        <v>Female</v>
      </c>
      <c r="C2814" s="8">
        <v>54</v>
      </c>
      <c r="D2814" t="str">
        <f t="shared" si="262"/>
        <v>Middle Age</v>
      </c>
      <c r="E2814">
        <v>2</v>
      </c>
      <c r="F2814" t="str">
        <f>HLOOKUP(E2814, LookUP_Table!$A$6:$D$7, 2, FALSE)</f>
        <v>Secondary</v>
      </c>
      <c r="G2814" t="str">
        <f>IFERROR(VLOOKUP(E2814, LookUP_Table!$A$1:$B$4, 2, FALSE), "")</f>
        <v>Secondary</v>
      </c>
      <c r="H2814">
        <v>1</v>
      </c>
      <c r="I2814">
        <v>5</v>
      </c>
      <c r="J2814" t="str">
        <f t="shared" si="258"/>
        <v>Smoker</v>
      </c>
      <c r="K2814">
        <v>0</v>
      </c>
      <c r="L2814">
        <v>0</v>
      </c>
      <c r="M2814">
        <v>0</v>
      </c>
      <c r="N2814">
        <v>0</v>
      </c>
      <c r="O2814">
        <v>272</v>
      </c>
      <c r="P2814" t="str">
        <f t="shared" si="259"/>
        <v>High</v>
      </c>
      <c r="Q2814">
        <v>132.5</v>
      </c>
      <c r="R2814">
        <v>91</v>
      </c>
      <c r="S2814">
        <v>23.09</v>
      </c>
      <c r="T2814" t="str">
        <f t="shared" si="260"/>
        <v>Normal</v>
      </c>
      <c r="U2814">
        <v>70</v>
      </c>
      <c r="V2814">
        <v>78</v>
      </c>
      <c r="W2814" t="str">
        <f t="shared" si="263"/>
        <v>Normal</v>
      </c>
      <c r="X2814">
        <v>1</v>
      </c>
    </row>
    <row r="2815" spans="1:24" ht="14.5" thickBot="1" x14ac:dyDescent="0.35">
      <c r="A2815">
        <v>0</v>
      </c>
      <c r="B2815" t="str">
        <f t="shared" si="261"/>
        <v>Female</v>
      </c>
      <c r="C2815" s="8">
        <v>54</v>
      </c>
      <c r="D2815" t="str">
        <f t="shared" si="262"/>
        <v>Middle Age</v>
      </c>
      <c r="E2815">
        <v>1</v>
      </c>
      <c r="F2815" t="str">
        <f>HLOOKUP(E2815, LookUP_Table!$A$6:$D$7, 2, FALSE)</f>
        <v>Primary</v>
      </c>
      <c r="G2815" t="str">
        <f>IFERROR(VLOOKUP(E2815, LookUP_Table!$A$1:$B$4, 2, FALSE), "")</f>
        <v>Primary</v>
      </c>
      <c r="H2815">
        <v>1</v>
      </c>
      <c r="I2815">
        <v>1</v>
      </c>
      <c r="J2815" t="str">
        <f t="shared" si="258"/>
        <v>Smoker</v>
      </c>
      <c r="K2815">
        <v>0</v>
      </c>
      <c r="L2815">
        <v>0</v>
      </c>
      <c r="M2815">
        <v>0</v>
      </c>
      <c r="N2815">
        <v>0</v>
      </c>
      <c r="O2815">
        <v>262</v>
      </c>
      <c r="P2815" t="str">
        <f t="shared" si="259"/>
        <v>High</v>
      </c>
      <c r="Q2815">
        <v>136</v>
      </c>
      <c r="R2815">
        <v>86</v>
      </c>
      <c r="S2815">
        <v>23.28</v>
      </c>
      <c r="T2815" t="str">
        <f t="shared" si="260"/>
        <v>Normal</v>
      </c>
      <c r="U2815">
        <v>75</v>
      </c>
      <c r="V2815">
        <v>69</v>
      </c>
      <c r="W2815" t="str">
        <f t="shared" si="263"/>
        <v>Normal</v>
      </c>
      <c r="X2815">
        <v>0</v>
      </c>
    </row>
    <row r="2816" spans="1:24" ht="14.5" thickBot="1" x14ac:dyDescent="0.35">
      <c r="A2816">
        <v>0</v>
      </c>
      <c r="B2816" t="str">
        <f t="shared" si="261"/>
        <v>Female</v>
      </c>
      <c r="C2816" s="8">
        <v>54</v>
      </c>
      <c r="D2816" t="str">
        <f t="shared" si="262"/>
        <v>Middle Age</v>
      </c>
      <c r="E2816">
        <v>2</v>
      </c>
      <c r="F2816" t="str">
        <f>HLOOKUP(E2816, LookUP_Table!$A$6:$D$7, 2, FALSE)</f>
        <v>Secondary</v>
      </c>
      <c r="G2816" t="str">
        <f>IFERROR(VLOOKUP(E2816, LookUP_Table!$A$1:$B$4, 2, FALSE), "")</f>
        <v>Secondary</v>
      </c>
      <c r="H2816">
        <v>0</v>
      </c>
      <c r="I2816">
        <v>0</v>
      </c>
      <c r="J2816" t="str">
        <f t="shared" si="258"/>
        <v>Non-Smoker</v>
      </c>
      <c r="K2816">
        <v>0</v>
      </c>
      <c r="L2816">
        <v>0</v>
      </c>
      <c r="M2816">
        <v>0</v>
      </c>
      <c r="N2816">
        <v>0</v>
      </c>
      <c r="O2816">
        <v>193</v>
      </c>
      <c r="P2816" t="str">
        <f t="shared" si="259"/>
        <v>Normal</v>
      </c>
      <c r="Q2816">
        <v>118</v>
      </c>
      <c r="R2816">
        <v>84</v>
      </c>
      <c r="S2816">
        <v>24.9</v>
      </c>
      <c r="T2816" t="str">
        <f t="shared" si="260"/>
        <v>Normal</v>
      </c>
      <c r="U2816">
        <v>70</v>
      </c>
      <c r="V2816">
        <v>82</v>
      </c>
      <c r="W2816" t="str">
        <f t="shared" si="263"/>
        <v>Normal</v>
      </c>
      <c r="X2816">
        <v>0</v>
      </c>
    </row>
    <row r="2817" spans="1:24" ht="14.5" thickBot="1" x14ac:dyDescent="0.35">
      <c r="A2817">
        <v>1</v>
      </c>
      <c r="B2817" t="str">
        <f t="shared" si="261"/>
        <v>Male</v>
      </c>
      <c r="C2817" s="8">
        <v>54</v>
      </c>
      <c r="D2817" t="str">
        <f t="shared" si="262"/>
        <v>Middle Age</v>
      </c>
      <c r="E2817">
        <v>2</v>
      </c>
      <c r="F2817" t="str">
        <f>HLOOKUP(E2817, LookUP_Table!$A$6:$D$7, 2, FALSE)</f>
        <v>Secondary</v>
      </c>
      <c r="G2817" t="str">
        <f>IFERROR(VLOOKUP(E2817, LookUP_Table!$A$1:$B$4, 2, FALSE), "")</f>
        <v>Secondary</v>
      </c>
      <c r="H2817">
        <v>0</v>
      </c>
      <c r="I2817">
        <v>0</v>
      </c>
      <c r="J2817" t="str">
        <f t="shared" si="258"/>
        <v>Non-Smoker</v>
      </c>
      <c r="K2817">
        <v>0</v>
      </c>
      <c r="L2817">
        <v>0</v>
      </c>
      <c r="M2817">
        <v>0</v>
      </c>
      <c r="N2817">
        <v>0</v>
      </c>
      <c r="O2817">
        <v>175</v>
      </c>
      <c r="P2817" t="str">
        <f t="shared" si="259"/>
        <v>Normal</v>
      </c>
      <c r="Q2817">
        <v>116</v>
      </c>
      <c r="R2817">
        <v>78.5</v>
      </c>
      <c r="S2817">
        <v>25.82</v>
      </c>
      <c r="T2817" t="str">
        <f t="shared" si="260"/>
        <v>Overweight</v>
      </c>
      <c r="U2817">
        <v>94</v>
      </c>
      <c r="V2817">
        <v>67</v>
      </c>
      <c r="W2817" t="str">
        <f t="shared" si="263"/>
        <v>Normal</v>
      </c>
      <c r="X2817">
        <v>0</v>
      </c>
    </row>
    <row r="2818" spans="1:24" ht="14.5" thickBot="1" x14ac:dyDescent="0.35">
      <c r="A2818">
        <v>1</v>
      </c>
      <c r="B2818" t="str">
        <f t="shared" si="261"/>
        <v>Male</v>
      </c>
      <c r="C2818" s="8">
        <v>54</v>
      </c>
      <c r="D2818" t="str">
        <f t="shared" si="262"/>
        <v>Middle Age</v>
      </c>
      <c r="E2818">
        <v>1</v>
      </c>
      <c r="F2818" t="str">
        <f>HLOOKUP(E2818, LookUP_Table!$A$6:$D$7, 2, FALSE)</f>
        <v>Primary</v>
      </c>
      <c r="G2818" t="str">
        <f>IFERROR(VLOOKUP(E2818, LookUP_Table!$A$1:$B$4, 2, FALSE), "")</f>
        <v>Primary</v>
      </c>
      <c r="H2818">
        <v>1</v>
      </c>
      <c r="I2818">
        <v>20</v>
      </c>
      <c r="J2818" t="str">
        <f t="shared" ref="J2818:J2881" si="264">IF(I2818&gt;0,"Smoker","Non-Smoker")</f>
        <v>Smoker</v>
      </c>
      <c r="K2818">
        <v>0</v>
      </c>
      <c r="L2818">
        <v>0</v>
      </c>
      <c r="M2818">
        <v>1</v>
      </c>
      <c r="N2818">
        <v>0</v>
      </c>
      <c r="O2818">
        <v>255</v>
      </c>
      <c r="P2818" t="str">
        <f t="shared" ref="P2818:P2881" si="265">IF(O2818&gt;240,"High","Normal")</f>
        <v>High</v>
      </c>
      <c r="Q2818">
        <v>142</v>
      </c>
      <c r="R2818">
        <v>93</v>
      </c>
      <c r="S2818">
        <v>22.17</v>
      </c>
      <c r="T2818" t="str">
        <f t="shared" ref="T2818:T2881" si="266">IF(S2818&lt;18.5,"Underweight",
IF(S2818&lt;25,"Normal",
IF(S2818&lt;30,"Overweight","Obese")))</f>
        <v>Normal</v>
      </c>
      <c r="U2818">
        <v>75</v>
      </c>
      <c r="V2818">
        <v>118</v>
      </c>
      <c r="W2818" t="str">
        <f t="shared" si="263"/>
        <v>Prediabetes</v>
      </c>
      <c r="X2818">
        <v>0</v>
      </c>
    </row>
    <row r="2819" spans="1:24" ht="14.5" thickBot="1" x14ac:dyDescent="0.35">
      <c r="A2819">
        <v>0</v>
      </c>
      <c r="B2819" t="str">
        <f t="shared" ref="B2819:B2882" si="267">IF(A2819=0,"Female","Male")</f>
        <v>Female</v>
      </c>
      <c r="C2819" s="8">
        <v>54</v>
      </c>
      <c r="D2819" t="str">
        <f t="shared" ref="D2819:D2882" si="268">IF(C2819&lt;40,"Young",
IF(C2819&lt;55,"Middle Age","Senior"))</f>
        <v>Middle Age</v>
      </c>
      <c r="E2819">
        <v>3</v>
      </c>
      <c r="F2819" t="str">
        <f>HLOOKUP(E2819, LookUP_Table!$A$6:$D$7, 2, FALSE)</f>
        <v>Graduate</v>
      </c>
      <c r="G2819" t="str">
        <f>IFERROR(VLOOKUP(E2819, LookUP_Table!$A$1:$B$4, 2, FALSE), "")</f>
        <v>Graduate</v>
      </c>
      <c r="H2819">
        <v>0</v>
      </c>
      <c r="I2819">
        <v>0</v>
      </c>
      <c r="J2819" t="str">
        <f t="shared" si="264"/>
        <v>Non-Smoker</v>
      </c>
      <c r="K2819">
        <v>0</v>
      </c>
      <c r="L2819">
        <v>0</v>
      </c>
      <c r="M2819">
        <v>0</v>
      </c>
      <c r="N2819">
        <v>0</v>
      </c>
      <c r="O2819">
        <v>318</v>
      </c>
      <c r="P2819" t="str">
        <f t="shared" si="265"/>
        <v>High</v>
      </c>
      <c r="Q2819">
        <v>115</v>
      </c>
      <c r="R2819">
        <v>81</v>
      </c>
      <c r="S2819">
        <v>25.84</v>
      </c>
      <c r="T2819" t="str">
        <f t="shared" si="266"/>
        <v>Overweight</v>
      </c>
      <c r="U2819">
        <v>95</v>
      </c>
      <c r="V2819">
        <v>76</v>
      </c>
      <c r="W2819" t="str">
        <f t="shared" ref="W2819:W2882" si="269">IF(V2819 &lt; 100, "Normal", IF(V2819 &lt;= 125, "Prediabetes", "Diabetes"))</f>
        <v>Normal</v>
      </c>
      <c r="X2819">
        <v>0</v>
      </c>
    </row>
    <row r="2820" spans="1:24" ht="14.5" thickBot="1" x14ac:dyDescent="0.35">
      <c r="A2820">
        <v>0</v>
      </c>
      <c r="B2820" t="str">
        <f t="shared" si="267"/>
        <v>Female</v>
      </c>
      <c r="C2820" s="8">
        <v>54</v>
      </c>
      <c r="D2820" t="str">
        <f t="shared" si="268"/>
        <v>Middle Age</v>
      </c>
      <c r="E2820">
        <v>1</v>
      </c>
      <c r="F2820" t="str">
        <f>HLOOKUP(E2820, LookUP_Table!$A$6:$D$7, 2, FALSE)</f>
        <v>Primary</v>
      </c>
      <c r="G2820" t="str">
        <f>IFERROR(VLOOKUP(E2820, LookUP_Table!$A$1:$B$4, 2, FALSE), "")</f>
        <v>Primary</v>
      </c>
      <c r="H2820">
        <v>0</v>
      </c>
      <c r="I2820">
        <v>0</v>
      </c>
      <c r="J2820" t="str">
        <f t="shared" si="264"/>
        <v>Non-Smoker</v>
      </c>
      <c r="K2820">
        <v>0</v>
      </c>
      <c r="L2820">
        <v>0</v>
      </c>
      <c r="M2820">
        <v>1</v>
      </c>
      <c r="N2820">
        <v>0</v>
      </c>
      <c r="O2820">
        <v>266</v>
      </c>
      <c r="P2820" t="str">
        <f t="shared" si="265"/>
        <v>High</v>
      </c>
      <c r="Q2820">
        <v>137</v>
      </c>
      <c r="R2820">
        <v>88</v>
      </c>
      <c r="S2820">
        <v>29.76</v>
      </c>
      <c r="T2820" t="str">
        <f t="shared" si="266"/>
        <v>Overweight</v>
      </c>
      <c r="U2820">
        <v>80</v>
      </c>
      <c r="V2820">
        <v>80</v>
      </c>
      <c r="W2820" t="str">
        <f t="shared" si="269"/>
        <v>Normal</v>
      </c>
      <c r="X2820">
        <v>0</v>
      </c>
    </row>
    <row r="2821" spans="1:24" ht="14.5" thickBot="1" x14ac:dyDescent="0.35">
      <c r="A2821">
        <v>0</v>
      </c>
      <c r="B2821" t="str">
        <f t="shared" si="267"/>
        <v>Female</v>
      </c>
      <c r="C2821" s="8">
        <v>54</v>
      </c>
      <c r="D2821" t="str">
        <f t="shared" si="268"/>
        <v>Middle Age</v>
      </c>
      <c r="E2821">
        <v>2</v>
      </c>
      <c r="F2821" t="str">
        <f>HLOOKUP(E2821, LookUP_Table!$A$6:$D$7, 2, FALSE)</f>
        <v>Secondary</v>
      </c>
      <c r="G2821" t="str">
        <f>IFERROR(VLOOKUP(E2821, LookUP_Table!$A$1:$B$4, 2, FALSE), "")</f>
        <v>Secondary</v>
      </c>
      <c r="H2821">
        <v>1</v>
      </c>
      <c r="I2821">
        <v>20</v>
      </c>
      <c r="J2821" t="str">
        <f t="shared" si="264"/>
        <v>Smoker</v>
      </c>
      <c r="K2821">
        <v>0</v>
      </c>
      <c r="L2821">
        <v>0</v>
      </c>
      <c r="M2821">
        <v>0</v>
      </c>
      <c r="N2821">
        <v>0</v>
      </c>
      <c r="O2821">
        <v>187</v>
      </c>
      <c r="P2821" t="str">
        <f t="shared" si="265"/>
        <v>Normal</v>
      </c>
      <c r="Q2821">
        <v>133</v>
      </c>
      <c r="R2821">
        <v>88</v>
      </c>
      <c r="S2821">
        <v>31.82</v>
      </c>
      <c r="T2821" t="str">
        <f t="shared" si="266"/>
        <v>Obese</v>
      </c>
      <c r="U2821">
        <v>75</v>
      </c>
      <c r="V2821">
        <v>77</v>
      </c>
      <c r="W2821" t="str">
        <f t="shared" si="269"/>
        <v>Normal</v>
      </c>
      <c r="X2821">
        <v>0</v>
      </c>
    </row>
    <row r="2822" spans="1:24" ht="14.5" thickBot="1" x14ac:dyDescent="0.35">
      <c r="A2822">
        <v>0</v>
      </c>
      <c r="B2822" t="str">
        <f t="shared" si="267"/>
        <v>Female</v>
      </c>
      <c r="C2822" s="8">
        <v>54</v>
      </c>
      <c r="D2822" t="str">
        <f t="shared" si="268"/>
        <v>Middle Age</v>
      </c>
      <c r="E2822">
        <v>1</v>
      </c>
      <c r="F2822" t="str">
        <f>HLOOKUP(E2822, LookUP_Table!$A$6:$D$7, 2, FALSE)</f>
        <v>Primary</v>
      </c>
      <c r="G2822" t="str">
        <f>IFERROR(VLOOKUP(E2822, LookUP_Table!$A$1:$B$4, 2, FALSE), "")</f>
        <v>Primary</v>
      </c>
      <c r="H2822">
        <v>0</v>
      </c>
      <c r="I2822">
        <v>0</v>
      </c>
      <c r="J2822" t="str">
        <f t="shared" si="264"/>
        <v>Non-Smoker</v>
      </c>
      <c r="K2822">
        <v>0</v>
      </c>
      <c r="L2822">
        <v>0</v>
      </c>
      <c r="M2822">
        <v>1</v>
      </c>
      <c r="N2822">
        <v>0</v>
      </c>
      <c r="O2822">
        <v>237</v>
      </c>
      <c r="P2822" t="str">
        <f t="shared" si="265"/>
        <v>Normal</v>
      </c>
      <c r="Q2822">
        <v>171.5</v>
      </c>
      <c r="R2822">
        <v>105.5</v>
      </c>
      <c r="S2822">
        <v>34.25</v>
      </c>
      <c r="T2822" t="str">
        <f t="shared" si="266"/>
        <v>Obese</v>
      </c>
      <c r="U2822">
        <v>91</v>
      </c>
      <c r="V2822">
        <v>104</v>
      </c>
      <c r="W2822" t="str">
        <f t="shared" si="269"/>
        <v>Prediabetes</v>
      </c>
      <c r="X2822">
        <v>0</v>
      </c>
    </row>
    <row r="2823" spans="1:24" ht="14.5" thickBot="1" x14ac:dyDescent="0.35">
      <c r="A2823">
        <v>0</v>
      </c>
      <c r="B2823" t="str">
        <f t="shared" si="267"/>
        <v>Female</v>
      </c>
      <c r="C2823" s="8">
        <v>54</v>
      </c>
      <c r="D2823" t="str">
        <f t="shared" si="268"/>
        <v>Middle Age</v>
      </c>
      <c r="E2823">
        <v>3</v>
      </c>
      <c r="F2823" t="str">
        <f>HLOOKUP(E2823, LookUP_Table!$A$6:$D$7, 2, FALSE)</f>
        <v>Graduate</v>
      </c>
      <c r="G2823" t="str">
        <f>IFERROR(VLOOKUP(E2823, LookUP_Table!$A$1:$B$4, 2, FALSE), "")</f>
        <v>Graduate</v>
      </c>
      <c r="H2823">
        <v>1</v>
      </c>
      <c r="I2823">
        <v>20</v>
      </c>
      <c r="J2823" t="str">
        <f t="shared" si="264"/>
        <v>Smoker</v>
      </c>
      <c r="K2823">
        <v>0</v>
      </c>
      <c r="L2823">
        <v>0</v>
      </c>
      <c r="M2823">
        <v>0</v>
      </c>
      <c r="N2823">
        <v>0</v>
      </c>
      <c r="O2823">
        <v>225</v>
      </c>
      <c r="P2823" t="str">
        <f t="shared" si="265"/>
        <v>Normal</v>
      </c>
      <c r="Q2823">
        <v>131</v>
      </c>
      <c r="R2823">
        <v>79</v>
      </c>
      <c r="S2823">
        <v>25.91</v>
      </c>
      <c r="T2823" t="str">
        <f t="shared" si="266"/>
        <v>Overweight</v>
      </c>
      <c r="U2823">
        <v>67</v>
      </c>
      <c r="V2823">
        <v>62</v>
      </c>
      <c r="W2823" t="str">
        <f t="shared" si="269"/>
        <v>Normal</v>
      </c>
      <c r="X2823">
        <v>0</v>
      </c>
    </row>
    <row r="2824" spans="1:24" ht="14.5" thickBot="1" x14ac:dyDescent="0.35">
      <c r="A2824">
        <v>0</v>
      </c>
      <c r="B2824" t="str">
        <f t="shared" si="267"/>
        <v>Female</v>
      </c>
      <c r="C2824" s="8">
        <v>54</v>
      </c>
      <c r="D2824" t="str">
        <f t="shared" si="268"/>
        <v>Middle Age</v>
      </c>
      <c r="E2824">
        <v>2</v>
      </c>
      <c r="F2824" t="str">
        <f>HLOOKUP(E2824, LookUP_Table!$A$6:$D$7, 2, FALSE)</f>
        <v>Secondary</v>
      </c>
      <c r="G2824" t="str">
        <f>IFERROR(VLOOKUP(E2824, LookUP_Table!$A$1:$B$4, 2, FALSE), "")</f>
        <v>Secondary</v>
      </c>
      <c r="H2824">
        <v>0</v>
      </c>
      <c r="I2824">
        <v>0</v>
      </c>
      <c r="J2824" t="str">
        <f t="shared" si="264"/>
        <v>Non-Smoker</v>
      </c>
      <c r="K2824">
        <v>0</v>
      </c>
      <c r="L2824">
        <v>0</v>
      </c>
      <c r="M2824">
        <v>0</v>
      </c>
      <c r="N2824">
        <v>0</v>
      </c>
      <c r="O2824">
        <v>279</v>
      </c>
      <c r="P2824" t="str">
        <f t="shared" si="265"/>
        <v>High</v>
      </c>
      <c r="Q2824">
        <v>127</v>
      </c>
      <c r="R2824">
        <v>70</v>
      </c>
      <c r="S2824">
        <v>23.48</v>
      </c>
      <c r="T2824" t="str">
        <f t="shared" si="266"/>
        <v>Normal</v>
      </c>
      <c r="U2824">
        <v>92</v>
      </c>
      <c r="V2824">
        <v>79</v>
      </c>
      <c r="W2824" t="str">
        <f t="shared" si="269"/>
        <v>Normal</v>
      </c>
      <c r="X2824">
        <v>0</v>
      </c>
    </row>
    <row r="2825" spans="1:24" ht="14.5" thickBot="1" x14ac:dyDescent="0.35">
      <c r="A2825">
        <v>1</v>
      </c>
      <c r="B2825" t="str">
        <f t="shared" si="267"/>
        <v>Male</v>
      </c>
      <c r="C2825" s="8">
        <v>54</v>
      </c>
      <c r="D2825" t="str">
        <f t="shared" si="268"/>
        <v>Middle Age</v>
      </c>
      <c r="E2825">
        <v>1</v>
      </c>
      <c r="F2825" t="str">
        <f>HLOOKUP(E2825, LookUP_Table!$A$6:$D$7, 2, FALSE)</f>
        <v>Primary</v>
      </c>
      <c r="G2825" t="str">
        <f>IFERROR(VLOOKUP(E2825, LookUP_Table!$A$1:$B$4, 2, FALSE), "")</f>
        <v>Primary</v>
      </c>
      <c r="H2825">
        <v>1</v>
      </c>
      <c r="I2825">
        <v>9</v>
      </c>
      <c r="J2825" t="str">
        <f t="shared" si="264"/>
        <v>Smoker</v>
      </c>
      <c r="K2825">
        <v>0</v>
      </c>
      <c r="L2825">
        <v>0</v>
      </c>
      <c r="M2825">
        <v>0</v>
      </c>
      <c r="N2825">
        <v>0</v>
      </c>
      <c r="O2825">
        <v>241</v>
      </c>
      <c r="P2825" t="str">
        <f t="shared" si="265"/>
        <v>High</v>
      </c>
      <c r="Q2825">
        <v>101</v>
      </c>
      <c r="R2825">
        <v>72</v>
      </c>
      <c r="S2825">
        <v>28.35</v>
      </c>
      <c r="T2825" t="str">
        <f t="shared" si="266"/>
        <v>Overweight</v>
      </c>
      <c r="U2825">
        <v>69</v>
      </c>
      <c r="V2825">
        <v>70</v>
      </c>
      <c r="W2825" t="str">
        <f t="shared" si="269"/>
        <v>Normal</v>
      </c>
      <c r="X2825">
        <v>0</v>
      </c>
    </row>
    <row r="2826" spans="1:24" ht="14.5" thickBot="1" x14ac:dyDescent="0.35">
      <c r="A2826">
        <v>1</v>
      </c>
      <c r="B2826" t="str">
        <f t="shared" si="267"/>
        <v>Male</v>
      </c>
      <c r="C2826" s="8">
        <v>54</v>
      </c>
      <c r="D2826" t="str">
        <f t="shared" si="268"/>
        <v>Middle Age</v>
      </c>
      <c r="E2826">
        <v>4</v>
      </c>
      <c r="F2826" t="str">
        <f>HLOOKUP(E2826, LookUP_Table!$A$6:$D$7, 2, FALSE)</f>
        <v>Post Graduate</v>
      </c>
      <c r="G2826" t="str">
        <f>IFERROR(VLOOKUP(E2826, LookUP_Table!$A$1:$B$4, 2, FALSE), "")</f>
        <v>Post Graduate</v>
      </c>
      <c r="H2826">
        <v>1</v>
      </c>
      <c r="I2826">
        <v>15</v>
      </c>
      <c r="J2826" t="str">
        <f t="shared" si="264"/>
        <v>Smoker</v>
      </c>
      <c r="K2826">
        <v>0</v>
      </c>
      <c r="L2826">
        <v>0</v>
      </c>
      <c r="M2826">
        <v>0</v>
      </c>
      <c r="N2826">
        <v>0</v>
      </c>
      <c r="O2826">
        <v>300</v>
      </c>
      <c r="P2826" t="str">
        <f t="shared" si="265"/>
        <v>High</v>
      </c>
      <c r="Q2826">
        <v>128</v>
      </c>
      <c r="R2826">
        <v>80</v>
      </c>
      <c r="S2826">
        <v>27.3</v>
      </c>
      <c r="T2826" t="str">
        <f t="shared" si="266"/>
        <v>Overweight</v>
      </c>
      <c r="U2826">
        <v>68</v>
      </c>
      <c r="V2826">
        <v>81.96365524402907</v>
      </c>
      <c r="W2826" t="str">
        <f t="shared" si="269"/>
        <v>Normal</v>
      </c>
      <c r="X2826">
        <v>0</v>
      </c>
    </row>
    <row r="2827" spans="1:24" ht="14.5" thickBot="1" x14ac:dyDescent="0.35">
      <c r="A2827">
        <v>0</v>
      </c>
      <c r="B2827" t="str">
        <f t="shared" si="267"/>
        <v>Female</v>
      </c>
      <c r="C2827" s="8">
        <v>54</v>
      </c>
      <c r="D2827" t="str">
        <f t="shared" si="268"/>
        <v>Middle Age</v>
      </c>
      <c r="E2827">
        <v>1</v>
      </c>
      <c r="F2827" t="str">
        <f>HLOOKUP(E2827, LookUP_Table!$A$6:$D$7, 2, FALSE)</f>
        <v>Primary</v>
      </c>
      <c r="G2827" t="str">
        <f>IFERROR(VLOOKUP(E2827, LookUP_Table!$A$1:$B$4, 2, FALSE), "")</f>
        <v>Primary</v>
      </c>
      <c r="H2827">
        <v>0</v>
      </c>
      <c r="I2827">
        <v>0</v>
      </c>
      <c r="J2827" t="str">
        <f t="shared" si="264"/>
        <v>Non-Smoker</v>
      </c>
      <c r="K2827">
        <v>0</v>
      </c>
      <c r="L2827">
        <v>0</v>
      </c>
      <c r="M2827">
        <v>0</v>
      </c>
      <c r="N2827">
        <v>0</v>
      </c>
      <c r="O2827">
        <v>272</v>
      </c>
      <c r="P2827" t="str">
        <f t="shared" si="265"/>
        <v>High</v>
      </c>
      <c r="Q2827">
        <v>146</v>
      </c>
      <c r="R2827">
        <v>95</v>
      </c>
      <c r="S2827">
        <v>23.66</v>
      </c>
      <c r="T2827" t="str">
        <f t="shared" si="266"/>
        <v>Normal</v>
      </c>
      <c r="U2827">
        <v>72</v>
      </c>
      <c r="V2827">
        <v>80</v>
      </c>
      <c r="W2827" t="str">
        <f t="shared" si="269"/>
        <v>Normal</v>
      </c>
      <c r="X2827">
        <v>0</v>
      </c>
    </row>
    <row r="2828" spans="1:24" ht="14.5" thickBot="1" x14ac:dyDescent="0.35">
      <c r="A2828">
        <v>0</v>
      </c>
      <c r="B2828" t="str">
        <f t="shared" si="267"/>
        <v>Female</v>
      </c>
      <c r="C2828" s="8">
        <v>54</v>
      </c>
      <c r="D2828" t="str">
        <f t="shared" si="268"/>
        <v>Middle Age</v>
      </c>
      <c r="E2828">
        <v>1</v>
      </c>
      <c r="F2828" t="str">
        <f>HLOOKUP(E2828, LookUP_Table!$A$6:$D$7, 2, FALSE)</f>
        <v>Primary</v>
      </c>
      <c r="G2828" t="str">
        <f>IFERROR(VLOOKUP(E2828, LookUP_Table!$A$1:$B$4, 2, FALSE), "")</f>
        <v>Primary</v>
      </c>
      <c r="H2828">
        <v>1</v>
      </c>
      <c r="I2828">
        <v>20</v>
      </c>
      <c r="J2828" t="str">
        <f t="shared" si="264"/>
        <v>Smoker</v>
      </c>
      <c r="K2828">
        <v>0</v>
      </c>
      <c r="L2828">
        <v>0</v>
      </c>
      <c r="M2828">
        <v>0</v>
      </c>
      <c r="N2828">
        <v>0</v>
      </c>
      <c r="O2828">
        <v>236.69952267303103</v>
      </c>
      <c r="P2828" t="str">
        <f t="shared" si="265"/>
        <v>Normal</v>
      </c>
      <c r="Q2828">
        <v>111</v>
      </c>
      <c r="R2828">
        <v>81</v>
      </c>
      <c r="S2828">
        <v>25.43</v>
      </c>
      <c r="T2828" t="str">
        <f t="shared" si="266"/>
        <v>Overweight</v>
      </c>
      <c r="U2828">
        <v>70</v>
      </c>
      <c r="V2828">
        <v>81.96365524402907</v>
      </c>
      <c r="W2828" t="str">
        <f t="shared" si="269"/>
        <v>Normal</v>
      </c>
      <c r="X2828">
        <v>0</v>
      </c>
    </row>
    <row r="2829" spans="1:24" ht="14.5" thickBot="1" x14ac:dyDescent="0.35">
      <c r="A2829">
        <v>1</v>
      </c>
      <c r="B2829" t="str">
        <f t="shared" si="267"/>
        <v>Male</v>
      </c>
      <c r="C2829" s="8">
        <v>54</v>
      </c>
      <c r="D2829" t="str">
        <f t="shared" si="268"/>
        <v>Middle Age</v>
      </c>
      <c r="E2829">
        <v>1</v>
      </c>
      <c r="F2829" t="str">
        <f>HLOOKUP(E2829, LookUP_Table!$A$6:$D$7, 2, FALSE)</f>
        <v>Primary</v>
      </c>
      <c r="G2829" t="str">
        <f>IFERROR(VLOOKUP(E2829, LookUP_Table!$A$1:$B$4, 2, FALSE), "")</f>
        <v>Primary</v>
      </c>
      <c r="H2829">
        <v>0</v>
      </c>
      <c r="I2829">
        <v>0</v>
      </c>
      <c r="J2829" t="str">
        <f t="shared" si="264"/>
        <v>Non-Smoker</v>
      </c>
      <c r="K2829">
        <v>0</v>
      </c>
      <c r="L2829">
        <v>0</v>
      </c>
      <c r="M2829">
        <v>0</v>
      </c>
      <c r="N2829">
        <v>0</v>
      </c>
      <c r="O2829">
        <v>225</v>
      </c>
      <c r="P2829" t="str">
        <f t="shared" si="265"/>
        <v>Normal</v>
      </c>
      <c r="Q2829">
        <v>113.5</v>
      </c>
      <c r="R2829">
        <v>74</v>
      </c>
      <c r="S2829">
        <v>25.63</v>
      </c>
      <c r="T2829" t="str">
        <f t="shared" si="266"/>
        <v>Overweight</v>
      </c>
      <c r="U2829">
        <v>70</v>
      </c>
      <c r="V2829">
        <v>80</v>
      </c>
      <c r="W2829" t="str">
        <f t="shared" si="269"/>
        <v>Normal</v>
      </c>
      <c r="X2829">
        <v>0</v>
      </c>
    </row>
    <row r="2830" spans="1:24" ht="14.5" thickBot="1" x14ac:dyDescent="0.35">
      <c r="A2830">
        <v>1</v>
      </c>
      <c r="B2830" t="str">
        <f t="shared" si="267"/>
        <v>Male</v>
      </c>
      <c r="C2830" s="8">
        <v>54</v>
      </c>
      <c r="D2830" t="str">
        <f t="shared" si="268"/>
        <v>Middle Age</v>
      </c>
      <c r="E2830">
        <v>1</v>
      </c>
      <c r="F2830" t="str">
        <f>HLOOKUP(E2830, LookUP_Table!$A$6:$D$7, 2, FALSE)</f>
        <v>Primary</v>
      </c>
      <c r="G2830" t="str">
        <f>IFERROR(VLOOKUP(E2830, LookUP_Table!$A$1:$B$4, 2, FALSE), "")</f>
        <v>Primary</v>
      </c>
      <c r="H2830">
        <v>0</v>
      </c>
      <c r="I2830">
        <v>0</v>
      </c>
      <c r="J2830" t="str">
        <f t="shared" si="264"/>
        <v>Non-Smoker</v>
      </c>
      <c r="K2830">
        <v>0</v>
      </c>
      <c r="L2830">
        <v>0</v>
      </c>
      <c r="M2830">
        <v>0</v>
      </c>
      <c r="N2830">
        <v>0</v>
      </c>
      <c r="O2830">
        <v>254</v>
      </c>
      <c r="P2830" t="str">
        <f t="shared" si="265"/>
        <v>High</v>
      </c>
      <c r="Q2830">
        <v>136.5</v>
      </c>
      <c r="R2830">
        <v>83</v>
      </c>
      <c r="S2830">
        <v>20.55</v>
      </c>
      <c r="T2830" t="str">
        <f t="shared" si="266"/>
        <v>Normal</v>
      </c>
      <c r="U2830">
        <v>88</v>
      </c>
      <c r="V2830">
        <v>95</v>
      </c>
      <c r="W2830" t="str">
        <f t="shared" si="269"/>
        <v>Normal</v>
      </c>
      <c r="X2830">
        <v>0</v>
      </c>
    </row>
    <row r="2831" spans="1:24" ht="14.5" thickBot="1" x14ac:dyDescent="0.35">
      <c r="A2831">
        <v>1</v>
      </c>
      <c r="B2831" t="str">
        <f t="shared" si="267"/>
        <v>Male</v>
      </c>
      <c r="C2831" s="8">
        <v>54</v>
      </c>
      <c r="D2831" t="str">
        <f t="shared" si="268"/>
        <v>Middle Age</v>
      </c>
      <c r="E2831">
        <v>1</v>
      </c>
      <c r="F2831" t="str">
        <f>HLOOKUP(E2831, LookUP_Table!$A$6:$D$7, 2, FALSE)</f>
        <v>Primary</v>
      </c>
      <c r="G2831" t="str">
        <f>IFERROR(VLOOKUP(E2831, LookUP_Table!$A$1:$B$4, 2, FALSE), "")</f>
        <v>Primary</v>
      </c>
      <c r="H2831">
        <v>1</v>
      </c>
      <c r="I2831">
        <v>9</v>
      </c>
      <c r="J2831" t="str">
        <f t="shared" si="264"/>
        <v>Smoker</v>
      </c>
      <c r="K2831">
        <v>0</v>
      </c>
      <c r="L2831">
        <v>0</v>
      </c>
      <c r="M2831">
        <v>0</v>
      </c>
      <c r="N2831">
        <v>0</v>
      </c>
      <c r="O2831">
        <v>219</v>
      </c>
      <c r="P2831" t="str">
        <f t="shared" si="265"/>
        <v>Normal</v>
      </c>
      <c r="Q2831">
        <v>110</v>
      </c>
      <c r="R2831">
        <v>72</v>
      </c>
      <c r="S2831">
        <v>26.05</v>
      </c>
      <c r="T2831" t="str">
        <f t="shared" si="266"/>
        <v>Overweight</v>
      </c>
      <c r="U2831">
        <v>95</v>
      </c>
      <c r="V2831">
        <v>86</v>
      </c>
      <c r="W2831" t="str">
        <f t="shared" si="269"/>
        <v>Normal</v>
      </c>
      <c r="X2831">
        <v>0</v>
      </c>
    </row>
    <row r="2832" spans="1:24" ht="14.5" thickBot="1" x14ac:dyDescent="0.35">
      <c r="A2832">
        <v>1</v>
      </c>
      <c r="B2832" t="str">
        <f t="shared" si="267"/>
        <v>Male</v>
      </c>
      <c r="C2832" s="8">
        <v>54</v>
      </c>
      <c r="D2832" t="str">
        <f t="shared" si="268"/>
        <v>Middle Age</v>
      </c>
      <c r="E2832">
        <v>2</v>
      </c>
      <c r="F2832" t="str">
        <f>HLOOKUP(E2832, LookUP_Table!$A$6:$D$7, 2, FALSE)</f>
        <v>Secondary</v>
      </c>
      <c r="G2832" t="str">
        <f>IFERROR(VLOOKUP(E2832, LookUP_Table!$A$1:$B$4, 2, FALSE), "")</f>
        <v>Secondary</v>
      </c>
      <c r="H2832">
        <v>1</v>
      </c>
      <c r="I2832">
        <v>30</v>
      </c>
      <c r="J2832" t="str">
        <f t="shared" si="264"/>
        <v>Smoker</v>
      </c>
      <c r="K2832">
        <v>0</v>
      </c>
      <c r="L2832">
        <v>0</v>
      </c>
      <c r="M2832">
        <v>0</v>
      </c>
      <c r="N2832">
        <v>0</v>
      </c>
      <c r="O2832">
        <v>215</v>
      </c>
      <c r="P2832" t="str">
        <f t="shared" si="265"/>
        <v>Normal</v>
      </c>
      <c r="Q2832">
        <v>117.5</v>
      </c>
      <c r="R2832">
        <v>70.5</v>
      </c>
      <c r="S2832">
        <v>26.77</v>
      </c>
      <c r="T2832" t="str">
        <f t="shared" si="266"/>
        <v>Overweight</v>
      </c>
      <c r="U2832">
        <v>60</v>
      </c>
      <c r="V2832">
        <v>75</v>
      </c>
      <c r="W2832" t="str">
        <f t="shared" si="269"/>
        <v>Normal</v>
      </c>
      <c r="X2832">
        <v>0</v>
      </c>
    </row>
    <row r="2833" spans="1:24" ht="14.5" thickBot="1" x14ac:dyDescent="0.35">
      <c r="A2833">
        <v>0</v>
      </c>
      <c r="B2833" t="str">
        <f t="shared" si="267"/>
        <v>Female</v>
      </c>
      <c r="C2833" s="8">
        <v>54</v>
      </c>
      <c r="D2833" t="str">
        <f t="shared" si="268"/>
        <v>Middle Age</v>
      </c>
      <c r="E2833">
        <v>3</v>
      </c>
      <c r="F2833" t="str">
        <f>HLOOKUP(E2833, LookUP_Table!$A$6:$D$7, 2, FALSE)</f>
        <v>Graduate</v>
      </c>
      <c r="G2833" t="str">
        <f>IFERROR(VLOOKUP(E2833, LookUP_Table!$A$1:$B$4, 2, FALSE), "")</f>
        <v>Graduate</v>
      </c>
      <c r="H2833">
        <v>0</v>
      </c>
      <c r="I2833">
        <v>0</v>
      </c>
      <c r="J2833" t="str">
        <f t="shared" si="264"/>
        <v>Non-Smoker</v>
      </c>
      <c r="K2833">
        <v>0</v>
      </c>
      <c r="L2833">
        <v>0</v>
      </c>
      <c r="M2833">
        <v>1</v>
      </c>
      <c r="N2833">
        <v>0</v>
      </c>
      <c r="O2833">
        <v>258</v>
      </c>
      <c r="P2833" t="str">
        <f t="shared" si="265"/>
        <v>High</v>
      </c>
      <c r="Q2833">
        <v>148</v>
      </c>
      <c r="R2833">
        <v>93</v>
      </c>
      <c r="S2833">
        <v>20.51</v>
      </c>
      <c r="T2833" t="str">
        <f t="shared" si="266"/>
        <v>Normal</v>
      </c>
      <c r="U2833">
        <v>74</v>
      </c>
      <c r="V2833">
        <v>95</v>
      </c>
      <c r="W2833" t="str">
        <f t="shared" si="269"/>
        <v>Normal</v>
      </c>
      <c r="X2833">
        <v>0</v>
      </c>
    </row>
    <row r="2834" spans="1:24" ht="14.5" thickBot="1" x14ac:dyDescent="0.35">
      <c r="A2834">
        <v>1</v>
      </c>
      <c r="B2834" t="str">
        <f t="shared" si="267"/>
        <v>Male</v>
      </c>
      <c r="C2834" s="8">
        <v>54</v>
      </c>
      <c r="D2834" t="str">
        <f t="shared" si="268"/>
        <v>Middle Age</v>
      </c>
      <c r="E2834">
        <v>1</v>
      </c>
      <c r="F2834" t="str">
        <f>HLOOKUP(E2834, LookUP_Table!$A$6:$D$7, 2, FALSE)</f>
        <v>Primary</v>
      </c>
      <c r="G2834" t="str">
        <f>IFERROR(VLOOKUP(E2834, LookUP_Table!$A$1:$B$4, 2, FALSE), "")</f>
        <v>Primary</v>
      </c>
      <c r="H2834">
        <v>0</v>
      </c>
      <c r="I2834">
        <v>0</v>
      </c>
      <c r="J2834" t="str">
        <f t="shared" si="264"/>
        <v>Non-Smoker</v>
      </c>
      <c r="K2834">
        <v>0</v>
      </c>
      <c r="L2834">
        <v>0</v>
      </c>
      <c r="M2834">
        <v>0</v>
      </c>
      <c r="N2834">
        <v>0</v>
      </c>
      <c r="O2834">
        <v>206</v>
      </c>
      <c r="P2834" t="str">
        <f t="shared" si="265"/>
        <v>Normal</v>
      </c>
      <c r="Q2834">
        <v>141</v>
      </c>
      <c r="R2834">
        <v>92</v>
      </c>
      <c r="S2834">
        <v>35.85</v>
      </c>
      <c r="T2834" t="str">
        <f t="shared" si="266"/>
        <v>Obese</v>
      </c>
      <c r="U2834">
        <v>75</v>
      </c>
      <c r="V2834">
        <v>120</v>
      </c>
      <c r="W2834" t="str">
        <f t="shared" si="269"/>
        <v>Prediabetes</v>
      </c>
      <c r="X2834">
        <v>0</v>
      </c>
    </row>
    <row r="2835" spans="1:24" ht="14.5" thickBot="1" x14ac:dyDescent="0.35">
      <c r="A2835">
        <v>0</v>
      </c>
      <c r="B2835" t="str">
        <f t="shared" si="267"/>
        <v>Female</v>
      </c>
      <c r="C2835" s="8">
        <v>54</v>
      </c>
      <c r="D2835" t="str">
        <f t="shared" si="268"/>
        <v>Middle Age</v>
      </c>
      <c r="E2835">
        <v>1</v>
      </c>
      <c r="F2835" t="str">
        <f>HLOOKUP(E2835, LookUP_Table!$A$6:$D$7, 2, FALSE)</f>
        <v>Primary</v>
      </c>
      <c r="G2835" t="str">
        <f>IFERROR(VLOOKUP(E2835, LookUP_Table!$A$1:$B$4, 2, FALSE), "")</f>
        <v>Primary</v>
      </c>
      <c r="H2835">
        <v>0</v>
      </c>
      <c r="I2835">
        <v>0</v>
      </c>
      <c r="J2835" t="str">
        <f t="shared" si="264"/>
        <v>Non-Smoker</v>
      </c>
      <c r="K2835">
        <v>0</v>
      </c>
      <c r="L2835">
        <v>0</v>
      </c>
      <c r="M2835">
        <v>0</v>
      </c>
      <c r="N2835">
        <v>0</v>
      </c>
      <c r="O2835">
        <v>218</v>
      </c>
      <c r="P2835" t="str">
        <f t="shared" si="265"/>
        <v>Normal</v>
      </c>
      <c r="Q2835">
        <v>130</v>
      </c>
      <c r="R2835">
        <v>85</v>
      </c>
      <c r="S2835">
        <v>20.55</v>
      </c>
      <c r="T2835" t="str">
        <f t="shared" si="266"/>
        <v>Normal</v>
      </c>
      <c r="U2835">
        <v>72</v>
      </c>
      <c r="V2835">
        <v>85</v>
      </c>
      <c r="W2835" t="str">
        <f t="shared" si="269"/>
        <v>Normal</v>
      </c>
      <c r="X2835">
        <v>0</v>
      </c>
    </row>
    <row r="2836" spans="1:24" ht="14.5" thickBot="1" x14ac:dyDescent="0.35">
      <c r="A2836">
        <v>1</v>
      </c>
      <c r="B2836" t="str">
        <f t="shared" si="267"/>
        <v>Male</v>
      </c>
      <c r="C2836" s="8">
        <v>54</v>
      </c>
      <c r="D2836" t="str">
        <f t="shared" si="268"/>
        <v>Middle Age</v>
      </c>
      <c r="E2836">
        <v>3</v>
      </c>
      <c r="F2836" t="str">
        <f>HLOOKUP(E2836, LookUP_Table!$A$6:$D$7, 2, FALSE)</f>
        <v>Graduate</v>
      </c>
      <c r="G2836" t="str">
        <f>IFERROR(VLOOKUP(E2836, LookUP_Table!$A$1:$B$4, 2, FALSE), "")</f>
        <v>Graduate</v>
      </c>
      <c r="H2836">
        <v>1</v>
      </c>
      <c r="I2836">
        <v>29</v>
      </c>
      <c r="J2836" t="str">
        <f t="shared" si="264"/>
        <v>Smoker</v>
      </c>
      <c r="K2836">
        <v>0</v>
      </c>
      <c r="L2836">
        <v>0</v>
      </c>
      <c r="M2836">
        <v>0</v>
      </c>
      <c r="N2836">
        <v>0</v>
      </c>
      <c r="O2836">
        <v>211</v>
      </c>
      <c r="P2836" t="str">
        <f t="shared" si="265"/>
        <v>Normal</v>
      </c>
      <c r="Q2836">
        <v>120</v>
      </c>
      <c r="R2836">
        <v>72</v>
      </c>
      <c r="S2836">
        <v>25.13</v>
      </c>
      <c r="T2836" t="str">
        <f t="shared" si="266"/>
        <v>Overweight</v>
      </c>
      <c r="U2836">
        <v>77</v>
      </c>
      <c r="V2836">
        <v>60</v>
      </c>
      <c r="W2836" t="str">
        <f t="shared" si="269"/>
        <v>Normal</v>
      </c>
      <c r="X2836">
        <v>0</v>
      </c>
    </row>
    <row r="2837" spans="1:24" ht="14.5" thickBot="1" x14ac:dyDescent="0.35">
      <c r="A2837">
        <v>0</v>
      </c>
      <c r="B2837" t="str">
        <f t="shared" si="267"/>
        <v>Female</v>
      </c>
      <c r="C2837" s="8">
        <v>54</v>
      </c>
      <c r="D2837" t="str">
        <f t="shared" si="268"/>
        <v>Middle Age</v>
      </c>
      <c r="E2837">
        <v>1</v>
      </c>
      <c r="F2837" t="str">
        <f>HLOOKUP(E2837, LookUP_Table!$A$6:$D$7, 2, FALSE)</f>
        <v>Primary</v>
      </c>
      <c r="G2837" t="str">
        <f>IFERROR(VLOOKUP(E2837, LookUP_Table!$A$1:$B$4, 2, FALSE), "")</f>
        <v>Primary</v>
      </c>
      <c r="H2837">
        <v>0</v>
      </c>
      <c r="I2837">
        <v>0</v>
      </c>
      <c r="J2837" t="str">
        <f t="shared" si="264"/>
        <v>Non-Smoker</v>
      </c>
      <c r="K2837">
        <v>0</v>
      </c>
      <c r="L2837">
        <v>0</v>
      </c>
      <c r="M2837">
        <v>1</v>
      </c>
      <c r="N2837">
        <v>0</v>
      </c>
      <c r="O2837">
        <v>302</v>
      </c>
      <c r="P2837" t="str">
        <f t="shared" si="265"/>
        <v>High</v>
      </c>
      <c r="Q2837">
        <v>160</v>
      </c>
      <c r="R2837">
        <v>94</v>
      </c>
      <c r="S2837">
        <v>29.4</v>
      </c>
      <c r="T2837" t="str">
        <f t="shared" si="266"/>
        <v>Overweight</v>
      </c>
      <c r="U2837">
        <v>75</v>
      </c>
      <c r="V2837">
        <v>75</v>
      </c>
      <c r="W2837" t="str">
        <f t="shared" si="269"/>
        <v>Normal</v>
      </c>
      <c r="X2837">
        <v>0</v>
      </c>
    </row>
    <row r="2838" spans="1:24" ht="14.5" thickBot="1" x14ac:dyDescent="0.35">
      <c r="A2838">
        <v>1</v>
      </c>
      <c r="B2838" t="str">
        <f t="shared" si="267"/>
        <v>Male</v>
      </c>
      <c r="C2838" s="8">
        <v>54</v>
      </c>
      <c r="D2838" t="str">
        <f t="shared" si="268"/>
        <v>Middle Age</v>
      </c>
      <c r="E2838">
        <v>1</v>
      </c>
      <c r="F2838" t="str">
        <f>HLOOKUP(E2838, LookUP_Table!$A$6:$D$7, 2, FALSE)</f>
        <v>Primary</v>
      </c>
      <c r="G2838" t="str">
        <f>IFERROR(VLOOKUP(E2838, LookUP_Table!$A$1:$B$4, 2, FALSE), "")</f>
        <v>Primary</v>
      </c>
      <c r="H2838">
        <v>0</v>
      </c>
      <c r="I2838">
        <v>0</v>
      </c>
      <c r="J2838" t="str">
        <f t="shared" si="264"/>
        <v>Non-Smoker</v>
      </c>
      <c r="K2838">
        <v>0</v>
      </c>
      <c r="L2838">
        <v>0</v>
      </c>
      <c r="M2838">
        <v>0</v>
      </c>
      <c r="N2838">
        <v>0</v>
      </c>
      <c r="O2838">
        <v>179</v>
      </c>
      <c r="P2838" t="str">
        <f t="shared" si="265"/>
        <v>Normal</v>
      </c>
      <c r="Q2838">
        <v>103</v>
      </c>
      <c r="R2838">
        <v>73</v>
      </c>
      <c r="S2838">
        <v>21.03</v>
      </c>
      <c r="T2838" t="str">
        <f t="shared" si="266"/>
        <v>Normal</v>
      </c>
      <c r="U2838">
        <v>60</v>
      </c>
      <c r="V2838">
        <v>84</v>
      </c>
      <c r="W2838" t="str">
        <f t="shared" si="269"/>
        <v>Normal</v>
      </c>
      <c r="X2838">
        <v>0</v>
      </c>
    </row>
    <row r="2839" spans="1:24" ht="14.5" thickBot="1" x14ac:dyDescent="0.35">
      <c r="A2839">
        <v>0</v>
      </c>
      <c r="B2839" t="str">
        <f t="shared" si="267"/>
        <v>Female</v>
      </c>
      <c r="C2839" s="8">
        <v>54</v>
      </c>
      <c r="D2839" t="str">
        <f t="shared" si="268"/>
        <v>Middle Age</v>
      </c>
      <c r="E2839">
        <v>1</v>
      </c>
      <c r="F2839" t="str">
        <f>HLOOKUP(E2839, LookUP_Table!$A$6:$D$7, 2, FALSE)</f>
        <v>Primary</v>
      </c>
      <c r="G2839" t="str">
        <f>IFERROR(VLOOKUP(E2839, LookUP_Table!$A$1:$B$4, 2, FALSE), "")</f>
        <v>Primary</v>
      </c>
      <c r="H2839">
        <v>1</v>
      </c>
      <c r="I2839">
        <v>5</v>
      </c>
      <c r="J2839" t="str">
        <f t="shared" si="264"/>
        <v>Smoker</v>
      </c>
      <c r="K2839">
        <v>0</v>
      </c>
      <c r="L2839">
        <v>0</v>
      </c>
      <c r="M2839">
        <v>1</v>
      </c>
      <c r="N2839">
        <v>0</v>
      </c>
      <c r="O2839">
        <v>298</v>
      </c>
      <c r="P2839" t="str">
        <f t="shared" si="265"/>
        <v>High</v>
      </c>
      <c r="Q2839">
        <v>151.5</v>
      </c>
      <c r="R2839">
        <v>96.5</v>
      </c>
      <c r="S2839">
        <v>30.29</v>
      </c>
      <c r="T2839" t="str">
        <f t="shared" si="266"/>
        <v>Obese</v>
      </c>
      <c r="U2839">
        <v>64</v>
      </c>
      <c r="V2839">
        <v>77</v>
      </c>
      <c r="W2839" t="str">
        <f t="shared" si="269"/>
        <v>Normal</v>
      </c>
      <c r="X2839">
        <v>0</v>
      </c>
    </row>
    <row r="2840" spans="1:24" ht="14.5" thickBot="1" x14ac:dyDescent="0.35">
      <c r="A2840">
        <v>0</v>
      </c>
      <c r="B2840" t="str">
        <f t="shared" si="267"/>
        <v>Female</v>
      </c>
      <c r="C2840" s="8">
        <v>54</v>
      </c>
      <c r="D2840" t="str">
        <f t="shared" si="268"/>
        <v>Middle Age</v>
      </c>
      <c r="E2840">
        <v>1</v>
      </c>
      <c r="F2840" t="str">
        <f>HLOOKUP(E2840, LookUP_Table!$A$6:$D$7, 2, FALSE)</f>
        <v>Primary</v>
      </c>
      <c r="G2840" t="str">
        <f>IFERROR(VLOOKUP(E2840, LookUP_Table!$A$1:$B$4, 2, FALSE), "")</f>
        <v>Primary</v>
      </c>
      <c r="H2840">
        <v>1</v>
      </c>
      <c r="I2840">
        <v>5</v>
      </c>
      <c r="J2840" t="str">
        <f t="shared" si="264"/>
        <v>Smoker</v>
      </c>
      <c r="K2840">
        <v>0</v>
      </c>
      <c r="L2840">
        <v>0</v>
      </c>
      <c r="M2840">
        <v>1</v>
      </c>
      <c r="N2840">
        <v>0</v>
      </c>
      <c r="O2840">
        <v>209</v>
      </c>
      <c r="P2840" t="str">
        <f t="shared" si="265"/>
        <v>Normal</v>
      </c>
      <c r="Q2840">
        <v>139</v>
      </c>
      <c r="R2840">
        <v>75</v>
      </c>
      <c r="S2840">
        <v>25.82</v>
      </c>
      <c r="T2840" t="str">
        <f t="shared" si="266"/>
        <v>Overweight</v>
      </c>
      <c r="U2840">
        <v>72</v>
      </c>
      <c r="V2840">
        <v>95</v>
      </c>
      <c r="W2840" t="str">
        <f t="shared" si="269"/>
        <v>Normal</v>
      </c>
      <c r="X2840">
        <v>0</v>
      </c>
    </row>
    <row r="2841" spans="1:24" ht="14.5" thickBot="1" x14ac:dyDescent="0.35">
      <c r="A2841">
        <v>1</v>
      </c>
      <c r="B2841" t="str">
        <f t="shared" si="267"/>
        <v>Male</v>
      </c>
      <c r="C2841" s="8">
        <v>54</v>
      </c>
      <c r="D2841" t="str">
        <f t="shared" si="268"/>
        <v>Middle Age</v>
      </c>
      <c r="E2841">
        <v>1</v>
      </c>
      <c r="F2841" t="str">
        <f>HLOOKUP(E2841, LookUP_Table!$A$6:$D$7, 2, FALSE)</f>
        <v>Primary</v>
      </c>
      <c r="G2841" t="str">
        <f>IFERROR(VLOOKUP(E2841, LookUP_Table!$A$1:$B$4, 2, FALSE), "")</f>
        <v>Primary</v>
      </c>
      <c r="H2841">
        <v>1</v>
      </c>
      <c r="I2841">
        <v>35</v>
      </c>
      <c r="J2841" t="str">
        <f t="shared" si="264"/>
        <v>Smoker</v>
      </c>
      <c r="K2841">
        <v>0</v>
      </c>
      <c r="L2841">
        <v>0</v>
      </c>
      <c r="M2841">
        <v>0</v>
      </c>
      <c r="N2841">
        <v>0</v>
      </c>
      <c r="O2841">
        <v>240</v>
      </c>
      <c r="P2841" t="str">
        <f t="shared" si="265"/>
        <v>Normal</v>
      </c>
      <c r="Q2841">
        <v>146</v>
      </c>
      <c r="R2841">
        <v>91</v>
      </c>
      <c r="S2841">
        <v>24.41</v>
      </c>
      <c r="T2841" t="str">
        <f t="shared" si="266"/>
        <v>Normal</v>
      </c>
      <c r="U2841">
        <v>82</v>
      </c>
      <c r="V2841">
        <v>70</v>
      </c>
      <c r="W2841" t="str">
        <f t="shared" si="269"/>
        <v>Normal</v>
      </c>
      <c r="X2841">
        <v>0</v>
      </c>
    </row>
    <row r="2842" spans="1:24" ht="14.5" thickBot="1" x14ac:dyDescent="0.35">
      <c r="A2842">
        <v>0</v>
      </c>
      <c r="B2842" t="str">
        <f t="shared" si="267"/>
        <v>Female</v>
      </c>
      <c r="C2842" s="8">
        <v>54</v>
      </c>
      <c r="D2842" t="str">
        <f t="shared" si="268"/>
        <v>Middle Age</v>
      </c>
      <c r="E2842">
        <v>1</v>
      </c>
      <c r="F2842" t="str">
        <f>HLOOKUP(E2842, LookUP_Table!$A$6:$D$7, 2, FALSE)</f>
        <v>Primary</v>
      </c>
      <c r="G2842" t="str">
        <f>IFERROR(VLOOKUP(E2842, LookUP_Table!$A$1:$B$4, 2, FALSE), "")</f>
        <v>Primary</v>
      </c>
      <c r="H2842">
        <v>0</v>
      </c>
      <c r="I2842">
        <v>0</v>
      </c>
      <c r="J2842" t="str">
        <f t="shared" si="264"/>
        <v>Non-Smoker</v>
      </c>
      <c r="K2842">
        <v>0</v>
      </c>
      <c r="L2842">
        <v>0</v>
      </c>
      <c r="M2842">
        <v>1</v>
      </c>
      <c r="N2842">
        <v>0</v>
      </c>
      <c r="O2842">
        <v>226</v>
      </c>
      <c r="P2842" t="str">
        <f t="shared" si="265"/>
        <v>Normal</v>
      </c>
      <c r="Q2842">
        <v>148</v>
      </c>
      <c r="R2842">
        <v>89</v>
      </c>
      <c r="S2842">
        <v>34.130000000000003</v>
      </c>
      <c r="T2842" t="str">
        <f t="shared" si="266"/>
        <v>Obese</v>
      </c>
      <c r="U2842">
        <v>68</v>
      </c>
      <c r="V2842">
        <v>92</v>
      </c>
      <c r="W2842" t="str">
        <f t="shared" si="269"/>
        <v>Normal</v>
      </c>
      <c r="X2842">
        <v>0</v>
      </c>
    </row>
    <row r="2843" spans="1:24" ht="14.5" thickBot="1" x14ac:dyDescent="0.35">
      <c r="A2843">
        <v>1</v>
      </c>
      <c r="B2843" t="str">
        <f t="shared" si="267"/>
        <v>Male</v>
      </c>
      <c r="C2843" s="8">
        <v>54</v>
      </c>
      <c r="D2843" t="str">
        <f t="shared" si="268"/>
        <v>Middle Age</v>
      </c>
      <c r="E2843">
        <v>1</v>
      </c>
      <c r="F2843" t="str">
        <f>HLOOKUP(E2843, LookUP_Table!$A$6:$D$7, 2, FALSE)</f>
        <v>Primary</v>
      </c>
      <c r="G2843" t="str">
        <f>IFERROR(VLOOKUP(E2843, LookUP_Table!$A$1:$B$4, 2, FALSE), "")</f>
        <v>Primary</v>
      </c>
      <c r="H2843">
        <v>1</v>
      </c>
      <c r="I2843">
        <v>30</v>
      </c>
      <c r="J2843" t="str">
        <f t="shared" si="264"/>
        <v>Smoker</v>
      </c>
      <c r="K2843">
        <v>0</v>
      </c>
      <c r="L2843">
        <v>0</v>
      </c>
      <c r="M2843">
        <v>0</v>
      </c>
      <c r="N2843">
        <v>0</v>
      </c>
      <c r="O2843">
        <v>333</v>
      </c>
      <c r="P2843" t="str">
        <f t="shared" si="265"/>
        <v>High</v>
      </c>
      <c r="Q2843">
        <v>127</v>
      </c>
      <c r="R2843">
        <v>74</v>
      </c>
      <c r="S2843">
        <v>27.97</v>
      </c>
      <c r="T2843" t="str">
        <f t="shared" si="266"/>
        <v>Overweight</v>
      </c>
      <c r="U2843">
        <v>90</v>
      </c>
      <c r="V2843">
        <v>62</v>
      </c>
      <c r="W2843" t="str">
        <f t="shared" si="269"/>
        <v>Normal</v>
      </c>
      <c r="X2843">
        <v>1</v>
      </c>
    </row>
    <row r="2844" spans="1:24" ht="14.5" thickBot="1" x14ac:dyDescent="0.35">
      <c r="A2844">
        <v>0</v>
      </c>
      <c r="B2844" t="str">
        <f t="shared" si="267"/>
        <v>Female</v>
      </c>
      <c r="C2844" s="8">
        <v>54</v>
      </c>
      <c r="D2844" t="str">
        <f t="shared" si="268"/>
        <v>Middle Age</v>
      </c>
      <c r="E2844">
        <v>1</v>
      </c>
      <c r="F2844" t="str">
        <f>HLOOKUP(E2844, LookUP_Table!$A$6:$D$7, 2, FALSE)</f>
        <v>Primary</v>
      </c>
      <c r="G2844" t="str">
        <f>IFERROR(VLOOKUP(E2844, LookUP_Table!$A$1:$B$4, 2, FALSE), "")</f>
        <v>Primary</v>
      </c>
      <c r="H2844">
        <v>0</v>
      </c>
      <c r="I2844">
        <v>0</v>
      </c>
      <c r="J2844" t="str">
        <f t="shared" si="264"/>
        <v>Non-Smoker</v>
      </c>
      <c r="K2844">
        <v>0</v>
      </c>
      <c r="L2844">
        <v>0</v>
      </c>
      <c r="M2844">
        <v>1</v>
      </c>
      <c r="N2844">
        <v>0</v>
      </c>
      <c r="O2844">
        <v>293</v>
      </c>
      <c r="P2844" t="str">
        <f t="shared" si="265"/>
        <v>High</v>
      </c>
      <c r="Q2844">
        <v>132</v>
      </c>
      <c r="R2844">
        <v>84</v>
      </c>
      <c r="S2844">
        <v>26.81</v>
      </c>
      <c r="T2844" t="str">
        <f t="shared" si="266"/>
        <v>Overweight</v>
      </c>
      <c r="U2844">
        <v>80</v>
      </c>
      <c r="V2844">
        <v>81.96365524402907</v>
      </c>
      <c r="W2844" t="str">
        <f t="shared" si="269"/>
        <v>Normal</v>
      </c>
      <c r="X2844">
        <v>0</v>
      </c>
    </row>
    <row r="2845" spans="1:24" ht="14.5" thickBot="1" x14ac:dyDescent="0.35">
      <c r="A2845">
        <v>1</v>
      </c>
      <c r="B2845" t="str">
        <f t="shared" si="267"/>
        <v>Male</v>
      </c>
      <c r="C2845" s="8">
        <v>54</v>
      </c>
      <c r="D2845" t="str">
        <f t="shared" si="268"/>
        <v>Middle Age</v>
      </c>
      <c r="E2845">
        <v>2</v>
      </c>
      <c r="F2845" t="str">
        <f>HLOOKUP(E2845, LookUP_Table!$A$6:$D$7, 2, FALSE)</f>
        <v>Secondary</v>
      </c>
      <c r="G2845" t="str">
        <f>IFERROR(VLOOKUP(E2845, LookUP_Table!$A$1:$B$4, 2, FALSE), "")</f>
        <v>Secondary</v>
      </c>
      <c r="H2845">
        <v>1</v>
      </c>
      <c r="I2845">
        <v>30</v>
      </c>
      <c r="J2845" t="str">
        <f t="shared" si="264"/>
        <v>Smoker</v>
      </c>
      <c r="K2845">
        <v>0</v>
      </c>
      <c r="L2845">
        <v>0</v>
      </c>
      <c r="M2845">
        <v>0</v>
      </c>
      <c r="N2845">
        <v>0</v>
      </c>
      <c r="O2845">
        <v>219</v>
      </c>
      <c r="P2845" t="str">
        <f t="shared" si="265"/>
        <v>Normal</v>
      </c>
      <c r="Q2845">
        <v>113</v>
      </c>
      <c r="R2845">
        <v>70</v>
      </c>
      <c r="S2845">
        <v>20.41</v>
      </c>
      <c r="T2845" t="str">
        <f t="shared" si="266"/>
        <v>Normal</v>
      </c>
      <c r="U2845">
        <v>80</v>
      </c>
      <c r="V2845">
        <v>53</v>
      </c>
      <c r="W2845" t="str">
        <f t="shared" si="269"/>
        <v>Normal</v>
      </c>
      <c r="X2845">
        <v>0</v>
      </c>
    </row>
    <row r="2846" spans="1:24" ht="14.5" thickBot="1" x14ac:dyDescent="0.35">
      <c r="A2846">
        <v>1</v>
      </c>
      <c r="B2846" t="str">
        <f t="shared" si="267"/>
        <v>Male</v>
      </c>
      <c r="C2846" s="8">
        <v>54</v>
      </c>
      <c r="D2846" t="str">
        <f t="shared" si="268"/>
        <v>Middle Age</v>
      </c>
      <c r="E2846">
        <v>2</v>
      </c>
      <c r="F2846" t="str">
        <f>HLOOKUP(E2846, LookUP_Table!$A$6:$D$7, 2, FALSE)</f>
        <v>Secondary</v>
      </c>
      <c r="G2846" t="str">
        <f>IFERROR(VLOOKUP(E2846, LookUP_Table!$A$1:$B$4, 2, FALSE), "")</f>
        <v>Secondary</v>
      </c>
      <c r="H2846">
        <v>1</v>
      </c>
      <c r="I2846">
        <v>20</v>
      </c>
      <c r="J2846" t="str">
        <f t="shared" si="264"/>
        <v>Smoker</v>
      </c>
      <c r="K2846">
        <v>0</v>
      </c>
      <c r="L2846">
        <v>0</v>
      </c>
      <c r="M2846">
        <v>0</v>
      </c>
      <c r="N2846">
        <v>0</v>
      </c>
      <c r="O2846">
        <v>215</v>
      </c>
      <c r="P2846" t="str">
        <f t="shared" si="265"/>
        <v>Normal</v>
      </c>
      <c r="Q2846">
        <v>120</v>
      </c>
      <c r="R2846">
        <v>85</v>
      </c>
      <c r="S2846">
        <v>29.93</v>
      </c>
      <c r="T2846" t="str">
        <f t="shared" si="266"/>
        <v>Overweight</v>
      </c>
      <c r="U2846">
        <v>62</v>
      </c>
      <c r="V2846">
        <v>75</v>
      </c>
      <c r="W2846" t="str">
        <f t="shared" si="269"/>
        <v>Normal</v>
      </c>
      <c r="X2846">
        <v>0</v>
      </c>
    </row>
    <row r="2847" spans="1:24" ht="14.5" thickBot="1" x14ac:dyDescent="0.35">
      <c r="A2847">
        <v>0</v>
      </c>
      <c r="B2847" t="str">
        <f t="shared" si="267"/>
        <v>Female</v>
      </c>
      <c r="C2847" s="8">
        <v>54</v>
      </c>
      <c r="D2847" t="str">
        <f t="shared" si="268"/>
        <v>Middle Age</v>
      </c>
      <c r="E2847">
        <v>3</v>
      </c>
      <c r="F2847" t="str">
        <f>HLOOKUP(E2847, LookUP_Table!$A$6:$D$7, 2, FALSE)</f>
        <v>Graduate</v>
      </c>
      <c r="G2847" t="str">
        <f>IFERROR(VLOOKUP(E2847, LookUP_Table!$A$1:$B$4, 2, FALSE), "")</f>
        <v>Graduate</v>
      </c>
      <c r="H2847">
        <v>0</v>
      </c>
      <c r="I2847">
        <v>0</v>
      </c>
      <c r="J2847" t="str">
        <f t="shared" si="264"/>
        <v>Non-Smoker</v>
      </c>
      <c r="K2847">
        <v>0</v>
      </c>
      <c r="L2847">
        <v>0</v>
      </c>
      <c r="M2847">
        <v>0</v>
      </c>
      <c r="N2847">
        <v>0</v>
      </c>
      <c r="O2847">
        <v>286</v>
      </c>
      <c r="P2847" t="str">
        <f t="shared" si="265"/>
        <v>High</v>
      </c>
      <c r="Q2847">
        <v>110</v>
      </c>
      <c r="R2847">
        <v>74</v>
      </c>
      <c r="S2847">
        <v>26.28</v>
      </c>
      <c r="T2847" t="str">
        <f t="shared" si="266"/>
        <v>Overweight</v>
      </c>
      <c r="U2847">
        <v>65</v>
      </c>
      <c r="V2847">
        <v>90</v>
      </c>
      <c r="W2847" t="str">
        <f t="shared" si="269"/>
        <v>Normal</v>
      </c>
      <c r="X2847">
        <v>0</v>
      </c>
    </row>
    <row r="2848" spans="1:24" ht="14.5" thickBot="1" x14ac:dyDescent="0.35">
      <c r="A2848">
        <v>0</v>
      </c>
      <c r="B2848" t="str">
        <f t="shared" si="267"/>
        <v>Female</v>
      </c>
      <c r="C2848" s="8">
        <v>54</v>
      </c>
      <c r="D2848" t="str">
        <f t="shared" si="268"/>
        <v>Middle Age</v>
      </c>
      <c r="E2848">
        <v>3</v>
      </c>
      <c r="F2848" t="str">
        <f>HLOOKUP(E2848, LookUP_Table!$A$6:$D$7, 2, FALSE)</f>
        <v>Graduate</v>
      </c>
      <c r="G2848" t="str">
        <f>IFERROR(VLOOKUP(E2848, LookUP_Table!$A$1:$B$4, 2, FALSE), "")</f>
        <v>Graduate</v>
      </c>
      <c r="H2848">
        <v>0</v>
      </c>
      <c r="I2848">
        <v>0</v>
      </c>
      <c r="J2848" t="str">
        <f t="shared" si="264"/>
        <v>Non-Smoker</v>
      </c>
      <c r="K2848">
        <v>0</v>
      </c>
      <c r="L2848">
        <v>0</v>
      </c>
      <c r="M2848">
        <v>1</v>
      </c>
      <c r="N2848">
        <v>0</v>
      </c>
      <c r="O2848">
        <v>227</v>
      </c>
      <c r="P2848" t="str">
        <f t="shared" si="265"/>
        <v>Normal</v>
      </c>
      <c r="Q2848">
        <v>168</v>
      </c>
      <c r="R2848">
        <v>94</v>
      </c>
      <c r="S2848">
        <v>22.7</v>
      </c>
      <c r="T2848" t="str">
        <f t="shared" si="266"/>
        <v>Normal</v>
      </c>
      <c r="U2848">
        <v>75</v>
      </c>
      <c r="V2848">
        <v>70</v>
      </c>
      <c r="W2848" t="str">
        <f t="shared" si="269"/>
        <v>Normal</v>
      </c>
      <c r="X2848">
        <v>0</v>
      </c>
    </row>
    <row r="2849" spans="1:24" ht="14.5" thickBot="1" x14ac:dyDescent="0.35">
      <c r="A2849">
        <v>0</v>
      </c>
      <c r="B2849" t="str">
        <f t="shared" si="267"/>
        <v>Female</v>
      </c>
      <c r="C2849" s="8">
        <v>54</v>
      </c>
      <c r="D2849" t="str">
        <f t="shared" si="268"/>
        <v>Middle Age</v>
      </c>
      <c r="E2849">
        <v>2</v>
      </c>
      <c r="F2849" t="str">
        <f>HLOOKUP(E2849, LookUP_Table!$A$6:$D$7, 2, FALSE)</f>
        <v>Secondary</v>
      </c>
      <c r="G2849" t="str">
        <f>IFERROR(VLOOKUP(E2849, LookUP_Table!$A$1:$B$4, 2, FALSE), "")</f>
        <v>Secondary</v>
      </c>
      <c r="H2849">
        <v>0</v>
      </c>
      <c r="I2849">
        <v>0</v>
      </c>
      <c r="J2849" t="str">
        <f t="shared" si="264"/>
        <v>Non-Smoker</v>
      </c>
      <c r="K2849">
        <v>0</v>
      </c>
      <c r="L2849">
        <v>1</v>
      </c>
      <c r="M2849">
        <v>0</v>
      </c>
      <c r="N2849">
        <v>0</v>
      </c>
      <c r="O2849">
        <v>321</v>
      </c>
      <c r="P2849" t="str">
        <f t="shared" si="265"/>
        <v>High</v>
      </c>
      <c r="Q2849">
        <v>150</v>
      </c>
      <c r="R2849">
        <v>93</v>
      </c>
      <c r="S2849">
        <v>22.5</v>
      </c>
      <c r="T2849" t="str">
        <f t="shared" si="266"/>
        <v>Normal</v>
      </c>
      <c r="U2849">
        <v>75</v>
      </c>
      <c r="V2849">
        <v>131</v>
      </c>
      <c r="W2849" t="str">
        <f t="shared" si="269"/>
        <v>Diabetes</v>
      </c>
      <c r="X2849">
        <v>0</v>
      </c>
    </row>
    <row r="2850" spans="1:24" ht="14.5" thickBot="1" x14ac:dyDescent="0.35">
      <c r="A2850">
        <v>1</v>
      </c>
      <c r="B2850" t="str">
        <f t="shared" si="267"/>
        <v>Male</v>
      </c>
      <c r="C2850" s="8">
        <v>54</v>
      </c>
      <c r="D2850" t="str">
        <f t="shared" si="268"/>
        <v>Middle Age</v>
      </c>
      <c r="E2850">
        <v>4</v>
      </c>
      <c r="F2850" t="str">
        <f>HLOOKUP(E2850, LookUP_Table!$A$6:$D$7, 2, FALSE)</f>
        <v>Post Graduate</v>
      </c>
      <c r="G2850" t="str">
        <f>IFERROR(VLOOKUP(E2850, LookUP_Table!$A$1:$B$4, 2, FALSE), "")</f>
        <v>Post Graduate</v>
      </c>
      <c r="H2850">
        <v>0</v>
      </c>
      <c r="I2850">
        <v>0</v>
      </c>
      <c r="J2850" t="str">
        <f t="shared" si="264"/>
        <v>Non-Smoker</v>
      </c>
      <c r="K2850">
        <v>0</v>
      </c>
      <c r="L2850">
        <v>0</v>
      </c>
      <c r="M2850">
        <v>1</v>
      </c>
      <c r="N2850">
        <v>0</v>
      </c>
      <c r="O2850">
        <v>225</v>
      </c>
      <c r="P2850" t="str">
        <f t="shared" si="265"/>
        <v>Normal</v>
      </c>
      <c r="Q2850">
        <v>134.5</v>
      </c>
      <c r="R2850">
        <v>92.5</v>
      </c>
      <c r="S2850">
        <v>30.62</v>
      </c>
      <c r="T2850" t="str">
        <f t="shared" si="266"/>
        <v>Obese</v>
      </c>
      <c r="U2850">
        <v>78</v>
      </c>
      <c r="V2850">
        <v>69</v>
      </c>
      <c r="W2850" t="str">
        <f t="shared" si="269"/>
        <v>Normal</v>
      </c>
      <c r="X2850">
        <v>0</v>
      </c>
    </row>
    <row r="2851" spans="1:24" ht="14.5" thickBot="1" x14ac:dyDescent="0.35">
      <c r="A2851">
        <v>1</v>
      </c>
      <c r="B2851" t="str">
        <f t="shared" si="267"/>
        <v>Male</v>
      </c>
      <c r="C2851" s="8">
        <v>54</v>
      </c>
      <c r="D2851" t="str">
        <f t="shared" si="268"/>
        <v>Middle Age</v>
      </c>
      <c r="E2851">
        <v>1</v>
      </c>
      <c r="F2851" t="str">
        <f>HLOOKUP(E2851, LookUP_Table!$A$6:$D$7, 2, FALSE)</f>
        <v>Primary</v>
      </c>
      <c r="G2851" t="str">
        <f>IFERROR(VLOOKUP(E2851, LookUP_Table!$A$1:$B$4, 2, FALSE), "")</f>
        <v>Primary</v>
      </c>
      <c r="H2851">
        <v>1</v>
      </c>
      <c r="I2851">
        <v>30</v>
      </c>
      <c r="J2851" t="str">
        <f t="shared" si="264"/>
        <v>Smoker</v>
      </c>
      <c r="K2851">
        <v>0</v>
      </c>
      <c r="L2851">
        <v>0</v>
      </c>
      <c r="M2851">
        <v>1</v>
      </c>
      <c r="N2851">
        <v>0</v>
      </c>
      <c r="O2851">
        <v>255</v>
      </c>
      <c r="P2851" t="str">
        <f t="shared" si="265"/>
        <v>High</v>
      </c>
      <c r="Q2851">
        <v>149</v>
      </c>
      <c r="R2851">
        <v>86</v>
      </c>
      <c r="S2851">
        <v>20.12</v>
      </c>
      <c r="T2851" t="str">
        <f t="shared" si="266"/>
        <v>Normal</v>
      </c>
      <c r="U2851">
        <v>98</v>
      </c>
      <c r="V2851">
        <v>65</v>
      </c>
      <c r="W2851" t="str">
        <f t="shared" si="269"/>
        <v>Normal</v>
      </c>
      <c r="X2851">
        <v>0</v>
      </c>
    </row>
    <row r="2852" spans="1:24" ht="14.5" thickBot="1" x14ac:dyDescent="0.35">
      <c r="A2852">
        <v>0</v>
      </c>
      <c r="B2852" t="str">
        <f t="shared" si="267"/>
        <v>Female</v>
      </c>
      <c r="C2852" s="8">
        <v>54</v>
      </c>
      <c r="D2852" t="str">
        <f t="shared" si="268"/>
        <v>Middle Age</v>
      </c>
      <c r="E2852">
        <v>3</v>
      </c>
      <c r="F2852" t="str">
        <f>HLOOKUP(E2852, LookUP_Table!$A$6:$D$7, 2, FALSE)</f>
        <v>Graduate</v>
      </c>
      <c r="G2852" t="str">
        <f>IFERROR(VLOOKUP(E2852, LookUP_Table!$A$1:$B$4, 2, FALSE), "")</f>
        <v>Graduate</v>
      </c>
      <c r="H2852">
        <v>0</v>
      </c>
      <c r="I2852">
        <v>0</v>
      </c>
      <c r="J2852" t="str">
        <f t="shared" si="264"/>
        <v>Non-Smoker</v>
      </c>
      <c r="K2852">
        <v>0</v>
      </c>
      <c r="L2852">
        <v>0</v>
      </c>
      <c r="M2852">
        <v>0</v>
      </c>
      <c r="N2852">
        <v>0</v>
      </c>
      <c r="O2852">
        <v>288</v>
      </c>
      <c r="P2852" t="str">
        <f t="shared" si="265"/>
        <v>High</v>
      </c>
      <c r="Q2852">
        <v>124</v>
      </c>
      <c r="R2852">
        <v>77</v>
      </c>
      <c r="S2852">
        <v>29.88</v>
      </c>
      <c r="T2852" t="str">
        <f t="shared" si="266"/>
        <v>Overweight</v>
      </c>
      <c r="U2852">
        <v>79</v>
      </c>
      <c r="V2852">
        <v>92</v>
      </c>
      <c r="W2852" t="str">
        <f t="shared" si="269"/>
        <v>Normal</v>
      </c>
      <c r="X2852">
        <v>0</v>
      </c>
    </row>
    <row r="2853" spans="1:24" ht="14.5" thickBot="1" x14ac:dyDescent="0.35">
      <c r="A2853">
        <v>1</v>
      </c>
      <c r="B2853" t="str">
        <f t="shared" si="267"/>
        <v>Male</v>
      </c>
      <c r="C2853" s="8">
        <v>54</v>
      </c>
      <c r="D2853" t="str">
        <f t="shared" si="268"/>
        <v>Middle Age</v>
      </c>
      <c r="E2853">
        <v>3</v>
      </c>
      <c r="F2853" t="str">
        <f>HLOOKUP(E2853, LookUP_Table!$A$6:$D$7, 2, FALSE)</f>
        <v>Graduate</v>
      </c>
      <c r="G2853" t="str">
        <f>IFERROR(VLOOKUP(E2853, LookUP_Table!$A$1:$B$4, 2, FALSE), "")</f>
        <v>Graduate</v>
      </c>
      <c r="H2853">
        <v>0</v>
      </c>
      <c r="I2853">
        <v>0</v>
      </c>
      <c r="J2853" t="str">
        <f t="shared" si="264"/>
        <v>Non-Smoker</v>
      </c>
      <c r="K2853">
        <v>0</v>
      </c>
      <c r="L2853">
        <v>0</v>
      </c>
      <c r="M2853">
        <v>1</v>
      </c>
      <c r="N2853">
        <v>0</v>
      </c>
      <c r="O2853">
        <v>258</v>
      </c>
      <c r="P2853" t="str">
        <f t="shared" si="265"/>
        <v>High</v>
      </c>
      <c r="Q2853">
        <v>146</v>
      </c>
      <c r="R2853">
        <v>98.5</v>
      </c>
      <c r="S2853">
        <v>26.05</v>
      </c>
      <c r="T2853" t="str">
        <f t="shared" si="266"/>
        <v>Overweight</v>
      </c>
      <c r="U2853">
        <v>60</v>
      </c>
      <c r="V2853">
        <v>68</v>
      </c>
      <c r="W2853" t="str">
        <f t="shared" si="269"/>
        <v>Normal</v>
      </c>
      <c r="X2853">
        <v>0</v>
      </c>
    </row>
    <row r="2854" spans="1:24" ht="14.5" thickBot="1" x14ac:dyDescent="0.35">
      <c r="A2854">
        <v>1</v>
      </c>
      <c r="B2854" t="str">
        <f t="shared" si="267"/>
        <v>Male</v>
      </c>
      <c r="C2854" s="8">
        <v>54</v>
      </c>
      <c r="D2854" t="str">
        <f t="shared" si="268"/>
        <v>Middle Age</v>
      </c>
      <c r="E2854">
        <v>1</v>
      </c>
      <c r="F2854" t="str">
        <f>HLOOKUP(E2854, LookUP_Table!$A$6:$D$7, 2, FALSE)</f>
        <v>Primary</v>
      </c>
      <c r="G2854" t="str">
        <f>IFERROR(VLOOKUP(E2854, LookUP_Table!$A$1:$B$4, 2, FALSE), "")</f>
        <v>Primary</v>
      </c>
      <c r="H2854">
        <v>1</v>
      </c>
      <c r="I2854">
        <v>20</v>
      </c>
      <c r="J2854" t="str">
        <f t="shared" si="264"/>
        <v>Smoker</v>
      </c>
      <c r="K2854">
        <v>0</v>
      </c>
      <c r="L2854">
        <v>0</v>
      </c>
      <c r="M2854">
        <v>1</v>
      </c>
      <c r="N2854">
        <v>0</v>
      </c>
      <c r="O2854">
        <v>225</v>
      </c>
      <c r="P2854" t="str">
        <f t="shared" si="265"/>
        <v>Normal</v>
      </c>
      <c r="Q2854">
        <v>133</v>
      </c>
      <c r="R2854">
        <v>83</v>
      </c>
      <c r="S2854">
        <v>22.18</v>
      </c>
      <c r="T2854" t="str">
        <f t="shared" si="266"/>
        <v>Normal</v>
      </c>
      <c r="U2854">
        <v>80</v>
      </c>
      <c r="V2854">
        <v>65</v>
      </c>
      <c r="W2854" t="str">
        <f t="shared" si="269"/>
        <v>Normal</v>
      </c>
      <c r="X2854">
        <v>0</v>
      </c>
    </row>
    <row r="2855" spans="1:24" ht="14.5" thickBot="1" x14ac:dyDescent="0.35">
      <c r="A2855">
        <v>1</v>
      </c>
      <c r="B2855" t="str">
        <f t="shared" si="267"/>
        <v>Male</v>
      </c>
      <c r="C2855" s="8">
        <v>54</v>
      </c>
      <c r="D2855" t="str">
        <f t="shared" si="268"/>
        <v>Middle Age</v>
      </c>
      <c r="E2855">
        <v>1</v>
      </c>
      <c r="F2855" t="str">
        <f>HLOOKUP(E2855, LookUP_Table!$A$6:$D$7, 2, FALSE)</f>
        <v>Primary</v>
      </c>
      <c r="G2855" t="str">
        <f>IFERROR(VLOOKUP(E2855, LookUP_Table!$A$1:$B$4, 2, FALSE), "")</f>
        <v>Primary</v>
      </c>
      <c r="H2855">
        <v>0</v>
      </c>
      <c r="I2855">
        <v>0</v>
      </c>
      <c r="J2855" t="str">
        <f t="shared" si="264"/>
        <v>Non-Smoker</v>
      </c>
      <c r="K2855">
        <v>0</v>
      </c>
      <c r="L2855">
        <v>0</v>
      </c>
      <c r="M2855">
        <v>0</v>
      </c>
      <c r="N2855">
        <v>0</v>
      </c>
      <c r="O2855">
        <v>260</v>
      </c>
      <c r="P2855" t="str">
        <f t="shared" si="265"/>
        <v>High</v>
      </c>
      <c r="Q2855">
        <v>116</v>
      </c>
      <c r="R2855">
        <v>77</v>
      </c>
      <c r="S2855">
        <v>28.56</v>
      </c>
      <c r="T2855" t="str">
        <f t="shared" si="266"/>
        <v>Overweight</v>
      </c>
      <c r="U2855">
        <v>57</v>
      </c>
      <c r="V2855">
        <v>61</v>
      </c>
      <c r="W2855" t="str">
        <f t="shared" si="269"/>
        <v>Normal</v>
      </c>
      <c r="X2855">
        <v>0</v>
      </c>
    </row>
    <row r="2856" spans="1:24" ht="14.5" thickBot="1" x14ac:dyDescent="0.35">
      <c r="A2856">
        <v>0</v>
      </c>
      <c r="B2856" t="str">
        <f t="shared" si="267"/>
        <v>Female</v>
      </c>
      <c r="C2856" s="8">
        <v>54</v>
      </c>
      <c r="D2856" t="str">
        <f t="shared" si="268"/>
        <v>Middle Age</v>
      </c>
      <c r="E2856">
        <v>1</v>
      </c>
      <c r="F2856" t="str">
        <f>HLOOKUP(E2856, LookUP_Table!$A$6:$D$7, 2, FALSE)</f>
        <v>Primary</v>
      </c>
      <c r="G2856" t="str">
        <f>IFERROR(VLOOKUP(E2856, LookUP_Table!$A$1:$B$4, 2, FALSE), "")</f>
        <v>Primary</v>
      </c>
      <c r="H2856">
        <v>1</v>
      </c>
      <c r="I2856">
        <v>20</v>
      </c>
      <c r="J2856" t="str">
        <f t="shared" si="264"/>
        <v>Smoker</v>
      </c>
      <c r="K2856">
        <v>0</v>
      </c>
      <c r="L2856">
        <v>0</v>
      </c>
      <c r="M2856">
        <v>0</v>
      </c>
      <c r="N2856">
        <v>0</v>
      </c>
      <c r="O2856">
        <v>274</v>
      </c>
      <c r="P2856" t="str">
        <f t="shared" si="265"/>
        <v>High</v>
      </c>
      <c r="Q2856">
        <v>116</v>
      </c>
      <c r="R2856">
        <v>79</v>
      </c>
      <c r="S2856">
        <v>24.77</v>
      </c>
      <c r="T2856" t="str">
        <f t="shared" si="266"/>
        <v>Normal</v>
      </c>
      <c r="U2856">
        <v>72</v>
      </c>
      <c r="V2856">
        <v>65</v>
      </c>
      <c r="W2856" t="str">
        <f t="shared" si="269"/>
        <v>Normal</v>
      </c>
      <c r="X2856">
        <v>0</v>
      </c>
    </row>
    <row r="2857" spans="1:24" ht="14.5" thickBot="1" x14ac:dyDescent="0.35">
      <c r="A2857">
        <v>0</v>
      </c>
      <c r="B2857" t="str">
        <f t="shared" si="267"/>
        <v>Female</v>
      </c>
      <c r="C2857" s="8">
        <v>54</v>
      </c>
      <c r="D2857" t="str">
        <f t="shared" si="268"/>
        <v>Middle Age</v>
      </c>
      <c r="E2857">
        <v>1</v>
      </c>
      <c r="F2857" t="str">
        <f>HLOOKUP(E2857, LookUP_Table!$A$6:$D$7, 2, FALSE)</f>
        <v>Primary</v>
      </c>
      <c r="G2857" t="str">
        <f>IFERROR(VLOOKUP(E2857, LookUP_Table!$A$1:$B$4, 2, FALSE), "")</f>
        <v>Primary</v>
      </c>
      <c r="H2857">
        <v>0</v>
      </c>
      <c r="I2857">
        <v>0</v>
      </c>
      <c r="J2857" t="str">
        <f t="shared" si="264"/>
        <v>Non-Smoker</v>
      </c>
      <c r="K2857">
        <v>0</v>
      </c>
      <c r="L2857">
        <v>0</v>
      </c>
      <c r="M2857">
        <v>0</v>
      </c>
      <c r="N2857">
        <v>0</v>
      </c>
      <c r="O2857">
        <v>205</v>
      </c>
      <c r="P2857" t="str">
        <f t="shared" si="265"/>
        <v>Normal</v>
      </c>
      <c r="Q2857">
        <v>107.5</v>
      </c>
      <c r="R2857">
        <v>67.5</v>
      </c>
      <c r="S2857">
        <v>20.260000000000002</v>
      </c>
      <c r="T2857" t="str">
        <f t="shared" si="266"/>
        <v>Normal</v>
      </c>
      <c r="U2857">
        <v>75</v>
      </c>
      <c r="V2857">
        <v>88</v>
      </c>
      <c r="W2857" t="str">
        <f t="shared" si="269"/>
        <v>Normal</v>
      </c>
      <c r="X2857">
        <v>0</v>
      </c>
    </row>
    <row r="2858" spans="1:24" ht="14.5" thickBot="1" x14ac:dyDescent="0.35">
      <c r="A2858">
        <v>1</v>
      </c>
      <c r="B2858" t="str">
        <f t="shared" si="267"/>
        <v>Male</v>
      </c>
      <c r="C2858" s="8">
        <v>54</v>
      </c>
      <c r="D2858" t="str">
        <f t="shared" si="268"/>
        <v>Middle Age</v>
      </c>
      <c r="E2858">
        <v>3</v>
      </c>
      <c r="F2858" t="str">
        <f>HLOOKUP(E2858, LookUP_Table!$A$6:$D$7, 2, FALSE)</f>
        <v>Graduate</v>
      </c>
      <c r="G2858" t="str">
        <f>IFERROR(VLOOKUP(E2858, LookUP_Table!$A$1:$B$4, 2, FALSE), "")</f>
        <v>Graduate</v>
      </c>
      <c r="H2858">
        <v>1</v>
      </c>
      <c r="I2858">
        <v>43</v>
      </c>
      <c r="J2858" t="str">
        <f t="shared" si="264"/>
        <v>Smoker</v>
      </c>
      <c r="K2858">
        <v>0</v>
      </c>
      <c r="L2858">
        <v>0</v>
      </c>
      <c r="M2858">
        <v>0</v>
      </c>
      <c r="N2858">
        <v>0</v>
      </c>
      <c r="O2858">
        <v>288</v>
      </c>
      <c r="P2858" t="str">
        <f t="shared" si="265"/>
        <v>High</v>
      </c>
      <c r="Q2858">
        <v>145</v>
      </c>
      <c r="R2858">
        <v>92.5</v>
      </c>
      <c r="S2858">
        <v>26.2</v>
      </c>
      <c r="T2858" t="str">
        <f t="shared" si="266"/>
        <v>Overweight</v>
      </c>
      <c r="U2858">
        <v>72</v>
      </c>
      <c r="V2858">
        <v>98</v>
      </c>
      <c r="W2858" t="str">
        <f t="shared" si="269"/>
        <v>Normal</v>
      </c>
      <c r="X2858">
        <v>1</v>
      </c>
    </row>
    <row r="2859" spans="1:24" ht="14.5" thickBot="1" x14ac:dyDescent="0.35">
      <c r="A2859">
        <v>0</v>
      </c>
      <c r="B2859" t="str">
        <f t="shared" si="267"/>
        <v>Female</v>
      </c>
      <c r="C2859" s="8">
        <v>54</v>
      </c>
      <c r="D2859" t="str">
        <f t="shared" si="268"/>
        <v>Middle Age</v>
      </c>
      <c r="E2859">
        <v>2</v>
      </c>
      <c r="F2859" t="str">
        <f>HLOOKUP(E2859, LookUP_Table!$A$6:$D$7, 2, FALSE)</f>
        <v>Secondary</v>
      </c>
      <c r="G2859" t="str">
        <f>IFERROR(VLOOKUP(E2859, LookUP_Table!$A$1:$B$4, 2, FALSE), "")</f>
        <v>Secondary</v>
      </c>
      <c r="H2859">
        <v>0</v>
      </c>
      <c r="I2859">
        <v>0</v>
      </c>
      <c r="J2859" t="str">
        <f t="shared" si="264"/>
        <v>Non-Smoker</v>
      </c>
      <c r="K2859">
        <v>0</v>
      </c>
      <c r="L2859">
        <v>0</v>
      </c>
      <c r="M2859">
        <v>0</v>
      </c>
      <c r="N2859">
        <v>0</v>
      </c>
      <c r="O2859">
        <v>243</v>
      </c>
      <c r="P2859" t="str">
        <f t="shared" si="265"/>
        <v>High</v>
      </c>
      <c r="Q2859">
        <v>138</v>
      </c>
      <c r="R2859">
        <v>79</v>
      </c>
      <c r="S2859">
        <v>21.93</v>
      </c>
      <c r="T2859" t="str">
        <f t="shared" si="266"/>
        <v>Normal</v>
      </c>
      <c r="U2859">
        <v>75</v>
      </c>
      <c r="V2859">
        <v>95</v>
      </c>
      <c r="W2859" t="str">
        <f t="shared" si="269"/>
        <v>Normal</v>
      </c>
      <c r="X2859">
        <v>0</v>
      </c>
    </row>
    <row r="2860" spans="1:24" ht="14.5" thickBot="1" x14ac:dyDescent="0.35">
      <c r="A2860">
        <v>0</v>
      </c>
      <c r="B2860" t="str">
        <f t="shared" si="267"/>
        <v>Female</v>
      </c>
      <c r="C2860" s="8">
        <v>54</v>
      </c>
      <c r="D2860" t="str">
        <f t="shared" si="268"/>
        <v>Middle Age</v>
      </c>
      <c r="E2860">
        <v>3</v>
      </c>
      <c r="F2860" t="str">
        <f>HLOOKUP(E2860, LookUP_Table!$A$6:$D$7, 2, FALSE)</f>
        <v>Graduate</v>
      </c>
      <c r="G2860" t="str">
        <f>IFERROR(VLOOKUP(E2860, LookUP_Table!$A$1:$B$4, 2, FALSE), "")</f>
        <v>Graduate</v>
      </c>
      <c r="H2860">
        <v>0</v>
      </c>
      <c r="I2860">
        <v>0</v>
      </c>
      <c r="J2860" t="str">
        <f t="shared" si="264"/>
        <v>Non-Smoker</v>
      </c>
      <c r="K2860">
        <v>0</v>
      </c>
      <c r="L2860">
        <v>0</v>
      </c>
      <c r="M2860">
        <v>0</v>
      </c>
      <c r="N2860">
        <v>0</v>
      </c>
      <c r="O2860">
        <v>292</v>
      </c>
      <c r="P2860" t="str">
        <f t="shared" si="265"/>
        <v>High</v>
      </c>
      <c r="Q2860">
        <v>137</v>
      </c>
      <c r="R2860">
        <v>84</v>
      </c>
      <c r="S2860">
        <v>24.96</v>
      </c>
      <c r="T2860" t="str">
        <f t="shared" si="266"/>
        <v>Normal</v>
      </c>
      <c r="U2860">
        <v>60</v>
      </c>
      <c r="V2860">
        <v>94</v>
      </c>
      <c r="W2860" t="str">
        <f t="shared" si="269"/>
        <v>Normal</v>
      </c>
      <c r="X2860">
        <v>0</v>
      </c>
    </row>
    <row r="2861" spans="1:24" ht="14.5" thickBot="1" x14ac:dyDescent="0.35">
      <c r="A2861">
        <v>1</v>
      </c>
      <c r="B2861" t="str">
        <f t="shared" si="267"/>
        <v>Male</v>
      </c>
      <c r="C2861" s="8">
        <v>54</v>
      </c>
      <c r="D2861" t="str">
        <f t="shared" si="268"/>
        <v>Middle Age</v>
      </c>
      <c r="E2861">
        <v>2</v>
      </c>
      <c r="F2861" t="str">
        <f>HLOOKUP(E2861, LookUP_Table!$A$6:$D$7, 2, FALSE)</f>
        <v>Secondary</v>
      </c>
      <c r="G2861" t="str">
        <f>IFERROR(VLOOKUP(E2861, LookUP_Table!$A$1:$B$4, 2, FALSE), "")</f>
        <v>Secondary</v>
      </c>
      <c r="H2861">
        <v>1</v>
      </c>
      <c r="I2861">
        <v>30</v>
      </c>
      <c r="J2861" t="str">
        <f t="shared" si="264"/>
        <v>Smoker</v>
      </c>
      <c r="K2861">
        <v>0</v>
      </c>
      <c r="L2861">
        <v>0</v>
      </c>
      <c r="M2861">
        <v>1</v>
      </c>
      <c r="N2861">
        <v>0</v>
      </c>
      <c r="O2861">
        <v>212</v>
      </c>
      <c r="P2861" t="str">
        <f t="shared" si="265"/>
        <v>Normal</v>
      </c>
      <c r="Q2861">
        <v>153</v>
      </c>
      <c r="R2861">
        <v>100</v>
      </c>
      <c r="S2861">
        <v>27.03</v>
      </c>
      <c r="T2861" t="str">
        <f t="shared" si="266"/>
        <v>Overweight</v>
      </c>
      <c r="U2861">
        <v>52</v>
      </c>
      <c r="V2861">
        <v>82</v>
      </c>
      <c r="W2861" t="str">
        <f t="shared" si="269"/>
        <v>Normal</v>
      </c>
      <c r="X2861">
        <v>0</v>
      </c>
    </row>
    <row r="2862" spans="1:24" ht="14.5" thickBot="1" x14ac:dyDescent="0.35">
      <c r="A2862">
        <v>1</v>
      </c>
      <c r="B2862" t="str">
        <f t="shared" si="267"/>
        <v>Male</v>
      </c>
      <c r="C2862" s="8">
        <v>54</v>
      </c>
      <c r="D2862" t="str">
        <f t="shared" si="268"/>
        <v>Middle Age</v>
      </c>
      <c r="E2862">
        <v>4</v>
      </c>
      <c r="F2862" t="str">
        <f>HLOOKUP(E2862, LookUP_Table!$A$6:$D$7, 2, FALSE)</f>
        <v>Post Graduate</v>
      </c>
      <c r="G2862" t="str">
        <f>IFERROR(VLOOKUP(E2862, LookUP_Table!$A$1:$B$4, 2, FALSE), "")</f>
        <v>Post Graduate</v>
      </c>
      <c r="H2862">
        <v>1</v>
      </c>
      <c r="I2862">
        <v>30</v>
      </c>
      <c r="J2862" t="str">
        <f t="shared" si="264"/>
        <v>Smoker</v>
      </c>
      <c r="K2862">
        <v>0</v>
      </c>
      <c r="L2862">
        <v>0</v>
      </c>
      <c r="M2862">
        <v>0</v>
      </c>
      <c r="N2862">
        <v>0</v>
      </c>
      <c r="O2862">
        <v>195</v>
      </c>
      <c r="P2862" t="str">
        <f t="shared" si="265"/>
        <v>Normal</v>
      </c>
      <c r="Q2862">
        <v>113.5</v>
      </c>
      <c r="R2862">
        <v>72</v>
      </c>
      <c r="S2862">
        <v>21.78</v>
      </c>
      <c r="T2862" t="str">
        <f t="shared" si="266"/>
        <v>Normal</v>
      </c>
      <c r="U2862">
        <v>65</v>
      </c>
      <c r="V2862">
        <v>67</v>
      </c>
      <c r="W2862" t="str">
        <f t="shared" si="269"/>
        <v>Normal</v>
      </c>
      <c r="X2862">
        <v>0</v>
      </c>
    </row>
    <row r="2863" spans="1:24" ht="14.5" thickBot="1" x14ac:dyDescent="0.35">
      <c r="A2863">
        <v>0</v>
      </c>
      <c r="B2863" t="str">
        <f t="shared" si="267"/>
        <v>Female</v>
      </c>
      <c r="C2863" s="8">
        <v>54</v>
      </c>
      <c r="D2863" t="str">
        <f t="shared" si="268"/>
        <v>Middle Age</v>
      </c>
      <c r="E2863">
        <v>2</v>
      </c>
      <c r="F2863" t="str">
        <f>HLOOKUP(E2863, LookUP_Table!$A$6:$D$7, 2, FALSE)</f>
        <v>Secondary</v>
      </c>
      <c r="G2863" t="str">
        <f>IFERROR(VLOOKUP(E2863, LookUP_Table!$A$1:$B$4, 2, FALSE), "")</f>
        <v>Secondary</v>
      </c>
      <c r="H2863">
        <v>1</v>
      </c>
      <c r="I2863">
        <v>5</v>
      </c>
      <c r="J2863" t="str">
        <f t="shared" si="264"/>
        <v>Smoker</v>
      </c>
      <c r="K2863">
        <v>0</v>
      </c>
      <c r="L2863">
        <v>0</v>
      </c>
      <c r="M2863">
        <v>1</v>
      </c>
      <c r="N2863">
        <v>0</v>
      </c>
      <c r="O2863">
        <v>390</v>
      </c>
      <c r="P2863" t="str">
        <f t="shared" si="265"/>
        <v>High</v>
      </c>
      <c r="Q2863">
        <v>150</v>
      </c>
      <c r="R2863">
        <v>94</v>
      </c>
      <c r="S2863">
        <v>27.34</v>
      </c>
      <c r="T2863" t="str">
        <f t="shared" si="266"/>
        <v>Overweight</v>
      </c>
      <c r="U2863">
        <v>75</v>
      </c>
      <c r="V2863">
        <v>71</v>
      </c>
      <c r="W2863" t="str">
        <f t="shared" si="269"/>
        <v>Normal</v>
      </c>
      <c r="X2863">
        <v>0</v>
      </c>
    </row>
    <row r="2864" spans="1:24" ht="14.5" thickBot="1" x14ac:dyDescent="0.35">
      <c r="A2864">
        <v>0</v>
      </c>
      <c r="B2864" t="str">
        <f t="shared" si="267"/>
        <v>Female</v>
      </c>
      <c r="C2864" s="8">
        <v>54</v>
      </c>
      <c r="D2864" t="str">
        <f t="shared" si="268"/>
        <v>Middle Age</v>
      </c>
      <c r="E2864">
        <v>1</v>
      </c>
      <c r="F2864" t="str">
        <f>HLOOKUP(E2864, LookUP_Table!$A$6:$D$7, 2, FALSE)</f>
        <v>Primary</v>
      </c>
      <c r="G2864" t="str">
        <f>IFERROR(VLOOKUP(E2864, LookUP_Table!$A$1:$B$4, 2, FALSE), "")</f>
        <v>Primary</v>
      </c>
      <c r="H2864">
        <v>0</v>
      </c>
      <c r="I2864">
        <v>0</v>
      </c>
      <c r="J2864" t="str">
        <f t="shared" si="264"/>
        <v>Non-Smoker</v>
      </c>
      <c r="K2864">
        <v>0</v>
      </c>
      <c r="L2864">
        <v>0</v>
      </c>
      <c r="M2864">
        <v>1</v>
      </c>
      <c r="N2864">
        <v>0</v>
      </c>
      <c r="O2864">
        <v>315</v>
      </c>
      <c r="P2864" t="str">
        <f t="shared" si="265"/>
        <v>High</v>
      </c>
      <c r="Q2864">
        <v>176</v>
      </c>
      <c r="R2864">
        <v>87</v>
      </c>
      <c r="S2864">
        <v>29.23</v>
      </c>
      <c r="T2864" t="str">
        <f t="shared" si="266"/>
        <v>Overweight</v>
      </c>
      <c r="U2864">
        <v>82</v>
      </c>
      <c r="V2864">
        <v>72</v>
      </c>
      <c r="W2864" t="str">
        <f t="shared" si="269"/>
        <v>Normal</v>
      </c>
      <c r="X2864">
        <v>0</v>
      </c>
    </row>
    <row r="2865" spans="1:24" ht="14.5" thickBot="1" x14ac:dyDescent="0.35">
      <c r="A2865">
        <v>0</v>
      </c>
      <c r="B2865" t="str">
        <f t="shared" si="267"/>
        <v>Female</v>
      </c>
      <c r="C2865" s="8">
        <v>54</v>
      </c>
      <c r="D2865" t="str">
        <f t="shared" si="268"/>
        <v>Middle Age</v>
      </c>
      <c r="E2865">
        <v>2</v>
      </c>
      <c r="F2865" t="str">
        <f>HLOOKUP(E2865, LookUP_Table!$A$6:$D$7, 2, FALSE)</f>
        <v>Secondary</v>
      </c>
      <c r="G2865" t="str">
        <f>IFERROR(VLOOKUP(E2865, LookUP_Table!$A$1:$B$4, 2, FALSE), "")</f>
        <v>Secondary</v>
      </c>
      <c r="H2865">
        <v>0</v>
      </c>
      <c r="I2865">
        <v>0</v>
      </c>
      <c r="J2865" t="str">
        <f t="shared" si="264"/>
        <v>Non-Smoker</v>
      </c>
      <c r="K2865">
        <v>0</v>
      </c>
      <c r="L2865">
        <v>0</v>
      </c>
      <c r="M2865">
        <v>0</v>
      </c>
      <c r="N2865">
        <v>0</v>
      </c>
      <c r="O2865">
        <v>253</v>
      </c>
      <c r="P2865" t="str">
        <f t="shared" si="265"/>
        <v>High</v>
      </c>
      <c r="Q2865">
        <v>127</v>
      </c>
      <c r="R2865">
        <v>68.5</v>
      </c>
      <c r="S2865">
        <v>22.54</v>
      </c>
      <c r="T2865" t="str">
        <f t="shared" si="266"/>
        <v>Normal</v>
      </c>
      <c r="U2865">
        <v>70</v>
      </c>
      <c r="V2865">
        <v>76</v>
      </c>
      <c r="W2865" t="str">
        <f t="shared" si="269"/>
        <v>Normal</v>
      </c>
      <c r="X2865">
        <v>0</v>
      </c>
    </row>
    <row r="2866" spans="1:24" ht="14.5" thickBot="1" x14ac:dyDescent="0.35">
      <c r="A2866">
        <v>0</v>
      </c>
      <c r="B2866" t="str">
        <f t="shared" si="267"/>
        <v>Female</v>
      </c>
      <c r="C2866" s="8">
        <v>54</v>
      </c>
      <c r="D2866" t="str">
        <f t="shared" si="268"/>
        <v>Middle Age</v>
      </c>
      <c r="E2866">
        <v>3</v>
      </c>
      <c r="F2866" t="str">
        <f>HLOOKUP(E2866, LookUP_Table!$A$6:$D$7, 2, FALSE)</f>
        <v>Graduate</v>
      </c>
      <c r="G2866" t="str">
        <f>IFERROR(VLOOKUP(E2866, LookUP_Table!$A$1:$B$4, 2, FALSE), "")</f>
        <v>Graduate</v>
      </c>
      <c r="H2866">
        <v>0</v>
      </c>
      <c r="I2866">
        <v>0</v>
      </c>
      <c r="J2866" t="str">
        <f t="shared" si="264"/>
        <v>Non-Smoker</v>
      </c>
      <c r="K2866">
        <v>0</v>
      </c>
      <c r="L2866">
        <v>0</v>
      </c>
      <c r="M2866">
        <v>1</v>
      </c>
      <c r="N2866">
        <v>0</v>
      </c>
      <c r="O2866">
        <v>239</v>
      </c>
      <c r="P2866" t="str">
        <f t="shared" si="265"/>
        <v>Normal</v>
      </c>
      <c r="Q2866">
        <v>142.5</v>
      </c>
      <c r="R2866">
        <v>83.5</v>
      </c>
      <c r="S2866">
        <v>30.47</v>
      </c>
      <c r="T2866" t="str">
        <f t="shared" si="266"/>
        <v>Obese</v>
      </c>
      <c r="U2866">
        <v>83</v>
      </c>
      <c r="V2866">
        <v>84</v>
      </c>
      <c r="W2866" t="str">
        <f t="shared" si="269"/>
        <v>Normal</v>
      </c>
      <c r="X2866">
        <v>0</v>
      </c>
    </row>
    <row r="2867" spans="1:24" ht="14.5" thickBot="1" x14ac:dyDescent="0.35">
      <c r="A2867">
        <v>0</v>
      </c>
      <c r="B2867" t="str">
        <f t="shared" si="267"/>
        <v>Female</v>
      </c>
      <c r="C2867" s="8">
        <v>54</v>
      </c>
      <c r="D2867" t="str">
        <f t="shared" si="268"/>
        <v>Middle Age</v>
      </c>
      <c r="E2867">
        <v>2</v>
      </c>
      <c r="F2867" t="str">
        <f>HLOOKUP(E2867, LookUP_Table!$A$6:$D$7, 2, FALSE)</f>
        <v>Secondary</v>
      </c>
      <c r="G2867" t="str">
        <f>IFERROR(VLOOKUP(E2867, LookUP_Table!$A$1:$B$4, 2, FALSE), "")</f>
        <v>Secondary</v>
      </c>
      <c r="H2867">
        <v>0</v>
      </c>
      <c r="I2867">
        <v>0</v>
      </c>
      <c r="J2867" t="str">
        <f t="shared" si="264"/>
        <v>Non-Smoker</v>
      </c>
      <c r="K2867">
        <v>1</v>
      </c>
      <c r="L2867">
        <v>0</v>
      </c>
      <c r="M2867">
        <v>1</v>
      </c>
      <c r="N2867">
        <v>0</v>
      </c>
      <c r="O2867">
        <v>199</v>
      </c>
      <c r="P2867" t="str">
        <f t="shared" si="265"/>
        <v>Normal</v>
      </c>
      <c r="Q2867">
        <v>159</v>
      </c>
      <c r="R2867">
        <v>102</v>
      </c>
      <c r="S2867">
        <v>22.91</v>
      </c>
      <c r="T2867" t="str">
        <f t="shared" si="266"/>
        <v>Normal</v>
      </c>
      <c r="U2867">
        <v>66</v>
      </c>
      <c r="V2867">
        <v>93</v>
      </c>
      <c r="W2867" t="str">
        <f t="shared" si="269"/>
        <v>Normal</v>
      </c>
      <c r="X2867">
        <v>0</v>
      </c>
    </row>
    <row r="2868" spans="1:24" ht="14.5" thickBot="1" x14ac:dyDescent="0.35">
      <c r="A2868">
        <v>1</v>
      </c>
      <c r="B2868" t="str">
        <f t="shared" si="267"/>
        <v>Male</v>
      </c>
      <c r="C2868" s="8">
        <v>54</v>
      </c>
      <c r="D2868" t="str">
        <f t="shared" si="268"/>
        <v>Middle Age</v>
      </c>
      <c r="E2868">
        <v>2</v>
      </c>
      <c r="F2868" t="str">
        <f>HLOOKUP(E2868, LookUP_Table!$A$6:$D$7, 2, FALSE)</f>
        <v>Secondary</v>
      </c>
      <c r="G2868" t="str">
        <f>IFERROR(VLOOKUP(E2868, LookUP_Table!$A$1:$B$4, 2, FALSE), "")</f>
        <v>Secondary</v>
      </c>
      <c r="H2868">
        <v>0</v>
      </c>
      <c r="I2868">
        <v>0</v>
      </c>
      <c r="J2868" t="str">
        <f t="shared" si="264"/>
        <v>Non-Smoker</v>
      </c>
      <c r="K2868">
        <v>0</v>
      </c>
      <c r="L2868">
        <v>0</v>
      </c>
      <c r="M2868">
        <v>0</v>
      </c>
      <c r="N2868">
        <v>0</v>
      </c>
      <c r="O2868">
        <v>334</v>
      </c>
      <c r="P2868" t="str">
        <f t="shared" si="265"/>
        <v>High</v>
      </c>
      <c r="Q2868">
        <v>133.5</v>
      </c>
      <c r="R2868">
        <v>80</v>
      </c>
      <c r="S2868">
        <v>23.4</v>
      </c>
      <c r="T2868" t="str">
        <f t="shared" si="266"/>
        <v>Normal</v>
      </c>
      <c r="U2868">
        <v>85</v>
      </c>
      <c r="V2868">
        <v>77</v>
      </c>
      <c r="W2868" t="str">
        <f t="shared" si="269"/>
        <v>Normal</v>
      </c>
      <c r="X2868">
        <v>0</v>
      </c>
    </row>
    <row r="2869" spans="1:24" ht="14.5" thickBot="1" x14ac:dyDescent="0.35">
      <c r="A2869">
        <v>1</v>
      </c>
      <c r="B2869" t="str">
        <f t="shared" si="267"/>
        <v>Male</v>
      </c>
      <c r="C2869" s="8">
        <v>54</v>
      </c>
      <c r="D2869" t="str">
        <f t="shared" si="268"/>
        <v>Middle Age</v>
      </c>
      <c r="E2869">
        <v>2</v>
      </c>
      <c r="F2869" t="str">
        <f>HLOOKUP(E2869, LookUP_Table!$A$6:$D$7, 2, FALSE)</f>
        <v>Secondary</v>
      </c>
      <c r="G2869" t="str">
        <f>IFERROR(VLOOKUP(E2869, LookUP_Table!$A$1:$B$4, 2, FALSE), "")</f>
        <v>Secondary</v>
      </c>
      <c r="H2869">
        <v>0</v>
      </c>
      <c r="I2869">
        <v>0</v>
      </c>
      <c r="J2869" t="str">
        <f t="shared" si="264"/>
        <v>Non-Smoker</v>
      </c>
      <c r="K2869">
        <v>0</v>
      </c>
      <c r="L2869">
        <v>0</v>
      </c>
      <c r="M2869">
        <v>1</v>
      </c>
      <c r="N2869">
        <v>0</v>
      </c>
      <c r="O2869">
        <v>207</v>
      </c>
      <c r="P2869" t="str">
        <f t="shared" si="265"/>
        <v>Normal</v>
      </c>
      <c r="Q2869">
        <v>146</v>
      </c>
      <c r="R2869">
        <v>98</v>
      </c>
      <c r="S2869">
        <v>23.63</v>
      </c>
      <c r="T2869" t="str">
        <f t="shared" si="266"/>
        <v>Normal</v>
      </c>
      <c r="U2869">
        <v>65</v>
      </c>
      <c r="V2869">
        <v>91</v>
      </c>
      <c r="W2869" t="str">
        <f t="shared" si="269"/>
        <v>Normal</v>
      </c>
      <c r="X2869">
        <v>1</v>
      </c>
    </row>
    <row r="2870" spans="1:24" ht="14.5" thickBot="1" x14ac:dyDescent="0.35">
      <c r="A2870">
        <v>0</v>
      </c>
      <c r="B2870" t="str">
        <f t="shared" si="267"/>
        <v>Female</v>
      </c>
      <c r="C2870" s="8">
        <v>54</v>
      </c>
      <c r="D2870" t="str">
        <f t="shared" si="268"/>
        <v>Middle Age</v>
      </c>
      <c r="E2870">
        <v>3</v>
      </c>
      <c r="F2870" t="str">
        <f>HLOOKUP(E2870, LookUP_Table!$A$6:$D$7, 2, FALSE)</f>
        <v>Graduate</v>
      </c>
      <c r="G2870" t="str">
        <f>IFERROR(VLOOKUP(E2870, LookUP_Table!$A$1:$B$4, 2, FALSE), "")</f>
        <v>Graduate</v>
      </c>
      <c r="H2870">
        <v>0</v>
      </c>
      <c r="I2870">
        <v>0</v>
      </c>
      <c r="J2870" t="str">
        <f t="shared" si="264"/>
        <v>Non-Smoker</v>
      </c>
      <c r="K2870">
        <v>0</v>
      </c>
      <c r="L2870">
        <v>0</v>
      </c>
      <c r="M2870">
        <v>0</v>
      </c>
      <c r="N2870">
        <v>0</v>
      </c>
      <c r="O2870">
        <v>248</v>
      </c>
      <c r="P2870" t="str">
        <f t="shared" si="265"/>
        <v>High</v>
      </c>
      <c r="Q2870">
        <v>131</v>
      </c>
      <c r="R2870">
        <v>71</v>
      </c>
      <c r="S2870">
        <v>24.89</v>
      </c>
      <c r="T2870" t="str">
        <f t="shared" si="266"/>
        <v>Normal</v>
      </c>
      <c r="U2870">
        <v>80</v>
      </c>
      <c r="V2870">
        <v>73</v>
      </c>
      <c r="W2870" t="str">
        <f t="shared" si="269"/>
        <v>Normal</v>
      </c>
      <c r="X2870">
        <v>0</v>
      </c>
    </row>
    <row r="2871" spans="1:24" ht="14.5" thickBot="1" x14ac:dyDescent="0.35">
      <c r="A2871">
        <v>0</v>
      </c>
      <c r="B2871" t="str">
        <f t="shared" si="267"/>
        <v>Female</v>
      </c>
      <c r="C2871" s="8">
        <v>54</v>
      </c>
      <c r="D2871" t="str">
        <f t="shared" si="268"/>
        <v>Middle Age</v>
      </c>
      <c r="E2871">
        <v>1</v>
      </c>
      <c r="F2871" t="str">
        <f>HLOOKUP(E2871, LookUP_Table!$A$6:$D$7, 2, FALSE)</f>
        <v>Primary</v>
      </c>
      <c r="G2871" t="str">
        <f>IFERROR(VLOOKUP(E2871, LookUP_Table!$A$1:$B$4, 2, FALSE), "")</f>
        <v>Primary</v>
      </c>
      <c r="H2871">
        <v>1</v>
      </c>
      <c r="I2871">
        <v>20</v>
      </c>
      <c r="J2871" t="str">
        <f t="shared" si="264"/>
        <v>Smoker</v>
      </c>
      <c r="K2871">
        <v>0</v>
      </c>
      <c r="L2871">
        <v>0</v>
      </c>
      <c r="M2871">
        <v>0</v>
      </c>
      <c r="N2871">
        <v>0</v>
      </c>
      <c r="O2871">
        <v>231</v>
      </c>
      <c r="P2871" t="str">
        <f t="shared" si="265"/>
        <v>Normal</v>
      </c>
      <c r="Q2871">
        <v>120</v>
      </c>
      <c r="R2871">
        <v>79</v>
      </c>
      <c r="S2871">
        <v>27.49</v>
      </c>
      <c r="T2871" t="str">
        <f t="shared" si="266"/>
        <v>Overweight</v>
      </c>
      <c r="U2871">
        <v>85</v>
      </c>
      <c r="V2871">
        <v>81.96365524402907</v>
      </c>
      <c r="W2871" t="str">
        <f t="shared" si="269"/>
        <v>Normal</v>
      </c>
      <c r="X2871">
        <v>0</v>
      </c>
    </row>
    <row r="2872" spans="1:24" ht="14.5" thickBot="1" x14ac:dyDescent="0.35">
      <c r="A2872">
        <v>0</v>
      </c>
      <c r="B2872" t="str">
        <f t="shared" si="267"/>
        <v>Female</v>
      </c>
      <c r="C2872" s="8">
        <v>54</v>
      </c>
      <c r="D2872" t="str">
        <f t="shared" si="268"/>
        <v>Middle Age</v>
      </c>
      <c r="E2872">
        <v>3</v>
      </c>
      <c r="F2872" t="str">
        <f>HLOOKUP(E2872, LookUP_Table!$A$6:$D$7, 2, FALSE)</f>
        <v>Graduate</v>
      </c>
      <c r="G2872" t="str">
        <f>IFERROR(VLOOKUP(E2872, LookUP_Table!$A$1:$B$4, 2, FALSE), "")</f>
        <v>Graduate</v>
      </c>
      <c r="H2872">
        <v>1</v>
      </c>
      <c r="I2872">
        <v>2</v>
      </c>
      <c r="J2872" t="str">
        <f t="shared" si="264"/>
        <v>Smoker</v>
      </c>
      <c r="K2872">
        <v>0</v>
      </c>
      <c r="L2872">
        <v>0</v>
      </c>
      <c r="M2872">
        <v>0</v>
      </c>
      <c r="N2872">
        <v>0</v>
      </c>
      <c r="O2872">
        <v>213</v>
      </c>
      <c r="P2872" t="str">
        <f t="shared" si="265"/>
        <v>Normal</v>
      </c>
      <c r="Q2872">
        <v>144</v>
      </c>
      <c r="R2872">
        <v>82</v>
      </c>
      <c r="S2872">
        <v>29.45</v>
      </c>
      <c r="T2872" t="str">
        <f t="shared" si="266"/>
        <v>Overweight</v>
      </c>
      <c r="U2872">
        <v>63</v>
      </c>
      <c r="V2872">
        <v>72</v>
      </c>
      <c r="W2872" t="str">
        <f t="shared" si="269"/>
        <v>Normal</v>
      </c>
      <c r="X2872">
        <v>0</v>
      </c>
    </row>
    <row r="2873" spans="1:24" ht="14.5" thickBot="1" x14ac:dyDescent="0.35">
      <c r="A2873">
        <v>1</v>
      </c>
      <c r="B2873" t="str">
        <f t="shared" si="267"/>
        <v>Male</v>
      </c>
      <c r="C2873" s="8">
        <v>54</v>
      </c>
      <c r="D2873" t="str">
        <f t="shared" si="268"/>
        <v>Middle Age</v>
      </c>
      <c r="E2873">
        <v>4</v>
      </c>
      <c r="F2873" t="str">
        <f>HLOOKUP(E2873, LookUP_Table!$A$6:$D$7, 2, FALSE)</f>
        <v>Post Graduate</v>
      </c>
      <c r="G2873" t="str">
        <f>IFERROR(VLOOKUP(E2873, LookUP_Table!$A$1:$B$4, 2, FALSE), "")</f>
        <v>Post Graduate</v>
      </c>
      <c r="H2873">
        <v>0</v>
      </c>
      <c r="I2873">
        <v>0</v>
      </c>
      <c r="J2873" t="str">
        <f t="shared" si="264"/>
        <v>Non-Smoker</v>
      </c>
      <c r="K2873">
        <v>0</v>
      </c>
      <c r="L2873">
        <v>0</v>
      </c>
      <c r="M2873">
        <v>0</v>
      </c>
      <c r="N2873">
        <v>0</v>
      </c>
      <c r="O2873">
        <v>226</v>
      </c>
      <c r="P2873" t="str">
        <f t="shared" si="265"/>
        <v>Normal</v>
      </c>
      <c r="Q2873">
        <v>122.5</v>
      </c>
      <c r="R2873">
        <v>77.5</v>
      </c>
      <c r="S2873">
        <v>27.93</v>
      </c>
      <c r="T2873" t="str">
        <f t="shared" si="266"/>
        <v>Overweight</v>
      </c>
      <c r="U2873">
        <v>92</v>
      </c>
      <c r="V2873">
        <v>71</v>
      </c>
      <c r="W2873" t="str">
        <f t="shared" si="269"/>
        <v>Normal</v>
      </c>
      <c r="X2873">
        <v>0</v>
      </c>
    </row>
    <row r="2874" spans="1:24" ht="14.5" thickBot="1" x14ac:dyDescent="0.35">
      <c r="A2874">
        <v>0</v>
      </c>
      <c r="B2874" t="str">
        <f t="shared" si="267"/>
        <v>Female</v>
      </c>
      <c r="C2874" s="8">
        <v>54</v>
      </c>
      <c r="D2874" t="str">
        <f t="shared" si="268"/>
        <v>Middle Age</v>
      </c>
      <c r="E2874">
        <v>1</v>
      </c>
      <c r="F2874" t="str">
        <f>HLOOKUP(E2874, LookUP_Table!$A$6:$D$7, 2, FALSE)</f>
        <v>Primary</v>
      </c>
      <c r="G2874" t="str">
        <f>IFERROR(VLOOKUP(E2874, LookUP_Table!$A$1:$B$4, 2, FALSE), "")</f>
        <v>Primary</v>
      </c>
      <c r="H2874">
        <v>0</v>
      </c>
      <c r="I2874">
        <v>0</v>
      </c>
      <c r="J2874" t="str">
        <f t="shared" si="264"/>
        <v>Non-Smoker</v>
      </c>
      <c r="K2874">
        <v>0</v>
      </c>
      <c r="L2874">
        <v>0</v>
      </c>
      <c r="M2874">
        <v>0</v>
      </c>
      <c r="N2874">
        <v>0</v>
      </c>
      <c r="O2874">
        <v>248</v>
      </c>
      <c r="P2874" t="str">
        <f t="shared" si="265"/>
        <v>High</v>
      </c>
      <c r="Q2874">
        <v>131.5</v>
      </c>
      <c r="R2874">
        <v>83</v>
      </c>
      <c r="S2874">
        <v>26.84</v>
      </c>
      <c r="T2874" t="str">
        <f t="shared" si="266"/>
        <v>Overweight</v>
      </c>
      <c r="U2874">
        <v>67</v>
      </c>
      <c r="V2874">
        <v>63</v>
      </c>
      <c r="W2874" t="str">
        <f t="shared" si="269"/>
        <v>Normal</v>
      </c>
      <c r="X2874">
        <v>0</v>
      </c>
    </row>
    <row r="2875" spans="1:24" ht="14.5" thickBot="1" x14ac:dyDescent="0.35">
      <c r="A2875">
        <v>0</v>
      </c>
      <c r="B2875" t="str">
        <f t="shared" si="267"/>
        <v>Female</v>
      </c>
      <c r="C2875" s="8">
        <v>54</v>
      </c>
      <c r="D2875" t="str">
        <f t="shared" si="268"/>
        <v>Middle Age</v>
      </c>
      <c r="E2875">
        <v>3</v>
      </c>
      <c r="F2875" t="str">
        <f>HLOOKUP(E2875, LookUP_Table!$A$6:$D$7, 2, FALSE)</f>
        <v>Graduate</v>
      </c>
      <c r="G2875" t="str">
        <f>IFERROR(VLOOKUP(E2875, LookUP_Table!$A$1:$B$4, 2, FALSE), "")</f>
        <v>Graduate</v>
      </c>
      <c r="H2875">
        <v>0</v>
      </c>
      <c r="I2875">
        <v>0</v>
      </c>
      <c r="J2875" t="str">
        <f t="shared" si="264"/>
        <v>Non-Smoker</v>
      </c>
      <c r="K2875">
        <v>0</v>
      </c>
      <c r="L2875">
        <v>0</v>
      </c>
      <c r="M2875">
        <v>1</v>
      </c>
      <c r="N2875">
        <v>0</v>
      </c>
      <c r="O2875">
        <v>341</v>
      </c>
      <c r="P2875" t="str">
        <f t="shared" si="265"/>
        <v>High</v>
      </c>
      <c r="Q2875">
        <v>155</v>
      </c>
      <c r="R2875">
        <v>105</v>
      </c>
      <c r="S2875">
        <v>27.01</v>
      </c>
      <c r="T2875" t="str">
        <f t="shared" si="266"/>
        <v>Overweight</v>
      </c>
      <c r="U2875">
        <v>63</v>
      </c>
      <c r="V2875">
        <v>62</v>
      </c>
      <c r="W2875" t="str">
        <f t="shared" si="269"/>
        <v>Normal</v>
      </c>
      <c r="X2875">
        <v>0</v>
      </c>
    </row>
    <row r="2876" spans="1:24" ht="14.5" thickBot="1" x14ac:dyDescent="0.35">
      <c r="A2876">
        <v>0</v>
      </c>
      <c r="B2876" t="str">
        <f t="shared" si="267"/>
        <v>Female</v>
      </c>
      <c r="C2876" s="8">
        <v>54</v>
      </c>
      <c r="D2876" t="str">
        <f t="shared" si="268"/>
        <v>Middle Age</v>
      </c>
      <c r="E2876">
        <v>1</v>
      </c>
      <c r="F2876" t="str">
        <f>HLOOKUP(E2876, LookUP_Table!$A$6:$D$7, 2, FALSE)</f>
        <v>Primary</v>
      </c>
      <c r="G2876" t="str">
        <f>IFERROR(VLOOKUP(E2876, LookUP_Table!$A$1:$B$4, 2, FALSE), "")</f>
        <v>Primary</v>
      </c>
      <c r="H2876">
        <v>0</v>
      </c>
      <c r="I2876">
        <v>0</v>
      </c>
      <c r="J2876" t="str">
        <f t="shared" si="264"/>
        <v>Non-Smoker</v>
      </c>
      <c r="K2876">
        <v>0</v>
      </c>
      <c r="L2876">
        <v>0</v>
      </c>
      <c r="M2876">
        <v>0</v>
      </c>
      <c r="N2876">
        <v>0</v>
      </c>
      <c r="O2876">
        <v>208</v>
      </c>
      <c r="P2876" t="str">
        <f t="shared" si="265"/>
        <v>Normal</v>
      </c>
      <c r="Q2876">
        <v>138</v>
      </c>
      <c r="R2876">
        <v>78</v>
      </c>
      <c r="S2876">
        <v>30.47</v>
      </c>
      <c r="T2876" t="str">
        <f t="shared" si="266"/>
        <v>Obese</v>
      </c>
      <c r="U2876">
        <v>67</v>
      </c>
      <c r="V2876">
        <v>73</v>
      </c>
      <c r="W2876" t="str">
        <f t="shared" si="269"/>
        <v>Normal</v>
      </c>
      <c r="X2876">
        <v>0</v>
      </c>
    </row>
    <row r="2877" spans="1:24" ht="14.5" thickBot="1" x14ac:dyDescent="0.35">
      <c r="A2877">
        <v>1</v>
      </c>
      <c r="B2877" t="str">
        <f t="shared" si="267"/>
        <v>Male</v>
      </c>
      <c r="C2877" s="8">
        <v>54</v>
      </c>
      <c r="D2877" t="str">
        <f t="shared" si="268"/>
        <v>Middle Age</v>
      </c>
      <c r="E2877">
        <v>1</v>
      </c>
      <c r="F2877" t="str">
        <f>HLOOKUP(E2877, LookUP_Table!$A$6:$D$7, 2, FALSE)</f>
        <v>Primary</v>
      </c>
      <c r="G2877" t="str">
        <f>IFERROR(VLOOKUP(E2877, LookUP_Table!$A$1:$B$4, 2, FALSE), "")</f>
        <v>Primary</v>
      </c>
      <c r="H2877">
        <v>0</v>
      </c>
      <c r="I2877">
        <v>0</v>
      </c>
      <c r="J2877" t="str">
        <f t="shared" si="264"/>
        <v>Non-Smoker</v>
      </c>
      <c r="K2877">
        <v>0</v>
      </c>
      <c r="L2877">
        <v>0</v>
      </c>
      <c r="M2877">
        <v>0</v>
      </c>
      <c r="N2877">
        <v>0</v>
      </c>
      <c r="O2877">
        <v>235</v>
      </c>
      <c r="P2877" t="str">
        <f t="shared" si="265"/>
        <v>Normal</v>
      </c>
      <c r="Q2877">
        <v>132</v>
      </c>
      <c r="R2877">
        <v>87</v>
      </c>
      <c r="S2877">
        <v>26.13</v>
      </c>
      <c r="T2877" t="str">
        <f t="shared" si="266"/>
        <v>Overweight</v>
      </c>
      <c r="U2877">
        <v>65</v>
      </c>
      <c r="V2877">
        <v>75</v>
      </c>
      <c r="W2877" t="str">
        <f t="shared" si="269"/>
        <v>Normal</v>
      </c>
      <c r="X2877">
        <v>0</v>
      </c>
    </row>
    <row r="2878" spans="1:24" ht="14.5" thickBot="1" x14ac:dyDescent="0.35">
      <c r="A2878">
        <v>0</v>
      </c>
      <c r="B2878" t="str">
        <f t="shared" si="267"/>
        <v>Female</v>
      </c>
      <c r="C2878" s="8">
        <v>54</v>
      </c>
      <c r="D2878" t="str">
        <f t="shared" si="268"/>
        <v>Middle Age</v>
      </c>
      <c r="E2878">
        <v>2</v>
      </c>
      <c r="F2878" t="str">
        <f>HLOOKUP(E2878, LookUP_Table!$A$6:$D$7, 2, FALSE)</f>
        <v>Secondary</v>
      </c>
      <c r="G2878" t="str">
        <f>IFERROR(VLOOKUP(E2878, LookUP_Table!$A$1:$B$4, 2, FALSE), "")</f>
        <v>Secondary</v>
      </c>
      <c r="H2878">
        <v>0</v>
      </c>
      <c r="I2878">
        <v>0</v>
      </c>
      <c r="J2878" t="str">
        <f t="shared" si="264"/>
        <v>Non-Smoker</v>
      </c>
      <c r="K2878">
        <v>0</v>
      </c>
      <c r="L2878">
        <v>0</v>
      </c>
      <c r="M2878">
        <v>1</v>
      </c>
      <c r="N2878">
        <v>0</v>
      </c>
      <c r="O2878">
        <v>220</v>
      </c>
      <c r="P2878" t="str">
        <f t="shared" si="265"/>
        <v>Normal</v>
      </c>
      <c r="Q2878">
        <v>142.5</v>
      </c>
      <c r="R2878">
        <v>83.5</v>
      </c>
      <c r="S2878">
        <v>25.09</v>
      </c>
      <c r="T2878" t="str">
        <f t="shared" si="266"/>
        <v>Overweight</v>
      </c>
      <c r="U2878">
        <v>72</v>
      </c>
      <c r="V2878">
        <v>84</v>
      </c>
      <c r="W2878" t="str">
        <f t="shared" si="269"/>
        <v>Normal</v>
      </c>
      <c r="X2878">
        <v>0</v>
      </c>
    </row>
    <row r="2879" spans="1:24" ht="14.5" thickBot="1" x14ac:dyDescent="0.35">
      <c r="A2879">
        <v>1</v>
      </c>
      <c r="B2879" t="str">
        <f t="shared" si="267"/>
        <v>Male</v>
      </c>
      <c r="C2879" s="8">
        <v>54</v>
      </c>
      <c r="D2879" t="str">
        <f t="shared" si="268"/>
        <v>Middle Age</v>
      </c>
      <c r="E2879">
        <v>1</v>
      </c>
      <c r="F2879" t="str">
        <f>HLOOKUP(E2879, LookUP_Table!$A$6:$D$7, 2, FALSE)</f>
        <v>Primary</v>
      </c>
      <c r="G2879" t="str">
        <f>IFERROR(VLOOKUP(E2879, LookUP_Table!$A$1:$B$4, 2, FALSE), "")</f>
        <v>Primary</v>
      </c>
      <c r="H2879">
        <v>0</v>
      </c>
      <c r="I2879">
        <v>0</v>
      </c>
      <c r="J2879" t="str">
        <f t="shared" si="264"/>
        <v>Non-Smoker</v>
      </c>
      <c r="K2879">
        <v>0</v>
      </c>
      <c r="L2879">
        <v>0</v>
      </c>
      <c r="M2879">
        <v>1</v>
      </c>
      <c r="N2879">
        <v>0</v>
      </c>
      <c r="O2879">
        <v>230</v>
      </c>
      <c r="P2879" t="str">
        <f t="shared" si="265"/>
        <v>Normal</v>
      </c>
      <c r="Q2879">
        <v>126</v>
      </c>
      <c r="R2879">
        <v>93</v>
      </c>
      <c r="S2879">
        <v>25.36</v>
      </c>
      <c r="T2879" t="str">
        <f t="shared" si="266"/>
        <v>Overweight</v>
      </c>
      <c r="U2879">
        <v>80</v>
      </c>
      <c r="V2879">
        <v>84</v>
      </c>
      <c r="W2879" t="str">
        <f t="shared" si="269"/>
        <v>Normal</v>
      </c>
      <c r="X2879">
        <v>1</v>
      </c>
    </row>
    <row r="2880" spans="1:24" ht="14.5" thickBot="1" x14ac:dyDescent="0.35">
      <c r="A2880">
        <v>0</v>
      </c>
      <c r="B2880" t="str">
        <f t="shared" si="267"/>
        <v>Female</v>
      </c>
      <c r="C2880" s="8">
        <v>54</v>
      </c>
      <c r="D2880" t="str">
        <f t="shared" si="268"/>
        <v>Middle Age</v>
      </c>
      <c r="E2880">
        <v>1</v>
      </c>
      <c r="F2880" t="str">
        <f>HLOOKUP(E2880, LookUP_Table!$A$6:$D$7, 2, FALSE)</f>
        <v>Primary</v>
      </c>
      <c r="G2880" t="str">
        <f>IFERROR(VLOOKUP(E2880, LookUP_Table!$A$1:$B$4, 2, FALSE), "")</f>
        <v>Primary</v>
      </c>
      <c r="H2880">
        <v>0</v>
      </c>
      <c r="I2880">
        <v>0</v>
      </c>
      <c r="J2880" t="str">
        <f t="shared" si="264"/>
        <v>Non-Smoker</v>
      </c>
      <c r="K2880">
        <v>0</v>
      </c>
      <c r="L2880">
        <v>0</v>
      </c>
      <c r="M2880">
        <v>0</v>
      </c>
      <c r="N2880">
        <v>0</v>
      </c>
      <c r="O2880">
        <v>262</v>
      </c>
      <c r="P2880" t="str">
        <f t="shared" si="265"/>
        <v>High</v>
      </c>
      <c r="Q2880">
        <v>113.5</v>
      </c>
      <c r="R2880">
        <v>80</v>
      </c>
      <c r="S2880">
        <v>26.42</v>
      </c>
      <c r="T2880" t="str">
        <f t="shared" si="266"/>
        <v>Overweight</v>
      </c>
      <c r="U2880">
        <v>75</v>
      </c>
      <c r="V2880">
        <v>67</v>
      </c>
      <c r="W2880" t="str">
        <f t="shared" si="269"/>
        <v>Normal</v>
      </c>
      <c r="X2880">
        <v>0</v>
      </c>
    </row>
    <row r="2881" spans="1:24" ht="14.5" thickBot="1" x14ac:dyDescent="0.35">
      <c r="A2881">
        <v>0</v>
      </c>
      <c r="B2881" t="str">
        <f t="shared" si="267"/>
        <v>Female</v>
      </c>
      <c r="C2881" s="8">
        <v>54</v>
      </c>
      <c r="D2881" t="str">
        <f t="shared" si="268"/>
        <v>Middle Age</v>
      </c>
      <c r="E2881">
        <v>3</v>
      </c>
      <c r="F2881" t="str">
        <f>HLOOKUP(E2881, LookUP_Table!$A$6:$D$7, 2, FALSE)</f>
        <v>Graduate</v>
      </c>
      <c r="G2881" t="str">
        <f>IFERROR(VLOOKUP(E2881, LookUP_Table!$A$1:$B$4, 2, FALSE), "")</f>
        <v>Graduate</v>
      </c>
      <c r="H2881">
        <v>0</v>
      </c>
      <c r="I2881">
        <v>0</v>
      </c>
      <c r="J2881" t="str">
        <f t="shared" si="264"/>
        <v>Non-Smoker</v>
      </c>
      <c r="K2881">
        <v>0</v>
      </c>
      <c r="L2881">
        <v>0</v>
      </c>
      <c r="M2881">
        <v>0</v>
      </c>
      <c r="N2881">
        <v>0</v>
      </c>
      <c r="O2881">
        <v>241</v>
      </c>
      <c r="P2881" t="str">
        <f t="shared" si="265"/>
        <v>High</v>
      </c>
      <c r="Q2881">
        <v>103</v>
      </c>
      <c r="R2881">
        <v>66</v>
      </c>
      <c r="S2881">
        <v>22.73</v>
      </c>
      <c r="T2881" t="str">
        <f t="shared" si="266"/>
        <v>Normal</v>
      </c>
      <c r="U2881">
        <v>85</v>
      </c>
      <c r="V2881">
        <v>66</v>
      </c>
      <c r="W2881" t="str">
        <f t="shared" si="269"/>
        <v>Normal</v>
      </c>
      <c r="X2881">
        <v>0</v>
      </c>
    </row>
    <row r="2882" spans="1:24" ht="14.5" thickBot="1" x14ac:dyDescent="0.35">
      <c r="A2882">
        <v>1</v>
      </c>
      <c r="B2882" t="str">
        <f t="shared" si="267"/>
        <v>Male</v>
      </c>
      <c r="C2882" s="8">
        <v>54</v>
      </c>
      <c r="D2882" t="str">
        <f t="shared" si="268"/>
        <v>Middle Age</v>
      </c>
      <c r="E2882">
        <v>1</v>
      </c>
      <c r="F2882" t="str">
        <f>HLOOKUP(E2882, LookUP_Table!$A$6:$D$7, 2, FALSE)</f>
        <v>Primary</v>
      </c>
      <c r="G2882" t="str">
        <f>IFERROR(VLOOKUP(E2882, LookUP_Table!$A$1:$B$4, 2, FALSE), "")</f>
        <v>Primary</v>
      </c>
      <c r="H2882">
        <v>0</v>
      </c>
      <c r="I2882">
        <v>0</v>
      </c>
      <c r="J2882" t="str">
        <f t="shared" ref="J2882:J2945" si="270">IF(I2882&gt;0,"Smoker","Non-Smoker")</f>
        <v>Non-Smoker</v>
      </c>
      <c r="K2882">
        <v>0</v>
      </c>
      <c r="L2882">
        <v>0</v>
      </c>
      <c r="M2882">
        <v>0</v>
      </c>
      <c r="N2882">
        <v>0</v>
      </c>
      <c r="O2882">
        <v>217</v>
      </c>
      <c r="P2882" t="str">
        <f t="shared" ref="P2882:P2945" si="271">IF(O2882&gt;240,"High","Normal")</f>
        <v>Normal</v>
      </c>
      <c r="Q2882">
        <v>116</v>
      </c>
      <c r="R2882">
        <v>72</v>
      </c>
      <c r="S2882">
        <v>22.49</v>
      </c>
      <c r="T2882" t="str">
        <f t="shared" ref="T2882:T2945" si="272">IF(S2882&lt;18.5,"Underweight",
IF(S2882&lt;25,"Normal",
IF(S2882&lt;30,"Overweight","Obese")))</f>
        <v>Normal</v>
      </c>
      <c r="U2882">
        <v>80</v>
      </c>
      <c r="V2882">
        <v>77</v>
      </c>
      <c r="W2882" t="str">
        <f t="shared" si="269"/>
        <v>Normal</v>
      </c>
      <c r="X2882">
        <v>0</v>
      </c>
    </row>
    <row r="2883" spans="1:24" ht="14.5" thickBot="1" x14ac:dyDescent="0.35">
      <c r="A2883">
        <v>0</v>
      </c>
      <c r="B2883" t="str">
        <f t="shared" ref="B2883:B2946" si="273">IF(A2883=0,"Female","Male")</f>
        <v>Female</v>
      </c>
      <c r="C2883" s="8">
        <v>54</v>
      </c>
      <c r="D2883" t="str">
        <f t="shared" ref="D2883:D2946" si="274">IF(C2883&lt;40,"Young",
IF(C2883&lt;55,"Middle Age","Senior"))</f>
        <v>Middle Age</v>
      </c>
      <c r="E2883">
        <v>1</v>
      </c>
      <c r="F2883" t="str">
        <f>HLOOKUP(E2883, LookUP_Table!$A$6:$D$7, 2, FALSE)</f>
        <v>Primary</v>
      </c>
      <c r="G2883" t="str">
        <f>IFERROR(VLOOKUP(E2883, LookUP_Table!$A$1:$B$4, 2, FALSE), "")</f>
        <v>Primary</v>
      </c>
      <c r="H2883">
        <v>0</v>
      </c>
      <c r="I2883">
        <v>0</v>
      </c>
      <c r="J2883" t="str">
        <f t="shared" si="270"/>
        <v>Non-Smoker</v>
      </c>
      <c r="K2883">
        <v>0</v>
      </c>
      <c r="L2883">
        <v>0</v>
      </c>
      <c r="M2883">
        <v>1</v>
      </c>
      <c r="N2883">
        <v>0</v>
      </c>
      <c r="O2883">
        <v>306</v>
      </c>
      <c r="P2883" t="str">
        <f t="shared" si="271"/>
        <v>High</v>
      </c>
      <c r="Q2883">
        <v>195</v>
      </c>
      <c r="R2883">
        <v>110</v>
      </c>
      <c r="S2883">
        <v>32.1</v>
      </c>
      <c r="T2883" t="str">
        <f t="shared" si="272"/>
        <v>Obese</v>
      </c>
      <c r="U2883">
        <v>72</v>
      </c>
      <c r="V2883">
        <v>68</v>
      </c>
      <c r="W2883" t="str">
        <f t="shared" ref="W2883:W2946" si="275">IF(V2883 &lt; 100, "Normal", IF(V2883 &lt;= 125, "Prediabetes", "Diabetes"))</f>
        <v>Normal</v>
      </c>
      <c r="X2883">
        <v>0</v>
      </c>
    </row>
    <row r="2884" spans="1:24" ht="14.5" thickBot="1" x14ac:dyDescent="0.35">
      <c r="A2884">
        <v>1</v>
      </c>
      <c r="B2884" t="str">
        <f t="shared" si="273"/>
        <v>Male</v>
      </c>
      <c r="C2884" s="8">
        <v>54</v>
      </c>
      <c r="D2884" t="str">
        <f t="shared" si="274"/>
        <v>Middle Age</v>
      </c>
      <c r="E2884">
        <v>4</v>
      </c>
      <c r="F2884" t="str">
        <f>HLOOKUP(E2884, LookUP_Table!$A$6:$D$7, 2, FALSE)</f>
        <v>Post Graduate</v>
      </c>
      <c r="G2884" t="str">
        <f>IFERROR(VLOOKUP(E2884, LookUP_Table!$A$1:$B$4, 2, FALSE), "")</f>
        <v>Post Graduate</v>
      </c>
      <c r="H2884">
        <v>0</v>
      </c>
      <c r="I2884">
        <v>0</v>
      </c>
      <c r="J2884" t="str">
        <f t="shared" si="270"/>
        <v>Non-Smoker</v>
      </c>
      <c r="K2884">
        <v>0</v>
      </c>
      <c r="L2884">
        <v>0</v>
      </c>
      <c r="M2884">
        <v>1</v>
      </c>
      <c r="N2884">
        <v>0</v>
      </c>
      <c r="O2884">
        <v>180</v>
      </c>
      <c r="P2884" t="str">
        <f t="shared" si="271"/>
        <v>Normal</v>
      </c>
      <c r="Q2884">
        <v>147.5</v>
      </c>
      <c r="R2884">
        <v>100</v>
      </c>
      <c r="S2884">
        <v>25.11</v>
      </c>
      <c r="T2884" t="str">
        <f t="shared" si="272"/>
        <v>Overweight</v>
      </c>
      <c r="U2884">
        <v>70</v>
      </c>
      <c r="V2884">
        <v>70</v>
      </c>
      <c r="W2884" t="str">
        <f t="shared" si="275"/>
        <v>Normal</v>
      </c>
      <c r="X2884">
        <v>1</v>
      </c>
    </row>
    <row r="2885" spans="1:24" ht="14.5" thickBot="1" x14ac:dyDescent="0.35">
      <c r="A2885">
        <v>1</v>
      </c>
      <c r="B2885" t="str">
        <f t="shared" si="273"/>
        <v>Male</v>
      </c>
      <c r="C2885" s="8">
        <v>54</v>
      </c>
      <c r="D2885" t="str">
        <f t="shared" si="274"/>
        <v>Middle Age</v>
      </c>
      <c r="E2885">
        <v>3</v>
      </c>
      <c r="F2885" t="str">
        <f>HLOOKUP(E2885, LookUP_Table!$A$6:$D$7, 2, FALSE)</f>
        <v>Graduate</v>
      </c>
      <c r="G2885" t="str">
        <f>IFERROR(VLOOKUP(E2885, LookUP_Table!$A$1:$B$4, 2, FALSE), "")</f>
        <v>Graduate</v>
      </c>
      <c r="H2885">
        <v>0</v>
      </c>
      <c r="I2885">
        <v>0</v>
      </c>
      <c r="J2885" t="str">
        <f t="shared" si="270"/>
        <v>Non-Smoker</v>
      </c>
      <c r="K2885">
        <v>0</v>
      </c>
      <c r="L2885">
        <v>0</v>
      </c>
      <c r="M2885">
        <v>1</v>
      </c>
      <c r="N2885">
        <v>0</v>
      </c>
      <c r="O2885">
        <v>248</v>
      </c>
      <c r="P2885" t="str">
        <f t="shared" si="271"/>
        <v>High</v>
      </c>
      <c r="Q2885">
        <v>155</v>
      </c>
      <c r="R2885">
        <v>92.5</v>
      </c>
      <c r="S2885">
        <v>29.86</v>
      </c>
      <c r="T2885" t="str">
        <f t="shared" si="272"/>
        <v>Overweight</v>
      </c>
      <c r="U2885">
        <v>85</v>
      </c>
      <c r="V2885">
        <v>66</v>
      </c>
      <c r="W2885" t="str">
        <f t="shared" si="275"/>
        <v>Normal</v>
      </c>
      <c r="X2885">
        <v>0</v>
      </c>
    </row>
    <row r="2886" spans="1:24" ht="14.5" thickBot="1" x14ac:dyDescent="0.35">
      <c r="A2886">
        <v>0</v>
      </c>
      <c r="B2886" t="str">
        <f t="shared" si="273"/>
        <v>Female</v>
      </c>
      <c r="C2886" s="8">
        <v>54</v>
      </c>
      <c r="D2886" t="str">
        <f t="shared" si="274"/>
        <v>Middle Age</v>
      </c>
      <c r="E2886">
        <v>1</v>
      </c>
      <c r="F2886" t="str">
        <f>HLOOKUP(E2886, LookUP_Table!$A$6:$D$7, 2, FALSE)</f>
        <v>Primary</v>
      </c>
      <c r="G2886" t="str">
        <f>IFERROR(VLOOKUP(E2886, LookUP_Table!$A$1:$B$4, 2, FALSE), "")</f>
        <v>Primary</v>
      </c>
      <c r="H2886">
        <v>0</v>
      </c>
      <c r="I2886">
        <v>0</v>
      </c>
      <c r="J2886" t="str">
        <f t="shared" si="270"/>
        <v>Non-Smoker</v>
      </c>
      <c r="K2886">
        <v>0</v>
      </c>
      <c r="L2886">
        <v>0</v>
      </c>
      <c r="M2886">
        <v>0</v>
      </c>
      <c r="N2886">
        <v>0</v>
      </c>
      <c r="O2886">
        <v>195</v>
      </c>
      <c r="P2886" t="str">
        <f t="shared" si="271"/>
        <v>Normal</v>
      </c>
      <c r="Q2886">
        <v>122</v>
      </c>
      <c r="R2886">
        <v>88.5</v>
      </c>
      <c r="S2886">
        <v>24.11</v>
      </c>
      <c r="T2886" t="str">
        <f t="shared" si="272"/>
        <v>Normal</v>
      </c>
      <c r="U2886">
        <v>76</v>
      </c>
      <c r="V2886">
        <v>67</v>
      </c>
      <c r="W2886" t="str">
        <f t="shared" si="275"/>
        <v>Normal</v>
      </c>
      <c r="X2886">
        <v>0</v>
      </c>
    </row>
    <row r="2887" spans="1:24" ht="14.5" thickBot="1" x14ac:dyDescent="0.35">
      <c r="A2887">
        <v>0</v>
      </c>
      <c r="B2887" t="str">
        <f t="shared" si="273"/>
        <v>Female</v>
      </c>
      <c r="C2887" s="8">
        <v>54</v>
      </c>
      <c r="D2887" t="str">
        <f t="shared" si="274"/>
        <v>Middle Age</v>
      </c>
      <c r="E2887">
        <v>1</v>
      </c>
      <c r="F2887" t="str">
        <f>HLOOKUP(E2887, LookUP_Table!$A$6:$D$7, 2, FALSE)</f>
        <v>Primary</v>
      </c>
      <c r="G2887" t="str">
        <f>IFERROR(VLOOKUP(E2887, LookUP_Table!$A$1:$B$4, 2, FALSE), "")</f>
        <v>Primary</v>
      </c>
      <c r="H2887">
        <v>0</v>
      </c>
      <c r="I2887">
        <v>0</v>
      </c>
      <c r="J2887" t="str">
        <f t="shared" si="270"/>
        <v>Non-Smoker</v>
      </c>
      <c r="K2887">
        <v>0</v>
      </c>
      <c r="L2887">
        <v>0</v>
      </c>
      <c r="M2887">
        <v>0</v>
      </c>
      <c r="N2887">
        <v>0</v>
      </c>
      <c r="O2887">
        <v>192</v>
      </c>
      <c r="P2887" t="str">
        <f t="shared" si="271"/>
        <v>Normal</v>
      </c>
      <c r="Q2887">
        <v>130</v>
      </c>
      <c r="R2887">
        <v>87</v>
      </c>
      <c r="S2887">
        <v>27.76</v>
      </c>
      <c r="T2887" t="str">
        <f t="shared" si="272"/>
        <v>Overweight</v>
      </c>
      <c r="U2887">
        <v>69</v>
      </c>
      <c r="V2887">
        <v>81.96365524402907</v>
      </c>
      <c r="W2887" t="str">
        <f t="shared" si="275"/>
        <v>Normal</v>
      </c>
      <c r="X2887">
        <v>0</v>
      </c>
    </row>
    <row r="2888" spans="1:24" ht="14.5" thickBot="1" x14ac:dyDescent="0.35">
      <c r="A2888">
        <v>0</v>
      </c>
      <c r="B2888" t="str">
        <f t="shared" si="273"/>
        <v>Female</v>
      </c>
      <c r="C2888" s="8">
        <v>54</v>
      </c>
      <c r="D2888" t="str">
        <f t="shared" si="274"/>
        <v>Middle Age</v>
      </c>
      <c r="E2888">
        <v>3</v>
      </c>
      <c r="F2888" t="str">
        <f>HLOOKUP(E2888, LookUP_Table!$A$6:$D$7, 2, FALSE)</f>
        <v>Graduate</v>
      </c>
      <c r="G2888" t="str">
        <f>IFERROR(VLOOKUP(E2888, LookUP_Table!$A$1:$B$4, 2, FALSE), "")</f>
        <v>Graduate</v>
      </c>
      <c r="H2888">
        <v>0</v>
      </c>
      <c r="I2888">
        <v>0</v>
      </c>
      <c r="J2888" t="str">
        <f t="shared" si="270"/>
        <v>Non-Smoker</v>
      </c>
      <c r="K2888">
        <v>0</v>
      </c>
      <c r="L2888">
        <v>0</v>
      </c>
      <c r="M2888">
        <v>0</v>
      </c>
      <c r="N2888">
        <v>0</v>
      </c>
      <c r="O2888">
        <v>278</v>
      </c>
      <c r="P2888" t="str">
        <f t="shared" si="271"/>
        <v>High</v>
      </c>
      <c r="Q2888">
        <v>127.5</v>
      </c>
      <c r="R2888">
        <v>83</v>
      </c>
      <c r="S2888">
        <v>23.08</v>
      </c>
      <c r="T2888" t="str">
        <f t="shared" si="272"/>
        <v>Normal</v>
      </c>
      <c r="U2888">
        <v>63</v>
      </c>
      <c r="V2888">
        <v>78</v>
      </c>
      <c r="W2888" t="str">
        <f t="shared" si="275"/>
        <v>Normal</v>
      </c>
      <c r="X2888">
        <v>0</v>
      </c>
    </row>
    <row r="2889" spans="1:24" ht="14.5" thickBot="1" x14ac:dyDescent="0.35">
      <c r="A2889">
        <v>1</v>
      </c>
      <c r="B2889" t="str">
        <f t="shared" si="273"/>
        <v>Male</v>
      </c>
      <c r="C2889" s="8">
        <v>54</v>
      </c>
      <c r="D2889" t="str">
        <f t="shared" si="274"/>
        <v>Middle Age</v>
      </c>
      <c r="E2889">
        <v>2</v>
      </c>
      <c r="F2889" t="str">
        <f>HLOOKUP(E2889, LookUP_Table!$A$6:$D$7, 2, FALSE)</f>
        <v>Secondary</v>
      </c>
      <c r="G2889" t="str">
        <f>IFERROR(VLOOKUP(E2889, LookUP_Table!$A$1:$B$4, 2, FALSE), "")</f>
        <v>Secondary</v>
      </c>
      <c r="H2889">
        <v>0</v>
      </c>
      <c r="I2889">
        <v>0</v>
      </c>
      <c r="J2889" t="str">
        <f t="shared" si="270"/>
        <v>Non-Smoker</v>
      </c>
      <c r="K2889">
        <v>0</v>
      </c>
      <c r="L2889">
        <v>0</v>
      </c>
      <c r="M2889">
        <v>1</v>
      </c>
      <c r="N2889">
        <v>0</v>
      </c>
      <c r="O2889">
        <v>165</v>
      </c>
      <c r="P2889" t="str">
        <f t="shared" si="271"/>
        <v>Normal</v>
      </c>
      <c r="Q2889">
        <v>151</v>
      </c>
      <c r="R2889">
        <v>100</v>
      </c>
      <c r="S2889">
        <v>23.74</v>
      </c>
      <c r="T2889" t="str">
        <f t="shared" si="272"/>
        <v>Normal</v>
      </c>
      <c r="U2889">
        <v>92</v>
      </c>
      <c r="V2889">
        <v>81.96365524402907</v>
      </c>
      <c r="W2889" t="str">
        <f t="shared" si="275"/>
        <v>Normal</v>
      </c>
      <c r="X2889">
        <v>0</v>
      </c>
    </row>
    <row r="2890" spans="1:24" ht="14.5" thickBot="1" x14ac:dyDescent="0.35">
      <c r="A2890">
        <v>0</v>
      </c>
      <c r="B2890" t="str">
        <f t="shared" si="273"/>
        <v>Female</v>
      </c>
      <c r="C2890" s="8">
        <v>54</v>
      </c>
      <c r="D2890" t="str">
        <f t="shared" si="274"/>
        <v>Middle Age</v>
      </c>
      <c r="E2890">
        <v>2</v>
      </c>
      <c r="F2890" t="str">
        <f>HLOOKUP(E2890, LookUP_Table!$A$6:$D$7, 2, FALSE)</f>
        <v>Secondary</v>
      </c>
      <c r="G2890" t="str">
        <f>IFERROR(VLOOKUP(E2890, LookUP_Table!$A$1:$B$4, 2, FALSE), "")</f>
        <v>Secondary</v>
      </c>
      <c r="H2890">
        <v>0</v>
      </c>
      <c r="I2890">
        <v>0</v>
      </c>
      <c r="J2890" t="str">
        <f t="shared" si="270"/>
        <v>Non-Smoker</v>
      </c>
      <c r="K2890">
        <v>0</v>
      </c>
      <c r="L2890">
        <v>0</v>
      </c>
      <c r="M2890">
        <v>1</v>
      </c>
      <c r="N2890">
        <v>0</v>
      </c>
      <c r="O2890">
        <v>252</v>
      </c>
      <c r="P2890" t="str">
        <f t="shared" si="271"/>
        <v>High</v>
      </c>
      <c r="Q2890">
        <v>146</v>
      </c>
      <c r="R2890">
        <v>87</v>
      </c>
      <c r="S2890">
        <v>33.11</v>
      </c>
      <c r="T2890" t="str">
        <f t="shared" si="272"/>
        <v>Obese</v>
      </c>
      <c r="U2890">
        <v>90</v>
      </c>
      <c r="V2890">
        <v>100</v>
      </c>
      <c r="W2890" t="str">
        <f t="shared" si="275"/>
        <v>Prediabetes</v>
      </c>
      <c r="X2890">
        <v>0</v>
      </c>
    </row>
    <row r="2891" spans="1:24" ht="14.5" thickBot="1" x14ac:dyDescent="0.35">
      <c r="A2891">
        <v>1</v>
      </c>
      <c r="B2891" t="str">
        <f t="shared" si="273"/>
        <v>Male</v>
      </c>
      <c r="C2891" s="8">
        <v>54</v>
      </c>
      <c r="D2891" t="str">
        <f t="shared" si="274"/>
        <v>Middle Age</v>
      </c>
      <c r="E2891">
        <v>1</v>
      </c>
      <c r="F2891" t="str">
        <f>HLOOKUP(E2891, LookUP_Table!$A$6:$D$7, 2, FALSE)</f>
        <v>Primary</v>
      </c>
      <c r="G2891" t="str">
        <f>IFERROR(VLOOKUP(E2891, LookUP_Table!$A$1:$B$4, 2, FALSE), "")</f>
        <v>Primary</v>
      </c>
      <c r="H2891">
        <v>1</v>
      </c>
      <c r="I2891">
        <v>30</v>
      </c>
      <c r="J2891" t="str">
        <f t="shared" si="270"/>
        <v>Smoker</v>
      </c>
      <c r="K2891">
        <v>0</v>
      </c>
      <c r="L2891">
        <v>0</v>
      </c>
      <c r="M2891">
        <v>1</v>
      </c>
      <c r="N2891">
        <v>0</v>
      </c>
      <c r="O2891">
        <v>177</v>
      </c>
      <c r="P2891" t="str">
        <f t="shared" si="271"/>
        <v>Normal</v>
      </c>
      <c r="Q2891">
        <v>162.5</v>
      </c>
      <c r="R2891">
        <v>99.5</v>
      </c>
      <c r="S2891">
        <v>22.97</v>
      </c>
      <c r="T2891" t="str">
        <f t="shared" si="272"/>
        <v>Normal</v>
      </c>
      <c r="U2891">
        <v>65</v>
      </c>
      <c r="V2891">
        <v>93</v>
      </c>
      <c r="W2891" t="str">
        <f t="shared" si="275"/>
        <v>Normal</v>
      </c>
      <c r="X2891">
        <v>1</v>
      </c>
    </row>
    <row r="2892" spans="1:24" ht="14.5" thickBot="1" x14ac:dyDescent="0.35">
      <c r="A2892">
        <v>0</v>
      </c>
      <c r="B2892" t="str">
        <f t="shared" si="273"/>
        <v>Female</v>
      </c>
      <c r="C2892" s="8">
        <v>54</v>
      </c>
      <c r="D2892" t="str">
        <f t="shared" si="274"/>
        <v>Middle Age</v>
      </c>
      <c r="E2892">
        <v>2</v>
      </c>
      <c r="F2892" t="str">
        <f>HLOOKUP(E2892, LookUP_Table!$A$6:$D$7, 2, FALSE)</f>
        <v>Secondary</v>
      </c>
      <c r="G2892" t="str">
        <f>IFERROR(VLOOKUP(E2892, LookUP_Table!$A$1:$B$4, 2, FALSE), "")</f>
        <v>Secondary</v>
      </c>
      <c r="H2892">
        <v>0</v>
      </c>
      <c r="I2892">
        <v>0</v>
      </c>
      <c r="J2892" t="str">
        <f t="shared" si="270"/>
        <v>Non-Smoker</v>
      </c>
      <c r="K2892">
        <v>0</v>
      </c>
      <c r="L2892">
        <v>0</v>
      </c>
      <c r="M2892">
        <v>0</v>
      </c>
      <c r="N2892">
        <v>0</v>
      </c>
      <c r="O2892">
        <v>243</v>
      </c>
      <c r="P2892" t="str">
        <f t="shared" si="271"/>
        <v>High</v>
      </c>
      <c r="Q2892">
        <v>147.5</v>
      </c>
      <c r="R2892">
        <v>86.5</v>
      </c>
      <c r="S2892">
        <v>26.42</v>
      </c>
      <c r="T2892" t="str">
        <f t="shared" si="272"/>
        <v>Overweight</v>
      </c>
      <c r="U2892">
        <v>64</v>
      </c>
      <c r="V2892">
        <v>81.96365524402907</v>
      </c>
      <c r="W2892" t="str">
        <f t="shared" si="275"/>
        <v>Normal</v>
      </c>
      <c r="X2892">
        <v>0</v>
      </c>
    </row>
    <row r="2893" spans="1:24" ht="14.5" thickBot="1" x14ac:dyDescent="0.35">
      <c r="A2893">
        <v>1</v>
      </c>
      <c r="B2893" t="str">
        <f t="shared" si="273"/>
        <v>Male</v>
      </c>
      <c r="C2893" s="8">
        <v>54</v>
      </c>
      <c r="D2893" t="str">
        <f t="shared" si="274"/>
        <v>Middle Age</v>
      </c>
      <c r="E2893">
        <v>3</v>
      </c>
      <c r="F2893" t="str">
        <f>HLOOKUP(E2893, LookUP_Table!$A$6:$D$7, 2, FALSE)</f>
        <v>Graduate</v>
      </c>
      <c r="G2893" t="str">
        <f>IFERROR(VLOOKUP(E2893, LookUP_Table!$A$1:$B$4, 2, FALSE), "")</f>
        <v>Graduate</v>
      </c>
      <c r="H2893">
        <v>1</v>
      </c>
      <c r="I2893">
        <v>6</v>
      </c>
      <c r="J2893" t="str">
        <f t="shared" si="270"/>
        <v>Smoker</v>
      </c>
      <c r="K2893">
        <v>0</v>
      </c>
      <c r="L2893">
        <v>0</v>
      </c>
      <c r="M2893">
        <v>0</v>
      </c>
      <c r="N2893">
        <v>0</v>
      </c>
      <c r="O2893">
        <v>260</v>
      </c>
      <c r="P2893" t="str">
        <f t="shared" si="271"/>
        <v>High</v>
      </c>
      <c r="Q2893">
        <v>116</v>
      </c>
      <c r="R2893">
        <v>86</v>
      </c>
      <c r="S2893">
        <v>24.05</v>
      </c>
      <c r="T2893" t="str">
        <f t="shared" si="272"/>
        <v>Normal</v>
      </c>
      <c r="U2893">
        <v>85</v>
      </c>
      <c r="V2893">
        <v>85</v>
      </c>
      <c r="W2893" t="str">
        <f t="shared" si="275"/>
        <v>Normal</v>
      </c>
      <c r="X2893">
        <v>0</v>
      </c>
    </row>
    <row r="2894" spans="1:24" ht="14.5" thickBot="1" x14ac:dyDescent="0.35">
      <c r="A2894">
        <v>0</v>
      </c>
      <c r="B2894" t="str">
        <f t="shared" si="273"/>
        <v>Female</v>
      </c>
      <c r="C2894" s="8">
        <v>54</v>
      </c>
      <c r="D2894" t="str">
        <f t="shared" si="274"/>
        <v>Middle Age</v>
      </c>
      <c r="E2894">
        <v>2</v>
      </c>
      <c r="F2894" t="str">
        <f>HLOOKUP(E2894, LookUP_Table!$A$6:$D$7, 2, FALSE)</f>
        <v>Secondary</v>
      </c>
      <c r="G2894" t="str">
        <f>IFERROR(VLOOKUP(E2894, LookUP_Table!$A$1:$B$4, 2, FALSE), "")</f>
        <v>Secondary</v>
      </c>
      <c r="H2894">
        <v>0</v>
      </c>
      <c r="I2894">
        <v>0</v>
      </c>
      <c r="J2894" t="str">
        <f t="shared" si="270"/>
        <v>Non-Smoker</v>
      </c>
      <c r="K2894">
        <v>0</v>
      </c>
      <c r="L2894">
        <v>0</v>
      </c>
      <c r="M2894">
        <v>0</v>
      </c>
      <c r="N2894">
        <v>0</v>
      </c>
      <c r="O2894">
        <v>240</v>
      </c>
      <c r="P2894" t="str">
        <f t="shared" si="271"/>
        <v>Normal</v>
      </c>
      <c r="Q2894">
        <v>125</v>
      </c>
      <c r="R2894">
        <v>87</v>
      </c>
      <c r="S2894">
        <v>28.76</v>
      </c>
      <c r="T2894" t="str">
        <f t="shared" si="272"/>
        <v>Overweight</v>
      </c>
      <c r="U2894">
        <v>76</v>
      </c>
      <c r="V2894">
        <v>76</v>
      </c>
      <c r="W2894" t="str">
        <f t="shared" si="275"/>
        <v>Normal</v>
      </c>
      <c r="X2894">
        <v>1</v>
      </c>
    </row>
    <row r="2895" spans="1:24" ht="14.5" thickBot="1" x14ac:dyDescent="0.35">
      <c r="A2895">
        <v>1</v>
      </c>
      <c r="B2895" t="str">
        <f t="shared" si="273"/>
        <v>Male</v>
      </c>
      <c r="C2895" s="8">
        <v>54</v>
      </c>
      <c r="D2895" t="str">
        <f t="shared" si="274"/>
        <v>Middle Age</v>
      </c>
      <c r="E2895">
        <v>2</v>
      </c>
      <c r="F2895" t="str">
        <f>HLOOKUP(E2895, LookUP_Table!$A$6:$D$7, 2, FALSE)</f>
        <v>Secondary</v>
      </c>
      <c r="G2895" t="str">
        <f>IFERROR(VLOOKUP(E2895, LookUP_Table!$A$1:$B$4, 2, FALSE), "")</f>
        <v>Secondary</v>
      </c>
      <c r="H2895">
        <v>1</v>
      </c>
      <c r="I2895">
        <v>3</v>
      </c>
      <c r="J2895" t="str">
        <f t="shared" si="270"/>
        <v>Smoker</v>
      </c>
      <c r="K2895">
        <v>0</v>
      </c>
      <c r="L2895">
        <v>0</v>
      </c>
      <c r="M2895">
        <v>1</v>
      </c>
      <c r="N2895">
        <v>0</v>
      </c>
      <c r="O2895">
        <v>279</v>
      </c>
      <c r="P2895" t="str">
        <f t="shared" si="271"/>
        <v>High</v>
      </c>
      <c r="Q2895">
        <v>155</v>
      </c>
      <c r="R2895">
        <v>105</v>
      </c>
      <c r="S2895">
        <v>26.47</v>
      </c>
      <c r="T2895" t="str">
        <f t="shared" si="272"/>
        <v>Overweight</v>
      </c>
      <c r="U2895">
        <v>78</v>
      </c>
      <c r="V2895">
        <v>66</v>
      </c>
      <c r="W2895" t="str">
        <f t="shared" si="275"/>
        <v>Normal</v>
      </c>
      <c r="X2895">
        <v>0</v>
      </c>
    </row>
    <row r="2896" spans="1:24" ht="14.5" thickBot="1" x14ac:dyDescent="0.35">
      <c r="A2896">
        <v>1</v>
      </c>
      <c r="B2896" t="str">
        <f t="shared" si="273"/>
        <v>Male</v>
      </c>
      <c r="C2896" s="8">
        <v>54</v>
      </c>
      <c r="D2896" t="str">
        <f t="shared" si="274"/>
        <v>Middle Age</v>
      </c>
      <c r="E2896">
        <v>4</v>
      </c>
      <c r="F2896" t="str">
        <f>HLOOKUP(E2896, LookUP_Table!$A$6:$D$7, 2, FALSE)</f>
        <v>Post Graduate</v>
      </c>
      <c r="G2896" t="str">
        <f>IFERROR(VLOOKUP(E2896, LookUP_Table!$A$1:$B$4, 2, FALSE), "")</f>
        <v>Post Graduate</v>
      </c>
      <c r="H2896">
        <v>0</v>
      </c>
      <c r="I2896">
        <v>0</v>
      </c>
      <c r="J2896" t="str">
        <f t="shared" si="270"/>
        <v>Non-Smoker</v>
      </c>
      <c r="K2896">
        <v>0</v>
      </c>
      <c r="L2896">
        <v>0</v>
      </c>
      <c r="M2896">
        <v>0</v>
      </c>
      <c r="N2896">
        <v>0</v>
      </c>
      <c r="O2896">
        <v>265</v>
      </c>
      <c r="P2896" t="str">
        <f t="shared" si="271"/>
        <v>High</v>
      </c>
      <c r="Q2896">
        <v>121</v>
      </c>
      <c r="R2896">
        <v>82</v>
      </c>
      <c r="S2896">
        <v>23.52</v>
      </c>
      <c r="T2896" t="str">
        <f t="shared" si="272"/>
        <v>Normal</v>
      </c>
      <c r="U2896">
        <v>60</v>
      </c>
      <c r="V2896">
        <v>67</v>
      </c>
      <c r="W2896" t="str">
        <f t="shared" si="275"/>
        <v>Normal</v>
      </c>
      <c r="X2896">
        <v>0</v>
      </c>
    </row>
    <row r="2897" spans="1:24" ht="14.5" thickBot="1" x14ac:dyDescent="0.35">
      <c r="A2897">
        <v>0</v>
      </c>
      <c r="B2897" t="str">
        <f t="shared" si="273"/>
        <v>Female</v>
      </c>
      <c r="C2897" s="8">
        <v>54</v>
      </c>
      <c r="D2897" t="str">
        <f t="shared" si="274"/>
        <v>Middle Age</v>
      </c>
      <c r="E2897">
        <v>1</v>
      </c>
      <c r="F2897" t="str">
        <f>HLOOKUP(E2897, LookUP_Table!$A$6:$D$7, 2, FALSE)</f>
        <v>Primary</v>
      </c>
      <c r="G2897" t="str">
        <f>IFERROR(VLOOKUP(E2897, LookUP_Table!$A$1:$B$4, 2, FALSE), "")</f>
        <v>Primary</v>
      </c>
      <c r="H2897">
        <v>0</v>
      </c>
      <c r="I2897">
        <v>0</v>
      </c>
      <c r="J2897" t="str">
        <f t="shared" si="270"/>
        <v>Non-Smoker</v>
      </c>
      <c r="K2897">
        <v>0</v>
      </c>
      <c r="L2897">
        <v>0</v>
      </c>
      <c r="M2897">
        <v>0</v>
      </c>
      <c r="N2897">
        <v>0</v>
      </c>
      <c r="O2897">
        <v>197</v>
      </c>
      <c r="P2897" t="str">
        <f t="shared" si="271"/>
        <v>Normal</v>
      </c>
      <c r="Q2897">
        <v>138</v>
      </c>
      <c r="R2897">
        <v>80</v>
      </c>
      <c r="S2897">
        <v>31.82</v>
      </c>
      <c r="T2897" t="str">
        <f t="shared" si="272"/>
        <v>Obese</v>
      </c>
      <c r="U2897">
        <v>72</v>
      </c>
      <c r="V2897">
        <v>73</v>
      </c>
      <c r="W2897" t="str">
        <f t="shared" si="275"/>
        <v>Normal</v>
      </c>
      <c r="X2897">
        <v>0</v>
      </c>
    </row>
    <row r="2898" spans="1:24" ht="14.5" thickBot="1" x14ac:dyDescent="0.35">
      <c r="A2898">
        <v>1</v>
      </c>
      <c r="B2898" t="str">
        <f t="shared" si="273"/>
        <v>Male</v>
      </c>
      <c r="C2898" s="8">
        <v>54</v>
      </c>
      <c r="D2898" t="str">
        <f t="shared" si="274"/>
        <v>Middle Age</v>
      </c>
      <c r="E2898">
        <v>3</v>
      </c>
      <c r="F2898" t="str">
        <f>HLOOKUP(E2898, LookUP_Table!$A$6:$D$7, 2, FALSE)</f>
        <v>Graduate</v>
      </c>
      <c r="G2898" t="str">
        <f>IFERROR(VLOOKUP(E2898, LookUP_Table!$A$1:$B$4, 2, FALSE), "")</f>
        <v>Graduate</v>
      </c>
      <c r="H2898">
        <v>1</v>
      </c>
      <c r="I2898">
        <v>40</v>
      </c>
      <c r="J2898" t="str">
        <f t="shared" si="270"/>
        <v>Smoker</v>
      </c>
      <c r="K2898">
        <v>0</v>
      </c>
      <c r="L2898">
        <v>0</v>
      </c>
      <c r="M2898">
        <v>0</v>
      </c>
      <c r="N2898">
        <v>0</v>
      </c>
      <c r="O2898">
        <v>250</v>
      </c>
      <c r="P2898" t="str">
        <f t="shared" si="271"/>
        <v>High</v>
      </c>
      <c r="Q2898">
        <v>114</v>
      </c>
      <c r="R2898">
        <v>82</v>
      </c>
      <c r="S2898">
        <v>24.39</v>
      </c>
      <c r="T2898" t="str">
        <f t="shared" si="272"/>
        <v>Normal</v>
      </c>
      <c r="U2898">
        <v>65</v>
      </c>
      <c r="V2898">
        <v>62</v>
      </c>
      <c r="W2898" t="str">
        <f t="shared" si="275"/>
        <v>Normal</v>
      </c>
      <c r="X2898">
        <v>0</v>
      </c>
    </row>
    <row r="2899" spans="1:24" ht="14.5" thickBot="1" x14ac:dyDescent="0.35">
      <c r="A2899">
        <v>0</v>
      </c>
      <c r="B2899" t="str">
        <f t="shared" si="273"/>
        <v>Female</v>
      </c>
      <c r="C2899" s="8">
        <v>54</v>
      </c>
      <c r="D2899" t="str">
        <f t="shared" si="274"/>
        <v>Middle Age</v>
      </c>
      <c r="E2899">
        <v>2</v>
      </c>
      <c r="F2899" t="str">
        <f>HLOOKUP(E2899, LookUP_Table!$A$6:$D$7, 2, FALSE)</f>
        <v>Secondary</v>
      </c>
      <c r="G2899" t="str">
        <f>IFERROR(VLOOKUP(E2899, LookUP_Table!$A$1:$B$4, 2, FALSE), "")</f>
        <v>Secondary</v>
      </c>
      <c r="H2899">
        <v>0</v>
      </c>
      <c r="I2899">
        <v>0</v>
      </c>
      <c r="J2899" t="str">
        <f t="shared" si="270"/>
        <v>Non-Smoker</v>
      </c>
      <c r="K2899">
        <v>0</v>
      </c>
      <c r="L2899">
        <v>0</v>
      </c>
      <c r="M2899">
        <v>1</v>
      </c>
      <c r="N2899">
        <v>0</v>
      </c>
      <c r="O2899">
        <v>320</v>
      </c>
      <c r="P2899" t="str">
        <f t="shared" si="271"/>
        <v>High</v>
      </c>
      <c r="Q2899">
        <v>165</v>
      </c>
      <c r="R2899">
        <v>84</v>
      </c>
      <c r="S2899">
        <v>38.31</v>
      </c>
      <c r="T2899" t="str">
        <f t="shared" si="272"/>
        <v>Obese</v>
      </c>
      <c r="U2899">
        <v>80</v>
      </c>
      <c r="V2899">
        <v>99</v>
      </c>
      <c r="W2899" t="str">
        <f t="shared" si="275"/>
        <v>Normal</v>
      </c>
      <c r="X2899">
        <v>0</v>
      </c>
    </row>
    <row r="2900" spans="1:24" ht="14.5" thickBot="1" x14ac:dyDescent="0.35">
      <c r="A2900">
        <v>1</v>
      </c>
      <c r="B2900" t="str">
        <f t="shared" si="273"/>
        <v>Male</v>
      </c>
      <c r="C2900" s="8">
        <v>54</v>
      </c>
      <c r="D2900" t="str">
        <f t="shared" si="274"/>
        <v>Middle Age</v>
      </c>
      <c r="E2900">
        <v>1</v>
      </c>
      <c r="F2900" t="str">
        <f>HLOOKUP(E2900, LookUP_Table!$A$6:$D$7, 2, FALSE)</f>
        <v>Primary</v>
      </c>
      <c r="G2900" t="str">
        <f>IFERROR(VLOOKUP(E2900, LookUP_Table!$A$1:$B$4, 2, FALSE), "")</f>
        <v>Primary</v>
      </c>
      <c r="H2900">
        <v>0</v>
      </c>
      <c r="I2900">
        <v>0</v>
      </c>
      <c r="J2900" t="str">
        <f t="shared" si="270"/>
        <v>Non-Smoker</v>
      </c>
      <c r="K2900">
        <v>0</v>
      </c>
      <c r="L2900">
        <v>0</v>
      </c>
      <c r="M2900">
        <v>0</v>
      </c>
      <c r="N2900">
        <v>0</v>
      </c>
      <c r="O2900">
        <v>250</v>
      </c>
      <c r="P2900" t="str">
        <f t="shared" si="271"/>
        <v>High</v>
      </c>
      <c r="Q2900">
        <v>123</v>
      </c>
      <c r="R2900">
        <v>75</v>
      </c>
      <c r="S2900">
        <v>25.91</v>
      </c>
      <c r="T2900" t="str">
        <f t="shared" si="272"/>
        <v>Overweight</v>
      </c>
      <c r="U2900">
        <v>65</v>
      </c>
      <c r="V2900">
        <v>71</v>
      </c>
      <c r="W2900" t="str">
        <f t="shared" si="275"/>
        <v>Normal</v>
      </c>
      <c r="X2900">
        <v>0</v>
      </c>
    </row>
    <row r="2901" spans="1:24" ht="14.5" thickBot="1" x14ac:dyDescent="0.35">
      <c r="A2901">
        <v>0</v>
      </c>
      <c r="B2901" t="str">
        <f t="shared" si="273"/>
        <v>Female</v>
      </c>
      <c r="C2901" s="8">
        <v>54</v>
      </c>
      <c r="D2901" t="str">
        <f t="shared" si="274"/>
        <v>Middle Age</v>
      </c>
      <c r="E2901">
        <v>1</v>
      </c>
      <c r="F2901" t="str">
        <f>HLOOKUP(E2901, LookUP_Table!$A$6:$D$7, 2, FALSE)</f>
        <v>Primary</v>
      </c>
      <c r="G2901" t="str">
        <f>IFERROR(VLOOKUP(E2901, LookUP_Table!$A$1:$B$4, 2, FALSE), "")</f>
        <v>Primary</v>
      </c>
      <c r="H2901">
        <v>1</v>
      </c>
      <c r="I2901">
        <v>5</v>
      </c>
      <c r="J2901" t="str">
        <f t="shared" si="270"/>
        <v>Smoker</v>
      </c>
      <c r="K2901">
        <v>0</v>
      </c>
      <c r="L2901">
        <v>0</v>
      </c>
      <c r="M2901">
        <v>0</v>
      </c>
      <c r="N2901">
        <v>0</v>
      </c>
      <c r="O2901">
        <v>267</v>
      </c>
      <c r="P2901" t="str">
        <f t="shared" si="271"/>
        <v>High</v>
      </c>
      <c r="Q2901">
        <v>115</v>
      </c>
      <c r="R2901">
        <v>72.5</v>
      </c>
      <c r="S2901">
        <v>20.72</v>
      </c>
      <c r="T2901" t="str">
        <f t="shared" si="272"/>
        <v>Normal</v>
      </c>
      <c r="U2901">
        <v>70</v>
      </c>
      <c r="V2901">
        <v>81.96365524402907</v>
      </c>
      <c r="W2901" t="str">
        <f t="shared" si="275"/>
        <v>Normal</v>
      </c>
      <c r="X2901">
        <v>0</v>
      </c>
    </row>
    <row r="2902" spans="1:24" ht="14.5" thickBot="1" x14ac:dyDescent="0.35">
      <c r="A2902">
        <v>0</v>
      </c>
      <c r="B2902" t="str">
        <f t="shared" si="273"/>
        <v>Female</v>
      </c>
      <c r="C2902" s="8">
        <v>54</v>
      </c>
      <c r="D2902" t="str">
        <f t="shared" si="274"/>
        <v>Middle Age</v>
      </c>
      <c r="E2902">
        <v>3</v>
      </c>
      <c r="F2902" t="str">
        <f>HLOOKUP(E2902, LookUP_Table!$A$6:$D$7, 2, FALSE)</f>
        <v>Graduate</v>
      </c>
      <c r="G2902" t="str">
        <f>IFERROR(VLOOKUP(E2902, LookUP_Table!$A$1:$B$4, 2, FALSE), "")</f>
        <v>Graduate</v>
      </c>
      <c r="H2902">
        <v>0</v>
      </c>
      <c r="I2902">
        <v>0</v>
      </c>
      <c r="J2902" t="str">
        <f t="shared" si="270"/>
        <v>Non-Smoker</v>
      </c>
      <c r="K2902">
        <v>0</v>
      </c>
      <c r="L2902">
        <v>0</v>
      </c>
      <c r="M2902">
        <v>0</v>
      </c>
      <c r="N2902">
        <v>0</v>
      </c>
      <c r="O2902">
        <v>230</v>
      </c>
      <c r="P2902" t="str">
        <f t="shared" si="271"/>
        <v>Normal</v>
      </c>
      <c r="Q2902">
        <v>135</v>
      </c>
      <c r="R2902">
        <v>85</v>
      </c>
      <c r="S2902">
        <v>19.18</v>
      </c>
      <c r="T2902" t="str">
        <f t="shared" si="272"/>
        <v>Normal</v>
      </c>
      <c r="U2902">
        <v>86</v>
      </c>
      <c r="V2902">
        <v>89</v>
      </c>
      <c r="W2902" t="str">
        <f t="shared" si="275"/>
        <v>Normal</v>
      </c>
      <c r="X2902">
        <v>0</v>
      </c>
    </row>
    <row r="2903" spans="1:24" ht="14.5" thickBot="1" x14ac:dyDescent="0.35">
      <c r="A2903">
        <v>1</v>
      </c>
      <c r="B2903" t="str">
        <f t="shared" si="273"/>
        <v>Male</v>
      </c>
      <c r="C2903" s="8">
        <v>54</v>
      </c>
      <c r="D2903" t="str">
        <f t="shared" si="274"/>
        <v>Middle Age</v>
      </c>
      <c r="E2903">
        <v>1</v>
      </c>
      <c r="F2903" t="str">
        <f>HLOOKUP(E2903, LookUP_Table!$A$6:$D$7, 2, FALSE)</f>
        <v>Primary</v>
      </c>
      <c r="G2903" t="str">
        <f>IFERROR(VLOOKUP(E2903, LookUP_Table!$A$1:$B$4, 2, FALSE), "")</f>
        <v>Primary</v>
      </c>
      <c r="H2903">
        <v>1</v>
      </c>
      <c r="I2903">
        <v>3</v>
      </c>
      <c r="J2903" t="str">
        <f t="shared" si="270"/>
        <v>Smoker</v>
      </c>
      <c r="K2903">
        <v>0</v>
      </c>
      <c r="L2903">
        <v>0</v>
      </c>
      <c r="M2903">
        <v>0</v>
      </c>
      <c r="N2903">
        <v>0</v>
      </c>
      <c r="O2903">
        <v>173</v>
      </c>
      <c r="P2903" t="str">
        <f t="shared" si="271"/>
        <v>Normal</v>
      </c>
      <c r="Q2903">
        <v>121</v>
      </c>
      <c r="R2903">
        <v>79</v>
      </c>
      <c r="S2903">
        <v>26.21</v>
      </c>
      <c r="T2903" t="str">
        <f t="shared" si="272"/>
        <v>Overweight</v>
      </c>
      <c r="U2903">
        <v>75</v>
      </c>
      <c r="V2903">
        <v>68</v>
      </c>
      <c r="W2903" t="str">
        <f t="shared" si="275"/>
        <v>Normal</v>
      </c>
      <c r="X2903">
        <v>0</v>
      </c>
    </row>
    <row r="2904" spans="1:24" ht="14.5" thickBot="1" x14ac:dyDescent="0.35">
      <c r="A2904">
        <v>0</v>
      </c>
      <c r="B2904" t="str">
        <f t="shared" si="273"/>
        <v>Female</v>
      </c>
      <c r="C2904" s="8">
        <v>54</v>
      </c>
      <c r="D2904" t="str">
        <f t="shared" si="274"/>
        <v>Middle Age</v>
      </c>
      <c r="E2904">
        <v>1</v>
      </c>
      <c r="F2904" t="str">
        <f>HLOOKUP(E2904, LookUP_Table!$A$6:$D$7, 2, FALSE)</f>
        <v>Primary</v>
      </c>
      <c r="G2904" t="str">
        <f>IFERROR(VLOOKUP(E2904, LookUP_Table!$A$1:$B$4, 2, FALSE), "")</f>
        <v>Primary</v>
      </c>
      <c r="H2904">
        <v>0</v>
      </c>
      <c r="I2904">
        <v>0</v>
      </c>
      <c r="J2904" t="str">
        <f t="shared" si="270"/>
        <v>Non-Smoker</v>
      </c>
      <c r="K2904">
        <v>0</v>
      </c>
      <c r="L2904">
        <v>0</v>
      </c>
      <c r="M2904">
        <v>0</v>
      </c>
      <c r="N2904">
        <v>0</v>
      </c>
      <c r="O2904">
        <v>241</v>
      </c>
      <c r="P2904" t="str">
        <f t="shared" si="271"/>
        <v>High</v>
      </c>
      <c r="Q2904">
        <v>106</v>
      </c>
      <c r="R2904">
        <v>77</v>
      </c>
      <c r="S2904">
        <v>27.64</v>
      </c>
      <c r="T2904" t="str">
        <f t="shared" si="272"/>
        <v>Overweight</v>
      </c>
      <c r="U2904">
        <v>78</v>
      </c>
      <c r="V2904">
        <v>74</v>
      </c>
      <c r="W2904" t="str">
        <f t="shared" si="275"/>
        <v>Normal</v>
      </c>
      <c r="X2904">
        <v>0</v>
      </c>
    </row>
    <row r="2905" spans="1:24" ht="14.5" thickBot="1" x14ac:dyDescent="0.35">
      <c r="A2905">
        <v>0</v>
      </c>
      <c r="B2905" t="str">
        <f t="shared" si="273"/>
        <v>Female</v>
      </c>
      <c r="C2905" s="8">
        <v>54</v>
      </c>
      <c r="D2905" t="str">
        <f t="shared" si="274"/>
        <v>Middle Age</v>
      </c>
      <c r="E2905">
        <v>1</v>
      </c>
      <c r="F2905" t="str">
        <f>HLOOKUP(E2905, LookUP_Table!$A$6:$D$7, 2, FALSE)</f>
        <v>Primary</v>
      </c>
      <c r="G2905" t="str">
        <f>IFERROR(VLOOKUP(E2905, LookUP_Table!$A$1:$B$4, 2, FALSE), "")</f>
        <v>Primary</v>
      </c>
      <c r="H2905">
        <v>0</v>
      </c>
      <c r="I2905">
        <v>0</v>
      </c>
      <c r="J2905" t="str">
        <f t="shared" si="270"/>
        <v>Non-Smoker</v>
      </c>
      <c r="K2905">
        <v>0</v>
      </c>
      <c r="L2905">
        <v>0</v>
      </c>
      <c r="M2905">
        <v>1</v>
      </c>
      <c r="N2905">
        <v>0</v>
      </c>
      <c r="O2905">
        <v>207</v>
      </c>
      <c r="P2905" t="str">
        <f t="shared" si="271"/>
        <v>Normal</v>
      </c>
      <c r="Q2905">
        <v>158</v>
      </c>
      <c r="R2905">
        <v>89</v>
      </c>
      <c r="S2905">
        <v>31.44</v>
      </c>
      <c r="T2905" t="str">
        <f t="shared" si="272"/>
        <v>Obese</v>
      </c>
      <c r="U2905">
        <v>67</v>
      </c>
      <c r="V2905">
        <v>112</v>
      </c>
      <c r="W2905" t="str">
        <f t="shared" si="275"/>
        <v>Prediabetes</v>
      </c>
      <c r="X2905">
        <v>0</v>
      </c>
    </row>
    <row r="2906" spans="1:24" ht="14.5" thickBot="1" x14ac:dyDescent="0.35">
      <c r="A2906">
        <v>0</v>
      </c>
      <c r="B2906" t="str">
        <f t="shared" si="273"/>
        <v>Female</v>
      </c>
      <c r="C2906" s="8">
        <v>54</v>
      </c>
      <c r="D2906" t="str">
        <f t="shared" si="274"/>
        <v>Middle Age</v>
      </c>
      <c r="E2906">
        <v>2</v>
      </c>
      <c r="F2906" t="str">
        <f>HLOOKUP(E2906, LookUP_Table!$A$6:$D$7, 2, FALSE)</f>
        <v>Secondary</v>
      </c>
      <c r="G2906" t="str">
        <f>IFERROR(VLOOKUP(E2906, LookUP_Table!$A$1:$B$4, 2, FALSE), "")</f>
        <v>Secondary</v>
      </c>
      <c r="H2906">
        <v>1</v>
      </c>
      <c r="I2906">
        <v>15</v>
      </c>
      <c r="J2906" t="str">
        <f t="shared" si="270"/>
        <v>Smoker</v>
      </c>
      <c r="K2906">
        <v>0</v>
      </c>
      <c r="L2906">
        <v>0</v>
      </c>
      <c r="M2906">
        <v>1</v>
      </c>
      <c r="N2906">
        <v>0</v>
      </c>
      <c r="O2906">
        <v>262</v>
      </c>
      <c r="P2906" t="str">
        <f t="shared" si="271"/>
        <v>High</v>
      </c>
      <c r="Q2906">
        <v>230</v>
      </c>
      <c r="R2906">
        <v>110</v>
      </c>
      <c r="S2906">
        <v>24.76</v>
      </c>
      <c r="T2906" t="str">
        <f t="shared" si="272"/>
        <v>Normal</v>
      </c>
      <c r="U2906">
        <v>93</v>
      </c>
      <c r="V2906">
        <v>97</v>
      </c>
      <c r="W2906" t="str">
        <f t="shared" si="275"/>
        <v>Normal</v>
      </c>
      <c r="X2906">
        <v>0</v>
      </c>
    </row>
    <row r="2907" spans="1:24" ht="14.5" thickBot="1" x14ac:dyDescent="0.35">
      <c r="A2907">
        <v>1</v>
      </c>
      <c r="B2907" t="str">
        <f t="shared" si="273"/>
        <v>Male</v>
      </c>
      <c r="C2907" s="8">
        <v>54</v>
      </c>
      <c r="D2907" t="str">
        <f t="shared" si="274"/>
        <v>Middle Age</v>
      </c>
      <c r="E2907">
        <v>1</v>
      </c>
      <c r="F2907" t="str">
        <f>HLOOKUP(E2907, LookUP_Table!$A$6:$D$7, 2, FALSE)</f>
        <v>Primary</v>
      </c>
      <c r="G2907" t="str">
        <f>IFERROR(VLOOKUP(E2907, LookUP_Table!$A$1:$B$4, 2, FALSE), "")</f>
        <v>Primary</v>
      </c>
      <c r="H2907">
        <v>1</v>
      </c>
      <c r="I2907">
        <v>20</v>
      </c>
      <c r="J2907" t="str">
        <f t="shared" si="270"/>
        <v>Smoker</v>
      </c>
      <c r="K2907">
        <v>0</v>
      </c>
      <c r="L2907">
        <v>0</v>
      </c>
      <c r="M2907">
        <v>0</v>
      </c>
      <c r="N2907">
        <v>0</v>
      </c>
      <c r="O2907">
        <v>235</v>
      </c>
      <c r="P2907" t="str">
        <f t="shared" si="271"/>
        <v>Normal</v>
      </c>
      <c r="Q2907">
        <v>143</v>
      </c>
      <c r="R2907">
        <v>75</v>
      </c>
      <c r="S2907">
        <v>32.99</v>
      </c>
      <c r="T2907" t="str">
        <f t="shared" si="272"/>
        <v>Obese</v>
      </c>
      <c r="U2907">
        <v>85</v>
      </c>
      <c r="V2907">
        <v>102</v>
      </c>
      <c r="W2907" t="str">
        <f t="shared" si="275"/>
        <v>Prediabetes</v>
      </c>
      <c r="X2907">
        <v>0</v>
      </c>
    </row>
    <row r="2908" spans="1:24" ht="14.5" thickBot="1" x14ac:dyDescent="0.35">
      <c r="A2908">
        <v>1</v>
      </c>
      <c r="B2908" t="str">
        <f t="shared" si="273"/>
        <v>Male</v>
      </c>
      <c r="C2908" s="8">
        <v>54</v>
      </c>
      <c r="D2908" t="str">
        <f t="shared" si="274"/>
        <v>Middle Age</v>
      </c>
      <c r="E2908">
        <v>3</v>
      </c>
      <c r="F2908" t="str">
        <f>HLOOKUP(E2908, LookUP_Table!$A$6:$D$7, 2, FALSE)</f>
        <v>Graduate</v>
      </c>
      <c r="G2908" t="str">
        <f>IFERROR(VLOOKUP(E2908, LookUP_Table!$A$1:$B$4, 2, FALSE), "")</f>
        <v>Graduate</v>
      </c>
      <c r="H2908">
        <v>1</v>
      </c>
      <c r="I2908">
        <v>25</v>
      </c>
      <c r="J2908" t="str">
        <f t="shared" si="270"/>
        <v>Smoker</v>
      </c>
      <c r="K2908">
        <v>0</v>
      </c>
      <c r="L2908">
        <v>0</v>
      </c>
      <c r="M2908">
        <v>0</v>
      </c>
      <c r="N2908">
        <v>0</v>
      </c>
      <c r="O2908">
        <v>208</v>
      </c>
      <c r="P2908" t="str">
        <f t="shared" si="271"/>
        <v>Normal</v>
      </c>
      <c r="Q2908">
        <v>137.5</v>
      </c>
      <c r="R2908">
        <v>82.5</v>
      </c>
      <c r="S2908">
        <v>25.58</v>
      </c>
      <c r="T2908" t="str">
        <f t="shared" si="272"/>
        <v>Overweight</v>
      </c>
      <c r="U2908">
        <v>75</v>
      </c>
      <c r="V2908">
        <v>63</v>
      </c>
      <c r="W2908" t="str">
        <f t="shared" si="275"/>
        <v>Normal</v>
      </c>
      <c r="X2908">
        <v>1</v>
      </c>
    </row>
    <row r="2909" spans="1:24" ht="14.5" thickBot="1" x14ac:dyDescent="0.35">
      <c r="A2909">
        <v>0</v>
      </c>
      <c r="B2909" t="str">
        <f t="shared" si="273"/>
        <v>Female</v>
      </c>
      <c r="C2909" s="8">
        <v>54</v>
      </c>
      <c r="D2909" t="str">
        <f t="shared" si="274"/>
        <v>Middle Age</v>
      </c>
      <c r="E2909">
        <v>1</v>
      </c>
      <c r="F2909" t="str">
        <f>HLOOKUP(E2909, LookUP_Table!$A$6:$D$7, 2, FALSE)</f>
        <v>Primary</v>
      </c>
      <c r="G2909" t="str">
        <f>IFERROR(VLOOKUP(E2909, LookUP_Table!$A$1:$B$4, 2, FALSE), "")</f>
        <v>Primary</v>
      </c>
      <c r="H2909">
        <v>1</v>
      </c>
      <c r="I2909">
        <v>10</v>
      </c>
      <c r="J2909" t="str">
        <f t="shared" si="270"/>
        <v>Smoker</v>
      </c>
      <c r="K2909">
        <v>0</v>
      </c>
      <c r="L2909">
        <v>0</v>
      </c>
      <c r="M2909">
        <v>0</v>
      </c>
      <c r="N2909">
        <v>0</v>
      </c>
      <c r="O2909">
        <v>240</v>
      </c>
      <c r="P2909" t="str">
        <f t="shared" si="271"/>
        <v>Normal</v>
      </c>
      <c r="Q2909">
        <v>113</v>
      </c>
      <c r="R2909">
        <v>73</v>
      </c>
      <c r="S2909">
        <v>24.21</v>
      </c>
      <c r="T2909" t="str">
        <f t="shared" si="272"/>
        <v>Normal</v>
      </c>
      <c r="U2909">
        <v>80</v>
      </c>
      <c r="V2909">
        <v>77</v>
      </c>
      <c r="W2909" t="str">
        <f t="shared" si="275"/>
        <v>Normal</v>
      </c>
      <c r="X2909">
        <v>0</v>
      </c>
    </row>
    <row r="2910" spans="1:24" ht="14.5" thickBot="1" x14ac:dyDescent="0.35">
      <c r="A2910">
        <v>0</v>
      </c>
      <c r="B2910" t="str">
        <f t="shared" si="273"/>
        <v>Female</v>
      </c>
      <c r="C2910" s="8">
        <v>54</v>
      </c>
      <c r="D2910" t="str">
        <f t="shared" si="274"/>
        <v>Middle Age</v>
      </c>
      <c r="E2910">
        <v>1</v>
      </c>
      <c r="F2910" t="str">
        <f>HLOOKUP(E2910, LookUP_Table!$A$6:$D$7, 2, FALSE)</f>
        <v>Primary</v>
      </c>
      <c r="G2910" t="str">
        <f>IFERROR(VLOOKUP(E2910, LookUP_Table!$A$1:$B$4, 2, FALSE), "")</f>
        <v>Primary</v>
      </c>
      <c r="H2910">
        <v>0</v>
      </c>
      <c r="I2910">
        <v>0</v>
      </c>
      <c r="J2910" t="str">
        <f t="shared" si="270"/>
        <v>Non-Smoker</v>
      </c>
      <c r="K2910">
        <v>0</v>
      </c>
      <c r="L2910">
        <v>0</v>
      </c>
      <c r="M2910">
        <v>0</v>
      </c>
      <c r="N2910">
        <v>1</v>
      </c>
      <c r="O2910">
        <v>223</v>
      </c>
      <c r="P2910" t="str">
        <f t="shared" si="271"/>
        <v>Normal</v>
      </c>
      <c r="Q2910">
        <v>110</v>
      </c>
      <c r="R2910">
        <v>67.5</v>
      </c>
      <c r="S2910">
        <v>21.22</v>
      </c>
      <c r="T2910" t="str">
        <f t="shared" si="272"/>
        <v>Normal</v>
      </c>
      <c r="U2910">
        <v>78</v>
      </c>
      <c r="V2910">
        <v>294</v>
      </c>
      <c r="W2910" t="str">
        <f t="shared" si="275"/>
        <v>Diabetes</v>
      </c>
      <c r="X2910">
        <v>0</v>
      </c>
    </row>
    <row r="2911" spans="1:24" ht="14.5" thickBot="1" x14ac:dyDescent="0.35">
      <c r="A2911">
        <v>1</v>
      </c>
      <c r="B2911" t="str">
        <f t="shared" si="273"/>
        <v>Male</v>
      </c>
      <c r="C2911" s="8">
        <v>54</v>
      </c>
      <c r="D2911" t="str">
        <f t="shared" si="274"/>
        <v>Middle Age</v>
      </c>
      <c r="E2911">
        <v>4</v>
      </c>
      <c r="F2911" t="str">
        <f>HLOOKUP(E2911, LookUP_Table!$A$6:$D$7, 2, FALSE)</f>
        <v>Post Graduate</v>
      </c>
      <c r="G2911" t="str">
        <f>IFERROR(VLOOKUP(E2911, LookUP_Table!$A$1:$B$4, 2, FALSE), "")</f>
        <v>Post Graduate</v>
      </c>
      <c r="H2911">
        <v>1</v>
      </c>
      <c r="I2911">
        <v>30</v>
      </c>
      <c r="J2911" t="str">
        <f t="shared" si="270"/>
        <v>Smoker</v>
      </c>
      <c r="K2911">
        <v>0</v>
      </c>
      <c r="L2911">
        <v>0</v>
      </c>
      <c r="M2911">
        <v>1</v>
      </c>
      <c r="N2911">
        <v>0</v>
      </c>
      <c r="O2911">
        <v>234</v>
      </c>
      <c r="P2911" t="str">
        <f t="shared" si="271"/>
        <v>Normal</v>
      </c>
      <c r="Q2911">
        <v>152.5</v>
      </c>
      <c r="R2911">
        <v>80</v>
      </c>
      <c r="S2911">
        <v>23.5</v>
      </c>
      <c r="T2911" t="str">
        <f t="shared" si="272"/>
        <v>Normal</v>
      </c>
      <c r="U2911">
        <v>75</v>
      </c>
      <c r="V2911">
        <v>75</v>
      </c>
      <c r="W2911" t="str">
        <f t="shared" si="275"/>
        <v>Normal</v>
      </c>
      <c r="X2911">
        <v>0</v>
      </c>
    </row>
    <row r="2912" spans="1:24" ht="14.5" thickBot="1" x14ac:dyDescent="0.35">
      <c r="A2912">
        <v>0</v>
      </c>
      <c r="B2912" t="str">
        <f t="shared" si="273"/>
        <v>Female</v>
      </c>
      <c r="C2912" s="8">
        <v>54</v>
      </c>
      <c r="D2912" t="str">
        <f t="shared" si="274"/>
        <v>Middle Age</v>
      </c>
      <c r="E2912">
        <v>2</v>
      </c>
      <c r="F2912" t="str">
        <f>HLOOKUP(E2912, LookUP_Table!$A$6:$D$7, 2, FALSE)</f>
        <v>Secondary</v>
      </c>
      <c r="G2912" t="str">
        <f>IFERROR(VLOOKUP(E2912, LookUP_Table!$A$1:$B$4, 2, FALSE), "")</f>
        <v>Secondary</v>
      </c>
      <c r="H2912">
        <v>1</v>
      </c>
      <c r="I2912">
        <v>20</v>
      </c>
      <c r="J2912" t="str">
        <f t="shared" si="270"/>
        <v>Smoker</v>
      </c>
      <c r="K2912">
        <v>1</v>
      </c>
      <c r="L2912">
        <v>0</v>
      </c>
      <c r="M2912">
        <v>1</v>
      </c>
      <c r="N2912">
        <v>0</v>
      </c>
      <c r="O2912">
        <v>325</v>
      </c>
      <c r="P2912" t="str">
        <f t="shared" si="271"/>
        <v>High</v>
      </c>
      <c r="Q2912">
        <v>170</v>
      </c>
      <c r="R2912">
        <v>107</v>
      </c>
      <c r="S2912">
        <v>25.07</v>
      </c>
      <c r="T2912" t="str">
        <f t="shared" si="272"/>
        <v>Overweight</v>
      </c>
      <c r="U2912">
        <v>90</v>
      </c>
      <c r="V2912">
        <v>64</v>
      </c>
      <c r="W2912" t="str">
        <f t="shared" si="275"/>
        <v>Normal</v>
      </c>
      <c r="X2912">
        <v>0</v>
      </c>
    </row>
    <row r="2913" spans="1:24" ht="14.5" thickBot="1" x14ac:dyDescent="0.35">
      <c r="A2913">
        <v>1</v>
      </c>
      <c r="B2913" t="str">
        <f t="shared" si="273"/>
        <v>Male</v>
      </c>
      <c r="C2913" s="8">
        <v>54</v>
      </c>
      <c r="D2913" t="str">
        <f t="shared" si="274"/>
        <v>Middle Age</v>
      </c>
      <c r="E2913">
        <v>3</v>
      </c>
      <c r="F2913" t="str">
        <f>HLOOKUP(E2913, LookUP_Table!$A$6:$D$7, 2, FALSE)</f>
        <v>Graduate</v>
      </c>
      <c r="G2913" t="str">
        <f>IFERROR(VLOOKUP(E2913, LookUP_Table!$A$1:$B$4, 2, FALSE), "")</f>
        <v>Graduate</v>
      </c>
      <c r="H2913">
        <v>1</v>
      </c>
      <c r="I2913">
        <v>30</v>
      </c>
      <c r="J2913" t="str">
        <f t="shared" si="270"/>
        <v>Smoker</v>
      </c>
      <c r="K2913">
        <v>0</v>
      </c>
      <c r="L2913">
        <v>0</v>
      </c>
      <c r="M2913">
        <v>1</v>
      </c>
      <c r="N2913">
        <v>0</v>
      </c>
      <c r="O2913">
        <v>267</v>
      </c>
      <c r="P2913" t="str">
        <f t="shared" si="271"/>
        <v>High</v>
      </c>
      <c r="Q2913">
        <v>141.5</v>
      </c>
      <c r="R2913">
        <v>91</v>
      </c>
      <c r="S2913">
        <v>25.36</v>
      </c>
      <c r="T2913" t="str">
        <f t="shared" si="272"/>
        <v>Overweight</v>
      </c>
      <c r="U2913">
        <v>92</v>
      </c>
      <c r="V2913">
        <v>87</v>
      </c>
      <c r="W2913" t="str">
        <f t="shared" si="275"/>
        <v>Normal</v>
      </c>
      <c r="X2913">
        <v>1</v>
      </c>
    </row>
    <row r="2914" spans="1:24" ht="14.5" thickBot="1" x14ac:dyDescent="0.35">
      <c r="A2914">
        <v>0</v>
      </c>
      <c r="B2914" t="str">
        <f t="shared" si="273"/>
        <v>Female</v>
      </c>
      <c r="C2914" s="8">
        <v>54</v>
      </c>
      <c r="D2914" t="str">
        <f t="shared" si="274"/>
        <v>Middle Age</v>
      </c>
      <c r="E2914">
        <v>1</v>
      </c>
      <c r="F2914" t="str">
        <f>HLOOKUP(E2914, LookUP_Table!$A$6:$D$7, 2, FALSE)</f>
        <v>Primary</v>
      </c>
      <c r="G2914" t="str">
        <f>IFERROR(VLOOKUP(E2914, LookUP_Table!$A$1:$B$4, 2, FALSE), "")</f>
        <v>Primary</v>
      </c>
      <c r="H2914">
        <v>0</v>
      </c>
      <c r="I2914">
        <v>0</v>
      </c>
      <c r="J2914" t="str">
        <f t="shared" si="270"/>
        <v>Non-Smoker</v>
      </c>
      <c r="K2914">
        <v>0</v>
      </c>
      <c r="L2914">
        <v>0</v>
      </c>
      <c r="M2914">
        <v>0</v>
      </c>
      <c r="N2914">
        <v>0</v>
      </c>
      <c r="O2914">
        <v>260</v>
      </c>
      <c r="P2914" t="str">
        <f t="shared" si="271"/>
        <v>High</v>
      </c>
      <c r="Q2914">
        <v>173</v>
      </c>
      <c r="R2914">
        <v>88</v>
      </c>
      <c r="S2914">
        <v>27.2</v>
      </c>
      <c r="T2914" t="str">
        <f t="shared" si="272"/>
        <v>Overweight</v>
      </c>
      <c r="U2914">
        <v>73</v>
      </c>
      <c r="V2914">
        <v>87</v>
      </c>
      <c r="W2914" t="str">
        <f t="shared" si="275"/>
        <v>Normal</v>
      </c>
      <c r="X2914">
        <v>0</v>
      </c>
    </row>
    <row r="2915" spans="1:24" ht="14.5" thickBot="1" x14ac:dyDescent="0.35">
      <c r="A2915">
        <v>0</v>
      </c>
      <c r="B2915" t="str">
        <f t="shared" si="273"/>
        <v>Female</v>
      </c>
      <c r="C2915" s="8">
        <v>54</v>
      </c>
      <c r="D2915" t="str">
        <f t="shared" si="274"/>
        <v>Middle Age</v>
      </c>
      <c r="E2915">
        <v>1</v>
      </c>
      <c r="F2915" t="str">
        <f>HLOOKUP(E2915, LookUP_Table!$A$6:$D$7, 2, FALSE)</f>
        <v>Primary</v>
      </c>
      <c r="G2915" t="str">
        <f>IFERROR(VLOOKUP(E2915, LookUP_Table!$A$1:$B$4, 2, FALSE), "")</f>
        <v>Primary</v>
      </c>
      <c r="H2915">
        <v>1</v>
      </c>
      <c r="I2915">
        <v>17</v>
      </c>
      <c r="J2915" t="str">
        <f t="shared" si="270"/>
        <v>Smoker</v>
      </c>
      <c r="K2915">
        <v>0</v>
      </c>
      <c r="L2915">
        <v>0</v>
      </c>
      <c r="M2915">
        <v>0</v>
      </c>
      <c r="N2915">
        <v>0</v>
      </c>
      <c r="O2915">
        <v>205</v>
      </c>
      <c r="P2915" t="str">
        <f t="shared" si="271"/>
        <v>Normal</v>
      </c>
      <c r="Q2915">
        <v>96</v>
      </c>
      <c r="R2915">
        <v>66</v>
      </c>
      <c r="S2915">
        <v>23.26</v>
      </c>
      <c r="T2915" t="str">
        <f t="shared" si="272"/>
        <v>Normal</v>
      </c>
      <c r="U2915">
        <v>85</v>
      </c>
      <c r="V2915">
        <v>75</v>
      </c>
      <c r="W2915" t="str">
        <f t="shared" si="275"/>
        <v>Normal</v>
      </c>
      <c r="X2915">
        <v>0</v>
      </c>
    </row>
    <row r="2916" spans="1:24" ht="14.5" thickBot="1" x14ac:dyDescent="0.35">
      <c r="A2916">
        <v>0</v>
      </c>
      <c r="B2916" t="str">
        <f t="shared" si="273"/>
        <v>Female</v>
      </c>
      <c r="C2916" s="8">
        <v>54</v>
      </c>
      <c r="D2916" t="str">
        <f t="shared" si="274"/>
        <v>Middle Age</v>
      </c>
      <c r="E2916">
        <v>3</v>
      </c>
      <c r="F2916" t="str">
        <f>HLOOKUP(E2916, LookUP_Table!$A$6:$D$7, 2, FALSE)</f>
        <v>Graduate</v>
      </c>
      <c r="G2916" t="str">
        <f>IFERROR(VLOOKUP(E2916, LookUP_Table!$A$1:$B$4, 2, FALSE), "")</f>
        <v>Graduate</v>
      </c>
      <c r="H2916">
        <v>0</v>
      </c>
      <c r="I2916">
        <v>0</v>
      </c>
      <c r="J2916" t="str">
        <f t="shared" si="270"/>
        <v>Non-Smoker</v>
      </c>
      <c r="K2916">
        <v>0</v>
      </c>
      <c r="L2916">
        <v>0</v>
      </c>
      <c r="M2916">
        <v>0</v>
      </c>
      <c r="N2916">
        <v>0</v>
      </c>
      <c r="O2916">
        <v>238</v>
      </c>
      <c r="P2916" t="str">
        <f t="shared" si="271"/>
        <v>Normal</v>
      </c>
      <c r="Q2916">
        <v>136.5</v>
      </c>
      <c r="R2916">
        <v>85</v>
      </c>
      <c r="S2916">
        <v>24.96</v>
      </c>
      <c r="T2916" t="str">
        <f t="shared" si="272"/>
        <v>Normal</v>
      </c>
      <c r="U2916">
        <v>80</v>
      </c>
      <c r="V2916">
        <v>71</v>
      </c>
      <c r="W2916" t="str">
        <f t="shared" si="275"/>
        <v>Normal</v>
      </c>
      <c r="X2916">
        <v>0</v>
      </c>
    </row>
    <row r="2917" spans="1:24" ht="14.5" thickBot="1" x14ac:dyDescent="0.35">
      <c r="A2917">
        <v>0</v>
      </c>
      <c r="B2917" t="str">
        <f t="shared" si="273"/>
        <v>Female</v>
      </c>
      <c r="C2917" s="8">
        <v>54</v>
      </c>
      <c r="D2917" t="str">
        <f t="shared" si="274"/>
        <v>Middle Age</v>
      </c>
      <c r="E2917">
        <v>2</v>
      </c>
      <c r="F2917" t="str">
        <f>HLOOKUP(E2917, LookUP_Table!$A$6:$D$7, 2, FALSE)</f>
        <v>Secondary</v>
      </c>
      <c r="G2917" t="str">
        <f>IFERROR(VLOOKUP(E2917, LookUP_Table!$A$1:$B$4, 2, FALSE), "")</f>
        <v>Secondary</v>
      </c>
      <c r="H2917">
        <v>1</v>
      </c>
      <c r="I2917">
        <v>10</v>
      </c>
      <c r="J2917" t="str">
        <f t="shared" si="270"/>
        <v>Smoker</v>
      </c>
      <c r="K2917">
        <v>0</v>
      </c>
      <c r="L2917">
        <v>0</v>
      </c>
      <c r="M2917">
        <v>1</v>
      </c>
      <c r="N2917">
        <v>0</v>
      </c>
      <c r="O2917">
        <v>246</v>
      </c>
      <c r="P2917" t="str">
        <f t="shared" si="271"/>
        <v>High</v>
      </c>
      <c r="Q2917">
        <v>153</v>
      </c>
      <c r="R2917">
        <v>80</v>
      </c>
      <c r="S2917">
        <v>37.299999999999997</v>
      </c>
      <c r="T2917" t="str">
        <f t="shared" si="272"/>
        <v>Obese</v>
      </c>
      <c r="U2917">
        <v>92</v>
      </c>
      <c r="V2917">
        <v>74</v>
      </c>
      <c r="W2917" t="str">
        <f t="shared" si="275"/>
        <v>Normal</v>
      </c>
      <c r="X2917">
        <v>0</v>
      </c>
    </row>
    <row r="2918" spans="1:24" ht="14.5" thickBot="1" x14ac:dyDescent="0.35">
      <c r="A2918">
        <v>1</v>
      </c>
      <c r="B2918" t="str">
        <f t="shared" si="273"/>
        <v>Male</v>
      </c>
      <c r="C2918" s="8">
        <v>54</v>
      </c>
      <c r="D2918" t="str">
        <f t="shared" si="274"/>
        <v>Middle Age</v>
      </c>
      <c r="E2918">
        <v>3</v>
      </c>
      <c r="F2918" t="str">
        <f>HLOOKUP(E2918, LookUP_Table!$A$6:$D$7, 2, FALSE)</f>
        <v>Graduate</v>
      </c>
      <c r="G2918" t="str">
        <f>IFERROR(VLOOKUP(E2918, LookUP_Table!$A$1:$B$4, 2, FALSE), "")</f>
        <v>Graduate</v>
      </c>
      <c r="H2918">
        <v>1</v>
      </c>
      <c r="I2918">
        <v>20</v>
      </c>
      <c r="J2918" t="str">
        <f t="shared" si="270"/>
        <v>Smoker</v>
      </c>
      <c r="K2918">
        <v>0</v>
      </c>
      <c r="L2918">
        <v>0</v>
      </c>
      <c r="M2918">
        <v>1</v>
      </c>
      <c r="N2918">
        <v>0</v>
      </c>
      <c r="O2918">
        <v>298</v>
      </c>
      <c r="P2918" t="str">
        <f t="shared" si="271"/>
        <v>High</v>
      </c>
      <c r="Q2918">
        <v>133</v>
      </c>
      <c r="R2918">
        <v>84</v>
      </c>
      <c r="S2918">
        <v>25.59</v>
      </c>
      <c r="T2918" t="str">
        <f t="shared" si="272"/>
        <v>Overweight</v>
      </c>
      <c r="U2918">
        <v>90</v>
      </c>
      <c r="V2918">
        <v>94</v>
      </c>
      <c r="W2918" t="str">
        <f t="shared" si="275"/>
        <v>Normal</v>
      </c>
      <c r="X2918">
        <v>0</v>
      </c>
    </row>
    <row r="2919" spans="1:24" ht="14.5" thickBot="1" x14ac:dyDescent="0.35">
      <c r="A2919">
        <v>0</v>
      </c>
      <c r="B2919" t="str">
        <f t="shared" si="273"/>
        <v>Female</v>
      </c>
      <c r="C2919" s="8">
        <v>54</v>
      </c>
      <c r="D2919" t="str">
        <f t="shared" si="274"/>
        <v>Middle Age</v>
      </c>
      <c r="E2919">
        <v>1</v>
      </c>
      <c r="F2919" t="str">
        <f>HLOOKUP(E2919, LookUP_Table!$A$6:$D$7, 2, FALSE)</f>
        <v>Primary</v>
      </c>
      <c r="G2919" t="str">
        <f>IFERROR(VLOOKUP(E2919, LookUP_Table!$A$1:$B$4, 2, FALSE), "")</f>
        <v>Primary</v>
      </c>
      <c r="H2919">
        <v>0</v>
      </c>
      <c r="I2919">
        <v>0</v>
      </c>
      <c r="J2919" t="str">
        <f t="shared" si="270"/>
        <v>Non-Smoker</v>
      </c>
      <c r="K2919">
        <v>0</v>
      </c>
      <c r="L2919">
        <v>0</v>
      </c>
      <c r="M2919">
        <v>1</v>
      </c>
      <c r="N2919">
        <v>1</v>
      </c>
      <c r="O2919">
        <v>326</v>
      </c>
      <c r="P2919" t="str">
        <f t="shared" si="271"/>
        <v>High</v>
      </c>
      <c r="Q2919">
        <v>187</v>
      </c>
      <c r="R2919">
        <v>95</v>
      </c>
      <c r="S2919">
        <v>29.94</v>
      </c>
      <c r="T2919" t="str">
        <f t="shared" si="272"/>
        <v>Overweight</v>
      </c>
      <c r="U2919">
        <v>67</v>
      </c>
      <c r="V2919">
        <v>235</v>
      </c>
      <c r="W2919" t="str">
        <f t="shared" si="275"/>
        <v>Diabetes</v>
      </c>
      <c r="X2919">
        <v>0</v>
      </c>
    </row>
    <row r="2920" spans="1:24" ht="14.5" thickBot="1" x14ac:dyDescent="0.35">
      <c r="A2920">
        <v>1</v>
      </c>
      <c r="B2920" t="str">
        <f t="shared" si="273"/>
        <v>Male</v>
      </c>
      <c r="C2920" s="8">
        <v>54</v>
      </c>
      <c r="D2920" t="str">
        <f t="shared" si="274"/>
        <v>Middle Age</v>
      </c>
      <c r="E2920">
        <v>2</v>
      </c>
      <c r="F2920" t="str">
        <f>HLOOKUP(E2920, LookUP_Table!$A$6:$D$7, 2, FALSE)</f>
        <v>Secondary</v>
      </c>
      <c r="G2920" t="str">
        <f>IFERROR(VLOOKUP(E2920, LookUP_Table!$A$1:$B$4, 2, FALSE), "")</f>
        <v>Secondary</v>
      </c>
      <c r="H2920">
        <v>1</v>
      </c>
      <c r="I2920">
        <v>40</v>
      </c>
      <c r="J2920" t="str">
        <f t="shared" si="270"/>
        <v>Smoker</v>
      </c>
      <c r="K2920">
        <v>0</v>
      </c>
      <c r="L2920">
        <v>0</v>
      </c>
      <c r="M2920">
        <v>0</v>
      </c>
      <c r="N2920">
        <v>0</v>
      </c>
      <c r="O2920">
        <v>245</v>
      </c>
      <c r="P2920" t="str">
        <f t="shared" si="271"/>
        <v>High</v>
      </c>
      <c r="Q2920">
        <v>152</v>
      </c>
      <c r="R2920">
        <v>82</v>
      </c>
      <c r="S2920">
        <v>23.71</v>
      </c>
      <c r="T2920" t="str">
        <f t="shared" si="272"/>
        <v>Normal</v>
      </c>
      <c r="U2920">
        <v>75</v>
      </c>
      <c r="V2920">
        <v>75</v>
      </c>
      <c r="W2920" t="str">
        <f t="shared" si="275"/>
        <v>Normal</v>
      </c>
      <c r="X2920">
        <v>0</v>
      </c>
    </row>
    <row r="2921" spans="1:24" ht="14.5" thickBot="1" x14ac:dyDescent="0.35">
      <c r="A2921">
        <v>1</v>
      </c>
      <c r="B2921" t="str">
        <f t="shared" si="273"/>
        <v>Male</v>
      </c>
      <c r="C2921" s="8">
        <v>54</v>
      </c>
      <c r="D2921" t="str">
        <f t="shared" si="274"/>
        <v>Middle Age</v>
      </c>
      <c r="E2921">
        <v>1</v>
      </c>
      <c r="F2921" t="str">
        <f>HLOOKUP(E2921, LookUP_Table!$A$6:$D$7, 2, FALSE)</f>
        <v>Primary</v>
      </c>
      <c r="G2921" t="str">
        <f>IFERROR(VLOOKUP(E2921, LookUP_Table!$A$1:$B$4, 2, FALSE), "")</f>
        <v>Primary</v>
      </c>
      <c r="H2921">
        <v>1</v>
      </c>
      <c r="I2921">
        <v>20</v>
      </c>
      <c r="J2921" t="str">
        <f t="shared" si="270"/>
        <v>Smoker</v>
      </c>
      <c r="K2921">
        <v>0</v>
      </c>
      <c r="L2921">
        <v>0</v>
      </c>
      <c r="M2921">
        <v>1</v>
      </c>
      <c r="N2921">
        <v>0</v>
      </c>
      <c r="O2921">
        <v>299</v>
      </c>
      <c r="P2921" t="str">
        <f t="shared" si="271"/>
        <v>High</v>
      </c>
      <c r="Q2921">
        <v>146.5</v>
      </c>
      <c r="R2921">
        <v>92</v>
      </c>
      <c r="S2921">
        <v>26.38</v>
      </c>
      <c r="T2921" t="str">
        <f t="shared" si="272"/>
        <v>Overweight</v>
      </c>
      <c r="U2921">
        <v>100</v>
      </c>
      <c r="V2921">
        <v>71</v>
      </c>
      <c r="W2921" t="str">
        <f t="shared" si="275"/>
        <v>Normal</v>
      </c>
      <c r="X2921">
        <v>1</v>
      </c>
    </row>
    <row r="2922" spans="1:24" ht="14.5" thickBot="1" x14ac:dyDescent="0.35">
      <c r="A2922">
        <v>0</v>
      </c>
      <c r="B2922" t="str">
        <f t="shared" si="273"/>
        <v>Female</v>
      </c>
      <c r="C2922" s="8">
        <v>54</v>
      </c>
      <c r="D2922" t="str">
        <f t="shared" si="274"/>
        <v>Middle Age</v>
      </c>
      <c r="E2922">
        <v>2</v>
      </c>
      <c r="F2922" t="str">
        <f>HLOOKUP(E2922, LookUP_Table!$A$6:$D$7, 2, FALSE)</f>
        <v>Secondary</v>
      </c>
      <c r="G2922" t="str">
        <f>IFERROR(VLOOKUP(E2922, LookUP_Table!$A$1:$B$4, 2, FALSE), "")</f>
        <v>Secondary</v>
      </c>
      <c r="H2922">
        <v>0</v>
      </c>
      <c r="I2922">
        <v>0</v>
      </c>
      <c r="J2922" t="str">
        <f t="shared" si="270"/>
        <v>Non-Smoker</v>
      </c>
      <c r="K2922">
        <v>0</v>
      </c>
      <c r="L2922">
        <v>0</v>
      </c>
      <c r="M2922">
        <v>1</v>
      </c>
      <c r="N2922">
        <v>0</v>
      </c>
      <c r="O2922">
        <v>302</v>
      </c>
      <c r="P2922" t="str">
        <f t="shared" si="271"/>
        <v>High</v>
      </c>
      <c r="Q2922">
        <v>210</v>
      </c>
      <c r="R2922">
        <v>127.5</v>
      </c>
      <c r="S2922">
        <v>31.98</v>
      </c>
      <c r="T2922" t="str">
        <f t="shared" si="272"/>
        <v>Obese</v>
      </c>
      <c r="U2922">
        <v>68</v>
      </c>
      <c r="V2922">
        <v>79</v>
      </c>
      <c r="W2922" t="str">
        <f t="shared" si="275"/>
        <v>Normal</v>
      </c>
      <c r="X2922">
        <v>0</v>
      </c>
    </row>
    <row r="2923" spans="1:24" ht="14.5" thickBot="1" x14ac:dyDescent="0.35">
      <c r="A2923">
        <v>0</v>
      </c>
      <c r="B2923" t="str">
        <f t="shared" si="273"/>
        <v>Female</v>
      </c>
      <c r="C2923" s="8">
        <v>54</v>
      </c>
      <c r="D2923" t="str">
        <f t="shared" si="274"/>
        <v>Middle Age</v>
      </c>
      <c r="E2923">
        <v>1</v>
      </c>
      <c r="F2923" t="str">
        <f>HLOOKUP(E2923, LookUP_Table!$A$6:$D$7, 2, FALSE)</f>
        <v>Primary</v>
      </c>
      <c r="G2923" t="str">
        <f>IFERROR(VLOOKUP(E2923, LookUP_Table!$A$1:$B$4, 2, FALSE), "")</f>
        <v>Primary</v>
      </c>
      <c r="H2923">
        <v>0</v>
      </c>
      <c r="I2923">
        <v>0</v>
      </c>
      <c r="J2923" t="str">
        <f t="shared" si="270"/>
        <v>Non-Smoker</v>
      </c>
      <c r="K2923">
        <v>0</v>
      </c>
      <c r="L2923">
        <v>0</v>
      </c>
      <c r="M2923">
        <v>0</v>
      </c>
      <c r="N2923">
        <v>0</v>
      </c>
      <c r="O2923">
        <v>207</v>
      </c>
      <c r="P2923" t="str">
        <f t="shared" si="271"/>
        <v>Normal</v>
      </c>
      <c r="Q2923">
        <v>137.5</v>
      </c>
      <c r="R2923">
        <v>89</v>
      </c>
      <c r="S2923">
        <v>25.43</v>
      </c>
      <c r="T2923" t="str">
        <f t="shared" si="272"/>
        <v>Overweight</v>
      </c>
      <c r="U2923">
        <v>63</v>
      </c>
      <c r="V2923">
        <v>72</v>
      </c>
      <c r="W2923" t="str">
        <f t="shared" si="275"/>
        <v>Normal</v>
      </c>
      <c r="X2923">
        <v>0</v>
      </c>
    </row>
    <row r="2924" spans="1:24" ht="14.5" thickBot="1" x14ac:dyDescent="0.35">
      <c r="A2924">
        <v>1</v>
      </c>
      <c r="B2924" t="str">
        <f t="shared" si="273"/>
        <v>Male</v>
      </c>
      <c r="C2924" s="8">
        <v>54</v>
      </c>
      <c r="D2924" t="str">
        <f t="shared" si="274"/>
        <v>Middle Age</v>
      </c>
      <c r="E2924">
        <v>2</v>
      </c>
      <c r="F2924" t="str">
        <f>HLOOKUP(E2924, LookUP_Table!$A$6:$D$7, 2, FALSE)</f>
        <v>Secondary</v>
      </c>
      <c r="G2924" t="str">
        <f>IFERROR(VLOOKUP(E2924, LookUP_Table!$A$1:$B$4, 2, FALSE), "")</f>
        <v>Secondary</v>
      </c>
      <c r="H2924">
        <v>1</v>
      </c>
      <c r="I2924">
        <v>20</v>
      </c>
      <c r="J2924" t="str">
        <f t="shared" si="270"/>
        <v>Smoker</v>
      </c>
      <c r="K2924">
        <v>0</v>
      </c>
      <c r="L2924">
        <v>0</v>
      </c>
      <c r="M2924">
        <v>0</v>
      </c>
      <c r="N2924">
        <v>0</v>
      </c>
      <c r="O2924">
        <v>261</v>
      </c>
      <c r="P2924" t="str">
        <f t="shared" si="271"/>
        <v>High</v>
      </c>
      <c r="Q2924">
        <v>117</v>
      </c>
      <c r="R2924">
        <v>74</v>
      </c>
      <c r="S2924">
        <v>20.88</v>
      </c>
      <c r="T2924" t="str">
        <f t="shared" si="272"/>
        <v>Normal</v>
      </c>
      <c r="U2924">
        <v>80</v>
      </c>
      <c r="V2924">
        <v>77</v>
      </c>
      <c r="W2924" t="str">
        <f t="shared" si="275"/>
        <v>Normal</v>
      </c>
      <c r="X2924">
        <v>1</v>
      </c>
    </row>
    <row r="2925" spans="1:24" ht="14.5" thickBot="1" x14ac:dyDescent="0.35">
      <c r="A2925">
        <v>0</v>
      </c>
      <c r="B2925" t="str">
        <f t="shared" si="273"/>
        <v>Female</v>
      </c>
      <c r="C2925" s="8">
        <v>55</v>
      </c>
      <c r="D2925" t="str">
        <f t="shared" si="274"/>
        <v>Senior</v>
      </c>
      <c r="E2925">
        <v>2</v>
      </c>
      <c r="F2925" t="str">
        <f>HLOOKUP(E2925, LookUP_Table!$A$6:$D$7, 2, FALSE)</f>
        <v>Secondary</v>
      </c>
      <c r="G2925" t="str">
        <f>IFERROR(VLOOKUP(E2925, LookUP_Table!$A$1:$B$4, 2, FALSE), "")</f>
        <v>Secondary</v>
      </c>
      <c r="H2925">
        <v>0</v>
      </c>
      <c r="I2925">
        <v>0</v>
      </c>
      <c r="J2925" t="str">
        <f t="shared" si="270"/>
        <v>Non-Smoker</v>
      </c>
      <c r="K2925">
        <v>0</v>
      </c>
      <c r="L2925">
        <v>0</v>
      </c>
      <c r="M2925">
        <v>1</v>
      </c>
      <c r="N2925">
        <v>0</v>
      </c>
      <c r="O2925">
        <v>183</v>
      </c>
      <c r="P2925" t="str">
        <f t="shared" si="271"/>
        <v>Normal</v>
      </c>
      <c r="Q2925">
        <v>158</v>
      </c>
      <c r="R2925">
        <v>86</v>
      </c>
      <c r="S2925">
        <v>24.45</v>
      </c>
      <c r="T2925" t="str">
        <f t="shared" si="272"/>
        <v>Normal</v>
      </c>
      <c r="U2925">
        <v>70</v>
      </c>
      <c r="V2925">
        <v>102</v>
      </c>
      <c r="W2925" t="str">
        <f t="shared" si="275"/>
        <v>Prediabetes</v>
      </c>
      <c r="X2925">
        <v>0</v>
      </c>
    </row>
    <row r="2926" spans="1:24" ht="14.5" thickBot="1" x14ac:dyDescent="0.35">
      <c r="A2926">
        <v>0</v>
      </c>
      <c r="B2926" t="str">
        <f t="shared" si="273"/>
        <v>Female</v>
      </c>
      <c r="C2926" s="8">
        <v>55</v>
      </c>
      <c r="D2926" t="str">
        <f t="shared" si="274"/>
        <v>Senior</v>
      </c>
      <c r="E2926">
        <v>1</v>
      </c>
      <c r="F2926" t="str">
        <f>HLOOKUP(E2926, LookUP_Table!$A$6:$D$7, 2, FALSE)</f>
        <v>Primary</v>
      </c>
      <c r="G2926" t="str">
        <f>IFERROR(VLOOKUP(E2926, LookUP_Table!$A$1:$B$4, 2, FALSE), "")</f>
        <v>Primary</v>
      </c>
      <c r="H2926">
        <v>0</v>
      </c>
      <c r="I2926">
        <v>0</v>
      </c>
      <c r="J2926" t="str">
        <f t="shared" si="270"/>
        <v>Non-Smoker</v>
      </c>
      <c r="K2926">
        <v>0</v>
      </c>
      <c r="L2926">
        <v>0</v>
      </c>
      <c r="M2926">
        <v>0</v>
      </c>
      <c r="N2926">
        <v>0</v>
      </c>
      <c r="O2926">
        <v>286</v>
      </c>
      <c r="P2926" t="str">
        <f t="shared" si="271"/>
        <v>High</v>
      </c>
      <c r="Q2926">
        <v>138</v>
      </c>
      <c r="R2926">
        <v>82</v>
      </c>
      <c r="S2926">
        <v>24.27</v>
      </c>
      <c r="T2926" t="str">
        <f t="shared" si="272"/>
        <v>Normal</v>
      </c>
      <c r="U2926">
        <v>80</v>
      </c>
      <c r="V2926">
        <v>90</v>
      </c>
      <c r="W2926" t="str">
        <f t="shared" si="275"/>
        <v>Normal</v>
      </c>
      <c r="X2926">
        <v>1</v>
      </c>
    </row>
    <row r="2927" spans="1:24" ht="14.5" thickBot="1" x14ac:dyDescent="0.35">
      <c r="A2927">
        <v>0</v>
      </c>
      <c r="B2927" t="str">
        <f t="shared" si="273"/>
        <v>Female</v>
      </c>
      <c r="C2927" s="8">
        <v>55</v>
      </c>
      <c r="D2927" t="str">
        <f t="shared" si="274"/>
        <v>Senior</v>
      </c>
      <c r="E2927">
        <v>1</v>
      </c>
      <c r="F2927" t="str">
        <f>HLOOKUP(E2927, LookUP_Table!$A$6:$D$7, 2, FALSE)</f>
        <v>Primary</v>
      </c>
      <c r="G2927" t="str">
        <f>IFERROR(VLOOKUP(E2927, LookUP_Table!$A$1:$B$4, 2, FALSE), "")</f>
        <v>Primary</v>
      </c>
      <c r="H2927">
        <v>1</v>
      </c>
      <c r="I2927">
        <v>4</v>
      </c>
      <c r="J2927" t="str">
        <f t="shared" si="270"/>
        <v>Smoker</v>
      </c>
      <c r="K2927">
        <v>0</v>
      </c>
      <c r="L2927">
        <v>0</v>
      </c>
      <c r="M2927">
        <v>0</v>
      </c>
      <c r="N2927">
        <v>0</v>
      </c>
      <c r="O2927">
        <v>308</v>
      </c>
      <c r="P2927" t="str">
        <f t="shared" si="271"/>
        <v>High</v>
      </c>
      <c r="Q2927">
        <v>124</v>
      </c>
      <c r="R2927">
        <v>76</v>
      </c>
      <c r="S2927">
        <v>27.23</v>
      </c>
      <c r="T2927" t="str">
        <f t="shared" si="272"/>
        <v>Overweight</v>
      </c>
      <c r="U2927">
        <v>75</v>
      </c>
      <c r="V2927">
        <v>68</v>
      </c>
      <c r="W2927" t="str">
        <f t="shared" si="275"/>
        <v>Normal</v>
      </c>
      <c r="X2927">
        <v>0</v>
      </c>
    </row>
    <row r="2928" spans="1:24" ht="14.5" thickBot="1" x14ac:dyDescent="0.35">
      <c r="A2928">
        <v>0</v>
      </c>
      <c r="B2928" t="str">
        <f t="shared" si="273"/>
        <v>Female</v>
      </c>
      <c r="C2928" s="8">
        <v>55</v>
      </c>
      <c r="D2928" t="str">
        <f t="shared" si="274"/>
        <v>Senior</v>
      </c>
      <c r="E2928">
        <v>1</v>
      </c>
      <c r="F2928" t="str">
        <f>HLOOKUP(E2928, LookUP_Table!$A$6:$D$7, 2, FALSE)</f>
        <v>Primary</v>
      </c>
      <c r="G2928" t="str">
        <f>IFERROR(VLOOKUP(E2928, LookUP_Table!$A$1:$B$4, 2, FALSE), "")</f>
        <v>Primary</v>
      </c>
      <c r="H2928">
        <v>0</v>
      </c>
      <c r="I2928">
        <v>0</v>
      </c>
      <c r="J2928" t="str">
        <f t="shared" si="270"/>
        <v>Non-Smoker</v>
      </c>
      <c r="K2928">
        <v>0</v>
      </c>
      <c r="L2928">
        <v>0</v>
      </c>
      <c r="M2928">
        <v>0</v>
      </c>
      <c r="N2928">
        <v>0</v>
      </c>
      <c r="O2928">
        <v>245</v>
      </c>
      <c r="P2928" t="str">
        <f t="shared" si="271"/>
        <v>High</v>
      </c>
      <c r="Q2928">
        <v>144.5</v>
      </c>
      <c r="R2928">
        <v>83.5</v>
      </c>
      <c r="S2928">
        <v>28.96</v>
      </c>
      <c r="T2928" t="str">
        <f t="shared" si="272"/>
        <v>Overweight</v>
      </c>
      <c r="U2928">
        <v>72</v>
      </c>
      <c r="V2928">
        <v>65</v>
      </c>
      <c r="W2928" t="str">
        <f t="shared" si="275"/>
        <v>Normal</v>
      </c>
      <c r="X2928">
        <v>0</v>
      </c>
    </row>
    <row r="2929" spans="1:24" ht="14.5" thickBot="1" x14ac:dyDescent="0.35">
      <c r="A2929">
        <v>0</v>
      </c>
      <c r="B2929" t="str">
        <f t="shared" si="273"/>
        <v>Female</v>
      </c>
      <c r="C2929" s="8">
        <v>55</v>
      </c>
      <c r="D2929" t="str">
        <f t="shared" si="274"/>
        <v>Senior</v>
      </c>
      <c r="E2929">
        <v>2</v>
      </c>
      <c r="F2929" t="str">
        <f>HLOOKUP(E2929, LookUP_Table!$A$6:$D$7, 2, FALSE)</f>
        <v>Secondary</v>
      </c>
      <c r="G2929" t="str">
        <f>IFERROR(VLOOKUP(E2929, LookUP_Table!$A$1:$B$4, 2, FALSE), "")</f>
        <v>Secondary</v>
      </c>
      <c r="H2929">
        <v>1</v>
      </c>
      <c r="I2929">
        <v>9</v>
      </c>
      <c r="J2929" t="str">
        <f t="shared" si="270"/>
        <v>Smoker</v>
      </c>
      <c r="K2929">
        <v>0</v>
      </c>
      <c r="L2929">
        <v>0</v>
      </c>
      <c r="M2929">
        <v>0</v>
      </c>
      <c r="N2929">
        <v>0</v>
      </c>
      <c r="O2929">
        <v>248</v>
      </c>
      <c r="P2929" t="str">
        <f t="shared" si="271"/>
        <v>High</v>
      </c>
      <c r="Q2929">
        <v>157</v>
      </c>
      <c r="R2929">
        <v>82.5</v>
      </c>
      <c r="S2929">
        <v>22.91</v>
      </c>
      <c r="T2929" t="str">
        <f t="shared" si="272"/>
        <v>Normal</v>
      </c>
      <c r="U2929">
        <v>89</v>
      </c>
      <c r="V2929">
        <v>83</v>
      </c>
      <c r="W2929" t="str">
        <f t="shared" si="275"/>
        <v>Normal</v>
      </c>
      <c r="X2929">
        <v>0</v>
      </c>
    </row>
    <row r="2930" spans="1:24" ht="14.5" thickBot="1" x14ac:dyDescent="0.35">
      <c r="A2930">
        <v>0</v>
      </c>
      <c r="B2930" t="str">
        <f t="shared" si="273"/>
        <v>Female</v>
      </c>
      <c r="C2930" s="8">
        <v>55</v>
      </c>
      <c r="D2930" t="str">
        <f t="shared" si="274"/>
        <v>Senior</v>
      </c>
      <c r="E2930">
        <v>1</v>
      </c>
      <c r="F2930" t="str">
        <f>HLOOKUP(E2930, LookUP_Table!$A$6:$D$7, 2, FALSE)</f>
        <v>Primary</v>
      </c>
      <c r="G2930" t="str">
        <f>IFERROR(VLOOKUP(E2930, LookUP_Table!$A$1:$B$4, 2, FALSE), "")</f>
        <v>Primary</v>
      </c>
      <c r="H2930">
        <v>0</v>
      </c>
      <c r="I2930">
        <v>0</v>
      </c>
      <c r="J2930" t="str">
        <f t="shared" si="270"/>
        <v>Non-Smoker</v>
      </c>
      <c r="K2930">
        <v>0</v>
      </c>
      <c r="L2930">
        <v>0</v>
      </c>
      <c r="M2930">
        <v>0</v>
      </c>
      <c r="N2930">
        <v>0</v>
      </c>
      <c r="O2930">
        <v>291</v>
      </c>
      <c r="P2930" t="str">
        <f t="shared" si="271"/>
        <v>High</v>
      </c>
      <c r="Q2930">
        <v>124</v>
      </c>
      <c r="R2930">
        <v>85</v>
      </c>
      <c r="S2930">
        <v>26.89</v>
      </c>
      <c r="T2930" t="str">
        <f t="shared" si="272"/>
        <v>Overweight</v>
      </c>
      <c r="U2930">
        <v>75</v>
      </c>
      <c r="V2930">
        <v>80</v>
      </c>
      <c r="W2930" t="str">
        <f t="shared" si="275"/>
        <v>Normal</v>
      </c>
      <c r="X2930">
        <v>0</v>
      </c>
    </row>
    <row r="2931" spans="1:24" ht="14.5" thickBot="1" x14ac:dyDescent="0.35">
      <c r="A2931">
        <v>0</v>
      </c>
      <c r="B2931" t="str">
        <f t="shared" si="273"/>
        <v>Female</v>
      </c>
      <c r="C2931" s="8">
        <v>55</v>
      </c>
      <c r="D2931" t="str">
        <f t="shared" si="274"/>
        <v>Senior</v>
      </c>
      <c r="E2931">
        <v>3</v>
      </c>
      <c r="F2931" t="str">
        <f>HLOOKUP(E2931, LookUP_Table!$A$6:$D$7, 2, FALSE)</f>
        <v>Graduate</v>
      </c>
      <c r="G2931" t="str">
        <f>IFERROR(VLOOKUP(E2931, LookUP_Table!$A$1:$B$4, 2, FALSE), "")</f>
        <v>Graduate</v>
      </c>
      <c r="H2931">
        <v>1</v>
      </c>
      <c r="I2931">
        <v>1</v>
      </c>
      <c r="J2931" t="str">
        <f t="shared" si="270"/>
        <v>Smoker</v>
      </c>
      <c r="K2931">
        <v>0</v>
      </c>
      <c r="L2931">
        <v>0</v>
      </c>
      <c r="M2931">
        <v>0</v>
      </c>
      <c r="N2931">
        <v>0</v>
      </c>
      <c r="O2931">
        <v>273</v>
      </c>
      <c r="P2931" t="str">
        <f t="shared" si="271"/>
        <v>High</v>
      </c>
      <c r="Q2931">
        <v>122</v>
      </c>
      <c r="R2931">
        <v>84</v>
      </c>
      <c r="S2931">
        <v>27.15</v>
      </c>
      <c r="T2931" t="str">
        <f t="shared" si="272"/>
        <v>Overweight</v>
      </c>
      <c r="U2931">
        <v>75</v>
      </c>
      <c r="V2931">
        <v>97</v>
      </c>
      <c r="W2931" t="str">
        <f t="shared" si="275"/>
        <v>Normal</v>
      </c>
      <c r="X2931">
        <v>1</v>
      </c>
    </row>
    <row r="2932" spans="1:24" ht="14.5" thickBot="1" x14ac:dyDescent="0.35">
      <c r="A2932">
        <v>1</v>
      </c>
      <c r="B2932" t="str">
        <f t="shared" si="273"/>
        <v>Male</v>
      </c>
      <c r="C2932" s="8">
        <v>55</v>
      </c>
      <c r="D2932" t="str">
        <f t="shared" si="274"/>
        <v>Senior</v>
      </c>
      <c r="E2932">
        <v>2</v>
      </c>
      <c r="F2932" t="str">
        <f>HLOOKUP(E2932, LookUP_Table!$A$6:$D$7, 2, FALSE)</f>
        <v>Secondary</v>
      </c>
      <c r="G2932" t="str">
        <f>IFERROR(VLOOKUP(E2932, LookUP_Table!$A$1:$B$4, 2, FALSE), "")</f>
        <v>Secondary</v>
      </c>
      <c r="H2932">
        <v>1</v>
      </c>
      <c r="I2932">
        <v>5</v>
      </c>
      <c r="J2932" t="str">
        <f t="shared" si="270"/>
        <v>Smoker</v>
      </c>
      <c r="K2932">
        <v>0</v>
      </c>
      <c r="L2932">
        <v>0</v>
      </c>
      <c r="M2932">
        <v>0</v>
      </c>
      <c r="N2932">
        <v>0</v>
      </c>
      <c r="O2932">
        <v>342</v>
      </c>
      <c r="P2932" t="str">
        <f t="shared" si="271"/>
        <v>High</v>
      </c>
      <c r="Q2932">
        <v>107.5</v>
      </c>
      <c r="R2932">
        <v>73</v>
      </c>
      <c r="S2932">
        <v>21.97</v>
      </c>
      <c r="T2932" t="str">
        <f t="shared" si="272"/>
        <v>Normal</v>
      </c>
      <c r="U2932">
        <v>54</v>
      </c>
      <c r="V2932">
        <v>74</v>
      </c>
      <c r="W2932" t="str">
        <f t="shared" si="275"/>
        <v>Normal</v>
      </c>
      <c r="X2932">
        <v>0</v>
      </c>
    </row>
    <row r="2933" spans="1:24" ht="14.5" thickBot="1" x14ac:dyDescent="0.35">
      <c r="A2933">
        <v>0</v>
      </c>
      <c r="B2933" t="str">
        <f t="shared" si="273"/>
        <v>Female</v>
      </c>
      <c r="C2933" s="8">
        <v>55</v>
      </c>
      <c r="D2933" t="str">
        <f t="shared" si="274"/>
        <v>Senior</v>
      </c>
      <c r="E2933">
        <v>1</v>
      </c>
      <c r="F2933" t="str">
        <f>HLOOKUP(E2933, LookUP_Table!$A$6:$D$7, 2, FALSE)</f>
        <v>Primary</v>
      </c>
      <c r="G2933" t="str">
        <f>IFERROR(VLOOKUP(E2933, LookUP_Table!$A$1:$B$4, 2, FALSE), "")</f>
        <v>Primary</v>
      </c>
      <c r="H2933">
        <v>0</v>
      </c>
      <c r="I2933">
        <v>0</v>
      </c>
      <c r="J2933" t="str">
        <f t="shared" si="270"/>
        <v>Non-Smoker</v>
      </c>
      <c r="K2933">
        <v>0</v>
      </c>
      <c r="L2933">
        <v>0</v>
      </c>
      <c r="M2933">
        <v>1</v>
      </c>
      <c r="N2933">
        <v>0</v>
      </c>
      <c r="O2933">
        <v>219</v>
      </c>
      <c r="P2933" t="str">
        <f t="shared" si="271"/>
        <v>Normal</v>
      </c>
      <c r="Q2933">
        <v>140</v>
      </c>
      <c r="R2933">
        <v>93</v>
      </c>
      <c r="S2933">
        <v>27.78</v>
      </c>
      <c r="T2933" t="str">
        <f t="shared" si="272"/>
        <v>Overweight</v>
      </c>
      <c r="U2933">
        <v>75</v>
      </c>
      <c r="V2933">
        <v>70</v>
      </c>
      <c r="W2933" t="str">
        <f t="shared" si="275"/>
        <v>Normal</v>
      </c>
      <c r="X2933">
        <v>0</v>
      </c>
    </row>
    <row r="2934" spans="1:24" ht="14.5" thickBot="1" x14ac:dyDescent="0.35">
      <c r="A2934">
        <v>0</v>
      </c>
      <c r="B2934" t="str">
        <f t="shared" si="273"/>
        <v>Female</v>
      </c>
      <c r="C2934" s="8">
        <v>55</v>
      </c>
      <c r="D2934" t="str">
        <f t="shared" si="274"/>
        <v>Senior</v>
      </c>
      <c r="E2934">
        <v>1</v>
      </c>
      <c r="F2934" t="str">
        <f>HLOOKUP(E2934, LookUP_Table!$A$6:$D$7, 2, FALSE)</f>
        <v>Primary</v>
      </c>
      <c r="G2934" t="str">
        <f>IFERROR(VLOOKUP(E2934, LookUP_Table!$A$1:$B$4, 2, FALSE), "")</f>
        <v>Primary</v>
      </c>
      <c r="H2934">
        <v>0</v>
      </c>
      <c r="I2934">
        <v>0</v>
      </c>
      <c r="J2934" t="str">
        <f t="shared" si="270"/>
        <v>Non-Smoker</v>
      </c>
      <c r="K2934">
        <v>0</v>
      </c>
      <c r="L2934">
        <v>0</v>
      </c>
      <c r="M2934">
        <v>0</v>
      </c>
      <c r="N2934">
        <v>0</v>
      </c>
      <c r="O2934">
        <v>220</v>
      </c>
      <c r="P2934" t="str">
        <f t="shared" si="271"/>
        <v>Normal</v>
      </c>
      <c r="Q2934">
        <v>117.5</v>
      </c>
      <c r="R2934">
        <v>84</v>
      </c>
      <c r="S2934">
        <v>26.2</v>
      </c>
      <c r="T2934" t="str">
        <f t="shared" si="272"/>
        <v>Overweight</v>
      </c>
      <c r="U2934">
        <v>90</v>
      </c>
      <c r="V2934">
        <v>81.96365524402907</v>
      </c>
      <c r="W2934" t="str">
        <f t="shared" si="275"/>
        <v>Normal</v>
      </c>
      <c r="X2934">
        <v>0</v>
      </c>
    </row>
    <row r="2935" spans="1:24" ht="14.5" thickBot="1" x14ac:dyDescent="0.35">
      <c r="A2935">
        <v>0</v>
      </c>
      <c r="B2935" t="str">
        <f t="shared" si="273"/>
        <v>Female</v>
      </c>
      <c r="C2935" s="8">
        <v>55</v>
      </c>
      <c r="D2935" t="str">
        <f t="shared" si="274"/>
        <v>Senior</v>
      </c>
      <c r="E2935">
        <v>1</v>
      </c>
      <c r="F2935" t="str">
        <f>HLOOKUP(E2935, LookUP_Table!$A$6:$D$7, 2, FALSE)</f>
        <v>Primary</v>
      </c>
      <c r="G2935" t="str">
        <f>IFERROR(VLOOKUP(E2935, LookUP_Table!$A$1:$B$4, 2, FALSE), "")</f>
        <v>Primary</v>
      </c>
      <c r="H2935">
        <v>0</v>
      </c>
      <c r="I2935">
        <v>0</v>
      </c>
      <c r="J2935" t="str">
        <f t="shared" si="270"/>
        <v>Non-Smoker</v>
      </c>
      <c r="K2935">
        <v>0</v>
      </c>
      <c r="L2935">
        <v>0</v>
      </c>
      <c r="M2935">
        <v>0</v>
      </c>
      <c r="N2935">
        <v>0</v>
      </c>
      <c r="O2935">
        <v>282</v>
      </c>
      <c r="P2935" t="str">
        <f t="shared" si="271"/>
        <v>High</v>
      </c>
      <c r="Q2935">
        <v>158.5</v>
      </c>
      <c r="R2935">
        <v>81</v>
      </c>
      <c r="S2935">
        <v>30.24</v>
      </c>
      <c r="T2935" t="str">
        <f t="shared" si="272"/>
        <v>Obese</v>
      </c>
      <c r="U2935">
        <v>54</v>
      </c>
      <c r="V2935">
        <v>70</v>
      </c>
      <c r="W2935" t="str">
        <f t="shared" si="275"/>
        <v>Normal</v>
      </c>
      <c r="X2935">
        <v>0</v>
      </c>
    </row>
    <row r="2936" spans="1:24" ht="14.5" thickBot="1" x14ac:dyDescent="0.35">
      <c r="A2936">
        <v>0</v>
      </c>
      <c r="B2936" t="str">
        <f t="shared" si="273"/>
        <v>Female</v>
      </c>
      <c r="C2936" s="8">
        <v>55</v>
      </c>
      <c r="D2936" t="str">
        <f t="shared" si="274"/>
        <v>Senior</v>
      </c>
      <c r="E2936">
        <v>2</v>
      </c>
      <c r="F2936" t="str">
        <f>HLOOKUP(E2936, LookUP_Table!$A$6:$D$7, 2, FALSE)</f>
        <v>Secondary</v>
      </c>
      <c r="G2936" t="str">
        <f>IFERROR(VLOOKUP(E2936, LookUP_Table!$A$1:$B$4, 2, FALSE), "")</f>
        <v>Secondary</v>
      </c>
      <c r="H2936">
        <v>0</v>
      </c>
      <c r="I2936">
        <v>0</v>
      </c>
      <c r="J2936" t="str">
        <f t="shared" si="270"/>
        <v>Non-Smoker</v>
      </c>
      <c r="K2936">
        <v>1</v>
      </c>
      <c r="L2936">
        <v>0</v>
      </c>
      <c r="M2936">
        <v>1</v>
      </c>
      <c r="N2936">
        <v>0</v>
      </c>
      <c r="O2936">
        <v>368</v>
      </c>
      <c r="P2936" t="str">
        <f t="shared" si="271"/>
        <v>High</v>
      </c>
      <c r="Q2936">
        <v>204</v>
      </c>
      <c r="R2936">
        <v>94</v>
      </c>
      <c r="S2936">
        <v>25.2</v>
      </c>
      <c r="T2936" t="str">
        <f t="shared" si="272"/>
        <v>Overweight</v>
      </c>
      <c r="U2936">
        <v>100</v>
      </c>
      <c r="V2936">
        <v>81</v>
      </c>
      <c r="W2936" t="str">
        <f t="shared" si="275"/>
        <v>Normal</v>
      </c>
      <c r="X2936">
        <v>0</v>
      </c>
    </row>
    <row r="2937" spans="1:24" ht="14.5" thickBot="1" x14ac:dyDescent="0.35">
      <c r="A2937">
        <v>1</v>
      </c>
      <c r="B2937" t="str">
        <f t="shared" si="273"/>
        <v>Male</v>
      </c>
      <c r="C2937" s="8">
        <v>55</v>
      </c>
      <c r="D2937" t="str">
        <f t="shared" si="274"/>
        <v>Senior</v>
      </c>
      <c r="E2937">
        <v>4</v>
      </c>
      <c r="F2937" t="str">
        <f>HLOOKUP(E2937, LookUP_Table!$A$6:$D$7, 2, FALSE)</f>
        <v>Post Graduate</v>
      </c>
      <c r="G2937" t="str">
        <f>IFERROR(VLOOKUP(E2937, LookUP_Table!$A$1:$B$4, 2, FALSE), "")</f>
        <v>Post Graduate</v>
      </c>
      <c r="H2937">
        <v>0</v>
      </c>
      <c r="I2937">
        <v>0</v>
      </c>
      <c r="J2937" t="str">
        <f t="shared" si="270"/>
        <v>Non-Smoker</v>
      </c>
      <c r="K2937">
        <v>0</v>
      </c>
      <c r="L2937">
        <v>0</v>
      </c>
      <c r="M2937">
        <v>1</v>
      </c>
      <c r="N2937">
        <v>0</v>
      </c>
      <c r="O2937">
        <v>239</v>
      </c>
      <c r="P2937" t="str">
        <f t="shared" si="271"/>
        <v>Normal</v>
      </c>
      <c r="Q2937">
        <v>159</v>
      </c>
      <c r="R2937">
        <v>102</v>
      </c>
      <c r="S2937">
        <v>32.35</v>
      </c>
      <c r="T2937" t="str">
        <f t="shared" si="272"/>
        <v>Obese</v>
      </c>
      <c r="U2937">
        <v>75</v>
      </c>
      <c r="V2937">
        <v>71</v>
      </c>
      <c r="W2937" t="str">
        <f t="shared" si="275"/>
        <v>Normal</v>
      </c>
      <c r="X2937">
        <v>1</v>
      </c>
    </row>
    <row r="2938" spans="1:24" ht="14.5" thickBot="1" x14ac:dyDescent="0.35">
      <c r="A2938">
        <v>0</v>
      </c>
      <c r="B2938" t="str">
        <f t="shared" si="273"/>
        <v>Female</v>
      </c>
      <c r="C2938" s="8">
        <v>55</v>
      </c>
      <c r="D2938" t="str">
        <f t="shared" si="274"/>
        <v>Senior</v>
      </c>
      <c r="E2938">
        <v>4</v>
      </c>
      <c r="F2938" t="str">
        <f>HLOOKUP(E2938, LookUP_Table!$A$6:$D$7, 2, FALSE)</f>
        <v>Post Graduate</v>
      </c>
      <c r="G2938" t="str">
        <f>IFERROR(VLOOKUP(E2938, LookUP_Table!$A$1:$B$4, 2, FALSE), "")</f>
        <v>Post Graduate</v>
      </c>
      <c r="H2938">
        <v>0</v>
      </c>
      <c r="I2938">
        <v>0</v>
      </c>
      <c r="J2938" t="str">
        <f t="shared" si="270"/>
        <v>Non-Smoker</v>
      </c>
      <c r="K2938">
        <v>0</v>
      </c>
      <c r="L2938">
        <v>0</v>
      </c>
      <c r="M2938">
        <v>0</v>
      </c>
      <c r="N2938">
        <v>0</v>
      </c>
      <c r="O2938">
        <v>258</v>
      </c>
      <c r="P2938" t="str">
        <f t="shared" si="271"/>
        <v>High</v>
      </c>
      <c r="Q2938">
        <v>123</v>
      </c>
      <c r="R2938">
        <v>89</v>
      </c>
      <c r="S2938">
        <v>31.35</v>
      </c>
      <c r="T2938" t="str">
        <f t="shared" si="272"/>
        <v>Obese</v>
      </c>
      <c r="U2938">
        <v>85</v>
      </c>
      <c r="V2938">
        <v>84</v>
      </c>
      <c r="W2938" t="str">
        <f t="shared" si="275"/>
        <v>Normal</v>
      </c>
      <c r="X2938">
        <v>0</v>
      </c>
    </row>
    <row r="2939" spans="1:24" ht="14.5" thickBot="1" x14ac:dyDescent="0.35">
      <c r="A2939">
        <v>0</v>
      </c>
      <c r="B2939" t="str">
        <f t="shared" si="273"/>
        <v>Female</v>
      </c>
      <c r="C2939" s="8">
        <v>55</v>
      </c>
      <c r="D2939" t="str">
        <f t="shared" si="274"/>
        <v>Senior</v>
      </c>
      <c r="E2939">
        <v>3</v>
      </c>
      <c r="F2939" t="str">
        <f>HLOOKUP(E2939, LookUP_Table!$A$6:$D$7, 2, FALSE)</f>
        <v>Graduate</v>
      </c>
      <c r="G2939" t="str">
        <f>IFERROR(VLOOKUP(E2939, LookUP_Table!$A$1:$B$4, 2, FALSE), "")</f>
        <v>Graduate</v>
      </c>
      <c r="H2939">
        <v>0</v>
      </c>
      <c r="I2939">
        <v>0</v>
      </c>
      <c r="J2939" t="str">
        <f t="shared" si="270"/>
        <v>Non-Smoker</v>
      </c>
      <c r="K2939">
        <v>0</v>
      </c>
      <c r="L2939">
        <v>0</v>
      </c>
      <c r="M2939">
        <v>1</v>
      </c>
      <c r="N2939">
        <v>0</v>
      </c>
      <c r="O2939">
        <v>308</v>
      </c>
      <c r="P2939" t="str">
        <f t="shared" si="271"/>
        <v>High</v>
      </c>
      <c r="Q2939">
        <v>124</v>
      </c>
      <c r="R2939">
        <v>87</v>
      </c>
      <c r="S2939">
        <v>31.82</v>
      </c>
      <c r="T2939" t="str">
        <f t="shared" si="272"/>
        <v>Obese</v>
      </c>
      <c r="U2939">
        <v>75</v>
      </c>
      <c r="V2939">
        <v>84</v>
      </c>
      <c r="W2939" t="str">
        <f t="shared" si="275"/>
        <v>Normal</v>
      </c>
      <c r="X2939">
        <v>0</v>
      </c>
    </row>
    <row r="2940" spans="1:24" ht="14.5" thickBot="1" x14ac:dyDescent="0.35">
      <c r="A2940">
        <v>0</v>
      </c>
      <c r="B2940" t="str">
        <f t="shared" si="273"/>
        <v>Female</v>
      </c>
      <c r="C2940" s="8">
        <v>55</v>
      </c>
      <c r="D2940" t="str">
        <f t="shared" si="274"/>
        <v>Senior</v>
      </c>
      <c r="E2940">
        <v>2</v>
      </c>
      <c r="F2940" t="str">
        <f>HLOOKUP(E2940, LookUP_Table!$A$6:$D$7, 2, FALSE)</f>
        <v>Secondary</v>
      </c>
      <c r="G2940" t="str">
        <f>IFERROR(VLOOKUP(E2940, LookUP_Table!$A$1:$B$4, 2, FALSE), "")</f>
        <v>Secondary</v>
      </c>
      <c r="H2940">
        <v>1</v>
      </c>
      <c r="I2940">
        <v>3</v>
      </c>
      <c r="J2940" t="str">
        <f t="shared" si="270"/>
        <v>Smoker</v>
      </c>
      <c r="K2940">
        <v>0</v>
      </c>
      <c r="L2940">
        <v>0</v>
      </c>
      <c r="M2940">
        <v>1</v>
      </c>
      <c r="N2940">
        <v>0</v>
      </c>
      <c r="O2940">
        <v>323</v>
      </c>
      <c r="P2940" t="str">
        <f t="shared" si="271"/>
        <v>High</v>
      </c>
      <c r="Q2940">
        <v>197</v>
      </c>
      <c r="R2940">
        <v>118</v>
      </c>
      <c r="S2940">
        <v>27.51</v>
      </c>
      <c r="T2940" t="str">
        <f t="shared" si="272"/>
        <v>Overweight</v>
      </c>
      <c r="U2940">
        <v>80</v>
      </c>
      <c r="V2940">
        <v>112</v>
      </c>
      <c r="W2940" t="str">
        <f t="shared" si="275"/>
        <v>Prediabetes</v>
      </c>
      <c r="X2940">
        <v>0</v>
      </c>
    </row>
    <row r="2941" spans="1:24" ht="14.5" thickBot="1" x14ac:dyDescent="0.35">
      <c r="A2941">
        <v>0</v>
      </c>
      <c r="B2941" t="str">
        <f t="shared" si="273"/>
        <v>Female</v>
      </c>
      <c r="C2941" s="8">
        <v>55</v>
      </c>
      <c r="D2941" t="str">
        <f t="shared" si="274"/>
        <v>Senior</v>
      </c>
      <c r="E2941">
        <v>3</v>
      </c>
      <c r="F2941" t="str">
        <f>HLOOKUP(E2941, LookUP_Table!$A$6:$D$7, 2, FALSE)</f>
        <v>Graduate</v>
      </c>
      <c r="G2941" t="str">
        <f>IFERROR(VLOOKUP(E2941, LookUP_Table!$A$1:$B$4, 2, FALSE), "")</f>
        <v>Graduate</v>
      </c>
      <c r="H2941">
        <v>0</v>
      </c>
      <c r="I2941">
        <v>0</v>
      </c>
      <c r="J2941" t="str">
        <f t="shared" si="270"/>
        <v>Non-Smoker</v>
      </c>
      <c r="K2941">
        <v>0</v>
      </c>
      <c r="L2941">
        <v>0</v>
      </c>
      <c r="M2941">
        <v>0</v>
      </c>
      <c r="N2941">
        <v>0</v>
      </c>
      <c r="O2941">
        <v>210</v>
      </c>
      <c r="P2941" t="str">
        <f t="shared" si="271"/>
        <v>Normal</v>
      </c>
      <c r="Q2941">
        <v>112</v>
      </c>
      <c r="R2941">
        <v>76</v>
      </c>
      <c r="S2941">
        <v>20.53</v>
      </c>
      <c r="T2941" t="str">
        <f t="shared" si="272"/>
        <v>Normal</v>
      </c>
      <c r="U2941">
        <v>71</v>
      </c>
      <c r="V2941">
        <v>65</v>
      </c>
      <c r="W2941" t="str">
        <f t="shared" si="275"/>
        <v>Normal</v>
      </c>
      <c r="X2941">
        <v>0</v>
      </c>
    </row>
    <row r="2942" spans="1:24" ht="14.5" thickBot="1" x14ac:dyDescent="0.35">
      <c r="A2942">
        <v>1</v>
      </c>
      <c r="B2942" t="str">
        <f t="shared" si="273"/>
        <v>Male</v>
      </c>
      <c r="C2942" s="8">
        <v>55</v>
      </c>
      <c r="D2942" t="str">
        <f t="shared" si="274"/>
        <v>Senior</v>
      </c>
      <c r="E2942">
        <v>1</v>
      </c>
      <c r="F2942" t="str">
        <f>HLOOKUP(E2942, LookUP_Table!$A$6:$D$7, 2, FALSE)</f>
        <v>Primary</v>
      </c>
      <c r="G2942" t="str">
        <f>IFERROR(VLOOKUP(E2942, LookUP_Table!$A$1:$B$4, 2, FALSE), "")</f>
        <v>Primary</v>
      </c>
      <c r="H2942">
        <v>0</v>
      </c>
      <c r="I2942">
        <v>0</v>
      </c>
      <c r="J2942" t="str">
        <f t="shared" si="270"/>
        <v>Non-Smoker</v>
      </c>
      <c r="K2942">
        <v>0</v>
      </c>
      <c r="L2942">
        <v>0</v>
      </c>
      <c r="M2942">
        <v>0</v>
      </c>
      <c r="N2942">
        <v>0</v>
      </c>
      <c r="O2942">
        <v>227</v>
      </c>
      <c r="P2942" t="str">
        <f t="shared" si="271"/>
        <v>Normal</v>
      </c>
      <c r="Q2942">
        <v>129</v>
      </c>
      <c r="R2942">
        <v>81</v>
      </c>
      <c r="S2942">
        <v>26.57</v>
      </c>
      <c r="T2942" t="str">
        <f t="shared" si="272"/>
        <v>Overweight</v>
      </c>
      <c r="U2942">
        <v>55</v>
      </c>
      <c r="V2942">
        <v>74</v>
      </c>
      <c r="W2942" t="str">
        <f t="shared" si="275"/>
        <v>Normal</v>
      </c>
      <c r="X2942">
        <v>0</v>
      </c>
    </row>
    <row r="2943" spans="1:24" ht="14.5" thickBot="1" x14ac:dyDescent="0.35">
      <c r="A2943">
        <v>0</v>
      </c>
      <c r="B2943" t="str">
        <f t="shared" si="273"/>
        <v>Female</v>
      </c>
      <c r="C2943" s="8">
        <v>55</v>
      </c>
      <c r="D2943" t="str">
        <f t="shared" si="274"/>
        <v>Senior</v>
      </c>
      <c r="E2943">
        <v>1</v>
      </c>
      <c r="F2943" t="str">
        <f>HLOOKUP(E2943, LookUP_Table!$A$6:$D$7, 2, FALSE)</f>
        <v>Primary</v>
      </c>
      <c r="G2943" t="str">
        <f>IFERROR(VLOOKUP(E2943, LookUP_Table!$A$1:$B$4, 2, FALSE), "")</f>
        <v>Primary</v>
      </c>
      <c r="H2943">
        <v>1</v>
      </c>
      <c r="I2943">
        <v>20</v>
      </c>
      <c r="J2943" t="str">
        <f t="shared" si="270"/>
        <v>Smoker</v>
      </c>
      <c r="K2943">
        <v>0</v>
      </c>
      <c r="L2943">
        <v>0</v>
      </c>
      <c r="M2943">
        <v>1</v>
      </c>
      <c r="N2943">
        <v>0</v>
      </c>
      <c r="O2943">
        <v>233</v>
      </c>
      <c r="P2943" t="str">
        <f t="shared" si="271"/>
        <v>Normal</v>
      </c>
      <c r="Q2943">
        <v>128</v>
      </c>
      <c r="R2943">
        <v>94</v>
      </c>
      <c r="S2943">
        <v>36.619999999999997</v>
      </c>
      <c r="T2943" t="str">
        <f t="shared" si="272"/>
        <v>Obese</v>
      </c>
      <c r="U2943">
        <v>80</v>
      </c>
      <c r="V2943">
        <v>95</v>
      </c>
      <c r="W2943" t="str">
        <f t="shared" si="275"/>
        <v>Normal</v>
      </c>
      <c r="X2943">
        <v>1</v>
      </c>
    </row>
    <row r="2944" spans="1:24" ht="14.5" thickBot="1" x14ac:dyDescent="0.35">
      <c r="A2944">
        <v>0</v>
      </c>
      <c r="B2944" t="str">
        <f t="shared" si="273"/>
        <v>Female</v>
      </c>
      <c r="C2944" s="8">
        <v>55</v>
      </c>
      <c r="D2944" t="str">
        <f t="shared" si="274"/>
        <v>Senior</v>
      </c>
      <c r="E2944">
        <v>1</v>
      </c>
      <c r="F2944" t="str">
        <f>HLOOKUP(E2944, LookUP_Table!$A$6:$D$7, 2, FALSE)</f>
        <v>Primary</v>
      </c>
      <c r="G2944" t="str">
        <f>IFERROR(VLOOKUP(E2944, LookUP_Table!$A$1:$B$4, 2, FALSE), "")</f>
        <v>Primary</v>
      </c>
      <c r="H2944">
        <v>0</v>
      </c>
      <c r="I2944">
        <v>0</v>
      </c>
      <c r="J2944" t="str">
        <f t="shared" si="270"/>
        <v>Non-Smoker</v>
      </c>
      <c r="K2944">
        <v>0</v>
      </c>
      <c r="L2944">
        <v>0</v>
      </c>
      <c r="M2944">
        <v>0</v>
      </c>
      <c r="N2944">
        <v>0</v>
      </c>
      <c r="O2944">
        <v>278</v>
      </c>
      <c r="P2944" t="str">
        <f t="shared" si="271"/>
        <v>High</v>
      </c>
      <c r="Q2944">
        <v>125</v>
      </c>
      <c r="R2944">
        <v>80</v>
      </c>
      <c r="S2944">
        <v>26.27</v>
      </c>
      <c r="T2944" t="str">
        <f t="shared" si="272"/>
        <v>Overweight</v>
      </c>
      <c r="U2944">
        <v>64</v>
      </c>
      <c r="V2944">
        <v>78</v>
      </c>
      <c r="W2944" t="str">
        <f t="shared" si="275"/>
        <v>Normal</v>
      </c>
      <c r="X2944">
        <v>0</v>
      </c>
    </row>
    <row r="2945" spans="1:24" ht="14.5" thickBot="1" x14ac:dyDescent="0.35">
      <c r="A2945">
        <v>0</v>
      </c>
      <c r="B2945" t="str">
        <f t="shared" si="273"/>
        <v>Female</v>
      </c>
      <c r="C2945" s="8">
        <v>55</v>
      </c>
      <c r="D2945" t="str">
        <f t="shared" si="274"/>
        <v>Senior</v>
      </c>
      <c r="E2945">
        <v>1</v>
      </c>
      <c r="F2945" t="str">
        <f>HLOOKUP(E2945, LookUP_Table!$A$6:$D$7, 2, FALSE)</f>
        <v>Primary</v>
      </c>
      <c r="G2945" t="str">
        <f>IFERROR(VLOOKUP(E2945, LookUP_Table!$A$1:$B$4, 2, FALSE), "")</f>
        <v>Primary</v>
      </c>
      <c r="H2945">
        <v>0</v>
      </c>
      <c r="I2945">
        <v>0</v>
      </c>
      <c r="J2945" t="str">
        <f t="shared" si="270"/>
        <v>Non-Smoker</v>
      </c>
      <c r="K2945">
        <v>0</v>
      </c>
      <c r="L2945">
        <v>0</v>
      </c>
      <c r="M2945">
        <v>0</v>
      </c>
      <c r="N2945">
        <v>0</v>
      </c>
      <c r="O2945">
        <v>330</v>
      </c>
      <c r="P2945" t="str">
        <f t="shared" si="271"/>
        <v>High</v>
      </c>
      <c r="Q2945">
        <v>103</v>
      </c>
      <c r="R2945">
        <v>73</v>
      </c>
      <c r="S2945">
        <v>24.5</v>
      </c>
      <c r="T2945" t="str">
        <f t="shared" si="272"/>
        <v>Normal</v>
      </c>
      <c r="U2945">
        <v>85</v>
      </c>
      <c r="V2945">
        <v>67</v>
      </c>
      <c r="W2945" t="str">
        <f t="shared" si="275"/>
        <v>Normal</v>
      </c>
      <c r="X2945">
        <v>0</v>
      </c>
    </row>
    <row r="2946" spans="1:24" ht="14.5" thickBot="1" x14ac:dyDescent="0.35">
      <c r="A2946">
        <v>1</v>
      </c>
      <c r="B2946" t="str">
        <f t="shared" si="273"/>
        <v>Male</v>
      </c>
      <c r="C2946" s="8">
        <v>55</v>
      </c>
      <c r="D2946" t="str">
        <f t="shared" si="274"/>
        <v>Senior</v>
      </c>
      <c r="E2946">
        <v>2</v>
      </c>
      <c r="F2946" t="str">
        <f>HLOOKUP(E2946, LookUP_Table!$A$6:$D$7, 2, FALSE)</f>
        <v>Secondary</v>
      </c>
      <c r="G2946" t="str">
        <f>IFERROR(VLOOKUP(E2946, LookUP_Table!$A$1:$B$4, 2, FALSE), "")</f>
        <v>Secondary</v>
      </c>
      <c r="H2946">
        <v>1</v>
      </c>
      <c r="I2946">
        <v>15</v>
      </c>
      <c r="J2946" t="str">
        <f t="shared" ref="J2946:J3009" si="276">IF(I2946&gt;0,"Smoker","Non-Smoker")</f>
        <v>Smoker</v>
      </c>
      <c r="K2946">
        <v>0</v>
      </c>
      <c r="L2946">
        <v>0</v>
      </c>
      <c r="M2946">
        <v>1</v>
      </c>
      <c r="N2946">
        <v>0</v>
      </c>
      <c r="O2946">
        <v>222</v>
      </c>
      <c r="P2946" t="str">
        <f t="shared" ref="P2946:P3009" si="277">IF(O2946&gt;240,"High","Normal")</f>
        <v>Normal</v>
      </c>
      <c r="Q2946">
        <v>155</v>
      </c>
      <c r="R2946">
        <v>92.5</v>
      </c>
      <c r="S2946">
        <v>28.35</v>
      </c>
      <c r="T2946" t="str">
        <f t="shared" ref="T2946:T3009" si="278">IF(S2946&lt;18.5,"Underweight",
IF(S2946&lt;25,"Normal",
IF(S2946&lt;30,"Overweight","Obese")))</f>
        <v>Overweight</v>
      </c>
      <c r="U2946">
        <v>67</v>
      </c>
      <c r="V2946">
        <v>68</v>
      </c>
      <c r="W2946" t="str">
        <f t="shared" si="275"/>
        <v>Normal</v>
      </c>
      <c r="X2946">
        <v>1</v>
      </c>
    </row>
    <row r="2947" spans="1:24" ht="14.5" thickBot="1" x14ac:dyDescent="0.35">
      <c r="A2947">
        <v>0</v>
      </c>
      <c r="B2947" t="str">
        <f t="shared" ref="B2947:B3010" si="279">IF(A2947=0,"Female","Male")</f>
        <v>Female</v>
      </c>
      <c r="C2947" s="8">
        <v>55</v>
      </c>
      <c r="D2947" t="str">
        <f t="shared" ref="D2947:D3010" si="280">IF(C2947&lt;40,"Young",
IF(C2947&lt;55,"Middle Age","Senior"))</f>
        <v>Senior</v>
      </c>
      <c r="E2947">
        <v>1</v>
      </c>
      <c r="F2947" t="str">
        <f>HLOOKUP(E2947, LookUP_Table!$A$6:$D$7, 2, FALSE)</f>
        <v>Primary</v>
      </c>
      <c r="G2947" t="str">
        <f>IFERROR(VLOOKUP(E2947, LookUP_Table!$A$1:$B$4, 2, FALSE), "")</f>
        <v>Primary</v>
      </c>
      <c r="H2947">
        <v>0</v>
      </c>
      <c r="I2947">
        <v>0</v>
      </c>
      <c r="J2947" t="str">
        <f t="shared" si="276"/>
        <v>Non-Smoker</v>
      </c>
      <c r="K2947">
        <v>0</v>
      </c>
      <c r="L2947">
        <v>0</v>
      </c>
      <c r="M2947">
        <v>0</v>
      </c>
      <c r="N2947">
        <v>0</v>
      </c>
      <c r="O2947">
        <v>225</v>
      </c>
      <c r="P2947" t="str">
        <f t="shared" si="277"/>
        <v>Normal</v>
      </c>
      <c r="Q2947">
        <v>136.5</v>
      </c>
      <c r="R2947">
        <v>85.5</v>
      </c>
      <c r="S2947">
        <v>20.56</v>
      </c>
      <c r="T2947" t="str">
        <f t="shared" si="278"/>
        <v>Normal</v>
      </c>
      <c r="U2947">
        <v>60</v>
      </c>
      <c r="V2947">
        <v>90</v>
      </c>
      <c r="W2947" t="str">
        <f t="shared" ref="W2947:W3010" si="281">IF(V2947 &lt; 100, "Normal", IF(V2947 &lt;= 125, "Prediabetes", "Diabetes"))</f>
        <v>Normal</v>
      </c>
      <c r="X2947">
        <v>0</v>
      </c>
    </row>
    <row r="2948" spans="1:24" ht="14.5" thickBot="1" x14ac:dyDescent="0.35">
      <c r="A2948">
        <v>1</v>
      </c>
      <c r="B2948" t="str">
        <f t="shared" si="279"/>
        <v>Male</v>
      </c>
      <c r="C2948" s="8">
        <v>55</v>
      </c>
      <c r="D2948" t="str">
        <f t="shared" si="280"/>
        <v>Senior</v>
      </c>
      <c r="E2948">
        <v>1</v>
      </c>
      <c r="F2948" t="str">
        <f>HLOOKUP(E2948, LookUP_Table!$A$6:$D$7, 2, FALSE)</f>
        <v>Primary</v>
      </c>
      <c r="G2948" t="str">
        <f>IFERROR(VLOOKUP(E2948, LookUP_Table!$A$1:$B$4, 2, FALSE), "")</f>
        <v>Primary</v>
      </c>
      <c r="H2948">
        <v>1</v>
      </c>
      <c r="I2948">
        <v>20</v>
      </c>
      <c r="J2948" t="str">
        <f t="shared" si="276"/>
        <v>Smoker</v>
      </c>
      <c r="K2948">
        <v>0</v>
      </c>
      <c r="L2948">
        <v>0</v>
      </c>
      <c r="M2948">
        <v>1</v>
      </c>
      <c r="N2948">
        <v>0</v>
      </c>
      <c r="O2948">
        <v>220</v>
      </c>
      <c r="P2948" t="str">
        <f t="shared" si="277"/>
        <v>Normal</v>
      </c>
      <c r="Q2948">
        <v>180</v>
      </c>
      <c r="R2948">
        <v>108</v>
      </c>
      <c r="S2948">
        <v>23.59</v>
      </c>
      <c r="T2948" t="str">
        <f t="shared" si="278"/>
        <v>Normal</v>
      </c>
      <c r="U2948">
        <v>82</v>
      </c>
      <c r="V2948">
        <v>90</v>
      </c>
      <c r="W2948" t="str">
        <f t="shared" si="281"/>
        <v>Normal</v>
      </c>
      <c r="X2948">
        <v>0</v>
      </c>
    </row>
    <row r="2949" spans="1:24" ht="14.5" thickBot="1" x14ac:dyDescent="0.35">
      <c r="A2949">
        <v>0</v>
      </c>
      <c r="B2949" t="str">
        <f t="shared" si="279"/>
        <v>Female</v>
      </c>
      <c r="C2949" s="8">
        <v>55</v>
      </c>
      <c r="D2949" t="str">
        <f t="shared" si="280"/>
        <v>Senior</v>
      </c>
      <c r="E2949">
        <v>1</v>
      </c>
      <c r="F2949" t="str">
        <f>HLOOKUP(E2949, LookUP_Table!$A$6:$D$7, 2, FALSE)</f>
        <v>Primary</v>
      </c>
      <c r="G2949" t="str">
        <f>IFERROR(VLOOKUP(E2949, LookUP_Table!$A$1:$B$4, 2, FALSE), "")</f>
        <v>Primary</v>
      </c>
      <c r="H2949">
        <v>0</v>
      </c>
      <c r="I2949">
        <v>0</v>
      </c>
      <c r="J2949" t="str">
        <f t="shared" si="276"/>
        <v>Non-Smoker</v>
      </c>
      <c r="K2949">
        <v>0</v>
      </c>
      <c r="L2949">
        <v>0</v>
      </c>
      <c r="M2949">
        <v>1</v>
      </c>
      <c r="N2949">
        <v>0</v>
      </c>
      <c r="O2949">
        <v>305</v>
      </c>
      <c r="P2949" t="str">
        <f t="shared" si="277"/>
        <v>High</v>
      </c>
      <c r="Q2949">
        <v>168</v>
      </c>
      <c r="R2949">
        <v>82</v>
      </c>
      <c r="S2949">
        <v>26.45</v>
      </c>
      <c r="T2949" t="str">
        <f t="shared" si="278"/>
        <v>Overweight</v>
      </c>
      <c r="U2949">
        <v>72</v>
      </c>
      <c r="V2949">
        <v>78</v>
      </c>
      <c r="W2949" t="str">
        <f t="shared" si="281"/>
        <v>Normal</v>
      </c>
      <c r="X2949">
        <v>0</v>
      </c>
    </row>
    <row r="2950" spans="1:24" ht="14.5" thickBot="1" x14ac:dyDescent="0.35">
      <c r="A2950">
        <v>0</v>
      </c>
      <c r="B2950" t="str">
        <f t="shared" si="279"/>
        <v>Female</v>
      </c>
      <c r="C2950" s="8">
        <v>55</v>
      </c>
      <c r="D2950" t="str">
        <f t="shared" si="280"/>
        <v>Senior</v>
      </c>
      <c r="E2950">
        <v>1</v>
      </c>
      <c r="F2950" t="str">
        <f>HLOOKUP(E2950, LookUP_Table!$A$6:$D$7, 2, FALSE)</f>
        <v>Primary</v>
      </c>
      <c r="G2950" t="str">
        <f>IFERROR(VLOOKUP(E2950, LookUP_Table!$A$1:$B$4, 2, FALSE), "")</f>
        <v>Primary</v>
      </c>
      <c r="H2950">
        <v>0</v>
      </c>
      <c r="I2950">
        <v>0</v>
      </c>
      <c r="J2950" t="str">
        <f t="shared" si="276"/>
        <v>Non-Smoker</v>
      </c>
      <c r="K2950">
        <v>0</v>
      </c>
      <c r="L2950">
        <v>0</v>
      </c>
      <c r="M2950">
        <v>0</v>
      </c>
      <c r="N2950">
        <v>0</v>
      </c>
      <c r="O2950">
        <v>244</v>
      </c>
      <c r="P2950" t="str">
        <f t="shared" si="277"/>
        <v>High</v>
      </c>
      <c r="Q2950">
        <v>133</v>
      </c>
      <c r="R2950">
        <v>80</v>
      </c>
      <c r="S2950">
        <v>25.01</v>
      </c>
      <c r="T2950" t="str">
        <f t="shared" si="278"/>
        <v>Overweight</v>
      </c>
      <c r="U2950">
        <v>75</v>
      </c>
      <c r="V2950">
        <v>70</v>
      </c>
      <c r="W2950" t="str">
        <f t="shared" si="281"/>
        <v>Normal</v>
      </c>
      <c r="X2950">
        <v>0</v>
      </c>
    </row>
    <row r="2951" spans="1:24" ht="14.5" thickBot="1" x14ac:dyDescent="0.35">
      <c r="A2951">
        <v>1</v>
      </c>
      <c r="B2951" t="str">
        <f t="shared" si="279"/>
        <v>Male</v>
      </c>
      <c r="C2951" s="8">
        <v>55</v>
      </c>
      <c r="D2951" t="str">
        <f t="shared" si="280"/>
        <v>Senior</v>
      </c>
      <c r="E2951">
        <v>1</v>
      </c>
      <c r="F2951" t="str">
        <f>HLOOKUP(E2951, LookUP_Table!$A$6:$D$7, 2, FALSE)</f>
        <v>Primary</v>
      </c>
      <c r="G2951" t="str">
        <f>IFERROR(VLOOKUP(E2951, LookUP_Table!$A$1:$B$4, 2, FALSE), "")</f>
        <v>Primary</v>
      </c>
      <c r="H2951">
        <v>0</v>
      </c>
      <c r="I2951">
        <v>0</v>
      </c>
      <c r="J2951" t="str">
        <f t="shared" si="276"/>
        <v>Non-Smoker</v>
      </c>
      <c r="K2951">
        <v>0</v>
      </c>
      <c r="L2951">
        <v>0</v>
      </c>
      <c r="M2951">
        <v>0</v>
      </c>
      <c r="N2951">
        <v>0</v>
      </c>
      <c r="O2951">
        <v>207</v>
      </c>
      <c r="P2951" t="str">
        <f t="shared" si="277"/>
        <v>Normal</v>
      </c>
      <c r="Q2951">
        <v>122</v>
      </c>
      <c r="R2951">
        <v>82</v>
      </c>
      <c r="S2951">
        <v>24.15</v>
      </c>
      <c r="T2951" t="str">
        <f t="shared" si="278"/>
        <v>Normal</v>
      </c>
      <c r="U2951">
        <v>77</v>
      </c>
      <c r="V2951">
        <v>74</v>
      </c>
      <c r="W2951" t="str">
        <f t="shared" si="281"/>
        <v>Normal</v>
      </c>
      <c r="X2951">
        <v>0</v>
      </c>
    </row>
    <row r="2952" spans="1:24" ht="14.5" thickBot="1" x14ac:dyDescent="0.35">
      <c r="A2952">
        <v>0</v>
      </c>
      <c r="B2952" t="str">
        <f t="shared" si="279"/>
        <v>Female</v>
      </c>
      <c r="C2952" s="8">
        <v>55</v>
      </c>
      <c r="D2952" t="str">
        <f t="shared" si="280"/>
        <v>Senior</v>
      </c>
      <c r="E2952">
        <v>1</v>
      </c>
      <c r="F2952" t="str">
        <f>HLOOKUP(E2952, LookUP_Table!$A$6:$D$7, 2, FALSE)</f>
        <v>Primary</v>
      </c>
      <c r="G2952" t="str">
        <f>IFERROR(VLOOKUP(E2952, LookUP_Table!$A$1:$B$4, 2, FALSE), "")</f>
        <v>Primary</v>
      </c>
      <c r="H2952">
        <v>0</v>
      </c>
      <c r="I2952">
        <v>0</v>
      </c>
      <c r="J2952" t="str">
        <f t="shared" si="276"/>
        <v>Non-Smoker</v>
      </c>
      <c r="K2952">
        <v>0</v>
      </c>
      <c r="L2952">
        <v>0</v>
      </c>
      <c r="M2952">
        <v>0</v>
      </c>
      <c r="N2952">
        <v>0</v>
      </c>
      <c r="O2952">
        <v>273</v>
      </c>
      <c r="P2952" t="str">
        <f t="shared" si="277"/>
        <v>High</v>
      </c>
      <c r="Q2952">
        <v>134</v>
      </c>
      <c r="R2952">
        <v>92</v>
      </c>
      <c r="S2952">
        <v>32.17</v>
      </c>
      <c r="T2952" t="str">
        <f t="shared" si="278"/>
        <v>Obese</v>
      </c>
      <c r="U2952">
        <v>75</v>
      </c>
      <c r="V2952">
        <v>67</v>
      </c>
      <c r="W2952" t="str">
        <f t="shared" si="281"/>
        <v>Normal</v>
      </c>
      <c r="X2952">
        <v>0</v>
      </c>
    </row>
    <row r="2953" spans="1:24" ht="14.5" thickBot="1" x14ac:dyDescent="0.35">
      <c r="A2953">
        <v>0</v>
      </c>
      <c r="B2953" t="str">
        <f t="shared" si="279"/>
        <v>Female</v>
      </c>
      <c r="C2953" s="8">
        <v>55</v>
      </c>
      <c r="D2953" t="str">
        <f t="shared" si="280"/>
        <v>Senior</v>
      </c>
      <c r="E2953">
        <v>1</v>
      </c>
      <c r="F2953" t="str">
        <f>HLOOKUP(E2953, LookUP_Table!$A$6:$D$7, 2, FALSE)</f>
        <v>Primary</v>
      </c>
      <c r="G2953" t="str">
        <f>IFERROR(VLOOKUP(E2953, LookUP_Table!$A$1:$B$4, 2, FALSE), "")</f>
        <v>Primary</v>
      </c>
      <c r="H2953">
        <v>0</v>
      </c>
      <c r="I2953">
        <v>0</v>
      </c>
      <c r="J2953" t="str">
        <f t="shared" si="276"/>
        <v>Non-Smoker</v>
      </c>
      <c r="K2953">
        <v>0</v>
      </c>
      <c r="L2953">
        <v>0</v>
      </c>
      <c r="M2953">
        <v>0</v>
      </c>
      <c r="N2953">
        <v>0</v>
      </c>
      <c r="O2953">
        <v>250</v>
      </c>
      <c r="P2953" t="str">
        <f t="shared" si="277"/>
        <v>High</v>
      </c>
      <c r="Q2953">
        <v>127.5</v>
      </c>
      <c r="R2953">
        <v>83.5</v>
      </c>
      <c r="S2953">
        <v>30.61</v>
      </c>
      <c r="T2953" t="str">
        <f t="shared" si="278"/>
        <v>Obese</v>
      </c>
      <c r="U2953">
        <v>72</v>
      </c>
      <c r="V2953">
        <v>73</v>
      </c>
      <c r="W2953" t="str">
        <f t="shared" si="281"/>
        <v>Normal</v>
      </c>
      <c r="X2953">
        <v>0</v>
      </c>
    </row>
    <row r="2954" spans="1:24" ht="14.5" thickBot="1" x14ac:dyDescent="0.35">
      <c r="A2954">
        <v>1</v>
      </c>
      <c r="B2954" t="str">
        <f t="shared" si="279"/>
        <v>Male</v>
      </c>
      <c r="C2954" s="8">
        <v>55</v>
      </c>
      <c r="D2954" t="str">
        <f t="shared" si="280"/>
        <v>Senior</v>
      </c>
      <c r="E2954">
        <v>1</v>
      </c>
      <c r="F2954" t="str">
        <f>HLOOKUP(E2954, LookUP_Table!$A$6:$D$7, 2, FALSE)</f>
        <v>Primary</v>
      </c>
      <c r="G2954" t="str">
        <f>IFERROR(VLOOKUP(E2954, LookUP_Table!$A$1:$B$4, 2, FALSE), "")</f>
        <v>Primary</v>
      </c>
      <c r="H2954">
        <v>1</v>
      </c>
      <c r="I2954">
        <v>25</v>
      </c>
      <c r="J2954" t="str">
        <f t="shared" si="276"/>
        <v>Smoker</v>
      </c>
      <c r="K2954">
        <v>0</v>
      </c>
      <c r="L2954">
        <v>0</v>
      </c>
      <c r="M2954">
        <v>1</v>
      </c>
      <c r="N2954">
        <v>0</v>
      </c>
      <c r="O2954">
        <v>230</v>
      </c>
      <c r="P2954" t="str">
        <f t="shared" si="277"/>
        <v>Normal</v>
      </c>
      <c r="Q2954">
        <v>142</v>
      </c>
      <c r="R2954">
        <v>74</v>
      </c>
      <c r="S2954">
        <v>23.65</v>
      </c>
      <c r="T2954" t="str">
        <f t="shared" si="278"/>
        <v>Normal</v>
      </c>
      <c r="U2954">
        <v>72</v>
      </c>
      <c r="V2954">
        <v>82</v>
      </c>
      <c r="W2954" t="str">
        <f t="shared" si="281"/>
        <v>Normal</v>
      </c>
      <c r="X2954">
        <v>0</v>
      </c>
    </row>
    <row r="2955" spans="1:24" ht="14.5" thickBot="1" x14ac:dyDescent="0.35">
      <c r="A2955">
        <v>0</v>
      </c>
      <c r="B2955" t="str">
        <f t="shared" si="279"/>
        <v>Female</v>
      </c>
      <c r="C2955" s="8">
        <v>55</v>
      </c>
      <c r="D2955" t="str">
        <f t="shared" si="280"/>
        <v>Senior</v>
      </c>
      <c r="E2955">
        <v>1</v>
      </c>
      <c r="F2955" t="str">
        <f>HLOOKUP(E2955, LookUP_Table!$A$6:$D$7, 2, FALSE)</f>
        <v>Primary</v>
      </c>
      <c r="G2955" t="str">
        <f>IFERROR(VLOOKUP(E2955, LookUP_Table!$A$1:$B$4, 2, FALSE), "")</f>
        <v>Primary</v>
      </c>
      <c r="H2955">
        <v>1</v>
      </c>
      <c r="I2955">
        <v>10</v>
      </c>
      <c r="J2955" t="str">
        <f t="shared" si="276"/>
        <v>Smoker</v>
      </c>
      <c r="K2955">
        <v>0</v>
      </c>
      <c r="L2955">
        <v>0</v>
      </c>
      <c r="M2955">
        <v>0</v>
      </c>
      <c r="N2955">
        <v>0</v>
      </c>
      <c r="O2955">
        <v>196</v>
      </c>
      <c r="P2955" t="str">
        <f t="shared" si="277"/>
        <v>Normal</v>
      </c>
      <c r="Q2955">
        <v>115</v>
      </c>
      <c r="R2955">
        <v>71</v>
      </c>
      <c r="S2955">
        <v>22.19</v>
      </c>
      <c r="T2955" t="str">
        <f t="shared" si="278"/>
        <v>Normal</v>
      </c>
      <c r="U2955">
        <v>105</v>
      </c>
      <c r="V2955">
        <v>85</v>
      </c>
      <c r="W2955" t="str">
        <f t="shared" si="281"/>
        <v>Normal</v>
      </c>
      <c r="X2955">
        <v>0</v>
      </c>
    </row>
    <row r="2956" spans="1:24" ht="14.5" thickBot="1" x14ac:dyDescent="0.35">
      <c r="A2956">
        <v>0</v>
      </c>
      <c r="B2956" t="str">
        <f t="shared" si="279"/>
        <v>Female</v>
      </c>
      <c r="C2956" s="8">
        <v>55</v>
      </c>
      <c r="D2956" t="str">
        <f t="shared" si="280"/>
        <v>Senior</v>
      </c>
      <c r="E2956">
        <v>3</v>
      </c>
      <c r="F2956" t="str">
        <f>HLOOKUP(E2956, LookUP_Table!$A$6:$D$7, 2, FALSE)</f>
        <v>Graduate</v>
      </c>
      <c r="G2956" t="str">
        <f>IFERROR(VLOOKUP(E2956, LookUP_Table!$A$1:$B$4, 2, FALSE), "")</f>
        <v>Graduate</v>
      </c>
      <c r="H2956">
        <v>0</v>
      </c>
      <c r="I2956">
        <v>0</v>
      </c>
      <c r="J2956" t="str">
        <f t="shared" si="276"/>
        <v>Non-Smoker</v>
      </c>
      <c r="K2956">
        <v>0</v>
      </c>
      <c r="L2956">
        <v>0</v>
      </c>
      <c r="M2956">
        <v>0</v>
      </c>
      <c r="N2956">
        <v>0</v>
      </c>
      <c r="O2956">
        <v>255</v>
      </c>
      <c r="P2956" t="str">
        <f t="shared" si="277"/>
        <v>High</v>
      </c>
      <c r="Q2956">
        <v>125</v>
      </c>
      <c r="R2956">
        <v>85</v>
      </c>
      <c r="S2956">
        <v>22.89</v>
      </c>
      <c r="T2956" t="str">
        <f t="shared" si="278"/>
        <v>Normal</v>
      </c>
      <c r="U2956">
        <v>65</v>
      </c>
      <c r="V2956">
        <v>81</v>
      </c>
      <c r="W2956" t="str">
        <f t="shared" si="281"/>
        <v>Normal</v>
      </c>
      <c r="X2956">
        <v>0</v>
      </c>
    </row>
    <row r="2957" spans="1:24" ht="14.5" thickBot="1" x14ac:dyDescent="0.35">
      <c r="A2957">
        <v>0</v>
      </c>
      <c r="B2957" t="str">
        <f t="shared" si="279"/>
        <v>Female</v>
      </c>
      <c r="C2957" s="8">
        <v>55</v>
      </c>
      <c r="D2957" t="str">
        <f t="shared" si="280"/>
        <v>Senior</v>
      </c>
      <c r="E2957">
        <v>1</v>
      </c>
      <c r="F2957" t="str">
        <f>HLOOKUP(E2957, LookUP_Table!$A$6:$D$7, 2, FALSE)</f>
        <v>Primary</v>
      </c>
      <c r="G2957" t="str">
        <f>IFERROR(VLOOKUP(E2957, LookUP_Table!$A$1:$B$4, 2, FALSE), "")</f>
        <v>Primary</v>
      </c>
      <c r="H2957">
        <v>0</v>
      </c>
      <c r="I2957">
        <v>0</v>
      </c>
      <c r="J2957" t="str">
        <f t="shared" si="276"/>
        <v>Non-Smoker</v>
      </c>
      <c r="K2957">
        <v>0</v>
      </c>
      <c r="L2957">
        <v>0</v>
      </c>
      <c r="M2957">
        <v>0</v>
      </c>
      <c r="N2957">
        <v>0</v>
      </c>
      <c r="O2957">
        <v>269</v>
      </c>
      <c r="P2957" t="str">
        <f t="shared" si="277"/>
        <v>High</v>
      </c>
      <c r="Q2957">
        <v>112.5</v>
      </c>
      <c r="R2957">
        <v>72.5</v>
      </c>
      <c r="S2957">
        <v>23.45</v>
      </c>
      <c r="T2957" t="str">
        <f t="shared" si="278"/>
        <v>Normal</v>
      </c>
      <c r="U2957">
        <v>60</v>
      </c>
      <c r="V2957">
        <v>80</v>
      </c>
      <c r="W2957" t="str">
        <f t="shared" si="281"/>
        <v>Normal</v>
      </c>
      <c r="X2957">
        <v>0</v>
      </c>
    </row>
    <row r="2958" spans="1:24" ht="14.5" thickBot="1" x14ac:dyDescent="0.35">
      <c r="A2958">
        <v>0</v>
      </c>
      <c r="B2958" t="str">
        <f t="shared" si="279"/>
        <v>Female</v>
      </c>
      <c r="C2958" s="8">
        <v>55</v>
      </c>
      <c r="D2958" t="str">
        <f t="shared" si="280"/>
        <v>Senior</v>
      </c>
      <c r="E2958">
        <v>2</v>
      </c>
      <c r="F2958" t="str">
        <f>HLOOKUP(E2958, LookUP_Table!$A$6:$D$7, 2, FALSE)</f>
        <v>Secondary</v>
      </c>
      <c r="G2958" t="str">
        <f>IFERROR(VLOOKUP(E2958, LookUP_Table!$A$1:$B$4, 2, FALSE), "")</f>
        <v>Secondary</v>
      </c>
      <c r="H2958">
        <v>0</v>
      </c>
      <c r="I2958">
        <v>0</v>
      </c>
      <c r="J2958" t="str">
        <f t="shared" si="276"/>
        <v>Non-Smoker</v>
      </c>
      <c r="K2958">
        <v>0</v>
      </c>
      <c r="L2958">
        <v>0</v>
      </c>
      <c r="M2958">
        <v>1</v>
      </c>
      <c r="N2958">
        <v>0</v>
      </c>
      <c r="O2958">
        <v>250</v>
      </c>
      <c r="P2958" t="str">
        <f t="shared" si="277"/>
        <v>High</v>
      </c>
      <c r="Q2958">
        <v>161.5</v>
      </c>
      <c r="R2958">
        <v>95</v>
      </c>
      <c r="S2958">
        <v>27.76</v>
      </c>
      <c r="T2958" t="str">
        <f t="shared" si="278"/>
        <v>Overweight</v>
      </c>
      <c r="U2958">
        <v>67</v>
      </c>
      <c r="V2958">
        <v>83</v>
      </c>
      <c r="W2958" t="str">
        <f t="shared" si="281"/>
        <v>Normal</v>
      </c>
      <c r="X2958">
        <v>0</v>
      </c>
    </row>
    <row r="2959" spans="1:24" ht="14.5" thickBot="1" x14ac:dyDescent="0.35">
      <c r="A2959">
        <v>0</v>
      </c>
      <c r="B2959" t="str">
        <f t="shared" si="279"/>
        <v>Female</v>
      </c>
      <c r="C2959" s="8">
        <v>55</v>
      </c>
      <c r="D2959" t="str">
        <f t="shared" si="280"/>
        <v>Senior</v>
      </c>
      <c r="E2959">
        <v>2</v>
      </c>
      <c r="F2959" t="str">
        <f>HLOOKUP(E2959, LookUP_Table!$A$6:$D$7, 2, FALSE)</f>
        <v>Secondary</v>
      </c>
      <c r="G2959" t="str">
        <f>IFERROR(VLOOKUP(E2959, LookUP_Table!$A$1:$B$4, 2, FALSE), "")</f>
        <v>Secondary</v>
      </c>
      <c r="H2959">
        <v>1</v>
      </c>
      <c r="I2959">
        <v>3</v>
      </c>
      <c r="J2959" t="str">
        <f t="shared" si="276"/>
        <v>Smoker</v>
      </c>
      <c r="K2959">
        <v>0</v>
      </c>
      <c r="L2959">
        <v>0</v>
      </c>
      <c r="M2959">
        <v>0</v>
      </c>
      <c r="N2959">
        <v>0</v>
      </c>
      <c r="O2959">
        <v>252</v>
      </c>
      <c r="P2959" t="str">
        <f t="shared" si="277"/>
        <v>High</v>
      </c>
      <c r="Q2959">
        <v>108.5</v>
      </c>
      <c r="R2959">
        <v>63.5</v>
      </c>
      <c r="S2959">
        <v>25.23</v>
      </c>
      <c r="T2959" t="str">
        <f t="shared" si="278"/>
        <v>Overweight</v>
      </c>
      <c r="U2959">
        <v>80</v>
      </c>
      <c r="V2959">
        <v>121</v>
      </c>
      <c r="W2959" t="str">
        <f t="shared" si="281"/>
        <v>Prediabetes</v>
      </c>
      <c r="X2959">
        <v>0</v>
      </c>
    </row>
    <row r="2960" spans="1:24" ht="14.5" thickBot="1" x14ac:dyDescent="0.35">
      <c r="A2960">
        <v>1</v>
      </c>
      <c r="B2960" t="str">
        <f t="shared" si="279"/>
        <v>Male</v>
      </c>
      <c r="C2960" s="8">
        <v>55</v>
      </c>
      <c r="D2960" t="str">
        <f t="shared" si="280"/>
        <v>Senior</v>
      </c>
      <c r="E2960">
        <v>1</v>
      </c>
      <c r="F2960" t="str">
        <f>HLOOKUP(E2960, LookUP_Table!$A$6:$D$7, 2, FALSE)</f>
        <v>Primary</v>
      </c>
      <c r="G2960" t="str">
        <f>IFERROR(VLOOKUP(E2960, LookUP_Table!$A$1:$B$4, 2, FALSE), "")</f>
        <v>Primary</v>
      </c>
      <c r="H2960">
        <v>1</v>
      </c>
      <c r="I2960">
        <v>35</v>
      </c>
      <c r="J2960" t="str">
        <f t="shared" si="276"/>
        <v>Smoker</v>
      </c>
      <c r="K2960">
        <v>0</v>
      </c>
      <c r="L2960">
        <v>0</v>
      </c>
      <c r="M2960">
        <v>0</v>
      </c>
      <c r="N2960">
        <v>0</v>
      </c>
      <c r="O2960">
        <v>290</v>
      </c>
      <c r="P2960" t="str">
        <f t="shared" si="277"/>
        <v>High</v>
      </c>
      <c r="Q2960">
        <v>120.5</v>
      </c>
      <c r="R2960">
        <v>84</v>
      </c>
      <c r="S2960">
        <v>25.05</v>
      </c>
      <c r="T2960" t="str">
        <f t="shared" si="278"/>
        <v>Overweight</v>
      </c>
      <c r="U2960">
        <v>80</v>
      </c>
      <c r="V2960">
        <v>90</v>
      </c>
      <c r="W2960" t="str">
        <f t="shared" si="281"/>
        <v>Normal</v>
      </c>
      <c r="X2960">
        <v>0</v>
      </c>
    </row>
    <row r="2961" spans="1:24" ht="14.5" thickBot="1" x14ac:dyDescent="0.35">
      <c r="A2961">
        <v>0</v>
      </c>
      <c r="B2961" t="str">
        <f t="shared" si="279"/>
        <v>Female</v>
      </c>
      <c r="C2961" s="8">
        <v>55</v>
      </c>
      <c r="D2961" t="str">
        <f t="shared" si="280"/>
        <v>Senior</v>
      </c>
      <c r="E2961">
        <v>1</v>
      </c>
      <c r="F2961" t="str">
        <f>HLOOKUP(E2961, LookUP_Table!$A$6:$D$7, 2, FALSE)</f>
        <v>Primary</v>
      </c>
      <c r="G2961" t="str">
        <f>IFERROR(VLOOKUP(E2961, LookUP_Table!$A$1:$B$4, 2, FALSE), "")</f>
        <v>Primary</v>
      </c>
      <c r="H2961">
        <v>1</v>
      </c>
      <c r="I2961">
        <v>10</v>
      </c>
      <c r="J2961" t="str">
        <f t="shared" si="276"/>
        <v>Smoker</v>
      </c>
      <c r="K2961">
        <v>0</v>
      </c>
      <c r="L2961">
        <v>0</v>
      </c>
      <c r="M2961">
        <v>0</v>
      </c>
      <c r="N2961">
        <v>0</v>
      </c>
      <c r="O2961">
        <v>346</v>
      </c>
      <c r="P2961" t="str">
        <f t="shared" si="277"/>
        <v>High</v>
      </c>
      <c r="Q2961">
        <v>131</v>
      </c>
      <c r="R2961">
        <v>81</v>
      </c>
      <c r="S2961">
        <v>22.69</v>
      </c>
      <c r="T2961" t="str">
        <f t="shared" si="278"/>
        <v>Normal</v>
      </c>
      <c r="U2961">
        <v>75</v>
      </c>
      <c r="V2961">
        <v>77</v>
      </c>
      <c r="W2961" t="str">
        <f t="shared" si="281"/>
        <v>Normal</v>
      </c>
      <c r="X2961">
        <v>0</v>
      </c>
    </row>
    <row r="2962" spans="1:24" ht="14.5" thickBot="1" x14ac:dyDescent="0.35">
      <c r="A2962">
        <v>0</v>
      </c>
      <c r="B2962" t="str">
        <f t="shared" si="279"/>
        <v>Female</v>
      </c>
      <c r="C2962" s="8">
        <v>55</v>
      </c>
      <c r="D2962" t="str">
        <f t="shared" si="280"/>
        <v>Senior</v>
      </c>
      <c r="E2962">
        <v>4</v>
      </c>
      <c r="F2962" t="str">
        <f>HLOOKUP(E2962, LookUP_Table!$A$6:$D$7, 2, FALSE)</f>
        <v>Post Graduate</v>
      </c>
      <c r="G2962" t="str">
        <f>IFERROR(VLOOKUP(E2962, LookUP_Table!$A$1:$B$4, 2, FALSE), "")</f>
        <v>Post Graduate</v>
      </c>
      <c r="H2962">
        <v>0</v>
      </c>
      <c r="I2962">
        <v>0</v>
      </c>
      <c r="J2962" t="str">
        <f t="shared" si="276"/>
        <v>Non-Smoker</v>
      </c>
      <c r="K2962">
        <v>0</v>
      </c>
      <c r="L2962">
        <v>0</v>
      </c>
      <c r="M2962">
        <v>0</v>
      </c>
      <c r="N2962">
        <v>0</v>
      </c>
      <c r="O2962">
        <v>230</v>
      </c>
      <c r="P2962" t="str">
        <f t="shared" si="277"/>
        <v>Normal</v>
      </c>
      <c r="Q2962">
        <v>113</v>
      </c>
      <c r="R2962">
        <v>82</v>
      </c>
      <c r="S2962">
        <v>24.99</v>
      </c>
      <c r="T2962" t="str">
        <f t="shared" si="278"/>
        <v>Normal</v>
      </c>
      <c r="U2962">
        <v>68</v>
      </c>
      <c r="V2962">
        <v>81.96365524402907</v>
      </c>
      <c r="W2962" t="str">
        <f t="shared" si="281"/>
        <v>Normal</v>
      </c>
      <c r="X2962">
        <v>0</v>
      </c>
    </row>
    <row r="2963" spans="1:24" ht="14.5" thickBot="1" x14ac:dyDescent="0.35">
      <c r="A2963">
        <v>1</v>
      </c>
      <c r="B2963" t="str">
        <f t="shared" si="279"/>
        <v>Male</v>
      </c>
      <c r="C2963" s="8">
        <v>55</v>
      </c>
      <c r="D2963" t="str">
        <f t="shared" si="280"/>
        <v>Senior</v>
      </c>
      <c r="E2963">
        <v>1</v>
      </c>
      <c r="F2963" t="str">
        <f>HLOOKUP(E2963, LookUP_Table!$A$6:$D$7, 2, FALSE)</f>
        <v>Primary</v>
      </c>
      <c r="G2963" t="str">
        <f>IFERROR(VLOOKUP(E2963, LookUP_Table!$A$1:$B$4, 2, FALSE), "")</f>
        <v>Primary</v>
      </c>
      <c r="H2963">
        <v>1</v>
      </c>
      <c r="I2963">
        <v>25</v>
      </c>
      <c r="J2963" t="str">
        <f t="shared" si="276"/>
        <v>Smoker</v>
      </c>
      <c r="K2963">
        <v>0</v>
      </c>
      <c r="L2963">
        <v>0</v>
      </c>
      <c r="M2963">
        <v>0</v>
      </c>
      <c r="N2963">
        <v>0</v>
      </c>
      <c r="O2963">
        <v>270</v>
      </c>
      <c r="P2963" t="str">
        <f t="shared" si="277"/>
        <v>High</v>
      </c>
      <c r="Q2963">
        <v>129</v>
      </c>
      <c r="R2963">
        <v>82</v>
      </c>
      <c r="S2963">
        <v>27.63</v>
      </c>
      <c r="T2963" t="str">
        <f t="shared" si="278"/>
        <v>Overweight</v>
      </c>
      <c r="U2963">
        <v>88</v>
      </c>
      <c r="V2963">
        <v>60</v>
      </c>
      <c r="W2963" t="str">
        <f t="shared" si="281"/>
        <v>Normal</v>
      </c>
      <c r="X2963">
        <v>0</v>
      </c>
    </row>
    <row r="2964" spans="1:24" ht="14.5" thickBot="1" x14ac:dyDescent="0.35">
      <c r="A2964">
        <v>0</v>
      </c>
      <c r="B2964" t="str">
        <f t="shared" si="279"/>
        <v>Female</v>
      </c>
      <c r="C2964" s="8">
        <v>55</v>
      </c>
      <c r="D2964" t="str">
        <f t="shared" si="280"/>
        <v>Senior</v>
      </c>
      <c r="E2964">
        <v>3</v>
      </c>
      <c r="F2964" t="str">
        <f>HLOOKUP(E2964, LookUP_Table!$A$6:$D$7, 2, FALSE)</f>
        <v>Graduate</v>
      </c>
      <c r="G2964" t="str">
        <f>IFERROR(VLOOKUP(E2964, LookUP_Table!$A$1:$B$4, 2, FALSE), "")</f>
        <v>Graduate</v>
      </c>
      <c r="H2964">
        <v>0</v>
      </c>
      <c r="I2964">
        <v>0</v>
      </c>
      <c r="J2964" t="str">
        <f t="shared" si="276"/>
        <v>Non-Smoker</v>
      </c>
      <c r="K2964">
        <v>0</v>
      </c>
      <c r="L2964">
        <v>0</v>
      </c>
      <c r="M2964">
        <v>0</v>
      </c>
      <c r="N2964">
        <v>0</v>
      </c>
      <c r="O2964">
        <v>265</v>
      </c>
      <c r="P2964" t="str">
        <f t="shared" si="277"/>
        <v>High</v>
      </c>
      <c r="Q2964">
        <v>130</v>
      </c>
      <c r="R2964">
        <v>84</v>
      </c>
      <c r="S2964">
        <v>29.66</v>
      </c>
      <c r="T2964" t="str">
        <f t="shared" si="278"/>
        <v>Overweight</v>
      </c>
      <c r="U2964">
        <v>76</v>
      </c>
      <c r="V2964">
        <v>69</v>
      </c>
      <c r="W2964" t="str">
        <f t="shared" si="281"/>
        <v>Normal</v>
      </c>
      <c r="X2964">
        <v>0</v>
      </c>
    </row>
    <row r="2965" spans="1:24" ht="14.5" thickBot="1" x14ac:dyDescent="0.35">
      <c r="A2965">
        <v>0</v>
      </c>
      <c r="B2965" t="str">
        <f t="shared" si="279"/>
        <v>Female</v>
      </c>
      <c r="C2965" s="8">
        <v>55</v>
      </c>
      <c r="D2965" t="str">
        <f t="shared" si="280"/>
        <v>Senior</v>
      </c>
      <c r="E2965">
        <v>1</v>
      </c>
      <c r="F2965" t="str">
        <f>HLOOKUP(E2965, LookUP_Table!$A$6:$D$7, 2, FALSE)</f>
        <v>Primary</v>
      </c>
      <c r="G2965" t="str">
        <f>IFERROR(VLOOKUP(E2965, LookUP_Table!$A$1:$B$4, 2, FALSE), "")</f>
        <v>Primary</v>
      </c>
      <c r="H2965">
        <v>0</v>
      </c>
      <c r="I2965">
        <v>0</v>
      </c>
      <c r="J2965" t="str">
        <f t="shared" si="276"/>
        <v>Non-Smoker</v>
      </c>
      <c r="K2965">
        <v>0</v>
      </c>
      <c r="L2965">
        <v>0</v>
      </c>
      <c r="M2965">
        <v>1</v>
      </c>
      <c r="N2965">
        <v>0</v>
      </c>
      <c r="O2965">
        <v>325</v>
      </c>
      <c r="P2965" t="str">
        <f t="shared" si="277"/>
        <v>High</v>
      </c>
      <c r="Q2965">
        <v>155</v>
      </c>
      <c r="R2965">
        <v>90</v>
      </c>
      <c r="S2965">
        <v>26.27</v>
      </c>
      <c r="T2965" t="str">
        <f t="shared" si="278"/>
        <v>Overweight</v>
      </c>
      <c r="U2965">
        <v>68</v>
      </c>
      <c r="V2965">
        <v>72</v>
      </c>
      <c r="W2965" t="str">
        <f t="shared" si="281"/>
        <v>Normal</v>
      </c>
      <c r="X2965">
        <v>1</v>
      </c>
    </row>
    <row r="2966" spans="1:24" ht="14.5" thickBot="1" x14ac:dyDescent="0.35">
      <c r="A2966">
        <v>1</v>
      </c>
      <c r="B2966" t="str">
        <f t="shared" si="279"/>
        <v>Male</v>
      </c>
      <c r="C2966" s="8">
        <v>55</v>
      </c>
      <c r="D2966" t="str">
        <f t="shared" si="280"/>
        <v>Senior</v>
      </c>
      <c r="E2966">
        <v>1</v>
      </c>
      <c r="F2966" t="str">
        <f>HLOOKUP(E2966, LookUP_Table!$A$6:$D$7, 2, FALSE)</f>
        <v>Primary</v>
      </c>
      <c r="G2966" t="str">
        <f>IFERROR(VLOOKUP(E2966, LookUP_Table!$A$1:$B$4, 2, FALSE), "")</f>
        <v>Primary</v>
      </c>
      <c r="H2966">
        <v>1</v>
      </c>
      <c r="I2966">
        <v>20</v>
      </c>
      <c r="J2966" t="str">
        <f t="shared" si="276"/>
        <v>Smoker</v>
      </c>
      <c r="K2966">
        <v>0</v>
      </c>
      <c r="L2966">
        <v>0</v>
      </c>
      <c r="M2966">
        <v>0</v>
      </c>
      <c r="N2966">
        <v>0</v>
      </c>
      <c r="O2966">
        <v>242</v>
      </c>
      <c r="P2966" t="str">
        <f t="shared" si="277"/>
        <v>High</v>
      </c>
      <c r="Q2966">
        <v>120</v>
      </c>
      <c r="R2966">
        <v>86</v>
      </c>
      <c r="S2966">
        <v>26.77</v>
      </c>
      <c r="T2966" t="str">
        <f t="shared" si="278"/>
        <v>Overweight</v>
      </c>
      <c r="U2966">
        <v>55</v>
      </c>
      <c r="V2966">
        <v>73</v>
      </c>
      <c r="W2966" t="str">
        <f t="shared" si="281"/>
        <v>Normal</v>
      </c>
      <c r="X2966">
        <v>0</v>
      </c>
    </row>
    <row r="2967" spans="1:24" ht="14.5" thickBot="1" x14ac:dyDescent="0.35">
      <c r="A2967">
        <v>0</v>
      </c>
      <c r="B2967" t="str">
        <f t="shared" si="279"/>
        <v>Female</v>
      </c>
      <c r="C2967" s="8">
        <v>55</v>
      </c>
      <c r="D2967" t="str">
        <f t="shared" si="280"/>
        <v>Senior</v>
      </c>
      <c r="E2967">
        <v>3</v>
      </c>
      <c r="F2967" t="str">
        <f>HLOOKUP(E2967, LookUP_Table!$A$6:$D$7, 2, FALSE)</f>
        <v>Graduate</v>
      </c>
      <c r="G2967" t="str">
        <f>IFERROR(VLOOKUP(E2967, LookUP_Table!$A$1:$B$4, 2, FALSE), "")</f>
        <v>Graduate</v>
      </c>
      <c r="H2967">
        <v>1</v>
      </c>
      <c r="I2967">
        <v>3</v>
      </c>
      <c r="J2967" t="str">
        <f t="shared" si="276"/>
        <v>Smoker</v>
      </c>
      <c r="K2967">
        <v>0</v>
      </c>
      <c r="L2967">
        <v>0</v>
      </c>
      <c r="M2967">
        <v>0</v>
      </c>
      <c r="N2967">
        <v>0</v>
      </c>
      <c r="O2967">
        <v>222</v>
      </c>
      <c r="P2967" t="str">
        <f t="shared" si="277"/>
        <v>Normal</v>
      </c>
      <c r="Q2967">
        <v>103</v>
      </c>
      <c r="R2967">
        <v>61</v>
      </c>
      <c r="S2967">
        <v>23.18</v>
      </c>
      <c r="T2967" t="str">
        <f t="shared" si="278"/>
        <v>Normal</v>
      </c>
      <c r="U2967">
        <v>68</v>
      </c>
      <c r="V2967">
        <v>75</v>
      </c>
      <c r="W2967" t="str">
        <f t="shared" si="281"/>
        <v>Normal</v>
      </c>
      <c r="X2967">
        <v>1</v>
      </c>
    </row>
    <row r="2968" spans="1:24" ht="14.5" thickBot="1" x14ac:dyDescent="0.35">
      <c r="A2968">
        <v>0</v>
      </c>
      <c r="B2968" t="str">
        <f t="shared" si="279"/>
        <v>Female</v>
      </c>
      <c r="C2968" s="8">
        <v>55</v>
      </c>
      <c r="D2968" t="str">
        <f t="shared" si="280"/>
        <v>Senior</v>
      </c>
      <c r="E2968">
        <v>2</v>
      </c>
      <c r="F2968" t="str">
        <f>HLOOKUP(E2968, LookUP_Table!$A$6:$D$7, 2, FALSE)</f>
        <v>Secondary</v>
      </c>
      <c r="G2968" t="str">
        <f>IFERROR(VLOOKUP(E2968, LookUP_Table!$A$1:$B$4, 2, FALSE), "")</f>
        <v>Secondary</v>
      </c>
      <c r="H2968">
        <v>1</v>
      </c>
      <c r="I2968">
        <v>20</v>
      </c>
      <c r="J2968" t="str">
        <f t="shared" si="276"/>
        <v>Smoker</v>
      </c>
      <c r="K2968">
        <v>0</v>
      </c>
      <c r="L2968">
        <v>0</v>
      </c>
      <c r="M2968">
        <v>0</v>
      </c>
      <c r="N2968">
        <v>0</v>
      </c>
      <c r="O2968">
        <v>250</v>
      </c>
      <c r="P2968" t="str">
        <f t="shared" si="277"/>
        <v>High</v>
      </c>
      <c r="Q2968">
        <v>138</v>
      </c>
      <c r="R2968">
        <v>87</v>
      </c>
      <c r="S2968">
        <v>25.33</v>
      </c>
      <c r="T2968" t="str">
        <f t="shared" si="278"/>
        <v>Overweight</v>
      </c>
      <c r="U2968">
        <v>95</v>
      </c>
      <c r="V2968">
        <v>81.96365524402907</v>
      </c>
      <c r="W2968" t="str">
        <f t="shared" si="281"/>
        <v>Normal</v>
      </c>
      <c r="X2968">
        <v>1</v>
      </c>
    </row>
    <row r="2969" spans="1:24" ht="14.5" thickBot="1" x14ac:dyDescent="0.35">
      <c r="A2969">
        <v>1</v>
      </c>
      <c r="B2969" t="str">
        <f t="shared" si="279"/>
        <v>Male</v>
      </c>
      <c r="C2969" s="8">
        <v>55</v>
      </c>
      <c r="D2969" t="str">
        <f t="shared" si="280"/>
        <v>Senior</v>
      </c>
      <c r="E2969">
        <v>1</v>
      </c>
      <c r="F2969" t="str">
        <f>HLOOKUP(E2969, LookUP_Table!$A$6:$D$7, 2, FALSE)</f>
        <v>Primary</v>
      </c>
      <c r="G2969" t="str">
        <f>IFERROR(VLOOKUP(E2969, LookUP_Table!$A$1:$B$4, 2, FALSE), "")</f>
        <v>Primary</v>
      </c>
      <c r="H2969">
        <v>0</v>
      </c>
      <c r="I2969">
        <v>0</v>
      </c>
      <c r="J2969" t="str">
        <f t="shared" si="276"/>
        <v>Non-Smoker</v>
      </c>
      <c r="K2969">
        <v>0</v>
      </c>
      <c r="L2969">
        <v>0</v>
      </c>
      <c r="M2969">
        <v>1</v>
      </c>
      <c r="N2969">
        <v>1</v>
      </c>
      <c r="O2969">
        <v>180</v>
      </c>
      <c r="P2969" t="str">
        <f t="shared" si="277"/>
        <v>Normal</v>
      </c>
      <c r="Q2969">
        <v>174</v>
      </c>
      <c r="R2969">
        <v>100</v>
      </c>
      <c r="S2969">
        <v>26.83</v>
      </c>
      <c r="T2969" t="str">
        <f t="shared" si="278"/>
        <v>Overweight</v>
      </c>
      <c r="U2969">
        <v>71</v>
      </c>
      <c r="V2969">
        <v>78</v>
      </c>
      <c r="W2969" t="str">
        <f t="shared" si="281"/>
        <v>Normal</v>
      </c>
      <c r="X2969">
        <v>0</v>
      </c>
    </row>
    <row r="2970" spans="1:24" ht="14.5" thickBot="1" x14ac:dyDescent="0.35">
      <c r="A2970">
        <v>0</v>
      </c>
      <c r="B2970" t="str">
        <f t="shared" si="279"/>
        <v>Female</v>
      </c>
      <c r="C2970" s="8">
        <v>55</v>
      </c>
      <c r="D2970" t="str">
        <f t="shared" si="280"/>
        <v>Senior</v>
      </c>
      <c r="E2970">
        <v>1</v>
      </c>
      <c r="F2970" t="str">
        <f>HLOOKUP(E2970, LookUP_Table!$A$6:$D$7, 2, FALSE)</f>
        <v>Primary</v>
      </c>
      <c r="G2970" t="str">
        <f>IFERROR(VLOOKUP(E2970, LookUP_Table!$A$1:$B$4, 2, FALSE), "")</f>
        <v>Primary</v>
      </c>
      <c r="H2970">
        <v>0</v>
      </c>
      <c r="I2970">
        <v>0</v>
      </c>
      <c r="J2970" t="str">
        <f t="shared" si="276"/>
        <v>Non-Smoker</v>
      </c>
      <c r="K2970">
        <v>0</v>
      </c>
      <c r="L2970">
        <v>0</v>
      </c>
      <c r="M2970">
        <v>0</v>
      </c>
      <c r="N2970">
        <v>0</v>
      </c>
      <c r="O2970">
        <v>211</v>
      </c>
      <c r="P2970" t="str">
        <f t="shared" si="277"/>
        <v>Normal</v>
      </c>
      <c r="Q2970">
        <v>136</v>
      </c>
      <c r="R2970">
        <v>70</v>
      </c>
      <c r="S2970">
        <v>34.4</v>
      </c>
      <c r="T2970" t="str">
        <f t="shared" si="278"/>
        <v>Obese</v>
      </c>
      <c r="U2970">
        <v>75</v>
      </c>
      <c r="V2970">
        <v>83</v>
      </c>
      <c r="W2970" t="str">
        <f t="shared" si="281"/>
        <v>Normal</v>
      </c>
      <c r="X2970">
        <v>0</v>
      </c>
    </row>
    <row r="2971" spans="1:24" ht="14.5" thickBot="1" x14ac:dyDescent="0.35">
      <c r="A2971">
        <v>1</v>
      </c>
      <c r="B2971" t="str">
        <f t="shared" si="279"/>
        <v>Male</v>
      </c>
      <c r="C2971" s="8">
        <v>55</v>
      </c>
      <c r="D2971" t="str">
        <f t="shared" si="280"/>
        <v>Senior</v>
      </c>
      <c r="E2971">
        <v>1</v>
      </c>
      <c r="F2971" t="str">
        <f>HLOOKUP(E2971, LookUP_Table!$A$6:$D$7, 2, FALSE)</f>
        <v>Primary</v>
      </c>
      <c r="G2971" t="str">
        <f>IFERROR(VLOOKUP(E2971, LookUP_Table!$A$1:$B$4, 2, FALSE), "")</f>
        <v>Primary</v>
      </c>
      <c r="H2971">
        <v>1</v>
      </c>
      <c r="I2971">
        <v>40</v>
      </c>
      <c r="J2971" t="str">
        <f t="shared" si="276"/>
        <v>Smoker</v>
      </c>
      <c r="K2971">
        <v>0</v>
      </c>
      <c r="L2971">
        <v>0</v>
      </c>
      <c r="M2971">
        <v>0</v>
      </c>
      <c r="N2971">
        <v>1</v>
      </c>
      <c r="O2971">
        <v>205</v>
      </c>
      <c r="P2971" t="str">
        <f t="shared" si="277"/>
        <v>Normal</v>
      </c>
      <c r="Q2971">
        <v>127</v>
      </c>
      <c r="R2971">
        <v>76</v>
      </c>
      <c r="S2971">
        <v>22.24</v>
      </c>
      <c r="T2971" t="str">
        <f t="shared" si="278"/>
        <v>Normal</v>
      </c>
      <c r="U2971">
        <v>90</v>
      </c>
      <c r="V2971">
        <v>325</v>
      </c>
      <c r="W2971" t="str">
        <f t="shared" si="281"/>
        <v>Diabetes</v>
      </c>
      <c r="X2971">
        <v>1</v>
      </c>
    </row>
    <row r="2972" spans="1:24" ht="14.5" thickBot="1" x14ac:dyDescent="0.35">
      <c r="A2972">
        <v>1</v>
      </c>
      <c r="B2972" t="str">
        <f t="shared" si="279"/>
        <v>Male</v>
      </c>
      <c r="C2972" s="8">
        <v>55</v>
      </c>
      <c r="D2972" t="str">
        <f t="shared" si="280"/>
        <v>Senior</v>
      </c>
      <c r="E2972">
        <v>2</v>
      </c>
      <c r="F2972" t="str">
        <f>HLOOKUP(E2972, LookUP_Table!$A$6:$D$7, 2, FALSE)</f>
        <v>Secondary</v>
      </c>
      <c r="G2972" t="str">
        <f>IFERROR(VLOOKUP(E2972, LookUP_Table!$A$1:$B$4, 2, FALSE), "")</f>
        <v>Secondary</v>
      </c>
      <c r="H2972">
        <v>0</v>
      </c>
      <c r="I2972">
        <v>0</v>
      </c>
      <c r="J2972" t="str">
        <f t="shared" si="276"/>
        <v>Non-Smoker</v>
      </c>
      <c r="K2972">
        <v>0</v>
      </c>
      <c r="L2972">
        <v>0</v>
      </c>
      <c r="M2972">
        <v>0</v>
      </c>
      <c r="N2972">
        <v>0</v>
      </c>
      <c r="O2972">
        <v>309</v>
      </c>
      <c r="P2972" t="str">
        <f t="shared" si="277"/>
        <v>High</v>
      </c>
      <c r="Q2972">
        <v>126</v>
      </c>
      <c r="R2972">
        <v>88</v>
      </c>
      <c r="S2972">
        <v>26.77</v>
      </c>
      <c r="T2972" t="str">
        <f t="shared" si="278"/>
        <v>Overweight</v>
      </c>
      <c r="U2972">
        <v>68</v>
      </c>
      <c r="V2972">
        <v>81.96365524402907</v>
      </c>
      <c r="W2972" t="str">
        <f t="shared" si="281"/>
        <v>Normal</v>
      </c>
      <c r="X2972">
        <v>0</v>
      </c>
    </row>
    <row r="2973" spans="1:24" ht="14.5" thickBot="1" x14ac:dyDescent="0.35">
      <c r="A2973">
        <v>0</v>
      </c>
      <c r="B2973" t="str">
        <f t="shared" si="279"/>
        <v>Female</v>
      </c>
      <c r="C2973" s="8">
        <v>55</v>
      </c>
      <c r="D2973" t="str">
        <f t="shared" si="280"/>
        <v>Senior</v>
      </c>
      <c r="E2973">
        <v>2</v>
      </c>
      <c r="F2973" t="str">
        <f>HLOOKUP(E2973, LookUP_Table!$A$6:$D$7, 2, FALSE)</f>
        <v>Secondary</v>
      </c>
      <c r="G2973" t="str">
        <f>IFERROR(VLOOKUP(E2973, LookUP_Table!$A$1:$B$4, 2, FALSE), "")</f>
        <v>Secondary</v>
      </c>
      <c r="H2973">
        <v>0</v>
      </c>
      <c r="I2973">
        <v>0</v>
      </c>
      <c r="J2973" t="str">
        <f t="shared" si="276"/>
        <v>Non-Smoker</v>
      </c>
      <c r="K2973">
        <v>0</v>
      </c>
      <c r="L2973">
        <v>0</v>
      </c>
      <c r="M2973">
        <v>1</v>
      </c>
      <c r="N2973">
        <v>0</v>
      </c>
      <c r="O2973">
        <v>340</v>
      </c>
      <c r="P2973" t="str">
        <f t="shared" si="277"/>
        <v>High</v>
      </c>
      <c r="Q2973">
        <v>140</v>
      </c>
      <c r="R2973">
        <v>83</v>
      </c>
      <c r="S2973">
        <v>26.18</v>
      </c>
      <c r="T2973" t="str">
        <f t="shared" si="278"/>
        <v>Overweight</v>
      </c>
      <c r="U2973">
        <v>75</v>
      </c>
      <c r="V2973">
        <v>83</v>
      </c>
      <c r="W2973" t="str">
        <f t="shared" si="281"/>
        <v>Normal</v>
      </c>
      <c r="X2973">
        <v>0</v>
      </c>
    </row>
    <row r="2974" spans="1:24" ht="14.5" thickBot="1" x14ac:dyDescent="0.35">
      <c r="A2974">
        <v>0</v>
      </c>
      <c r="B2974" t="str">
        <f t="shared" si="279"/>
        <v>Female</v>
      </c>
      <c r="C2974" s="8">
        <v>55</v>
      </c>
      <c r="D2974" t="str">
        <f t="shared" si="280"/>
        <v>Senior</v>
      </c>
      <c r="E2974">
        <v>1</v>
      </c>
      <c r="F2974" t="str">
        <f>HLOOKUP(E2974, LookUP_Table!$A$6:$D$7, 2, FALSE)</f>
        <v>Primary</v>
      </c>
      <c r="G2974" t="str">
        <f>IFERROR(VLOOKUP(E2974, LookUP_Table!$A$1:$B$4, 2, FALSE), "")</f>
        <v>Primary</v>
      </c>
      <c r="H2974">
        <v>0</v>
      </c>
      <c r="I2974">
        <v>0</v>
      </c>
      <c r="J2974" t="str">
        <f t="shared" si="276"/>
        <v>Non-Smoker</v>
      </c>
      <c r="K2974">
        <v>0</v>
      </c>
      <c r="L2974">
        <v>0</v>
      </c>
      <c r="M2974">
        <v>1</v>
      </c>
      <c r="N2974">
        <v>0</v>
      </c>
      <c r="O2974">
        <v>243</v>
      </c>
      <c r="P2974" t="str">
        <f t="shared" si="277"/>
        <v>High</v>
      </c>
      <c r="Q2974">
        <v>142</v>
      </c>
      <c r="R2974">
        <v>92</v>
      </c>
      <c r="S2974">
        <v>30.24</v>
      </c>
      <c r="T2974" t="str">
        <f t="shared" si="278"/>
        <v>Obese</v>
      </c>
      <c r="U2974">
        <v>70</v>
      </c>
      <c r="V2974">
        <v>85</v>
      </c>
      <c r="W2974" t="str">
        <f t="shared" si="281"/>
        <v>Normal</v>
      </c>
      <c r="X2974">
        <v>0</v>
      </c>
    </row>
    <row r="2975" spans="1:24" ht="14.5" thickBot="1" x14ac:dyDescent="0.35">
      <c r="A2975">
        <v>0</v>
      </c>
      <c r="B2975" t="str">
        <f t="shared" si="279"/>
        <v>Female</v>
      </c>
      <c r="C2975" s="8">
        <v>55</v>
      </c>
      <c r="D2975" t="str">
        <f t="shared" si="280"/>
        <v>Senior</v>
      </c>
      <c r="E2975">
        <v>1</v>
      </c>
      <c r="F2975" t="str">
        <f>HLOOKUP(E2975, LookUP_Table!$A$6:$D$7, 2, FALSE)</f>
        <v>Primary</v>
      </c>
      <c r="G2975" t="str">
        <f>IFERROR(VLOOKUP(E2975, LookUP_Table!$A$1:$B$4, 2, FALSE), "")</f>
        <v>Primary</v>
      </c>
      <c r="H2975">
        <v>0</v>
      </c>
      <c r="I2975">
        <v>0</v>
      </c>
      <c r="J2975" t="str">
        <f t="shared" si="276"/>
        <v>Non-Smoker</v>
      </c>
      <c r="K2975">
        <v>0</v>
      </c>
      <c r="L2975">
        <v>0</v>
      </c>
      <c r="M2975">
        <v>0</v>
      </c>
      <c r="N2975">
        <v>0</v>
      </c>
      <c r="O2975">
        <v>252</v>
      </c>
      <c r="P2975" t="str">
        <f t="shared" si="277"/>
        <v>High</v>
      </c>
      <c r="Q2975">
        <v>130</v>
      </c>
      <c r="R2975">
        <v>82</v>
      </c>
      <c r="S2975">
        <v>29.17</v>
      </c>
      <c r="T2975" t="str">
        <f t="shared" si="278"/>
        <v>Overweight</v>
      </c>
      <c r="U2975">
        <v>78</v>
      </c>
      <c r="V2975">
        <v>85</v>
      </c>
      <c r="W2975" t="str">
        <f t="shared" si="281"/>
        <v>Normal</v>
      </c>
      <c r="X2975">
        <v>0</v>
      </c>
    </row>
    <row r="2976" spans="1:24" ht="14.5" thickBot="1" x14ac:dyDescent="0.35">
      <c r="A2976">
        <v>0</v>
      </c>
      <c r="B2976" t="str">
        <f t="shared" si="279"/>
        <v>Female</v>
      </c>
      <c r="C2976" s="8">
        <v>55</v>
      </c>
      <c r="D2976" t="str">
        <f t="shared" si="280"/>
        <v>Senior</v>
      </c>
      <c r="E2976">
        <v>3</v>
      </c>
      <c r="F2976" t="str">
        <f>HLOOKUP(E2976, LookUP_Table!$A$6:$D$7, 2, FALSE)</f>
        <v>Graduate</v>
      </c>
      <c r="G2976" t="str">
        <f>IFERROR(VLOOKUP(E2976, LookUP_Table!$A$1:$B$4, 2, FALSE), "")</f>
        <v>Graduate</v>
      </c>
      <c r="H2976">
        <v>0</v>
      </c>
      <c r="I2976">
        <v>0</v>
      </c>
      <c r="J2976" t="str">
        <f t="shared" si="276"/>
        <v>Non-Smoker</v>
      </c>
      <c r="K2976">
        <v>0</v>
      </c>
      <c r="L2976">
        <v>0</v>
      </c>
      <c r="M2976">
        <v>1</v>
      </c>
      <c r="N2976">
        <v>0</v>
      </c>
      <c r="O2976">
        <v>329</v>
      </c>
      <c r="P2976" t="str">
        <f t="shared" si="277"/>
        <v>High</v>
      </c>
      <c r="Q2976">
        <v>145</v>
      </c>
      <c r="R2976">
        <v>82</v>
      </c>
      <c r="S2976">
        <v>23.43</v>
      </c>
      <c r="T2976" t="str">
        <f t="shared" si="278"/>
        <v>Normal</v>
      </c>
      <c r="U2976">
        <v>70</v>
      </c>
      <c r="V2976">
        <v>95</v>
      </c>
      <c r="W2976" t="str">
        <f t="shared" si="281"/>
        <v>Normal</v>
      </c>
      <c r="X2976">
        <v>0</v>
      </c>
    </row>
    <row r="2977" spans="1:24" ht="14.5" thickBot="1" x14ac:dyDescent="0.35">
      <c r="A2977">
        <v>1</v>
      </c>
      <c r="B2977" t="str">
        <f t="shared" si="279"/>
        <v>Male</v>
      </c>
      <c r="C2977" s="8">
        <v>55</v>
      </c>
      <c r="D2977" t="str">
        <f t="shared" si="280"/>
        <v>Senior</v>
      </c>
      <c r="E2977">
        <v>1</v>
      </c>
      <c r="F2977" t="str">
        <f>HLOOKUP(E2977, LookUP_Table!$A$6:$D$7, 2, FALSE)</f>
        <v>Primary</v>
      </c>
      <c r="G2977" t="str">
        <f>IFERROR(VLOOKUP(E2977, LookUP_Table!$A$1:$B$4, 2, FALSE), "")</f>
        <v>Primary</v>
      </c>
      <c r="H2977">
        <v>0</v>
      </c>
      <c r="I2977">
        <v>0</v>
      </c>
      <c r="J2977" t="str">
        <f t="shared" si="276"/>
        <v>Non-Smoker</v>
      </c>
      <c r="K2977">
        <v>0</v>
      </c>
      <c r="L2977">
        <v>0</v>
      </c>
      <c r="M2977">
        <v>0</v>
      </c>
      <c r="N2977">
        <v>0</v>
      </c>
      <c r="O2977">
        <v>255</v>
      </c>
      <c r="P2977" t="str">
        <f t="shared" si="277"/>
        <v>High</v>
      </c>
      <c r="Q2977">
        <v>129</v>
      </c>
      <c r="R2977">
        <v>78</v>
      </c>
      <c r="S2977">
        <v>26.36</v>
      </c>
      <c r="T2977" t="str">
        <f t="shared" si="278"/>
        <v>Overweight</v>
      </c>
      <c r="U2977">
        <v>69</v>
      </c>
      <c r="V2977">
        <v>79</v>
      </c>
      <c r="W2977" t="str">
        <f t="shared" si="281"/>
        <v>Normal</v>
      </c>
      <c r="X2977">
        <v>0</v>
      </c>
    </row>
    <row r="2978" spans="1:24" ht="14.5" thickBot="1" x14ac:dyDescent="0.35">
      <c r="A2978">
        <v>0</v>
      </c>
      <c r="B2978" t="str">
        <f t="shared" si="279"/>
        <v>Female</v>
      </c>
      <c r="C2978" s="8">
        <v>55</v>
      </c>
      <c r="D2978" t="str">
        <f t="shared" si="280"/>
        <v>Senior</v>
      </c>
      <c r="E2978">
        <v>1</v>
      </c>
      <c r="F2978" t="str">
        <f>HLOOKUP(E2978, LookUP_Table!$A$6:$D$7, 2, FALSE)</f>
        <v>Primary</v>
      </c>
      <c r="G2978" t="str">
        <f>IFERROR(VLOOKUP(E2978, LookUP_Table!$A$1:$B$4, 2, FALSE), "")</f>
        <v>Primary</v>
      </c>
      <c r="H2978">
        <v>0</v>
      </c>
      <c r="I2978">
        <v>0</v>
      </c>
      <c r="J2978" t="str">
        <f t="shared" si="276"/>
        <v>Non-Smoker</v>
      </c>
      <c r="K2978">
        <v>0</v>
      </c>
      <c r="L2978">
        <v>0</v>
      </c>
      <c r="M2978">
        <v>0</v>
      </c>
      <c r="N2978">
        <v>0</v>
      </c>
      <c r="O2978">
        <v>230</v>
      </c>
      <c r="P2978" t="str">
        <f t="shared" si="277"/>
        <v>Normal</v>
      </c>
      <c r="Q2978">
        <v>109</v>
      </c>
      <c r="R2978">
        <v>70</v>
      </c>
      <c r="S2978">
        <v>28.27</v>
      </c>
      <c r="T2978" t="str">
        <f t="shared" si="278"/>
        <v>Overweight</v>
      </c>
      <c r="U2978">
        <v>72</v>
      </c>
      <c r="V2978">
        <v>73</v>
      </c>
      <c r="W2978" t="str">
        <f t="shared" si="281"/>
        <v>Normal</v>
      </c>
      <c r="X2978">
        <v>0</v>
      </c>
    </row>
    <row r="2979" spans="1:24" ht="14.5" thickBot="1" x14ac:dyDescent="0.35">
      <c r="A2979">
        <v>1</v>
      </c>
      <c r="B2979" t="str">
        <f t="shared" si="279"/>
        <v>Male</v>
      </c>
      <c r="C2979" s="8">
        <v>55</v>
      </c>
      <c r="D2979" t="str">
        <f t="shared" si="280"/>
        <v>Senior</v>
      </c>
      <c r="E2979">
        <v>1</v>
      </c>
      <c r="F2979" t="str">
        <f>HLOOKUP(E2979, LookUP_Table!$A$6:$D$7, 2, FALSE)</f>
        <v>Primary</v>
      </c>
      <c r="G2979" t="str">
        <f>IFERROR(VLOOKUP(E2979, LookUP_Table!$A$1:$B$4, 2, FALSE), "")</f>
        <v>Primary</v>
      </c>
      <c r="H2979">
        <v>1</v>
      </c>
      <c r="I2979">
        <v>9</v>
      </c>
      <c r="J2979" t="str">
        <f t="shared" si="276"/>
        <v>Smoker</v>
      </c>
      <c r="K2979">
        <v>0</v>
      </c>
      <c r="L2979">
        <v>0</v>
      </c>
      <c r="M2979">
        <v>0</v>
      </c>
      <c r="N2979">
        <v>0</v>
      </c>
      <c r="O2979">
        <v>214</v>
      </c>
      <c r="P2979" t="str">
        <f t="shared" si="277"/>
        <v>Normal</v>
      </c>
      <c r="Q2979">
        <v>132.5</v>
      </c>
      <c r="R2979">
        <v>85.5</v>
      </c>
      <c r="S2979">
        <v>29.25</v>
      </c>
      <c r="T2979" t="str">
        <f t="shared" si="278"/>
        <v>Overweight</v>
      </c>
      <c r="U2979">
        <v>70</v>
      </c>
      <c r="V2979">
        <v>103</v>
      </c>
      <c r="W2979" t="str">
        <f t="shared" si="281"/>
        <v>Prediabetes</v>
      </c>
      <c r="X2979">
        <v>0</v>
      </c>
    </row>
    <row r="2980" spans="1:24" ht="14.5" thickBot="1" x14ac:dyDescent="0.35">
      <c r="A2980">
        <v>1</v>
      </c>
      <c r="B2980" t="str">
        <f t="shared" si="279"/>
        <v>Male</v>
      </c>
      <c r="C2980" s="8">
        <v>55</v>
      </c>
      <c r="D2980" t="str">
        <f t="shared" si="280"/>
        <v>Senior</v>
      </c>
      <c r="E2980">
        <v>2</v>
      </c>
      <c r="F2980" t="str">
        <f>HLOOKUP(E2980, LookUP_Table!$A$6:$D$7, 2, FALSE)</f>
        <v>Secondary</v>
      </c>
      <c r="G2980" t="str">
        <f>IFERROR(VLOOKUP(E2980, LookUP_Table!$A$1:$B$4, 2, FALSE), "")</f>
        <v>Secondary</v>
      </c>
      <c r="H2980">
        <v>0</v>
      </c>
      <c r="I2980">
        <v>0</v>
      </c>
      <c r="J2980" t="str">
        <f t="shared" si="276"/>
        <v>Non-Smoker</v>
      </c>
      <c r="K2980">
        <v>0</v>
      </c>
      <c r="L2980">
        <v>0</v>
      </c>
      <c r="M2980">
        <v>0</v>
      </c>
      <c r="N2980">
        <v>0</v>
      </c>
      <c r="O2980">
        <v>219</v>
      </c>
      <c r="P2980" t="str">
        <f t="shared" si="277"/>
        <v>Normal</v>
      </c>
      <c r="Q2980">
        <v>115</v>
      </c>
      <c r="R2980">
        <v>84</v>
      </c>
      <c r="S2980">
        <v>26.08</v>
      </c>
      <c r="T2980" t="str">
        <f t="shared" si="278"/>
        <v>Overweight</v>
      </c>
      <c r="U2980">
        <v>88</v>
      </c>
      <c r="V2980">
        <v>93</v>
      </c>
      <c r="W2980" t="str">
        <f t="shared" si="281"/>
        <v>Normal</v>
      </c>
      <c r="X2980">
        <v>0</v>
      </c>
    </row>
    <row r="2981" spans="1:24" ht="14.5" thickBot="1" x14ac:dyDescent="0.35">
      <c r="A2981">
        <v>0</v>
      </c>
      <c r="B2981" t="str">
        <f t="shared" si="279"/>
        <v>Female</v>
      </c>
      <c r="C2981" s="8">
        <v>55</v>
      </c>
      <c r="D2981" t="str">
        <f t="shared" si="280"/>
        <v>Senior</v>
      </c>
      <c r="E2981">
        <v>2</v>
      </c>
      <c r="F2981" t="str">
        <f>HLOOKUP(E2981, LookUP_Table!$A$6:$D$7, 2, FALSE)</f>
        <v>Secondary</v>
      </c>
      <c r="G2981" t="str">
        <f>IFERROR(VLOOKUP(E2981, LookUP_Table!$A$1:$B$4, 2, FALSE), "")</f>
        <v>Secondary</v>
      </c>
      <c r="H2981">
        <v>1</v>
      </c>
      <c r="I2981">
        <v>20</v>
      </c>
      <c r="J2981" t="str">
        <f t="shared" si="276"/>
        <v>Smoker</v>
      </c>
      <c r="K2981">
        <v>0</v>
      </c>
      <c r="L2981">
        <v>0</v>
      </c>
      <c r="M2981">
        <v>0</v>
      </c>
      <c r="N2981">
        <v>0</v>
      </c>
      <c r="O2981">
        <v>246</v>
      </c>
      <c r="P2981" t="str">
        <f t="shared" si="277"/>
        <v>High</v>
      </c>
      <c r="Q2981">
        <v>139</v>
      </c>
      <c r="R2981">
        <v>90</v>
      </c>
      <c r="S2981">
        <v>29</v>
      </c>
      <c r="T2981" t="str">
        <f t="shared" si="278"/>
        <v>Overweight</v>
      </c>
      <c r="U2981">
        <v>87</v>
      </c>
      <c r="V2981">
        <v>100</v>
      </c>
      <c r="W2981" t="str">
        <f t="shared" si="281"/>
        <v>Prediabetes</v>
      </c>
      <c r="X2981">
        <v>0</v>
      </c>
    </row>
    <row r="2982" spans="1:24" ht="14.5" thickBot="1" x14ac:dyDescent="0.35">
      <c r="A2982">
        <v>1</v>
      </c>
      <c r="B2982" t="str">
        <f t="shared" si="279"/>
        <v>Male</v>
      </c>
      <c r="C2982" s="8">
        <v>55</v>
      </c>
      <c r="D2982" t="str">
        <f t="shared" si="280"/>
        <v>Senior</v>
      </c>
      <c r="E2982">
        <v>1</v>
      </c>
      <c r="F2982" t="str">
        <f>HLOOKUP(E2982, LookUP_Table!$A$6:$D$7, 2, FALSE)</f>
        <v>Primary</v>
      </c>
      <c r="G2982" t="str">
        <f>IFERROR(VLOOKUP(E2982, LookUP_Table!$A$1:$B$4, 2, FALSE), "")</f>
        <v>Primary</v>
      </c>
      <c r="H2982">
        <v>1</v>
      </c>
      <c r="I2982">
        <v>20</v>
      </c>
      <c r="J2982" t="str">
        <f t="shared" si="276"/>
        <v>Smoker</v>
      </c>
      <c r="K2982">
        <v>0</v>
      </c>
      <c r="L2982">
        <v>0</v>
      </c>
      <c r="M2982">
        <v>1</v>
      </c>
      <c r="N2982">
        <v>0</v>
      </c>
      <c r="O2982">
        <v>259</v>
      </c>
      <c r="P2982" t="str">
        <f t="shared" si="277"/>
        <v>High</v>
      </c>
      <c r="Q2982">
        <v>217</v>
      </c>
      <c r="R2982">
        <v>112</v>
      </c>
      <c r="S2982">
        <v>29.6</v>
      </c>
      <c r="T2982" t="str">
        <f t="shared" si="278"/>
        <v>Overweight</v>
      </c>
      <c r="U2982">
        <v>63</v>
      </c>
      <c r="V2982">
        <v>77</v>
      </c>
      <c r="W2982" t="str">
        <f t="shared" si="281"/>
        <v>Normal</v>
      </c>
      <c r="X2982">
        <v>1</v>
      </c>
    </row>
    <row r="2983" spans="1:24" ht="14.5" thickBot="1" x14ac:dyDescent="0.35">
      <c r="A2983">
        <v>0</v>
      </c>
      <c r="B2983" t="str">
        <f t="shared" si="279"/>
        <v>Female</v>
      </c>
      <c r="C2983" s="8">
        <v>55</v>
      </c>
      <c r="D2983" t="str">
        <f t="shared" si="280"/>
        <v>Senior</v>
      </c>
      <c r="E2983">
        <v>1</v>
      </c>
      <c r="F2983" t="str">
        <f>HLOOKUP(E2983, LookUP_Table!$A$6:$D$7, 2, FALSE)</f>
        <v>Primary</v>
      </c>
      <c r="G2983" t="str">
        <f>IFERROR(VLOOKUP(E2983, LookUP_Table!$A$1:$B$4, 2, FALSE), "")</f>
        <v>Primary</v>
      </c>
      <c r="H2983">
        <v>0</v>
      </c>
      <c r="I2983">
        <v>0</v>
      </c>
      <c r="J2983" t="str">
        <f t="shared" si="276"/>
        <v>Non-Smoker</v>
      </c>
      <c r="K2983">
        <v>0</v>
      </c>
      <c r="L2983">
        <v>0</v>
      </c>
      <c r="M2983">
        <v>0</v>
      </c>
      <c r="N2983">
        <v>0</v>
      </c>
      <c r="O2983">
        <v>265</v>
      </c>
      <c r="P2983" t="str">
        <f t="shared" si="277"/>
        <v>High</v>
      </c>
      <c r="Q2983">
        <v>123</v>
      </c>
      <c r="R2983">
        <v>78</v>
      </c>
      <c r="S2983">
        <v>24.59</v>
      </c>
      <c r="T2983" t="str">
        <f t="shared" si="278"/>
        <v>Normal</v>
      </c>
      <c r="U2983">
        <v>55</v>
      </c>
      <c r="V2983">
        <v>81.96365524402907</v>
      </c>
      <c r="W2983" t="str">
        <f t="shared" si="281"/>
        <v>Normal</v>
      </c>
      <c r="X2983">
        <v>0</v>
      </c>
    </row>
    <row r="2984" spans="1:24" ht="14.5" thickBot="1" x14ac:dyDescent="0.35">
      <c r="A2984">
        <v>0</v>
      </c>
      <c r="B2984" t="str">
        <f t="shared" si="279"/>
        <v>Female</v>
      </c>
      <c r="C2984" s="8">
        <v>55</v>
      </c>
      <c r="D2984" t="str">
        <f t="shared" si="280"/>
        <v>Senior</v>
      </c>
      <c r="E2984">
        <v>3</v>
      </c>
      <c r="F2984" t="str">
        <f>HLOOKUP(E2984, LookUP_Table!$A$6:$D$7, 2, FALSE)</f>
        <v>Graduate</v>
      </c>
      <c r="G2984" t="str">
        <f>IFERROR(VLOOKUP(E2984, LookUP_Table!$A$1:$B$4, 2, FALSE), "")</f>
        <v>Graduate</v>
      </c>
      <c r="H2984">
        <v>0</v>
      </c>
      <c r="I2984">
        <v>0</v>
      </c>
      <c r="J2984" t="str">
        <f t="shared" si="276"/>
        <v>Non-Smoker</v>
      </c>
      <c r="K2984">
        <v>0</v>
      </c>
      <c r="L2984">
        <v>0</v>
      </c>
      <c r="M2984">
        <v>0</v>
      </c>
      <c r="N2984">
        <v>0</v>
      </c>
      <c r="O2984">
        <v>269</v>
      </c>
      <c r="P2984" t="str">
        <f t="shared" si="277"/>
        <v>High</v>
      </c>
      <c r="Q2984">
        <v>130</v>
      </c>
      <c r="R2984">
        <v>85</v>
      </c>
      <c r="S2984">
        <v>21.05</v>
      </c>
      <c r="T2984" t="str">
        <f t="shared" si="278"/>
        <v>Normal</v>
      </c>
      <c r="U2984">
        <v>72</v>
      </c>
      <c r="V2984">
        <v>74</v>
      </c>
      <c r="W2984" t="str">
        <f t="shared" si="281"/>
        <v>Normal</v>
      </c>
      <c r="X2984">
        <v>0</v>
      </c>
    </row>
    <row r="2985" spans="1:24" ht="14.5" thickBot="1" x14ac:dyDescent="0.35">
      <c r="A2985">
        <v>0</v>
      </c>
      <c r="B2985" t="str">
        <f t="shared" si="279"/>
        <v>Female</v>
      </c>
      <c r="C2985" s="8">
        <v>55</v>
      </c>
      <c r="D2985" t="str">
        <f t="shared" si="280"/>
        <v>Senior</v>
      </c>
      <c r="E2985">
        <v>2</v>
      </c>
      <c r="F2985" t="str">
        <f>HLOOKUP(E2985, LookUP_Table!$A$6:$D$7, 2, FALSE)</f>
        <v>Secondary</v>
      </c>
      <c r="G2985" t="str">
        <f>IFERROR(VLOOKUP(E2985, LookUP_Table!$A$1:$B$4, 2, FALSE), "")</f>
        <v>Secondary</v>
      </c>
      <c r="H2985">
        <v>0</v>
      </c>
      <c r="I2985">
        <v>0</v>
      </c>
      <c r="J2985" t="str">
        <f t="shared" si="276"/>
        <v>Non-Smoker</v>
      </c>
      <c r="K2985">
        <v>0</v>
      </c>
      <c r="L2985">
        <v>0</v>
      </c>
      <c r="M2985">
        <v>1</v>
      </c>
      <c r="N2985">
        <v>0</v>
      </c>
      <c r="O2985">
        <v>281</v>
      </c>
      <c r="P2985" t="str">
        <f t="shared" si="277"/>
        <v>High</v>
      </c>
      <c r="Q2985">
        <v>153</v>
      </c>
      <c r="R2985">
        <v>75</v>
      </c>
      <c r="S2985">
        <v>26.59</v>
      </c>
      <c r="T2985" t="str">
        <f t="shared" si="278"/>
        <v>Overweight</v>
      </c>
      <c r="U2985">
        <v>60</v>
      </c>
      <c r="V2985">
        <v>78</v>
      </c>
      <c r="W2985" t="str">
        <f t="shared" si="281"/>
        <v>Normal</v>
      </c>
      <c r="X2985">
        <v>0</v>
      </c>
    </row>
    <row r="2986" spans="1:24" ht="14.5" thickBot="1" x14ac:dyDescent="0.35">
      <c r="A2986">
        <v>0</v>
      </c>
      <c r="B2986" t="str">
        <f t="shared" si="279"/>
        <v>Female</v>
      </c>
      <c r="C2986" s="8">
        <v>55</v>
      </c>
      <c r="D2986" t="str">
        <f t="shared" si="280"/>
        <v>Senior</v>
      </c>
      <c r="E2986">
        <v>2</v>
      </c>
      <c r="F2986" t="str">
        <f>HLOOKUP(E2986, LookUP_Table!$A$6:$D$7, 2, FALSE)</f>
        <v>Secondary</v>
      </c>
      <c r="G2986" t="str">
        <f>IFERROR(VLOOKUP(E2986, LookUP_Table!$A$1:$B$4, 2, FALSE), "")</f>
        <v>Secondary</v>
      </c>
      <c r="H2986">
        <v>1</v>
      </c>
      <c r="I2986">
        <v>9</v>
      </c>
      <c r="J2986" t="str">
        <f t="shared" si="276"/>
        <v>Smoker</v>
      </c>
      <c r="K2986">
        <v>0</v>
      </c>
      <c r="L2986">
        <v>0</v>
      </c>
      <c r="M2986">
        <v>0</v>
      </c>
      <c r="N2986">
        <v>0</v>
      </c>
      <c r="O2986">
        <v>289</v>
      </c>
      <c r="P2986" t="str">
        <f t="shared" si="277"/>
        <v>High</v>
      </c>
      <c r="Q2986">
        <v>141</v>
      </c>
      <c r="R2986">
        <v>83.5</v>
      </c>
      <c r="S2986">
        <v>24.99</v>
      </c>
      <c r="T2986" t="str">
        <f t="shared" si="278"/>
        <v>Normal</v>
      </c>
      <c r="U2986">
        <v>76</v>
      </c>
      <c r="V2986">
        <v>76</v>
      </c>
      <c r="W2986" t="str">
        <f t="shared" si="281"/>
        <v>Normal</v>
      </c>
      <c r="X2986">
        <v>0</v>
      </c>
    </row>
    <row r="2987" spans="1:24" ht="14.5" thickBot="1" x14ac:dyDescent="0.35">
      <c r="A2987">
        <v>0</v>
      </c>
      <c r="B2987" t="str">
        <f t="shared" si="279"/>
        <v>Female</v>
      </c>
      <c r="C2987" s="8">
        <v>55</v>
      </c>
      <c r="D2987" t="str">
        <f t="shared" si="280"/>
        <v>Senior</v>
      </c>
      <c r="E2987">
        <v>3</v>
      </c>
      <c r="F2987" t="str">
        <f>HLOOKUP(E2987, LookUP_Table!$A$6:$D$7, 2, FALSE)</f>
        <v>Graduate</v>
      </c>
      <c r="G2987" t="str">
        <f>IFERROR(VLOOKUP(E2987, LookUP_Table!$A$1:$B$4, 2, FALSE), "")</f>
        <v>Graduate</v>
      </c>
      <c r="H2987">
        <v>1</v>
      </c>
      <c r="I2987">
        <v>20</v>
      </c>
      <c r="J2987" t="str">
        <f t="shared" si="276"/>
        <v>Smoker</v>
      </c>
      <c r="K2987">
        <v>0</v>
      </c>
      <c r="L2987">
        <v>0</v>
      </c>
      <c r="M2987">
        <v>0</v>
      </c>
      <c r="N2987">
        <v>0</v>
      </c>
      <c r="O2987">
        <v>249</v>
      </c>
      <c r="P2987" t="str">
        <f t="shared" si="277"/>
        <v>High</v>
      </c>
      <c r="Q2987">
        <v>109</v>
      </c>
      <c r="R2987">
        <v>66.5</v>
      </c>
      <c r="S2987">
        <v>24.79</v>
      </c>
      <c r="T2987" t="str">
        <f t="shared" si="278"/>
        <v>Normal</v>
      </c>
      <c r="U2987">
        <v>94</v>
      </c>
      <c r="V2987">
        <v>85</v>
      </c>
      <c r="W2987" t="str">
        <f t="shared" si="281"/>
        <v>Normal</v>
      </c>
      <c r="X2987">
        <v>0</v>
      </c>
    </row>
    <row r="2988" spans="1:24" ht="14.5" thickBot="1" x14ac:dyDescent="0.35">
      <c r="A2988">
        <v>1</v>
      </c>
      <c r="B2988" t="str">
        <f t="shared" si="279"/>
        <v>Male</v>
      </c>
      <c r="C2988" s="8">
        <v>55</v>
      </c>
      <c r="D2988" t="str">
        <f t="shared" si="280"/>
        <v>Senior</v>
      </c>
      <c r="E2988">
        <v>4</v>
      </c>
      <c r="F2988" t="str">
        <f>HLOOKUP(E2988, LookUP_Table!$A$6:$D$7, 2, FALSE)</f>
        <v>Post Graduate</v>
      </c>
      <c r="G2988" t="str">
        <f>IFERROR(VLOOKUP(E2988, LookUP_Table!$A$1:$B$4, 2, FALSE), "")</f>
        <v>Post Graduate</v>
      </c>
      <c r="H2988">
        <v>0</v>
      </c>
      <c r="I2988">
        <v>0</v>
      </c>
      <c r="J2988" t="str">
        <f t="shared" si="276"/>
        <v>Non-Smoker</v>
      </c>
      <c r="K2988">
        <v>0</v>
      </c>
      <c r="L2988">
        <v>0</v>
      </c>
      <c r="M2988">
        <v>1</v>
      </c>
      <c r="N2988">
        <v>0</v>
      </c>
      <c r="O2988">
        <v>180</v>
      </c>
      <c r="P2988" t="str">
        <f t="shared" si="277"/>
        <v>Normal</v>
      </c>
      <c r="Q2988">
        <v>170</v>
      </c>
      <c r="R2988">
        <v>105</v>
      </c>
      <c r="S2988">
        <v>26.79</v>
      </c>
      <c r="T2988" t="str">
        <f t="shared" si="278"/>
        <v>Overweight</v>
      </c>
      <c r="U2988">
        <v>50</v>
      </c>
      <c r="V2988">
        <v>90</v>
      </c>
      <c r="W2988" t="str">
        <f t="shared" si="281"/>
        <v>Normal</v>
      </c>
      <c r="X2988">
        <v>0</v>
      </c>
    </row>
    <row r="2989" spans="1:24" ht="14.5" thickBot="1" x14ac:dyDescent="0.35">
      <c r="A2989">
        <v>0</v>
      </c>
      <c r="B2989" t="str">
        <f t="shared" si="279"/>
        <v>Female</v>
      </c>
      <c r="C2989" s="8">
        <v>55</v>
      </c>
      <c r="D2989" t="str">
        <f t="shared" si="280"/>
        <v>Senior</v>
      </c>
      <c r="E2989">
        <v>2</v>
      </c>
      <c r="F2989" t="str">
        <f>HLOOKUP(E2989, LookUP_Table!$A$6:$D$7, 2, FALSE)</f>
        <v>Secondary</v>
      </c>
      <c r="G2989" t="str">
        <f>IFERROR(VLOOKUP(E2989, LookUP_Table!$A$1:$B$4, 2, FALSE), "")</f>
        <v>Secondary</v>
      </c>
      <c r="H2989">
        <v>0</v>
      </c>
      <c r="I2989">
        <v>0</v>
      </c>
      <c r="J2989" t="str">
        <f t="shared" si="276"/>
        <v>Non-Smoker</v>
      </c>
      <c r="K2989">
        <v>1</v>
      </c>
      <c r="L2989">
        <v>0</v>
      </c>
      <c r="M2989">
        <v>1</v>
      </c>
      <c r="N2989">
        <v>0</v>
      </c>
      <c r="O2989">
        <v>285</v>
      </c>
      <c r="P2989" t="str">
        <f t="shared" si="277"/>
        <v>High</v>
      </c>
      <c r="Q2989">
        <v>158</v>
      </c>
      <c r="R2989">
        <v>98</v>
      </c>
      <c r="S2989">
        <v>30.23</v>
      </c>
      <c r="T2989" t="str">
        <f t="shared" si="278"/>
        <v>Obese</v>
      </c>
      <c r="U2989">
        <v>70</v>
      </c>
      <c r="V2989">
        <v>88</v>
      </c>
      <c r="W2989" t="str">
        <f t="shared" si="281"/>
        <v>Normal</v>
      </c>
      <c r="X2989">
        <v>0</v>
      </c>
    </row>
    <row r="2990" spans="1:24" ht="14.5" thickBot="1" x14ac:dyDescent="0.35">
      <c r="A2990">
        <v>0</v>
      </c>
      <c r="B2990" t="str">
        <f t="shared" si="279"/>
        <v>Female</v>
      </c>
      <c r="C2990" s="8">
        <v>55</v>
      </c>
      <c r="D2990" t="str">
        <f t="shared" si="280"/>
        <v>Senior</v>
      </c>
      <c r="E2990">
        <v>3</v>
      </c>
      <c r="F2990" t="str">
        <f>HLOOKUP(E2990, LookUP_Table!$A$6:$D$7, 2, FALSE)</f>
        <v>Graduate</v>
      </c>
      <c r="G2990" t="str">
        <f>IFERROR(VLOOKUP(E2990, LookUP_Table!$A$1:$B$4, 2, FALSE), "")</f>
        <v>Graduate</v>
      </c>
      <c r="H2990">
        <v>0</v>
      </c>
      <c r="I2990">
        <v>0</v>
      </c>
      <c r="J2990" t="str">
        <f t="shared" si="276"/>
        <v>Non-Smoker</v>
      </c>
      <c r="K2990">
        <v>0</v>
      </c>
      <c r="L2990">
        <v>0</v>
      </c>
      <c r="M2990">
        <v>0</v>
      </c>
      <c r="N2990">
        <v>0</v>
      </c>
      <c r="O2990">
        <v>195</v>
      </c>
      <c r="P2990" t="str">
        <f t="shared" si="277"/>
        <v>Normal</v>
      </c>
      <c r="Q2990">
        <v>135</v>
      </c>
      <c r="R2990">
        <v>80</v>
      </c>
      <c r="S2990">
        <v>32.909999999999997</v>
      </c>
      <c r="T2990" t="str">
        <f t="shared" si="278"/>
        <v>Obese</v>
      </c>
      <c r="U2990">
        <v>100</v>
      </c>
      <c r="V2990">
        <v>75</v>
      </c>
      <c r="W2990" t="str">
        <f t="shared" si="281"/>
        <v>Normal</v>
      </c>
      <c r="X2990">
        <v>0</v>
      </c>
    </row>
    <row r="2991" spans="1:24" ht="14.5" thickBot="1" x14ac:dyDescent="0.35">
      <c r="A2991">
        <v>0</v>
      </c>
      <c r="B2991" t="str">
        <f t="shared" si="279"/>
        <v>Female</v>
      </c>
      <c r="C2991" s="8">
        <v>55</v>
      </c>
      <c r="D2991" t="str">
        <f t="shared" si="280"/>
        <v>Senior</v>
      </c>
      <c r="E2991">
        <v>1</v>
      </c>
      <c r="F2991" t="str">
        <f>HLOOKUP(E2991, LookUP_Table!$A$6:$D$7, 2, FALSE)</f>
        <v>Primary</v>
      </c>
      <c r="G2991" t="str">
        <f>IFERROR(VLOOKUP(E2991, LookUP_Table!$A$1:$B$4, 2, FALSE), "")</f>
        <v>Primary</v>
      </c>
      <c r="H2991">
        <v>1</v>
      </c>
      <c r="I2991">
        <v>5</v>
      </c>
      <c r="J2991" t="str">
        <f t="shared" si="276"/>
        <v>Smoker</v>
      </c>
      <c r="K2991">
        <v>0</v>
      </c>
      <c r="L2991">
        <v>0</v>
      </c>
      <c r="M2991">
        <v>1</v>
      </c>
      <c r="N2991">
        <v>0</v>
      </c>
      <c r="O2991">
        <v>280</v>
      </c>
      <c r="P2991" t="str">
        <f t="shared" si="277"/>
        <v>High</v>
      </c>
      <c r="Q2991">
        <v>144</v>
      </c>
      <c r="R2991">
        <v>79</v>
      </c>
      <c r="S2991">
        <v>19.5</v>
      </c>
      <c r="T2991" t="str">
        <f t="shared" si="278"/>
        <v>Normal</v>
      </c>
      <c r="U2991">
        <v>79</v>
      </c>
      <c r="V2991">
        <v>75</v>
      </c>
      <c r="W2991" t="str">
        <f t="shared" si="281"/>
        <v>Normal</v>
      </c>
      <c r="X2991">
        <v>1</v>
      </c>
    </row>
    <row r="2992" spans="1:24" ht="14.5" thickBot="1" x14ac:dyDescent="0.35">
      <c r="A2992">
        <v>0</v>
      </c>
      <c r="B2992" t="str">
        <f t="shared" si="279"/>
        <v>Female</v>
      </c>
      <c r="C2992" s="8">
        <v>55</v>
      </c>
      <c r="D2992" t="str">
        <f t="shared" si="280"/>
        <v>Senior</v>
      </c>
      <c r="E2992">
        <v>1</v>
      </c>
      <c r="F2992" t="str">
        <f>HLOOKUP(E2992, LookUP_Table!$A$6:$D$7, 2, FALSE)</f>
        <v>Primary</v>
      </c>
      <c r="G2992" t="str">
        <f>IFERROR(VLOOKUP(E2992, LookUP_Table!$A$1:$B$4, 2, FALSE), "")</f>
        <v>Primary</v>
      </c>
      <c r="H2992">
        <v>0</v>
      </c>
      <c r="I2992">
        <v>0</v>
      </c>
      <c r="J2992" t="str">
        <f t="shared" si="276"/>
        <v>Non-Smoker</v>
      </c>
      <c r="K2992">
        <v>0</v>
      </c>
      <c r="L2992">
        <v>0</v>
      </c>
      <c r="M2992">
        <v>1</v>
      </c>
      <c r="N2992">
        <v>0</v>
      </c>
      <c r="O2992">
        <v>200</v>
      </c>
      <c r="P2992" t="str">
        <f t="shared" si="277"/>
        <v>Normal</v>
      </c>
      <c r="Q2992">
        <v>141</v>
      </c>
      <c r="R2992">
        <v>92</v>
      </c>
      <c r="S2992">
        <v>23.48</v>
      </c>
      <c r="T2992" t="str">
        <f t="shared" si="278"/>
        <v>Normal</v>
      </c>
      <c r="U2992">
        <v>65</v>
      </c>
      <c r="V2992">
        <v>84</v>
      </c>
      <c r="W2992" t="str">
        <f t="shared" si="281"/>
        <v>Normal</v>
      </c>
      <c r="X2992">
        <v>0</v>
      </c>
    </row>
    <row r="2993" spans="1:24" ht="14.5" thickBot="1" x14ac:dyDescent="0.35">
      <c r="A2993">
        <v>0</v>
      </c>
      <c r="B2993" t="str">
        <f t="shared" si="279"/>
        <v>Female</v>
      </c>
      <c r="C2993" s="8">
        <v>55</v>
      </c>
      <c r="D2993" t="str">
        <f t="shared" si="280"/>
        <v>Senior</v>
      </c>
      <c r="E2993">
        <v>1</v>
      </c>
      <c r="F2993" t="str">
        <f>HLOOKUP(E2993, LookUP_Table!$A$6:$D$7, 2, FALSE)</f>
        <v>Primary</v>
      </c>
      <c r="G2993" t="str">
        <f>IFERROR(VLOOKUP(E2993, LookUP_Table!$A$1:$B$4, 2, FALSE), "")</f>
        <v>Primary</v>
      </c>
      <c r="H2993">
        <v>0</v>
      </c>
      <c r="I2993">
        <v>0</v>
      </c>
      <c r="J2993" t="str">
        <f t="shared" si="276"/>
        <v>Non-Smoker</v>
      </c>
      <c r="K2993">
        <v>0</v>
      </c>
      <c r="L2993">
        <v>0</v>
      </c>
      <c r="M2993">
        <v>0</v>
      </c>
      <c r="N2993">
        <v>0</v>
      </c>
      <c r="O2993">
        <v>310</v>
      </c>
      <c r="P2993" t="str">
        <f t="shared" si="277"/>
        <v>High</v>
      </c>
      <c r="Q2993">
        <v>135</v>
      </c>
      <c r="R2993">
        <v>76.5</v>
      </c>
      <c r="S2993">
        <v>26.31</v>
      </c>
      <c r="T2993" t="str">
        <f t="shared" si="278"/>
        <v>Overweight</v>
      </c>
      <c r="U2993">
        <v>110</v>
      </c>
      <c r="V2993">
        <v>74</v>
      </c>
      <c r="W2993" t="str">
        <f t="shared" si="281"/>
        <v>Normal</v>
      </c>
      <c r="X2993">
        <v>0</v>
      </c>
    </row>
    <row r="2994" spans="1:24" ht="14.5" thickBot="1" x14ac:dyDescent="0.35">
      <c r="A2994">
        <v>0</v>
      </c>
      <c r="B2994" t="str">
        <f t="shared" si="279"/>
        <v>Female</v>
      </c>
      <c r="C2994" s="8">
        <v>55</v>
      </c>
      <c r="D2994" t="str">
        <f t="shared" si="280"/>
        <v>Senior</v>
      </c>
      <c r="E2994">
        <v>3</v>
      </c>
      <c r="F2994" t="str">
        <f>HLOOKUP(E2994, LookUP_Table!$A$6:$D$7, 2, FALSE)</f>
        <v>Graduate</v>
      </c>
      <c r="G2994" t="str">
        <f>IFERROR(VLOOKUP(E2994, LookUP_Table!$A$1:$B$4, 2, FALSE), "")</f>
        <v>Graduate</v>
      </c>
      <c r="H2994">
        <v>0</v>
      </c>
      <c r="I2994">
        <v>0</v>
      </c>
      <c r="J2994" t="str">
        <f t="shared" si="276"/>
        <v>Non-Smoker</v>
      </c>
      <c r="K2994">
        <v>0</v>
      </c>
      <c r="L2994">
        <v>0</v>
      </c>
      <c r="M2994">
        <v>0</v>
      </c>
      <c r="N2994">
        <v>0</v>
      </c>
      <c r="O2994">
        <v>238</v>
      </c>
      <c r="P2994" t="str">
        <f t="shared" si="277"/>
        <v>Normal</v>
      </c>
      <c r="Q2994">
        <v>137.5</v>
      </c>
      <c r="R2994">
        <v>87</v>
      </c>
      <c r="S2994">
        <v>26.89</v>
      </c>
      <c r="T2994" t="str">
        <f t="shared" si="278"/>
        <v>Overweight</v>
      </c>
      <c r="U2994">
        <v>67</v>
      </c>
      <c r="V2994">
        <v>107</v>
      </c>
      <c r="W2994" t="str">
        <f t="shared" si="281"/>
        <v>Prediabetes</v>
      </c>
      <c r="X2994">
        <v>0</v>
      </c>
    </row>
    <row r="2995" spans="1:24" ht="14.5" thickBot="1" x14ac:dyDescent="0.35">
      <c r="A2995">
        <v>1</v>
      </c>
      <c r="B2995" t="str">
        <f t="shared" si="279"/>
        <v>Male</v>
      </c>
      <c r="C2995" s="8">
        <v>55</v>
      </c>
      <c r="D2995" t="str">
        <f t="shared" si="280"/>
        <v>Senior</v>
      </c>
      <c r="E2995">
        <v>4</v>
      </c>
      <c r="F2995" t="str">
        <f>HLOOKUP(E2995, LookUP_Table!$A$6:$D$7, 2, FALSE)</f>
        <v>Post Graduate</v>
      </c>
      <c r="G2995" t="str">
        <f>IFERROR(VLOOKUP(E2995, LookUP_Table!$A$1:$B$4, 2, FALSE), "")</f>
        <v>Post Graduate</v>
      </c>
      <c r="H2995">
        <v>0</v>
      </c>
      <c r="I2995">
        <v>0</v>
      </c>
      <c r="J2995" t="str">
        <f t="shared" si="276"/>
        <v>Non-Smoker</v>
      </c>
      <c r="K2995">
        <v>0</v>
      </c>
      <c r="L2995">
        <v>0</v>
      </c>
      <c r="M2995">
        <v>0</v>
      </c>
      <c r="N2995">
        <v>1</v>
      </c>
      <c r="O2995">
        <v>245</v>
      </c>
      <c r="P2995" t="str">
        <f t="shared" si="277"/>
        <v>High</v>
      </c>
      <c r="Q2995">
        <v>133</v>
      </c>
      <c r="R2995">
        <v>78</v>
      </c>
      <c r="S2995">
        <v>29.05</v>
      </c>
      <c r="T2995" t="str">
        <f t="shared" si="278"/>
        <v>Overweight</v>
      </c>
      <c r="U2995">
        <v>73</v>
      </c>
      <c r="V2995">
        <v>115</v>
      </c>
      <c r="W2995" t="str">
        <f t="shared" si="281"/>
        <v>Prediabetes</v>
      </c>
      <c r="X2995">
        <v>0</v>
      </c>
    </row>
    <row r="2996" spans="1:24" ht="14.5" thickBot="1" x14ac:dyDescent="0.35">
      <c r="A2996">
        <v>0</v>
      </c>
      <c r="B2996" t="str">
        <f t="shared" si="279"/>
        <v>Female</v>
      </c>
      <c r="C2996" s="8">
        <v>55</v>
      </c>
      <c r="D2996" t="str">
        <f t="shared" si="280"/>
        <v>Senior</v>
      </c>
      <c r="E2996">
        <v>2</v>
      </c>
      <c r="F2996" t="str">
        <f>HLOOKUP(E2996, LookUP_Table!$A$6:$D$7, 2, FALSE)</f>
        <v>Secondary</v>
      </c>
      <c r="G2996" t="str">
        <f>IFERROR(VLOOKUP(E2996, LookUP_Table!$A$1:$B$4, 2, FALSE), "")</f>
        <v>Secondary</v>
      </c>
      <c r="H2996">
        <v>0</v>
      </c>
      <c r="I2996">
        <v>0</v>
      </c>
      <c r="J2996" t="str">
        <f t="shared" si="276"/>
        <v>Non-Smoker</v>
      </c>
      <c r="K2996">
        <v>0</v>
      </c>
      <c r="L2996">
        <v>0</v>
      </c>
      <c r="M2996">
        <v>0</v>
      </c>
      <c r="N2996">
        <v>0</v>
      </c>
      <c r="O2996">
        <v>175</v>
      </c>
      <c r="P2996" t="str">
        <f t="shared" si="277"/>
        <v>Normal</v>
      </c>
      <c r="Q2996">
        <v>107.5</v>
      </c>
      <c r="R2996">
        <v>65</v>
      </c>
      <c r="S2996">
        <v>20.170000000000002</v>
      </c>
      <c r="T2996" t="str">
        <f t="shared" si="278"/>
        <v>Normal</v>
      </c>
      <c r="U2996">
        <v>68</v>
      </c>
      <c r="V2996">
        <v>79</v>
      </c>
      <c r="W2996" t="str">
        <f t="shared" si="281"/>
        <v>Normal</v>
      </c>
      <c r="X2996">
        <v>0</v>
      </c>
    </row>
    <row r="2997" spans="1:24" ht="14.5" thickBot="1" x14ac:dyDescent="0.35">
      <c r="A2997">
        <v>0</v>
      </c>
      <c r="B2997" t="str">
        <f t="shared" si="279"/>
        <v>Female</v>
      </c>
      <c r="C2997" s="8">
        <v>55</v>
      </c>
      <c r="D2997" t="str">
        <f t="shared" si="280"/>
        <v>Senior</v>
      </c>
      <c r="E2997">
        <v>1</v>
      </c>
      <c r="F2997" t="str">
        <f>HLOOKUP(E2997, LookUP_Table!$A$6:$D$7, 2, FALSE)</f>
        <v>Primary</v>
      </c>
      <c r="G2997" t="str">
        <f>IFERROR(VLOOKUP(E2997, LookUP_Table!$A$1:$B$4, 2, FALSE), "")</f>
        <v>Primary</v>
      </c>
      <c r="H2997">
        <v>0</v>
      </c>
      <c r="I2997">
        <v>0</v>
      </c>
      <c r="J2997" t="str">
        <f t="shared" si="276"/>
        <v>Non-Smoker</v>
      </c>
      <c r="K2997">
        <v>0</v>
      </c>
      <c r="L2997">
        <v>0</v>
      </c>
      <c r="M2997">
        <v>0</v>
      </c>
      <c r="N2997">
        <v>0</v>
      </c>
      <c r="O2997">
        <v>232</v>
      </c>
      <c r="P2997" t="str">
        <f t="shared" si="277"/>
        <v>Normal</v>
      </c>
      <c r="Q2997">
        <v>119</v>
      </c>
      <c r="R2997">
        <v>81</v>
      </c>
      <c r="S2997">
        <v>30</v>
      </c>
      <c r="T2997" t="str">
        <f t="shared" si="278"/>
        <v>Obese</v>
      </c>
      <c r="U2997">
        <v>60</v>
      </c>
      <c r="V2997">
        <v>100</v>
      </c>
      <c r="W2997" t="str">
        <f t="shared" si="281"/>
        <v>Prediabetes</v>
      </c>
      <c r="X2997">
        <v>1</v>
      </c>
    </row>
    <row r="2998" spans="1:24" ht="14.5" thickBot="1" x14ac:dyDescent="0.35">
      <c r="A2998">
        <v>0</v>
      </c>
      <c r="B2998" t="str">
        <f t="shared" si="279"/>
        <v>Female</v>
      </c>
      <c r="C2998" s="8">
        <v>55</v>
      </c>
      <c r="D2998" t="str">
        <f t="shared" si="280"/>
        <v>Senior</v>
      </c>
      <c r="E2998">
        <v>4</v>
      </c>
      <c r="F2998" t="str">
        <f>HLOOKUP(E2998, LookUP_Table!$A$6:$D$7, 2, FALSE)</f>
        <v>Post Graduate</v>
      </c>
      <c r="G2998" t="str">
        <f>IFERROR(VLOOKUP(E2998, LookUP_Table!$A$1:$B$4, 2, FALSE), "")</f>
        <v>Post Graduate</v>
      </c>
      <c r="H2998">
        <v>1</v>
      </c>
      <c r="I2998">
        <v>9</v>
      </c>
      <c r="J2998" t="str">
        <f t="shared" si="276"/>
        <v>Smoker</v>
      </c>
      <c r="K2998">
        <v>0</v>
      </c>
      <c r="L2998">
        <v>0</v>
      </c>
      <c r="M2998">
        <v>1</v>
      </c>
      <c r="N2998">
        <v>0</v>
      </c>
      <c r="O2998">
        <v>263</v>
      </c>
      <c r="P2998" t="str">
        <f t="shared" si="277"/>
        <v>High</v>
      </c>
      <c r="Q2998">
        <v>155</v>
      </c>
      <c r="R2998">
        <v>84</v>
      </c>
      <c r="S2998">
        <v>27.87</v>
      </c>
      <c r="T2998" t="str">
        <f t="shared" si="278"/>
        <v>Overweight</v>
      </c>
      <c r="U2998">
        <v>68</v>
      </c>
      <c r="V2998">
        <v>60</v>
      </c>
      <c r="W2998" t="str">
        <f t="shared" si="281"/>
        <v>Normal</v>
      </c>
      <c r="X2998">
        <v>0</v>
      </c>
    </row>
    <row r="2999" spans="1:24" ht="14.5" thickBot="1" x14ac:dyDescent="0.35">
      <c r="A2999">
        <v>1</v>
      </c>
      <c r="B2999" t="str">
        <f t="shared" si="279"/>
        <v>Male</v>
      </c>
      <c r="C2999" s="8">
        <v>55</v>
      </c>
      <c r="D2999" t="str">
        <f t="shared" si="280"/>
        <v>Senior</v>
      </c>
      <c r="E2999">
        <v>1</v>
      </c>
      <c r="F2999" t="str">
        <f>HLOOKUP(E2999, LookUP_Table!$A$6:$D$7, 2, FALSE)</f>
        <v>Primary</v>
      </c>
      <c r="G2999" t="str">
        <f>IFERROR(VLOOKUP(E2999, LookUP_Table!$A$1:$B$4, 2, FALSE), "")</f>
        <v>Primary</v>
      </c>
      <c r="H2999">
        <v>1</v>
      </c>
      <c r="I2999">
        <v>20</v>
      </c>
      <c r="J2999" t="str">
        <f t="shared" si="276"/>
        <v>Smoker</v>
      </c>
      <c r="K2999">
        <v>0</v>
      </c>
      <c r="L2999">
        <v>0</v>
      </c>
      <c r="M2999">
        <v>1</v>
      </c>
      <c r="N2999">
        <v>0</v>
      </c>
      <c r="O2999">
        <v>244</v>
      </c>
      <c r="P2999" t="str">
        <f t="shared" si="277"/>
        <v>High</v>
      </c>
      <c r="Q2999">
        <v>125</v>
      </c>
      <c r="R2999">
        <v>93</v>
      </c>
      <c r="S2999">
        <v>24.5</v>
      </c>
      <c r="T2999" t="str">
        <f t="shared" si="278"/>
        <v>Normal</v>
      </c>
      <c r="U2999">
        <v>75</v>
      </c>
      <c r="V2999">
        <v>81.96365524402907</v>
      </c>
      <c r="W2999" t="str">
        <f t="shared" si="281"/>
        <v>Normal</v>
      </c>
      <c r="X2999">
        <v>0</v>
      </c>
    </row>
    <row r="3000" spans="1:24" ht="14.5" thickBot="1" x14ac:dyDescent="0.35">
      <c r="A3000">
        <v>0</v>
      </c>
      <c r="B3000" t="str">
        <f t="shared" si="279"/>
        <v>Female</v>
      </c>
      <c r="C3000" s="8">
        <v>55</v>
      </c>
      <c r="D3000" t="str">
        <f t="shared" si="280"/>
        <v>Senior</v>
      </c>
      <c r="E3000">
        <v>3</v>
      </c>
      <c r="F3000" t="str">
        <f>HLOOKUP(E3000, LookUP_Table!$A$6:$D$7, 2, FALSE)</f>
        <v>Graduate</v>
      </c>
      <c r="G3000" t="str">
        <f>IFERROR(VLOOKUP(E3000, LookUP_Table!$A$1:$B$4, 2, FALSE), "")</f>
        <v>Graduate</v>
      </c>
      <c r="H3000">
        <v>1</v>
      </c>
      <c r="I3000">
        <v>35</v>
      </c>
      <c r="J3000" t="str">
        <f t="shared" si="276"/>
        <v>Smoker</v>
      </c>
      <c r="K3000">
        <v>0</v>
      </c>
      <c r="L3000">
        <v>0</v>
      </c>
      <c r="M3000">
        <v>0</v>
      </c>
      <c r="N3000">
        <v>0</v>
      </c>
      <c r="O3000">
        <v>275</v>
      </c>
      <c r="P3000" t="str">
        <f t="shared" si="277"/>
        <v>High</v>
      </c>
      <c r="Q3000">
        <v>144.5</v>
      </c>
      <c r="R3000">
        <v>88.5</v>
      </c>
      <c r="S3000">
        <v>27.05</v>
      </c>
      <c r="T3000" t="str">
        <f t="shared" si="278"/>
        <v>Overweight</v>
      </c>
      <c r="U3000">
        <v>72</v>
      </c>
      <c r="V3000">
        <v>79</v>
      </c>
      <c r="W3000" t="str">
        <f t="shared" si="281"/>
        <v>Normal</v>
      </c>
      <c r="X3000">
        <v>1</v>
      </c>
    </row>
    <row r="3001" spans="1:24" ht="14.5" thickBot="1" x14ac:dyDescent="0.35">
      <c r="A3001">
        <v>1</v>
      </c>
      <c r="B3001" t="str">
        <f t="shared" si="279"/>
        <v>Male</v>
      </c>
      <c r="C3001" s="8">
        <v>55</v>
      </c>
      <c r="D3001" t="str">
        <f t="shared" si="280"/>
        <v>Senior</v>
      </c>
      <c r="E3001">
        <v>1</v>
      </c>
      <c r="F3001" t="str">
        <f>HLOOKUP(E3001, LookUP_Table!$A$6:$D$7, 2, FALSE)</f>
        <v>Primary</v>
      </c>
      <c r="G3001" t="str">
        <f>IFERROR(VLOOKUP(E3001, LookUP_Table!$A$1:$B$4, 2, FALSE), "")</f>
        <v>Primary</v>
      </c>
      <c r="H3001">
        <v>0</v>
      </c>
      <c r="I3001">
        <v>0</v>
      </c>
      <c r="J3001" t="str">
        <f t="shared" si="276"/>
        <v>Non-Smoker</v>
      </c>
      <c r="K3001">
        <v>0</v>
      </c>
      <c r="L3001">
        <v>0</v>
      </c>
      <c r="M3001">
        <v>0</v>
      </c>
      <c r="N3001">
        <v>0</v>
      </c>
      <c r="O3001">
        <v>298</v>
      </c>
      <c r="P3001" t="str">
        <f t="shared" si="277"/>
        <v>High</v>
      </c>
      <c r="Q3001">
        <v>169.5</v>
      </c>
      <c r="R3001">
        <v>104.5</v>
      </c>
      <c r="S3001">
        <v>27.51</v>
      </c>
      <c r="T3001" t="str">
        <f t="shared" si="278"/>
        <v>Overweight</v>
      </c>
      <c r="U3001">
        <v>76</v>
      </c>
      <c r="V3001">
        <v>78</v>
      </c>
      <c r="W3001" t="str">
        <f t="shared" si="281"/>
        <v>Normal</v>
      </c>
      <c r="X3001">
        <v>0</v>
      </c>
    </row>
    <row r="3002" spans="1:24" ht="14.5" thickBot="1" x14ac:dyDescent="0.35">
      <c r="A3002">
        <v>0</v>
      </c>
      <c r="B3002" t="str">
        <f t="shared" si="279"/>
        <v>Female</v>
      </c>
      <c r="C3002" s="8">
        <v>55</v>
      </c>
      <c r="D3002" t="str">
        <f t="shared" si="280"/>
        <v>Senior</v>
      </c>
      <c r="E3002">
        <v>2</v>
      </c>
      <c r="F3002" t="str">
        <f>HLOOKUP(E3002, LookUP_Table!$A$6:$D$7, 2, FALSE)</f>
        <v>Secondary</v>
      </c>
      <c r="G3002" t="str">
        <f>IFERROR(VLOOKUP(E3002, LookUP_Table!$A$1:$B$4, 2, FALSE), "")</f>
        <v>Secondary</v>
      </c>
      <c r="H3002">
        <v>0</v>
      </c>
      <c r="I3002">
        <v>0</v>
      </c>
      <c r="J3002" t="str">
        <f t="shared" si="276"/>
        <v>Non-Smoker</v>
      </c>
      <c r="K3002">
        <v>0</v>
      </c>
      <c r="L3002">
        <v>0</v>
      </c>
      <c r="M3002">
        <v>0</v>
      </c>
      <c r="N3002">
        <v>0</v>
      </c>
      <c r="O3002">
        <v>271</v>
      </c>
      <c r="P3002" t="str">
        <f t="shared" si="277"/>
        <v>High</v>
      </c>
      <c r="Q3002">
        <v>146.5</v>
      </c>
      <c r="R3002">
        <v>80</v>
      </c>
      <c r="S3002">
        <v>20.69</v>
      </c>
      <c r="T3002" t="str">
        <f t="shared" si="278"/>
        <v>Normal</v>
      </c>
      <c r="U3002">
        <v>100</v>
      </c>
      <c r="V3002">
        <v>89</v>
      </c>
      <c r="W3002" t="str">
        <f t="shared" si="281"/>
        <v>Normal</v>
      </c>
      <c r="X3002">
        <v>0</v>
      </c>
    </row>
    <row r="3003" spans="1:24" ht="14.5" thickBot="1" x14ac:dyDescent="0.35">
      <c r="A3003">
        <v>1</v>
      </c>
      <c r="B3003" t="str">
        <f t="shared" si="279"/>
        <v>Male</v>
      </c>
      <c r="C3003" s="8">
        <v>55</v>
      </c>
      <c r="D3003" t="str">
        <f t="shared" si="280"/>
        <v>Senior</v>
      </c>
      <c r="E3003">
        <v>4</v>
      </c>
      <c r="F3003" t="str">
        <f>HLOOKUP(E3003, LookUP_Table!$A$6:$D$7, 2, FALSE)</f>
        <v>Post Graduate</v>
      </c>
      <c r="G3003" t="str">
        <f>IFERROR(VLOOKUP(E3003, LookUP_Table!$A$1:$B$4, 2, FALSE), "")</f>
        <v>Post Graduate</v>
      </c>
      <c r="H3003">
        <v>0</v>
      </c>
      <c r="I3003">
        <v>0</v>
      </c>
      <c r="J3003" t="str">
        <f t="shared" si="276"/>
        <v>Non-Smoker</v>
      </c>
      <c r="K3003">
        <v>0</v>
      </c>
      <c r="L3003">
        <v>0</v>
      </c>
      <c r="M3003">
        <v>0</v>
      </c>
      <c r="N3003">
        <v>0</v>
      </c>
      <c r="O3003">
        <v>260</v>
      </c>
      <c r="P3003" t="str">
        <f t="shared" si="277"/>
        <v>High</v>
      </c>
      <c r="Q3003">
        <v>120</v>
      </c>
      <c r="R3003">
        <v>80</v>
      </c>
      <c r="S3003">
        <v>28.89</v>
      </c>
      <c r="T3003" t="str">
        <f t="shared" si="278"/>
        <v>Overweight</v>
      </c>
      <c r="U3003">
        <v>60</v>
      </c>
      <c r="V3003">
        <v>68</v>
      </c>
      <c r="W3003" t="str">
        <f t="shared" si="281"/>
        <v>Normal</v>
      </c>
      <c r="X3003">
        <v>0</v>
      </c>
    </row>
    <row r="3004" spans="1:24" ht="14.5" thickBot="1" x14ac:dyDescent="0.35">
      <c r="A3004">
        <v>0</v>
      </c>
      <c r="B3004" t="str">
        <f t="shared" si="279"/>
        <v>Female</v>
      </c>
      <c r="C3004" s="8">
        <v>55</v>
      </c>
      <c r="D3004" t="str">
        <f t="shared" si="280"/>
        <v>Senior</v>
      </c>
      <c r="E3004">
        <v>1</v>
      </c>
      <c r="F3004" t="str">
        <f>HLOOKUP(E3004, LookUP_Table!$A$6:$D$7, 2, FALSE)</f>
        <v>Primary</v>
      </c>
      <c r="G3004" t="str">
        <f>IFERROR(VLOOKUP(E3004, LookUP_Table!$A$1:$B$4, 2, FALSE), "")</f>
        <v>Primary</v>
      </c>
      <c r="H3004">
        <v>0</v>
      </c>
      <c r="I3004">
        <v>0</v>
      </c>
      <c r="J3004" t="str">
        <f t="shared" si="276"/>
        <v>Non-Smoker</v>
      </c>
      <c r="K3004">
        <v>0</v>
      </c>
      <c r="L3004">
        <v>0</v>
      </c>
      <c r="M3004">
        <v>1</v>
      </c>
      <c r="N3004">
        <v>0</v>
      </c>
      <c r="O3004">
        <v>232</v>
      </c>
      <c r="P3004" t="str">
        <f t="shared" si="277"/>
        <v>Normal</v>
      </c>
      <c r="Q3004">
        <v>170</v>
      </c>
      <c r="R3004">
        <v>92</v>
      </c>
      <c r="S3004">
        <v>26.09</v>
      </c>
      <c r="T3004" t="str">
        <f t="shared" si="278"/>
        <v>Overweight</v>
      </c>
      <c r="U3004">
        <v>96</v>
      </c>
      <c r="V3004">
        <v>74</v>
      </c>
      <c r="W3004" t="str">
        <f t="shared" si="281"/>
        <v>Normal</v>
      </c>
      <c r="X3004">
        <v>1</v>
      </c>
    </row>
    <row r="3005" spans="1:24" ht="14.5" thickBot="1" x14ac:dyDescent="0.35">
      <c r="A3005">
        <v>0</v>
      </c>
      <c r="B3005" t="str">
        <f t="shared" si="279"/>
        <v>Female</v>
      </c>
      <c r="C3005" s="8">
        <v>55</v>
      </c>
      <c r="D3005" t="str">
        <f t="shared" si="280"/>
        <v>Senior</v>
      </c>
      <c r="E3005">
        <v>1</v>
      </c>
      <c r="F3005" t="str">
        <f>HLOOKUP(E3005, LookUP_Table!$A$6:$D$7, 2, FALSE)</f>
        <v>Primary</v>
      </c>
      <c r="G3005" t="str">
        <f>IFERROR(VLOOKUP(E3005, LookUP_Table!$A$1:$B$4, 2, FALSE), "")</f>
        <v>Primary</v>
      </c>
      <c r="H3005">
        <v>0</v>
      </c>
      <c r="I3005">
        <v>0</v>
      </c>
      <c r="J3005" t="str">
        <f t="shared" si="276"/>
        <v>Non-Smoker</v>
      </c>
      <c r="K3005">
        <v>0</v>
      </c>
      <c r="L3005">
        <v>0</v>
      </c>
      <c r="M3005">
        <v>0</v>
      </c>
      <c r="N3005">
        <v>0</v>
      </c>
      <c r="O3005">
        <v>282</v>
      </c>
      <c r="P3005" t="str">
        <f t="shared" si="277"/>
        <v>High</v>
      </c>
      <c r="Q3005">
        <v>127.5</v>
      </c>
      <c r="R3005">
        <v>69</v>
      </c>
      <c r="S3005">
        <v>26.76</v>
      </c>
      <c r="T3005" t="str">
        <f t="shared" si="278"/>
        <v>Overweight</v>
      </c>
      <c r="U3005">
        <v>76</v>
      </c>
      <c r="V3005">
        <v>81.96365524402907</v>
      </c>
      <c r="W3005" t="str">
        <f t="shared" si="281"/>
        <v>Normal</v>
      </c>
      <c r="X3005">
        <v>0</v>
      </c>
    </row>
    <row r="3006" spans="1:24" ht="14.5" thickBot="1" x14ac:dyDescent="0.35">
      <c r="A3006">
        <v>0</v>
      </c>
      <c r="B3006" t="str">
        <f t="shared" si="279"/>
        <v>Female</v>
      </c>
      <c r="C3006" s="8">
        <v>55</v>
      </c>
      <c r="D3006" t="str">
        <f t="shared" si="280"/>
        <v>Senior</v>
      </c>
      <c r="E3006">
        <v>2</v>
      </c>
      <c r="F3006" t="str">
        <f>HLOOKUP(E3006, LookUP_Table!$A$6:$D$7, 2, FALSE)</f>
        <v>Secondary</v>
      </c>
      <c r="G3006" t="str">
        <f>IFERROR(VLOOKUP(E3006, LookUP_Table!$A$1:$B$4, 2, FALSE), "")</f>
        <v>Secondary</v>
      </c>
      <c r="H3006">
        <v>0</v>
      </c>
      <c r="I3006">
        <v>0</v>
      </c>
      <c r="J3006" t="str">
        <f t="shared" si="276"/>
        <v>Non-Smoker</v>
      </c>
      <c r="K3006">
        <v>0</v>
      </c>
      <c r="L3006">
        <v>0</v>
      </c>
      <c r="M3006">
        <v>1</v>
      </c>
      <c r="N3006">
        <v>0</v>
      </c>
      <c r="O3006">
        <v>293</v>
      </c>
      <c r="P3006" t="str">
        <f t="shared" si="277"/>
        <v>High</v>
      </c>
      <c r="Q3006">
        <v>165</v>
      </c>
      <c r="R3006">
        <v>106</v>
      </c>
      <c r="S3006">
        <v>24.71</v>
      </c>
      <c r="T3006" t="str">
        <f t="shared" si="278"/>
        <v>Normal</v>
      </c>
      <c r="U3006">
        <v>90</v>
      </c>
      <c r="V3006">
        <v>79</v>
      </c>
      <c r="W3006" t="str">
        <f t="shared" si="281"/>
        <v>Normal</v>
      </c>
      <c r="X3006">
        <v>0</v>
      </c>
    </row>
    <row r="3007" spans="1:24" ht="14.5" thickBot="1" x14ac:dyDescent="0.35">
      <c r="A3007">
        <v>1</v>
      </c>
      <c r="B3007" t="str">
        <f t="shared" si="279"/>
        <v>Male</v>
      </c>
      <c r="C3007" s="8">
        <v>55</v>
      </c>
      <c r="D3007" t="str">
        <f t="shared" si="280"/>
        <v>Senior</v>
      </c>
      <c r="E3007">
        <v>1</v>
      </c>
      <c r="F3007" t="str">
        <f>HLOOKUP(E3007, LookUP_Table!$A$6:$D$7, 2, FALSE)</f>
        <v>Primary</v>
      </c>
      <c r="G3007" t="str">
        <f>IFERROR(VLOOKUP(E3007, LookUP_Table!$A$1:$B$4, 2, FALSE), "")</f>
        <v>Primary</v>
      </c>
      <c r="H3007">
        <v>1</v>
      </c>
      <c r="I3007">
        <v>30</v>
      </c>
      <c r="J3007" t="str">
        <f t="shared" si="276"/>
        <v>Smoker</v>
      </c>
      <c r="K3007">
        <v>0</v>
      </c>
      <c r="L3007">
        <v>0</v>
      </c>
      <c r="M3007">
        <v>0</v>
      </c>
      <c r="N3007">
        <v>0</v>
      </c>
      <c r="O3007">
        <v>230</v>
      </c>
      <c r="P3007" t="str">
        <f t="shared" si="277"/>
        <v>Normal</v>
      </c>
      <c r="Q3007">
        <v>130</v>
      </c>
      <c r="R3007">
        <v>85</v>
      </c>
      <c r="S3007">
        <v>30.16</v>
      </c>
      <c r="T3007" t="str">
        <f t="shared" si="278"/>
        <v>Obese</v>
      </c>
      <c r="U3007">
        <v>72</v>
      </c>
      <c r="V3007">
        <v>108</v>
      </c>
      <c r="W3007" t="str">
        <f t="shared" si="281"/>
        <v>Prediabetes</v>
      </c>
      <c r="X3007">
        <v>0</v>
      </c>
    </row>
    <row r="3008" spans="1:24" ht="14.5" thickBot="1" x14ac:dyDescent="0.35">
      <c r="A3008">
        <v>1</v>
      </c>
      <c r="B3008" t="str">
        <f t="shared" si="279"/>
        <v>Male</v>
      </c>
      <c r="C3008" s="8">
        <v>55</v>
      </c>
      <c r="D3008" t="str">
        <f t="shared" si="280"/>
        <v>Senior</v>
      </c>
      <c r="E3008">
        <v>4</v>
      </c>
      <c r="F3008" t="str">
        <f>HLOOKUP(E3008, LookUP_Table!$A$6:$D$7, 2, FALSE)</f>
        <v>Post Graduate</v>
      </c>
      <c r="G3008" t="str">
        <f>IFERROR(VLOOKUP(E3008, LookUP_Table!$A$1:$B$4, 2, FALSE), "")</f>
        <v>Post Graduate</v>
      </c>
      <c r="H3008">
        <v>1</v>
      </c>
      <c r="I3008">
        <v>20</v>
      </c>
      <c r="J3008" t="str">
        <f t="shared" si="276"/>
        <v>Smoker</v>
      </c>
      <c r="K3008">
        <v>0</v>
      </c>
      <c r="L3008">
        <v>0</v>
      </c>
      <c r="M3008">
        <v>0</v>
      </c>
      <c r="N3008">
        <v>0</v>
      </c>
      <c r="O3008">
        <v>268</v>
      </c>
      <c r="P3008" t="str">
        <f t="shared" si="277"/>
        <v>High</v>
      </c>
      <c r="Q3008">
        <v>128</v>
      </c>
      <c r="R3008">
        <v>87</v>
      </c>
      <c r="S3008">
        <v>28.57</v>
      </c>
      <c r="T3008" t="str">
        <f t="shared" si="278"/>
        <v>Overweight</v>
      </c>
      <c r="U3008">
        <v>70</v>
      </c>
      <c r="V3008">
        <v>87</v>
      </c>
      <c r="W3008" t="str">
        <f t="shared" si="281"/>
        <v>Normal</v>
      </c>
      <c r="X3008">
        <v>0</v>
      </c>
    </row>
    <row r="3009" spans="1:24" ht="14.5" thickBot="1" x14ac:dyDescent="0.35">
      <c r="A3009">
        <v>1</v>
      </c>
      <c r="B3009" t="str">
        <f t="shared" si="279"/>
        <v>Male</v>
      </c>
      <c r="C3009" s="8">
        <v>55</v>
      </c>
      <c r="D3009" t="str">
        <f t="shared" si="280"/>
        <v>Senior</v>
      </c>
      <c r="E3009">
        <v>1</v>
      </c>
      <c r="F3009" t="str">
        <f>HLOOKUP(E3009, LookUP_Table!$A$6:$D$7, 2, FALSE)</f>
        <v>Primary</v>
      </c>
      <c r="G3009" t="str">
        <f>IFERROR(VLOOKUP(E3009, LookUP_Table!$A$1:$B$4, 2, FALSE), "")</f>
        <v>Primary</v>
      </c>
      <c r="H3009">
        <v>0</v>
      </c>
      <c r="I3009">
        <v>0</v>
      </c>
      <c r="J3009" t="str">
        <f t="shared" si="276"/>
        <v>Non-Smoker</v>
      </c>
      <c r="K3009">
        <v>0</v>
      </c>
      <c r="L3009">
        <v>0</v>
      </c>
      <c r="M3009">
        <v>1</v>
      </c>
      <c r="N3009">
        <v>0</v>
      </c>
      <c r="O3009">
        <v>165</v>
      </c>
      <c r="P3009" t="str">
        <f t="shared" si="277"/>
        <v>Normal</v>
      </c>
      <c r="Q3009">
        <v>166</v>
      </c>
      <c r="R3009">
        <v>101</v>
      </c>
      <c r="S3009">
        <v>24.8</v>
      </c>
      <c r="T3009" t="str">
        <f t="shared" si="278"/>
        <v>Normal</v>
      </c>
      <c r="U3009">
        <v>65</v>
      </c>
      <c r="V3009">
        <v>90</v>
      </c>
      <c r="W3009" t="str">
        <f t="shared" si="281"/>
        <v>Normal</v>
      </c>
      <c r="X3009">
        <v>1</v>
      </c>
    </row>
    <row r="3010" spans="1:24" ht="14.5" thickBot="1" x14ac:dyDescent="0.35">
      <c r="A3010">
        <v>0</v>
      </c>
      <c r="B3010" t="str">
        <f t="shared" si="279"/>
        <v>Female</v>
      </c>
      <c r="C3010" s="8">
        <v>55</v>
      </c>
      <c r="D3010" t="str">
        <f t="shared" si="280"/>
        <v>Senior</v>
      </c>
      <c r="E3010">
        <v>3</v>
      </c>
      <c r="F3010" t="str">
        <f>HLOOKUP(E3010, LookUP_Table!$A$6:$D$7, 2, FALSE)</f>
        <v>Graduate</v>
      </c>
      <c r="G3010" t="str">
        <f>IFERROR(VLOOKUP(E3010, LookUP_Table!$A$1:$B$4, 2, FALSE), "")</f>
        <v>Graduate</v>
      </c>
      <c r="H3010">
        <v>0</v>
      </c>
      <c r="I3010">
        <v>0</v>
      </c>
      <c r="J3010" t="str">
        <f t="shared" ref="J3010:J3073" si="282">IF(I3010&gt;0,"Smoker","Non-Smoker")</f>
        <v>Non-Smoker</v>
      </c>
      <c r="K3010">
        <v>0</v>
      </c>
      <c r="L3010">
        <v>0</v>
      </c>
      <c r="M3010">
        <v>0</v>
      </c>
      <c r="N3010">
        <v>0</v>
      </c>
      <c r="O3010">
        <v>260</v>
      </c>
      <c r="P3010" t="str">
        <f t="shared" ref="P3010:P3073" si="283">IF(O3010&gt;240,"High","Normal")</f>
        <v>High</v>
      </c>
      <c r="Q3010">
        <v>136.5</v>
      </c>
      <c r="R3010">
        <v>87.5</v>
      </c>
      <c r="S3010">
        <v>25.41</v>
      </c>
      <c r="T3010" t="str">
        <f t="shared" ref="T3010:T3073" si="284">IF(S3010&lt;18.5,"Underweight",
IF(S3010&lt;25,"Normal",
IF(S3010&lt;30,"Overweight","Obese")))</f>
        <v>Overweight</v>
      </c>
      <c r="U3010">
        <v>75</v>
      </c>
      <c r="V3010">
        <v>60</v>
      </c>
      <c r="W3010" t="str">
        <f t="shared" si="281"/>
        <v>Normal</v>
      </c>
      <c r="X3010">
        <v>0</v>
      </c>
    </row>
    <row r="3011" spans="1:24" ht="14.5" thickBot="1" x14ac:dyDescent="0.35">
      <c r="A3011">
        <v>0</v>
      </c>
      <c r="B3011" t="str">
        <f t="shared" ref="B3011:B3074" si="285">IF(A3011=0,"Female","Male")</f>
        <v>Female</v>
      </c>
      <c r="C3011" s="8">
        <v>55</v>
      </c>
      <c r="D3011" t="str">
        <f t="shared" ref="D3011:D3074" si="286">IF(C3011&lt;40,"Young",
IF(C3011&lt;55,"Middle Age","Senior"))</f>
        <v>Senior</v>
      </c>
      <c r="E3011">
        <v>1</v>
      </c>
      <c r="F3011" t="str">
        <f>HLOOKUP(E3011, LookUP_Table!$A$6:$D$7, 2, FALSE)</f>
        <v>Primary</v>
      </c>
      <c r="G3011" t="str">
        <f>IFERROR(VLOOKUP(E3011, LookUP_Table!$A$1:$B$4, 2, FALSE), "")</f>
        <v>Primary</v>
      </c>
      <c r="H3011">
        <v>0</v>
      </c>
      <c r="I3011">
        <v>0</v>
      </c>
      <c r="J3011" t="str">
        <f t="shared" si="282"/>
        <v>Non-Smoker</v>
      </c>
      <c r="K3011">
        <v>0</v>
      </c>
      <c r="L3011">
        <v>0</v>
      </c>
      <c r="M3011">
        <v>0</v>
      </c>
      <c r="N3011">
        <v>0</v>
      </c>
      <c r="O3011">
        <v>215</v>
      </c>
      <c r="P3011" t="str">
        <f t="shared" si="283"/>
        <v>Normal</v>
      </c>
      <c r="Q3011">
        <v>122</v>
      </c>
      <c r="R3011">
        <v>86</v>
      </c>
      <c r="S3011">
        <v>30.61</v>
      </c>
      <c r="T3011" t="str">
        <f t="shared" si="284"/>
        <v>Obese</v>
      </c>
      <c r="U3011">
        <v>79</v>
      </c>
      <c r="V3011">
        <v>87</v>
      </c>
      <c r="W3011" t="str">
        <f t="shared" ref="W3011:W3074" si="287">IF(V3011 &lt; 100, "Normal", IF(V3011 &lt;= 125, "Prediabetes", "Diabetes"))</f>
        <v>Normal</v>
      </c>
      <c r="X3011">
        <v>0</v>
      </c>
    </row>
    <row r="3012" spans="1:24" ht="14.5" thickBot="1" x14ac:dyDescent="0.35">
      <c r="A3012">
        <v>1</v>
      </c>
      <c r="B3012" t="str">
        <f t="shared" si="285"/>
        <v>Male</v>
      </c>
      <c r="C3012" s="8">
        <v>55</v>
      </c>
      <c r="D3012" t="str">
        <f t="shared" si="286"/>
        <v>Senior</v>
      </c>
      <c r="E3012">
        <v>3</v>
      </c>
      <c r="F3012" t="str">
        <f>HLOOKUP(E3012, LookUP_Table!$A$6:$D$7, 2, FALSE)</f>
        <v>Graduate</v>
      </c>
      <c r="G3012" t="str">
        <f>IFERROR(VLOOKUP(E3012, LookUP_Table!$A$1:$B$4, 2, FALSE), "")</f>
        <v>Graduate</v>
      </c>
      <c r="H3012">
        <v>1</v>
      </c>
      <c r="I3012">
        <v>20</v>
      </c>
      <c r="J3012" t="str">
        <f t="shared" si="282"/>
        <v>Smoker</v>
      </c>
      <c r="K3012">
        <v>0</v>
      </c>
      <c r="L3012">
        <v>0</v>
      </c>
      <c r="M3012">
        <v>0</v>
      </c>
      <c r="N3012">
        <v>0</v>
      </c>
      <c r="O3012">
        <v>214</v>
      </c>
      <c r="P3012" t="str">
        <f t="shared" si="283"/>
        <v>Normal</v>
      </c>
      <c r="Q3012">
        <v>110</v>
      </c>
      <c r="R3012">
        <v>71</v>
      </c>
      <c r="S3012">
        <v>24.24</v>
      </c>
      <c r="T3012" t="str">
        <f t="shared" si="284"/>
        <v>Normal</v>
      </c>
      <c r="U3012">
        <v>75</v>
      </c>
      <c r="V3012">
        <v>72</v>
      </c>
      <c r="W3012" t="str">
        <f t="shared" si="287"/>
        <v>Normal</v>
      </c>
      <c r="X3012">
        <v>0</v>
      </c>
    </row>
    <row r="3013" spans="1:24" ht="14.5" thickBot="1" x14ac:dyDescent="0.35">
      <c r="A3013">
        <v>0</v>
      </c>
      <c r="B3013" t="str">
        <f t="shared" si="285"/>
        <v>Female</v>
      </c>
      <c r="C3013" s="8">
        <v>55</v>
      </c>
      <c r="D3013" t="str">
        <f t="shared" si="286"/>
        <v>Senior</v>
      </c>
      <c r="E3013">
        <v>2</v>
      </c>
      <c r="F3013" t="str">
        <f>HLOOKUP(E3013, LookUP_Table!$A$6:$D$7, 2, FALSE)</f>
        <v>Secondary</v>
      </c>
      <c r="G3013" t="str">
        <f>IFERROR(VLOOKUP(E3013, LookUP_Table!$A$1:$B$4, 2, FALSE), "")</f>
        <v>Secondary</v>
      </c>
      <c r="H3013">
        <v>1</v>
      </c>
      <c r="I3013">
        <v>5</v>
      </c>
      <c r="J3013" t="str">
        <f t="shared" si="282"/>
        <v>Smoker</v>
      </c>
      <c r="K3013">
        <v>0</v>
      </c>
      <c r="L3013">
        <v>0</v>
      </c>
      <c r="M3013">
        <v>0</v>
      </c>
      <c r="N3013">
        <v>0</v>
      </c>
      <c r="O3013">
        <v>315</v>
      </c>
      <c r="P3013" t="str">
        <f t="shared" si="283"/>
        <v>High</v>
      </c>
      <c r="Q3013">
        <v>123</v>
      </c>
      <c r="R3013">
        <v>77.5</v>
      </c>
      <c r="S3013">
        <v>26.21</v>
      </c>
      <c r="T3013" t="str">
        <f t="shared" si="284"/>
        <v>Overweight</v>
      </c>
      <c r="U3013">
        <v>75</v>
      </c>
      <c r="V3013">
        <v>84</v>
      </c>
      <c r="W3013" t="str">
        <f t="shared" si="287"/>
        <v>Normal</v>
      </c>
      <c r="X3013">
        <v>0</v>
      </c>
    </row>
    <row r="3014" spans="1:24" ht="14.5" thickBot="1" x14ac:dyDescent="0.35">
      <c r="A3014">
        <v>1</v>
      </c>
      <c r="B3014" t="str">
        <f t="shared" si="285"/>
        <v>Male</v>
      </c>
      <c r="C3014" s="8">
        <v>55</v>
      </c>
      <c r="D3014" t="str">
        <f t="shared" si="286"/>
        <v>Senior</v>
      </c>
      <c r="E3014">
        <v>1</v>
      </c>
      <c r="F3014" t="str">
        <f>HLOOKUP(E3014, LookUP_Table!$A$6:$D$7, 2, FALSE)</f>
        <v>Primary</v>
      </c>
      <c r="G3014" t="str">
        <f>IFERROR(VLOOKUP(E3014, LookUP_Table!$A$1:$B$4, 2, FALSE), "")</f>
        <v>Primary</v>
      </c>
      <c r="H3014">
        <v>1</v>
      </c>
      <c r="I3014">
        <v>5</v>
      </c>
      <c r="J3014" t="str">
        <f t="shared" si="282"/>
        <v>Smoker</v>
      </c>
      <c r="K3014">
        <v>0</v>
      </c>
      <c r="L3014">
        <v>0</v>
      </c>
      <c r="M3014">
        <v>1</v>
      </c>
      <c r="N3014">
        <v>0</v>
      </c>
      <c r="O3014">
        <v>240</v>
      </c>
      <c r="P3014" t="str">
        <f t="shared" si="283"/>
        <v>Normal</v>
      </c>
      <c r="Q3014">
        <v>135</v>
      </c>
      <c r="R3014">
        <v>95</v>
      </c>
      <c r="S3014">
        <v>28.69</v>
      </c>
      <c r="T3014" t="str">
        <f t="shared" si="284"/>
        <v>Overweight</v>
      </c>
      <c r="U3014">
        <v>75</v>
      </c>
      <c r="V3014">
        <v>108</v>
      </c>
      <c r="W3014" t="str">
        <f t="shared" si="287"/>
        <v>Prediabetes</v>
      </c>
      <c r="X3014">
        <v>0</v>
      </c>
    </row>
    <row r="3015" spans="1:24" ht="14.5" thickBot="1" x14ac:dyDescent="0.35">
      <c r="A3015">
        <v>1</v>
      </c>
      <c r="B3015" t="str">
        <f t="shared" si="285"/>
        <v>Male</v>
      </c>
      <c r="C3015" s="8">
        <v>55</v>
      </c>
      <c r="D3015" t="str">
        <f t="shared" si="286"/>
        <v>Senior</v>
      </c>
      <c r="E3015">
        <v>3</v>
      </c>
      <c r="F3015" t="str">
        <f>HLOOKUP(E3015, LookUP_Table!$A$6:$D$7, 2, FALSE)</f>
        <v>Graduate</v>
      </c>
      <c r="G3015" t="str">
        <f>IFERROR(VLOOKUP(E3015, LookUP_Table!$A$1:$B$4, 2, FALSE), "")</f>
        <v>Graduate</v>
      </c>
      <c r="H3015">
        <v>1</v>
      </c>
      <c r="I3015">
        <v>20</v>
      </c>
      <c r="J3015" t="str">
        <f t="shared" si="282"/>
        <v>Smoker</v>
      </c>
      <c r="K3015">
        <v>0</v>
      </c>
      <c r="L3015">
        <v>0</v>
      </c>
      <c r="M3015">
        <v>1</v>
      </c>
      <c r="N3015">
        <v>0</v>
      </c>
      <c r="O3015">
        <v>252</v>
      </c>
      <c r="P3015" t="str">
        <f t="shared" si="283"/>
        <v>High</v>
      </c>
      <c r="Q3015">
        <v>129</v>
      </c>
      <c r="R3015">
        <v>84</v>
      </c>
      <c r="S3015">
        <v>23.55</v>
      </c>
      <c r="T3015" t="str">
        <f t="shared" si="284"/>
        <v>Normal</v>
      </c>
      <c r="U3015">
        <v>80</v>
      </c>
      <c r="V3015">
        <v>72</v>
      </c>
      <c r="W3015" t="str">
        <f t="shared" si="287"/>
        <v>Normal</v>
      </c>
      <c r="X3015">
        <v>0</v>
      </c>
    </row>
    <row r="3016" spans="1:24" ht="14.5" thickBot="1" x14ac:dyDescent="0.35">
      <c r="A3016">
        <v>1</v>
      </c>
      <c r="B3016" t="str">
        <f t="shared" si="285"/>
        <v>Male</v>
      </c>
      <c r="C3016" s="8">
        <v>55</v>
      </c>
      <c r="D3016" t="str">
        <f t="shared" si="286"/>
        <v>Senior</v>
      </c>
      <c r="E3016">
        <v>1</v>
      </c>
      <c r="F3016" t="str">
        <f>HLOOKUP(E3016, LookUP_Table!$A$6:$D$7, 2, FALSE)</f>
        <v>Primary</v>
      </c>
      <c r="G3016" t="str">
        <f>IFERROR(VLOOKUP(E3016, LookUP_Table!$A$1:$B$4, 2, FALSE), "")</f>
        <v>Primary</v>
      </c>
      <c r="H3016">
        <v>0</v>
      </c>
      <c r="I3016">
        <v>0</v>
      </c>
      <c r="J3016" t="str">
        <f t="shared" si="282"/>
        <v>Non-Smoker</v>
      </c>
      <c r="K3016">
        <v>0</v>
      </c>
      <c r="L3016">
        <v>0</v>
      </c>
      <c r="M3016">
        <v>1</v>
      </c>
      <c r="N3016">
        <v>0</v>
      </c>
      <c r="O3016">
        <v>246</v>
      </c>
      <c r="P3016" t="str">
        <f t="shared" si="283"/>
        <v>High</v>
      </c>
      <c r="Q3016">
        <v>147</v>
      </c>
      <c r="R3016">
        <v>86.5</v>
      </c>
      <c r="S3016">
        <v>24.8</v>
      </c>
      <c r="T3016" t="str">
        <f t="shared" si="284"/>
        <v>Normal</v>
      </c>
      <c r="U3016">
        <v>75</v>
      </c>
      <c r="V3016">
        <v>76</v>
      </c>
      <c r="W3016" t="str">
        <f t="shared" si="287"/>
        <v>Normal</v>
      </c>
      <c r="X3016">
        <v>0</v>
      </c>
    </row>
    <row r="3017" spans="1:24" ht="14.5" thickBot="1" x14ac:dyDescent="0.35">
      <c r="A3017">
        <v>0</v>
      </c>
      <c r="B3017" t="str">
        <f t="shared" si="285"/>
        <v>Female</v>
      </c>
      <c r="C3017" s="8">
        <v>55</v>
      </c>
      <c r="D3017" t="str">
        <f t="shared" si="286"/>
        <v>Senior</v>
      </c>
      <c r="E3017">
        <v>1</v>
      </c>
      <c r="F3017" t="str">
        <f>HLOOKUP(E3017, LookUP_Table!$A$6:$D$7, 2, FALSE)</f>
        <v>Primary</v>
      </c>
      <c r="G3017" t="str">
        <f>IFERROR(VLOOKUP(E3017, LookUP_Table!$A$1:$B$4, 2, FALSE), "")</f>
        <v>Primary</v>
      </c>
      <c r="H3017">
        <v>0</v>
      </c>
      <c r="I3017">
        <v>0</v>
      </c>
      <c r="J3017" t="str">
        <f t="shared" si="282"/>
        <v>Non-Smoker</v>
      </c>
      <c r="K3017">
        <v>0</v>
      </c>
      <c r="L3017">
        <v>0</v>
      </c>
      <c r="M3017">
        <v>1</v>
      </c>
      <c r="N3017">
        <v>0</v>
      </c>
      <c r="O3017">
        <v>208</v>
      </c>
      <c r="P3017" t="str">
        <f t="shared" si="283"/>
        <v>Normal</v>
      </c>
      <c r="Q3017">
        <v>190</v>
      </c>
      <c r="R3017">
        <v>130</v>
      </c>
      <c r="S3017">
        <v>56.8</v>
      </c>
      <c r="T3017" t="str">
        <f t="shared" si="284"/>
        <v>Obese</v>
      </c>
      <c r="U3017">
        <v>90</v>
      </c>
      <c r="V3017">
        <v>86</v>
      </c>
      <c r="W3017" t="str">
        <f t="shared" si="287"/>
        <v>Normal</v>
      </c>
      <c r="X3017">
        <v>1</v>
      </c>
    </row>
    <row r="3018" spans="1:24" ht="14.5" thickBot="1" x14ac:dyDescent="0.35">
      <c r="A3018">
        <v>1</v>
      </c>
      <c r="B3018" t="str">
        <f t="shared" si="285"/>
        <v>Male</v>
      </c>
      <c r="C3018" s="8">
        <v>55</v>
      </c>
      <c r="D3018" t="str">
        <f t="shared" si="286"/>
        <v>Senior</v>
      </c>
      <c r="E3018">
        <v>1</v>
      </c>
      <c r="F3018" t="str">
        <f>HLOOKUP(E3018, LookUP_Table!$A$6:$D$7, 2, FALSE)</f>
        <v>Primary</v>
      </c>
      <c r="G3018" t="str">
        <f>IFERROR(VLOOKUP(E3018, LookUP_Table!$A$1:$B$4, 2, FALSE), "")</f>
        <v>Primary</v>
      </c>
      <c r="H3018">
        <v>0</v>
      </c>
      <c r="I3018">
        <v>0</v>
      </c>
      <c r="J3018" t="str">
        <f t="shared" si="282"/>
        <v>Non-Smoker</v>
      </c>
      <c r="K3018">
        <v>0</v>
      </c>
      <c r="L3018">
        <v>0</v>
      </c>
      <c r="M3018">
        <v>0</v>
      </c>
      <c r="N3018">
        <v>0</v>
      </c>
      <c r="O3018">
        <v>222</v>
      </c>
      <c r="P3018" t="str">
        <f t="shared" si="283"/>
        <v>Normal</v>
      </c>
      <c r="Q3018">
        <v>129</v>
      </c>
      <c r="R3018">
        <v>86.5</v>
      </c>
      <c r="S3018">
        <v>33.76</v>
      </c>
      <c r="T3018" t="str">
        <f t="shared" si="284"/>
        <v>Obese</v>
      </c>
      <c r="U3018">
        <v>95</v>
      </c>
      <c r="V3018">
        <v>92</v>
      </c>
      <c r="W3018" t="str">
        <f t="shared" si="287"/>
        <v>Normal</v>
      </c>
      <c r="X3018">
        <v>1</v>
      </c>
    </row>
    <row r="3019" spans="1:24" ht="14.5" thickBot="1" x14ac:dyDescent="0.35">
      <c r="A3019">
        <v>1</v>
      </c>
      <c r="B3019" t="str">
        <f t="shared" si="285"/>
        <v>Male</v>
      </c>
      <c r="C3019" s="8">
        <v>55</v>
      </c>
      <c r="D3019" t="str">
        <f t="shared" si="286"/>
        <v>Senior</v>
      </c>
      <c r="E3019">
        <v>1</v>
      </c>
      <c r="F3019" t="str">
        <f>HLOOKUP(E3019, LookUP_Table!$A$6:$D$7, 2, FALSE)</f>
        <v>Primary</v>
      </c>
      <c r="G3019" t="str">
        <f>IFERROR(VLOOKUP(E3019, LookUP_Table!$A$1:$B$4, 2, FALSE), "")</f>
        <v>Primary</v>
      </c>
      <c r="H3019">
        <v>1</v>
      </c>
      <c r="I3019">
        <v>3</v>
      </c>
      <c r="J3019" t="str">
        <f t="shared" si="282"/>
        <v>Smoker</v>
      </c>
      <c r="K3019">
        <v>0</v>
      </c>
      <c r="L3019">
        <v>0</v>
      </c>
      <c r="M3019">
        <v>1</v>
      </c>
      <c r="N3019">
        <v>0</v>
      </c>
      <c r="O3019">
        <v>211</v>
      </c>
      <c r="P3019" t="str">
        <f t="shared" si="283"/>
        <v>Normal</v>
      </c>
      <c r="Q3019">
        <v>142</v>
      </c>
      <c r="R3019">
        <v>82.5</v>
      </c>
      <c r="S3019">
        <v>19.809999999999999</v>
      </c>
      <c r="T3019" t="str">
        <f t="shared" si="284"/>
        <v>Normal</v>
      </c>
      <c r="U3019">
        <v>90</v>
      </c>
      <c r="V3019">
        <v>70</v>
      </c>
      <c r="W3019" t="str">
        <f t="shared" si="287"/>
        <v>Normal</v>
      </c>
      <c r="X3019">
        <v>0</v>
      </c>
    </row>
    <row r="3020" spans="1:24" ht="14.5" thickBot="1" x14ac:dyDescent="0.35">
      <c r="A3020">
        <v>0</v>
      </c>
      <c r="B3020" t="str">
        <f t="shared" si="285"/>
        <v>Female</v>
      </c>
      <c r="C3020" s="8">
        <v>55</v>
      </c>
      <c r="D3020" t="str">
        <f t="shared" si="286"/>
        <v>Senior</v>
      </c>
      <c r="E3020">
        <v>1</v>
      </c>
      <c r="F3020" t="str">
        <f>HLOOKUP(E3020, LookUP_Table!$A$6:$D$7, 2, FALSE)</f>
        <v>Primary</v>
      </c>
      <c r="G3020" t="str">
        <f>IFERROR(VLOOKUP(E3020, LookUP_Table!$A$1:$B$4, 2, FALSE), "")</f>
        <v>Primary</v>
      </c>
      <c r="H3020">
        <v>0</v>
      </c>
      <c r="I3020">
        <v>0</v>
      </c>
      <c r="J3020" t="str">
        <f t="shared" si="282"/>
        <v>Non-Smoker</v>
      </c>
      <c r="K3020">
        <v>1</v>
      </c>
      <c r="L3020">
        <v>0</v>
      </c>
      <c r="M3020">
        <v>1</v>
      </c>
      <c r="N3020">
        <v>1</v>
      </c>
      <c r="O3020">
        <v>279</v>
      </c>
      <c r="P3020" t="str">
        <f t="shared" si="283"/>
        <v>High</v>
      </c>
      <c r="Q3020">
        <v>165</v>
      </c>
      <c r="R3020">
        <v>105.5</v>
      </c>
      <c r="S3020">
        <v>32.51</v>
      </c>
      <c r="T3020" t="str">
        <f t="shared" si="284"/>
        <v>Obese</v>
      </c>
      <c r="U3020">
        <v>73</v>
      </c>
      <c r="V3020">
        <v>87</v>
      </c>
      <c r="W3020" t="str">
        <f t="shared" si="287"/>
        <v>Normal</v>
      </c>
      <c r="X3020">
        <v>0</v>
      </c>
    </row>
    <row r="3021" spans="1:24" ht="14.5" thickBot="1" x14ac:dyDescent="0.35">
      <c r="A3021">
        <v>1</v>
      </c>
      <c r="B3021" t="str">
        <f t="shared" si="285"/>
        <v>Male</v>
      </c>
      <c r="C3021" s="8">
        <v>55</v>
      </c>
      <c r="D3021" t="str">
        <f t="shared" si="286"/>
        <v>Senior</v>
      </c>
      <c r="E3021">
        <v>1</v>
      </c>
      <c r="F3021" t="str">
        <f>HLOOKUP(E3021, LookUP_Table!$A$6:$D$7, 2, FALSE)</f>
        <v>Primary</v>
      </c>
      <c r="G3021" t="str">
        <f>IFERROR(VLOOKUP(E3021, LookUP_Table!$A$1:$B$4, 2, FALSE), "")</f>
        <v>Primary</v>
      </c>
      <c r="H3021">
        <v>1</v>
      </c>
      <c r="I3021">
        <v>6</v>
      </c>
      <c r="J3021" t="str">
        <f t="shared" si="282"/>
        <v>Smoker</v>
      </c>
      <c r="K3021">
        <v>0</v>
      </c>
      <c r="L3021">
        <v>0</v>
      </c>
      <c r="M3021">
        <v>1</v>
      </c>
      <c r="N3021">
        <v>0</v>
      </c>
      <c r="O3021">
        <v>274</v>
      </c>
      <c r="P3021" t="str">
        <f t="shared" si="283"/>
        <v>High</v>
      </c>
      <c r="Q3021">
        <v>148</v>
      </c>
      <c r="R3021">
        <v>94</v>
      </c>
      <c r="S3021">
        <v>28.55</v>
      </c>
      <c r="T3021" t="str">
        <f t="shared" si="284"/>
        <v>Overweight</v>
      </c>
      <c r="U3021">
        <v>62</v>
      </c>
      <c r="V3021">
        <v>65</v>
      </c>
      <c r="W3021" t="str">
        <f t="shared" si="287"/>
        <v>Normal</v>
      </c>
      <c r="X3021">
        <v>0</v>
      </c>
    </row>
    <row r="3022" spans="1:24" ht="14.5" thickBot="1" x14ac:dyDescent="0.35">
      <c r="A3022">
        <v>0</v>
      </c>
      <c r="B3022" t="str">
        <f t="shared" si="285"/>
        <v>Female</v>
      </c>
      <c r="C3022" s="8">
        <v>55</v>
      </c>
      <c r="D3022" t="str">
        <f t="shared" si="286"/>
        <v>Senior</v>
      </c>
      <c r="E3022">
        <v>1</v>
      </c>
      <c r="F3022" t="str">
        <f>HLOOKUP(E3022, LookUP_Table!$A$6:$D$7, 2, FALSE)</f>
        <v>Primary</v>
      </c>
      <c r="G3022" t="str">
        <f>IFERROR(VLOOKUP(E3022, LookUP_Table!$A$1:$B$4, 2, FALSE), "")</f>
        <v>Primary</v>
      </c>
      <c r="H3022">
        <v>1</v>
      </c>
      <c r="I3022">
        <v>1</v>
      </c>
      <c r="J3022" t="str">
        <f t="shared" si="282"/>
        <v>Smoker</v>
      </c>
      <c r="K3022">
        <v>0</v>
      </c>
      <c r="L3022">
        <v>0</v>
      </c>
      <c r="M3022">
        <v>0</v>
      </c>
      <c r="N3022">
        <v>0</v>
      </c>
      <c r="O3022">
        <v>240</v>
      </c>
      <c r="P3022" t="str">
        <f t="shared" si="283"/>
        <v>Normal</v>
      </c>
      <c r="Q3022">
        <v>107.5</v>
      </c>
      <c r="R3022">
        <v>70</v>
      </c>
      <c r="S3022">
        <v>18.059999999999999</v>
      </c>
      <c r="T3022" t="str">
        <f t="shared" si="284"/>
        <v>Underweight</v>
      </c>
      <c r="U3022">
        <v>71</v>
      </c>
      <c r="V3022">
        <v>140</v>
      </c>
      <c r="W3022" t="str">
        <f t="shared" si="287"/>
        <v>Diabetes</v>
      </c>
      <c r="X3022">
        <v>0</v>
      </c>
    </row>
    <row r="3023" spans="1:24" ht="14.5" thickBot="1" x14ac:dyDescent="0.35">
      <c r="A3023">
        <v>0</v>
      </c>
      <c r="B3023" t="str">
        <f t="shared" si="285"/>
        <v>Female</v>
      </c>
      <c r="C3023" s="8">
        <v>55</v>
      </c>
      <c r="D3023" t="str">
        <f t="shared" si="286"/>
        <v>Senior</v>
      </c>
      <c r="E3023">
        <v>1</v>
      </c>
      <c r="F3023" t="str">
        <f>HLOOKUP(E3023, LookUP_Table!$A$6:$D$7, 2, FALSE)</f>
        <v>Primary</v>
      </c>
      <c r="G3023" t="str">
        <f>IFERROR(VLOOKUP(E3023, LookUP_Table!$A$1:$B$4, 2, FALSE), "")</f>
        <v>Primary</v>
      </c>
      <c r="H3023">
        <v>0</v>
      </c>
      <c r="I3023">
        <v>0</v>
      </c>
      <c r="J3023" t="str">
        <f t="shared" si="282"/>
        <v>Non-Smoker</v>
      </c>
      <c r="K3023">
        <v>0</v>
      </c>
      <c r="L3023">
        <v>0</v>
      </c>
      <c r="M3023">
        <v>0</v>
      </c>
      <c r="N3023">
        <v>0</v>
      </c>
      <c r="O3023">
        <v>270</v>
      </c>
      <c r="P3023" t="str">
        <f t="shared" si="283"/>
        <v>High</v>
      </c>
      <c r="Q3023">
        <v>117</v>
      </c>
      <c r="R3023">
        <v>71</v>
      </c>
      <c r="S3023">
        <v>23.79</v>
      </c>
      <c r="T3023" t="str">
        <f t="shared" si="284"/>
        <v>Normal</v>
      </c>
      <c r="U3023">
        <v>71</v>
      </c>
      <c r="V3023">
        <v>72</v>
      </c>
      <c r="W3023" t="str">
        <f t="shared" si="287"/>
        <v>Normal</v>
      </c>
      <c r="X3023">
        <v>0</v>
      </c>
    </row>
    <row r="3024" spans="1:24" ht="14.5" thickBot="1" x14ac:dyDescent="0.35">
      <c r="A3024">
        <v>1</v>
      </c>
      <c r="B3024" t="str">
        <f t="shared" si="285"/>
        <v>Male</v>
      </c>
      <c r="C3024" s="8">
        <v>55</v>
      </c>
      <c r="D3024" t="str">
        <f t="shared" si="286"/>
        <v>Senior</v>
      </c>
      <c r="E3024">
        <v>1</v>
      </c>
      <c r="F3024" t="str">
        <f>HLOOKUP(E3024, LookUP_Table!$A$6:$D$7, 2, FALSE)</f>
        <v>Primary</v>
      </c>
      <c r="G3024" t="str">
        <f>IFERROR(VLOOKUP(E3024, LookUP_Table!$A$1:$B$4, 2, FALSE), "")</f>
        <v>Primary</v>
      </c>
      <c r="H3024">
        <v>1</v>
      </c>
      <c r="I3024">
        <v>45</v>
      </c>
      <c r="J3024" t="str">
        <f t="shared" si="282"/>
        <v>Smoker</v>
      </c>
      <c r="K3024">
        <v>0</v>
      </c>
      <c r="L3024">
        <v>0</v>
      </c>
      <c r="M3024">
        <v>0</v>
      </c>
      <c r="N3024">
        <v>0</v>
      </c>
      <c r="O3024">
        <v>345</v>
      </c>
      <c r="P3024" t="str">
        <f t="shared" si="283"/>
        <v>High</v>
      </c>
      <c r="Q3024">
        <v>134</v>
      </c>
      <c r="R3024">
        <v>89</v>
      </c>
      <c r="S3024">
        <v>27.38</v>
      </c>
      <c r="T3024" t="str">
        <f t="shared" si="284"/>
        <v>Overweight</v>
      </c>
      <c r="U3024">
        <v>72</v>
      </c>
      <c r="V3024">
        <v>60</v>
      </c>
      <c r="W3024" t="str">
        <f t="shared" si="287"/>
        <v>Normal</v>
      </c>
      <c r="X3024">
        <v>0</v>
      </c>
    </row>
    <row r="3025" spans="1:24" ht="14.5" thickBot="1" x14ac:dyDescent="0.35">
      <c r="A3025">
        <v>0</v>
      </c>
      <c r="B3025" t="str">
        <f t="shared" si="285"/>
        <v>Female</v>
      </c>
      <c r="C3025" s="8">
        <v>55</v>
      </c>
      <c r="D3025" t="str">
        <f t="shared" si="286"/>
        <v>Senior</v>
      </c>
      <c r="E3025">
        <v>1</v>
      </c>
      <c r="F3025" t="str">
        <f>HLOOKUP(E3025, LookUP_Table!$A$6:$D$7, 2, FALSE)</f>
        <v>Primary</v>
      </c>
      <c r="G3025" t="str">
        <f>IFERROR(VLOOKUP(E3025, LookUP_Table!$A$1:$B$4, 2, FALSE), "")</f>
        <v>Primary</v>
      </c>
      <c r="H3025">
        <v>0</v>
      </c>
      <c r="I3025">
        <v>0</v>
      </c>
      <c r="J3025" t="str">
        <f t="shared" si="282"/>
        <v>Non-Smoker</v>
      </c>
      <c r="K3025">
        <v>0</v>
      </c>
      <c r="L3025">
        <v>0</v>
      </c>
      <c r="M3025">
        <v>0</v>
      </c>
      <c r="N3025">
        <v>0</v>
      </c>
      <c r="O3025">
        <v>328</v>
      </c>
      <c r="P3025" t="str">
        <f t="shared" si="283"/>
        <v>High</v>
      </c>
      <c r="Q3025">
        <v>106</v>
      </c>
      <c r="R3025">
        <v>77</v>
      </c>
      <c r="S3025">
        <v>29.65</v>
      </c>
      <c r="T3025" t="str">
        <f t="shared" si="284"/>
        <v>Overweight</v>
      </c>
      <c r="U3025">
        <v>75</v>
      </c>
      <c r="V3025">
        <v>81.96365524402907</v>
      </c>
      <c r="W3025" t="str">
        <f t="shared" si="287"/>
        <v>Normal</v>
      </c>
      <c r="X3025">
        <v>0</v>
      </c>
    </row>
    <row r="3026" spans="1:24" ht="14.5" thickBot="1" x14ac:dyDescent="0.35">
      <c r="A3026">
        <v>0</v>
      </c>
      <c r="B3026" t="str">
        <f t="shared" si="285"/>
        <v>Female</v>
      </c>
      <c r="C3026" s="8">
        <v>55</v>
      </c>
      <c r="D3026" t="str">
        <f t="shared" si="286"/>
        <v>Senior</v>
      </c>
      <c r="E3026">
        <v>1</v>
      </c>
      <c r="F3026" t="str">
        <f>HLOOKUP(E3026, LookUP_Table!$A$6:$D$7, 2, FALSE)</f>
        <v>Primary</v>
      </c>
      <c r="G3026" t="str">
        <f>IFERROR(VLOOKUP(E3026, LookUP_Table!$A$1:$B$4, 2, FALSE), "")</f>
        <v>Primary</v>
      </c>
      <c r="H3026">
        <v>0</v>
      </c>
      <c r="I3026">
        <v>0</v>
      </c>
      <c r="J3026" t="str">
        <f t="shared" si="282"/>
        <v>Non-Smoker</v>
      </c>
      <c r="K3026">
        <v>0</v>
      </c>
      <c r="L3026">
        <v>0</v>
      </c>
      <c r="M3026">
        <v>1</v>
      </c>
      <c r="N3026">
        <v>0</v>
      </c>
      <c r="O3026">
        <v>180</v>
      </c>
      <c r="P3026" t="str">
        <f t="shared" si="283"/>
        <v>Normal</v>
      </c>
      <c r="Q3026">
        <v>165</v>
      </c>
      <c r="R3026">
        <v>88</v>
      </c>
      <c r="S3026">
        <v>22.57</v>
      </c>
      <c r="T3026" t="str">
        <f t="shared" si="284"/>
        <v>Normal</v>
      </c>
      <c r="U3026">
        <v>68</v>
      </c>
      <c r="V3026">
        <v>77</v>
      </c>
      <c r="W3026" t="str">
        <f t="shared" si="287"/>
        <v>Normal</v>
      </c>
      <c r="X3026">
        <v>1</v>
      </c>
    </row>
    <row r="3027" spans="1:24" ht="14.5" thickBot="1" x14ac:dyDescent="0.35">
      <c r="A3027">
        <v>1</v>
      </c>
      <c r="B3027" t="str">
        <f t="shared" si="285"/>
        <v>Male</v>
      </c>
      <c r="C3027" s="8">
        <v>55</v>
      </c>
      <c r="D3027" t="str">
        <f t="shared" si="286"/>
        <v>Senior</v>
      </c>
      <c r="E3027">
        <v>2</v>
      </c>
      <c r="F3027" t="str">
        <f>HLOOKUP(E3027, LookUP_Table!$A$6:$D$7, 2, FALSE)</f>
        <v>Secondary</v>
      </c>
      <c r="G3027" t="str">
        <f>IFERROR(VLOOKUP(E3027, LookUP_Table!$A$1:$B$4, 2, FALSE), "")</f>
        <v>Secondary</v>
      </c>
      <c r="H3027">
        <v>1</v>
      </c>
      <c r="I3027">
        <v>20</v>
      </c>
      <c r="J3027" t="str">
        <f t="shared" si="282"/>
        <v>Smoker</v>
      </c>
      <c r="K3027">
        <v>0</v>
      </c>
      <c r="L3027">
        <v>0</v>
      </c>
      <c r="M3027">
        <v>0</v>
      </c>
      <c r="N3027">
        <v>0</v>
      </c>
      <c r="O3027">
        <v>280</v>
      </c>
      <c r="P3027" t="str">
        <f t="shared" si="283"/>
        <v>High</v>
      </c>
      <c r="Q3027">
        <v>134</v>
      </c>
      <c r="R3027">
        <v>85.5</v>
      </c>
      <c r="S3027">
        <v>29.86</v>
      </c>
      <c r="T3027" t="str">
        <f t="shared" si="284"/>
        <v>Overweight</v>
      </c>
      <c r="U3027">
        <v>80</v>
      </c>
      <c r="V3027">
        <v>75</v>
      </c>
      <c r="W3027" t="str">
        <f t="shared" si="287"/>
        <v>Normal</v>
      </c>
      <c r="X3027">
        <v>0</v>
      </c>
    </row>
    <row r="3028" spans="1:24" ht="14.5" thickBot="1" x14ac:dyDescent="0.35">
      <c r="A3028">
        <v>0</v>
      </c>
      <c r="B3028" t="str">
        <f t="shared" si="285"/>
        <v>Female</v>
      </c>
      <c r="C3028" s="8">
        <v>55</v>
      </c>
      <c r="D3028" t="str">
        <f t="shared" si="286"/>
        <v>Senior</v>
      </c>
      <c r="E3028">
        <v>2</v>
      </c>
      <c r="F3028" t="str">
        <f>HLOOKUP(E3028, LookUP_Table!$A$6:$D$7, 2, FALSE)</f>
        <v>Secondary</v>
      </c>
      <c r="G3028" t="str">
        <f>IFERROR(VLOOKUP(E3028, LookUP_Table!$A$1:$B$4, 2, FALSE), "")</f>
        <v>Secondary</v>
      </c>
      <c r="H3028">
        <v>0</v>
      </c>
      <c r="I3028">
        <v>0</v>
      </c>
      <c r="J3028" t="str">
        <f t="shared" si="282"/>
        <v>Non-Smoker</v>
      </c>
      <c r="K3028">
        <v>0</v>
      </c>
      <c r="L3028">
        <v>0</v>
      </c>
      <c r="M3028">
        <v>1</v>
      </c>
      <c r="N3028">
        <v>0</v>
      </c>
      <c r="O3028">
        <v>326</v>
      </c>
      <c r="P3028" t="str">
        <f t="shared" si="283"/>
        <v>High</v>
      </c>
      <c r="Q3028">
        <v>144</v>
      </c>
      <c r="R3028">
        <v>81</v>
      </c>
      <c r="S3028">
        <v>25.71</v>
      </c>
      <c r="T3028" t="str">
        <f t="shared" si="284"/>
        <v>Overweight</v>
      </c>
      <c r="U3028">
        <v>85</v>
      </c>
      <c r="V3028">
        <v>81.96365524402907</v>
      </c>
      <c r="W3028" t="str">
        <f t="shared" si="287"/>
        <v>Normal</v>
      </c>
      <c r="X3028">
        <v>0</v>
      </c>
    </row>
    <row r="3029" spans="1:24" ht="14.5" thickBot="1" x14ac:dyDescent="0.35">
      <c r="A3029">
        <v>0</v>
      </c>
      <c r="B3029" t="str">
        <f t="shared" si="285"/>
        <v>Female</v>
      </c>
      <c r="C3029" s="8">
        <v>55</v>
      </c>
      <c r="D3029" t="str">
        <f t="shared" si="286"/>
        <v>Senior</v>
      </c>
      <c r="E3029">
        <v>3</v>
      </c>
      <c r="F3029" t="str">
        <f>HLOOKUP(E3029, LookUP_Table!$A$6:$D$7, 2, FALSE)</f>
        <v>Graduate</v>
      </c>
      <c r="G3029" t="str">
        <f>IFERROR(VLOOKUP(E3029, LookUP_Table!$A$1:$B$4, 2, FALSE), "")</f>
        <v>Graduate</v>
      </c>
      <c r="H3029">
        <v>1</v>
      </c>
      <c r="I3029">
        <v>20</v>
      </c>
      <c r="J3029" t="str">
        <f t="shared" si="282"/>
        <v>Smoker</v>
      </c>
      <c r="K3029">
        <v>0</v>
      </c>
      <c r="L3029">
        <v>0</v>
      </c>
      <c r="M3029">
        <v>0</v>
      </c>
      <c r="N3029">
        <v>1</v>
      </c>
      <c r="O3029">
        <v>216</v>
      </c>
      <c r="P3029" t="str">
        <f t="shared" si="283"/>
        <v>Normal</v>
      </c>
      <c r="Q3029">
        <v>125</v>
      </c>
      <c r="R3029">
        <v>80</v>
      </c>
      <c r="S3029">
        <v>27.18</v>
      </c>
      <c r="T3029" t="str">
        <f t="shared" si="284"/>
        <v>Overweight</v>
      </c>
      <c r="U3029">
        <v>86</v>
      </c>
      <c r="V3029">
        <v>244</v>
      </c>
      <c r="W3029" t="str">
        <f t="shared" si="287"/>
        <v>Diabetes</v>
      </c>
      <c r="X3029">
        <v>0</v>
      </c>
    </row>
    <row r="3030" spans="1:24" ht="14.5" thickBot="1" x14ac:dyDescent="0.35">
      <c r="A3030">
        <v>0</v>
      </c>
      <c r="B3030" t="str">
        <f t="shared" si="285"/>
        <v>Female</v>
      </c>
      <c r="C3030" s="8">
        <v>55</v>
      </c>
      <c r="D3030" t="str">
        <f t="shared" si="286"/>
        <v>Senior</v>
      </c>
      <c r="E3030">
        <v>1</v>
      </c>
      <c r="F3030" t="str">
        <f>HLOOKUP(E3030, LookUP_Table!$A$6:$D$7, 2, FALSE)</f>
        <v>Primary</v>
      </c>
      <c r="G3030" t="str">
        <f>IFERROR(VLOOKUP(E3030, LookUP_Table!$A$1:$B$4, 2, FALSE), "")</f>
        <v>Primary</v>
      </c>
      <c r="H3030">
        <v>0</v>
      </c>
      <c r="I3030">
        <v>0</v>
      </c>
      <c r="J3030" t="str">
        <f t="shared" si="282"/>
        <v>Non-Smoker</v>
      </c>
      <c r="K3030">
        <v>0</v>
      </c>
      <c r="L3030">
        <v>0</v>
      </c>
      <c r="M3030">
        <v>0</v>
      </c>
      <c r="N3030">
        <v>0</v>
      </c>
      <c r="O3030">
        <v>204</v>
      </c>
      <c r="P3030" t="str">
        <f t="shared" si="283"/>
        <v>Normal</v>
      </c>
      <c r="Q3030">
        <v>131</v>
      </c>
      <c r="R3030">
        <v>87</v>
      </c>
      <c r="S3030">
        <v>24.68</v>
      </c>
      <c r="T3030" t="str">
        <f t="shared" si="284"/>
        <v>Normal</v>
      </c>
      <c r="U3030">
        <v>63</v>
      </c>
      <c r="V3030">
        <v>70</v>
      </c>
      <c r="W3030" t="str">
        <f t="shared" si="287"/>
        <v>Normal</v>
      </c>
      <c r="X3030">
        <v>0</v>
      </c>
    </row>
    <row r="3031" spans="1:24" ht="14.5" thickBot="1" x14ac:dyDescent="0.35">
      <c r="A3031">
        <v>0</v>
      </c>
      <c r="B3031" t="str">
        <f t="shared" si="285"/>
        <v>Female</v>
      </c>
      <c r="C3031" s="8">
        <v>55</v>
      </c>
      <c r="D3031" t="str">
        <f t="shared" si="286"/>
        <v>Senior</v>
      </c>
      <c r="E3031">
        <v>1</v>
      </c>
      <c r="F3031" t="str">
        <f>HLOOKUP(E3031, LookUP_Table!$A$6:$D$7, 2, FALSE)</f>
        <v>Primary</v>
      </c>
      <c r="G3031" t="str">
        <f>IFERROR(VLOOKUP(E3031, LookUP_Table!$A$1:$B$4, 2, FALSE), "")</f>
        <v>Primary</v>
      </c>
      <c r="H3031">
        <v>0</v>
      </c>
      <c r="I3031">
        <v>0</v>
      </c>
      <c r="J3031" t="str">
        <f t="shared" si="282"/>
        <v>Non-Smoker</v>
      </c>
      <c r="K3031">
        <v>0</v>
      </c>
      <c r="L3031">
        <v>0</v>
      </c>
      <c r="M3031">
        <v>0</v>
      </c>
      <c r="N3031">
        <v>0</v>
      </c>
      <c r="O3031">
        <v>331</v>
      </c>
      <c r="P3031" t="str">
        <f t="shared" si="283"/>
        <v>High</v>
      </c>
      <c r="Q3031">
        <v>128</v>
      </c>
      <c r="R3031">
        <v>84</v>
      </c>
      <c r="S3031">
        <v>21.18</v>
      </c>
      <c r="T3031" t="str">
        <f t="shared" si="284"/>
        <v>Normal</v>
      </c>
      <c r="U3031">
        <v>70</v>
      </c>
      <c r="V3031">
        <v>76</v>
      </c>
      <c r="W3031" t="str">
        <f t="shared" si="287"/>
        <v>Normal</v>
      </c>
      <c r="X3031">
        <v>0</v>
      </c>
    </row>
    <row r="3032" spans="1:24" ht="14.5" thickBot="1" x14ac:dyDescent="0.35">
      <c r="A3032">
        <v>1</v>
      </c>
      <c r="B3032" t="str">
        <f t="shared" si="285"/>
        <v>Male</v>
      </c>
      <c r="C3032" s="8">
        <v>55</v>
      </c>
      <c r="D3032" t="str">
        <f t="shared" si="286"/>
        <v>Senior</v>
      </c>
      <c r="E3032">
        <v>1</v>
      </c>
      <c r="F3032" t="str">
        <f>HLOOKUP(E3032, LookUP_Table!$A$6:$D$7, 2, FALSE)</f>
        <v>Primary</v>
      </c>
      <c r="G3032" t="str">
        <f>IFERROR(VLOOKUP(E3032, LookUP_Table!$A$1:$B$4, 2, FALSE), "")</f>
        <v>Primary</v>
      </c>
      <c r="H3032">
        <v>1</v>
      </c>
      <c r="I3032">
        <v>30</v>
      </c>
      <c r="J3032" t="str">
        <f t="shared" si="282"/>
        <v>Smoker</v>
      </c>
      <c r="K3032">
        <v>0</v>
      </c>
      <c r="L3032">
        <v>0</v>
      </c>
      <c r="M3032">
        <v>0</v>
      </c>
      <c r="N3032">
        <v>0</v>
      </c>
      <c r="O3032">
        <v>175</v>
      </c>
      <c r="P3032" t="str">
        <f t="shared" si="283"/>
        <v>Normal</v>
      </c>
      <c r="Q3032">
        <v>150</v>
      </c>
      <c r="R3032">
        <v>88</v>
      </c>
      <c r="S3032">
        <v>22.72</v>
      </c>
      <c r="T3032" t="str">
        <f t="shared" si="284"/>
        <v>Normal</v>
      </c>
      <c r="U3032">
        <v>56</v>
      </c>
      <c r="V3032">
        <v>81.96365524402907</v>
      </c>
      <c r="W3032" t="str">
        <f t="shared" si="287"/>
        <v>Normal</v>
      </c>
      <c r="X3032">
        <v>1</v>
      </c>
    </row>
    <row r="3033" spans="1:24" ht="14.5" thickBot="1" x14ac:dyDescent="0.35">
      <c r="A3033">
        <v>0</v>
      </c>
      <c r="B3033" t="str">
        <f t="shared" si="285"/>
        <v>Female</v>
      </c>
      <c r="C3033" s="8">
        <v>55</v>
      </c>
      <c r="D3033" t="str">
        <f t="shared" si="286"/>
        <v>Senior</v>
      </c>
      <c r="E3033">
        <v>1</v>
      </c>
      <c r="F3033" t="str">
        <f>HLOOKUP(E3033, LookUP_Table!$A$6:$D$7, 2, FALSE)</f>
        <v>Primary</v>
      </c>
      <c r="G3033" t="str">
        <f>IFERROR(VLOOKUP(E3033, LookUP_Table!$A$1:$B$4, 2, FALSE), "")</f>
        <v>Primary</v>
      </c>
      <c r="H3033">
        <v>0</v>
      </c>
      <c r="I3033">
        <v>0</v>
      </c>
      <c r="J3033" t="str">
        <f t="shared" si="282"/>
        <v>Non-Smoker</v>
      </c>
      <c r="K3033">
        <v>0</v>
      </c>
      <c r="L3033">
        <v>0</v>
      </c>
      <c r="M3033">
        <v>1</v>
      </c>
      <c r="N3033">
        <v>0</v>
      </c>
      <c r="O3033">
        <v>226</v>
      </c>
      <c r="P3033" t="str">
        <f t="shared" si="283"/>
        <v>Normal</v>
      </c>
      <c r="Q3033">
        <v>141</v>
      </c>
      <c r="R3033">
        <v>84</v>
      </c>
      <c r="S3033">
        <v>27.6</v>
      </c>
      <c r="T3033" t="str">
        <f t="shared" si="284"/>
        <v>Overweight</v>
      </c>
      <c r="U3033">
        <v>69</v>
      </c>
      <c r="V3033">
        <v>73</v>
      </c>
      <c r="W3033" t="str">
        <f t="shared" si="287"/>
        <v>Normal</v>
      </c>
      <c r="X3033">
        <v>0</v>
      </c>
    </row>
    <row r="3034" spans="1:24" ht="14.5" thickBot="1" x14ac:dyDescent="0.35">
      <c r="A3034">
        <v>0</v>
      </c>
      <c r="B3034" t="str">
        <f t="shared" si="285"/>
        <v>Female</v>
      </c>
      <c r="C3034" s="8">
        <v>55</v>
      </c>
      <c r="D3034" t="str">
        <f t="shared" si="286"/>
        <v>Senior</v>
      </c>
      <c r="E3034">
        <v>1</v>
      </c>
      <c r="F3034" t="str">
        <f>HLOOKUP(E3034, LookUP_Table!$A$6:$D$7, 2, FALSE)</f>
        <v>Primary</v>
      </c>
      <c r="G3034" t="str">
        <f>IFERROR(VLOOKUP(E3034, LookUP_Table!$A$1:$B$4, 2, FALSE), "")</f>
        <v>Primary</v>
      </c>
      <c r="H3034">
        <v>0</v>
      </c>
      <c r="I3034">
        <v>0</v>
      </c>
      <c r="J3034" t="str">
        <f t="shared" si="282"/>
        <v>Non-Smoker</v>
      </c>
      <c r="K3034">
        <v>0</v>
      </c>
      <c r="L3034">
        <v>0</v>
      </c>
      <c r="M3034">
        <v>0</v>
      </c>
      <c r="N3034">
        <v>0</v>
      </c>
      <c r="O3034">
        <v>290</v>
      </c>
      <c r="P3034" t="str">
        <f t="shared" si="283"/>
        <v>High</v>
      </c>
      <c r="Q3034">
        <v>132</v>
      </c>
      <c r="R3034">
        <v>81</v>
      </c>
      <c r="S3034">
        <v>27.86</v>
      </c>
      <c r="T3034" t="str">
        <f t="shared" si="284"/>
        <v>Overweight</v>
      </c>
      <c r="U3034">
        <v>85</v>
      </c>
      <c r="V3034">
        <v>92</v>
      </c>
      <c r="W3034" t="str">
        <f t="shared" si="287"/>
        <v>Normal</v>
      </c>
      <c r="X3034">
        <v>0</v>
      </c>
    </row>
    <row r="3035" spans="1:24" ht="14.5" thickBot="1" x14ac:dyDescent="0.35">
      <c r="A3035">
        <v>1</v>
      </c>
      <c r="B3035" t="str">
        <f t="shared" si="285"/>
        <v>Male</v>
      </c>
      <c r="C3035" s="8">
        <v>55</v>
      </c>
      <c r="D3035" t="str">
        <f t="shared" si="286"/>
        <v>Senior</v>
      </c>
      <c r="E3035">
        <v>2</v>
      </c>
      <c r="F3035" t="str">
        <f>HLOOKUP(E3035, LookUP_Table!$A$6:$D$7, 2, FALSE)</f>
        <v>Secondary</v>
      </c>
      <c r="G3035" t="str">
        <f>IFERROR(VLOOKUP(E3035, LookUP_Table!$A$1:$B$4, 2, FALSE), "")</f>
        <v>Secondary</v>
      </c>
      <c r="H3035">
        <v>1</v>
      </c>
      <c r="I3035">
        <v>20</v>
      </c>
      <c r="J3035" t="str">
        <f t="shared" si="282"/>
        <v>Smoker</v>
      </c>
      <c r="K3035">
        <v>0</v>
      </c>
      <c r="L3035">
        <v>0</v>
      </c>
      <c r="M3035">
        <v>0</v>
      </c>
      <c r="N3035">
        <v>0</v>
      </c>
      <c r="O3035">
        <v>283</v>
      </c>
      <c r="P3035" t="str">
        <f t="shared" si="283"/>
        <v>High</v>
      </c>
      <c r="Q3035">
        <v>137</v>
      </c>
      <c r="R3035">
        <v>82</v>
      </c>
      <c r="S3035">
        <v>28.49</v>
      </c>
      <c r="T3035" t="str">
        <f t="shared" si="284"/>
        <v>Overweight</v>
      </c>
      <c r="U3035">
        <v>75</v>
      </c>
      <c r="V3035">
        <v>85</v>
      </c>
      <c r="W3035" t="str">
        <f t="shared" si="287"/>
        <v>Normal</v>
      </c>
      <c r="X3035">
        <v>0</v>
      </c>
    </row>
    <row r="3036" spans="1:24" ht="14.5" thickBot="1" x14ac:dyDescent="0.35">
      <c r="A3036">
        <v>1</v>
      </c>
      <c r="B3036" t="str">
        <f t="shared" si="285"/>
        <v>Male</v>
      </c>
      <c r="C3036" s="8">
        <v>55</v>
      </c>
      <c r="D3036" t="str">
        <f t="shared" si="286"/>
        <v>Senior</v>
      </c>
      <c r="E3036">
        <v>4</v>
      </c>
      <c r="F3036" t="str">
        <f>HLOOKUP(E3036, LookUP_Table!$A$6:$D$7, 2, FALSE)</f>
        <v>Post Graduate</v>
      </c>
      <c r="G3036" t="str">
        <f>IFERROR(VLOOKUP(E3036, LookUP_Table!$A$1:$B$4, 2, FALSE), "")</f>
        <v>Post Graduate</v>
      </c>
      <c r="H3036">
        <v>0</v>
      </c>
      <c r="I3036">
        <v>0</v>
      </c>
      <c r="J3036" t="str">
        <f t="shared" si="282"/>
        <v>Non-Smoker</v>
      </c>
      <c r="K3036">
        <v>0</v>
      </c>
      <c r="L3036">
        <v>0</v>
      </c>
      <c r="M3036">
        <v>0</v>
      </c>
      <c r="N3036">
        <v>0</v>
      </c>
      <c r="O3036">
        <v>275</v>
      </c>
      <c r="P3036" t="str">
        <f t="shared" si="283"/>
        <v>High</v>
      </c>
      <c r="Q3036">
        <v>115</v>
      </c>
      <c r="R3036">
        <v>78</v>
      </c>
      <c r="S3036">
        <v>28.52</v>
      </c>
      <c r="T3036" t="str">
        <f t="shared" si="284"/>
        <v>Overweight</v>
      </c>
      <c r="U3036">
        <v>73</v>
      </c>
      <c r="V3036">
        <v>79</v>
      </c>
      <c r="W3036" t="str">
        <f t="shared" si="287"/>
        <v>Normal</v>
      </c>
      <c r="X3036">
        <v>1</v>
      </c>
    </row>
    <row r="3037" spans="1:24" ht="14.5" thickBot="1" x14ac:dyDescent="0.35">
      <c r="A3037">
        <v>1</v>
      </c>
      <c r="B3037" t="str">
        <f t="shared" si="285"/>
        <v>Male</v>
      </c>
      <c r="C3037" s="8">
        <v>55</v>
      </c>
      <c r="D3037" t="str">
        <f t="shared" si="286"/>
        <v>Senior</v>
      </c>
      <c r="E3037">
        <v>3</v>
      </c>
      <c r="F3037" t="str">
        <f>HLOOKUP(E3037, LookUP_Table!$A$6:$D$7, 2, FALSE)</f>
        <v>Graduate</v>
      </c>
      <c r="G3037" t="str">
        <f>IFERROR(VLOOKUP(E3037, LookUP_Table!$A$1:$B$4, 2, FALSE), "")</f>
        <v>Graduate</v>
      </c>
      <c r="H3037">
        <v>1</v>
      </c>
      <c r="I3037">
        <v>15</v>
      </c>
      <c r="J3037" t="str">
        <f t="shared" si="282"/>
        <v>Smoker</v>
      </c>
      <c r="K3037">
        <v>0</v>
      </c>
      <c r="L3037">
        <v>0</v>
      </c>
      <c r="M3037">
        <v>0</v>
      </c>
      <c r="N3037">
        <v>0</v>
      </c>
      <c r="O3037">
        <v>215</v>
      </c>
      <c r="P3037" t="str">
        <f t="shared" si="283"/>
        <v>Normal</v>
      </c>
      <c r="Q3037">
        <v>121.5</v>
      </c>
      <c r="R3037">
        <v>81.5</v>
      </c>
      <c r="S3037">
        <v>28.45</v>
      </c>
      <c r="T3037" t="str">
        <f t="shared" si="284"/>
        <v>Overweight</v>
      </c>
      <c r="U3037">
        <v>71</v>
      </c>
      <c r="V3037">
        <v>98</v>
      </c>
      <c r="W3037" t="str">
        <f t="shared" si="287"/>
        <v>Normal</v>
      </c>
      <c r="X3037">
        <v>0</v>
      </c>
    </row>
    <row r="3038" spans="1:24" ht="14.5" thickBot="1" x14ac:dyDescent="0.35">
      <c r="A3038">
        <v>1</v>
      </c>
      <c r="B3038" t="str">
        <f t="shared" si="285"/>
        <v>Male</v>
      </c>
      <c r="C3038" s="8">
        <v>55</v>
      </c>
      <c r="D3038" t="str">
        <f t="shared" si="286"/>
        <v>Senior</v>
      </c>
      <c r="E3038">
        <v>1</v>
      </c>
      <c r="F3038" t="str">
        <f>HLOOKUP(E3038, LookUP_Table!$A$6:$D$7, 2, FALSE)</f>
        <v>Primary</v>
      </c>
      <c r="G3038" t="str">
        <f>IFERROR(VLOOKUP(E3038, LookUP_Table!$A$1:$B$4, 2, FALSE), "")</f>
        <v>Primary</v>
      </c>
      <c r="H3038">
        <v>1</v>
      </c>
      <c r="I3038">
        <v>20</v>
      </c>
      <c r="J3038" t="str">
        <f t="shared" si="282"/>
        <v>Smoker</v>
      </c>
      <c r="K3038">
        <v>0</v>
      </c>
      <c r="L3038">
        <v>0</v>
      </c>
      <c r="M3038">
        <v>1</v>
      </c>
      <c r="N3038">
        <v>0</v>
      </c>
      <c r="O3038">
        <v>281</v>
      </c>
      <c r="P3038" t="str">
        <f t="shared" si="283"/>
        <v>High</v>
      </c>
      <c r="Q3038">
        <v>165</v>
      </c>
      <c r="R3038">
        <v>108</v>
      </c>
      <c r="S3038">
        <v>24.14</v>
      </c>
      <c r="T3038" t="str">
        <f t="shared" si="284"/>
        <v>Normal</v>
      </c>
      <c r="U3038">
        <v>75</v>
      </c>
      <c r="V3038">
        <v>66</v>
      </c>
      <c r="W3038" t="str">
        <f t="shared" si="287"/>
        <v>Normal</v>
      </c>
      <c r="X3038">
        <v>0</v>
      </c>
    </row>
    <row r="3039" spans="1:24" ht="14.5" thickBot="1" x14ac:dyDescent="0.35">
      <c r="A3039">
        <v>0</v>
      </c>
      <c r="B3039" t="str">
        <f t="shared" si="285"/>
        <v>Female</v>
      </c>
      <c r="C3039" s="8">
        <v>55</v>
      </c>
      <c r="D3039" t="str">
        <f t="shared" si="286"/>
        <v>Senior</v>
      </c>
      <c r="E3039">
        <v>1</v>
      </c>
      <c r="F3039" t="str">
        <f>HLOOKUP(E3039, LookUP_Table!$A$6:$D$7, 2, FALSE)</f>
        <v>Primary</v>
      </c>
      <c r="G3039" t="str">
        <f>IFERROR(VLOOKUP(E3039, LookUP_Table!$A$1:$B$4, 2, FALSE), "")</f>
        <v>Primary</v>
      </c>
      <c r="H3039">
        <v>1</v>
      </c>
      <c r="I3039">
        <v>9</v>
      </c>
      <c r="J3039" t="str">
        <f t="shared" si="282"/>
        <v>Smoker</v>
      </c>
      <c r="K3039">
        <v>0</v>
      </c>
      <c r="L3039">
        <v>0</v>
      </c>
      <c r="M3039">
        <v>1</v>
      </c>
      <c r="N3039">
        <v>0</v>
      </c>
      <c r="O3039">
        <v>213</v>
      </c>
      <c r="P3039" t="str">
        <f t="shared" si="283"/>
        <v>Normal</v>
      </c>
      <c r="Q3039">
        <v>163</v>
      </c>
      <c r="R3039">
        <v>91</v>
      </c>
      <c r="S3039">
        <v>28.66</v>
      </c>
      <c r="T3039" t="str">
        <f t="shared" si="284"/>
        <v>Overweight</v>
      </c>
      <c r="U3039">
        <v>69</v>
      </c>
      <c r="V3039">
        <v>66</v>
      </c>
      <c r="W3039" t="str">
        <f t="shared" si="287"/>
        <v>Normal</v>
      </c>
      <c r="X3039">
        <v>0</v>
      </c>
    </row>
    <row r="3040" spans="1:24" ht="14.5" thickBot="1" x14ac:dyDescent="0.35">
      <c r="A3040">
        <v>0</v>
      </c>
      <c r="B3040" t="str">
        <f t="shared" si="285"/>
        <v>Female</v>
      </c>
      <c r="C3040" s="8">
        <v>55</v>
      </c>
      <c r="D3040" t="str">
        <f t="shared" si="286"/>
        <v>Senior</v>
      </c>
      <c r="E3040">
        <v>1</v>
      </c>
      <c r="F3040" t="str">
        <f>HLOOKUP(E3040, LookUP_Table!$A$6:$D$7, 2, FALSE)</f>
        <v>Primary</v>
      </c>
      <c r="G3040" t="str">
        <f>IFERROR(VLOOKUP(E3040, LookUP_Table!$A$1:$B$4, 2, FALSE), "")</f>
        <v>Primary</v>
      </c>
      <c r="H3040">
        <v>0</v>
      </c>
      <c r="I3040">
        <v>0</v>
      </c>
      <c r="J3040" t="str">
        <f t="shared" si="282"/>
        <v>Non-Smoker</v>
      </c>
      <c r="K3040">
        <v>0</v>
      </c>
      <c r="L3040">
        <v>0</v>
      </c>
      <c r="M3040">
        <v>0</v>
      </c>
      <c r="N3040">
        <v>0</v>
      </c>
      <c r="O3040">
        <v>235</v>
      </c>
      <c r="P3040" t="str">
        <f t="shared" si="283"/>
        <v>Normal</v>
      </c>
      <c r="Q3040">
        <v>123</v>
      </c>
      <c r="R3040">
        <v>81</v>
      </c>
      <c r="S3040">
        <v>31.44</v>
      </c>
      <c r="T3040" t="str">
        <f t="shared" si="284"/>
        <v>Obese</v>
      </c>
      <c r="U3040">
        <v>75</v>
      </c>
      <c r="V3040">
        <v>78</v>
      </c>
      <c r="W3040" t="str">
        <f t="shared" si="287"/>
        <v>Normal</v>
      </c>
      <c r="X3040">
        <v>0</v>
      </c>
    </row>
    <row r="3041" spans="1:24" ht="14.5" thickBot="1" x14ac:dyDescent="0.35">
      <c r="A3041">
        <v>0</v>
      </c>
      <c r="B3041" t="str">
        <f t="shared" si="285"/>
        <v>Female</v>
      </c>
      <c r="C3041" s="8">
        <v>55</v>
      </c>
      <c r="D3041" t="str">
        <f t="shared" si="286"/>
        <v>Senior</v>
      </c>
      <c r="E3041">
        <v>2</v>
      </c>
      <c r="F3041" t="str">
        <f>HLOOKUP(E3041, LookUP_Table!$A$6:$D$7, 2, FALSE)</f>
        <v>Secondary</v>
      </c>
      <c r="G3041" t="str">
        <f>IFERROR(VLOOKUP(E3041, LookUP_Table!$A$1:$B$4, 2, FALSE), "")</f>
        <v>Secondary</v>
      </c>
      <c r="H3041">
        <v>0</v>
      </c>
      <c r="I3041">
        <v>0</v>
      </c>
      <c r="J3041" t="str">
        <f t="shared" si="282"/>
        <v>Non-Smoker</v>
      </c>
      <c r="K3041">
        <v>0</v>
      </c>
      <c r="L3041">
        <v>0</v>
      </c>
      <c r="M3041">
        <v>1</v>
      </c>
      <c r="N3041">
        <v>0</v>
      </c>
      <c r="O3041">
        <v>256</v>
      </c>
      <c r="P3041" t="str">
        <f t="shared" si="283"/>
        <v>High</v>
      </c>
      <c r="Q3041">
        <v>143</v>
      </c>
      <c r="R3041">
        <v>82.5</v>
      </c>
      <c r="S3041">
        <v>23.81</v>
      </c>
      <c r="T3041" t="str">
        <f t="shared" si="284"/>
        <v>Normal</v>
      </c>
      <c r="U3041">
        <v>90</v>
      </c>
      <c r="V3041">
        <v>90</v>
      </c>
      <c r="W3041" t="str">
        <f t="shared" si="287"/>
        <v>Normal</v>
      </c>
      <c r="X3041">
        <v>0</v>
      </c>
    </row>
    <row r="3042" spans="1:24" ht="14.5" thickBot="1" x14ac:dyDescent="0.35">
      <c r="A3042">
        <v>1</v>
      </c>
      <c r="B3042" t="str">
        <f t="shared" si="285"/>
        <v>Male</v>
      </c>
      <c r="C3042" s="8">
        <v>55</v>
      </c>
      <c r="D3042" t="str">
        <f t="shared" si="286"/>
        <v>Senior</v>
      </c>
      <c r="E3042">
        <v>2</v>
      </c>
      <c r="F3042" t="str">
        <f>HLOOKUP(E3042, LookUP_Table!$A$6:$D$7, 2, FALSE)</f>
        <v>Secondary</v>
      </c>
      <c r="G3042" t="str">
        <f>IFERROR(VLOOKUP(E3042, LookUP_Table!$A$1:$B$4, 2, FALSE), "")</f>
        <v>Secondary</v>
      </c>
      <c r="H3042">
        <v>0</v>
      </c>
      <c r="I3042">
        <v>0</v>
      </c>
      <c r="J3042" t="str">
        <f t="shared" si="282"/>
        <v>Non-Smoker</v>
      </c>
      <c r="K3042">
        <v>0</v>
      </c>
      <c r="L3042">
        <v>0</v>
      </c>
      <c r="M3042">
        <v>0</v>
      </c>
      <c r="N3042">
        <v>0</v>
      </c>
      <c r="O3042">
        <v>202</v>
      </c>
      <c r="P3042" t="str">
        <f t="shared" si="283"/>
        <v>Normal</v>
      </c>
      <c r="Q3042">
        <v>104</v>
      </c>
      <c r="R3042">
        <v>76</v>
      </c>
      <c r="S3042">
        <v>31.68</v>
      </c>
      <c r="T3042" t="str">
        <f t="shared" si="284"/>
        <v>Obese</v>
      </c>
      <c r="U3042">
        <v>62</v>
      </c>
      <c r="V3042">
        <v>74</v>
      </c>
      <c r="W3042" t="str">
        <f t="shared" si="287"/>
        <v>Normal</v>
      </c>
      <c r="X3042">
        <v>0</v>
      </c>
    </row>
    <row r="3043" spans="1:24" ht="14.5" thickBot="1" x14ac:dyDescent="0.35">
      <c r="A3043">
        <v>0</v>
      </c>
      <c r="B3043" t="str">
        <f t="shared" si="285"/>
        <v>Female</v>
      </c>
      <c r="C3043" s="8">
        <v>55</v>
      </c>
      <c r="D3043" t="str">
        <f t="shared" si="286"/>
        <v>Senior</v>
      </c>
      <c r="E3043">
        <v>2</v>
      </c>
      <c r="F3043" t="str">
        <f>HLOOKUP(E3043, LookUP_Table!$A$6:$D$7, 2, FALSE)</f>
        <v>Secondary</v>
      </c>
      <c r="G3043" t="str">
        <f>IFERROR(VLOOKUP(E3043, LookUP_Table!$A$1:$B$4, 2, FALSE), "")</f>
        <v>Secondary</v>
      </c>
      <c r="H3043">
        <v>0</v>
      </c>
      <c r="I3043">
        <v>0</v>
      </c>
      <c r="J3043" t="str">
        <f t="shared" si="282"/>
        <v>Non-Smoker</v>
      </c>
      <c r="K3043">
        <v>0</v>
      </c>
      <c r="L3043">
        <v>0</v>
      </c>
      <c r="M3043">
        <v>1</v>
      </c>
      <c r="N3043">
        <v>0</v>
      </c>
      <c r="O3043">
        <v>309</v>
      </c>
      <c r="P3043" t="str">
        <f t="shared" si="283"/>
        <v>High</v>
      </c>
      <c r="Q3043">
        <v>177.5</v>
      </c>
      <c r="R3043">
        <v>110</v>
      </c>
      <c r="S3043">
        <v>22.89</v>
      </c>
      <c r="T3043" t="str">
        <f t="shared" si="284"/>
        <v>Normal</v>
      </c>
      <c r="U3043">
        <v>63</v>
      </c>
      <c r="V3043">
        <v>73</v>
      </c>
      <c r="W3043" t="str">
        <f t="shared" si="287"/>
        <v>Normal</v>
      </c>
      <c r="X3043">
        <v>0</v>
      </c>
    </row>
    <row r="3044" spans="1:24" ht="14.5" thickBot="1" x14ac:dyDescent="0.35">
      <c r="A3044">
        <v>0</v>
      </c>
      <c r="B3044" t="str">
        <f t="shared" si="285"/>
        <v>Female</v>
      </c>
      <c r="C3044" s="8">
        <v>55</v>
      </c>
      <c r="D3044" t="str">
        <f t="shared" si="286"/>
        <v>Senior</v>
      </c>
      <c r="E3044">
        <v>2</v>
      </c>
      <c r="F3044" t="str">
        <f>HLOOKUP(E3044, LookUP_Table!$A$6:$D$7, 2, FALSE)</f>
        <v>Secondary</v>
      </c>
      <c r="G3044" t="str">
        <f>IFERROR(VLOOKUP(E3044, LookUP_Table!$A$1:$B$4, 2, FALSE), "")</f>
        <v>Secondary</v>
      </c>
      <c r="H3044">
        <v>1</v>
      </c>
      <c r="I3044">
        <v>9</v>
      </c>
      <c r="J3044" t="str">
        <f t="shared" si="282"/>
        <v>Smoker</v>
      </c>
      <c r="K3044">
        <v>0</v>
      </c>
      <c r="L3044">
        <v>0</v>
      </c>
      <c r="M3044">
        <v>1</v>
      </c>
      <c r="N3044">
        <v>0</v>
      </c>
      <c r="O3044">
        <v>265</v>
      </c>
      <c r="P3044" t="str">
        <f t="shared" si="283"/>
        <v>High</v>
      </c>
      <c r="Q3044">
        <v>154</v>
      </c>
      <c r="R3044">
        <v>87</v>
      </c>
      <c r="S3044">
        <v>20.92</v>
      </c>
      <c r="T3044" t="str">
        <f t="shared" si="284"/>
        <v>Normal</v>
      </c>
      <c r="U3044">
        <v>96</v>
      </c>
      <c r="V3044">
        <v>66</v>
      </c>
      <c r="W3044" t="str">
        <f t="shared" si="287"/>
        <v>Normal</v>
      </c>
      <c r="X3044">
        <v>0</v>
      </c>
    </row>
    <row r="3045" spans="1:24" ht="14.5" thickBot="1" x14ac:dyDescent="0.35">
      <c r="A3045">
        <v>0</v>
      </c>
      <c r="B3045" t="str">
        <f t="shared" si="285"/>
        <v>Female</v>
      </c>
      <c r="C3045" s="8">
        <v>55</v>
      </c>
      <c r="D3045" t="str">
        <f t="shared" si="286"/>
        <v>Senior</v>
      </c>
      <c r="E3045">
        <v>1</v>
      </c>
      <c r="F3045" t="str">
        <f>HLOOKUP(E3045, LookUP_Table!$A$6:$D$7, 2, FALSE)</f>
        <v>Primary</v>
      </c>
      <c r="G3045" t="str">
        <f>IFERROR(VLOOKUP(E3045, LookUP_Table!$A$1:$B$4, 2, FALSE), "")</f>
        <v>Primary</v>
      </c>
      <c r="H3045">
        <v>0</v>
      </c>
      <c r="I3045">
        <v>0</v>
      </c>
      <c r="J3045" t="str">
        <f t="shared" si="282"/>
        <v>Non-Smoker</v>
      </c>
      <c r="K3045">
        <v>0</v>
      </c>
      <c r="L3045">
        <v>0</v>
      </c>
      <c r="M3045">
        <v>1</v>
      </c>
      <c r="N3045">
        <v>0</v>
      </c>
      <c r="O3045">
        <v>212</v>
      </c>
      <c r="P3045" t="str">
        <f t="shared" si="283"/>
        <v>Normal</v>
      </c>
      <c r="Q3045">
        <v>161</v>
      </c>
      <c r="R3045">
        <v>85</v>
      </c>
      <c r="S3045">
        <v>28.26</v>
      </c>
      <c r="T3045" t="str">
        <f t="shared" si="284"/>
        <v>Overweight</v>
      </c>
      <c r="U3045">
        <v>66</v>
      </c>
      <c r="V3045">
        <v>63</v>
      </c>
      <c r="W3045" t="str">
        <f t="shared" si="287"/>
        <v>Normal</v>
      </c>
      <c r="X3045">
        <v>1</v>
      </c>
    </row>
    <row r="3046" spans="1:24" ht="14.5" thickBot="1" x14ac:dyDescent="0.35">
      <c r="A3046">
        <v>1</v>
      </c>
      <c r="B3046" t="str">
        <f t="shared" si="285"/>
        <v>Male</v>
      </c>
      <c r="C3046" s="8">
        <v>55</v>
      </c>
      <c r="D3046" t="str">
        <f t="shared" si="286"/>
        <v>Senior</v>
      </c>
      <c r="E3046">
        <v>1</v>
      </c>
      <c r="F3046" t="str">
        <f>HLOOKUP(E3046, LookUP_Table!$A$6:$D$7, 2, FALSE)</f>
        <v>Primary</v>
      </c>
      <c r="G3046" t="str">
        <f>IFERROR(VLOOKUP(E3046, LookUP_Table!$A$1:$B$4, 2, FALSE), "")</f>
        <v>Primary</v>
      </c>
      <c r="H3046">
        <v>1</v>
      </c>
      <c r="I3046">
        <v>3</v>
      </c>
      <c r="J3046" t="str">
        <f t="shared" si="282"/>
        <v>Smoker</v>
      </c>
      <c r="K3046">
        <v>0</v>
      </c>
      <c r="L3046">
        <v>0</v>
      </c>
      <c r="M3046">
        <v>0</v>
      </c>
      <c r="N3046">
        <v>0</v>
      </c>
      <c r="O3046">
        <v>246</v>
      </c>
      <c r="P3046" t="str">
        <f t="shared" si="283"/>
        <v>High</v>
      </c>
      <c r="Q3046">
        <v>112.5</v>
      </c>
      <c r="R3046">
        <v>72.5</v>
      </c>
      <c r="S3046">
        <v>27.56</v>
      </c>
      <c r="T3046" t="str">
        <f t="shared" si="284"/>
        <v>Overweight</v>
      </c>
      <c r="U3046">
        <v>60</v>
      </c>
      <c r="V3046">
        <v>72</v>
      </c>
      <c r="W3046" t="str">
        <f t="shared" si="287"/>
        <v>Normal</v>
      </c>
      <c r="X3046">
        <v>0</v>
      </c>
    </row>
    <row r="3047" spans="1:24" ht="14.5" thickBot="1" x14ac:dyDescent="0.35">
      <c r="A3047">
        <v>0</v>
      </c>
      <c r="B3047" t="str">
        <f t="shared" si="285"/>
        <v>Female</v>
      </c>
      <c r="C3047" s="8">
        <v>55</v>
      </c>
      <c r="D3047" t="str">
        <f t="shared" si="286"/>
        <v>Senior</v>
      </c>
      <c r="E3047">
        <v>1</v>
      </c>
      <c r="F3047" t="str">
        <f>HLOOKUP(E3047, LookUP_Table!$A$6:$D$7, 2, FALSE)</f>
        <v>Primary</v>
      </c>
      <c r="G3047" t="str">
        <f>IFERROR(VLOOKUP(E3047, LookUP_Table!$A$1:$B$4, 2, FALSE), "")</f>
        <v>Primary</v>
      </c>
      <c r="H3047">
        <v>0</v>
      </c>
      <c r="I3047">
        <v>0</v>
      </c>
      <c r="J3047" t="str">
        <f t="shared" si="282"/>
        <v>Non-Smoker</v>
      </c>
      <c r="K3047">
        <v>0</v>
      </c>
      <c r="L3047">
        <v>0</v>
      </c>
      <c r="M3047">
        <v>1</v>
      </c>
      <c r="N3047">
        <v>0</v>
      </c>
      <c r="O3047">
        <v>185</v>
      </c>
      <c r="P3047" t="str">
        <f t="shared" si="283"/>
        <v>Normal</v>
      </c>
      <c r="Q3047">
        <v>140</v>
      </c>
      <c r="R3047">
        <v>84</v>
      </c>
      <c r="S3047">
        <v>25.94</v>
      </c>
      <c r="T3047" t="str">
        <f t="shared" si="284"/>
        <v>Overweight</v>
      </c>
      <c r="U3047">
        <v>78</v>
      </c>
      <c r="V3047">
        <v>90</v>
      </c>
      <c r="W3047" t="str">
        <f t="shared" si="287"/>
        <v>Normal</v>
      </c>
      <c r="X3047">
        <v>0</v>
      </c>
    </row>
    <row r="3048" spans="1:24" ht="14.5" thickBot="1" x14ac:dyDescent="0.35">
      <c r="A3048">
        <v>0</v>
      </c>
      <c r="B3048" t="str">
        <f t="shared" si="285"/>
        <v>Female</v>
      </c>
      <c r="C3048" s="8">
        <v>55</v>
      </c>
      <c r="D3048" t="str">
        <f t="shared" si="286"/>
        <v>Senior</v>
      </c>
      <c r="E3048">
        <v>1</v>
      </c>
      <c r="F3048" t="str">
        <f>HLOOKUP(E3048, LookUP_Table!$A$6:$D$7, 2, FALSE)</f>
        <v>Primary</v>
      </c>
      <c r="G3048" t="str">
        <f>IFERROR(VLOOKUP(E3048, LookUP_Table!$A$1:$B$4, 2, FALSE), "")</f>
        <v>Primary</v>
      </c>
      <c r="H3048">
        <v>0</v>
      </c>
      <c r="I3048">
        <v>0</v>
      </c>
      <c r="J3048" t="str">
        <f t="shared" si="282"/>
        <v>Non-Smoker</v>
      </c>
      <c r="K3048">
        <v>0</v>
      </c>
      <c r="L3048">
        <v>0</v>
      </c>
      <c r="M3048">
        <v>0</v>
      </c>
      <c r="N3048">
        <v>0</v>
      </c>
      <c r="O3048">
        <v>257</v>
      </c>
      <c r="P3048" t="str">
        <f t="shared" si="283"/>
        <v>High</v>
      </c>
      <c r="Q3048">
        <v>132</v>
      </c>
      <c r="R3048">
        <v>81</v>
      </c>
      <c r="S3048">
        <v>27.49</v>
      </c>
      <c r="T3048" t="str">
        <f t="shared" si="284"/>
        <v>Overweight</v>
      </c>
      <c r="U3048">
        <v>60</v>
      </c>
      <c r="V3048">
        <v>86</v>
      </c>
      <c r="W3048" t="str">
        <f t="shared" si="287"/>
        <v>Normal</v>
      </c>
      <c r="X3048">
        <v>0</v>
      </c>
    </row>
    <row r="3049" spans="1:24" ht="14.5" thickBot="1" x14ac:dyDescent="0.35">
      <c r="A3049">
        <v>1</v>
      </c>
      <c r="B3049" t="str">
        <f t="shared" si="285"/>
        <v>Male</v>
      </c>
      <c r="C3049" s="8">
        <v>55</v>
      </c>
      <c r="D3049" t="str">
        <f t="shared" si="286"/>
        <v>Senior</v>
      </c>
      <c r="E3049">
        <v>1</v>
      </c>
      <c r="F3049" t="str">
        <f>HLOOKUP(E3049, LookUP_Table!$A$6:$D$7, 2, FALSE)</f>
        <v>Primary</v>
      </c>
      <c r="G3049" t="str">
        <f>IFERROR(VLOOKUP(E3049, LookUP_Table!$A$1:$B$4, 2, FALSE), "")</f>
        <v>Primary</v>
      </c>
      <c r="H3049">
        <v>0</v>
      </c>
      <c r="I3049">
        <v>0</v>
      </c>
      <c r="J3049" t="str">
        <f t="shared" si="282"/>
        <v>Non-Smoker</v>
      </c>
      <c r="K3049">
        <v>0</v>
      </c>
      <c r="L3049">
        <v>0</v>
      </c>
      <c r="M3049">
        <v>0</v>
      </c>
      <c r="N3049">
        <v>0</v>
      </c>
      <c r="O3049">
        <v>237</v>
      </c>
      <c r="P3049" t="str">
        <f t="shared" si="283"/>
        <v>Normal</v>
      </c>
      <c r="Q3049">
        <v>124</v>
      </c>
      <c r="R3049">
        <v>84</v>
      </c>
      <c r="S3049">
        <v>28.18</v>
      </c>
      <c r="T3049" t="str">
        <f t="shared" si="284"/>
        <v>Overweight</v>
      </c>
      <c r="U3049">
        <v>63</v>
      </c>
      <c r="V3049">
        <v>97</v>
      </c>
      <c r="W3049" t="str">
        <f t="shared" si="287"/>
        <v>Normal</v>
      </c>
      <c r="X3049">
        <v>0</v>
      </c>
    </row>
    <row r="3050" spans="1:24" ht="14.5" thickBot="1" x14ac:dyDescent="0.35">
      <c r="A3050">
        <v>0</v>
      </c>
      <c r="B3050" t="str">
        <f t="shared" si="285"/>
        <v>Female</v>
      </c>
      <c r="C3050" s="8">
        <v>55</v>
      </c>
      <c r="D3050" t="str">
        <f t="shared" si="286"/>
        <v>Senior</v>
      </c>
      <c r="E3050">
        <v>1</v>
      </c>
      <c r="F3050" t="str">
        <f>HLOOKUP(E3050, LookUP_Table!$A$6:$D$7, 2, FALSE)</f>
        <v>Primary</v>
      </c>
      <c r="G3050" t="str">
        <f>IFERROR(VLOOKUP(E3050, LookUP_Table!$A$1:$B$4, 2, FALSE), "")</f>
        <v>Primary</v>
      </c>
      <c r="H3050">
        <v>1</v>
      </c>
      <c r="I3050">
        <v>9</v>
      </c>
      <c r="J3050" t="str">
        <f t="shared" si="282"/>
        <v>Smoker</v>
      </c>
      <c r="K3050">
        <v>0</v>
      </c>
      <c r="L3050">
        <v>0</v>
      </c>
      <c r="M3050">
        <v>1</v>
      </c>
      <c r="N3050">
        <v>0</v>
      </c>
      <c r="O3050">
        <v>244</v>
      </c>
      <c r="P3050" t="str">
        <f t="shared" si="283"/>
        <v>High</v>
      </c>
      <c r="Q3050">
        <v>145.5</v>
      </c>
      <c r="R3050">
        <v>94</v>
      </c>
      <c r="S3050">
        <v>28.86</v>
      </c>
      <c r="T3050" t="str">
        <f t="shared" si="284"/>
        <v>Overweight</v>
      </c>
      <c r="U3050">
        <v>62</v>
      </c>
      <c r="V3050">
        <v>72</v>
      </c>
      <c r="W3050" t="str">
        <f t="shared" si="287"/>
        <v>Normal</v>
      </c>
      <c r="X3050">
        <v>0</v>
      </c>
    </row>
    <row r="3051" spans="1:24" ht="14.5" thickBot="1" x14ac:dyDescent="0.35">
      <c r="A3051">
        <v>0</v>
      </c>
      <c r="B3051" t="str">
        <f t="shared" si="285"/>
        <v>Female</v>
      </c>
      <c r="C3051" s="8">
        <v>55</v>
      </c>
      <c r="D3051" t="str">
        <f t="shared" si="286"/>
        <v>Senior</v>
      </c>
      <c r="E3051">
        <v>3</v>
      </c>
      <c r="F3051" t="str">
        <f>HLOOKUP(E3051, LookUP_Table!$A$6:$D$7, 2, FALSE)</f>
        <v>Graduate</v>
      </c>
      <c r="G3051" t="str">
        <f>IFERROR(VLOOKUP(E3051, LookUP_Table!$A$1:$B$4, 2, FALSE), "")</f>
        <v>Graduate</v>
      </c>
      <c r="H3051">
        <v>0</v>
      </c>
      <c r="I3051">
        <v>0</v>
      </c>
      <c r="J3051" t="str">
        <f t="shared" si="282"/>
        <v>Non-Smoker</v>
      </c>
      <c r="K3051">
        <v>0</v>
      </c>
      <c r="L3051">
        <v>0</v>
      </c>
      <c r="M3051">
        <v>1</v>
      </c>
      <c r="N3051">
        <v>0</v>
      </c>
      <c r="O3051">
        <v>262</v>
      </c>
      <c r="P3051" t="str">
        <f t="shared" si="283"/>
        <v>High</v>
      </c>
      <c r="Q3051">
        <v>122.5</v>
      </c>
      <c r="R3051">
        <v>84</v>
      </c>
      <c r="S3051">
        <v>28.68</v>
      </c>
      <c r="T3051" t="str">
        <f t="shared" si="284"/>
        <v>Overweight</v>
      </c>
      <c r="U3051">
        <v>66</v>
      </c>
      <c r="V3051">
        <v>76</v>
      </c>
      <c r="W3051" t="str">
        <f t="shared" si="287"/>
        <v>Normal</v>
      </c>
      <c r="X3051">
        <v>1</v>
      </c>
    </row>
    <row r="3052" spans="1:24" ht="14.5" thickBot="1" x14ac:dyDescent="0.35">
      <c r="A3052">
        <v>0</v>
      </c>
      <c r="B3052" t="str">
        <f t="shared" si="285"/>
        <v>Female</v>
      </c>
      <c r="C3052" s="8">
        <v>55</v>
      </c>
      <c r="D3052" t="str">
        <f t="shared" si="286"/>
        <v>Senior</v>
      </c>
      <c r="E3052">
        <v>1</v>
      </c>
      <c r="F3052" t="str">
        <f>HLOOKUP(E3052, LookUP_Table!$A$6:$D$7, 2, FALSE)</f>
        <v>Primary</v>
      </c>
      <c r="G3052" t="str">
        <f>IFERROR(VLOOKUP(E3052, LookUP_Table!$A$1:$B$4, 2, FALSE), "")</f>
        <v>Primary</v>
      </c>
      <c r="H3052">
        <v>0</v>
      </c>
      <c r="I3052">
        <v>0</v>
      </c>
      <c r="J3052" t="str">
        <f t="shared" si="282"/>
        <v>Non-Smoker</v>
      </c>
      <c r="K3052">
        <v>0</v>
      </c>
      <c r="L3052">
        <v>0</v>
      </c>
      <c r="M3052">
        <v>0</v>
      </c>
      <c r="N3052">
        <v>0</v>
      </c>
      <c r="O3052">
        <v>204</v>
      </c>
      <c r="P3052" t="str">
        <f t="shared" si="283"/>
        <v>Normal</v>
      </c>
      <c r="Q3052">
        <v>100.5</v>
      </c>
      <c r="R3052">
        <v>62</v>
      </c>
      <c r="S3052">
        <v>29.44</v>
      </c>
      <c r="T3052" t="str">
        <f t="shared" si="284"/>
        <v>Overweight</v>
      </c>
      <c r="U3052">
        <v>82</v>
      </c>
      <c r="V3052">
        <v>88</v>
      </c>
      <c r="W3052" t="str">
        <f t="shared" si="287"/>
        <v>Normal</v>
      </c>
      <c r="X3052">
        <v>0</v>
      </c>
    </row>
    <row r="3053" spans="1:24" ht="14.5" thickBot="1" x14ac:dyDescent="0.35">
      <c r="A3053">
        <v>1</v>
      </c>
      <c r="B3053" t="str">
        <f t="shared" si="285"/>
        <v>Male</v>
      </c>
      <c r="C3053" s="8">
        <v>55</v>
      </c>
      <c r="D3053" t="str">
        <f t="shared" si="286"/>
        <v>Senior</v>
      </c>
      <c r="E3053">
        <v>4</v>
      </c>
      <c r="F3053" t="str">
        <f>HLOOKUP(E3053, LookUP_Table!$A$6:$D$7, 2, FALSE)</f>
        <v>Post Graduate</v>
      </c>
      <c r="G3053" t="str">
        <f>IFERROR(VLOOKUP(E3053, LookUP_Table!$A$1:$B$4, 2, FALSE), "")</f>
        <v>Post Graduate</v>
      </c>
      <c r="H3053">
        <v>0</v>
      </c>
      <c r="I3053">
        <v>0</v>
      </c>
      <c r="J3053" t="str">
        <f t="shared" si="282"/>
        <v>Non-Smoker</v>
      </c>
      <c r="K3053">
        <v>0</v>
      </c>
      <c r="L3053">
        <v>0</v>
      </c>
      <c r="M3053">
        <v>0</v>
      </c>
      <c r="N3053">
        <v>0</v>
      </c>
      <c r="O3053">
        <v>232</v>
      </c>
      <c r="P3053" t="str">
        <f t="shared" si="283"/>
        <v>Normal</v>
      </c>
      <c r="Q3053">
        <v>132.5</v>
      </c>
      <c r="R3053">
        <v>87</v>
      </c>
      <c r="S3053">
        <v>20.72</v>
      </c>
      <c r="T3053" t="str">
        <f t="shared" si="284"/>
        <v>Normal</v>
      </c>
      <c r="U3053">
        <v>72</v>
      </c>
      <c r="V3053">
        <v>71</v>
      </c>
      <c r="W3053" t="str">
        <f t="shared" si="287"/>
        <v>Normal</v>
      </c>
      <c r="X3053">
        <v>0</v>
      </c>
    </row>
    <row r="3054" spans="1:24" ht="14.5" thickBot="1" x14ac:dyDescent="0.35">
      <c r="A3054">
        <v>0</v>
      </c>
      <c r="B3054" t="str">
        <f t="shared" si="285"/>
        <v>Female</v>
      </c>
      <c r="C3054" s="8">
        <v>55</v>
      </c>
      <c r="D3054" t="str">
        <f t="shared" si="286"/>
        <v>Senior</v>
      </c>
      <c r="E3054">
        <v>4</v>
      </c>
      <c r="F3054" t="str">
        <f>HLOOKUP(E3054, LookUP_Table!$A$6:$D$7, 2, FALSE)</f>
        <v>Post Graduate</v>
      </c>
      <c r="G3054" t="str">
        <f>IFERROR(VLOOKUP(E3054, LookUP_Table!$A$1:$B$4, 2, FALSE), "")</f>
        <v>Post Graduate</v>
      </c>
      <c r="H3054">
        <v>0</v>
      </c>
      <c r="I3054">
        <v>0</v>
      </c>
      <c r="J3054" t="str">
        <f t="shared" si="282"/>
        <v>Non-Smoker</v>
      </c>
      <c r="K3054">
        <v>0</v>
      </c>
      <c r="L3054">
        <v>0</v>
      </c>
      <c r="M3054">
        <v>1</v>
      </c>
      <c r="N3054">
        <v>0</v>
      </c>
      <c r="O3054">
        <v>260</v>
      </c>
      <c r="P3054" t="str">
        <f t="shared" si="283"/>
        <v>High</v>
      </c>
      <c r="Q3054">
        <v>172.5</v>
      </c>
      <c r="R3054">
        <v>100.5</v>
      </c>
      <c r="S3054">
        <v>32.270000000000003</v>
      </c>
      <c r="T3054" t="str">
        <f t="shared" si="284"/>
        <v>Obese</v>
      </c>
      <c r="U3054">
        <v>58</v>
      </c>
      <c r="V3054">
        <v>72</v>
      </c>
      <c r="W3054" t="str">
        <f t="shared" si="287"/>
        <v>Normal</v>
      </c>
      <c r="X3054">
        <v>1</v>
      </c>
    </row>
    <row r="3055" spans="1:24" ht="14.5" thickBot="1" x14ac:dyDescent="0.35">
      <c r="A3055">
        <v>1</v>
      </c>
      <c r="B3055" t="str">
        <f t="shared" si="285"/>
        <v>Male</v>
      </c>
      <c r="C3055" s="8">
        <v>55</v>
      </c>
      <c r="D3055" t="str">
        <f t="shared" si="286"/>
        <v>Senior</v>
      </c>
      <c r="E3055">
        <v>1</v>
      </c>
      <c r="F3055" t="str">
        <f>HLOOKUP(E3055, LookUP_Table!$A$6:$D$7, 2, FALSE)</f>
        <v>Primary</v>
      </c>
      <c r="G3055" t="str">
        <f>IFERROR(VLOOKUP(E3055, LookUP_Table!$A$1:$B$4, 2, FALSE), "")</f>
        <v>Primary</v>
      </c>
      <c r="H3055">
        <v>0</v>
      </c>
      <c r="I3055">
        <v>0</v>
      </c>
      <c r="J3055" t="str">
        <f t="shared" si="282"/>
        <v>Non-Smoker</v>
      </c>
      <c r="K3055">
        <v>0</v>
      </c>
      <c r="L3055">
        <v>0</v>
      </c>
      <c r="M3055">
        <v>0</v>
      </c>
      <c r="N3055">
        <v>0</v>
      </c>
      <c r="O3055">
        <v>199</v>
      </c>
      <c r="P3055" t="str">
        <f t="shared" si="283"/>
        <v>Normal</v>
      </c>
      <c r="Q3055">
        <v>134</v>
      </c>
      <c r="R3055">
        <v>80</v>
      </c>
      <c r="S3055">
        <v>26.41</v>
      </c>
      <c r="T3055" t="str">
        <f t="shared" si="284"/>
        <v>Overweight</v>
      </c>
      <c r="U3055">
        <v>120</v>
      </c>
      <c r="V3055">
        <v>81.96365524402907</v>
      </c>
      <c r="W3055" t="str">
        <f t="shared" si="287"/>
        <v>Normal</v>
      </c>
      <c r="X3055">
        <v>0</v>
      </c>
    </row>
    <row r="3056" spans="1:24" ht="14.5" thickBot="1" x14ac:dyDescent="0.35">
      <c r="A3056">
        <v>1</v>
      </c>
      <c r="B3056" t="str">
        <f t="shared" si="285"/>
        <v>Male</v>
      </c>
      <c r="C3056" s="8">
        <v>55</v>
      </c>
      <c r="D3056" t="str">
        <f t="shared" si="286"/>
        <v>Senior</v>
      </c>
      <c r="E3056">
        <v>1</v>
      </c>
      <c r="F3056" t="str">
        <f>HLOOKUP(E3056, LookUP_Table!$A$6:$D$7, 2, FALSE)</f>
        <v>Primary</v>
      </c>
      <c r="G3056" t="str">
        <f>IFERROR(VLOOKUP(E3056, LookUP_Table!$A$1:$B$4, 2, FALSE), "")</f>
        <v>Primary</v>
      </c>
      <c r="H3056">
        <v>1</v>
      </c>
      <c r="I3056">
        <v>20</v>
      </c>
      <c r="J3056" t="str">
        <f t="shared" si="282"/>
        <v>Smoker</v>
      </c>
      <c r="K3056">
        <v>0</v>
      </c>
      <c r="L3056">
        <v>0</v>
      </c>
      <c r="M3056">
        <v>0</v>
      </c>
      <c r="N3056">
        <v>0</v>
      </c>
      <c r="O3056">
        <v>243</v>
      </c>
      <c r="P3056" t="str">
        <f t="shared" si="283"/>
        <v>High</v>
      </c>
      <c r="Q3056">
        <v>116</v>
      </c>
      <c r="R3056">
        <v>72</v>
      </c>
      <c r="S3056">
        <v>24.73</v>
      </c>
      <c r="T3056" t="str">
        <f t="shared" si="284"/>
        <v>Normal</v>
      </c>
      <c r="U3056">
        <v>95</v>
      </c>
      <c r="V3056">
        <v>72</v>
      </c>
      <c r="W3056" t="str">
        <f t="shared" si="287"/>
        <v>Normal</v>
      </c>
      <c r="X3056">
        <v>0</v>
      </c>
    </row>
    <row r="3057" spans="1:24" ht="14.5" thickBot="1" x14ac:dyDescent="0.35">
      <c r="A3057">
        <v>0</v>
      </c>
      <c r="B3057" t="str">
        <f t="shared" si="285"/>
        <v>Female</v>
      </c>
      <c r="C3057" s="8">
        <v>55</v>
      </c>
      <c r="D3057" t="str">
        <f t="shared" si="286"/>
        <v>Senior</v>
      </c>
      <c r="E3057">
        <v>3</v>
      </c>
      <c r="F3057" t="str">
        <f>HLOOKUP(E3057, LookUP_Table!$A$6:$D$7, 2, FALSE)</f>
        <v>Graduate</v>
      </c>
      <c r="G3057" t="str">
        <f>IFERROR(VLOOKUP(E3057, LookUP_Table!$A$1:$B$4, 2, FALSE), "")</f>
        <v>Graduate</v>
      </c>
      <c r="H3057">
        <v>0</v>
      </c>
      <c r="I3057">
        <v>0</v>
      </c>
      <c r="J3057" t="str">
        <f t="shared" si="282"/>
        <v>Non-Smoker</v>
      </c>
      <c r="K3057">
        <v>0</v>
      </c>
      <c r="L3057">
        <v>0</v>
      </c>
      <c r="M3057">
        <v>1</v>
      </c>
      <c r="N3057">
        <v>0</v>
      </c>
      <c r="O3057">
        <v>237</v>
      </c>
      <c r="P3057" t="str">
        <f t="shared" si="283"/>
        <v>Normal</v>
      </c>
      <c r="Q3057">
        <v>153</v>
      </c>
      <c r="R3057">
        <v>80</v>
      </c>
      <c r="S3057">
        <v>28.9</v>
      </c>
      <c r="T3057" t="str">
        <f t="shared" si="284"/>
        <v>Overweight</v>
      </c>
      <c r="U3057">
        <v>74</v>
      </c>
      <c r="V3057">
        <v>72</v>
      </c>
      <c r="W3057" t="str">
        <f t="shared" si="287"/>
        <v>Normal</v>
      </c>
      <c r="X3057">
        <v>0</v>
      </c>
    </row>
    <row r="3058" spans="1:24" ht="14.5" thickBot="1" x14ac:dyDescent="0.35">
      <c r="A3058">
        <v>0</v>
      </c>
      <c r="B3058" t="str">
        <f t="shared" si="285"/>
        <v>Female</v>
      </c>
      <c r="C3058" s="8">
        <v>55</v>
      </c>
      <c r="D3058" t="str">
        <f t="shared" si="286"/>
        <v>Senior</v>
      </c>
      <c r="E3058">
        <v>1</v>
      </c>
      <c r="F3058" t="str">
        <f>HLOOKUP(E3058, LookUP_Table!$A$6:$D$7, 2, FALSE)</f>
        <v>Primary</v>
      </c>
      <c r="G3058" t="str">
        <f>IFERROR(VLOOKUP(E3058, LookUP_Table!$A$1:$B$4, 2, FALSE), "")</f>
        <v>Primary</v>
      </c>
      <c r="H3058">
        <v>0</v>
      </c>
      <c r="I3058">
        <v>0</v>
      </c>
      <c r="J3058" t="str">
        <f t="shared" si="282"/>
        <v>Non-Smoker</v>
      </c>
      <c r="K3058">
        <v>0</v>
      </c>
      <c r="L3058">
        <v>0</v>
      </c>
      <c r="M3058">
        <v>0</v>
      </c>
      <c r="N3058">
        <v>0</v>
      </c>
      <c r="O3058">
        <v>250</v>
      </c>
      <c r="P3058" t="str">
        <f t="shared" si="283"/>
        <v>High</v>
      </c>
      <c r="Q3058">
        <v>132</v>
      </c>
      <c r="R3058">
        <v>88</v>
      </c>
      <c r="S3058">
        <v>22.62</v>
      </c>
      <c r="T3058" t="str">
        <f t="shared" si="284"/>
        <v>Normal</v>
      </c>
      <c r="U3058">
        <v>78</v>
      </c>
      <c r="V3058">
        <v>70</v>
      </c>
      <c r="W3058" t="str">
        <f t="shared" si="287"/>
        <v>Normal</v>
      </c>
      <c r="X3058">
        <v>0</v>
      </c>
    </row>
    <row r="3059" spans="1:24" ht="14.5" thickBot="1" x14ac:dyDescent="0.35">
      <c r="A3059">
        <v>0</v>
      </c>
      <c r="B3059" t="str">
        <f t="shared" si="285"/>
        <v>Female</v>
      </c>
      <c r="C3059" s="8">
        <v>55</v>
      </c>
      <c r="D3059" t="str">
        <f t="shared" si="286"/>
        <v>Senior</v>
      </c>
      <c r="E3059">
        <v>2</v>
      </c>
      <c r="F3059" t="str">
        <f>HLOOKUP(E3059, LookUP_Table!$A$6:$D$7, 2, FALSE)</f>
        <v>Secondary</v>
      </c>
      <c r="G3059" t="str">
        <f>IFERROR(VLOOKUP(E3059, LookUP_Table!$A$1:$B$4, 2, FALSE), "")</f>
        <v>Secondary</v>
      </c>
      <c r="H3059">
        <v>0</v>
      </c>
      <c r="I3059">
        <v>0</v>
      </c>
      <c r="J3059" t="str">
        <f t="shared" si="282"/>
        <v>Non-Smoker</v>
      </c>
      <c r="K3059">
        <v>0</v>
      </c>
      <c r="L3059">
        <v>0</v>
      </c>
      <c r="M3059">
        <v>0</v>
      </c>
      <c r="N3059">
        <v>0</v>
      </c>
      <c r="O3059">
        <v>273</v>
      </c>
      <c r="P3059" t="str">
        <f t="shared" si="283"/>
        <v>High</v>
      </c>
      <c r="Q3059">
        <v>125</v>
      </c>
      <c r="R3059">
        <v>80</v>
      </c>
      <c r="S3059">
        <v>23.05</v>
      </c>
      <c r="T3059" t="str">
        <f t="shared" si="284"/>
        <v>Normal</v>
      </c>
      <c r="U3059">
        <v>85</v>
      </c>
      <c r="V3059">
        <v>67</v>
      </c>
      <c r="W3059" t="str">
        <f t="shared" si="287"/>
        <v>Normal</v>
      </c>
      <c r="X3059">
        <v>0</v>
      </c>
    </row>
    <row r="3060" spans="1:24" ht="14.5" thickBot="1" x14ac:dyDescent="0.35">
      <c r="A3060">
        <v>0</v>
      </c>
      <c r="B3060" t="str">
        <f t="shared" si="285"/>
        <v>Female</v>
      </c>
      <c r="C3060" s="8">
        <v>55</v>
      </c>
      <c r="D3060" t="str">
        <f t="shared" si="286"/>
        <v>Senior</v>
      </c>
      <c r="E3060">
        <v>2</v>
      </c>
      <c r="F3060" t="str">
        <f>HLOOKUP(E3060, LookUP_Table!$A$6:$D$7, 2, FALSE)</f>
        <v>Secondary</v>
      </c>
      <c r="G3060" t="str">
        <f>IFERROR(VLOOKUP(E3060, LookUP_Table!$A$1:$B$4, 2, FALSE), "")</f>
        <v>Secondary</v>
      </c>
      <c r="H3060">
        <v>0</v>
      </c>
      <c r="I3060">
        <v>0</v>
      </c>
      <c r="J3060" t="str">
        <f t="shared" si="282"/>
        <v>Non-Smoker</v>
      </c>
      <c r="K3060">
        <v>0</v>
      </c>
      <c r="L3060">
        <v>0</v>
      </c>
      <c r="M3060">
        <v>0</v>
      </c>
      <c r="N3060">
        <v>0</v>
      </c>
      <c r="O3060">
        <v>266</v>
      </c>
      <c r="P3060" t="str">
        <f t="shared" si="283"/>
        <v>High</v>
      </c>
      <c r="Q3060">
        <v>131</v>
      </c>
      <c r="R3060">
        <v>76</v>
      </c>
      <c r="S3060">
        <v>26.45</v>
      </c>
      <c r="T3060" t="str">
        <f t="shared" si="284"/>
        <v>Overweight</v>
      </c>
      <c r="U3060">
        <v>72</v>
      </c>
      <c r="V3060">
        <v>84</v>
      </c>
      <c r="W3060" t="str">
        <f t="shared" si="287"/>
        <v>Normal</v>
      </c>
      <c r="X3060">
        <v>0</v>
      </c>
    </row>
    <row r="3061" spans="1:24" ht="14.5" thickBot="1" x14ac:dyDescent="0.35">
      <c r="A3061">
        <v>0</v>
      </c>
      <c r="B3061" t="str">
        <f t="shared" si="285"/>
        <v>Female</v>
      </c>
      <c r="C3061" s="8">
        <v>55</v>
      </c>
      <c r="D3061" t="str">
        <f t="shared" si="286"/>
        <v>Senior</v>
      </c>
      <c r="E3061">
        <v>1</v>
      </c>
      <c r="F3061" t="str">
        <f>HLOOKUP(E3061, LookUP_Table!$A$6:$D$7, 2, FALSE)</f>
        <v>Primary</v>
      </c>
      <c r="G3061" t="str">
        <f>IFERROR(VLOOKUP(E3061, LookUP_Table!$A$1:$B$4, 2, FALSE), "")</f>
        <v>Primary</v>
      </c>
      <c r="H3061">
        <v>0</v>
      </c>
      <c r="I3061">
        <v>0</v>
      </c>
      <c r="J3061" t="str">
        <f t="shared" si="282"/>
        <v>Non-Smoker</v>
      </c>
      <c r="K3061">
        <v>0</v>
      </c>
      <c r="L3061">
        <v>0</v>
      </c>
      <c r="M3061">
        <v>1</v>
      </c>
      <c r="N3061">
        <v>0</v>
      </c>
      <c r="O3061">
        <v>268</v>
      </c>
      <c r="P3061" t="str">
        <f t="shared" si="283"/>
        <v>High</v>
      </c>
      <c r="Q3061">
        <v>140</v>
      </c>
      <c r="R3061">
        <v>88</v>
      </c>
      <c r="S3061">
        <v>26.99</v>
      </c>
      <c r="T3061" t="str">
        <f t="shared" si="284"/>
        <v>Overweight</v>
      </c>
      <c r="U3061">
        <v>85</v>
      </c>
      <c r="V3061">
        <v>117</v>
      </c>
      <c r="W3061" t="str">
        <f t="shared" si="287"/>
        <v>Prediabetes</v>
      </c>
      <c r="X3061">
        <v>0</v>
      </c>
    </row>
    <row r="3062" spans="1:24" ht="14.5" thickBot="1" x14ac:dyDescent="0.35">
      <c r="A3062">
        <v>0</v>
      </c>
      <c r="B3062" t="str">
        <f t="shared" si="285"/>
        <v>Female</v>
      </c>
      <c r="C3062" s="8">
        <v>55</v>
      </c>
      <c r="D3062" t="str">
        <f t="shared" si="286"/>
        <v>Senior</v>
      </c>
      <c r="E3062">
        <v>1</v>
      </c>
      <c r="F3062" t="str">
        <f>HLOOKUP(E3062, LookUP_Table!$A$6:$D$7, 2, FALSE)</f>
        <v>Primary</v>
      </c>
      <c r="G3062" t="str">
        <f>IFERROR(VLOOKUP(E3062, LookUP_Table!$A$1:$B$4, 2, FALSE), "")</f>
        <v>Primary</v>
      </c>
      <c r="H3062">
        <v>0</v>
      </c>
      <c r="I3062">
        <v>0</v>
      </c>
      <c r="J3062" t="str">
        <f t="shared" si="282"/>
        <v>Non-Smoker</v>
      </c>
      <c r="K3062">
        <v>0</v>
      </c>
      <c r="L3062">
        <v>0</v>
      </c>
      <c r="M3062">
        <v>0</v>
      </c>
      <c r="N3062">
        <v>0</v>
      </c>
      <c r="O3062">
        <v>266</v>
      </c>
      <c r="P3062" t="str">
        <f t="shared" si="283"/>
        <v>High</v>
      </c>
      <c r="Q3062">
        <v>107</v>
      </c>
      <c r="R3062">
        <v>70</v>
      </c>
      <c r="S3062">
        <v>24.51</v>
      </c>
      <c r="T3062" t="str">
        <f t="shared" si="284"/>
        <v>Normal</v>
      </c>
      <c r="U3062">
        <v>72</v>
      </c>
      <c r="V3062">
        <v>77</v>
      </c>
      <c r="W3062" t="str">
        <f t="shared" si="287"/>
        <v>Normal</v>
      </c>
      <c r="X3062">
        <v>0</v>
      </c>
    </row>
    <row r="3063" spans="1:24" ht="14.5" thickBot="1" x14ac:dyDescent="0.35">
      <c r="A3063">
        <v>1</v>
      </c>
      <c r="B3063" t="str">
        <f t="shared" si="285"/>
        <v>Male</v>
      </c>
      <c r="C3063" s="8">
        <v>55</v>
      </c>
      <c r="D3063" t="str">
        <f t="shared" si="286"/>
        <v>Senior</v>
      </c>
      <c r="E3063">
        <v>1</v>
      </c>
      <c r="F3063" t="str">
        <f>HLOOKUP(E3063, LookUP_Table!$A$6:$D$7, 2, FALSE)</f>
        <v>Primary</v>
      </c>
      <c r="G3063" t="str">
        <f>IFERROR(VLOOKUP(E3063, LookUP_Table!$A$1:$B$4, 2, FALSE), "")</f>
        <v>Primary</v>
      </c>
      <c r="H3063">
        <v>1</v>
      </c>
      <c r="I3063">
        <v>40</v>
      </c>
      <c r="J3063" t="str">
        <f t="shared" si="282"/>
        <v>Smoker</v>
      </c>
      <c r="K3063">
        <v>0</v>
      </c>
      <c r="L3063">
        <v>0</v>
      </c>
      <c r="M3063">
        <v>0</v>
      </c>
      <c r="N3063">
        <v>0</v>
      </c>
      <c r="O3063">
        <v>242</v>
      </c>
      <c r="P3063" t="str">
        <f t="shared" si="283"/>
        <v>High</v>
      </c>
      <c r="Q3063">
        <v>130</v>
      </c>
      <c r="R3063">
        <v>85</v>
      </c>
      <c r="S3063">
        <v>26.79</v>
      </c>
      <c r="T3063" t="str">
        <f t="shared" si="284"/>
        <v>Overweight</v>
      </c>
      <c r="U3063">
        <v>80</v>
      </c>
      <c r="V3063">
        <v>93</v>
      </c>
      <c r="W3063" t="str">
        <f t="shared" si="287"/>
        <v>Normal</v>
      </c>
      <c r="X3063">
        <v>0</v>
      </c>
    </row>
    <row r="3064" spans="1:24" ht="14.5" thickBot="1" x14ac:dyDescent="0.35">
      <c r="A3064">
        <v>1</v>
      </c>
      <c r="B3064" t="str">
        <f t="shared" si="285"/>
        <v>Male</v>
      </c>
      <c r="C3064" s="8">
        <v>55</v>
      </c>
      <c r="D3064" t="str">
        <f t="shared" si="286"/>
        <v>Senior</v>
      </c>
      <c r="E3064">
        <v>2</v>
      </c>
      <c r="F3064" t="str">
        <f>HLOOKUP(E3064, LookUP_Table!$A$6:$D$7, 2, FALSE)</f>
        <v>Secondary</v>
      </c>
      <c r="G3064" t="str">
        <f>IFERROR(VLOOKUP(E3064, LookUP_Table!$A$1:$B$4, 2, FALSE), "")</f>
        <v>Secondary</v>
      </c>
      <c r="H3064">
        <v>0</v>
      </c>
      <c r="I3064">
        <v>0</v>
      </c>
      <c r="J3064" t="str">
        <f t="shared" si="282"/>
        <v>Non-Smoker</v>
      </c>
      <c r="K3064">
        <v>0</v>
      </c>
      <c r="L3064">
        <v>0</v>
      </c>
      <c r="M3064">
        <v>1</v>
      </c>
      <c r="N3064">
        <v>0</v>
      </c>
      <c r="O3064">
        <v>198</v>
      </c>
      <c r="P3064" t="str">
        <f t="shared" si="283"/>
        <v>Normal</v>
      </c>
      <c r="Q3064">
        <v>176</v>
      </c>
      <c r="R3064">
        <v>109</v>
      </c>
      <c r="S3064">
        <v>28.45</v>
      </c>
      <c r="T3064" t="str">
        <f t="shared" si="284"/>
        <v>Overweight</v>
      </c>
      <c r="U3064">
        <v>60</v>
      </c>
      <c r="V3064">
        <v>85</v>
      </c>
      <c r="W3064" t="str">
        <f t="shared" si="287"/>
        <v>Normal</v>
      </c>
      <c r="X3064">
        <v>0</v>
      </c>
    </row>
    <row r="3065" spans="1:24" ht="14.5" thickBot="1" x14ac:dyDescent="0.35">
      <c r="A3065">
        <v>0</v>
      </c>
      <c r="B3065" t="str">
        <f t="shared" si="285"/>
        <v>Female</v>
      </c>
      <c r="C3065" s="8">
        <v>55</v>
      </c>
      <c r="D3065" t="str">
        <f t="shared" si="286"/>
        <v>Senior</v>
      </c>
      <c r="E3065">
        <v>1</v>
      </c>
      <c r="F3065" t="str">
        <f>HLOOKUP(E3065, LookUP_Table!$A$6:$D$7, 2, FALSE)</f>
        <v>Primary</v>
      </c>
      <c r="G3065" t="str">
        <f>IFERROR(VLOOKUP(E3065, LookUP_Table!$A$1:$B$4, 2, FALSE), "")</f>
        <v>Primary</v>
      </c>
      <c r="H3065">
        <v>0</v>
      </c>
      <c r="I3065">
        <v>0</v>
      </c>
      <c r="J3065" t="str">
        <f t="shared" si="282"/>
        <v>Non-Smoker</v>
      </c>
      <c r="K3065">
        <v>0</v>
      </c>
      <c r="L3065">
        <v>0</v>
      </c>
      <c r="M3065">
        <v>0</v>
      </c>
      <c r="N3065">
        <v>0</v>
      </c>
      <c r="O3065">
        <v>195</v>
      </c>
      <c r="P3065" t="str">
        <f t="shared" si="283"/>
        <v>Normal</v>
      </c>
      <c r="Q3065">
        <v>133.5</v>
      </c>
      <c r="R3065">
        <v>81.5</v>
      </c>
      <c r="S3065">
        <v>23.46</v>
      </c>
      <c r="T3065" t="str">
        <f t="shared" si="284"/>
        <v>Normal</v>
      </c>
      <c r="U3065">
        <v>90</v>
      </c>
      <c r="V3065">
        <v>81.96365524402907</v>
      </c>
      <c r="W3065" t="str">
        <f t="shared" si="287"/>
        <v>Normal</v>
      </c>
      <c r="X3065">
        <v>1</v>
      </c>
    </row>
    <row r="3066" spans="1:24" ht="14.5" thickBot="1" x14ac:dyDescent="0.35">
      <c r="A3066">
        <v>0</v>
      </c>
      <c r="B3066" t="str">
        <f t="shared" si="285"/>
        <v>Female</v>
      </c>
      <c r="C3066" s="8">
        <v>55</v>
      </c>
      <c r="D3066" t="str">
        <f t="shared" si="286"/>
        <v>Senior</v>
      </c>
      <c r="E3066">
        <v>1</v>
      </c>
      <c r="F3066" t="str">
        <f>HLOOKUP(E3066, LookUP_Table!$A$6:$D$7, 2, FALSE)</f>
        <v>Primary</v>
      </c>
      <c r="G3066" t="str">
        <f>IFERROR(VLOOKUP(E3066, LookUP_Table!$A$1:$B$4, 2, FALSE), "")</f>
        <v>Primary</v>
      </c>
      <c r="H3066">
        <v>0</v>
      </c>
      <c r="I3066">
        <v>0</v>
      </c>
      <c r="J3066" t="str">
        <f t="shared" si="282"/>
        <v>Non-Smoker</v>
      </c>
      <c r="K3066">
        <v>0</v>
      </c>
      <c r="L3066">
        <v>0</v>
      </c>
      <c r="M3066">
        <v>0</v>
      </c>
      <c r="N3066">
        <v>0</v>
      </c>
      <c r="O3066">
        <v>240</v>
      </c>
      <c r="P3066" t="str">
        <f t="shared" si="283"/>
        <v>Normal</v>
      </c>
      <c r="Q3066">
        <v>145</v>
      </c>
      <c r="R3066">
        <v>96</v>
      </c>
      <c r="S3066">
        <v>26.27</v>
      </c>
      <c r="T3066" t="str">
        <f t="shared" si="284"/>
        <v>Overweight</v>
      </c>
      <c r="U3066">
        <v>72</v>
      </c>
      <c r="V3066">
        <v>81.96365524402907</v>
      </c>
      <c r="W3066" t="str">
        <f t="shared" si="287"/>
        <v>Normal</v>
      </c>
      <c r="X3066">
        <v>0</v>
      </c>
    </row>
    <row r="3067" spans="1:24" ht="14.5" thickBot="1" x14ac:dyDescent="0.35">
      <c r="A3067">
        <v>1</v>
      </c>
      <c r="B3067" t="str">
        <f t="shared" si="285"/>
        <v>Male</v>
      </c>
      <c r="C3067" s="8">
        <v>55</v>
      </c>
      <c r="D3067" t="str">
        <f t="shared" si="286"/>
        <v>Senior</v>
      </c>
      <c r="E3067">
        <v>1</v>
      </c>
      <c r="F3067" t="str">
        <f>HLOOKUP(E3067, LookUP_Table!$A$6:$D$7, 2, FALSE)</f>
        <v>Primary</v>
      </c>
      <c r="G3067" t="str">
        <f>IFERROR(VLOOKUP(E3067, LookUP_Table!$A$1:$B$4, 2, FALSE), "")</f>
        <v>Primary</v>
      </c>
      <c r="H3067">
        <v>0</v>
      </c>
      <c r="I3067">
        <v>0</v>
      </c>
      <c r="J3067" t="str">
        <f t="shared" si="282"/>
        <v>Non-Smoker</v>
      </c>
      <c r="K3067">
        <v>0</v>
      </c>
      <c r="L3067">
        <v>0</v>
      </c>
      <c r="M3067">
        <v>0</v>
      </c>
      <c r="N3067">
        <v>0</v>
      </c>
      <c r="O3067">
        <v>231</v>
      </c>
      <c r="P3067" t="str">
        <f t="shared" si="283"/>
        <v>Normal</v>
      </c>
      <c r="Q3067">
        <v>105</v>
      </c>
      <c r="R3067">
        <v>82</v>
      </c>
      <c r="S3067">
        <v>27.73</v>
      </c>
      <c r="T3067" t="str">
        <f t="shared" si="284"/>
        <v>Overweight</v>
      </c>
      <c r="U3067">
        <v>75</v>
      </c>
      <c r="V3067">
        <v>66</v>
      </c>
      <c r="W3067" t="str">
        <f t="shared" si="287"/>
        <v>Normal</v>
      </c>
      <c r="X3067">
        <v>0</v>
      </c>
    </row>
    <row r="3068" spans="1:24" ht="14.5" thickBot="1" x14ac:dyDescent="0.35">
      <c r="A3068">
        <v>1</v>
      </c>
      <c r="B3068" t="str">
        <f t="shared" si="285"/>
        <v>Male</v>
      </c>
      <c r="C3068" s="8">
        <v>55</v>
      </c>
      <c r="D3068" t="str">
        <f t="shared" si="286"/>
        <v>Senior</v>
      </c>
      <c r="E3068">
        <v>1</v>
      </c>
      <c r="F3068" t="str">
        <f>HLOOKUP(E3068, LookUP_Table!$A$6:$D$7, 2, FALSE)</f>
        <v>Primary</v>
      </c>
      <c r="G3068" t="str">
        <f>IFERROR(VLOOKUP(E3068, LookUP_Table!$A$1:$B$4, 2, FALSE), "")</f>
        <v>Primary</v>
      </c>
      <c r="H3068">
        <v>1</v>
      </c>
      <c r="I3068">
        <v>30</v>
      </c>
      <c r="J3068" t="str">
        <f t="shared" si="282"/>
        <v>Smoker</v>
      </c>
      <c r="K3068">
        <v>0</v>
      </c>
      <c r="L3068">
        <v>0</v>
      </c>
      <c r="M3068">
        <v>1</v>
      </c>
      <c r="N3068">
        <v>0</v>
      </c>
      <c r="O3068">
        <v>239</v>
      </c>
      <c r="P3068" t="str">
        <f t="shared" si="283"/>
        <v>Normal</v>
      </c>
      <c r="Q3068">
        <v>144</v>
      </c>
      <c r="R3068">
        <v>96.5</v>
      </c>
      <c r="S3068">
        <v>28.82</v>
      </c>
      <c r="T3068" t="str">
        <f t="shared" si="284"/>
        <v>Overweight</v>
      </c>
      <c r="U3068">
        <v>70</v>
      </c>
      <c r="V3068">
        <v>102</v>
      </c>
      <c r="W3068" t="str">
        <f t="shared" si="287"/>
        <v>Prediabetes</v>
      </c>
      <c r="X3068">
        <v>0</v>
      </c>
    </row>
    <row r="3069" spans="1:24" ht="14.5" thickBot="1" x14ac:dyDescent="0.35">
      <c r="A3069">
        <v>0</v>
      </c>
      <c r="B3069" t="str">
        <f t="shared" si="285"/>
        <v>Female</v>
      </c>
      <c r="C3069" s="8">
        <v>55</v>
      </c>
      <c r="D3069" t="str">
        <f t="shared" si="286"/>
        <v>Senior</v>
      </c>
      <c r="E3069">
        <v>2</v>
      </c>
      <c r="F3069" t="str">
        <f>HLOOKUP(E3069, LookUP_Table!$A$6:$D$7, 2, FALSE)</f>
        <v>Secondary</v>
      </c>
      <c r="G3069" t="str">
        <f>IFERROR(VLOOKUP(E3069, LookUP_Table!$A$1:$B$4, 2, FALSE), "")</f>
        <v>Secondary</v>
      </c>
      <c r="H3069">
        <v>0</v>
      </c>
      <c r="I3069">
        <v>0</v>
      </c>
      <c r="J3069" t="str">
        <f t="shared" si="282"/>
        <v>Non-Smoker</v>
      </c>
      <c r="K3069">
        <v>0</v>
      </c>
      <c r="L3069">
        <v>0</v>
      </c>
      <c r="M3069">
        <v>1</v>
      </c>
      <c r="N3069">
        <v>0</v>
      </c>
      <c r="O3069">
        <v>198</v>
      </c>
      <c r="P3069" t="str">
        <f t="shared" si="283"/>
        <v>Normal</v>
      </c>
      <c r="Q3069">
        <v>136</v>
      </c>
      <c r="R3069">
        <v>93</v>
      </c>
      <c r="S3069">
        <v>22.54</v>
      </c>
      <c r="T3069" t="str">
        <f t="shared" si="284"/>
        <v>Normal</v>
      </c>
      <c r="U3069">
        <v>85</v>
      </c>
      <c r="V3069">
        <v>83</v>
      </c>
      <c r="W3069" t="str">
        <f t="shared" si="287"/>
        <v>Normal</v>
      </c>
      <c r="X3069">
        <v>0</v>
      </c>
    </row>
    <row r="3070" spans="1:24" ht="14.5" thickBot="1" x14ac:dyDescent="0.35">
      <c r="A3070">
        <v>1</v>
      </c>
      <c r="B3070" t="str">
        <f t="shared" si="285"/>
        <v>Male</v>
      </c>
      <c r="C3070" s="8">
        <v>56</v>
      </c>
      <c r="D3070" t="str">
        <f t="shared" si="286"/>
        <v>Senior</v>
      </c>
      <c r="E3070">
        <v>1</v>
      </c>
      <c r="F3070" t="str">
        <f>HLOOKUP(E3070, LookUP_Table!$A$6:$D$7, 2, FALSE)</f>
        <v>Primary</v>
      </c>
      <c r="G3070" t="str">
        <f>IFERROR(VLOOKUP(E3070, LookUP_Table!$A$1:$B$4, 2, FALSE), "")</f>
        <v>Primary</v>
      </c>
      <c r="H3070">
        <v>0</v>
      </c>
      <c r="I3070">
        <v>0</v>
      </c>
      <c r="J3070" t="str">
        <f t="shared" si="282"/>
        <v>Non-Smoker</v>
      </c>
      <c r="K3070">
        <v>0</v>
      </c>
      <c r="L3070">
        <v>0</v>
      </c>
      <c r="M3070">
        <v>0</v>
      </c>
      <c r="N3070">
        <v>0</v>
      </c>
      <c r="O3070">
        <v>257</v>
      </c>
      <c r="P3070" t="str">
        <f t="shared" si="283"/>
        <v>High</v>
      </c>
      <c r="Q3070">
        <v>153.5</v>
      </c>
      <c r="R3070">
        <v>102</v>
      </c>
      <c r="S3070">
        <v>28.09</v>
      </c>
      <c r="T3070" t="str">
        <f t="shared" si="284"/>
        <v>Overweight</v>
      </c>
      <c r="U3070">
        <v>72</v>
      </c>
      <c r="V3070">
        <v>75</v>
      </c>
      <c r="W3070" t="str">
        <f t="shared" si="287"/>
        <v>Normal</v>
      </c>
      <c r="X3070">
        <v>0</v>
      </c>
    </row>
    <row r="3071" spans="1:24" ht="14.5" thickBot="1" x14ac:dyDescent="0.35">
      <c r="A3071">
        <v>1</v>
      </c>
      <c r="B3071" t="str">
        <f t="shared" si="285"/>
        <v>Male</v>
      </c>
      <c r="C3071" s="8">
        <v>56</v>
      </c>
      <c r="D3071" t="str">
        <f t="shared" si="286"/>
        <v>Senior</v>
      </c>
      <c r="E3071">
        <v>4</v>
      </c>
      <c r="F3071" t="str">
        <f>HLOOKUP(E3071, LookUP_Table!$A$6:$D$7, 2, FALSE)</f>
        <v>Post Graduate</v>
      </c>
      <c r="G3071" t="str">
        <f>IFERROR(VLOOKUP(E3071, LookUP_Table!$A$1:$B$4, 2, FALSE), "")</f>
        <v>Post Graduate</v>
      </c>
      <c r="H3071">
        <v>1</v>
      </c>
      <c r="I3071">
        <v>20</v>
      </c>
      <c r="J3071" t="str">
        <f t="shared" si="282"/>
        <v>Smoker</v>
      </c>
      <c r="K3071">
        <v>0</v>
      </c>
      <c r="L3071">
        <v>0</v>
      </c>
      <c r="M3071">
        <v>0</v>
      </c>
      <c r="N3071">
        <v>0</v>
      </c>
      <c r="O3071">
        <v>270</v>
      </c>
      <c r="P3071" t="str">
        <f t="shared" si="283"/>
        <v>High</v>
      </c>
      <c r="Q3071">
        <v>121</v>
      </c>
      <c r="R3071">
        <v>79</v>
      </c>
      <c r="S3071">
        <v>23.58</v>
      </c>
      <c r="T3071" t="str">
        <f t="shared" si="284"/>
        <v>Normal</v>
      </c>
      <c r="U3071">
        <v>95</v>
      </c>
      <c r="V3071">
        <v>93</v>
      </c>
      <c r="W3071" t="str">
        <f t="shared" si="287"/>
        <v>Normal</v>
      </c>
      <c r="X3071">
        <v>0</v>
      </c>
    </row>
    <row r="3072" spans="1:24" ht="14.5" thickBot="1" x14ac:dyDescent="0.35">
      <c r="A3072">
        <v>0</v>
      </c>
      <c r="B3072" t="str">
        <f t="shared" si="285"/>
        <v>Female</v>
      </c>
      <c r="C3072" s="8">
        <v>56</v>
      </c>
      <c r="D3072" t="str">
        <f t="shared" si="286"/>
        <v>Senior</v>
      </c>
      <c r="E3072">
        <v>1</v>
      </c>
      <c r="F3072" t="str">
        <f>HLOOKUP(E3072, LookUP_Table!$A$6:$D$7, 2, FALSE)</f>
        <v>Primary</v>
      </c>
      <c r="G3072" t="str">
        <f>IFERROR(VLOOKUP(E3072, LookUP_Table!$A$1:$B$4, 2, FALSE), "")</f>
        <v>Primary</v>
      </c>
      <c r="H3072">
        <v>0</v>
      </c>
      <c r="I3072">
        <v>0</v>
      </c>
      <c r="J3072" t="str">
        <f t="shared" si="282"/>
        <v>Non-Smoker</v>
      </c>
      <c r="K3072">
        <v>0</v>
      </c>
      <c r="L3072">
        <v>0</v>
      </c>
      <c r="M3072">
        <v>1</v>
      </c>
      <c r="N3072">
        <v>0</v>
      </c>
      <c r="O3072">
        <v>296</v>
      </c>
      <c r="P3072" t="str">
        <f t="shared" si="283"/>
        <v>High</v>
      </c>
      <c r="Q3072">
        <v>180</v>
      </c>
      <c r="R3072">
        <v>90</v>
      </c>
      <c r="S3072">
        <v>23.72</v>
      </c>
      <c r="T3072" t="str">
        <f t="shared" si="284"/>
        <v>Normal</v>
      </c>
      <c r="U3072">
        <v>75</v>
      </c>
      <c r="V3072">
        <v>120</v>
      </c>
      <c r="W3072" t="str">
        <f t="shared" si="287"/>
        <v>Prediabetes</v>
      </c>
      <c r="X3072">
        <v>0</v>
      </c>
    </row>
    <row r="3073" spans="1:24" ht="14.5" thickBot="1" x14ac:dyDescent="0.35">
      <c r="A3073">
        <v>0</v>
      </c>
      <c r="B3073" t="str">
        <f t="shared" si="285"/>
        <v>Female</v>
      </c>
      <c r="C3073" s="8">
        <v>56</v>
      </c>
      <c r="D3073" t="str">
        <f t="shared" si="286"/>
        <v>Senior</v>
      </c>
      <c r="E3073">
        <v>1</v>
      </c>
      <c r="F3073" t="str">
        <f>HLOOKUP(E3073, LookUP_Table!$A$6:$D$7, 2, FALSE)</f>
        <v>Primary</v>
      </c>
      <c r="G3073" t="str">
        <f>IFERROR(VLOOKUP(E3073, LookUP_Table!$A$1:$B$4, 2, FALSE), "")</f>
        <v>Primary</v>
      </c>
      <c r="H3073">
        <v>1</v>
      </c>
      <c r="I3073">
        <v>15</v>
      </c>
      <c r="J3073" t="str">
        <f t="shared" si="282"/>
        <v>Smoker</v>
      </c>
      <c r="K3073">
        <v>0</v>
      </c>
      <c r="L3073">
        <v>0</v>
      </c>
      <c r="M3073">
        <v>0</v>
      </c>
      <c r="N3073">
        <v>0</v>
      </c>
      <c r="O3073">
        <v>269</v>
      </c>
      <c r="P3073" t="str">
        <f t="shared" si="283"/>
        <v>High</v>
      </c>
      <c r="Q3073">
        <v>121</v>
      </c>
      <c r="R3073">
        <v>75</v>
      </c>
      <c r="S3073">
        <v>22.36</v>
      </c>
      <c r="T3073" t="str">
        <f t="shared" si="284"/>
        <v>Normal</v>
      </c>
      <c r="U3073">
        <v>50</v>
      </c>
      <c r="V3073">
        <v>66</v>
      </c>
      <c r="W3073" t="str">
        <f t="shared" si="287"/>
        <v>Normal</v>
      </c>
      <c r="X3073">
        <v>0</v>
      </c>
    </row>
    <row r="3074" spans="1:24" ht="14.5" thickBot="1" x14ac:dyDescent="0.35">
      <c r="A3074">
        <v>0</v>
      </c>
      <c r="B3074" t="str">
        <f t="shared" si="285"/>
        <v>Female</v>
      </c>
      <c r="C3074" s="8">
        <v>56</v>
      </c>
      <c r="D3074" t="str">
        <f t="shared" si="286"/>
        <v>Senior</v>
      </c>
      <c r="E3074">
        <v>2</v>
      </c>
      <c r="F3074" t="str">
        <f>HLOOKUP(E3074, LookUP_Table!$A$6:$D$7, 2, FALSE)</f>
        <v>Secondary</v>
      </c>
      <c r="G3074" t="str">
        <f>IFERROR(VLOOKUP(E3074, LookUP_Table!$A$1:$B$4, 2, FALSE), "")</f>
        <v>Secondary</v>
      </c>
      <c r="H3074">
        <v>1</v>
      </c>
      <c r="I3074">
        <v>20</v>
      </c>
      <c r="J3074" t="str">
        <f t="shared" ref="J3074:J3137" si="288">IF(I3074&gt;0,"Smoker","Non-Smoker")</f>
        <v>Smoker</v>
      </c>
      <c r="K3074">
        <v>0</v>
      </c>
      <c r="L3074">
        <v>0</v>
      </c>
      <c r="M3074">
        <v>0</v>
      </c>
      <c r="N3074">
        <v>0</v>
      </c>
      <c r="O3074">
        <v>246</v>
      </c>
      <c r="P3074" t="str">
        <f t="shared" ref="P3074:P3137" si="289">IF(O3074&gt;240,"High","Normal")</f>
        <v>High</v>
      </c>
      <c r="Q3074">
        <v>128</v>
      </c>
      <c r="R3074">
        <v>64</v>
      </c>
      <c r="S3074">
        <v>25.54</v>
      </c>
      <c r="T3074" t="str">
        <f t="shared" ref="T3074:T3137" si="290">IF(S3074&lt;18.5,"Underweight",
IF(S3074&lt;25,"Normal",
IF(S3074&lt;30,"Overweight","Obese")))</f>
        <v>Overweight</v>
      </c>
      <c r="U3074">
        <v>92</v>
      </c>
      <c r="V3074">
        <v>92</v>
      </c>
      <c r="W3074" t="str">
        <f t="shared" si="287"/>
        <v>Normal</v>
      </c>
      <c r="X3074">
        <v>0</v>
      </c>
    </row>
    <row r="3075" spans="1:24" ht="14.5" thickBot="1" x14ac:dyDescent="0.35">
      <c r="A3075">
        <v>0</v>
      </c>
      <c r="B3075" t="str">
        <f t="shared" ref="B3075:B3138" si="291">IF(A3075=0,"Female","Male")</f>
        <v>Female</v>
      </c>
      <c r="C3075" s="8">
        <v>56</v>
      </c>
      <c r="D3075" t="str">
        <f t="shared" ref="D3075:D3138" si="292">IF(C3075&lt;40,"Young",
IF(C3075&lt;55,"Middle Age","Senior"))</f>
        <v>Senior</v>
      </c>
      <c r="E3075">
        <v>1</v>
      </c>
      <c r="F3075" t="str">
        <f>HLOOKUP(E3075, LookUP_Table!$A$6:$D$7, 2, FALSE)</f>
        <v>Primary</v>
      </c>
      <c r="G3075" t="str">
        <f>IFERROR(VLOOKUP(E3075, LookUP_Table!$A$1:$B$4, 2, FALSE), "")</f>
        <v>Primary</v>
      </c>
      <c r="H3075">
        <v>1</v>
      </c>
      <c r="I3075">
        <v>3</v>
      </c>
      <c r="J3075" t="str">
        <f t="shared" si="288"/>
        <v>Smoker</v>
      </c>
      <c r="K3075">
        <v>0</v>
      </c>
      <c r="L3075">
        <v>0</v>
      </c>
      <c r="M3075">
        <v>1</v>
      </c>
      <c r="N3075">
        <v>0</v>
      </c>
      <c r="O3075">
        <v>279</v>
      </c>
      <c r="P3075" t="str">
        <f t="shared" si="289"/>
        <v>High</v>
      </c>
      <c r="Q3075">
        <v>136</v>
      </c>
      <c r="R3075">
        <v>94</v>
      </c>
      <c r="S3075">
        <v>32.99</v>
      </c>
      <c r="T3075" t="str">
        <f t="shared" si="290"/>
        <v>Obese</v>
      </c>
      <c r="U3075">
        <v>50</v>
      </c>
      <c r="V3075">
        <v>102</v>
      </c>
      <c r="W3075" t="str">
        <f t="shared" ref="W3075:W3138" si="293">IF(V3075 &lt; 100, "Normal", IF(V3075 &lt;= 125, "Prediabetes", "Diabetes"))</f>
        <v>Prediabetes</v>
      </c>
      <c r="X3075">
        <v>0</v>
      </c>
    </row>
    <row r="3076" spans="1:24" ht="14.5" thickBot="1" x14ac:dyDescent="0.35">
      <c r="A3076">
        <v>1</v>
      </c>
      <c r="B3076" t="str">
        <f t="shared" si="291"/>
        <v>Male</v>
      </c>
      <c r="C3076" s="8">
        <v>56</v>
      </c>
      <c r="D3076" t="str">
        <f t="shared" si="292"/>
        <v>Senior</v>
      </c>
      <c r="E3076">
        <v>1</v>
      </c>
      <c r="F3076" t="str">
        <f>HLOOKUP(E3076, LookUP_Table!$A$6:$D$7, 2, FALSE)</f>
        <v>Primary</v>
      </c>
      <c r="G3076" t="str">
        <f>IFERROR(VLOOKUP(E3076, LookUP_Table!$A$1:$B$4, 2, FALSE), "")</f>
        <v>Primary</v>
      </c>
      <c r="H3076">
        <v>0</v>
      </c>
      <c r="I3076">
        <v>0</v>
      </c>
      <c r="J3076" t="str">
        <f t="shared" si="288"/>
        <v>Non-Smoker</v>
      </c>
      <c r="K3076">
        <v>0</v>
      </c>
      <c r="L3076">
        <v>0</v>
      </c>
      <c r="M3076">
        <v>1</v>
      </c>
      <c r="N3076">
        <v>0</v>
      </c>
      <c r="O3076">
        <v>215</v>
      </c>
      <c r="P3076" t="str">
        <f t="shared" si="289"/>
        <v>Normal</v>
      </c>
      <c r="Q3076">
        <v>138</v>
      </c>
      <c r="R3076">
        <v>97</v>
      </c>
      <c r="S3076">
        <v>30.76</v>
      </c>
      <c r="T3076" t="str">
        <f t="shared" si="290"/>
        <v>Obese</v>
      </c>
      <c r="U3076">
        <v>68</v>
      </c>
      <c r="V3076">
        <v>69</v>
      </c>
      <c r="W3076" t="str">
        <f t="shared" si="293"/>
        <v>Normal</v>
      </c>
      <c r="X3076">
        <v>1</v>
      </c>
    </row>
    <row r="3077" spans="1:24" ht="14.5" thickBot="1" x14ac:dyDescent="0.35">
      <c r="A3077">
        <v>1</v>
      </c>
      <c r="B3077" t="str">
        <f t="shared" si="291"/>
        <v>Male</v>
      </c>
      <c r="C3077" s="8">
        <v>56</v>
      </c>
      <c r="D3077" t="str">
        <f t="shared" si="292"/>
        <v>Senior</v>
      </c>
      <c r="E3077">
        <v>1</v>
      </c>
      <c r="F3077" t="str">
        <f>HLOOKUP(E3077, LookUP_Table!$A$6:$D$7, 2, FALSE)</f>
        <v>Primary</v>
      </c>
      <c r="G3077" t="str">
        <f>IFERROR(VLOOKUP(E3077, LookUP_Table!$A$1:$B$4, 2, FALSE), "")</f>
        <v>Primary</v>
      </c>
      <c r="H3077">
        <v>1</v>
      </c>
      <c r="I3077">
        <v>30</v>
      </c>
      <c r="J3077" t="str">
        <f t="shared" si="288"/>
        <v>Smoker</v>
      </c>
      <c r="K3077">
        <v>0</v>
      </c>
      <c r="L3077">
        <v>0</v>
      </c>
      <c r="M3077">
        <v>0</v>
      </c>
      <c r="N3077">
        <v>0</v>
      </c>
      <c r="O3077">
        <v>241</v>
      </c>
      <c r="P3077" t="str">
        <f t="shared" si="289"/>
        <v>High</v>
      </c>
      <c r="Q3077">
        <v>109</v>
      </c>
      <c r="R3077">
        <v>70</v>
      </c>
      <c r="S3077">
        <v>20.12</v>
      </c>
      <c r="T3077" t="str">
        <f t="shared" si="290"/>
        <v>Normal</v>
      </c>
      <c r="U3077">
        <v>62</v>
      </c>
      <c r="V3077">
        <v>87</v>
      </c>
      <c r="W3077" t="str">
        <f t="shared" si="293"/>
        <v>Normal</v>
      </c>
      <c r="X3077">
        <v>1</v>
      </c>
    </row>
    <row r="3078" spans="1:24" ht="14.5" thickBot="1" x14ac:dyDescent="0.35">
      <c r="A3078">
        <v>0</v>
      </c>
      <c r="B3078" t="str">
        <f t="shared" si="291"/>
        <v>Female</v>
      </c>
      <c r="C3078" s="8">
        <v>56</v>
      </c>
      <c r="D3078" t="str">
        <f t="shared" si="292"/>
        <v>Senior</v>
      </c>
      <c r="E3078">
        <v>1</v>
      </c>
      <c r="F3078" t="str">
        <f>HLOOKUP(E3078, LookUP_Table!$A$6:$D$7, 2, FALSE)</f>
        <v>Primary</v>
      </c>
      <c r="G3078" t="str">
        <f>IFERROR(VLOOKUP(E3078, LookUP_Table!$A$1:$B$4, 2, FALSE), "")</f>
        <v>Primary</v>
      </c>
      <c r="H3078">
        <v>1</v>
      </c>
      <c r="I3078">
        <v>20</v>
      </c>
      <c r="J3078" t="str">
        <f t="shared" si="288"/>
        <v>Smoker</v>
      </c>
      <c r="K3078">
        <v>0</v>
      </c>
      <c r="L3078">
        <v>0</v>
      </c>
      <c r="M3078">
        <v>0</v>
      </c>
      <c r="N3078">
        <v>0</v>
      </c>
      <c r="O3078">
        <v>212</v>
      </c>
      <c r="P3078" t="str">
        <f t="shared" si="289"/>
        <v>Normal</v>
      </c>
      <c r="Q3078">
        <v>117.5</v>
      </c>
      <c r="R3078">
        <v>72.5</v>
      </c>
      <c r="S3078">
        <v>27.3</v>
      </c>
      <c r="T3078" t="str">
        <f t="shared" si="290"/>
        <v>Overweight</v>
      </c>
      <c r="U3078">
        <v>75</v>
      </c>
      <c r="V3078">
        <v>75</v>
      </c>
      <c r="W3078" t="str">
        <f t="shared" si="293"/>
        <v>Normal</v>
      </c>
      <c r="X3078">
        <v>0</v>
      </c>
    </row>
    <row r="3079" spans="1:24" ht="14.5" thickBot="1" x14ac:dyDescent="0.35">
      <c r="A3079">
        <v>1</v>
      </c>
      <c r="B3079" t="str">
        <f t="shared" si="291"/>
        <v>Male</v>
      </c>
      <c r="C3079" s="8">
        <v>56</v>
      </c>
      <c r="D3079" t="str">
        <f t="shared" si="292"/>
        <v>Senior</v>
      </c>
      <c r="E3079">
        <v>3</v>
      </c>
      <c r="F3079" t="str">
        <f>HLOOKUP(E3079, LookUP_Table!$A$6:$D$7, 2, FALSE)</f>
        <v>Graduate</v>
      </c>
      <c r="G3079" t="str">
        <f>IFERROR(VLOOKUP(E3079, LookUP_Table!$A$1:$B$4, 2, FALSE), "")</f>
        <v>Graduate</v>
      </c>
      <c r="H3079">
        <v>0</v>
      </c>
      <c r="I3079">
        <v>0</v>
      </c>
      <c r="J3079" t="str">
        <f t="shared" si="288"/>
        <v>Non-Smoker</v>
      </c>
      <c r="K3079">
        <v>0</v>
      </c>
      <c r="L3079">
        <v>0</v>
      </c>
      <c r="M3079">
        <v>1</v>
      </c>
      <c r="N3079">
        <v>0</v>
      </c>
      <c r="O3079">
        <v>239</v>
      </c>
      <c r="P3079" t="str">
        <f t="shared" si="289"/>
        <v>Normal</v>
      </c>
      <c r="Q3079">
        <v>177.5</v>
      </c>
      <c r="R3079">
        <v>98</v>
      </c>
      <c r="S3079">
        <v>29.44</v>
      </c>
      <c r="T3079" t="str">
        <f t="shared" si="290"/>
        <v>Overweight</v>
      </c>
      <c r="U3079">
        <v>82</v>
      </c>
      <c r="V3079">
        <v>105</v>
      </c>
      <c r="W3079" t="str">
        <f t="shared" si="293"/>
        <v>Prediabetes</v>
      </c>
      <c r="X3079">
        <v>1</v>
      </c>
    </row>
    <row r="3080" spans="1:24" ht="14.5" thickBot="1" x14ac:dyDescent="0.35">
      <c r="A3080">
        <v>1</v>
      </c>
      <c r="B3080" t="str">
        <f t="shared" si="291"/>
        <v>Male</v>
      </c>
      <c r="C3080" s="8">
        <v>56</v>
      </c>
      <c r="D3080" t="str">
        <f t="shared" si="292"/>
        <v>Senior</v>
      </c>
      <c r="E3080">
        <v>1</v>
      </c>
      <c r="F3080" t="str">
        <f>HLOOKUP(E3080, LookUP_Table!$A$6:$D$7, 2, FALSE)</f>
        <v>Primary</v>
      </c>
      <c r="G3080" t="str">
        <f>IFERROR(VLOOKUP(E3080, LookUP_Table!$A$1:$B$4, 2, FALSE), "")</f>
        <v>Primary</v>
      </c>
      <c r="H3080">
        <v>1</v>
      </c>
      <c r="I3080">
        <v>60</v>
      </c>
      <c r="J3080" t="str">
        <f t="shared" si="288"/>
        <v>Smoker</v>
      </c>
      <c r="K3080">
        <v>0</v>
      </c>
      <c r="L3080">
        <v>0</v>
      </c>
      <c r="M3080">
        <v>0</v>
      </c>
      <c r="N3080">
        <v>0</v>
      </c>
      <c r="O3080">
        <v>246</v>
      </c>
      <c r="P3080" t="str">
        <f t="shared" si="289"/>
        <v>High</v>
      </c>
      <c r="Q3080">
        <v>125</v>
      </c>
      <c r="R3080">
        <v>79</v>
      </c>
      <c r="S3080">
        <v>29.64</v>
      </c>
      <c r="T3080" t="str">
        <f t="shared" si="290"/>
        <v>Overweight</v>
      </c>
      <c r="U3080">
        <v>70</v>
      </c>
      <c r="V3080">
        <v>85</v>
      </c>
      <c r="W3080" t="str">
        <f t="shared" si="293"/>
        <v>Normal</v>
      </c>
      <c r="X3080">
        <v>0</v>
      </c>
    </row>
    <row r="3081" spans="1:24" ht="14.5" thickBot="1" x14ac:dyDescent="0.35">
      <c r="A3081">
        <v>0</v>
      </c>
      <c r="B3081" t="str">
        <f t="shared" si="291"/>
        <v>Female</v>
      </c>
      <c r="C3081" s="8">
        <v>56</v>
      </c>
      <c r="D3081" t="str">
        <f t="shared" si="292"/>
        <v>Senior</v>
      </c>
      <c r="E3081">
        <v>1</v>
      </c>
      <c r="F3081" t="str">
        <f>HLOOKUP(E3081, LookUP_Table!$A$6:$D$7, 2, FALSE)</f>
        <v>Primary</v>
      </c>
      <c r="G3081" t="str">
        <f>IFERROR(VLOOKUP(E3081, LookUP_Table!$A$1:$B$4, 2, FALSE), "")</f>
        <v>Primary</v>
      </c>
      <c r="H3081">
        <v>0</v>
      </c>
      <c r="I3081">
        <v>0</v>
      </c>
      <c r="J3081" t="str">
        <f t="shared" si="288"/>
        <v>Non-Smoker</v>
      </c>
      <c r="K3081">
        <v>0</v>
      </c>
      <c r="L3081">
        <v>0</v>
      </c>
      <c r="M3081">
        <v>0</v>
      </c>
      <c r="N3081">
        <v>0</v>
      </c>
      <c r="O3081">
        <v>280</v>
      </c>
      <c r="P3081" t="str">
        <f t="shared" si="289"/>
        <v>High</v>
      </c>
      <c r="Q3081">
        <v>123</v>
      </c>
      <c r="R3081">
        <v>77</v>
      </c>
      <c r="S3081">
        <v>27.96</v>
      </c>
      <c r="T3081" t="str">
        <f t="shared" si="290"/>
        <v>Overweight</v>
      </c>
      <c r="U3081">
        <v>65</v>
      </c>
      <c r="V3081">
        <v>81.96365524402907</v>
      </c>
      <c r="W3081" t="str">
        <f t="shared" si="293"/>
        <v>Normal</v>
      </c>
      <c r="X3081">
        <v>0</v>
      </c>
    </row>
    <row r="3082" spans="1:24" ht="14.5" thickBot="1" x14ac:dyDescent="0.35">
      <c r="A3082">
        <v>1</v>
      </c>
      <c r="B3082" t="str">
        <f t="shared" si="291"/>
        <v>Male</v>
      </c>
      <c r="C3082" s="8">
        <v>56</v>
      </c>
      <c r="D3082" t="str">
        <f t="shared" si="292"/>
        <v>Senior</v>
      </c>
      <c r="E3082">
        <v>1</v>
      </c>
      <c r="F3082" t="str">
        <f>HLOOKUP(E3082, LookUP_Table!$A$6:$D$7, 2, FALSE)</f>
        <v>Primary</v>
      </c>
      <c r="G3082" t="str">
        <f>IFERROR(VLOOKUP(E3082, LookUP_Table!$A$1:$B$4, 2, FALSE), "")</f>
        <v>Primary</v>
      </c>
      <c r="H3082">
        <v>1</v>
      </c>
      <c r="I3082">
        <v>25</v>
      </c>
      <c r="J3082" t="str">
        <f t="shared" si="288"/>
        <v>Smoker</v>
      </c>
      <c r="K3082">
        <v>0</v>
      </c>
      <c r="L3082">
        <v>0</v>
      </c>
      <c r="M3082">
        <v>0</v>
      </c>
      <c r="N3082">
        <v>0</v>
      </c>
      <c r="O3082">
        <v>255</v>
      </c>
      <c r="P3082" t="str">
        <f t="shared" si="289"/>
        <v>High</v>
      </c>
      <c r="Q3082">
        <v>138</v>
      </c>
      <c r="R3082">
        <v>80</v>
      </c>
      <c r="S3082">
        <v>23.44</v>
      </c>
      <c r="T3082" t="str">
        <f t="shared" si="290"/>
        <v>Normal</v>
      </c>
      <c r="U3082">
        <v>67</v>
      </c>
      <c r="V3082">
        <v>79</v>
      </c>
      <c r="W3082" t="str">
        <f t="shared" si="293"/>
        <v>Normal</v>
      </c>
      <c r="X3082">
        <v>0</v>
      </c>
    </row>
    <row r="3083" spans="1:24" ht="14.5" thickBot="1" x14ac:dyDescent="0.35">
      <c r="A3083">
        <v>0</v>
      </c>
      <c r="B3083" t="str">
        <f t="shared" si="291"/>
        <v>Female</v>
      </c>
      <c r="C3083" s="8">
        <v>56</v>
      </c>
      <c r="D3083" t="str">
        <f t="shared" si="292"/>
        <v>Senior</v>
      </c>
      <c r="E3083">
        <v>1</v>
      </c>
      <c r="F3083" t="str">
        <f>HLOOKUP(E3083, LookUP_Table!$A$6:$D$7, 2, FALSE)</f>
        <v>Primary</v>
      </c>
      <c r="G3083" t="str">
        <f>IFERROR(VLOOKUP(E3083, LookUP_Table!$A$1:$B$4, 2, FALSE), "")</f>
        <v>Primary</v>
      </c>
      <c r="H3083">
        <v>0</v>
      </c>
      <c r="I3083">
        <v>0</v>
      </c>
      <c r="J3083" t="str">
        <f t="shared" si="288"/>
        <v>Non-Smoker</v>
      </c>
      <c r="K3083">
        <v>0</v>
      </c>
      <c r="L3083">
        <v>0</v>
      </c>
      <c r="M3083">
        <v>1</v>
      </c>
      <c r="N3083">
        <v>0</v>
      </c>
      <c r="O3083">
        <v>206</v>
      </c>
      <c r="P3083" t="str">
        <f t="shared" si="289"/>
        <v>Normal</v>
      </c>
      <c r="Q3083">
        <v>140</v>
      </c>
      <c r="R3083">
        <v>87</v>
      </c>
      <c r="S3083">
        <v>27.72</v>
      </c>
      <c r="T3083" t="str">
        <f t="shared" si="290"/>
        <v>Overweight</v>
      </c>
      <c r="U3083">
        <v>60</v>
      </c>
      <c r="V3083">
        <v>85</v>
      </c>
      <c r="W3083" t="str">
        <f t="shared" si="293"/>
        <v>Normal</v>
      </c>
      <c r="X3083">
        <v>0</v>
      </c>
    </row>
    <row r="3084" spans="1:24" ht="14.5" thickBot="1" x14ac:dyDescent="0.35">
      <c r="A3084">
        <v>1</v>
      </c>
      <c r="B3084" t="str">
        <f t="shared" si="291"/>
        <v>Male</v>
      </c>
      <c r="C3084" s="8">
        <v>56</v>
      </c>
      <c r="D3084" t="str">
        <f t="shared" si="292"/>
        <v>Senior</v>
      </c>
      <c r="E3084">
        <v>1</v>
      </c>
      <c r="F3084" t="str">
        <f>HLOOKUP(E3084, LookUP_Table!$A$6:$D$7, 2, FALSE)</f>
        <v>Primary</v>
      </c>
      <c r="G3084" t="str">
        <f>IFERROR(VLOOKUP(E3084, LookUP_Table!$A$1:$B$4, 2, FALSE), "")</f>
        <v>Primary</v>
      </c>
      <c r="H3084">
        <v>0</v>
      </c>
      <c r="I3084">
        <v>0</v>
      </c>
      <c r="J3084" t="str">
        <f t="shared" si="288"/>
        <v>Non-Smoker</v>
      </c>
      <c r="K3084">
        <v>0</v>
      </c>
      <c r="L3084">
        <v>0</v>
      </c>
      <c r="M3084">
        <v>0</v>
      </c>
      <c r="N3084">
        <v>0</v>
      </c>
      <c r="O3084">
        <v>243</v>
      </c>
      <c r="P3084" t="str">
        <f t="shared" si="289"/>
        <v>High</v>
      </c>
      <c r="Q3084">
        <v>134</v>
      </c>
      <c r="R3084">
        <v>86</v>
      </c>
      <c r="S3084">
        <v>25.94</v>
      </c>
      <c r="T3084" t="str">
        <f t="shared" si="290"/>
        <v>Overweight</v>
      </c>
      <c r="U3084">
        <v>81</v>
      </c>
      <c r="V3084">
        <v>66</v>
      </c>
      <c r="W3084" t="str">
        <f t="shared" si="293"/>
        <v>Normal</v>
      </c>
      <c r="X3084">
        <v>0</v>
      </c>
    </row>
    <row r="3085" spans="1:24" ht="14.5" thickBot="1" x14ac:dyDescent="0.35">
      <c r="A3085">
        <v>1</v>
      </c>
      <c r="B3085" t="str">
        <f t="shared" si="291"/>
        <v>Male</v>
      </c>
      <c r="C3085" s="8">
        <v>56</v>
      </c>
      <c r="D3085" t="str">
        <f t="shared" si="292"/>
        <v>Senior</v>
      </c>
      <c r="E3085">
        <v>1</v>
      </c>
      <c r="F3085" t="str">
        <f>HLOOKUP(E3085, LookUP_Table!$A$6:$D$7, 2, FALSE)</f>
        <v>Primary</v>
      </c>
      <c r="G3085" t="str">
        <f>IFERROR(VLOOKUP(E3085, LookUP_Table!$A$1:$B$4, 2, FALSE), "")</f>
        <v>Primary</v>
      </c>
      <c r="H3085">
        <v>0</v>
      </c>
      <c r="I3085">
        <v>0</v>
      </c>
      <c r="J3085" t="str">
        <f t="shared" si="288"/>
        <v>Non-Smoker</v>
      </c>
      <c r="K3085">
        <v>0</v>
      </c>
      <c r="L3085">
        <v>0</v>
      </c>
      <c r="M3085">
        <v>0</v>
      </c>
      <c r="N3085">
        <v>0</v>
      </c>
      <c r="O3085">
        <v>252</v>
      </c>
      <c r="P3085" t="str">
        <f t="shared" si="289"/>
        <v>High</v>
      </c>
      <c r="Q3085">
        <v>107</v>
      </c>
      <c r="R3085">
        <v>66</v>
      </c>
      <c r="S3085">
        <v>25.11</v>
      </c>
      <c r="T3085" t="str">
        <f t="shared" si="290"/>
        <v>Overweight</v>
      </c>
      <c r="U3085">
        <v>60</v>
      </c>
      <c r="V3085">
        <v>72</v>
      </c>
      <c r="W3085" t="str">
        <f t="shared" si="293"/>
        <v>Normal</v>
      </c>
      <c r="X3085">
        <v>0</v>
      </c>
    </row>
    <row r="3086" spans="1:24" ht="14.5" thickBot="1" x14ac:dyDescent="0.35">
      <c r="A3086">
        <v>1</v>
      </c>
      <c r="B3086" t="str">
        <f t="shared" si="291"/>
        <v>Male</v>
      </c>
      <c r="C3086" s="8">
        <v>56</v>
      </c>
      <c r="D3086" t="str">
        <f t="shared" si="292"/>
        <v>Senior</v>
      </c>
      <c r="E3086">
        <v>3</v>
      </c>
      <c r="F3086" t="str">
        <f>HLOOKUP(E3086, LookUP_Table!$A$6:$D$7, 2, FALSE)</f>
        <v>Graduate</v>
      </c>
      <c r="G3086" t="str">
        <f>IFERROR(VLOOKUP(E3086, LookUP_Table!$A$1:$B$4, 2, FALSE), "")</f>
        <v>Graduate</v>
      </c>
      <c r="H3086">
        <v>1</v>
      </c>
      <c r="I3086">
        <v>20</v>
      </c>
      <c r="J3086" t="str">
        <f t="shared" si="288"/>
        <v>Smoker</v>
      </c>
      <c r="K3086">
        <v>0</v>
      </c>
      <c r="L3086">
        <v>0</v>
      </c>
      <c r="M3086">
        <v>0</v>
      </c>
      <c r="N3086">
        <v>0</v>
      </c>
      <c r="O3086">
        <v>340</v>
      </c>
      <c r="P3086" t="str">
        <f t="shared" si="289"/>
        <v>High</v>
      </c>
      <c r="Q3086">
        <v>134</v>
      </c>
      <c r="R3086">
        <v>89.5</v>
      </c>
      <c r="S3086">
        <v>21.91</v>
      </c>
      <c r="T3086" t="str">
        <f t="shared" si="290"/>
        <v>Normal</v>
      </c>
      <c r="U3086">
        <v>50</v>
      </c>
      <c r="V3086">
        <v>72</v>
      </c>
      <c r="W3086" t="str">
        <f t="shared" si="293"/>
        <v>Normal</v>
      </c>
      <c r="X3086">
        <v>1</v>
      </c>
    </row>
    <row r="3087" spans="1:24" ht="14.5" thickBot="1" x14ac:dyDescent="0.35">
      <c r="A3087">
        <v>1</v>
      </c>
      <c r="B3087" t="str">
        <f t="shared" si="291"/>
        <v>Male</v>
      </c>
      <c r="C3087" s="8">
        <v>56</v>
      </c>
      <c r="D3087" t="str">
        <f t="shared" si="292"/>
        <v>Senior</v>
      </c>
      <c r="E3087">
        <v>4</v>
      </c>
      <c r="F3087" t="str">
        <f>HLOOKUP(E3087, LookUP_Table!$A$6:$D$7, 2, FALSE)</f>
        <v>Post Graduate</v>
      </c>
      <c r="G3087" t="str">
        <f>IFERROR(VLOOKUP(E3087, LookUP_Table!$A$1:$B$4, 2, FALSE), "")</f>
        <v>Post Graduate</v>
      </c>
      <c r="H3087">
        <v>0</v>
      </c>
      <c r="I3087">
        <v>0</v>
      </c>
      <c r="J3087" t="str">
        <f t="shared" si="288"/>
        <v>Non-Smoker</v>
      </c>
      <c r="K3087">
        <v>0</v>
      </c>
      <c r="L3087">
        <v>0</v>
      </c>
      <c r="M3087">
        <v>0</v>
      </c>
      <c r="N3087">
        <v>0</v>
      </c>
      <c r="O3087">
        <v>258</v>
      </c>
      <c r="P3087" t="str">
        <f t="shared" si="289"/>
        <v>High</v>
      </c>
      <c r="Q3087">
        <v>111</v>
      </c>
      <c r="R3087">
        <v>68.5</v>
      </c>
      <c r="S3087">
        <v>24.04</v>
      </c>
      <c r="T3087" t="str">
        <f t="shared" si="290"/>
        <v>Normal</v>
      </c>
      <c r="U3087">
        <v>60</v>
      </c>
      <c r="V3087">
        <v>70</v>
      </c>
      <c r="W3087" t="str">
        <f t="shared" si="293"/>
        <v>Normal</v>
      </c>
      <c r="X3087">
        <v>0</v>
      </c>
    </row>
    <row r="3088" spans="1:24" ht="14.5" thickBot="1" x14ac:dyDescent="0.35">
      <c r="A3088">
        <v>1</v>
      </c>
      <c r="B3088" t="str">
        <f t="shared" si="291"/>
        <v>Male</v>
      </c>
      <c r="C3088" s="8">
        <v>56</v>
      </c>
      <c r="D3088" t="str">
        <f t="shared" si="292"/>
        <v>Senior</v>
      </c>
      <c r="E3088">
        <v>1</v>
      </c>
      <c r="F3088" t="str">
        <f>HLOOKUP(E3088, LookUP_Table!$A$6:$D$7, 2, FALSE)</f>
        <v>Primary</v>
      </c>
      <c r="G3088" t="str">
        <f>IFERROR(VLOOKUP(E3088, LookUP_Table!$A$1:$B$4, 2, FALSE), "")</f>
        <v>Primary</v>
      </c>
      <c r="H3088">
        <v>1</v>
      </c>
      <c r="I3088">
        <v>20</v>
      </c>
      <c r="J3088" t="str">
        <f t="shared" si="288"/>
        <v>Smoker</v>
      </c>
      <c r="K3088">
        <v>0</v>
      </c>
      <c r="L3088">
        <v>0</v>
      </c>
      <c r="M3088">
        <v>0</v>
      </c>
      <c r="N3088">
        <v>0</v>
      </c>
      <c r="O3088">
        <v>278</v>
      </c>
      <c r="P3088" t="str">
        <f t="shared" si="289"/>
        <v>High</v>
      </c>
      <c r="Q3088">
        <v>133</v>
      </c>
      <c r="R3088">
        <v>84</v>
      </c>
      <c r="S3088">
        <v>22.67</v>
      </c>
      <c r="T3088" t="str">
        <f t="shared" si="290"/>
        <v>Normal</v>
      </c>
      <c r="U3088">
        <v>85</v>
      </c>
      <c r="V3088">
        <v>96</v>
      </c>
      <c r="W3088" t="str">
        <f t="shared" si="293"/>
        <v>Normal</v>
      </c>
      <c r="X3088">
        <v>0</v>
      </c>
    </row>
    <row r="3089" spans="1:24" ht="14.5" thickBot="1" x14ac:dyDescent="0.35">
      <c r="A3089">
        <v>1</v>
      </c>
      <c r="B3089" t="str">
        <f t="shared" si="291"/>
        <v>Male</v>
      </c>
      <c r="C3089" s="8">
        <v>56</v>
      </c>
      <c r="D3089" t="str">
        <f t="shared" si="292"/>
        <v>Senior</v>
      </c>
      <c r="E3089">
        <v>2</v>
      </c>
      <c r="F3089" t="str">
        <f>HLOOKUP(E3089, LookUP_Table!$A$6:$D$7, 2, FALSE)</f>
        <v>Secondary</v>
      </c>
      <c r="G3089" t="str">
        <f>IFERROR(VLOOKUP(E3089, LookUP_Table!$A$1:$B$4, 2, FALSE), "")</f>
        <v>Secondary</v>
      </c>
      <c r="H3089">
        <v>0</v>
      </c>
      <c r="I3089">
        <v>0</v>
      </c>
      <c r="J3089" t="str">
        <f t="shared" si="288"/>
        <v>Non-Smoker</v>
      </c>
      <c r="K3089">
        <v>0</v>
      </c>
      <c r="L3089">
        <v>0</v>
      </c>
      <c r="M3089">
        <v>1</v>
      </c>
      <c r="N3089">
        <v>0</v>
      </c>
      <c r="O3089">
        <v>241</v>
      </c>
      <c r="P3089" t="str">
        <f t="shared" si="289"/>
        <v>High</v>
      </c>
      <c r="Q3089">
        <v>130</v>
      </c>
      <c r="R3089">
        <v>85</v>
      </c>
      <c r="S3089">
        <v>25.79</v>
      </c>
      <c r="T3089" t="str">
        <f t="shared" si="290"/>
        <v>Overweight</v>
      </c>
      <c r="U3089">
        <v>68</v>
      </c>
      <c r="V3089">
        <v>78</v>
      </c>
      <c r="W3089" t="str">
        <f t="shared" si="293"/>
        <v>Normal</v>
      </c>
      <c r="X3089">
        <v>0</v>
      </c>
    </row>
    <row r="3090" spans="1:24" ht="14.5" thickBot="1" x14ac:dyDescent="0.35">
      <c r="A3090">
        <v>0</v>
      </c>
      <c r="B3090" t="str">
        <f t="shared" si="291"/>
        <v>Female</v>
      </c>
      <c r="C3090" s="8">
        <v>56</v>
      </c>
      <c r="D3090" t="str">
        <f t="shared" si="292"/>
        <v>Senior</v>
      </c>
      <c r="E3090">
        <v>1</v>
      </c>
      <c r="F3090" t="str">
        <f>HLOOKUP(E3090, LookUP_Table!$A$6:$D$7, 2, FALSE)</f>
        <v>Primary</v>
      </c>
      <c r="G3090" t="str">
        <f>IFERROR(VLOOKUP(E3090, LookUP_Table!$A$1:$B$4, 2, FALSE), "")</f>
        <v>Primary</v>
      </c>
      <c r="H3090">
        <v>1</v>
      </c>
      <c r="I3090">
        <v>5</v>
      </c>
      <c r="J3090" t="str">
        <f t="shared" si="288"/>
        <v>Smoker</v>
      </c>
      <c r="K3090">
        <v>0</v>
      </c>
      <c r="L3090">
        <v>0</v>
      </c>
      <c r="M3090">
        <v>0</v>
      </c>
      <c r="N3090">
        <v>0</v>
      </c>
      <c r="O3090">
        <v>266</v>
      </c>
      <c r="P3090" t="str">
        <f t="shared" si="289"/>
        <v>High</v>
      </c>
      <c r="Q3090">
        <v>134.5</v>
      </c>
      <c r="R3090">
        <v>78.5</v>
      </c>
      <c r="S3090">
        <v>30.78</v>
      </c>
      <c r="T3090" t="str">
        <f t="shared" si="290"/>
        <v>Obese</v>
      </c>
      <c r="U3090">
        <v>79</v>
      </c>
      <c r="V3090">
        <v>84</v>
      </c>
      <c r="W3090" t="str">
        <f t="shared" si="293"/>
        <v>Normal</v>
      </c>
      <c r="X3090">
        <v>0</v>
      </c>
    </row>
    <row r="3091" spans="1:24" ht="14.5" thickBot="1" x14ac:dyDescent="0.35">
      <c r="A3091">
        <v>0</v>
      </c>
      <c r="B3091" t="str">
        <f t="shared" si="291"/>
        <v>Female</v>
      </c>
      <c r="C3091" s="8">
        <v>56</v>
      </c>
      <c r="D3091" t="str">
        <f t="shared" si="292"/>
        <v>Senior</v>
      </c>
      <c r="E3091">
        <v>1</v>
      </c>
      <c r="F3091" t="str">
        <f>HLOOKUP(E3091, LookUP_Table!$A$6:$D$7, 2, FALSE)</f>
        <v>Primary</v>
      </c>
      <c r="G3091" t="str">
        <f>IFERROR(VLOOKUP(E3091, LookUP_Table!$A$1:$B$4, 2, FALSE), "")</f>
        <v>Primary</v>
      </c>
      <c r="H3091">
        <v>1</v>
      </c>
      <c r="I3091">
        <v>18</v>
      </c>
      <c r="J3091" t="str">
        <f t="shared" si="288"/>
        <v>Smoker</v>
      </c>
      <c r="K3091">
        <v>0</v>
      </c>
      <c r="L3091">
        <v>0</v>
      </c>
      <c r="M3091">
        <v>0</v>
      </c>
      <c r="N3091">
        <v>0</v>
      </c>
      <c r="O3091">
        <v>292</v>
      </c>
      <c r="P3091" t="str">
        <f t="shared" si="289"/>
        <v>High</v>
      </c>
      <c r="Q3091">
        <v>111</v>
      </c>
      <c r="R3091">
        <v>70</v>
      </c>
      <c r="S3091">
        <v>23.17</v>
      </c>
      <c r="T3091" t="str">
        <f t="shared" si="290"/>
        <v>Normal</v>
      </c>
      <c r="U3091">
        <v>72</v>
      </c>
      <c r="V3091">
        <v>74</v>
      </c>
      <c r="W3091" t="str">
        <f t="shared" si="293"/>
        <v>Normal</v>
      </c>
      <c r="X3091">
        <v>0</v>
      </c>
    </row>
    <row r="3092" spans="1:24" ht="14.5" thickBot="1" x14ac:dyDescent="0.35">
      <c r="A3092">
        <v>0</v>
      </c>
      <c r="B3092" t="str">
        <f t="shared" si="291"/>
        <v>Female</v>
      </c>
      <c r="C3092" s="8">
        <v>56</v>
      </c>
      <c r="D3092" t="str">
        <f t="shared" si="292"/>
        <v>Senior</v>
      </c>
      <c r="E3092">
        <v>4</v>
      </c>
      <c r="F3092" t="str">
        <f>HLOOKUP(E3092, LookUP_Table!$A$6:$D$7, 2, FALSE)</f>
        <v>Post Graduate</v>
      </c>
      <c r="G3092" t="str">
        <f>IFERROR(VLOOKUP(E3092, LookUP_Table!$A$1:$B$4, 2, FALSE), "")</f>
        <v>Post Graduate</v>
      </c>
      <c r="H3092">
        <v>1</v>
      </c>
      <c r="I3092">
        <v>1</v>
      </c>
      <c r="J3092" t="str">
        <f t="shared" si="288"/>
        <v>Smoker</v>
      </c>
      <c r="K3092">
        <v>1</v>
      </c>
      <c r="L3092">
        <v>0</v>
      </c>
      <c r="M3092">
        <v>1</v>
      </c>
      <c r="N3092">
        <v>0</v>
      </c>
      <c r="O3092">
        <v>289</v>
      </c>
      <c r="P3092" t="str">
        <f t="shared" si="289"/>
        <v>High</v>
      </c>
      <c r="Q3092">
        <v>150</v>
      </c>
      <c r="R3092">
        <v>92</v>
      </c>
      <c r="S3092">
        <v>25.68</v>
      </c>
      <c r="T3092" t="str">
        <f t="shared" si="290"/>
        <v>Overweight</v>
      </c>
      <c r="U3092">
        <v>85</v>
      </c>
      <c r="V3092">
        <v>84</v>
      </c>
      <c r="W3092" t="str">
        <f t="shared" si="293"/>
        <v>Normal</v>
      </c>
      <c r="X3092">
        <v>0</v>
      </c>
    </row>
    <row r="3093" spans="1:24" ht="14.5" thickBot="1" x14ac:dyDescent="0.35">
      <c r="A3093">
        <v>1</v>
      </c>
      <c r="B3093" t="str">
        <f t="shared" si="291"/>
        <v>Male</v>
      </c>
      <c r="C3093" s="8">
        <v>56</v>
      </c>
      <c r="D3093" t="str">
        <f t="shared" si="292"/>
        <v>Senior</v>
      </c>
      <c r="E3093">
        <v>1</v>
      </c>
      <c r="F3093" t="str">
        <f>HLOOKUP(E3093, LookUP_Table!$A$6:$D$7, 2, FALSE)</f>
        <v>Primary</v>
      </c>
      <c r="G3093" t="str">
        <f>IFERROR(VLOOKUP(E3093, LookUP_Table!$A$1:$B$4, 2, FALSE), "")</f>
        <v>Primary</v>
      </c>
      <c r="H3093">
        <v>1</v>
      </c>
      <c r="I3093">
        <v>1</v>
      </c>
      <c r="J3093" t="str">
        <f t="shared" si="288"/>
        <v>Smoker</v>
      </c>
      <c r="K3093">
        <v>0</v>
      </c>
      <c r="L3093">
        <v>0</v>
      </c>
      <c r="M3093">
        <v>0</v>
      </c>
      <c r="N3093">
        <v>0</v>
      </c>
      <c r="O3093">
        <v>280</v>
      </c>
      <c r="P3093" t="str">
        <f t="shared" si="289"/>
        <v>High</v>
      </c>
      <c r="Q3093">
        <v>147</v>
      </c>
      <c r="R3093">
        <v>94</v>
      </c>
      <c r="S3093">
        <v>28.3</v>
      </c>
      <c r="T3093" t="str">
        <f t="shared" si="290"/>
        <v>Overweight</v>
      </c>
      <c r="U3093">
        <v>63</v>
      </c>
      <c r="V3093">
        <v>85</v>
      </c>
      <c r="W3093" t="str">
        <f t="shared" si="293"/>
        <v>Normal</v>
      </c>
      <c r="X3093">
        <v>0</v>
      </c>
    </row>
    <row r="3094" spans="1:24" ht="14.5" thickBot="1" x14ac:dyDescent="0.35">
      <c r="A3094">
        <v>0</v>
      </c>
      <c r="B3094" t="str">
        <f t="shared" si="291"/>
        <v>Female</v>
      </c>
      <c r="C3094" s="8">
        <v>56</v>
      </c>
      <c r="D3094" t="str">
        <f t="shared" si="292"/>
        <v>Senior</v>
      </c>
      <c r="E3094">
        <v>1</v>
      </c>
      <c r="F3094" t="str">
        <f>HLOOKUP(E3094, LookUP_Table!$A$6:$D$7, 2, FALSE)</f>
        <v>Primary</v>
      </c>
      <c r="G3094" t="str">
        <f>IFERROR(VLOOKUP(E3094, LookUP_Table!$A$1:$B$4, 2, FALSE), "")</f>
        <v>Primary</v>
      </c>
      <c r="H3094">
        <v>0</v>
      </c>
      <c r="I3094">
        <v>0</v>
      </c>
      <c r="J3094" t="str">
        <f t="shared" si="288"/>
        <v>Non-Smoker</v>
      </c>
      <c r="K3094">
        <v>0</v>
      </c>
      <c r="L3094">
        <v>0</v>
      </c>
      <c r="M3094">
        <v>0</v>
      </c>
      <c r="N3094">
        <v>0</v>
      </c>
      <c r="O3094">
        <v>207</v>
      </c>
      <c r="P3094" t="str">
        <f t="shared" si="289"/>
        <v>Normal</v>
      </c>
      <c r="Q3094">
        <v>133</v>
      </c>
      <c r="R3094">
        <v>76</v>
      </c>
      <c r="S3094">
        <v>23.42</v>
      </c>
      <c r="T3094" t="str">
        <f t="shared" si="290"/>
        <v>Normal</v>
      </c>
      <c r="U3094">
        <v>62</v>
      </c>
      <c r="V3094">
        <v>85</v>
      </c>
      <c r="W3094" t="str">
        <f t="shared" si="293"/>
        <v>Normal</v>
      </c>
      <c r="X3094">
        <v>0</v>
      </c>
    </row>
    <row r="3095" spans="1:24" ht="14.5" thickBot="1" x14ac:dyDescent="0.35">
      <c r="A3095">
        <v>1</v>
      </c>
      <c r="B3095" t="str">
        <f t="shared" si="291"/>
        <v>Male</v>
      </c>
      <c r="C3095" s="8">
        <v>56</v>
      </c>
      <c r="D3095" t="str">
        <f t="shared" si="292"/>
        <v>Senior</v>
      </c>
      <c r="E3095">
        <v>2</v>
      </c>
      <c r="F3095" t="str">
        <f>HLOOKUP(E3095, LookUP_Table!$A$6:$D$7, 2, FALSE)</f>
        <v>Secondary</v>
      </c>
      <c r="G3095" t="str">
        <f>IFERROR(VLOOKUP(E3095, LookUP_Table!$A$1:$B$4, 2, FALSE), "")</f>
        <v>Secondary</v>
      </c>
      <c r="H3095">
        <v>1</v>
      </c>
      <c r="I3095">
        <v>30</v>
      </c>
      <c r="J3095" t="str">
        <f t="shared" si="288"/>
        <v>Smoker</v>
      </c>
      <c r="K3095">
        <v>0</v>
      </c>
      <c r="L3095">
        <v>0</v>
      </c>
      <c r="M3095">
        <v>0</v>
      </c>
      <c r="N3095">
        <v>0</v>
      </c>
      <c r="O3095">
        <v>197</v>
      </c>
      <c r="P3095" t="str">
        <f t="shared" si="289"/>
        <v>Normal</v>
      </c>
      <c r="Q3095">
        <v>113.5</v>
      </c>
      <c r="R3095">
        <v>74</v>
      </c>
      <c r="S3095">
        <v>21.03</v>
      </c>
      <c r="T3095" t="str">
        <f t="shared" si="290"/>
        <v>Normal</v>
      </c>
      <c r="U3095">
        <v>90</v>
      </c>
      <c r="V3095">
        <v>81</v>
      </c>
      <c r="W3095" t="str">
        <f t="shared" si="293"/>
        <v>Normal</v>
      </c>
      <c r="X3095">
        <v>1</v>
      </c>
    </row>
    <row r="3096" spans="1:24" ht="14.5" thickBot="1" x14ac:dyDescent="0.35">
      <c r="A3096">
        <v>0</v>
      </c>
      <c r="B3096" t="str">
        <f t="shared" si="291"/>
        <v>Female</v>
      </c>
      <c r="C3096" s="8">
        <v>56</v>
      </c>
      <c r="D3096" t="str">
        <f t="shared" si="292"/>
        <v>Senior</v>
      </c>
      <c r="E3096">
        <v>4</v>
      </c>
      <c r="F3096" t="str">
        <f>HLOOKUP(E3096, LookUP_Table!$A$6:$D$7, 2, FALSE)</f>
        <v>Post Graduate</v>
      </c>
      <c r="G3096" t="str">
        <f>IFERROR(VLOOKUP(E3096, LookUP_Table!$A$1:$B$4, 2, FALSE), "")</f>
        <v>Post Graduate</v>
      </c>
      <c r="H3096">
        <v>0</v>
      </c>
      <c r="I3096">
        <v>0</v>
      </c>
      <c r="J3096" t="str">
        <f t="shared" si="288"/>
        <v>Non-Smoker</v>
      </c>
      <c r="K3096">
        <v>0</v>
      </c>
      <c r="L3096">
        <v>0</v>
      </c>
      <c r="M3096">
        <v>0</v>
      </c>
      <c r="N3096">
        <v>0</v>
      </c>
      <c r="O3096">
        <v>298</v>
      </c>
      <c r="P3096" t="str">
        <f t="shared" si="289"/>
        <v>High</v>
      </c>
      <c r="Q3096">
        <v>115</v>
      </c>
      <c r="R3096">
        <v>80</v>
      </c>
      <c r="S3096">
        <v>31.11</v>
      </c>
      <c r="T3096" t="str">
        <f t="shared" si="290"/>
        <v>Obese</v>
      </c>
      <c r="U3096">
        <v>75</v>
      </c>
      <c r="V3096">
        <v>77</v>
      </c>
      <c r="W3096" t="str">
        <f t="shared" si="293"/>
        <v>Normal</v>
      </c>
      <c r="X3096">
        <v>0</v>
      </c>
    </row>
    <row r="3097" spans="1:24" ht="14.5" thickBot="1" x14ac:dyDescent="0.35">
      <c r="A3097">
        <v>1</v>
      </c>
      <c r="B3097" t="str">
        <f t="shared" si="291"/>
        <v>Male</v>
      </c>
      <c r="C3097" s="8">
        <v>56</v>
      </c>
      <c r="D3097" t="str">
        <f t="shared" si="292"/>
        <v>Senior</v>
      </c>
      <c r="E3097">
        <v>2</v>
      </c>
      <c r="F3097" t="str">
        <f>HLOOKUP(E3097, LookUP_Table!$A$6:$D$7, 2, FALSE)</f>
        <v>Secondary</v>
      </c>
      <c r="G3097" t="str">
        <f>IFERROR(VLOOKUP(E3097, LookUP_Table!$A$1:$B$4, 2, FALSE), "")</f>
        <v>Secondary</v>
      </c>
      <c r="H3097">
        <v>1</v>
      </c>
      <c r="I3097">
        <v>20</v>
      </c>
      <c r="J3097" t="str">
        <f t="shared" si="288"/>
        <v>Smoker</v>
      </c>
      <c r="K3097">
        <v>0</v>
      </c>
      <c r="L3097">
        <v>0</v>
      </c>
      <c r="M3097">
        <v>1</v>
      </c>
      <c r="N3097">
        <v>0</v>
      </c>
      <c r="O3097">
        <v>285</v>
      </c>
      <c r="P3097" t="str">
        <f t="shared" si="289"/>
        <v>High</v>
      </c>
      <c r="Q3097">
        <v>198</v>
      </c>
      <c r="R3097">
        <v>107</v>
      </c>
      <c r="S3097">
        <v>24.87</v>
      </c>
      <c r="T3097" t="str">
        <f t="shared" si="290"/>
        <v>Normal</v>
      </c>
      <c r="U3097">
        <v>80</v>
      </c>
      <c r="V3097">
        <v>97</v>
      </c>
      <c r="W3097" t="str">
        <f t="shared" si="293"/>
        <v>Normal</v>
      </c>
      <c r="X3097">
        <v>1</v>
      </c>
    </row>
    <row r="3098" spans="1:24" ht="14.5" thickBot="1" x14ac:dyDescent="0.35">
      <c r="A3098">
        <v>0</v>
      </c>
      <c r="B3098" t="str">
        <f t="shared" si="291"/>
        <v>Female</v>
      </c>
      <c r="C3098" s="8">
        <v>56</v>
      </c>
      <c r="D3098" t="str">
        <f t="shared" si="292"/>
        <v>Senior</v>
      </c>
      <c r="E3098">
        <v>3</v>
      </c>
      <c r="F3098" t="str">
        <f>HLOOKUP(E3098, LookUP_Table!$A$6:$D$7, 2, FALSE)</f>
        <v>Graduate</v>
      </c>
      <c r="G3098" t="str">
        <f>IFERROR(VLOOKUP(E3098, LookUP_Table!$A$1:$B$4, 2, FALSE), "")</f>
        <v>Graduate</v>
      </c>
      <c r="H3098">
        <v>0</v>
      </c>
      <c r="I3098">
        <v>0</v>
      </c>
      <c r="J3098" t="str">
        <f t="shared" si="288"/>
        <v>Non-Smoker</v>
      </c>
      <c r="K3098">
        <v>0</v>
      </c>
      <c r="L3098">
        <v>0</v>
      </c>
      <c r="M3098">
        <v>0</v>
      </c>
      <c r="N3098">
        <v>0</v>
      </c>
      <c r="O3098">
        <v>310</v>
      </c>
      <c r="P3098" t="str">
        <f t="shared" si="289"/>
        <v>High</v>
      </c>
      <c r="Q3098">
        <v>142</v>
      </c>
      <c r="R3098">
        <v>94</v>
      </c>
      <c r="S3098">
        <v>31.1</v>
      </c>
      <c r="T3098" t="str">
        <f t="shared" si="290"/>
        <v>Obese</v>
      </c>
      <c r="U3098">
        <v>83</v>
      </c>
      <c r="V3098">
        <v>65</v>
      </c>
      <c r="W3098" t="str">
        <f t="shared" si="293"/>
        <v>Normal</v>
      </c>
      <c r="X3098">
        <v>0</v>
      </c>
    </row>
    <row r="3099" spans="1:24" ht="14.5" thickBot="1" x14ac:dyDescent="0.35">
      <c r="A3099">
        <v>0</v>
      </c>
      <c r="B3099" t="str">
        <f t="shared" si="291"/>
        <v>Female</v>
      </c>
      <c r="C3099" s="8">
        <v>56</v>
      </c>
      <c r="D3099" t="str">
        <f t="shared" si="292"/>
        <v>Senior</v>
      </c>
      <c r="E3099">
        <v>1</v>
      </c>
      <c r="F3099" t="str">
        <f>HLOOKUP(E3099, LookUP_Table!$A$6:$D$7, 2, FALSE)</f>
        <v>Primary</v>
      </c>
      <c r="G3099" t="str">
        <f>IFERROR(VLOOKUP(E3099, LookUP_Table!$A$1:$B$4, 2, FALSE), "")</f>
        <v>Primary</v>
      </c>
      <c r="H3099">
        <v>1</v>
      </c>
      <c r="I3099">
        <v>9</v>
      </c>
      <c r="J3099" t="str">
        <f t="shared" si="288"/>
        <v>Smoker</v>
      </c>
      <c r="K3099">
        <v>1</v>
      </c>
      <c r="L3099">
        <v>0</v>
      </c>
      <c r="M3099">
        <v>1</v>
      </c>
      <c r="N3099">
        <v>0</v>
      </c>
      <c r="O3099">
        <v>285</v>
      </c>
      <c r="P3099" t="str">
        <f t="shared" si="289"/>
        <v>High</v>
      </c>
      <c r="Q3099">
        <v>165</v>
      </c>
      <c r="R3099">
        <v>115</v>
      </c>
      <c r="S3099">
        <v>24.25</v>
      </c>
      <c r="T3099" t="str">
        <f t="shared" si="290"/>
        <v>Normal</v>
      </c>
      <c r="U3099">
        <v>72</v>
      </c>
      <c r="V3099">
        <v>116</v>
      </c>
      <c r="W3099" t="str">
        <f t="shared" si="293"/>
        <v>Prediabetes</v>
      </c>
      <c r="X3099">
        <v>0</v>
      </c>
    </row>
    <row r="3100" spans="1:24" ht="14.5" thickBot="1" x14ac:dyDescent="0.35">
      <c r="A3100">
        <v>0</v>
      </c>
      <c r="B3100" t="str">
        <f t="shared" si="291"/>
        <v>Female</v>
      </c>
      <c r="C3100" s="8">
        <v>56</v>
      </c>
      <c r="D3100" t="str">
        <f t="shared" si="292"/>
        <v>Senior</v>
      </c>
      <c r="E3100">
        <v>1</v>
      </c>
      <c r="F3100" t="str">
        <f>HLOOKUP(E3100, LookUP_Table!$A$6:$D$7, 2, FALSE)</f>
        <v>Primary</v>
      </c>
      <c r="G3100" t="str">
        <f>IFERROR(VLOOKUP(E3100, LookUP_Table!$A$1:$B$4, 2, FALSE), "")</f>
        <v>Primary</v>
      </c>
      <c r="H3100">
        <v>1</v>
      </c>
      <c r="I3100">
        <v>3</v>
      </c>
      <c r="J3100" t="str">
        <f t="shared" si="288"/>
        <v>Smoker</v>
      </c>
      <c r="K3100">
        <v>0</v>
      </c>
      <c r="L3100">
        <v>0</v>
      </c>
      <c r="M3100">
        <v>0</v>
      </c>
      <c r="N3100">
        <v>0</v>
      </c>
      <c r="O3100">
        <v>289</v>
      </c>
      <c r="P3100" t="str">
        <f t="shared" si="289"/>
        <v>High</v>
      </c>
      <c r="Q3100">
        <v>131</v>
      </c>
      <c r="R3100">
        <v>86.5</v>
      </c>
      <c r="S3100">
        <v>21.85</v>
      </c>
      <c r="T3100" t="str">
        <f t="shared" si="290"/>
        <v>Normal</v>
      </c>
      <c r="U3100">
        <v>76</v>
      </c>
      <c r="V3100">
        <v>71</v>
      </c>
      <c r="W3100" t="str">
        <f t="shared" si="293"/>
        <v>Normal</v>
      </c>
      <c r="X3100">
        <v>0</v>
      </c>
    </row>
    <row r="3101" spans="1:24" ht="14.5" thickBot="1" x14ac:dyDescent="0.35">
      <c r="A3101">
        <v>0</v>
      </c>
      <c r="B3101" t="str">
        <f t="shared" si="291"/>
        <v>Female</v>
      </c>
      <c r="C3101" s="8">
        <v>56</v>
      </c>
      <c r="D3101" t="str">
        <f t="shared" si="292"/>
        <v>Senior</v>
      </c>
      <c r="E3101">
        <v>3</v>
      </c>
      <c r="F3101" t="str">
        <f>HLOOKUP(E3101, LookUP_Table!$A$6:$D$7, 2, FALSE)</f>
        <v>Graduate</v>
      </c>
      <c r="G3101" t="str">
        <f>IFERROR(VLOOKUP(E3101, LookUP_Table!$A$1:$B$4, 2, FALSE), "")</f>
        <v>Graduate</v>
      </c>
      <c r="H3101">
        <v>0</v>
      </c>
      <c r="I3101">
        <v>0</v>
      </c>
      <c r="J3101" t="str">
        <f t="shared" si="288"/>
        <v>Non-Smoker</v>
      </c>
      <c r="K3101">
        <v>1</v>
      </c>
      <c r="L3101">
        <v>0</v>
      </c>
      <c r="M3101">
        <v>1</v>
      </c>
      <c r="N3101">
        <v>0</v>
      </c>
      <c r="O3101">
        <v>273</v>
      </c>
      <c r="P3101" t="str">
        <f t="shared" si="289"/>
        <v>High</v>
      </c>
      <c r="Q3101">
        <v>125</v>
      </c>
      <c r="R3101">
        <v>83</v>
      </c>
      <c r="S3101">
        <v>24.48</v>
      </c>
      <c r="T3101" t="str">
        <f t="shared" si="290"/>
        <v>Normal</v>
      </c>
      <c r="U3101">
        <v>65</v>
      </c>
      <c r="V3101">
        <v>66</v>
      </c>
      <c r="W3101" t="str">
        <f t="shared" si="293"/>
        <v>Normal</v>
      </c>
      <c r="X3101">
        <v>0</v>
      </c>
    </row>
    <row r="3102" spans="1:24" ht="14.5" thickBot="1" x14ac:dyDescent="0.35">
      <c r="A3102">
        <v>0</v>
      </c>
      <c r="B3102" t="str">
        <f t="shared" si="291"/>
        <v>Female</v>
      </c>
      <c r="C3102" s="8">
        <v>56</v>
      </c>
      <c r="D3102" t="str">
        <f t="shared" si="292"/>
        <v>Senior</v>
      </c>
      <c r="E3102">
        <v>3</v>
      </c>
      <c r="F3102" t="str">
        <f>HLOOKUP(E3102, LookUP_Table!$A$6:$D$7, 2, FALSE)</f>
        <v>Graduate</v>
      </c>
      <c r="G3102" t="str">
        <f>IFERROR(VLOOKUP(E3102, LookUP_Table!$A$1:$B$4, 2, FALSE), "")</f>
        <v>Graduate</v>
      </c>
      <c r="H3102">
        <v>0</v>
      </c>
      <c r="I3102">
        <v>0</v>
      </c>
      <c r="J3102" t="str">
        <f t="shared" si="288"/>
        <v>Non-Smoker</v>
      </c>
      <c r="K3102">
        <v>0</v>
      </c>
      <c r="L3102">
        <v>0</v>
      </c>
      <c r="M3102">
        <v>0</v>
      </c>
      <c r="N3102">
        <v>0</v>
      </c>
      <c r="O3102">
        <v>267</v>
      </c>
      <c r="P3102" t="str">
        <f t="shared" si="289"/>
        <v>High</v>
      </c>
      <c r="Q3102">
        <v>114</v>
      </c>
      <c r="R3102">
        <v>71</v>
      </c>
      <c r="S3102">
        <v>24.81</v>
      </c>
      <c r="T3102" t="str">
        <f t="shared" si="290"/>
        <v>Normal</v>
      </c>
      <c r="U3102">
        <v>78</v>
      </c>
      <c r="V3102">
        <v>90</v>
      </c>
      <c r="W3102" t="str">
        <f t="shared" si="293"/>
        <v>Normal</v>
      </c>
      <c r="X3102">
        <v>0</v>
      </c>
    </row>
    <row r="3103" spans="1:24" ht="14.5" thickBot="1" x14ac:dyDescent="0.35">
      <c r="A3103">
        <v>1</v>
      </c>
      <c r="B3103" t="str">
        <f t="shared" si="291"/>
        <v>Male</v>
      </c>
      <c r="C3103" s="8">
        <v>56</v>
      </c>
      <c r="D3103" t="str">
        <f t="shared" si="292"/>
        <v>Senior</v>
      </c>
      <c r="E3103">
        <v>1</v>
      </c>
      <c r="F3103" t="str">
        <f>HLOOKUP(E3103, LookUP_Table!$A$6:$D$7, 2, FALSE)</f>
        <v>Primary</v>
      </c>
      <c r="G3103" t="str">
        <f>IFERROR(VLOOKUP(E3103, LookUP_Table!$A$1:$B$4, 2, FALSE), "")</f>
        <v>Primary</v>
      </c>
      <c r="H3103">
        <v>0</v>
      </c>
      <c r="I3103">
        <v>0</v>
      </c>
      <c r="J3103" t="str">
        <f t="shared" si="288"/>
        <v>Non-Smoker</v>
      </c>
      <c r="K3103">
        <v>0</v>
      </c>
      <c r="L3103">
        <v>0</v>
      </c>
      <c r="M3103">
        <v>1</v>
      </c>
      <c r="N3103">
        <v>0</v>
      </c>
      <c r="O3103">
        <v>256</v>
      </c>
      <c r="P3103" t="str">
        <f t="shared" si="289"/>
        <v>High</v>
      </c>
      <c r="Q3103">
        <v>147</v>
      </c>
      <c r="R3103">
        <v>96</v>
      </c>
      <c r="S3103">
        <v>30.42</v>
      </c>
      <c r="T3103" t="str">
        <f t="shared" si="290"/>
        <v>Obese</v>
      </c>
      <c r="U3103">
        <v>72</v>
      </c>
      <c r="V3103">
        <v>75</v>
      </c>
      <c r="W3103" t="str">
        <f t="shared" si="293"/>
        <v>Normal</v>
      </c>
      <c r="X3103">
        <v>0</v>
      </c>
    </row>
    <row r="3104" spans="1:24" ht="14.5" thickBot="1" x14ac:dyDescent="0.35">
      <c r="A3104">
        <v>0</v>
      </c>
      <c r="B3104" t="str">
        <f t="shared" si="291"/>
        <v>Female</v>
      </c>
      <c r="C3104" s="8">
        <v>56</v>
      </c>
      <c r="D3104" t="str">
        <f t="shared" si="292"/>
        <v>Senior</v>
      </c>
      <c r="E3104">
        <v>2</v>
      </c>
      <c r="F3104" t="str">
        <f>HLOOKUP(E3104, LookUP_Table!$A$6:$D$7, 2, FALSE)</f>
        <v>Secondary</v>
      </c>
      <c r="G3104" t="str">
        <f>IFERROR(VLOOKUP(E3104, LookUP_Table!$A$1:$B$4, 2, FALSE), "")</f>
        <v>Secondary</v>
      </c>
      <c r="H3104">
        <v>0</v>
      </c>
      <c r="I3104">
        <v>0</v>
      </c>
      <c r="J3104" t="str">
        <f t="shared" si="288"/>
        <v>Non-Smoker</v>
      </c>
      <c r="K3104">
        <v>0</v>
      </c>
      <c r="L3104">
        <v>0</v>
      </c>
      <c r="M3104">
        <v>0</v>
      </c>
      <c r="N3104">
        <v>0</v>
      </c>
      <c r="O3104">
        <v>261</v>
      </c>
      <c r="P3104" t="str">
        <f t="shared" si="289"/>
        <v>High</v>
      </c>
      <c r="Q3104">
        <v>145</v>
      </c>
      <c r="R3104">
        <v>77</v>
      </c>
      <c r="S3104">
        <v>26.67</v>
      </c>
      <c r="T3104" t="str">
        <f t="shared" si="290"/>
        <v>Overweight</v>
      </c>
      <c r="U3104">
        <v>73</v>
      </c>
      <c r="V3104">
        <v>95</v>
      </c>
      <c r="W3104" t="str">
        <f t="shared" si="293"/>
        <v>Normal</v>
      </c>
      <c r="X3104">
        <v>0</v>
      </c>
    </row>
    <row r="3105" spans="1:24" ht="14.5" thickBot="1" x14ac:dyDescent="0.35">
      <c r="A3105">
        <v>1</v>
      </c>
      <c r="B3105" t="str">
        <f t="shared" si="291"/>
        <v>Male</v>
      </c>
      <c r="C3105" s="8">
        <v>56</v>
      </c>
      <c r="D3105" t="str">
        <f t="shared" si="292"/>
        <v>Senior</v>
      </c>
      <c r="E3105">
        <v>2</v>
      </c>
      <c r="F3105" t="str">
        <f>HLOOKUP(E3105, LookUP_Table!$A$6:$D$7, 2, FALSE)</f>
        <v>Secondary</v>
      </c>
      <c r="G3105" t="str">
        <f>IFERROR(VLOOKUP(E3105, LookUP_Table!$A$1:$B$4, 2, FALSE), "")</f>
        <v>Secondary</v>
      </c>
      <c r="H3105">
        <v>0</v>
      </c>
      <c r="I3105">
        <v>0</v>
      </c>
      <c r="J3105" t="str">
        <f t="shared" si="288"/>
        <v>Non-Smoker</v>
      </c>
      <c r="K3105">
        <v>0</v>
      </c>
      <c r="L3105">
        <v>0</v>
      </c>
      <c r="M3105">
        <v>1</v>
      </c>
      <c r="N3105">
        <v>0</v>
      </c>
      <c r="O3105">
        <v>322</v>
      </c>
      <c r="P3105" t="str">
        <f t="shared" si="289"/>
        <v>High</v>
      </c>
      <c r="Q3105">
        <v>140</v>
      </c>
      <c r="R3105">
        <v>90</v>
      </c>
      <c r="S3105">
        <v>29.47</v>
      </c>
      <c r="T3105" t="str">
        <f t="shared" si="290"/>
        <v>Overweight</v>
      </c>
      <c r="U3105">
        <v>58</v>
      </c>
      <c r="V3105">
        <v>64</v>
      </c>
      <c r="W3105" t="str">
        <f t="shared" si="293"/>
        <v>Normal</v>
      </c>
      <c r="X3105">
        <v>0</v>
      </c>
    </row>
    <row r="3106" spans="1:24" ht="14.5" thickBot="1" x14ac:dyDescent="0.35">
      <c r="A3106">
        <v>0</v>
      </c>
      <c r="B3106" t="str">
        <f t="shared" si="291"/>
        <v>Female</v>
      </c>
      <c r="C3106" s="8">
        <v>56</v>
      </c>
      <c r="D3106" t="str">
        <f t="shared" si="292"/>
        <v>Senior</v>
      </c>
      <c r="E3106">
        <v>3</v>
      </c>
      <c r="F3106" t="str">
        <f>HLOOKUP(E3106, LookUP_Table!$A$6:$D$7, 2, FALSE)</f>
        <v>Graduate</v>
      </c>
      <c r="G3106" t="str">
        <f>IFERROR(VLOOKUP(E3106, LookUP_Table!$A$1:$B$4, 2, FALSE), "")</f>
        <v>Graduate</v>
      </c>
      <c r="H3106">
        <v>0</v>
      </c>
      <c r="I3106">
        <v>0</v>
      </c>
      <c r="J3106" t="str">
        <f t="shared" si="288"/>
        <v>Non-Smoker</v>
      </c>
      <c r="K3106">
        <v>0</v>
      </c>
      <c r="L3106">
        <v>0</v>
      </c>
      <c r="M3106">
        <v>1</v>
      </c>
      <c r="N3106">
        <v>0</v>
      </c>
      <c r="O3106">
        <v>186</v>
      </c>
      <c r="P3106" t="str">
        <f t="shared" si="289"/>
        <v>Normal</v>
      </c>
      <c r="Q3106">
        <v>155</v>
      </c>
      <c r="R3106">
        <v>102</v>
      </c>
      <c r="S3106">
        <v>24.38</v>
      </c>
      <c r="T3106" t="str">
        <f t="shared" si="290"/>
        <v>Normal</v>
      </c>
      <c r="U3106">
        <v>81</v>
      </c>
      <c r="V3106">
        <v>75</v>
      </c>
      <c r="W3106" t="str">
        <f t="shared" si="293"/>
        <v>Normal</v>
      </c>
      <c r="X3106">
        <v>0</v>
      </c>
    </row>
    <row r="3107" spans="1:24" ht="14.5" thickBot="1" x14ac:dyDescent="0.35">
      <c r="A3107">
        <v>1</v>
      </c>
      <c r="B3107" t="str">
        <f t="shared" si="291"/>
        <v>Male</v>
      </c>
      <c r="C3107" s="8">
        <v>56</v>
      </c>
      <c r="D3107" t="str">
        <f t="shared" si="292"/>
        <v>Senior</v>
      </c>
      <c r="E3107">
        <v>1</v>
      </c>
      <c r="F3107" t="str">
        <f>HLOOKUP(E3107, LookUP_Table!$A$6:$D$7, 2, FALSE)</f>
        <v>Primary</v>
      </c>
      <c r="G3107" t="str">
        <f>IFERROR(VLOOKUP(E3107, LookUP_Table!$A$1:$B$4, 2, FALSE), "")</f>
        <v>Primary</v>
      </c>
      <c r="H3107">
        <v>1</v>
      </c>
      <c r="I3107">
        <v>15</v>
      </c>
      <c r="J3107" t="str">
        <f t="shared" si="288"/>
        <v>Smoker</v>
      </c>
      <c r="K3107">
        <v>0</v>
      </c>
      <c r="L3107">
        <v>0</v>
      </c>
      <c r="M3107">
        <v>0</v>
      </c>
      <c r="N3107">
        <v>0</v>
      </c>
      <c r="O3107">
        <v>195</v>
      </c>
      <c r="P3107" t="str">
        <f t="shared" si="289"/>
        <v>Normal</v>
      </c>
      <c r="Q3107">
        <v>108</v>
      </c>
      <c r="R3107">
        <v>70</v>
      </c>
      <c r="S3107">
        <v>22.92</v>
      </c>
      <c r="T3107" t="str">
        <f t="shared" si="290"/>
        <v>Normal</v>
      </c>
      <c r="U3107">
        <v>75</v>
      </c>
      <c r="V3107">
        <v>117</v>
      </c>
      <c r="W3107" t="str">
        <f t="shared" si="293"/>
        <v>Prediabetes</v>
      </c>
      <c r="X3107">
        <v>0</v>
      </c>
    </row>
    <row r="3108" spans="1:24" ht="14.5" thickBot="1" x14ac:dyDescent="0.35">
      <c r="A3108">
        <v>1</v>
      </c>
      <c r="B3108" t="str">
        <f t="shared" si="291"/>
        <v>Male</v>
      </c>
      <c r="C3108" s="8">
        <v>56</v>
      </c>
      <c r="D3108" t="str">
        <f t="shared" si="292"/>
        <v>Senior</v>
      </c>
      <c r="E3108">
        <v>1</v>
      </c>
      <c r="F3108" t="str">
        <f>HLOOKUP(E3108, LookUP_Table!$A$6:$D$7, 2, FALSE)</f>
        <v>Primary</v>
      </c>
      <c r="G3108" t="str">
        <f>IFERROR(VLOOKUP(E3108, LookUP_Table!$A$1:$B$4, 2, FALSE), "")</f>
        <v>Primary</v>
      </c>
      <c r="H3108">
        <v>1</v>
      </c>
      <c r="I3108">
        <v>20</v>
      </c>
      <c r="J3108" t="str">
        <f t="shared" si="288"/>
        <v>Smoker</v>
      </c>
      <c r="K3108">
        <v>0</v>
      </c>
      <c r="L3108">
        <v>0</v>
      </c>
      <c r="M3108">
        <v>0</v>
      </c>
      <c r="N3108">
        <v>0</v>
      </c>
      <c r="O3108">
        <v>256</v>
      </c>
      <c r="P3108" t="str">
        <f t="shared" si="289"/>
        <v>High</v>
      </c>
      <c r="Q3108">
        <v>124</v>
      </c>
      <c r="R3108">
        <v>78</v>
      </c>
      <c r="S3108">
        <v>26.67</v>
      </c>
      <c r="T3108" t="str">
        <f t="shared" si="290"/>
        <v>Overweight</v>
      </c>
      <c r="U3108">
        <v>60</v>
      </c>
      <c r="V3108">
        <v>80</v>
      </c>
      <c r="W3108" t="str">
        <f t="shared" si="293"/>
        <v>Normal</v>
      </c>
      <c r="X3108">
        <v>0</v>
      </c>
    </row>
    <row r="3109" spans="1:24" ht="14.5" thickBot="1" x14ac:dyDescent="0.35">
      <c r="A3109">
        <v>0</v>
      </c>
      <c r="B3109" t="str">
        <f t="shared" si="291"/>
        <v>Female</v>
      </c>
      <c r="C3109" s="8">
        <v>56</v>
      </c>
      <c r="D3109" t="str">
        <f t="shared" si="292"/>
        <v>Senior</v>
      </c>
      <c r="E3109">
        <v>1</v>
      </c>
      <c r="F3109" t="str">
        <f>HLOOKUP(E3109, LookUP_Table!$A$6:$D$7, 2, FALSE)</f>
        <v>Primary</v>
      </c>
      <c r="G3109" t="str">
        <f>IFERROR(VLOOKUP(E3109, LookUP_Table!$A$1:$B$4, 2, FALSE), "")</f>
        <v>Primary</v>
      </c>
      <c r="H3109">
        <v>0</v>
      </c>
      <c r="I3109">
        <v>0</v>
      </c>
      <c r="J3109" t="str">
        <f t="shared" si="288"/>
        <v>Non-Smoker</v>
      </c>
      <c r="K3109">
        <v>0</v>
      </c>
      <c r="L3109">
        <v>0</v>
      </c>
      <c r="M3109">
        <v>0</v>
      </c>
      <c r="N3109">
        <v>0</v>
      </c>
      <c r="O3109">
        <v>259</v>
      </c>
      <c r="P3109" t="str">
        <f t="shared" si="289"/>
        <v>High</v>
      </c>
      <c r="Q3109">
        <v>138</v>
      </c>
      <c r="R3109">
        <v>87</v>
      </c>
      <c r="S3109">
        <v>30.73</v>
      </c>
      <c r="T3109" t="str">
        <f t="shared" si="290"/>
        <v>Obese</v>
      </c>
      <c r="U3109">
        <v>60</v>
      </c>
      <c r="V3109">
        <v>75</v>
      </c>
      <c r="W3109" t="str">
        <f t="shared" si="293"/>
        <v>Normal</v>
      </c>
      <c r="X3109">
        <v>0</v>
      </c>
    </row>
    <row r="3110" spans="1:24" ht="14.5" thickBot="1" x14ac:dyDescent="0.35">
      <c r="A3110">
        <v>0</v>
      </c>
      <c r="B3110" t="str">
        <f t="shared" si="291"/>
        <v>Female</v>
      </c>
      <c r="C3110" s="8">
        <v>56</v>
      </c>
      <c r="D3110" t="str">
        <f t="shared" si="292"/>
        <v>Senior</v>
      </c>
      <c r="E3110">
        <v>3</v>
      </c>
      <c r="F3110" t="str">
        <f>HLOOKUP(E3110, LookUP_Table!$A$6:$D$7, 2, FALSE)</f>
        <v>Graduate</v>
      </c>
      <c r="G3110" t="str">
        <f>IFERROR(VLOOKUP(E3110, LookUP_Table!$A$1:$B$4, 2, FALSE), "")</f>
        <v>Graduate</v>
      </c>
      <c r="H3110">
        <v>0</v>
      </c>
      <c r="I3110">
        <v>0</v>
      </c>
      <c r="J3110" t="str">
        <f t="shared" si="288"/>
        <v>Non-Smoker</v>
      </c>
      <c r="K3110">
        <v>0</v>
      </c>
      <c r="L3110">
        <v>0</v>
      </c>
      <c r="M3110">
        <v>0</v>
      </c>
      <c r="N3110">
        <v>0</v>
      </c>
      <c r="O3110">
        <v>248</v>
      </c>
      <c r="P3110" t="str">
        <f t="shared" si="289"/>
        <v>High</v>
      </c>
      <c r="Q3110">
        <v>112.5</v>
      </c>
      <c r="R3110">
        <v>60</v>
      </c>
      <c r="S3110">
        <v>22.69</v>
      </c>
      <c r="T3110" t="str">
        <f t="shared" si="290"/>
        <v>Normal</v>
      </c>
      <c r="U3110">
        <v>75</v>
      </c>
      <c r="V3110">
        <v>92</v>
      </c>
      <c r="W3110" t="str">
        <f t="shared" si="293"/>
        <v>Normal</v>
      </c>
      <c r="X3110">
        <v>0</v>
      </c>
    </row>
    <row r="3111" spans="1:24" ht="14.5" thickBot="1" x14ac:dyDescent="0.35">
      <c r="A3111">
        <v>0</v>
      </c>
      <c r="B3111" t="str">
        <f t="shared" si="291"/>
        <v>Female</v>
      </c>
      <c r="C3111" s="8">
        <v>56</v>
      </c>
      <c r="D3111" t="str">
        <f t="shared" si="292"/>
        <v>Senior</v>
      </c>
      <c r="E3111">
        <v>2</v>
      </c>
      <c r="F3111" t="str">
        <f>HLOOKUP(E3111, LookUP_Table!$A$6:$D$7, 2, FALSE)</f>
        <v>Secondary</v>
      </c>
      <c r="G3111" t="str">
        <f>IFERROR(VLOOKUP(E3111, LookUP_Table!$A$1:$B$4, 2, FALSE), "")</f>
        <v>Secondary</v>
      </c>
      <c r="H3111">
        <v>0</v>
      </c>
      <c r="I3111">
        <v>0</v>
      </c>
      <c r="J3111" t="str">
        <f t="shared" si="288"/>
        <v>Non-Smoker</v>
      </c>
      <c r="K3111">
        <v>0</v>
      </c>
      <c r="L3111">
        <v>0</v>
      </c>
      <c r="M3111">
        <v>1</v>
      </c>
      <c r="N3111">
        <v>0</v>
      </c>
      <c r="O3111">
        <v>338</v>
      </c>
      <c r="P3111" t="str">
        <f t="shared" si="289"/>
        <v>High</v>
      </c>
      <c r="Q3111">
        <v>190</v>
      </c>
      <c r="R3111">
        <v>97</v>
      </c>
      <c r="S3111">
        <v>26.1</v>
      </c>
      <c r="T3111" t="str">
        <f t="shared" si="290"/>
        <v>Overweight</v>
      </c>
      <c r="U3111">
        <v>75</v>
      </c>
      <c r="V3111">
        <v>83</v>
      </c>
      <c r="W3111" t="str">
        <f t="shared" si="293"/>
        <v>Normal</v>
      </c>
      <c r="X3111">
        <v>0</v>
      </c>
    </row>
    <row r="3112" spans="1:24" ht="14.5" thickBot="1" x14ac:dyDescent="0.35">
      <c r="A3112">
        <v>1</v>
      </c>
      <c r="B3112" t="str">
        <f t="shared" si="291"/>
        <v>Male</v>
      </c>
      <c r="C3112" s="8">
        <v>56</v>
      </c>
      <c r="D3112" t="str">
        <f t="shared" si="292"/>
        <v>Senior</v>
      </c>
      <c r="E3112">
        <v>4</v>
      </c>
      <c r="F3112" t="str">
        <f>HLOOKUP(E3112, LookUP_Table!$A$6:$D$7, 2, FALSE)</f>
        <v>Post Graduate</v>
      </c>
      <c r="G3112" t="str">
        <f>IFERROR(VLOOKUP(E3112, LookUP_Table!$A$1:$B$4, 2, FALSE), "")</f>
        <v>Post Graduate</v>
      </c>
      <c r="H3112">
        <v>0</v>
      </c>
      <c r="I3112">
        <v>0</v>
      </c>
      <c r="J3112" t="str">
        <f t="shared" si="288"/>
        <v>Non-Smoker</v>
      </c>
      <c r="K3112">
        <v>0</v>
      </c>
      <c r="L3112">
        <v>0</v>
      </c>
      <c r="M3112">
        <v>0</v>
      </c>
      <c r="N3112">
        <v>0</v>
      </c>
      <c r="O3112">
        <v>232</v>
      </c>
      <c r="P3112" t="str">
        <f t="shared" si="289"/>
        <v>Normal</v>
      </c>
      <c r="Q3112">
        <v>126</v>
      </c>
      <c r="R3112">
        <v>83</v>
      </c>
      <c r="S3112">
        <v>25.67</v>
      </c>
      <c r="T3112" t="str">
        <f t="shared" si="290"/>
        <v>Overweight</v>
      </c>
      <c r="U3112">
        <v>75</v>
      </c>
      <c r="V3112">
        <v>81.96365524402907</v>
      </c>
      <c r="W3112" t="str">
        <f t="shared" si="293"/>
        <v>Normal</v>
      </c>
      <c r="X3112">
        <v>0</v>
      </c>
    </row>
    <row r="3113" spans="1:24" ht="14.5" thickBot="1" x14ac:dyDescent="0.35">
      <c r="A3113">
        <v>1</v>
      </c>
      <c r="B3113" t="str">
        <f t="shared" si="291"/>
        <v>Male</v>
      </c>
      <c r="C3113" s="8">
        <v>56</v>
      </c>
      <c r="D3113" t="str">
        <f t="shared" si="292"/>
        <v>Senior</v>
      </c>
      <c r="E3113">
        <v>1</v>
      </c>
      <c r="F3113" t="str">
        <f>HLOOKUP(E3113, LookUP_Table!$A$6:$D$7, 2, FALSE)</f>
        <v>Primary</v>
      </c>
      <c r="G3113" t="str">
        <f>IFERROR(VLOOKUP(E3113, LookUP_Table!$A$1:$B$4, 2, FALSE), "")</f>
        <v>Primary</v>
      </c>
      <c r="H3113">
        <v>1</v>
      </c>
      <c r="I3113">
        <v>7</v>
      </c>
      <c r="J3113" t="str">
        <f t="shared" si="288"/>
        <v>Smoker</v>
      </c>
      <c r="K3113">
        <v>0</v>
      </c>
      <c r="L3113">
        <v>0</v>
      </c>
      <c r="M3113">
        <v>1</v>
      </c>
      <c r="N3113">
        <v>0</v>
      </c>
      <c r="O3113">
        <v>222</v>
      </c>
      <c r="P3113" t="str">
        <f t="shared" si="289"/>
        <v>Normal</v>
      </c>
      <c r="Q3113">
        <v>159</v>
      </c>
      <c r="R3113">
        <v>91.5</v>
      </c>
      <c r="S3113">
        <v>27.12</v>
      </c>
      <c r="T3113" t="str">
        <f t="shared" si="290"/>
        <v>Overweight</v>
      </c>
      <c r="U3113">
        <v>70</v>
      </c>
      <c r="V3113">
        <v>80</v>
      </c>
      <c r="W3113" t="str">
        <f t="shared" si="293"/>
        <v>Normal</v>
      </c>
      <c r="X3113">
        <v>1</v>
      </c>
    </row>
    <row r="3114" spans="1:24" ht="14.5" thickBot="1" x14ac:dyDescent="0.35">
      <c r="A3114">
        <v>0</v>
      </c>
      <c r="B3114" t="str">
        <f t="shared" si="291"/>
        <v>Female</v>
      </c>
      <c r="C3114" s="8">
        <v>56</v>
      </c>
      <c r="D3114" t="str">
        <f t="shared" si="292"/>
        <v>Senior</v>
      </c>
      <c r="E3114">
        <v>1</v>
      </c>
      <c r="F3114" t="str">
        <f>HLOOKUP(E3114, LookUP_Table!$A$6:$D$7, 2, FALSE)</f>
        <v>Primary</v>
      </c>
      <c r="G3114" t="str">
        <f>IFERROR(VLOOKUP(E3114, LookUP_Table!$A$1:$B$4, 2, FALSE), "")</f>
        <v>Primary</v>
      </c>
      <c r="H3114">
        <v>1</v>
      </c>
      <c r="I3114">
        <v>3</v>
      </c>
      <c r="J3114" t="str">
        <f t="shared" si="288"/>
        <v>Smoker</v>
      </c>
      <c r="K3114">
        <v>0</v>
      </c>
      <c r="L3114">
        <v>0</v>
      </c>
      <c r="M3114">
        <v>1</v>
      </c>
      <c r="N3114">
        <v>0</v>
      </c>
      <c r="O3114">
        <v>285</v>
      </c>
      <c r="P3114" t="str">
        <f t="shared" si="289"/>
        <v>High</v>
      </c>
      <c r="Q3114">
        <v>145</v>
      </c>
      <c r="R3114">
        <v>100</v>
      </c>
      <c r="S3114">
        <v>30.14</v>
      </c>
      <c r="T3114" t="str">
        <f t="shared" si="290"/>
        <v>Obese</v>
      </c>
      <c r="U3114">
        <v>80</v>
      </c>
      <c r="V3114">
        <v>86</v>
      </c>
      <c r="W3114" t="str">
        <f t="shared" si="293"/>
        <v>Normal</v>
      </c>
      <c r="X3114">
        <v>0</v>
      </c>
    </row>
    <row r="3115" spans="1:24" ht="14.5" thickBot="1" x14ac:dyDescent="0.35">
      <c r="A3115">
        <v>1</v>
      </c>
      <c r="B3115" t="str">
        <f t="shared" si="291"/>
        <v>Male</v>
      </c>
      <c r="C3115" s="8">
        <v>56</v>
      </c>
      <c r="D3115" t="str">
        <f t="shared" si="292"/>
        <v>Senior</v>
      </c>
      <c r="E3115">
        <v>3</v>
      </c>
      <c r="F3115" t="str">
        <f>HLOOKUP(E3115, LookUP_Table!$A$6:$D$7, 2, FALSE)</f>
        <v>Graduate</v>
      </c>
      <c r="G3115" t="str">
        <f>IFERROR(VLOOKUP(E3115, LookUP_Table!$A$1:$B$4, 2, FALSE), "")</f>
        <v>Graduate</v>
      </c>
      <c r="H3115">
        <v>0</v>
      </c>
      <c r="I3115">
        <v>0</v>
      </c>
      <c r="J3115" t="str">
        <f t="shared" si="288"/>
        <v>Non-Smoker</v>
      </c>
      <c r="K3115">
        <v>0</v>
      </c>
      <c r="L3115">
        <v>0</v>
      </c>
      <c r="M3115">
        <v>0</v>
      </c>
      <c r="N3115">
        <v>1</v>
      </c>
      <c r="O3115">
        <v>214</v>
      </c>
      <c r="P3115" t="str">
        <f t="shared" si="289"/>
        <v>Normal</v>
      </c>
      <c r="Q3115">
        <v>115</v>
      </c>
      <c r="R3115">
        <v>80</v>
      </c>
      <c r="S3115">
        <v>25.09</v>
      </c>
      <c r="T3115" t="str">
        <f t="shared" si="290"/>
        <v>Overweight</v>
      </c>
      <c r="U3115">
        <v>70</v>
      </c>
      <c r="V3115">
        <v>292</v>
      </c>
      <c r="W3115" t="str">
        <f t="shared" si="293"/>
        <v>Diabetes</v>
      </c>
      <c r="X3115">
        <v>1</v>
      </c>
    </row>
    <row r="3116" spans="1:24" ht="14.5" thickBot="1" x14ac:dyDescent="0.35">
      <c r="A3116">
        <v>0</v>
      </c>
      <c r="B3116" t="str">
        <f t="shared" si="291"/>
        <v>Female</v>
      </c>
      <c r="C3116" s="8">
        <v>56</v>
      </c>
      <c r="D3116" t="str">
        <f t="shared" si="292"/>
        <v>Senior</v>
      </c>
      <c r="E3116">
        <v>1</v>
      </c>
      <c r="F3116" t="str">
        <f>HLOOKUP(E3116, LookUP_Table!$A$6:$D$7, 2, FALSE)</f>
        <v>Primary</v>
      </c>
      <c r="G3116" t="str">
        <f>IFERROR(VLOOKUP(E3116, LookUP_Table!$A$1:$B$4, 2, FALSE), "")</f>
        <v>Primary</v>
      </c>
      <c r="H3116">
        <v>0</v>
      </c>
      <c r="I3116">
        <v>0</v>
      </c>
      <c r="J3116" t="str">
        <f t="shared" si="288"/>
        <v>Non-Smoker</v>
      </c>
      <c r="K3116">
        <v>0</v>
      </c>
      <c r="L3116">
        <v>0</v>
      </c>
      <c r="M3116">
        <v>0</v>
      </c>
      <c r="N3116">
        <v>0</v>
      </c>
      <c r="O3116">
        <v>254</v>
      </c>
      <c r="P3116" t="str">
        <f t="shared" si="289"/>
        <v>High</v>
      </c>
      <c r="Q3116">
        <v>106</v>
      </c>
      <c r="R3116">
        <v>65</v>
      </c>
      <c r="S3116">
        <v>24.08</v>
      </c>
      <c r="T3116" t="str">
        <f t="shared" si="290"/>
        <v>Normal</v>
      </c>
      <c r="U3116">
        <v>75</v>
      </c>
      <c r="V3116">
        <v>81.96365524402907</v>
      </c>
      <c r="W3116" t="str">
        <f t="shared" si="293"/>
        <v>Normal</v>
      </c>
      <c r="X3116">
        <v>0</v>
      </c>
    </row>
    <row r="3117" spans="1:24" ht="14.5" thickBot="1" x14ac:dyDescent="0.35">
      <c r="A3117">
        <v>1</v>
      </c>
      <c r="B3117" t="str">
        <f t="shared" si="291"/>
        <v>Male</v>
      </c>
      <c r="C3117" s="8">
        <v>56</v>
      </c>
      <c r="D3117" t="str">
        <f t="shared" si="292"/>
        <v>Senior</v>
      </c>
      <c r="E3117">
        <v>4</v>
      </c>
      <c r="F3117" t="str">
        <f>HLOOKUP(E3117, LookUP_Table!$A$6:$D$7, 2, FALSE)</f>
        <v>Post Graduate</v>
      </c>
      <c r="G3117" t="str">
        <f>IFERROR(VLOOKUP(E3117, LookUP_Table!$A$1:$B$4, 2, FALSE), "")</f>
        <v>Post Graduate</v>
      </c>
      <c r="H3117">
        <v>0</v>
      </c>
      <c r="I3117">
        <v>0</v>
      </c>
      <c r="J3117" t="str">
        <f t="shared" si="288"/>
        <v>Non-Smoker</v>
      </c>
      <c r="K3117">
        <v>0</v>
      </c>
      <c r="L3117">
        <v>0</v>
      </c>
      <c r="M3117">
        <v>0</v>
      </c>
      <c r="N3117">
        <v>0</v>
      </c>
      <c r="O3117">
        <v>296</v>
      </c>
      <c r="P3117" t="str">
        <f t="shared" si="289"/>
        <v>High</v>
      </c>
      <c r="Q3117">
        <v>123</v>
      </c>
      <c r="R3117">
        <v>86</v>
      </c>
      <c r="S3117">
        <v>25.59</v>
      </c>
      <c r="T3117" t="str">
        <f t="shared" si="290"/>
        <v>Overweight</v>
      </c>
      <c r="U3117">
        <v>70</v>
      </c>
      <c r="V3117">
        <v>63</v>
      </c>
      <c r="W3117" t="str">
        <f t="shared" si="293"/>
        <v>Normal</v>
      </c>
      <c r="X3117">
        <v>0</v>
      </c>
    </row>
    <row r="3118" spans="1:24" ht="14.5" thickBot="1" x14ac:dyDescent="0.35">
      <c r="A3118">
        <v>1</v>
      </c>
      <c r="B3118" t="str">
        <f t="shared" si="291"/>
        <v>Male</v>
      </c>
      <c r="C3118" s="8">
        <v>56</v>
      </c>
      <c r="D3118" t="str">
        <f t="shared" si="292"/>
        <v>Senior</v>
      </c>
      <c r="E3118">
        <v>3</v>
      </c>
      <c r="F3118" t="str">
        <f>HLOOKUP(E3118, LookUP_Table!$A$6:$D$7, 2, FALSE)</f>
        <v>Graduate</v>
      </c>
      <c r="G3118" t="str">
        <f>IFERROR(VLOOKUP(E3118, LookUP_Table!$A$1:$B$4, 2, FALSE), "")</f>
        <v>Graduate</v>
      </c>
      <c r="H3118">
        <v>0</v>
      </c>
      <c r="I3118">
        <v>0</v>
      </c>
      <c r="J3118" t="str">
        <f t="shared" si="288"/>
        <v>Non-Smoker</v>
      </c>
      <c r="K3118">
        <v>0</v>
      </c>
      <c r="L3118">
        <v>0</v>
      </c>
      <c r="M3118">
        <v>0</v>
      </c>
      <c r="N3118">
        <v>0</v>
      </c>
      <c r="O3118">
        <v>280</v>
      </c>
      <c r="P3118" t="str">
        <f t="shared" si="289"/>
        <v>High</v>
      </c>
      <c r="Q3118">
        <v>123</v>
      </c>
      <c r="R3118">
        <v>75</v>
      </c>
      <c r="S3118">
        <v>27.82</v>
      </c>
      <c r="T3118" t="str">
        <f t="shared" si="290"/>
        <v>Overweight</v>
      </c>
      <c r="U3118">
        <v>68</v>
      </c>
      <c r="V3118">
        <v>112</v>
      </c>
      <c r="W3118" t="str">
        <f t="shared" si="293"/>
        <v>Prediabetes</v>
      </c>
      <c r="X3118">
        <v>0</v>
      </c>
    </row>
    <row r="3119" spans="1:24" ht="14.5" thickBot="1" x14ac:dyDescent="0.35">
      <c r="A3119">
        <v>1</v>
      </c>
      <c r="B3119" t="str">
        <f t="shared" si="291"/>
        <v>Male</v>
      </c>
      <c r="C3119" s="8">
        <v>56</v>
      </c>
      <c r="D3119" t="str">
        <f t="shared" si="292"/>
        <v>Senior</v>
      </c>
      <c r="E3119">
        <v>2</v>
      </c>
      <c r="F3119" t="str">
        <f>HLOOKUP(E3119, LookUP_Table!$A$6:$D$7, 2, FALSE)</f>
        <v>Secondary</v>
      </c>
      <c r="G3119" t="str">
        <f>IFERROR(VLOOKUP(E3119, LookUP_Table!$A$1:$B$4, 2, FALSE), "")</f>
        <v>Secondary</v>
      </c>
      <c r="H3119">
        <v>1</v>
      </c>
      <c r="I3119">
        <v>20</v>
      </c>
      <c r="J3119" t="str">
        <f t="shared" si="288"/>
        <v>Smoker</v>
      </c>
      <c r="K3119">
        <v>0</v>
      </c>
      <c r="L3119">
        <v>0</v>
      </c>
      <c r="M3119">
        <v>0</v>
      </c>
      <c r="N3119">
        <v>0</v>
      </c>
      <c r="O3119">
        <v>189</v>
      </c>
      <c r="P3119" t="str">
        <f t="shared" si="289"/>
        <v>Normal</v>
      </c>
      <c r="Q3119">
        <v>120</v>
      </c>
      <c r="R3119">
        <v>70</v>
      </c>
      <c r="S3119">
        <v>21.41</v>
      </c>
      <c r="T3119" t="str">
        <f t="shared" si="290"/>
        <v>Normal</v>
      </c>
      <c r="U3119">
        <v>70</v>
      </c>
      <c r="V3119">
        <v>70</v>
      </c>
      <c r="W3119" t="str">
        <f t="shared" si="293"/>
        <v>Normal</v>
      </c>
      <c r="X3119">
        <v>0</v>
      </c>
    </row>
    <row r="3120" spans="1:24" ht="14.5" thickBot="1" x14ac:dyDescent="0.35">
      <c r="A3120">
        <v>1</v>
      </c>
      <c r="B3120" t="str">
        <f t="shared" si="291"/>
        <v>Male</v>
      </c>
      <c r="C3120" s="8">
        <v>56</v>
      </c>
      <c r="D3120" t="str">
        <f t="shared" si="292"/>
        <v>Senior</v>
      </c>
      <c r="E3120">
        <v>3</v>
      </c>
      <c r="F3120" t="str">
        <f>HLOOKUP(E3120, LookUP_Table!$A$6:$D$7, 2, FALSE)</f>
        <v>Graduate</v>
      </c>
      <c r="G3120" t="str">
        <f>IFERROR(VLOOKUP(E3120, LookUP_Table!$A$1:$B$4, 2, FALSE), "")</f>
        <v>Graduate</v>
      </c>
      <c r="H3120">
        <v>0</v>
      </c>
      <c r="I3120">
        <v>0</v>
      </c>
      <c r="J3120" t="str">
        <f t="shared" si="288"/>
        <v>Non-Smoker</v>
      </c>
      <c r="K3120">
        <v>0</v>
      </c>
      <c r="L3120">
        <v>0</v>
      </c>
      <c r="M3120">
        <v>0</v>
      </c>
      <c r="N3120">
        <v>0</v>
      </c>
      <c r="O3120">
        <v>205</v>
      </c>
      <c r="P3120" t="str">
        <f t="shared" si="289"/>
        <v>Normal</v>
      </c>
      <c r="Q3120">
        <v>129</v>
      </c>
      <c r="R3120">
        <v>83.5</v>
      </c>
      <c r="S3120">
        <v>28.82</v>
      </c>
      <c r="T3120" t="str">
        <f t="shared" si="290"/>
        <v>Overweight</v>
      </c>
      <c r="U3120">
        <v>56</v>
      </c>
      <c r="V3120">
        <v>64</v>
      </c>
      <c r="W3120" t="str">
        <f t="shared" si="293"/>
        <v>Normal</v>
      </c>
      <c r="X3120">
        <v>0</v>
      </c>
    </row>
    <row r="3121" spans="1:24" ht="14.5" thickBot="1" x14ac:dyDescent="0.35">
      <c r="A3121">
        <v>0</v>
      </c>
      <c r="B3121" t="str">
        <f t="shared" si="291"/>
        <v>Female</v>
      </c>
      <c r="C3121" s="8">
        <v>56</v>
      </c>
      <c r="D3121" t="str">
        <f t="shared" si="292"/>
        <v>Senior</v>
      </c>
      <c r="E3121">
        <v>1</v>
      </c>
      <c r="F3121" t="str">
        <f>HLOOKUP(E3121, LookUP_Table!$A$6:$D$7, 2, FALSE)</f>
        <v>Primary</v>
      </c>
      <c r="G3121" t="str">
        <f>IFERROR(VLOOKUP(E3121, LookUP_Table!$A$1:$B$4, 2, FALSE), "")</f>
        <v>Primary</v>
      </c>
      <c r="H3121">
        <v>0</v>
      </c>
      <c r="I3121">
        <v>0</v>
      </c>
      <c r="J3121" t="str">
        <f t="shared" si="288"/>
        <v>Non-Smoker</v>
      </c>
      <c r="K3121">
        <v>0</v>
      </c>
      <c r="L3121">
        <v>0</v>
      </c>
      <c r="M3121">
        <v>1</v>
      </c>
      <c r="N3121">
        <v>0</v>
      </c>
      <c r="O3121">
        <v>206</v>
      </c>
      <c r="P3121" t="str">
        <f t="shared" si="289"/>
        <v>Normal</v>
      </c>
      <c r="Q3121">
        <v>158</v>
      </c>
      <c r="R3121">
        <v>70</v>
      </c>
      <c r="S3121">
        <v>28.34</v>
      </c>
      <c r="T3121" t="str">
        <f t="shared" si="290"/>
        <v>Overweight</v>
      </c>
      <c r="U3121">
        <v>60</v>
      </c>
      <c r="V3121">
        <v>88</v>
      </c>
      <c r="W3121" t="str">
        <f t="shared" si="293"/>
        <v>Normal</v>
      </c>
      <c r="X3121">
        <v>1</v>
      </c>
    </row>
    <row r="3122" spans="1:24" ht="14.5" thickBot="1" x14ac:dyDescent="0.35">
      <c r="A3122">
        <v>0</v>
      </c>
      <c r="B3122" t="str">
        <f t="shared" si="291"/>
        <v>Female</v>
      </c>
      <c r="C3122" s="8">
        <v>56</v>
      </c>
      <c r="D3122" t="str">
        <f t="shared" si="292"/>
        <v>Senior</v>
      </c>
      <c r="E3122">
        <v>1</v>
      </c>
      <c r="F3122" t="str">
        <f>HLOOKUP(E3122, LookUP_Table!$A$6:$D$7, 2, FALSE)</f>
        <v>Primary</v>
      </c>
      <c r="G3122" t="str">
        <f>IFERROR(VLOOKUP(E3122, LookUP_Table!$A$1:$B$4, 2, FALSE), "")</f>
        <v>Primary</v>
      </c>
      <c r="H3122">
        <v>0</v>
      </c>
      <c r="I3122">
        <v>0</v>
      </c>
      <c r="J3122" t="str">
        <f t="shared" si="288"/>
        <v>Non-Smoker</v>
      </c>
      <c r="K3122">
        <v>0</v>
      </c>
      <c r="L3122">
        <v>0</v>
      </c>
      <c r="M3122">
        <v>0</v>
      </c>
      <c r="N3122">
        <v>0</v>
      </c>
      <c r="O3122">
        <v>227</v>
      </c>
      <c r="P3122" t="str">
        <f t="shared" si="289"/>
        <v>Normal</v>
      </c>
      <c r="Q3122">
        <v>140</v>
      </c>
      <c r="R3122">
        <v>88</v>
      </c>
      <c r="S3122">
        <v>24.59</v>
      </c>
      <c r="T3122" t="str">
        <f t="shared" si="290"/>
        <v>Normal</v>
      </c>
      <c r="U3122">
        <v>95</v>
      </c>
      <c r="V3122">
        <v>78</v>
      </c>
      <c r="W3122" t="str">
        <f t="shared" si="293"/>
        <v>Normal</v>
      </c>
      <c r="X3122">
        <v>0</v>
      </c>
    </row>
    <row r="3123" spans="1:24" ht="14.5" thickBot="1" x14ac:dyDescent="0.35">
      <c r="A3123">
        <v>1</v>
      </c>
      <c r="B3123" t="str">
        <f t="shared" si="291"/>
        <v>Male</v>
      </c>
      <c r="C3123" s="8">
        <v>56</v>
      </c>
      <c r="D3123" t="str">
        <f t="shared" si="292"/>
        <v>Senior</v>
      </c>
      <c r="E3123">
        <v>1</v>
      </c>
      <c r="F3123" t="str">
        <f>HLOOKUP(E3123, LookUP_Table!$A$6:$D$7, 2, FALSE)</f>
        <v>Primary</v>
      </c>
      <c r="G3123" t="str">
        <f>IFERROR(VLOOKUP(E3123, LookUP_Table!$A$1:$B$4, 2, FALSE), "")</f>
        <v>Primary</v>
      </c>
      <c r="H3123">
        <v>0</v>
      </c>
      <c r="I3123">
        <v>0</v>
      </c>
      <c r="J3123" t="str">
        <f t="shared" si="288"/>
        <v>Non-Smoker</v>
      </c>
      <c r="K3123">
        <v>0</v>
      </c>
      <c r="L3123">
        <v>0</v>
      </c>
      <c r="M3123">
        <v>1</v>
      </c>
      <c r="N3123">
        <v>0</v>
      </c>
      <c r="O3123">
        <v>194</v>
      </c>
      <c r="P3123" t="str">
        <f t="shared" si="289"/>
        <v>Normal</v>
      </c>
      <c r="Q3123">
        <v>127</v>
      </c>
      <c r="R3123">
        <v>83</v>
      </c>
      <c r="S3123">
        <v>26.05</v>
      </c>
      <c r="T3123" t="str">
        <f t="shared" si="290"/>
        <v>Overweight</v>
      </c>
      <c r="U3123">
        <v>80</v>
      </c>
      <c r="V3123">
        <v>73</v>
      </c>
      <c r="W3123" t="str">
        <f t="shared" si="293"/>
        <v>Normal</v>
      </c>
      <c r="X3123">
        <v>0</v>
      </c>
    </row>
    <row r="3124" spans="1:24" ht="14.5" thickBot="1" x14ac:dyDescent="0.35">
      <c r="A3124">
        <v>1</v>
      </c>
      <c r="B3124" t="str">
        <f t="shared" si="291"/>
        <v>Male</v>
      </c>
      <c r="C3124" s="8">
        <v>56</v>
      </c>
      <c r="D3124" t="str">
        <f t="shared" si="292"/>
        <v>Senior</v>
      </c>
      <c r="E3124">
        <v>1</v>
      </c>
      <c r="F3124" t="str">
        <f>HLOOKUP(E3124, LookUP_Table!$A$6:$D$7, 2, FALSE)</f>
        <v>Primary</v>
      </c>
      <c r="G3124" t="str">
        <f>IFERROR(VLOOKUP(E3124, LookUP_Table!$A$1:$B$4, 2, FALSE), "")</f>
        <v>Primary</v>
      </c>
      <c r="H3124">
        <v>1</v>
      </c>
      <c r="I3124">
        <v>20</v>
      </c>
      <c r="J3124" t="str">
        <f t="shared" si="288"/>
        <v>Smoker</v>
      </c>
      <c r="K3124">
        <v>0</v>
      </c>
      <c r="L3124">
        <v>0</v>
      </c>
      <c r="M3124">
        <v>0</v>
      </c>
      <c r="N3124">
        <v>0</v>
      </c>
      <c r="O3124">
        <v>191</v>
      </c>
      <c r="P3124" t="str">
        <f t="shared" si="289"/>
        <v>Normal</v>
      </c>
      <c r="Q3124">
        <v>130</v>
      </c>
      <c r="R3124">
        <v>70</v>
      </c>
      <c r="S3124">
        <v>26.09</v>
      </c>
      <c r="T3124" t="str">
        <f t="shared" si="290"/>
        <v>Overweight</v>
      </c>
      <c r="U3124">
        <v>75</v>
      </c>
      <c r="V3124">
        <v>97</v>
      </c>
      <c r="W3124" t="str">
        <f t="shared" si="293"/>
        <v>Normal</v>
      </c>
      <c r="X3124">
        <v>0</v>
      </c>
    </row>
    <row r="3125" spans="1:24" ht="14.5" thickBot="1" x14ac:dyDescent="0.35">
      <c r="A3125">
        <v>0</v>
      </c>
      <c r="B3125" t="str">
        <f t="shared" si="291"/>
        <v>Female</v>
      </c>
      <c r="C3125" s="8">
        <v>56</v>
      </c>
      <c r="D3125" t="str">
        <f t="shared" si="292"/>
        <v>Senior</v>
      </c>
      <c r="E3125">
        <v>3</v>
      </c>
      <c r="F3125" t="str">
        <f>HLOOKUP(E3125, LookUP_Table!$A$6:$D$7, 2, FALSE)</f>
        <v>Graduate</v>
      </c>
      <c r="G3125" t="str">
        <f>IFERROR(VLOOKUP(E3125, LookUP_Table!$A$1:$B$4, 2, FALSE), "")</f>
        <v>Graduate</v>
      </c>
      <c r="H3125">
        <v>0</v>
      </c>
      <c r="I3125">
        <v>0</v>
      </c>
      <c r="J3125" t="str">
        <f t="shared" si="288"/>
        <v>Non-Smoker</v>
      </c>
      <c r="K3125">
        <v>0</v>
      </c>
      <c r="L3125">
        <v>0</v>
      </c>
      <c r="M3125">
        <v>0</v>
      </c>
      <c r="N3125">
        <v>0</v>
      </c>
      <c r="O3125">
        <v>344</v>
      </c>
      <c r="P3125" t="str">
        <f t="shared" si="289"/>
        <v>High</v>
      </c>
      <c r="Q3125">
        <v>119</v>
      </c>
      <c r="R3125">
        <v>82</v>
      </c>
      <c r="S3125">
        <v>26.82</v>
      </c>
      <c r="T3125" t="str">
        <f t="shared" si="290"/>
        <v>Overweight</v>
      </c>
      <c r="U3125">
        <v>80</v>
      </c>
      <c r="V3125">
        <v>105</v>
      </c>
      <c r="W3125" t="str">
        <f t="shared" si="293"/>
        <v>Prediabetes</v>
      </c>
      <c r="X3125">
        <v>0</v>
      </c>
    </row>
    <row r="3126" spans="1:24" ht="14.5" thickBot="1" x14ac:dyDescent="0.35">
      <c r="A3126">
        <v>0</v>
      </c>
      <c r="B3126" t="str">
        <f t="shared" si="291"/>
        <v>Female</v>
      </c>
      <c r="C3126" s="8">
        <v>56</v>
      </c>
      <c r="D3126" t="str">
        <f t="shared" si="292"/>
        <v>Senior</v>
      </c>
      <c r="E3126">
        <v>2</v>
      </c>
      <c r="F3126" t="str">
        <f>HLOOKUP(E3126, LookUP_Table!$A$6:$D$7, 2, FALSE)</f>
        <v>Secondary</v>
      </c>
      <c r="G3126" t="str">
        <f>IFERROR(VLOOKUP(E3126, LookUP_Table!$A$1:$B$4, 2, FALSE), "")</f>
        <v>Secondary</v>
      </c>
      <c r="H3126">
        <v>1</v>
      </c>
      <c r="I3126">
        <v>5</v>
      </c>
      <c r="J3126" t="str">
        <f t="shared" si="288"/>
        <v>Smoker</v>
      </c>
      <c r="K3126">
        <v>0</v>
      </c>
      <c r="L3126">
        <v>0</v>
      </c>
      <c r="M3126">
        <v>0</v>
      </c>
      <c r="N3126">
        <v>0</v>
      </c>
      <c r="O3126">
        <v>310</v>
      </c>
      <c r="P3126" t="str">
        <f t="shared" si="289"/>
        <v>High</v>
      </c>
      <c r="Q3126">
        <v>128.5</v>
      </c>
      <c r="R3126">
        <v>82</v>
      </c>
      <c r="S3126">
        <v>25.36</v>
      </c>
      <c r="T3126" t="str">
        <f t="shared" si="290"/>
        <v>Overweight</v>
      </c>
      <c r="U3126">
        <v>70</v>
      </c>
      <c r="V3126">
        <v>85</v>
      </c>
      <c r="W3126" t="str">
        <f t="shared" si="293"/>
        <v>Normal</v>
      </c>
      <c r="X3126">
        <v>0</v>
      </c>
    </row>
    <row r="3127" spans="1:24" ht="14.5" thickBot="1" x14ac:dyDescent="0.35">
      <c r="A3127">
        <v>0</v>
      </c>
      <c r="B3127" t="str">
        <f t="shared" si="291"/>
        <v>Female</v>
      </c>
      <c r="C3127" s="8">
        <v>56</v>
      </c>
      <c r="D3127" t="str">
        <f t="shared" si="292"/>
        <v>Senior</v>
      </c>
      <c r="E3127">
        <v>1</v>
      </c>
      <c r="F3127" t="str">
        <f>HLOOKUP(E3127, LookUP_Table!$A$6:$D$7, 2, FALSE)</f>
        <v>Primary</v>
      </c>
      <c r="G3127" t="str">
        <f>IFERROR(VLOOKUP(E3127, LookUP_Table!$A$1:$B$4, 2, FALSE), "")</f>
        <v>Primary</v>
      </c>
      <c r="H3127">
        <v>0</v>
      </c>
      <c r="I3127">
        <v>0</v>
      </c>
      <c r="J3127" t="str">
        <f t="shared" si="288"/>
        <v>Non-Smoker</v>
      </c>
      <c r="K3127">
        <v>0</v>
      </c>
      <c r="L3127">
        <v>0</v>
      </c>
      <c r="M3127">
        <v>1</v>
      </c>
      <c r="N3127">
        <v>0</v>
      </c>
      <c r="O3127">
        <v>301</v>
      </c>
      <c r="P3127" t="str">
        <f t="shared" si="289"/>
        <v>High</v>
      </c>
      <c r="Q3127">
        <v>127.5</v>
      </c>
      <c r="R3127">
        <v>91.5</v>
      </c>
      <c r="S3127">
        <v>25.39</v>
      </c>
      <c r="T3127" t="str">
        <f t="shared" si="290"/>
        <v>Overweight</v>
      </c>
      <c r="U3127">
        <v>80</v>
      </c>
      <c r="V3127">
        <v>74</v>
      </c>
      <c r="W3127" t="str">
        <f t="shared" si="293"/>
        <v>Normal</v>
      </c>
      <c r="X3127">
        <v>0</v>
      </c>
    </row>
    <row r="3128" spans="1:24" ht="14.5" thickBot="1" x14ac:dyDescent="0.35">
      <c r="A3128">
        <v>1</v>
      </c>
      <c r="B3128" t="str">
        <f t="shared" si="291"/>
        <v>Male</v>
      </c>
      <c r="C3128" s="8">
        <v>56</v>
      </c>
      <c r="D3128" t="str">
        <f t="shared" si="292"/>
        <v>Senior</v>
      </c>
      <c r="E3128">
        <v>1</v>
      </c>
      <c r="F3128" t="str">
        <f>HLOOKUP(E3128, LookUP_Table!$A$6:$D$7, 2, FALSE)</f>
        <v>Primary</v>
      </c>
      <c r="G3128" t="str">
        <f>IFERROR(VLOOKUP(E3128, LookUP_Table!$A$1:$B$4, 2, FALSE), "")</f>
        <v>Primary</v>
      </c>
      <c r="H3128">
        <v>1</v>
      </c>
      <c r="I3128">
        <v>20</v>
      </c>
      <c r="J3128" t="str">
        <f t="shared" si="288"/>
        <v>Smoker</v>
      </c>
      <c r="K3128">
        <v>0</v>
      </c>
      <c r="L3128">
        <v>0</v>
      </c>
      <c r="M3128">
        <v>1</v>
      </c>
      <c r="N3128">
        <v>0</v>
      </c>
      <c r="O3128">
        <v>217</v>
      </c>
      <c r="P3128" t="str">
        <f t="shared" si="289"/>
        <v>Normal</v>
      </c>
      <c r="Q3128">
        <v>200</v>
      </c>
      <c r="R3128">
        <v>120</v>
      </c>
      <c r="S3128">
        <v>33.71</v>
      </c>
      <c r="T3128" t="str">
        <f t="shared" si="290"/>
        <v>Obese</v>
      </c>
      <c r="U3128">
        <v>68</v>
      </c>
      <c r="V3128">
        <v>72</v>
      </c>
      <c r="W3128" t="str">
        <f t="shared" si="293"/>
        <v>Normal</v>
      </c>
      <c r="X3128">
        <v>1</v>
      </c>
    </row>
    <row r="3129" spans="1:24" ht="14.5" thickBot="1" x14ac:dyDescent="0.35">
      <c r="A3129">
        <v>0</v>
      </c>
      <c r="B3129" t="str">
        <f t="shared" si="291"/>
        <v>Female</v>
      </c>
      <c r="C3129" s="8">
        <v>56</v>
      </c>
      <c r="D3129" t="str">
        <f t="shared" si="292"/>
        <v>Senior</v>
      </c>
      <c r="E3129">
        <v>3</v>
      </c>
      <c r="F3129" t="str">
        <f>HLOOKUP(E3129, LookUP_Table!$A$6:$D$7, 2, FALSE)</f>
        <v>Graduate</v>
      </c>
      <c r="G3129" t="str">
        <f>IFERROR(VLOOKUP(E3129, LookUP_Table!$A$1:$B$4, 2, FALSE), "")</f>
        <v>Graduate</v>
      </c>
      <c r="H3129">
        <v>0</v>
      </c>
      <c r="I3129">
        <v>0</v>
      </c>
      <c r="J3129" t="str">
        <f t="shared" si="288"/>
        <v>Non-Smoker</v>
      </c>
      <c r="K3129">
        <v>0</v>
      </c>
      <c r="L3129">
        <v>0</v>
      </c>
      <c r="M3129">
        <v>0</v>
      </c>
      <c r="N3129">
        <v>0</v>
      </c>
      <c r="O3129">
        <v>220</v>
      </c>
      <c r="P3129" t="str">
        <f t="shared" si="289"/>
        <v>Normal</v>
      </c>
      <c r="Q3129">
        <v>122</v>
      </c>
      <c r="R3129">
        <v>74</v>
      </c>
      <c r="S3129">
        <v>25.66</v>
      </c>
      <c r="T3129" t="str">
        <f t="shared" si="290"/>
        <v>Overweight</v>
      </c>
      <c r="U3129">
        <v>71</v>
      </c>
      <c r="V3129">
        <v>93</v>
      </c>
      <c r="W3129" t="str">
        <f t="shared" si="293"/>
        <v>Normal</v>
      </c>
      <c r="X3129">
        <v>1</v>
      </c>
    </row>
    <row r="3130" spans="1:24" ht="14.5" thickBot="1" x14ac:dyDescent="0.35">
      <c r="A3130">
        <v>1</v>
      </c>
      <c r="B3130" t="str">
        <f t="shared" si="291"/>
        <v>Male</v>
      </c>
      <c r="C3130" s="8">
        <v>56</v>
      </c>
      <c r="D3130" t="str">
        <f t="shared" si="292"/>
        <v>Senior</v>
      </c>
      <c r="E3130">
        <v>1</v>
      </c>
      <c r="F3130" t="str">
        <f>HLOOKUP(E3130, LookUP_Table!$A$6:$D$7, 2, FALSE)</f>
        <v>Primary</v>
      </c>
      <c r="G3130" t="str">
        <f>IFERROR(VLOOKUP(E3130, LookUP_Table!$A$1:$B$4, 2, FALSE), "")</f>
        <v>Primary</v>
      </c>
      <c r="H3130">
        <v>0</v>
      </c>
      <c r="I3130">
        <v>0</v>
      </c>
      <c r="J3130" t="str">
        <f t="shared" si="288"/>
        <v>Non-Smoker</v>
      </c>
      <c r="K3130">
        <v>0</v>
      </c>
      <c r="L3130">
        <v>0</v>
      </c>
      <c r="M3130">
        <v>0</v>
      </c>
      <c r="N3130">
        <v>0</v>
      </c>
      <c r="O3130">
        <v>260</v>
      </c>
      <c r="P3130" t="str">
        <f t="shared" si="289"/>
        <v>High</v>
      </c>
      <c r="Q3130">
        <v>126.5</v>
      </c>
      <c r="R3130">
        <v>76</v>
      </c>
      <c r="S3130">
        <v>25.14</v>
      </c>
      <c r="T3130" t="str">
        <f t="shared" si="290"/>
        <v>Overweight</v>
      </c>
      <c r="U3130">
        <v>58</v>
      </c>
      <c r="V3130">
        <v>70</v>
      </c>
      <c r="W3130" t="str">
        <f t="shared" si="293"/>
        <v>Normal</v>
      </c>
      <c r="X3130">
        <v>1</v>
      </c>
    </row>
    <row r="3131" spans="1:24" ht="14.5" thickBot="1" x14ac:dyDescent="0.35">
      <c r="A3131">
        <v>1</v>
      </c>
      <c r="B3131" t="str">
        <f t="shared" si="291"/>
        <v>Male</v>
      </c>
      <c r="C3131" s="8">
        <v>56</v>
      </c>
      <c r="D3131" t="str">
        <f t="shared" si="292"/>
        <v>Senior</v>
      </c>
      <c r="E3131">
        <v>1</v>
      </c>
      <c r="F3131" t="str">
        <f>HLOOKUP(E3131, LookUP_Table!$A$6:$D$7, 2, FALSE)</f>
        <v>Primary</v>
      </c>
      <c r="G3131" t="str">
        <f>IFERROR(VLOOKUP(E3131, LookUP_Table!$A$1:$B$4, 2, FALSE), "")</f>
        <v>Primary</v>
      </c>
      <c r="H3131">
        <v>1</v>
      </c>
      <c r="I3131">
        <v>17</v>
      </c>
      <c r="J3131" t="str">
        <f t="shared" si="288"/>
        <v>Smoker</v>
      </c>
      <c r="K3131">
        <v>0</v>
      </c>
      <c r="L3131">
        <v>0</v>
      </c>
      <c r="M3131">
        <v>0</v>
      </c>
      <c r="N3131">
        <v>0</v>
      </c>
      <c r="O3131">
        <v>177</v>
      </c>
      <c r="P3131" t="str">
        <f t="shared" si="289"/>
        <v>Normal</v>
      </c>
      <c r="Q3131">
        <v>127</v>
      </c>
      <c r="R3131">
        <v>79</v>
      </c>
      <c r="S3131">
        <v>20.12</v>
      </c>
      <c r="T3131" t="str">
        <f t="shared" si="290"/>
        <v>Normal</v>
      </c>
      <c r="U3131">
        <v>70</v>
      </c>
      <c r="V3131">
        <v>88</v>
      </c>
      <c r="W3131" t="str">
        <f t="shared" si="293"/>
        <v>Normal</v>
      </c>
      <c r="X3131">
        <v>0</v>
      </c>
    </row>
    <row r="3132" spans="1:24" ht="14.5" thickBot="1" x14ac:dyDescent="0.35">
      <c r="A3132">
        <v>0</v>
      </c>
      <c r="B3132" t="str">
        <f t="shared" si="291"/>
        <v>Female</v>
      </c>
      <c r="C3132" s="8">
        <v>56</v>
      </c>
      <c r="D3132" t="str">
        <f t="shared" si="292"/>
        <v>Senior</v>
      </c>
      <c r="E3132">
        <v>1</v>
      </c>
      <c r="F3132" t="str">
        <f>HLOOKUP(E3132, LookUP_Table!$A$6:$D$7, 2, FALSE)</f>
        <v>Primary</v>
      </c>
      <c r="G3132" t="str">
        <f>IFERROR(VLOOKUP(E3132, LookUP_Table!$A$1:$B$4, 2, FALSE), "")</f>
        <v>Primary</v>
      </c>
      <c r="H3132">
        <v>0</v>
      </c>
      <c r="I3132">
        <v>0</v>
      </c>
      <c r="J3132" t="str">
        <f t="shared" si="288"/>
        <v>Non-Smoker</v>
      </c>
      <c r="K3132">
        <v>0</v>
      </c>
      <c r="L3132">
        <v>0</v>
      </c>
      <c r="M3132">
        <v>0</v>
      </c>
      <c r="N3132">
        <v>0</v>
      </c>
      <c r="O3132">
        <v>242</v>
      </c>
      <c r="P3132" t="str">
        <f t="shared" si="289"/>
        <v>High</v>
      </c>
      <c r="Q3132">
        <v>115</v>
      </c>
      <c r="R3132">
        <v>70</v>
      </c>
      <c r="S3132">
        <v>32.07</v>
      </c>
      <c r="T3132" t="str">
        <f t="shared" si="290"/>
        <v>Obese</v>
      </c>
      <c r="U3132">
        <v>83</v>
      </c>
      <c r="V3132">
        <v>81.96365524402907</v>
      </c>
      <c r="W3132" t="str">
        <f t="shared" si="293"/>
        <v>Normal</v>
      </c>
      <c r="X3132">
        <v>0</v>
      </c>
    </row>
    <row r="3133" spans="1:24" ht="14.5" thickBot="1" x14ac:dyDescent="0.35">
      <c r="A3133">
        <v>0</v>
      </c>
      <c r="B3133" t="str">
        <f t="shared" si="291"/>
        <v>Female</v>
      </c>
      <c r="C3133" s="8">
        <v>56</v>
      </c>
      <c r="D3133" t="str">
        <f t="shared" si="292"/>
        <v>Senior</v>
      </c>
      <c r="E3133">
        <v>2</v>
      </c>
      <c r="F3133" t="str">
        <f>HLOOKUP(E3133, LookUP_Table!$A$6:$D$7, 2, FALSE)</f>
        <v>Secondary</v>
      </c>
      <c r="G3133" t="str">
        <f>IFERROR(VLOOKUP(E3133, LookUP_Table!$A$1:$B$4, 2, FALSE), "")</f>
        <v>Secondary</v>
      </c>
      <c r="H3133">
        <v>0</v>
      </c>
      <c r="I3133">
        <v>0</v>
      </c>
      <c r="J3133" t="str">
        <f t="shared" si="288"/>
        <v>Non-Smoker</v>
      </c>
      <c r="K3133">
        <v>0</v>
      </c>
      <c r="L3133">
        <v>0</v>
      </c>
      <c r="M3133">
        <v>1</v>
      </c>
      <c r="N3133">
        <v>0</v>
      </c>
      <c r="O3133">
        <v>290</v>
      </c>
      <c r="P3133" t="str">
        <f t="shared" si="289"/>
        <v>High</v>
      </c>
      <c r="Q3133">
        <v>185</v>
      </c>
      <c r="R3133">
        <v>107.5</v>
      </c>
      <c r="S3133">
        <v>26.45</v>
      </c>
      <c r="T3133" t="str">
        <f t="shared" si="290"/>
        <v>Overweight</v>
      </c>
      <c r="U3133">
        <v>82</v>
      </c>
      <c r="V3133">
        <v>84</v>
      </c>
      <c r="W3133" t="str">
        <f t="shared" si="293"/>
        <v>Normal</v>
      </c>
      <c r="X3133">
        <v>1</v>
      </c>
    </row>
    <row r="3134" spans="1:24" ht="14.5" thickBot="1" x14ac:dyDescent="0.35">
      <c r="A3134">
        <v>0</v>
      </c>
      <c r="B3134" t="str">
        <f t="shared" si="291"/>
        <v>Female</v>
      </c>
      <c r="C3134" s="8">
        <v>56</v>
      </c>
      <c r="D3134" t="str">
        <f t="shared" si="292"/>
        <v>Senior</v>
      </c>
      <c r="E3134">
        <v>1</v>
      </c>
      <c r="F3134" t="str">
        <f>HLOOKUP(E3134, LookUP_Table!$A$6:$D$7, 2, FALSE)</f>
        <v>Primary</v>
      </c>
      <c r="G3134" t="str">
        <f>IFERROR(VLOOKUP(E3134, LookUP_Table!$A$1:$B$4, 2, FALSE), "")</f>
        <v>Primary</v>
      </c>
      <c r="H3134">
        <v>1</v>
      </c>
      <c r="I3134">
        <v>9</v>
      </c>
      <c r="J3134" t="str">
        <f t="shared" si="288"/>
        <v>Smoker</v>
      </c>
      <c r="K3134">
        <v>0</v>
      </c>
      <c r="L3134">
        <v>0</v>
      </c>
      <c r="M3134">
        <v>1</v>
      </c>
      <c r="N3134">
        <v>0</v>
      </c>
      <c r="O3134">
        <v>320</v>
      </c>
      <c r="P3134" t="str">
        <f t="shared" si="289"/>
        <v>High</v>
      </c>
      <c r="Q3134">
        <v>142</v>
      </c>
      <c r="R3134">
        <v>84</v>
      </c>
      <c r="S3134">
        <v>27.9</v>
      </c>
      <c r="T3134" t="str">
        <f t="shared" si="290"/>
        <v>Overweight</v>
      </c>
      <c r="U3134">
        <v>74</v>
      </c>
      <c r="V3134">
        <v>95</v>
      </c>
      <c r="W3134" t="str">
        <f t="shared" si="293"/>
        <v>Normal</v>
      </c>
      <c r="X3134">
        <v>1</v>
      </c>
    </row>
    <row r="3135" spans="1:24" ht="14.5" thickBot="1" x14ac:dyDescent="0.35">
      <c r="A3135">
        <v>0</v>
      </c>
      <c r="B3135" t="str">
        <f t="shared" si="291"/>
        <v>Female</v>
      </c>
      <c r="C3135" s="8">
        <v>56</v>
      </c>
      <c r="D3135" t="str">
        <f t="shared" si="292"/>
        <v>Senior</v>
      </c>
      <c r="E3135">
        <v>3</v>
      </c>
      <c r="F3135" t="str">
        <f>HLOOKUP(E3135, LookUP_Table!$A$6:$D$7, 2, FALSE)</f>
        <v>Graduate</v>
      </c>
      <c r="G3135" t="str">
        <f>IFERROR(VLOOKUP(E3135, LookUP_Table!$A$1:$B$4, 2, FALSE), "")</f>
        <v>Graduate</v>
      </c>
      <c r="H3135">
        <v>0</v>
      </c>
      <c r="I3135">
        <v>0</v>
      </c>
      <c r="J3135" t="str">
        <f t="shared" si="288"/>
        <v>Non-Smoker</v>
      </c>
      <c r="K3135">
        <v>0</v>
      </c>
      <c r="L3135">
        <v>0</v>
      </c>
      <c r="M3135">
        <v>0</v>
      </c>
      <c r="N3135">
        <v>0</v>
      </c>
      <c r="O3135">
        <v>207</v>
      </c>
      <c r="P3135" t="str">
        <f t="shared" si="289"/>
        <v>Normal</v>
      </c>
      <c r="Q3135">
        <v>120</v>
      </c>
      <c r="R3135">
        <v>60</v>
      </c>
      <c r="S3135">
        <v>22.89</v>
      </c>
      <c r="T3135" t="str">
        <f t="shared" si="290"/>
        <v>Normal</v>
      </c>
      <c r="U3135">
        <v>75</v>
      </c>
      <c r="V3135">
        <v>71</v>
      </c>
      <c r="W3135" t="str">
        <f t="shared" si="293"/>
        <v>Normal</v>
      </c>
      <c r="X3135">
        <v>0</v>
      </c>
    </row>
    <row r="3136" spans="1:24" ht="14.5" thickBot="1" x14ac:dyDescent="0.35">
      <c r="A3136">
        <v>1</v>
      </c>
      <c r="B3136" t="str">
        <f t="shared" si="291"/>
        <v>Male</v>
      </c>
      <c r="C3136" s="8">
        <v>56</v>
      </c>
      <c r="D3136" t="str">
        <f t="shared" si="292"/>
        <v>Senior</v>
      </c>
      <c r="E3136">
        <v>1</v>
      </c>
      <c r="F3136" t="str">
        <f>HLOOKUP(E3136, LookUP_Table!$A$6:$D$7, 2, FALSE)</f>
        <v>Primary</v>
      </c>
      <c r="G3136" t="str">
        <f>IFERROR(VLOOKUP(E3136, LookUP_Table!$A$1:$B$4, 2, FALSE), "")</f>
        <v>Primary</v>
      </c>
      <c r="H3136">
        <v>1</v>
      </c>
      <c r="I3136">
        <v>20</v>
      </c>
      <c r="J3136" t="str">
        <f t="shared" si="288"/>
        <v>Smoker</v>
      </c>
      <c r="K3136">
        <v>0</v>
      </c>
      <c r="L3136">
        <v>0</v>
      </c>
      <c r="M3136">
        <v>1</v>
      </c>
      <c r="N3136">
        <v>0</v>
      </c>
      <c r="O3136">
        <v>197</v>
      </c>
      <c r="P3136" t="str">
        <f t="shared" si="289"/>
        <v>Normal</v>
      </c>
      <c r="Q3136">
        <v>140</v>
      </c>
      <c r="R3136">
        <v>86</v>
      </c>
      <c r="S3136">
        <v>25.16</v>
      </c>
      <c r="T3136" t="str">
        <f t="shared" si="290"/>
        <v>Overweight</v>
      </c>
      <c r="U3136">
        <v>90</v>
      </c>
      <c r="V3136">
        <v>71</v>
      </c>
      <c r="W3136" t="str">
        <f t="shared" si="293"/>
        <v>Normal</v>
      </c>
      <c r="X3136">
        <v>0</v>
      </c>
    </row>
    <row r="3137" spans="1:24" ht="14.5" thickBot="1" x14ac:dyDescent="0.35">
      <c r="A3137">
        <v>0</v>
      </c>
      <c r="B3137" t="str">
        <f t="shared" si="291"/>
        <v>Female</v>
      </c>
      <c r="C3137" s="8">
        <v>56</v>
      </c>
      <c r="D3137" t="str">
        <f t="shared" si="292"/>
        <v>Senior</v>
      </c>
      <c r="E3137">
        <v>3</v>
      </c>
      <c r="F3137" t="str">
        <f>HLOOKUP(E3137, LookUP_Table!$A$6:$D$7, 2, FALSE)</f>
        <v>Graduate</v>
      </c>
      <c r="G3137" t="str">
        <f>IFERROR(VLOOKUP(E3137, LookUP_Table!$A$1:$B$4, 2, FALSE), "")</f>
        <v>Graduate</v>
      </c>
      <c r="H3137">
        <v>0</v>
      </c>
      <c r="I3137">
        <v>0</v>
      </c>
      <c r="J3137" t="str">
        <f t="shared" si="288"/>
        <v>Non-Smoker</v>
      </c>
      <c r="K3137">
        <v>0</v>
      </c>
      <c r="L3137">
        <v>0</v>
      </c>
      <c r="M3137">
        <v>0</v>
      </c>
      <c r="N3137">
        <v>0</v>
      </c>
      <c r="O3137">
        <v>254</v>
      </c>
      <c r="P3137" t="str">
        <f t="shared" si="289"/>
        <v>High</v>
      </c>
      <c r="Q3137">
        <v>113</v>
      </c>
      <c r="R3137">
        <v>61</v>
      </c>
      <c r="S3137">
        <v>25.5</v>
      </c>
      <c r="T3137" t="str">
        <f t="shared" si="290"/>
        <v>Overweight</v>
      </c>
      <c r="U3137">
        <v>79</v>
      </c>
      <c r="V3137">
        <v>87</v>
      </c>
      <c r="W3137" t="str">
        <f t="shared" si="293"/>
        <v>Normal</v>
      </c>
      <c r="X3137">
        <v>0</v>
      </c>
    </row>
    <row r="3138" spans="1:24" ht="14.5" thickBot="1" x14ac:dyDescent="0.35">
      <c r="A3138">
        <v>1</v>
      </c>
      <c r="B3138" t="str">
        <f t="shared" si="291"/>
        <v>Male</v>
      </c>
      <c r="C3138" s="8">
        <v>56</v>
      </c>
      <c r="D3138" t="str">
        <f t="shared" si="292"/>
        <v>Senior</v>
      </c>
      <c r="E3138">
        <v>4</v>
      </c>
      <c r="F3138" t="str">
        <f>HLOOKUP(E3138, LookUP_Table!$A$6:$D$7, 2, FALSE)</f>
        <v>Post Graduate</v>
      </c>
      <c r="G3138" t="str">
        <f>IFERROR(VLOOKUP(E3138, LookUP_Table!$A$1:$B$4, 2, FALSE), "")</f>
        <v>Post Graduate</v>
      </c>
      <c r="H3138">
        <v>1</v>
      </c>
      <c r="I3138">
        <v>30</v>
      </c>
      <c r="J3138" t="str">
        <f t="shared" ref="J3138:J3201" si="294">IF(I3138&gt;0,"Smoker","Non-Smoker")</f>
        <v>Smoker</v>
      </c>
      <c r="K3138">
        <v>0</v>
      </c>
      <c r="L3138">
        <v>0</v>
      </c>
      <c r="M3138">
        <v>1</v>
      </c>
      <c r="N3138">
        <v>0</v>
      </c>
      <c r="O3138">
        <v>303</v>
      </c>
      <c r="P3138" t="str">
        <f t="shared" ref="P3138:P3201" si="295">IF(O3138&gt;240,"High","Normal")</f>
        <v>High</v>
      </c>
      <c r="Q3138">
        <v>136.5</v>
      </c>
      <c r="R3138">
        <v>97</v>
      </c>
      <c r="S3138">
        <v>26.64</v>
      </c>
      <c r="T3138" t="str">
        <f t="shared" ref="T3138:T3201" si="296">IF(S3138&lt;18.5,"Underweight",
IF(S3138&lt;25,"Normal",
IF(S3138&lt;30,"Overweight","Obese")))</f>
        <v>Overweight</v>
      </c>
      <c r="U3138">
        <v>93</v>
      </c>
      <c r="V3138">
        <v>106</v>
      </c>
      <c r="W3138" t="str">
        <f t="shared" si="293"/>
        <v>Prediabetes</v>
      </c>
      <c r="X3138">
        <v>0</v>
      </c>
    </row>
    <row r="3139" spans="1:24" ht="14.5" thickBot="1" x14ac:dyDescent="0.35">
      <c r="A3139">
        <v>1</v>
      </c>
      <c r="B3139" t="str">
        <f t="shared" ref="B3139:B3202" si="297">IF(A3139=0,"Female","Male")</f>
        <v>Male</v>
      </c>
      <c r="C3139" s="8">
        <v>56</v>
      </c>
      <c r="D3139" t="str">
        <f t="shared" ref="D3139:D3202" si="298">IF(C3139&lt;40,"Young",
IF(C3139&lt;55,"Middle Age","Senior"))</f>
        <v>Senior</v>
      </c>
      <c r="E3139">
        <v>2</v>
      </c>
      <c r="F3139" t="str">
        <f>HLOOKUP(E3139, LookUP_Table!$A$6:$D$7, 2, FALSE)</f>
        <v>Secondary</v>
      </c>
      <c r="G3139" t="str">
        <f>IFERROR(VLOOKUP(E3139, LookUP_Table!$A$1:$B$4, 2, FALSE), "")</f>
        <v>Secondary</v>
      </c>
      <c r="H3139">
        <v>1</v>
      </c>
      <c r="I3139">
        <v>20</v>
      </c>
      <c r="J3139" t="str">
        <f t="shared" si="294"/>
        <v>Smoker</v>
      </c>
      <c r="K3139">
        <v>0</v>
      </c>
      <c r="L3139">
        <v>0</v>
      </c>
      <c r="M3139">
        <v>1</v>
      </c>
      <c r="N3139">
        <v>0</v>
      </c>
      <c r="O3139">
        <v>205</v>
      </c>
      <c r="P3139" t="str">
        <f t="shared" si="295"/>
        <v>Normal</v>
      </c>
      <c r="Q3139">
        <v>210</v>
      </c>
      <c r="R3139">
        <v>130</v>
      </c>
      <c r="S3139">
        <v>25.49</v>
      </c>
      <c r="T3139" t="str">
        <f t="shared" si="296"/>
        <v>Overweight</v>
      </c>
      <c r="U3139">
        <v>95</v>
      </c>
      <c r="V3139">
        <v>127</v>
      </c>
      <c r="W3139" t="str">
        <f t="shared" ref="W3139:W3202" si="299">IF(V3139 &lt; 100, "Normal", IF(V3139 &lt;= 125, "Prediabetes", "Diabetes"))</f>
        <v>Diabetes</v>
      </c>
      <c r="X3139">
        <v>1</v>
      </c>
    </row>
    <row r="3140" spans="1:24" ht="14.5" thickBot="1" x14ac:dyDescent="0.35">
      <c r="A3140">
        <v>0</v>
      </c>
      <c r="B3140" t="str">
        <f t="shared" si="297"/>
        <v>Female</v>
      </c>
      <c r="C3140" s="8">
        <v>56</v>
      </c>
      <c r="D3140" t="str">
        <f t="shared" si="298"/>
        <v>Senior</v>
      </c>
      <c r="E3140">
        <v>3</v>
      </c>
      <c r="F3140" t="str">
        <f>HLOOKUP(E3140, LookUP_Table!$A$6:$D$7, 2, FALSE)</f>
        <v>Graduate</v>
      </c>
      <c r="G3140" t="str">
        <f>IFERROR(VLOOKUP(E3140, LookUP_Table!$A$1:$B$4, 2, FALSE), "")</f>
        <v>Graduate</v>
      </c>
      <c r="H3140">
        <v>1</v>
      </c>
      <c r="I3140">
        <v>20</v>
      </c>
      <c r="J3140" t="str">
        <f t="shared" si="294"/>
        <v>Smoker</v>
      </c>
      <c r="K3140">
        <v>0</v>
      </c>
      <c r="L3140">
        <v>0</v>
      </c>
      <c r="M3140">
        <v>1</v>
      </c>
      <c r="N3140">
        <v>0</v>
      </c>
      <c r="O3140">
        <v>325</v>
      </c>
      <c r="P3140" t="str">
        <f t="shared" si="295"/>
        <v>High</v>
      </c>
      <c r="Q3140">
        <v>160</v>
      </c>
      <c r="R3140">
        <v>97.5</v>
      </c>
      <c r="S3140">
        <v>23.4</v>
      </c>
      <c r="T3140" t="str">
        <f t="shared" si="296"/>
        <v>Normal</v>
      </c>
      <c r="U3140">
        <v>85</v>
      </c>
      <c r="V3140">
        <v>86</v>
      </c>
      <c r="W3140" t="str">
        <f t="shared" si="299"/>
        <v>Normal</v>
      </c>
      <c r="X3140">
        <v>1</v>
      </c>
    </row>
    <row r="3141" spans="1:24" ht="14.5" thickBot="1" x14ac:dyDescent="0.35">
      <c r="A3141">
        <v>1</v>
      </c>
      <c r="B3141" t="str">
        <f t="shared" si="297"/>
        <v>Male</v>
      </c>
      <c r="C3141" s="8">
        <v>56</v>
      </c>
      <c r="D3141" t="str">
        <f t="shared" si="298"/>
        <v>Senior</v>
      </c>
      <c r="E3141">
        <v>2</v>
      </c>
      <c r="F3141" t="str">
        <f>HLOOKUP(E3141, LookUP_Table!$A$6:$D$7, 2, FALSE)</f>
        <v>Secondary</v>
      </c>
      <c r="G3141" t="str">
        <f>IFERROR(VLOOKUP(E3141, LookUP_Table!$A$1:$B$4, 2, FALSE), "")</f>
        <v>Secondary</v>
      </c>
      <c r="H3141">
        <v>1</v>
      </c>
      <c r="I3141">
        <v>20</v>
      </c>
      <c r="J3141" t="str">
        <f t="shared" si="294"/>
        <v>Smoker</v>
      </c>
      <c r="K3141">
        <v>0</v>
      </c>
      <c r="L3141">
        <v>0</v>
      </c>
      <c r="M3141">
        <v>0</v>
      </c>
      <c r="N3141">
        <v>0</v>
      </c>
      <c r="O3141">
        <v>270</v>
      </c>
      <c r="P3141" t="str">
        <f t="shared" si="295"/>
        <v>High</v>
      </c>
      <c r="Q3141">
        <v>109</v>
      </c>
      <c r="R3141">
        <v>75</v>
      </c>
      <c r="S3141">
        <v>24.58</v>
      </c>
      <c r="T3141" t="str">
        <f t="shared" si="296"/>
        <v>Normal</v>
      </c>
      <c r="U3141">
        <v>67</v>
      </c>
      <c r="V3141">
        <v>64</v>
      </c>
      <c r="W3141" t="str">
        <f t="shared" si="299"/>
        <v>Normal</v>
      </c>
      <c r="X3141">
        <v>0</v>
      </c>
    </row>
    <row r="3142" spans="1:24" ht="14.5" thickBot="1" x14ac:dyDescent="0.35">
      <c r="A3142">
        <v>0</v>
      </c>
      <c r="B3142" t="str">
        <f t="shared" si="297"/>
        <v>Female</v>
      </c>
      <c r="C3142" s="8">
        <v>56</v>
      </c>
      <c r="D3142" t="str">
        <f t="shared" si="298"/>
        <v>Senior</v>
      </c>
      <c r="E3142">
        <v>2</v>
      </c>
      <c r="F3142" t="str">
        <f>HLOOKUP(E3142, LookUP_Table!$A$6:$D$7, 2, FALSE)</f>
        <v>Secondary</v>
      </c>
      <c r="G3142" t="str">
        <f>IFERROR(VLOOKUP(E3142, LookUP_Table!$A$1:$B$4, 2, FALSE), "")</f>
        <v>Secondary</v>
      </c>
      <c r="H3142">
        <v>1</v>
      </c>
      <c r="I3142">
        <v>30</v>
      </c>
      <c r="J3142" t="str">
        <f t="shared" si="294"/>
        <v>Smoker</v>
      </c>
      <c r="K3142">
        <v>0</v>
      </c>
      <c r="L3142">
        <v>0</v>
      </c>
      <c r="M3142">
        <v>0</v>
      </c>
      <c r="N3142">
        <v>0</v>
      </c>
      <c r="O3142">
        <v>288</v>
      </c>
      <c r="P3142" t="str">
        <f t="shared" si="295"/>
        <v>High</v>
      </c>
      <c r="Q3142">
        <v>123</v>
      </c>
      <c r="R3142">
        <v>70</v>
      </c>
      <c r="S3142">
        <v>18.62</v>
      </c>
      <c r="T3142" t="str">
        <f t="shared" si="296"/>
        <v>Normal</v>
      </c>
      <c r="U3142">
        <v>72</v>
      </c>
      <c r="V3142">
        <v>96</v>
      </c>
      <c r="W3142" t="str">
        <f t="shared" si="299"/>
        <v>Normal</v>
      </c>
      <c r="X3142">
        <v>0</v>
      </c>
    </row>
    <row r="3143" spans="1:24" ht="14.5" thickBot="1" x14ac:dyDescent="0.35">
      <c r="A3143">
        <v>0</v>
      </c>
      <c r="B3143" t="str">
        <f t="shared" si="297"/>
        <v>Female</v>
      </c>
      <c r="C3143" s="8">
        <v>56</v>
      </c>
      <c r="D3143" t="str">
        <f t="shared" si="298"/>
        <v>Senior</v>
      </c>
      <c r="E3143">
        <v>1</v>
      </c>
      <c r="F3143" t="str">
        <f>HLOOKUP(E3143, LookUP_Table!$A$6:$D$7, 2, FALSE)</f>
        <v>Primary</v>
      </c>
      <c r="G3143" t="str">
        <f>IFERROR(VLOOKUP(E3143, LookUP_Table!$A$1:$B$4, 2, FALSE), "")</f>
        <v>Primary</v>
      </c>
      <c r="H3143">
        <v>0</v>
      </c>
      <c r="I3143">
        <v>0</v>
      </c>
      <c r="J3143" t="str">
        <f t="shared" si="294"/>
        <v>Non-Smoker</v>
      </c>
      <c r="K3143">
        <v>0</v>
      </c>
      <c r="L3143">
        <v>0</v>
      </c>
      <c r="M3143">
        <v>0</v>
      </c>
      <c r="N3143">
        <v>0</v>
      </c>
      <c r="O3143">
        <v>307</v>
      </c>
      <c r="P3143" t="str">
        <f t="shared" si="295"/>
        <v>High</v>
      </c>
      <c r="Q3143">
        <v>118</v>
      </c>
      <c r="R3143">
        <v>80</v>
      </c>
      <c r="S3143">
        <v>29.67</v>
      </c>
      <c r="T3143" t="str">
        <f t="shared" si="296"/>
        <v>Overweight</v>
      </c>
      <c r="U3143">
        <v>60</v>
      </c>
      <c r="V3143">
        <v>70</v>
      </c>
      <c r="W3143" t="str">
        <f t="shared" si="299"/>
        <v>Normal</v>
      </c>
      <c r="X3143">
        <v>0</v>
      </c>
    </row>
    <row r="3144" spans="1:24" ht="14.5" thickBot="1" x14ac:dyDescent="0.35">
      <c r="A3144">
        <v>0</v>
      </c>
      <c r="B3144" t="str">
        <f t="shared" si="297"/>
        <v>Female</v>
      </c>
      <c r="C3144" s="8">
        <v>56</v>
      </c>
      <c r="D3144" t="str">
        <f t="shared" si="298"/>
        <v>Senior</v>
      </c>
      <c r="E3144">
        <v>1</v>
      </c>
      <c r="F3144" t="str">
        <f>HLOOKUP(E3144, LookUP_Table!$A$6:$D$7, 2, FALSE)</f>
        <v>Primary</v>
      </c>
      <c r="G3144" t="str">
        <f>IFERROR(VLOOKUP(E3144, LookUP_Table!$A$1:$B$4, 2, FALSE), "")</f>
        <v>Primary</v>
      </c>
      <c r="H3144">
        <v>0</v>
      </c>
      <c r="I3144">
        <v>0</v>
      </c>
      <c r="J3144" t="str">
        <f t="shared" si="294"/>
        <v>Non-Smoker</v>
      </c>
      <c r="K3144">
        <v>0</v>
      </c>
      <c r="L3144">
        <v>0</v>
      </c>
      <c r="M3144">
        <v>1</v>
      </c>
      <c r="N3144">
        <v>0</v>
      </c>
      <c r="O3144">
        <v>262</v>
      </c>
      <c r="P3144" t="str">
        <f t="shared" si="295"/>
        <v>High</v>
      </c>
      <c r="Q3144">
        <v>150</v>
      </c>
      <c r="R3144">
        <v>89</v>
      </c>
      <c r="S3144">
        <v>40.21</v>
      </c>
      <c r="T3144" t="str">
        <f t="shared" si="296"/>
        <v>Obese</v>
      </c>
      <c r="U3144">
        <v>75</v>
      </c>
      <c r="V3144">
        <v>86</v>
      </c>
      <c r="W3144" t="str">
        <f t="shared" si="299"/>
        <v>Normal</v>
      </c>
      <c r="X3144">
        <v>0</v>
      </c>
    </row>
    <row r="3145" spans="1:24" ht="14.5" thickBot="1" x14ac:dyDescent="0.35">
      <c r="A3145">
        <v>1</v>
      </c>
      <c r="B3145" t="str">
        <f t="shared" si="297"/>
        <v>Male</v>
      </c>
      <c r="C3145" s="8">
        <v>56</v>
      </c>
      <c r="D3145" t="str">
        <f t="shared" si="298"/>
        <v>Senior</v>
      </c>
      <c r="E3145">
        <v>1</v>
      </c>
      <c r="F3145" t="str">
        <f>HLOOKUP(E3145, LookUP_Table!$A$6:$D$7, 2, FALSE)</f>
        <v>Primary</v>
      </c>
      <c r="G3145" t="str">
        <f>IFERROR(VLOOKUP(E3145, LookUP_Table!$A$1:$B$4, 2, FALSE), "")</f>
        <v>Primary</v>
      </c>
      <c r="H3145">
        <v>1</v>
      </c>
      <c r="I3145">
        <v>20</v>
      </c>
      <c r="J3145" t="str">
        <f t="shared" si="294"/>
        <v>Smoker</v>
      </c>
      <c r="K3145">
        <v>0</v>
      </c>
      <c r="L3145">
        <v>0</v>
      </c>
      <c r="M3145">
        <v>0</v>
      </c>
      <c r="N3145">
        <v>0</v>
      </c>
      <c r="O3145">
        <v>300</v>
      </c>
      <c r="P3145" t="str">
        <f t="shared" si="295"/>
        <v>High</v>
      </c>
      <c r="Q3145">
        <v>165</v>
      </c>
      <c r="R3145">
        <v>112</v>
      </c>
      <c r="S3145">
        <v>23.68</v>
      </c>
      <c r="T3145" t="str">
        <f t="shared" si="296"/>
        <v>Normal</v>
      </c>
      <c r="U3145">
        <v>86</v>
      </c>
      <c r="V3145">
        <v>78</v>
      </c>
      <c r="W3145" t="str">
        <f t="shared" si="299"/>
        <v>Normal</v>
      </c>
      <c r="X3145">
        <v>1</v>
      </c>
    </row>
    <row r="3146" spans="1:24" ht="14.5" thickBot="1" x14ac:dyDescent="0.35">
      <c r="A3146">
        <v>0</v>
      </c>
      <c r="B3146" t="str">
        <f t="shared" si="297"/>
        <v>Female</v>
      </c>
      <c r="C3146" s="8">
        <v>56</v>
      </c>
      <c r="D3146" t="str">
        <f t="shared" si="298"/>
        <v>Senior</v>
      </c>
      <c r="E3146">
        <v>2</v>
      </c>
      <c r="F3146" t="str">
        <f>HLOOKUP(E3146, LookUP_Table!$A$6:$D$7, 2, FALSE)</f>
        <v>Secondary</v>
      </c>
      <c r="G3146" t="str">
        <f>IFERROR(VLOOKUP(E3146, LookUP_Table!$A$1:$B$4, 2, FALSE), "")</f>
        <v>Secondary</v>
      </c>
      <c r="H3146">
        <v>0</v>
      </c>
      <c r="I3146">
        <v>0</v>
      </c>
      <c r="J3146" t="str">
        <f t="shared" si="294"/>
        <v>Non-Smoker</v>
      </c>
      <c r="K3146">
        <v>0</v>
      </c>
      <c r="L3146">
        <v>0</v>
      </c>
      <c r="M3146">
        <v>0</v>
      </c>
      <c r="N3146">
        <v>0</v>
      </c>
      <c r="O3146">
        <v>280</v>
      </c>
      <c r="P3146" t="str">
        <f t="shared" si="295"/>
        <v>High</v>
      </c>
      <c r="Q3146">
        <v>101</v>
      </c>
      <c r="R3146">
        <v>71</v>
      </c>
      <c r="S3146">
        <v>28.22</v>
      </c>
      <c r="T3146" t="str">
        <f t="shared" si="296"/>
        <v>Overweight</v>
      </c>
      <c r="U3146">
        <v>79</v>
      </c>
      <c r="V3146">
        <v>67</v>
      </c>
      <c r="W3146" t="str">
        <f t="shared" si="299"/>
        <v>Normal</v>
      </c>
      <c r="X3146">
        <v>0</v>
      </c>
    </row>
    <row r="3147" spans="1:24" ht="14.5" thickBot="1" x14ac:dyDescent="0.35">
      <c r="A3147">
        <v>1</v>
      </c>
      <c r="B3147" t="str">
        <f t="shared" si="297"/>
        <v>Male</v>
      </c>
      <c r="C3147" s="8">
        <v>56</v>
      </c>
      <c r="D3147" t="str">
        <f t="shared" si="298"/>
        <v>Senior</v>
      </c>
      <c r="E3147">
        <v>1</v>
      </c>
      <c r="F3147" t="str">
        <f>HLOOKUP(E3147, LookUP_Table!$A$6:$D$7, 2, FALSE)</f>
        <v>Primary</v>
      </c>
      <c r="G3147" t="str">
        <f>IFERROR(VLOOKUP(E3147, LookUP_Table!$A$1:$B$4, 2, FALSE), "")</f>
        <v>Primary</v>
      </c>
      <c r="H3147">
        <v>0</v>
      </c>
      <c r="I3147">
        <v>0</v>
      </c>
      <c r="J3147" t="str">
        <f t="shared" si="294"/>
        <v>Non-Smoker</v>
      </c>
      <c r="K3147">
        <v>1</v>
      </c>
      <c r="L3147">
        <v>0</v>
      </c>
      <c r="M3147">
        <v>1</v>
      </c>
      <c r="N3147">
        <v>0</v>
      </c>
      <c r="O3147">
        <v>226</v>
      </c>
      <c r="P3147" t="str">
        <f t="shared" si="295"/>
        <v>Normal</v>
      </c>
      <c r="Q3147">
        <v>175.5</v>
      </c>
      <c r="R3147">
        <v>113</v>
      </c>
      <c r="S3147">
        <v>30.77</v>
      </c>
      <c r="T3147" t="str">
        <f t="shared" si="296"/>
        <v>Obese</v>
      </c>
      <c r="U3147">
        <v>60</v>
      </c>
      <c r="V3147">
        <v>70</v>
      </c>
      <c r="W3147" t="str">
        <f t="shared" si="299"/>
        <v>Normal</v>
      </c>
      <c r="X3147">
        <v>0</v>
      </c>
    </row>
    <row r="3148" spans="1:24" ht="14.5" thickBot="1" x14ac:dyDescent="0.35">
      <c r="A3148">
        <v>1</v>
      </c>
      <c r="B3148" t="str">
        <f t="shared" si="297"/>
        <v>Male</v>
      </c>
      <c r="C3148" s="8">
        <v>56</v>
      </c>
      <c r="D3148" t="str">
        <f t="shared" si="298"/>
        <v>Senior</v>
      </c>
      <c r="E3148">
        <v>2</v>
      </c>
      <c r="F3148" t="str">
        <f>HLOOKUP(E3148, LookUP_Table!$A$6:$D$7, 2, FALSE)</f>
        <v>Secondary</v>
      </c>
      <c r="G3148" t="str">
        <f>IFERROR(VLOOKUP(E3148, LookUP_Table!$A$1:$B$4, 2, FALSE), "")</f>
        <v>Secondary</v>
      </c>
      <c r="H3148">
        <v>0</v>
      </c>
      <c r="I3148">
        <v>0</v>
      </c>
      <c r="J3148" t="str">
        <f t="shared" si="294"/>
        <v>Non-Smoker</v>
      </c>
      <c r="K3148">
        <v>0</v>
      </c>
      <c r="L3148">
        <v>0</v>
      </c>
      <c r="M3148">
        <v>0</v>
      </c>
      <c r="N3148">
        <v>0</v>
      </c>
      <c r="O3148">
        <v>212</v>
      </c>
      <c r="P3148" t="str">
        <f t="shared" si="295"/>
        <v>Normal</v>
      </c>
      <c r="Q3148">
        <v>130</v>
      </c>
      <c r="R3148">
        <v>79</v>
      </c>
      <c r="S3148">
        <v>27.73</v>
      </c>
      <c r="T3148" t="str">
        <f t="shared" si="296"/>
        <v>Overweight</v>
      </c>
      <c r="U3148">
        <v>64</v>
      </c>
      <c r="V3148">
        <v>100</v>
      </c>
      <c r="W3148" t="str">
        <f t="shared" si="299"/>
        <v>Prediabetes</v>
      </c>
      <c r="X3148">
        <v>0</v>
      </c>
    </row>
    <row r="3149" spans="1:24" ht="14.5" thickBot="1" x14ac:dyDescent="0.35">
      <c r="A3149">
        <v>0</v>
      </c>
      <c r="B3149" t="str">
        <f t="shared" si="297"/>
        <v>Female</v>
      </c>
      <c r="C3149" s="8">
        <v>56</v>
      </c>
      <c r="D3149" t="str">
        <f t="shared" si="298"/>
        <v>Senior</v>
      </c>
      <c r="E3149">
        <v>3</v>
      </c>
      <c r="F3149" t="str">
        <f>HLOOKUP(E3149, LookUP_Table!$A$6:$D$7, 2, FALSE)</f>
        <v>Graduate</v>
      </c>
      <c r="G3149" t="str">
        <f>IFERROR(VLOOKUP(E3149, LookUP_Table!$A$1:$B$4, 2, FALSE), "")</f>
        <v>Graduate</v>
      </c>
      <c r="H3149">
        <v>0</v>
      </c>
      <c r="I3149">
        <v>0</v>
      </c>
      <c r="J3149" t="str">
        <f t="shared" si="294"/>
        <v>Non-Smoker</v>
      </c>
      <c r="K3149">
        <v>0</v>
      </c>
      <c r="L3149">
        <v>0</v>
      </c>
      <c r="M3149">
        <v>0</v>
      </c>
      <c r="N3149">
        <v>0</v>
      </c>
      <c r="O3149">
        <v>192</v>
      </c>
      <c r="P3149" t="str">
        <f t="shared" si="295"/>
        <v>Normal</v>
      </c>
      <c r="Q3149">
        <v>122</v>
      </c>
      <c r="R3149">
        <v>82.5</v>
      </c>
      <c r="S3149">
        <v>28.61</v>
      </c>
      <c r="T3149" t="str">
        <f t="shared" si="296"/>
        <v>Overweight</v>
      </c>
      <c r="U3149">
        <v>68</v>
      </c>
      <c r="V3149">
        <v>58</v>
      </c>
      <c r="W3149" t="str">
        <f t="shared" si="299"/>
        <v>Normal</v>
      </c>
      <c r="X3149">
        <v>0</v>
      </c>
    </row>
    <row r="3150" spans="1:24" ht="14.5" thickBot="1" x14ac:dyDescent="0.35">
      <c r="A3150">
        <v>1</v>
      </c>
      <c r="B3150" t="str">
        <f t="shared" si="297"/>
        <v>Male</v>
      </c>
      <c r="C3150" s="8">
        <v>56</v>
      </c>
      <c r="D3150" t="str">
        <f t="shared" si="298"/>
        <v>Senior</v>
      </c>
      <c r="E3150">
        <v>4</v>
      </c>
      <c r="F3150" t="str">
        <f>HLOOKUP(E3150, LookUP_Table!$A$6:$D$7, 2, FALSE)</f>
        <v>Post Graduate</v>
      </c>
      <c r="G3150" t="str">
        <f>IFERROR(VLOOKUP(E3150, LookUP_Table!$A$1:$B$4, 2, FALSE), "")</f>
        <v>Post Graduate</v>
      </c>
      <c r="H3150">
        <v>1</v>
      </c>
      <c r="I3150">
        <v>20</v>
      </c>
      <c r="J3150" t="str">
        <f t="shared" si="294"/>
        <v>Smoker</v>
      </c>
      <c r="K3150">
        <v>0</v>
      </c>
      <c r="L3150">
        <v>0</v>
      </c>
      <c r="M3150">
        <v>1</v>
      </c>
      <c r="N3150">
        <v>0</v>
      </c>
      <c r="O3150">
        <v>228</v>
      </c>
      <c r="P3150" t="str">
        <f t="shared" si="295"/>
        <v>Normal</v>
      </c>
      <c r="Q3150">
        <v>151.5</v>
      </c>
      <c r="R3150">
        <v>103</v>
      </c>
      <c r="S3150">
        <v>23.58</v>
      </c>
      <c r="T3150" t="str">
        <f t="shared" si="296"/>
        <v>Normal</v>
      </c>
      <c r="U3150">
        <v>65</v>
      </c>
      <c r="V3150">
        <v>66</v>
      </c>
      <c r="W3150" t="str">
        <f t="shared" si="299"/>
        <v>Normal</v>
      </c>
      <c r="X3150">
        <v>0</v>
      </c>
    </row>
    <row r="3151" spans="1:24" ht="14.5" thickBot="1" x14ac:dyDescent="0.35">
      <c r="A3151">
        <v>1</v>
      </c>
      <c r="B3151" t="str">
        <f t="shared" si="297"/>
        <v>Male</v>
      </c>
      <c r="C3151" s="8">
        <v>56</v>
      </c>
      <c r="D3151" t="str">
        <f t="shared" si="298"/>
        <v>Senior</v>
      </c>
      <c r="E3151">
        <v>1</v>
      </c>
      <c r="F3151" t="str">
        <f>HLOOKUP(E3151, LookUP_Table!$A$6:$D$7, 2, FALSE)</f>
        <v>Primary</v>
      </c>
      <c r="G3151" t="str">
        <f>IFERROR(VLOOKUP(E3151, LookUP_Table!$A$1:$B$4, 2, FALSE), "")</f>
        <v>Primary</v>
      </c>
      <c r="H3151">
        <v>0</v>
      </c>
      <c r="I3151">
        <v>0</v>
      </c>
      <c r="J3151" t="str">
        <f t="shared" si="294"/>
        <v>Non-Smoker</v>
      </c>
      <c r="K3151">
        <v>0</v>
      </c>
      <c r="L3151">
        <v>0</v>
      </c>
      <c r="M3151">
        <v>0</v>
      </c>
      <c r="N3151">
        <v>0</v>
      </c>
      <c r="O3151">
        <v>220</v>
      </c>
      <c r="P3151" t="str">
        <f t="shared" si="295"/>
        <v>Normal</v>
      </c>
      <c r="Q3151">
        <v>113</v>
      </c>
      <c r="R3151">
        <v>83</v>
      </c>
      <c r="S3151">
        <v>25.12</v>
      </c>
      <c r="T3151" t="str">
        <f t="shared" si="296"/>
        <v>Overweight</v>
      </c>
      <c r="U3151">
        <v>58</v>
      </c>
      <c r="V3151">
        <v>86</v>
      </c>
      <c r="W3151" t="str">
        <f t="shared" si="299"/>
        <v>Normal</v>
      </c>
      <c r="X3151">
        <v>0</v>
      </c>
    </row>
    <row r="3152" spans="1:24" ht="14.5" thickBot="1" x14ac:dyDescent="0.35">
      <c r="A3152">
        <v>0</v>
      </c>
      <c r="B3152" t="str">
        <f t="shared" si="297"/>
        <v>Female</v>
      </c>
      <c r="C3152" s="8">
        <v>56</v>
      </c>
      <c r="D3152" t="str">
        <f t="shared" si="298"/>
        <v>Senior</v>
      </c>
      <c r="E3152">
        <v>2</v>
      </c>
      <c r="F3152" t="str">
        <f>HLOOKUP(E3152, LookUP_Table!$A$6:$D$7, 2, FALSE)</f>
        <v>Secondary</v>
      </c>
      <c r="G3152" t="str">
        <f>IFERROR(VLOOKUP(E3152, LookUP_Table!$A$1:$B$4, 2, FALSE), "")</f>
        <v>Secondary</v>
      </c>
      <c r="H3152">
        <v>0</v>
      </c>
      <c r="I3152">
        <v>0</v>
      </c>
      <c r="J3152" t="str">
        <f t="shared" si="294"/>
        <v>Non-Smoker</v>
      </c>
      <c r="K3152">
        <v>0</v>
      </c>
      <c r="L3152">
        <v>0</v>
      </c>
      <c r="M3152">
        <v>0</v>
      </c>
      <c r="N3152">
        <v>0</v>
      </c>
      <c r="O3152">
        <v>220</v>
      </c>
      <c r="P3152" t="str">
        <f t="shared" si="295"/>
        <v>Normal</v>
      </c>
      <c r="Q3152">
        <v>126.5</v>
      </c>
      <c r="R3152">
        <v>74.5</v>
      </c>
      <c r="S3152">
        <v>28.3</v>
      </c>
      <c r="T3152" t="str">
        <f t="shared" si="296"/>
        <v>Overweight</v>
      </c>
      <c r="U3152">
        <v>82</v>
      </c>
      <c r="V3152">
        <v>80</v>
      </c>
      <c r="W3152" t="str">
        <f t="shared" si="299"/>
        <v>Normal</v>
      </c>
      <c r="X3152">
        <v>1</v>
      </c>
    </row>
    <row r="3153" spans="1:24" ht="14.5" thickBot="1" x14ac:dyDescent="0.35">
      <c r="A3153">
        <v>0</v>
      </c>
      <c r="B3153" t="str">
        <f t="shared" si="297"/>
        <v>Female</v>
      </c>
      <c r="C3153" s="8">
        <v>56</v>
      </c>
      <c r="D3153" t="str">
        <f t="shared" si="298"/>
        <v>Senior</v>
      </c>
      <c r="E3153">
        <v>3</v>
      </c>
      <c r="F3153" t="str">
        <f>HLOOKUP(E3153, LookUP_Table!$A$6:$D$7, 2, FALSE)</f>
        <v>Graduate</v>
      </c>
      <c r="G3153" t="str">
        <f>IFERROR(VLOOKUP(E3153, LookUP_Table!$A$1:$B$4, 2, FALSE), "")</f>
        <v>Graduate</v>
      </c>
      <c r="H3153">
        <v>0</v>
      </c>
      <c r="I3153">
        <v>0</v>
      </c>
      <c r="J3153" t="str">
        <f t="shared" si="294"/>
        <v>Non-Smoker</v>
      </c>
      <c r="K3153">
        <v>0</v>
      </c>
      <c r="L3153">
        <v>0</v>
      </c>
      <c r="M3153">
        <v>1</v>
      </c>
      <c r="N3153">
        <v>0</v>
      </c>
      <c r="O3153">
        <v>287</v>
      </c>
      <c r="P3153" t="str">
        <f t="shared" si="295"/>
        <v>High</v>
      </c>
      <c r="Q3153">
        <v>150.5</v>
      </c>
      <c r="R3153">
        <v>94</v>
      </c>
      <c r="S3153">
        <v>26.01</v>
      </c>
      <c r="T3153" t="str">
        <f t="shared" si="296"/>
        <v>Overweight</v>
      </c>
      <c r="U3153">
        <v>75</v>
      </c>
      <c r="V3153">
        <v>99</v>
      </c>
      <c r="W3153" t="str">
        <f t="shared" si="299"/>
        <v>Normal</v>
      </c>
      <c r="X3153">
        <v>0</v>
      </c>
    </row>
    <row r="3154" spans="1:24" ht="14.5" thickBot="1" x14ac:dyDescent="0.35">
      <c r="A3154">
        <v>0</v>
      </c>
      <c r="B3154" t="str">
        <f t="shared" si="297"/>
        <v>Female</v>
      </c>
      <c r="C3154" s="8">
        <v>56</v>
      </c>
      <c r="D3154" t="str">
        <f t="shared" si="298"/>
        <v>Senior</v>
      </c>
      <c r="E3154">
        <v>1</v>
      </c>
      <c r="F3154" t="str">
        <f>HLOOKUP(E3154, LookUP_Table!$A$6:$D$7, 2, FALSE)</f>
        <v>Primary</v>
      </c>
      <c r="G3154" t="str">
        <f>IFERROR(VLOOKUP(E3154, LookUP_Table!$A$1:$B$4, 2, FALSE), "")</f>
        <v>Primary</v>
      </c>
      <c r="H3154">
        <v>1</v>
      </c>
      <c r="I3154">
        <v>20</v>
      </c>
      <c r="J3154" t="str">
        <f t="shared" si="294"/>
        <v>Smoker</v>
      </c>
      <c r="K3154">
        <v>0</v>
      </c>
      <c r="L3154">
        <v>0</v>
      </c>
      <c r="M3154">
        <v>0</v>
      </c>
      <c r="N3154">
        <v>0</v>
      </c>
      <c r="O3154">
        <v>240</v>
      </c>
      <c r="P3154" t="str">
        <f t="shared" si="295"/>
        <v>Normal</v>
      </c>
      <c r="Q3154">
        <v>125</v>
      </c>
      <c r="R3154">
        <v>79</v>
      </c>
      <c r="S3154">
        <v>27.38</v>
      </c>
      <c r="T3154" t="str">
        <f t="shared" si="296"/>
        <v>Overweight</v>
      </c>
      <c r="U3154">
        <v>80</v>
      </c>
      <c r="V3154">
        <v>82</v>
      </c>
      <c r="W3154" t="str">
        <f t="shared" si="299"/>
        <v>Normal</v>
      </c>
      <c r="X3154">
        <v>0</v>
      </c>
    </row>
    <row r="3155" spans="1:24" ht="14.5" thickBot="1" x14ac:dyDescent="0.35">
      <c r="A3155">
        <v>0</v>
      </c>
      <c r="B3155" t="str">
        <f t="shared" si="297"/>
        <v>Female</v>
      </c>
      <c r="C3155" s="8">
        <v>56</v>
      </c>
      <c r="D3155" t="str">
        <f t="shared" si="298"/>
        <v>Senior</v>
      </c>
      <c r="E3155">
        <v>1</v>
      </c>
      <c r="F3155" t="str">
        <f>HLOOKUP(E3155, LookUP_Table!$A$6:$D$7, 2, FALSE)</f>
        <v>Primary</v>
      </c>
      <c r="G3155" t="str">
        <f>IFERROR(VLOOKUP(E3155, LookUP_Table!$A$1:$B$4, 2, FALSE), "")</f>
        <v>Primary</v>
      </c>
      <c r="H3155">
        <v>1</v>
      </c>
      <c r="I3155">
        <v>5</v>
      </c>
      <c r="J3155" t="str">
        <f t="shared" si="294"/>
        <v>Smoker</v>
      </c>
      <c r="K3155">
        <v>0</v>
      </c>
      <c r="L3155">
        <v>0</v>
      </c>
      <c r="M3155">
        <v>0</v>
      </c>
      <c r="N3155">
        <v>0</v>
      </c>
      <c r="O3155">
        <v>285</v>
      </c>
      <c r="P3155" t="str">
        <f t="shared" si="295"/>
        <v>High</v>
      </c>
      <c r="Q3155">
        <v>124</v>
      </c>
      <c r="R3155">
        <v>80</v>
      </c>
      <c r="S3155">
        <v>24.54</v>
      </c>
      <c r="T3155" t="str">
        <f t="shared" si="296"/>
        <v>Normal</v>
      </c>
      <c r="U3155">
        <v>52</v>
      </c>
      <c r="V3155">
        <v>106</v>
      </c>
      <c r="W3155" t="str">
        <f t="shared" si="299"/>
        <v>Prediabetes</v>
      </c>
      <c r="X3155">
        <v>0</v>
      </c>
    </row>
    <row r="3156" spans="1:24" ht="14.5" thickBot="1" x14ac:dyDescent="0.35">
      <c r="A3156">
        <v>1</v>
      </c>
      <c r="B3156" t="str">
        <f t="shared" si="297"/>
        <v>Male</v>
      </c>
      <c r="C3156" s="8">
        <v>56</v>
      </c>
      <c r="D3156" t="str">
        <f t="shared" si="298"/>
        <v>Senior</v>
      </c>
      <c r="E3156">
        <v>1</v>
      </c>
      <c r="F3156" t="str">
        <f>HLOOKUP(E3156, LookUP_Table!$A$6:$D$7, 2, FALSE)</f>
        <v>Primary</v>
      </c>
      <c r="G3156" t="str">
        <f>IFERROR(VLOOKUP(E3156, LookUP_Table!$A$1:$B$4, 2, FALSE), "")</f>
        <v>Primary</v>
      </c>
      <c r="H3156">
        <v>0</v>
      </c>
      <c r="I3156">
        <v>0</v>
      </c>
      <c r="J3156" t="str">
        <f t="shared" si="294"/>
        <v>Non-Smoker</v>
      </c>
      <c r="K3156">
        <v>0</v>
      </c>
      <c r="L3156">
        <v>0</v>
      </c>
      <c r="M3156">
        <v>0</v>
      </c>
      <c r="N3156">
        <v>0</v>
      </c>
      <c r="O3156">
        <v>243</v>
      </c>
      <c r="P3156" t="str">
        <f t="shared" si="295"/>
        <v>High</v>
      </c>
      <c r="Q3156">
        <v>128.5</v>
      </c>
      <c r="R3156">
        <v>75</v>
      </c>
      <c r="S3156">
        <v>27.68</v>
      </c>
      <c r="T3156" t="str">
        <f t="shared" si="296"/>
        <v>Overweight</v>
      </c>
      <c r="U3156">
        <v>80</v>
      </c>
      <c r="V3156">
        <v>89</v>
      </c>
      <c r="W3156" t="str">
        <f t="shared" si="299"/>
        <v>Normal</v>
      </c>
      <c r="X3156">
        <v>0</v>
      </c>
    </row>
    <row r="3157" spans="1:24" ht="14.5" thickBot="1" x14ac:dyDescent="0.35">
      <c r="A3157">
        <v>0</v>
      </c>
      <c r="B3157" t="str">
        <f t="shared" si="297"/>
        <v>Female</v>
      </c>
      <c r="C3157" s="8">
        <v>56</v>
      </c>
      <c r="D3157" t="str">
        <f t="shared" si="298"/>
        <v>Senior</v>
      </c>
      <c r="E3157">
        <v>1</v>
      </c>
      <c r="F3157" t="str">
        <f>HLOOKUP(E3157, LookUP_Table!$A$6:$D$7, 2, FALSE)</f>
        <v>Primary</v>
      </c>
      <c r="G3157" t="str">
        <f>IFERROR(VLOOKUP(E3157, LookUP_Table!$A$1:$B$4, 2, FALSE), "")</f>
        <v>Primary</v>
      </c>
      <c r="H3157">
        <v>0</v>
      </c>
      <c r="I3157">
        <v>0</v>
      </c>
      <c r="J3157" t="str">
        <f t="shared" si="294"/>
        <v>Non-Smoker</v>
      </c>
      <c r="K3157">
        <v>0</v>
      </c>
      <c r="L3157">
        <v>0</v>
      </c>
      <c r="M3157">
        <v>1</v>
      </c>
      <c r="N3157">
        <v>0</v>
      </c>
      <c r="O3157">
        <v>290</v>
      </c>
      <c r="P3157" t="str">
        <f t="shared" si="295"/>
        <v>High</v>
      </c>
      <c r="Q3157">
        <v>164.5</v>
      </c>
      <c r="R3157">
        <v>102</v>
      </c>
      <c r="S3157">
        <v>30.33</v>
      </c>
      <c r="T3157" t="str">
        <f t="shared" si="296"/>
        <v>Obese</v>
      </c>
      <c r="U3157">
        <v>70</v>
      </c>
      <c r="V3157">
        <v>105</v>
      </c>
      <c r="W3157" t="str">
        <f t="shared" si="299"/>
        <v>Prediabetes</v>
      </c>
      <c r="X3157">
        <v>0</v>
      </c>
    </row>
    <row r="3158" spans="1:24" ht="14.5" thickBot="1" x14ac:dyDescent="0.35">
      <c r="A3158">
        <v>1</v>
      </c>
      <c r="B3158" t="str">
        <f t="shared" si="297"/>
        <v>Male</v>
      </c>
      <c r="C3158" s="8">
        <v>56</v>
      </c>
      <c r="D3158" t="str">
        <f t="shared" si="298"/>
        <v>Senior</v>
      </c>
      <c r="E3158">
        <v>3</v>
      </c>
      <c r="F3158" t="str">
        <f>HLOOKUP(E3158, LookUP_Table!$A$6:$D$7, 2, FALSE)</f>
        <v>Graduate</v>
      </c>
      <c r="G3158" t="str">
        <f>IFERROR(VLOOKUP(E3158, LookUP_Table!$A$1:$B$4, 2, FALSE), "")</f>
        <v>Graduate</v>
      </c>
      <c r="H3158">
        <v>0</v>
      </c>
      <c r="I3158">
        <v>0</v>
      </c>
      <c r="J3158" t="str">
        <f t="shared" si="294"/>
        <v>Non-Smoker</v>
      </c>
      <c r="K3158">
        <v>0</v>
      </c>
      <c r="L3158">
        <v>0</v>
      </c>
      <c r="M3158">
        <v>0</v>
      </c>
      <c r="N3158">
        <v>0</v>
      </c>
      <c r="O3158">
        <v>193</v>
      </c>
      <c r="P3158" t="str">
        <f t="shared" si="295"/>
        <v>Normal</v>
      </c>
      <c r="Q3158">
        <v>114</v>
      </c>
      <c r="R3158">
        <v>80</v>
      </c>
      <c r="S3158">
        <v>28.41</v>
      </c>
      <c r="T3158" t="str">
        <f t="shared" si="296"/>
        <v>Overweight</v>
      </c>
      <c r="U3158">
        <v>60</v>
      </c>
      <c r="V3158">
        <v>88</v>
      </c>
      <c r="W3158" t="str">
        <f t="shared" si="299"/>
        <v>Normal</v>
      </c>
      <c r="X3158">
        <v>0</v>
      </c>
    </row>
    <row r="3159" spans="1:24" ht="14.5" thickBot="1" x14ac:dyDescent="0.35">
      <c r="A3159">
        <v>1</v>
      </c>
      <c r="B3159" t="str">
        <f t="shared" si="297"/>
        <v>Male</v>
      </c>
      <c r="C3159" s="8">
        <v>56</v>
      </c>
      <c r="D3159" t="str">
        <f t="shared" si="298"/>
        <v>Senior</v>
      </c>
      <c r="E3159">
        <v>1</v>
      </c>
      <c r="F3159" t="str">
        <f>HLOOKUP(E3159, LookUP_Table!$A$6:$D$7, 2, FALSE)</f>
        <v>Primary</v>
      </c>
      <c r="G3159" t="str">
        <f>IFERROR(VLOOKUP(E3159, LookUP_Table!$A$1:$B$4, 2, FALSE), "")</f>
        <v>Primary</v>
      </c>
      <c r="H3159">
        <v>1</v>
      </c>
      <c r="I3159">
        <v>43</v>
      </c>
      <c r="J3159" t="str">
        <f t="shared" si="294"/>
        <v>Smoker</v>
      </c>
      <c r="K3159">
        <v>0</v>
      </c>
      <c r="L3159">
        <v>0</v>
      </c>
      <c r="M3159">
        <v>1</v>
      </c>
      <c r="N3159">
        <v>0</v>
      </c>
      <c r="O3159">
        <v>240</v>
      </c>
      <c r="P3159" t="str">
        <f t="shared" si="295"/>
        <v>Normal</v>
      </c>
      <c r="Q3159">
        <v>128.5</v>
      </c>
      <c r="R3159">
        <v>87.5</v>
      </c>
      <c r="S3159">
        <v>31.5</v>
      </c>
      <c r="T3159" t="str">
        <f t="shared" si="296"/>
        <v>Obese</v>
      </c>
      <c r="U3159">
        <v>80</v>
      </c>
      <c r="V3159">
        <v>81.96365524402907</v>
      </c>
      <c r="W3159" t="str">
        <f t="shared" si="299"/>
        <v>Normal</v>
      </c>
      <c r="X3159">
        <v>0</v>
      </c>
    </row>
    <row r="3160" spans="1:24" ht="14.5" thickBot="1" x14ac:dyDescent="0.35">
      <c r="A3160">
        <v>0</v>
      </c>
      <c r="B3160" t="str">
        <f t="shared" si="297"/>
        <v>Female</v>
      </c>
      <c r="C3160" s="8">
        <v>56</v>
      </c>
      <c r="D3160" t="str">
        <f t="shared" si="298"/>
        <v>Senior</v>
      </c>
      <c r="E3160">
        <v>4</v>
      </c>
      <c r="F3160" t="str">
        <f>HLOOKUP(E3160, LookUP_Table!$A$6:$D$7, 2, FALSE)</f>
        <v>Post Graduate</v>
      </c>
      <c r="G3160" t="str">
        <f>IFERROR(VLOOKUP(E3160, LookUP_Table!$A$1:$B$4, 2, FALSE), "")</f>
        <v>Post Graduate</v>
      </c>
      <c r="H3160">
        <v>1</v>
      </c>
      <c r="I3160">
        <v>3</v>
      </c>
      <c r="J3160" t="str">
        <f t="shared" si="294"/>
        <v>Smoker</v>
      </c>
      <c r="K3160">
        <v>0</v>
      </c>
      <c r="L3160">
        <v>0</v>
      </c>
      <c r="M3160">
        <v>0</v>
      </c>
      <c r="N3160">
        <v>0</v>
      </c>
      <c r="O3160">
        <v>266</v>
      </c>
      <c r="P3160" t="str">
        <f t="shared" si="295"/>
        <v>High</v>
      </c>
      <c r="Q3160">
        <v>114</v>
      </c>
      <c r="R3160">
        <v>72</v>
      </c>
      <c r="S3160">
        <v>22.64</v>
      </c>
      <c r="T3160" t="str">
        <f t="shared" si="296"/>
        <v>Normal</v>
      </c>
      <c r="U3160">
        <v>65</v>
      </c>
      <c r="V3160">
        <v>83</v>
      </c>
      <c r="W3160" t="str">
        <f t="shared" si="299"/>
        <v>Normal</v>
      </c>
      <c r="X3160">
        <v>0</v>
      </c>
    </row>
    <row r="3161" spans="1:24" ht="14.5" thickBot="1" x14ac:dyDescent="0.35">
      <c r="A3161">
        <v>0</v>
      </c>
      <c r="B3161" t="str">
        <f t="shared" si="297"/>
        <v>Female</v>
      </c>
      <c r="C3161" s="8">
        <v>56</v>
      </c>
      <c r="D3161" t="str">
        <f t="shared" si="298"/>
        <v>Senior</v>
      </c>
      <c r="E3161">
        <v>1</v>
      </c>
      <c r="F3161" t="str">
        <f>HLOOKUP(E3161, LookUP_Table!$A$6:$D$7, 2, FALSE)</f>
        <v>Primary</v>
      </c>
      <c r="G3161" t="str">
        <f>IFERROR(VLOOKUP(E3161, LookUP_Table!$A$1:$B$4, 2, FALSE), "")</f>
        <v>Primary</v>
      </c>
      <c r="H3161">
        <v>1</v>
      </c>
      <c r="I3161">
        <v>10</v>
      </c>
      <c r="J3161" t="str">
        <f t="shared" si="294"/>
        <v>Smoker</v>
      </c>
      <c r="K3161">
        <v>1</v>
      </c>
      <c r="L3161">
        <v>0</v>
      </c>
      <c r="M3161">
        <v>1</v>
      </c>
      <c r="N3161">
        <v>1</v>
      </c>
      <c r="O3161">
        <v>241</v>
      </c>
      <c r="P3161" t="str">
        <f t="shared" si="295"/>
        <v>High</v>
      </c>
      <c r="Q3161">
        <v>174</v>
      </c>
      <c r="R3161">
        <v>97</v>
      </c>
      <c r="S3161">
        <v>29.22</v>
      </c>
      <c r="T3161" t="str">
        <f t="shared" si="296"/>
        <v>Overweight</v>
      </c>
      <c r="U3161">
        <v>90</v>
      </c>
      <c r="V3161">
        <v>135</v>
      </c>
      <c r="W3161" t="str">
        <f t="shared" si="299"/>
        <v>Diabetes</v>
      </c>
      <c r="X3161">
        <v>1</v>
      </c>
    </row>
    <row r="3162" spans="1:24" ht="14.5" thickBot="1" x14ac:dyDescent="0.35">
      <c r="A3162">
        <v>1</v>
      </c>
      <c r="B3162" t="str">
        <f t="shared" si="297"/>
        <v>Male</v>
      </c>
      <c r="C3162" s="8">
        <v>56</v>
      </c>
      <c r="D3162" t="str">
        <f t="shared" si="298"/>
        <v>Senior</v>
      </c>
      <c r="E3162">
        <v>2</v>
      </c>
      <c r="F3162" t="str">
        <f>HLOOKUP(E3162, LookUP_Table!$A$6:$D$7, 2, FALSE)</f>
        <v>Secondary</v>
      </c>
      <c r="G3162" t="str">
        <f>IFERROR(VLOOKUP(E3162, LookUP_Table!$A$1:$B$4, 2, FALSE), "")</f>
        <v>Secondary</v>
      </c>
      <c r="H3162">
        <v>1</v>
      </c>
      <c r="I3162">
        <v>15</v>
      </c>
      <c r="J3162" t="str">
        <f t="shared" si="294"/>
        <v>Smoker</v>
      </c>
      <c r="K3162">
        <v>0</v>
      </c>
      <c r="L3162">
        <v>0</v>
      </c>
      <c r="M3162">
        <v>1</v>
      </c>
      <c r="N3162">
        <v>0</v>
      </c>
      <c r="O3162">
        <v>214</v>
      </c>
      <c r="P3162" t="str">
        <f t="shared" si="295"/>
        <v>Normal</v>
      </c>
      <c r="Q3162">
        <v>142</v>
      </c>
      <c r="R3162">
        <v>66</v>
      </c>
      <c r="S3162">
        <v>24.47</v>
      </c>
      <c r="T3162" t="str">
        <f t="shared" si="296"/>
        <v>Normal</v>
      </c>
      <c r="U3162">
        <v>95</v>
      </c>
      <c r="V3162">
        <v>94</v>
      </c>
      <c r="W3162" t="str">
        <f t="shared" si="299"/>
        <v>Normal</v>
      </c>
      <c r="X3162">
        <v>0</v>
      </c>
    </row>
    <row r="3163" spans="1:24" ht="14.5" thickBot="1" x14ac:dyDescent="0.35">
      <c r="A3163">
        <v>1</v>
      </c>
      <c r="B3163" t="str">
        <f t="shared" si="297"/>
        <v>Male</v>
      </c>
      <c r="C3163" s="8">
        <v>56</v>
      </c>
      <c r="D3163" t="str">
        <f t="shared" si="298"/>
        <v>Senior</v>
      </c>
      <c r="E3163">
        <v>1</v>
      </c>
      <c r="F3163" t="str">
        <f>HLOOKUP(E3163, LookUP_Table!$A$6:$D$7, 2, FALSE)</f>
        <v>Primary</v>
      </c>
      <c r="G3163" t="str">
        <f>IFERROR(VLOOKUP(E3163, LookUP_Table!$A$1:$B$4, 2, FALSE), "")</f>
        <v>Primary</v>
      </c>
      <c r="H3163">
        <v>0</v>
      </c>
      <c r="I3163">
        <v>0</v>
      </c>
      <c r="J3163" t="str">
        <f t="shared" si="294"/>
        <v>Non-Smoker</v>
      </c>
      <c r="K3163">
        <v>0</v>
      </c>
      <c r="L3163">
        <v>0</v>
      </c>
      <c r="M3163">
        <v>1</v>
      </c>
      <c r="N3163">
        <v>0</v>
      </c>
      <c r="O3163">
        <v>254</v>
      </c>
      <c r="P3163" t="str">
        <f t="shared" si="295"/>
        <v>High</v>
      </c>
      <c r="Q3163">
        <v>166</v>
      </c>
      <c r="R3163">
        <v>107</v>
      </c>
      <c r="S3163">
        <v>21.97</v>
      </c>
      <c r="T3163" t="str">
        <f t="shared" si="296"/>
        <v>Normal</v>
      </c>
      <c r="U3163">
        <v>75</v>
      </c>
      <c r="V3163">
        <v>83</v>
      </c>
      <c r="W3163" t="str">
        <f t="shared" si="299"/>
        <v>Normal</v>
      </c>
      <c r="X3163">
        <v>0</v>
      </c>
    </row>
    <row r="3164" spans="1:24" ht="14.5" thickBot="1" x14ac:dyDescent="0.35">
      <c r="A3164">
        <v>0</v>
      </c>
      <c r="B3164" t="str">
        <f t="shared" si="297"/>
        <v>Female</v>
      </c>
      <c r="C3164" s="8">
        <v>56</v>
      </c>
      <c r="D3164" t="str">
        <f t="shared" si="298"/>
        <v>Senior</v>
      </c>
      <c r="E3164">
        <v>3</v>
      </c>
      <c r="F3164" t="str">
        <f>HLOOKUP(E3164, LookUP_Table!$A$6:$D$7, 2, FALSE)</f>
        <v>Graduate</v>
      </c>
      <c r="G3164" t="str">
        <f>IFERROR(VLOOKUP(E3164, LookUP_Table!$A$1:$B$4, 2, FALSE), "")</f>
        <v>Graduate</v>
      </c>
      <c r="H3164">
        <v>0</v>
      </c>
      <c r="I3164">
        <v>0</v>
      </c>
      <c r="J3164" t="str">
        <f t="shared" si="294"/>
        <v>Non-Smoker</v>
      </c>
      <c r="K3164">
        <v>0</v>
      </c>
      <c r="L3164">
        <v>0</v>
      </c>
      <c r="M3164">
        <v>0</v>
      </c>
      <c r="N3164">
        <v>0</v>
      </c>
      <c r="O3164">
        <v>267</v>
      </c>
      <c r="P3164" t="str">
        <f t="shared" si="295"/>
        <v>High</v>
      </c>
      <c r="Q3164">
        <v>122.5</v>
      </c>
      <c r="R3164">
        <v>85</v>
      </c>
      <c r="S3164">
        <v>24.22</v>
      </c>
      <c r="T3164" t="str">
        <f t="shared" si="296"/>
        <v>Normal</v>
      </c>
      <c r="U3164">
        <v>92</v>
      </c>
      <c r="V3164">
        <v>100</v>
      </c>
      <c r="W3164" t="str">
        <f t="shared" si="299"/>
        <v>Prediabetes</v>
      </c>
      <c r="X3164">
        <v>0</v>
      </c>
    </row>
    <row r="3165" spans="1:24" ht="14.5" thickBot="1" x14ac:dyDescent="0.35">
      <c r="A3165">
        <v>0</v>
      </c>
      <c r="B3165" t="str">
        <f t="shared" si="297"/>
        <v>Female</v>
      </c>
      <c r="C3165" s="8">
        <v>56</v>
      </c>
      <c r="D3165" t="str">
        <f t="shared" si="298"/>
        <v>Senior</v>
      </c>
      <c r="E3165">
        <v>3</v>
      </c>
      <c r="F3165" t="str">
        <f>HLOOKUP(E3165, LookUP_Table!$A$6:$D$7, 2, FALSE)</f>
        <v>Graduate</v>
      </c>
      <c r="G3165" t="str">
        <f>IFERROR(VLOOKUP(E3165, LookUP_Table!$A$1:$B$4, 2, FALSE), "")</f>
        <v>Graduate</v>
      </c>
      <c r="H3165">
        <v>0</v>
      </c>
      <c r="I3165">
        <v>0</v>
      </c>
      <c r="J3165" t="str">
        <f t="shared" si="294"/>
        <v>Non-Smoker</v>
      </c>
      <c r="K3165">
        <v>0</v>
      </c>
      <c r="L3165">
        <v>0</v>
      </c>
      <c r="M3165">
        <v>0</v>
      </c>
      <c r="N3165">
        <v>0</v>
      </c>
      <c r="O3165">
        <v>246</v>
      </c>
      <c r="P3165" t="str">
        <f t="shared" si="295"/>
        <v>High</v>
      </c>
      <c r="Q3165">
        <v>131</v>
      </c>
      <c r="R3165">
        <v>79</v>
      </c>
      <c r="S3165">
        <v>27.69</v>
      </c>
      <c r="T3165" t="str">
        <f t="shared" si="296"/>
        <v>Overweight</v>
      </c>
      <c r="U3165">
        <v>90</v>
      </c>
      <c r="V3165">
        <v>65</v>
      </c>
      <c r="W3165" t="str">
        <f t="shared" si="299"/>
        <v>Normal</v>
      </c>
      <c r="X3165">
        <v>0</v>
      </c>
    </row>
    <row r="3166" spans="1:24" ht="14.5" thickBot="1" x14ac:dyDescent="0.35">
      <c r="A3166">
        <v>1</v>
      </c>
      <c r="B3166" t="str">
        <f t="shared" si="297"/>
        <v>Male</v>
      </c>
      <c r="C3166" s="8">
        <v>56</v>
      </c>
      <c r="D3166" t="str">
        <f t="shared" si="298"/>
        <v>Senior</v>
      </c>
      <c r="E3166">
        <v>2</v>
      </c>
      <c r="F3166" t="str">
        <f>HLOOKUP(E3166, LookUP_Table!$A$6:$D$7, 2, FALSE)</f>
        <v>Secondary</v>
      </c>
      <c r="G3166" t="str">
        <f>IFERROR(VLOOKUP(E3166, LookUP_Table!$A$1:$B$4, 2, FALSE), "")</f>
        <v>Secondary</v>
      </c>
      <c r="H3166">
        <v>1</v>
      </c>
      <c r="I3166">
        <v>20</v>
      </c>
      <c r="J3166" t="str">
        <f t="shared" si="294"/>
        <v>Smoker</v>
      </c>
      <c r="K3166">
        <v>0</v>
      </c>
      <c r="L3166">
        <v>0</v>
      </c>
      <c r="M3166">
        <v>0</v>
      </c>
      <c r="N3166">
        <v>0</v>
      </c>
      <c r="O3166">
        <v>186</v>
      </c>
      <c r="P3166" t="str">
        <f t="shared" si="295"/>
        <v>Normal</v>
      </c>
      <c r="Q3166">
        <v>116</v>
      </c>
      <c r="R3166">
        <v>67</v>
      </c>
      <c r="S3166">
        <v>24.62</v>
      </c>
      <c r="T3166" t="str">
        <f t="shared" si="296"/>
        <v>Normal</v>
      </c>
      <c r="U3166">
        <v>70</v>
      </c>
      <c r="V3166">
        <v>83</v>
      </c>
      <c r="W3166" t="str">
        <f t="shared" si="299"/>
        <v>Normal</v>
      </c>
      <c r="X3166">
        <v>0</v>
      </c>
    </row>
    <row r="3167" spans="1:24" ht="14.5" thickBot="1" x14ac:dyDescent="0.35">
      <c r="A3167">
        <v>0</v>
      </c>
      <c r="B3167" t="str">
        <f t="shared" si="297"/>
        <v>Female</v>
      </c>
      <c r="C3167" s="8">
        <v>56</v>
      </c>
      <c r="D3167" t="str">
        <f t="shared" si="298"/>
        <v>Senior</v>
      </c>
      <c r="E3167">
        <v>1</v>
      </c>
      <c r="F3167" t="str">
        <f>HLOOKUP(E3167, LookUP_Table!$A$6:$D$7, 2, FALSE)</f>
        <v>Primary</v>
      </c>
      <c r="G3167" t="str">
        <f>IFERROR(VLOOKUP(E3167, LookUP_Table!$A$1:$B$4, 2, FALSE), "")</f>
        <v>Primary</v>
      </c>
      <c r="H3167">
        <v>1</v>
      </c>
      <c r="I3167">
        <v>10</v>
      </c>
      <c r="J3167" t="str">
        <f t="shared" si="294"/>
        <v>Smoker</v>
      </c>
      <c r="K3167">
        <v>0</v>
      </c>
      <c r="L3167">
        <v>0</v>
      </c>
      <c r="M3167">
        <v>0</v>
      </c>
      <c r="N3167">
        <v>0</v>
      </c>
      <c r="O3167">
        <v>225</v>
      </c>
      <c r="P3167" t="str">
        <f t="shared" si="295"/>
        <v>Normal</v>
      </c>
      <c r="Q3167">
        <v>120</v>
      </c>
      <c r="R3167">
        <v>70</v>
      </c>
      <c r="S3167">
        <v>18.46</v>
      </c>
      <c r="T3167" t="str">
        <f t="shared" si="296"/>
        <v>Underweight</v>
      </c>
      <c r="U3167">
        <v>57</v>
      </c>
      <c r="V3167">
        <v>81.96365524402907</v>
      </c>
      <c r="W3167" t="str">
        <f t="shared" si="299"/>
        <v>Normal</v>
      </c>
      <c r="X3167">
        <v>0</v>
      </c>
    </row>
    <row r="3168" spans="1:24" ht="14.5" thickBot="1" x14ac:dyDescent="0.35">
      <c r="A3168">
        <v>1</v>
      </c>
      <c r="B3168" t="str">
        <f t="shared" si="297"/>
        <v>Male</v>
      </c>
      <c r="C3168" s="8">
        <v>56</v>
      </c>
      <c r="D3168" t="str">
        <f t="shared" si="298"/>
        <v>Senior</v>
      </c>
      <c r="E3168">
        <v>1</v>
      </c>
      <c r="F3168" t="str">
        <f>HLOOKUP(E3168, LookUP_Table!$A$6:$D$7, 2, FALSE)</f>
        <v>Primary</v>
      </c>
      <c r="G3168" t="str">
        <f>IFERROR(VLOOKUP(E3168, LookUP_Table!$A$1:$B$4, 2, FALSE), "")</f>
        <v>Primary</v>
      </c>
      <c r="H3168">
        <v>1</v>
      </c>
      <c r="I3168">
        <v>30</v>
      </c>
      <c r="J3168" t="str">
        <f t="shared" si="294"/>
        <v>Smoker</v>
      </c>
      <c r="K3168">
        <v>0</v>
      </c>
      <c r="L3168">
        <v>0</v>
      </c>
      <c r="M3168">
        <v>1</v>
      </c>
      <c r="N3168">
        <v>0</v>
      </c>
      <c r="O3168">
        <v>193</v>
      </c>
      <c r="P3168" t="str">
        <f t="shared" si="295"/>
        <v>Normal</v>
      </c>
      <c r="Q3168">
        <v>139</v>
      </c>
      <c r="R3168">
        <v>93</v>
      </c>
      <c r="S3168">
        <v>28.67</v>
      </c>
      <c r="T3168" t="str">
        <f t="shared" si="296"/>
        <v>Overweight</v>
      </c>
      <c r="U3168">
        <v>57</v>
      </c>
      <c r="V3168">
        <v>67</v>
      </c>
      <c r="W3168" t="str">
        <f t="shared" si="299"/>
        <v>Normal</v>
      </c>
      <c r="X3168">
        <v>1</v>
      </c>
    </row>
    <row r="3169" spans="1:24" ht="14.5" thickBot="1" x14ac:dyDescent="0.35">
      <c r="A3169">
        <v>1</v>
      </c>
      <c r="B3169" t="str">
        <f t="shared" si="297"/>
        <v>Male</v>
      </c>
      <c r="C3169" s="8">
        <v>56</v>
      </c>
      <c r="D3169" t="str">
        <f t="shared" si="298"/>
        <v>Senior</v>
      </c>
      <c r="E3169">
        <v>1</v>
      </c>
      <c r="F3169" t="str">
        <f>HLOOKUP(E3169, LookUP_Table!$A$6:$D$7, 2, FALSE)</f>
        <v>Primary</v>
      </c>
      <c r="G3169" t="str">
        <f>IFERROR(VLOOKUP(E3169, LookUP_Table!$A$1:$B$4, 2, FALSE), "")</f>
        <v>Primary</v>
      </c>
      <c r="H3169">
        <v>0</v>
      </c>
      <c r="I3169">
        <v>0</v>
      </c>
      <c r="J3169" t="str">
        <f t="shared" si="294"/>
        <v>Non-Smoker</v>
      </c>
      <c r="K3169">
        <v>1</v>
      </c>
      <c r="L3169">
        <v>1</v>
      </c>
      <c r="M3169">
        <v>1</v>
      </c>
      <c r="N3169">
        <v>0</v>
      </c>
      <c r="O3169">
        <v>208</v>
      </c>
      <c r="P3169" t="str">
        <f t="shared" si="295"/>
        <v>Normal</v>
      </c>
      <c r="Q3169">
        <v>167</v>
      </c>
      <c r="R3169">
        <v>92</v>
      </c>
      <c r="S3169">
        <v>24.66</v>
      </c>
      <c r="T3169" t="str">
        <f t="shared" si="296"/>
        <v>Normal</v>
      </c>
      <c r="U3169">
        <v>60</v>
      </c>
      <c r="V3169">
        <v>75</v>
      </c>
      <c r="W3169" t="str">
        <f t="shared" si="299"/>
        <v>Normal</v>
      </c>
      <c r="X3169">
        <v>1</v>
      </c>
    </row>
    <row r="3170" spans="1:24" ht="14.5" thickBot="1" x14ac:dyDescent="0.35">
      <c r="A3170">
        <v>1</v>
      </c>
      <c r="B3170" t="str">
        <f t="shared" si="297"/>
        <v>Male</v>
      </c>
      <c r="C3170" s="8">
        <v>56</v>
      </c>
      <c r="D3170" t="str">
        <f t="shared" si="298"/>
        <v>Senior</v>
      </c>
      <c r="E3170">
        <v>1</v>
      </c>
      <c r="F3170" t="str">
        <f>HLOOKUP(E3170, LookUP_Table!$A$6:$D$7, 2, FALSE)</f>
        <v>Primary</v>
      </c>
      <c r="G3170" t="str">
        <f>IFERROR(VLOOKUP(E3170, LookUP_Table!$A$1:$B$4, 2, FALSE), "")</f>
        <v>Primary</v>
      </c>
      <c r="H3170">
        <v>0</v>
      </c>
      <c r="I3170">
        <v>0</v>
      </c>
      <c r="J3170" t="str">
        <f t="shared" si="294"/>
        <v>Non-Smoker</v>
      </c>
      <c r="K3170">
        <v>0</v>
      </c>
      <c r="L3170">
        <v>0</v>
      </c>
      <c r="M3170">
        <v>0</v>
      </c>
      <c r="N3170">
        <v>0</v>
      </c>
      <c r="O3170">
        <v>220</v>
      </c>
      <c r="P3170" t="str">
        <f t="shared" si="295"/>
        <v>Normal</v>
      </c>
      <c r="Q3170">
        <v>132.5</v>
      </c>
      <c r="R3170">
        <v>82.5</v>
      </c>
      <c r="S3170">
        <v>29.77</v>
      </c>
      <c r="T3170" t="str">
        <f t="shared" si="296"/>
        <v>Overweight</v>
      </c>
      <c r="U3170">
        <v>77</v>
      </c>
      <c r="V3170">
        <v>81.96365524402907</v>
      </c>
      <c r="W3170" t="str">
        <f t="shared" si="299"/>
        <v>Normal</v>
      </c>
      <c r="X3170">
        <v>0</v>
      </c>
    </row>
    <row r="3171" spans="1:24" ht="14.5" thickBot="1" x14ac:dyDescent="0.35">
      <c r="A3171">
        <v>0</v>
      </c>
      <c r="B3171" t="str">
        <f t="shared" si="297"/>
        <v>Female</v>
      </c>
      <c r="C3171" s="8">
        <v>56</v>
      </c>
      <c r="D3171" t="str">
        <f t="shared" si="298"/>
        <v>Senior</v>
      </c>
      <c r="E3171">
        <v>1</v>
      </c>
      <c r="F3171" t="str">
        <f>HLOOKUP(E3171, LookUP_Table!$A$6:$D$7, 2, FALSE)</f>
        <v>Primary</v>
      </c>
      <c r="G3171" t="str">
        <f>IFERROR(VLOOKUP(E3171, LookUP_Table!$A$1:$B$4, 2, FALSE), "")</f>
        <v>Primary</v>
      </c>
      <c r="H3171">
        <v>1</v>
      </c>
      <c r="I3171">
        <v>3</v>
      </c>
      <c r="J3171" t="str">
        <f t="shared" si="294"/>
        <v>Smoker</v>
      </c>
      <c r="K3171">
        <v>0</v>
      </c>
      <c r="L3171">
        <v>0</v>
      </c>
      <c r="M3171">
        <v>1</v>
      </c>
      <c r="N3171">
        <v>0</v>
      </c>
      <c r="O3171">
        <v>265</v>
      </c>
      <c r="P3171" t="str">
        <f t="shared" si="295"/>
        <v>High</v>
      </c>
      <c r="Q3171">
        <v>150</v>
      </c>
      <c r="R3171">
        <v>84</v>
      </c>
      <c r="S3171">
        <v>28.66</v>
      </c>
      <c r="T3171" t="str">
        <f t="shared" si="296"/>
        <v>Overweight</v>
      </c>
      <c r="U3171">
        <v>65</v>
      </c>
      <c r="V3171">
        <v>73</v>
      </c>
      <c r="W3171" t="str">
        <f t="shared" si="299"/>
        <v>Normal</v>
      </c>
      <c r="X3171">
        <v>0</v>
      </c>
    </row>
    <row r="3172" spans="1:24" ht="14.5" thickBot="1" x14ac:dyDescent="0.35">
      <c r="A3172">
        <v>0</v>
      </c>
      <c r="B3172" t="str">
        <f t="shared" si="297"/>
        <v>Female</v>
      </c>
      <c r="C3172" s="8">
        <v>56</v>
      </c>
      <c r="D3172" t="str">
        <f t="shared" si="298"/>
        <v>Senior</v>
      </c>
      <c r="E3172">
        <v>3</v>
      </c>
      <c r="F3172" t="str">
        <f>HLOOKUP(E3172, LookUP_Table!$A$6:$D$7, 2, FALSE)</f>
        <v>Graduate</v>
      </c>
      <c r="G3172" t="str">
        <f>IFERROR(VLOOKUP(E3172, LookUP_Table!$A$1:$B$4, 2, FALSE), "")</f>
        <v>Graduate</v>
      </c>
      <c r="H3172">
        <v>1</v>
      </c>
      <c r="I3172">
        <v>1</v>
      </c>
      <c r="J3172" t="str">
        <f t="shared" si="294"/>
        <v>Smoker</v>
      </c>
      <c r="K3172">
        <v>0</v>
      </c>
      <c r="L3172">
        <v>0</v>
      </c>
      <c r="M3172">
        <v>1</v>
      </c>
      <c r="N3172">
        <v>0</v>
      </c>
      <c r="O3172">
        <v>260</v>
      </c>
      <c r="P3172" t="str">
        <f t="shared" si="295"/>
        <v>High</v>
      </c>
      <c r="Q3172">
        <v>120</v>
      </c>
      <c r="R3172">
        <v>84</v>
      </c>
      <c r="S3172">
        <v>36.18</v>
      </c>
      <c r="T3172" t="str">
        <f t="shared" si="296"/>
        <v>Obese</v>
      </c>
      <c r="U3172">
        <v>80</v>
      </c>
      <c r="V3172">
        <v>76</v>
      </c>
      <c r="W3172" t="str">
        <f t="shared" si="299"/>
        <v>Normal</v>
      </c>
      <c r="X3172">
        <v>0</v>
      </c>
    </row>
    <row r="3173" spans="1:24" ht="14.5" thickBot="1" x14ac:dyDescent="0.35">
      <c r="A3173">
        <v>0</v>
      </c>
      <c r="B3173" t="str">
        <f t="shared" si="297"/>
        <v>Female</v>
      </c>
      <c r="C3173" s="8">
        <v>56</v>
      </c>
      <c r="D3173" t="str">
        <f t="shared" si="298"/>
        <v>Senior</v>
      </c>
      <c r="E3173">
        <v>2</v>
      </c>
      <c r="F3173" t="str">
        <f>HLOOKUP(E3173, LookUP_Table!$A$6:$D$7, 2, FALSE)</f>
        <v>Secondary</v>
      </c>
      <c r="G3173" t="str">
        <f>IFERROR(VLOOKUP(E3173, LookUP_Table!$A$1:$B$4, 2, FALSE), "")</f>
        <v>Secondary</v>
      </c>
      <c r="H3173">
        <v>0</v>
      </c>
      <c r="I3173">
        <v>0</v>
      </c>
      <c r="J3173" t="str">
        <f t="shared" si="294"/>
        <v>Non-Smoker</v>
      </c>
      <c r="K3173">
        <v>0</v>
      </c>
      <c r="L3173">
        <v>0</v>
      </c>
      <c r="M3173">
        <v>0</v>
      </c>
      <c r="N3173">
        <v>0</v>
      </c>
      <c r="O3173">
        <v>225</v>
      </c>
      <c r="P3173" t="str">
        <f t="shared" si="295"/>
        <v>Normal</v>
      </c>
      <c r="Q3173">
        <v>113</v>
      </c>
      <c r="R3173">
        <v>75.5</v>
      </c>
      <c r="S3173">
        <v>27.51</v>
      </c>
      <c r="T3173" t="str">
        <f t="shared" si="296"/>
        <v>Overweight</v>
      </c>
      <c r="U3173">
        <v>86</v>
      </c>
      <c r="V3173">
        <v>104</v>
      </c>
      <c r="W3173" t="str">
        <f t="shared" si="299"/>
        <v>Prediabetes</v>
      </c>
      <c r="X3173">
        <v>0</v>
      </c>
    </row>
    <row r="3174" spans="1:24" ht="14.5" thickBot="1" x14ac:dyDescent="0.35">
      <c r="A3174">
        <v>0</v>
      </c>
      <c r="B3174" t="str">
        <f t="shared" si="297"/>
        <v>Female</v>
      </c>
      <c r="C3174" s="8">
        <v>56</v>
      </c>
      <c r="D3174" t="str">
        <f t="shared" si="298"/>
        <v>Senior</v>
      </c>
      <c r="E3174">
        <v>4</v>
      </c>
      <c r="F3174" t="str">
        <f>HLOOKUP(E3174, LookUP_Table!$A$6:$D$7, 2, FALSE)</f>
        <v>Post Graduate</v>
      </c>
      <c r="G3174" t="str">
        <f>IFERROR(VLOOKUP(E3174, LookUP_Table!$A$1:$B$4, 2, FALSE), "")</f>
        <v>Post Graduate</v>
      </c>
      <c r="H3174">
        <v>0</v>
      </c>
      <c r="I3174">
        <v>0</v>
      </c>
      <c r="J3174" t="str">
        <f t="shared" si="294"/>
        <v>Non-Smoker</v>
      </c>
      <c r="K3174">
        <v>0</v>
      </c>
      <c r="L3174">
        <v>0</v>
      </c>
      <c r="M3174">
        <v>1</v>
      </c>
      <c r="N3174">
        <v>0</v>
      </c>
      <c r="O3174">
        <v>246</v>
      </c>
      <c r="P3174" t="str">
        <f t="shared" si="295"/>
        <v>High</v>
      </c>
      <c r="Q3174">
        <v>136</v>
      </c>
      <c r="R3174">
        <v>87</v>
      </c>
      <c r="S3174">
        <v>26.21</v>
      </c>
      <c r="T3174" t="str">
        <f t="shared" si="296"/>
        <v>Overweight</v>
      </c>
      <c r="U3174">
        <v>80</v>
      </c>
      <c r="V3174">
        <v>72</v>
      </c>
      <c r="W3174" t="str">
        <f t="shared" si="299"/>
        <v>Normal</v>
      </c>
      <c r="X3174">
        <v>1</v>
      </c>
    </row>
    <row r="3175" spans="1:24" ht="14.5" thickBot="1" x14ac:dyDescent="0.35">
      <c r="A3175">
        <v>0</v>
      </c>
      <c r="B3175" t="str">
        <f t="shared" si="297"/>
        <v>Female</v>
      </c>
      <c r="C3175" s="8">
        <v>56</v>
      </c>
      <c r="D3175" t="str">
        <f t="shared" si="298"/>
        <v>Senior</v>
      </c>
      <c r="E3175">
        <v>1</v>
      </c>
      <c r="F3175" t="str">
        <f>HLOOKUP(E3175, LookUP_Table!$A$6:$D$7, 2, FALSE)</f>
        <v>Primary</v>
      </c>
      <c r="G3175" t="str">
        <f>IFERROR(VLOOKUP(E3175, LookUP_Table!$A$1:$B$4, 2, FALSE), "")</f>
        <v>Primary</v>
      </c>
      <c r="H3175">
        <v>0</v>
      </c>
      <c r="I3175">
        <v>0</v>
      </c>
      <c r="J3175" t="str">
        <f t="shared" si="294"/>
        <v>Non-Smoker</v>
      </c>
      <c r="K3175">
        <v>0</v>
      </c>
      <c r="L3175">
        <v>0</v>
      </c>
      <c r="M3175">
        <v>1</v>
      </c>
      <c r="N3175">
        <v>0</v>
      </c>
      <c r="O3175">
        <v>391</v>
      </c>
      <c r="P3175" t="str">
        <f t="shared" si="295"/>
        <v>High</v>
      </c>
      <c r="Q3175">
        <v>126</v>
      </c>
      <c r="R3175">
        <v>84</v>
      </c>
      <c r="S3175">
        <v>24.83</v>
      </c>
      <c r="T3175" t="str">
        <f t="shared" si="296"/>
        <v>Normal</v>
      </c>
      <c r="U3175">
        <v>80</v>
      </c>
      <c r="V3175">
        <v>78</v>
      </c>
      <c r="W3175" t="str">
        <f t="shared" si="299"/>
        <v>Normal</v>
      </c>
      <c r="X3175">
        <v>0</v>
      </c>
    </row>
    <row r="3176" spans="1:24" ht="14.5" thickBot="1" x14ac:dyDescent="0.35">
      <c r="A3176">
        <v>0</v>
      </c>
      <c r="B3176" t="str">
        <f t="shared" si="297"/>
        <v>Female</v>
      </c>
      <c r="C3176" s="8">
        <v>56</v>
      </c>
      <c r="D3176" t="str">
        <f t="shared" si="298"/>
        <v>Senior</v>
      </c>
      <c r="E3176">
        <v>1</v>
      </c>
      <c r="F3176" t="str">
        <f>HLOOKUP(E3176, LookUP_Table!$A$6:$D$7, 2, FALSE)</f>
        <v>Primary</v>
      </c>
      <c r="G3176" t="str">
        <f>IFERROR(VLOOKUP(E3176, LookUP_Table!$A$1:$B$4, 2, FALSE), "")</f>
        <v>Primary</v>
      </c>
      <c r="H3176">
        <v>1</v>
      </c>
      <c r="I3176">
        <v>40</v>
      </c>
      <c r="J3176" t="str">
        <f t="shared" si="294"/>
        <v>Smoker</v>
      </c>
      <c r="K3176">
        <v>0</v>
      </c>
      <c r="L3176">
        <v>0</v>
      </c>
      <c r="M3176">
        <v>1</v>
      </c>
      <c r="N3176">
        <v>0</v>
      </c>
      <c r="O3176">
        <v>214</v>
      </c>
      <c r="P3176" t="str">
        <f t="shared" si="295"/>
        <v>Normal</v>
      </c>
      <c r="Q3176">
        <v>147</v>
      </c>
      <c r="R3176">
        <v>65</v>
      </c>
      <c r="S3176">
        <v>17.68</v>
      </c>
      <c r="T3176" t="str">
        <f t="shared" si="296"/>
        <v>Underweight</v>
      </c>
      <c r="U3176">
        <v>110</v>
      </c>
      <c r="V3176">
        <v>87</v>
      </c>
      <c r="W3176" t="str">
        <f t="shared" si="299"/>
        <v>Normal</v>
      </c>
      <c r="X3176">
        <v>1</v>
      </c>
    </row>
    <row r="3177" spans="1:24" ht="14.5" thickBot="1" x14ac:dyDescent="0.35">
      <c r="A3177">
        <v>0</v>
      </c>
      <c r="B3177" t="str">
        <f t="shared" si="297"/>
        <v>Female</v>
      </c>
      <c r="C3177" s="8">
        <v>56</v>
      </c>
      <c r="D3177" t="str">
        <f t="shared" si="298"/>
        <v>Senior</v>
      </c>
      <c r="E3177">
        <v>2</v>
      </c>
      <c r="F3177" t="str">
        <f>HLOOKUP(E3177, LookUP_Table!$A$6:$D$7, 2, FALSE)</f>
        <v>Secondary</v>
      </c>
      <c r="G3177" t="str">
        <f>IFERROR(VLOOKUP(E3177, LookUP_Table!$A$1:$B$4, 2, FALSE), "")</f>
        <v>Secondary</v>
      </c>
      <c r="H3177">
        <v>0</v>
      </c>
      <c r="I3177">
        <v>0</v>
      </c>
      <c r="J3177" t="str">
        <f t="shared" si="294"/>
        <v>Non-Smoker</v>
      </c>
      <c r="K3177">
        <v>0</v>
      </c>
      <c r="L3177">
        <v>0</v>
      </c>
      <c r="M3177">
        <v>1</v>
      </c>
      <c r="N3177">
        <v>0</v>
      </c>
      <c r="O3177">
        <v>233</v>
      </c>
      <c r="P3177" t="str">
        <f t="shared" si="295"/>
        <v>Normal</v>
      </c>
      <c r="Q3177">
        <v>173</v>
      </c>
      <c r="R3177">
        <v>98.5</v>
      </c>
      <c r="S3177">
        <v>21.88</v>
      </c>
      <c r="T3177" t="str">
        <f t="shared" si="296"/>
        <v>Normal</v>
      </c>
      <c r="U3177">
        <v>62</v>
      </c>
      <c r="V3177">
        <v>76</v>
      </c>
      <c r="W3177" t="str">
        <f t="shared" si="299"/>
        <v>Normal</v>
      </c>
      <c r="X3177">
        <v>0</v>
      </c>
    </row>
    <row r="3178" spans="1:24" ht="14.5" thickBot="1" x14ac:dyDescent="0.35">
      <c r="A3178">
        <v>0</v>
      </c>
      <c r="B3178" t="str">
        <f t="shared" si="297"/>
        <v>Female</v>
      </c>
      <c r="C3178" s="8">
        <v>56</v>
      </c>
      <c r="D3178" t="str">
        <f t="shared" si="298"/>
        <v>Senior</v>
      </c>
      <c r="E3178">
        <v>2</v>
      </c>
      <c r="F3178" t="str">
        <f>HLOOKUP(E3178, LookUP_Table!$A$6:$D$7, 2, FALSE)</f>
        <v>Secondary</v>
      </c>
      <c r="G3178" t="str">
        <f>IFERROR(VLOOKUP(E3178, LookUP_Table!$A$1:$B$4, 2, FALSE), "")</f>
        <v>Secondary</v>
      </c>
      <c r="H3178">
        <v>1</v>
      </c>
      <c r="I3178">
        <v>25</v>
      </c>
      <c r="J3178" t="str">
        <f t="shared" si="294"/>
        <v>Smoker</v>
      </c>
      <c r="K3178">
        <v>0</v>
      </c>
      <c r="L3178">
        <v>0</v>
      </c>
      <c r="M3178">
        <v>0</v>
      </c>
      <c r="N3178">
        <v>0</v>
      </c>
      <c r="O3178">
        <v>273</v>
      </c>
      <c r="P3178" t="str">
        <f t="shared" si="295"/>
        <v>High</v>
      </c>
      <c r="Q3178">
        <v>130.5</v>
      </c>
      <c r="R3178">
        <v>82</v>
      </c>
      <c r="S3178">
        <v>25.48</v>
      </c>
      <c r="T3178" t="str">
        <f t="shared" si="296"/>
        <v>Overweight</v>
      </c>
      <c r="U3178">
        <v>90</v>
      </c>
      <c r="V3178">
        <v>91</v>
      </c>
      <c r="W3178" t="str">
        <f t="shared" si="299"/>
        <v>Normal</v>
      </c>
      <c r="X3178">
        <v>0</v>
      </c>
    </row>
    <row r="3179" spans="1:24" ht="14.5" thickBot="1" x14ac:dyDescent="0.35">
      <c r="A3179">
        <v>0</v>
      </c>
      <c r="B3179" t="str">
        <f t="shared" si="297"/>
        <v>Female</v>
      </c>
      <c r="C3179" s="8">
        <v>56</v>
      </c>
      <c r="D3179" t="str">
        <f t="shared" si="298"/>
        <v>Senior</v>
      </c>
      <c r="E3179">
        <v>2</v>
      </c>
      <c r="F3179" t="str">
        <f>HLOOKUP(E3179, LookUP_Table!$A$6:$D$7, 2, FALSE)</f>
        <v>Secondary</v>
      </c>
      <c r="G3179" t="str">
        <f>IFERROR(VLOOKUP(E3179, LookUP_Table!$A$1:$B$4, 2, FALSE), "")</f>
        <v>Secondary</v>
      </c>
      <c r="H3179">
        <v>0</v>
      </c>
      <c r="I3179">
        <v>0</v>
      </c>
      <c r="J3179" t="str">
        <f t="shared" si="294"/>
        <v>Non-Smoker</v>
      </c>
      <c r="K3179">
        <v>0</v>
      </c>
      <c r="L3179">
        <v>0</v>
      </c>
      <c r="M3179">
        <v>1</v>
      </c>
      <c r="N3179">
        <v>0</v>
      </c>
      <c r="O3179">
        <v>223</v>
      </c>
      <c r="P3179" t="str">
        <f t="shared" si="295"/>
        <v>Normal</v>
      </c>
      <c r="Q3179">
        <v>144</v>
      </c>
      <c r="R3179">
        <v>87</v>
      </c>
      <c r="S3179">
        <v>21.75</v>
      </c>
      <c r="T3179" t="str">
        <f t="shared" si="296"/>
        <v>Normal</v>
      </c>
      <c r="U3179">
        <v>72</v>
      </c>
      <c r="V3179">
        <v>92</v>
      </c>
      <c r="W3179" t="str">
        <f t="shared" si="299"/>
        <v>Normal</v>
      </c>
      <c r="X3179">
        <v>0</v>
      </c>
    </row>
    <row r="3180" spans="1:24" ht="14.5" thickBot="1" x14ac:dyDescent="0.35">
      <c r="A3180">
        <v>0</v>
      </c>
      <c r="B3180" t="str">
        <f t="shared" si="297"/>
        <v>Female</v>
      </c>
      <c r="C3180" s="8">
        <v>56</v>
      </c>
      <c r="D3180" t="str">
        <f t="shared" si="298"/>
        <v>Senior</v>
      </c>
      <c r="E3180">
        <v>2</v>
      </c>
      <c r="F3180" t="str">
        <f>HLOOKUP(E3180, LookUP_Table!$A$6:$D$7, 2, FALSE)</f>
        <v>Secondary</v>
      </c>
      <c r="G3180" t="str">
        <f>IFERROR(VLOOKUP(E3180, LookUP_Table!$A$1:$B$4, 2, FALSE), "")</f>
        <v>Secondary</v>
      </c>
      <c r="H3180">
        <v>0</v>
      </c>
      <c r="I3180">
        <v>0</v>
      </c>
      <c r="J3180" t="str">
        <f t="shared" si="294"/>
        <v>Non-Smoker</v>
      </c>
      <c r="K3180">
        <v>0</v>
      </c>
      <c r="L3180">
        <v>0</v>
      </c>
      <c r="M3180">
        <v>0</v>
      </c>
      <c r="N3180">
        <v>0</v>
      </c>
      <c r="O3180">
        <v>306</v>
      </c>
      <c r="P3180" t="str">
        <f t="shared" si="295"/>
        <v>High</v>
      </c>
      <c r="Q3180">
        <v>120</v>
      </c>
      <c r="R3180">
        <v>87</v>
      </c>
      <c r="S3180">
        <v>25.38</v>
      </c>
      <c r="T3180" t="str">
        <f t="shared" si="296"/>
        <v>Overweight</v>
      </c>
      <c r="U3180">
        <v>82</v>
      </c>
      <c r="V3180">
        <v>84</v>
      </c>
      <c r="W3180" t="str">
        <f t="shared" si="299"/>
        <v>Normal</v>
      </c>
      <c r="X3180">
        <v>0</v>
      </c>
    </row>
    <row r="3181" spans="1:24" ht="14.5" thickBot="1" x14ac:dyDescent="0.35">
      <c r="A3181">
        <v>0</v>
      </c>
      <c r="B3181" t="str">
        <f t="shared" si="297"/>
        <v>Female</v>
      </c>
      <c r="C3181" s="8">
        <v>56</v>
      </c>
      <c r="D3181" t="str">
        <f t="shared" si="298"/>
        <v>Senior</v>
      </c>
      <c r="E3181">
        <v>4</v>
      </c>
      <c r="F3181" t="str">
        <f>HLOOKUP(E3181, LookUP_Table!$A$6:$D$7, 2, FALSE)</f>
        <v>Post Graduate</v>
      </c>
      <c r="G3181" t="str">
        <f>IFERROR(VLOOKUP(E3181, LookUP_Table!$A$1:$B$4, 2, FALSE), "")</f>
        <v>Post Graduate</v>
      </c>
      <c r="H3181">
        <v>0</v>
      </c>
      <c r="I3181">
        <v>0</v>
      </c>
      <c r="J3181" t="str">
        <f t="shared" si="294"/>
        <v>Non-Smoker</v>
      </c>
      <c r="K3181">
        <v>0</v>
      </c>
      <c r="L3181">
        <v>0</v>
      </c>
      <c r="M3181">
        <v>1</v>
      </c>
      <c r="N3181">
        <v>0</v>
      </c>
      <c r="O3181">
        <v>287</v>
      </c>
      <c r="P3181" t="str">
        <f t="shared" si="295"/>
        <v>High</v>
      </c>
      <c r="Q3181">
        <v>169</v>
      </c>
      <c r="R3181">
        <v>91</v>
      </c>
      <c r="S3181">
        <v>26.36</v>
      </c>
      <c r="T3181" t="str">
        <f t="shared" si="296"/>
        <v>Overweight</v>
      </c>
      <c r="U3181">
        <v>94</v>
      </c>
      <c r="V3181">
        <v>83</v>
      </c>
      <c r="W3181" t="str">
        <f t="shared" si="299"/>
        <v>Normal</v>
      </c>
      <c r="X3181">
        <v>0</v>
      </c>
    </row>
    <row r="3182" spans="1:24" ht="14.5" thickBot="1" x14ac:dyDescent="0.35">
      <c r="A3182">
        <v>0</v>
      </c>
      <c r="B3182" t="str">
        <f t="shared" si="297"/>
        <v>Female</v>
      </c>
      <c r="C3182" s="8">
        <v>56</v>
      </c>
      <c r="D3182" t="str">
        <f t="shared" si="298"/>
        <v>Senior</v>
      </c>
      <c r="E3182">
        <v>2</v>
      </c>
      <c r="F3182" t="str">
        <f>HLOOKUP(E3182, LookUP_Table!$A$6:$D$7, 2, FALSE)</f>
        <v>Secondary</v>
      </c>
      <c r="G3182" t="str">
        <f>IFERROR(VLOOKUP(E3182, LookUP_Table!$A$1:$B$4, 2, FALSE), "")</f>
        <v>Secondary</v>
      </c>
      <c r="H3182">
        <v>0</v>
      </c>
      <c r="I3182">
        <v>0</v>
      </c>
      <c r="J3182" t="str">
        <f t="shared" si="294"/>
        <v>Non-Smoker</v>
      </c>
      <c r="K3182">
        <v>0</v>
      </c>
      <c r="L3182">
        <v>0</v>
      </c>
      <c r="M3182">
        <v>1</v>
      </c>
      <c r="N3182">
        <v>0</v>
      </c>
      <c r="O3182">
        <v>199</v>
      </c>
      <c r="P3182" t="str">
        <f t="shared" si="295"/>
        <v>Normal</v>
      </c>
      <c r="Q3182">
        <v>160</v>
      </c>
      <c r="R3182">
        <v>105</v>
      </c>
      <c r="S3182">
        <v>25.71</v>
      </c>
      <c r="T3182" t="str">
        <f t="shared" si="296"/>
        <v>Overweight</v>
      </c>
      <c r="U3182">
        <v>75</v>
      </c>
      <c r="V3182">
        <v>83</v>
      </c>
      <c r="W3182" t="str">
        <f t="shared" si="299"/>
        <v>Normal</v>
      </c>
      <c r="X3182">
        <v>0</v>
      </c>
    </row>
    <row r="3183" spans="1:24" ht="14.5" thickBot="1" x14ac:dyDescent="0.35">
      <c r="A3183">
        <v>1</v>
      </c>
      <c r="B3183" t="str">
        <f t="shared" si="297"/>
        <v>Male</v>
      </c>
      <c r="C3183" s="8">
        <v>56</v>
      </c>
      <c r="D3183" t="str">
        <f t="shared" si="298"/>
        <v>Senior</v>
      </c>
      <c r="E3183">
        <v>1</v>
      </c>
      <c r="F3183" t="str">
        <f>HLOOKUP(E3183, LookUP_Table!$A$6:$D$7, 2, FALSE)</f>
        <v>Primary</v>
      </c>
      <c r="G3183" t="str">
        <f>IFERROR(VLOOKUP(E3183, LookUP_Table!$A$1:$B$4, 2, FALSE), "")</f>
        <v>Primary</v>
      </c>
      <c r="H3183">
        <v>1</v>
      </c>
      <c r="I3183">
        <v>40</v>
      </c>
      <c r="J3183" t="str">
        <f t="shared" si="294"/>
        <v>Smoker</v>
      </c>
      <c r="K3183">
        <v>0</v>
      </c>
      <c r="L3183">
        <v>0</v>
      </c>
      <c r="M3183">
        <v>0</v>
      </c>
      <c r="N3183">
        <v>0</v>
      </c>
      <c r="O3183">
        <v>296</v>
      </c>
      <c r="P3183" t="str">
        <f t="shared" si="295"/>
        <v>High</v>
      </c>
      <c r="Q3183">
        <v>111.5</v>
      </c>
      <c r="R3183">
        <v>74</v>
      </c>
      <c r="S3183">
        <v>23.38</v>
      </c>
      <c r="T3183" t="str">
        <f t="shared" si="296"/>
        <v>Normal</v>
      </c>
      <c r="U3183">
        <v>80</v>
      </c>
      <c r="V3183">
        <v>71</v>
      </c>
      <c r="W3183" t="str">
        <f t="shared" si="299"/>
        <v>Normal</v>
      </c>
      <c r="X3183">
        <v>1</v>
      </c>
    </row>
    <row r="3184" spans="1:24" ht="14.5" thickBot="1" x14ac:dyDescent="0.35">
      <c r="A3184">
        <v>1</v>
      </c>
      <c r="B3184" t="str">
        <f t="shared" si="297"/>
        <v>Male</v>
      </c>
      <c r="C3184" s="8">
        <v>56</v>
      </c>
      <c r="D3184" t="str">
        <f t="shared" si="298"/>
        <v>Senior</v>
      </c>
      <c r="E3184">
        <v>3</v>
      </c>
      <c r="F3184" t="str">
        <f>HLOOKUP(E3184, LookUP_Table!$A$6:$D$7, 2, FALSE)</f>
        <v>Graduate</v>
      </c>
      <c r="G3184" t="str">
        <f>IFERROR(VLOOKUP(E3184, LookUP_Table!$A$1:$B$4, 2, FALSE), "")</f>
        <v>Graduate</v>
      </c>
      <c r="H3184">
        <v>0</v>
      </c>
      <c r="I3184">
        <v>0</v>
      </c>
      <c r="J3184" t="str">
        <f t="shared" si="294"/>
        <v>Non-Smoker</v>
      </c>
      <c r="K3184">
        <v>0</v>
      </c>
      <c r="L3184">
        <v>0</v>
      </c>
      <c r="M3184">
        <v>0</v>
      </c>
      <c r="N3184">
        <v>0</v>
      </c>
      <c r="O3184">
        <v>177</v>
      </c>
      <c r="P3184" t="str">
        <f t="shared" si="295"/>
        <v>Normal</v>
      </c>
      <c r="Q3184">
        <v>124</v>
      </c>
      <c r="R3184">
        <v>77</v>
      </c>
      <c r="S3184">
        <v>27.81</v>
      </c>
      <c r="T3184" t="str">
        <f t="shared" si="296"/>
        <v>Overweight</v>
      </c>
      <c r="U3184">
        <v>60</v>
      </c>
      <c r="V3184">
        <v>88</v>
      </c>
      <c r="W3184" t="str">
        <f t="shared" si="299"/>
        <v>Normal</v>
      </c>
      <c r="X3184">
        <v>0</v>
      </c>
    </row>
    <row r="3185" spans="1:24" ht="14.5" thickBot="1" x14ac:dyDescent="0.35">
      <c r="A3185">
        <v>0</v>
      </c>
      <c r="B3185" t="str">
        <f t="shared" si="297"/>
        <v>Female</v>
      </c>
      <c r="C3185" s="8">
        <v>56</v>
      </c>
      <c r="D3185" t="str">
        <f t="shared" si="298"/>
        <v>Senior</v>
      </c>
      <c r="E3185">
        <v>1</v>
      </c>
      <c r="F3185" t="str">
        <f>HLOOKUP(E3185, LookUP_Table!$A$6:$D$7, 2, FALSE)</f>
        <v>Primary</v>
      </c>
      <c r="G3185" t="str">
        <f>IFERROR(VLOOKUP(E3185, LookUP_Table!$A$1:$B$4, 2, FALSE), "")</f>
        <v>Primary</v>
      </c>
      <c r="H3185">
        <v>1</v>
      </c>
      <c r="I3185">
        <v>15</v>
      </c>
      <c r="J3185" t="str">
        <f t="shared" si="294"/>
        <v>Smoker</v>
      </c>
      <c r="K3185">
        <v>0</v>
      </c>
      <c r="L3185">
        <v>0</v>
      </c>
      <c r="M3185">
        <v>0</v>
      </c>
      <c r="N3185">
        <v>0</v>
      </c>
      <c r="O3185">
        <v>262</v>
      </c>
      <c r="P3185" t="str">
        <f t="shared" si="295"/>
        <v>High</v>
      </c>
      <c r="Q3185">
        <v>126</v>
      </c>
      <c r="R3185">
        <v>74</v>
      </c>
      <c r="S3185">
        <v>27.35</v>
      </c>
      <c r="T3185" t="str">
        <f t="shared" si="296"/>
        <v>Overweight</v>
      </c>
      <c r="U3185">
        <v>90</v>
      </c>
      <c r="V3185">
        <v>115</v>
      </c>
      <c r="W3185" t="str">
        <f t="shared" si="299"/>
        <v>Prediabetes</v>
      </c>
      <c r="X3185">
        <v>0</v>
      </c>
    </row>
    <row r="3186" spans="1:24" ht="14.5" thickBot="1" x14ac:dyDescent="0.35">
      <c r="A3186">
        <v>0</v>
      </c>
      <c r="B3186" t="str">
        <f t="shared" si="297"/>
        <v>Female</v>
      </c>
      <c r="C3186" s="8">
        <v>56</v>
      </c>
      <c r="D3186" t="str">
        <f t="shared" si="298"/>
        <v>Senior</v>
      </c>
      <c r="E3186">
        <v>1</v>
      </c>
      <c r="F3186" t="str">
        <f>HLOOKUP(E3186, LookUP_Table!$A$6:$D$7, 2, FALSE)</f>
        <v>Primary</v>
      </c>
      <c r="G3186" t="str">
        <f>IFERROR(VLOOKUP(E3186, LookUP_Table!$A$1:$B$4, 2, FALSE), "")</f>
        <v>Primary</v>
      </c>
      <c r="H3186">
        <v>0</v>
      </c>
      <c r="I3186">
        <v>0</v>
      </c>
      <c r="J3186" t="str">
        <f t="shared" si="294"/>
        <v>Non-Smoker</v>
      </c>
      <c r="K3186">
        <v>0</v>
      </c>
      <c r="L3186">
        <v>0</v>
      </c>
      <c r="M3186">
        <v>1</v>
      </c>
      <c r="N3186">
        <v>1</v>
      </c>
      <c r="O3186">
        <v>273</v>
      </c>
      <c r="P3186" t="str">
        <f t="shared" si="295"/>
        <v>High</v>
      </c>
      <c r="Q3186">
        <v>136</v>
      </c>
      <c r="R3186">
        <v>80</v>
      </c>
      <c r="S3186">
        <v>27.73</v>
      </c>
      <c r="T3186" t="str">
        <f t="shared" si="296"/>
        <v>Overweight</v>
      </c>
      <c r="U3186">
        <v>90</v>
      </c>
      <c r="V3186">
        <v>210</v>
      </c>
      <c r="W3186" t="str">
        <f t="shared" si="299"/>
        <v>Diabetes</v>
      </c>
      <c r="X3186">
        <v>1</v>
      </c>
    </row>
    <row r="3187" spans="1:24" ht="14.5" thickBot="1" x14ac:dyDescent="0.35">
      <c r="A3187">
        <v>0</v>
      </c>
      <c r="B3187" t="str">
        <f t="shared" si="297"/>
        <v>Female</v>
      </c>
      <c r="C3187" s="8">
        <v>56</v>
      </c>
      <c r="D3187" t="str">
        <f t="shared" si="298"/>
        <v>Senior</v>
      </c>
      <c r="E3187">
        <v>1</v>
      </c>
      <c r="F3187" t="str">
        <f>HLOOKUP(E3187, LookUP_Table!$A$6:$D$7, 2, FALSE)</f>
        <v>Primary</v>
      </c>
      <c r="G3187" t="str">
        <f>IFERROR(VLOOKUP(E3187, LookUP_Table!$A$1:$B$4, 2, FALSE), "")</f>
        <v>Primary</v>
      </c>
      <c r="H3187">
        <v>1</v>
      </c>
      <c r="I3187">
        <v>6</v>
      </c>
      <c r="J3187" t="str">
        <f t="shared" si="294"/>
        <v>Smoker</v>
      </c>
      <c r="K3187">
        <v>0</v>
      </c>
      <c r="L3187">
        <v>0</v>
      </c>
      <c r="M3187">
        <v>0</v>
      </c>
      <c r="N3187">
        <v>0</v>
      </c>
      <c r="O3187">
        <v>217</v>
      </c>
      <c r="P3187" t="str">
        <f t="shared" si="295"/>
        <v>Normal</v>
      </c>
      <c r="Q3187">
        <v>134</v>
      </c>
      <c r="R3187">
        <v>75</v>
      </c>
      <c r="S3187">
        <v>29.59</v>
      </c>
      <c r="T3187" t="str">
        <f t="shared" si="296"/>
        <v>Overweight</v>
      </c>
      <c r="U3187">
        <v>55</v>
      </c>
      <c r="V3187">
        <v>92</v>
      </c>
      <c r="W3187" t="str">
        <f t="shared" si="299"/>
        <v>Normal</v>
      </c>
      <c r="X3187">
        <v>0</v>
      </c>
    </row>
    <row r="3188" spans="1:24" ht="14.5" thickBot="1" x14ac:dyDescent="0.35">
      <c r="A3188">
        <v>0</v>
      </c>
      <c r="B3188" t="str">
        <f t="shared" si="297"/>
        <v>Female</v>
      </c>
      <c r="C3188" s="8">
        <v>56</v>
      </c>
      <c r="D3188" t="str">
        <f t="shared" si="298"/>
        <v>Senior</v>
      </c>
      <c r="E3188">
        <v>2</v>
      </c>
      <c r="F3188" t="str">
        <f>HLOOKUP(E3188, LookUP_Table!$A$6:$D$7, 2, FALSE)</f>
        <v>Secondary</v>
      </c>
      <c r="G3188" t="str">
        <f>IFERROR(VLOOKUP(E3188, LookUP_Table!$A$1:$B$4, 2, FALSE), "")</f>
        <v>Secondary</v>
      </c>
      <c r="H3188">
        <v>0</v>
      </c>
      <c r="I3188">
        <v>0</v>
      </c>
      <c r="J3188" t="str">
        <f t="shared" si="294"/>
        <v>Non-Smoker</v>
      </c>
      <c r="K3188">
        <v>1</v>
      </c>
      <c r="L3188">
        <v>0</v>
      </c>
      <c r="M3188">
        <v>1</v>
      </c>
      <c r="N3188">
        <v>0</v>
      </c>
      <c r="O3188">
        <v>260</v>
      </c>
      <c r="P3188" t="str">
        <f t="shared" si="295"/>
        <v>High</v>
      </c>
      <c r="Q3188">
        <v>158</v>
      </c>
      <c r="R3188">
        <v>102.5</v>
      </c>
      <c r="S3188">
        <v>26.89</v>
      </c>
      <c r="T3188" t="str">
        <f t="shared" si="296"/>
        <v>Overweight</v>
      </c>
      <c r="U3188">
        <v>90</v>
      </c>
      <c r="V3188">
        <v>88</v>
      </c>
      <c r="W3188" t="str">
        <f t="shared" si="299"/>
        <v>Normal</v>
      </c>
      <c r="X3188">
        <v>0</v>
      </c>
    </row>
    <row r="3189" spans="1:24" ht="14.5" thickBot="1" x14ac:dyDescent="0.35">
      <c r="A3189">
        <v>0</v>
      </c>
      <c r="B3189" t="str">
        <f t="shared" si="297"/>
        <v>Female</v>
      </c>
      <c r="C3189" s="8">
        <v>56</v>
      </c>
      <c r="D3189" t="str">
        <f t="shared" si="298"/>
        <v>Senior</v>
      </c>
      <c r="E3189">
        <v>3</v>
      </c>
      <c r="F3189" t="str">
        <f>HLOOKUP(E3189, LookUP_Table!$A$6:$D$7, 2, FALSE)</f>
        <v>Graduate</v>
      </c>
      <c r="G3189" t="str">
        <f>IFERROR(VLOOKUP(E3189, LookUP_Table!$A$1:$B$4, 2, FALSE), "")</f>
        <v>Graduate</v>
      </c>
      <c r="H3189">
        <v>1</v>
      </c>
      <c r="I3189">
        <v>20</v>
      </c>
      <c r="J3189" t="str">
        <f t="shared" si="294"/>
        <v>Smoker</v>
      </c>
      <c r="K3189">
        <v>0</v>
      </c>
      <c r="L3189">
        <v>0</v>
      </c>
      <c r="M3189">
        <v>0</v>
      </c>
      <c r="N3189">
        <v>0</v>
      </c>
      <c r="O3189">
        <v>240</v>
      </c>
      <c r="P3189" t="str">
        <f t="shared" si="295"/>
        <v>Normal</v>
      </c>
      <c r="Q3189">
        <v>112.5</v>
      </c>
      <c r="R3189">
        <v>71.5</v>
      </c>
      <c r="S3189">
        <v>24.99</v>
      </c>
      <c r="T3189" t="str">
        <f t="shared" si="296"/>
        <v>Normal</v>
      </c>
      <c r="U3189">
        <v>72</v>
      </c>
      <c r="V3189">
        <v>81.96365524402907</v>
      </c>
      <c r="W3189" t="str">
        <f t="shared" si="299"/>
        <v>Normal</v>
      </c>
      <c r="X3189">
        <v>0</v>
      </c>
    </row>
    <row r="3190" spans="1:24" ht="14.5" thickBot="1" x14ac:dyDescent="0.35">
      <c r="A3190">
        <v>0</v>
      </c>
      <c r="B3190" t="str">
        <f t="shared" si="297"/>
        <v>Female</v>
      </c>
      <c r="C3190" s="8">
        <v>56</v>
      </c>
      <c r="D3190" t="str">
        <f t="shared" si="298"/>
        <v>Senior</v>
      </c>
      <c r="E3190">
        <v>3</v>
      </c>
      <c r="F3190" t="str">
        <f>HLOOKUP(E3190, LookUP_Table!$A$6:$D$7, 2, FALSE)</f>
        <v>Graduate</v>
      </c>
      <c r="G3190" t="str">
        <f>IFERROR(VLOOKUP(E3190, LookUP_Table!$A$1:$B$4, 2, FALSE), "")</f>
        <v>Graduate</v>
      </c>
      <c r="H3190">
        <v>1</v>
      </c>
      <c r="I3190">
        <v>5</v>
      </c>
      <c r="J3190" t="str">
        <f t="shared" si="294"/>
        <v>Smoker</v>
      </c>
      <c r="K3190">
        <v>0</v>
      </c>
      <c r="L3190">
        <v>0</v>
      </c>
      <c r="M3190">
        <v>0</v>
      </c>
      <c r="N3190">
        <v>0</v>
      </c>
      <c r="O3190">
        <v>230</v>
      </c>
      <c r="P3190" t="str">
        <f t="shared" si="295"/>
        <v>Normal</v>
      </c>
      <c r="Q3190">
        <v>123</v>
      </c>
      <c r="R3190">
        <v>78.5</v>
      </c>
      <c r="S3190">
        <v>24.71</v>
      </c>
      <c r="T3190" t="str">
        <f t="shared" si="296"/>
        <v>Normal</v>
      </c>
      <c r="U3190">
        <v>76</v>
      </c>
      <c r="V3190">
        <v>87</v>
      </c>
      <c r="W3190" t="str">
        <f t="shared" si="299"/>
        <v>Normal</v>
      </c>
      <c r="X3190">
        <v>1</v>
      </c>
    </row>
    <row r="3191" spans="1:24" ht="14.5" thickBot="1" x14ac:dyDescent="0.35">
      <c r="A3191">
        <v>1</v>
      </c>
      <c r="B3191" t="str">
        <f t="shared" si="297"/>
        <v>Male</v>
      </c>
      <c r="C3191" s="8">
        <v>56</v>
      </c>
      <c r="D3191" t="str">
        <f t="shared" si="298"/>
        <v>Senior</v>
      </c>
      <c r="E3191">
        <v>4</v>
      </c>
      <c r="F3191" t="str">
        <f>HLOOKUP(E3191, LookUP_Table!$A$6:$D$7, 2, FALSE)</f>
        <v>Post Graduate</v>
      </c>
      <c r="G3191" t="str">
        <f>IFERROR(VLOOKUP(E3191, LookUP_Table!$A$1:$B$4, 2, FALSE), "")</f>
        <v>Post Graduate</v>
      </c>
      <c r="H3191">
        <v>0</v>
      </c>
      <c r="I3191">
        <v>0</v>
      </c>
      <c r="J3191" t="str">
        <f t="shared" si="294"/>
        <v>Non-Smoker</v>
      </c>
      <c r="K3191">
        <v>1</v>
      </c>
      <c r="L3191">
        <v>0</v>
      </c>
      <c r="M3191">
        <v>1</v>
      </c>
      <c r="N3191">
        <v>0</v>
      </c>
      <c r="O3191">
        <v>287</v>
      </c>
      <c r="P3191" t="str">
        <f t="shared" si="295"/>
        <v>High</v>
      </c>
      <c r="Q3191">
        <v>149</v>
      </c>
      <c r="R3191">
        <v>98</v>
      </c>
      <c r="S3191">
        <v>21.68</v>
      </c>
      <c r="T3191" t="str">
        <f t="shared" si="296"/>
        <v>Normal</v>
      </c>
      <c r="U3191">
        <v>90</v>
      </c>
      <c r="V3191">
        <v>75</v>
      </c>
      <c r="W3191" t="str">
        <f t="shared" si="299"/>
        <v>Normal</v>
      </c>
      <c r="X3191">
        <v>1</v>
      </c>
    </row>
    <row r="3192" spans="1:24" ht="14.5" thickBot="1" x14ac:dyDescent="0.35">
      <c r="A3192">
        <v>0</v>
      </c>
      <c r="B3192" t="str">
        <f t="shared" si="297"/>
        <v>Female</v>
      </c>
      <c r="C3192" s="8">
        <v>56</v>
      </c>
      <c r="D3192" t="str">
        <f t="shared" si="298"/>
        <v>Senior</v>
      </c>
      <c r="E3192">
        <v>1</v>
      </c>
      <c r="F3192" t="str">
        <f>HLOOKUP(E3192, LookUP_Table!$A$6:$D$7, 2, FALSE)</f>
        <v>Primary</v>
      </c>
      <c r="G3192" t="str">
        <f>IFERROR(VLOOKUP(E3192, LookUP_Table!$A$1:$B$4, 2, FALSE), "")</f>
        <v>Primary</v>
      </c>
      <c r="H3192">
        <v>1</v>
      </c>
      <c r="I3192">
        <v>3</v>
      </c>
      <c r="J3192" t="str">
        <f t="shared" si="294"/>
        <v>Smoker</v>
      </c>
      <c r="K3192">
        <v>0</v>
      </c>
      <c r="L3192">
        <v>0</v>
      </c>
      <c r="M3192">
        <v>1</v>
      </c>
      <c r="N3192">
        <v>0</v>
      </c>
      <c r="O3192">
        <v>268</v>
      </c>
      <c r="P3192" t="str">
        <f t="shared" si="295"/>
        <v>High</v>
      </c>
      <c r="Q3192">
        <v>170</v>
      </c>
      <c r="R3192">
        <v>102</v>
      </c>
      <c r="S3192">
        <v>22.89</v>
      </c>
      <c r="T3192" t="str">
        <f t="shared" si="296"/>
        <v>Normal</v>
      </c>
      <c r="U3192">
        <v>57</v>
      </c>
      <c r="V3192">
        <v>81.96365524402907</v>
      </c>
      <c r="W3192" t="str">
        <f t="shared" si="299"/>
        <v>Normal</v>
      </c>
      <c r="X3192">
        <v>0</v>
      </c>
    </row>
    <row r="3193" spans="1:24" ht="14.5" thickBot="1" x14ac:dyDescent="0.35">
      <c r="A3193">
        <v>0</v>
      </c>
      <c r="B3193" t="str">
        <f t="shared" si="297"/>
        <v>Female</v>
      </c>
      <c r="C3193" s="8">
        <v>57</v>
      </c>
      <c r="D3193" t="str">
        <f t="shared" si="298"/>
        <v>Senior</v>
      </c>
      <c r="E3193">
        <v>1</v>
      </c>
      <c r="F3193" t="str">
        <f>HLOOKUP(E3193, LookUP_Table!$A$6:$D$7, 2, FALSE)</f>
        <v>Primary</v>
      </c>
      <c r="G3193" t="str">
        <f>IFERROR(VLOOKUP(E3193, LookUP_Table!$A$1:$B$4, 2, FALSE), "")</f>
        <v>Primary</v>
      </c>
      <c r="H3193">
        <v>1</v>
      </c>
      <c r="I3193">
        <v>3</v>
      </c>
      <c r="J3193" t="str">
        <f t="shared" si="294"/>
        <v>Smoker</v>
      </c>
      <c r="K3193">
        <v>0</v>
      </c>
      <c r="L3193">
        <v>0</v>
      </c>
      <c r="M3193">
        <v>0</v>
      </c>
      <c r="N3193">
        <v>0</v>
      </c>
      <c r="O3193">
        <v>235</v>
      </c>
      <c r="P3193" t="str">
        <f t="shared" si="295"/>
        <v>Normal</v>
      </c>
      <c r="Q3193">
        <v>126.5</v>
      </c>
      <c r="R3193">
        <v>80</v>
      </c>
      <c r="S3193">
        <v>24.88</v>
      </c>
      <c r="T3193" t="str">
        <f t="shared" si="296"/>
        <v>Normal</v>
      </c>
      <c r="U3193">
        <v>83</v>
      </c>
      <c r="V3193">
        <v>72</v>
      </c>
      <c r="W3193" t="str">
        <f t="shared" si="299"/>
        <v>Normal</v>
      </c>
      <c r="X3193">
        <v>0</v>
      </c>
    </row>
    <row r="3194" spans="1:24" ht="14.5" thickBot="1" x14ac:dyDescent="0.35">
      <c r="A3194">
        <v>1</v>
      </c>
      <c r="B3194" t="str">
        <f t="shared" si="297"/>
        <v>Male</v>
      </c>
      <c r="C3194" s="8">
        <v>57</v>
      </c>
      <c r="D3194" t="str">
        <f t="shared" si="298"/>
        <v>Senior</v>
      </c>
      <c r="E3194">
        <v>1</v>
      </c>
      <c r="F3194" t="str">
        <f>HLOOKUP(E3194, LookUP_Table!$A$6:$D$7, 2, FALSE)</f>
        <v>Primary</v>
      </c>
      <c r="G3194" t="str">
        <f>IFERROR(VLOOKUP(E3194, LookUP_Table!$A$1:$B$4, 2, FALSE), "")</f>
        <v>Primary</v>
      </c>
      <c r="H3194">
        <v>0</v>
      </c>
      <c r="I3194">
        <v>0</v>
      </c>
      <c r="J3194" t="str">
        <f t="shared" si="294"/>
        <v>Non-Smoker</v>
      </c>
      <c r="K3194">
        <v>0</v>
      </c>
      <c r="L3194">
        <v>0</v>
      </c>
      <c r="M3194">
        <v>0</v>
      </c>
      <c r="N3194">
        <v>0</v>
      </c>
      <c r="O3194">
        <v>220</v>
      </c>
      <c r="P3194" t="str">
        <f t="shared" si="295"/>
        <v>Normal</v>
      </c>
      <c r="Q3194">
        <v>136</v>
      </c>
      <c r="R3194">
        <v>84</v>
      </c>
      <c r="S3194">
        <v>26.84</v>
      </c>
      <c r="T3194" t="str">
        <f t="shared" si="296"/>
        <v>Overweight</v>
      </c>
      <c r="U3194">
        <v>75</v>
      </c>
      <c r="V3194">
        <v>64</v>
      </c>
      <c r="W3194" t="str">
        <f t="shared" si="299"/>
        <v>Normal</v>
      </c>
      <c r="X3194">
        <v>1</v>
      </c>
    </row>
    <row r="3195" spans="1:24" ht="14.5" thickBot="1" x14ac:dyDescent="0.35">
      <c r="A3195">
        <v>0</v>
      </c>
      <c r="B3195" t="str">
        <f t="shared" si="297"/>
        <v>Female</v>
      </c>
      <c r="C3195" s="8">
        <v>57</v>
      </c>
      <c r="D3195" t="str">
        <f t="shared" si="298"/>
        <v>Senior</v>
      </c>
      <c r="E3195">
        <v>1</v>
      </c>
      <c r="F3195" t="str">
        <f>HLOOKUP(E3195, LookUP_Table!$A$6:$D$7, 2, FALSE)</f>
        <v>Primary</v>
      </c>
      <c r="G3195" t="str">
        <f>IFERROR(VLOOKUP(E3195, LookUP_Table!$A$1:$B$4, 2, FALSE), "")</f>
        <v>Primary</v>
      </c>
      <c r="H3195">
        <v>0</v>
      </c>
      <c r="I3195">
        <v>0</v>
      </c>
      <c r="J3195" t="str">
        <f t="shared" si="294"/>
        <v>Non-Smoker</v>
      </c>
      <c r="K3195">
        <v>0</v>
      </c>
      <c r="L3195">
        <v>0</v>
      </c>
      <c r="M3195">
        <v>1</v>
      </c>
      <c r="N3195">
        <v>0</v>
      </c>
      <c r="O3195">
        <v>266</v>
      </c>
      <c r="P3195" t="str">
        <f t="shared" si="295"/>
        <v>High</v>
      </c>
      <c r="Q3195">
        <v>151</v>
      </c>
      <c r="R3195">
        <v>95</v>
      </c>
      <c r="S3195">
        <v>38.39</v>
      </c>
      <c r="T3195" t="str">
        <f t="shared" si="296"/>
        <v>Obese</v>
      </c>
      <c r="U3195">
        <v>96</v>
      </c>
      <c r="V3195">
        <v>109</v>
      </c>
      <c r="W3195" t="str">
        <f t="shared" si="299"/>
        <v>Prediabetes</v>
      </c>
      <c r="X3195">
        <v>1</v>
      </c>
    </row>
    <row r="3196" spans="1:24" ht="14.5" thickBot="1" x14ac:dyDescent="0.35">
      <c r="A3196">
        <v>1</v>
      </c>
      <c r="B3196" t="str">
        <f t="shared" si="297"/>
        <v>Male</v>
      </c>
      <c r="C3196" s="8">
        <v>57</v>
      </c>
      <c r="D3196" t="str">
        <f t="shared" si="298"/>
        <v>Senior</v>
      </c>
      <c r="E3196">
        <v>2</v>
      </c>
      <c r="F3196" t="str">
        <f>HLOOKUP(E3196, LookUP_Table!$A$6:$D$7, 2, FALSE)</f>
        <v>Secondary</v>
      </c>
      <c r="G3196" t="str">
        <f>IFERROR(VLOOKUP(E3196, LookUP_Table!$A$1:$B$4, 2, FALSE), "")</f>
        <v>Secondary</v>
      </c>
      <c r="H3196">
        <v>1</v>
      </c>
      <c r="I3196">
        <v>1</v>
      </c>
      <c r="J3196" t="str">
        <f t="shared" si="294"/>
        <v>Smoker</v>
      </c>
      <c r="K3196">
        <v>0</v>
      </c>
      <c r="L3196">
        <v>0</v>
      </c>
      <c r="M3196">
        <v>0</v>
      </c>
      <c r="N3196">
        <v>0</v>
      </c>
      <c r="O3196">
        <v>242</v>
      </c>
      <c r="P3196" t="str">
        <f t="shared" si="295"/>
        <v>High</v>
      </c>
      <c r="Q3196">
        <v>102</v>
      </c>
      <c r="R3196">
        <v>61</v>
      </c>
      <c r="S3196">
        <v>23.5</v>
      </c>
      <c r="T3196" t="str">
        <f t="shared" si="296"/>
        <v>Normal</v>
      </c>
      <c r="U3196">
        <v>70</v>
      </c>
      <c r="V3196">
        <v>82</v>
      </c>
      <c r="W3196" t="str">
        <f t="shared" si="299"/>
        <v>Normal</v>
      </c>
      <c r="X3196">
        <v>0</v>
      </c>
    </row>
    <row r="3197" spans="1:24" ht="14.5" thickBot="1" x14ac:dyDescent="0.35">
      <c r="A3197">
        <v>0</v>
      </c>
      <c r="B3197" t="str">
        <f t="shared" si="297"/>
        <v>Female</v>
      </c>
      <c r="C3197" s="8">
        <v>57</v>
      </c>
      <c r="D3197" t="str">
        <f t="shared" si="298"/>
        <v>Senior</v>
      </c>
      <c r="E3197">
        <v>2</v>
      </c>
      <c r="F3197" t="str">
        <f>HLOOKUP(E3197, LookUP_Table!$A$6:$D$7, 2, FALSE)</f>
        <v>Secondary</v>
      </c>
      <c r="G3197" t="str">
        <f>IFERROR(VLOOKUP(E3197, LookUP_Table!$A$1:$B$4, 2, FALSE), "")</f>
        <v>Secondary</v>
      </c>
      <c r="H3197">
        <v>0</v>
      </c>
      <c r="I3197">
        <v>0</v>
      </c>
      <c r="J3197" t="str">
        <f t="shared" si="294"/>
        <v>Non-Smoker</v>
      </c>
      <c r="K3197">
        <v>0</v>
      </c>
      <c r="L3197">
        <v>0</v>
      </c>
      <c r="M3197">
        <v>0</v>
      </c>
      <c r="N3197">
        <v>0</v>
      </c>
      <c r="O3197">
        <v>175</v>
      </c>
      <c r="P3197" t="str">
        <f t="shared" si="295"/>
        <v>Normal</v>
      </c>
      <c r="Q3197">
        <v>123</v>
      </c>
      <c r="R3197">
        <v>72</v>
      </c>
      <c r="S3197">
        <v>22.37</v>
      </c>
      <c r="T3197" t="str">
        <f t="shared" si="296"/>
        <v>Normal</v>
      </c>
      <c r="U3197">
        <v>77</v>
      </c>
      <c r="V3197">
        <v>74</v>
      </c>
      <c r="W3197" t="str">
        <f t="shared" si="299"/>
        <v>Normal</v>
      </c>
      <c r="X3197">
        <v>0</v>
      </c>
    </row>
    <row r="3198" spans="1:24" ht="14.5" thickBot="1" x14ac:dyDescent="0.35">
      <c r="A3198">
        <v>1</v>
      </c>
      <c r="B3198" t="str">
        <f t="shared" si="297"/>
        <v>Male</v>
      </c>
      <c r="C3198" s="8">
        <v>57</v>
      </c>
      <c r="D3198" t="str">
        <f t="shared" si="298"/>
        <v>Senior</v>
      </c>
      <c r="E3198">
        <v>1</v>
      </c>
      <c r="F3198" t="str">
        <f>HLOOKUP(E3198, LookUP_Table!$A$6:$D$7, 2, FALSE)</f>
        <v>Primary</v>
      </c>
      <c r="G3198" t="str">
        <f>IFERROR(VLOOKUP(E3198, LookUP_Table!$A$1:$B$4, 2, FALSE), "")</f>
        <v>Primary</v>
      </c>
      <c r="H3198">
        <v>0</v>
      </c>
      <c r="I3198">
        <v>0</v>
      </c>
      <c r="J3198" t="str">
        <f t="shared" si="294"/>
        <v>Non-Smoker</v>
      </c>
      <c r="K3198">
        <v>0</v>
      </c>
      <c r="L3198">
        <v>0</v>
      </c>
      <c r="M3198">
        <v>1</v>
      </c>
      <c r="N3198">
        <v>0</v>
      </c>
      <c r="O3198">
        <v>176</v>
      </c>
      <c r="P3198" t="str">
        <f t="shared" si="295"/>
        <v>Normal</v>
      </c>
      <c r="Q3198">
        <v>134</v>
      </c>
      <c r="R3198">
        <v>97</v>
      </c>
      <c r="S3198">
        <v>38.14</v>
      </c>
      <c r="T3198" t="str">
        <f t="shared" si="296"/>
        <v>Obese</v>
      </c>
      <c r="U3198">
        <v>68</v>
      </c>
      <c r="V3198">
        <v>94</v>
      </c>
      <c r="W3198" t="str">
        <f t="shared" si="299"/>
        <v>Normal</v>
      </c>
      <c r="X3198">
        <v>0</v>
      </c>
    </row>
    <row r="3199" spans="1:24" ht="14.5" thickBot="1" x14ac:dyDescent="0.35">
      <c r="A3199">
        <v>0</v>
      </c>
      <c r="B3199" t="str">
        <f t="shared" si="297"/>
        <v>Female</v>
      </c>
      <c r="C3199" s="8">
        <v>57</v>
      </c>
      <c r="D3199" t="str">
        <f t="shared" si="298"/>
        <v>Senior</v>
      </c>
      <c r="E3199">
        <v>2</v>
      </c>
      <c r="F3199" t="str">
        <f>HLOOKUP(E3199, LookUP_Table!$A$6:$D$7, 2, FALSE)</f>
        <v>Secondary</v>
      </c>
      <c r="G3199" t="str">
        <f>IFERROR(VLOOKUP(E3199, LookUP_Table!$A$1:$B$4, 2, FALSE), "")</f>
        <v>Secondary</v>
      </c>
      <c r="H3199">
        <v>1</v>
      </c>
      <c r="I3199">
        <v>1</v>
      </c>
      <c r="J3199" t="str">
        <f t="shared" si="294"/>
        <v>Smoker</v>
      </c>
      <c r="K3199">
        <v>0</v>
      </c>
      <c r="L3199">
        <v>0</v>
      </c>
      <c r="M3199">
        <v>1</v>
      </c>
      <c r="N3199">
        <v>0</v>
      </c>
      <c r="O3199">
        <v>254</v>
      </c>
      <c r="P3199" t="str">
        <f t="shared" si="295"/>
        <v>High</v>
      </c>
      <c r="Q3199">
        <v>174</v>
      </c>
      <c r="R3199">
        <v>84.5</v>
      </c>
      <c r="S3199">
        <v>24.22</v>
      </c>
      <c r="T3199" t="str">
        <f t="shared" si="296"/>
        <v>Normal</v>
      </c>
      <c r="U3199">
        <v>90</v>
      </c>
      <c r="V3199">
        <v>76</v>
      </c>
      <c r="W3199" t="str">
        <f t="shared" si="299"/>
        <v>Normal</v>
      </c>
      <c r="X3199">
        <v>0</v>
      </c>
    </row>
    <row r="3200" spans="1:24" ht="14.5" thickBot="1" x14ac:dyDescent="0.35">
      <c r="A3200">
        <v>0</v>
      </c>
      <c r="B3200" t="str">
        <f t="shared" si="297"/>
        <v>Female</v>
      </c>
      <c r="C3200" s="8">
        <v>57</v>
      </c>
      <c r="D3200" t="str">
        <f t="shared" si="298"/>
        <v>Senior</v>
      </c>
      <c r="E3200">
        <v>1</v>
      </c>
      <c r="F3200" t="str">
        <f>HLOOKUP(E3200, LookUP_Table!$A$6:$D$7, 2, FALSE)</f>
        <v>Primary</v>
      </c>
      <c r="G3200" t="str">
        <f>IFERROR(VLOOKUP(E3200, LookUP_Table!$A$1:$B$4, 2, FALSE), "")</f>
        <v>Primary</v>
      </c>
      <c r="H3200">
        <v>0</v>
      </c>
      <c r="I3200">
        <v>0</v>
      </c>
      <c r="J3200" t="str">
        <f t="shared" si="294"/>
        <v>Non-Smoker</v>
      </c>
      <c r="K3200">
        <v>0</v>
      </c>
      <c r="L3200">
        <v>0</v>
      </c>
      <c r="M3200">
        <v>0</v>
      </c>
      <c r="N3200">
        <v>0</v>
      </c>
      <c r="O3200">
        <v>197</v>
      </c>
      <c r="P3200" t="str">
        <f t="shared" si="295"/>
        <v>Normal</v>
      </c>
      <c r="Q3200">
        <v>96</v>
      </c>
      <c r="R3200">
        <v>64</v>
      </c>
      <c r="S3200">
        <v>18.59</v>
      </c>
      <c r="T3200" t="str">
        <f t="shared" si="296"/>
        <v>Normal</v>
      </c>
      <c r="U3200">
        <v>60</v>
      </c>
      <c r="V3200">
        <v>77</v>
      </c>
      <c r="W3200" t="str">
        <f t="shared" si="299"/>
        <v>Normal</v>
      </c>
      <c r="X3200">
        <v>0</v>
      </c>
    </row>
    <row r="3201" spans="1:24" ht="14.5" thickBot="1" x14ac:dyDescent="0.35">
      <c r="A3201">
        <v>0</v>
      </c>
      <c r="B3201" t="str">
        <f t="shared" si="297"/>
        <v>Female</v>
      </c>
      <c r="C3201" s="8">
        <v>57</v>
      </c>
      <c r="D3201" t="str">
        <f t="shared" si="298"/>
        <v>Senior</v>
      </c>
      <c r="E3201">
        <v>3</v>
      </c>
      <c r="F3201" t="str">
        <f>HLOOKUP(E3201, LookUP_Table!$A$6:$D$7, 2, FALSE)</f>
        <v>Graduate</v>
      </c>
      <c r="G3201" t="str">
        <f>IFERROR(VLOOKUP(E3201, LookUP_Table!$A$1:$B$4, 2, FALSE), "")</f>
        <v>Graduate</v>
      </c>
      <c r="H3201">
        <v>1</v>
      </c>
      <c r="I3201">
        <v>15</v>
      </c>
      <c r="J3201" t="str">
        <f t="shared" si="294"/>
        <v>Smoker</v>
      </c>
      <c r="K3201">
        <v>0</v>
      </c>
      <c r="L3201">
        <v>0</v>
      </c>
      <c r="M3201">
        <v>0</v>
      </c>
      <c r="N3201">
        <v>0</v>
      </c>
      <c r="O3201">
        <v>250</v>
      </c>
      <c r="P3201" t="str">
        <f t="shared" si="295"/>
        <v>High</v>
      </c>
      <c r="Q3201">
        <v>125</v>
      </c>
      <c r="R3201">
        <v>74</v>
      </c>
      <c r="S3201">
        <v>21.08</v>
      </c>
      <c r="T3201" t="str">
        <f t="shared" si="296"/>
        <v>Normal</v>
      </c>
      <c r="U3201">
        <v>80</v>
      </c>
      <c r="V3201">
        <v>72</v>
      </c>
      <c r="W3201" t="str">
        <f t="shared" si="299"/>
        <v>Normal</v>
      </c>
      <c r="X3201">
        <v>0</v>
      </c>
    </row>
    <row r="3202" spans="1:24" ht="14.5" thickBot="1" x14ac:dyDescent="0.35">
      <c r="A3202">
        <v>1</v>
      </c>
      <c r="B3202" t="str">
        <f t="shared" si="297"/>
        <v>Male</v>
      </c>
      <c r="C3202" s="8">
        <v>57</v>
      </c>
      <c r="D3202" t="str">
        <f t="shared" si="298"/>
        <v>Senior</v>
      </c>
      <c r="E3202">
        <v>4</v>
      </c>
      <c r="F3202" t="str">
        <f>HLOOKUP(E3202, LookUP_Table!$A$6:$D$7, 2, FALSE)</f>
        <v>Post Graduate</v>
      </c>
      <c r="G3202" t="str">
        <f>IFERROR(VLOOKUP(E3202, LookUP_Table!$A$1:$B$4, 2, FALSE), "")</f>
        <v>Post Graduate</v>
      </c>
      <c r="H3202">
        <v>0</v>
      </c>
      <c r="I3202">
        <v>0</v>
      </c>
      <c r="J3202" t="str">
        <f t="shared" ref="J3202:J3265" si="300">IF(I3202&gt;0,"Smoker","Non-Smoker")</f>
        <v>Non-Smoker</v>
      </c>
      <c r="K3202">
        <v>0</v>
      </c>
      <c r="L3202">
        <v>0</v>
      </c>
      <c r="M3202">
        <v>1</v>
      </c>
      <c r="N3202">
        <v>0</v>
      </c>
      <c r="O3202">
        <v>303</v>
      </c>
      <c r="P3202" t="str">
        <f t="shared" ref="P3202:P3265" si="301">IF(O3202&gt;240,"High","Normal")</f>
        <v>High</v>
      </c>
      <c r="Q3202">
        <v>160.5</v>
      </c>
      <c r="R3202">
        <v>98.5</v>
      </c>
      <c r="S3202">
        <v>25.84</v>
      </c>
      <c r="T3202" t="str">
        <f t="shared" ref="T3202:T3265" si="302">IF(S3202&lt;18.5,"Underweight",
IF(S3202&lt;25,"Normal",
IF(S3202&lt;30,"Overweight","Obese")))</f>
        <v>Overweight</v>
      </c>
      <c r="U3202">
        <v>81</v>
      </c>
      <c r="V3202">
        <v>100</v>
      </c>
      <c r="W3202" t="str">
        <f t="shared" si="299"/>
        <v>Prediabetes</v>
      </c>
      <c r="X3202">
        <v>0</v>
      </c>
    </row>
    <row r="3203" spans="1:24" ht="14.5" thickBot="1" x14ac:dyDescent="0.35">
      <c r="A3203">
        <v>0</v>
      </c>
      <c r="B3203" t="str">
        <f t="shared" ref="B3203:B3266" si="303">IF(A3203=0,"Female","Male")</f>
        <v>Female</v>
      </c>
      <c r="C3203" s="8">
        <v>57</v>
      </c>
      <c r="D3203" t="str">
        <f t="shared" ref="D3203:D3266" si="304">IF(C3203&lt;40,"Young",
IF(C3203&lt;55,"Middle Age","Senior"))</f>
        <v>Senior</v>
      </c>
      <c r="E3203">
        <v>2</v>
      </c>
      <c r="F3203" t="str">
        <f>HLOOKUP(E3203, LookUP_Table!$A$6:$D$7, 2, FALSE)</f>
        <v>Secondary</v>
      </c>
      <c r="G3203" t="str">
        <f>IFERROR(VLOOKUP(E3203, LookUP_Table!$A$1:$B$4, 2, FALSE), "")</f>
        <v>Secondary</v>
      </c>
      <c r="H3203">
        <v>0</v>
      </c>
      <c r="I3203">
        <v>0</v>
      </c>
      <c r="J3203" t="str">
        <f t="shared" si="300"/>
        <v>Non-Smoker</v>
      </c>
      <c r="K3203">
        <v>0</v>
      </c>
      <c r="L3203">
        <v>0</v>
      </c>
      <c r="M3203">
        <v>0</v>
      </c>
      <c r="N3203">
        <v>0</v>
      </c>
      <c r="O3203">
        <v>301</v>
      </c>
      <c r="P3203" t="str">
        <f t="shared" si="301"/>
        <v>High</v>
      </c>
      <c r="Q3203">
        <v>119</v>
      </c>
      <c r="R3203">
        <v>80</v>
      </c>
      <c r="S3203">
        <v>24.79</v>
      </c>
      <c r="T3203" t="str">
        <f t="shared" si="302"/>
        <v>Normal</v>
      </c>
      <c r="U3203">
        <v>58</v>
      </c>
      <c r="V3203">
        <v>73</v>
      </c>
      <c r="W3203" t="str">
        <f t="shared" ref="W3203:W3266" si="305">IF(V3203 &lt; 100, "Normal", IF(V3203 &lt;= 125, "Prediabetes", "Diabetes"))</f>
        <v>Normal</v>
      </c>
      <c r="X3203">
        <v>0</v>
      </c>
    </row>
    <row r="3204" spans="1:24" ht="14.5" thickBot="1" x14ac:dyDescent="0.35">
      <c r="A3204">
        <v>1</v>
      </c>
      <c r="B3204" t="str">
        <f t="shared" si="303"/>
        <v>Male</v>
      </c>
      <c r="C3204" s="8">
        <v>57</v>
      </c>
      <c r="D3204" t="str">
        <f t="shared" si="304"/>
        <v>Senior</v>
      </c>
      <c r="E3204">
        <v>1</v>
      </c>
      <c r="F3204" t="str">
        <f>HLOOKUP(E3204, LookUP_Table!$A$6:$D$7, 2, FALSE)</f>
        <v>Primary</v>
      </c>
      <c r="G3204" t="str">
        <f>IFERROR(VLOOKUP(E3204, LookUP_Table!$A$1:$B$4, 2, FALSE), "")</f>
        <v>Primary</v>
      </c>
      <c r="H3204">
        <v>1</v>
      </c>
      <c r="I3204">
        <v>10</v>
      </c>
      <c r="J3204" t="str">
        <f t="shared" si="300"/>
        <v>Smoker</v>
      </c>
      <c r="K3204">
        <v>0</v>
      </c>
      <c r="L3204">
        <v>0</v>
      </c>
      <c r="M3204">
        <v>1</v>
      </c>
      <c r="N3204">
        <v>0</v>
      </c>
      <c r="O3204">
        <v>250</v>
      </c>
      <c r="P3204" t="str">
        <f t="shared" si="301"/>
        <v>High</v>
      </c>
      <c r="Q3204">
        <v>148</v>
      </c>
      <c r="R3204">
        <v>91</v>
      </c>
      <c r="S3204">
        <v>27.6</v>
      </c>
      <c r="T3204" t="str">
        <f t="shared" si="302"/>
        <v>Overweight</v>
      </c>
      <c r="U3204">
        <v>88</v>
      </c>
      <c r="V3204">
        <v>103</v>
      </c>
      <c r="W3204" t="str">
        <f t="shared" si="305"/>
        <v>Prediabetes</v>
      </c>
      <c r="X3204">
        <v>0</v>
      </c>
    </row>
    <row r="3205" spans="1:24" ht="14.5" thickBot="1" x14ac:dyDescent="0.35">
      <c r="A3205">
        <v>0</v>
      </c>
      <c r="B3205" t="str">
        <f t="shared" si="303"/>
        <v>Female</v>
      </c>
      <c r="C3205" s="8">
        <v>57</v>
      </c>
      <c r="D3205" t="str">
        <f t="shared" si="304"/>
        <v>Senior</v>
      </c>
      <c r="E3205">
        <v>1</v>
      </c>
      <c r="F3205" t="str">
        <f>HLOOKUP(E3205, LookUP_Table!$A$6:$D$7, 2, FALSE)</f>
        <v>Primary</v>
      </c>
      <c r="G3205" t="str">
        <f>IFERROR(VLOOKUP(E3205, LookUP_Table!$A$1:$B$4, 2, FALSE), "")</f>
        <v>Primary</v>
      </c>
      <c r="H3205">
        <v>0</v>
      </c>
      <c r="I3205">
        <v>0</v>
      </c>
      <c r="J3205" t="str">
        <f t="shared" si="300"/>
        <v>Non-Smoker</v>
      </c>
      <c r="K3205">
        <v>0</v>
      </c>
      <c r="L3205">
        <v>0</v>
      </c>
      <c r="M3205">
        <v>0</v>
      </c>
      <c r="N3205">
        <v>0</v>
      </c>
      <c r="O3205">
        <v>287</v>
      </c>
      <c r="P3205" t="str">
        <f t="shared" si="301"/>
        <v>High</v>
      </c>
      <c r="Q3205">
        <v>136</v>
      </c>
      <c r="R3205">
        <v>92</v>
      </c>
      <c r="S3205">
        <v>26.24</v>
      </c>
      <c r="T3205" t="str">
        <f t="shared" si="302"/>
        <v>Overweight</v>
      </c>
      <c r="U3205">
        <v>65</v>
      </c>
      <c r="V3205">
        <v>71</v>
      </c>
      <c r="W3205" t="str">
        <f t="shared" si="305"/>
        <v>Normal</v>
      </c>
      <c r="X3205">
        <v>0</v>
      </c>
    </row>
    <row r="3206" spans="1:24" ht="14.5" thickBot="1" x14ac:dyDescent="0.35">
      <c r="A3206">
        <v>0</v>
      </c>
      <c r="B3206" t="str">
        <f t="shared" si="303"/>
        <v>Female</v>
      </c>
      <c r="C3206" s="8">
        <v>57</v>
      </c>
      <c r="D3206" t="str">
        <f t="shared" si="304"/>
        <v>Senior</v>
      </c>
      <c r="E3206">
        <v>2</v>
      </c>
      <c r="F3206" t="str">
        <f>HLOOKUP(E3206, LookUP_Table!$A$6:$D$7, 2, FALSE)</f>
        <v>Secondary</v>
      </c>
      <c r="G3206" t="str">
        <f>IFERROR(VLOOKUP(E3206, LookUP_Table!$A$1:$B$4, 2, FALSE), "")</f>
        <v>Secondary</v>
      </c>
      <c r="H3206">
        <v>0</v>
      </c>
      <c r="I3206">
        <v>0</v>
      </c>
      <c r="J3206" t="str">
        <f t="shared" si="300"/>
        <v>Non-Smoker</v>
      </c>
      <c r="K3206">
        <v>0</v>
      </c>
      <c r="L3206">
        <v>0</v>
      </c>
      <c r="M3206">
        <v>0</v>
      </c>
      <c r="N3206">
        <v>0</v>
      </c>
      <c r="O3206">
        <v>289</v>
      </c>
      <c r="P3206" t="str">
        <f t="shared" si="301"/>
        <v>High</v>
      </c>
      <c r="Q3206">
        <v>125</v>
      </c>
      <c r="R3206">
        <v>74</v>
      </c>
      <c r="S3206">
        <v>18.64</v>
      </c>
      <c r="T3206" t="str">
        <f t="shared" si="302"/>
        <v>Normal</v>
      </c>
      <c r="U3206">
        <v>66</v>
      </c>
      <c r="V3206">
        <v>69</v>
      </c>
      <c r="W3206" t="str">
        <f t="shared" si="305"/>
        <v>Normal</v>
      </c>
      <c r="X3206">
        <v>0</v>
      </c>
    </row>
    <row r="3207" spans="1:24" ht="14.5" thickBot="1" x14ac:dyDescent="0.35">
      <c r="A3207">
        <v>1</v>
      </c>
      <c r="B3207" t="str">
        <f t="shared" si="303"/>
        <v>Male</v>
      </c>
      <c r="C3207" s="8">
        <v>57</v>
      </c>
      <c r="D3207" t="str">
        <f t="shared" si="304"/>
        <v>Senior</v>
      </c>
      <c r="E3207">
        <v>1</v>
      </c>
      <c r="F3207" t="str">
        <f>HLOOKUP(E3207, LookUP_Table!$A$6:$D$7, 2, FALSE)</f>
        <v>Primary</v>
      </c>
      <c r="G3207" t="str">
        <f>IFERROR(VLOOKUP(E3207, LookUP_Table!$A$1:$B$4, 2, FALSE), "")</f>
        <v>Primary</v>
      </c>
      <c r="H3207">
        <v>1</v>
      </c>
      <c r="I3207">
        <v>43</v>
      </c>
      <c r="J3207" t="str">
        <f t="shared" si="300"/>
        <v>Smoker</v>
      </c>
      <c r="K3207">
        <v>0</v>
      </c>
      <c r="L3207">
        <v>0</v>
      </c>
      <c r="M3207">
        <v>1</v>
      </c>
      <c r="N3207">
        <v>0</v>
      </c>
      <c r="O3207">
        <v>185</v>
      </c>
      <c r="P3207" t="str">
        <f t="shared" si="301"/>
        <v>Normal</v>
      </c>
      <c r="Q3207">
        <v>134</v>
      </c>
      <c r="R3207">
        <v>90.5</v>
      </c>
      <c r="S3207">
        <v>27.77</v>
      </c>
      <c r="T3207" t="str">
        <f t="shared" si="302"/>
        <v>Overweight</v>
      </c>
      <c r="U3207">
        <v>87</v>
      </c>
      <c r="V3207">
        <v>103</v>
      </c>
      <c r="W3207" t="str">
        <f t="shared" si="305"/>
        <v>Prediabetes</v>
      </c>
      <c r="X3207">
        <v>0</v>
      </c>
    </row>
    <row r="3208" spans="1:24" ht="14.5" thickBot="1" x14ac:dyDescent="0.35">
      <c r="A3208">
        <v>1</v>
      </c>
      <c r="B3208" t="str">
        <f t="shared" si="303"/>
        <v>Male</v>
      </c>
      <c r="C3208" s="8">
        <v>57</v>
      </c>
      <c r="D3208" t="str">
        <f t="shared" si="304"/>
        <v>Senior</v>
      </c>
      <c r="E3208">
        <v>1</v>
      </c>
      <c r="F3208" t="str">
        <f>HLOOKUP(E3208, LookUP_Table!$A$6:$D$7, 2, FALSE)</f>
        <v>Primary</v>
      </c>
      <c r="G3208" t="str">
        <f>IFERROR(VLOOKUP(E3208, LookUP_Table!$A$1:$B$4, 2, FALSE), "")</f>
        <v>Primary</v>
      </c>
      <c r="H3208">
        <v>0</v>
      </c>
      <c r="I3208">
        <v>0</v>
      </c>
      <c r="J3208" t="str">
        <f t="shared" si="300"/>
        <v>Non-Smoker</v>
      </c>
      <c r="K3208">
        <v>0</v>
      </c>
      <c r="L3208">
        <v>0</v>
      </c>
      <c r="M3208">
        <v>1</v>
      </c>
      <c r="N3208">
        <v>0</v>
      </c>
      <c r="O3208">
        <v>241</v>
      </c>
      <c r="P3208" t="str">
        <f t="shared" si="301"/>
        <v>High</v>
      </c>
      <c r="Q3208">
        <v>163.5</v>
      </c>
      <c r="R3208">
        <v>93</v>
      </c>
      <c r="S3208">
        <v>31.68</v>
      </c>
      <c r="T3208" t="str">
        <f t="shared" si="302"/>
        <v>Obese</v>
      </c>
      <c r="U3208">
        <v>80</v>
      </c>
      <c r="V3208">
        <v>67</v>
      </c>
      <c r="W3208" t="str">
        <f t="shared" si="305"/>
        <v>Normal</v>
      </c>
      <c r="X3208">
        <v>0</v>
      </c>
    </row>
    <row r="3209" spans="1:24" ht="14.5" thickBot="1" x14ac:dyDescent="0.35">
      <c r="A3209">
        <v>1</v>
      </c>
      <c r="B3209" t="str">
        <f t="shared" si="303"/>
        <v>Male</v>
      </c>
      <c r="C3209" s="8">
        <v>57</v>
      </c>
      <c r="D3209" t="str">
        <f t="shared" si="304"/>
        <v>Senior</v>
      </c>
      <c r="E3209">
        <v>3</v>
      </c>
      <c r="F3209" t="str">
        <f>HLOOKUP(E3209, LookUP_Table!$A$6:$D$7, 2, FALSE)</f>
        <v>Graduate</v>
      </c>
      <c r="G3209" t="str">
        <f>IFERROR(VLOOKUP(E3209, LookUP_Table!$A$1:$B$4, 2, FALSE), "")</f>
        <v>Graduate</v>
      </c>
      <c r="H3209">
        <v>1</v>
      </c>
      <c r="I3209">
        <v>40</v>
      </c>
      <c r="J3209" t="str">
        <f t="shared" si="300"/>
        <v>Smoker</v>
      </c>
      <c r="K3209">
        <v>0</v>
      </c>
      <c r="L3209">
        <v>0</v>
      </c>
      <c r="M3209">
        <v>0</v>
      </c>
      <c r="N3209">
        <v>0</v>
      </c>
      <c r="O3209">
        <v>280</v>
      </c>
      <c r="P3209" t="str">
        <f t="shared" si="301"/>
        <v>High</v>
      </c>
      <c r="Q3209">
        <v>117</v>
      </c>
      <c r="R3209">
        <v>80</v>
      </c>
      <c r="S3209">
        <v>26.56</v>
      </c>
      <c r="T3209" t="str">
        <f t="shared" si="302"/>
        <v>Overweight</v>
      </c>
      <c r="U3209">
        <v>75</v>
      </c>
      <c r="V3209">
        <v>60</v>
      </c>
      <c r="W3209" t="str">
        <f t="shared" si="305"/>
        <v>Normal</v>
      </c>
      <c r="X3209">
        <v>0</v>
      </c>
    </row>
    <row r="3210" spans="1:24" ht="14.5" thickBot="1" x14ac:dyDescent="0.35">
      <c r="A3210">
        <v>1</v>
      </c>
      <c r="B3210" t="str">
        <f t="shared" si="303"/>
        <v>Male</v>
      </c>
      <c r="C3210" s="8">
        <v>57</v>
      </c>
      <c r="D3210" t="str">
        <f t="shared" si="304"/>
        <v>Senior</v>
      </c>
      <c r="E3210">
        <v>2</v>
      </c>
      <c r="F3210" t="str">
        <f>HLOOKUP(E3210, LookUP_Table!$A$6:$D$7, 2, FALSE)</f>
        <v>Secondary</v>
      </c>
      <c r="G3210" t="str">
        <f>IFERROR(VLOOKUP(E3210, LookUP_Table!$A$1:$B$4, 2, FALSE), "")</f>
        <v>Secondary</v>
      </c>
      <c r="H3210">
        <v>1</v>
      </c>
      <c r="I3210">
        <v>20</v>
      </c>
      <c r="J3210" t="str">
        <f t="shared" si="300"/>
        <v>Smoker</v>
      </c>
      <c r="K3210">
        <v>0</v>
      </c>
      <c r="L3210">
        <v>0</v>
      </c>
      <c r="M3210">
        <v>0</v>
      </c>
      <c r="N3210">
        <v>0</v>
      </c>
      <c r="O3210">
        <v>205</v>
      </c>
      <c r="P3210" t="str">
        <f t="shared" si="301"/>
        <v>Normal</v>
      </c>
      <c r="Q3210">
        <v>127</v>
      </c>
      <c r="R3210">
        <v>75</v>
      </c>
      <c r="S3210">
        <v>20.55</v>
      </c>
      <c r="T3210" t="str">
        <f t="shared" si="302"/>
        <v>Normal</v>
      </c>
      <c r="U3210">
        <v>80</v>
      </c>
      <c r="V3210">
        <v>65</v>
      </c>
      <c r="W3210" t="str">
        <f t="shared" si="305"/>
        <v>Normal</v>
      </c>
      <c r="X3210">
        <v>1</v>
      </c>
    </row>
    <row r="3211" spans="1:24" ht="14.5" thickBot="1" x14ac:dyDescent="0.35">
      <c r="A3211">
        <v>1</v>
      </c>
      <c r="B3211" t="str">
        <f t="shared" si="303"/>
        <v>Male</v>
      </c>
      <c r="C3211" s="8">
        <v>57</v>
      </c>
      <c r="D3211" t="str">
        <f t="shared" si="304"/>
        <v>Senior</v>
      </c>
      <c r="E3211">
        <v>1</v>
      </c>
      <c r="F3211" t="str">
        <f>HLOOKUP(E3211, LookUP_Table!$A$6:$D$7, 2, FALSE)</f>
        <v>Primary</v>
      </c>
      <c r="G3211" t="str">
        <f>IFERROR(VLOOKUP(E3211, LookUP_Table!$A$1:$B$4, 2, FALSE), "")</f>
        <v>Primary</v>
      </c>
      <c r="H3211">
        <v>1</v>
      </c>
      <c r="I3211">
        <v>10</v>
      </c>
      <c r="J3211" t="str">
        <f t="shared" si="300"/>
        <v>Smoker</v>
      </c>
      <c r="K3211">
        <v>0</v>
      </c>
      <c r="L3211">
        <v>0</v>
      </c>
      <c r="M3211">
        <v>1</v>
      </c>
      <c r="N3211">
        <v>0</v>
      </c>
      <c r="O3211">
        <v>206</v>
      </c>
      <c r="P3211" t="str">
        <f t="shared" si="301"/>
        <v>Normal</v>
      </c>
      <c r="Q3211">
        <v>141</v>
      </c>
      <c r="R3211">
        <v>83</v>
      </c>
      <c r="S3211">
        <v>27.98</v>
      </c>
      <c r="T3211" t="str">
        <f t="shared" si="302"/>
        <v>Overweight</v>
      </c>
      <c r="U3211">
        <v>63</v>
      </c>
      <c r="V3211">
        <v>69</v>
      </c>
      <c r="W3211" t="str">
        <f t="shared" si="305"/>
        <v>Normal</v>
      </c>
      <c r="X3211">
        <v>0</v>
      </c>
    </row>
    <row r="3212" spans="1:24" ht="14.5" thickBot="1" x14ac:dyDescent="0.35">
      <c r="A3212">
        <v>0</v>
      </c>
      <c r="B3212" t="str">
        <f t="shared" si="303"/>
        <v>Female</v>
      </c>
      <c r="C3212" s="8">
        <v>57</v>
      </c>
      <c r="D3212" t="str">
        <f t="shared" si="304"/>
        <v>Senior</v>
      </c>
      <c r="E3212">
        <v>3</v>
      </c>
      <c r="F3212" t="str">
        <f>HLOOKUP(E3212, LookUP_Table!$A$6:$D$7, 2, FALSE)</f>
        <v>Graduate</v>
      </c>
      <c r="G3212" t="str">
        <f>IFERROR(VLOOKUP(E3212, LookUP_Table!$A$1:$B$4, 2, FALSE), "")</f>
        <v>Graduate</v>
      </c>
      <c r="H3212">
        <v>1</v>
      </c>
      <c r="I3212">
        <v>20</v>
      </c>
      <c r="J3212" t="str">
        <f t="shared" si="300"/>
        <v>Smoker</v>
      </c>
      <c r="K3212">
        <v>0</v>
      </c>
      <c r="L3212">
        <v>0</v>
      </c>
      <c r="M3212">
        <v>0</v>
      </c>
      <c r="N3212">
        <v>0</v>
      </c>
      <c r="O3212">
        <v>200</v>
      </c>
      <c r="P3212" t="str">
        <f t="shared" si="301"/>
        <v>Normal</v>
      </c>
      <c r="Q3212">
        <v>108</v>
      </c>
      <c r="R3212">
        <v>77</v>
      </c>
      <c r="S3212">
        <v>18.55</v>
      </c>
      <c r="T3212" t="str">
        <f t="shared" si="302"/>
        <v>Normal</v>
      </c>
      <c r="U3212">
        <v>70</v>
      </c>
      <c r="V3212">
        <v>87</v>
      </c>
      <c r="W3212" t="str">
        <f t="shared" si="305"/>
        <v>Normal</v>
      </c>
      <c r="X3212">
        <v>0</v>
      </c>
    </row>
    <row r="3213" spans="1:24" ht="14.5" thickBot="1" x14ac:dyDescent="0.35">
      <c r="A3213">
        <v>1</v>
      </c>
      <c r="B3213" t="str">
        <f t="shared" si="303"/>
        <v>Male</v>
      </c>
      <c r="C3213" s="8">
        <v>57</v>
      </c>
      <c r="D3213" t="str">
        <f t="shared" si="304"/>
        <v>Senior</v>
      </c>
      <c r="E3213">
        <v>1</v>
      </c>
      <c r="F3213" t="str">
        <f>HLOOKUP(E3213, LookUP_Table!$A$6:$D$7, 2, FALSE)</f>
        <v>Primary</v>
      </c>
      <c r="G3213" t="str">
        <f>IFERROR(VLOOKUP(E3213, LookUP_Table!$A$1:$B$4, 2, FALSE), "")</f>
        <v>Primary</v>
      </c>
      <c r="H3213">
        <v>1</v>
      </c>
      <c r="I3213">
        <v>20</v>
      </c>
      <c r="J3213" t="str">
        <f t="shared" si="300"/>
        <v>Smoker</v>
      </c>
      <c r="K3213">
        <v>0</v>
      </c>
      <c r="L3213">
        <v>0</v>
      </c>
      <c r="M3213">
        <v>1</v>
      </c>
      <c r="N3213">
        <v>0</v>
      </c>
      <c r="O3213">
        <v>257</v>
      </c>
      <c r="P3213" t="str">
        <f t="shared" si="301"/>
        <v>High</v>
      </c>
      <c r="Q3213">
        <v>158.5</v>
      </c>
      <c r="R3213">
        <v>107</v>
      </c>
      <c r="S3213">
        <v>27.1</v>
      </c>
      <c r="T3213" t="str">
        <f t="shared" si="302"/>
        <v>Overweight</v>
      </c>
      <c r="U3213">
        <v>66</v>
      </c>
      <c r="V3213">
        <v>67</v>
      </c>
      <c r="W3213" t="str">
        <f t="shared" si="305"/>
        <v>Normal</v>
      </c>
      <c r="X3213">
        <v>0</v>
      </c>
    </row>
    <row r="3214" spans="1:24" ht="14.5" thickBot="1" x14ac:dyDescent="0.35">
      <c r="A3214">
        <v>1</v>
      </c>
      <c r="B3214" t="str">
        <f t="shared" si="303"/>
        <v>Male</v>
      </c>
      <c r="C3214" s="8">
        <v>57</v>
      </c>
      <c r="D3214" t="str">
        <f t="shared" si="304"/>
        <v>Senior</v>
      </c>
      <c r="E3214">
        <v>1</v>
      </c>
      <c r="F3214" t="str">
        <f>HLOOKUP(E3214, LookUP_Table!$A$6:$D$7, 2, FALSE)</f>
        <v>Primary</v>
      </c>
      <c r="G3214" t="str">
        <f>IFERROR(VLOOKUP(E3214, LookUP_Table!$A$1:$B$4, 2, FALSE), "")</f>
        <v>Primary</v>
      </c>
      <c r="H3214">
        <v>1</v>
      </c>
      <c r="I3214">
        <v>20</v>
      </c>
      <c r="J3214" t="str">
        <f t="shared" si="300"/>
        <v>Smoker</v>
      </c>
      <c r="K3214">
        <v>0</v>
      </c>
      <c r="L3214">
        <v>0</v>
      </c>
      <c r="M3214">
        <v>1</v>
      </c>
      <c r="N3214">
        <v>0</v>
      </c>
      <c r="O3214">
        <v>262</v>
      </c>
      <c r="P3214" t="str">
        <f t="shared" si="301"/>
        <v>High</v>
      </c>
      <c r="Q3214">
        <v>131.5</v>
      </c>
      <c r="R3214">
        <v>92</v>
      </c>
      <c r="S3214">
        <v>28.3</v>
      </c>
      <c r="T3214" t="str">
        <f t="shared" si="302"/>
        <v>Overweight</v>
      </c>
      <c r="U3214">
        <v>70</v>
      </c>
      <c r="V3214">
        <v>78</v>
      </c>
      <c r="W3214" t="str">
        <f t="shared" si="305"/>
        <v>Normal</v>
      </c>
      <c r="X3214">
        <v>0</v>
      </c>
    </row>
    <row r="3215" spans="1:24" ht="14.5" thickBot="1" x14ac:dyDescent="0.35">
      <c r="A3215">
        <v>1</v>
      </c>
      <c r="B3215" t="str">
        <f t="shared" si="303"/>
        <v>Male</v>
      </c>
      <c r="C3215" s="8">
        <v>57</v>
      </c>
      <c r="D3215" t="str">
        <f t="shared" si="304"/>
        <v>Senior</v>
      </c>
      <c r="E3215">
        <v>1</v>
      </c>
      <c r="F3215" t="str">
        <f>HLOOKUP(E3215, LookUP_Table!$A$6:$D$7, 2, FALSE)</f>
        <v>Primary</v>
      </c>
      <c r="G3215" t="str">
        <f>IFERROR(VLOOKUP(E3215, LookUP_Table!$A$1:$B$4, 2, FALSE), "")</f>
        <v>Primary</v>
      </c>
      <c r="H3215">
        <v>1</v>
      </c>
      <c r="I3215">
        <v>20</v>
      </c>
      <c r="J3215" t="str">
        <f t="shared" si="300"/>
        <v>Smoker</v>
      </c>
      <c r="K3215">
        <v>0</v>
      </c>
      <c r="L3215">
        <v>0</v>
      </c>
      <c r="M3215">
        <v>1</v>
      </c>
      <c r="N3215">
        <v>0</v>
      </c>
      <c r="O3215">
        <v>158</v>
      </c>
      <c r="P3215" t="str">
        <f t="shared" si="301"/>
        <v>Normal</v>
      </c>
      <c r="Q3215">
        <v>154</v>
      </c>
      <c r="R3215">
        <v>100</v>
      </c>
      <c r="S3215">
        <v>24.07</v>
      </c>
      <c r="T3215" t="str">
        <f t="shared" si="302"/>
        <v>Normal</v>
      </c>
      <c r="U3215">
        <v>92</v>
      </c>
      <c r="V3215">
        <v>70</v>
      </c>
      <c r="W3215" t="str">
        <f t="shared" si="305"/>
        <v>Normal</v>
      </c>
      <c r="X3215">
        <v>1</v>
      </c>
    </row>
    <row r="3216" spans="1:24" ht="14.5" thickBot="1" x14ac:dyDescent="0.35">
      <c r="A3216">
        <v>0</v>
      </c>
      <c r="B3216" t="str">
        <f t="shared" si="303"/>
        <v>Female</v>
      </c>
      <c r="C3216" s="8">
        <v>57</v>
      </c>
      <c r="D3216" t="str">
        <f t="shared" si="304"/>
        <v>Senior</v>
      </c>
      <c r="E3216">
        <v>1</v>
      </c>
      <c r="F3216" t="str">
        <f>HLOOKUP(E3216, LookUP_Table!$A$6:$D$7, 2, FALSE)</f>
        <v>Primary</v>
      </c>
      <c r="G3216" t="str">
        <f>IFERROR(VLOOKUP(E3216, LookUP_Table!$A$1:$B$4, 2, FALSE), "")</f>
        <v>Primary</v>
      </c>
      <c r="H3216">
        <v>0</v>
      </c>
      <c r="I3216">
        <v>0</v>
      </c>
      <c r="J3216" t="str">
        <f t="shared" si="300"/>
        <v>Non-Smoker</v>
      </c>
      <c r="K3216">
        <v>0</v>
      </c>
      <c r="L3216">
        <v>0</v>
      </c>
      <c r="M3216">
        <v>0</v>
      </c>
      <c r="N3216">
        <v>0</v>
      </c>
      <c r="O3216">
        <v>372</v>
      </c>
      <c r="P3216" t="str">
        <f t="shared" si="301"/>
        <v>High</v>
      </c>
      <c r="Q3216">
        <v>122</v>
      </c>
      <c r="R3216">
        <v>80</v>
      </c>
      <c r="S3216">
        <v>21.02</v>
      </c>
      <c r="T3216" t="str">
        <f t="shared" si="302"/>
        <v>Normal</v>
      </c>
      <c r="U3216">
        <v>65</v>
      </c>
      <c r="V3216">
        <v>81</v>
      </c>
      <c r="W3216" t="str">
        <f t="shared" si="305"/>
        <v>Normal</v>
      </c>
      <c r="X3216">
        <v>0</v>
      </c>
    </row>
    <row r="3217" spans="1:24" ht="14.5" thickBot="1" x14ac:dyDescent="0.35">
      <c r="A3217">
        <v>0</v>
      </c>
      <c r="B3217" t="str">
        <f t="shared" si="303"/>
        <v>Female</v>
      </c>
      <c r="C3217" s="8">
        <v>57</v>
      </c>
      <c r="D3217" t="str">
        <f t="shared" si="304"/>
        <v>Senior</v>
      </c>
      <c r="E3217">
        <v>1</v>
      </c>
      <c r="F3217" t="str">
        <f>HLOOKUP(E3217, LookUP_Table!$A$6:$D$7, 2, FALSE)</f>
        <v>Primary</v>
      </c>
      <c r="G3217" t="str">
        <f>IFERROR(VLOOKUP(E3217, LookUP_Table!$A$1:$B$4, 2, FALSE), "")</f>
        <v>Primary</v>
      </c>
      <c r="H3217">
        <v>0</v>
      </c>
      <c r="I3217">
        <v>0</v>
      </c>
      <c r="J3217" t="str">
        <f t="shared" si="300"/>
        <v>Non-Smoker</v>
      </c>
      <c r="K3217">
        <v>0</v>
      </c>
      <c r="L3217">
        <v>0</v>
      </c>
      <c r="M3217">
        <v>0</v>
      </c>
      <c r="N3217">
        <v>0</v>
      </c>
      <c r="O3217">
        <v>277</v>
      </c>
      <c r="P3217" t="str">
        <f t="shared" si="301"/>
        <v>High</v>
      </c>
      <c r="Q3217">
        <v>133</v>
      </c>
      <c r="R3217">
        <v>84</v>
      </c>
      <c r="S3217">
        <v>36.21</v>
      </c>
      <c r="T3217" t="str">
        <f t="shared" si="302"/>
        <v>Obese</v>
      </c>
      <c r="U3217">
        <v>62</v>
      </c>
      <c r="V3217">
        <v>74</v>
      </c>
      <c r="W3217" t="str">
        <f t="shared" si="305"/>
        <v>Normal</v>
      </c>
      <c r="X3217">
        <v>0</v>
      </c>
    </row>
    <row r="3218" spans="1:24" ht="14.5" thickBot="1" x14ac:dyDescent="0.35">
      <c r="A3218">
        <v>1</v>
      </c>
      <c r="B3218" t="str">
        <f t="shared" si="303"/>
        <v>Male</v>
      </c>
      <c r="C3218" s="8">
        <v>57</v>
      </c>
      <c r="D3218" t="str">
        <f t="shared" si="304"/>
        <v>Senior</v>
      </c>
      <c r="E3218">
        <v>1</v>
      </c>
      <c r="F3218" t="str">
        <f>HLOOKUP(E3218, LookUP_Table!$A$6:$D$7, 2, FALSE)</f>
        <v>Primary</v>
      </c>
      <c r="G3218" t="str">
        <f>IFERROR(VLOOKUP(E3218, LookUP_Table!$A$1:$B$4, 2, FALSE), "")</f>
        <v>Primary</v>
      </c>
      <c r="H3218">
        <v>1</v>
      </c>
      <c r="I3218">
        <v>30</v>
      </c>
      <c r="J3218" t="str">
        <f t="shared" si="300"/>
        <v>Smoker</v>
      </c>
      <c r="K3218">
        <v>0</v>
      </c>
      <c r="L3218">
        <v>0</v>
      </c>
      <c r="M3218">
        <v>0</v>
      </c>
      <c r="N3218">
        <v>0</v>
      </c>
      <c r="O3218">
        <v>211</v>
      </c>
      <c r="P3218" t="str">
        <f t="shared" si="301"/>
        <v>Normal</v>
      </c>
      <c r="Q3218">
        <v>122</v>
      </c>
      <c r="R3218">
        <v>66.5</v>
      </c>
      <c r="S3218">
        <v>20.190000000000001</v>
      </c>
      <c r="T3218" t="str">
        <f t="shared" si="302"/>
        <v>Normal</v>
      </c>
      <c r="U3218">
        <v>62</v>
      </c>
      <c r="V3218">
        <v>57</v>
      </c>
      <c r="W3218" t="str">
        <f t="shared" si="305"/>
        <v>Normal</v>
      </c>
      <c r="X3218">
        <v>0</v>
      </c>
    </row>
    <row r="3219" spans="1:24" ht="14.5" thickBot="1" x14ac:dyDescent="0.35">
      <c r="A3219">
        <v>1</v>
      </c>
      <c r="B3219" t="str">
        <f t="shared" si="303"/>
        <v>Male</v>
      </c>
      <c r="C3219" s="8">
        <v>57</v>
      </c>
      <c r="D3219" t="str">
        <f t="shared" si="304"/>
        <v>Senior</v>
      </c>
      <c r="E3219">
        <v>4</v>
      </c>
      <c r="F3219" t="str">
        <f>HLOOKUP(E3219, LookUP_Table!$A$6:$D$7, 2, FALSE)</f>
        <v>Post Graduate</v>
      </c>
      <c r="G3219" t="str">
        <f>IFERROR(VLOOKUP(E3219, LookUP_Table!$A$1:$B$4, 2, FALSE), "")</f>
        <v>Post Graduate</v>
      </c>
      <c r="H3219">
        <v>0</v>
      </c>
      <c r="I3219">
        <v>0</v>
      </c>
      <c r="J3219" t="str">
        <f t="shared" si="300"/>
        <v>Non-Smoker</v>
      </c>
      <c r="K3219">
        <v>0</v>
      </c>
      <c r="L3219">
        <v>0</v>
      </c>
      <c r="M3219">
        <v>1</v>
      </c>
      <c r="N3219">
        <v>0</v>
      </c>
      <c r="O3219">
        <v>195</v>
      </c>
      <c r="P3219" t="str">
        <f t="shared" si="301"/>
        <v>Normal</v>
      </c>
      <c r="Q3219">
        <v>162</v>
      </c>
      <c r="R3219">
        <v>108</v>
      </c>
      <c r="S3219">
        <v>32.65</v>
      </c>
      <c r="T3219" t="str">
        <f t="shared" si="302"/>
        <v>Obese</v>
      </c>
      <c r="U3219">
        <v>85</v>
      </c>
      <c r="V3219">
        <v>73</v>
      </c>
      <c r="W3219" t="str">
        <f t="shared" si="305"/>
        <v>Normal</v>
      </c>
      <c r="X3219">
        <v>0</v>
      </c>
    </row>
    <row r="3220" spans="1:24" ht="14.5" thickBot="1" x14ac:dyDescent="0.35">
      <c r="A3220">
        <v>0</v>
      </c>
      <c r="B3220" t="str">
        <f t="shared" si="303"/>
        <v>Female</v>
      </c>
      <c r="C3220" s="8">
        <v>57</v>
      </c>
      <c r="D3220" t="str">
        <f t="shared" si="304"/>
        <v>Senior</v>
      </c>
      <c r="E3220">
        <v>1</v>
      </c>
      <c r="F3220" t="str">
        <f>HLOOKUP(E3220, LookUP_Table!$A$6:$D$7, 2, FALSE)</f>
        <v>Primary</v>
      </c>
      <c r="G3220" t="str">
        <f>IFERROR(VLOOKUP(E3220, LookUP_Table!$A$1:$B$4, 2, FALSE), "")</f>
        <v>Primary</v>
      </c>
      <c r="H3220">
        <v>0</v>
      </c>
      <c r="I3220">
        <v>0</v>
      </c>
      <c r="J3220" t="str">
        <f t="shared" si="300"/>
        <v>Non-Smoker</v>
      </c>
      <c r="K3220">
        <v>0</v>
      </c>
      <c r="L3220">
        <v>0</v>
      </c>
      <c r="M3220">
        <v>1</v>
      </c>
      <c r="N3220">
        <v>0</v>
      </c>
      <c r="O3220">
        <v>224</v>
      </c>
      <c r="P3220" t="str">
        <f t="shared" si="301"/>
        <v>Normal</v>
      </c>
      <c r="Q3220">
        <v>174</v>
      </c>
      <c r="R3220">
        <v>112</v>
      </c>
      <c r="S3220">
        <v>22.73</v>
      </c>
      <c r="T3220" t="str">
        <f t="shared" si="302"/>
        <v>Normal</v>
      </c>
      <c r="U3220">
        <v>63</v>
      </c>
      <c r="V3220">
        <v>82</v>
      </c>
      <c r="W3220" t="str">
        <f t="shared" si="305"/>
        <v>Normal</v>
      </c>
      <c r="X3220">
        <v>0</v>
      </c>
    </row>
    <row r="3221" spans="1:24" ht="14.5" thickBot="1" x14ac:dyDescent="0.35">
      <c r="A3221">
        <v>1</v>
      </c>
      <c r="B3221" t="str">
        <f t="shared" si="303"/>
        <v>Male</v>
      </c>
      <c r="C3221" s="8">
        <v>57</v>
      </c>
      <c r="D3221" t="str">
        <f t="shared" si="304"/>
        <v>Senior</v>
      </c>
      <c r="E3221">
        <v>1</v>
      </c>
      <c r="F3221" t="str">
        <f>HLOOKUP(E3221, LookUP_Table!$A$6:$D$7, 2, FALSE)</f>
        <v>Primary</v>
      </c>
      <c r="G3221" t="str">
        <f>IFERROR(VLOOKUP(E3221, LookUP_Table!$A$1:$B$4, 2, FALSE), "")</f>
        <v>Primary</v>
      </c>
      <c r="H3221">
        <v>1</v>
      </c>
      <c r="I3221">
        <v>30</v>
      </c>
      <c r="J3221" t="str">
        <f t="shared" si="300"/>
        <v>Smoker</v>
      </c>
      <c r="K3221">
        <v>0</v>
      </c>
      <c r="L3221">
        <v>0</v>
      </c>
      <c r="M3221">
        <v>0</v>
      </c>
      <c r="N3221">
        <v>0</v>
      </c>
      <c r="O3221">
        <v>225</v>
      </c>
      <c r="P3221" t="str">
        <f t="shared" si="301"/>
        <v>Normal</v>
      </c>
      <c r="Q3221">
        <v>140</v>
      </c>
      <c r="R3221">
        <v>88</v>
      </c>
      <c r="S3221">
        <v>24.71</v>
      </c>
      <c r="T3221" t="str">
        <f t="shared" si="302"/>
        <v>Normal</v>
      </c>
      <c r="U3221">
        <v>80</v>
      </c>
      <c r="V3221">
        <v>78</v>
      </c>
      <c r="W3221" t="str">
        <f t="shared" si="305"/>
        <v>Normal</v>
      </c>
      <c r="X3221">
        <v>0</v>
      </c>
    </row>
    <row r="3222" spans="1:24" ht="14.5" thickBot="1" x14ac:dyDescent="0.35">
      <c r="A3222">
        <v>0</v>
      </c>
      <c r="B3222" t="str">
        <f t="shared" si="303"/>
        <v>Female</v>
      </c>
      <c r="C3222" s="8">
        <v>57</v>
      </c>
      <c r="D3222" t="str">
        <f t="shared" si="304"/>
        <v>Senior</v>
      </c>
      <c r="E3222">
        <v>1</v>
      </c>
      <c r="F3222" t="str">
        <f>HLOOKUP(E3222, LookUP_Table!$A$6:$D$7, 2, FALSE)</f>
        <v>Primary</v>
      </c>
      <c r="G3222" t="str">
        <f>IFERROR(VLOOKUP(E3222, LookUP_Table!$A$1:$B$4, 2, FALSE), "")</f>
        <v>Primary</v>
      </c>
      <c r="H3222">
        <v>0</v>
      </c>
      <c r="I3222">
        <v>0</v>
      </c>
      <c r="J3222" t="str">
        <f t="shared" si="300"/>
        <v>Non-Smoker</v>
      </c>
      <c r="K3222">
        <v>0</v>
      </c>
      <c r="L3222">
        <v>0</v>
      </c>
      <c r="M3222">
        <v>1</v>
      </c>
      <c r="N3222">
        <v>0</v>
      </c>
      <c r="O3222">
        <v>233</v>
      </c>
      <c r="P3222" t="str">
        <f t="shared" si="301"/>
        <v>Normal</v>
      </c>
      <c r="Q3222">
        <v>184</v>
      </c>
      <c r="R3222">
        <v>106</v>
      </c>
      <c r="S3222">
        <v>38.880000000000003</v>
      </c>
      <c r="T3222" t="str">
        <f t="shared" si="302"/>
        <v>Obese</v>
      </c>
      <c r="U3222">
        <v>66</v>
      </c>
      <c r="V3222">
        <v>40</v>
      </c>
      <c r="W3222" t="str">
        <f t="shared" si="305"/>
        <v>Normal</v>
      </c>
      <c r="X3222">
        <v>1</v>
      </c>
    </row>
    <row r="3223" spans="1:24" ht="14.5" thickBot="1" x14ac:dyDescent="0.35">
      <c r="A3223">
        <v>1</v>
      </c>
      <c r="B3223" t="str">
        <f t="shared" si="303"/>
        <v>Male</v>
      </c>
      <c r="C3223" s="8">
        <v>57</v>
      </c>
      <c r="D3223" t="str">
        <f t="shared" si="304"/>
        <v>Senior</v>
      </c>
      <c r="E3223">
        <v>1</v>
      </c>
      <c r="F3223" t="str">
        <f>HLOOKUP(E3223, LookUP_Table!$A$6:$D$7, 2, FALSE)</f>
        <v>Primary</v>
      </c>
      <c r="G3223" t="str">
        <f>IFERROR(VLOOKUP(E3223, LookUP_Table!$A$1:$B$4, 2, FALSE), "")</f>
        <v>Primary</v>
      </c>
      <c r="H3223">
        <v>0</v>
      </c>
      <c r="I3223">
        <v>0</v>
      </c>
      <c r="J3223" t="str">
        <f t="shared" si="300"/>
        <v>Non-Smoker</v>
      </c>
      <c r="K3223">
        <v>0</v>
      </c>
      <c r="L3223">
        <v>0</v>
      </c>
      <c r="M3223">
        <v>1</v>
      </c>
      <c r="N3223">
        <v>0</v>
      </c>
      <c r="O3223">
        <v>210</v>
      </c>
      <c r="P3223" t="str">
        <f t="shared" si="301"/>
        <v>Normal</v>
      </c>
      <c r="Q3223">
        <v>158</v>
      </c>
      <c r="R3223">
        <v>104</v>
      </c>
      <c r="S3223">
        <v>30.93</v>
      </c>
      <c r="T3223" t="str">
        <f t="shared" si="302"/>
        <v>Obese</v>
      </c>
      <c r="U3223">
        <v>73</v>
      </c>
      <c r="V3223">
        <v>113</v>
      </c>
      <c r="W3223" t="str">
        <f t="shared" si="305"/>
        <v>Prediabetes</v>
      </c>
      <c r="X3223">
        <v>0</v>
      </c>
    </row>
    <row r="3224" spans="1:24" ht="14.5" thickBot="1" x14ac:dyDescent="0.35">
      <c r="A3224">
        <v>0</v>
      </c>
      <c r="B3224" t="str">
        <f t="shared" si="303"/>
        <v>Female</v>
      </c>
      <c r="C3224" s="8">
        <v>57</v>
      </c>
      <c r="D3224" t="str">
        <f t="shared" si="304"/>
        <v>Senior</v>
      </c>
      <c r="E3224">
        <v>2</v>
      </c>
      <c r="F3224" t="str">
        <f>HLOOKUP(E3224, LookUP_Table!$A$6:$D$7, 2, FALSE)</f>
        <v>Secondary</v>
      </c>
      <c r="G3224" t="str">
        <f>IFERROR(VLOOKUP(E3224, LookUP_Table!$A$1:$B$4, 2, FALSE), "")</f>
        <v>Secondary</v>
      </c>
      <c r="H3224">
        <v>0</v>
      </c>
      <c r="I3224">
        <v>0</v>
      </c>
      <c r="J3224" t="str">
        <f t="shared" si="300"/>
        <v>Non-Smoker</v>
      </c>
      <c r="K3224">
        <v>0</v>
      </c>
      <c r="L3224">
        <v>0</v>
      </c>
      <c r="M3224">
        <v>0</v>
      </c>
      <c r="N3224">
        <v>0</v>
      </c>
      <c r="O3224">
        <v>239</v>
      </c>
      <c r="P3224" t="str">
        <f t="shared" si="301"/>
        <v>Normal</v>
      </c>
      <c r="Q3224">
        <v>127</v>
      </c>
      <c r="R3224">
        <v>81</v>
      </c>
      <c r="S3224">
        <v>21.85</v>
      </c>
      <c r="T3224" t="str">
        <f t="shared" si="302"/>
        <v>Normal</v>
      </c>
      <c r="U3224">
        <v>75</v>
      </c>
      <c r="V3224">
        <v>87</v>
      </c>
      <c r="W3224" t="str">
        <f t="shared" si="305"/>
        <v>Normal</v>
      </c>
      <c r="X3224">
        <v>0</v>
      </c>
    </row>
    <row r="3225" spans="1:24" ht="14.5" thickBot="1" x14ac:dyDescent="0.35">
      <c r="A3225">
        <v>1</v>
      </c>
      <c r="B3225" t="str">
        <f t="shared" si="303"/>
        <v>Male</v>
      </c>
      <c r="C3225" s="8">
        <v>57</v>
      </c>
      <c r="D3225" t="str">
        <f t="shared" si="304"/>
        <v>Senior</v>
      </c>
      <c r="E3225">
        <v>1</v>
      </c>
      <c r="F3225" t="str">
        <f>HLOOKUP(E3225, LookUP_Table!$A$6:$D$7, 2, FALSE)</f>
        <v>Primary</v>
      </c>
      <c r="G3225" t="str">
        <f>IFERROR(VLOOKUP(E3225, LookUP_Table!$A$1:$B$4, 2, FALSE), "")</f>
        <v>Primary</v>
      </c>
      <c r="H3225">
        <v>1</v>
      </c>
      <c r="I3225">
        <v>20</v>
      </c>
      <c r="J3225" t="str">
        <f t="shared" si="300"/>
        <v>Smoker</v>
      </c>
      <c r="K3225">
        <v>0</v>
      </c>
      <c r="L3225">
        <v>0</v>
      </c>
      <c r="M3225">
        <v>0</v>
      </c>
      <c r="N3225">
        <v>0</v>
      </c>
      <c r="O3225">
        <v>250</v>
      </c>
      <c r="P3225" t="str">
        <f t="shared" si="301"/>
        <v>High</v>
      </c>
      <c r="Q3225">
        <v>127.5</v>
      </c>
      <c r="R3225">
        <v>80</v>
      </c>
      <c r="S3225">
        <v>29.38</v>
      </c>
      <c r="T3225" t="str">
        <f t="shared" si="302"/>
        <v>Overweight</v>
      </c>
      <c r="U3225">
        <v>80</v>
      </c>
      <c r="V3225">
        <v>80</v>
      </c>
      <c r="W3225" t="str">
        <f t="shared" si="305"/>
        <v>Normal</v>
      </c>
      <c r="X3225">
        <v>0</v>
      </c>
    </row>
    <row r="3226" spans="1:24" ht="14.5" thickBot="1" x14ac:dyDescent="0.35">
      <c r="A3226">
        <v>0</v>
      </c>
      <c r="B3226" t="str">
        <f t="shared" si="303"/>
        <v>Female</v>
      </c>
      <c r="C3226" s="8">
        <v>57</v>
      </c>
      <c r="D3226" t="str">
        <f t="shared" si="304"/>
        <v>Senior</v>
      </c>
      <c r="E3226">
        <v>3</v>
      </c>
      <c r="F3226" t="str">
        <f>HLOOKUP(E3226, LookUP_Table!$A$6:$D$7, 2, FALSE)</f>
        <v>Graduate</v>
      </c>
      <c r="G3226" t="str">
        <f>IFERROR(VLOOKUP(E3226, LookUP_Table!$A$1:$B$4, 2, FALSE), "")</f>
        <v>Graduate</v>
      </c>
      <c r="H3226">
        <v>1</v>
      </c>
      <c r="I3226">
        <v>5</v>
      </c>
      <c r="J3226" t="str">
        <f t="shared" si="300"/>
        <v>Smoker</v>
      </c>
      <c r="K3226">
        <v>0</v>
      </c>
      <c r="L3226">
        <v>0</v>
      </c>
      <c r="M3226">
        <v>0</v>
      </c>
      <c r="N3226">
        <v>0</v>
      </c>
      <c r="O3226">
        <v>272</v>
      </c>
      <c r="P3226" t="str">
        <f t="shared" si="301"/>
        <v>High</v>
      </c>
      <c r="Q3226">
        <v>112.5</v>
      </c>
      <c r="R3226">
        <v>70</v>
      </c>
      <c r="S3226">
        <v>23.08</v>
      </c>
      <c r="T3226" t="str">
        <f t="shared" si="302"/>
        <v>Normal</v>
      </c>
      <c r="U3226">
        <v>73</v>
      </c>
      <c r="V3226">
        <v>58</v>
      </c>
      <c r="W3226" t="str">
        <f t="shared" si="305"/>
        <v>Normal</v>
      </c>
      <c r="X3226">
        <v>0</v>
      </c>
    </row>
    <row r="3227" spans="1:24" ht="14.5" thickBot="1" x14ac:dyDescent="0.35">
      <c r="A3227">
        <v>0</v>
      </c>
      <c r="B3227" t="str">
        <f t="shared" si="303"/>
        <v>Female</v>
      </c>
      <c r="C3227" s="8">
        <v>57</v>
      </c>
      <c r="D3227" t="str">
        <f t="shared" si="304"/>
        <v>Senior</v>
      </c>
      <c r="E3227">
        <v>3</v>
      </c>
      <c r="F3227" t="str">
        <f>HLOOKUP(E3227, LookUP_Table!$A$6:$D$7, 2, FALSE)</f>
        <v>Graduate</v>
      </c>
      <c r="G3227" t="str">
        <f>IFERROR(VLOOKUP(E3227, LookUP_Table!$A$1:$B$4, 2, FALSE), "")</f>
        <v>Graduate</v>
      </c>
      <c r="H3227">
        <v>0</v>
      </c>
      <c r="I3227">
        <v>0</v>
      </c>
      <c r="J3227" t="str">
        <f t="shared" si="300"/>
        <v>Non-Smoker</v>
      </c>
      <c r="K3227">
        <v>0</v>
      </c>
      <c r="L3227">
        <v>0</v>
      </c>
      <c r="M3227">
        <v>0</v>
      </c>
      <c r="N3227">
        <v>0</v>
      </c>
      <c r="O3227">
        <v>210</v>
      </c>
      <c r="P3227" t="str">
        <f t="shared" si="301"/>
        <v>Normal</v>
      </c>
      <c r="Q3227">
        <v>131</v>
      </c>
      <c r="R3227">
        <v>85</v>
      </c>
      <c r="S3227">
        <v>26.59</v>
      </c>
      <c r="T3227" t="str">
        <f t="shared" si="302"/>
        <v>Overweight</v>
      </c>
      <c r="U3227">
        <v>70</v>
      </c>
      <c r="V3227">
        <v>77</v>
      </c>
      <c r="W3227" t="str">
        <f t="shared" si="305"/>
        <v>Normal</v>
      </c>
      <c r="X3227">
        <v>0</v>
      </c>
    </row>
    <row r="3228" spans="1:24" ht="14.5" thickBot="1" x14ac:dyDescent="0.35">
      <c r="A3228">
        <v>0</v>
      </c>
      <c r="B3228" t="str">
        <f t="shared" si="303"/>
        <v>Female</v>
      </c>
      <c r="C3228" s="8">
        <v>57</v>
      </c>
      <c r="D3228" t="str">
        <f t="shared" si="304"/>
        <v>Senior</v>
      </c>
      <c r="E3228">
        <v>1</v>
      </c>
      <c r="F3228" t="str">
        <f>HLOOKUP(E3228, LookUP_Table!$A$6:$D$7, 2, FALSE)</f>
        <v>Primary</v>
      </c>
      <c r="G3228" t="str">
        <f>IFERROR(VLOOKUP(E3228, LookUP_Table!$A$1:$B$4, 2, FALSE), "")</f>
        <v>Primary</v>
      </c>
      <c r="H3228">
        <v>0</v>
      </c>
      <c r="I3228">
        <v>0</v>
      </c>
      <c r="J3228" t="str">
        <f t="shared" si="300"/>
        <v>Non-Smoker</v>
      </c>
      <c r="K3228">
        <v>1</v>
      </c>
      <c r="L3228">
        <v>0</v>
      </c>
      <c r="M3228">
        <v>1</v>
      </c>
      <c r="N3228">
        <v>0</v>
      </c>
      <c r="O3228">
        <v>190</v>
      </c>
      <c r="P3228" t="str">
        <f t="shared" si="301"/>
        <v>Normal</v>
      </c>
      <c r="Q3228">
        <v>155</v>
      </c>
      <c r="R3228">
        <v>85</v>
      </c>
      <c r="S3228">
        <v>26.08</v>
      </c>
      <c r="T3228" t="str">
        <f t="shared" si="302"/>
        <v>Overweight</v>
      </c>
      <c r="U3228">
        <v>55</v>
      </c>
      <c r="V3228">
        <v>66</v>
      </c>
      <c r="W3228" t="str">
        <f t="shared" si="305"/>
        <v>Normal</v>
      </c>
      <c r="X3228">
        <v>0</v>
      </c>
    </row>
    <row r="3229" spans="1:24" ht="14.5" thickBot="1" x14ac:dyDescent="0.35">
      <c r="A3229">
        <v>0</v>
      </c>
      <c r="B3229" t="str">
        <f t="shared" si="303"/>
        <v>Female</v>
      </c>
      <c r="C3229" s="8">
        <v>57</v>
      </c>
      <c r="D3229" t="str">
        <f t="shared" si="304"/>
        <v>Senior</v>
      </c>
      <c r="E3229">
        <v>1</v>
      </c>
      <c r="F3229" t="str">
        <f>HLOOKUP(E3229, LookUP_Table!$A$6:$D$7, 2, FALSE)</f>
        <v>Primary</v>
      </c>
      <c r="G3229" t="str">
        <f>IFERROR(VLOOKUP(E3229, LookUP_Table!$A$1:$B$4, 2, FALSE), "")</f>
        <v>Primary</v>
      </c>
      <c r="H3229">
        <v>0</v>
      </c>
      <c r="I3229">
        <v>0</v>
      </c>
      <c r="J3229" t="str">
        <f t="shared" si="300"/>
        <v>Non-Smoker</v>
      </c>
      <c r="K3229">
        <v>0</v>
      </c>
      <c r="L3229">
        <v>0</v>
      </c>
      <c r="M3229">
        <v>0</v>
      </c>
      <c r="N3229">
        <v>0</v>
      </c>
      <c r="O3229">
        <v>306</v>
      </c>
      <c r="P3229" t="str">
        <f t="shared" si="301"/>
        <v>High</v>
      </c>
      <c r="Q3229">
        <v>135</v>
      </c>
      <c r="R3229">
        <v>88</v>
      </c>
      <c r="S3229">
        <v>28.36</v>
      </c>
      <c r="T3229" t="str">
        <f t="shared" si="302"/>
        <v>Overweight</v>
      </c>
      <c r="U3229">
        <v>80</v>
      </c>
      <c r="V3229">
        <v>70</v>
      </c>
      <c r="W3229" t="str">
        <f t="shared" si="305"/>
        <v>Normal</v>
      </c>
      <c r="X3229">
        <v>0</v>
      </c>
    </row>
    <row r="3230" spans="1:24" ht="14.5" thickBot="1" x14ac:dyDescent="0.35">
      <c r="A3230">
        <v>0</v>
      </c>
      <c r="B3230" t="str">
        <f t="shared" si="303"/>
        <v>Female</v>
      </c>
      <c r="C3230" s="8">
        <v>57</v>
      </c>
      <c r="D3230" t="str">
        <f t="shared" si="304"/>
        <v>Senior</v>
      </c>
      <c r="E3230">
        <v>4</v>
      </c>
      <c r="F3230" t="str">
        <f>HLOOKUP(E3230, LookUP_Table!$A$6:$D$7, 2, FALSE)</f>
        <v>Post Graduate</v>
      </c>
      <c r="G3230" t="str">
        <f>IFERROR(VLOOKUP(E3230, LookUP_Table!$A$1:$B$4, 2, FALSE), "")</f>
        <v>Post Graduate</v>
      </c>
      <c r="H3230">
        <v>0</v>
      </c>
      <c r="I3230">
        <v>0</v>
      </c>
      <c r="J3230" t="str">
        <f t="shared" si="300"/>
        <v>Non-Smoker</v>
      </c>
      <c r="K3230">
        <v>0</v>
      </c>
      <c r="L3230">
        <v>0</v>
      </c>
      <c r="M3230">
        <v>0</v>
      </c>
      <c r="N3230">
        <v>0</v>
      </c>
      <c r="O3230">
        <v>160</v>
      </c>
      <c r="P3230" t="str">
        <f t="shared" si="301"/>
        <v>Normal</v>
      </c>
      <c r="Q3230">
        <v>105</v>
      </c>
      <c r="R3230">
        <v>70</v>
      </c>
      <c r="S3230">
        <v>27.01</v>
      </c>
      <c r="T3230" t="str">
        <f t="shared" si="302"/>
        <v>Overweight</v>
      </c>
      <c r="U3230">
        <v>52</v>
      </c>
      <c r="V3230">
        <v>61</v>
      </c>
      <c r="W3230" t="str">
        <f t="shared" si="305"/>
        <v>Normal</v>
      </c>
      <c r="X3230">
        <v>0</v>
      </c>
    </row>
    <row r="3231" spans="1:24" ht="14.5" thickBot="1" x14ac:dyDescent="0.35">
      <c r="A3231">
        <v>0</v>
      </c>
      <c r="B3231" t="str">
        <f t="shared" si="303"/>
        <v>Female</v>
      </c>
      <c r="C3231" s="8">
        <v>57</v>
      </c>
      <c r="D3231" t="str">
        <f t="shared" si="304"/>
        <v>Senior</v>
      </c>
      <c r="E3231">
        <v>3</v>
      </c>
      <c r="F3231" t="str">
        <f>HLOOKUP(E3231, LookUP_Table!$A$6:$D$7, 2, FALSE)</f>
        <v>Graduate</v>
      </c>
      <c r="G3231" t="str">
        <f>IFERROR(VLOOKUP(E3231, LookUP_Table!$A$1:$B$4, 2, FALSE), "")</f>
        <v>Graduate</v>
      </c>
      <c r="H3231">
        <v>1</v>
      </c>
      <c r="I3231">
        <v>20</v>
      </c>
      <c r="J3231" t="str">
        <f t="shared" si="300"/>
        <v>Smoker</v>
      </c>
      <c r="K3231">
        <v>1</v>
      </c>
      <c r="L3231">
        <v>0</v>
      </c>
      <c r="M3231">
        <v>1</v>
      </c>
      <c r="N3231">
        <v>0</v>
      </c>
      <c r="O3231">
        <v>262</v>
      </c>
      <c r="P3231" t="str">
        <f t="shared" si="301"/>
        <v>High</v>
      </c>
      <c r="Q3231">
        <v>140</v>
      </c>
      <c r="R3231">
        <v>93</v>
      </c>
      <c r="S3231">
        <v>22</v>
      </c>
      <c r="T3231" t="str">
        <f t="shared" si="302"/>
        <v>Normal</v>
      </c>
      <c r="U3231">
        <v>108</v>
      </c>
      <c r="V3231">
        <v>81.96365524402907</v>
      </c>
      <c r="W3231" t="str">
        <f t="shared" si="305"/>
        <v>Normal</v>
      </c>
      <c r="X3231">
        <v>1</v>
      </c>
    </row>
    <row r="3232" spans="1:24" ht="14.5" thickBot="1" x14ac:dyDescent="0.35">
      <c r="A3232">
        <v>0</v>
      </c>
      <c r="B3232" t="str">
        <f t="shared" si="303"/>
        <v>Female</v>
      </c>
      <c r="C3232" s="8">
        <v>57</v>
      </c>
      <c r="D3232" t="str">
        <f t="shared" si="304"/>
        <v>Senior</v>
      </c>
      <c r="E3232">
        <v>2</v>
      </c>
      <c r="F3232" t="str">
        <f>HLOOKUP(E3232, LookUP_Table!$A$6:$D$7, 2, FALSE)</f>
        <v>Secondary</v>
      </c>
      <c r="G3232" t="str">
        <f>IFERROR(VLOOKUP(E3232, LookUP_Table!$A$1:$B$4, 2, FALSE), "")</f>
        <v>Secondary</v>
      </c>
      <c r="H3232">
        <v>0</v>
      </c>
      <c r="I3232">
        <v>0</v>
      </c>
      <c r="J3232" t="str">
        <f t="shared" si="300"/>
        <v>Non-Smoker</v>
      </c>
      <c r="K3232">
        <v>0</v>
      </c>
      <c r="L3232">
        <v>0</v>
      </c>
      <c r="M3232">
        <v>0</v>
      </c>
      <c r="N3232">
        <v>0</v>
      </c>
      <c r="O3232">
        <v>309</v>
      </c>
      <c r="P3232" t="str">
        <f t="shared" si="301"/>
        <v>High</v>
      </c>
      <c r="Q3232">
        <v>130</v>
      </c>
      <c r="R3232">
        <v>75.5</v>
      </c>
      <c r="S3232">
        <v>25.99</v>
      </c>
      <c r="T3232" t="str">
        <f t="shared" si="302"/>
        <v>Overweight</v>
      </c>
      <c r="U3232">
        <v>96</v>
      </c>
      <c r="V3232">
        <v>75</v>
      </c>
      <c r="W3232" t="str">
        <f t="shared" si="305"/>
        <v>Normal</v>
      </c>
      <c r="X3232">
        <v>0</v>
      </c>
    </row>
    <row r="3233" spans="1:24" ht="14.5" thickBot="1" x14ac:dyDescent="0.35">
      <c r="A3233">
        <v>1</v>
      </c>
      <c r="B3233" t="str">
        <f t="shared" si="303"/>
        <v>Male</v>
      </c>
      <c r="C3233" s="8">
        <v>57</v>
      </c>
      <c r="D3233" t="str">
        <f t="shared" si="304"/>
        <v>Senior</v>
      </c>
      <c r="E3233">
        <v>1</v>
      </c>
      <c r="F3233" t="str">
        <f>HLOOKUP(E3233, LookUP_Table!$A$6:$D$7, 2, FALSE)</f>
        <v>Primary</v>
      </c>
      <c r="G3233" t="str">
        <f>IFERROR(VLOOKUP(E3233, LookUP_Table!$A$1:$B$4, 2, FALSE), "")</f>
        <v>Primary</v>
      </c>
      <c r="H3233">
        <v>0</v>
      </c>
      <c r="I3233">
        <v>0</v>
      </c>
      <c r="J3233" t="str">
        <f t="shared" si="300"/>
        <v>Non-Smoker</v>
      </c>
      <c r="K3233">
        <v>0</v>
      </c>
      <c r="L3233">
        <v>0</v>
      </c>
      <c r="M3233">
        <v>0</v>
      </c>
      <c r="N3233">
        <v>0</v>
      </c>
      <c r="O3233">
        <v>200</v>
      </c>
      <c r="P3233" t="str">
        <f t="shared" si="301"/>
        <v>Normal</v>
      </c>
      <c r="Q3233">
        <v>117.5</v>
      </c>
      <c r="R3233">
        <v>80</v>
      </c>
      <c r="S3233">
        <v>25.41</v>
      </c>
      <c r="T3233" t="str">
        <f t="shared" si="302"/>
        <v>Overweight</v>
      </c>
      <c r="U3233">
        <v>65</v>
      </c>
      <c r="V3233">
        <v>80</v>
      </c>
      <c r="W3233" t="str">
        <f t="shared" si="305"/>
        <v>Normal</v>
      </c>
      <c r="X3233">
        <v>0</v>
      </c>
    </row>
    <row r="3234" spans="1:24" ht="14.5" thickBot="1" x14ac:dyDescent="0.35">
      <c r="A3234">
        <v>0</v>
      </c>
      <c r="B3234" t="str">
        <f t="shared" si="303"/>
        <v>Female</v>
      </c>
      <c r="C3234" s="8">
        <v>57</v>
      </c>
      <c r="D3234" t="str">
        <f t="shared" si="304"/>
        <v>Senior</v>
      </c>
      <c r="E3234">
        <v>1</v>
      </c>
      <c r="F3234" t="str">
        <f>HLOOKUP(E3234, LookUP_Table!$A$6:$D$7, 2, FALSE)</f>
        <v>Primary</v>
      </c>
      <c r="G3234" t="str">
        <f>IFERROR(VLOOKUP(E3234, LookUP_Table!$A$1:$B$4, 2, FALSE), "")</f>
        <v>Primary</v>
      </c>
      <c r="H3234">
        <v>1</v>
      </c>
      <c r="I3234">
        <v>1</v>
      </c>
      <c r="J3234" t="str">
        <f t="shared" si="300"/>
        <v>Smoker</v>
      </c>
      <c r="K3234">
        <v>0</v>
      </c>
      <c r="L3234">
        <v>0</v>
      </c>
      <c r="M3234">
        <v>1</v>
      </c>
      <c r="N3234">
        <v>0</v>
      </c>
      <c r="O3234">
        <v>229</v>
      </c>
      <c r="P3234" t="str">
        <f t="shared" si="301"/>
        <v>Normal</v>
      </c>
      <c r="Q3234">
        <v>126.5</v>
      </c>
      <c r="R3234">
        <v>90</v>
      </c>
      <c r="S3234">
        <v>26</v>
      </c>
      <c r="T3234" t="str">
        <f t="shared" si="302"/>
        <v>Overweight</v>
      </c>
      <c r="U3234">
        <v>68</v>
      </c>
      <c r="V3234">
        <v>58</v>
      </c>
      <c r="W3234" t="str">
        <f t="shared" si="305"/>
        <v>Normal</v>
      </c>
      <c r="X3234">
        <v>0</v>
      </c>
    </row>
    <row r="3235" spans="1:24" ht="14.5" thickBot="1" x14ac:dyDescent="0.35">
      <c r="A3235">
        <v>0</v>
      </c>
      <c r="B3235" t="str">
        <f t="shared" si="303"/>
        <v>Female</v>
      </c>
      <c r="C3235" s="8">
        <v>57</v>
      </c>
      <c r="D3235" t="str">
        <f t="shared" si="304"/>
        <v>Senior</v>
      </c>
      <c r="E3235">
        <v>4</v>
      </c>
      <c r="F3235" t="str">
        <f>HLOOKUP(E3235, LookUP_Table!$A$6:$D$7, 2, FALSE)</f>
        <v>Post Graduate</v>
      </c>
      <c r="G3235" t="str">
        <f>IFERROR(VLOOKUP(E3235, LookUP_Table!$A$1:$B$4, 2, FALSE), "")</f>
        <v>Post Graduate</v>
      </c>
      <c r="H3235">
        <v>1</v>
      </c>
      <c r="I3235">
        <v>15</v>
      </c>
      <c r="J3235" t="str">
        <f t="shared" si="300"/>
        <v>Smoker</v>
      </c>
      <c r="K3235">
        <v>0</v>
      </c>
      <c r="L3235">
        <v>0</v>
      </c>
      <c r="M3235">
        <v>0</v>
      </c>
      <c r="N3235">
        <v>0</v>
      </c>
      <c r="O3235">
        <v>250</v>
      </c>
      <c r="P3235" t="str">
        <f t="shared" si="301"/>
        <v>High</v>
      </c>
      <c r="Q3235">
        <v>117.5</v>
      </c>
      <c r="R3235">
        <v>71</v>
      </c>
      <c r="S3235">
        <v>23.84</v>
      </c>
      <c r="T3235" t="str">
        <f t="shared" si="302"/>
        <v>Normal</v>
      </c>
      <c r="U3235">
        <v>50</v>
      </c>
      <c r="V3235">
        <v>75</v>
      </c>
      <c r="W3235" t="str">
        <f t="shared" si="305"/>
        <v>Normal</v>
      </c>
      <c r="X3235">
        <v>0</v>
      </c>
    </row>
    <row r="3236" spans="1:24" ht="14.5" thickBot="1" x14ac:dyDescent="0.35">
      <c r="A3236">
        <v>0</v>
      </c>
      <c r="B3236" t="str">
        <f t="shared" si="303"/>
        <v>Female</v>
      </c>
      <c r="C3236" s="8">
        <v>57</v>
      </c>
      <c r="D3236" t="str">
        <f t="shared" si="304"/>
        <v>Senior</v>
      </c>
      <c r="E3236">
        <v>3</v>
      </c>
      <c r="F3236" t="str">
        <f>HLOOKUP(E3236, LookUP_Table!$A$6:$D$7, 2, FALSE)</f>
        <v>Graduate</v>
      </c>
      <c r="G3236" t="str">
        <f>IFERROR(VLOOKUP(E3236, LookUP_Table!$A$1:$B$4, 2, FALSE), "")</f>
        <v>Graduate</v>
      </c>
      <c r="H3236">
        <v>0</v>
      </c>
      <c r="I3236">
        <v>0</v>
      </c>
      <c r="J3236" t="str">
        <f t="shared" si="300"/>
        <v>Non-Smoker</v>
      </c>
      <c r="K3236">
        <v>0</v>
      </c>
      <c r="L3236">
        <v>0</v>
      </c>
      <c r="M3236">
        <v>1</v>
      </c>
      <c r="N3236">
        <v>0</v>
      </c>
      <c r="O3236">
        <v>366</v>
      </c>
      <c r="P3236" t="str">
        <f t="shared" si="301"/>
        <v>High</v>
      </c>
      <c r="Q3236">
        <v>146.5</v>
      </c>
      <c r="R3236">
        <v>80</v>
      </c>
      <c r="S3236">
        <v>24.19</v>
      </c>
      <c r="T3236" t="str">
        <f t="shared" si="302"/>
        <v>Normal</v>
      </c>
      <c r="U3236">
        <v>85</v>
      </c>
      <c r="V3236">
        <v>73</v>
      </c>
      <c r="W3236" t="str">
        <f t="shared" si="305"/>
        <v>Normal</v>
      </c>
      <c r="X3236">
        <v>0</v>
      </c>
    </row>
    <row r="3237" spans="1:24" ht="14.5" thickBot="1" x14ac:dyDescent="0.35">
      <c r="A3237">
        <v>0</v>
      </c>
      <c r="B3237" t="str">
        <f t="shared" si="303"/>
        <v>Female</v>
      </c>
      <c r="C3237" s="8">
        <v>57</v>
      </c>
      <c r="D3237" t="str">
        <f t="shared" si="304"/>
        <v>Senior</v>
      </c>
      <c r="E3237">
        <v>1</v>
      </c>
      <c r="F3237" t="str">
        <f>HLOOKUP(E3237, LookUP_Table!$A$6:$D$7, 2, FALSE)</f>
        <v>Primary</v>
      </c>
      <c r="G3237" t="str">
        <f>IFERROR(VLOOKUP(E3237, LookUP_Table!$A$1:$B$4, 2, FALSE), "")</f>
        <v>Primary</v>
      </c>
      <c r="H3237">
        <v>0</v>
      </c>
      <c r="I3237">
        <v>0</v>
      </c>
      <c r="J3237" t="str">
        <f t="shared" si="300"/>
        <v>Non-Smoker</v>
      </c>
      <c r="K3237">
        <v>0</v>
      </c>
      <c r="L3237">
        <v>0</v>
      </c>
      <c r="M3237">
        <v>0</v>
      </c>
      <c r="N3237">
        <v>0</v>
      </c>
      <c r="O3237">
        <v>262</v>
      </c>
      <c r="P3237" t="str">
        <f t="shared" si="301"/>
        <v>High</v>
      </c>
      <c r="Q3237">
        <v>129</v>
      </c>
      <c r="R3237">
        <v>75</v>
      </c>
      <c r="S3237">
        <v>23.67</v>
      </c>
      <c r="T3237" t="str">
        <f t="shared" si="302"/>
        <v>Normal</v>
      </c>
      <c r="U3237">
        <v>70</v>
      </c>
      <c r="V3237">
        <v>95</v>
      </c>
      <c r="W3237" t="str">
        <f t="shared" si="305"/>
        <v>Normal</v>
      </c>
      <c r="X3237">
        <v>0</v>
      </c>
    </row>
    <row r="3238" spans="1:24" ht="14.5" thickBot="1" x14ac:dyDescent="0.35">
      <c r="A3238">
        <v>0</v>
      </c>
      <c r="B3238" t="str">
        <f t="shared" si="303"/>
        <v>Female</v>
      </c>
      <c r="C3238" s="8">
        <v>57</v>
      </c>
      <c r="D3238" t="str">
        <f t="shared" si="304"/>
        <v>Senior</v>
      </c>
      <c r="E3238">
        <v>2</v>
      </c>
      <c r="F3238" t="str">
        <f>HLOOKUP(E3238, LookUP_Table!$A$6:$D$7, 2, FALSE)</f>
        <v>Secondary</v>
      </c>
      <c r="G3238" t="str">
        <f>IFERROR(VLOOKUP(E3238, LookUP_Table!$A$1:$B$4, 2, FALSE), "")</f>
        <v>Secondary</v>
      </c>
      <c r="H3238">
        <v>0</v>
      </c>
      <c r="I3238">
        <v>0</v>
      </c>
      <c r="J3238" t="str">
        <f t="shared" si="300"/>
        <v>Non-Smoker</v>
      </c>
      <c r="K3238">
        <v>0</v>
      </c>
      <c r="L3238">
        <v>0</v>
      </c>
      <c r="M3238">
        <v>0</v>
      </c>
      <c r="N3238">
        <v>0</v>
      </c>
      <c r="O3238">
        <v>333</v>
      </c>
      <c r="P3238" t="str">
        <f t="shared" si="301"/>
        <v>High</v>
      </c>
      <c r="Q3238">
        <v>128</v>
      </c>
      <c r="R3238">
        <v>84</v>
      </c>
      <c r="S3238">
        <v>25.69</v>
      </c>
      <c r="T3238" t="str">
        <f t="shared" si="302"/>
        <v>Overweight</v>
      </c>
      <c r="U3238">
        <v>75</v>
      </c>
      <c r="V3238">
        <v>81.96365524402907</v>
      </c>
      <c r="W3238" t="str">
        <f t="shared" si="305"/>
        <v>Normal</v>
      </c>
      <c r="X3238">
        <v>0</v>
      </c>
    </row>
    <row r="3239" spans="1:24" ht="14.5" thickBot="1" x14ac:dyDescent="0.35">
      <c r="A3239">
        <v>1</v>
      </c>
      <c r="B3239" t="str">
        <f t="shared" si="303"/>
        <v>Male</v>
      </c>
      <c r="C3239" s="8">
        <v>57</v>
      </c>
      <c r="D3239" t="str">
        <f t="shared" si="304"/>
        <v>Senior</v>
      </c>
      <c r="E3239">
        <v>1</v>
      </c>
      <c r="F3239" t="str">
        <f>HLOOKUP(E3239, LookUP_Table!$A$6:$D$7, 2, FALSE)</f>
        <v>Primary</v>
      </c>
      <c r="G3239" t="str">
        <f>IFERROR(VLOOKUP(E3239, LookUP_Table!$A$1:$B$4, 2, FALSE), "")</f>
        <v>Primary</v>
      </c>
      <c r="H3239">
        <v>1</v>
      </c>
      <c r="I3239">
        <v>9</v>
      </c>
      <c r="J3239" t="str">
        <f t="shared" si="300"/>
        <v>Smoker</v>
      </c>
      <c r="K3239">
        <v>0</v>
      </c>
      <c r="L3239">
        <v>0</v>
      </c>
      <c r="M3239">
        <v>1</v>
      </c>
      <c r="N3239">
        <v>0</v>
      </c>
      <c r="O3239">
        <v>274</v>
      </c>
      <c r="P3239" t="str">
        <f t="shared" si="301"/>
        <v>High</v>
      </c>
      <c r="Q3239">
        <v>173</v>
      </c>
      <c r="R3239">
        <v>102</v>
      </c>
      <c r="S3239">
        <v>27.26</v>
      </c>
      <c r="T3239" t="str">
        <f t="shared" si="302"/>
        <v>Overweight</v>
      </c>
      <c r="U3239">
        <v>69</v>
      </c>
      <c r="V3239">
        <v>75</v>
      </c>
      <c r="W3239" t="str">
        <f t="shared" si="305"/>
        <v>Normal</v>
      </c>
      <c r="X3239">
        <v>0</v>
      </c>
    </row>
    <row r="3240" spans="1:24" ht="14.5" thickBot="1" x14ac:dyDescent="0.35">
      <c r="A3240">
        <v>0</v>
      </c>
      <c r="B3240" t="str">
        <f t="shared" si="303"/>
        <v>Female</v>
      </c>
      <c r="C3240" s="8">
        <v>57</v>
      </c>
      <c r="D3240" t="str">
        <f t="shared" si="304"/>
        <v>Senior</v>
      </c>
      <c r="E3240">
        <v>1</v>
      </c>
      <c r="F3240" t="str">
        <f>HLOOKUP(E3240, LookUP_Table!$A$6:$D$7, 2, FALSE)</f>
        <v>Primary</v>
      </c>
      <c r="G3240" t="str">
        <f>IFERROR(VLOOKUP(E3240, LookUP_Table!$A$1:$B$4, 2, FALSE), "")</f>
        <v>Primary</v>
      </c>
      <c r="H3240">
        <v>0</v>
      </c>
      <c r="I3240">
        <v>0</v>
      </c>
      <c r="J3240" t="str">
        <f t="shared" si="300"/>
        <v>Non-Smoker</v>
      </c>
      <c r="K3240">
        <v>0</v>
      </c>
      <c r="L3240">
        <v>0</v>
      </c>
      <c r="M3240">
        <v>0</v>
      </c>
      <c r="N3240">
        <v>0</v>
      </c>
      <c r="O3240">
        <v>207</v>
      </c>
      <c r="P3240" t="str">
        <f t="shared" si="301"/>
        <v>Normal</v>
      </c>
      <c r="Q3240">
        <v>161</v>
      </c>
      <c r="R3240">
        <v>97</v>
      </c>
      <c r="S3240">
        <v>36.46</v>
      </c>
      <c r="T3240" t="str">
        <f t="shared" si="302"/>
        <v>Obese</v>
      </c>
      <c r="U3240">
        <v>75</v>
      </c>
      <c r="V3240">
        <v>67</v>
      </c>
      <c r="W3240" t="str">
        <f t="shared" si="305"/>
        <v>Normal</v>
      </c>
      <c r="X3240">
        <v>0</v>
      </c>
    </row>
    <row r="3241" spans="1:24" ht="14.5" thickBot="1" x14ac:dyDescent="0.35">
      <c r="A3241">
        <v>1</v>
      </c>
      <c r="B3241" t="str">
        <f t="shared" si="303"/>
        <v>Male</v>
      </c>
      <c r="C3241" s="8">
        <v>57</v>
      </c>
      <c r="D3241" t="str">
        <f t="shared" si="304"/>
        <v>Senior</v>
      </c>
      <c r="E3241">
        <v>1</v>
      </c>
      <c r="F3241" t="str">
        <f>HLOOKUP(E3241, LookUP_Table!$A$6:$D$7, 2, FALSE)</f>
        <v>Primary</v>
      </c>
      <c r="G3241" t="str">
        <f>IFERROR(VLOOKUP(E3241, LookUP_Table!$A$1:$B$4, 2, FALSE), "")</f>
        <v>Primary</v>
      </c>
      <c r="H3241">
        <v>1</v>
      </c>
      <c r="I3241">
        <v>20</v>
      </c>
      <c r="J3241" t="str">
        <f t="shared" si="300"/>
        <v>Smoker</v>
      </c>
      <c r="K3241">
        <v>0</v>
      </c>
      <c r="L3241">
        <v>0</v>
      </c>
      <c r="M3241">
        <v>0</v>
      </c>
      <c r="N3241">
        <v>0</v>
      </c>
      <c r="O3241">
        <v>193</v>
      </c>
      <c r="P3241" t="str">
        <f t="shared" si="301"/>
        <v>Normal</v>
      </c>
      <c r="Q3241">
        <v>104</v>
      </c>
      <c r="R3241">
        <v>64</v>
      </c>
      <c r="S3241">
        <v>26</v>
      </c>
      <c r="T3241" t="str">
        <f t="shared" si="302"/>
        <v>Overweight</v>
      </c>
      <c r="U3241">
        <v>62</v>
      </c>
      <c r="V3241">
        <v>87</v>
      </c>
      <c r="W3241" t="str">
        <f t="shared" si="305"/>
        <v>Normal</v>
      </c>
      <c r="X3241">
        <v>1</v>
      </c>
    </row>
    <row r="3242" spans="1:24" ht="14.5" thickBot="1" x14ac:dyDescent="0.35">
      <c r="A3242">
        <v>1</v>
      </c>
      <c r="B3242" t="str">
        <f t="shared" si="303"/>
        <v>Male</v>
      </c>
      <c r="C3242" s="8">
        <v>57</v>
      </c>
      <c r="D3242" t="str">
        <f t="shared" si="304"/>
        <v>Senior</v>
      </c>
      <c r="E3242">
        <v>4</v>
      </c>
      <c r="F3242" t="str">
        <f>HLOOKUP(E3242, LookUP_Table!$A$6:$D$7, 2, FALSE)</f>
        <v>Post Graduate</v>
      </c>
      <c r="G3242" t="str">
        <f>IFERROR(VLOOKUP(E3242, LookUP_Table!$A$1:$B$4, 2, FALSE), "")</f>
        <v>Post Graduate</v>
      </c>
      <c r="H3242">
        <v>1</v>
      </c>
      <c r="I3242">
        <v>30</v>
      </c>
      <c r="J3242" t="str">
        <f t="shared" si="300"/>
        <v>Smoker</v>
      </c>
      <c r="K3242">
        <v>0</v>
      </c>
      <c r="L3242">
        <v>0</v>
      </c>
      <c r="M3242">
        <v>1</v>
      </c>
      <c r="N3242">
        <v>0</v>
      </c>
      <c r="O3242">
        <v>256</v>
      </c>
      <c r="P3242" t="str">
        <f t="shared" si="301"/>
        <v>High</v>
      </c>
      <c r="Q3242">
        <v>135</v>
      </c>
      <c r="R3242">
        <v>88</v>
      </c>
      <c r="S3242">
        <v>29.51</v>
      </c>
      <c r="T3242" t="str">
        <f t="shared" si="302"/>
        <v>Overweight</v>
      </c>
      <c r="U3242">
        <v>60</v>
      </c>
      <c r="V3242">
        <v>75</v>
      </c>
      <c r="W3242" t="str">
        <f t="shared" si="305"/>
        <v>Normal</v>
      </c>
      <c r="X3242">
        <v>0</v>
      </c>
    </row>
    <row r="3243" spans="1:24" ht="14.5" thickBot="1" x14ac:dyDescent="0.35">
      <c r="A3243">
        <v>1</v>
      </c>
      <c r="B3243" t="str">
        <f t="shared" si="303"/>
        <v>Male</v>
      </c>
      <c r="C3243" s="8">
        <v>57</v>
      </c>
      <c r="D3243" t="str">
        <f t="shared" si="304"/>
        <v>Senior</v>
      </c>
      <c r="E3243">
        <v>2</v>
      </c>
      <c r="F3243" t="str">
        <f>HLOOKUP(E3243, LookUP_Table!$A$6:$D$7, 2, FALSE)</f>
        <v>Secondary</v>
      </c>
      <c r="G3243" t="str">
        <f>IFERROR(VLOOKUP(E3243, LookUP_Table!$A$1:$B$4, 2, FALSE), "")</f>
        <v>Secondary</v>
      </c>
      <c r="H3243">
        <v>1</v>
      </c>
      <c r="I3243">
        <v>1</v>
      </c>
      <c r="J3243" t="str">
        <f t="shared" si="300"/>
        <v>Smoker</v>
      </c>
      <c r="K3243">
        <v>0</v>
      </c>
      <c r="L3243">
        <v>0</v>
      </c>
      <c r="M3243">
        <v>0</v>
      </c>
      <c r="N3243">
        <v>0</v>
      </c>
      <c r="O3243">
        <v>245</v>
      </c>
      <c r="P3243" t="str">
        <f t="shared" si="301"/>
        <v>High</v>
      </c>
      <c r="Q3243">
        <v>122</v>
      </c>
      <c r="R3243">
        <v>69</v>
      </c>
      <c r="S3243">
        <v>24.17</v>
      </c>
      <c r="T3243" t="str">
        <f t="shared" si="302"/>
        <v>Normal</v>
      </c>
      <c r="U3243">
        <v>65</v>
      </c>
      <c r="V3243">
        <v>92</v>
      </c>
      <c r="W3243" t="str">
        <f t="shared" si="305"/>
        <v>Normal</v>
      </c>
      <c r="X3243">
        <v>0</v>
      </c>
    </row>
    <row r="3244" spans="1:24" ht="14.5" thickBot="1" x14ac:dyDescent="0.35">
      <c r="A3244">
        <v>1</v>
      </c>
      <c r="B3244" t="str">
        <f t="shared" si="303"/>
        <v>Male</v>
      </c>
      <c r="C3244" s="8">
        <v>57</v>
      </c>
      <c r="D3244" t="str">
        <f t="shared" si="304"/>
        <v>Senior</v>
      </c>
      <c r="E3244">
        <v>1</v>
      </c>
      <c r="F3244" t="str">
        <f>HLOOKUP(E3244, LookUP_Table!$A$6:$D$7, 2, FALSE)</f>
        <v>Primary</v>
      </c>
      <c r="G3244" t="str">
        <f>IFERROR(VLOOKUP(E3244, LookUP_Table!$A$1:$B$4, 2, FALSE), "")</f>
        <v>Primary</v>
      </c>
      <c r="H3244">
        <v>0</v>
      </c>
      <c r="I3244">
        <v>0</v>
      </c>
      <c r="J3244" t="str">
        <f t="shared" si="300"/>
        <v>Non-Smoker</v>
      </c>
      <c r="K3244">
        <v>0</v>
      </c>
      <c r="L3244">
        <v>0</v>
      </c>
      <c r="M3244">
        <v>1</v>
      </c>
      <c r="N3244">
        <v>0</v>
      </c>
      <c r="O3244">
        <v>263</v>
      </c>
      <c r="P3244" t="str">
        <f t="shared" si="301"/>
        <v>High</v>
      </c>
      <c r="Q3244">
        <v>146</v>
      </c>
      <c r="R3244">
        <v>94</v>
      </c>
      <c r="S3244">
        <v>29.08</v>
      </c>
      <c r="T3244" t="str">
        <f t="shared" si="302"/>
        <v>Overweight</v>
      </c>
      <c r="U3244">
        <v>63</v>
      </c>
      <c r="V3244">
        <v>81.96365524402907</v>
      </c>
      <c r="W3244" t="str">
        <f t="shared" si="305"/>
        <v>Normal</v>
      </c>
      <c r="X3244">
        <v>0</v>
      </c>
    </row>
    <row r="3245" spans="1:24" ht="14.5" thickBot="1" x14ac:dyDescent="0.35">
      <c r="A3245">
        <v>1</v>
      </c>
      <c r="B3245" t="str">
        <f t="shared" si="303"/>
        <v>Male</v>
      </c>
      <c r="C3245" s="8">
        <v>57</v>
      </c>
      <c r="D3245" t="str">
        <f t="shared" si="304"/>
        <v>Senior</v>
      </c>
      <c r="E3245">
        <v>3</v>
      </c>
      <c r="F3245" t="str">
        <f>HLOOKUP(E3245, LookUP_Table!$A$6:$D$7, 2, FALSE)</f>
        <v>Graduate</v>
      </c>
      <c r="G3245" t="str">
        <f>IFERROR(VLOOKUP(E3245, LookUP_Table!$A$1:$B$4, 2, FALSE), "")</f>
        <v>Graduate</v>
      </c>
      <c r="H3245">
        <v>0</v>
      </c>
      <c r="I3245">
        <v>0</v>
      </c>
      <c r="J3245" t="str">
        <f t="shared" si="300"/>
        <v>Non-Smoker</v>
      </c>
      <c r="K3245">
        <v>0</v>
      </c>
      <c r="L3245">
        <v>0</v>
      </c>
      <c r="M3245">
        <v>0</v>
      </c>
      <c r="N3245">
        <v>0</v>
      </c>
      <c r="O3245">
        <v>235</v>
      </c>
      <c r="P3245" t="str">
        <f t="shared" si="301"/>
        <v>Normal</v>
      </c>
      <c r="Q3245">
        <v>124</v>
      </c>
      <c r="R3245">
        <v>77</v>
      </c>
      <c r="S3245">
        <v>24.19</v>
      </c>
      <c r="T3245" t="str">
        <f t="shared" si="302"/>
        <v>Normal</v>
      </c>
      <c r="U3245">
        <v>100</v>
      </c>
      <c r="V3245">
        <v>86</v>
      </c>
      <c r="W3245" t="str">
        <f t="shared" si="305"/>
        <v>Normal</v>
      </c>
      <c r="X3245">
        <v>0</v>
      </c>
    </row>
    <row r="3246" spans="1:24" ht="14.5" thickBot="1" x14ac:dyDescent="0.35">
      <c r="A3246">
        <v>0</v>
      </c>
      <c r="B3246" t="str">
        <f t="shared" si="303"/>
        <v>Female</v>
      </c>
      <c r="C3246" s="8">
        <v>57</v>
      </c>
      <c r="D3246" t="str">
        <f t="shared" si="304"/>
        <v>Senior</v>
      </c>
      <c r="E3246">
        <v>3</v>
      </c>
      <c r="F3246" t="str">
        <f>HLOOKUP(E3246, LookUP_Table!$A$6:$D$7, 2, FALSE)</f>
        <v>Graduate</v>
      </c>
      <c r="G3246" t="str">
        <f>IFERROR(VLOOKUP(E3246, LookUP_Table!$A$1:$B$4, 2, FALSE), "")</f>
        <v>Graduate</v>
      </c>
      <c r="H3246">
        <v>1</v>
      </c>
      <c r="I3246">
        <v>1</v>
      </c>
      <c r="J3246" t="str">
        <f t="shared" si="300"/>
        <v>Smoker</v>
      </c>
      <c r="K3246">
        <v>0</v>
      </c>
      <c r="L3246">
        <v>0</v>
      </c>
      <c r="M3246">
        <v>0</v>
      </c>
      <c r="N3246">
        <v>0</v>
      </c>
      <c r="O3246">
        <v>289</v>
      </c>
      <c r="P3246" t="str">
        <f t="shared" si="301"/>
        <v>High</v>
      </c>
      <c r="Q3246">
        <v>142</v>
      </c>
      <c r="R3246">
        <v>83</v>
      </c>
      <c r="S3246">
        <v>35.17</v>
      </c>
      <c r="T3246" t="str">
        <f t="shared" si="302"/>
        <v>Obese</v>
      </c>
      <c r="U3246">
        <v>68</v>
      </c>
      <c r="V3246">
        <v>72</v>
      </c>
      <c r="W3246" t="str">
        <f t="shared" si="305"/>
        <v>Normal</v>
      </c>
      <c r="X3246">
        <v>1</v>
      </c>
    </row>
    <row r="3247" spans="1:24" ht="14.5" thickBot="1" x14ac:dyDescent="0.35">
      <c r="A3247">
        <v>1</v>
      </c>
      <c r="B3247" t="str">
        <f t="shared" si="303"/>
        <v>Male</v>
      </c>
      <c r="C3247" s="8">
        <v>57</v>
      </c>
      <c r="D3247" t="str">
        <f t="shared" si="304"/>
        <v>Senior</v>
      </c>
      <c r="E3247">
        <v>2</v>
      </c>
      <c r="F3247" t="str">
        <f>HLOOKUP(E3247, LookUP_Table!$A$6:$D$7, 2, FALSE)</f>
        <v>Secondary</v>
      </c>
      <c r="G3247" t="str">
        <f>IFERROR(VLOOKUP(E3247, LookUP_Table!$A$1:$B$4, 2, FALSE), "")</f>
        <v>Secondary</v>
      </c>
      <c r="H3247">
        <v>0</v>
      </c>
      <c r="I3247">
        <v>0</v>
      </c>
      <c r="J3247" t="str">
        <f t="shared" si="300"/>
        <v>Non-Smoker</v>
      </c>
      <c r="K3247">
        <v>0</v>
      </c>
      <c r="L3247">
        <v>0</v>
      </c>
      <c r="M3247">
        <v>0</v>
      </c>
      <c r="N3247">
        <v>0</v>
      </c>
      <c r="O3247">
        <v>198</v>
      </c>
      <c r="P3247" t="str">
        <f t="shared" si="301"/>
        <v>Normal</v>
      </c>
      <c r="Q3247">
        <v>119</v>
      </c>
      <c r="R3247">
        <v>80</v>
      </c>
      <c r="S3247">
        <v>30.05</v>
      </c>
      <c r="T3247" t="str">
        <f t="shared" si="302"/>
        <v>Obese</v>
      </c>
      <c r="U3247">
        <v>70</v>
      </c>
      <c r="V3247">
        <v>79</v>
      </c>
      <c r="W3247" t="str">
        <f t="shared" si="305"/>
        <v>Normal</v>
      </c>
      <c r="X3247">
        <v>0</v>
      </c>
    </row>
    <row r="3248" spans="1:24" ht="14.5" thickBot="1" x14ac:dyDescent="0.35">
      <c r="A3248">
        <v>0</v>
      </c>
      <c r="B3248" t="str">
        <f t="shared" si="303"/>
        <v>Female</v>
      </c>
      <c r="C3248" s="8">
        <v>57</v>
      </c>
      <c r="D3248" t="str">
        <f t="shared" si="304"/>
        <v>Senior</v>
      </c>
      <c r="E3248">
        <v>1</v>
      </c>
      <c r="F3248" t="str">
        <f>HLOOKUP(E3248, LookUP_Table!$A$6:$D$7, 2, FALSE)</f>
        <v>Primary</v>
      </c>
      <c r="G3248" t="str">
        <f>IFERROR(VLOOKUP(E3248, LookUP_Table!$A$1:$B$4, 2, FALSE), "")</f>
        <v>Primary</v>
      </c>
      <c r="H3248">
        <v>0</v>
      </c>
      <c r="I3248">
        <v>0</v>
      </c>
      <c r="J3248" t="str">
        <f t="shared" si="300"/>
        <v>Non-Smoker</v>
      </c>
      <c r="K3248">
        <v>0</v>
      </c>
      <c r="L3248">
        <v>0</v>
      </c>
      <c r="M3248">
        <v>1</v>
      </c>
      <c r="N3248">
        <v>0</v>
      </c>
      <c r="O3248">
        <v>207</v>
      </c>
      <c r="P3248" t="str">
        <f t="shared" si="301"/>
        <v>Normal</v>
      </c>
      <c r="Q3248">
        <v>175</v>
      </c>
      <c r="R3248">
        <v>80</v>
      </c>
      <c r="S3248">
        <v>20.86</v>
      </c>
      <c r="T3248" t="str">
        <f t="shared" si="302"/>
        <v>Normal</v>
      </c>
      <c r="U3248">
        <v>83</v>
      </c>
      <c r="V3248">
        <v>75</v>
      </c>
      <c r="W3248" t="str">
        <f t="shared" si="305"/>
        <v>Normal</v>
      </c>
      <c r="X3248">
        <v>1</v>
      </c>
    </row>
    <row r="3249" spans="1:24" ht="14.5" thickBot="1" x14ac:dyDescent="0.35">
      <c r="A3249">
        <v>1</v>
      </c>
      <c r="B3249" t="str">
        <f t="shared" si="303"/>
        <v>Male</v>
      </c>
      <c r="C3249" s="8">
        <v>57</v>
      </c>
      <c r="D3249" t="str">
        <f t="shared" si="304"/>
        <v>Senior</v>
      </c>
      <c r="E3249">
        <v>4</v>
      </c>
      <c r="F3249" t="str">
        <f>HLOOKUP(E3249, LookUP_Table!$A$6:$D$7, 2, FALSE)</f>
        <v>Post Graduate</v>
      </c>
      <c r="G3249" t="str">
        <f>IFERROR(VLOOKUP(E3249, LookUP_Table!$A$1:$B$4, 2, FALSE), "")</f>
        <v>Post Graduate</v>
      </c>
      <c r="H3249">
        <v>0</v>
      </c>
      <c r="I3249">
        <v>0</v>
      </c>
      <c r="J3249" t="str">
        <f t="shared" si="300"/>
        <v>Non-Smoker</v>
      </c>
      <c r="K3249">
        <v>0</v>
      </c>
      <c r="L3249">
        <v>0</v>
      </c>
      <c r="M3249">
        <v>0</v>
      </c>
      <c r="N3249">
        <v>0</v>
      </c>
      <c r="O3249">
        <v>251</v>
      </c>
      <c r="P3249" t="str">
        <f t="shared" si="301"/>
        <v>High</v>
      </c>
      <c r="Q3249">
        <v>114</v>
      </c>
      <c r="R3249">
        <v>75</v>
      </c>
      <c r="S3249">
        <v>26.35</v>
      </c>
      <c r="T3249" t="str">
        <f t="shared" si="302"/>
        <v>Overweight</v>
      </c>
      <c r="U3249">
        <v>80</v>
      </c>
      <c r="V3249">
        <v>72</v>
      </c>
      <c r="W3249" t="str">
        <f t="shared" si="305"/>
        <v>Normal</v>
      </c>
      <c r="X3249">
        <v>0</v>
      </c>
    </row>
    <row r="3250" spans="1:24" ht="14.5" thickBot="1" x14ac:dyDescent="0.35">
      <c r="A3250">
        <v>1</v>
      </c>
      <c r="B3250" t="str">
        <f t="shared" si="303"/>
        <v>Male</v>
      </c>
      <c r="C3250" s="8">
        <v>57</v>
      </c>
      <c r="D3250" t="str">
        <f t="shared" si="304"/>
        <v>Senior</v>
      </c>
      <c r="E3250">
        <v>3</v>
      </c>
      <c r="F3250" t="str">
        <f>HLOOKUP(E3250, LookUP_Table!$A$6:$D$7, 2, FALSE)</f>
        <v>Graduate</v>
      </c>
      <c r="G3250" t="str">
        <f>IFERROR(VLOOKUP(E3250, LookUP_Table!$A$1:$B$4, 2, FALSE), "")</f>
        <v>Graduate</v>
      </c>
      <c r="H3250">
        <v>1</v>
      </c>
      <c r="I3250">
        <v>20</v>
      </c>
      <c r="J3250" t="str">
        <f t="shared" si="300"/>
        <v>Smoker</v>
      </c>
      <c r="K3250">
        <v>0</v>
      </c>
      <c r="L3250">
        <v>0</v>
      </c>
      <c r="M3250">
        <v>0</v>
      </c>
      <c r="N3250">
        <v>0</v>
      </c>
      <c r="O3250">
        <v>257</v>
      </c>
      <c r="P3250" t="str">
        <f t="shared" si="301"/>
        <v>High</v>
      </c>
      <c r="Q3250">
        <v>138.5</v>
      </c>
      <c r="R3250">
        <v>90</v>
      </c>
      <c r="S3250">
        <v>25.14</v>
      </c>
      <c r="T3250" t="str">
        <f t="shared" si="302"/>
        <v>Overweight</v>
      </c>
      <c r="U3250">
        <v>87</v>
      </c>
      <c r="V3250">
        <v>101</v>
      </c>
      <c r="W3250" t="str">
        <f t="shared" si="305"/>
        <v>Prediabetes</v>
      </c>
      <c r="X3250">
        <v>0</v>
      </c>
    </row>
    <row r="3251" spans="1:24" ht="14.5" thickBot="1" x14ac:dyDescent="0.35">
      <c r="A3251">
        <v>1</v>
      </c>
      <c r="B3251" t="str">
        <f t="shared" si="303"/>
        <v>Male</v>
      </c>
      <c r="C3251" s="8">
        <v>57</v>
      </c>
      <c r="D3251" t="str">
        <f t="shared" si="304"/>
        <v>Senior</v>
      </c>
      <c r="E3251">
        <v>3</v>
      </c>
      <c r="F3251" t="str">
        <f>HLOOKUP(E3251, LookUP_Table!$A$6:$D$7, 2, FALSE)</f>
        <v>Graduate</v>
      </c>
      <c r="G3251" t="str">
        <f>IFERROR(VLOOKUP(E3251, LookUP_Table!$A$1:$B$4, 2, FALSE), "")</f>
        <v>Graduate</v>
      </c>
      <c r="H3251">
        <v>0</v>
      </c>
      <c r="I3251">
        <v>0</v>
      </c>
      <c r="J3251" t="str">
        <f t="shared" si="300"/>
        <v>Non-Smoker</v>
      </c>
      <c r="K3251">
        <v>0</v>
      </c>
      <c r="L3251">
        <v>0</v>
      </c>
      <c r="M3251">
        <v>0</v>
      </c>
      <c r="N3251">
        <v>0</v>
      </c>
      <c r="O3251">
        <v>213</v>
      </c>
      <c r="P3251" t="str">
        <f t="shared" si="301"/>
        <v>Normal</v>
      </c>
      <c r="Q3251">
        <v>141</v>
      </c>
      <c r="R3251">
        <v>90</v>
      </c>
      <c r="S3251">
        <v>30.77</v>
      </c>
      <c r="T3251" t="str">
        <f t="shared" si="302"/>
        <v>Obese</v>
      </c>
      <c r="U3251">
        <v>60</v>
      </c>
      <c r="V3251">
        <v>77</v>
      </c>
      <c r="W3251" t="str">
        <f t="shared" si="305"/>
        <v>Normal</v>
      </c>
      <c r="X3251">
        <v>1</v>
      </c>
    </row>
    <row r="3252" spans="1:24" ht="14.5" thickBot="1" x14ac:dyDescent="0.35">
      <c r="A3252">
        <v>1</v>
      </c>
      <c r="B3252" t="str">
        <f t="shared" si="303"/>
        <v>Male</v>
      </c>
      <c r="C3252" s="8">
        <v>57</v>
      </c>
      <c r="D3252" t="str">
        <f t="shared" si="304"/>
        <v>Senior</v>
      </c>
      <c r="E3252">
        <v>1</v>
      </c>
      <c r="F3252" t="str">
        <f>HLOOKUP(E3252, LookUP_Table!$A$6:$D$7, 2, FALSE)</f>
        <v>Primary</v>
      </c>
      <c r="G3252" t="str">
        <f>IFERROR(VLOOKUP(E3252, LookUP_Table!$A$1:$B$4, 2, FALSE), "")</f>
        <v>Primary</v>
      </c>
      <c r="H3252">
        <v>1</v>
      </c>
      <c r="I3252">
        <v>20</v>
      </c>
      <c r="J3252" t="str">
        <f t="shared" si="300"/>
        <v>Smoker</v>
      </c>
      <c r="K3252">
        <v>0</v>
      </c>
      <c r="L3252">
        <v>0</v>
      </c>
      <c r="M3252">
        <v>0</v>
      </c>
      <c r="N3252">
        <v>0</v>
      </c>
      <c r="O3252">
        <v>265</v>
      </c>
      <c r="P3252" t="str">
        <f t="shared" si="301"/>
        <v>High</v>
      </c>
      <c r="Q3252">
        <v>124</v>
      </c>
      <c r="R3252">
        <v>81</v>
      </c>
      <c r="S3252">
        <v>28.18</v>
      </c>
      <c r="T3252" t="str">
        <f t="shared" si="302"/>
        <v>Overweight</v>
      </c>
      <c r="U3252">
        <v>73</v>
      </c>
      <c r="V3252">
        <v>100</v>
      </c>
      <c r="W3252" t="str">
        <f t="shared" si="305"/>
        <v>Prediabetes</v>
      </c>
      <c r="X3252">
        <v>0</v>
      </c>
    </row>
    <row r="3253" spans="1:24" ht="14.5" thickBot="1" x14ac:dyDescent="0.35">
      <c r="A3253">
        <v>0</v>
      </c>
      <c r="B3253" t="str">
        <f t="shared" si="303"/>
        <v>Female</v>
      </c>
      <c r="C3253" s="8">
        <v>57</v>
      </c>
      <c r="D3253" t="str">
        <f t="shared" si="304"/>
        <v>Senior</v>
      </c>
      <c r="E3253">
        <v>3</v>
      </c>
      <c r="F3253" t="str">
        <f>HLOOKUP(E3253, LookUP_Table!$A$6:$D$7, 2, FALSE)</f>
        <v>Graduate</v>
      </c>
      <c r="G3253" t="str">
        <f>IFERROR(VLOOKUP(E3253, LookUP_Table!$A$1:$B$4, 2, FALSE), "")</f>
        <v>Graduate</v>
      </c>
      <c r="H3253">
        <v>1</v>
      </c>
      <c r="I3253">
        <v>20</v>
      </c>
      <c r="J3253" t="str">
        <f t="shared" si="300"/>
        <v>Smoker</v>
      </c>
      <c r="K3253">
        <v>0</v>
      </c>
      <c r="L3253">
        <v>0</v>
      </c>
      <c r="M3253">
        <v>0</v>
      </c>
      <c r="N3253">
        <v>0</v>
      </c>
      <c r="O3253">
        <v>267</v>
      </c>
      <c r="P3253" t="str">
        <f t="shared" si="301"/>
        <v>High</v>
      </c>
      <c r="Q3253">
        <v>102</v>
      </c>
      <c r="R3253">
        <v>62</v>
      </c>
      <c r="S3253">
        <v>20.34</v>
      </c>
      <c r="T3253" t="str">
        <f t="shared" si="302"/>
        <v>Normal</v>
      </c>
      <c r="U3253">
        <v>60</v>
      </c>
      <c r="V3253">
        <v>81.96365524402907</v>
      </c>
      <c r="W3253" t="str">
        <f t="shared" si="305"/>
        <v>Normal</v>
      </c>
      <c r="X3253">
        <v>0</v>
      </c>
    </row>
    <row r="3254" spans="1:24" ht="14.5" thickBot="1" x14ac:dyDescent="0.35">
      <c r="A3254">
        <v>1</v>
      </c>
      <c r="B3254" t="str">
        <f t="shared" si="303"/>
        <v>Male</v>
      </c>
      <c r="C3254" s="8">
        <v>57</v>
      </c>
      <c r="D3254" t="str">
        <f t="shared" si="304"/>
        <v>Senior</v>
      </c>
      <c r="E3254">
        <v>1</v>
      </c>
      <c r="F3254" t="str">
        <f>HLOOKUP(E3254, LookUP_Table!$A$6:$D$7, 2, FALSE)</f>
        <v>Primary</v>
      </c>
      <c r="G3254" t="str">
        <f>IFERROR(VLOOKUP(E3254, LookUP_Table!$A$1:$B$4, 2, FALSE), "")</f>
        <v>Primary</v>
      </c>
      <c r="H3254">
        <v>0</v>
      </c>
      <c r="I3254">
        <v>0</v>
      </c>
      <c r="J3254" t="str">
        <f t="shared" si="300"/>
        <v>Non-Smoker</v>
      </c>
      <c r="K3254">
        <v>0</v>
      </c>
      <c r="L3254">
        <v>0</v>
      </c>
      <c r="M3254">
        <v>0</v>
      </c>
      <c r="N3254">
        <v>0</v>
      </c>
      <c r="O3254">
        <v>258</v>
      </c>
      <c r="P3254" t="str">
        <f t="shared" si="301"/>
        <v>High</v>
      </c>
      <c r="Q3254">
        <v>146</v>
      </c>
      <c r="R3254">
        <v>76</v>
      </c>
      <c r="S3254">
        <v>24.94</v>
      </c>
      <c r="T3254" t="str">
        <f t="shared" si="302"/>
        <v>Normal</v>
      </c>
      <c r="U3254">
        <v>63</v>
      </c>
      <c r="V3254">
        <v>87</v>
      </c>
      <c r="W3254" t="str">
        <f t="shared" si="305"/>
        <v>Normal</v>
      </c>
      <c r="X3254">
        <v>0</v>
      </c>
    </row>
    <row r="3255" spans="1:24" ht="14.5" thickBot="1" x14ac:dyDescent="0.35">
      <c r="A3255">
        <v>0</v>
      </c>
      <c r="B3255" t="str">
        <f t="shared" si="303"/>
        <v>Female</v>
      </c>
      <c r="C3255" s="8">
        <v>57</v>
      </c>
      <c r="D3255" t="str">
        <f t="shared" si="304"/>
        <v>Senior</v>
      </c>
      <c r="E3255">
        <v>2</v>
      </c>
      <c r="F3255" t="str">
        <f>HLOOKUP(E3255, LookUP_Table!$A$6:$D$7, 2, FALSE)</f>
        <v>Secondary</v>
      </c>
      <c r="G3255" t="str">
        <f>IFERROR(VLOOKUP(E3255, LookUP_Table!$A$1:$B$4, 2, FALSE), "")</f>
        <v>Secondary</v>
      </c>
      <c r="H3255">
        <v>0</v>
      </c>
      <c r="I3255">
        <v>0</v>
      </c>
      <c r="J3255" t="str">
        <f t="shared" si="300"/>
        <v>Non-Smoker</v>
      </c>
      <c r="K3255">
        <v>0</v>
      </c>
      <c r="L3255">
        <v>0</v>
      </c>
      <c r="M3255">
        <v>0</v>
      </c>
      <c r="N3255">
        <v>0</v>
      </c>
      <c r="O3255">
        <v>274</v>
      </c>
      <c r="P3255" t="str">
        <f t="shared" si="301"/>
        <v>High</v>
      </c>
      <c r="Q3255">
        <v>116</v>
      </c>
      <c r="R3255">
        <v>83</v>
      </c>
      <c r="S3255">
        <v>25.77</v>
      </c>
      <c r="T3255" t="str">
        <f t="shared" si="302"/>
        <v>Overweight</v>
      </c>
      <c r="U3255">
        <v>70</v>
      </c>
      <c r="V3255">
        <v>83</v>
      </c>
      <c r="W3255" t="str">
        <f t="shared" si="305"/>
        <v>Normal</v>
      </c>
      <c r="X3255">
        <v>0</v>
      </c>
    </row>
    <row r="3256" spans="1:24" ht="14.5" thickBot="1" x14ac:dyDescent="0.35">
      <c r="A3256">
        <v>1</v>
      </c>
      <c r="B3256" t="str">
        <f t="shared" si="303"/>
        <v>Male</v>
      </c>
      <c r="C3256" s="8">
        <v>57</v>
      </c>
      <c r="D3256" t="str">
        <f t="shared" si="304"/>
        <v>Senior</v>
      </c>
      <c r="E3256">
        <v>3</v>
      </c>
      <c r="F3256" t="str">
        <f>HLOOKUP(E3256, LookUP_Table!$A$6:$D$7, 2, FALSE)</f>
        <v>Graduate</v>
      </c>
      <c r="G3256" t="str">
        <f>IFERROR(VLOOKUP(E3256, LookUP_Table!$A$1:$B$4, 2, FALSE), "")</f>
        <v>Graduate</v>
      </c>
      <c r="H3256">
        <v>0</v>
      </c>
      <c r="I3256">
        <v>0</v>
      </c>
      <c r="J3256" t="str">
        <f t="shared" si="300"/>
        <v>Non-Smoker</v>
      </c>
      <c r="K3256">
        <v>0</v>
      </c>
      <c r="L3256">
        <v>0</v>
      </c>
      <c r="M3256">
        <v>0</v>
      </c>
      <c r="N3256">
        <v>0</v>
      </c>
      <c r="O3256">
        <v>238</v>
      </c>
      <c r="P3256" t="str">
        <f t="shared" si="301"/>
        <v>Normal</v>
      </c>
      <c r="Q3256">
        <v>128.5</v>
      </c>
      <c r="R3256">
        <v>87.5</v>
      </c>
      <c r="S3256">
        <v>25.38</v>
      </c>
      <c r="T3256" t="str">
        <f t="shared" si="302"/>
        <v>Overweight</v>
      </c>
      <c r="U3256">
        <v>80</v>
      </c>
      <c r="V3256">
        <v>89</v>
      </c>
      <c r="W3256" t="str">
        <f t="shared" si="305"/>
        <v>Normal</v>
      </c>
      <c r="X3256">
        <v>0</v>
      </c>
    </row>
    <row r="3257" spans="1:24" ht="14.5" thickBot="1" x14ac:dyDescent="0.35">
      <c r="A3257">
        <v>1</v>
      </c>
      <c r="B3257" t="str">
        <f t="shared" si="303"/>
        <v>Male</v>
      </c>
      <c r="C3257" s="8">
        <v>57</v>
      </c>
      <c r="D3257" t="str">
        <f t="shared" si="304"/>
        <v>Senior</v>
      </c>
      <c r="E3257">
        <v>3</v>
      </c>
      <c r="F3257" t="str">
        <f>HLOOKUP(E3257, LookUP_Table!$A$6:$D$7, 2, FALSE)</f>
        <v>Graduate</v>
      </c>
      <c r="G3257" t="str">
        <f>IFERROR(VLOOKUP(E3257, LookUP_Table!$A$1:$B$4, 2, FALSE), "")</f>
        <v>Graduate</v>
      </c>
      <c r="H3257">
        <v>0</v>
      </c>
      <c r="I3257">
        <v>0</v>
      </c>
      <c r="J3257" t="str">
        <f t="shared" si="300"/>
        <v>Non-Smoker</v>
      </c>
      <c r="K3257">
        <v>0</v>
      </c>
      <c r="L3257">
        <v>0</v>
      </c>
      <c r="M3257">
        <v>0</v>
      </c>
      <c r="N3257">
        <v>0</v>
      </c>
      <c r="O3257">
        <v>314</v>
      </c>
      <c r="P3257" t="str">
        <f t="shared" si="301"/>
        <v>High</v>
      </c>
      <c r="Q3257">
        <v>109.5</v>
      </c>
      <c r="R3257">
        <v>72</v>
      </c>
      <c r="S3257">
        <v>25.62</v>
      </c>
      <c r="T3257" t="str">
        <f t="shared" si="302"/>
        <v>Overweight</v>
      </c>
      <c r="U3257">
        <v>72</v>
      </c>
      <c r="V3257">
        <v>71</v>
      </c>
      <c r="W3257" t="str">
        <f t="shared" si="305"/>
        <v>Normal</v>
      </c>
      <c r="X3257">
        <v>0</v>
      </c>
    </row>
    <row r="3258" spans="1:24" ht="14.5" thickBot="1" x14ac:dyDescent="0.35">
      <c r="A3258">
        <v>0</v>
      </c>
      <c r="B3258" t="str">
        <f t="shared" si="303"/>
        <v>Female</v>
      </c>
      <c r="C3258" s="8">
        <v>57</v>
      </c>
      <c r="D3258" t="str">
        <f t="shared" si="304"/>
        <v>Senior</v>
      </c>
      <c r="E3258">
        <v>1</v>
      </c>
      <c r="F3258" t="str">
        <f>HLOOKUP(E3258, LookUP_Table!$A$6:$D$7, 2, FALSE)</f>
        <v>Primary</v>
      </c>
      <c r="G3258" t="str">
        <f>IFERROR(VLOOKUP(E3258, LookUP_Table!$A$1:$B$4, 2, FALSE), "")</f>
        <v>Primary</v>
      </c>
      <c r="H3258">
        <v>1</v>
      </c>
      <c r="I3258">
        <v>20</v>
      </c>
      <c r="J3258" t="str">
        <f t="shared" si="300"/>
        <v>Smoker</v>
      </c>
      <c r="K3258">
        <v>1</v>
      </c>
      <c r="L3258">
        <v>0</v>
      </c>
      <c r="M3258">
        <v>1</v>
      </c>
      <c r="N3258">
        <v>0</v>
      </c>
      <c r="O3258">
        <v>281</v>
      </c>
      <c r="P3258" t="str">
        <f t="shared" si="301"/>
        <v>High</v>
      </c>
      <c r="Q3258">
        <v>192</v>
      </c>
      <c r="R3258">
        <v>105</v>
      </c>
      <c r="S3258">
        <v>27.04</v>
      </c>
      <c r="T3258" t="str">
        <f t="shared" si="302"/>
        <v>Overweight</v>
      </c>
      <c r="U3258">
        <v>64</v>
      </c>
      <c r="V3258">
        <v>75</v>
      </c>
      <c r="W3258" t="str">
        <f t="shared" si="305"/>
        <v>Normal</v>
      </c>
      <c r="X3258">
        <v>0</v>
      </c>
    </row>
    <row r="3259" spans="1:24" ht="14.5" thickBot="1" x14ac:dyDescent="0.35">
      <c r="A3259">
        <v>1</v>
      </c>
      <c r="B3259" t="str">
        <f t="shared" si="303"/>
        <v>Male</v>
      </c>
      <c r="C3259" s="8">
        <v>57</v>
      </c>
      <c r="D3259" t="str">
        <f t="shared" si="304"/>
        <v>Senior</v>
      </c>
      <c r="E3259">
        <v>3</v>
      </c>
      <c r="F3259" t="str">
        <f>HLOOKUP(E3259, LookUP_Table!$A$6:$D$7, 2, FALSE)</f>
        <v>Graduate</v>
      </c>
      <c r="G3259" t="str">
        <f>IFERROR(VLOOKUP(E3259, LookUP_Table!$A$1:$B$4, 2, FALSE), "")</f>
        <v>Graduate</v>
      </c>
      <c r="H3259">
        <v>0</v>
      </c>
      <c r="I3259">
        <v>0</v>
      </c>
      <c r="J3259" t="str">
        <f t="shared" si="300"/>
        <v>Non-Smoker</v>
      </c>
      <c r="K3259">
        <v>0</v>
      </c>
      <c r="L3259">
        <v>0</v>
      </c>
      <c r="M3259">
        <v>0</v>
      </c>
      <c r="N3259">
        <v>0</v>
      </c>
      <c r="O3259">
        <v>272</v>
      </c>
      <c r="P3259" t="str">
        <f t="shared" si="301"/>
        <v>High</v>
      </c>
      <c r="Q3259">
        <v>109</v>
      </c>
      <c r="R3259">
        <v>77</v>
      </c>
      <c r="S3259">
        <v>25.57</v>
      </c>
      <c r="T3259" t="str">
        <f t="shared" si="302"/>
        <v>Overweight</v>
      </c>
      <c r="U3259">
        <v>75</v>
      </c>
      <c r="V3259">
        <v>89</v>
      </c>
      <c r="W3259" t="str">
        <f t="shared" si="305"/>
        <v>Normal</v>
      </c>
      <c r="X3259">
        <v>0</v>
      </c>
    </row>
    <row r="3260" spans="1:24" ht="14.5" thickBot="1" x14ac:dyDescent="0.35">
      <c r="A3260">
        <v>0</v>
      </c>
      <c r="B3260" t="str">
        <f t="shared" si="303"/>
        <v>Female</v>
      </c>
      <c r="C3260" s="8">
        <v>57</v>
      </c>
      <c r="D3260" t="str">
        <f t="shared" si="304"/>
        <v>Senior</v>
      </c>
      <c r="E3260">
        <v>4</v>
      </c>
      <c r="F3260" t="str">
        <f>HLOOKUP(E3260, LookUP_Table!$A$6:$D$7, 2, FALSE)</f>
        <v>Post Graduate</v>
      </c>
      <c r="G3260" t="str">
        <f>IFERROR(VLOOKUP(E3260, LookUP_Table!$A$1:$B$4, 2, FALSE), "")</f>
        <v>Post Graduate</v>
      </c>
      <c r="H3260">
        <v>0</v>
      </c>
      <c r="I3260">
        <v>0</v>
      </c>
      <c r="J3260" t="str">
        <f t="shared" si="300"/>
        <v>Non-Smoker</v>
      </c>
      <c r="K3260">
        <v>0</v>
      </c>
      <c r="L3260">
        <v>0</v>
      </c>
      <c r="M3260">
        <v>1</v>
      </c>
      <c r="N3260">
        <v>0</v>
      </c>
      <c r="O3260">
        <v>328</v>
      </c>
      <c r="P3260" t="str">
        <f t="shared" si="301"/>
        <v>High</v>
      </c>
      <c r="Q3260">
        <v>181</v>
      </c>
      <c r="R3260">
        <v>112.5</v>
      </c>
      <c r="S3260">
        <v>27.05</v>
      </c>
      <c r="T3260" t="str">
        <f t="shared" si="302"/>
        <v>Overweight</v>
      </c>
      <c r="U3260">
        <v>85</v>
      </c>
      <c r="V3260">
        <v>94</v>
      </c>
      <c r="W3260" t="str">
        <f t="shared" si="305"/>
        <v>Normal</v>
      </c>
      <c r="X3260">
        <v>1</v>
      </c>
    </row>
    <row r="3261" spans="1:24" ht="14.5" thickBot="1" x14ac:dyDescent="0.35">
      <c r="A3261">
        <v>0</v>
      </c>
      <c r="B3261" t="str">
        <f t="shared" si="303"/>
        <v>Female</v>
      </c>
      <c r="C3261" s="8">
        <v>57</v>
      </c>
      <c r="D3261" t="str">
        <f t="shared" si="304"/>
        <v>Senior</v>
      </c>
      <c r="E3261">
        <v>1</v>
      </c>
      <c r="F3261" t="str">
        <f>HLOOKUP(E3261, LookUP_Table!$A$6:$D$7, 2, FALSE)</f>
        <v>Primary</v>
      </c>
      <c r="G3261" t="str">
        <f>IFERROR(VLOOKUP(E3261, LookUP_Table!$A$1:$B$4, 2, FALSE), "")</f>
        <v>Primary</v>
      </c>
      <c r="H3261">
        <v>1</v>
      </c>
      <c r="I3261">
        <v>1</v>
      </c>
      <c r="J3261" t="str">
        <f t="shared" si="300"/>
        <v>Smoker</v>
      </c>
      <c r="K3261">
        <v>0</v>
      </c>
      <c r="L3261">
        <v>0</v>
      </c>
      <c r="M3261">
        <v>0</v>
      </c>
      <c r="N3261">
        <v>0</v>
      </c>
      <c r="O3261">
        <v>240</v>
      </c>
      <c r="P3261" t="str">
        <f t="shared" si="301"/>
        <v>Normal</v>
      </c>
      <c r="Q3261">
        <v>142</v>
      </c>
      <c r="R3261">
        <v>85</v>
      </c>
      <c r="S3261">
        <v>22.55</v>
      </c>
      <c r="T3261" t="str">
        <f t="shared" si="302"/>
        <v>Normal</v>
      </c>
      <c r="U3261">
        <v>80</v>
      </c>
      <c r="V3261">
        <v>77</v>
      </c>
      <c r="W3261" t="str">
        <f t="shared" si="305"/>
        <v>Normal</v>
      </c>
      <c r="X3261">
        <v>0</v>
      </c>
    </row>
    <row r="3262" spans="1:24" ht="14.5" thickBot="1" x14ac:dyDescent="0.35">
      <c r="A3262">
        <v>1</v>
      </c>
      <c r="B3262" t="str">
        <f t="shared" si="303"/>
        <v>Male</v>
      </c>
      <c r="C3262" s="8">
        <v>57</v>
      </c>
      <c r="D3262" t="str">
        <f t="shared" si="304"/>
        <v>Senior</v>
      </c>
      <c r="E3262">
        <v>1</v>
      </c>
      <c r="F3262" t="str">
        <f>HLOOKUP(E3262, LookUP_Table!$A$6:$D$7, 2, FALSE)</f>
        <v>Primary</v>
      </c>
      <c r="G3262" t="str">
        <f>IFERROR(VLOOKUP(E3262, LookUP_Table!$A$1:$B$4, 2, FALSE), "")</f>
        <v>Primary</v>
      </c>
      <c r="H3262">
        <v>1</v>
      </c>
      <c r="I3262">
        <v>20</v>
      </c>
      <c r="J3262" t="str">
        <f t="shared" si="300"/>
        <v>Smoker</v>
      </c>
      <c r="K3262">
        <v>0</v>
      </c>
      <c r="L3262">
        <v>0</v>
      </c>
      <c r="M3262">
        <v>0</v>
      </c>
      <c r="N3262">
        <v>0</v>
      </c>
      <c r="O3262">
        <v>198</v>
      </c>
      <c r="P3262" t="str">
        <f t="shared" si="301"/>
        <v>Normal</v>
      </c>
      <c r="Q3262">
        <v>128</v>
      </c>
      <c r="R3262">
        <v>85</v>
      </c>
      <c r="S3262">
        <v>28.18</v>
      </c>
      <c r="T3262" t="str">
        <f t="shared" si="302"/>
        <v>Overweight</v>
      </c>
      <c r="U3262">
        <v>85</v>
      </c>
      <c r="V3262">
        <v>99</v>
      </c>
      <c r="W3262" t="str">
        <f t="shared" si="305"/>
        <v>Normal</v>
      </c>
      <c r="X3262">
        <v>0</v>
      </c>
    </row>
    <row r="3263" spans="1:24" ht="14.5" thickBot="1" x14ac:dyDescent="0.35">
      <c r="A3263">
        <v>0</v>
      </c>
      <c r="B3263" t="str">
        <f t="shared" si="303"/>
        <v>Female</v>
      </c>
      <c r="C3263" s="8">
        <v>57</v>
      </c>
      <c r="D3263" t="str">
        <f t="shared" si="304"/>
        <v>Senior</v>
      </c>
      <c r="E3263">
        <v>1</v>
      </c>
      <c r="F3263" t="str">
        <f>HLOOKUP(E3263, LookUP_Table!$A$6:$D$7, 2, FALSE)</f>
        <v>Primary</v>
      </c>
      <c r="G3263" t="str">
        <f>IFERROR(VLOOKUP(E3263, LookUP_Table!$A$1:$B$4, 2, FALSE), "")</f>
        <v>Primary</v>
      </c>
      <c r="H3263">
        <v>0</v>
      </c>
      <c r="I3263">
        <v>0</v>
      </c>
      <c r="J3263" t="str">
        <f t="shared" si="300"/>
        <v>Non-Smoker</v>
      </c>
      <c r="K3263">
        <v>0</v>
      </c>
      <c r="L3263">
        <v>0</v>
      </c>
      <c r="M3263">
        <v>0</v>
      </c>
      <c r="N3263">
        <v>0</v>
      </c>
      <c r="O3263">
        <v>273</v>
      </c>
      <c r="P3263" t="str">
        <f t="shared" si="301"/>
        <v>High</v>
      </c>
      <c r="Q3263">
        <v>131</v>
      </c>
      <c r="R3263">
        <v>84</v>
      </c>
      <c r="S3263">
        <v>22.99</v>
      </c>
      <c r="T3263" t="str">
        <f t="shared" si="302"/>
        <v>Normal</v>
      </c>
      <c r="U3263">
        <v>90</v>
      </c>
      <c r="V3263">
        <v>76</v>
      </c>
      <c r="W3263" t="str">
        <f t="shared" si="305"/>
        <v>Normal</v>
      </c>
      <c r="X3263">
        <v>0</v>
      </c>
    </row>
    <row r="3264" spans="1:24" ht="14.5" thickBot="1" x14ac:dyDescent="0.35">
      <c r="A3264">
        <v>1</v>
      </c>
      <c r="B3264" t="str">
        <f t="shared" si="303"/>
        <v>Male</v>
      </c>
      <c r="C3264" s="8">
        <v>57</v>
      </c>
      <c r="D3264" t="str">
        <f t="shared" si="304"/>
        <v>Senior</v>
      </c>
      <c r="E3264">
        <v>1</v>
      </c>
      <c r="F3264" t="str">
        <f>HLOOKUP(E3264, LookUP_Table!$A$6:$D$7, 2, FALSE)</f>
        <v>Primary</v>
      </c>
      <c r="G3264" t="str">
        <f>IFERROR(VLOOKUP(E3264, LookUP_Table!$A$1:$B$4, 2, FALSE), "")</f>
        <v>Primary</v>
      </c>
      <c r="H3264">
        <v>1</v>
      </c>
      <c r="I3264">
        <v>20</v>
      </c>
      <c r="J3264" t="str">
        <f t="shared" si="300"/>
        <v>Smoker</v>
      </c>
      <c r="K3264">
        <v>0</v>
      </c>
      <c r="L3264">
        <v>0</v>
      </c>
      <c r="M3264">
        <v>1</v>
      </c>
      <c r="N3264">
        <v>0</v>
      </c>
      <c r="O3264">
        <v>235</v>
      </c>
      <c r="P3264" t="str">
        <f t="shared" si="301"/>
        <v>Normal</v>
      </c>
      <c r="Q3264">
        <v>150</v>
      </c>
      <c r="R3264">
        <v>95.5</v>
      </c>
      <c r="S3264">
        <v>27.56</v>
      </c>
      <c r="T3264" t="str">
        <f t="shared" si="302"/>
        <v>Overweight</v>
      </c>
      <c r="U3264">
        <v>78</v>
      </c>
      <c r="V3264">
        <v>73</v>
      </c>
      <c r="W3264" t="str">
        <f t="shared" si="305"/>
        <v>Normal</v>
      </c>
      <c r="X3264">
        <v>0</v>
      </c>
    </row>
    <row r="3265" spans="1:24" ht="14.5" thickBot="1" x14ac:dyDescent="0.35">
      <c r="A3265">
        <v>1</v>
      </c>
      <c r="B3265" t="str">
        <f t="shared" si="303"/>
        <v>Male</v>
      </c>
      <c r="C3265" s="8">
        <v>57</v>
      </c>
      <c r="D3265" t="str">
        <f t="shared" si="304"/>
        <v>Senior</v>
      </c>
      <c r="E3265">
        <v>1</v>
      </c>
      <c r="F3265" t="str">
        <f>HLOOKUP(E3265, LookUP_Table!$A$6:$D$7, 2, FALSE)</f>
        <v>Primary</v>
      </c>
      <c r="G3265" t="str">
        <f>IFERROR(VLOOKUP(E3265, LookUP_Table!$A$1:$B$4, 2, FALSE), "")</f>
        <v>Primary</v>
      </c>
      <c r="H3265">
        <v>0</v>
      </c>
      <c r="I3265">
        <v>0</v>
      </c>
      <c r="J3265" t="str">
        <f t="shared" si="300"/>
        <v>Non-Smoker</v>
      </c>
      <c r="K3265">
        <v>0</v>
      </c>
      <c r="L3265">
        <v>0</v>
      </c>
      <c r="M3265">
        <v>0</v>
      </c>
      <c r="N3265">
        <v>1</v>
      </c>
      <c r="O3265">
        <v>300</v>
      </c>
      <c r="P3265" t="str">
        <f t="shared" si="301"/>
        <v>High</v>
      </c>
      <c r="Q3265">
        <v>121</v>
      </c>
      <c r="R3265">
        <v>74</v>
      </c>
      <c r="S3265">
        <v>28.09</v>
      </c>
      <c r="T3265" t="str">
        <f t="shared" si="302"/>
        <v>Overweight</v>
      </c>
      <c r="U3265">
        <v>80</v>
      </c>
      <c r="V3265">
        <v>155</v>
      </c>
      <c r="W3265" t="str">
        <f t="shared" si="305"/>
        <v>Diabetes</v>
      </c>
      <c r="X3265">
        <v>1</v>
      </c>
    </row>
    <row r="3266" spans="1:24" ht="14.5" thickBot="1" x14ac:dyDescent="0.35">
      <c r="A3266">
        <v>0</v>
      </c>
      <c r="B3266" t="str">
        <f t="shared" si="303"/>
        <v>Female</v>
      </c>
      <c r="C3266" s="8">
        <v>57</v>
      </c>
      <c r="D3266" t="str">
        <f t="shared" si="304"/>
        <v>Senior</v>
      </c>
      <c r="E3266">
        <v>2</v>
      </c>
      <c r="F3266" t="str">
        <f>HLOOKUP(E3266, LookUP_Table!$A$6:$D$7, 2, FALSE)</f>
        <v>Secondary</v>
      </c>
      <c r="G3266" t="str">
        <f>IFERROR(VLOOKUP(E3266, LookUP_Table!$A$1:$B$4, 2, FALSE), "")</f>
        <v>Secondary</v>
      </c>
      <c r="H3266">
        <v>0</v>
      </c>
      <c r="I3266">
        <v>0</v>
      </c>
      <c r="J3266" t="str">
        <f t="shared" ref="J3266:J3329" si="306">IF(I3266&gt;0,"Smoker","Non-Smoker")</f>
        <v>Non-Smoker</v>
      </c>
      <c r="K3266">
        <v>0</v>
      </c>
      <c r="L3266">
        <v>0</v>
      </c>
      <c r="M3266">
        <v>0</v>
      </c>
      <c r="N3266">
        <v>0</v>
      </c>
      <c r="O3266">
        <v>199</v>
      </c>
      <c r="P3266" t="str">
        <f t="shared" ref="P3266:P3329" si="307">IF(O3266&gt;240,"High","Normal")</f>
        <v>Normal</v>
      </c>
      <c r="Q3266">
        <v>117</v>
      </c>
      <c r="R3266">
        <v>83</v>
      </c>
      <c r="S3266">
        <v>24.76</v>
      </c>
      <c r="T3266" t="str">
        <f t="shared" ref="T3266:T3329" si="308">IF(S3266&lt;18.5,"Underweight",
IF(S3266&lt;25,"Normal",
IF(S3266&lt;30,"Overweight","Obese")))</f>
        <v>Normal</v>
      </c>
      <c r="U3266">
        <v>95</v>
      </c>
      <c r="V3266">
        <v>82</v>
      </c>
      <c r="W3266" t="str">
        <f t="shared" si="305"/>
        <v>Normal</v>
      </c>
      <c r="X3266">
        <v>0</v>
      </c>
    </row>
    <row r="3267" spans="1:24" ht="14.5" thickBot="1" x14ac:dyDescent="0.35">
      <c r="A3267">
        <v>1</v>
      </c>
      <c r="B3267" t="str">
        <f t="shared" ref="B3267:B3330" si="309">IF(A3267=0,"Female","Male")</f>
        <v>Male</v>
      </c>
      <c r="C3267" s="8">
        <v>57</v>
      </c>
      <c r="D3267" t="str">
        <f t="shared" ref="D3267:D3330" si="310">IF(C3267&lt;40,"Young",
IF(C3267&lt;55,"Middle Age","Senior"))</f>
        <v>Senior</v>
      </c>
      <c r="E3267">
        <v>1</v>
      </c>
      <c r="F3267" t="str">
        <f>HLOOKUP(E3267, LookUP_Table!$A$6:$D$7, 2, FALSE)</f>
        <v>Primary</v>
      </c>
      <c r="G3267" t="str">
        <f>IFERROR(VLOOKUP(E3267, LookUP_Table!$A$1:$B$4, 2, FALSE), "")</f>
        <v>Primary</v>
      </c>
      <c r="H3267">
        <v>1</v>
      </c>
      <c r="I3267">
        <v>9</v>
      </c>
      <c r="J3267" t="str">
        <f t="shared" si="306"/>
        <v>Smoker</v>
      </c>
      <c r="K3267">
        <v>0</v>
      </c>
      <c r="L3267">
        <v>0</v>
      </c>
      <c r="M3267">
        <v>0</v>
      </c>
      <c r="N3267">
        <v>0</v>
      </c>
      <c r="O3267">
        <v>223</v>
      </c>
      <c r="P3267" t="str">
        <f t="shared" si="307"/>
        <v>Normal</v>
      </c>
      <c r="Q3267">
        <v>107.5</v>
      </c>
      <c r="R3267">
        <v>72.5</v>
      </c>
      <c r="S3267">
        <v>24.74</v>
      </c>
      <c r="T3267" t="str">
        <f t="shared" si="308"/>
        <v>Normal</v>
      </c>
      <c r="U3267">
        <v>62</v>
      </c>
      <c r="V3267">
        <v>103</v>
      </c>
      <c r="W3267" t="str">
        <f t="shared" ref="W3267:W3330" si="311">IF(V3267 &lt; 100, "Normal", IF(V3267 &lt;= 125, "Prediabetes", "Diabetes"))</f>
        <v>Prediabetes</v>
      </c>
      <c r="X3267">
        <v>0</v>
      </c>
    </row>
    <row r="3268" spans="1:24" ht="14.5" thickBot="1" x14ac:dyDescent="0.35">
      <c r="A3268">
        <v>0</v>
      </c>
      <c r="B3268" t="str">
        <f t="shared" si="309"/>
        <v>Female</v>
      </c>
      <c r="C3268" s="8">
        <v>57</v>
      </c>
      <c r="D3268" t="str">
        <f t="shared" si="310"/>
        <v>Senior</v>
      </c>
      <c r="E3268">
        <v>1</v>
      </c>
      <c r="F3268" t="str">
        <f>HLOOKUP(E3268, LookUP_Table!$A$6:$D$7, 2, FALSE)</f>
        <v>Primary</v>
      </c>
      <c r="G3268" t="str">
        <f>IFERROR(VLOOKUP(E3268, LookUP_Table!$A$1:$B$4, 2, FALSE), "")</f>
        <v>Primary</v>
      </c>
      <c r="H3268">
        <v>0</v>
      </c>
      <c r="I3268">
        <v>0</v>
      </c>
      <c r="J3268" t="str">
        <f t="shared" si="306"/>
        <v>Non-Smoker</v>
      </c>
      <c r="K3268">
        <v>0</v>
      </c>
      <c r="L3268">
        <v>0</v>
      </c>
      <c r="M3268">
        <v>1</v>
      </c>
      <c r="N3268">
        <v>0</v>
      </c>
      <c r="O3268">
        <v>254</v>
      </c>
      <c r="P3268" t="str">
        <f t="shared" si="307"/>
        <v>High</v>
      </c>
      <c r="Q3268">
        <v>182.5</v>
      </c>
      <c r="R3268">
        <v>97</v>
      </c>
      <c r="S3268">
        <v>27.38</v>
      </c>
      <c r="T3268" t="str">
        <f t="shared" si="308"/>
        <v>Overweight</v>
      </c>
      <c r="U3268">
        <v>77</v>
      </c>
      <c r="V3268">
        <v>72</v>
      </c>
      <c r="W3268" t="str">
        <f t="shared" si="311"/>
        <v>Normal</v>
      </c>
      <c r="X3268">
        <v>0</v>
      </c>
    </row>
    <row r="3269" spans="1:24" ht="14.5" thickBot="1" x14ac:dyDescent="0.35">
      <c r="A3269">
        <v>0</v>
      </c>
      <c r="B3269" t="str">
        <f t="shared" si="309"/>
        <v>Female</v>
      </c>
      <c r="C3269" s="8">
        <v>57</v>
      </c>
      <c r="D3269" t="str">
        <f t="shared" si="310"/>
        <v>Senior</v>
      </c>
      <c r="E3269">
        <v>1</v>
      </c>
      <c r="F3269" t="str">
        <f>HLOOKUP(E3269, LookUP_Table!$A$6:$D$7, 2, FALSE)</f>
        <v>Primary</v>
      </c>
      <c r="G3269" t="str">
        <f>IFERROR(VLOOKUP(E3269, LookUP_Table!$A$1:$B$4, 2, FALSE), "")</f>
        <v>Primary</v>
      </c>
      <c r="H3269">
        <v>0</v>
      </c>
      <c r="I3269">
        <v>0</v>
      </c>
      <c r="J3269" t="str">
        <f t="shared" si="306"/>
        <v>Non-Smoker</v>
      </c>
      <c r="K3269">
        <v>0</v>
      </c>
      <c r="L3269">
        <v>0</v>
      </c>
      <c r="M3269">
        <v>1</v>
      </c>
      <c r="N3269">
        <v>0</v>
      </c>
      <c r="O3269">
        <v>320</v>
      </c>
      <c r="P3269" t="str">
        <f t="shared" si="307"/>
        <v>High</v>
      </c>
      <c r="Q3269">
        <v>125</v>
      </c>
      <c r="R3269">
        <v>72.5</v>
      </c>
      <c r="S3269">
        <v>25.27</v>
      </c>
      <c r="T3269" t="str">
        <f t="shared" si="308"/>
        <v>Overweight</v>
      </c>
      <c r="U3269">
        <v>83</v>
      </c>
      <c r="V3269">
        <v>82</v>
      </c>
      <c r="W3269" t="str">
        <f t="shared" si="311"/>
        <v>Normal</v>
      </c>
      <c r="X3269">
        <v>0</v>
      </c>
    </row>
    <row r="3270" spans="1:24" ht="14.5" thickBot="1" x14ac:dyDescent="0.35">
      <c r="A3270">
        <v>0</v>
      </c>
      <c r="B3270" t="str">
        <f t="shared" si="309"/>
        <v>Female</v>
      </c>
      <c r="C3270" s="8">
        <v>57</v>
      </c>
      <c r="D3270" t="str">
        <f t="shared" si="310"/>
        <v>Senior</v>
      </c>
      <c r="E3270">
        <v>1</v>
      </c>
      <c r="F3270" t="str">
        <f>HLOOKUP(E3270, LookUP_Table!$A$6:$D$7, 2, FALSE)</f>
        <v>Primary</v>
      </c>
      <c r="G3270" t="str">
        <f>IFERROR(VLOOKUP(E3270, LookUP_Table!$A$1:$B$4, 2, FALSE), "")</f>
        <v>Primary</v>
      </c>
      <c r="H3270">
        <v>0</v>
      </c>
      <c r="I3270">
        <v>0</v>
      </c>
      <c r="J3270" t="str">
        <f t="shared" si="306"/>
        <v>Non-Smoker</v>
      </c>
      <c r="K3270">
        <v>0</v>
      </c>
      <c r="L3270">
        <v>0</v>
      </c>
      <c r="M3270">
        <v>1</v>
      </c>
      <c r="N3270">
        <v>0</v>
      </c>
      <c r="O3270">
        <v>382</v>
      </c>
      <c r="P3270" t="str">
        <f t="shared" si="307"/>
        <v>High</v>
      </c>
      <c r="Q3270">
        <v>133</v>
      </c>
      <c r="R3270">
        <v>77</v>
      </c>
      <c r="S3270">
        <v>24.27</v>
      </c>
      <c r="T3270" t="str">
        <f t="shared" si="308"/>
        <v>Normal</v>
      </c>
      <c r="U3270">
        <v>75</v>
      </c>
      <c r="V3270">
        <v>81</v>
      </c>
      <c r="W3270" t="str">
        <f t="shared" si="311"/>
        <v>Normal</v>
      </c>
      <c r="X3270">
        <v>0</v>
      </c>
    </row>
    <row r="3271" spans="1:24" ht="14.5" thickBot="1" x14ac:dyDescent="0.35">
      <c r="A3271">
        <v>0</v>
      </c>
      <c r="B3271" t="str">
        <f t="shared" si="309"/>
        <v>Female</v>
      </c>
      <c r="C3271" s="8">
        <v>57</v>
      </c>
      <c r="D3271" t="str">
        <f t="shared" si="310"/>
        <v>Senior</v>
      </c>
      <c r="E3271">
        <v>2</v>
      </c>
      <c r="F3271" t="str">
        <f>HLOOKUP(E3271, LookUP_Table!$A$6:$D$7, 2, FALSE)</f>
        <v>Secondary</v>
      </c>
      <c r="G3271" t="str">
        <f>IFERROR(VLOOKUP(E3271, LookUP_Table!$A$1:$B$4, 2, FALSE), "")</f>
        <v>Secondary</v>
      </c>
      <c r="H3271">
        <v>0</v>
      </c>
      <c r="I3271">
        <v>0</v>
      </c>
      <c r="J3271" t="str">
        <f t="shared" si="306"/>
        <v>Non-Smoker</v>
      </c>
      <c r="K3271">
        <v>1</v>
      </c>
      <c r="L3271">
        <v>0</v>
      </c>
      <c r="M3271">
        <v>1</v>
      </c>
      <c r="N3271">
        <v>1</v>
      </c>
      <c r="O3271">
        <v>318</v>
      </c>
      <c r="P3271" t="str">
        <f t="shared" si="307"/>
        <v>High</v>
      </c>
      <c r="Q3271">
        <v>161</v>
      </c>
      <c r="R3271">
        <v>90</v>
      </c>
      <c r="S3271">
        <v>38.11</v>
      </c>
      <c r="T3271" t="str">
        <f t="shared" si="308"/>
        <v>Obese</v>
      </c>
      <c r="U3271">
        <v>68</v>
      </c>
      <c r="V3271">
        <v>112</v>
      </c>
      <c r="W3271" t="str">
        <f t="shared" si="311"/>
        <v>Prediabetes</v>
      </c>
      <c r="X3271">
        <v>0</v>
      </c>
    </row>
    <row r="3272" spans="1:24" ht="14.5" thickBot="1" x14ac:dyDescent="0.35">
      <c r="A3272">
        <v>1</v>
      </c>
      <c r="B3272" t="str">
        <f t="shared" si="309"/>
        <v>Male</v>
      </c>
      <c r="C3272" s="8">
        <v>57</v>
      </c>
      <c r="D3272" t="str">
        <f t="shared" si="310"/>
        <v>Senior</v>
      </c>
      <c r="E3272">
        <v>1</v>
      </c>
      <c r="F3272" t="str">
        <f>HLOOKUP(E3272, LookUP_Table!$A$6:$D$7, 2, FALSE)</f>
        <v>Primary</v>
      </c>
      <c r="G3272" t="str">
        <f>IFERROR(VLOOKUP(E3272, LookUP_Table!$A$1:$B$4, 2, FALSE), "")</f>
        <v>Primary</v>
      </c>
      <c r="H3272">
        <v>0</v>
      </c>
      <c r="I3272">
        <v>0</v>
      </c>
      <c r="J3272" t="str">
        <f t="shared" si="306"/>
        <v>Non-Smoker</v>
      </c>
      <c r="K3272">
        <v>0</v>
      </c>
      <c r="L3272">
        <v>0</v>
      </c>
      <c r="M3272">
        <v>0</v>
      </c>
      <c r="N3272">
        <v>0</v>
      </c>
      <c r="O3272">
        <v>207</v>
      </c>
      <c r="P3272" t="str">
        <f t="shared" si="307"/>
        <v>Normal</v>
      </c>
      <c r="Q3272">
        <v>111</v>
      </c>
      <c r="R3272">
        <v>80</v>
      </c>
      <c r="S3272">
        <v>37.15</v>
      </c>
      <c r="T3272" t="str">
        <f t="shared" si="308"/>
        <v>Obese</v>
      </c>
      <c r="U3272">
        <v>63</v>
      </c>
      <c r="V3272">
        <v>70</v>
      </c>
      <c r="W3272" t="str">
        <f t="shared" si="311"/>
        <v>Normal</v>
      </c>
      <c r="X3272">
        <v>0</v>
      </c>
    </row>
    <row r="3273" spans="1:24" ht="14.5" thickBot="1" x14ac:dyDescent="0.35">
      <c r="A3273">
        <v>0</v>
      </c>
      <c r="B3273" t="str">
        <f t="shared" si="309"/>
        <v>Female</v>
      </c>
      <c r="C3273" s="8">
        <v>57</v>
      </c>
      <c r="D3273" t="str">
        <f t="shared" si="310"/>
        <v>Senior</v>
      </c>
      <c r="E3273">
        <v>1</v>
      </c>
      <c r="F3273" t="str">
        <f>HLOOKUP(E3273, LookUP_Table!$A$6:$D$7, 2, FALSE)</f>
        <v>Primary</v>
      </c>
      <c r="G3273" t="str">
        <f>IFERROR(VLOOKUP(E3273, LookUP_Table!$A$1:$B$4, 2, FALSE), "")</f>
        <v>Primary</v>
      </c>
      <c r="H3273">
        <v>1</v>
      </c>
      <c r="I3273">
        <v>20</v>
      </c>
      <c r="J3273" t="str">
        <f t="shared" si="306"/>
        <v>Smoker</v>
      </c>
      <c r="K3273">
        <v>0</v>
      </c>
      <c r="L3273">
        <v>0</v>
      </c>
      <c r="M3273">
        <v>0</v>
      </c>
      <c r="N3273">
        <v>0</v>
      </c>
      <c r="O3273">
        <v>252</v>
      </c>
      <c r="P3273" t="str">
        <f t="shared" si="307"/>
        <v>High</v>
      </c>
      <c r="Q3273">
        <v>139</v>
      </c>
      <c r="R3273">
        <v>82</v>
      </c>
      <c r="S3273">
        <v>26.36</v>
      </c>
      <c r="T3273" t="str">
        <f t="shared" si="308"/>
        <v>Overweight</v>
      </c>
      <c r="U3273">
        <v>84</v>
      </c>
      <c r="V3273">
        <v>70</v>
      </c>
      <c r="W3273" t="str">
        <f t="shared" si="311"/>
        <v>Normal</v>
      </c>
      <c r="X3273">
        <v>1</v>
      </c>
    </row>
    <row r="3274" spans="1:24" ht="14.5" thickBot="1" x14ac:dyDescent="0.35">
      <c r="A3274">
        <v>0</v>
      </c>
      <c r="B3274" t="str">
        <f t="shared" si="309"/>
        <v>Female</v>
      </c>
      <c r="C3274" s="8">
        <v>57</v>
      </c>
      <c r="D3274" t="str">
        <f t="shared" si="310"/>
        <v>Senior</v>
      </c>
      <c r="E3274">
        <v>2</v>
      </c>
      <c r="F3274" t="str">
        <f>HLOOKUP(E3274, LookUP_Table!$A$6:$D$7, 2, FALSE)</f>
        <v>Secondary</v>
      </c>
      <c r="G3274" t="str">
        <f>IFERROR(VLOOKUP(E3274, LookUP_Table!$A$1:$B$4, 2, FALSE), "")</f>
        <v>Secondary</v>
      </c>
      <c r="H3274">
        <v>0</v>
      </c>
      <c r="I3274">
        <v>0</v>
      </c>
      <c r="J3274" t="str">
        <f t="shared" si="306"/>
        <v>Non-Smoker</v>
      </c>
      <c r="K3274">
        <v>0</v>
      </c>
      <c r="L3274">
        <v>0</v>
      </c>
      <c r="M3274">
        <v>0</v>
      </c>
      <c r="N3274">
        <v>0</v>
      </c>
      <c r="O3274">
        <v>163</v>
      </c>
      <c r="P3274" t="str">
        <f t="shared" si="307"/>
        <v>Normal</v>
      </c>
      <c r="Q3274">
        <v>112</v>
      </c>
      <c r="R3274">
        <v>71</v>
      </c>
      <c r="S3274">
        <v>22.66</v>
      </c>
      <c r="T3274" t="str">
        <f t="shared" si="308"/>
        <v>Normal</v>
      </c>
      <c r="U3274">
        <v>70</v>
      </c>
      <c r="V3274">
        <v>78</v>
      </c>
      <c r="W3274" t="str">
        <f t="shared" si="311"/>
        <v>Normal</v>
      </c>
      <c r="X3274">
        <v>0</v>
      </c>
    </row>
    <row r="3275" spans="1:24" ht="14.5" thickBot="1" x14ac:dyDescent="0.35">
      <c r="A3275">
        <v>0</v>
      </c>
      <c r="B3275" t="str">
        <f t="shared" si="309"/>
        <v>Female</v>
      </c>
      <c r="C3275" s="8">
        <v>57</v>
      </c>
      <c r="D3275" t="str">
        <f t="shared" si="310"/>
        <v>Senior</v>
      </c>
      <c r="E3275">
        <v>1</v>
      </c>
      <c r="F3275" t="str">
        <f>HLOOKUP(E3275, LookUP_Table!$A$6:$D$7, 2, FALSE)</f>
        <v>Primary</v>
      </c>
      <c r="G3275" t="str">
        <f>IFERROR(VLOOKUP(E3275, LookUP_Table!$A$1:$B$4, 2, FALSE), "")</f>
        <v>Primary</v>
      </c>
      <c r="H3275">
        <v>1</v>
      </c>
      <c r="I3275">
        <v>20</v>
      </c>
      <c r="J3275" t="str">
        <f t="shared" si="306"/>
        <v>Smoker</v>
      </c>
      <c r="K3275">
        <v>0</v>
      </c>
      <c r="L3275">
        <v>0</v>
      </c>
      <c r="M3275">
        <v>0</v>
      </c>
      <c r="N3275">
        <v>0</v>
      </c>
      <c r="O3275">
        <v>174</v>
      </c>
      <c r="P3275" t="str">
        <f t="shared" si="307"/>
        <v>Normal</v>
      </c>
      <c r="Q3275">
        <v>120</v>
      </c>
      <c r="R3275">
        <v>62</v>
      </c>
      <c r="S3275">
        <v>25.13</v>
      </c>
      <c r="T3275" t="str">
        <f t="shared" si="308"/>
        <v>Overweight</v>
      </c>
      <c r="U3275">
        <v>95</v>
      </c>
      <c r="V3275">
        <v>77</v>
      </c>
      <c r="W3275" t="str">
        <f t="shared" si="311"/>
        <v>Normal</v>
      </c>
      <c r="X3275">
        <v>1</v>
      </c>
    </row>
    <row r="3276" spans="1:24" ht="14.5" thickBot="1" x14ac:dyDescent="0.35">
      <c r="A3276">
        <v>0</v>
      </c>
      <c r="B3276" t="str">
        <f t="shared" si="309"/>
        <v>Female</v>
      </c>
      <c r="C3276" s="8">
        <v>57</v>
      </c>
      <c r="D3276" t="str">
        <f t="shared" si="310"/>
        <v>Senior</v>
      </c>
      <c r="E3276">
        <v>1</v>
      </c>
      <c r="F3276" t="str">
        <f>HLOOKUP(E3276, LookUP_Table!$A$6:$D$7, 2, FALSE)</f>
        <v>Primary</v>
      </c>
      <c r="G3276" t="str">
        <f>IFERROR(VLOOKUP(E3276, LookUP_Table!$A$1:$B$4, 2, FALSE), "")</f>
        <v>Primary</v>
      </c>
      <c r="H3276">
        <v>1</v>
      </c>
      <c r="I3276">
        <v>43</v>
      </c>
      <c r="J3276" t="str">
        <f t="shared" si="306"/>
        <v>Smoker</v>
      </c>
      <c r="K3276">
        <v>0</v>
      </c>
      <c r="L3276">
        <v>0</v>
      </c>
      <c r="M3276">
        <v>1</v>
      </c>
      <c r="N3276">
        <v>0</v>
      </c>
      <c r="O3276">
        <v>283</v>
      </c>
      <c r="P3276" t="str">
        <f t="shared" si="307"/>
        <v>High</v>
      </c>
      <c r="Q3276">
        <v>207.5</v>
      </c>
      <c r="R3276">
        <v>118</v>
      </c>
      <c r="S3276">
        <v>38.61</v>
      </c>
      <c r="T3276" t="str">
        <f t="shared" si="308"/>
        <v>Obese</v>
      </c>
      <c r="U3276">
        <v>100</v>
      </c>
      <c r="V3276">
        <v>83</v>
      </c>
      <c r="W3276" t="str">
        <f t="shared" si="311"/>
        <v>Normal</v>
      </c>
      <c r="X3276">
        <v>1</v>
      </c>
    </row>
    <row r="3277" spans="1:24" ht="14.5" thickBot="1" x14ac:dyDescent="0.35">
      <c r="A3277">
        <v>0</v>
      </c>
      <c r="B3277" t="str">
        <f t="shared" si="309"/>
        <v>Female</v>
      </c>
      <c r="C3277" s="8">
        <v>57</v>
      </c>
      <c r="D3277" t="str">
        <f t="shared" si="310"/>
        <v>Senior</v>
      </c>
      <c r="E3277">
        <v>1</v>
      </c>
      <c r="F3277" t="str">
        <f>HLOOKUP(E3277, LookUP_Table!$A$6:$D$7, 2, FALSE)</f>
        <v>Primary</v>
      </c>
      <c r="G3277" t="str">
        <f>IFERROR(VLOOKUP(E3277, LookUP_Table!$A$1:$B$4, 2, FALSE), "")</f>
        <v>Primary</v>
      </c>
      <c r="H3277">
        <v>0</v>
      </c>
      <c r="I3277">
        <v>0</v>
      </c>
      <c r="J3277" t="str">
        <f t="shared" si="306"/>
        <v>Non-Smoker</v>
      </c>
      <c r="K3277">
        <v>1</v>
      </c>
      <c r="L3277">
        <v>0</v>
      </c>
      <c r="M3277">
        <v>1</v>
      </c>
      <c r="N3277">
        <v>0</v>
      </c>
      <c r="O3277">
        <v>432</v>
      </c>
      <c r="P3277" t="str">
        <f t="shared" si="307"/>
        <v>High</v>
      </c>
      <c r="Q3277">
        <v>153</v>
      </c>
      <c r="R3277">
        <v>85</v>
      </c>
      <c r="S3277">
        <v>26.13</v>
      </c>
      <c r="T3277" t="str">
        <f t="shared" si="308"/>
        <v>Overweight</v>
      </c>
      <c r="U3277">
        <v>98</v>
      </c>
      <c r="V3277">
        <v>75</v>
      </c>
      <c r="W3277" t="str">
        <f t="shared" si="311"/>
        <v>Normal</v>
      </c>
      <c r="X3277">
        <v>1</v>
      </c>
    </row>
    <row r="3278" spans="1:24" ht="14.5" thickBot="1" x14ac:dyDescent="0.35">
      <c r="A3278">
        <v>0</v>
      </c>
      <c r="B3278" t="str">
        <f t="shared" si="309"/>
        <v>Female</v>
      </c>
      <c r="C3278" s="8">
        <v>57</v>
      </c>
      <c r="D3278" t="str">
        <f t="shared" si="310"/>
        <v>Senior</v>
      </c>
      <c r="E3278">
        <v>2</v>
      </c>
      <c r="F3278" t="str">
        <f>HLOOKUP(E3278, LookUP_Table!$A$6:$D$7, 2, FALSE)</f>
        <v>Secondary</v>
      </c>
      <c r="G3278" t="str">
        <f>IFERROR(VLOOKUP(E3278, LookUP_Table!$A$1:$B$4, 2, FALSE), "")</f>
        <v>Secondary</v>
      </c>
      <c r="H3278">
        <v>0</v>
      </c>
      <c r="I3278">
        <v>0</v>
      </c>
      <c r="J3278" t="str">
        <f t="shared" si="306"/>
        <v>Non-Smoker</v>
      </c>
      <c r="K3278">
        <v>0</v>
      </c>
      <c r="L3278">
        <v>0</v>
      </c>
      <c r="M3278">
        <v>0</v>
      </c>
      <c r="N3278">
        <v>0</v>
      </c>
      <c r="O3278">
        <v>245</v>
      </c>
      <c r="P3278" t="str">
        <f t="shared" si="307"/>
        <v>High</v>
      </c>
      <c r="Q3278">
        <v>134</v>
      </c>
      <c r="R3278">
        <v>84</v>
      </c>
      <c r="S3278">
        <v>29.28</v>
      </c>
      <c r="T3278" t="str">
        <f t="shared" si="308"/>
        <v>Overweight</v>
      </c>
      <c r="U3278">
        <v>100</v>
      </c>
      <c r="V3278">
        <v>81.96365524402907</v>
      </c>
      <c r="W3278" t="str">
        <f t="shared" si="311"/>
        <v>Normal</v>
      </c>
      <c r="X3278">
        <v>0</v>
      </c>
    </row>
    <row r="3279" spans="1:24" ht="14.5" thickBot="1" x14ac:dyDescent="0.35">
      <c r="A3279">
        <v>0</v>
      </c>
      <c r="B3279" t="str">
        <f t="shared" si="309"/>
        <v>Female</v>
      </c>
      <c r="C3279" s="8">
        <v>57</v>
      </c>
      <c r="D3279" t="str">
        <f t="shared" si="310"/>
        <v>Senior</v>
      </c>
      <c r="E3279">
        <v>1</v>
      </c>
      <c r="F3279" t="str">
        <f>HLOOKUP(E3279, LookUP_Table!$A$6:$D$7, 2, FALSE)</f>
        <v>Primary</v>
      </c>
      <c r="G3279" t="str">
        <f>IFERROR(VLOOKUP(E3279, LookUP_Table!$A$1:$B$4, 2, FALSE), "")</f>
        <v>Primary</v>
      </c>
      <c r="H3279">
        <v>1</v>
      </c>
      <c r="I3279">
        <v>20</v>
      </c>
      <c r="J3279" t="str">
        <f t="shared" si="306"/>
        <v>Smoker</v>
      </c>
      <c r="K3279">
        <v>0</v>
      </c>
      <c r="L3279">
        <v>0</v>
      </c>
      <c r="M3279">
        <v>1</v>
      </c>
      <c r="N3279">
        <v>0</v>
      </c>
      <c r="O3279">
        <v>246</v>
      </c>
      <c r="P3279" t="str">
        <f t="shared" si="307"/>
        <v>High</v>
      </c>
      <c r="Q3279">
        <v>160</v>
      </c>
      <c r="R3279">
        <v>92.5</v>
      </c>
      <c r="S3279">
        <v>30.74</v>
      </c>
      <c r="T3279" t="str">
        <f t="shared" si="308"/>
        <v>Obese</v>
      </c>
      <c r="U3279">
        <v>84</v>
      </c>
      <c r="V3279">
        <v>76</v>
      </c>
      <c r="W3279" t="str">
        <f t="shared" si="311"/>
        <v>Normal</v>
      </c>
      <c r="X3279">
        <v>0</v>
      </c>
    </row>
    <row r="3280" spans="1:24" ht="14.5" thickBot="1" x14ac:dyDescent="0.35">
      <c r="A3280">
        <v>0</v>
      </c>
      <c r="B3280" t="str">
        <f t="shared" si="309"/>
        <v>Female</v>
      </c>
      <c r="C3280" s="8">
        <v>57</v>
      </c>
      <c r="D3280" t="str">
        <f t="shared" si="310"/>
        <v>Senior</v>
      </c>
      <c r="E3280">
        <v>1</v>
      </c>
      <c r="F3280" t="str">
        <f>HLOOKUP(E3280, LookUP_Table!$A$6:$D$7, 2, FALSE)</f>
        <v>Primary</v>
      </c>
      <c r="G3280" t="str">
        <f>IFERROR(VLOOKUP(E3280, LookUP_Table!$A$1:$B$4, 2, FALSE), "")</f>
        <v>Primary</v>
      </c>
      <c r="H3280">
        <v>1</v>
      </c>
      <c r="I3280">
        <v>9</v>
      </c>
      <c r="J3280" t="str">
        <f t="shared" si="306"/>
        <v>Smoker</v>
      </c>
      <c r="K3280">
        <v>0</v>
      </c>
      <c r="L3280">
        <v>0</v>
      </c>
      <c r="M3280">
        <v>0</v>
      </c>
      <c r="N3280">
        <v>0</v>
      </c>
      <c r="O3280">
        <v>229</v>
      </c>
      <c r="P3280" t="str">
        <f t="shared" si="307"/>
        <v>Normal</v>
      </c>
      <c r="Q3280">
        <v>115</v>
      </c>
      <c r="R3280">
        <v>69</v>
      </c>
      <c r="S3280">
        <v>24.43</v>
      </c>
      <c r="T3280" t="str">
        <f t="shared" si="308"/>
        <v>Normal</v>
      </c>
      <c r="U3280">
        <v>80</v>
      </c>
      <c r="V3280">
        <v>93</v>
      </c>
      <c r="W3280" t="str">
        <f t="shared" si="311"/>
        <v>Normal</v>
      </c>
      <c r="X3280">
        <v>0</v>
      </c>
    </row>
    <row r="3281" spans="1:24" ht="14.5" thickBot="1" x14ac:dyDescent="0.35">
      <c r="A3281">
        <v>1</v>
      </c>
      <c r="B3281" t="str">
        <f t="shared" si="309"/>
        <v>Male</v>
      </c>
      <c r="C3281" s="8">
        <v>57</v>
      </c>
      <c r="D3281" t="str">
        <f t="shared" si="310"/>
        <v>Senior</v>
      </c>
      <c r="E3281">
        <v>1</v>
      </c>
      <c r="F3281" t="str">
        <f>HLOOKUP(E3281, LookUP_Table!$A$6:$D$7, 2, FALSE)</f>
        <v>Primary</v>
      </c>
      <c r="G3281" t="str">
        <f>IFERROR(VLOOKUP(E3281, LookUP_Table!$A$1:$B$4, 2, FALSE), "")</f>
        <v>Primary</v>
      </c>
      <c r="H3281">
        <v>0</v>
      </c>
      <c r="I3281">
        <v>0</v>
      </c>
      <c r="J3281" t="str">
        <f t="shared" si="306"/>
        <v>Non-Smoker</v>
      </c>
      <c r="K3281">
        <v>0</v>
      </c>
      <c r="L3281">
        <v>0</v>
      </c>
      <c r="M3281">
        <v>1</v>
      </c>
      <c r="N3281">
        <v>0</v>
      </c>
      <c r="O3281">
        <v>287</v>
      </c>
      <c r="P3281" t="str">
        <f t="shared" si="307"/>
        <v>High</v>
      </c>
      <c r="Q3281">
        <v>149</v>
      </c>
      <c r="R3281">
        <v>86</v>
      </c>
      <c r="S3281">
        <v>26.33</v>
      </c>
      <c r="T3281" t="str">
        <f t="shared" si="308"/>
        <v>Overweight</v>
      </c>
      <c r="U3281">
        <v>62</v>
      </c>
      <c r="V3281">
        <v>65</v>
      </c>
      <c r="W3281" t="str">
        <f t="shared" si="311"/>
        <v>Normal</v>
      </c>
      <c r="X3281">
        <v>0</v>
      </c>
    </row>
    <row r="3282" spans="1:24" ht="14.5" thickBot="1" x14ac:dyDescent="0.35">
      <c r="A3282">
        <v>1</v>
      </c>
      <c r="B3282" t="str">
        <f t="shared" si="309"/>
        <v>Male</v>
      </c>
      <c r="C3282" s="8">
        <v>57</v>
      </c>
      <c r="D3282" t="str">
        <f t="shared" si="310"/>
        <v>Senior</v>
      </c>
      <c r="E3282">
        <v>4</v>
      </c>
      <c r="F3282" t="str">
        <f>HLOOKUP(E3282, LookUP_Table!$A$6:$D$7, 2, FALSE)</f>
        <v>Post Graduate</v>
      </c>
      <c r="G3282" t="str">
        <f>IFERROR(VLOOKUP(E3282, LookUP_Table!$A$1:$B$4, 2, FALSE), "")</f>
        <v>Post Graduate</v>
      </c>
      <c r="H3282">
        <v>0</v>
      </c>
      <c r="I3282">
        <v>0</v>
      </c>
      <c r="J3282" t="str">
        <f t="shared" si="306"/>
        <v>Non-Smoker</v>
      </c>
      <c r="K3282">
        <v>0</v>
      </c>
      <c r="L3282">
        <v>0</v>
      </c>
      <c r="M3282">
        <v>0</v>
      </c>
      <c r="N3282">
        <v>0</v>
      </c>
      <c r="O3282">
        <v>235</v>
      </c>
      <c r="P3282" t="str">
        <f t="shared" si="307"/>
        <v>Normal</v>
      </c>
      <c r="Q3282">
        <v>123</v>
      </c>
      <c r="R3282">
        <v>78</v>
      </c>
      <c r="S3282">
        <v>28.53</v>
      </c>
      <c r="T3282" t="str">
        <f t="shared" si="308"/>
        <v>Overweight</v>
      </c>
      <c r="U3282">
        <v>60</v>
      </c>
      <c r="V3282">
        <v>74</v>
      </c>
      <c r="W3282" t="str">
        <f t="shared" si="311"/>
        <v>Normal</v>
      </c>
      <c r="X3282">
        <v>0</v>
      </c>
    </row>
    <row r="3283" spans="1:24" ht="14.5" thickBot="1" x14ac:dyDescent="0.35">
      <c r="A3283">
        <v>0</v>
      </c>
      <c r="B3283" t="str">
        <f t="shared" si="309"/>
        <v>Female</v>
      </c>
      <c r="C3283" s="8">
        <v>57</v>
      </c>
      <c r="D3283" t="str">
        <f t="shared" si="310"/>
        <v>Senior</v>
      </c>
      <c r="E3283">
        <v>2</v>
      </c>
      <c r="F3283" t="str">
        <f>HLOOKUP(E3283, LookUP_Table!$A$6:$D$7, 2, FALSE)</f>
        <v>Secondary</v>
      </c>
      <c r="G3283" t="str">
        <f>IFERROR(VLOOKUP(E3283, LookUP_Table!$A$1:$B$4, 2, FALSE), "")</f>
        <v>Secondary</v>
      </c>
      <c r="H3283">
        <v>1</v>
      </c>
      <c r="I3283">
        <v>20</v>
      </c>
      <c r="J3283" t="str">
        <f t="shared" si="306"/>
        <v>Smoker</v>
      </c>
      <c r="K3283">
        <v>1</v>
      </c>
      <c r="L3283">
        <v>0</v>
      </c>
      <c r="M3283">
        <v>1</v>
      </c>
      <c r="N3283">
        <v>0</v>
      </c>
      <c r="O3283">
        <v>315</v>
      </c>
      <c r="P3283" t="str">
        <f t="shared" si="307"/>
        <v>High</v>
      </c>
      <c r="Q3283">
        <v>193</v>
      </c>
      <c r="R3283">
        <v>109</v>
      </c>
      <c r="S3283">
        <v>27.99</v>
      </c>
      <c r="T3283" t="str">
        <f t="shared" si="308"/>
        <v>Overweight</v>
      </c>
      <c r="U3283">
        <v>70</v>
      </c>
      <c r="V3283">
        <v>74</v>
      </c>
      <c r="W3283" t="str">
        <f t="shared" si="311"/>
        <v>Normal</v>
      </c>
      <c r="X3283">
        <v>0</v>
      </c>
    </row>
    <row r="3284" spans="1:24" ht="14.5" thickBot="1" x14ac:dyDescent="0.35">
      <c r="A3284">
        <v>1</v>
      </c>
      <c r="B3284" t="str">
        <f t="shared" si="309"/>
        <v>Male</v>
      </c>
      <c r="C3284" s="8">
        <v>57</v>
      </c>
      <c r="D3284" t="str">
        <f t="shared" si="310"/>
        <v>Senior</v>
      </c>
      <c r="E3284">
        <v>1</v>
      </c>
      <c r="F3284" t="str">
        <f>HLOOKUP(E3284, LookUP_Table!$A$6:$D$7, 2, FALSE)</f>
        <v>Primary</v>
      </c>
      <c r="G3284" t="str">
        <f>IFERROR(VLOOKUP(E3284, LookUP_Table!$A$1:$B$4, 2, FALSE), "")</f>
        <v>Primary</v>
      </c>
      <c r="H3284">
        <v>1</v>
      </c>
      <c r="I3284">
        <v>30</v>
      </c>
      <c r="J3284" t="str">
        <f t="shared" si="306"/>
        <v>Smoker</v>
      </c>
      <c r="K3284">
        <v>0</v>
      </c>
      <c r="L3284">
        <v>0</v>
      </c>
      <c r="M3284">
        <v>0</v>
      </c>
      <c r="N3284">
        <v>0</v>
      </c>
      <c r="O3284">
        <v>167</v>
      </c>
      <c r="P3284" t="str">
        <f t="shared" si="307"/>
        <v>Normal</v>
      </c>
      <c r="Q3284">
        <v>127</v>
      </c>
      <c r="R3284">
        <v>69</v>
      </c>
      <c r="S3284">
        <v>28.13</v>
      </c>
      <c r="T3284" t="str">
        <f t="shared" si="308"/>
        <v>Overweight</v>
      </c>
      <c r="U3284">
        <v>83</v>
      </c>
      <c r="V3284">
        <v>107</v>
      </c>
      <c r="W3284" t="str">
        <f t="shared" si="311"/>
        <v>Prediabetes</v>
      </c>
      <c r="X3284">
        <v>0</v>
      </c>
    </row>
    <row r="3285" spans="1:24" ht="14.5" thickBot="1" x14ac:dyDescent="0.35">
      <c r="A3285">
        <v>1</v>
      </c>
      <c r="B3285" t="str">
        <f t="shared" si="309"/>
        <v>Male</v>
      </c>
      <c r="C3285" s="8">
        <v>57</v>
      </c>
      <c r="D3285" t="str">
        <f t="shared" si="310"/>
        <v>Senior</v>
      </c>
      <c r="E3285">
        <v>1</v>
      </c>
      <c r="F3285" t="str">
        <f>HLOOKUP(E3285, LookUP_Table!$A$6:$D$7, 2, FALSE)</f>
        <v>Primary</v>
      </c>
      <c r="G3285" t="str">
        <f>IFERROR(VLOOKUP(E3285, LookUP_Table!$A$1:$B$4, 2, FALSE), "")</f>
        <v>Primary</v>
      </c>
      <c r="H3285">
        <v>1</v>
      </c>
      <c r="I3285">
        <v>30</v>
      </c>
      <c r="J3285" t="str">
        <f t="shared" si="306"/>
        <v>Smoker</v>
      </c>
      <c r="K3285">
        <v>0</v>
      </c>
      <c r="L3285">
        <v>0</v>
      </c>
      <c r="M3285">
        <v>1</v>
      </c>
      <c r="N3285">
        <v>0</v>
      </c>
      <c r="O3285">
        <v>249</v>
      </c>
      <c r="P3285" t="str">
        <f t="shared" si="307"/>
        <v>High</v>
      </c>
      <c r="Q3285">
        <v>139</v>
      </c>
      <c r="R3285">
        <v>83</v>
      </c>
      <c r="S3285">
        <v>23.81</v>
      </c>
      <c r="T3285" t="str">
        <f t="shared" si="308"/>
        <v>Normal</v>
      </c>
      <c r="U3285">
        <v>85</v>
      </c>
      <c r="V3285">
        <v>76</v>
      </c>
      <c r="W3285" t="str">
        <f t="shared" si="311"/>
        <v>Normal</v>
      </c>
      <c r="X3285">
        <v>0</v>
      </c>
    </row>
    <row r="3286" spans="1:24" ht="14.5" thickBot="1" x14ac:dyDescent="0.35">
      <c r="A3286">
        <v>0</v>
      </c>
      <c r="B3286" t="str">
        <f t="shared" si="309"/>
        <v>Female</v>
      </c>
      <c r="C3286" s="8">
        <v>57</v>
      </c>
      <c r="D3286" t="str">
        <f t="shared" si="310"/>
        <v>Senior</v>
      </c>
      <c r="E3286">
        <v>1</v>
      </c>
      <c r="F3286" t="str">
        <f>HLOOKUP(E3286, LookUP_Table!$A$6:$D$7, 2, FALSE)</f>
        <v>Primary</v>
      </c>
      <c r="G3286" t="str">
        <f>IFERROR(VLOOKUP(E3286, LookUP_Table!$A$1:$B$4, 2, FALSE), "")</f>
        <v>Primary</v>
      </c>
      <c r="H3286">
        <v>0</v>
      </c>
      <c r="I3286">
        <v>0</v>
      </c>
      <c r="J3286" t="str">
        <f t="shared" si="306"/>
        <v>Non-Smoker</v>
      </c>
      <c r="K3286">
        <v>0</v>
      </c>
      <c r="L3286">
        <v>0</v>
      </c>
      <c r="M3286">
        <v>0</v>
      </c>
      <c r="N3286">
        <v>0</v>
      </c>
      <c r="O3286">
        <v>257</v>
      </c>
      <c r="P3286" t="str">
        <f t="shared" si="307"/>
        <v>High</v>
      </c>
      <c r="Q3286">
        <v>133</v>
      </c>
      <c r="R3286">
        <v>94</v>
      </c>
      <c r="S3286">
        <v>17.71</v>
      </c>
      <c r="T3286" t="str">
        <f t="shared" si="308"/>
        <v>Underweight</v>
      </c>
      <c r="U3286">
        <v>143</v>
      </c>
      <c r="V3286">
        <v>75</v>
      </c>
      <c r="W3286" t="str">
        <f t="shared" si="311"/>
        <v>Normal</v>
      </c>
      <c r="X3286">
        <v>0</v>
      </c>
    </row>
    <row r="3287" spans="1:24" ht="14.5" thickBot="1" x14ac:dyDescent="0.35">
      <c r="A3287">
        <v>0</v>
      </c>
      <c r="B3287" t="str">
        <f t="shared" si="309"/>
        <v>Female</v>
      </c>
      <c r="C3287" s="8">
        <v>57</v>
      </c>
      <c r="D3287" t="str">
        <f t="shared" si="310"/>
        <v>Senior</v>
      </c>
      <c r="E3287">
        <v>1</v>
      </c>
      <c r="F3287" t="str">
        <f>HLOOKUP(E3287, LookUP_Table!$A$6:$D$7, 2, FALSE)</f>
        <v>Primary</v>
      </c>
      <c r="G3287" t="str">
        <f>IFERROR(VLOOKUP(E3287, LookUP_Table!$A$1:$B$4, 2, FALSE), "")</f>
        <v>Primary</v>
      </c>
      <c r="H3287">
        <v>0</v>
      </c>
      <c r="I3287">
        <v>0</v>
      </c>
      <c r="J3287" t="str">
        <f t="shared" si="306"/>
        <v>Non-Smoker</v>
      </c>
      <c r="K3287">
        <v>0</v>
      </c>
      <c r="L3287">
        <v>0</v>
      </c>
      <c r="M3287">
        <v>0</v>
      </c>
      <c r="N3287">
        <v>0</v>
      </c>
      <c r="O3287">
        <v>219</v>
      </c>
      <c r="P3287" t="str">
        <f t="shared" si="307"/>
        <v>Normal</v>
      </c>
      <c r="Q3287">
        <v>125</v>
      </c>
      <c r="R3287">
        <v>83</v>
      </c>
      <c r="S3287">
        <v>23.22</v>
      </c>
      <c r="T3287" t="str">
        <f t="shared" si="308"/>
        <v>Normal</v>
      </c>
      <c r="U3287">
        <v>65</v>
      </c>
      <c r="V3287">
        <v>115</v>
      </c>
      <c r="W3287" t="str">
        <f t="shared" si="311"/>
        <v>Prediabetes</v>
      </c>
      <c r="X3287">
        <v>0</v>
      </c>
    </row>
    <row r="3288" spans="1:24" ht="14.5" thickBot="1" x14ac:dyDescent="0.35">
      <c r="A3288">
        <v>1</v>
      </c>
      <c r="B3288" t="str">
        <f t="shared" si="309"/>
        <v>Male</v>
      </c>
      <c r="C3288" s="8">
        <v>57</v>
      </c>
      <c r="D3288" t="str">
        <f t="shared" si="310"/>
        <v>Senior</v>
      </c>
      <c r="E3288">
        <v>1</v>
      </c>
      <c r="F3288" t="str">
        <f>HLOOKUP(E3288, LookUP_Table!$A$6:$D$7, 2, FALSE)</f>
        <v>Primary</v>
      </c>
      <c r="G3288" t="str">
        <f>IFERROR(VLOOKUP(E3288, LookUP_Table!$A$1:$B$4, 2, FALSE), "")</f>
        <v>Primary</v>
      </c>
      <c r="H3288">
        <v>0</v>
      </c>
      <c r="I3288">
        <v>0</v>
      </c>
      <c r="J3288" t="str">
        <f t="shared" si="306"/>
        <v>Non-Smoker</v>
      </c>
      <c r="K3288">
        <v>0</v>
      </c>
      <c r="L3288">
        <v>0</v>
      </c>
      <c r="M3288">
        <v>0</v>
      </c>
      <c r="N3288">
        <v>0</v>
      </c>
      <c r="O3288">
        <v>206</v>
      </c>
      <c r="P3288" t="str">
        <f t="shared" si="307"/>
        <v>Normal</v>
      </c>
      <c r="Q3288">
        <v>124</v>
      </c>
      <c r="R3288">
        <v>80</v>
      </c>
      <c r="S3288">
        <v>23.04</v>
      </c>
      <c r="T3288" t="str">
        <f t="shared" si="308"/>
        <v>Normal</v>
      </c>
      <c r="U3288">
        <v>66</v>
      </c>
      <c r="V3288">
        <v>60</v>
      </c>
      <c r="W3288" t="str">
        <f t="shared" si="311"/>
        <v>Normal</v>
      </c>
      <c r="X3288">
        <v>0</v>
      </c>
    </row>
    <row r="3289" spans="1:24" ht="14.5" thickBot="1" x14ac:dyDescent="0.35">
      <c r="A3289">
        <v>0</v>
      </c>
      <c r="B3289" t="str">
        <f t="shared" si="309"/>
        <v>Female</v>
      </c>
      <c r="C3289" s="8">
        <v>57</v>
      </c>
      <c r="D3289" t="str">
        <f t="shared" si="310"/>
        <v>Senior</v>
      </c>
      <c r="E3289">
        <v>1</v>
      </c>
      <c r="F3289" t="str">
        <f>HLOOKUP(E3289, LookUP_Table!$A$6:$D$7, 2, FALSE)</f>
        <v>Primary</v>
      </c>
      <c r="G3289" t="str">
        <f>IFERROR(VLOOKUP(E3289, LookUP_Table!$A$1:$B$4, 2, FALSE), "")</f>
        <v>Primary</v>
      </c>
      <c r="H3289">
        <v>0</v>
      </c>
      <c r="I3289">
        <v>0</v>
      </c>
      <c r="J3289" t="str">
        <f t="shared" si="306"/>
        <v>Non-Smoker</v>
      </c>
      <c r="K3289">
        <v>0</v>
      </c>
      <c r="L3289">
        <v>0</v>
      </c>
      <c r="M3289">
        <v>0</v>
      </c>
      <c r="N3289">
        <v>0</v>
      </c>
      <c r="O3289">
        <v>194</v>
      </c>
      <c r="P3289" t="str">
        <f t="shared" si="307"/>
        <v>Normal</v>
      </c>
      <c r="Q3289">
        <v>199.5</v>
      </c>
      <c r="R3289">
        <v>107</v>
      </c>
      <c r="S3289">
        <v>26.84</v>
      </c>
      <c r="T3289" t="str">
        <f t="shared" si="308"/>
        <v>Overweight</v>
      </c>
      <c r="U3289">
        <v>60</v>
      </c>
      <c r="V3289">
        <v>69</v>
      </c>
      <c r="W3289" t="str">
        <f t="shared" si="311"/>
        <v>Normal</v>
      </c>
      <c r="X3289">
        <v>1</v>
      </c>
    </row>
    <row r="3290" spans="1:24" ht="14.5" thickBot="1" x14ac:dyDescent="0.35">
      <c r="A3290">
        <v>1</v>
      </c>
      <c r="B3290" t="str">
        <f t="shared" si="309"/>
        <v>Male</v>
      </c>
      <c r="C3290" s="8">
        <v>57</v>
      </c>
      <c r="D3290" t="str">
        <f t="shared" si="310"/>
        <v>Senior</v>
      </c>
      <c r="E3290">
        <v>1</v>
      </c>
      <c r="F3290" t="str">
        <f>HLOOKUP(E3290, LookUP_Table!$A$6:$D$7, 2, FALSE)</f>
        <v>Primary</v>
      </c>
      <c r="G3290" t="str">
        <f>IFERROR(VLOOKUP(E3290, LookUP_Table!$A$1:$B$4, 2, FALSE), "")</f>
        <v>Primary</v>
      </c>
      <c r="H3290">
        <v>0</v>
      </c>
      <c r="I3290">
        <v>0</v>
      </c>
      <c r="J3290" t="str">
        <f t="shared" si="306"/>
        <v>Non-Smoker</v>
      </c>
      <c r="K3290">
        <v>0</v>
      </c>
      <c r="L3290">
        <v>0</v>
      </c>
      <c r="M3290">
        <v>0</v>
      </c>
      <c r="N3290">
        <v>1</v>
      </c>
      <c r="O3290">
        <v>213</v>
      </c>
      <c r="P3290" t="str">
        <f t="shared" si="307"/>
        <v>Normal</v>
      </c>
      <c r="Q3290">
        <v>136.5</v>
      </c>
      <c r="R3290">
        <v>87</v>
      </c>
      <c r="S3290">
        <v>25.51</v>
      </c>
      <c r="T3290" t="str">
        <f t="shared" si="308"/>
        <v>Overweight</v>
      </c>
      <c r="U3290">
        <v>58</v>
      </c>
      <c r="V3290">
        <v>119</v>
      </c>
      <c r="W3290" t="str">
        <f t="shared" si="311"/>
        <v>Prediabetes</v>
      </c>
      <c r="X3290">
        <v>0</v>
      </c>
    </row>
    <row r="3291" spans="1:24" ht="14.5" thickBot="1" x14ac:dyDescent="0.35">
      <c r="A3291">
        <v>1</v>
      </c>
      <c r="B3291" t="str">
        <f t="shared" si="309"/>
        <v>Male</v>
      </c>
      <c r="C3291" s="8">
        <v>57</v>
      </c>
      <c r="D3291" t="str">
        <f t="shared" si="310"/>
        <v>Senior</v>
      </c>
      <c r="E3291">
        <v>1</v>
      </c>
      <c r="F3291" t="str">
        <f>HLOOKUP(E3291, LookUP_Table!$A$6:$D$7, 2, FALSE)</f>
        <v>Primary</v>
      </c>
      <c r="G3291" t="str">
        <f>IFERROR(VLOOKUP(E3291, LookUP_Table!$A$1:$B$4, 2, FALSE), "")</f>
        <v>Primary</v>
      </c>
      <c r="H3291">
        <v>1</v>
      </c>
      <c r="I3291">
        <v>3</v>
      </c>
      <c r="J3291" t="str">
        <f t="shared" si="306"/>
        <v>Smoker</v>
      </c>
      <c r="K3291">
        <v>0</v>
      </c>
      <c r="L3291">
        <v>0</v>
      </c>
      <c r="M3291">
        <v>1</v>
      </c>
      <c r="N3291">
        <v>0</v>
      </c>
      <c r="O3291">
        <v>225</v>
      </c>
      <c r="P3291" t="str">
        <f t="shared" si="307"/>
        <v>Normal</v>
      </c>
      <c r="Q3291">
        <v>177.5</v>
      </c>
      <c r="R3291">
        <v>120</v>
      </c>
      <c r="S3291">
        <v>25.48</v>
      </c>
      <c r="T3291" t="str">
        <f t="shared" si="308"/>
        <v>Overweight</v>
      </c>
      <c r="U3291">
        <v>72</v>
      </c>
      <c r="V3291">
        <v>96</v>
      </c>
      <c r="W3291" t="str">
        <f t="shared" si="311"/>
        <v>Normal</v>
      </c>
      <c r="X3291">
        <v>1</v>
      </c>
    </row>
    <row r="3292" spans="1:24" ht="14.5" thickBot="1" x14ac:dyDescent="0.35">
      <c r="A3292">
        <v>0</v>
      </c>
      <c r="B3292" t="str">
        <f t="shared" si="309"/>
        <v>Female</v>
      </c>
      <c r="C3292" s="8">
        <v>57</v>
      </c>
      <c r="D3292" t="str">
        <f t="shared" si="310"/>
        <v>Senior</v>
      </c>
      <c r="E3292">
        <v>4</v>
      </c>
      <c r="F3292" t="str">
        <f>HLOOKUP(E3292, LookUP_Table!$A$6:$D$7, 2, FALSE)</f>
        <v>Post Graduate</v>
      </c>
      <c r="G3292" t="str">
        <f>IFERROR(VLOOKUP(E3292, LookUP_Table!$A$1:$B$4, 2, FALSE), "")</f>
        <v>Post Graduate</v>
      </c>
      <c r="H3292">
        <v>1</v>
      </c>
      <c r="I3292">
        <v>9</v>
      </c>
      <c r="J3292" t="str">
        <f t="shared" si="306"/>
        <v>Smoker</v>
      </c>
      <c r="K3292">
        <v>0</v>
      </c>
      <c r="L3292">
        <v>0</v>
      </c>
      <c r="M3292">
        <v>0</v>
      </c>
      <c r="N3292">
        <v>0</v>
      </c>
      <c r="O3292">
        <v>382</v>
      </c>
      <c r="P3292" t="str">
        <f t="shared" si="307"/>
        <v>High</v>
      </c>
      <c r="Q3292">
        <v>140</v>
      </c>
      <c r="R3292">
        <v>94</v>
      </c>
      <c r="S3292">
        <v>21.2</v>
      </c>
      <c r="T3292" t="str">
        <f t="shared" si="308"/>
        <v>Normal</v>
      </c>
      <c r="U3292">
        <v>98</v>
      </c>
      <c r="V3292">
        <v>70</v>
      </c>
      <c r="W3292" t="str">
        <f t="shared" si="311"/>
        <v>Normal</v>
      </c>
      <c r="X3292">
        <v>0</v>
      </c>
    </row>
    <row r="3293" spans="1:24" ht="14.5" thickBot="1" x14ac:dyDescent="0.35">
      <c r="A3293">
        <v>0</v>
      </c>
      <c r="B3293" t="str">
        <f t="shared" si="309"/>
        <v>Female</v>
      </c>
      <c r="C3293" s="8">
        <v>57</v>
      </c>
      <c r="D3293" t="str">
        <f t="shared" si="310"/>
        <v>Senior</v>
      </c>
      <c r="E3293">
        <v>2</v>
      </c>
      <c r="F3293" t="str">
        <f>HLOOKUP(E3293, LookUP_Table!$A$6:$D$7, 2, FALSE)</f>
        <v>Secondary</v>
      </c>
      <c r="G3293" t="str">
        <f>IFERROR(VLOOKUP(E3293, LookUP_Table!$A$1:$B$4, 2, FALSE), "")</f>
        <v>Secondary</v>
      </c>
      <c r="H3293">
        <v>0</v>
      </c>
      <c r="I3293">
        <v>0</v>
      </c>
      <c r="J3293" t="str">
        <f t="shared" si="306"/>
        <v>Non-Smoker</v>
      </c>
      <c r="K3293">
        <v>0</v>
      </c>
      <c r="L3293">
        <v>0</v>
      </c>
      <c r="M3293">
        <v>0</v>
      </c>
      <c r="N3293">
        <v>0</v>
      </c>
      <c r="O3293">
        <v>286</v>
      </c>
      <c r="P3293" t="str">
        <f t="shared" si="307"/>
        <v>High</v>
      </c>
      <c r="Q3293">
        <v>153</v>
      </c>
      <c r="R3293">
        <v>87</v>
      </c>
      <c r="S3293">
        <v>27.64</v>
      </c>
      <c r="T3293" t="str">
        <f t="shared" si="308"/>
        <v>Overweight</v>
      </c>
      <c r="U3293">
        <v>75</v>
      </c>
      <c r="V3293">
        <v>83</v>
      </c>
      <c r="W3293" t="str">
        <f t="shared" si="311"/>
        <v>Normal</v>
      </c>
      <c r="X3293">
        <v>0</v>
      </c>
    </row>
    <row r="3294" spans="1:24" ht="14.5" thickBot="1" x14ac:dyDescent="0.35">
      <c r="A3294">
        <v>1</v>
      </c>
      <c r="B3294" t="str">
        <f t="shared" si="309"/>
        <v>Male</v>
      </c>
      <c r="C3294" s="8">
        <v>57</v>
      </c>
      <c r="D3294" t="str">
        <f t="shared" si="310"/>
        <v>Senior</v>
      </c>
      <c r="E3294">
        <v>4</v>
      </c>
      <c r="F3294" t="str">
        <f>HLOOKUP(E3294, LookUP_Table!$A$6:$D$7, 2, FALSE)</f>
        <v>Post Graduate</v>
      </c>
      <c r="G3294" t="str">
        <f>IFERROR(VLOOKUP(E3294, LookUP_Table!$A$1:$B$4, 2, FALSE), "")</f>
        <v>Post Graduate</v>
      </c>
      <c r="H3294">
        <v>0</v>
      </c>
      <c r="I3294">
        <v>0</v>
      </c>
      <c r="J3294" t="str">
        <f t="shared" si="306"/>
        <v>Non-Smoker</v>
      </c>
      <c r="K3294">
        <v>0</v>
      </c>
      <c r="L3294">
        <v>0</v>
      </c>
      <c r="M3294">
        <v>1</v>
      </c>
      <c r="N3294">
        <v>0</v>
      </c>
      <c r="O3294">
        <v>310</v>
      </c>
      <c r="P3294" t="str">
        <f t="shared" si="307"/>
        <v>High</v>
      </c>
      <c r="Q3294">
        <v>147.5</v>
      </c>
      <c r="R3294">
        <v>90</v>
      </c>
      <c r="S3294">
        <v>32.090000000000003</v>
      </c>
      <c r="T3294" t="str">
        <f t="shared" si="308"/>
        <v>Obese</v>
      </c>
      <c r="U3294">
        <v>67</v>
      </c>
      <c r="V3294">
        <v>73</v>
      </c>
      <c r="W3294" t="str">
        <f t="shared" si="311"/>
        <v>Normal</v>
      </c>
      <c r="X3294">
        <v>1</v>
      </c>
    </row>
    <row r="3295" spans="1:24" ht="14.5" thickBot="1" x14ac:dyDescent="0.35">
      <c r="A3295">
        <v>1</v>
      </c>
      <c r="B3295" t="str">
        <f t="shared" si="309"/>
        <v>Male</v>
      </c>
      <c r="C3295" s="8">
        <v>57</v>
      </c>
      <c r="D3295" t="str">
        <f t="shared" si="310"/>
        <v>Senior</v>
      </c>
      <c r="E3295">
        <v>3</v>
      </c>
      <c r="F3295" t="str">
        <f>HLOOKUP(E3295, LookUP_Table!$A$6:$D$7, 2, FALSE)</f>
        <v>Graduate</v>
      </c>
      <c r="G3295" t="str">
        <f>IFERROR(VLOOKUP(E3295, LookUP_Table!$A$1:$B$4, 2, FALSE), "")</f>
        <v>Graduate</v>
      </c>
      <c r="H3295">
        <v>1</v>
      </c>
      <c r="I3295">
        <v>15</v>
      </c>
      <c r="J3295" t="str">
        <f t="shared" si="306"/>
        <v>Smoker</v>
      </c>
      <c r="K3295">
        <v>0</v>
      </c>
      <c r="L3295">
        <v>0</v>
      </c>
      <c r="M3295">
        <v>0</v>
      </c>
      <c r="N3295">
        <v>1</v>
      </c>
      <c r="O3295">
        <v>245</v>
      </c>
      <c r="P3295" t="str">
        <f t="shared" si="307"/>
        <v>High</v>
      </c>
      <c r="Q3295">
        <v>132</v>
      </c>
      <c r="R3295">
        <v>77</v>
      </c>
      <c r="S3295">
        <v>23.01</v>
      </c>
      <c r="T3295" t="str">
        <f t="shared" si="308"/>
        <v>Normal</v>
      </c>
      <c r="U3295">
        <v>76</v>
      </c>
      <c r="V3295">
        <v>207</v>
      </c>
      <c r="W3295" t="str">
        <f t="shared" si="311"/>
        <v>Diabetes</v>
      </c>
      <c r="X3295">
        <v>0</v>
      </c>
    </row>
    <row r="3296" spans="1:24" ht="14.5" thickBot="1" x14ac:dyDescent="0.35">
      <c r="A3296">
        <v>1</v>
      </c>
      <c r="B3296" t="str">
        <f t="shared" si="309"/>
        <v>Male</v>
      </c>
      <c r="C3296" s="8">
        <v>57</v>
      </c>
      <c r="D3296" t="str">
        <f t="shared" si="310"/>
        <v>Senior</v>
      </c>
      <c r="E3296">
        <v>1</v>
      </c>
      <c r="F3296" t="str">
        <f>HLOOKUP(E3296, LookUP_Table!$A$6:$D$7, 2, FALSE)</f>
        <v>Primary</v>
      </c>
      <c r="G3296" t="str">
        <f>IFERROR(VLOOKUP(E3296, LookUP_Table!$A$1:$B$4, 2, FALSE), "")</f>
        <v>Primary</v>
      </c>
      <c r="H3296">
        <v>0</v>
      </c>
      <c r="I3296">
        <v>0</v>
      </c>
      <c r="J3296" t="str">
        <f t="shared" si="306"/>
        <v>Non-Smoker</v>
      </c>
      <c r="K3296">
        <v>0</v>
      </c>
      <c r="L3296">
        <v>0</v>
      </c>
      <c r="M3296">
        <v>0</v>
      </c>
      <c r="N3296">
        <v>0</v>
      </c>
      <c r="O3296">
        <v>178</v>
      </c>
      <c r="P3296" t="str">
        <f t="shared" si="307"/>
        <v>Normal</v>
      </c>
      <c r="Q3296">
        <v>123</v>
      </c>
      <c r="R3296">
        <v>79</v>
      </c>
      <c r="S3296">
        <v>26.36</v>
      </c>
      <c r="T3296" t="str">
        <f t="shared" si="308"/>
        <v>Overweight</v>
      </c>
      <c r="U3296">
        <v>74</v>
      </c>
      <c r="V3296">
        <v>78</v>
      </c>
      <c r="W3296" t="str">
        <f t="shared" si="311"/>
        <v>Normal</v>
      </c>
      <c r="X3296">
        <v>1</v>
      </c>
    </row>
    <row r="3297" spans="1:24" ht="14.5" thickBot="1" x14ac:dyDescent="0.35">
      <c r="A3297">
        <v>1</v>
      </c>
      <c r="B3297" t="str">
        <f t="shared" si="309"/>
        <v>Male</v>
      </c>
      <c r="C3297" s="8">
        <v>57</v>
      </c>
      <c r="D3297" t="str">
        <f t="shared" si="310"/>
        <v>Senior</v>
      </c>
      <c r="E3297">
        <v>1</v>
      </c>
      <c r="F3297" t="str">
        <f>HLOOKUP(E3297, LookUP_Table!$A$6:$D$7, 2, FALSE)</f>
        <v>Primary</v>
      </c>
      <c r="G3297" t="str">
        <f>IFERROR(VLOOKUP(E3297, LookUP_Table!$A$1:$B$4, 2, FALSE), "")</f>
        <v>Primary</v>
      </c>
      <c r="H3297">
        <v>0</v>
      </c>
      <c r="I3297">
        <v>0</v>
      </c>
      <c r="J3297" t="str">
        <f t="shared" si="306"/>
        <v>Non-Smoker</v>
      </c>
      <c r="K3297">
        <v>0</v>
      </c>
      <c r="L3297">
        <v>0</v>
      </c>
      <c r="M3297">
        <v>0</v>
      </c>
      <c r="N3297">
        <v>0</v>
      </c>
      <c r="O3297">
        <v>242</v>
      </c>
      <c r="P3297" t="str">
        <f t="shared" si="307"/>
        <v>High</v>
      </c>
      <c r="Q3297">
        <v>130</v>
      </c>
      <c r="R3297">
        <v>74</v>
      </c>
      <c r="S3297">
        <v>28.9</v>
      </c>
      <c r="T3297" t="str">
        <f t="shared" si="308"/>
        <v>Overweight</v>
      </c>
      <c r="U3297">
        <v>60</v>
      </c>
      <c r="V3297">
        <v>53</v>
      </c>
      <c r="W3297" t="str">
        <f t="shared" si="311"/>
        <v>Normal</v>
      </c>
      <c r="X3297">
        <v>0</v>
      </c>
    </row>
    <row r="3298" spans="1:24" ht="14.5" thickBot="1" x14ac:dyDescent="0.35">
      <c r="A3298">
        <v>1</v>
      </c>
      <c r="B3298" t="str">
        <f t="shared" si="309"/>
        <v>Male</v>
      </c>
      <c r="C3298" s="8">
        <v>57</v>
      </c>
      <c r="D3298" t="str">
        <f t="shared" si="310"/>
        <v>Senior</v>
      </c>
      <c r="E3298">
        <v>2</v>
      </c>
      <c r="F3298" t="str">
        <f>HLOOKUP(E3298, LookUP_Table!$A$6:$D$7, 2, FALSE)</f>
        <v>Secondary</v>
      </c>
      <c r="G3298" t="str">
        <f>IFERROR(VLOOKUP(E3298, LookUP_Table!$A$1:$B$4, 2, FALSE), "")</f>
        <v>Secondary</v>
      </c>
      <c r="H3298">
        <v>1</v>
      </c>
      <c r="I3298">
        <v>15</v>
      </c>
      <c r="J3298" t="str">
        <f t="shared" si="306"/>
        <v>Smoker</v>
      </c>
      <c r="K3298">
        <v>0</v>
      </c>
      <c r="L3298">
        <v>0</v>
      </c>
      <c r="M3298">
        <v>0</v>
      </c>
      <c r="N3298">
        <v>0</v>
      </c>
      <c r="O3298">
        <v>221</v>
      </c>
      <c r="P3298" t="str">
        <f t="shared" si="307"/>
        <v>Normal</v>
      </c>
      <c r="Q3298">
        <v>117</v>
      </c>
      <c r="R3298">
        <v>72</v>
      </c>
      <c r="S3298">
        <v>25.51</v>
      </c>
      <c r="T3298" t="str">
        <f t="shared" si="308"/>
        <v>Overweight</v>
      </c>
      <c r="U3298">
        <v>75</v>
      </c>
      <c r="V3298">
        <v>83</v>
      </c>
      <c r="W3298" t="str">
        <f t="shared" si="311"/>
        <v>Normal</v>
      </c>
      <c r="X3298">
        <v>1</v>
      </c>
    </row>
    <row r="3299" spans="1:24" ht="14.5" thickBot="1" x14ac:dyDescent="0.35">
      <c r="A3299">
        <v>0</v>
      </c>
      <c r="B3299" t="str">
        <f t="shared" si="309"/>
        <v>Female</v>
      </c>
      <c r="C3299" s="8">
        <v>57</v>
      </c>
      <c r="D3299" t="str">
        <f t="shared" si="310"/>
        <v>Senior</v>
      </c>
      <c r="E3299">
        <v>2</v>
      </c>
      <c r="F3299" t="str">
        <f>HLOOKUP(E3299, LookUP_Table!$A$6:$D$7, 2, FALSE)</f>
        <v>Secondary</v>
      </c>
      <c r="G3299" t="str">
        <f>IFERROR(VLOOKUP(E3299, LookUP_Table!$A$1:$B$4, 2, FALSE), "")</f>
        <v>Secondary</v>
      </c>
      <c r="H3299">
        <v>1</v>
      </c>
      <c r="I3299">
        <v>10</v>
      </c>
      <c r="J3299" t="str">
        <f t="shared" si="306"/>
        <v>Smoker</v>
      </c>
      <c r="K3299">
        <v>0</v>
      </c>
      <c r="L3299">
        <v>0</v>
      </c>
      <c r="M3299">
        <v>1</v>
      </c>
      <c r="N3299">
        <v>0</v>
      </c>
      <c r="O3299">
        <v>238</v>
      </c>
      <c r="P3299" t="str">
        <f t="shared" si="307"/>
        <v>Normal</v>
      </c>
      <c r="Q3299">
        <v>133</v>
      </c>
      <c r="R3299">
        <v>72</v>
      </c>
      <c r="S3299">
        <v>18.09</v>
      </c>
      <c r="T3299" t="str">
        <f t="shared" si="308"/>
        <v>Underweight</v>
      </c>
      <c r="U3299">
        <v>100</v>
      </c>
      <c r="V3299">
        <v>115</v>
      </c>
      <c r="W3299" t="str">
        <f t="shared" si="311"/>
        <v>Prediabetes</v>
      </c>
      <c r="X3299">
        <v>0</v>
      </c>
    </row>
    <row r="3300" spans="1:24" ht="14.5" thickBot="1" x14ac:dyDescent="0.35">
      <c r="A3300">
        <v>0</v>
      </c>
      <c r="B3300" t="str">
        <f t="shared" si="309"/>
        <v>Female</v>
      </c>
      <c r="C3300" s="8">
        <v>57</v>
      </c>
      <c r="D3300" t="str">
        <f t="shared" si="310"/>
        <v>Senior</v>
      </c>
      <c r="E3300">
        <v>1</v>
      </c>
      <c r="F3300" t="str">
        <f>HLOOKUP(E3300, LookUP_Table!$A$6:$D$7, 2, FALSE)</f>
        <v>Primary</v>
      </c>
      <c r="G3300" t="str">
        <f>IFERROR(VLOOKUP(E3300, LookUP_Table!$A$1:$B$4, 2, FALSE), "")</f>
        <v>Primary</v>
      </c>
      <c r="H3300">
        <v>0</v>
      </c>
      <c r="I3300">
        <v>0</v>
      </c>
      <c r="J3300" t="str">
        <f t="shared" si="306"/>
        <v>Non-Smoker</v>
      </c>
      <c r="K3300">
        <v>0</v>
      </c>
      <c r="L3300">
        <v>0</v>
      </c>
      <c r="M3300">
        <v>1</v>
      </c>
      <c r="N3300">
        <v>0</v>
      </c>
      <c r="O3300">
        <v>285</v>
      </c>
      <c r="P3300" t="str">
        <f t="shared" si="307"/>
        <v>High</v>
      </c>
      <c r="Q3300">
        <v>197</v>
      </c>
      <c r="R3300">
        <v>72</v>
      </c>
      <c r="S3300">
        <v>23.41</v>
      </c>
      <c r="T3300" t="str">
        <f t="shared" si="308"/>
        <v>Normal</v>
      </c>
      <c r="U3300">
        <v>68</v>
      </c>
      <c r="V3300">
        <v>78</v>
      </c>
      <c r="W3300" t="str">
        <f t="shared" si="311"/>
        <v>Normal</v>
      </c>
      <c r="X3300">
        <v>1</v>
      </c>
    </row>
    <row r="3301" spans="1:24" ht="14.5" thickBot="1" x14ac:dyDescent="0.35">
      <c r="A3301">
        <v>1</v>
      </c>
      <c r="B3301" t="str">
        <f t="shared" si="309"/>
        <v>Male</v>
      </c>
      <c r="C3301" s="8">
        <v>57</v>
      </c>
      <c r="D3301" t="str">
        <f t="shared" si="310"/>
        <v>Senior</v>
      </c>
      <c r="E3301">
        <v>1</v>
      </c>
      <c r="F3301" t="str">
        <f>HLOOKUP(E3301, LookUP_Table!$A$6:$D$7, 2, FALSE)</f>
        <v>Primary</v>
      </c>
      <c r="G3301" t="str">
        <f>IFERROR(VLOOKUP(E3301, LookUP_Table!$A$1:$B$4, 2, FALSE), "")</f>
        <v>Primary</v>
      </c>
      <c r="H3301">
        <v>1</v>
      </c>
      <c r="I3301">
        <v>20</v>
      </c>
      <c r="J3301" t="str">
        <f t="shared" si="306"/>
        <v>Smoker</v>
      </c>
      <c r="K3301">
        <v>0</v>
      </c>
      <c r="L3301">
        <v>0</v>
      </c>
      <c r="M3301">
        <v>0</v>
      </c>
      <c r="N3301">
        <v>0</v>
      </c>
      <c r="O3301">
        <v>260</v>
      </c>
      <c r="P3301" t="str">
        <f t="shared" si="307"/>
        <v>High</v>
      </c>
      <c r="Q3301">
        <v>123</v>
      </c>
      <c r="R3301">
        <v>73</v>
      </c>
      <c r="S3301">
        <v>27.51</v>
      </c>
      <c r="T3301" t="str">
        <f t="shared" si="308"/>
        <v>Overweight</v>
      </c>
      <c r="U3301">
        <v>65</v>
      </c>
      <c r="V3301">
        <v>83</v>
      </c>
      <c r="W3301" t="str">
        <f t="shared" si="311"/>
        <v>Normal</v>
      </c>
      <c r="X3301">
        <v>1</v>
      </c>
    </row>
    <row r="3302" spans="1:24" ht="14.5" thickBot="1" x14ac:dyDescent="0.35">
      <c r="A3302">
        <v>0</v>
      </c>
      <c r="B3302" t="str">
        <f t="shared" si="309"/>
        <v>Female</v>
      </c>
      <c r="C3302" s="8">
        <v>57</v>
      </c>
      <c r="D3302" t="str">
        <f t="shared" si="310"/>
        <v>Senior</v>
      </c>
      <c r="E3302">
        <v>2</v>
      </c>
      <c r="F3302" t="str">
        <f>HLOOKUP(E3302, LookUP_Table!$A$6:$D$7, 2, FALSE)</f>
        <v>Secondary</v>
      </c>
      <c r="G3302" t="str">
        <f>IFERROR(VLOOKUP(E3302, LookUP_Table!$A$1:$B$4, 2, FALSE), "")</f>
        <v>Secondary</v>
      </c>
      <c r="H3302">
        <v>1</v>
      </c>
      <c r="I3302">
        <v>9</v>
      </c>
      <c r="J3302" t="str">
        <f t="shared" si="306"/>
        <v>Smoker</v>
      </c>
      <c r="K3302">
        <v>0</v>
      </c>
      <c r="L3302">
        <v>0</v>
      </c>
      <c r="M3302">
        <v>0</v>
      </c>
      <c r="N3302">
        <v>0</v>
      </c>
      <c r="O3302">
        <v>270</v>
      </c>
      <c r="P3302" t="str">
        <f t="shared" si="307"/>
        <v>High</v>
      </c>
      <c r="Q3302">
        <v>120</v>
      </c>
      <c r="R3302">
        <v>79</v>
      </c>
      <c r="S3302">
        <v>24.83</v>
      </c>
      <c r="T3302" t="str">
        <f t="shared" si="308"/>
        <v>Normal</v>
      </c>
      <c r="U3302">
        <v>95</v>
      </c>
      <c r="V3302">
        <v>81</v>
      </c>
      <c r="W3302" t="str">
        <f t="shared" si="311"/>
        <v>Normal</v>
      </c>
      <c r="X3302">
        <v>0</v>
      </c>
    </row>
    <row r="3303" spans="1:24" ht="14.5" thickBot="1" x14ac:dyDescent="0.35">
      <c r="A3303">
        <v>0</v>
      </c>
      <c r="B3303" t="str">
        <f t="shared" si="309"/>
        <v>Female</v>
      </c>
      <c r="C3303" s="8">
        <v>57</v>
      </c>
      <c r="D3303" t="str">
        <f t="shared" si="310"/>
        <v>Senior</v>
      </c>
      <c r="E3303">
        <v>1</v>
      </c>
      <c r="F3303" t="str">
        <f>HLOOKUP(E3303, LookUP_Table!$A$6:$D$7, 2, FALSE)</f>
        <v>Primary</v>
      </c>
      <c r="G3303" t="str">
        <f>IFERROR(VLOOKUP(E3303, LookUP_Table!$A$1:$B$4, 2, FALSE), "")</f>
        <v>Primary</v>
      </c>
      <c r="H3303">
        <v>1</v>
      </c>
      <c r="I3303">
        <v>1</v>
      </c>
      <c r="J3303" t="str">
        <f t="shared" si="306"/>
        <v>Smoker</v>
      </c>
      <c r="K3303">
        <v>0</v>
      </c>
      <c r="L3303">
        <v>0</v>
      </c>
      <c r="M3303">
        <v>1</v>
      </c>
      <c r="N3303">
        <v>0</v>
      </c>
      <c r="O3303">
        <v>254</v>
      </c>
      <c r="P3303" t="str">
        <f t="shared" si="307"/>
        <v>High</v>
      </c>
      <c r="Q3303">
        <v>146.5</v>
      </c>
      <c r="R3303">
        <v>81</v>
      </c>
      <c r="S3303">
        <v>41.61</v>
      </c>
      <c r="T3303" t="str">
        <f t="shared" si="308"/>
        <v>Obese</v>
      </c>
      <c r="U3303">
        <v>72</v>
      </c>
      <c r="V3303">
        <v>85</v>
      </c>
      <c r="W3303" t="str">
        <f t="shared" si="311"/>
        <v>Normal</v>
      </c>
      <c r="X3303">
        <v>1</v>
      </c>
    </row>
    <row r="3304" spans="1:24" ht="14.5" thickBot="1" x14ac:dyDescent="0.35">
      <c r="A3304">
        <v>1</v>
      </c>
      <c r="B3304" t="str">
        <f t="shared" si="309"/>
        <v>Male</v>
      </c>
      <c r="C3304" s="8">
        <v>57</v>
      </c>
      <c r="D3304" t="str">
        <f t="shared" si="310"/>
        <v>Senior</v>
      </c>
      <c r="E3304">
        <v>1</v>
      </c>
      <c r="F3304" t="str">
        <f>HLOOKUP(E3304, LookUP_Table!$A$6:$D$7, 2, FALSE)</f>
        <v>Primary</v>
      </c>
      <c r="G3304" t="str">
        <f>IFERROR(VLOOKUP(E3304, LookUP_Table!$A$1:$B$4, 2, FALSE), "")</f>
        <v>Primary</v>
      </c>
      <c r="H3304">
        <v>0</v>
      </c>
      <c r="I3304">
        <v>0</v>
      </c>
      <c r="J3304" t="str">
        <f t="shared" si="306"/>
        <v>Non-Smoker</v>
      </c>
      <c r="K3304">
        <v>1</v>
      </c>
      <c r="L3304">
        <v>0</v>
      </c>
      <c r="M3304">
        <v>1</v>
      </c>
      <c r="N3304">
        <v>0</v>
      </c>
      <c r="O3304">
        <v>321</v>
      </c>
      <c r="P3304" t="str">
        <f t="shared" si="307"/>
        <v>High</v>
      </c>
      <c r="Q3304">
        <v>192.5</v>
      </c>
      <c r="R3304">
        <v>113</v>
      </c>
      <c r="S3304">
        <v>25.94</v>
      </c>
      <c r="T3304" t="str">
        <f t="shared" si="308"/>
        <v>Overweight</v>
      </c>
      <c r="U3304">
        <v>63</v>
      </c>
      <c r="V3304">
        <v>90</v>
      </c>
      <c r="W3304" t="str">
        <f t="shared" si="311"/>
        <v>Normal</v>
      </c>
      <c r="X3304">
        <v>1</v>
      </c>
    </row>
    <row r="3305" spans="1:24" ht="14.5" thickBot="1" x14ac:dyDescent="0.35">
      <c r="A3305">
        <v>0</v>
      </c>
      <c r="B3305" t="str">
        <f t="shared" si="309"/>
        <v>Female</v>
      </c>
      <c r="C3305" s="8">
        <v>57</v>
      </c>
      <c r="D3305" t="str">
        <f t="shared" si="310"/>
        <v>Senior</v>
      </c>
      <c r="E3305">
        <v>1</v>
      </c>
      <c r="F3305" t="str">
        <f>HLOOKUP(E3305, LookUP_Table!$A$6:$D$7, 2, FALSE)</f>
        <v>Primary</v>
      </c>
      <c r="G3305" t="str">
        <f>IFERROR(VLOOKUP(E3305, LookUP_Table!$A$1:$B$4, 2, FALSE), "")</f>
        <v>Primary</v>
      </c>
      <c r="H3305">
        <v>0</v>
      </c>
      <c r="I3305">
        <v>0</v>
      </c>
      <c r="J3305" t="str">
        <f t="shared" si="306"/>
        <v>Non-Smoker</v>
      </c>
      <c r="K3305">
        <v>0</v>
      </c>
      <c r="L3305">
        <v>0</v>
      </c>
      <c r="M3305">
        <v>1</v>
      </c>
      <c r="N3305">
        <v>0</v>
      </c>
      <c r="O3305">
        <v>277</v>
      </c>
      <c r="P3305" t="str">
        <f t="shared" si="307"/>
        <v>High</v>
      </c>
      <c r="Q3305">
        <v>148</v>
      </c>
      <c r="R3305">
        <v>89.5</v>
      </c>
      <c r="S3305">
        <v>31.82</v>
      </c>
      <c r="T3305" t="str">
        <f t="shared" si="308"/>
        <v>Obese</v>
      </c>
      <c r="U3305">
        <v>86</v>
      </c>
      <c r="V3305">
        <v>89</v>
      </c>
      <c r="W3305" t="str">
        <f t="shared" si="311"/>
        <v>Normal</v>
      </c>
      <c r="X3305">
        <v>0</v>
      </c>
    </row>
    <row r="3306" spans="1:24" ht="14.5" thickBot="1" x14ac:dyDescent="0.35">
      <c r="A3306">
        <v>0</v>
      </c>
      <c r="B3306" t="str">
        <f t="shared" si="309"/>
        <v>Female</v>
      </c>
      <c r="C3306" s="8">
        <v>57</v>
      </c>
      <c r="D3306" t="str">
        <f t="shared" si="310"/>
        <v>Senior</v>
      </c>
      <c r="E3306">
        <v>4</v>
      </c>
      <c r="F3306" t="str">
        <f>HLOOKUP(E3306, LookUP_Table!$A$6:$D$7, 2, FALSE)</f>
        <v>Post Graduate</v>
      </c>
      <c r="G3306" t="str">
        <f>IFERROR(VLOOKUP(E3306, LookUP_Table!$A$1:$B$4, 2, FALSE), "")</f>
        <v>Post Graduate</v>
      </c>
      <c r="H3306">
        <v>0</v>
      </c>
      <c r="I3306">
        <v>0</v>
      </c>
      <c r="J3306" t="str">
        <f t="shared" si="306"/>
        <v>Non-Smoker</v>
      </c>
      <c r="K3306">
        <v>0</v>
      </c>
      <c r="L3306">
        <v>0</v>
      </c>
      <c r="M3306">
        <v>1</v>
      </c>
      <c r="N3306">
        <v>0</v>
      </c>
      <c r="O3306">
        <v>236</v>
      </c>
      <c r="P3306" t="str">
        <f t="shared" si="307"/>
        <v>Normal</v>
      </c>
      <c r="Q3306">
        <v>164</v>
      </c>
      <c r="R3306">
        <v>100</v>
      </c>
      <c r="S3306">
        <v>25.45</v>
      </c>
      <c r="T3306" t="str">
        <f t="shared" si="308"/>
        <v>Overweight</v>
      </c>
      <c r="U3306">
        <v>90</v>
      </c>
      <c r="V3306">
        <v>67</v>
      </c>
      <c r="W3306" t="str">
        <f t="shared" si="311"/>
        <v>Normal</v>
      </c>
      <c r="X3306">
        <v>0</v>
      </c>
    </row>
    <row r="3307" spans="1:24" ht="14.5" thickBot="1" x14ac:dyDescent="0.35">
      <c r="A3307">
        <v>1</v>
      </c>
      <c r="B3307" t="str">
        <f t="shared" si="309"/>
        <v>Male</v>
      </c>
      <c r="C3307" s="8">
        <v>57</v>
      </c>
      <c r="D3307" t="str">
        <f t="shared" si="310"/>
        <v>Senior</v>
      </c>
      <c r="E3307">
        <v>1</v>
      </c>
      <c r="F3307" t="str">
        <f>HLOOKUP(E3307, LookUP_Table!$A$6:$D$7, 2, FALSE)</f>
        <v>Primary</v>
      </c>
      <c r="G3307" t="str">
        <f>IFERROR(VLOOKUP(E3307, LookUP_Table!$A$1:$B$4, 2, FALSE), "")</f>
        <v>Primary</v>
      </c>
      <c r="H3307">
        <v>0</v>
      </c>
      <c r="I3307">
        <v>0</v>
      </c>
      <c r="J3307" t="str">
        <f t="shared" si="306"/>
        <v>Non-Smoker</v>
      </c>
      <c r="K3307">
        <v>0</v>
      </c>
      <c r="L3307">
        <v>0</v>
      </c>
      <c r="M3307">
        <v>1</v>
      </c>
      <c r="N3307">
        <v>0</v>
      </c>
      <c r="O3307">
        <v>155</v>
      </c>
      <c r="P3307" t="str">
        <f t="shared" si="307"/>
        <v>Normal</v>
      </c>
      <c r="Q3307">
        <v>143</v>
      </c>
      <c r="R3307">
        <v>96</v>
      </c>
      <c r="S3307">
        <v>31.01</v>
      </c>
      <c r="T3307" t="str">
        <f t="shared" si="308"/>
        <v>Obese</v>
      </c>
      <c r="U3307">
        <v>63</v>
      </c>
      <c r="V3307">
        <v>88</v>
      </c>
      <c r="W3307" t="str">
        <f t="shared" si="311"/>
        <v>Normal</v>
      </c>
      <c r="X3307">
        <v>0</v>
      </c>
    </row>
    <row r="3308" spans="1:24" ht="14.5" thickBot="1" x14ac:dyDescent="0.35">
      <c r="A3308">
        <v>0</v>
      </c>
      <c r="B3308" t="str">
        <f t="shared" si="309"/>
        <v>Female</v>
      </c>
      <c r="C3308" s="8">
        <v>57</v>
      </c>
      <c r="D3308" t="str">
        <f t="shared" si="310"/>
        <v>Senior</v>
      </c>
      <c r="E3308">
        <v>2</v>
      </c>
      <c r="F3308" t="str">
        <f>HLOOKUP(E3308, LookUP_Table!$A$6:$D$7, 2, FALSE)</f>
        <v>Secondary</v>
      </c>
      <c r="G3308" t="str">
        <f>IFERROR(VLOOKUP(E3308, LookUP_Table!$A$1:$B$4, 2, FALSE), "")</f>
        <v>Secondary</v>
      </c>
      <c r="H3308">
        <v>0</v>
      </c>
      <c r="I3308">
        <v>0</v>
      </c>
      <c r="J3308" t="str">
        <f t="shared" si="306"/>
        <v>Non-Smoker</v>
      </c>
      <c r="K3308">
        <v>0</v>
      </c>
      <c r="L3308">
        <v>0</v>
      </c>
      <c r="M3308">
        <v>1</v>
      </c>
      <c r="N3308">
        <v>0</v>
      </c>
      <c r="O3308">
        <v>250</v>
      </c>
      <c r="P3308" t="str">
        <f t="shared" si="307"/>
        <v>High</v>
      </c>
      <c r="Q3308">
        <v>152.5</v>
      </c>
      <c r="R3308">
        <v>92.5</v>
      </c>
      <c r="S3308">
        <v>32.31</v>
      </c>
      <c r="T3308" t="str">
        <f t="shared" si="308"/>
        <v>Obese</v>
      </c>
      <c r="U3308">
        <v>75</v>
      </c>
      <c r="V3308">
        <v>94</v>
      </c>
      <c r="W3308" t="str">
        <f t="shared" si="311"/>
        <v>Normal</v>
      </c>
      <c r="X3308">
        <v>0</v>
      </c>
    </row>
    <row r="3309" spans="1:24" ht="14.5" thickBot="1" x14ac:dyDescent="0.35">
      <c r="A3309">
        <v>0</v>
      </c>
      <c r="B3309" t="str">
        <f t="shared" si="309"/>
        <v>Female</v>
      </c>
      <c r="C3309" s="8">
        <v>57</v>
      </c>
      <c r="D3309" t="str">
        <f t="shared" si="310"/>
        <v>Senior</v>
      </c>
      <c r="E3309">
        <v>2</v>
      </c>
      <c r="F3309" t="str">
        <f>HLOOKUP(E3309, LookUP_Table!$A$6:$D$7, 2, FALSE)</f>
        <v>Secondary</v>
      </c>
      <c r="G3309" t="str">
        <f>IFERROR(VLOOKUP(E3309, LookUP_Table!$A$1:$B$4, 2, FALSE), "")</f>
        <v>Secondary</v>
      </c>
      <c r="H3309">
        <v>1</v>
      </c>
      <c r="I3309">
        <v>10</v>
      </c>
      <c r="J3309" t="str">
        <f t="shared" si="306"/>
        <v>Smoker</v>
      </c>
      <c r="K3309">
        <v>1</v>
      </c>
      <c r="L3309">
        <v>0</v>
      </c>
      <c r="M3309">
        <v>1</v>
      </c>
      <c r="N3309">
        <v>0</v>
      </c>
      <c r="O3309">
        <v>272</v>
      </c>
      <c r="P3309" t="str">
        <f t="shared" si="307"/>
        <v>High</v>
      </c>
      <c r="Q3309">
        <v>157</v>
      </c>
      <c r="R3309">
        <v>80</v>
      </c>
      <c r="S3309">
        <v>25.15</v>
      </c>
      <c r="T3309" t="str">
        <f t="shared" si="308"/>
        <v>Overweight</v>
      </c>
      <c r="U3309">
        <v>70</v>
      </c>
      <c r="V3309">
        <v>95</v>
      </c>
      <c r="W3309" t="str">
        <f t="shared" si="311"/>
        <v>Normal</v>
      </c>
      <c r="X3309">
        <v>1</v>
      </c>
    </row>
    <row r="3310" spans="1:24" ht="14.5" thickBot="1" x14ac:dyDescent="0.35">
      <c r="A3310">
        <v>1</v>
      </c>
      <c r="B3310" t="str">
        <f t="shared" si="309"/>
        <v>Male</v>
      </c>
      <c r="C3310" s="8">
        <v>57</v>
      </c>
      <c r="D3310" t="str">
        <f t="shared" si="310"/>
        <v>Senior</v>
      </c>
      <c r="E3310">
        <v>1</v>
      </c>
      <c r="F3310" t="str">
        <f>HLOOKUP(E3310, LookUP_Table!$A$6:$D$7, 2, FALSE)</f>
        <v>Primary</v>
      </c>
      <c r="G3310" t="str">
        <f>IFERROR(VLOOKUP(E3310, LookUP_Table!$A$1:$B$4, 2, FALSE), "")</f>
        <v>Primary</v>
      </c>
      <c r="H3310">
        <v>0</v>
      </c>
      <c r="I3310">
        <v>0</v>
      </c>
      <c r="J3310" t="str">
        <f t="shared" si="306"/>
        <v>Non-Smoker</v>
      </c>
      <c r="K3310">
        <v>0</v>
      </c>
      <c r="L3310">
        <v>0</v>
      </c>
      <c r="M3310">
        <v>0</v>
      </c>
      <c r="N3310">
        <v>0</v>
      </c>
      <c r="O3310">
        <v>201</v>
      </c>
      <c r="P3310" t="str">
        <f t="shared" si="307"/>
        <v>Normal</v>
      </c>
      <c r="Q3310">
        <v>108.5</v>
      </c>
      <c r="R3310">
        <v>70.5</v>
      </c>
      <c r="S3310">
        <v>22.9</v>
      </c>
      <c r="T3310" t="str">
        <f t="shared" si="308"/>
        <v>Normal</v>
      </c>
      <c r="U3310">
        <v>50</v>
      </c>
      <c r="V3310">
        <v>84</v>
      </c>
      <c r="W3310" t="str">
        <f t="shared" si="311"/>
        <v>Normal</v>
      </c>
      <c r="X3310">
        <v>0</v>
      </c>
    </row>
    <row r="3311" spans="1:24" ht="14.5" thickBot="1" x14ac:dyDescent="0.35">
      <c r="A3311">
        <v>1</v>
      </c>
      <c r="B3311" t="str">
        <f t="shared" si="309"/>
        <v>Male</v>
      </c>
      <c r="C3311" s="8">
        <v>57</v>
      </c>
      <c r="D3311" t="str">
        <f t="shared" si="310"/>
        <v>Senior</v>
      </c>
      <c r="E3311">
        <v>1</v>
      </c>
      <c r="F3311" t="str">
        <f>HLOOKUP(E3311, LookUP_Table!$A$6:$D$7, 2, FALSE)</f>
        <v>Primary</v>
      </c>
      <c r="G3311" t="str">
        <f>IFERROR(VLOOKUP(E3311, LookUP_Table!$A$1:$B$4, 2, FALSE), "")</f>
        <v>Primary</v>
      </c>
      <c r="H3311">
        <v>0</v>
      </c>
      <c r="I3311">
        <v>0</v>
      </c>
      <c r="J3311" t="str">
        <f t="shared" si="306"/>
        <v>Non-Smoker</v>
      </c>
      <c r="K3311">
        <v>0</v>
      </c>
      <c r="L3311">
        <v>0</v>
      </c>
      <c r="M3311">
        <v>0</v>
      </c>
      <c r="N3311">
        <v>0</v>
      </c>
      <c r="O3311">
        <v>176</v>
      </c>
      <c r="P3311" t="str">
        <f t="shared" si="307"/>
        <v>Normal</v>
      </c>
      <c r="Q3311">
        <v>147.5</v>
      </c>
      <c r="R3311">
        <v>87.5</v>
      </c>
      <c r="S3311">
        <v>24.15</v>
      </c>
      <c r="T3311" t="str">
        <f t="shared" si="308"/>
        <v>Normal</v>
      </c>
      <c r="U3311">
        <v>85</v>
      </c>
      <c r="V3311">
        <v>100</v>
      </c>
      <c r="W3311" t="str">
        <f t="shared" si="311"/>
        <v>Prediabetes</v>
      </c>
      <c r="X3311">
        <v>0</v>
      </c>
    </row>
    <row r="3312" spans="1:24" ht="14.5" thickBot="1" x14ac:dyDescent="0.35">
      <c r="A3312">
        <v>1</v>
      </c>
      <c r="B3312" t="str">
        <f t="shared" si="309"/>
        <v>Male</v>
      </c>
      <c r="C3312" s="8">
        <v>57</v>
      </c>
      <c r="D3312" t="str">
        <f t="shared" si="310"/>
        <v>Senior</v>
      </c>
      <c r="E3312">
        <v>2</v>
      </c>
      <c r="F3312" t="str">
        <f>HLOOKUP(E3312, LookUP_Table!$A$6:$D$7, 2, FALSE)</f>
        <v>Secondary</v>
      </c>
      <c r="G3312" t="str">
        <f>IFERROR(VLOOKUP(E3312, LookUP_Table!$A$1:$B$4, 2, FALSE), "")</f>
        <v>Secondary</v>
      </c>
      <c r="H3312">
        <v>1</v>
      </c>
      <c r="I3312">
        <v>20</v>
      </c>
      <c r="J3312" t="str">
        <f t="shared" si="306"/>
        <v>Smoker</v>
      </c>
      <c r="K3312">
        <v>0</v>
      </c>
      <c r="L3312">
        <v>0</v>
      </c>
      <c r="M3312">
        <v>0</v>
      </c>
      <c r="N3312">
        <v>0</v>
      </c>
      <c r="O3312">
        <v>210</v>
      </c>
      <c r="P3312" t="str">
        <f t="shared" si="307"/>
        <v>Normal</v>
      </c>
      <c r="Q3312">
        <v>120</v>
      </c>
      <c r="R3312">
        <v>77.5</v>
      </c>
      <c r="S3312">
        <v>27.14</v>
      </c>
      <c r="T3312" t="str">
        <f t="shared" si="308"/>
        <v>Overweight</v>
      </c>
      <c r="U3312">
        <v>77</v>
      </c>
      <c r="V3312">
        <v>71</v>
      </c>
      <c r="W3312" t="str">
        <f t="shared" si="311"/>
        <v>Normal</v>
      </c>
      <c r="X3312">
        <v>0</v>
      </c>
    </row>
    <row r="3313" spans="1:24" ht="14.5" thickBot="1" x14ac:dyDescent="0.35">
      <c r="A3313">
        <v>0</v>
      </c>
      <c r="B3313" t="str">
        <f t="shared" si="309"/>
        <v>Female</v>
      </c>
      <c r="C3313" s="8">
        <v>57</v>
      </c>
      <c r="D3313" t="str">
        <f t="shared" si="310"/>
        <v>Senior</v>
      </c>
      <c r="E3313">
        <v>1</v>
      </c>
      <c r="F3313" t="str">
        <f>HLOOKUP(E3313, LookUP_Table!$A$6:$D$7, 2, FALSE)</f>
        <v>Primary</v>
      </c>
      <c r="G3313" t="str">
        <f>IFERROR(VLOOKUP(E3313, LookUP_Table!$A$1:$B$4, 2, FALSE), "")</f>
        <v>Primary</v>
      </c>
      <c r="H3313">
        <v>0</v>
      </c>
      <c r="I3313">
        <v>0</v>
      </c>
      <c r="J3313" t="str">
        <f t="shared" si="306"/>
        <v>Non-Smoker</v>
      </c>
      <c r="K3313">
        <v>0</v>
      </c>
      <c r="L3313">
        <v>0</v>
      </c>
      <c r="M3313">
        <v>1</v>
      </c>
      <c r="N3313">
        <v>0</v>
      </c>
      <c r="O3313">
        <v>259</v>
      </c>
      <c r="P3313" t="str">
        <f t="shared" si="307"/>
        <v>High</v>
      </c>
      <c r="Q3313">
        <v>170</v>
      </c>
      <c r="R3313">
        <v>101</v>
      </c>
      <c r="S3313">
        <v>38.17</v>
      </c>
      <c r="T3313" t="str">
        <f t="shared" si="308"/>
        <v>Obese</v>
      </c>
      <c r="U3313">
        <v>85</v>
      </c>
      <c r="V3313">
        <v>75</v>
      </c>
      <c r="W3313" t="str">
        <f t="shared" si="311"/>
        <v>Normal</v>
      </c>
      <c r="X3313">
        <v>0</v>
      </c>
    </row>
    <row r="3314" spans="1:24" ht="14.5" thickBot="1" x14ac:dyDescent="0.35">
      <c r="A3314">
        <v>0</v>
      </c>
      <c r="B3314" t="str">
        <f t="shared" si="309"/>
        <v>Female</v>
      </c>
      <c r="C3314" s="8">
        <v>57</v>
      </c>
      <c r="D3314" t="str">
        <f t="shared" si="310"/>
        <v>Senior</v>
      </c>
      <c r="E3314">
        <v>1</v>
      </c>
      <c r="F3314" t="str">
        <f>HLOOKUP(E3314, LookUP_Table!$A$6:$D$7, 2, FALSE)</f>
        <v>Primary</v>
      </c>
      <c r="G3314" t="str">
        <f>IFERROR(VLOOKUP(E3314, LookUP_Table!$A$1:$B$4, 2, FALSE), "")</f>
        <v>Primary</v>
      </c>
      <c r="H3314">
        <v>0</v>
      </c>
      <c r="I3314">
        <v>0</v>
      </c>
      <c r="J3314" t="str">
        <f t="shared" si="306"/>
        <v>Non-Smoker</v>
      </c>
      <c r="K3314">
        <v>0</v>
      </c>
      <c r="L3314">
        <v>0</v>
      </c>
      <c r="M3314">
        <v>1</v>
      </c>
      <c r="N3314">
        <v>0</v>
      </c>
      <c r="O3314">
        <v>212</v>
      </c>
      <c r="P3314" t="str">
        <f t="shared" si="307"/>
        <v>Normal</v>
      </c>
      <c r="Q3314">
        <v>147</v>
      </c>
      <c r="R3314">
        <v>85</v>
      </c>
      <c r="S3314">
        <v>35.19</v>
      </c>
      <c r="T3314" t="str">
        <f t="shared" si="308"/>
        <v>Obese</v>
      </c>
      <c r="U3314">
        <v>65</v>
      </c>
      <c r="V3314">
        <v>85</v>
      </c>
      <c r="W3314" t="str">
        <f t="shared" si="311"/>
        <v>Normal</v>
      </c>
      <c r="X3314">
        <v>0</v>
      </c>
    </row>
    <row r="3315" spans="1:24" ht="14.5" thickBot="1" x14ac:dyDescent="0.35">
      <c r="A3315">
        <v>1</v>
      </c>
      <c r="B3315" t="str">
        <f t="shared" si="309"/>
        <v>Male</v>
      </c>
      <c r="C3315" s="8">
        <v>57</v>
      </c>
      <c r="D3315" t="str">
        <f t="shared" si="310"/>
        <v>Senior</v>
      </c>
      <c r="E3315">
        <v>4</v>
      </c>
      <c r="F3315" t="str">
        <f>HLOOKUP(E3315, LookUP_Table!$A$6:$D$7, 2, FALSE)</f>
        <v>Post Graduate</v>
      </c>
      <c r="G3315" t="str">
        <f>IFERROR(VLOOKUP(E3315, LookUP_Table!$A$1:$B$4, 2, FALSE), "")</f>
        <v>Post Graduate</v>
      </c>
      <c r="H3315">
        <v>0</v>
      </c>
      <c r="I3315">
        <v>0</v>
      </c>
      <c r="J3315" t="str">
        <f t="shared" si="306"/>
        <v>Non-Smoker</v>
      </c>
      <c r="K3315">
        <v>0</v>
      </c>
      <c r="L3315">
        <v>0</v>
      </c>
      <c r="M3315">
        <v>0</v>
      </c>
      <c r="N3315">
        <v>0</v>
      </c>
      <c r="O3315">
        <v>194</v>
      </c>
      <c r="P3315" t="str">
        <f t="shared" si="307"/>
        <v>Normal</v>
      </c>
      <c r="Q3315">
        <v>133</v>
      </c>
      <c r="R3315">
        <v>78</v>
      </c>
      <c r="S3315">
        <v>29.02</v>
      </c>
      <c r="T3315" t="str">
        <f t="shared" si="308"/>
        <v>Overweight</v>
      </c>
      <c r="U3315">
        <v>72</v>
      </c>
      <c r="V3315">
        <v>92</v>
      </c>
      <c r="W3315" t="str">
        <f t="shared" si="311"/>
        <v>Normal</v>
      </c>
      <c r="X3315">
        <v>0</v>
      </c>
    </row>
    <row r="3316" spans="1:24" ht="14.5" thickBot="1" x14ac:dyDescent="0.35">
      <c r="A3316">
        <v>0</v>
      </c>
      <c r="B3316" t="str">
        <f t="shared" si="309"/>
        <v>Female</v>
      </c>
      <c r="C3316" s="8">
        <v>58</v>
      </c>
      <c r="D3316" t="str">
        <f t="shared" si="310"/>
        <v>Senior</v>
      </c>
      <c r="E3316">
        <v>2</v>
      </c>
      <c r="F3316" t="str">
        <f>HLOOKUP(E3316, LookUP_Table!$A$6:$D$7, 2, FALSE)</f>
        <v>Secondary</v>
      </c>
      <c r="G3316" t="str">
        <f>IFERROR(VLOOKUP(E3316, LookUP_Table!$A$1:$B$4, 2, FALSE), "")</f>
        <v>Secondary</v>
      </c>
      <c r="H3316">
        <v>0</v>
      </c>
      <c r="I3316">
        <v>0</v>
      </c>
      <c r="J3316" t="str">
        <f t="shared" si="306"/>
        <v>Non-Smoker</v>
      </c>
      <c r="K3316">
        <v>0</v>
      </c>
      <c r="L3316">
        <v>0</v>
      </c>
      <c r="M3316">
        <v>1</v>
      </c>
      <c r="N3316">
        <v>0</v>
      </c>
      <c r="O3316">
        <v>195</v>
      </c>
      <c r="P3316" t="str">
        <f t="shared" si="307"/>
        <v>Normal</v>
      </c>
      <c r="Q3316">
        <v>153</v>
      </c>
      <c r="R3316">
        <v>80.5</v>
      </c>
      <c r="S3316">
        <v>23.36</v>
      </c>
      <c r="T3316" t="str">
        <f t="shared" si="308"/>
        <v>Normal</v>
      </c>
      <c r="U3316">
        <v>60</v>
      </c>
      <c r="V3316">
        <v>73</v>
      </c>
      <c r="W3316" t="str">
        <f t="shared" si="311"/>
        <v>Normal</v>
      </c>
      <c r="X3316">
        <v>0</v>
      </c>
    </row>
    <row r="3317" spans="1:24" ht="14.5" thickBot="1" x14ac:dyDescent="0.35">
      <c r="A3317">
        <v>0</v>
      </c>
      <c r="B3317" t="str">
        <f t="shared" si="309"/>
        <v>Female</v>
      </c>
      <c r="C3317" s="8">
        <v>58</v>
      </c>
      <c r="D3317" t="str">
        <f t="shared" si="310"/>
        <v>Senior</v>
      </c>
      <c r="E3317">
        <v>2</v>
      </c>
      <c r="F3317" t="str">
        <f>HLOOKUP(E3317, LookUP_Table!$A$6:$D$7, 2, FALSE)</f>
        <v>Secondary</v>
      </c>
      <c r="G3317" t="str">
        <f>IFERROR(VLOOKUP(E3317, LookUP_Table!$A$1:$B$4, 2, FALSE), "")</f>
        <v>Secondary</v>
      </c>
      <c r="H3317">
        <v>1</v>
      </c>
      <c r="I3317">
        <v>5</v>
      </c>
      <c r="J3317" t="str">
        <f t="shared" si="306"/>
        <v>Smoker</v>
      </c>
      <c r="K3317">
        <v>0</v>
      </c>
      <c r="L3317">
        <v>0</v>
      </c>
      <c r="M3317">
        <v>0</v>
      </c>
      <c r="N3317">
        <v>0</v>
      </c>
      <c r="O3317">
        <v>215</v>
      </c>
      <c r="P3317" t="str">
        <f t="shared" si="307"/>
        <v>Normal</v>
      </c>
      <c r="Q3317">
        <v>170</v>
      </c>
      <c r="R3317">
        <v>86</v>
      </c>
      <c r="S3317">
        <v>29.06</v>
      </c>
      <c r="T3317" t="str">
        <f t="shared" si="308"/>
        <v>Overweight</v>
      </c>
      <c r="U3317">
        <v>75</v>
      </c>
      <c r="V3317">
        <v>98</v>
      </c>
      <c r="W3317" t="str">
        <f t="shared" si="311"/>
        <v>Normal</v>
      </c>
      <c r="X3317">
        <v>0</v>
      </c>
    </row>
    <row r="3318" spans="1:24" ht="14.5" thickBot="1" x14ac:dyDescent="0.35">
      <c r="A3318">
        <v>0</v>
      </c>
      <c r="B3318" t="str">
        <f t="shared" si="309"/>
        <v>Female</v>
      </c>
      <c r="C3318" s="8">
        <v>58</v>
      </c>
      <c r="D3318" t="str">
        <f t="shared" si="310"/>
        <v>Senior</v>
      </c>
      <c r="E3318">
        <v>3</v>
      </c>
      <c r="F3318" t="str">
        <f>HLOOKUP(E3318, LookUP_Table!$A$6:$D$7, 2, FALSE)</f>
        <v>Graduate</v>
      </c>
      <c r="G3318" t="str">
        <f>IFERROR(VLOOKUP(E3318, LookUP_Table!$A$1:$B$4, 2, FALSE), "")</f>
        <v>Graduate</v>
      </c>
      <c r="H3318">
        <v>0</v>
      </c>
      <c r="I3318">
        <v>0</v>
      </c>
      <c r="J3318" t="str">
        <f t="shared" si="306"/>
        <v>Non-Smoker</v>
      </c>
      <c r="K3318">
        <v>0</v>
      </c>
      <c r="L3318">
        <v>0</v>
      </c>
      <c r="M3318">
        <v>1</v>
      </c>
      <c r="N3318">
        <v>0</v>
      </c>
      <c r="O3318">
        <v>287</v>
      </c>
      <c r="P3318" t="str">
        <f t="shared" si="307"/>
        <v>High</v>
      </c>
      <c r="Q3318">
        <v>144</v>
      </c>
      <c r="R3318">
        <v>84</v>
      </c>
      <c r="S3318">
        <v>21.81</v>
      </c>
      <c r="T3318" t="str">
        <f t="shared" si="308"/>
        <v>Normal</v>
      </c>
      <c r="U3318">
        <v>69</v>
      </c>
      <c r="V3318">
        <v>68</v>
      </c>
      <c r="W3318" t="str">
        <f t="shared" si="311"/>
        <v>Normal</v>
      </c>
      <c r="X3318">
        <v>0</v>
      </c>
    </row>
    <row r="3319" spans="1:24" ht="14.5" thickBot="1" x14ac:dyDescent="0.35">
      <c r="A3319">
        <v>0</v>
      </c>
      <c r="B3319" t="str">
        <f t="shared" si="309"/>
        <v>Female</v>
      </c>
      <c r="C3319" s="8">
        <v>58</v>
      </c>
      <c r="D3319" t="str">
        <f t="shared" si="310"/>
        <v>Senior</v>
      </c>
      <c r="E3319">
        <v>1</v>
      </c>
      <c r="F3319" t="str">
        <f>HLOOKUP(E3319, LookUP_Table!$A$6:$D$7, 2, FALSE)</f>
        <v>Primary</v>
      </c>
      <c r="G3319" t="str">
        <f>IFERROR(VLOOKUP(E3319, LookUP_Table!$A$1:$B$4, 2, FALSE), "")</f>
        <v>Primary</v>
      </c>
      <c r="H3319">
        <v>0</v>
      </c>
      <c r="I3319">
        <v>0</v>
      </c>
      <c r="J3319" t="str">
        <f t="shared" si="306"/>
        <v>Non-Smoker</v>
      </c>
      <c r="K3319">
        <v>0</v>
      </c>
      <c r="L3319">
        <v>0</v>
      </c>
      <c r="M3319">
        <v>1</v>
      </c>
      <c r="N3319">
        <v>0</v>
      </c>
      <c r="O3319">
        <v>200</v>
      </c>
      <c r="P3319" t="str">
        <f t="shared" si="307"/>
        <v>Normal</v>
      </c>
      <c r="Q3319">
        <v>158</v>
      </c>
      <c r="R3319">
        <v>101</v>
      </c>
      <c r="S3319">
        <v>23.06</v>
      </c>
      <c r="T3319" t="str">
        <f t="shared" si="308"/>
        <v>Normal</v>
      </c>
      <c r="U3319">
        <v>85</v>
      </c>
      <c r="V3319">
        <v>77</v>
      </c>
      <c r="W3319" t="str">
        <f t="shared" si="311"/>
        <v>Normal</v>
      </c>
      <c r="X3319">
        <v>1</v>
      </c>
    </row>
    <row r="3320" spans="1:24" ht="14.5" thickBot="1" x14ac:dyDescent="0.35">
      <c r="A3320">
        <v>0</v>
      </c>
      <c r="B3320" t="str">
        <f t="shared" si="309"/>
        <v>Female</v>
      </c>
      <c r="C3320" s="8">
        <v>58</v>
      </c>
      <c r="D3320" t="str">
        <f t="shared" si="310"/>
        <v>Senior</v>
      </c>
      <c r="E3320">
        <v>2</v>
      </c>
      <c r="F3320" t="str">
        <f>HLOOKUP(E3320, LookUP_Table!$A$6:$D$7, 2, FALSE)</f>
        <v>Secondary</v>
      </c>
      <c r="G3320" t="str">
        <f>IFERROR(VLOOKUP(E3320, LookUP_Table!$A$1:$B$4, 2, FALSE), "")</f>
        <v>Secondary</v>
      </c>
      <c r="H3320">
        <v>1</v>
      </c>
      <c r="I3320">
        <v>5</v>
      </c>
      <c r="J3320" t="str">
        <f t="shared" si="306"/>
        <v>Smoker</v>
      </c>
      <c r="K3320">
        <v>0</v>
      </c>
      <c r="L3320">
        <v>0</v>
      </c>
      <c r="M3320">
        <v>0</v>
      </c>
      <c r="N3320">
        <v>0</v>
      </c>
      <c r="O3320">
        <v>177</v>
      </c>
      <c r="P3320" t="str">
        <f t="shared" si="307"/>
        <v>Normal</v>
      </c>
      <c r="Q3320">
        <v>114</v>
      </c>
      <c r="R3320">
        <v>72.5</v>
      </c>
      <c r="S3320">
        <v>24.77</v>
      </c>
      <c r="T3320" t="str">
        <f t="shared" si="308"/>
        <v>Normal</v>
      </c>
      <c r="U3320">
        <v>87</v>
      </c>
      <c r="V3320">
        <v>81.96365524402907</v>
      </c>
      <c r="W3320" t="str">
        <f t="shared" si="311"/>
        <v>Normal</v>
      </c>
      <c r="X3320">
        <v>0</v>
      </c>
    </row>
    <row r="3321" spans="1:24" ht="14.5" thickBot="1" x14ac:dyDescent="0.35">
      <c r="A3321">
        <v>0</v>
      </c>
      <c r="B3321" t="str">
        <f t="shared" si="309"/>
        <v>Female</v>
      </c>
      <c r="C3321" s="8">
        <v>58</v>
      </c>
      <c r="D3321" t="str">
        <f t="shared" si="310"/>
        <v>Senior</v>
      </c>
      <c r="E3321">
        <v>3</v>
      </c>
      <c r="F3321" t="str">
        <f>HLOOKUP(E3321, LookUP_Table!$A$6:$D$7, 2, FALSE)</f>
        <v>Graduate</v>
      </c>
      <c r="G3321" t="str">
        <f>IFERROR(VLOOKUP(E3321, LookUP_Table!$A$1:$B$4, 2, FALSE), "")</f>
        <v>Graduate</v>
      </c>
      <c r="H3321">
        <v>1</v>
      </c>
      <c r="I3321">
        <v>3</v>
      </c>
      <c r="J3321" t="str">
        <f t="shared" si="306"/>
        <v>Smoker</v>
      </c>
      <c r="K3321">
        <v>0</v>
      </c>
      <c r="L3321">
        <v>0</v>
      </c>
      <c r="M3321">
        <v>0</v>
      </c>
      <c r="N3321">
        <v>0</v>
      </c>
      <c r="O3321">
        <v>290</v>
      </c>
      <c r="P3321" t="str">
        <f t="shared" si="307"/>
        <v>High</v>
      </c>
      <c r="Q3321">
        <v>155</v>
      </c>
      <c r="R3321">
        <v>82.5</v>
      </c>
      <c r="S3321">
        <v>29.5</v>
      </c>
      <c r="T3321" t="str">
        <f t="shared" si="308"/>
        <v>Overweight</v>
      </c>
      <c r="U3321">
        <v>85</v>
      </c>
      <c r="V3321">
        <v>113</v>
      </c>
      <c r="W3321" t="str">
        <f t="shared" si="311"/>
        <v>Prediabetes</v>
      </c>
      <c r="X3321">
        <v>1</v>
      </c>
    </row>
    <row r="3322" spans="1:24" ht="14.5" thickBot="1" x14ac:dyDescent="0.35">
      <c r="A3322">
        <v>0</v>
      </c>
      <c r="B3322" t="str">
        <f t="shared" si="309"/>
        <v>Female</v>
      </c>
      <c r="C3322" s="8">
        <v>58</v>
      </c>
      <c r="D3322" t="str">
        <f t="shared" si="310"/>
        <v>Senior</v>
      </c>
      <c r="E3322">
        <v>3</v>
      </c>
      <c r="F3322" t="str">
        <f>HLOOKUP(E3322, LookUP_Table!$A$6:$D$7, 2, FALSE)</f>
        <v>Graduate</v>
      </c>
      <c r="G3322" t="str">
        <f>IFERROR(VLOOKUP(E3322, LookUP_Table!$A$1:$B$4, 2, FALSE), "")</f>
        <v>Graduate</v>
      </c>
      <c r="H3322">
        <v>0</v>
      </c>
      <c r="I3322">
        <v>0</v>
      </c>
      <c r="J3322" t="str">
        <f t="shared" si="306"/>
        <v>Non-Smoker</v>
      </c>
      <c r="K3322">
        <v>0</v>
      </c>
      <c r="L3322">
        <v>0</v>
      </c>
      <c r="M3322">
        <v>1</v>
      </c>
      <c r="N3322">
        <v>0</v>
      </c>
      <c r="O3322">
        <v>188</v>
      </c>
      <c r="P3322" t="str">
        <f t="shared" si="307"/>
        <v>Normal</v>
      </c>
      <c r="Q3322">
        <v>160</v>
      </c>
      <c r="R3322">
        <v>120</v>
      </c>
      <c r="S3322">
        <v>35.58</v>
      </c>
      <c r="T3322" t="str">
        <f t="shared" si="308"/>
        <v>Obese</v>
      </c>
      <c r="U3322">
        <v>88</v>
      </c>
      <c r="V3322">
        <v>85</v>
      </c>
      <c r="W3322" t="str">
        <f t="shared" si="311"/>
        <v>Normal</v>
      </c>
      <c r="X3322">
        <v>0</v>
      </c>
    </row>
    <row r="3323" spans="1:24" ht="14.5" thickBot="1" x14ac:dyDescent="0.35">
      <c r="A3323">
        <v>0</v>
      </c>
      <c r="B3323" t="str">
        <f t="shared" si="309"/>
        <v>Female</v>
      </c>
      <c r="C3323" s="8">
        <v>58</v>
      </c>
      <c r="D3323" t="str">
        <f t="shared" si="310"/>
        <v>Senior</v>
      </c>
      <c r="E3323">
        <v>1</v>
      </c>
      <c r="F3323" t="str">
        <f>HLOOKUP(E3323, LookUP_Table!$A$6:$D$7, 2, FALSE)</f>
        <v>Primary</v>
      </c>
      <c r="G3323" t="str">
        <f>IFERROR(VLOOKUP(E3323, LookUP_Table!$A$1:$B$4, 2, FALSE), "")</f>
        <v>Primary</v>
      </c>
      <c r="H3323">
        <v>0</v>
      </c>
      <c r="I3323">
        <v>0</v>
      </c>
      <c r="J3323" t="str">
        <f t="shared" si="306"/>
        <v>Non-Smoker</v>
      </c>
      <c r="K3323">
        <v>0</v>
      </c>
      <c r="L3323">
        <v>0</v>
      </c>
      <c r="M3323">
        <v>0</v>
      </c>
      <c r="N3323">
        <v>0</v>
      </c>
      <c r="O3323">
        <v>234</v>
      </c>
      <c r="P3323" t="str">
        <f t="shared" si="307"/>
        <v>Normal</v>
      </c>
      <c r="Q3323">
        <v>137.5</v>
      </c>
      <c r="R3323">
        <v>89.5</v>
      </c>
      <c r="S3323">
        <v>24.25</v>
      </c>
      <c r="T3323" t="str">
        <f t="shared" si="308"/>
        <v>Normal</v>
      </c>
      <c r="U3323">
        <v>58</v>
      </c>
      <c r="V3323">
        <v>72</v>
      </c>
      <c r="W3323" t="str">
        <f t="shared" si="311"/>
        <v>Normal</v>
      </c>
      <c r="X3323">
        <v>0</v>
      </c>
    </row>
    <row r="3324" spans="1:24" ht="14.5" thickBot="1" x14ac:dyDescent="0.35">
      <c r="A3324">
        <v>0</v>
      </c>
      <c r="B3324" t="str">
        <f t="shared" si="309"/>
        <v>Female</v>
      </c>
      <c r="C3324" s="8">
        <v>58</v>
      </c>
      <c r="D3324" t="str">
        <f t="shared" si="310"/>
        <v>Senior</v>
      </c>
      <c r="E3324">
        <v>3</v>
      </c>
      <c r="F3324" t="str">
        <f>HLOOKUP(E3324, LookUP_Table!$A$6:$D$7, 2, FALSE)</f>
        <v>Graduate</v>
      </c>
      <c r="G3324" t="str">
        <f>IFERROR(VLOOKUP(E3324, LookUP_Table!$A$1:$B$4, 2, FALSE), "")</f>
        <v>Graduate</v>
      </c>
      <c r="H3324">
        <v>1</v>
      </c>
      <c r="I3324">
        <v>20</v>
      </c>
      <c r="J3324" t="str">
        <f t="shared" si="306"/>
        <v>Smoker</v>
      </c>
      <c r="K3324">
        <v>0</v>
      </c>
      <c r="L3324">
        <v>0</v>
      </c>
      <c r="M3324">
        <v>0</v>
      </c>
      <c r="N3324">
        <v>0</v>
      </c>
      <c r="O3324">
        <v>281</v>
      </c>
      <c r="P3324" t="str">
        <f t="shared" si="307"/>
        <v>High</v>
      </c>
      <c r="Q3324">
        <v>134</v>
      </c>
      <c r="R3324">
        <v>81</v>
      </c>
      <c r="S3324">
        <v>22.54</v>
      </c>
      <c r="T3324" t="str">
        <f t="shared" si="308"/>
        <v>Normal</v>
      </c>
      <c r="U3324">
        <v>58</v>
      </c>
      <c r="V3324">
        <v>74</v>
      </c>
      <c r="W3324" t="str">
        <f t="shared" si="311"/>
        <v>Normal</v>
      </c>
      <c r="X3324">
        <v>0</v>
      </c>
    </row>
    <row r="3325" spans="1:24" ht="14.5" thickBot="1" x14ac:dyDescent="0.35">
      <c r="A3325">
        <v>0</v>
      </c>
      <c r="B3325" t="str">
        <f t="shared" si="309"/>
        <v>Female</v>
      </c>
      <c r="C3325" s="8">
        <v>58</v>
      </c>
      <c r="D3325" t="str">
        <f t="shared" si="310"/>
        <v>Senior</v>
      </c>
      <c r="E3325">
        <v>1</v>
      </c>
      <c r="F3325" t="str">
        <f>HLOOKUP(E3325, LookUP_Table!$A$6:$D$7, 2, FALSE)</f>
        <v>Primary</v>
      </c>
      <c r="G3325" t="str">
        <f>IFERROR(VLOOKUP(E3325, LookUP_Table!$A$1:$B$4, 2, FALSE), "")</f>
        <v>Primary</v>
      </c>
      <c r="H3325">
        <v>1</v>
      </c>
      <c r="I3325">
        <v>20</v>
      </c>
      <c r="J3325" t="str">
        <f t="shared" si="306"/>
        <v>Smoker</v>
      </c>
      <c r="K3325">
        <v>0</v>
      </c>
      <c r="L3325">
        <v>0</v>
      </c>
      <c r="M3325">
        <v>0</v>
      </c>
      <c r="N3325">
        <v>0</v>
      </c>
      <c r="O3325">
        <v>236.69952267303103</v>
      </c>
      <c r="P3325" t="str">
        <f t="shared" si="307"/>
        <v>Normal</v>
      </c>
      <c r="Q3325">
        <v>126</v>
      </c>
      <c r="R3325">
        <v>77</v>
      </c>
      <c r="S3325">
        <v>30.08</v>
      </c>
      <c r="T3325" t="str">
        <f t="shared" si="308"/>
        <v>Obese</v>
      </c>
      <c r="U3325">
        <v>78</v>
      </c>
      <c r="V3325">
        <v>81.96365524402907</v>
      </c>
      <c r="W3325" t="str">
        <f t="shared" si="311"/>
        <v>Normal</v>
      </c>
      <c r="X3325">
        <v>0</v>
      </c>
    </row>
    <row r="3326" spans="1:24" ht="14.5" thickBot="1" x14ac:dyDescent="0.35">
      <c r="A3326">
        <v>1</v>
      </c>
      <c r="B3326" t="str">
        <f t="shared" si="309"/>
        <v>Male</v>
      </c>
      <c r="C3326" s="8">
        <v>58</v>
      </c>
      <c r="D3326" t="str">
        <f t="shared" si="310"/>
        <v>Senior</v>
      </c>
      <c r="E3326">
        <v>4</v>
      </c>
      <c r="F3326" t="str">
        <f>HLOOKUP(E3326, LookUP_Table!$A$6:$D$7, 2, FALSE)</f>
        <v>Post Graduate</v>
      </c>
      <c r="G3326" t="str">
        <f>IFERROR(VLOOKUP(E3326, LookUP_Table!$A$1:$B$4, 2, FALSE), "")</f>
        <v>Post Graduate</v>
      </c>
      <c r="H3326">
        <v>1</v>
      </c>
      <c r="I3326">
        <v>30</v>
      </c>
      <c r="J3326" t="str">
        <f t="shared" si="306"/>
        <v>Smoker</v>
      </c>
      <c r="K3326">
        <v>0</v>
      </c>
      <c r="L3326">
        <v>0</v>
      </c>
      <c r="M3326">
        <v>0</v>
      </c>
      <c r="N3326">
        <v>0</v>
      </c>
      <c r="O3326">
        <v>234</v>
      </c>
      <c r="P3326" t="str">
        <f t="shared" si="307"/>
        <v>Normal</v>
      </c>
      <c r="Q3326">
        <v>167.5</v>
      </c>
      <c r="R3326">
        <v>95</v>
      </c>
      <c r="S3326">
        <v>27.73</v>
      </c>
      <c r="T3326" t="str">
        <f t="shared" si="308"/>
        <v>Overweight</v>
      </c>
      <c r="U3326">
        <v>71</v>
      </c>
      <c r="V3326">
        <v>66</v>
      </c>
      <c r="W3326" t="str">
        <f t="shared" si="311"/>
        <v>Normal</v>
      </c>
      <c r="X3326">
        <v>0</v>
      </c>
    </row>
    <row r="3327" spans="1:24" ht="14.5" thickBot="1" x14ac:dyDescent="0.35">
      <c r="A3327">
        <v>0</v>
      </c>
      <c r="B3327" t="str">
        <f t="shared" si="309"/>
        <v>Female</v>
      </c>
      <c r="C3327" s="8">
        <v>58</v>
      </c>
      <c r="D3327" t="str">
        <f t="shared" si="310"/>
        <v>Senior</v>
      </c>
      <c r="E3327">
        <v>2</v>
      </c>
      <c r="F3327" t="str">
        <f>HLOOKUP(E3327, LookUP_Table!$A$6:$D$7, 2, FALSE)</f>
        <v>Secondary</v>
      </c>
      <c r="G3327" t="str">
        <f>IFERROR(VLOOKUP(E3327, LookUP_Table!$A$1:$B$4, 2, FALSE), "")</f>
        <v>Secondary</v>
      </c>
      <c r="H3327">
        <v>0</v>
      </c>
      <c r="I3327">
        <v>0</v>
      </c>
      <c r="J3327" t="str">
        <f t="shared" si="306"/>
        <v>Non-Smoker</v>
      </c>
      <c r="K3327">
        <v>0</v>
      </c>
      <c r="L3327">
        <v>0</v>
      </c>
      <c r="M3327">
        <v>1</v>
      </c>
      <c r="N3327">
        <v>0</v>
      </c>
      <c r="O3327">
        <v>270</v>
      </c>
      <c r="P3327" t="str">
        <f t="shared" si="307"/>
        <v>High</v>
      </c>
      <c r="Q3327">
        <v>145</v>
      </c>
      <c r="R3327">
        <v>95</v>
      </c>
      <c r="S3327">
        <v>23.17</v>
      </c>
      <c r="T3327" t="str">
        <f t="shared" si="308"/>
        <v>Normal</v>
      </c>
      <c r="U3327">
        <v>77</v>
      </c>
      <c r="V3327">
        <v>120</v>
      </c>
      <c r="W3327" t="str">
        <f t="shared" si="311"/>
        <v>Prediabetes</v>
      </c>
      <c r="X3327">
        <v>0</v>
      </c>
    </row>
    <row r="3328" spans="1:24" ht="14.5" thickBot="1" x14ac:dyDescent="0.35">
      <c r="A3328">
        <v>1</v>
      </c>
      <c r="B3328" t="str">
        <f t="shared" si="309"/>
        <v>Male</v>
      </c>
      <c r="C3328" s="8">
        <v>58</v>
      </c>
      <c r="D3328" t="str">
        <f t="shared" si="310"/>
        <v>Senior</v>
      </c>
      <c r="E3328">
        <v>1</v>
      </c>
      <c r="F3328" t="str">
        <f>HLOOKUP(E3328, LookUP_Table!$A$6:$D$7, 2, FALSE)</f>
        <v>Primary</v>
      </c>
      <c r="G3328" t="str">
        <f>IFERROR(VLOOKUP(E3328, LookUP_Table!$A$1:$B$4, 2, FALSE), "")</f>
        <v>Primary</v>
      </c>
      <c r="H3328">
        <v>1</v>
      </c>
      <c r="I3328">
        <v>20</v>
      </c>
      <c r="J3328" t="str">
        <f t="shared" si="306"/>
        <v>Smoker</v>
      </c>
      <c r="K3328">
        <v>0</v>
      </c>
      <c r="L3328">
        <v>0</v>
      </c>
      <c r="M3328">
        <v>0</v>
      </c>
      <c r="N3328">
        <v>0</v>
      </c>
      <c r="O3328">
        <v>251</v>
      </c>
      <c r="P3328" t="str">
        <f t="shared" si="307"/>
        <v>High</v>
      </c>
      <c r="Q3328">
        <v>135</v>
      </c>
      <c r="R3328">
        <v>85.5</v>
      </c>
      <c r="S3328">
        <v>21.24</v>
      </c>
      <c r="T3328" t="str">
        <f t="shared" si="308"/>
        <v>Normal</v>
      </c>
      <c r="U3328">
        <v>88</v>
      </c>
      <c r="V3328">
        <v>103</v>
      </c>
      <c r="W3328" t="str">
        <f t="shared" si="311"/>
        <v>Prediabetes</v>
      </c>
      <c r="X3328">
        <v>0</v>
      </c>
    </row>
    <row r="3329" spans="1:24" ht="14.5" thickBot="1" x14ac:dyDescent="0.35">
      <c r="A3329">
        <v>0</v>
      </c>
      <c r="B3329" t="str">
        <f t="shared" si="309"/>
        <v>Female</v>
      </c>
      <c r="C3329" s="8">
        <v>58</v>
      </c>
      <c r="D3329" t="str">
        <f t="shared" si="310"/>
        <v>Senior</v>
      </c>
      <c r="E3329">
        <v>1</v>
      </c>
      <c r="F3329" t="str">
        <f>HLOOKUP(E3329, LookUP_Table!$A$6:$D$7, 2, FALSE)</f>
        <v>Primary</v>
      </c>
      <c r="G3329" t="str">
        <f>IFERROR(VLOOKUP(E3329, LookUP_Table!$A$1:$B$4, 2, FALSE), "")</f>
        <v>Primary</v>
      </c>
      <c r="H3329">
        <v>0</v>
      </c>
      <c r="I3329">
        <v>0</v>
      </c>
      <c r="J3329" t="str">
        <f t="shared" si="306"/>
        <v>Non-Smoker</v>
      </c>
      <c r="K3329">
        <v>0</v>
      </c>
      <c r="L3329">
        <v>0</v>
      </c>
      <c r="M3329">
        <v>0</v>
      </c>
      <c r="N3329">
        <v>0</v>
      </c>
      <c r="O3329">
        <v>229</v>
      </c>
      <c r="P3329" t="str">
        <f t="shared" si="307"/>
        <v>Normal</v>
      </c>
      <c r="Q3329">
        <v>128</v>
      </c>
      <c r="R3329">
        <v>76</v>
      </c>
      <c r="S3329">
        <v>32.49</v>
      </c>
      <c r="T3329" t="str">
        <f t="shared" si="308"/>
        <v>Obese</v>
      </c>
      <c r="U3329">
        <v>68</v>
      </c>
      <c r="V3329">
        <v>75</v>
      </c>
      <c r="W3329" t="str">
        <f t="shared" si="311"/>
        <v>Normal</v>
      </c>
      <c r="X3329">
        <v>0</v>
      </c>
    </row>
    <row r="3330" spans="1:24" ht="14.5" thickBot="1" x14ac:dyDescent="0.35">
      <c r="A3330">
        <v>0</v>
      </c>
      <c r="B3330" t="str">
        <f t="shared" si="309"/>
        <v>Female</v>
      </c>
      <c r="C3330" s="8">
        <v>58</v>
      </c>
      <c r="D3330" t="str">
        <f t="shared" si="310"/>
        <v>Senior</v>
      </c>
      <c r="E3330">
        <v>1</v>
      </c>
      <c r="F3330" t="str">
        <f>HLOOKUP(E3330, LookUP_Table!$A$6:$D$7, 2, FALSE)</f>
        <v>Primary</v>
      </c>
      <c r="G3330" t="str">
        <f>IFERROR(VLOOKUP(E3330, LookUP_Table!$A$1:$B$4, 2, FALSE), "")</f>
        <v>Primary</v>
      </c>
      <c r="H3330">
        <v>0</v>
      </c>
      <c r="I3330">
        <v>0</v>
      </c>
      <c r="J3330" t="str">
        <f t="shared" ref="J3330:J3393" si="312">IF(I3330&gt;0,"Smoker","Non-Smoker")</f>
        <v>Non-Smoker</v>
      </c>
      <c r="K3330">
        <v>0</v>
      </c>
      <c r="L3330">
        <v>1</v>
      </c>
      <c r="M3330">
        <v>1</v>
      </c>
      <c r="N3330">
        <v>1</v>
      </c>
      <c r="O3330">
        <v>267</v>
      </c>
      <c r="P3330" t="str">
        <f t="shared" ref="P3330:P3393" si="313">IF(O3330&gt;240,"High","Normal")</f>
        <v>High</v>
      </c>
      <c r="Q3330">
        <v>157</v>
      </c>
      <c r="R3330">
        <v>94</v>
      </c>
      <c r="S3330">
        <v>33.32</v>
      </c>
      <c r="T3330" t="str">
        <f t="shared" ref="T3330:T3393" si="314">IF(S3330&lt;18.5,"Underweight",
IF(S3330&lt;25,"Normal",
IF(S3330&lt;30,"Overweight","Obese")))</f>
        <v>Obese</v>
      </c>
      <c r="U3330">
        <v>92</v>
      </c>
      <c r="V3330">
        <v>205</v>
      </c>
      <c r="W3330" t="str">
        <f t="shared" si="311"/>
        <v>Diabetes</v>
      </c>
      <c r="X3330">
        <v>1</v>
      </c>
    </row>
    <row r="3331" spans="1:24" ht="14.5" thickBot="1" x14ac:dyDescent="0.35">
      <c r="A3331">
        <v>0</v>
      </c>
      <c r="B3331" t="str">
        <f t="shared" ref="B3331:B3394" si="315">IF(A3331=0,"Female","Male")</f>
        <v>Female</v>
      </c>
      <c r="C3331" s="8">
        <v>58</v>
      </c>
      <c r="D3331" t="str">
        <f t="shared" ref="D3331:D3394" si="316">IF(C3331&lt;40,"Young",
IF(C3331&lt;55,"Middle Age","Senior"))</f>
        <v>Senior</v>
      </c>
      <c r="E3331">
        <v>3</v>
      </c>
      <c r="F3331" t="str">
        <f>HLOOKUP(E3331, LookUP_Table!$A$6:$D$7, 2, FALSE)</f>
        <v>Graduate</v>
      </c>
      <c r="G3331" t="str">
        <f>IFERROR(VLOOKUP(E3331, LookUP_Table!$A$1:$B$4, 2, FALSE), "")</f>
        <v>Graduate</v>
      </c>
      <c r="H3331">
        <v>0</v>
      </c>
      <c r="I3331">
        <v>0</v>
      </c>
      <c r="J3331" t="str">
        <f t="shared" si="312"/>
        <v>Non-Smoker</v>
      </c>
      <c r="K3331">
        <v>0</v>
      </c>
      <c r="L3331">
        <v>0</v>
      </c>
      <c r="M3331">
        <v>0</v>
      </c>
      <c r="N3331">
        <v>0</v>
      </c>
      <c r="O3331">
        <v>326</v>
      </c>
      <c r="P3331" t="str">
        <f t="shared" si="313"/>
        <v>High</v>
      </c>
      <c r="Q3331">
        <v>120</v>
      </c>
      <c r="R3331">
        <v>70</v>
      </c>
      <c r="S3331">
        <v>24.69</v>
      </c>
      <c r="T3331" t="str">
        <f t="shared" si="314"/>
        <v>Normal</v>
      </c>
      <c r="U3331">
        <v>63</v>
      </c>
      <c r="V3331">
        <v>68</v>
      </c>
      <c r="W3331" t="str">
        <f t="shared" ref="W3331:W3394" si="317">IF(V3331 &lt; 100, "Normal", IF(V3331 &lt;= 125, "Prediabetes", "Diabetes"))</f>
        <v>Normal</v>
      </c>
      <c r="X3331">
        <v>0</v>
      </c>
    </row>
    <row r="3332" spans="1:24" ht="14.5" thickBot="1" x14ac:dyDescent="0.35">
      <c r="A3332">
        <v>1</v>
      </c>
      <c r="B3332" t="str">
        <f t="shared" si="315"/>
        <v>Male</v>
      </c>
      <c r="C3332" s="8">
        <v>58</v>
      </c>
      <c r="D3332" t="str">
        <f t="shared" si="316"/>
        <v>Senior</v>
      </c>
      <c r="E3332">
        <v>3</v>
      </c>
      <c r="F3332" t="str">
        <f>HLOOKUP(E3332, LookUP_Table!$A$6:$D$7, 2, FALSE)</f>
        <v>Graduate</v>
      </c>
      <c r="G3332" t="str">
        <f>IFERROR(VLOOKUP(E3332, LookUP_Table!$A$1:$B$4, 2, FALSE), "")</f>
        <v>Graduate</v>
      </c>
      <c r="H3332">
        <v>0</v>
      </c>
      <c r="I3332">
        <v>0</v>
      </c>
      <c r="J3332" t="str">
        <f t="shared" si="312"/>
        <v>Non-Smoker</v>
      </c>
      <c r="K3332">
        <v>0</v>
      </c>
      <c r="L3332">
        <v>0</v>
      </c>
      <c r="M3332">
        <v>0</v>
      </c>
      <c r="N3332">
        <v>0</v>
      </c>
      <c r="O3332">
        <v>266</v>
      </c>
      <c r="P3332" t="str">
        <f t="shared" si="313"/>
        <v>High</v>
      </c>
      <c r="Q3332">
        <v>138</v>
      </c>
      <c r="R3332">
        <v>83</v>
      </c>
      <c r="S3332">
        <v>30.64</v>
      </c>
      <c r="T3332" t="str">
        <f t="shared" si="314"/>
        <v>Obese</v>
      </c>
      <c r="U3332">
        <v>95</v>
      </c>
      <c r="V3332">
        <v>100</v>
      </c>
      <c r="W3332" t="str">
        <f t="shared" si="317"/>
        <v>Prediabetes</v>
      </c>
      <c r="X3332">
        <v>1</v>
      </c>
    </row>
    <row r="3333" spans="1:24" ht="14.5" thickBot="1" x14ac:dyDescent="0.35">
      <c r="A3333">
        <v>0</v>
      </c>
      <c r="B3333" t="str">
        <f t="shared" si="315"/>
        <v>Female</v>
      </c>
      <c r="C3333" s="8">
        <v>58</v>
      </c>
      <c r="D3333" t="str">
        <f t="shared" si="316"/>
        <v>Senior</v>
      </c>
      <c r="E3333">
        <v>2</v>
      </c>
      <c r="F3333" t="str">
        <f>HLOOKUP(E3333, LookUP_Table!$A$6:$D$7, 2, FALSE)</f>
        <v>Secondary</v>
      </c>
      <c r="G3333" t="str">
        <f>IFERROR(VLOOKUP(E3333, LookUP_Table!$A$1:$B$4, 2, FALSE), "")</f>
        <v>Secondary</v>
      </c>
      <c r="H3333">
        <v>1</v>
      </c>
      <c r="I3333">
        <v>30</v>
      </c>
      <c r="J3333" t="str">
        <f t="shared" si="312"/>
        <v>Smoker</v>
      </c>
      <c r="K3333">
        <v>0</v>
      </c>
      <c r="L3333">
        <v>0</v>
      </c>
      <c r="M3333">
        <v>0</v>
      </c>
      <c r="N3333">
        <v>0</v>
      </c>
      <c r="O3333">
        <v>234</v>
      </c>
      <c r="P3333" t="str">
        <f t="shared" si="313"/>
        <v>Normal</v>
      </c>
      <c r="Q3333">
        <v>113</v>
      </c>
      <c r="R3333">
        <v>77</v>
      </c>
      <c r="S3333">
        <v>20.68</v>
      </c>
      <c r="T3333" t="str">
        <f t="shared" si="314"/>
        <v>Normal</v>
      </c>
      <c r="U3333">
        <v>72</v>
      </c>
      <c r="V3333">
        <v>67</v>
      </c>
      <c r="W3333" t="str">
        <f t="shared" si="317"/>
        <v>Normal</v>
      </c>
      <c r="X3333">
        <v>0</v>
      </c>
    </row>
    <row r="3334" spans="1:24" ht="14.5" thickBot="1" x14ac:dyDescent="0.35">
      <c r="A3334">
        <v>0</v>
      </c>
      <c r="B3334" t="str">
        <f t="shared" si="315"/>
        <v>Female</v>
      </c>
      <c r="C3334" s="8">
        <v>58</v>
      </c>
      <c r="D3334" t="str">
        <f t="shared" si="316"/>
        <v>Senior</v>
      </c>
      <c r="E3334">
        <v>2</v>
      </c>
      <c r="F3334" t="str">
        <f>HLOOKUP(E3334, LookUP_Table!$A$6:$D$7, 2, FALSE)</f>
        <v>Secondary</v>
      </c>
      <c r="G3334" t="str">
        <f>IFERROR(VLOOKUP(E3334, LookUP_Table!$A$1:$B$4, 2, FALSE), "")</f>
        <v>Secondary</v>
      </c>
      <c r="H3334">
        <v>1</v>
      </c>
      <c r="I3334">
        <v>3</v>
      </c>
      <c r="J3334" t="str">
        <f t="shared" si="312"/>
        <v>Smoker</v>
      </c>
      <c r="K3334">
        <v>0</v>
      </c>
      <c r="L3334">
        <v>0</v>
      </c>
      <c r="M3334">
        <v>0</v>
      </c>
      <c r="N3334">
        <v>0</v>
      </c>
      <c r="O3334">
        <v>236.69952267303103</v>
      </c>
      <c r="P3334" t="str">
        <f t="shared" si="313"/>
        <v>Normal</v>
      </c>
      <c r="Q3334">
        <v>120</v>
      </c>
      <c r="R3334">
        <v>80</v>
      </c>
      <c r="S3334">
        <v>29.25</v>
      </c>
      <c r="T3334" t="str">
        <f t="shared" si="314"/>
        <v>Overweight</v>
      </c>
      <c r="U3334">
        <v>78</v>
      </c>
      <c r="V3334">
        <v>75</v>
      </c>
      <c r="W3334" t="str">
        <f t="shared" si="317"/>
        <v>Normal</v>
      </c>
      <c r="X3334">
        <v>0</v>
      </c>
    </row>
    <row r="3335" spans="1:24" ht="14.5" thickBot="1" x14ac:dyDescent="0.35">
      <c r="A3335">
        <v>1</v>
      </c>
      <c r="B3335" t="str">
        <f t="shared" si="315"/>
        <v>Male</v>
      </c>
      <c r="C3335" s="8">
        <v>58</v>
      </c>
      <c r="D3335" t="str">
        <f t="shared" si="316"/>
        <v>Senior</v>
      </c>
      <c r="E3335">
        <v>1</v>
      </c>
      <c r="F3335" t="str">
        <f>HLOOKUP(E3335, LookUP_Table!$A$6:$D$7, 2, FALSE)</f>
        <v>Primary</v>
      </c>
      <c r="G3335" t="str">
        <f>IFERROR(VLOOKUP(E3335, LookUP_Table!$A$1:$B$4, 2, FALSE), "")</f>
        <v>Primary</v>
      </c>
      <c r="H3335">
        <v>1</v>
      </c>
      <c r="I3335">
        <v>9</v>
      </c>
      <c r="J3335" t="str">
        <f t="shared" si="312"/>
        <v>Smoker</v>
      </c>
      <c r="K3335">
        <v>0</v>
      </c>
      <c r="L3335">
        <v>0</v>
      </c>
      <c r="M3335">
        <v>1</v>
      </c>
      <c r="N3335">
        <v>0</v>
      </c>
      <c r="O3335">
        <v>242</v>
      </c>
      <c r="P3335" t="str">
        <f t="shared" si="313"/>
        <v>High</v>
      </c>
      <c r="Q3335">
        <v>164</v>
      </c>
      <c r="R3335">
        <v>85.5</v>
      </c>
      <c r="S3335">
        <v>18.84</v>
      </c>
      <c r="T3335" t="str">
        <f t="shared" si="314"/>
        <v>Normal</v>
      </c>
      <c r="U3335">
        <v>76</v>
      </c>
      <c r="V3335">
        <v>106</v>
      </c>
      <c r="W3335" t="str">
        <f t="shared" si="317"/>
        <v>Prediabetes</v>
      </c>
      <c r="X3335">
        <v>0</v>
      </c>
    </row>
    <row r="3336" spans="1:24" ht="14.5" thickBot="1" x14ac:dyDescent="0.35">
      <c r="A3336">
        <v>1</v>
      </c>
      <c r="B3336" t="str">
        <f t="shared" si="315"/>
        <v>Male</v>
      </c>
      <c r="C3336" s="8">
        <v>58</v>
      </c>
      <c r="D3336" t="str">
        <f t="shared" si="316"/>
        <v>Senior</v>
      </c>
      <c r="E3336">
        <v>1</v>
      </c>
      <c r="F3336" t="str">
        <f>HLOOKUP(E3336, LookUP_Table!$A$6:$D$7, 2, FALSE)</f>
        <v>Primary</v>
      </c>
      <c r="G3336" t="str">
        <f>IFERROR(VLOOKUP(E3336, LookUP_Table!$A$1:$B$4, 2, FALSE), "")</f>
        <v>Primary</v>
      </c>
      <c r="H3336">
        <v>1</v>
      </c>
      <c r="I3336">
        <v>20</v>
      </c>
      <c r="J3336" t="str">
        <f t="shared" si="312"/>
        <v>Smoker</v>
      </c>
      <c r="K3336">
        <v>0</v>
      </c>
      <c r="L3336">
        <v>0</v>
      </c>
      <c r="M3336">
        <v>1</v>
      </c>
      <c r="N3336">
        <v>0</v>
      </c>
      <c r="O3336">
        <v>255</v>
      </c>
      <c r="P3336" t="str">
        <f t="shared" si="313"/>
        <v>High</v>
      </c>
      <c r="Q3336">
        <v>146</v>
      </c>
      <c r="R3336">
        <v>89</v>
      </c>
      <c r="S3336">
        <v>27.47</v>
      </c>
      <c r="T3336" t="str">
        <f t="shared" si="314"/>
        <v>Overweight</v>
      </c>
      <c r="U3336">
        <v>75</v>
      </c>
      <c r="V3336">
        <v>73</v>
      </c>
      <c r="W3336" t="str">
        <f t="shared" si="317"/>
        <v>Normal</v>
      </c>
      <c r="X3336">
        <v>1</v>
      </c>
    </row>
    <row r="3337" spans="1:24" ht="14.5" thickBot="1" x14ac:dyDescent="0.35">
      <c r="A3337">
        <v>1</v>
      </c>
      <c r="B3337" t="str">
        <f t="shared" si="315"/>
        <v>Male</v>
      </c>
      <c r="C3337" s="8">
        <v>58</v>
      </c>
      <c r="D3337" t="str">
        <f t="shared" si="316"/>
        <v>Senior</v>
      </c>
      <c r="E3337">
        <v>4</v>
      </c>
      <c r="F3337" t="str">
        <f>HLOOKUP(E3337, LookUP_Table!$A$6:$D$7, 2, FALSE)</f>
        <v>Post Graduate</v>
      </c>
      <c r="G3337" t="str">
        <f>IFERROR(VLOOKUP(E3337, LookUP_Table!$A$1:$B$4, 2, FALSE), "")</f>
        <v>Post Graduate</v>
      </c>
      <c r="H3337">
        <v>1</v>
      </c>
      <c r="I3337">
        <v>5</v>
      </c>
      <c r="J3337" t="str">
        <f t="shared" si="312"/>
        <v>Smoker</v>
      </c>
      <c r="K3337">
        <v>0</v>
      </c>
      <c r="L3337">
        <v>0</v>
      </c>
      <c r="M3337">
        <v>0</v>
      </c>
      <c r="N3337">
        <v>0</v>
      </c>
      <c r="O3337">
        <v>243</v>
      </c>
      <c r="P3337" t="str">
        <f t="shared" si="313"/>
        <v>High</v>
      </c>
      <c r="Q3337">
        <v>106</v>
      </c>
      <c r="R3337">
        <v>70.5</v>
      </c>
      <c r="S3337">
        <v>23.72</v>
      </c>
      <c r="T3337" t="str">
        <f t="shared" si="314"/>
        <v>Normal</v>
      </c>
      <c r="U3337">
        <v>60</v>
      </c>
      <c r="V3337">
        <v>80</v>
      </c>
      <c r="W3337" t="str">
        <f t="shared" si="317"/>
        <v>Normal</v>
      </c>
      <c r="X3337">
        <v>0</v>
      </c>
    </row>
    <row r="3338" spans="1:24" ht="14.5" thickBot="1" x14ac:dyDescent="0.35">
      <c r="A3338">
        <v>0</v>
      </c>
      <c r="B3338" t="str">
        <f t="shared" si="315"/>
        <v>Female</v>
      </c>
      <c r="C3338" s="8">
        <v>58</v>
      </c>
      <c r="D3338" t="str">
        <f t="shared" si="316"/>
        <v>Senior</v>
      </c>
      <c r="E3338">
        <v>4</v>
      </c>
      <c r="F3338" t="str">
        <f>HLOOKUP(E3338, LookUP_Table!$A$6:$D$7, 2, FALSE)</f>
        <v>Post Graduate</v>
      </c>
      <c r="G3338" t="str">
        <f>IFERROR(VLOOKUP(E3338, LookUP_Table!$A$1:$B$4, 2, FALSE), "")</f>
        <v>Post Graduate</v>
      </c>
      <c r="H3338">
        <v>0</v>
      </c>
      <c r="I3338">
        <v>0</v>
      </c>
      <c r="J3338" t="str">
        <f t="shared" si="312"/>
        <v>Non-Smoker</v>
      </c>
      <c r="K3338">
        <v>0</v>
      </c>
      <c r="L3338">
        <v>0</v>
      </c>
      <c r="M3338">
        <v>1</v>
      </c>
      <c r="N3338">
        <v>0</v>
      </c>
      <c r="O3338">
        <v>268</v>
      </c>
      <c r="P3338" t="str">
        <f t="shared" si="313"/>
        <v>High</v>
      </c>
      <c r="Q3338">
        <v>151</v>
      </c>
      <c r="R3338">
        <v>98</v>
      </c>
      <c r="S3338">
        <v>20.34</v>
      </c>
      <c r="T3338" t="str">
        <f t="shared" si="314"/>
        <v>Normal</v>
      </c>
      <c r="U3338">
        <v>72</v>
      </c>
      <c r="V3338">
        <v>60</v>
      </c>
      <c r="W3338" t="str">
        <f t="shared" si="317"/>
        <v>Normal</v>
      </c>
      <c r="X3338">
        <v>0</v>
      </c>
    </row>
    <row r="3339" spans="1:24" ht="14.5" thickBot="1" x14ac:dyDescent="0.35">
      <c r="A3339">
        <v>1</v>
      </c>
      <c r="B3339" t="str">
        <f t="shared" si="315"/>
        <v>Male</v>
      </c>
      <c r="C3339" s="8">
        <v>58</v>
      </c>
      <c r="D3339" t="str">
        <f t="shared" si="316"/>
        <v>Senior</v>
      </c>
      <c r="E3339">
        <v>1</v>
      </c>
      <c r="F3339" t="str">
        <f>HLOOKUP(E3339, LookUP_Table!$A$6:$D$7, 2, FALSE)</f>
        <v>Primary</v>
      </c>
      <c r="G3339" t="str">
        <f>IFERROR(VLOOKUP(E3339, LookUP_Table!$A$1:$B$4, 2, FALSE), "")</f>
        <v>Primary</v>
      </c>
      <c r="H3339">
        <v>1</v>
      </c>
      <c r="I3339">
        <v>1</v>
      </c>
      <c r="J3339" t="str">
        <f t="shared" si="312"/>
        <v>Smoker</v>
      </c>
      <c r="K3339">
        <v>0</v>
      </c>
      <c r="L3339">
        <v>0</v>
      </c>
      <c r="M3339">
        <v>0</v>
      </c>
      <c r="N3339">
        <v>0</v>
      </c>
      <c r="O3339">
        <v>240</v>
      </c>
      <c r="P3339" t="str">
        <f t="shared" si="313"/>
        <v>Normal</v>
      </c>
      <c r="Q3339">
        <v>148</v>
      </c>
      <c r="R3339">
        <v>81</v>
      </c>
      <c r="S3339">
        <v>25.67</v>
      </c>
      <c r="T3339" t="str">
        <f t="shared" si="314"/>
        <v>Overweight</v>
      </c>
      <c r="U3339">
        <v>90</v>
      </c>
      <c r="V3339">
        <v>78</v>
      </c>
      <c r="W3339" t="str">
        <f t="shared" si="317"/>
        <v>Normal</v>
      </c>
      <c r="X3339">
        <v>0</v>
      </c>
    </row>
    <row r="3340" spans="1:24" ht="14.5" thickBot="1" x14ac:dyDescent="0.35">
      <c r="A3340">
        <v>1</v>
      </c>
      <c r="B3340" t="str">
        <f t="shared" si="315"/>
        <v>Male</v>
      </c>
      <c r="C3340" s="8">
        <v>58</v>
      </c>
      <c r="D3340" t="str">
        <f t="shared" si="316"/>
        <v>Senior</v>
      </c>
      <c r="E3340">
        <v>4</v>
      </c>
      <c r="F3340" t="str">
        <f>HLOOKUP(E3340, LookUP_Table!$A$6:$D$7, 2, FALSE)</f>
        <v>Post Graduate</v>
      </c>
      <c r="G3340" t="str">
        <f>IFERROR(VLOOKUP(E3340, LookUP_Table!$A$1:$B$4, 2, FALSE), "")</f>
        <v>Post Graduate</v>
      </c>
      <c r="H3340">
        <v>0</v>
      </c>
      <c r="I3340">
        <v>0</v>
      </c>
      <c r="J3340" t="str">
        <f t="shared" si="312"/>
        <v>Non-Smoker</v>
      </c>
      <c r="K3340">
        <v>0</v>
      </c>
      <c r="L3340">
        <v>0</v>
      </c>
      <c r="M3340">
        <v>0</v>
      </c>
      <c r="N3340">
        <v>0</v>
      </c>
      <c r="O3340">
        <v>210</v>
      </c>
      <c r="P3340" t="str">
        <f t="shared" si="313"/>
        <v>Normal</v>
      </c>
      <c r="Q3340">
        <v>132</v>
      </c>
      <c r="R3340">
        <v>86</v>
      </c>
      <c r="S3340">
        <v>28.92</v>
      </c>
      <c r="T3340" t="str">
        <f t="shared" si="314"/>
        <v>Overweight</v>
      </c>
      <c r="U3340">
        <v>94</v>
      </c>
      <c r="V3340">
        <v>74</v>
      </c>
      <c r="W3340" t="str">
        <f t="shared" si="317"/>
        <v>Normal</v>
      </c>
      <c r="X3340">
        <v>0</v>
      </c>
    </row>
    <row r="3341" spans="1:24" ht="14.5" thickBot="1" x14ac:dyDescent="0.35">
      <c r="A3341">
        <v>1</v>
      </c>
      <c r="B3341" t="str">
        <f t="shared" si="315"/>
        <v>Male</v>
      </c>
      <c r="C3341" s="8">
        <v>58</v>
      </c>
      <c r="D3341" t="str">
        <f t="shared" si="316"/>
        <v>Senior</v>
      </c>
      <c r="E3341">
        <v>1</v>
      </c>
      <c r="F3341" t="str">
        <f>HLOOKUP(E3341, LookUP_Table!$A$6:$D$7, 2, FALSE)</f>
        <v>Primary</v>
      </c>
      <c r="G3341" t="str">
        <f>IFERROR(VLOOKUP(E3341, LookUP_Table!$A$1:$B$4, 2, FALSE), "")</f>
        <v>Primary</v>
      </c>
      <c r="H3341">
        <v>1</v>
      </c>
      <c r="I3341">
        <v>20</v>
      </c>
      <c r="J3341" t="str">
        <f t="shared" si="312"/>
        <v>Smoker</v>
      </c>
      <c r="K3341">
        <v>0</v>
      </c>
      <c r="L3341">
        <v>0</v>
      </c>
      <c r="M3341">
        <v>1</v>
      </c>
      <c r="N3341">
        <v>0</v>
      </c>
      <c r="O3341">
        <v>192</v>
      </c>
      <c r="P3341" t="str">
        <f t="shared" si="313"/>
        <v>Normal</v>
      </c>
      <c r="Q3341">
        <v>143</v>
      </c>
      <c r="R3341">
        <v>98</v>
      </c>
      <c r="S3341">
        <v>29.01</v>
      </c>
      <c r="T3341" t="str">
        <f t="shared" si="314"/>
        <v>Overweight</v>
      </c>
      <c r="U3341">
        <v>90</v>
      </c>
      <c r="V3341">
        <v>68</v>
      </c>
      <c r="W3341" t="str">
        <f t="shared" si="317"/>
        <v>Normal</v>
      </c>
      <c r="X3341">
        <v>0</v>
      </c>
    </row>
    <row r="3342" spans="1:24" ht="14.5" thickBot="1" x14ac:dyDescent="0.35">
      <c r="A3342">
        <v>1</v>
      </c>
      <c r="B3342" t="str">
        <f t="shared" si="315"/>
        <v>Male</v>
      </c>
      <c r="C3342" s="8">
        <v>58</v>
      </c>
      <c r="D3342" t="str">
        <f t="shared" si="316"/>
        <v>Senior</v>
      </c>
      <c r="E3342">
        <v>2</v>
      </c>
      <c r="F3342" t="str">
        <f>HLOOKUP(E3342, LookUP_Table!$A$6:$D$7, 2, FALSE)</f>
        <v>Secondary</v>
      </c>
      <c r="G3342" t="str">
        <f>IFERROR(VLOOKUP(E3342, LookUP_Table!$A$1:$B$4, 2, FALSE), "")</f>
        <v>Secondary</v>
      </c>
      <c r="H3342">
        <v>1</v>
      </c>
      <c r="I3342">
        <v>60</v>
      </c>
      <c r="J3342" t="str">
        <f t="shared" si="312"/>
        <v>Smoker</v>
      </c>
      <c r="K3342">
        <v>0</v>
      </c>
      <c r="L3342">
        <v>0</v>
      </c>
      <c r="M3342">
        <v>1</v>
      </c>
      <c r="N3342">
        <v>0</v>
      </c>
      <c r="O3342">
        <v>250</v>
      </c>
      <c r="P3342" t="str">
        <f t="shared" si="313"/>
        <v>High</v>
      </c>
      <c r="Q3342">
        <v>150</v>
      </c>
      <c r="R3342">
        <v>97</v>
      </c>
      <c r="S3342">
        <v>32</v>
      </c>
      <c r="T3342" t="str">
        <f t="shared" si="314"/>
        <v>Obese</v>
      </c>
      <c r="U3342">
        <v>75</v>
      </c>
      <c r="V3342">
        <v>65</v>
      </c>
      <c r="W3342" t="str">
        <f t="shared" si="317"/>
        <v>Normal</v>
      </c>
      <c r="X3342">
        <v>0</v>
      </c>
    </row>
    <row r="3343" spans="1:24" ht="14.5" thickBot="1" x14ac:dyDescent="0.35">
      <c r="A3343">
        <v>0</v>
      </c>
      <c r="B3343" t="str">
        <f t="shared" si="315"/>
        <v>Female</v>
      </c>
      <c r="C3343" s="8">
        <v>58</v>
      </c>
      <c r="D3343" t="str">
        <f t="shared" si="316"/>
        <v>Senior</v>
      </c>
      <c r="E3343">
        <v>2</v>
      </c>
      <c r="F3343" t="str">
        <f>HLOOKUP(E3343, LookUP_Table!$A$6:$D$7, 2, FALSE)</f>
        <v>Secondary</v>
      </c>
      <c r="G3343" t="str">
        <f>IFERROR(VLOOKUP(E3343, LookUP_Table!$A$1:$B$4, 2, FALSE), "")</f>
        <v>Secondary</v>
      </c>
      <c r="H3343">
        <v>0</v>
      </c>
      <c r="I3343">
        <v>0</v>
      </c>
      <c r="J3343" t="str">
        <f t="shared" si="312"/>
        <v>Non-Smoker</v>
      </c>
      <c r="K3343">
        <v>0</v>
      </c>
      <c r="L3343">
        <v>0</v>
      </c>
      <c r="M3343">
        <v>0</v>
      </c>
      <c r="N3343">
        <v>0</v>
      </c>
      <c r="O3343">
        <v>190</v>
      </c>
      <c r="P3343" t="str">
        <f t="shared" si="313"/>
        <v>Normal</v>
      </c>
      <c r="Q3343">
        <v>132</v>
      </c>
      <c r="R3343">
        <v>67</v>
      </c>
      <c r="S3343">
        <v>23.08</v>
      </c>
      <c r="T3343" t="str">
        <f t="shared" si="314"/>
        <v>Normal</v>
      </c>
      <c r="U3343">
        <v>65</v>
      </c>
      <c r="V3343">
        <v>70</v>
      </c>
      <c r="W3343" t="str">
        <f t="shared" si="317"/>
        <v>Normal</v>
      </c>
      <c r="X3343">
        <v>1</v>
      </c>
    </row>
    <row r="3344" spans="1:24" ht="14.5" thickBot="1" x14ac:dyDescent="0.35">
      <c r="A3344">
        <v>1</v>
      </c>
      <c r="B3344" t="str">
        <f t="shared" si="315"/>
        <v>Male</v>
      </c>
      <c r="C3344" s="8">
        <v>58</v>
      </c>
      <c r="D3344" t="str">
        <f t="shared" si="316"/>
        <v>Senior</v>
      </c>
      <c r="E3344">
        <v>1</v>
      </c>
      <c r="F3344" t="str">
        <f>HLOOKUP(E3344, LookUP_Table!$A$6:$D$7, 2, FALSE)</f>
        <v>Primary</v>
      </c>
      <c r="G3344" t="str">
        <f>IFERROR(VLOOKUP(E3344, LookUP_Table!$A$1:$B$4, 2, FALSE), "")</f>
        <v>Primary</v>
      </c>
      <c r="H3344">
        <v>1</v>
      </c>
      <c r="I3344">
        <v>15</v>
      </c>
      <c r="J3344" t="str">
        <f t="shared" si="312"/>
        <v>Smoker</v>
      </c>
      <c r="K3344">
        <v>0</v>
      </c>
      <c r="L3344">
        <v>0</v>
      </c>
      <c r="M3344">
        <v>0</v>
      </c>
      <c r="N3344">
        <v>0</v>
      </c>
      <c r="O3344">
        <v>272</v>
      </c>
      <c r="P3344" t="str">
        <f t="shared" si="313"/>
        <v>High</v>
      </c>
      <c r="Q3344">
        <v>127.5</v>
      </c>
      <c r="R3344">
        <v>79.5</v>
      </c>
      <c r="S3344">
        <v>26.37</v>
      </c>
      <c r="T3344" t="str">
        <f t="shared" si="314"/>
        <v>Overweight</v>
      </c>
      <c r="U3344">
        <v>78</v>
      </c>
      <c r="V3344">
        <v>66</v>
      </c>
      <c r="W3344" t="str">
        <f t="shared" si="317"/>
        <v>Normal</v>
      </c>
      <c r="X3344">
        <v>1</v>
      </c>
    </row>
    <row r="3345" spans="1:24" ht="14.5" thickBot="1" x14ac:dyDescent="0.35">
      <c r="A3345">
        <v>0</v>
      </c>
      <c r="B3345" t="str">
        <f t="shared" si="315"/>
        <v>Female</v>
      </c>
      <c r="C3345" s="8">
        <v>58</v>
      </c>
      <c r="D3345" t="str">
        <f t="shared" si="316"/>
        <v>Senior</v>
      </c>
      <c r="E3345">
        <v>2</v>
      </c>
      <c r="F3345" t="str">
        <f>HLOOKUP(E3345, LookUP_Table!$A$6:$D$7, 2, FALSE)</f>
        <v>Secondary</v>
      </c>
      <c r="G3345" t="str">
        <f>IFERROR(VLOOKUP(E3345, LookUP_Table!$A$1:$B$4, 2, FALSE), "")</f>
        <v>Secondary</v>
      </c>
      <c r="H3345">
        <v>0</v>
      </c>
      <c r="I3345">
        <v>0</v>
      </c>
      <c r="J3345" t="str">
        <f t="shared" si="312"/>
        <v>Non-Smoker</v>
      </c>
      <c r="K3345">
        <v>0</v>
      </c>
      <c r="L3345">
        <v>0</v>
      </c>
      <c r="M3345">
        <v>0</v>
      </c>
      <c r="N3345">
        <v>0</v>
      </c>
      <c r="O3345">
        <v>246</v>
      </c>
      <c r="P3345" t="str">
        <f t="shared" si="313"/>
        <v>High</v>
      </c>
      <c r="Q3345">
        <v>132.5</v>
      </c>
      <c r="R3345">
        <v>82</v>
      </c>
      <c r="S3345">
        <v>19.09</v>
      </c>
      <c r="T3345" t="str">
        <f t="shared" si="314"/>
        <v>Normal</v>
      </c>
      <c r="U3345">
        <v>59</v>
      </c>
      <c r="V3345">
        <v>81.96365524402907</v>
      </c>
      <c r="W3345" t="str">
        <f t="shared" si="317"/>
        <v>Normal</v>
      </c>
      <c r="X3345">
        <v>0</v>
      </c>
    </row>
    <row r="3346" spans="1:24" ht="14.5" thickBot="1" x14ac:dyDescent="0.35">
      <c r="A3346">
        <v>0</v>
      </c>
      <c r="B3346" t="str">
        <f t="shared" si="315"/>
        <v>Female</v>
      </c>
      <c r="C3346" s="8">
        <v>58</v>
      </c>
      <c r="D3346" t="str">
        <f t="shared" si="316"/>
        <v>Senior</v>
      </c>
      <c r="E3346">
        <v>1</v>
      </c>
      <c r="F3346" t="str">
        <f>HLOOKUP(E3346, LookUP_Table!$A$6:$D$7, 2, FALSE)</f>
        <v>Primary</v>
      </c>
      <c r="G3346" t="str">
        <f>IFERROR(VLOOKUP(E3346, LookUP_Table!$A$1:$B$4, 2, FALSE), "")</f>
        <v>Primary</v>
      </c>
      <c r="H3346">
        <v>1</v>
      </c>
      <c r="I3346">
        <v>15</v>
      </c>
      <c r="J3346" t="str">
        <f t="shared" si="312"/>
        <v>Smoker</v>
      </c>
      <c r="K3346">
        <v>0</v>
      </c>
      <c r="L3346">
        <v>0</v>
      </c>
      <c r="M3346">
        <v>0</v>
      </c>
      <c r="N3346">
        <v>0</v>
      </c>
      <c r="O3346">
        <v>222</v>
      </c>
      <c r="P3346" t="str">
        <f t="shared" si="313"/>
        <v>Normal</v>
      </c>
      <c r="Q3346">
        <v>117</v>
      </c>
      <c r="R3346">
        <v>79</v>
      </c>
      <c r="S3346">
        <v>21.09</v>
      </c>
      <c r="T3346" t="str">
        <f t="shared" si="314"/>
        <v>Normal</v>
      </c>
      <c r="U3346">
        <v>92</v>
      </c>
      <c r="V3346">
        <v>81.96365524402907</v>
      </c>
      <c r="W3346" t="str">
        <f t="shared" si="317"/>
        <v>Normal</v>
      </c>
      <c r="X3346">
        <v>1</v>
      </c>
    </row>
    <row r="3347" spans="1:24" ht="14.5" thickBot="1" x14ac:dyDescent="0.35">
      <c r="A3347">
        <v>0</v>
      </c>
      <c r="B3347" t="str">
        <f t="shared" si="315"/>
        <v>Female</v>
      </c>
      <c r="C3347" s="8">
        <v>58</v>
      </c>
      <c r="D3347" t="str">
        <f t="shared" si="316"/>
        <v>Senior</v>
      </c>
      <c r="E3347">
        <v>2</v>
      </c>
      <c r="F3347" t="str">
        <f>HLOOKUP(E3347, LookUP_Table!$A$6:$D$7, 2, FALSE)</f>
        <v>Secondary</v>
      </c>
      <c r="G3347" t="str">
        <f>IFERROR(VLOOKUP(E3347, LookUP_Table!$A$1:$B$4, 2, FALSE), "")</f>
        <v>Secondary</v>
      </c>
      <c r="H3347">
        <v>0</v>
      </c>
      <c r="I3347">
        <v>0</v>
      </c>
      <c r="J3347" t="str">
        <f t="shared" si="312"/>
        <v>Non-Smoker</v>
      </c>
      <c r="K3347">
        <v>0</v>
      </c>
      <c r="L3347">
        <v>0</v>
      </c>
      <c r="M3347">
        <v>0</v>
      </c>
      <c r="N3347">
        <v>0</v>
      </c>
      <c r="O3347">
        <v>245</v>
      </c>
      <c r="P3347" t="str">
        <f t="shared" si="313"/>
        <v>High</v>
      </c>
      <c r="Q3347">
        <v>123</v>
      </c>
      <c r="R3347">
        <v>85.5</v>
      </c>
      <c r="S3347">
        <v>24.49</v>
      </c>
      <c r="T3347" t="str">
        <f t="shared" si="314"/>
        <v>Normal</v>
      </c>
      <c r="U3347">
        <v>68</v>
      </c>
      <c r="V3347">
        <v>76</v>
      </c>
      <c r="W3347" t="str">
        <f t="shared" si="317"/>
        <v>Normal</v>
      </c>
      <c r="X3347">
        <v>0</v>
      </c>
    </row>
    <row r="3348" spans="1:24" ht="14.5" thickBot="1" x14ac:dyDescent="0.35">
      <c r="A3348">
        <v>0</v>
      </c>
      <c r="B3348" t="str">
        <f t="shared" si="315"/>
        <v>Female</v>
      </c>
      <c r="C3348" s="8">
        <v>58</v>
      </c>
      <c r="D3348" t="str">
        <f t="shared" si="316"/>
        <v>Senior</v>
      </c>
      <c r="E3348">
        <v>1</v>
      </c>
      <c r="F3348" t="str">
        <f>HLOOKUP(E3348, LookUP_Table!$A$6:$D$7, 2, FALSE)</f>
        <v>Primary</v>
      </c>
      <c r="G3348" t="str">
        <f>IFERROR(VLOOKUP(E3348, LookUP_Table!$A$1:$B$4, 2, FALSE), "")</f>
        <v>Primary</v>
      </c>
      <c r="H3348">
        <v>0</v>
      </c>
      <c r="I3348">
        <v>0</v>
      </c>
      <c r="J3348" t="str">
        <f t="shared" si="312"/>
        <v>Non-Smoker</v>
      </c>
      <c r="K3348">
        <v>0</v>
      </c>
      <c r="L3348">
        <v>0</v>
      </c>
      <c r="M3348">
        <v>0</v>
      </c>
      <c r="N3348">
        <v>0</v>
      </c>
      <c r="O3348">
        <v>218</v>
      </c>
      <c r="P3348" t="str">
        <f t="shared" si="313"/>
        <v>Normal</v>
      </c>
      <c r="Q3348">
        <v>138.5</v>
      </c>
      <c r="R3348">
        <v>87.5</v>
      </c>
      <c r="S3348">
        <v>22.91</v>
      </c>
      <c r="T3348" t="str">
        <f t="shared" si="314"/>
        <v>Normal</v>
      </c>
      <c r="U3348">
        <v>73</v>
      </c>
      <c r="V3348">
        <v>81.96365524402907</v>
      </c>
      <c r="W3348" t="str">
        <f t="shared" si="317"/>
        <v>Normal</v>
      </c>
      <c r="X3348">
        <v>0</v>
      </c>
    </row>
    <row r="3349" spans="1:24" ht="14.5" thickBot="1" x14ac:dyDescent="0.35">
      <c r="A3349">
        <v>1</v>
      </c>
      <c r="B3349" t="str">
        <f t="shared" si="315"/>
        <v>Male</v>
      </c>
      <c r="C3349" s="8">
        <v>58</v>
      </c>
      <c r="D3349" t="str">
        <f t="shared" si="316"/>
        <v>Senior</v>
      </c>
      <c r="E3349">
        <v>1</v>
      </c>
      <c r="F3349" t="str">
        <f>HLOOKUP(E3349, LookUP_Table!$A$6:$D$7, 2, FALSE)</f>
        <v>Primary</v>
      </c>
      <c r="G3349" t="str">
        <f>IFERROR(VLOOKUP(E3349, LookUP_Table!$A$1:$B$4, 2, FALSE), "")</f>
        <v>Primary</v>
      </c>
      <c r="H3349">
        <v>0</v>
      </c>
      <c r="I3349">
        <v>0</v>
      </c>
      <c r="J3349" t="str">
        <f t="shared" si="312"/>
        <v>Non-Smoker</v>
      </c>
      <c r="K3349">
        <v>0</v>
      </c>
      <c r="L3349">
        <v>0</v>
      </c>
      <c r="M3349">
        <v>1</v>
      </c>
      <c r="N3349">
        <v>0</v>
      </c>
      <c r="O3349">
        <v>264</v>
      </c>
      <c r="P3349" t="str">
        <f t="shared" si="313"/>
        <v>High</v>
      </c>
      <c r="Q3349">
        <v>181</v>
      </c>
      <c r="R3349">
        <v>90</v>
      </c>
      <c r="S3349">
        <v>24.49</v>
      </c>
      <c r="T3349" t="str">
        <f t="shared" si="314"/>
        <v>Normal</v>
      </c>
      <c r="U3349">
        <v>75</v>
      </c>
      <c r="V3349">
        <v>71</v>
      </c>
      <c r="W3349" t="str">
        <f t="shared" si="317"/>
        <v>Normal</v>
      </c>
      <c r="X3349">
        <v>0</v>
      </c>
    </row>
    <row r="3350" spans="1:24" ht="14.5" thickBot="1" x14ac:dyDescent="0.35">
      <c r="A3350">
        <v>1</v>
      </c>
      <c r="B3350" t="str">
        <f t="shared" si="315"/>
        <v>Male</v>
      </c>
      <c r="C3350" s="8">
        <v>58</v>
      </c>
      <c r="D3350" t="str">
        <f t="shared" si="316"/>
        <v>Senior</v>
      </c>
      <c r="E3350">
        <v>1</v>
      </c>
      <c r="F3350" t="str">
        <f>HLOOKUP(E3350, LookUP_Table!$A$6:$D$7, 2, FALSE)</f>
        <v>Primary</v>
      </c>
      <c r="G3350" t="str">
        <f>IFERROR(VLOOKUP(E3350, LookUP_Table!$A$1:$B$4, 2, FALSE), "")</f>
        <v>Primary</v>
      </c>
      <c r="H3350">
        <v>1</v>
      </c>
      <c r="I3350">
        <v>30</v>
      </c>
      <c r="J3350" t="str">
        <f t="shared" si="312"/>
        <v>Smoker</v>
      </c>
      <c r="K3350">
        <v>0</v>
      </c>
      <c r="L3350">
        <v>0</v>
      </c>
      <c r="M3350">
        <v>1</v>
      </c>
      <c r="N3350">
        <v>0</v>
      </c>
      <c r="O3350">
        <v>279</v>
      </c>
      <c r="P3350" t="str">
        <f t="shared" si="313"/>
        <v>High</v>
      </c>
      <c r="Q3350">
        <v>180</v>
      </c>
      <c r="R3350">
        <v>109.5</v>
      </c>
      <c r="S3350">
        <v>26.04</v>
      </c>
      <c r="T3350" t="str">
        <f t="shared" si="314"/>
        <v>Overweight</v>
      </c>
      <c r="U3350">
        <v>75</v>
      </c>
      <c r="V3350">
        <v>82</v>
      </c>
      <c r="W3350" t="str">
        <f t="shared" si="317"/>
        <v>Normal</v>
      </c>
      <c r="X3350">
        <v>1</v>
      </c>
    </row>
    <row r="3351" spans="1:24" ht="14.5" thickBot="1" x14ac:dyDescent="0.35">
      <c r="A3351">
        <v>0</v>
      </c>
      <c r="B3351" t="str">
        <f t="shared" si="315"/>
        <v>Female</v>
      </c>
      <c r="C3351" s="8">
        <v>58</v>
      </c>
      <c r="D3351" t="str">
        <f t="shared" si="316"/>
        <v>Senior</v>
      </c>
      <c r="E3351">
        <v>2</v>
      </c>
      <c r="F3351" t="str">
        <f>HLOOKUP(E3351, LookUP_Table!$A$6:$D$7, 2, FALSE)</f>
        <v>Secondary</v>
      </c>
      <c r="G3351" t="str">
        <f>IFERROR(VLOOKUP(E3351, LookUP_Table!$A$1:$B$4, 2, FALSE), "")</f>
        <v>Secondary</v>
      </c>
      <c r="H3351">
        <v>0</v>
      </c>
      <c r="I3351">
        <v>0</v>
      </c>
      <c r="J3351" t="str">
        <f t="shared" si="312"/>
        <v>Non-Smoker</v>
      </c>
      <c r="K3351">
        <v>0</v>
      </c>
      <c r="L3351">
        <v>0</v>
      </c>
      <c r="M3351">
        <v>1</v>
      </c>
      <c r="N3351">
        <v>0</v>
      </c>
      <c r="O3351">
        <v>210</v>
      </c>
      <c r="P3351" t="str">
        <f t="shared" si="313"/>
        <v>Normal</v>
      </c>
      <c r="Q3351">
        <v>143</v>
      </c>
      <c r="R3351">
        <v>101</v>
      </c>
      <c r="S3351">
        <v>31.34</v>
      </c>
      <c r="T3351" t="str">
        <f t="shared" si="314"/>
        <v>Obese</v>
      </c>
      <c r="U3351">
        <v>85</v>
      </c>
      <c r="V3351">
        <v>80</v>
      </c>
      <c r="W3351" t="str">
        <f t="shared" si="317"/>
        <v>Normal</v>
      </c>
      <c r="X3351">
        <v>0</v>
      </c>
    </row>
    <row r="3352" spans="1:24" ht="14.5" thickBot="1" x14ac:dyDescent="0.35">
      <c r="A3352">
        <v>1</v>
      </c>
      <c r="B3352" t="str">
        <f t="shared" si="315"/>
        <v>Male</v>
      </c>
      <c r="C3352" s="8">
        <v>58</v>
      </c>
      <c r="D3352" t="str">
        <f t="shared" si="316"/>
        <v>Senior</v>
      </c>
      <c r="E3352">
        <v>4</v>
      </c>
      <c r="F3352" t="str">
        <f>HLOOKUP(E3352, LookUP_Table!$A$6:$D$7, 2, FALSE)</f>
        <v>Post Graduate</v>
      </c>
      <c r="G3352" t="str">
        <f>IFERROR(VLOOKUP(E3352, LookUP_Table!$A$1:$B$4, 2, FALSE), "")</f>
        <v>Post Graduate</v>
      </c>
      <c r="H3352">
        <v>1</v>
      </c>
      <c r="I3352">
        <v>20</v>
      </c>
      <c r="J3352" t="str">
        <f t="shared" si="312"/>
        <v>Smoker</v>
      </c>
      <c r="K3352">
        <v>0</v>
      </c>
      <c r="L3352">
        <v>0</v>
      </c>
      <c r="M3352">
        <v>1</v>
      </c>
      <c r="N3352">
        <v>0</v>
      </c>
      <c r="O3352">
        <v>213</v>
      </c>
      <c r="P3352" t="str">
        <f t="shared" si="313"/>
        <v>Normal</v>
      </c>
      <c r="Q3352">
        <v>162</v>
      </c>
      <c r="R3352">
        <v>99</v>
      </c>
      <c r="S3352">
        <v>28.3</v>
      </c>
      <c r="T3352" t="str">
        <f t="shared" si="314"/>
        <v>Overweight</v>
      </c>
      <c r="U3352">
        <v>60</v>
      </c>
      <c r="V3352">
        <v>70</v>
      </c>
      <c r="W3352" t="str">
        <f t="shared" si="317"/>
        <v>Normal</v>
      </c>
      <c r="X3352">
        <v>1</v>
      </c>
    </row>
    <row r="3353" spans="1:24" ht="14.5" thickBot="1" x14ac:dyDescent="0.35">
      <c r="A3353">
        <v>1</v>
      </c>
      <c r="B3353" t="str">
        <f t="shared" si="315"/>
        <v>Male</v>
      </c>
      <c r="C3353" s="8">
        <v>58</v>
      </c>
      <c r="D3353" t="str">
        <f t="shared" si="316"/>
        <v>Senior</v>
      </c>
      <c r="E3353">
        <v>1</v>
      </c>
      <c r="F3353" t="str">
        <f>HLOOKUP(E3353, LookUP_Table!$A$6:$D$7, 2, FALSE)</f>
        <v>Primary</v>
      </c>
      <c r="G3353" t="str">
        <f>IFERROR(VLOOKUP(E3353, LookUP_Table!$A$1:$B$4, 2, FALSE), "")</f>
        <v>Primary</v>
      </c>
      <c r="H3353">
        <v>1</v>
      </c>
      <c r="I3353">
        <v>13</v>
      </c>
      <c r="J3353" t="str">
        <f t="shared" si="312"/>
        <v>Smoker</v>
      </c>
      <c r="K3353">
        <v>0</v>
      </c>
      <c r="L3353">
        <v>0</v>
      </c>
      <c r="M3353">
        <v>0</v>
      </c>
      <c r="N3353">
        <v>0</v>
      </c>
      <c r="O3353">
        <v>196</v>
      </c>
      <c r="P3353" t="str">
        <f t="shared" si="313"/>
        <v>Normal</v>
      </c>
      <c r="Q3353">
        <v>120</v>
      </c>
      <c r="R3353">
        <v>74</v>
      </c>
      <c r="S3353">
        <v>20.12</v>
      </c>
      <c r="T3353" t="str">
        <f t="shared" si="314"/>
        <v>Normal</v>
      </c>
      <c r="U3353">
        <v>75</v>
      </c>
      <c r="V3353">
        <v>73</v>
      </c>
      <c r="W3353" t="str">
        <f t="shared" si="317"/>
        <v>Normal</v>
      </c>
      <c r="X3353">
        <v>0</v>
      </c>
    </row>
    <row r="3354" spans="1:24" ht="14.5" thickBot="1" x14ac:dyDescent="0.35">
      <c r="A3354">
        <v>1</v>
      </c>
      <c r="B3354" t="str">
        <f t="shared" si="315"/>
        <v>Male</v>
      </c>
      <c r="C3354" s="8">
        <v>58</v>
      </c>
      <c r="D3354" t="str">
        <f t="shared" si="316"/>
        <v>Senior</v>
      </c>
      <c r="E3354">
        <v>1</v>
      </c>
      <c r="F3354" t="str">
        <f>HLOOKUP(E3354, LookUP_Table!$A$6:$D$7, 2, FALSE)</f>
        <v>Primary</v>
      </c>
      <c r="G3354" t="str">
        <f>IFERROR(VLOOKUP(E3354, LookUP_Table!$A$1:$B$4, 2, FALSE), "")</f>
        <v>Primary</v>
      </c>
      <c r="H3354">
        <v>0</v>
      </c>
      <c r="I3354">
        <v>0</v>
      </c>
      <c r="J3354" t="str">
        <f t="shared" si="312"/>
        <v>Non-Smoker</v>
      </c>
      <c r="K3354">
        <v>0</v>
      </c>
      <c r="L3354">
        <v>0</v>
      </c>
      <c r="M3354">
        <v>0</v>
      </c>
      <c r="N3354">
        <v>0</v>
      </c>
      <c r="O3354">
        <v>220</v>
      </c>
      <c r="P3354" t="str">
        <f t="shared" si="313"/>
        <v>Normal</v>
      </c>
      <c r="Q3354">
        <v>143</v>
      </c>
      <c r="R3354">
        <v>104</v>
      </c>
      <c r="S3354">
        <v>29.85</v>
      </c>
      <c r="T3354" t="str">
        <f t="shared" si="314"/>
        <v>Overweight</v>
      </c>
      <c r="U3354">
        <v>75</v>
      </c>
      <c r="V3354">
        <v>87</v>
      </c>
      <c r="W3354" t="str">
        <f t="shared" si="317"/>
        <v>Normal</v>
      </c>
      <c r="X3354">
        <v>1</v>
      </c>
    </row>
    <row r="3355" spans="1:24" ht="14.5" thickBot="1" x14ac:dyDescent="0.35">
      <c r="A3355">
        <v>0</v>
      </c>
      <c r="B3355" t="str">
        <f t="shared" si="315"/>
        <v>Female</v>
      </c>
      <c r="C3355" s="8">
        <v>58</v>
      </c>
      <c r="D3355" t="str">
        <f t="shared" si="316"/>
        <v>Senior</v>
      </c>
      <c r="E3355">
        <v>4</v>
      </c>
      <c r="F3355" t="str">
        <f>HLOOKUP(E3355, LookUP_Table!$A$6:$D$7, 2, FALSE)</f>
        <v>Post Graduate</v>
      </c>
      <c r="G3355" t="str">
        <f>IFERROR(VLOOKUP(E3355, LookUP_Table!$A$1:$B$4, 2, FALSE), "")</f>
        <v>Post Graduate</v>
      </c>
      <c r="H3355">
        <v>1</v>
      </c>
      <c r="I3355">
        <v>9</v>
      </c>
      <c r="J3355" t="str">
        <f t="shared" si="312"/>
        <v>Smoker</v>
      </c>
      <c r="K3355">
        <v>0</v>
      </c>
      <c r="L3355">
        <v>0</v>
      </c>
      <c r="M3355">
        <v>1</v>
      </c>
      <c r="N3355">
        <v>0</v>
      </c>
      <c r="O3355">
        <v>270</v>
      </c>
      <c r="P3355" t="str">
        <f t="shared" si="313"/>
        <v>High</v>
      </c>
      <c r="Q3355">
        <v>195</v>
      </c>
      <c r="R3355">
        <v>117.5</v>
      </c>
      <c r="S3355">
        <v>23.35</v>
      </c>
      <c r="T3355" t="str">
        <f t="shared" si="314"/>
        <v>Normal</v>
      </c>
      <c r="U3355">
        <v>75</v>
      </c>
      <c r="V3355">
        <v>81.96365524402907</v>
      </c>
      <c r="W3355" t="str">
        <f t="shared" si="317"/>
        <v>Normal</v>
      </c>
      <c r="X3355">
        <v>0</v>
      </c>
    </row>
    <row r="3356" spans="1:24" ht="14.5" thickBot="1" x14ac:dyDescent="0.35">
      <c r="A3356">
        <v>0</v>
      </c>
      <c r="B3356" t="str">
        <f t="shared" si="315"/>
        <v>Female</v>
      </c>
      <c r="C3356" s="8">
        <v>58</v>
      </c>
      <c r="D3356" t="str">
        <f t="shared" si="316"/>
        <v>Senior</v>
      </c>
      <c r="E3356">
        <v>2</v>
      </c>
      <c r="F3356" t="str">
        <f>HLOOKUP(E3356, LookUP_Table!$A$6:$D$7, 2, FALSE)</f>
        <v>Secondary</v>
      </c>
      <c r="G3356" t="str">
        <f>IFERROR(VLOOKUP(E3356, LookUP_Table!$A$1:$B$4, 2, FALSE), "")</f>
        <v>Secondary</v>
      </c>
      <c r="H3356">
        <v>0</v>
      </c>
      <c r="I3356">
        <v>0</v>
      </c>
      <c r="J3356" t="str">
        <f t="shared" si="312"/>
        <v>Non-Smoker</v>
      </c>
      <c r="K3356">
        <v>0</v>
      </c>
      <c r="L3356">
        <v>0</v>
      </c>
      <c r="M3356">
        <v>1</v>
      </c>
      <c r="N3356">
        <v>0</v>
      </c>
      <c r="O3356">
        <v>249</v>
      </c>
      <c r="P3356" t="str">
        <f t="shared" si="313"/>
        <v>High</v>
      </c>
      <c r="Q3356">
        <v>151</v>
      </c>
      <c r="R3356">
        <v>97.5</v>
      </c>
      <c r="S3356">
        <v>22.88</v>
      </c>
      <c r="T3356" t="str">
        <f t="shared" si="314"/>
        <v>Normal</v>
      </c>
      <c r="U3356">
        <v>75</v>
      </c>
      <c r="V3356">
        <v>84</v>
      </c>
      <c r="W3356" t="str">
        <f t="shared" si="317"/>
        <v>Normal</v>
      </c>
      <c r="X3356">
        <v>0</v>
      </c>
    </row>
    <row r="3357" spans="1:24" ht="14.5" thickBot="1" x14ac:dyDescent="0.35">
      <c r="A3357">
        <v>0</v>
      </c>
      <c r="B3357" t="str">
        <f t="shared" si="315"/>
        <v>Female</v>
      </c>
      <c r="C3357" s="8">
        <v>58</v>
      </c>
      <c r="D3357" t="str">
        <f t="shared" si="316"/>
        <v>Senior</v>
      </c>
      <c r="E3357">
        <v>2</v>
      </c>
      <c r="F3357" t="str">
        <f>HLOOKUP(E3357, LookUP_Table!$A$6:$D$7, 2, FALSE)</f>
        <v>Secondary</v>
      </c>
      <c r="G3357" t="str">
        <f>IFERROR(VLOOKUP(E3357, LookUP_Table!$A$1:$B$4, 2, FALSE), "")</f>
        <v>Secondary</v>
      </c>
      <c r="H3357">
        <v>1</v>
      </c>
      <c r="I3357">
        <v>3</v>
      </c>
      <c r="J3357" t="str">
        <f t="shared" si="312"/>
        <v>Smoker</v>
      </c>
      <c r="K3357">
        <v>0</v>
      </c>
      <c r="L3357">
        <v>0</v>
      </c>
      <c r="M3357">
        <v>0</v>
      </c>
      <c r="N3357">
        <v>0</v>
      </c>
      <c r="O3357">
        <v>242</v>
      </c>
      <c r="P3357" t="str">
        <f t="shared" si="313"/>
        <v>High</v>
      </c>
      <c r="Q3357">
        <v>123</v>
      </c>
      <c r="R3357">
        <v>69</v>
      </c>
      <c r="S3357">
        <v>23.38</v>
      </c>
      <c r="T3357" t="str">
        <f t="shared" si="314"/>
        <v>Normal</v>
      </c>
      <c r="U3357">
        <v>74</v>
      </c>
      <c r="V3357">
        <v>72</v>
      </c>
      <c r="W3357" t="str">
        <f t="shared" si="317"/>
        <v>Normal</v>
      </c>
      <c r="X3357">
        <v>0</v>
      </c>
    </row>
    <row r="3358" spans="1:24" ht="14.5" thickBot="1" x14ac:dyDescent="0.35">
      <c r="A3358">
        <v>1</v>
      </c>
      <c r="B3358" t="str">
        <f t="shared" si="315"/>
        <v>Male</v>
      </c>
      <c r="C3358" s="8">
        <v>58</v>
      </c>
      <c r="D3358" t="str">
        <f t="shared" si="316"/>
        <v>Senior</v>
      </c>
      <c r="E3358">
        <v>2</v>
      </c>
      <c r="F3358" t="str">
        <f>HLOOKUP(E3358, LookUP_Table!$A$6:$D$7, 2, FALSE)</f>
        <v>Secondary</v>
      </c>
      <c r="G3358" t="str">
        <f>IFERROR(VLOOKUP(E3358, LookUP_Table!$A$1:$B$4, 2, FALSE), "")</f>
        <v>Secondary</v>
      </c>
      <c r="H3358">
        <v>1</v>
      </c>
      <c r="I3358">
        <v>20</v>
      </c>
      <c r="J3358" t="str">
        <f t="shared" si="312"/>
        <v>Smoker</v>
      </c>
      <c r="K3358">
        <v>0</v>
      </c>
      <c r="L3358">
        <v>0</v>
      </c>
      <c r="M3358">
        <v>0</v>
      </c>
      <c r="N3358">
        <v>0</v>
      </c>
      <c r="O3358">
        <v>220</v>
      </c>
      <c r="P3358" t="str">
        <f t="shared" si="313"/>
        <v>Normal</v>
      </c>
      <c r="Q3358">
        <v>129</v>
      </c>
      <c r="R3358">
        <v>82</v>
      </c>
      <c r="S3358">
        <v>26.33</v>
      </c>
      <c r="T3358" t="str">
        <f t="shared" si="314"/>
        <v>Overweight</v>
      </c>
      <c r="U3358">
        <v>72</v>
      </c>
      <c r="V3358">
        <v>80</v>
      </c>
      <c r="W3358" t="str">
        <f t="shared" si="317"/>
        <v>Normal</v>
      </c>
      <c r="X3358">
        <v>1</v>
      </c>
    </row>
    <row r="3359" spans="1:24" ht="14.5" thickBot="1" x14ac:dyDescent="0.35">
      <c r="A3359">
        <v>1</v>
      </c>
      <c r="B3359" t="str">
        <f t="shared" si="315"/>
        <v>Male</v>
      </c>
      <c r="C3359" s="8">
        <v>58</v>
      </c>
      <c r="D3359" t="str">
        <f t="shared" si="316"/>
        <v>Senior</v>
      </c>
      <c r="E3359">
        <v>1</v>
      </c>
      <c r="F3359" t="str">
        <f>HLOOKUP(E3359, LookUP_Table!$A$6:$D$7, 2, FALSE)</f>
        <v>Primary</v>
      </c>
      <c r="G3359" t="str">
        <f>IFERROR(VLOOKUP(E3359, LookUP_Table!$A$1:$B$4, 2, FALSE), "")</f>
        <v>Primary</v>
      </c>
      <c r="H3359">
        <v>1</v>
      </c>
      <c r="I3359">
        <v>30</v>
      </c>
      <c r="J3359" t="str">
        <f t="shared" si="312"/>
        <v>Smoker</v>
      </c>
      <c r="K3359">
        <v>0</v>
      </c>
      <c r="L3359">
        <v>0</v>
      </c>
      <c r="M3359">
        <v>0</v>
      </c>
      <c r="N3359">
        <v>0</v>
      </c>
      <c r="O3359">
        <v>200</v>
      </c>
      <c r="P3359" t="str">
        <f t="shared" si="313"/>
        <v>Normal</v>
      </c>
      <c r="Q3359">
        <v>144</v>
      </c>
      <c r="R3359">
        <v>90</v>
      </c>
      <c r="S3359">
        <v>24.9</v>
      </c>
      <c r="T3359" t="str">
        <f t="shared" si="314"/>
        <v>Normal</v>
      </c>
      <c r="U3359">
        <v>75</v>
      </c>
      <c r="V3359">
        <v>76</v>
      </c>
      <c r="W3359" t="str">
        <f t="shared" si="317"/>
        <v>Normal</v>
      </c>
      <c r="X3359">
        <v>0</v>
      </c>
    </row>
    <row r="3360" spans="1:24" ht="14.5" thickBot="1" x14ac:dyDescent="0.35">
      <c r="A3360">
        <v>0</v>
      </c>
      <c r="B3360" t="str">
        <f t="shared" si="315"/>
        <v>Female</v>
      </c>
      <c r="C3360" s="8">
        <v>58</v>
      </c>
      <c r="D3360" t="str">
        <f t="shared" si="316"/>
        <v>Senior</v>
      </c>
      <c r="E3360">
        <v>1</v>
      </c>
      <c r="F3360" t="str">
        <f>HLOOKUP(E3360, LookUP_Table!$A$6:$D$7, 2, FALSE)</f>
        <v>Primary</v>
      </c>
      <c r="G3360" t="str">
        <f>IFERROR(VLOOKUP(E3360, LookUP_Table!$A$1:$B$4, 2, FALSE), "")</f>
        <v>Primary</v>
      </c>
      <c r="H3360">
        <v>1</v>
      </c>
      <c r="I3360">
        <v>1</v>
      </c>
      <c r="J3360" t="str">
        <f t="shared" si="312"/>
        <v>Smoker</v>
      </c>
      <c r="K3360">
        <v>0</v>
      </c>
      <c r="L3360">
        <v>0</v>
      </c>
      <c r="M3360">
        <v>1</v>
      </c>
      <c r="N3360">
        <v>0</v>
      </c>
      <c r="O3360">
        <v>289</v>
      </c>
      <c r="P3360" t="str">
        <f t="shared" si="313"/>
        <v>High</v>
      </c>
      <c r="Q3360">
        <v>156.5</v>
      </c>
      <c r="R3360">
        <v>85</v>
      </c>
      <c r="S3360">
        <v>25.46</v>
      </c>
      <c r="T3360" t="str">
        <f t="shared" si="314"/>
        <v>Overweight</v>
      </c>
      <c r="U3360">
        <v>100</v>
      </c>
      <c r="V3360">
        <v>86</v>
      </c>
      <c r="W3360" t="str">
        <f t="shared" si="317"/>
        <v>Normal</v>
      </c>
      <c r="X3360">
        <v>0</v>
      </c>
    </row>
    <row r="3361" spans="1:24" ht="14.5" thickBot="1" x14ac:dyDescent="0.35">
      <c r="A3361">
        <v>0</v>
      </c>
      <c r="B3361" t="str">
        <f t="shared" si="315"/>
        <v>Female</v>
      </c>
      <c r="C3361" s="8">
        <v>58</v>
      </c>
      <c r="D3361" t="str">
        <f t="shared" si="316"/>
        <v>Senior</v>
      </c>
      <c r="E3361">
        <v>2</v>
      </c>
      <c r="F3361" t="str">
        <f>HLOOKUP(E3361, LookUP_Table!$A$6:$D$7, 2, FALSE)</f>
        <v>Secondary</v>
      </c>
      <c r="G3361" t="str">
        <f>IFERROR(VLOOKUP(E3361, LookUP_Table!$A$1:$B$4, 2, FALSE), "")</f>
        <v>Secondary</v>
      </c>
      <c r="H3361">
        <v>0</v>
      </c>
      <c r="I3361">
        <v>0</v>
      </c>
      <c r="J3361" t="str">
        <f t="shared" si="312"/>
        <v>Non-Smoker</v>
      </c>
      <c r="K3361">
        <v>0</v>
      </c>
      <c r="L3361">
        <v>0</v>
      </c>
      <c r="M3361">
        <v>1</v>
      </c>
      <c r="N3361">
        <v>0</v>
      </c>
      <c r="O3361">
        <v>312</v>
      </c>
      <c r="P3361" t="str">
        <f t="shared" si="313"/>
        <v>High</v>
      </c>
      <c r="Q3361">
        <v>161</v>
      </c>
      <c r="R3361">
        <v>100.5</v>
      </c>
      <c r="S3361">
        <v>21.51</v>
      </c>
      <c r="T3361" t="str">
        <f t="shared" si="314"/>
        <v>Normal</v>
      </c>
      <c r="U3361">
        <v>75</v>
      </c>
      <c r="V3361">
        <v>64</v>
      </c>
      <c r="W3361" t="str">
        <f t="shared" si="317"/>
        <v>Normal</v>
      </c>
      <c r="X3361">
        <v>1</v>
      </c>
    </row>
    <row r="3362" spans="1:24" ht="14.5" thickBot="1" x14ac:dyDescent="0.35">
      <c r="A3362">
        <v>0</v>
      </c>
      <c r="B3362" t="str">
        <f t="shared" si="315"/>
        <v>Female</v>
      </c>
      <c r="C3362" s="8">
        <v>58</v>
      </c>
      <c r="D3362" t="str">
        <f t="shared" si="316"/>
        <v>Senior</v>
      </c>
      <c r="E3362">
        <v>1</v>
      </c>
      <c r="F3362" t="str">
        <f>HLOOKUP(E3362, LookUP_Table!$A$6:$D$7, 2, FALSE)</f>
        <v>Primary</v>
      </c>
      <c r="G3362" t="str">
        <f>IFERROR(VLOOKUP(E3362, LookUP_Table!$A$1:$B$4, 2, FALSE), "")</f>
        <v>Primary</v>
      </c>
      <c r="H3362">
        <v>0</v>
      </c>
      <c r="I3362">
        <v>0</v>
      </c>
      <c r="J3362" t="str">
        <f t="shared" si="312"/>
        <v>Non-Smoker</v>
      </c>
      <c r="K3362">
        <v>0</v>
      </c>
      <c r="L3362">
        <v>0</v>
      </c>
      <c r="M3362">
        <v>1</v>
      </c>
      <c r="N3362">
        <v>0</v>
      </c>
      <c r="O3362">
        <v>223</v>
      </c>
      <c r="P3362" t="str">
        <f t="shared" si="313"/>
        <v>Normal</v>
      </c>
      <c r="Q3362">
        <v>146.5</v>
      </c>
      <c r="R3362">
        <v>77.5</v>
      </c>
      <c r="S3362">
        <v>21.47</v>
      </c>
      <c r="T3362" t="str">
        <f t="shared" si="314"/>
        <v>Normal</v>
      </c>
      <c r="U3362">
        <v>75</v>
      </c>
      <c r="V3362">
        <v>85</v>
      </c>
      <c r="W3362" t="str">
        <f t="shared" si="317"/>
        <v>Normal</v>
      </c>
      <c r="X3362">
        <v>0</v>
      </c>
    </row>
    <row r="3363" spans="1:24" ht="14.5" thickBot="1" x14ac:dyDescent="0.35">
      <c r="A3363">
        <v>1</v>
      </c>
      <c r="B3363" t="str">
        <f t="shared" si="315"/>
        <v>Male</v>
      </c>
      <c r="C3363" s="8">
        <v>58</v>
      </c>
      <c r="D3363" t="str">
        <f t="shared" si="316"/>
        <v>Senior</v>
      </c>
      <c r="E3363">
        <v>2</v>
      </c>
      <c r="F3363" t="str">
        <f>HLOOKUP(E3363, LookUP_Table!$A$6:$D$7, 2, FALSE)</f>
        <v>Secondary</v>
      </c>
      <c r="G3363" t="str">
        <f>IFERROR(VLOOKUP(E3363, LookUP_Table!$A$1:$B$4, 2, FALSE), "")</f>
        <v>Secondary</v>
      </c>
      <c r="H3363">
        <v>0</v>
      </c>
      <c r="I3363">
        <v>0</v>
      </c>
      <c r="J3363" t="str">
        <f t="shared" si="312"/>
        <v>Non-Smoker</v>
      </c>
      <c r="K3363">
        <v>0</v>
      </c>
      <c r="L3363">
        <v>0</v>
      </c>
      <c r="M3363">
        <v>1</v>
      </c>
      <c r="N3363">
        <v>0</v>
      </c>
      <c r="O3363">
        <v>241</v>
      </c>
      <c r="P3363" t="str">
        <f t="shared" si="313"/>
        <v>High</v>
      </c>
      <c r="Q3363">
        <v>151</v>
      </c>
      <c r="R3363">
        <v>102</v>
      </c>
      <c r="S3363">
        <v>26</v>
      </c>
      <c r="T3363" t="str">
        <f t="shared" si="314"/>
        <v>Overweight</v>
      </c>
      <c r="U3363">
        <v>65</v>
      </c>
      <c r="V3363">
        <v>90</v>
      </c>
      <c r="W3363" t="str">
        <f t="shared" si="317"/>
        <v>Normal</v>
      </c>
      <c r="X3363">
        <v>0</v>
      </c>
    </row>
    <row r="3364" spans="1:24" ht="14.5" thickBot="1" x14ac:dyDescent="0.35">
      <c r="A3364">
        <v>0</v>
      </c>
      <c r="B3364" t="str">
        <f t="shared" si="315"/>
        <v>Female</v>
      </c>
      <c r="C3364" s="8">
        <v>58</v>
      </c>
      <c r="D3364" t="str">
        <f t="shared" si="316"/>
        <v>Senior</v>
      </c>
      <c r="E3364">
        <v>1</v>
      </c>
      <c r="F3364" t="str">
        <f>HLOOKUP(E3364, LookUP_Table!$A$6:$D$7, 2, FALSE)</f>
        <v>Primary</v>
      </c>
      <c r="G3364" t="str">
        <f>IFERROR(VLOOKUP(E3364, LookUP_Table!$A$1:$B$4, 2, FALSE), "")</f>
        <v>Primary</v>
      </c>
      <c r="H3364">
        <v>0</v>
      </c>
      <c r="I3364">
        <v>0</v>
      </c>
      <c r="J3364" t="str">
        <f t="shared" si="312"/>
        <v>Non-Smoker</v>
      </c>
      <c r="K3364">
        <v>0</v>
      </c>
      <c r="L3364">
        <v>0</v>
      </c>
      <c r="M3364">
        <v>0</v>
      </c>
      <c r="N3364">
        <v>0</v>
      </c>
      <c r="O3364">
        <v>295</v>
      </c>
      <c r="P3364" t="str">
        <f t="shared" si="313"/>
        <v>High</v>
      </c>
      <c r="Q3364">
        <v>138</v>
      </c>
      <c r="R3364">
        <v>78</v>
      </c>
      <c r="S3364">
        <v>23.45</v>
      </c>
      <c r="T3364" t="str">
        <f t="shared" si="314"/>
        <v>Normal</v>
      </c>
      <c r="U3364">
        <v>70</v>
      </c>
      <c r="V3364">
        <v>81</v>
      </c>
      <c r="W3364" t="str">
        <f t="shared" si="317"/>
        <v>Normal</v>
      </c>
      <c r="X3364">
        <v>0</v>
      </c>
    </row>
    <row r="3365" spans="1:24" ht="14.5" thickBot="1" x14ac:dyDescent="0.35">
      <c r="A3365">
        <v>0</v>
      </c>
      <c r="B3365" t="str">
        <f t="shared" si="315"/>
        <v>Female</v>
      </c>
      <c r="C3365" s="8">
        <v>58</v>
      </c>
      <c r="D3365" t="str">
        <f t="shared" si="316"/>
        <v>Senior</v>
      </c>
      <c r="E3365">
        <v>1</v>
      </c>
      <c r="F3365" t="str">
        <f>HLOOKUP(E3365, LookUP_Table!$A$6:$D$7, 2, FALSE)</f>
        <v>Primary</v>
      </c>
      <c r="G3365" t="str">
        <f>IFERROR(VLOOKUP(E3365, LookUP_Table!$A$1:$B$4, 2, FALSE), "")</f>
        <v>Primary</v>
      </c>
      <c r="H3365">
        <v>1</v>
      </c>
      <c r="I3365">
        <v>20</v>
      </c>
      <c r="J3365" t="str">
        <f t="shared" si="312"/>
        <v>Smoker</v>
      </c>
      <c r="K3365">
        <v>0</v>
      </c>
      <c r="L3365">
        <v>0</v>
      </c>
      <c r="M3365">
        <v>0</v>
      </c>
      <c r="N3365">
        <v>0</v>
      </c>
      <c r="O3365">
        <v>215</v>
      </c>
      <c r="P3365" t="str">
        <f t="shared" si="313"/>
        <v>Normal</v>
      </c>
      <c r="Q3365">
        <v>119.5</v>
      </c>
      <c r="R3365">
        <v>73</v>
      </c>
      <c r="S3365">
        <v>29.86</v>
      </c>
      <c r="T3365" t="str">
        <f t="shared" si="314"/>
        <v>Overweight</v>
      </c>
      <c r="U3365">
        <v>67</v>
      </c>
      <c r="V3365">
        <v>93</v>
      </c>
      <c r="W3365" t="str">
        <f t="shared" si="317"/>
        <v>Normal</v>
      </c>
      <c r="X3365">
        <v>1</v>
      </c>
    </row>
    <row r="3366" spans="1:24" ht="14.5" thickBot="1" x14ac:dyDescent="0.35">
      <c r="A3366">
        <v>0</v>
      </c>
      <c r="B3366" t="str">
        <f t="shared" si="315"/>
        <v>Female</v>
      </c>
      <c r="C3366" s="8">
        <v>58</v>
      </c>
      <c r="D3366" t="str">
        <f t="shared" si="316"/>
        <v>Senior</v>
      </c>
      <c r="E3366">
        <v>1</v>
      </c>
      <c r="F3366" t="str">
        <f>HLOOKUP(E3366, LookUP_Table!$A$6:$D$7, 2, FALSE)</f>
        <v>Primary</v>
      </c>
      <c r="G3366" t="str">
        <f>IFERROR(VLOOKUP(E3366, LookUP_Table!$A$1:$B$4, 2, FALSE), "")</f>
        <v>Primary</v>
      </c>
      <c r="H3366">
        <v>0</v>
      </c>
      <c r="I3366">
        <v>0</v>
      </c>
      <c r="J3366" t="str">
        <f t="shared" si="312"/>
        <v>Non-Smoker</v>
      </c>
      <c r="K3366">
        <v>0</v>
      </c>
      <c r="L3366">
        <v>0</v>
      </c>
      <c r="M3366">
        <v>0</v>
      </c>
      <c r="N3366">
        <v>0</v>
      </c>
      <c r="O3366">
        <v>210</v>
      </c>
      <c r="P3366" t="str">
        <f t="shared" si="313"/>
        <v>Normal</v>
      </c>
      <c r="Q3366">
        <v>102</v>
      </c>
      <c r="R3366">
        <v>60</v>
      </c>
      <c r="S3366">
        <v>26.98</v>
      </c>
      <c r="T3366" t="str">
        <f t="shared" si="314"/>
        <v>Overweight</v>
      </c>
      <c r="U3366">
        <v>71</v>
      </c>
      <c r="V3366">
        <v>90</v>
      </c>
      <c r="W3366" t="str">
        <f t="shared" si="317"/>
        <v>Normal</v>
      </c>
      <c r="X3366">
        <v>0</v>
      </c>
    </row>
    <row r="3367" spans="1:24" ht="14.5" thickBot="1" x14ac:dyDescent="0.35">
      <c r="A3367">
        <v>0</v>
      </c>
      <c r="B3367" t="str">
        <f t="shared" si="315"/>
        <v>Female</v>
      </c>
      <c r="C3367" s="8">
        <v>58</v>
      </c>
      <c r="D3367" t="str">
        <f t="shared" si="316"/>
        <v>Senior</v>
      </c>
      <c r="E3367">
        <v>1</v>
      </c>
      <c r="F3367" t="str">
        <f>HLOOKUP(E3367, LookUP_Table!$A$6:$D$7, 2, FALSE)</f>
        <v>Primary</v>
      </c>
      <c r="G3367" t="str">
        <f>IFERROR(VLOOKUP(E3367, LookUP_Table!$A$1:$B$4, 2, FALSE), "")</f>
        <v>Primary</v>
      </c>
      <c r="H3367">
        <v>0</v>
      </c>
      <c r="I3367">
        <v>0</v>
      </c>
      <c r="J3367" t="str">
        <f t="shared" si="312"/>
        <v>Non-Smoker</v>
      </c>
      <c r="K3367">
        <v>1</v>
      </c>
      <c r="L3367">
        <v>0</v>
      </c>
      <c r="M3367">
        <v>1</v>
      </c>
      <c r="N3367">
        <v>1</v>
      </c>
      <c r="O3367">
        <v>294</v>
      </c>
      <c r="P3367" t="str">
        <f t="shared" si="313"/>
        <v>High</v>
      </c>
      <c r="Q3367">
        <v>195</v>
      </c>
      <c r="R3367">
        <v>90</v>
      </c>
      <c r="S3367">
        <v>27.73</v>
      </c>
      <c r="T3367" t="str">
        <f t="shared" si="314"/>
        <v>Overweight</v>
      </c>
      <c r="U3367">
        <v>72</v>
      </c>
      <c r="V3367">
        <v>127</v>
      </c>
      <c r="W3367" t="str">
        <f t="shared" si="317"/>
        <v>Diabetes</v>
      </c>
      <c r="X3367">
        <v>0</v>
      </c>
    </row>
    <row r="3368" spans="1:24" ht="14.5" thickBot="1" x14ac:dyDescent="0.35">
      <c r="A3368">
        <v>1</v>
      </c>
      <c r="B3368" t="str">
        <f t="shared" si="315"/>
        <v>Male</v>
      </c>
      <c r="C3368" s="8">
        <v>58</v>
      </c>
      <c r="D3368" t="str">
        <f t="shared" si="316"/>
        <v>Senior</v>
      </c>
      <c r="E3368">
        <v>1</v>
      </c>
      <c r="F3368" t="str">
        <f>HLOOKUP(E3368, LookUP_Table!$A$6:$D$7, 2, FALSE)</f>
        <v>Primary</v>
      </c>
      <c r="G3368" t="str">
        <f>IFERROR(VLOOKUP(E3368, LookUP_Table!$A$1:$B$4, 2, FALSE), "")</f>
        <v>Primary</v>
      </c>
      <c r="H3368">
        <v>1</v>
      </c>
      <c r="I3368">
        <v>20</v>
      </c>
      <c r="J3368" t="str">
        <f t="shared" si="312"/>
        <v>Smoker</v>
      </c>
      <c r="K3368">
        <v>0</v>
      </c>
      <c r="L3368">
        <v>0</v>
      </c>
      <c r="M3368">
        <v>0</v>
      </c>
      <c r="N3368">
        <v>0</v>
      </c>
      <c r="O3368">
        <v>184</v>
      </c>
      <c r="P3368" t="str">
        <f t="shared" si="313"/>
        <v>Normal</v>
      </c>
      <c r="Q3368">
        <v>127.5</v>
      </c>
      <c r="R3368">
        <v>70</v>
      </c>
      <c r="S3368">
        <v>25.62</v>
      </c>
      <c r="T3368" t="str">
        <f t="shared" si="314"/>
        <v>Overweight</v>
      </c>
      <c r="U3368">
        <v>50</v>
      </c>
      <c r="V3368">
        <v>80</v>
      </c>
      <c r="W3368" t="str">
        <f t="shared" si="317"/>
        <v>Normal</v>
      </c>
      <c r="X3368">
        <v>0</v>
      </c>
    </row>
    <row r="3369" spans="1:24" ht="14.5" thickBot="1" x14ac:dyDescent="0.35">
      <c r="A3369">
        <v>0</v>
      </c>
      <c r="B3369" t="str">
        <f t="shared" si="315"/>
        <v>Female</v>
      </c>
      <c r="C3369" s="8">
        <v>58</v>
      </c>
      <c r="D3369" t="str">
        <f t="shared" si="316"/>
        <v>Senior</v>
      </c>
      <c r="E3369">
        <v>1</v>
      </c>
      <c r="F3369" t="str">
        <f>HLOOKUP(E3369, LookUP_Table!$A$6:$D$7, 2, FALSE)</f>
        <v>Primary</v>
      </c>
      <c r="G3369" t="str">
        <f>IFERROR(VLOOKUP(E3369, LookUP_Table!$A$1:$B$4, 2, FALSE), "")</f>
        <v>Primary</v>
      </c>
      <c r="H3369">
        <v>0</v>
      </c>
      <c r="I3369">
        <v>0</v>
      </c>
      <c r="J3369" t="str">
        <f t="shared" si="312"/>
        <v>Non-Smoker</v>
      </c>
      <c r="K3369">
        <v>0</v>
      </c>
      <c r="L3369">
        <v>0</v>
      </c>
      <c r="M3369">
        <v>0</v>
      </c>
      <c r="N3369">
        <v>0</v>
      </c>
      <c r="O3369">
        <v>296</v>
      </c>
      <c r="P3369" t="str">
        <f t="shared" si="313"/>
        <v>High</v>
      </c>
      <c r="Q3369">
        <v>141.5</v>
      </c>
      <c r="R3369">
        <v>87</v>
      </c>
      <c r="S3369">
        <v>28.31</v>
      </c>
      <c r="T3369" t="str">
        <f t="shared" si="314"/>
        <v>Overweight</v>
      </c>
      <c r="U3369">
        <v>75</v>
      </c>
      <c r="V3369">
        <v>81.96365524402907</v>
      </c>
      <c r="W3369" t="str">
        <f t="shared" si="317"/>
        <v>Normal</v>
      </c>
      <c r="X3369">
        <v>0</v>
      </c>
    </row>
    <row r="3370" spans="1:24" ht="14.5" thickBot="1" x14ac:dyDescent="0.35">
      <c r="A3370">
        <v>0</v>
      </c>
      <c r="B3370" t="str">
        <f t="shared" si="315"/>
        <v>Female</v>
      </c>
      <c r="C3370" s="8">
        <v>58</v>
      </c>
      <c r="D3370" t="str">
        <f t="shared" si="316"/>
        <v>Senior</v>
      </c>
      <c r="E3370">
        <v>2</v>
      </c>
      <c r="F3370" t="str">
        <f>HLOOKUP(E3370, LookUP_Table!$A$6:$D$7, 2, FALSE)</f>
        <v>Secondary</v>
      </c>
      <c r="G3370" t="str">
        <f>IFERROR(VLOOKUP(E3370, LookUP_Table!$A$1:$B$4, 2, FALSE), "")</f>
        <v>Secondary</v>
      </c>
      <c r="H3370">
        <v>0</v>
      </c>
      <c r="I3370">
        <v>0</v>
      </c>
      <c r="J3370" t="str">
        <f t="shared" si="312"/>
        <v>Non-Smoker</v>
      </c>
      <c r="K3370">
        <v>0</v>
      </c>
      <c r="L3370">
        <v>0</v>
      </c>
      <c r="M3370">
        <v>1</v>
      </c>
      <c r="N3370">
        <v>1</v>
      </c>
      <c r="O3370">
        <v>240</v>
      </c>
      <c r="P3370" t="str">
        <f t="shared" si="313"/>
        <v>Normal</v>
      </c>
      <c r="Q3370">
        <v>150</v>
      </c>
      <c r="R3370">
        <v>80</v>
      </c>
      <c r="S3370">
        <v>26.45</v>
      </c>
      <c r="T3370" t="str">
        <f t="shared" si="314"/>
        <v>Overweight</v>
      </c>
      <c r="U3370">
        <v>66</v>
      </c>
      <c r="V3370">
        <v>255</v>
      </c>
      <c r="W3370" t="str">
        <f t="shared" si="317"/>
        <v>Diabetes</v>
      </c>
      <c r="X3370">
        <v>1</v>
      </c>
    </row>
    <row r="3371" spans="1:24" ht="14.5" thickBot="1" x14ac:dyDescent="0.35">
      <c r="A3371">
        <v>0</v>
      </c>
      <c r="B3371" t="str">
        <f t="shared" si="315"/>
        <v>Female</v>
      </c>
      <c r="C3371" s="8">
        <v>58</v>
      </c>
      <c r="D3371" t="str">
        <f t="shared" si="316"/>
        <v>Senior</v>
      </c>
      <c r="E3371">
        <v>3</v>
      </c>
      <c r="F3371" t="str">
        <f>HLOOKUP(E3371, LookUP_Table!$A$6:$D$7, 2, FALSE)</f>
        <v>Graduate</v>
      </c>
      <c r="G3371" t="str">
        <f>IFERROR(VLOOKUP(E3371, LookUP_Table!$A$1:$B$4, 2, FALSE), "")</f>
        <v>Graduate</v>
      </c>
      <c r="H3371">
        <v>0</v>
      </c>
      <c r="I3371">
        <v>0</v>
      </c>
      <c r="J3371" t="str">
        <f t="shared" si="312"/>
        <v>Non-Smoker</v>
      </c>
      <c r="K3371">
        <v>0</v>
      </c>
      <c r="L3371">
        <v>0</v>
      </c>
      <c r="M3371">
        <v>1</v>
      </c>
      <c r="N3371">
        <v>0</v>
      </c>
      <c r="O3371">
        <v>232</v>
      </c>
      <c r="P3371" t="str">
        <f t="shared" si="313"/>
        <v>Normal</v>
      </c>
      <c r="Q3371">
        <v>145</v>
      </c>
      <c r="R3371">
        <v>94</v>
      </c>
      <c r="S3371">
        <v>26.38</v>
      </c>
      <c r="T3371" t="str">
        <f t="shared" si="314"/>
        <v>Overweight</v>
      </c>
      <c r="U3371">
        <v>66</v>
      </c>
      <c r="V3371">
        <v>80</v>
      </c>
      <c r="W3371" t="str">
        <f t="shared" si="317"/>
        <v>Normal</v>
      </c>
      <c r="X3371">
        <v>0</v>
      </c>
    </row>
    <row r="3372" spans="1:24" ht="14.5" thickBot="1" x14ac:dyDescent="0.35">
      <c r="A3372">
        <v>0</v>
      </c>
      <c r="B3372" t="str">
        <f t="shared" si="315"/>
        <v>Female</v>
      </c>
      <c r="C3372" s="8">
        <v>58</v>
      </c>
      <c r="D3372" t="str">
        <f t="shared" si="316"/>
        <v>Senior</v>
      </c>
      <c r="E3372">
        <v>1</v>
      </c>
      <c r="F3372" t="str">
        <f>HLOOKUP(E3372, LookUP_Table!$A$6:$D$7, 2, FALSE)</f>
        <v>Primary</v>
      </c>
      <c r="G3372" t="str">
        <f>IFERROR(VLOOKUP(E3372, LookUP_Table!$A$1:$B$4, 2, FALSE), "")</f>
        <v>Primary</v>
      </c>
      <c r="H3372">
        <v>0</v>
      </c>
      <c r="I3372">
        <v>0</v>
      </c>
      <c r="J3372" t="str">
        <f t="shared" si="312"/>
        <v>Non-Smoker</v>
      </c>
      <c r="K3372">
        <v>0</v>
      </c>
      <c r="L3372">
        <v>0</v>
      </c>
      <c r="M3372">
        <v>0</v>
      </c>
      <c r="N3372">
        <v>1</v>
      </c>
      <c r="O3372">
        <v>260</v>
      </c>
      <c r="P3372" t="str">
        <f t="shared" si="313"/>
        <v>High</v>
      </c>
      <c r="Q3372">
        <v>85.5</v>
      </c>
      <c r="R3372">
        <v>51</v>
      </c>
      <c r="S3372">
        <v>20.76</v>
      </c>
      <c r="T3372" t="str">
        <f t="shared" si="314"/>
        <v>Normal</v>
      </c>
      <c r="U3372">
        <v>87</v>
      </c>
      <c r="V3372">
        <v>206</v>
      </c>
      <c r="W3372" t="str">
        <f t="shared" si="317"/>
        <v>Diabetes</v>
      </c>
      <c r="X3372">
        <v>1</v>
      </c>
    </row>
    <row r="3373" spans="1:24" ht="14.5" thickBot="1" x14ac:dyDescent="0.35">
      <c r="A3373">
        <v>0</v>
      </c>
      <c r="B3373" t="str">
        <f t="shared" si="315"/>
        <v>Female</v>
      </c>
      <c r="C3373" s="8">
        <v>58</v>
      </c>
      <c r="D3373" t="str">
        <f t="shared" si="316"/>
        <v>Senior</v>
      </c>
      <c r="E3373">
        <v>1</v>
      </c>
      <c r="F3373" t="str">
        <f>HLOOKUP(E3373, LookUP_Table!$A$6:$D$7, 2, FALSE)</f>
        <v>Primary</v>
      </c>
      <c r="G3373" t="str">
        <f>IFERROR(VLOOKUP(E3373, LookUP_Table!$A$1:$B$4, 2, FALSE), "")</f>
        <v>Primary</v>
      </c>
      <c r="H3373">
        <v>1</v>
      </c>
      <c r="I3373">
        <v>1</v>
      </c>
      <c r="J3373" t="str">
        <f t="shared" si="312"/>
        <v>Smoker</v>
      </c>
      <c r="K3373">
        <v>0</v>
      </c>
      <c r="L3373">
        <v>0</v>
      </c>
      <c r="M3373">
        <v>1</v>
      </c>
      <c r="N3373">
        <v>0</v>
      </c>
      <c r="O3373">
        <v>244</v>
      </c>
      <c r="P3373" t="str">
        <f t="shared" si="313"/>
        <v>High</v>
      </c>
      <c r="Q3373">
        <v>160.5</v>
      </c>
      <c r="R3373">
        <v>98</v>
      </c>
      <c r="S3373">
        <v>25.80080075811421</v>
      </c>
      <c r="T3373" t="str">
        <f t="shared" si="314"/>
        <v>Overweight</v>
      </c>
      <c r="U3373">
        <v>86</v>
      </c>
      <c r="V3373">
        <v>69</v>
      </c>
      <c r="W3373" t="str">
        <f t="shared" si="317"/>
        <v>Normal</v>
      </c>
      <c r="X3373">
        <v>0</v>
      </c>
    </row>
    <row r="3374" spans="1:24" ht="14.5" thickBot="1" x14ac:dyDescent="0.35">
      <c r="A3374">
        <v>1</v>
      </c>
      <c r="B3374" t="str">
        <f t="shared" si="315"/>
        <v>Male</v>
      </c>
      <c r="C3374" s="8">
        <v>58</v>
      </c>
      <c r="D3374" t="str">
        <f t="shared" si="316"/>
        <v>Senior</v>
      </c>
      <c r="E3374">
        <v>1</v>
      </c>
      <c r="F3374" t="str">
        <f>HLOOKUP(E3374, LookUP_Table!$A$6:$D$7, 2, FALSE)</f>
        <v>Primary</v>
      </c>
      <c r="G3374" t="str">
        <f>IFERROR(VLOOKUP(E3374, LookUP_Table!$A$1:$B$4, 2, FALSE), "")</f>
        <v>Primary</v>
      </c>
      <c r="H3374">
        <v>1</v>
      </c>
      <c r="I3374">
        <v>20</v>
      </c>
      <c r="J3374" t="str">
        <f t="shared" si="312"/>
        <v>Smoker</v>
      </c>
      <c r="K3374">
        <v>0</v>
      </c>
      <c r="L3374">
        <v>0</v>
      </c>
      <c r="M3374">
        <v>0</v>
      </c>
      <c r="N3374">
        <v>0</v>
      </c>
      <c r="O3374">
        <v>200</v>
      </c>
      <c r="P3374" t="str">
        <f t="shared" si="313"/>
        <v>Normal</v>
      </c>
      <c r="Q3374">
        <v>136</v>
      </c>
      <c r="R3374">
        <v>88</v>
      </c>
      <c r="S3374">
        <v>26.25</v>
      </c>
      <c r="T3374" t="str">
        <f t="shared" si="314"/>
        <v>Overweight</v>
      </c>
      <c r="U3374">
        <v>75</v>
      </c>
      <c r="V3374">
        <v>73</v>
      </c>
      <c r="W3374" t="str">
        <f t="shared" si="317"/>
        <v>Normal</v>
      </c>
      <c r="X3374">
        <v>1</v>
      </c>
    </row>
    <row r="3375" spans="1:24" ht="14.5" thickBot="1" x14ac:dyDescent="0.35">
      <c r="A3375">
        <v>0</v>
      </c>
      <c r="B3375" t="str">
        <f t="shared" si="315"/>
        <v>Female</v>
      </c>
      <c r="C3375" s="8">
        <v>58</v>
      </c>
      <c r="D3375" t="str">
        <f t="shared" si="316"/>
        <v>Senior</v>
      </c>
      <c r="E3375">
        <v>1</v>
      </c>
      <c r="F3375" t="str">
        <f>HLOOKUP(E3375, LookUP_Table!$A$6:$D$7, 2, FALSE)</f>
        <v>Primary</v>
      </c>
      <c r="G3375" t="str">
        <f>IFERROR(VLOOKUP(E3375, LookUP_Table!$A$1:$B$4, 2, FALSE), "")</f>
        <v>Primary</v>
      </c>
      <c r="H3375">
        <v>1</v>
      </c>
      <c r="I3375">
        <v>20</v>
      </c>
      <c r="J3375" t="str">
        <f t="shared" si="312"/>
        <v>Smoker</v>
      </c>
      <c r="K3375">
        <v>0</v>
      </c>
      <c r="L3375">
        <v>0</v>
      </c>
      <c r="M3375">
        <v>0</v>
      </c>
      <c r="N3375">
        <v>0</v>
      </c>
      <c r="O3375">
        <v>225</v>
      </c>
      <c r="P3375" t="str">
        <f t="shared" si="313"/>
        <v>Normal</v>
      </c>
      <c r="Q3375">
        <v>146</v>
      </c>
      <c r="R3375">
        <v>77</v>
      </c>
      <c r="S3375">
        <v>24.6</v>
      </c>
      <c r="T3375" t="str">
        <f t="shared" si="314"/>
        <v>Normal</v>
      </c>
      <c r="U3375">
        <v>96</v>
      </c>
      <c r="V3375">
        <v>53</v>
      </c>
      <c r="W3375" t="str">
        <f t="shared" si="317"/>
        <v>Normal</v>
      </c>
      <c r="X3375">
        <v>0</v>
      </c>
    </row>
    <row r="3376" spans="1:24" ht="14.5" thickBot="1" x14ac:dyDescent="0.35">
      <c r="A3376">
        <v>0</v>
      </c>
      <c r="B3376" t="str">
        <f t="shared" si="315"/>
        <v>Female</v>
      </c>
      <c r="C3376" s="8">
        <v>58</v>
      </c>
      <c r="D3376" t="str">
        <f t="shared" si="316"/>
        <v>Senior</v>
      </c>
      <c r="E3376">
        <v>1</v>
      </c>
      <c r="F3376" t="str">
        <f>HLOOKUP(E3376, LookUP_Table!$A$6:$D$7, 2, FALSE)</f>
        <v>Primary</v>
      </c>
      <c r="G3376" t="str">
        <f>IFERROR(VLOOKUP(E3376, LookUP_Table!$A$1:$B$4, 2, FALSE), "")</f>
        <v>Primary</v>
      </c>
      <c r="H3376">
        <v>1</v>
      </c>
      <c r="I3376">
        <v>20</v>
      </c>
      <c r="J3376" t="str">
        <f t="shared" si="312"/>
        <v>Smoker</v>
      </c>
      <c r="K3376">
        <v>1</v>
      </c>
      <c r="L3376">
        <v>0</v>
      </c>
      <c r="M3376">
        <v>1</v>
      </c>
      <c r="N3376">
        <v>0</v>
      </c>
      <c r="O3376">
        <v>156</v>
      </c>
      <c r="P3376" t="str">
        <f t="shared" si="313"/>
        <v>Normal</v>
      </c>
      <c r="Q3376">
        <v>170</v>
      </c>
      <c r="R3376">
        <v>98</v>
      </c>
      <c r="S3376">
        <v>28.88</v>
      </c>
      <c r="T3376" t="str">
        <f t="shared" si="314"/>
        <v>Overweight</v>
      </c>
      <c r="U3376">
        <v>72</v>
      </c>
      <c r="V3376">
        <v>81.96365524402907</v>
      </c>
      <c r="W3376" t="str">
        <f t="shared" si="317"/>
        <v>Normal</v>
      </c>
      <c r="X3376">
        <v>1</v>
      </c>
    </row>
    <row r="3377" spans="1:24" ht="14.5" thickBot="1" x14ac:dyDescent="0.35">
      <c r="A3377">
        <v>1</v>
      </c>
      <c r="B3377" t="str">
        <f t="shared" si="315"/>
        <v>Male</v>
      </c>
      <c r="C3377" s="8">
        <v>58</v>
      </c>
      <c r="D3377" t="str">
        <f t="shared" si="316"/>
        <v>Senior</v>
      </c>
      <c r="E3377">
        <v>2</v>
      </c>
      <c r="F3377" t="str">
        <f>HLOOKUP(E3377, LookUP_Table!$A$6:$D$7, 2, FALSE)</f>
        <v>Secondary</v>
      </c>
      <c r="G3377" t="str">
        <f>IFERROR(VLOOKUP(E3377, LookUP_Table!$A$1:$B$4, 2, FALSE), "")</f>
        <v>Secondary</v>
      </c>
      <c r="H3377">
        <v>1</v>
      </c>
      <c r="I3377">
        <v>20</v>
      </c>
      <c r="J3377" t="str">
        <f t="shared" si="312"/>
        <v>Smoker</v>
      </c>
      <c r="K3377">
        <v>0</v>
      </c>
      <c r="L3377">
        <v>0</v>
      </c>
      <c r="M3377">
        <v>0</v>
      </c>
      <c r="N3377">
        <v>0</v>
      </c>
      <c r="O3377">
        <v>282</v>
      </c>
      <c r="P3377" t="str">
        <f t="shared" si="313"/>
        <v>High</v>
      </c>
      <c r="Q3377">
        <v>110</v>
      </c>
      <c r="R3377">
        <v>70</v>
      </c>
      <c r="S3377">
        <v>26.4</v>
      </c>
      <c r="T3377" t="str">
        <f t="shared" si="314"/>
        <v>Overweight</v>
      </c>
      <c r="U3377">
        <v>70</v>
      </c>
      <c r="V3377">
        <v>81.96365524402907</v>
      </c>
      <c r="W3377" t="str">
        <f t="shared" si="317"/>
        <v>Normal</v>
      </c>
      <c r="X3377">
        <v>0</v>
      </c>
    </row>
    <row r="3378" spans="1:24" ht="14.5" thickBot="1" x14ac:dyDescent="0.35">
      <c r="A3378">
        <v>0</v>
      </c>
      <c r="B3378" t="str">
        <f t="shared" si="315"/>
        <v>Female</v>
      </c>
      <c r="C3378" s="8">
        <v>58</v>
      </c>
      <c r="D3378" t="str">
        <f t="shared" si="316"/>
        <v>Senior</v>
      </c>
      <c r="E3378">
        <v>1</v>
      </c>
      <c r="F3378" t="str">
        <f>HLOOKUP(E3378, LookUP_Table!$A$6:$D$7, 2, FALSE)</f>
        <v>Primary</v>
      </c>
      <c r="G3378" t="str">
        <f>IFERROR(VLOOKUP(E3378, LookUP_Table!$A$1:$B$4, 2, FALSE), "")</f>
        <v>Primary</v>
      </c>
      <c r="H3378">
        <v>1</v>
      </c>
      <c r="I3378">
        <v>8</v>
      </c>
      <c r="J3378" t="str">
        <f t="shared" si="312"/>
        <v>Smoker</v>
      </c>
      <c r="K3378">
        <v>1</v>
      </c>
      <c r="L3378">
        <v>0</v>
      </c>
      <c r="M3378">
        <v>1</v>
      </c>
      <c r="N3378">
        <v>0</v>
      </c>
      <c r="O3378">
        <v>236.69952267303103</v>
      </c>
      <c r="P3378" t="str">
        <f t="shared" si="313"/>
        <v>Normal</v>
      </c>
      <c r="Q3378">
        <v>185</v>
      </c>
      <c r="R3378">
        <v>105</v>
      </c>
      <c r="S3378">
        <v>31.18</v>
      </c>
      <c r="T3378" t="str">
        <f t="shared" si="314"/>
        <v>Obese</v>
      </c>
      <c r="U3378">
        <v>75</v>
      </c>
      <c r="V3378">
        <v>81.96365524402907</v>
      </c>
      <c r="W3378" t="str">
        <f t="shared" si="317"/>
        <v>Normal</v>
      </c>
      <c r="X3378">
        <v>0</v>
      </c>
    </row>
    <row r="3379" spans="1:24" ht="14.5" thickBot="1" x14ac:dyDescent="0.35">
      <c r="A3379">
        <v>0</v>
      </c>
      <c r="B3379" t="str">
        <f t="shared" si="315"/>
        <v>Female</v>
      </c>
      <c r="C3379" s="8">
        <v>58</v>
      </c>
      <c r="D3379" t="str">
        <f t="shared" si="316"/>
        <v>Senior</v>
      </c>
      <c r="E3379">
        <v>2</v>
      </c>
      <c r="F3379" t="str">
        <f>HLOOKUP(E3379, LookUP_Table!$A$6:$D$7, 2, FALSE)</f>
        <v>Secondary</v>
      </c>
      <c r="G3379" t="str">
        <f>IFERROR(VLOOKUP(E3379, LookUP_Table!$A$1:$B$4, 2, FALSE), "")</f>
        <v>Secondary</v>
      </c>
      <c r="H3379">
        <v>0</v>
      </c>
      <c r="I3379">
        <v>0</v>
      </c>
      <c r="J3379" t="str">
        <f t="shared" si="312"/>
        <v>Non-Smoker</v>
      </c>
      <c r="K3379">
        <v>0</v>
      </c>
      <c r="L3379">
        <v>0</v>
      </c>
      <c r="M3379">
        <v>1</v>
      </c>
      <c r="N3379">
        <v>0</v>
      </c>
      <c r="O3379">
        <v>200</v>
      </c>
      <c r="P3379" t="str">
        <f t="shared" si="313"/>
        <v>Normal</v>
      </c>
      <c r="Q3379">
        <v>177</v>
      </c>
      <c r="R3379">
        <v>97</v>
      </c>
      <c r="S3379">
        <v>28.4</v>
      </c>
      <c r="T3379" t="str">
        <f t="shared" si="314"/>
        <v>Overweight</v>
      </c>
      <c r="U3379">
        <v>86</v>
      </c>
      <c r="V3379">
        <v>73</v>
      </c>
      <c r="W3379" t="str">
        <f t="shared" si="317"/>
        <v>Normal</v>
      </c>
      <c r="X3379">
        <v>0</v>
      </c>
    </row>
    <row r="3380" spans="1:24" ht="14.5" thickBot="1" x14ac:dyDescent="0.35">
      <c r="A3380">
        <v>0</v>
      </c>
      <c r="B3380" t="str">
        <f t="shared" si="315"/>
        <v>Female</v>
      </c>
      <c r="C3380" s="8">
        <v>58</v>
      </c>
      <c r="D3380" t="str">
        <f t="shared" si="316"/>
        <v>Senior</v>
      </c>
      <c r="E3380">
        <v>3</v>
      </c>
      <c r="F3380" t="str">
        <f>HLOOKUP(E3380, LookUP_Table!$A$6:$D$7, 2, FALSE)</f>
        <v>Graduate</v>
      </c>
      <c r="G3380" t="str">
        <f>IFERROR(VLOOKUP(E3380, LookUP_Table!$A$1:$B$4, 2, FALSE), "")</f>
        <v>Graduate</v>
      </c>
      <c r="H3380">
        <v>0</v>
      </c>
      <c r="I3380">
        <v>0</v>
      </c>
      <c r="J3380" t="str">
        <f t="shared" si="312"/>
        <v>Non-Smoker</v>
      </c>
      <c r="K3380">
        <v>0</v>
      </c>
      <c r="L3380">
        <v>0</v>
      </c>
      <c r="M3380">
        <v>1</v>
      </c>
      <c r="N3380">
        <v>0</v>
      </c>
      <c r="O3380">
        <v>236.69952267303103</v>
      </c>
      <c r="P3380" t="str">
        <f t="shared" si="313"/>
        <v>Normal</v>
      </c>
      <c r="Q3380">
        <v>155</v>
      </c>
      <c r="R3380">
        <v>86</v>
      </c>
      <c r="S3380">
        <v>22.09</v>
      </c>
      <c r="T3380" t="str">
        <f t="shared" si="314"/>
        <v>Normal</v>
      </c>
      <c r="U3380">
        <v>68</v>
      </c>
      <c r="V3380">
        <v>81.96365524402907</v>
      </c>
      <c r="W3380" t="str">
        <f t="shared" si="317"/>
        <v>Normal</v>
      </c>
      <c r="X3380">
        <v>0</v>
      </c>
    </row>
    <row r="3381" spans="1:24" ht="14.5" thickBot="1" x14ac:dyDescent="0.35">
      <c r="A3381">
        <v>0</v>
      </c>
      <c r="B3381" t="str">
        <f t="shared" si="315"/>
        <v>Female</v>
      </c>
      <c r="C3381" s="8">
        <v>58</v>
      </c>
      <c r="D3381" t="str">
        <f t="shared" si="316"/>
        <v>Senior</v>
      </c>
      <c r="E3381">
        <v>1</v>
      </c>
      <c r="F3381" t="str">
        <f>HLOOKUP(E3381, LookUP_Table!$A$6:$D$7, 2, FALSE)</f>
        <v>Primary</v>
      </c>
      <c r="G3381" t="str">
        <f>IFERROR(VLOOKUP(E3381, LookUP_Table!$A$1:$B$4, 2, FALSE), "")</f>
        <v>Primary</v>
      </c>
      <c r="H3381">
        <v>0</v>
      </c>
      <c r="I3381">
        <v>0</v>
      </c>
      <c r="J3381" t="str">
        <f t="shared" si="312"/>
        <v>Non-Smoker</v>
      </c>
      <c r="K3381">
        <v>0</v>
      </c>
      <c r="L3381">
        <v>0</v>
      </c>
      <c r="M3381">
        <v>1</v>
      </c>
      <c r="N3381">
        <v>0</v>
      </c>
      <c r="O3381">
        <v>281</v>
      </c>
      <c r="P3381" t="str">
        <f t="shared" si="313"/>
        <v>High</v>
      </c>
      <c r="Q3381">
        <v>150</v>
      </c>
      <c r="R3381">
        <v>101</v>
      </c>
      <c r="S3381">
        <v>36.909999999999997</v>
      </c>
      <c r="T3381" t="str">
        <f t="shared" si="314"/>
        <v>Obese</v>
      </c>
      <c r="U3381">
        <v>72</v>
      </c>
      <c r="V3381">
        <v>97</v>
      </c>
      <c r="W3381" t="str">
        <f t="shared" si="317"/>
        <v>Normal</v>
      </c>
      <c r="X3381">
        <v>1</v>
      </c>
    </row>
    <row r="3382" spans="1:24" ht="14.5" thickBot="1" x14ac:dyDescent="0.35">
      <c r="A3382">
        <v>0</v>
      </c>
      <c r="B3382" t="str">
        <f t="shared" si="315"/>
        <v>Female</v>
      </c>
      <c r="C3382" s="8">
        <v>58</v>
      </c>
      <c r="D3382" t="str">
        <f t="shared" si="316"/>
        <v>Senior</v>
      </c>
      <c r="E3382">
        <v>1</v>
      </c>
      <c r="F3382" t="str">
        <f>HLOOKUP(E3382, LookUP_Table!$A$6:$D$7, 2, FALSE)</f>
        <v>Primary</v>
      </c>
      <c r="G3382" t="str">
        <f>IFERROR(VLOOKUP(E3382, LookUP_Table!$A$1:$B$4, 2, FALSE), "")</f>
        <v>Primary</v>
      </c>
      <c r="H3382">
        <v>1</v>
      </c>
      <c r="I3382">
        <v>20</v>
      </c>
      <c r="J3382" t="str">
        <f t="shared" si="312"/>
        <v>Smoker</v>
      </c>
      <c r="K3382">
        <v>0</v>
      </c>
      <c r="L3382">
        <v>0</v>
      </c>
      <c r="M3382">
        <v>1</v>
      </c>
      <c r="N3382">
        <v>0</v>
      </c>
      <c r="O3382">
        <v>260</v>
      </c>
      <c r="P3382" t="str">
        <f t="shared" si="313"/>
        <v>High</v>
      </c>
      <c r="Q3382">
        <v>180</v>
      </c>
      <c r="R3382">
        <v>100</v>
      </c>
      <c r="S3382">
        <v>25.56</v>
      </c>
      <c r="T3382" t="str">
        <f t="shared" si="314"/>
        <v>Overweight</v>
      </c>
      <c r="U3382">
        <v>100</v>
      </c>
      <c r="V3382">
        <v>81.96365524402907</v>
      </c>
      <c r="W3382" t="str">
        <f t="shared" si="317"/>
        <v>Normal</v>
      </c>
      <c r="X3382">
        <v>1</v>
      </c>
    </row>
    <row r="3383" spans="1:24" ht="14.5" thickBot="1" x14ac:dyDescent="0.35">
      <c r="A3383">
        <v>1</v>
      </c>
      <c r="B3383" t="str">
        <f t="shared" si="315"/>
        <v>Male</v>
      </c>
      <c r="C3383" s="8">
        <v>58</v>
      </c>
      <c r="D3383" t="str">
        <f t="shared" si="316"/>
        <v>Senior</v>
      </c>
      <c r="E3383">
        <v>1</v>
      </c>
      <c r="F3383" t="str">
        <f>HLOOKUP(E3383, LookUP_Table!$A$6:$D$7, 2, FALSE)</f>
        <v>Primary</v>
      </c>
      <c r="G3383" t="str">
        <f>IFERROR(VLOOKUP(E3383, LookUP_Table!$A$1:$B$4, 2, FALSE), "")</f>
        <v>Primary</v>
      </c>
      <c r="H3383">
        <v>0</v>
      </c>
      <c r="I3383">
        <v>0</v>
      </c>
      <c r="J3383" t="str">
        <f t="shared" si="312"/>
        <v>Non-Smoker</v>
      </c>
      <c r="K3383">
        <v>0</v>
      </c>
      <c r="L3383">
        <v>0</v>
      </c>
      <c r="M3383">
        <v>0</v>
      </c>
      <c r="N3383">
        <v>0</v>
      </c>
      <c r="O3383">
        <v>200</v>
      </c>
      <c r="P3383" t="str">
        <f t="shared" si="313"/>
        <v>Normal</v>
      </c>
      <c r="Q3383">
        <v>128</v>
      </c>
      <c r="R3383">
        <v>83</v>
      </c>
      <c r="S3383">
        <v>29.63</v>
      </c>
      <c r="T3383" t="str">
        <f t="shared" si="314"/>
        <v>Overweight</v>
      </c>
      <c r="U3383">
        <v>68</v>
      </c>
      <c r="V3383">
        <v>80</v>
      </c>
      <c r="W3383" t="str">
        <f t="shared" si="317"/>
        <v>Normal</v>
      </c>
      <c r="X3383">
        <v>1</v>
      </c>
    </row>
    <row r="3384" spans="1:24" ht="14.5" thickBot="1" x14ac:dyDescent="0.35">
      <c r="A3384">
        <v>1</v>
      </c>
      <c r="B3384" t="str">
        <f t="shared" si="315"/>
        <v>Male</v>
      </c>
      <c r="C3384" s="8">
        <v>58</v>
      </c>
      <c r="D3384" t="str">
        <f t="shared" si="316"/>
        <v>Senior</v>
      </c>
      <c r="E3384">
        <v>1</v>
      </c>
      <c r="F3384" t="str">
        <f>HLOOKUP(E3384, LookUP_Table!$A$6:$D$7, 2, FALSE)</f>
        <v>Primary</v>
      </c>
      <c r="G3384" t="str">
        <f>IFERROR(VLOOKUP(E3384, LookUP_Table!$A$1:$B$4, 2, FALSE), "")</f>
        <v>Primary</v>
      </c>
      <c r="H3384">
        <v>0</v>
      </c>
      <c r="I3384">
        <v>0</v>
      </c>
      <c r="J3384" t="str">
        <f t="shared" si="312"/>
        <v>Non-Smoker</v>
      </c>
      <c r="K3384">
        <v>0</v>
      </c>
      <c r="L3384">
        <v>0</v>
      </c>
      <c r="M3384">
        <v>1</v>
      </c>
      <c r="N3384">
        <v>1</v>
      </c>
      <c r="O3384">
        <v>287</v>
      </c>
      <c r="P3384" t="str">
        <f t="shared" si="313"/>
        <v>High</v>
      </c>
      <c r="Q3384">
        <v>145</v>
      </c>
      <c r="R3384">
        <v>72.5</v>
      </c>
      <c r="S3384">
        <v>26.27</v>
      </c>
      <c r="T3384" t="str">
        <f t="shared" si="314"/>
        <v>Overweight</v>
      </c>
      <c r="U3384">
        <v>88</v>
      </c>
      <c r="V3384">
        <v>206</v>
      </c>
      <c r="W3384" t="str">
        <f t="shared" si="317"/>
        <v>Diabetes</v>
      </c>
      <c r="X3384">
        <v>1</v>
      </c>
    </row>
    <row r="3385" spans="1:24" ht="14.5" thickBot="1" x14ac:dyDescent="0.35">
      <c r="A3385">
        <v>1</v>
      </c>
      <c r="B3385" t="str">
        <f t="shared" si="315"/>
        <v>Male</v>
      </c>
      <c r="C3385" s="8">
        <v>58</v>
      </c>
      <c r="D3385" t="str">
        <f t="shared" si="316"/>
        <v>Senior</v>
      </c>
      <c r="E3385">
        <v>3</v>
      </c>
      <c r="F3385" t="str">
        <f>HLOOKUP(E3385, LookUP_Table!$A$6:$D$7, 2, FALSE)</f>
        <v>Graduate</v>
      </c>
      <c r="G3385" t="str">
        <f>IFERROR(VLOOKUP(E3385, LookUP_Table!$A$1:$B$4, 2, FALSE), "")</f>
        <v>Graduate</v>
      </c>
      <c r="H3385">
        <v>0</v>
      </c>
      <c r="I3385">
        <v>0</v>
      </c>
      <c r="J3385" t="str">
        <f t="shared" si="312"/>
        <v>Non-Smoker</v>
      </c>
      <c r="K3385">
        <v>0</v>
      </c>
      <c r="L3385">
        <v>0</v>
      </c>
      <c r="M3385">
        <v>0</v>
      </c>
      <c r="N3385">
        <v>0</v>
      </c>
      <c r="O3385">
        <v>189</v>
      </c>
      <c r="P3385" t="str">
        <f t="shared" si="313"/>
        <v>Normal</v>
      </c>
      <c r="Q3385">
        <v>136</v>
      </c>
      <c r="R3385">
        <v>86</v>
      </c>
      <c r="S3385">
        <v>23.97</v>
      </c>
      <c r="T3385" t="str">
        <f t="shared" si="314"/>
        <v>Normal</v>
      </c>
      <c r="U3385">
        <v>71</v>
      </c>
      <c r="V3385">
        <v>60</v>
      </c>
      <c r="W3385" t="str">
        <f t="shared" si="317"/>
        <v>Normal</v>
      </c>
      <c r="X3385">
        <v>0</v>
      </c>
    </row>
    <row r="3386" spans="1:24" ht="14.5" thickBot="1" x14ac:dyDescent="0.35">
      <c r="A3386">
        <v>0</v>
      </c>
      <c r="B3386" t="str">
        <f t="shared" si="315"/>
        <v>Female</v>
      </c>
      <c r="C3386" s="8">
        <v>58</v>
      </c>
      <c r="D3386" t="str">
        <f t="shared" si="316"/>
        <v>Senior</v>
      </c>
      <c r="E3386">
        <v>1</v>
      </c>
      <c r="F3386" t="str">
        <f>HLOOKUP(E3386, LookUP_Table!$A$6:$D$7, 2, FALSE)</f>
        <v>Primary</v>
      </c>
      <c r="G3386" t="str">
        <f>IFERROR(VLOOKUP(E3386, LookUP_Table!$A$1:$B$4, 2, FALSE), "")</f>
        <v>Primary</v>
      </c>
      <c r="H3386">
        <v>0</v>
      </c>
      <c r="I3386">
        <v>0</v>
      </c>
      <c r="J3386" t="str">
        <f t="shared" si="312"/>
        <v>Non-Smoker</v>
      </c>
      <c r="K3386">
        <v>1</v>
      </c>
      <c r="L3386">
        <v>0</v>
      </c>
      <c r="M3386">
        <v>1</v>
      </c>
      <c r="N3386">
        <v>0</v>
      </c>
      <c r="O3386">
        <v>290</v>
      </c>
      <c r="P3386" t="str">
        <f t="shared" si="313"/>
        <v>High</v>
      </c>
      <c r="Q3386">
        <v>145</v>
      </c>
      <c r="R3386">
        <v>88</v>
      </c>
      <c r="S3386">
        <v>36.65</v>
      </c>
      <c r="T3386" t="str">
        <f t="shared" si="314"/>
        <v>Obese</v>
      </c>
      <c r="U3386">
        <v>60</v>
      </c>
      <c r="V3386">
        <v>86</v>
      </c>
      <c r="W3386" t="str">
        <f t="shared" si="317"/>
        <v>Normal</v>
      </c>
      <c r="X3386">
        <v>0</v>
      </c>
    </row>
    <row r="3387" spans="1:24" ht="14.5" thickBot="1" x14ac:dyDescent="0.35">
      <c r="A3387">
        <v>1</v>
      </c>
      <c r="B3387" t="str">
        <f t="shared" si="315"/>
        <v>Male</v>
      </c>
      <c r="C3387" s="8">
        <v>58</v>
      </c>
      <c r="D3387" t="str">
        <f t="shared" si="316"/>
        <v>Senior</v>
      </c>
      <c r="E3387">
        <v>1</v>
      </c>
      <c r="F3387" t="str">
        <f>HLOOKUP(E3387, LookUP_Table!$A$6:$D$7, 2, FALSE)</f>
        <v>Primary</v>
      </c>
      <c r="G3387" t="str">
        <f>IFERROR(VLOOKUP(E3387, LookUP_Table!$A$1:$B$4, 2, FALSE), "")</f>
        <v>Primary</v>
      </c>
      <c r="H3387">
        <v>0</v>
      </c>
      <c r="I3387">
        <v>0</v>
      </c>
      <c r="J3387" t="str">
        <f t="shared" si="312"/>
        <v>Non-Smoker</v>
      </c>
      <c r="K3387">
        <v>0</v>
      </c>
      <c r="L3387">
        <v>0</v>
      </c>
      <c r="M3387">
        <v>1</v>
      </c>
      <c r="N3387">
        <v>0</v>
      </c>
      <c r="O3387">
        <v>333</v>
      </c>
      <c r="P3387" t="str">
        <f t="shared" si="313"/>
        <v>High</v>
      </c>
      <c r="Q3387">
        <v>139</v>
      </c>
      <c r="R3387">
        <v>96</v>
      </c>
      <c r="S3387">
        <v>28.38</v>
      </c>
      <c r="T3387" t="str">
        <f t="shared" si="314"/>
        <v>Overweight</v>
      </c>
      <c r="U3387">
        <v>75</v>
      </c>
      <c r="V3387">
        <v>78</v>
      </c>
      <c r="W3387" t="str">
        <f t="shared" si="317"/>
        <v>Normal</v>
      </c>
      <c r="X3387">
        <v>0</v>
      </c>
    </row>
    <row r="3388" spans="1:24" ht="14.5" thickBot="1" x14ac:dyDescent="0.35">
      <c r="A3388">
        <v>1</v>
      </c>
      <c r="B3388" t="str">
        <f t="shared" si="315"/>
        <v>Male</v>
      </c>
      <c r="C3388" s="8">
        <v>58</v>
      </c>
      <c r="D3388" t="str">
        <f t="shared" si="316"/>
        <v>Senior</v>
      </c>
      <c r="E3388">
        <v>4</v>
      </c>
      <c r="F3388" t="str">
        <f>HLOOKUP(E3388, LookUP_Table!$A$6:$D$7, 2, FALSE)</f>
        <v>Post Graduate</v>
      </c>
      <c r="G3388" t="str">
        <f>IFERROR(VLOOKUP(E3388, LookUP_Table!$A$1:$B$4, 2, FALSE), "")</f>
        <v>Post Graduate</v>
      </c>
      <c r="H3388">
        <v>1</v>
      </c>
      <c r="I3388">
        <v>3</v>
      </c>
      <c r="J3388" t="str">
        <f t="shared" si="312"/>
        <v>Smoker</v>
      </c>
      <c r="K3388">
        <v>0</v>
      </c>
      <c r="L3388">
        <v>0</v>
      </c>
      <c r="M3388">
        <v>0</v>
      </c>
      <c r="N3388">
        <v>0</v>
      </c>
      <c r="O3388">
        <v>290</v>
      </c>
      <c r="P3388" t="str">
        <f t="shared" si="313"/>
        <v>High</v>
      </c>
      <c r="Q3388">
        <v>116.5</v>
      </c>
      <c r="R3388">
        <v>83</v>
      </c>
      <c r="S3388">
        <v>23.27</v>
      </c>
      <c r="T3388" t="str">
        <f t="shared" si="314"/>
        <v>Normal</v>
      </c>
      <c r="U3388">
        <v>75</v>
      </c>
      <c r="V3388">
        <v>85</v>
      </c>
      <c r="W3388" t="str">
        <f t="shared" si="317"/>
        <v>Normal</v>
      </c>
      <c r="X3388">
        <v>0</v>
      </c>
    </row>
    <row r="3389" spans="1:24" ht="14.5" thickBot="1" x14ac:dyDescent="0.35">
      <c r="A3389">
        <v>0</v>
      </c>
      <c r="B3389" t="str">
        <f t="shared" si="315"/>
        <v>Female</v>
      </c>
      <c r="C3389" s="8">
        <v>58</v>
      </c>
      <c r="D3389" t="str">
        <f t="shared" si="316"/>
        <v>Senior</v>
      </c>
      <c r="E3389">
        <v>1</v>
      </c>
      <c r="F3389" t="str">
        <f>HLOOKUP(E3389, LookUP_Table!$A$6:$D$7, 2, FALSE)</f>
        <v>Primary</v>
      </c>
      <c r="G3389" t="str">
        <f>IFERROR(VLOOKUP(E3389, LookUP_Table!$A$1:$B$4, 2, FALSE), "")</f>
        <v>Primary</v>
      </c>
      <c r="H3389">
        <v>0</v>
      </c>
      <c r="I3389">
        <v>0</v>
      </c>
      <c r="J3389" t="str">
        <f t="shared" si="312"/>
        <v>Non-Smoker</v>
      </c>
      <c r="K3389">
        <v>0</v>
      </c>
      <c r="L3389">
        <v>0</v>
      </c>
      <c r="M3389">
        <v>1</v>
      </c>
      <c r="N3389">
        <v>0</v>
      </c>
      <c r="O3389">
        <v>268</v>
      </c>
      <c r="P3389" t="str">
        <f t="shared" si="313"/>
        <v>High</v>
      </c>
      <c r="Q3389">
        <v>170</v>
      </c>
      <c r="R3389">
        <v>104</v>
      </c>
      <c r="S3389">
        <v>24.51</v>
      </c>
      <c r="T3389" t="str">
        <f t="shared" si="314"/>
        <v>Normal</v>
      </c>
      <c r="U3389">
        <v>70</v>
      </c>
      <c r="V3389">
        <v>75</v>
      </c>
      <c r="W3389" t="str">
        <f t="shared" si="317"/>
        <v>Normal</v>
      </c>
      <c r="X3389">
        <v>0</v>
      </c>
    </row>
    <row r="3390" spans="1:24" ht="14.5" thickBot="1" x14ac:dyDescent="0.35">
      <c r="A3390">
        <v>0</v>
      </c>
      <c r="B3390" t="str">
        <f t="shared" si="315"/>
        <v>Female</v>
      </c>
      <c r="C3390" s="8">
        <v>58</v>
      </c>
      <c r="D3390" t="str">
        <f t="shared" si="316"/>
        <v>Senior</v>
      </c>
      <c r="E3390">
        <v>3</v>
      </c>
      <c r="F3390" t="str">
        <f>HLOOKUP(E3390, LookUP_Table!$A$6:$D$7, 2, FALSE)</f>
        <v>Graduate</v>
      </c>
      <c r="G3390" t="str">
        <f>IFERROR(VLOOKUP(E3390, LookUP_Table!$A$1:$B$4, 2, FALSE), "")</f>
        <v>Graduate</v>
      </c>
      <c r="H3390">
        <v>0</v>
      </c>
      <c r="I3390">
        <v>0</v>
      </c>
      <c r="J3390" t="str">
        <f t="shared" si="312"/>
        <v>Non-Smoker</v>
      </c>
      <c r="K3390">
        <v>0</v>
      </c>
      <c r="L3390">
        <v>0</v>
      </c>
      <c r="M3390">
        <v>1</v>
      </c>
      <c r="N3390">
        <v>0</v>
      </c>
      <c r="O3390">
        <v>241</v>
      </c>
      <c r="P3390" t="str">
        <f t="shared" si="313"/>
        <v>High</v>
      </c>
      <c r="Q3390">
        <v>143.5</v>
      </c>
      <c r="R3390">
        <v>85.5</v>
      </c>
      <c r="S3390">
        <v>23.96</v>
      </c>
      <c r="T3390" t="str">
        <f t="shared" si="314"/>
        <v>Normal</v>
      </c>
      <c r="U3390">
        <v>96</v>
      </c>
      <c r="V3390">
        <v>81.96365524402907</v>
      </c>
      <c r="W3390" t="str">
        <f t="shared" si="317"/>
        <v>Normal</v>
      </c>
      <c r="X3390">
        <v>1</v>
      </c>
    </row>
    <row r="3391" spans="1:24" ht="14.5" thickBot="1" x14ac:dyDescent="0.35">
      <c r="A3391">
        <v>1</v>
      </c>
      <c r="B3391" t="str">
        <f t="shared" si="315"/>
        <v>Male</v>
      </c>
      <c r="C3391" s="8">
        <v>58</v>
      </c>
      <c r="D3391" t="str">
        <f t="shared" si="316"/>
        <v>Senior</v>
      </c>
      <c r="E3391">
        <v>1</v>
      </c>
      <c r="F3391" t="str">
        <f>HLOOKUP(E3391, LookUP_Table!$A$6:$D$7, 2, FALSE)</f>
        <v>Primary</v>
      </c>
      <c r="G3391" t="str">
        <f>IFERROR(VLOOKUP(E3391, LookUP_Table!$A$1:$B$4, 2, FALSE), "")</f>
        <v>Primary</v>
      </c>
      <c r="H3391">
        <v>1</v>
      </c>
      <c r="I3391">
        <v>15</v>
      </c>
      <c r="J3391" t="str">
        <f t="shared" si="312"/>
        <v>Smoker</v>
      </c>
      <c r="K3391">
        <v>0</v>
      </c>
      <c r="L3391">
        <v>0</v>
      </c>
      <c r="M3391">
        <v>0</v>
      </c>
      <c r="N3391">
        <v>0</v>
      </c>
      <c r="O3391">
        <v>175</v>
      </c>
      <c r="P3391" t="str">
        <f t="shared" si="313"/>
        <v>Normal</v>
      </c>
      <c r="Q3391">
        <v>83.5</v>
      </c>
      <c r="R3391">
        <v>58</v>
      </c>
      <c r="S3391">
        <v>29.66</v>
      </c>
      <c r="T3391" t="str">
        <f t="shared" si="314"/>
        <v>Overweight</v>
      </c>
      <c r="U3391">
        <v>95</v>
      </c>
      <c r="V3391">
        <v>115</v>
      </c>
      <c r="W3391" t="str">
        <f t="shared" si="317"/>
        <v>Prediabetes</v>
      </c>
      <c r="X3391">
        <v>0</v>
      </c>
    </row>
    <row r="3392" spans="1:24" ht="14.5" thickBot="1" x14ac:dyDescent="0.35">
      <c r="A3392">
        <v>0</v>
      </c>
      <c r="B3392" t="str">
        <f t="shared" si="315"/>
        <v>Female</v>
      </c>
      <c r="C3392" s="8">
        <v>58</v>
      </c>
      <c r="D3392" t="str">
        <f t="shared" si="316"/>
        <v>Senior</v>
      </c>
      <c r="E3392">
        <v>2</v>
      </c>
      <c r="F3392" t="str">
        <f>HLOOKUP(E3392, LookUP_Table!$A$6:$D$7, 2, FALSE)</f>
        <v>Secondary</v>
      </c>
      <c r="G3392" t="str">
        <f>IFERROR(VLOOKUP(E3392, LookUP_Table!$A$1:$B$4, 2, FALSE), "")</f>
        <v>Secondary</v>
      </c>
      <c r="H3392">
        <v>0</v>
      </c>
      <c r="I3392">
        <v>0</v>
      </c>
      <c r="J3392" t="str">
        <f t="shared" si="312"/>
        <v>Non-Smoker</v>
      </c>
      <c r="K3392">
        <v>0</v>
      </c>
      <c r="L3392">
        <v>0</v>
      </c>
      <c r="M3392">
        <v>0</v>
      </c>
      <c r="N3392">
        <v>0</v>
      </c>
      <c r="O3392">
        <v>220</v>
      </c>
      <c r="P3392" t="str">
        <f t="shared" si="313"/>
        <v>Normal</v>
      </c>
      <c r="Q3392">
        <v>121</v>
      </c>
      <c r="R3392">
        <v>75</v>
      </c>
      <c r="S3392">
        <v>25.33</v>
      </c>
      <c r="T3392" t="str">
        <f t="shared" si="314"/>
        <v>Overweight</v>
      </c>
      <c r="U3392">
        <v>73</v>
      </c>
      <c r="V3392">
        <v>76</v>
      </c>
      <c r="W3392" t="str">
        <f t="shared" si="317"/>
        <v>Normal</v>
      </c>
      <c r="X3392">
        <v>0</v>
      </c>
    </row>
    <row r="3393" spans="1:24" ht="14.5" thickBot="1" x14ac:dyDescent="0.35">
      <c r="A3393">
        <v>1</v>
      </c>
      <c r="B3393" t="str">
        <f t="shared" si="315"/>
        <v>Male</v>
      </c>
      <c r="C3393" s="8">
        <v>58</v>
      </c>
      <c r="D3393" t="str">
        <f t="shared" si="316"/>
        <v>Senior</v>
      </c>
      <c r="E3393">
        <v>2</v>
      </c>
      <c r="F3393" t="str">
        <f>HLOOKUP(E3393, LookUP_Table!$A$6:$D$7, 2, FALSE)</f>
        <v>Secondary</v>
      </c>
      <c r="G3393" t="str">
        <f>IFERROR(VLOOKUP(E3393, LookUP_Table!$A$1:$B$4, 2, FALSE), "")</f>
        <v>Secondary</v>
      </c>
      <c r="H3393">
        <v>1</v>
      </c>
      <c r="I3393">
        <v>20</v>
      </c>
      <c r="J3393" t="str">
        <f t="shared" si="312"/>
        <v>Smoker</v>
      </c>
      <c r="K3393">
        <v>0</v>
      </c>
      <c r="L3393">
        <v>0</v>
      </c>
      <c r="M3393">
        <v>0</v>
      </c>
      <c r="N3393">
        <v>0</v>
      </c>
      <c r="O3393">
        <v>207</v>
      </c>
      <c r="P3393" t="str">
        <f t="shared" si="313"/>
        <v>Normal</v>
      </c>
      <c r="Q3393">
        <v>110</v>
      </c>
      <c r="R3393">
        <v>80</v>
      </c>
      <c r="S3393">
        <v>23.55</v>
      </c>
      <c r="T3393" t="str">
        <f t="shared" si="314"/>
        <v>Normal</v>
      </c>
      <c r="U3393">
        <v>78</v>
      </c>
      <c r="V3393">
        <v>78</v>
      </c>
      <c r="W3393" t="str">
        <f t="shared" si="317"/>
        <v>Normal</v>
      </c>
      <c r="X3393">
        <v>0</v>
      </c>
    </row>
    <row r="3394" spans="1:24" ht="14.5" thickBot="1" x14ac:dyDescent="0.35">
      <c r="A3394">
        <v>0</v>
      </c>
      <c r="B3394" t="str">
        <f t="shared" si="315"/>
        <v>Female</v>
      </c>
      <c r="C3394" s="8">
        <v>58</v>
      </c>
      <c r="D3394" t="str">
        <f t="shared" si="316"/>
        <v>Senior</v>
      </c>
      <c r="E3394">
        <v>1</v>
      </c>
      <c r="F3394" t="str">
        <f>HLOOKUP(E3394, LookUP_Table!$A$6:$D$7, 2, FALSE)</f>
        <v>Primary</v>
      </c>
      <c r="G3394" t="str">
        <f>IFERROR(VLOOKUP(E3394, LookUP_Table!$A$1:$B$4, 2, FALSE), "")</f>
        <v>Primary</v>
      </c>
      <c r="H3394">
        <v>0</v>
      </c>
      <c r="I3394">
        <v>0</v>
      </c>
      <c r="J3394" t="str">
        <f t="shared" ref="J3394:J3457" si="318">IF(I3394&gt;0,"Smoker","Non-Smoker")</f>
        <v>Non-Smoker</v>
      </c>
      <c r="K3394">
        <v>0</v>
      </c>
      <c r="L3394">
        <v>0</v>
      </c>
      <c r="M3394">
        <v>0</v>
      </c>
      <c r="N3394">
        <v>0</v>
      </c>
      <c r="O3394">
        <v>282</v>
      </c>
      <c r="P3394" t="str">
        <f t="shared" ref="P3394:P3457" si="319">IF(O3394&gt;240,"High","Normal")</f>
        <v>High</v>
      </c>
      <c r="Q3394">
        <v>143</v>
      </c>
      <c r="R3394">
        <v>76</v>
      </c>
      <c r="S3394">
        <v>27.87</v>
      </c>
      <c r="T3394" t="str">
        <f t="shared" ref="T3394:T3457" si="320">IF(S3394&lt;18.5,"Underweight",
IF(S3394&lt;25,"Normal",
IF(S3394&lt;30,"Overweight","Obese")))</f>
        <v>Overweight</v>
      </c>
      <c r="U3394">
        <v>79</v>
      </c>
      <c r="V3394">
        <v>92</v>
      </c>
      <c r="W3394" t="str">
        <f t="shared" si="317"/>
        <v>Normal</v>
      </c>
      <c r="X3394">
        <v>0</v>
      </c>
    </row>
    <row r="3395" spans="1:24" ht="14.5" thickBot="1" x14ac:dyDescent="0.35">
      <c r="A3395">
        <v>1</v>
      </c>
      <c r="B3395" t="str">
        <f t="shared" ref="B3395:B3458" si="321">IF(A3395=0,"Female","Male")</f>
        <v>Male</v>
      </c>
      <c r="C3395" s="8">
        <v>58</v>
      </c>
      <c r="D3395" t="str">
        <f t="shared" ref="D3395:D3458" si="322">IF(C3395&lt;40,"Young",
IF(C3395&lt;55,"Middle Age","Senior"))</f>
        <v>Senior</v>
      </c>
      <c r="E3395">
        <v>1</v>
      </c>
      <c r="F3395" t="str">
        <f>HLOOKUP(E3395, LookUP_Table!$A$6:$D$7, 2, FALSE)</f>
        <v>Primary</v>
      </c>
      <c r="G3395" t="str">
        <f>IFERROR(VLOOKUP(E3395, LookUP_Table!$A$1:$B$4, 2, FALSE), "")</f>
        <v>Primary</v>
      </c>
      <c r="H3395">
        <v>1</v>
      </c>
      <c r="I3395">
        <v>15</v>
      </c>
      <c r="J3395" t="str">
        <f t="shared" si="318"/>
        <v>Smoker</v>
      </c>
      <c r="K3395">
        <v>0</v>
      </c>
      <c r="L3395">
        <v>0</v>
      </c>
      <c r="M3395">
        <v>0</v>
      </c>
      <c r="N3395">
        <v>0</v>
      </c>
      <c r="O3395">
        <v>264</v>
      </c>
      <c r="P3395" t="str">
        <f t="shared" si="319"/>
        <v>High</v>
      </c>
      <c r="Q3395">
        <v>156</v>
      </c>
      <c r="R3395">
        <v>86</v>
      </c>
      <c r="S3395">
        <v>26.05</v>
      </c>
      <c r="T3395" t="str">
        <f t="shared" si="320"/>
        <v>Overweight</v>
      </c>
      <c r="U3395">
        <v>92</v>
      </c>
      <c r="V3395">
        <v>103</v>
      </c>
      <c r="W3395" t="str">
        <f t="shared" ref="W3395:W3458" si="323">IF(V3395 &lt; 100, "Normal", IF(V3395 &lt;= 125, "Prediabetes", "Diabetes"))</f>
        <v>Prediabetes</v>
      </c>
      <c r="X3395">
        <v>1</v>
      </c>
    </row>
    <row r="3396" spans="1:24" ht="14.5" thickBot="1" x14ac:dyDescent="0.35">
      <c r="A3396">
        <v>0</v>
      </c>
      <c r="B3396" t="str">
        <f t="shared" si="321"/>
        <v>Female</v>
      </c>
      <c r="C3396" s="8">
        <v>58</v>
      </c>
      <c r="D3396" t="str">
        <f t="shared" si="322"/>
        <v>Senior</v>
      </c>
      <c r="E3396">
        <v>2</v>
      </c>
      <c r="F3396" t="str">
        <f>HLOOKUP(E3396, LookUP_Table!$A$6:$D$7, 2, FALSE)</f>
        <v>Secondary</v>
      </c>
      <c r="G3396" t="str">
        <f>IFERROR(VLOOKUP(E3396, LookUP_Table!$A$1:$B$4, 2, FALSE), "")</f>
        <v>Secondary</v>
      </c>
      <c r="H3396">
        <v>1</v>
      </c>
      <c r="I3396">
        <v>20</v>
      </c>
      <c r="J3396" t="str">
        <f t="shared" si="318"/>
        <v>Smoker</v>
      </c>
      <c r="K3396">
        <v>0</v>
      </c>
      <c r="L3396">
        <v>0</v>
      </c>
      <c r="M3396">
        <v>1</v>
      </c>
      <c r="N3396">
        <v>0</v>
      </c>
      <c r="O3396">
        <v>231</v>
      </c>
      <c r="P3396" t="str">
        <f t="shared" si="319"/>
        <v>Normal</v>
      </c>
      <c r="Q3396">
        <v>165</v>
      </c>
      <c r="R3396">
        <v>94.5</v>
      </c>
      <c r="S3396">
        <v>27.02</v>
      </c>
      <c r="T3396" t="str">
        <f t="shared" si="320"/>
        <v>Overweight</v>
      </c>
      <c r="U3396">
        <v>100</v>
      </c>
      <c r="V3396">
        <v>80</v>
      </c>
      <c r="W3396" t="str">
        <f t="shared" si="323"/>
        <v>Normal</v>
      </c>
      <c r="X3396">
        <v>0</v>
      </c>
    </row>
    <row r="3397" spans="1:24" ht="14.5" thickBot="1" x14ac:dyDescent="0.35">
      <c r="A3397">
        <v>1</v>
      </c>
      <c r="B3397" t="str">
        <f t="shared" si="321"/>
        <v>Male</v>
      </c>
      <c r="C3397" s="8">
        <v>58</v>
      </c>
      <c r="D3397" t="str">
        <f t="shared" si="322"/>
        <v>Senior</v>
      </c>
      <c r="E3397">
        <v>1</v>
      </c>
      <c r="F3397" t="str">
        <f>HLOOKUP(E3397, LookUP_Table!$A$6:$D$7, 2, FALSE)</f>
        <v>Primary</v>
      </c>
      <c r="G3397" t="str">
        <f>IFERROR(VLOOKUP(E3397, LookUP_Table!$A$1:$B$4, 2, FALSE), "")</f>
        <v>Primary</v>
      </c>
      <c r="H3397">
        <v>0</v>
      </c>
      <c r="I3397">
        <v>0</v>
      </c>
      <c r="J3397" t="str">
        <f t="shared" si="318"/>
        <v>Non-Smoker</v>
      </c>
      <c r="K3397">
        <v>0</v>
      </c>
      <c r="L3397">
        <v>0</v>
      </c>
      <c r="M3397">
        <v>1</v>
      </c>
      <c r="N3397">
        <v>0</v>
      </c>
      <c r="O3397">
        <v>279</v>
      </c>
      <c r="P3397" t="str">
        <f t="shared" si="319"/>
        <v>High</v>
      </c>
      <c r="Q3397">
        <v>181</v>
      </c>
      <c r="R3397">
        <v>74</v>
      </c>
      <c r="S3397">
        <v>22.49</v>
      </c>
      <c r="T3397" t="str">
        <f t="shared" si="320"/>
        <v>Normal</v>
      </c>
      <c r="U3397">
        <v>66</v>
      </c>
      <c r="V3397">
        <v>65</v>
      </c>
      <c r="W3397" t="str">
        <f t="shared" si="323"/>
        <v>Normal</v>
      </c>
      <c r="X3397">
        <v>0</v>
      </c>
    </row>
    <row r="3398" spans="1:24" ht="14.5" thickBot="1" x14ac:dyDescent="0.35">
      <c r="A3398">
        <v>1</v>
      </c>
      <c r="B3398" t="str">
        <f t="shared" si="321"/>
        <v>Male</v>
      </c>
      <c r="C3398" s="8">
        <v>58</v>
      </c>
      <c r="D3398" t="str">
        <f t="shared" si="322"/>
        <v>Senior</v>
      </c>
      <c r="E3398">
        <v>2</v>
      </c>
      <c r="F3398" t="str">
        <f>HLOOKUP(E3398, LookUP_Table!$A$6:$D$7, 2, FALSE)</f>
        <v>Secondary</v>
      </c>
      <c r="G3398" t="str">
        <f>IFERROR(VLOOKUP(E3398, LookUP_Table!$A$1:$B$4, 2, FALSE), "")</f>
        <v>Secondary</v>
      </c>
      <c r="H3398">
        <v>1</v>
      </c>
      <c r="I3398">
        <v>20</v>
      </c>
      <c r="J3398" t="str">
        <f t="shared" si="318"/>
        <v>Smoker</v>
      </c>
      <c r="K3398">
        <v>0</v>
      </c>
      <c r="L3398">
        <v>0</v>
      </c>
      <c r="M3398">
        <v>0</v>
      </c>
      <c r="N3398">
        <v>0</v>
      </c>
      <c r="O3398">
        <v>255</v>
      </c>
      <c r="P3398" t="str">
        <f t="shared" si="319"/>
        <v>High</v>
      </c>
      <c r="Q3398">
        <v>136</v>
      </c>
      <c r="R3398">
        <v>85.5</v>
      </c>
      <c r="S3398">
        <v>25.33</v>
      </c>
      <c r="T3398" t="str">
        <f t="shared" si="320"/>
        <v>Overweight</v>
      </c>
      <c r="U3398">
        <v>82</v>
      </c>
      <c r="V3398">
        <v>62</v>
      </c>
      <c r="W3398" t="str">
        <f t="shared" si="323"/>
        <v>Normal</v>
      </c>
      <c r="X3398">
        <v>0</v>
      </c>
    </row>
    <row r="3399" spans="1:24" ht="14.5" thickBot="1" x14ac:dyDescent="0.35">
      <c r="A3399">
        <v>1</v>
      </c>
      <c r="B3399" t="str">
        <f t="shared" si="321"/>
        <v>Male</v>
      </c>
      <c r="C3399" s="8">
        <v>58</v>
      </c>
      <c r="D3399" t="str">
        <f t="shared" si="322"/>
        <v>Senior</v>
      </c>
      <c r="E3399">
        <v>1</v>
      </c>
      <c r="F3399" t="str">
        <f>HLOOKUP(E3399, LookUP_Table!$A$6:$D$7, 2, FALSE)</f>
        <v>Primary</v>
      </c>
      <c r="G3399" t="str">
        <f>IFERROR(VLOOKUP(E3399, LookUP_Table!$A$1:$B$4, 2, FALSE), "")</f>
        <v>Primary</v>
      </c>
      <c r="H3399">
        <v>1</v>
      </c>
      <c r="I3399">
        <v>40</v>
      </c>
      <c r="J3399" t="str">
        <f t="shared" si="318"/>
        <v>Smoker</v>
      </c>
      <c r="K3399">
        <v>0</v>
      </c>
      <c r="L3399">
        <v>0</v>
      </c>
      <c r="M3399">
        <v>1</v>
      </c>
      <c r="N3399">
        <v>0</v>
      </c>
      <c r="O3399">
        <v>231</v>
      </c>
      <c r="P3399" t="str">
        <f t="shared" si="319"/>
        <v>Normal</v>
      </c>
      <c r="Q3399">
        <v>171</v>
      </c>
      <c r="R3399">
        <v>95</v>
      </c>
      <c r="S3399">
        <v>26.11</v>
      </c>
      <c r="T3399" t="str">
        <f t="shared" si="320"/>
        <v>Overweight</v>
      </c>
      <c r="U3399">
        <v>85</v>
      </c>
      <c r="V3399">
        <v>77</v>
      </c>
      <c r="W3399" t="str">
        <f t="shared" si="323"/>
        <v>Normal</v>
      </c>
      <c r="X3399">
        <v>1</v>
      </c>
    </row>
    <row r="3400" spans="1:24" ht="14.5" thickBot="1" x14ac:dyDescent="0.35">
      <c r="A3400">
        <v>1</v>
      </c>
      <c r="B3400" t="str">
        <f t="shared" si="321"/>
        <v>Male</v>
      </c>
      <c r="C3400" s="8">
        <v>58</v>
      </c>
      <c r="D3400" t="str">
        <f t="shared" si="322"/>
        <v>Senior</v>
      </c>
      <c r="E3400">
        <v>1</v>
      </c>
      <c r="F3400" t="str">
        <f>HLOOKUP(E3400, LookUP_Table!$A$6:$D$7, 2, FALSE)</f>
        <v>Primary</v>
      </c>
      <c r="G3400" t="str">
        <f>IFERROR(VLOOKUP(E3400, LookUP_Table!$A$1:$B$4, 2, FALSE), "")</f>
        <v>Primary</v>
      </c>
      <c r="H3400">
        <v>1</v>
      </c>
      <c r="I3400">
        <v>20</v>
      </c>
      <c r="J3400" t="str">
        <f t="shared" si="318"/>
        <v>Smoker</v>
      </c>
      <c r="K3400">
        <v>0</v>
      </c>
      <c r="L3400">
        <v>0</v>
      </c>
      <c r="M3400">
        <v>1</v>
      </c>
      <c r="N3400">
        <v>0</v>
      </c>
      <c r="O3400">
        <v>241</v>
      </c>
      <c r="P3400" t="str">
        <f t="shared" si="319"/>
        <v>High</v>
      </c>
      <c r="Q3400">
        <v>152.5</v>
      </c>
      <c r="R3400">
        <v>105</v>
      </c>
      <c r="S3400">
        <v>25.18</v>
      </c>
      <c r="T3400" t="str">
        <f t="shared" si="320"/>
        <v>Overweight</v>
      </c>
      <c r="U3400">
        <v>92</v>
      </c>
      <c r="V3400">
        <v>85</v>
      </c>
      <c r="W3400" t="str">
        <f t="shared" si="323"/>
        <v>Normal</v>
      </c>
      <c r="X3400">
        <v>0</v>
      </c>
    </row>
    <row r="3401" spans="1:24" ht="14.5" thickBot="1" x14ac:dyDescent="0.35">
      <c r="A3401">
        <v>0</v>
      </c>
      <c r="B3401" t="str">
        <f t="shared" si="321"/>
        <v>Female</v>
      </c>
      <c r="C3401" s="8">
        <v>58</v>
      </c>
      <c r="D3401" t="str">
        <f t="shared" si="322"/>
        <v>Senior</v>
      </c>
      <c r="E3401">
        <v>1</v>
      </c>
      <c r="F3401" t="str">
        <f>HLOOKUP(E3401, LookUP_Table!$A$6:$D$7, 2, FALSE)</f>
        <v>Primary</v>
      </c>
      <c r="G3401" t="str">
        <f>IFERROR(VLOOKUP(E3401, LookUP_Table!$A$1:$B$4, 2, FALSE), "")</f>
        <v>Primary</v>
      </c>
      <c r="H3401">
        <v>1</v>
      </c>
      <c r="I3401">
        <v>5</v>
      </c>
      <c r="J3401" t="str">
        <f t="shared" si="318"/>
        <v>Smoker</v>
      </c>
      <c r="K3401">
        <v>0</v>
      </c>
      <c r="L3401">
        <v>0</v>
      </c>
      <c r="M3401">
        <v>1</v>
      </c>
      <c r="N3401">
        <v>0</v>
      </c>
      <c r="O3401">
        <v>240</v>
      </c>
      <c r="P3401" t="str">
        <f t="shared" si="319"/>
        <v>Normal</v>
      </c>
      <c r="Q3401">
        <v>150</v>
      </c>
      <c r="R3401">
        <v>84</v>
      </c>
      <c r="S3401">
        <v>26.85</v>
      </c>
      <c r="T3401" t="str">
        <f t="shared" si="320"/>
        <v>Overweight</v>
      </c>
      <c r="U3401">
        <v>75</v>
      </c>
      <c r="V3401">
        <v>94</v>
      </c>
      <c r="W3401" t="str">
        <f t="shared" si="323"/>
        <v>Normal</v>
      </c>
      <c r="X3401">
        <v>1</v>
      </c>
    </row>
    <row r="3402" spans="1:24" ht="14.5" thickBot="1" x14ac:dyDescent="0.35">
      <c r="A3402">
        <v>1</v>
      </c>
      <c r="B3402" t="str">
        <f t="shared" si="321"/>
        <v>Male</v>
      </c>
      <c r="C3402" s="8">
        <v>58</v>
      </c>
      <c r="D3402" t="str">
        <f t="shared" si="322"/>
        <v>Senior</v>
      </c>
      <c r="E3402">
        <v>1</v>
      </c>
      <c r="F3402" t="str">
        <f>HLOOKUP(E3402, LookUP_Table!$A$6:$D$7, 2, FALSE)</f>
        <v>Primary</v>
      </c>
      <c r="G3402" t="str">
        <f>IFERROR(VLOOKUP(E3402, LookUP_Table!$A$1:$B$4, 2, FALSE), "")</f>
        <v>Primary</v>
      </c>
      <c r="H3402">
        <v>0</v>
      </c>
      <c r="I3402">
        <v>0</v>
      </c>
      <c r="J3402" t="str">
        <f t="shared" si="318"/>
        <v>Non-Smoker</v>
      </c>
      <c r="K3402">
        <v>0</v>
      </c>
      <c r="L3402">
        <v>0</v>
      </c>
      <c r="M3402">
        <v>1</v>
      </c>
      <c r="N3402">
        <v>0</v>
      </c>
      <c r="O3402">
        <v>239</v>
      </c>
      <c r="P3402" t="str">
        <f t="shared" si="319"/>
        <v>Normal</v>
      </c>
      <c r="Q3402">
        <v>147</v>
      </c>
      <c r="R3402">
        <v>98</v>
      </c>
      <c r="S3402">
        <v>26.51</v>
      </c>
      <c r="T3402" t="str">
        <f t="shared" si="320"/>
        <v>Overweight</v>
      </c>
      <c r="U3402">
        <v>65</v>
      </c>
      <c r="V3402">
        <v>68</v>
      </c>
      <c r="W3402" t="str">
        <f t="shared" si="323"/>
        <v>Normal</v>
      </c>
      <c r="X3402">
        <v>0</v>
      </c>
    </row>
    <row r="3403" spans="1:24" ht="14.5" thickBot="1" x14ac:dyDescent="0.35">
      <c r="A3403">
        <v>0</v>
      </c>
      <c r="B3403" t="str">
        <f t="shared" si="321"/>
        <v>Female</v>
      </c>
      <c r="C3403" s="8">
        <v>58</v>
      </c>
      <c r="D3403" t="str">
        <f t="shared" si="322"/>
        <v>Senior</v>
      </c>
      <c r="E3403">
        <v>1</v>
      </c>
      <c r="F3403" t="str">
        <f>HLOOKUP(E3403, LookUP_Table!$A$6:$D$7, 2, FALSE)</f>
        <v>Primary</v>
      </c>
      <c r="G3403" t="str">
        <f>IFERROR(VLOOKUP(E3403, LookUP_Table!$A$1:$B$4, 2, FALSE), "")</f>
        <v>Primary</v>
      </c>
      <c r="H3403">
        <v>0</v>
      </c>
      <c r="I3403">
        <v>0</v>
      </c>
      <c r="J3403" t="str">
        <f t="shared" si="318"/>
        <v>Non-Smoker</v>
      </c>
      <c r="K3403">
        <v>1</v>
      </c>
      <c r="L3403">
        <v>1</v>
      </c>
      <c r="M3403">
        <v>1</v>
      </c>
      <c r="N3403">
        <v>0</v>
      </c>
      <c r="O3403">
        <v>274</v>
      </c>
      <c r="P3403" t="str">
        <f t="shared" si="319"/>
        <v>High</v>
      </c>
      <c r="Q3403">
        <v>159</v>
      </c>
      <c r="R3403">
        <v>90</v>
      </c>
      <c r="S3403">
        <v>28.4</v>
      </c>
      <c r="T3403" t="str">
        <f t="shared" si="320"/>
        <v>Overweight</v>
      </c>
      <c r="U3403">
        <v>72</v>
      </c>
      <c r="V3403">
        <v>81</v>
      </c>
      <c r="W3403" t="str">
        <f t="shared" si="323"/>
        <v>Normal</v>
      </c>
      <c r="X3403">
        <v>0</v>
      </c>
    </row>
    <row r="3404" spans="1:24" ht="14.5" thickBot="1" x14ac:dyDescent="0.35">
      <c r="A3404">
        <v>0</v>
      </c>
      <c r="B3404" t="str">
        <f t="shared" si="321"/>
        <v>Female</v>
      </c>
      <c r="C3404" s="8">
        <v>58</v>
      </c>
      <c r="D3404" t="str">
        <f t="shared" si="322"/>
        <v>Senior</v>
      </c>
      <c r="E3404">
        <v>1</v>
      </c>
      <c r="F3404" t="str">
        <f>HLOOKUP(E3404, LookUP_Table!$A$6:$D$7, 2, FALSE)</f>
        <v>Primary</v>
      </c>
      <c r="G3404" t="str">
        <f>IFERROR(VLOOKUP(E3404, LookUP_Table!$A$1:$B$4, 2, FALSE), "")</f>
        <v>Primary</v>
      </c>
      <c r="H3404">
        <v>1</v>
      </c>
      <c r="I3404">
        <v>15</v>
      </c>
      <c r="J3404" t="str">
        <f t="shared" si="318"/>
        <v>Smoker</v>
      </c>
      <c r="K3404">
        <v>0</v>
      </c>
      <c r="L3404">
        <v>0</v>
      </c>
      <c r="M3404">
        <v>1</v>
      </c>
      <c r="N3404">
        <v>0</v>
      </c>
      <c r="O3404">
        <v>275</v>
      </c>
      <c r="P3404" t="str">
        <f t="shared" si="319"/>
        <v>High</v>
      </c>
      <c r="Q3404">
        <v>140</v>
      </c>
      <c r="R3404">
        <v>78</v>
      </c>
      <c r="S3404">
        <v>19.18</v>
      </c>
      <c r="T3404" t="str">
        <f t="shared" si="320"/>
        <v>Normal</v>
      </c>
      <c r="U3404">
        <v>78</v>
      </c>
      <c r="V3404">
        <v>74</v>
      </c>
      <c r="W3404" t="str">
        <f t="shared" si="323"/>
        <v>Normal</v>
      </c>
      <c r="X3404">
        <v>1</v>
      </c>
    </row>
    <row r="3405" spans="1:24" ht="14.5" thickBot="1" x14ac:dyDescent="0.35">
      <c r="A3405">
        <v>0</v>
      </c>
      <c r="B3405" t="str">
        <f t="shared" si="321"/>
        <v>Female</v>
      </c>
      <c r="C3405" s="8">
        <v>58</v>
      </c>
      <c r="D3405" t="str">
        <f t="shared" si="322"/>
        <v>Senior</v>
      </c>
      <c r="E3405">
        <v>2</v>
      </c>
      <c r="F3405" t="str">
        <f>HLOOKUP(E3405, LookUP_Table!$A$6:$D$7, 2, FALSE)</f>
        <v>Secondary</v>
      </c>
      <c r="G3405" t="str">
        <f>IFERROR(VLOOKUP(E3405, LookUP_Table!$A$1:$B$4, 2, FALSE), "")</f>
        <v>Secondary</v>
      </c>
      <c r="H3405">
        <v>0</v>
      </c>
      <c r="I3405">
        <v>0</v>
      </c>
      <c r="J3405" t="str">
        <f t="shared" si="318"/>
        <v>Non-Smoker</v>
      </c>
      <c r="K3405">
        <v>0</v>
      </c>
      <c r="L3405">
        <v>0</v>
      </c>
      <c r="M3405">
        <v>1</v>
      </c>
      <c r="N3405">
        <v>0</v>
      </c>
      <c r="O3405">
        <v>200</v>
      </c>
      <c r="P3405" t="str">
        <f t="shared" si="319"/>
        <v>Normal</v>
      </c>
      <c r="Q3405">
        <v>161</v>
      </c>
      <c r="R3405">
        <v>96</v>
      </c>
      <c r="S3405">
        <v>25.02</v>
      </c>
      <c r="T3405" t="str">
        <f t="shared" si="320"/>
        <v>Overweight</v>
      </c>
      <c r="U3405">
        <v>80</v>
      </c>
      <c r="V3405">
        <v>81.96365524402907</v>
      </c>
      <c r="W3405" t="str">
        <f t="shared" si="323"/>
        <v>Normal</v>
      </c>
      <c r="X3405">
        <v>0</v>
      </c>
    </row>
    <row r="3406" spans="1:24" ht="14.5" thickBot="1" x14ac:dyDescent="0.35">
      <c r="A3406">
        <v>1</v>
      </c>
      <c r="B3406" t="str">
        <f t="shared" si="321"/>
        <v>Male</v>
      </c>
      <c r="C3406" s="8">
        <v>58</v>
      </c>
      <c r="D3406" t="str">
        <f t="shared" si="322"/>
        <v>Senior</v>
      </c>
      <c r="E3406">
        <v>2</v>
      </c>
      <c r="F3406" t="str">
        <f>HLOOKUP(E3406, LookUP_Table!$A$6:$D$7, 2, FALSE)</f>
        <v>Secondary</v>
      </c>
      <c r="G3406" t="str">
        <f>IFERROR(VLOOKUP(E3406, LookUP_Table!$A$1:$B$4, 2, FALSE), "")</f>
        <v>Secondary</v>
      </c>
      <c r="H3406">
        <v>1</v>
      </c>
      <c r="I3406">
        <v>3</v>
      </c>
      <c r="J3406" t="str">
        <f t="shared" si="318"/>
        <v>Smoker</v>
      </c>
      <c r="K3406">
        <v>0</v>
      </c>
      <c r="L3406">
        <v>0</v>
      </c>
      <c r="M3406">
        <v>0</v>
      </c>
      <c r="N3406">
        <v>0</v>
      </c>
      <c r="O3406">
        <v>187</v>
      </c>
      <c r="P3406" t="str">
        <f t="shared" si="319"/>
        <v>Normal</v>
      </c>
      <c r="Q3406">
        <v>136.5</v>
      </c>
      <c r="R3406">
        <v>84</v>
      </c>
      <c r="S3406">
        <v>25.08</v>
      </c>
      <c r="T3406" t="str">
        <f t="shared" si="320"/>
        <v>Overweight</v>
      </c>
      <c r="U3406">
        <v>63</v>
      </c>
      <c r="V3406">
        <v>68</v>
      </c>
      <c r="W3406" t="str">
        <f t="shared" si="323"/>
        <v>Normal</v>
      </c>
      <c r="X3406">
        <v>0</v>
      </c>
    </row>
    <row r="3407" spans="1:24" ht="14.5" thickBot="1" x14ac:dyDescent="0.35">
      <c r="A3407">
        <v>1</v>
      </c>
      <c r="B3407" t="str">
        <f t="shared" si="321"/>
        <v>Male</v>
      </c>
      <c r="C3407" s="8">
        <v>58</v>
      </c>
      <c r="D3407" t="str">
        <f t="shared" si="322"/>
        <v>Senior</v>
      </c>
      <c r="E3407">
        <v>2</v>
      </c>
      <c r="F3407" t="str">
        <f>HLOOKUP(E3407, LookUP_Table!$A$6:$D$7, 2, FALSE)</f>
        <v>Secondary</v>
      </c>
      <c r="G3407" t="str">
        <f>IFERROR(VLOOKUP(E3407, LookUP_Table!$A$1:$B$4, 2, FALSE), "")</f>
        <v>Secondary</v>
      </c>
      <c r="H3407">
        <v>0</v>
      </c>
      <c r="I3407">
        <v>0</v>
      </c>
      <c r="J3407" t="str">
        <f t="shared" si="318"/>
        <v>Non-Smoker</v>
      </c>
      <c r="K3407">
        <v>0</v>
      </c>
      <c r="L3407">
        <v>0</v>
      </c>
      <c r="M3407">
        <v>0</v>
      </c>
      <c r="N3407">
        <v>0</v>
      </c>
      <c r="O3407">
        <v>225</v>
      </c>
      <c r="P3407" t="str">
        <f t="shared" si="319"/>
        <v>Normal</v>
      </c>
      <c r="Q3407">
        <v>105.5</v>
      </c>
      <c r="R3407">
        <v>74</v>
      </c>
      <c r="S3407">
        <v>25.68</v>
      </c>
      <c r="T3407" t="str">
        <f t="shared" si="320"/>
        <v>Overweight</v>
      </c>
      <c r="U3407">
        <v>50</v>
      </c>
      <c r="V3407">
        <v>93</v>
      </c>
      <c r="W3407" t="str">
        <f t="shared" si="323"/>
        <v>Normal</v>
      </c>
      <c r="X3407">
        <v>0</v>
      </c>
    </row>
    <row r="3408" spans="1:24" ht="14.5" thickBot="1" x14ac:dyDescent="0.35">
      <c r="A3408">
        <v>1</v>
      </c>
      <c r="B3408" t="str">
        <f t="shared" si="321"/>
        <v>Male</v>
      </c>
      <c r="C3408" s="8">
        <v>58</v>
      </c>
      <c r="D3408" t="str">
        <f t="shared" si="322"/>
        <v>Senior</v>
      </c>
      <c r="E3408">
        <v>3</v>
      </c>
      <c r="F3408" t="str">
        <f>HLOOKUP(E3408, LookUP_Table!$A$6:$D$7, 2, FALSE)</f>
        <v>Graduate</v>
      </c>
      <c r="G3408" t="str">
        <f>IFERROR(VLOOKUP(E3408, LookUP_Table!$A$1:$B$4, 2, FALSE), "")</f>
        <v>Graduate</v>
      </c>
      <c r="H3408">
        <v>1</v>
      </c>
      <c r="I3408">
        <v>30</v>
      </c>
      <c r="J3408" t="str">
        <f t="shared" si="318"/>
        <v>Smoker</v>
      </c>
      <c r="K3408">
        <v>0</v>
      </c>
      <c r="L3408">
        <v>0</v>
      </c>
      <c r="M3408">
        <v>0</v>
      </c>
      <c r="N3408">
        <v>0</v>
      </c>
      <c r="O3408">
        <v>200</v>
      </c>
      <c r="P3408" t="str">
        <f t="shared" si="319"/>
        <v>Normal</v>
      </c>
      <c r="Q3408">
        <v>112</v>
      </c>
      <c r="R3408">
        <v>74.5</v>
      </c>
      <c r="S3408">
        <v>23.37</v>
      </c>
      <c r="T3408" t="str">
        <f t="shared" si="320"/>
        <v>Normal</v>
      </c>
      <c r="U3408">
        <v>75</v>
      </c>
      <c r="V3408">
        <v>62</v>
      </c>
      <c r="W3408" t="str">
        <f t="shared" si="323"/>
        <v>Normal</v>
      </c>
      <c r="X3408">
        <v>0</v>
      </c>
    </row>
    <row r="3409" spans="1:24" ht="14.5" thickBot="1" x14ac:dyDescent="0.35">
      <c r="A3409">
        <v>1</v>
      </c>
      <c r="B3409" t="str">
        <f t="shared" si="321"/>
        <v>Male</v>
      </c>
      <c r="C3409" s="8">
        <v>58</v>
      </c>
      <c r="D3409" t="str">
        <f t="shared" si="322"/>
        <v>Senior</v>
      </c>
      <c r="E3409">
        <v>2</v>
      </c>
      <c r="F3409" t="str">
        <f>HLOOKUP(E3409, LookUP_Table!$A$6:$D$7, 2, FALSE)</f>
        <v>Secondary</v>
      </c>
      <c r="G3409" t="str">
        <f>IFERROR(VLOOKUP(E3409, LookUP_Table!$A$1:$B$4, 2, FALSE), "")</f>
        <v>Secondary</v>
      </c>
      <c r="H3409">
        <v>1</v>
      </c>
      <c r="I3409">
        <v>9</v>
      </c>
      <c r="J3409" t="str">
        <f t="shared" si="318"/>
        <v>Smoker</v>
      </c>
      <c r="K3409">
        <v>0</v>
      </c>
      <c r="L3409">
        <v>0</v>
      </c>
      <c r="M3409">
        <v>0</v>
      </c>
      <c r="N3409">
        <v>0</v>
      </c>
      <c r="O3409">
        <v>235</v>
      </c>
      <c r="P3409" t="str">
        <f t="shared" si="319"/>
        <v>Normal</v>
      </c>
      <c r="Q3409">
        <v>127.5</v>
      </c>
      <c r="R3409">
        <v>76</v>
      </c>
      <c r="S3409">
        <v>21.02</v>
      </c>
      <c r="T3409" t="str">
        <f t="shared" si="320"/>
        <v>Normal</v>
      </c>
      <c r="U3409">
        <v>81</v>
      </c>
      <c r="V3409">
        <v>135</v>
      </c>
      <c r="W3409" t="str">
        <f t="shared" si="323"/>
        <v>Diabetes</v>
      </c>
      <c r="X3409">
        <v>0</v>
      </c>
    </row>
    <row r="3410" spans="1:24" ht="14.5" thickBot="1" x14ac:dyDescent="0.35">
      <c r="A3410">
        <v>0</v>
      </c>
      <c r="B3410" t="str">
        <f t="shared" si="321"/>
        <v>Female</v>
      </c>
      <c r="C3410" s="8">
        <v>58</v>
      </c>
      <c r="D3410" t="str">
        <f t="shared" si="322"/>
        <v>Senior</v>
      </c>
      <c r="E3410">
        <v>2</v>
      </c>
      <c r="F3410" t="str">
        <f>HLOOKUP(E3410, LookUP_Table!$A$6:$D$7, 2, FALSE)</f>
        <v>Secondary</v>
      </c>
      <c r="G3410" t="str">
        <f>IFERROR(VLOOKUP(E3410, LookUP_Table!$A$1:$B$4, 2, FALSE), "")</f>
        <v>Secondary</v>
      </c>
      <c r="H3410">
        <v>0</v>
      </c>
      <c r="I3410">
        <v>0</v>
      </c>
      <c r="J3410" t="str">
        <f t="shared" si="318"/>
        <v>Non-Smoker</v>
      </c>
      <c r="K3410">
        <v>0</v>
      </c>
      <c r="L3410">
        <v>0</v>
      </c>
      <c r="M3410">
        <v>1</v>
      </c>
      <c r="N3410">
        <v>1</v>
      </c>
      <c r="O3410">
        <v>265</v>
      </c>
      <c r="P3410" t="str">
        <f t="shared" si="319"/>
        <v>High</v>
      </c>
      <c r="Q3410">
        <v>143.5</v>
      </c>
      <c r="R3410">
        <v>85</v>
      </c>
      <c r="S3410">
        <v>21.68</v>
      </c>
      <c r="T3410" t="str">
        <f t="shared" si="320"/>
        <v>Normal</v>
      </c>
      <c r="U3410">
        <v>91</v>
      </c>
      <c r="V3410">
        <v>107</v>
      </c>
      <c r="W3410" t="str">
        <f t="shared" si="323"/>
        <v>Prediabetes</v>
      </c>
      <c r="X3410">
        <v>0</v>
      </c>
    </row>
    <row r="3411" spans="1:24" ht="14.5" thickBot="1" x14ac:dyDescent="0.35">
      <c r="A3411">
        <v>0</v>
      </c>
      <c r="B3411" t="str">
        <f t="shared" si="321"/>
        <v>Female</v>
      </c>
      <c r="C3411" s="8">
        <v>58</v>
      </c>
      <c r="D3411" t="str">
        <f t="shared" si="322"/>
        <v>Senior</v>
      </c>
      <c r="E3411">
        <v>2</v>
      </c>
      <c r="F3411" t="str">
        <f>HLOOKUP(E3411, LookUP_Table!$A$6:$D$7, 2, FALSE)</f>
        <v>Secondary</v>
      </c>
      <c r="G3411" t="str">
        <f>IFERROR(VLOOKUP(E3411, LookUP_Table!$A$1:$B$4, 2, FALSE), "")</f>
        <v>Secondary</v>
      </c>
      <c r="H3411">
        <v>1</v>
      </c>
      <c r="I3411">
        <v>10</v>
      </c>
      <c r="J3411" t="str">
        <f t="shared" si="318"/>
        <v>Smoker</v>
      </c>
      <c r="K3411">
        <v>0</v>
      </c>
      <c r="L3411">
        <v>0</v>
      </c>
      <c r="M3411">
        <v>0</v>
      </c>
      <c r="N3411">
        <v>0</v>
      </c>
      <c r="O3411">
        <v>226</v>
      </c>
      <c r="P3411" t="str">
        <f t="shared" si="319"/>
        <v>Normal</v>
      </c>
      <c r="Q3411">
        <v>125</v>
      </c>
      <c r="R3411">
        <v>75</v>
      </c>
      <c r="S3411">
        <v>24</v>
      </c>
      <c r="T3411" t="str">
        <f t="shared" si="320"/>
        <v>Normal</v>
      </c>
      <c r="U3411">
        <v>75</v>
      </c>
      <c r="V3411">
        <v>73</v>
      </c>
      <c r="W3411" t="str">
        <f t="shared" si="323"/>
        <v>Normal</v>
      </c>
      <c r="X3411">
        <v>0</v>
      </c>
    </row>
    <row r="3412" spans="1:24" ht="14.5" thickBot="1" x14ac:dyDescent="0.35">
      <c r="A3412">
        <v>1</v>
      </c>
      <c r="B3412" t="str">
        <f t="shared" si="321"/>
        <v>Male</v>
      </c>
      <c r="C3412" s="8">
        <v>58</v>
      </c>
      <c r="D3412" t="str">
        <f t="shared" si="322"/>
        <v>Senior</v>
      </c>
      <c r="E3412">
        <v>4</v>
      </c>
      <c r="F3412" t="str">
        <f>HLOOKUP(E3412, LookUP_Table!$A$6:$D$7, 2, FALSE)</f>
        <v>Post Graduate</v>
      </c>
      <c r="G3412" t="str">
        <f>IFERROR(VLOOKUP(E3412, LookUP_Table!$A$1:$B$4, 2, FALSE), "")</f>
        <v>Post Graduate</v>
      </c>
      <c r="H3412">
        <v>1</v>
      </c>
      <c r="I3412">
        <v>9</v>
      </c>
      <c r="J3412" t="str">
        <f t="shared" si="318"/>
        <v>Smoker</v>
      </c>
      <c r="K3412">
        <v>0</v>
      </c>
      <c r="L3412">
        <v>0</v>
      </c>
      <c r="M3412">
        <v>0</v>
      </c>
      <c r="N3412">
        <v>0</v>
      </c>
      <c r="O3412">
        <v>229</v>
      </c>
      <c r="P3412" t="str">
        <f t="shared" si="319"/>
        <v>Normal</v>
      </c>
      <c r="Q3412">
        <v>140</v>
      </c>
      <c r="R3412">
        <v>89.5</v>
      </c>
      <c r="S3412">
        <v>25.96</v>
      </c>
      <c r="T3412" t="str">
        <f t="shared" si="320"/>
        <v>Overweight</v>
      </c>
      <c r="U3412">
        <v>80</v>
      </c>
      <c r="V3412">
        <v>83</v>
      </c>
      <c r="W3412" t="str">
        <f t="shared" si="323"/>
        <v>Normal</v>
      </c>
      <c r="X3412">
        <v>0</v>
      </c>
    </row>
    <row r="3413" spans="1:24" ht="14.5" thickBot="1" x14ac:dyDescent="0.35">
      <c r="A3413">
        <v>0</v>
      </c>
      <c r="B3413" t="str">
        <f t="shared" si="321"/>
        <v>Female</v>
      </c>
      <c r="C3413" s="8">
        <v>58</v>
      </c>
      <c r="D3413" t="str">
        <f t="shared" si="322"/>
        <v>Senior</v>
      </c>
      <c r="E3413">
        <v>1</v>
      </c>
      <c r="F3413" t="str">
        <f>HLOOKUP(E3413, LookUP_Table!$A$6:$D$7, 2, FALSE)</f>
        <v>Primary</v>
      </c>
      <c r="G3413" t="str">
        <f>IFERROR(VLOOKUP(E3413, LookUP_Table!$A$1:$B$4, 2, FALSE), "")</f>
        <v>Primary</v>
      </c>
      <c r="H3413">
        <v>0</v>
      </c>
      <c r="I3413">
        <v>0</v>
      </c>
      <c r="J3413" t="str">
        <f t="shared" si="318"/>
        <v>Non-Smoker</v>
      </c>
      <c r="K3413">
        <v>0</v>
      </c>
      <c r="L3413">
        <v>0</v>
      </c>
      <c r="M3413">
        <v>1</v>
      </c>
      <c r="N3413">
        <v>0</v>
      </c>
      <c r="O3413">
        <v>241</v>
      </c>
      <c r="P3413" t="str">
        <f t="shared" si="319"/>
        <v>High</v>
      </c>
      <c r="Q3413">
        <v>153</v>
      </c>
      <c r="R3413">
        <v>106</v>
      </c>
      <c r="S3413">
        <v>26.94</v>
      </c>
      <c r="T3413" t="str">
        <f t="shared" si="320"/>
        <v>Overweight</v>
      </c>
      <c r="U3413">
        <v>98</v>
      </c>
      <c r="V3413">
        <v>84</v>
      </c>
      <c r="W3413" t="str">
        <f t="shared" si="323"/>
        <v>Normal</v>
      </c>
      <c r="X3413">
        <v>0</v>
      </c>
    </row>
    <row r="3414" spans="1:24" ht="14.5" thickBot="1" x14ac:dyDescent="0.35">
      <c r="A3414">
        <v>0</v>
      </c>
      <c r="B3414" t="str">
        <f t="shared" si="321"/>
        <v>Female</v>
      </c>
      <c r="C3414" s="8">
        <v>58</v>
      </c>
      <c r="D3414" t="str">
        <f t="shared" si="322"/>
        <v>Senior</v>
      </c>
      <c r="E3414">
        <v>1</v>
      </c>
      <c r="F3414" t="str">
        <f>HLOOKUP(E3414, LookUP_Table!$A$6:$D$7, 2, FALSE)</f>
        <v>Primary</v>
      </c>
      <c r="G3414" t="str">
        <f>IFERROR(VLOOKUP(E3414, LookUP_Table!$A$1:$B$4, 2, FALSE), "")</f>
        <v>Primary</v>
      </c>
      <c r="H3414">
        <v>1</v>
      </c>
      <c r="I3414">
        <v>2</v>
      </c>
      <c r="J3414" t="str">
        <f t="shared" si="318"/>
        <v>Smoker</v>
      </c>
      <c r="K3414">
        <v>0</v>
      </c>
      <c r="L3414">
        <v>0</v>
      </c>
      <c r="M3414">
        <v>0</v>
      </c>
      <c r="N3414">
        <v>0</v>
      </c>
      <c r="O3414">
        <v>271</v>
      </c>
      <c r="P3414" t="str">
        <f t="shared" si="319"/>
        <v>High</v>
      </c>
      <c r="Q3414">
        <v>146</v>
      </c>
      <c r="R3414">
        <v>92</v>
      </c>
      <c r="S3414">
        <v>23.07</v>
      </c>
      <c r="T3414" t="str">
        <f t="shared" si="320"/>
        <v>Normal</v>
      </c>
      <c r="U3414">
        <v>75</v>
      </c>
      <c r="V3414">
        <v>83</v>
      </c>
      <c r="W3414" t="str">
        <f t="shared" si="323"/>
        <v>Normal</v>
      </c>
      <c r="X3414">
        <v>1</v>
      </c>
    </row>
    <row r="3415" spans="1:24" ht="14.5" thickBot="1" x14ac:dyDescent="0.35">
      <c r="A3415">
        <v>0</v>
      </c>
      <c r="B3415" t="str">
        <f t="shared" si="321"/>
        <v>Female</v>
      </c>
      <c r="C3415" s="8">
        <v>58</v>
      </c>
      <c r="D3415" t="str">
        <f t="shared" si="322"/>
        <v>Senior</v>
      </c>
      <c r="E3415">
        <v>2</v>
      </c>
      <c r="F3415" t="str">
        <f>HLOOKUP(E3415, LookUP_Table!$A$6:$D$7, 2, FALSE)</f>
        <v>Secondary</v>
      </c>
      <c r="G3415" t="str">
        <f>IFERROR(VLOOKUP(E3415, LookUP_Table!$A$1:$B$4, 2, FALSE), "")</f>
        <v>Secondary</v>
      </c>
      <c r="H3415">
        <v>1</v>
      </c>
      <c r="I3415">
        <v>20</v>
      </c>
      <c r="J3415" t="str">
        <f t="shared" si="318"/>
        <v>Smoker</v>
      </c>
      <c r="K3415">
        <v>0</v>
      </c>
      <c r="L3415">
        <v>0</v>
      </c>
      <c r="M3415">
        <v>1</v>
      </c>
      <c r="N3415">
        <v>0</v>
      </c>
      <c r="O3415">
        <v>206</v>
      </c>
      <c r="P3415" t="str">
        <f t="shared" si="319"/>
        <v>Normal</v>
      </c>
      <c r="Q3415">
        <v>159.5</v>
      </c>
      <c r="R3415">
        <v>93.5</v>
      </c>
      <c r="S3415">
        <v>18.53</v>
      </c>
      <c r="T3415" t="str">
        <f t="shared" si="320"/>
        <v>Normal</v>
      </c>
      <c r="U3415">
        <v>75</v>
      </c>
      <c r="V3415">
        <v>58</v>
      </c>
      <c r="W3415" t="str">
        <f t="shared" si="323"/>
        <v>Normal</v>
      </c>
      <c r="X3415">
        <v>0</v>
      </c>
    </row>
    <row r="3416" spans="1:24" ht="14.5" thickBot="1" x14ac:dyDescent="0.35">
      <c r="A3416">
        <v>1</v>
      </c>
      <c r="B3416" t="str">
        <f t="shared" si="321"/>
        <v>Male</v>
      </c>
      <c r="C3416" s="8">
        <v>58</v>
      </c>
      <c r="D3416" t="str">
        <f t="shared" si="322"/>
        <v>Senior</v>
      </c>
      <c r="E3416">
        <v>2</v>
      </c>
      <c r="F3416" t="str">
        <f>HLOOKUP(E3416, LookUP_Table!$A$6:$D$7, 2, FALSE)</f>
        <v>Secondary</v>
      </c>
      <c r="G3416" t="str">
        <f>IFERROR(VLOOKUP(E3416, LookUP_Table!$A$1:$B$4, 2, FALSE), "")</f>
        <v>Secondary</v>
      </c>
      <c r="H3416">
        <v>0</v>
      </c>
      <c r="I3416">
        <v>0</v>
      </c>
      <c r="J3416" t="str">
        <f t="shared" si="318"/>
        <v>Non-Smoker</v>
      </c>
      <c r="K3416">
        <v>0</v>
      </c>
      <c r="L3416">
        <v>0</v>
      </c>
      <c r="M3416">
        <v>1</v>
      </c>
      <c r="N3416">
        <v>0</v>
      </c>
      <c r="O3416">
        <v>149</v>
      </c>
      <c r="P3416" t="str">
        <f t="shared" si="319"/>
        <v>Normal</v>
      </c>
      <c r="Q3416">
        <v>98</v>
      </c>
      <c r="R3416">
        <v>60</v>
      </c>
      <c r="S3416">
        <v>24.73</v>
      </c>
      <c r="T3416" t="str">
        <f t="shared" si="320"/>
        <v>Normal</v>
      </c>
      <c r="U3416">
        <v>105</v>
      </c>
      <c r="V3416">
        <v>71</v>
      </c>
      <c r="W3416" t="str">
        <f t="shared" si="323"/>
        <v>Normal</v>
      </c>
      <c r="X3416">
        <v>1</v>
      </c>
    </row>
    <row r="3417" spans="1:24" ht="14.5" thickBot="1" x14ac:dyDescent="0.35">
      <c r="A3417">
        <v>1</v>
      </c>
      <c r="B3417" t="str">
        <f t="shared" si="321"/>
        <v>Male</v>
      </c>
      <c r="C3417" s="8">
        <v>58</v>
      </c>
      <c r="D3417" t="str">
        <f t="shared" si="322"/>
        <v>Senior</v>
      </c>
      <c r="E3417">
        <v>4</v>
      </c>
      <c r="F3417" t="str">
        <f>HLOOKUP(E3417, LookUP_Table!$A$6:$D$7, 2, FALSE)</f>
        <v>Post Graduate</v>
      </c>
      <c r="G3417" t="str">
        <f>IFERROR(VLOOKUP(E3417, LookUP_Table!$A$1:$B$4, 2, FALSE), "")</f>
        <v>Post Graduate</v>
      </c>
      <c r="H3417">
        <v>0</v>
      </c>
      <c r="I3417">
        <v>0</v>
      </c>
      <c r="J3417" t="str">
        <f t="shared" si="318"/>
        <v>Non-Smoker</v>
      </c>
      <c r="K3417">
        <v>0</v>
      </c>
      <c r="L3417">
        <v>0</v>
      </c>
      <c r="M3417">
        <v>1</v>
      </c>
      <c r="N3417">
        <v>0</v>
      </c>
      <c r="O3417">
        <v>320</v>
      </c>
      <c r="P3417" t="str">
        <f t="shared" si="319"/>
        <v>High</v>
      </c>
      <c r="Q3417">
        <v>139</v>
      </c>
      <c r="R3417">
        <v>81.5</v>
      </c>
      <c r="S3417">
        <v>23.65</v>
      </c>
      <c r="T3417" t="str">
        <f t="shared" si="320"/>
        <v>Normal</v>
      </c>
      <c r="U3417">
        <v>80</v>
      </c>
      <c r="V3417">
        <v>82</v>
      </c>
      <c r="W3417" t="str">
        <f t="shared" si="323"/>
        <v>Normal</v>
      </c>
      <c r="X3417">
        <v>1</v>
      </c>
    </row>
    <row r="3418" spans="1:24" ht="14.5" thickBot="1" x14ac:dyDescent="0.35">
      <c r="A3418">
        <v>0</v>
      </c>
      <c r="B3418" t="str">
        <f t="shared" si="321"/>
        <v>Female</v>
      </c>
      <c r="C3418" s="8">
        <v>58</v>
      </c>
      <c r="D3418" t="str">
        <f t="shared" si="322"/>
        <v>Senior</v>
      </c>
      <c r="E3418">
        <v>1</v>
      </c>
      <c r="F3418" t="str">
        <f>HLOOKUP(E3418, LookUP_Table!$A$6:$D$7, 2, FALSE)</f>
        <v>Primary</v>
      </c>
      <c r="G3418" t="str">
        <f>IFERROR(VLOOKUP(E3418, LookUP_Table!$A$1:$B$4, 2, FALSE), "")</f>
        <v>Primary</v>
      </c>
      <c r="H3418">
        <v>0</v>
      </c>
      <c r="I3418">
        <v>0</v>
      </c>
      <c r="J3418" t="str">
        <f t="shared" si="318"/>
        <v>Non-Smoker</v>
      </c>
      <c r="K3418">
        <v>0</v>
      </c>
      <c r="L3418">
        <v>0</v>
      </c>
      <c r="M3418">
        <v>0</v>
      </c>
      <c r="N3418">
        <v>0</v>
      </c>
      <c r="O3418">
        <v>292</v>
      </c>
      <c r="P3418" t="str">
        <f t="shared" si="319"/>
        <v>High</v>
      </c>
      <c r="Q3418">
        <v>110</v>
      </c>
      <c r="R3418">
        <v>83</v>
      </c>
      <c r="S3418">
        <v>26.98</v>
      </c>
      <c r="T3418" t="str">
        <f t="shared" si="320"/>
        <v>Overweight</v>
      </c>
      <c r="U3418">
        <v>65</v>
      </c>
      <c r="V3418">
        <v>73</v>
      </c>
      <c r="W3418" t="str">
        <f t="shared" si="323"/>
        <v>Normal</v>
      </c>
      <c r="X3418">
        <v>0</v>
      </c>
    </row>
    <row r="3419" spans="1:24" ht="14.5" thickBot="1" x14ac:dyDescent="0.35">
      <c r="A3419">
        <v>0</v>
      </c>
      <c r="B3419" t="str">
        <f t="shared" si="321"/>
        <v>Female</v>
      </c>
      <c r="C3419" s="8">
        <v>58</v>
      </c>
      <c r="D3419" t="str">
        <f t="shared" si="322"/>
        <v>Senior</v>
      </c>
      <c r="E3419">
        <v>1</v>
      </c>
      <c r="F3419" t="str">
        <f>HLOOKUP(E3419, LookUP_Table!$A$6:$D$7, 2, FALSE)</f>
        <v>Primary</v>
      </c>
      <c r="G3419" t="str">
        <f>IFERROR(VLOOKUP(E3419, LookUP_Table!$A$1:$B$4, 2, FALSE), "")</f>
        <v>Primary</v>
      </c>
      <c r="H3419">
        <v>1</v>
      </c>
      <c r="I3419">
        <v>10</v>
      </c>
      <c r="J3419" t="str">
        <f t="shared" si="318"/>
        <v>Smoker</v>
      </c>
      <c r="K3419">
        <v>0</v>
      </c>
      <c r="L3419">
        <v>0</v>
      </c>
      <c r="M3419">
        <v>1</v>
      </c>
      <c r="N3419">
        <v>0</v>
      </c>
      <c r="O3419">
        <v>252</v>
      </c>
      <c r="P3419" t="str">
        <f t="shared" si="319"/>
        <v>High</v>
      </c>
      <c r="Q3419">
        <v>135</v>
      </c>
      <c r="R3419">
        <v>84</v>
      </c>
      <c r="S3419">
        <v>28.24</v>
      </c>
      <c r="T3419" t="str">
        <f t="shared" si="320"/>
        <v>Overweight</v>
      </c>
      <c r="U3419">
        <v>85</v>
      </c>
      <c r="V3419">
        <v>79</v>
      </c>
      <c r="W3419" t="str">
        <f t="shared" si="323"/>
        <v>Normal</v>
      </c>
      <c r="X3419">
        <v>0</v>
      </c>
    </row>
    <row r="3420" spans="1:24" ht="14.5" thickBot="1" x14ac:dyDescent="0.35">
      <c r="A3420">
        <v>1</v>
      </c>
      <c r="B3420" t="str">
        <f t="shared" si="321"/>
        <v>Male</v>
      </c>
      <c r="C3420" s="8">
        <v>58</v>
      </c>
      <c r="D3420" t="str">
        <f t="shared" si="322"/>
        <v>Senior</v>
      </c>
      <c r="E3420">
        <v>3</v>
      </c>
      <c r="F3420" t="str">
        <f>HLOOKUP(E3420, LookUP_Table!$A$6:$D$7, 2, FALSE)</f>
        <v>Graduate</v>
      </c>
      <c r="G3420" t="str">
        <f>IFERROR(VLOOKUP(E3420, LookUP_Table!$A$1:$B$4, 2, FALSE), "")</f>
        <v>Graduate</v>
      </c>
      <c r="H3420">
        <v>0</v>
      </c>
      <c r="I3420">
        <v>0</v>
      </c>
      <c r="J3420" t="str">
        <f t="shared" si="318"/>
        <v>Non-Smoker</v>
      </c>
      <c r="K3420">
        <v>0</v>
      </c>
      <c r="L3420">
        <v>0</v>
      </c>
      <c r="M3420">
        <v>0</v>
      </c>
      <c r="N3420">
        <v>0</v>
      </c>
      <c r="O3420">
        <v>250</v>
      </c>
      <c r="P3420" t="str">
        <f t="shared" si="319"/>
        <v>High</v>
      </c>
      <c r="Q3420">
        <v>109</v>
      </c>
      <c r="R3420">
        <v>78.5</v>
      </c>
      <c r="S3420">
        <v>25.26</v>
      </c>
      <c r="T3420" t="str">
        <f t="shared" si="320"/>
        <v>Overweight</v>
      </c>
      <c r="U3420">
        <v>90</v>
      </c>
      <c r="V3420">
        <v>83</v>
      </c>
      <c r="W3420" t="str">
        <f t="shared" si="323"/>
        <v>Normal</v>
      </c>
      <c r="X3420">
        <v>0</v>
      </c>
    </row>
    <row r="3421" spans="1:24" ht="14.5" thickBot="1" x14ac:dyDescent="0.35">
      <c r="A3421">
        <v>0</v>
      </c>
      <c r="B3421" t="str">
        <f t="shared" si="321"/>
        <v>Female</v>
      </c>
      <c r="C3421" s="8">
        <v>58</v>
      </c>
      <c r="D3421" t="str">
        <f t="shared" si="322"/>
        <v>Senior</v>
      </c>
      <c r="E3421">
        <v>1</v>
      </c>
      <c r="F3421" t="str">
        <f>HLOOKUP(E3421, LookUP_Table!$A$6:$D$7, 2, FALSE)</f>
        <v>Primary</v>
      </c>
      <c r="G3421" t="str">
        <f>IFERROR(VLOOKUP(E3421, LookUP_Table!$A$1:$B$4, 2, FALSE), "")</f>
        <v>Primary</v>
      </c>
      <c r="H3421">
        <v>0</v>
      </c>
      <c r="I3421">
        <v>0</v>
      </c>
      <c r="J3421" t="str">
        <f t="shared" si="318"/>
        <v>Non-Smoker</v>
      </c>
      <c r="K3421">
        <v>0</v>
      </c>
      <c r="L3421">
        <v>0</v>
      </c>
      <c r="M3421">
        <v>0</v>
      </c>
      <c r="N3421">
        <v>0</v>
      </c>
      <c r="O3421">
        <v>240</v>
      </c>
      <c r="P3421" t="str">
        <f t="shared" si="319"/>
        <v>Normal</v>
      </c>
      <c r="Q3421">
        <v>126</v>
      </c>
      <c r="R3421">
        <v>52</v>
      </c>
      <c r="S3421">
        <v>25.66</v>
      </c>
      <c r="T3421" t="str">
        <f t="shared" si="320"/>
        <v>Overweight</v>
      </c>
      <c r="U3421">
        <v>75</v>
      </c>
      <c r="V3421">
        <v>63</v>
      </c>
      <c r="W3421" t="str">
        <f t="shared" si="323"/>
        <v>Normal</v>
      </c>
      <c r="X3421">
        <v>0</v>
      </c>
    </row>
    <row r="3422" spans="1:24" ht="14.5" thickBot="1" x14ac:dyDescent="0.35">
      <c r="A3422">
        <v>1</v>
      </c>
      <c r="B3422" t="str">
        <f t="shared" si="321"/>
        <v>Male</v>
      </c>
      <c r="C3422" s="8">
        <v>58</v>
      </c>
      <c r="D3422" t="str">
        <f t="shared" si="322"/>
        <v>Senior</v>
      </c>
      <c r="E3422">
        <v>3</v>
      </c>
      <c r="F3422" t="str">
        <f>HLOOKUP(E3422, LookUP_Table!$A$6:$D$7, 2, FALSE)</f>
        <v>Graduate</v>
      </c>
      <c r="G3422" t="str">
        <f>IFERROR(VLOOKUP(E3422, LookUP_Table!$A$1:$B$4, 2, FALSE), "")</f>
        <v>Graduate</v>
      </c>
      <c r="H3422">
        <v>0</v>
      </c>
      <c r="I3422">
        <v>0</v>
      </c>
      <c r="J3422" t="str">
        <f t="shared" si="318"/>
        <v>Non-Smoker</v>
      </c>
      <c r="K3422">
        <v>1</v>
      </c>
      <c r="L3422">
        <v>1</v>
      </c>
      <c r="M3422">
        <v>1</v>
      </c>
      <c r="N3422">
        <v>0</v>
      </c>
      <c r="O3422">
        <v>241</v>
      </c>
      <c r="P3422" t="str">
        <f t="shared" si="319"/>
        <v>High</v>
      </c>
      <c r="Q3422">
        <v>164</v>
      </c>
      <c r="R3422">
        <v>97</v>
      </c>
      <c r="S3422">
        <v>32.18</v>
      </c>
      <c r="T3422" t="str">
        <f t="shared" si="320"/>
        <v>Obese</v>
      </c>
      <c r="U3422">
        <v>65</v>
      </c>
      <c r="V3422">
        <v>54</v>
      </c>
      <c r="W3422" t="str">
        <f t="shared" si="323"/>
        <v>Normal</v>
      </c>
      <c r="X3422">
        <v>0</v>
      </c>
    </row>
    <row r="3423" spans="1:24" ht="14.5" thickBot="1" x14ac:dyDescent="0.35">
      <c r="A3423">
        <v>1</v>
      </c>
      <c r="B3423" t="str">
        <f t="shared" si="321"/>
        <v>Male</v>
      </c>
      <c r="C3423" s="8">
        <v>58</v>
      </c>
      <c r="D3423" t="str">
        <f t="shared" si="322"/>
        <v>Senior</v>
      </c>
      <c r="E3423">
        <v>1</v>
      </c>
      <c r="F3423" t="str">
        <f>HLOOKUP(E3423, LookUP_Table!$A$6:$D$7, 2, FALSE)</f>
        <v>Primary</v>
      </c>
      <c r="G3423" t="str">
        <f>IFERROR(VLOOKUP(E3423, LookUP_Table!$A$1:$B$4, 2, FALSE), "")</f>
        <v>Primary</v>
      </c>
      <c r="H3423">
        <v>1</v>
      </c>
      <c r="I3423">
        <v>20</v>
      </c>
      <c r="J3423" t="str">
        <f t="shared" si="318"/>
        <v>Smoker</v>
      </c>
      <c r="K3423">
        <v>0</v>
      </c>
      <c r="L3423">
        <v>0</v>
      </c>
      <c r="M3423">
        <v>0</v>
      </c>
      <c r="N3423">
        <v>0</v>
      </c>
      <c r="O3423">
        <v>290</v>
      </c>
      <c r="P3423" t="str">
        <f t="shared" si="319"/>
        <v>High</v>
      </c>
      <c r="Q3423">
        <v>124</v>
      </c>
      <c r="R3423">
        <v>76</v>
      </c>
      <c r="S3423">
        <v>21.65</v>
      </c>
      <c r="T3423" t="str">
        <f t="shared" si="320"/>
        <v>Normal</v>
      </c>
      <c r="U3423">
        <v>63</v>
      </c>
      <c r="V3423">
        <v>81</v>
      </c>
      <c r="W3423" t="str">
        <f t="shared" si="323"/>
        <v>Normal</v>
      </c>
      <c r="X3423">
        <v>0</v>
      </c>
    </row>
    <row r="3424" spans="1:24" ht="14.5" thickBot="1" x14ac:dyDescent="0.35">
      <c r="A3424">
        <v>0</v>
      </c>
      <c r="B3424" t="str">
        <f t="shared" si="321"/>
        <v>Female</v>
      </c>
      <c r="C3424" s="8">
        <v>58</v>
      </c>
      <c r="D3424" t="str">
        <f t="shared" si="322"/>
        <v>Senior</v>
      </c>
      <c r="E3424">
        <v>2</v>
      </c>
      <c r="F3424" t="str">
        <f>HLOOKUP(E3424, LookUP_Table!$A$6:$D$7, 2, FALSE)</f>
        <v>Secondary</v>
      </c>
      <c r="G3424" t="str">
        <f>IFERROR(VLOOKUP(E3424, LookUP_Table!$A$1:$B$4, 2, FALSE), "")</f>
        <v>Secondary</v>
      </c>
      <c r="H3424">
        <v>0</v>
      </c>
      <c r="I3424">
        <v>0</v>
      </c>
      <c r="J3424" t="str">
        <f t="shared" si="318"/>
        <v>Non-Smoker</v>
      </c>
      <c r="K3424">
        <v>0</v>
      </c>
      <c r="L3424">
        <v>0</v>
      </c>
      <c r="M3424">
        <v>1</v>
      </c>
      <c r="N3424">
        <v>0</v>
      </c>
      <c r="O3424">
        <v>345</v>
      </c>
      <c r="P3424" t="str">
        <f t="shared" si="319"/>
        <v>High</v>
      </c>
      <c r="Q3424">
        <v>188</v>
      </c>
      <c r="R3424">
        <v>102</v>
      </c>
      <c r="S3424">
        <v>28.89</v>
      </c>
      <c r="T3424" t="str">
        <f t="shared" si="320"/>
        <v>Overweight</v>
      </c>
      <c r="U3424">
        <v>95</v>
      </c>
      <c r="V3424">
        <v>81.96365524402907</v>
      </c>
      <c r="W3424" t="str">
        <f t="shared" si="323"/>
        <v>Normal</v>
      </c>
      <c r="X3424">
        <v>0</v>
      </c>
    </row>
    <row r="3425" spans="1:24" ht="14.5" thickBot="1" x14ac:dyDescent="0.35">
      <c r="A3425">
        <v>1</v>
      </c>
      <c r="B3425" t="str">
        <f t="shared" si="321"/>
        <v>Male</v>
      </c>
      <c r="C3425" s="8">
        <v>58</v>
      </c>
      <c r="D3425" t="str">
        <f t="shared" si="322"/>
        <v>Senior</v>
      </c>
      <c r="E3425">
        <v>2</v>
      </c>
      <c r="F3425" t="str">
        <f>HLOOKUP(E3425, LookUP_Table!$A$6:$D$7, 2, FALSE)</f>
        <v>Secondary</v>
      </c>
      <c r="G3425" t="str">
        <f>IFERROR(VLOOKUP(E3425, LookUP_Table!$A$1:$B$4, 2, FALSE), "")</f>
        <v>Secondary</v>
      </c>
      <c r="H3425">
        <v>0</v>
      </c>
      <c r="I3425">
        <v>0</v>
      </c>
      <c r="J3425" t="str">
        <f t="shared" si="318"/>
        <v>Non-Smoker</v>
      </c>
      <c r="K3425">
        <v>0</v>
      </c>
      <c r="L3425">
        <v>0</v>
      </c>
      <c r="M3425">
        <v>1</v>
      </c>
      <c r="N3425">
        <v>0</v>
      </c>
      <c r="O3425">
        <v>230</v>
      </c>
      <c r="P3425" t="str">
        <f t="shared" si="319"/>
        <v>Normal</v>
      </c>
      <c r="Q3425">
        <v>128</v>
      </c>
      <c r="R3425">
        <v>88</v>
      </c>
      <c r="S3425">
        <v>25.98</v>
      </c>
      <c r="T3425" t="str">
        <f t="shared" si="320"/>
        <v>Overweight</v>
      </c>
      <c r="U3425">
        <v>75</v>
      </c>
      <c r="V3425">
        <v>58</v>
      </c>
      <c r="W3425" t="str">
        <f t="shared" si="323"/>
        <v>Normal</v>
      </c>
      <c r="X3425">
        <v>0</v>
      </c>
    </row>
    <row r="3426" spans="1:24" ht="14.5" thickBot="1" x14ac:dyDescent="0.35">
      <c r="A3426">
        <v>0</v>
      </c>
      <c r="B3426" t="str">
        <f t="shared" si="321"/>
        <v>Female</v>
      </c>
      <c r="C3426" s="8">
        <v>58</v>
      </c>
      <c r="D3426" t="str">
        <f t="shared" si="322"/>
        <v>Senior</v>
      </c>
      <c r="E3426">
        <v>1</v>
      </c>
      <c r="F3426" t="str">
        <f>HLOOKUP(E3426, LookUP_Table!$A$6:$D$7, 2, FALSE)</f>
        <v>Primary</v>
      </c>
      <c r="G3426" t="str">
        <f>IFERROR(VLOOKUP(E3426, LookUP_Table!$A$1:$B$4, 2, FALSE), "")</f>
        <v>Primary</v>
      </c>
      <c r="H3426">
        <v>0</v>
      </c>
      <c r="I3426">
        <v>0</v>
      </c>
      <c r="J3426" t="str">
        <f t="shared" si="318"/>
        <v>Non-Smoker</v>
      </c>
      <c r="K3426">
        <v>0</v>
      </c>
      <c r="L3426">
        <v>0</v>
      </c>
      <c r="M3426">
        <v>1</v>
      </c>
      <c r="N3426">
        <v>0</v>
      </c>
      <c r="O3426">
        <v>385</v>
      </c>
      <c r="P3426" t="str">
        <f t="shared" si="319"/>
        <v>High</v>
      </c>
      <c r="Q3426">
        <v>165</v>
      </c>
      <c r="R3426">
        <v>95</v>
      </c>
      <c r="S3426">
        <v>41.66</v>
      </c>
      <c r="T3426" t="str">
        <f t="shared" si="320"/>
        <v>Obese</v>
      </c>
      <c r="U3426">
        <v>82</v>
      </c>
      <c r="V3426">
        <v>91</v>
      </c>
      <c r="W3426" t="str">
        <f t="shared" si="323"/>
        <v>Normal</v>
      </c>
      <c r="X3426">
        <v>0</v>
      </c>
    </row>
    <row r="3427" spans="1:24" ht="14.5" thickBot="1" x14ac:dyDescent="0.35">
      <c r="A3427">
        <v>0</v>
      </c>
      <c r="B3427" t="str">
        <f t="shared" si="321"/>
        <v>Female</v>
      </c>
      <c r="C3427" s="8">
        <v>58</v>
      </c>
      <c r="D3427" t="str">
        <f t="shared" si="322"/>
        <v>Senior</v>
      </c>
      <c r="E3427">
        <v>2</v>
      </c>
      <c r="F3427" t="str">
        <f>HLOOKUP(E3427, LookUP_Table!$A$6:$D$7, 2, FALSE)</f>
        <v>Secondary</v>
      </c>
      <c r="G3427" t="str">
        <f>IFERROR(VLOOKUP(E3427, LookUP_Table!$A$1:$B$4, 2, FALSE), "")</f>
        <v>Secondary</v>
      </c>
      <c r="H3427">
        <v>0</v>
      </c>
      <c r="I3427">
        <v>0</v>
      </c>
      <c r="J3427" t="str">
        <f t="shared" si="318"/>
        <v>Non-Smoker</v>
      </c>
      <c r="K3427">
        <v>0</v>
      </c>
      <c r="L3427">
        <v>0</v>
      </c>
      <c r="M3427">
        <v>1</v>
      </c>
      <c r="N3427">
        <v>0</v>
      </c>
      <c r="O3427">
        <v>166</v>
      </c>
      <c r="P3427" t="str">
        <f t="shared" si="319"/>
        <v>Normal</v>
      </c>
      <c r="Q3427">
        <v>185.5</v>
      </c>
      <c r="R3427">
        <v>115.5</v>
      </c>
      <c r="S3427">
        <v>27.97</v>
      </c>
      <c r="T3427" t="str">
        <f t="shared" si="320"/>
        <v>Overweight</v>
      </c>
      <c r="U3427">
        <v>100</v>
      </c>
      <c r="V3427">
        <v>85</v>
      </c>
      <c r="W3427" t="str">
        <f t="shared" si="323"/>
        <v>Normal</v>
      </c>
      <c r="X3427">
        <v>0</v>
      </c>
    </row>
    <row r="3428" spans="1:24" ht="14.5" thickBot="1" x14ac:dyDescent="0.35">
      <c r="A3428">
        <v>0</v>
      </c>
      <c r="B3428" t="str">
        <f t="shared" si="321"/>
        <v>Female</v>
      </c>
      <c r="C3428" s="8">
        <v>58</v>
      </c>
      <c r="D3428" t="str">
        <f t="shared" si="322"/>
        <v>Senior</v>
      </c>
      <c r="E3428">
        <v>1</v>
      </c>
      <c r="F3428" t="str">
        <f>HLOOKUP(E3428, LookUP_Table!$A$6:$D$7, 2, FALSE)</f>
        <v>Primary</v>
      </c>
      <c r="G3428" t="str">
        <f>IFERROR(VLOOKUP(E3428, LookUP_Table!$A$1:$B$4, 2, FALSE), "")</f>
        <v>Primary</v>
      </c>
      <c r="H3428">
        <v>0</v>
      </c>
      <c r="I3428">
        <v>0</v>
      </c>
      <c r="J3428" t="str">
        <f t="shared" si="318"/>
        <v>Non-Smoker</v>
      </c>
      <c r="K3428">
        <v>0</v>
      </c>
      <c r="L3428">
        <v>0</v>
      </c>
      <c r="M3428">
        <v>1</v>
      </c>
      <c r="N3428">
        <v>0</v>
      </c>
      <c r="O3428">
        <v>239</v>
      </c>
      <c r="P3428" t="str">
        <f t="shared" si="319"/>
        <v>Normal</v>
      </c>
      <c r="Q3428">
        <v>121</v>
      </c>
      <c r="R3428">
        <v>81</v>
      </c>
      <c r="S3428">
        <v>35.19</v>
      </c>
      <c r="T3428" t="str">
        <f t="shared" si="320"/>
        <v>Obese</v>
      </c>
      <c r="U3428">
        <v>58</v>
      </c>
      <c r="V3428">
        <v>70</v>
      </c>
      <c r="W3428" t="str">
        <f t="shared" si="323"/>
        <v>Normal</v>
      </c>
      <c r="X3428">
        <v>0</v>
      </c>
    </row>
    <row r="3429" spans="1:24" ht="14.5" thickBot="1" x14ac:dyDescent="0.35">
      <c r="A3429">
        <v>1</v>
      </c>
      <c r="B3429" t="str">
        <f t="shared" si="321"/>
        <v>Male</v>
      </c>
      <c r="C3429" s="8">
        <v>58</v>
      </c>
      <c r="D3429" t="str">
        <f t="shared" si="322"/>
        <v>Senior</v>
      </c>
      <c r="E3429">
        <v>4</v>
      </c>
      <c r="F3429" t="str">
        <f>HLOOKUP(E3429, LookUP_Table!$A$6:$D$7, 2, FALSE)</f>
        <v>Post Graduate</v>
      </c>
      <c r="G3429" t="str">
        <f>IFERROR(VLOOKUP(E3429, LookUP_Table!$A$1:$B$4, 2, FALSE), "")</f>
        <v>Post Graduate</v>
      </c>
      <c r="H3429">
        <v>0</v>
      </c>
      <c r="I3429">
        <v>0</v>
      </c>
      <c r="J3429" t="str">
        <f t="shared" si="318"/>
        <v>Non-Smoker</v>
      </c>
      <c r="K3429">
        <v>0</v>
      </c>
      <c r="L3429">
        <v>0</v>
      </c>
      <c r="M3429">
        <v>1</v>
      </c>
      <c r="N3429">
        <v>0</v>
      </c>
      <c r="O3429">
        <v>223</v>
      </c>
      <c r="P3429" t="str">
        <f t="shared" si="319"/>
        <v>Normal</v>
      </c>
      <c r="Q3429">
        <v>154.5</v>
      </c>
      <c r="R3429">
        <v>88</v>
      </c>
      <c r="S3429">
        <v>27.91</v>
      </c>
      <c r="T3429" t="str">
        <f t="shared" si="320"/>
        <v>Overweight</v>
      </c>
      <c r="U3429">
        <v>69</v>
      </c>
      <c r="V3429">
        <v>81</v>
      </c>
      <c r="W3429" t="str">
        <f t="shared" si="323"/>
        <v>Normal</v>
      </c>
      <c r="X3429">
        <v>0</v>
      </c>
    </row>
    <row r="3430" spans="1:24" ht="14.5" thickBot="1" x14ac:dyDescent="0.35">
      <c r="A3430">
        <v>1</v>
      </c>
      <c r="B3430" t="str">
        <f t="shared" si="321"/>
        <v>Male</v>
      </c>
      <c r="C3430" s="8">
        <v>58</v>
      </c>
      <c r="D3430" t="str">
        <f t="shared" si="322"/>
        <v>Senior</v>
      </c>
      <c r="E3430">
        <v>1</v>
      </c>
      <c r="F3430" t="str">
        <f>HLOOKUP(E3430, LookUP_Table!$A$6:$D$7, 2, FALSE)</f>
        <v>Primary</v>
      </c>
      <c r="G3430" t="str">
        <f>IFERROR(VLOOKUP(E3430, LookUP_Table!$A$1:$B$4, 2, FALSE), "")</f>
        <v>Primary</v>
      </c>
      <c r="H3430">
        <v>0</v>
      </c>
      <c r="I3430">
        <v>0</v>
      </c>
      <c r="J3430" t="str">
        <f t="shared" si="318"/>
        <v>Non-Smoker</v>
      </c>
      <c r="K3430">
        <v>0</v>
      </c>
      <c r="L3430">
        <v>0</v>
      </c>
      <c r="M3430">
        <v>0</v>
      </c>
      <c r="N3430">
        <v>0</v>
      </c>
      <c r="O3430">
        <v>236.69952267303103</v>
      </c>
      <c r="P3430" t="str">
        <f t="shared" si="319"/>
        <v>Normal</v>
      </c>
      <c r="Q3430">
        <v>116.5</v>
      </c>
      <c r="R3430">
        <v>71</v>
      </c>
      <c r="S3430">
        <v>27.04</v>
      </c>
      <c r="T3430" t="str">
        <f t="shared" si="320"/>
        <v>Overweight</v>
      </c>
      <c r="U3430">
        <v>70</v>
      </c>
      <c r="V3430">
        <v>86</v>
      </c>
      <c r="W3430" t="str">
        <f t="shared" si="323"/>
        <v>Normal</v>
      </c>
      <c r="X3430">
        <v>0</v>
      </c>
    </row>
    <row r="3431" spans="1:24" ht="14.5" thickBot="1" x14ac:dyDescent="0.35">
      <c r="A3431">
        <v>1</v>
      </c>
      <c r="B3431" t="str">
        <f t="shared" si="321"/>
        <v>Male</v>
      </c>
      <c r="C3431" s="8">
        <v>58</v>
      </c>
      <c r="D3431" t="str">
        <f t="shared" si="322"/>
        <v>Senior</v>
      </c>
      <c r="E3431">
        <v>1</v>
      </c>
      <c r="F3431" t="str">
        <f>HLOOKUP(E3431, LookUP_Table!$A$6:$D$7, 2, FALSE)</f>
        <v>Primary</v>
      </c>
      <c r="G3431" t="str">
        <f>IFERROR(VLOOKUP(E3431, LookUP_Table!$A$1:$B$4, 2, FALSE), "")</f>
        <v>Primary</v>
      </c>
      <c r="H3431">
        <v>0</v>
      </c>
      <c r="I3431">
        <v>0</v>
      </c>
      <c r="J3431" t="str">
        <f t="shared" si="318"/>
        <v>Non-Smoker</v>
      </c>
      <c r="K3431">
        <v>0</v>
      </c>
      <c r="L3431">
        <v>0</v>
      </c>
      <c r="M3431">
        <v>0</v>
      </c>
      <c r="N3431">
        <v>0</v>
      </c>
      <c r="O3431">
        <v>233</v>
      </c>
      <c r="P3431" t="str">
        <f t="shared" si="319"/>
        <v>Normal</v>
      </c>
      <c r="Q3431">
        <v>125.5</v>
      </c>
      <c r="R3431">
        <v>84</v>
      </c>
      <c r="S3431">
        <v>26.05</v>
      </c>
      <c r="T3431" t="str">
        <f t="shared" si="320"/>
        <v>Overweight</v>
      </c>
      <c r="U3431">
        <v>67</v>
      </c>
      <c r="V3431">
        <v>76</v>
      </c>
      <c r="W3431" t="str">
        <f t="shared" si="323"/>
        <v>Normal</v>
      </c>
      <c r="X3431">
        <v>1</v>
      </c>
    </row>
    <row r="3432" spans="1:24" ht="14.5" thickBot="1" x14ac:dyDescent="0.35">
      <c r="A3432">
        <v>1</v>
      </c>
      <c r="B3432" t="str">
        <f t="shared" si="321"/>
        <v>Male</v>
      </c>
      <c r="C3432" s="8">
        <v>58</v>
      </c>
      <c r="D3432" t="str">
        <f t="shared" si="322"/>
        <v>Senior</v>
      </c>
      <c r="E3432">
        <v>3</v>
      </c>
      <c r="F3432" t="str">
        <f>HLOOKUP(E3432, LookUP_Table!$A$6:$D$7, 2, FALSE)</f>
        <v>Graduate</v>
      </c>
      <c r="G3432" t="str">
        <f>IFERROR(VLOOKUP(E3432, LookUP_Table!$A$1:$B$4, 2, FALSE), "")</f>
        <v>Graduate</v>
      </c>
      <c r="H3432">
        <v>0</v>
      </c>
      <c r="I3432">
        <v>0</v>
      </c>
      <c r="J3432" t="str">
        <f t="shared" si="318"/>
        <v>Non-Smoker</v>
      </c>
      <c r="K3432">
        <v>0</v>
      </c>
      <c r="L3432">
        <v>0</v>
      </c>
      <c r="M3432">
        <v>1</v>
      </c>
      <c r="N3432">
        <v>0</v>
      </c>
      <c r="O3432">
        <v>187</v>
      </c>
      <c r="P3432" t="str">
        <f t="shared" si="319"/>
        <v>Normal</v>
      </c>
      <c r="Q3432">
        <v>141</v>
      </c>
      <c r="R3432">
        <v>81</v>
      </c>
      <c r="S3432">
        <v>24.96</v>
      </c>
      <c r="T3432" t="str">
        <f t="shared" si="320"/>
        <v>Normal</v>
      </c>
      <c r="U3432">
        <v>80</v>
      </c>
      <c r="V3432">
        <v>81</v>
      </c>
      <c r="W3432" t="str">
        <f t="shared" si="323"/>
        <v>Normal</v>
      </c>
      <c r="X3432">
        <v>0</v>
      </c>
    </row>
    <row r="3433" spans="1:24" ht="14.5" thickBot="1" x14ac:dyDescent="0.35">
      <c r="A3433">
        <v>0</v>
      </c>
      <c r="B3433" t="str">
        <f t="shared" si="321"/>
        <v>Female</v>
      </c>
      <c r="C3433" s="8">
        <v>59</v>
      </c>
      <c r="D3433" t="str">
        <f t="shared" si="322"/>
        <v>Senior</v>
      </c>
      <c r="E3433">
        <v>1</v>
      </c>
      <c r="F3433" t="str">
        <f>HLOOKUP(E3433, LookUP_Table!$A$6:$D$7, 2, FALSE)</f>
        <v>Primary</v>
      </c>
      <c r="G3433" t="str">
        <f>IFERROR(VLOOKUP(E3433, LookUP_Table!$A$1:$B$4, 2, FALSE), "")</f>
        <v>Primary</v>
      </c>
      <c r="H3433">
        <v>0</v>
      </c>
      <c r="I3433">
        <v>0</v>
      </c>
      <c r="J3433" t="str">
        <f t="shared" si="318"/>
        <v>Non-Smoker</v>
      </c>
      <c r="K3433">
        <v>0</v>
      </c>
      <c r="L3433">
        <v>0</v>
      </c>
      <c r="M3433">
        <v>1</v>
      </c>
      <c r="N3433">
        <v>0</v>
      </c>
      <c r="O3433">
        <v>209</v>
      </c>
      <c r="P3433" t="str">
        <f t="shared" si="319"/>
        <v>Normal</v>
      </c>
      <c r="Q3433">
        <v>150</v>
      </c>
      <c r="R3433">
        <v>85</v>
      </c>
      <c r="S3433">
        <v>20.77</v>
      </c>
      <c r="T3433" t="str">
        <f t="shared" si="320"/>
        <v>Normal</v>
      </c>
      <c r="U3433">
        <v>90</v>
      </c>
      <c r="V3433">
        <v>88</v>
      </c>
      <c r="W3433" t="str">
        <f t="shared" si="323"/>
        <v>Normal</v>
      </c>
      <c r="X3433">
        <v>1</v>
      </c>
    </row>
    <row r="3434" spans="1:24" ht="14.5" thickBot="1" x14ac:dyDescent="0.35">
      <c r="A3434">
        <v>0</v>
      </c>
      <c r="B3434" t="str">
        <f t="shared" si="321"/>
        <v>Female</v>
      </c>
      <c r="C3434" s="8">
        <v>59</v>
      </c>
      <c r="D3434" t="str">
        <f t="shared" si="322"/>
        <v>Senior</v>
      </c>
      <c r="E3434">
        <v>1</v>
      </c>
      <c r="F3434" t="str">
        <f>HLOOKUP(E3434, LookUP_Table!$A$6:$D$7, 2, FALSE)</f>
        <v>Primary</v>
      </c>
      <c r="G3434" t="str">
        <f>IFERROR(VLOOKUP(E3434, LookUP_Table!$A$1:$B$4, 2, FALSE), "")</f>
        <v>Primary</v>
      </c>
      <c r="H3434">
        <v>0</v>
      </c>
      <c r="I3434">
        <v>0</v>
      </c>
      <c r="J3434" t="str">
        <f t="shared" si="318"/>
        <v>Non-Smoker</v>
      </c>
      <c r="K3434">
        <v>0</v>
      </c>
      <c r="L3434">
        <v>0</v>
      </c>
      <c r="M3434">
        <v>1</v>
      </c>
      <c r="N3434">
        <v>0</v>
      </c>
      <c r="O3434">
        <v>258</v>
      </c>
      <c r="P3434" t="str">
        <f t="shared" si="319"/>
        <v>High</v>
      </c>
      <c r="Q3434">
        <v>138.5</v>
      </c>
      <c r="R3434">
        <v>85</v>
      </c>
      <c r="S3434">
        <v>34.549999999999997</v>
      </c>
      <c r="T3434" t="str">
        <f t="shared" si="320"/>
        <v>Obese</v>
      </c>
      <c r="U3434">
        <v>65</v>
      </c>
      <c r="V3434">
        <v>103</v>
      </c>
      <c r="W3434" t="str">
        <f t="shared" si="323"/>
        <v>Prediabetes</v>
      </c>
      <c r="X3434">
        <v>1</v>
      </c>
    </row>
    <row r="3435" spans="1:24" ht="14.5" thickBot="1" x14ac:dyDescent="0.35">
      <c r="A3435">
        <v>1</v>
      </c>
      <c r="B3435" t="str">
        <f t="shared" si="321"/>
        <v>Male</v>
      </c>
      <c r="C3435" s="8">
        <v>59</v>
      </c>
      <c r="D3435" t="str">
        <f t="shared" si="322"/>
        <v>Senior</v>
      </c>
      <c r="E3435">
        <v>2</v>
      </c>
      <c r="F3435" t="str">
        <f>HLOOKUP(E3435, LookUP_Table!$A$6:$D$7, 2, FALSE)</f>
        <v>Secondary</v>
      </c>
      <c r="G3435" t="str">
        <f>IFERROR(VLOOKUP(E3435, LookUP_Table!$A$1:$B$4, 2, FALSE), "")</f>
        <v>Secondary</v>
      </c>
      <c r="H3435">
        <v>1</v>
      </c>
      <c r="I3435">
        <v>30</v>
      </c>
      <c r="J3435" t="str">
        <f t="shared" si="318"/>
        <v>Smoker</v>
      </c>
      <c r="K3435">
        <v>0</v>
      </c>
      <c r="L3435">
        <v>0</v>
      </c>
      <c r="M3435">
        <v>0</v>
      </c>
      <c r="N3435">
        <v>0</v>
      </c>
      <c r="O3435">
        <v>303</v>
      </c>
      <c r="P3435" t="str">
        <f t="shared" si="319"/>
        <v>High</v>
      </c>
      <c r="Q3435">
        <v>134</v>
      </c>
      <c r="R3435">
        <v>89</v>
      </c>
      <c r="S3435">
        <v>24.07</v>
      </c>
      <c r="T3435" t="str">
        <f t="shared" si="320"/>
        <v>Normal</v>
      </c>
      <c r="U3435">
        <v>78</v>
      </c>
      <c r="V3435">
        <v>75</v>
      </c>
      <c r="W3435" t="str">
        <f t="shared" si="323"/>
        <v>Normal</v>
      </c>
      <c r="X3435">
        <v>0</v>
      </c>
    </row>
    <row r="3436" spans="1:24" ht="14.5" thickBot="1" x14ac:dyDescent="0.35">
      <c r="A3436">
        <v>0</v>
      </c>
      <c r="B3436" t="str">
        <f t="shared" si="321"/>
        <v>Female</v>
      </c>
      <c r="C3436" s="8">
        <v>59</v>
      </c>
      <c r="D3436" t="str">
        <f t="shared" si="322"/>
        <v>Senior</v>
      </c>
      <c r="E3436">
        <v>1</v>
      </c>
      <c r="F3436" t="str">
        <f>HLOOKUP(E3436, LookUP_Table!$A$6:$D$7, 2, FALSE)</f>
        <v>Primary</v>
      </c>
      <c r="G3436" t="str">
        <f>IFERROR(VLOOKUP(E3436, LookUP_Table!$A$1:$B$4, 2, FALSE), "")</f>
        <v>Primary</v>
      </c>
      <c r="H3436">
        <v>1</v>
      </c>
      <c r="I3436">
        <v>1</v>
      </c>
      <c r="J3436" t="str">
        <f t="shared" si="318"/>
        <v>Smoker</v>
      </c>
      <c r="K3436">
        <v>0</v>
      </c>
      <c r="L3436">
        <v>0</v>
      </c>
      <c r="M3436">
        <v>1</v>
      </c>
      <c r="N3436">
        <v>0</v>
      </c>
      <c r="O3436">
        <v>259</v>
      </c>
      <c r="P3436" t="str">
        <f t="shared" si="319"/>
        <v>High</v>
      </c>
      <c r="Q3436">
        <v>141</v>
      </c>
      <c r="R3436">
        <v>86</v>
      </c>
      <c r="S3436">
        <v>25.97</v>
      </c>
      <c r="T3436" t="str">
        <f t="shared" si="320"/>
        <v>Overweight</v>
      </c>
      <c r="U3436">
        <v>70</v>
      </c>
      <c r="V3436">
        <v>86</v>
      </c>
      <c r="W3436" t="str">
        <f t="shared" si="323"/>
        <v>Normal</v>
      </c>
      <c r="X3436">
        <v>0</v>
      </c>
    </row>
    <row r="3437" spans="1:24" ht="14.5" thickBot="1" x14ac:dyDescent="0.35">
      <c r="A3437">
        <v>0</v>
      </c>
      <c r="B3437" t="str">
        <f t="shared" si="321"/>
        <v>Female</v>
      </c>
      <c r="C3437" s="8">
        <v>59</v>
      </c>
      <c r="D3437" t="str">
        <f t="shared" si="322"/>
        <v>Senior</v>
      </c>
      <c r="E3437">
        <v>2</v>
      </c>
      <c r="F3437" t="str">
        <f>HLOOKUP(E3437, LookUP_Table!$A$6:$D$7, 2, FALSE)</f>
        <v>Secondary</v>
      </c>
      <c r="G3437" t="str">
        <f>IFERROR(VLOOKUP(E3437, LookUP_Table!$A$1:$B$4, 2, FALSE), "")</f>
        <v>Secondary</v>
      </c>
      <c r="H3437">
        <v>0</v>
      </c>
      <c r="I3437">
        <v>0</v>
      </c>
      <c r="J3437" t="str">
        <f t="shared" si="318"/>
        <v>Non-Smoker</v>
      </c>
      <c r="K3437">
        <v>0</v>
      </c>
      <c r="L3437">
        <v>0</v>
      </c>
      <c r="M3437">
        <v>0</v>
      </c>
      <c r="N3437">
        <v>0</v>
      </c>
      <c r="O3437">
        <v>310</v>
      </c>
      <c r="P3437" t="str">
        <f t="shared" si="319"/>
        <v>High</v>
      </c>
      <c r="Q3437">
        <v>129</v>
      </c>
      <c r="R3437">
        <v>70</v>
      </c>
      <c r="S3437">
        <v>23.29</v>
      </c>
      <c r="T3437" t="str">
        <f t="shared" si="320"/>
        <v>Normal</v>
      </c>
      <c r="U3437">
        <v>80</v>
      </c>
      <c r="V3437">
        <v>70</v>
      </c>
      <c r="W3437" t="str">
        <f t="shared" si="323"/>
        <v>Normal</v>
      </c>
      <c r="X3437">
        <v>0</v>
      </c>
    </row>
    <row r="3438" spans="1:24" ht="14.5" thickBot="1" x14ac:dyDescent="0.35">
      <c r="A3438">
        <v>1</v>
      </c>
      <c r="B3438" t="str">
        <f t="shared" si="321"/>
        <v>Male</v>
      </c>
      <c r="C3438" s="8">
        <v>59</v>
      </c>
      <c r="D3438" t="str">
        <f t="shared" si="322"/>
        <v>Senior</v>
      </c>
      <c r="E3438">
        <v>4</v>
      </c>
      <c r="F3438" t="str">
        <f>HLOOKUP(E3438, LookUP_Table!$A$6:$D$7, 2, FALSE)</f>
        <v>Post Graduate</v>
      </c>
      <c r="G3438" t="str">
        <f>IFERROR(VLOOKUP(E3438, LookUP_Table!$A$1:$B$4, 2, FALSE), "")</f>
        <v>Post Graduate</v>
      </c>
      <c r="H3438">
        <v>1</v>
      </c>
      <c r="I3438">
        <v>20</v>
      </c>
      <c r="J3438" t="str">
        <f t="shared" si="318"/>
        <v>Smoker</v>
      </c>
      <c r="K3438">
        <v>0</v>
      </c>
      <c r="L3438">
        <v>0</v>
      </c>
      <c r="M3438">
        <v>1</v>
      </c>
      <c r="N3438">
        <v>0</v>
      </c>
      <c r="O3438">
        <v>265</v>
      </c>
      <c r="P3438" t="str">
        <f t="shared" si="319"/>
        <v>High</v>
      </c>
      <c r="Q3438">
        <v>155</v>
      </c>
      <c r="R3438">
        <v>85</v>
      </c>
      <c r="S3438">
        <v>27.06</v>
      </c>
      <c r="T3438" t="str">
        <f t="shared" si="320"/>
        <v>Overweight</v>
      </c>
      <c r="U3438">
        <v>88</v>
      </c>
      <c r="V3438">
        <v>75</v>
      </c>
      <c r="W3438" t="str">
        <f t="shared" si="323"/>
        <v>Normal</v>
      </c>
      <c r="X3438">
        <v>0</v>
      </c>
    </row>
    <row r="3439" spans="1:24" ht="14.5" thickBot="1" x14ac:dyDescent="0.35">
      <c r="A3439">
        <v>0</v>
      </c>
      <c r="B3439" t="str">
        <f t="shared" si="321"/>
        <v>Female</v>
      </c>
      <c r="C3439" s="8">
        <v>59</v>
      </c>
      <c r="D3439" t="str">
        <f t="shared" si="322"/>
        <v>Senior</v>
      </c>
      <c r="E3439">
        <v>1</v>
      </c>
      <c r="F3439" t="str">
        <f>HLOOKUP(E3439, LookUP_Table!$A$6:$D$7, 2, FALSE)</f>
        <v>Primary</v>
      </c>
      <c r="G3439" t="str">
        <f>IFERROR(VLOOKUP(E3439, LookUP_Table!$A$1:$B$4, 2, FALSE), "")</f>
        <v>Primary</v>
      </c>
      <c r="H3439">
        <v>0</v>
      </c>
      <c r="I3439">
        <v>0</v>
      </c>
      <c r="J3439" t="str">
        <f t="shared" si="318"/>
        <v>Non-Smoker</v>
      </c>
      <c r="K3439">
        <v>0</v>
      </c>
      <c r="L3439">
        <v>0</v>
      </c>
      <c r="M3439">
        <v>1</v>
      </c>
      <c r="N3439">
        <v>0</v>
      </c>
      <c r="O3439">
        <v>246</v>
      </c>
      <c r="P3439" t="str">
        <f t="shared" si="319"/>
        <v>High</v>
      </c>
      <c r="Q3439">
        <v>189</v>
      </c>
      <c r="R3439">
        <v>111</v>
      </c>
      <c r="S3439">
        <v>19.88</v>
      </c>
      <c r="T3439" t="str">
        <f t="shared" si="320"/>
        <v>Normal</v>
      </c>
      <c r="U3439">
        <v>90</v>
      </c>
      <c r="V3439">
        <v>85</v>
      </c>
      <c r="W3439" t="str">
        <f t="shared" si="323"/>
        <v>Normal</v>
      </c>
      <c r="X3439">
        <v>1</v>
      </c>
    </row>
    <row r="3440" spans="1:24" ht="14.5" thickBot="1" x14ac:dyDescent="0.35">
      <c r="A3440">
        <v>0</v>
      </c>
      <c r="B3440" t="str">
        <f t="shared" si="321"/>
        <v>Female</v>
      </c>
      <c r="C3440" s="8">
        <v>59</v>
      </c>
      <c r="D3440" t="str">
        <f t="shared" si="322"/>
        <v>Senior</v>
      </c>
      <c r="E3440">
        <v>1</v>
      </c>
      <c r="F3440" t="str">
        <f>HLOOKUP(E3440, LookUP_Table!$A$6:$D$7, 2, FALSE)</f>
        <v>Primary</v>
      </c>
      <c r="G3440" t="str">
        <f>IFERROR(VLOOKUP(E3440, LookUP_Table!$A$1:$B$4, 2, FALSE), "")</f>
        <v>Primary</v>
      </c>
      <c r="H3440">
        <v>0</v>
      </c>
      <c r="I3440">
        <v>0</v>
      </c>
      <c r="J3440" t="str">
        <f t="shared" si="318"/>
        <v>Non-Smoker</v>
      </c>
      <c r="K3440">
        <v>0</v>
      </c>
      <c r="L3440">
        <v>0</v>
      </c>
      <c r="M3440">
        <v>0</v>
      </c>
      <c r="N3440">
        <v>0</v>
      </c>
      <c r="O3440">
        <v>339</v>
      </c>
      <c r="P3440" t="str">
        <f t="shared" si="319"/>
        <v>High</v>
      </c>
      <c r="Q3440">
        <v>110</v>
      </c>
      <c r="R3440">
        <v>69</v>
      </c>
      <c r="S3440">
        <v>26.89</v>
      </c>
      <c r="T3440" t="str">
        <f t="shared" si="320"/>
        <v>Overweight</v>
      </c>
      <c r="U3440">
        <v>75</v>
      </c>
      <c r="V3440">
        <v>73</v>
      </c>
      <c r="W3440" t="str">
        <f t="shared" si="323"/>
        <v>Normal</v>
      </c>
      <c r="X3440">
        <v>0</v>
      </c>
    </row>
    <row r="3441" spans="1:24" ht="14.5" thickBot="1" x14ac:dyDescent="0.35">
      <c r="A3441">
        <v>1</v>
      </c>
      <c r="B3441" t="str">
        <f t="shared" si="321"/>
        <v>Male</v>
      </c>
      <c r="C3441" s="8">
        <v>59</v>
      </c>
      <c r="D3441" t="str">
        <f t="shared" si="322"/>
        <v>Senior</v>
      </c>
      <c r="E3441">
        <v>2</v>
      </c>
      <c r="F3441" t="str">
        <f>HLOOKUP(E3441, LookUP_Table!$A$6:$D$7, 2, FALSE)</f>
        <v>Secondary</v>
      </c>
      <c r="G3441" t="str">
        <f>IFERROR(VLOOKUP(E3441, LookUP_Table!$A$1:$B$4, 2, FALSE), "")</f>
        <v>Secondary</v>
      </c>
      <c r="H3441">
        <v>1</v>
      </c>
      <c r="I3441">
        <v>15</v>
      </c>
      <c r="J3441" t="str">
        <f t="shared" si="318"/>
        <v>Smoker</v>
      </c>
      <c r="K3441">
        <v>0</v>
      </c>
      <c r="L3441">
        <v>0</v>
      </c>
      <c r="M3441">
        <v>0</v>
      </c>
      <c r="N3441">
        <v>0</v>
      </c>
      <c r="O3441">
        <v>212</v>
      </c>
      <c r="P3441" t="str">
        <f t="shared" si="319"/>
        <v>Normal</v>
      </c>
      <c r="Q3441">
        <v>106</v>
      </c>
      <c r="R3441">
        <v>66</v>
      </c>
      <c r="S3441">
        <v>26.46</v>
      </c>
      <c r="T3441" t="str">
        <f t="shared" si="320"/>
        <v>Overweight</v>
      </c>
      <c r="U3441">
        <v>85</v>
      </c>
      <c r="V3441">
        <v>117</v>
      </c>
      <c r="W3441" t="str">
        <f t="shared" si="323"/>
        <v>Prediabetes</v>
      </c>
      <c r="X3441">
        <v>0</v>
      </c>
    </row>
    <row r="3442" spans="1:24" ht="14.5" thickBot="1" x14ac:dyDescent="0.35">
      <c r="A3442">
        <v>1</v>
      </c>
      <c r="B3442" t="str">
        <f t="shared" si="321"/>
        <v>Male</v>
      </c>
      <c r="C3442" s="8">
        <v>59</v>
      </c>
      <c r="D3442" t="str">
        <f t="shared" si="322"/>
        <v>Senior</v>
      </c>
      <c r="E3442">
        <v>1</v>
      </c>
      <c r="F3442" t="str">
        <f>HLOOKUP(E3442, LookUP_Table!$A$6:$D$7, 2, FALSE)</f>
        <v>Primary</v>
      </c>
      <c r="G3442" t="str">
        <f>IFERROR(VLOOKUP(E3442, LookUP_Table!$A$1:$B$4, 2, FALSE), "")</f>
        <v>Primary</v>
      </c>
      <c r="H3442">
        <v>0</v>
      </c>
      <c r="I3442">
        <v>0</v>
      </c>
      <c r="J3442" t="str">
        <f t="shared" si="318"/>
        <v>Non-Smoker</v>
      </c>
      <c r="K3442">
        <v>0</v>
      </c>
      <c r="L3442">
        <v>0</v>
      </c>
      <c r="M3442">
        <v>0</v>
      </c>
      <c r="N3442">
        <v>0</v>
      </c>
      <c r="O3442">
        <v>282</v>
      </c>
      <c r="P3442" t="str">
        <f t="shared" si="319"/>
        <v>High</v>
      </c>
      <c r="Q3442">
        <v>114</v>
      </c>
      <c r="R3442">
        <v>67</v>
      </c>
      <c r="S3442">
        <v>28.04</v>
      </c>
      <c r="T3442" t="str">
        <f t="shared" si="320"/>
        <v>Overweight</v>
      </c>
      <c r="U3442">
        <v>58</v>
      </c>
      <c r="V3442">
        <v>79</v>
      </c>
      <c r="W3442" t="str">
        <f t="shared" si="323"/>
        <v>Normal</v>
      </c>
      <c r="X3442">
        <v>1</v>
      </c>
    </row>
    <row r="3443" spans="1:24" ht="14.5" thickBot="1" x14ac:dyDescent="0.35">
      <c r="A3443">
        <v>1</v>
      </c>
      <c r="B3443" t="str">
        <f t="shared" si="321"/>
        <v>Male</v>
      </c>
      <c r="C3443" s="8">
        <v>59</v>
      </c>
      <c r="D3443" t="str">
        <f t="shared" si="322"/>
        <v>Senior</v>
      </c>
      <c r="E3443">
        <v>1</v>
      </c>
      <c r="F3443" t="str">
        <f>HLOOKUP(E3443, LookUP_Table!$A$6:$D$7, 2, FALSE)</f>
        <v>Primary</v>
      </c>
      <c r="G3443" t="str">
        <f>IFERROR(VLOOKUP(E3443, LookUP_Table!$A$1:$B$4, 2, FALSE), "")</f>
        <v>Primary</v>
      </c>
      <c r="H3443">
        <v>1</v>
      </c>
      <c r="I3443">
        <v>43</v>
      </c>
      <c r="J3443" t="str">
        <f t="shared" si="318"/>
        <v>Smoker</v>
      </c>
      <c r="K3443">
        <v>0</v>
      </c>
      <c r="L3443">
        <v>0</v>
      </c>
      <c r="M3443">
        <v>0</v>
      </c>
      <c r="N3443">
        <v>0</v>
      </c>
      <c r="O3443">
        <v>207</v>
      </c>
      <c r="P3443" t="str">
        <f t="shared" si="319"/>
        <v>Normal</v>
      </c>
      <c r="Q3443">
        <v>132.5</v>
      </c>
      <c r="R3443">
        <v>66</v>
      </c>
      <c r="S3443">
        <v>26.84</v>
      </c>
      <c r="T3443" t="str">
        <f t="shared" si="320"/>
        <v>Overweight</v>
      </c>
      <c r="U3443">
        <v>65</v>
      </c>
      <c r="V3443">
        <v>76</v>
      </c>
      <c r="W3443" t="str">
        <f t="shared" si="323"/>
        <v>Normal</v>
      </c>
      <c r="X3443">
        <v>1</v>
      </c>
    </row>
    <row r="3444" spans="1:24" ht="14.5" thickBot="1" x14ac:dyDescent="0.35">
      <c r="A3444">
        <v>0</v>
      </c>
      <c r="B3444" t="str">
        <f t="shared" si="321"/>
        <v>Female</v>
      </c>
      <c r="C3444" s="8">
        <v>59</v>
      </c>
      <c r="D3444" t="str">
        <f t="shared" si="322"/>
        <v>Senior</v>
      </c>
      <c r="E3444">
        <v>1</v>
      </c>
      <c r="F3444" t="str">
        <f>HLOOKUP(E3444, LookUP_Table!$A$6:$D$7, 2, FALSE)</f>
        <v>Primary</v>
      </c>
      <c r="G3444" t="str">
        <f>IFERROR(VLOOKUP(E3444, LookUP_Table!$A$1:$B$4, 2, FALSE), "")</f>
        <v>Primary</v>
      </c>
      <c r="H3444">
        <v>0</v>
      </c>
      <c r="I3444">
        <v>0</v>
      </c>
      <c r="J3444" t="str">
        <f t="shared" si="318"/>
        <v>Non-Smoker</v>
      </c>
      <c r="K3444">
        <v>0</v>
      </c>
      <c r="L3444">
        <v>0</v>
      </c>
      <c r="M3444">
        <v>0</v>
      </c>
      <c r="N3444">
        <v>0</v>
      </c>
      <c r="O3444">
        <v>242</v>
      </c>
      <c r="P3444" t="str">
        <f t="shared" si="319"/>
        <v>High</v>
      </c>
      <c r="Q3444">
        <v>134</v>
      </c>
      <c r="R3444">
        <v>86</v>
      </c>
      <c r="S3444">
        <v>27.49</v>
      </c>
      <c r="T3444" t="str">
        <f t="shared" si="320"/>
        <v>Overweight</v>
      </c>
      <c r="U3444">
        <v>65</v>
      </c>
      <c r="V3444">
        <v>81.96365524402907</v>
      </c>
      <c r="W3444" t="str">
        <f t="shared" si="323"/>
        <v>Normal</v>
      </c>
      <c r="X3444">
        <v>0</v>
      </c>
    </row>
    <row r="3445" spans="1:24" ht="14.5" thickBot="1" x14ac:dyDescent="0.35">
      <c r="A3445">
        <v>0</v>
      </c>
      <c r="B3445" t="str">
        <f t="shared" si="321"/>
        <v>Female</v>
      </c>
      <c r="C3445" s="8">
        <v>59</v>
      </c>
      <c r="D3445" t="str">
        <f t="shared" si="322"/>
        <v>Senior</v>
      </c>
      <c r="E3445">
        <v>3</v>
      </c>
      <c r="F3445" t="str">
        <f>HLOOKUP(E3445, LookUP_Table!$A$6:$D$7, 2, FALSE)</f>
        <v>Graduate</v>
      </c>
      <c r="G3445" t="str">
        <f>IFERROR(VLOOKUP(E3445, LookUP_Table!$A$1:$B$4, 2, FALSE), "")</f>
        <v>Graduate</v>
      </c>
      <c r="H3445">
        <v>0</v>
      </c>
      <c r="I3445">
        <v>0</v>
      </c>
      <c r="J3445" t="str">
        <f t="shared" si="318"/>
        <v>Non-Smoker</v>
      </c>
      <c r="K3445">
        <v>0</v>
      </c>
      <c r="L3445">
        <v>0</v>
      </c>
      <c r="M3445">
        <v>0</v>
      </c>
      <c r="N3445">
        <v>0</v>
      </c>
      <c r="O3445">
        <v>271</v>
      </c>
      <c r="P3445" t="str">
        <f t="shared" si="319"/>
        <v>High</v>
      </c>
      <c r="Q3445">
        <v>117.5</v>
      </c>
      <c r="R3445">
        <v>65</v>
      </c>
      <c r="S3445">
        <v>19.77</v>
      </c>
      <c r="T3445" t="str">
        <f t="shared" si="320"/>
        <v>Normal</v>
      </c>
      <c r="U3445">
        <v>70</v>
      </c>
      <c r="V3445">
        <v>89</v>
      </c>
      <c r="W3445" t="str">
        <f t="shared" si="323"/>
        <v>Normal</v>
      </c>
      <c r="X3445">
        <v>1</v>
      </c>
    </row>
    <row r="3446" spans="1:24" ht="14.5" thickBot="1" x14ac:dyDescent="0.35">
      <c r="A3446">
        <v>0</v>
      </c>
      <c r="B3446" t="str">
        <f t="shared" si="321"/>
        <v>Female</v>
      </c>
      <c r="C3446" s="8">
        <v>59</v>
      </c>
      <c r="D3446" t="str">
        <f t="shared" si="322"/>
        <v>Senior</v>
      </c>
      <c r="E3446">
        <v>2</v>
      </c>
      <c r="F3446" t="str">
        <f>HLOOKUP(E3446, LookUP_Table!$A$6:$D$7, 2, FALSE)</f>
        <v>Secondary</v>
      </c>
      <c r="G3446" t="str">
        <f>IFERROR(VLOOKUP(E3446, LookUP_Table!$A$1:$B$4, 2, FALSE), "")</f>
        <v>Secondary</v>
      </c>
      <c r="H3446">
        <v>0</v>
      </c>
      <c r="I3446">
        <v>0</v>
      </c>
      <c r="J3446" t="str">
        <f t="shared" si="318"/>
        <v>Non-Smoker</v>
      </c>
      <c r="K3446">
        <v>0</v>
      </c>
      <c r="L3446">
        <v>0</v>
      </c>
      <c r="M3446">
        <v>1</v>
      </c>
      <c r="N3446">
        <v>0</v>
      </c>
      <c r="O3446">
        <v>320</v>
      </c>
      <c r="P3446" t="str">
        <f t="shared" si="319"/>
        <v>High</v>
      </c>
      <c r="Q3446">
        <v>182</v>
      </c>
      <c r="R3446">
        <v>98</v>
      </c>
      <c r="S3446">
        <v>30.28</v>
      </c>
      <c r="T3446" t="str">
        <f t="shared" si="320"/>
        <v>Obese</v>
      </c>
      <c r="U3446">
        <v>88</v>
      </c>
      <c r="V3446">
        <v>81.96365524402907</v>
      </c>
      <c r="W3446" t="str">
        <f t="shared" si="323"/>
        <v>Normal</v>
      </c>
      <c r="X3446">
        <v>1</v>
      </c>
    </row>
    <row r="3447" spans="1:24" ht="14.5" thickBot="1" x14ac:dyDescent="0.35">
      <c r="A3447">
        <v>1</v>
      </c>
      <c r="B3447" t="str">
        <f t="shared" si="321"/>
        <v>Male</v>
      </c>
      <c r="C3447" s="8">
        <v>59</v>
      </c>
      <c r="D3447" t="str">
        <f t="shared" si="322"/>
        <v>Senior</v>
      </c>
      <c r="E3447">
        <v>1</v>
      </c>
      <c r="F3447" t="str">
        <f>HLOOKUP(E3447, LookUP_Table!$A$6:$D$7, 2, FALSE)</f>
        <v>Primary</v>
      </c>
      <c r="G3447" t="str">
        <f>IFERROR(VLOOKUP(E3447, LookUP_Table!$A$1:$B$4, 2, FALSE), "")</f>
        <v>Primary</v>
      </c>
      <c r="H3447">
        <v>0</v>
      </c>
      <c r="I3447">
        <v>0</v>
      </c>
      <c r="J3447" t="str">
        <f t="shared" si="318"/>
        <v>Non-Smoker</v>
      </c>
      <c r="K3447">
        <v>0</v>
      </c>
      <c r="L3447">
        <v>0</v>
      </c>
      <c r="M3447">
        <v>0</v>
      </c>
      <c r="N3447">
        <v>0</v>
      </c>
      <c r="O3447">
        <v>300</v>
      </c>
      <c r="P3447" t="str">
        <f t="shared" si="319"/>
        <v>High</v>
      </c>
      <c r="Q3447">
        <v>163</v>
      </c>
      <c r="R3447">
        <v>78</v>
      </c>
      <c r="S3447">
        <v>28.83</v>
      </c>
      <c r="T3447" t="str">
        <f t="shared" si="320"/>
        <v>Overweight</v>
      </c>
      <c r="U3447">
        <v>53</v>
      </c>
      <c r="V3447">
        <v>95</v>
      </c>
      <c r="W3447" t="str">
        <f t="shared" si="323"/>
        <v>Normal</v>
      </c>
      <c r="X3447">
        <v>1</v>
      </c>
    </row>
    <row r="3448" spans="1:24" ht="14.5" thickBot="1" x14ac:dyDescent="0.35">
      <c r="A3448">
        <v>1</v>
      </c>
      <c r="B3448" t="str">
        <f t="shared" si="321"/>
        <v>Male</v>
      </c>
      <c r="C3448" s="8">
        <v>59</v>
      </c>
      <c r="D3448" t="str">
        <f t="shared" si="322"/>
        <v>Senior</v>
      </c>
      <c r="E3448">
        <v>2</v>
      </c>
      <c r="F3448" t="str">
        <f>HLOOKUP(E3448, LookUP_Table!$A$6:$D$7, 2, FALSE)</f>
        <v>Secondary</v>
      </c>
      <c r="G3448" t="str">
        <f>IFERROR(VLOOKUP(E3448, LookUP_Table!$A$1:$B$4, 2, FALSE), "")</f>
        <v>Secondary</v>
      </c>
      <c r="H3448">
        <v>0</v>
      </c>
      <c r="I3448">
        <v>0</v>
      </c>
      <c r="J3448" t="str">
        <f t="shared" si="318"/>
        <v>Non-Smoker</v>
      </c>
      <c r="K3448">
        <v>0</v>
      </c>
      <c r="L3448">
        <v>0</v>
      </c>
      <c r="M3448">
        <v>1</v>
      </c>
      <c r="N3448">
        <v>0</v>
      </c>
      <c r="O3448">
        <v>207</v>
      </c>
      <c r="P3448" t="str">
        <f t="shared" si="319"/>
        <v>Normal</v>
      </c>
      <c r="Q3448">
        <v>148</v>
      </c>
      <c r="R3448">
        <v>98</v>
      </c>
      <c r="S3448">
        <v>25.63</v>
      </c>
      <c r="T3448" t="str">
        <f t="shared" si="320"/>
        <v>Overweight</v>
      </c>
      <c r="U3448">
        <v>80</v>
      </c>
      <c r="V3448">
        <v>93</v>
      </c>
      <c r="W3448" t="str">
        <f t="shared" si="323"/>
        <v>Normal</v>
      </c>
      <c r="X3448">
        <v>0</v>
      </c>
    </row>
    <row r="3449" spans="1:24" ht="14.5" thickBot="1" x14ac:dyDescent="0.35">
      <c r="A3449">
        <v>0</v>
      </c>
      <c r="B3449" t="str">
        <f t="shared" si="321"/>
        <v>Female</v>
      </c>
      <c r="C3449" s="8">
        <v>59</v>
      </c>
      <c r="D3449" t="str">
        <f t="shared" si="322"/>
        <v>Senior</v>
      </c>
      <c r="E3449">
        <v>2</v>
      </c>
      <c r="F3449" t="str">
        <f>HLOOKUP(E3449, LookUP_Table!$A$6:$D$7, 2, FALSE)</f>
        <v>Secondary</v>
      </c>
      <c r="G3449" t="str">
        <f>IFERROR(VLOOKUP(E3449, LookUP_Table!$A$1:$B$4, 2, FALSE), "")</f>
        <v>Secondary</v>
      </c>
      <c r="H3449">
        <v>1</v>
      </c>
      <c r="I3449">
        <v>20</v>
      </c>
      <c r="J3449" t="str">
        <f t="shared" si="318"/>
        <v>Smoker</v>
      </c>
      <c r="K3449">
        <v>0</v>
      </c>
      <c r="L3449">
        <v>0</v>
      </c>
      <c r="M3449">
        <v>1</v>
      </c>
      <c r="N3449">
        <v>0</v>
      </c>
      <c r="O3449">
        <v>206</v>
      </c>
      <c r="P3449" t="str">
        <f t="shared" si="319"/>
        <v>Normal</v>
      </c>
      <c r="Q3449">
        <v>167</v>
      </c>
      <c r="R3449">
        <v>89.5</v>
      </c>
      <c r="S3449">
        <v>25.83</v>
      </c>
      <c r="T3449" t="str">
        <f t="shared" si="320"/>
        <v>Overweight</v>
      </c>
      <c r="U3449">
        <v>72</v>
      </c>
      <c r="V3449">
        <v>75</v>
      </c>
      <c r="W3449" t="str">
        <f t="shared" si="323"/>
        <v>Normal</v>
      </c>
      <c r="X3449">
        <v>1</v>
      </c>
    </row>
    <row r="3450" spans="1:24" ht="14.5" thickBot="1" x14ac:dyDescent="0.35">
      <c r="A3450">
        <v>0</v>
      </c>
      <c r="B3450" t="str">
        <f t="shared" si="321"/>
        <v>Female</v>
      </c>
      <c r="C3450" s="8">
        <v>59</v>
      </c>
      <c r="D3450" t="str">
        <f t="shared" si="322"/>
        <v>Senior</v>
      </c>
      <c r="E3450">
        <v>1</v>
      </c>
      <c r="F3450" t="str">
        <f>HLOOKUP(E3450, LookUP_Table!$A$6:$D$7, 2, FALSE)</f>
        <v>Primary</v>
      </c>
      <c r="G3450" t="str">
        <f>IFERROR(VLOOKUP(E3450, LookUP_Table!$A$1:$B$4, 2, FALSE), "")</f>
        <v>Primary</v>
      </c>
      <c r="H3450">
        <v>0</v>
      </c>
      <c r="I3450">
        <v>0</v>
      </c>
      <c r="J3450" t="str">
        <f t="shared" si="318"/>
        <v>Non-Smoker</v>
      </c>
      <c r="K3450">
        <v>0</v>
      </c>
      <c r="L3450">
        <v>0</v>
      </c>
      <c r="M3450">
        <v>0</v>
      </c>
      <c r="N3450">
        <v>0</v>
      </c>
      <c r="O3450">
        <v>278</v>
      </c>
      <c r="P3450" t="str">
        <f t="shared" si="319"/>
        <v>High</v>
      </c>
      <c r="Q3450">
        <v>141</v>
      </c>
      <c r="R3450">
        <v>79</v>
      </c>
      <c r="S3450">
        <v>26.45</v>
      </c>
      <c r="T3450" t="str">
        <f t="shared" si="320"/>
        <v>Overweight</v>
      </c>
      <c r="U3450">
        <v>70</v>
      </c>
      <c r="V3450">
        <v>94</v>
      </c>
      <c r="W3450" t="str">
        <f t="shared" si="323"/>
        <v>Normal</v>
      </c>
      <c r="X3450">
        <v>0</v>
      </c>
    </row>
    <row r="3451" spans="1:24" ht="14.5" thickBot="1" x14ac:dyDescent="0.35">
      <c r="A3451">
        <v>1</v>
      </c>
      <c r="B3451" t="str">
        <f t="shared" si="321"/>
        <v>Male</v>
      </c>
      <c r="C3451" s="8">
        <v>59</v>
      </c>
      <c r="D3451" t="str">
        <f t="shared" si="322"/>
        <v>Senior</v>
      </c>
      <c r="E3451">
        <v>1</v>
      </c>
      <c r="F3451" t="str">
        <f>HLOOKUP(E3451, LookUP_Table!$A$6:$D$7, 2, FALSE)</f>
        <v>Primary</v>
      </c>
      <c r="G3451" t="str">
        <f>IFERROR(VLOOKUP(E3451, LookUP_Table!$A$1:$B$4, 2, FALSE), "")</f>
        <v>Primary</v>
      </c>
      <c r="H3451">
        <v>1</v>
      </c>
      <c r="I3451">
        <v>60</v>
      </c>
      <c r="J3451" t="str">
        <f t="shared" si="318"/>
        <v>Smoker</v>
      </c>
      <c r="K3451">
        <v>0</v>
      </c>
      <c r="L3451">
        <v>0</v>
      </c>
      <c r="M3451">
        <v>1</v>
      </c>
      <c r="N3451">
        <v>0</v>
      </c>
      <c r="O3451">
        <v>298</v>
      </c>
      <c r="P3451" t="str">
        <f t="shared" si="319"/>
        <v>High</v>
      </c>
      <c r="Q3451">
        <v>153.5</v>
      </c>
      <c r="R3451">
        <v>105</v>
      </c>
      <c r="S3451">
        <v>25.05</v>
      </c>
      <c r="T3451" t="str">
        <f t="shared" si="320"/>
        <v>Overweight</v>
      </c>
      <c r="U3451">
        <v>70</v>
      </c>
      <c r="V3451">
        <v>84</v>
      </c>
      <c r="W3451" t="str">
        <f t="shared" si="323"/>
        <v>Normal</v>
      </c>
      <c r="X3451">
        <v>0</v>
      </c>
    </row>
    <row r="3452" spans="1:24" ht="14.5" thickBot="1" x14ac:dyDescent="0.35">
      <c r="A3452">
        <v>0</v>
      </c>
      <c r="B3452" t="str">
        <f t="shared" si="321"/>
        <v>Female</v>
      </c>
      <c r="C3452" s="8">
        <v>59</v>
      </c>
      <c r="D3452" t="str">
        <f t="shared" si="322"/>
        <v>Senior</v>
      </c>
      <c r="E3452">
        <v>2</v>
      </c>
      <c r="F3452" t="str">
        <f>HLOOKUP(E3452, LookUP_Table!$A$6:$D$7, 2, FALSE)</f>
        <v>Secondary</v>
      </c>
      <c r="G3452" t="str">
        <f>IFERROR(VLOOKUP(E3452, LookUP_Table!$A$1:$B$4, 2, FALSE), "")</f>
        <v>Secondary</v>
      </c>
      <c r="H3452">
        <v>1</v>
      </c>
      <c r="I3452">
        <v>15</v>
      </c>
      <c r="J3452" t="str">
        <f t="shared" si="318"/>
        <v>Smoker</v>
      </c>
      <c r="K3452">
        <v>0</v>
      </c>
      <c r="L3452">
        <v>0</v>
      </c>
      <c r="M3452">
        <v>1</v>
      </c>
      <c r="N3452">
        <v>0</v>
      </c>
      <c r="O3452">
        <v>167</v>
      </c>
      <c r="P3452" t="str">
        <f t="shared" si="319"/>
        <v>Normal</v>
      </c>
      <c r="Q3452">
        <v>156</v>
      </c>
      <c r="R3452">
        <v>104</v>
      </c>
      <c r="S3452">
        <v>15.96</v>
      </c>
      <c r="T3452" t="str">
        <f t="shared" si="320"/>
        <v>Underweight</v>
      </c>
      <c r="U3452">
        <v>72</v>
      </c>
      <c r="V3452">
        <v>45</v>
      </c>
      <c r="W3452" t="str">
        <f t="shared" si="323"/>
        <v>Normal</v>
      </c>
      <c r="X3452">
        <v>1</v>
      </c>
    </row>
    <row r="3453" spans="1:24" ht="14.5" thickBot="1" x14ac:dyDescent="0.35">
      <c r="A3453">
        <v>0</v>
      </c>
      <c r="B3453" t="str">
        <f t="shared" si="321"/>
        <v>Female</v>
      </c>
      <c r="C3453" s="8">
        <v>59</v>
      </c>
      <c r="D3453" t="str">
        <f t="shared" si="322"/>
        <v>Senior</v>
      </c>
      <c r="E3453">
        <v>4</v>
      </c>
      <c r="F3453" t="str">
        <f>HLOOKUP(E3453, LookUP_Table!$A$6:$D$7, 2, FALSE)</f>
        <v>Post Graduate</v>
      </c>
      <c r="G3453" t="str">
        <f>IFERROR(VLOOKUP(E3453, LookUP_Table!$A$1:$B$4, 2, FALSE), "")</f>
        <v>Post Graduate</v>
      </c>
      <c r="H3453">
        <v>0</v>
      </c>
      <c r="I3453">
        <v>0</v>
      </c>
      <c r="J3453" t="str">
        <f t="shared" si="318"/>
        <v>Non-Smoker</v>
      </c>
      <c r="K3453">
        <v>0</v>
      </c>
      <c r="L3453">
        <v>0</v>
      </c>
      <c r="M3453">
        <v>1</v>
      </c>
      <c r="N3453">
        <v>0</v>
      </c>
      <c r="O3453">
        <v>240</v>
      </c>
      <c r="P3453" t="str">
        <f t="shared" si="319"/>
        <v>Normal</v>
      </c>
      <c r="Q3453">
        <v>195</v>
      </c>
      <c r="R3453">
        <v>118</v>
      </c>
      <c r="S3453">
        <v>23.82</v>
      </c>
      <c r="T3453" t="str">
        <f t="shared" si="320"/>
        <v>Normal</v>
      </c>
      <c r="U3453">
        <v>80</v>
      </c>
      <c r="V3453">
        <v>73</v>
      </c>
      <c r="W3453" t="str">
        <f t="shared" si="323"/>
        <v>Normal</v>
      </c>
      <c r="X3453">
        <v>0</v>
      </c>
    </row>
    <row r="3454" spans="1:24" ht="14.5" thickBot="1" x14ac:dyDescent="0.35">
      <c r="A3454">
        <v>1</v>
      </c>
      <c r="B3454" t="str">
        <f t="shared" si="321"/>
        <v>Male</v>
      </c>
      <c r="C3454" s="8">
        <v>59</v>
      </c>
      <c r="D3454" t="str">
        <f t="shared" si="322"/>
        <v>Senior</v>
      </c>
      <c r="E3454">
        <v>2</v>
      </c>
      <c r="F3454" t="str">
        <f>HLOOKUP(E3454, LookUP_Table!$A$6:$D$7, 2, FALSE)</f>
        <v>Secondary</v>
      </c>
      <c r="G3454" t="str">
        <f>IFERROR(VLOOKUP(E3454, LookUP_Table!$A$1:$B$4, 2, FALSE), "")</f>
        <v>Secondary</v>
      </c>
      <c r="H3454">
        <v>0</v>
      </c>
      <c r="I3454">
        <v>0</v>
      </c>
      <c r="J3454" t="str">
        <f t="shared" si="318"/>
        <v>Non-Smoker</v>
      </c>
      <c r="K3454">
        <v>0</v>
      </c>
      <c r="L3454">
        <v>0</v>
      </c>
      <c r="M3454">
        <v>1</v>
      </c>
      <c r="N3454">
        <v>0</v>
      </c>
      <c r="O3454">
        <v>237</v>
      </c>
      <c r="P3454" t="str">
        <f t="shared" si="319"/>
        <v>Normal</v>
      </c>
      <c r="Q3454">
        <v>153.5</v>
      </c>
      <c r="R3454">
        <v>85</v>
      </c>
      <c r="S3454">
        <v>28.45</v>
      </c>
      <c r="T3454" t="str">
        <f t="shared" si="320"/>
        <v>Overweight</v>
      </c>
      <c r="U3454">
        <v>51</v>
      </c>
      <c r="V3454">
        <v>81.96365524402907</v>
      </c>
      <c r="W3454" t="str">
        <f t="shared" si="323"/>
        <v>Normal</v>
      </c>
      <c r="X3454">
        <v>0</v>
      </c>
    </row>
    <row r="3455" spans="1:24" ht="14.5" thickBot="1" x14ac:dyDescent="0.35">
      <c r="A3455">
        <v>0</v>
      </c>
      <c r="B3455" t="str">
        <f t="shared" si="321"/>
        <v>Female</v>
      </c>
      <c r="C3455" s="8">
        <v>59</v>
      </c>
      <c r="D3455" t="str">
        <f t="shared" si="322"/>
        <v>Senior</v>
      </c>
      <c r="E3455">
        <v>1</v>
      </c>
      <c r="F3455" t="str">
        <f>HLOOKUP(E3455, LookUP_Table!$A$6:$D$7, 2, FALSE)</f>
        <v>Primary</v>
      </c>
      <c r="G3455" t="str">
        <f>IFERROR(VLOOKUP(E3455, LookUP_Table!$A$1:$B$4, 2, FALSE), "")</f>
        <v>Primary</v>
      </c>
      <c r="H3455">
        <v>0</v>
      </c>
      <c r="I3455">
        <v>0</v>
      </c>
      <c r="J3455" t="str">
        <f t="shared" si="318"/>
        <v>Non-Smoker</v>
      </c>
      <c r="K3455">
        <v>0</v>
      </c>
      <c r="L3455">
        <v>0</v>
      </c>
      <c r="M3455">
        <v>1</v>
      </c>
      <c r="N3455">
        <v>0</v>
      </c>
      <c r="O3455">
        <v>236.69952267303103</v>
      </c>
      <c r="P3455" t="str">
        <f t="shared" si="319"/>
        <v>Normal</v>
      </c>
      <c r="Q3455">
        <v>153.5</v>
      </c>
      <c r="R3455">
        <v>89.5</v>
      </c>
      <c r="S3455">
        <v>26.08</v>
      </c>
      <c r="T3455" t="str">
        <f t="shared" si="320"/>
        <v>Overweight</v>
      </c>
      <c r="U3455">
        <v>71</v>
      </c>
      <c r="V3455">
        <v>113</v>
      </c>
      <c r="W3455" t="str">
        <f t="shared" si="323"/>
        <v>Prediabetes</v>
      </c>
      <c r="X3455">
        <v>0</v>
      </c>
    </row>
    <row r="3456" spans="1:24" ht="14.5" thickBot="1" x14ac:dyDescent="0.35">
      <c r="A3456">
        <v>0</v>
      </c>
      <c r="B3456" t="str">
        <f t="shared" si="321"/>
        <v>Female</v>
      </c>
      <c r="C3456" s="8">
        <v>59</v>
      </c>
      <c r="D3456" t="str">
        <f t="shared" si="322"/>
        <v>Senior</v>
      </c>
      <c r="E3456">
        <v>1</v>
      </c>
      <c r="F3456" t="str">
        <f>HLOOKUP(E3456, LookUP_Table!$A$6:$D$7, 2, FALSE)</f>
        <v>Primary</v>
      </c>
      <c r="G3456" t="str">
        <f>IFERROR(VLOOKUP(E3456, LookUP_Table!$A$1:$B$4, 2, FALSE), "")</f>
        <v>Primary</v>
      </c>
      <c r="H3456">
        <v>0</v>
      </c>
      <c r="I3456">
        <v>0</v>
      </c>
      <c r="J3456" t="str">
        <f t="shared" si="318"/>
        <v>Non-Smoker</v>
      </c>
      <c r="K3456">
        <v>0</v>
      </c>
      <c r="L3456">
        <v>0</v>
      </c>
      <c r="M3456">
        <v>0</v>
      </c>
      <c r="N3456">
        <v>0</v>
      </c>
      <c r="O3456">
        <v>241</v>
      </c>
      <c r="P3456" t="str">
        <f t="shared" si="319"/>
        <v>High</v>
      </c>
      <c r="Q3456">
        <v>120</v>
      </c>
      <c r="R3456">
        <v>73</v>
      </c>
      <c r="S3456">
        <v>23.76</v>
      </c>
      <c r="T3456" t="str">
        <f t="shared" si="320"/>
        <v>Normal</v>
      </c>
      <c r="U3456">
        <v>60</v>
      </c>
      <c r="V3456">
        <v>88</v>
      </c>
      <c r="W3456" t="str">
        <f t="shared" si="323"/>
        <v>Normal</v>
      </c>
      <c r="X3456">
        <v>1</v>
      </c>
    </row>
    <row r="3457" spans="1:24" ht="14.5" thickBot="1" x14ac:dyDescent="0.35">
      <c r="A3457">
        <v>0</v>
      </c>
      <c r="B3457" t="str">
        <f t="shared" si="321"/>
        <v>Female</v>
      </c>
      <c r="C3457" s="8">
        <v>59</v>
      </c>
      <c r="D3457" t="str">
        <f t="shared" si="322"/>
        <v>Senior</v>
      </c>
      <c r="E3457">
        <v>2</v>
      </c>
      <c r="F3457" t="str">
        <f>HLOOKUP(E3457, LookUP_Table!$A$6:$D$7, 2, FALSE)</f>
        <v>Secondary</v>
      </c>
      <c r="G3457" t="str">
        <f>IFERROR(VLOOKUP(E3457, LookUP_Table!$A$1:$B$4, 2, FALSE), "")</f>
        <v>Secondary</v>
      </c>
      <c r="H3457">
        <v>1</v>
      </c>
      <c r="I3457">
        <v>3</v>
      </c>
      <c r="J3457" t="str">
        <f t="shared" si="318"/>
        <v>Smoker</v>
      </c>
      <c r="K3457">
        <v>0</v>
      </c>
      <c r="L3457">
        <v>0</v>
      </c>
      <c r="M3457">
        <v>0</v>
      </c>
      <c r="N3457">
        <v>0</v>
      </c>
      <c r="O3457">
        <v>240</v>
      </c>
      <c r="P3457" t="str">
        <f t="shared" si="319"/>
        <v>Normal</v>
      </c>
      <c r="Q3457">
        <v>122.5</v>
      </c>
      <c r="R3457">
        <v>67.5</v>
      </c>
      <c r="S3457">
        <v>25.4</v>
      </c>
      <c r="T3457" t="str">
        <f t="shared" si="320"/>
        <v>Overweight</v>
      </c>
      <c r="U3457">
        <v>88</v>
      </c>
      <c r="V3457">
        <v>81</v>
      </c>
      <c r="W3457" t="str">
        <f t="shared" si="323"/>
        <v>Normal</v>
      </c>
      <c r="X3457">
        <v>0</v>
      </c>
    </row>
    <row r="3458" spans="1:24" ht="14.5" thickBot="1" x14ac:dyDescent="0.35">
      <c r="A3458">
        <v>0</v>
      </c>
      <c r="B3458" t="str">
        <f t="shared" si="321"/>
        <v>Female</v>
      </c>
      <c r="C3458" s="8">
        <v>59</v>
      </c>
      <c r="D3458" t="str">
        <f t="shared" si="322"/>
        <v>Senior</v>
      </c>
      <c r="E3458">
        <v>2</v>
      </c>
      <c r="F3458" t="str">
        <f>HLOOKUP(E3458, LookUP_Table!$A$6:$D$7, 2, FALSE)</f>
        <v>Secondary</v>
      </c>
      <c r="G3458" t="str">
        <f>IFERROR(VLOOKUP(E3458, LookUP_Table!$A$1:$B$4, 2, FALSE), "")</f>
        <v>Secondary</v>
      </c>
      <c r="H3458">
        <v>0</v>
      </c>
      <c r="I3458">
        <v>0</v>
      </c>
      <c r="J3458" t="str">
        <f t="shared" ref="J3458:J3521" si="324">IF(I3458&gt;0,"Smoker","Non-Smoker")</f>
        <v>Non-Smoker</v>
      </c>
      <c r="K3458">
        <v>1</v>
      </c>
      <c r="L3458">
        <v>0</v>
      </c>
      <c r="M3458">
        <v>1</v>
      </c>
      <c r="N3458">
        <v>0</v>
      </c>
      <c r="O3458">
        <v>264</v>
      </c>
      <c r="P3458" t="str">
        <f t="shared" ref="P3458:P3521" si="325">IF(O3458&gt;240,"High","Normal")</f>
        <v>High</v>
      </c>
      <c r="Q3458">
        <v>244</v>
      </c>
      <c r="R3458">
        <v>124</v>
      </c>
      <c r="S3458">
        <v>19.61</v>
      </c>
      <c r="T3458" t="str">
        <f t="shared" ref="T3458:T3521" si="326">IF(S3458&lt;18.5,"Underweight",
IF(S3458&lt;25,"Normal",
IF(S3458&lt;30,"Overweight","Obese")))</f>
        <v>Normal</v>
      </c>
      <c r="U3458">
        <v>76</v>
      </c>
      <c r="V3458">
        <v>120</v>
      </c>
      <c r="W3458" t="str">
        <f t="shared" si="323"/>
        <v>Prediabetes</v>
      </c>
      <c r="X3458">
        <v>1</v>
      </c>
    </row>
    <row r="3459" spans="1:24" ht="14.5" thickBot="1" x14ac:dyDescent="0.35">
      <c r="A3459">
        <v>0</v>
      </c>
      <c r="B3459" t="str">
        <f t="shared" ref="B3459:B3522" si="327">IF(A3459=0,"Female","Male")</f>
        <v>Female</v>
      </c>
      <c r="C3459" s="8">
        <v>59</v>
      </c>
      <c r="D3459" t="str">
        <f t="shared" ref="D3459:D3522" si="328">IF(C3459&lt;40,"Young",
IF(C3459&lt;55,"Middle Age","Senior"))</f>
        <v>Senior</v>
      </c>
      <c r="E3459">
        <v>1</v>
      </c>
      <c r="F3459" t="str">
        <f>HLOOKUP(E3459, LookUP_Table!$A$6:$D$7, 2, FALSE)</f>
        <v>Primary</v>
      </c>
      <c r="G3459" t="str">
        <f>IFERROR(VLOOKUP(E3459, LookUP_Table!$A$1:$B$4, 2, FALSE), "")</f>
        <v>Primary</v>
      </c>
      <c r="H3459">
        <v>0</v>
      </c>
      <c r="I3459">
        <v>0</v>
      </c>
      <c r="J3459" t="str">
        <f t="shared" si="324"/>
        <v>Non-Smoker</v>
      </c>
      <c r="K3459">
        <v>0</v>
      </c>
      <c r="L3459">
        <v>0</v>
      </c>
      <c r="M3459">
        <v>0</v>
      </c>
      <c r="N3459">
        <v>0</v>
      </c>
      <c r="O3459">
        <v>249</v>
      </c>
      <c r="P3459" t="str">
        <f t="shared" si="325"/>
        <v>High</v>
      </c>
      <c r="Q3459">
        <v>139</v>
      </c>
      <c r="R3459">
        <v>79.5</v>
      </c>
      <c r="S3459">
        <v>23.28</v>
      </c>
      <c r="T3459" t="str">
        <f t="shared" si="326"/>
        <v>Normal</v>
      </c>
      <c r="U3459">
        <v>94</v>
      </c>
      <c r="V3459">
        <v>81.96365524402907</v>
      </c>
      <c r="W3459" t="str">
        <f t="shared" ref="W3459:W3522" si="329">IF(V3459 &lt; 100, "Normal", IF(V3459 &lt;= 125, "Prediabetes", "Diabetes"))</f>
        <v>Normal</v>
      </c>
      <c r="X3459">
        <v>0</v>
      </c>
    </row>
    <row r="3460" spans="1:24" ht="14.5" thickBot="1" x14ac:dyDescent="0.35">
      <c r="A3460">
        <v>1</v>
      </c>
      <c r="B3460" t="str">
        <f t="shared" si="327"/>
        <v>Male</v>
      </c>
      <c r="C3460" s="8">
        <v>59</v>
      </c>
      <c r="D3460" t="str">
        <f t="shared" si="328"/>
        <v>Senior</v>
      </c>
      <c r="E3460">
        <v>2</v>
      </c>
      <c r="F3460" t="str">
        <f>HLOOKUP(E3460, LookUP_Table!$A$6:$D$7, 2, FALSE)</f>
        <v>Secondary</v>
      </c>
      <c r="G3460" t="str">
        <f>IFERROR(VLOOKUP(E3460, LookUP_Table!$A$1:$B$4, 2, FALSE), "")</f>
        <v>Secondary</v>
      </c>
      <c r="H3460">
        <v>1</v>
      </c>
      <c r="I3460">
        <v>11</v>
      </c>
      <c r="J3460" t="str">
        <f t="shared" si="324"/>
        <v>Smoker</v>
      </c>
      <c r="K3460">
        <v>0</v>
      </c>
      <c r="L3460">
        <v>0</v>
      </c>
      <c r="M3460">
        <v>0</v>
      </c>
      <c r="N3460">
        <v>0</v>
      </c>
      <c r="O3460">
        <v>176</v>
      </c>
      <c r="P3460" t="str">
        <f t="shared" si="325"/>
        <v>Normal</v>
      </c>
      <c r="Q3460">
        <v>134.5</v>
      </c>
      <c r="R3460">
        <v>87</v>
      </c>
      <c r="S3460">
        <v>31.76</v>
      </c>
      <c r="T3460" t="str">
        <f t="shared" si="326"/>
        <v>Obese</v>
      </c>
      <c r="U3460">
        <v>80</v>
      </c>
      <c r="V3460">
        <v>93</v>
      </c>
      <c r="W3460" t="str">
        <f t="shared" si="329"/>
        <v>Normal</v>
      </c>
      <c r="X3460">
        <v>0</v>
      </c>
    </row>
    <row r="3461" spans="1:24" ht="14.5" thickBot="1" x14ac:dyDescent="0.35">
      <c r="A3461">
        <v>0</v>
      </c>
      <c r="B3461" t="str">
        <f t="shared" si="327"/>
        <v>Female</v>
      </c>
      <c r="C3461" s="8">
        <v>59</v>
      </c>
      <c r="D3461" t="str">
        <f t="shared" si="328"/>
        <v>Senior</v>
      </c>
      <c r="E3461">
        <v>1</v>
      </c>
      <c r="F3461" t="str">
        <f>HLOOKUP(E3461, LookUP_Table!$A$6:$D$7, 2, FALSE)</f>
        <v>Primary</v>
      </c>
      <c r="G3461" t="str">
        <f>IFERROR(VLOOKUP(E3461, LookUP_Table!$A$1:$B$4, 2, FALSE), "")</f>
        <v>Primary</v>
      </c>
      <c r="H3461">
        <v>0</v>
      </c>
      <c r="I3461">
        <v>0</v>
      </c>
      <c r="J3461" t="str">
        <f t="shared" si="324"/>
        <v>Non-Smoker</v>
      </c>
      <c r="K3461">
        <v>0</v>
      </c>
      <c r="L3461">
        <v>0</v>
      </c>
      <c r="M3461">
        <v>0</v>
      </c>
      <c r="N3461">
        <v>0</v>
      </c>
      <c r="O3461">
        <v>250</v>
      </c>
      <c r="P3461" t="str">
        <f t="shared" si="325"/>
        <v>High</v>
      </c>
      <c r="Q3461">
        <v>127.5</v>
      </c>
      <c r="R3461">
        <v>80</v>
      </c>
      <c r="S3461">
        <v>29.16</v>
      </c>
      <c r="T3461" t="str">
        <f t="shared" si="326"/>
        <v>Overweight</v>
      </c>
      <c r="U3461">
        <v>92</v>
      </c>
      <c r="V3461">
        <v>108</v>
      </c>
      <c r="W3461" t="str">
        <f t="shared" si="329"/>
        <v>Prediabetes</v>
      </c>
      <c r="X3461">
        <v>1</v>
      </c>
    </row>
    <row r="3462" spans="1:24" ht="14.5" thickBot="1" x14ac:dyDescent="0.35">
      <c r="A3462">
        <v>1</v>
      </c>
      <c r="B3462" t="str">
        <f t="shared" si="327"/>
        <v>Male</v>
      </c>
      <c r="C3462" s="8">
        <v>59</v>
      </c>
      <c r="D3462" t="str">
        <f t="shared" si="328"/>
        <v>Senior</v>
      </c>
      <c r="E3462">
        <v>3</v>
      </c>
      <c r="F3462" t="str">
        <f>HLOOKUP(E3462, LookUP_Table!$A$6:$D$7, 2, FALSE)</f>
        <v>Graduate</v>
      </c>
      <c r="G3462" t="str">
        <f>IFERROR(VLOOKUP(E3462, LookUP_Table!$A$1:$B$4, 2, FALSE), "")</f>
        <v>Graduate</v>
      </c>
      <c r="H3462">
        <v>0</v>
      </c>
      <c r="I3462">
        <v>0</v>
      </c>
      <c r="J3462" t="str">
        <f t="shared" si="324"/>
        <v>Non-Smoker</v>
      </c>
      <c r="K3462">
        <v>0</v>
      </c>
      <c r="L3462">
        <v>0</v>
      </c>
      <c r="M3462">
        <v>0</v>
      </c>
      <c r="N3462">
        <v>0</v>
      </c>
      <c r="O3462">
        <v>236</v>
      </c>
      <c r="P3462" t="str">
        <f t="shared" si="325"/>
        <v>Normal</v>
      </c>
      <c r="Q3462">
        <v>127</v>
      </c>
      <c r="R3462">
        <v>83</v>
      </c>
      <c r="S3462">
        <v>26.53</v>
      </c>
      <c r="T3462" t="str">
        <f t="shared" si="326"/>
        <v>Overweight</v>
      </c>
      <c r="U3462">
        <v>57</v>
      </c>
      <c r="V3462">
        <v>86</v>
      </c>
      <c r="W3462" t="str">
        <f t="shared" si="329"/>
        <v>Normal</v>
      </c>
      <c r="X3462">
        <v>0</v>
      </c>
    </row>
    <row r="3463" spans="1:24" ht="14.5" thickBot="1" x14ac:dyDescent="0.35">
      <c r="A3463">
        <v>0</v>
      </c>
      <c r="B3463" t="str">
        <f t="shared" si="327"/>
        <v>Female</v>
      </c>
      <c r="C3463" s="8">
        <v>59</v>
      </c>
      <c r="D3463" t="str">
        <f t="shared" si="328"/>
        <v>Senior</v>
      </c>
      <c r="E3463">
        <v>3</v>
      </c>
      <c r="F3463" t="str">
        <f>HLOOKUP(E3463, LookUP_Table!$A$6:$D$7, 2, FALSE)</f>
        <v>Graduate</v>
      </c>
      <c r="G3463" t="str">
        <f>IFERROR(VLOOKUP(E3463, LookUP_Table!$A$1:$B$4, 2, FALSE), "")</f>
        <v>Graduate</v>
      </c>
      <c r="H3463">
        <v>0</v>
      </c>
      <c r="I3463">
        <v>0</v>
      </c>
      <c r="J3463" t="str">
        <f t="shared" si="324"/>
        <v>Non-Smoker</v>
      </c>
      <c r="K3463">
        <v>0</v>
      </c>
      <c r="L3463">
        <v>0</v>
      </c>
      <c r="M3463">
        <v>1</v>
      </c>
      <c r="N3463">
        <v>0</v>
      </c>
      <c r="O3463">
        <v>273</v>
      </c>
      <c r="P3463" t="str">
        <f t="shared" si="325"/>
        <v>High</v>
      </c>
      <c r="Q3463">
        <v>145</v>
      </c>
      <c r="R3463">
        <v>90</v>
      </c>
      <c r="S3463">
        <v>23.94</v>
      </c>
      <c r="T3463" t="str">
        <f t="shared" si="326"/>
        <v>Normal</v>
      </c>
      <c r="U3463">
        <v>78</v>
      </c>
      <c r="V3463">
        <v>82</v>
      </c>
      <c r="W3463" t="str">
        <f t="shared" si="329"/>
        <v>Normal</v>
      </c>
      <c r="X3463">
        <v>0</v>
      </c>
    </row>
    <row r="3464" spans="1:24" ht="14.5" thickBot="1" x14ac:dyDescent="0.35">
      <c r="A3464">
        <v>0</v>
      </c>
      <c r="B3464" t="str">
        <f t="shared" si="327"/>
        <v>Female</v>
      </c>
      <c r="C3464" s="8">
        <v>59</v>
      </c>
      <c r="D3464" t="str">
        <f t="shared" si="328"/>
        <v>Senior</v>
      </c>
      <c r="E3464">
        <v>2</v>
      </c>
      <c r="F3464" t="str">
        <f>HLOOKUP(E3464, LookUP_Table!$A$6:$D$7, 2, FALSE)</f>
        <v>Secondary</v>
      </c>
      <c r="G3464" t="str">
        <f>IFERROR(VLOOKUP(E3464, LookUP_Table!$A$1:$B$4, 2, FALSE), "")</f>
        <v>Secondary</v>
      </c>
      <c r="H3464">
        <v>0</v>
      </c>
      <c r="I3464">
        <v>0</v>
      </c>
      <c r="J3464" t="str">
        <f t="shared" si="324"/>
        <v>Non-Smoker</v>
      </c>
      <c r="K3464">
        <v>1</v>
      </c>
      <c r="L3464">
        <v>0</v>
      </c>
      <c r="M3464">
        <v>1</v>
      </c>
      <c r="N3464">
        <v>0</v>
      </c>
      <c r="O3464">
        <v>201</v>
      </c>
      <c r="P3464" t="str">
        <f t="shared" si="325"/>
        <v>Normal</v>
      </c>
      <c r="Q3464">
        <v>148.5</v>
      </c>
      <c r="R3464">
        <v>90</v>
      </c>
      <c r="S3464">
        <v>25.85</v>
      </c>
      <c r="T3464" t="str">
        <f t="shared" si="326"/>
        <v>Overweight</v>
      </c>
      <c r="U3464">
        <v>65</v>
      </c>
      <c r="V3464">
        <v>83</v>
      </c>
      <c r="W3464" t="str">
        <f t="shared" si="329"/>
        <v>Normal</v>
      </c>
      <c r="X3464">
        <v>1</v>
      </c>
    </row>
    <row r="3465" spans="1:24" ht="14.5" thickBot="1" x14ac:dyDescent="0.35">
      <c r="A3465">
        <v>1</v>
      </c>
      <c r="B3465" t="str">
        <f t="shared" si="327"/>
        <v>Male</v>
      </c>
      <c r="C3465" s="8">
        <v>59</v>
      </c>
      <c r="D3465" t="str">
        <f t="shared" si="328"/>
        <v>Senior</v>
      </c>
      <c r="E3465">
        <v>1</v>
      </c>
      <c r="F3465" t="str">
        <f>HLOOKUP(E3465, LookUP_Table!$A$6:$D$7, 2, FALSE)</f>
        <v>Primary</v>
      </c>
      <c r="G3465" t="str">
        <f>IFERROR(VLOOKUP(E3465, LookUP_Table!$A$1:$B$4, 2, FALSE), "")</f>
        <v>Primary</v>
      </c>
      <c r="H3465">
        <v>1</v>
      </c>
      <c r="I3465">
        <v>20</v>
      </c>
      <c r="J3465" t="str">
        <f t="shared" si="324"/>
        <v>Smoker</v>
      </c>
      <c r="K3465">
        <v>0</v>
      </c>
      <c r="L3465">
        <v>0</v>
      </c>
      <c r="M3465">
        <v>0</v>
      </c>
      <c r="N3465">
        <v>0</v>
      </c>
      <c r="O3465">
        <v>190</v>
      </c>
      <c r="P3465" t="str">
        <f t="shared" si="325"/>
        <v>Normal</v>
      </c>
      <c r="Q3465">
        <v>93.5</v>
      </c>
      <c r="R3465">
        <v>69</v>
      </c>
      <c r="S3465">
        <v>27.25</v>
      </c>
      <c r="T3465" t="str">
        <f t="shared" si="326"/>
        <v>Overweight</v>
      </c>
      <c r="U3465">
        <v>68</v>
      </c>
      <c r="V3465">
        <v>74</v>
      </c>
      <c r="W3465" t="str">
        <f t="shared" si="329"/>
        <v>Normal</v>
      </c>
      <c r="X3465">
        <v>0</v>
      </c>
    </row>
    <row r="3466" spans="1:24" ht="14.5" thickBot="1" x14ac:dyDescent="0.35">
      <c r="A3466">
        <v>0</v>
      </c>
      <c r="B3466" t="str">
        <f t="shared" si="327"/>
        <v>Female</v>
      </c>
      <c r="C3466" s="8">
        <v>59</v>
      </c>
      <c r="D3466" t="str">
        <f t="shared" si="328"/>
        <v>Senior</v>
      </c>
      <c r="E3466">
        <v>1</v>
      </c>
      <c r="F3466" t="str">
        <f>HLOOKUP(E3466, LookUP_Table!$A$6:$D$7, 2, FALSE)</f>
        <v>Primary</v>
      </c>
      <c r="G3466" t="str">
        <f>IFERROR(VLOOKUP(E3466, LookUP_Table!$A$1:$B$4, 2, FALSE), "")</f>
        <v>Primary</v>
      </c>
      <c r="H3466">
        <v>0</v>
      </c>
      <c r="I3466">
        <v>0</v>
      </c>
      <c r="J3466" t="str">
        <f t="shared" si="324"/>
        <v>Non-Smoker</v>
      </c>
      <c r="K3466">
        <v>1</v>
      </c>
      <c r="L3466">
        <v>0</v>
      </c>
      <c r="M3466">
        <v>1</v>
      </c>
      <c r="N3466">
        <v>0</v>
      </c>
      <c r="O3466">
        <v>320</v>
      </c>
      <c r="P3466" t="str">
        <f t="shared" si="325"/>
        <v>High</v>
      </c>
      <c r="Q3466">
        <v>187.5</v>
      </c>
      <c r="R3466">
        <v>85.5</v>
      </c>
      <c r="S3466">
        <v>25.33</v>
      </c>
      <c r="T3466" t="str">
        <f t="shared" si="326"/>
        <v>Overweight</v>
      </c>
      <c r="U3466">
        <v>75</v>
      </c>
      <c r="V3466">
        <v>68</v>
      </c>
      <c r="W3466" t="str">
        <f t="shared" si="329"/>
        <v>Normal</v>
      </c>
      <c r="X3466">
        <v>0</v>
      </c>
    </row>
    <row r="3467" spans="1:24" ht="14.5" thickBot="1" x14ac:dyDescent="0.35">
      <c r="A3467">
        <v>1</v>
      </c>
      <c r="B3467" t="str">
        <f t="shared" si="327"/>
        <v>Male</v>
      </c>
      <c r="C3467" s="8">
        <v>59</v>
      </c>
      <c r="D3467" t="str">
        <f t="shared" si="328"/>
        <v>Senior</v>
      </c>
      <c r="E3467">
        <v>1</v>
      </c>
      <c r="F3467" t="str">
        <f>HLOOKUP(E3467, LookUP_Table!$A$6:$D$7, 2, FALSE)</f>
        <v>Primary</v>
      </c>
      <c r="G3467" t="str">
        <f>IFERROR(VLOOKUP(E3467, LookUP_Table!$A$1:$B$4, 2, FALSE), "")</f>
        <v>Primary</v>
      </c>
      <c r="H3467">
        <v>0</v>
      </c>
      <c r="I3467">
        <v>0</v>
      </c>
      <c r="J3467" t="str">
        <f t="shared" si="324"/>
        <v>Non-Smoker</v>
      </c>
      <c r="K3467">
        <v>0</v>
      </c>
      <c r="L3467">
        <v>0</v>
      </c>
      <c r="M3467">
        <v>0</v>
      </c>
      <c r="N3467">
        <v>0</v>
      </c>
      <c r="O3467">
        <v>229</v>
      </c>
      <c r="P3467" t="str">
        <f t="shared" si="325"/>
        <v>Normal</v>
      </c>
      <c r="Q3467">
        <v>100.5</v>
      </c>
      <c r="R3467">
        <v>66</v>
      </c>
      <c r="S3467">
        <v>25.18</v>
      </c>
      <c r="T3467" t="str">
        <f t="shared" si="326"/>
        <v>Overweight</v>
      </c>
      <c r="U3467">
        <v>44</v>
      </c>
      <c r="V3467">
        <v>81</v>
      </c>
      <c r="W3467" t="str">
        <f t="shared" si="329"/>
        <v>Normal</v>
      </c>
      <c r="X3467">
        <v>0</v>
      </c>
    </row>
    <row r="3468" spans="1:24" ht="14.5" thickBot="1" x14ac:dyDescent="0.35">
      <c r="A3468">
        <v>0</v>
      </c>
      <c r="B3468" t="str">
        <f t="shared" si="327"/>
        <v>Female</v>
      </c>
      <c r="C3468" s="8">
        <v>59</v>
      </c>
      <c r="D3468" t="str">
        <f t="shared" si="328"/>
        <v>Senior</v>
      </c>
      <c r="E3468">
        <v>1</v>
      </c>
      <c r="F3468" t="str">
        <f>HLOOKUP(E3468, LookUP_Table!$A$6:$D$7, 2, FALSE)</f>
        <v>Primary</v>
      </c>
      <c r="G3468" t="str">
        <f>IFERROR(VLOOKUP(E3468, LookUP_Table!$A$1:$B$4, 2, FALSE), "")</f>
        <v>Primary</v>
      </c>
      <c r="H3468">
        <v>1</v>
      </c>
      <c r="I3468">
        <v>9</v>
      </c>
      <c r="J3468" t="str">
        <f t="shared" si="324"/>
        <v>Smoker</v>
      </c>
      <c r="K3468">
        <v>0</v>
      </c>
      <c r="L3468">
        <v>0</v>
      </c>
      <c r="M3468">
        <v>0</v>
      </c>
      <c r="N3468">
        <v>0</v>
      </c>
      <c r="O3468">
        <v>184</v>
      </c>
      <c r="P3468" t="str">
        <f t="shared" si="325"/>
        <v>Normal</v>
      </c>
      <c r="Q3468">
        <v>122</v>
      </c>
      <c r="R3468">
        <v>74</v>
      </c>
      <c r="S3468">
        <v>24.66</v>
      </c>
      <c r="T3468" t="str">
        <f t="shared" si="326"/>
        <v>Normal</v>
      </c>
      <c r="U3468">
        <v>78</v>
      </c>
      <c r="V3468">
        <v>67</v>
      </c>
      <c r="W3468" t="str">
        <f t="shared" si="329"/>
        <v>Normal</v>
      </c>
      <c r="X3468">
        <v>0</v>
      </c>
    </row>
    <row r="3469" spans="1:24" ht="14.5" thickBot="1" x14ac:dyDescent="0.35">
      <c r="A3469">
        <v>0</v>
      </c>
      <c r="B3469" t="str">
        <f t="shared" si="327"/>
        <v>Female</v>
      </c>
      <c r="C3469" s="8">
        <v>59</v>
      </c>
      <c r="D3469" t="str">
        <f t="shared" si="328"/>
        <v>Senior</v>
      </c>
      <c r="E3469">
        <v>1</v>
      </c>
      <c r="F3469" t="str">
        <f>HLOOKUP(E3469, LookUP_Table!$A$6:$D$7, 2, FALSE)</f>
        <v>Primary</v>
      </c>
      <c r="G3469" t="str">
        <f>IFERROR(VLOOKUP(E3469, LookUP_Table!$A$1:$B$4, 2, FALSE), "")</f>
        <v>Primary</v>
      </c>
      <c r="H3469">
        <v>1</v>
      </c>
      <c r="I3469">
        <v>20</v>
      </c>
      <c r="J3469" t="str">
        <f t="shared" si="324"/>
        <v>Smoker</v>
      </c>
      <c r="K3469">
        <v>0</v>
      </c>
      <c r="L3469">
        <v>0</v>
      </c>
      <c r="M3469">
        <v>1</v>
      </c>
      <c r="N3469">
        <v>0</v>
      </c>
      <c r="O3469">
        <v>270</v>
      </c>
      <c r="P3469" t="str">
        <f t="shared" si="325"/>
        <v>High</v>
      </c>
      <c r="Q3469">
        <v>175</v>
      </c>
      <c r="R3469">
        <v>95</v>
      </c>
      <c r="S3469">
        <v>29.69</v>
      </c>
      <c r="T3469" t="str">
        <f t="shared" si="326"/>
        <v>Overweight</v>
      </c>
      <c r="U3469">
        <v>95</v>
      </c>
      <c r="V3469">
        <v>76</v>
      </c>
      <c r="W3469" t="str">
        <f t="shared" si="329"/>
        <v>Normal</v>
      </c>
      <c r="X3469">
        <v>0</v>
      </c>
    </row>
    <row r="3470" spans="1:24" ht="14.5" thickBot="1" x14ac:dyDescent="0.35">
      <c r="A3470">
        <v>1</v>
      </c>
      <c r="B3470" t="str">
        <f t="shared" si="327"/>
        <v>Male</v>
      </c>
      <c r="C3470" s="8">
        <v>59</v>
      </c>
      <c r="D3470" t="str">
        <f t="shared" si="328"/>
        <v>Senior</v>
      </c>
      <c r="E3470">
        <v>1</v>
      </c>
      <c r="F3470" t="str">
        <f>HLOOKUP(E3470, LookUP_Table!$A$6:$D$7, 2, FALSE)</f>
        <v>Primary</v>
      </c>
      <c r="G3470" t="str">
        <f>IFERROR(VLOOKUP(E3470, LookUP_Table!$A$1:$B$4, 2, FALSE), "")</f>
        <v>Primary</v>
      </c>
      <c r="H3470">
        <v>1</v>
      </c>
      <c r="I3470">
        <v>20</v>
      </c>
      <c r="J3470" t="str">
        <f t="shared" si="324"/>
        <v>Smoker</v>
      </c>
      <c r="K3470">
        <v>0</v>
      </c>
      <c r="L3470">
        <v>0</v>
      </c>
      <c r="M3470">
        <v>1</v>
      </c>
      <c r="N3470">
        <v>0</v>
      </c>
      <c r="O3470">
        <v>280</v>
      </c>
      <c r="P3470" t="str">
        <f t="shared" si="325"/>
        <v>High</v>
      </c>
      <c r="Q3470">
        <v>164</v>
      </c>
      <c r="R3470">
        <v>81</v>
      </c>
      <c r="S3470">
        <v>29.76</v>
      </c>
      <c r="T3470" t="str">
        <f t="shared" si="326"/>
        <v>Overweight</v>
      </c>
      <c r="U3470">
        <v>80</v>
      </c>
      <c r="V3470">
        <v>68</v>
      </c>
      <c r="W3470" t="str">
        <f t="shared" si="329"/>
        <v>Normal</v>
      </c>
      <c r="X3470">
        <v>0</v>
      </c>
    </row>
    <row r="3471" spans="1:24" ht="14.5" thickBot="1" x14ac:dyDescent="0.35">
      <c r="A3471">
        <v>1</v>
      </c>
      <c r="B3471" t="str">
        <f t="shared" si="327"/>
        <v>Male</v>
      </c>
      <c r="C3471" s="8">
        <v>59</v>
      </c>
      <c r="D3471" t="str">
        <f t="shared" si="328"/>
        <v>Senior</v>
      </c>
      <c r="E3471">
        <v>1</v>
      </c>
      <c r="F3471" t="str">
        <f>HLOOKUP(E3471, LookUP_Table!$A$6:$D$7, 2, FALSE)</f>
        <v>Primary</v>
      </c>
      <c r="G3471" t="str">
        <f>IFERROR(VLOOKUP(E3471, LookUP_Table!$A$1:$B$4, 2, FALSE), "")</f>
        <v>Primary</v>
      </c>
      <c r="H3471">
        <v>1</v>
      </c>
      <c r="I3471">
        <v>20</v>
      </c>
      <c r="J3471" t="str">
        <f t="shared" si="324"/>
        <v>Smoker</v>
      </c>
      <c r="K3471">
        <v>0</v>
      </c>
      <c r="L3471">
        <v>0</v>
      </c>
      <c r="M3471">
        <v>0</v>
      </c>
      <c r="N3471">
        <v>0</v>
      </c>
      <c r="O3471">
        <v>206</v>
      </c>
      <c r="P3471" t="str">
        <f t="shared" si="325"/>
        <v>Normal</v>
      </c>
      <c r="Q3471">
        <v>115</v>
      </c>
      <c r="R3471">
        <v>70</v>
      </c>
      <c r="S3471">
        <v>24.79</v>
      </c>
      <c r="T3471" t="str">
        <f t="shared" si="326"/>
        <v>Normal</v>
      </c>
      <c r="U3471">
        <v>84</v>
      </c>
      <c r="V3471">
        <v>76</v>
      </c>
      <c r="W3471" t="str">
        <f t="shared" si="329"/>
        <v>Normal</v>
      </c>
      <c r="X3471">
        <v>0</v>
      </c>
    </row>
    <row r="3472" spans="1:24" ht="14.5" thickBot="1" x14ac:dyDescent="0.35">
      <c r="A3472">
        <v>0</v>
      </c>
      <c r="B3472" t="str">
        <f t="shared" si="327"/>
        <v>Female</v>
      </c>
      <c r="C3472" s="8">
        <v>59</v>
      </c>
      <c r="D3472" t="str">
        <f t="shared" si="328"/>
        <v>Senior</v>
      </c>
      <c r="E3472">
        <v>2</v>
      </c>
      <c r="F3472" t="str">
        <f>HLOOKUP(E3472, LookUP_Table!$A$6:$D$7, 2, FALSE)</f>
        <v>Secondary</v>
      </c>
      <c r="G3472" t="str">
        <f>IFERROR(VLOOKUP(E3472, LookUP_Table!$A$1:$B$4, 2, FALSE), "")</f>
        <v>Secondary</v>
      </c>
      <c r="H3472">
        <v>1</v>
      </c>
      <c r="I3472">
        <v>1</v>
      </c>
      <c r="J3472" t="str">
        <f t="shared" si="324"/>
        <v>Smoker</v>
      </c>
      <c r="K3472">
        <v>0</v>
      </c>
      <c r="L3472">
        <v>0</v>
      </c>
      <c r="M3472">
        <v>0</v>
      </c>
      <c r="N3472">
        <v>0</v>
      </c>
      <c r="O3472">
        <v>236</v>
      </c>
      <c r="P3472" t="str">
        <f t="shared" si="325"/>
        <v>Normal</v>
      </c>
      <c r="Q3472">
        <v>139</v>
      </c>
      <c r="R3472">
        <v>84</v>
      </c>
      <c r="S3472">
        <v>22.7</v>
      </c>
      <c r="T3472" t="str">
        <f t="shared" si="326"/>
        <v>Normal</v>
      </c>
      <c r="U3472">
        <v>63</v>
      </c>
      <c r="V3472">
        <v>81.96365524402907</v>
      </c>
      <c r="W3472" t="str">
        <f t="shared" si="329"/>
        <v>Normal</v>
      </c>
      <c r="X3472">
        <v>0</v>
      </c>
    </row>
    <row r="3473" spans="1:24" ht="14.5" thickBot="1" x14ac:dyDescent="0.35">
      <c r="A3473">
        <v>0</v>
      </c>
      <c r="B3473" t="str">
        <f t="shared" si="327"/>
        <v>Female</v>
      </c>
      <c r="C3473" s="8">
        <v>59</v>
      </c>
      <c r="D3473" t="str">
        <f t="shared" si="328"/>
        <v>Senior</v>
      </c>
      <c r="E3473">
        <v>3</v>
      </c>
      <c r="F3473" t="str">
        <f>HLOOKUP(E3473, LookUP_Table!$A$6:$D$7, 2, FALSE)</f>
        <v>Graduate</v>
      </c>
      <c r="G3473" t="str">
        <f>IFERROR(VLOOKUP(E3473, LookUP_Table!$A$1:$B$4, 2, FALSE), "")</f>
        <v>Graduate</v>
      </c>
      <c r="H3473">
        <v>0</v>
      </c>
      <c r="I3473">
        <v>0</v>
      </c>
      <c r="J3473" t="str">
        <f t="shared" si="324"/>
        <v>Non-Smoker</v>
      </c>
      <c r="K3473">
        <v>0</v>
      </c>
      <c r="L3473">
        <v>0</v>
      </c>
      <c r="M3473">
        <v>0</v>
      </c>
      <c r="N3473">
        <v>0</v>
      </c>
      <c r="O3473">
        <v>292</v>
      </c>
      <c r="P3473" t="str">
        <f t="shared" si="325"/>
        <v>High</v>
      </c>
      <c r="Q3473">
        <v>114</v>
      </c>
      <c r="R3473">
        <v>84</v>
      </c>
      <c r="S3473">
        <v>27.39</v>
      </c>
      <c r="T3473" t="str">
        <f t="shared" si="326"/>
        <v>Overweight</v>
      </c>
      <c r="U3473">
        <v>68</v>
      </c>
      <c r="V3473">
        <v>72</v>
      </c>
      <c r="W3473" t="str">
        <f t="shared" si="329"/>
        <v>Normal</v>
      </c>
      <c r="X3473">
        <v>0</v>
      </c>
    </row>
    <row r="3474" spans="1:24" ht="14.5" thickBot="1" x14ac:dyDescent="0.35">
      <c r="A3474">
        <v>0</v>
      </c>
      <c r="B3474" t="str">
        <f t="shared" si="327"/>
        <v>Female</v>
      </c>
      <c r="C3474" s="8">
        <v>59</v>
      </c>
      <c r="D3474" t="str">
        <f t="shared" si="328"/>
        <v>Senior</v>
      </c>
      <c r="E3474">
        <v>1</v>
      </c>
      <c r="F3474" t="str">
        <f>HLOOKUP(E3474, LookUP_Table!$A$6:$D$7, 2, FALSE)</f>
        <v>Primary</v>
      </c>
      <c r="G3474" t="str">
        <f>IFERROR(VLOOKUP(E3474, LookUP_Table!$A$1:$B$4, 2, FALSE), "")</f>
        <v>Primary</v>
      </c>
      <c r="H3474">
        <v>0</v>
      </c>
      <c r="I3474">
        <v>0</v>
      </c>
      <c r="J3474" t="str">
        <f t="shared" si="324"/>
        <v>Non-Smoker</v>
      </c>
      <c r="K3474">
        <v>0</v>
      </c>
      <c r="L3474">
        <v>0</v>
      </c>
      <c r="M3474">
        <v>1</v>
      </c>
      <c r="N3474">
        <v>0</v>
      </c>
      <c r="O3474">
        <v>260</v>
      </c>
      <c r="P3474" t="str">
        <f t="shared" si="325"/>
        <v>High</v>
      </c>
      <c r="Q3474">
        <v>162.5</v>
      </c>
      <c r="R3474">
        <v>105</v>
      </c>
      <c r="S3474">
        <v>24.39</v>
      </c>
      <c r="T3474" t="str">
        <f t="shared" si="326"/>
        <v>Normal</v>
      </c>
      <c r="U3474">
        <v>75</v>
      </c>
      <c r="V3474">
        <v>72</v>
      </c>
      <c r="W3474" t="str">
        <f t="shared" si="329"/>
        <v>Normal</v>
      </c>
      <c r="X3474">
        <v>0</v>
      </c>
    </row>
    <row r="3475" spans="1:24" ht="14.5" thickBot="1" x14ac:dyDescent="0.35">
      <c r="A3475">
        <v>0</v>
      </c>
      <c r="B3475" t="str">
        <f t="shared" si="327"/>
        <v>Female</v>
      </c>
      <c r="C3475" s="8">
        <v>59</v>
      </c>
      <c r="D3475" t="str">
        <f t="shared" si="328"/>
        <v>Senior</v>
      </c>
      <c r="E3475">
        <v>1</v>
      </c>
      <c r="F3475" t="str">
        <f>HLOOKUP(E3475, LookUP_Table!$A$6:$D$7, 2, FALSE)</f>
        <v>Primary</v>
      </c>
      <c r="G3475" t="str">
        <f>IFERROR(VLOOKUP(E3475, LookUP_Table!$A$1:$B$4, 2, FALSE), "")</f>
        <v>Primary</v>
      </c>
      <c r="H3475">
        <v>0</v>
      </c>
      <c r="I3475">
        <v>0</v>
      </c>
      <c r="J3475" t="str">
        <f t="shared" si="324"/>
        <v>Non-Smoker</v>
      </c>
      <c r="K3475">
        <v>0</v>
      </c>
      <c r="L3475">
        <v>0</v>
      </c>
      <c r="M3475">
        <v>0</v>
      </c>
      <c r="N3475">
        <v>0</v>
      </c>
      <c r="O3475">
        <v>246</v>
      </c>
      <c r="P3475" t="str">
        <f t="shared" si="325"/>
        <v>High</v>
      </c>
      <c r="Q3475">
        <v>135</v>
      </c>
      <c r="R3475">
        <v>70</v>
      </c>
      <c r="S3475">
        <v>18.43</v>
      </c>
      <c r="T3475" t="str">
        <f t="shared" si="326"/>
        <v>Underweight</v>
      </c>
      <c r="U3475">
        <v>80</v>
      </c>
      <c r="V3475">
        <v>107</v>
      </c>
      <c r="W3475" t="str">
        <f t="shared" si="329"/>
        <v>Prediabetes</v>
      </c>
      <c r="X3475">
        <v>0</v>
      </c>
    </row>
    <row r="3476" spans="1:24" ht="14.5" thickBot="1" x14ac:dyDescent="0.35">
      <c r="A3476">
        <v>1</v>
      </c>
      <c r="B3476" t="str">
        <f t="shared" si="327"/>
        <v>Male</v>
      </c>
      <c r="C3476" s="8">
        <v>59</v>
      </c>
      <c r="D3476" t="str">
        <f t="shared" si="328"/>
        <v>Senior</v>
      </c>
      <c r="E3476">
        <v>4</v>
      </c>
      <c r="F3476" t="str">
        <f>HLOOKUP(E3476, LookUP_Table!$A$6:$D$7, 2, FALSE)</f>
        <v>Post Graduate</v>
      </c>
      <c r="G3476" t="str">
        <f>IFERROR(VLOOKUP(E3476, LookUP_Table!$A$1:$B$4, 2, FALSE), "")</f>
        <v>Post Graduate</v>
      </c>
      <c r="H3476">
        <v>0</v>
      </c>
      <c r="I3476">
        <v>0</v>
      </c>
      <c r="J3476" t="str">
        <f t="shared" si="324"/>
        <v>Non-Smoker</v>
      </c>
      <c r="K3476">
        <v>0</v>
      </c>
      <c r="L3476">
        <v>0</v>
      </c>
      <c r="M3476">
        <v>0</v>
      </c>
      <c r="N3476">
        <v>0</v>
      </c>
      <c r="O3476">
        <v>237</v>
      </c>
      <c r="P3476" t="str">
        <f t="shared" si="325"/>
        <v>Normal</v>
      </c>
      <c r="Q3476">
        <v>111</v>
      </c>
      <c r="R3476">
        <v>80</v>
      </c>
      <c r="S3476">
        <v>29.77</v>
      </c>
      <c r="T3476" t="str">
        <f t="shared" si="326"/>
        <v>Overweight</v>
      </c>
      <c r="U3476">
        <v>65</v>
      </c>
      <c r="V3476">
        <v>72</v>
      </c>
      <c r="W3476" t="str">
        <f t="shared" si="329"/>
        <v>Normal</v>
      </c>
      <c r="X3476">
        <v>0</v>
      </c>
    </row>
    <row r="3477" spans="1:24" ht="14.5" thickBot="1" x14ac:dyDescent="0.35">
      <c r="A3477">
        <v>0</v>
      </c>
      <c r="B3477" t="str">
        <f t="shared" si="327"/>
        <v>Female</v>
      </c>
      <c r="C3477" s="8">
        <v>59</v>
      </c>
      <c r="D3477" t="str">
        <f t="shared" si="328"/>
        <v>Senior</v>
      </c>
      <c r="E3477">
        <v>4</v>
      </c>
      <c r="F3477" t="str">
        <f>HLOOKUP(E3477, LookUP_Table!$A$6:$D$7, 2, FALSE)</f>
        <v>Post Graduate</v>
      </c>
      <c r="G3477" t="str">
        <f>IFERROR(VLOOKUP(E3477, LookUP_Table!$A$1:$B$4, 2, FALSE), "")</f>
        <v>Post Graduate</v>
      </c>
      <c r="H3477">
        <v>0</v>
      </c>
      <c r="I3477">
        <v>0</v>
      </c>
      <c r="J3477" t="str">
        <f t="shared" si="324"/>
        <v>Non-Smoker</v>
      </c>
      <c r="K3477">
        <v>0</v>
      </c>
      <c r="L3477">
        <v>0</v>
      </c>
      <c r="M3477">
        <v>0</v>
      </c>
      <c r="N3477">
        <v>0</v>
      </c>
      <c r="O3477">
        <v>239</v>
      </c>
      <c r="P3477" t="str">
        <f t="shared" si="325"/>
        <v>Normal</v>
      </c>
      <c r="Q3477">
        <v>124</v>
      </c>
      <c r="R3477">
        <v>72</v>
      </c>
      <c r="S3477">
        <v>19.34</v>
      </c>
      <c r="T3477" t="str">
        <f t="shared" si="326"/>
        <v>Normal</v>
      </c>
      <c r="U3477">
        <v>80</v>
      </c>
      <c r="V3477">
        <v>70</v>
      </c>
      <c r="W3477" t="str">
        <f t="shared" si="329"/>
        <v>Normal</v>
      </c>
      <c r="X3477">
        <v>0</v>
      </c>
    </row>
    <row r="3478" spans="1:24" ht="14.5" thickBot="1" x14ac:dyDescent="0.35">
      <c r="A3478">
        <v>0</v>
      </c>
      <c r="B3478" t="str">
        <f t="shared" si="327"/>
        <v>Female</v>
      </c>
      <c r="C3478" s="8">
        <v>59</v>
      </c>
      <c r="D3478" t="str">
        <f t="shared" si="328"/>
        <v>Senior</v>
      </c>
      <c r="E3478">
        <v>1</v>
      </c>
      <c r="F3478" t="str">
        <f>HLOOKUP(E3478, LookUP_Table!$A$6:$D$7, 2, FALSE)</f>
        <v>Primary</v>
      </c>
      <c r="G3478" t="str">
        <f>IFERROR(VLOOKUP(E3478, LookUP_Table!$A$1:$B$4, 2, FALSE), "")</f>
        <v>Primary</v>
      </c>
      <c r="H3478">
        <v>0</v>
      </c>
      <c r="I3478">
        <v>0</v>
      </c>
      <c r="J3478" t="str">
        <f t="shared" si="324"/>
        <v>Non-Smoker</v>
      </c>
      <c r="K3478">
        <v>0</v>
      </c>
      <c r="L3478">
        <v>0</v>
      </c>
      <c r="M3478">
        <v>0</v>
      </c>
      <c r="N3478">
        <v>0</v>
      </c>
      <c r="O3478">
        <v>276</v>
      </c>
      <c r="P3478" t="str">
        <f t="shared" si="325"/>
        <v>High</v>
      </c>
      <c r="Q3478">
        <v>127.5</v>
      </c>
      <c r="R3478">
        <v>85.5</v>
      </c>
      <c r="S3478">
        <v>22.91</v>
      </c>
      <c r="T3478" t="str">
        <f t="shared" si="326"/>
        <v>Normal</v>
      </c>
      <c r="U3478">
        <v>78</v>
      </c>
      <c r="V3478">
        <v>60</v>
      </c>
      <c r="W3478" t="str">
        <f t="shared" si="329"/>
        <v>Normal</v>
      </c>
      <c r="X3478">
        <v>0</v>
      </c>
    </row>
    <row r="3479" spans="1:24" ht="14.5" thickBot="1" x14ac:dyDescent="0.35">
      <c r="A3479">
        <v>1</v>
      </c>
      <c r="B3479" t="str">
        <f t="shared" si="327"/>
        <v>Male</v>
      </c>
      <c r="C3479" s="8">
        <v>59</v>
      </c>
      <c r="D3479" t="str">
        <f t="shared" si="328"/>
        <v>Senior</v>
      </c>
      <c r="E3479">
        <v>1</v>
      </c>
      <c r="F3479" t="str">
        <f>HLOOKUP(E3479, LookUP_Table!$A$6:$D$7, 2, FALSE)</f>
        <v>Primary</v>
      </c>
      <c r="G3479" t="str">
        <f>IFERROR(VLOOKUP(E3479, LookUP_Table!$A$1:$B$4, 2, FALSE), "")</f>
        <v>Primary</v>
      </c>
      <c r="H3479">
        <v>0</v>
      </c>
      <c r="I3479">
        <v>0</v>
      </c>
      <c r="J3479" t="str">
        <f t="shared" si="324"/>
        <v>Non-Smoker</v>
      </c>
      <c r="K3479">
        <v>1</v>
      </c>
      <c r="L3479">
        <v>0</v>
      </c>
      <c r="M3479">
        <v>1</v>
      </c>
      <c r="N3479">
        <v>0</v>
      </c>
      <c r="O3479">
        <v>294</v>
      </c>
      <c r="P3479" t="str">
        <f t="shared" si="325"/>
        <v>High</v>
      </c>
      <c r="Q3479">
        <v>170</v>
      </c>
      <c r="R3479">
        <v>103</v>
      </c>
      <c r="S3479">
        <v>31.6</v>
      </c>
      <c r="T3479" t="str">
        <f t="shared" si="326"/>
        <v>Obese</v>
      </c>
      <c r="U3479">
        <v>66</v>
      </c>
      <c r="V3479">
        <v>70</v>
      </c>
      <c r="W3479" t="str">
        <f t="shared" si="329"/>
        <v>Normal</v>
      </c>
      <c r="X3479">
        <v>0</v>
      </c>
    </row>
    <row r="3480" spans="1:24" ht="14.5" thickBot="1" x14ac:dyDescent="0.35">
      <c r="A3480">
        <v>1</v>
      </c>
      <c r="B3480" t="str">
        <f t="shared" si="327"/>
        <v>Male</v>
      </c>
      <c r="C3480" s="8">
        <v>59</v>
      </c>
      <c r="D3480" t="str">
        <f t="shared" si="328"/>
        <v>Senior</v>
      </c>
      <c r="E3480">
        <v>1</v>
      </c>
      <c r="F3480" t="str">
        <f>HLOOKUP(E3480, LookUP_Table!$A$6:$D$7, 2, FALSE)</f>
        <v>Primary</v>
      </c>
      <c r="G3480" t="str">
        <f>IFERROR(VLOOKUP(E3480, LookUP_Table!$A$1:$B$4, 2, FALSE), "")</f>
        <v>Primary</v>
      </c>
      <c r="H3480">
        <v>0</v>
      </c>
      <c r="I3480">
        <v>0</v>
      </c>
      <c r="J3480" t="str">
        <f t="shared" si="324"/>
        <v>Non-Smoker</v>
      </c>
      <c r="K3480">
        <v>0</v>
      </c>
      <c r="L3480">
        <v>0</v>
      </c>
      <c r="M3480">
        <v>1</v>
      </c>
      <c r="N3480">
        <v>0</v>
      </c>
      <c r="O3480">
        <v>178</v>
      </c>
      <c r="P3480" t="str">
        <f t="shared" si="325"/>
        <v>Normal</v>
      </c>
      <c r="Q3480">
        <v>170</v>
      </c>
      <c r="R3480">
        <v>118</v>
      </c>
      <c r="S3480">
        <v>33.450000000000003</v>
      </c>
      <c r="T3480" t="str">
        <f t="shared" si="326"/>
        <v>Obese</v>
      </c>
      <c r="U3480">
        <v>79</v>
      </c>
      <c r="V3480">
        <v>81</v>
      </c>
      <c r="W3480" t="str">
        <f t="shared" si="329"/>
        <v>Normal</v>
      </c>
      <c r="X3480">
        <v>0</v>
      </c>
    </row>
    <row r="3481" spans="1:24" ht="14.5" thickBot="1" x14ac:dyDescent="0.35">
      <c r="A3481">
        <v>0</v>
      </c>
      <c r="B3481" t="str">
        <f t="shared" si="327"/>
        <v>Female</v>
      </c>
      <c r="C3481" s="8">
        <v>59</v>
      </c>
      <c r="D3481" t="str">
        <f t="shared" si="328"/>
        <v>Senior</v>
      </c>
      <c r="E3481">
        <v>1</v>
      </c>
      <c r="F3481" t="str">
        <f>HLOOKUP(E3481, LookUP_Table!$A$6:$D$7, 2, FALSE)</f>
        <v>Primary</v>
      </c>
      <c r="G3481" t="str">
        <f>IFERROR(VLOOKUP(E3481, LookUP_Table!$A$1:$B$4, 2, FALSE), "")</f>
        <v>Primary</v>
      </c>
      <c r="H3481">
        <v>0</v>
      </c>
      <c r="I3481">
        <v>0</v>
      </c>
      <c r="J3481" t="str">
        <f t="shared" si="324"/>
        <v>Non-Smoker</v>
      </c>
      <c r="K3481">
        <v>0</v>
      </c>
      <c r="L3481">
        <v>0</v>
      </c>
      <c r="M3481">
        <v>0</v>
      </c>
      <c r="N3481">
        <v>0</v>
      </c>
      <c r="O3481">
        <v>294</v>
      </c>
      <c r="P3481" t="str">
        <f t="shared" si="325"/>
        <v>High</v>
      </c>
      <c r="Q3481">
        <v>122</v>
      </c>
      <c r="R3481">
        <v>70</v>
      </c>
      <c r="S3481">
        <v>23.76</v>
      </c>
      <c r="T3481" t="str">
        <f t="shared" si="326"/>
        <v>Normal</v>
      </c>
      <c r="U3481">
        <v>72</v>
      </c>
      <c r="V3481">
        <v>100</v>
      </c>
      <c r="W3481" t="str">
        <f t="shared" si="329"/>
        <v>Prediabetes</v>
      </c>
      <c r="X3481">
        <v>0</v>
      </c>
    </row>
    <row r="3482" spans="1:24" ht="14.5" thickBot="1" x14ac:dyDescent="0.35">
      <c r="A3482">
        <v>0</v>
      </c>
      <c r="B3482" t="str">
        <f t="shared" si="327"/>
        <v>Female</v>
      </c>
      <c r="C3482" s="8">
        <v>59</v>
      </c>
      <c r="D3482" t="str">
        <f t="shared" si="328"/>
        <v>Senior</v>
      </c>
      <c r="E3482">
        <v>1</v>
      </c>
      <c r="F3482" t="str">
        <f>HLOOKUP(E3482, LookUP_Table!$A$6:$D$7, 2, FALSE)</f>
        <v>Primary</v>
      </c>
      <c r="G3482" t="str">
        <f>IFERROR(VLOOKUP(E3482, LookUP_Table!$A$1:$B$4, 2, FALSE), "")</f>
        <v>Primary</v>
      </c>
      <c r="H3482">
        <v>0</v>
      </c>
      <c r="I3482">
        <v>0</v>
      </c>
      <c r="J3482" t="str">
        <f t="shared" si="324"/>
        <v>Non-Smoker</v>
      </c>
      <c r="K3482">
        <v>0</v>
      </c>
      <c r="L3482">
        <v>0</v>
      </c>
      <c r="M3482">
        <v>1</v>
      </c>
      <c r="N3482">
        <v>0</v>
      </c>
      <c r="O3482">
        <v>240</v>
      </c>
      <c r="P3482" t="str">
        <f t="shared" si="325"/>
        <v>Normal</v>
      </c>
      <c r="Q3482">
        <v>155.5</v>
      </c>
      <c r="R3482">
        <v>100.5</v>
      </c>
      <c r="S3482">
        <v>33.54</v>
      </c>
      <c r="T3482" t="str">
        <f t="shared" si="326"/>
        <v>Obese</v>
      </c>
      <c r="U3482">
        <v>72</v>
      </c>
      <c r="V3482">
        <v>116</v>
      </c>
      <c r="W3482" t="str">
        <f t="shared" si="329"/>
        <v>Prediabetes</v>
      </c>
      <c r="X3482">
        <v>1</v>
      </c>
    </row>
    <row r="3483" spans="1:24" ht="14.5" thickBot="1" x14ac:dyDescent="0.35">
      <c r="A3483">
        <v>1</v>
      </c>
      <c r="B3483" t="str">
        <f t="shared" si="327"/>
        <v>Male</v>
      </c>
      <c r="C3483" s="8">
        <v>59</v>
      </c>
      <c r="D3483" t="str">
        <f t="shared" si="328"/>
        <v>Senior</v>
      </c>
      <c r="E3483">
        <v>3</v>
      </c>
      <c r="F3483" t="str">
        <f>HLOOKUP(E3483, LookUP_Table!$A$6:$D$7, 2, FALSE)</f>
        <v>Graduate</v>
      </c>
      <c r="G3483" t="str">
        <f>IFERROR(VLOOKUP(E3483, LookUP_Table!$A$1:$B$4, 2, FALSE), "")</f>
        <v>Graduate</v>
      </c>
      <c r="H3483">
        <v>1</v>
      </c>
      <c r="I3483">
        <v>20</v>
      </c>
      <c r="J3483" t="str">
        <f t="shared" si="324"/>
        <v>Smoker</v>
      </c>
      <c r="K3483">
        <v>0</v>
      </c>
      <c r="L3483">
        <v>0</v>
      </c>
      <c r="M3483">
        <v>0</v>
      </c>
      <c r="N3483">
        <v>0</v>
      </c>
      <c r="O3483">
        <v>238</v>
      </c>
      <c r="P3483" t="str">
        <f t="shared" si="325"/>
        <v>Normal</v>
      </c>
      <c r="Q3483">
        <v>112.5</v>
      </c>
      <c r="R3483">
        <v>75.5</v>
      </c>
      <c r="S3483">
        <v>26.42</v>
      </c>
      <c r="T3483" t="str">
        <f t="shared" si="326"/>
        <v>Overweight</v>
      </c>
      <c r="U3483">
        <v>58</v>
      </c>
      <c r="V3483">
        <v>67</v>
      </c>
      <c r="W3483" t="str">
        <f t="shared" si="329"/>
        <v>Normal</v>
      </c>
      <c r="X3483">
        <v>1</v>
      </c>
    </row>
    <row r="3484" spans="1:24" ht="14.5" thickBot="1" x14ac:dyDescent="0.35">
      <c r="A3484">
        <v>0</v>
      </c>
      <c r="B3484" t="str">
        <f t="shared" si="327"/>
        <v>Female</v>
      </c>
      <c r="C3484" s="8">
        <v>59</v>
      </c>
      <c r="D3484" t="str">
        <f t="shared" si="328"/>
        <v>Senior</v>
      </c>
      <c r="E3484">
        <v>1</v>
      </c>
      <c r="F3484" t="str">
        <f>HLOOKUP(E3484, LookUP_Table!$A$6:$D$7, 2, FALSE)</f>
        <v>Primary</v>
      </c>
      <c r="G3484" t="str">
        <f>IFERROR(VLOOKUP(E3484, LookUP_Table!$A$1:$B$4, 2, FALSE), "")</f>
        <v>Primary</v>
      </c>
      <c r="H3484">
        <v>0</v>
      </c>
      <c r="I3484">
        <v>0</v>
      </c>
      <c r="J3484" t="str">
        <f t="shared" si="324"/>
        <v>Non-Smoker</v>
      </c>
      <c r="K3484">
        <v>0</v>
      </c>
      <c r="L3484">
        <v>0</v>
      </c>
      <c r="M3484">
        <v>1</v>
      </c>
      <c r="N3484">
        <v>0</v>
      </c>
      <c r="O3484">
        <v>261</v>
      </c>
      <c r="P3484" t="str">
        <f t="shared" si="325"/>
        <v>High</v>
      </c>
      <c r="Q3484">
        <v>141</v>
      </c>
      <c r="R3484">
        <v>78</v>
      </c>
      <c r="S3484">
        <v>25.32</v>
      </c>
      <c r="T3484" t="str">
        <f t="shared" si="326"/>
        <v>Overweight</v>
      </c>
      <c r="U3484">
        <v>68</v>
      </c>
      <c r="V3484">
        <v>76</v>
      </c>
      <c r="W3484" t="str">
        <f t="shared" si="329"/>
        <v>Normal</v>
      </c>
      <c r="X3484">
        <v>0</v>
      </c>
    </row>
    <row r="3485" spans="1:24" ht="14.5" thickBot="1" x14ac:dyDescent="0.35">
      <c r="A3485">
        <v>0</v>
      </c>
      <c r="B3485" t="str">
        <f t="shared" si="327"/>
        <v>Female</v>
      </c>
      <c r="C3485" s="8">
        <v>59</v>
      </c>
      <c r="D3485" t="str">
        <f t="shared" si="328"/>
        <v>Senior</v>
      </c>
      <c r="E3485">
        <v>1</v>
      </c>
      <c r="F3485" t="str">
        <f>HLOOKUP(E3485, LookUP_Table!$A$6:$D$7, 2, FALSE)</f>
        <v>Primary</v>
      </c>
      <c r="G3485" t="str">
        <f>IFERROR(VLOOKUP(E3485, LookUP_Table!$A$1:$B$4, 2, FALSE), "")</f>
        <v>Primary</v>
      </c>
      <c r="H3485">
        <v>0</v>
      </c>
      <c r="I3485">
        <v>0</v>
      </c>
      <c r="J3485" t="str">
        <f t="shared" si="324"/>
        <v>Non-Smoker</v>
      </c>
      <c r="K3485">
        <v>0</v>
      </c>
      <c r="L3485">
        <v>0</v>
      </c>
      <c r="M3485">
        <v>1</v>
      </c>
      <c r="N3485">
        <v>0</v>
      </c>
      <c r="O3485">
        <v>288</v>
      </c>
      <c r="P3485" t="str">
        <f t="shared" si="325"/>
        <v>High</v>
      </c>
      <c r="Q3485">
        <v>158</v>
      </c>
      <c r="R3485">
        <v>90</v>
      </c>
      <c r="S3485">
        <v>32.840000000000003</v>
      </c>
      <c r="T3485" t="str">
        <f t="shared" si="326"/>
        <v>Obese</v>
      </c>
      <c r="U3485">
        <v>70</v>
      </c>
      <c r="V3485">
        <v>87</v>
      </c>
      <c r="W3485" t="str">
        <f t="shared" si="329"/>
        <v>Normal</v>
      </c>
      <c r="X3485">
        <v>0</v>
      </c>
    </row>
    <row r="3486" spans="1:24" ht="14.5" thickBot="1" x14ac:dyDescent="0.35">
      <c r="A3486">
        <v>0</v>
      </c>
      <c r="B3486" t="str">
        <f t="shared" si="327"/>
        <v>Female</v>
      </c>
      <c r="C3486" s="8">
        <v>59</v>
      </c>
      <c r="D3486" t="str">
        <f t="shared" si="328"/>
        <v>Senior</v>
      </c>
      <c r="E3486">
        <v>1</v>
      </c>
      <c r="F3486" t="str">
        <f>HLOOKUP(E3486, LookUP_Table!$A$6:$D$7, 2, FALSE)</f>
        <v>Primary</v>
      </c>
      <c r="G3486" t="str">
        <f>IFERROR(VLOOKUP(E3486, LookUP_Table!$A$1:$B$4, 2, FALSE), "")</f>
        <v>Primary</v>
      </c>
      <c r="H3486">
        <v>0</v>
      </c>
      <c r="I3486">
        <v>0</v>
      </c>
      <c r="J3486" t="str">
        <f t="shared" si="324"/>
        <v>Non-Smoker</v>
      </c>
      <c r="K3486">
        <v>0</v>
      </c>
      <c r="L3486">
        <v>0</v>
      </c>
      <c r="M3486">
        <v>1</v>
      </c>
      <c r="N3486">
        <v>0</v>
      </c>
      <c r="O3486">
        <v>410</v>
      </c>
      <c r="P3486" t="str">
        <f t="shared" si="325"/>
        <v>High</v>
      </c>
      <c r="Q3486">
        <v>142</v>
      </c>
      <c r="R3486">
        <v>79</v>
      </c>
      <c r="S3486">
        <v>25.58</v>
      </c>
      <c r="T3486" t="str">
        <f t="shared" si="326"/>
        <v>Overweight</v>
      </c>
      <c r="U3486">
        <v>78</v>
      </c>
      <c r="V3486">
        <v>90</v>
      </c>
      <c r="W3486" t="str">
        <f t="shared" si="329"/>
        <v>Normal</v>
      </c>
      <c r="X3486">
        <v>0</v>
      </c>
    </row>
    <row r="3487" spans="1:24" ht="14.5" thickBot="1" x14ac:dyDescent="0.35">
      <c r="A3487">
        <v>1</v>
      </c>
      <c r="B3487" t="str">
        <f t="shared" si="327"/>
        <v>Male</v>
      </c>
      <c r="C3487" s="8">
        <v>59</v>
      </c>
      <c r="D3487" t="str">
        <f t="shared" si="328"/>
        <v>Senior</v>
      </c>
      <c r="E3487">
        <v>4</v>
      </c>
      <c r="F3487" t="str">
        <f>HLOOKUP(E3487, LookUP_Table!$A$6:$D$7, 2, FALSE)</f>
        <v>Post Graduate</v>
      </c>
      <c r="G3487" t="str">
        <f>IFERROR(VLOOKUP(E3487, LookUP_Table!$A$1:$B$4, 2, FALSE), "")</f>
        <v>Post Graduate</v>
      </c>
      <c r="H3487">
        <v>0</v>
      </c>
      <c r="I3487">
        <v>0</v>
      </c>
      <c r="J3487" t="str">
        <f t="shared" si="324"/>
        <v>Non-Smoker</v>
      </c>
      <c r="K3487">
        <v>0</v>
      </c>
      <c r="L3487">
        <v>0</v>
      </c>
      <c r="M3487">
        <v>0</v>
      </c>
      <c r="N3487">
        <v>0</v>
      </c>
      <c r="O3487">
        <v>210</v>
      </c>
      <c r="P3487" t="str">
        <f t="shared" si="325"/>
        <v>Normal</v>
      </c>
      <c r="Q3487">
        <v>134</v>
      </c>
      <c r="R3487">
        <v>84</v>
      </c>
      <c r="S3487">
        <v>25.64</v>
      </c>
      <c r="T3487" t="str">
        <f t="shared" si="326"/>
        <v>Overweight</v>
      </c>
      <c r="U3487">
        <v>58</v>
      </c>
      <c r="V3487">
        <v>77</v>
      </c>
      <c r="W3487" t="str">
        <f t="shared" si="329"/>
        <v>Normal</v>
      </c>
      <c r="X3487">
        <v>1</v>
      </c>
    </row>
    <row r="3488" spans="1:24" ht="14.5" thickBot="1" x14ac:dyDescent="0.35">
      <c r="A3488">
        <v>0</v>
      </c>
      <c r="B3488" t="str">
        <f t="shared" si="327"/>
        <v>Female</v>
      </c>
      <c r="C3488" s="8">
        <v>59</v>
      </c>
      <c r="D3488" t="str">
        <f t="shared" si="328"/>
        <v>Senior</v>
      </c>
      <c r="E3488">
        <v>1</v>
      </c>
      <c r="F3488" t="str">
        <f>HLOOKUP(E3488, LookUP_Table!$A$6:$D$7, 2, FALSE)</f>
        <v>Primary</v>
      </c>
      <c r="G3488" t="str">
        <f>IFERROR(VLOOKUP(E3488, LookUP_Table!$A$1:$B$4, 2, FALSE), "")</f>
        <v>Primary</v>
      </c>
      <c r="H3488">
        <v>1</v>
      </c>
      <c r="I3488">
        <v>3</v>
      </c>
      <c r="J3488" t="str">
        <f t="shared" si="324"/>
        <v>Smoker</v>
      </c>
      <c r="K3488">
        <v>0</v>
      </c>
      <c r="L3488">
        <v>0</v>
      </c>
      <c r="M3488">
        <v>1</v>
      </c>
      <c r="N3488">
        <v>0</v>
      </c>
      <c r="O3488">
        <v>201</v>
      </c>
      <c r="P3488" t="str">
        <f t="shared" si="325"/>
        <v>Normal</v>
      </c>
      <c r="Q3488">
        <v>145</v>
      </c>
      <c r="R3488">
        <v>88</v>
      </c>
      <c r="S3488">
        <v>39.909999999999997</v>
      </c>
      <c r="T3488" t="str">
        <f t="shared" si="326"/>
        <v>Obese</v>
      </c>
      <c r="U3488">
        <v>65</v>
      </c>
      <c r="V3488">
        <v>89</v>
      </c>
      <c r="W3488" t="str">
        <f t="shared" si="329"/>
        <v>Normal</v>
      </c>
      <c r="X3488">
        <v>0</v>
      </c>
    </row>
    <row r="3489" spans="1:24" ht="14.5" thickBot="1" x14ac:dyDescent="0.35">
      <c r="A3489">
        <v>0</v>
      </c>
      <c r="B3489" t="str">
        <f t="shared" si="327"/>
        <v>Female</v>
      </c>
      <c r="C3489" s="8">
        <v>59</v>
      </c>
      <c r="D3489" t="str">
        <f t="shared" si="328"/>
        <v>Senior</v>
      </c>
      <c r="E3489">
        <v>1</v>
      </c>
      <c r="F3489" t="str">
        <f>HLOOKUP(E3489, LookUP_Table!$A$6:$D$7, 2, FALSE)</f>
        <v>Primary</v>
      </c>
      <c r="G3489" t="str">
        <f>IFERROR(VLOOKUP(E3489, LookUP_Table!$A$1:$B$4, 2, FALSE), "")</f>
        <v>Primary</v>
      </c>
      <c r="H3489">
        <v>1</v>
      </c>
      <c r="I3489">
        <v>30</v>
      </c>
      <c r="J3489" t="str">
        <f t="shared" si="324"/>
        <v>Smoker</v>
      </c>
      <c r="K3489">
        <v>0</v>
      </c>
      <c r="L3489">
        <v>0</v>
      </c>
      <c r="M3489">
        <v>0</v>
      </c>
      <c r="N3489">
        <v>0</v>
      </c>
      <c r="O3489">
        <v>316</v>
      </c>
      <c r="P3489" t="str">
        <f t="shared" si="325"/>
        <v>High</v>
      </c>
      <c r="Q3489">
        <v>110</v>
      </c>
      <c r="R3489">
        <v>70</v>
      </c>
      <c r="S3489">
        <v>19.829999999999998</v>
      </c>
      <c r="T3489" t="str">
        <f t="shared" si="326"/>
        <v>Normal</v>
      </c>
      <c r="U3489">
        <v>80</v>
      </c>
      <c r="V3489">
        <v>74</v>
      </c>
      <c r="W3489" t="str">
        <f t="shared" si="329"/>
        <v>Normal</v>
      </c>
      <c r="X3489">
        <v>1</v>
      </c>
    </row>
    <row r="3490" spans="1:24" ht="14.5" thickBot="1" x14ac:dyDescent="0.35">
      <c r="A3490">
        <v>1</v>
      </c>
      <c r="B3490" t="str">
        <f t="shared" si="327"/>
        <v>Male</v>
      </c>
      <c r="C3490" s="8">
        <v>59</v>
      </c>
      <c r="D3490" t="str">
        <f t="shared" si="328"/>
        <v>Senior</v>
      </c>
      <c r="E3490">
        <v>1</v>
      </c>
      <c r="F3490" t="str">
        <f>HLOOKUP(E3490, LookUP_Table!$A$6:$D$7, 2, FALSE)</f>
        <v>Primary</v>
      </c>
      <c r="G3490" t="str">
        <f>IFERROR(VLOOKUP(E3490, LookUP_Table!$A$1:$B$4, 2, FALSE), "")</f>
        <v>Primary</v>
      </c>
      <c r="H3490">
        <v>1</v>
      </c>
      <c r="I3490">
        <v>9</v>
      </c>
      <c r="J3490" t="str">
        <f t="shared" si="324"/>
        <v>Smoker</v>
      </c>
      <c r="K3490">
        <v>0</v>
      </c>
      <c r="L3490">
        <v>0</v>
      </c>
      <c r="M3490">
        <v>0</v>
      </c>
      <c r="N3490">
        <v>0</v>
      </c>
      <c r="O3490">
        <v>200</v>
      </c>
      <c r="P3490" t="str">
        <f t="shared" si="325"/>
        <v>Normal</v>
      </c>
      <c r="Q3490">
        <v>124</v>
      </c>
      <c r="R3490">
        <v>77</v>
      </c>
      <c r="S3490">
        <v>22.82</v>
      </c>
      <c r="T3490" t="str">
        <f t="shared" si="326"/>
        <v>Normal</v>
      </c>
      <c r="U3490">
        <v>57</v>
      </c>
      <c r="V3490">
        <v>81.96365524402907</v>
      </c>
      <c r="W3490" t="str">
        <f t="shared" si="329"/>
        <v>Normal</v>
      </c>
      <c r="X3490">
        <v>0</v>
      </c>
    </row>
    <row r="3491" spans="1:24" ht="14.5" thickBot="1" x14ac:dyDescent="0.35">
      <c r="A3491">
        <v>0</v>
      </c>
      <c r="B3491" t="str">
        <f t="shared" si="327"/>
        <v>Female</v>
      </c>
      <c r="C3491" s="8">
        <v>59</v>
      </c>
      <c r="D3491" t="str">
        <f t="shared" si="328"/>
        <v>Senior</v>
      </c>
      <c r="E3491">
        <v>1</v>
      </c>
      <c r="F3491" t="str">
        <f>HLOOKUP(E3491, LookUP_Table!$A$6:$D$7, 2, FALSE)</f>
        <v>Primary</v>
      </c>
      <c r="G3491" t="str">
        <f>IFERROR(VLOOKUP(E3491, LookUP_Table!$A$1:$B$4, 2, FALSE), "")</f>
        <v>Primary</v>
      </c>
      <c r="H3491">
        <v>1</v>
      </c>
      <c r="I3491">
        <v>20</v>
      </c>
      <c r="J3491" t="str">
        <f t="shared" si="324"/>
        <v>Smoker</v>
      </c>
      <c r="K3491">
        <v>0</v>
      </c>
      <c r="L3491">
        <v>0</v>
      </c>
      <c r="M3491">
        <v>0</v>
      </c>
      <c r="N3491">
        <v>0</v>
      </c>
      <c r="O3491">
        <v>225</v>
      </c>
      <c r="P3491" t="str">
        <f t="shared" si="325"/>
        <v>Normal</v>
      </c>
      <c r="Q3491">
        <v>110</v>
      </c>
      <c r="R3491">
        <v>64</v>
      </c>
      <c r="S3491">
        <v>28.1</v>
      </c>
      <c r="T3491" t="str">
        <f t="shared" si="326"/>
        <v>Overweight</v>
      </c>
      <c r="U3491">
        <v>66</v>
      </c>
      <c r="V3491">
        <v>64</v>
      </c>
      <c r="W3491" t="str">
        <f t="shared" si="329"/>
        <v>Normal</v>
      </c>
      <c r="X3491">
        <v>0</v>
      </c>
    </row>
    <row r="3492" spans="1:24" ht="14.5" thickBot="1" x14ac:dyDescent="0.35">
      <c r="A3492">
        <v>0</v>
      </c>
      <c r="B3492" t="str">
        <f t="shared" si="327"/>
        <v>Female</v>
      </c>
      <c r="C3492" s="8">
        <v>59</v>
      </c>
      <c r="D3492" t="str">
        <f t="shared" si="328"/>
        <v>Senior</v>
      </c>
      <c r="E3492">
        <v>1</v>
      </c>
      <c r="F3492" t="str">
        <f>HLOOKUP(E3492, LookUP_Table!$A$6:$D$7, 2, FALSE)</f>
        <v>Primary</v>
      </c>
      <c r="G3492" t="str">
        <f>IFERROR(VLOOKUP(E3492, LookUP_Table!$A$1:$B$4, 2, FALSE), "")</f>
        <v>Primary</v>
      </c>
      <c r="H3492">
        <v>0</v>
      </c>
      <c r="I3492">
        <v>0</v>
      </c>
      <c r="J3492" t="str">
        <f t="shared" si="324"/>
        <v>Non-Smoker</v>
      </c>
      <c r="K3492">
        <v>0</v>
      </c>
      <c r="L3492">
        <v>0</v>
      </c>
      <c r="M3492">
        <v>1</v>
      </c>
      <c r="N3492">
        <v>0</v>
      </c>
      <c r="O3492">
        <v>220</v>
      </c>
      <c r="P3492" t="str">
        <f t="shared" si="325"/>
        <v>Normal</v>
      </c>
      <c r="Q3492">
        <v>145</v>
      </c>
      <c r="R3492">
        <v>86</v>
      </c>
      <c r="S3492">
        <v>25.9</v>
      </c>
      <c r="T3492" t="str">
        <f t="shared" si="326"/>
        <v>Overweight</v>
      </c>
      <c r="U3492">
        <v>90</v>
      </c>
      <c r="V3492">
        <v>77</v>
      </c>
      <c r="W3492" t="str">
        <f t="shared" si="329"/>
        <v>Normal</v>
      </c>
      <c r="X3492">
        <v>0</v>
      </c>
    </row>
    <row r="3493" spans="1:24" ht="14.5" thickBot="1" x14ac:dyDescent="0.35">
      <c r="A3493">
        <v>0</v>
      </c>
      <c r="B3493" t="str">
        <f t="shared" si="327"/>
        <v>Female</v>
      </c>
      <c r="C3493" s="8">
        <v>59</v>
      </c>
      <c r="D3493" t="str">
        <f t="shared" si="328"/>
        <v>Senior</v>
      </c>
      <c r="E3493">
        <v>3</v>
      </c>
      <c r="F3493" t="str">
        <f>HLOOKUP(E3493, LookUP_Table!$A$6:$D$7, 2, FALSE)</f>
        <v>Graduate</v>
      </c>
      <c r="G3493" t="str">
        <f>IFERROR(VLOOKUP(E3493, LookUP_Table!$A$1:$B$4, 2, FALSE), "")</f>
        <v>Graduate</v>
      </c>
      <c r="H3493">
        <v>1</v>
      </c>
      <c r="I3493">
        <v>3</v>
      </c>
      <c r="J3493" t="str">
        <f t="shared" si="324"/>
        <v>Smoker</v>
      </c>
      <c r="K3493">
        <v>0</v>
      </c>
      <c r="L3493">
        <v>0</v>
      </c>
      <c r="M3493">
        <v>1</v>
      </c>
      <c r="N3493">
        <v>0</v>
      </c>
      <c r="O3493">
        <v>216</v>
      </c>
      <c r="P3493" t="str">
        <f t="shared" si="325"/>
        <v>Normal</v>
      </c>
      <c r="Q3493">
        <v>205</v>
      </c>
      <c r="R3493">
        <v>92.5</v>
      </c>
      <c r="S3493">
        <v>25.86</v>
      </c>
      <c r="T3493" t="str">
        <f t="shared" si="326"/>
        <v>Overweight</v>
      </c>
      <c r="U3493">
        <v>66</v>
      </c>
      <c r="V3493">
        <v>84</v>
      </c>
      <c r="W3493" t="str">
        <f t="shared" si="329"/>
        <v>Normal</v>
      </c>
      <c r="X3493">
        <v>0</v>
      </c>
    </row>
    <row r="3494" spans="1:24" ht="14.5" thickBot="1" x14ac:dyDescent="0.35">
      <c r="A3494">
        <v>0</v>
      </c>
      <c r="B3494" t="str">
        <f t="shared" si="327"/>
        <v>Female</v>
      </c>
      <c r="C3494" s="8">
        <v>59</v>
      </c>
      <c r="D3494" t="str">
        <f t="shared" si="328"/>
        <v>Senior</v>
      </c>
      <c r="E3494">
        <v>3</v>
      </c>
      <c r="F3494" t="str">
        <f>HLOOKUP(E3494, LookUP_Table!$A$6:$D$7, 2, FALSE)</f>
        <v>Graduate</v>
      </c>
      <c r="G3494" t="str">
        <f>IFERROR(VLOOKUP(E3494, LookUP_Table!$A$1:$B$4, 2, FALSE), "")</f>
        <v>Graduate</v>
      </c>
      <c r="H3494">
        <v>0</v>
      </c>
      <c r="I3494">
        <v>0</v>
      </c>
      <c r="J3494" t="str">
        <f t="shared" si="324"/>
        <v>Non-Smoker</v>
      </c>
      <c r="K3494">
        <v>0</v>
      </c>
      <c r="L3494">
        <v>0</v>
      </c>
      <c r="M3494">
        <v>0</v>
      </c>
      <c r="N3494">
        <v>0</v>
      </c>
      <c r="O3494">
        <v>293</v>
      </c>
      <c r="P3494" t="str">
        <f t="shared" si="325"/>
        <v>High</v>
      </c>
      <c r="Q3494">
        <v>124</v>
      </c>
      <c r="R3494">
        <v>74</v>
      </c>
      <c r="S3494">
        <v>25.56</v>
      </c>
      <c r="T3494" t="str">
        <f t="shared" si="326"/>
        <v>Overweight</v>
      </c>
      <c r="U3494">
        <v>72</v>
      </c>
      <c r="V3494">
        <v>77</v>
      </c>
      <c r="W3494" t="str">
        <f t="shared" si="329"/>
        <v>Normal</v>
      </c>
      <c r="X3494">
        <v>0</v>
      </c>
    </row>
    <row r="3495" spans="1:24" ht="14.5" thickBot="1" x14ac:dyDescent="0.35">
      <c r="A3495">
        <v>0</v>
      </c>
      <c r="B3495" t="str">
        <f t="shared" si="327"/>
        <v>Female</v>
      </c>
      <c r="C3495" s="8">
        <v>59</v>
      </c>
      <c r="D3495" t="str">
        <f t="shared" si="328"/>
        <v>Senior</v>
      </c>
      <c r="E3495">
        <v>1</v>
      </c>
      <c r="F3495" t="str">
        <f>HLOOKUP(E3495, LookUP_Table!$A$6:$D$7, 2, FALSE)</f>
        <v>Primary</v>
      </c>
      <c r="G3495" t="str">
        <f>IFERROR(VLOOKUP(E3495, LookUP_Table!$A$1:$B$4, 2, FALSE), "")</f>
        <v>Primary</v>
      </c>
      <c r="H3495">
        <v>0</v>
      </c>
      <c r="I3495">
        <v>0</v>
      </c>
      <c r="J3495" t="str">
        <f t="shared" si="324"/>
        <v>Non-Smoker</v>
      </c>
      <c r="K3495">
        <v>0</v>
      </c>
      <c r="L3495">
        <v>0</v>
      </c>
      <c r="M3495">
        <v>0</v>
      </c>
      <c r="N3495">
        <v>0</v>
      </c>
      <c r="O3495">
        <v>205</v>
      </c>
      <c r="P3495" t="str">
        <f t="shared" si="325"/>
        <v>Normal</v>
      </c>
      <c r="Q3495">
        <v>142.5</v>
      </c>
      <c r="R3495">
        <v>74.5</v>
      </c>
      <c r="S3495">
        <v>25.63</v>
      </c>
      <c r="T3495" t="str">
        <f t="shared" si="326"/>
        <v>Overweight</v>
      </c>
      <c r="U3495">
        <v>85</v>
      </c>
      <c r="V3495">
        <v>83</v>
      </c>
      <c r="W3495" t="str">
        <f t="shared" si="329"/>
        <v>Normal</v>
      </c>
      <c r="X3495">
        <v>0</v>
      </c>
    </row>
    <row r="3496" spans="1:24" ht="14.5" thickBot="1" x14ac:dyDescent="0.35">
      <c r="A3496">
        <v>1</v>
      </c>
      <c r="B3496" t="str">
        <f t="shared" si="327"/>
        <v>Male</v>
      </c>
      <c r="C3496" s="8">
        <v>59</v>
      </c>
      <c r="D3496" t="str">
        <f t="shared" si="328"/>
        <v>Senior</v>
      </c>
      <c r="E3496">
        <v>1</v>
      </c>
      <c r="F3496" t="str">
        <f>HLOOKUP(E3496, LookUP_Table!$A$6:$D$7, 2, FALSE)</f>
        <v>Primary</v>
      </c>
      <c r="G3496" t="str">
        <f>IFERROR(VLOOKUP(E3496, LookUP_Table!$A$1:$B$4, 2, FALSE), "")</f>
        <v>Primary</v>
      </c>
      <c r="H3496">
        <v>1</v>
      </c>
      <c r="I3496">
        <v>20</v>
      </c>
      <c r="J3496" t="str">
        <f t="shared" si="324"/>
        <v>Smoker</v>
      </c>
      <c r="K3496">
        <v>0</v>
      </c>
      <c r="L3496">
        <v>0</v>
      </c>
      <c r="M3496">
        <v>0</v>
      </c>
      <c r="N3496">
        <v>0</v>
      </c>
      <c r="O3496">
        <v>207</v>
      </c>
      <c r="P3496" t="str">
        <f t="shared" si="325"/>
        <v>Normal</v>
      </c>
      <c r="Q3496">
        <v>111.5</v>
      </c>
      <c r="R3496">
        <v>67</v>
      </c>
      <c r="S3496">
        <v>20.12</v>
      </c>
      <c r="T3496" t="str">
        <f t="shared" si="326"/>
        <v>Normal</v>
      </c>
      <c r="U3496">
        <v>55</v>
      </c>
      <c r="V3496">
        <v>84</v>
      </c>
      <c r="W3496" t="str">
        <f t="shared" si="329"/>
        <v>Normal</v>
      </c>
      <c r="X3496">
        <v>0</v>
      </c>
    </row>
    <row r="3497" spans="1:24" ht="14.5" thickBot="1" x14ac:dyDescent="0.35">
      <c r="A3497">
        <v>1</v>
      </c>
      <c r="B3497" t="str">
        <f t="shared" si="327"/>
        <v>Male</v>
      </c>
      <c r="C3497" s="8">
        <v>59</v>
      </c>
      <c r="D3497" t="str">
        <f t="shared" si="328"/>
        <v>Senior</v>
      </c>
      <c r="E3497">
        <v>4</v>
      </c>
      <c r="F3497" t="str">
        <f>HLOOKUP(E3497, LookUP_Table!$A$6:$D$7, 2, FALSE)</f>
        <v>Post Graduate</v>
      </c>
      <c r="G3497" t="str">
        <f>IFERROR(VLOOKUP(E3497, LookUP_Table!$A$1:$B$4, 2, FALSE), "")</f>
        <v>Post Graduate</v>
      </c>
      <c r="H3497">
        <v>1</v>
      </c>
      <c r="I3497">
        <v>30</v>
      </c>
      <c r="J3497" t="str">
        <f t="shared" si="324"/>
        <v>Smoker</v>
      </c>
      <c r="K3497">
        <v>0</v>
      </c>
      <c r="L3497">
        <v>0</v>
      </c>
      <c r="M3497">
        <v>0</v>
      </c>
      <c r="N3497">
        <v>0</v>
      </c>
      <c r="O3497">
        <v>235</v>
      </c>
      <c r="P3497" t="str">
        <f t="shared" si="325"/>
        <v>Normal</v>
      </c>
      <c r="Q3497">
        <v>136</v>
      </c>
      <c r="R3497">
        <v>96</v>
      </c>
      <c r="S3497">
        <v>28.61</v>
      </c>
      <c r="T3497" t="str">
        <f t="shared" si="326"/>
        <v>Overweight</v>
      </c>
      <c r="U3497">
        <v>54</v>
      </c>
      <c r="V3497">
        <v>85</v>
      </c>
      <c r="W3497" t="str">
        <f t="shared" si="329"/>
        <v>Normal</v>
      </c>
      <c r="X3497">
        <v>0</v>
      </c>
    </row>
    <row r="3498" spans="1:24" ht="14.5" thickBot="1" x14ac:dyDescent="0.35">
      <c r="A3498">
        <v>0</v>
      </c>
      <c r="B3498" t="str">
        <f t="shared" si="327"/>
        <v>Female</v>
      </c>
      <c r="C3498" s="8">
        <v>59</v>
      </c>
      <c r="D3498" t="str">
        <f t="shared" si="328"/>
        <v>Senior</v>
      </c>
      <c r="E3498">
        <v>3</v>
      </c>
      <c r="F3498" t="str">
        <f>HLOOKUP(E3498, LookUP_Table!$A$6:$D$7, 2, FALSE)</f>
        <v>Graduate</v>
      </c>
      <c r="G3498" t="str">
        <f>IFERROR(VLOOKUP(E3498, LookUP_Table!$A$1:$B$4, 2, FALSE), "")</f>
        <v>Graduate</v>
      </c>
      <c r="H3498">
        <v>1</v>
      </c>
      <c r="I3498">
        <v>15</v>
      </c>
      <c r="J3498" t="str">
        <f t="shared" si="324"/>
        <v>Smoker</v>
      </c>
      <c r="K3498">
        <v>0</v>
      </c>
      <c r="L3498">
        <v>0</v>
      </c>
      <c r="M3498">
        <v>0</v>
      </c>
      <c r="N3498">
        <v>1</v>
      </c>
      <c r="O3498">
        <v>342</v>
      </c>
      <c r="P3498" t="str">
        <f t="shared" si="325"/>
        <v>High</v>
      </c>
      <c r="Q3498">
        <v>137</v>
      </c>
      <c r="R3498">
        <v>83.5</v>
      </c>
      <c r="S3498">
        <v>25.18</v>
      </c>
      <c r="T3498" t="str">
        <f t="shared" si="326"/>
        <v>Overweight</v>
      </c>
      <c r="U3498">
        <v>86</v>
      </c>
      <c r="V3498">
        <v>140</v>
      </c>
      <c r="W3498" t="str">
        <f t="shared" si="329"/>
        <v>Diabetes</v>
      </c>
      <c r="X3498">
        <v>0</v>
      </c>
    </row>
    <row r="3499" spans="1:24" ht="14.5" thickBot="1" x14ac:dyDescent="0.35">
      <c r="A3499">
        <v>1</v>
      </c>
      <c r="B3499" t="str">
        <f t="shared" si="327"/>
        <v>Male</v>
      </c>
      <c r="C3499" s="8">
        <v>59</v>
      </c>
      <c r="D3499" t="str">
        <f t="shared" si="328"/>
        <v>Senior</v>
      </c>
      <c r="E3499">
        <v>2</v>
      </c>
      <c r="F3499" t="str">
        <f>HLOOKUP(E3499, LookUP_Table!$A$6:$D$7, 2, FALSE)</f>
        <v>Secondary</v>
      </c>
      <c r="G3499" t="str">
        <f>IFERROR(VLOOKUP(E3499, LookUP_Table!$A$1:$B$4, 2, FALSE), "")</f>
        <v>Secondary</v>
      </c>
      <c r="H3499">
        <v>1</v>
      </c>
      <c r="I3499">
        <v>20</v>
      </c>
      <c r="J3499" t="str">
        <f t="shared" si="324"/>
        <v>Smoker</v>
      </c>
      <c r="K3499">
        <v>0</v>
      </c>
      <c r="L3499">
        <v>0</v>
      </c>
      <c r="M3499">
        <v>1</v>
      </c>
      <c r="N3499">
        <v>0</v>
      </c>
      <c r="O3499">
        <v>266</v>
      </c>
      <c r="P3499" t="str">
        <f t="shared" si="325"/>
        <v>High</v>
      </c>
      <c r="Q3499">
        <v>165</v>
      </c>
      <c r="R3499">
        <v>99</v>
      </c>
      <c r="S3499">
        <v>29.07</v>
      </c>
      <c r="T3499" t="str">
        <f t="shared" si="326"/>
        <v>Overweight</v>
      </c>
      <c r="U3499">
        <v>96</v>
      </c>
      <c r="V3499">
        <v>82</v>
      </c>
      <c r="W3499" t="str">
        <f t="shared" si="329"/>
        <v>Normal</v>
      </c>
      <c r="X3499">
        <v>1</v>
      </c>
    </row>
    <row r="3500" spans="1:24" ht="14.5" thickBot="1" x14ac:dyDescent="0.35">
      <c r="A3500">
        <v>1</v>
      </c>
      <c r="B3500" t="str">
        <f t="shared" si="327"/>
        <v>Male</v>
      </c>
      <c r="C3500" s="8">
        <v>59</v>
      </c>
      <c r="D3500" t="str">
        <f t="shared" si="328"/>
        <v>Senior</v>
      </c>
      <c r="E3500">
        <v>3</v>
      </c>
      <c r="F3500" t="str">
        <f>HLOOKUP(E3500, LookUP_Table!$A$6:$D$7, 2, FALSE)</f>
        <v>Graduate</v>
      </c>
      <c r="G3500" t="str">
        <f>IFERROR(VLOOKUP(E3500, LookUP_Table!$A$1:$B$4, 2, FALSE), "")</f>
        <v>Graduate</v>
      </c>
      <c r="H3500">
        <v>0</v>
      </c>
      <c r="I3500">
        <v>0</v>
      </c>
      <c r="J3500" t="str">
        <f t="shared" si="324"/>
        <v>Non-Smoker</v>
      </c>
      <c r="K3500">
        <v>0</v>
      </c>
      <c r="L3500">
        <v>0</v>
      </c>
      <c r="M3500">
        <v>1</v>
      </c>
      <c r="N3500">
        <v>0</v>
      </c>
      <c r="O3500">
        <v>285</v>
      </c>
      <c r="P3500" t="str">
        <f t="shared" si="325"/>
        <v>High</v>
      </c>
      <c r="Q3500">
        <v>128</v>
      </c>
      <c r="R3500">
        <v>91</v>
      </c>
      <c r="S3500">
        <v>28.23</v>
      </c>
      <c r="T3500" t="str">
        <f t="shared" si="326"/>
        <v>Overweight</v>
      </c>
      <c r="U3500">
        <v>70</v>
      </c>
      <c r="V3500">
        <v>80</v>
      </c>
      <c r="W3500" t="str">
        <f t="shared" si="329"/>
        <v>Normal</v>
      </c>
      <c r="X3500">
        <v>0</v>
      </c>
    </row>
    <row r="3501" spans="1:24" ht="14.5" thickBot="1" x14ac:dyDescent="0.35">
      <c r="A3501">
        <v>1</v>
      </c>
      <c r="B3501" t="str">
        <f t="shared" si="327"/>
        <v>Male</v>
      </c>
      <c r="C3501" s="8">
        <v>59</v>
      </c>
      <c r="D3501" t="str">
        <f t="shared" si="328"/>
        <v>Senior</v>
      </c>
      <c r="E3501">
        <v>2</v>
      </c>
      <c r="F3501" t="str">
        <f>HLOOKUP(E3501, LookUP_Table!$A$6:$D$7, 2, FALSE)</f>
        <v>Secondary</v>
      </c>
      <c r="G3501" t="str">
        <f>IFERROR(VLOOKUP(E3501, LookUP_Table!$A$1:$B$4, 2, FALSE), "")</f>
        <v>Secondary</v>
      </c>
      <c r="H3501">
        <v>0</v>
      </c>
      <c r="I3501">
        <v>0</v>
      </c>
      <c r="J3501" t="str">
        <f t="shared" si="324"/>
        <v>Non-Smoker</v>
      </c>
      <c r="K3501">
        <v>0</v>
      </c>
      <c r="L3501">
        <v>0</v>
      </c>
      <c r="M3501">
        <v>0</v>
      </c>
      <c r="N3501">
        <v>0</v>
      </c>
      <c r="O3501">
        <v>299</v>
      </c>
      <c r="P3501" t="str">
        <f t="shared" si="325"/>
        <v>High</v>
      </c>
      <c r="Q3501">
        <v>120.5</v>
      </c>
      <c r="R3501">
        <v>78</v>
      </c>
      <c r="S3501">
        <v>25.45</v>
      </c>
      <c r="T3501" t="str">
        <f t="shared" si="326"/>
        <v>Overweight</v>
      </c>
      <c r="U3501">
        <v>60</v>
      </c>
      <c r="V3501">
        <v>100</v>
      </c>
      <c r="W3501" t="str">
        <f t="shared" si="329"/>
        <v>Prediabetes</v>
      </c>
      <c r="X3501">
        <v>1</v>
      </c>
    </row>
    <row r="3502" spans="1:24" ht="14.5" thickBot="1" x14ac:dyDescent="0.35">
      <c r="A3502">
        <v>1</v>
      </c>
      <c r="B3502" t="str">
        <f t="shared" si="327"/>
        <v>Male</v>
      </c>
      <c r="C3502" s="8">
        <v>59</v>
      </c>
      <c r="D3502" t="str">
        <f t="shared" si="328"/>
        <v>Senior</v>
      </c>
      <c r="E3502">
        <v>1</v>
      </c>
      <c r="F3502" t="str">
        <f>HLOOKUP(E3502, LookUP_Table!$A$6:$D$7, 2, FALSE)</f>
        <v>Primary</v>
      </c>
      <c r="G3502" t="str">
        <f>IFERROR(VLOOKUP(E3502, LookUP_Table!$A$1:$B$4, 2, FALSE), "")</f>
        <v>Primary</v>
      </c>
      <c r="H3502">
        <v>0</v>
      </c>
      <c r="I3502">
        <v>0</v>
      </c>
      <c r="J3502" t="str">
        <f t="shared" si="324"/>
        <v>Non-Smoker</v>
      </c>
      <c r="K3502">
        <v>0</v>
      </c>
      <c r="L3502">
        <v>0</v>
      </c>
      <c r="M3502">
        <v>0</v>
      </c>
      <c r="N3502">
        <v>0</v>
      </c>
      <c r="O3502">
        <v>252</v>
      </c>
      <c r="P3502" t="str">
        <f t="shared" si="325"/>
        <v>High</v>
      </c>
      <c r="Q3502">
        <v>146</v>
      </c>
      <c r="R3502">
        <v>92</v>
      </c>
      <c r="S3502">
        <v>27.88</v>
      </c>
      <c r="T3502" t="str">
        <f t="shared" si="326"/>
        <v>Overweight</v>
      </c>
      <c r="U3502">
        <v>68</v>
      </c>
      <c r="V3502">
        <v>80</v>
      </c>
      <c r="W3502" t="str">
        <f t="shared" si="329"/>
        <v>Normal</v>
      </c>
      <c r="X3502">
        <v>1</v>
      </c>
    </row>
    <row r="3503" spans="1:24" ht="14.5" thickBot="1" x14ac:dyDescent="0.35">
      <c r="A3503">
        <v>0</v>
      </c>
      <c r="B3503" t="str">
        <f t="shared" si="327"/>
        <v>Female</v>
      </c>
      <c r="C3503" s="8">
        <v>59</v>
      </c>
      <c r="D3503" t="str">
        <f t="shared" si="328"/>
        <v>Senior</v>
      </c>
      <c r="E3503">
        <v>2</v>
      </c>
      <c r="F3503" t="str">
        <f>HLOOKUP(E3503, LookUP_Table!$A$6:$D$7, 2, FALSE)</f>
        <v>Secondary</v>
      </c>
      <c r="G3503" t="str">
        <f>IFERROR(VLOOKUP(E3503, LookUP_Table!$A$1:$B$4, 2, FALSE), "")</f>
        <v>Secondary</v>
      </c>
      <c r="H3503">
        <v>1</v>
      </c>
      <c r="I3503">
        <v>15</v>
      </c>
      <c r="J3503" t="str">
        <f t="shared" si="324"/>
        <v>Smoker</v>
      </c>
      <c r="K3503">
        <v>0</v>
      </c>
      <c r="L3503">
        <v>0</v>
      </c>
      <c r="M3503">
        <v>0</v>
      </c>
      <c r="N3503">
        <v>0</v>
      </c>
      <c r="O3503">
        <v>309</v>
      </c>
      <c r="P3503" t="str">
        <f t="shared" si="325"/>
        <v>High</v>
      </c>
      <c r="Q3503">
        <v>141</v>
      </c>
      <c r="R3503">
        <v>77.5</v>
      </c>
      <c r="S3503">
        <v>25.97</v>
      </c>
      <c r="T3503" t="str">
        <f t="shared" si="326"/>
        <v>Overweight</v>
      </c>
      <c r="U3503">
        <v>70</v>
      </c>
      <c r="V3503">
        <v>79</v>
      </c>
      <c r="W3503" t="str">
        <f t="shared" si="329"/>
        <v>Normal</v>
      </c>
      <c r="X3503">
        <v>0</v>
      </c>
    </row>
    <row r="3504" spans="1:24" ht="14.5" thickBot="1" x14ac:dyDescent="0.35">
      <c r="A3504">
        <v>0</v>
      </c>
      <c r="B3504" t="str">
        <f t="shared" si="327"/>
        <v>Female</v>
      </c>
      <c r="C3504" s="8">
        <v>59</v>
      </c>
      <c r="D3504" t="str">
        <f t="shared" si="328"/>
        <v>Senior</v>
      </c>
      <c r="E3504">
        <v>1</v>
      </c>
      <c r="F3504" t="str">
        <f>HLOOKUP(E3504, LookUP_Table!$A$6:$D$7, 2, FALSE)</f>
        <v>Primary</v>
      </c>
      <c r="G3504" t="str">
        <f>IFERROR(VLOOKUP(E3504, LookUP_Table!$A$1:$B$4, 2, FALSE), "")</f>
        <v>Primary</v>
      </c>
      <c r="H3504">
        <v>1</v>
      </c>
      <c r="I3504">
        <v>10</v>
      </c>
      <c r="J3504" t="str">
        <f t="shared" si="324"/>
        <v>Smoker</v>
      </c>
      <c r="K3504">
        <v>1</v>
      </c>
      <c r="L3504">
        <v>0</v>
      </c>
      <c r="M3504">
        <v>1</v>
      </c>
      <c r="N3504">
        <v>0</v>
      </c>
      <c r="O3504">
        <v>312</v>
      </c>
      <c r="P3504" t="str">
        <f t="shared" si="325"/>
        <v>High</v>
      </c>
      <c r="Q3504">
        <v>175</v>
      </c>
      <c r="R3504">
        <v>82</v>
      </c>
      <c r="S3504">
        <v>39.82</v>
      </c>
      <c r="T3504" t="str">
        <f t="shared" si="326"/>
        <v>Obese</v>
      </c>
      <c r="U3504">
        <v>120</v>
      </c>
      <c r="V3504">
        <v>85</v>
      </c>
      <c r="W3504" t="str">
        <f t="shared" si="329"/>
        <v>Normal</v>
      </c>
      <c r="X3504">
        <v>1</v>
      </c>
    </row>
    <row r="3505" spans="1:24" ht="14.5" thickBot="1" x14ac:dyDescent="0.35">
      <c r="A3505">
        <v>1</v>
      </c>
      <c r="B3505" t="str">
        <f t="shared" si="327"/>
        <v>Male</v>
      </c>
      <c r="C3505" s="8">
        <v>59</v>
      </c>
      <c r="D3505" t="str">
        <f t="shared" si="328"/>
        <v>Senior</v>
      </c>
      <c r="E3505">
        <v>2</v>
      </c>
      <c r="F3505" t="str">
        <f>HLOOKUP(E3505, LookUP_Table!$A$6:$D$7, 2, FALSE)</f>
        <v>Secondary</v>
      </c>
      <c r="G3505" t="str">
        <f>IFERROR(VLOOKUP(E3505, LookUP_Table!$A$1:$B$4, 2, FALSE), "")</f>
        <v>Secondary</v>
      </c>
      <c r="H3505">
        <v>0</v>
      </c>
      <c r="I3505">
        <v>0</v>
      </c>
      <c r="J3505" t="str">
        <f t="shared" si="324"/>
        <v>Non-Smoker</v>
      </c>
      <c r="K3505">
        <v>0</v>
      </c>
      <c r="L3505">
        <v>0</v>
      </c>
      <c r="M3505">
        <v>1</v>
      </c>
      <c r="N3505">
        <v>0</v>
      </c>
      <c r="O3505">
        <v>242</v>
      </c>
      <c r="P3505" t="str">
        <f t="shared" si="325"/>
        <v>High</v>
      </c>
      <c r="Q3505">
        <v>144</v>
      </c>
      <c r="R3505">
        <v>87.5</v>
      </c>
      <c r="S3505">
        <v>28.7</v>
      </c>
      <c r="T3505" t="str">
        <f t="shared" si="326"/>
        <v>Overweight</v>
      </c>
      <c r="U3505">
        <v>72</v>
      </c>
      <c r="V3505">
        <v>81.96365524402907</v>
      </c>
      <c r="W3505" t="str">
        <f t="shared" si="329"/>
        <v>Normal</v>
      </c>
      <c r="X3505">
        <v>0</v>
      </c>
    </row>
    <row r="3506" spans="1:24" ht="14.5" thickBot="1" x14ac:dyDescent="0.35">
      <c r="A3506">
        <v>1</v>
      </c>
      <c r="B3506" t="str">
        <f t="shared" si="327"/>
        <v>Male</v>
      </c>
      <c r="C3506" s="8">
        <v>59</v>
      </c>
      <c r="D3506" t="str">
        <f t="shared" si="328"/>
        <v>Senior</v>
      </c>
      <c r="E3506">
        <v>1</v>
      </c>
      <c r="F3506" t="str">
        <f>HLOOKUP(E3506, LookUP_Table!$A$6:$D$7, 2, FALSE)</f>
        <v>Primary</v>
      </c>
      <c r="G3506" t="str">
        <f>IFERROR(VLOOKUP(E3506, LookUP_Table!$A$1:$B$4, 2, FALSE), "")</f>
        <v>Primary</v>
      </c>
      <c r="H3506">
        <v>1</v>
      </c>
      <c r="I3506">
        <v>3</v>
      </c>
      <c r="J3506" t="str">
        <f t="shared" si="324"/>
        <v>Smoker</v>
      </c>
      <c r="K3506">
        <v>0</v>
      </c>
      <c r="L3506">
        <v>0</v>
      </c>
      <c r="M3506">
        <v>1</v>
      </c>
      <c r="N3506">
        <v>1</v>
      </c>
      <c r="O3506">
        <v>230</v>
      </c>
      <c r="P3506" t="str">
        <f t="shared" si="325"/>
        <v>Normal</v>
      </c>
      <c r="Q3506">
        <v>182</v>
      </c>
      <c r="R3506">
        <v>102</v>
      </c>
      <c r="S3506">
        <v>25.91</v>
      </c>
      <c r="T3506" t="str">
        <f t="shared" si="326"/>
        <v>Overweight</v>
      </c>
      <c r="U3506">
        <v>66</v>
      </c>
      <c r="V3506">
        <v>147</v>
      </c>
      <c r="W3506" t="str">
        <f t="shared" si="329"/>
        <v>Diabetes</v>
      </c>
      <c r="X3506">
        <v>1</v>
      </c>
    </row>
    <row r="3507" spans="1:24" ht="14.5" thickBot="1" x14ac:dyDescent="0.35">
      <c r="A3507">
        <v>1</v>
      </c>
      <c r="B3507" t="str">
        <f t="shared" si="327"/>
        <v>Male</v>
      </c>
      <c r="C3507" s="8">
        <v>59</v>
      </c>
      <c r="D3507" t="str">
        <f t="shared" si="328"/>
        <v>Senior</v>
      </c>
      <c r="E3507">
        <v>3</v>
      </c>
      <c r="F3507" t="str">
        <f>HLOOKUP(E3507, LookUP_Table!$A$6:$D$7, 2, FALSE)</f>
        <v>Graduate</v>
      </c>
      <c r="G3507" t="str">
        <f>IFERROR(VLOOKUP(E3507, LookUP_Table!$A$1:$B$4, 2, FALSE), "")</f>
        <v>Graduate</v>
      </c>
      <c r="H3507">
        <v>1</v>
      </c>
      <c r="I3507">
        <v>40</v>
      </c>
      <c r="J3507" t="str">
        <f t="shared" si="324"/>
        <v>Smoker</v>
      </c>
      <c r="K3507">
        <v>0</v>
      </c>
      <c r="L3507">
        <v>0</v>
      </c>
      <c r="M3507">
        <v>1</v>
      </c>
      <c r="N3507">
        <v>0</v>
      </c>
      <c r="O3507">
        <v>243</v>
      </c>
      <c r="P3507" t="str">
        <f t="shared" si="325"/>
        <v>High</v>
      </c>
      <c r="Q3507">
        <v>162</v>
      </c>
      <c r="R3507">
        <v>91</v>
      </c>
      <c r="S3507">
        <v>33</v>
      </c>
      <c r="T3507" t="str">
        <f t="shared" si="326"/>
        <v>Obese</v>
      </c>
      <c r="U3507">
        <v>85</v>
      </c>
      <c r="V3507">
        <v>81</v>
      </c>
      <c r="W3507" t="str">
        <f t="shared" si="329"/>
        <v>Normal</v>
      </c>
      <c r="X3507">
        <v>1</v>
      </c>
    </row>
    <row r="3508" spans="1:24" ht="14.5" thickBot="1" x14ac:dyDescent="0.35">
      <c r="A3508">
        <v>0</v>
      </c>
      <c r="B3508" t="str">
        <f t="shared" si="327"/>
        <v>Female</v>
      </c>
      <c r="C3508" s="8">
        <v>59</v>
      </c>
      <c r="D3508" t="str">
        <f t="shared" si="328"/>
        <v>Senior</v>
      </c>
      <c r="E3508">
        <v>2</v>
      </c>
      <c r="F3508" t="str">
        <f>HLOOKUP(E3508, LookUP_Table!$A$6:$D$7, 2, FALSE)</f>
        <v>Secondary</v>
      </c>
      <c r="G3508" t="str">
        <f>IFERROR(VLOOKUP(E3508, LookUP_Table!$A$1:$B$4, 2, FALSE), "")</f>
        <v>Secondary</v>
      </c>
      <c r="H3508">
        <v>1</v>
      </c>
      <c r="I3508">
        <v>35</v>
      </c>
      <c r="J3508" t="str">
        <f t="shared" si="324"/>
        <v>Smoker</v>
      </c>
      <c r="K3508">
        <v>0</v>
      </c>
      <c r="L3508">
        <v>0</v>
      </c>
      <c r="M3508">
        <v>1</v>
      </c>
      <c r="N3508">
        <v>0</v>
      </c>
      <c r="O3508">
        <v>345</v>
      </c>
      <c r="P3508" t="str">
        <f t="shared" si="325"/>
        <v>High</v>
      </c>
      <c r="Q3508">
        <v>182.5</v>
      </c>
      <c r="R3508">
        <v>103</v>
      </c>
      <c r="S3508">
        <v>31.52</v>
      </c>
      <c r="T3508" t="str">
        <f t="shared" si="326"/>
        <v>Obese</v>
      </c>
      <c r="U3508">
        <v>83</v>
      </c>
      <c r="V3508">
        <v>76</v>
      </c>
      <c r="W3508" t="str">
        <f t="shared" si="329"/>
        <v>Normal</v>
      </c>
      <c r="X3508">
        <v>1</v>
      </c>
    </row>
    <row r="3509" spans="1:24" ht="14.5" thickBot="1" x14ac:dyDescent="0.35">
      <c r="A3509">
        <v>0</v>
      </c>
      <c r="B3509" t="str">
        <f t="shared" si="327"/>
        <v>Female</v>
      </c>
      <c r="C3509" s="8">
        <v>59</v>
      </c>
      <c r="D3509" t="str">
        <f t="shared" si="328"/>
        <v>Senior</v>
      </c>
      <c r="E3509">
        <v>2</v>
      </c>
      <c r="F3509" t="str">
        <f>HLOOKUP(E3509, LookUP_Table!$A$6:$D$7, 2, FALSE)</f>
        <v>Secondary</v>
      </c>
      <c r="G3509" t="str">
        <f>IFERROR(VLOOKUP(E3509, LookUP_Table!$A$1:$B$4, 2, FALSE), "")</f>
        <v>Secondary</v>
      </c>
      <c r="H3509">
        <v>0</v>
      </c>
      <c r="I3509">
        <v>0</v>
      </c>
      <c r="J3509" t="str">
        <f t="shared" si="324"/>
        <v>Non-Smoker</v>
      </c>
      <c r="K3509">
        <v>0</v>
      </c>
      <c r="L3509">
        <v>0</v>
      </c>
      <c r="M3509">
        <v>0</v>
      </c>
      <c r="N3509">
        <v>0</v>
      </c>
      <c r="O3509">
        <v>364</v>
      </c>
      <c r="P3509" t="str">
        <f t="shared" si="325"/>
        <v>High</v>
      </c>
      <c r="Q3509">
        <v>142</v>
      </c>
      <c r="R3509">
        <v>84</v>
      </c>
      <c r="S3509">
        <v>26.24</v>
      </c>
      <c r="T3509" t="str">
        <f t="shared" si="326"/>
        <v>Overweight</v>
      </c>
      <c r="U3509">
        <v>67</v>
      </c>
      <c r="V3509">
        <v>70</v>
      </c>
      <c r="W3509" t="str">
        <f t="shared" si="329"/>
        <v>Normal</v>
      </c>
      <c r="X3509">
        <v>0</v>
      </c>
    </row>
    <row r="3510" spans="1:24" ht="14.5" thickBot="1" x14ac:dyDescent="0.35">
      <c r="A3510">
        <v>1</v>
      </c>
      <c r="B3510" t="str">
        <f t="shared" si="327"/>
        <v>Male</v>
      </c>
      <c r="C3510" s="8">
        <v>59</v>
      </c>
      <c r="D3510" t="str">
        <f t="shared" si="328"/>
        <v>Senior</v>
      </c>
      <c r="E3510">
        <v>2</v>
      </c>
      <c r="F3510" t="str">
        <f>HLOOKUP(E3510, LookUP_Table!$A$6:$D$7, 2, FALSE)</f>
        <v>Secondary</v>
      </c>
      <c r="G3510" t="str">
        <f>IFERROR(VLOOKUP(E3510, LookUP_Table!$A$1:$B$4, 2, FALSE), "")</f>
        <v>Secondary</v>
      </c>
      <c r="H3510">
        <v>1</v>
      </c>
      <c r="I3510">
        <v>1</v>
      </c>
      <c r="J3510" t="str">
        <f t="shared" si="324"/>
        <v>Smoker</v>
      </c>
      <c r="K3510">
        <v>0</v>
      </c>
      <c r="L3510">
        <v>0</v>
      </c>
      <c r="M3510">
        <v>0</v>
      </c>
      <c r="N3510">
        <v>0</v>
      </c>
      <c r="O3510">
        <v>232</v>
      </c>
      <c r="P3510" t="str">
        <f t="shared" si="325"/>
        <v>Normal</v>
      </c>
      <c r="Q3510">
        <v>108</v>
      </c>
      <c r="R3510">
        <v>73</v>
      </c>
      <c r="S3510">
        <v>24.92</v>
      </c>
      <c r="T3510" t="str">
        <f t="shared" si="326"/>
        <v>Normal</v>
      </c>
      <c r="U3510">
        <v>65</v>
      </c>
      <c r="V3510">
        <v>81</v>
      </c>
      <c r="W3510" t="str">
        <f t="shared" si="329"/>
        <v>Normal</v>
      </c>
      <c r="X3510">
        <v>0</v>
      </c>
    </row>
    <row r="3511" spans="1:24" ht="14.5" thickBot="1" x14ac:dyDescent="0.35">
      <c r="A3511">
        <v>0</v>
      </c>
      <c r="B3511" t="str">
        <f t="shared" si="327"/>
        <v>Female</v>
      </c>
      <c r="C3511" s="8">
        <v>59</v>
      </c>
      <c r="D3511" t="str">
        <f t="shared" si="328"/>
        <v>Senior</v>
      </c>
      <c r="E3511">
        <v>1</v>
      </c>
      <c r="F3511" t="str">
        <f>HLOOKUP(E3511, LookUP_Table!$A$6:$D$7, 2, FALSE)</f>
        <v>Primary</v>
      </c>
      <c r="G3511" t="str">
        <f>IFERROR(VLOOKUP(E3511, LookUP_Table!$A$1:$B$4, 2, FALSE), "")</f>
        <v>Primary</v>
      </c>
      <c r="H3511">
        <v>0</v>
      </c>
      <c r="I3511">
        <v>0</v>
      </c>
      <c r="J3511" t="str">
        <f t="shared" si="324"/>
        <v>Non-Smoker</v>
      </c>
      <c r="K3511">
        <v>0</v>
      </c>
      <c r="L3511">
        <v>0</v>
      </c>
      <c r="M3511">
        <v>1</v>
      </c>
      <c r="N3511">
        <v>0</v>
      </c>
      <c r="O3511">
        <v>267</v>
      </c>
      <c r="P3511" t="str">
        <f t="shared" si="325"/>
        <v>High</v>
      </c>
      <c r="Q3511">
        <v>190</v>
      </c>
      <c r="R3511">
        <v>90</v>
      </c>
      <c r="S3511">
        <v>26.23</v>
      </c>
      <c r="T3511" t="str">
        <f t="shared" si="326"/>
        <v>Overweight</v>
      </c>
      <c r="U3511">
        <v>75</v>
      </c>
      <c r="V3511">
        <v>81.96365524402907</v>
      </c>
      <c r="W3511" t="str">
        <f t="shared" si="329"/>
        <v>Normal</v>
      </c>
      <c r="X3511">
        <v>0</v>
      </c>
    </row>
    <row r="3512" spans="1:24" ht="14.5" thickBot="1" x14ac:dyDescent="0.35">
      <c r="A3512">
        <v>0</v>
      </c>
      <c r="B3512" t="str">
        <f t="shared" si="327"/>
        <v>Female</v>
      </c>
      <c r="C3512" s="8">
        <v>59</v>
      </c>
      <c r="D3512" t="str">
        <f t="shared" si="328"/>
        <v>Senior</v>
      </c>
      <c r="E3512">
        <v>4</v>
      </c>
      <c r="F3512" t="str">
        <f>HLOOKUP(E3512, LookUP_Table!$A$6:$D$7, 2, FALSE)</f>
        <v>Post Graduate</v>
      </c>
      <c r="G3512" t="str">
        <f>IFERROR(VLOOKUP(E3512, LookUP_Table!$A$1:$B$4, 2, FALSE), "")</f>
        <v>Post Graduate</v>
      </c>
      <c r="H3512">
        <v>0</v>
      </c>
      <c r="I3512">
        <v>0</v>
      </c>
      <c r="J3512" t="str">
        <f t="shared" si="324"/>
        <v>Non-Smoker</v>
      </c>
      <c r="K3512">
        <v>1</v>
      </c>
      <c r="L3512">
        <v>0</v>
      </c>
      <c r="M3512">
        <v>1</v>
      </c>
      <c r="N3512">
        <v>0</v>
      </c>
      <c r="O3512">
        <v>282</v>
      </c>
      <c r="P3512" t="str">
        <f t="shared" si="325"/>
        <v>High</v>
      </c>
      <c r="Q3512">
        <v>135</v>
      </c>
      <c r="R3512">
        <v>87</v>
      </c>
      <c r="S3512">
        <v>28.96</v>
      </c>
      <c r="T3512" t="str">
        <f t="shared" si="326"/>
        <v>Overweight</v>
      </c>
      <c r="U3512">
        <v>72</v>
      </c>
      <c r="V3512">
        <v>81.96365524402907</v>
      </c>
      <c r="W3512" t="str">
        <f t="shared" si="329"/>
        <v>Normal</v>
      </c>
      <c r="X3512">
        <v>0</v>
      </c>
    </row>
    <row r="3513" spans="1:24" ht="14.5" thickBot="1" x14ac:dyDescent="0.35">
      <c r="A3513">
        <v>0</v>
      </c>
      <c r="B3513" t="str">
        <f t="shared" si="327"/>
        <v>Female</v>
      </c>
      <c r="C3513" s="8">
        <v>59</v>
      </c>
      <c r="D3513" t="str">
        <f t="shared" si="328"/>
        <v>Senior</v>
      </c>
      <c r="E3513">
        <v>1</v>
      </c>
      <c r="F3513" t="str">
        <f>HLOOKUP(E3513, LookUP_Table!$A$6:$D$7, 2, FALSE)</f>
        <v>Primary</v>
      </c>
      <c r="G3513" t="str">
        <f>IFERROR(VLOOKUP(E3513, LookUP_Table!$A$1:$B$4, 2, FALSE), "")</f>
        <v>Primary</v>
      </c>
      <c r="H3513">
        <v>0</v>
      </c>
      <c r="I3513">
        <v>0</v>
      </c>
      <c r="J3513" t="str">
        <f t="shared" si="324"/>
        <v>Non-Smoker</v>
      </c>
      <c r="K3513">
        <v>1</v>
      </c>
      <c r="L3513">
        <v>0</v>
      </c>
      <c r="M3513">
        <v>1</v>
      </c>
      <c r="N3513">
        <v>0</v>
      </c>
      <c r="O3513">
        <v>297</v>
      </c>
      <c r="P3513" t="str">
        <f t="shared" si="325"/>
        <v>High</v>
      </c>
      <c r="Q3513">
        <v>198</v>
      </c>
      <c r="R3513">
        <v>108</v>
      </c>
      <c r="S3513">
        <v>28.06</v>
      </c>
      <c r="T3513" t="str">
        <f t="shared" si="326"/>
        <v>Overweight</v>
      </c>
      <c r="U3513">
        <v>85</v>
      </c>
      <c r="V3513">
        <v>109</v>
      </c>
      <c r="W3513" t="str">
        <f t="shared" si="329"/>
        <v>Prediabetes</v>
      </c>
      <c r="X3513">
        <v>0</v>
      </c>
    </row>
    <row r="3514" spans="1:24" ht="14.5" thickBot="1" x14ac:dyDescent="0.35">
      <c r="A3514">
        <v>1</v>
      </c>
      <c r="B3514" t="str">
        <f t="shared" si="327"/>
        <v>Male</v>
      </c>
      <c r="C3514" s="8">
        <v>59</v>
      </c>
      <c r="D3514" t="str">
        <f t="shared" si="328"/>
        <v>Senior</v>
      </c>
      <c r="E3514">
        <v>1</v>
      </c>
      <c r="F3514" t="str">
        <f>HLOOKUP(E3514, LookUP_Table!$A$6:$D$7, 2, FALSE)</f>
        <v>Primary</v>
      </c>
      <c r="G3514" t="str">
        <f>IFERROR(VLOOKUP(E3514, LookUP_Table!$A$1:$B$4, 2, FALSE), "")</f>
        <v>Primary</v>
      </c>
      <c r="H3514">
        <v>1</v>
      </c>
      <c r="I3514">
        <v>40</v>
      </c>
      <c r="J3514" t="str">
        <f t="shared" si="324"/>
        <v>Smoker</v>
      </c>
      <c r="K3514">
        <v>0</v>
      </c>
      <c r="L3514">
        <v>0</v>
      </c>
      <c r="M3514">
        <v>1</v>
      </c>
      <c r="N3514">
        <v>0</v>
      </c>
      <c r="O3514">
        <v>188</v>
      </c>
      <c r="P3514" t="str">
        <f t="shared" si="325"/>
        <v>Normal</v>
      </c>
      <c r="Q3514">
        <v>111</v>
      </c>
      <c r="R3514">
        <v>72</v>
      </c>
      <c r="S3514">
        <v>21.48</v>
      </c>
      <c r="T3514" t="str">
        <f t="shared" si="326"/>
        <v>Normal</v>
      </c>
      <c r="U3514">
        <v>75</v>
      </c>
      <c r="V3514">
        <v>44</v>
      </c>
      <c r="W3514" t="str">
        <f t="shared" si="329"/>
        <v>Normal</v>
      </c>
      <c r="X3514">
        <v>0</v>
      </c>
    </row>
    <row r="3515" spans="1:24" ht="14.5" thickBot="1" x14ac:dyDescent="0.35">
      <c r="A3515">
        <v>1</v>
      </c>
      <c r="B3515" t="str">
        <f t="shared" si="327"/>
        <v>Male</v>
      </c>
      <c r="C3515" s="8">
        <v>59</v>
      </c>
      <c r="D3515" t="str">
        <f t="shared" si="328"/>
        <v>Senior</v>
      </c>
      <c r="E3515">
        <v>4</v>
      </c>
      <c r="F3515" t="str">
        <f>HLOOKUP(E3515, LookUP_Table!$A$6:$D$7, 2, FALSE)</f>
        <v>Post Graduate</v>
      </c>
      <c r="G3515" t="str">
        <f>IFERROR(VLOOKUP(E3515, LookUP_Table!$A$1:$B$4, 2, FALSE), "")</f>
        <v>Post Graduate</v>
      </c>
      <c r="H3515">
        <v>0</v>
      </c>
      <c r="I3515">
        <v>0</v>
      </c>
      <c r="J3515" t="str">
        <f t="shared" si="324"/>
        <v>Non-Smoker</v>
      </c>
      <c r="K3515">
        <v>0</v>
      </c>
      <c r="L3515">
        <v>0</v>
      </c>
      <c r="M3515">
        <v>0</v>
      </c>
      <c r="N3515">
        <v>1</v>
      </c>
      <c r="O3515">
        <v>314</v>
      </c>
      <c r="P3515" t="str">
        <f t="shared" si="325"/>
        <v>High</v>
      </c>
      <c r="Q3515">
        <v>135</v>
      </c>
      <c r="R3515">
        <v>77.5</v>
      </c>
      <c r="S3515">
        <v>22.17</v>
      </c>
      <c r="T3515" t="str">
        <f t="shared" si="326"/>
        <v>Normal</v>
      </c>
      <c r="U3515">
        <v>75</v>
      </c>
      <c r="V3515">
        <v>170</v>
      </c>
      <c r="W3515" t="str">
        <f t="shared" si="329"/>
        <v>Diabetes</v>
      </c>
      <c r="X3515">
        <v>0</v>
      </c>
    </row>
    <row r="3516" spans="1:24" ht="14.5" thickBot="1" x14ac:dyDescent="0.35">
      <c r="A3516">
        <v>0</v>
      </c>
      <c r="B3516" t="str">
        <f t="shared" si="327"/>
        <v>Female</v>
      </c>
      <c r="C3516" s="8">
        <v>59</v>
      </c>
      <c r="D3516" t="str">
        <f t="shared" si="328"/>
        <v>Senior</v>
      </c>
      <c r="E3516">
        <v>3</v>
      </c>
      <c r="F3516" t="str">
        <f>HLOOKUP(E3516, LookUP_Table!$A$6:$D$7, 2, FALSE)</f>
        <v>Graduate</v>
      </c>
      <c r="G3516" t="str">
        <f>IFERROR(VLOOKUP(E3516, LookUP_Table!$A$1:$B$4, 2, FALSE), "")</f>
        <v>Graduate</v>
      </c>
      <c r="H3516">
        <v>0</v>
      </c>
      <c r="I3516">
        <v>0</v>
      </c>
      <c r="J3516" t="str">
        <f t="shared" si="324"/>
        <v>Non-Smoker</v>
      </c>
      <c r="K3516">
        <v>0</v>
      </c>
      <c r="L3516">
        <v>0</v>
      </c>
      <c r="M3516">
        <v>1</v>
      </c>
      <c r="N3516">
        <v>0</v>
      </c>
      <c r="O3516">
        <v>240</v>
      </c>
      <c r="P3516" t="str">
        <f t="shared" si="325"/>
        <v>Normal</v>
      </c>
      <c r="Q3516">
        <v>149</v>
      </c>
      <c r="R3516">
        <v>88</v>
      </c>
      <c r="S3516">
        <v>27.48</v>
      </c>
      <c r="T3516" t="str">
        <f t="shared" si="326"/>
        <v>Overweight</v>
      </c>
      <c r="U3516">
        <v>80</v>
      </c>
      <c r="V3516">
        <v>82</v>
      </c>
      <c r="W3516" t="str">
        <f t="shared" si="329"/>
        <v>Normal</v>
      </c>
      <c r="X3516">
        <v>0</v>
      </c>
    </row>
    <row r="3517" spans="1:24" ht="14.5" thickBot="1" x14ac:dyDescent="0.35">
      <c r="A3517">
        <v>0</v>
      </c>
      <c r="B3517" t="str">
        <f t="shared" si="327"/>
        <v>Female</v>
      </c>
      <c r="C3517" s="8">
        <v>59</v>
      </c>
      <c r="D3517" t="str">
        <f t="shared" si="328"/>
        <v>Senior</v>
      </c>
      <c r="E3517">
        <v>1</v>
      </c>
      <c r="F3517" t="str">
        <f>HLOOKUP(E3517, LookUP_Table!$A$6:$D$7, 2, FALSE)</f>
        <v>Primary</v>
      </c>
      <c r="G3517" t="str">
        <f>IFERROR(VLOOKUP(E3517, LookUP_Table!$A$1:$B$4, 2, FALSE), "")</f>
        <v>Primary</v>
      </c>
      <c r="H3517">
        <v>0</v>
      </c>
      <c r="I3517">
        <v>0</v>
      </c>
      <c r="J3517" t="str">
        <f t="shared" si="324"/>
        <v>Non-Smoker</v>
      </c>
      <c r="K3517">
        <v>1</v>
      </c>
      <c r="L3517">
        <v>0</v>
      </c>
      <c r="M3517">
        <v>1</v>
      </c>
      <c r="N3517">
        <v>0</v>
      </c>
      <c r="O3517">
        <v>234</v>
      </c>
      <c r="P3517" t="str">
        <f t="shared" si="325"/>
        <v>Normal</v>
      </c>
      <c r="Q3517">
        <v>181</v>
      </c>
      <c r="R3517">
        <v>107</v>
      </c>
      <c r="S3517">
        <v>39.4</v>
      </c>
      <c r="T3517" t="str">
        <f t="shared" si="326"/>
        <v>Obese</v>
      </c>
      <c r="U3517">
        <v>80</v>
      </c>
      <c r="V3517">
        <v>90</v>
      </c>
      <c r="W3517" t="str">
        <f t="shared" si="329"/>
        <v>Normal</v>
      </c>
      <c r="X3517">
        <v>1</v>
      </c>
    </row>
    <row r="3518" spans="1:24" ht="14.5" thickBot="1" x14ac:dyDescent="0.35">
      <c r="A3518">
        <v>0</v>
      </c>
      <c r="B3518" t="str">
        <f t="shared" si="327"/>
        <v>Female</v>
      </c>
      <c r="C3518" s="8">
        <v>59</v>
      </c>
      <c r="D3518" t="str">
        <f t="shared" si="328"/>
        <v>Senior</v>
      </c>
      <c r="E3518">
        <v>2</v>
      </c>
      <c r="F3518" t="str">
        <f>HLOOKUP(E3518, LookUP_Table!$A$6:$D$7, 2, FALSE)</f>
        <v>Secondary</v>
      </c>
      <c r="G3518" t="str">
        <f>IFERROR(VLOOKUP(E3518, LookUP_Table!$A$1:$B$4, 2, FALSE), "")</f>
        <v>Secondary</v>
      </c>
      <c r="H3518">
        <v>1</v>
      </c>
      <c r="I3518">
        <v>9</v>
      </c>
      <c r="J3518" t="str">
        <f t="shared" si="324"/>
        <v>Smoker</v>
      </c>
      <c r="K3518">
        <v>0</v>
      </c>
      <c r="L3518">
        <v>0</v>
      </c>
      <c r="M3518">
        <v>0</v>
      </c>
      <c r="N3518">
        <v>0</v>
      </c>
      <c r="O3518">
        <v>229</v>
      </c>
      <c r="P3518" t="str">
        <f t="shared" si="325"/>
        <v>Normal</v>
      </c>
      <c r="Q3518">
        <v>127.5</v>
      </c>
      <c r="R3518">
        <v>76</v>
      </c>
      <c r="S3518">
        <v>23.65</v>
      </c>
      <c r="T3518" t="str">
        <f t="shared" si="326"/>
        <v>Normal</v>
      </c>
      <c r="U3518">
        <v>74</v>
      </c>
      <c r="V3518">
        <v>70</v>
      </c>
      <c r="W3518" t="str">
        <f t="shared" si="329"/>
        <v>Normal</v>
      </c>
      <c r="X3518">
        <v>0</v>
      </c>
    </row>
    <row r="3519" spans="1:24" ht="14.5" thickBot="1" x14ac:dyDescent="0.35">
      <c r="A3519">
        <v>0</v>
      </c>
      <c r="B3519" t="str">
        <f t="shared" si="327"/>
        <v>Female</v>
      </c>
      <c r="C3519" s="8">
        <v>59</v>
      </c>
      <c r="D3519" t="str">
        <f t="shared" si="328"/>
        <v>Senior</v>
      </c>
      <c r="E3519">
        <v>1</v>
      </c>
      <c r="F3519" t="str">
        <f>HLOOKUP(E3519, LookUP_Table!$A$6:$D$7, 2, FALSE)</f>
        <v>Primary</v>
      </c>
      <c r="G3519" t="str">
        <f>IFERROR(VLOOKUP(E3519, LookUP_Table!$A$1:$B$4, 2, FALSE), "")</f>
        <v>Primary</v>
      </c>
      <c r="H3519">
        <v>0</v>
      </c>
      <c r="I3519">
        <v>0</v>
      </c>
      <c r="J3519" t="str">
        <f t="shared" si="324"/>
        <v>Non-Smoker</v>
      </c>
      <c r="K3519">
        <v>0</v>
      </c>
      <c r="L3519">
        <v>0</v>
      </c>
      <c r="M3519">
        <v>1</v>
      </c>
      <c r="N3519">
        <v>0</v>
      </c>
      <c r="O3519">
        <v>254</v>
      </c>
      <c r="P3519" t="str">
        <f t="shared" si="325"/>
        <v>High</v>
      </c>
      <c r="Q3519">
        <v>181</v>
      </c>
      <c r="R3519">
        <v>101</v>
      </c>
      <c r="S3519">
        <v>24.67</v>
      </c>
      <c r="T3519" t="str">
        <f t="shared" si="326"/>
        <v>Normal</v>
      </c>
      <c r="U3519">
        <v>76</v>
      </c>
      <c r="V3519">
        <v>68</v>
      </c>
      <c r="W3519" t="str">
        <f t="shared" si="329"/>
        <v>Normal</v>
      </c>
      <c r="X3519">
        <v>0</v>
      </c>
    </row>
    <row r="3520" spans="1:24" ht="14.5" thickBot="1" x14ac:dyDescent="0.35">
      <c r="A3520">
        <v>0</v>
      </c>
      <c r="B3520" t="str">
        <f t="shared" si="327"/>
        <v>Female</v>
      </c>
      <c r="C3520" s="8">
        <v>59</v>
      </c>
      <c r="D3520" t="str">
        <f t="shared" si="328"/>
        <v>Senior</v>
      </c>
      <c r="E3520">
        <v>2</v>
      </c>
      <c r="F3520" t="str">
        <f>HLOOKUP(E3520, LookUP_Table!$A$6:$D$7, 2, FALSE)</f>
        <v>Secondary</v>
      </c>
      <c r="G3520" t="str">
        <f>IFERROR(VLOOKUP(E3520, LookUP_Table!$A$1:$B$4, 2, FALSE), "")</f>
        <v>Secondary</v>
      </c>
      <c r="H3520">
        <v>0</v>
      </c>
      <c r="I3520">
        <v>0</v>
      </c>
      <c r="J3520" t="str">
        <f t="shared" si="324"/>
        <v>Non-Smoker</v>
      </c>
      <c r="K3520">
        <v>0</v>
      </c>
      <c r="L3520">
        <v>0</v>
      </c>
      <c r="M3520">
        <v>0</v>
      </c>
      <c r="N3520">
        <v>0</v>
      </c>
      <c r="O3520">
        <v>279</v>
      </c>
      <c r="P3520" t="str">
        <f t="shared" si="325"/>
        <v>High</v>
      </c>
      <c r="Q3520">
        <v>132</v>
      </c>
      <c r="R3520">
        <v>88</v>
      </c>
      <c r="S3520">
        <v>26.48</v>
      </c>
      <c r="T3520" t="str">
        <f t="shared" si="326"/>
        <v>Overweight</v>
      </c>
      <c r="U3520">
        <v>78</v>
      </c>
      <c r="V3520">
        <v>88</v>
      </c>
      <c r="W3520" t="str">
        <f t="shared" si="329"/>
        <v>Normal</v>
      </c>
      <c r="X3520">
        <v>0</v>
      </c>
    </row>
    <row r="3521" spans="1:24" ht="14.5" thickBot="1" x14ac:dyDescent="0.35">
      <c r="A3521">
        <v>0</v>
      </c>
      <c r="B3521" t="str">
        <f t="shared" si="327"/>
        <v>Female</v>
      </c>
      <c r="C3521" s="8">
        <v>59</v>
      </c>
      <c r="D3521" t="str">
        <f t="shared" si="328"/>
        <v>Senior</v>
      </c>
      <c r="E3521">
        <v>1</v>
      </c>
      <c r="F3521" t="str">
        <f>HLOOKUP(E3521, LookUP_Table!$A$6:$D$7, 2, FALSE)</f>
        <v>Primary</v>
      </c>
      <c r="G3521" t="str">
        <f>IFERROR(VLOOKUP(E3521, LookUP_Table!$A$1:$B$4, 2, FALSE), "")</f>
        <v>Primary</v>
      </c>
      <c r="H3521">
        <v>0</v>
      </c>
      <c r="I3521">
        <v>0</v>
      </c>
      <c r="J3521" t="str">
        <f t="shared" si="324"/>
        <v>Non-Smoker</v>
      </c>
      <c r="K3521">
        <v>0</v>
      </c>
      <c r="L3521">
        <v>0</v>
      </c>
      <c r="M3521">
        <v>0</v>
      </c>
      <c r="N3521">
        <v>0</v>
      </c>
      <c r="O3521">
        <v>281</v>
      </c>
      <c r="P3521" t="str">
        <f t="shared" si="325"/>
        <v>High</v>
      </c>
      <c r="Q3521">
        <v>130.5</v>
      </c>
      <c r="R3521">
        <v>86</v>
      </c>
      <c r="S3521">
        <v>25.11</v>
      </c>
      <c r="T3521" t="str">
        <f t="shared" si="326"/>
        <v>Overweight</v>
      </c>
      <c r="U3521">
        <v>80</v>
      </c>
      <c r="V3521">
        <v>83</v>
      </c>
      <c r="W3521" t="str">
        <f t="shared" si="329"/>
        <v>Normal</v>
      </c>
      <c r="X3521">
        <v>0</v>
      </c>
    </row>
    <row r="3522" spans="1:24" ht="14.5" thickBot="1" x14ac:dyDescent="0.35">
      <c r="A3522">
        <v>0</v>
      </c>
      <c r="B3522" t="str">
        <f t="shared" si="327"/>
        <v>Female</v>
      </c>
      <c r="C3522" s="8">
        <v>59</v>
      </c>
      <c r="D3522" t="str">
        <f t="shared" si="328"/>
        <v>Senior</v>
      </c>
      <c r="E3522">
        <v>2</v>
      </c>
      <c r="F3522" t="str">
        <f>HLOOKUP(E3522, LookUP_Table!$A$6:$D$7, 2, FALSE)</f>
        <v>Secondary</v>
      </c>
      <c r="G3522" t="str">
        <f>IFERROR(VLOOKUP(E3522, LookUP_Table!$A$1:$B$4, 2, FALSE), "")</f>
        <v>Secondary</v>
      </c>
      <c r="H3522">
        <v>0</v>
      </c>
      <c r="I3522">
        <v>0</v>
      </c>
      <c r="J3522" t="str">
        <f t="shared" ref="J3522:J3585" si="330">IF(I3522&gt;0,"Smoker","Non-Smoker")</f>
        <v>Non-Smoker</v>
      </c>
      <c r="K3522">
        <v>0</v>
      </c>
      <c r="L3522">
        <v>0</v>
      </c>
      <c r="M3522">
        <v>1</v>
      </c>
      <c r="N3522">
        <v>0</v>
      </c>
      <c r="O3522">
        <v>250</v>
      </c>
      <c r="P3522" t="str">
        <f t="shared" ref="P3522:P3585" si="331">IF(O3522&gt;240,"High","Normal")</f>
        <v>High</v>
      </c>
      <c r="Q3522">
        <v>120.5</v>
      </c>
      <c r="R3522">
        <v>80.5</v>
      </c>
      <c r="S3522">
        <v>27.59</v>
      </c>
      <c r="T3522" t="str">
        <f t="shared" ref="T3522:T3585" si="332">IF(S3522&lt;18.5,"Underweight",
IF(S3522&lt;25,"Normal",
IF(S3522&lt;30,"Overweight","Obese")))</f>
        <v>Overweight</v>
      </c>
      <c r="U3522">
        <v>80</v>
      </c>
      <c r="V3522">
        <v>75</v>
      </c>
      <c r="W3522" t="str">
        <f t="shared" si="329"/>
        <v>Normal</v>
      </c>
      <c r="X3522">
        <v>1</v>
      </c>
    </row>
    <row r="3523" spans="1:24" ht="14.5" thickBot="1" x14ac:dyDescent="0.35">
      <c r="A3523">
        <v>0</v>
      </c>
      <c r="B3523" t="str">
        <f t="shared" ref="B3523:B3586" si="333">IF(A3523=0,"Female","Male")</f>
        <v>Female</v>
      </c>
      <c r="C3523" s="8">
        <v>59</v>
      </c>
      <c r="D3523" t="str">
        <f t="shared" ref="D3523:D3586" si="334">IF(C3523&lt;40,"Young",
IF(C3523&lt;55,"Middle Age","Senior"))</f>
        <v>Senior</v>
      </c>
      <c r="E3523">
        <v>4</v>
      </c>
      <c r="F3523" t="str">
        <f>HLOOKUP(E3523, LookUP_Table!$A$6:$D$7, 2, FALSE)</f>
        <v>Post Graduate</v>
      </c>
      <c r="G3523" t="str">
        <f>IFERROR(VLOOKUP(E3523, LookUP_Table!$A$1:$B$4, 2, FALSE), "")</f>
        <v>Post Graduate</v>
      </c>
      <c r="H3523">
        <v>0</v>
      </c>
      <c r="I3523">
        <v>0</v>
      </c>
      <c r="J3523" t="str">
        <f t="shared" si="330"/>
        <v>Non-Smoker</v>
      </c>
      <c r="K3523">
        <v>0</v>
      </c>
      <c r="L3523">
        <v>0</v>
      </c>
      <c r="M3523">
        <v>1</v>
      </c>
      <c r="N3523">
        <v>0</v>
      </c>
      <c r="O3523">
        <v>313</v>
      </c>
      <c r="P3523" t="str">
        <f t="shared" si="331"/>
        <v>High</v>
      </c>
      <c r="Q3523">
        <v>186.5</v>
      </c>
      <c r="R3523">
        <v>99</v>
      </c>
      <c r="S3523">
        <v>25.65</v>
      </c>
      <c r="T3523" t="str">
        <f t="shared" si="332"/>
        <v>Overweight</v>
      </c>
      <c r="U3523">
        <v>72</v>
      </c>
      <c r="V3523">
        <v>84</v>
      </c>
      <c r="W3523" t="str">
        <f t="shared" ref="W3523:W3586" si="335">IF(V3523 &lt; 100, "Normal", IF(V3523 &lt;= 125, "Prediabetes", "Diabetes"))</f>
        <v>Normal</v>
      </c>
      <c r="X3523">
        <v>0</v>
      </c>
    </row>
    <row r="3524" spans="1:24" ht="14.5" thickBot="1" x14ac:dyDescent="0.35">
      <c r="A3524">
        <v>0</v>
      </c>
      <c r="B3524" t="str">
        <f t="shared" si="333"/>
        <v>Female</v>
      </c>
      <c r="C3524" s="8">
        <v>59</v>
      </c>
      <c r="D3524" t="str">
        <f t="shared" si="334"/>
        <v>Senior</v>
      </c>
      <c r="E3524">
        <v>3</v>
      </c>
      <c r="F3524" t="str">
        <f>HLOOKUP(E3524, LookUP_Table!$A$6:$D$7, 2, FALSE)</f>
        <v>Graduate</v>
      </c>
      <c r="G3524" t="str">
        <f>IFERROR(VLOOKUP(E3524, LookUP_Table!$A$1:$B$4, 2, FALSE), "")</f>
        <v>Graduate</v>
      </c>
      <c r="H3524">
        <v>0</v>
      </c>
      <c r="I3524">
        <v>0</v>
      </c>
      <c r="J3524" t="str">
        <f t="shared" si="330"/>
        <v>Non-Smoker</v>
      </c>
      <c r="K3524">
        <v>0</v>
      </c>
      <c r="L3524">
        <v>0</v>
      </c>
      <c r="M3524">
        <v>0</v>
      </c>
      <c r="N3524">
        <v>0</v>
      </c>
      <c r="O3524">
        <v>226</v>
      </c>
      <c r="P3524" t="str">
        <f t="shared" si="331"/>
        <v>Normal</v>
      </c>
      <c r="Q3524">
        <v>108</v>
      </c>
      <c r="R3524">
        <v>72</v>
      </c>
      <c r="S3524">
        <v>24.87</v>
      </c>
      <c r="T3524" t="str">
        <f t="shared" si="332"/>
        <v>Normal</v>
      </c>
      <c r="U3524">
        <v>55</v>
      </c>
      <c r="V3524">
        <v>86</v>
      </c>
      <c r="W3524" t="str">
        <f t="shared" si="335"/>
        <v>Normal</v>
      </c>
      <c r="X3524">
        <v>0</v>
      </c>
    </row>
    <row r="3525" spans="1:24" ht="14.5" thickBot="1" x14ac:dyDescent="0.35">
      <c r="A3525">
        <v>0</v>
      </c>
      <c r="B3525" t="str">
        <f t="shared" si="333"/>
        <v>Female</v>
      </c>
      <c r="C3525" s="8">
        <v>59</v>
      </c>
      <c r="D3525" t="str">
        <f t="shared" si="334"/>
        <v>Senior</v>
      </c>
      <c r="E3525">
        <v>1</v>
      </c>
      <c r="F3525" t="str">
        <f>HLOOKUP(E3525, LookUP_Table!$A$6:$D$7, 2, FALSE)</f>
        <v>Primary</v>
      </c>
      <c r="G3525" t="str">
        <f>IFERROR(VLOOKUP(E3525, LookUP_Table!$A$1:$B$4, 2, FALSE), "")</f>
        <v>Primary</v>
      </c>
      <c r="H3525">
        <v>0</v>
      </c>
      <c r="I3525">
        <v>0</v>
      </c>
      <c r="J3525" t="str">
        <f t="shared" si="330"/>
        <v>Non-Smoker</v>
      </c>
      <c r="K3525">
        <v>0</v>
      </c>
      <c r="L3525">
        <v>0</v>
      </c>
      <c r="M3525">
        <v>0</v>
      </c>
      <c r="N3525">
        <v>0</v>
      </c>
      <c r="O3525">
        <v>225</v>
      </c>
      <c r="P3525" t="str">
        <f t="shared" si="331"/>
        <v>Normal</v>
      </c>
      <c r="Q3525">
        <v>132</v>
      </c>
      <c r="R3525">
        <v>80</v>
      </c>
      <c r="S3525">
        <v>28.41</v>
      </c>
      <c r="T3525" t="str">
        <f t="shared" si="332"/>
        <v>Overweight</v>
      </c>
      <c r="U3525">
        <v>58</v>
      </c>
      <c r="V3525">
        <v>88</v>
      </c>
      <c r="W3525" t="str">
        <f t="shared" si="335"/>
        <v>Normal</v>
      </c>
      <c r="X3525">
        <v>0</v>
      </c>
    </row>
    <row r="3526" spans="1:24" ht="14.5" thickBot="1" x14ac:dyDescent="0.35">
      <c r="A3526">
        <v>1</v>
      </c>
      <c r="B3526" t="str">
        <f t="shared" si="333"/>
        <v>Male</v>
      </c>
      <c r="C3526" s="8">
        <v>59</v>
      </c>
      <c r="D3526" t="str">
        <f t="shared" si="334"/>
        <v>Senior</v>
      </c>
      <c r="E3526">
        <v>3</v>
      </c>
      <c r="F3526" t="str">
        <f>HLOOKUP(E3526, LookUP_Table!$A$6:$D$7, 2, FALSE)</f>
        <v>Graduate</v>
      </c>
      <c r="G3526" t="str">
        <f>IFERROR(VLOOKUP(E3526, LookUP_Table!$A$1:$B$4, 2, FALSE), "")</f>
        <v>Graduate</v>
      </c>
      <c r="H3526">
        <v>1</v>
      </c>
      <c r="I3526">
        <v>30</v>
      </c>
      <c r="J3526" t="str">
        <f t="shared" si="330"/>
        <v>Smoker</v>
      </c>
      <c r="K3526">
        <v>0</v>
      </c>
      <c r="L3526">
        <v>0</v>
      </c>
      <c r="M3526">
        <v>1</v>
      </c>
      <c r="N3526">
        <v>0</v>
      </c>
      <c r="O3526">
        <v>239</v>
      </c>
      <c r="P3526" t="str">
        <f t="shared" si="331"/>
        <v>Normal</v>
      </c>
      <c r="Q3526">
        <v>168</v>
      </c>
      <c r="R3526">
        <v>100</v>
      </c>
      <c r="S3526">
        <v>27.87</v>
      </c>
      <c r="T3526" t="str">
        <f t="shared" si="332"/>
        <v>Overweight</v>
      </c>
      <c r="U3526">
        <v>65</v>
      </c>
      <c r="V3526">
        <v>96</v>
      </c>
      <c r="W3526" t="str">
        <f t="shared" si="335"/>
        <v>Normal</v>
      </c>
      <c r="X3526">
        <v>1</v>
      </c>
    </row>
    <row r="3527" spans="1:24" ht="14.5" thickBot="1" x14ac:dyDescent="0.35">
      <c r="A3527">
        <v>0</v>
      </c>
      <c r="B3527" t="str">
        <f t="shared" si="333"/>
        <v>Female</v>
      </c>
      <c r="C3527" s="8">
        <v>59</v>
      </c>
      <c r="D3527" t="str">
        <f t="shared" si="334"/>
        <v>Senior</v>
      </c>
      <c r="E3527">
        <v>2</v>
      </c>
      <c r="F3527" t="str">
        <f>HLOOKUP(E3527, LookUP_Table!$A$6:$D$7, 2, FALSE)</f>
        <v>Secondary</v>
      </c>
      <c r="G3527" t="str">
        <f>IFERROR(VLOOKUP(E3527, LookUP_Table!$A$1:$B$4, 2, FALSE), "")</f>
        <v>Secondary</v>
      </c>
      <c r="H3527">
        <v>0</v>
      </c>
      <c r="I3527">
        <v>0</v>
      </c>
      <c r="J3527" t="str">
        <f t="shared" si="330"/>
        <v>Non-Smoker</v>
      </c>
      <c r="K3527">
        <v>0</v>
      </c>
      <c r="L3527">
        <v>0</v>
      </c>
      <c r="M3527">
        <v>0</v>
      </c>
      <c r="N3527">
        <v>0</v>
      </c>
      <c r="O3527">
        <v>239</v>
      </c>
      <c r="P3527" t="str">
        <f t="shared" si="331"/>
        <v>Normal</v>
      </c>
      <c r="Q3527">
        <v>127</v>
      </c>
      <c r="R3527">
        <v>88.5</v>
      </c>
      <c r="S3527">
        <v>27.2</v>
      </c>
      <c r="T3527" t="str">
        <f t="shared" si="332"/>
        <v>Overweight</v>
      </c>
      <c r="U3527">
        <v>90</v>
      </c>
      <c r="V3527">
        <v>78</v>
      </c>
      <c r="W3527" t="str">
        <f t="shared" si="335"/>
        <v>Normal</v>
      </c>
      <c r="X3527">
        <v>0</v>
      </c>
    </row>
    <row r="3528" spans="1:24" ht="14.5" thickBot="1" x14ac:dyDescent="0.35">
      <c r="A3528">
        <v>0</v>
      </c>
      <c r="B3528" t="str">
        <f t="shared" si="333"/>
        <v>Female</v>
      </c>
      <c r="C3528" s="8">
        <v>59</v>
      </c>
      <c r="D3528" t="str">
        <f t="shared" si="334"/>
        <v>Senior</v>
      </c>
      <c r="E3528">
        <v>2</v>
      </c>
      <c r="F3528" t="str">
        <f>HLOOKUP(E3528, LookUP_Table!$A$6:$D$7, 2, FALSE)</f>
        <v>Secondary</v>
      </c>
      <c r="G3528" t="str">
        <f>IFERROR(VLOOKUP(E3528, LookUP_Table!$A$1:$B$4, 2, FALSE), "")</f>
        <v>Secondary</v>
      </c>
      <c r="H3528">
        <v>1</v>
      </c>
      <c r="I3528">
        <v>20</v>
      </c>
      <c r="J3528" t="str">
        <f t="shared" si="330"/>
        <v>Smoker</v>
      </c>
      <c r="K3528">
        <v>0</v>
      </c>
      <c r="L3528">
        <v>0</v>
      </c>
      <c r="M3528">
        <v>1</v>
      </c>
      <c r="N3528">
        <v>0</v>
      </c>
      <c r="O3528">
        <v>254</v>
      </c>
      <c r="P3528" t="str">
        <f t="shared" si="331"/>
        <v>High</v>
      </c>
      <c r="Q3528">
        <v>154.5</v>
      </c>
      <c r="R3528">
        <v>93</v>
      </c>
      <c r="S3528">
        <v>21.82</v>
      </c>
      <c r="T3528" t="str">
        <f t="shared" si="332"/>
        <v>Normal</v>
      </c>
      <c r="U3528">
        <v>85</v>
      </c>
      <c r="V3528">
        <v>89</v>
      </c>
      <c r="W3528" t="str">
        <f t="shared" si="335"/>
        <v>Normal</v>
      </c>
      <c r="X3528">
        <v>0</v>
      </c>
    </row>
    <row r="3529" spans="1:24" ht="14.5" thickBot="1" x14ac:dyDescent="0.35">
      <c r="A3529">
        <v>0</v>
      </c>
      <c r="B3529" t="str">
        <f t="shared" si="333"/>
        <v>Female</v>
      </c>
      <c r="C3529" s="8">
        <v>59</v>
      </c>
      <c r="D3529" t="str">
        <f t="shared" si="334"/>
        <v>Senior</v>
      </c>
      <c r="E3529">
        <v>3</v>
      </c>
      <c r="F3529" t="str">
        <f>HLOOKUP(E3529, LookUP_Table!$A$6:$D$7, 2, FALSE)</f>
        <v>Graduate</v>
      </c>
      <c r="G3529" t="str">
        <f>IFERROR(VLOOKUP(E3529, LookUP_Table!$A$1:$B$4, 2, FALSE), "")</f>
        <v>Graduate</v>
      </c>
      <c r="H3529">
        <v>0</v>
      </c>
      <c r="I3529">
        <v>0</v>
      </c>
      <c r="J3529" t="str">
        <f t="shared" si="330"/>
        <v>Non-Smoker</v>
      </c>
      <c r="K3529">
        <v>1</v>
      </c>
      <c r="L3529">
        <v>0</v>
      </c>
      <c r="M3529">
        <v>1</v>
      </c>
      <c r="N3529">
        <v>0</v>
      </c>
      <c r="O3529">
        <v>223</v>
      </c>
      <c r="P3529" t="str">
        <f t="shared" si="331"/>
        <v>Normal</v>
      </c>
      <c r="Q3529">
        <v>159</v>
      </c>
      <c r="R3529">
        <v>102</v>
      </c>
      <c r="S3529">
        <v>28.3</v>
      </c>
      <c r="T3529" t="str">
        <f t="shared" si="332"/>
        <v>Overweight</v>
      </c>
      <c r="U3529">
        <v>62</v>
      </c>
      <c r="V3529">
        <v>83</v>
      </c>
      <c r="W3529" t="str">
        <f t="shared" si="335"/>
        <v>Normal</v>
      </c>
      <c r="X3529">
        <v>0</v>
      </c>
    </row>
    <row r="3530" spans="1:24" ht="14.5" thickBot="1" x14ac:dyDescent="0.35">
      <c r="A3530">
        <v>1</v>
      </c>
      <c r="B3530" t="str">
        <f t="shared" si="333"/>
        <v>Male</v>
      </c>
      <c r="C3530" s="8">
        <v>59</v>
      </c>
      <c r="D3530" t="str">
        <f t="shared" si="334"/>
        <v>Senior</v>
      </c>
      <c r="E3530">
        <v>1</v>
      </c>
      <c r="F3530" t="str">
        <f>HLOOKUP(E3530, LookUP_Table!$A$6:$D$7, 2, FALSE)</f>
        <v>Primary</v>
      </c>
      <c r="G3530" t="str">
        <f>IFERROR(VLOOKUP(E3530, LookUP_Table!$A$1:$B$4, 2, FALSE), "")</f>
        <v>Primary</v>
      </c>
      <c r="H3530">
        <v>0</v>
      </c>
      <c r="I3530">
        <v>0</v>
      </c>
      <c r="J3530" t="str">
        <f t="shared" si="330"/>
        <v>Non-Smoker</v>
      </c>
      <c r="K3530">
        <v>0</v>
      </c>
      <c r="L3530">
        <v>0</v>
      </c>
      <c r="M3530">
        <v>0</v>
      </c>
      <c r="N3530">
        <v>0</v>
      </c>
      <c r="O3530">
        <v>274</v>
      </c>
      <c r="P3530" t="str">
        <f t="shared" si="331"/>
        <v>High</v>
      </c>
      <c r="Q3530">
        <v>144.5</v>
      </c>
      <c r="R3530">
        <v>91.5</v>
      </c>
      <c r="S3530">
        <v>26.08</v>
      </c>
      <c r="T3530" t="str">
        <f t="shared" si="332"/>
        <v>Overweight</v>
      </c>
      <c r="U3530">
        <v>67</v>
      </c>
      <c r="V3530">
        <v>63</v>
      </c>
      <c r="W3530" t="str">
        <f t="shared" si="335"/>
        <v>Normal</v>
      </c>
      <c r="X3530">
        <v>0</v>
      </c>
    </row>
    <row r="3531" spans="1:24" ht="14.5" thickBot="1" x14ac:dyDescent="0.35">
      <c r="A3531">
        <v>1</v>
      </c>
      <c r="B3531" t="str">
        <f t="shared" si="333"/>
        <v>Male</v>
      </c>
      <c r="C3531" s="8">
        <v>59</v>
      </c>
      <c r="D3531" t="str">
        <f t="shared" si="334"/>
        <v>Senior</v>
      </c>
      <c r="E3531">
        <v>1</v>
      </c>
      <c r="F3531" t="str">
        <f>HLOOKUP(E3531, LookUP_Table!$A$6:$D$7, 2, FALSE)</f>
        <v>Primary</v>
      </c>
      <c r="G3531" t="str">
        <f>IFERROR(VLOOKUP(E3531, LookUP_Table!$A$1:$B$4, 2, FALSE), "")</f>
        <v>Primary</v>
      </c>
      <c r="H3531">
        <v>1</v>
      </c>
      <c r="I3531">
        <v>20</v>
      </c>
      <c r="J3531" t="str">
        <f t="shared" si="330"/>
        <v>Smoker</v>
      </c>
      <c r="K3531">
        <v>0</v>
      </c>
      <c r="L3531">
        <v>0</v>
      </c>
      <c r="M3531">
        <v>0</v>
      </c>
      <c r="N3531">
        <v>0</v>
      </c>
      <c r="O3531">
        <v>163</v>
      </c>
      <c r="P3531" t="str">
        <f t="shared" si="331"/>
        <v>Normal</v>
      </c>
      <c r="Q3531">
        <v>138</v>
      </c>
      <c r="R3531">
        <v>80</v>
      </c>
      <c r="S3531">
        <v>31.08</v>
      </c>
      <c r="T3531" t="str">
        <f t="shared" si="332"/>
        <v>Obese</v>
      </c>
      <c r="U3531">
        <v>70</v>
      </c>
      <c r="V3531">
        <v>70</v>
      </c>
      <c r="W3531" t="str">
        <f t="shared" si="335"/>
        <v>Normal</v>
      </c>
      <c r="X3531">
        <v>0</v>
      </c>
    </row>
    <row r="3532" spans="1:24" ht="14.5" thickBot="1" x14ac:dyDescent="0.35">
      <c r="A3532">
        <v>0</v>
      </c>
      <c r="B3532" t="str">
        <f t="shared" si="333"/>
        <v>Female</v>
      </c>
      <c r="C3532" s="8">
        <v>59</v>
      </c>
      <c r="D3532" t="str">
        <f t="shared" si="334"/>
        <v>Senior</v>
      </c>
      <c r="E3532">
        <v>1</v>
      </c>
      <c r="F3532" t="str">
        <f>HLOOKUP(E3532, LookUP_Table!$A$6:$D$7, 2, FALSE)</f>
        <v>Primary</v>
      </c>
      <c r="G3532" t="str">
        <f>IFERROR(VLOOKUP(E3532, LookUP_Table!$A$1:$B$4, 2, FALSE), "")</f>
        <v>Primary</v>
      </c>
      <c r="H3532">
        <v>0</v>
      </c>
      <c r="I3532">
        <v>0</v>
      </c>
      <c r="J3532" t="str">
        <f t="shared" si="330"/>
        <v>Non-Smoker</v>
      </c>
      <c r="K3532">
        <v>0</v>
      </c>
      <c r="L3532">
        <v>0</v>
      </c>
      <c r="M3532">
        <v>0</v>
      </c>
      <c r="N3532">
        <v>0</v>
      </c>
      <c r="O3532">
        <v>280</v>
      </c>
      <c r="P3532" t="str">
        <f t="shared" si="331"/>
        <v>High</v>
      </c>
      <c r="Q3532">
        <v>135.5</v>
      </c>
      <c r="R3532">
        <v>72.5</v>
      </c>
      <c r="S3532">
        <v>22.38</v>
      </c>
      <c r="T3532" t="str">
        <f t="shared" si="332"/>
        <v>Normal</v>
      </c>
      <c r="U3532">
        <v>96</v>
      </c>
      <c r="V3532">
        <v>81.96365524402907</v>
      </c>
      <c r="W3532" t="str">
        <f t="shared" si="335"/>
        <v>Normal</v>
      </c>
      <c r="X3532">
        <v>0</v>
      </c>
    </row>
    <row r="3533" spans="1:24" ht="14.5" thickBot="1" x14ac:dyDescent="0.35">
      <c r="A3533">
        <v>0</v>
      </c>
      <c r="B3533" t="str">
        <f t="shared" si="333"/>
        <v>Female</v>
      </c>
      <c r="C3533" s="8">
        <v>59</v>
      </c>
      <c r="D3533" t="str">
        <f t="shared" si="334"/>
        <v>Senior</v>
      </c>
      <c r="E3533">
        <v>1</v>
      </c>
      <c r="F3533" t="str">
        <f>HLOOKUP(E3533, LookUP_Table!$A$6:$D$7, 2, FALSE)</f>
        <v>Primary</v>
      </c>
      <c r="G3533" t="str">
        <f>IFERROR(VLOOKUP(E3533, LookUP_Table!$A$1:$B$4, 2, FALSE), "")</f>
        <v>Primary</v>
      </c>
      <c r="H3533">
        <v>0</v>
      </c>
      <c r="I3533">
        <v>0</v>
      </c>
      <c r="J3533" t="str">
        <f t="shared" si="330"/>
        <v>Non-Smoker</v>
      </c>
      <c r="K3533">
        <v>0</v>
      </c>
      <c r="L3533">
        <v>0</v>
      </c>
      <c r="M3533">
        <v>0</v>
      </c>
      <c r="N3533">
        <v>0</v>
      </c>
      <c r="O3533">
        <v>249</v>
      </c>
      <c r="P3533" t="str">
        <f t="shared" si="331"/>
        <v>High</v>
      </c>
      <c r="Q3533">
        <v>138</v>
      </c>
      <c r="R3533">
        <v>72</v>
      </c>
      <c r="S3533">
        <v>25.02</v>
      </c>
      <c r="T3533" t="str">
        <f t="shared" si="332"/>
        <v>Overweight</v>
      </c>
      <c r="U3533">
        <v>60</v>
      </c>
      <c r="V3533">
        <v>70</v>
      </c>
      <c r="W3533" t="str">
        <f t="shared" si="335"/>
        <v>Normal</v>
      </c>
      <c r="X3533">
        <v>0</v>
      </c>
    </row>
    <row r="3534" spans="1:24" ht="14.5" thickBot="1" x14ac:dyDescent="0.35">
      <c r="A3534">
        <v>1</v>
      </c>
      <c r="B3534" t="str">
        <f t="shared" si="333"/>
        <v>Male</v>
      </c>
      <c r="C3534" s="8">
        <v>59</v>
      </c>
      <c r="D3534" t="str">
        <f t="shared" si="334"/>
        <v>Senior</v>
      </c>
      <c r="E3534">
        <v>4</v>
      </c>
      <c r="F3534" t="str">
        <f>HLOOKUP(E3534, LookUP_Table!$A$6:$D$7, 2, FALSE)</f>
        <v>Post Graduate</v>
      </c>
      <c r="G3534" t="str">
        <f>IFERROR(VLOOKUP(E3534, LookUP_Table!$A$1:$B$4, 2, FALSE), "")</f>
        <v>Post Graduate</v>
      </c>
      <c r="H3534">
        <v>1</v>
      </c>
      <c r="I3534">
        <v>20</v>
      </c>
      <c r="J3534" t="str">
        <f t="shared" si="330"/>
        <v>Smoker</v>
      </c>
      <c r="K3534">
        <v>0</v>
      </c>
      <c r="L3534">
        <v>0</v>
      </c>
      <c r="M3534">
        <v>1</v>
      </c>
      <c r="N3534">
        <v>0</v>
      </c>
      <c r="O3534">
        <v>232</v>
      </c>
      <c r="P3534" t="str">
        <f t="shared" si="331"/>
        <v>Normal</v>
      </c>
      <c r="Q3534">
        <v>151.5</v>
      </c>
      <c r="R3534">
        <v>110</v>
      </c>
      <c r="S3534">
        <v>26.89</v>
      </c>
      <c r="T3534" t="str">
        <f t="shared" si="332"/>
        <v>Overweight</v>
      </c>
      <c r="U3534">
        <v>68</v>
      </c>
      <c r="V3534">
        <v>69</v>
      </c>
      <c r="W3534" t="str">
        <f t="shared" si="335"/>
        <v>Normal</v>
      </c>
      <c r="X3534">
        <v>0</v>
      </c>
    </row>
    <row r="3535" spans="1:24" ht="14.5" thickBot="1" x14ac:dyDescent="0.35">
      <c r="A3535">
        <v>0</v>
      </c>
      <c r="B3535" t="str">
        <f t="shared" si="333"/>
        <v>Female</v>
      </c>
      <c r="C3535" s="8">
        <v>59</v>
      </c>
      <c r="D3535" t="str">
        <f t="shared" si="334"/>
        <v>Senior</v>
      </c>
      <c r="E3535">
        <v>1</v>
      </c>
      <c r="F3535" t="str">
        <f>HLOOKUP(E3535, LookUP_Table!$A$6:$D$7, 2, FALSE)</f>
        <v>Primary</v>
      </c>
      <c r="G3535" t="str">
        <f>IFERROR(VLOOKUP(E3535, LookUP_Table!$A$1:$B$4, 2, FALSE), "")</f>
        <v>Primary</v>
      </c>
      <c r="H3535">
        <v>0</v>
      </c>
      <c r="I3535">
        <v>0</v>
      </c>
      <c r="J3535" t="str">
        <f t="shared" si="330"/>
        <v>Non-Smoker</v>
      </c>
      <c r="K3535">
        <v>0</v>
      </c>
      <c r="L3535">
        <v>0</v>
      </c>
      <c r="M3535">
        <v>0</v>
      </c>
      <c r="N3535">
        <v>0</v>
      </c>
      <c r="O3535">
        <v>281</v>
      </c>
      <c r="P3535" t="str">
        <f t="shared" si="331"/>
        <v>High</v>
      </c>
      <c r="Q3535">
        <v>139</v>
      </c>
      <c r="R3535">
        <v>82</v>
      </c>
      <c r="S3535">
        <v>29.51</v>
      </c>
      <c r="T3535" t="str">
        <f t="shared" si="332"/>
        <v>Overweight</v>
      </c>
      <c r="U3535">
        <v>80</v>
      </c>
      <c r="V3535">
        <v>75</v>
      </c>
      <c r="W3535" t="str">
        <f t="shared" si="335"/>
        <v>Normal</v>
      </c>
      <c r="X3535">
        <v>0</v>
      </c>
    </row>
    <row r="3536" spans="1:24" ht="14.5" thickBot="1" x14ac:dyDescent="0.35">
      <c r="A3536">
        <v>1</v>
      </c>
      <c r="B3536" t="str">
        <f t="shared" si="333"/>
        <v>Male</v>
      </c>
      <c r="C3536" s="8">
        <v>59</v>
      </c>
      <c r="D3536" t="str">
        <f t="shared" si="334"/>
        <v>Senior</v>
      </c>
      <c r="E3536">
        <v>1</v>
      </c>
      <c r="F3536" t="str">
        <f>HLOOKUP(E3536, LookUP_Table!$A$6:$D$7, 2, FALSE)</f>
        <v>Primary</v>
      </c>
      <c r="G3536" t="str">
        <f>IFERROR(VLOOKUP(E3536, LookUP_Table!$A$1:$B$4, 2, FALSE), "")</f>
        <v>Primary</v>
      </c>
      <c r="H3536">
        <v>0</v>
      </c>
      <c r="I3536">
        <v>0</v>
      </c>
      <c r="J3536" t="str">
        <f t="shared" si="330"/>
        <v>Non-Smoker</v>
      </c>
      <c r="K3536">
        <v>0</v>
      </c>
      <c r="L3536">
        <v>0</v>
      </c>
      <c r="M3536">
        <v>0</v>
      </c>
      <c r="N3536">
        <v>0</v>
      </c>
      <c r="O3536">
        <v>190</v>
      </c>
      <c r="P3536" t="str">
        <f t="shared" si="331"/>
        <v>Normal</v>
      </c>
      <c r="Q3536">
        <v>127</v>
      </c>
      <c r="R3536">
        <v>77</v>
      </c>
      <c r="S3536">
        <v>28.47</v>
      </c>
      <c r="T3536" t="str">
        <f t="shared" si="332"/>
        <v>Overweight</v>
      </c>
      <c r="U3536">
        <v>80</v>
      </c>
      <c r="V3536">
        <v>100</v>
      </c>
      <c r="W3536" t="str">
        <f t="shared" si="335"/>
        <v>Prediabetes</v>
      </c>
      <c r="X3536">
        <v>0</v>
      </c>
    </row>
    <row r="3537" spans="1:24" ht="14.5" thickBot="1" x14ac:dyDescent="0.35">
      <c r="A3537">
        <v>0</v>
      </c>
      <c r="B3537" t="str">
        <f t="shared" si="333"/>
        <v>Female</v>
      </c>
      <c r="C3537" s="8">
        <v>59</v>
      </c>
      <c r="D3537" t="str">
        <f t="shared" si="334"/>
        <v>Senior</v>
      </c>
      <c r="E3537">
        <v>3</v>
      </c>
      <c r="F3537" t="str">
        <f>HLOOKUP(E3537, LookUP_Table!$A$6:$D$7, 2, FALSE)</f>
        <v>Graduate</v>
      </c>
      <c r="G3537" t="str">
        <f>IFERROR(VLOOKUP(E3537, LookUP_Table!$A$1:$B$4, 2, FALSE), "")</f>
        <v>Graduate</v>
      </c>
      <c r="H3537">
        <v>0</v>
      </c>
      <c r="I3537">
        <v>0</v>
      </c>
      <c r="J3537" t="str">
        <f t="shared" si="330"/>
        <v>Non-Smoker</v>
      </c>
      <c r="K3537">
        <v>0</v>
      </c>
      <c r="L3537">
        <v>0</v>
      </c>
      <c r="M3537">
        <v>1</v>
      </c>
      <c r="N3537">
        <v>0</v>
      </c>
      <c r="O3537">
        <v>282</v>
      </c>
      <c r="P3537" t="str">
        <f t="shared" si="331"/>
        <v>High</v>
      </c>
      <c r="Q3537">
        <v>148</v>
      </c>
      <c r="R3537">
        <v>89</v>
      </c>
      <c r="S3537">
        <v>25.69</v>
      </c>
      <c r="T3537" t="str">
        <f t="shared" si="332"/>
        <v>Overweight</v>
      </c>
      <c r="U3537">
        <v>90</v>
      </c>
      <c r="V3537">
        <v>81.96365524402907</v>
      </c>
      <c r="W3537" t="str">
        <f t="shared" si="335"/>
        <v>Normal</v>
      </c>
      <c r="X3537">
        <v>0</v>
      </c>
    </row>
    <row r="3538" spans="1:24" ht="14.5" thickBot="1" x14ac:dyDescent="0.35">
      <c r="A3538">
        <v>0</v>
      </c>
      <c r="B3538" t="str">
        <f t="shared" si="333"/>
        <v>Female</v>
      </c>
      <c r="C3538" s="8">
        <v>59</v>
      </c>
      <c r="D3538" t="str">
        <f t="shared" si="334"/>
        <v>Senior</v>
      </c>
      <c r="E3538">
        <v>1</v>
      </c>
      <c r="F3538" t="str">
        <f>HLOOKUP(E3538, LookUP_Table!$A$6:$D$7, 2, FALSE)</f>
        <v>Primary</v>
      </c>
      <c r="G3538" t="str">
        <f>IFERROR(VLOOKUP(E3538, LookUP_Table!$A$1:$B$4, 2, FALSE), "")</f>
        <v>Primary</v>
      </c>
      <c r="H3538">
        <v>1</v>
      </c>
      <c r="I3538">
        <v>5</v>
      </c>
      <c r="J3538" t="str">
        <f t="shared" si="330"/>
        <v>Smoker</v>
      </c>
      <c r="K3538">
        <v>0</v>
      </c>
      <c r="L3538">
        <v>0</v>
      </c>
      <c r="M3538">
        <v>0</v>
      </c>
      <c r="N3538">
        <v>0</v>
      </c>
      <c r="O3538">
        <v>254</v>
      </c>
      <c r="P3538" t="str">
        <f t="shared" si="331"/>
        <v>High</v>
      </c>
      <c r="Q3538">
        <v>126.5</v>
      </c>
      <c r="R3538">
        <v>79</v>
      </c>
      <c r="S3538">
        <v>25.92</v>
      </c>
      <c r="T3538" t="str">
        <f t="shared" si="332"/>
        <v>Overweight</v>
      </c>
      <c r="U3538">
        <v>60</v>
      </c>
      <c r="V3538">
        <v>77</v>
      </c>
      <c r="W3538" t="str">
        <f t="shared" si="335"/>
        <v>Normal</v>
      </c>
      <c r="X3538">
        <v>0</v>
      </c>
    </row>
    <row r="3539" spans="1:24" ht="14.5" thickBot="1" x14ac:dyDescent="0.35">
      <c r="A3539">
        <v>0</v>
      </c>
      <c r="B3539" t="str">
        <f t="shared" si="333"/>
        <v>Female</v>
      </c>
      <c r="C3539" s="8">
        <v>59</v>
      </c>
      <c r="D3539" t="str">
        <f t="shared" si="334"/>
        <v>Senior</v>
      </c>
      <c r="E3539">
        <v>3</v>
      </c>
      <c r="F3539" t="str">
        <f>HLOOKUP(E3539, LookUP_Table!$A$6:$D$7, 2, FALSE)</f>
        <v>Graduate</v>
      </c>
      <c r="G3539" t="str">
        <f>IFERROR(VLOOKUP(E3539, LookUP_Table!$A$1:$B$4, 2, FALSE), "")</f>
        <v>Graduate</v>
      </c>
      <c r="H3539">
        <v>0</v>
      </c>
      <c r="I3539">
        <v>0</v>
      </c>
      <c r="J3539" t="str">
        <f t="shared" si="330"/>
        <v>Non-Smoker</v>
      </c>
      <c r="K3539">
        <v>0</v>
      </c>
      <c r="L3539">
        <v>0</v>
      </c>
      <c r="M3539">
        <v>1</v>
      </c>
      <c r="N3539">
        <v>0</v>
      </c>
      <c r="O3539">
        <v>330</v>
      </c>
      <c r="P3539" t="str">
        <f t="shared" si="331"/>
        <v>High</v>
      </c>
      <c r="Q3539">
        <v>155</v>
      </c>
      <c r="R3539">
        <v>90</v>
      </c>
      <c r="S3539">
        <v>23.94</v>
      </c>
      <c r="T3539" t="str">
        <f t="shared" si="332"/>
        <v>Normal</v>
      </c>
      <c r="U3539">
        <v>75</v>
      </c>
      <c r="V3539">
        <v>96</v>
      </c>
      <c r="W3539" t="str">
        <f t="shared" si="335"/>
        <v>Normal</v>
      </c>
      <c r="X3539">
        <v>0</v>
      </c>
    </row>
    <row r="3540" spans="1:24" ht="14.5" thickBot="1" x14ac:dyDescent="0.35">
      <c r="A3540">
        <v>1</v>
      </c>
      <c r="B3540" t="str">
        <f t="shared" si="333"/>
        <v>Male</v>
      </c>
      <c r="C3540" s="8">
        <v>59</v>
      </c>
      <c r="D3540" t="str">
        <f t="shared" si="334"/>
        <v>Senior</v>
      </c>
      <c r="E3540">
        <v>1</v>
      </c>
      <c r="F3540" t="str">
        <f>HLOOKUP(E3540, LookUP_Table!$A$6:$D$7, 2, FALSE)</f>
        <v>Primary</v>
      </c>
      <c r="G3540" t="str">
        <f>IFERROR(VLOOKUP(E3540, LookUP_Table!$A$1:$B$4, 2, FALSE), "")</f>
        <v>Primary</v>
      </c>
      <c r="H3540">
        <v>1</v>
      </c>
      <c r="I3540">
        <v>15</v>
      </c>
      <c r="J3540" t="str">
        <f t="shared" si="330"/>
        <v>Smoker</v>
      </c>
      <c r="K3540">
        <v>0</v>
      </c>
      <c r="L3540">
        <v>0</v>
      </c>
      <c r="M3540">
        <v>0</v>
      </c>
      <c r="N3540">
        <v>0</v>
      </c>
      <c r="O3540">
        <v>259</v>
      </c>
      <c r="P3540" t="str">
        <f t="shared" si="331"/>
        <v>High</v>
      </c>
      <c r="Q3540">
        <v>116</v>
      </c>
      <c r="R3540">
        <v>83</v>
      </c>
      <c r="S3540">
        <v>27.93</v>
      </c>
      <c r="T3540" t="str">
        <f t="shared" si="332"/>
        <v>Overweight</v>
      </c>
      <c r="U3540">
        <v>80</v>
      </c>
      <c r="V3540">
        <v>83</v>
      </c>
      <c r="W3540" t="str">
        <f t="shared" si="335"/>
        <v>Normal</v>
      </c>
      <c r="X3540">
        <v>0</v>
      </c>
    </row>
    <row r="3541" spans="1:24" ht="14.5" thickBot="1" x14ac:dyDescent="0.35">
      <c r="A3541">
        <v>0</v>
      </c>
      <c r="B3541" t="str">
        <f t="shared" si="333"/>
        <v>Female</v>
      </c>
      <c r="C3541" s="8">
        <v>59</v>
      </c>
      <c r="D3541" t="str">
        <f t="shared" si="334"/>
        <v>Senior</v>
      </c>
      <c r="E3541">
        <v>2</v>
      </c>
      <c r="F3541" t="str">
        <f>HLOOKUP(E3541, LookUP_Table!$A$6:$D$7, 2, FALSE)</f>
        <v>Secondary</v>
      </c>
      <c r="G3541" t="str">
        <f>IFERROR(VLOOKUP(E3541, LookUP_Table!$A$1:$B$4, 2, FALSE), "")</f>
        <v>Secondary</v>
      </c>
      <c r="H3541">
        <v>0</v>
      </c>
      <c r="I3541">
        <v>0</v>
      </c>
      <c r="J3541" t="str">
        <f t="shared" si="330"/>
        <v>Non-Smoker</v>
      </c>
      <c r="K3541">
        <v>0</v>
      </c>
      <c r="L3541">
        <v>0</v>
      </c>
      <c r="M3541">
        <v>1</v>
      </c>
      <c r="N3541">
        <v>0</v>
      </c>
      <c r="O3541">
        <v>233</v>
      </c>
      <c r="P3541" t="str">
        <f t="shared" si="331"/>
        <v>Normal</v>
      </c>
      <c r="Q3541">
        <v>149</v>
      </c>
      <c r="R3541">
        <v>85</v>
      </c>
      <c r="S3541">
        <v>24.67</v>
      </c>
      <c r="T3541" t="str">
        <f t="shared" si="332"/>
        <v>Normal</v>
      </c>
      <c r="U3541">
        <v>120</v>
      </c>
      <c r="V3541">
        <v>72</v>
      </c>
      <c r="W3541" t="str">
        <f t="shared" si="335"/>
        <v>Normal</v>
      </c>
      <c r="X3541">
        <v>0</v>
      </c>
    </row>
    <row r="3542" spans="1:24" ht="14.5" thickBot="1" x14ac:dyDescent="0.35">
      <c r="A3542">
        <v>0</v>
      </c>
      <c r="B3542" t="str">
        <f t="shared" si="333"/>
        <v>Female</v>
      </c>
      <c r="C3542" s="8">
        <v>59</v>
      </c>
      <c r="D3542" t="str">
        <f t="shared" si="334"/>
        <v>Senior</v>
      </c>
      <c r="E3542">
        <v>1</v>
      </c>
      <c r="F3542" t="str">
        <f>HLOOKUP(E3542, LookUP_Table!$A$6:$D$7, 2, FALSE)</f>
        <v>Primary</v>
      </c>
      <c r="G3542" t="str">
        <f>IFERROR(VLOOKUP(E3542, LookUP_Table!$A$1:$B$4, 2, FALSE), "")</f>
        <v>Primary</v>
      </c>
      <c r="H3542">
        <v>0</v>
      </c>
      <c r="I3542">
        <v>0</v>
      </c>
      <c r="J3542" t="str">
        <f t="shared" si="330"/>
        <v>Non-Smoker</v>
      </c>
      <c r="K3542">
        <v>0</v>
      </c>
      <c r="L3542">
        <v>0</v>
      </c>
      <c r="M3542">
        <v>1</v>
      </c>
      <c r="N3542">
        <v>0</v>
      </c>
      <c r="O3542">
        <v>254</v>
      </c>
      <c r="P3542" t="str">
        <f t="shared" si="331"/>
        <v>High</v>
      </c>
      <c r="Q3542">
        <v>143.5</v>
      </c>
      <c r="R3542">
        <v>92.5</v>
      </c>
      <c r="S3542">
        <v>35.11</v>
      </c>
      <c r="T3542" t="str">
        <f t="shared" si="332"/>
        <v>Obese</v>
      </c>
      <c r="U3542">
        <v>80</v>
      </c>
      <c r="V3542">
        <v>81.96365524402907</v>
      </c>
      <c r="W3542" t="str">
        <f t="shared" si="335"/>
        <v>Normal</v>
      </c>
      <c r="X3542">
        <v>0</v>
      </c>
    </row>
    <row r="3543" spans="1:24" ht="14.5" thickBot="1" x14ac:dyDescent="0.35">
      <c r="A3543">
        <v>0</v>
      </c>
      <c r="B3543" t="str">
        <f t="shared" si="333"/>
        <v>Female</v>
      </c>
      <c r="C3543" s="8">
        <v>59</v>
      </c>
      <c r="D3543" t="str">
        <f t="shared" si="334"/>
        <v>Senior</v>
      </c>
      <c r="E3543">
        <v>1</v>
      </c>
      <c r="F3543" t="str">
        <f>HLOOKUP(E3543, LookUP_Table!$A$6:$D$7, 2, FALSE)</f>
        <v>Primary</v>
      </c>
      <c r="G3543" t="str">
        <f>IFERROR(VLOOKUP(E3543, LookUP_Table!$A$1:$B$4, 2, FALSE), "")</f>
        <v>Primary</v>
      </c>
      <c r="H3543">
        <v>0</v>
      </c>
      <c r="I3543">
        <v>0</v>
      </c>
      <c r="J3543" t="str">
        <f t="shared" si="330"/>
        <v>Non-Smoker</v>
      </c>
      <c r="K3543">
        <v>0</v>
      </c>
      <c r="L3543">
        <v>0</v>
      </c>
      <c r="M3543">
        <v>0</v>
      </c>
      <c r="N3543">
        <v>0</v>
      </c>
      <c r="O3543">
        <v>254</v>
      </c>
      <c r="P3543" t="str">
        <f t="shared" si="331"/>
        <v>High</v>
      </c>
      <c r="Q3543">
        <v>116</v>
      </c>
      <c r="R3543">
        <v>71</v>
      </c>
      <c r="S3543">
        <v>25.48</v>
      </c>
      <c r="T3543" t="str">
        <f t="shared" si="332"/>
        <v>Overweight</v>
      </c>
      <c r="U3543">
        <v>75</v>
      </c>
      <c r="V3543">
        <v>98</v>
      </c>
      <c r="W3543" t="str">
        <f t="shared" si="335"/>
        <v>Normal</v>
      </c>
      <c r="X3543">
        <v>1</v>
      </c>
    </row>
    <row r="3544" spans="1:24" ht="14.5" thickBot="1" x14ac:dyDescent="0.35">
      <c r="A3544">
        <v>0</v>
      </c>
      <c r="B3544" t="str">
        <f t="shared" si="333"/>
        <v>Female</v>
      </c>
      <c r="C3544" s="8">
        <v>59</v>
      </c>
      <c r="D3544" t="str">
        <f t="shared" si="334"/>
        <v>Senior</v>
      </c>
      <c r="E3544">
        <v>1</v>
      </c>
      <c r="F3544" t="str">
        <f>HLOOKUP(E3544, LookUP_Table!$A$6:$D$7, 2, FALSE)</f>
        <v>Primary</v>
      </c>
      <c r="G3544" t="str">
        <f>IFERROR(VLOOKUP(E3544, LookUP_Table!$A$1:$B$4, 2, FALSE), "")</f>
        <v>Primary</v>
      </c>
      <c r="H3544">
        <v>0</v>
      </c>
      <c r="I3544">
        <v>0</v>
      </c>
      <c r="J3544" t="str">
        <f t="shared" si="330"/>
        <v>Non-Smoker</v>
      </c>
      <c r="K3544">
        <v>0</v>
      </c>
      <c r="L3544">
        <v>0</v>
      </c>
      <c r="M3544">
        <v>1</v>
      </c>
      <c r="N3544">
        <v>0</v>
      </c>
      <c r="O3544">
        <v>244</v>
      </c>
      <c r="P3544" t="str">
        <f t="shared" si="331"/>
        <v>High</v>
      </c>
      <c r="Q3544">
        <v>160</v>
      </c>
      <c r="R3544">
        <v>85</v>
      </c>
      <c r="S3544">
        <v>29.41</v>
      </c>
      <c r="T3544" t="str">
        <f t="shared" si="332"/>
        <v>Overweight</v>
      </c>
      <c r="U3544">
        <v>72</v>
      </c>
      <c r="V3544">
        <v>85</v>
      </c>
      <c r="W3544" t="str">
        <f t="shared" si="335"/>
        <v>Normal</v>
      </c>
      <c r="X3544">
        <v>0</v>
      </c>
    </row>
    <row r="3545" spans="1:24" ht="14.5" thickBot="1" x14ac:dyDescent="0.35">
      <c r="A3545">
        <v>1</v>
      </c>
      <c r="B3545" t="str">
        <f t="shared" si="333"/>
        <v>Male</v>
      </c>
      <c r="C3545" s="8">
        <v>59</v>
      </c>
      <c r="D3545" t="str">
        <f t="shared" si="334"/>
        <v>Senior</v>
      </c>
      <c r="E3545">
        <v>1</v>
      </c>
      <c r="F3545" t="str">
        <f>HLOOKUP(E3545, LookUP_Table!$A$6:$D$7, 2, FALSE)</f>
        <v>Primary</v>
      </c>
      <c r="G3545" t="str">
        <f>IFERROR(VLOOKUP(E3545, LookUP_Table!$A$1:$B$4, 2, FALSE), "")</f>
        <v>Primary</v>
      </c>
      <c r="H3545">
        <v>1</v>
      </c>
      <c r="I3545">
        <v>43</v>
      </c>
      <c r="J3545" t="str">
        <f t="shared" si="330"/>
        <v>Smoker</v>
      </c>
      <c r="K3545">
        <v>0</v>
      </c>
      <c r="L3545">
        <v>0</v>
      </c>
      <c r="M3545">
        <v>0</v>
      </c>
      <c r="N3545">
        <v>0</v>
      </c>
      <c r="O3545">
        <v>162</v>
      </c>
      <c r="P3545" t="str">
        <f t="shared" si="331"/>
        <v>Normal</v>
      </c>
      <c r="Q3545">
        <v>117</v>
      </c>
      <c r="R3545">
        <v>73</v>
      </c>
      <c r="S3545">
        <v>25.01</v>
      </c>
      <c r="T3545" t="str">
        <f t="shared" si="332"/>
        <v>Overweight</v>
      </c>
      <c r="U3545">
        <v>96</v>
      </c>
      <c r="V3545">
        <v>87</v>
      </c>
      <c r="W3545" t="str">
        <f t="shared" si="335"/>
        <v>Normal</v>
      </c>
      <c r="X3545">
        <v>0</v>
      </c>
    </row>
    <row r="3546" spans="1:24" ht="14.5" thickBot="1" x14ac:dyDescent="0.35">
      <c r="A3546">
        <v>1</v>
      </c>
      <c r="B3546" t="str">
        <f t="shared" si="333"/>
        <v>Male</v>
      </c>
      <c r="C3546" s="8">
        <v>59</v>
      </c>
      <c r="D3546" t="str">
        <f t="shared" si="334"/>
        <v>Senior</v>
      </c>
      <c r="E3546">
        <v>3</v>
      </c>
      <c r="F3546" t="str">
        <f>HLOOKUP(E3546, LookUP_Table!$A$6:$D$7, 2, FALSE)</f>
        <v>Graduate</v>
      </c>
      <c r="G3546" t="str">
        <f>IFERROR(VLOOKUP(E3546, LookUP_Table!$A$1:$B$4, 2, FALSE), "")</f>
        <v>Graduate</v>
      </c>
      <c r="H3546">
        <v>1</v>
      </c>
      <c r="I3546">
        <v>20</v>
      </c>
      <c r="J3546" t="str">
        <f t="shared" si="330"/>
        <v>Smoker</v>
      </c>
      <c r="K3546">
        <v>0</v>
      </c>
      <c r="L3546">
        <v>0</v>
      </c>
      <c r="M3546">
        <v>1</v>
      </c>
      <c r="N3546">
        <v>0</v>
      </c>
      <c r="O3546">
        <v>206</v>
      </c>
      <c r="P3546" t="str">
        <f t="shared" si="331"/>
        <v>Normal</v>
      </c>
      <c r="Q3546">
        <v>187</v>
      </c>
      <c r="R3546">
        <v>97</v>
      </c>
      <c r="S3546">
        <v>26</v>
      </c>
      <c r="T3546" t="str">
        <f t="shared" si="332"/>
        <v>Overweight</v>
      </c>
      <c r="U3546">
        <v>100</v>
      </c>
      <c r="V3546">
        <v>69</v>
      </c>
      <c r="W3546" t="str">
        <f t="shared" si="335"/>
        <v>Normal</v>
      </c>
      <c r="X3546">
        <v>0</v>
      </c>
    </row>
    <row r="3547" spans="1:24" ht="14.5" thickBot="1" x14ac:dyDescent="0.35">
      <c r="A3547">
        <v>1</v>
      </c>
      <c r="B3547" t="str">
        <f t="shared" si="333"/>
        <v>Male</v>
      </c>
      <c r="C3547" s="8">
        <v>59</v>
      </c>
      <c r="D3547" t="str">
        <f t="shared" si="334"/>
        <v>Senior</v>
      </c>
      <c r="E3547">
        <v>1</v>
      </c>
      <c r="F3547" t="str">
        <f>HLOOKUP(E3547, LookUP_Table!$A$6:$D$7, 2, FALSE)</f>
        <v>Primary</v>
      </c>
      <c r="G3547" t="str">
        <f>IFERROR(VLOOKUP(E3547, LookUP_Table!$A$1:$B$4, 2, FALSE), "")</f>
        <v>Primary</v>
      </c>
      <c r="H3547">
        <v>0</v>
      </c>
      <c r="I3547">
        <v>0</v>
      </c>
      <c r="J3547" t="str">
        <f t="shared" si="330"/>
        <v>Non-Smoker</v>
      </c>
      <c r="K3547">
        <v>0</v>
      </c>
      <c r="L3547">
        <v>0</v>
      </c>
      <c r="M3547">
        <v>1</v>
      </c>
      <c r="N3547">
        <v>0</v>
      </c>
      <c r="O3547">
        <v>248</v>
      </c>
      <c r="P3547" t="str">
        <f t="shared" si="331"/>
        <v>High</v>
      </c>
      <c r="Q3547">
        <v>151.5</v>
      </c>
      <c r="R3547">
        <v>71</v>
      </c>
      <c r="S3547">
        <v>27.14</v>
      </c>
      <c r="T3547" t="str">
        <f t="shared" si="332"/>
        <v>Overweight</v>
      </c>
      <c r="U3547">
        <v>75</v>
      </c>
      <c r="V3547">
        <v>110</v>
      </c>
      <c r="W3547" t="str">
        <f t="shared" si="335"/>
        <v>Prediabetes</v>
      </c>
      <c r="X3547">
        <v>0</v>
      </c>
    </row>
    <row r="3548" spans="1:24" ht="14.5" thickBot="1" x14ac:dyDescent="0.35">
      <c r="A3548">
        <v>1</v>
      </c>
      <c r="B3548" t="str">
        <f t="shared" si="333"/>
        <v>Male</v>
      </c>
      <c r="C3548" s="8">
        <v>59</v>
      </c>
      <c r="D3548" t="str">
        <f t="shared" si="334"/>
        <v>Senior</v>
      </c>
      <c r="E3548">
        <v>1</v>
      </c>
      <c r="F3548" t="str">
        <f>HLOOKUP(E3548, LookUP_Table!$A$6:$D$7, 2, FALSE)</f>
        <v>Primary</v>
      </c>
      <c r="G3548" t="str">
        <f>IFERROR(VLOOKUP(E3548, LookUP_Table!$A$1:$B$4, 2, FALSE), "")</f>
        <v>Primary</v>
      </c>
      <c r="H3548">
        <v>0</v>
      </c>
      <c r="I3548">
        <v>0</v>
      </c>
      <c r="J3548" t="str">
        <f t="shared" si="330"/>
        <v>Non-Smoker</v>
      </c>
      <c r="K3548">
        <v>0</v>
      </c>
      <c r="L3548">
        <v>0</v>
      </c>
      <c r="M3548">
        <v>1</v>
      </c>
      <c r="N3548">
        <v>0</v>
      </c>
      <c r="O3548">
        <v>313</v>
      </c>
      <c r="P3548" t="str">
        <f t="shared" si="331"/>
        <v>High</v>
      </c>
      <c r="Q3548">
        <v>150</v>
      </c>
      <c r="R3548">
        <v>82</v>
      </c>
      <c r="S3548">
        <v>27.27</v>
      </c>
      <c r="T3548" t="str">
        <f t="shared" si="332"/>
        <v>Overweight</v>
      </c>
      <c r="U3548">
        <v>62</v>
      </c>
      <c r="V3548">
        <v>94</v>
      </c>
      <c r="W3548" t="str">
        <f t="shared" si="335"/>
        <v>Normal</v>
      </c>
      <c r="X3548">
        <v>0</v>
      </c>
    </row>
    <row r="3549" spans="1:24" ht="14.5" thickBot="1" x14ac:dyDescent="0.35">
      <c r="A3549">
        <v>0</v>
      </c>
      <c r="B3549" t="str">
        <f t="shared" si="333"/>
        <v>Female</v>
      </c>
      <c r="C3549" s="8">
        <v>59</v>
      </c>
      <c r="D3549" t="str">
        <f t="shared" si="334"/>
        <v>Senior</v>
      </c>
      <c r="E3549">
        <v>2</v>
      </c>
      <c r="F3549" t="str">
        <f>HLOOKUP(E3549, LookUP_Table!$A$6:$D$7, 2, FALSE)</f>
        <v>Secondary</v>
      </c>
      <c r="G3549" t="str">
        <f>IFERROR(VLOOKUP(E3549, LookUP_Table!$A$1:$B$4, 2, FALSE), "")</f>
        <v>Secondary</v>
      </c>
      <c r="H3549">
        <v>0</v>
      </c>
      <c r="I3549">
        <v>0</v>
      </c>
      <c r="J3549" t="str">
        <f t="shared" si="330"/>
        <v>Non-Smoker</v>
      </c>
      <c r="K3549">
        <v>0</v>
      </c>
      <c r="L3549">
        <v>0</v>
      </c>
      <c r="M3549">
        <v>0</v>
      </c>
      <c r="N3549">
        <v>0</v>
      </c>
      <c r="O3549">
        <v>345</v>
      </c>
      <c r="P3549" t="str">
        <f t="shared" si="331"/>
        <v>High</v>
      </c>
      <c r="Q3549">
        <v>148</v>
      </c>
      <c r="R3549">
        <v>95</v>
      </c>
      <c r="S3549">
        <v>23.72</v>
      </c>
      <c r="T3549" t="str">
        <f t="shared" si="332"/>
        <v>Normal</v>
      </c>
      <c r="U3549">
        <v>79</v>
      </c>
      <c r="V3549">
        <v>60</v>
      </c>
      <c r="W3549" t="str">
        <f t="shared" si="335"/>
        <v>Normal</v>
      </c>
      <c r="X3549">
        <v>0</v>
      </c>
    </row>
    <row r="3550" spans="1:24" ht="14.5" thickBot="1" x14ac:dyDescent="0.35">
      <c r="A3550">
        <v>1</v>
      </c>
      <c r="B3550" t="str">
        <f t="shared" si="333"/>
        <v>Male</v>
      </c>
      <c r="C3550" s="8">
        <v>59</v>
      </c>
      <c r="D3550" t="str">
        <f t="shared" si="334"/>
        <v>Senior</v>
      </c>
      <c r="E3550">
        <v>2</v>
      </c>
      <c r="F3550" t="str">
        <f>HLOOKUP(E3550, LookUP_Table!$A$6:$D$7, 2, FALSE)</f>
        <v>Secondary</v>
      </c>
      <c r="G3550" t="str">
        <f>IFERROR(VLOOKUP(E3550, LookUP_Table!$A$1:$B$4, 2, FALSE), "")</f>
        <v>Secondary</v>
      </c>
      <c r="H3550">
        <v>0</v>
      </c>
      <c r="I3550">
        <v>0</v>
      </c>
      <c r="J3550" t="str">
        <f t="shared" si="330"/>
        <v>Non-Smoker</v>
      </c>
      <c r="K3550">
        <v>0</v>
      </c>
      <c r="L3550">
        <v>0</v>
      </c>
      <c r="M3550">
        <v>0</v>
      </c>
      <c r="N3550">
        <v>0</v>
      </c>
      <c r="O3550">
        <v>237</v>
      </c>
      <c r="P3550" t="str">
        <f t="shared" si="331"/>
        <v>Normal</v>
      </c>
      <c r="Q3550">
        <v>131.5</v>
      </c>
      <c r="R3550">
        <v>84</v>
      </c>
      <c r="S3550">
        <v>24.17</v>
      </c>
      <c r="T3550" t="str">
        <f t="shared" si="332"/>
        <v>Normal</v>
      </c>
      <c r="U3550">
        <v>90</v>
      </c>
      <c r="V3550">
        <v>94</v>
      </c>
      <c r="W3550" t="str">
        <f t="shared" si="335"/>
        <v>Normal</v>
      </c>
      <c r="X3550">
        <v>1</v>
      </c>
    </row>
    <row r="3551" spans="1:24" ht="14.5" thickBot="1" x14ac:dyDescent="0.35">
      <c r="A3551">
        <v>0</v>
      </c>
      <c r="B3551" t="str">
        <f t="shared" si="333"/>
        <v>Female</v>
      </c>
      <c r="C3551" s="8">
        <v>59</v>
      </c>
      <c r="D3551" t="str">
        <f t="shared" si="334"/>
        <v>Senior</v>
      </c>
      <c r="E3551">
        <v>3</v>
      </c>
      <c r="F3551" t="str">
        <f>HLOOKUP(E3551, LookUP_Table!$A$6:$D$7, 2, FALSE)</f>
        <v>Graduate</v>
      </c>
      <c r="G3551" t="str">
        <f>IFERROR(VLOOKUP(E3551, LookUP_Table!$A$1:$B$4, 2, FALSE), "")</f>
        <v>Graduate</v>
      </c>
      <c r="H3551">
        <v>1</v>
      </c>
      <c r="I3551">
        <v>20</v>
      </c>
      <c r="J3551" t="str">
        <f t="shared" si="330"/>
        <v>Smoker</v>
      </c>
      <c r="K3551">
        <v>0</v>
      </c>
      <c r="L3551">
        <v>0</v>
      </c>
      <c r="M3551">
        <v>0</v>
      </c>
      <c r="N3551">
        <v>0</v>
      </c>
      <c r="O3551">
        <v>251</v>
      </c>
      <c r="P3551" t="str">
        <f t="shared" si="331"/>
        <v>High</v>
      </c>
      <c r="Q3551">
        <v>125</v>
      </c>
      <c r="R3551">
        <v>80</v>
      </c>
      <c r="S3551">
        <v>22.18</v>
      </c>
      <c r="T3551" t="str">
        <f t="shared" si="332"/>
        <v>Normal</v>
      </c>
      <c r="U3551">
        <v>70</v>
      </c>
      <c r="V3551">
        <v>70</v>
      </c>
      <c r="W3551" t="str">
        <f t="shared" si="335"/>
        <v>Normal</v>
      </c>
      <c r="X3551">
        <v>0</v>
      </c>
    </row>
    <row r="3552" spans="1:24" ht="14.5" thickBot="1" x14ac:dyDescent="0.35">
      <c r="A3552">
        <v>0</v>
      </c>
      <c r="B3552" t="str">
        <f t="shared" si="333"/>
        <v>Female</v>
      </c>
      <c r="C3552" s="8">
        <v>60</v>
      </c>
      <c r="D3552" t="str">
        <f t="shared" si="334"/>
        <v>Senior</v>
      </c>
      <c r="E3552">
        <v>1</v>
      </c>
      <c r="F3552" t="str">
        <f>HLOOKUP(E3552, LookUP_Table!$A$6:$D$7, 2, FALSE)</f>
        <v>Primary</v>
      </c>
      <c r="G3552" t="str">
        <f>IFERROR(VLOOKUP(E3552, LookUP_Table!$A$1:$B$4, 2, FALSE), "")</f>
        <v>Primary</v>
      </c>
      <c r="H3552">
        <v>0</v>
      </c>
      <c r="I3552">
        <v>0</v>
      </c>
      <c r="J3552" t="str">
        <f t="shared" si="330"/>
        <v>Non-Smoker</v>
      </c>
      <c r="K3552">
        <v>0</v>
      </c>
      <c r="L3552">
        <v>0</v>
      </c>
      <c r="M3552">
        <v>0</v>
      </c>
      <c r="N3552">
        <v>0</v>
      </c>
      <c r="O3552">
        <v>260</v>
      </c>
      <c r="P3552" t="str">
        <f t="shared" si="331"/>
        <v>High</v>
      </c>
      <c r="Q3552">
        <v>110</v>
      </c>
      <c r="R3552">
        <v>72.5</v>
      </c>
      <c r="S3552">
        <v>26.59</v>
      </c>
      <c r="T3552" t="str">
        <f t="shared" si="332"/>
        <v>Overweight</v>
      </c>
      <c r="U3552">
        <v>65</v>
      </c>
      <c r="V3552">
        <v>81.96365524402907</v>
      </c>
      <c r="W3552" t="str">
        <f t="shared" si="335"/>
        <v>Normal</v>
      </c>
      <c r="X3552">
        <v>0</v>
      </c>
    </row>
    <row r="3553" spans="1:24" ht="14.5" thickBot="1" x14ac:dyDescent="0.35">
      <c r="A3553">
        <v>0</v>
      </c>
      <c r="B3553" t="str">
        <f t="shared" si="333"/>
        <v>Female</v>
      </c>
      <c r="C3553" s="8">
        <v>60</v>
      </c>
      <c r="D3553" t="str">
        <f t="shared" si="334"/>
        <v>Senior</v>
      </c>
      <c r="E3553">
        <v>1</v>
      </c>
      <c r="F3553" t="str">
        <f>HLOOKUP(E3553, LookUP_Table!$A$6:$D$7, 2, FALSE)</f>
        <v>Primary</v>
      </c>
      <c r="G3553" t="str">
        <f>IFERROR(VLOOKUP(E3553, LookUP_Table!$A$1:$B$4, 2, FALSE), "")</f>
        <v>Primary</v>
      </c>
      <c r="H3553">
        <v>0</v>
      </c>
      <c r="I3553">
        <v>0</v>
      </c>
      <c r="J3553" t="str">
        <f t="shared" si="330"/>
        <v>Non-Smoker</v>
      </c>
      <c r="K3553">
        <v>0</v>
      </c>
      <c r="L3553">
        <v>0</v>
      </c>
      <c r="M3553">
        <v>0</v>
      </c>
      <c r="N3553">
        <v>0</v>
      </c>
      <c r="O3553">
        <v>247</v>
      </c>
      <c r="P3553" t="str">
        <f t="shared" si="331"/>
        <v>High</v>
      </c>
      <c r="Q3553">
        <v>130</v>
      </c>
      <c r="R3553">
        <v>88</v>
      </c>
      <c r="S3553">
        <v>30.36</v>
      </c>
      <c r="T3553" t="str">
        <f t="shared" si="332"/>
        <v>Obese</v>
      </c>
      <c r="U3553">
        <v>72</v>
      </c>
      <c r="V3553">
        <v>74</v>
      </c>
      <c r="W3553" t="str">
        <f t="shared" si="335"/>
        <v>Normal</v>
      </c>
      <c r="X3553">
        <v>0</v>
      </c>
    </row>
    <row r="3554" spans="1:24" ht="14.5" thickBot="1" x14ac:dyDescent="0.35">
      <c r="A3554">
        <v>1</v>
      </c>
      <c r="B3554" t="str">
        <f t="shared" si="333"/>
        <v>Male</v>
      </c>
      <c r="C3554" s="8">
        <v>60</v>
      </c>
      <c r="D3554" t="str">
        <f t="shared" si="334"/>
        <v>Senior</v>
      </c>
      <c r="E3554">
        <v>1</v>
      </c>
      <c r="F3554" t="str">
        <f>HLOOKUP(E3554, LookUP_Table!$A$6:$D$7, 2, FALSE)</f>
        <v>Primary</v>
      </c>
      <c r="G3554" t="str">
        <f>IFERROR(VLOOKUP(E3554, LookUP_Table!$A$1:$B$4, 2, FALSE), "")</f>
        <v>Primary</v>
      </c>
      <c r="H3554">
        <v>1</v>
      </c>
      <c r="I3554">
        <v>20</v>
      </c>
      <c r="J3554" t="str">
        <f t="shared" si="330"/>
        <v>Smoker</v>
      </c>
      <c r="K3554">
        <v>0</v>
      </c>
      <c r="L3554">
        <v>0</v>
      </c>
      <c r="M3554">
        <v>1</v>
      </c>
      <c r="N3554">
        <v>0</v>
      </c>
      <c r="O3554">
        <v>170</v>
      </c>
      <c r="P3554" t="str">
        <f t="shared" si="331"/>
        <v>Normal</v>
      </c>
      <c r="Q3554">
        <v>179</v>
      </c>
      <c r="R3554">
        <v>94</v>
      </c>
      <c r="S3554">
        <v>26.52</v>
      </c>
      <c r="T3554" t="str">
        <f t="shared" si="332"/>
        <v>Overweight</v>
      </c>
      <c r="U3554">
        <v>90</v>
      </c>
      <c r="V3554">
        <v>83</v>
      </c>
      <c r="W3554" t="str">
        <f t="shared" si="335"/>
        <v>Normal</v>
      </c>
      <c r="X3554">
        <v>0</v>
      </c>
    </row>
    <row r="3555" spans="1:24" ht="14.5" thickBot="1" x14ac:dyDescent="0.35">
      <c r="A3555">
        <v>1</v>
      </c>
      <c r="B3555" t="str">
        <f t="shared" si="333"/>
        <v>Male</v>
      </c>
      <c r="C3555" s="8">
        <v>60</v>
      </c>
      <c r="D3555" t="str">
        <f t="shared" si="334"/>
        <v>Senior</v>
      </c>
      <c r="E3555">
        <v>4</v>
      </c>
      <c r="F3555" t="str">
        <f>HLOOKUP(E3555, LookUP_Table!$A$6:$D$7, 2, FALSE)</f>
        <v>Post Graduate</v>
      </c>
      <c r="G3555" t="str">
        <f>IFERROR(VLOOKUP(E3555, LookUP_Table!$A$1:$B$4, 2, FALSE), "")</f>
        <v>Post Graduate</v>
      </c>
      <c r="H3555">
        <v>1</v>
      </c>
      <c r="I3555">
        <v>30</v>
      </c>
      <c r="J3555" t="str">
        <f t="shared" si="330"/>
        <v>Smoker</v>
      </c>
      <c r="K3555">
        <v>0</v>
      </c>
      <c r="L3555">
        <v>0</v>
      </c>
      <c r="M3555">
        <v>0</v>
      </c>
      <c r="N3555">
        <v>0</v>
      </c>
      <c r="O3555">
        <v>243</v>
      </c>
      <c r="P3555" t="str">
        <f t="shared" si="331"/>
        <v>High</v>
      </c>
      <c r="Q3555">
        <v>126</v>
      </c>
      <c r="R3555">
        <v>79</v>
      </c>
      <c r="S3555">
        <v>28.57</v>
      </c>
      <c r="T3555" t="str">
        <f t="shared" si="332"/>
        <v>Overweight</v>
      </c>
      <c r="U3555">
        <v>80</v>
      </c>
      <c r="V3555">
        <v>65</v>
      </c>
      <c r="W3555" t="str">
        <f t="shared" si="335"/>
        <v>Normal</v>
      </c>
      <c r="X3555">
        <v>1</v>
      </c>
    </row>
    <row r="3556" spans="1:24" ht="14.5" thickBot="1" x14ac:dyDescent="0.35">
      <c r="A3556">
        <v>0</v>
      </c>
      <c r="B3556" t="str">
        <f t="shared" si="333"/>
        <v>Female</v>
      </c>
      <c r="C3556" s="8">
        <v>60</v>
      </c>
      <c r="D3556" t="str">
        <f t="shared" si="334"/>
        <v>Senior</v>
      </c>
      <c r="E3556">
        <v>3</v>
      </c>
      <c r="F3556" t="str">
        <f>HLOOKUP(E3556, LookUP_Table!$A$6:$D$7, 2, FALSE)</f>
        <v>Graduate</v>
      </c>
      <c r="G3556" t="str">
        <f>IFERROR(VLOOKUP(E3556, LookUP_Table!$A$1:$B$4, 2, FALSE), "")</f>
        <v>Graduate</v>
      </c>
      <c r="H3556">
        <v>0</v>
      </c>
      <c r="I3556">
        <v>0</v>
      </c>
      <c r="J3556" t="str">
        <f t="shared" si="330"/>
        <v>Non-Smoker</v>
      </c>
      <c r="K3556">
        <v>0</v>
      </c>
      <c r="L3556">
        <v>0</v>
      </c>
      <c r="M3556">
        <v>1</v>
      </c>
      <c r="N3556">
        <v>0</v>
      </c>
      <c r="O3556">
        <v>275</v>
      </c>
      <c r="P3556" t="str">
        <f t="shared" si="331"/>
        <v>High</v>
      </c>
      <c r="Q3556">
        <v>141</v>
      </c>
      <c r="R3556">
        <v>84</v>
      </c>
      <c r="S3556">
        <v>29.66</v>
      </c>
      <c r="T3556" t="str">
        <f t="shared" si="332"/>
        <v>Overweight</v>
      </c>
      <c r="U3556">
        <v>75</v>
      </c>
      <c r="V3556">
        <v>105</v>
      </c>
      <c r="W3556" t="str">
        <f t="shared" si="335"/>
        <v>Prediabetes</v>
      </c>
      <c r="X3556">
        <v>0</v>
      </c>
    </row>
    <row r="3557" spans="1:24" ht="14.5" thickBot="1" x14ac:dyDescent="0.35">
      <c r="A3557">
        <v>1</v>
      </c>
      <c r="B3557" t="str">
        <f t="shared" si="333"/>
        <v>Male</v>
      </c>
      <c r="C3557" s="8">
        <v>60</v>
      </c>
      <c r="D3557" t="str">
        <f t="shared" si="334"/>
        <v>Senior</v>
      </c>
      <c r="E3557">
        <v>1</v>
      </c>
      <c r="F3557" t="str">
        <f>HLOOKUP(E3557, LookUP_Table!$A$6:$D$7, 2, FALSE)</f>
        <v>Primary</v>
      </c>
      <c r="G3557" t="str">
        <f>IFERROR(VLOOKUP(E3557, LookUP_Table!$A$1:$B$4, 2, FALSE), "")</f>
        <v>Primary</v>
      </c>
      <c r="H3557">
        <v>0</v>
      </c>
      <c r="I3557">
        <v>0</v>
      </c>
      <c r="J3557" t="str">
        <f t="shared" si="330"/>
        <v>Non-Smoker</v>
      </c>
      <c r="K3557">
        <v>0</v>
      </c>
      <c r="L3557">
        <v>0</v>
      </c>
      <c r="M3557">
        <v>1</v>
      </c>
      <c r="N3557">
        <v>0</v>
      </c>
      <c r="O3557">
        <v>278</v>
      </c>
      <c r="P3557" t="str">
        <f t="shared" si="331"/>
        <v>High</v>
      </c>
      <c r="Q3557">
        <v>160.5</v>
      </c>
      <c r="R3557">
        <v>96</v>
      </c>
      <c r="S3557">
        <v>26.4</v>
      </c>
      <c r="T3557" t="str">
        <f t="shared" si="332"/>
        <v>Overweight</v>
      </c>
      <c r="U3557">
        <v>55</v>
      </c>
      <c r="V3557">
        <v>75</v>
      </c>
      <c r="W3557" t="str">
        <f t="shared" si="335"/>
        <v>Normal</v>
      </c>
      <c r="X3557">
        <v>1</v>
      </c>
    </row>
    <row r="3558" spans="1:24" ht="14.5" thickBot="1" x14ac:dyDescent="0.35">
      <c r="A3558">
        <v>0</v>
      </c>
      <c r="B3558" t="str">
        <f t="shared" si="333"/>
        <v>Female</v>
      </c>
      <c r="C3558" s="8">
        <v>60</v>
      </c>
      <c r="D3558" t="str">
        <f t="shared" si="334"/>
        <v>Senior</v>
      </c>
      <c r="E3558">
        <v>3</v>
      </c>
      <c r="F3558" t="str">
        <f>HLOOKUP(E3558, LookUP_Table!$A$6:$D$7, 2, FALSE)</f>
        <v>Graduate</v>
      </c>
      <c r="G3558" t="str">
        <f>IFERROR(VLOOKUP(E3558, LookUP_Table!$A$1:$B$4, 2, FALSE), "")</f>
        <v>Graduate</v>
      </c>
      <c r="H3558">
        <v>0</v>
      </c>
      <c r="I3558">
        <v>0</v>
      </c>
      <c r="J3558" t="str">
        <f t="shared" si="330"/>
        <v>Non-Smoker</v>
      </c>
      <c r="K3558">
        <v>0</v>
      </c>
      <c r="L3558">
        <v>0</v>
      </c>
      <c r="M3558">
        <v>1</v>
      </c>
      <c r="N3558">
        <v>0</v>
      </c>
      <c r="O3558">
        <v>325</v>
      </c>
      <c r="P3558" t="str">
        <f t="shared" si="331"/>
        <v>High</v>
      </c>
      <c r="Q3558">
        <v>182</v>
      </c>
      <c r="R3558">
        <v>106</v>
      </c>
      <c r="S3558">
        <v>27.61</v>
      </c>
      <c r="T3558" t="str">
        <f t="shared" si="332"/>
        <v>Overweight</v>
      </c>
      <c r="U3558">
        <v>80</v>
      </c>
      <c r="V3558">
        <v>77</v>
      </c>
      <c r="W3558" t="str">
        <f t="shared" si="335"/>
        <v>Normal</v>
      </c>
      <c r="X3558">
        <v>1</v>
      </c>
    </row>
    <row r="3559" spans="1:24" ht="14.5" thickBot="1" x14ac:dyDescent="0.35">
      <c r="A3559">
        <v>1</v>
      </c>
      <c r="B3559" t="str">
        <f t="shared" si="333"/>
        <v>Male</v>
      </c>
      <c r="C3559" s="8">
        <v>60</v>
      </c>
      <c r="D3559" t="str">
        <f t="shared" si="334"/>
        <v>Senior</v>
      </c>
      <c r="E3559">
        <v>1</v>
      </c>
      <c r="F3559" t="str">
        <f>HLOOKUP(E3559, LookUP_Table!$A$6:$D$7, 2, FALSE)</f>
        <v>Primary</v>
      </c>
      <c r="G3559" t="str">
        <f>IFERROR(VLOOKUP(E3559, LookUP_Table!$A$1:$B$4, 2, FALSE), "")</f>
        <v>Primary</v>
      </c>
      <c r="H3559">
        <v>0</v>
      </c>
      <c r="I3559">
        <v>0</v>
      </c>
      <c r="J3559" t="str">
        <f t="shared" si="330"/>
        <v>Non-Smoker</v>
      </c>
      <c r="K3559">
        <v>0</v>
      </c>
      <c r="L3559">
        <v>0</v>
      </c>
      <c r="M3559">
        <v>0</v>
      </c>
      <c r="N3559">
        <v>0</v>
      </c>
      <c r="O3559">
        <v>240</v>
      </c>
      <c r="P3559" t="str">
        <f t="shared" si="331"/>
        <v>Normal</v>
      </c>
      <c r="Q3559">
        <v>137</v>
      </c>
      <c r="R3559">
        <v>84</v>
      </c>
      <c r="S3559">
        <v>29.51</v>
      </c>
      <c r="T3559" t="str">
        <f t="shared" si="332"/>
        <v>Overweight</v>
      </c>
      <c r="U3559">
        <v>82</v>
      </c>
      <c r="V3559">
        <v>88</v>
      </c>
      <c r="W3559" t="str">
        <f t="shared" si="335"/>
        <v>Normal</v>
      </c>
      <c r="X3559">
        <v>0</v>
      </c>
    </row>
    <row r="3560" spans="1:24" ht="14.5" thickBot="1" x14ac:dyDescent="0.35">
      <c r="A3560">
        <v>0</v>
      </c>
      <c r="B3560" t="str">
        <f t="shared" si="333"/>
        <v>Female</v>
      </c>
      <c r="C3560" s="8">
        <v>60</v>
      </c>
      <c r="D3560" t="str">
        <f t="shared" si="334"/>
        <v>Senior</v>
      </c>
      <c r="E3560">
        <v>1</v>
      </c>
      <c r="F3560" t="str">
        <f>HLOOKUP(E3560, LookUP_Table!$A$6:$D$7, 2, FALSE)</f>
        <v>Primary</v>
      </c>
      <c r="G3560" t="str">
        <f>IFERROR(VLOOKUP(E3560, LookUP_Table!$A$1:$B$4, 2, FALSE), "")</f>
        <v>Primary</v>
      </c>
      <c r="H3560">
        <v>0</v>
      </c>
      <c r="I3560">
        <v>0</v>
      </c>
      <c r="J3560" t="str">
        <f t="shared" si="330"/>
        <v>Non-Smoker</v>
      </c>
      <c r="K3560">
        <v>0</v>
      </c>
      <c r="L3560">
        <v>0</v>
      </c>
      <c r="M3560">
        <v>0</v>
      </c>
      <c r="N3560">
        <v>0</v>
      </c>
      <c r="O3560">
        <v>242</v>
      </c>
      <c r="P3560" t="str">
        <f t="shared" si="331"/>
        <v>High</v>
      </c>
      <c r="Q3560">
        <v>130</v>
      </c>
      <c r="R3560">
        <v>70</v>
      </c>
      <c r="S3560">
        <v>29.17</v>
      </c>
      <c r="T3560" t="str">
        <f t="shared" si="332"/>
        <v>Overweight</v>
      </c>
      <c r="U3560">
        <v>65</v>
      </c>
      <c r="V3560">
        <v>84</v>
      </c>
      <c r="W3560" t="str">
        <f t="shared" si="335"/>
        <v>Normal</v>
      </c>
      <c r="X3560">
        <v>0</v>
      </c>
    </row>
    <row r="3561" spans="1:24" ht="14.5" thickBot="1" x14ac:dyDescent="0.35">
      <c r="A3561">
        <v>0</v>
      </c>
      <c r="B3561" t="str">
        <f t="shared" si="333"/>
        <v>Female</v>
      </c>
      <c r="C3561" s="8">
        <v>60</v>
      </c>
      <c r="D3561" t="str">
        <f t="shared" si="334"/>
        <v>Senior</v>
      </c>
      <c r="E3561">
        <v>1</v>
      </c>
      <c r="F3561" t="str">
        <f>HLOOKUP(E3561, LookUP_Table!$A$6:$D$7, 2, FALSE)</f>
        <v>Primary</v>
      </c>
      <c r="G3561" t="str">
        <f>IFERROR(VLOOKUP(E3561, LookUP_Table!$A$1:$B$4, 2, FALSE), "")</f>
        <v>Primary</v>
      </c>
      <c r="H3561">
        <v>1</v>
      </c>
      <c r="I3561">
        <v>20</v>
      </c>
      <c r="J3561" t="str">
        <f t="shared" si="330"/>
        <v>Smoker</v>
      </c>
      <c r="K3561">
        <v>0</v>
      </c>
      <c r="L3561">
        <v>0</v>
      </c>
      <c r="M3561">
        <v>0</v>
      </c>
      <c r="N3561">
        <v>1</v>
      </c>
      <c r="O3561">
        <v>180</v>
      </c>
      <c r="P3561" t="str">
        <f t="shared" si="331"/>
        <v>Normal</v>
      </c>
      <c r="Q3561">
        <v>200</v>
      </c>
      <c r="R3561">
        <v>122.5</v>
      </c>
      <c r="S3561">
        <v>44.27</v>
      </c>
      <c r="T3561" t="str">
        <f t="shared" si="332"/>
        <v>Obese</v>
      </c>
      <c r="U3561">
        <v>88</v>
      </c>
      <c r="V3561">
        <v>150</v>
      </c>
      <c r="W3561" t="str">
        <f t="shared" si="335"/>
        <v>Diabetes</v>
      </c>
      <c r="X3561">
        <v>0</v>
      </c>
    </row>
    <row r="3562" spans="1:24" ht="14.5" thickBot="1" x14ac:dyDescent="0.35">
      <c r="A3562">
        <v>0</v>
      </c>
      <c r="B3562" t="str">
        <f t="shared" si="333"/>
        <v>Female</v>
      </c>
      <c r="C3562" s="8">
        <v>60</v>
      </c>
      <c r="D3562" t="str">
        <f t="shared" si="334"/>
        <v>Senior</v>
      </c>
      <c r="E3562">
        <v>1</v>
      </c>
      <c r="F3562" t="str">
        <f>HLOOKUP(E3562, LookUP_Table!$A$6:$D$7, 2, FALSE)</f>
        <v>Primary</v>
      </c>
      <c r="G3562" t="str">
        <f>IFERROR(VLOOKUP(E3562, LookUP_Table!$A$1:$B$4, 2, FALSE), "")</f>
        <v>Primary</v>
      </c>
      <c r="H3562">
        <v>0</v>
      </c>
      <c r="I3562">
        <v>0</v>
      </c>
      <c r="J3562" t="str">
        <f t="shared" si="330"/>
        <v>Non-Smoker</v>
      </c>
      <c r="K3562">
        <v>1</v>
      </c>
      <c r="L3562">
        <v>1</v>
      </c>
      <c r="M3562">
        <v>1</v>
      </c>
      <c r="N3562">
        <v>0</v>
      </c>
      <c r="O3562">
        <v>252</v>
      </c>
      <c r="P3562" t="str">
        <f t="shared" si="331"/>
        <v>High</v>
      </c>
      <c r="Q3562">
        <v>189</v>
      </c>
      <c r="R3562">
        <v>110</v>
      </c>
      <c r="S3562">
        <v>28.77</v>
      </c>
      <c r="T3562" t="str">
        <f t="shared" si="332"/>
        <v>Overweight</v>
      </c>
      <c r="U3562">
        <v>54</v>
      </c>
      <c r="V3562">
        <v>70</v>
      </c>
      <c r="W3562" t="str">
        <f t="shared" si="335"/>
        <v>Normal</v>
      </c>
      <c r="X3562">
        <v>0</v>
      </c>
    </row>
    <row r="3563" spans="1:24" ht="14.5" thickBot="1" x14ac:dyDescent="0.35">
      <c r="A3563">
        <v>0</v>
      </c>
      <c r="B3563" t="str">
        <f t="shared" si="333"/>
        <v>Female</v>
      </c>
      <c r="C3563" s="8">
        <v>60</v>
      </c>
      <c r="D3563" t="str">
        <f t="shared" si="334"/>
        <v>Senior</v>
      </c>
      <c r="E3563">
        <v>1</v>
      </c>
      <c r="F3563" t="str">
        <f>HLOOKUP(E3563, LookUP_Table!$A$6:$D$7, 2, FALSE)</f>
        <v>Primary</v>
      </c>
      <c r="G3563" t="str">
        <f>IFERROR(VLOOKUP(E3563, LookUP_Table!$A$1:$B$4, 2, FALSE), "")</f>
        <v>Primary</v>
      </c>
      <c r="H3563">
        <v>0</v>
      </c>
      <c r="I3563">
        <v>0</v>
      </c>
      <c r="J3563" t="str">
        <f t="shared" si="330"/>
        <v>Non-Smoker</v>
      </c>
      <c r="K3563">
        <v>0</v>
      </c>
      <c r="L3563">
        <v>0</v>
      </c>
      <c r="M3563">
        <v>1</v>
      </c>
      <c r="N3563">
        <v>0</v>
      </c>
      <c r="O3563">
        <v>352</v>
      </c>
      <c r="P3563" t="str">
        <f t="shared" si="331"/>
        <v>High</v>
      </c>
      <c r="Q3563">
        <v>197.5</v>
      </c>
      <c r="R3563">
        <v>105</v>
      </c>
      <c r="S3563">
        <v>36.29</v>
      </c>
      <c r="T3563" t="str">
        <f t="shared" si="332"/>
        <v>Obese</v>
      </c>
      <c r="U3563">
        <v>75</v>
      </c>
      <c r="V3563">
        <v>95</v>
      </c>
      <c r="W3563" t="str">
        <f t="shared" si="335"/>
        <v>Normal</v>
      </c>
      <c r="X3563">
        <v>1</v>
      </c>
    </row>
    <row r="3564" spans="1:24" ht="14.5" thickBot="1" x14ac:dyDescent="0.35">
      <c r="A3564">
        <v>0</v>
      </c>
      <c r="B3564" t="str">
        <f t="shared" si="333"/>
        <v>Female</v>
      </c>
      <c r="C3564" s="8">
        <v>60</v>
      </c>
      <c r="D3564" t="str">
        <f t="shared" si="334"/>
        <v>Senior</v>
      </c>
      <c r="E3564">
        <v>3</v>
      </c>
      <c r="F3564" t="str">
        <f>HLOOKUP(E3564, LookUP_Table!$A$6:$D$7, 2, FALSE)</f>
        <v>Graduate</v>
      </c>
      <c r="G3564" t="str">
        <f>IFERROR(VLOOKUP(E3564, LookUP_Table!$A$1:$B$4, 2, FALSE), "")</f>
        <v>Graduate</v>
      </c>
      <c r="H3564">
        <v>0</v>
      </c>
      <c r="I3564">
        <v>0</v>
      </c>
      <c r="J3564" t="str">
        <f t="shared" si="330"/>
        <v>Non-Smoker</v>
      </c>
      <c r="K3564">
        <v>0</v>
      </c>
      <c r="L3564">
        <v>0</v>
      </c>
      <c r="M3564">
        <v>0</v>
      </c>
      <c r="N3564">
        <v>0</v>
      </c>
      <c r="O3564">
        <v>325</v>
      </c>
      <c r="P3564" t="str">
        <f t="shared" si="331"/>
        <v>High</v>
      </c>
      <c r="Q3564">
        <v>123</v>
      </c>
      <c r="R3564">
        <v>79</v>
      </c>
      <c r="S3564">
        <v>25.82</v>
      </c>
      <c r="T3564" t="str">
        <f t="shared" si="332"/>
        <v>Overweight</v>
      </c>
      <c r="U3564">
        <v>63</v>
      </c>
      <c r="V3564">
        <v>85</v>
      </c>
      <c r="W3564" t="str">
        <f t="shared" si="335"/>
        <v>Normal</v>
      </c>
      <c r="X3564">
        <v>0</v>
      </c>
    </row>
    <row r="3565" spans="1:24" ht="14.5" thickBot="1" x14ac:dyDescent="0.35">
      <c r="A3565">
        <v>0</v>
      </c>
      <c r="B3565" t="str">
        <f t="shared" si="333"/>
        <v>Female</v>
      </c>
      <c r="C3565" s="8">
        <v>60</v>
      </c>
      <c r="D3565" t="str">
        <f t="shared" si="334"/>
        <v>Senior</v>
      </c>
      <c r="E3565">
        <v>3</v>
      </c>
      <c r="F3565" t="str">
        <f>HLOOKUP(E3565, LookUP_Table!$A$6:$D$7, 2, FALSE)</f>
        <v>Graduate</v>
      </c>
      <c r="G3565" t="str">
        <f>IFERROR(VLOOKUP(E3565, LookUP_Table!$A$1:$B$4, 2, FALSE), "")</f>
        <v>Graduate</v>
      </c>
      <c r="H3565">
        <v>0</v>
      </c>
      <c r="I3565">
        <v>0</v>
      </c>
      <c r="J3565" t="str">
        <f t="shared" si="330"/>
        <v>Non-Smoker</v>
      </c>
      <c r="K3565">
        <v>0</v>
      </c>
      <c r="L3565">
        <v>0</v>
      </c>
      <c r="M3565">
        <v>0</v>
      </c>
      <c r="N3565">
        <v>0</v>
      </c>
      <c r="O3565">
        <v>328</v>
      </c>
      <c r="P3565" t="str">
        <f t="shared" si="331"/>
        <v>High</v>
      </c>
      <c r="Q3565">
        <v>127</v>
      </c>
      <c r="R3565">
        <v>70</v>
      </c>
      <c r="S3565">
        <v>22.36</v>
      </c>
      <c r="T3565" t="str">
        <f t="shared" si="332"/>
        <v>Normal</v>
      </c>
      <c r="U3565">
        <v>75</v>
      </c>
      <c r="V3565">
        <v>63</v>
      </c>
      <c r="W3565" t="str">
        <f t="shared" si="335"/>
        <v>Normal</v>
      </c>
      <c r="X3565">
        <v>1</v>
      </c>
    </row>
    <row r="3566" spans="1:24" ht="14.5" thickBot="1" x14ac:dyDescent="0.35">
      <c r="A3566">
        <v>0</v>
      </c>
      <c r="B3566" t="str">
        <f t="shared" si="333"/>
        <v>Female</v>
      </c>
      <c r="C3566" s="8">
        <v>60</v>
      </c>
      <c r="D3566" t="str">
        <f t="shared" si="334"/>
        <v>Senior</v>
      </c>
      <c r="E3566">
        <v>3</v>
      </c>
      <c r="F3566" t="str">
        <f>HLOOKUP(E3566, LookUP_Table!$A$6:$D$7, 2, FALSE)</f>
        <v>Graduate</v>
      </c>
      <c r="G3566" t="str">
        <f>IFERROR(VLOOKUP(E3566, LookUP_Table!$A$1:$B$4, 2, FALSE), "")</f>
        <v>Graduate</v>
      </c>
      <c r="H3566">
        <v>0</v>
      </c>
      <c r="I3566">
        <v>0</v>
      </c>
      <c r="J3566" t="str">
        <f t="shared" si="330"/>
        <v>Non-Smoker</v>
      </c>
      <c r="K3566">
        <v>0</v>
      </c>
      <c r="L3566">
        <v>0</v>
      </c>
      <c r="M3566">
        <v>1</v>
      </c>
      <c r="N3566">
        <v>0</v>
      </c>
      <c r="O3566">
        <v>285</v>
      </c>
      <c r="P3566" t="str">
        <f t="shared" si="331"/>
        <v>High</v>
      </c>
      <c r="Q3566">
        <v>156</v>
      </c>
      <c r="R3566">
        <v>100</v>
      </c>
      <c r="S3566">
        <v>23.02</v>
      </c>
      <c r="T3566" t="str">
        <f t="shared" si="332"/>
        <v>Normal</v>
      </c>
      <c r="U3566">
        <v>80</v>
      </c>
      <c r="V3566">
        <v>85</v>
      </c>
      <c r="W3566" t="str">
        <f t="shared" si="335"/>
        <v>Normal</v>
      </c>
      <c r="X3566">
        <v>0</v>
      </c>
    </row>
    <row r="3567" spans="1:24" ht="14.5" thickBot="1" x14ac:dyDescent="0.35">
      <c r="A3567">
        <v>0</v>
      </c>
      <c r="B3567" t="str">
        <f t="shared" si="333"/>
        <v>Female</v>
      </c>
      <c r="C3567" s="8">
        <v>60</v>
      </c>
      <c r="D3567" t="str">
        <f t="shared" si="334"/>
        <v>Senior</v>
      </c>
      <c r="E3567">
        <v>1</v>
      </c>
      <c r="F3567" t="str">
        <f>HLOOKUP(E3567, LookUP_Table!$A$6:$D$7, 2, FALSE)</f>
        <v>Primary</v>
      </c>
      <c r="G3567" t="str">
        <f>IFERROR(VLOOKUP(E3567, LookUP_Table!$A$1:$B$4, 2, FALSE), "")</f>
        <v>Primary</v>
      </c>
      <c r="H3567">
        <v>0</v>
      </c>
      <c r="I3567">
        <v>0</v>
      </c>
      <c r="J3567" t="str">
        <f t="shared" si="330"/>
        <v>Non-Smoker</v>
      </c>
      <c r="K3567">
        <v>0</v>
      </c>
      <c r="L3567">
        <v>0</v>
      </c>
      <c r="M3567">
        <v>0</v>
      </c>
      <c r="N3567">
        <v>1</v>
      </c>
      <c r="O3567">
        <v>260</v>
      </c>
      <c r="P3567" t="str">
        <f t="shared" si="331"/>
        <v>High</v>
      </c>
      <c r="Q3567">
        <v>95.5</v>
      </c>
      <c r="R3567">
        <v>59</v>
      </c>
      <c r="S3567">
        <v>25.94</v>
      </c>
      <c r="T3567" t="str">
        <f t="shared" si="332"/>
        <v>Overweight</v>
      </c>
      <c r="U3567">
        <v>90</v>
      </c>
      <c r="V3567">
        <v>160</v>
      </c>
      <c r="W3567" t="str">
        <f t="shared" si="335"/>
        <v>Diabetes</v>
      </c>
      <c r="X3567">
        <v>0</v>
      </c>
    </row>
    <row r="3568" spans="1:24" ht="14.5" thickBot="1" x14ac:dyDescent="0.35">
      <c r="A3568">
        <v>0</v>
      </c>
      <c r="B3568" t="str">
        <f t="shared" si="333"/>
        <v>Female</v>
      </c>
      <c r="C3568" s="8">
        <v>60</v>
      </c>
      <c r="D3568" t="str">
        <f t="shared" si="334"/>
        <v>Senior</v>
      </c>
      <c r="E3568">
        <v>1</v>
      </c>
      <c r="F3568" t="str">
        <f>HLOOKUP(E3568, LookUP_Table!$A$6:$D$7, 2, FALSE)</f>
        <v>Primary</v>
      </c>
      <c r="G3568" t="str">
        <f>IFERROR(VLOOKUP(E3568, LookUP_Table!$A$1:$B$4, 2, FALSE), "")</f>
        <v>Primary</v>
      </c>
      <c r="H3568">
        <v>0</v>
      </c>
      <c r="I3568">
        <v>0</v>
      </c>
      <c r="J3568" t="str">
        <f t="shared" si="330"/>
        <v>Non-Smoker</v>
      </c>
      <c r="K3568">
        <v>0</v>
      </c>
      <c r="L3568">
        <v>0</v>
      </c>
      <c r="M3568">
        <v>0</v>
      </c>
      <c r="N3568">
        <v>0</v>
      </c>
      <c r="O3568">
        <v>215</v>
      </c>
      <c r="P3568" t="str">
        <f t="shared" si="331"/>
        <v>Normal</v>
      </c>
      <c r="Q3568">
        <v>113</v>
      </c>
      <c r="R3568">
        <v>71</v>
      </c>
      <c r="S3568">
        <v>26.69</v>
      </c>
      <c r="T3568" t="str">
        <f t="shared" si="332"/>
        <v>Overweight</v>
      </c>
      <c r="U3568">
        <v>77</v>
      </c>
      <c r="V3568">
        <v>81.96365524402907</v>
      </c>
      <c r="W3568" t="str">
        <f t="shared" si="335"/>
        <v>Normal</v>
      </c>
      <c r="X3568">
        <v>0</v>
      </c>
    </row>
    <row r="3569" spans="1:24" ht="14.5" thickBot="1" x14ac:dyDescent="0.35">
      <c r="A3569">
        <v>1</v>
      </c>
      <c r="B3569" t="str">
        <f t="shared" si="333"/>
        <v>Male</v>
      </c>
      <c r="C3569" s="8">
        <v>60</v>
      </c>
      <c r="D3569" t="str">
        <f t="shared" si="334"/>
        <v>Senior</v>
      </c>
      <c r="E3569">
        <v>4</v>
      </c>
      <c r="F3569" t="str">
        <f>HLOOKUP(E3569, LookUP_Table!$A$6:$D$7, 2, FALSE)</f>
        <v>Post Graduate</v>
      </c>
      <c r="G3569" t="str">
        <f>IFERROR(VLOOKUP(E3569, LookUP_Table!$A$1:$B$4, 2, FALSE), "")</f>
        <v>Post Graduate</v>
      </c>
      <c r="H3569">
        <v>0</v>
      </c>
      <c r="I3569">
        <v>0</v>
      </c>
      <c r="J3569" t="str">
        <f t="shared" si="330"/>
        <v>Non-Smoker</v>
      </c>
      <c r="K3569">
        <v>0</v>
      </c>
      <c r="L3569">
        <v>0</v>
      </c>
      <c r="M3569">
        <v>0</v>
      </c>
      <c r="N3569">
        <v>0</v>
      </c>
      <c r="O3569">
        <v>232</v>
      </c>
      <c r="P3569" t="str">
        <f t="shared" si="331"/>
        <v>Normal</v>
      </c>
      <c r="Q3569">
        <v>165</v>
      </c>
      <c r="R3569">
        <v>77</v>
      </c>
      <c r="S3569">
        <v>29.23</v>
      </c>
      <c r="T3569" t="str">
        <f t="shared" si="332"/>
        <v>Overweight</v>
      </c>
      <c r="U3569">
        <v>69</v>
      </c>
      <c r="V3569">
        <v>57</v>
      </c>
      <c r="W3569" t="str">
        <f t="shared" si="335"/>
        <v>Normal</v>
      </c>
      <c r="X3569">
        <v>1</v>
      </c>
    </row>
    <row r="3570" spans="1:24" ht="14.5" thickBot="1" x14ac:dyDescent="0.35">
      <c r="A3570">
        <v>0</v>
      </c>
      <c r="B3570" t="str">
        <f t="shared" si="333"/>
        <v>Female</v>
      </c>
      <c r="C3570" s="8">
        <v>60</v>
      </c>
      <c r="D3570" t="str">
        <f t="shared" si="334"/>
        <v>Senior</v>
      </c>
      <c r="E3570">
        <v>1</v>
      </c>
      <c r="F3570" t="str">
        <f>HLOOKUP(E3570, LookUP_Table!$A$6:$D$7, 2, FALSE)</f>
        <v>Primary</v>
      </c>
      <c r="G3570" t="str">
        <f>IFERROR(VLOOKUP(E3570, LookUP_Table!$A$1:$B$4, 2, FALSE), "")</f>
        <v>Primary</v>
      </c>
      <c r="H3570">
        <v>0</v>
      </c>
      <c r="I3570">
        <v>0</v>
      </c>
      <c r="J3570" t="str">
        <f t="shared" si="330"/>
        <v>Non-Smoker</v>
      </c>
      <c r="K3570">
        <v>0</v>
      </c>
      <c r="L3570">
        <v>0</v>
      </c>
      <c r="M3570">
        <v>1</v>
      </c>
      <c r="N3570">
        <v>1</v>
      </c>
      <c r="O3570">
        <v>258</v>
      </c>
      <c r="P3570" t="str">
        <f t="shared" si="331"/>
        <v>High</v>
      </c>
      <c r="Q3570">
        <v>142</v>
      </c>
      <c r="R3570">
        <v>87</v>
      </c>
      <c r="S3570">
        <v>32.53</v>
      </c>
      <c r="T3570" t="str">
        <f t="shared" si="332"/>
        <v>Obese</v>
      </c>
      <c r="U3570">
        <v>82</v>
      </c>
      <c r="V3570">
        <v>145</v>
      </c>
      <c r="W3570" t="str">
        <f t="shared" si="335"/>
        <v>Diabetes</v>
      </c>
      <c r="X3570">
        <v>0</v>
      </c>
    </row>
    <row r="3571" spans="1:24" ht="14.5" thickBot="1" x14ac:dyDescent="0.35">
      <c r="A3571">
        <v>0</v>
      </c>
      <c r="B3571" t="str">
        <f t="shared" si="333"/>
        <v>Female</v>
      </c>
      <c r="C3571" s="8">
        <v>60</v>
      </c>
      <c r="D3571" t="str">
        <f t="shared" si="334"/>
        <v>Senior</v>
      </c>
      <c r="E3571">
        <v>2</v>
      </c>
      <c r="F3571" t="str">
        <f>HLOOKUP(E3571, LookUP_Table!$A$6:$D$7, 2, FALSE)</f>
        <v>Secondary</v>
      </c>
      <c r="G3571" t="str">
        <f>IFERROR(VLOOKUP(E3571, LookUP_Table!$A$1:$B$4, 2, FALSE), "")</f>
        <v>Secondary</v>
      </c>
      <c r="H3571">
        <v>1</v>
      </c>
      <c r="I3571">
        <v>20</v>
      </c>
      <c r="J3571" t="str">
        <f t="shared" si="330"/>
        <v>Smoker</v>
      </c>
      <c r="K3571">
        <v>1</v>
      </c>
      <c r="L3571">
        <v>0</v>
      </c>
      <c r="M3571">
        <v>1</v>
      </c>
      <c r="N3571">
        <v>0</v>
      </c>
      <c r="O3571">
        <v>294</v>
      </c>
      <c r="P3571" t="str">
        <f t="shared" si="331"/>
        <v>High</v>
      </c>
      <c r="Q3571">
        <v>220</v>
      </c>
      <c r="R3571">
        <v>118</v>
      </c>
      <c r="S3571">
        <v>24.22</v>
      </c>
      <c r="T3571" t="str">
        <f t="shared" si="332"/>
        <v>Normal</v>
      </c>
      <c r="U3571">
        <v>90</v>
      </c>
      <c r="V3571">
        <v>59</v>
      </c>
      <c r="W3571" t="str">
        <f t="shared" si="335"/>
        <v>Normal</v>
      </c>
      <c r="X3571">
        <v>0</v>
      </c>
    </row>
    <row r="3572" spans="1:24" ht="14.5" thickBot="1" x14ac:dyDescent="0.35">
      <c r="A3572">
        <v>1</v>
      </c>
      <c r="B3572" t="str">
        <f t="shared" si="333"/>
        <v>Male</v>
      </c>
      <c r="C3572" s="8">
        <v>60</v>
      </c>
      <c r="D3572" t="str">
        <f t="shared" si="334"/>
        <v>Senior</v>
      </c>
      <c r="E3572">
        <v>3</v>
      </c>
      <c r="F3572" t="str">
        <f>HLOOKUP(E3572, LookUP_Table!$A$6:$D$7, 2, FALSE)</f>
        <v>Graduate</v>
      </c>
      <c r="G3572" t="str">
        <f>IFERROR(VLOOKUP(E3572, LookUP_Table!$A$1:$B$4, 2, FALSE), "")</f>
        <v>Graduate</v>
      </c>
      <c r="H3572">
        <v>0</v>
      </c>
      <c r="I3572">
        <v>0</v>
      </c>
      <c r="J3572" t="str">
        <f t="shared" si="330"/>
        <v>Non-Smoker</v>
      </c>
      <c r="K3572">
        <v>0</v>
      </c>
      <c r="L3572">
        <v>0</v>
      </c>
      <c r="M3572">
        <v>1</v>
      </c>
      <c r="N3572">
        <v>0</v>
      </c>
      <c r="O3572">
        <v>276</v>
      </c>
      <c r="P3572" t="str">
        <f t="shared" si="331"/>
        <v>High</v>
      </c>
      <c r="Q3572">
        <v>144</v>
      </c>
      <c r="R3572">
        <v>78</v>
      </c>
      <c r="S3572">
        <v>26.98</v>
      </c>
      <c r="T3572" t="str">
        <f t="shared" si="332"/>
        <v>Overweight</v>
      </c>
      <c r="U3572">
        <v>60</v>
      </c>
      <c r="V3572">
        <v>88</v>
      </c>
      <c r="W3572" t="str">
        <f t="shared" si="335"/>
        <v>Normal</v>
      </c>
      <c r="X3572">
        <v>0</v>
      </c>
    </row>
    <row r="3573" spans="1:24" ht="14.5" thickBot="1" x14ac:dyDescent="0.35">
      <c r="A3573">
        <v>1</v>
      </c>
      <c r="B3573" t="str">
        <f t="shared" si="333"/>
        <v>Male</v>
      </c>
      <c r="C3573" s="8">
        <v>60</v>
      </c>
      <c r="D3573" t="str">
        <f t="shared" si="334"/>
        <v>Senior</v>
      </c>
      <c r="E3573">
        <v>4</v>
      </c>
      <c r="F3573" t="str">
        <f>HLOOKUP(E3573, LookUP_Table!$A$6:$D$7, 2, FALSE)</f>
        <v>Post Graduate</v>
      </c>
      <c r="G3573" t="str">
        <f>IFERROR(VLOOKUP(E3573, LookUP_Table!$A$1:$B$4, 2, FALSE), "")</f>
        <v>Post Graduate</v>
      </c>
      <c r="H3573">
        <v>1</v>
      </c>
      <c r="I3573">
        <v>3</v>
      </c>
      <c r="J3573" t="str">
        <f t="shared" si="330"/>
        <v>Smoker</v>
      </c>
      <c r="K3573">
        <v>0</v>
      </c>
      <c r="L3573">
        <v>0</v>
      </c>
      <c r="M3573">
        <v>1</v>
      </c>
      <c r="N3573">
        <v>0</v>
      </c>
      <c r="O3573">
        <v>267</v>
      </c>
      <c r="P3573" t="str">
        <f t="shared" si="331"/>
        <v>High</v>
      </c>
      <c r="Q3573">
        <v>168.5</v>
      </c>
      <c r="R3573">
        <v>108</v>
      </c>
      <c r="S3573">
        <v>26.67</v>
      </c>
      <c r="T3573" t="str">
        <f t="shared" si="332"/>
        <v>Overweight</v>
      </c>
      <c r="U3573">
        <v>108</v>
      </c>
      <c r="V3573">
        <v>83</v>
      </c>
      <c r="W3573" t="str">
        <f t="shared" si="335"/>
        <v>Normal</v>
      </c>
      <c r="X3573">
        <v>0</v>
      </c>
    </row>
    <row r="3574" spans="1:24" ht="14.5" thickBot="1" x14ac:dyDescent="0.35">
      <c r="A3574">
        <v>0</v>
      </c>
      <c r="B3574" t="str">
        <f t="shared" si="333"/>
        <v>Female</v>
      </c>
      <c r="C3574" s="8">
        <v>60</v>
      </c>
      <c r="D3574" t="str">
        <f t="shared" si="334"/>
        <v>Senior</v>
      </c>
      <c r="E3574">
        <v>2</v>
      </c>
      <c r="F3574" t="str">
        <f>HLOOKUP(E3574, LookUP_Table!$A$6:$D$7, 2, FALSE)</f>
        <v>Secondary</v>
      </c>
      <c r="G3574" t="str">
        <f>IFERROR(VLOOKUP(E3574, LookUP_Table!$A$1:$B$4, 2, FALSE), "")</f>
        <v>Secondary</v>
      </c>
      <c r="H3574">
        <v>1</v>
      </c>
      <c r="I3574">
        <v>3</v>
      </c>
      <c r="J3574" t="str">
        <f t="shared" si="330"/>
        <v>Smoker</v>
      </c>
      <c r="K3574">
        <v>0</v>
      </c>
      <c r="L3574">
        <v>0</v>
      </c>
      <c r="M3574">
        <v>0</v>
      </c>
      <c r="N3574">
        <v>0</v>
      </c>
      <c r="O3574">
        <v>314</v>
      </c>
      <c r="P3574" t="str">
        <f t="shared" si="331"/>
        <v>High</v>
      </c>
      <c r="Q3574">
        <v>141</v>
      </c>
      <c r="R3574">
        <v>93</v>
      </c>
      <c r="S3574">
        <v>25.23</v>
      </c>
      <c r="T3574" t="str">
        <f t="shared" si="332"/>
        <v>Overweight</v>
      </c>
      <c r="U3574">
        <v>105</v>
      </c>
      <c r="V3574">
        <v>94</v>
      </c>
      <c r="W3574" t="str">
        <f t="shared" si="335"/>
        <v>Normal</v>
      </c>
      <c r="X3574">
        <v>0</v>
      </c>
    </row>
    <row r="3575" spans="1:24" ht="14.5" thickBot="1" x14ac:dyDescent="0.35">
      <c r="A3575">
        <v>0</v>
      </c>
      <c r="B3575" t="str">
        <f t="shared" si="333"/>
        <v>Female</v>
      </c>
      <c r="C3575" s="8">
        <v>60</v>
      </c>
      <c r="D3575" t="str">
        <f t="shared" si="334"/>
        <v>Senior</v>
      </c>
      <c r="E3575">
        <v>1</v>
      </c>
      <c r="F3575" t="str">
        <f>HLOOKUP(E3575, LookUP_Table!$A$6:$D$7, 2, FALSE)</f>
        <v>Primary</v>
      </c>
      <c r="G3575" t="str">
        <f>IFERROR(VLOOKUP(E3575, LookUP_Table!$A$1:$B$4, 2, FALSE), "")</f>
        <v>Primary</v>
      </c>
      <c r="H3575">
        <v>0</v>
      </c>
      <c r="I3575">
        <v>0</v>
      </c>
      <c r="J3575" t="str">
        <f t="shared" si="330"/>
        <v>Non-Smoker</v>
      </c>
      <c r="K3575">
        <v>0</v>
      </c>
      <c r="L3575">
        <v>0</v>
      </c>
      <c r="M3575">
        <v>1</v>
      </c>
      <c r="N3575">
        <v>0</v>
      </c>
      <c r="O3575">
        <v>238</v>
      </c>
      <c r="P3575" t="str">
        <f t="shared" si="331"/>
        <v>Normal</v>
      </c>
      <c r="Q3575">
        <v>134</v>
      </c>
      <c r="R3575">
        <v>84</v>
      </c>
      <c r="S3575">
        <v>27.49</v>
      </c>
      <c r="T3575" t="str">
        <f t="shared" si="332"/>
        <v>Overweight</v>
      </c>
      <c r="U3575">
        <v>80</v>
      </c>
      <c r="V3575">
        <v>66</v>
      </c>
      <c r="W3575" t="str">
        <f t="shared" si="335"/>
        <v>Normal</v>
      </c>
      <c r="X3575">
        <v>0</v>
      </c>
    </row>
    <row r="3576" spans="1:24" ht="14.5" thickBot="1" x14ac:dyDescent="0.35">
      <c r="A3576">
        <v>1</v>
      </c>
      <c r="B3576" t="str">
        <f t="shared" si="333"/>
        <v>Male</v>
      </c>
      <c r="C3576" s="8">
        <v>60</v>
      </c>
      <c r="D3576" t="str">
        <f t="shared" si="334"/>
        <v>Senior</v>
      </c>
      <c r="E3576">
        <v>1</v>
      </c>
      <c r="F3576" t="str">
        <f>HLOOKUP(E3576, LookUP_Table!$A$6:$D$7, 2, FALSE)</f>
        <v>Primary</v>
      </c>
      <c r="G3576" t="str">
        <f>IFERROR(VLOOKUP(E3576, LookUP_Table!$A$1:$B$4, 2, FALSE), "")</f>
        <v>Primary</v>
      </c>
      <c r="H3576">
        <v>1</v>
      </c>
      <c r="I3576">
        <v>3</v>
      </c>
      <c r="J3576" t="str">
        <f t="shared" si="330"/>
        <v>Smoker</v>
      </c>
      <c r="K3576">
        <v>0</v>
      </c>
      <c r="L3576">
        <v>0</v>
      </c>
      <c r="M3576">
        <v>0</v>
      </c>
      <c r="N3576">
        <v>0</v>
      </c>
      <c r="O3576">
        <v>239</v>
      </c>
      <c r="P3576" t="str">
        <f t="shared" si="331"/>
        <v>Normal</v>
      </c>
      <c r="Q3576">
        <v>130</v>
      </c>
      <c r="R3576">
        <v>78</v>
      </c>
      <c r="S3576">
        <v>28.36</v>
      </c>
      <c r="T3576" t="str">
        <f t="shared" si="332"/>
        <v>Overweight</v>
      </c>
      <c r="U3576">
        <v>60</v>
      </c>
      <c r="V3576">
        <v>99</v>
      </c>
      <c r="W3576" t="str">
        <f t="shared" si="335"/>
        <v>Normal</v>
      </c>
      <c r="X3576">
        <v>0</v>
      </c>
    </row>
    <row r="3577" spans="1:24" ht="14.5" thickBot="1" x14ac:dyDescent="0.35">
      <c r="A3577">
        <v>0</v>
      </c>
      <c r="B3577" t="str">
        <f t="shared" si="333"/>
        <v>Female</v>
      </c>
      <c r="C3577" s="8">
        <v>60</v>
      </c>
      <c r="D3577" t="str">
        <f t="shared" si="334"/>
        <v>Senior</v>
      </c>
      <c r="E3577">
        <v>2</v>
      </c>
      <c r="F3577" t="str">
        <f>HLOOKUP(E3577, LookUP_Table!$A$6:$D$7, 2, FALSE)</f>
        <v>Secondary</v>
      </c>
      <c r="G3577" t="str">
        <f>IFERROR(VLOOKUP(E3577, LookUP_Table!$A$1:$B$4, 2, FALSE), "")</f>
        <v>Secondary</v>
      </c>
      <c r="H3577">
        <v>1</v>
      </c>
      <c r="I3577">
        <v>15</v>
      </c>
      <c r="J3577" t="str">
        <f t="shared" si="330"/>
        <v>Smoker</v>
      </c>
      <c r="K3577">
        <v>0</v>
      </c>
      <c r="L3577">
        <v>0</v>
      </c>
      <c r="M3577">
        <v>1</v>
      </c>
      <c r="N3577">
        <v>0</v>
      </c>
      <c r="O3577">
        <v>236</v>
      </c>
      <c r="P3577" t="str">
        <f t="shared" si="331"/>
        <v>Normal</v>
      </c>
      <c r="Q3577">
        <v>183</v>
      </c>
      <c r="R3577">
        <v>107</v>
      </c>
      <c r="S3577">
        <v>25.45</v>
      </c>
      <c r="T3577" t="str">
        <f t="shared" si="332"/>
        <v>Overweight</v>
      </c>
      <c r="U3577">
        <v>86</v>
      </c>
      <c r="V3577">
        <v>81.96365524402907</v>
      </c>
      <c r="W3577" t="str">
        <f t="shared" si="335"/>
        <v>Normal</v>
      </c>
      <c r="X3577">
        <v>0</v>
      </c>
    </row>
    <row r="3578" spans="1:24" ht="14.5" thickBot="1" x14ac:dyDescent="0.35">
      <c r="A3578">
        <v>0</v>
      </c>
      <c r="B3578" t="str">
        <f t="shared" si="333"/>
        <v>Female</v>
      </c>
      <c r="C3578" s="8">
        <v>60</v>
      </c>
      <c r="D3578" t="str">
        <f t="shared" si="334"/>
        <v>Senior</v>
      </c>
      <c r="E3578">
        <v>3</v>
      </c>
      <c r="F3578" t="str">
        <f>HLOOKUP(E3578, LookUP_Table!$A$6:$D$7, 2, FALSE)</f>
        <v>Graduate</v>
      </c>
      <c r="G3578" t="str">
        <f>IFERROR(VLOOKUP(E3578, LookUP_Table!$A$1:$B$4, 2, FALSE), "")</f>
        <v>Graduate</v>
      </c>
      <c r="H3578">
        <v>1</v>
      </c>
      <c r="I3578">
        <v>10</v>
      </c>
      <c r="J3578" t="str">
        <f t="shared" si="330"/>
        <v>Smoker</v>
      </c>
      <c r="K3578">
        <v>0</v>
      </c>
      <c r="L3578">
        <v>0</v>
      </c>
      <c r="M3578">
        <v>0</v>
      </c>
      <c r="N3578">
        <v>0</v>
      </c>
      <c r="O3578">
        <v>212</v>
      </c>
      <c r="P3578" t="str">
        <f t="shared" si="331"/>
        <v>Normal</v>
      </c>
      <c r="Q3578">
        <v>186</v>
      </c>
      <c r="R3578">
        <v>102</v>
      </c>
      <c r="S3578">
        <v>23.06</v>
      </c>
      <c r="T3578" t="str">
        <f t="shared" si="332"/>
        <v>Normal</v>
      </c>
      <c r="U3578">
        <v>80</v>
      </c>
      <c r="V3578">
        <v>60</v>
      </c>
      <c r="W3578" t="str">
        <f t="shared" si="335"/>
        <v>Normal</v>
      </c>
      <c r="X3578">
        <v>0</v>
      </c>
    </row>
    <row r="3579" spans="1:24" ht="14.5" thickBot="1" x14ac:dyDescent="0.35">
      <c r="A3579">
        <v>0</v>
      </c>
      <c r="B3579" t="str">
        <f t="shared" si="333"/>
        <v>Female</v>
      </c>
      <c r="C3579" s="8">
        <v>60</v>
      </c>
      <c r="D3579" t="str">
        <f t="shared" si="334"/>
        <v>Senior</v>
      </c>
      <c r="E3579">
        <v>1</v>
      </c>
      <c r="F3579" t="str">
        <f>HLOOKUP(E3579, LookUP_Table!$A$6:$D$7, 2, FALSE)</f>
        <v>Primary</v>
      </c>
      <c r="G3579" t="str">
        <f>IFERROR(VLOOKUP(E3579, LookUP_Table!$A$1:$B$4, 2, FALSE), "")</f>
        <v>Primary</v>
      </c>
      <c r="H3579">
        <v>0</v>
      </c>
      <c r="I3579">
        <v>0</v>
      </c>
      <c r="J3579" t="str">
        <f t="shared" si="330"/>
        <v>Non-Smoker</v>
      </c>
      <c r="K3579">
        <v>0</v>
      </c>
      <c r="L3579">
        <v>0</v>
      </c>
      <c r="M3579">
        <v>0</v>
      </c>
      <c r="N3579">
        <v>0</v>
      </c>
      <c r="O3579">
        <v>222</v>
      </c>
      <c r="P3579" t="str">
        <f t="shared" si="331"/>
        <v>Normal</v>
      </c>
      <c r="Q3579">
        <v>118</v>
      </c>
      <c r="R3579">
        <v>73</v>
      </c>
      <c r="S3579">
        <v>24.48</v>
      </c>
      <c r="T3579" t="str">
        <f t="shared" si="332"/>
        <v>Normal</v>
      </c>
      <c r="U3579">
        <v>75</v>
      </c>
      <c r="V3579">
        <v>90</v>
      </c>
      <c r="W3579" t="str">
        <f t="shared" si="335"/>
        <v>Normal</v>
      </c>
      <c r="X3579">
        <v>0</v>
      </c>
    </row>
    <row r="3580" spans="1:24" ht="14.5" thickBot="1" x14ac:dyDescent="0.35">
      <c r="A3580">
        <v>1</v>
      </c>
      <c r="B3580" t="str">
        <f t="shared" si="333"/>
        <v>Male</v>
      </c>
      <c r="C3580" s="8">
        <v>60</v>
      </c>
      <c r="D3580" t="str">
        <f t="shared" si="334"/>
        <v>Senior</v>
      </c>
      <c r="E3580">
        <v>1</v>
      </c>
      <c r="F3580" t="str">
        <f>HLOOKUP(E3580, LookUP_Table!$A$6:$D$7, 2, FALSE)</f>
        <v>Primary</v>
      </c>
      <c r="G3580" t="str">
        <f>IFERROR(VLOOKUP(E3580, LookUP_Table!$A$1:$B$4, 2, FALSE), "")</f>
        <v>Primary</v>
      </c>
      <c r="H3580">
        <v>0</v>
      </c>
      <c r="I3580">
        <v>0</v>
      </c>
      <c r="J3580" t="str">
        <f t="shared" si="330"/>
        <v>Non-Smoker</v>
      </c>
      <c r="K3580">
        <v>0</v>
      </c>
      <c r="L3580">
        <v>0</v>
      </c>
      <c r="M3580">
        <v>0</v>
      </c>
      <c r="N3580">
        <v>0</v>
      </c>
      <c r="O3580">
        <v>245</v>
      </c>
      <c r="P3580" t="str">
        <f t="shared" si="331"/>
        <v>High</v>
      </c>
      <c r="Q3580">
        <v>119</v>
      </c>
      <c r="R3580">
        <v>82</v>
      </c>
      <c r="S3580">
        <v>28.56</v>
      </c>
      <c r="T3580" t="str">
        <f t="shared" si="332"/>
        <v>Overweight</v>
      </c>
      <c r="U3580">
        <v>70</v>
      </c>
      <c r="V3580">
        <v>89</v>
      </c>
      <c r="W3580" t="str">
        <f t="shared" si="335"/>
        <v>Normal</v>
      </c>
      <c r="X3580">
        <v>0</v>
      </c>
    </row>
    <row r="3581" spans="1:24" ht="14.5" thickBot="1" x14ac:dyDescent="0.35">
      <c r="A3581">
        <v>0</v>
      </c>
      <c r="B3581" t="str">
        <f t="shared" si="333"/>
        <v>Female</v>
      </c>
      <c r="C3581" s="8">
        <v>60</v>
      </c>
      <c r="D3581" t="str">
        <f t="shared" si="334"/>
        <v>Senior</v>
      </c>
      <c r="E3581">
        <v>1</v>
      </c>
      <c r="F3581" t="str">
        <f>HLOOKUP(E3581, LookUP_Table!$A$6:$D$7, 2, FALSE)</f>
        <v>Primary</v>
      </c>
      <c r="G3581" t="str">
        <f>IFERROR(VLOOKUP(E3581, LookUP_Table!$A$1:$B$4, 2, FALSE), "")</f>
        <v>Primary</v>
      </c>
      <c r="H3581">
        <v>1</v>
      </c>
      <c r="I3581">
        <v>5</v>
      </c>
      <c r="J3581" t="str">
        <f t="shared" si="330"/>
        <v>Smoker</v>
      </c>
      <c r="K3581">
        <v>0</v>
      </c>
      <c r="L3581">
        <v>0</v>
      </c>
      <c r="M3581">
        <v>1</v>
      </c>
      <c r="N3581">
        <v>0</v>
      </c>
      <c r="O3581">
        <v>239</v>
      </c>
      <c r="P3581" t="str">
        <f t="shared" si="331"/>
        <v>Normal</v>
      </c>
      <c r="Q3581">
        <v>164</v>
      </c>
      <c r="R3581">
        <v>94.5</v>
      </c>
      <c r="S3581">
        <v>25.01</v>
      </c>
      <c r="T3581" t="str">
        <f t="shared" si="332"/>
        <v>Overweight</v>
      </c>
      <c r="U3581">
        <v>92</v>
      </c>
      <c r="V3581">
        <v>89</v>
      </c>
      <c r="W3581" t="str">
        <f t="shared" si="335"/>
        <v>Normal</v>
      </c>
      <c r="X3581">
        <v>0</v>
      </c>
    </row>
    <row r="3582" spans="1:24" ht="14.5" thickBot="1" x14ac:dyDescent="0.35">
      <c r="A3582">
        <v>1</v>
      </c>
      <c r="B3582" t="str">
        <f t="shared" si="333"/>
        <v>Male</v>
      </c>
      <c r="C3582" s="8">
        <v>60</v>
      </c>
      <c r="D3582" t="str">
        <f t="shared" si="334"/>
        <v>Senior</v>
      </c>
      <c r="E3582">
        <v>1</v>
      </c>
      <c r="F3582" t="str">
        <f>HLOOKUP(E3582, LookUP_Table!$A$6:$D$7, 2, FALSE)</f>
        <v>Primary</v>
      </c>
      <c r="G3582" t="str">
        <f>IFERROR(VLOOKUP(E3582, LookUP_Table!$A$1:$B$4, 2, FALSE), "")</f>
        <v>Primary</v>
      </c>
      <c r="H3582">
        <v>1</v>
      </c>
      <c r="I3582">
        <v>9</v>
      </c>
      <c r="J3582" t="str">
        <f t="shared" si="330"/>
        <v>Smoker</v>
      </c>
      <c r="K3582">
        <v>0</v>
      </c>
      <c r="L3582">
        <v>0</v>
      </c>
      <c r="M3582">
        <v>0</v>
      </c>
      <c r="N3582">
        <v>0</v>
      </c>
      <c r="O3582">
        <v>166</v>
      </c>
      <c r="P3582" t="str">
        <f t="shared" si="331"/>
        <v>Normal</v>
      </c>
      <c r="Q3582">
        <v>141</v>
      </c>
      <c r="R3582">
        <v>81</v>
      </c>
      <c r="S3582">
        <v>19.420000000000002</v>
      </c>
      <c r="T3582" t="str">
        <f t="shared" si="332"/>
        <v>Normal</v>
      </c>
      <c r="U3582">
        <v>67</v>
      </c>
      <c r="V3582">
        <v>101</v>
      </c>
      <c r="W3582" t="str">
        <f t="shared" si="335"/>
        <v>Prediabetes</v>
      </c>
      <c r="X3582">
        <v>0</v>
      </c>
    </row>
    <row r="3583" spans="1:24" ht="14.5" thickBot="1" x14ac:dyDescent="0.35">
      <c r="A3583">
        <v>0</v>
      </c>
      <c r="B3583" t="str">
        <f t="shared" si="333"/>
        <v>Female</v>
      </c>
      <c r="C3583" s="8">
        <v>60</v>
      </c>
      <c r="D3583" t="str">
        <f t="shared" si="334"/>
        <v>Senior</v>
      </c>
      <c r="E3583">
        <v>1</v>
      </c>
      <c r="F3583" t="str">
        <f>HLOOKUP(E3583, LookUP_Table!$A$6:$D$7, 2, FALSE)</f>
        <v>Primary</v>
      </c>
      <c r="G3583" t="str">
        <f>IFERROR(VLOOKUP(E3583, LookUP_Table!$A$1:$B$4, 2, FALSE), "")</f>
        <v>Primary</v>
      </c>
      <c r="H3583">
        <v>0</v>
      </c>
      <c r="I3583">
        <v>0</v>
      </c>
      <c r="J3583" t="str">
        <f t="shared" si="330"/>
        <v>Non-Smoker</v>
      </c>
      <c r="K3583">
        <v>0</v>
      </c>
      <c r="L3583">
        <v>0</v>
      </c>
      <c r="M3583">
        <v>1</v>
      </c>
      <c r="N3583">
        <v>1</v>
      </c>
      <c r="O3583">
        <v>282</v>
      </c>
      <c r="P3583" t="str">
        <f t="shared" si="331"/>
        <v>High</v>
      </c>
      <c r="Q3583">
        <v>213</v>
      </c>
      <c r="R3583">
        <v>94.5</v>
      </c>
      <c r="S3583">
        <v>28.58</v>
      </c>
      <c r="T3583" t="str">
        <f t="shared" si="332"/>
        <v>Overweight</v>
      </c>
      <c r="U3583">
        <v>71</v>
      </c>
      <c r="V3583">
        <v>78</v>
      </c>
      <c r="W3583" t="str">
        <f t="shared" si="335"/>
        <v>Normal</v>
      </c>
      <c r="X3583">
        <v>0</v>
      </c>
    </row>
    <row r="3584" spans="1:24" ht="14.5" thickBot="1" x14ac:dyDescent="0.35">
      <c r="A3584">
        <v>0</v>
      </c>
      <c r="B3584" t="str">
        <f t="shared" si="333"/>
        <v>Female</v>
      </c>
      <c r="C3584" s="8">
        <v>60</v>
      </c>
      <c r="D3584" t="str">
        <f t="shared" si="334"/>
        <v>Senior</v>
      </c>
      <c r="E3584">
        <v>1</v>
      </c>
      <c r="F3584" t="str">
        <f>HLOOKUP(E3584, LookUP_Table!$A$6:$D$7, 2, FALSE)</f>
        <v>Primary</v>
      </c>
      <c r="G3584" t="str">
        <f>IFERROR(VLOOKUP(E3584, LookUP_Table!$A$1:$B$4, 2, FALSE), "")</f>
        <v>Primary</v>
      </c>
      <c r="H3584">
        <v>1</v>
      </c>
      <c r="I3584">
        <v>15</v>
      </c>
      <c r="J3584" t="str">
        <f t="shared" si="330"/>
        <v>Smoker</v>
      </c>
      <c r="K3584">
        <v>0</v>
      </c>
      <c r="L3584">
        <v>0</v>
      </c>
      <c r="M3584">
        <v>0</v>
      </c>
      <c r="N3584">
        <v>0</v>
      </c>
      <c r="O3584">
        <v>353</v>
      </c>
      <c r="P3584" t="str">
        <f t="shared" si="331"/>
        <v>High</v>
      </c>
      <c r="Q3584">
        <v>116</v>
      </c>
      <c r="R3584">
        <v>82</v>
      </c>
      <c r="S3584">
        <v>22.66</v>
      </c>
      <c r="T3584" t="str">
        <f t="shared" si="332"/>
        <v>Normal</v>
      </c>
      <c r="U3584">
        <v>85</v>
      </c>
      <c r="V3584">
        <v>71</v>
      </c>
      <c r="W3584" t="str">
        <f t="shared" si="335"/>
        <v>Normal</v>
      </c>
      <c r="X3584">
        <v>0</v>
      </c>
    </row>
    <row r="3585" spans="1:24" ht="14.5" thickBot="1" x14ac:dyDescent="0.35">
      <c r="A3585">
        <v>0</v>
      </c>
      <c r="B3585" t="str">
        <f t="shared" si="333"/>
        <v>Female</v>
      </c>
      <c r="C3585" s="8">
        <v>60</v>
      </c>
      <c r="D3585" t="str">
        <f t="shared" si="334"/>
        <v>Senior</v>
      </c>
      <c r="E3585">
        <v>2</v>
      </c>
      <c r="F3585" t="str">
        <f>HLOOKUP(E3585, LookUP_Table!$A$6:$D$7, 2, FALSE)</f>
        <v>Secondary</v>
      </c>
      <c r="G3585" t="str">
        <f>IFERROR(VLOOKUP(E3585, LookUP_Table!$A$1:$B$4, 2, FALSE), "")</f>
        <v>Secondary</v>
      </c>
      <c r="H3585">
        <v>0</v>
      </c>
      <c r="I3585">
        <v>0</v>
      </c>
      <c r="J3585" t="str">
        <f t="shared" si="330"/>
        <v>Non-Smoker</v>
      </c>
      <c r="K3585">
        <v>0</v>
      </c>
      <c r="L3585">
        <v>0</v>
      </c>
      <c r="M3585">
        <v>1</v>
      </c>
      <c r="N3585">
        <v>0</v>
      </c>
      <c r="O3585">
        <v>335</v>
      </c>
      <c r="P3585" t="str">
        <f t="shared" si="331"/>
        <v>High</v>
      </c>
      <c r="Q3585">
        <v>199</v>
      </c>
      <c r="R3585">
        <v>83</v>
      </c>
      <c r="S3585">
        <v>24.61</v>
      </c>
      <c r="T3585" t="str">
        <f t="shared" si="332"/>
        <v>Normal</v>
      </c>
      <c r="U3585">
        <v>80</v>
      </c>
      <c r="V3585">
        <v>90</v>
      </c>
      <c r="W3585" t="str">
        <f t="shared" si="335"/>
        <v>Normal</v>
      </c>
      <c r="X3585">
        <v>0</v>
      </c>
    </row>
    <row r="3586" spans="1:24" ht="14.5" thickBot="1" x14ac:dyDescent="0.35">
      <c r="A3586">
        <v>1</v>
      </c>
      <c r="B3586" t="str">
        <f t="shared" si="333"/>
        <v>Male</v>
      </c>
      <c r="C3586" s="8">
        <v>60</v>
      </c>
      <c r="D3586" t="str">
        <f t="shared" si="334"/>
        <v>Senior</v>
      </c>
      <c r="E3586">
        <v>1</v>
      </c>
      <c r="F3586" t="str">
        <f>HLOOKUP(E3586, LookUP_Table!$A$6:$D$7, 2, FALSE)</f>
        <v>Primary</v>
      </c>
      <c r="G3586" t="str">
        <f>IFERROR(VLOOKUP(E3586, LookUP_Table!$A$1:$B$4, 2, FALSE), "")</f>
        <v>Primary</v>
      </c>
      <c r="H3586">
        <v>1</v>
      </c>
      <c r="I3586">
        <v>20</v>
      </c>
      <c r="J3586" t="str">
        <f t="shared" ref="J3586:J3649" si="336">IF(I3586&gt;0,"Smoker","Non-Smoker")</f>
        <v>Smoker</v>
      </c>
      <c r="K3586">
        <v>1</v>
      </c>
      <c r="L3586">
        <v>0</v>
      </c>
      <c r="M3586">
        <v>1</v>
      </c>
      <c r="N3586">
        <v>0</v>
      </c>
      <c r="O3586">
        <v>269</v>
      </c>
      <c r="P3586" t="str">
        <f t="shared" ref="P3586:P3649" si="337">IF(O3586&gt;240,"High","Normal")</f>
        <v>High</v>
      </c>
      <c r="Q3586">
        <v>170</v>
      </c>
      <c r="R3586">
        <v>100</v>
      </c>
      <c r="S3586">
        <v>29.59</v>
      </c>
      <c r="T3586" t="str">
        <f t="shared" ref="T3586:T3649" si="338">IF(S3586&lt;18.5,"Underweight",
IF(S3586&lt;25,"Normal",
IF(S3586&lt;30,"Overweight","Obese")))</f>
        <v>Overweight</v>
      </c>
      <c r="U3586">
        <v>60</v>
      </c>
      <c r="V3586">
        <v>83</v>
      </c>
      <c r="W3586" t="str">
        <f t="shared" si="335"/>
        <v>Normal</v>
      </c>
      <c r="X3586">
        <v>1</v>
      </c>
    </row>
    <row r="3587" spans="1:24" ht="14.5" thickBot="1" x14ac:dyDescent="0.35">
      <c r="A3587">
        <v>1</v>
      </c>
      <c r="B3587" t="str">
        <f t="shared" ref="B3587:B3650" si="339">IF(A3587=0,"Female","Male")</f>
        <v>Male</v>
      </c>
      <c r="C3587" s="8">
        <v>60</v>
      </c>
      <c r="D3587" t="str">
        <f t="shared" ref="D3587:D3650" si="340">IF(C3587&lt;40,"Young",
IF(C3587&lt;55,"Middle Age","Senior"))</f>
        <v>Senior</v>
      </c>
      <c r="E3587">
        <v>1</v>
      </c>
      <c r="F3587" t="str">
        <f>HLOOKUP(E3587, LookUP_Table!$A$6:$D$7, 2, FALSE)</f>
        <v>Primary</v>
      </c>
      <c r="G3587" t="str">
        <f>IFERROR(VLOOKUP(E3587, LookUP_Table!$A$1:$B$4, 2, FALSE), "")</f>
        <v>Primary</v>
      </c>
      <c r="H3587">
        <v>0</v>
      </c>
      <c r="I3587">
        <v>0</v>
      </c>
      <c r="J3587" t="str">
        <f t="shared" si="336"/>
        <v>Non-Smoker</v>
      </c>
      <c r="K3587">
        <v>0</v>
      </c>
      <c r="L3587">
        <v>0</v>
      </c>
      <c r="M3587">
        <v>1</v>
      </c>
      <c r="N3587">
        <v>0</v>
      </c>
      <c r="O3587">
        <v>191</v>
      </c>
      <c r="P3587" t="str">
        <f t="shared" si="337"/>
        <v>Normal</v>
      </c>
      <c r="Q3587">
        <v>167</v>
      </c>
      <c r="R3587">
        <v>105</v>
      </c>
      <c r="S3587">
        <v>23.01</v>
      </c>
      <c r="T3587" t="str">
        <f t="shared" si="338"/>
        <v>Normal</v>
      </c>
      <c r="U3587">
        <v>80</v>
      </c>
      <c r="V3587">
        <v>85</v>
      </c>
      <c r="W3587" t="str">
        <f t="shared" ref="W3587:W3650" si="341">IF(V3587 &lt; 100, "Normal", IF(V3587 &lt;= 125, "Prediabetes", "Diabetes"))</f>
        <v>Normal</v>
      </c>
      <c r="X3587">
        <v>0</v>
      </c>
    </row>
    <row r="3588" spans="1:24" ht="14.5" thickBot="1" x14ac:dyDescent="0.35">
      <c r="A3588">
        <v>1</v>
      </c>
      <c r="B3588" t="str">
        <f t="shared" si="339"/>
        <v>Male</v>
      </c>
      <c r="C3588" s="8">
        <v>60</v>
      </c>
      <c r="D3588" t="str">
        <f t="shared" si="340"/>
        <v>Senior</v>
      </c>
      <c r="E3588">
        <v>1</v>
      </c>
      <c r="F3588" t="str">
        <f>HLOOKUP(E3588, LookUP_Table!$A$6:$D$7, 2, FALSE)</f>
        <v>Primary</v>
      </c>
      <c r="G3588" t="str">
        <f>IFERROR(VLOOKUP(E3588, LookUP_Table!$A$1:$B$4, 2, FALSE), "")</f>
        <v>Primary</v>
      </c>
      <c r="H3588">
        <v>1</v>
      </c>
      <c r="I3588">
        <v>5</v>
      </c>
      <c r="J3588" t="str">
        <f t="shared" si="336"/>
        <v>Smoker</v>
      </c>
      <c r="K3588">
        <v>0</v>
      </c>
      <c r="L3588">
        <v>0</v>
      </c>
      <c r="M3588">
        <v>0</v>
      </c>
      <c r="N3588">
        <v>0</v>
      </c>
      <c r="O3588">
        <v>267</v>
      </c>
      <c r="P3588" t="str">
        <f t="shared" si="337"/>
        <v>High</v>
      </c>
      <c r="Q3588">
        <v>139</v>
      </c>
      <c r="R3588">
        <v>84</v>
      </c>
      <c r="S3588">
        <v>28.76</v>
      </c>
      <c r="T3588" t="str">
        <f t="shared" si="338"/>
        <v>Overweight</v>
      </c>
      <c r="U3588">
        <v>75</v>
      </c>
      <c r="V3588">
        <v>112</v>
      </c>
      <c r="W3588" t="str">
        <f t="shared" si="341"/>
        <v>Prediabetes</v>
      </c>
      <c r="X3588">
        <v>0</v>
      </c>
    </row>
    <row r="3589" spans="1:24" ht="14.5" thickBot="1" x14ac:dyDescent="0.35">
      <c r="A3589">
        <v>0</v>
      </c>
      <c r="B3589" t="str">
        <f t="shared" si="339"/>
        <v>Female</v>
      </c>
      <c r="C3589" s="8">
        <v>60</v>
      </c>
      <c r="D3589" t="str">
        <f t="shared" si="340"/>
        <v>Senior</v>
      </c>
      <c r="E3589">
        <v>1</v>
      </c>
      <c r="F3589" t="str">
        <f>HLOOKUP(E3589, LookUP_Table!$A$6:$D$7, 2, FALSE)</f>
        <v>Primary</v>
      </c>
      <c r="G3589" t="str">
        <f>IFERROR(VLOOKUP(E3589, LookUP_Table!$A$1:$B$4, 2, FALSE), "")</f>
        <v>Primary</v>
      </c>
      <c r="H3589">
        <v>0</v>
      </c>
      <c r="I3589">
        <v>0</v>
      </c>
      <c r="J3589" t="str">
        <f t="shared" si="336"/>
        <v>Non-Smoker</v>
      </c>
      <c r="K3589">
        <v>0</v>
      </c>
      <c r="L3589">
        <v>0</v>
      </c>
      <c r="M3589">
        <v>0</v>
      </c>
      <c r="N3589">
        <v>0</v>
      </c>
      <c r="O3589">
        <v>236</v>
      </c>
      <c r="P3589" t="str">
        <f t="shared" si="337"/>
        <v>Normal</v>
      </c>
      <c r="Q3589">
        <v>126</v>
      </c>
      <c r="R3589">
        <v>84</v>
      </c>
      <c r="S3589">
        <v>20.34</v>
      </c>
      <c r="T3589" t="str">
        <f t="shared" si="338"/>
        <v>Normal</v>
      </c>
      <c r="U3589">
        <v>71</v>
      </c>
      <c r="V3589">
        <v>76</v>
      </c>
      <c r="W3589" t="str">
        <f t="shared" si="341"/>
        <v>Normal</v>
      </c>
      <c r="X3589">
        <v>0</v>
      </c>
    </row>
    <row r="3590" spans="1:24" ht="14.5" thickBot="1" x14ac:dyDescent="0.35">
      <c r="A3590">
        <v>0</v>
      </c>
      <c r="B3590" t="str">
        <f t="shared" si="339"/>
        <v>Female</v>
      </c>
      <c r="C3590" s="8">
        <v>60</v>
      </c>
      <c r="D3590" t="str">
        <f t="shared" si="340"/>
        <v>Senior</v>
      </c>
      <c r="E3590">
        <v>4</v>
      </c>
      <c r="F3590" t="str">
        <f>HLOOKUP(E3590, LookUP_Table!$A$6:$D$7, 2, FALSE)</f>
        <v>Post Graduate</v>
      </c>
      <c r="G3590" t="str">
        <f>IFERROR(VLOOKUP(E3590, LookUP_Table!$A$1:$B$4, 2, FALSE), "")</f>
        <v>Post Graduate</v>
      </c>
      <c r="H3590">
        <v>1</v>
      </c>
      <c r="I3590">
        <v>20</v>
      </c>
      <c r="J3590" t="str">
        <f t="shared" si="336"/>
        <v>Smoker</v>
      </c>
      <c r="K3590">
        <v>0</v>
      </c>
      <c r="L3590">
        <v>0</v>
      </c>
      <c r="M3590">
        <v>1</v>
      </c>
      <c r="N3590">
        <v>0</v>
      </c>
      <c r="O3590">
        <v>352</v>
      </c>
      <c r="P3590" t="str">
        <f t="shared" si="337"/>
        <v>High</v>
      </c>
      <c r="Q3590">
        <v>149</v>
      </c>
      <c r="R3590">
        <v>73</v>
      </c>
      <c r="S3590">
        <v>25.96</v>
      </c>
      <c r="T3590" t="str">
        <f t="shared" si="338"/>
        <v>Overweight</v>
      </c>
      <c r="U3590">
        <v>80</v>
      </c>
      <c r="V3590">
        <v>79</v>
      </c>
      <c r="W3590" t="str">
        <f t="shared" si="341"/>
        <v>Normal</v>
      </c>
      <c r="X3590">
        <v>0</v>
      </c>
    </row>
    <row r="3591" spans="1:24" ht="14.5" thickBot="1" x14ac:dyDescent="0.35">
      <c r="A3591">
        <v>0</v>
      </c>
      <c r="B3591" t="str">
        <f t="shared" si="339"/>
        <v>Female</v>
      </c>
      <c r="C3591" s="8">
        <v>60</v>
      </c>
      <c r="D3591" t="str">
        <f t="shared" si="340"/>
        <v>Senior</v>
      </c>
      <c r="E3591">
        <v>3</v>
      </c>
      <c r="F3591" t="str">
        <f>HLOOKUP(E3591, LookUP_Table!$A$6:$D$7, 2, FALSE)</f>
        <v>Graduate</v>
      </c>
      <c r="G3591" t="str">
        <f>IFERROR(VLOOKUP(E3591, LookUP_Table!$A$1:$B$4, 2, FALSE), "")</f>
        <v>Graduate</v>
      </c>
      <c r="H3591">
        <v>0</v>
      </c>
      <c r="I3591">
        <v>0</v>
      </c>
      <c r="J3591" t="str">
        <f t="shared" si="336"/>
        <v>Non-Smoker</v>
      </c>
      <c r="K3591">
        <v>0</v>
      </c>
      <c r="L3591">
        <v>0</v>
      </c>
      <c r="M3591">
        <v>0</v>
      </c>
      <c r="N3591">
        <v>0</v>
      </c>
      <c r="O3591">
        <v>229</v>
      </c>
      <c r="P3591" t="str">
        <f t="shared" si="337"/>
        <v>Normal</v>
      </c>
      <c r="Q3591">
        <v>144</v>
      </c>
      <c r="R3591">
        <v>91</v>
      </c>
      <c r="S3591">
        <v>24.96</v>
      </c>
      <c r="T3591" t="str">
        <f t="shared" si="338"/>
        <v>Normal</v>
      </c>
      <c r="U3591">
        <v>70</v>
      </c>
      <c r="V3591">
        <v>82</v>
      </c>
      <c r="W3591" t="str">
        <f t="shared" si="341"/>
        <v>Normal</v>
      </c>
      <c r="X3591">
        <v>0</v>
      </c>
    </row>
    <row r="3592" spans="1:24" ht="14.5" thickBot="1" x14ac:dyDescent="0.35">
      <c r="A3592">
        <v>1</v>
      </c>
      <c r="B3592" t="str">
        <f t="shared" si="339"/>
        <v>Male</v>
      </c>
      <c r="C3592" s="8">
        <v>60</v>
      </c>
      <c r="D3592" t="str">
        <f t="shared" si="340"/>
        <v>Senior</v>
      </c>
      <c r="E3592">
        <v>2</v>
      </c>
      <c r="F3592" t="str">
        <f>HLOOKUP(E3592, LookUP_Table!$A$6:$D$7, 2, FALSE)</f>
        <v>Secondary</v>
      </c>
      <c r="G3592" t="str">
        <f>IFERROR(VLOOKUP(E3592, LookUP_Table!$A$1:$B$4, 2, FALSE), "")</f>
        <v>Secondary</v>
      </c>
      <c r="H3592">
        <v>1</v>
      </c>
      <c r="I3592">
        <v>20</v>
      </c>
      <c r="J3592" t="str">
        <f t="shared" si="336"/>
        <v>Smoker</v>
      </c>
      <c r="K3592">
        <v>0</v>
      </c>
      <c r="L3592">
        <v>0</v>
      </c>
      <c r="M3592">
        <v>1</v>
      </c>
      <c r="N3592">
        <v>0</v>
      </c>
      <c r="O3592">
        <v>260</v>
      </c>
      <c r="P3592" t="str">
        <f t="shared" si="337"/>
        <v>High</v>
      </c>
      <c r="Q3592">
        <v>178</v>
      </c>
      <c r="R3592">
        <v>103</v>
      </c>
      <c r="S3592">
        <v>24.62</v>
      </c>
      <c r="T3592" t="str">
        <f t="shared" si="338"/>
        <v>Normal</v>
      </c>
      <c r="U3592">
        <v>72</v>
      </c>
      <c r="V3592">
        <v>79</v>
      </c>
      <c r="W3592" t="str">
        <f t="shared" si="341"/>
        <v>Normal</v>
      </c>
      <c r="X3592">
        <v>0</v>
      </c>
    </row>
    <row r="3593" spans="1:24" ht="14.5" thickBot="1" x14ac:dyDescent="0.35">
      <c r="A3593">
        <v>1</v>
      </c>
      <c r="B3593" t="str">
        <f t="shared" si="339"/>
        <v>Male</v>
      </c>
      <c r="C3593" s="8">
        <v>60</v>
      </c>
      <c r="D3593" t="str">
        <f t="shared" si="340"/>
        <v>Senior</v>
      </c>
      <c r="E3593">
        <v>2</v>
      </c>
      <c r="F3593" t="str">
        <f>HLOOKUP(E3593, LookUP_Table!$A$6:$D$7, 2, FALSE)</f>
        <v>Secondary</v>
      </c>
      <c r="G3593" t="str">
        <f>IFERROR(VLOOKUP(E3593, LookUP_Table!$A$1:$B$4, 2, FALSE), "")</f>
        <v>Secondary</v>
      </c>
      <c r="H3593">
        <v>0</v>
      </c>
      <c r="I3593">
        <v>0</v>
      </c>
      <c r="J3593" t="str">
        <f t="shared" si="336"/>
        <v>Non-Smoker</v>
      </c>
      <c r="K3593">
        <v>0</v>
      </c>
      <c r="L3593">
        <v>0</v>
      </c>
      <c r="M3593">
        <v>0</v>
      </c>
      <c r="N3593">
        <v>0</v>
      </c>
      <c r="O3593">
        <v>175</v>
      </c>
      <c r="P3593" t="str">
        <f t="shared" si="337"/>
        <v>Normal</v>
      </c>
      <c r="Q3593">
        <v>129</v>
      </c>
      <c r="R3593">
        <v>89</v>
      </c>
      <c r="S3593">
        <v>22.16</v>
      </c>
      <c r="T3593" t="str">
        <f t="shared" si="338"/>
        <v>Normal</v>
      </c>
      <c r="U3593">
        <v>65</v>
      </c>
      <c r="V3593">
        <v>75</v>
      </c>
      <c r="W3593" t="str">
        <f t="shared" si="341"/>
        <v>Normal</v>
      </c>
      <c r="X3593">
        <v>0</v>
      </c>
    </row>
    <row r="3594" spans="1:24" ht="14.5" thickBot="1" x14ac:dyDescent="0.35">
      <c r="A3594">
        <v>0</v>
      </c>
      <c r="B3594" t="str">
        <f t="shared" si="339"/>
        <v>Female</v>
      </c>
      <c r="C3594" s="8">
        <v>60</v>
      </c>
      <c r="D3594" t="str">
        <f t="shared" si="340"/>
        <v>Senior</v>
      </c>
      <c r="E3594">
        <v>1</v>
      </c>
      <c r="F3594" t="str">
        <f>HLOOKUP(E3594, LookUP_Table!$A$6:$D$7, 2, FALSE)</f>
        <v>Primary</v>
      </c>
      <c r="G3594" t="str">
        <f>IFERROR(VLOOKUP(E3594, LookUP_Table!$A$1:$B$4, 2, FALSE), "")</f>
        <v>Primary</v>
      </c>
      <c r="H3594">
        <v>0</v>
      </c>
      <c r="I3594">
        <v>0</v>
      </c>
      <c r="J3594" t="str">
        <f t="shared" si="336"/>
        <v>Non-Smoker</v>
      </c>
      <c r="K3594">
        <v>0</v>
      </c>
      <c r="L3594">
        <v>0</v>
      </c>
      <c r="M3594">
        <v>0</v>
      </c>
      <c r="N3594">
        <v>0</v>
      </c>
      <c r="O3594">
        <v>238</v>
      </c>
      <c r="P3594" t="str">
        <f t="shared" si="337"/>
        <v>Normal</v>
      </c>
      <c r="Q3594">
        <v>140</v>
      </c>
      <c r="R3594">
        <v>85</v>
      </c>
      <c r="S3594">
        <v>28.41</v>
      </c>
      <c r="T3594" t="str">
        <f t="shared" si="338"/>
        <v>Overweight</v>
      </c>
      <c r="U3594">
        <v>80</v>
      </c>
      <c r="V3594">
        <v>88</v>
      </c>
      <c r="W3594" t="str">
        <f t="shared" si="341"/>
        <v>Normal</v>
      </c>
      <c r="X3594">
        <v>0</v>
      </c>
    </row>
    <row r="3595" spans="1:24" ht="14.5" thickBot="1" x14ac:dyDescent="0.35">
      <c r="A3595">
        <v>1</v>
      </c>
      <c r="B3595" t="str">
        <f t="shared" si="339"/>
        <v>Male</v>
      </c>
      <c r="C3595" s="8">
        <v>60</v>
      </c>
      <c r="D3595" t="str">
        <f t="shared" si="340"/>
        <v>Senior</v>
      </c>
      <c r="E3595">
        <v>1</v>
      </c>
      <c r="F3595" t="str">
        <f>HLOOKUP(E3595, LookUP_Table!$A$6:$D$7, 2, FALSE)</f>
        <v>Primary</v>
      </c>
      <c r="G3595" t="str">
        <f>IFERROR(VLOOKUP(E3595, LookUP_Table!$A$1:$B$4, 2, FALSE), "")</f>
        <v>Primary</v>
      </c>
      <c r="H3595">
        <v>0</v>
      </c>
      <c r="I3595">
        <v>0</v>
      </c>
      <c r="J3595" t="str">
        <f t="shared" si="336"/>
        <v>Non-Smoker</v>
      </c>
      <c r="K3595">
        <v>0</v>
      </c>
      <c r="L3595">
        <v>0</v>
      </c>
      <c r="M3595">
        <v>0</v>
      </c>
      <c r="N3595">
        <v>0</v>
      </c>
      <c r="O3595">
        <v>183</v>
      </c>
      <c r="P3595" t="str">
        <f t="shared" si="337"/>
        <v>Normal</v>
      </c>
      <c r="Q3595">
        <v>114</v>
      </c>
      <c r="R3595">
        <v>70</v>
      </c>
      <c r="S3595">
        <v>23.56</v>
      </c>
      <c r="T3595" t="str">
        <f t="shared" si="338"/>
        <v>Normal</v>
      </c>
      <c r="U3595">
        <v>75</v>
      </c>
      <c r="V3595">
        <v>59</v>
      </c>
      <c r="W3595" t="str">
        <f t="shared" si="341"/>
        <v>Normal</v>
      </c>
      <c r="X3595">
        <v>0</v>
      </c>
    </row>
    <row r="3596" spans="1:24" ht="14.5" thickBot="1" x14ac:dyDescent="0.35">
      <c r="A3596">
        <v>0</v>
      </c>
      <c r="B3596" t="str">
        <f t="shared" si="339"/>
        <v>Female</v>
      </c>
      <c r="C3596" s="8">
        <v>60</v>
      </c>
      <c r="D3596" t="str">
        <f t="shared" si="340"/>
        <v>Senior</v>
      </c>
      <c r="E3596">
        <v>1</v>
      </c>
      <c r="F3596" t="str">
        <f>HLOOKUP(E3596, LookUP_Table!$A$6:$D$7, 2, FALSE)</f>
        <v>Primary</v>
      </c>
      <c r="G3596" t="str">
        <f>IFERROR(VLOOKUP(E3596, LookUP_Table!$A$1:$B$4, 2, FALSE), "")</f>
        <v>Primary</v>
      </c>
      <c r="H3596">
        <v>0</v>
      </c>
      <c r="I3596">
        <v>0</v>
      </c>
      <c r="J3596" t="str">
        <f t="shared" si="336"/>
        <v>Non-Smoker</v>
      </c>
      <c r="K3596">
        <v>0</v>
      </c>
      <c r="L3596">
        <v>0</v>
      </c>
      <c r="M3596">
        <v>0</v>
      </c>
      <c r="N3596">
        <v>0</v>
      </c>
      <c r="O3596">
        <v>277</v>
      </c>
      <c r="P3596" t="str">
        <f t="shared" si="337"/>
        <v>High</v>
      </c>
      <c r="Q3596">
        <v>126</v>
      </c>
      <c r="R3596">
        <v>70</v>
      </c>
      <c r="S3596">
        <v>25.13</v>
      </c>
      <c r="T3596" t="str">
        <f t="shared" si="338"/>
        <v>Overweight</v>
      </c>
      <c r="U3596">
        <v>60</v>
      </c>
      <c r="V3596">
        <v>100</v>
      </c>
      <c r="W3596" t="str">
        <f t="shared" si="341"/>
        <v>Prediabetes</v>
      </c>
      <c r="X3596">
        <v>0</v>
      </c>
    </row>
    <row r="3597" spans="1:24" ht="14.5" thickBot="1" x14ac:dyDescent="0.35">
      <c r="A3597">
        <v>0</v>
      </c>
      <c r="B3597" t="str">
        <f t="shared" si="339"/>
        <v>Female</v>
      </c>
      <c r="C3597" s="8">
        <v>60</v>
      </c>
      <c r="D3597" t="str">
        <f t="shared" si="340"/>
        <v>Senior</v>
      </c>
      <c r="E3597">
        <v>1</v>
      </c>
      <c r="F3597" t="str">
        <f>HLOOKUP(E3597, LookUP_Table!$A$6:$D$7, 2, FALSE)</f>
        <v>Primary</v>
      </c>
      <c r="G3597" t="str">
        <f>IFERROR(VLOOKUP(E3597, LookUP_Table!$A$1:$B$4, 2, FALSE), "")</f>
        <v>Primary</v>
      </c>
      <c r="H3597">
        <v>0</v>
      </c>
      <c r="I3597">
        <v>0</v>
      </c>
      <c r="J3597" t="str">
        <f t="shared" si="336"/>
        <v>Non-Smoker</v>
      </c>
      <c r="K3597">
        <v>0</v>
      </c>
      <c r="L3597">
        <v>0</v>
      </c>
      <c r="M3597">
        <v>0</v>
      </c>
      <c r="N3597">
        <v>0</v>
      </c>
      <c r="O3597">
        <v>391</v>
      </c>
      <c r="P3597" t="str">
        <f t="shared" si="337"/>
        <v>High</v>
      </c>
      <c r="Q3597">
        <v>114</v>
      </c>
      <c r="R3597">
        <v>64</v>
      </c>
      <c r="S3597">
        <v>24.57</v>
      </c>
      <c r="T3597" t="str">
        <f t="shared" si="338"/>
        <v>Normal</v>
      </c>
      <c r="U3597">
        <v>82</v>
      </c>
      <c r="V3597">
        <v>83</v>
      </c>
      <c r="W3597" t="str">
        <f t="shared" si="341"/>
        <v>Normal</v>
      </c>
      <c r="X3597">
        <v>0</v>
      </c>
    </row>
    <row r="3598" spans="1:24" ht="14.5" thickBot="1" x14ac:dyDescent="0.35">
      <c r="A3598">
        <v>0</v>
      </c>
      <c r="B3598" t="str">
        <f t="shared" si="339"/>
        <v>Female</v>
      </c>
      <c r="C3598" s="8">
        <v>60</v>
      </c>
      <c r="D3598" t="str">
        <f t="shared" si="340"/>
        <v>Senior</v>
      </c>
      <c r="E3598">
        <v>1</v>
      </c>
      <c r="F3598" t="str">
        <f>HLOOKUP(E3598, LookUP_Table!$A$6:$D$7, 2, FALSE)</f>
        <v>Primary</v>
      </c>
      <c r="G3598" t="str">
        <f>IFERROR(VLOOKUP(E3598, LookUP_Table!$A$1:$B$4, 2, FALSE), "")</f>
        <v>Primary</v>
      </c>
      <c r="H3598">
        <v>0</v>
      </c>
      <c r="I3598">
        <v>0</v>
      </c>
      <c r="J3598" t="str">
        <f t="shared" si="336"/>
        <v>Non-Smoker</v>
      </c>
      <c r="K3598">
        <v>0</v>
      </c>
      <c r="L3598">
        <v>0</v>
      </c>
      <c r="M3598">
        <v>0</v>
      </c>
      <c r="N3598">
        <v>0</v>
      </c>
      <c r="O3598">
        <v>318</v>
      </c>
      <c r="P3598" t="str">
        <f t="shared" si="337"/>
        <v>High</v>
      </c>
      <c r="Q3598">
        <v>132</v>
      </c>
      <c r="R3598">
        <v>75.5</v>
      </c>
      <c r="S3598">
        <v>18.87</v>
      </c>
      <c r="T3598" t="str">
        <f t="shared" si="338"/>
        <v>Normal</v>
      </c>
      <c r="U3598">
        <v>105</v>
      </c>
      <c r="V3598">
        <v>82</v>
      </c>
      <c r="W3598" t="str">
        <f t="shared" si="341"/>
        <v>Normal</v>
      </c>
      <c r="X3598">
        <v>0</v>
      </c>
    </row>
    <row r="3599" spans="1:24" ht="14.5" thickBot="1" x14ac:dyDescent="0.35">
      <c r="A3599">
        <v>0</v>
      </c>
      <c r="B3599" t="str">
        <f t="shared" si="339"/>
        <v>Female</v>
      </c>
      <c r="C3599" s="8">
        <v>60</v>
      </c>
      <c r="D3599" t="str">
        <f t="shared" si="340"/>
        <v>Senior</v>
      </c>
      <c r="E3599">
        <v>2</v>
      </c>
      <c r="F3599" t="str">
        <f>HLOOKUP(E3599, LookUP_Table!$A$6:$D$7, 2, FALSE)</f>
        <v>Secondary</v>
      </c>
      <c r="G3599" t="str">
        <f>IFERROR(VLOOKUP(E3599, LookUP_Table!$A$1:$B$4, 2, FALSE), "")</f>
        <v>Secondary</v>
      </c>
      <c r="H3599">
        <v>0</v>
      </c>
      <c r="I3599">
        <v>0</v>
      </c>
      <c r="J3599" t="str">
        <f t="shared" si="336"/>
        <v>Non-Smoker</v>
      </c>
      <c r="K3599">
        <v>0</v>
      </c>
      <c r="L3599">
        <v>0</v>
      </c>
      <c r="M3599">
        <v>1</v>
      </c>
      <c r="N3599">
        <v>0</v>
      </c>
      <c r="O3599">
        <v>334</v>
      </c>
      <c r="P3599" t="str">
        <f t="shared" si="337"/>
        <v>High</v>
      </c>
      <c r="Q3599">
        <v>132</v>
      </c>
      <c r="R3599">
        <v>94</v>
      </c>
      <c r="S3599">
        <v>25.38</v>
      </c>
      <c r="T3599" t="str">
        <f t="shared" si="338"/>
        <v>Overweight</v>
      </c>
      <c r="U3599">
        <v>80</v>
      </c>
      <c r="V3599">
        <v>98</v>
      </c>
      <c r="W3599" t="str">
        <f t="shared" si="341"/>
        <v>Normal</v>
      </c>
      <c r="X3599">
        <v>1</v>
      </c>
    </row>
    <row r="3600" spans="1:24" ht="14.5" thickBot="1" x14ac:dyDescent="0.35">
      <c r="A3600">
        <v>0</v>
      </c>
      <c r="B3600" t="str">
        <f t="shared" si="339"/>
        <v>Female</v>
      </c>
      <c r="C3600" s="8">
        <v>60</v>
      </c>
      <c r="D3600" t="str">
        <f t="shared" si="340"/>
        <v>Senior</v>
      </c>
      <c r="E3600">
        <v>1</v>
      </c>
      <c r="F3600" t="str">
        <f>HLOOKUP(E3600, LookUP_Table!$A$6:$D$7, 2, FALSE)</f>
        <v>Primary</v>
      </c>
      <c r="G3600" t="str">
        <f>IFERROR(VLOOKUP(E3600, LookUP_Table!$A$1:$B$4, 2, FALSE), "")</f>
        <v>Primary</v>
      </c>
      <c r="H3600">
        <v>0</v>
      </c>
      <c r="I3600">
        <v>0</v>
      </c>
      <c r="J3600" t="str">
        <f t="shared" si="336"/>
        <v>Non-Smoker</v>
      </c>
      <c r="K3600">
        <v>0</v>
      </c>
      <c r="L3600">
        <v>0</v>
      </c>
      <c r="M3600">
        <v>1</v>
      </c>
      <c r="N3600">
        <v>0</v>
      </c>
      <c r="O3600">
        <v>170</v>
      </c>
      <c r="P3600" t="str">
        <f t="shared" si="337"/>
        <v>Normal</v>
      </c>
      <c r="Q3600">
        <v>146</v>
      </c>
      <c r="R3600">
        <v>89</v>
      </c>
      <c r="S3600">
        <v>32.409999999999997</v>
      </c>
      <c r="T3600" t="str">
        <f t="shared" si="338"/>
        <v>Obese</v>
      </c>
      <c r="U3600">
        <v>68</v>
      </c>
      <c r="V3600">
        <v>81</v>
      </c>
      <c r="W3600" t="str">
        <f t="shared" si="341"/>
        <v>Normal</v>
      </c>
      <c r="X3600">
        <v>1</v>
      </c>
    </row>
    <row r="3601" spans="1:24" ht="14.5" thickBot="1" x14ac:dyDescent="0.35">
      <c r="A3601">
        <v>0</v>
      </c>
      <c r="B3601" t="str">
        <f t="shared" si="339"/>
        <v>Female</v>
      </c>
      <c r="C3601" s="8">
        <v>60</v>
      </c>
      <c r="D3601" t="str">
        <f t="shared" si="340"/>
        <v>Senior</v>
      </c>
      <c r="E3601">
        <v>3</v>
      </c>
      <c r="F3601" t="str">
        <f>HLOOKUP(E3601, LookUP_Table!$A$6:$D$7, 2, FALSE)</f>
        <v>Graduate</v>
      </c>
      <c r="G3601" t="str">
        <f>IFERROR(VLOOKUP(E3601, LookUP_Table!$A$1:$B$4, 2, FALSE), "")</f>
        <v>Graduate</v>
      </c>
      <c r="H3601">
        <v>0</v>
      </c>
      <c r="I3601">
        <v>0</v>
      </c>
      <c r="J3601" t="str">
        <f t="shared" si="336"/>
        <v>Non-Smoker</v>
      </c>
      <c r="K3601">
        <v>0</v>
      </c>
      <c r="L3601">
        <v>0</v>
      </c>
      <c r="M3601">
        <v>0</v>
      </c>
      <c r="N3601">
        <v>0</v>
      </c>
      <c r="O3601">
        <v>268</v>
      </c>
      <c r="P3601" t="str">
        <f t="shared" si="337"/>
        <v>High</v>
      </c>
      <c r="Q3601">
        <v>123</v>
      </c>
      <c r="R3601">
        <v>82</v>
      </c>
      <c r="S3601">
        <v>29.47</v>
      </c>
      <c r="T3601" t="str">
        <f t="shared" si="338"/>
        <v>Overweight</v>
      </c>
      <c r="U3601">
        <v>80</v>
      </c>
      <c r="V3601">
        <v>85</v>
      </c>
      <c r="W3601" t="str">
        <f t="shared" si="341"/>
        <v>Normal</v>
      </c>
      <c r="X3601">
        <v>0</v>
      </c>
    </row>
    <row r="3602" spans="1:24" ht="14.5" thickBot="1" x14ac:dyDescent="0.35">
      <c r="A3602">
        <v>1</v>
      </c>
      <c r="B3602" t="str">
        <f t="shared" si="339"/>
        <v>Male</v>
      </c>
      <c r="C3602" s="8">
        <v>60</v>
      </c>
      <c r="D3602" t="str">
        <f t="shared" si="340"/>
        <v>Senior</v>
      </c>
      <c r="E3602">
        <v>1</v>
      </c>
      <c r="F3602" t="str">
        <f>HLOOKUP(E3602, LookUP_Table!$A$6:$D$7, 2, FALSE)</f>
        <v>Primary</v>
      </c>
      <c r="G3602" t="str">
        <f>IFERROR(VLOOKUP(E3602, LookUP_Table!$A$1:$B$4, 2, FALSE), "")</f>
        <v>Primary</v>
      </c>
      <c r="H3602">
        <v>1</v>
      </c>
      <c r="I3602">
        <v>20</v>
      </c>
      <c r="J3602" t="str">
        <f t="shared" si="336"/>
        <v>Smoker</v>
      </c>
      <c r="K3602">
        <v>0</v>
      </c>
      <c r="L3602">
        <v>0</v>
      </c>
      <c r="M3602">
        <v>0</v>
      </c>
      <c r="N3602">
        <v>0</v>
      </c>
      <c r="O3602">
        <v>285</v>
      </c>
      <c r="P3602" t="str">
        <f t="shared" si="337"/>
        <v>High</v>
      </c>
      <c r="Q3602">
        <v>131.5</v>
      </c>
      <c r="R3602">
        <v>82</v>
      </c>
      <c r="S3602">
        <v>27.87</v>
      </c>
      <c r="T3602" t="str">
        <f t="shared" si="338"/>
        <v>Overweight</v>
      </c>
      <c r="U3602">
        <v>60</v>
      </c>
      <c r="V3602">
        <v>103</v>
      </c>
      <c r="W3602" t="str">
        <f t="shared" si="341"/>
        <v>Prediabetes</v>
      </c>
      <c r="X3602">
        <v>0</v>
      </c>
    </row>
    <row r="3603" spans="1:24" ht="14.5" thickBot="1" x14ac:dyDescent="0.35">
      <c r="A3603">
        <v>0</v>
      </c>
      <c r="B3603" t="str">
        <f t="shared" si="339"/>
        <v>Female</v>
      </c>
      <c r="C3603" s="8">
        <v>60</v>
      </c>
      <c r="D3603" t="str">
        <f t="shared" si="340"/>
        <v>Senior</v>
      </c>
      <c r="E3603">
        <v>3</v>
      </c>
      <c r="F3603" t="str">
        <f>HLOOKUP(E3603, LookUP_Table!$A$6:$D$7, 2, FALSE)</f>
        <v>Graduate</v>
      </c>
      <c r="G3603" t="str">
        <f>IFERROR(VLOOKUP(E3603, LookUP_Table!$A$1:$B$4, 2, FALSE), "")</f>
        <v>Graduate</v>
      </c>
      <c r="H3603">
        <v>0</v>
      </c>
      <c r="I3603">
        <v>0</v>
      </c>
      <c r="J3603" t="str">
        <f t="shared" si="336"/>
        <v>Non-Smoker</v>
      </c>
      <c r="K3603">
        <v>0</v>
      </c>
      <c r="L3603">
        <v>0</v>
      </c>
      <c r="M3603">
        <v>1</v>
      </c>
      <c r="N3603">
        <v>0</v>
      </c>
      <c r="O3603">
        <v>270</v>
      </c>
      <c r="P3603" t="str">
        <f t="shared" si="337"/>
        <v>High</v>
      </c>
      <c r="Q3603">
        <v>154</v>
      </c>
      <c r="R3603">
        <v>82</v>
      </c>
      <c r="S3603">
        <v>27.82</v>
      </c>
      <c r="T3603" t="str">
        <f t="shared" si="338"/>
        <v>Overweight</v>
      </c>
      <c r="U3603">
        <v>93</v>
      </c>
      <c r="V3603">
        <v>90</v>
      </c>
      <c r="W3603" t="str">
        <f t="shared" si="341"/>
        <v>Normal</v>
      </c>
      <c r="X3603">
        <v>0</v>
      </c>
    </row>
    <row r="3604" spans="1:24" ht="14.5" thickBot="1" x14ac:dyDescent="0.35">
      <c r="A3604">
        <v>1</v>
      </c>
      <c r="B3604" t="str">
        <f t="shared" si="339"/>
        <v>Male</v>
      </c>
      <c r="C3604" s="8">
        <v>60</v>
      </c>
      <c r="D3604" t="str">
        <f t="shared" si="340"/>
        <v>Senior</v>
      </c>
      <c r="E3604">
        <v>1</v>
      </c>
      <c r="F3604" t="str">
        <f>HLOOKUP(E3604, LookUP_Table!$A$6:$D$7, 2, FALSE)</f>
        <v>Primary</v>
      </c>
      <c r="G3604" t="str">
        <f>IFERROR(VLOOKUP(E3604, LookUP_Table!$A$1:$B$4, 2, FALSE), "")</f>
        <v>Primary</v>
      </c>
      <c r="H3604">
        <v>0</v>
      </c>
      <c r="I3604">
        <v>0</v>
      </c>
      <c r="J3604" t="str">
        <f t="shared" si="336"/>
        <v>Non-Smoker</v>
      </c>
      <c r="K3604">
        <v>0</v>
      </c>
      <c r="L3604">
        <v>0</v>
      </c>
      <c r="M3604">
        <v>0</v>
      </c>
      <c r="N3604">
        <v>0</v>
      </c>
      <c r="O3604">
        <v>275</v>
      </c>
      <c r="P3604" t="str">
        <f t="shared" si="337"/>
        <v>High</v>
      </c>
      <c r="Q3604">
        <v>132</v>
      </c>
      <c r="R3604">
        <v>82</v>
      </c>
      <c r="S3604">
        <v>23.53</v>
      </c>
      <c r="T3604" t="str">
        <f t="shared" si="338"/>
        <v>Normal</v>
      </c>
      <c r="U3604">
        <v>75</v>
      </c>
      <c r="V3604">
        <v>62</v>
      </c>
      <c r="W3604" t="str">
        <f t="shared" si="341"/>
        <v>Normal</v>
      </c>
      <c r="X3604">
        <v>0</v>
      </c>
    </row>
    <row r="3605" spans="1:24" ht="14.5" thickBot="1" x14ac:dyDescent="0.35">
      <c r="A3605">
        <v>1</v>
      </c>
      <c r="B3605" t="str">
        <f t="shared" si="339"/>
        <v>Male</v>
      </c>
      <c r="C3605" s="8">
        <v>60</v>
      </c>
      <c r="D3605" t="str">
        <f t="shared" si="340"/>
        <v>Senior</v>
      </c>
      <c r="E3605">
        <v>1</v>
      </c>
      <c r="F3605" t="str">
        <f>HLOOKUP(E3605, LookUP_Table!$A$6:$D$7, 2, FALSE)</f>
        <v>Primary</v>
      </c>
      <c r="G3605" t="str">
        <f>IFERROR(VLOOKUP(E3605, LookUP_Table!$A$1:$B$4, 2, FALSE), "")</f>
        <v>Primary</v>
      </c>
      <c r="H3605">
        <v>0</v>
      </c>
      <c r="I3605">
        <v>0</v>
      </c>
      <c r="J3605" t="str">
        <f t="shared" si="336"/>
        <v>Non-Smoker</v>
      </c>
      <c r="K3605">
        <v>0</v>
      </c>
      <c r="L3605">
        <v>0</v>
      </c>
      <c r="M3605">
        <v>0</v>
      </c>
      <c r="N3605">
        <v>0</v>
      </c>
      <c r="O3605">
        <v>241</v>
      </c>
      <c r="P3605" t="str">
        <f t="shared" si="337"/>
        <v>High</v>
      </c>
      <c r="Q3605">
        <v>119.5</v>
      </c>
      <c r="R3605">
        <v>79</v>
      </c>
      <c r="S3605">
        <v>24.66</v>
      </c>
      <c r="T3605" t="str">
        <f t="shared" si="338"/>
        <v>Normal</v>
      </c>
      <c r="U3605">
        <v>60</v>
      </c>
      <c r="V3605">
        <v>78</v>
      </c>
      <c r="W3605" t="str">
        <f t="shared" si="341"/>
        <v>Normal</v>
      </c>
      <c r="X3605">
        <v>0</v>
      </c>
    </row>
    <row r="3606" spans="1:24" ht="14.5" thickBot="1" x14ac:dyDescent="0.35">
      <c r="A3606">
        <v>0</v>
      </c>
      <c r="B3606" t="str">
        <f t="shared" si="339"/>
        <v>Female</v>
      </c>
      <c r="C3606" s="8">
        <v>60</v>
      </c>
      <c r="D3606" t="str">
        <f t="shared" si="340"/>
        <v>Senior</v>
      </c>
      <c r="E3606">
        <v>1</v>
      </c>
      <c r="F3606" t="str">
        <f>HLOOKUP(E3606, LookUP_Table!$A$6:$D$7, 2, FALSE)</f>
        <v>Primary</v>
      </c>
      <c r="G3606" t="str">
        <f>IFERROR(VLOOKUP(E3606, LookUP_Table!$A$1:$B$4, 2, FALSE), "")</f>
        <v>Primary</v>
      </c>
      <c r="H3606">
        <v>0</v>
      </c>
      <c r="I3606">
        <v>0</v>
      </c>
      <c r="J3606" t="str">
        <f t="shared" si="336"/>
        <v>Non-Smoker</v>
      </c>
      <c r="K3606">
        <v>0</v>
      </c>
      <c r="L3606">
        <v>0</v>
      </c>
      <c r="M3606">
        <v>1</v>
      </c>
      <c r="N3606">
        <v>0</v>
      </c>
      <c r="O3606">
        <v>273</v>
      </c>
      <c r="P3606" t="str">
        <f t="shared" si="337"/>
        <v>High</v>
      </c>
      <c r="Q3606">
        <v>176</v>
      </c>
      <c r="R3606">
        <v>84</v>
      </c>
      <c r="S3606">
        <v>22.17</v>
      </c>
      <c r="T3606" t="str">
        <f t="shared" si="338"/>
        <v>Normal</v>
      </c>
      <c r="U3606">
        <v>66</v>
      </c>
      <c r="V3606">
        <v>79</v>
      </c>
      <c r="W3606" t="str">
        <f t="shared" si="341"/>
        <v>Normal</v>
      </c>
      <c r="X3606">
        <v>0</v>
      </c>
    </row>
    <row r="3607" spans="1:24" ht="14.5" thickBot="1" x14ac:dyDescent="0.35">
      <c r="A3607">
        <v>0</v>
      </c>
      <c r="B3607" t="str">
        <f t="shared" si="339"/>
        <v>Female</v>
      </c>
      <c r="C3607" s="8">
        <v>60</v>
      </c>
      <c r="D3607" t="str">
        <f t="shared" si="340"/>
        <v>Senior</v>
      </c>
      <c r="E3607">
        <v>2</v>
      </c>
      <c r="F3607" t="str">
        <f>HLOOKUP(E3607, LookUP_Table!$A$6:$D$7, 2, FALSE)</f>
        <v>Secondary</v>
      </c>
      <c r="G3607" t="str">
        <f>IFERROR(VLOOKUP(E3607, LookUP_Table!$A$1:$B$4, 2, FALSE), "")</f>
        <v>Secondary</v>
      </c>
      <c r="H3607">
        <v>1</v>
      </c>
      <c r="I3607">
        <v>9</v>
      </c>
      <c r="J3607" t="str">
        <f t="shared" si="336"/>
        <v>Smoker</v>
      </c>
      <c r="K3607">
        <v>0</v>
      </c>
      <c r="L3607">
        <v>0</v>
      </c>
      <c r="M3607">
        <v>0</v>
      </c>
      <c r="N3607">
        <v>0</v>
      </c>
      <c r="O3607">
        <v>228</v>
      </c>
      <c r="P3607" t="str">
        <f t="shared" si="337"/>
        <v>Normal</v>
      </c>
      <c r="Q3607">
        <v>112</v>
      </c>
      <c r="R3607">
        <v>74</v>
      </c>
      <c r="S3607">
        <v>24.51</v>
      </c>
      <c r="T3607" t="str">
        <f t="shared" si="338"/>
        <v>Normal</v>
      </c>
      <c r="U3607">
        <v>63</v>
      </c>
      <c r="V3607">
        <v>81.96365524402907</v>
      </c>
      <c r="W3607" t="str">
        <f t="shared" si="341"/>
        <v>Normal</v>
      </c>
      <c r="X3607">
        <v>0</v>
      </c>
    </row>
    <row r="3608" spans="1:24" ht="14.5" thickBot="1" x14ac:dyDescent="0.35">
      <c r="A3608">
        <v>1</v>
      </c>
      <c r="B3608" t="str">
        <f t="shared" si="339"/>
        <v>Male</v>
      </c>
      <c r="C3608" s="8">
        <v>60</v>
      </c>
      <c r="D3608" t="str">
        <f t="shared" si="340"/>
        <v>Senior</v>
      </c>
      <c r="E3608">
        <v>1</v>
      </c>
      <c r="F3608" t="str">
        <f>HLOOKUP(E3608, LookUP_Table!$A$6:$D$7, 2, FALSE)</f>
        <v>Primary</v>
      </c>
      <c r="G3608" t="str">
        <f>IFERROR(VLOOKUP(E3608, LookUP_Table!$A$1:$B$4, 2, FALSE), "")</f>
        <v>Primary</v>
      </c>
      <c r="H3608">
        <v>0</v>
      </c>
      <c r="I3608">
        <v>0</v>
      </c>
      <c r="J3608" t="str">
        <f t="shared" si="336"/>
        <v>Non-Smoker</v>
      </c>
      <c r="K3608">
        <v>0</v>
      </c>
      <c r="L3608">
        <v>0</v>
      </c>
      <c r="M3608">
        <v>0</v>
      </c>
      <c r="N3608">
        <v>0</v>
      </c>
      <c r="O3608">
        <v>261</v>
      </c>
      <c r="P3608" t="str">
        <f t="shared" si="337"/>
        <v>High</v>
      </c>
      <c r="Q3608">
        <v>122</v>
      </c>
      <c r="R3608">
        <v>74</v>
      </c>
      <c r="S3608">
        <v>23.77</v>
      </c>
      <c r="T3608" t="str">
        <f t="shared" si="338"/>
        <v>Normal</v>
      </c>
      <c r="U3608">
        <v>70</v>
      </c>
      <c r="V3608">
        <v>81.96365524402907</v>
      </c>
      <c r="W3608" t="str">
        <f t="shared" si="341"/>
        <v>Normal</v>
      </c>
      <c r="X3608">
        <v>0</v>
      </c>
    </row>
    <row r="3609" spans="1:24" ht="14.5" thickBot="1" x14ac:dyDescent="0.35">
      <c r="A3609">
        <v>1</v>
      </c>
      <c r="B3609" t="str">
        <f t="shared" si="339"/>
        <v>Male</v>
      </c>
      <c r="C3609" s="8">
        <v>60</v>
      </c>
      <c r="D3609" t="str">
        <f t="shared" si="340"/>
        <v>Senior</v>
      </c>
      <c r="E3609">
        <v>2</v>
      </c>
      <c r="F3609" t="str">
        <f>HLOOKUP(E3609, LookUP_Table!$A$6:$D$7, 2, FALSE)</f>
        <v>Secondary</v>
      </c>
      <c r="G3609" t="str">
        <f>IFERROR(VLOOKUP(E3609, LookUP_Table!$A$1:$B$4, 2, FALSE), "")</f>
        <v>Secondary</v>
      </c>
      <c r="H3609">
        <v>1</v>
      </c>
      <c r="I3609">
        <v>20</v>
      </c>
      <c r="J3609" t="str">
        <f t="shared" si="336"/>
        <v>Smoker</v>
      </c>
      <c r="K3609">
        <v>0</v>
      </c>
      <c r="L3609">
        <v>0</v>
      </c>
      <c r="M3609">
        <v>0</v>
      </c>
      <c r="N3609">
        <v>0</v>
      </c>
      <c r="O3609">
        <v>305</v>
      </c>
      <c r="P3609" t="str">
        <f t="shared" si="337"/>
        <v>High</v>
      </c>
      <c r="Q3609">
        <v>112.5</v>
      </c>
      <c r="R3609">
        <v>75</v>
      </c>
      <c r="S3609">
        <v>22.7</v>
      </c>
      <c r="T3609" t="str">
        <f t="shared" si="338"/>
        <v>Normal</v>
      </c>
      <c r="U3609">
        <v>75</v>
      </c>
      <c r="V3609">
        <v>98</v>
      </c>
      <c r="W3609" t="str">
        <f t="shared" si="341"/>
        <v>Normal</v>
      </c>
      <c r="X3609">
        <v>1</v>
      </c>
    </row>
    <row r="3610" spans="1:24" ht="14.5" thickBot="1" x14ac:dyDescent="0.35">
      <c r="A3610">
        <v>0</v>
      </c>
      <c r="B3610" t="str">
        <f t="shared" si="339"/>
        <v>Female</v>
      </c>
      <c r="C3610" s="8">
        <v>60</v>
      </c>
      <c r="D3610" t="str">
        <f t="shared" si="340"/>
        <v>Senior</v>
      </c>
      <c r="E3610">
        <v>1</v>
      </c>
      <c r="F3610" t="str">
        <f>HLOOKUP(E3610, LookUP_Table!$A$6:$D$7, 2, FALSE)</f>
        <v>Primary</v>
      </c>
      <c r="G3610" t="str">
        <f>IFERROR(VLOOKUP(E3610, LookUP_Table!$A$1:$B$4, 2, FALSE), "")</f>
        <v>Primary</v>
      </c>
      <c r="H3610">
        <v>0</v>
      </c>
      <c r="I3610">
        <v>0</v>
      </c>
      <c r="J3610" t="str">
        <f t="shared" si="336"/>
        <v>Non-Smoker</v>
      </c>
      <c r="K3610">
        <v>0</v>
      </c>
      <c r="L3610">
        <v>0</v>
      </c>
      <c r="M3610">
        <v>0</v>
      </c>
      <c r="N3610">
        <v>0</v>
      </c>
      <c r="O3610">
        <v>266</v>
      </c>
      <c r="P3610" t="str">
        <f t="shared" si="337"/>
        <v>High</v>
      </c>
      <c r="Q3610">
        <v>135</v>
      </c>
      <c r="R3610">
        <v>87</v>
      </c>
      <c r="S3610">
        <v>26.72</v>
      </c>
      <c r="T3610" t="str">
        <f t="shared" si="338"/>
        <v>Overweight</v>
      </c>
      <c r="U3610">
        <v>75</v>
      </c>
      <c r="V3610">
        <v>82</v>
      </c>
      <c r="W3610" t="str">
        <f t="shared" si="341"/>
        <v>Normal</v>
      </c>
      <c r="X3610">
        <v>0</v>
      </c>
    </row>
    <row r="3611" spans="1:24" ht="14.5" thickBot="1" x14ac:dyDescent="0.35">
      <c r="A3611">
        <v>1</v>
      </c>
      <c r="B3611" t="str">
        <f t="shared" si="339"/>
        <v>Male</v>
      </c>
      <c r="C3611" s="8">
        <v>60</v>
      </c>
      <c r="D3611" t="str">
        <f t="shared" si="340"/>
        <v>Senior</v>
      </c>
      <c r="E3611">
        <v>1</v>
      </c>
      <c r="F3611" t="str">
        <f>HLOOKUP(E3611, LookUP_Table!$A$6:$D$7, 2, FALSE)</f>
        <v>Primary</v>
      </c>
      <c r="G3611" t="str">
        <f>IFERROR(VLOOKUP(E3611, LookUP_Table!$A$1:$B$4, 2, FALSE), "")</f>
        <v>Primary</v>
      </c>
      <c r="H3611">
        <v>1</v>
      </c>
      <c r="I3611">
        <v>20</v>
      </c>
      <c r="J3611" t="str">
        <f t="shared" si="336"/>
        <v>Smoker</v>
      </c>
      <c r="K3611">
        <v>0</v>
      </c>
      <c r="L3611">
        <v>0</v>
      </c>
      <c r="M3611">
        <v>0</v>
      </c>
      <c r="N3611">
        <v>0</v>
      </c>
      <c r="O3611">
        <v>260</v>
      </c>
      <c r="P3611" t="str">
        <f t="shared" si="337"/>
        <v>High</v>
      </c>
      <c r="Q3611">
        <v>127.5</v>
      </c>
      <c r="R3611">
        <v>72.5</v>
      </c>
      <c r="S3611">
        <v>25.06</v>
      </c>
      <c r="T3611" t="str">
        <f t="shared" si="338"/>
        <v>Overweight</v>
      </c>
      <c r="U3611">
        <v>65</v>
      </c>
      <c r="V3611">
        <v>75</v>
      </c>
      <c r="W3611" t="str">
        <f t="shared" si="341"/>
        <v>Normal</v>
      </c>
      <c r="X3611">
        <v>1</v>
      </c>
    </row>
    <row r="3612" spans="1:24" ht="14.5" thickBot="1" x14ac:dyDescent="0.35">
      <c r="A3612">
        <v>1</v>
      </c>
      <c r="B3612" t="str">
        <f t="shared" si="339"/>
        <v>Male</v>
      </c>
      <c r="C3612" s="8">
        <v>60</v>
      </c>
      <c r="D3612" t="str">
        <f t="shared" si="340"/>
        <v>Senior</v>
      </c>
      <c r="E3612">
        <v>1</v>
      </c>
      <c r="F3612" t="str">
        <f>HLOOKUP(E3612, LookUP_Table!$A$6:$D$7, 2, FALSE)</f>
        <v>Primary</v>
      </c>
      <c r="G3612" t="str">
        <f>IFERROR(VLOOKUP(E3612, LookUP_Table!$A$1:$B$4, 2, FALSE), "")</f>
        <v>Primary</v>
      </c>
      <c r="H3612">
        <v>1</v>
      </c>
      <c r="I3612">
        <v>30</v>
      </c>
      <c r="J3612" t="str">
        <f t="shared" si="336"/>
        <v>Smoker</v>
      </c>
      <c r="K3612">
        <v>0</v>
      </c>
      <c r="L3612">
        <v>0</v>
      </c>
      <c r="M3612">
        <v>0</v>
      </c>
      <c r="N3612">
        <v>0</v>
      </c>
      <c r="O3612">
        <v>288</v>
      </c>
      <c r="P3612" t="str">
        <f t="shared" si="337"/>
        <v>High</v>
      </c>
      <c r="Q3612">
        <v>122.5</v>
      </c>
      <c r="R3612">
        <v>68.5</v>
      </c>
      <c r="S3612">
        <v>22.13</v>
      </c>
      <c r="T3612" t="str">
        <f t="shared" si="338"/>
        <v>Normal</v>
      </c>
      <c r="U3612">
        <v>80</v>
      </c>
      <c r="V3612">
        <v>88</v>
      </c>
      <c r="W3612" t="str">
        <f t="shared" si="341"/>
        <v>Normal</v>
      </c>
      <c r="X3612">
        <v>0</v>
      </c>
    </row>
    <row r="3613" spans="1:24" ht="14.5" thickBot="1" x14ac:dyDescent="0.35">
      <c r="A3613">
        <v>1</v>
      </c>
      <c r="B3613" t="str">
        <f t="shared" si="339"/>
        <v>Male</v>
      </c>
      <c r="C3613" s="8">
        <v>60</v>
      </c>
      <c r="D3613" t="str">
        <f t="shared" si="340"/>
        <v>Senior</v>
      </c>
      <c r="E3613">
        <v>4</v>
      </c>
      <c r="F3613" t="str">
        <f>HLOOKUP(E3613, LookUP_Table!$A$6:$D$7, 2, FALSE)</f>
        <v>Post Graduate</v>
      </c>
      <c r="G3613" t="str">
        <f>IFERROR(VLOOKUP(E3613, LookUP_Table!$A$1:$B$4, 2, FALSE), "")</f>
        <v>Post Graduate</v>
      </c>
      <c r="H3613">
        <v>0</v>
      </c>
      <c r="I3613">
        <v>0</v>
      </c>
      <c r="J3613" t="str">
        <f t="shared" si="336"/>
        <v>Non-Smoker</v>
      </c>
      <c r="K3613">
        <v>0</v>
      </c>
      <c r="L3613">
        <v>0</v>
      </c>
      <c r="M3613">
        <v>0</v>
      </c>
      <c r="N3613">
        <v>0</v>
      </c>
      <c r="O3613">
        <v>227</v>
      </c>
      <c r="P3613" t="str">
        <f t="shared" si="337"/>
        <v>Normal</v>
      </c>
      <c r="Q3613">
        <v>119</v>
      </c>
      <c r="R3613">
        <v>76</v>
      </c>
      <c r="S3613">
        <v>24.8</v>
      </c>
      <c r="T3613" t="str">
        <f t="shared" si="338"/>
        <v>Normal</v>
      </c>
      <c r="U3613">
        <v>71</v>
      </c>
      <c r="V3613">
        <v>92</v>
      </c>
      <c r="W3613" t="str">
        <f t="shared" si="341"/>
        <v>Normal</v>
      </c>
      <c r="X3613">
        <v>0</v>
      </c>
    </row>
    <row r="3614" spans="1:24" ht="14.5" thickBot="1" x14ac:dyDescent="0.35">
      <c r="A3614">
        <v>1</v>
      </c>
      <c r="B3614" t="str">
        <f t="shared" si="339"/>
        <v>Male</v>
      </c>
      <c r="C3614" s="8">
        <v>60</v>
      </c>
      <c r="D3614" t="str">
        <f t="shared" si="340"/>
        <v>Senior</v>
      </c>
      <c r="E3614">
        <v>1</v>
      </c>
      <c r="F3614" t="str">
        <f>HLOOKUP(E3614, LookUP_Table!$A$6:$D$7, 2, FALSE)</f>
        <v>Primary</v>
      </c>
      <c r="G3614" t="str">
        <f>IFERROR(VLOOKUP(E3614, LookUP_Table!$A$1:$B$4, 2, FALSE), "")</f>
        <v>Primary</v>
      </c>
      <c r="H3614">
        <v>1</v>
      </c>
      <c r="I3614">
        <v>40</v>
      </c>
      <c r="J3614" t="str">
        <f t="shared" si="336"/>
        <v>Smoker</v>
      </c>
      <c r="K3614">
        <v>0</v>
      </c>
      <c r="L3614">
        <v>0</v>
      </c>
      <c r="M3614">
        <v>1</v>
      </c>
      <c r="N3614">
        <v>0</v>
      </c>
      <c r="O3614">
        <v>230</v>
      </c>
      <c r="P3614" t="str">
        <f t="shared" si="337"/>
        <v>Normal</v>
      </c>
      <c r="Q3614">
        <v>149</v>
      </c>
      <c r="R3614">
        <v>95</v>
      </c>
      <c r="S3614">
        <v>26.68</v>
      </c>
      <c r="T3614" t="str">
        <f t="shared" si="338"/>
        <v>Overweight</v>
      </c>
      <c r="U3614">
        <v>67</v>
      </c>
      <c r="V3614">
        <v>92</v>
      </c>
      <c r="W3614" t="str">
        <f t="shared" si="341"/>
        <v>Normal</v>
      </c>
      <c r="X3614">
        <v>1</v>
      </c>
    </row>
    <row r="3615" spans="1:24" ht="14.5" thickBot="1" x14ac:dyDescent="0.35">
      <c r="A3615">
        <v>1</v>
      </c>
      <c r="B3615" t="str">
        <f t="shared" si="339"/>
        <v>Male</v>
      </c>
      <c r="C3615" s="8">
        <v>60</v>
      </c>
      <c r="D3615" t="str">
        <f t="shared" si="340"/>
        <v>Senior</v>
      </c>
      <c r="E3615">
        <v>1</v>
      </c>
      <c r="F3615" t="str">
        <f>HLOOKUP(E3615, LookUP_Table!$A$6:$D$7, 2, FALSE)</f>
        <v>Primary</v>
      </c>
      <c r="G3615" t="str">
        <f>IFERROR(VLOOKUP(E3615, LookUP_Table!$A$1:$B$4, 2, FALSE), "")</f>
        <v>Primary</v>
      </c>
      <c r="H3615">
        <v>1</v>
      </c>
      <c r="I3615">
        <v>20</v>
      </c>
      <c r="J3615" t="str">
        <f t="shared" si="336"/>
        <v>Smoker</v>
      </c>
      <c r="K3615">
        <v>0</v>
      </c>
      <c r="L3615">
        <v>0</v>
      </c>
      <c r="M3615">
        <v>0</v>
      </c>
      <c r="N3615">
        <v>0</v>
      </c>
      <c r="O3615">
        <v>195</v>
      </c>
      <c r="P3615" t="str">
        <f t="shared" si="337"/>
        <v>Normal</v>
      </c>
      <c r="Q3615">
        <v>107.5</v>
      </c>
      <c r="R3615">
        <v>72</v>
      </c>
      <c r="S3615">
        <v>26.53</v>
      </c>
      <c r="T3615" t="str">
        <f t="shared" si="338"/>
        <v>Overweight</v>
      </c>
      <c r="U3615">
        <v>70</v>
      </c>
      <c r="V3615">
        <v>80</v>
      </c>
      <c r="W3615" t="str">
        <f t="shared" si="341"/>
        <v>Normal</v>
      </c>
      <c r="X3615">
        <v>0</v>
      </c>
    </row>
    <row r="3616" spans="1:24" ht="14.5" thickBot="1" x14ac:dyDescent="0.35">
      <c r="A3616">
        <v>1</v>
      </c>
      <c r="B3616" t="str">
        <f t="shared" si="339"/>
        <v>Male</v>
      </c>
      <c r="C3616" s="8">
        <v>60</v>
      </c>
      <c r="D3616" t="str">
        <f t="shared" si="340"/>
        <v>Senior</v>
      </c>
      <c r="E3616">
        <v>4</v>
      </c>
      <c r="F3616" t="str">
        <f>HLOOKUP(E3616, LookUP_Table!$A$6:$D$7, 2, FALSE)</f>
        <v>Post Graduate</v>
      </c>
      <c r="G3616" t="str">
        <f>IFERROR(VLOOKUP(E3616, LookUP_Table!$A$1:$B$4, 2, FALSE), "")</f>
        <v>Post Graduate</v>
      </c>
      <c r="H3616">
        <v>1</v>
      </c>
      <c r="I3616">
        <v>12</v>
      </c>
      <c r="J3616" t="str">
        <f t="shared" si="336"/>
        <v>Smoker</v>
      </c>
      <c r="K3616">
        <v>0</v>
      </c>
      <c r="L3616">
        <v>0</v>
      </c>
      <c r="M3616">
        <v>0</v>
      </c>
      <c r="N3616">
        <v>0</v>
      </c>
      <c r="O3616">
        <v>233</v>
      </c>
      <c r="P3616" t="str">
        <f t="shared" si="337"/>
        <v>Normal</v>
      </c>
      <c r="Q3616">
        <v>135</v>
      </c>
      <c r="R3616">
        <v>75</v>
      </c>
      <c r="S3616">
        <v>22.17</v>
      </c>
      <c r="T3616" t="str">
        <f t="shared" si="338"/>
        <v>Normal</v>
      </c>
      <c r="U3616">
        <v>75</v>
      </c>
      <c r="V3616">
        <v>60</v>
      </c>
      <c r="W3616" t="str">
        <f t="shared" si="341"/>
        <v>Normal</v>
      </c>
      <c r="X3616">
        <v>1</v>
      </c>
    </row>
    <row r="3617" spans="1:24" ht="14.5" thickBot="1" x14ac:dyDescent="0.35">
      <c r="A3617">
        <v>0</v>
      </c>
      <c r="B3617" t="str">
        <f t="shared" si="339"/>
        <v>Female</v>
      </c>
      <c r="C3617" s="8">
        <v>60</v>
      </c>
      <c r="D3617" t="str">
        <f t="shared" si="340"/>
        <v>Senior</v>
      </c>
      <c r="E3617">
        <v>1</v>
      </c>
      <c r="F3617" t="str">
        <f>HLOOKUP(E3617, LookUP_Table!$A$6:$D$7, 2, FALSE)</f>
        <v>Primary</v>
      </c>
      <c r="G3617" t="str">
        <f>IFERROR(VLOOKUP(E3617, LookUP_Table!$A$1:$B$4, 2, FALSE), "")</f>
        <v>Primary</v>
      </c>
      <c r="H3617">
        <v>0</v>
      </c>
      <c r="I3617">
        <v>0</v>
      </c>
      <c r="J3617" t="str">
        <f t="shared" si="336"/>
        <v>Non-Smoker</v>
      </c>
      <c r="K3617">
        <v>0</v>
      </c>
      <c r="L3617">
        <v>0</v>
      </c>
      <c r="M3617">
        <v>1</v>
      </c>
      <c r="N3617">
        <v>0</v>
      </c>
      <c r="O3617">
        <v>212</v>
      </c>
      <c r="P3617" t="str">
        <f t="shared" si="337"/>
        <v>Normal</v>
      </c>
      <c r="Q3617">
        <v>146</v>
      </c>
      <c r="R3617">
        <v>80</v>
      </c>
      <c r="S3617">
        <v>28.53</v>
      </c>
      <c r="T3617" t="str">
        <f t="shared" si="338"/>
        <v>Overweight</v>
      </c>
      <c r="U3617">
        <v>95</v>
      </c>
      <c r="V3617">
        <v>72</v>
      </c>
      <c r="W3617" t="str">
        <f t="shared" si="341"/>
        <v>Normal</v>
      </c>
      <c r="X3617">
        <v>1</v>
      </c>
    </row>
    <row r="3618" spans="1:24" ht="14.5" thickBot="1" x14ac:dyDescent="0.35">
      <c r="A3618">
        <v>1</v>
      </c>
      <c r="B3618" t="str">
        <f t="shared" si="339"/>
        <v>Male</v>
      </c>
      <c r="C3618" s="8">
        <v>60</v>
      </c>
      <c r="D3618" t="str">
        <f t="shared" si="340"/>
        <v>Senior</v>
      </c>
      <c r="E3618">
        <v>1</v>
      </c>
      <c r="F3618" t="str">
        <f>HLOOKUP(E3618, LookUP_Table!$A$6:$D$7, 2, FALSE)</f>
        <v>Primary</v>
      </c>
      <c r="G3618" t="str">
        <f>IFERROR(VLOOKUP(E3618, LookUP_Table!$A$1:$B$4, 2, FALSE), "")</f>
        <v>Primary</v>
      </c>
      <c r="H3618">
        <v>0</v>
      </c>
      <c r="I3618">
        <v>0</v>
      </c>
      <c r="J3618" t="str">
        <f t="shared" si="336"/>
        <v>Non-Smoker</v>
      </c>
      <c r="K3618">
        <v>0</v>
      </c>
      <c r="L3618">
        <v>0</v>
      </c>
      <c r="M3618">
        <v>0</v>
      </c>
      <c r="N3618">
        <v>0</v>
      </c>
      <c r="O3618">
        <v>264</v>
      </c>
      <c r="P3618" t="str">
        <f t="shared" si="337"/>
        <v>High</v>
      </c>
      <c r="Q3618">
        <v>137</v>
      </c>
      <c r="R3618">
        <v>80</v>
      </c>
      <c r="S3618">
        <v>29.99</v>
      </c>
      <c r="T3618" t="str">
        <f t="shared" si="338"/>
        <v>Overweight</v>
      </c>
      <c r="U3618">
        <v>65</v>
      </c>
      <c r="V3618">
        <v>58</v>
      </c>
      <c r="W3618" t="str">
        <f t="shared" si="341"/>
        <v>Normal</v>
      </c>
      <c r="X3618">
        <v>0</v>
      </c>
    </row>
    <row r="3619" spans="1:24" ht="14.5" thickBot="1" x14ac:dyDescent="0.35">
      <c r="A3619">
        <v>1</v>
      </c>
      <c r="B3619" t="str">
        <f t="shared" si="339"/>
        <v>Male</v>
      </c>
      <c r="C3619" s="8">
        <v>60</v>
      </c>
      <c r="D3619" t="str">
        <f t="shared" si="340"/>
        <v>Senior</v>
      </c>
      <c r="E3619">
        <v>1</v>
      </c>
      <c r="F3619" t="str">
        <f>HLOOKUP(E3619, LookUP_Table!$A$6:$D$7, 2, FALSE)</f>
        <v>Primary</v>
      </c>
      <c r="G3619" t="str">
        <f>IFERROR(VLOOKUP(E3619, LookUP_Table!$A$1:$B$4, 2, FALSE), "")</f>
        <v>Primary</v>
      </c>
      <c r="H3619">
        <v>1</v>
      </c>
      <c r="I3619">
        <v>20</v>
      </c>
      <c r="J3619" t="str">
        <f t="shared" si="336"/>
        <v>Smoker</v>
      </c>
      <c r="K3619">
        <v>0</v>
      </c>
      <c r="L3619">
        <v>0</v>
      </c>
      <c r="M3619">
        <v>0</v>
      </c>
      <c r="N3619">
        <v>0</v>
      </c>
      <c r="O3619">
        <v>212</v>
      </c>
      <c r="P3619" t="str">
        <f t="shared" si="337"/>
        <v>Normal</v>
      </c>
      <c r="Q3619">
        <v>138.5</v>
      </c>
      <c r="R3619">
        <v>87.5</v>
      </c>
      <c r="S3619">
        <v>19.54</v>
      </c>
      <c r="T3619" t="str">
        <f t="shared" si="338"/>
        <v>Normal</v>
      </c>
      <c r="U3619">
        <v>64</v>
      </c>
      <c r="V3619">
        <v>73</v>
      </c>
      <c r="W3619" t="str">
        <f t="shared" si="341"/>
        <v>Normal</v>
      </c>
      <c r="X3619">
        <v>1</v>
      </c>
    </row>
    <row r="3620" spans="1:24" ht="14.5" thickBot="1" x14ac:dyDescent="0.35">
      <c r="A3620">
        <v>0</v>
      </c>
      <c r="B3620" t="str">
        <f t="shared" si="339"/>
        <v>Female</v>
      </c>
      <c r="C3620" s="8">
        <v>60</v>
      </c>
      <c r="D3620" t="str">
        <f t="shared" si="340"/>
        <v>Senior</v>
      </c>
      <c r="E3620">
        <v>1</v>
      </c>
      <c r="F3620" t="str">
        <f>HLOOKUP(E3620, LookUP_Table!$A$6:$D$7, 2, FALSE)</f>
        <v>Primary</v>
      </c>
      <c r="G3620" t="str">
        <f>IFERROR(VLOOKUP(E3620, LookUP_Table!$A$1:$B$4, 2, FALSE), "")</f>
        <v>Primary</v>
      </c>
      <c r="H3620">
        <v>0</v>
      </c>
      <c r="I3620">
        <v>0</v>
      </c>
      <c r="J3620" t="str">
        <f t="shared" si="336"/>
        <v>Non-Smoker</v>
      </c>
      <c r="K3620">
        <v>0</v>
      </c>
      <c r="L3620">
        <v>0</v>
      </c>
      <c r="M3620">
        <v>1</v>
      </c>
      <c r="N3620">
        <v>0</v>
      </c>
      <c r="O3620">
        <v>295</v>
      </c>
      <c r="P3620" t="str">
        <f t="shared" si="337"/>
        <v>High</v>
      </c>
      <c r="Q3620">
        <v>162</v>
      </c>
      <c r="R3620">
        <v>85</v>
      </c>
      <c r="S3620">
        <v>32.76</v>
      </c>
      <c r="T3620" t="str">
        <f t="shared" si="338"/>
        <v>Obese</v>
      </c>
      <c r="U3620">
        <v>75</v>
      </c>
      <c r="V3620">
        <v>71</v>
      </c>
      <c r="W3620" t="str">
        <f t="shared" si="341"/>
        <v>Normal</v>
      </c>
      <c r="X3620">
        <v>0</v>
      </c>
    </row>
    <row r="3621" spans="1:24" ht="14.5" thickBot="1" x14ac:dyDescent="0.35">
      <c r="A3621">
        <v>1</v>
      </c>
      <c r="B3621" t="str">
        <f t="shared" si="339"/>
        <v>Male</v>
      </c>
      <c r="C3621" s="8">
        <v>60</v>
      </c>
      <c r="D3621" t="str">
        <f t="shared" si="340"/>
        <v>Senior</v>
      </c>
      <c r="E3621">
        <v>1</v>
      </c>
      <c r="F3621" t="str">
        <f>HLOOKUP(E3621, LookUP_Table!$A$6:$D$7, 2, FALSE)</f>
        <v>Primary</v>
      </c>
      <c r="G3621" t="str">
        <f>IFERROR(VLOOKUP(E3621, LookUP_Table!$A$1:$B$4, 2, FALSE), "")</f>
        <v>Primary</v>
      </c>
      <c r="H3621">
        <v>0</v>
      </c>
      <c r="I3621">
        <v>0</v>
      </c>
      <c r="J3621" t="str">
        <f t="shared" si="336"/>
        <v>Non-Smoker</v>
      </c>
      <c r="K3621">
        <v>0</v>
      </c>
      <c r="L3621">
        <v>0</v>
      </c>
      <c r="M3621">
        <v>1</v>
      </c>
      <c r="N3621">
        <v>0</v>
      </c>
      <c r="O3621">
        <v>270</v>
      </c>
      <c r="P3621" t="str">
        <f t="shared" si="337"/>
        <v>High</v>
      </c>
      <c r="Q3621">
        <v>145</v>
      </c>
      <c r="R3621">
        <v>81</v>
      </c>
      <c r="S3621">
        <v>29.37</v>
      </c>
      <c r="T3621" t="str">
        <f t="shared" si="338"/>
        <v>Overweight</v>
      </c>
      <c r="U3621">
        <v>75</v>
      </c>
      <c r="V3621">
        <v>73</v>
      </c>
      <c r="W3621" t="str">
        <f t="shared" si="341"/>
        <v>Normal</v>
      </c>
      <c r="X3621">
        <v>0</v>
      </c>
    </row>
    <row r="3622" spans="1:24" ht="14.5" thickBot="1" x14ac:dyDescent="0.35">
      <c r="A3622">
        <v>1</v>
      </c>
      <c r="B3622" t="str">
        <f t="shared" si="339"/>
        <v>Male</v>
      </c>
      <c r="C3622" s="8">
        <v>60</v>
      </c>
      <c r="D3622" t="str">
        <f t="shared" si="340"/>
        <v>Senior</v>
      </c>
      <c r="E3622">
        <v>4</v>
      </c>
      <c r="F3622" t="str">
        <f>HLOOKUP(E3622, LookUP_Table!$A$6:$D$7, 2, FALSE)</f>
        <v>Post Graduate</v>
      </c>
      <c r="G3622" t="str">
        <f>IFERROR(VLOOKUP(E3622, LookUP_Table!$A$1:$B$4, 2, FALSE), "")</f>
        <v>Post Graduate</v>
      </c>
      <c r="H3622">
        <v>0</v>
      </c>
      <c r="I3622">
        <v>0</v>
      </c>
      <c r="J3622" t="str">
        <f t="shared" si="336"/>
        <v>Non-Smoker</v>
      </c>
      <c r="K3622">
        <v>0</v>
      </c>
      <c r="L3622">
        <v>0</v>
      </c>
      <c r="M3622">
        <v>0</v>
      </c>
      <c r="N3622">
        <v>0</v>
      </c>
      <c r="O3622">
        <v>280</v>
      </c>
      <c r="P3622" t="str">
        <f t="shared" si="337"/>
        <v>High</v>
      </c>
      <c r="Q3622">
        <v>114</v>
      </c>
      <c r="R3622">
        <v>82</v>
      </c>
      <c r="S3622">
        <v>23.96</v>
      </c>
      <c r="T3622" t="str">
        <f t="shared" si="338"/>
        <v>Normal</v>
      </c>
      <c r="U3622">
        <v>70</v>
      </c>
      <c r="V3622">
        <v>84</v>
      </c>
      <c r="W3622" t="str">
        <f t="shared" si="341"/>
        <v>Normal</v>
      </c>
      <c r="X3622">
        <v>1</v>
      </c>
    </row>
    <row r="3623" spans="1:24" ht="14.5" thickBot="1" x14ac:dyDescent="0.35">
      <c r="A3623">
        <v>0</v>
      </c>
      <c r="B3623" t="str">
        <f t="shared" si="339"/>
        <v>Female</v>
      </c>
      <c r="C3623" s="8">
        <v>60</v>
      </c>
      <c r="D3623" t="str">
        <f t="shared" si="340"/>
        <v>Senior</v>
      </c>
      <c r="E3623">
        <v>2</v>
      </c>
      <c r="F3623" t="str">
        <f>HLOOKUP(E3623, LookUP_Table!$A$6:$D$7, 2, FALSE)</f>
        <v>Secondary</v>
      </c>
      <c r="G3623" t="str">
        <f>IFERROR(VLOOKUP(E3623, LookUP_Table!$A$1:$B$4, 2, FALSE), "")</f>
        <v>Secondary</v>
      </c>
      <c r="H3623">
        <v>1</v>
      </c>
      <c r="I3623">
        <v>20</v>
      </c>
      <c r="J3623" t="str">
        <f t="shared" si="336"/>
        <v>Smoker</v>
      </c>
      <c r="K3623">
        <v>0</v>
      </c>
      <c r="L3623">
        <v>0</v>
      </c>
      <c r="M3623">
        <v>0</v>
      </c>
      <c r="N3623">
        <v>0</v>
      </c>
      <c r="O3623">
        <v>282</v>
      </c>
      <c r="P3623" t="str">
        <f t="shared" si="337"/>
        <v>High</v>
      </c>
      <c r="Q3623">
        <v>124</v>
      </c>
      <c r="R3623">
        <v>68</v>
      </c>
      <c r="S3623">
        <v>21.07</v>
      </c>
      <c r="T3623" t="str">
        <f t="shared" si="338"/>
        <v>Normal</v>
      </c>
      <c r="U3623">
        <v>80</v>
      </c>
      <c r="V3623">
        <v>81.96365524402907</v>
      </c>
      <c r="W3623" t="str">
        <f t="shared" si="341"/>
        <v>Normal</v>
      </c>
      <c r="X3623">
        <v>0</v>
      </c>
    </row>
    <row r="3624" spans="1:24" ht="14.5" thickBot="1" x14ac:dyDescent="0.35">
      <c r="A3624">
        <v>1</v>
      </c>
      <c r="B3624" t="str">
        <f t="shared" si="339"/>
        <v>Male</v>
      </c>
      <c r="C3624" s="8">
        <v>60</v>
      </c>
      <c r="D3624" t="str">
        <f t="shared" si="340"/>
        <v>Senior</v>
      </c>
      <c r="E3624">
        <v>2</v>
      </c>
      <c r="F3624" t="str">
        <f>HLOOKUP(E3624, LookUP_Table!$A$6:$D$7, 2, FALSE)</f>
        <v>Secondary</v>
      </c>
      <c r="G3624" t="str">
        <f>IFERROR(VLOOKUP(E3624, LookUP_Table!$A$1:$B$4, 2, FALSE), "")</f>
        <v>Secondary</v>
      </c>
      <c r="H3624">
        <v>1</v>
      </c>
      <c r="I3624">
        <v>19</v>
      </c>
      <c r="J3624" t="str">
        <f t="shared" si="336"/>
        <v>Smoker</v>
      </c>
      <c r="K3624">
        <v>0</v>
      </c>
      <c r="L3624">
        <v>0</v>
      </c>
      <c r="M3624">
        <v>0</v>
      </c>
      <c r="N3624">
        <v>0</v>
      </c>
      <c r="O3624">
        <v>231</v>
      </c>
      <c r="P3624" t="str">
        <f t="shared" si="337"/>
        <v>Normal</v>
      </c>
      <c r="Q3624">
        <v>122</v>
      </c>
      <c r="R3624">
        <v>78</v>
      </c>
      <c r="S3624">
        <v>28.09</v>
      </c>
      <c r="T3624" t="str">
        <f t="shared" si="338"/>
        <v>Overweight</v>
      </c>
      <c r="U3624">
        <v>80</v>
      </c>
      <c r="V3624">
        <v>67</v>
      </c>
      <c r="W3624" t="str">
        <f t="shared" si="341"/>
        <v>Normal</v>
      </c>
      <c r="X3624">
        <v>0</v>
      </c>
    </row>
    <row r="3625" spans="1:24" ht="14.5" thickBot="1" x14ac:dyDescent="0.35">
      <c r="A3625">
        <v>0</v>
      </c>
      <c r="B3625" t="str">
        <f t="shared" si="339"/>
        <v>Female</v>
      </c>
      <c r="C3625" s="8">
        <v>60</v>
      </c>
      <c r="D3625" t="str">
        <f t="shared" si="340"/>
        <v>Senior</v>
      </c>
      <c r="E3625">
        <v>2</v>
      </c>
      <c r="F3625" t="str">
        <f>HLOOKUP(E3625, LookUP_Table!$A$6:$D$7, 2, FALSE)</f>
        <v>Secondary</v>
      </c>
      <c r="G3625" t="str">
        <f>IFERROR(VLOOKUP(E3625, LookUP_Table!$A$1:$B$4, 2, FALSE), "")</f>
        <v>Secondary</v>
      </c>
      <c r="H3625">
        <v>0</v>
      </c>
      <c r="I3625">
        <v>0</v>
      </c>
      <c r="J3625" t="str">
        <f t="shared" si="336"/>
        <v>Non-Smoker</v>
      </c>
      <c r="K3625">
        <v>0</v>
      </c>
      <c r="L3625">
        <v>0</v>
      </c>
      <c r="M3625">
        <v>0</v>
      </c>
      <c r="N3625">
        <v>0</v>
      </c>
      <c r="O3625">
        <v>354</v>
      </c>
      <c r="P3625" t="str">
        <f t="shared" si="337"/>
        <v>High</v>
      </c>
      <c r="Q3625">
        <v>130</v>
      </c>
      <c r="R3625">
        <v>82.5</v>
      </c>
      <c r="S3625">
        <v>26.76</v>
      </c>
      <c r="T3625" t="str">
        <f t="shared" si="338"/>
        <v>Overweight</v>
      </c>
      <c r="U3625">
        <v>65</v>
      </c>
      <c r="V3625">
        <v>79</v>
      </c>
      <c r="W3625" t="str">
        <f t="shared" si="341"/>
        <v>Normal</v>
      </c>
      <c r="X3625">
        <v>0</v>
      </c>
    </row>
    <row r="3626" spans="1:24" ht="14.5" thickBot="1" x14ac:dyDescent="0.35">
      <c r="A3626">
        <v>0</v>
      </c>
      <c r="B3626" t="str">
        <f t="shared" si="339"/>
        <v>Female</v>
      </c>
      <c r="C3626" s="8">
        <v>60</v>
      </c>
      <c r="D3626" t="str">
        <f t="shared" si="340"/>
        <v>Senior</v>
      </c>
      <c r="E3626">
        <v>3</v>
      </c>
      <c r="F3626" t="str">
        <f>HLOOKUP(E3626, LookUP_Table!$A$6:$D$7, 2, FALSE)</f>
        <v>Graduate</v>
      </c>
      <c r="G3626" t="str">
        <f>IFERROR(VLOOKUP(E3626, LookUP_Table!$A$1:$B$4, 2, FALSE), "")</f>
        <v>Graduate</v>
      </c>
      <c r="H3626">
        <v>0</v>
      </c>
      <c r="I3626">
        <v>0</v>
      </c>
      <c r="J3626" t="str">
        <f t="shared" si="336"/>
        <v>Non-Smoker</v>
      </c>
      <c r="K3626">
        <v>0</v>
      </c>
      <c r="L3626">
        <v>0</v>
      </c>
      <c r="M3626">
        <v>1</v>
      </c>
      <c r="N3626">
        <v>0</v>
      </c>
      <c r="O3626">
        <v>232</v>
      </c>
      <c r="P3626" t="str">
        <f t="shared" si="337"/>
        <v>Normal</v>
      </c>
      <c r="Q3626">
        <v>152.5</v>
      </c>
      <c r="R3626">
        <v>85</v>
      </c>
      <c r="S3626">
        <v>23.03</v>
      </c>
      <c r="T3626" t="str">
        <f t="shared" si="338"/>
        <v>Normal</v>
      </c>
      <c r="U3626">
        <v>85</v>
      </c>
      <c r="V3626">
        <v>123</v>
      </c>
      <c r="W3626" t="str">
        <f t="shared" si="341"/>
        <v>Prediabetes</v>
      </c>
      <c r="X3626">
        <v>1</v>
      </c>
    </row>
    <row r="3627" spans="1:24" ht="14.5" thickBot="1" x14ac:dyDescent="0.35">
      <c r="A3627">
        <v>0</v>
      </c>
      <c r="B3627" t="str">
        <f t="shared" si="339"/>
        <v>Female</v>
      </c>
      <c r="C3627" s="8">
        <v>60</v>
      </c>
      <c r="D3627" t="str">
        <f t="shared" si="340"/>
        <v>Senior</v>
      </c>
      <c r="E3627">
        <v>2</v>
      </c>
      <c r="F3627" t="str">
        <f>HLOOKUP(E3627, LookUP_Table!$A$6:$D$7, 2, FALSE)</f>
        <v>Secondary</v>
      </c>
      <c r="G3627" t="str">
        <f>IFERROR(VLOOKUP(E3627, LookUP_Table!$A$1:$B$4, 2, FALSE), "")</f>
        <v>Secondary</v>
      </c>
      <c r="H3627">
        <v>0</v>
      </c>
      <c r="I3627">
        <v>0</v>
      </c>
      <c r="J3627" t="str">
        <f t="shared" si="336"/>
        <v>Non-Smoker</v>
      </c>
      <c r="K3627">
        <v>0</v>
      </c>
      <c r="L3627">
        <v>0</v>
      </c>
      <c r="M3627">
        <v>0</v>
      </c>
      <c r="N3627">
        <v>0</v>
      </c>
      <c r="O3627">
        <v>254</v>
      </c>
      <c r="P3627" t="str">
        <f t="shared" si="337"/>
        <v>High</v>
      </c>
      <c r="Q3627">
        <v>114</v>
      </c>
      <c r="R3627">
        <v>78</v>
      </c>
      <c r="S3627">
        <v>33.880000000000003</v>
      </c>
      <c r="T3627" t="str">
        <f t="shared" si="338"/>
        <v>Obese</v>
      </c>
      <c r="U3627">
        <v>94</v>
      </c>
      <c r="V3627">
        <v>84</v>
      </c>
      <c r="W3627" t="str">
        <f t="shared" si="341"/>
        <v>Normal</v>
      </c>
      <c r="X3627">
        <v>0</v>
      </c>
    </row>
    <row r="3628" spans="1:24" ht="14.5" thickBot="1" x14ac:dyDescent="0.35">
      <c r="A3628">
        <v>0</v>
      </c>
      <c r="B3628" t="str">
        <f t="shared" si="339"/>
        <v>Female</v>
      </c>
      <c r="C3628" s="8">
        <v>60</v>
      </c>
      <c r="D3628" t="str">
        <f t="shared" si="340"/>
        <v>Senior</v>
      </c>
      <c r="E3628">
        <v>1</v>
      </c>
      <c r="F3628" t="str">
        <f>HLOOKUP(E3628, LookUP_Table!$A$6:$D$7, 2, FALSE)</f>
        <v>Primary</v>
      </c>
      <c r="G3628" t="str">
        <f>IFERROR(VLOOKUP(E3628, LookUP_Table!$A$1:$B$4, 2, FALSE), "")</f>
        <v>Primary</v>
      </c>
      <c r="H3628">
        <v>0</v>
      </c>
      <c r="I3628">
        <v>0</v>
      </c>
      <c r="J3628" t="str">
        <f t="shared" si="336"/>
        <v>Non-Smoker</v>
      </c>
      <c r="K3628">
        <v>0</v>
      </c>
      <c r="L3628">
        <v>0</v>
      </c>
      <c r="M3628">
        <v>0</v>
      </c>
      <c r="N3628">
        <v>0</v>
      </c>
      <c r="O3628">
        <v>261</v>
      </c>
      <c r="P3628" t="str">
        <f t="shared" si="337"/>
        <v>High</v>
      </c>
      <c r="Q3628">
        <v>123.5</v>
      </c>
      <c r="R3628">
        <v>79</v>
      </c>
      <c r="S3628">
        <v>29.28</v>
      </c>
      <c r="T3628" t="str">
        <f t="shared" si="338"/>
        <v>Overweight</v>
      </c>
      <c r="U3628">
        <v>70</v>
      </c>
      <c r="V3628">
        <v>103</v>
      </c>
      <c r="W3628" t="str">
        <f t="shared" si="341"/>
        <v>Prediabetes</v>
      </c>
      <c r="X3628">
        <v>0</v>
      </c>
    </row>
    <row r="3629" spans="1:24" ht="14.5" thickBot="1" x14ac:dyDescent="0.35">
      <c r="A3629">
        <v>0</v>
      </c>
      <c r="B3629" t="str">
        <f t="shared" si="339"/>
        <v>Female</v>
      </c>
      <c r="C3629" s="8">
        <v>60</v>
      </c>
      <c r="D3629" t="str">
        <f t="shared" si="340"/>
        <v>Senior</v>
      </c>
      <c r="E3629">
        <v>1</v>
      </c>
      <c r="F3629" t="str">
        <f>HLOOKUP(E3629, LookUP_Table!$A$6:$D$7, 2, FALSE)</f>
        <v>Primary</v>
      </c>
      <c r="G3629" t="str">
        <f>IFERROR(VLOOKUP(E3629, LookUP_Table!$A$1:$B$4, 2, FALSE), "")</f>
        <v>Primary</v>
      </c>
      <c r="H3629">
        <v>0</v>
      </c>
      <c r="I3629">
        <v>0</v>
      </c>
      <c r="J3629" t="str">
        <f t="shared" si="336"/>
        <v>Non-Smoker</v>
      </c>
      <c r="K3629">
        <v>0</v>
      </c>
      <c r="L3629">
        <v>0</v>
      </c>
      <c r="M3629">
        <v>1</v>
      </c>
      <c r="N3629">
        <v>0</v>
      </c>
      <c r="O3629">
        <v>295</v>
      </c>
      <c r="P3629" t="str">
        <f t="shared" si="337"/>
        <v>High</v>
      </c>
      <c r="Q3629">
        <v>149</v>
      </c>
      <c r="R3629">
        <v>103.5</v>
      </c>
      <c r="S3629">
        <v>22.69</v>
      </c>
      <c r="T3629" t="str">
        <f t="shared" si="338"/>
        <v>Normal</v>
      </c>
      <c r="U3629">
        <v>80</v>
      </c>
      <c r="V3629">
        <v>52</v>
      </c>
      <c r="W3629" t="str">
        <f t="shared" si="341"/>
        <v>Normal</v>
      </c>
      <c r="X3629">
        <v>0</v>
      </c>
    </row>
    <row r="3630" spans="1:24" ht="14.5" thickBot="1" x14ac:dyDescent="0.35">
      <c r="A3630">
        <v>1</v>
      </c>
      <c r="B3630" t="str">
        <f t="shared" si="339"/>
        <v>Male</v>
      </c>
      <c r="C3630" s="8">
        <v>60</v>
      </c>
      <c r="D3630" t="str">
        <f t="shared" si="340"/>
        <v>Senior</v>
      </c>
      <c r="E3630">
        <v>1</v>
      </c>
      <c r="F3630" t="str">
        <f>HLOOKUP(E3630, LookUP_Table!$A$6:$D$7, 2, FALSE)</f>
        <v>Primary</v>
      </c>
      <c r="G3630" t="str">
        <f>IFERROR(VLOOKUP(E3630, LookUP_Table!$A$1:$B$4, 2, FALSE), "")</f>
        <v>Primary</v>
      </c>
      <c r="H3630">
        <v>0</v>
      </c>
      <c r="I3630">
        <v>0</v>
      </c>
      <c r="J3630" t="str">
        <f t="shared" si="336"/>
        <v>Non-Smoker</v>
      </c>
      <c r="K3630">
        <v>1</v>
      </c>
      <c r="L3630">
        <v>0</v>
      </c>
      <c r="M3630">
        <v>1</v>
      </c>
      <c r="N3630">
        <v>0</v>
      </c>
      <c r="O3630">
        <v>173</v>
      </c>
      <c r="P3630" t="str">
        <f t="shared" si="337"/>
        <v>Normal</v>
      </c>
      <c r="Q3630">
        <v>135</v>
      </c>
      <c r="R3630">
        <v>97.5</v>
      </c>
      <c r="S3630">
        <v>30.71</v>
      </c>
      <c r="T3630" t="str">
        <f t="shared" si="338"/>
        <v>Obese</v>
      </c>
      <c r="U3630">
        <v>63</v>
      </c>
      <c r="V3630">
        <v>86</v>
      </c>
      <c r="W3630" t="str">
        <f t="shared" si="341"/>
        <v>Normal</v>
      </c>
      <c r="X3630">
        <v>0</v>
      </c>
    </row>
    <row r="3631" spans="1:24" ht="14.5" thickBot="1" x14ac:dyDescent="0.35">
      <c r="A3631">
        <v>0</v>
      </c>
      <c r="B3631" t="str">
        <f t="shared" si="339"/>
        <v>Female</v>
      </c>
      <c r="C3631" s="8">
        <v>60</v>
      </c>
      <c r="D3631" t="str">
        <f t="shared" si="340"/>
        <v>Senior</v>
      </c>
      <c r="E3631">
        <v>3</v>
      </c>
      <c r="F3631" t="str">
        <f>HLOOKUP(E3631, LookUP_Table!$A$6:$D$7, 2, FALSE)</f>
        <v>Graduate</v>
      </c>
      <c r="G3631" t="str">
        <f>IFERROR(VLOOKUP(E3631, LookUP_Table!$A$1:$B$4, 2, FALSE), "")</f>
        <v>Graduate</v>
      </c>
      <c r="H3631">
        <v>1</v>
      </c>
      <c r="I3631">
        <v>3</v>
      </c>
      <c r="J3631" t="str">
        <f t="shared" si="336"/>
        <v>Smoker</v>
      </c>
      <c r="K3631">
        <v>0</v>
      </c>
      <c r="L3631">
        <v>0</v>
      </c>
      <c r="M3631">
        <v>0</v>
      </c>
      <c r="N3631">
        <v>0</v>
      </c>
      <c r="O3631">
        <v>270</v>
      </c>
      <c r="P3631" t="str">
        <f t="shared" si="337"/>
        <v>High</v>
      </c>
      <c r="Q3631">
        <v>130</v>
      </c>
      <c r="R3631">
        <v>72.5</v>
      </c>
      <c r="S3631">
        <v>20.84</v>
      </c>
      <c r="T3631" t="str">
        <f t="shared" si="338"/>
        <v>Normal</v>
      </c>
      <c r="U3631">
        <v>75</v>
      </c>
      <c r="V3631">
        <v>102</v>
      </c>
      <c r="W3631" t="str">
        <f t="shared" si="341"/>
        <v>Prediabetes</v>
      </c>
      <c r="X3631">
        <v>0</v>
      </c>
    </row>
    <row r="3632" spans="1:24" ht="14.5" thickBot="1" x14ac:dyDescent="0.35">
      <c r="A3632">
        <v>1</v>
      </c>
      <c r="B3632" t="str">
        <f t="shared" si="339"/>
        <v>Male</v>
      </c>
      <c r="C3632" s="8">
        <v>60</v>
      </c>
      <c r="D3632" t="str">
        <f t="shared" si="340"/>
        <v>Senior</v>
      </c>
      <c r="E3632">
        <v>1</v>
      </c>
      <c r="F3632" t="str">
        <f>HLOOKUP(E3632, LookUP_Table!$A$6:$D$7, 2, FALSE)</f>
        <v>Primary</v>
      </c>
      <c r="G3632" t="str">
        <f>IFERROR(VLOOKUP(E3632, LookUP_Table!$A$1:$B$4, 2, FALSE), "")</f>
        <v>Primary</v>
      </c>
      <c r="H3632">
        <v>1</v>
      </c>
      <c r="I3632">
        <v>20</v>
      </c>
      <c r="J3632" t="str">
        <f t="shared" si="336"/>
        <v>Smoker</v>
      </c>
      <c r="K3632">
        <v>0</v>
      </c>
      <c r="L3632">
        <v>0</v>
      </c>
      <c r="M3632">
        <v>1</v>
      </c>
      <c r="N3632">
        <v>0</v>
      </c>
      <c r="O3632">
        <v>174</v>
      </c>
      <c r="P3632" t="str">
        <f t="shared" si="337"/>
        <v>Normal</v>
      </c>
      <c r="Q3632">
        <v>164</v>
      </c>
      <c r="R3632">
        <v>113</v>
      </c>
      <c r="S3632">
        <v>18.64</v>
      </c>
      <c r="T3632" t="str">
        <f t="shared" si="338"/>
        <v>Normal</v>
      </c>
      <c r="U3632">
        <v>65</v>
      </c>
      <c r="V3632">
        <v>93</v>
      </c>
      <c r="W3632" t="str">
        <f t="shared" si="341"/>
        <v>Normal</v>
      </c>
      <c r="X3632">
        <v>1</v>
      </c>
    </row>
    <row r="3633" spans="1:24" ht="14.5" thickBot="1" x14ac:dyDescent="0.35">
      <c r="A3633">
        <v>0</v>
      </c>
      <c r="B3633" t="str">
        <f t="shared" si="339"/>
        <v>Female</v>
      </c>
      <c r="C3633" s="8">
        <v>60</v>
      </c>
      <c r="D3633" t="str">
        <f t="shared" si="340"/>
        <v>Senior</v>
      </c>
      <c r="E3633">
        <v>2</v>
      </c>
      <c r="F3633" t="str">
        <f>HLOOKUP(E3633, LookUP_Table!$A$6:$D$7, 2, FALSE)</f>
        <v>Secondary</v>
      </c>
      <c r="G3633" t="str">
        <f>IFERROR(VLOOKUP(E3633, LookUP_Table!$A$1:$B$4, 2, FALSE), "")</f>
        <v>Secondary</v>
      </c>
      <c r="H3633">
        <v>0</v>
      </c>
      <c r="I3633">
        <v>0</v>
      </c>
      <c r="J3633" t="str">
        <f t="shared" si="336"/>
        <v>Non-Smoker</v>
      </c>
      <c r="K3633">
        <v>0</v>
      </c>
      <c r="L3633">
        <v>0</v>
      </c>
      <c r="M3633">
        <v>1</v>
      </c>
      <c r="N3633">
        <v>0</v>
      </c>
      <c r="O3633">
        <v>298</v>
      </c>
      <c r="P3633" t="str">
        <f t="shared" si="337"/>
        <v>High</v>
      </c>
      <c r="Q3633">
        <v>133</v>
      </c>
      <c r="R3633">
        <v>89</v>
      </c>
      <c r="S3633">
        <v>25.09</v>
      </c>
      <c r="T3633" t="str">
        <f t="shared" si="338"/>
        <v>Overweight</v>
      </c>
      <c r="U3633">
        <v>83</v>
      </c>
      <c r="V3633">
        <v>81</v>
      </c>
      <c r="W3633" t="str">
        <f t="shared" si="341"/>
        <v>Normal</v>
      </c>
      <c r="X3633">
        <v>0</v>
      </c>
    </row>
    <row r="3634" spans="1:24" ht="14.5" thickBot="1" x14ac:dyDescent="0.35">
      <c r="A3634">
        <v>0</v>
      </c>
      <c r="B3634" t="str">
        <f t="shared" si="339"/>
        <v>Female</v>
      </c>
      <c r="C3634" s="8">
        <v>60</v>
      </c>
      <c r="D3634" t="str">
        <f t="shared" si="340"/>
        <v>Senior</v>
      </c>
      <c r="E3634">
        <v>1</v>
      </c>
      <c r="F3634" t="str">
        <f>HLOOKUP(E3634, LookUP_Table!$A$6:$D$7, 2, FALSE)</f>
        <v>Primary</v>
      </c>
      <c r="G3634" t="str">
        <f>IFERROR(VLOOKUP(E3634, LookUP_Table!$A$1:$B$4, 2, FALSE), "")</f>
        <v>Primary</v>
      </c>
      <c r="H3634">
        <v>1</v>
      </c>
      <c r="I3634">
        <v>15</v>
      </c>
      <c r="J3634" t="str">
        <f t="shared" si="336"/>
        <v>Smoker</v>
      </c>
      <c r="K3634">
        <v>0</v>
      </c>
      <c r="L3634">
        <v>1</v>
      </c>
      <c r="M3634">
        <v>1</v>
      </c>
      <c r="N3634">
        <v>0</v>
      </c>
      <c r="O3634">
        <v>254</v>
      </c>
      <c r="P3634" t="str">
        <f t="shared" si="337"/>
        <v>High</v>
      </c>
      <c r="Q3634">
        <v>177</v>
      </c>
      <c r="R3634">
        <v>101</v>
      </c>
      <c r="S3634">
        <v>23.27</v>
      </c>
      <c r="T3634" t="str">
        <f t="shared" si="338"/>
        <v>Normal</v>
      </c>
      <c r="U3634">
        <v>92</v>
      </c>
      <c r="V3634">
        <v>79</v>
      </c>
      <c r="W3634" t="str">
        <f t="shared" si="341"/>
        <v>Normal</v>
      </c>
      <c r="X3634">
        <v>1</v>
      </c>
    </row>
    <row r="3635" spans="1:24" ht="14.5" thickBot="1" x14ac:dyDescent="0.35">
      <c r="A3635">
        <v>0</v>
      </c>
      <c r="B3635" t="str">
        <f t="shared" si="339"/>
        <v>Female</v>
      </c>
      <c r="C3635" s="8">
        <v>60</v>
      </c>
      <c r="D3635" t="str">
        <f t="shared" si="340"/>
        <v>Senior</v>
      </c>
      <c r="E3635">
        <v>2</v>
      </c>
      <c r="F3635" t="str">
        <f>HLOOKUP(E3635, LookUP_Table!$A$6:$D$7, 2, FALSE)</f>
        <v>Secondary</v>
      </c>
      <c r="G3635" t="str">
        <f>IFERROR(VLOOKUP(E3635, LookUP_Table!$A$1:$B$4, 2, FALSE), "")</f>
        <v>Secondary</v>
      </c>
      <c r="H3635">
        <v>1</v>
      </c>
      <c r="I3635">
        <v>9</v>
      </c>
      <c r="J3635" t="str">
        <f t="shared" si="336"/>
        <v>Smoker</v>
      </c>
      <c r="K3635">
        <v>0</v>
      </c>
      <c r="L3635">
        <v>0</v>
      </c>
      <c r="M3635">
        <v>1</v>
      </c>
      <c r="N3635">
        <v>0</v>
      </c>
      <c r="O3635">
        <v>280</v>
      </c>
      <c r="P3635" t="str">
        <f t="shared" si="337"/>
        <v>High</v>
      </c>
      <c r="Q3635">
        <v>150.5</v>
      </c>
      <c r="R3635">
        <v>90</v>
      </c>
      <c r="S3635">
        <v>33.450000000000003</v>
      </c>
      <c r="T3635" t="str">
        <f t="shared" si="338"/>
        <v>Obese</v>
      </c>
      <c r="U3635">
        <v>90</v>
      </c>
      <c r="V3635">
        <v>81.96365524402907</v>
      </c>
      <c r="W3635" t="str">
        <f t="shared" si="341"/>
        <v>Normal</v>
      </c>
      <c r="X3635">
        <v>0</v>
      </c>
    </row>
    <row r="3636" spans="1:24" ht="14.5" thickBot="1" x14ac:dyDescent="0.35">
      <c r="A3636">
        <v>1</v>
      </c>
      <c r="B3636" t="str">
        <f t="shared" si="339"/>
        <v>Male</v>
      </c>
      <c r="C3636" s="8">
        <v>60</v>
      </c>
      <c r="D3636" t="str">
        <f t="shared" si="340"/>
        <v>Senior</v>
      </c>
      <c r="E3636">
        <v>1</v>
      </c>
      <c r="F3636" t="str">
        <f>HLOOKUP(E3636, LookUP_Table!$A$6:$D$7, 2, FALSE)</f>
        <v>Primary</v>
      </c>
      <c r="G3636" t="str">
        <f>IFERROR(VLOOKUP(E3636, LookUP_Table!$A$1:$B$4, 2, FALSE), "")</f>
        <v>Primary</v>
      </c>
      <c r="H3636">
        <v>1</v>
      </c>
      <c r="I3636">
        <v>10</v>
      </c>
      <c r="J3636" t="str">
        <f t="shared" si="336"/>
        <v>Smoker</v>
      </c>
      <c r="K3636">
        <v>0</v>
      </c>
      <c r="L3636">
        <v>0</v>
      </c>
      <c r="M3636">
        <v>1</v>
      </c>
      <c r="N3636">
        <v>0</v>
      </c>
      <c r="O3636">
        <v>217</v>
      </c>
      <c r="P3636" t="str">
        <f t="shared" si="337"/>
        <v>Normal</v>
      </c>
      <c r="Q3636">
        <v>167</v>
      </c>
      <c r="R3636">
        <v>109</v>
      </c>
      <c r="S3636">
        <v>24.86</v>
      </c>
      <c r="T3636" t="str">
        <f t="shared" si="338"/>
        <v>Normal</v>
      </c>
      <c r="U3636">
        <v>95</v>
      </c>
      <c r="V3636">
        <v>72</v>
      </c>
      <c r="W3636" t="str">
        <f t="shared" si="341"/>
        <v>Normal</v>
      </c>
      <c r="X3636">
        <v>1</v>
      </c>
    </row>
    <row r="3637" spans="1:24" ht="14.5" thickBot="1" x14ac:dyDescent="0.35">
      <c r="A3637">
        <v>0</v>
      </c>
      <c r="B3637" t="str">
        <f t="shared" si="339"/>
        <v>Female</v>
      </c>
      <c r="C3637" s="8">
        <v>60</v>
      </c>
      <c r="D3637" t="str">
        <f t="shared" si="340"/>
        <v>Senior</v>
      </c>
      <c r="E3637">
        <v>1</v>
      </c>
      <c r="F3637" t="str">
        <f>HLOOKUP(E3637, LookUP_Table!$A$6:$D$7, 2, FALSE)</f>
        <v>Primary</v>
      </c>
      <c r="G3637" t="str">
        <f>IFERROR(VLOOKUP(E3637, LookUP_Table!$A$1:$B$4, 2, FALSE), "")</f>
        <v>Primary</v>
      </c>
      <c r="H3637">
        <v>0</v>
      </c>
      <c r="I3637">
        <v>0</v>
      </c>
      <c r="J3637" t="str">
        <f t="shared" si="336"/>
        <v>Non-Smoker</v>
      </c>
      <c r="K3637">
        <v>0</v>
      </c>
      <c r="L3637">
        <v>0</v>
      </c>
      <c r="M3637">
        <v>1</v>
      </c>
      <c r="N3637">
        <v>0</v>
      </c>
      <c r="O3637">
        <v>279</v>
      </c>
      <c r="P3637" t="str">
        <f t="shared" si="337"/>
        <v>High</v>
      </c>
      <c r="Q3637">
        <v>140.5</v>
      </c>
      <c r="R3637">
        <v>89</v>
      </c>
      <c r="S3637">
        <v>22.43</v>
      </c>
      <c r="T3637" t="str">
        <f t="shared" si="338"/>
        <v>Normal</v>
      </c>
      <c r="U3637">
        <v>80</v>
      </c>
      <c r="V3637">
        <v>69</v>
      </c>
      <c r="W3637" t="str">
        <f t="shared" si="341"/>
        <v>Normal</v>
      </c>
      <c r="X3637">
        <v>0</v>
      </c>
    </row>
    <row r="3638" spans="1:24" ht="14.5" thickBot="1" x14ac:dyDescent="0.35">
      <c r="A3638">
        <v>1</v>
      </c>
      <c r="B3638" t="str">
        <f t="shared" si="339"/>
        <v>Male</v>
      </c>
      <c r="C3638" s="8">
        <v>60</v>
      </c>
      <c r="D3638" t="str">
        <f t="shared" si="340"/>
        <v>Senior</v>
      </c>
      <c r="E3638">
        <v>1</v>
      </c>
      <c r="F3638" t="str">
        <f>HLOOKUP(E3638, LookUP_Table!$A$6:$D$7, 2, FALSE)</f>
        <v>Primary</v>
      </c>
      <c r="G3638" t="str">
        <f>IFERROR(VLOOKUP(E3638, LookUP_Table!$A$1:$B$4, 2, FALSE), "")</f>
        <v>Primary</v>
      </c>
      <c r="H3638">
        <v>0</v>
      </c>
      <c r="I3638">
        <v>0</v>
      </c>
      <c r="J3638" t="str">
        <f t="shared" si="336"/>
        <v>Non-Smoker</v>
      </c>
      <c r="K3638">
        <v>0</v>
      </c>
      <c r="L3638">
        <v>0</v>
      </c>
      <c r="M3638">
        <v>0</v>
      </c>
      <c r="N3638">
        <v>0</v>
      </c>
      <c r="O3638">
        <v>235</v>
      </c>
      <c r="P3638" t="str">
        <f t="shared" si="337"/>
        <v>Normal</v>
      </c>
      <c r="Q3638">
        <v>146</v>
      </c>
      <c r="R3638">
        <v>92</v>
      </c>
      <c r="S3638">
        <v>26.85</v>
      </c>
      <c r="T3638" t="str">
        <f t="shared" si="338"/>
        <v>Overweight</v>
      </c>
      <c r="U3638">
        <v>80</v>
      </c>
      <c r="V3638">
        <v>108</v>
      </c>
      <c r="W3638" t="str">
        <f t="shared" si="341"/>
        <v>Prediabetes</v>
      </c>
      <c r="X3638">
        <v>0</v>
      </c>
    </row>
    <row r="3639" spans="1:24" ht="14.5" thickBot="1" x14ac:dyDescent="0.35">
      <c r="A3639">
        <v>1</v>
      </c>
      <c r="B3639" t="str">
        <f t="shared" si="339"/>
        <v>Male</v>
      </c>
      <c r="C3639" s="8">
        <v>60</v>
      </c>
      <c r="D3639" t="str">
        <f t="shared" si="340"/>
        <v>Senior</v>
      </c>
      <c r="E3639">
        <v>3</v>
      </c>
      <c r="F3639" t="str">
        <f>HLOOKUP(E3639, LookUP_Table!$A$6:$D$7, 2, FALSE)</f>
        <v>Graduate</v>
      </c>
      <c r="G3639" t="str">
        <f>IFERROR(VLOOKUP(E3639, LookUP_Table!$A$1:$B$4, 2, FALSE), "")</f>
        <v>Graduate</v>
      </c>
      <c r="H3639">
        <v>1</v>
      </c>
      <c r="I3639">
        <v>10</v>
      </c>
      <c r="J3639" t="str">
        <f t="shared" si="336"/>
        <v>Smoker</v>
      </c>
      <c r="K3639">
        <v>0</v>
      </c>
      <c r="L3639">
        <v>0</v>
      </c>
      <c r="M3639">
        <v>0</v>
      </c>
      <c r="N3639">
        <v>0</v>
      </c>
      <c r="O3639">
        <v>227</v>
      </c>
      <c r="P3639" t="str">
        <f t="shared" si="337"/>
        <v>Normal</v>
      </c>
      <c r="Q3639">
        <v>122</v>
      </c>
      <c r="R3639">
        <v>80</v>
      </c>
      <c r="S3639">
        <v>25.64</v>
      </c>
      <c r="T3639" t="str">
        <f t="shared" si="338"/>
        <v>Overweight</v>
      </c>
      <c r="U3639">
        <v>58</v>
      </c>
      <c r="V3639">
        <v>80</v>
      </c>
      <c r="W3639" t="str">
        <f t="shared" si="341"/>
        <v>Normal</v>
      </c>
      <c r="X3639">
        <v>0</v>
      </c>
    </row>
    <row r="3640" spans="1:24" ht="14.5" thickBot="1" x14ac:dyDescent="0.35">
      <c r="A3640">
        <v>1</v>
      </c>
      <c r="B3640" t="str">
        <f t="shared" si="339"/>
        <v>Male</v>
      </c>
      <c r="C3640" s="8">
        <v>60</v>
      </c>
      <c r="D3640" t="str">
        <f t="shared" si="340"/>
        <v>Senior</v>
      </c>
      <c r="E3640">
        <v>1</v>
      </c>
      <c r="F3640" t="str">
        <f>HLOOKUP(E3640, LookUP_Table!$A$6:$D$7, 2, FALSE)</f>
        <v>Primary</v>
      </c>
      <c r="G3640" t="str">
        <f>IFERROR(VLOOKUP(E3640, LookUP_Table!$A$1:$B$4, 2, FALSE), "")</f>
        <v>Primary</v>
      </c>
      <c r="H3640">
        <v>1</v>
      </c>
      <c r="I3640">
        <v>9</v>
      </c>
      <c r="J3640" t="str">
        <f t="shared" si="336"/>
        <v>Smoker</v>
      </c>
      <c r="K3640">
        <v>0</v>
      </c>
      <c r="L3640">
        <v>0</v>
      </c>
      <c r="M3640">
        <v>0</v>
      </c>
      <c r="N3640">
        <v>0</v>
      </c>
      <c r="O3640">
        <v>235</v>
      </c>
      <c r="P3640" t="str">
        <f t="shared" si="337"/>
        <v>Normal</v>
      </c>
      <c r="Q3640">
        <v>108.5</v>
      </c>
      <c r="R3640">
        <v>73.5</v>
      </c>
      <c r="S3640">
        <v>21.76</v>
      </c>
      <c r="T3640" t="str">
        <f t="shared" si="338"/>
        <v>Normal</v>
      </c>
      <c r="U3640">
        <v>65</v>
      </c>
      <c r="V3640">
        <v>102</v>
      </c>
      <c r="W3640" t="str">
        <f t="shared" si="341"/>
        <v>Prediabetes</v>
      </c>
      <c r="X3640">
        <v>0</v>
      </c>
    </row>
    <row r="3641" spans="1:24" ht="14.5" thickBot="1" x14ac:dyDescent="0.35">
      <c r="A3641">
        <v>1</v>
      </c>
      <c r="B3641" t="str">
        <f t="shared" si="339"/>
        <v>Male</v>
      </c>
      <c r="C3641" s="8">
        <v>60</v>
      </c>
      <c r="D3641" t="str">
        <f t="shared" si="340"/>
        <v>Senior</v>
      </c>
      <c r="E3641">
        <v>1</v>
      </c>
      <c r="F3641" t="str">
        <f>HLOOKUP(E3641, LookUP_Table!$A$6:$D$7, 2, FALSE)</f>
        <v>Primary</v>
      </c>
      <c r="G3641" t="str">
        <f>IFERROR(VLOOKUP(E3641, LookUP_Table!$A$1:$B$4, 2, FALSE), "")</f>
        <v>Primary</v>
      </c>
      <c r="H3641">
        <v>1</v>
      </c>
      <c r="I3641">
        <v>20</v>
      </c>
      <c r="J3641" t="str">
        <f t="shared" si="336"/>
        <v>Smoker</v>
      </c>
      <c r="K3641">
        <v>0</v>
      </c>
      <c r="L3641">
        <v>0</v>
      </c>
      <c r="M3641">
        <v>1</v>
      </c>
      <c r="N3641">
        <v>0</v>
      </c>
      <c r="O3641">
        <v>253</v>
      </c>
      <c r="P3641" t="str">
        <f t="shared" si="337"/>
        <v>High</v>
      </c>
      <c r="Q3641">
        <v>141</v>
      </c>
      <c r="R3641">
        <v>92</v>
      </c>
      <c r="S3641">
        <v>24.1</v>
      </c>
      <c r="T3641" t="str">
        <f t="shared" si="338"/>
        <v>Normal</v>
      </c>
      <c r="U3641">
        <v>75</v>
      </c>
      <c r="V3641">
        <v>76</v>
      </c>
      <c r="W3641" t="str">
        <f t="shared" si="341"/>
        <v>Normal</v>
      </c>
      <c r="X3641">
        <v>0</v>
      </c>
    </row>
    <row r="3642" spans="1:24" ht="14.5" thickBot="1" x14ac:dyDescent="0.35">
      <c r="A3642">
        <v>1</v>
      </c>
      <c r="B3642" t="str">
        <f t="shared" si="339"/>
        <v>Male</v>
      </c>
      <c r="C3642" s="8">
        <v>60</v>
      </c>
      <c r="D3642" t="str">
        <f t="shared" si="340"/>
        <v>Senior</v>
      </c>
      <c r="E3642">
        <v>1</v>
      </c>
      <c r="F3642" t="str">
        <f>HLOOKUP(E3642, LookUP_Table!$A$6:$D$7, 2, FALSE)</f>
        <v>Primary</v>
      </c>
      <c r="G3642" t="str">
        <f>IFERROR(VLOOKUP(E3642, LookUP_Table!$A$1:$B$4, 2, FALSE), "")</f>
        <v>Primary</v>
      </c>
      <c r="H3642">
        <v>1</v>
      </c>
      <c r="I3642">
        <v>30</v>
      </c>
      <c r="J3642" t="str">
        <f t="shared" si="336"/>
        <v>Smoker</v>
      </c>
      <c r="K3642">
        <v>0</v>
      </c>
      <c r="L3642">
        <v>0</v>
      </c>
      <c r="M3642">
        <v>0</v>
      </c>
      <c r="N3642">
        <v>0</v>
      </c>
      <c r="O3642">
        <v>248</v>
      </c>
      <c r="P3642" t="str">
        <f t="shared" si="337"/>
        <v>High</v>
      </c>
      <c r="Q3642">
        <v>135</v>
      </c>
      <c r="R3642">
        <v>85</v>
      </c>
      <c r="S3642">
        <v>23.06</v>
      </c>
      <c r="T3642" t="str">
        <f t="shared" si="338"/>
        <v>Normal</v>
      </c>
      <c r="U3642">
        <v>80</v>
      </c>
      <c r="V3642">
        <v>61</v>
      </c>
      <c r="W3642" t="str">
        <f t="shared" si="341"/>
        <v>Normal</v>
      </c>
      <c r="X3642">
        <v>0</v>
      </c>
    </row>
    <row r="3643" spans="1:24" ht="14.5" thickBot="1" x14ac:dyDescent="0.35">
      <c r="A3643">
        <v>1</v>
      </c>
      <c r="B3643" t="str">
        <f t="shared" si="339"/>
        <v>Male</v>
      </c>
      <c r="C3643" s="8">
        <v>60</v>
      </c>
      <c r="D3643" t="str">
        <f t="shared" si="340"/>
        <v>Senior</v>
      </c>
      <c r="E3643">
        <v>4</v>
      </c>
      <c r="F3643" t="str">
        <f>HLOOKUP(E3643, LookUP_Table!$A$6:$D$7, 2, FALSE)</f>
        <v>Post Graduate</v>
      </c>
      <c r="G3643" t="str">
        <f>IFERROR(VLOOKUP(E3643, LookUP_Table!$A$1:$B$4, 2, FALSE), "")</f>
        <v>Post Graduate</v>
      </c>
      <c r="H3643">
        <v>0</v>
      </c>
      <c r="I3643">
        <v>0</v>
      </c>
      <c r="J3643" t="str">
        <f t="shared" si="336"/>
        <v>Non-Smoker</v>
      </c>
      <c r="K3643">
        <v>0</v>
      </c>
      <c r="L3643">
        <v>0</v>
      </c>
      <c r="M3643">
        <v>0</v>
      </c>
      <c r="N3643">
        <v>0</v>
      </c>
      <c r="O3643">
        <v>250</v>
      </c>
      <c r="P3643" t="str">
        <f t="shared" si="337"/>
        <v>High</v>
      </c>
      <c r="Q3643">
        <v>133</v>
      </c>
      <c r="R3643">
        <v>89.5</v>
      </c>
      <c r="S3643">
        <v>27.13</v>
      </c>
      <c r="T3643" t="str">
        <f t="shared" si="338"/>
        <v>Overweight</v>
      </c>
      <c r="U3643">
        <v>90</v>
      </c>
      <c r="V3643">
        <v>81.96365524402907</v>
      </c>
      <c r="W3643" t="str">
        <f t="shared" si="341"/>
        <v>Normal</v>
      </c>
      <c r="X3643">
        <v>0</v>
      </c>
    </row>
    <row r="3644" spans="1:24" ht="14.5" thickBot="1" x14ac:dyDescent="0.35">
      <c r="A3644">
        <v>0</v>
      </c>
      <c r="B3644" t="str">
        <f t="shared" si="339"/>
        <v>Female</v>
      </c>
      <c r="C3644" s="8">
        <v>60</v>
      </c>
      <c r="D3644" t="str">
        <f t="shared" si="340"/>
        <v>Senior</v>
      </c>
      <c r="E3644">
        <v>3</v>
      </c>
      <c r="F3644" t="str">
        <f>HLOOKUP(E3644, LookUP_Table!$A$6:$D$7, 2, FALSE)</f>
        <v>Graduate</v>
      </c>
      <c r="G3644" t="str">
        <f>IFERROR(VLOOKUP(E3644, LookUP_Table!$A$1:$B$4, 2, FALSE), "")</f>
        <v>Graduate</v>
      </c>
      <c r="H3644">
        <v>0</v>
      </c>
      <c r="I3644">
        <v>0</v>
      </c>
      <c r="J3644" t="str">
        <f t="shared" si="336"/>
        <v>Non-Smoker</v>
      </c>
      <c r="K3644">
        <v>0</v>
      </c>
      <c r="L3644">
        <v>0</v>
      </c>
      <c r="M3644">
        <v>0</v>
      </c>
      <c r="N3644">
        <v>0</v>
      </c>
      <c r="O3644">
        <v>259</v>
      </c>
      <c r="P3644" t="str">
        <f t="shared" si="337"/>
        <v>High</v>
      </c>
      <c r="Q3644">
        <v>155</v>
      </c>
      <c r="R3644">
        <v>90</v>
      </c>
      <c r="S3644">
        <v>27.94</v>
      </c>
      <c r="T3644" t="str">
        <f t="shared" si="338"/>
        <v>Overweight</v>
      </c>
      <c r="U3644">
        <v>68</v>
      </c>
      <c r="V3644">
        <v>95</v>
      </c>
      <c r="W3644" t="str">
        <f t="shared" si="341"/>
        <v>Normal</v>
      </c>
      <c r="X3644">
        <v>0</v>
      </c>
    </row>
    <row r="3645" spans="1:24" ht="14.5" thickBot="1" x14ac:dyDescent="0.35">
      <c r="A3645">
        <v>0</v>
      </c>
      <c r="B3645" t="str">
        <f t="shared" si="339"/>
        <v>Female</v>
      </c>
      <c r="C3645" s="8">
        <v>60</v>
      </c>
      <c r="D3645" t="str">
        <f t="shared" si="340"/>
        <v>Senior</v>
      </c>
      <c r="E3645">
        <v>1</v>
      </c>
      <c r="F3645" t="str">
        <f>HLOOKUP(E3645, LookUP_Table!$A$6:$D$7, 2, FALSE)</f>
        <v>Primary</v>
      </c>
      <c r="G3645" t="str">
        <f>IFERROR(VLOOKUP(E3645, LookUP_Table!$A$1:$B$4, 2, FALSE), "")</f>
        <v>Primary</v>
      </c>
      <c r="H3645">
        <v>0</v>
      </c>
      <c r="I3645">
        <v>0</v>
      </c>
      <c r="J3645" t="str">
        <f t="shared" si="336"/>
        <v>Non-Smoker</v>
      </c>
      <c r="K3645">
        <v>0</v>
      </c>
      <c r="L3645">
        <v>0</v>
      </c>
      <c r="M3645">
        <v>1</v>
      </c>
      <c r="N3645">
        <v>0</v>
      </c>
      <c r="O3645">
        <v>231</v>
      </c>
      <c r="P3645" t="str">
        <f t="shared" si="337"/>
        <v>Normal</v>
      </c>
      <c r="Q3645">
        <v>174</v>
      </c>
      <c r="R3645">
        <v>110</v>
      </c>
      <c r="S3645">
        <v>25.05</v>
      </c>
      <c r="T3645" t="str">
        <f t="shared" si="338"/>
        <v>Overweight</v>
      </c>
      <c r="U3645">
        <v>85</v>
      </c>
      <c r="V3645">
        <v>82</v>
      </c>
      <c r="W3645" t="str">
        <f t="shared" si="341"/>
        <v>Normal</v>
      </c>
      <c r="X3645">
        <v>0</v>
      </c>
    </row>
    <row r="3646" spans="1:24" ht="14.5" thickBot="1" x14ac:dyDescent="0.35">
      <c r="A3646">
        <v>1</v>
      </c>
      <c r="B3646" t="str">
        <f t="shared" si="339"/>
        <v>Male</v>
      </c>
      <c r="C3646" s="8">
        <v>60</v>
      </c>
      <c r="D3646" t="str">
        <f t="shared" si="340"/>
        <v>Senior</v>
      </c>
      <c r="E3646">
        <v>3</v>
      </c>
      <c r="F3646" t="str">
        <f>HLOOKUP(E3646, LookUP_Table!$A$6:$D$7, 2, FALSE)</f>
        <v>Graduate</v>
      </c>
      <c r="G3646" t="str">
        <f>IFERROR(VLOOKUP(E3646, LookUP_Table!$A$1:$B$4, 2, FALSE), "")</f>
        <v>Graduate</v>
      </c>
      <c r="H3646">
        <v>0</v>
      </c>
      <c r="I3646">
        <v>0</v>
      </c>
      <c r="J3646" t="str">
        <f t="shared" si="336"/>
        <v>Non-Smoker</v>
      </c>
      <c r="K3646">
        <v>0</v>
      </c>
      <c r="L3646">
        <v>0</v>
      </c>
      <c r="M3646">
        <v>0</v>
      </c>
      <c r="N3646">
        <v>0</v>
      </c>
      <c r="O3646">
        <v>224</v>
      </c>
      <c r="P3646" t="str">
        <f t="shared" si="337"/>
        <v>Normal</v>
      </c>
      <c r="Q3646">
        <v>143.5</v>
      </c>
      <c r="R3646">
        <v>77.5</v>
      </c>
      <c r="S3646">
        <v>26.13</v>
      </c>
      <c r="T3646" t="str">
        <f t="shared" si="338"/>
        <v>Overweight</v>
      </c>
      <c r="U3646">
        <v>65</v>
      </c>
      <c r="V3646">
        <v>81</v>
      </c>
      <c r="W3646" t="str">
        <f t="shared" si="341"/>
        <v>Normal</v>
      </c>
      <c r="X3646">
        <v>0</v>
      </c>
    </row>
    <row r="3647" spans="1:24" ht="14.5" thickBot="1" x14ac:dyDescent="0.35">
      <c r="A3647">
        <v>0</v>
      </c>
      <c r="B3647" t="str">
        <f t="shared" si="339"/>
        <v>Female</v>
      </c>
      <c r="C3647" s="8">
        <v>60</v>
      </c>
      <c r="D3647" t="str">
        <f t="shared" si="340"/>
        <v>Senior</v>
      </c>
      <c r="E3647">
        <v>2</v>
      </c>
      <c r="F3647" t="str">
        <f>HLOOKUP(E3647, LookUP_Table!$A$6:$D$7, 2, FALSE)</f>
        <v>Secondary</v>
      </c>
      <c r="G3647" t="str">
        <f>IFERROR(VLOOKUP(E3647, LookUP_Table!$A$1:$B$4, 2, FALSE), "")</f>
        <v>Secondary</v>
      </c>
      <c r="H3647">
        <v>1</v>
      </c>
      <c r="I3647">
        <v>20</v>
      </c>
      <c r="J3647" t="str">
        <f t="shared" si="336"/>
        <v>Smoker</v>
      </c>
      <c r="K3647">
        <v>0</v>
      </c>
      <c r="L3647">
        <v>0</v>
      </c>
      <c r="M3647">
        <v>0</v>
      </c>
      <c r="N3647">
        <v>0</v>
      </c>
      <c r="O3647">
        <v>260</v>
      </c>
      <c r="P3647" t="str">
        <f t="shared" si="337"/>
        <v>High</v>
      </c>
      <c r="Q3647">
        <v>139</v>
      </c>
      <c r="R3647">
        <v>81</v>
      </c>
      <c r="S3647">
        <v>24.68</v>
      </c>
      <c r="T3647" t="str">
        <f t="shared" si="338"/>
        <v>Normal</v>
      </c>
      <c r="U3647">
        <v>74</v>
      </c>
      <c r="V3647">
        <v>70</v>
      </c>
      <c r="W3647" t="str">
        <f t="shared" si="341"/>
        <v>Normal</v>
      </c>
      <c r="X3647">
        <v>0</v>
      </c>
    </row>
    <row r="3648" spans="1:24" ht="14.5" thickBot="1" x14ac:dyDescent="0.35">
      <c r="A3648">
        <v>0</v>
      </c>
      <c r="B3648" t="str">
        <f t="shared" si="339"/>
        <v>Female</v>
      </c>
      <c r="C3648" s="8">
        <v>60</v>
      </c>
      <c r="D3648" t="str">
        <f t="shared" si="340"/>
        <v>Senior</v>
      </c>
      <c r="E3648">
        <v>1</v>
      </c>
      <c r="F3648" t="str">
        <f>HLOOKUP(E3648, LookUP_Table!$A$6:$D$7, 2, FALSE)</f>
        <v>Primary</v>
      </c>
      <c r="G3648" t="str">
        <f>IFERROR(VLOOKUP(E3648, LookUP_Table!$A$1:$B$4, 2, FALSE), "")</f>
        <v>Primary</v>
      </c>
      <c r="H3648">
        <v>0</v>
      </c>
      <c r="I3648">
        <v>0</v>
      </c>
      <c r="J3648" t="str">
        <f t="shared" si="336"/>
        <v>Non-Smoker</v>
      </c>
      <c r="K3648">
        <v>0</v>
      </c>
      <c r="L3648">
        <v>0</v>
      </c>
      <c r="M3648">
        <v>0</v>
      </c>
      <c r="N3648">
        <v>0</v>
      </c>
      <c r="O3648">
        <v>275</v>
      </c>
      <c r="P3648" t="str">
        <f t="shared" si="337"/>
        <v>High</v>
      </c>
      <c r="Q3648">
        <v>138</v>
      </c>
      <c r="R3648">
        <v>87</v>
      </c>
      <c r="S3648">
        <v>29.64</v>
      </c>
      <c r="T3648" t="str">
        <f t="shared" si="338"/>
        <v>Overweight</v>
      </c>
      <c r="U3648">
        <v>85</v>
      </c>
      <c r="V3648">
        <v>86</v>
      </c>
      <c r="W3648" t="str">
        <f t="shared" si="341"/>
        <v>Normal</v>
      </c>
      <c r="X3648">
        <v>0</v>
      </c>
    </row>
    <row r="3649" spans="1:24" ht="14.5" thickBot="1" x14ac:dyDescent="0.35">
      <c r="A3649">
        <v>1</v>
      </c>
      <c r="B3649" t="str">
        <f t="shared" si="339"/>
        <v>Male</v>
      </c>
      <c r="C3649" s="8">
        <v>60</v>
      </c>
      <c r="D3649" t="str">
        <f t="shared" si="340"/>
        <v>Senior</v>
      </c>
      <c r="E3649">
        <v>1</v>
      </c>
      <c r="F3649" t="str">
        <f>HLOOKUP(E3649, LookUP_Table!$A$6:$D$7, 2, FALSE)</f>
        <v>Primary</v>
      </c>
      <c r="G3649" t="str">
        <f>IFERROR(VLOOKUP(E3649, LookUP_Table!$A$1:$B$4, 2, FALSE), "")</f>
        <v>Primary</v>
      </c>
      <c r="H3649">
        <v>0</v>
      </c>
      <c r="I3649">
        <v>0</v>
      </c>
      <c r="J3649" t="str">
        <f t="shared" si="336"/>
        <v>Non-Smoker</v>
      </c>
      <c r="K3649">
        <v>0</v>
      </c>
      <c r="L3649">
        <v>0</v>
      </c>
      <c r="M3649">
        <v>1</v>
      </c>
      <c r="N3649">
        <v>0</v>
      </c>
      <c r="O3649">
        <v>226</v>
      </c>
      <c r="P3649" t="str">
        <f t="shared" si="337"/>
        <v>Normal</v>
      </c>
      <c r="Q3649">
        <v>155</v>
      </c>
      <c r="R3649">
        <v>92.5</v>
      </c>
      <c r="S3649">
        <v>30.85</v>
      </c>
      <c r="T3649" t="str">
        <f t="shared" si="338"/>
        <v>Obese</v>
      </c>
      <c r="U3649">
        <v>80</v>
      </c>
      <c r="V3649">
        <v>87</v>
      </c>
      <c r="W3649" t="str">
        <f t="shared" si="341"/>
        <v>Normal</v>
      </c>
      <c r="X3649">
        <v>0</v>
      </c>
    </row>
    <row r="3650" spans="1:24" ht="14.5" thickBot="1" x14ac:dyDescent="0.35">
      <c r="A3650">
        <v>0</v>
      </c>
      <c r="B3650" t="str">
        <f t="shared" si="339"/>
        <v>Female</v>
      </c>
      <c r="C3650" s="8">
        <v>60</v>
      </c>
      <c r="D3650" t="str">
        <f t="shared" si="340"/>
        <v>Senior</v>
      </c>
      <c r="E3650">
        <v>3</v>
      </c>
      <c r="F3650" t="str">
        <f>HLOOKUP(E3650, LookUP_Table!$A$6:$D$7, 2, FALSE)</f>
        <v>Graduate</v>
      </c>
      <c r="G3650" t="str">
        <f>IFERROR(VLOOKUP(E3650, LookUP_Table!$A$1:$B$4, 2, FALSE), "")</f>
        <v>Graduate</v>
      </c>
      <c r="H3650">
        <v>1</v>
      </c>
      <c r="I3650">
        <v>10</v>
      </c>
      <c r="J3650" t="str">
        <f t="shared" ref="J3650:J3713" si="342">IF(I3650&gt;0,"Smoker","Non-Smoker")</f>
        <v>Smoker</v>
      </c>
      <c r="K3650">
        <v>0</v>
      </c>
      <c r="L3650">
        <v>0</v>
      </c>
      <c r="M3650">
        <v>0</v>
      </c>
      <c r="N3650">
        <v>0</v>
      </c>
      <c r="O3650">
        <v>255</v>
      </c>
      <c r="P3650" t="str">
        <f t="shared" ref="P3650:P3713" si="343">IF(O3650&gt;240,"High","Normal")</f>
        <v>High</v>
      </c>
      <c r="Q3650">
        <v>145</v>
      </c>
      <c r="R3650">
        <v>100</v>
      </c>
      <c r="S3650">
        <v>27.94</v>
      </c>
      <c r="T3650" t="str">
        <f t="shared" ref="T3650:T3713" si="344">IF(S3650&lt;18.5,"Underweight",
IF(S3650&lt;25,"Normal",
IF(S3650&lt;30,"Overweight","Obese")))</f>
        <v>Overweight</v>
      </c>
      <c r="U3650">
        <v>79</v>
      </c>
      <c r="V3650">
        <v>81.96365524402907</v>
      </c>
      <c r="W3650" t="str">
        <f t="shared" si="341"/>
        <v>Normal</v>
      </c>
      <c r="X3650">
        <v>0</v>
      </c>
    </row>
    <row r="3651" spans="1:24" ht="14.5" thickBot="1" x14ac:dyDescent="0.35">
      <c r="A3651">
        <v>1</v>
      </c>
      <c r="B3651" t="str">
        <f t="shared" ref="B3651:B3714" si="345">IF(A3651=0,"Female","Male")</f>
        <v>Male</v>
      </c>
      <c r="C3651" s="8">
        <v>60</v>
      </c>
      <c r="D3651" t="str">
        <f t="shared" ref="D3651:D3714" si="346">IF(C3651&lt;40,"Young",
IF(C3651&lt;55,"Middle Age","Senior"))</f>
        <v>Senior</v>
      </c>
      <c r="E3651">
        <v>1</v>
      </c>
      <c r="F3651" t="str">
        <f>HLOOKUP(E3651, LookUP_Table!$A$6:$D$7, 2, FALSE)</f>
        <v>Primary</v>
      </c>
      <c r="G3651" t="str">
        <f>IFERROR(VLOOKUP(E3651, LookUP_Table!$A$1:$B$4, 2, FALSE), "")</f>
        <v>Primary</v>
      </c>
      <c r="H3651">
        <v>0</v>
      </c>
      <c r="I3651">
        <v>0</v>
      </c>
      <c r="J3651" t="str">
        <f t="shared" si="342"/>
        <v>Non-Smoker</v>
      </c>
      <c r="K3651">
        <v>0</v>
      </c>
      <c r="L3651">
        <v>0</v>
      </c>
      <c r="M3651">
        <v>1</v>
      </c>
      <c r="N3651">
        <v>0</v>
      </c>
      <c r="O3651">
        <v>225</v>
      </c>
      <c r="P3651" t="str">
        <f t="shared" si="343"/>
        <v>Normal</v>
      </c>
      <c r="Q3651">
        <v>149</v>
      </c>
      <c r="R3651">
        <v>96</v>
      </c>
      <c r="S3651">
        <v>27.73</v>
      </c>
      <c r="T3651" t="str">
        <f t="shared" si="344"/>
        <v>Overweight</v>
      </c>
      <c r="U3651">
        <v>80</v>
      </c>
      <c r="V3651">
        <v>60</v>
      </c>
      <c r="W3651" t="str">
        <f t="shared" ref="W3651:W3714" si="347">IF(V3651 &lt; 100, "Normal", IF(V3651 &lt;= 125, "Prediabetes", "Diabetes"))</f>
        <v>Normal</v>
      </c>
      <c r="X3651">
        <v>0</v>
      </c>
    </row>
    <row r="3652" spans="1:24" ht="14.5" thickBot="1" x14ac:dyDescent="0.35">
      <c r="A3652">
        <v>0</v>
      </c>
      <c r="B3652" t="str">
        <f t="shared" si="345"/>
        <v>Female</v>
      </c>
      <c r="C3652" s="8">
        <v>60</v>
      </c>
      <c r="D3652" t="str">
        <f t="shared" si="346"/>
        <v>Senior</v>
      </c>
      <c r="E3652">
        <v>3</v>
      </c>
      <c r="F3652" t="str">
        <f>HLOOKUP(E3652, LookUP_Table!$A$6:$D$7, 2, FALSE)</f>
        <v>Graduate</v>
      </c>
      <c r="G3652" t="str">
        <f>IFERROR(VLOOKUP(E3652, LookUP_Table!$A$1:$B$4, 2, FALSE), "")</f>
        <v>Graduate</v>
      </c>
      <c r="H3652">
        <v>0</v>
      </c>
      <c r="I3652">
        <v>0</v>
      </c>
      <c r="J3652" t="str">
        <f t="shared" si="342"/>
        <v>Non-Smoker</v>
      </c>
      <c r="K3652">
        <v>0</v>
      </c>
      <c r="L3652">
        <v>0</v>
      </c>
      <c r="M3652">
        <v>1</v>
      </c>
      <c r="N3652">
        <v>0</v>
      </c>
      <c r="O3652">
        <v>286</v>
      </c>
      <c r="P3652" t="str">
        <f t="shared" si="343"/>
        <v>High</v>
      </c>
      <c r="Q3652">
        <v>172.5</v>
      </c>
      <c r="R3652">
        <v>85</v>
      </c>
      <c r="S3652">
        <v>22</v>
      </c>
      <c r="T3652" t="str">
        <f t="shared" si="344"/>
        <v>Normal</v>
      </c>
      <c r="U3652">
        <v>72</v>
      </c>
      <c r="V3652">
        <v>71</v>
      </c>
      <c r="W3652" t="str">
        <f t="shared" si="347"/>
        <v>Normal</v>
      </c>
      <c r="X3652">
        <v>1</v>
      </c>
    </row>
    <row r="3653" spans="1:24" ht="14.5" thickBot="1" x14ac:dyDescent="0.35">
      <c r="A3653">
        <v>1</v>
      </c>
      <c r="B3653" t="str">
        <f t="shared" si="345"/>
        <v>Male</v>
      </c>
      <c r="C3653" s="8">
        <v>60</v>
      </c>
      <c r="D3653" t="str">
        <f t="shared" si="346"/>
        <v>Senior</v>
      </c>
      <c r="E3653">
        <v>1</v>
      </c>
      <c r="F3653" t="str">
        <f>HLOOKUP(E3653, LookUP_Table!$A$6:$D$7, 2, FALSE)</f>
        <v>Primary</v>
      </c>
      <c r="G3653" t="str">
        <f>IFERROR(VLOOKUP(E3653, LookUP_Table!$A$1:$B$4, 2, FALSE), "")</f>
        <v>Primary</v>
      </c>
      <c r="H3653">
        <v>0</v>
      </c>
      <c r="I3653">
        <v>0</v>
      </c>
      <c r="J3653" t="str">
        <f t="shared" si="342"/>
        <v>Non-Smoker</v>
      </c>
      <c r="K3653">
        <v>0</v>
      </c>
      <c r="L3653">
        <v>0</v>
      </c>
      <c r="M3653">
        <v>1</v>
      </c>
      <c r="N3653">
        <v>0</v>
      </c>
      <c r="O3653">
        <v>220</v>
      </c>
      <c r="P3653" t="str">
        <f t="shared" si="343"/>
        <v>Normal</v>
      </c>
      <c r="Q3653">
        <v>167.5</v>
      </c>
      <c r="R3653">
        <v>110</v>
      </c>
      <c r="S3653">
        <v>30.41</v>
      </c>
      <c r="T3653" t="str">
        <f t="shared" si="344"/>
        <v>Obese</v>
      </c>
      <c r="U3653">
        <v>90</v>
      </c>
      <c r="V3653">
        <v>84</v>
      </c>
      <c r="W3653" t="str">
        <f t="shared" si="347"/>
        <v>Normal</v>
      </c>
      <c r="X3653">
        <v>1</v>
      </c>
    </row>
    <row r="3654" spans="1:24" ht="14.5" thickBot="1" x14ac:dyDescent="0.35">
      <c r="A3654">
        <v>1</v>
      </c>
      <c r="B3654" t="str">
        <f t="shared" si="345"/>
        <v>Male</v>
      </c>
      <c r="C3654" s="8">
        <v>60</v>
      </c>
      <c r="D3654" t="str">
        <f t="shared" si="346"/>
        <v>Senior</v>
      </c>
      <c r="E3654">
        <v>3</v>
      </c>
      <c r="F3654" t="str">
        <f>HLOOKUP(E3654, LookUP_Table!$A$6:$D$7, 2, FALSE)</f>
        <v>Graduate</v>
      </c>
      <c r="G3654" t="str">
        <f>IFERROR(VLOOKUP(E3654, LookUP_Table!$A$1:$B$4, 2, FALSE), "")</f>
        <v>Graduate</v>
      </c>
      <c r="H3654">
        <v>0</v>
      </c>
      <c r="I3654">
        <v>0</v>
      </c>
      <c r="J3654" t="str">
        <f t="shared" si="342"/>
        <v>Non-Smoker</v>
      </c>
      <c r="K3654">
        <v>0</v>
      </c>
      <c r="L3654">
        <v>1</v>
      </c>
      <c r="M3654">
        <v>1</v>
      </c>
      <c r="N3654">
        <v>0</v>
      </c>
      <c r="O3654">
        <v>203</v>
      </c>
      <c r="P3654" t="str">
        <f t="shared" si="343"/>
        <v>Normal</v>
      </c>
      <c r="Q3654">
        <v>140</v>
      </c>
      <c r="R3654">
        <v>95</v>
      </c>
      <c r="S3654">
        <v>28.04</v>
      </c>
      <c r="T3654" t="str">
        <f t="shared" si="344"/>
        <v>Overweight</v>
      </c>
      <c r="U3654">
        <v>60</v>
      </c>
      <c r="V3654">
        <v>83</v>
      </c>
      <c r="W3654" t="str">
        <f t="shared" si="347"/>
        <v>Normal</v>
      </c>
      <c r="X3654">
        <v>0</v>
      </c>
    </row>
    <row r="3655" spans="1:24" ht="14.5" thickBot="1" x14ac:dyDescent="0.35">
      <c r="A3655">
        <v>0</v>
      </c>
      <c r="B3655" t="str">
        <f t="shared" si="345"/>
        <v>Female</v>
      </c>
      <c r="C3655" s="8">
        <v>60</v>
      </c>
      <c r="D3655" t="str">
        <f t="shared" si="346"/>
        <v>Senior</v>
      </c>
      <c r="E3655">
        <v>1</v>
      </c>
      <c r="F3655" t="str">
        <f>HLOOKUP(E3655, LookUP_Table!$A$6:$D$7, 2, FALSE)</f>
        <v>Primary</v>
      </c>
      <c r="G3655" t="str">
        <f>IFERROR(VLOOKUP(E3655, LookUP_Table!$A$1:$B$4, 2, FALSE), "")</f>
        <v>Primary</v>
      </c>
      <c r="H3655">
        <v>0</v>
      </c>
      <c r="I3655">
        <v>0</v>
      </c>
      <c r="J3655" t="str">
        <f t="shared" si="342"/>
        <v>Non-Smoker</v>
      </c>
      <c r="K3655">
        <v>0</v>
      </c>
      <c r="L3655">
        <v>0</v>
      </c>
      <c r="M3655">
        <v>0</v>
      </c>
      <c r="N3655">
        <v>0</v>
      </c>
      <c r="O3655">
        <v>275</v>
      </c>
      <c r="P3655" t="str">
        <f t="shared" si="343"/>
        <v>High</v>
      </c>
      <c r="Q3655">
        <v>134</v>
      </c>
      <c r="R3655">
        <v>74</v>
      </c>
      <c r="S3655">
        <v>19.91</v>
      </c>
      <c r="T3655" t="str">
        <f t="shared" si="344"/>
        <v>Normal</v>
      </c>
      <c r="U3655">
        <v>66</v>
      </c>
      <c r="V3655">
        <v>85</v>
      </c>
      <c r="W3655" t="str">
        <f t="shared" si="347"/>
        <v>Normal</v>
      </c>
      <c r="X3655">
        <v>0</v>
      </c>
    </row>
    <row r="3656" spans="1:24" ht="14.5" thickBot="1" x14ac:dyDescent="0.35">
      <c r="A3656">
        <v>0</v>
      </c>
      <c r="B3656" t="str">
        <f t="shared" si="345"/>
        <v>Female</v>
      </c>
      <c r="C3656" s="8">
        <v>60</v>
      </c>
      <c r="D3656" t="str">
        <f t="shared" si="346"/>
        <v>Senior</v>
      </c>
      <c r="E3656">
        <v>1</v>
      </c>
      <c r="F3656" t="str">
        <f>HLOOKUP(E3656, LookUP_Table!$A$6:$D$7, 2, FALSE)</f>
        <v>Primary</v>
      </c>
      <c r="G3656" t="str">
        <f>IFERROR(VLOOKUP(E3656, LookUP_Table!$A$1:$B$4, 2, FALSE), "")</f>
        <v>Primary</v>
      </c>
      <c r="H3656">
        <v>1</v>
      </c>
      <c r="I3656">
        <v>5</v>
      </c>
      <c r="J3656" t="str">
        <f t="shared" si="342"/>
        <v>Smoker</v>
      </c>
      <c r="K3656">
        <v>0</v>
      </c>
      <c r="L3656">
        <v>0</v>
      </c>
      <c r="M3656">
        <v>1</v>
      </c>
      <c r="N3656">
        <v>0</v>
      </c>
      <c r="O3656">
        <v>246</v>
      </c>
      <c r="P3656" t="str">
        <f t="shared" si="343"/>
        <v>High</v>
      </c>
      <c r="Q3656">
        <v>160</v>
      </c>
      <c r="R3656">
        <v>92</v>
      </c>
      <c r="S3656">
        <v>26.38</v>
      </c>
      <c r="T3656" t="str">
        <f t="shared" si="344"/>
        <v>Overweight</v>
      </c>
      <c r="U3656">
        <v>80</v>
      </c>
      <c r="V3656">
        <v>73</v>
      </c>
      <c r="W3656" t="str">
        <f t="shared" si="347"/>
        <v>Normal</v>
      </c>
      <c r="X3656">
        <v>0</v>
      </c>
    </row>
    <row r="3657" spans="1:24" ht="14.5" thickBot="1" x14ac:dyDescent="0.35">
      <c r="A3657">
        <v>0</v>
      </c>
      <c r="B3657" t="str">
        <f t="shared" si="345"/>
        <v>Female</v>
      </c>
      <c r="C3657" s="8">
        <v>60</v>
      </c>
      <c r="D3657" t="str">
        <f t="shared" si="346"/>
        <v>Senior</v>
      </c>
      <c r="E3657">
        <v>4</v>
      </c>
      <c r="F3657" t="str">
        <f>HLOOKUP(E3657, LookUP_Table!$A$6:$D$7, 2, FALSE)</f>
        <v>Post Graduate</v>
      </c>
      <c r="G3657" t="str">
        <f>IFERROR(VLOOKUP(E3657, LookUP_Table!$A$1:$B$4, 2, FALSE), "")</f>
        <v>Post Graduate</v>
      </c>
      <c r="H3657">
        <v>0</v>
      </c>
      <c r="I3657">
        <v>0</v>
      </c>
      <c r="J3657" t="str">
        <f t="shared" si="342"/>
        <v>Non-Smoker</v>
      </c>
      <c r="K3657">
        <v>0</v>
      </c>
      <c r="L3657">
        <v>0</v>
      </c>
      <c r="M3657">
        <v>0</v>
      </c>
      <c r="N3657">
        <v>0</v>
      </c>
      <c r="O3657">
        <v>247</v>
      </c>
      <c r="P3657" t="str">
        <f t="shared" si="343"/>
        <v>High</v>
      </c>
      <c r="Q3657">
        <v>131</v>
      </c>
      <c r="R3657">
        <v>81</v>
      </c>
      <c r="S3657">
        <v>22.19</v>
      </c>
      <c r="T3657" t="str">
        <f t="shared" si="344"/>
        <v>Normal</v>
      </c>
      <c r="U3657">
        <v>95</v>
      </c>
      <c r="V3657">
        <v>94</v>
      </c>
      <c r="W3657" t="str">
        <f t="shared" si="347"/>
        <v>Normal</v>
      </c>
      <c r="X3657">
        <v>1</v>
      </c>
    </row>
    <row r="3658" spans="1:24" ht="14.5" thickBot="1" x14ac:dyDescent="0.35">
      <c r="A3658">
        <v>1</v>
      </c>
      <c r="B3658" t="str">
        <f t="shared" si="345"/>
        <v>Male</v>
      </c>
      <c r="C3658" s="8">
        <v>60</v>
      </c>
      <c r="D3658" t="str">
        <f t="shared" si="346"/>
        <v>Senior</v>
      </c>
      <c r="E3658">
        <v>1</v>
      </c>
      <c r="F3658" t="str">
        <f>HLOOKUP(E3658, LookUP_Table!$A$6:$D$7, 2, FALSE)</f>
        <v>Primary</v>
      </c>
      <c r="G3658" t="str">
        <f>IFERROR(VLOOKUP(E3658, LookUP_Table!$A$1:$B$4, 2, FALSE), "")</f>
        <v>Primary</v>
      </c>
      <c r="H3658">
        <v>0</v>
      </c>
      <c r="I3658">
        <v>0</v>
      </c>
      <c r="J3658" t="str">
        <f t="shared" si="342"/>
        <v>Non-Smoker</v>
      </c>
      <c r="K3658">
        <v>0</v>
      </c>
      <c r="L3658">
        <v>0</v>
      </c>
      <c r="M3658">
        <v>0</v>
      </c>
      <c r="N3658">
        <v>0</v>
      </c>
      <c r="O3658">
        <v>266</v>
      </c>
      <c r="P3658" t="str">
        <f t="shared" si="343"/>
        <v>High</v>
      </c>
      <c r="Q3658">
        <v>115.5</v>
      </c>
      <c r="R3658">
        <v>82.5</v>
      </c>
      <c r="S3658">
        <v>23.68</v>
      </c>
      <c r="T3658" t="str">
        <f t="shared" si="344"/>
        <v>Normal</v>
      </c>
      <c r="U3658">
        <v>82</v>
      </c>
      <c r="V3658">
        <v>83</v>
      </c>
      <c r="W3658" t="str">
        <f t="shared" si="347"/>
        <v>Normal</v>
      </c>
      <c r="X3658">
        <v>1</v>
      </c>
    </row>
    <row r="3659" spans="1:24" ht="14.5" thickBot="1" x14ac:dyDescent="0.35">
      <c r="A3659">
        <v>1</v>
      </c>
      <c r="B3659" t="str">
        <f t="shared" si="345"/>
        <v>Male</v>
      </c>
      <c r="C3659" s="8">
        <v>60</v>
      </c>
      <c r="D3659" t="str">
        <f t="shared" si="346"/>
        <v>Senior</v>
      </c>
      <c r="E3659">
        <v>3</v>
      </c>
      <c r="F3659" t="str">
        <f>HLOOKUP(E3659, LookUP_Table!$A$6:$D$7, 2, FALSE)</f>
        <v>Graduate</v>
      </c>
      <c r="G3659" t="str">
        <f>IFERROR(VLOOKUP(E3659, LookUP_Table!$A$1:$B$4, 2, FALSE), "")</f>
        <v>Graduate</v>
      </c>
      <c r="H3659">
        <v>1</v>
      </c>
      <c r="I3659">
        <v>10</v>
      </c>
      <c r="J3659" t="str">
        <f t="shared" si="342"/>
        <v>Smoker</v>
      </c>
      <c r="K3659">
        <v>0</v>
      </c>
      <c r="L3659">
        <v>0</v>
      </c>
      <c r="M3659">
        <v>1</v>
      </c>
      <c r="N3659">
        <v>0</v>
      </c>
      <c r="O3659">
        <v>250</v>
      </c>
      <c r="P3659" t="str">
        <f t="shared" si="343"/>
        <v>High</v>
      </c>
      <c r="Q3659">
        <v>157</v>
      </c>
      <c r="R3659">
        <v>94</v>
      </c>
      <c r="S3659">
        <v>29.89</v>
      </c>
      <c r="T3659" t="str">
        <f t="shared" si="344"/>
        <v>Overweight</v>
      </c>
      <c r="U3659">
        <v>63</v>
      </c>
      <c r="V3659">
        <v>68</v>
      </c>
      <c r="W3659" t="str">
        <f t="shared" si="347"/>
        <v>Normal</v>
      </c>
      <c r="X3659">
        <v>1</v>
      </c>
    </row>
    <row r="3660" spans="1:24" ht="14.5" thickBot="1" x14ac:dyDescent="0.35">
      <c r="A3660">
        <v>1</v>
      </c>
      <c r="B3660" t="str">
        <f t="shared" si="345"/>
        <v>Male</v>
      </c>
      <c r="C3660" s="8">
        <v>60</v>
      </c>
      <c r="D3660" t="str">
        <f t="shared" si="346"/>
        <v>Senior</v>
      </c>
      <c r="E3660">
        <v>1</v>
      </c>
      <c r="F3660" t="str">
        <f>HLOOKUP(E3660, LookUP_Table!$A$6:$D$7, 2, FALSE)</f>
        <v>Primary</v>
      </c>
      <c r="G3660" t="str">
        <f>IFERROR(VLOOKUP(E3660, LookUP_Table!$A$1:$B$4, 2, FALSE), "")</f>
        <v>Primary</v>
      </c>
      <c r="H3660">
        <v>1</v>
      </c>
      <c r="I3660">
        <v>1</v>
      </c>
      <c r="J3660" t="str">
        <f t="shared" si="342"/>
        <v>Smoker</v>
      </c>
      <c r="K3660">
        <v>1</v>
      </c>
      <c r="L3660">
        <v>0</v>
      </c>
      <c r="M3660">
        <v>1</v>
      </c>
      <c r="N3660">
        <v>0</v>
      </c>
      <c r="O3660">
        <v>232</v>
      </c>
      <c r="P3660" t="str">
        <f t="shared" si="343"/>
        <v>Normal</v>
      </c>
      <c r="Q3660">
        <v>173</v>
      </c>
      <c r="R3660">
        <v>106</v>
      </c>
      <c r="S3660">
        <v>28.63</v>
      </c>
      <c r="T3660" t="str">
        <f t="shared" si="344"/>
        <v>Overweight</v>
      </c>
      <c r="U3660">
        <v>85</v>
      </c>
      <c r="V3660">
        <v>64</v>
      </c>
      <c r="W3660" t="str">
        <f t="shared" si="347"/>
        <v>Normal</v>
      </c>
      <c r="X3660">
        <v>0</v>
      </c>
    </row>
    <row r="3661" spans="1:24" ht="14.5" thickBot="1" x14ac:dyDescent="0.35">
      <c r="A3661">
        <v>1</v>
      </c>
      <c r="B3661" t="str">
        <f t="shared" si="345"/>
        <v>Male</v>
      </c>
      <c r="C3661" s="8">
        <v>60</v>
      </c>
      <c r="D3661" t="str">
        <f t="shared" si="346"/>
        <v>Senior</v>
      </c>
      <c r="E3661">
        <v>2</v>
      </c>
      <c r="F3661" t="str">
        <f>HLOOKUP(E3661, LookUP_Table!$A$6:$D$7, 2, FALSE)</f>
        <v>Secondary</v>
      </c>
      <c r="G3661" t="str">
        <f>IFERROR(VLOOKUP(E3661, LookUP_Table!$A$1:$B$4, 2, FALSE), "")</f>
        <v>Secondary</v>
      </c>
      <c r="H3661">
        <v>0</v>
      </c>
      <c r="I3661">
        <v>0</v>
      </c>
      <c r="J3661" t="str">
        <f t="shared" si="342"/>
        <v>Non-Smoker</v>
      </c>
      <c r="K3661">
        <v>0</v>
      </c>
      <c r="L3661">
        <v>0</v>
      </c>
      <c r="M3661">
        <v>1</v>
      </c>
      <c r="N3661">
        <v>0</v>
      </c>
      <c r="O3661">
        <v>213</v>
      </c>
      <c r="P3661" t="str">
        <f t="shared" si="343"/>
        <v>Normal</v>
      </c>
      <c r="Q3661">
        <v>140.5</v>
      </c>
      <c r="R3661">
        <v>83</v>
      </c>
      <c r="S3661">
        <v>28.59</v>
      </c>
      <c r="T3661" t="str">
        <f t="shared" si="344"/>
        <v>Overweight</v>
      </c>
      <c r="U3661">
        <v>80</v>
      </c>
      <c r="V3661">
        <v>69</v>
      </c>
      <c r="W3661" t="str">
        <f t="shared" si="347"/>
        <v>Normal</v>
      </c>
      <c r="X3661">
        <v>0</v>
      </c>
    </row>
    <row r="3662" spans="1:24" ht="14.5" thickBot="1" x14ac:dyDescent="0.35">
      <c r="A3662">
        <v>1</v>
      </c>
      <c r="B3662" t="str">
        <f t="shared" si="345"/>
        <v>Male</v>
      </c>
      <c r="C3662" s="8">
        <v>60</v>
      </c>
      <c r="D3662" t="str">
        <f t="shared" si="346"/>
        <v>Senior</v>
      </c>
      <c r="E3662">
        <v>1</v>
      </c>
      <c r="F3662" t="str">
        <f>HLOOKUP(E3662, LookUP_Table!$A$6:$D$7, 2, FALSE)</f>
        <v>Primary</v>
      </c>
      <c r="G3662" t="str">
        <f>IFERROR(VLOOKUP(E3662, LookUP_Table!$A$1:$B$4, 2, FALSE), "")</f>
        <v>Primary</v>
      </c>
      <c r="H3662">
        <v>0</v>
      </c>
      <c r="I3662">
        <v>0</v>
      </c>
      <c r="J3662" t="str">
        <f t="shared" si="342"/>
        <v>Non-Smoker</v>
      </c>
      <c r="K3662">
        <v>0</v>
      </c>
      <c r="L3662">
        <v>0</v>
      </c>
      <c r="M3662">
        <v>0</v>
      </c>
      <c r="N3662">
        <v>0</v>
      </c>
      <c r="O3662">
        <v>252</v>
      </c>
      <c r="P3662" t="str">
        <f t="shared" si="343"/>
        <v>High</v>
      </c>
      <c r="Q3662">
        <v>128</v>
      </c>
      <c r="R3662">
        <v>82</v>
      </c>
      <c r="S3662">
        <v>21.18</v>
      </c>
      <c r="T3662" t="str">
        <f t="shared" si="344"/>
        <v>Normal</v>
      </c>
      <c r="U3662">
        <v>75</v>
      </c>
      <c r="V3662">
        <v>70</v>
      </c>
      <c r="W3662" t="str">
        <f t="shared" si="347"/>
        <v>Normal</v>
      </c>
      <c r="X3662">
        <v>1</v>
      </c>
    </row>
    <row r="3663" spans="1:24" ht="14.5" thickBot="1" x14ac:dyDescent="0.35">
      <c r="A3663">
        <v>0</v>
      </c>
      <c r="B3663" t="str">
        <f t="shared" si="345"/>
        <v>Female</v>
      </c>
      <c r="C3663" s="8">
        <v>61</v>
      </c>
      <c r="D3663" t="str">
        <f t="shared" si="346"/>
        <v>Senior</v>
      </c>
      <c r="E3663">
        <v>3</v>
      </c>
      <c r="F3663" t="str">
        <f>HLOOKUP(E3663, LookUP_Table!$A$6:$D$7, 2, FALSE)</f>
        <v>Graduate</v>
      </c>
      <c r="G3663" t="str">
        <f>IFERROR(VLOOKUP(E3663, LookUP_Table!$A$1:$B$4, 2, FALSE), "")</f>
        <v>Graduate</v>
      </c>
      <c r="H3663">
        <v>1</v>
      </c>
      <c r="I3663">
        <v>30</v>
      </c>
      <c r="J3663" t="str">
        <f t="shared" si="342"/>
        <v>Smoker</v>
      </c>
      <c r="K3663">
        <v>0</v>
      </c>
      <c r="L3663">
        <v>0</v>
      </c>
      <c r="M3663">
        <v>1</v>
      </c>
      <c r="N3663">
        <v>0</v>
      </c>
      <c r="O3663">
        <v>225</v>
      </c>
      <c r="P3663" t="str">
        <f t="shared" si="343"/>
        <v>Normal</v>
      </c>
      <c r="Q3663">
        <v>150</v>
      </c>
      <c r="R3663">
        <v>95</v>
      </c>
      <c r="S3663">
        <v>28.58</v>
      </c>
      <c r="T3663" t="str">
        <f t="shared" si="344"/>
        <v>Overweight</v>
      </c>
      <c r="U3663">
        <v>65</v>
      </c>
      <c r="V3663">
        <v>103</v>
      </c>
      <c r="W3663" t="str">
        <f t="shared" si="347"/>
        <v>Prediabetes</v>
      </c>
      <c r="X3663">
        <v>1</v>
      </c>
    </row>
    <row r="3664" spans="1:24" ht="14.5" thickBot="1" x14ac:dyDescent="0.35">
      <c r="A3664">
        <v>0</v>
      </c>
      <c r="B3664" t="str">
        <f t="shared" si="345"/>
        <v>Female</v>
      </c>
      <c r="C3664" s="8">
        <v>61</v>
      </c>
      <c r="D3664" t="str">
        <f t="shared" si="346"/>
        <v>Senior</v>
      </c>
      <c r="E3664">
        <v>3</v>
      </c>
      <c r="F3664" t="str">
        <f>HLOOKUP(E3664, LookUP_Table!$A$6:$D$7, 2, FALSE)</f>
        <v>Graduate</v>
      </c>
      <c r="G3664" t="str">
        <f>IFERROR(VLOOKUP(E3664, LookUP_Table!$A$1:$B$4, 2, FALSE), "")</f>
        <v>Graduate</v>
      </c>
      <c r="H3664">
        <v>0</v>
      </c>
      <c r="I3664">
        <v>0</v>
      </c>
      <c r="J3664" t="str">
        <f t="shared" si="342"/>
        <v>Non-Smoker</v>
      </c>
      <c r="K3664">
        <v>0</v>
      </c>
      <c r="L3664">
        <v>0</v>
      </c>
      <c r="M3664">
        <v>1</v>
      </c>
      <c r="N3664">
        <v>0</v>
      </c>
      <c r="O3664">
        <v>272</v>
      </c>
      <c r="P3664" t="str">
        <f t="shared" si="343"/>
        <v>High</v>
      </c>
      <c r="Q3664">
        <v>182</v>
      </c>
      <c r="R3664">
        <v>121</v>
      </c>
      <c r="S3664">
        <v>32.799999999999997</v>
      </c>
      <c r="T3664" t="str">
        <f t="shared" si="344"/>
        <v>Obese</v>
      </c>
      <c r="U3664">
        <v>85</v>
      </c>
      <c r="V3664">
        <v>65</v>
      </c>
      <c r="W3664" t="str">
        <f t="shared" si="347"/>
        <v>Normal</v>
      </c>
      <c r="X3664">
        <v>1</v>
      </c>
    </row>
    <row r="3665" spans="1:24" ht="14.5" thickBot="1" x14ac:dyDescent="0.35">
      <c r="A3665">
        <v>1</v>
      </c>
      <c r="B3665" t="str">
        <f t="shared" si="345"/>
        <v>Male</v>
      </c>
      <c r="C3665" s="8">
        <v>61</v>
      </c>
      <c r="D3665" t="str">
        <f t="shared" si="346"/>
        <v>Senior</v>
      </c>
      <c r="E3665">
        <v>1</v>
      </c>
      <c r="F3665" t="str">
        <f>HLOOKUP(E3665, LookUP_Table!$A$6:$D$7, 2, FALSE)</f>
        <v>Primary</v>
      </c>
      <c r="G3665" t="str">
        <f>IFERROR(VLOOKUP(E3665, LookUP_Table!$A$1:$B$4, 2, FALSE), "")</f>
        <v>Primary</v>
      </c>
      <c r="H3665">
        <v>1</v>
      </c>
      <c r="I3665">
        <v>5</v>
      </c>
      <c r="J3665" t="str">
        <f t="shared" si="342"/>
        <v>Smoker</v>
      </c>
      <c r="K3665">
        <v>0</v>
      </c>
      <c r="L3665">
        <v>0</v>
      </c>
      <c r="M3665">
        <v>0</v>
      </c>
      <c r="N3665">
        <v>0</v>
      </c>
      <c r="O3665">
        <v>175</v>
      </c>
      <c r="P3665" t="str">
        <f t="shared" si="343"/>
        <v>Normal</v>
      </c>
      <c r="Q3665">
        <v>134</v>
      </c>
      <c r="R3665">
        <v>82.5</v>
      </c>
      <c r="S3665">
        <v>18.59</v>
      </c>
      <c r="T3665" t="str">
        <f t="shared" si="344"/>
        <v>Normal</v>
      </c>
      <c r="U3665">
        <v>72</v>
      </c>
      <c r="V3665">
        <v>75</v>
      </c>
      <c r="W3665" t="str">
        <f t="shared" si="347"/>
        <v>Normal</v>
      </c>
      <c r="X3665">
        <v>1</v>
      </c>
    </row>
    <row r="3666" spans="1:24" ht="14.5" thickBot="1" x14ac:dyDescent="0.35">
      <c r="A3666">
        <v>0</v>
      </c>
      <c r="B3666" t="str">
        <f t="shared" si="345"/>
        <v>Female</v>
      </c>
      <c r="C3666" s="8">
        <v>61</v>
      </c>
      <c r="D3666" t="str">
        <f t="shared" si="346"/>
        <v>Senior</v>
      </c>
      <c r="E3666">
        <v>1</v>
      </c>
      <c r="F3666" t="str">
        <f>HLOOKUP(E3666, LookUP_Table!$A$6:$D$7, 2, FALSE)</f>
        <v>Primary</v>
      </c>
      <c r="G3666" t="str">
        <f>IFERROR(VLOOKUP(E3666, LookUP_Table!$A$1:$B$4, 2, FALSE), "")</f>
        <v>Primary</v>
      </c>
      <c r="H3666">
        <v>0</v>
      </c>
      <c r="I3666">
        <v>0</v>
      </c>
      <c r="J3666" t="str">
        <f t="shared" si="342"/>
        <v>Non-Smoker</v>
      </c>
      <c r="K3666">
        <v>0</v>
      </c>
      <c r="L3666">
        <v>0</v>
      </c>
      <c r="M3666">
        <v>1</v>
      </c>
      <c r="N3666">
        <v>0</v>
      </c>
      <c r="O3666">
        <v>210</v>
      </c>
      <c r="P3666" t="str">
        <f t="shared" si="343"/>
        <v>Normal</v>
      </c>
      <c r="Q3666">
        <v>182</v>
      </c>
      <c r="R3666">
        <v>101</v>
      </c>
      <c r="S3666">
        <v>29.35</v>
      </c>
      <c r="T3666" t="str">
        <f t="shared" si="344"/>
        <v>Overweight</v>
      </c>
      <c r="U3666">
        <v>70</v>
      </c>
      <c r="V3666">
        <v>83</v>
      </c>
      <c r="W3666" t="str">
        <f t="shared" si="347"/>
        <v>Normal</v>
      </c>
      <c r="X3666">
        <v>0</v>
      </c>
    </row>
    <row r="3667" spans="1:24" ht="14.5" thickBot="1" x14ac:dyDescent="0.35">
      <c r="A3667">
        <v>0</v>
      </c>
      <c r="B3667" t="str">
        <f t="shared" si="345"/>
        <v>Female</v>
      </c>
      <c r="C3667" s="8">
        <v>61</v>
      </c>
      <c r="D3667" t="str">
        <f t="shared" si="346"/>
        <v>Senior</v>
      </c>
      <c r="E3667">
        <v>2</v>
      </c>
      <c r="F3667" t="str">
        <f>HLOOKUP(E3667, LookUP_Table!$A$6:$D$7, 2, FALSE)</f>
        <v>Secondary</v>
      </c>
      <c r="G3667" t="str">
        <f>IFERROR(VLOOKUP(E3667, LookUP_Table!$A$1:$B$4, 2, FALSE), "")</f>
        <v>Secondary</v>
      </c>
      <c r="H3667">
        <v>1</v>
      </c>
      <c r="I3667">
        <v>1</v>
      </c>
      <c r="J3667" t="str">
        <f t="shared" si="342"/>
        <v>Smoker</v>
      </c>
      <c r="K3667">
        <v>0</v>
      </c>
      <c r="L3667">
        <v>0</v>
      </c>
      <c r="M3667">
        <v>1</v>
      </c>
      <c r="N3667">
        <v>0</v>
      </c>
      <c r="O3667">
        <v>326</v>
      </c>
      <c r="P3667" t="str">
        <f t="shared" si="343"/>
        <v>High</v>
      </c>
      <c r="Q3667">
        <v>200</v>
      </c>
      <c r="R3667">
        <v>104</v>
      </c>
      <c r="S3667">
        <v>38.46</v>
      </c>
      <c r="T3667" t="str">
        <f t="shared" si="344"/>
        <v>Obese</v>
      </c>
      <c r="U3667">
        <v>57</v>
      </c>
      <c r="V3667">
        <v>78</v>
      </c>
      <c r="W3667" t="str">
        <f t="shared" si="347"/>
        <v>Normal</v>
      </c>
      <c r="X3667">
        <v>0</v>
      </c>
    </row>
    <row r="3668" spans="1:24" ht="14.5" thickBot="1" x14ac:dyDescent="0.35">
      <c r="A3668">
        <v>1</v>
      </c>
      <c r="B3668" t="str">
        <f t="shared" si="345"/>
        <v>Male</v>
      </c>
      <c r="C3668" s="8">
        <v>61</v>
      </c>
      <c r="D3668" t="str">
        <f t="shared" si="346"/>
        <v>Senior</v>
      </c>
      <c r="E3668">
        <v>2</v>
      </c>
      <c r="F3668" t="str">
        <f>HLOOKUP(E3668, LookUP_Table!$A$6:$D$7, 2, FALSE)</f>
        <v>Secondary</v>
      </c>
      <c r="G3668" t="str">
        <f>IFERROR(VLOOKUP(E3668, LookUP_Table!$A$1:$B$4, 2, FALSE), "")</f>
        <v>Secondary</v>
      </c>
      <c r="H3668">
        <v>0</v>
      </c>
      <c r="I3668">
        <v>0</v>
      </c>
      <c r="J3668" t="str">
        <f t="shared" si="342"/>
        <v>Non-Smoker</v>
      </c>
      <c r="K3668">
        <v>0</v>
      </c>
      <c r="L3668">
        <v>0</v>
      </c>
      <c r="M3668">
        <v>0</v>
      </c>
      <c r="N3668">
        <v>0</v>
      </c>
      <c r="O3668">
        <v>246</v>
      </c>
      <c r="P3668" t="str">
        <f t="shared" si="343"/>
        <v>High</v>
      </c>
      <c r="Q3668">
        <v>124</v>
      </c>
      <c r="R3668">
        <v>70</v>
      </c>
      <c r="S3668">
        <v>25.63</v>
      </c>
      <c r="T3668" t="str">
        <f t="shared" si="344"/>
        <v>Overweight</v>
      </c>
      <c r="U3668">
        <v>55</v>
      </c>
      <c r="V3668">
        <v>78</v>
      </c>
      <c r="W3668" t="str">
        <f t="shared" si="347"/>
        <v>Normal</v>
      </c>
      <c r="X3668">
        <v>1</v>
      </c>
    </row>
    <row r="3669" spans="1:24" ht="14.5" thickBot="1" x14ac:dyDescent="0.35">
      <c r="A3669">
        <v>0</v>
      </c>
      <c r="B3669" t="str">
        <f t="shared" si="345"/>
        <v>Female</v>
      </c>
      <c r="C3669" s="8">
        <v>61</v>
      </c>
      <c r="D3669" t="str">
        <f t="shared" si="346"/>
        <v>Senior</v>
      </c>
      <c r="E3669">
        <v>1</v>
      </c>
      <c r="F3669" t="str">
        <f>HLOOKUP(E3669, LookUP_Table!$A$6:$D$7, 2, FALSE)</f>
        <v>Primary</v>
      </c>
      <c r="G3669" t="str">
        <f>IFERROR(VLOOKUP(E3669, LookUP_Table!$A$1:$B$4, 2, FALSE), "")</f>
        <v>Primary</v>
      </c>
      <c r="H3669">
        <v>0</v>
      </c>
      <c r="I3669">
        <v>0</v>
      </c>
      <c r="J3669" t="str">
        <f t="shared" si="342"/>
        <v>Non-Smoker</v>
      </c>
      <c r="K3669">
        <v>0</v>
      </c>
      <c r="L3669">
        <v>0</v>
      </c>
      <c r="M3669">
        <v>0</v>
      </c>
      <c r="N3669">
        <v>0</v>
      </c>
      <c r="O3669">
        <v>220</v>
      </c>
      <c r="P3669" t="str">
        <f t="shared" si="343"/>
        <v>Normal</v>
      </c>
      <c r="Q3669">
        <v>142</v>
      </c>
      <c r="R3669">
        <v>93</v>
      </c>
      <c r="S3669">
        <v>23.37</v>
      </c>
      <c r="T3669" t="str">
        <f t="shared" si="344"/>
        <v>Normal</v>
      </c>
      <c r="U3669">
        <v>80</v>
      </c>
      <c r="V3669">
        <v>79</v>
      </c>
      <c r="W3669" t="str">
        <f t="shared" si="347"/>
        <v>Normal</v>
      </c>
      <c r="X3669">
        <v>0</v>
      </c>
    </row>
    <row r="3670" spans="1:24" ht="14.5" thickBot="1" x14ac:dyDescent="0.35">
      <c r="A3670">
        <v>0</v>
      </c>
      <c r="B3670" t="str">
        <f t="shared" si="345"/>
        <v>Female</v>
      </c>
      <c r="C3670" s="8">
        <v>61</v>
      </c>
      <c r="D3670" t="str">
        <f t="shared" si="346"/>
        <v>Senior</v>
      </c>
      <c r="E3670">
        <v>1</v>
      </c>
      <c r="F3670" t="str">
        <f>HLOOKUP(E3670, LookUP_Table!$A$6:$D$7, 2, FALSE)</f>
        <v>Primary</v>
      </c>
      <c r="G3670" t="str">
        <f>IFERROR(VLOOKUP(E3670, LookUP_Table!$A$1:$B$4, 2, FALSE), "")</f>
        <v>Primary</v>
      </c>
      <c r="H3670">
        <v>0</v>
      </c>
      <c r="I3670">
        <v>0</v>
      </c>
      <c r="J3670" t="str">
        <f t="shared" si="342"/>
        <v>Non-Smoker</v>
      </c>
      <c r="K3670">
        <v>0</v>
      </c>
      <c r="L3670">
        <v>0</v>
      </c>
      <c r="M3670">
        <v>0</v>
      </c>
      <c r="N3670">
        <v>0</v>
      </c>
      <c r="O3670">
        <v>312</v>
      </c>
      <c r="P3670" t="str">
        <f t="shared" si="343"/>
        <v>High</v>
      </c>
      <c r="Q3670">
        <v>136.5</v>
      </c>
      <c r="R3670">
        <v>76</v>
      </c>
      <c r="S3670">
        <v>31.13</v>
      </c>
      <c r="T3670" t="str">
        <f t="shared" si="344"/>
        <v>Obese</v>
      </c>
      <c r="U3670">
        <v>71</v>
      </c>
      <c r="V3670">
        <v>85</v>
      </c>
      <c r="W3670" t="str">
        <f t="shared" si="347"/>
        <v>Normal</v>
      </c>
      <c r="X3670">
        <v>1</v>
      </c>
    </row>
    <row r="3671" spans="1:24" ht="14.5" thickBot="1" x14ac:dyDescent="0.35">
      <c r="A3671">
        <v>0</v>
      </c>
      <c r="B3671" t="str">
        <f t="shared" si="345"/>
        <v>Female</v>
      </c>
      <c r="C3671" s="8">
        <v>61</v>
      </c>
      <c r="D3671" t="str">
        <f t="shared" si="346"/>
        <v>Senior</v>
      </c>
      <c r="E3671">
        <v>1</v>
      </c>
      <c r="F3671" t="str">
        <f>HLOOKUP(E3671, LookUP_Table!$A$6:$D$7, 2, FALSE)</f>
        <v>Primary</v>
      </c>
      <c r="G3671" t="str">
        <f>IFERROR(VLOOKUP(E3671, LookUP_Table!$A$1:$B$4, 2, FALSE), "")</f>
        <v>Primary</v>
      </c>
      <c r="H3671">
        <v>1</v>
      </c>
      <c r="I3671">
        <v>20</v>
      </c>
      <c r="J3671" t="str">
        <f t="shared" si="342"/>
        <v>Smoker</v>
      </c>
      <c r="K3671">
        <v>0</v>
      </c>
      <c r="L3671">
        <v>0</v>
      </c>
      <c r="M3671">
        <v>0</v>
      </c>
      <c r="N3671">
        <v>0</v>
      </c>
      <c r="O3671">
        <v>229</v>
      </c>
      <c r="P3671" t="str">
        <f t="shared" si="343"/>
        <v>Normal</v>
      </c>
      <c r="Q3671">
        <v>122</v>
      </c>
      <c r="R3671">
        <v>83</v>
      </c>
      <c r="S3671">
        <v>25.45</v>
      </c>
      <c r="T3671" t="str">
        <f t="shared" si="344"/>
        <v>Overweight</v>
      </c>
      <c r="U3671">
        <v>78</v>
      </c>
      <c r="V3671">
        <v>61</v>
      </c>
      <c r="W3671" t="str">
        <f t="shared" si="347"/>
        <v>Normal</v>
      </c>
      <c r="X3671">
        <v>0</v>
      </c>
    </row>
    <row r="3672" spans="1:24" ht="14.5" thickBot="1" x14ac:dyDescent="0.35">
      <c r="A3672">
        <v>1</v>
      </c>
      <c r="B3672" t="str">
        <f t="shared" si="345"/>
        <v>Male</v>
      </c>
      <c r="C3672" s="8">
        <v>61</v>
      </c>
      <c r="D3672" t="str">
        <f t="shared" si="346"/>
        <v>Senior</v>
      </c>
      <c r="E3672">
        <v>1</v>
      </c>
      <c r="F3672" t="str">
        <f>HLOOKUP(E3672, LookUP_Table!$A$6:$D$7, 2, FALSE)</f>
        <v>Primary</v>
      </c>
      <c r="G3672" t="str">
        <f>IFERROR(VLOOKUP(E3672, LookUP_Table!$A$1:$B$4, 2, FALSE), "")</f>
        <v>Primary</v>
      </c>
      <c r="H3672">
        <v>0</v>
      </c>
      <c r="I3672">
        <v>0</v>
      </c>
      <c r="J3672" t="str">
        <f t="shared" si="342"/>
        <v>Non-Smoker</v>
      </c>
      <c r="K3672">
        <v>0</v>
      </c>
      <c r="L3672">
        <v>0</v>
      </c>
      <c r="M3672">
        <v>0</v>
      </c>
      <c r="N3672">
        <v>0</v>
      </c>
      <c r="O3672">
        <v>235</v>
      </c>
      <c r="P3672" t="str">
        <f t="shared" si="343"/>
        <v>Normal</v>
      </c>
      <c r="Q3672">
        <v>127</v>
      </c>
      <c r="R3672">
        <v>81</v>
      </c>
      <c r="S3672">
        <v>28.63</v>
      </c>
      <c r="T3672" t="str">
        <f t="shared" si="344"/>
        <v>Overweight</v>
      </c>
      <c r="U3672">
        <v>56</v>
      </c>
      <c r="V3672">
        <v>90</v>
      </c>
      <c r="W3672" t="str">
        <f t="shared" si="347"/>
        <v>Normal</v>
      </c>
      <c r="X3672">
        <v>0</v>
      </c>
    </row>
    <row r="3673" spans="1:24" ht="14.5" thickBot="1" x14ac:dyDescent="0.35">
      <c r="A3673">
        <v>1</v>
      </c>
      <c r="B3673" t="str">
        <f t="shared" si="345"/>
        <v>Male</v>
      </c>
      <c r="C3673" s="8">
        <v>61</v>
      </c>
      <c r="D3673" t="str">
        <f t="shared" si="346"/>
        <v>Senior</v>
      </c>
      <c r="E3673">
        <v>1</v>
      </c>
      <c r="F3673" t="str">
        <f>HLOOKUP(E3673, LookUP_Table!$A$6:$D$7, 2, FALSE)</f>
        <v>Primary</v>
      </c>
      <c r="G3673" t="str">
        <f>IFERROR(VLOOKUP(E3673, LookUP_Table!$A$1:$B$4, 2, FALSE), "")</f>
        <v>Primary</v>
      </c>
      <c r="H3673">
        <v>0</v>
      </c>
      <c r="I3673">
        <v>0</v>
      </c>
      <c r="J3673" t="str">
        <f t="shared" si="342"/>
        <v>Non-Smoker</v>
      </c>
      <c r="K3673">
        <v>0</v>
      </c>
      <c r="L3673">
        <v>0</v>
      </c>
      <c r="M3673">
        <v>0</v>
      </c>
      <c r="N3673">
        <v>0</v>
      </c>
      <c r="O3673">
        <v>239</v>
      </c>
      <c r="P3673" t="str">
        <f t="shared" si="343"/>
        <v>Normal</v>
      </c>
      <c r="Q3673">
        <v>143</v>
      </c>
      <c r="R3673">
        <v>80</v>
      </c>
      <c r="S3673">
        <v>25.74</v>
      </c>
      <c r="T3673" t="str">
        <f t="shared" si="344"/>
        <v>Overweight</v>
      </c>
      <c r="U3673">
        <v>48</v>
      </c>
      <c r="V3673">
        <v>81.96365524402907</v>
      </c>
      <c r="W3673" t="str">
        <f t="shared" si="347"/>
        <v>Normal</v>
      </c>
      <c r="X3673">
        <v>0</v>
      </c>
    </row>
    <row r="3674" spans="1:24" ht="14.5" thickBot="1" x14ac:dyDescent="0.35">
      <c r="A3674">
        <v>0</v>
      </c>
      <c r="B3674" t="str">
        <f t="shared" si="345"/>
        <v>Female</v>
      </c>
      <c r="C3674" s="8">
        <v>61</v>
      </c>
      <c r="D3674" t="str">
        <f t="shared" si="346"/>
        <v>Senior</v>
      </c>
      <c r="E3674">
        <v>3</v>
      </c>
      <c r="F3674" t="str">
        <f>HLOOKUP(E3674, LookUP_Table!$A$6:$D$7, 2, FALSE)</f>
        <v>Graduate</v>
      </c>
      <c r="G3674" t="str">
        <f>IFERROR(VLOOKUP(E3674, LookUP_Table!$A$1:$B$4, 2, FALSE), "")</f>
        <v>Graduate</v>
      </c>
      <c r="H3674">
        <v>0</v>
      </c>
      <c r="I3674">
        <v>0</v>
      </c>
      <c r="J3674" t="str">
        <f t="shared" si="342"/>
        <v>Non-Smoker</v>
      </c>
      <c r="K3674">
        <v>0</v>
      </c>
      <c r="L3674">
        <v>0</v>
      </c>
      <c r="M3674">
        <v>1</v>
      </c>
      <c r="N3674">
        <v>0</v>
      </c>
      <c r="O3674">
        <v>189</v>
      </c>
      <c r="P3674" t="str">
        <f t="shared" si="343"/>
        <v>Normal</v>
      </c>
      <c r="Q3674">
        <v>133</v>
      </c>
      <c r="R3674">
        <v>83</v>
      </c>
      <c r="S3674">
        <v>22.82</v>
      </c>
      <c r="T3674" t="str">
        <f t="shared" si="344"/>
        <v>Normal</v>
      </c>
      <c r="U3674">
        <v>87</v>
      </c>
      <c r="V3674">
        <v>81.96365524402907</v>
      </c>
      <c r="W3674" t="str">
        <f t="shared" si="347"/>
        <v>Normal</v>
      </c>
      <c r="X3674">
        <v>1</v>
      </c>
    </row>
    <row r="3675" spans="1:24" ht="14.5" thickBot="1" x14ac:dyDescent="0.35">
      <c r="A3675">
        <v>1</v>
      </c>
      <c r="B3675" t="str">
        <f t="shared" si="345"/>
        <v>Male</v>
      </c>
      <c r="C3675" s="8">
        <v>61</v>
      </c>
      <c r="D3675" t="str">
        <f t="shared" si="346"/>
        <v>Senior</v>
      </c>
      <c r="E3675">
        <v>1</v>
      </c>
      <c r="F3675" t="str">
        <f>HLOOKUP(E3675, LookUP_Table!$A$6:$D$7, 2, FALSE)</f>
        <v>Primary</v>
      </c>
      <c r="G3675" t="str">
        <f>IFERROR(VLOOKUP(E3675, LookUP_Table!$A$1:$B$4, 2, FALSE), "")</f>
        <v>Primary</v>
      </c>
      <c r="H3675">
        <v>0</v>
      </c>
      <c r="I3675">
        <v>0</v>
      </c>
      <c r="J3675" t="str">
        <f t="shared" si="342"/>
        <v>Non-Smoker</v>
      </c>
      <c r="K3675">
        <v>0</v>
      </c>
      <c r="L3675">
        <v>0</v>
      </c>
      <c r="M3675">
        <v>0</v>
      </c>
      <c r="N3675">
        <v>0</v>
      </c>
      <c r="O3675">
        <v>224</v>
      </c>
      <c r="P3675" t="str">
        <f t="shared" si="343"/>
        <v>Normal</v>
      </c>
      <c r="Q3675">
        <v>124</v>
      </c>
      <c r="R3675">
        <v>74</v>
      </c>
      <c r="S3675">
        <v>21.9</v>
      </c>
      <c r="T3675" t="str">
        <f t="shared" si="344"/>
        <v>Normal</v>
      </c>
      <c r="U3675">
        <v>55</v>
      </c>
      <c r="V3675">
        <v>75</v>
      </c>
      <c r="W3675" t="str">
        <f t="shared" si="347"/>
        <v>Normal</v>
      </c>
      <c r="X3675">
        <v>0</v>
      </c>
    </row>
    <row r="3676" spans="1:24" ht="14.5" thickBot="1" x14ac:dyDescent="0.35">
      <c r="A3676">
        <v>0</v>
      </c>
      <c r="B3676" t="str">
        <f t="shared" si="345"/>
        <v>Female</v>
      </c>
      <c r="C3676" s="8">
        <v>61</v>
      </c>
      <c r="D3676" t="str">
        <f t="shared" si="346"/>
        <v>Senior</v>
      </c>
      <c r="E3676">
        <v>1</v>
      </c>
      <c r="F3676" t="str">
        <f>HLOOKUP(E3676, LookUP_Table!$A$6:$D$7, 2, FALSE)</f>
        <v>Primary</v>
      </c>
      <c r="G3676" t="str">
        <f>IFERROR(VLOOKUP(E3676, LookUP_Table!$A$1:$B$4, 2, FALSE), "")</f>
        <v>Primary</v>
      </c>
      <c r="H3676">
        <v>0</v>
      </c>
      <c r="I3676">
        <v>0</v>
      </c>
      <c r="J3676" t="str">
        <f t="shared" si="342"/>
        <v>Non-Smoker</v>
      </c>
      <c r="K3676">
        <v>0</v>
      </c>
      <c r="L3676">
        <v>0</v>
      </c>
      <c r="M3676">
        <v>0</v>
      </c>
      <c r="N3676">
        <v>0</v>
      </c>
      <c r="O3676">
        <v>311</v>
      </c>
      <c r="P3676" t="str">
        <f t="shared" si="343"/>
        <v>High</v>
      </c>
      <c r="Q3676">
        <v>110</v>
      </c>
      <c r="R3676">
        <v>78.5</v>
      </c>
      <c r="S3676">
        <v>29.04</v>
      </c>
      <c r="T3676" t="str">
        <f t="shared" si="344"/>
        <v>Overweight</v>
      </c>
      <c r="U3676">
        <v>71</v>
      </c>
      <c r="V3676">
        <v>77</v>
      </c>
      <c r="W3676" t="str">
        <f t="shared" si="347"/>
        <v>Normal</v>
      </c>
      <c r="X3676">
        <v>0</v>
      </c>
    </row>
    <row r="3677" spans="1:24" ht="14.5" thickBot="1" x14ac:dyDescent="0.35">
      <c r="A3677">
        <v>0</v>
      </c>
      <c r="B3677" t="str">
        <f t="shared" si="345"/>
        <v>Female</v>
      </c>
      <c r="C3677" s="8">
        <v>61</v>
      </c>
      <c r="D3677" t="str">
        <f t="shared" si="346"/>
        <v>Senior</v>
      </c>
      <c r="E3677">
        <v>3</v>
      </c>
      <c r="F3677" t="str">
        <f>HLOOKUP(E3677, LookUP_Table!$A$6:$D$7, 2, FALSE)</f>
        <v>Graduate</v>
      </c>
      <c r="G3677" t="str">
        <f>IFERROR(VLOOKUP(E3677, LookUP_Table!$A$1:$B$4, 2, FALSE), "")</f>
        <v>Graduate</v>
      </c>
      <c r="H3677">
        <v>0</v>
      </c>
      <c r="I3677">
        <v>0</v>
      </c>
      <c r="J3677" t="str">
        <f t="shared" si="342"/>
        <v>Non-Smoker</v>
      </c>
      <c r="K3677">
        <v>0</v>
      </c>
      <c r="L3677">
        <v>0</v>
      </c>
      <c r="M3677">
        <v>1</v>
      </c>
      <c r="N3677">
        <v>0</v>
      </c>
      <c r="O3677">
        <v>290</v>
      </c>
      <c r="P3677" t="str">
        <f t="shared" si="343"/>
        <v>High</v>
      </c>
      <c r="Q3677">
        <v>170</v>
      </c>
      <c r="R3677">
        <v>98</v>
      </c>
      <c r="S3677">
        <v>26.98</v>
      </c>
      <c r="T3677" t="str">
        <f t="shared" si="344"/>
        <v>Overweight</v>
      </c>
      <c r="U3677">
        <v>80</v>
      </c>
      <c r="V3677">
        <v>84</v>
      </c>
      <c r="W3677" t="str">
        <f t="shared" si="347"/>
        <v>Normal</v>
      </c>
      <c r="X3677">
        <v>0</v>
      </c>
    </row>
    <row r="3678" spans="1:24" ht="14.5" thickBot="1" x14ac:dyDescent="0.35">
      <c r="A3678">
        <v>0</v>
      </c>
      <c r="B3678" t="str">
        <f t="shared" si="345"/>
        <v>Female</v>
      </c>
      <c r="C3678" s="8">
        <v>61</v>
      </c>
      <c r="D3678" t="str">
        <f t="shared" si="346"/>
        <v>Senior</v>
      </c>
      <c r="E3678">
        <v>1</v>
      </c>
      <c r="F3678" t="str">
        <f>HLOOKUP(E3678, LookUP_Table!$A$6:$D$7, 2, FALSE)</f>
        <v>Primary</v>
      </c>
      <c r="G3678" t="str">
        <f>IFERROR(VLOOKUP(E3678, LookUP_Table!$A$1:$B$4, 2, FALSE), "")</f>
        <v>Primary</v>
      </c>
      <c r="H3678">
        <v>1</v>
      </c>
      <c r="I3678">
        <v>15</v>
      </c>
      <c r="J3678" t="str">
        <f t="shared" si="342"/>
        <v>Smoker</v>
      </c>
      <c r="K3678">
        <v>0</v>
      </c>
      <c r="L3678">
        <v>0</v>
      </c>
      <c r="M3678">
        <v>0</v>
      </c>
      <c r="N3678">
        <v>0</v>
      </c>
      <c r="O3678">
        <v>206</v>
      </c>
      <c r="P3678" t="str">
        <f t="shared" si="343"/>
        <v>Normal</v>
      </c>
      <c r="Q3678">
        <v>130</v>
      </c>
      <c r="R3678">
        <v>80</v>
      </c>
      <c r="S3678">
        <v>21.93</v>
      </c>
      <c r="T3678" t="str">
        <f t="shared" si="344"/>
        <v>Normal</v>
      </c>
      <c r="U3678">
        <v>72</v>
      </c>
      <c r="V3678">
        <v>82</v>
      </c>
      <c r="W3678" t="str">
        <f t="shared" si="347"/>
        <v>Normal</v>
      </c>
      <c r="X3678">
        <v>0</v>
      </c>
    </row>
    <row r="3679" spans="1:24" ht="14.5" thickBot="1" x14ac:dyDescent="0.35">
      <c r="A3679">
        <v>1</v>
      </c>
      <c r="B3679" t="str">
        <f t="shared" si="345"/>
        <v>Male</v>
      </c>
      <c r="C3679" s="8">
        <v>61</v>
      </c>
      <c r="D3679" t="str">
        <f t="shared" si="346"/>
        <v>Senior</v>
      </c>
      <c r="E3679">
        <v>4</v>
      </c>
      <c r="F3679" t="str">
        <f>HLOOKUP(E3679, LookUP_Table!$A$6:$D$7, 2, FALSE)</f>
        <v>Post Graduate</v>
      </c>
      <c r="G3679" t="str">
        <f>IFERROR(VLOOKUP(E3679, LookUP_Table!$A$1:$B$4, 2, FALSE), "")</f>
        <v>Post Graduate</v>
      </c>
      <c r="H3679">
        <v>1</v>
      </c>
      <c r="I3679">
        <v>10</v>
      </c>
      <c r="J3679" t="str">
        <f t="shared" si="342"/>
        <v>Smoker</v>
      </c>
      <c r="K3679">
        <v>0</v>
      </c>
      <c r="L3679">
        <v>0</v>
      </c>
      <c r="M3679">
        <v>0</v>
      </c>
      <c r="N3679">
        <v>0</v>
      </c>
      <c r="O3679">
        <v>258</v>
      </c>
      <c r="P3679" t="str">
        <f t="shared" si="343"/>
        <v>High</v>
      </c>
      <c r="Q3679">
        <v>130</v>
      </c>
      <c r="R3679">
        <v>70</v>
      </c>
      <c r="S3679">
        <v>24.35</v>
      </c>
      <c r="T3679" t="str">
        <f t="shared" si="344"/>
        <v>Normal</v>
      </c>
      <c r="U3679">
        <v>67</v>
      </c>
      <c r="V3679">
        <v>78</v>
      </c>
      <c r="W3679" t="str">
        <f t="shared" si="347"/>
        <v>Normal</v>
      </c>
      <c r="X3679">
        <v>0</v>
      </c>
    </row>
    <row r="3680" spans="1:24" ht="14.5" thickBot="1" x14ac:dyDescent="0.35">
      <c r="A3680">
        <v>1</v>
      </c>
      <c r="B3680" t="str">
        <f t="shared" si="345"/>
        <v>Male</v>
      </c>
      <c r="C3680" s="8">
        <v>61</v>
      </c>
      <c r="D3680" t="str">
        <f t="shared" si="346"/>
        <v>Senior</v>
      </c>
      <c r="E3680">
        <v>1</v>
      </c>
      <c r="F3680" t="str">
        <f>HLOOKUP(E3680, LookUP_Table!$A$6:$D$7, 2, FALSE)</f>
        <v>Primary</v>
      </c>
      <c r="G3680" t="str">
        <f>IFERROR(VLOOKUP(E3680, LookUP_Table!$A$1:$B$4, 2, FALSE), "")</f>
        <v>Primary</v>
      </c>
      <c r="H3680">
        <v>0</v>
      </c>
      <c r="I3680">
        <v>0</v>
      </c>
      <c r="J3680" t="str">
        <f t="shared" si="342"/>
        <v>Non-Smoker</v>
      </c>
      <c r="K3680">
        <v>0</v>
      </c>
      <c r="L3680">
        <v>0</v>
      </c>
      <c r="M3680">
        <v>1</v>
      </c>
      <c r="N3680">
        <v>0</v>
      </c>
      <c r="O3680">
        <v>182</v>
      </c>
      <c r="P3680" t="str">
        <f t="shared" si="343"/>
        <v>Normal</v>
      </c>
      <c r="Q3680">
        <v>209</v>
      </c>
      <c r="R3680">
        <v>133</v>
      </c>
      <c r="S3680">
        <v>30.77</v>
      </c>
      <c r="T3680" t="str">
        <f t="shared" si="344"/>
        <v>Obese</v>
      </c>
      <c r="U3680">
        <v>65</v>
      </c>
      <c r="V3680">
        <v>75</v>
      </c>
      <c r="W3680" t="str">
        <f t="shared" si="347"/>
        <v>Normal</v>
      </c>
      <c r="X3680">
        <v>0</v>
      </c>
    </row>
    <row r="3681" spans="1:24" ht="14.5" thickBot="1" x14ac:dyDescent="0.35">
      <c r="A3681">
        <v>1</v>
      </c>
      <c r="B3681" t="str">
        <f t="shared" si="345"/>
        <v>Male</v>
      </c>
      <c r="C3681" s="8">
        <v>61</v>
      </c>
      <c r="D3681" t="str">
        <f t="shared" si="346"/>
        <v>Senior</v>
      </c>
      <c r="E3681">
        <v>1</v>
      </c>
      <c r="F3681" t="str">
        <f>HLOOKUP(E3681, LookUP_Table!$A$6:$D$7, 2, FALSE)</f>
        <v>Primary</v>
      </c>
      <c r="G3681" t="str">
        <f>IFERROR(VLOOKUP(E3681, LookUP_Table!$A$1:$B$4, 2, FALSE), "")</f>
        <v>Primary</v>
      </c>
      <c r="H3681">
        <v>0</v>
      </c>
      <c r="I3681">
        <v>0</v>
      </c>
      <c r="J3681" t="str">
        <f t="shared" si="342"/>
        <v>Non-Smoker</v>
      </c>
      <c r="K3681">
        <v>1</v>
      </c>
      <c r="L3681">
        <v>0</v>
      </c>
      <c r="M3681">
        <v>1</v>
      </c>
      <c r="N3681">
        <v>1</v>
      </c>
      <c r="O3681">
        <v>270</v>
      </c>
      <c r="P3681" t="str">
        <f t="shared" si="343"/>
        <v>High</v>
      </c>
      <c r="Q3681">
        <v>177.5</v>
      </c>
      <c r="R3681">
        <v>95</v>
      </c>
      <c r="S3681">
        <v>28.15</v>
      </c>
      <c r="T3681" t="str">
        <f t="shared" si="344"/>
        <v>Overweight</v>
      </c>
      <c r="U3681">
        <v>62</v>
      </c>
      <c r="V3681">
        <v>123</v>
      </c>
      <c r="W3681" t="str">
        <f t="shared" si="347"/>
        <v>Prediabetes</v>
      </c>
      <c r="X3681">
        <v>1</v>
      </c>
    </row>
    <row r="3682" spans="1:24" ht="14.5" thickBot="1" x14ac:dyDescent="0.35">
      <c r="A3682">
        <v>0</v>
      </c>
      <c r="B3682" t="str">
        <f t="shared" si="345"/>
        <v>Female</v>
      </c>
      <c r="C3682" s="8">
        <v>61</v>
      </c>
      <c r="D3682" t="str">
        <f t="shared" si="346"/>
        <v>Senior</v>
      </c>
      <c r="E3682">
        <v>1</v>
      </c>
      <c r="F3682" t="str">
        <f>HLOOKUP(E3682, LookUP_Table!$A$6:$D$7, 2, FALSE)</f>
        <v>Primary</v>
      </c>
      <c r="G3682" t="str">
        <f>IFERROR(VLOOKUP(E3682, LookUP_Table!$A$1:$B$4, 2, FALSE), "")</f>
        <v>Primary</v>
      </c>
      <c r="H3682">
        <v>0</v>
      </c>
      <c r="I3682">
        <v>0</v>
      </c>
      <c r="J3682" t="str">
        <f t="shared" si="342"/>
        <v>Non-Smoker</v>
      </c>
      <c r="K3682">
        <v>0</v>
      </c>
      <c r="L3682">
        <v>0</v>
      </c>
      <c r="M3682">
        <v>1</v>
      </c>
      <c r="N3682">
        <v>0</v>
      </c>
      <c r="O3682">
        <v>217</v>
      </c>
      <c r="P3682" t="str">
        <f t="shared" si="343"/>
        <v>Normal</v>
      </c>
      <c r="Q3682">
        <v>189</v>
      </c>
      <c r="R3682">
        <v>121</v>
      </c>
      <c r="S3682">
        <v>37.409999999999997</v>
      </c>
      <c r="T3682" t="str">
        <f t="shared" si="344"/>
        <v>Obese</v>
      </c>
      <c r="U3682">
        <v>85</v>
      </c>
      <c r="V3682">
        <v>100</v>
      </c>
      <c r="W3682" t="str">
        <f t="shared" si="347"/>
        <v>Prediabetes</v>
      </c>
      <c r="X3682">
        <v>0</v>
      </c>
    </row>
    <row r="3683" spans="1:24" ht="14.5" thickBot="1" x14ac:dyDescent="0.35">
      <c r="A3683">
        <v>0</v>
      </c>
      <c r="B3683" t="str">
        <f t="shared" si="345"/>
        <v>Female</v>
      </c>
      <c r="C3683" s="8">
        <v>61</v>
      </c>
      <c r="D3683" t="str">
        <f t="shared" si="346"/>
        <v>Senior</v>
      </c>
      <c r="E3683">
        <v>1</v>
      </c>
      <c r="F3683" t="str">
        <f>HLOOKUP(E3683, LookUP_Table!$A$6:$D$7, 2, FALSE)</f>
        <v>Primary</v>
      </c>
      <c r="G3683" t="str">
        <f>IFERROR(VLOOKUP(E3683, LookUP_Table!$A$1:$B$4, 2, FALSE), "")</f>
        <v>Primary</v>
      </c>
      <c r="H3683">
        <v>1</v>
      </c>
      <c r="I3683">
        <v>5</v>
      </c>
      <c r="J3683" t="str">
        <f t="shared" si="342"/>
        <v>Smoker</v>
      </c>
      <c r="K3683">
        <v>0</v>
      </c>
      <c r="L3683">
        <v>0</v>
      </c>
      <c r="M3683">
        <v>1</v>
      </c>
      <c r="N3683">
        <v>0</v>
      </c>
      <c r="O3683">
        <v>243</v>
      </c>
      <c r="P3683" t="str">
        <f t="shared" si="343"/>
        <v>High</v>
      </c>
      <c r="Q3683">
        <v>149</v>
      </c>
      <c r="R3683">
        <v>77</v>
      </c>
      <c r="S3683">
        <v>22.73</v>
      </c>
      <c r="T3683" t="str">
        <f t="shared" si="344"/>
        <v>Normal</v>
      </c>
      <c r="U3683">
        <v>86</v>
      </c>
      <c r="V3683">
        <v>81.96365524402907</v>
      </c>
      <c r="W3683" t="str">
        <f t="shared" si="347"/>
        <v>Normal</v>
      </c>
      <c r="X3683">
        <v>0</v>
      </c>
    </row>
    <row r="3684" spans="1:24" ht="14.5" thickBot="1" x14ac:dyDescent="0.35">
      <c r="A3684">
        <v>0</v>
      </c>
      <c r="B3684" t="str">
        <f t="shared" si="345"/>
        <v>Female</v>
      </c>
      <c r="C3684" s="8">
        <v>61</v>
      </c>
      <c r="D3684" t="str">
        <f t="shared" si="346"/>
        <v>Senior</v>
      </c>
      <c r="E3684">
        <v>1</v>
      </c>
      <c r="F3684" t="str">
        <f>HLOOKUP(E3684, LookUP_Table!$A$6:$D$7, 2, FALSE)</f>
        <v>Primary</v>
      </c>
      <c r="G3684" t="str">
        <f>IFERROR(VLOOKUP(E3684, LookUP_Table!$A$1:$B$4, 2, FALSE), "")</f>
        <v>Primary</v>
      </c>
      <c r="H3684">
        <v>1</v>
      </c>
      <c r="I3684">
        <v>20</v>
      </c>
      <c r="J3684" t="str">
        <f t="shared" si="342"/>
        <v>Smoker</v>
      </c>
      <c r="K3684">
        <v>0</v>
      </c>
      <c r="L3684">
        <v>0</v>
      </c>
      <c r="M3684">
        <v>1</v>
      </c>
      <c r="N3684">
        <v>0</v>
      </c>
      <c r="O3684">
        <v>245</v>
      </c>
      <c r="P3684" t="str">
        <f t="shared" si="343"/>
        <v>High</v>
      </c>
      <c r="Q3684">
        <v>140</v>
      </c>
      <c r="R3684">
        <v>73</v>
      </c>
      <c r="S3684">
        <v>30.74</v>
      </c>
      <c r="T3684" t="str">
        <f t="shared" si="344"/>
        <v>Obese</v>
      </c>
      <c r="U3684">
        <v>90</v>
      </c>
      <c r="V3684">
        <v>91</v>
      </c>
      <c r="W3684" t="str">
        <f t="shared" si="347"/>
        <v>Normal</v>
      </c>
      <c r="X3684">
        <v>1</v>
      </c>
    </row>
    <row r="3685" spans="1:24" ht="14.5" thickBot="1" x14ac:dyDescent="0.35">
      <c r="A3685">
        <v>0</v>
      </c>
      <c r="B3685" t="str">
        <f t="shared" si="345"/>
        <v>Female</v>
      </c>
      <c r="C3685" s="8">
        <v>61</v>
      </c>
      <c r="D3685" t="str">
        <f t="shared" si="346"/>
        <v>Senior</v>
      </c>
      <c r="E3685">
        <v>1</v>
      </c>
      <c r="F3685" t="str">
        <f>HLOOKUP(E3685, LookUP_Table!$A$6:$D$7, 2, FALSE)</f>
        <v>Primary</v>
      </c>
      <c r="G3685" t="str">
        <f>IFERROR(VLOOKUP(E3685, LookUP_Table!$A$1:$B$4, 2, FALSE), "")</f>
        <v>Primary</v>
      </c>
      <c r="H3685">
        <v>1</v>
      </c>
      <c r="I3685">
        <v>6</v>
      </c>
      <c r="J3685" t="str">
        <f t="shared" si="342"/>
        <v>Smoker</v>
      </c>
      <c r="K3685">
        <v>0</v>
      </c>
      <c r="L3685">
        <v>0</v>
      </c>
      <c r="M3685">
        <v>1</v>
      </c>
      <c r="N3685">
        <v>0</v>
      </c>
      <c r="O3685">
        <v>290</v>
      </c>
      <c r="P3685" t="str">
        <f t="shared" si="343"/>
        <v>High</v>
      </c>
      <c r="Q3685">
        <v>178</v>
      </c>
      <c r="R3685">
        <v>91</v>
      </c>
      <c r="S3685">
        <v>28.87</v>
      </c>
      <c r="T3685" t="str">
        <f t="shared" si="344"/>
        <v>Overweight</v>
      </c>
      <c r="U3685">
        <v>110</v>
      </c>
      <c r="V3685">
        <v>80</v>
      </c>
      <c r="W3685" t="str">
        <f t="shared" si="347"/>
        <v>Normal</v>
      </c>
      <c r="X3685">
        <v>0</v>
      </c>
    </row>
    <row r="3686" spans="1:24" ht="14.5" thickBot="1" x14ac:dyDescent="0.35">
      <c r="A3686">
        <v>0</v>
      </c>
      <c r="B3686" t="str">
        <f t="shared" si="345"/>
        <v>Female</v>
      </c>
      <c r="C3686" s="8">
        <v>61</v>
      </c>
      <c r="D3686" t="str">
        <f t="shared" si="346"/>
        <v>Senior</v>
      </c>
      <c r="E3686">
        <v>2</v>
      </c>
      <c r="F3686" t="str">
        <f>HLOOKUP(E3686, LookUP_Table!$A$6:$D$7, 2, FALSE)</f>
        <v>Secondary</v>
      </c>
      <c r="G3686" t="str">
        <f>IFERROR(VLOOKUP(E3686, LookUP_Table!$A$1:$B$4, 2, FALSE), "")</f>
        <v>Secondary</v>
      </c>
      <c r="H3686">
        <v>0</v>
      </c>
      <c r="I3686">
        <v>0</v>
      </c>
      <c r="J3686" t="str">
        <f t="shared" si="342"/>
        <v>Non-Smoker</v>
      </c>
      <c r="K3686">
        <v>0</v>
      </c>
      <c r="L3686">
        <v>0</v>
      </c>
      <c r="M3686">
        <v>0</v>
      </c>
      <c r="N3686">
        <v>0</v>
      </c>
      <c r="O3686">
        <v>255</v>
      </c>
      <c r="P3686" t="str">
        <f t="shared" si="343"/>
        <v>High</v>
      </c>
      <c r="Q3686">
        <v>114</v>
      </c>
      <c r="R3686">
        <v>70.5</v>
      </c>
      <c r="S3686">
        <v>24.79</v>
      </c>
      <c r="T3686" t="str">
        <f t="shared" si="344"/>
        <v>Normal</v>
      </c>
      <c r="U3686">
        <v>83</v>
      </c>
      <c r="V3686">
        <v>107</v>
      </c>
      <c r="W3686" t="str">
        <f t="shared" si="347"/>
        <v>Prediabetes</v>
      </c>
      <c r="X3686">
        <v>0</v>
      </c>
    </row>
    <row r="3687" spans="1:24" ht="14.5" thickBot="1" x14ac:dyDescent="0.35">
      <c r="A3687">
        <v>0</v>
      </c>
      <c r="B3687" t="str">
        <f t="shared" si="345"/>
        <v>Female</v>
      </c>
      <c r="C3687" s="8">
        <v>61</v>
      </c>
      <c r="D3687" t="str">
        <f t="shared" si="346"/>
        <v>Senior</v>
      </c>
      <c r="E3687">
        <v>1</v>
      </c>
      <c r="F3687" t="str">
        <f>HLOOKUP(E3687, LookUP_Table!$A$6:$D$7, 2, FALSE)</f>
        <v>Primary</v>
      </c>
      <c r="G3687" t="str">
        <f>IFERROR(VLOOKUP(E3687, LookUP_Table!$A$1:$B$4, 2, FALSE), "")</f>
        <v>Primary</v>
      </c>
      <c r="H3687">
        <v>0</v>
      </c>
      <c r="I3687">
        <v>0</v>
      </c>
      <c r="J3687" t="str">
        <f t="shared" si="342"/>
        <v>Non-Smoker</v>
      </c>
      <c r="K3687">
        <v>0</v>
      </c>
      <c r="L3687">
        <v>0</v>
      </c>
      <c r="M3687">
        <v>1</v>
      </c>
      <c r="N3687">
        <v>0</v>
      </c>
      <c r="O3687">
        <v>259</v>
      </c>
      <c r="P3687" t="str">
        <f t="shared" si="343"/>
        <v>High</v>
      </c>
      <c r="Q3687">
        <v>167.5</v>
      </c>
      <c r="R3687">
        <v>91.5</v>
      </c>
      <c r="S3687">
        <v>29.53</v>
      </c>
      <c r="T3687" t="str">
        <f t="shared" si="344"/>
        <v>Overweight</v>
      </c>
      <c r="U3687">
        <v>108</v>
      </c>
      <c r="V3687">
        <v>85</v>
      </c>
      <c r="W3687" t="str">
        <f t="shared" si="347"/>
        <v>Normal</v>
      </c>
      <c r="X3687">
        <v>0</v>
      </c>
    </row>
    <row r="3688" spans="1:24" ht="14.5" thickBot="1" x14ac:dyDescent="0.35">
      <c r="A3688">
        <v>1</v>
      </c>
      <c r="B3688" t="str">
        <f t="shared" si="345"/>
        <v>Male</v>
      </c>
      <c r="C3688" s="8">
        <v>61</v>
      </c>
      <c r="D3688" t="str">
        <f t="shared" si="346"/>
        <v>Senior</v>
      </c>
      <c r="E3688">
        <v>1</v>
      </c>
      <c r="F3688" t="str">
        <f>HLOOKUP(E3688, LookUP_Table!$A$6:$D$7, 2, FALSE)</f>
        <v>Primary</v>
      </c>
      <c r="G3688" t="str">
        <f>IFERROR(VLOOKUP(E3688, LookUP_Table!$A$1:$B$4, 2, FALSE), "")</f>
        <v>Primary</v>
      </c>
      <c r="H3688">
        <v>1</v>
      </c>
      <c r="I3688">
        <v>20</v>
      </c>
      <c r="J3688" t="str">
        <f t="shared" si="342"/>
        <v>Smoker</v>
      </c>
      <c r="K3688">
        <v>0</v>
      </c>
      <c r="L3688">
        <v>0</v>
      </c>
      <c r="M3688">
        <v>1</v>
      </c>
      <c r="N3688">
        <v>0</v>
      </c>
      <c r="O3688">
        <v>360</v>
      </c>
      <c r="P3688" t="str">
        <f t="shared" si="343"/>
        <v>High</v>
      </c>
      <c r="Q3688">
        <v>157</v>
      </c>
      <c r="R3688">
        <v>99</v>
      </c>
      <c r="S3688">
        <v>28.74</v>
      </c>
      <c r="T3688" t="str">
        <f t="shared" si="344"/>
        <v>Overweight</v>
      </c>
      <c r="U3688">
        <v>95</v>
      </c>
      <c r="V3688">
        <v>73</v>
      </c>
      <c r="W3688" t="str">
        <f t="shared" si="347"/>
        <v>Normal</v>
      </c>
      <c r="X3688">
        <v>0</v>
      </c>
    </row>
    <row r="3689" spans="1:24" ht="14.5" thickBot="1" x14ac:dyDescent="0.35">
      <c r="A3689">
        <v>0</v>
      </c>
      <c r="B3689" t="str">
        <f t="shared" si="345"/>
        <v>Female</v>
      </c>
      <c r="C3689" s="8">
        <v>61</v>
      </c>
      <c r="D3689" t="str">
        <f t="shared" si="346"/>
        <v>Senior</v>
      </c>
      <c r="E3689">
        <v>1</v>
      </c>
      <c r="F3689" t="str">
        <f>HLOOKUP(E3689, LookUP_Table!$A$6:$D$7, 2, FALSE)</f>
        <v>Primary</v>
      </c>
      <c r="G3689" t="str">
        <f>IFERROR(VLOOKUP(E3689, LookUP_Table!$A$1:$B$4, 2, FALSE), "")</f>
        <v>Primary</v>
      </c>
      <c r="H3689">
        <v>0</v>
      </c>
      <c r="I3689">
        <v>0</v>
      </c>
      <c r="J3689" t="str">
        <f t="shared" si="342"/>
        <v>Non-Smoker</v>
      </c>
      <c r="K3689">
        <v>0</v>
      </c>
      <c r="L3689">
        <v>0</v>
      </c>
      <c r="M3689">
        <v>0</v>
      </c>
      <c r="N3689">
        <v>0</v>
      </c>
      <c r="O3689">
        <v>210</v>
      </c>
      <c r="P3689" t="str">
        <f t="shared" si="343"/>
        <v>Normal</v>
      </c>
      <c r="Q3689">
        <v>122</v>
      </c>
      <c r="R3689">
        <v>81</v>
      </c>
      <c r="S3689">
        <v>22.48</v>
      </c>
      <c r="T3689" t="str">
        <f t="shared" si="344"/>
        <v>Normal</v>
      </c>
      <c r="U3689">
        <v>68</v>
      </c>
      <c r="V3689">
        <v>97</v>
      </c>
      <c r="W3689" t="str">
        <f t="shared" si="347"/>
        <v>Normal</v>
      </c>
      <c r="X3689">
        <v>0</v>
      </c>
    </row>
    <row r="3690" spans="1:24" ht="14.5" thickBot="1" x14ac:dyDescent="0.35">
      <c r="A3690">
        <v>0</v>
      </c>
      <c r="B3690" t="str">
        <f t="shared" si="345"/>
        <v>Female</v>
      </c>
      <c r="C3690" s="8">
        <v>61</v>
      </c>
      <c r="D3690" t="str">
        <f t="shared" si="346"/>
        <v>Senior</v>
      </c>
      <c r="E3690">
        <v>1</v>
      </c>
      <c r="F3690" t="str">
        <f>HLOOKUP(E3690, LookUP_Table!$A$6:$D$7, 2, FALSE)</f>
        <v>Primary</v>
      </c>
      <c r="G3690" t="str">
        <f>IFERROR(VLOOKUP(E3690, LookUP_Table!$A$1:$B$4, 2, FALSE), "")</f>
        <v>Primary</v>
      </c>
      <c r="H3690">
        <v>0</v>
      </c>
      <c r="I3690">
        <v>0</v>
      </c>
      <c r="J3690" t="str">
        <f t="shared" si="342"/>
        <v>Non-Smoker</v>
      </c>
      <c r="K3690">
        <v>0</v>
      </c>
      <c r="L3690">
        <v>0</v>
      </c>
      <c r="M3690">
        <v>1</v>
      </c>
      <c r="N3690">
        <v>0</v>
      </c>
      <c r="O3690">
        <v>256</v>
      </c>
      <c r="P3690" t="str">
        <f t="shared" si="343"/>
        <v>High</v>
      </c>
      <c r="Q3690">
        <v>160</v>
      </c>
      <c r="R3690">
        <v>109</v>
      </c>
      <c r="S3690">
        <v>42.53</v>
      </c>
      <c r="T3690" t="str">
        <f t="shared" si="344"/>
        <v>Obese</v>
      </c>
      <c r="U3690">
        <v>81</v>
      </c>
      <c r="V3690">
        <v>79</v>
      </c>
      <c r="W3690" t="str">
        <f t="shared" si="347"/>
        <v>Normal</v>
      </c>
      <c r="X3690">
        <v>0</v>
      </c>
    </row>
    <row r="3691" spans="1:24" ht="14.5" thickBot="1" x14ac:dyDescent="0.35">
      <c r="A3691">
        <v>0</v>
      </c>
      <c r="B3691" t="str">
        <f t="shared" si="345"/>
        <v>Female</v>
      </c>
      <c r="C3691" s="8">
        <v>61</v>
      </c>
      <c r="D3691" t="str">
        <f t="shared" si="346"/>
        <v>Senior</v>
      </c>
      <c r="E3691">
        <v>3</v>
      </c>
      <c r="F3691" t="str">
        <f>HLOOKUP(E3691, LookUP_Table!$A$6:$D$7, 2, FALSE)</f>
        <v>Graduate</v>
      </c>
      <c r="G3691" t="str">
        <f>IFERROR(VLOOKUP(E3691, LookUP_Table!$A$1:$B$4, 2, FALSE), "")</f>
        <v>Graduate</v>
      </c>
      <c r="H3691">
        <v>1</v>
      </c>
      <c r="I3691">
        <v>1</v>
      </c>
      <c r="J3691" t="str">
        <f t="shared" si="342"/>
        <v>Smoker</v>
      </c>
      <c r="K3691">
        <v>0</v>
      </c>
      <c r="L3691">
        <v>0</v>
      </c>
      <c r="M3691">
        <v>0</v>
      </c>
      <c r="N3691">
        <v>0</v>
      </c>
      <c r="O3691">
        <v>310</v>
      </c>
      <c r="P3691" t="str">
        <f t="shared" si="343"/>
        <v>High</v>
      </c>
      <c r="Q3691">
        <v>118</v>
      </c>
      <c r="R3691">
        <v>77.5</v>
      </c>
      <c r="S3691">
        <v>24.03</v>
      </c>
      <c r="T3691" t="str">
        <f t="shared" si="344"/>
        <v>Normal</v>
      </c>
      <c r="U3691">
        <v>90</v>
      </c>
      <c r="V3691">
        <v>70</v>
      </c>
      <c r="W3691" t="str">
        <f t="shared" si="347"/>
        <v>Normal</v>
      </c>
      <c r="X3691">
        <v>0</v>
      </c>
    </row>
    <row r="3692" spans="1:24" ht="14.5" thickBot="1" x14ac:dyDescent="0.35">
      <c r="A3692">
        <v>1</v>
      </c>
      <c r="B3692" t="str">
        <f t="shared" si="345"/>
        <v>Male</v>
      </c>
      <c r="C3692" s="8">
        <v>61</v>
      </c>
      <c r="D3692" t="str">
        <f t="shared" si="346"/>
        <v>Senior</v>
      </c>
      <c r="E3692">
        <v>1</v>
      </c>
      <c r="F3692" t="str">
        <f>HLOOKUP(E3692, LookUP_Table!$A$6:$D$7, 2, FALSE)</f>
        <v>Primary</v>
      </c>
      <c r="G3692" t="str">
        <f>IFERROR(VLOOKUP(E3692, LookUP_Table!$A$1:$B$4, 2, FALSE), "")</f>
        <v>Primary</v>
      </c>
      <c r="H3692">
        <v>0</v>
      </c>
      <c r="I3692">
        <v>0</v>
      </c>
      <c r="J3692" t="str">
        <f t="shared" si="342"/>
        <v>Non-Smoker</v>
      </c>
      <c r="K3692">
        <v>0</v>
      </c>
      <c r="L3692">
        <v>0</v>
      </c>
      <c r="M3692">
        <v>1</v>
      </c>
      <c r="N3692">
        <v>0</v>
      </c>
      <c r="O3692">
        <v>201</v>
      </c>
      <c r="P3692" t="str">
        <f t="shared" si="343"/>
        <v>Normal</v>
      </c>
      <c r="Q3692">
        <v>164.5</v>
      </c>
      <c r="R3692">
        <v>93.5</v>
      </c>
      <c r="S3692">
        <v>27.73</v>
      </c>
      <c r="T3692" t="str">
        <f t="shared" si="344"/>
        <v>Overweight</v>
      </c>
      <c r="U3692">
        <v>78</v>
      </c>
      <c r="V3692">
        <v>95</v>
      </c>
      <c r="W3692" t="str">
        <f t="shared" si="347"/>
        <v>Normal</v>
      </c>
      <c r="X3692">
        <v>1</v>
      </c>
    </row>
    <row r="3693" spans="1:24" ht="14.5" thickBot="1" x14ac:dyDescent="0.35">
      <c r="A3693">
        <v>1</v>
      </c>
      <c r="B3693" t="str">
        <f t="shared" si="345"/>
        <v>Male</v>
      </c>
      <c r="C3693" s="8">
        <v>61</v>
      </c>
      <c r="D3693" t="str">
        <f t="shared" si="346"/>
        <v>Senior</v>
      </c>
      <c r="E3693">
        <v>1</v>
      </c>
      <c r="F3693" t="str">
        <f>HLOOKUP(E3693, LookUP_Table!$A$6:$D$7, 2, FALSE)</f>
        <v>Primary</v>
      </c>
      <c r="G3693" t="str">
        <f>IFERROR(VLOOKUP(E3693, LookUP_Table!$A$1:$B$4, 2, FALSE), "")</f>
        <v>Primary</v>
      </c>
      <c r="H3693">
        <v>0</v>
      </c>
      <c r="I3693">
        <v>0</v>
      </c>
      <c r="J3693" t="str">
        <f t="shared" si="342"/>
        <v>Non-Smoker</v>
      </c>
      <c r="K3693">
        <v>0</v>
      </c>
      <c r="L3693">
        <v>0</v>
      </c>
      <c r="M3693">
        <v>0</v>
      </c>
      <c r="N3693">
        <v>0</v>
      </c>
      <c r="O3693">
        <v>227</v>
      </c>
      <c r="P3693" t="str">
        <f t="shared" si="343"/>
        <v>Normal</v>
      </c>
      <c r="Q3693">
        <v>130</v>
      </c>
      <c r="R3693">
        <v>77.5</v>
      </c>
      <c r="S3693">
        <v>26.18</v>
      </c>
      <c r="T3693" t="str">
        <f t="shared" si="344"/>
        <v>Overweight</v>
      </c>
      <c r="U3693">
        <v>63</v>
      </c>
      <c r="V3693">
        <v>91</v>
      </c>
      <c r="W3693" t="str">
        <f t="shared" si="347"/>
        <v>Normal</v>
      </c>
      <c r="X3693">
        <v>0</v>
      </c>
    </row>
    <row r="3694" spans="1:24" ht="14.5" thickBot="1" x14ac:dyDescent="0.35">
      <c r="A3694">
        <v>0</v>
      </c>
      <c r="B3694" t="str">
        <f t="shared" si="345"/>
        <v>Female</v>
      </c>
      <c r="C3694" s="8">
        <v>61</v>
      </c>
      <c r="D3694" t="str">
        <f t="shared" si="346"/>
        <v>Senior</v>
      </c>
      <c r="E3694">
        <v>1</v>
      </c>
      <c r="F3694" t="str">
        <f>HLOOKUP(E3694, LookUP_Table!$A$6:$D$7, 2, FALSE)</f>
        <v>Primary</v>
      </c>
      <c r="G3694" t="str">
        <f>IFERROR(VLOOKUP(E3694, LookUP_Table!$A$1:$B$4, 2, FALSE), "")</f>
        <v>Primary</v>
      </c>
      <c r="H3694">
        <v>0</v>
      </c>
      <c r="I3694">
        <v>0</v>
      </c>
      <c r="J3694" t="str">
        <f t="shared" si="342"/>
        <v>Non-Smoker</v>
      </c>
      <c r="K3694">
        <v>0</v>
      </c>
      <c r="L3694">
        <v>0</v>
      </c>
      <c r="M3694">
        <v>1</v>
      </c>
      <c r="N3694">
        <v>0</v>
      </c>
      <c r="O3694">
        <v>292</v>
      </c>
      <c r="P3694" t="str">
        <f t="shared" si="343"/>
        <v>High</v>
      </c>
      <c r="Q3694">
        <v>141.5</v>
      </c>
      <c r="R3694">
        <v>88.5</v>
      </c>
      <c r="S3694">
        <v>23.95</v>
      </c>
      <c r="T3694" t="str">
        <f t="shared" si="344"/>
        <v>Normal</v>
      </c>
      <c r="U3694">
        <v>86</v>
      </c>
      <c r="V3694">
        <v>70</v>
      </c>
      <c r="W3694" t="str">
        <f t="shared" si="347"/>
        <v>Normal</v>
      </c>
      <c r="X3694">
        <v>0</v>
      </c>
    </row>
    <row r="3695" spans="1:24" ht="14.5" thickBot="1" x14ac:dyDescent="0.35">
      <c r="A3695">
        <v>1</v>
      </c>
      <c r="B3695" t="str">
        <f t="shared" si="345"/>
        <v>Male</v>
      </c>
      <c r="C3695" s="8">
        <v>61</v>
      </c>
      <c r="D3695" t="str">
        <f t="shared" si="346"/>
        <v>Senior</v>
      </c>
      <c r="E3695">
        <v>1</v>
      </c>
      <c r="F3695" t="str">
        <f>HLOOKUP(E3695, LookUP_Table!$A$6:$D$7, 2, FALSE)</f>
        <v>Primary</v>
      </c>
      <c r="G3695" t="str">
        <f>IFERROR(VLOOKUP(E3695, LookUP_Table!$A$1:$B$4, 2, FALSE), "")</f>
        <v>Primary</v>
      </c>
      <c r="H3695">
        <v>0</v>
      </c>
      <c r="I3695">
        <v>0</v>
      </c>
      <c r="J3695" t="str">
        <f t="shared" si="342"/>
        <v>Non-Smoker</v>
      </c>
      <c r="K3695">
        <v>0</v>
      </c>
      <c r="L3695">
        <v>0</v>
      </c>
      <c r="M3695">
        <v>0</v>
      </c>
      <c r="N3695">
        <v>0</v>
      </c>
      <c r="O3695">
        <v>214</v>
      </c>
      <c r="P3695" t="str">
        <f t="shared" si="343"/>
        <v>Normal</v>
      </c>
      <c r="Q3695">
        <v>100</v>
      </c>
      <c r="R3695">
        <v>65</v>
      </c>
      <c r="S3695">
        <v>30.18</v>
      </c>
      <c r="T3695" t="str">
        <f t="shared" si="344"/>
        <v>Obese</v>
      </c>
      <c r="U3695">
        <v>60</v>
      </c>
      <c r="V3695">
        <v>66</v>
      </c>
      <c r="W3695" t="str">
        <f t="shared" si="347"/>
        <v>Normal</v>
      </c>
      <c r="X3695">
        <v>0</v>
      </c>
    </row>
    <row r="3696" spans="1:24" ht="14.5" thickBot="1" x14ac:dyDescent="0.35">
      <c r="A3696">
        <v>1</v>
      </c>
      <c r="B3696" t="str">
        <f t="shared" si="345"/>
        <v>Male</v>
      </c>
      <c r="C3696" s="8">
        <v>61</v>
      </c>
      <c r="D3696" t="str">
        <f t="shared" si="346"/>
        <v>Senior</v>
      </c>
      <c r="E3696">
        <v>1</v>
      </c>
      <c r="F3696" t="str">
        <f>HLOOKUP(E3696, LookUP_Table!$A$6:$D$7, 2, FALSE)</f>
        <v>Primary</v>
      </c>
      <c r="G3696" t="str">
        <f>IFERROR(VLOOKUP(E3696, LookUP_Table!$A$1:$B$4, 2, FALSE), "")</f>
        <v>Primary</v>
      </c>
      <c r="H3696">
        <v>1</v>
      </c>
      <c r="I3696">
        <v>20</v>
      </c>
      <c r="J3696" t="str">
        <f t="shared" si="342"/>
        <v>Smoker</v>
      </c>
      <c r="K3696">
        <v>0</v>
      </c>
      <c r="L3696">
        <v>0</v>
      </c>
      <c r="M3696">
        <v>1</v>
      </c>
      <c r="N3696">
        <v>0</v>
      </c>
      <c r="O3696">
        <v>183</v>
      </c>
      <c r="P3696" t="str">
        <f t="shared" si="343"/>
        <v>Normal</v>
      </c>
      <c r="Q3696">
        <v>156</v>
      </c>
      <c r="R3696">
        <v>92</v>
      </c>
      <c r="S3696">
        <v>24.69</v>
      </c>
      <c r="T3696" t="str">
        <f t="shared" si="344"/>
        <v>Normal</v>
      </c>
      <c r="U3696">
        <v>75</v>
      </c>
      <c r="V3696">
        <v>79</v>
      </c>
      <c r="W3696" t="str">
        <f t="shared" si="347"/>
        <v>Normal</v>
      </c>
      <c r="X3696">
        <v>0</v>
      </c>
    </row>
    <row r="3697" spans="1:24" ht="14.5" thickBot="1" x14ac:dyDescent="0.35">
      <c r="A3697">
        <v>1</v>
      </c>
      <c r="B3697" t="str">
        <f t="shared" si="345"/>
        <v>Male</v>
      </c>
      <c r="C3697" s="8">
        <v>61</v>
      </c>
      <c r="D3697" t="str">
        <f t="shared" si="346"/>
        <v>Senior</v>
      </c>
      <c r="E3697">
        <v>1</v>
      </c>
      <c r="F3697" t="str">
        <f>HLOOKUP(E3697, LookUP_Table!$A$6:$D$7, 2, FALSE)</f>
        <v>Primary</v>
      </c>
      <c r="G3697" t="str">
        <f>IFERROR(VLOOKUP(E3697, LookUP_Table!$A$1:$B$4, 2, FALSE), "")</f>
        <v>Primary</v>
      </c>
      <c r="H3697">
        <v>0</v>
      </c>
      <c r="I3697">
        <v>0</v>
      </c>
      <c r="J3697" t="str">
        <f t="shared" si="342"/>
        <v>Non-Smoker</v>
      </c>
      <c r="K3697">
        <v>0</v>
      </c>
      <c r="L3697">
        <v>0</v>
      </c>
      <c r="M3697">
        <v>0</v>
      </c>
      <c r="N3697">
        <v>1</v>
      </c>
      <c r="O3697">
        <v>218</v>
      </c>
      <c r="P3697" t="str">
        <f t="shared" si="343"/>
        <v>Normal</v>
      </c>
      <c r="Q3697">
        <v>160</v>
      </c>
      <c r="R3697">
        <v>96</v>
      </c>
      <c r="S3697">
        <v>28.89</v>
      </c>
      <c r="T3697" t="str">
        <f t="shared" si="344"/>
        <v>Overweight</v>
      </c>
      <c r="U3697">
        <v>75</v>
      </c>
      <c r="V3697">
        <v>223</v>
      </c>
      <c r="W3697" t="str">
        <f t="shared" si="347"/>
        <v>Diabetes</v>
      </c>
      <c r="X3697">
        <v>0</v>
      </c>
    </row>
    <row r="3698" spans="1:24" ht="14.5" thickBot="1" x14ac:dyDescent="0.35">
      <c r="A3698">
        <v>0</v>
      </c>
      <c r="B3698" t="str">
        <f t="shared" si="345"/>
        <v>Female</v>
      </c>
      <c r="C3698" s="8">
        <v>61</v>
      </c>
      <c r="D3698" t="str">
        <f t="shared" si="346"/>
        <v>Senior</v>
      </c>
      <c r="E3698">
        <v>1</v>
      </c>
      <c r="F3698" t="str">
        <f>HLOOKUP(E3698, LookUP_Table!$A$6:$D$7, 2, FALSE)</f>
        <v>Primary</v>
      </c>
      <c r="G3698" t="str">
        <f>IFERROR(VLOOKUP(E3698, LookUP_Table!$A$1:$B$4, 2, FALSE), "")</f>
        <v>Primary</v>
      </c>
      <c r="H3698">
        <v>0</v>
      </c>
      <c r="I3698">
        <v>0</v>
      </c>
      <c r="J3698" t="str">
        <f t="shared" si="342"/>
        <v>Non-Smoker</v>
      </c>
      <c r="K3698">
        <v>0</v>
      </c>
      <c r="L3698">
        <v>0</v>
      </c>
      <c r="M3698">
        <v>0</v>
      </c>
      <c r="N3698">
        <v>0</v>
      </c>
      <c r="O3698">
        <v>265</v>
      </c>
      <c r="P3698" t="str">
        <f t="shared" si="343"/>
        <v>High</v>
      </c>
      <c r="Q3698">
        <v>123</v>
      </c>
      <c r="R3698">
        <v>79</v>
      </c>
      <c r="S3698">
        <v>26.07</v>
      </c>
      <c r="T3698" t="str">
        <f t="shared" si="344"/>
        <v>Overweight</v>
      </c>
      <c r="U3698">
        <v>81</v>
      </c>
      <c r="V3698">
        <v>114</v>
      </c>
      <c r="W3698" t="str">
        <f t="shared" si="347"/>
        <v>Prediabetes</v>
      </c>
      <c r="X3698">
        <v>0</v>
      </c>
    </row>
    <row r="3699" spans="1:24" ht="14.5" thickBot="1" x14ac:dyDescent="0.35">
      <c r="A3699">
        <v>1</v>
      </c>
      <c r="B3699" t="str">
        <f t="shared" si="345"/>
        <v>Male</v>
      </c>
      <c r="C3699" s="8">
        <v>61</v>
      </c>
      <c r="D3699" t="str">
        <f t="shared" si="346"/>
        <v>Senior</v>
      </c>
      <c r="E3699">
        <v>1</v>
      </c>
      <c r="F3699" t="str">
        <f>HLOOKUP(E3699, LookUP_Table!$A$6:$D$7, 2, FALSE)</f>
        <v>Primary</v>
      </c>
      <c r="G3699" t="str">
        <f>IFERROR(VLOOKUP(E3699, LookUP_Table!$A$1:$B$4, 2, FALSE), "")</f>
        <v>Primary</v>
      </c>
      <c r="H3699">
        <v>1</v>
      </c>
      <c r="I3699">
        <v>3</v>
      </c>
      <c r="J3699" t="str">
        <f t="shared" si="342"/>
        <v>Smoker</v>
      </c>
      <c r="K3699">
        <v>0</v>
      </c>
      <c r="L3699">
        <v>0</v>
      </c>
      <c r="M3699">
        <v>1</v>
      </c>
      <c r="N3699">
        <v>0</v>
      </c>
      <c r="O3699">
        <v>256</v>
      </c>
      <c r="P3699" t="str">
        <f t="shared" si="343"/>
        <v>High</v>
      </c>
      <c r="Q3699">
        <v>165</v>
      </c>
      <c r="R3699">
        <v>80</v>
      </c>
      <c r="S3699">
        <v>24.12</v>
      </c>
      <c r="T3699" t="str">
        <f t="shared" si="344"/>
        <v>Normal</v>
      </c>
      <c r="U3699">
        <v>75</v>
      </c>
      <c r="V3699">
        <v>97</v>
      </c>
      <c r="W3699" t="str">
        <f t="shared" si="347"/>
        <v>Normal</v>
      </c>
      <c r="X3699">
        <v>0</v>
      </c>
    </row>
    <row r="3700" spans="1:24" ht="14.5" thickBot="1" x14ac:dyDescent="0.35">
      <c r="A3700">
        <v>1</v>
      </c>
      <c r="B3700" t="str">
        <f t="shared" si="345"/>
        <v>Male</v>
      </c>
      <c r="C3700" s="8">
        <v>61</v>
      </c>
      <c r="D3700" t="str">
        <f t="shared" si="346"/>
        <v>Senior</v>
      </c>
      <c r="E3700">
        <v>1</v>
      </c>
      <c r="F3700" t="str">
        <f>HLOOKUP(E3700, LookUP_Table!$A$6:$D$7, 2, FALSE)</f>
        <v>Primary</v>
      </c>
      <c r="G3700" t="str">
        <f>IFERROR(VLOOKUP(E3700, LookUP_Table!$A$1:$B$4, 2, FALSE), "")</f>
        <v>Primary</v>
      </c>
      <c r="H3700">
        <v>1</v>
      </c>
      <c r="I3700">
        <v>7</v>
      </c>
      <c r="J3700" t="str">
        <f t="shared" si="342"/>
        <v>Smoker</v>
      </c>
      <c r="K3700">
        <v>0</v>
      </c>
      <c r="L3700">
        <v>0</v>
      </c>
      <c r="M3700">
        <v>1</v>
      </c>
      <c r="N3700">
        <v>0</v>
      </c>
      <c r="O3700">
        <v>176</v>
      </c>
      <c r="P3700" t="str">
        <f t="shared" si="343"/>
        <v>Normal</v>
      </c>
      <c r="Q3700">
        <v>125</v>
      </c>
      <c r="R3700">
        <v>82</v>
      </c>
      <c r="S3700">
        <v>29.82</v>
      </c>
      <c r="T3700" t="str">
        <f t="shared" si="344"/>
        <v>Overweight</v>
      </c>
      <c r="U3700">
        <v>70</v>
      </c>
      <c r="V3700">
        <v>75</v>
      </c>
      <c r="W3700" t="str">
        <f t="shared" si="347"/>
        <v>Normal</v>
      </c>
      <c r="X3700">
        <v>0</v>
      </c>
    </row>
    <row r="3701" spans="1:24" ht="14.5" thickBot="1" x14ac:dyDescent="0.35">
      <c r="A3701">
        <v>1</v>
      </c>
      <c r="B3701" t="str">
        <f t="shared" si="345"/>
        <v>Male</v>
      </c>
      <c r="C3701" s="8">
        <v>61</v>
      </c>
      <c r="D3701" t="str">
        <f t="shared" si="346"/>
        <v>Senior</v>
      </c>
      <c r="E3701">
        <v>1</v>
      </c>
      <c r="F3701" t="str">
        <f>HLOOKUP(E3701, LookUP_Table!$A$6:$D$7, 2, FALSE)</f>
        <v>Primary</v>
      </c>
      <c r="G3701" t="str">
        <f>IFERROR(VLOOKUP(E3701, LookUP_Table!$A$1:$B$4, 2, FALSE), "")</f>
        <v>Primary</v>
      </c>
      <c r="H3701">
        <v>0</v>
      </c>
      <c r="I3701">
        <v>0</v>
      </c>
      <c r="J3701" t="str">
        <f t="shared" si="342"/>
        <v>Non-Smoker</v>
      </c>
      <c r="K3701">
        <v>0</v>
      </c>
      <c r="L3701">
        <v>0</v>
      </c>
      <c r="M3701">
        <v>0</v>
      </c>
      <c r="N3701">
        <v>0</v>
      </c>
      <c r="O3701">
        <v>295</v>
      </c>
      <c r="P3701" t="str">
        <f t="shared" si="343"/>
        <v>High</v>
      </c>
      <c r="Q3701">
        <v>131.5</v>
      </c>
      <c r="R3701">
        <v>85</v>
      </c>
      <c r="S3701">
        <v>27.33</v>
      </c>
      <c r="T3701" t="str">
        <f t="shared" si="344"/>
        <v>Overweight</v>
      </c>
      <c r="U3701">
        <v>80</v>
      </c>
      <c r="V3701">
        <v>83</v>
      </c>
      <c r="W3701" t="str">
        <f t="shared" si="347"/>
        <v>Normal</v>
      </c>
      <c r="X3701">
        <v>0</v>
      </c>
    </row>
    <row r="3702" spans="1:24" ht="14.5" thickBot="1" x14ac:dyDescent="0.35">
      <c r="A3702">
        <v>1</v>
      </c>
      <c r="B3702" t="str">
        <f t="shared" si="345"/>
        <v>Male</v>
      </c>
      <c r="C3702" s="8">
        <v>61</v>
      </c>
      <c r="D3702" t="str">
        <f t="shared" si="346"/>
        <v>Senior</v>
      </c>
      <c r="E3702">
        <v>4</v>
      </c>
      <c r="F3702" t="str">
        <f>HLOOKUP(E3702, LookUP_Table!$A$6:$D$7, 2, FALSE)</f>
        <v>Post Graduate</v>
      </c>
      <c r="G3702" t="str">
        <f>IFERROR(VLOOKUP(E3702, LookUP_Table!$A$1:$B$4, 2, FALSE), "")</f>
        <v>Post Graduate</v>
      </c>
      <c r="H3702">
        <v>0</v>
      </c>
      <c r="I3702">
        <v>0</v>
      </c>
      <c r="J3702" t="str">
        <f t="shared" si="342"/>
        <v>Non-Smoker</v>
      </c>
      <c r="K3702">
        <v>0</v>
      </c>
      <c r="L3702">
        <v>0</v>
      </c>
      <c r="M3702">
        <v>0</v>
      </c>
      <c r="N3702">
        <v>0</v>
      </c>
      <c r="O3702">
        <v>179</v>
      </c>
      <c r="P3702" t="str">
        <f t="shared" si="343"/>
        <v>Normal</v>
      </c>
      <c r="Q3702">
        <v>112</v>
      </c>
      <c r="R3702">
        <v>66.5</v>
      </c>
      <c r="S3702">
        <v>24.38</v>
      </c>
      <c r="T3702" t="str">
        <f t="shared" si="344"/>
        <v>Normal</v>
      </c>
      <c r="U3702">
        <v>60</v>
      </c>
      <c r="V3702">
        <v>100</v>
      </c>
      <c r="W3702" t="str">
        <f t="shared" si="347"/>
        <v>Prediabetes</v>
      </c>
      <c r="X3702">
        <v>0</v>
      </c>
    </row>
    <row r="3703" spans="1:24" ht="14.5" thickBot="1" x14ac:dyDescent="0.35">
      <c r="A3703">
        <v>0</v>
      </c>
      <c r="B3703" t="str">
        <f t="shared" si="345"/>
        <v>Female</v>
      </c>
      <c r="C3703" s="8">
        <v>61</v>
      </c>
      <c r="D3703" t="str">
        <f t="shared" si="346"/>
        <v>Senior</v>
      </c>
      <c r="E3703">
        <v>2</v>
      </c>
      <c r="F3703" t="str">
        <f>HLOOKUP(E3703, LookUP_Table!$A$6:$D$7, 2, FALSE)</f>
        <v>Secondary</v>
      </c>
      <c r="G3703" t="str">
        <f>IFERROR(VLOOKUP(E3703, LookUP_Table!$A$1:$B$4, 2, FALSE), "")</f>
        <v>Secondary</v>
      </c>
      <c r="H3703">
        <v>1</v>
      </c>
      <c r="I3703">
        <v>20</v>
      </c>
      <c r="J3703" t="str">
        <f t="shared" si="342"/>
        <v>Smoker</v>
      </c>
      <c r="K3703">
        <v>0</v>
      </c>
      <c r="L3703">
        <v>0</v>
      </c>
      <c r="M3703">
        <v>1</v>
      </c>
      <c r="N3703">
        <v>0</v>
      </c>
      <c r="O3703">
        <v>326</v>
      </c>
      <c r="P3703" t="str">
        <f t="shared" si="343"/>
        <v>High</v>
      </c>
      <c r="Q3703">
        <v>141</v>
      </c>
      <c r="R3703">
        <v>75</v>
      </c>
      <c r="S3703">
        <v>26.11</v>
      </c>
      <c r="T3703" t="str">
        <f t="shared" si="344"/>
        <v>Overweight</v>
      </c>
      <c r="U3703">
        <v>60</v>
      </c>
      <c r="V3703">
        <v>72</v>
      </c>
      <c r="W3703" t="str">
        <f t="shared" si="347"/>
        <v>Normal</v>
      </c>
      <c r="X3703">
        <v>0</v>
      </c>
    </row>
    <row r="3704" spans="1:24" ht="14.5" thickBot="1" x14ac:dyDescent="0.35">
      <c r="A3704">
        <v>0</v>
      </c>
      <c r="B3704" t="str">
        <f t="shared" si="345"/>
        <v>Female</v>
      </c>
      <c r="C3704" s="8">
        <v>61</v>
      </c>
      <c r="D3704" t="str">
        <f t="shared" si="346"/>
        <v>Senior</v>
      </c>
      <c r="E3704">
        <v>2</v>
      </c>
      <c r="F3704" t="str">
        <f>HLOOKUP(E3704, LookUP_Table!$A$6:$D$7, 2, FALSE)</f>
        <v>Secondary</v>
      </c>
      <c r="G3704" t="str">
        <f>IFERROR(VLOOKUP(E3704, LookUP_Table!$A$1:$B$4, 2, FALSE), "")</f>
        <v>Secondary</v>
      </c>
      <c r="H3704">
        <v>0</v>
      </c>
      <c r="I3704">
        <v>0</v>
      </c>
      <c r="J3704" t="str">
        <f t="shared" si="342"/>
        <v>Non-Smoker</v>
      </c>
      <c r="K3704">
        <v>0</v>
      </c>
      <c r="L3704">
        <v>0</v>
      </c>
      <c r="M3704">
        <v>1</v>
      </c>
      <c r="N3704">
        <v>0</v>
      </c>
      <c r="O3704">
        <v>210</v>
      </c>
      <c r="P3704" t="str">
        <f t="shared" si="343"/>
        <v>Normal</v>
      </c>
      <c r="Q3704">
        <v>179</v>
      </c>
      <c r="R3704">
        <v>100</v>
      </c>
      <c r="S3704">
        <v>21.64</v>
      </c>
      <c r="T3704" t="str">
        <f t="shared" si="344"/>
        <v>Normal</v>
      </c>
      <c r="U3704">
        <v>78</v>
      </c>
      <c r="V3704">
        <v>95</v>
      </c>
      <c r="W3704" t="str">
        <f t="shared" si="347"/>
        <v>Normal</v>
      </c>
      <c r="X3704">
        <v>0</v>
      </c>
    </row>
    <row r="3705" spans="1:24" ht="14.5" thickBot="1" x14ac:dyDescent="0.35">
      <c r="A3705">
        <v>0</v>
      </c>
      <c r="B3705" t="str">
        <f t="shared" si="345"/>
        <v>Female</v>
      </c>
      <c r="C3705" s="8">
        <v>61</v>
      </c>
      <c r="D3705" t="str">
        <f t="shared" si="346"/>
        <v>Senior</v>
      </c>
      <c r="E3705">
        <v>1</v>
      </c>
      <c r="F3705" t="str">
        <f>HLOOKUP(E3705, LookUP_Table!$A$6:$D$7, 2, FALSE)</f>
        <v>Primary</v>
      </c>
      <c r="G3705" t="str">
        <f>IFERROR(VLOOKUP(E3705, LookUP_Table!$A$1:$B$4, 2, FALSE), "")</f>
        <v>Primary</v>
      </c>
      <c r="H3705">
        <v>0</v>
      </c>
      <c r="I3705">
        <v>0</v>
      </c>
      <c r="J3705" t="str">
        <f t="shared" si="342"/>
        <v>Non-Smoker</v>
      </c>
      <c r="K3705">
        <v>0</v>
      </c>
      <c r="L3705">
        <v>0</v>
      </c>
      <c r="M3705">
        <v>1</v>
      </c>
      <c r="N3705">
        <v>0</v>
      </c>
      <c r="O3705">
        <v>250</v>
      </c>
      <c r="P3705" t="str">
        <f t="shared" si="343"/>
        <v>High</v>
      </c>
      <c r="Q3705">
        <v>173</v>
      </c>
      <c r="R3705">
        <v>89</v>
      </c>
      <c r="S3705">
        <v>29.25</v>
      </c>
      <c r="T3705" t="str">
        <f t="shared" si="344"/>
        <v>Overweight</v>
      </c>
      <c r="U3705">
        <v>90</v>
      </c>
      <c r="V3705">
        <v>87</v>
      </c>
      <c r="W3705" t="str">
        <f t="shared" si="347"/>
        <v>Normal</v>
      </c>
      <c r="X3705">
        <v>0</v>
      </c>
    </row>
    <row r="3706" spans="1:24" ht="14.5" thickBot="1" x14ac:dyDescent="0.35">
      <c r="A3706">
        <v>1</v>
      </c>
      <c r="B3706" t="str">
        <f t="shared" si="345"/>
        <v>Male</v>
      </c>
      <c r="C3706" s="8">
        <v>61</v>
      </c>
      <c r="D3706" t="str">
        <f t="shared" si="346"/>
        <v>Senior</v>
      </c>
      <c r="E3706">
        <v>2</v>
      </c>
      <c r="F3706" t="str">
        <f>HLOOKUP(E3706, LookUP_Table!$A$6:$D$7, 2, FALSE)</f>
        <v>Secondary</v>
      </c>
      <c r="G3706" t="str">
        <f>IFERROR(VLOOKUP(E3706, LookUP_Table!$A$1:$B$4, 2, FALSE), "")</f>
        <v>Secondary</v>
      </c>
      <c r="H3706">
        <v>1</v>
      </c>
      <c r="I3706">
        <v>15</v>
      </c>
      <c r="J3706" t="str">
        <f t="shared" si="342"/>
        <v>Smoker</v>
      </c>
      <c r="K3706">
        <v>0</v>
      </c>
      <c r="L3706">
        <v>0</v>
      </c>
      <c r="M3706">
        <v>0</v>
      </c>
      <c r="N3706">
        <v>0</v>
      </c>
      <c r="O3706">
        <v>204</v>
      </c>
      <c r="P3706" t="str">
        <f t="shared" si="343"/>
        <v>Normal</v>
      </c>
      <c r="Q3706">
        <v>120</v>
      </c>
      <c r="R3706">
        <v>80</v>
      </c>
      <c r="S3706">
        <v>25.71</v>
      </c>
      <c r="T3706" t="str">
        <f t="shared" si="344"/>
        <v>Overweight</v>
      </c>
      <c r="U3706">
        <v>80</v>
      </c>
      <c r="V3706">
        <v>83</v>
      </c>
      <c r="W3706" t="str">
        <f t="shared" si="347"/>
        <v>Normal</v>
      </c>
      <c r="X3706">
        <v>1</v>
      </c>
    </row>
    <row r="3707" spans="1:24" ht="14.5" thickBot="1" x14ac:dyDescent="0.35">
      <c r="A3707">
        <v>0</v>
      </c>
      <c r="B3707" t="str">
        <f t="shared" si="345"/>
        <v>Female</v>
      </c>
      <c r="C3707" s="8">
        <v>61</v>
      </c>
      <c r="D3707" t="str">
        <f t="shared" si="346"/>
        <v>Senior</v>
      </c>
      <c r="E3707">
        <v>1</v>
      </c>
      <c r="F3707" t="str">
        <f>HLOOKUP(E3707, LookUP_Table!$A$6:$D$7, 2, FALSE)</f>
        <v>Primary</v>
      </c>
      <c r="G3707" t="str">
        <f>IFERROR(VLOOKUP(E3707, LookUP_Table!$A$1:$B$4, 2, FALSE), "")</f>
        <v>Primary</v>
      </c>
      <c r="H3707">
        <v>1</v>
      </c>
      <c r="I3707">
        <v>10</v>
      </c>
      <c r="J3707" t="str">
        <f t="shared" si="342"/>
        <v>Smoker</v>
      </c>
      <c r="K3707">
        <v>0</v>
      </c>
      <c r="L3707">
        <v>0</v>
      </c>
      <c r="M3707">
        <v>0</v>
      </c>
      <c r="N3707">
        <v>0</v>
      </c>
      <c r="O3707">
        <v>200</v>
      </c>
      <c r="P3707" t="str">
        <f t="shared" si="343"/>
        <v>Normal</v>
      </c>
      <c r="Q3707">
        <v>187</v>
      </c>
      <c r="R3707">
        <v>95.5</v>
      </c>
      <c r="S3707">
        <v>21.57</v>
      </c>
      <c r="T3707" t="str">
        <f t="shared" si="344"/>
        <v>Normal</v>
      </c>
      <c r="U3707">
        <v>58</v>
      </c>
      <c r="V3707">
        <v>64</v>
      </c>
      <c r="W3707" t="str">
        <f t="shared" si="347"/>
        <v>Normal</v>
      </c>
      <c r="X3707">
        <v>0</v>
      </c>
    </row>
    <row r="3708" spans="1:24" ht="14.5" thickBot="1" x14ac:dyDescent="0.35">
      <c r="A3708">
        <v>0</v>
      </c>
      <c r="B3708" t="str">
        <f t="shared" si="345"/>
        <v>Female</v>
      </c>
      <c r="C3708" s="8">
        <v>61</v>
      </c>
      <c r="D3708" t="str">
        <f t="shared" si="346"/>
        <v>Senior</v>
      </c>
      <c r="E3708">
        <v>1</v>
      </c>
      <c r="F3708" t="str">
        <f>HLOOKUP(E3708, LookUP_Table!$A$6:$D$7, 2, FALSE)</f>
        <v>Primary</v>
      </c>
      <c r="G3708" t="str">
        <f>IFERROR(VLOOKUP(E3708, LookUP_Table!$A$1:$B$4, 2, FALSE), "")</f>
        <v>Primary</v>
      </c>
      <c r="H3708">
        <v>1</v>
      </c>
      <c r="I3708">
        <v>9</v>
      </c>
      <c r="J3708" t="str">
        <f t="shared" si="342"/>
        <v>Smoker</v>
      </c>
      <c r="K3708">
        <v>0</v>
      </c>
      <c r="L3708">
        <v>0</v>
      </c>
      <c r="M3708">
        <v>1</v>
      </c>
      <c r="N3708">
        <v>0</v>
      </c>
      <c r="O3708">
        <v>356</v>
      </c>
      <c r="P3708" t="str">
        <f t="shared" si="343"/>
        <v>High</v>
      </c>
      <c r="Q3708">
        <v>168</v>
      </c>
      <c r="R3708">
        <v>98</v>
      </c>
      <c r="S3708">
        <v>27.3</v>
      </c>
      <c r="T3708" t="str">
        <f t="shared" si="344"/>
        <v>Overweight</v>
      </c>
      <c r="U3708">
        <v>103</v>
      </c>
      <c r="V3708">
        <v>106</v>
      </c>
      <c r="W3708" t="str">
        <f t="shared" si="347"/>
        <v>Prediabetes</v>
      </c>
      <c r="X3708">
        <v>0</v>
      </c>
    </row>
    <row r="3709" spans="1:24" ht="14.5" thickBot="1" x14ac:dyDescent="0.35">
      <c r="A3709">
        <v>1</v>
      </c>
      <c r="B3709" t="str">
        <f t="shared" si="345"/>
        <v>Male</v>
      </c>
      <c r="C3709" s="8">
        <v>61</v>
      </c>
      <c r="D3709" t="str">
        <f t="shared" si="346"/>
        <v>Senior</v>
      </c>
      <c r="E3709">
        <v>1</v>
      </c>
      <c r="F3709" t="str">
        <f>HLOOKUP(E3709, LookUP_Table!$A$6:$D$7, 2, FALSE)</f>
        <v>Primary</v>
      </c>
      <c r="G3709" t="str">
        <f>IFERROR(VLOOKUP(E3709, LookUP_Table!$A$1:$B$4, 2, FALSE), "")</f>
        <v>Primary</v>
      </c>
      <c r="H3709">
        <v>0</v>
      </c>
      <c r="I3709">
        <v>0</v>
      </c>
      <c r="J3709" t="str">
        <f t="shared" si="342"/>
        <v>Non-Smoker</v>
      </c>
      <c r="K3709">
        <v>0</v>
      </c>
      <c r="L3709">
        <v>0</v>
      </c>
      <c r="M3709">
        <v>1</v>
      </c>
      <c r="N3709">
        <v>0</v>
      </c>
      <c r="O3709">
        <v>285</v>
      </c>
      <c r="P3709" t="str">
        <f t="shared" si="343"/>
        <v>High</v>
      </c>
      <c r="Q3709">
        <v>182.5</v>
      </c>
      <c r="R3709">
        <v>110</v>
      </c>
      <c r="S3709">
        <v>28.88</v>
      </c>
      <c r="T3709" t="str">
        <f t="shared" si="344"/>
        <v>Overweight</v>
      </c>
      <c r="U3709">
        <v>75</v>
      </c>
      <c r="V3709">
        <v>81.96365524402907</v>
      </c>
      <c r="W3709" t="str">
        <f t="shared" si="347"/>
        <v>Normal</v>
      </c>
      <c r="X3709">
        <v>0</v>
      </c>
    </row>
    <row r="3710" spans="1:24" ht="14.5" thickBot="1" x14ac:dyDescent="0.35">
      <c r="A3710">
        <v>1</v>
      </c>
      <c r="B3710" t="str">
        <f t="shared" si="345"/>
        <v>Male</v>
      </c>
      <c r="C3710" s="8">
        <v>61</v>
      </c>
      <c r="D3710" t="str">
        <f t="shared" si="346"/>
        <v>Senior</v>
      </c>
      <c r="E3710">
        <v>2</v>
      </c>
      <c r="F3710" t="str">
        <f>HLOOKUP(E3710, LookUP_Table!$A$6:$D$7, 2, FALSE)</f>
        <v>Secondary</v>
      </c>
      <c r="G3710" t="str">
        <f>IFERROR(VLOOKUP(E3710, LookUP_Table!$A$1:$B$4, 2, FALSE), "")</f>
        <v>Secondary</v>
      </c>
      <c r="H3710">
        <v>0</v>
      </c>
      <c r="I3710">
        <v>0</v>
      </c>
      <c r="J3710" t="str">
        <f t="shared" si="342"/>
        <v>Non-Smoker</v>
      </c>
      <c r="K3710">
        <v>0</v>
      </c>
      <c r="L3710">
        <v>0</v>
      </c>
      <c r="M3710">
        <v>1</v>
      </c>
      <c r="N3710">
        <v>0</v>
      </c>
      <c r="O3710">
        <v>260</v>
      </c>
      <c r="P3710" t="str">
        <f t="shared" si="343"/>
        <v>High</v>
      </c>
      <c r="Q3710">
        <v>148</v>
      </c>
      <c r="R3710">
        <v>74</v>
      </c>
      <c r="S3710">
        <v>26.84</v>
      </c>
      <c r="T3710" t="str">
        <f t="shared" si="344"/>
        <v>Overweight</v>
      </c>
      <c r="U3710">
        <v>66</v>
      </c>
      <c r="V3710">
        <v>91</v>
      </c>
      <c r="W3710" t="str">
        <f t="shared" si="347"/>
        <v>Normal</v>
      </c>
      <c r="X3710">
        <v>0</v>
      </c>
    </row>
    <row r="3711" spans="1:24" ht="14.5" thickBot="1" x14ac:dyDescent="0.35">
      <c r="A3711">
        <v>1</v>
      </c>
      <c r="B3711" t="str">
        <f t="shared" si="345"/>
        <v>Male</v>
      </c>
      <c r="C3711" s="8">
        <v>61</v>
      </c>
      <c r="D3711" t="str">
        <f t="shared" si="346"/>
        <v>Senior</v>
      </c>
      <c r="E3711">
        <v>1</v>
      </c>
      <c r="F3711" t="str">
        <f>HLOOKUP(E3711, LookUP_Table!$A$6:$D$7, 2, FALSE)</f>
        <v>Primary</v>
      </c>
      <c r="G3711" t="str">
        <f>IFERROR(VLOOKUP(E3711, LookUP_Table!$A$1:$B$4, 2, FALSE), "")</f>
        <v>Primary</v>
      </c>
      <c r="H3711">
        <v>1</v>
      </c>
      <c r="I3711">
        <v>30</v>
      </c>
      <c r="J3711" t="str">
        <f t="shared" si="342"/>
        <v>Smoker</v>
      </c>
      <c r="K3711">
        <v>0</v>
      </c>
      <c r="L3711">
        <v>0</v>
      </c>
      <c r="M3711">
        <v>1</v>
      </c>
      <c r="N3711">
        <v>0</v>
      </c>
      <c r="O3711">
        <v>170</v>
      </c>
      <c r="P3711" t="str">
        <f t="shared" si="343"/>
        <v>Normal</v>
      </c>
      <c r="Q3711">
        <v>132</v>
      </c>
      <c r="R3711">
        <v>94</v>
      </c>
      <c r="S3711">
        <v>22.16</v>
      </c>
      <c r="T3711" t="str">
        <f t="shared" si="344"/>
        <v>Normal</v>
      </c>
      <c r="U3711">
        <v>53</v>
      </c>
      <c r="V3711">
        <v>82</v>
      </c>
      <c r="W3711" t="str">
        <f t="shared" si="347"/>
        <v>Normal</v>
      </c>
      <c r="X3711">
        <v>0</v>
      </c>
    </row>
    <row r="3712" spans="1:24" ht="14.5" thickBot="1" x14ac:dyDescent="0.35">
      <c r="A3712">
        <v>0</v>
      </c>
      <c r="B3712" t="str">
        <f t="shared" si="345"/>
        <v>Female</v>
      </c>
      <c r="C3712" s="8">
        <v>61</v>
      </c>
      <c r="D3712" t="str">
        <f t="shared" si="346"/>
        <v>Senior</v>
      </c>
      <c r="E3712">
        <v>2</v>
      </c>
      <c r="F3712" t="str">
        <f>HLOOKUP(E3712, LookUP_Table!$A$6:$D$7, 2, FALSE)</f>
        <v>Secondary</v>
      </c>
      <c r="G3712" t="str">
        <f>IFERROR(VLOOKUP(E3712, LookUP_Table!$A$1:$B$4, 2, FALSE), "")</f>
        <v>Secondary</v>
      </c>
      <c r="H3712">
        <v>1</v>
      </c>
      <c r="I3712">
        <v>15</v>
      </c>
      <c r="J3712" t="str">
        <f t="shared" si="342"/>
        <v>Smoker</v>
      </c>
      <c r="K3712">
        <v>0</v>
      </c>
      <c r="L3712">
        <v>0</v>
      </c>
      <c r="M3712">
        <v>1</v>
      </c>
      <c r="N3712">
        <v>0</v>
      </c>
      <c r="O3712">
        <v>235</v>
      </c>
      <c r="P3712" t="str">
        <f t="shared" si="343"/>
        <v>Normal</v>
      </c>
      <c r="Q3712">
        <v>154</v>
      </c>
      <c r="R3712">
        <v>94</v>
      </c>
      <c r="S3712">
        <v>22.91</v>
      </c>
      <c r="T3712" t="str">
        <f t="shared" si="344"/>
        <v>Normal</v>
      </c>
      <c r="U3712">
        <v>70</v>
      </c>
      <c r="V3712">
        <v>66</v>
      </c>
      <c r="W3712" t="str">
        <f t="shared" si="347"/>
        <v>Normal</v>
      </c>
      <c r="X3712">
        <v>1</v>
      </c>
    </row>
    <row r="3713" spans="1:24" ht="14.5" thickBot="1" x14ac:dyDescent="0.35">
      <c r="A3713">
        <v>0</v>
      </c>
      <c r="B3713" t="str">
        <f t="shared" si="345"/>
        <v>Female</v>
      </c>
      <c r="C3713" s="8">
        <v>61</v>
      </c>
      <c r="D3713" t="str">
        <f t="shared" si="346"/>
        <v>Senior</v>
      </c>
      <c r="E3713">
        <v>2</v>
      </c>
      <c r="F3713" t="str">
        <f>HLOOKUP(E3713, LookUP_Table!$A$6:$D$7, 2, FALSE)</f>
        <v>Secondary</v>
      </c>
      <c r="G3713" t="str">
        <f>IFERROR(VLOOKUP(E3713, LookUP_Table!$A$1:$B$4, 2, FALSE), "")</f>
        <v>Secondary</v>
      </c>
      <c r="H3713">
        <v>0</v>
      </c>
      <c r="I3713">
        <v>0</v>
      </c>
      <c r="J3713" t="str">
        <f t="shared" si="342"/>
        <v>Non-Smoker</v>
      </c>
      <c r="K3713">
        <v>0</v>
      </c>
      <c r="L3713">
        <v>0</v>
      </c>
      <c r="M3713">
        <v>1</v>
      </c>
      <c r="N3713">
        <v>0</v>
      </c>
      <c r="O3713">
        <v>183</v>
      </c>
      <c r="P3713" t="str">
        <f t="shared" si="343"/>
        <v>Normal</v>
      </c>
      <c r="Q3713">
        <v>150</v>
      </c>
      <c r="R3713">
        <v>86</v>
      </c>
      <c r="S3713">
        <v>25.05</v>
      </c>
      <c r="T3713" t="str">
        <f t="shared" si="344"/>
        <v>Overweight</v>
      </c>
      <c r="U3713">
        <v>66</v>
      </c>
      <c r="V3713">
        <v>70</v>
      </c>
      <c r="W3713" t="str">
        <f t="shared" si="347"/>
        <v>Normal</v>
      </c>
      <c r="X3713">
        <v>1</v>
      </c>
    </row>
    <row r="3714" spans="1:24" ht="14.5" thickBot="1" x14ac:dyDescent="0.35">
      <c r="A3714">
        <v>0</v>
      </c>
      <c r="B3714" t="str">
        <f t="shared" si="345"/>
        <v>Female</v>
      </c>
      <c r="C3714" s="8">
        <v>61</v>
      </c>
      <c r="D3714" t="str">
        <f t="shared" si="346"/>
        <v>Senior</v>
      </c>
      <c r="E3714">
        <v>3</v>
      </c>
      <c r="F3714" t="str">
        <f>HLOOKUP(E3714, LookUP_Table!$A$6:$D$7, 2, FALSE)</f>
        <v>Graduate</v>
      </c>
      <c r="G3714" t="str">
        <f>IFERROR(VLOOKUP(E3714, LookUP_Table!$A$1:$B$4, 2, FALSE), "")</f>
        <v>Graduate</v>
      </c>
      <c r="H3714">
        <v>0</v>
      </c>
      <c r="I3714">
        <v>0</v>
      </c>
      <c r="J3714" t="str">
        <f t="shared" ref="J3714:J3777" si="348">IF(I3714&gt;0,"Smoker","Non-Smoker")</f>
        <v>Non-Smoker</v>
      </c>
      <c r="K3714">
        <v>0</v>
      </c>
      <c r="L3714">
        <v>0</v>
      </c>
      <c r="M3714">
        <v>0</v>
      </c>
      <c r="N3714">
        <v>0</v>
      </c>
      <c r="O3714">
        <v>340</v>
      </c>
      <c r="P3714" t="str">
        <f t="shared" ref="P3714:P3777" si="349">IF(O3714&gt;240,"High","Normal")</f>
        <v>High</v>
      </c>
      <c r="Q3714">
        <v>121</v>
      </c>
      <c r="R3714">
        <v>78</v>
      </c>
      <c r="S3714">
        <v>23.33</v>
      </c>
      <c r="T3714" t="str">
        <f t="shared" ref="T3714:T3777" si="350">IF(S3714&lt;18.5,"Underweight",
IF(S3714&lt;25,"Normal",
IF(S3714&lt;30,"Overweight","Obese")))</f>
        <v>Normal</v>
      </c>
      <c r="U3714">
        <v>65</v>
      </c>
      <c r="V3714">
        <v>73</v>
      </c>
      <c r="W3714" t="str">
        <f t="shared" si="347"/>
        <v>Normal</v>
      </c>
      <c r="X3714">
        <v>0</v>
      </c>
    </row>
    <row r="3715" spans="1:24" ht="14.5" thickBot="1" x14ac:dyDescent="0.35">
      <c r="A3715">
        <v>1</v>
      </c>
      <c r="B3715" t="str">
        <f t="shared" ref="B3715:B3778" si="351">IF(A3715=0,"Female","Male")</f>
        <v>Male</v>
      </c>
      <c r="C3715" s="8">
        <v>61</v>
      </c>
      <c r="D3715" t="str">
        <f t="shared" ref="D3715:D3778" si="352">IF(C3715&lt;40,"Young",
IF(C3715&lt;55,"Middle Age","Senior"))</f>
        <v>Senior</v>
      </c>
      <c r="E3715">
        <v>4</v>
      </c>
      <c r="F3715" t="str">
        <f>HLOOKUP(E3715, LookUP_Table!$A$6:$D$7, 2, FALSE)</f>
        <v>Post Graduate</v>
      </c>
      <c r="G3715" t="str">
        <f>IFERROR(VLOOKUP(E3715, LookUP_Table!$A$1:$B$4, 2, FALSE), "")</f>
        <v>Post Graduate</v>
      </c>
      <c r="H3715">
        <v>0</v>
      </c>
      <c r="I3715">
        <v>0</v>
      </c>
      <c r="J3715" t="str">
        <f t="shared" si="348"/>
        <v>Non-Smoker</v>
      </c>
      <c r="K3715">
        <v>1</v>
      </c>
      <c r="L3715">
        <v>0</v>
      </c>
      <c r="M3715">
        <v>1</v>
      </c>
      <c r="N3715">
        <v>0</v>
      </c>
      <c r="O3715">
        <v>204</v>
      </c>
      <c r="P3715" t="str">
        <f t="shared" si="349"/>
        <v>Normal</v>
      </c>
      <c r="Q3715">
        <v>120</v>
      </c>
      <c r="R3715">
        <v>67</v>
      </c>
      <c r="S3715">
        <v>24.84</v>
      </c>
      <c r="T3715" t="str">
        <f t="shared" si="350"/>
        <v>Normal</v>
      </c>
      <c r="U3715">
        <v>63</v>
      </c>
      <c r="V3715">
        <v>75</v>
      </c>
      <c r="W3715" t="str">
        <f t="shared" ref="W3715:W3778" si="353">IF(V3715 &lt; 100, "Normal", IF(V3715 &lt;= 125, "Prediabetes", "Diabetes"))</f>
        <v>Normal</v>
      </c>
      <c r="X3715">
        <v>0</v>
      </c>
    </row>
    <row r="3716" spans="1:24" ht="14.5" thickBot="1" x14ac:dyDescent="0.35">
      <c r="A3716">
        <v>0</v>
      </c>
      <c r="B3716" t="str">
        <f t="shared" si="351"/>
        <v>Female</v>
      </c>
      <c r="C3716" s="8">
        <v>61</v>
      </c>
      <c r="D3716" t="str">
        <f t="shared" si="352"/>
        <v>Senior</v>
      </c>
      <c r="E3716">
        <v>1</v>
      </c>
      <c r="F3716" t="str">
        <f>HLOOKUP(E3716, LookUP_Table!$A$6:$D$7, 2, FALSE)</f>
        <v>Primary</v>
      </c>
      <c r="G3716" t="str">
        <f>IFERROR(VLOOKUP(E3716, LookUP_Table!$A$1:$B$4, 2, FALSE), "")</f>
        <v>Primary</v>
      </c>
      <c r="H3716">
        <v>0</v>
      </c>
      <c r="I3716">
        <v>0</v>
      </c>
      <c r="J3716" t="str">
        <f t="shared" si="348"/>
        <v>Non-Smoker</v>
      </c>
      <c r="K3716">
        <v>0</v>
      </c>
      <c r="L3716">
        <v>0</v>
      </c>
      <c r="M3716">
        <v>0</v>
      </c>
      <c r="N3716">
        <v>0</v>
      </c>
      <c r="O3716">
        <v>236.69952267303103</v>
      </c>
      <c r="P3716" t="str">
        <f t="shared" si="349"/>
        <v>Normal</v>
      </c>
      <c r="Q3716">
        <v>115</v>
      </c>
      <c r="R3716">
        <v>60</v>
      </c>
      <c r="S3716">
        <v>25.5</v>
      </c>
      <c r="T3716" t="str">
        <f t="shared" si="350"/>
        <v>Overweight</v>
      </c>
      <c r="U3716">
        <v>76</v>
      </c>
      <c r="V3716">
        <v>99</v>
      </c>
      <c r="W3716" t="str">
        <f t="shared" si="353"/>
        <v>Normal</v>
      </c>
      <c r="X3716">
        <v>0</v>
      </c>
    </row>
    <row r="3717" spans="1:24" ht="14.5" thickBot="1" x14ac:dyDescent="0.35">
      <c r="A3717">
        <v>1</v>
      </c>
      <c r="B3717" t="str">
        <f t="shared" si="351"/>
        <v>Male</v>
      </c>
      <c r="C3717" s="8">
        <v>61</v>
      </c>
      <c r="D3717" t="str">
        <f t="shared" si="352"/>
        <v>Senior</v>
      </c>
      <c r="E3717">
        <v>2</v>
      </c>
      <c r="F3717" t="str">
        <f>HLOOKUP(E3717, LookUP_Table!$A$6:$D$7, 2, FALSE)</f>
        <v>Secondary</v>
      </c>
      <c r="G3717" t="str">
        <f>IFERROR(VLOOKUP(E3717, LookUP_Table!$A$1:$B$4, 2, FALSE), "")</f>
        <v>Secondary</v>
      </c>
      <c r="H3717">
        <v>1</v>
      </c>
      <c r="I3717">
        <v>20</v>
      </c>
      <c r="J3717" t="str">
        <f t="shared" si="348"/>
        <v>Smoker</v>
      </c>
      <c r="K3717">
        <v>0</v>
      </c>
      <c r="L3717">
        <v>0</v>
      </c>
      <c r="M3717">
        <v>0</v>
      </c>
      <c r="N3717">
        <v>0</v>
      </c>
      <c r="O3717">
        <v>167</v>
      </c>
      <c r="P3717" t="str">
        <f t="shared" si="349"/>
        <v>Normal</v>
      </c>
      <c r="Q3717">
        <v>105</v>
      </c>
      <c r="R3717">
        <v>67.5</v>
      </c>
      <c r="S3717">
        <v>27.28</v>
      </c>
      <c r="T3717" t="str">
        <f t="shared" si="350"/>
        <v>Overweight</v>
      </c>
      <c r="U3717">
        <v>88</v>
      </c>
      <c r="V3717">
        <v>86</v>
      </c>
      <c r="W3717" t="str">
        <f t="shared" si="353"/>
        <v>Normal</v>
      </c>
      <c r="X3717">
        <v>0</v>
      </c>
    </row>
    <row r="3718" spans="1:24" ht="14.5" thickBot="1" x14ac:dyDescent="0.35">
      <c r="A3718">
        <v>0</v>
      </c>
      <c r="B3718" t="str">
        <f t="shared" si="351"/>
        <v>Female</v>
      </c>
      <c r="C3718" s="8">
        <v>61</v>
      </c>
      <c r="D3718" t="str">
        <f t="shared" si="352"/>
        <v>Senior</v>
      </c>
      <c r="E3718">
        <v>1</v>
      </c>
      <c r="F3718" t="str">
        <f>HLOOKUP(E3718, LookUP_Table!$A$6:$D$7, 2, FALSE)</f>
        <v>Primary</v>
      </c>
      <c r="G3718" t="str">
        <f>IFERROR(VLOOKUP(E3718, LookUP_Table!$A$1:$B$4, 2, FALSE), "")</f>
        <v>Primary</v>
      </c>
      <c r="H3718">
        <v>0</v>
      </c>
      <c r="I3718">
        <v>0</v>
      </c>
      <c r="J3718" t="str">
        <f t="shared" si="348"/>
        <v>Non-Smoker</v>
      </c>
      <c r="K3718">
        <v>0</v>
      </c>
      <c r="L3718">
        <v>0</v>
      </c>
      <c r="M3718">
        <v>1</v>
      </c>
      <c r="N3718">
        <v>0</v>
      </c>
      <c r="O3718">
        <v>266</v>
      </c>
      <c r="P3718" t="str">
        <f t="shared" si="349"/>
        <v>High</v>
      </c>
      <c r="Q3718">
        <v>171</v>
      </c>
      <c r="R3718">
        <v>87</v>
      </c>
      <c r="S3718">
        <v>32.770000000000003</v>
      </c>
      <c r="T3718" t="str">
        <f t="shared" si="350"/>
        <v>Obese</v>
      </c>
      <c r="U3718">
        <v>80</v>
      </c>
      <c r="V3718">
        <v>123</v>
      </c>
      <c r="W3718" t="str">
        <f t="shared" si="353"/>
        <v>Prediabetes</v>
      </c>
      <c r="X3718">
        <v>0</v>
      </c>
    </row>
    <row r="3719" spans="1:24" ht="14.5" thickBot="1" x14ac:dyDescent="0.35">
      <c r="A3719">
        <v>1</v>
      </c>
      <c r="B3719" t="str">
        <f t="shared" si="351"/>
        <v>Male</v>
      </c>
      <c r="C3719" s="8">
        <v>61</v>
      </c>
      <c r="D3719" t="str">
        <f t="shared" si="352"/>
        <v>Senior</v>
      </c>
      <c r="E3719">
        <v>1</v>
      </c>
      <c r="F3719" t="str">
        <f>HLOOKUP(E3719, LookUP_Table!$A$6:$D$7, 2, FALSE)</f>
        <v>Primary</v>
      </c>
      <c r="G3719" t="str">
        <f>IFERROR(VLOOKUP(E3719, LookUP_Table!$A$1:$B$4, 2, FALSE), "")</f>
        <v>Primary</v>
      </c>
      <c r="H3719">
        <v>0</v>
      </c>
      <c r="I3719">
        <v>0</v>
      </c>
      <c r="J3719" t="str">
        <f t="shared" si="348"/>
        <v>Non-Smoker</v>
      </c>
      <c r="K3719">
        <v>0</v>
      </c>
      <c r="L3719">
        <v>0</v>
      </c>
      <c r="M3719">
        <v>1</v>
      </c>
      <c r="N3719">
        <v>0</v>
      </c>
      <c r="O3719">
        <v>238</v>
      </c>
      <c r="P3719" t="str">
        <f t="shared" si="349"/>
        <v>Normal</v>
      </c>
      <c r="Q3719">
        <v>232</v>
      </c>
      <c r="R3719">
        <v>136</v>
      </c>
      <c r="S3719">
        <v>24.83</v>
      </c>
      <c r="T3719" t="str">
        <f t="shared" si="350"/>
        <v>Normal</v>
      </c>
      <c r="U3719">
        <v>75</v>
      </c>
      <c r="V3719">
        <v>79</v>
      </c>
      <c r="W3719" t="str">
        <f t="shared" si="353"/>
        <v>Normal</v>
      </c>
      <c r="X3719">
        <v>0</v>
      </c>
    </row>
    <row r="3720" spans="1:24" ht="14.5" thickBot="1" x14ac:dyDescent="0.35">
      <c r="A3720">
        <v>0</v>
      </c>
      <c r="B3720" t="str">
        <f t="shared" si="351"/>
        <v>Female</v>
      </c>
      <c r="C3720" s="8">
        <v>61</v>
      </c>
      <c r="D3720" t="str">
        <f t="shared" si="352"/>
        <v>Senior</v>
      </c>
      <c r="E3720">
        <v>1</v>
      </c>
      <c r="F3720" t="str">
        <f>HLOOKUP(E3720, LookUP_Table!$A$6:$D$7, 2, FALSE)</f>
        <v>Primary</v>
      </c>
      <c r="G3720" t="str">
        <f>IFERROR(VLOOKUP(E3720, LookUP_Table!$A$1:$B$4, 2, FALSE), "")</f>
        <v>Primary</v>
      </c>
      <c r="H3720">
        <v>0</v>
      </c>
      <c r="I3720">
        <v>0</v>
      </c>
      <c r="J3720" t="str">
        <f t="shared" si="348"/>
        <v>Non-Smoker</v>
      </c>
      <c r="K3720">
        <v>0</v>
      </c>
      <c r="L3720">
        <v>0</v>
      </c>
      <c r="M3720">
        <v>0</v>
      </c>
      <c r="N3720">
        <v>0</v>
      </c>
      <c r="O3720">
        <v>218</v>
      </c>
      <c r="P3720" t="str">
        <f t="shared" si="349"/>
        <v>Normal</v>
      </c>
      <c r="Q3720">
        <v>148</v>
      </c>
      <c r="R3720">
        <v>80</v>
      </c>
      <c r="S3720">
        <v>37.04</v>
      </c>
      <c r="T3720" t="str">
        <f t="shared" si="350"/>
        <v>Obese</v>
      </c>
      <c r="U3720">
        <v>82</v>
      </c>
      <c r="V3720">
        <v>78</v>
      </c>
      <c r="W3720" t="str">
        <f t="shared" si="353"/>
        <v>Normal</v>
      </c>
      <c r="X3720">
        <v>0</v>
      </c>
    </row>
    <row r="3721" spans="1:24" ht="14.5" thickBot="1" x14ac:dyDescent="0.35">
      <c r="A3721">
        <v>0</v>
      </c>
      <c r="B3721" t="str">
        <f t="shared" si="351"/>
        <v>Female</v>
      </c>
      <c r="C3721" s="8">
        <v>61</v>
      </c>
      <c r="D3721" t="str">
        <f t="shared" si="352"/>
        <v>Senior</v>
      </c>
      <c r="E3721">
        <v>2</v>
      </c>
      <c r="F3721" t="str">
        <f>HLOOKUP(E3721, LookUP_Table!$A$6:$D$7, 2, FALSE)</f>
        <v>Secondary</v>
      </c>
      <c r="G3721" t="str">
        <f>IFERROR(VLOOKUP(E3721, LookUP_Table!$A$1:$B$4, 2, FALSE), "")</f>
        <v>Secondary</v>
      </c>
      <c r="H3721">
        <v>0</v>
      </c>
      <c r="I3721">
        <v>0</v>
      </c>
      <c r="J3721" t="str">
        <f t="shared" si="348"/>
        <v>Non-Smoker</v>
      </c>
      <c r="K3721">
        <v>0</v>
      </c>
      <c r="L3721">
        <v>0</v>
      </c>
      <c r="M3721">
        <v>1</v>
      </c>
      <c r="N3721">
        <v>0</v>
      </c>
      <c r="O3721">
        <v>273</v>
      </c>
      <c r="P3721" t="str">
        <f t="shared" si="349"/>
        <v>High</v>
      </c>
      <c r="Q3721">
        <v>210</v>
      </c>
      <c r="R3721">
        <v>120</v>
      </c>
      <c r="S3721">
        <v>25.11</v>
      </c>
      <c r="T3721" t="str">
        <f t="shared" si="350"/>
        <v>Overweight</v>
      </c>
      <c r="U3721">
        <v>88</v>
      </c>
      <c r="V3721">
        <v>83</v>
      </c>
      <c r="W3721" t="str">
        <f t="shared" si="353"/>
        <v>Normal</v>
      </c>
      <c r="X3721">
        <v>1</v>
      </c>
    </row>
    <row r="3722" spans="1:24" ht="14.5" thickBot="1" x14ac:dyDescent="0.35">
      <c r="A3722">
        <v>0</v>
      </c>
      <c r="B3722" t="str">
        <f t="shared" si="351"/>
        <v>Female</v>
      </c>
      <c r="C3722" s="8">
        <v>61</v>
      </c>
      <c r="D3722" t="str">
        <f t="shared" si="352"/>
        <v>Senior</v>
      </c>
      <c r="E3722">
        <v>1</v>
      </c>
      <c r="F3722" t="str">
        <f>HLOOKUP(E3722, LookUP_Table!$A$6:$D$7, 2, FALSE)</f>
        <v>Primary</v>
      </c>
      <c r="G3722" t="str">
        <f>IFERROR(VLOOKUP(E3722, LookUP_Table!$A$1:$B$4, 2, FALSE), "")</f>
        <v>Primary</v>
      </c>
      <c r="H3722">
        <v>0</v>
      </c>
      <c r="I3722">
        <v>0</v>
      </c>
      <c r="J3722" t="str">
        <f t="shared" si="348"/>
        <v>Non-Smoker</v>
      </c>
      <c r="K3722">
        <v>0</v>
      </c>
      <c r="L3722">
        <v>0</v>
      </c>
      <c r="M3722">
        <v>0</v>
      </c>
      <c r="N3722">
        <v>0</v>
      </c>
      <c r="O3722">
        <v>270</v>
      </c>
      <c r="P3722" t="str">
        <f t="shared" si="349"/>
        <v>High</v>
      </c>
      <c r="Q3722">
        <v>136.5</v>
      </c>
      <c r="R3722">
        <v>89</v>
      </c>
      <c r="S3722">
        <v>30.65</v>
      </c>
      <c r="T3722" t="str">
        <f t="shared" si="350"/>
        <v>Obese</v>
      </c>
      <c r="U3722">
        <v>63</v>
      </c>
      <c r="V3722">
        <v>87</v>
      </c>
      <c r="W3722" t="str">
        <f t="shared" si="353"/>
        <v>Normal</v>
      </c>
      <c r="X3722">
        <v>0</v>
      </c>
    </row>
    <row r="3723" spans="1:24" ht="14.5" thickBot="1" x14ac:dyDescent="0.35">
      <c r="A3723">
        <v>1</v>
      </c>
      <c r="B3723" t="str">
        <f t="shared" si="351"/>
        <v>Male</v>
      </c>
      <c r="C3723" s="8">
        <v>61</v>
      </c>
      <c r="D3723" t="str">
        <f t="shared" si="352"/>
        <v>Senior</v>
      </c>
      <c r="E3723">
        <v>1</v>
      </c>
      <c r="F3723" t="str">
        <f>HLOOKUP(E3723, LookUP_Table!$A$6:$D$7, 2, FALSE)</f>
        <v>Primary</v>
      </c>
      <c r="G3723" t="str">
        <f>IFERROR(VLOOKUP(E3723, LookUP_Table!$A$1:$B$4, 2, FALSE), "")</f>
        <v>Primary</v>
      </c>
      <c r="H3723">
        <v>1</v>
      </c>
      <c r="I3723">
        <v>13</v>
      </c>
      <c r="J3723" t="str">
        <f t="shared" si="348"/>
        <v>Smoker</v>
      </c>
      <c r="K3723">
        <v>0</v>
      </c>
      <c r="L3723">
        <v>0</v>
      </c>
      <c r="M3723">
        <v>0</v>
      </c>
      <c r="N3723">
        <v>0</v>
      </c>
      <c r="O3723">
        <v>312</v>
      </c>
      <c r="P3723" t="str">
        <f t="shared" si="349"/>
        <v>High</v>
      </c>
      <c r="Q3723">
        <v>110</v>
      </c>
      <c r="R3723">
        <v>66</v>
      </c>
      <c r="S3723">
        <v>26.28</v>
      </c>
      <c r="T3723" t="str">
        <f t="shared" si="350"/>
        <v>Overweight</v>
      </c>
      <c r="U3723">
        <v>68</v>
      </c>
      <c r="V3723">
        <v>96</v>
      </c>
      <c r="W3723" t="str">
        <f t="shared" si="353"/>
        <v>Normal</v>
      </c>
      <c r="X3723">
        <v>0</v>
      </c>
    </row>
    <row r="3724" spans="1:24" ht="14.5" thickBot="1" x14ac:dyDescent="0.35">
      <c r="A3724">
        <v>1</v>
      </c>
      <c r="B3724" t="str">
        <f t="shared" si="351"/>
        <v>Male</v>
      </c>
      <c r="C3724" s="8">
        <v>61</v>
      </c>
      <c r="D3724" t="str">
        <f t="shared" si="352"/>
        <v>Senior</v>
      </c>
      <c r="E3724">
        <v>1</v>
      </c>
      <c r="F3724" t="str">
        <f>HLOOKUP(E3724, LookUP_Table!$A$6:$D$7, 2, FALSE)</f>
        <v>Primary</v>
      </c>
      <c r="G3724" t="str">
        <f>IFERROR(VLOOKUP(E3724, LookUP_Table!$A$1:$B$4, 2, FALSE), "")</f>
        <v>Primary</v>
      </c>
      <c r="H3724">
        <v>1</v>
      </c>
      <c r="I3724">
        <v>15</v>
      </c>
      <c r="J3724" t="str">
        <f t="shared" si="348"/>
        <v>Smoker</v>
      </c>
      <c r="K3724">
        <v>0</v>
      </c>
      <c r="L3724">
        <v>0</v>
      </c>
      <c r="M3724">
        <v>1</v>
      </c>
      <c r="N3724">
        <v>0</v>
      </c>
      <c r="O3724">
        <v>157</v>
      </c>
      <c r="P3724" t="str">
        <f t="shared" si="349"/>
        <v>Normal</v>
      </c>
      <c r="Q3724">
        <v>195</v>
      </c>
      <c r="R3724">
        <v>108</v>
      </c>
      <c r="S3724">
        <v>25.08</v>
      </c>
      <c r="T3724" t="str">
        <f t="shared" si="350"/>
        <v>Overweight</v>
      </c>
      <c r="U3724">
        <v>75</v>
      </c>
      <c r="V3724">
        <v>78</v>
      </c>
      <c r="W3724" t="str">
        <f t="shared" si="353"/>
        <v>Normal</v>
      </c>
      <c r="X3724">
        <v>0</v>
      </c>
    </row>
    <row r="3725" spans="1:24" ht="14.5" thickBot="1" x14ac:dyDescent="0.35">
      <c r="A3725">
        <v>0</v>
      </c>
      <c r="B3725" t="str">
        <f t="shared" si="351"/>
        <v>Female</v>
      </c>
      <c r="C3725" s="8">
        <v>61</v>
      </c>
      <c r="D3725" t="str">
        <f t="shared" si="352"/>
        <v>Senior</v>
      </c>
      <c r="E3725">
        <v>1</v>
      </c>
      <c r="F3725" t="str">
        <f>HLOOKUP(E3725, LookUP_Table!$A$6:$D$7, 2, FALSE)</f>
        <v>Primary</v>
      </c>
      <c r="G3725" t="str">
        <f>IFERROR(VLOOKUP(E3725, LookUP_Table!$A$1:$B$4, 2, FALSE), "")</f>
        <v>Primary</v>
      </c>
      <c r="H3725">
        <v>1</v>
      </c>
      <c r="I3725">
        <v>25</v>
      </c>
      <c r="J3725" t="str">
        <f t="shared" si="348"/>
        <v>Smoker</v>
      </c>
      <c r="K3725">
        <v>0</v>
      </c>
      <c r="L3725">
        <v>0</v>
      </c>
      <c r="M3725">
        <v>0</v>
      </c>
      <c r="N3725">
        <v>0</v>
      </c>
      <c r="O3725">
        <v>236.69952267303103</v>
      </c>
      <c r="P3725" t="str">
        <f t="shared" si="349"/>
        <v>Normal</v>
      </c>
      <c r="Q3725">
        <v>147.5</v>
      </c>
      <c r="R3725">
        <v>72.5</v>
      </c>
      <c r="S3725">
        <v>26.58</v>
      </c>
      <c r="T3725" t="str">
        <f t="shared" si="350"/>
        <v>Overweight</v>
      </c>
      <c r="U3725">
        <v>83</v>
      </c>
      <c r="V3725">
        <v>81.96365524402907</v>
      </c>
      <c r="W3725" t="str">
        <f t="shared" si="353"/>
        <v>Normal</v>
      </c>
      <c r="X3725">
        <v>0</v>
      </c>
    </row>
    <row r="3726" spans="1:24" ht="14.5" thickBot="1" x14ac:dyDescent="0.35">
      <c r="A3726">
        <v>0</v>
      </c>
      <c r="B3726" t="str">
        <f t="shared" si="351"/>
        <v>Female</v>
      </c>
      <c r="C3726" s="8">
        <v>61</v>
      </c>
      <c r="D3726" t="str">
        <f t="shared" si="352"/>
        <v>Senior</v>
      </c>
      <c r="E3726">
        <v>3</v>
      </c>
      <c r="F3726" t="str">
        <f>HLOOKUP(E3726, LookUP_Table!$A$6:$D$7, 2, FALSE)</f>
        <v>Graduate</v>
      </c>
      <c r="G3726" t="str">
        <f>IFERROR(VLOOKUP(E3726, LookUP_Table!$A$1:$B$4, 2, FALSE), "")</f>
        <v>Graduate</v>
      </c>
      <c r="H3726">
        <v>0</v>
      </c>
      <c r="I3726">
        <v>0</v>
      </c>
      <c r="J3726" t="str">
        <f t="shared" si="348"/>
        <v>Non-Smoker</v>
      </c>
      <c r="K3726">
        <v>0</v>
      </c>
      <c r="L3726">
        <v>0</v>
      </c>
      <c r="M3726">
        <v>0</v>
      </c>
      <c r="N3726">
        <v>0</v>
      </c>
      <c r="O3726">
        <v>260</v>
      </c>
      <c r="P3726" t="str">
        <f t="shared" si="349"/>
        <v>High</v>
      </c>
      <c r="Q3726">
        <v>112.5</v>
      </c>
      <c r="R3726">
        <v>75</v>
      </c>
      <c r="S3726">
        <v>21.97</v>
      </c>
      <c r="T3726" t="str">
        <f t="shared" si="350"/>
        <v>Normal</v>
      </c>
      <c r="U3726">
        <v>60</v>
      </c>
      <c r="V3726">
        <v>74</v>
      </c>
      <c r="W3726" t="str">
        <f t="shared" si="353"/>
        <v>Normal</v>
      </c>
      <c r="X3726">
        <v>0</v>
      </c>
    </row>
    <row r="3727" spans="1:24" ht="14.5" thickBot="1" x14ac:dyDescent="0.35">
      <c r="A3727">
        <v>1</v>
      </c>
      <c r="B3727" t="str">
        <f t="shared" si="351"/>
        <v>Male</v>
      </c>
      <c r="C3727" s="8">
        <v>61</v>
      </c>
      <c r="D3727" t="str">
        <f t="shared" si="352"/>
        <v>Senior</v>
      </c>
      <c r="E3727">
        <v>1</v>
      </c>
      <c r="F3727" t="str">
        <f>HLOOKUP(E3727, LookUP_Table!$A$6:$D$7, 2, FALSE)</f>
        <v>Primary</v>
      </c>
      <c r="G3727" t="str">
        <f>IFERROR(VLOOKUP(E3727, LookUP_Table!$A$1:$B$4, 2, FALSE), "")</f>
        <v>Primary</v>
      </c>
      <c r="H3727">
        <v>1</v>
      </c>
      <c r="I3727">
        <v>5</v>
      </c>
      <c r="J3727" t="str">
        <f t="shared" si="348"/>
        <v>Smoker</v>
      </c>
      <c r="K3727">
        <v>0</v>
      </c>
      <c r="L3727">
        <v>0</v>
      </c>
      <c r="M3727">
        <v>0</v>
      </c>
      <c r="N3727">
        <v>0</v>
      </c>
      <c r="O3727">
        <v>222</v>
      </c>
      <c r="P3727" t="str">
        <f t="shared" si="349"/>
        <v>Normal</v>
      </c>
      <c r="Q3727">
        <v>139</v>
      </c>
      <c r="R3727">
        <v>67</v>
      </c>
      <c r="S3727">
        <v>22.01</v>
      </c>
      <c r="T3727" t="str">
        <f t="shared" si="350"/>
        <v>Normal</v>
      </c>
      <c r="U3727">
        <v>92</v>
      </c>
      <c r="V3727">
        <v>72</v>
      </c>
      <c r="W3727" t="str">
        <f t="shared" si="353"/>
        <v>Normal</v>
      </c>
      <c r="X3727">
        <v>0</v>
      </c>
    </row>
    <row r="3728" spans="1:24" ht="14.5" thickBot="1" x14ac:dyDescent="0.35">
      <c r="A3728">
        <v>1</v>
      </c>
      <c r="B3728" t="str">
        <f t="shared" si="351"/>
        <v>Male</v>
      </c>
      <c r="C3728" s="8">
        <v>61</v>
      </c>
      <c r="D3728" t="str">
        <f t="shared" si="352"/>
        <v>Senior</v>
      </c>
      <c r="E3728">
        <v>1</v>
      </c>
      <c r="F3728" t="str">
        <f>HLOOKUP(E3728, LookUP_Table!$A$6:$D$7, 2, FALSE)</f>
        <v>Primary</v>
      </c>
      <c r="G3728" t="str">
        <f>IFERROR(VLOOKUP(E3728, LookUP_Table!$A$1:$B$4, 2, FALSE), "")</f>
        <v>Primary</v>
      </c>
      <c r="H3728">
        <v>1</v>
      </c>
      <c r="I3728">
        <v>20</v>
      </c>
      <c r="J3728" t="str">
        <f t="shared" si="348"/>
        <v>Smoker</v>
      </c>
      <c r="K3728">
        <v>0</v>
      </c>
      <c r="L3728">
        <v>0</v>
      </c>
      <c r="M3728">
        <v>0</v>
      </c>
      <c r="N3728">
        <v>0</v>
      </c>
      <c r="O3728">
        <v>215</v>
      </c>
      <c r="P3728" t="str">
        <f t="shared" si="349"/>
        <v>Normal</v>
      </c>
      <c r="Q3728">
        <v>114</v>
      </c>
      <c r="R3728">
        <v>72.5</v>
      </c>
      <c r="S3728">
        <v>25.86</v>
      </c>
      <c r="T3728" t="str">
        <f t="shared" si="350"/>
        <v>Overweight</v>
      </c>
      <c r="U3728">
        <v>65</v>
      </c>
      <c r="V3728">
        <v>61</v>
      </c>
      <c r="W3728" t="str">
        <f t="shared" si="353"/>
        <v>Normal</v>
      </c>
      <c r="X3728">
        <v>1</v>
      </c>
    </row>
    <row r="3729" spans="1:24" ht="14.5" thickBot="1" x14ac:dyDescent="0.35">
      <c r="A3729">
        <v>1</v>
      </c>
      <c r="B3729" t="str">
        <f t="shared" si="351"/>
        <v>Male</v>
      </c>
      <c r="C3729" s="8">
        <v>61</v>
      </c>
      <c r="D3729" t="str">
        <f t="shared" si="352"/>
        <v>Senior</v>
      </c>
      <c r="E3729">
        <v>1</v>
      </c>
      <c r="F3729" t="str">
        <f>HLOOKUP(E3729, LookUP_Table!$A$6:$D$7, 2, FALSE)</f>
        <v>Primary</v>
      </c>
      <c r="G3729" t="str">
        <f>IFERROR(VLOOKUP(E3729, LookUP_Table!$A$1:$B$4, 2, FALSE), "")</f>
        <v>Primary</v>
      </c>
      <c r="H3729">
        <v>0</v>
      </c>
      <c r="I3729">
        <v>0</v>
      </c>
      <c r="J3729" t="str">
        <f t="shared" si="348"/>
        <v>Non-Smoker</v>
      </c>
      <c r="K3729">
        <v>0</v>
      </c>
      <c r="L3729">
        <v>0</v>
      </c>
      <c r="M3729">
        <v>0</v>
      </c>
      <c r="N3729">
        <v>0</v>
      </c>
      <c r="O3729">
        <v>193</v>
      </c>
      <c r="P3729" t="str">
        <f t="shared" si="349"/>
        <v>Normal</v>
      </c>
      <c r="Q3729">
        <v>108.5</v>
      </c>
      <c r="R3729">
        <v>71</v>
      </c>
      <c r="S3729">
        <v>31.31</v>
      </c>
      <c r="T3729" t="str">
        <f t="shared" si="350"/>
        <v>Obese</v>
      </c>
      <c r="U3729">
        <v>60</v>
      </c>
      <c r="V3729">
        <v>81.96365524402907</v>
      </c>
      <c r="W3729" t="str">
        <f t="shared" si="353"/>
        <v>Normal</v>
      </c>
      <c r="X3729">
        <v>0</v>
      </c>
    </row>
    <row r="3730" spans="1:24" ht="14.5" thickBot="1" x14ac:dyDescent="0.35">
      <c r="A3730">
        <v>0</v>
      </c>
      <c r="B3730" t="str">
        <f t="shared" si="351"/>
        <v>Female</v>
      </c>
      <c r="C3730" s="8">
        <v>61</v>
      </c>
      <c r="D3730" t="str">
        <f t="shared" si="352"/>
        <v>Senior</v>
      </c>
      <c r="E3730">
        <v>2</v>
      </c>
      <c r="F3730" t="str">
        <f>HLOOKUP(E3730, LookUP_Table!$A$6:$D$7, 2, FALSE)</f>
        <v>Secondary</v>
      </c>
      <c r="G3730" t="str">
        <f>IFERROR(VLOOKUP(E3730, LookUP_Table!$A$1:$B$4, 2, FALSE), "")</f>
        <v>Secondary</v>
      </c>
      <c r="H3730">
        <v>0</v>
      </c>
      <c r="I3730">
        <v>0</v>
      </c>
      <c r="J3730" t="str">
        <f t="shared" si="348"/>
        <v>Non-Smoker</v>
      </c>
      <c r="K3730">
        <v>0</v>
      </c>
      <c r="L3730">
        <v>0</v>
      </c>
      <c r="M3730">
        <v>1</v>
      </c>
      <c r="N3730">
        <v>0</v>
      </c>
      <c r="O3730">
        <v>224</v>
      </c>
      <c r="P3730" t="str">
        <f t="shared" si="349"/>
        <v>Normal</v>
      </c>
      <c r="Q3730">
        <v>155</v>
      </c>
      <c r="R3730">
        <v>71</v>
      </c>
      <c r="S3730">
        <v>25.98</v>
      </c>
      <c r="T3730" t="str">
        <f t="shared" si="350"/>
        <v>Overweight</v>
      </c>
      <c r="U3730">
        <v>75</v>
      </c>
      <c r="V3730">
        <v>86</v>
      </c>
      <c r="W3730" t="str">
        <f t="shared" si="353"/>
        <v>Normal</v>
      </c>
      <c r="X3730">
        <v>0</v>
      </c>
    </row>
    <row r="3731" spans="1:24" ht="14.5" thickBot="1" x14ac:dyDescent="0.35">
      <c r="A3731">
        <v>0</v>
      </c>
      <c r="B3731" t="str">
        <f t="shared" si="351"/>
        <v>Female</v>
      </c>
      <c r="C3731" s="8">
        <v>61</v>
      </c>
      <c r="D3731" t="str">
        <f t="shared" si="352"/>
        <v>Senior</v>
      </c>
      <c r="E3731">
        <v>2</v>
      </c>
      <c r="F3731" t="str">
        <f>HLOOKUP(E3731, LookUP_Table!$A$6:$D$7, 2, FALSE)</f>
        <v>Secondary</v>
      </c>
      <c r="G3731" t="str">
        <f>IFERROR(VLOOKUP(E3731, LookUP_Table!$A$1:$B$4, 2, FALSE), "")</f>
        <v>Secondary</v>
      </c>
      <c r="H3731">
        <v>0</v>
      </c>
      <c r="I3731">
        <v>0</v>
      </c>
      <c r="J3731" t="str">
        <f t="shared" si="348"/>
        <v>Non-Smoker</v>
      </c>
      <c r="K3731">
        <v>0</v>
      </c>
      <c r="L3731">
        <v>0</v>
      </c>
      <c r="M3731">
        <v>0</v>
      </c>
      <c r="N3731">
        <v>0</v>
      </c>
      <c r="O3731">
        <v>219</v>
      </c>
      <c r="P3731" t="str">
        <f t="shared" si="349"/>
        <v>Normal</v>
      </c>
      <c r="Q3731">
        <v>102</v>
      </c>
      <c r="R3731">
        <v>59</v>
      </c>
      <c r="S3731">
        <v>18.14</v>
      </c>
      <c r="T3731" t="str">
        <f t="shared" si="350"/>
        <v>Underweight</v>
      </c>
      <c r="U3731">
        <v>72</v>
      </c>
      <c r="V3731">
        <v>62</v>
      </c>
      <c r="W3731" t="str">
        <f t="shared" si="353"/>
        <v>Normal</v>
      </c>
      <c r="X3731">
        <v>0</v>
      </c>
    </row>
    <row r="3732" spans="1:24" ht="14.5" thickBot="1" x14ac:dyDescent="0.35">
      <c r="A3732">
        <v>0</v>
      </c>
      <c r="B3732" t="str">
        <f t="shared" si="351"/>
        <v>Female</v>
      </c>
      <c r="C3732" s="8">
        <v>61</v>
      </c>
      <c r="D3732" t="str">
        <f t="shared" si="352"/>
        <v>Senior</v>
      </c>
      <c r="E3732">
        <v>1</v>
      </c>
      <c r="F3732" t="str">
        <f>HLOOKUP(E3732, LookUP_Table!$A$6:$D$7, 2, FALSE)</f>
        <v>Primary</v>
      </c>
      <c r="G3732" t="str">
        <f>IFERROR(VLOOKUP(E3732, LookUP_Table!$A$1:$B$4, 2, FALSE), "")</f>
        <v>Primary</v>
      </c>
      <c r="H3732">
        <v>0</v>
      </c>
      <c r="I3732">
        <v>0</v>
      </c>
      <c r="J3732" t="str">
        <f t="shared" si="348"/>
        <v>Non-Smoker</v>
      </c>
      <c r="K3732">
        <v>0</v>
      </c>
      <c r="L3732">
        <v>0</v>
      </c>
      <c r="M3732">
        <v>1</v>
      </c>
      <c r="N3732">
        <v>0</v>
      </c>
      <c r="O3732">
        <v>236.69952267303103</v>
      </c>
      <c r="P3732" t="str">
        <f t="shared" si="349"/>
        <v>Normal</v>
      </c>
      <c r="Q3732">
        <v>185</v>
      </c>
      <c r="R3732">
        <v>121</v>
      </c>
      <c r="S3732">
        <v>35.22</v>
      </c>
      <c r="T3732" t="str">
        <f t="shared" si="350"/>
        <v>Obese</v>
      </c>
      <c r="U3732">
        <v>80</v>
      </c>
      <c r="V3732">
        <v>81.96365524402907</v>
      </c>
      <c r="W3732" t="str">
        <f t="shared" si="353"/>
        <v>Normal</v>
      </c>
      <c r="X3732">
        <v>0</v>
      </c>
    </row>
    <row r="3733" spans="1:24" ht="14.5" thickBot="1" x14ac:dyDescent="0.35">
      <c r="A3733">
        <v>1</v>
      </c>
      <c r="B3733" t="str">
        <f t="shared" si="351"/>
        <v>Male</v>
      </c>
      <c r="C3733" s="8">
        <v>61</v>
      </c>
      <c r="D3733" t="str">
        <f t="shared" si="352"/>
        <v>Senior</v>
      </c>
      <c r="E3733">
        <v>1</v>
      </c>
      <c r="F3733" t="str">
        <f>HLOOKUP(E3733, LookUP_Table!$A$6:$D$7, 2, FALSE)</f>
        <v>Primary</v>
      </c>
      <c r="G3733" t="str">
        <f>IFERROR(VLOOKUP(E3733, LookUP_Table!$A$1:$B$4, 2, FALSE), "")</f>
        <v>Primary</v>
      </c>
      <c r="H3733">
        <v>0</v>
      </c>
      <c r="I3733">
        <v>0</v>
      </c>
      <c r="J3733" t="str">
        <f t="shared" si="348"/>
        <v>Non-Smoker</v>
      </c>
      <c r="K3733">
        <v>0</v>
      </c>
      <c r="L3733">
        <v>0</v>
      </c>
      <c r="M3733">
        <v>1</v>
      </c>
      <c r="N3733">
        <v>0</v>
      </c>
      <c r="O3733">
        <v>243</v>
      </c>
      <c r="P3733" t="str">
        <f t="shared" si="349"/>
        <v>High</v>
      </c>
      <c r="Q3733">
        <v>142</v>
      </c>
      <c r="R3733">
        <v>89</v>
      </c>
      <c r="S3733">
        <v>27.3</v>
      </c>
      <c r="T3733" t="str">
        <f t="shared" si="350"/>
        <v>Overweight</v>
      </c>
      <c r="U3733">
        <v>65</v>
      </c>
      <c r="V3733">
        <v>67</v>
      </c>
      <c r="W3733" t="str">
        <f t="shared" si="353"/>
        <v>Normal</v>
      </c>
      <c r="X3733">
        <v>1</v>
      </c>
    </row>
    <row r="3734" spans="1:24" ht="14.5" thickBot="1" x14ac:dyDescent="0.35">
      <c r="A3734">
        <v>0</v>
      </c>
      <c r="B3734" t="str">
        <f t="shared" si="351"/>
        <v>Female</v>
      </c>
      <c r="C3734" s="8">
        <v>61</v>
      </c>
      <c r="D3734" t="str">
        <f t="shared" si="352"/>
        <v>Senior</v>
      </c>
      <c r="E3734">
        <v>1</v>
      </c>
      <c r="F3734" t="str">
        <f>HLOOKUP(E3734, LookUP_Table!$A$6:$D$7, 2, FALSE)</f>
        <v>Primary</v>
      </c>
      <c r="G3734" t="str">
        <f>IFERROR(VLOOKUP(E3734, LookUP_Table!$A$1:$B$4, 2, FALSE), "")</f>
        <v>Primary</v>
      </c>
      <c r="H3734">
        <v>0</v>
      </c>
      <c r="I3734">
        <v>0</v>
      </c>
      <c r="J3734" t="str">
        <f t="shared" si="348"/>
        <v>Non-Smoker</v>
      </c>
      <c r="K3734">
        <v>0</v>
      </c>
      <c r="L3734">
        <v>0</v>
      </c>
      <c r="M3734">
        <v>0</v>
      </c>
      <c r="N3734">
        <v>0</v>
      </c>
      <c r="O3734">
        <v>295</v>
      </c>
      <c r="P3734" t="str">
        <f t="shared" si="349"/>
        <v>High</v>
      </c>
      <c r="Q3734">
        <v>191</v>
      </c>
      <c r="R3734">
        <v>97</v>
      </c>
      <c r="S3734">
        <v>31.27</v>
      </c>
      <c r="T3734" t="str">
        <f t="shared" si="350"/>
        <v>Obese</v>
      </c>
      <c r="U3734">
        <v>62</v>
      </c>
      <c r="V3734">
        <v>90</v>
      </c>
      <c r="W3734" t="str">
        <f t="shared" si="353"/>
        <v>Normal</v>
      </c>
      <c r="X3734">
        <v>0</v>
      </c>
    </row>
    <row r="3735" spans="1:24" ht="14.5" thickBot="1" x14ac:dyDescent="0.35">
      <c r="A3735">
        <v>0</v>
      </c>
      <c r="B3735" t="str">
        <f t="shared" si="351"/>
        <v>Female</v>
      </c>
      <c r="C3735" s="8">
        <v>61</v>
      </c>
      <c r="D3735" t="str">
        <f t="shared" si="352"/>
        <v>Senior</v>
      </c>
      <c r="E3735">
        <v>2</v>
      </c>
      <c r="F3735" t="str">
        <f>HLOOKUP(E3735, LookUP_Table!$A$6:$D$7, 2, FALSE)</f>
        <v>Secondary</v>
      </c>
      <c r="G3735" t="str">
        <f>IFERROR(VLOOKUP(E3735, LookUP_Table!$A$1:$B$4, 2, FALSE), "")</f>
        <v>Secondary</v>
      </c>
      <c r="H3735">
        <v>0</v>
      </c>
      <c r="I3735">
        <v>0</v>
      </c>
      <c r="J3735" t="str">
        <f t="shared" si="348"/>
        <v>Non-Smoker</v>
      </c>
      <c r="K3735">
        <v>0</v>
      </c>
      <c r="L3735">
        <v>0</v>
      </c>
      <c r="M3735">
        <v>1</v>
      </c>
      <c r="N3735">
        <v>0</v>
      </c>
      <c r="O3735">
        <v>270</v>
      </c>
      <c r="P3735" t="str">
        <f t="shared" si="349"/>
        <v>High</v>
      </c>
      <c r="Q3735">
        <v>174.5</v>
      </c>
      <c r="R3735">
        <v>101.5</v>
      </c>
      <c r="S3735">
        <v>29.87</v>
      </c>
      <c r="T3735" t="str">
        <f t="shared" si="350"/>
        <v>Overweight</v>
      </c>
      <c r="U3735">
        <v>80</v>
      </c>
      <c r="V3735">
        <v>76</v>
      </c>
      <c r="W3735" t="str">
        <f t="shared" si="353"/>
        <v>Normal</v>
      </c>
      <c r="X3735">
        <v>0</v>
      </c>
    </row>
    <row r="3736" spans="1:24" ht="14.5" thickBot="1" x14ac:dyDescent="0.35">
      <c r="A3736">
        <v>1</v>
      </c>
      <c r="B3736" t="str">
        <f t="shared" si="351"/>
        <v>Male</v>
      </c>
      <c r="C3736" s="8">
        <v>61</v>
      </c>
      <c r="D3736" t="str">
        <f t="shared" si="352"/>
        <v>Senior</v>
      </c>
      <c r="E3736">
        <v>1</v>
      </c>
      <c r="F3736" t="str">
        <f>HLOOKUP(E3736, LookUP_Table!$A$6:$D$7, 2, FALSE)</f>
        <v>Primary</v>
      </c>
      <c r="G3736" t="str">
        <f>IFERROR(VLOOKUP(E3736, LookUP_Table!$A$1:$B$4, 2, FALSE), "")</f>
        <v>Primary</v>
      </c>
      <c r="H3736">
        <v>0</v>
      </c>
      <c r="I3736">
        <v>0</v>
      </c>
      <c r="J3736" t="str">
        <f t="shared" si="348"/>
        <v>Non-Smoker</v>
      </c>
      <c r="K3736">
        <v>0</v>
      </c>
      <c r="L3736">
        <v>0</v>
      </c>
      <c r="M3736">
        <v>1</v>
      </c>
      <c r="N3736">
        <v>0</v>
      </c>
      <c r="O3736">
        <v>239</v>
      </c>
      <c r="P3736" t="str">
        <f t="shared" si="349"/>
        <v>Normal</v>
      </c>
      <c r="Q3736">
        <v>122</v>
      </c>
      <c r="R3736">
        <v>83</v>
      </c>
      <c r="S3736">
        <v>28.85</v>
      </c>
      <c r="T3736" t="str">
        <f t="shared" si="350"/>
        <v>Overweight</v>
      </c>
      <c r="U3736">
        <v>62</v>
      </c>
      <c r="V3736">
        <v>94</v>
      </c>
      <c r="W3736" t="str">
        <f t="shared" si="353"/>
        <v>Normal</v>
      </c>
      <c r="X3736">
        <v>0</v>
      </c>
    </row>
    <row r="3737" spans="1:24" ht="14.5" thickBot="1" x14ac:dyDescent="0.35">
      <c r="A3737">
        <v>1</v>
      </c>
      <c r="B3737" t="str">
        <f t="shared" si="351"/>
        <v>Male</v>
      </c>
      <c r="C3737" s="8">
        <v>61</v>
      </c>
      <c r="D3737" t="str">
        <f t="shared" si="352"/>
        <v>Senior</v>
      </c>
      <c r="E3737">
        <v>1</v>
      </c>
      <c r="F3737" t="str">
        <f>HLOOKUP(E3737, LookUP_Table!$A$6:$D$7, 2, FALSE)</f>
        <v>Primary</v>
      </c>
      <c r="G3737" t="str">
        <f>IFERROR(VLOOKUP(E3737, LookUP_Table!$A$1:$B$4, 2, FALSE), "")</f>
        <v>Primary</v>
      </c>
      <c r="H3737">
        <v>0</v>
      </c>
      <c r="I3737">
        <v>0</v>
      </c>
      <c r="J3737" t="str">
        <f t="shared" si="348"/>
        <v>Non-Smoker</v>
      </c>
      <c r="K3737">
        <v>0</v>
      </c>
      <c r="L3737">
        <v>0</v>
      </c>
      <c r="M3737">
        <v>0</v>
      </c>
      <c r="N3737">
        <v>0</v>
      </c>
      <c r="O3737">
        <v>257</v>
      </c>
      <c r="P3737" t="str">
        <f t="shared" si="349"/>
        <v>High</v>
      </c>
      <c r="Q3737">
        <v>124.5</v>
      </c>
      <c r="R3737">
        <v>80</v>
      </c>
      <c r="S3737">
        <v>23.84</v>
      </c>
      <c r="T3737" t="str">
        <f t="shared" si="350"/>
        <v>Normal</v>
      </c>
      <c r="U3737">
        <v>64</v>
      </c>
      <c r="V3737">
        <v>76</v>
      </c>
      <c r="W3737" t="str">
        <f t="shared" si="353"/>
        <v>Normal</v>
      </c>
      <c r="X3737">
        <v>1</v>
      </c>
    </row>
    <row r="3738" spans="1:24" ht="14.5" thickBot="1" x14ac:dyDescent="0.35">
      <c r="A3738">
        <v>1</v>
      </c>
      <c r="B3738" t="str">
        <f t="shared" si="351"/>
        <v>Male</v>
      </c>
      <c r="C3738" s="8">
        <v>61</v>
      </c>
      <c r="D3738" t="str">
        <f t="shared" si="352"/>
        <v>Senior</v>
      </c>
      <c r="E3738">
        <v>1</v>
      </c>
      <c r="F3738" t="str">
        <f>HLOOKUP(E3738, LookUP_Table!$A$6:$D$7, 2, FALSE)</f>
        <v>Primary</v>
      </c>
      <c r="G3738" t="str">
        <f>IFERROR(VLOOKUP(E3738, LookUP_Table!$A$1:$B$4, 2, FALSE), "")</f>
        <v>Primary</v>
      </c>
      <c r="H3738">
        <v>1</v>
      </c>
      <c r="I3738">
        <v>20</v>
      </c>
      <c r="J3738" t="str">
        <f t="shared" si="348"/>
        <v>Smoker</v>
      </c>
      <c r="K3738">
        <v>0</v>
      </c>
      <c r="L3738">
        <v>0</v>
      </c>
      <c r="M3738">
        <v>1</v>
      </c>
      <c r="N3738">
        <v>0</v>
      </c>
      <c r="O3738">
        <v>220</v>
      </c>
      <c r="P3738" t="str">
        <f t="shared" si="349"/>
        <v>Normal</v>
      </c>
      <c r="Q3738">
        <v>215</v>
      </c>
      <c r="R3738">
        <v>129</v>
      </c>
      <c r="S3738">
        <v>24.69</v>
      </c>
      <c r="T3738" t="str">
        <f t="shared" si="350"/>
        <v>Normal</v>
      </c>
      <c r="U3738">
        <v>92</v>
      </c>
      <c r="V3738">
        <v>81.96365524402907</v>
      </c>
      <c r="W3738" t="str">
        <f t="shared" si="353"/>
        <v>Normal</v>
      </c>
      <c r="X3738">
        <v>1</v>
      </c>
    </row>
    <row r="3739" spans="1:24" ht="14.5" thickBot="1" x14ac:dyDescent="0.35">
      <c r="A3739">
        <v>0</v>
      </c>
      <c r="B3739" t="str">
        <f t="shared" si="351"/>
        <v>Female</v>
      </c>
      <c r="C3739" s="8">
        <v>61</v>
      </c>
      <c r="D3739" t="str">
        <f t="shared" si="352"/>
        <v>Senior</v>
      </c>
      <c r="E3739">
        <v>1</v>
      </c>
      <c r="F3739" t="str">
        <f>HLOOKUP(E3739, LookUP_Table!$A$6:$D$7, 2, FALSE)</f>
        <v>Primary</v>
      </c>
      <c r="G3739" t="str">
        <f>IFERROR(VLOOKUP(E3739, LookUP_Table!$A$1:$B$4, 2, FALSE), "")</f>
        <v>Primary</v>
      </c>
      <c r="H3739">
        <v>0</v>
      </c>
      <c r="I3739">
        <v>0</v>
      </c>
      <c r="J3739" t="str">
        <f t="shared" si="348"/>
        <v>Non-Smoker</v>
      </c>
      <c r="K3739">
        <v>0</v>
      </c>
      <c r="L3739">
        <v>0</v>
      </c>
      <c r="M3739">
        <v>1</v>
      </c>
      <c r="N3739">
        <v>0</v>
      </c>
      <c r="O3739">
        <v>300</v>
      </c>
      <c r="P3739" t="str">
        <f t="shared" si="349"/>
        <v>High</v>
      </c>
      <c r="Q3739">
        <v>150.5</v>
      </c>
      <c r="R3739">
        <v>89</v>
      </c>
      <c r="S3739">
        <v>25.80080075811421</v>
      </c>
      <c r="T3739" t="str">
        <f t="shared" si="350"/>
        <v>Overweight</v>
      </c>
      <c r="U3739">
        <v>68</v>
      </c>
      <c r="V3739">
        <v>72</v>
      </c>
      <c r="W3739" t="str">
        <f t="shared" si="353"/>
        <v>Normal</v>
      </c>
      <c r="X3739">
        <v>1</v>
      </c>
    </row>
    <row r="3740" spans="1:24" ht="14.5" thickBot="1" x14ac:dyDescent="0.35">
      <c r="A3740">
        <v>0</v>
      </c>
      <c r="B3740" t="str">
        <f t="shared" si="351"/>
        <v>Female</v>
      </c>
      <c r="C3740" s="8">
        <v>61</v>
      </c>
      <c r="D3740" t="str">
        <f t="shared" si="352"/>
        <v>Senior</v>
      </c>
      <c r="E3740">
        <v>1</v>
      </c>
      <c r="F3740" t="str">
        <f>HLOOKUP(E3740, LookUP_Table!$A$6:$D$7, 2, FALSE)</f>
        <v>Primary</v>
      </c>
      <c r="G3740" t="str">
        <f>IFERROR(VLOOKUP(E3740, LookUP_Table!$A$1:$B$4, 2, FALSE), "")</f>
        <v>Primary</v>
      </c>
      <c r="H3740">
        <v>0</v>
      </c>
      <c r="I3740">
        <v>0</v>
      </c>
      <c r="J3740" t="str">
        <f t="shared" si="348"/>
        <v>Non-Smoker</v>
      </c>
      <c r="K3740">
        <v>0</v>
      </c>
      <c r="L3740">
        <v>0</v>
      </c>
      <c r="M3740">
        <v>0</v>
      </c>
      <c r="N3740">
        <v>0</v>
      </c>
      <c r="O3740">
        <v>260</v>
      </c>
      <c r="P3740" t="str">
        <f t="shared" si="349"/>
        <v>High</v>
      </c>
      <c r="Q3740">
        <v>137</v>
      </c>
      <c r="R3740">
        <v>70</v>
      </c>
      <c r="S3740">
        <v>24.83</v>
      </c>
      <c r="T3740" t="str">
        <f t="shared" si="350"/>
        <v>Normal</v>
      </c>
      <c r="U3740">
        <v>92</v>
      </c>
      <c r="V3740">
        <v>78</v>
      </c>
      <c r="W3740" t="str">
        <f t="shared" si="353"/>
        <v>Normal</v>
      </c>
      <c r="X3740">
        <v>0</v>
      </c>
    </row>
    <row r="3741" spans="1:24" ht="14.5" thickBot="1" x14ac:dyDescent="0.35">
      <c r="A3741">
        <v>1</v>
      </c>
      <c r="B3741" t="str">
        <f t="shared" si="351"/>
        <v>Male</v>
      </c>
      <c r="C3741" s="8">
        <v>61</v>
      </c>
      <c r="D3741" t="str">
        <f t="shared" si="352"/>
        <v>Senior</v>
      </c>
      <c r="E3741">
        <v>1</v>
      </c>
      <c r="F3741" t="str">
        <f>HLOOKUP(E3741, LookUP_Table!$A$6:$D$7, 2, FALSE)</f>
        <v>Primary</v>
      </c>
      <c r="G3741" t="str">
        <f>IFERROR(VLOOKUP(E3741, LookUP_Table!$A$1:$B$4, 2, FALSE), "")</f>
        <v>Primary</v>
      </c>
      <c r="H3741">
        <v>1</v>
      </c>
      <c r="I3741">
        <v>20</v>
      </c>
      <c r="J3741" t="str">
        <f t="shared" si="348"/>
        <v>Smoker</v>
      </c>
      <c r="K3741">
        <v>0</v>
      </c>
      <c r="L3741">
        <v>0</v>
      </c>
      <c r="M3741">
        <v>0</v>
      </c>
      <c r="N3741">
        <v>0</v>
      </c>
      <c r="O3741">
        <v>260</v>
      </c>
      <c r="P3741" t="str">
        <f t="shared" si="349"/>
        <v>High</v>
      </c>
      <c r="Q3741">
        <v>115</v>
      </c>
      <c r="R3741">
        <v>79</v>
      </c>
      <c r="S3741">
        <v>23.65</v>
      </c>
      <c r="T3741" t="str">
        <f t="shared" si="350"/>
        <v>Normal</v>
      </c>
      <c r="U3741">
        <v>56</v>
      </c>
      <c r="V3741">
        <v>78</v>
      </c>
      <c r="W3741" t="str">
        <f t="shared" si="353"/>
        <v>Normal</v>
      </c>
      <c r="X3741">
        <v>0</v>
      </c>
    </row>
    <row r="3742" spans="1:24" ht="14.5" thickBot="1" x14ac:dyDescent="0.35">
      <c r="A3742">
        <v>1</v>
      </c>
      <c r="B3742" t="str">
        <f t="shared" si="351"/>
        <v>Male</v>
      </c>
      <c r="C3742" s="8">
        <v>61</v>
      </c>
      <c r="D3742" t="str">
        <f t="shared" si="352"/>
        <v>Senior</v>
      </c>
      <c r="E3742">
        <v>1</v>
      </c>
      <c r="F3742" t="str">
        <f>HLOOKUP(E3742, LookUP_Table!$A$6:$D$7, 2, FALSE)</f>
        <v>Primary</v>
      </c>
      <c r="G3742" t="str">
        <f>IFERROR(VLOOKUP(E3742, LookUP_Table!$A$1:$B$4, 2, FALSE), "")</f>
        <v>Primary</v>
      </c>
      <c r="H3742">
        <v>1</v>
      </c>
      <c r="I3742">
        <v>20</v>
      </c>
      <c r="J3742" t="str">
        <f t="shared" si="348"/>
        <v>Smoker</v>
      </c>
      <c r="K3742">
        <v>0</v>
      </c>
      <c r="L3742">
        <v>0</v>
      </c>
      <c r="M3742">
        <v>0</v>
      </c>
      <c r="N3742">
        <v>0</v>
      </c>
      <c r="O3742">
        <v>262</v>
      </c>
      <c r="P3742" t="str">
        <f t="shared" si="349"/>
        <v>High</v>
      </c>
      <c r="Q3742">
        <v>129</v>
      </c>
      <c r="R3742">
        <v>85</v>
      </c>
      <c r="S3742">
        <v>21.77</v>
      </c>
      <c r="T3742" t="str">
        <f t="shared" si="350"/>
        <v>Normal</v>
      </c>
      <c r="U3742">
        <v>80</v>
      </c>
      <c r="V3742">
        <v>74</v>
      </c>
      <c r="W3742" t="str">
        <f t="shared" si="353"/>
        <v>Normal</v>
      </c>
      <c r="X3742">
        <v>0</v>
      </c>
    </row>
    <row r="3743" spans="1:24" ht="14.5" thickBot="1" x14ac:dyDescent="0.35">
      <c r="A3743">
        <v>0</v>
      </c>
      <c r="B3743" t="str">
        <f t="shared" si="351"/>
        <v>Female</v>
      </c>
      <c r="C3743" s="8">
        <v>61</v>
      </c>
      <c r="D3743" t="str">
        <f t="shared" si="352"/>
        <v>Senior</v>
      </c>
      <c r="E3743">
        <v>1</v>
      </c>
      <c r="F3743" t="str">
        <f>HLOOKUP(E3743, LookUP_Table!$A$6:$D$7, 2, FALSE)</f>
        <v>Primary</v>
      </c>
      <c r="G3743" t="str">
        <f>IFERROR(VLOOKUP(E3743, LookUP_Table!$A$1:$B$4, 2, FALSE), "")</f>
        <v>Primary</v>
      </c>
      <c r="H3743">
        <v>1</v>
      </c>
      <c r="I3743">
        <v>9</v>
      </c>
      <c r="J3743" t="str">
        <f t="shared" si="348"/>
        <v>Smoker</v>
      </c>
      <c r="K3743">
        <v>0</v>
      </c>
      <c r="L3743">
        <v>0</v>
      </c>
      <c r="M3743">
        <v>0</v>
      </c>
      <c r="N3743">
        <v>0</v>
      </c>
      <c r="O3743">
        <v>259</v>
      </c>
      <c r="P3743" t="str">
        <f t="shared" si="349"/>
        <v>High</v>
      </c>
      <c r="Q3743">
        <v>134.5</v>
      </c>
      <c r="R3743">
        <v>87</v>
      </c>
      <c r="S3743">
        <v>22.91</v>
      </c>
      <c r="T3743" t="str">
        <f t="shared" si="350"/>
        <v>Normal</v>
      </c>
      <c r="U3743">
        <v>70</v>
      </c>
      <c r="V3743">
        <v>91</v>
      </c>
      <c r="W3743" t="str">
        <f t="shared" si="353"/>
        <v>Normal</v>
      </c>
      <c r="X3743">
        <v>0</v>
      </c>
    </row>
    <row r="3744" spans="1:24" ht="14.5" thickBot="1" x14ac:dyDescent="0.35">
      <c r="A3744">
        <v>0</v>
      </c>
      <c r="B3744" t="str">
        <f t="shared" si="351"/>
        <v>Female</v>
      </c>
      <c r="C3744" s="8">
        <v>61</v>
      </c>
      <c r="D3744" t="str">
        <f t="shared" si="352"/>
        <v>Senior</v>
      </c>
      <c r="E3744">
        <v>3</v>
      </c>
      <c r="F3744" t="str">
        <f>HLOOKUP(E3744, LookUP_Table!$A$6:$D$7, 2, FALSE)</f>
        <v>Graduate</v>
      </c>
      <c r="G3744" t="str">
        <f>IFERROR(VLOOKUP(E3744, LookUP_Table!$A$1:$B$4, 2, FALSE), "")</f>
        <v>Graduate</v>
      </c>
      <c r="H3744">
        <v>0</v>
      </c>
      <c r="I3744">
        <v>0</v>
      </c>
      <c r="J3744" t="str">
        <f t="shared" si="348"/>
        <v>Non-Smoker</v>
      </c>
      <c r="K3744">
        <v>0</v>
      </c>
      <c r="L3744">
        <v>0</v>
      </c>
      <c r="M3744">
        <v>0</v>
      </c>
      <c r="N3744">
        <v>0</v>
      </c>
      <c r="O3744">
        <v>235</v>
      </c>
      <c r="P3744" t="str">
        <f t="shared" si="349"/>
        <v>Normal</v>
      </c>
      <c r="Q3744">
        <v>102</v>
      </c>
      <c r="R3744">
        <v>74.5</v>
      </c>
      <c r="S3744">
        <v>19.22</v>
      </c>
      <c r="T3744" t="str">
        <f t="shared" si="350"/>
        <v>Normal</v>
      </c>
      <c r="U3744">
        <v>67</v>
      </c>
      <c r="V3744">
        <v>83</v>
      </c>
      <c r="W3744" t="str">
        <f t="shared" si="353"/>
        <v>Normal</v>
      </c>
      <c r="X3744">
        <v>0</v>
      </c>
    </row>
    <row r="3745" spans="1:24" ht="14.5" thickBot="1" x14ac:dyDescent="0.35">
      <c r="A3745">
        <v>0</v>
      </c>
      <c r="B3745" t="str">
        <f t="shared" si="351"/>
        <v>Female</v>
      </c>
      <c r="C3745" s="8">
        <v>61</v>
      </c>
      <c r="D3745" t="str">
        <f t="shared" si="352"/>
        <v>Senior</v>
      </c>
      <c r="E3745">
        <v>2</v>
      </c>
      <c r="F3745" t="str">
        <f>HLOOKUP(E3745, LookUP_Table!$A$6:$D$7, 2, FALSE)</f>
        <v>Secondary</v>
      </c>
      <c r="G3745" t="str">
        <f>IFERROR(VLOOKUP(E3745, LookUP_Table!$A$1:$B$4, 2, FALSE), "")</f>
        <v>Secondary</v>
      </c>
      <c r="H3745">
        <v>0</v>
      </c>
      <c r="I3745">
        <v>0</v>
      </c>
      <c r="J3745" t="str">
        <f t="shared" si="348"/>
        <v>Non-Smoker</v>
      </c>
      <c r="K3745">
        <v>1</v>
      </c>
      <c r="L3745">
        <v>0</v>
      </c>
      <c r="M3745">
        <v>1</v>
      </c>
      <c r="N3745">
        <v>0</v>
      </c>
      <c r="O3745">
        <v>209</v>
      </c>
      <c r="P3745" t="str">
        <f t="shared" si="349"/>
        <v>Normal</v>
      </c>
      <c r="Q3745">
        <v>133</v>
      </c>
      <c r="R3745">
        <v>93</v>
      </c>
      <c r="S3745">
        <v>25.80080075811421</v>
      </c>
      <c r="T3745" t="str">
        <f t="shared" si="350"/>
        <v>Overweight</v>
      </c>
      <c r="U3745">
        <v>80</v>
      </c>
      <c r="V3745">
        <v>81.96365524402907</v>
      </c>
      <c r="W3745" t="str">
        <f t="shared" si="353"/>
        <v>Normal</v>
      </c>
      <c r="X3745">
        <v>1</v>
      </c>
    </row>
    <row r="3746" spans="1:24" ht="14.5" thickBot="1" x14ac:dyDescent="0.35">
      <c r="A3746">
        <v>1</v>
      </c>
      <c r="B3746" t="str">
        <f t="shared" si="351"/>
        <v>Male</v>
      </c>
      <c r="C3746" s="8">
        <v>61</v>
      </c>
      <c r="D3746" t="str">
        <f t="shared" si="352"/>
        <v>Senior</v>
      </c>
      <c r="E3746">
        <v>1</v>
      </c>
      <c r="F3746" t="str">
        <f>HLOOKUP(E3746, LookUP_Table!$A$6:$D$7, 2, FALSE)</f>
        <v>Primary</v>
      </c>
      <c r="G3746" t="str">
        <f>IFERROR(VLOOKUP(E3746, LookUP_Table!$A$1:$B$4, 2, FALSE), "")</f>
        <v>Primary</v>
      </c>
      <c r="H3746">
        <v>0</v>
      </c>
      <c r="I3746">
        <v>0</v>
      </c>
      <c r="J3746" t="str">
        <f t="shared" si="348"/>
        <v>Non-Smoker</v>
      </c>
      <c r="K3746">
        <v>0</v>
      </c>
      <c r="L3746">
        <v>0</v>
      </c>
      <c r="M3746">
        <v>0</v>
      </c>
      <c r="N3746">
        <v>0</v>
      </c>
      <c r="O3746">
        <v>195</v>
      </c>
      <c r="P3746" t="str">
        <f t="shared" si="349"/>
        <v>Normal</v>
      </c>
      <c r="Q3746">
        <v>113</v>
      </c>
      <c r="R3746">
        <v>77</v>
      </c>
      <c r="S3746">
        <v>25.51</v>
      </c>
      <c r="T3746" t="str">
        <f t="shared" si="350"/>
        <v>Overweight</v>
      </c>
      <c r="U3746">
        <v>80</v>
      </c>
      <c r="V3746">
        <v>96</v>
      </c>
      <c r="W3746" t="str">
        <f t="shared" si="353"/>
        <v>Normal</v>
      </c>
      <c r="X3746">
        <v>0</v>
      </c>
    </row>
    <row r="3747" spans="1:24" ht="14.5" thickBot="1" x14ac:dyDescent="0.35">
      <c r="A3747">
        <v>0</v>
      </c>
      <c r="B3747" t="str">
        <f t="shared" si="351"/>
        <v>Female</v>
      </c>
      <c r="C3747" s="8">
        <v>61</v>
      </c>
      <c r="D3747" t="str">
        <f t="shared" si="352"/>
        <v>Senior</v>
      </c>
      <c r="E3747">
        <v>1</v>
      </c>
      <c r="F3747" t="str">
        <f>HLOOKUP(E3747, LookUP_Table!$A$6:$D$7, 2, FALSE)</f>
        <v>Primary</v>
      </c>
      <c r="G3747" t="str">
        <f>IFERROR(VLOOKUP(E3747, LookUP_Table!$A$1:$B$4, 2, FALSE), "")</f>
        <v>Primary</v>
      </c>
      <c r="H3747">
        <v>0</v>
      </c>
      <c r="I3747">
        <v>0</v>
      </c>
      <c r="J3747" t="str">
        <f t="shared" si="348"/>
        <v>Non-Smoker</v>
      </c>
      <c r="K3747">
        <v>0</v>
      </c>
      <c r="L3747">
        <v>0</v>
      </c>
      <c r="M3747">
        <v>1</v>
      </c>
      <c r="N3747">
        <v>0</v>
      </c>
      <c r="O3747">
        <v>254</v>
      </c>
      <c r="P3747" t="str">
        <f t="shared" si="349"/>
        <v>High</v>
      </c>
      <c r="Q3747">
        <v>168</v>
      </c>
      <c r="R3747">
        <v>92</v>
      </c>
      <c r="S3747">
        <v>31.63</v>
      </c>
      <c r="T3747" t="str">
        <f t="shared" si="350"/>
        <v>Obese</v>
      </c>
      <c r="U3747">
        <v>80</v>
      </c>
      <c r="V3747">
        <v>90</v>
      </c>
      <c r="W3747" t="str">
        <f t="shared" si="353"/>
        <v>Normal</v>
      </c>
      <c r="X3747">
        <v>0</v>
      </c>
    </row>
    <row r="3748" spans="1:24" ht="14.5" thickBot="1" x14ac:dyDescent="0.35">
      <c r="A3748">
        <v>0</v>
      </c>
      <c r="B3748" t="str">
        <f t="shared" si="351"/>
        <v>Female</v>
      </c>
      <c r="C3748" s="8">
        <v>61</v>
      </c>
      <c r="D3748" t="str">
        <f t="shared" si="352"/>
        <v>Senior</v>
      </c>
      <c r="E3748">
        <v>1</v>
      </c>
      <c r="F3748" t="str">
        <f>HLOOKUP(E3748, LookUP_Table!$A$6:$D$7, 2, FALSE)</f>
        <v>Primary</v>
      </c>
      <c r="G3748" t="str">
        <f>IFERROR(VLOOKUP(E3748, LookUP_Table!$A$1:$B$4, 2, FALSE), "")</f>
        <v>Primary</v>
      </c>
      <c r="H3748">
        <v>0</v>
      </c>
      <c r="I3748">
        <v>0</v>
      </c>
      <c r="J3748" t="str">
        <f t="shared" si="348"/>
        <v>Non-Smoker</v>
      </c>
      <c r="K3748">
        <v>0</v>
      </c>
      <c r="L3748">
        <v>0</v>
      </c>
      <c r="M3748">
        <v>1</v>
      </c>
      <c r="N3748">
        <v>0</v>
      </c>
      <c r="O3748">
        <v>217</v>
      </c>
      <c r="P3748" t="str">
        <f t="shared" si="349"/>
        <v>Normal</v>
      </c>
      <c r="Q3748">
        <v>182</v>
      </c>
      <c r="R3748">
        <v>86</v>
      </c>
      <c r="S3748">
        <v>26.98</v>
      </c>
      <c r="T3748" t="str">
        <f t="shared" si="350"/>
        <v>Overweight</v>
      </c>
      <c r="U3748">
        <v>105</v>
      </c>
      <c r="V3748">
        <v>113</v>
      </c>
      <c r="W3748" t="str">
        <f t="shared" si="353"/>
        <v>Prediabetes</v>
      </c>
      <c r="X3748">
        <v>0</v>
      </c>
    </row>
    <row r="3749" spans="1:24" ht="14.5" thickBot="1" x14ac:dyDescent="0.35">
      <c r="A3749">
        <v>0</v>
      </c>
      <c r="B3749" t="str">
        <f t="shared" si="351"/>
        <v>Female</v>
      </c>
      <c r="C3749" s="8">
        <v>61</v>
      </c>
      <c r="D3749" t="str">
        <f t="shared" si="352"/>
        <v>Senior</v>
      </c>
      <c r="E3749">
        <v>2</v>
      </c>
      <c r="F3749" t="str">
        <f>HLOOKUP(E3749, LookUP_Table!$A$6:$D$7, 2, FALSE)</f>
        <v>Secondary</v>
      </c>
      <c r="G3749" t="str">
        <f>IFERROR(VLOOKUP(E3749, LookUP_Table!$A$1:$B$4, 2, FALSE), "")</f>
        <v>Secondary</v>
      </c>
      <c r="H3749">
        <v>0</v>
      </c>
      <c r="I3749">
        <v>0</v>
      </c>
      <c r="J3749" t="str">
        <f t="shared" si="348"/>
        <v>Non-Smoker</v>
      </c>
      <c r="K3749">
        <v>0</v>
      </c>
      <c r="L3749">
        <v>0</v>
      </c>
      <c r="M3749">
        <v>1</v>
      </c>
      <c r="N3749">
        <v>0</v>
      </c>
      <c r="O3749">
        <v>194</v>
      </c>
      <c r="P3749" t="str">
        <f t="shared" si="349"/>
        <v>Normal</v>
      </c>
      <c r="Q3749">
        <v>148</v>
      </c>
      <c r="R3749">
        <v>89</v>
      </c>
      <c r="S3749">
        <v>23.48</v>
      </c>
      <c r="T3749" t="str">
        <f t="shared" si="350"/>
        <v>Normal</v>
      </c>
      <c r="U3749">
        <v>100</v>
      </c>
      <c r="V3749">
        <v>101</v>
      </c>
      <c r="W3749" t="str">
        <f t="shared" si="353"/>
        <v>Prediabetes</v>
      </c>
      <c r="X3749">
        <v>0</v>
      </c>
    </row>
    <row r="3750" spans="1:24" ht="14.5" thickBot="1" x14ac:dyDescent="0.35">
      <c r="A3750">
        <v>0</v>
      </c>
      <c r="B3750" t="str">
        <f t="shared" si="351"/>
        <v>Female</v>
      </c>
      <c r="C3750" s="8">
        <v>61</v>
      </c>
      <c r="D3750" t="str">
        <f t="shared" si="352"/>
        <v>Senior</v>
      </c>
      <c r="E3750">
        <v>2</v>
      </c>
      <c r="F3750" t="str">
        <f>HLOOKUP(E3750, LookUP_Table!$A$6:$D$7, 2, FALSE)</f>
        <v>Secondary</v>
      </c>
      <c r="G3750" t="str">
        <f>IFERROR(VLOOKUP(E3750, LookUP_Table!$A$1:$B$4, 2, FALSE), "")</f>
        <v>Secondary</v>
      </c>
      <c r="H3750">
        <v>1</v>
      </c>
      <c r="I3750">
        <v>20</v>
      </c>
      <c r="J3750" t="str">
        <f t="shared" si="348"/>
        <v>Smoker</v>
      </c>
      <c r="K3750">
        <v>0</v>
      </c>
      <c r="L3750">
        <v>0</v>
      </c>
      <c r="M3750">
        <v>1</v>
      </c>
      <c r="N3750">
        <v>0</v>
      </c>
      <c r="O3750">
        <v>231</v>
      </c>
      <c r="P3750" t="str">
        <f t="shared" si="349"/>
        <v>Normal</v>
      </c>
      <c r="Q3750">
        <v>128</v>
      </c>
      <c r="R3750">
        <v>87</v>
      </c>
      <c r="S3750">
        <v>26.3</v>
      </c>
      <c r="T3750" t="str">
        <f t="shared" si="350"/>
        <v>Overweight</v>
      </c>
      <c r="U3750">
        <v>82</v>
      </c>
      <c r="V3750">
        <v>93</v>
      </c>
      <c r="W3750" t="str">
        <f t="shared" si="353"/>
        <v>Normal</v>
      </c>
      <c r="X3750">
        <v>0</v>
      </c>
    </row>
    <row r="3751" spans="1:24" ht="14.5" thickBot="1" x14ac:dyDescent="0.35">
      <c r="A3751">
        <v>0</v>
      </c>
      <c r="B3751" t="str">
        <f t="shared" si="351"/>
        <v>Female</v>
      </c>
      <c r="C3751" s="8">
        <v>61</v>
      </c>
      <c r="D3751" t="str">
        <f t="shared" si="352"/>
        <v>Senior</v>
      </c>
      <c r="E3751">
        <v>2</v>
      </c>
      <c r="F3751" t="str">
        <f>HLOOKUP(E3751, LookUP_Table!$A$6:$D$7, 2, FALSE)</f>
        <v>Secondary</v>
      </c>
      <c r="G3751" t="str">
        <f>IFERROR(VLOOKUP(E3751, LookUP_Table!$A$1:$B$4, 2, FALSE), "")</f>
        <v>Secondary</v>
      </c>
      <c r="H3751">
        <v>0</v>
      </c>
      <c r="I3751">
        <v>0</v>
      </c>
      <c r="J3751" t="str">
        <f t="shared" si="348"/>
        <v>Non-Smoker</v>
      </c>
      <c r="K3751">
        <v>0</v>
      </c>
      <c r="L3751">
        <v>0</v>
      </c>
      <c r="M3751">
        <v>0</v>
      </c>
      <c r="N3751">
        <v>0</v>
      </c>
      <c r="O3751">
        <v>219</v>
      </c>
      <c r="P3751" t="str">
        <f t="shared" si="349"/>
        <v>Normal</v>
      </c>
      <c r="Q3751">
        <v>120</v>
      </c>
      <c r="R3751">
        <v>72.5</v>
      </c>
      <c r="S3751">
        <v>22.35</v>
      </c>
      <c r="T3751" t="str">
        <f t="shared" si="350"/>
        <v>Normal</v>
      </c>
      <c r="U3751">
        <v>76</v>
      </c>
      <c r="V3751">
        <v>92</v>
      </c>
      <c r="W3751" t="str">
        <f t="shared" si="353"/>
        <v>Normal</v>
      </c>
      <c r="X3751">
        <v>0</v>
      </c>
    </row>
    <row r="3752" spans="1:24" ht="14.5" thickBot="1" x14ac:dyDescent="0.35">
      <c r="A3752">
        <v>0</v>
      </c>
      <c r="B3752" t="str">
        <f t="shared" si="351"/>
        <v>Female</v>
      </c>
      <c r="C3752" s="8">
        <v>61</v>
      </c>
      <c r="D3752" t="str">
        <f t="shared" si="352"/>
        <v>Senior</v>
      </c>
      <c r="E3752">
        <v>4</v>
      </c>
      <c r="F3752" t="str">
        <f>HLOOKUP(E3752, LookUP_Table!$A$6:$D$7, 2, FALSE)</f>
        <v>Post Graduate</v>
      </c>
      <c r="G3752" t="str">
        <f>IFERROR(VLOOKUP(E3752, LookUP_Table!$A$1:$B$4, 2, FALSE), "")</f>
        <v>Post Graduate</v>
      </c>
      <c r="H3752">
        <v>0</v>
      </c>
      <c r="I3752">
        <v>0</v>
      </c>
      <c r="J3752" t="str">
        <f t="shared" si="348"/>
        <v>Non-Smoker</v>
      </c>
      <c r="K3752">
        <v>0</v>
      </c>
      <c r="L3752">
        <v>0</v>
      </c>
      <c r="M3752">
        <v>0</v>
      </c>
      <c r="N3752">
        <v>0</v>
      </c>
      <c r="O3752">
        <v>233</v>
      </c>
      <c r="P3752" t="str">
        <f t="shared" si="349"/>
        <v>Normal</v>
      </c>
      <c r="Q3752">
        <v>126</v>
      </c>
      <c r="R3752">
        <v>73</v>
      </c>
      <c r="S3752">
        <v>23.16</v>
      </c>
      <c r="T3752" t="str">
        <f t="shared" si="350"/>
        <v>Normal</v>
      </c>
      <c r="U3752">
        <v>74</v>
      </c>
      <c r="V3752">
        <v>62</v>
      </c>
      <c r="W3752" t="str">
        <f t="shared" si="353"/>
        <v>Normal</v>
      </c>
      <c r="X3752">
        <v>0</v>
      </c>
    </row>
    <row r="3753" spans="1:24" ht="14.5" thickBot="1" x14ac:dyDescent="0.35">
      <c r="A3753">
        <v>1</v>
      </c>
      <c r="B3753" t="str">
        <f t="shared" si="351"/>
        <v>Male</v>
      </c>
      <c r="C3753" s="8">
        <v>61</v>
      </c>
      <c r="D3753" t="str">
        <f t="shared" si="352"/>
        <v>Senior</v>
      </c>
      <c r="E3753">
        <v>4</v>
      </c>
      <c r="F3753" t="str">
        <f>HLOOKUP(E3753, LookUP_Table!$A$6:$D$7, 2, FALSE)</f>
        <v>Post Graduate</v>
      </c>
      <c r="G3753" t="str">
        <f>IFERROR(VLOOKUP(E3753, LookUP_Table!$A$1:$B$4, 2, FALSE), "")</f>
        <v>Post Graduate</v>
      </c>
      <c r="H3753">
        <v>1</v>
      </c>
      <c r="I3753">
        <v>15</v>
      </c>
      <c r="J3753" t="str">
        <f t="shared" si="348"/>
        <v>Smoker</v>
      </c>
      <c r="K3753">
        <v>0</v>
      </c>
      <c r="L3753">
        <v>0</v>
      </c>
      <c r="M3753">
        <v>0</v>
      </c>
      <c r="N3753">
        <v>0</v>
      </c>
      <c r="O3753">
        <v>217</v>
      </c>
      <c r="P3753" t="str">
        <f t="shared" si="349"/>
        <v>Normal</v>
      </c>
      <c r="Q3753">
        <v>131</v>
      </c>
      <c r="R3753">
        <v>83</v>
      </c>
      <c r="S3753">
        <v>26.46</v>
      </c>
      <c r="T3753" t="str">
        <f t="shared" si="350"/>
        <v>Overweight</v>
      </c>
      <c r="U3753">
        <v>62</v>
      </c>
      <c r="V3753">
        <v>81</v>
      </c>
      <c r="W3753" t="str">
        <f t="shared" si="353"/>
        <v>Normal</v>
      </c>
      <c r="X3753">
        <v>1</v>
      </c>
    </row>
    <row r="3754" spans="1:24" ht="14.5" thickBot="1" x14ac:dyDescent="0.35">
      <c r="A3754">
        <v>0</v>
      </c>
      <c r="B3754" t="str">
        <f t="shared" si="351"/>
        <v>Female</v>
      </c>
      <c r="C3754" s="8">
        <v>61</v>
      </c>
      <c r="D3754" t="str">
        <f t="shared" si="352"/>
        <v>Senior</v>
      </c>
      <c r="E3754">
        <v>2</v>
      </c>
      <c r="F3754" t="str">
        <f>HLOOKUP(E3754, LookUP_Table!$A$6:$D$7, 2, FALSE)</f>
        <v>Secondary</v>
      </c>
      <c r="G3754" t="str">
        <f>IFERROR(VLOOKUP(E3754, LookUP_Table!$A$1:$B$4, 2, FALSE), "")</f>
        <v>Secondary</v>
      </c>
      <c r="H3754">
        <v>0</v>
      </c>
      <c r="I3754">
        <v>0</v>
      </c>
      <c r="J3754" t="str">
        <f t="shared" si="348"/>
        <v>Non-Smoker</v>
      </c>
      <c r="K3754">
        <v>0</v>
      </c>
      <c r="L3754">
        <v>0</v>
      </c>
      <c r="M3754">
        <v>0</v>
      </c>
      <c r="N3754">
        <v>0</v>
      </c>
      <c r="O3754">
        <v>310</v>
      </c>
      <c r="P3754" t="str">
        <f t="shared" si="349"/>
        <v>High</v>
      </c>
      <c r="Q3754">
        <v>108</v>
      </c>
      <c r="R3754">
        <v>70</v>
      </c>
      <c r="S3754">
        <v>30.23</v>
      </c>
      <c r="T3754" t="str">
        <f t="shared" si="350"/>
        <v>Obese</v>
      </c>
      <c r="U3754">
        <v>60</v>
      </c>
      <c r="V3754">
        <v>65</v>
      </c>
      <c r="W3754" t="str">
        <f t="shared" si="353"/>
        <v>Normal</v>
      </c>
      <c r="X3754">
        <v>0</v>
      </c>
    </row>
    <row r="3755" spans="1:24" ht="14.5" thickBot="1" x14ac:dyDescent="0.35">
      <c r="A3755">
        <v>1</v>
      </c>
      <c r="B3755" t="str">
        <f t="shared" si="351"/>
        <v>Male</v>
      </c>
      <c r="C3755" s="8">
        <v>61</v>
      </c>
      <c r="D3755" t="str">
        <f t="shared" si="352"/>
        <v>Senior</v>
      </c>
      <c r="E3755">
        <v>1</v>
      </c>
      <c r="F3755" t="str">
        <f>HLOOKUP(E3755, LookUP_Table!$A$6:$D$7, 2, FALSE)</f>
        <v>Primary</v>
      </c>
      <c r="G3755" t="str">
        <f>IFERROR(VLOOKUP(E3755, LookUP_Table!$A$1:$B$4, 2, FALSE), "")</f>
        <v>Primary</v>
      </c>
      <c r="H3755">
        <v>0</v>
      </c>
      <c r="I3755">
        <v>0</v>
      </c>
      <c r="J3755" t="str">
        <f t="shared" si="348"/>
        <v>Non-Smoker</v>
      </c>
      <c r="K3755">
        <v>0</v>
      </c>
      <c r="L3755">
        <v>0</v>
      </c>
      <c r="M3755">
        <v>1</v>
      </c>
      <c r="N3755">
        <v>0</v>
      </c>
      <c r="O3755">
        <v>206</v>
      </c>
      <c r="P3755" t="str">
        <f t="shared" si="349"/>
        <v>Normal</v>
      </c>
      <c r="Q3755">
        <v>143</v>
      </c>
      <c r="R3755">
        <v>96</v>
      </c>
      <c r="S3755">
        <v>27.04</v>
      </c>
      <c r="T3755" t="str">
        <f t="shared" si="350"/>
        <v>Overweight</v>
      </c>
      <c r="U3755">
        <v>70</v>
      </c>
      <c r="V3755">
        <v>87</v>
      </c>
      <c r="W3755" t="str">
        <f t="shared" si="353"/>
        <v>Normal</v>
      </c>
      <c r="X3755">
        <v>1</v>
      </c>
    </row>
    <row r="3756" spans="1:24" ht="14.5" thickBot="1" x14ac:dyDescent="0.35">
      <c r="A3756">
        <v>0</v>
      </c>
      <c r="B3756" t="str">
        <f t="shared" si="351"/>
        <v>Female</v>
      </c>
      <c r="C3756" s="8">
        <v>61</v>
      </c>
      <c r="D3756" t="str">
        <f t="shared" si="352"/>
        <v>Senior</v>
      </c>
      <c r="E3756">
        <v>1</v>
      </c>
      <c r="F3756" t="str">
        <f>HLOOKUP(E3756, LookUP_Table!$A$6:$D$7, 2, FALSE)</f>
        <v>Primary</v>
      </c>
      <c r="G3756" t="str">
        <f>IFERROR(VLOOKUP(E3756, LookUP_Table!$A$1:$B$4, 2, FALSE), "")</f>
        <v>Primary</v>
      </c>
      <c r="H3756">
        <v>0</v>
      </c>
      <c r="I3756">
        <v>0</v>
      </c>
      <c r="J3756" t="str">
        <f t="shared" si="348"/>
        <v>Non-Smoker</v>
      </c>
      <c r="K3756">
        <v>0</v>
      </c>
      <c r="L3756">
        <v>0</v>
      </c>
      <c r="M3756">
        <v>1</v>
      </c>
      <c r="N3756">
        <v>0</v>
      </c>
      <c r="O3756">
        <v>240</v>
      </c>
      <c r="P3756" t="str">
        <f t="shared" si="349"/>
        <v>Normal</v>
      </c>
      <c r="Q3756">
        <v>163</v>
      </c>
      <c r="R3756">
        <v>112.5</v>
      </c>
      <c r="S3756">
        <v>26.8</v>
      </c>
      <c r="T3756" t="str">
        <f t="shared" si="350"/>
        <v>Overweight</v>
      </c>
      <c r="U3756">
        <v>75</v>
      </c>
      <c r="V3756">
        <v>82</v>
      </c>
      <c r="W3756" t="str">
        <f t="shared" si="353"/>
        <v>Normal</v>
      </c>
      <c r="X3756">
        <v>0</v>
      </c>
    </row>
    <row r="3757" spans="1:24" ht="14.5" thickBot="1" x14ac:dyDescent="0.35">
      <c r="A3757">
        <v>0</v>
      </c>
      <c r="B3757" t="str">
        <f t="shared" si="351"/>
        <v>Female</v>
      </c>
      <c r="C3757" s="8">
        <v>61</v>
      </c>
      <c r="D3757" t="str">
        <f t="shared" si="352"/>
        <v>Senior</v>
      </c>
      <c r="E3757">
        <v>1</v>
      </c>
      <c r="F3757" t="str">
        <f>HLOOKUP(E3757, LookUP_Table!$A$6:$D$7, 2, FALSE)</f>
        <v>Primary</v>
      </c>
      <c r="G3757" t="str">
        <f>IFERROR(VLOOKUP(E3757, LookUP_Table!$A$1:$B$4, 2, FALSE), "")</f>
        <v>Primary</v>
      </c>
      <c r="H3757">
        <v>0</v>
      </c>
      <c r="I3757">
        <v>0</v>
      </c>
      <c r="J3757" t="str">
        <f t="shared" si="348"/>
        <v>Non-Smoker</v>
      </c>
      <c r="K3757">
        <v>0</v>
      </c>
      <c r="L3757">
        <v>0</v>
      </c>
      <c r="M3757">
        <v>1</v>
      </c>
      <c r="N3757">
        <v>1</v>
      </c>
      <c r="O3757">
        <v>231</v>
      </c>
      <c r="P3757" t="str">
        <f t="shared" si="349"/>
        <v>Normal</v>
      </c>
      <c r="Q3757">
        <v>161.5</v>
      </c>
      <c r="R3757">
        <v>88</v>
      </c>
      <c r="S3757">
        <v>31.03</v>
      </c>
      <c r="T3757" t="str">
        <f t="shared" si="350"/>
        <v>Obese</v>
      </c>
      <c r="U3757">
        <v>85</v>
      </c>
      <c r="V3757">
        <v>166</v>
      </c>
      <c r="W3757" t="str">
        <f t="shared" si="353"/>
        <v>Diabetes</v>
      </c>
      <c r="X3757">
        <v>0</v>
      </c>
    </row>
    <row r="3758" spans="1:24" ht="14.5" thickBot="1" x14ac:dyDescent="0.35">
      <c r="A3758">
        <v>0</v>
      </c>
      <c r="B3758" t="str">
        <f t="shared" si="351"/>
        <v>Female</v>
      </c>
      <c r="C3758" s="8">
        <v>61</v>
      </c>
      <c r="D3758" t="str">
        <f t="shared" si="352"/>
        <v>Senior</v>
      </c>
      <c r="E3758">
        <v>1</v>
      </c>
      <c r="F3758" t="str">
        <f>HLOOKUP(E3758, LookUP_Table!$A$6:$D$7, 2, FALSE)</f>
        <v>Primary</v>
      </c>
      <c r="G3758" t="str">
        <f>IFERROR(VLOOKUP(E3758, LookUP_Table!$A$1:$B$4, 2, FALSE), "")</f>
        <v>Primary</v>
      </c>
      <c r="H3758">
        <v>1</v>
      </c>
      <c r="I3758">
        <v>20</v>
      </c>
      <c r="J3758" t="str">
        <f t="shared" si="348"/>
        <v>Smoker</v>
      </c>
      <c r="K3758">
        <v>0</v>
      </c>
      <c r="L3758">
        <v>0</v>
      </c>
      <c r="M3758">
        <v>0</v>
      </c>
      <c r="N3758">
        <v>0</v>
      </c>
      <c r="O3758">
        <v>286</v>
      </c>
      <c r="P3758" t="str">
        <f t="shared" si="349"/>
        <v>High</v>
      </c>
      <c r="Q3758">
        <v>141</v>
      </c>
      <c r="R3758">
        <v>81</v>
      </c>
      <c r="S3758">
        <v>23.61</v>
      </c>
      <c r="T3758" t="str">
        <f t="shared" si="350"/>
        <v>Normal</v>
      </c>
      <c r="U3758">
        <v>80</v>
      </c>
      <c r="V3758">
        <v>52</v>
      </c>
      <c r="W3758" t="str">
        <f t="shared" si="353"/>
        <v>Normal</v>
      </c>
      <c r="X3758">
        <v>0</v>
      </c>
    </row>
    <row r="3759" spans="1:24" ht="14.5" thickBot="1" x14ac:dyDescent="0.35">
      <c r="A3759">
        <v>1</v>
      </c>
      <c r="B3759" t="str">
        <f t="shared" si="351"/>
        <v>Male</v>
      </c>
      <c r="C3759" s="8">
        <v>61</v>
      </c>
      <c r="D3759" t="str">
        <f t="shared" si="352"/>
        <v>Senior</v>
      </c>
      <c r="E3759">
        <v>1</v>
      </c>
      <c r="F3759" t="str">
        <f>HLOOKUP(E3759, LookUP_Table!$A$6:$D$7, 2, FALSE)</f>
        <v>Primary</v>
      </c>
      <c r="G3759" t="str">
        <f>IFERROR(VLOOKUP(E3759, LookUP_Table!$A$1:$B$4, 2, FALSE), "")</f>
        <v>Primary</v>
      </c>
      <c r="H3759">
        <v>0</v>
      </c>
      <c r="I3759">
        <v>0</v>
      </c>
      <c r="J3759" t="str">
        <f t="shared" si="348"/>
        <v>Non-Smoker</v>
      </c>
      <c r="K3759">
        <v>0</v>
      </c>
      <c r="L3759">
        <v>0</v>
      </c>
      <c r="M3759">
        <v>0</v>
      </c>
      <c r="N3759">
        <v>0</v>
      </c>
      <c r="O3759">
        <v>238</v>
      </c>
      <c r="P3759" t="str">
        <f t="shared" si="349"/>
        <v>Normal</v>
      </c>
      <c r="Q3759">
        <v>119</v>
      </c>
      <c r="R3759">
        <v>78</v>
      </c>
      <c r="S3759">
        <v>25.36</v>
      </c>
      <c r="T3759" t="str">
        <f t="shared" si="350"/>
        <v>Overweight</v>
      </c>
      <c r="U3759">
        <v>80</v>
      </c>
      <c r="V3759">
        <v>75</v>
      </c>
      <c r="W3759" t="str">
        <f t="shared" si="353"/>
        <v>Normal</v>
      </c>
      <c r="X3759">
        <v>0</v>
      </c>
    </row>
    <row r="3760" spans="1:24" ht="14.5" thickBot="1" x14ac:dyDescent="0.35">
      <c r="A3760">
        <v>0</v>
      </c>
      <c r="B3760" t="str">
        <f t="shared" si="351"/>
        <v>Female</v>
      </c>
      <c r="C3760" s="8">
        <v>61</v>
      </c>
      <c r="D3760" t="str">
        <f t="shared" si="352"/>
        <v>Senior</v>
      </c>
      <c r="E3760">
        <v>1</v>
      </c>
      <c r="F3760" t="str">
        <f>HLOOKUP(E3760, LookUP_Table!$A$6:$D$7, 2, FALSE)</f>
        <v>Primary</v>
      </c>
      <c r="G3760" t="str">
        <f>IFERROR(VLOOKUP(E3760, LookUP_Table!$A$1:$B$4, 2, FALSE), "")</f>
        <v>Primary</v>
      </c>
      <c r="H3760">
        <v>1</v>
      </c>
      <c r="I3760">
        <v>9</v>
      </c>
      <c r="J3760" t="str">
        <f t="shared" si="348"/>
        <v>Smoker</v>
      </c>
      <c r="K3760">
        <v>0</v>
      </c>
      <c r="L3760">
        <v>0</v>
      </c>
      <c r="M3760">
        <v>0</v>
      </c>
      <c r="N3760">
        <v>0</v>
      </c>
      <c r="O3760">
        <v>252</v>
      </c>
      <c r="P3760" t="str">
        <f t="shared" si="349"/>
        <v>High</v>
      </c>
      <c r="Q3760">
        <v>119</v>
      </c>
      <c r="R3760">
        <v>77</v>
      </c>
      <c r="S3760">
        <v>23.2</v>
      </c>
      <c r="T3760" t="str">
        <f t="shared" si="350"/>
        <v>Normal</v>
      </c>
      <c r="U3760">
        <v>65</v>
      </c>
      <c r="V3760">
        <v>65</v>
      </c>
      <c r="W3760" t="str">
        <f t="shared" si="353"/>
        <v>Normal</v>
      </c>
      <c r="X3760">
        <v>0</v>
      </c>
    </row>
    <row r="3761" spans="1:24" ht="14.5" thickBot="1" x14ac:dyDescent="0.35">
      <c r="A3761">
        <v>1</v>
      </c>
      <c r="B3761" t="str">
        <f t="shared" si="351"/>
        <v>Male</v>
      </c>
      <c r="C3761" s="8">
        <v>61</v>
      </c>
      <c r="D3761" t="str">
        <f t="shared" si="352"/>
        <v>Senior</v>
      </c>
      <c r="E3761">
        <v>3</v>
      </c>
      <c r="F3761" t="str">
        <f>HLOOKUP(E3761, LookUP_Table!$A$6:$D$7, 2, FALSE)</f>
        <v>Graduate</v>
      </c>
      <c r="G3761" t="str">
        <f>IFERROR(VLOOKUP(E3761, LookUP_Table!$A$1:$B$4, 2, FALSE), "")</f>
        <v>Graduate</v>
      </c>
      <c r="H3761">
        <v>1</v>
      </c>
      <c r="I3761">
        <v>30</v>
      </c>
      <c r="J3761" t="str">
        <f t="shared" si="348"/>
        <v>Smoker</v>
      </c>
      <c r="K3761">
        <v>0</v>
      </c>
      <c r="L3761">
        <v>0</v>
      </c>
      <c r="M3761">
        <v>0</v>
      </c>
      <c r="N3761">
        <v>0</v>
      </c>
      <c r="O3761">
        <v>228</v>
      </c>
      <c r="P3761" t="str">
        <f t="shared" si="349"/>
        <v>Normal</v>
      </c>
      <c r="Q3761">
        <v>123</v>
      </c>
      <c r="R3761">
        <v>88</v>
      </c>
      <c r="S3761">
        <v>26.88</v>
      </c>
      <c r="T3761" t="str">
        <f t="shared" si="350"/>
        <v>Overweight</v>
      </c>
      <c r="U3761">
        <v>95</v>
      </c>
      <c r="V3761">
        <v>67</v>
      </c>
      <c r="W3761" t="str">
        <f t="shared" si="353"/>
        <v>Normal</v>
      </c>
      <c r="X3761">
        <v>0</v>
      </c>
    </row>
    <row r="3762" spans="1:24" ht="14.5" thickBot="1" x14ac:dyDescent="0.35">
      <c r="A3762">
        <v>1</v>
      </c>
      <c r="B3762" t="str">
        <f t="shared" si="351"/>
        <v>Male</v>
      </c>
      <c r="C3762" s="8">
        <v>61</v>
      </c>
      <c r="D3762" t="str">
        <f t="shared" si="352"/>
        <v>Senior</v>
      </c>
      <c r="E3762">
        <v>1</v>
      </c>
      <c r="F3762" t="str">
        <f>HLOOKUP(E3762, LookUP_Table!$A$6:$D$7, 2, FALSE)</f>
        <v>Primary</v>
      </c>
      <c r="G3762" t="str">
        <f>IFERROR(VLOOKUP(E3762, LookUP_Table!$A$1:$B$4, 2, FALSE), "")</f>
        <v>Primary</v>
      </c>
      <c r="H3762">
        <v>0</v>
      </c>
      <c r="I3762">
        <v>0</v>
      </c>
      <c r="J3762" t="str">
        <f t="shared" si="348"/>
        <v>Non-Smoker</v>
      </c>
      <c r="K3762">
        <v>0</v>
      </c>
      <c r="L3762">
        <v>0</v>
      </c>
      <c r="M3762">
        <v>0</v>
      </c>
      <c r="N3762">
        <v>0</v>
      </c>
      <c r="O3762">
        <v>300</v>
      </c>
      <c r="P3762" t="str">
        <f t="shared" si="349"/>
        <v>High</v>
      </c>
      <c r="Q3762">
        <v>127</v>
      </c>
      <c r="R3762">
        <v>75</v>
      </c>
      <c r="S3762">
        <v>24.93</v>
      </c>
      <c r="T3762" t="str">
        <f t="shared" si="350"/>
        <v>Normal</v>
      </c>
      <c r="U3762">
        <v>48</v>
      </c>
      <c r="V3762">
        <v>81.96365524402907</v>
      </c>
      <c r="W3762" t="str">
        <f t="shared" si="353"/>
        <v>Normal</v>
      </c>
      <c r="X3762">
        <v>0</v>
      </c>
    </row>
    <row r="3763" spans="1:24" ht="14.5" thickBot="1" x14ac:dyDescent="0.35">
      <c r="A3763">
        <v>0</v>
      </c>
      <c r="B3763" t="str">
        <f t="shared" si="351"/>
        <v>Female</v>
      </c>
      <c r="C3763" s="8">
        <v>61</v>
      </c>
      <c r="D3763" t="str">
        <f t="shared" si="352"/>
        <v>Senior</v>
      </c>
      <c r="E3763">
        <v>1</v>
      </c>
      <c r="F3763" t="str">
        <f>HLOOKUP(E3763, LookUP_Table!$A$6:$D$7, 2, FALSE)</f>
        <v>Primary</v>
      </c>
      <c r="G3763" t="str">
        <f>IFERROR(VLOOKUP(E3763, LookUP_Table!$A$1:$B$4, 2, FALSE), "")</f>
        <v>Primary</v>
      </c>
      <c r="H3763">
        <v>0</v>
      </c>
      <c r="I3763">
        <v>0</v>
      </c>
      <c r="J3763" t="str">
        <f t="shared" si="348"/>
        <v>Non-Smoker</v>
      </c>
      <c r="K3763">
        <v>1</v>
      </c>
      <c r="L3763">
        <v>1</v>
      </c>
      <c r="M3763">
        <v>1</v>
      </c>
      <c r="N3763">
        <v>0</v>
      </c>
      <c r="O3763">
        <v>225</v>
      </c>
      <c r="P3763" t="str">
        <f t="shared" si="349"/>
        <v>Normal</v>
      </c>
      <c r="Q3763">
        <v>194</v>
      </c>
      <c r="R3763">
        <v>111</v>
      </c>
      <c r="S3763">
        <v>51.28</v>
      </c>
      <c r="T3763" t="str">
        <f t="shared" si="350"/>
        <v>Obese</v>
      </c>
      <c r="U3763">
        <v>80</v>
      </c>
      <c r="V3763">
        <v>103</v>
      </c>
      <c r="W3763" t="str">
        <f t="shared" si="353"/>
        <v>Prediabetes</v>
      </c>
      <c r="X3763">
        <v>0</v>
      </c>
    </row>
    <row r="3764" spans="1:24" ht="14.5" thickBot="1" x14ac:dyDescent="0.35">
      <c r="A3764">
        <v>1</v>
      </c>
      <c r="B3764" t="str">
        <f t="shared" si="351"/>
        <v>Male</v>
      </c>
      <c r="C3764" s="8">
        <v>61</v>
      </c>
      <c r="D3764" t="str">
        <f t="shared" si="352"/>
        <v>Senior</v>
      </c>
      <c r="E3764">
        <v>3</v>
      </c>
      <c r="F3764" t="str">
        <f>HLOOKUP(E3764, LookUP_Table!$A$6:$D$7, 2, FALSE)</f>
        <v>Graduate</v>
      </c>
      <c r="G3764" t="str">
        <f>IFERROR(VLOOKUP(E3764, LookUP_Table!$A$1:$B$4, 2, FALSE), "")</f>
        <v>Graduate</v>
      </c>
      <c r="H3764">
        <v>1</v>
      </c>
      <c r="I3764">
        <v>15</v>
      </c>
      <c r="J3764" t="str">
        <f t="shared" si="348"/>
        <v>Smoker</v>
      </c>
      <c r="K3764">
        <v>0</v>
      </c>
      <c r="L3764">
        <v>0</v>
      </c>
      <c r="M3764">
        <v>0</v>
      </c>
      <c r="N3764">
        <v>0</v>
      </c>
      <c r="O3764">
        <v>180</v>
      </c>
      <c r="P3764" t="str">
        <f t="shared" si="349"/>
        <v>Normal</v>
      </c>
      <c r="Q3764">
        <v>110</v>
      </c>
      <c r="R3764">
        <v>80</v>
      </c>
      <c r="S3764">
        <v>20.72</v>
      </c>
      <c r="T3764" t="str">
        <f t="shared" si="350"/>
        <v>Normal</v>
      </c>
      <c r="U3764">
        <v>77</v>
      </c>
      <c r="V3764">
        <v>86</v>
      </c>
      <c r="W3764" t="str">
        <f t="shared" si="353"/>
        <v>Normal</v>
      </c>
      <c r="X3764">
        <v>0</v>
      </c>
    </row>
    <row r="3765" spans="1:24" ht="14.5" thickBot="1" x14ac:dyDescent="0.35">
      <c r="A3765">
        <v>0</v>
      </c>
      <c r="B3765" t="str">
        <f t="shared" si="351"/>
        <v>Female</v>
      </c>
      <c r="C3765" s="8">
        <v>61</v>
      </c>
      <c r="D3765" t="str">
        <f t="shared" si="352"/>
        <v>Senior</v>
      </c>
      <c r="E3765">
        <v>4</v>
      </c>
      <c r="F3765" t="str">
        <f>HLOOKUP(E3765, LookUP_Table!$A$6:$D$7, 2, FALSE)</f>
        <v>Post Graduate</v>
      </c>
      <c r="G3765" t="str">
        <f>IFERROR(VLOOKUP(E3765, LookUP_Table!$A$1:$B$4, 2, FALSE), "")</f>
        <v>Post Graduate</v>
      </c>
      <c r="H3765">
        <v>0</v>
      </c>
      <c r="I3765">
        <v>0</v>
      </c>
      <c r="J3765" t="str">
        <f t="shared" si="348"/>
        <v>Non-Smoker</v>
      </c>
      <c r="K3765">
        <v>0</v>
      </c>
      <c r="L3765">
        <v>0</v>
      </c>
      <c r="M3765">
        <v>1</v>
      </c>
      <c r="N3765">
        <v>0</v>
      </c>
      <c r="O3765">
        <v>235</v>
      </c>
      <c r="P3765" t="str">
        <f t="shared" si="349"/>
        <v>Normal</v>
      </c>
      <c r="Q3765">
        <v>207</v>
      </c>
      <c r="R3765">
        <v>122.5</v>
      </c>
      <c r="S3765">
        <v>31.64</v>
      </c>
      <c r="T3765" t="str">
        <f t="shared" si="350"/>
        <v>Obese</v>
      </c>
      <c r="U3765">
        <v>80</v>
      </c>
      <c r="V3765">
        <v>72</v>
      </c>
      <c r="W3765" t="str">
        <f t="shared" si="353"/>
        <v>Normal</v>
      </c>
      <c r="X3765">
        <v>0</v>
      </c>
    </row>
    <row r="3766" spans="1:24" ht="14.5" thickBot="1" x14ac:dyDescent="0.35">
      <c r="A3766">
        <v>0</v>
      </c>
      <c r="B3766" t="str">
        <f t="shared" si="351"/>
        <v>Female</v>
      </c>
      <c r="C3766" s="8">
        <v>61</v>
      </c>
      <c r="D3766" t="str">
        <f t="shared" si="352"/>
        <v>Senior</v>
      </c>
      <c r="E3766">
        <v>3</v>
      </c>
      <c r="F3766" t="str">
        <f>HLOOKUP(E3766, LookUP_Table!$A$6:$D$7, 2, FALSE)</f>
        <v>Graduate</v>
      </c>
      <c r="G3766" t="str">
        <f>IFERROR(VLOOKUP(E3766, LookUP_Table!$A$1:$B$4, 2, FALSE), "")</f>
        <v>Graduate</v>
      </c>
      <c r="H3766">
        <v>0</v>
      </c>
      <c r="I3766">
        <v>0</v>
      </c>
      <c r="J3766" t="str">
        <f t="shared" si="348"/>
        <v>Non-Smoker</v>
      </c>
      <c r="K3766">
        <v>0</v>
      </c>
      <c r="L3766">
        <v>0</v>
      </c>
      <c r="M3766">
        <v>0</v>
      </c>
      <c r="N3766">
        <v>0</v>
      </c>
      <c r="O3766">
        <v>210</v>
      </c>
      <c r="P3766" t="str">
        <f t="shared" si="349"/>
        <v>Normal</v>
      </c>
      <c r="Q3766">
        <v>112</v>
      </c>
      <c r="R3766">
        <v>72</v>
      </c>
      <c r="S3766">
        <v>24.69</v>
      </c>
      <c r="T3766" t="str">
        <f t="shared" si="350"/>
        <v>Normal</v>
      </c>
      <c r="U3766">
        <v>80</v>
      </c>
      <c r="V3766">
        <v>77</v>
      </c>
      <c r="W3766" t="str">
        <f t="shared" si="353"/>
        <v>Normal</v>
      </c>
      <c r="X3766">
        <v>0</v>
      </c>
    </row>
    <row r="3767" spans="1:24" ht="14.5" thickBot="1" x14ac:dyDescent="0.35">
      <c r="A3767">
        <v>0</v>
      </c>
      <c r="B3767" t="str">
        <f t="shared" si="351"/>
        <v>Female</v>
      </c>
      <c r="C3767" s="8">
        <v>61</v>
      </c>
      <c r="D3767" t="str">
        <f t="shared" si="352"/>
        <v>Senior</v>
      </c>
      <c r="E3767">
        <v>1</v>
      </c>
      <c r="F3767" t="str">
        <f>HLOOKUP(E3767, LookUP_Table!$A$6:$D$7, 2, FALSE)</f>
        <v>Primary</v>
      </c>
      <c r="G3767" t="str">
        <f>IFERROR(VLOOKUP(E3767, LookUP_Table!$A$1:$B$4, 2, FALSE), "")</f>
        <v>Primary</v>
      </c>
      <c r="H3767">
        <v>0</v>
      </c>
      <c r="I3767">
        <v>0</v>
      </c>
      <c r="J3767" t="str">
        <f t="shared" si="348"/>
        <v>Non-Smoker</v>
      </c>
      <c r="K3767">
        <v>1</v>
      </c>
      <c r="L3767">
        <v>0</v>
      </c>
      <c r="M3767">
        <v>1</v>
      </c>
      <c r="N3767">
        <v>1</v>
      </c>
      <c r="O3767">
        <v>265</v>
      </c>
      <c r="P3767" t="str">
        <f t="shared" si="349"/>
        <v>High</v>
      </c>
      <c r="Q3767">
        <v>200</v>
      </c>
      <c r="R3767">
        <v>125</v>
      </c>
      <c r="S3767">
        <v>29.5</v>
      </c>
      <c r="T3767" t="str">
        <f t="shared" si="350"/>
        <v>Overweight</v>
      </c>
      <c r="U3767">
        <v>68</v>
      </c>
      <c r="V3767">
        <v>256</v>
      </c>
      <c r="W3767" t="str">
        <f t="shared" si="353"/>
        <v>Diabetes</v>
      </c>
      <c r="X3767">
        <v>1</v>
      </c>
    </row>
    <row r="3768" spans="1:24" ht="14.5" thickBot="1" x14ac:dyDescent="0.35">
      <c r="A3768">
        <v>0</v>
      </c>
      <c r="B3768" t="str">
        <f t="shared" si="351"/>
        <v>Female</v>
      </c>
      <c r="C3768" s="8">
        <v>61</v>
      </c>
      <c r="D3768" t="str">
        <f t="shared" si="352"/>
        <v>Senior</v>
      </c>
      <c r="E3768">
        <v>2</v>
      </c>
      <c r="F3768" t="str">
        <f>HLOOKUP(E3768, LookUP_Table!$A$6:$D$7, 2, FALSE)</f>
        <v>Secondary</v>
      </c>
      <c r="G3768" t="str">
        <f>IFERROR(VLOOKUP(E3768, LookUP_Table!$A$1:$B$4, 2, FALSE), "")</f>
        <v>Secondary</v>
      </c>
      <c r="H3768">
        <v>0</v>
      </c>
      <c r="I3768">
        <v>0</v>
      </c>
      <c r="J3768" t="str">
        <f t="shared" si="348"/>
        <v>Non-Smoker</v>
      </c>
      <c r="K3768">
        <v>0</v>
      </c>
      <c r="L3768">
        <v>0</v>
      </c>
      <c r="M3768">
        <v>0</v>
      </c>
      <c r="N3768">
        <v>0</v>
      </c>
      <c r="O3768">
        <v>271</v>
      </c>
      <c r="P3768" t="str">
        <f t="shared" si="349"/>
        <v>High</v>
      </c>
      <c r="Q3768">
        <v>122</v>
      </c>
      <c r="R3768">
        <v>67.5</v>
      </c>
      <c r="S3768">
        <v>22.02</v>
      </c>
      <c r="T3768" t="str">
        <f t="shared" si="350"/>
        <v>Normal</v>
      </c>
      <c r="U3768">
        <v>73</v>
      </c>
      <c r="V3768">
        <v>73</v>
      </c>
      <c r="W3768" t="str">
        <f t="shared" si="353"/>
        <v>Normal</v>
      </c>
      <c r="X3768">
        <v>0</v>
      </c>
    </row>
    <row r="3769" spans="1:24" ht="14.5" thickBot="1" x14ac:dyDescent="0.35">
      <c r="A3769">
        <v>0</v>
      </c>
      <c r="B3769" t="str">
        <f t="shared" si="351"/>
        <v>Female</v>
      </c>
      <c r="C3769" s="8">
        <v>61</v>
      </c>
      <c r="D3769" t="str">
        <f t="shared" si="352"/>
        <v>Senior</v>
      </c>
      <c r="E3769">
        <v>3</v>
      </c>
      <c r="F3769" t="str">
        <f>HLOOKUP(E3769, LookUP_Table!$A$6:$D$7, 2, FALSE)</f>
        <v>Graduate</v>
      </c>
      <c r="G3769" t="str">
        <f>IFERROR(VLOOKUP(E3769, LookUP_Table!$A$1:$B$4, 2, FALSE), "")</f>
        <v>Graduate</v>
      </c>
      <c r="H3769">
        <v>0</v>
      </c>
      <c r="I3769">
        <v>0</v>
      </c>
      <c r="J3769" t="str">
        <f t="shared" si="348"/>
        <v>Non-Smoker</v>
      </c>
      <c r="K3769">
        <v>0</v>
      </c>
      <c r="L3769">
        <v>0</v>
      </c>
      <c r="M3769">
        <v>0</v>
      </c>
      <c r="N3769">
        <v>0</v>
      </c>
      <c r="O3769">
        <v>257</v>
      </c>
      <c r="P3769" t="str">
        <f t="shared" si="349"/>
        <v>High</v>
      </c>
      <c r="Q3769">
        <v>141</v>
      </c>
      <c r="R3769">
        <v>80</v>
      </c>
      <c r="S3769">
        <v>33.9</v>
      </c>
      <c r="T3769" t="str">
        <f t="shared" si="350"/>
        <v>Obese</v>
      </c>
      <c r="U3769">
        <v>85</v>
      </c>
      <c r="V3769">
        <v>60</v>
      </c>
      <c r="W3769" t="str">
        <f t="shared" si="353"/>
        <v>Normal</v>
      </c>
      <c r="X3769">
        <v>1</v>
      </c>
    </row>
    <row r="3770" spans="1:24" ht="14.5" thickBot="1" x14ac:dyDescent="0.35">
      <c r="A3770">
        <v>0</v>
      </c>
      <c r="B3770" t="str">
        <f t="shared" si="351"/>
        <v>Female</v>
      </c>
      <c r="C3770" s="8">
        <v>61</v>
      </c>
      <c r="D3770" t="str">
        <f t="shared" si="352"/>
        <v>Senior</v>
      </c>
      <c r="E3770">
        <v>4</v>
      </c>
      <c r="F3770" t="str">
        <f>HLOOKUP(E3770, LookUP_Table!$A$6:$D$7, 2, FALSE)</f>
        <v>Post Graduate</v>
      </c>
      <c r="G3770" t="str">
        <f>IFERROR(VLOOKUP(E3770, LookUP_Table!$A$1:$B$4, 2, FALSE), "")</f>
        <v>Post Graduate</v>
      </c>
      <c r="H3770">
        <v>0</v>
      </c>
      <c r="I3770">
        <v>0</v>
      </c>
      <c r="J3770" t="str">
        <f t="shared" si="348"/>
        <v>Non-Smoker</v>
      </c>
      <c r="K3770">
        <v>0</v>
      </c>
      <c r="L3770">
        <v>0</v>
      </c>
      <c r="M3770">
        <v>0</v>
      </c>
      <c r="N3770">
        <v>0</v>
      </c>
      <c r="O3770">
        <v>325</v>
      </c>
      <c r="P3770" t="str">
        <f t="shared" si="349"/>
        <v>High</v>
      </c>
      <c r="Q3770">
        <v>125.5</v>
      </c>
      <c r="R3770">
        <v>85.5</v>
      </c>
      <c r="S3770">
        <v>24.4</v>
      </c>
      <c r="T3770" t="str">
        <f t="shared" si="350"/>
        <v>Normal</v>
      </c>
      <c r="U3770">
        <v>68</v>
      </c>
      <c r="V3770">
        <v>70</v>
      </c>
      <c r="W3770" t="str">
        <f t="shared" si="353"/>
        <v>Normal</v>
      </c>
      <c r="X3770">
        <v>0</v>
      </c>
    </row>
    <row r="3771" spans="1:24" ht="14.5" thickBot="1" x14ac:dyDescent="0.35">
      <c r="A3771">
        <v>0</v>
      </c>
      <c r="B3771" t="str">
        <f t="shared" si="351"/>
        <v>Female</v>
      </c>
      <c r="C3771" s="8">
        <v>61</v>
      </c>
      <c r="D3771" t="str">
        <f t="shared" si="352"/>
        <v>Senior</v>
      </c>
      <c r="E3771">
        <v>1</v>
      </c>
      <c r="F3771" t="str">
        <f>HLOOKUP(E3771, LookUP_Table!$A$6:$D$7, 2, FALSE)</f>
        <v>Primary</v>
      </c>
      <c r="G3771" t="str">
        <f>IFERROR(VLOOKUP(E3771, LookUP_Table!$A$1:$B$4, 2, FALSE), "")</f>
        <v>Primary</v>
      </c>
      <c r="H3771">
        <v>0</v>
      </c>
      <c r="I3771">
        <v>0</v>
      </c>
      <c r="J3771" t="str">
        <f t="shared" si="348"/>
        <v>Non-Smoker</v>
      </c>
      <c r="K3771">
        <v>0</v>
      </c>
      <c r="L3771">
        <v>0</v>
      </c>
      <c r="M3771">
        <v>0</v>
      </c>
      <c r="N3771">
        <v>0</v>
      </c>
      <c r="O3771">
        <v>271</v>
      </c>
      <c r="P3771" t="str">
        <f t="shared" si="349"/>
        <v>High</v>
      </c>
      <c r="Q3771">
        <v>133</v>
      </c>
      <c r="R3771">
        <v>83</v>
      </c>
      <c r="S3771">
        <v>25.31</v>
      </c>
      <c r="T3771" t="str">
        <f t="shared" si="350"/>
        <v>Overweight</v>
      </c>
      <c r="U3771">
        <v>90</v>
      </c>
      <c r="V3771">
        <v>60</v>
      </c>
      <c r="W3771" t="str">
        <f t="shared" si="353"/>
        <v>Normal</v>
      </c>
      <c r="X3771">
        <v>1</v>
      </c>
    </row>
    <row r="3772" spans="1:24" ht="14.5" thickBot="1" x14ac:dyDescent="0.35">
      <c r="A3772">
        <v>0</v>
      </c>
      <c r="B3772" t="str">
        <f t="shared" si="351"/>
        <v>Female</v>
      </c>
      <c r="C3772" s="8">
        <v>61</v>
      </c>
      <c r="D3772" t="str">
        <f t="shared" si="352"/>
        <v>Senior</v>
      </c>
      <c r="E3772">
        <v>4</v>
      </c>
      <c r="F3772" t="str">
        <f>HLOOKUP(E3772, LookUP_Table!$A$6:$D$7, 2, FALSE)</f>
        <v>Post Graduate</v>
      </c>
      <c r="G3772" t="str">
        <f>IFERROR(VLOOKUP(E3772, LookUP_Table!$A$1:$B$4, 2, FALSE), "")</f>
        <v>Post Graduate</v>
      </c>
      <c r="H3772">
        <v>0</v>
      </c>
      <c r="I3772">
        <v>0</v>
      </c>
      <c r="J3772" t="str">
        <f t="shared" si="348"/>
        <v>Non-Smoker</v>
      </c>
      <c r="K3772">
        <v>0</v>
      </c>
      <c r="L3772">
        <v>0</v>
      </c>
      <c r="M3772">
        <v>0</v>
      </c>
      <c r="N3772">
        <v>0</v>
      </c>
      <c r="O3772">
        <v>261</v>
      </c>
      <c r="P3772" t="str">
        <f t="shared" si="349"/>
        <v>High</v>
      </c>
      <c r="Q3772">
        <v>124</v>
      </c>
      <c r="R3772">
        <v>76.5</v>
      </c>
      <c r="S3772">
        <v>23.06</v>
      </c>
      <c r="T3772" t="str">
        <f t="shared" si="350"/>
        <v>Normal</v>
      </c>
      <c r="U3772">
        <v>55</v>
      </c>
      <c r="V3772">
        <v>83</v>
      </c>
      <c r="W3772" t="str">
        <f t="shared" si="353"/>
        <v>Normal</v>
      </c>
      <c r="X3772">
        <v>1</v>
      </c>
    </row>
    <row r="3773" spans="1:24" ht="14.5" thickBot="1" x14ac:dyDescent="0.35">
      <c r="A3773">
        <v>0</v>
      </c>
      <c r="B3773" t="str">
        <f t="shared" si="351"/>
        <v>Female</v>
      </c>
      <c r="C3773" s="8">
        <v>62</v>
      </c>
      <c r="D3773" t="str">
        <f t="shared" si="352"/>
        <v>Senior</v>
      </c>
      <c r="E3773">
        <v>1</v>
      </c>
      <c r="F3773" t="str">
        <f>HLOOKUP(E3773, LookUP_Table!$A$6:$D$7, 2, FALSE)</f>
        <v>Primary</v>
      </c>
      <c r="G3773" t="str">
        <f>IFERROR(VLOOKUP(E3773, LookUP_Table!$A$1:$B$4, 2, FALSE), "")</f>
        <v>Primary</v>
      </c>
      <c r="H3773">
        <v>0</v>
      </c>
      <c r="I3773">
        <v>0</v>
      </c>
      <c r="J3773" t="str">
        <f t="shared" si="348"/>
        <v>Non-Smoker</v>
      </c>
      <c r="K3773">
        <v>0</v>
      </c>
      <c r="L3773">
        <v>0</v>
      </c>
      <c r="M3773">
        <v>0</v>
      </c>
      <c r="N3773">
        <v>0</v>
      </c>
      <c r="O3773">
        <v>240</v>
      </c>
      <c r="P3773" t="str">
        <f t="shared" si="349"/>
        <v>Normal</v>
      </c>
      <c r="Q3773">
        <v>145</v>
      </c>
      <c r="R3773">
        <v>82.5</v>
      </c>
      <c r="S3773">
        <v>28.27</v>
      </c>
      <c r="T3773" t="str">
        <f t="shared" si="350"/>
        <v>Overweight</v>
      </c>
      <c r="U3773">
        <v>63</v>
      </c>
      <c r="V3773">
        <v>75</v>
      </c>
      <c r="W3773" t="str">
        <f t="shared" si="353"/>
        <v>Normal</v>
      </c>
      <c r="X3773">
        <v>0</v>
      </c>
    </row>
    <row r="3774" spans="1:24" ht="14.5" thickBot="1" x14ac:dyDescent="0.35">
      <c r="A3774">
        <v>0</v>
      </c>
      <c r="B3774" t="str">
        <f t="shared" si="351"/>
        <v>Female</v>
      </c>
      <c r="C3774" s="8">
        <v>62</v>
      </c>
      <c r="D3774" t="str">
        <f t="shared" si="352"/>
        <v>Senior</v>
      </c>
      <c r="E3774">
        <v>1</v>
      </c>
      <c r="F3774" t="str">
        <f>HLOOKUP(E3774, LookUP_Table!$A$6:$D$7, 2, FALSE)</f>
        <v>Primary</v>
      </c>
      <c r="G3774" t="str">
        <f>IFERROR(VLOOKUP(E3774, LookUP_Table!$A$1:$B$4, 2, FALSE), "")</f>
        <v>Primary</v>
      </c>
      <c r="H3774">
        <v>0</v>
      </c>
      <c r="I3774">
        <v>0</v>
      </c>
      <c r="J3774" t="str">
        <f t="shared" si="348"/>
        <v>Non-Smoker</v>
      </c>
      <c r="K3774">
        <v>0</v>
      </c>
      <c r="L3774">
        <v>0</v>
      </c>
      <c r="M3774">
        <v>1</v>
      </c>
      <c r="N3774">
        <v>1</v>
      </c>
      <c r="O3774">
        <v>212</v>
      </c>
      <c r="P3774" t="str">
        <f t="shared" si="349"/>
        <v>Normal</v>
      </c>
      <c r="Q3774">
        <v>190</v>
      </c>
      <c r="R3774">
        <v>99</v>
      </c>
      <c r="S3774">
        <v>29.64</v>
      </c>
      <c r="T3774" t="str">
        <f t="shared" si="350"/>
        <v>Overweight</v>
      </c>
      <c r="U3774">
        <v>100</v>
      </c>
      <c r="V3774">
        <v>202</v>
      </c>
      <c r="W3774" t="str">
        <f t="shared" si="353"/>
        <v>Diabetes</v>
      </c>
      <c r="X3774">
        <v>0</v>
      </c>
    </row>
    <row r="3775" spans="1:24" ht="14.5" thickBot="1" x14ac:dyDescent="0.35">
      <c r="A3775">
        <v>0</v>
      </c>
      <c r="B3775" t="str">
        <f t="shared" si="351"/>
        <v>Female</v>
      </c>
      <c r="C3775" s="8">
        <v>62</v>
      </c>
      <c r="D3775" t="str">
        <f t="shared" si="352"/>
        <v>Senior</v>
      </c>
      <c r="E3775">
        <v>1</v>
      </c>
      <c r="F3775" t="str">
        <f>HLOOKUP(E3775, LookUP_Table!$A$6:$D$7, 2, FALSE)</f>
        <v>Primary</v>
      </c>
      <c r="G3775" t="str">
        <f>IFERROR(VLOOKUP(E3775, LookUP_Table!$A$1:$B$4, 2, FALSE), "")</f>
        <v>Primary</v>
      </c>
      <c r="H3775">
        <v>0</v>
      </c>
      <c r="I3775">
        <v>0</v>
      </c>
      <c r="J3775" t="str">
        <f t="shared" si="348"/>
        <v>Non-Smoker</v>
      </c>
      <c r="K3775">
        <v>0</v>
      </c>
      <c r="L3775">
        <v>0</v>
      </c>
      <c r="M3775">
        <v>0</v>
      </c>
      <c r="N3775">
        <v>0</v>
      </c>
      <c r="O3775">
        <v>261</v>
      </c>
      <c r="P3775" t="str">
        <f t="shared" si="349"/>
        <v>High</v>
      </c>
      <c r="Q3775">
        <v>138</v>
      </c>
      <c r="R3775">
        <v>82</v>
      </c>
      <c r="S3775">
        <v>23.89</v>
      </c>
      <c r="T3775" t="str">
        <f t="shared" si="350"/>
        <v>Normal</v>
      </c>
      <c r="U3775">
        <v>65</v>
      </c>
      <c r="V3775">
        <v>77</v>
      </c>
      <c r="W3775" t="str">
        <f t="shared" si="353"/>
        <v>Normal</v>
      </c>
      <c r="X3775">
        <v>0</v>
      </c>
    </row>
    <row r="3776" spans="1:24" ht="14.5" thickBot="1" x14ac:dyDescent="0.35">
      <c r="A3776">
        <v>0</v>
      </c>
      <c r="B3776" t="str">
        <f t="shared" si="351"/>
        <v>Female</v>
      </c>
      <c r="C3776" s="8">
        <v>62</v>
      </c>
      <c r="D3776" t="str">
        <f t="shared" si="352"/>
        <v>Senior</v>
      </c>
      <c r="E3776">
        <v>1</v>
      </c>
      <c r="F3776" t="str">
        <f>HLOOKUP(E3776, LookUP_Table!$A$6:$D$7, 2, FALSE)</f>
        <v>Primary</v>
      </c>
      <c r="G3776" t="str">
        <f>IFERROR(VLOOKUP(E3776, LookUP_Table!$A$1:$B$4, 2, FALSE), "")</f>
        <v>Primary</v>
      </c>
      <c r="H3776">
        <v>0</v>
      </c>
      <c r="I3776">
        <v>0</v>
      </c>
      <c r="J3776" t="str">
        <f t="shared" si="348"/>
        <v>Non-Smoker</v>
      </c>
      <c r="K3776">
        <v>0</v>
      </c>
      <c r="L3776">
        <v>0</v>
      </c>
      <c r="M3776">
        <v>1</v>
      </c>
      <c r="N3776">
        <v>0</v>
      </c>
      <c r="O3776">
        <v>266</v>
      </c>
      <c r="P3776" t="str">
        <f t="shared" si="349"/>
        <v>High</v>
      </c>
      <c r="Q3776">
        <v>173</v>
      </c>
      <c r="R3776">
        <v>89</v>
      </c>
      <c r="S3776">
        <v>42</v>
      </c>
      <c r="T3776" t="str">
        <f t="shared" si="350"/>
        <v>Obese</v>
      </c>
      <c r="U3776">
        <v>62</v>
      </c>
      <c r="V3776">
        <v>75</v>
      </c>
      <c r="W3776" t="str">
        <f t="shared" si="353"/>
        <v>Normal</v>
      </c>
      <c r="X3776">
        <v>0</v>
      </c>
    </row>
    <row r="3777" spans="1:24" ht="14.5" thickBot="1" x14ac:dyDescent="0.35">
      <c r="A3777">
        <v>1</v>
      </c>
      <c r="B3777" t="str">
        <f t="shared" si="351"/>
        <v>Male</v>
      </c>
      <c r="C3777" s="8">
        <v>62</v>
      </c>
      <c r="D3777" t="str">
        <f t="shared" si="352"/>
        <v>Senior</v>
      </c>
      <c r="E3777">
        <v>1</v>
      </c>
      <c r="F3777" t="str">
        <f>HLOOKUP(E3777, LookUP_Table!$A$6:$D$7, 2, FALSE)</f>
        <v>Primary</v>
      </c>
      <c r="G3777" t="str">
        <f>IFERROR(VLOOKUP(E3777, LookUP_Table!$A$1:$B$4, 2, FALSE), "")</f>
        <v>Primary</v>
      </c>
      <c r="H3777">
        <v>1</v>
      </c>
      <c r="I3777">
        <v>20</v>
      </c>
      <c r="J3777" t="str">
        <f t="shared" si="348"/>
        <v>Smoker</v>
      </c>
      <c r="K3777">
        <v>0</v>
      </c>
      <c r="L3777">
        <v>0</v>
      </c>
      <c r="M3777">
        <v>1</v>
      </c>
      <c r="N3777">
        <v>0</v>
      </c>
      <c r="O3777">
        <v>245</v>
      </c>
      <c r="P3777" t="str">
        <f t="shared" si="349"/>
        <v>High</v>
      </c>
      <c r="Q3777">
        <v>158</v>
      </c>
      <c r="R3777">
        <v>86.5</v>
      </c>
      <c r="S3777">
        <v>26.51</v>
      </c>
      <c r="T3777" t="str">
        <f t="shared" si="350"/>
        <v>Overweight</v>
      </c>
      <c r="U3777">
        <v>90</v>
      </c>
      <c r="V3777">
        <v>74</v>
      </c>
      <c r="W3777" t="str">
        <f t="shared" si="353"/>
        <v>Normal</v>
      </c>
      <c r="X3777">
        <v>0</v>
      </c>
    </row>
    <row r="3778" spans="1:24" ht="14.5" thickBot="1" x14ac:dyDescent="0.35">
      <c r="A3778">
        <v>1</v>
      </c>
      <c r="B3778" t="str">
        <f t="shared" si="351"/>
        <v>Male</v>
      </c>
      <c r="C3778" s="8">
        <v>62</v>
      </c>
      <c r="D3778" t="str">
        <f t="shared" si="352"/>
        <v>Senior</v>
      </c>
      <c r="E3778">
        <v>4</v>
      </c>
      <c r="F3778" t="str">
        <f>HLOOKUP(E3778, LookUP_Table!$A$6:$D$7, 2, FALSE)</f>
        <v>Post Graduate</v>
      </c>
      <c r="G3778" t="str">
        <f>IFERROR(VLOOKUP(E3778, LookUP_Table!$A$1:$B$4, 2, FALSE), "")</f>
        <v>Post Graduate</v>
      </c>
      <c r="H3778">
        <v>0</v>
      </c>
      <c r="I3778">
        <v>0</v>
      </c>
      <c r="J3778" t="str">
        <f t="shared" ref="J3778:J3841" si="354">IF(I3778&gt;0,"Smoker","Non-Smoker")</f>
        <v>Non-Smoker</v>
      </c>
      <c r="K3778">
        <v>0</v>
      </c>
      <c r="L3778">
        <v>0</v>
      </c>
      <c r="M3778">
        <v>0</v>
      </c>
      <c r="N3778">
        <v>0</v>
      </c>
      <c r="O3778">
        <v>273</v>
      </c>
      <c r="P3778" t="str">
        <f t="shared" ref="P3778:P3841" si="355">IF(O3778&gt;240,"High","Normal")</f>
        <v>High</v>
      </c>
      <c r="Q3778">
        <v>129</v>
      </c>
      <c r="R3778">
        <v>83</v>
      </c>
      <c r="S3778">
        <v>25.49</v>
      </c>
      <c r="T3778" t="str">
        <f t="shared" ref="T3778:T3841" si="356">IF(S3778&lt;18.5,"Underweight",
IF(S3778&lt;25,"Normal",
IF(S3778&lt;30,"Overweight","Obese")))</f>
        <v>Overweight</v>
      </c>
      <c r="U3778">
        <v>63</v>
      </c>
      <c r="V3778">
        <v>70</v>
      </c>
      <c r="W3778" t="str">
        <f t="shared" si="353"/>
        <v>Normal</v>
      </c>
      <c r="X3778">
        <v>0</v>
      </c>
    </row>
    <row r="3779" spans="1:24" ht="14.5" thickBot="1" x14ac:dyDescent="0.35">
      <c r="A3779">
        <v>0</v>
      </c>
      <c r="B3779" t="str">
        <f t="shared" ref="B3779:B3842" si="357">IF(A3779=0,"Female","Male")</f>
        <v>Female</v>
      </c>
      <c r="C3779" s="8">
        <v>62</v>
      </c>
      <c r="D3779" t="str">
        <f t="shared" ref="D3779:D3842" si="358">IF(C3779&lt;40,"Young",
IF(C3779&lt;55,"Middle Age","Senior"))</f>
        <v>Senior</v>
      </c>
      <c r="E3779">
        <v>2</v>
      </c>
      <c r="F3779" t="str">
        <f>HLOOKUP(E3779, LookUP_Table!$A$6:$D$7, 2, FALSE)</f>
        <v>Secondary</v>
      </c>
      <c r="G3779" t="str">
        <f>IFERROR(VLOOKUP(E3779, LookUP_Table!$A$1:$B$4, 2, FALSE), "")</f>
        <v>Secondary</v>
      </c>
      <c r="H3779">
        <v>0</v>
      </c>
      <c r="I3779">
        <v>0</v>
      </c>
      <c r="J3779" t="str">
        <f t="shared" si="354"/>
        <v>Non-Smoker</v>
      </c>
      <c r="K3779">
        <v>1</v>
      </c>
      <c r="L3779">
        <v>0</v>
      </c>
      <c r="M3779">
        <v>1</v>
      </c>
      <c r="N3779">
        <v>0</v>
      </c>
      <c r="O3779">
        <v>283</v>
      </c>
      <c r="P3779" t="str">
        <f t="shared" si="355"/>
        <v>High</v>
      </c>
      <c r="Q3779">
        <v>130</v>
      </c>
      <c r="R3779">
        <v>80</v>
      </c>
      <c r="S3779">
        <v>35.200000000000003</v>
      </c>
      <c r="T3779" t="str">
        <f t="shared" si="356"/>
        <v>Obese</v>
      </c>
      <c r="U3779">
        <v>75</v>
      </c>
      <c r="V3779">
        <v>83</v>
      </c>
      <c r="W3779" t="str">
        <f t="shared" ref="W3779:W3842" si="359">IF(V3779 &lt; 100, "Normal", IF(V3779 &lt;= 125, "Prediabetes", "Diabetes"))</f>
        <v>Normal</v>
      </c>
      <c r="X3779">
        <v>0</v>
      </c>
    </row>
    <row r="3780" spans="1:24" ht="14.5" thickBot="1" x14ac:dyDescent="0.35">
      <c r="A3780">
        <v>1</v>
      </c>
      <c r="B3780" t="str">
        <f t="shared" si="357"/>
        <v>Male</v>
      </c>
      <c r="C3780" s="8">
        <v>62</v>
      </c>
      <c r="D3780" t="str">
        <f t="shared" si="358"/>
        <v>Senior</v>
      </c>
      <c r="E3780">
        <v>1</v>
      </c>
      <c r="F3780" t="str">
        <f>HLOOKUP(E3780, LookUP_Table!$A$6:$D$7, 2, FALSE)</f>
        <v>Primary</v>
      </c>
      <c r="G3780" t="str">
        <f>IFERROR(VLOOKUP(E3780, LookUP_Table!$A$1:$B$4, 2, FALSE), "")</f>
        <v>Primary</v>
      </c>
      <c r="H3780">
        <v>1</v>
      </c>
      <c r="I3780">
        <v>20</v>
      </c>
      <c r="J3780" t="str">
        <f t="shared" si="354"/>
        <v>Smoker</v>
      </c>
      <c r="K3780">
        <v>0</v>
      </c>
      <c r="L3780">
        <v>0</v>
      </c>
      <c r="M3780">
        <v>1</v>
      </c>
      <c r="N3780">
        <v>1</v>
      </c>
      <c r="O3780">
        <v>194</v>
      </c>
      <c r="P3780" t="str">
        <f t="shared" si="355"/>
        <v>Normal</v>
      </c>
      <c r="Q3780">
        <v>151.5</v>
      </c>
      <c r="R3780">
        <v>88</v>
      </c>
      <c r="S3780">
        <v>21.61</v>
      </c>
      <c r="T3780" t="str">
        <f t="shared" si="356"/>
        <v>Normal</v>
      </c>
      <c r="U3780">
        <v>75</v>
      </c>
      <c r="V3780">
        <v>105</v>
      </c>
      <c r="W3780" t="str">
        <f t="shared" si="359"/>
        <v>Prediabetes</v>
      </c>
      <c r="X3780">
        <v>1</v>
      </c>
    </row>
    <row r="3781" spans="1:24" ht="14.5" thickBot="1" x14ac:dyDescent="0.35">
      <c r="A3781">
        <v>0</v>
      </c>
      <c r="B3781" t="str">
        <f t="shared" si="357"/>
        <v>Female</v>
      </c>
      <c r="C3781" s="8">
        <v>62</v>
      </c>
      <c r="D3781" t="str">
        <f t="shared" si="358"/>
        <v>Senior</v>
      </c>
      <c r="E3781">
        <v>1</v>
      </c>
      <c r="F3781" t="str">
        <f>HLOOKUP(E3781, LookUP_Table!$A$6:$D$7, 2, FALSE)</f>
        <v>Primary</v>
      </c>
      <c r="G3781" t="str">
        <f>IFERROR(VLOOKUP(E3781, LookUP_Table!$A$1:$B$4, 2, FALSE), "")</f>
        <v>Primary</v>
      </c>
      <c r="H3781">
        <v>0</v>
      </c>
      <c r="I3781">
        <v>0</v>
      </c>
      <c r="J3781" t="str">
        <f t="shared" si="354"/>
        <v>Non-Smoker</v>
      </c>
      <c r="K3781">
        <v>0</v>
      </c>
      <c r="L3781">
        <v>0</v>
      </c>
      <c r="M3781">
        <v>0</v>
      </c>
      <c r="N3781">
        <v>0</v>
      </c>
      <c r="O3781">
        <v>239</v>
      </c>
      <c r="P3781" t="str">
        <f t="shared" si="355"/>
        <v>Normal</v>
      </c>
      <c r="Q3781">
        <v>126</v>
      </c>
      <c r="R3781">
        <v>81</v>
      </c>
      <c r="S3781">
        <v>29.35</v>
      </c>
      <c r="T3781" t="str">
        <f t="shared" si="356"/>
        <v>Overweight</v>
      </c>
      <c r="U3781">
        <v>95</v>
      </c>
      <c r="V3781">
        <v>70</v>
      </c>
      <c r="W3781" t="str">
        <f t="shared" si="359"/>
        <v>Normal</v>
      </c>
      <c r="X3781">
        <v>0</v>
      </c>
    </row>
    <row r="3782" spans="1:24" ht="14.5" thickBot="1" x14ac:dyDescent="0.35">
      <c r="A3782">
        <v>1</v>
      </c>
      <c r="B3782" t="str">
        <f t="shared" si="357"/>
        <v>Male</v>
      </c>
      <c r="C3782" s="8">
        <v>62</v>
      </c>
      <c r="D3782" t="str">
        <f t="shared" si="358"/>
        <v>Senior</v>
      </c>
      <c r="E3782">
        <v>4</v>
      </c>
      <c r="F3782" t="str">
        <f>HLOOKUP(E3782, LookUP_Table!$A$6:$D$7, 2, FALSE)</f>
        <v>Post Graduate</v>
      </c>
      <c r="G3782" t="str">
        <f>IFERROR(VLOOKUP(E3782, LookUP_Table!$A$1:$B$4, 2, FALSE), "")</f>
        <v>Post Graduate</v>
      </c>
      <c r="H3782">
        <v>1</v>
      </c>
      <c r="I3782">
        <v>40</v>
      </c>
      <c r="J3782" t="str">
        <f t="shared" si="354"/>
        <v>Smoker</v>
      </c>
      <c r="K3782">
        <v>0</v>
      </c>
      <c r="L3782">
        <v>0</v>
      </c>
      <c r="M3782">
        <v>1</v>
      </c>
      <c r="N3782">
        <v>0</v>
      </c>
      <c r="O3782">
        <v>203</v>
      </c>
      <c r="P3782" t="str">
        <f t="shared" si="355"/>
        <v>Normal</v>
      </c>
      <c r="Q3782">
        <v>148</v>
      </c>
      <c r="R3782">
        <v>96</v>
      </c>
      <c r="S3782">
        <v>30.84</v>
      </c>
      <c r="T3782" t="str">
        <f t="shared" si="356"/>
        <v>Obese</v>
      </c>
      <c r="U3782">
        <v>70</v>
      </c>
      <c r="V3782">
        <v>95</v>
      </c>
      <c r="W3782" t="str">
        <f t="shared" si="359"/>
        <v>Normal</v>
      </c>
      <c r="X3782">
        <v>1</v>
      </c>
    </row>
    <row r="3783" spans="1:24" ht="14.5" thickBot="1" x14ac:dyDescent="0.35">
      <c r="A3783">
        <v>0</v>
      </c>
      <c r="B3783" t="str">
        <f t="shared" si="357"/>
        <v>Female</v>
      </c>
      <c r="C3783" s="8">
        <v>62</v>
      </c>
      <c r="D3783" t="str">
        <f t="shared" si="358"/>
        <v>Senior</v>
      </c>
      <c r="E3783">
        <v>2</v>
      </c>
      <c r="F3783" t="str">
        <f>HLOOKUP(E3783, LookUP_Table!$A$6:$D$7, 2, FALSE)</f>
        <v>Secondary</v>
      </c>
      <c r="G3783" t="str">
        <f>IFERROR(VLOOKUP(E3783, LookUP_Table!$A$1:$B$4, 2, FALSE), "")</f>
        <v>Secondary</v>
      </c>
      <c r="H3783">
        <v>0</v>
      </c>
      <c r="I3783">
        <v>0</v>
      </c>
      <c r="J3783" t="str">
        <f t="shared" si="354"/>
        <v>Non-Smoker</v>
      </c>
      <c r="K3783">
        <v>0</v>
      </c>
      <c r="L3783">
        <v>0</v>
      </c>
      <c r="M3783">
        <v>1</v>
      </c>
      <c r="N3783">
        <v>0</v>
      </c>
      <c r="O3783">
        <v>246</v>
      </c>
      <c r="P3783" t="str">
        <f t="shared" si="355"/>
        <v>High</v>
      </c>
      <c r="Q3783">
        <v>171</v>
      </c>
      <c r="R3783">
        <v>101</v>
      </c>
      <c r="S3783">
        <v>23.88</v>
      </c>
      <c r="T3783" t="str">
        <f t="shared" si="356"/>
        <v>Normal</v>
      </c>
      <c r="U3783">
        <v>75</v>
      </c>
      <c r="V3783">
        <v>78</v>
      </c>
      <c r="W3783" t="str">
        <f t="shared" si="359"/>
        <v>Normal</v>
      </c>
      <c r="X3783">
        <v>0</v>
      </c>
    </row>
    <row r="3784" spans="1:24" ht="14.5" thickBot="1" x14ac:dyDescent="0.35">
      <c r="A3784">
        <v>1</v>
      </c>
      <c r="B3784" t="str">
        <f t="shared" si="357"/>
        <v>Male</v>
      </c>
      <c r="C3784" s="8">
        <v>62</v>
      </c>
      <c r="D3784" t="str">
        <f t="shared" si="358"/>
        <v>Senior</v>
      </c>
      <c r="E3784">
        <v>1</v>
      </c>
      <c r="F3784" t="str">
        <f>HLOOKUP(E3784, LookUP_Table!$A$6:$D$7, 2, FALSE)</f>
        <v>Primary</v>
      </c>
      <c r="G3784" t="str">
        <f>IFERROR(VLOOKUP(E3784, LookUP_Table!$A$1:$B$4, 2, FALSE), "")</f>
        <v>Primary</v>
      </c>
      <c r="H3784">
        <v>1</v>
      </c>
      <c r="I3784">
        <v>3</v>
      </c>
      <c r="J3784" t="str">
        <f t="shared" si="354"/>
        <v>Smoker</v>
      </c>
      <c r="K3784">
        <v>0</v>
      </c>
      <c r="L3784">
        <v>0</v>
      </c>
      <c r="M3784">
        <v>0</v>
      </c>
      <c r="N3784">
        <v>0</v>
      </c>
      <c r="O3784">
        <v>234</v>
      </c>
      <c r="P3784" t="str">
        <f t="shared" si="355"/>
        <v>Normal</v>
      </c>
      <c r="Q3784">
        <v>117</v>
      </c>
      <c r="R3784">
        <v>80</v>
      </c>
      <c r="S3784">
        <v>26.97</v>
      </c>
      <c r="T3784" t="str">
        <f t="shared" si="356"/>
        <v>Overweight</v>
      </c>
      <c r="U3784">
        <v>78</v>
      </c>
      <c r="V3784">
        <v>67</v>
      </c>
      <c r="W3784" t="str">
        <f t="shared" si="359"/>
        <v>Normal</v>
      </c>
      <c r="X3784">
        <v>0</v>
      </c>
    </row>
    <row r="3785" spans="1:24" ht="14.5" thickBot="1" x14ac:dyDescent="0.35">
      <c r="A3785">
        <v>1</v>
      </c>
      <c r="B3785" t="str">
        <f t="shared" si="357"/>
        <v>Male</v>
      </c>
      <c r="C3785" s="8">
        <v>62</v>
      </c>
      <c r="D3785" t="str">
        <f t="shared" si="358"/>
        <v>Senior</v>
      </c>
      <c r="E3785">
        <v>1</v>
      </c>
      <c r="F3785" t="str">
        <f>HLOOKUP(E3785, LookUP_Table!$A$6:$D$7, 2, FALSE)</f>
        <v>Primary</v>
      </c>
      <c r="G3785" t="str">
        <f>IFERROR(VLOOKUP(E3785, LookUP_Table!$A$1:$B$4, 2, FALSE), "")</f>
        <v>Primary</v>
      </c>
      <c r="H3785">
        <v>1</v>
      </c>
      <c r="I3785">
        <v>23</v>
      </c>
      <c r="J3785" t="str">
        <f t="shared" si="354"/>
        <v>Smoker</v>
      </c>
      <c r="K3785">
        <v>0</v>
      </c>
      <c r="L3785">
        <v>0</v>
      </c>
      <c r="M3785">
        <v>1</v>
      </c>
      <c r="N3785">
        <v>0</v>
      </c>
      <c r="O3785">
        <v>286</v>
      </c>
      <c r="P3785" t="str">
        <f t="shared" si="355"/>
        <v>High</v>
      </c>
      <c r="Q3785">
        <v>164</v>
      </c>
      <c r="R3785">
        <v>88</v>
      </c>
      <c r="S3785">
        <v>19.53</v>
      </c>
      <c r="T3785" t="str">
        <f t="shared" si="356"/>
        <v>Normal</v>
      </c>
      <c r="U3785">
        <v>85</v>
      </c>
      <c r="V3785">
        <v>126</v>
      </c>
      <c r="W3785" t="str">
        <f t="shared" si="359"/>
        <v>Diabetes</v>
      </c>
      <c r="X3785">
        <v>1</v>
      </c>
    </row>
    <row r="3786" spans="1:24" ht="14.5" thickBot="1" x14ac:dyDescent="0.35">
      <c r="A3786">
        <v>0</v>
      </c>
      <c r="B3786" t="str">
        <f t="shared" si="357"/>
        <v>Female</v>
      </c>
      <c r="C3786" s="8">
        <v>62</v>
      </c>
      <c r="D3786" t="str">
        <f t="shared" si="358"/>
        <v>Senior</v>
      </c>
      <c r="E3786">
        <v>1</v>
      </c>
      <c r="F3786" t="str">
        <f>HLOOKUP(E3786, LookUP_Table!$A$6:$D$7, 2, FALSE)</f>
        <v>Primary</v>
      </c>
      <c r="G3786" t="str">
        <f>IFERROR(VLOOKUP(E3786, LookUP_Table!$A$1:$B$4, 2, FALSE), "")</f>
        <v>Primary</v>
      </c>
      <c r="H3786">
        <v>0</v>
      </c>
      <c r="I3786">
        <v>0</v>
      </c>
      <c r="J3786" t="str">
        <f t="shared" si="354"/>
        <v>Non-Smoker</v>
      </c>
      <c r="K3786">
        <v>0</v>
      </c>
      <c r="L3786">
        <v>0</v>
      </c>
      <c r="M3786">
        <v>1</v>
      </c>
      <c r="N3786">
        <v>0</v>
      </c>
      <c r="O3786">
        <v>300</v>
      </c>
      <c r="P3786" t="str">
        <f t="shared" si="355"/>
        <v>High</v>
      </c>
      <c r="Q3786">
        <v>205.5</v>
      </c>
      <c r="R3786">
        <v>104.5</v>
      </c>
      <c r="S3786">
        <v>32.19</v>
      </c>
      <c r="T3786" t="str">
        <f t="shared" si="356"/>
        <v>Obese</v>
      </c>
      <c r="U3786">
        <v>94</v>
      </c>
      <c r="V3786">
        <v>117</v>
      </c>
      <c r="W3786" t="str">
        <f t="shared" si="359"/>
        <v>Prediabetes</v>
      </c>
      <c r="X3786">
        <v>0</v>
      </c>
    </row>
    <row r="3787" spans="1:24" ht="14.5" thickBot="1" x14ac:dyDescent="0.35">
      <c r="A3787">
        <v>1</v>
      </c>
      <c r="B3787" t="str">
        <f t="shared" si="357"/>
        <v>Male</v>
      </c>
      <c r="C3787" s="8">
        <v>62</v>
      </c>
      <c r="D3787" t="str">
        <f t="shared" si="358"/>
        <v>Senior</v>
      </c>
      <c r="E3787">
        <v>1</v>
      </c>
      <c r="F3787" t="str">
        <f>HLOOKUP(E3787, LookUP_Table!$A$6:$D$7, 2, FALSE)</f>
        <v>Primary</v>
      </c>
      <c r="G3787" t="str">
        <f>IFERROR(VLOOKUP(E3787, LookUP_Table!$A$1:$B$4, 2, FALSE), "")</f>
        <v>Primary</v>
      </c>
      <c r="H3787">
        <v>0</v>
      </c>
      <c r="I3787">
        <v>0</v>
      </c>
      <c r="J3787" t="str">
        <f t="shared" si="354"/>
        <v>Non-Smoker</v>
      </c>
      <c r="K3787">
        <v>1</v>
      </c>
      <c r="L3787">
        <v>0</v>
      </c>
      <c r="M3787">
        <v>1</v>
      </c>
      <c r="N3787">
        <v>0</v>
      </c>
      <c r="O3787">
        <v>190</v>
      </c>
      <c r="P3787" t="str">
        <f t="shared" si="355"/>
        <v>Normal</v>
      </c>
      <c r="Q3787">
        <v>183</v>
      </c>
      <c r="R3787">
        <v>93</v>
      </c>
      <c r="S3787">
        <v>28.96</v>
      </c>
      <c r="T3787" t="str">
        <f t="shared" si="356"/>
        <v>Overweight</v>
      </c>
      <c r="U3787">
        <v>90</v>
      </c>
      <c r="V3787">
        <v>77</v>
      </c>
      <c r="W3787" t="str">
        <f t="shared" si="359"/>
        <v>Normal</v>
      </c>
      <c r="X3787">
        <v>0</v>
      </c>
    </row>
    <row r="3788" spans="1:24" ht="14.5" thickBot="1" x14ac:dyDescent="0.35">
      <c r="A3788">
        <v>1</v>
      </c>
      <c r="B3788" t="str">
        <f t="shared" si="357"/>
        <v>Male</v>
      </c>
      <c r="C3788" s="8">
        <v>62</v>
      </c>
      <c r="D3788" t="str">
        <f t="shared" si="358"/>
        <v>Senior</v>
      </c>
      <c r="E3788">
        <v>4</v>
      </c>
      <c r="F3788" t="str">
        <f>HLOOKUP(E3788, LookUP_Table!$A$6:$D$7, 2, FALSE)</f>
        <v>Post Graduate</v>
      </c>
      <c r="G3788" t="str">
        <f>IFERROR(VLOOKUP(E3788, LookUP_Table!$A$1:$B$4, 2, FALSE), "")</f>
        <v>Post Graduate</v>
      </c>
      <c r="H3788">
        <v>1</v>
      </c>
      <c r="I3788">
        <v>20</v>
      </c>
      <c r="J3788" t="str">
        <f t="shared" si="354"/>
        <v>Smoker</v>
      </c>
      <c r="K3788">
        <v>0</v>
      </c>
      <c r="L3788">
        <v>0</v>
      </c>
      <c r="M3788">
        <v>0</v>
      </c>
      <c r="N3788">
        <v>0</v>
      </c>
      <c r="O3788">
        <v>292</v>
      </c>
      <c r="P3788" t="str">
        <f t="shared" si="355"/>
        <v>High</v>
      </c>
      <c r="Q3788">
        <v>130</v>
      </c>
      <c r="R3788">
        <v>77.5</v>
      </c>
      <c r="S3788">
        <v>24.75</v>
      </c>
      <c r="T3788" t="str">
        <f t="shared" si="356"/>
        <v>Normal</v>
      </c>
      <c r="U3788">
        <v>72</v>
      </c>
      <c r="V3788">
        <v>72</v>
      </c>
      <c r="W3788" t="str">
        <f t="shared" si="359"/>
        <v>Normal</v>
      </c>
      <c r="X3788">
        <v>0</v>
      </c>
    </row>
    <row r="3789" spans="1:24" ht="14.5" thickBot="1" x14ac:dyDescent="0.35">
      <c r="A3789">
        <v>1</v>
      </c>
      <c r="B3789" t="str">
        <f t="shared" si="357"/>
        <v>Male</v>
      </c>
      <c r="C3789" s="8">
        <v>62</v>
      </c>
      <c r="D3789" t="str">
        <f t="shared" si="358"/>
        <v>Senior</v>
      </c>
      <c r="E3789">
        <v>2</v>
      </c>
      <c r="F3789" t="str">
        <f>HLOOKUP(E3789, LookUP_Table!$A$6:$D$7, 2, FALSE)</f>
        <v>Secondary</v>
      </c>
      <c r="G3789" t="str">
        <f>IFERROR(VLOOKUP(E3789, LookUP_Table!$A$1:$B$4, 2, FALSE), "")</f>
        <v>Secondary</v>
      </c>
      <c r="H3789">
        <v>0</v>
      </c>
      <c r="I3789">
        <v>0</v>
      </c>
      <c r="J3789" t="str">
        <f t="shared" si="354"/>
        <v>Non-Smoker</v>
      </c>
      <c r="K3789">
        <v>0</v>
      </c>
      <c r="L3789">
        <v>0</v>
      </c>
      <c r="M3789">
        <v>0</v>
      </c>
      <c r="N3789">
        <v>0</v>
      </c>
      <c r="O3789">
        <v>214</v>
      </c>
      <c r="P3789" t="str">
        <f t="shared" si="355"/>
        <v>Normal</v>
      </c>
      <c r="Q3789">
        <v>110</v>
      </c>
      <c r="R3789">
        <v>62.5</v>
      </c>
      <c r="S3789">
        <v>23.8</v>
      </c>
      <c r="T3789" t="str">
        <f t="shared" si="356"/>
        <v>Normal</v>
      </c>
      <c r="U3789">
        <v>77</v>
      </c>
      <c r="V3789">
        <v>95</v>
      </c>
      <c r="W3789" t="str">
        <f t="shared" si="359"/>
        <v>Normal</v>
      </c>
      <c r="X3789">
        <v>1</v>
      </c>
    </row>
    <row r="3790" spans="1:24" ht="14.5" thickBot="1" x14ac:dyDescent="0.35">
      <c r="A3790">
        <v>0</v>
      </c>
      <c r="B3790" t="str">
        <f t="shared" si="357"/>
        <v>Female</v>
      </c>
      <c r="C3790" s="8">
        <v>62</v>
      </c>
      <c r="D3790" t="str">
        <f t="shared" si="358"/>
        <v>Senior</v>
      </c>
      <c r="E3790">
        <v>2</v>
      </c>
      <c r="F3790" t="str">
        <f>HLOOKUP(E3790, LookUP_Table!$A$6:$D$7, 2, FALSE)</f>
        <v>Secondary</v>
      </c>
      <c r="G3790" t="str">
        <f>IFERROR(VLOOKUP(E3790, LookUP_Table!$A$1:$B$4, 2, FALSE), "")</f>
        <v>Secondary</v>
      </c>
      <c r="H3790">
        <v>1</v>
      </c>
      <c r="I3790">
        <v>30</v>
      </c>
      <c r="J3790" t="str">
        <f t="shared" si="354"/>
        <v>Smoker</v>
      </c>
      <c r="K3790">
        <v>0</v>
      </c>
      <c r="L3790">
        <v>0</v>
      </c>
      <c r="M3790">
        <v>0</v>
      </c>
      <c r="N3790">
        <v>0</v>
      </c>
      <c r="O3790">
        <v>236.69952267303103</v>
      </c>
      <c r="P3790" t="str">
        <f t="shared" si="355"/>
        <v>Normal</v>
      </c>
      <c r="Q3790">
        <v>153</v>
      </c>
      <c r="R3790">
        <v>60</v>
      </c>
      <c r="S3790">
        <v>27.47</v>
      </c>
      <c r="T3790" t="str">
        <f t="shared" si="356"/>
        <v>Overweight</v>
      </c>
      <c r="U3790">
        <v>60</v>
      </c>
      <c r="V3790">
        <v>81.96365524402907</v>
      </c>
      <c r="W3790" t="str">
        <f t="shared" si="359"/>
        <v>Normal</v>
      </c>
      <c r="X3790">
        <v>0</v>
      </c>
    </row>
    <row r="3791" spans="1:24" ht="14.5" thickBot="1" x14ac:dyDescent="0.35">
      <c r="A3791">
        <v>0</v>
      </c>
      <c r="B3791" t="str">
        <f t="shared" si="357"/>
        <v>Female</v>
      </c>
      <c r="C3791" s="8">
        <v>62</v>
      </c>
      <c r="D3791" t="str">
        <f t="shared" si="358"/>
        <v>Senior</v>
      </c>
      <c r="E3791">
        <v>1</v>
      </c>
      <c r="F3791" t="str">
        <f>HLOOKUP(E3791, LookUP_Table!$A$6:$D$7, 2, FALSE)</f>
        <v>Primary</v>
      </c>
      <c r="G3791" t="str">
        <f>IFERROR(VLOOKUP(E3791, LookUP_Table!$A$1:$B$4, 2, FALSE), "")</f>
        <v>Primary</v>
      </c>
      <c r="H3791">
        <v>0</v>
      </c>
      <c r="I3791">
        <v>0</v>
      </c>
      <c r="J3791" t="str">
        <f t="shared" si="354"/>
        <v>Non-Smoker</v>
      </c>
      <c r="K3791">
        <v>0</v>
      </c>
      <c r="L3791">
        <v>0</v>
      </c>
      <c r="M3791">
        <v>1</v>
      </c>
      <c r="N3791">
        <v>0</v>
      </c>
      <c r="O3791">
        <v>174</v>
      </c>
      <c r="P3791" t="str">
        <f t="shared" si="355"/>
        <v>Normal</v>
      </c>
      <c r="Q3791">
        <v>166</v>
      </c>
      <c r="R3791">
        <v>89</v>
      </c>
      <c r="S3791">
        <v>31.44</v>
      </c>
      <c r="T3791" t="str">
        <f t="shared" si="356"/>
        <v>Obese</v>
      </c>
      <c r="U3791">
        <v>83</v>
      </c>
      <c r="V3791">
        <v>81.96365524402907</v>
      </c>
      <c r="W3791" t="str">
        <f t="shared" si="359"/>
        <v>Normal</v>
      </c>
      <c r="X3791">
        <v>1</v>
      </c>
    </row>
    <row r="3792" spans="1:24" ht="14.5" thickBot="1" x14ac:dyDescent="0.35">
      <c r="A3792">
        <v>0</v>
      </c>
      <c r="B3792" t="str">
        <f t="shared" si="357"/>
        <v>Female</v>
      </c>
      <c r="C3792" s="8">
        <v>62</v>
      </c>
      <c r="D3792" t="str">
        <f t="shared" si="358"/>
        <v>Senior</v>
      </c>
      <c r="E3792">
        <v>2</v>
      </c>
      <c r="F3792" t="str">
        <f>HLOOKUP(E3792, LookUP_Table!$A$6:$D$7, 2, FALSE)</f>
        <v>Secondary</v>
      </c>
      <c r="G3792" t="str">
        <f>IFERROR(VLOOKUP(E3792, LookUP_Table!$A$1:$B$4, 2, FALSE), "")</f>
        <v>Secondary</v>
      </c>
      <c r="H3792">
        <v>1</v>
      </c>
      <c r="I3792">
        <v>6</v>
      </c>
      <c r="J3792" t="str">
        <f t="shared" si="354"/>
        <v>Smoker</v>
      </c>
      <c r="K3792">
        <v>0</v>
      </c>
      <c r="L3792">
        <v>0</v>
      </c>
      <c r="M3792">
        <v>1</v>
      </c>
      <c r="N3792">
        <v>0</v>
      </c>
      <c r="O3792">
        <v>244</v>
      </c>
      <c r="P3792" t="str">
        <f t="shared" si="355"/>
        <v>High</v>
      </c>
      <c r="Q3792">
        <v>168</v>
      </c>
      <c r="R3792">
        <v>102</v>
      </c>
      <c r="S3792">
        <v>26.39</v>
      </c>
      <c r="T3792" t="str">
        <f t="shared" si="356"/>
        <v>Overweight</v>
      </c>
      <c r="U3792">
        <v>76</v>
      </c>
      <c r="V3792">
        <v>105</v>
      </c>
      <c r="W3792" t="str">
        <f t="shared" si="359"/>
        <v>Prediabetes</v>
      </c>
      <c r="X3792">
        <v>1</v>
      </c>
    </row>
    <row r="3793" spans="1:24" ht="14.5" thickBot="1" x14ac:dyDescent="0.35">
      <c r="A3793">
        <v>0</v>
      </c>
      <c r="B3793" t="str">
        <f t="shared" si="357"/>
        <v>Female</v>
      </c>
      <c r="C3793" s="8">
        <v>62</v>
      </c>
      <c r="D3793" t="str">
        <f t="shared" si="358"/>
        <v>Senior</v>
      </c>
      <c r="E3793">
        <v>1</v>
      </c>
      <c r="F3793" t="str">
        <f>HLOOKUP(E3793, LookUP_Table!$A$6:$D$7, 2, FALSE)</f>
        <v>Primary</v>
      </c>
      <c r="G3793" t="str">
        <f>IFERROR(VLOOKUP(E3793, LookUP_Table!$A$1:$B$4, 2, FALSE), "")</f>
        <v>Primary</v>
      </c>
      <c r="H3793">
        <v>0</v>
      </c>
      <c r="I3793">
        <v>0</v>
      </c>
      <c r="J3793" t="str">
        <f t="shared" si="354"/>
        <v>Non-Smoker</v>
      </c>
      <c r="K3793">
        <v>0</v>
      </c>
      <c r="L3793">
        <v>0</v>
      </c>
      <c r="M3793">
        <v>1</v>
      </c>
      <c r="N3793">
        <v>0</v>
      </c>
      <c r="O3793">
        <v>318</v>
      </c>
      <c r="P3793" t="str">
        <f t="shared" si="355"/>
        <v>High</v>
      </c>
      <c r="Q3793">
        <v>206</v>
      </c>
      <c r="R3793">
        <v>98</v>
      </c>
      <c r="S3793">
        <v>27.23</v>
      </c>
      <c r="T3793" t="str">
        <f t="shared" si="356"/>
        <v>Overweight</v>
      </c>
      <c r="U3793">
        <v>84</v>
      </c>
      <c r="V3793">
        <v>87</v>
      </c>
      <c r="W3793" t="str">
        <f t="shared" si="359"/>
        <v>Normal</v>
      </c>
      <c r="X3793">
        <v>0</v>
      </c>
    </row>
    <row r="3794" spans="1:24" ht="14.5" thickBot="1" x14ac:dyDescent="0.35">
      <c r="A3794">
        <v>1</v>
      </c>
      <c r="B3794" t="str">
        <f t="shared" si="357"/>
        <v>Male</v>
      </c>
      <c r="C3794" s="8">
        <v>62</v>
      </c>
      <c r="D3794" t="str">
        <f t="shared" si="358"/>
        <v>Senior</v>
      </c>
      <c r="E3794">
        <v>1</v>
      </c>
      <c r="F3794" t="str">
        <f>HLOOKUP(E3794, LookUP_Table!$A$6:$D$7, 2, FALSE)</f>
        <v>Primary</v>
      </c>
      <c r="G3794" t="str">
        <f>IFERROR(VLOOKUP(E3794, LookUP_Table!$A$1:$B$4, 2, FALSE), "")</f>
        <v>Primary</v>
      </c>
      <c r="H3794">
        <v>1</v>
      </c>
      <c r="I3794">
        <v>20</v>
      </c>
      <c r="J3794" t="str">
        <f t="shared" si="354"/>
        <v>Smoker</v>
      </c>
      <c r="K3794">
        <v>0</v>
      </c>
      <c r="L3794">
        <v>0</v>
      </c>
      <c r="M3794">
        <v>0</v>
      </c>
      <c r="N3794">
        <v>0</v>
      </c>
      <c r="O3794">
        <v>168</v>
      </c>
      <c r="P3794" t="str">
        <f t="shared" si="355"/>
        <v>Normal</v>
      </c>
      <c r="Q3794">
        <v>129.5</v>
      </c>
      <c r="R3794">
        <v>87</v>
      </c>
      <c r="S3794">
        <v>20.56</v>
      </c>
      <c r="T3794" t="str">
        <f t="shared" si="356"/>
        <v>Normal</v>
      </c>
      <c r="U3794">
        <v>65</v>
      </c>
      <c r="V3794">
        <v>80</v>
      </c>
      <c r="W3794" t="str">
        <f t="shared" si="359"/>
        <v>Normal</v>
      </c>
      <c r="X3794">
        <v>0</v>
      </c>
    </row>
    <row r="3795" spans="1:24" ht="14.5" thickBot="1" x14ac:dyDescent="0.35">
      <c r="A3795">
        <v>1</v>
      </c>
      <c r="B3795" t="str">
        <f t="shared" si="357"/>
        <v>Male</v>
      </c>
      <c r="C3795" s="8">
        <v>62</v>
      </c>
      <c r="D3795" t="str">
        <f t="shared" si="358"/>
        <v>Senior</v>
      </c>
      <c r="E3795">
        <v>3</v>
      </c>
      <c r="F3795" t="str">
        <f>HLOOKUP(E3795, LookUP_Table!$A$6:$D$7, 2, FALSE)</f>
        <v>Graduate</v>
      </c>
      <c r="G3795" t="str">
        <f>IFERROR(VLOOKUP(E3795, LookUP_Table!$A$1:$B$4, 2, FALSE), "")</f>
        <v>Graduate</v>
      </c>
      <c r="H3795">
        <v>0</v>
      </c>
      <c r="I3795">
        <v>0</v>
      </c>
      <c r="J3795" t="str">
        <f t="shared" si="354"/>
        <v>Non-Smoker</v>
      </c>
      <c r="K3795">
        <v>0</v>
      </c>
      <c r="L3795">
        <v>0</v>
      </c>
      <c r="M3795">
        <v>0</v>
      </c>
      <c r="N3795">
        <v>0</v>
      </c>
      <c r="O3795">
        <v>332</v>
      </c>
      <c r="P3795" t="str">
        <f t="shared" si="355"/>
        <v>High</v>
      </c>
      <c r="Q3795">
        <v>119.5</v>
      </c>
      <c r="R3795">
        <v>74</v>
      </c>
      <c r="S3795">
        <v>28.5</v>
      </c>
      <c r="T3795" t="str">
        <f t="shared" si="356"/>
        <v>Overweight</v>
      </c>
      <c r="U3795">
        <v>68</v>
      </c>
      <c r="V3795">
        <v>92</v>
      </c>
      <c r="W3795" t="str">
        <f t="shared" si="359"/>
        <v>Normal</v>
      </c>
      <c r="X3795">
        <v>0</v>
      </c>
    </row>
    <row r="3796" spans="1:24" ht="14.5" thickBot="1" x14ac:dyDescent="0.35">
      <c r="A3796">
        <v>0</v>
      </c>
      <c r="B3796" t="str">
        <f t="shared" si="357"/>
        <v>Female</v>
      </c>
      <c r="C3796" s="8">
        <v>62</v>
      </c>
      <c r="D3796" t="str">
        <f t="shared" si="358"/>
        <v>Senior</v>
      </c>
      <c r="E3796">
        <v>3</v>
      </c>
      <c r="F3796" t="str">
        <f>HLOOKUP(E3796, LookUP_Table!$A$6:$D$7, 2, FALSE)</f>
        <v>Graduate</v>
      </c>
      <c r="G3796" t="str">
        <f>IFERROR(VLOOKUP(E3796, LookUP_Table!$A$1:$B$4, 2, FALSE), "")</f>
        <v>Graduate</v>
      </c>
      <c r="H3796">
        <v>1</v>
      </c>
      <c r="I3796">
        <v>20</v>
      </c>
      <c r="J3796" t="str">
        <f t="shared" si="354"/>
        <v>Smoker</v>
      </c>
      <c r="K3796">
        <v>0</v>
      </c>
      <c r="L3796">
        <v>0</v>
      </c>
      <c r="M3796">
        <v>0</v>
      </c>
      <c r="N3796">
        <v>0</v>
      </c>
      <c r="O3796">
        <v>264</v>
      </c>
      <c r="P3796" t="str">
        <f t="shared" si="355"/>
        <v>High</v>
      </c>
      <c r="Q3796">
        <v>142</v>
      </c>
      <c r="R3796">
        <v>90</v>
      </c>
      <c r="S3796">
        <v>31.78</v>
      </c>
      <c r="T3796" t="str">
        <f t="shared" si="356"/>
        <v>Obese</v>
      </c>
      <c r="U3796">
        <v>95</v>
      </c>
      <c r="V3796">
        <v>97</v>
      </c>
      <c r="W3796" t="str">
        <f t="shared" si="359"/>
        <v>Normal</v>
      </c>
      <c r="X3796">
        <v>0</v>
      </c>
    </row>
    <row r="3797" spans="1:24" ht="14.5" thickBot="1" x14ac:dyDescent="0.35">
      <c r="A3797">
        <v>0</v>
      </c>
      <c r="B3797" t="str">
        <f t="shared" si="357"/>
        <v>Female</v>
      </c>
      <c r="C3797" s="8">
        <v>62</v>
      </c>
      <c r="D3797" t="str">
        <f t="shared" si="358"/>
        <v>Senior</v>
      </c>
      <c r="E3797">
        <v>2</v>
      </c>
      <c r="F3797" t="str">
        <f>HLOOKUP(E3797, LookUP_Table!$A$6:$D$7, 2, FALSE)</f>
        <v>Secondary</v>
      </c>
      <c r="G3797" t="str">
        <f>IFERROR(VLOOKUP(E3797, LookUP_Table!$A$1:$B$4, 2, FALSE), "")</f>
        <v>Secondary</v>
      </c>
      <c r="H3797">
        <v>0</v>
      </c>
      <c r="I3797">
        <v>0</v>
      </c>
      <c r="J3797" t="str">
        <f t="shared" si="354"/>
        <v>Non-Smoker</v>
      </c>
      <c r="K3797">
        <v>0</v>
      </c>
      <c r="L3797">
        <v>0</v>
      </c>
      <c r="M3797">
        <v>1</v>
      </c>
      <c r="N3797">
        <v>0</v>
      </c>
      <c r="O3797">
        <v>304</v>
      </c>
      <c r="P3797" t="str">
        <f t="shared" si="355"/>
        <v>High</v>
      </c>
      <c r="Q3797">
        <v>165</v>
      </c>
      <c r="R3797">
        <v>91</v>
      </c>
      <c r="S3797">
        <v>26.97</v>
      </c>
      <c r="T3797" t="str">
        <f t="shared" si="356"/>
        <v>Overweight</v>
      </c>
      <c r="U3797">
        <v>80</v>
      </c>
      <c r="V3797">
        <v>81</v>
      </c>
      <c r="W3797" t="str">
        <f t="shared" si="359"/>
        <v>Normal</v>
      </c>
      <c r="X3797">
        <v>0</v>
      </c>
    </row>
    <row r="3798" spans="1:24" ht="14.5" thickBot="1" x14ac:dyDescent="0.35">
      <c r="A3798">
        <v>0</v>
      </c>
      <c r="B3798" t="str">
        <f t="shared" si="357"/>
        <v>Female</v>
      </c>
      <c r="C3798" s="8">
        <v>62</v>
      </c>
      <c r="D3798" t="str">
        <f t="shared" si="358"/>
        <v>Senior</v>
      </c>
      <c r="E3798">
        <v>1</v>
      </c>
      <c r="F3798" t="str">
        <f>HLOOKUP(E3798, LookUP_Table!$A$6:$D$7, 2, FALSE)</f>
        <v>Primary</v>
      </c>
      <c r="G3798" t="str">
        <f>IFERROR(VLOOKUP(E3798, LookUP_Table!$A$1:$B$4, 2, FALSE), "")</f>
        <v>Primary</v>
      </c>
      <c r="H3798">
        <v>0</v>
      </c>
      <c r="I3798">
        <v>0</v>
      </c>
      <c r="J3798" t="str">
        <f t="shared" si="354"/>
        <v>Non-Smoker</v>
      </c>
      <c r="K3798">
        <v>0</v>
      </c>
      <c r="L3798">
        <v>0</v>
      </c>
      <c r="M3798">
        <v>1</v>
      </c>
      <c r="N3798">
        <v>0</v>
      </c>
      <c r="O3798">
        <v>231</v>
      </c>
      <c r="P3798" t="str">
        <f t="shared" si="355"/>
        <v>Normal</v>
      </c>
      <c r="Q3798">
        <v>184</v>
      </c>
      <c r="R3798">
        <v>90</v>
      </c>
      <c r="S3798">
        <v>26.03</v>
      </c>
      <c r="T3798" t="str">
        <f t="shared" si="356"/>
        <v>Overweight</v>
      </c>
      <c r="U3798">
        <v>70</v>
      </c>
      <c r="V3798">
        <v>75</v>
      </c>
      <c r="W3798" t="str">
        <f t="shared" si="359"/>
        <v>Normal</v>
      </c>
      <c r="X3798">
        <v>0</v>
      </c>
    </row>
    <row r="3799" spans="1:24" ht="14.5" thickBot="1" x14ac:dyDescent="0.35">
      <c r="A3799">
        <v>1</v>
      </c>
      <c r="B3799" t="str">
        <f t="shared" si="357"/>
        <v>Male</v>
      </c>
      <c r="C3799" s="8">
        <v>62</v>
      </c>
      <c r="D3799" t="str">
        <f t="shared" si="358"/>
        <v>Senior</v>
      </c>
      <c r="E3799">
        <v>1</v>
      </c>
      <c r="F3799" t="str">
        <f>HLOOKUP(E3799, LookUP_Table!$A$6:$D$7, 2, FALSE)</f>
        <v>Primary</v>
      </c>
      <c r="G3799" t="str">
        <f>IFERROR(VLOOKUP(E3799, LookUP_Table!$A$1:$B$4, 2, FALSE), "")</f>
        <v>Primary</v>
      </c>
      <c r="H3799">
        <v>1</v>
      </c>
      <c r="I3799">
        <v>20</v>
      </c>
      <c r="J3799" t="str">
        <f t="shared" si="354"/>
        <v>Smoker</v>
      </c>
      <c r="K3799">
        <v>0</v>
      </c>
      <c r="L3799">
        <v>0</v>
      </c>
      <c r="M3799">
        <v>1</v>
      </c>
      <c r="N3799">
        <v>0</v>
      </c>
      <c r="O3799">
        <v>270</v>
      </c>
      <c r="P3799" t="str">
        <f t="shared" si="355"/>
        <v>High</v>
      </c>
      <c r="Q3799">
        <v>145.5</v>
      </c>
      <c r="R3799">
        <v>87.5</v>
      </c>
      <c r="S3799">
        <v>23.88</v>
      </c>
      <c r="T3799" t="str">
        <f t="shared" si="356"/>
        <v>Normal</v>
      </c>
      <c r="U3799">
        <v>81</v>
      </c>
      <c r="V3799">
        <v>67</v>
      </c>
      <c r="W3799" t="str">
        <f t="shared" si="359"/>
        <v>Normal</v>
      </c>
      <c r="X3799">
        <v>1</v>
      </c>
    </row>
    <row r="3800" spans="1:24" ht="14.5" thickBot="1" x14ac:dyDescent="0.35">
      <c r="A3800">
        <v>1</v>
      </c>
      <c r="B3800" t="str">
        <f t="shared" si="357"/>
        <v>Male</v>
      </c>
      <c r="C3800" s="8">
        <v>62</v>
      </c>
      <c r="D3800" t="str">
        <f t="shared" si="358"/>
        <v>Senior</v>
      </c>
      <c r="E3800">
        <v>1</v>
      </c>
      <c r="F3800" t="str">
        <f>HLOOKUP(E3800, LookUP_Table!$A$6:$D$7, 2, FALSE)</f>
        <v>Primary</v>
      </c>
      <c r="G3800" t="str">
        <f>IFERROR(VLOOKUP(E3800, LookUP_Table!$A$1:$B$4, 2, FALSE), "")</f>
        <v>Primary</v>
      </c>
      <c r="H3800">
        <v>0</v>
      </c>
      <c r="I3800">
        <v>0</v>
      </c>
      <c r="J3800" t="str">
        <f t="shared" si="354"/>
        <v>Non-Smoker</v>
      </c>
      <c r="K3800">
        <v>0</v>
      </c>
      <c r="L3800">
        <v>0</v>
      </c>
      <c r="M3800">
        <v>0</v>
      </c>
      <c r="N3800">
        <v>0</v>
      </c>
      <c r="O3800">
        <v>216</v>
      </c>
      <c r="P3800" t="str">
        <f t="shared" si="355"/>
        <v>Normal</v>
      </c>
      <c r="Q3800">
        <v>126</v>
      </c>
      <c r="R3800">
        <v>82</v>
      </c>
      <c r="S3800">
        <v>21.18</v>
      </c>
      <c r="T3800" t="str">
        <f t="shared" si="356"/>
        <v>Normal</v>
      </c>
      <c r="U3800">
        <v>69</v>
      </c>
      <c r="V3800">
        <v>69</v>
      </c>
      <c r="W3800" t="str">
        <f t="shared" si="359"/>
        <v>Normal</v>
      </c>
      <c r="X3800">
        <v>0</v>
      </c>
    </row>
    <row r="3801" spans="1:24" ht="14.5" thickBot="1" x14ac:dyDescent="0.35">
      <c r="A3801">
        <v>1</v>
      </c>
      <c r="B3801" t="str">
        <f t="shared" si="357"/>
        <v>Male</v>
      </c>
      <c r="C3801" s="8">
        <v>62</v>
      </c>
      <c r="D3801" t="str">
        <f t="shared" si="358"/>
        <v>Senior</v>
      </c>
      <c r="E3801">
        <v>1</v>
      </c>
      <c r="F3801" t="str">
        <f>HLOOKUP(E3801, LookUP_Table!$A$6:$D$7, 2, FALSE)</f>
        <v>Primary</v>
      </c>
      <c r="G3801" t="str">
        <f>IFERROR(VLOOKUP(E3801, LookUP_Table!$A$1:$B$4, 2, FALSE), "")</f>
        <v>Primary</v>
      </c>
      <c r="H3801">
        <v>0</v>
      </c>
      <c r="I3801">
        <v>0</v>
      </c>
      <c r="J3801" t="str">
        <f t="shared" si="354"/>
        <v>Non-Smoker</v>
      </c>
      <c r="K3801">
        <v>0</v>
      </c>
      <c r="L3801">
        <v>0</v>
      </c>
      <c r="M3801">
        <v>0</v>
      </c>
      <c r="N3801">
        <v>1</v>
      </c>
      <c r="O3801">
        <v>237</v>
      </c>
      <c r="P3801" t="str">
        <f t="shared" si="355"/>
        <v>Normal</v>
      </c>
      <c r="Q3801">
        <v>114</v>
      </c>
      <c r="R3801">
        <v>72</v>
      </c>
      <c r="S3801">
        <v>25.65</v>
      </c>
      <c r="T3801" t="str">
        <f t="shared" si="356"/>
        <v>Overweight</v>
      </c>
      <c r="U3801">
        <v>62</v>
      </c>
      <c r="V3801">
        <v>89</v>
      </c>
      <c r="W3801" t="str">
        <f t="shared" si="359"/>
        <v>Normal</v>
      </c>
      <c r="X3801">
        <v>0</v>
      </c>
    </row>
    <row r="3802" spans="1:24" ht="14.5" thickBot="1" x14ac:dyDescent="0.35">
      <c r="A3802">
        <v>1</v>
      </c>
      <c r="B3802" t="str">
        <f t="shared" si="357"/>
        <v>Male</v>
      </c>
      <c r="C3802" s="8">
        <v>62</v>
      </c>
      <c r="D3802" t="str">
        <f t="shared" si="358"/>
        <v>Senior</v>
      </c>
      <c r="E3802">
        <v>1</v>
      </c>
      <c r="F3802" t="str">
        <f>HLOOKUP(E3802, LookUP_Table!$A$6:$D$7, 2, FALSE)</f>
        <v>Primary</v>
      </c>
      <c r="G3802" t="str">
        <f>IFERROR(VLOOKUP(E3802, LookUP_Table!$A$1:$B$4, 2, FALSE), "")</f>
        <v>Primary</v>
      </c>
      <c r="H3802">
        <v>1</v>
      </c>
      <c r="I3802">
        <v>30</v>
      </c>
      <c r="J3802" t="str">
        <f t="shared" si="354"/>
        <v>Smoker</v>
      </c>
      <c r="K3802">
        <v>0</v>
      </c>
      <c r="L3802">
        <v>0</v>
      </c>
      <c r="M3802">
        <v>0</v>
      </c>
      <c r="N3802">
        <v>0</v>
      </c>
      <c r="O3802">
        <v>226</v>
      </c>
      <c r="P3802" t="str">
        <f t="shared" si="355"/>
        <v>Normal</v>
      </c>
      <c r="Q3802">
        <v>106</v>
      </c>
      <c r="R3802">
        <v>67.5</v>
      </c>
      <c r="S3802">
        <v>23.88</v>
      </c>
      <c r="T3802" t="str">
        <f t="shared" si="356"/>
        <v>Normal</v>
      </c>
      <c r="U3802">
        <v>60</v>
      </c>
      <c r="V3802">
        <v>87</v>
      </c>
      <c r="W3802" t="str">
        <f t="shared" si="359"/>
        <v>Normal</v>
      </c>
      <c r="X3802">
        <v>0</v>
      </c>
    </row>
    <row r="3803" spans="1:24" ht="14.5" thickBot="1" x14ac:dyDescent="0.35">
      <c r="A3803">
        <v>1</v>
      </c>
      <c r="B3803" t="str">
        <f t="shared" si="357"/>
        <v>Male</v>
      </c>
      <c r="C3803" s="8">
        <v>62</v>
      </c>
      <c r="D3803" t="str">
        <f t="shared" si="358"/>
        <v>Senior</v>
      </c>
      <c r="E3803">
        <v>1</v>
      </c>
      <c r="F3803" t="str">
        <f>HLOOKUP(E3803, LookUP_Table!$A$6:$D$7, 2, FALSE)</f>
        <v>Primary</v>
      </c>
      <c r="G3803" t="str">
        <f>IFERROR(VLOOKUP(E3803, LookUP_Table!$A$1:$B$4, 2, FALSE), "")</f>
        <v>Primary</v>
      </c>
      <c r="H3803">
        <v>0</v>
      </c>
      <c r="I3803">
        <v>0</v>
      </c>
      <c r="J3803" t="str">
        <f t="shared" si="354"/>
        <v>Non-Smoker</v>
      </c>
      <c r="K3803">
        <v>0</v>
      </c>
      <c r="L3803">
        <v>0</v>
      </c>
      <c r="M3803">
        <v>0</v>
      </c>
      <c r="N3803">
        <v>0</v>
      </c>
      <c r="O3803">
        <v>275</v>
      </c>
      <c r="P3803" t="str">
        <f t="shared" si="355"/>
        <v>High</v>
      </c>
      <c r="Q3803">
        <v>111</v>
      </c>
      <c r="R3803">
        <v>63</v>
      </c>
      <c r="S3803">
        <v>22.68</v>
      </c>
      <c r="T3803" t="str">
        <f t="shared" si="356"/>
        <v>Normal</v>
      </c>
      <c r="U3803">
        <v>75</v>
      </c>
      <c r="V3803">
        <v>78</v>
      </c>
      <c r="W3803" t="str">
        <f t="shared" si="359"/>
        <v>Normal</v>
      </c>
      <c r="X3803">
        <v>0</v>
      </c>
    </row>
    <row r="3804" spans="1:24" ht="14.5" thickBot="1" x14ac:dyDescent="0.35">
      <c r="A3804">
        <v>0</v>
      </c>
      <c r="B3804" t="str">
        <f t="shared" si="357"/>
        <v>Female</v>
      </c>
      <c r="C3804" s="8">
        <v>62</v>
      </c>
      <c r="D3804" t="str">
        <f t="shared" si="358"/>
        <v>Senior</v>
      </c>
      <c r="E3804">
        <v>3</v>
      </c>
      <c r="F3804" t="str">
        <f>HLOOKUP(E3804, LookUP_Table!$A$6:$D$7, 2, FALSE)</f>
        <v>Graduate</v>
      </c>
      <c r="G3804" t="str">
        <f>IFERROR(VLOOKUP(E3804, LookUP_Table!$A$1:$B$4, 2, FALSE), "")</f>
        <v>Graduate</v>
      </c>
      <c r="H3804">
        <v>0</v>
      </c>
      <c r="I3804">
        <v>0</v>
      </c>
      <c r="J3804" t="str">
        <f t="shared" si="354"/>
        <v>Non-Smoker</v>
      </c>
      <c r="K3804">
        <v>0</v>
      </c>
      <c r="L3804">
        <v>0</v>
      </c>
      <c r="M3804">
        <v>1</v>
      </c>
      <c r="N3804">
        <v>0</v>
      </c>
      <c r="O3804">
        <v>312</v>
      </c>
      <c r="P3804" t="str">
        <f t="shared" si="355"/>
        <v>High</v>
      </c>
      <c r="Q3804">
        <v>204</v>
      </c>
      <c r="R3804">
        <v>118</v>
      </c>
      <c r="S3804">
        <v>24.83</v>
      </c>
      <c r="T3804" t="str">
        <f t="shared" si="356"/>
        <v>Normal</v>
      </c>
      <c r="U3804">
        <v>67</v>
      </c>
      <c r="V3804">
        <v>86</v>
      </c>
      <c r="W3804" t="str">
        <f t="shared" si="359"/>
        <v>Normal</v>
      </c>
      <c r="X3804">
        <v>1</v>
      </c>
    </row>
    <row r="3805" spans="1:24" ht="14.5" thickBot="1" x14ac:dyDescent="0.35">
      <c r="A3805">
        <v>0</v>
      </c>
      <c r="B3805" t="str">
        <f t="shared" si="357"/>
        <v>Female</v>
      </c>
      <c r="C3805" s="8">
        <v>62</v>
      </c>
      <c r="D3805" t="str">
        <f t="shared" si="358"/>
        <v>Senior</v>
      </c>
      <c r="E3805">
        <v>3</v>
      </c>
      <c r="F3805" t="str">
        <f>HLOOKUP(E3805, LookUP_Table!$A$6:$D$7, 2, FALSE)</f>
        <v>Graduate</v>
      </c>
      <c r="G3805" t="str">
        <f>IFERROR(VLOOKUP(E3805, LookUP_Table!$A$1:$B$4, 2, FALSE), "")</f>
        <v>Graduate</v>
      </c>
      <c r="H3805">
        <v>0</v>
      </c>
      <c r="I3805">
        <v>0</v>
      </c>
      <c r="J3805" t="str">
        <f t="shared" si="354"/>
        <v>Non-Smoker</v>
      </c>
      <c r="K3805">
        <v>0</v>
      </c>
      <c r="L3805">
        <v>0</v>
      </c>
      <c r="M3805">
        <v>1</v>
      </c>
      <c r="N3805">
        <v>0</v>
      </c>
      <c r="O3805">
        <v>249</v>
      </c>
      <c r="P3805" t="str">
        <f t="shared" si="355"/>
        <v>High</v>
      </c>
      <c r="Q3805">
        <v>176</v>
      </c>
      <c r="R3805">
        <v>89</v>
      </c>
      <c r="S3805">
        <v>24.49</v>
      </c>
      <c r="T3805" t="str">
        <f t="shared" si="356"/>
        <v>Normal</v>
      </c>
      <c r="U3805">
        <v>75</v>
      </c>
      <c r="V3805">
        <v>81</v>
      </c>
      <c r="W3805" t="str">
        <f t="shared" si="359"/>
        <v>Normal</v>
      </c>
      <c r="X3805">
        <v>0</v>
      </c>
    </row>
    <row r="3806" spans="1:24" ht="14.5" thickBot="1" x14ac:dyDescent="0.35">
      <c r="A3806">
        <v>0</v>
      </c>
      <c r="B3806" t="str">
        <f t="shared" si="357"/>
        <v>Female</v>
      </c>
      <c r="C3806" s="8">
        <v>62</v>
      </c>
      <c r="D3806" t="str">
        <f t="shared" si="358"/>
        <v>Senior</v>
      </c>
      <c r="E3806">
        <v>4</v>
      </c>
      <c r="F3806" t="str">
        <f>HLOOKUP(E3806, LookUP_Table!$A$6:$D$7, 2, FALSE)</f>
        <v>Post Graduate</v>
      </c>
      <c r="G3806" t="str">
        <f>IFERROR(VLOOKUP(E3806, LookUP_Table!$A$1:$B$4, 2, FALSE), "")</f>
        <v>Post Graduate</v>
      </c>
      <c r="H3806">
        <v>0</v>
      </c>
      <c r="I3806">
        <v>0</v>
      </c>
      <c r="J3806" t="str">
        <f t="shared" si="354"/>
        <v>Non-Smoker</v>
      </c>
      <c r="K3806">
        <v>1</v>
      </c>
      <c r="L3806">
        <v>0</v>
      </c>
      <c r="M3806">
        <v>1</v>
      </c>
      <c r="N3806">
        <v>0</v>
      </c>
      <c r="O3806">
        <v>274</v>
      </c>
      <c r="P3806" t="str">
        <f t="shared" si="355"/>
        <v>High</v>
      </c>
      <c r="Q3806">
        <v>167</v>
      </c>
      <c r="R3806">
        <v>94</v>
      </c>
      <c r="S3806">
        <v>28.18</v>
      </c>
      <c r="T3806" t="str">
        <f t="shared" si="356"/>
        <v>Overweight</v>
      </c>
      <c r="U3806">
        <v>100</v>
      </c>
      <c r="V3806">
        <v>80</v>
      </c>
      <c r="W3806" t="str">
        <f t="shared" si="359"/>
        <v>Normal</v>
      </c>
      <c r="X3806">
        <v>1</v>
      </c>
    </row>
    <row r="3807" spans="1:24" ht="14.5" thickBot="1" x14ac:dyDescent="0.35">
      <c r="A3807">
        <v>0</v>
      </c>
      <c r="B3807" t="str">
        <f t="shared" si="357"/>
        <v>Female</v>
      </c>
      <c r="C3807" s="8">
        <v>62</v>
      </c>
      <c r="D3807" t="str">
        <f t="shared" si="358"/>
        <v>Senior</v>
      </c>
      <c r="E3807">
        <v>1</v>
      </c>
      <c r="F3807" t="str">
        <f>HLOOKUP(E3807, LookUP_Table!$A$6:$D$7, 2, FALSE)</f>
        <v>Primary</v>
      </c>
      <c r="G3807" t="str">
        <f>IFERROR(VLOOKUP(E3807, LookUP_Table!$A$1:$B$4, 2, FALSE), "")</f>
        <v>Primary</v>
      </c>
      <c r="H3807">
        <v>0</v>
      </c>
      <c r="I3807">
        <v>0</v>
      </c>
      <c r="J3807" t="str">
        <f t="shared" si="354"/>
        <v>Non-Smoker</v>
      </c>
      <c r="K3807">
        <v>0</v>
      </c>
      <c r="L3807">
        <v>0</v>
      </c>
      <c r="M3807">
        <v>1</v>
      </c>
      <c r="N3807">
        <v>0</v>
      </c>
      <c r="O3807">
        <v>268</v>
      </c>
      <c r="P3807" t="str">
        <f t="shared" si="355"/>
        <v>High</v>
      </c>
      <c r="Q3807">
        <v>143.5</v>
      </c>
      <c r="R3807">
        <v>90</v>
      </c>
      <c r="S3807">
        <v>29.64</v>
      </c>
      <c r="T3807" t="str">
        <f t="shared" si="356"/>
        <v>Overweight</v>
      </c>
      <c r="U3807">
        <v>88</v>
      </c>
      <c r="V3807">
        <v>83</v>
      </c>
      <c r="W3807" t="str">
        <f t="shared" si="359"/>
        <v>Normal</v>
      </c>
      <c r="X3807">
        <v>0</v>
      </c>
    </row>
    <row r="3808" spans="1:24" ht="14.5" thickBot="1" x14ac:dyDescent="0.35">
      <c r="A3808">
        <v>0</v>
      </c>
      <c r="B3808" t="str">
        <f t="shared" si="357"/>
        <v>Female</v>
      </c>
      <c r="C3808" s="8">
        <v>62</v>
      </c>
      <c r="D3808" t="str">
        <f t="shared" si="358"/>
        <v>Senior</v>
      </c>
      <c r="E3808">
        <v>2</v>
      </c>
      <c r="F3808" t="str">
        <f>HLOOKUP(E3808, LookUP_Table!$A$6:$D$7, 2, FALSE)</f>
        <v>Secondary</v>
      </c>
      <c r="G3808" t="str">
        <f>IFERROR(VLOOKUP(E3808, LookUP_Table!$A$1:$B$4, 2, FALSE), "")</f>
        <v>Secondary</v>
      </c>
      <c r="H3808">
        <v>0</v>
      </c>
      <c r="I3808">
        <v>0</v>
      </c>
      <c r="J3808" t="str">
        <f t="shared" si="354"/>
        <v>Non-Smoker</v>
      </c>
      <c r="K3808">
        <v>0</v>
      </c>
      <c r="L3808">
        <v>0</v>
      </c>
      <c r="M3808">
        <v>1</v>
      </c>
      <c r="N3808">
        <v>0</v>
      </c>
      <c r="O3808">
        <v>229</v>
      </c>
      <c r="P3808" t="str">
        <f t="shared" si="355"/>
        <v>Normal</v>
      </c>
      <c r="Q3808">
        <v>140</v>
      </c>
      <c r="R3808">
        <v>93</v>
      </c>
      <c r="S3808">
        <v>33.97</v>
      </c>
      <c r="T3808" t="str">
        <f t="shared" si="356"/>
        <v>Obese</v>
      </c>
      <c r="U3808">
        <v>80</v>
      </c>
      <c r="V3808">
        <v>111</v>
      </c>
      <c r="W3808" t="str">
        <f t="shared" si="359"/>
        <v>Prediabetes</v>
      </c>
      <c r="X3808">
        <v>0</v>
      </c>
    </row>
    <row r="3809" spans="1:24" ht="14.5" thickBot="1" x14ac:dyDescent="0.35">
      <c r="A3809">
        <v>1</v>
      </c>
      <c r="B3809" t="str">
        <f t="shared" si="357"/>
        <v>Male</v>
      </c>
      <c r="C3809" s="8">
        <v>62</v>
      </c>
      <c r="D3809" t="str">
        <f t="shared" si="358"/>
        <v>Senior</v>
      </c>
      <c r="E3809">
        <v>1</v>
      </c>
      <c r="F3809" t="str">
        <f>HLOOKUP(E3809, LookUP_Table!$A$6:$D$7, 2, FALSE)</f>
        <v>Primary</v>
      </c>
      <c r="G3809" t="str">
        <f>IFERROR(VLOOKUP(E3809, LookUP_Table!$A$1:$B$4, 2, FALSE), "")</f>
        <v>Primary</v>
      </c>
      <c r="H3809">
        <v>1</v>
      </c>
      <c r="I3809">
        <v>10</v>
      </c>
      <c r="J3809" t="str">
        <f t="shared" si="354"/>
        <v>Smoker</v>
      </c>
      <c r="K3809">
        <v>0</v>
      </c>
      <c r="L3809">
        <v>0</v>
      </c>
      <c r="M3809">
        <v>0</v>
      </c>
      <c r="N3809">
        <v>0</v>
      </c>
      <c r="O3809">
        <v>157</v>
      </c>
      <c r="P3809" t="str">
        <f t="shared" si="355"/>
        <v>Normal</v>
      </c>
      <c r="Q3809">
        <v>134</v>
      </c>
      <c r="R3809">
        <v>84</v>
      </c>
      <c r="S3809">
        <v>25.95</v>
      </c>
      <c r="T3809" t="str">
        <f t="shared" si="356"/>
        <v>Overweight</v>
      </c>
      <c r="U3809">
        <v>105</v>
      </c>
      <c r="V3809">
        <v>76</v>
      </c>
      <c r="W3809" t="str">
        <f t="shared" si="359"/>
        <v>Normal</v>
      </c>
      <c r="X3809">
        <v>1</v>
      </c>
    </row>
    <row r="3810" spans="1:24" ht="14.5" thickBot="1" x14ac:dyDescent="0.35">
      <c r="A3810">
        <v>0</v>
      </c>
      <c r="B3810" t="str">
        <f t="shared" si="357"/>
        <v>Female</v>
      </c>
      <c r="C3810" s="8">
        <v>62</v>
      </c>
      <c r="D3810" t="str">
        <f t="shared" si="358"/>
        <v>Senior</v>
      </c>
      <c r="E3810">
        <v>2</v>
      </c>
      <c r="F3810" t="str">
        <f>HLOOKUP(E3810, LookUP_Table!$A$6:$D$7, 2, FALSE)</f>
        <v>Secondary</v>
      </c>
      <c r="G3810" t="str">
        <f>IFERROR(VLOOKUP(E3810, LookUP_Table!$A$1:$B$4, 2, FALSE), "")</f>
        <v>Secondary</v>
      </c>
      <c r="H3810">
        <v>0</v>
      </c>
      <c r="I3810">
        <v>0</v>
      </c>
      <c r="J3810" t="str">
        <f t="shared" si="354"/>
        <v>Non-Smoker</v>
      </c>
      <c r="K3810">
        <v>0</v>
      </c>
      <c r="L3810">
        <v>0</v>
      </c>
      <c r="M3810">
        <v>1</v>
      </c>
      <c r="N3810">
        <v>0</v>
      </c>
      <c r="O3810">
        <v>344</v>
      </c>
      <c r="P3810" t="str">
        <f t="shared" si="355"/>
        <v>High</v>
      </c>
      <c r="Q3810">
        <v>154</v>
      </c>
      <c r="R3810">
        <v>110</v>
      </c>
      <c r="S3810">
        <v>35.11</v>
      </c>
      <c r="T3810" t="str">
        <f t="shared" si="356"/>
        <v>Obese</v>
      </c>
      <c r="U3810">
        <v>85</v>
      </c>
      <c r="V3810">
        <v>76</v>
      </c>
      <c r="W3810" t="str">
        <f t="shared" si="359"/>
        <v>Normal</v>
      </c>
      <c r="X3810">
        <v>0</v>
      </c>
    </row>
    <row r="3811" spans="1:24" ht="14.5" thickBot="1" x14ac:dyDescent="0.35">
      <c r="A3811">
        <v>1</v>
      </c>
      <c r="B3811" t="str">
        <f t="shared" si="357"/>
        <v>Male</v>
      </c>
      <c r="C3811" s="8">
        <v>62</v>
      </c>
      <c r="D3811" t="str">
        <f t="shared" si="358"/>
        <v>Senior</v>
      </c>
      <c r="E3811">
        <v>1</v>
      </c>
      <c r="F3811" t="str">
        <f>HLOOKUP(E3811, LookUP_Table!$A$6:$D$7, 2, FALSE)</f>
        <v>Primary</v>
      </c>
      <c r="G3811" t="str">
        <f>IFERROR(VLOOKUP(E3811, LookUP_Table!$A$1:$B$4, 2, FALSE), "")</f>
        <v>Primary</v>
      </c>
      <c r="H3811">
        <v>0</v>
      </c>
      <c r="I3811">
        <v>0</v>
      </c>
      <c r="J3811" t="str">
        <f t="shared" si="354"/>
        <v>Non-Smoker</v>
      </c>
      <c r="K3811">
        <v>0</v>
      </c>
      <c r="L3811">
        <v>0</v>
      </c>
      <c r="M3811">
        <v>0</v>
      </c>
      <c r="N3811">
        <v>0</v>
      </c>
      <c r="O3811">
        <v>232</v>
      </c>
      <c r="P3811" t="str">
        <f t="shared" si="355"/>
        <v>Normal</v>
      </c>
      <c r="Q3811">
        <v>120</v>
      </c>
      <c r="R3811">
        <v>67.5</v>
      </c>
      <c r="S3811">
        <v>23.24</v>
      </c>
      <c r="T3811" t="str">
        <f t="shared" si="356"/>
        <v>Normal</v>
      </c>
      <c r="U3811">
        <v>60</v>
      </c>
      <c r="V3811">
        <v>62</v>
      </c>
      <c r="W3811" t="str">
        <f t="shared" si="359"/>
        <v>Normal</v>
      </c>
      <c r="X3811">
        <v>0</v>
      </c>
    </row>
    <row r="3812" spans="1:24" ht="14.5" thickBot="1" x14ac:dyDescent="0.35">
      <c r="A3812">
        <v>0</v>
      </c>
      <c r="B3812" t="str">
        <f t="shared" si="357"/>
        <v>Female</v>
      </c>
      <c r="C3812" s="8">
        <v>62</v>
      </c>
      <c r="D3812" t="str">
        <f t="shared" si="358"/>
        <v>Senior</v>
      </c>
      <c r="E3812">
        <v>4</v>
      </c>
      <c r="F3812" t="str">
        <f>HLOOKUP(E3812, LookUP_Table!$A$6:$D$7, 2, FALSE)</f>
        <v>Post Graduate</v>
      </c>
      <c r="G3812" t="str">
        <f>IFERROR(VLOOKUP(E3812, LookUP_Table!$A$1:$B$4, 2, FALSE), "")</f>
        <v>Post Graduate</v>
      </c>
      <c r="H3812">
        <v>1</v>
      </c>
      <c r="I3812">
        <v>3</v>
      </c>
      <c r="J3812" t="str">
        <f t="shared" si="354"/>
        <v>Smoker</v>
      </c>
      <c r="K3812">
        <v>0</v>
      </c>
      <c r="L3812">
        <v>0</v>
      </c>
      <c r="M3812">
        <v>1</v>
      </c>
      <c r="N3812">
        <v>0</v>
      </c>
      <c r="O3812">
        <v>298</v>
      </c>
      <c r="P3812" t="str">
        <f t="shared" si="355"/>
        <v>High</v>
      </c>
      <c r="Q3812">
        <v>137</v>
      </c>
      <c r="R3812">
        <v>85</v>
      </c>
      <c r="S3812">
        <v>26.73</v>
      </c>
      <c r="T3812" t="str">
        <f t="shared" si="356"/>
        <v>Overweight</v>
      </c>
      <c r="U3812">
        <v>76</v>
      </c>
      <c r="V3812">
        <v>87</v>
      </c>
      <c r="W3812" t="str">
        <f t="shared" si="359"/>
        <v>Normal</v>
      </c>
      <c r="X3812">
        <v>0</v>
      </c>
    </row>
    <row r="3813" spans="1:24" ht="14.5" thickBot="1" x14ac:dyDescent="0.35">
      <c r="A3813">
        <v>1</v>
      </c>
      <c r="B3813" t="str">
        <f t="shared" si="357"/>
        <v>Male</v>
      </c>
      <c r="C3813" s="8">
        <v>62</v>
      </c>
      <c r="D3813" t="str">
        <f t="shared" si="358"/>
        <v>Senior</v>
      </c>
      <c r="E3813">
        <v>3</v>
      </c>
      <c r="F3813" t="str">
        <f>HLOOKUP(E3813, LookUP_Table!$A$6:$D$7, 2, FALSE)</f>
        <v>Graduate</v>
      </c>
      <c r="G3813" t="str">
        <f>IFERROR(VLOOKUP(E3813, LookUP_Table!$A$1:$B$4, 2, FALSE), "")</f>
        <v>Graduate</v>
      </c>
      <c r="H3813">
        <v>1</v>
      </c>
      <c r="I3813">
        <v>20</v>
      </c>
      <c r="J3813" t="str">
        <f t="shared" si="354"/>
        <v>Smoker</v>
      </c>
      <c r="K3813">
        <v>0</v>
      </c>
      <c r="L3813">
        <v>0</v>
      </c>
      <c r="M3813">
        <v>0</v>
      </c>
      <c r="N3813">
        <v>0</v>
      </c>
      <c r="O3813">
        <v>300</v>
      </c>
      <c r="P3813" t="str">
        <f t="shared" si="355"/>
        <v>High</v>
      </c>
      <c r="Q3813">
        <v>108</v>
      </c>
      <c r="R3813">
        <v>73</v>
      </c>
      <c r="S3813">
        <v>20.87</v>
      </c>
      <c r="T3813" t="str">
        <f t="shared" si="356"/>
        <v>Normal</v>
      </c>
      <c r="U3813">
        <v>60</v>
      </c>
      <c r="V3813">
        <v>80</v>
      </c>
      <c r="W3813" t="str">
        <f t="shared" si="359"/>
        <v>Normal</v>
      </c>
      <c r="X3813">
        <v>0</v>
      </c>
    </row>
    <row r="3814" spans="1:24" ht="14.5" thickBot="1" x14ac:dyDescent="0.35">
      <c r="A3814">
        <v>1</v>
      </c>
      <c r="B3814" t="str">
        <f t="shared" si="357"/>
        <v>Male</v>
      </c>
      <c r="C3814" s="8">
        <v>62</v>
      </c>
      <c r="D3814" t="str">
        <f t="shared" si="358"/>
        <v>Senior</v>
      </c>
      <c r="E3814">
        <v>3</v>
      </c>
      <c r="F3814" t="str">
        <f>HLOOKUP(E3814, LookUP_Table!$A$6:$D$7, 2, FALSE)</f>
        <v>Graduate</v>
      </c>
      <c r="G3814" t="str">
        <f>IFERROR(VLOOKUP(E3814, LookUP_Table!$A$1:$B$4, 2, FALSE), "")</f>
        <v>Graduate</v>
      </c>
      <c r="H3814">
        <v>0</v>
      </c>
      <c r="I3814">
        <v>0</v>
      </c>
      <c r="J3814" t="str">
        <f t="shared" si="354"/>
        <v>Non-Smoker</v>
      </c>
      <c r="K3814">
        <v>0</v>
      </c>
      <c r="L3814">
        <v>0</v>
      </c>
      <c r="M3814">
        <v>0</v>
      </c>
      <c r="N3814">
        <v>0</v>
      </c>
      <c r="O3814">
        <v>202</v>
      </c>
      <c r="P3814" t="str">
        <f t="shared" si="355"/>
        <v>Normal</v>
      </c>
      <c r="Q3814">
        <v>111</v>
      </c>
      <c r="R3814">
        <v>79.5</v>
      </c>
      <c r="S3814">
        <v>27.91</v>
      </c>
      <c r="T3814" t="str">
        <f t="shared" si="356"/>
        <v>Overweight</v>
      </c>
      <c r="U3814">
        <v>80</v>
      </c>
      <c r="V3814">
        <v>100</v>
      </c>
      <c r="W3814" t="str">
        <f t="shared" si="359"/>
        <v>Prediabetes</v>
      </c>
      <c r="X3814">
        <v>0</v>
      </c>
    </row>
    <row r="3815" spans="1:24" ht="14.5" thickBot="1" x14ac:dyDescent="0.35">
      <c r="A3815">
        <v>0</v>
      </c>
      <c r="B3815" t="str">
        <f t="shared" si="357"/>
        <v>Female</v>
      </c>
      <c r="C3815" s="8">
        <v>62</v>
      </c>
      <c r="D3815" t="str">
        <f t="shared" si="358"/>
        <v>Senior</v>
      </c>
      <c r="E3815">
        <v>1</v>
      </c>
      <c r="F3815" t="str">
        <f>HLOOKUP(E3815, LookUP_Table!$A$6:$D$7, 2, FALSE)</f>
        <v>Primary</v>
      </c>
      <c r="G3815" t="str">
        <f>IFERROR(VLOOKUP(E3815, LookUP_Table!$A$1:$B$4, 2, FALSE), "")</f>
        <v>Primary</v>
      </c>
      <c r="H3815">
        <v>0</v>
      </c>
      <c r="I3815">
        <v>0</v>
      </c>
      <c r="J3815" t="str">
        <f t="shared" si="354"/>
        <v>Non-Smoker</v>
      </c>
      <c r="K3815">
        <v>0</v>
      </c>
      <c r="L3815">
        <v>0</v>
      </c>
      <c r="M3815">
        <v>1</v>
      </c>
      <c r="N3815">
        <v>0</v>
      </c>
      <c r="O3815">
        <v>262</v>
      </c>
      <c r="P3815" t="str">
        <f t="shared" si="355"/>
        <v>High</v>
      </c>
      <c r="Q3815">
        <v>175</v>
      </c>
      <c r="R3815">
        <v>85</v>
      </c>
      <c r="S3815">
        <v>30.91</v>
      </c>
      <c r="T3815" t="str">
        <f t="shared" si="356"/>
        <v>Obese</v>
      </c>
      <c r="U3815">
        <v>68</v>
      </c>
      <c r="V3815">
        <v>72</v>
      </c>
      <c r="W3815" t="str">
        <f t="shared" si="359"/>
        <v>Normal</v>
      </c>
      <c r="X3815">
        <v>0</v>
      </c>
    </row>
    <row r="3816" spans="1:24" ht="14.5" thickBot="1" x14ac:dyDescent="0.35">
      <c r="A3816">
        <v>0</v>
      </c>
      <c r="B3816" t="str">
        <f t="shared" si="357"/>
        <v>Female</v>
      </c>
      <c r="C3816" s="8">
        <v>62</v>
      </c>
      <c r="D3816" t="str">
        <f t="shared" si="358"/>
        <v>Senior</v>
      </c>
      <c r="E3816">
        <v>1</v>
      </c>
      <c r="F3816" t="str">
        <f>HLOOKUP(E3816, LookUP_Table!$A$6:$D$7, 2, FALSE)</f>
        <v>Primary</v>
      </c>
      <c r="G3816" t="str">
        <f>IFERROR(VLOOKUP(E3816, LookUP_Table!$A$1:$B$4, 2, FALSE), "")</f>
        <v>Primary</v>
      </c>
      <c r="H3816">
        <v>0</v>
      </c>
      <c r="I3816">
        <v>0</v>
      </c>
      <c r="J3816" t="str">
        <f t="shared" si="354"/>
        <v>Non-Smoker</v>
      </c>
      <c r="K3816">
        <v>0</v>
      </c>
      <c r="L3816">
        <v>0</v>
      </c>
      <c r="M3816">
        <v>1</v>
      </c>
      <c r="N3816">
        <v>0</v>
      </c>
      <c r="O3816">
        <v>273</v>
      </c>
      <c r="P3816" t="str">
        <f t="shared" si="355"/>
        <v>High</v>
      </c>
      <c r="Q3816">
        <v>150.5</v>
      </c>
      <c r="R3816">
        <v>97</v>
      </c>
      <c r="S3816">
        <v>22.01</v>
      </c>
      <c r="T3816" t="str">
        <f t="shared" si="356"/>
        <v>Normal</v>
      </c>
      <c r="U3816">
        <v>76</v>
      </c>
      <c r="V3816">
        <v>74</v>
      </c>
      <c r="W3816" t="str">
        <f t="shared" si="359"/>
        <v>Normal</v>
      </c>
      <c r="X3816">
        <v>0</v>
      </c>
    </row>
    <row r="3817" spans="1:24" ht="14.5" thickBot="1" x14ac:dyDescent="0.35">
      <c r="A3817">
        <v>0</v>
      </c>
      <c r="B3817" t="str">
        <f t="shared" si="357"/>
        <v>Female</v>
      </c>
      <c r="C3817" s="8">
        <v>62</v>
      </c>
      <c r="D3817" t="str">
        <f t="shared" si="358"/>
        <v>Senior</v>
      </c>
      <c r="E3817">
        <v>1</v>
      </c>
      <c r="F3817" t="str">
        <f>HLOOKUP(E3817, LookUP_Table!$A$6:$D$7, 2, FALSE)</f>
        <v>Primary</v>
      </c>
      <c r="G3817" t="str">
        <f>IFERROR(VLOOKUP(E3817, LookUP_Table!$A$1:$B$4, 2, FALSE), "")</f>
        <v>Primary</v>
      </c>
      <c r="H3817">
        <v>0</v>
      </c>
      <c r="I3817">
        <v>0</v>
      </c>
      <c r="J3817" t="str">
        <f t="shared" si="354"/>
        <v>Non-Smoker</v>
      </c>
      <c r="K3817">
        <v>0</v>
      </c>
      <c r="L3817">
        <v>0</v>
      </c>
      <c r="M3817">
        <v>1</v>
      </c>
      <c r="N3817">
        <v>1</v>
      </c>
      <c r="O3817">
        <v>390</v>
      </c>
      <c r="P3817" t="str">
        <f t="shared" si="355"/>
        <v>High</v>
      </c>
      <c r="Q3817">
        <v>184.5</v>
      </c>
      <c r="R3817">
        <v>83</v>
      </c>
      <c r="S3817">
        <v>18.989999999999998</v>
      </c>
      <c r="T3817" t="str">
        <f t="shared" si="356"/>
        <v>Normal</v>
      </c>
      <c r="U3817">
        <v>87</v>
      </c>
      <c r="V3817">
        <v>47</v>
      </c>
      <c r="W3817" t="str">
        <f t="shared" si="359"/>
        <v>Normal</v>
      </c>
      <c r="X3817">
        <v>0</v>
      </c>
    </row>
    <row r="3818" spans="1:24" ht="14.5" thickBot="1" x14ac:dyDescent="0.35">
      <c r="A3818">
        <v>1</v>
      </c>
      <c r="B3818" t="str">
        <f t="shared" si="357"/>
        <v>Male</v>
      </c>
      <c r="C3818" s="8">
        <v>62</v>
      </c>
      <c r="D3818" t="str">
        <f t="shared" si="358"/>
        <v>Senior</v>
      </c>
      <c r="E3818">
        <v>3</v>
      </c>
      <c r="F3818" t="str">
        <f>HLOOKUP(E3818, LookUP_Table!$A$6:$D$7, 2, FALSE)</f>
        <v>Graduate</v>
      </c>
      <c r="G3818" t="str">
        <f>IFERROR(VLOOKUP(E3818, LookUP_Table!$A$1:$B$4, 2, FALSE), "")</f>
        <v>Graduate</v>
      </c>
      <c r="H3818">
        <v>1</v>
      </c>
      <c r="I3818">
        <v>20</v>
      </c>
      <c r="J3818" t="str">
        <f t="shared" si="354"/>
        <v>Smoker</v>
      </c>
      <c r="K3818">
        <v>0</v>
      </c>
      <c r="L3818">
        <v>0</v>
      </c>
      <c r="M3818">
        <v>0</v>
      </c>
      <c r="N3818">
        <v>0</v>
      </c>
      <c r="O3818">
        <v>245</v>
      </c>
      <c r="P3818" t="str">
        <f t="shared" si="355"/>
        <v>High</v>
      </c>
      <c r="Q3818">
        <v>127</v>
      </c>
      <c r="R3818">
        <v>79</v>
      </c>
      <c r="S3818">
        <v>23.5</v>
      </c>
      <c r="T3818" t="str">
        <f t="shared" si="356"/>
        <v>Normal</v>
      </c>
      <c r="U3818">
        <v>72</v>
      </c>
      <c r="V3818">
        <v>73</v>
      </c>
      <c r="W3818" t="str">
        <f t="shared" si="359"/>
        <v>Normal</v>
      </c>
      <c r="X3818">
        <v>0</v>
      </c>
    </row>
    <row r="3819" spans="1:24" ht="14.5" thickBot="1" x14ac:dyDescent="0.35">
      <c r="A3819">
        <v>0</v>
      </c>
      <c r="B3819" t="str">
        <f t="shared" si="357"/>
        <v>Female</v>
      </c>
      <c r="C3819" s="8">
        <v>62</v>
      </c>
      <c r="D3819" t="str">
        <f t="shared" si="358"/>
        <v>Senior</v>
      </c>
      <c r="E3819">
        <v>1</v>
      </c>
      <c r="F3819" t="str">
        <f>HLOOKUP(E3819, LookUP_Table!$A$6:$D$7, 2, FALSE)</f>
        <v>Primary</v>
      </c>
      <c r="G3819" t="str">
        <f>IFERROR(VLOOKUP(E3819, LookUP_Table!$A$1:$B$4, 2, FALSE), "")</f>
        <v>Primary</v>
      </c>
      <c r="H3819">
        <v>0</v>
      </c>
      <c r="I3819">
        <v>0</v>
      </c>
      <c r="J3819" t="str">
        <f t="shared" si="354"/>
        <v>Non-Smoker</v>
      </c>
      <c r="K3819">
        <v>0</v>
      </c>
      <c r="L3819">
        <v>0</v>
      </c>
      <c r="M3819">
        <v>1</v>
      </c>
      <c r="N3819">
        <v>0</v>
      </c>
      <c r="O3819">
        <v>308</v>
      </c>
      <c r="P3819" t="str">
        <f t="shared" si="355"/>
        <v>High</v>
      </c>
      <c r="Q3819">
        <v>152</v>
      </c>
      <c r="R3819">
        <v>98</v>
      </c>
      <c r="S3819">
        <v>35.42</v>
      </c>
      <c r="T3819" t="str">
        <f t="shared" si="356"/>
        <v>Obese</v>
      </c>
      <c r="U3819">
        <v>75</v>
      </c>
      <c r="V3819">
        <v>76</v>
      </c>
      <c r="W3819" t="str">
        <f t="shared" si="359"/>
        <v>Normal</v>
      </c>
      <c r="X3819">
        <v>0</v>
      </c>
    </row>
    <row r="3820" spans="1:24" ht="14.5" thickBot="1" x14ac:dyDescent="0.35">
      <c r="A3820">
        <v>1</v>
      </c>
      <c r="B3820" t="str">
        <f t="shared" si="357"/>
        <v>Male</v>
      </c>
      <c r="C3820" s="8">
        <v>62</v>
      </c>
      <c r="D3820" t="str">
        <f t="shared" si="358"/>
        <v>Senior</v>
      </c>
      <c r="E3820">
        <v>1</v>
      </c>
      <c r="F3820" t="str">
        <f>HLOOKUP(E3820, LookUP_Table!$A$6:$D$7, 2, FALSE)</f>
        <v>Primary</v>
      </c>
      <c r="G3820" t="str">
        <f>IFERROR(VLOOKUP(E3820, LookUP_Table!$A$1:$B$4, 2, FALSE), "")</f>
        <v>Primary</v>
      </c>
      <c r="H3820">
        <v>1</v>
      </c>
      <c r="I3820">
        <v>43</v>
      </c>
      <c r="J3820" t="str">
        <f t="shared" si="354"/>
        <v>Smoker</v>
      </c>
      <c r="K3820">
        <v>0</v>
      </c>
      <c r="L3820">
        <v>0</v>
      </c>
      <c r="M3820">
        <v>0</v>
      </c>
      <c r="N3820">
        <v>0</v>
      </c>
      <c r="O3820">
        <v>217</v>
      </c>
      <c r="P3820" t="str">
        <f t="shared" si="355"/>
        <v>Normal</v>
      </c>
      <c r="Q3820">
        <v>107.5</v>
      </c>
      <c r="R3820">
        <v>75</v>
      </c>
      <c r="S3820">
        <v>26.21</v>
      </c>
      <c r="T3820" t="str">
        <f t="shared" si="356"/>
        <v>Overweight</v>
      </c>
      <c r="U3820">
        <v>80</v>
      </c>
      <c r="V3820">
        <v>66</v>
      </c>
      <c r="W3820" t="str">
        <f t="shared" si="359"/>
        <v>Normal</v>
      </c>
      <c r="X3820">
        <v>1</v>
      </c>
    </row>
    <row r="3821" spans="1:24" ht="14.5" thickBot="1" x14ac:dyDescent="0.35">
      <c r="A3821">
        <v>0</v>
      </c>
      <c r="B3821" t="str">
        <f t="shared" si="357"/>
        <v>Female</v>
      </c>
      <c r="C3821" s="8">
        <v>62</v>
      </c>
      <c r="D3821" t="str">
        <f t="shared" si="358"/>
        <v>Senior</v>
      </c>
      <c r="E3821">
        <v>4</v>
      </c>
      <c r="F3821" t="str">
        <f>HLOOKUP(E3821, LookUP_Table!$A$6:$D$7, 2, FALSE)</f>
        <v>Post Graduate</v>
      </c>
      <c r="G3821" t="str">
        <f>IFERROR(VLOOKUP(E3821, LookUP_Table!$A$1:$B$4, 2, FALSE), "")</f>
        <v>Post Graduate</v>
      </c>
      <c r="H3821">
        <v>1</v>
      </c>
      <c r="I3821">
        <v>5</v>
      </c>
      <c r="J3821" t="str">
        <f t="shared" si="354"/>
        <v>Smoker</v>
      </c>
      <c r="K3821">
        <v>0</v>
      </c>
      <c r="L3821">
        <v>0</v>
      </c>
      <c r="M3821">
        <v>1</v>
      </c>
      <c r="N3821">
        <v>0</v>
      </c>
      <c r="O3821">
        <v>254</v>
      </c>
      <c r="P3821" t="str">
        <f t="shared" si="355"/>
        <v>High</v>
      </c>
      <c r="Q3821">
        <v>167.5</v>
      </c>
      <c r="R3821">
        <v>102.5</v>
      </c>
      <c r="S3821">
        <v>27.15</v>
      </c>
      <c r="T3821" t="str">
        <f t="shared" si="356"/>
        <v>Overweight</v>
      </c>
      <c r="U3821">
        <v>75</v>
      </c>
      <c r="V3821">
        <v>83</v>
      </c>
      <c r="W3821" t="str">
        <f t="shared" si="359"/>
        <v>Normal</v>
      </c>
      <c r="X3821">
        <v>0</v>
      </c>
    </row>
    <row r="3822" spans="1:24" ht="14.5" thickBot="1" x14ac:dyDescent="0.35">
      <c r="A3822">
        <v>1</v>
      </c>
      <c r="B3822" t="str">
        <f t="shared" si="357"/>
        <v>Male</v>
      </c>
      <c r="C3822" s="8">
        <v>62</v>
      </c>
      <c r="D3822" t="str">
        <f t="shared" si="358"/>
        <v>Senior</v>
      </c>
      <c r="E3822">
        <v>2</v>
      </c>
      <c r="F3822" t="str">
        <f>HLOOKUP(E3822, LookUP_Table!$A$6:$D$7, 2, FALSE)</f>
        <v>Secondary</v>
      </c>
      <c r="G3822" t="str">
        <f>IFERROR(VLOOKUP(E3822, LookUP_Table!$A$1:$B$4, 2, FALSE), "")</f>
        <v>Secondary</v>
      </c>
      <c r="H3822">
        <v>0</v>
      </c>
      <c r="I3822">
        <v>0</v>
      </c>
      <c r="J3822" t="str">
        <f t="shared" si="354"/>
        <v>Non-Smoker</v>
      </c>
      <c r="K3822">
        <v>0</v>
      </c>
      <c r="L3822">
        <v>0</v>
      </c>
      <c r="M3822">
        <v>0</v>
      </c>
      <c r="N3822">
        <v>0</v>
      </c>
      <c r="O3822">
        <v>202</v>
      </c>
      <c r="P3822" t="str">
        <f t="shared" si="355"/>
        <v>Normal</v>
      </c>
      <c r="Q3822">
        <v>149.5</v>
      </c>
      <c r="R3822">
        <v>85</v>
      </c>
      <c r="S3822">
        <v>25.42</v>
      </c>
      <c r="T3822" t="str">
        <f t="shared" si="356"/>
        <v>Overweight</v>
      </c>
      <c r="U3822">
        <v>65</v>
      </c>
      <c r="V3822">
        <v>80</v>
      </c>
      <c r="W3822" t="str">
        <f t="shared" si="359"/>
        <v>Normal</v>
      </c>
      <c r="X3822">
        <v>0</v>
      </c>
    </row>
    <row r="3823" spans="1:24" ht="14.5" thickBot="1" x14ac:dyDescent="0.35">
      <c r="A3823">
        <v>0</v>
      </c>
      <c r="B3823" t="str">
        <f t="shared" si="357"/>
        <v>Female</v>
      </c>
      <c r="C3823" s="8">
        <v>62</v>
      </c>
      <c r="D3823" t="str">
        <f t="shared" si="358"/>
        <v>Senior</v>
      </c>
      <c r="E3823">
        <v>1</v>
      </c>
      <c r="F3823" t="str">
        <f>HLOOKUP(E3823, LookUP_Table!$A$6:$D$7, 2, FALSE)</f>
        <v>Primary</v>
      </c>
      <c r="G3823" t="str">
        <f>IFERROR(VLOOKUP(E3823, LookUP_Table!$A$1:$B$4, 2, FALSE), "")</f>
        <v>Primary</v>
      </c>
      <c r="H3823">
        <v>0</v>
      </c>
      <c r="I3823">
        <v>0</v>
      </c>
      <c r="J3823" t="str">
        <f t="shared" si="354"/>
        <v>Non-Smoker</v>
      </c>
      <c r="K3823">
        <v>0</v>
      </c>
      <c r="L3823">
        <v>0</v>
      </c>
      <c r="M3823">
        <v>1</v>
      </c>
      <c r="N3823">
        <v>0</v>
      </c>
      <c r="O3823">
        <v>242</v>
      </c>
      <c r="P3823" t="str">
        <f t="shared" si="355"/>
        <v>High</v>
      </c>
      <c r="Q3823">
        <v>130</v>
      </c>
      <c r="R3823">
        <v>91</v>
      </c>
      <c r="S3823">
        <v>31.12</v>
      </c>
      <c r="T3823" t="str">
        <f t="shared" si="356"/>
        <v>Obese</v>
      </c>
      <c r="U3823">
        <v>80</v>
      </c>
      <c r="V3823">
        <v>81.96365524402907</v>
      </c>
      <c r="W3823" t="str">
        <f t="shared" si="359"/>
        <v>Normal</v>
      </c>
      <c r="X3823">
        <v>0</v>
      </c>
    </row>
    <row r="3824" spans="1:24" ht="14.5" thickBot="1" x14ac:dyDescent="0.35">
      <c r="A3824">
        <v>0</v>
      </c>
      <c r="B3824" t="str">
        <f t="shared" si="357"/>
        <v>Female</v>
      </c>
      <c r="C3824" s="8">
        <v>62</v>
      </c>
      <c r="D3824" t="str">
        <f t="shared" si="358"/>
        <v>Senior</v>
      </c>
      <c r="E3824">
        <v>1</v>
      </c>
      <c r="F3824" t="str">
        <f>HLOOKUP(E3824, LookUP_Table!$A$6:$D$7, 2, FALSE)</f>
        <v>Primary</v>
      </c>
      <c r="G3824" t="str">
        <f>IFERROR(VLOOKUP(E3824, LookUP_Table!$A$1:$B$4, 2, FALSE), "")</f>
        <v>Primary</v>
      </c>
      <c r="H3824">
        <v>0</v>
      </c>
      <c r="I3824">
        <v>0</v>
      </c>
      <c r="J3824" t="str">
        <f t="shared" si="354"/>
        <v>Non-Smoker</v>
      </c>
      <c r="K3824">
        <v>0</v>
      </c>
      <c r="L3824">
        <v>0</v>
      </c>
      <c r="M3824">
        <v>0</v>
      </c>
      <c r="N3824">
        <v>0</v>
      </c>
      <c r="O3824">
        <v>205</v>
      </c>
      <c r="P3824" t="str">
        <f t="shared" si="355"/>
        <v>Normal</v>
      </c>
      <c r="Q3824">
        <v>118</v>
      </c>
      <c r="R3824">
        <v>79.5</v>
      </c>
      <c r="S3824">
        <v>30.21</v>
      </c>
      <c r="T3824" t="str">
        <f t="shared" si="356"/>
        <v>Obese</v>
      </c>
      <c r="U3824">
        <v>82</v>
      </c>
      <c r="V3824">
        <v>75</v>
      </c>
      <c r="W3824" t="str">
        <f t="shared" si="359"/>
        <v>Normal</v>
      </c>
      <c r="X3824">
        <v>0</v>
      </c>
    </row>
    <row r="3825" spans="1:24" ht="14.5" thickBot="1" x14ac:dyDescent="0.35">
      <c r="A3825">
        <v>0</v>
      </c>
      <c r="B3825" t="str">
        <f t="shared" si="357"/>
        <v>Female</v>
      </c>
      <c r="C3825" s="8">
        <v>62</v>
      </c>
      <c r="D3825" t="str">
        <f t="shared" si="358"/>
        <v>Senior</v>
      </c>
      <c r="E3825">
        <v>3</v>
      </c>
      <c r="F3825" t="str">
        <f>HLOOKUP(E3825, LookUP_Table!$A$6:$D$7, 2, FALSE)</f>
        <v>Graduate</v>
      </c>
      <c r="G3825" t="str">
        <f>IFERROR(VLOOKUP(E3825, LookUP_Table!$A$1:$B$4, 2, FALSE), "")</f>
        <v>Graduate</v>
      </c>
      <c r="H3825">
        <v>0</v>
      </c>
      <c r="I3825">
        <v>0</v>
      </c>
      <c r="J3825" t="str">
        <f t="shared" si="354"/>
        <v>Non-Smoker</v>
      </c>
      <c r="K3825">
        <v>0</v>
      </c>
      <c r="L3825">
        <v>0</v>
      </c>
      <c r="M3825">
        <v>1</v>
      </c>
      <c r="N3825">
        <v>0</v>
      </c>
      <c r="O3825">
        <v>294</v>
      </c>
      <c r="P3825" t="str">
        <f t="shared" si="355"/>
        <v>High</v>
      </c>
      <c r="Q3825">
        <v>139</v>
      </c>
      <c r="R3825">
        <v>78</v>
      </c>
      <c r="S3825">
        <v>21.11</v>
      </c>
      <c r="T3825" t="str">
        <f t="shared" si="356"/>
        <v>Normal</v>
      </c>
      <c r="U3825">
        <v>85</v>
      </c>
      <c r="V3825">
        <v>79</v>
      </c>
      <c r="W3825" t="str">
        <f t="shared" si="359"/>
        <v>Normal</v>
      </c>
      <c r="X3825">
        <v>0</v>
      </c>
    </row>
    <row r="3826" spans="1:24" ht="14.5" thickBot="1" x14ac:dyDescent="0.35">
      <c r="A3826">
        <v>1</v>
      </c>
      <c r="B3826" t="str">
        <f t="shared" si="357"/>
        <v>Male</v>
      </c>
      <c r="C3826" s="8">
        <v>62</v>
      </c>
      <c r="D3826" t="str">
        <f t="shared" si="358"/>
        <v>Senior</v>
      </c>
      <c r="E3826">
        <v>1</v>
      </c>
      <c r="F3826" t="str">
        <f>HLOOKUP(E3826, LookUP_Table!$A$6:$D$7, 2, FALSE)</f>
        <v>Primary</v>
      </c>
      <c r="G3826" t="str">
        <f>IFERROR(VLOOKUP(E3826, LookUP_Table!$A$1:$B$4, 2, FALSE), "")</f>
        <v>Primary</v>
      </c>
      <c r="H3826">
        <v>1</v>
      </c>
      <c r="I3826">
        <v>20</v>
      </c>
      <c r="J3826" t="str">
        <f t="shared" si="354"/>
        <v>Smoker</v>
      </c>
      <c r="K3826">
        <v>0</v>
      </c>
      <c r="L3826">
        <v>0</v>
      </c>
      <c r="M3826">
        <v>0</v>
      </c>
      <c r="N3826">
        <v>0</v>
      </c>
      <c r="O3826">
        <v>295</v>
      </c>
      <c r="P3826" t="str">
        <f t="shared" si="355"/>
        <v>High</v>
      </c>
      <c r="Q3826">
        <v>139</v>
      </c>
      <c r="R3826">
        <v>80</v>
      </c>
      <c r="S3826">
        <v>21.28</v>
      </c>
      <c r="T3826" t="str">
        <f t="shared" si="356"/>
        <v>Normal</v>
      </c>
      <c r="U3826">
        <v>63</v>
      </c>
      <c r="V3826">
        <v>97</v>
      </c>
      <c r="W3826" t="str">
        <f t="shared" si="359"/>
        <v>Normal</v>
      </c>
      <c r="X3826">
        <v>0</v>
      </c>
    </row>
    <row r="3827" spans="1:24" ht="14.5" thickBot="1" x14ac:dyDescent="0.35">
      <c r="A3827">
        <v>1</v>
      </c>
      <c r="B3827" t="str">
        <f t="shared" si="357"/>
        <v>Male</v>
      </c>
      <c r="C3827" s="8">
        <v>62</v>
      </c>
      <c r="D3827" t="str">
        <f t="shared" si="358"/>
        <v>Senior</v>
      </c>
      <c r="E3827">
        <v>2</v>
      </c>
      <c r="F3827" t="str">
        <f>HLOOKUP(E3827, LookUP_Table!$A$6:$D$7, 2, FALSE)</f>
        <v>Secondary</v>
      </c>
      <c r="G3827" t="str">
        <f>IFERROR(VLOOKUP(E3827, LookUP_Table!$A$1:$B$4, 2, FALSE), "")</f>
        <v>Secondary</v>
      </c>
      <c r="H3827">
        <v>0</v>
      </c>
      <c r="I3827">
        <v>0</v>
      </c>
      <c r="J3827" t="str">
        <f t="shared" si="354"/>
        <v>Non-Smoker</v>
      </c>
      <c r="K3827">
        <v>0</v>
      </c>
      <c r="L3827">
        <v>0</v>
      </c>
      <c r="M3827">
        <v>0</v>
      </c>
      <c r="N3827">
        <v>0</v>
      </c>
      <c r="O3827">
        <v>193</v>
      </c>
      <c r="P3827" t="str">
        <f t="shared" si="355"/>
        <v>Normal</v>
      </c>
      <c r="Q3827">
        <v>132.5</v>
      </c>
      <c r="R3827">
        <v>80</v>
      </c>
      <c r="S3827">
        <v>27.2</v>
      </c>
      <c r="T3827" t="str">
        <f t="shared" si="356"/>
        <v>Overweight</v>
      </c>
      <c r="U3827">
        <v>70</v>
      </c>
      <c r="V3827">
        <v>78</v>
      </c>
      <c r="W3827" t="str">
        <f t="shared" si="359"/>
        <v>Normal</v>
      </c>
      <c r="X3827">
        <v>0</v>
      </c>
    </row>
    <row r="3828" spans="1:24" ht="14.5" thickBot="1" x14ac:dyDescent="0.35">
      <c r="A3828">
        <v>1</v>
      </c>
      <c r="B3828" t="str">
        <f t="shared" si="357"/>
        <v>Male</v>
      </c>
      <c r="C3828" s="8">
        <v>62</v>
      </c>
      <c r="D3828" t="str">
        <f t="shared" si="358"/>
        <v>Senior</v>
      </c>
      <c r="E3828">
        <v>1</v>
      </c>
      <c r="F3828" t="str">
        <f>HLOOKUP(E3828, LookUP_Table!$A$6:$D$7, 2, FALSE)</f>
        <v>Primary</v>
      </c>
      <c r="G3828" t="str">
        <f>IFERROR(VLOOKUP(E3828, LookUP_Table!$A$1:$B$4, 2, FALSE), "")</f>
        <v>Primary</v>
      </c>
      <c r="H3828">
        <v>1</v>
      </c>
      <c r="I3828">
        <v>10</v>
      </c>
      <c r="J3828" t="str">
        <f t="shared" si="354"/>
        <v>Smoker</v>
      </c>
      <c r="K3828">
        <v>0</v>
      </c>
      <c r="L3828">
        <v>0</v>
      </c>
      <c r="M3828">
        <v>0</v>
      </c>
      <c r="N3828">
        <v>0</v>
      </c>
      <c r="O3828">
        <v>271</v>
      </c>
      <c r="P3828" t="str">
        <f t="shared" si="355"/>
        <v>High</v>
      </c>
      <c r="Q3828">
        <v>125.5</v>
      </c>
      <c r="R3828">
        <v>72.5</v>
      </c>
      <c r="S3828">
        <v>31.11</v>
      </c>
      <c r="T3828" t="str">
        <f t="shared" si="356"/>
        <v>Obese</v>
      </c>
      <c r="U3828">
        <v>62</v>
      </c>
      <c r="V3828">
        <v>81.96365524402907</v>
      </c>
      <c r="W3828" t="str">
        <f t="shared" si="359"/>
        <v>Normal</v>
      </c>
      <c r="X3828">
        <v>0</v>
      </c>
    </row>
    <row r="3829" spans="1:24" ht="14.5" thickBot="1" x14ac:dyDescent="0.35">
      <c r="A3829">
        <v>0</v>
      </c>
      <c r="B3829" t="str">
        <f t="shared" si="357"/>
        <v>Female</v>
      </c>
      <c r="C3829" s="8">
        <v>62</v>
      </c>
      <c r="D3829" t="str">
        <f t="shared" si="358"/>
        <v>Senior</v>
      </c>
      <c r="E3829">
        <v>1</v>
      </c>
      <c r="F3829" t="str">
        <f>HLOOKUP(E3829, LookUP_Table!$A$6:$D$7, 2, FALSE)</f>
        <v>Primary</v>
      </c>
      <c r="G3829" t="str">
        <f>IFERROR(VLOOKUP(E3829, LookUP_Table!$A$1:$B$4, 2, FALSE), "")</f>
        <v>Primary</v>
      </c>
      <c r="H3829">
        <v>0</v>
      </c>
      <c r="I3829">
        <v>0</v>
      </c>
      <c r="J3829" t="str">
        <f t="shared" si="354"/>
        <v>Non-Smoker</v>
      </c>
      <c r="K3829">
        <v>0</v>
      </c>
      <c r="L3829">
        <v>0</v>
      </c>
      <c r="M3829">
        <v>0</v>
      </c>
      <c r="N3829">
        <v>1</v>
      </c>
      <c r="O3829">
        <v>233</v>
      </c>
      <c r="P3829" t="str">
        <f t="shared" si="355"/>
        <v>Normal</v>
      </c>
      <c r="Q3829">
        <v>130</v>
      </c>
      <c r="R3829">
        <v>87</v>
      </c>
      <c r="S3829">
        <v>21.34</v>
      </c>
      <c r="T3829" t="str">
        <f t="shared" si="356"/>
        <v>Normal</v>
      </c>
      <c r="U3829">
        <v>85</v>
      </c>
      <c r="V3829">
        <v>386</v>
      </c>
      <c r="W3829" t="str">
        <f t="shared" si="359"/>
        <v>Diabetes</v>
      </c>
      <c r="X3829">
        <v>0</v>
      </c>
    </row>
    <row r="3830" spans="1:24" ht="14.5" thickBot="1" x14ac:dyDescent="0.35">
      <c r="A3830">
        <v>1</v>
      </c>
      <c r="B3830" t="str">
        <f t="shared" si="357"/>
        <v>Male</v>
      </c>
      <c r="C3830" s="8">
        <v>62</v>
      </c>
      <c r="D3830" t="str">
        <f t="shared" si="358"/>
        <v>Senior</v>
      </c>
      <c r="E3830">
        <v>1</v>
      </c>
      <c r="F3830" t="str">
        <f>HLOOKUP(E3830, LookUP_Table!$A$6:$D$7, 2, FALSE)</f>
        <v>Primary</v>
      </c>
      <c r="G3830" t="str">
        <f>IFERROR(VLOOKUP(E3830, LookUP_Table!$A$1:$B$4, 2, FALSE), "")</f>
        <v>Primary</v>
      </c>
      <c r="H3830">
        <v>0</v>
      </c>
      <c r="I3830">
        <v>0</v>
      </c>
      <c r="J3830" t="str">
        <f t="shared" si="354"/>
        <v>Non-Smoker</v>
      </c>
      <c r="K3830">
        <v>1</v>
      </c>
      <c r="L3830">
        <v>0</v>
      </c>
      <c r="M3830">
        <v>1</v>
      </c>
      <c r="N3830">
        <v>0</v>
      </c>
      <c r="O3830">
        <v>208</v>
      </c>
      <c r="P3830" t="str">
        <f t="shared" si="355"/>
        <v>Normal</v>
      </c>
      <c r="Q3830">
        <v>140</v>
      </c>
      <c r="R3830">
        <v>97.5</v>
      </c>
      <c r="S3830">
        <v>27.27</v>
      </c>
      <c r="T3830" t="str">
        <f t="shared" si="356"/>
        <v>Overweight</v>
      </c>
      <c r="U3830">
        <v>70</v>
      </c>
      <c r="V3830">
        <v>121</v>
      </c>
      <c r="W3830" t="str">
        <f t="shared" si="359"/>
        <v>Prediabetes</v>
      </c>
      <c r="X3830">
        <v>0</v>
      </c>
    </row>
    <row r="3831" spans="1:24" ht="14.5" thickBot="1" x14ac:dyDescent="0.35">
      <c r="A3831">
        <v>1</v>
      </c>
      <c r="B3831" t="str">
        <f t="shared" si="357"/>
        <v>Male</v>
      </c>
      <c r="C3831" s="8">
        <v>62</v>
      </c>
      <c r="D3831" t="str">
        <f t="shared" si="358"/>
        <v>Senior</v>
      </c>
      <c r="E3831">
        <v>4</v>
      </c>
      <c r="F3831" t="str">
        <f>HLOOKUP(E3831, LookUP_Table!$A$6:$D$7, 2, FALSE)</f>
        <v>Post Graduate</v>
      </c>
      <c r="G3831" t="str">
        <f>IFERROR(VLOOKUP(E3831, LookUP_Table!$A$1:$B$4, 2, FALSE), "")</f>
        <v>Post Graduate</v>
      </c>
      <c r="H3831">
        <v>0</v>
      </c>
      <c r="I3831">
        <v>0</v>
      </c>
      <c r="J3831" t="str">
        <f t="shared" si="354"/>
        <v>Non-Smoker</v>
      </c>
      <c r="K3831">
        <v>0</v>
      </c>
      <c r="L3831">
        <v>0</v>
      </c>
      <c r="M3831">
        <v>1</v>
      </c>
      <c r="N3831">
        <v>0</v>
      </c>
      <c r="O3831">
        <v>240</v>
      </c>
      <c r="P3831" t="str">
        <f t="shared" si="355"/>
        <v>Normal</v>
      </c>
      <c r="Q3831">
        <v>152</v>
      </c>
      <c r="R3831">
        <v>95</v>
      </c>
      <c r="S3831">
        <v>25.37</v>
      </c>
      <c r="T3831" t="str">
        <f t="shared" si="356"/>
        <v>Overweight</v>
      </c>
      <c r="U3831">
        <v>63</v>
      </c>
      <c r="V3831">
        <v>70</v>
      </c>
      <c r="W3831" t="str">
        <f t="shared" si="359"/>
        <v>Normal</v>
      </c>
      <c r="X3831">
        <v>1</v>
      </c>
    </row>
    <row r="3832" spans="1:24" ht="14.5" thickBot="1" x14ac:dyDescent="0.35">
      <c r="A3832">
        <v>0</v>
      </c>
      <c r="B3832" t="str">
        <f t="shared" si="357"/>
        <v>Female</v>
      </c>
      <c r="C3832" s="8">
        <v>62</v>
      </c>
      <c r="D3832" t="str">
        <f t="shared" si="358"/>
        <v>Senior</v>
      </c>
      <c r="E3832">
        <v>2</v>
      </c>
      <c r="F3832" t="str">
        <f>HLOOKUP(E3832, LookUP_Table!$A$6:$D$7, 2, FALSE)</f>
        <v>Secondary</v>
      </c>
      <c r="G3832" t="str">
        <f>IFERROR(VLOOKUP(E3832, LookUP_Table!$A$1:$B$4, 2, FALSE), "")</f>
        <v>Secondary</v>
      </c>
      <c r="H3832">
        <v>1</v>
      </c>
      <c r="I3832">
        <v>3</v>
      </c>
      <c r="J3832" t="str">
        <f t="shared" si="354"/>
        <v>Smoker</v>
      </c>
      <c r="K3832">
        <v>0</v>
      </c>
      <c r="L3832">
        <v>0</v>
      </c>
      <c r="M3832">
        <v>0</v>
      </c>
      <c r="N3832">
        <v>0</v>
      </c>
      <c r="O3832">
        <v>286</v>
      </c>
      <c r="P3832" t="str">
        <f t="shared" si="355"/>
        <v>High</v>
      </c>
      <c r="Q3832">
        <v>123</v>
      </c>
      <c r="R3832">
        <v>77</v>
      </c>
      <c r="S3832">
        <v>20.56</v>
      </c>
      <c r="T3832" t="str">
        <f t="shared" si="356"/>
        <v>Normal</v>
      </c>
      <c r="U3832">
        <v>59</v>
      </c>
      <c r="V3832">
        <v>86</v>
      </c>
      <c r="W3832" t="str">
        <f t="shared" si="359"/>
        <v>Normal</v>
      </c>
      <c r="X3832">
        <v>0</v>
      </c>
    </row>
    <row r="3833" spans="1:24" ht="14.5" thickBot="1" x14ac:dyDescent="0.35">
      <c r="A3833">
        <v>0</v>
      </c>
      <c r="B3833" t="str">
        <f t="shared" si="357"/>
        <v>Female</v>
      </c>
      <c r="C3833" s="8">
        <v>62</v>
      </c>
      <c r="D3833" t="str">
        <f t="shared" si="358"/>
        <v>Senior</v>
      </c>
      <c r="E3833">
        <v>4</v>
      </c>
      <c r="F3833" t="str">
        <f>HLOOKUP(E3833, LookUP_Table!$A$6:$D$7, 2, FALSE)</f>
        <v>Post Graduate</v>
      </c>
      <c r="G3833" t="str">
        <f>IFERROR(VLOOKUP(E3833, LookUP_Table!$A$1:$B$4, 2, FALSE), "")</f>
        <v>Post Graduate</v>
      </c>
      <c r="H3833">
        <v>0</v>
      </c>
      <c r="I3833">
        <v>0</v>
      </c>
      <c r="J3833" t="str">
        <f t="shared" si="354"/>
        <v>Non-Smoker</v>
      </c>
      <c r="K3833">
        <v>0</v>
      </c>
      <c r="L3833">
        <v>0</v>
      </c>
      <c r="M3833">
        <v>0</v>
      </c>
      <c r="N3833">
        <v>0</v>
      </c>
      <c r="O3833">
        <v>281</v>
      </c>
      <c r="P3833" t="str">
        <f t="shared" si="355"/>
        <v>High</v>
      </c>
      <c r="Q3833">
        <v>126</v>
      </c>
      <c r="R3833">
        <v>85.5</v>
      </c>
      <c r="S3833">
        <v>23.29</v>
      </c>
      <c r="T3833" t="str">
        <f t="shared" si="356"/>
        <v>Normal</v>
      </c>
      <c r="U3833">
        <v>65</v>
      </c>
      <c r="V3833">
        <v>63</v>
      </c>
      <c r="W3833" t="str">
        <f t="shared" si="359"/>
        <v>Normal</v>
      </c>
      <c r="X3833">
        <v>0</v>
      </c>
    </row>
    <row r="3834" spans="1:24" ht="14.5" thickBot="1" x14ac:dyDescent="0.35">
      <c r="A3834">
        <v>0</v>
      </c>
      <c r="B3834" t="str">
        <f t="shared" si="357"/>
        <v>Female</v>
      </c>
      <c r="C3834" s="8">
        <v>62</v>
      </c>
      <c r="D3834" t="str">
        <f t="shared" si="358"/>
        <v>Senior</v>
      </c>
      <c r="E3834">
        <v>2</v>
      </c>
      <c r="F3834" t="str">
        <f>HLOOKUP(E3834, LookUP_Table!$A$6:$D$7, 2, FALSE)</f>
        <v>Secondary</v>
      </c>
      <c r="G3834" t="str">
        <f>IFERROR(VLOOKUP(E3834, LookUP_Table!$A$1:$B$4, 2, FALSE), "")</f>
        <v>Secondary</v>
      </c>
      <c r="H3834">
        <v>0</v>
      </c>
      <c r="I3834">
        <v>0</v>
      </c>
      <c r="J3834" t="str">
        <f t="shared" si="354"/>
        <v>Non-Smoker</v>
      </c>
      <c r="K3834">
        <v>0</v>
      </c>
      <c r="L3834">
        <v>0</v>
      </c>
      <c r="M3834">
        <v>1</v>
      </c>
      <c r="N3834">
        <v>1</v>
      </c>
      <c r="O3834">
        <v>313</v>
      </c>
      <c r="P3834" t="str">
        <f t="shared" si="355"/>
        <v>High</v>
      </c>
      <c r="Q3834">
        <v>164</v>
      </c>
      <c r="R3834">
        <v>94</v>
      </c>
      <c r="S3834">
        <v>27.4</v>
      </c>
      <c r="T3834" t="str">
        <f t="shared" si="356"/>
        <v>Overweight</v>
      </c>
      <c r="U3834">
        <v>70</v>
      </c>
      <c r="V3834">
        <v>81</v>
      </c>
      <c r="W3834" t="str">
        <f t="shared" si="359"/>
        <v>Normal</v>
      </c>
      <c r="X3834">
        <v>0</v>
      </c>
    </row>
    <row r="3835" spans="1:24" ht="14.5" thickBot="1" x14ac:dyDescent="0.35">
      <c r="A3835">
        <v>1</v>
      </c>
      <c r="B3835" t="str">
        <f t="shared" si="357"/>
        <v>Male</v>
      </c>
      <c r="C3835" s="8">
        <v>62</v>
      </c>
      <c r="D3835" t="str">
        <f t="shared" si="358"/>
        <v>Senior</v>
      </c>
      <c r="E3835">
        <v>1</v>
      </c>
      <c r="F3835" t="str">
        <f>HLOOKUP(E3835, LookUP_Table!$A$6:$D$7, 2, FALSE)</f>
        <v>Primary</v>
      </c>
      <c r="G3835" t="str">
        <f>IFERROR(VLOOKUP(E3835, LookUP_Table!$A$1:$B$4, 2, FALSE), "")</f>
        <v>Primary</v>
      </c>
      <c r="H3835">
        <v>0</v>
      </c>
      <c r="I3835">
        <v>0</v>
      </c>
      <c r="J3835" t="str">
        <f t="shared" si="354"/>
        <v>Non-Smoker</v>
      </c>
      <c r="K3835">
        <v>0</v>
      </c>
      <c r="L3835">
        <v>0</v>
      </c>
      <c r="M3835">
        <v>1</v>
      </c>
      <c r="N3835">
        <v>0</v>
      </c>
      <c r="O3835">
        <v>191</v>
      </c>
      <c r="P3835" t="str">
        <f t="shared" si="355"/>
        <v>Normal</v>
      </c>
      <c r="Q3835">
        <v>156</v>
      </c>
      <c r="R3835">
        <v>91</v>
      </c>
      <c r="S3835">
        <v>31.2</v>
      </c>
      <c r="T3835" t="str">
        <f t="shared" si="356"/>
        <v>Obese</v>
      </c>
      <c r="U3835">
        <v>68</v>
      </c>
      <c r="V3835">
        <v>75</v>
      </c>
      <c r="W3835" t="str">
        <f t="shared" si="359"/>
        <v>Normal</v>
      </c>
      <c r="X3835">
        <v>1</v>
      </c>
    </row>
    <row r="3836" spans="1:24" ht="14.5" thickBot="1" x14ac:dyDescent="0.35">
      <c r="A3836">
        <v>1</v>
      </c>
      <c r="B3836" t="str">
        <f t="shared" si="357"/>
        <v>Male</v>
      </c>
      <c r="C3836" s="8">
        <v>62</v>
      </c>
      <c r="D3836" t="str">
        <f t="shared" si="358"/>
        <v>Senior</v>
      </c>
      <c r="E3836">
        <v>3</v>
      </c>
      <c r="F3836" t="str">
        <f>HLOOKUP(E3836, LookUP_Table!$A$6:$D$7, 2, FALSE)</f>
        <v>Graduate</v>
      </c>
      <c r="G3836" t="str">
        <f>IFERROR(VLOOKUP(E3836, LookUP_Table!$A$1:$B$4, 2, FALSE), "")</f>
        <v>Graduate</v>
      </c>
      <c r="H3836">
        <v>0</v>
      </c>
      <c r="I3836">
        <v>0</v>
      </c>
      <c r="J3836" t="str">
        <f t="shared" si="354"/>
        <v>Non-Smoker</v>
      </c>
      <c r="K3836">
        <v>0</v>
      </c>
      <c r="L3836">
        <v>0</v>
      </c>
      <c r="M3836">
        <v>0</v>
      </c>
      <c r="N3836">
        <v>1</v>
      </c>
      <c r="O3836">
        <v>346</v>
      </c>
      <c r="P3836" t="str">
        <f t="shared" si="355"/>
        <v>High</v>
      </c>
      <c r="Q3836">
        <v>102.5</v>
      </c>
      <c r="R3836">
        <v>66.5</v>
      </c>
      <c r="S3836">
        <v>17.170000000000002</v>
      </c>
      <c r="T3836" t="str">
        <f t="shared" si="356"/>
        <v>Underweight</v>
      </c>
      <c r="U3836">
        <v>80</v>
      </c>
      <c r="V3836">
        <v>394</v>
      </c>
      <c r="W3836" t="str">
        <f t="shared" si="359"/>
        <v>Diabetes</v>
      </c>
      <c r="X3836">
        <v>1</v>
      </c>
    </row>
    <row r="3837" spans="1:24" ht="14.5" thickBot="1" x14ac:dyDescent="0.35">
      <c r="A3837">
        <v>0</v>
      </c>
      <c r="B3837" t="str">
        <f t="shared" si="357"/>
        <v>Female</v>
      </c>
      <c r="C3837" s="8">
        <v>62</v>
      </c>
      <c r="D3837" t="str">
        <f t="shared" si="358"/>
        <v>Senior</v>
      </c>
      <c r="E3837">
        <v>2</v>
      </c>
      <c r="F3837" t="str">
        <f>HLOOKUP(E3837, LookUP_Table!$A$6:$D$7, 2, FALSE)</f>
        <v>Secondary</v>
      </c>
      <c r="G3837" t="str">
        <f>IFERROR(VLOOKUP(E3837, LookUP_Table!$A$1:$B$4, 2, FALSE), "")</f>
        <v>Secondary</v>
      </c>
      <c r="H3837">
        <v>0</v>
      </c>
      <c r="I3837">
        <v>0</v>
      </c>
      <c r="J3837" t="str">
        <f t="shared" si="354"/>
        <v>Non-Smoker</v>
      </c>
      <c r="K3837">
        <v>0</v>
      </c>
      <c r="L3837">
        <v>0</v>
      </c>
      <c r="M3837">
        <v>0</v>
      </c>
      <c r="N3837">
        <v>0</v>
      </c>
      <c r="O3837">
        <v>317</v>
      </c>
      <c r="P3837" t="str">
        <f t="shared" si="355"/>
        <v>High</v>
      </c>
      <c r="Q3837">
        <v>126</v>
      </c>
      <c r="R3837">
        <v>75</v>
      </c>
      <c r="S3837">
        <v>23.29</v>
      </c>
      <c r="T3837" t="str">
        <f t="shared" si="356"/>
        <v>Normal</v>
      </c>
      <c r="U3837">
        <v>71</v>
      </c>
      <c r="V3837">
        <v>86</v>
      </c>
      <c r="W3837" t="str">
        <f t="shared" si="359"/>
        <v>Normal</v>
      </c>
      <c r="X3837">
        <v>0</v>
      </c>
    </row>
    <row r="3838" spans="1:24" ht="14.5" thickBot="1" x14ac:dyDescent="0.35">
      <c r="A3838">
        <v>0</v>
      </c>
      <c r="B3838" t="str">
        <f t="shared" si="357"/>
        <v>Female</v>
      </c>
      <c r="C3838" s="8">
        <v>62</v>
      </c>
      <c r="D3838" t="str">
        <f t="shared" si="358"/>
        <v>Senior</v>
      </c>
      <c r="E3838">
        <v>1</v>
      </c>
      <c r="F3838" t="str">
        <f>HLOOKUP(E3838, LookUP_Table!$A$6:$D$7, 2, FALSE)</f>
        <v>Primary</v>
      </c>
      <c r="G3838" t="str">
        <f>IFERROR(VLOOKUP(E3838, LookUP_Table!$A$1:$B$4, 2, FALSE), "")</f>
        <v>Primary</v>
      </c>
      <c r="H3838">
        <v>0</v>
      </c>
      <c r="I3838">
        <v>0</v>
      </c>
      <c r="J3838" t="str">
        <f t="shared" si="354"/>
        <v>Non-Smoker</v>
      </c>
      <c r="K3838">
        <v>0</v>
      </c>
      <c r="L3838">
        <v>0</v>
      </c>
      <c r="M3838">
        <v>0</v>
      </c>
      <c r="N3838">
        <v>0</v>
      </c>
      <c r="O3838">
        <v>224</v>
      </c>
      <c r="P3838" t="str">
        <f t="shared" si="355"/>
        <v>Normal</v>
      </c>
      <c r="Q3838">
        <v>121.5</v>
      </c>
      <c r="R3838">
        <v>77.5</v>
      </c>
      <c r="S3838">
        <v>28.66</v>
      </c>
      <c r="T3838" t="str">
        <f t="shared" si="356"/>
        <v>Overweight</v>
      </c>
      <c r="U3838">
        <v>75</v>
      </c>
      <c r="V3838">
        <v>81.96365524402907</v>
      </c>
      <c r="W3838" t="str">
        <f t="shared" si="359"/>
        <v>Normal</v>
      </c>
      <c r="X3838">
        <v>0</v>
      </c>
    </row>
    <row r="3839" spans="1:24" ht="14.5" thickBot="1" x14ac:dyDescent="0.35">
      <c r="A3839">
        <v>0</v>
      </c>
      <c r="B3839" t="str">
        <f t="shared" si="357"/>
        <v>Female</v>
      </c>
      <c r="C3839" s="8">
        <v>62</v>
      </c>
      <c r="D3839" t="str">
        <f t="shared" si="358"/>
        <v>Senior</v>
      </c>
      <c r="E3839">
        <v>2</v>
      </c>
      <c r="F3839" t="str">
        <f>HLOOKUP(E3839, LookUP_Table!$A$6:$D$7, 2, FALSE)</f>
        <v>Secondary</v>
      </c>
      <c r="G3839" t="str">
        <f>IFERROR(VLOOKUP(E3839, LookUP_Table!$A$1:$B$4, 2, FALSE), "")</f>
        <v>Secondary</v>
      </c>
      <c r="H3839">
        <v>0</v>
      </c>
      <c r="I3839">
        <v>0</v>
      </c>
      <c r="J3839" t="str">
        <f t="shared" si="354"/>
        <v>Non-Smoker</v>
      </c>
      <c r="K3839">
        <v>0</v>
      </c>
      <c r="L3839">
        <v>0</v>
      </c>
      <c r="M3839">
        <v>1</v>
      </c>
      <c r="N3839">
        <v>0</v>
      </c>
      <c r="O3839">
        <v>326</v>
      </c>
      <c r="P3839" t="str">
        <f t="shared" si="355"/>
        <v>High</v>
      </c>
      <c r="Q3839">
        <v>160</v>
      </c>
      <c r="R3839">
        <v>90</v>
      </c>
      <c r="S3839">
        <v>33.700000000000003</v>
      </c>
      <c r="T3839" t="str">
        <f t="shared" si="356"/>
        <v>Obese</v>
      </c>
      <c r="U3839">
        <v>72</v>
      </c>
      <c r="V3839">
        <v>84</v>
      </c>
      <c r="W3839" t="str">
        <f t="shared" si="359"/>
        <v>Normal</v>
      </c>
      <c r="X3839">
        <v>0</v>
      </c>
    </row>
    <row r="3840" spans="1:24" ht="14.5" thickBot="1" x14ac:dyDescent="0.35">
      <c r="A3840">
        <v>0</v>
      </c>
      <c r="B3840" t="str">
        <f t="shared" si="357"/>
        <v>Female</v>
      </c>
      <c r="C3840" s="8">
        <v>62</v>
      </c>
      <c r="D3840" t="str">
        <f t="shared" si="358"/>
        <v>Senior</v>
      </c>
      <c r="E3840">
        <v>1</v>
      </c>
      <c r="F3840" t="str">
        <f>HLOOKUP(E3840, LookUP_Table!$A$6:$D$7, 2, FALSE)</f>
        <v>Primary</v>
      </c>
      <c r="G3840" t="str">
        <f>IFERROR(VLOOKUP(E3840, LookUP_Table!$A$1:$B$4, 2, FALSE), "")</f>
        <v>Primary</v>
      </c>
      <c r="H3840">
        <v>0</v>
      </c>
      <c r="I3840">
        <v>0</v>
      </c>
      <c r="J3840" t="str">
        <f t="shared" si="354"/>
        <v>Non-Smoker</v>
      </c>
      <c r="K3840">
        <v>0</v>
      </c>
      <c r="L3840">
        <v>0</v>
      </c>
      <c r="M3840">
        <v>1</v>
      </c>
      <c r="N3840">
        <v>0</v>
      </c>
      <c r="O3840">
        <v>240</v>
      </c>
      <c r="P3840" t="str">
        <f t="shared" si="355"/>
        <v>Normal</v>
      </c>
      <c r="Q3840">
        <v>154</v>
      </c>
      <c r="R3840">
        <v>92</v>
      </c>
      <c r="S3840">
        <v>29.49</v>
      </c>
      <c r="T3840" t="str">
        <f t="shared" si="356"/>
        <v>Overweight</v>
      </c>
      <c r="U3840">
        <v>55</v>
      </c>
      <c r="V3840">
        <v>67</v>
      </c>
      <c r="W3840" t="str">
        <f t="shared" si="359"/>
        <v>Normal</v>
      </c>
      <c r="X3840">
        <v>0</v>
      </c>
    </row>
    <row r="3841" spans="1:24" ht="14.5" thickBot="1" x14ac:dyDescent="0.35">
      <c r="A3841">
        <v>1</v>
      </c>
      <c r="B3841" t="str">
        <f t="shared" si="357"/>
        <v>Male</v>
      </c>
      <c r="C3841" s="8">
        <v>62</v>
      </c>
      <c r="D3841" t="str">
        <f t="shared" si="358"/>
        <v>Senior</v>
      </c>
      <c r="E3841">
        <v>1</v>
      </c>
      <c r="F3841" t="str">
        <f>HLOOKUP(E3841, LookUP_Table!$A$6:$D$7, 2, FALSE)</f>
        <v>Primary</v>
      </c>
      <c r="G3841" t="str">
        <f>IFERROR(VLOOKUP(E3841, LookUP_Table!$A$1:$B$4, 2, FALSE), "")</f>
        <v>Primary</v>
      </c>
      <c r="H3841">
        <v>0</v>
      </c>
      <c r="I3841">
        <v>0</v>
      </c>
      <c r="J3841" t="str">
        <f t="shared" si="354"/>
        <v>Non-Smoker</v>
      </c>
      <c r="K3841">
        <v>0</v>
      </c>
      <c r="L3841">
        <v>0</v>
      </c>
      <c r="M3841">
        <v>0</v>
      </c>
      <c r="N3841">
        <v>0</v>
      </c>
      <c r="O3841">
        <v>164</v>
      </c>
      <c r="P3841" t="str">
        <f t="shared" si="355"/>
        <v>Normal</v>
      </c>
      <c r="Q3841">
        <v>126</v>
      </c>
      <c r="R3841">
        <v>79</v>
      </c>
      <c r="S3841">
        <v>27.89</v>
      </c>
      <c r="T3841" t="str">
        <f t="shared" si="356"/>
        <v>Overweight</v>
      </c>
      <c r="U3841">
        <v>66</v>
      </c>
      <c r="V3841">
        <v>69</v>
      </c>
      <c r="W3841" t="str">
        <f t="shared" si="359"/>
        <v>Normal</v>
      </c>
      <c r="X3841">
        <v>0</v>
      </c>
    </row>
    <row r="3842" spans="1:24" ht="14.5" thickBot="1" x14ac:dyDescent="0.35">
      <c r="A3842">
        <v>1</v>
      </c>
      <c r="B3842" t="str">
        <f t="shared" si="357"/>
        <v>Male</v>
      </c>
      <c r="C3842" s="8">
        <v>62</v>
      </c>
      <c r="D3842" t="str">
        <f t="shared" si="358"/>
        <v>Senior</v>
      </c>
      <c r="E3842">
        <v>1</v>
      </c>
      <c r="F3842" t="str">
        <f>HLOOKUP(E3842, LookUP_Table!$A$6:$D$7, 2, FALSE)</f>
        <v>Primary</v>
      </c>
      <c r="G3842" t="str">
        <f>IFERROR(VLOOKUP(E3842, LookUP_Table!$A$1:$B$4, 2, FALSE), "")</f>
        <v>Primary</v>
      </c>
      <c r="H3842">
        <v>0</v>
      </c>
      <c r="I3842">
        <v>0</v>
      </c>
      <c r="J3842" t="str">
        <f t="shared" ref="J3842:J3905" si="360">IF(I3842&gt;0,"Smoker","Non-Smoker")</f>
        <v>Non-Smoker</v>
      </c>
      <c r="K3842">
        <v>0</v>
      </c>
      <c r="L3842">
        <v>0</v>
      </c>
      <c r="M3842">
        <v>0</v>
      </c>
      <c r="N3842">
        <v>0</v>
      </c>
      <c r="O3842">
        <v>265</v>
      </c>
      <c r="P3842" t="str">
        <f t="shared" ref="P3842:P3905" si="361">IF(O3842&gt;240,"High","Normal")</f>
        <v>High</v>
      </c>
      <c r="Q3842">
        <v>135</v>
      </c>
      <c r="R3842">
        <v>80</v>
      </c>
      <c r="S3842">
        <v>27.94</v>
      </c>
      <c r="T3842" t="str">
        <f t="shared" ref="T3842:T3905" si="362">IF(S3842&lt;18.5,"Underweight",
IF(S3842&lt;25,"Normal",
IF(S3842&lt;30,"Overweight","Obese")))</f>
        <v>Overweight</v>
      </c>
      <c r="U3842">
        <v>50</v>
      </c>
      <c r="V3842">
        <v>80</v>
      </c>
      <c r="W3842" t="str">
        <f t="shared" si="359"/>
        <v>Normal</v>
      </c>
      <c r="X3842">
        <v>0</v>
      </c>
    </row>
    <row r="3843" spans="1:24" ht="14.5" thickBot="1" x14ac:dyDescent="0.35">
      <c r="A3843">
        <v>1</v>
      </c>
      <c r="B3843" t="str">
        <f t="shared" ref="B3843:B3906" si="363">IF(A3843=0,"Female","Male")</f>
        <v>Male</v>
      </c>
      <c r="C3843" s="8">
        <v>62</v>
      </c>
      <c r="D3843" t="str">
        <f t="shared" ref="D3843:D3906" si="364">IF(C3843&lt;40,"Young",
IF(C3843&lt;55,"Middle Age","Senior"))</f>
        <v>Senior</v>
      </c>
      <c r="E3843">
        <v>1</v>
      </c>
      <c r="F3843" t="str">
        <f>HLOOKUP(E3843, LookUP_Table!$A$6:$D$7, 2, FALSE)</f>
        <v>Primary</v>
      </c>
      <c r="G3843" t="str">
        <f>IFERROR(VLOOKUP(E3843, LookUP_Table!$A$1:$B$4, 2, FALSE), "")</f>
        <v>Primary</v>
      </c>
      <c r="H3843">
        <v>1</v>
      </c>
      <c r="I3843">
        <v>5</v>
      </c>
      <c r="J3843" t="str">
        <f t="shared" si="360"/>
        <v>Smoker</v>
      </c>
      <c r="K3843">
        <v>0</v>
      </c>
      <c r="L3843">
        <v>0</v>
      </c>
      <c r="M3843">
        <v>1</v>
      </c>
      <c r="N3843">
        <v>0</v>
      </c>
      <c r="O3843">
        <v>243</v>
      </c>
      <c r="P3843" t="str">
        <f t="shared" si="361"/>
        <v>High</v>
      </c>
      <c r="Q3843">
        <v>157</v>
      </c>
      <c r="R3843">
        <v>96</v>
      </c>
      <c r="S3843">
        <v>28.83</v>
      </c>
      <c r="T3843" t="str">
        <f t="shared" si="362"/>
        <v>Overweight</v>
      </c>
      <c r="U3843">
        <v>75</v>
      </c>
      <c r="V3843">
        <v>71</v>
      </c>
      <c r="W3843" t="str">
        <f t="shared" ref="W3843:W3906" si="365">IF(V3843 &lt; 100, "Normal", IF(V3843 &lt;= 125, "Prediabetes", "Diabetes"))</f>
        <v>Normal</v>
      </c>
      <c r="X3843">
        <v>0</v>
      </c>
    </row>
    <row r="3844" spans="1:24" ht="14.5" thickBot="1" x14ac:dyDescent="0.35">
      <c r="A3844">
        <v>1</v>
      </c>
      <c r="B3844" t="str">
        <f t="shared" si="363"/>
        <v>Male</v>
      </c>
      <c r="C3844" s="8">
        <v>62</v>
      </c>
      <c r="D3844" t="str">
        <f t="shared" si="364"/>
        <v>Senior</v>
      </c>
      <c r="E3844">
        <v>4</v>
      </c>
      <c r="F3844" t="str">
        <f>HLOOKUP(E3844, LookUP_Table!$A$6:$D$7, 2, FALSE)</f>
        <v>Post Graduate</v>
      </c>
      <c r="G3844" t="str">
        <f>IFERROR(VLOOKUP(E3844, LookUP_Table!$A$1:$B$4, 2, FALSE), "")</f>
        <v>Post Graduate</v>
      </c>
      <c r="H3844">
        <v>1</v>
      </c>
      <c r="I3844">
        <v>40</v>
      </c>
      <c r="J3844" t="str">
        <f t="shared" si="360"/>
        <v>Smoker</v>
      </c>
      <c r="K3844">
        <v>0</v>
      </c>
      <c r="L3844">
        <v>0</v>
      </c>
      <c r="M3844">
        <v>0</v>
      </c>
      <c r="N3844">
        <v>0</v>
      </c>
      <c r="O3844">
        <v>260</v>
      </c>
      <c r="P3844" t="str">
        <f t="shared" si="361"/>
        <v>High</v>
      </c>
      <c r="Q3844">
        <v>127.5</v>
      </c>
      <c r="R3844">
        <v>75</v>
      </c>
      <c r="S3844">
        <v>25.35</v>
      </c>
      <c r="T3844" t="str">
        <f t="shared" si="362"/>
        <v>Overweight</v>
      </c>
      <c r="U3844">
        <v>65</v>
      </c>
      <c r="V3844">
        <v>103</v>
      </c>
      <c r="W3844" t="str">
        <f t="shared" si="365"/>
        <v>Prediabetes</v>
      </c>
      <c r="X3844">
        <v>1</v>
      </c>
    </row>
    <row r="3845" spans="1:24" ht="14.5" thickBot="1" x14ac:dyDescent="0.35">
      <c r="A3845">
        <v>1</v>
      </c>
      <c r="B3845" t="str">
        <f t="shared" si="363"/>
        <v>Male</v>
      </c>
      <c r="C3845" s="8">
        <v>62</v>
      </c>
      <c r="D3845" t="str">
        <f t="shared" si="364"/>
        <v>Senior</v>
      </c>
      <c r="E3845">
        <v>1</v>
      </c>
      <c r="F3845" t="str">
        <f>HLOOKUP(E3845, LookUP_Table!$A$6:$D$7, 2, FALSE)</f>
        <v>Primary</v>
      </c>
      <c r="G3845" t="str">
        <f>IFERROR(VLOOKUP(E3845, LookUP_Table!$A$1:$B$4, 2, FALSE), "")</f>
        <v>Primary</v>
      </c>
      <c r="H3845">
        <v>0</v>
      </c>
      <c r="I3845">
        <v>0</v>
      </c>
      <c r="J3845" t="str">
        <f t="shared" si="360"/>
        <v>Non-Smoker</v>
      </c>
      <c r="K3845">
        <v>0</v>
      </c>
      <c r="L3845">
        <v>0</v>
      </c>
      <c r="M3845">
        <v>0</v>
      </c>
      <c r="N3845">
        <v>0</v>
      </c>
      <c r="O3845">
        <v>157</v>
      </c>
      <c r="P3845" t="str">
        <f t="shared" si="361"/>
        <v>Normal</v>
      </c>
      <c r="Q3845">
        <v>130</v>
      </c>
      <c r="R3845">
        <v>87</v>
      </c>
      <c r="S3845">
        <v>28.73</v>
      </c>
      <c r="T3845" t="str">
        <f t="shared" si="362"/>
        <v>Overweight</v>
      </c>
      <c r="U3845">
        <v>72</v>
      </c>
      <c r="V3845">
        <v>47</v>
      </c>
      <c r="W3845" t="str">
        <f t="shared" si="365"/>
        <v>Normal</v>
      </c>
      <c r="X3845">
        <v>0</v>
      </c>
    </row>
    <row r="3846" spans="1:24" ht="14.5" thickBot="1" x14ac:dyDescent="0.35">
      <c r="A3846">
        <v>0</v>
      </c>
      <c r="B3846" t="str">
        <f t="shared" si="363"/>
        <v>Female</v>
      </c>
      <c r="C3846" s="8">
        <v>62</v>
      </c>
      <c r="D3846" t="str">
        <f t="shared" si="364"/>
        <v>Senior</v>
      </c>
      <c r="E3846">
        <v>4</v>
      </c>
      <c r="F3846" t="str">
        <f>HLOOKUP(E3846, LookUP_Table!$A$6:$D$7, 2, FALSE)</f>
        <v>Post Graduate</v>
      </c>
      <c r="G3846" t="str">
        <f>IFERROR(VLOOKUP(E3846, LookUP_Table!$A$1:$B$4, 2, FALSE), "")</f>
        <v>Post Graduate</v>
      </c>
      <c r="H3846">
        <v>0</v>
      </c>
      <c r="I3846">
        <v>0</v>
      </c>
      <c r="J3846" t="str">
        <f t="shared" si="360"/>
        <v>Non-Smoker</v>
      </c>
      <c r="K3846">
        <v>0</v>
      </c>
      <c r="L3846">
        <v>0</v>
      </c>
      <c r="M3846">
        <v>0</v>
      </c>
      <c r="N3846">
        <v>0</v>
      </c>
      <c r="O3846">
        <v>288</v>
      </c>
      <c r="P3846" t="str">
        <f t="shared" si="361"/>
        <v>High</v>
      </c>
      <c r="Q3846">
        <v>118.5</v>
      </c>
      <c r="R3846">
        <v>71</v>
      </c>
      <c r="S3846">
        <v>26.18</v>
      </c>
      <c r="T3846" t="str">
        <f t="shared" si="362"/>
        <v>Overweight</v>
      </c>
      <c r="U3846">
        <v>68</v>
      </c>
      <c r="V3846">
        <v>87</v>
      </c>
      <c r="W3846" t="str">
        <f t="shared" si="365"/>
        <v>Normal</v>
      </c>
      <c r="X3846">
        <v>0</v>
      </c>
    </row>
    <row r="3847" spans="1:24" ht="14.5" thickBot="1" x14ac:dyDescent="0.35">
      <c r="A3847">
        <v>0</v>
      </c>
      <c r="B3847" t="str">
        <f t="shared" si="363"/>
        <v>Female</v>
      </c>
      <c r="C3847" s="8">
        <v>62</v>
      </c>
      <c r="D3847" t="str">
        <f t="shared" si="364"/>
        <v>Senior</v>
      </c>
      <c r="E3847">
        <v>1</v>
      </c>
      <c r="F3847" t="str">
        <f>HLOOKUP(E3847, LookUP_Table!$A$6:$D$7, 2, FALSE)</f>
        <v>Primary</v>
      </c>
      <c r="G3847" t="str">
        <f>IFERROR(VLOOKUP(E3847, LookUP_Table!$A$1:$B$4, 2, FALSE), "")</f>
        <v>Primary</v>
      </c>
      <c r="H3847">
        <v>0</v>
      </c>
      <c r="I3847">
        <v>0</v>
      </c>
      <c r="J3847" t="str">
        <f t="shared" si="360"/>
        <v>Non-Smoker</v>
      </c>
      <c r="K3847">
        <v>0</v>
      </c>
      <c r="L3847">
        <v>0</v>
      </c>
      <c r="M3847">
        <v>1</v>
      </c>
      <c r="N3847">
        <v>0</v>
      </c>
      <c r="O3847">
        <v>258</v>
      </c>
      <c r="P3847" t="str">
        <f t="shared" si="361"/>
        <v>High</v>
      </c>
      <c r="Q3847">
        <v>162</v>
      </c>
      <c r="R3847">
        <v>97.5</v>
      </c>
      <c r="S3847">
        <v>30.53</v>
      </c>
      <c r="T3847" t="str">
        <f t="shared" si="362"/>
        <v>Obese</v>
      </c>
      <c r="U3847">
        <v>76</v>
      </c>
      <c r="V3847">
        <v>87</v>
      </c>
      <c r="W3847" t="str">
        <f t="shared" si="365"/>
        <v>Normal</v>
      </c>
      <c r="X3847">
        <v>0</v>
      </c>
    </row>
    <row r="3848" spans="1:24" ht="14.5" thickBot="1" x14ac:dyDescent="0.35">
      <c r="A3848">
        <v>1</v>
      </c>
      <c r="B3848" t="str">
        <f t="shared" si="363"/>
        <v>Male</v>
      </c>
      <c r="C3848" s="8">
        <v>62</v>
      </c>
      <c r="D3848" t="str">
        <f t="shared" si="364"/>
        <v>Senior</v>
      </c>
      <c r="E3848">
        <v>1</v>
      </c>
      <c r="F3848" t="str">
        <f>HLOOKUP(E3848, LookUP_Table!$A$6:$D$7, 2, FALSE)</f>
        <v>Primary</v>
      </c>
      <c r="G3848" t="str">
        <f>IFERROR(VLOOKUP(E3848, LookUP_Table!$A$1:$B$4, 2, FALSE), "")</f>
        <v>Primary</v>
      </c>
      <c r="H3848">
        <v>1</v>
      </c>
      <c r="I3848">
        <v>20</v>
      </c>
      <c r="J3848" t="str">
        <f t="shared" si="360"/>
        <v>Smoker</v>
      </c>
      <c r="K3848">
        <v>0</v>
      </c>
      <c r="L3848">
        <v>0</v>
      </c>
      <c r="M3848">
        <v>0</v>
      </c>
      <c r="N3848">
        <v>0</v>
      </c>
      <c r="O3848">
        <v>263</v>
      </c>
      <c r="P3848" t="str">
        <f t="shared" si="361"/>
        <v>High</v>
      </c>
      <c r="Q3848">
        <v>112</v>
      </c>
      <c r="R3848">
        <v>61</v>
      </c>
      <c r="S3848">
        <v>24.46</v>
      </c>
      <c r="T3848" t="str">
        <f t="shared" si="362"/>
        <v>Normal</v>
      </c>
      <c r="U3848">
        <v>68</v>
      </c>
      <c r="V3848">
        <v>95</v>
      </c>
      <c r="W3848" t="str">
        <f t="shared" si="365"/>
        <v>Normal</v>
      </c>
      <c r="X3848">
        <v>0</v>
      </c>
    </row>
    <row r="3849" spans="1:24" ht="14.5" thickBot="1" x14ac:dyDescent="0.35">
      <c r="A3849">
        <v>0</v>
      </c>
      <c r="B3849" t="str">
        <f t="shared" si="363"/>
        <v>Female</v>
      </c>
      <c r="C3849" s="8">
        <v>62</v>
      </c>
      <c r="D3849" t="str">
        <f t="shared" si="364"/>
        <v>Senior</v>
      </c>
      <c r="E3849">
        <v>1</v>
      </c>
      <c r="F3849" t="str">
        <f>HLOOKUP(E3849, LookUP_Table!$A$6:$D$7, 2, FALSE)</f>
        <v>Primary</v>
      </c>
      <c r="G3849" t="str">
        <f>IFERROR(VLOOKUP(E3849, LookUP_Table!$A$1:$B$4, 2, FALSE), "")</f>
        <v>Primary</v>
      </c>
      <c r="H3849">
        <v>0</v>
      </c>
      <c r="I3849">
        <v>0</v>
      </c>
      <c r="J3849" t="str">
        <f t="shared" si="360"/>
        <v>Non-Smoker</v>
      </c>
      <c r="K3849">
        <v>0</v>
      </c>
      <c r="L3849">
        <v>0</v>
      </c>
      <c r="M3849">
        <v>1</v>
      </c>
      <c r="N3849">
        <v>0</v>
      </c>
      <c r="O3849">
        <v>312</v>
      </c>
      <c r="P3849" t="str">
        <f t="shared" si="361"/>
        <v>High</v>
      </c>
      <c r="Q3849">
        <v>156</v>
      </c>
      <c r="R3849">
        <v>105</v>
      </c>
      <c r="S3849">
        <v>22.35</v>
      </c>
      <c r="T3849" t="str">
        <f t="shared" si="362"/>
        <v>Normal</v>
      </c>
      <c r="U3849">
        <v>77</v>
      </c>
      <c r="V3849">
        <v>82</v>
      </c>
      <c r="W3849" t="str">
        <f t="shared" si="365"/>
        <v>Normal</v>
      </c>
      <c r="X3849">
        <v>0</v>
      </c>
    </row>
    <row r="3850" spans="1:24" ht="14.5" thickBot="1" x14ac:dyDescent="0.35">
      <c r="A3850">
        <v>0</v>
      </c>
      <c r="B3850" t="str">
        <f t="shared" si="363"/>
        <v>Female</v>
      </c>
      <c r="C3850" s="8">
        <v>62</v>
      </c>
      <c r="D3850" t="str">
        <f t="shared" si="364"/>
        <v>Senior</v>
      </c>
      <c r="E3850">
        <v>1</v>
      </c>
      <c r="F3850" t="str">
        <f>HLOOKUP(E3850, LookUP_Table!$A$6:$D$7, 2, FALSE)</f>
        <v>Primary</v>
      </c>
      <c r="G3850" t="str">
        <f>IFERROR(VLOOKUP(E3850, LookUP_Table!$A$1:$B$4, 2, FALSE), "")</f>
        <v>Primary</v>
      </c>
      <c r="H3850">
        <v>0</v>
      </c>
      <c r="I3850">
        <v>0</v>
      </c>
      <c r="J3850" t="str">
        <f t="shared" si="360"/>
        <v>Non-Smoker</v>
      </c>
      <c r="K3850">
        <v>0</v>
      </c>
      <c r="L3850">
        <v>0</v>
      </c>
      <c r="M3850">
        <v>1</v>
      </c>
      <c r="N3850">
        <v>0</v>
      </c>
      <c r="O3850">
        <v>282</v>
      </c>
      <c r="P3850" t="str">
        <f t="shared" si="361"/>
        <v>High</v>
      </c>
      <c r="Q3850">
        <v>175</v>
      </c>
      <c r="R3850">
        <v>79</v>
      </c>
      <c r="S3850">
        <v>28.24</v>
      </c>
      <c r="T3850" t="str">
        <f t="shared" si="362"/>
        <v>Overweight</v>
      </c>
      <c r="U3850">
        <v>57</v>
      </c>
      <c r="V3850">
        <v>67</v>
      </c>
      <c r="W3850" t="str">
        <f t="shared" si="365"/>
        <v>Normal</v>
      </c>
      <c r="X3850">
        <v>0</v>
      </c>
    </row>
    <row r="3851" spans="1:24" ht="14.5" thickBot="1" x14ac:dyDescent="0.35">
      <c r="A3851">
        <v>0</v>
      </c>
      <c r="B3851" t="str">
        <f t="shared" si="363"/>
        <v>Female</v>
      </c>
      <c r="C3851" s="8">
        <v>62</v>
      </c>
      <c r="D3851" t="str">
        <f t="shared" si="364"/>
        <v>Senior</v>
      </c>
      <c r="E3851">
        <v>2</v>
      </c>
      <c r="F3851" t="str">
        <f>HLOOKUP(E3851, LookUP_Table!$A$6:$D$7, 2, FALSE)</f>
        <v>Secondary</v>
      </c>
      <c r="G3851" t="str">
        <f>IFERROR(VLOOKUP(E3851, LookUP_Table!$A$1:$B$4, 2, FALSE), "")</f>
        <v>Secondary</v>
      </c>
      <c r="H3851">
        <v>0</v>
      </c>
      <c r="I3851">
        <v>0</v>
      </c>
      <c r="J3851" t="str">
        <f t="shared" si="360"/>
        <v>Non-Smoker</v>
      </c>
      <c r="K3851">
        <v>1</v>
      </c>
      <c r="L3851">
        <v>0</v>
      </c>
      <c r="M3851">
        <v>1</v>
      </c>
      <c r="N3851">
        <v>0</v>
      </c>
      <c r="O3851">
        <v>298</v>
      </c>
      <c r="P3851" t="str">
        <f t="shared" si="361"/>
        <v>High</v>
      </c>
      <c r="Q3851">
        <v>248</v>
      </c>
      <c r="R3851">
        <v>130</v>
      </c>
      <c r="S3851">
        <v>37.1</v>
      </c>
      <c r="T3851" t="str">
        <f t="shared" si="362"/>
        <v>Obese</v>
      </c>
      <c r="U3851">
        <v>96</v>
      </c>
      <c r="V3851">
        <v>77</v>
      </c>
      <c r="W3851" t="str">
        <f t="shared" si="365"/>
        <v>Normal</v>
      </c>
      <c r="X3851">
        <v>1</v>
      </c>
    </row>
    <row r="3852" spans="1:24" ht="14.5" thickBot="1" x14ac:dyDescent="0.35">
      <c r="A3852">
        <v>1</v>
      </c>
      <c r="B3852" t="str">
        <f t="shared" si="363"/>
        <v>Male</v>
      </c>
      <c r="C3852" s="8">
        <v>62</v>
      </c>
      <c r="D3852" t="str">
        <f t="shared" si="364"/>
        <v>Senior</v>
      </c>
      <c r="E3852">
        <v>1</v>
      </c>
      <c r="F3852" t="str">
        <f>HLOOKUP(E3852, LookUP_Table!$A$6:$D$7, 2, FALSE)</f>
        <v>Primary</v>
      </c>
      <c r="G3852" t="str">
        <f>IFERROR(VLOOKUP(E3852, LookUP_Table!$A$1:$B$4, 2, FALSE), "")</f>
        <v>Primary</v>
      </c>
      <c r="H3852">
        <v>1</v>
      </c>
      <c r="I3852">
        <v>6</v>
      </c>
      <c r="J3852" t="str">
        <f t="shared" si="360"/>
        <v>Smoker</v>
      </c>
      <c r="K3852">
        <v>0</v>
      </c>
      <c r="L3852">
        <v>0</v>
      </c>
      <c r="M3852">
        <v>1</v>
      </c>
      <c r="N3852">
        <v>0</v>
      </c>
      <c r="O3852">
        <v>237</v>
      </c>
      <c r="P3852" t="str">
        <f t="shared" si="361"/>
        <v>Normal</v>
      </c>
      <c r="Q3852">
        <v>163</v>
      </c>
      <c r="R3852">
        <v>94</v>
      </c>
      <c r="S3852">
        <v>25.62</v>
      </c>
      <c r="T3852" t="str">
        <f t="shared" si="362"/>
        <v>Overweight</v>
      </c>
      <c r="U3852">
        <v>85</v>
      </c>
      <c r="V3852">
        <v>84</v>
      </c>
      <c r="W3852" t="str">
        <f t="shared" si="365"/>
        <v>Normal</v>
      </c>
      <c r="X3852">
        <v>1</v>
      </c>
    </row>
    <row r="3853" spans="1:24" ht="14.5" thickBot="1" x14ac:dyDescent="0.35">
      <c r="A3853">
        <v>0</v>
      </c>
      <c r="B3853" t="str">
        <f t="shared" si="363"/>
        <v>Female</v>
      </c>
      <c r="C3853" s="8">
        <v>62</v>
      </c>
      <c r="D3853" t="str">
        <f t="shared" si="364"/>
        <v>Senior</v>
      </c>
      <c r="E3853">
        <v>1</v>
      </c>
      <c r="F3853" t="str">
        <f>HLOOKUP(E3853, LookUP_Table!$A$6:$D$7, 2, FALSE)</f>
        <v>Primary</v>
      </c>
      <c r="G3853" t="str">
        <f>IFERROR(VLOOKUP(E3853, LookUP_Table!$A$1:$B$4, 2, FALSE), "")</f>
        <v>Primary</v>
      </c>
      <c r="H3853">
        <v>0</v>
      </c>
      <c r="I3853">
        <v>0</v>
      </c>
      <c r="J3853" t="str">
        <f t="shared" si="360"/>
        <v>Non-Smoker</v>
      </c>
      <c r="K3853">
        <v>1</v>
      </c>
      <c r="L3853">
        <v>0</v>
      </c>
      <c r="M3853">
        <v>1</v>
      </c>
      <c r="N3853">
        <v>0</v>
      </c>
      <c r="O3853">
        <v>186</v>
      </c>
      <c r="P3853" t="str">
        <f t="shared" si="361"/>
        <v>Normal</v>
      </c>
      <c r="Q3853">
        <v>176.5</v>
      </c>
      <c r="R3853">
        <v>92</v>
      </c>
      <c r="S3853">
        <v>22.53</v>
      </c>
      <c r="T3853" t="str">
        <f t="shared" si="362"/>
        <v>Normal</v>
      </c>
      <c r="U3853">
        <v>79</v>
      </c>
      <c r="V3853">
        <v>60</v>
      </c>
      <c r="W3853" t="str">
        <f t="shared" si="365"/>
        <v>Normal</v>
      </c>
      <c r="X3853">
        <v>1</v>
      </c>
    </row>
    <row r="3854" spans="1:24" ht="14.5" thickBot="1" x14ac:dyDescent="0.35">
      <c r="A3854">
        <v>1</v>
      </c>
      <c r="B3854" t="str">
        <f t="shared" si="363"/>
        <v>Male</v>
      </c>
      <c r="C3854" s="8">
        <v>62</v>
      </c>
      <c r="D3854" t="str">
        <f t="shared" si="364"/>
        <v>Senior</v>
      </c>
      <c r="E3854">
        <v>1</v>
      </c>
      <c r="F3854" t="str">
        <f>HLOOKUP(E3854, LookUP_Table!$A$6:$D$7, 2, FALSE)</f>
        <v>Primary</v>
      </c>
      <c r="G3854" t="str">
        <f>IFERROR(VLOOKUP(E3854, LookUP_Table!$A$1:$B$4, 2, FALSE), "")</f>
        <v>Primary</v>
      </c>
      <c r="H3854">
        <v>1</v>
      </c>
      <c r="I3854">
        <v>20</v>
      </c>
      <c r="J3854" t="str">
        <f t="shared" si="360"/>
        <v>Smoker</v>
      </c>
      <c r="K3854">
        <v>0</v>
      </c>
      <c r="L3854">
        <v>0</v>
      </c>
      <c r="M3854">
        <v>0</v>
      </c>
      <c r="N3854">
        <v>0</v>
      </c>
      <c r="O3854">
        <v>185</v>
      </c>
      <c r="P3854" t="str">
        <f t="shared" si="361"/>
        <v>Normal</v>
      </c>
      <c r="Q3854">
        <v>124</v>
      </c>
      <c r="R3854">
        <v>84</v>
      </c>
      <c r="S3854">
        <v>24.53</v>
      </c>
      <c r="T3854" t="str">
        <f t="shared" si="362"/>
        <v>Normal</v>
      </c>
      <c r="U3854">
        <v>66</v>
      </c>
      <c r="V3854">
        <v>70</v>
      </c>
      <c r="W3854" t="str">
        <f t="shared" si="365"/>
        <v>Normal</v>
      </c>
      <c r="X3854">
        <v>0</v>
      </c>
    </row>
    <row r="3855" spans="1:24" ht="14.5" thickBot="1" x14ac:dyDescent="0.35">
      <c r="A3855">
        <v>0</v>
      </c>
      <c r="B3855" t="str">
        <f t="shared" si="363"/>
        <v>Female</v>
      </c>
      <c r="C3855" s="8">
        <v>62</v>
      </c>
      <c r="D3855" t="str">
        <f t="shared" si="364"/>
        <v>Senior</v>
      </c>
      <c r="E3855">
        <v>2</v>
      </c>
      <c r="F3855" t="str">
        <f>HLOOKUP(E3855, LookUP_Table!$A$6:$D$7, 2, FALSE)</f>
        <v>Secondary</v>
      </c>
      <c r="G3855" t="str">
        <f>IFERROR(VLOOKUP(E3855, LookUP_Table!$A$1:$B$4, 2, FALSE), "")</f>
        <v>Secondary</v>
      </c>
      <c r="H3855">
        <v>0</v>
      </c>
      <c r="I3855">
        <v>0</v>
      </c>
      <c r="J3855" t="str">
        <f t="shared" si="360"/>
        <v>Non-Smoker</v>
      </c>
      <c r="K3855">
        <v>0</v>
      </c>
      <c r="L3855">
        <v>0</v>
      </c>
      <c r="M3855">
        <v>1</v>
      </c>
      <c r="N3855">
        <v>0</v>
      </c>
      <c r="O3855">
        <v>276</v>
      </c>
      <c r="P3855" t="str">
        <f t="shared" si="361"/>
        <v>High</v>
      </c>
      <c r="Q3855">
        <v>185</v>
      </c>
      <c r="R3855">
        <v>95</v>
      </c>
      <c r="S3855">
        <v>26.21</v>
      </c>
      <c r="T3855" t="str">
        <f t="shared" si="362"/>
        <v>Overweight</v>
      </c>
      <c r="U3855">
        <v>80</v>
      </c>
      <c r="V3855">
        <v>110</v>
      </c>
      <c r="W3855" t="str">
        <f t="shared" si="365"/>
        <v>Prediabetes</v>
      </c>
      <c r="X3855">
        <v>1</v>
      </c>
    </row>
    <row r="3856" spans="1:24" ht="14.5" thickBot="1" x14ac:dyDescent="0.35">
      <c r="A3856">
        <v>1</v>
      </c>
      <c r="B3856" t="str">
        <f t="shared" si="363"/>
        <v>Male</v>
      </c>
      <c r="C3856" s="8">
        <v>62</v>
      </c>
      <c r="D3856" t="str">
        <f t="shared" si="364"/>
        <v>Senior</v>
      </c>
      <c r="E3856">
        <v>3</v>
      </c>
      <c r="F3856" t="str">
        <f>HLOOKUP(E3856, LookUP_Table!$A$6:$D$7, 2, FALSE)</f>
        <v>Graduate</v>
      </c>
      <c r="G3856" t="str">
        <f>IFERROR(VLOOKUP(E3856, LookUP_Table!$A$1:$B$4, 2, FALSE), "")</f>
        <v>Graduate</v>
      </c>
      <c r="H3856">
        <v>0</v>
      </c>
      <c r="I3856">
        <v>0</v>
      </c>
      <c r="J3856" t="str">
        <f t="shared" si="360"/>
        <v>Non-Smoker</v>
      </c>
      <c r="K3856">
        <v>0</v>
      </c>
      <c r="L3856">
        <v>0</v>
      </c>
      <c r="M3856">
        <v>0</v>
      </c>
      <c r="N3856">
        <v>0</v>
      </c>
      <c r="O3856">
        <v>211</v>
      </c>
      <c r="P3856" t="str">
        <f t="shared" si="361"/>
        <v>Normal</v>
      </c>
      <c r="Q3856">
        <v>128</v>
      </c>
      <c r="R3856">
        <v>78</v>
      </c>
      <c r="S3856">
        <v>27.99</v>
      </c>
      <c r="T3856" t="str">
        <f t="shared" si="362"/>
        <v>Overweight</v>
      </c>
      <c r="U3856">
        <v>56</v>
      </c>
      <c r="V3856">
        <v>83</v>
      </c>
      <c r="W3856" t="str">
        <f t="shared" si="365"/>
        <v>Normal</v>
      </c>
      <c r="X3856">
        <v>1</v>
      </c>
    </row>
    <row r="3857" spans="1:24" ht="14.5" thickBot="1" x14ac:dyDescent="0.35">
      <c r="A3857">
        <v>0</v>
      </c>
      <c r="B3857" t="str">
        <f t="shared" si="363"/>
        <v>Female</v>
      </c>
      <c r="C3857" s="8">
        <v>62</v>
      </c>
      <c r="D3857" t="str">
        <f t="shared" si="364"/>
        <v>Senior</v>
      </c>
      <c r="E3857">
        <v>4</v>
      </c>
      <c r="F3857" t="str">
        <f>HLOOKUP(E3857, LookUP_Table!$A$6:$D$7, 2, FALSE)</f>
        <v>Post Graduate</v>
      </c>
      <c r="G3857" t="str">
        <f>IFERROR(VLOOKUP(E3857, LookUP_Table!$A$1:$B$4, 2, FALSE), "")</f>
        <v>Post Graduate</v>
      </c>
      <c r="H3857">
        <v>0</v>
      </c>
      <c r="I3857">
        <v>0</v>
      </c>
      <c r="J3857" t="str">
        <f t="shared" si="360"/>
        <v>Non-Smoker</v>
      </c>
      <c r="K3857">
        <v>0</v>
      </c>
      <c r="L3857">
        <v>0</v>
      </c>
      <c r="M3857">
        <v>0</v>
      </c>
      <c r="N3857">
        <v>0</v>
      </c>
      <c r="O3857">
        <v>236.69952267303103</v>
      </c>
      <c r="P3857" t="str">
        <f t="shared" si="361"/>
        <v>Normal</v>
      </c>
      <c r="Q3857">
        <v>122</v>
      </c>
      <c r="R3857">
        <v>75.5</v>
      </c>
      <c r="S3857">
        <v>23.03</v>
      </c>
      <c r="T3857" t="str">
        <f t="shared" si="362"/>
        <v>Normal</v>
      </c>
      <c r="U3857">
        <v>75</v>
      </c>
      <c r="V3857">
        <v>81.96365524402907</v>
      </c>
      <c r="W3857" t="str">
        <f t="shared" si="365"/>
        <v>Normal</v>
      </c>
      <c r="X3857">
        <v>0</v>
      </c>
    </row>
    <row r="3858" spans="1:24" ht="14.5" thickBot="1" x14ac:dyDescent="0.35">
      <c r="A3858">
        <v>0</v>
      </c>
      <c r="B3858" t="str">
        <f t="shared" si="363"/>
        <v>Female</v>
      </c>
      <c r="C3858" s="8">
        <v>62</v>
      </c>
      <c r="D3858" t="str">
        <f t="shared" si="364"/>
        <v>Senior</v>
      </c>
      <c r="E3858">
        <v>1</v>
      </c>
      <c r="F3858" t="str">
        <f>HLOOKUP(E3858, LookUP_Table!$A$6:$D$7, 2, FALSE)</f>
        <v>Primary</v>
      </c>
      <c r="G3858" t="str">
        <f>IFERROR(VLOOKUP(E3858, LookUP_Table!$A$1:$B$4, 2, FALSE), "")</f>
        <v>Primary</v>
      </c>
      <c r="H3858">
        <v>0</v>
      </c>
      <c r="I3858">
        <v>0</v>
      </c>
      <c r="J3858" t="str">
        <f t="shared" si="360"/>
        <v>Non-Smoker</v>
      </c>
      <c r="K3858">
        <v>0</v>
      </c>
      <c r="L3858">
        <v>0</v>
      </c>
      <c r="M3858">
        <v>0</v>
      </c>
      <c r="N3858">
        <v>1</v>
      </c>
      <c r="O3858">
        <v>282</v>
      </c>
      <c r="P3858" t="str">
        <f t="shared" si="361"/>
        <v>High</v>
      </c>
      <c r="Q3858">
        <v>125</v>
      </c>
      <c r="R3858">
        <v>75</v>
      </c>
      <c r="S3858">
        <v>29.88</v>
      </c>
      <c r="T3858" t="str">
        <f t="shared" si="362"/>
        <v>Overweight</v>
      </c>
      <c r="U3858">
        <v>75</v>
      </c>
      <c r="V3858">
        <v>136</v>
      </c>
      <c r="W3858" t="str">
        <f t="shared" si="365"/>
        <v>Diabetes</v>
      </c>
      <c r="X3858">
        <v>0</v>
      </c>
    </row>
    <row r="3859" spans="1:24" ht="14.5" thickBot="1" x14ac:dyDescent="0.35">
      <c r="A3859">
        <v>1</v>
      </c>
      <c r="B3859" t="str">
        <f t="shared" si="363"/>
        <v>Male</v>
      </c>
      <c r="C3859" s="8">
        <v>62</v>
      </c>
      <c r="D3859" t="str">
        <f t="shared" si="364"/>
        <v>Senior</v>
      </c>
      <c r="E3859">
        <v>1</v>
      </c>
      <c r="F3859" t="str">
        <f>HLOOKUP(E3859, LookUP_Table!$A$6:$D$7, 2, FALSE)</f>
        <v>Primary</v>
      </c>
      <c r="G3859" t="str">
        <f>IFERROR(VLOOKUP(E3859, LookUP_Table!$A$1:$B$4, 2, FALSE), "")</f>
        <v>Primary</v>
      </c>
      <c r="H3859">
        <v>0</v>
      </c>
      <c r="I3859">
        <v>0</v>
      </c>
      <c r="J3859" t="str">
        <f t="shared" si="360"/>
        <v>Non-Smoker</v>
      </c>
      <c r="K3859">
        <v>0</v>
      </c>
      <c r="L3859">
        <v>0</v>
      </c>
      <c r="M3859">
        <v>0</v>
      </c>
      <c r="N3859">
        <v>0</v>
      </c>
      <c r="O3859">
        <v>252</v>
      </c>
      <c r="P3859" t="str">
        <f t="shared" si="361"/>
        <v>High</v>
      </c>
      <c r="Q3859">
        <v>156.5</v>
      </c>
      <c r="R3859">
        <v>93</v>
      </c>
      <c r="S3859">
        <v>28.65</v>
      </c>
      <c r="T3859" t="str">
        <f t="shared" si="362"/>
        <v>Overweight</v>
      </c>
      <c r="U3859">
        <v>88</v>
      </c>
      <c r="V3859">
        <v>97</v>
      </c>
      <c r="W3859" t="str">
        <f t="shared" si="365"/>
        <v>Normal</v>
      </c>
      <c r="X3859">
        <v>1</v>
      </c>
    </row>
    <row r="3860" spans="1:24" ht="14.5" thickBot="1" x14ac:dyDescent="0.35">
      <c r="A3860">
        <v>0</v>
      </c>
      <c r="B3860" t="str">
        <f t="shared" si="363"/>
        <v>Female</v>
      </c>
      <c r="C3860" s="8">
        <v>62</v>
      </c>
      <c r="D3860" t="str">
        <f t="shared" si="364"/>
        <v>Senior</v>
      </c>
      <c r="E3860">
        <v>1</v>
      </c>
      <c r="F3860" t="str">
        <f>HLOOKUP(E3860, LookUP_Table!$A$6:$D$7, 2, FALSE)</f>
        <v>Primary</v>
      </c>
      <c r="G3860" t="str">
        <f>IFERROR(VLOOKUP(E3860, LookUP_Table!$A$1:$B$4, 2, FALSE), "")</f>
        <v>Primary</v>
      </c>
      <c r="H3860">
        <v>0</v>
      </c>
      <c r="I3860">
        <v>0</v>
      </c>
      <c r="J3860" t="str">
        <f t="shared" si="360"/>
        <v>Non-Smoker</v>
      </c>
      <c r="K3860">
        <v>0</v>
      </c>
      <c r="L3860">
        <v>0</v>
      </c>
      <c r="M3860">
        <v>0</v>
      </c>
      <c r="N3860">
        <v>0</v>
      </c>
      <c r="O3860">
        <v>266</v>
      </c>
      <c r="P3860" t="str">
        <f t="shared" si="361"/>
        <v>High</v>
      </c>
      <c r="Q3860">
        <v>124</v>
      </c>
      <c r="R3860">
        <v>69</v>
      </c>
      <c r="S3860">
        <v>22.9</v>
      </c>
      <c r="T3860" t="str">
        <f t="shared" si="362"/>
        <v>Normal</v>
      </c>
      <c r="U3860">
        <v>66</v>
      </c>
      <c r="V3860">
        <v>82</v>
      </c>
      <c r="W3860" t="str">
        <f t="shared" si="365"/>
        <v>Normal</v>
      </c>
      <c r="X3860">
        <v>1</v>
      </c>
    </row>
    <row r="3861" spans="1:24" ht="14.5" thickBot="1" x14ac:dyDescent="0.35">
      <c r="A3861">
        <v>0</v>
      </c>
      <c r="B3861" t="str">
        <f t="shared" si="363"/>
        <v>Female</v>
      </c>
      <c r="C3861" s="8">
        <v>62</v>
      </c>
      <c r="D3861" t="str">
        <f t="shared" si="364"/>
        <v>Senior</v>
      </c>
      <c r="E3861">
        <v>3</v>
      </c>
      <c r="F3861" t="str">
        <f>HLOOKUP(E3861, LookUP_Table!$A$6:$D$7, 2, FALSE)</f>
        <v>Graduate</v>
      </c>
      <c r="G3861" t="str">
        <f>IFERROR(VLOOKUP(E3861, LookUP_Table!$A$1:$B$4, 2, FALSE), "")</f>
        <v>Graduate</v>
      </c>
      <c r="H3861">
        <v>1</v>
      </c>
      <c r="I3861">
        <v>20</v>
      </c>
      <c r="J3861" t="str">
        <f t="shared" si="360"/>
        <v>Smoker</v>
      </c>
      <c r="K3861">
        <v>1</v>
      </c>
      <c r="L3861">
        <v>0</v>
      </c>
      <c r="M3861">
        <v>1</v>
      </c>
      <c r="N3861">
        <v>1</v>
      </c>
      <c r="O3861">
        <v>358</v>
      </c>
      <c r="P3861" t="str">
        <f t="shared" si="361"/>
        <v>High</v>
      </c>
      <c r="Q3861">
        <v>215</v>
      </c>
      <c r="R3861">
        <v>110</v>
      </c>
      <c r="S3861">
        <v>37.619999999999997</v>
      </c>
      <c r="T3861" t="str">
        <f t="shared" si="362"/>
        <v>Obese</v>
      </c>
      <c r="U3861">
        <v>110</v>
      </c>
      <c r="V3861">
        <v>368</v>
      </c>
      <c r="W3861" t="str">
        <f t="shared" si="365"/>
        <v>Diabetes</v>
      </c>
      <c r="X3861">
        <v>1</v>
      </c>
    </row>
    <row r="3862" spans="1:24" ht="14.5" thickBot="1" x14ac:dyDescent="0.35">
      <c r="A3862">
        <v>0</v>
      </c>
      <c r="B3862" t="str">
        <f t="shared" si="363"/>
        <v>Female</v>
      </c>
      <c r="C3862" s="8">
        <v>62</v>
      </c>
      <c r="D3862" t="str">
        <f t="shared" si="364"/>
        <v>Senior</v>
      </c>
      <c r="E3862">
        <v>1</v>
      </c>
      <c r="F3862" t="str">
        <f>HLOOKUP(E3862, LookUP_Table!$A$6:$D$7, 2, FALSE)</f>
        <v>Primary</v>
      </c>
      <c r="G3862" t="str">
        <f>IFERROR(VLOOKUP(E3862, LookUP_Table!$A$1:$B$4, 2, FALSE), "")</f>
        <v>Primary</v>
      </c>
      <c r="H3862">
        <v>0</v>
      </c>
      <c r="I3862">
        <v>0</v>
      </c>
      <c r="J3862" t="str">
        <f t="shared" si="360"/>
        <v>Non-Smoker</v>
      </c>
      <c r="K3862">
        <v>0</v>
      </c>
      <c r="L3862">
        <v>0</v>
      </c>
      <c r="M3862">
        <v>0</v>
      </c>
      <c r="N3862">
        <v>0</v>
      </c>
      <c r="O3862">
        <v>242</v>
      </c>
      <c r="P3862" t="str">
        <f t="shared" si="361"/>
        <v>High</v>
      </c>
      <c r="Q3862">
        <v>137</v>
      </c>
      <c r="R3862">
        <v>75</v>
      </c>
      <c r="S3862">
        <v>30.51</v>
      </c>
      <c r="T3862" t="str">
        <f t="shared" si="362"/>
        <v>Obese</v>
      </c>
      <c r="U3862">
        <v>60</v>
      </c>
      <c r="V3862">
        <v>78</v>
      </c>
      <c r="W3862" t="str">
        <f t="shared" si="365"/>
        <v>Normal</v>
      </c>
      <c r="X3862">
        <v>0</v>
      </c>
    </row>
    <row r="3863" spans="1:24" ht="14.5" thickBot="1" x14ac:dyDescent="0.35">
      <c r="A3863">
        <v>1</v>
      </c>
      <c r="B3863" t="str">
        <f t="shared" si="363"/>
        <v>Male</v>
      </c>
      <c r="C3863" s="8">
        <v>62</v>
      </c>
      <c r="D3863" t="str">
        <f t="shared" si="364"/>
        <v>Senior</v>
      </c>
      <c r="E3863">
        <v>1</v>
      </c>
      <c r="F3863" t="str">
        <f>HLOOKUP(E3863, LookUP_Table!$A$6:$D$7, 2, FALSE)</f>
        <v>Primary</v>
      </c>
      <c r="G3863" t="str">
        <f>IFERROR(VLOOKUP(E3863, LookUP_Table!$A$1:$B$4, 2, FALSE), "")</f>
        <v>Primary</v>
      </c>
      <c r="H3863">
        <v>1</v>
      </c>
      <c r="I3863">
        <v>30</v>
      </c>
      <c r="J3863" t="str">
        <f t="shared" si="360"/>
        <v>Smoker</v>
      </c>
      <c r="K3863">
        <v>0</v>
      </c>
      <c r="L3863">
        <v>0</v>
      </c>
      <c r="M3863">
        <v>0</v>
      </c>
      <c r="N3863">
        <v>0</v>
      </c>
      <c r="O3863">
        <v>373</v>
      </c>
      <c r="P3863" t="str">
        <f t="shared" si="361"/>
        <v>High</v>
      </c>
      <c r="Q3863">
        <v>138.5</v>
      </c>
      <c r="R3863">
        <v>85</v>
      </c>
      <c r="S3863">
        <v>23.35</v>
      </c>
      <c r="T3863" t="str">
        <f t="shared" si="362"/>
        <v>Normal</v>
      </c>
      <c r="U3863">
        <v>80</v>
      </c>
      <c r="V3863">
        <v>67</v>
      </c>
      <c r="W3863" t="str">
        <f t="shared" si="365"/>
        <v>Normal</v>
      </c>
      <c r="X3863">
        <v>0</v>
      </c>
    </row>
    <row r="3864" spans="1:24" ht="14.5" thickBot="1" x14ac:dyDescent="0.35">
      <c r="A3864">
        <v>1</v>
      </c>
      <c r="B3864" t="str">
        <f t="shared" si="363"/>
        <v>Male</v>
      </c>
      <c r="C3864" s="8">
        <v>62</v>
      </c>
      <c r="D3864" t="str">
        <f t="shared" si="364"/>
        <v>Senior</v>
      </c>
      <c r="E3864">
        <v>1</v>
      </c>
      <c r="F3864" t="str">
        <f>HLOOKUP(E3864, LookUP_Table!$A$6:$D$7, 2, FALSE)</f>
        <v>Primary</v>
      </c>
      <c r="G3864" t="str">
        <f>IFERROR(VLOOKUP(E3864, LookUP_Table!$A$1:$B$4, 2, FALSE), "")</f>
        <v>Primary</v>
      </c>
      <c r="H3864">
        <v>0</v>
      </c>
      <c r="I3864">
        <v>0</v>
      </c>
      <c r="J3864" t="str">
        <f t="shared" si="360"/>
        <v>Non-Smoker</v>
      </c>
      <c r="K3864">
        <v>0</v>
      </c>
      <c r="L3864">
        <v>0</v>
      </c>
      <c r="M3864">
        <v>1</v>
      </c>
      <c r="N3864">
        <v>0</v>
      </c>
      <c r="O3864">
        <v>208</v>
      </c>
      <c r="P3864" t="str">
        <f t="shared" si="361"/>
        <v>Normal</v>
      </c>
      <c r="Q3864">
        <v>144</v>
      </c>
      <c r="R3864">
        <v>80</v>
      </c>
      <c r="S3864">
        <v>31.42</v>
      </c>
      <c r="T3864" t="str">
        <f t="shared" si="362"/>
        <v>Obese</v>
      </c>
      <c r="U3864">
        <v>75</v>
      </c>
      <c r="V3864">
        <v>66</v>
      </c>
      <c r="W3864" t="str">
        <f t="shared" si="365"/>
        <v>Normal</v>
      </c>
      <c r="X3864">
        <v>1</v>
      </c>
    </row>
    <row r="3865" spans="1:24" ht="14.5" thickBot="1" x14ac:dyDescent="0.35">
      <c r="A3865">
        <v>0</v>
      </c>
      <c r="B3865" t="str">
        <f t="shared" si="363"/>
        <v>Female</v>
      </c>
      <c r="C3865" s="8">
        <v>62</v>
      </c>
      <c r="D3865" t="str">
        <f t="shared" si="364"/>
        <v>Senior</v>
      </c>
      <c r="E3865">
        <v>1</v>
      </c>
      <c r="F3865" t="str">
        <f>HLOOKUP(E3865, LookUP_Table!$A$6:$D$7, 2, FALSE)</f>
        <v>Primary</v>
      </c>
      <c r="G3865" t="str">
        <f>IFERROR(VLOOKUP(E3865, LookUP_Table!$A$1:$B$4, 2, FALSE), "")</f>
        <v>Primary</v>
      </c>
      <c r="H3865">
        <v>0</v>
      </c>
      <c r="I3865">
        <v>0</v>
      </c>
      <c r="J3865" t="str">
        <f t="shared" si="360"/>
        <v>Non-Smoker</v>
      </c>
      <c r="K3865">
        <v>0</v>
      </c>
      <c r="L3865">
        <v>0</v>
      </c>
      <c r="M3865">
        <v>1</v>
      </c>
      <c r="N3865">
        <v>0</v>
      </c>
      <c r="O3865">
        <v>309</v>
      </c>
      <c r="P3865" t="str">
        <f t="shared" si="361"/>
        <v>High</v>
      </c>
      <c r="Q3865">
        <v>146</v>
      </c>
      <c r="R3865">
        <v>82.5</v>
      </c>
      <c r="S3865">
        <v>28.55</v>
      </c>
      <c r="T3865" t="str">
        <f t="shared" si="362"/>
        <v>Overweight</v>
      </c>
      <c r="U3865">
        <v>64</v>
      </c>
      <c r="V3865">
        <v>71</v>
      </c>
      <c r="W3865" t="str">
        <f t="shared" si="365"/>
        <v>Normal</v>
      </c>
      <c r="X3865">
        <v>1</v>
      </c>
    </row>
    <row r="3866" spans="1:24" ht="14.5" thickBot="1" x14ac:dyDescent="0.35">
      <c r="A3866">
        <v>1</v>
      </c>
      <c r="B3866" t="str">
        <f t="shared" si="363"/>
        <v>Male</v>
      </c>
      <c r="C3866" s="8">
        <v>62</v>
      </c>
      <c r="D3866" t="str">
        <f t="shared" si="364"/>
        <v>Senior</v>
      </c>
      <c r="E3866">
        <v>2</v>
      </c>
      <c r="F3866" t="str">
        <f>HLOOKUP(E3866, LookUP_Table!$A$6:$D$7, 2, FALSE)</f>
        <v>Secondary</v>
      </c>
      <c r="G3866" t="str">
        <f>IFERROR(VLOOKUP(E3866, LookUP_Table!$A$1:$B$4, 2, FALSE), "")</f>
        <v>Secondary</v>
      </c>
      <c r="H3866">
        <v>1</v>
      </c>
      <c r="I3866">
        <v>20</v>
      </c>
      <c r="J3866" t="str">
        <f t="shared" si="360"/>
        <v>Smoker</v>
      </c>
      <c r="K3866">
        <v>0</v>
      </c>
      <c r="L3866">
        <v>0</v>
      </c>
      <c r="M3866">
        <v>0</v>
      </c>
      <c r="N3866">
        <v>0</v>
      </c>
      <c r="O3866">
        <v>264</v>
      </c>
      <c r="P3866" t="str">
        <f t="shared" si="361"/>
        <v>High</v>
      </c>
      <c r="Q3866">
        <v>129</v>
      </c>
      <c r="R3866">
        <v>85</v>
      </c>
      <c r="S3866">
        <v>26.15</v>
      </c>
      <c r="T3866" t="str">
        <f t="shared" si="362"/>
        <v>Overweight</v>
      </c>
      <c r="U3866">
        <v>73</v>
      </c>
      <c r="V3866">
        <v>63</v>
      </c>
      <c r="W3866" t="str">
        <f t="shared" si="365"/>
        <v>Normal</v>
      </c>
      <c r="X3866">
        <v>0</v>
      </c>
    </row>
    <row r="3867" spans="1:24" ht="14.5" thickBot="1" x14ac:dyDescent="0.35">
      <c r="A3867">
        <v>1</v>
      </c>
      <c r="B3867" t="str">
        <f t="shared" si="363"/>
        <v>Male</v>
      </c>
      <c r="C3867" s="8">
        <v>62</v>
      </c>
      <c r="D3867" t="str">
        <f t="shared" si="364"/>
        <v>Senior</v>
      </c>
      <c r="E3867">
        <v>1</v>
      </c>
      <c r="F3867" t="str">
        <f>HLOOKUP(E3867, LookUP_Table!$A$6:$D$7, 2, FALSE)</f>
        <v>Primary</v>
      </c>
      <c r="G3867" t="str">
        <f>IFERROR(VLOOKUP(E3867, LookUP_Table!$A$1:$B$4, 2, FALSE), "")</f>
        <v>Primary</v>
      </c>
      <c r="H3867">
        <v>1</v>
      </c>
      <c r="I3867">
        <v>7</v>
      </c>
      <c r="J3867" t="str">
        <f t="shared" si="360"/>
        <v>Smoker</v>
      </c>
      <c r="K3867">
        <v>0</v>
      </c>
      <c r="L3867">
        <v>0</v>
      </c>
      <c r="M3867">
        <v>0</v>
      </c>
      <c r="N3867">
        <v>0</v>
      </c>
      <c r="O3867">
        <v>260</v>
      </c>
      <c r="P3867" t="str">
        <f t="shared" si="361"/>
        <v>High</v>
      </c>
      <c r="Q3867">
        <v>104</v>
      </c>
      <c r="R3867">
        <v>69</v>
      </c>
      <c r="S3867">
        <v>24.02</v>
      </c>
      <c r="T3867" t="str">
        <f t="shared" si="362"/>
        <v>Normal</v>
      </c>
      <c r="U3867">
        <v>70</v>
      </c>
      <c r="V3867">
        <v>93</v>
      </c>
      <c r="W3867" t="str">
        <f t="shared" si="365"/>
        <v>Normal</v>
      </c>
      <c r="X3867">
        <v>0</v>
      </c>
    </row>
    <row r="3868" spans="1:24" ht="14.5" thickBot="1" x14ac:dyDescent="0.35">
      <c r="A3868">
        <v>0</v>
      </c>
      <c r="B3868" t="str">
        <f t="shared" si="363"/>
        <v>Female</v>
      </c>
      <c r="C3868" s="8">
        <v>62</v>
      </c>
      <c r="D3868" t="str">
        <f t="shared" si="364"/>
        <v>Senior</v>
      </c>
      <c r="E3868">
        <v>1</v>
      </c>
      <c r="F3868" t="str">
        <f>HLOOKUP(E3868, LookUP_Table!$A$6:$D$7, 2, FALSE)</f>
        <v>Primary</v>
      </c>
      <c r="G3868" t="str">
        <f>IFERROR(VLOOKUP(E3868, LookUP_Table!$A$1:$B$4, 2, FALSE), "")</f>
        <v>Primary</v>
      </c>
      <c r="H3868">
        <v>0</v>
      </c>
      <c r="I3868">
        <v>0</v>
      </c>
      <c r="J3868" t="str">
        <f t="shared" si="360"/>
        <v>Non-Smoker</v>
      </c>
      <c r="K3868">
        <v>0</v>
      </c>
      <c r="L3868">
        <v>0</v>
      </c>
      <c r="M3868">
        <v>0</v>
      </c>
      <c r="N3868">
        <v>0</v>
      </c>
      <c r="O3868">
        <v>207</v>
      </c>
      <c r="P3868" t="str">
        <f t="shared" si="361"/>
        <v>Normal</v>
      </c>
      <c r="Q3868">
        <v>127.5</v>
      </c>
      <c r="R3868">
        <v>75</v>
      </c>
      <c r="S3868">
        <v>22.91</v>
      </c>
      <c r="T3868" t="str">
        <f t="shared" si="362"/>
        <v>Normal</v>
      </c>
      <c r="U3868">
        <v>58</v>
      </c>
      <c r="V3868">
        <v>80</v>
      </c>
      <c r="W3868" t="str">
        <f t="shared" si="365"/>
        <v>Normal</v>
      </c>
      <c r="X3868">
        <v>0</v>
      </c>
    </row>
    <row r="3869" spans="1:24" ht="14.5" thickBot="1" x14ac:dyDescent="0.35">
      <c r="A3869">
        <v>1</v>
      </c>
      <c r="B3869" t="str">
        <f t="shared" si="363"/>
        <v>Male</v>
      </c>
      <c r="C3869" s="8">
        <v>62</v>
      </c>
      <c r="D3869" t="str">
        <f t="shared" si="364"/>
        <v>Senior</v>
      </c>
      <c r="E3869">
        <v>4</v>
      </c>
      <c r="F3869" t="str">
        <f>HLOOKUP(E3869, LookUP_Table!$A$6:$D$7, 2, FALSE)</f>
        <v>Post Graduate</v>
      </c>
      <c r="G3869" t="str">
        <f>IFERROR(VLOOKUP(E3869, LookUP_Table!$A$1:$B$4, 2, FALSE), "")</f>
        <v>Post Graduate</v>
      </c>
      <c r="H3869">
        <v>0</v>
      </c>
      <c r="I3869">
        <v>0</v>
      </c>
      <c r="J3869" t="str">
        <f t="shared" si="360"/>
        <v>Non-Smoker</v>
      </c>
      <c r="K3869">
        <v>0</v>
      </c>
      <c r="L3869">
        <v>0</v>
      </c>
      <c r="M3869">
        <v>1</v>
      </c>
      <c r="N3869">
        <v>0</v>
      </c>
      <c r="O3869">
        <v>241</v>
      </c>
      <c r="P3869" t="str">
        <f t="shared" si="361"/>
        <v>High</v>
      </c>
      <c r="Q3869">
        <v>135</v>
      </c>
      <c r="R3869">
        <v>97.5</v>
      </c>
      <c r="S3869">
        <v>24.88</v>
      </c>
      <c r="T3869" t="str">
        <f t="shared" si="362"/>
        <v>Normal</v>
      </c>
      <c r="U3869">
        <v>85</v>
      </c>
      <c r="V3869">
        <v>96</v>
      </c>
      <c r="W3869" t="str">
        <f t="shared" si="365"/>
        <v>Normal</v>
      </c>
      <c r="X3869">
        <v>0</v>
      </c>
    </row>
    <row r="3870" spans="1:24" ht="14.5" thickBot="1" x14ac:dyDescent="0.35">
      <c r="A3870">
        <v>0</v>
      </c>
      <c r="B3870" t="str">
        <f t="shared" si="363"/>
        <v>Female</v>
      </c>
      <c r="C3870" s="8">
        <v>62</v>
      </c>
      <c r="D3870" t="str">
        <f t="shared" si="364"/>
        <v>Senior</v>
      </c>
      <c r="E3870">
        <v>1</v>
      </c>
      <c r="F3870" t="str">
        <f>HLOOKUP(E3870, LookUP_Table!$A$6:$D$7, 2, FALSE)</f>
        <v>Primary</v>
      </c>
      <c r="G3870" t="str">
        <f>IFERROR(VLOOKUP(E3870, LookUP_Table!$A$1:$B$4, 2, FALSE), "")</f>
        <v>Primary</v>
      </c>
      <c r="H3870">
        <v>0</v>
      </c>
      <c r="I3870">
        <v>0</v>
      </c>
      <c r="J3870" t="str">
        <f t="shared" si="360"/>
        <v>Non-Smoker</v>
      </c>
      <c r="K3870">
        <v>1</v>
      </c>
      <c r="L3870">
        <v>0</v>
      </c>
      <c r="M3870">
        <v>1</v>
      </c>
      <c r="N3870">
        <v>0</v>
      </c>
      <c r="O3870">
        <v>325</v>
      </c>
      <c r="P3870" t="str">
        <f t="shared" si="361"/>
        <v>High</v>
      </c>
      <c r="Q3870">
        <v>180</v>
      </c>
      <c r="R3870">
        <v>108</v>
      </c>
      <c r="S3870">
        <v>35.159999999999997</v>
      </c>
      <c r="T3870" t="str">
        <f t="shared" si="362"/>
        <v>Obese</v>
      </c>
      <c r="U3870">
        <v>75</v>
      </c>
      <c r="V3870">
        <v>81</v>
      </c>
      <c r="W3870" t="str">
        <f t="shared" si="365"/>
        <v>Normal</v>
      </c>
      <c r="X3870">
        <v>0</v>
      </c>
    </row>
    <row r="3871" spans="1:24" ht="14.5" thickBot="1" x14ac:dyDescent="0.35">
      <c r="A3871">
        <v>1</v>
      </c>
      <c r="B3871" t="str">
        <f t="shared" si="363"/>
        <v>Male</v>
      </c>
      <c r="C3871" s="8">
        <v>62</v>
      </c>
      <c r="D3871" t="str">
        <f t="shared" si="364"/>
        <v>Senior</v>
      </c>
      <c r="E3871">
        <v>2</v>
      </c>
      <c r="F3871" t="str">
        <f>HLOOKUP(E3871, LookUP_Table!$A$6:$D$7, 2, FALSE)</f>
        <v>Secondary</v>
      </c>
      <c r="G3871" t="str">
        <f>IFERROR(VLOOKUP(E3871, LookUP_Table!$A$1:$B$4, 2, FALSE), "")</f>
        <v>Secondary</v>
      </c>
      <c r="H3871">
        <v>0</v>
      </c>
      <c r="I3871">
        <v>0</v>
      </c>
      <c r="J3871" t="str">
        <f t="shared" si="360"/>
        <v>Non-Smoker</v>
      </c>
      <c r="K3871">
        <v>0</v>
      </c>
      <c r="L3871">
        <v>0</v>
      </c>
      <c r="M3871">
        <v>0</v>
      </c>
      <c r="N3871">
        <v>0</v>
      </c>
      <c r="O3871">
        <v>214</v>
      </c>
      <c r="P3871" t="str">
        <f t="shared" si="361"/>
        <v>Normal</v>
      </c>
      <c r="Q3871">
        <v>130</v>
      </c>
      <c r="R3871">
        <v>80</v>
      </c>
      <c r="S3871">
        <v>24.35</v>
      </c>
      <c r="T3871" t="str">
        <f t="shared" si="362"/>
        <v>Normal</v>
      </c>
      <c r="U3871">
        <v>75</v>
      </c>
      <c r="V3871">
        <v>77</v>
      </c>
      <c r="W3871" t="str">
        <f t="shared" si="365"/>
        <v>Normal</v>
      </c>
      <c r="X3871">
        <v>0</v>
      </c>
    </row>
    <row r="3872" spans="1:24" ht="14.5" thickBot="1" x14ac:dyDescent="0.35">
      <c r="A3872">
        <v>0</v>
      </c>
      <c r="B3872" t="str">
        <f t="shared" si="363"/>
        <v>Female</v>
      </c>
      <c r="C3872" s="8">
        <v>63</v>
      </c>
      <c r="D3872" t="str">
        <f t="shared" si="364"/>
        <v>Senior</v>
      </c>
      <c r="E3872">
        <v>1</v>
      </c>
      <c r="F3872" t="str">
        <f>HLOOKUP(E3872, LookUP_Table!$A$6:$D$7, 2, FALSE)</f>
        <v>Primary</v>
      </c>
      <c r="G3872" t="str">
        <f>IFERROR(VLOOKUP(E3872, LookUP_Table!$A$1:$B$4, 2, FALSE), "")</f>
        <v>Primary</v>
      </c>
      <c r="H3872">
        <v>0</v>
      </c>
      <c r="I3872">
        <v>0</v>
      </c>
      <c r="J3872" t="str">
        <f t="shared" si="360"/>
        <v>Non-Smoker</v>
      </c>
      <c r="K3872">
        <v>0</v>
      </c>
      <c r="L3872">
        <v>0</v>
      </c>
      <c r="M3872">
        <v>0</v>
      </c>
      <c r="N3872">
        <v>0</v>
      </c>
      <c r="O3872">
        <v>205</v>
      </c>
      <c r="P3872" t="str">
        <f t="shared" si="361"/>
        <v>Normal</v>
      </c>
      <c r="Q3872">
        <v>138</v>
      </c>
      <c r="R3872">
        <v>71</v>
      </c>
      <c r="S3872">
        <v>33.11</v>
      </c>
      <c r="T3872" t="str">
        <f t="shared" si="362"/>
        <v>Obese</v>
      </c>
      <c r="U3872">
        <v>60</v>
      </c>
      <c r="V3872">
        <v>85</v>
      </c>
      <c r="W3872" t="str">
        <f t="shared" si="365"/>
        <v>Normal</v>
      </c>
      <c r="X3872">
        <v>1</v>
      </c>
    </row>
    <row r="3873" spans="1:24" ht="14.5" thickBot="1" x14ac:dyDescent="0.35">
      <c r="A3873">
        <v>0</v>
      </c>
      <c r="B3873" t="str">
        <f t="shared" si="363"/>
        <v>Female</v>
      </c>
      <c r="C3873" s="8">
        <v>63</v>
      </c>
      <c r="D3873" t="str">
        <f t="shared" si="364"/>
        <v>Senior</v>
      </c>
      <c r="E3873">
        <v>2</v>
      </c>
      <c r="F3873" t="str">
        <f>HLOOKUP(E3873, LookUP_Table!$A$6:$D$7, 2, FALSE)</f>
        <v>Secondary</v>
      </c>
      <c r="G3873" t="str">
        <f>IFERROR(VLOOKUP(E3873, LookUP_Table!$A$1:$B$4, 2, FALSE), "")</f>
        <v>Secondary</v>
      </c>
      <c r="H3873">
        <v>1</v>
      </c>
      <c r="I3873">
        <v>40</v>
      </c>
      <c r="J3873" t="str">
        <f t="shared" si="360"/>
        <v>Smoker</v>
      </c>
      <c r="K3873">
        <v>0</v>
      </c>
      <c r="L3873">
        <v>0</v>
      </c>
      <c r="M3873">
        <v>0</v>
      </c>
      <c r="N3873">
        <v>0</v>
      </c>
      <c r="O3873">
        <v>179</v>
      </c>
      <c r="P3873" t="str">
        <f t="shared" si="361"/>
        <v>Normal</v>
      </c>
      <c r="Q3873">
        <v>116</v>
      </c>
      <c r="R3873">
        <v>69</v>
      </c>
      <c r="S3873">
        <v>22.15</v>
      </c>
      <c r="T3873" t="str">
        <f t="shared" si="362"/>
        <v>Normal</v>
      </c>
      <c r="U3873">
        <v>95</v>
      </c>
      <c r="V3873">
        <v>75</v>
      </c>
      <c r="W3873" t="str">
        <f t="shared" si="365"/>
        <v>Normal</v>
      </c>
      <c r="X3873">
        <v>1</v>
      </c>
    </row>
    <row r="3874" spans="1:24" ht="14.5" thickBot="1" x14ac:dyDescent="0.35">
      <c r="A3874">
        <v>0</v>
      </c>
      <c r="B3874" t="str">
        <f t="shared" si="363"/>
        <v>Female</v>
      </c>
      <c r="C3874" s="8">
        <v>63</v>
      </c>
      <c r="D3874" t="str">
        <f t="shared" si="364"/>
        <v>Senior</v>
      </c>
      <c r="E3874">
        <v>1</v>
      </c>
      <c r="F3874" t="str">
        <f>HLOOKUP(E3874, LookUP_Table!$A$6:$D$7, 2, FALSE)</f>
        <v>Primary</v>
      </c>
      <c r="G3874" t="str">
        <f>IFERROR(VLOOKUP(E3874, LookUP_Table!$A$1:$B$4, 2, FALSE), "")</f>
        <v>Primary</v>
      </c>
      <c r="H3874">
        <v>1</v>
      </c>
      <c r="I3874">
        <v>3</v>
      </c>
      <c r="J3874" t="str">
        <f t="shared" si="360"/>
        <v>Smoker</v>
      </c>
      <c r="K3874">
        <v>0</v>
      </c>
      <c r="L3874">
        <v>0</v>
      </c>
      <c r="M3874">
        <v>1</v>
      </c>
      <c r="N3874">
        <v>0</v>
      </c>
      <c r="O3874">
        <v>267</v>
      </c>
      <c r="P3874" t="str">
        <f t="shared" si="361"/>
        <v>High</v>
      </c>
      <c r="Q3874">
        <v>156.5</v>
      </c>
      <c r="R3874">
        <v>92.5</v>
      </c>
      <c r="S3874">
        <v>27.1</v>
      </c>
      <c r="T3874" t="str">
        <f t="shared" si="362"/>
        <v>Overweight</v>
      </c>
      <c r="U3874">
        <v>60</v>
      </c>
      <c r="V3874">
        <v>79</v>
      </c>
      <c r="W3874" t="str">
        <f t="shared" si="365"/>
        <v>Normal</v>
      </c>
      <c r="X3874">
        <v>1</v>
      </c>
    </row>
    <row r="3875" spans="1:24" ht="14.5" thickBot="1" x14ac:dyDescent="0.35">
      <c r="A3875">
        <v>0</v>
      </c>
      <c r="B3875" t="str">
        <f t="shared" si="363"/>
        <v>Female</v>
      </c>
      <c r="C3875" s="8">
        <v>63</v>
      </c>
      <c r="D3875" t="str">
        <f t="shared" si="364"/>
        <v>Senior</v>
      </c>
      <c r="E3875">
        <v>1</v>
      </c>
      <c r="F3875" t="str">
        <f>HLOOKUP(E3875, LookUP_Table!$A$6:$D$7, 2, FALSE)</f>
        <v>Primary</v>
      </c>
      <c r="G3875" t="str">
        <f>IFERROR(VLOOKUP(E3875, LookUP_Table!$A$1:$B$4, 2, FALSE), "")</f>
        <v>Primary</v>
      </c>
      <c r="H3875">
        <v>0</v>
      </c>
      <c r="I3875">
        <v>0</v>
      </c>
      <c r="J3875" t="str">
        <f t="shared" si="360"/>
        <v>Non-Smoker</v>
      </c>
      <c r="K3875">
        <v>0</v>
      </c>
      <c r="L3875">
        <v>0</v>
      </c>
      <c r="M3875">
        <v>1</v>
      </c>
      <c r="N3875">
        <v>0</v>
      </c>
      <c r="O3875">
        <v>252</v>
      </c>
      <c r="P3875" t="str">
        <f t="shared" si="361"/>
        <v>High</v>
      </c>
      <c r="Q3875">
        <v>154</v>
      </c>
      <c r="R3875">
        <v>87</v>
      </c>
      <c r="S3875">
        <v>28.6</v>
      </c>
      <c r="T3875" t="str">
        <f t="shared" si="362"/>
        <v>Overweight</v>
      </c>
      <c r="U3875">
        <v>72</v>
      </c>
      <c r="V3875">
        <v>45</v>
      </c>
      <c r="W3875" t="str">
        <f t="shared" si="365"/>
        <v>Normal</v>
      </c>
      <c r="X3875">
        <v>0</v>
      </c>
    </row>
    <row r="3876" spans="1:24" ht="14.5" thickBot="1" x14ac:dyDescent="0.35">
      <c r="A3876">
        <v>0</v>
      </c>
      <c r="B3876" t="str">
        <f t="shared" si="363"/>
        <v>Female</v>
      </c>
      <c r="C3876" s="8">
        <v>63</v>
      </c>
      <c r="D3876" t="str">
        <f t="shared" si="364"/>
        <v>Senior</v>
      </c>
      <c r="E3876">
        <v>4</v>
      </c>
      <c r="F3876" t="str">
        <f>HLOOKUP(E3876, LookUP_Table!$A$6:$D$7, 2, FALSE)</f>
        <v>Post Graduate</v>
      </c>
      <c r="G3876" t="str">
        <f>IFERROR(VLOOKUP(E3876, LookUP_Table!$A$1:$B$4, 2, FALSE), "")</f>
        <v>Post Graduate</v>
      </c>
      <c r="H3876">
        <v>0</v>
      </c>
      <c r="I3876">
        <v>0</v>
      </c>
      <c r="J3876" t="str">
        <f t="shared" si="360"/>
        <v>Non-Smoker</v>
      </c>
      <c r="K3876">
        <v>0</v>
      </c>
      <c r="L3876">
        <v>0</v>
      </c>
      <c r="M3876">
        <v>0</v>
      </c>
      <c r="N3876">
        <v>0</v>
      </c>
      <c r="O3876">
        <v>248</v>
      </c>
      <c r="P3876" t="str">
        <f t="shared" si="361"/>
        <v>High</v>
      </c>
      <c r="Q3876">
        <v>164.5</v>
      </c>
      <c r="R3876">
        <v>76</v>
      </c>
      <c r="S3876">
        <v>29.35</v>
      </c>
      <c r="T3876" t="str">
        <f t="shared" si="362"/>
        <v>Overweight</v>
      </c>
      <c r="U3876">
        <v>70</v>
      </c>
      <c r="V3876">
        <v>81.96365524402907</v>
      </c>
      <c r="W3876" t="str">
        <f t="shared" si="365"/>
        <v>Normal</v>
      </c>
      <c r="X3876">
        <v>0</v>
      </c>
    </row>
    <row r="3877" spans="1:24" ht="14.5" thickBot="1" x14ac:dyDescent="0.35">
      <c r="A3877">
        <v>0</v>
      </c>
      <c r="B3877" t="str">
        <f t="shared" si="363"/>
        <v>Female</v>
      </c>
      <c r="C3877" s="8">
        <v>63</v>
      </c>
      <c r="D3877" t="str">
        <f t="shared" si="364"/>
        <v>Senior</v>
      </c>
      <c r="E3877">
        <v>4</v>
      </c>
      <c r="F3877" t="str">
        <f>HLOOKUP(E3877, LookUP_Table!$A$6:$D$7, 2, FALSE)</f>
        <v>Post Graduate</v>
      </c>
      <c r="G3877" t="str">
        <f>IFERROR(VLOOKUP(E3877, LookUP_Table!$A$1:$B$4, 2, FALSE), "")</f>
        <v>Post Graduate</v>
      </c>
      <c r="H3877">
        <v>1</v>
      </c>
      <c r="I3877">
        <v>20</v>
      </c>
      <c r="J3877" t="str">
        <f t="shared" si="360"/>
        <v>Smoker</v>
      </c>
      <c r="K3877">
        <v>0</v>
      </c>
      <c r="L3877">
        <v>0</v>
      </c>
      <c r="M3877">
        <v>0</v>
      </c>
      <c r="N3877">
        <v>1</v>
      </c>
      <c r="O3877">
        <v>239</v>
      </c>
      <c r="P3877" t="str">
        <f t="shared" si="361"/>
        <v>Normal</v>
      </c>
      <c r="Q3877">
        <v>134</v>
      </c>
      <c r="R3877">
        <v>80</v>
      </c>
      <c r="S3877">
        <v>26.64</v>
      </c>
      <c r="T3877" t="str">
        <f t="shared" si="362"/>
        <v>Overweight</v>
      </c>
      <c r="U3877">
        <v>88</v>
      </c>
      <c r="V3877">
        <v>126</v>
      </c>
      <c r="W3877" t="str">
        <f t="shared" si="365"/>
        <v>Diabetes</v>
      </c>
      <c r="X3877">
        <v>0</v>
      </c>
    </row>
    <row r="3878" spans="1:24" ht="14.5" thickBot="1" x14ac:dyDescent="0.35">
      <c r="A3878">
        <v>0</v>
      </c>
      <c r="B3878" t="str">
        <f t="shared" si="363"/>
        <v>Female</v>
      </c>
      <c r="C3878" s="8">
        <v>63</v>
      </c>
      <c r="D3878" t="str">
        <f t="shared" si="364"/>
        <v>Senior</v>
      </c>
      <c r="E3878">
        <v>1</v>
      </c>
      <c r="F3878" t="str">
        <f>HLOOKUP(E3878, LookUP_Table!$A$6:$D$7, 2, FALSE)</f>
        <v>Primary</v>
      </c>
      <c r="G3878" t="str">
        <f>IFERROR(VLOOKUP(E3878, LookUP_Table!$A$1:$B$4, 2, FALSE), "")</f>
        <v>Primary</v>
      </c>
      <c r="H3878">
        <v>0</v>
      </c>
      <c r="I3878">
        <v>0</v>
      </c>
      <c r="J3878" t="str">
        <f t="shared" si="360"/>
        <v>Non-Smoker</v>
      </c>
      <c r="K3878">
        <v>0</v>
      </c>
      <c r="L3878">
        <v>0</v>
      </c>
      <c r="M3878">
        <v>0</v>
      </c>
      <c r="N3878">
        <v>0</v>
      </c>
      <c r="O3878">
        <v>273</v>
      </c>
      <c r="P3878" t="str">
        <f t="shared" si="361"/>
        <v>High</v>
      </c>
      <c r="Q3878">
        <v>135</v>
      </c>
      <c r="R3878">
        <v>82</v>
      </c>
      <c r="S3878">
        <v>26.76</v>
      </c>
      <c r="T3878" t="str">
        <f t="shared" si="362"/>
        <v>Overweight</v>
      </c>
      <c r="U3878">
        <v>85</v>
      </c>
      <c r="V3878">
        <v>56</v>
      </c>
      <c r="W3878" t="str">
        <f t="shared" si="365"/>
        <v>Normal</v>
      </c>
      <c r="X3878">
        <v>0</v>
      </c>
    </row>
    <row r="3879" spans="1:24" ht="14.5" thickBot="1" x14ac:dyDescent="0.35">
      <c r="A3879">
        <v>1</v>
      </c>
      <c r="B3879" t="str">
        <f t="shared" si="363"/>
        <v>Male</v>
      </c>
      <c r="C3879" s="8">
        <v>63</v>
      </c>
      <c r="D3879" t="str">
        <f t="shared" si="364"/>
        <v>Senior</v>
      </c>
      <c r="E3879">
        <v>4</v>
      </c>
      <c r="F3879" t="str">
        <f>HLOOKUP(E3879, LookUP_Table!$A$6:$D$7, 2, FALSE)</f>
        <v>Post Graduate</v>
      </c>
      <c r="G3879" t="str">
        <f>IFERROR(VLOOKUP(E3879, LookUP_Table!$A$1:$B$4, 2, FALSE), "")</f>
        <v>Post Graduate</v>
      </c>
      <c r="H3879">
        <v>1</v>
      </c>
      <c r="I3879">
        <v>30</v>
      </c>
      <c r="J3879" t="str">
        <f t="shared" si="360"/>
        <v>Smoker</v>
      </c>
      <c r="K3879">
        <v>0</v>
      </c>
      <c r="L3879">
        <v>0</v>
      </c>
      <c r="M3879">
        <v>0</v>
      </c>
      <c r="N3879">
        <v>0</v>
      </c>
      <c r="O3879">
        <v>260</v>
      </c>
      <c r="P3879" t="str">
        <f t="shared" si="361"/>
        <v>High</v>
      </c>
      <c r="Q3879">
        <v>130.5</v>
      </c>
      <c r="R3879">
        <v>82</v>
      </c>
      <c r="S3879">
        <v>20.12</v>
      </c>
      <c r="T3879" t="str">
        <f t="shared" si="362"/>
        <v>Normal</v>
      </c>
      <c r="U3879">
        <v>65</v>
      </c>
      <c r="V3879">
        <v>72</v>
      </c>
      <c r="W3879" t="str">
        <f t="shared" si="365"/>
        <v>Normal</v>
      </c>
      <c r="X3879">
        <v>0</v>
      </c>
    </row>
    <row r="3880" spans="1:24" ht="14.5" thickBot="1" x14ac:dyDescent="0.35">
      <c r="A3880">
        <v>0</v>
      </c>
      <c r="B3880" t="str">
        <f t="shared" si="363"/>
        <v>Female</v>
      </c>
      <c r="C3880" s="8">
        <v>63</v>
      </c>
      <c r="D3880" t="str">
        <f t="shared" si="364"/>
        <v>Senior</v>
      </c>
      <c r="E3880">
        <v>1</v>
      </c>
      <c r="F3880" t="str">
        <f>HLOOKUP(E3880, LookUP_Table!$A$6:$D$7, 2, FALSE)</f>
        <v>Primary</v>
      </c>
      <c r="G3880" t="str">
        <f>IFERROR(VLOOKUP(E3880, LookUP_Table!$A$1:$B$4, 2, FALSE), "")</f>
        <v>Primary</v>
      </c>
      <c r="H3880">
        <v>1</v>
      </c>
      <c r="I3880">
        <v>20</v>
      </c>
      <c r="J3880" t="str">
        <f t="shared" si="360"/>
        <v>Smoker</v>
      </c>
      <c r="K3880">
        <v>0</v>
      </c>
      <c r="L3880">
        <v>0</v>
      </c>
      <c r="M3880">
        <v>0</v>
      </c>
      <c r="N3880">
        <v>0</v>
      </c>
      <c r="O3880">
        <v>260</v>
      </c>
      <c r="P3880" t="str">
        <f t="shared" si="361"/>
        <v>High</v>
      </c>
      <c r="Q3880">
        <v>168</v>
      </c>
      <c r="R3880">
        <v>98</v>
      </c>
      <c r="S3880">
        <v>21.05</v>
      </c>
      <c r="T3880" t="str">
        <f t="shared" si="362"/>
        <v>Normal</v>
      </c>
      <c r="U3880">
        <v>85</v>
      </c>
      <c r="V3880">
        <v>73</v>
      </c>
      <c r="W3880" t="str">
        <f t="shared" si="365"/>
        <v>Normal</v>
      </c>
      <c r="X3880">
        <v>0</v>
      </c>
    </row>
    <row r="3881" spans="1:24" ht="14.5" thickBot="1" x14ac:dyDescent="0.35">
      <c r="A3881">
        <v>0</v>
      </c>
      <c r="B3881" t="str">
        <f t="shared" si="363"/>
        <v>Female</v>
      </c>
      <c r="C3881" s="8">
        <v>63</v>
      </c>
      <c r="D3881" t="str">
        <f t="shared" si="364"/>
        <v>Senior</v>
      </c>
      <c r="E3881">
        <v>1</v>
      </c>
      <c r="F3881" t="str">
        <f>HLOOKUP(E3881, LookUP_Table!$A$6:$D$7, 2, FALSE)</f>
        <v>Primary</v>
      </c>
      <c r="G3881" t="str">
        <f>IFERROR(VLOOKUP(E3881, LookUP_Table!$A$1:$B$4, 2, FALSE), "")</f>
        <v>Primary</v>
      </c>
      <c r="H3881">
        <v>1</v>
      </c>
      <c r="I3881">
        <v>20</v>
      </c>
      <c r="J3881" t="str">
        <f t="shared" si="360"/>
        <v>Smoker</v>
      </c>
      <c r="K3881">
        <v>0</v>
      </c>
      <c r="L3881">
        <v>0</v>
      </c>
      <c r="M3881">
        <v>0</v>
      </c>
      <c r="N3881">
        <v>0</v>
      </c>
      <c r="O3881">
        <v>238</v>
      </c>
      <c r="P3881" t="str">
        <f t="shared" si="361"/>
        <v>Normal</v>
      </c>
      <c r="Q3881">
        <v>136</v>
      </c>
      <c r="R3881">
        <v>66</v>
      </c>
      <c r="S3881">
        <v>20.2</v>
      </c>
      <c r="T3881" t="str">
        <f t="shared" si="362"/>
        <v>Normal</v>
      </c>
      <c r="U3881">
        <v>60</v>
      </c>
      <c r="V3881">
        <v>92</v>
      </c>
      <c r="W3881" t="str">
        <f t="shared" si="365"/>
        <v>Normal</v>
      </c>
      <c r="X3881">
        <v>1</v>
      </c>
    </row>
    <row r="3882" spans="1:24" ht="14.5" thickBot="1" x14ac:dyDescent="0.35">
      <c r="A3882">
        <v>0</v>
      </c>
      <c r="B3882" t="str">
        <f t="shared" si="363"/>
        <v>Female</v>
      </c>
      <c r="C3882" s="8">
        <v>63</v>
      </c>
      <c r="D3882" t="str">
        <f t="shared" si="364"/>
        <v>Senior</v>
      </c>
      <c r="E3882">
        <v>2</v>
      </c>
      <c r="F3882" t="str">
        <f>HLOOKUP(E3882, LookUP_Table!$A$6:$D$7, 2, FALSE)</f>
        <v>Secondary</v>
      </c>
      <c r="G3882" t="str">
        <f>IFERROR(VLOOKUP(E3882, LookUP_Table!$A$1:$B$4, 2, FALSE), "")</f>
        <v>Secondary</v>
      </c>
      <c r="H3882">
        <v>0</v>
      </c>
      <c r="I3882">
        <v>0</v>
      </c>
      <c r="J3882" t="str">
        <f t="shared" si="360"/>
        <v>Non-Smoker</v>
      </c>
      <c r="K3882">
        <v>0</v>
      </c>
      <c r="L3882">
        <v>0</v>
      </c>
      <c r="M3882">
        <v>1</v>
      </c>
      <c r="N3882">
        <v>0</v>
      </c>
      <c r="O3882">
        <v>223</v>
      </c>
      <c r="P3882" t="str">
        <f t="shared" si="361"/>
        <v>Normal</v>
      </c>
      <c r="Q3882">
        <v>178</v>
      </c>
      <c r="R3882">
        <v>88.5</v>
      </c>
      <c r="S3882">
        <v>27.18</v>
      </c>
      <c r="T3882" t="str">
        <f t="shared" si="362"/>
        <v>Overweight</v>
      </c>
      <c r="U3882">
        <v>85</v>
      </c>
      <c r="V3882">
        <v>91</v>
      </c>
      <c r="W3882" t="str">
        <f t="shared" si="365"/>
        <v>Normal</v>
      </c>
      <c r="X3882">
        <v>0</v>
      </c>
    </row>
    <row r="3883" spans="1:24" ht="14.5" thickBot="1" x14ac:dyDescent="0.35">
      <c r="A3883">
        <v>1</v>
      </c>
      <c r="B3883" t="str">
        <f t="shared" si="363"/>
        <v>Male</v>
      </c>
      <c r="C3883" s="8">
        <v>63</v>
      </c>
      <c r="D3883" t="str">
        <f t="shared" si="364"/>
        <v>Senior</v>
      </c>
      <c r="E3883">
        <v>1</v>
      </c>
      <c r="F3883" t="str">
        <f>HLOOKUP(E3883, LookUP_Table!$A$6:$D$7, 2, FALSE)</f>
        <v>Primary</v>
      </c>
      <c r="G3883" t="str">
        <f>IFERROR(VLOOKUP(E3883, LookUP_Table!$A$1:$B$4, 2, FALSE), "")</f>
        <v>Primary</v>
      </c>
      <c r="H3883">
        <v>0</v>
      </c>
      <c r="I3883">
        <v>0</v>
      </c>
      <c r="J3883" t="str">
        <f t="shared" si="360"/>
        <v>Non-Smoker</v>
      </c>
      <c r="K3883">
        <v>0</v>
      </c>
      <c r="L3883">
        <v>0</v>
      </c>
      <c r="M3883">
        <v>0</v>
      </c>
      <c r="N3883">
        <v>0</v>
      </c>
      <c r="O3883">
        <v>237</v>
      </c>
      <c r="P3883" t="str">
        <f t="shared" si="361"/>
        <v>Normal</v>
      </c>
      <c r="Q3883">
        <v>113</v>
      </c>
      <c r="R3883">
        <v>80</v>
      </c>
      <c r="S3883">
        <v>27.61</v>
      </c>
      <c r="T3883" t="str">
        <f t="shared" si="362"/>
        <v>Overweight</v>
      </c>
      <c r="U3883">
        <v>90</v>
      </c>
      <c r="V3883">
        <v>71</v>
      </c>
      <c r="W3883" t="str">
        <f t="shared" si="365"/>
        <v>Normal</v>
      </c>
      <c r="X3883">
        <v>0</v>
      </c>
    </row>
    <row r="3884" spans="1:24" ht="14.5" thickBot="1" x14ac:dyDescent="0.35">
      <c r="A3884">
        <v>1</v>
      </c>
      <c r="B3884" t="str">
        <f t="shared" si="363"/>
        <v>Male</v>
      </c>
      <c r="C3884" s="8">
        <v>63</v>
      </c>
      <c r="D3884" t="str">
        <f t="shared" si="364"/>
        <v>Senior</v>
      </c>
      <c r="E3884">
        <v>4</v>
      </c>
      <c r="F3884" t="str">
        <f>HLOOKUP(E3884, LookUP_Table!$A$6:$D$7, 2, FALSE)</f>
        <v>Post Graduate</v>
      </c>
      <c r="G3884" t="str">
        <f>IFERROR(VLOOKUP(E3884, LookUP_Table!$A$1:$B$4, 2, FALSE), "")</f>
        <v>Post Graduate</v>
      </c>
      <c r="H3884">
        <v>0</v>
      </c>
      <c r="I3884">
        <v>0</v>
      </c>
      <c r="J3884" t="str">
        <f t="shared" si="360"/>
        <v>Non-Smoker</v>
      </c>
      <c r="K3884">
        <v>0</v>
      </c>
      <c r="L3884">
        <v>0</v>
      </c>
      <c r="M3884">
        <v>0</v>
      </c>
      <c r="N3884">
        <v>0</v>
      </c>
      <c r="O3884">
        <v>207</v>
      </c>
      <c r="P3884" t="str">
        <f t="shared" si="361"/>
        <v>Normal</v>
      </c>
      <c r="Q3884">
        <v>130</v>
      </c>
      <c r="R3884">
        <v>72</v>
      </c>
      <c r="S3884">
        <v>26.76</v>
      </c>
      <c r="T3884" t="str">
        <f t="shared" si="362"/>
        <v>Overweight</v>
      </c>
      <c r="U3884">
        <v>68</v>
      </c>
      <c r="V3884">
        <v>81</v>
      </c>
      <c r="W3884" t="str">
        <f t="shared" si="365"/>
        <v>Normal</v>
      </c>
      <c r="X3884">
        <v>0</v>
      </c>
    </row>
    <row r="3885" spans="1:24" ht="14.5" thickBot="1" x14ac:dyDescent="0.35">
      <c r="A3885">
        <v>0</v>
      </c>
      <c r="B3885" t="str">
        <f t="shared" si="363"/>
        <v>Female</v>
      </c>
      <c r="C3885" s="8">
        <v>63</v>
      </c>
      <c r="D3885" t="str">
        <f t="shared" si="364"/>
        <v>Senior</v>
      </c>
      <c r="E3885">
        <v>4</v>
      </c>
      <c r="F3885" t="str">
        <f>HLOOKUP(E3885, LookUP_Table!$A$6:$D$7, 2, FALSE)</f>
        <v>Post Graduate</v>
      </c>
      <c r="G3885" t="str">
        <f>IFERROR(VLOOKUP(E3885, LookUP_Table!$A$1:$B$4, 2, FALSE), "")</f>
        <v>Post Graduate</v>
      </c>
      <c r="H3885">
        <v>0</v>
      </c>
      <c r="I3885">
        <v>0</v>
      </c>
      <c r="J3885" t="str">
        <f t="shared" si="360"/>
        <v>Non-Smoker</v>
      </c>
      <c r="K3885">
        <v>0</v>
      </c>
      <c r="L3885">
        <v>0</v>
      </c>
      <c r="M3885">
        <v>1</v>
      </c>
      <c r="N3885">
        <v>0</v>
      </c>
      <c r="O3885">
        <v>263</v>
      </c>
      <c r="P3885" t="str">
        <f t="shared" si="361"/>
        <v>High</v>
      </c>
      <c r="Q3885">
        <v>150</v>
      </c>
      <c r="R3885">
        <v>96.5</v>
      </c>
      <c r="S3885">
        <v>24.85</v>
      </c>
      <c r="T3885" t="str">
        <f t="shared" si="362"/>
        <v>Normal</v>
      </c>
      <c r="U3885">
        <v>72</v>
      </c>
      <c r="V3885">
        <v>75</v>
      </c>
      <c r="W3885" t="str">
        <f t="shared" si="365"/>
        <v>Normal</v>
      </c>
      <c r="X3885">
        <v>1</v>
      </c>
    </row>
    <row r="3886" spans="1:24" ht="14.5" thickBot="1" x14ac:dyDescent="0.35">
      <c r="A3886">
        <v>0</v>
      </c>
      <c r="B3886" t="str">
        <f t="shared" si="363"/>
        <v>Female</v>
      </c>
      <c r="C3886" s="8">
        <v>63</v>
      </c>
      <c r="D3886" t="str">
        <f t="shared" si="364"/>
        <v>Senior</v>
      </c>
      <c r="E3886">
        <v>4</v>
      </c>
      <c r="F3886" t="str">
        <f>HLOOKUP(E3886, LookUP_Table!$A$6:$D$7, 2, FALSE)</f>
        <v>Post Graduate</v>
      </c>
      <c r="G3886" t="str">
        <f>IFERROR(VLOOKUP(E3886, LookUP_Table!$A$1:$B$4, 2, FALSE), "")</f>
        <v>Post Graduate</v>
      </c>
      <c r="H3886">
        <v>0</v>
      </c>
      <c r="I3886">
        <v>0</v>
      </c>
      <c r="J3886" t="str">
        <f t="shared" si="360"/>
        <v>Non-Smoker</v>
      </c>
      <c r="K3886">
        <v>0</v>
      </c>
      <c r="L3886">
        <v>0</v>
      </c>
      <c r="M3886">
        <v>0</v>
      </c>
      <c r="N3886">
        <v>0</v>
      </c>
      <c r="O3886">
        <v>252</v>
      </c>
      <c r="P3886" t="str">
        <f t="shared" si="361"/>
        <v>High</v>
      </c>
      <c r="Q3886">
        <v>120.5</v>
      </c>
      <c r="R3886">
        <v>75</v>
      </c>
      <c r="S3886">
        <v>24.3</v>
      </c>
      <c r="T3886" t="str">
        <f t="shared" si="362"/>
        <v>Normal</v>
      </c>
      <c r="U3886">
        <v>78</v>
      </c>
      <c r="V3886">
        <v>77</v>
      </c>
      <c r="W3886" t="str">
        <f t="shared" si="365"/>
        <v>Normal</v>
      </c>
      <c r="X3886">
        <v>0</v>
      </c>
    </row>
    <row r="3887" spans="1:24" ht="14.5" thickBot="1" x14ac:dyDescent="0.35">
      <c r="A3887">
        <v>1</v>
      </c>
      <c r="B3887" t="str">
        <f t="shared" si="363"/>
        <v>Male</v>
      </c>
      <c r="C3887" s="8">
        <v>63</v>
      </c>
      <c r="D3887" t="str">
        <f t="shared" si="364"/>
        <v>Senior</v>
      </c>
      <c r="E3887">
        <v>3</v>
      </c>
      <c r="F3887" t="str">
        <f>HLOOKUP(E3887, LookUP_Table!$A$6:$D$7, 2, FALSE)</f>
        <v>Graduate</v>
      </c>
      <c r="G3887" t="str">
        <f>IFERROR(VLOOKUP(E3887, LookUP_Table!$A$1:$B$4, 2, FALSE), "")</f>
        <v>Graduate</v>
      </c>
      <c r="H3887">
        <v>1</v>
      </c>
      <c r="I3887">
        <v>20</v>
      </c>
      <c r="J3887" t="str">
        <f t="shared" si="360"/>
        <v>Smoker</v>
      </c>
      <c r="K3887">
        <v>0</v>
      </c>
      <c r="L3887">
        <v>0</v>
      </c>
      <c r="M3887">
        <v>1</v>
      </c>
      <c r="N3887">
        <v>0</v>
      </c>
      <c r="O3887">
        <v>269</v>
      </c>
      <c r="P3887" t="str">
        <f t="shared" si="361"/>
        <v>High</v>
      </c>
      <c r="Q3887">
        <v>180</v>
      </c>
      <c r="R3887">
        <v>101</v>
      </c>
      <c r="S3887">
        <v>24.42</v>
      </c>
      <c r="T3887" t="str">
        <f t="shared" si="362"/>
        <v>Normal</v>
      </c>
      <c r="U3887">
        <v>72</v>
      </c>
      <c r="V3887">
        <v>84</v>
      </c>
      <c r="W3887" t="str">
        <f t="shared" si="365"/>
        <v>Normal</v>
      </c>
      <c r="X3887">
        <v>1</v>
      </c>
    </row>
    <row r="3888" spans="1:24" ht="14.5" thickBot="1" x14ac:dyDescent="0.35">
      <c r="A3888">
        <v>0</v>
      </c>
      <c r="B3888" t="str">
        <f t="shared" si="363"/>
        <v>Female</v>
      </c>
      <c r="C3888" s="8">
        <v>63</v>
      </c>
      <c r="D3888" t="str">
        <f t="shared" si="364"/>
        <v>Senior</v>
      </c>
      <c r="E3888">
        <v>2</v>
      </c>
      <c r="F3888" t="str">
        <f>HLOOKUP(E3888, LookUP_Table!$A$6:$D$7, 2, FALSE)</f>
        <v>Secondary</v>
      </c>
      <c r="G3888" t="str">
        <f>IFERROR(VLOOKUP(E3888, LookUP_Table!$A$1:$B$4, 2, FALSE), "")</f>
        <v>Secondary</v>
      </c>
      <c r="H3888">
        <v>0</v>
      </c>
      <c r="I3888">
        <v>0</v>
      </c>
      <c r="J3888" t="str">
        <f t="shared" si="360"/>
        <v>Non-Smoker</v>
      </c>
      <c r="K3888">
        <v>0</v>
      </c>
      <c r="L3888">
        <v>0</v>
      </c>
      <c r="M3888">
        <v>1</v>
      </c>
      <c r="N3888">
        <v>0</v>
      </c>
      <c r="O3888">
        <v>264</v>
      </c>
      <c r="P3888" t="str">
        <f t="shared" si="361"/>
        <v>High</v>
      </c>
      <c r="Q3888">
        <v>176</v>
      </c>
      <c r="R3888">
        <v>99</v>
      </c>
      <c r="S3888">
        <v>23.62</v>
      </c>
      <c r="T3888" t="str">
        <f t="shared" si="362"/>
        <v>Normal</v>
      </c>
      <c r="U3888">
        <v>65</v>
      </c>
      <c r="V3888">
        <v>65</v>
      </c>
      <c r="W3888" t="str">
        <f t="shared" si="365"/>
        <v>Normal</v>
      </c>
      <c r="X3888">
        <v>0</v>
      </c>
    </row>
    <row r="3889" spans="1:24" ht="14.5" thickBot="1" x14ac:dyDescent="0.35">
      <c r="A3889">
        <v>0</v>
      </c>
      <c r="B3889" t="str">
        <f t="shared" si="363"/>
        <v>Female</v>
      </c>
      <c r="C3889" s="8">
        <v>63</v>
      </c>
      <c r="D3889" t="str">
        <f t="shared" si="364"/>
        <v>Senior</v>
      </c>
      <c r="E3889">
        <v>2</v>
      </c>
      <c r="F3889" t="str">
        <f>HLOOKUP(E3889, LookUP_Table!$A$6:$D$7, 2, FALSE)</f>
        <v>Secondary</v>
      </c>
      <c r="G3889" t="str">
        <f>IFERROR(VLOOKUP(E3889, LookUP_Table!$A$1:$B$4, 2, FALSE), "")</f>
        <v>Secondary</v>
      </c>
      <c r="H3889">
        <v>0</v>
      </c>
      <c r="I3889">
        <v>0</v>
      </c>
      <c r="J3889" t="str">
        <f t="shared" si="360"/>
        <v>Non-Smoker</v>
      </c>
      <c r="K3889">
        <v>0</v>
      </c>
      <c r="L3889">
        <v>0</v>
      </c>
      <c r="M3889">
        <v>0</v>
      </c>
      <c r="N3889">
        <v>0</v>
      </c>
      <c r="O3889">
        <v>207</v>
      </c>
      <c r="P3889" t="str">
        <f t="shared" si="361"/>
        <v>Normal</v>
      </c>
      <c r="Q3889">
        <v>127</v>
      </c>
      <c r="R3889">
        <v>75</v>
      </c>
      <c r="S3889">
        <v>22.26</v>
      </c>
      <c r="T3889" t="str">
        <f t="shared" si="362"/>
        <v>Normal</v>
      </c>
      <c r="U3889">
        <v>70</v>
      </c>
      <c r="V3889">
        <v>77</v>
      </c>
      <c r="W3889" t="str">
        <f t="shared" si="365"/>
        <v>Normal</v>
      </c>
      <c r="X3889">
        <v>0</v>
      </c>
    </row>
    <row r="3890" spans="1:24" ht="14.5" thickBot="1" x14ac:dyDescent="0.35">
      <c r="A3890">
        <v>0</v>
      </c>
      <c r="B3890" t="str">
        <f t="shared" si="363"/>
        <v>Female</v>
      </c>
      <c r="C3890" s="8">
        <v>63</v>
      </c>
      <c r="D3890" t="str">
        <f t="shared" si="364"/>
        <v>Senior</v>
      </c>
      <c r="E3890">
        <v>1</v>
      </c>
      <c r="F3890" t="str">
        <f>HLOOKUP(E3890, LookUP_Table!$A$6:$D$7, 2, FALSE)</f>
        <v>Primary</v>
      </c>
      <c r="G3890" t="str">
        <f>IFERROR(VLOOKUP(E3890, LookUP_Table!$A$1:$B$4, 2, FALSE), "")</f>
        <v>Primary</v>
      </c>
      <c r="H3890">
        <v>0</v>
      </c>
      <c r="I3890">
        <v>0</v>
      </c>
      <c r="J3890" t="str">
        <f t="shared" si="360"/>
        <v>Non-Smoker</v>
      </c>
      <c r="K3890">
        <v>0</v>
      </c>
      <c r="L3890">
        <v>0</v>
      </c>
      <c r="M3890">
        <v>0</v>
      </c>
      <c r="N3890">
        <v>0</v>
      </c>
      <c r="O3890">
        <v>250</v>
      </c>
      <c r="P3890" t="str">
        <f t="shared" si="361"/>
        <v>High</v>
      </c>
      <c r="Q3890">
        <v>117.5</v>
      </c>
      <c r="R3890">
        <v>75</v>
      </c>
      <c r="S3890">
        <v>25.88</v>
      </c>
      <c r="T3890" t="str">
        <f t="shared" si="362"/>
        <v>Overweight</v>
      </c>
      <c r="U3890">
        <v>75</v>
      </c>
      <c r="V3890">
        <v>91</v>
      </c>
      <c r="W3890" t="str">
        <f t="shared" si="365"/>
        <v>Normal</v>
      </c>
      <c r="X3890">
        <v>0</v>
      </c>
    </row>
    <row r="3891" spans="1:24" ht="14.5" thickBot="1" x14ac:dyDescent="0.35">
      <c r="A3891">
        <v>0</v>
      </c>
      <c r="B3891" t="str">
        <f t="shared" si="363"/>
        <v>Female</v>
      </c>
      <c r="C3891" s="8">
        <v>63</v>
      </c>
      <c r="D3891" t="str">
        <f t="shared" si="364"/>
        <v>Senior</v>
      </c>
      <c r="E3891">
        <v>4</v>
      </c>
      <c r="F3891" t="str">
        <f>HLOOKUP(E3891, LookUP_Table!$A$6:$D$7, 2, FALSE)</f>
        <v>Post Graduate</v>
      </c>
      <c r="G3891" t="str">
        <f>IFERROR(VLOOKUP(E3891, LookUP_Table!$A$1:$B$4, 2, FALSE), "")</f>
        <v>Post Graduate</v>
      </c>
      <c r="H3891">
        <v>0</v>
      </c>
      <c r="I3891">
        <v>0</v>
      </c>
      <c r="J3891" t="str">
        <f t="shared" si="360"/>
        <v>Non-Smoker</v>
      </c>
      <c r="K3891">
        <v>0</v>
      </c>
      <c r="L3891">
        <v>0</v>
      </c>
      <c r="M3891">
        <v>1</v>
      </c>
      <c r="N3891">
        <v>0</v>
      </c>
      <c r="O3891">
        <v>210</v>
      </c>
      <c r="P3891" t="str">
        <f t="shared" si="361"/>
        <v>Normal</v>
      </c>
      <c r="Q3891">
        <v>148</v>
      </c>
      <c r="R3891">
        <v>85.5</v>
      </c>
      <c r="S3891">
        <v>24.01</v>
      </c>
      <c r="T3891" t="str">
        <f t="shared" si="362"/>
        <v>Normal</v>
      </c>
      <c r="U3891">
        <v>76</v>
      </c>
      <c r="V3891">
        <v>88</v>
      </c>
      <c r="W3891" t="str">
        <f t="shared" si="365"/>
        <v>Normal</v>
      </c>
      <c r="X3891">
        <v>1</v>
      </c>
    </row>
    <row r="3892" spans="1:24" ht="14.5" thickBot="1" x14ac:dyDescent="0.35">
      <c r="A3892">
        <v>1</v>
      </c>
      <c r="B3892" t="str">
        <f t="shared" si="363"/>
        <v>Male</v>
      </c>
      <c r="C3892" s="8">
        <v>63</v>
      </c>
      <c r="D3892" t="str">
        <f t="shared" si="364"/>
        <v>Senior</v>
      </c>
      <c r="E3892">
        <v>1</v>
      </c>
      <c r="F3892" t="str">
        <f>HLOOKUP(E3892, LookUP_Table!$A$6:$D$7, 2, FALSE)</f>
        <v>Primary</v>
      </c>
      <c r="G3892" t="str">
        <f>IFERROR(VLOOKUP(E3892, LookUP_Table!$A$1:$B$4, 2, FALSE), "")</f>
        <v>Primary</v>
      </c>
      <c r="H3892">
        <v>0</v>
      </c>
      <c r="I3892">
        <v>0</v>
      </c>
      <c r="J3892" t="str">
        <f t="shared" si="360"/>
        <v>Non-Smoker</v>
      </c>
      <c r="K3892">
        <v>0</v>
      </c>
      <c r="L3892">
        <v>0</v>
      </c>
      <c r="M3892">
        <v>1</v>
      </c>
      <c r="N3892">
        <v>0</v>
      </c>
      <c r="O3892">
        <v>260</v>
      </c>
      <c r="P3892" t="str">
        <f t="shared" si="361"/>
        <v>High</v>
      </c>
      <c r="Q3892">
        <v>159.5</v>
      </c>
      <c r="R3892">
        <v>91</v>
      </c>
      <c r="S3892">
        <v>27.01</v>
      </c>
      <c r="T3892" t="str">
        <f t="shared" si="362"/>
        <v>Overweight</v>
      </c>
      <c r="U3892">
        <v>68</v>
      </c>
      <c r="V3892">
        <v>66</v>
      </c>
      <c r="W3892" t="str">
        <f t="shared" si="365"/>
        <v>Normal</v>
      </c>
      <c r="X3892">
        <v>0</v>
      </c>
    </row>
    <row r="3893" spans="1:24" ht="14.5" thickBot="1" x14ac:dyDescent="0.35">
      <c r="A3893">
        <v>0</v>
      </c>
      <c r="B3893" t="str">
        <f t="shared" si="363"/>
        <v>Female</v>
      </c>
      <c r="C3893" s="8">
        <v>63</v>
      </c>
      <c r="D3893" t="str">
        <f t="shared" si="364"/>
        <v>Senior</v>
      </c>
      <c r="E3893">
        <v>1</v>
      </c>
      <c r="F3893" t="str">
        <f>HLOOKUP(E3893, LookUP_Table!$A$6:$D$7, 2, FALSE)</f>
        <v>Primary</v>
      </c>
      <c r="G3893" t="str">
        <f>IFERROR(VLOOKUP(E3893, LookUP_Table!$A$1:$B$4, 2, FALSE), "")</f>
        <v>Primary</v>
      </c>
      <c r="H3893">
        <v>0</v>
      </c>
      <c r="I3893">
        <v>0</v>
      </c>
      <c r="J3893" t="str">
        <f t="shared" si="360"/>
        <v>Non-Smoker</v>
      </c>
      <c r="K3893">
        <v>0</v>
      </c>
      <c r="L3893">
        <v>0</v>
      </c>
      <c r="M3893">
        <v>0</v>
      </c>
      <c r="N3893">
        <v>0</v>
      </c>
      <c r="O3893">
        <v>252</v>
      </c>
      <c r="P3893" t="str">
        <f t="shared" si="361"/>
        <v>High</v>
      </c>
      <c r="Q3893">
        <v>118</v>
      </c>
      <c r="R3893">
        <v>84</v>
      </c>
      <c r="S3893">
        <v>25.31</v>
      </c>
      <c r="T3893" t="str">
        <f t="shared" si="362"/>
        <v>Overweight</v>
      </c>
      <c r="U3893">
        <v>98</v>
      </c>
      <c r="V3893">
        <v>82</v>
      </c>
      <c r="W3893" t="str">
        <f t="shared" si="365"/>
        <v>Normal</v>
      </c>
      <c r="X3893">
        <v>0</v>
      </c>
    </row>
    <row r="3894" spans="1:24" ht="14.5" thickBot="1" x14ac:dyDescent="0.35">
      <c r="A3894">
        <v>1</v>
      </c>
      <c r="B3894" t="str">
        <f t="shared" si="363"/>
        <v>Male</v>
      </c>
      <c r="C3894" s="8">
        <v>63</v>
      </c>
      <c r="D3894" t="str">
        <f t="shared" si="364"/>
        <v>Senior</v>
      </c>
      <c r="E3894">
        <v>1</v>
      </c>
      <c r="F3894" t="str">
        <f>HLOOKUP(E3894, LookUP_Table!$A$6:$D$7, 2, FALSE)</f>
        <v>Primary</v>
      </c>
      <c r="G3894" t="str">
        <f>IFERROR(VLOOKUP(E3894, LookUP_Table!$A$1:$B$4, 2, FALSE), "")</f>
        <v>Primary</v>
      </c>
      <c r="H3894">
        <v>1</v>
      </c>
      <c r="I3894">
        <v>10</v>
      </c>
      <c r="J3894" t="str">
        <f t="shared" si="360"/>
        <v>Smoker</v>
      </c>
      <c r="K3894">
        <v>0</v>
      </c>
      <c r="L3894">
        <v>0</v>
      </c>
      <c r="M3894">
        <v>0</v>
      </c>
      <c r="N3894">
        <v>0</v>
      </c>
      <c r="O3894">
        <v>271</v>
      </c>
      <c r="P3894" t="str">
        <f t="shared" si="361"/>
        <v>High</v>
      </c>
      <c r="Q3894">
        <v>131</v>
      </c>
      <c r="R3894">
        <v>73.5</v>
      </c>
      <c r="S3894">
        <v>30.12</v>
      </c>
      <c r="T3894" t="str">
        <f t="shared" si="362"/>
        <v>Obese</v>
      </c>
      <c r="U3894">
        <v>72</v>
      </c>
      <c r="V3894">
        <v>107</v>
      </c>
      <c r="W3894" t="str">
        <f t="shared" si="365"/>
        <v>Prediabetes</v>
      </c>
      <c r="X3894">
        <v>1</v>
      </c>
    </row>
    <row r="3895" spans="1:24" ht="14.5" thickBot="1" x14ac:dyDescent="0.35">
      <c r="A3895">
        <v>0</v>
      </c>
      <c r="B3895" t="str">
        <f t="shared" si="363"/>
        <v>Female</v>
      </c>
      <c r="C3895" s="8">
        <v>63</v>
      </c>
      <c r="D3895" t="str">
        <f t="shared" si="364"/>
        <v>Senior</v>
      </c>
      <c r="E3895">
        <v>3</v>
      </c>
      <c r="F3895" t="str">
        <f>HLOOKUP(E3895, LookUP_Table!$A$6:$D$7, 2, FALSE)</f>
        <v>Graduate</v>
      </c>
      <c r="G3895" t="str">
        <f>IFERROR(VLOOKUP(E3895, LookUP_Table!$A$1:$B$4, 2, FALSE), "")</f>
        <v>Graduate</v>
      </c>
      <c r="H3895">
        <v>0</v>
      </c>
      <c r="I3895">
        <v>0</v>
      </c>
      <c r="J3895" t="str">
        <f t="shared" si="360"/>
        <v>Non-Smoker</v>
      </c>
      <c r="K3895">
        <v>0</v>
      </c>
      <c r="L3895">
        <v>0</v>
      </c>
      <c r="M3895">
        <v>0</v>
      </c>
      <c r="N3895">
        <v>0</v>
      </c>
      <c r="O3895">
        <v>241</v>
      </c>
      <c r="P3895" t="str">
        <f t="shared" si="361"/>
        <v>High</v>
      </c>
      <c r="Q3895">
        <v>143.5</v>
      </c>
      <c r="R3895">
        <v>89</v>
      </c>
      <c r="S3895">
        <v>26.45</v>
      </c>
      <c r="T3895" t="str">
        <f t="shared" si="362"/>
        <v>Overweight</v>
      </c>
      <c r="U3895">
        <v>69</v>
      </c>
      <c r="V3895">
        <v>80</v>
      </c>
      <c r="W3895" t="str">
        <f t="shared" si="365"/>
        <v>Normal</v>
      </c>
      <c r="X3895">
        <v>0</v>
      </c>
    </row>
    <row r="3896" spans="1:24" ht="14.5" thickBot="1" x14ac:dyDescent="0.35">
      <c r="A3896">
        <v>0</v>
      </c>
      <c r="B3896" t="str">
        <f t="shared" si="363"/>
        <v>Female</v>
      </c>
      <c r="C3896" s="8">
        <v>63</v>
      </c>
      <c r="D3896" t="str">
        <f t="shared" si="364"/>
        <v>Senior</v>
      </c>
      <c r="E3896">
        <v>3</v>
      </c>
      <c r="F3896" t="str">
        <f>HLOOKUP(E3896, LookUP_Table!$A$6:$D$7, 2, FALSE)</f>
        <v>Graduate</v>
      </c>
      <c r="G3896" t="str">
        <f>IFERROR(VLOOKUP(E3896, LookUP_Table!$A$1:$B$4, 2, FALSE), "")</f>
        <v>Graduate</v>
      </c>
      <c r="H3896">
        <v>1</v>
      </c>
      <c r="I3896">
        <v>10</v>
      </c>
      <c r="J3896" t="str">
        <f t="shared" si="360"/>
        <v>Smoker</v>
      </c>
      <c r="K3896">
        <v>0</v>
      </c>
      <c r="L3896">
        <v>0</v>
      </c>
      <c r="M3896">
        <v>1</v>
      </c>
      <c r="N3896">
        <v>0</v>
      </c>
      <c r="O3896">
        <v>236</v>
      </c>
      <c r="P3896" t="str">
        <f t="shared" si="361"/>
        <v>Normal</v>
      </c>
      <c r="Q3896">
        <v>189</v>
      </c>
      <c r="R3896">
        <v>103</v>
      </c>
      <c r="S3896">
        <v>27.91</v>
      </c>
      <c r="T3896" t="str">
        <f t="shared" si="362"/>
        <v>Overweight</v>
      </c>
      <c r="U3896">
        <v>60</v>
      </c>
      <c r="V3896">
        <v>74</v>
      </c>
      <c r="W3896" t="str">
        <f t="shared" si="365"/>
        <v>Normal</v>
      </c>
      <c r="X3896">
        <v>0</v>
      </c>
    </row>
    <row r="3897" spans="1:24" ht="14.5" thickBot="1" x14ac:dyDescent="0.35">
      <c r="A3897">
        <v>0</v>
      </c>
      <c r="B3897" t="str">
        <f t="shared" si="363"/>
        <v>Female</v>
      </c>
      <c r="C3897" s="8">
        <v>63</v>
      </c>
      <c r="D3897" t="str">
        <f t="shared" si="364"/>
        <v>Senior</v>
      </c>
      <c r="E3897">
        <v>3</v>
      </c>
      <c r="F3897" t="str">
        <f>HLOOKUP(E3897, LookUP_Table!$A$6:$D$7, 2, FALSE)</f>
        <v>Graduate</v>
      </c>
      <c r="G3897" t="str">
        <f>IFERROR(VLOOKUP(E3897, LookUP_Table!$A$1:$B$4, 2, FALSE), "")</f>
        <v>Graduate</v>
      </c>
      <c r="H3897">
        <v>0</v>
      </c>
      <c r="I3897">
        <v>0</v>
      </c>
      <c r="J3897" t="str">
        <f t="shared" si="360"/>
        <v>Non-Smoker</v>
      </c>
      <c r="K3897">
        <v>0</v>
      </c>
      <c r="L3897">
        <v>0</v>
      </c>
      <c r="M3897">
        <v>1</v>
      </c>
      <c r="N3897">
        <v>0</v>
      </c>
      <c r="O3897">
        <v>315</v>
      </c>
      <c r="P3897" t="str">
        <f t="shared" si="361"/>
        <v>High</v>
      </c>
      <c r="Q3897">
        <v>156</v>
      </c>
      <c r="R3897">
        <v>90</v>
      </c>
      <c r="S3897">
        <v>25.92</v>
      </c>
      <c r="T3897" t="str">
        <f t="shared" si="362"/>
        <v>Overweight</v>
      </c>
      <c r="U3897">
        <v>64</v>
      </c>
      <c r="V3897">
        <v>74</v>
      </c>
      <c r="W3897" t="str">
        <f t="shared" si="365"/>
        <v>Normal</v>
      </c>
      <c r="X3897">
        <v>0</v>
      </c>
    </row>
    <row r="3898" spans="1:24" ht="14.5" thickBot="1" x14ac:dyDescent="0.35">
      <c r="A3898">
        <v>0</v>
      </c>
      <c r="B3898" t="str">
        <f t="shared" si="363"/>
        <v>Female</v>
      </c>
      <c r="C3898" s="8">
        <v>63</v>
      </c>
      <c r="D3898" t="str">
        <f t="shared" si="364"/>
        <v>Senior</v>
      </c>
      <c r="E3898">
        <v>3</v>
      </c>
      <c r="F3898" t="str">
        <f>HLOOKUP(E3898, LookUP_Table!$A$6:$D$7, 2, FALSE)</f>
        <v>Graduate</v>
      </c>
      <c r="G3898" t="str">
        <f>IFERROR(VLOOKUP(E3898, LookUP_Table!$A$1:$B$4, 2, FALSE), "")</f>
        <v>Graduate</v>
      </c>
      <c r="H3898">
        <v>0</v>
      </c>
      <c r="I3898">
        <v>0</v>
      </c>
      <c r="J3898" t="str">
        <f t="shared" si="360"/>
        <v>Non-Smoker</v>
      </c>
      <c r="K3898">
        <v>0</v>
      </c>
      <c r="L3898">
        <v>0</v>
      </c>
      <c r="M3898">
        <v>1</v>
      </c>
      <c r="N3898">
        <v>0</v>
      </c>
      <c r="O3898">
        <v>306</v>
      </c>
      <c r="P3898" t="str">
        <f t="shared" si="361"/>
        <v>High</v>
      </c>
      <c r="Q3898">
        <v>177</v>
      </c>
      <c r="R3898">
        <v>96</v>
      </c>
      <c r="S3898">
        <v>32.51</v>
      </c>
      <c r="T3898" t="str">
        <f t="shared" si="362"/>
        <v>Obese</v>
      </c>
      <c r="U3898">
        <v>90</v>
      </c>
      <c r="V3898">
        <v>126</v>
      </c>
      <c r="W3898" t="str">
        <f t="shared" si="365"/>
        <v>Diabetes</v>
      </c>
      <c r="X3898">
        <v>1</v>
      </c>
    </row>
    <row r="3899" spans="1:24" ht="14.5" thickBot="1" x14ac:dyDescent="0.35">
      <c r="A3899">
        <v>1</v>
      </c>
      <c r="B3899" t="str">
        <f t="shared" si="363"/>
        <v>Male</v>
      </c>
      <c r="C3899" s="8">
        <v>63</v>
      </c>
      <c r="D3899" t="str">
        <f t="shared" si="364"/>
        <v>Senior</v>
      </c>
      <c r="E3899">
        <v>1</v>
      </c>
      <c r="F3899" t="str">
        <f>HLOOKUP(E3899, LookUP_Table!$A$6:$D$7, 2, FALSE)</f>
        <v>Primary</v>
      </c>
      <c r="G3899" t="str">
        <f>IFERROR(VLOOKUP(E3899, LookUP_Table!$A$1:$B$4, 2, FALSE), "")</f>
        <v>Primary</v>
      </c>
      <c r="H3899">
        <v>0</v>
      </c>
      <c r="I3899">
        <v>0</v>
      </c>
      <c r="J3899" t="str">
        <f t="shared" si="360"/>
        <v>Non-Smoker</v>
      </c>
      <c r="K3899">
        <v>0</v>
      </c>
      <c r="L3899">
        <v>0</v>
      </c>
      <c r="M3899">
        <v>0</v>
      </c>
      <c r="N3899">
        <v>0</v>
      </c>
      <c r="O3899">
        <v>252</v>
      </c>
      <c r="P3899" t="str">
        <f t="shared" si="361"/>
        <v>High</v>
      </c>
      <c r="Q3899">
        <v>135.5</v>
      </c>
      <c r="R3899">
        <v>80</v>
      </c>
      <c r="S3899">
        <v>28.78</v>
      </c>
      <c r="T3899" t="str">
        <f t="shared" si="362"/>
        <v>Overweight</v>
      </c>
      <c r="U3899">
        <v>60</v>
      </c>
      <c r="V3899">
        <v>79</v>
      </c>
      <c r="W3899" t="str">
        <f t="shared" si="365"/>
        <v>Normal</v>
      </c>
      <c r="X3899">
        <v>0</v>
      </c>
    </row>
    <row r="3900" spans="1:24" ht="14.5" thickBot="1" x14ac:dyDescent="0.35">
      <c r="A3900">
        <v>0</v>
      </c>
      <c r="B3900" t="str">
        <f t="shared" si="363"/>
        <v>Female</v>
      </c>
      <c r="C3900" s="8">
        <v>63</v>
      </c>
      <c r="D3900" t="str">
        <f t="shared" si="364"/>
        <v>Senior</v>
      </c>
      <c r="E3900">
        <v>1</v>
      </c>
      <c r="F3900" t="str">
        <f>HLOOKUP(E3900, LookUP_Table!$A$6:$D$7, 2, FALSE)</f>
        <v>Primary</v>
      </c>
      <c r="G3900" t="str">
        <f>IFERROR(VLOOKUP(E3900, LookUP_Table!$A$1:$B$4, 2, FALSE), "")</f>
        <v>Primary</v>
      </c>
      <c r="H3900">
        <v>0</v>
      </c>
      <c r="I3900">
        <v>0</v>
      </c>
      <c r="J3900" t="str">
        <f t="shared" si="360"/>
        <v>Non-Smoker</v>
      </c>
      <c r="K3900">
        <v>0</v>
      </c>
      <c r="L3900">
        <v>0</v>
      </c>
      <c r="M3900">
        <v>1</v>
      </c>
      <c r="N3900">
        <v>0</v>
      </c>
      <c r="O3900">
        <v>226</v>
      </c>
      <c r="P3900" t="str">
        <f t="shared" si="361"/>
        <v>Normal</v>
      </c>
      <c r="Q3900">
        <v>172.5</v>
      </c>
      <c r="R3900">
        <v>98</v>
      </c>
      <c r="S3900">
        <v>26.47</v>
      </c>
      <c r="T3900" t="str">
        <f t="shared" si="362"/>
        <v>Overweight</v>
      </c>
      <c r="U3900">
        <v>87</v>
      </c>
      <c r="V3900">
        <v>81</v>
      </c>
      <c r="W3900" t="str">
        <f t="shared" si="365"/>
        <v>Normal</v>
      </c>
      <c r="X3900">
        <v>0</v>
      </c>
    </row>
    <row r="3901" spans="1:24" ht="14.5" thickBot="1" x14ac:dyDescent="0.35">
      <c r="A3901">
        <v>1</v>
      </c>
      <c r="B3901" t="str">
        <f t="shared" si="363"/>
        <v>Male</v>
      </c>
      <c r="C3901" s="8">
        <v>63</v>
      </c>
      <c r="D3901" t="str">
        <f t="shared" si="364"/>
        <v>Senior</v>
      </c>
      <c r="E3901">
        <v>1</v>
      </c>
      <c r="F3901" t="str">
        <f>HLOOKUP(E3901, LookUP_Table!$A$6:$D$7, 2, FALSE)</f>
        <v>Primary</v>
      </c>
      <c r="G3901" t="str">
        <f>IFERROR(VLOOKUP(E3901, LookUP_Table!$A$1:$B$4, 2, FALSE), "")</f>
        <v>Primary</v>
      </c>
      <c r="H3901">
        <v>1</v>
      </c>
      <c r="I3901">
        <v>20</v>
      </c>
      <c r="J3901" t="str">
        <f t="shared" si="360"/>
        <v>Smoker</v>
      </c>
      <c r="K3901">
        <v>0</v>
      </c>
      <c r="L3901">
        <v>0</v>
      </c>
      <c r="M3901">
        <v>1</v>
      </c>
      <c r="N3901">
        <v>0</v>
      </c>
      <c r="O3901">
        <v>252</v>
      </c>
      <c r="P3901" t="str">
        <f t="shared" si="361"/>
        <v>High</v>
      </c>
      <c r="Q3901">
        <v>149</v>
      </c>
      <c r="R3901">
        <v>90</v>
      </c>
      <c r="S3901">
        <v>33.49</v>
      </c>
      <c r="T3901" t="str">
        <f t="shared" si="362"/>
        <v>Obese</v>
      </c>
      <c r="U3901">
        <v>82</v>
      </c>
      <c r="V3901">
        <v>83</v>
      </c>
      <c r="W3901" t="str">
        <f t="shared" si="365"/>
        <v>Normal</v>
      </c>
      <c r="X3901">
        <v>0</v>
      </c>
    </row>
    <row r="3902" spans="1:24" ht="14.5" thickBot="1" x14ac:dyDescent="0.35">
      <c r="A3902">
        <v>0</v>
      </c>
      <c r="B3902" t="str">
        <f t="shared" si="363"/>
        <v>Female</v>
      </c>
      <c r="C3902" s="8">
        <v>63</v>
      </c>
      <c r="D3902" t="str">
        <f t="shared" si="364"/>
        <v>Senior</v>
      </c>
      <c r="E3902">
        <v>2</v>
      </c>
      <c r="F3902" t="str">
        <f>HLOOKUP(E3902, LookUP_Table!$A$6:$D$7, 2, FALSE)</f>
        <v>Secondary</v>
      </c>
      <c r="G3902" t="str">
        <f>IFERROR(VLOOKUP(E3902, LookUP_Table!$A$1:$B$4, 2, FALSE), "")</f>
        <v>Secondary</v>
      </c>
      <c r="H3902">
        <v>0</v>
      </c>
      <c r="I3902">
        <v>0</v>
      </c>
      <c r="J3902" t="str">
        <f t="shared" si="360"/>
        <v>Non-Smoker</v>
      </c>
      <c r="K3902">
        <v>0</v>
      </c>
      <c r="L3902">
        <v>0</v>
      </c>
      <c r="M3902">
        <v>1</v>
      </c>
      <c r="N3902">
        <v>0</v>
      </c>
      <c r="O3902">
        <v>276</v>
      </c>
      <c r="P3902" t="str">
        <f t="shared" si="361"/>
        <v>High</v>
      </c>
      <c r="Q3902">
        <v>144</v>
      </c>
      <c r="R3902">
        <v>90</v>
      </c>
      <c r="S3902">
        <v>21.35</v>
      </c>
      <c r="T3902" t="str">
        <f t="shared" si="362"/>
        <v>Normal</v>
      </c>
      <c r="U3902">
        <v>70</v>
      </c>
      <c r="V3902">
        <v>78</v>
      </c>
      <c r="W3902" t="str">
        <f t="shared" si="365"/>
        <v>Normal</v>
      </c>
      <c r="X3902">
        <v>0</v>
      </c>
    </row>
    <row r="3903" spans="1:24" ht="14.5" thickBot="1" x14ac:dyDescent="0.35">
      <c r="A3903">
        <v>0</v>
      </c>
      <c r="B3903" t="str">
        <f t="shared" si="363"/>
        <v>Female</v>
      </c>
      <c r="C3903" s="8">
        <v>63</v>
      </c>
      <c r="D3903" t="str">
        <f t="shared" si="364"/>
        <v>Senior</v>
      </c>
      <c r="E3903">
        <v>2</v>
      </c>
      <c r="F3903" t="str">
        <f>HLOOKUP(E3903, LookUP_Table!$A$6:$D$7, 2, FALSE)</f>
        <v>Secondary</v>
      </c>
      <c r="G3903" t="str">
        <f>IFERROR(VLOOKUP(E3903, LookUP_Table!$A$1:$B$4, 2, FALSE), "")</f>
        <v>Secondary</v>
      </c>
      <c r="H3903">
        <v>0</v>
      </c>
      <c r="I3903">
        <v>0</v>
      </c>
      <c r="J3903" t="str">
        <f t="shared" si="360"/>
        <v>Non-Smoker</v>
      </c>
      <c r="K3903">
        <v>0</v>
      </c>
      <c r="L3903">
        <v>0</v>
      </c>
      <c r="M3903">
        <v>0</v>
      </c>
      <c r="N3903">
        <v>0</v>
      </c>
      <c r="O3903">
        <v>192</v>
      </c>
      <c r="P3903" t="str">
        <f t="shared" si="361"/>
        <v>Normal</v>
      </c>
      <c r="Q3903">
        <v>143</v>
      </c>
      <c r="R3903">
        <v>87</v>
      </c>
      <c r="S3903">
        <v>23.64</v>
      </c>
      <c r="T3903" t="str">
        <f t="shared" si="362"/>
        <v>Normal</v>
      </c>
      <c r="U3903">
        <v>75</v>
      </c>
      <c r="V3903">
        <v>100</v>
      </c>
      <c r="W3903" t="str">
        <f t="shared" si="365"/>
        <v>Prediabetes</v>
      </c>
      <c r="X3903">
        <v>0</v>
      </c>
    </row>
    <row r="3904" spans="1:24" ht="14.5" thickBot="1" x14ac:dyDescent="0.35">
      <c r="A3904">
        <v>0</v>
      </c>
      <c r="B3904" t="str">
        <f t="shared" si="363"/>
        <v>Female</v>
      </c>
      <c r="C3904" s="8">
        <v>63</v>
      </c>
      <c r="D3904" t="str">
        <f t="shared" si="364"/>
        <v>Senior</v>
      </c>
      <c r="E3904">
        <v>4</v>
      </c>
      <c r="F3904" t="str">
        <f>HLOOKUP(E3904, LookUP_Table!$A$6:$D$7, 2, FALSE)</f>
        <v>Post Graduate</v>
      </c>
      <c r="G3904" t="str">
        <f>IFERROR(VLOOKUP(E3904, LookUP_Table!$A$1:$B$4, 2, FALSE), "")</f>
        <v>Post Graduate</v>
      </c>
      <c r="H3904">
        <v>0</v>
      </c>
      <c r="I3904">
        <v>0</v>
      </c>
      <c r="J3904" t="str">
        <f t="shared" si="360"/>
        <v>Non-Smoker</v>
      </c>
      <c r="K3904">
        <v>0</v>
      </c>
      <c r="L3904">
        <v>0</v>
      </c>
      <c r="M3904">
        <v>0</v>
      </c>
      <c r="N3904">
        <v>0</v>
      </c>
      <c r="O3904">
        <v>232</v>
      </c>
      <c r="P3904" t="str">
        <f t="shared" si="361"/>
        <v>Normal</v>
      </c>
      <c r="Q3904">
        <v>126</v>
      </c>
      <c r="R3904">
        <v>66</v>
      </c>
      <c r="S3904">
        <v>22.62</v>
      </c>
      <c r="T3904" t="str">
        <f t="shared" si="362"/>
        <v>Normal</v>
      </c>
      <c r="U3904">
        <v>55</v>
      </c>
      <c r="V3904">
        <v>79</v>
      </c>
      <c r="W3904" t="str">
        <f t="shared" si="365"/>
        <v>Normal</v>
      </c>
      <c r="X3904">
        <v>0</v>
      </c>
    </row>
    <row r="3905" spans="1:24" ht="14.5" thickBot="1" x14ac:dyDescent="0.35">
      <c r="A3905">
        <v>0</v>
      </c>
      <c r="B3905" t="str">
        <f t="shared" si="363"/>
        <v>Female</v>
      </c>
      <c r="C3905" s="8">
        <v>63</v>
      </c>
      <c r="D3905" t="str">
        <f t="shared" si="364"/>
        <v>Senior</v>
      </c>
      <c r="E3905">
        <v>1</v>
      </c>
      <c r="F3905" t="str">
        <f>HLOOKUP(E3905, LookUP_Table!$A$6:$D$7, 2, FALSE)</f>
        <v>Primary</v>
      </c>
      <c r="G3905" t="str">
        <f>IFERROR(VLOOKUP(E3905, LookUP_Table!$A$1:$B$4, 2, FALSE), "")</f>
        <v>Primary</v>
      </c>
      <c r="H3905">
        <v>0</v>
      </c>
      <c r="I3905">
        <v>0</v>
      </c>
      <c r="J3905" t="str">
        <f t="shared" si="360"/>
        <v>Non-Smoker</v>
      </c>
      <c r="K3905">
        <v>0</v>
      </c>
      <c r="L3905">
        <v>0</v>
      </c>
      <c r="M3905">
        <v>0</v>
      </c>
      <c r="N3905">
        <v>0</v>
      </c>
      <c r="O3905">
        <v>222</v>
      </c>
      <c r="P3905" t="str">
        <f t="shared" si="361"/>
        <v>Normal</v>
      </c>
      <c r="Q3905">
        <v>146</v>
      </c>
      <c r="R3905">
        <v>78</v>
      </c>
      <c r="S3905">
        <v>16.920000000000002</v>
      </c>
      <c r="T3905" t="str">
        <f t="shared" si="362"/>
        <v>Underweight</v>
      </c>
      <c r="U3905">
        <v>65</v>
      </c>
      <c r="V3905">
        <v>74</v>
      </c>
      <c r="W3905" t="str">
        <f t="shared" si="365"/>
        <v>Normal</v>
      </c>
      <c r="X3905">
        <v>1</v>
      </c>
    </row>
    <row r="3906" spans="1:24" ht="14.5" thickBot="1" x14ac:dyDescent="0.35">
      <c r="A3906">
        <v>0</v>
      </c>
      <c r="B3906" t="str">
        <f t="shared" si="363"/>
        <v>Female</v>
      </c>
      <c r="C3906" s="8">
        <v>63</v>
      </c>
      <c r="D3906" t="str">
        <f t="shared" si="364"/>
        <v>Senior</v>
      </c>
      <c r="E3906">
        <v>2</v>
      </c>
      <c r="F3906" t="str">
        <f>HLOOKUP(E3906, LookUP_Table!$A$6:$D$7, 2, FALSE)</f>
        <v>Secondary</v>
      </c>
      <c r="G3906" t="str">
        <f>IFERROR(VLOOKUP(E3906, LookUP_Table!$A$1:$B$4, 2, FALSE), "")</f>
        <v>Secondary</v>
      </c>
      <c r="H3906">
        <v>0</v>
      </c>
      <c r="I3906">
        <v>0</v>
      </c>
      <c r="J3906" t="str">
        <f t="shared" ref="J3906:J3969" si="366">IF(I3906&gt;0,"Smoker","Non-Smoker")</f>
        <v>Non-Smoker</v>
      </c>
      <c r="K3906">
        <v>0</v>
      </c>
      <c r="L3906">
        <v>0</v>
      </c>
      <c r="M3906">
        <v>1</v>
      </c>
      <c r="N3906">
        <v>0</v>
      </c>
      <c r="O3906">
        <v>293</v>
      </c>
      <c r="P3906" t="str">
        <f t="shared" ref="P3906:P3969" si="367">IF(O3906&gt;240,"High","Normal")</f>
        <v>High</v>
      </c>
      <c r="Q3906">
        <v>186.5</v>
      </c>
      <c r="R3906">
        <v>97</v>
      </c>
      <c r="S3906">
        <v>30.47</v>
      </c>
      <c r="T3906" t="str">
        <f t="shared" ref="T3906:T3969" si="368">IF(S3906&lt;18.5,"Underweight",
IF(S3906&lt;25,"Normal",
IF(S3906&lt;30,"Overweight","Obese")))</f>
        <v>Obese</v>
      </c>
      <c r="U3906">
        <v>60</v>
      </c>
      <c r="V3906">
        <v>96</v>
      </c>
      <c r="W3906" t="str">
        <f t="shared" si="365"/>
        <v>Normal</v>
      </c>
      <c r="X3906">
        <v>0</v>
      </c>
    </row>
    <row r="3907" spans="1:24" ht="14.5" thickBot="1" x14ac:dyDescent="0.35">
      <c r="A3907">
        <v>0</v>
      </c>
      <c r="B3907" t="str">
        <f t="shared" ref="B3907:B3970" si="369">IF(A3907=0,"Female","Male")</f>
        <v>Female</v>
      </c>
      <c r="C3907" s="8">
        <v>63</v>
      </c>
      <c r="D3907" t="str">
        <f t="shared" ref="D3907:D3970" si="370">IF(C3907&lt;40,"Young",
IF(C3907&lt;55,"Middle Age","Senior"))</f>
        <v>Senior</v>
      </c>
      <c r="E3907">
        <v>1</v>
      </c>
      <c r="F3907" t="str">
        <f>HLOOKUP(E3907, LookUP_Table!$A$6:$D$7, 2, FALSE)</f>
        <v>Primary</v>
      </c>
      <c r="G3907" t="str">
        <f>IFERROR(VLOOKUP(E3907, LookUP_Table!$A$1:$B$4, 2, FALSE), "")</f>
        <v>Primary</v>
      </c>
      <c r="H3907">
        <v>0</v>
      </c>
      <c r="I3907">
        <v>0</v>
      </c>
      <c r="J3907" t="str">
        <f t="shared" si="366"/>
        <v>Non-Smoker</v>
      </c>
      <c r="K3907">
        <v>0</v>
      </c>
      <c r="L3907">
        <v>0</v>
      </c>
      <c r="M3907">
        <v>0</v>
      </c>
      <c r="N3907">
        <v>0</v>
      </c>
      <c r="O3907">
        <v>234</v>
      </c>
      <c r="P3907" t="str">
        <f t="shared" si="367"/>
        <v>Normal</v>
      </c>
      <c r="Q3907">
        <v>140</v>
      </c>
      <c r="R3907">
        <v>93</v>
      </c>
      <c r="S3907">
        <v>28.69</v>
      </c>
      <c r="T3907" t="str">
        <f t="shared" si="368"/>
        <v>Overweight</v>
      </c>
      <c r="U3907">
        <v>60</v>
      </c>
      <c r="V3907">
        <v>87</v>
      </c>
      <c r="W3907" t="str">
        <f t="shared" ref="W3907:W3970" si="371">IF(V3907 &lt; 100, "Normal", IF(V3907 &lt;= 125, "Prediabetes", "Diabetes"))</f>
        <v>Normal</v>
      </c>
      <c r="X3907">
        <v>0</v>
      </c>
    </row>
    <row r="3908" spans="1:24" ht="14.5" thickBot="1" x14ac:dyDescent="0.35">
      <c r="A3908">
        <v>1</v>
      </c>
      <c r="B3908" t="str">
        <f t="shared" si="369"/>
        <v>Male</v>
      </c>
      <c r="C3908" s="8">
        <v>63</v>
      </c>
      <c r="D3908" t="str">
        <f t="shared" si="370"/>
        <v>Senior</v>
      </c>
      <c r="E3908">
        <v>1</v>
      </c>
      <c r="F3908" t="str">
        <f>HLOOKUP(E3908, LookUP_Table!$A$6:$D$7, 2, FALSE)</f>
        <v>Primary</v>
      </c>
      <c r="G3908" t="str">
        <f>IFERROR(VLOOKUP(E3908, LookUP_Table!$A$1:$B$4, 2, FALSE), "")</f>
        <v>Primary</v>
      </c>
      <c r="H3908">
        <v>0</v>
      </c>
      <c r="I3908">
        <v>0</v>
      </c>
      <c r="J3908" t="str">
        <f t="shared" si="366"/>
        <v>Non-Smoker</v>
      </c>
      <c r="K3908">
        <v>0</v>
      </c>
      <c r="L3908">
        <v>0</v>
      </c>
      <c r="M3908">
        <v>1</v>
      </c>
      <c r="N3908">
        <v>0</v>
      </c>
      <c r="O3908">
        <v>246</v>
      </c>
      <c r="P3908" t="str">
        <f t="shared" si="367"/>
        <v>High</v>
      </c>
      <c r="Q3908">
        <v>193</v>
      </c>
      <c r="R3908">
        <v>104</v>
      </c>
      <c r="S3908">
        <v>23.08</v>
      </c>
      <c r="T3908" t="str">
        <f t="shared" si="368"/>
        <v>Normal</v>
      </c>
      <c r="U3908">
        <v>80</v>
      </c>
      <c r="V3908">
        <v>73</v>
      </c>
      <c r="W3908" t="str">
        <f t="shared" si="371"/>
        <v>Normal</v>
      </c>
      <c r="X3908">
        <v>0</v>
      </c>
    </row>
    <row r="3909" spans="1:24" ht="14.5" thickBot="1" x14ac:dyDescent="0.35">
      <c r="A3909">
        <v>0</v>
      </c>
      <c r="B3909" t="str">
        <f t="shared" si="369"/>
        <v>Female</v>
      </c>
      <c r="C3909" s="8">
        <v>63</v>
      </c>
      <c r="D3909" t="str">
        <f t="shared" si="370"/>
        <v>Senior</v>
      </c>
      <c r="E3909">
        <v>1</v>
      </c>
      <c r="F3909" t="str">
        <f>HLOOKUP(E3909, LookUP_Table!$A$6:$D$7, 2, FALSE)</f>
        <v>Primary</v>
      </c>
      <c r="G3909" t="str">
        <f>IFERROR(VLOOKUP(E3909, LookUP_Table!$A$1:$B$4, 2, FALSE), "")</f>
        <v>Primary</v>
      </c>
      <c r="H3909">
        <v>0</v>
      </c>
      <c r="I3909">
        <v>0</v>
      </c>
      <c r="J3909" t="str">
        <f t="shared" si="366"/>
        <v>Non-Smoker</v>
      </c>
      <c r="K3909">
        <v>0</v>
      </c>
      <c r="L3909">
        <v>0</v>
      </c>
      <c r="M3909">
        <v>1</v>
      </c>
      <c r="N3909">
        <v>0</v>
      </c>
      <c r="O3909">
        <v>320</v>
      </c>
      <c r="P3909" t="str">
        <f t="shared" si="367"/>
        <v>High</v>
      </c>
      <c r="Q3909">
        <v>155</v>
      </c>
      <c r="R3909">
        <v>81</v>
      </c>
      <c r="S3909">
        <v>31.71</v>
      </c>
      <c r="T3909" t="str">
        <f t="shared" si="368"/>
        <v>Obese</v>
      </c>
      <c r="U3909">
        <v>64</v>
      </c>
      <c r="V3909">
        <v>80</v>
      </c>
      <c r="W3909" t="str">
        <f t="shared" si="371"/>
        <v>Normal</v>
      </c>
      <c r="X3909">
        <v>1</v>
      </c>
    </row>
    <row r="3910" spans="1:24" ht="14.5" thickBot="1" x14ac:dyDescent="0.35">
      <c r="A3910">
        <v>1</v>
      </c>
      <c r="B3910" t="str">
        <f t="shared" si="369"/>
        <v>Male</v>
      </c>
      <c r="C3910" s="8">
        <v>63</v>
      </c>
      <c r="D3910" t="str">
        <f t="shared" si="370"/>
        <v>Senior</v>
      </c>
      <c r="E3910">
        <v>4</v>
      </c>
      <c r="F3910" t="str">
        <f>HLOOKUP(E3910, LookUP_Table!$A$6:$D$7, 2, FALSE)</f>
        <v>Post Graduate</v>
      </c>
      <c r="G3910" t="str">
        <f>IFERROR(VLOOKUP(E3910, LookUP_Table!$A$1:$B$4, 2, FALSE), "")</f>
        <v>Post Graduate</v>
      </c>
      <c r="H3910">
        <v>1</v>
      </c>
      <c r="I3910">
        <v>20</v>
      </c>
      <c r="J3910" t="str">
        <f t="shared" si="366"/>
        <v>Smoker</v>
      </c>
      <c r="K3910">
        <v>0</v>
      </c>
      <c r="L3910">
        <v>0</v>
      </c>
      <c r="M3910">
        <v>1</v>
      </c>
      <c r="N3910">
        <v>0</v>
      </c>
      <c r="O3910">
        <v>248</v>
      </c>
      <c r="P3910" t="str">
        <f t="shared" si="367"/>
        <v>High</v>
      </c>
      <c r="Q3910">
        <v>135</v>
      </c>
      <c r="R3910">
        <v>80</v>
      </c>
      <c r="S3910">
        <v>23.06</v>
      </c>
      <c r="T3910" t="str">
        <f t="shared" si="368"/>
        <v>Normal</v>
      </c>
      <c r="U3910">
        <v>78</v>
      </c>
      <c r="V3910">
        <v>118</v>
      </c>
      <c r="W3910" t="str">
        <f t="shared" si="371"/>
        <v>Prediabetes</v>
      </c>
      <c r="X3910">
        <v>1</v>
      </c>
    </row>
    <row r="3911" spans="1:24" ht="14.5" thickBot="1" x14ac:dyDescent="0.35">
      <c r="A3911">
        <v>0</v>
      </c>
      <c r="B3911" t="str">
        <f t="shared" si="369"/>
        <v>Female</v>
      </c>
      <c r="C3911" s="8">
        <v>63</v>
      </c>
      <c r="D3911" t="str">
        <f t="shared" si="370"/>
        <v>Senior</v>
      </c>
      <c r="E3911">
        <v>1</v>
      </c>
      <c r="F3911" t="str">
        <f>HLOOKUP(E3911, LookUP_Table!$A$6:$D$7, 2, FALSE)</f>
        <v>Primary</v>
      </c>
      <c r="G3911" t="str">
        <f>IFERROR(VLOOKUP(E3911, LookUP_Table!$A$1:$B$4, 2, FALSE), "")</f>
        <v>Primary</v>
      </c>
      <c r="H3911">
        <v>0</v>
      </c>
      <c r="I3911">
        <v>0</v>
      </c>
      <c r="J3911" t="str">
        <f t="shared" si="366"/>
        <v>Non-Smoker</v>
      </c>
      <c r="K3911">
        <v>1</v>
      </c>
      <c r="L3911">
        <v>0</v>
      </c>
      <c r="M3911">
        <v>1</v>
      </c>
      <c r="N3911">
        <v>0</v>
      </c>
      <c r="O3911">
        <v>281</v>
      </c>
      <c r="P3911" t="str">
        <f t="shared" si="367"/>
        <v>High</v>
      </c>
      <c r="Q3911">
        <v>135</v>
      </c>
      <c r="R3911">
        <v>83</v>
      </c>
      <c r="S3911">
        <v>24.91</v>
      </c>
      <c r="T3911" t="str">
        <f t="shared" si="368"/>
        <v>Normal</v>
      </c>
      <c r="U3911">
        <v>63</v>
      </c>
      <c r="V3911">
        <v>68</v>
      </c>
      <c r="W3911" t="str">
        <f t="shared" si="371"/>
        <v>Normal</v>
      </c>
      <c r="X3911">
        <v>0</v>
      </c>
    </row>
    <row r="3912" spans="1:24" ht="14.5" thickBot="1" x14ac:dyDescent="0.35">
      <c r="A3912">
        <v>0</v>
      </c>
      <c r="B3912" t="str">
        <f t="shared" si="369"/>
        <v>Female</v>
      </c>
      <c r="C3912" s="8">
        <v>63</v>
      </c>
      <c r="D3912" t="str">
        <f t="shared" si="370"/>
        <v>Senior</v>
      </c>
      <c r="E3912">
        <v>2</v>
      </c>
      <c r="F3912" t="str">
        <f>HLOOKUP(E3912, LookUP_Table!$A$6:$D$7, 2, FALSE)</f>
        <v>Secondary</v>
      </c>
      <c r="G3912" t="str">
        <f>IFERROR(VLOOKUP(E3912, LookUP_Table!$A$1:$B$4, 2, FALSE), "")</f>
        <v>Secondary</v>
      </c>
      <c r="H3912">
        <v>1</v>
      </c>
      <c r="I3912">
        <v>3</v>
      </c>
      <c r="J3912" t="str">
        <f t="shared" si="366"/>
        <v>Smoker</v>
      </c>
      <c r="K3912">
        <v>0</v>
      </c>
      <c r="L3912">
        <v>0</v>
      </c>
      <c r="M3912">
        <v>1</v>
      </c>
      <c r="N3912">
        <v>0</v>
      </c>
      <c r="O3912">
        <v>246</v>
      </c>
      <c r="P3912" t="str">
        <f t="shared" si="367"/>
        <v>High</v>
      </c>
      <c r="Q3912">
        <v>163</v>
      </c>
      <c r="R3912">
        <v>82</v>
      </c>
      <c r="S3912">
        <v>24.38</v>
      </c>
      <c r="T3912" t="str">
        <f t="shared" si="368"/>
        <v>Normal</v>
      </c>
      <c r="U3912">
        <v>64</v>
      </c>
      <c r="V3912">
        <v>108</v>
      </c>
      <c r="W3912" t="str">
        <f t="shared" si="371"/>
        <v>Prediabetes</v>
      </c>
      <c r="X3912">
        <v>0</v>
      </c>
    </row>
    <row r="3913" spans="1:24" ht="14.5" thickBot="1" x14ac:dyDescent="0.35">
      <c r="A3913">
        <v>1</v>
      </c>
      <c r="B3913" t="str">
        <f t="shared" si="369"/>
        <v>Male</v>
      </c>
      <c r="C3913" s="8">
        <v>63</v>
      </c>
      <c r="D3913" t="str">
        <f t="shared" si="370"/>
        <v>Senior</v>
      </c>
      <c r="E3913">
        <v>2</v>
      </c>
      <c r="F3913" t="str">
        <f>HLOOKUP(E3913, LookUP_Table!$A$6:$D$7, 2, FALSE)</f>
        <v>Secondary</v>
      </c>
      <c r="G3913" t="str">
        <f>IFERROR(VLOOKUP(E3913, LookUP_Table!$A$1:$B$4, 2, FALSE), "")</f>
        <v>Secondary</v>
      </c>
      <c r="H3913">
        <v>0</v>
      </c>
      <c r="I3913">
        <v>0</v>
      </c>
      <c r="J3913" t="str">
        <f t="shared" si="366"/>
        <v>Non-Smoker</v>
      </c>
      <c r="K3913">
        <v>0</v>
      </c>
      <c r="L3913">
        <v>0</v>
      </c>
      <c r="M3913">
        <v>0</v>
      </c>
      <c r="N3913">
        <v>0</v>
      </c>
      <c r="O3913">
        <v>233</v>
      </c>
      <c r="P3913" t="str">
        <f t="shared" si="367"/>
        <v>Normal</v>
      </c>
      <c r="Q3913">
        <v>130</v>
      </c>
      <c r="R3913">
        <v>81</v>
      </c>
      <c r="S3913">
        <v>25.82</v>
      </c>
      <c r="T3913" t="str">
        <f t="shared" si="368"/>
        <v>Overweight</v>
      </c>
      <c r="U3913">
        <v>80</v>
      </c>
      <c r="V3913">
        <v>81</v>
      </c>
      <c r="W3913" t="str">
        <f t="shared" si="371"/>
        <v>Normal</v>
      </c>
      <c r="X3913">
        <v>0</v>
      </c>
    </row>
    <row r="3914" spans="1:24" ht="14.5" thickBot="1" x14ac:dyDescent="0.35">
      <c r="A3914">
        <v>1</v>
      </c>
      <c r="B3914" t="str">
        <f t="shared" si="369"/>
        <v>Male</v>
      </c>
      <c r="C3914" s="8">
        <v>63</v>
      </c>
      <c r="D3914" t="str">
        <f t="shared" si="370"/>
        <v>Senior</v>
      </c>
      <c r="E3914">
        <v>1</v>
      </c>
      <c r="F3914" t="str">
        <f>HLOOKUP(E3914, LookUP_Table!$A$6:$D$7, 2, FALSE)</f>
        <v>Primary</v>
      </c>
      <c r="G3914" t="str">
        <f>IFERROR(VLOOKUP(E3914, LookUP_Table!$A$1:$B$4, 2, FALSE), "")</f>
        <v>Primary</v>
      </c>
      <c r="H3914">
        <v>1</v>
      </c>
      <c r="I3914">
        <v>30</v>
      </c>
      <c r="J3914" t="str">
        <f t="shared" si="366"/>
        <v>Smoker</v>
      </c>
      <c r="K3914">
        <v>0</v>
      </c>
      <c r="L3914">
        <v>0</v>
      </c>
      <c r="M3914">
        <v>1</v>
      </c>
      <c r="N3914">
        <v>0</v>
      </c>
      <c r="O3914">
        <v>225</v>
      </c>
      <c r="P3914" t="str">
        <f t="shared" si="367"/>
        <v>Normal</v>
      </c>
      <c r="Q3914">
        <v>146</v>
      </c>
      <c r="R3914">
        <v>82</v>
      </c>
      <c r="S3914">
        <v>27.17</v>
      </c>
      <c r="T3914" t="str">
        <f t="shared" si="368"/>
        <v>Overweight</v>
      </c>
      <c r="U3914">
        <v>70</v>
      </c>
      <c r="V3914">
        <v>85</v>
      </c>
      <c r="W3914" t="str">
        <f t="shared" si="371"/>
        <v>Normal</v>
      </c>
      <c r="X3914">
        <v>1</v>
      </c>
    </row>
    <row r="3915" spans="1:24" ht="14.5" thickBot="1" x14ac:dyDescent="0.35">
      <c r="A3915">
        <v>1</v>
      </c>
      <c r="B3915" t="str">
        <f t="shared" si="369"/>
        <v>Male</v>
      </c>
      <c r="C3915" s="8">
        <v>63</v>
      </c>
      <c r="D3915" t="str">
        <f t="shared" si="370"/>
        <v>Senior</v>
      </c>
      <c r="E3915">
        <v>2</v>
      </c>
      <c r="F3915" t="str">
        <f>HLOOKUP(E3915, LookUP_Table!$A$6:$D$7, 2, FALSE)</f>
        <v>Secondary</v>
      </c>
      <c r="G3915" t="str">
        <f>IFERROR(VLOOKUP(E3915, LookUP_Table!$A$1:$B$4, 2, FALSE), "")</f>
        <v>Secondary</v>
      </c>
      <c r="H3915">
        <v>1</v>
      </c>
      <c r="I3915">
        <v>43</v>
      </c>
      <c r="J3915" t="str">
        <f t="shared" si="366"/>
        <v>Smoker</v>
      </c>
      <c r="K3915">
        <v>0</v>
      </c>
      <c r="L3915">
        <v>0</v>
      </c>
      <c r="M3915">
        <v>0</v>
      </c>
      <c r="N3915">
        <v>0</v>
      </c>
      <c r="O3915">
        <v>230</v>
      </c>
      <c r="P3915" t="str">
        <f t="shared" si="367"/>
        <v>Normal</v>
      </c>
      <c r="Q3915">
        <v>127</v>
      </c>
      <c r="R3915">
        <v>82</v>
      </c>
      <c r="S3915">
        <v>19.97</v>
      </c>
      <c r="T3915" t="str">
        <f t="shared" si="368"/>
        <v>Normal</v>
      </c>
      <c r="U3915">
        <v>70</v>
      </c>
      <c r="V3915">
        <v>67</v>
      </c>
      <c r="W3915" t="str">
        <f t="shared" si="371"/>
        <v>Normal</v>
      </c>
      <c r="X3915">
        <v>0</v>
      </c>
    </row>
    <row r="3916" spans="1:24" ht="14.5" thickBot="1" x14ac:dyDescent="0.35">
      <c r="A3916">
        <v>0</v>
      </c>
      <c r="B3916" t="str">
        <f t="shared" si="369"/>
        <v>Female</v>
      </c>
      <c r="C3916" s="8">
        <v>63</v>
      </c>
      <c r="D3916" t="str">
        <f t="shared" si="370"/>
        <v>Senior</v>
      </c>
      <c r="E3916">
        <v>1</v>
      </c>
      <c r="F3916" t="str">
        <f>HLOOKUP(E3916, LookUP_Table!$A$6:$D$7, 2, FALSE)</f>
        <v>Primary</v>
      </c>
      <c r="G3916" t="str">
        <f>IFERROR(VLOOKUP(E3916, LookUP_Table!$A$1:$B$4, 2, FALSE), "")</f>
        <v>Primary</v>
      </c>
      <c r="H3916">
        <v>0</v>
      </c>
      <c r="I3916">
        <v>0</v>
      </c>
      <c r="J3916" t="str">
        <f t="shared" si="366"/>
        <v>Non-Smoker</v>
      </c>
      <c r="K3916">
        <v>0</v>
      </c>
      <c r="L3916">
        <v>0</v>
      </c>
      <c r="M3916">
        <v>0</v>
      </c>
      <c r="N3916">
        <v>0</v>
      </c>
      <c r="O3916">
        <v>362</v>
      </c>
      <c r="P3916" t="str">
        <f t="shared" si="367"/>
        <v>High</v>
      </c>
      <c r="Q3916">
        <v>151.5</v>
      </c>
      <c r="R3916">
        <v>82.5</v>
      </c>
      <c r="S3916">
        <v>25.15</v>
      </c>
      <c r="T3916" t="str">
        <f t="shared" si="368"/>
        <v>Overweight</v>
      </c>
      <c r="U3916">
        <v>102</v>
      </c>
      <c r="V3916">
        <v>81.96365524402907</v>
      </c>
      <c r="W3916" t="str">
        <f t="shared" si="371"/>
        <v>Normal</v>
      </c>
      <c r="X3916">
        <v>0</v>
      </c>
    </row>
    <row r="3917" spans="1:24" ht="14.5" thickBot="1" x14ac:dyDescent="0.35">
      <c r="A3917">
        <v>0</v>
      </c>
      <c r="B3917" t="str">
        <f t="shared" si="369"/>
        <v>Female</v>
      </c>
      <c r="C3917" s="8">
        <v>63</v>
      </c>
      <c r="D3917" t="str">
        <f t="shared" si="370"/>
        <v>Senior</v>
      </c>
      <c r="E3917">
        <v>1</v>
      </c>
      <c r="F3917" t="str">
        <f>HLOOKUP(E3917, LookUP_Table!$A$6:$D$7, 2, FALSE)</f>
        <v>Primary</v>
      </c>
      <c r="G3917" t="str">
        <f>IFERROR(VLOOKUP(E3917, LookUP_Table!$A$1:$B$4, 2, FALSE), "")</f>
        <v>Primary</v>
      </c>
      <c r="H3917">
        <v>0</v>
      </c>
      <c r="I3917">
        <v>0</v>
      </c>
      <c r="J3917" t="str">
        <f t="shared" si="366"/>
        <v>Non-Smoker</v>
      </c>
      <c r="K3917">
        <v>0</v>
      </c>
      <c r="L3917">
        <v>0</v>
      </c>
      <c r="M3917">
        <v>1</v>
      </c>
      <c r="N3917">
        <v>0</v>
      </c>
      <c r="O3917">
        <v>237</v>
      </c>
      <c r="P3917" t="str">
        <f t="shared" si="367"/>
        <v>Normal</v>
      </c>
      <c r="Q3917">
        <v>155</v>
      </c>
      <c r="R3917">
        <v>92.5</v>
      </c>
      <c r="S3917">
        <v>31.5</v>
      </c>
      <c r="T3917" t="str">
        <f t="shared" si="368"/>
        <v>Obese</v>
      </c>
      <c r="U3917">
        <v>62</v>
      </c>
      <c r="V3917">
        <v>83</v>
      </c>
      <c r="W3917" t="str">
        <f t="shared" si="371"/>
        <v>Normal</v>
      </c>
      <c r="X3917">
        <v>0</v>
      </c>
    </row>
    <row r="3918" spans="1:24" ht="14.5" thickBot="1" x14ac:dyDescent="0.35">
      <c r="A3918">
        <v>0</v>
      </c>
      <c r="B3918" t="str">
        <f t="shared" si="369"/>
        <v>Female</v>
      </c>
      <c r="C3918" s="8">
        <v>63</v>
      </c>
      <c r="D3918" t="str">
        <f t="shared" si="370"/>
        <v>Senior</v>
      </c>
      <c r="E3918">
        <v>1</v>
      </c>
      <c r="F3918" t="str">
        <f>HLOOKUP(E3918, LookUP_Table!$A$6:$D$7, 2, FALSE)</f>
        <v>Primary</v>
      </c>
      <c r="G3918" t="str">
        <f>IFERROR(VLOOKUP(E3918, LookUP_Table!$A$1:$B$4, 2, FALSE), "")</f>
        <v>Primary</v>
      </c>
      <c r="H3918">
        <v>1</v>
      </c>
      <c r="I3918">
        <v>10</v>
      </c>
      <c r="J3918" t="str">
        <f t="shared" si="366"/>
        <v>Smoker</v>
      </c>
      <c r="K3918">
        <v>1</v>
      </c>
      <c r="L3918">
        <v>0</v>
      </c>
      <c r="M3918">
        <v>1</v>
      </c>
      <c r="N3918">
        <v>0</v>
      </c>
      <c r="O3918">
        <v>213</v>
      </c>
      <c r="P3918" t="str">
        <f t="shared" si="367"/>
        <v>Normal</v>
      </c>
      <c r="Q3918">
        <v>182</v>
      </c>
      <c r="R3918">
        <v>92</v>
      </c>
      <c r="S3918">
        <v>26.87</v>
      </c>
      <c r="T3918" t="str">
        <f t="shared" si="368"/>
        <v>Overweight</v>
      </c>
      <c r="U3918">
        <v>52</v>
      </c>
      <c r="V3918">
        <v>63</v>
      </c>
      <c r="W3918" t="str">
        <f t="shared" si="371"/>
        <v>Normal</v>
      </c>
      <c r="X3918">
        <v>0</v>
      </c>
    </row>
    <row r="3919" spans="1:24" ht="14.5" thickBot="1" x14ac:dyDescent="0.35">
      <c r="A3919">
        <v>1</v>
      </c>
      <c r="B3919" t="str">
        <f t="shared" si="369"/>
        <v>Male</v>
      </c>
      <c r="C3919" s="8">
        <v>63</v>
      </c>
      <c r="D3919" t="str">
        <f t="shared" si="370"/>
        <v>Senior</v>
      </c>
      <c r="E3919">
        <v>1</v>
      </c>
      <c r="F3919" t="str">
        <f>HLOOKUP(E3919, LookUP_Table!$A$6:$D$7, 2, FALSE)</f>
        <v>Primary</v>
      </c>
      <c r="G3919" t="str">
        <f>IFERROR(VLOOKUP(E3919, LookUP_Table!$A$1:$B$4, 2, FALSE), "")</f>
        <v>Primary</v>
      </c>
      <c r="H3919">
        <v>1</v>
      </c>
      <c r="I3919">
        <v>20</v>
      </c>
      <c r="J3919" t="str">
        <f t="shared" si="366"/>
        <v>Smoker</v>
      </c>
      <c r="K3919">
        <v>0</v>
      </c>
      <c r="L3919">
        <v>1</v>
      </c>
      <c r="M3919">
        <v>1</v>
      </c>
      <c r="N3919">
        <v>0</v>
      </c>
      <c r="O3919">
        <v>213</v>
      </c>
      <c r="P3919" t="str">
        <f t="shared" si="367"/>
        <v>Normal</v>
      </c>
      <c r="Q3919">
        <v>163</v>
      </c>
      <c r="R3919">
        <v>94</v>
      </c>
      <c r="S3919">
        <v>25.80080075811421</v>
      </c>
      <c r="T3919" t="str">
        <f t="shared" si="368"/>
        <v>Overweight</v>
      </c>
      <c r="U3919">
        <v>76</v>
      </c>
      <c r="V3919">
        <v>69</v>
      </c>
      <c r="W3919" t="str">
        <f t="shared" si="371"/>
        <v>Normal</v>
      </c>
      <c r="X3919">
        <v>1</v>
      </c>
    </row>
    <row r="3920" spans="1:24" ht="14.5" thickBot="1" x14ac:dyDescent="0.35">
      <c r="A3920">
        <v>0</v>
      </c>
      <c r="B3920" t="str">
        <f t="shared" si="369"/>
        <v>Female</v>
      </c>
      <c r="C3920" s="8">
        <v>63</v>
      </c>
      <c r="D3920" t="str">
        <f t="shared" si="370"/>
        <v>Senior</v>
      </c>
      <c r="E3920">
        <v>2</v>
      </c>
      <c r="F3920" t="str">
        <f>HLOOKUP(E3920, LookUP_Table!$A$6:$D$7, 2, FALSE)</f>
        <v>Secondary</v>
      </c>
      <c r="G3920" t="str">
        <f>IFERROR(VLOOKUP(E3920, LookUP_Table!$A$1:$B$4, 2, FALSE), "")</f>
        <v>Secondary</v>
      </c>
      <c r="H3920">
        <v>0</v>
      </c>
      <c r="I3920">
        <v>0</v>
      </c>
      <c r="J3920" t="str">
        <f t="shared" si="366"/>
        <v>Non-Smoker</v>
      </c>
      <c r="K3920">
        <v>0</v>
      </c>
      <c r="L3920">
        <v>0</v>
      </c>
      <c r="M3920">
        <v>1</v>
      </c>
      <c r="N3920">
        <v>0</v>
      </c>
      <c r="O3920">
        <v>283</v>
      </c>
      <c r="P3920" t="str">
        <f t="shared" si="367"/>
        <v>High</v>
      </c>
      <c r="Q3920">
        <v>164</v>
      </c>
      <c r="R3920">
        <v>86</v>
      </c>
      <c r="S3920">
        <v>24.64</v>
      </c>
      <c r="T3920" t="str">
        <f t="shared" si="368"/>
        <v>Normal</v>
      </c>
      <c r="U3920">
        <v>80</v>
      </c>
      <c r="V3920">
        <v>82</v>
      </c>
      <c r="W3920" t="str">
        <f t="shared" si="371"/>
        <v>Normal</v>
      </c>
      <c r="X3920">
        <v>0</v>
      </c>
    </row>
    <row r="3921" spans="1:24" ht="14.5" thickBot="1" x14ac:dyDescent="0.35">
      <c r="A3921">
        <v>1</v>
      </c>
      <c r="B3921" t="str">
        <f t="shared" si="369"/>
        <v>Male</v>
      </c>
      <c r="C3921" s="8">
        <v>63</v>
      </c>
      <c r="D3921" t="str">
        <f t="shared" si="370"/>
        <v>Senior</v>
      </c>
      <c r="E3921">
        <v>1</v>
      </c>
      <c r="F3921" t="str">
        <f>HLOOKUP(E3921, LookUP_Table!$A$6:$D$7, 2, FALSE)</f>
        <v>Primary</v>
      </c>
      <c r="G3921" t="str">
        <f>IFERROR(VLOOKUP(E3921, LookUP_Table!$A$1:$B$4, 2, FALSE), "")</f>
        <v>Primary</v>
      </c>
      <c r="H3921">
        <v>0</v>
      </c>
      <c r="I3921">
        <v>0</v>
      </c>
      <c r="J3921" t="str">
        <f t="shared" si="366"/>
        <v>Non-Smoker</v>
      </c>
      <c r="K3921">
        <v>0</v>
      </c>
      <c r="L3921">
        <v>0</v>
      </c>
      <c r="M3921">
        <v>1</v>
      </c>
      <c r="N3921">
        <v>0</v>
      </c>
      <c r="O3921">
        <v>240</v>
      </c>
      <c r="P3921" t="str">
        <f t="shared" si="367"/>
        <v>Normal</v>
      </c>
      <c r="Q3921">
        <v>136</v>
      </c>
      <c r="R3921">
        <v>94</v>
      </c>
      <c r="S3921">
        <v>29.17</v>
      </c>
      <c r="T3921" t="str">
        <f t="shared" si="368"/>
        <v>Overweight</v>
      </c>
      <c r="U3921">
        <v>64</v>
      </c>
      <c r="V3921">
        <v>57</v>
      </c>
      <c r="W3921" t="str">
        <f t="shared" si="371"/>
        <v>Normal</v>
      </c>
      <c r="X3921">
        <v>0</v>
      </c>
    </row>
    <row r="3922" spans="1:24" ht="14.5" thickBot="1" x14ac:dyDescent="0.35">
      <c r="A3922">
        <v>0</v>
      </c>
      <c r="B3922" t="str">
        <f t="shared" si="369"/>
        <v>Female</v>
      </c>
      <c r="C3922" s="8">
        <v>63</v>
      </c>
      <c r="D3922" t="str">
        <f t="shared" si="370"/>
        <v>Senior</v>
      </c>
      <c r="E3922">
        <v>2</v>
      </c>
      <c r="F3922" t="str">
        <f>HLOOKUP(E3922, LookUP_Table!$A$6:$D$7, 2, FALSE)</f>
        <v>Secondary</v>
      </c>
      <c r="G3922" t="str">
        <f>IFERROR(VLOOKUP(E3922, LookUP_Table!$A$1:$B$4, 2, FALSE), "")</f>
        <v>Secondary</v>
      </c>
      <c r="H3922">
        <v>0</v>
      </c>
      <c r="I3922">
        <v>0</v>
      </c>
      <c r="J3922" t="str">
        <f t="shared" si="366"/>
        <v>Non-Smoker</v>
      </c>
      <c r="K3922">
        <v>0</v>
      </c>
      <c r="L3922">
        <v>0</v>
      </c>
      <c r="M3922">
        <v>0</v>
      </c>
      <c r="N3922">
        <v>0</v>
      </c>
      <c r="O3922">
        <v>276</v>
      </c>
      <c r="P3922" t="str">
        <f t="shared" si="367"/>
        <v>High</v>
      </c>
      <c r="Q3922">
        <v>134</v>
      </c>
      <c r="R3922">
        <v>85</v>
      </c>
      <c r="S3922">
        <v>23.64</v>
      </c>
      <c r="T3922" t="str">
        <f t="shared" si="368"/>
        <v>Normal</v>
      </c>
      <c r="U3922">
        <v>70</v>
      </c>
      <c r="V3922">
        <v>86</v>
      </c>
      <c r="W3922" t="str">
        <f t="shared" si="371"/>
        <v>Normal</v>
      </c>
      <c r="X3922">
        <v>0</v>
      </c>
    </row>
    <row r="3923" spans="1:24" ht="14.5" thickBot="1" x14ac:dyDescent="0.35">
      <c r="A3923">
        <v>1</v>
      </c>
      <c r="B3923" t="str">
        <f t="shared" si="369"/>
        <v>Male</v>
      </c>
      <c r="C3923" s="8">
        <v>63</v>
      </c>
      <c r="D3923" t="str">
        <f t="shared" si="370"/>
        <v>Senior</v>
      </c>
      <c r="E3923">
        <v>1</v>
      </c>
      <c r="F3923" t="str">
        <f>HLOOKUP(E3923, LookUP_Table!$A$6:$D$7, 2, FALSE)</f>
        <v>Primary</v>
      </c>
      <c r="G3923" t="str">
        <f>IFERROR(VLOOKUP(E3923, LookUP_Table!$A$1:$B$4, 2, FALSE), "")</f>
        <v>Primary</v>
      </c>
      <c r="H3923">
        <v>0</v>
      </c>
      <c r="I3923">
        <v>0</v>
      </c>
      <c r="J3923" t="str">
        <f t="shared" si="366"/>
        <v>Non-Smoker</v>
      </c>
      <c r="K3923">
        <v>0</v>
      </c>
      <c r="L3923">
        <v>0</v>
      </c>
      <c r="M3923">
        <v>0</v>
      </c>
      <c r="N3923">
        <v>1</v>
      </c>
      <c r="O3923">
        <v>229</v>
      </c>
      <c r="P3923" t="str">
        <f t="shared" si="367"/>
        <v>Normal</v>
      </c>
      <c r="Q3923">
        <v>109</v>
      </c>
      <c r="R3923">
        <v>75</v>
      </c>
      <c r="S3923">
        <v>38.42</v>
      </c>
      <c r="T3923" t="str">
        <f t="shared" si="368"/>
        <v>Obese</v>
      </c>
      <c r="U3923">
        <v>110</v>
      </c>
      <c r="V3923">
        <v>120</v>
      </c>
      <c r="W3923" t="str">
        <f t="shared" si="371"/>
        <v>Prediabetes</v>
      </c>
      <c r="X3923">
        <v>0</v>
      </c>
    </row>
    <row r="3924" spans="1:24" ht="14.5" thickBot="1" x14ac:dyDescent="0.35">
      <c r="A3924">
        <v>0</v>
      </c>
      <c r="B3924" t="str">
        <f t="shared" si="369"/>
        <v>Female</v>
      </c>
      <c r="C3924" s="8">
        <v>63</v>
      </c>
      <c r="D3924" t="str">
        <f t="shared" si="370"/>
        <v>Senior</v>
      </c>
      <c r="E3924">
        <v>1</v>
      </c>
      <c r="F3924" t="str">
        <f>HLOOKUP(E3924, LookUP_Table!$A$6:$D$7, 2, FALSE)</f>
        <v>Primary</v>
      </c>
      <c r="G3924" t="str">
        <f>IFERROR(VLOOKUP(E3924, LookUP_Table!$A$1:$B$4, 2, FALSE), "")</f>
        <v>Primary</v>
      </c>
      <c r="H3924">
        <v>0</v>
      </c>
      <c r="I3924">
        <v>0</v>
      </c>
      <c r="J3924" t="str">
        <f t="shared" si="366"/>
        <v>Non-Smoker</v>
      </c>
      <c r="K3924">
        <v>0</v>
      </c>
      <c r="L3924">
        <v>0</v>
      </c>
      <c r="M3924">
        <v>1</v>
      </c>
      <c r="N3924">
        <v>0</v>
      </c>
      <c r="O3924">
        <v>293</v>
      </c>
      <c r="P3924" t="str">
        <f t="shared" si="367"/>
        <v>High</v>
      </c>
      <c r="Q3924">
        <v>193</v>
      </c>
      <c r="R3924">
        <v>63</v>
      </c>
      <c r="S3924">
        <v>30</v>
      </c>
      <c r="T3924" t="str">
        <f t="shared" si="368"/>
        <v>Obese</v>
      </c>
      <c r="U3924">
        <v>70</v>
      </c>
      <c r="V3924">
        <v>76</v>
      </c>
      <c r="W3924" t="str">
        <f t="shared" si="371"/>
        <v>Normal</v>
      </c>
      <c r="X3924">
        <v>1</v>
      </c>
    </row>
    <row r="3925" spans="1:24" ht="14.5" thickBot="1" x14ac:dyDescent="0.35">
      <c r="A3925">
        <v>0</v>
      </c>
      <c r="B3925" t="str">
        <f t="shared" si="369"/>
        <v>Female</v>
      </c>
      <c r="C3925" s="8">
        <v>63</v>
      </c>
      <c r="D3925" t="str">
        <f t="shared" si="370"/>
        <v>Senior</v>
      </c>
      <c r="E3925">
        <v>1</v>
      </c>
      <c r="F3925" t="str">
        <f>HLOOKUP(E3925, LookUP_Table!$A$6:$D$7, 2, FALSE)</f>
        <v>Primary</v>
      </c>
      <c r="G3925" t="str">
        <f>IFERROR(VLOOKUP(E3925, LookUP_Table!$A$1:$B$4, 2, FALSE), "")</f>
        <v>Primary</v>
      </c>
      <c r="H3925">
        <v>0</v>
      </c>
      <c r="I3925">
        <v>0</v>
      </c>
      <c r="J3925" t="str">
        <f t="shared" si="366"/>
        <v>Non-Smoker</v>
      </c>
      <c r="K3925">
        <v>0</v>
      </c>
      <c r="L3925">
        <v>0</v>
      </c>
      <c r="M3925">
        <v>1</v>
      </c>
      <c r="N3925">
        <v>0</v>
      </c>
      <c r="O3925">
        <v>235</v>
      </c>
      <c r="P3925" t="str">
        <f t="shared" si="367"/>
        <v>Normal</v>
      </c>
      <c r="Q3925">
        <v>131.5</v>
      </c>
      <c r="R3925">
        <v>91</v>
      </c>
      <c r="S3925">
        <v>24.69</v>
      </c>
      <c r="T3925" t="str">
        <f t="shared" si="368"/>
        <v>Normal</v>
      </c>
      <c r="U3925">
        <v>80</v>
      </c>
      <c r="V3925">
        <v>68</v>
      </c>
      <c r="W3925" t="str">
        <f t="shared" si="371"/>
        <v>Normal</v>
      </c>
      <c r="X3925">
        <v>0</v>
      </c>
    </row>
    <row r="3926" spans="1:24" ht="14.5" thickBot="1" x14ac:dyDescent="0.35">
      <c r="A3926">
        <v>0</v>
      </c>
      <c r="B3926" t="str">
        <f t="shared" si="369"/>
        <v>Female</v>
      </c>
      <c r="C3926" s="8">
        <v>63</v>
      </c>
      <c r="D3926" t="str">
        <f t="shared" si="370"/>
        <v>Senior</v>
      </c>
      <c r="E3926">
        <v>1</v>
      </c>
      <c r="F3926" t="str">
        <f>HLOOKUP(E3926, LookUP_Table!$A$6:$D$7, 2, FALSE)</f>
        <v>Primary</v>
      </c>
      <c r="G3926" t="str">
        <f>IFERROR(VLOOKUP(E3926, LookUP_Table!$A$1:$B$4, 2, FALSE), "")</f>
        <v>Primary</v>
      </c>
      <c r="H3926">
        <v>0</v>
      </c>
      <c r="I3926">
        <v>0</v>
      </c>
      <c r="J3926" t="str">
        <f t="shared" si="366"/>
        <v>Non-Smoker</v>
      </c>
      <c r="K3926">
        <v>0</v>
      </c>
      <c r="L3926">
        <v>0</v>
      </c>
      <c r="M3926">
        <v>1</v>
      </c>
      <c r="N3926">
        <v>0</v>
      </c>
      <c r="O3926">
        <v>275</v>
      </c>
      <c r="P3926" t="str">
        <f t="shared" si="367"/>
        <v>High</v>
      </c>
      <c r="Q3926">
        <v>148</v>
      </c>
      <c r="R3926">
        <v>75</v>
      </c>
      <c r="S3926">
        <v>28.87</v>
      </c>
      <c r="T3926" t="str">
        <f t="shared" si="368"/>
        <v>Overweight</v>
      </c>
      <c r="U3926">
        <v>70</v>
      </c>
      <c r="V3926">
        <v>83</v>
      </c>
      <c r="W3926" t="str">
        <f t="shared" si="371"/>
        <v>Normal</v>
      </c>
      <c r="X3926">
        <v>1</v>
      </c>
    </row>
    <row r="3927" spans="1:24" ht="14.5" thickBot="1" x14ac:dyDescent="0.35">
      <c r="A3927">
        <v>1</v>
      </c>
      <c r="B3927" t="str">
        <f t="shared" si="369"/>
        <v>Male</v>
      </c>
      <c r="C3927" s="8">
        <v>63</v>
      </c>
      <c r="D3927" t="str">
        <f t="shared" si="370"/>
        <v>Senior</v>
      </c>
      <c r="E3927">
        <v>1</v>
      </c>
      <c r="F3927" t="str">
        <f>HLOOKUP(E3927, LookUP_Table!$A$6:$D$7, 2, FALSE)</f>
        <v>Primary</v>
      </c>
      <c r="G3927" t="str">
        <f>IFERROR(VLOOKUP(E3927, LookUP_Table!$A$1:$B$4, 2, FALSE), "")</f>
        <v>Primary</v>
      </c>
      <c r="H3927">
        <v>0</v>
      </c>
      <c r="I3927">
        <v>0</v>
      </c>
      <c r="J3927" t="str">
        <f t="shared" si="366"/>
        <v>Non-Smoker</v>
      </c>
      <c r="K3927">
        <v>0</v>
      </c>
      <c r="L3927">
        <v>0</v>
      </c>
      <c r="M3927">
        <v>1</v>
      </c>
      <c r="N3927">
        <v>0</v>
      </c>
      <c r="O3927">
        <v>235</v>
      </c>
      <c r="P3927" t="str">
        <f t="shared" si="367"/>
        <v>Normal</v>
      </c>
      <c r="Q3927">
        <v>199</v>
      </c>
      <c r="R3927">
        <v>114</v>
      </c>
      <c r="S3927">
        <v>29.76</v>
      </c>
      <c r="T3927" t="str">
        <f t="shared" si="368"/>
        <v>Overweight</v>
      </c>
      <c r="U3927">
        <v>95</v>
      </c>
      <c r="V3927">
        <v>84</v>
      </c>
      <c r="W3927" t="str">
        <f t="shared" si="371"/>
        <v>Normal</v>
      </c>
      <c r="X3927">
        <v>0</v>
      </c>
    </row>
    <row r="3928" spans="1:24" ht="14.5" thickBot="1" x14ac:dyDescent="0.35">
      <c r="A3928">
        <v>0</v>
      </c>
      <c r="B3928" t="str">
        <f t="shared" si="369"/>
        <v>Female</v>
      </c>
      <c r="C3928" s="8">
        <v>63</v>
      </c>
      <c r="D3928" t="str">
        <f t="shared" si="370"/>
        <v>Senior</v>
      </c>
      <c r="E3928">
        <v>1</v>
      </c>
      <c r="F3928" t="str">
        <f>HLOOKUP(E3928, LookUP_Table!$A$6:$D$7, 2, FALSE)</f>
        <v>Primary</v>
      </c>
      <c r="G3928" t="str">
        <f>IFERROR(VLOOKUP(E3928, LookUP_Table!$A$1:$B$4, 2, FALSE), "")</f>
        <v>Primary</v>
      </c>
      <c r="H3928">
        <v>1</v>
      </c>
      <c r="I3928">
        <v>9</v>
      </c>
      <c r="J3928" t="str">
        <f t="shared" si="366"/>
        <v>Smoker</v>
      </c>
      <c r="K3928">
        <v>0</v>
      </c>
      <c r="L3928">
        <v>0</v>
      </c>
      <c r="M3928">
        <v>1</v>
      </c>
      <c r="N3928">
        <v>0</v>
      </c>
      <c r="O3928">
        <v>281</v>
      </c>
      <c r="P3928" t="str">
        <f t="shared" si="367"/>
        <v>High</v>
      </c>
      <c r="Q3928">
        <v>158.5</v>
      </c>
      <c r="R3928">
        <v>90</v>
      </c>
      <c r="S3928">
        <v>20.5</v>
      </c>
      <c r="T3928" t="str">
        <f t="shared" si="368"/>
        <v>Normal</v>
      </c>
      <c r="U3928">
        <v>72</v>
      </c>
      <c r="V3928">
        <v>81.96365524402907</v>
      </c>
      <c r="W3928" t="str">
        <f t="shared" si="371"/>
        <v>Normal</v>
      </c>
      <c r="X3928">
        <v>0</v>
      </c>
    </row>
    <row r="3929" spans="1:24" ht="14.5" thickBot="1" x14ac:dyDescent="0.35">
      <c r="A3929">
        <v>1</v>
      </c>
      <c r="B3929" t="str">
        <f t="shared" si="369"/>
        <v>Male</v>
      </c>
      <c r="C3929" s="8">
        <v>63</v>
      </c>
      <c r="D3929" t="str">
        <f t="shared" si="370"/>
        <v>Senior</v>
      </c>
      <c r="E3929">
        <v>1</v>
      </c>
      <c r="F3929" t="str">
        <f>HLOOKUP(E3929, LookUP_Table!$A$6:$D$7, 2, FALSE)</f>
        <v>Primary</v>
      </c>
      <c r="G3929" t="str">
        <f>IFERROR(VLOOKUP(E3929, LookUP_Table!$A$1:$B$4, 2, FALSE), "")</f>
        <v>Primary</v>
      </c>
      <c r="H3929">
        <v>0</v>
      </c>
      <c r="I3929">
        <v>0</v>
      </c>
      <c r="J3929" t="str">
        <f t="shared" si="366"/>
        <v>Non-Smoker</v>
      </c>
      <c r="K3929">
        <v>0</v>
      </c>
      <c r="L3929">
        <v>0</v>
      </c>
      <c r="M3929">
        <v>1</v>
      </c>
      <c r="N3929">
        <v>0</v>
      </c>
      <c r="O3929">
        <v>219</v>
      </c>
      <c r="P3929" t="str">
        <f t="shared" si="367"/>
        <v>Normal</v>
      </c>
      <c r="Q3929">
        <v>145.5</v>
      </c>
      <c r="R3929">
        <v>80</v>
      </c>
      <c r="S3929">
        <v>26.6</v>
      </c>
      <c r="T3929" t="str">
        <f t="shared" si="368"/>
        <v>Overweight</v>
      </c>
      <c r="U3929">
        <v>72</v>
      </c>
      <c r="V3929">
        <v>81.96365524402907</v>
      </c>
      <c r="W3929" t="str">
        <f t="shared" si="371"/>
        <v>Normal</v>
      </c>
      <c r="X3929">
        <v>1</v>
      </c>
    </row>
    <row r="3930" spans="1:24" ht="14.5" thickBot="1" x14ac:dyDescent="0.35">
      <c r="A3930">
        <v>1</v>
      </c>
      <c r="B3930" t="str">
        <f t="shared" si="369"/>
        <v>Male</v>
      </c>
      <c r="C3930" s="8">
        <v>63</v>
      </c>
      <c r="D3930" t="str">
        <f t="shared" si="370"/>
        <v>Senior</v>
      </c>
      <c r="E3930">
        <v>3</v>
      </c>
      <c r="F3930" t="str">
        <f>HLOOKUP(E3930, LookUP_Table!$A$6:$D$7, 2, FALSE)</f>
        <v>Graduate</v>
      </c>
      <c r="G3930" t="str">
        <f>IFERROR(VLOOKUP(E3930, LookUP_Table!$A$1:$B$4, 2, FALSE), "")</f>
        <v>Graduate</v>
      </c>
      <c r="H3930">
        <v>1</v>
      </c>
      <c r="I3930">
        <v>9</v>
      </c>
      <c r="J3930" t="str">
        <f t="shared" si="366"/>
        <v>Smoker</v>
      </c>
      <c r="K3930">
        <v>0</v>
      </c>
      <c r="L3930">
        <v>0</v>
      </c>
      <c r="M3930">
        <v>0</v>
      </c>
      <c r="N3930">
        <v>0</v>
      </c>
      <c r="O3930">
        <v>176</v>
      </c>
      <c r="P3930" t="str">
        <f t="shared" si="367"/>
        <v>Normal</v>
      </c>
      <c r="Q3930">
        <v>116</v>
      </c>
      <c r="R3930">
        <v>83</v>
      </c>
      <c r="S3930">
        <v>27.8</v>
      </c>
      <c r="T3930" t="str">
        <f t="shared" si="368"/>
        <v>Overweight</v>
      </c>
      <c r="U3930">
        <v>65</v>
      </c>
      <c r="V3930">
        <v>75</v>
      </c>
      <c r="W3930" t="str">
        <f t="shared" si="371"/>
        <v>Normal</v>
      </c>
      <c r="X3930">
        <v>0</v>
      </c>
    </row>
    <row r="3931" spans="1:24" ht="14.5" thickBot="1" x14ac:dyDescent="0.35">
      <c r="A3931">
        <v>0</v>
      </c>
      <c r="B3931" t="str">
        <f t="shared" si="369"/>
        <v>Female</v>
      </c>
      <c r="C3931" s="8">
        <v>63</v>
      </c>
      <c r="D3931" t="str">
        <f t="shared" si="370"/>
        <v>Senior</v>
      </c>
      <c r="E3931">
        <v>3</v>
      </c>
      <c r="F3931" t="str">
        <f>HLOOKUP(E3931, LookUP_Table!$A$6:$D$7, 2, FALSE)</f>
        <v>Graduate</v>
      </c>
      <c r="G3931" t="str">
        <f>IFERROR(VLOOKUP(E3931, LookUP_Table!$A$1:$B$4, 2, FALSE), "")</f>
        <v>Graduate</v>
      </c>
      <c r="H3931">
        <v>0</v>
      </c>
      <c r="I3931">
        <v>0</v>
      </c>
      <c r="J3931" t="str">
        <f t="shared" si="366"/>
        <v>Non-Smoker</v>
      </c>
      <c r="K3931">
        <v>0</v>
      </c>
      <c r="L3931">
        <v>0</v>
      </c>
      <c r="M3931">
        <v>1</v>
      </c>
      <c r="N3931">
        <v>0</v>
      </c>
      <c r="O3931">
        <v>380</v>
      </c>
      <c r="P3931" t="str">
        <f t="shared" si="367"/>
        <v>High</v>
      </c>
      <c r="Q3931">
        <v>175</v>
      </c>
      <c r="R3931">
        <v>78</v>
      </c>
      <c r="S3931">
        <v>20.149999999999999</v>
      </c>
      <c r="T3931" t="str">
        <f t="shared" si="368"/>
        <v>Normal</v>
      </c>
      <c r="U3931">
        <v>68</v>
      </c>
      <c r="V3931">
        <v>95</v>
      </c>
      <c r="W3931" t="str">
        <f t="shared" si="371"/>
        <v>Normal</v>
      </c>
      <c r="X3931">
        <v>1</v>
      </c>
    </row>
    <row r="3932" spans="1:24" ht="14.5" thickBot="1" x14ac:dyDescent="0.35">
      <c r="A3932">
        <v>1</v>
      </c>
      <c r="B3932" t="str">
        <f t="shared" si="369"/>
        <v>Male</v>
      </c>
      <c r="C3932" s="8">
        <v>63</v>
      </c>
      <c r="D3932" t="str">
        <f t="shared" si="370"/>
        <v>Senior</v>
      </c>
      <c r="E3932">
        <v>3</v>
      </c>
      <c r="F3932" t="str">
        <f>HLOOKUP(E3932, LookUP_Table!$A$6:$D$7, 2, FALSE)</f>
        <v>Graduate</v>
      </c>
      <c r="G3932" t="str">
        <f>IFERROR(VLOOKUP(E3932, LookUP_Table!$A$1:$B$4, 2, FALSE), "")</f>
        <v>Graduate</v>
      </c>
      <c r="H3932">
        <v>0</v>
      </c>
      <c r="I3932">
        <v>0</v>
      </c>
      <c r="J3932" t="str">
        <f t="shared" si="366"/>
        <v>Non-Smoker</v>
      </c>
      <c r="K3932">
        <v>0</v>
      </c>
      <c r="L3932">
        <v>0</v>
      </c>
      <c r="M3932">
        <v>0</v>
      </c>
      <c r="N3932">
        <v>0</v>
      </c>
      <c r="O3932">
        <v>210</v>
      </c>
      <c r="P3932" t="str">
        <f t="shared" si="367"/>
        <v>Normal</v>
      </c>
      <c r="Q3932">
        <v>124</v>
      </c>
      <c r="R3932">
        <v>81</v>
      </c>
      <c r="S3932">
        <v>24.38</v>
      </c>
      <c r="T3932" t="str">
        <f t="shared" si="368"/>
        <v>Normal</v>
      </c>
      <c r="U3932">
        <v>67</v>
      </c>
      <c r="V3932">
        <v>81.96365524402907</v>
      </c>
      <c r="W3932" t="str">
        <f t="shared" si="371"/>
        <v>Normal</v>
      </c>
      <c r="X3932">
        <v>0</v>
      </c>
    </row>
    <row r="3933" spans="1:24" ht="14.5" thickBot="1" x14ac:dyDescent="0.35">
      <c r="A3933">
        <v>0</v>
      </c>
      <c r="B3933" t="str">
        <f t="shared" si="369"/>
        <v>Female</v>
      </c>
      <c r="C3933" s="8">
        <v>63</v>
      </c>
      <c r="D3933" t="str">
        <f t="shared" si="370"/>
        <v>Senior</v>
      </c>
      <c r="E3933">
        <v>1</v>
      </c>
      <c r="F3933" t="str">
        <f>HLOOKUP(E3933, LookUP_Table!$A$6:$D$7, 2, FALSE)</f>
        <v>Primary</v>
      </c>
      <c r="G3933" t="str">
        <f>IFERROR(VLOOKUP(E3933, LookUP_Table!$A$1:$B$4, 2, FALSE), "")</f>
        <v>Primary</v>
      </c>
      <c r="H3933">
        <v>0</v>
      </c>
      <c r="I3933">
        <v>0</v>
      </c>
      <c r="J3933" t="str">
        <f t="shared" si="366"/>
        <v>Non-Smoker</v>
      </c>
      <c r="K3933">
        <v>0</v>
      </c>
      <c r="L3933">
        <v>0</v>
      </c>
      <c r="M3933">
        <v>0</v>
      </c>
      <c r="N3933">
        <v>0</v>
      </c>
      <c r="O3933">
        <v>229</v>
      </c>
      <c r="P3933" t="str">
        <f t="shared" si="367"/>
        <v>Normal</v>
      </c>
      <c r="Q3933">
        <v>120</v>
      </c>
      <c r="R3933">
        <v>82</v>
      </c>
      <c r="S3933">
        <v>25.58</v>
      </c>
      <c r="T3933" t="str">
        <f t="shared" si="368"/>
        <v>Overweight</v>
      </c>
      <c r="U3933">
        <v>78</v>
      </c>
      <c r="V3933">
        <v>73</v>
      </c>
      <c r="W3933" t="str">
        <f t="shared" si="371"/>
        <v>Normal</v>
      </c>
      <c r="X3933">
        <v>0</v>
      </c>
    </row>
    <row r="3934" spans="1:24" ht="14.5" thickBot="1" x14ac:dyDescent="0.35">
      <c r="A3934">
        <v>0</v>
      </c>
      <c r="B3934" t="str">
        <f t="shared" si="369"/>
        <v>Female</v>
      </c>
      <c r="C3934" s="8">
        <v>63</v>
      </c>
      <c r="D3934" t="str">
        <f t="shared" si="370"/>
        <v>Senior</v>
      </c>
      <c r="E3934">
        <v>2</v>
      </c>
      <c r="F3934" t="str">
        <f>HLOOKUP(E3934, LookUP_Table!$A$6:$D$7, 2, FALSE)</f>
        <v>Secondary</v>
      </c>
      <c r="G3934" t="str">
        <f>IFERROR(VLOOKUP(E3934, LookUP_Table!$A$1:$B$4, 2, FALSE), "")</f>
        <v>Secondary</v>
      </c>
      <c r="H3934">
        <v>1</v>
      </c>
      <c r="I3934">
        <v>30</v>
      </c>
      <c r="J3934" t="str">
        <f t="shared" si="366"/>
        <v>Smoker</v>
      </c>
      <c r="K3934">
        <v>1</v>
      </c>
      <c r="L3934">
        <v>0</v>
      </c>
      <c r="M3934">
        <v>1</v>
      </c>
      <c r="N3934">
        <v>0</v>
      </c>
      <c r="O3934">
        <v>213</v>
      </c>
      <c r="P3934" t="str">
        <f t="shared" si="367"/>
        <v>Normal</v>
      </c>
      <c r="Q3934">
        <v>172</v>
      </c>
      <c r="R3934">
        <v>95</v>
      </c>
      <c r="S3934">
        <v>27.68</v>
      </c>
      <c r="T3934" t="str">
        <f t="shared" si="368"/>
        <v>Overweight</v>
      </c>
      <c r="U3934">
        <v>50</v>
      </c>
      <c r="V3934">
        <v>67</v>
      </c>
      <c r="W3934" t="str">
        <f t="shared" si="371"/>
        <v>Normal</v>
      </c>
      <c r="X3934">
        <v>0</v>
      </c>
    </row>
    <row r="3935" spans="1:24" ht="14.5" thickBot="1" x14ac:dyDescent="0.35">
      <c r="A3935">
        <v>1</v>
      </c>
      <c r="B3935" t="str">
        <f t="shared" si="369"/>
        <v>Male</v>
      </c>
      <c r="C3935" s="8">
        <v>63</v>
      </c>
      <c r="D3935" t="str">
        <f t="shared" si="370"/>
        <v>Senior</v>
      </c>
      <c r="E3935">
        <v>2</v>
      </c>
      <c r="F3935" t="str">
        <f>HLOOKUP(E3935, LookUP_Table!$A$6:$D$7, 2, FALSE)</f>
        <v>Secondary</v>
      </c>
      <c r="G3935" t="str">
        <f>IFERROR(VLOOKUP(E3935, LookUP_Table!$A$1:$B$4, 2, FALSE), "")</f>
        <v>Secondary</v>
      </c>
      <c r="H3935">
        <v>1</v>
      </c>
      <c r="I3935">
        <v>20</v>
      </c>
      <c r="J3935" t="str">
        <f t="shared" si="366"/>
        <v>Smoker</v>
      </c>
      <c r="K3935">
        <v>0</v>
      </c>
      <c r="L3935">
        <v>0</v>
      </c>
      <c r="M3935">
        <v>1</v>
      </c>
      <c r="N3935">
        <v>0</v>
      </c>
      <c r="O3935">
        <v>264</v>
      </c>
      <c r="P3935" t="str">
        <f t="shared" si="367"/>
        <v>High</v>
      </c>
      <c r="Q3935">
        <v>129.5</v>
      </c>
      <c r="R3935">
        <v>82.5</v>
      </c>
      <c r="S3935">
        <v>24.91</v>
      </c>
      <c r="T3935" t="str">
        <f t="shared" si="368"/>
        <v>Normal</v>
      </c>
      <c r="U3935">
        <v>88</v>
      </c>
      <c r="V3935">
        <v>83</v>
      </c>
      <c r="W3935" t="str">
        <f t="shared" si="371"/>
        <v>Normal</v>
      </c>
      <c r="X3935">
        <v>0</v>
      </c>
    </row>
    <row r="3936" spans="1:24" ht="14.5" thickBot="1" x14ac:dyDescent="0.35">
      <c r="A3936">
        <v>0</v>
      </c>
      <c r="B3936" t="str">
        <f t="shared" si="369"/>
        <v>Female</v>
      </c>
      <c r="C3936" s="8">
        <v>63</v>
      </c>
      <c r="D3936" t="str">
        <f t="shared" si="370"/>
        <v>Senior</v>
      </c>
      <c r="E3936">
        <v>1</v>
      </c>
      <c r="F3936" t="str">
        <f>HLOOKUP(E3936, LookUP_Table!$A$6:$D$7, 2, FALSE)</f>
        <v>Primary</v>
      </c>
      <c r="G3936" t="str">
        <f>IFERROR(VLOOKUP(E3936, LookUP_Table!$A$1:$B$4, 2, FALSE), "")</f>
        <v>Primary</v>
      </c>
      <c r="H3936">
        <v>0</v>
      </c>
      <c r="I3936">
        <v>0</v>
      </c>
      <c r="J3936" t="str">
        <f t="shared" si="366"/>
        <v>Non-Smoker</v>
      </c>
      <c r="K3936">
        <v>0</v>
      </c>
      <c r="L3936">
        <v>0</v>
      </c>
      <c r="M3936">
        <v>1</v>
      </c>
      <c r="N3936">
        <v>0</v>
      </c>
      <c r="O3936">
        <v>246</v>
      </c>
      <c r="P3936" t="str">
        <f t="shared" si="367"/>
        <v>High</v>
      </c>
      <c r="Q3936">
        <v>151</v>
      </c>
      <c r="R3936">
        <v>88</v>
      </c>
      <c r="S3936">
        <v>25.94</v>
      </c>
      <c r="T3936" t="str">
        <f t="shared" si="368"/>
        <v>Overweight</v>
      </c>
      <c r="U3936">
        <v>69</v>
      </c>
      <c r="V3936">
        <v>73</v>
      </c>
      <c r="W3936" t="str">
        <f t="shared" si="371"/>
        <v>Normal</v>
      </c>
      <c r="X3936">
        <v>0</v>
      </c>
    </row>
    <row r="3937" spans="1:24" ht="14.5" thickBot="1" x14ac:dyDescent="0.35">
      <c r="A3937">
        <v>1</v>
      </c>
      <c r="B3937" t="str">
        <f t="shared" si="369"/>
        <v>Male</v>
      </c>
      <c r="C3937" s="8">
        <v>63</v>
      </c>
      <c r="D3937" t="str">
        <f t="shared" si="370"/>
        <v>Senior</v>
      </c>
      <c r="E3937">
        <v>1</v>
      </c>
      <c r="F3937" t="str">
        <f>HLOOKUP(E3937, LookUP_Table!$A$6:$D$7, 2, FALSE)</f>
        <v>Primary</v>
      </c>
      <c r="G3937" t="str">
        <f>IFERROR(VLOOKUP(E3937, LookUP_Table!$A$1:$B$4, 2, FALSE), "")</f>
        <v>Primary</v>
      </c>
      <c r="H3937">
        <v>0</v>
      </c>
      <c r="I3937">
        <v>0</v>
      </c>
      <c r="J3937" t="str">
        <f t="shared" si="366"/>
        <v>Non-Smoker</v>
      </c>
      <c r="K3937">
        <v>0</v>
      </c>
      <c r="L3937">
        <v>0</v>
      </c>
      <c r="M3937">
        <v>0</v>
      </c>
      <c r="N3937">
        <v>0</v>
      </c>
      <c r="O3937">
        <v>270</v>
      </c>
      <c r="P3937" t="str">
        <f t="shared" si="367"/>
        <v>High</v>
      </c>
      <c r="Q3937">
        <v>118</v>
      </c>
      <c r="R3937">
        <v>78</v>
      </c>
      <c r="S3937">
        <v>27.06</v>
      </c>
      <c r="T3937" t="str">
        <f t="shared" si="368"/>
        <v>Overweight</v>
      </c>
      <c r="U3937">
        <v>72</v>
      </c>
      <c r="V3937">
        <v>81.96365524402907</v>
      </c>
      <c r="W3937" t="str">
        <f t="shared" si="371"/>
        <v>Normal</v>
      </c>
      <c r="X3937">
        <v>0</v>
      </c>
    </row>
    <row r="3938" spans="1:24" ht="14.5" thickBot="1" x14ac:dyDescent="0.35">
      <c r="A3938">
        <v>0</v>
      </c>
      <c r="B3938" t="str">
        <f t="shared" si="369"/>
        <v>Female</v>
      </c>
      <c r="C3938" s="8">
        <v>63</v>
      </c>
      <c r="D3938" t="str">
        <f t="shared" si="370"/>
        <v>Senior</v>
      </c>
      <c r="E3938">
        <v>1</v>
      </c>
      <c r="F3938" t="str">
        <f>HLOOKUP(E3938, LookUP_Table!$A$6:$D$7, 2, FALSE)</f>
        <v>Primary</v>
      </c>
      <c r="G3938" t="str">
        <f>IFERROR(VLOOKUP(E3938, LookUP_Table!$A$1:$B$4, 2, FALSE), "")</f>
        <v>Primary</v>
      </c>
      <c r="H3938">
        <v>0</v>
      </c>
      <c r="I3938">
        <v>0</v>
      </c>
      <c r="J3938" t="str">
        <f t="shared" si="366"/>
        <v>Non-Smoker</v>
      </c>
      <c r="K3938">
        <v>0</v>
      </c>
      <c r="L3938">
        <v>0</v>
      </c>
      <c r="M3938">
        <v>1</v>
      </c>
      <c r="N3938">
        <v>1</v>
      </c>
      <c r="O3938">
        <v>150</v>
      </c>
      <c r="P3938" t="str">
        <f t="shared" si="367"/>
        <v>Normal</v>
      </c>
      <c r="Q3938">
        <v>152</v>
      </c>
      <c r="R3938">
        <v>88</v>
      </c>
      <c r="S3938">
        <v>36.54</v>
      </c>
      <c r="T3938" t="str">
        <f t="shared" si="368"/>
        <v>Obese</v>
      </c>
      <c r="U3938">
        <v>72</v>
      </c>
      <c r="V3938">
        <v>170</v>
      </c>
      <c r="W3938" t="str">
        <f t="shared" si="371"/>
        <v>Diabetes</v>
      </c>
      <c r="X3938">
        <v>0</v>
      </c>
    </row>
    <row r="3939" spans="1:24" ht="14.5" thickBot="1" x14ac:dyDescent="0.35">
      <c r="A3939">
        <v>1</v>
      </c>
      <c r="B3939" t="str">
        <f t="shared" si="369"/>
        <v>Male</v>
      </c>
      <c r="C3939" s="8">
        <v>63</v>
      </c>
      <c r="D3939" t="str">
        <f t="shared" si="370"/>
        <v>Senior</v>
      </c>
      <c r="E3939">
        <v>1</v>
      </c>
      <c r="F3939" t="str">
        <f>HLOOKUP(E3939, LookUP_Table!$A$6:$D$7, 2, FALSE)</f>
        <v>Primary</v>
      </c>
      <c r="G3939" t="str">
        <f>IFERROR(VLOOKUP(E3939, LookUP_Table!$A$1:$B$4, 2, FALSE), "")</f>
        <v>Primary</v>
      </c>
      <c r="H3939">
        <v>1</v>
      </c>
      <c r="I3939">
        <v>10</v>
      </c>
      <c r="J3939" t="str">
        <f t="shared" si="366"/>
        <v>Smoker</v>
      </c>
      <c r="K3939">
        <v>0</v>
      </c>
      <c r="L3939">
        <v>0</v>
      </c>
      <c r="M3939">
        <v>1</v>
      </c>
      <c r="N3939">
        <v>0</v>
      </c>
      <c r="O3939">
        <v>230</v>
      </c>
      <c r="P3939" t="str">
        <f t="shared" si="367"/>
        <v>Normal</v>
      </c>
      <c r="Q3939">
        <v>152.5</v>
      </c>
      <c r="R3939">
        <v>88</v>
      </c>
      <c r="S3939">
        <v>24.1</v>
      </c>
      <c r="T3939" t="str">
        <f t="shared" si="368"/>
        <v>Normal</v>
      </c>
      <c r="U3939">
        <v>72</v>
      </c>
      <c r="V3939">
        <v>74</v>
      </c>
      <c r="W3939" t="str">
        <f t="shared" si="371"/>
        <v>Normal</v>
      </c>
      <c r="X3939">
        <v>0</v>
      </c>
    </row>
    <row r="3940" spans="1:24" ht="14.5" thickBot="1" x14ac:dyDescent="0.35">
      <c r="A3940">
        <v>1</v>
      </c>
      <c r="B3940" t="str">
        <f t="shared" si="369"/>
        <v>Male</v>
      </c>
      <c r="C3940" s="8">
        <v>63</v>
      </c>
      <c r="D3940" t="str">
        <f t="shared" si="370"/>
        <v>Senior</v>
      </c>
      <c r="E3940">
        <v>3</v>
      </c>
      <c r="F3940" t="str">
        <f>HLOOKUP(E3940, LookUP_Table!$A$6:$D$7, 2, FALSE)</f>
        <v>Graduate</v>
      </c>
      <c r="G3940" t="str">
        <f>IFERROR(VLOOKUP(E3940, LookUP_Table!$A$1:$B$4, 2, FALSE), "")</f>
        <v>Graduate</v>
      </c>
      <c r="H3940">
        <v>0</v>
      </c>
      <c r="I3940">
        <v>0</v>
      </c>
      <c r="J3940" t="str">
        <f t="shared" si="366"/>
        <v>Non-Smoker</v>
      </c>
      <c r="K3940">
        <v>0</v>
      </c>
      <c r="L3940">
        <v>0</v>
      </c>
      <c r="M3940">
        <v>1</v>
      </c>
      <c r="N3940">
        <v>0</v>
      </c>
      <c r="O3940">
        <v>204</v>
      </c>
      <c r="P3940" t="str">
        <f t="shared" si="367"/>
        <v>Normal</v>
      </c>
      <c r="Q3940">
        <v>158</v>
      </c>
      <c r="R3940">
        <v>109</v>
      </c>
      <c r="S3940">
        <v>28.4</v>
      </c>
      <c r="T3940" t="str">
        <f t="shared" si="368"/>
        <v>Overweight</v>
      </c>
      <c r="U3940">
        <v>75</v>
      </c>
      <c r="V3940">
        <v>71</v>
      </c>
      <c r="W3940" t="str">
        <f t="shared" si="371"/>
        <v>Normal</v>
      </c>
      <c r="X3940">
        <v>0</v>
      </c>
    </row>
    <row r="3941" spans="1:24" ht="14.5" thickBot="1" x14ac:dyDescent="0.35">
      <c r="A3941">
        <v>0</v>
      </c>
      <c r="B3941" t="str">
        <f t="shared" si="369"/>
        <v>Female</v>
      </c>
      <c r="C3941" s="8">
        <v>63</v>
      </c>
      <c r="D3941" t="str">
        <f t="shared" si="370"/>
        <v>Senior</v>
      </c>
      <c r="E3941">
        <v>1</v>
      </c>
      <c r="F3941" t="str">
        <f>HLOOKUP(E3941, LookUP_Table!$A$6:$D$7, 2, FALSE)</f>
        <v>Primary</v>
      </c>
      <c r="G3941" t="str">
        <f>IFERROR(VLOOKUP(E3941, LookUP_Table!$A$1:$B$4, 2, FALSE), "")</f>
        <v>Primary</v>
      </c>
      <c r="H3941">
        <v>0</v>
      </c>
      <c r="I3941">
        <v>0</v>
      </c>
      <c r="J3941" t="str">
        <f t="shared" si="366"/>
        <v>Non-Smoker</v>
      </c>
      <c r="K3941">
        <v>0</v>
      </c>
      <c r="L3941">
        <v>0</v>
      </c>
      <c r="M3941">
        <v>0</v>
      </c>
      <c r="N3941">
        <v>0</v>
      </c>
      <c r="O3941">
        <v>246</v>
      </c>
      <c r="P3941" t="str">
        <f t="shared" si="367"/>
        <v>High</v>
      </c>
      <c r="Q3941">
        <v>116</v>
      </c>
      <c r="R3941">
        <v>69</v>
      </c>
      <c r="S3941">
        <v>23.44</v>
      </c>
      <c r="T3941" t="str">
        <f t="shared" si="368"/>
        <v>Normal</v>
      </c>
      <c r="U3941">
        <v>65</v>
      </c>
      <c r="V3941">
        <v>78</v>
      </c>
      <c r="W3941" t="str">
        <f t="shared" si="371"/>
        <v>Normal</v>
      </c>
      <c r="X3941">
        <v>1</v>
      </c>
    </row>
    <row r="3942" spans="1:24" ht="14.5" thickBot="1" x14ac:dyDescent="0.35">
      <c r="A3942">
        <v>0</v>
      </c>
      <c r="B3942" t="str">
        <f t="shared" si="369"/>
        <v>Female</v>
      </c>
      <c r="C3942" s="8">
        <v>63</v>
      </c>
      <c r="D3942" t="str">
        <f t="shared" si="370"/>
        <v>Senior</v>
      </c>
      <c r="E3942">
        <v>1</v>
      </c>
      <c r="F3942" t="str">
        <f>HLOOKUP(E3942, LookUP_Table!$A$6:$D$7, 2, FALSE)</f>
        <v>Primary</v>
      </c>
      <c r="G3942" t="str">
        <f>IFERROR(VLOOKUP(E3942, LookUP_Table!$A$1:$B$4, 2, FALSE), "")</f>
        <v>Primary</v>
      </c>
      <c r="H3942">
        <v>0</v>
      </c>
      <c r="I3942">
        <v>0</v>
      </c>
      <c r="J3942" t="str">
        <f t="shared" si="366"/>
        <v>Non-Smoker</v>
      </c>
      <c r="K3942">
        <v>0</v>
      </c>
      <c r="L3942">
        <v>0</v>
      </c>
      <c r="M3942">
        <v>0</v>
      </c>
      <c r="N3942">
        <v>0</v>
      </c>
      <c r="O3942">
        <v>219</v>
      </c>
      <c r="P3942" t="str">
        <f t="shared" si="367"/>
        <v>Normal</v>
      </c>
      <c r="Q3942">
        <v>124</v>
      </c>
      <c r="R3942">
        <v>75</v>
      </c>
      <c r="S3942">
        <v>28.57</v>
      </c>
      <c r="T3942" t="str">
        <f t="shared" si="368"/>
        <v>Overweight</v>
      </c>
      <c r="U3942">
        <v>66</v>
      </c>
      <c r="V3942">
        <v>76</v>
      </c>
      <c r="W3942" t="str">
        <f t="shared" si="371"/>
        <v>Normal</v>
      </c>
      <c r="X3942">
        <v>0</v>
      </c>
    </row>
    <row r="3943" spans="1:24" ht="14.5" thickBot="1" x14ac:dyDescent="0.35">
      <c r="A3943">
        <v>0</v>
      </c>
      <c r="B3943" t="str">
        <f t="shared" si="369"/>
        <v>Female</v>
      </c>
      <c r="C3943" s="8">
        <v>63</v>
      </c>
      <c r="D3943" t="str">
        <f t="shared" si="370"/>
        <v>Senior</v>
      </c>
      <c r="E3943">
        <v>1</v>
      </c>
      <c r="F3943" t="str">
        <f>HLOOKUP(E3943, LookUP_Table!$A$6:$D$7, 2, FALSE)</f>
        <v>Primary</v>
      </c>
      <c r="G3943" t="str">
        <f>IFERROR(VLOOKUP(E3943, LookUP_Table!$A$1:$B$4, 2, FALSE), "")</f>
        <v>Primary</v>
      </c>
      <c r="H3943">
        <v>0</v>
      </c>
      <c r="I3943">
        <v>0</v>
      </c>
      <c r="J3943" t="str">
        <f t="shared" si="366"/>
        <v>Non-Smoker</v>
      </c>
      <c r="K3943">
        <v>0</v>
      </c>
      <c r="L3943">
        <v>0</v>
      </c>
      <c r="M3943">
        <v>1</v>
      </c>
      <c r="N3943">
        <v>0</v>
      </c>
      <c r="O3943">
        <v>180</v>
      </c>
      <c r="P3943" t="str">
        <f t="shared" si="367"/>
        <v>Normal</v>
      </c>
      <c r="Q3943">
        <v>170.5</v>
      </c>
      <c r="R3943">
        <v>100.5</v>
      </c>
      <c r="S3943">
        <v>27.69</v>
      </c>
      <c r="T3943" t="str">
        <f t="shared" si="368"/>
        <v>Overweight</v>
      </c>
      <c r="U3943">
        <v>86</v>
      </c>
      <c r="V3943">
        <v>63</v>
      </c>
      <c r="W3943" t="str">
        <f t="shared" si="371"/>
        <v>Normal</v>
      </c>
      <c r="X3943">
        <v>0</v>
      </c>
    </row>
    <row r="3944" spans="1:24" ht="14.5" thickBot="1" x14ac:dyDescent="0.35">
      <c r="A3944">
        <v>0</v>
      </c>
      <c r="B3944" t="str">
        <f t="shared" si="369"/>
        <v>Female</v>
      </c>
      <c r="C3944" s="8">
        <v>63</v>
      </c>
      <c r="D3944" t="str">
        <f t="shared" si="370"/>
        <v>Senior</v>
      </c>
      <c r="E3944">
        <v>3</v>
      </c>
      <c r="F3944" t="str">
        <f>HLOOKUP(E3944, LookUP_Table!$A$6:$D$7, 2, FALSE)</f>
        <v>Graduate</v>
      </c>
      <c r="G3944" t="str">
        <f>IFERROR(VLOOKUP(E3944, LookUP_Table!$A$1:$B$4, 2, FALSE), "")</f>
        <v>Graduate</v>
      </c>
      <c r="H3944">
        <v>0</v>
      </c>
      <c r="I3944">
        <v>0</v>
      </c>
      <c r="J3944" t="str">
        <f t="shared" si="366"/>
        <v>Non-Smoker</v>
      </c>
      <c r="K3944">
        <v>0</v>
      </c>
      <c r="L3944">
        <v>0</v>
      </c>
      <c r="M3944">
        <v>0</v>
      </c>
      <c r="N3944">
        <v>0</v>
      </c>
      <c r="O3944">
        <v>281</v>
      </c>
      <c r="P3944" t="str">
        <f t="shared" si="367"/>
        <v>High</v>
      </c>
      <c r="Q3944">
        <v>125</v>
      </c>
      <c r="R3944">
        <v>80</v>
      </c>
      <c r="S3944">
        <v>21.35</v>
      </c>
      <c r="T3944" t="str">
        <f t="shared" si="368"/>
        <v>Normal</v>
      </c>
      <c r="U3944">
        <v>75</v>
      </c>
      <c r="V3944">
        <v>99</v>
      </c>
      <c r="W3944" t="str">
        <f t="shared" si="371"/>
        <v>Normal</v>
      </c>
      <c r="X3944">
        <v>0</v>
      </c>
    </row>
    <row r="3945" spans="1:24" ht="14.5" thickBot="1" x14ac:dyDescent="0.35">
      <c r="A3945">
        <v>1</v>
      </c>
      <c r="B3945" t="str">
        <f t="shared" si="369"/>
        <v>Male</v>
      </c>
      <c r="C3945" s="8">
        <v>63</v>
      </c>
      <c r="D3945" t="str">
        <f t="shared" si="370"/>
        <v>Senior</v>
      </c>
      <c r="E3945">
        <v>1</v>
      </c>
      <c r="F3945" t="str">
        <f>HLOOKUP(E3945, LookUP_Table!$A$6:$D$7, 2, FALSE)</f>
        <v>Primary</v>
      </c>
      <c r="G3945" t="str">
        <f>IFERROR(VLOOKUP(E3945, LookUP_Table!$A$1:$B$4, 2, FALSE), "")</f>
        <v>Primary</v>
      </c>
      <c r="H3945">
        <v>1</v>
      </c>
      <c r="I3945">
        <v>43</v>
      </c>
      <c r="J3945" t="str">
        <f t="shared" si="366"/>
        <v>Smoker</v>
      </c>
      <c r="K3945">
        <v>0</v>
      </c>
      <c r="L3945">
        <v>0</v>
      </c>
      <c r="M3945">
        <v>1</v>
      </c>
      <c r="N3945">
        <v>0</v>
      </c>
      <c r="O3945">
        <v>253</v>
      </c>
      <c r="P3945" t="str">
        <f t="shared" si="367"/>
        <v>High</v>
      </c>
      <c r="Q3945">
        <v>172</v>
      </c>
      <c r="R3945">
        <v>82</v>
      </c>
      <c r="S3945">
        <v>24.19</v>
      </c>
      <c r="T3945" t="str">
        <f t="shared" si="368"/>
        <v>Normal</v>
      </c>
      <c r="U3945">
        <v>66</v>
      </c>
      <c r="V3945">
        <v>137</v>
      </c>
      <c r="W3945" t="str">
        <f t="shared" si="371"/>
        <v>Diabetes</v>
      </c>
      <c r="X3945">
        <v>1</v>
      </c>
    </row>
    <row r="3946" spans="1:24" ht="14.5" thickBot="1" x14ac:dyDescent="0.35">
      <c r="A3946">
        <v>0</v>
      </c>
      <c r="B3946" t="str">
        <f t="shared" si="369"/>
        <v>Female</v>
      </c>
      <c r="C3946" s="8">
        <v>63</v>
      </c>
      <c r="D3946" t="str">
        <f t="shared" si="370"/>
        <v>Senior</v>
      </c>
      <c r="E3946">
        <v>1</v>
      </c>
      <c r="F3946" t="str">
        <f>HLOOKUP(E3946, LookUP_Table!$A$6:$D$7, 2, FALSE)</f>
        <v>Primary</v>
      </c>
      <c r="G3946" t="str">
        <f>IFERROR(VLOOKUP(E3946, LookUP_Table!$A$1:$B$4, 2, FALSE), "")</f>
        <v>Primary</v>
      </c>
      <c r="H3946">
        <v>0</v>
      </c>
      <c r="I3946">
        <v>0</v>
      </c>
      <c r="J3946" t="str">
        <f t="shared" si="366"/>
        <v>Non-Smoker</v>
      </c>
      <c r="K3946">
        <v>0</v>
      </c>
      <c r="L3946">
        <v>0</v>
      </c>
      <c r="M3946">
        <v>1</v>
      </c>
      <c r="N3946">
        <v>0</v>
      </c>
      <c r="O3946">
        <v>179</v>
      </c>
      <c r="P3946" t="str">
        <f t="shared" si="367"/>
        <v>Normal</v>
      </c>
      <c r="Q3946">
        <v>149</v>
      </c>
      <c r="R3946">
        <v>89</v>
      </c>
      <c r="S3946">
        <v>40.81</v>
      </c>
      <c r="T3946" t="str">
        <f t="shared" si="368"/>
        <v>Obese</v>
      </c>
      <c r="U3946">
        <v>92</v>
      </c>
      <c r="V3946">
        <v>77</v>
      </c>
      <c r="W3946" t="str">
        <f t="shared" si="371"/>
        <v>Normal</v>
      </c>
      <c r="X3946">
        <v>0</v>
      </c>
    </row>
    <row r="3947" spans="1:24" ht="14.5" thickBot="1" x14ac:dyDescent="0.35">
      <c r="A3947">
        <v>0</v>
      </c>
      <c r="B3947" t="str">
        <f t="shared" si="369"/>
        <v>Female</v>
      </c>
      <c r="C3947" s="8">
        <v>63</v>
      </c>
      <c r="D3947" t="str">
        <f t="shared" si="370"/>
        <v>Senior</v>
      </c>
      <c r="E3947">
        <v>2</v>
      </c>
      <c r="F3947" t="str">
        <f>HLOOKUP(E3947, LookUP_Table!$A$6:$D$7, 2, FALSE)</f>
        <v>Secondary</v>
      </c>
      <c r="G3947" t="str">
        <f>IFERROR(VLOOKUP(E3947, LookUP_Table!$A$1:$B$4, 2, FALSE), "")</f>
        <v>Secondary</v>
      </c>
      <c r="H3947">
        <v>1</v>
      </c>
      <c r="I3947">
        <v>9</v>
      </c>
      <c r="J3947" t="str">
        <f t="shared" si="366"/>
        <v>Smoker</v>
      </c>
      <c r="K3947">
        <v>0</v>
      </c>
      <c r="L3947">
        <v>0</v>
      </c>
      <c r="M3947">
        <v>1</v>
      </c>
      <c r="N3947">
        <v>0</v>
      </c>
      <c r="O3947">
        <v>219</v>
      </c>
      <c r="P3947" t="str">
        <f t="shared" si="367"/>
        <v>Normal</v>
      </c>
      <c r="Q3947">
        <v>162</v>
      </c>
      <c r="R3947">
        <v>91</v>
      </c>
      <c r="S3947">
        <v>33.659999999999997</v>
      </c>
      <c r="T3947" t="str">
        <f t="shared" si="368"/>
        <v>Obese</v>
      </c>
      <c r="U3947">
        <v>70</v>
      </c>
      <c r="V3947">
        <v>81.96365524402907</v>
      </c>
      <c r="W3947" t="str">
        <f t="shared" si="371"/>
        <v>Normal</v>
      </c>
      <c r="X3947">
        <v>0</v>
      </c>
    </row>
    <row r="3948" spans="1:24" ht="14.5" thickBot="1" x14ac:dyDescent="0.35">
      <c r="A3948">
        <v>0</v>
      </c>
      <c r="B3948" t="str">
        <f t="shared" si="369"/>
        <v>Female</v>
      </c>
      <c r="C3948" s="8">
        <v>63</v>
      </c>
      <c r="D3948" t="str">
        <f t="shared" si="370"/>
        <v>Senior</v>
      </c>
      <c r="E3948">
        <v>3</v>
      </c>
      <c r="F3948" t="str">
        <f>HLOOKUP(E3948, LookUP_Table!$A$6:$D$7, 2, FALSE)</f>
        <v>Graduate</v>
      </c>
      <c r="G3948" t="str">
        <f>IFERROR(VLOOKUP(E3948, LookUP_Table!$A$1:$B$4, 2, FALSE), "")</f>
        <v>Graduate</v>
      </c>
      <c r="H3948">
        <v>0</v>
      </c>
      <c r="I3948">
        <v>0</v>
      </c>
      <c r="J3948" t="str">
        <f t="shared" si="366"/>
        <v>Non-Smoker</v>
      </c>
      <c r="K3948">
        <v>0</v>
      </c>
      <c r="L3948">
        <v>0</v>
      </c>
      <c r="M3948">
        <v>1</v>
      </c>
      <c r="N3948">
        <v>0</v>
      </c>
      <c r="O3948">
        <v>241</v>
      </c>
      <c r="P3948" t="str">
        <f t="shared" si="367"/>
        <v>High</v>
      </c>
      <c r="Q3948">
        <v>153</v>
      </c>
      <c r="R3948">
        <v>89</v>
      </c>
      <c r="S3948">
        <v>32.57</v>
      </c>
      <c r="T3948" t="str">
        <f t="shared" si="368"/>
        <v>Obese</v>
      </c>
      <c r="U3948">
        <v>65</v>
      </c>
      <c r="V3948">
        <v>75</v>
      </c>
      <c r="W3948" t="str">
        <f t="shared" si="371"/>
        <v>Normal</v>
      </c>
      <c r="X3948">
        <v>1</v>
      </c>
    </row>
    <row r="3949" spans="1:24" ht="14.5" thickBot="1" x14ac:dyDescent="0.35">
      <c r="A3949">
        <v>1</v>
      </c>
      <c r="B3949" t="str">
        <f t="shared" si="369"/>
        <v>Male</v>
      </c>
      <c r="C3949" s="8">
        <v>63</v>
      </c>
      <c r="D3949" t="str">
        <f t="shared" si="370"/>
        <v>Senior</v>
      </c>
      <c r="E3949">
        <v>1</v>
      </c>
      <c r="F3949" t="str">
        <f>HLOOKUP(E3949, LookUP_Table!$A$6:$D$7, 2, FALSE)</f>
        <v>Primary</v>
      </c>
      <c r="G3949" t="str">
        <f>IFERROR(VLOOKUP(E3949, LookUP_Table!$A$1:$B$4, 2, FALSE), "")</f>
        <v>Primary</v>
      </c>
      <c r="H3949">
        <v>1</v>
      </c>
      <c r="I3949">
        <v>6</v>
      </c>
      <c r="J3949" t="str">
        <f t="shared" si="366"/>
        <v>Smoker</v>
      </c>
      <c r="K3949">
        <v>0</v>
      </c>
      <c r="L3949">
        <v>0</v>
      </c>
      <c r="M3949">
        <v>1</v>
      </c>
      <c r="N3949">
        <v>0</v>
      </c>
      <c r="O3949">
        <v>256</v>
      </c>
      <c r="P3949" t="str">
        <f t="shared" si="367"/>
        <v>High</v>
      </c>
      <c r="Q3949">
        <v>138.5</v>
      </c>
      <c r="R3949">
        <v>77.5</v>
      </c>
      <c r="S3949">
        <v>28.85</v>
      </c>
      <c r="T3949" t="str">
        <f t="shared" si="368"/>
        <v>Overweight</v>
      </c>
      <c r="U3949">
        <v>80</v>
      </c>
      <c r="V3949">
        <v>84</v>
      </c>
      <c r="W3949" t="str">
        <f t="shared" si="371"/>
        <v>Normal</v>
      </c>
      <c r="X3949">
        <v>0</v>
      </c>
    </row>
    <row r="3950" spans="1:24" ht="14.5" thickBot="1" x14ac:dyDescent="0.35">
      <c r="A3950">
        <v>0</v>
      </c>
      <c r="B3950" t="str">
        <f t="shared" si="369"/>
        <v>Female</v>
      </c>
      <c r="C3950" s="8">
        <v>63</v>
      </c>
      <c r="D3950" t="str">
        <f t="shared" si="370"/>
        <v>Senior</v>
      </c>
      <c r="E3950">
        <v>2</v>
      </c>
      <c r="F3950" t="str">
        <f>HLOOKUP(E3950, LookUP_Table!$A$6:$D$7, 2, FALSE)</f>
        <v>Secondary</v>
      </c>
      <c r="G3950" t="str">
        <f>IFERROR(VLOOKUP(E3950, LookUP_Table!$A$1:$B$4, 2, FALSE), "")</f>
        <v>Secondary</v>
      </c>
      <c r="H3950">
        <v>0</v>
      </c>
      <c r="I3950">
        <v>0</v>
      </c>
      <c r="J3950" t="str">
        <f t="shared" si="366"/>
        <v>Non-Smoker</v>
      </c>
      <c r="K3950">
        <v>0</v>
      </c>
      <c r="L3950">
        <v>0</v>
      </c>
      <c r="M3950">
        <v>1</v>
      </c>
      <c r="N3950">
        <v>0</v>
      </c>
      <c r="O3950">
        <v>184</v>
      </c>
      <c r="P3950" t="str">
        <f t="shared" si="367"/>
        <v>Normal</v>
      </c>
      <c r="Q3950">
        <v>196</v>
      </c>
      <c r="R3950">
        <v>101</v>
      </c>
      <c r="S3950">
        <v>28.27</v>
      </c>
      <c r="T3950" t="str">
        <f t="shared" si="368"/>
        <v>Overweight</v>
      </c>
      <c r="U3950">
        <v>86</v>
      </c>
      <c r="V3950">
        <v>82</v>
      </c>
      <c r="W3950" t="str">
        <f t="shared" si="371"/>
        <v>Normal</v>
      </c>
      <c r="X3950">
        <v>1</v>
      </c>
    </row>
    <row r="3951" spans="1:24" ht="14.5" thickBot="1" x14ac:dyDescent="0.35">
      <c r="A3951">
        <v>0</v>
      </c>
      <c r="B3951" t="str">
        <f t="shared" si="369"/>
        <v>Female</v>
      </c>
      <c r="C3951" s="8">
        <v>63</v>
      </c>
      <c r="D3951" t="str">
        <f t="shared" si="370"/>
        <v>Senior</v>
      </c>
      <c r="E3951">
        <v>1</v>
      </c>
      <c r="F3951" t="str">
        <f>HLOOKUP(E3951, LookUP_Table!$A$6:$D$7, 2, FALSE)</f>
        <v>Primary</v>
      </c>
      <c r="G3951" t="str">
        <f>IFERROR(VLOOKUP(E3951, LookUP_Table!$A$1:$B$4, 2, FALSE), "")</f>
        <v>Primary</v>
      </c>
      <c r="H3951">
        <v>0</v>
      </c>
      <c r="I3951">
        <v>0</v>
      </c>
      <c r="J3951" t="str">
        <f t="shared" si="366"/>
        <v>Non-Smoker</v>
      </c>
      <c r="K3951">
        <v>0</v>
      </c>
      <c r="L3951">
        <v>0</v>
      </c>
      <c r="M3951">
        <v>1</v>
      </c>
      <c r="N3951">
        <v>0</v>
      </c>
      <c r="O3951">
        <v>289</v>
      </c>
      <c r="P3951" t="str">
        <f t="shared" si="367"/>
        <v>High</v>
      </c>
      <c r="Q3951">
        <v>158</v>
      </c>
      <c r="R3951">
        <v>80</v>
      </c>
      <c r="S3951">
        <v>32.659999999999997</v>
      </c>
      <c r="T3951" t="str">
        <f t="shared" si="368"/>
        <v>Obese</v>
      </c>
      <c r="U3951">
        <v>75</v>
      </c>
      <c r="V3951">
        <v>84</v>
      </c>
      <c r="W3951" t="str">
        <f t="shared" si="371"/>
        <v>Normal</v>
      </c>
      <c r="X3951">
        <v>0</v>
      </c>
    </row>
    <row r="3952" spans="1:24" ht="14.5" thickBot="1" x14ac:dyDescent="0.35">
      <c r="A3952">
        <v>1</v>
      </c>
      <c r="B3952" t="str">
        <f t="shared" si="369"/>
        <v>Male</v>
      </c>
      <c r="C3952" s="8">
        <v>63</v>
      </c>
      <c r="D3952" t="str">
        <f t="shared" si="370"/>
        <v>Senior</v>
      </c>
      <c r="E3952">
        <v>1</v>
      </c>
      <c r="F3952" t="str">
        <f>HLOOKUP(E3952, LookUP_Table!$A$6:$D$7, 2, FALSE)</f>
        <v>Primary</v>
      </c>
      <c r="G3952" t="str">
        <f>IFERROR(VLOOKUP(E3952, LookUP_Table!$A$1:$B$4, 2, FALSE), "")</f>
        <v>Primary</v>
      </c>
      <c r="H3952">
        <v>0</v>
      </c>
      <c r="I3952">
        <v>0</v>
      </c>
      <c r="J3952" t="str">
        <f t="shared" si="366"/>
        <v>Non-Smoker</v>
      </c>
      <c r="K3952">
        <v>0</v>
      </c>
      <c r="L3952">
        <v>0</v>
      </c>
      <c r="M3952">
        <v>1</v>
      </c>
      <c r="N3952">
        <v>0</v>
      </c>
      <c r="O3952">
        <v>248</v>
      </c>
      <c r="P3952" t="str">
        <f t="shared" si="367"/>
        <v>High</v>
      </c>
      <c r="Q3952">
        <v>130</v>
      </c>
      <c r="R3952">
        <v>73.5</v>
      </c>
      <c r="S3952">
        <v>23.5</v>
      </c>
      <c r="T3952" t="str">
        <f t="shared" si="368"/>
        <v>Normal</v>
      </c>
      <c r="U3952">
        <v>98</v>
      </c>
      <c r="V3952">
        <v>83</v>
      </c>
      <c r="W3952" t="str">
        <f t="shared" si="371"/>
        <v>Normal</v>
      </c>
      <c r="X3952">
        <v>0</v>
      </c>
    </row>
    <row r="3953" spans="1:24" ht="14.5" thickBot="1" x14ac:dyDescent="0.35">
      <c r="A3953">
        <v>0</v>
      </c>
      <c r="B3953" t="str">
        <f t="shared" si="369"/>
        <v>Female</v>
      </c>
      <c r="C3953" s="8">
        <v>63</v>
      </c>
      <c r="D3953" t="str">
        <f t="shared" si="370"/>
        <v>Senior</v>
      </c>
      <c r="E3953">
        <v>2</v>
      </c>
      <c r="F3953" t="str">
        <f>HLOOKUP(E3953, LookUP_Table!$A$6:$D$7, 2, FALSE)</f>
        <v>Secondary</v>
      </c>
      <c r="G3953" t="str">
        <f>IFERROR(VLOOKUP(E3953, LookUP_Table!$A$1:$B$4, 2, FALSE), "")</f>
        <v>Secondary</v>
      </c>
      <c r="H3953">
        <v>0</v>
      </c>
      <c r="I3953">
        <v>0</v>
      </c>
      <c r="J3953" t="str">
        <f t="shared" si="366"/>
        <v>Non-Smoker</v>
      </c>
      <c r="K3953">
        <v>0</v>
      </c>
      <c r="L3953">
        <v>0</v>
      </c>
      <c r="M3953">
        <v>0</v>
      </c>
      <c r="N3953">
        <v>0</v>
      </c>
      <c r="O3953">
        <v>236.69952267303103</v>
      </c>
      <c r="P3953" t="str">
        <f t="shared" si="367"/>
        <v>Normal</v>
      </c>
      <c r="Q3953">
        <v>127.5</v>
      </c>
      <c r="R3953">
        <v>80</v>
      </c>
      <c r="S3953">
        <v>32.78</v>
      </c>
      <c r="T3953" t="str">
        <f t="shared" si="368"/>
        <v>Obese</v>
      </c>
      <c r="U3953">
        <v>73</v>
      </c>
      <c r="V3953">
        <v>81.96365524402907</v>
      </c>
      <c r="W3953" t="str">
        <f t="shared" si="371"/>
        <v>Normal</v>
      </c>
      <c r="X3953">
        <v>0</v>
      </c>
    </row>
    <row r="3954" spans="1:24" ht="14.5" thickBot="1" x14ac:dyDescent="0.35">
      <c r="A3954">
        <v>1</v>
      </c>
      <c r="B3954" t="str">
        <f t="shared" si="369"/>
        <v>Male</v>
      </c>
      <c r="C3954" s="8">
        <v>63</v>
      </c>
      <c r="D3954" t="str">
        <f t="shared" si="370"/>
        <v>Senior</v>
      </c>
      <c r="E3954">
        <v>1</v>
      </c>
      <c r="F3954" t="str">
        <f>HLOOKUP(E3954, LookUP_Table!$A$6:$D$7, 2, FALSE)</f>
        <v>Primary</v>
      </c>
      <c r="G3954" t="str">
        <f>IFERROR(VLOOKUP(E3954, LookUP_Table!$A$1:$B$4, 2, FALSE), "")</f>
        <v>Primary</v>
      </c>
      <c r="H3954">
        <v>0</v>
      </c>
      <c r="I3954">
        <v>0</v>
      </c>
      <c r="J3954" t="str">
        <f t="shared" si="366"/>
        <v>Non-Smoker</v>
      </c>
      <c r="K3954">
        <v>0</v>
      </c>
      <c r="L3954">
        <v>0</v>
      </c>
      <c r="M3954">
        <v>1</v>
      </c>
      <c r="N3954">
        <v>0</v>
      </c>
      <c r="O3954">
        <v>190</v>
      </c>
      <c r="P3954" t="str">
        <f t="shared" si="367"/>
        <v>Normal</v>
      </c>
      <c r="Q3954">
        <v>148</v>
      </c>
      <c r="R3954">
        <v>90</v>
      </c>
      <c r="S3954">
        <v>27.13</v>
      </c>
      <c r="T3954" t="str">
        <f t="shared" si="368"/>
        <v>Overweight</v>
      </c>
      <c r="U3954">
        <v>72</v>
      </c>
      <c r="V3954">
        <v>86</v>
      </c>
      <c r="W3954" t="str">
        <f t="shared" si="371"/>
        <v>Normal</v>
      </c>
      <c r="X3954">
        <v>0</v>
      </c>
    </row>
    <row r="3955" spans="1:24" ht="14.5" thickBot="1" x14ac:dyDescent="0.35">
      <c r="A3955">
        <v>0</v>
      </c>
      <c r="B3955" t="str">
        <f t="shared" si="369"/>
        <v>Female</v>
      </c>
      <c r="C3955" s="8">
        <v>63</v>
      </c>
      <c r="D3955" t="str">
        <f t="shared" si="370"/>
        <v>Senior</v>
      </c>
      <c r="E3955">
        <v>1</v>
      </c>
      <c r="F3955" t="str">
        <f>HLOOKUP(E3955, LookUP_Table!$A$6:$D$7, 2, FALSE)</f>
        <v>Primary</v>
      </c>
      <c r="G3955" t="str">
        <f>IFERROR(VLOOKUP(E3955, LookUP_Table!$A$1:$B$4, 2, FALSE), "")</f>
        <v>Primary</v>
      </c>
      <c r="H3955">
        <v>0</v>
      </c>
      <c r="I3955">
        <v>0</v>
      </c>
      <c r="J3955" t="str">
        <f t="shared" si="366"/>
        <v>Non-Smoker</v>
      </c>
      <c r="K3955">
        <v>0</v>
      </c>
      <c r="L3955">
        <v>0</v>
      </c>
      <c r="M3955">
        <v>1</v>
      </c>
      <c r="N3955">
        <v>0</v>
      </c>
      <c r="O3955">
        <v>242</v>
      </c>
      <c r="P3955" t="str">
        <f t="shared" si="367"/>
        <v>High</v>
      </c>
      <c r="Q3955">
        <v>142.5</v>
      </c>
      <c r="R3955">
        <v>85</v>
      </c>
      <c r="S3955">
        <v>28.25</v>
      </c>
      <c r="T3955" t="str">
        <f t="shared" si="368"/>
        <v>Overweight</v>
      </c>
      <c r="U3955">
        <v>75</v>
      </c>
      <c r="V3955">
        <v>73</v>
      </c>
      <c r="W3955" t="str">
        <f t="shared" si="371"/>
        <v>Normal</v>
      </c>
      <c r="X3955">
        <v>0</v>
      </c>
    </row>
    <row r="3956" spans="1:24" ht="14.5" thickBot="1" x14ac:dyDescent="0.35">
      <c r="A3956">
        <v>1</v>
      </c>
      <c r="B3956" t="str">
        <f t="shared" si="369"/>
        <v>Male</v>
      </c>
      <c r="C3956" s="8">
        <v>63</v>
      </c>
      <c r="D3956" t="str">
        <f t="shared" si="370"/>
        <v>Senior</v>
      </c>
      <c r="E3956">
        <v>1</v>
      </c>
      <c r="F3956" t="str">
        <f>HLOOKUP(E3956, LookUP_Table!$A$6:$D$7, 2, FALSE)</f>
        <v>Primary</v>
      </c>
      <c r="G3956" t="str">
        <f>IFERROR(VLOOKUP(E3956, LookUP_Table!$A$1:$B$4, 2, FALSE), "")</f>
        <v>Primary</v>
      </c>
      <c r="H3956">
        <v>1</v>
      </c>
      <c r="I3956">
        <v>20</v>
      </c>
      <c r="J3956" t="str">
        <f t="shared" si="366"/>
        <v>Smoker</v>
      </c>
      <c r="K3956">
        <v>0</v>
      </c>
      <c r="L3956">
        <v>0</v>
      </c>
      <c r="M3956">
        <v>1</v>
      </c>
      <c r="N3956">
        <v>0</v>
      </c>
      <c r="O3956">
        <v>228</v>
      </c>
      <c r="P3956" t="str">
        <f t="shared" si="367"/>
        <v>Normal</v>
      </c>
      <c r="Q3956">
        <v>141</v>
      </c>
      <c r="R3956">
        <v>82</v>
      </c>
      <c r="S3956">
        <v>25.84</v>
      </c>
      <c r="T3956" t="str">
        <f t="shared" si="368"/>
        <v>Overweight</v>
      </c>
      <c r="U3956">
        <v>82</v>
      </c>
      <c r="V3956">
        <v>81</v>
      </c>
      <c r="W3956" t="str">
        <f t="shared" si="371"/>
        <v>Normal</v>
      </c>
      <c r="X3956">
        <v>1</v>
      </c>
    </row>
    <row r="3957" spans="1:24" ht="14.5" thickBot="1" x14ac:dyDescent="0.35">
      <c r="A3957">
        <v>0</v>
      </c>
      <c r="B3957" t="str">
        <f t="shared" si="369"/>
        <v>Female</v>
      </c>
      <c r="C3957" s="8">
        <v>63</v>
      </c>
      <c r="D3957" t="str">
        <f t="shared" si="370"/>
        <v>Senior</v>
      </c>
      <c r="E3957">
        <v>3</v>
      </c>
      <c r="F3957" t="str">
        <f>HLOOKUP(E3957, LookUP_Table!$A$6:$D$7, 2, FALSE)</f>
        <v>Graduate</v>
      </c>
      <c r="G3957" t="str">
        <f>IFERROR(VLOOKUP(E3957, LookUP_Table!$A$1:$B$4, 2, FALSE), "")</f>
        <v>Graduate</v>
      </c>
      <c r="H3957">
        <v>0</v>
      </c>
      <c r="I3957">
        <v>0</v>
      </c>
      <c r="J3957" t="str">
        <f t="shared" si="366"/>
        <v>Non-Smoker</v>
      </c>
      <c r="K3957">
        <v>0</v>
      </c>
      <c r="L3957">
        <v>0</v>
      </c>
      <c r="M3957">
        <v>0</v>
      </c>
      <c r="N3957">
        <v>0</v>
      </c>
      <c r="O3957">
        <v>297</v>
      </c>
      <c r="P3957" t="str">
        <f t="shared" si="367"/>
        <v>High</v>
      </c>
      <c r="Q3957">
        <v>133.5</v>
      </c>
      <c r="R3957">
        <v>92</v>
      </c>
      <c r="S3957">
        <v>25.09</v>
      </c>
      <c r="T3957" t="str">
        <f t="shared" si="368"/>
        <v>Overweight</v>
      </c>
      <c r="U3957">
        <v>80</v>
      </c>
      <c r="V3957">
        <v>74</v>
      </c>
      <c r="W3957" t="str">
        <f t="shared" si="371"/>
        <v>Normal</v>
      </c>
      <c r="X3957">
        <v>0</v>
      </c>
    </row>
    <row r="3958" spans="1:24" ht="14.5" thickBot="1" x14ac:dyDescent="0.35">
      <c r="A3958">
        <v>1</v>
      </c>
      <c r="B3958" t="str">
        <f t="shared" si="369"/>
        <v>Male</v>
      </c>
      <c r="C3958" s="8">
        <v>63</v>
      </c>
      <c r="D3958" t="str">
        <f t="shared" si="370"/>
        <v>Senior</v>
      </c>
      <c r="E3958">
        <v>3</v>
      </c>
      <c r="F3958" t="str">
        <f>HLOOKUP(E3958, LookUP_Table!$A$6:$D$7, 2, FALSE)</f>
        <v>Graduate</v>
      </c>
      <c r="G3958" t="str">
        <f>IFERROR(VLOOKUP(E3958, LookUP_Table!$A$1:$B$4, 2, FALSE), "")</f>
        <v>Graduate</v>
      </c>
      <c r="H3958">
        <v>1</v>
      </c>
      <c r="I3958">
        <v>20</v>
      </c>
      <c r="J3958" t="str">
        <f t="shared" si="366"/>
        <v>Smoker</v>
      </c>
      <c r="K3958">
        <v>0</v>
      </c>
      <c r="L3958">
        <v>0</v>
      </c>
      <c r="M3958">
        <v>0</v>
      </c>
      <c r="N3958">
        <v>0</v>
      </c>
      <c r="O3958">
        <v>291</v>
      </c>
      <c r="P3958" t="str">
        <f t="shared" si="367"/>
        <v>High</v>
      </c>
      <c r="Q3958">
        <v>134.5</v>
      </c>
      <c r="R3958">
        <v>80</v>
      </c>
      <c r="S3958">
        <v>22.49</v>
      </c>
      <c r="T3958" t="str">
        <f t="shared" si="368"/>
        <v>Normal</v>
      </c>
      <c r="U3958">
        <v>77</v>
      </c>
      <c r="V3958">
        <v>70</v>
      </c>
      <c r="W3958" t="str">
        <f t="shared" si="371"/>
        <v>Normal</v>
      </c>
      <c r="X3958">
        <v>0</v>
      </c>
    </row>
    <row r="3959" spans="1:24" ht="14.5" thickBot="1" x14ac:dyDescent="0.35">
      <c r="A3959">
        <v>1</v>
      </c>
      <c r="B3959" t="str">
        <f t="shared" si="369"/>
        <v>Male</v>
      </c>
      <c r="C3959" s="8">
        <v>63</v>
      </c>
      <c r="D3959" t="str">
        <f t="shared" si="370"/>
        <v>Senior</v>
      </c>
      <c r="E3959">
        <v>1</v>
      </c>
      <c r="F3959" t="str">
        <f>HLOOKUP(E3959, LookUP_Table!$A$6:$D$7, 2, FALSE)</f>
        <v>Primary</v>
      </c>
      <c r="G3959" t="str">
        <f>IFERROR(VLOOKUP(E3959, LookUP_Table!$A$1:$B$4, 2, FALSE), "")</f>
        <v>Primary</v>
      </c>
      <c r="H3959">
        <v>1</v>
      </c>
      <c r="I3959">
        <v>9</v>
      </c>
      <c r="J3959" t="str">
        <f t="shared" si="366"/>
        <v>Smoker</v>
      </c>
      <c r="K3959">
        <v>0</v>
      </c>
      <c r="L3959">
        <v>0</v>
      </c>
      <c r="M3959">
        <v>0</v>
      </c>
      <c r="N3959">
        <v>0</v>
      </c>
      <c r="O3959">
        <v>188</v>
      </c>
      <c r="P3959" t="str">
        <f t="shared" si="367"/>
        <v>Normal</v>
      </c>
      <c r="Q3959">
        <v>113</v>
      </c>
      <c r="R3959">
        <v>82</v>
      </c>
      <c r="S3959">
        <v>29.01</v>
      </c>
      <c r="T3959" t="str">
        <f t="shared" si="368"/>
        <v>Overweight</v>
      </c>
      <c r="U3959">
        <v>74</v>
      </c>
      <c r="V3959">
        <v>93</v>
      </c>
      <c r="W3959" t="str">
        <f t="shared" si="371"/>
        <v>Normal</v>
      </c>
      <c r="X3959">
        <v>0</v>
      </c>
    </row>
    <row r="3960" spans="1:24" ht="14.5" thickBot="1" x14ac:dyDescent="0.35">
      <c r="A3960">
        <v>0</v>
      </c>
      <c r="B3960" t="str">
        <f t="shared" si="369"/>
        <v>Female</v>
      </c>
      <c r="C3960" s="8">
        <v>63</v>
      </c>
      <c r="D3960" t="str">
        <f t="shared" si="370"/>
        <v>Senior</v>
      </c>
      <c r="E3960">
        <v>1</v>
      </c>
      <c r="F3960" t="str">
        <f>HLOOKUP(E3960, LookUP_Table!$A$6:$D$7, 2, FALSE)</f>
        <v>Primary</v>
      </c>
      <c r="G3960" t="str">
        <f>IFERROR(VLOOKUP(E3960, LookUP_Table!$A$1:$B$4, 2, FALSE), "")</f>
        <v>Primary</v>
      </c>
      <c r="H3960">
        <v>0</v>
      </c>
      <c r="I3960">
        <v>0</v>
      </c>
      <c r="J3960" t="str">
        <f t="shared" si="366"/>
        <v>Non-Smoker</v>
      </c>
      <c r="K3960">
        <v>0</v>
      </c>
      <c r="L3960">
        <v>0</v>
      </c>
      <c r="M3960">
        <v>1</v>
      </c>
      <c r="N3960">
        <v>0</v>
      </c>
      <c r="O3960">
        <v>361</v>
      </c>
      <c r="P3960" t="str">
        <f t="shared" si="367"/>
        <v>High</v>
      </c>
      <c r="Q3960">
        <v>167</v>
      </c>
      <c r="R3960">
        <v>100</v>
      </c>
      <c r="S3960">
        <v>27.31</v>
      </c>
      <c r="T3960" t="str">
        <f t="shared" si="368"/>
        <v>Overweight</v>
      </c>
      <c r="U3960">
        <v>85</v>
      </c>
      <c r="V3960">
        <v>103</v>
      </c>
      <c r="W3960" t="str">
        <f t="shared" si="371"/>
        <v>Prediabetes</v>
      </c>
      <c r="X3960">
        <v>1</v>
      </c>
    </row>
    <row r="3961" spans="1:24" ht="14.5" thickBot="1" x14ac:dyDescent="0.35">
      <c r="A3961">
        <v>1</v>
      </c>
      <c r="B3961" t="str">
        <f t="shared" si="369"/>
        <v>Male</v>
      </c>
      <c r="C3961" s="8">
        <v>63</v>
      </c>
      <c r="D3961" t="str">
        <f t="shared" si="370"/>
        <v>Senior</v>
      </c>
      <c r="E3961">
        <v>1</v>
      </c>
      <c r="F3961" t="str">
        <f>HLOOKUP(E3961, LookUP_Table!$A$6:$D$7, 2, FALSE)</f>
        <v>Primary</v>
      </c>
      <c r="G3961" t="str">
        <f>IFERROR(VLOOKUP(E3961, LookUP_Table!$A$1:$B$4, 2, FALSE), "")</f>
        <v>Primary</v>
      </c>
      <c r="H3961">
        <v>1</v>
      </c>
      <c r="I3961">
        <v>20</v>
      </c>
      <c r="J3961" t="str">
        <f t="shared" si="366"/>
        <v>Smoker</v>
      </c>
      <c r="K3961">
        <v>0</v>
      </c>
      <c r="L3961">
        <v>0</v>
      </c>
      <c r="M3961">
        <v>0</v>
      </c>
      <c r="N3961">
        <v>0</v>
      </c>
      <c r="O3961">
        <v>197</v>
      </c>
      <c r="P3961" t="str">
        <f t="shared" si="367"/>
        <v>Normal</v>
      </c>
      <c r="Q3961">
        <v>113</v>
      </c>
      <c r="R3961">
        <v>70</v>
      </c>
      <c r="S3961">
        <v>23.72</v>
      </c>
      <c r="T3961" t="str">
        <f t="shared" si="368"/>
        <v>Normal</v>
      </c>
      <c r="U3961">
        <v>67</v>
      </c>
      <c r="V3961">
        <v>67</v>
      </c>
      <c r="W3961" t="str">
        <f t="shared" si="371"/>
        <v>Normal</v>
      </c>
      <c r="X3961">
        <v>0</v>
      </c>
    </row>
    <row r="3962" spans="1:24" ht="14.5" thickBot="1" x14ac:dyDescent="0.35">
      <c r="A3962">
        <v>1</v>
      </c>
      <c r="B3962" t="str">
        <f t="shared" si="369"/>
        <v>Male</v>
      </c>
      <c r="C3962" s="8">
        <v>63</v>
      </c>
      <c r="D3962" t="str">
        <f t="shared" si="370"/>
        <v>Senior</v>
      </c>
      <c r="E3962">
        <v>1</v>
      </c>
      <c r="F3962" t="str">
        <f>HLOOKUP(E3962, LookUP_Table!$A$6:$D$7, 2, FALSE)</f>
        <v>Primary</v>
      </c>
      <c r="G3962" t="str">
        <f>IFERROR(VLOOKUP(E3962, LookUP_Table!$A$1:$B$4, 2, FALSE), "")</f>
        <v>Primary</v>
      </c>
      <c r="H3962">
        <v>0</v>
      </c>
      <c r="I3962">
        <v>0</v>
      </c>
      <c r="J3962" t="str">
        <f t="shared" si="366"/>
        <v>Non-Smoker</v>
      </c>
      <c r="K3962">
        <v>0</v>
      </c>
      <c r="L3962">
        <v>0</v>
      </c>
      <c r="M3962">
        <v>1</v>
      </c>
      <c r="N3962">
        <v>0</v>
      </c>
      <c r="O3962">
        <v>222</v>
      </c>
      <c r="P3962" t="str">
        <f t="shared" si="367"/>
        <v>Normal</v>
      </c>
      <c r="Q3962">
        <v>159</v>
      </c>
      <c r="R3962">
        <v>90</v>
      </c>
      <c r="S3962">
        <v>21.9</v>
      </c>
      <c r="T3962" t="str">
        <f t="shared" si="368"/>
        <v>Normal</v>
      </c>
      <c r="U3962">
        <v>80</v>
      </c>
      <c r="V3962">
        <v>95</v>
      </c>
      <c r="W3962" t="str">
        <f t="shared" si="371"/>
        <v>Normal</v>
      </c>
      <c r="X3962">
        <v>1</v>
      </c>
    </row>
    <row r="3963" spans="1:24" ht="14.5" thickBot="1" x14ac:dyDescent="0.35">
      <c r="A3963">
        <v>0</v>
      </c>
      <c r="B3963" t="str">
        <f t="shared" si="369"/>
        <v>Female</v>
      </c>
      <c r="C3963" s="8">
        <v>63</v>
      </c>
      <c r="D3963" t="str">
        <f t="shared" si="370"/>
        <v>Senior</v>
      </c>
      <c r="E3963">
        <v>1</v>
      </c>
      <c r="F3963" t="str">
        <f>HLOOKUP(E3963, LookUP_Table!$A$6:$D$7, 2, FALSE)</f>
        <v>Primary</v>
      </c>
      <c r="G3963" t="str">
        <f>IFERROR(VLOOKUP(E3963, LookUP_Table!$A$1:$B$4, 2, FALSE), "")</f>
        <v>Primary</v>
      </c>
      <c r="H3963">
        <v>0</v>
      </c>
      <c r="I3963">
        <v>0</v>
      </c>
      <c r="J3963" t="str">
        <f t="shared" si="366"/>
        <v>Non-Smoker</v>
      </c>
      <c r="K3963">
        <v>0</v>
      </c>
      <c r="L3963">
        <v>1</v>
      </c>
      <c r="M3963">
        <v>1</v>
      </c>
      <c r="N3963">
        <v>0</v>
      </c>
      <c r="O3963">
        <v>273</v>
      </c>
      <c r="P3963" t="str">
        <f t="shared" si="367"/>
        <v>High</v>
      </c>
      <c r="Q3963">
        <v>152</v>
      </c>
      <c r="R3963">
        <v>70</v>
      </c>
      <c r="S3963">
        <v>19.690000000000001</v>
      </c>
      <c r="T3963" t="str">
        <f t="shared" si="368"/>
        <v>Normal</v>
      </c>
      <c r="U3963">
        <v>80</v>
      </c>
      <c r="V3963">
        <v>79</v>
      </c>
      <c r="W3963" t="str">
        <f t="shared" si="371"/>
        <v>Normal</v>
      </c>
      <c r="X3963">
        <v>1</v>
      </c>
    </row>
    <row r="3964" spans="1:24" ht="14.5" thickBot="1" x14ac:dyDescent="0.35">
      <c r="A3964">
        <v>1</v>
      </c>
      <c r="B3964" t="str">
        <f t="shared" si="369"/>
        <v>Male</v>
      </c>
      <c r="C3964" s="8">
        <v>63</v>
      </c>
      <c r="D3964" t="str">
        <f t="shared" si="370"/>
        <v>Senior</v>
      </c>
      <c r="E3964">
        <v>1</v>
      </c>
      <c r="F3964" t="str">
        <f>HLOOKUP(E3964, LookUP_Table!$A$6:$D$7, 2, FALSE)</f>
        <v>Primary</v>
      </c>
      <c r="G3964" t="str">
        <f>IFERROR(VLOOKUP(E3964, LookUP_Table!$A$1:$B$4, 2, FALSE), "")</f>
        <v>Primary</v>
      </c>
      <c r="H3964">
        <v>1</v>
      </c>
      <c r="I3964">
        <v>15</v>
      </c>
      <c r="J3964" t="str">
        <f t="shared" si="366"/>
        <v>Smoker</v>
      </c>
      <c r="K3964">
        <v>0</v>
      </c>
      <c r="L3964">
        <v>0</v>
      </c>
      <c r="M3964">
        <v>1</v>
      </c>
      <c r="N3964">
        <v>0</v>
      </c>
      <c r="O3964">
        <v>207</v>
      </c>
      <c r="P3964" t="str">
        <f t="shared" si="367"/>
        <v>Normal</v>
      </c>
      <c r="Q3964">
        <v>165</v>
      </c>
      <c r="R3964">
        <v>100</v>
      </c>
      <c r="S3964">
        <v>21.33</v>
      </c>
      <c r="T3964" t="str">
        <f t="shared" si="368"/>
        <v>Normal</v>
      </c>
      <c r="U3964">
        <v>72</v>
      </c>
      <c r="V3964">
        <v>77</v>
      </c>
      <c r="W3964" t="str">
        <f t="shared" si="371"/>
        <v>Normal</v>
      </c>
      <c r="X3964">
        <v>0</v>
      </c>
    </row>
    <row r="3965" spans="1:24" ht="14.5" thickBot="1" x14ac:dyDescent="0.35">
      <c r="A3965">
        <v>0</v>
      </c>
      <c r="B3965" t="str">
        <f t="shared" si="369"/>
        <v>Female</v>
      </c>
      <c r="C3965" s="8">
        <v>63</v>
      </c>
      <c r="D3965" t="str">
        <f t="shared" si="370"/>
        <v>Senior</v>
      </c>
      <c r="E3965">
        <v>1</v>
      </c>
      <c r="F3965" t="str">
        <f>HLOOKUP(E3965, LookUP_Table!$A$6:$D$7, 2, FALSE)</f>
        <v>Primary</v>
      </c>
      <c r="G3965" t="str">
        <f>IFERROR(VLOOKUP(E3965, LookUP_Table!$A$1:$B$4, 2, FALSE), "")</f>
        <v>Primary</v>
      </c>
      <c r="H3965">
        <v>0</v>
      </c>
      <c r="I3965">
        <v>0</v>
      </c>
      <c r="J3965" t="str">
        <f t="shared" si="366"/>
        <v>Non-Smoker</v>
      </c>
      <c r="K3965">
        <v>0</v>
      </c>
      <c r="L3965">
        <v>0</v>
      </c>
      <c r="M3965">
        <v>0</v>
      </c>
      <c r="N3965">
        <v>0</v>
      </c>
      <c r="O3965">
        <v>238</v>
      </c>
      <c r="P3965" t="str">
        <f t="shared" si="367"/>
        <v>Normal</v>
      </c>
      <c r="Q3965">
        <v>123</v>
      </c>
      <c r="R3965">
        <v>66</v>
      </c>
      <c r="S3965">
        <v>28.6</v>
      </c>
      <c r="T3965" t="str">
        <f t="shared" si="368"/>
        <v>Overweight</v>
      </c>
      <c r="U3965">
        <v>70</v>
      </c>
      <c r="V3965">
        <v>98</v>
      </c>
      <c r="W3965" t="str">
        <f t="shared" si="371"/>
        <v>Normal</v>
      </c>
      <c r="X3965">
        <v>0</v>
      </c>
    </row>
    <row r="3966" spans="1:24" ht="14.5" thickBot="1" x14ac:dyDescent="0.35">
      <c r="A3966">
        <v>1</v>
      </c>
      <c r="B3966" t="str">
        <f t="shared" si="369"/>
        <v>Male</v>
      </c>
      <c r="C3966" s="8">
        <v>63</v>
      </c>
      <c r="D3966" t="str">
        <f t="shared" si="370"/>
        <v>Senior</v>
      </c>
      <c r="E3966">
        <v>1</v>
      </c>
      <c r="F3966" t="str">
        <f>HLOOKUP(E3966, LookUP_Table!$A$6:$D$7, 2, FALSE)</f>
        <v>Primary</v>
      </c>
      <c r="G3966" t="str">
        <f>IFERROR(VLOOKUP(E3966, LookUP_Table!$A$1:$B$4, 2, FALSE), "")</f>
        <v>Primary</v>
      </c>
      <c r="H3966">
        <v>0</v>
      </c>
      <c r="I3966">
        <v>0</v>
      </c>
      <c r="J3966" t="str">
        <f t="shared" si="366"/>
        <v>Non-Smoker</v>
      </c>
      <c r="K3966">
        <v>0</v>
      </c>
      <c r="L3966">
        <v>0</v>
      </c>
      <c r="M3966">
        <v>1</v>
      </c>
      <c r="N3966">
        <v>0</v>
      </c>
      <c r="O3966">
        <v>178</v>
      </c>
      <c r="P3966" t="str">
        <f t="shared" si="367"/>
        <v>Normal</v>
      </c>
      <c r="Q3966">
        <v>155</v>
      </c>
      <c r="R3966">
        <v>79</v>
      </c>
      <c r="S3966">
        <v>25.9</v>
      </c>
      <c r="T3966" t="str">
        <f t="shared" si="368"/>
        <v>Overweight</v>
      </c>
      <c r="U3966">
        <v>55</v>
      </c>
      <c r="V3966">
        <v>61</v>
      </c>
      <c r="W3966" t="str">
        <f t="shared" si="371"/>
        <v>Normal</v>
      </c>
      <c r="X3966">
        <v>0</v>
      </c>
    </row>
    <row r="3967" spans="1:24" ht="14.5" thickBot="1" x14ac:dyDescent="0.35">
      <c r="A3967">
        <v>0</v>
      </c>
      <c r="B3967" t="str">
        <f t="shared" si="369"/>
        <v>Female</v>
      </c>
      <c r="C3967" s="8">
        <v>63</v>
      </c>
      <c r="D3967" t="str">
        <f t="shared" si="370"/>
        <v>Senior</v>
      </c>
      <c r="E3967">
        <v>1</v>
      </c>
      <c r="F3967" t="str">
        <f>HLOOKUP(E3967, LookUP_Table!$A$6:$D$7, 2, FALSE)</f>
        <v>Primary</v>
      </c>
      <c r="G3967" t="str">
        <f>IFERROR(VLOOKUP(E3967, LookUP_Table!$A$1:$B$4, 2, FALSE), "")</f>
        <v>Primary</v>
      </c>
      <c r="H3967">
        <v>0</v>
      </c>
      <c r="I3967">
        <v>0</v>
      </c>
      <c r="J3967" t="str">
        <f t="shared" si="366"/>
        <v>Non-Smoker</v>
      </c>
      <c r="K3967">
        <v>0</v>
      </c>
      <c r="L3967">
        <v>0</v>
      </c>
      <c r="M3967">
        <v>0</v>
      </c>
      <c r="N3967">
        <v>0</v>
      </c>
      <c r="O3967">
        <v>235</v>
      </c>
      <c r="P3967" t="str">
        <f t="shared" si="367"/>
        <v>Normal</v>
      </c>
      <c r="Q3967">
        <v>125</v>
      </c>
      <c r="R3967">
        <v>79</v>
      </c>
      <c r="S3967">
        <v>24.38</v>
      </c>
      <c r="T3967" t="str">
        <f t="shared" si="368"/>
        <v>Normal</v>
      </c>
      <c r="U3967">
        <v>96</v>
      </c>
      <c r="V3967">
        <v>83</v>
      </c>
      <c r="W3967" t="str">
        <f t="shared" si="371"/>
        <v>Normal</v>
      </c>
      <c r="X3967">
        <v>0</v>
      </c>
    </row>
    <row r="3968" spans="1:24" ht="14.5" thickBot="1" x14ac:dyDescent="0.35">
      <c r="A3968">
        <v>1</v>
      </c>
      <c r="B3968" t="str">
        <f t="shared" si="369"/>
        <v>Male</v>
      </c>
      <c r="C3968" s="8">
        <v>63</v>
      </c>
      <c r="D3968" t="str">
        <f t="shared" si="370"/>
        <v>Senior</v>
      </c>
      <c r="E3968">
        <v>3</v>
      </c>
      <c r="F3968" t="str">
        <f>HLOOKUP(E3968, LookUP_Table!$A$6:$D$7, 2, FALSE)</f>
        <v>Graduate</v>
      </c>
      <c r="G3968" t="str">
        <f>IFERROR(VLOOKUP(E3968, LookUP_Table!$A$1:$B$4, 2, FALSE), "")</f>
        <v>Graduate</v>
      </c>
      <c r="H3968">
        <v>0</v>
      </c>
      <c r="I3968">
        <v>0</v>
      </c>
      <c r="J3968" t="str">
        <f t="shared" si="366"/>
        <v>Non-Smoker</v>
      </c>
      <c r="K3968">
        <v>0</v>
      </c>
      <c r="L3968">
        <v>0</v>
      </c>
      <c r="M3968">
        <v>1</v>
      </c>
      <c r="N3968">
        <v>0</v>
      </c>
      <c r="O3968">
        <v>161</v>
      </c>
      <c r="P3968" t="str">
        <f t="shared" si="367"/>
        <v>Normal</v>
      </c>
      <c r="Q3968">
        <v>196</v>
      </c>
      <c r="R3968">
        <v>102</v>
      </c>
      <c r="S3968">
        <v>28.43</v>
      </c>
      <c r="T3968" t="str">
        <f t="shared" si="368"/>
        <v>Overweight</v>
      </c>
      <c r="U3968">
        <v>56</v>
      </c>
      <c r="V3968">
        <v>88</v>
      </c>
      <c r="W3968" t="str">
        <f t="shared" si="371"/>
        <v>Normal</v>
      </c>
      <c r="X3968">
        <v>0</v>
      </c>
    </row>
    <row r="3969" spans="1:24" ht="14.5" thickBot="1" x14ac:dyDescent="0.35">
      <c r="A3969">
        <v>1</v>
      </c>
      <c r="B3969" t="str">
        <f t="shared" si="369"/>
        <v>Male</v>
      </c>
      <c r="C3969" s="8">
        <v>63</v>
      </c>
      <c r="D3969" t="str">
        <f t="shared" si="370"/>
        <v>Senior</v>
      </c>
      <c r="E3969">
        <v>1</v>
      </c>
      <c r="F3969" t="str">
        <f>HLOOKUP(E3969, LookUP_Table!$A$6:$D$7, 2, FALSE)</f>
        <v>Primary</v>
      </c>
      <c r="G3969" t="str">
        <f>IFERROR(VLOOKUP(E3969, LookUP_Table!$A$1:$B$4, 2, FALSE), "")</f>
        <v>Primary</v>
      </c>
      <c r="H3969">
        <v>0</v>
      </c>
      <c r="I3969">
        <v>0</v>
      </c>
      <c r="J3969" t="str">
        <f t="shared" si="366"/>
        <v>Non-Smoker</v>
      </c>
      <c r="K3969">
        <v>0</v>
      </c>
      <c r="L3969">
        <v>0</v>
      </c>
      <c r="M3969">
        <v>1</v>
      </c>
      <c r="N3969">
        <v>1</v>
      </c>
      <c r="O3969">
        <v>260</v>
      </c>
      <c r="P3969" t="str">
        <f t="shared" si="367"/>
        <v>High</v>
      </c>
      <c r="Q3969">
        <v>155.5</v>
      </c>
      <c r="R3969">
        <v>98</v>
      </c>
      <c r="S3969">
        <v>30.08</v>
      </c>
      <c r="T3969" t="str">
        <f t="shared" si="368"/>
        <v>Obese</v>
      </c>
      <c r="U3969">
        <v>67</v>
      </c>
      <c r="V3969">
        <v>109</v>
      </c>
      <c r="W3969" t="str">
        <f t="shared" si="371"/>
        <v>Prediabetes</v>
      </c>
      <c r="X3969">
        <v>1</v>
      </c>
    </row>
    <row r="3970" spans="1:24" ht="14.5" thickBot="1" x14ac:dyDescent="0.35">
      <c r="A3970">
        <v>0</v>
      </c>
      <c r="B3970" t="str">
        <f t="shared" si="369"/>
        <v>Female</v>
      </c>
      <c r="C3970" s="8">
        <v>63</v>
      </c>
      <c r="D3970" t="str">
        <f t="shared" si="370"/>
        <v>Senior</v>
      </c>
      <c r="E3970">
        <v>1</v>
      </c>
      <c r="F3970" t="str">
        <f>HLOOKUP(E3970, LookUP_Table!$A$6:$D$7, 2, FALSE)</f>
        <v>Primary</v>
      </c>
      <c r="G3970" t="str">
        <f>IFERROR(VLOOKUP(E3970, LookUP_Table!$A$1:$B$4, 2, FALSE), "")</f>
        <v>Primary</v>
      </c>
      <c r="H3970">
        <v>0</v>
      </c>
      <c r="I3970">
        <v>0</v>
      </c>
      <c r="J3970" t="str">
        <f t="shared" ref="J3970:J4033" si="372">IF(I3970&gt;0,"Smoker","Non-Smoker")</f>
        <v>Non-Smoker</v>
      </c>
      <c r="K3970">
        <v>0</v>
      </c>
      <c r="L3970">
        <v>0</v>
      </c>
      <c r="M3970">
        <v>1</v>
      </c>
      <c r="N3970">
        <v>0</v>
      </c>
      <c r="O3970">
        <v>258</v>
      </c>
      <c r="P3970" t="str">
        <f t="shared" ref="P3970:P4033" si="373">IF(O3970&gt;240,"High","Normal")</f>
        <v>High</v>
      </c>
      <c r="Q3970">
        <v>166</v>
      </c>
      <c r="R3970">
        <v>92</v>
      </c>
      <c r="S3970">
        <v>26.91</v>
      </c>
      <c r="T3970" t="str">
        <f t="shared" ref="T3970:T4033" si="374">IF(S3970&lt;18.5,"Underweight",
IF(S3970&lt;25,"Normal",
IF(S3970&lt;30,"Overweight","Obese")))</f>
        <v>Overweight</v>
      </c>
      <c r="U3970">
        <v>75</v>
      </c>
      <c r="V3970">
        <v>81.96365524402907</v>
      </c>
      <c r="W3970" t="str">
        <f t="shared" si="371"/>
        <v>Normal</v>
      </c>
      <c r="X3970">
        <v>0</v>
      </c>
    </row>
    <row r="3971" spans="1:24" ht="14.5" thickBot="1" x14ac:dyDescent="0.35">
      <c r="A3971">
        <v>0</v>
      </c>
      <c r="B3971" t="str">
        <f t="shared" ref="B3971:B4034" si="375">IF(A3971=0,"Female","Male")</f>
        <v>Female</v>
      </c>
      <c r="C3971" s="8">
        <v>63</v>
      </c>
      <c r="D3971" t="str">
        <f t="shared" ref="D3971:D4034" si="376">IF(C3971&lt;40,"Young",
IF(C3971&lt;55,"Middle Age","Senior"))</f>
        <v>Senior</v>
      </c>
      <c r="E3971">
        <v>1</v>
      </c>
      <c r="F3971" t="str">
        <f>HLOOKUP(E3971, LookUP_Table!$A$6:$D$7, 2, FALSE)</f>
        <v>Primary</v>
      </c>
      <c r="G3971" t="str">
        <f>IFERROR(VLOOKUP(E3971, LookUP_Table!$A$1:$B$4, 2, FALSE), "")</f>
        <v>Primary</v>
      </c>
      <c r="H3971">
        <v>0</v>
      </c>
      <c r="I3971">
        <v>0</v>
      </c>
      <c r="J3971" t="str">
        <f t="shared" si="372"/>
        <v>Non-Smoker</v>
      </c>
      <c r="K3971">
        <v>0</v>
      </c>
      <c r="L3971">
        <v>0</v>
      </c>
      <c r="M3971">
        <v>0</v>
      </c>
      <c r="N3971">
        <v>0</v>
      </c>
      <c r="O3971">
        <v>316</v>
      </c>
      <c r="P3971" t="str">
        <f t="shared" si="373"/>
        <v>High</v>
      </c>
      <c r="Q3971">
        <v>92.5</v>
      </c>
      <c r="R3971">
        <v>66.5</v>
      </c>
      <c r="S3971">
        <v>23.1</v>
      </c>
      <c r="T3971" t="str">
        <f t="shared" si="374"/>
        <v>Normal</v>
      </c>
      <c r="U3971">
        <v>62</v>
      </c>
      <c r="V3971">
        <v>76</v>
      </c>
      <c r="W3971" t="str">
        <f t="shared" ref="W3971:W4034" si="377">IF(V3971 &lt; 100, "Normal", IF(V3971 &lt;= 125, "Prediabetes", "Diabetes"))</f>
        <v>Normal</v>
      </c>
      <c r="X3971">
        <v>1</v>
      </c>
    </row>
    <row r="3972" spans="1:24" ht="14.5" thickBot="1" x14ac:dyDescent="0.35">
      <c r="A3972">
        <v>1</v>
      </c>
      <c r="B3972" t="str">
        <f t="shared" si="375"/>
        <v>Male</v>
      </c>
      <c r="C3972" s="8">
        <v>63</v>
      </c>
      <c r="D3972" t="str">
        <f t="shared" si="376"/>
        <v>Senior</v>
      </c>
      <c r="E3972">
        <v>4</v>
      </c>
      <c r="F3972" t="str">
        <f>HLOOKUP(E3972, LookUP_Table!$A$6:$D$7, 2, FALSE)</f>
        <v>Post Graduate</v>
      </c>
      <c r="G3972" t="str">
        <f>IFERROR(VLOOKUP(E3972, LookUP_Table!$A$1:$B$4, 2, FALSE), "")</f>
        <v>Post Graduate</v>
      </c>
      <c r="H3972">
        <v>1</v>
      </c>
      <c r="I3972">
        <v>43</v>
      </c>
      <c r="J3972" t="str">
        <f t="shared" si="372"/>
        <v>Smoker</v>
      </c>
      <c r="K3972">
        <v>0</v>
      </c>
      <c r="L3972">
        <v>0</v>
      </c>
      <c r="M3972">
        <v>0</v>
      </c>
      <c r="N3972">
        <v>0</v>
      </c>
      <c r="O3972">
        <v>217</v>
      </c>
      <c r="P3972" t="str">
        <f t="shared" si="373"/>
        <v>Normal</v>
      </c>
      <c r="Q3972">
        <v>110</v>
      </c>
      <c r="R3972">
        <v>68</v>
      </c>
      <c r="S3972">
        <v>21.99</v>
      </c>
      <c r="T3972" t="str">
        <f t="shared" si="374"/>
        <v>Normal</v>
      </c>
      <c r="U3972">
        <v>72</v>
      </c>
      <c r="V3972">
        <v>68</v>
      </c>
      <c r="W3972" t="str">
        <f t="shared" si="377"/>
        <v>Normal</v>
      </c>
      <c r="X3972">
        <v>1</v>
      </c>
    </row>
    <row r="3973" spans="1:24" ht="14.5" thickBot="1" x14ac:dyDescent="0.35">
      <c r="A3973">
        <v>1</v>
      </c>
      <c r="B3973" t="str">
        <f t="shared" si="375"/>
        <v>Male</v>
      </c>
      <c r="C3973" s="8">
        <v>63</v>
      </c>
      <c r="D3973" t="str">
        <f t="shared" si="376"/>
        <v>Senior</v>
      </c>
      <c r="E3973">
        <v>2</v>
      </c>
      <c r="F3973" t="str">
        <f>HLOOKUP(E3973, LookUP_Table!$A$6:$D$7, 2, FALSE)</f>
        <v>Secondary</v>
      </c>
      <c r="G3973" t="str">
        <f>IFERROR(VLOOKUP(E3973, LookUP_Table!$A$1:$B$4, 2, FALSE), "")</f>
        <v>Secondary</v>
      </c>
      <c r="H3973">
        <v>1</v>
      </c>
      <c r="I3973">
        <v>6</v>
      </c>
      <c r="J3973" t="str">
        <f t="shared" si="372"/>
        <v>Smoker</v>
      </c>
      <c r="K3973">
        <v>0</v>
      </c>
      <c r="L3973">
        <v>0</v>
      </c>
      <c r="M3973">
        <v>0</v>
      </c>
      <c r="N3973">
        <v>0</v>
      </c>
      <c r="O3973">
        <v>217</v>
      </c>
      <c r="P3973" t="str">
        <f t="shared" si="373"/>
        <v>Normal</v>
      </c>
      <c r="Q3973">
        <v>125</v>
      </c>
      <c r="R3973">
        <v>71</v>
      </c>
      <c r="S3973">
        <v>25.91</v>
      </c>
      <c r="T3973" t="str">
        <f t="shared" si="374"/>
        <v>Overweight</v>
      </c>
      <c r="U3973">
        <v>75</v>
      </c>
      <c r="V3973">
        <v>74</v>
      </c>
      <c r="W3973" t="str">
        <f t="shared" si="377"/>
        <v>Normal</v>
      </c>
      <c r="X3973">
        <v>0</v>
      </c>
    </row>
    <row r="3974" spans="1:24" ht="14.5" thickBot="1" x14ac:dyDescent="0.35">
      <c r="A3974">
        <v>1</v>
      </c>
      <c r="B3974" t="str">
        <f t="shared" si="375"/>
        <v>Male</v>
      </c>
      <c r="C3974" s="8">
        <v>63</v>
      </c>
      <c r="D3974" t="str">
        <f t="shared" si="376"/>
        <v>Senior</v>
      </c>
      <c r="E3974">
        <v>4</v>
      </c>
      <c r="F3974" t="str">
        <f>HLOOKUP(E3974, LookUP_Table!$A$6:$D$7, 2, FALSE)</f>
        <v>Post Graduate</v>
      </c>
      <c r="G3974" t="str">
        <f>IFERROR(VLOOKUP(E3974, LookUP_Table!$A$1:$B$4, 2, FALSE), "")</f>
        <v>Post Graduate</v>
      </c>
      <c r="H3974">
        <v>1</v>
      </c>
      <c r="I3974">
        <v>25</v>
      </c>
      <c r="J3974" t="str">
        <f t="shared" si="372"/>
        <v>Smoker</v>
      </c>
      <c r="K3974">
        <v>0</v>
      </c>
      <c r="L3974">
        <v>0</v>
      </c>
      <c r="M3974">
        <v>1</v>
      </c>
      <c r="N3974">
        <v>0</v>
      </c>
      <c r="O3974">
        <v>203</v>
      </c>
      <c r="P3974" t="str">
        <f t="shared" si="373"/>
        <v>Normal</v>
      </c>
      <c r="Q3974">
        <v>192.5</v>
      </c>
      <c r="R3974">
        <v>125</v>
      </c>
      <c r="S3974">
        <v>26.18</v>
      </c>
      <c r="T3974" t="str">
        <f t="shared" si="374"/>
        <v>Overweight</v>
      </c>
      <c r="U3974">
        <v>80</v>
      </c>
      <c r="V3974">
        <v>83</v>
      </c>
      <c r="W3974" t="str">
        <f t="shared" si="377"/>
        <v>Normal</v>
      </c>
      <c r="X3974">
        <v>1</v>
      </c>
    </row>
    <row r="3975" spans="1:24" ht="14.5" thickBot="1" x14ac:dyDescent="0.35">
      <c r="A3975">
        <v>0</v>
      </c>
      <c r="B3975" t="str">
        <f t="shared" si="375"/>
        <v>Female</v>
      </c>
      <c r="C3975" s="8">
        <v>63</v>
      </c>
      <c r="D3975" t="str">
        <f t="shared" si="376"/>
        <v>Senior</v>
      </c>
      <c r="E3975">
        <v>3</v>
      </c>
      <c r="F3975" t="str">
        <f>HLOOKUP(E3975, LookUP_Table!$A$6:$D$7, 2, FALSE)</f>
        <v>Graduate</v>
      </c>
      <c r="G3975" t="str">
        <f>IFERROR(VLOOKUP(E3975, LookUP_Table!$A$1:$B$4, 2, FALSE), "")</f>
        <v>Graduate</v>
      </c>
      <c r="H3975">
        <v>0</v>
      </c>
      <c r="I3975">
        <v>0</v>
      </c>
      <c r="J3975" t="str">
        <f t="shared" si="372"/>
        <v>Non-Smoker</v>
      </c>
      <c r="K3975">
        <v>0</v>
      </c>
      <c r="L3975">
        <v>0</v>
      </c>
      <c r="M3975">
        <v>0</v>
      </c>
      <c r="N3975">
        <v>0</v>
      </c>
      <c r="O3975">
        <v>253</v>
      </c>
      <c r="P3975" t="str">
        <f t="shared" si="373"/>
        <v>High</v>
      </c>
      <c r="Q3975">
        <v>128</v>
      </c>
      <c r="R3975">
        <v>81</v>
      </c>
      <c r="S3975">
        <v>26.92</v>
      </c>
      <c r="T3975" t="str">
        <f t="shared" si="374"/>
        <v>Overweight</v>
      </c>
      <c r="U3975">
        <v>80</v>
      </c>
      <c r="V3975">
        <v>102</v>
      </c>
      <c r="W3975" t="str">
        <f t="shared" si="377"/>
        <v>Prediabetes</v>
      </c>
      <c r="X3975">
        <v>0</v>
      </c>
    </row>
    <row r="3976" spans="1:24" ht="14.5" thickBot="1" x14ac:dyDescent="0.35">
      <c r="A3976">
        <v>0</v>
      </c>
      <c r="B3976" t="str">
        <f t="shared" si="375"/>
        <v>Female</v>
      </c>
      <c r="C3976" s="8">
        <v>63</v>
      </c>
      <c r="D3976" t="str">
        <f t="shared" si="376"/>
        <v>Senior</v>
      </c>
      <c r="E3976">
        <v>2</v>
      </c>
      <c r="F3976" t="str">
        <f>HLOOKUP(E3976, LookUP_Table!$A$6:$D$7, 2, FALSE)</f>
        <v>Secondary</v>
      </c>
      <c r="G3976" t="str">
        <f>IFERROR(VLOOKUP(E3976, LookUP_Table!$A$1:$B$4, 2, FALSE), "")</f>
        <v>Secondary</v>
      </c>
      <c r="H3976">
        <v>0</v>
      </c>
      <c r="I3976">
        <v>0</v>
      </c>
      <c r="J3976" t="str">
        <f t="shared" si="372"/>
        <v>Non-Smoker</v>
      </c>
      <c r="K3976">
        <v>0</v>
      </c>
      <c r="L3976">
        <v>0</v>
      </c>
      <c r="M3976">
        <v>1</v>
      </c>
      <c r="N3976">
        <v>0</v>
      </c>
      <c r="O3976">
        <v>250</v>
      </c>
      <c r="P3976" t="str">
        <f t="shared" si="373"/>
        <v>High</v>
      </c>
      <c r="Q3976">
        <v>190</v>
      </c>
      <c r="R3976">
        <v>88</v>
      </c>
      <c r="S3976">
        <v>24.16</v>
      </c>
      <c r="T3976" t="str">
        <f t="shared" si="374"/>
        <v>Normal</v>
      </c>
      <c r="U3976">
        <v>94</v>
      </c>
      <c r="V3976">
        <v>118</v>
      </c>
      <c r="W3976" t="str">
        <f t="shared" si="377"/>
        <v>Prediabetes</v>
      </c>
      <c r="X3976">
        <v>1</v>
      </c>
    </row>
    <row r="3977" spans="1:24" ht="14.5" thickBot="1" x14ac:dyDescent="0.35">
      <c r="A3977">
        <v>0</v>
      </c>
      <c r="B3977" t="str">
        <f t="shared" si="375"/>
        <v>Female</v>
      </c>
      <c r="C3977" s="8">
        <v>63</v>
      </c>
      <c r="D3977" t="str">
        <f t="shared" si="376"/>
        <v>Senior</v>
      </c>
      <c r="E3977">
        <v>1</v>
      </c>
      <c r="F3977" t="str">
        <f>HLOOKUP(E3977, LookUP_Table!$A$6:$D$7, 2, FALSE)</f>
        <v>Primary</v>
      </c>
      <c r="G3977" t="str">
        <f>IFERROR(VLOOKUP(E3977, LookUP_Table!$A$1:$B$4, 2, FALSE), "")</f>
        <v>Primary</v>
      </c>
      <c r="H3977">
        <v>0</v>
      </c>
      <c r="I3977">
        <v>0</v>
      </c>
      <c r="J3977" t="str">
        <f t="shared" si="372"/>
        <v>Non-Smoker</v>
      </c>
      <c r="K3977">
        <v>0</v>
      </c>
      <c r="L3977">
        <v>0</v>
      </c>
      <c r="M3977">
        <v>1</v>
      </c>
      <c r="N3977">
        <v>0</v>
      </c>
      <c r="O3977">
        <v>306</v>
      </c>
      <c r="P3977" t="str">
        <f t="shared" si="373"/>
        <v>High</v>
      </c>
      <c r="Q3977">
        <v>195</v>
      </c>
      <c r="R3977">
        <v>105</v>
      </c>
      <c r="S3977">
        <v>27.96</v>
      </c>
      <c r="T3977" t="str">
        <f t="shared" si="374"/>
        <v>Overweight</v>
      </c>
      <c r="U3977">
        <v>75</v>
      </c>
      <c r="V3977">
        <v>87</v>
      </c>
      <c r="W3977" t="str">
        <f t="shared" si="377"/>
        <v>Normal</v>
      </c>
      <c r="X3977">
        <v>1</v>
      </c>
    </row>
    <row r="3978" spans="1:24" ht="14.5" thickBot="1" x14ac:dyDescent="0.35">
      <c r="A3978">
        <v>0</v>
      </c>
      <c r="B3978" t="str">
        <f t="shared" si="375"/>
        <v>Female</v>
      </c>
      <c r="C3978" s="8">
        <v>63</v>
      </c>
      <c r="D3978" t="str">
        <f t="shared" si="376"/>
        <v>Senior</v>
      </c>
      <c r="E3978">
        <v>1</v>
      </c>
      <c r="F3978" t="str">
        <f>HLOOKUP(E3978, LookUP_Table!$A$6:$D$7, 2, FALSE)</f>
        <v>Primary</v>
      </c>
      <c r="G3978" t="str">
        <f>IFERROR(VLOOKUP(E3978, LookUP_Table!$A$1:$B$4, 2, FALSE), "")</f>
        <v>Primary</v>
      </c>
      <c r="H3978">
        <v>0</v>
      </c>
      <c r="I3978">
        <v>0</v>
      </c>
      <c r="J3978" t="str">
        <f t="shared" si="372"/>
        <v>Non-Smoker</v>
      </c>
      <c r="K3978">
        <v>0</v>
      </c>
      <c r="L3978">
        <v>0</v>
      </c>
      <c r="M3978">
        <v>1</v>
      </c>
      <c r="N3978">
        <v>0</v>
      </c>
      <c r="O3978">
        <v>257</v>
      </c>
      <c r="P3978" t="str">
        <f t="shared" si="373"/>
        <v>High</v>
      </c>
      <c r="Q3978">
        <v>170</v>
      </c>
      <c r="R3978">
        <v>105</v>
      </c>
      <c r="S3978">
        <v>25.49</v>
      </c>
      <c r="T3978" t="str">
        <f t="shared" si="374"/>
        <v>Overweight</v>
      </c>
      <c r="U3978">
        <v>79</v>
      </c>
      <c r="V3978">
        <v>87</v>
      </c>
      <c r="W3978" t="str">
        <f t="shared" si="377"/>
        <v>Normal</v>
      </c>
      <c r="X3978">
        <v>0</v>
      </c>
    </row>
    <row r="3979" spans="1:24" ht="14.5" thickBot="1" x14ac:dyDescent="0.35">
      <c r="A3979">
        <v>1</v>
      </c>
      <c r="B3979" t="str">
        <f t="shared" si="375"/>
        <v>Male</v>
      </c>
      <c r="C3979" s="8">
        <v>63</v>
      </c>
      <c r="D3979" t="str">
        <f t="shared" si="376"/>
        <v>Senior</v>
      </c>
      <c r="E3979">
        <v>1</v>
      </c>
      <c r="F3979" t="str">
        <f>HLOOKUP(E3979, LookUP_Table!$A$6:$D$7, 2, FALSE)</f>
        <v>Primary</v>
      </c>
      <c r="G3979" t="str">
        <f>IFERROR(VLOOKUP(E3979, LookUP_Table!$A$1:$B$4, 2, FALSE), "")</f>
        <v>Primary</v>
      </c>
      <c r="H3979">
        <v>1</v>
      </c>
      <c r="I3979">
        <v>10</v>
      </c>
      <c r="J3979" t="str">
        <f t="shared" si="372"/>
        <v>Smoker</v>
      </c>
      <c r="K3979">
        <v>0</v>
      </c>
      <c r="L3979">
        <v>0</v>
      </c>
      <c r="M3979">
        <v>0</v>
      </c>
      <c r="N3979">
        <v>1</v>
      </c>
      <c r="O3979">
        <v>240</v>
      </c>
      <c r="P3979" t="str">
        <f t="shared" si="373"/>
        <v>Normal</v>
      </c>
      <c r="Q3979">
        <v>146</v>
      </c>
      <c r="R3979">
        <v>84</v>
      </c>
      <c r="S3979">
        <v>30.48</v>
      </c>
      <c r="T3979" t="str">
        <f t="shared" si="374"/>
        <v>Obese</v>
      </c>
      <c r="U3979">
        <v>75</v>
      </c>
      <c r="V3979">
        <v>120</v>
      </c>
      <c r="W3979" t="str">
        <f t="shared" si="377"/>
        <v>Prediabetes</v>
      </c>
      <c r="X3979">
        <v>0</v>
      </c>
    </row>
    <row r="3980" spans="1:24" ht="14.5" thickBot="1" x14ac:dyDescent="0.35">
      <c r="A3980">
        <v>0</v>
      </c>
      <c r="B3980" t="str">
        <f t="shared" si="375"/>
        <v>Female</v>
      </c>
      <c r="C3980" s="8">
        <v>63</v>
      </c>
      <c r="D3980" t="str">
        <f t="shared" si="376"/>
        <v>Senior</v>
      </c>
      <c r="E3980">
        <v>1</v>
      </c>
      <c r="F3980" t="str">
        <f>HLOOKUP(E3980, LookUP_Table!$A$6:$D$7, 2, FALSE)</f>
        <v>Primary</v>
      </c>
      <c r="G3980" t="str">
        <f>IFERROR(VLOOKUP(E3980, LookUP_Table!$A$1:$B$4, 2, FALSE), "")</f>
        <v>Primary</v>
      </c>
      <c r="H3980">
        <v>0</v>
      </c>
      <c r="I3980">
        <v>0</v>
      </c>
      <c r="J3980" t="str">
        <f t="shared" si="372"/>
        <v>Non-Smoker</v>
      </c>
      <c r="K3980">
        <v>0</v>
      </c>
      <c r="L3980">
        <v>0</v>
      </c>
      <c r="M3980">
        <v>1</v>
      </c>
      <c r="N3980">
        <v>1</v>
      </c>
      <c r="O3980">
        <v>236</v>
      </c>
      <c r="P3980" t="str">
        <f t="shared" si="373"/>
        <v>Normal</v>
      </c>
      <c r="Q3980">
        <v>155</v>
      </c>
      <c r="R3980">
        <v>82</v>
      </c>
      <c r="S3980">
        <v>39.17</v>
      </c>
      <c r="T3980" t="str">
        <f t="shared" si="374"/>
        <v>Obese</v>
      </c>
      <c r="U3980">
        <v>78</v>
      </c>
      <c r="V3980">
        <v>79</v>
      </c>
      <c r="W3980" t="str">
        <f t="shared" si="377"/>
        <v>Normal</v>
      </c>
      <c r="X3980">
        <v>0</v>
      </c>
    </row>
    <row r="3981" spans="1:24" ht="14.5" thickBot="1" x14ac:dyDescent="0.35">
      <c r="A3981">
        <v>0</v>
      </c>
      <c r="B3981" t="str">
        <f t="shared" si="375"/>
        <v>Female</v>
      </c>
      <c r="C3981" s="8">
        <v>63</v>
      </c>
      <c r="D3981" t="str">
        <f t="shared" si="376"/>
        <v>Senior</v>
      </c>
      <c r="E3981">
        <v>1</v>
      </c>
      <c r="F3981" t="str">
        <f>HLOOKUP(E3981, LookUP_Table!$A$6:$D$7, 2, FALSE)</f>
        <v>Primary</v>
      </c>
      <c r="G3981" t="str">
        <f>IFERROR(VLOOKUP(E3981, LookUP_Table!$A$1:$B$4, 2, FALSE), "")</f>
        <v>Primary</v>
      </c>
      <c r="H3981">
        <v>0</v>
      </c>
      <c r="I3981">
        <v>0</v>
      </c>
      <c r="J3981" t="str">
        <f t="shared" si="372"/>
        <v>Non-Smoker</v>
      </c>
      <c r="K3981">
        <v>0</v>
      </c>
      <c r="L3981">
        <v>0</v>
      </c>
      <c r="M3981">
        <v>1</v>
      </c>
      <c r="N3981">
        <v>0</v>
      </c>
      <c r="O3981">
        <v>266</v>
      </c>
      <c r="P3981" t="str">
        <f t="shared" si="373"/>
        <v>High</v>
      </c>
      <c r="Q3981">
        <v>167</v>
      </c>
      <c r="R3981">
        <v>94</v>
      </c>
      <c r="S3981">
        <v>25.23</v>
      </c>
      <c r="T3981" t="str">
        <f t="shared" si="374"/>
        <v>Overweight</v>
      </c>
      <c r="U3981">
        <v>95</v>
      </c>
      <c r="V3981">
        <v>94</v>
      </c>
      <c r="W3981" t="str">
        <f t="shared" si="377"/>
        <v>Normal</v>
      </c>
      <c r="X3981">
        <v>0</v>
      </c>
    </row>
    <row r="3982" spans="1:24" ht="14.5" thickBot="1" x14ac:dyDescent="0.35">
      <c r="A3982">
        <v>0</v>
      </c>
      <c r="B3982" t="str">
        <f t="shared" si="375"/>
        <v>Female</v>
      </c>
      <c r="C3982" s="8">
        <v>64</v>
      </c>
      <c r="D3982" t="str">
        <f t="shared" si="376"/>
        <v>Senior</v>
      </c>
      <c r="E3982">
        <v>1</v>
      </c>
      <c r="F3982" t="str">
        <f>HLOOKUP(E3982, LookUP_Table!$A$6:$D$7, 2, FALSE)</f>
        <v>Primary</v>
      </c>
      <c r="G3982" t="str">
        <f>IFERROR(VLOOKUP(E3982, LookUP_Table!$A$1:$B$4, 2, FALSE), "")</f>
        <v>Primary</v>
      </c>
      <c r="H3982">
        <v>0</v>
      </c>
      <c r="I3982">
        <v>0</v>
      </c>
      <c r="J3982" t="str">
        <f t="shared" si="372"/>
        <v>Non-Smoker</v>
      </c>
      <c r="K3982">
        <v>0</v>
      </c>
      <c r="L3982">
        <v>0</v>
      </c>
      <c r="M3982">
        <v>1</v>
      </c>
      <c r="N3982">
        <v>0</v>
      </c>
      <c r="O3982">
        <v>282</v>
      </c>
      <c r="P3982" t="str">
        <f t="shared" si="373"/>
        <v>High</v>
      </c>
      <c r="Q3982">
        <v>158</v>
      </c>
      <c r="R3982">
        <v>105</v>
      </c>
      <c r="S3982">
        <v>24.37</v>
      </c>
      <c r="T3982" t="str">
        <f t="shared" si="374"/>
        <v>Normal</v>
      </c>
      <c r="U3982">
        <v>75</v>
      </c>
      <c r="V3982">
        <v>71</v>
      </c>
      <c r="W3982" t="str">
        <f t="shared" si="377"/>
        <v>Normal</v>
      </c>
      <c r="X3982">
        <v>0</v>
      </c>
    </row>
    <row r="3983" spans="1:24" ht="14.5" thickBot="1" x14ac:dyDescent="0.35">
      <c r="A3983">
        <v>1</v>
      </c>
      <c r="B3983" t="str">
        <f t="shared" si="375"/>
        <v>Male</v>
      </c>
      <c r="C3983" s="8">
        <v>64</v>
      </c>
      <c r="D3983" t="str">
        <f t="shared" si="376"/>
        <v>Senior</v>
      </c>
      <c r="E3983">
        <v>4</v>
      </c>
      <c r="F3983" t="str">
        <f>HLOOKUP(E3983, LookUP_Table!$A$6:$D$7, 2, FALSE)</f>
        <v>Post Graduate</v>
      </c>
      <c r="G3983" t="str">
        <f>IFERROR(VLOOKUP(E3983, LookUP_Table!$A$1:$B$4, 2, FALSE), "")</f>
        <v>Post Graduate</v>
      </c>
      <c r="H3983">
        <v>0</v>
      </c>
      <c r="I3983">
        <v>0</v>
      </c>
      <c r="J3983" t="str">
        <f t="shared" si="372"/>
        <v>Non-Smoker</v>
      </c>
      <c r="K3983">
        <v>0</v>
      </c>
      <c r="L3983">
        <v>0</v>
      </c>
      <c r="M3983">
        <v>0</v>
      </c>
      <c r="N3983">
        <v>0</v>
      </c>
      <c r="O3983">
        <v>210</v>
      </c>
      <c r="P3983" t="str">
        <f t="shared" si="373"/>
        <v>Normal</v>
      </c>
      <c r="Q3983">
        <v>123</v>
      </c>
      <c r="R3983">
        <v>81</v>
      </c>
      <c r="S3983">
        <v>26.49</v>
      </c>
      <c r="T3983" t="str">
        <f t="shared" si="374"/>
        <v>Overweight</v>
      </c>
      <c r="U3983">
        <v>60</v>
      </c>
      <c r="V3983">
        <v>75</v>
      </c>
      <c r="W3983" t="str">
        <f t="shared" si="377"/>
        <v>Normal</v>
      </c>
      <c r="X3983">
        <v>1</v>
      </c>
    </row>
    <row r="3984" spans="1:24" ht="14.5" thickBot="1" x14ac:dyDescent="0.35">
      <c r="A3984">
        <v>0</v>
      </c>
      <c r="B3984" t="str">
        <f t="shared" si="375"/>
        <v>Female</v>
      </c>
      <c r="C3984" s="8">
        <v>64</v>
      </c>
      <c r="D3984" t="str">
        <f t="shared" si="376"/>
        <v>Senior</v>
      </c>
      <c r="E3984">
        <v>1</v>
      </c>
      <c r="F3984" t="str">
        <f>HLOOKUP(E3984, LookUP_Table!$A$6:$D$7, 2, FALSE)</f>
        <v>Primary</v>
      </c>
      <c r="G3984" t="str">
        <f>IFERROR(VLOOKUP(E3984, LookUP_Table!$A$1:$B$4, 2, FALSE), "")</f>
        <v>Primary</v>
      </c>
      <c r="H3984">
        <v>0</v>
      </c>
      <c r="I3984">
        <v>0</v>
      </c>
      <c r="J3984" t="str">
        <f t="shared" si="372"/>
        <v>Non-Smoker</v>
      </c>
      <c r="K3984">
        <v>0</v>
      </c>
      <c r="L3984">
        <v>0</v>
      </c>
      <c r="M3984">
        <v>0</v>
      </c>
      <c r="N3984">
        <v>0</v>
      </c>
      <c r="O3984">
        <v>320</v>
      </c>
      <c r="P3984" t="str">
        <f t="shared" si="373"/>
        <v>High</v>
      </c>
      <c r="Q3984">
        <v>130</v>
      </c>
      <c r="R3984">
        <v>77</v>
      </c>
      <c r="S3984">
        <v>26.24</v>
      </c>
      <c r="T3984" t="str">
        <f t="shared" si="374"/>
        <v>Overweight</v>
      </c>
      <c r="U3984">
        <v>70</v>
      </c>
      <c r="V3984">
        <v>74</v>
      </c>
      <c r="W3984" t="str">
        <f t="shared" si="377"/>
        <v>Normal</v>
      </c>
      <c r="X3984">
        <v>0</v>
      </c>
    </row>
    <row r="3985" spans="1:24" ht="14.5" thickBot="1" x14ac:dyDescent="0.35">
      <c r="A3985">
        <v>0</v>
      </c>
      <c r="B3985" t="str">
        <f t="shared" si="375"/>
        <v>Female</v>
      </c>
      <c r="C3985" s="8">
        <v>64</v>
      </c>
      <c r="D3985" t="str">
        <f t="shared" si="376"/>
        <v>Senior</v>
      </c>
      <c r="E3985">
        <v>1</v>
      </c>
      <c r="F3985" t="str">
        <f>HLOOKUP(E3985, LookUP_Table!$A$6:$D$7, 2, FALSE)</f>
        <v>Primary</v>
      </c>
      <c r="G3985" t="str">
        <f>IFERROR(VLOOKUP(E3985, LookUP_Table!$A$1:$B$4, 2, FALSE), "")</f>
        <v>Primary</v>
      </c>
      <c r="H3985">
        <v>0</v>
      </c>
      <c r="I3985">
        <v>0</v>
      </c>
      <c r="J3985" t="str">
        <f t="shared" si="372"/>
        <v>Non-Smoker</v>
      </c>
      <c r="K3985">
        <v>0</v>
      </c>
      <c r="L3985">
        <v>0</v>
      </c>
      <c r="M3985">
        <v>1</v>
      </c>
      <c r="N3985">
        <v>0</v>
      </c>
      <c r="O3985">
        <v>273</v>
      </c>
      <c r="P3985" t="str">
        <f t="shared" si="373"/>
        <v>High</v>
      </c>
      <c r="Q3985">
        <v>155</v>
      </c>
      <c r="R3985">
        <v>86</v>
      </c>
      <c r="S3985">
        <v>27.53</v>
      </c>
      <c r="T3985" t="str">
        <f t="shared" si="374"/>
        <v>Overweight</v>
      </c>
      <c r="U3985">
        <v>100</v>
      </c>
      <c r="V3985">
        <v>91</v>
      </c>
      <c r="W3985" t="str">
        <f t="shared" si="377"/>
        <v>Normal</v>
      </c>
      <c r="X3985">
        <v>0</v>
      </c>
    </row>
    <row r="3986" spans="1:24" ht="14.5" thickBot="1" x14ac:dyDescent="0.35">
      <c r="A3986">
        <v>1</v>
      </c>
      <c r="B3986" t="str">
        <f t="shared" si="375"/>
        <v>Male</v>
      </c>
      <c r="C3986" s="8">
        <v>64</v>
      </c>
      <c r="D3986" t="str">
        <f t="shared" si="376"/>
        <v>Senior</v>
      </c>
      <c r="E3986">
        <v>1</v>
      </c>
      <c r="F3986" t="str">
        <f>HLOOKUP(E3986, LookUP_Table!$A$6:$D$7, 2, FALSE)</f>
        <v>Primary</v>
      </c>
      <c r="G3986" t="str">
        <f>IFERROR(VLOOKUP(E3986, LookUP_Table!$A$1:$B$4, 2, FALSE), "")</f>
        <v>Primary</v>
      </c>
      <c r="H3986">
        <v>0</v>
      </c>
      <c r="I3986">
        <v>0</v>
      </c>
      <c r="J3986" t="str">
        <f t="shared" si="372"/>
        <v>Non-Smoker</v>
      </c>
      <c r="K3986">
        <v>0</v>
      </c>
      <c r="L3986">
        <v>0</v>
      </c>
      <c r="M3986">
        <v>1</v>
      </c>
      <c r="N3986">
        <v>0</v>
      </c>
      <c r="O3986">
        <v>217</v>
      </c>
      <c r="P3986" t="str">
        <f t="shared" si="373"/>
        <v>Normal</v>
      </c>
      <c r="Q3986">
        <v>147</v>
      </c>
      <c r="R3986">
        <v>87</v>
      </c>
      <c r="S3986">
        <v>29.73</v>
      </c>
      <c r="T3986" t="str">
        <f t="shared" si="374"/>
        <v>Overweight</v>
      </c>
      <c r="U3986">
        <v>77</v>
      </c>
      <c r="V3986">
        <v>81.96365524402907</v>
      </c>
      <c r="W3986" t="str">
        <f t="shared" si="377"/>
        <v>Normal</v>
      </c>
      <c r="X3986">
        <v>0</v>
      </c>
    </row>
    <row r="3987" spans="1:24" ht="14.5" thickBot="1" x14ac:dyDescent="0.35">
      <c r="A3987">
        <v>0</v>
      </c>
      <c r="B3987" t="str">
        <f t="shared" si="375"/>
        <v>Female</v>
      </c>
      <c r="C3987" s="8">
        <v>64</v>
      </c>
      <c r="D3987" t="str">
        <f t="shared" si="376"/>
        <v>Senior</v>
      </c>
      <c r="E3987">
        <v>1</v>
      </c>
      <c r="F3987" t="str">
        <f>HLOOKUP(E3987, LookUP_Table!$A$6:$D$7, 2, FALSE)</f>
        <v>Primary</v>
      </c>
      <c r="G3987" t="str">
        <f>IFERROR(VLOOKUP(E3987, LookUP_Table!$A$1:$B$4, 2, FALSE), "")</f>
        <v>Primary</v>
      </c>
      <c r="H3987">
        <v>0</v>
      </c>
      <c r="I3987">
        <v>0</v>
      </c>
      <c r="J3987" t="str">
        <f t="shared" si="372"/>
        <v>Non-Smoker</v>
      </c>
      <c r="K3987">
        <v>0</v>
      </c>
      <c r="L3987">
        <v>0</v>
      </c>
      <c r="M3987">
        <v>1</v>
      </c>
      <c r="N3987">
        <v>0</v>
      </c>
      <c r="O3987">
        <v>312</v>
      </c>
      <c r="P3987" t="str">
        <f t="shared" si="373"/>
        <v>High</v>
      </c>
      <c r="Q3987">
        <v>160</v>
      </c>
      <c r="R3987">
        <v>82</v>
      </c>
      <c r="S3987">
        <v>27.59</v>
      </c>
      <c r="T3987" t="str">
        <f t="shared" si="374"/>
        <v>Overweight</v>
      </c>
      <c r="U3987">
        <v>140</v>
      </c>
      <c r="V3987">
        <v>94</v>
      </c>
      <c r="W3987" t="str">
        <f t="shared" si="377"/>
        <v>Normal</v>
      </c>
      <c r="X3987">
        <v>0</v>
      </c>
    </row>
    <row r="3988" spans="1:24" ht="14.5" thickBot="1" x14ac:dyDescent="0.35">
      <c r="A3988">
        <v>0</v>
      </c>
      <c r="B3988" t="str">
        <f t="shared" si="375"/>
        <v>Female</v>
      </c>
      <c r="C3988" s="8">
        <v>64</v>
      </c>
      <c r="D3988" t="str">
        <f t="shared" si="376"/>
        <v>Senior</v>
      </c>
      <c r="E3988">
        <v>1</v>
      </c>
      <c r="F3988" t="str">
        <f>HLOOKUP(E3988, LookUP_Table!$A$6:$D$7, 2, FALSE)</f>
        <v>Primary</v>
      </c>
      <c r="G3988" t="str">
        <f>IFERROR(VLOOKUP(E3988, LookUP_Table!$A$1:$B$4, 2, FALSE), "")</f>
        <v>Primary</v>
      </c>
      <c r="H3988">
        <v>0</v>
      </c>
      <c r="I3988">
        <v>0</v>
      </c>
      <c r="J3988" t="str">
        <f t="shared" si="372"/>
        <v>Non-Smoker</v>
      </c>
      <c r="K3988">
        <v>0</v>
      </c>
      <c r="L3988">
        <v>0</v>
      </c>
      <c r="M3988">
        <v>0</v>
      </c>
      <c r="N3988">
        <v>0</v>
      </c>
      <c r="O3988">
        <v>268</v>
      </c>
      <c r="P3988" t="str">
        <f t="shared" si="373"/>
        <v>High</v>
      </c>
      <c r="Q3988">
        <v>135</v>
      </c>
      <c r="R3988">
        <v>74</v>
      </c>
      <c r="S3988">
        <v>30.18</v>
      </c>
      <c r="T3988" t="str">
        <f t="shared" si="374"/>
        <v>Obese</v>
      </c>
      <c r="U3988">
        <v>76</v>
      </c>
      <c r="V3988">
        <v>83</v>
      </c>
      <c r="W3988" t="str">
        <f t="shared" si="377"/>
        <v>Normal</v>
      </c>
      <c r="X3988">
        <v>0</v>
      </c>
    </row>
    <row r="3989" spans="1:24" ht="14.5" thickBot="1" x14ac:dyDescent="0.35">
      <c r="A3989">
        <v>0</v>
      </c>
      <c r="B3989" t="str">
        <f t="shared" si="375"/>
        <v>Female</v>
      </c>
      <c r="C3989" s="8">
        <v>64</v>
      </c>
      <c r="D3989" t="str">
        <f t="shared" si="376"/>
        <v>Senior</v>
      </c>
      <c r="E3989">
        <v>1</v>
      </c>
      <c r="F3989" t="str">
        <f>HLOOKUP(E3989, LookUP_Table!$A$6:$D$7, 2, FALSE)</f>
        <v>Primary</v>
      </c>
      <c r="G3989" t="str">
        <f>IFERROR(VLOOKUP(E3989, LookUP_Table!$A$1:$B$4, 2, FALSE), "")</f>
        <v>Primary</v>
      </c>
      <c r="H3989">
        <v>0</v>
      </c>
      <c r="I3989">
        <v>0</v>
      </c>
      <c r="J3989" t="str">
        <f t="shared" si="372"/>
        <v>Non-Smoker</v>
      </c>
      <c r="K3989">
        <v>0</v>
      </c>
      <c r="L3989">
        <v>0</v>
      </c>
      <c r="M3989">
        <v>1</v>
      </c>
      <c r="N3989">
        <v>0</v>
      </c>
      <c r="O3989">
        <v>253</v>
      </c>
      <c r="P3989" t="str">
        <f t="shared" si="373"/>
        <v>High</v>
      </c>
      <c r="Q3989">
        <v>295</v>
      </c>
      <c r="R3989">
        <v>135</v>
      </c>
      <c r="S3989">
        <v>38.82</v>
      </c>
      <c r="T3989" t="str">
        <f t="shared" si="374"/>
        <v>Obese</v>
      </c>
      <c r="U3989">
        <v>92</v>
      </c>
      <c r="V3989">
        <v>70</v>
      </c>
      <c r="W3989" t="str">
        <f t="shared" si="377"/>
        <v>Normal</v>
      </c>
      <c r="X3989">
        <v>1</v>
      </c>
    </row>
    <row r="3990" spans="1:24" ht="14.5" thickBot="1" x14ac:dyDescent="0.35">
      <c r="A3990">
        <v>0</v>
      </c>
      <c r="B3990" t="str">
        <f t="shared" si="375"/>
        <v>Female</v>
      </c>
      <c r="C3990" s="8">
        <v>64</v>
      </c>
      <c r="D3990" t="str">
        <f t="shared" si="376"/>
        <v>Senior</v>
      </c>
      <c r="E3990">
        <v>1</v>
      </c>
      <c r="F3990" t="str">
        <f>HLOOKUP(E3990, LookUP_Table!$A$6:$D$7, 2, FALSE)</f>
        <v>Primary</v>
      </c>
      <c r="G3990" t="str">
        <f>IFERROR(VLOOKUP(E3990, LookUP_Table!$A$1:$B$4, 2, FALSE), "")</f>
        <v>Primary</v>
      </c>
      <c r="H3990">
        <v>0</v>
      </c>
      <c r="I3990">
        <v>0</v>
      </c>
      <c r="J3990" t="str">
        <f t="shared" si="372"/>
        <v>Non-Smoker</v>
      </c>
      <c r="K3990">
        <v>0</v>
      </c>
      <c r="L3990">
        <v>0</v>
      </c>
      <c r="M3990">
        <v>0</v>
      </c>
      <c r="N3990">
        <v>0</v>
      </c>
      <c r="O3990">
        <v>251</v>
      </c>
      <c r="P3990" t="str">
        <f t="shared" si="373"/>
        <v>High</v>
      </c>
      <c r="Q3990">
        <v>132</v>
      </c>
      <c r="R3990">
        <v>82</v>
      </c>
      <c r="S3990">
        <v>28.87</v>
      </c>
      <c r="T3990" t="str">
        <f t="shared" si="374"/>
        <v>Overweight</v>
      </c>
      <c r="U3990">
        <v>70</v>
      </c>
      <c r="V3990">
        <v>82</v>
      </c>
      <c r="W3990" t="str">
        <f t="shared" si="377"/>
        <v>Normal</v>
      </c>
      <c r="X3990">
        <v>0</v>
      </c>
    </row>
    <row r="3991" spans="1:24" ht="14.5" thickBot="1" x14ac:dyDescent="0.35">
      <c r="A3991">
        <v>1</v>
      </c>
      <c r="B3991" t="str">
        <f t="shared" si="375"/>
        <v>Male</v>
      </c>
      <c r="C3991" s="8">
        <v>64</v>
      </c>
      <c r="D3991" t="str">
        <f t="shared" si="376"/>
        <v>Senior</v>
      </c>
      <c r="E3991">
        <v>1</v>
      </c>
      <c r="F3991" t="str">
        <f>HLOOKUP(E3991, LookUP_Table!$A$6:$D$7, 2, FALSE)</f>
        <v>Primary</v>
      </c>
      <c r="G3991" t="str">
        <f>IFERROR(VLOOKUP(E3991, LookUP_Table!$A$1:$B$4, 2, FALSE), "")</f>
        <v>Primary</v>
      </c>
      <c r="H3991">
        <v>0</v>
      </c>
      <c r="I3991">
        <v>0</v>
      </c>
      <c r="J3991" t="str">
        <f t="shared" si="372"/>
        <v>Non-Smoker</v>
      </c>
      <c r="K3991">
        <v>0</v>
      </c>
      <c r="L3991">
        <v>0</v>
      </c>
      <c r="M3991">
        <v>0</v>
      </c>
      <c r="N3991">
        <v>0</v>
      </c>
      <c r="O3991">
        <v>203</v>
      </c>
      <c r="P3991" t="str">
        <f t="shared" si="373"/>
        <v>Normal</v>
      </c>
      <c r="Q3991">
        <v>130</v>
      </c>
      <c r="R3991">
        <v>78</v>
      </c>
      <c r="S3991">
        <v>28.66</v>
      </c>
      <c r="T3991" t="str">
        <f t="shared" si="374"/>
        <v>Overweight</v>
      </c>
      <c r="U3991">
        <v>72</v>
      </c>
      <c r="V3991">
        <v>70</v>
      </c>
      <c r="W3991" t="str">
        <f t="shared" si="377"/>
        <v>Normal</v>
      </c>
      <c r="X3991">
        <v>0</v>
      </c>
    </row>
    <row r="3992" spans="1:24" ht="14.5" thickBot="1" x14ac:dyDescent="0.35">
      <c r="A3992">
        <v>1</v>
      </c>
      <c r="B3992" t="str">
        <f t="shared" si="375"/>
        <v>Male</v>
      </c>
      <c r="C3992" s="8">
        <v>64</v>
      </c>
      <c r="D3992" t="str">
        <f t="shared" si="376"/>
        <v>Senior</v>
      </c>
      <c r="E3992">
        <v>2</v>
      </c>
      <c r="F3992" t="str">
        <f>HLOOKUP(E3992, LookUP_Table!$A$6:$D$7, 2, FALSE)</f>
        <v>Secondary</v>
      </c>
      <c r="G3992" t="str">
        <f>IFERROR(VLOOKUP(E3992, LookUP_Table!$A$1:$B$4, 2, FALSE), "")</f>
        <v>Secondary</v>
      </c>
      <c r="H3992">
        <v>0</v>
      </c>
      <c r="I3992">
        <v>0</v>
      </c>
      <c r="J3992" t="str">
        <f t="shared" si="372"/>
        <v>Non-Smoker</v>
      </c>
      <c r="K3992">
        <v>0</v>
      </c>
      <c r="L3992">
        <v>0</v>
      </c>
      <c r="M3992">
        <v>0</v>
      </c>
      <c r="N3992">
        <v>0</v>
      </c>
      <c r="O3992">
        <v>193</v>
      </c>
      <c r="P3992" t="str">
        <f t="shared" si="373"/>
        <v>Normal</v>
      </c>
      <c r="Q3992">
        <v>114</v>
      </c>
      <c r="R3992">
        <v>79</v>
      </c>
      <c r="S3992">
        <v>16.59</v>
      </c>
      <c r="T3992" t="str">
        <f t="shared" si="374"/>
        <v>Underweight</v>
      </c>
      <c r="U3992">
        <v>75</v>
      </c>
      <c r="V3992">
        <v>64</v>
      </c>
      <c r="W3992" t="str">
        <f t="shared" si="377"/>
        <v>Normal</v>
      </c>
      <c r="X3992">
        <v>0</v>
      </c>
    </row>
    <row r="3993" spans="1:24" ht="14.5" thickBot="1" x14ac:dyDescent="0.35">
      <c r="A3993">
        <v>0</v>
      </c>
      <c r="B3993" t="str">
        <f t="shared" si="375"/>
        <v>Female</v>
      </c>
      <c r="C3993" s="8">
        <v>64</v>
      </c>
      <c r="D3993" t="str">
        <f t="shared" si="376"/>
        <v>Senior</v>
      </c>
      <c r="E3993">
        <v>2</v>
      </c>
      <c r="F3993" t="str">
        <f>HLOOKUP(E3993, LookUP_Table!$A$6:$D$7, 2, FALSE)</f>
        <v>Secondary</v>
      </c>
      <c r="G3993" t="str">
        <f>IFERROR(VLOOKUP(E3993, LookUP_Table!$A$1:$B$4, 2, FALSE), "")</f>
        <v>Secondary</v>
      </c>
      <c r="H3993">
        <v>1</v>
      </c>
      <c r="I3993">
        <v>9</v>
      </c>
      <c r="J3993" t="str">
        <f t="shared" si="372"/>
        <v>Smoker</v>
      </c>
      <c r="K3993">
        <v>0</v>
      </c>
      <c r="L3993">
        <v>0</v>
      </c>
      <c r="M3993">
        <v>1</v>
      </c>
      <c r="N3993">
        <v>0</v>
      </c>
      <c r="O3993">
        <v>250</v>
      </c>
      <c r="P3993" t="str">
        <f t="shared" si="373"/>
        <v>High</v>
      </c>
      <c r="Q3993">
        <v>145</v>
      </c>
      <c r="R3993">
        <v>79</v>
      </c>
      <c r="S3993">
        <v>25.16</v>
      </c>
      <c r="T3993" t="str">
        <f t="shared" si="374"/>
        <v>Overweight</v>
      </c>
      <c r="U3993">
        <v>73</v>
      </c>
      <c r="V3993">
        <v>86</v>
      </c>
      <c r="W3993" t="str">
        <f t="shared" si="377"/>
        <v>Normal</v>
      </c>
      <c r="X3993">
        <v>0</v>
      </c>
    </row>
    <row r="3994" spans="1:24" ht="14.5" thickBot="1" x14ac:dyDescent="0.35">
      <c r="A3994">
        <v>0</v>
      </c>
      <c r="B3994" t="str">
        <f t="shared" si="375"/>
        <v>Female</v>
      </c>
      <c r="C3994" s="8">
        <v>64</v>
      </c>
      <c r="D3994" t="str">
        <f t="shared" si="376"/>
        <v>Senior</v>
      </c>
      <c r="E3994">
        <v>1</v>
      </c>
      <c r="F3994" t="str">
        <f>HLOOKUP(E3994, LookUP_Table!$A$6:$D$7, 2, FALSE)</f>
        <v>Primary</v>
      </c>
      <c r="G3994" t="str">
        <f>IFERROR(VLOOKUP(E3994, LookUP_Table!$A$1:$B$4, 2, FALSE), "")</f>
        <v>Primary</v>
      </c>
      <c r="H3994">
        <v>0</v>
      </c>
      <c r="I3994">
        <v>0</v>
      </c>
      <c r="J3994" t="str">
        <f t="shared" si="372"/>
        <v>Non-Smoker</v>
      </c>
      <c r="K3994">
        <v>0</v>
      </c>
      <c r="L3994">
        <v>0</v>
      </c>
      <c r="M3994">
        <v>0</v>
      </c>
      <c r="N3994">
        <v>0</v>
      </c>
      <c r="O3994">
        <v>293</v>
      </c>
      <c r="P3994" t="str">
        <f t="shared" si="373"/>
        <v>High</v>
      </c>
      <c r="Q3994">
        <v>116</v>
      </c>
      <c r="R3994">
        <v>80</v>
      </c>
      <c r="S3994">
        <v>26.81</v>
      </c>
      <c r="T3994" t="str">
        <f t="shared" si="374"/>
        <v>Overweight</v>
      </c>
      <c r="U3994">
        <v>80</v>
      </c>
      <c r="V3994">
        <v>87</v>
      </c>
      <c r="W3994" t="str">
        <f t="shared" si="377"/>
        <v>Normal</v>
      </c>
      <c r="X3994">
        <v>1</v>
      </c>
    </row>
    <row r="3995" spans="1:24" ht="14.5" thickBot="1" x14ac:dyDescent="0.35">
      <c r="A3995">
        <v>0</v>
      </c>
      <c r="B3995" t="str">
        <f t="shared" si="375"/>
        <v>Female</v>
      </c>
      <c r="C3995" s="8">
        <v>64</v>
      </c>
      <c r="D3995" t="str">
        <f t="shared" si="376"/>
        <v>Senior</v>
      </c>
      <c r="E3995">
        <v>1</v>
      </c>
      <c r="F3995" t="str">
        <f>HLOOKUP(E3995, LookUP_Table!$A$6:$D$7, 2, FALSE)</f>
        <v>Primary</v>
      </c>
      <c r="G3995" t="str">
        <f>IFERROR(VLOOKUP(E3995, LookUP_Table!$A$1:$B$4, 2, FALSE), "")</f>
        <v>Primary</v>
      </c>
      <c r="H3995">
        <v>0</v>
      </c>
      <c r="I3995">
        <v>0</v>
      </c>
      <c r="J3995" t="str">
        <f t="shared" si="372"/>
        <v>Non-Smoker</v>
      </c>
      <c r="K3995">
        <v>0</v>
      </c>
      <c r="L3995">
        <v>0</v>
      </c>
      <c r="M3995">
        <v>0</v>
      </c>
      <c r="N3995">
        <v>0</v>
      </c>
      <c r="O3995">
        <v>295</v>
      </c>
      <c r="P3995" t="str">
        <f t="shared" si="373"/>
        <v>High</v>
      </c>
      <c r="Q3995">
        <v>127</v>
      </c>
      <c r="R3995">
        <v>78</v>
      </c>
      <c r="S3995">
        <v>22.89</v>
      </c>
      <c r="T3995" t="str">
        <f t="shared" si="374"/>
        <v>Normal</v>
      </c>
      <c r="U3995">
        <v>67</v>
      </c>
      <c r="V3995">
        <v>73</v>
      </c>
      <c r="W3995" t="str">
        <f t="shared" si="377"/>
        <v>Normal</v>
      </c>
      <c r="X3995">
        <v>0</v>
      </c>
    </row>
    <row r="3996" spans="1:24" ht="14.5" thickBot="1" x14ac:dyDescent="0.35">
      <c r="A3996">
        <v>0</v>
      </c>
      <c r="B3996" t="str">
        <f t="shared" si="375"/>
        <v>Female</v>
      </c>
      <c r="C3996" s="8">
        <v>64</v>
      </c>
      <c r="D3996" t="str">
        <f t="shared" si="376"/>
        <v>Senior</v>
      </c>
      <c r="E3996">
        <v>1</v>
      </c>
      <c r="F3996" t="str">
        <f>HLOOKUP(E3996, LookUP_Table!$A$6:$D$7, 2, FALSE)</f>
        <v>Primary</v>
      </c>
      <c r="G3996" t="str">
        <f>IFERROR(VLOOKUP(E3996, LookUP_Table!$A$1:$B$4, 2, FALSE), "")</f>
        <v>Primary</v>
      </c>
      <c r="H3996">
        <v>0</v>
      </c>
      <c r="I3996">
        <v>0</v>
      </c>
      <c r="J3996" t="str">
        <f t="shared" si="372"/>
        <v>Non-Smoker</v>
      </c>
      <c r="K3996">
        <v>0</v>
      </c>
      <c r="L3996">
        <v>0</v>
      </c>
      <c r="M3996">
        <v>1</v>
      </c>
      <c r="N3996">
        <v>0</v>
      </c>
      <c r="O3996">
        <v>300</v>
      </c>
      <c r="P3996" t="str">
        <f t="shared" si="373"/>
        <v>High</v>
      </c>
      <c r="Q3996">
        <v>144</v>
      </c>
      <c r="R3996">
        <v>80</v>
      </c>
      <c r="S3996">
        <v>25.81</v>
      </c>
      <c r="T3996" t="str">
        <f t="shared" si="374"/>
        <v>Overweight</v>
      </c>
      <c r="U3996">
        <v>75</v>
      </c>
      <c r="V3996">
        <v>102</v>
      </c>
      <c r="W3996" t="str">
        <f t="shared" si="377"/>
        <v>Prediabetes</v>
      </c>
      <c r="X3996">
        <v>0</v>
      </c>
    </row>
    <row r="3997" spans="1:24" ht="14.5" thickBot="1" x14ac:dyDescent="0.35">
      <c r="A3997">
        <v>1</v>
      </c>
      <c r="B3997" t="str">
        <f t="shared" si="375"/>
        <v>Male</v>
      </c>
      <c r="C3997" s="8">
        <v>64</v>
      </c>
      <c r="D3997" t="str">
        <f t="shared" si="376"/>
        <v>Senior</v>
      </c>
      <c r="E3997">
        <v>1</v>
      </c>
      <c r="F3997" t="str">
        <f>HLOOKUP(E3997, LookUP_Table!$A$6:$D$7, 2, FALSE)</f>
        <v>Primary</v>
      </c>
      <c r="G3997" t="str">
        <f>IFERROR(VLOOKUP(E3997, LookUP_Table!$A$1:$B$4, 2, FALSE), "")</f>
        <v>Primary</v>
      </c>
      <c r="H3997">
        <v>1</v>
      </c>
      <c r="I3997">
        <v>18</v>
      </c>
      <c r="J3997" t="str">
        <f t="shared" si="372"/>
        <v>Smoker</v>
      </c>
      <c r="K3997">
        <v>0</v>
      </c>
      <c r="L3997">
        <v>0</v>
      </c>
      <c r="M3997">
        <v>1</v>
      </c>
      <c r="N3997">
        <v>0</v>
      </c>
      <c r="O3997">
        <v>219</v>
      </c>
      <c r="P3997" t="str">
        <f t="shared" si="373"/>
        <v>Normal</v>
      </c>
      <c r="Q3997">
        <v>172.5</v>
      </c>
      <c r="R3997">
        <v>75</v>
      </c>
      <c r="S3997">
        <v>29.29</v>
      </c>
      <c r="T3997" t="str">
        <f t="shared" si="374"/>
        <v>Overweight</v>
      </c>
      <c r="U3997">
        <v>75.878980891719749</v>
      </c>
      <c r="V3997">
        <v>91</v>
      </c>
      <c r="W3997" t="str">
        <f t="shared" si="377"/>
        <v>Normal</v>
      </c>
      <c r="X3997">
        <v>1</v>
      </c>
    </row>
    <row r="3998" spans="1:24" ht="14.5" thickBot="1" x14ac:dyDescent="0.35">
      <c r="A3998">
        <v>1</v>
      </c>
      <c r="B3998" t="str">
        <f t="shared" si="375"/>
        <v>Male</v>
      </c>
      <c r="C3998" s="8">
        <v>64</v>
      </c>
      <c r="D3998" t="str">
        <f t="shared" si="376"/>
        <v>Senior</v>
      </c>
      <c r="E3998">
        <v>1</v>
      </c>
      <c r="F3998" t="str">
        <f>HLOOKUP(E3998, LookUP_Table!$A$6:$D$7, 2, FALSE)</f>
        <v>Primary</v>
      </c>
      <c r="G3998" t="str">
        <f>IFERROR(VLOOKUP(E3998, LookUP_Table!$A$1:$B$4, 2, FALSE), "")</f>
        <v>Primary</v>
      </c>
      <c r="H3998">
        <v>0</v>
      </c>
      <c r="I3998">
        <v>0</v>
      </c>
      <c r="J3998" t="str">
        <f t="shared" si="372"/>
        <v>Non-Smoker</v>
      </c>
      <c r="K3998">
        <v>0</v>
      </c>
      <c r="L3998">
        <v>0</v>
      </c>
      <c r="M3998">
        <v>0</v>
      </c>
      <c r="N3998">
        <v>0</v>
      </c>
      <c r="O3998">
        <v>271</v>
      </c>
      <c r="P3998" t="str">
        <f t="shared" si="373"/>
        <v>High</v>
      </c>
      <c r="Q3998">
        <v>134</v>
      </c>
      <c r="R3998">
        <v>79</v>
      </c>
      <c r="S3998">
        <v>24.95</v>
      </c>
      <c r="T3998" t="str">
        <f t="shared" si="374"/>
        <v>Normal</v>
      </c>
      <c r="U3998">
        <v>106</v>
      </c>
      <c r="V3998">
        <v>90</v>
      </c>
      <c r="W3998" t="str">
        <f t="shared" si="377"/>
        <v>Normal</v>
      </c>
      <c r="X3998">
        <v>0</v>
      </c>
    </row>
    <row r="3999" spans="1:24" ht="14.5" thickBot="1" x14ac:dyDescent="0.35">
      <c r="A3999">
        <v>1</v>
      </c>
      <c r="B3999" t="str">
        <f t="shared" si="375"/>
        <v>Male</v>
      </c>
      <c r="C3999" s="8">
        <v>64</v>
      </c>
      <c r="D3999" t="str">
        <f t="shared" si="376"/>
        <v>Senior</v>
      </c>
      <c r="E3999">
        <v>1</v>
      </c>
      <c r="F3999" t="str">
        <f>HLOOKUP(E3999, LookUP_Table!$A$6:$D$7, 2, FALSE)</f>
        <v>Primary</v>
      </c>
      <c r="G3999" t="str">
        <f>IFERROR(VLOOKUP(E3999, LookUP_Table!$A$1:$B$4, 2, FALSE), "")</f>
        <v>Primary</v>
      </c>
      <c r="H3999">
        <v>1</v>
      </c>
      <c r="I3999">
        <v>8</v>
      </c>
      <c r="J3999" t="str">
        <f t="shared" si="372"/>
        <v>Smoker</v>
      </c>
      <c r="K3999">
        <v>0</v>
      </c>
      <c r="L3999">
        <v>0</v>
      </c>
      <c r="M3999">
        <v>0</v>
      </c>
      <c r="N3999">
        <v>0</v>
      </c>
      <c r="O3999">
        <v>211</v>
      </c>
      <c r="P3999" t="str">
        <f t="shared" si="373"/>
        <v>Normal</v>
      </c>
      <c r="Q3999">
        <v>120</v>
      </c>
      <c r="R3999">
        <v>75</v>
      </c>
      <c r="S3999">
        <v>18.7</v>
      </c>
      <c r="T3999" t="str">
        <f t="shared" si="374"/>
        <v>Normal</v>
      </c>
      <c r="U3999">
        <v>52</v>
      </c>
      <c r="V3999">
        <v>61</v>
      </c>
      <c r="W3999" t="str">
        <f t="shared" si="377"/>
        <v>Normal</v>
      </c>
      <c r="X3999">
        <v>0</v>
      </c>
    </row>
    <row r="4000" spans="1:24" ht="14.5" thickBot="1" x14ac:dyDescent="0.35">
      <c r="A4000">
        <v>0</v>
      </c>
      <c r="B4000" t="str">
        <f t="shared" si="375"/>
        <v>Female</v>
      </c>
      <c r="C4000" s="8">
        <v>64</v>
      </c>
      <c r="D4000" t="str">
        <f t="shared" si="376"/>
        <v>Senior</v>
      </c>
      <c r="E4000">
        <v>1</v>
      </c>
      <c r="F4000" t="str">
        <f>HLOOKUP(E4000, LookUP_Table!$A$6:$D$7, 2, FALSE)</f>
        <v>Primary</v>
      </c>
      <c r="G4000" t="str">
        <f>IFERROR(VLOOKUP(E4000, LookUP_Table!$A$1:$B$4, 2, FALSE), "")</f>
        <v>Primary</v>
      </c>
      <c r="H4000">
        <v>0</v>
      </c>
      <c r="I4000">
        <v>0</v>
      </c>
      <c r="J4000" t="str">
        <f t="shared" si="372"/>
        <v>Non-Smoker</v>
      </c>
      <c r="K4000">
        <v>0</v>
      </c>
      <c r="L4000">
        <v>0</v>
      </c>
      <c r="M4000">
        <v>1</v>
      </c>
      <c r="N4000">
        <v>0</v>
      </c>
      <c r="O4000">
        <v>241</v>
      </c>
      <c r="P4000" t="str">
        <f t="shared" si="373"/>
        <v>High</v>
      </c>
      <c r="Q4000">
        <v>144</v>
      </c>
      <c r="R4000">
        <v>84</v>
      </c>
      <c r="S4000">
        <v>30.93</v>
      </c>
      <c r="T4000" t="str">
        <f t="shared" si="374"/>
        <v>Obese</v>
      </c>
      <c r="U4000">
        <v>80</v>
      </c>
      <c r="V4000">
        <v>66</v>
      </c>
      <c r="W4000" t="str">
        <f t="shared" si="377"/>
        <v>Normal</v>
      </c>
      <c r="X4000">
        <v>0</v>
      </c>
    </row>
    <row r="4001" spans="1:24" ht="14.5" thickBot="1" x14ac:dyDescent="0.35">
      <c r="A4001">
        <v>0</v>
      </c>
      <c r="B4001" t="str">
        <f t="shared" si="375"/>
        <v>Female</v>
      </c>
      <c r="C4001" s="8">
        <v>64</v>
      </c>
      <c r="D4001" t="str">
        <f t="shared" si="376"/>
        <v>Senior</v>
      </c>
      <c r="E4001">
        <v>2</v>
      </c>
      <c r="F4001" t="str">
        <f>HLOOKUP(E4001, LookUP_Table!$A$6:$D$7, 2, FALSE)</f>
        <v>Secondary</v>
      </c>
      <c r="G4001" t="str">
        <f>IFERROR(VLOOKUP(E4001, LookUP_Table!$A$1:$B$4, 2, FALSE), "")</f>
        <v>Secondary</v>
      </c>
      <c r="H4001">
        <v>1</v>
      </c>
      <c r="I4001">
        <v>2</v>
      </c>
      <c r="J4001" t="str">
        <f t="shared" si="372"/>
        <v>Smoker</v>
      </c>
      <c r="K4001">
        <v>1</v>
      </c>
      <c r="L4001">
        <v>0</v>
      </c>
      <c r="M4001">
        <v>1</v>
      </c>
      <c r="N4001">
        <v>0</v>
      </c>
      <c r="O4001">
        <v>230</v>
      </c>
      <c r="P4001" t="str">
        <f t="shared" si="373"/>
        <v>Normal</v>
      </c>
      <c r="Q4001">
        <v>177</v>
      </c>
      <c r="R4001">
        <v>110</v>
      </c>
      <c r="S4001">
        <v>28.91</v>
      </c>
      <c r="T4001" t="str">
        <f t="shared" si="374"/>
        <v>Overweight</v>
      </c>
      <c r="U4001">
        <v>90</v>
      </c>
      <c r="V4001">
        <v>113</v>
      </c>
      <c r="W4001" t="str">
        <f t="shared" si="377"/>
        <v>Prediabetes</v>
      </c>
      <c r="X4001">
        <v>0</v>
      </c>
    </row>
    <row r="4002" spans="1:24" ht="14.5" thickBot="1" x14ac:dyDescent="0.35">
      <c r="A4002">
        <v>0</v>
      </c>
      <c r="B4002" t="str">
        <f t="shared" si="375"/>
        <v>Female</v>
      </c>
      <c r="C4002" s="8">
        <v>64</v>
      </c>
      <c r="D4002" t="str">
        <f t="shared" si="376"/>
        <v>Senior</v>
      </c>
      <c r="E4002">
        <v>2</v>
      </c>
      <c r="F4002" t="str">
        <f>HLOOKUP(E4002, LookUP_Table!$A$6:$D$7, 2, FALSE)</f>
        <v>Secondary</v>
      </c>
      <c r="G4002" t="str">
        <f>IFERROR(VLOOKUP(E4002, LookUP_Table!$A$1:$B$4, 2, FALSE), "")</f>
        <v>Secondary</v>
      </c>
      <c r="H4002">
        <v>1</v>
      </c>
      <c r="I4002">
        <v>15</v>
      </c>
      <c r="J4002" t="str">
        <f t="shared" si="372"/>
        <v>Smoker</v>
      </c>
      <c r="K4002">
        <v>0</v>
      </c>
      <c r="L4002">
        <v>0</v>
      </c>
      <c r="M4002">
        <v>1</v>
      </c>
      <c r="N4002">
        <v>0</v>
      </c>
      <c r="O4002">
        <v>283</v>
      </c>
      <c r="P4002" t="str">
        <f t="shared" si="373"/>
        <v>High</v>
      </c>
      <c r="Q4002">
        <v>163</v>
      </c>
      <c r="R4002">
        <v>85</v>
      </c>
      <c r="S4002">
        <v>21.17</v>
      </c>
      <c r="T4002" t="str">
        <f t="shared" si="374"/>
        <v>Normal</v>
      </c>
      <c r="U4002">
        <v>72</v>
      </c>
      <c r="V4002">
        <v>68</v>
      </c>
      <c r="W4002" t="str">
        <f t="shared" si="377"/>
        <v>Normal</v>
      </c>
      <c r="X4002">
        <v>0</v>
      </c>
    </row>
    <row r="4003" spans="1:24" ht="14.5" thickBot="1" x14ac:dyDescent="0.35">
      <c r="A4003">
        <v>0</v>
      </c>
      <c r="B4003" t="str">
        <f t="shared" si="375"/>
        <v>Female</v>
      </c>
      <c r="C4003" s="8">
        <v>64</v>
      </c>
      <c r="D4003" t="str">
        <f t="shared" si="376"/>
        <v>Senior</v>
      </c>
      <c r="E4003">
        <v>1</v>
      </c>
      <c r="F4003" t="str">
        <f>HLOOKUP(E4003, LookUP_Table!$A$6:$D$7, 2, FALSE)</f>
        <v>Primary</v>
      </c>
      <c r="G4003" t="str">
        <f>IFERROR(VLOOKUP(E4003, LookUP_Table!$A$1:$B$4, 2, FALSE), "")</f>
        <v>Primary</v>
      </c>
      <c r="H4003">
        <v>0</v>
      </c>
      <c r="I4003">
        <v>0</v>
      </c>
      <c r="J4003" t="str">
        <f t="shared" si="372"/>
        <v>Non-Smoker</v>
      </c>
      <c r="K4003">
        <v>0</v>
      </c>
      <c r="L4003">
        <v>0</v>
      </c>
      <c r="M4003">
        <v>1</v>
      </c>
      <c r="N4003">
        <v>0</v>
      </c>
      <c r="O4003">
        <v>255</v>
      </c>
      <c r="P4003" t="str">
        <f t="shared" si="373"/>
        <v>High</v>
      </c>
      <c r="Q4003">
        <v>153</v>
      </c>
      <c r="R4003">
        <v>75</v>
      </c>
      <c r="S4003">
        <v>23.39</v>
      </c>
      <c r="T4003" t="str">
        <f t="shared" si="374"/>
        <v>Normal</v>
      </c>
      <c r="U4003">
        <v>60</v>
      </c>
      <c r="V4003">
        <v>74</v>
      </c>
      <c r="W4003" t="str">
        <f t="shared" si="377"/>
        <v>Normal</v>
      </c>
      <c r="X4003">
        <v>1</v>
      </c>
    </row>
    <row r="4004" spans="1:24" ht="14.5" thickBot="1" x14ac:dyDescent="0.35">
      <c r="A4004">
        <v>0</v>
      </c>
      <c r="B4004" t="str">
        <f t="shared" si="375"/>
        <v>Female</v>
      </c>
      <c r="C4004" s="8">
        <v>64</v>
      </c>
      <c r="D4004" t="str">
        <f t="shared" si="376"/>
        <v>Senior</v>
      </c>
      <c r="E4004">
        <v>1</v>
      </c>
      <c r="F4004" t="str">
        <f>HLOOKUP(E4004, LookUP_Table!$A$6:$D$7, 2, FALSE)</f>
        <v>Primary</v>
      </c>
      <c r="G4004" t="str">
        <f>IFERROR(VLOOKUP(E4004, LookUP_Table!$A$1:$B$4, 2, FALSE), "")</f>
        <v>Primary</v>
      </c>
      <c r="H4004">
        <v>0</v>
      </c>
      <c r="I4004">
        <v>0</v>
      </c>
      <c r="J4004" t="str">
        <f t="shared" si="372"/>
        <v>Non-Smoker</v>
      </c>
      <c r="K4004">
        <v>0</v>
      </c>
      <c r="L4004">
        <v>0</v>
      </c>
      <c r="M4004">
        <v>1</v>
      </c>
      <c r="N4004">
        <v>0</v>
      </c>
      <c r="O4004">
        <v>194</v>
      </c>
      <c r="P4004" t="str">
        <f t="shared" si="373"/>
        <v>Normal</v>
      </c>
      <c r="Q4004">
        <v>176</v>
      </c>
      <c r="R4004">
        <v>97</v>
      </c>
      <c r="S4004">
        <v>33.19</v>
      </c>
      <c r="T4004" t="str">
        <f t="shared" si="374"/>
        <v>Obese</v>
      </c>
      <c r="U4004">
        <v>68</v>
      </c>
      <c r="V4004">
        <v>89</v>
      </c>
      <c r="W4004" t="str">
        <f t="shared" si="377"/>
        <v>Normal</v>
      </c>
      <c r="X4004">
        <v>1</v>
      </c>
    </row>
    <row r="4005" spans="1:24" ht="14.5" thickBot="1" x14ac:dyDescent="0.35">
      <c r="A4005">
        <v>1</v>
      </c>
      <c r="B4005" t="str">
        <f t="shared" si="375"/>
        <v>Male</v>
      </c>
      <c r="C4005" s="8">
        <v>64</v>
      </c>
      <c r="D4005" t="str">
        <f t="shared" si="376"/>
        <v>Senior</v>
      </c>
      <c r="E4005">
        <v>4</v>
      </c>
      <c r="F4005" t="str">
        <f>HLOOKUP(E4005, LookUP_Table!$A$6:$D$7, 2, FALSE)</f>
        <v>Post Graduate</v>
      </c>
      <c r="G4005" t="str">
        <f>IFERROR(VLOOKUP(E4005, LookUP_Table!$A$1:$B$4, 2, FALSE), "")</f>
        <v>Post Graduate</v>
      </c>
      <c r="H4005">
        <v>0</v>
      </c>
      <c r="I4005">
        <v>0</v>
      </c>
      <c r="J4005" t="str">
        <f t="shared" si="372"/>
        <v>Non-Smoker</v>
      </c>
      <c r="K4005">
        <v>0</v>
      </c>
      <c r="L4005">
        <v>0</v>
      </c>
      <c r="M4005">
        <v>0</v>
      </c>
      <c r="N4005">
        <v>0</v>
      </c>
      <c r="O4005">
        <v>273</v>
      </c>
      <c r="P4005" t="str">
        <f t="shared" si="373"/>
        <v>High</v>
      </c>
      <c r="Q4005">
        <v>123</v>
      </c>
      <c r="R4005">
        <v>73.5</v>
      </c>
      <c r="S4005">
        <v>22.3</v>
      </c>
      <c r="T4005" t="str">
        <f t="shared" si="374"/>
        <v>Normal</v>
      </c>
      <c r="U4005">
        <v>75</v>
      </c>
      <c r="V4005">
        <v>84</v>
      </c>
      <c r="W4005" t="str">
        <f t="shared" si="377"/>
        <v>Normal</v>
      </c>
      <c r="X4005">
        <v>1</v>
      </c>
    </row>
    <row r="4006" spans="1:24" ht="14.5" thickBot="1" x14ac:dyDescent="0.35">
      <c r="A4006">
        <v>1</v>
      </c>
      <c r="B4006" t="str">
        <f t="shared" si="375"/>
        <v>Male</v>
      </c>
      <c r="C4006" s="8">
        <v>64</v>
      </c>
      <c r="D4006" t="str">
        <f t="shared" si="376"/>
        <v>Senior</v>
      </c>
      <c r="E4006">
        <v>2</v>
      </c>
      <c r="F4006" t="str">
        <f>HLOOKUP(E4006, LookUP_Table!$A$6:$D$7, 2, FALSE)</f>
        <v>Secondary</v>
      </c>
      <c r="G4006" t="str">
        <f>IFERROR(VLOOKUP(E4006, LookUP_Table!$A$1:$B$4, 2, FALSE), "")</f>
        <v>Secondary</v>
      </c>
      <c r="H4006">
        <v>1</v>
      </c>
      <c r="I4006">
        <v>40</v>
      </c>
      <c r="J4006" t="str">
        <f t="shared" si="372"/>
        <v>Smoker</v>
      </c>
      <c r="K4006">
        <v>0</v>
      </c>
      <c r="L4006">
        <v>0</v>
      </c>
      <c r="M4006">
        <v>0</v>
      </c>
      <c r="N4006">
        <v>0</v>
      </c>
      <c r="O4006">
        <v>206</v>
      </c>
      <c r="P4006" t="str">
        <f t="shared" si="373"/>
        <v>Normal</v>
      </c>
      <c r="Q4006">
        <v>126</v>
      </c>
      <c r="R4006">
        <v>82</v>
      </c>
      <c r="S4006">
        <v>24.35</v>
      </c>
      <c r="T4006" t="str">
        <f t="shared" si="374"/>
        <v>Normal</v>
      </c>
      <c r="U4006">
        <v>95</v>
      </c>
      <c r="V4006">
        <v>97</v>
      </c>
      <c r="W4006" t="str">
        <f t="shared" si="377"/>
        <v>Normal</v>
      </c>
      <c r="X4006">
        <v>0</v>
      </c>
    </row>
    <row r="4007" spans="1:24" ht="14.5" thickBot="1" x14ac:dyDescent="0.35">
      <c r="A4007">
        <v>1</v>
      </c>
      <c r="B4007" t="str">
        <f t="shared" si="375"/>
        <v>Male</v>
      </c>
      <c r="C4007" s="8">
        <v>64</v>
      </c>
      <c r="D4007" t="str">
        <f t="shared" si="376"/>
        <v>Senior</v>
      </c>
      <c r="E4007">
        <v>1</v>
      </c>
      <c r="F4007" t="str">
        <f>HLOOKUP(E4007, LookUP_Table!$A$6:$D$7, 2, FALSE)</f>
        <v>Primary</v>
      </c>
      <c r="G4007" t="str">
        <f>IFERROR(VLOOKUP(E4007, LookUP_Table!$A$1:$B$4, 2, FALSE), "")</f>
        <v>Primary</v>
      </c>
      <c r="H4007">
        <v>0</v>
      </c>
      <c r="I4007">
        <v>0</v>
      </c>
      <c r="J4007" t="str">
        <f t="shared" si="372"/>
        <v>Non-Smoker</v>
      </c>
      <c r="K4007">
        <v>0</v>
      </c>
      <c r="L4007">
        <v>0</v>
      </c>
      <c r="M4007">
        <v>1</v>
      </c>
      <c r="N4007">
        <v>0</v>
      </c>
      <c r="O4007">
        <v>205</v>
      </c>
      <c r="P4007" t="str">
        <f t="shared" si="373"/>
        <v>Normal</v>
      </c>
      <c r="Q4007">
        <v>140</v>
      </c>
      <c r="R4007">
        <v>80</v>
      </c>
      <c r="S4007">
        <v>32.520000000000003</v>
      </c>
      <c r="T4007" t="str">
        <f t="shared" si="374"/>
        <v>Obese</v>
      </c>
      <c r="U4007">
        <v>58</v>
      </c>
      <c r="V4007">
        <v>81.96365524402907</v>
      </c>
      <c r="W4007" t="str">
        <f t="shared" si="377"/>
        <v>Normal</v>
      </c>
      <c r="X4007">
        <v>0</v>
      </c>
    </row>
    <row r="4008" spans="1:24" ht="14.5" thickBot="1" x14ac:dyDescent="0.35">
      <c r="A4008">
        <v>1</v>
      </c>
      <c r="B4008" t="str">
        <f t="shared" si="375"/>
        <v>Male</v>
      </c>
      <c r="C4008" s="8">
        <v>64</v>
      </c>
      <c r="D4008" t="str">
        <f t="shared" si="376"/>
        <v>Senior</v>
      </c>
      <c r="E4008">
        <v>1</v>
      </c>
      <c r="F4008" t="str">
        <f>HLOOKUP(E4008, LookUP_Table!$A$6:$D$7, 2, FALSE)</f>
        <v>Primary</v>
      </c>
      <c r="G4008" t="str">
        <f>IFERROR(VLOOKUP(E4008, LookUP_Table!$A$1:$B$4, 2, FALSE), "")</f>
        <v>Primary</v>
      </c>
      <c r="H4008">
        <v>0</v>
      </c>
      <c r="I4008">
        <v>0</v>
      </c>
      <c r="J4008" t="str">
        <f t="shared" si="372"/>
        <v>Non-Smoker</v>
      </c>
      <c r="K4008">
        <v>0</v>
      </c>
      <c r="L4008">
        <v>0</v>
      </c>
      <c r="M4008">
        <v>0</v>
      </c>
      <c r="N4008">
        <v>0</v>
      </c>
      <c r="O4008">
        <v>239</v>
      </c>
      <c r="P4008" t="str">
        <f t="shared" si="373"/>
        <v>Normal</v>
      </c>
      <c r="Q4008">
        <v>110</v>
      </c>
      <c r="R4008">
        <v>70</v>
      </c>
      <c r="S4008">
        <v>23.98</v>
      </c>
      <c r="T4008" t="str">
        <f t="shared" si="374"/>
        <v>Normal</v>
      </c>
      <c r="U4008">
        <v>65</v>
      </c>
      <c r="V4008">
        <v>83</v>
      </c>
      <c r="W4008" t="str">
        <f t="shared" si="377"/>
        <v>Normal</v>
      </c>
      <c r="X4008">
        <v>0</v>
      </c>
    </row>
    <row r="4009" spans="1:24" ht="14.5" thickBot="1" x14ac:dyDescent="0.35">
      <c r="A4009">
        <v>0</v>
      </c>
      <c r="B4009" t="str">
        <f t="shared" si="375"/>
        <v>Female</v>
      </c>
      <c r="C4009" s="8">
        <v>64</v>
      </c>
      <c r="D4009" t="str">
        <f t="shared" si="376"/>
        <v>Senior</v>
      </c>
      <c r="E4009">
        <v>1</v>
      </c>
      <c r="F4009" t="str">
        <f>HLOOKUP(E4009, LookUP_Table!$A$6:$D$7, 2, FALSE)</f>
        <v>Primary</v>
      </c>
      <c r="G4009" t="str">
        <f>IFERROR(VLOOKUP(E4009, LookUP_Table!$A$1:$B$4, 2, FALSE), "")</f>
        <v>Primary</v>
      </c>
      <c r="H4009">
        <v>0</v>
      </c>
      <c r="I4009">
        <v>0</v>
      </c>
      <c r="J4009" t="str">
        <f t="shared" si="372"/>
        <v>Non-Smoker</v>
      </c>
      <c r="K4009">
        <v>0</v>
      </c>
      <c r="L4009">
        <v>0</v>
      </c>
      <c r="M4009">
        <v>1</v>
      </c>
      <c r="N4009">
        <v>0</v>
      </c>
      <c r="O4009">
        <v>239</v>
      </c>
      <c r="P4009" t="str">
        <f t="shared" si="373"/>
        <v>Normal</v>
      </c>
      <c r="Q4009">
        <v>132</v>
      </c>
      <c r="R4009">
        <v>75</v>
      </c>
      <c r="S4009">
        <v>20.67</v>
      </c>
      <c r="T4009" t="str">
        <f t="shared" si="374"/>
        <v>Normal</v>
      </c>
      <c r="U4009">
        <v>86</v>
      </c>
      <c r="V4009">
        <v>80</v>
      </c>
      <c r="W4009" t="str">
        <f t="shared" si="377"/>
        <v>Normal</v>
      </c>
      <c r="X4009">
        <v>0</v>
      </c>
    </row>
    <row r="4010" spans="1:24" ht="14.5" thickBot="1" x14ac:dyDescent="0.35">
      <c r="A4010">
        <v>0</v>
      </c>
      <c r="B4010" t="str">
        <f t="shared" si="375"/>
        <v>Female</v>
      </c>
      <c r="C4010" s="8">
        <v>64</v>
      </c>
      <c r="D4010" t="str">
        <f t="shared" si="376"/>
        <v>Senior</v>
      </c>
      <c r="E4010">
        <v>1</v>
      </c>
      <c r="F4010" t="str">
        <f>HLOOKUP(E4010, LookUP_Table!$A$6:$D$7, 2, FALSE)</f>
        <v>Primary</v>
      </c>
      <c r="G4010" t="str">
        <f>IFERROR(VLOOKUP(E4010, LookUP_Table!$A$1:$B$4, 2, FALSE), "")</f>
        <v>Primary</v>
      </c>
      <c r="H4010">
        <v>0</v>
      </c>
      <c r="I4010">
        <v>0</v>
      </c>
      <c r="J4010" t="str">
        <f t="shared" si="372"/>
        <v>Non-Smoker</v>
      </c>
      <c r="K4010">
        <v>0</v>
      </c>
      <c r="L4010">
        <v>0</v>
      </c>
      <c r="M4010">
        <v>1</v>
      </c>
      <c r="N4010">
        <v>0</v>
      </c>
      <c r="O4010">
        <v>205</v>
      </c>
      <c r="P4010" t="str">
        <f t="shared" si="373"/>
        <v>Normal</v>
      </c>
      <c r="Q4010">
        <v>139</v>
      </c>
      <c r="R4010">
        <v>92</v>
      </c>
      <c r="S4010">
        <v>32.32</v>
      </c>
      <c r="T4010" t="str">
        <f t="shared" si="374"/>
        <v>Obese</v>
      </c>
      <c r="U4010">
        <v>70</v>
      </c>
      <c r="V4010">
        <v>90</v>
      </c>
      <c r="W4010" t="str">
        <f t="shared" si="377"/>
        <v>Normal</v>
      </c>
      <c r="X4010">
        <v>0</v>
      </c>
    </row>
    <row r="4011" spans="1:24" ht="14.5" thickBot="1" x14ac:dyDescent="0.35">
      <c r="A4011">
        <v>0</v>
      </c>
      <c r="B4011" t="str">
        <f t="shared" si="375"/>
        <v>Female</v>
      </c>
      <c r="C4011" s="8">
        <v>64</v>
      </c>
      <c r="D4011" t="str">
        <f t="shared" si="376"/>
        <v>Senior</v>
      </c>
      <c r="E4011">
        <v>1</v>
      </c>
      <c r="F4011" t="str">
        <f>HLOOKUP(E4011, LookUP_Table!$A$6:$D$7, 2, FALSE)</f>
        <v>Primary</v>
      </c>
      <c r="G4011" t="str">
        <f>IFERROR(VLOOKUP(E4011, LookUP_Table!$A$1:$B$4, 2, FALSE), "")</f>
        <v>Primary</v>
      </c>
      <c r="H4011">
        <v>0</v>
      </c>
      <c r="I4011">
        <v>0</v>
      </c>
      <c r="J4011" t="str">
        <f t="shared" si="372"/>
        <v>Non-Smoker</v>
      </c>
      <c r="K4011">
        <v>0</v>
      </c>
      <c r="L4011">
        <v>0</v>
      </c>
      <c r="M4011">
        <v>1</v>
      </c>
      <c r="N4011">
        <v>0</v>
      </c>
      <c r="O4011">
        <v>263</v>
      </c>
      <c r="P4011" t="str">
        <f t="shared" si="373"/>
        <v>High</v>
      </c>
      <c r="Q4011">
        <v>206</v>
      </c>
      <c r="R4011">
        <v>104</v>
      </c>
      <c r="S4011">
        <v>26.15</v>
      </c>
      <c r="T4011" t="str">
        <f t="shared" si="374"/>
        <v>Overweight</v>
      </c>
      <c r="U4011">
        <v>70</v>
      </c>
      <c r="V4011">
        <v>91</v>
      </c>
      <c r="W4011" t="str">
        <f t="shared" si="377"/>
        <v>Normal</v>
      </c>
      <c r="X4011">
        <v>0</v>
      </c>
    </row>
    <row r="4012" spans="1:24" ht="14.5" thickBot="1" x14ac:dyDescent="0.35">
      <c r="A4012">
        <v>1</v>
      </c>
      <c r="B4012" t="str">
        <f t="shared" si="375"/>
        <v>Male</v>
      </c>
      <c r="C4012" s="8">
        <v>64</v>
      </c>
      <c r="D4012" t="str">
        <f t="shared" si="376"/>
        <v>Senior</v>
      </c>
      <c r="E4012">
        <v>4</v>
      </c>
      <c r="F4012" t="str">
        <f>HLOOKUP(E4012, LookUP_Table!$A$6:$D$7, 2, FALSE)</f>
        <v>Post Graduate</v>
      </c>
      <c r="G4012" t="str">
        <f>IFERROR(VLOOKUP(E4012, LookUP_Table!$A$1:$B$4, 2, FALSE), "")</f>
        <v>Post Graduate</v>
      </c>
      <c r="H4012">
        <v>0</v>
      </c>
      <c r="I4012">
        <v>0</v>
      </c>
      <c r="J4012" t="str">
        <f t="shared" si="372"/>
        <v>Non-Smoker</v>
      </c>
      <c r="K4012">
        <v>0</v>
      </c>
      <c r="L4012">
        <v>0</v>
      </c>
      <c r="M4012">
        <v>0</v>
      </c>
      <c r="N4012">
        <v>1</v>
      </c>
      <c r="O4012">
        <v>251</v>
      </c>
      <c r="P4012" t="str">
        <f t="shared" si="373"/>
        <v>High</v>
      </c>
      <c r="Q4012">
        <v>133</v>
      </c>
      <c r="R4012">
        <v>72.5</v>
      </c>
      <c r="S4012">
        <v>24.28</v>
      </c>
      <c r="T4012" t="str">
        <f t="shared" si="374"/>
        <v>Normal</v>
      </c>
      <c r="U4012">
        <v>65</v>
      </c>
      <c r="V4012">
        <v>86</v>
      </c>
      <c r="W4012" t="str">
        <f t="shared" si="377"/>
        <v>Normal</v>
      </c>
      <c r="X4012">
        <v>0</v>
      </c>
    </row>
    <row r="4013" spans="1:24" ht="14.5" thickBot="1" x14ac:dyDescent="0.35">
      <c r="A4013">
        <v>0</v>
      </c>
      <c r="B4013" t="str">
        <f t="shared" si="375"/>
        <v>Female</v>
      </c>
      <c r="C4013" s="8">
        <v>64</v>
      </c>
      <c r="D4013" t="str">
        <f t="shared" si="376"/>
        <v>Senior</v>
      </c>
      <c r="E4013">
        <v>2</v>
      </c>
      <c r="F4013" t="str">
        <f>HLOOKUP(E4013, LookUP_Table!$A$6:$D$7, 2, FALSE)</f>
        <v>Secondary</v>
      </c>
      <c r="G4013" t="str">
        <f>IFERROR(VLOOKUP(E4013, LookUP_Table!$A$1:$B$4, 2, FALSE), "")</f>
        <v>Secondary</v>
      </c>
      <c r="H4013">
        <v>0</v>
      </c>
      <c r="I4013">
        <v>0</v>
      </c>
      <c r="J4013" t="str">
        <f t="shared" si="372"/>
        <v>Non-Smoker</v>
      </c>
      <c r="K4013">
        <v>0</v>
      </c>
      <c r="L4013">
        <v>0</v>
      </c>
      <c r="M4013">
        <v>1</v>
      </c>
      <c r="N4013">
        <v>0</v>
      </c>
      <c r="O4013">
        <v>293</v>
      </c>
      <c r="P4013" t="str">
        <f t="shared" si="373"/>
        <v>High</v>
      </c>
      <c r="Q4013">
        <v>140</v>
      </c>
      <c r="R4013">
        <v>84</v>
      </c>
      <c r="S4013">
        <v>34.56</v>
      </c>
      <c r="T4013" t="str">
        <f t="shared" si="374"/>
        <v>Obese</v>
      </c>
      <c r="U4013">
        <v>83</v>
      </c>
      <c r="V4013">
        <v>76</v>
      </c>
      <c r="W4013" t="str">
        <f t="shared" si="377"/>
        <v>Normal</v>
      </c>
      <c r="X4013">
        <v>0</v>
      </c>
    </row>
    <row r="4014" spans="1:24" ht="14.5" thickBot="1" x14ac:dyDescent="0.35">
      <c r="A4014">
        <v>0</v>
      </c>
      <c r="B4014" t="str">
        <f t="shared" si="375"/>
        <v>Female</v>
      </c>
      <c r="C4014" s="8">
        <v>64</v>
      </c>
      <c r="D4014" t="str">
        <f t="shared" si="376"/>
        <v>Senior</v>
      </c>
      <c r="E4014">
        <v>1</v>
      </c>
      <c r="F4014" t="str">
        <f>HLOOKUP(E4014, LookUP_Table!$A$6:$D$7, 2, FALSE)</f>
        <v>Primary</v>
      </c>
      <c r="G4014" t="str">
        <f>IFERROR(VLOOKUP(E4014, LookUP_Table!$A$1:$B$4, 2, FALSE), "")</f>
        <v>Primary</v>
      </c>
      <c r="H4014">
        <v>0</v>
      </c>
      <c r="I4014">
        <v>0</v>
      </c>
      <c r="J4014" t="str">
        <f t="shared" si="372"/>
        <v>Non-Smoker</v>
      </c>
      <c r="K4014">
        <v>0</v>
      </c>
      <c r="L4014">
        <v>0</v>
      </c>
      <c r="M4014">
        <v>0</v>
      </c>
      <c r="N4014">
        <v>0</v>
      </c>
      <c r="O4014">
        <v>262</v>
      </c>
      <c r="P4014" t="str">
        <f t="shared" si="373"/>
        <v>High</v>
      </c>
      <c r="Q4014">
        <v>122</v>
      </c>
      <c r="R4014">
        <v>87.5</v>
      </c>
      <c r="S4014">
        <v>24.77</v>
      </c>
      <c r="T4014" t="str">
        <f t="shared" si="374"/>
        <v>Normal</v>
      </c>
      <c r="U4014">
        <v>95</v>
      </c>
      <c r="V4014">
        <v>85</v>
      </c>
      <c r="W4014" t="str">
        <f t="shared" si="377"/>
        <v>Normal</v>
      </c>
      <c r="X4014">
        <v>0</v>
      </c>
    </row>
    <row r="4015" spans="1:24" ht="14.5" thickBot="1" x14ac:dyDescent="0.35">
      <c r="A4015">
        <v>0</v>
      </c>
      <c r="B4015" t="str">
        <f t="shared" si="375"/>
        <v>Female</v>
      </c>
      <c r="C4015" s="8">
        <v>64</v>
      </c>
      <c r="D4015" t="str">
        <f t="shared" si="376"/>
        <v>Senior</v>
      </c>
      <c r="E4015">
        <v>3</v>
      </c>
      <c r="F4015" t="str">
        <f>HLOOKUP(E4015, LookUP_Table!$A$6:$D$7, 2, FALSE)</f>
        <v>Graduate</v>
      </c>
      <c r="G4015" t="str">
        <f>IFERROR(VLOOKUP(E4015, LookUP_Table!$A$1:$B$4, 2, FALSE), "")</f>
        <v>Graduate</v>
      </c>
      <c r="H4015">
        <v>0</v>
      </c>
      <c r="I4015">
        <v>0</v>
      </c>
      <c r="J4015" t="str">
        <f t="shared" si="372"/>
        <v>Non-Smoker</v>
      </c>
      <c r="K4015">
        <v>0</v>
      </c>
      <c r="L4015">
        <v>0</v>
      </c>
      <c r="M4015">
        <v>1</v>
      </c>
      <c r="N4015">
        <v>0</v>
      </c>
      <c r="O4015">
        <v>196</v>
      </c>
      <c r="P4015" t="str">
        <f t="shared" si="373"/>
        <v>Normal</v>
      </c>
      <c r="Q4015">
        <v>150</v>
      </c>
      <c r="R4015">
        <v>84</v>
      </c>
      <c r="S4015">
        <v>25.98</v>
      </c>
      <c r="T4015" t="str">
        <f t="shared" si="374"/>
        <v>Overweight</v>
      </c>
      <c r="U4015">
        <v>60</v>
      </c>
      <c r="V4015">
        <v>93</v>
      </c>
      <c r="W4015" t="str">
        <f t="shared" si="377"/>
        <v>Normal</v>
      </c>
      <c r="X4015">
        <v>0</v>
      </c>
    </row>
    <row r="4016" spans="1:24" ht="14.5" thickBot="1" x14ac:dyDescent="0.35">
      <c r="A4016">
        <v>0</v>
      </c>
      <c r="B4016" t="str">
        <f t="shared" si="375"/>
        <v>Female</v>
      </c>
      <c r="C4016" s="8">
        <v>64</v>
      </c>
      <c r="D4016" t="str">
        <f t="shared" si="376"/>
        <v>Senior</v>
      </c>
      <c r="E4016">
        <v>2</v>
      </c>
      <c r="F4016" t="str">
        <f>HLOOKUP(E4016, LookUP_Table!$A$6:$D$7, 2, FALSE)</f>
        <v>Secondary</v>
      </c>
      <c r="G4016" t="str">
        <f>IFERROR(VLOOKUP(E4016, LookUP_Table!$A$1:$B$4, 2, FALSE), "")</f>
        <v>Secondary</v>
      </c>
      <c r="H4016">
        <v>1</v>
      </c>
      <c r="I4016">
        <v>3</v>
      </c>
      <c r="J4016" t="str">
        <f t="shared" si="372"/>
        <v>Smoker</v>
      </c>
      <c r="K4016">
        <v>0</v>
      </c>
      <c r="L4016">
        <v>0</v>
      </c>
      <c r="M4016">
        <v>0</v>
      </c>
      <c r="N4016">
        <v>0</v>
      </c>
      <c r="O4016">
        <v>221</v>
      </c>
      <c r="P4016" t="str">
        <f t="shared" si="373"/>
        <v>Normal</v>
      </c>
      <c r="Q4016">
        <v>148</v>
      </c>
      <c r="R4016">
        <v>85</v>
      </c>
      <c r="S4016">
        <v>25.80080075811421</v>
      </c>
      <c r="T4016" t="str">
        <f t="shared" si="374"/>
        <v>Overweight</v>
      </c>
      <c r="U4016">
        <v>90</v>
      </c>
      <c r="V4016">
        <v>80</v>
      </c>
      <c r="W4016" t="str">
        <f t="shared" si="377"/>
        <v>Normal</v>
      </c>
      <c r="X4016">
        <v>1</v>
      </c>
    </row>
    <row r="4017" spans="1:24" ht="14.5" thickBot="1" x14ac:dyDescent="0.35">
      <c r="A4017">
        <v>0</v>
      </c>
      <c r="B4017" t="str">
        <f t="shared" si="375"/>
        <v>Female</v>
      </c>
      <c r="C4017" s="8">
        <v>64</v>
      </c>
      <c r="D4017" t="str">
        <f t="shared" si="376"/>
        <v>Senior</v>
      </c>
      <c r="E4017">
        <v>2</v>
      </c>
      <c r="F4017" t="str">
        <f>HLOOKUP(E4017, LookUP_Table!$A$6:$D$7, 2, FALSE)</f>
        <v>Secondary</v>
      </c>
      <c r="G4017" t="str">
        <f>IFERROR(VLOOKUP(E4017, LookUP_Table!$A$1:$B$4, 2, FALSE), "")</f>
        <v>Secondary</v>
      </c>
      <c r="H4017">
        <v>1</v>
      </c>
      <c r="I4017">
        <v>3</v>
      </c>
      <c r="J4017" t="str">
        <f t="shared" si="372"/>
        <v>Smoker</v>
      </c>
      <c r="K4017">
        <v>0</v>
      </c>
      <c r="L4017">
        <v>0</v>
      </c>
      <c r="M4017">
        <v>0</v>
      </c>
      <c r="N4017">
        <v>0</v>
      </c>
      <c r="O4017">
        <v>315</v>
      </c>
      <c r="P4017" t="str">
        <f t="shared" si="373"/>
        <v>High</v>
      </c>
      <c r="Q4017">
        <v>135</v>
      </c>
      <c r="R4017">
        <v>80</v>
      </c>
      <c r="S4017">
        <v>25.23</v>
      </c>
      <c r="T4017" t="str">
        <f t="shared" si="374"/>
        <v>Overweight</v>
      </c>
      <c r="U4017">
        <v>103</v>
      </c>
      <c r="V4017">
        <v>89</v>
      </c>
      <c r="W4017" t="str">
        <f t="shared" si="377"/>
        <v>Normal</v>
      </c>
      <c r="X4017">
        <v>0</v>
      </c>
    </row>
    <row r="4018" spans="1:24" ht="14.5" thickBot="1" x14ac:dyDescent="0.35">
      <c r="A4018">
        <v>0</v>
      </c>
      <c r="B4018" t="str">
        <f t="shared" si="375"/>
        <v>Female</v>
      </c>
      <c r="C4018" s="8">
        <v>64</v>
      </c>
      <c r="D4018" t="str">
        <f t="shared" si="376"/>
        <v>Senior</v>
      </c>
      <c r="E4018">
        <v>1</v>
      </c>
      <c r="F4018" t="str">
        <f>HLOOKUP(E4018, LookUP_Table!$A$6:$D$7, 2, FALSE)</f>
        <v>Primary</v>
      </c>
      <c r="G4018" t="str">
        <f>IFERROR(VLOOKUP(E4018, LookUP_Table!$A$1:$B$4, 2, FALSE), "")</f>
        <v>Primary</v>
      </c>
      <c r="H4018">
        <v>0</v>
      </c>
      <c r="I4018">
        <v>0</v>
      </c>
      <c r="J4018" t="str">
        <f t="shared" si="372"/>
        <v>Non-Smoker</v>
      </c>
      <c r="K4018">
        <v>0</v>
      </c>
      <c r="L4018">
        <v>0</v>
      </c>
      <c r="M4018">
        <v>0</v>
      </c>
      <c r="N4018">
        <v>0</v>
      </c>
      <c r="O4018">
        <v>280</v>
      </c>
      <c r="P4018" t="str">
        <f t="shared" si="373"/>
        <v>High</v>
      </c>
      <c r="Q4018">
        <v>127</v>
      </c>
      <c r="R4018">
        <v>77</v>
      </c>
      <c r="S4018">
        <v>30.39</v>
      </c>
      <c r="T4018" t="str">
        <f t="shared" si="374"/>
        <v>Obese</v>
      </c>
      <c r="U4018">
        <v>56</v>
      </c>
      <c r="V4018">
        <v>78</v>
      </c>
      <c r="W4018" t="str">
        <f t="shared" si="377"/>
        <v>Normal</v>
      </c>
      <c r="X4018">
        <v>1</v>
      </c>
    </row>
    <row r="4019" spans="1:24" ht="14.5" thickBot="1" x14ac:dyDescent="0.35">
      <c r="A4019">
        <v>1</v>
      </c>
      <c r="B4019" t="str">
        <f t="shared" si="375"/>
        <v>Male</v>
      </c>
      <c r="C4019" s="8">
        <v>64</v>
      </c>
      <c r="D4019" t="str">
        <f t="shared" si="376"/>
        <v>Senior</v>
      </c>
      <c r="E4019">
        <v>1</v>
      </c>
      <c r="F4019" t="str">
        <f>HLOOKUP(E4019, LookUP_Table!$A$6:$D$7, 2, FALSE)</f>
        <v>Primary</v>
      </c>
      <c r="G4019" t="str">
        <f>IFERROR(VLOOKUP(E4019, LookUP_Table!$A$1:$B$4, 2, FALSE), "")</f>
        <v>Primary</v>
      </c>
      <c r="H4019">
        <v>1</v>
      </c>
      <c r="I4019">
        <v>30</v>
      </c>
      <c r="J4019" t="str">
        <f t="shared" si="372"/>
        <v>Smoker</v>
      </c>
      <c r="K4019">
        <v>0</v>
      </c>
      <c r="L4019">
        <v>0</v>
      </c>
      <c r="M4019">
        <v>1</v>
      </c>
      <c r="N4019">
        <v>0</v>
      </c>
      <c r="O4019">
        <v>253</v>
      </c>
      <c r="P4019" t="str">
        <f t="shared" si="373"/>
        <v>High</v>
      </c>
      <c r="Q4019">
        <v>178</v>
      </c>
      <c r="R4019">
        <v>106</v>
      </c>
      <c r="S4019">
        <v>24.68</v>
      </c>
      <c r="T4019" t="str">
        <f t="shared" si="374"/>
        <v>Normal</v>
      </c>
      <c r="U4019">
        <v>100</v>
      </c>
      <c r="V4019">
        <v>76</v>
      </c>
      <c r="W4019" t="str">
        <f t="shared" si="377"/>
        <v>Normal</v>
      </c>
      <c r="X4019">
        <v>1</v>
      </c>
    </row>
    <row r="4020" spans="1:24" ht="14.5" thickBot="1" x14ac:dyDescent="0.35">
      <c r="A4020">
        <v>1</v>
      </c>
      <c r="B4020" t="str">
        <f t="shared" si="375"/>
        <v>Male</v>
      </c>
      <c r="C4020" s="8">
        <v>64</v>
      </c>
      <c r="D4020" t="str">
        <f t="shared" si="376"/>
        <v>Senior</v>
      </c>
      <c r="E4020">
        <v>1</v>
      </c>
      <c r="F4020" t="str">
        <f>HLOOKUP(E4020, LookUP_Table!$A$6:$D$7, 2, FALSE)</f>
        <v>Primary</v>
      </c>
      <c r="G4020" t="str">
        <f>IFERROR(VLOOKUP(E4020, LookUP_Table!$A$1:$B$4, 2, FALSE), "")</f>
        <v>Primary</v>
      </c>
      <c r="H4020">
        <v>1</v>
      </c>
      <c r="I4020">
        <v>20</v>
      </c>
      <c r="J4020" t="str">
        <f t="shared" si="372"/>
        <v>Smoker</v>
      </c>
      <c r="K4020">
        <v>0</v>
      </c>
      <c r="L4020">
        <v>0</v>
      </c>
      <c r="M4020">
        <v>0</v>
      </c>
      <c r="N4020">
        <v>0</v>
      </c>
      <c r="O4020">
        <v>214</v>
      </c>
      <c r="P4020" t="str">
        <f t="shared" si="373"/>
        <v>Normal</v>
      </c>
      <c r="Q4020">
        <v>116</v>
      </c>
      <c r="R4020">
        <v>77</v>
      </c>
      <c r="S4020">
        <v>22.48</v>
      </c>
      <c r="T4020" t="str">
        <f t="shared" si="374"/>
        <v>Normal</v>
      </c>
      <c r="U4020">
        <v>72</v>
      </c>
      <c r="V4020">
        <v>71</v>
      </c>
      <c r="W4020" t="str">
        <f t="shared" si="377"/>
        <v>Normal</v>
      </c>
      <c r="X4020">
        <v>0</v>
      </c>
    </row>
    <row r="4021" spans="1:24" ht="14.5" thickBot="1" x14ac:dyDescent="0.35">
      <c r="A4021">
        <v>1</v>
      </c>
      <c r="B4021" t="str">
        <f t="shared" si="375"/>
        <v>Male</v>
      </c>
      <c r="C4021" s="8">
        <v>64</v>
      </c>
      <c r="D4021" t="str">
        <f t="shared" si="376"/>
        <v>Senior</v>
      </c>
      <c r="E4021">
        <v>1</v>
      </c>
      <c r="F4021" t="str">
        <f>HLOOKUP(E4021, LookUP_Table!$A$6:$D$7, 2, FALSE)</f>
        <v>Primary</v>
      </c>
      <c r="G4021" t="str">
        <f>IFERROR(VLOOKUP(E4021, LookUP_Table!$A$1:$B$4, 2, FALSE), "")</f>
        <v>Primary</v>
      </c>
      <c r="H4021">
        <v>0</v>
      </c>
      <c r="I4021">
        <v>0</v>
      </c>
      <c r="J4021" t="str">
        <f t="shared" si="372"/>
        <v>Non-Smoker</v>
      </c>
      <c r="K4021">
        <v>0</v>
      </c>
      <c r="L4021">
        <v>0</v>
      </c>
      <c r="M4021">
        <v>1</v>
      </c>
      <c r="N4021">
        <v>0</v>
      </c>
      <c r="O4021">
        <v>186</v>
      </c>
      <c r="P4021" t="str">
        <f t="shared" si="373"/>
        <v>Normal</v>
      </c>
      <c r="Q4021">
        <v>144</v>
      </c>
      <c r="R4021">
        <v>76</v>
      </c>
      <c r="S4021">
        <v>31.23</v>
      </c>
      <c r="T4021" t="str">
        <f t="shared" si="374"/>
        <v>Obese</v>
      </c>
      <c r="U4021">
        <v>62</v>
      </c>
      <c r="V4021">
        <v>93</v>
      </c>
      <c r="W4021" t="str">
        <f t="shared" si="377"/>
        <v>Normal</v>
      </c>
      <c r="X4021">
        <v>0</v>
      </c>
    </row>
    <row r="4022" spans="1:24" ht="14.5" thickBot="1" x14ac:dyDescent="0.35">
      <c r="A4022">
        <v>1</v>
      </c>
      <c r="B4022" t="str">
        <f t="shared" si="375"/>
        <v>Male</v>
      </c>
      <c r="C4022" s="8">
        <v>64</v>
      </c>
      <c r="D4022" t="str">
        <f t="shared" si="376"/>
        <v>Senior</v>
      </c>
      <c r="E4022">
        <v>1</v>
      </c>
      <c r="F4022" t="str">
        <f>HLOOKUP(E4022, LookUP_Table!$A$6:$D$7, 2, FALSE)</f>
        <v>Primary</v>
      </c>
      <c r="G4022" t="str">
        <f>IFERROR(VLOOKUP(E4022, LookUP_Table!$A$1:$B$4, 2, FALSE), "")</f>
        <v>Primary</v>
      </c>
      <c r="H4022">
        <v>1</v>
      </c>
      <c r="I4022">
        <v>30</v>
      </c>
      <c r="J4022" t="str">
        <f t="shared" si="372"/>
        <v>Smoker</v>
      </c>
      <c r="K4022">
        <v>0</v>
      </c>
      <c r="L4022">
        <v>0</v>
      </c>
      <c r="M4022">
        <v>0</v>
      </c>
      <c r="N4022">
        <v>0</v>
      </c>
      <c r="O4022">
        <v>185</v>
      </c>
      <c r="P4022" t="str">
        <f t="shared" si="373"/>
        <v>Normal</v>
      </c>
      <c r="Q4022">
        <v>114</v>
      </c>
      <c r="R4022">
        <v>73</v>
      </c>
      <c r="S4022">
        <v>34.53</v>
      </c>
      <c r="T4022" t="str">
        <f t="shared" si="374"/>
        <v>Obese</v>
      </c>
      <c r="U4022">
        <v>75</v>
      </c>
      <c r="V4022">
        <v>97</v>
      </c>
      <c r="W4022" t="str">
        <f t="shared" si="377"/>
        <v>Normal</v>
      </c>
      <c r="X4022">
        <v>0</v>
      </c>
    </row>
    <row r="4023" spans="1:24" ht="14.5" thickBot="1" x14ac:dyDescent="0.35">
      <c r="A4023">
        <v>1</v>
      </c>
      <c r="B4023" t="str">
        <f t="shared" si="375"/>
        <v>Male</v>
      </c>
      <c r="C4023" s="8">
        <v>64</v>
      </c>
      <c r="D4023" t="str">
        <f t="shared" si="376"/>
        <v>Senior</v>
      </c>
      <c r="E4023">
        <v>2</v>
      </c>
      <c r="F4023" t="str">
        <f>HLOOKUP(E4023, LookUP_Table!$A$6:$D$7, 2, FALSE)</f>
        <v>Secondary</v>
      </c>
      <c r="G4023" t="str">
        <f>IFERROR(VLOOKUP(E4023, LookUP_Table!$A$1:$B$4, 2, FALSE), "")</f>
        <v>Secondary</v>
      </c>
      <c r="H4023">
        <v>0</v>
      </c>
      <c r="I4023">
        <v>0</v>
      </c>
      <c r="J4023" t="str">
        <f t="shared" si="372"/>
        <v>Non-Smoker</v>
      </c>
      <c r="K4023">
        <v>0</v>
      </c>
      <c r="L4023">
        <v>0</v>
      </c>
      <c r="M4023">
        <v>0</v>
      </c>
      <c r="N4023">
        <v>0</v>
      </c>
      <c r="O4023">
        <v>210</v>
      </c>
      <c r="P4023" t="str">
        <f t="shared" si="373"/>
        <v>Normal</v>
      </c>
      <c r="Q4023">
        <v>120</v>
      </c>
      <c r="R4023">
        <v>68</v>
      </c>
      <c r="S4023">
        <v>24.77</v>
      </c>
      <c r="T4023" t="str">
        <f t="shared" si="374"/>
        <v>Normal</v>
      </c>
      <c r="U4023">
        <v>80</v>
      </c>
      <c r="V4023">
        <v>77</v>
      </c>
      <c r="W4023" t="str">
        <f t="shared" si="377"/>
        <v>Normal</v>
      </c>
      <c r="X4023">
        <v>1</v>
      </c>
    </row>
    <row r="4024" spans="1:24" ht="14.5" thickBot="1" x14ac:dyDescent="0.35">
      <c r="A4024">
        <v>0</v>
      </c>
      <c r="B4024" t="str">
        <f t="shared" si="375"/>
        <v>Female</v>
      </c>
      <c r="C4024" s="8">
        <v>64</v>
      </c>
      <c r="D4024" t="str">
        <f t="shared" si="376"/>
        <v>Senior</v>
      </c>
      <c r="E4024">
        <v>1</v>
      </c>
      <c r="F4024" t="str">
        <f>HLOOKUP(E4024, LookUP_Table!$A$6:$D$7, 2, FALSE)</f>
        <v>Primary</v>
      </c>
      <c r="G4024" t="str">
        <f>IFERROR(VLOOKUP(E4024, LookUP_Table!$A$1:$B$4, 2, FALSE), "")</f>
        <v>Primary</v>
      </c>
      <c r="H4024">
        <v>1</v>
      </c>
      <c r="I4024">
        <v>8</v>
      </c>
      <c r="J4024" t="str">
        <f t="shared" si="372"/>
        <v>Smoker</v>
      </c>
      <c r="K4024">
        <v>0</v>
      </c>
      <c r="L4024">
        <v>0</v>
      </c>
      <c r="M4024">
        <v>1</v>
      </c>
      <c r="N4024">
        <v>0</v>
      </c>
      <c r="O4024">
        <v>317</v>
      </c>
      <c r="P4024" t="str">
        <f t="shared" si="373"/>
        <v>High</v>
      </c>
      <c r="Q4024">
        <v>182.5</v>
      </c>
      <c r="R4024">
        <v>88</v>
      </c>
      <c r="S4024">
        <v>20.52</v>
      </c>
      <c r="T4024" t="str">
        <f t="shared" si="374"/>
        <v>Normal</v>
      </c>
      <c r="U4024">
        <v>75</v>
      </c>
      <c r="V4024">
        <v>79</v>
      </c>
      <c r="W4024" t="str">
        <f t="shared" si="377"/>
        <v>Normal</v>
      </c>
      <c r="X4024">
        <v>0</v>
      </c>
    </row>
    <row r="4025" spans="1:24" ht="14.5" thickBot="1" x14ac:dyDescent="0.35">
      <c r="A4025">
        <v>1</v>
      </c>
      <c r="B4025" t="str">
        <f t="shared" si="375"/>
        <v>Male</v>
      </c>
      <c r="C4025" s="8">
        <v>64</v>
      </c>
      <c r="D4025" t="str">
        <f t="shared" si="376"/>
        <v>Senior</v>
      </c>
      <c r="E4025">
        <v>2</v>
      </c>
      <c r="F4025" t="str">
        <f>HLOOKUP(E4025, LookUP_Table!$A$6:$D$7, 2, FALSE)</f>
        <v>Secondary</v>
      </c>
      <c r="G4025" t="str">
        <f>IFERROR(VLOOKUP(E4025, LookUP_Table!$A$1:$B$4, 2, FALSE), "")</f>
        <v>Secondary</v>
      </c>
      <c r="H4025">
        <v>0</v>
      </c>
      <c r="I4025">
        <v>0</v>
      </c>
      <c r="J4025" t="str">
        <f t="shared" si="372"/>
        <v>Non-Smoker</v>
      </c>
      <c r="K4025">
        <v>0</v>
      </c>
      <c r="L4025">
        <v>0</v>
      </c>
      <c r="M4025">
        <v>0</v>
      </c>
      <c r="N4025">
        <v>0</v>
      </c>
      <c r="O4025">
        <v>217</v>
      </c>
      <c r="P4025" t="str">
        <f t="shared" si="373"/>
        <v>Normal</v>
      </c>
      <c r="Q4025">
        <v>129</v>
      </c>
      <c r="R4025">
        <v>61</v>
      </c>
      <c r="S4025">
        <v>21.85</v>
      </c>
      <c r="T4025" t="str">
        <f t="shared" si="374"/>
        <v>Normal</v>
      </c>
      <c r="U4025">
        <v>68</v>
      </c>
      <c r="V4025">
        <v>81</v>
      </c>
      <c r="W4025" t="str">
        <f t="shared" si="377"/>
        <v>Normal</v>
      </c>
      <c r="X4025">
        <v>0</v>
      </c>
    </row>
    <row r="4026" spans="1:24" ht="14.5" thickBot="1" x14ac:dyDescent="0.35">
      <c r="A4026">
        <v>0</v>
      </c>
      <c r="B4026" t="str">
        <f t="shared" si="375"/>
        <v>Female</v>
      </c>
      <c r="C4026" s="8">
        <v>64</v>
      </c>
      <c r="D4026" t="str">
        <f t="shared" si="376"/>
        <v>Senior</v>
      </c>
      <c r="E4026">
        <v>4</v>
      </c>
      <c r="F4026" t="str">
        <f>HLOOKUP(E4026, LookUP_Table!$A$6:$D$7, 2, FALSE)</f>
        <v>Post Graduate</v>
      </c>
      <c r="G4026" t="str">
        <f>IFERROR(VLOOKUP(E4026, LookUP_Table!$A$1:$B$4, 2, FALSE), "")</f>
        <v>Post Graduate</v>
      </c>
      <c r="H4026">
        <v>0</v>
      </c>
      <c r="I4026">
        <v>0</v>
      </c>
      <c r="J4026" t="str">
        <f t="shared" si="372"/>
        <v>Non-Smoker</v>
      </c>
      <c r="K4026">
        <v>0</v>
      </c>
      <c r="L4026">
        <v>0</v>
      </c>
      <c r="M4026">
        <v>0</v>
      </c>
      <c r="N4026">
        <v>0</v>
      </c>
      <c r="O4026">
        <v>239</v>
      </c>
      <c r="P4026" t="str">
        <f t="shared" si="373"/>
        <v>Normal</v>
      </c>
      <c r="Q4026">
        <v>114.5</v>
      </c>
      <c r="R4026">
        <v>65.5</v>
      </c>
      <c r="S4026">
        <v>19.34</v>
      </c>
      <c r="T4026" t="str">
        <f t="shared" si="374"/>
        <v>Normal</v>
      </c>
      <c r="U4026">
        <v>64</v>
      </c>
      <c r="V4026">
        <v>81.96365524402907</v>
      </c>
      <c r="W4026" t="str">
        <f t="shared" si="377"/>
        <v>Normal</v>
      </c>
      <c r="X4026">
        <v>0</v>
      </c>
    </row>
    <row r="4027" spans="1:24" ht="14.5" thickBot="1" x14ac:dyDescent="0.35">
      <c r="A4027">
        <v>0</v>
      </c>
      <c r="B4027" t="str">
        <f t="shared" si="375"/>
        <v>Female</v>
      </c>
      <c r="C4027" s="8">
        <v>64</v>
      </c>
      <c r="D4027" t="str">
        <f t="shared" si="376"/>
        <v>Senior</v>
      </c>
      <c r="E4027">
        <v>2</v>
      </c>
      <c r="F4027" t="str">
        <f>HLOOKUP(E4027, LookUP_Table!$A$6:$D$7, 2, FALSE)</f>
        <v>Secondary</v>
      </c>
      <c r="G4027" t="str">
        <f>IFERROR(VLOOKUP(E4027, LookUP_Table!$A$1:$B$4, 2, FALSE), "")</f>
        <v>Secondary</v>
      </c>
      <c r="H4027">
        <v>0</v>
      </c>
      <c r="I4027">
        <v>0</v>
      </c>
      <c r="J4027" t="str">
        <f t="shared" si="372"/>
        <v>Non-Smoker</v>
      </c>
      <c r="K4027">
        <v>0</v>
      </c>
      <c r="L4027">
        <v>0</v>
      </c>
      <c r="M4027">
        <v>1</v>
      </c>
      <c r="N4027">
        <v>0</v>
      </c>
      <c r="O4027">
        <v>254</v>
      </c>
      <c r="P4027" t="str">
        <f t="shared" si="373"/>
        <v>High</v>
      </c>
      <c r="Q4027">
        <v>196</v>
      </c>
      <c r="R4027">
        <v>119</v>
      </c>
      <c r="S4027">
        <v>35.22</v>
      </c>
      <c r="T4027" t="str">
        <f t="shared" si="374"/>
        <v>Obese</v>
      </c>
      <c r="U4027">
        <v>100</v>
      </c>
      <c r="V4027">
        <v>79</v>
      </c>
      <c r="W4027" t="str">
        <f t="shared" si="377"/>
        <v>Normal</v>
      </c>
      <c r="X4027">
        <v>0</v>
      </c>
    </row>
    <row r="4028" spans="1:24" ht="14.5" thickBot="1" x14ac:dyDescent="0.35">
      <c r="A4028">
        <v>0</v>
      </c>
      <c r="B4028" t="str">
        <f t="shared" si="375"/>
        <v>Female</v>
      </c>
      <c r="C4028" s="8">
        <v>64</v>
      </c>
      <c r="D4028" t="str">
        <f t="shared" si="376"/>
        <v>Senior</v>
      </c>
      <c r="E4028">
        <v>1</v>
      </c>
      <c r="F4028" t="str">
        <f>HLOOKUP(E4028, LookUP_Table!$A$6:$D$7, 2, FALSE)</f>
        <v>Primary</v>
      </c>
      <c r="G4028" t="str">
        <f>IFERROR(VLOOKUP(E4028, LookUP_Table!$A$1:$B$4, 2, FALSE), "")</f>
        <v>Primary</v>
      </c>
      <c r="H4028">
        <v>0</v>
      </c>
      <c r="I4028">
        <v>0</v>
      </c>
      <c r="J4028" t="str">
        <f t="shared" si="372"/>
        <v>Non-Smoker</v>
      </c>
      <c r="K4028">
        <v>0</v>
      </c>
      <c r="L4028">
        <v>0</v>
      </c>
      <c r="M4028">
        <v>1</v>
      </c>
      <c r="N4028">
        <v>0</v>
      </c>
      <c r="O4028">
        <v>372</v>
      </c>
      <c r="P4028" t="str">
        <f t="shared" si="373"/>
        <v>High</v>
      </c>
      <c r="Q4028">
        <v>169</v>
      </c>
      <c r="R4028">
        <v>85</v>
      </c>
      <c r="S4028">
        <v>26.01</v>
      </c>
      <c r="T4028" t="str">
        <f t="shared" si="374"/>
        <v>Overweight</v>
      </c>
      <c r="U4028">
        <v>75</v>
      </c>
      <c r="V4028">
        <v>79</v>
      </c>
      <c r="W4028" t="str">
        <f t="shared" si="377"/>
        <v>Normal</v>
      </c>
      <c r="X4028">
        <v>1</v>
      </c>
    </row>
    <row r="4029" spans="1:24" ht="14.5" thickBot="1" x14ac:dyDescent="0.35">
      <c r="A4029">
        <v>0</v>
      </c>
      <c r="B4029" t="str">
        <f t="shared" si="375"/>
        <v>Female</v>
      </c>
      <c r="C4029" s="8">
        <v>64</v>
      </c>
      <c r="D4029" t="str">
        <f t="shared" si="376"/>
        <v>Senior</v>
      </c>
      <c r="E4029">
        <v>1</v>
      </c>
      <c r="F4029" t="str">
        <f>HLOOKUP(E4029, LookUP_Table!$A$6:$D$7, 2, FALSE)</f>
        <v>Primary</v>
      </c>
      <c r="G4029" t="str">
        <f>IFERROR(VLOOKUP(E4029, LookUP_Table!$A$1:$B$4, 2, FALSE), "")</f>
        <v>Primary</v>
      </c>
      <c r="H4029">
        <v>0</v>
      </c>
      <c r="I4029">
        <v>0</v>
      </c>
      <c r="J4029" t="str">
        <f t="shared" si="372"/>
        <v>Non-Smoker</v>
      </c>
      <c r="K4029">
        <v>0</v>
      </c>
      <c r="L4029">
        <v>0</v>
      </c>
      <c r="M4029">
        <v>1</v>
      </c>
      <c r="N4029">
        <v>0</v>
      </c>
      <c r="O4029">
        <v>218</v>
      </c>
      <c r="P4029" t="str">
        <f t="shared" si="373"/>
        <v>Normal</v>
      </c>
      <c r="Q4029">
        <v>185</v>
      </c>
      <c r="R4029">
        <v>97.5</v>
      </c>
      <c r="S4029">
        <v>21.82</v>
      </c>
      <c r="T4029" t="str">
        <f t="shared" si="374"/>
        <v>Normal</v>
      </c>
      <c r="U4029">
        <v>85</v>
      </c>
      <c r="V4029">
        <v>79</v>
      </c>
      <c r="W4029" t="str">
        <f t="shared" si="377"/>
        <v>Normal</v>
      </c>
      <c r="X4029">
        <v>0</v>
      </c>
    </row>
    <row r="4030" spans="1:24" ht="14.5" thickBot="1" x14ac:dyDescent="0.35">
      <c r="A4030">
        <v>0</v>
      </c>
      <c r="B4030" t="str">
        <f t="shared" si="375"/>
        <v>Female</v>
      </c>
      <c r="C4030" s="8">
        <v>64</v>
      </c>
      <c r="D4030" t="str">
        <f t="shared" si="376"/>
        <v>Senior</v>
      </c>
      <c r="E4030">
        <v>4</v>
      </c>
      <c r="F4030" t="str">
        <f>HLOOKUP(E4030, LookUP_Table!$A$6:$D$7, 2, FALSE)</f>
        <v>Post Graduate</v>
      </c>
      <c r="G4030" t="str">
        <f>IFERROR(VLOOKUP(E4030, LookUP_Table!$A$1:$B$4, 2, FALSE), "")</f>
        <v>Post Graduate</v>
      </c>
      <c r="H4030">
        <v>1</v>
      </c>
      <c r="I4030">
        <v>9</v>
      </c>
      <c r="J4030" t="str">
        <f t="shared" si="372"/>
        <v>Smoker</v>
      </c>
      <c r="K4030">
        <v>0</v>
      </c>
      <c r="L4030">
        <v>0</v>
      </c>
      <c r="M4030">
        <v>0</v>
      </c>
      <c r="N4030">
        <v>0</v>
      </c>
      <c r="O4030">
        <v>342</v>
      </c>
      <c r="P4030" t="str">
        <f t="shared" si="373"/>
        <v>High</v>
      </c>
      <c r="Q4030">
        <v>128</v>
      </c>
      <c r="R4030">
        <v>71</v>
      </c>
      <c r="S4030">
        <v>20.52</v>
      </c>
      <c r="T4030" t="str">
        <f t="shared" si="374"/>
        <v>Normal</v>
      </c>
      <c r="U4030">
        <v>60</v>
      </c>
      <c r="V4030">
        <v>62</v>
      </c>
      <c r="W4030" t="str">
        <f t="shared" si="377"/>
        <v>Normal</v>
      </c>
      <c r="X4030">
        <v>0</v>
      </c>
    </row>
    <row r="4031" spans="1:24" ht="14.5" thickBot="1" x14ac:dyDescent="0.35">
      <c r="A4031">
        <v>1</v>
      </c>
      <c r="B4031" t="str">
        <f t="shared" si="375"/>
        <v>Male</v>
      </c>
      <c r="C4031" s="8">
        <v>64</v>
      </c>
      <c r="D4031" t="str">
        <f t="shared" si="376"/>
        <v>Senior</v>
      </c>
      <c r="E4031">
        <v>2</v>
      </c>
      <c r="F4031" t="str">
        <f>HLOOKUP(E4031, LookUP_Table!$A$6:$D$7, 2, FALSE)</f>
        <v>Secondary</v>
      </c>
      <c r="G4031" t="str">
        <f>IFERROR(VLOOKUP(E4031, LookUP_Table!$A$1:$B$4, 2, FALSE), "")</f>
        <v>Secondary</v>
      </c>
      <c r="H4031">
        <v>0</v>
      </c>
      <c r="I4031">
        <v>0</v>
      </c>
      <c r="J4031" t="str">
        <f t="shared" si="372"/>
        <v>Non-Smoker</v>
      </c>
      <c r="K4031">
        <v>0</v>
      </c>
      <c r="L4031">
        <v>0</v>
      </c>
      <c r="M4031">
        <v>0</v>
      </c>
      <c r="N4031">
        <v>0</v>
      </c>
      <c r="O4031">
        <v>283</v>
      </c>
      <c r="P4031" t="str">
        <f t="shared" si="373"/>
        <v>High</v>
      </c>
      <c r="Q4031">
        <v>113</v>
      </c>
      <c r="R4031">
        <v>77</v>
      </c>
      <c r="S4031">
        <v>22.73</v>
      </c>
      <c r="T4031" t="str">
        <f t="shared" si="374"/>
        <v>Normal</v>
      </c>
      <c r="U4031">
        <v>75</v>
      </c>
      <c r="V4031">
        <v>67</v>
      </c>
      <c r="W4031" t="str">
        <f t="shared" si="377"/>
        <v>Normal</v>
      </c>
      <c r="X4031">
        <v>0</v>
      </c>
    </row>
    <row r="4032" spans="1:24" ht="14.5" thickBot="1" x14ac:dyDescent="0.35">
      <c r="A4032">
        <v>1</v>
      </c>
      <c r="B4032" t="str">
        <f t="shared" si="375"/>
        <v>Male</v>
      </c>
      <c r="C4032" s="8">
        <v>64</v>
      </c>
      <c r="D4032" t="str">
        <f t="shared" si="376"/>
        <v>Senior</v>
      </c>
      <c r="E4032">
        <v>1</v>
      </c>
      <c r="F4032" t="str">
        <f>HLOOKUP(E4032, LookUP_Table!$A$6:$D$7, 2, FALSE)</f>
        <v>Primary</v>
      </c>
      <c r="G4032" t="str">
        <f>IFERROR(VLOOKUP(E4032, LookUP_Table!$A$1:$B$4, 2, FALSE), "")</f>
        <v>Primary</v>
      </c>
      <c r="H4032">
        <v>1</v>
      </c>
      <c r="I4032">
        <v>20</v>
      </c>
      <c r="J4032" t="str">
        <f t="shared" si="372"/>
        <v>Smoker</v>
      </c>
      <c r="K4032">
        <v>0</v>
      </c>
      <c r="L4032">
        <v>0</v>
      </c>
      <c r="M4032">
        <v>0</v>
      </c>
      <c r="N4032">
        <v>0</v>
      </c>
      <c r="O4032">
        <v>232</v>
      </c>
      <c r="P4032" t="str">
        <f t="shared" si="373"/>
        <v>Normal</v>
      </c>
      <c r="Q4032">
        <v>113.5</v>
      </c>
      <c r="R4032">
        <v>70</v>
      </c>
      <c r="S4032">
        <v>21.03</v>
      </c>
      <c r="T4032" t="str">
        <f t="shared" si="374"/>
        <v>Normal</v>
      </c>
      <c r="U4032">
        <v>80</v>
      </c>
      <c r="V4032">
        <v>58</v>
      </c>
      <c r="W4032" t="str">
        <f t="shared" si="377"/>
        <v>Normal</v>
      </c>
      <c r="X4032">
        <v>1</v>
      </c>
    </row>
    <row r="4033" spans="1:24" ht="14.5" thickBot="1" x14ac:dyDescent="0.35">
      <c r="A4033">
        <v>0</v>
      </c>
      <c r="B4033" t="str">
        <f t="shared" si="375"/>
        <v>Female</v>
      </c>
      <c r="C4033" s="8">
        <v>64</v>
      </c>
      <c r="D4033" t="str">
        <f t="shared" si="376"/>
        <v>Senior</v>
      </c>
      <c r="E4033">
        <v>1</v>
      </c>
      <c r="F4033" t="str">
        <f>HLOOKUP(E4033, LookUP_Table!$A$6:$D$7, 2, FALSE)</f>
        <v>Primary</v>
      </c>
      <c r="G4033" t="str">
        <f>IFERROR(VLOOKUP(E4033, LookUP_Table!$A$1:$B$4, 2, FALSE), "")</f>
        <v>Primary</v>
      </c>
      <c r="H4033">
        <v>0</v>
      </c>
      <c r="I4033">
        <v>0</v>
      </c>
      <c r="J4033" t="str">
        <f t="shared" si="372"/>
        <v>Non-Smoker</v>
      </c>
      <c r="K4033">
        <v>0</v>
      </c>
      <c r="L4033">
        <v>0</v>
      </c>
      <c r="M4033">
        <v>1</v>
      </c>
      <c r="N4033">
        <v>0</v>
      </c>
      <c r="O4033">
        <v>229</v>
      </c>
      <c r="P4033" t="str">
        <f t="shared" si="373"/>
        <v>Normal</v>
      </c>
      <c r="Q4033">
        <v>145</v>
      </c>
      <c r="R4033">
        <v>85</v>
      </c>
      <c r="S4033">
        <v>29.67</v>
      </c>
      <c r="T4033" t="str">
        <f t="shared" si="374"/>
        <v>Overweight</v>
      </c>
      <c r="U4033">
        <v>70</v>
      </c>
      <c r="V4033">
        <v>74</v>
      </c>
      <c r="W4033" t="str">
        <f t="shared" si="377"/>
        <v>Normal</v>
      </c>
      <c r="X4033">
        <v>1</v>
      </c>
    </row>
    <row r="4034" spans="1:24" ht="14.5" thickBot="1" x14ac:dyDescent="0.35">
      <c r="A4034">
        <v>1</v>
      </c>
      <c r="B4034" t="str">
        <f t="shared" si="375"/>
        <v>Male</v>
      </c>
      <c r="C4034" s="8">
        <v>64</v>
      </c>
      <c r="D4034" t="str">
        <f t="shared" si="376"/>
        <v>Senior</v>
      </c>
      <c r="E4034">
        <v>1</v>
      </c>
      <c r="F4034" t="str">
        <f>HLOOKUP(E4034, LookUP_Table!$A$6:$D$7, 2, FALSE)</f>
        <v>Primary</v>
      </c>
      <c r="G4034" t="str">
        <f>IFERROR(VLOOKUP(E4034, LookUP_Table!$A$1:$B$4, 2, FALSE), "")</f>
        <v>Primary</v>
      </c>
      <c r="H4034">
        <v>0</v>
      </c>
      <c r="I4034">
        <v>0</v>
      </c>
      <c r="J4034" t="str">
        <f t="shared" ref="J4034:J4097" si="378">IF(I4034&gt;0,"Smoker","Non-Smoker")</f>
        <v>Non-Smoker</v>
      </c>
      <c r="K4034">
        <v>0</v>
      </c>
      <c r="L4034">
        <v>0</v>
      </c>
      <c r="M4034">
        <v>0</v>
      </c>
      <c r="N4034">
        <v>0</v>
      </c>
      <c r="O4034">
        <v>296</v>
      </c>
      <c r="P4034" t="str">
        <f t="shared" ref="P4034:P4097" si="379">IF(O4034&gt;240,"High","Normal")</f>
        <v>High</v>
      </c>
      <c r="Q4034">
        <v>142</v>
      </c>
      <c r="R4034">
        <v>84</v>
      </c>
      <c r="S4034">
        <v>27.01</v>
      </c>
      <c r="T4034" t="str">
        <f t="shared" ref="T4034:T4097" si="380">IF(S4034&lt;18.5,"Underweight",
IF(S4034&lt;25,"Normal",
IF(S4034&lt;30,"Overweight","Obese")))</f>
        <v>Overweight</v>
      </c>
      <c r="U4034">
        <v>52</v>
      </c>
      <c r="V4034">
        <v>83</v>
      </c>
      <c r="W4034" t="str">
        <f t="shared" si="377"/>
        <v>Normal</v>
      </c>
      <c r="X4034">
        <v>1</v>
      </c>
    </row>
    <row r="4035" spans="1:24" ht="14.5" thickBot="1" x14ac:dyDescent="0.35">
      <c r="A4035">
        <v>1</v>
      </c>
      <c r="B4035" t="str">
        <f t="shared" ref="B4035:B4098" si="381">IF(A4035=0,"Female","Male")</f>
        <v>Male</v>
      </c>
      <c r="C4035" s="8">
        <v>64</v>
      </c>
      <c r="D4035" t="str">
        <f t="shared" ref="D4035:D4098" si="382">IF(C4035&lt;40,"Young",
IF(C4035&lt;55,"Middle Age","Senior"))</f>
        <v>Senior</v>
      </c>
      <c r="E4035">
        <v>3</v>
      </c>
      <c r="F4035" t="str">
        <f>HLOOKUP(E4035, LookUP_Table!$A$6:$D$7, 2, FALSE)</f>
        <v>Graduate</v>
      </c>
      <c r="G4035" t="str">
        <f>IFERROR(VLOOKUP(E4035, LookUP_Table!$A$1:$B$4, 2, FALSE), "")</f>
        <v>Graduate</v>
      </c>
      <c r="H4035">
        <v>0</v>
      </c>
      <c r="I4035">
        <v>0</v>
      </c>
      <c r="J4035" t="str">
        <f t="shared" si="378"/>
        <v>Non-Smoker</v>
      </c>
      <c r="K4035">
        <v>0</v>
      </c>
      <c r="L4035">
        <v>0</v>
      </c>
      <c r="M4035">
        <v>0</v>
      </c>
      <c r="N4035">
        <v>0</v>
      </c>
      <c r="O4035">
        <v>229</v>
      </c>
      <c r="P4035" t="str">
        <f t="shared" si="379"/>
        <v>Normal</v>
      </c>
      <c r="Q4035">
        <v>105</v>
      </c>
      <c r="R4035">
        <v>72.5</v>
      </c>
      <c r="S4035">
        <v>26.76</v>
      </c>
      <c r="T4035" t="str">
        <f t="shared" si="380"/>
        <v>Overweight</v>
      </c>
      <c r="U4035">
        <v>84</v>
      </c>
      <c r="V4035">
        <v>77</v>
      </c>
      <c r="W4035" t="str">
        <f t="shared" ref="W4035:W4098" si="383">IF(V4035 &lt; 100, "Normal", IF(V4035 &lt;= 125, "Prediabetes", "Diabetes"))</f>
        <v>Normal</v>
      </c>
      <c r="X4035">
        <v>0</v>
      </c>
    </row>
    <row r="4036" spans="1:24" ht="14.5" thickBot="1" x14ac:dyDescent="0.35">
      <c r="A4036">
        <v>0</v>
      </c>
      <c r="B4036" t="str">
        <f t="shared" si="381"/>
        <v>Female</v>
      </c>
      <c r="C4036" s="8">
        <v>64</v>
      </c>
      <c r="D4036" t="str">
        <f t="shared" si="382"/>
        <v>Senior</v>
      </c>
      <c r="E4036">
        <v>3</v>
      </c>
      <c r="F4036" t="str">
        <f>HLOOKUP(E4036, LookUP_Table!$A$6:$D$7, 2, FALSE)</f>
        <v>Graduate</v>
      </c>
      <c r="G4036" t="str">
        <f>IFERROR(VLOOKUP(E4036, LookUP_Table!$A$1:$B$4, 2, FALSE), "")</f>
        <v>Graduate</v>
      </c>
      <c r="H4036">
        <v>0</v>
      </c>
      <c r="I4036">
        <v>0</v>
      </c>
      <c r="J4036" t="str">
        <f t="shared" si="378"/>
        <v>Non-Smoker</v>
      </c>
      <c r="K4036">
        <v>0</v>
      </c>
      <c r="L4036">
        <v>0</v>
      </c>
      <c r="M4036">
        <v>0</v>
      </c>
      <c r="N4036">
        <v>0</v>
      </c>
      <c r="O4036">
        <v>330</v>
      </c>
      <c r="P4036" t="str">
        <f t="shared" si="379"/>
        <v>High</v>
      </c>
      <c r="Q4036">
        <v>108</v>
      </c>
      <c r="R4036">
        <v>82</v>
      </c>
      <c r="S4036">
        <v>23.09</v>
      </c>
      <c r="T4036" t="str">
        <f t="shared" si="380"/>
        <v>Normal</v>
      </c>
      <c r="U4036">
        <v>85</v>
      </c>
      <c r="V4036">
        <v>80</v>
      </c>
      <c r="W4036" t="str">
        <f t="shared" si="383"/>
        <v>Normal</v>
      </c>
      <c r="X4036">
        <v>0</v>
      </c>
    </row>
    <row r="4037" spans="1:24" ht="14.5" thickBot="1" x14ac:dyDescent="0.35">
      <c r="A4037">
        <v>1</v>
      </c>
      <c r="B4037" t="str">
        <f t="shared" si="381"/>
        <v>Male</v>
      </c>
      <c r="C4037" s="8">
        <v>64</v>
      </c>
      <c r="D4037" t="str">
        <f t="shared" si="382"/>
        <v>Senior</v>
      </c>
      <c r="E4037">
        <v>1</v>
      </c>
      <c r="F4037" t="str">
        <f>HLOOKUP(E4037, LookUP_Table!$A$6:$D$7, 2, FALSE)</f>
        <v>Primary</v>
      </c>
      <c r="G4037" t="str">
        <f>IFERROR(VLOOKUP(E4037, LookUP_Table!$A$1:$B$4, 2, FALSE), "")</f>
        <v>Primary</v>
      </c>
      <c r="H4037">
        <v>1</v>
      </c>
      <c r="I4037">
        <v>15</v>
      </c>
      <c r="J4037" t="str">
        <f t="shared" si="378"/>
        <v>Smoker</v>
      </c>
      <c r="K4037">
        <v>1</v>
      </c>
      <c r="L4037">
        <v>0</v>
      </c>
      <c r="M4037">
        <v>1</v>
      </c>
      <c r="N4037">
        <v>0</v>
      </c>
      <c r="O4037">
        <v>266</v>
      </c>
      <c r="P4037" t="str">
        <f t="shared" si="379"/>
        <v>High</v>
      </c>
      <c r="Q4037">
        <v>191</v>
      </c>
      <c r="R4037">
        <v>81</v>
      </c>
      <c r="S4037">
        <v>25.33</v>
      </c>
      <c r="T4037" t="str">
        <f t="shared" si="380"/>
        <v>Overweight</v>
      </c>
      <c r="U4037">
        <v>95</v>
      </c>
      <c r="V4037">
        <v>78</v>
      </c>
      <c r="W4037" t="str">
        <f t="shared" si="383"/>
        <v>Normal</v>
      </c>
      <c r="X4037">
        <v>1</v>
      </c>
    </row>
    <row r="4038" spans="1:24" ht="14.5" thickBot="1" x14ac:dyDescent="0.35">
      <c r="A4038">
        <v>0</v>
      </c>
      <c r="B4038" t="str">
        <f t="shared" si="381"/>
        <v>Female</v>
      </c>
      <c r="C4038" s="8">
        <v>64</v>
      </c>
      <c r="D4038" t="str">
        <f t="shared" si="382"/>
        <v>Senior</v>
      </c>
      <c r="E4038">
        <v>1</v>
      </c>
      <c r="F4038" t="str">
        <f>HLOOKUP(E4038, LookUP_Table!$A$6:$D$7, 2, FALSE)</f>
        <v>Primary</v>
      </c>
      <c r="G4038" t="str">
        <f>IFERROR(VLOOKUP(E4038, LookUP_Table!$A$1:$B$4, 2, FALSE), "")</f>
        <v>Primary</v>
      </c>
      <c r="H4038">
        <v>0</v>
      </c>
      <c r="I4038">
        <v>0</v>
      </c>
      <c r="J4038" t="str">
        <f t="shared" si="378"/>
        <v>Non-Smoker</v>
      </c>
      <c r="K4038">
        <v>0</v>
      </c>
      <c r="L4038">
        <v>0</v>
      </c>
      <c r="M4038">
        <v>1</v>
      </c>
      <c r="N4038">
        <v>0</v>
      </c>
      <c r="O4038">
        <v>173</v>
      </c>
      <c r="P4038" t="str">
        <f t="shared" si="379"/>
        <v>Normal</v>
      </c>
      <c r="Q4038">
        <v>144</v>
      </c>
      <c r="R4038">
        <v>82</v>
      </c>
      <c r="S4038">
        <v>22.54</v>
      </c>
      <c r="T4038" t="str">
        <f t="shared" si="380"/>
        <v>Normal</v>
      </c>
      <c r="U4038">
        <v>60</v>
      </c>
      <c r="V4038">
        <v>77</v>
      </c>
      <c r="W4038" t="str">
        <f t="shared" si="383"/>
        <v>Normal</v>
      </c>
      <c r="X4038">
        <v>1</v>
      </c>
    </row>
    <row r="4039" spans="1:24" ht="14.5" thickBot="1" x14ac:dyDescent="0.35">
      <c r="A4039">
        <v>1</v>
      </c>
      <c r="B4039" t="str">
        <f t="shared" si="381"/>
        <v>Male</v>
      </c>
      <c r="C4039" s="8">
        <v>64</v>
      </c>
      <c r="D4039" t="str">
        <f t="shared" si="382"/>
        <v>Senior</v>
      </c>
      <c r="E4039">
        <v>1</v>
      </c>
      <c r="F4039" t="str">
        <f>HLOOKUP(E4039, LookUP_Table!$A$6:$D$7, 2, FALSE)</f>
        <v>Primary</v>
      </c>
      <c r="G4039" t="str">
        <f>IFERROR(VLOOKUP(E4039, LookUP_Table!$A$1:$B$4, 2, FALSE), "")</f>
        <v>Primary</v>
      </c>
      <c r="H4039">
        <v>0</v>
      </c>
      <c r="I4039">
        <v>0</v>
      </c>
      <c r="J4039" t="str">
        <f t="shared" si="378"/>
        <v>Non-Smoker</v>
      </c>
      <c r="K4039">
        <v>0</v>
      </c>
      <c r="L4039">
        <v>0</v>
      </c>
      <c r="M4039">
        <v>0</v>
      </c>
      <c r="N4039">
        <v>0</v>
      </c>
      <c r="O4039">
        <v>203</v>
      </c>
      <c r="P4039" t="str">
        <f t="shared" si="379"/>
        <v>Normal</v>
      </c>
      <c r="Q4039">
        <v>120</v>
      </c>
      <c r="R4039">
        <v>73</v>
      </c>
      <c r="S4039">
        <v>27.08</v>
      </c>
      <c r="T4039" t="str">
        <f t="shared" si="380"/>
        <v>Overweight</v>
      </c>
      <c r="U4039">
        <v>92</v>
      </c>
      <c r="V4039">
        <v>81</v>
      </c>
      <c r="W4039" t="str">
        <f t="shared" si="383"/>
        <v>Normal</v>
      </c>
      <c r="X4039">
        <v>0</v>
      </c>
    </row>
    <row r="4040" spans="1:24" ht="14.5" thickBot="1" x14ac:dyDescent="0.35">
      <c r="A4040">
        <v>1</v>
      </c>
      <c r="B4040" t="str">
        <f t="shared" si="381"/>
        <v>Male</v>
      </c>
      <c r="C4040" s="8">
        <v>64</v>
      </c>
      <c r="D4040" t="str">
        <f t="shared" si="382"/>
        <v>Senior</v>
      </c>
      <c r="E4040">
        <v>2</v>
      </c>
      <c r="F4040" t="str">
        <f>HLOOKUP(E4040, LookUP_Table!$A$6:$D$7, 2, FALSE)</f>
        <v>Secondary</v>
      </c>
      <c r="G4040" t="str">
        <f>IFERROR(VLOOKUP(E4040, LookUP_Table!$A$1:$B$4, 2, FALSE), "")</f>
        <v>Secondary</v>
      </c>
      <c r="H4040">
        <v>0</v>
      </c>
      <c r="I4040">
        <v>0</v>
      </c>
      <c r="J4040" t="str">
        <f t="shared" si="378"/>
        <v>Non-Smoker</v>
      </c>
      <c r="K4040">
        <v>0</v>
      </c>
      <c r="L4040">
        <v>0</v>
      </c>
      <c r="M4040">
        <v>0</v>
      </c>
      <c r="N4040">
        <v>0</v>
      </c>
      <c r="O4040">
        <v>287</v>
      </c>
      <c r="P4040" t="str">
        <f t="shared" si="379"/>
        <v>High</v>
      </c>
      <c r="Q4040">
        <v>121</v>
      </c>
      <c r="R4040">
        <v>70</v>
      </c>
      <c r="S4040">
        <v>23.64</v>
      </c>
      <c r="T4040" t="str">
        <f t="shared" si="380"/>
        <v>Normal</v>
      </c>
      <c r="U4040">
        <v>68</v>
      </c>
      <c r="V4040">
        <v>75</v>
      </c>
      <c r="W4040" t="str">
        <f t="shared" si="383"/>
        <v>Normal</v>
      </c>
      <c r="X4040">
        <v>0</v>
      </c>
    </row>
    <row r="4041" spans="1:24" ht="14.5" thickBot="1" x14ac:dyDescent="0.35">
      <c r="A4041">
        <v>0</v>
      </c>
      <c r="B4041" t="str">
        <f t="shared" si="381"/>
        <v>Female</v>
      </c>
      <c r="C4041" s="8">
        <v>64</v>
      </c>
      <c r="D4041" t="str">
        <f t="shared" si="382"/>
        <v>Senior</v>
      </c>
      <c r="E4041">
        <v>1</v>
      </c>
      <c r="F4041" t="str">
        <f>HLOOKUP(E4041, LookUP_Table!$A$6:$D$7, 2, FALSE)</f>
        <v>Primary</v>
      </c>
      <c r="G4041" t="str">
        <f>IFERROR(VLOOKUP(E4041, LookUP_Table!$A$1:$B$4, 2, FALSE), "")</f>
        <v>Primary</v>
      </c>
      <c r="H4041">
        <v>0</v>
      </c>
      <c r="I4041">
        <v>0</v>
      </c>
      <c r="J4041" t="str">
        <f t="shared" si="378"/>
        <v>Non-Smoker</v>
      </c>
      <c r="K4041">
        <v>0</v>
      </c>
      <c r="L4041">
        <v>0</v>
      </c>
      <c r="M4041">
        <v>0</v>
      </c>
      <c r="N4041">
        <v>0</v>
      </c>
      <c r="O4041">
        <v>213</v>
      </c>
      <c r="P4041" t="str">
        <f t="shared" si="379"/>
        <v>Normal</v>
      </c>
      <c r="Q4041">
        <v>133</v>
      </c>
      <c r="R4041">
        <v>77.5</v>
      </c>
      <c r="S4041">
        <v>35.619999999999997</v>
      </c>
      <c r="T4041" t="str">
        <f t="shared" si="380"/>
        <v>Obese</v>
      </c>
      <c r="U4041">
        <v>77</v>
      </c>
      <c r="V4041">
        <v>74</v>
      </c>
      <c r="W4041" t="str">
        <f t="shared" si="383"/>
        <v>Normal</v>
      </c>
      <c r="X4041">
        <v>0</v>
      </c>
    </row>
    <row r="4042" spans="1:24" ht="14.5" thickBot="1" x14ac:dyDescent="0.35">
      <c r="A4042">
        <v>0</v>
      </c>
      <c r="B4042" t="str">
        <f t="shared" si="381"/>
        <v>Female</v>
      </c>
      <c r="C4042" s="8">
        <v>64</v>
      </c>
      <c r="D4042" t="str">
        <f t="shared" si="382"/>
        <v>Senior</v>
      </c>
      <c r="E4042">
        <v>2</v>
      </c>
      <c r="F4042" t="str">
        <f>HLOOKUP(E4042, LookUP_Table!$A$6:$D$7, 2, FALSE)</f>
        <v>Secondary</v>
      </c>
      <c r="G4042" t="str">
        <f>IFERROR(VLOOKUP(E4042, LookUP_Table!$A$1:$B$4, 2, FALSE), "")</f>
        <v>Secondary</v>
      </c>
      <c r="H4042">
        <v>0</v>
      </c>
      <c r="I4042">
        <v>0</v>
      </c>
      <c r="J4042" t="str">
        <f t="shared" si="378"/>
        <v>Non-Smoker</v>
      </c>
      <c r="K4042">
        <v>0</v>
      </c>
      <c r="L4042">
        <v>0</v>
      </c>
      <c r="M4042">
        <v>1</v>
      </c>
      <c r="N4042">
        <v>0</v>
      </c>
      <c r="O4042">
        <v>246</v>
      </c>
      <c r="P4042" t="str">
        <f t="shared" si="379"/>
        <v>High</v>
      </c>
      <c r="Q4042">
        <v>190</v>
      </c>
      <c r="R4042">
        <v>100</v>
      </c>
      <c r="S4042">
        <v>32.68</v>
      </c>
      <c r="T4042" t="str">
        <f t="shared" si="380"/>
        <v>Obese</v>
      </c>
      <c r="U4042">
        <v>92</v>
      </c>
      <c r="V4042">
        <v>102</v>
      </c>
      <c r="W4042" t="str">
        <f t="shared" si="383"/>
        <v>Prediabetes</v>
      </c>
      <c r="X4042">
        <v>0</v>
      </c>
    </row>
    <row r="4043" spans="1:24" ht="14.5" thickBot="1" x14ac:dyDescent="0.35">
      <c r="A4043">
        <v>0</v>
      </c>
      <c r="B4043" t="str">
        <f t="shared" si="381"/>
        <v>Female</v>
      </c>
      <c r="C4043" s="8">
        <v>64</v>
      </c>
      <c r="D4043" t="str">
        <f t="shared" si="382"/>
        <v>Senior</v>
      </c>
      <c r="E4043">
        <v>1</v>
      </c>
      <c r="F4043" t="str">
        <f>HLOOKUP(E4043, LookUP_Table!$A$6:$D$7, 2, FALSE)</f>
        <v>Primary</v>
      </c>
      <c r="G4043" t="str">
        <f>IFERROR(VLOOKUP(E4043, LookUP_Table!$A$1:$B$4, 2, FALSE), "")</f>
        <v>Primary</v>
      </c>
      <c r="H4043">
        <v>1</v>
      </c>
      <c r="I4043">
        <v>30</v>
      </c>
      <c r="J4043" t="str">
        <f t="shared" si="378"/>
        <v>Smoker</v>
      </c>
      <c r="K4043">
        <v>0</v>
      </c>
      <c r="L4043">
        <v>0</v>
      </c>
      <c r="M4043">
        <v>0</v>
      </c>
      <c r="N4043">
        <v>0</v>
      </c>
      <c r="O4043">
        <v>241</v>
      </c>
      <c r="P4043" t="str">
        <f t="shared" si="379"/>
        <v>High</v>
      </c>
      <c r="Q4043">
        <v>136.5</v>
      </c>
      <c r="R4043">
        <v>85</v>
      </c>
      <c r="S4043">
        <v>26.42</v>
      </c>
      <c r="T4043" t="str">
        <f t="shared" si="380"/>
        <v>Overweight</v>
      </c>
      <c r="U4043">
        <v>70</v>
      </c>
      <c r="V4043">
        <v>77</v>
      </c>
      <c r="W4043" t="str">
        <f t="shared" si="383"/>
        <v>Normal</v>
      </c>
      <c r="X4043">
        <v>0</v>
      </c>
    </row>
    <row r="4044" spans="1:24" ht="14.5" thickBot="1" x14ac:dyDescent="0.35">
      <c r="A4044">
        <v>0</v>
      </c>
      <c r="B4044" t="str">
        <f t="shared" si="381"/>
        <v>Female</v>
      </c>
      <c r="C4044" s="8">
        <v>64</v>
      </c>
      <c r="D4044" t="str">
        <f t="shared" si="382"/>
        <v>Senior</v>
      </c>
      <c r="E4044">
        <v>3</v>
      </c>
      <c r="F4044" t="str">
        <f>HLOOKUP(E4044, LookUP_Table!$A$6:$D$7, 2, FALSE)</f>
        <v>Graduate</v>
      </c>
      <c r="G4044" t="str">
        <f>IFERROR(VLOOKUP(E4044, LookUP_Table!$A$1:$B$4, 2, FALSE), "")</f>
        <v>Graduate</v>
      </c>
      <c r="H4044">
        <v>0</v>
      </c>
      <c r="I4044">
        <v>0</v>
      </c>
      <c r="J4044" t="str">
        <f t="shared" si="378"/>
        <v>Non-Smoker</v>
      </c>
      <c r="K4044">
        <v>0</v>
      </c>
      <c r="L4044">
        <v>0</v>
      </c>
      <c r="M4044">
        <v>0</v>
      </c>
      <c r="N4044">
        <v>0</v>
      </c>
      <c r="O4044">
        <v>270</v>
      </c>
      <c r="P4044" t="str">
        <f t="shared" si="379"/>
        <v>High</v>
      </c>
      <c r="Q4044">
        <v>146</v>
      </c>
      <c r="R4044">
        <v>106</v>
      </c>
      <c r="S4044">
        <v>27.96</v>
      </c>
      <c r="T4044" t="str">
        <f t="shared" si="380"/>
        <v>Overweight</v>
      </c>
      <c r="U4044">
        <v>75</v>
      </c>
      <c r="V4044">
        <v>77</v>
      </c>
      <c r="W4044" t="str">
        <f t="shared" si="383"/>
        <v>Normal</v>
      </c>
      <c r="X4044">
        <v>0</v>
      </c>
    </row>
    <row r="4045" spans="1:24" ht="14.5" thickBot="1" x14ac:dyDescent="0.35">
      <c r="A4045">
        <v>1</v>
      </c>
      <c r="B4045" t="str">
        <f t="shared" si="381"/>
        <v>Male</v>
      </c>
      <c r="C4045" s="8">
        <v>64</v>
      </c>
      <c r="D4045" t="str">
        <f t="shared" si="382"/>
        <v>Senior</v>
      </c>
      <c r="E4045">
        <v>3</v>
      </c>
      <c r="F4045" t="str">
        <f>HLOOKUP(E4045, LookUP_Table!$A$6:$D$7, 2, FALSE)</f>
        <v>Graduate</v>
      </c>
      <c r="G4045" t="str">
        <f>IFERROR(VLOOKUP(E4045, LookUP_Table!$A$1:$B$4, 2, FALSE), "")</f>
        <v>Graduate</v>
      </c>
      <c r="H4045">
        <v>0</v>
      </c>
      <c r="I4045">
        <v>0</v>
      </c>
      <c r="J4045" t="str">
        <f t="shared" si="378"/>
        <v>Non-Smoker</v>
      </c>
      <c r="K4045">
        <v>0</v>
      </c>
      <c r="L4045">
        <v>0</v>
      </c>
      <c r="M4045">
        <v>0</v>
      </c>
      <c r="N4045">
        <v>0</v>
      </c>
      <c r="O4045">
        <v>227</v>
      </c>
      <c r="P4045" t="str">
        <f t="shared" si="379"/>
        <v>Normal</v>
      </c>
      <c r="Q4045">
        <v>102</v>
      </c>
      <c r="R4045">
        <v>61</v>
      </c>
      <c r="S4045">
        <v>23.29</v>
      </c>
      <c r="T4045" t="str">
        <f t="shared" si="380"/>
        <v>Normal</v>
      </c>
      <c r="U4045">
        <v>70</v>
      </c>
      <c r="V4045">
        <v>81</v>
      </c>
      <c r="W4045" t="str">
        <f t="shared" si="383"/>
        <v>Normal</v>
      </c>
      <c r="X4045">
        <v>0</v>
      </c>
    </row>
    <row r="4046" spans="1:24" ht="14.5" thickBot="1" x14ac:dyDescent="0.35">
      <c r="A4046">
        <v>1</v>
      </c>
      <c r="B4046" t="str">
        <f t="shared" si="381"/>
        <v>Male</v>
      </c>
      <c r="C4046" s="8">
        <v>64</v>
      </c>
      <c r="D4046" t="str">
        <f t="shared" si="382"/>
        <v>Senior</v>
      </c>
      <c r="E4046">
        <v>1</v>
      </c>
      <c r="F4046" t="str">
        <f>HLOOKUP(E4046, LookUP_Table!$A$6:$D$7, 2, FALSE)</f>
        <v>Primary</v>
      </c>
      <c r="G4046" t="str">
        <f>IFERROR(VLOOKUP(E4046, LookUP_Table!$A$1:$B$4, 2, FALSE), "")</f>
        <v>Primary</v>
      </c>
      <c r="H4046">
        <v>0</v>
      </c>
      <c r="I4046">
        <v>0</v>
      </c>
      <c r="J4046" t="str">
        <f t="shared" si="378"/>
        <v>Non-Smoker</v>
      </c>
      <c r="K4046">
        <v>0</v>
      </c>
      <c r="L4046">
        <v>0</v>
      </c>
      <c r="M4046">
        <v>1</v>
      </c>
      <c r="N4046">
        <v>0</v>
      </c>
      <c r="O4046">
        <v>189</v>
      </c>
      <c r="P4046" t="str">
        <f t="shared" si="379"/>
        <v>Normal</v>
      </c>
      <c r="Q4046">
        <v>156</v>
      </c>
      <c r="R4046">
        <v>69</v>
      </c>
      <c r="S4046">
        <v>21.68</v>
      </c>
      <c r="T4046" t="str">
        <f t="shared" si="380"/>
        <v>Normal</v>
      </c>
      <c r="U4046">
        <v>66</v>
      </c>
      <c r="V4046">
        <v>100</v>
      </c>
      <c r="W4046" t="str">
        <f t="shared" si="383"/>
        <v>Prediabetes</v>
      </c>
      <c r="X4046">
        <v>0</v>
      </c>
    </row>
    <row r="4047" spans="1:24" ht="14.5" thickBot="1" x14ac:dyDescent="0.35">
      <c r="A4047">
        <v>0</v>
      </c>
      <c r="B4047" t="str">
        <f t="shared" si="381"/>
        <v>Female</v>
      </c>
      <c r="C4047" s="8">
        <v>64</v>
      </c>
      <c r="D4047" t="str">
        <f t="shared" si="382"/>
        <v>Senior</v>
      </c>
      <c r="E4047">
        <v>2</v>
      </c>
      <c r="F4047" t="str">
        <f>HLOOKUP(E4047, LookUP_Table!$A$6:$D$7, 2, FALSE)</f>
        <v>Secondary</v>
      </c>
      <c r="G4047" t="str">
        <f>IFERROR(VLOOKUP(E4047, LookUP_Table!$A$1:$B$4, 2, FALSE), "")</f>
        <v>Secondary</v>
      </c>
      <c r="H4047">
        <v>0</v>
      </c>
      <c r="I4047">
        <v>0</v>
      </c>
      <c r="J4047" t="str">
        <f t="shared" si="378"/>
        <v>Non-Smoker</v>
      </c>
      <c r="K4047">
        <v>0</v>
      </c>
      <c r="L4047">
        <v>0</v>
      </c>
      <c r="M4047">
        <v>1</v>
      </c>
      <c r="N4047">
        <v>0</v>
      </c>
      <c r="O4047">
        <v>266</v>
      </c>
      <c r="P4047" t="str">
        <f t="shared" si="379"/>
        <v>High</v>
      </c>
      <c r="Q4047">
        <v>166</v>
      </c>
      <c r="R4047">
        <v>90</v>
      </c>
      <c r="S4047">
        <v>23.33</v>
      </c>
      <c r="T4047" t="str">
        <f t="shared" si="380"/>
        <v>Normal</v>
      </c>
      <c r="U4047">
        <v>82</v>
      </c>
      <c r="V4047">
        <v>87</v>
      </c>
      <c r="W4047" t="str">
        <f t="shared" si="383"/>
        <v>Normal</v>
      </c>
      <c r="X4047">
        <v>0</v>
      </c>
    </row>
    <row r="4048" spans="1:24" ht="14.5" thickBot="1" x14ac:dyDescent="0.35">
      <c r="A4048">
        <v>0</v>
      </c>
      <c r="B4048" t="str">
        <f t="shared" si="381"/>
        <v>Female</v>
      </c>
      <c r="C4048" s="8">
        <v>64</v>
      </c>
      <c r="D4048" t="str">
        <f t="shared" si="382"/>
        <v>Senior</v>
      </c>
      <c r="E4048">
        <v>1</v>
      </c>
      <c r="F4048" t="str">
        <f>HLOOKUP(E4048, LookUP_Table!$A$6:$D$7, 2, FALSE)</f>
        <v>Primary</v>
      </c>
      <c r="G4048" t="str">
        <f>IFERROR(VLOOKUP(E4048, LookUP_Table!$A$1:$B$4, 2, FALSE), "")</f>
        <v>Primary</v>
      </c>
      <c r="H4048">
        <v>0</v>
      </c>
      <c r="I4048">
        <v>0</v>
      </c>
      <c r="J4048" t="str">
        <f t="shared" si="378"/>
        <v>Non-Smoker</v>
      </c>
      <c r="K4048">
        <v>0</v>
      </c>
      <c r="L4048">
        <v>0</v>
      </c>
      <c r="M4048">
        <v>1</v>
      </c>
      <c r="N4048">
        <v>0</v>
      </c>
      <c r="O4048">
        <v>270</v>
      </c>
      <c r="P4048" t="str">
        <f t="shared" si="379"/>
        <v>High</v>
      </c>
      <c r="Q4048">
        <v>155</v>
      </c>
      <c r="R4048">
        <v>93</v>
      </c>
      <c r="S4048">
        <v>35.35</v>
      </c>
      <c r="T4048" t="str">
        <f t="shared" si="380"/>
        <v>Obese</v>
      </c>
      <c r="U4048">
        <v>83</v>
      </c>
      <c r="V4048">
        <v>112</v>
      </c>
      <c r="W4048" t="str">
        <f t="shared" si="383"/>
        <v>Prediabetes</v>
      </c>
      <c r="X4048">
        <v>0</v>
      </c>
    </row>
    <row r="4049" spans="1:24" ht="14.5" thickBot="1" x14ac:dyDescent="0.35">
      <c r="A4049">
        <v>1</v>
      </c>
      <c r="B4049" t="str">
        <f t="shared" si="381"/>
        <v>Male</v>
      </c>
      <c r="C4049" s="8">
        <v>64</v>
      </c>
      <c r="D4049" t="str">
        <f t="shared" si="382"/>
        <v>Senior</v>
      </c>
      <c r="E4049">
        <v>1</v>
      </c>
      <c r="F4049" t="str">
        <f>HLOOKUP(E4049, LookUP_Table!$A$6:$D$7, 2, FALSE)</f>
        <v>Primary</v>
      </c>
      <c r="G4049" t="str">
        <f>IFERROR(VLOOKUP(E4049, LookUP_Table!$A$1:$B$4, 2, FALSE), "")</f>
        <v>Primary</v>
      </c>
      <c r="H4049">
        <v>1</v>
      </c>
      <c r="I4049">
        <v>20</v>
      </c>
      <c r="J4049" t="str">
        <f t="shared" si="378"/>
        <v>Smoker</v>
      </c>
      <c r="K4049">
        <v>0</v>
      </c>
      <c r="L4049">
        <v>0</v>
      </c>
      <c r="M4049">
        <v>1</v>
      </c>
      <c r="N4049">
        <v>0</v>
      </c>
      <c r="O4049">
        <v>214</v>
      </c>
      <c r="P4049" t="str">
        <f t="shared" si="379"/>
        <v>Normal</v>
      </c>
      <c r="Q4049">
        <v>155</v>
      </c>
      <c r="R4049">
        <v>99</v>
      </c>
      <c r="S4049">
        <v>22.46</v>
      </c>
      <c r="T4049" t="str">
        <f t="shared" si="380"/>
        <v>Normal</v>
      </c>
      <c r="U4049">
        <v>75</v>
      </c>
      <c r="V4049">
        <v>82</v>
      </c>
      <c r="W4049" t="str">
        <f t="shared" si="383"/>
        <v>Normal</v>
      </c>
      <c r="X4049">
        <v>0</v>
      </c>
    </row>
    <row r="4050" spans="1:24" ht="14.5" thickBot="1" x14ac:dyDescent="0.35">
      <c r="A4050">
        <v>0</v>
      </c>
      <c r="B4050" t="str">
        <f t="shared" si="381"/>
        <v>Female</v>
      </c>
      <c r="C4050" s="8">
        <v>64</v>
      </c>
      <c r="D4050" t="str">
        <f t="shared" si="382"/>
        <v>Senior</v>
      </c>
      <c r="E4050">
        <v>1</v>
      </c>
      <c r="F4050" t="str">
        <f>HLOOKUP(E4050, LookUP_Table!$A$6:$D$7, 2, FALSE)</f>
        <v>Primary</v>
      </c>
      <c r="G4050" t="str">
        <f>IFERROR(VLOOKUP(E4050, LookUP_Table!$A$1:$B$4, 2, FALSE), "")</f>
        <v>Primary</v>
      </c>
      <c r="H4050">
        <v>1</v>
      </c>
      <c r="I4050">
        <v>10</v>
      </c>
      <c r="J4050" t="str">
        <f t="shared" si="378"/>
        <v>Smoker</v>
      </c>
      <c r="K4050">
        <v>0</v>
      </c>
      <c r="L4050">
        <v>0</v>
      </c>
      <c r="M4050">
        <v>1</v>
      </c>
      <c r="N4050">
        <v>0</v>
      </c>
      <c r="O4050">
        <v>236.69952267303103</v>
      </c>
      <c r="P4050" t="str">
        <f t="shared" si="379"/>
        <v>Normal</v>
      </c>
      <c r="Q4050">
        <v>160</v>
      </c>
      <c r="R4050">
        <v>98</v>
      </c>
      <c r="S4050">
        <v>26.24</v>
      </c>
      <c r="T4050" t="str">
        <f t="shared" si="380"/>
        <v>Overweight</v>
      </c>
      <c r="U4050">
        <v>85</v>
      </c>
      <c r="V4050">
        <v>81.96365524402907</v>
      </c>
      <c r="W4050" t="str">
        <f t="shared" si="383"/>
        <v>Normal</v>
      </c>
      <c r="X4050">
        <v>0</v>
      </c>
    </row>
    <row r="4051" spans="1:24" ht="14.5" thickBot="1" x14ac:dyDescent="0.35">
      <c r="A4051">
        <v>1</v>
      </c>
      <c r="B4051" t="str">
        <f t="shared" si="381"/>
        <v>Male</v>
      </c>
      <c r="C4051" s="8">
        <v>64</v>
      </c>
      <c r="D4051" t="str">
        <f t="shared" si="382"/>
        <v>Senior</v>
      </c>
      <c r="E4051">
        <v>1</v>
      </c>
      <c r="F4051" t="str">
        <f>HLOOKUP(E4051, LookUP_Table!$A$6:$D$7, 2, FALSE)</f>
        <v>Primary</v>
      </c>
      <c r="G4051" t="str">
        <f>IFERROR(VLOOKUP(E4051, LookUP_Table!$A$1:$B$4, 2, FALSE), "")</f>
        <v>Primary</v>
      </c>
      <c r="H4051">
        <v>0</v>
      </c>
      <c r="I4051">
        <v>0</v>
      </c>
      <c r="J4051" t="str">
        <f t="shared" si="378"/>
        <v>Non-Smoker</v>
      </c>
      <c r="K4051">
        <v>0</v>
      </c>
      <c r="L4051">
        <v>0</v>
      </c>
      <c r="M4051">
        <v>1</v>
      </c>
      <c r="N4051">
        <v>0</v>
      </c>
      <c r="O4051">
        <v>188</v>
      </c>
      <c r="P4051" t="str">
        <f t="shared" si="379"/>
        <v>Normal</v>
      </c>
      <c r="Q4051">
        <v>191</v>
      </c>
      <c r="R4051">
        <v>106</v>
      </c>
      <c r="S4051">
        <v>37.380000000000003</v>
      </c>
      <c r="T4051" t="str">
        <f t="shared" si="380"/>
        <v>Obese</v>
      </c>
      <c r="U4051">
        <v>82</v>
      </c>
      <c r="V4051">
        <v>84</v>
      </c>
      <c r="W4051" t="str">
        <f t="shared" si="383"/>
        <v>Normal</v>
      </c>
      <c r="X4051">
        <v>0</v>
      </c>
    </row>
    <row r="4052" spans="1:24" ht="14.5" thickBot="1" x14ac:dyDescent="0.35">
      <c r="A4052">
        <v>0</v>
      </c>
      <c r="B4052" t="str">
        <f t="shared" si="381"/>
        <v>Female</v>
      </c>
      <c r="C4052" s="8">
        <v>64</v>
      </c>
      <c r="D4052" t="str">
        <f t="shared" si="382"/>
        <v>Senior</v>
      </c>
      <c r="E4052">
        <v>1</v>
      </c>
      <c r="F4052" t="str">
        <f>HLOOKUP(E4052, LookUP_Table!$A$6:$D$7, 2, FALSE)</f>
        <v>Primary</v>
      </c>
      <c r="G4052" t="str">
        <f>IFERROR(VLOOKUP(E4052, LookUP_Table!$A$1:$B$4, 2, FALSE), "")</f>
        <v>Primary</v>
      </c>
      <c r="H4052">
        <v>0</v>
      </c>
      <c r="I4052">
        <v>0</v>
      </c>
      <c r="J4052" t="str">
        <f t="shared" si="378"/>
        <v>Non-Smoker</v>
      </c>
      <c r="K4052">
        <v>0</v>
      </c>
      <c r="L4052">
        <v>0</v>
      </c>
      <c r="M4052">
        <v>1</v>
      </c>
      <c r="N4052">
        <v>0</v>
      </c>
      <c r="O4052">
        <v>262</v>
      </c>
      <c r="P4052" t="str">
        <f t="shared" si="379"/>
        <v>High</v>
      </c>
      <c r="Q4052">
        <v>160</v>
      </c>
      <c r="R4052">
        <v>82</v>
      </c>
      <c r="S4052">
        <v>21.11</v>
      </c>
      <c r="T4052" t="str">
        <f t="shared" si="380"/>
        <v>Normal</v>
      </c>
      <c r="U4052">
        <v>108</v>
      </c>
      <c r="V4052">
        <v>90</v>
      </c>
      <c r="W4052" t="str">
        <f t="shared" si="383"/>
        <v>Normal</v>
      </c>
      <c r="X4052">
        <v>0</v>
      </c>
    </row>
    <row r="4053" spans="1:24" ht="14.5" thickBot="1" x14ac:dyDescent="0.35">
      <c r="A4053">
        <v>0</v>
      </c>
      <c r="B4053" t="str">
        <f t="shared" si="381"/>
        <v>Female</v>
      </c>
      <c r="C4053" s="8">
        <v>64</v>
      </c>
      <c r="D4053" t="str">
        <f t="shared" si="382"/>
        <v>Senior</v>
      </c>
      <c r="E4053">
        <v>1</v>
      </c>
      <c r="F4053" t="str">
        <f>HLOOKUP(E4053, LookUP_Table!$A$6:$D$7, 2, FALSE)</f>
        <v>Primary</v>
      </c>
      <c r="G4053" t="str">
        <f>IFERROR(VLOOKUP(E4053, LookUP_Table!$A$1:$B$4, 2, FALSE), "")</f>
        <v>Primary</v>
      </c>
      <c r="H4053">
        <v>0</v>
      </c>
      <c r="I4053">
        <v>0</v>
      </c>
      <c r="J4053" t="str">
        <f t="shared" si="378"/>
        <v>Non-Smoker</v>
      </c>
      <c r="K4053">
        <v>0</v>
      </c>
      <c r="L4053">
        <v>0</v>
      </c>
      <c r="M4053">
        <v>1</v>
      </c>
      <c r="N4053">
        <v>0</v>
      </c>
      <c r="O4053">
        <v>255</v>
      </c>
      <c r="P4053" t="str">
        <f t="shared" si="379"/>
        <v>High</v>
      </c>
      <c r="Q4053">
        <v>147.5</v>
      </c>
      <c r="R4053">
        <v>93</v>
      </c>
      <c r="S4053">
        <v>25.16</v>
      </c>
      <c r="T4053" t="str">
        <f t="shared" si="380"/>
        <v>Overweight</v>
      </c>
      <c r="U4053">
        <v>95</v>
      </c>
      <c r="V4053">
        <v>84</v>
      </c>
      <c r="W4053" t="str">
        <f t="shared" si="383"/>
        <v>Normal</v>
      </c>
      <c r="X4053">
        <v>0</v>
      </c>
    </row>
    <row r="4054" spans="1:24" ht="14.5" thickBot="1" x14ac:dyDescent="0.35">
      <c r="A4054">
        <v>1</v>
      </c>
      <c r="B4054" t="str">
        <f t="shared" si="381"/>
        <v>Male</v>
      </c>
      <c r="C4054" s="8">
        <v>64</v>
      </c>
      <c r="D4054" t="str">
        <f t="shared" si="382"/>
        <v>Senior</v>
      </c>
      <c r="E4054">
        <v>1</v>
      </c>
      <c r="F4054" t="str">
        <f>HLOOKUP(E4054, LookUP_Table!$A$6:$D$7, 2, FALSE)</f>
        <v>Primary</v>
      </c>
      <c r="G4054" t="str">
        <f>IFERROR(VLOOKUP(E4054, LookUP_Table!$A$1:$B$4, 2, FALSE), "")</f>
        <v>Primary</v>
      </c>
      <c r="H4054">
        <v>1</v>
      </c>
      <c r="I4054">
        <v>20</v>
      </c>
      <c r="J4054" t="str">
        <f t="shared" si="378"/>
        <v>Smoker</v>
      </c>
      <c r="K4054">
        <v>0</v>
      </c>
      <c r="L4054">
        <v>0</v>
      </c>
      <c r="M4054">
        <v>0</v>
      </c>
      <c r="N4054">
        <v>0</v>
      </c>
      <c r="O4054">
        <v>259</v>
      </c>
      <c r="P4054" t="str">
        <f t="shared" si="379"/>
        <v>High</v>
      </c>
      <c r="Q4054">
        <v>115</v>
      </c>
      <c r="R4054">
        <v>81</v>
      </c>
      <c r="S4054">
        <v>20.09</v>
      </c>
      <c r="T4054" t="str">
        <f t="shared" si="380"/>
        <v>Normal</v>
      </c>
      <c r="U4054">
        <v>72</v>
      </c>
      <c r="V4054">
        <v>78</v>
      </c>
      <c r="W4054" t="str">
        <f t="shared" si="383"/>
        <v>Normal</v>
      </c>
      <c r="X4054">
        <v>0</v>
      </c>
    </row>
    <row r="4055" spans="1:24" ht="14.5" thickBot="1" x14ac:dyDescent="0.35">
      <c r="A4055">
        <v>0</v>
      </c>
      <c r="B4055" t="str">
        <f t="shared" si="381"/>
        <v>Female</v>
      </c>
      <c r="C4055" s="8">
        <v>64</v>
      </c>
      <c r="D4055" t="str">
        <f t="shared" si="382"/>
        <v>Senior</v>
      </c>
      <c r="E4055">
        <v>1</v>
      </c>
      <c r="F4055" t="str">
        <f>HLOOKUP(E4055, LookUP_Table!$A$6:$D$7, 2, FALSE)</f>
        <v>Primary</v>
      </c>
      <c r="G4055" t="str">
        <f>IFERROR(VLOOKUP(E4055, LookUP_Table!$A$1:$B$4, 2, FALSE), "")</f>
        <v>Primary</v>
      </c>
      <c r="H4055">
        <v>0</v>
      </c>
      <c r="I4055">
        <v>0</v>
      </c>
      <c r="J4055" t="str">
        <f t="shared" si="378"/>
        <v>Non-Smoker</v>
      </c>
      <c r="K4055">
        <v>0</v>
      </c>
      <c r="L4055">
        <v>0</v>
      </c>
      <c r="M4055">
        <v>0</v>
      </c>
      <c r="N4055">
        <v>0</v>
      </c>
      <c r="O4055">
        <v>305</v>
      </c>
      <c r="P4055" t="str">
        <f t="shared" si="379"/>
        <v>High</v>
      </c>
      <c r="Q4055">
        <v>126.5</v>
      </c>
      <c r="R4055">
        <v>67</v>
      </c>
      <c r="S4055">
        <v>25.77</v>
      </c>
      <c r="T4055" t="str">
        <f t="shared" si="380"/>
        <v>Overweight</v>
      </c>
      <c r="U4055">
        <v>67</v>
      </c>
      <c r="V4055">
        <v>66</v>
      </c>
      <c r="W4055" t="str">
        <f t="shared" si="383"/>
        <v>Normal</v>
      </c>
      <c r="X4055">
        <v>1</v>
      </c>
    </row>
    <row r="4056" spans="1:24" ht="14.5" thickBot="1" x14ac:dyDescent="0.35">
      <c r="A4056">
        <v>1</v>
      </c>
      <c r="B4056" t="str">
        <f t="shared" si="381"/>
        <v>Male</v>
      </c>
      <c r="C4056" s="8">
        <v>64</v>
      </c>
      <c r="D4056" t="str">
        <f t="shared" si="382"/>
        <v>Senior</v>
      </c>
      <c r="E4056">
        <v>2</v>
      </c>
      <c r="F4056" t="str">
        <f>HLOOKUP(E4056, LookUP_Table!$A$6:$D$7, 2, FALSE)</f>
        <v>Secondary</v>
      </c>
      <c r="G4056" t="str">
        <f>IFERROR(VLOOKUP(E4056, LookUP_Table!$A$1:$B$4, 2, FALSE), "")</f>
        <v>Secondary</v>
      </c>
      <c r="H4056">
        <v>1</v>
      </c>
      <c r="I4056">
        <v>20</v>
      </c>
      <c r="J4056" t="str">
        <f t="shared" si="378"/>
        <v>Smoker</v>
      </c>
      <c r="K4056">
        <v>0</v>
      </c>
      <c r="L4056">
        <v>0</v>
      </c>
      <c r="M4056">
        <v>0</v>
      </c>
      <c r="N4056">
        <v>0</v>
      </c>
      <c r="O4056">
        <v>225</v>
      </c>
      <c r="P4056" t="str">
        <f t="shared" si="379"/>
        <v>Normal</v>
      </c>
      <c r="Q4056">
        <v>120</v>
      </c>
      <c r="R4056">
        <v>75</v>
      </c>
      <c r="S4056">
        <v>25.80080075811421</v>
      </c>
      <c r="T4056" t="str">
        <f t="shared" si="380"/>
        <v>Overweight</v>
      </c>
      <c r="U4056">
        <v>70</v>
      </c>
      <c r="V4056">
        <v>94</v>
      </c>
      <c r="W4056" t="str">
        <f t="shared" si="383"/>
        <v>Normal</v>
      </c>
      <c r="X4056">
        <v>0</v>
      </c>
    </row>
    <row r="4057" spans="1:24" ht="14.5" thickBot="1" x14ac:dyDescent="0.35">
      <c r="A4057">
        <v>1</v>
      </c>
      <c r="B4057" t="str">
        <f t="shared" si="381"/>
        <v>Male</v>
      </c>
      <c r="C4057" s="8">
        <v>64</v>
      </c>
      <c r="D4057" t="str">
        <f t="shared" si="382"/>
        <v>Senior</v>
      </c>
      <c r="E4057">
        <v>1</v>
      </c>
      <c r="F4057" t="str">
        <f>HLOOKUP(E4057, LookUP_Table!$A$6:$D$7, 2, FALSE)</f>
        <v>Primary</v>
      </c>
      <c r="G4057" t="str">
        <f>IFERROR(VLOOKUP(E4057, LookUP_Table!$A$1:$B$4, 2, FALSE), "")</f>
        <v>Primary</v>
      </c>
      <c r="H4057">
        <v>0</v>
      </c>
      <c r="I4057">
        <v>0</v>
      </c>
      <c r="J4057" t="str">
        <f t="shared" si="378"/>
        <v>Non-Smoker</v>
      </c>
      <c r="K4057">
        <v>0</v>
      </c>
      <c r="L4057">
        <v>0</v>
      </c>
      <c r="M4057">
        <v>0</v>
      </c>
      <c r="N4057">
        <v>0</v>
      </c>
      <c r="O4057">
        <v>185</v>
      </c>
      <c r="P4057" t="str">
        <f t="shared" si="379"/>
        <v>Normal</v>
      </c>
      <c r="Q4057">
        <v>94</v>
      </c>
      <c r="R4057">
        <v>62</v>
      </c>
      <c r="S4057">
        <v>26.11</v>
      </c>
      <c r="T4057" t="str">
        <f t="shared" si="380"/>
        <v>Overweight</v>
      </c>
      <c r="U4057">
        <v>70</v>
      </c>
      <c r="V4057">
        <v>68</v>
      </c>
      <c r="W4057" t="str">
        <f t="shared" si="383"/>
        <v>Normal</v>
      </c>
      <c r="X4057">
        <v>0</v>
      </c>
    </row>
    <row r="4058" spans="1:24" ht="14.5" thickBot="1" x14ac:dyDescent="0.35">
      <c r="A4058">
        <v>0</v>
      </c>
      <c r="B4058" t="str">
        <f t="shared" si="381"/>
        <v>Female</v>
      </c>
      <c r="C4058" s="8">
        <v>64</v>
      </c>
      <c r="D4058" t="str">
        <f t="shared" si="382"/>
        <v>Senior</v>
      </c>
      <c r="E4058">
        <v>2</v>
      </c>
      <c r="F4058" t="str">
        <f>HLOOKUP(E4058, LookUP_Table!$A$6:$D$7, 2, FALSE)</f>
        <v>Secondary</v>
      </c>
      <c r="G4058" t="str">
        <f>IFERROR(VLOOKUP(E4058, LookUP_Table!$A$1:$B$4, 2, FALSE), "")</f>
        <v>Secondary</v>
      </c>
      <c r="H4058">
        <v>0</v>
      </c>
      <c r="I4058">
        <v>0</v>
      </c>
      <c r="J4058" t="str">
        <f t="shared" si="378"/>
        <v>Non-Smoker</v>
      </c>
      <c r="K4058">
        <v>0</v>
      </c>
      <c r="L4058">
        <v>0</v>
      </c>
      <c r="M4058">
        <v>0</v>
      </c>
      <c r="N4058">
        <v>0</v>
      </c>
      <c r="O4058">
        <v>280</v>
      </c>
      <c r="P4058" t="str">
        <f t="shared" si="379"/>
        <v>High</v>
      </c>
      <c r="Q4058">
        <v>133</v>
      </c>
      <c r="R4058">
        <v>82</v>
      </c>
      <c r="S4058">
        <v>28.92</v>
      </c>
      <c r="T4058" t="str">
        <f t="shared" si="380"/>
        <v>Overweight</v>
      </c>
      <c r="U4058">
        <v>54</v>
      </c>
      <c r="V4058">
        <v>65</v>
      </c>
      <c r="W4058" t="str">
        <f t="shared" si="383"/>
        <v>Normal</v>
      </c>
      <c r="X4058">
        <v>0</v>
      </c>
    </row>
    <row r="4059" spans="1:24" ht="14.5" thickBot="1" x14ac:dyDescent="0.35">
      <c r="A4059">
        <v>0</v>
      </c>
      <c r="B4059" t="str">
        <f t="shared" si="381"/>
        <v>Female</v>
      </c>
      <c r="C4059" s="8">
        <v>64</v>
      </c>
      <c r="D4059" t="str">
        <f t="shared" si="382"/>
        <v>Senior</v>
      </c>
      <c r="E4059">
        <v>1</v>
      </c>
      <c r="F4059" t="str">
        <f>HLOOKUP(E4059, LookUP_Table!$A$6:$D$7, 2, FALSE)</f>
        <v>Primary</v>
      </c>
      <c r="G4059" t="str">
        <f>IFERROR(VLOOKUP(E4059, LookUP_Table!$A$1:$B$4, 2, FALSE), "")</f>
        <v>Primary</v>
      </c>
      <c r="H4059">
        <v>1</v>
      </c>
      <c r="I4059">
        <v>20</v>
      </c>
      <c r="J4059" t="str">
        <f t="shared" si="378"/>
        <v>Smoker</v>
      </c>
      <c r="K4059">
        <v>0</v>
      </c>
      <c r="L4059">
        <v>0</v>
      </c>
      <c r="M4059">
        <v>0</v>
      </c>
      <c r="N4059">
        <v>0</v>
      </c>
      <c r="O4059">
        <v>272</v>
      </c>
      <c r="P4059" t="str">
        <f t="shared" si="379"/>
        <v>High</v>
      </c>
      <c r="Q4059">
        <v>131</v>
      </c>
      <c r="R4059">
        <v>85</v>
      </c>
      <c r="S4059">
        <v>21.82</v>
      </c>
      <c r="T4059" t="str">
        <f t="shared" si="380"/>
        <v>Normal</v>
      </c>
      <c r="U4059">
        <v>70</v>
      </c>
      <c r="V4059">
        <v>80</v>
      </c>
      <c r="W4059" t="str">
        <f t="shared" si="383"/>
        <v>Normal</v>
      </c>
      <c r="X4059">
        <v>0</v>
      </c>
    </row>
    <row r="4060" spans="1:24" ht="14.5" thickBot="1" x14ac:dyDescent="0.35">
      <c r="A4060">
        <v>0</v>
      </c>
      <c r="B4060" t="str">
        <f t="shared" si="381"/>
        <v>Female</v>
      </c>
      <c r="C4060" s="8">
        <v>64</v>
      </c>
      <c r="D4060" t="str">
        <f t="shared" si="382"/>
        <v>Senior</v>
      </c>
      <c r="E4060">
        <v>4</v>
      </c>
      <c r="F4060" t="str">
        <f>HLOOKUP(E4060, LookUP_Table!$A$6:$D$7, 2, FALSE)</f>
        <v>Post Graduate</v>
      </c>
      <c r="G4060" t="str">
        <f>IFERROR(VLOOKUP(E4060, LookUP_Table!$A$1:$B$4, 2, FALSE), "")</f>
        <v>Post Graduate</v>
      </c>
      <c r="H4060">
        <v>1</v>
      </c>
      <c r="I4060">
        <v>6</v>
      </c>
      <c r="J4060" t="str">
        <f t="shared" si="378"/>
        <v>Smoker</v>
      </c>
      <c r="K4060">
        <v>0</v>
      </c>
      <c r="L4060">
        <v>0</v>
      </c>
      <c r="M4060">
        <v>1</v>
      </c>
      <c r="N4060">
        <v>0</v>
      </c>
      <c r="O4060">
        <v>239</v>
      </c>
      <c r="P4060" t="str">
        <f t="shared" si="379"/>
        <v>Normal</v>
      </c>
      <c r="Q4060">
        <v>143</v>
      </c>
      <c r="R4060">
        <v>84</v>
      </c>
      <c r="S4060">
        <v>20.059999999999999</v>
      </c>
      <c r="T4060" t="str">
        <f t="shared" si="380"/>
        <v>Normal</v>
      </c>
      <c r="U4060">
        <v>55</v>
      </c>
      <c r="V4060">
        <v>73</v>
      </c>
      <c r="W4060" t="str">
        <f t="shared" si="383"/>
        <v>Normal</v>
      </c>
      <c r="X4060">
        <v>0</v>
      </c>
    </row>
    <row r="4061" spans="1:24" ht="14.5" thickBot="1" x14ac:dyDescent="0.35">
      <c r="A4061">
        <v>0</v>
      </c>
      <c r="B4061" t="str">
        <f t="shared" si="381"/>
        <v>Female</v>
      </c>
      <c r="C4061" s="8">
        <v>64</v>
      </c>
      <c r="D4061" t="str">
        <f t="shared" si="382"/>
        <v>Senior</v>
      </c>
      <c r="E4061">
        <v>1</v>
      </c>
      <c r="F4061" t="str">
        <f>HLOOKUP(E4061, LookUP_Table!$A$6:$D$7, 2, FALSE)</f>
        <v>Primary</v>
      </c>
      <c r="G4061" t="str">
        <f>IFERROR(VLOOKUP(E4061, LookUP_Table!$A$1:$B$4, 2, FALSE), "")</f>
        <v>Primary</v>
      </c>
      <c r="H4061">
        <v>0</v>
      </c>
      <c r="I4061">
        <v>0</v>
      </c>
      <c r="J4061" t="str">
        <f t="shared" si="378"/>
        <v>Non-Smoker</v>
      </c>
      <c r="K4061">
        <v>1</v>
      </c>
      <c r="L4061">
        <v>0</v>
      </c>
      <c r="M4061">
        <v>1</v>
      </c>
      <c r="N4061">
        <v>0</v>
      </c>
      <c r="O4061">
        <v>285</v>
      </c>
      <c r="P4061" t="str">
        <f t="shared" si="379"/>
        <v>High</v>
      </c>
      <c r="Q4061">
        <v>160</v>
      </c>
      <c r="R4061">
        <v>87</v>
      </c>
      <c r="S4061">
        <v>29.97</v>
      </c>
      <c r="T4061" t="str">
        <f t="shared" si="380"/>
        <v>Overweight</v>
      </c>
      <c r="U4061">
        <v>65</v>
      </c>
      <c r="V4061">
        <v>87</v>
      </c>
      <c r="W4061" t="str">
        <f t="shared" si="383"/>
        <v>Normal</v>
      </c>
      <c r="X4061">
        <v>0</v>
      </c>
    </row>
    <row r="4062" spans="1:24" ht="14.5" thickBot="1" x14ac:dyDescent="0.35">
      <c r="A4062">
        <v>0</v>
      </c>
      <c r="B4062" t="str">
        <f t="shared" si="381"/>
        <v>Female</v>
      </c>
      <c r="C4062" s="8">
        <v>64</v>
      </c>
      <c r="D4062" t="str">
        <f t="shared" si="382"/>
        <v>Senior</v>
      </c>
      <c r="E4062">
        <v>2</v>
      </c>
      <c r="F4062" t="str">
        <f>HLOOKUP(E4062, LookUP_Table!$A$6:$D$7, 2, FALSE)</f>
        <v>Secondary</v>
      </c>
      <c r="G4062" t="str">
        <f>IFERROR(VLOOKUP(E4062, LookUP_Table!$A$1:$B$4, 2, FALSE), "")</f>
        <v>Secondary</v>
      </c>
      <c r="H4062">
        <v>1</v>
      </c>
      <c r="I4062">
        <v>15</v>
      </c>
      <c r="J4062" t="str">
        <f t="shared" si="378"/>
        <v>Smoker</v>
      </c>
      <c r="K4062">
        <v>0</v>
      </c>
      <c r="L4062">
        <v>0</v>
      </c>
      <c r="M4062">
        <v>1</v>
      </c>
      <c r="N4062">
        <v>0</v>
      </c>
      <c r="O4062">
        <v>259</v>
      </c>
      <c r="P4062" t="str">
        <f t="shared" si="379"/>
        <v>High</v>
      </c>
      <c r="Q4062">
        <v>195</v>
      </c>
      <c r="R4062">
        <v>110</v>
      </c>
      <c r="S4062">
        <v>20.09</v>
      </c>
      <c r="T4062" t="str">
        <f t="shared" si="380"/>
        <v>Normal</v>
      </c>
      <c r="U4062">
        <v>75</v>
      </c>
      <c r="V4062">
        <v>63</v>
      </c>
      <c r="W4062" t="str">
        <f t="shared" si="383"/>
        <v>Normal</v>
      </c>
      <c r="X4062">
        <v>1</v>
      </c>
    </row>
    <row r="4063" spans="1:24" ht="14.5" thickBot="1" x14ac:dyDescent="0.35">
      <c r="A4063">
        <v>0</v>
      </c>
      <c r="B4063" t="str">
        <f t="shared" si="381"/>
        <v>Female</v>
      </c>
      <c r="C4063" s="8">
        <v>64</v>
      </c>
      <c r="D4063" t="str">
        <f t="shared" si="382"/>
        <v>Senior</v>
      </c>
      <c r="E4063">
        <v>2</v>
      </c>
      <c r="F4063" t="str">
        <f>HLOOKUP(E4063, LookUP_Table!$A$6:$D$7, 2, FALSE)</f>
        <v>Secondary</v>
      </c>
      <c r="G4063" t="str">
        <f>IFERROR(VLOOKUP(E4063, LookUP_Table!$A$1:$B$4, 2, FALSE), "")</f>
        <v>Secondary</v>
      </c>
      <c r="H4063">
        <v>0</v>
      </c>
      <c r="I4063">
        <v>0</v>
      </c>
      <c r="J4063" t="str">
        <f t="shared" si="378"/>
        <v>Non-Smoker</v>
      </c>
      <c r="K4063">
        <v>0</v>
      </c>
      <c r="L4063">
        <v>0</v>
      </c>
      <c r="M4063">
        <v>1</v>
      </c>
      <c r="N4063">
        <v>0</v>
      </c>
      <c r="O4063">
        <v>272</v>
      </c>
      <c r="P4063" t="str">
        <f t="shared" si="379"/>
        <v>High</v>
      </c>
      <c r="Q4063">
        <v>149.5</v>
      </c>
      <c r="R4063">
        <v>86</v>
      </c>
      <c r="S4063">
        <v>26.91</v>
      </c>
      <c r="T4063" t="str">
        <f t="shared" si="380"/>
        <v>Overweight</v>
      </c>
      <c r="U4063">
        <v>85</v>
      </c>
      <c r="V4063">
        <v>62</v>
      </c>
      <c r="W4063" t="str">
        <f t="shared" si="383"/>
        <v>Normal</v>
      </c>
      <c r="X4063">
        <v>0</v>
      </c>
    </row>
    <row r="4064" spans="1:24" ht="14.5" thickBot="1" x14ac:dyDescent="0.35">
      <c r="A4064">
        <v>0</v>
      </c>
      <c r="B4064" t="str">
        <f t="shared" si="381"/>
        <v>Female</v>
      </c>
      <c r="C4064" s="8">
        <v>64</v>
      </c>
      <c r="D4064" t="str">
        <f t="shared" si="382"/>
        <v>Senior</v>
      </c>
      <c r="E4064">
        <v>2</v>
      </c>
      <c r="F4064" t="str">
        <f>HLOOKUP(E4064, LookUP_Table!$A$6:$D$7, 2, FALSE)</f>
        <v>Secondary</v>
      </c>
      <c r="G4064" t="str">
        <f>IFERROR(VLOOKUP(E4064, LookUP_Table!$A$1:$B$4, 2, FALSE), "")</f>
        <v>Secondary</v>
      </c>
      <c r="H4064">
        <v>1</v>
      </c>
      <c r="I4064">
        <v>20</v>
      </c>
      <c r="J4064" t="str">
        <f t="shared" si="378"/>
        <v>Smoker</v>
      </c>
      <c r="K4064">
        <v>0</v>
      </c>
      <c r="L4064">
        <v>0</v>
      </c>
      <c r="M4064">
        <v>1</v>
      </c>
      <c r="N4064">
        <v>0</v>
      </c>
      <c r="O4064">
        <v>282</v>
      </c>
      <c r="P4064" t="str">
        <f t="shared" si="379"/>
        <v>High</v>
      </c>
      <c r="Q4064">
        <v>142</v>
      </c>
      <c r="R4064">
        <v>82</v>
      </c>
      <c r="S4064">
        <v>24.02</v>
      </c>
      <c r="T4064" t="str">
        <f t="shared" si="380"/>
        <v>Normal</v>
      </c>
      <c r="U4064">
        <v>78</v>
      </c>
      <c r="V4064">
        <v>81.96365524402907</v>
      </c>
      <c r="W4064" t="str">
        <f t="shared" si="383"/>
        <v>Normal</v>
      </c>
      <c r="X4064">
        <v>0</v>
      </c>
    </row>
    <row r="4065" spans="1:24" ht="14.5" thickBot="1" x14ac:dyDescent="0.35">
      <c r="A4065">
        <v>0</v>
      </c>
      <c r="B4065" t="str">
        <f t="shared" si="381"/>
        <v>Female</v>
      </c>
      <c r="C4065" s="8">
        <v>64</v>
      </c>
      <c r="D4065" t="str">
        <f t="shared" si="382"/>
        <v>Senior</v>
      </c>
      <c r="E4065">
        <v>3</v>
      </c>
      <c r="F4065" t="str">
        <f>HLOOKUP(E4065, LookUP_Table!$A$6:$D$7, 2, FALSE)</f>
        <v>Graduate</v>
      </c>
      <c r="G4065" t="str">
        <f>IFERROR(VLOOKUP(E4065, LookUP_Table!$A$1:$B$4, 2, FALSE), "")</f>
        <v>Graduate</v>
      </c>
      <c r="H4065">
        <v>0</v>
      </c>
      <c r="I4065">
        <v>0</v>
      </c>
      <c r="J4065" t="str">
        <f t="shared" si="378"/>
        <v>Non-Smoker</v>
      </c>
      <c r="K4065">
        <v>0</v>
      </c>
      <c r="L4065">
        <v>0</v>
      </c>
      <c r="M4065">
        <v>1</v>
      </c>
      <c r="N4065">
        <v>0</v>
      </c>
      <c r="O4065">
        <v>200</v>
      </c>
      <c r="P4065" t="str">
        <f t="shared" si="379"/>
        <v>Normal</v>
      </c>
      <c r="Q4065">
        <v>151</v>
      </c>
      <c r="R4065">
        <v>90</v>
      </c>
      <c r="S4065">
        <v>21.99</v>
      </c>
      <c r="T4065" t="str">
        <f t="shared" si="380"/>
        <v>Normal</v>
      </c>
      <c r="U4065">
        <v>70</v>
      </c>
      <c r="V4065">
        <v>87</v>
      </c>
      <c r="W4065" t="str">
        <f t="shared" si="383"/>
        <v>Normal</v>
      </c>
      <c r="X4065">
        <v>0</v>
      </c>
    </row>
    <row r="4066" spans="1:24" ht="14.5" thickBot="1" x14ac:dyDescent="0.35">
      <c r="A4066">
        <v>0</v>
      </c>
      <c r="B4066" t="str">
        <f t="shared" si="381"/>
        <v>Female</v>
      </c>
      <c r="C4066" s="8">
        <v>64</v>
      </c>
      <c r="D4066" t="str">
        <f t="shared" si="382"/>
        <v>Senior</v>
      </c>
      <c r="E4066">
        <v>2</v>
      </c>
      <c r="F4066" t="str">
        <f>HLOOKUP(E4066, LookUP_Table!$A$6:$D$7, 2, FALSE)</f>
        <v>Secondary</v>
      </c>
      <c r="G4066" t="str">
        <f>IFERROR(VLOOKUP(E4066, LookUP_Table!$A$1:$B$4, 2, FALSE), "")</f>
        <v>Secondary</v>
      </c>
      <c r="H4066">
        <v>0</v>
      </c>
      <c r="I4066">
        <v>0</v>
      </c>
      <c r="J4066" t="str">
        <f t="shared" si="378"/>
        <v>Non-Smoker</v>
      </c>
      <c r="K4066">
        <v>0</v>
      </c>
      <c r="L4066">
        <v>0</v>
      </c>
      <c r="M4066">
        <v>1</v>
      </c>
      <c r="N4066">
        <v>0</v>
      </c>
      <c r="O4066">
        <v>279</v>
      </c>
      <c r="P4066" t="str">
        <f t="shared" si="379"/>
        <v>High</v>
      </c>
      <c r="Q4066">
        <v>172</v>
      </c>
      <c r="R4066">
        <v>87</v>
      </c>
      <c r="S4066">
        <v>24.01</v>
      </c>
      <c r="T4066" t="str">
        <f t="shared" si="380"/>
        <v>Normal</v>
      </c>
      <c r="U4066">
        <v>80</v>
      </c>
      <c r="V4066">
        <v>70</v>
      </c>
      <c r="W4066" t="str">
        <f t="shared" si="383"/>
        <v>Normal</v>
      </c>
      <c r="X4066">
        <v>0</v>
      </c>
    </row>
    <row r="4067" spans="1:24" ht="14.5" thickBot="1" x14ac:dyDescent="0.35">
      <c r="A4067">
        <v>1</v>
      </c>
      <c r="B4067" t="str">
        <f t="shared" si="381"/>
        <v>Male</v>
      </c>
      <c r="C4067" s="8">
        <v>64</v>
      </c>
      <c r="D4067" t="str">
        <f t="shared" si="382"/>
        <v>Senior</v>
      </c>
      <c r="E4067">
        <v>1</v>
      </c>
      <c r="F4067" t="str">
        <f>HLOOKUP(E4067, LookUP_Table!$A$6:$D$7, 2, FALSE)</f>
        <v>Primary</v>
      </c>
      <c r="G4067" t="str">
        <f>IFERROR(VLOOKUP(E4067, LookUP_Table!$A$1:$B$4, 2, FALSE), "")</f>
        <v>Primary</v>
      </c>
      <c r="H4067">
        <v>0</v>
      </c>
      <c r="I4067">
        <v>0</v>
      </c>
      <c r="J4067" t="str">
        <f t="shared" si="378"/>
        <v>Non-Smoker</v>
      </c>
      <c r="K4067">
        <v>0</v>
      </c>
      <c r="L4067">
        <v>0</v>
      </c>
      <c r="M4067">
        <v>0</v>
      </c>
      <c r="N4067">
        <v>0</v>
      </c>
      <c r="O4067">
        <v>263</v>
      </c>
      <c r="P4067" t="str">
        <f t="shared" si="379"/>
        <v>High</v>
      </c>
      <c r="Q4067">
        <v>102.5</v>
      </c>
      <c r="R4067">
        <v>63.5</v>
      </c>
      <c r="S4067">
        <v>28.82</v>
      </c>
      <c r="T4067" t="str">
        <f t="shared" si="380"/>
        <v>Overweight</v>
      </c>
      <c r="U4067">
        <v>64</v>
      </c>
      <c r="V4067">
        <v>99</v>
      </c>
      <c r="W4067" t="str">
        <f t="shared" si="383"/>
        <v>Normal</v>
      </c>
      <c r="X4067">
        <v>0</v>
      </c>
    </row>
    <row r="4068" spans="1:24" ht="14.5" thickBot="1" x14ac:dyDescent="0.35">
      <c r="A4068">
        <v>1</v>
      </c>
      <c r="B4068" t="str">
        <f t="shared" si="381"/>
        <v>Male</v>
      </c>
      <c r="C4068" s="8">
        <v>64</v>
      </c>
      <c r="D4068" t="str">
        <f t="shared" si="382"/>
        <v>Senior</v>
      </c>
      <c r="E4068">
        <v>3</v>
      </c>
      <c r="F4068" t="str">
        <f>HLOOKUP(E4068, LookUP_Table!$A$6:$D$7, 2, FALSE)</f>
        <v>Graduate</v>
      </c>
      <c r="G4068" t="str">
        <f>IFERROR(VLOOKUP(E4068, LookUP_Table!$A$1:$B$4, 2, FALSE), "")</f>
        <v>Graduate</v>
      </c>
      <c r="H4068">
        <v>0</v>
      </c>
      <c r="I4068">
        <v>0</v>
      </c>
      <c r="J4068" t="str">
        <f t="shared" si="378"/>
        <v>Non-Smoker</v>
      </c>
      <c r="K4068">
        <v>0</v>
      </c>
      <c r="L4068">
        <v>0</v>
      </c>
      <c r="M4068">
        <v>1</v>
      </c>
      <c r="N4068">
        <v>1</v>
      </c>
      <c r="O4068">
        <v>195</v>
      </c>
      <c r="P4068" t="str">
        <f t="shared" si="379"/>
        <v>Normal</v>
      </c>
      <c r="Q4068">
        <v>176</v>
      </c>
      <c r="R4068">
        <v>78</v>
      </c>
      <c r="S4068">
        <v>24.9</v>
      </c>
      <c r="T4068" t="str">
        <f t="shared" si="380"/>
        <v>Normal</v>
      </c>
      <c r="U4068">
        <v>95</v>
      </c>
      <c r="V4068">
        <v>370</v>
      </c>
      <c r="W4068" t="str">
        <f t="shared" si="383"/>
        <v>Diabetes</v>
      </c>
      <c r="X4068">
        <v>0</v>
      </c>
    </row>
    <row r="4069" spans="1:24" ht="14.5" thickBot="1" x14ac:dyDescent="0.35">
      <c r="A4069">
        <v>0</v>
      </c>
      <c r="B4069" t="str">
        <f t="shared" si="381"/>
        <v>Female</v>
      </c>
      <c r="C4069" s="8">
        <v>64</v>
      </c>
      <c r="D4069" t="str">
        <f t="shared" si="382"/>
        <v>Senior</v>
      </c>
      <c r="E4069">
        <v>1</v>
      </c>
      <c r="F4069" t="str">
        <f>HLOOKUP(E4069, LookUP_Table!$A$6:$D$7, 2, FALSE)</f>
        <v>Primary</v>
      </c>
      <c r="G4069" t="str">
        <f>IFERROR(VLOOKUP(E4069, LookUP_Table!$A$1:$B$4, 2, FALSE), "")</f>
        <v>Primary</v>
      </c>
      <c r="H4069">
        <v>0</v>
      </c>
      <c r="I4069">
        <v>0</v>
      </c>
      <c r="J4069" t="str">
        <f t="shared" si="378"/>
        <v>Non-Smoker</v>
      </c>
      <c r="K4069">
        <v>0</v>
      </c>
      <c r="L4069">
        <v>0</v>
      </c>
      <c r="M4069">
        <v>1</v>
      </c>
      <c r="N4069">
        <v>1</v>
      </c>
      <c r="O4069">
        <v>262</v>
      </c>
      <c r="P4069" t="str">
        <f t="shared" si="379"/>
        <v>High</v>
      </c>
      <c r="Q4069">
        <v>147</v>
      </c>
      <c r="R4069">
        <v>90</v>
      </c>
      <c r="S4069">
        <v>26.51</v>
      </c>
      <c r="T4069" t="str">
        <f t="shared" si="380"/>
        <v>Overweight</v>
      </c>
      <c r="U4069">
        <v>85</v>
      </c>
      <c r="V4069">
        <v>173</v>
      </c>
      <c r="W4069" t="str">
        <f t="shared" si="383"/>
        <v>Diabetes</v>
      </c>
      <c r="X4069">
        <v>0</v>
      </c>
    </row>
    <row r="4070" spans="1:24" ht="14.5" thickBot="1" x14ac:dyDescent="0.35">
      <c r="A4070">
        <v>1</v>
      </c>
      <c r="B4070" t="str">
        <f t="shared" si="381"/>
        <v>Male</v>
      </c>
      <c r="C4070" s="8">
        <v>64</v>
      </c>
      <c r="D4070" t="str">
        <f t="shared" si="382"/>
        <v>Senior</v>
      </c>
      <c r="E4070">
        <v>1</v>
      </c>
      <c r="F4070" t="str">
        <f>HLOOKUP(E4070, LookUP_Table!$A$6:$D$7, 2, FALSE)</f>
        <v>Primary</v>
      </c>
      <c r="G4070" t="str">
        <f>IFERROR(VLOOKUP(E4070, LookUP_Table!$A$1:$B$4, 2, FALSE), "")</f>
        <v>Primary</v>
      </c>
      <c r="H4070">
        <v>1</v>
      </c>
      <c r="I4070">
        <v>15</v>
      </c>
      <c r="J4070" t="str">
        <f t="shared" si="378"/>
        <v>Smoker</v>
      </c>
      <c r="K4070">
        <v>0</v>
      </c>
      <c r="L4070">
        <v>0</v>
      </c>
      <c r="M4070">
        <v>1</v>
      </c>
      <c r="N4070">
        <v>0</v>
      </c>
      <c r="O4070">
        <v>240</v>
      </c>
      <c r="P4070" t="str">
        <f t="shared" si="379"/>
        <v>Normal</v>
      </c>
      <c r="Q4070">
        <v>141</v>
      </c>
      <c r="R4070">
        <v>76</v>
      </c>
      <c r="S4070">
        <v>24.94</v>
      </c>
      <c r="T4070" t="str">
        <f t="shared" si="380"/>
        <v>Normal</v>
      </c>
      <c r="U4070">
        <v>75</v>
      </c>
      <c r="V4070">
        <v>60</v>
      </c>
      <c r="W4070" t="str">
        <f t="shared" si="383"/>
        <v>Normal</v>
      </c>
      <c r="X4070">
        <v>0</v>
      </c>
    </row>
    <row r="4071" spans="1:24" ht="14.5" thickBot="1" x14ac:dyDescent="0.35">
      <c r="A4071">
        <v>0</v>
      </c>
      <c r="B4071" t="str">
        <f t="shared" si="381"/>
        <v>Female</v>
      </c>
      <c r="C4071" s="8">
        <v>64</v>
      </c>
      <c r="D4071" t="str">
        <f t="shared" si="382"/>
        <v>Senior</v>
      </c>
      <c r="E4071">
        <v>1</v>
      </c>
      <c r="F4071" t="str">
        <f>HLOOKUP(E4071, LookUP_Table!$A$6:$D$7, 2, FALSE)</f>
        <v>Primary</v>
      </c>
      <c r="G4071" t="str">
        <f>IFERROR(VLOOKUP(E4071, LookUP_Table!$A$1:$B$4, 2, FALSE), "")</f>
        <v>Primary</v>
      </c>
      <c r="H4071">
        <v>0</v>
      </c>
      <c r="I4071">
        <v>0</v>
      </c>
      <c r="J4071" t="str">
        <f t="shared" si="378"/>
        <v>Non-Smoker</v>
      </c>
      <c r="K4071">
        <v>0</v>
      </c>
      <c r="L4071">
        <v>0</v>
      </c>
      <c r="M4071">
        <v>1</v>
      </c>
      <c r="N4071">
        <v>0</v>
      </c>
      <c r="O4071">
        <v>232</v>
      </c>
      <c r="P4071" t="str">
        <f t="shared" si="379"/>
        <v>Normal</v>
      </c>
      <c r="Q4071">
        <v>149.5</v>
      </c>
      <c r="R4071">
        <v>84</v>
      </c>
      <c r="S4071">
        <v>20.49</v>
      </c>
      <c r="T4071" t="str">
        <f t="shared" si="380"/>
        <v>Normal</v>
      </c>
      <c r="U4071">
        <v>68</v>
      </c>
      <c r="V4071">
        <v>96</v>
      </c>
      <c r="W4071" t="str">
        <f t="shared" si="383"/>
        <v>Normal</v>
      </c>
      <c r="X4071">
        <v>0</v>
      </c>
    </row>
    <row r="4072" spans="1:24" ht="14.5" thickBot="1" x14ac:dyDescent="0.35">
      <c r="A4072">
        <v>1</v>
      </c>
      <c r="B4072" t="str">
        <f t="shared" si="381"/>
        <v>Male</v>
      </c>
      <c r="C4072" s="8">
        <v>64</v>
      </c>
      <c r="D4072" t="str">
        <f t="shared" si="382"/>
        <v>Senior</v>
      </c>
      <c r="E4072">
        <v>1</v>
      </c>
      <c r="F4072" t="str">
        <f>HLOOKUP(E4072, LookUP_Table!$A$6:$D$7, 2, FALSE)</f>
        <v>Primary</v>
      </c>
      <c r="G4072" t="str">
        <f>IFERROR(VLOOKUP(E4072, LookUP_Table!$A$1:$B$4, 2, FALSE), "")</f>
        <v>Primary</v>
      </c>
      <c r="H4072">
        <v>1</v>
      </c>
      <c r="I4072">
        <v>5</v>
      </c>
      <c r="J4072" t="str">
        <f t="shared" si="378"/>
        <v>Smoker</v>
      </c>
      <c r="K4072">
        <v>0</v>
      </c>
      <c r="L4072">
        <v>0</v>
      </c>
      <c r="M4072">
        <v>0</v>
      </c>
      <c r="N4072">
        <v>0</v>
      </c>
      <c r="O4072">
        <v>180</v>
      </c>
      <c r="P4072" t="str">
        <f t="shared" si="379"/>
        <v>Normal</v>
      </c>
      <c r="Q4072">
        <v>121</v>
      </c>
      <c r="R4072">
        <v>79</v>
      </c>
      <c r="S4072">
        <v>20.45</v>
      </c>
      <c r="T4072" t="str">
        <f t="shared" si="380"/>
        <v>Normal</v>
      </c>
      <c r="U4072">
        <v>77</v>
      </c>
      <c r="V4072">
        <v>92</v>
      </c>
      <c r="W4072" t="str">
        <f t="shared" si="383"/>
        <v>Normal</v>
      </c>
      <c r="X4072">
        <v>1</v>
      </c>
    </row>
    <row r="4073" spans="1:24" ht="14.5" thickBot="1" x14ac:dyDescent="0.35">
      <c r="A4073">
        <v>0</v>
      </c>
      <c r="B4073" t="str">
        <f t="shared" si="381"/>
        <v>Female</v>
      </c>
      <c r="C4073" s="8">
        <v>64</v>
      </c>
      <c r="D4073" t="str">
        <f t="shared" si="382"/>
        <v>Senior</v>
      </c>
      <c r="E4073">
        <v>3</v>
      </c>
      <c r="F4073" t="str">
        <f>HLOOKUP(E4073, LookUP_Table!$A$6:$D$7, 2, FALSE)</f>
        <v>Graduate</v>
      </c>
      <c r="G4073" t="str">
        <f>IFERROR(VLOOKUP(E4073, LookUP_Table!$A$1:$B$4, 2, FALSE), "")</f>
        <v>Graduate</v>
      </c>
      <c r="H4073">
        <v>1</v>
      </c>
      <c r="I4073">
        <v>20</v>
      </c>
      <c r="J4073" t="str">
        <f t="shared" si="378"/>
        <v>Smoker</v>
      </c>
      <c r="K4073">
        <v>0</v>
      </c>
      <c r="L4073">
        <v>0</v>
      </c>
      <c r="M4073">
        <v>0</v>
      </c>
      <c r="N4073">
        <v>0</v>
      </c>
      <c r="O4073">
        <v>270</v>
      </c>
      <c r="P4073" t="str">
        <f t="shared" si="379"/>
        <v>High</v>
      </c>
      <c r="Q4073">
        <v>142</v>
      </c>
      <c r="R4073">
        <v>68</v>
      </c>
      <c r="S4073">
        <v>21.32</v>
      </c>
      <c r="T4073" t="str">
        <f t="shared" si="380"/>
        <v>Normal</v>
      </c>
      <c r="U4073">
        <v>76</v>
      </c>
      <c r="V4073">
        <v>80</v>
      </c>
      <c r="W4073" t="str">
        <f t="shared" si="383"/>
        <v>Normal</v>
      </c>
      <c r="X4073">
        <v>0</v>
      </c>
    </row>
    <row r="4074" spans="1:24" ht="14.5" thickBot="1" x14ac:dyDescent="0.35">
      <c r="A4074">
        <v>0</v>
      </c>
      <c r="B4074" t="str">
        <f t="shared" si="381"/>
        <v>Female</v>
      </c>
      <c r="C4074" s="8">
        <v>64</v>
      </c>
      <c r="D4074" t="str">
        <f t="shared" si="382"/>
        <v>Senior</v>
      </c>
      <c r="E4074">
        <v>1</v>
      </c>
      <c r="F4074" t="str">
        <f>HLOOKUP(E4074, LookUP_Table!$A$6:$D$7, 2, FALSE)</f>
        <v>Primary</v>
      </c>
      <c r="G4074" t="str">
        <f>IFERROR(VLOOKUP(E4074, LookUP_Table!$A$1:$B$4, 2, FALSE), "")</f>
        <v>Primary</v>
      </c>
      <c r="H4074">
        <v>0</v>
      </c>
      <c r="I4074">
        <v>0</v>
      </c>
      <c r="J4074" t="str">
        <f t="shared" si="378"/>
        <v>Non-Smoker</v>
      </c>
      <c r="K4074">
        <v>0</v>
      </c>
      <c r="L4074">
        <v>0</v>
      </c>
      <c r="M4074">
        <v>1</v>
      </c>
      <c r="N4074">
        <v>0</v>
      </c>
      <c r="O4074">
        <v>232</v>
      </c>
      <c r="P4074" t="str">
        <f t="shared" si="379"/>
        <v>Normal</v>
      </c>
      <c r="Q4074">
        <v>164</v>
      </c>
      <c r="R4074">
        <v>102</v>
      </c>
      <c r="S4074">
        <v>33.369999999999997</v>
      </c>
      <c r="T4074" t="str">
        <f t="shared" si="380"/>
        <v>Obese</v>
      </c>
      <c r="U4074">
        <v>68</v>
      </c>
      <c r="V4074">
        <v>73</v>
      </c>
      <c r="W4074" t="str">
        <f t="shared" si="383"/>
        <v>Normal</v>
      </c>
      <c r="X4074">
        <v>1</v>
      </c>
    </row>
    <row r="4075" spans="1:24" ht="14.5" thickBot="1" x14ac:dyDescent="0.35">
      <c r="A4075">
        <v>0</v>
      </c>
      <c r="B4075" t="str">
        <f t="shared" si="381"/>
        <v>Female</v>
      </c>
      <c r="C4075" s="8">
        <v>65</v>
      </c>
      <c r="D4075" t="str">
        <f t="shared" si="382"/>
        <v>Senior</v>
      </c>
      <c r="E4075">
        <v>1</v>
      </c>
      <c r="F4075" t="str">
        <f>HLOOKUP(E4075, LookUP_Table!$A$6:$D$7, 2, FALSE)</f>
        <v>Primary</v>
      </c>
      <c r="G4075" t="str">
        <f>IFERROR(VLOOKUP(E4075, LookUP_Table!$A$1:$B$4, 2, FALSE), "")</f>
        <v>Primary</v>
      </c>
      <c r="H4075">
        <v>0</v>
      </c>
      <c r="I4075">
        <v>0</v>
      </c>
      <c r="J4075" t="str">
        <f t="shared" si="378"/>
        <v>Non-Smoker</v>
      </c>
      <c r="K4075">
        <v>0</v>
      </c>
      <c r="L4075">
        <v>0</v>
      </c>
      <c r="M4075">
        <v>1</v>
      </c>
      <c r="N4075">
        <v>0</v>
      </c>
      <c r="O4075">
        <v>252</v>
      </c>
      <c r="P4075" t="str">
        <f t="shared" si="379"/>
        <v>High</v>
      </c>
      <c r="Q4075">
        <v>179.5</v>
      </c>
      <c r="R4075">
        <v>114</v>
      </c>
      <c r="S4075">
        <v>30.47</v>
      </c>
      <c r="T4075" t="str">
        <f t="shared" si="380"/>
        <v>Obese</v>
      </c>
      <c r="U4075">
        <v>90</v>
      </c>
      <c r="V4075">
        <v>87</v>
      </c>
      <c r="W4075" t="str">
        <f t="shared" si="383"/>
        <v>Normal</v>
      </c>
      <c r="X4075">
        <v>0</v>
      </c>
    </row>
    <row r="4076" spans="1:24" ht="14.5" thickBot="1" x14ac:dyDescent="0.35">
      <c r="A4076">
        <v>0</v>
      </c>
      <c r="B4076" t="str">
        <f t="shared" si="381"/>
        <v>Female</v>
      </c>
      <c r="C4076" s="8">
        <v>65</v>
      </c>
      <c r="D4076" t="str">
        <f t="shared" si="382"/>
        <v>Senior</v>
      </c>
      <c r="E4076">
        <v>3</v>
      </c>
      <c r="F4076" t="str">
        <f>HLOOKUP(E4076, LookUP_Table!$A$6:$D$7, 2, FALSE)</f>
        <v>Graduate</v>
      </c>
      <c r="G4076" t="str">
        <f>IFERROR(VLOOKUP(E4076, LookUP_Table!$A$1:$B$4, 2, FALSE), "")</f>
        <v>Graduate</v>
      </c>
      <c r="H4076">
        <v>0</v>
      </c>
      <c r="I4076">
        <v>0</v>
      </c>
      <c r="J4076" t="str">
        <f t="shared" si="378"/>
        <v>Non-Smoker</v>
      </c>
      <c r="K4076">
        <v>0</v>
      </c>
      <c r="L4076">
        <v>0</v>
      </c>
      <c r="M4076">
        <v>0</v>
      </c>
      <c r="N4076">
        <v>0</v>
      </c>
      <c r="O4076">
        <v>193</v>
      </c>
      <c r="P4076" t="str">
        <f t="shared" si="379"/>
        <v>Normal</v>
      </c>
      <c r="Q4076">
        <v>123</v>
      </c>
      <c r="R4076">
        <v>76.5</v>
      </c>
      <c r="S4076">
        <v>29.33</v>
      </c>
      <c r="T4076" t="str">
        <f t="shared" si="380"/>
        <v>Overweight</v>
      </c>
      <c r="U4076">
        <v>60</v>
      </c>
      <c r="V4076">
        <v>96</v>
      </c>
      <c r="W4076" t="str">
        <f t="shared" si="383"/>
        <v>Normal</v>
      </c>
      <c r="X4076">
        <v>0</v>
      </c>
    </row>
    <row r="4077" spans="1:24" ht="14.5" thickBot="1" x14ac:dyDescent="0.35">
      <c r="A4077">
        <v>1</v>
      </c>
      <c r="B4077" t="str">
        <f t="shared" si="381"/>
        <v>Male</v>
      </c>
      <c r="C4077" s="8">
        <v>65</v>
      </c>
      <c r="D4077" t="str">
        <f t="shared" si="382"/>
        <v>Senior</v>
      </c>
      <c r="E4077">
        <v>4</v>
      </c>
      <c r="F4077" t="str">
        <f>HLOOKUP(E4077, LookUP_Table!$A$6:$D$7, 2, FALSE)</f>
        <v>Post Graduate</v>
      </c>
      <c r="G4077" t="str">
        <f>IFERROR(VLOOKUP(E4077, LookUP_Table!$A$1:$B$4, 2, FALSE), "")</f>
        <v>Post Graduate</v>
      </c>
      <c r="H4077">
        <v>0</v>
      </c>
      <c r="I4077">
        <v>0</v>
      </c>
      <c r="J4077" t="str">
        <f t="shared" si="378"/>
        <v>Non-Smoker</v>
      </c>
      <c r="K4077">
        <v>0</v>
      </c>
      <c r="L4077">
        <v>0</v>
      </c>
      <c r="M4077">
        <v>0</v>
      </c>
      <c r="N4077">
        <v>0</v>
      </c>
      <c r="O4077">
        <v>207</v>
      </c>
      <c r="P4077" t="str">
        <f t="shared" si="379"/>
        <v>Normal</v>
      </c>
      <c r="Q4077">
        <v>139</v>
      </c>
      <c r="R4077">
        <v>88</v>
      </c>
      <c r="S4077">
        <v>24.04</v>
      </c>
      <c r="T4077" t="str">
        <f t="shared" si="380"/>
        <v>Normal</v>
      </c>
      <c r="U4077">
        <v>80</v>
      </c>
      <c r="V4077">
        <v>73</v>
      </c>
      <c r="W4077" t="str">
        <f t="shared" si="383"/>
        <v>Normal</v>
      </c>
      <c r="X4077">
        <v>0</v>
      </c>
    </row>
    <row r="4078" spans="1:24" ht="14.5" thickBot="1" x14ac:dyDescent="0.35">
      <c r="A4078">
        <v>1</v>
      </c>
      <c r="B4078" t="str">
        <f t="shared" si="381"/>
        <v>Male</v>
      </c>
      <c r="C4078" s="8">
        <v>65</v>
      </c>
      <c r="D4078" t="str">
        <f t="shared" si="382"/>
        <v>Senior</v>
      </c>
      <c r="E4078">
        <v>1</v>
      </c>
      <c r="F4078" t="str">
        <f>HLOOKUP(E4078, LookUP_Table!$A$6:$D$7, 2, FALSE)</f>
        <v>Primary</v>
      </c>
      <c r="G4078" t="str">
        <f>IFERROR(VLOOKUP(E4078, LookUP_Table!$A$1:$B$4, 2, FALSE), "")</f>
        <v>Primary</v>
      </c>
      <c r="H4078">
        <v>1</v>
      </c>
      <c r="I4078">
        <v>15</v>
      </c>
      <c r="J4078" t="str">
        <f t="shared" si="378"/>
        <v>Smoker</v>
      </c>
      <c r="K4078">
        <v>0</v>
      </c>
      <c r="L4078">
        <v>0</v>
      </c>
      <c r="M4078">
        <v>1</v>
      </c>
      <c r="N4078">
        <v>0</v>
      </c>
      <c r="O4078">
        <v>219</v>
      </c>
      <c r="P4078" t="str">
        <f t="shared" si="379"/>
        <v>Normal</v>
      </c>
      <c r="Q4078">
        <v>148</v>
      </c>
      <c r="R4078">
        <v>90</v>
      </c>
      <c r="S4078">
        <v>29.35</v>
      </c>
      <c r="T4078" t="str">
        <f t="shared" si="380"/>
        <v>Overweight</v>
      </c>
      <c r="U4078">
        <v>77</v>
      </c>
      <c r="V4078">
        <v>97</v>
      </c>
      <c r="W4078" t="str">
        <f t="shared" si="383"/>
        <v>Normal</v>
      </c>
      <c r="X4078">
        <v>1</v>
      </c>
    </row>
    <row r="4079" spans="1:24" ht="14.5" thickBot="1" x14ac:dyDescent="0.35">
      <c r="A4079">
        <v>0</v>
      </c>
      <c r="B4079" t="str">
        <f t="shared" si="381"/>
        <v>Female</v>
      </c>
      <c r="C4079" s="8">
        <v>65</v>
      </c>
      <c r="D4079" t="str">
        <f t="shared" si="382"/>
        <v>Senior</v>
      </c>
      <c r="E4079">
        <v>2</v>
      </c>
      <c r="F4079" t="str">
        <f>HLOOKUP(E4079, LookUP_Table!$A$6:$D$7, 2, FALSE)</f>
        <v>Secondary</v>
      </c>
      <c r="G4079" t="str">
        <f>IFERROR(VLOOKUP(E4079, LookUP_Table!$A$1:$B$4, 2, FALSE), "")</f>
        <v>Secondary</v>
      </c>
      <c r="H4079">
        <v>0</v>
      </c>
      <c r="I4079">
        <v>0</v>
      </c>
      <c r="J4079" t="str">
        <f t="shared" si="378"/>
        <v>Non-Smoker</v>
      </c>
      <c r="K4079">
        <v>0</v>
      </c>
      <c r="L4079">
        <v>0</v>
      </c>
      <c r="M4079">
        <v>1</v>
      </c>
      <c r="N4079">
        <v>0</v>
      </c>
      <c r="O4079">
        <v>256</v>
      </c>
      <c r="P4079" t="str">
        <f t="shared" si="379"/>
        <v>High</v>
      </c>
      <c r="Q4079">
        <v>149</v>
      </c>
      <c r="R4079">
        <v>96</v>
      </c>
      <c r="S4079">
        <v>29.75</v>
      </c>
      <c r="T4079" t="str">
        <f t="shared" si="380"/>
        <v>Overweight</v>
      </c>
      <c r="U4079">
        <v>90</v>
      </c>
      <c r="V4079">
        <v>80</v>
      </c>
      <c r="W4079" t="str">
        <f t="shared" si="383"/>
        <v>Normal</v>
      </c>
      <c r="X4079">
        <v>1</v>
      </c>
    </row>
    <row r="4080" spans="1:24" ht="14.5" thickBot="1" x14ac:dyDescent="0.35">
      <c r="A4080">
        <v>0</v>
      </c>
      <c r="B4080" t="str">
        <f t="shared" si="381"/>
        <v>Female</v>
      </c>
      <c r="C4080" s="8">
        <v>65</v>
      </c>
      <c r="D4080" t="str">
        <f t="shared" si="382"/>
        <v>Senior</v>
      </c>
      <c r="E4080">
        <v>2</v>
      </c>
      <c r="F4080" t="str">
        <f>HLOOKUP(E4080, LookUP_Table!$A$6:$D$7, 2, FALSE)</f>
        <v>Secondary</v>
      </c>
      <c r="G4080" t="str">
        <f>IFERROR(VLOOKUP(E4080, LookUP_Table!$A$1:$B$4, 2, FALSE), "")</f>
        <v>Secondary</v>
      </c>
      <c r="H4080">
        <v>0</v>
      </c>
      <c r="I4080">
        <v>0</v>
      </c>
      <c r="J4080" t="str">
        <f t="shared" si="378"/>
        <v>Non-Smoker</v>
      </c>
      <c r="K4080">
        <v>0</v>
      </c>
      <c r="L4080">
        <v>0</v>
      </c>
      <c r="M4080">
        <v>1</v>
      </c>
      <c r="N4080">
        <v>0</v>
      </c>
      <c r="O4080">
        <v>270</v>
      </c>
      <c r="P4080" t="str">
        <f t="shared" si="379"/>
        <v>High</v>
      </c>
      <c r="Q4080">
        <v>165</v>
      </c>
      <c r="R4080">
        <v>98</v>
      </c>
      <c r="S4080">
        <v>21.66</v>
      </c>
      <c r="T4080" t="str">
        <f t="shared" si="380"/>
        <v>Normal</v>
      </c>
      <c r="U4080">
        <v>62</v>
      </c>
      <c r="V4080">
        <v>92</v>
      </c>
      <c r="W4080" t="str">
        <f t="shared" si="383"/>
        <v>Normal</v>
      </c>
      <c r="X4080">
        <v>1</v>
      </c>
    </row>
    <row r="4081" spans="1:24" ht="14.5" thickBot="1" x14ac:dyDescent="0.35">
      <c r="A4081">
        <v>1</v>
      </c>
      <c r="B4081" t="str">
        <f t="shared" si="381"/>
        <v>Male</v>
      </c>
      <c r="C4081" s="8">
        <v>65</v>
      </c>
      <c r="D4081" t="str">
        <f t="shared" si="382"/>
        <v>Senior</v>
      </c>
      <c r="E4081">
        <v>1</v>
      </c>
      <c r="F4081" t="str">
        <f>HLOOKUP(E4081, LookUP_Table!$A$6:$D$7, 2, FALSE)</f>
        <v>Primary</v>
      </c>
      <c r="G4081" t="str">
        <f>IFERROR(VLOOKUP(E4081, LookUP_Table!$A$1:$B$4, 2, FALSE), "")</f>
        <v>Primary</v>
      </c>
      <c r="H4081">
        <v>0</v>
      </c>
      <c r="I4081">
        <v>0</v>
      </c>
      <c r="J4081" t="str">
        <f t="shared" si="378"/>
        <v>Non-Smoker</v>
      </c>
      <c r="K4081">
        <v>0</v>
      </c>
      <c r="L4081">
        <v>0</v>
      </c>
      <c r="M4081">
        <v>0</v>
      </c>
      <c r="N4081">
        <v>0</v>
      </c>
      <c r="O4081">
        <v>236.69952267303103</v>
      </c>
      <c r="P4081" t="str">
        <f t="shared" si="379"/>
        <v>Normal</v>
      </c>
      <c r="Q4081">
        <v>152.5</v>
      </c>
      <c r="R4081">
        <v>97.5</v>
      </c>
      <c r="S4081">
        <v>28.35</v>
      </c>
      <c r="T4081" t="str">
        <f t="shared" si="380"/>
        <v>Overweight</v>
      </c>
      <c r="U4081">
        <v>65</v>
      </c>
      <c r="V4081">
        <v>73</v>
      </c>
      <c r="W4081" t="str">
        <f t="shared" si="383"/>
        <v>Normal</v>
      </c>
      <c r="X4081">
        <v>0</v>
      </c>
    </row>
    <row r="4082" spans="1:24" ht="14.5" thickBot="1" x14ac:dyDescent="0.35">
      <c r="A4082">
        <v>0</v>
      </c>
      <c r="B4082" t="str">
        <f t="shared" si="381"/>
        <v>Female</v>
      </c>
      <c r="C4082" s="8">
        <v>65</v>
      </c>
      <c r="D4082" t="str">
        <f t="shared" si="382"/>
        <v>Senior</v>
      </c>
      <c r="E4082">
        <v>2</v>
      </c>
      <c r="F4082" t="str">
        <f>HLOOKUP(E4082, LookUP_Table!$A$6:$D$7, 2, FALSE)</f>
        <v>Secondary</v>
      </c>
      <c r="G4082" t="str">
        <f>IFERROR(VLOOKUP(E4082, LookUP_Table!$A$1:$B$4, 2, FALSE), "")</f>
        <v>Secondary</v>
      </c>
      <c r="H4082">
        <v>0</v>
      </c>
      <c r="I4082">
        <v>0</v>
      </c>
      <c r="J4082" t="str">
        <f t="shared" si="378"/>
        <v>Non-Smoker</v>
      </c>
      <c r="K4082">
        <v>0</v>
      </c>
      <c r="L4082">
        <v>0</v>
      </c>
      <c r="M4082">
        <v>1</v>
      </c>
      <c r="N4082">
        <v>0</v>
      </c>
      <c r="O4082">
        <v>240</v>
      </c>
      <c r="P4082" t="str">
        <f t="shared" si="379"/>
        <v>Normal</v>
      </c>
      <c r="Q4082">
        <v>155</v>
      </c>
      <c r="R4082">
        <v>84</v>
      </c>
      <c r="S4082">
        <v>29.93</v>
      </c>
      <c r="T4082" t="str">
        <f t="shared" si="380"/>
        <v>Overweight</v>
      </c>
      <c r="U4082">
        <v>92</v>
      </c>
      <c r="V4082">
        <v>91</v>
      </c>
      <c r="W4082" t="str">
        <f t="shared" si="383"/>
        <v>Normal</v>
      </c>
      <c r="X4082">
        <v>1</v>
      </c>
    </row>
    <row r="4083" spans="1:24" ht="14.5" thickBot="1" x14ac:dyDescent="0.35">
      <c r="A4083">
        <v>0</v>
      </c>
      <c r="B4083" t="str">
        <f t="shared" si="381"/>
        <v>Female</v>
      </c>
      <c r="C4083" s="8">
        <v>65</v>
      </c>
      <c r="D4083" t="str">
        <f t="shared" si="382"/>
        <v>Senior</v>
      </c>
      <c r="E4083">
        <v>3</v>
      </c>
      <c r="F4083" t="str">
        <f>HLOOKUP(E4083, LookUP_Table!$A$6:$D$7, 2, FALSE)</f>
        <v>Graduate</v>
      </c>
      <c r="G4083" t="str">
        <f>IFERROR(VLOOKUP(E4083, LookUP_Table!$A$1:$B$4, 2, FALSE), "")</f>
        <v>Graduate</v>
      </c>
      <c r="H4083">
        <v>0</v>
      </c>
      <c r="I4083">
        <v>0</v>
      </c>
      <c r="J4083" t="str">
        <f t="shared" si="378"/>
        <v>Non-Smoker</v>
      </c>
      <c r="K4083">
        <v>0</v>
      </c>
      <c r="L4083">
        <v>0</v>
      </c>
      <c r="M4083">
        <v>0</v>
      </c>
      <c r="N4083">
        <v>0</v>
      </c>
      <c r="O4083">
        <v>266</v>
      </c>
      <c r="P4083" t="str">
        <f t="shared" si="379"/>
        <v>High</v>
      </c>
      <c r="Q4083">
        <v>120</v>
      </c>
      <c r="R4083">
        <v>73</v>
      </c>
      <c r="S4083">
        <v>24.33</v>
      </c>
      <c r="T4083" t="str">
        <f t="shared" si="380"/>
        <v>Normal</v>
      </c>
      <c r="U4083">
        <v>63</v>
      </c>
      <c r="V4083">
        <v>69</v>
      </c>
      <c r="W4083" t="str">
        <f t="shared" si="383"/>
        <v>Normal</v>
      </c>
      <c r="X4083">
        <v>0</v>
      </c>
    </row>
    <row r="4084" spans="1:24" ht="14.5" thickBot="1" x14ac:dyDescent="0.35">
      <c r="A4084">
        <v>0</v>
      </c>
      <c r="B4084" t="str">
        <f t="shared" si="381"/>
        <v>Female</v>
      </c>
      <c r="C4084" s="8">
        <v>65</v>
      </c>
      <c r="D4084" t="str">
        <f t="shared" si="382"/>
        <v>Senior</v>
      </c>
      <c r="E4084">
        <v>2</v>
      </c>
      <c r="F4084" t="str">
        <f>HLOOKUP(E4084, LookUP_Table!$A$6:$D$7, 2, FALSE)</f>
        <v>Secondary</v>
      </c>
      <c r="G4084" t="str">
        <f>IFERROR(VLOOKUP(E4084, LookUP_Table!$A$1:$B$4, 2, FALSE), "")</f>
        <v>Secondary</v>
      </c>
      <c r="H4084">
        <v>0</v>
      </c>
      <c r="I4084">
        <v>0</v>
      </c>
      <c r="J4084" t="str">
        <f t="shared" si="378"/>
        <v>Non-Smoker</v>
      </c>
      <c r="K4084">
        <v>0</v>
      </c>
      <c r="L4084">
        <v>0</v>
      </c>
      <c r="M4084">
        <v>0</v>
      </c>
      <c r="N4084">
        <v>0</v>
      </c>
      <c r="O4084">
        <v>355</v>
      </c>
      <c r="P4084" t="str">
        <f t="shared" si="379"/>
        <v>High</v>
      </c>
      <c r="Q4084">
        <v>138</v>
      </c>
      <c r="R4084">
        <v>79</v>
      </c>
      <c r="S4084">
        <v>28.38</v>
      </c>
      <c r="T4084" t="str">
        <f t="shared" si="380"/>
        <v>Overweight</v>
      </c>
      <c r="U4084">
        <v>75</v>
      </c>
      <c r="V4084">
        <v>108</v>
      </c>
      <c r="W4084" t="str">
        <f t="shared" si="383"/>
        <v>Prediabetes</v>
      </c>
      <c r="X4084">
        <v>0</v>
      </c>
    </row>
    <row r="4085" spans="1:24" ht="14.5" thickBot="1" x14ac:dyDescent="0.35">
      <c r="A4085">
        <v>1</v>
      </c>
      <c r="B4085" t="str">
        <f t="shared" si="381"/>
        <v>Male</v>
      </c>
      <c r="C4085" s="8">
        <v>65</v>
      </c>
      <c r="D4085" t="str">
        <f t="shared" si="382"/>
        <v>Senior</v>
      </c>
      <c r="E4085">
        <v>1</v>
      </c>
      <c r="F4085" t="str">
        <f>HLOOKUP(E4085, LookUP_Table!$A$6:$D$7, 2, FALSE)</f>
        <v>Primary</v>
      </c>
      <c r="G4085" t="str">
        <f>IFERROR(VLOOKUP(E4085, LookUP_Table!$A$1:$B$4, 2, FALSE), "")</f>
        <v>Primary</v>
      </c>
      <c r="H4085">
        <v>0</v>
      </c>
      <c r="I4085">
        <v>0</v>
      </c>
      <c r="J4085" t="str">
        <f t="shared" si="378"/>
        <v>Non-Smoker</v>
      </c>
      <c r="K4085">
        <v>0</v>
      </c>
      <c r="L4085">
        <v>0</v>
      </c>
      <c r="M4085">
        <v>0</v>
      </c>
      <c r="N4085">
        <v>0</v>
      </c>
      <c r="O4085">
        <v>251</v>
      </c>
      <c r="P4085" t="str">
        <f t="shared" si="379"/>
        <v>High</v>
      </c>
      <c r="Q4085">
        <v>127.5</v>
      </c>
      <c r="R4085">
        <v>75</v>
      </c>
      <c r="S4085">
        <v>26.46</v>
      </c>
      <c r="T4085" t="str">
        <f t="shared" si="380"/>
        <v>Overweight</v>
      </c>
      <c r="U4085">
        <v>60</v>
      </c>
      <c r="V4085">
        <v>74</v>
      </c>
      <c r="W4085" t="str">
        <f t="shared" si="383"/>
        <v>Normal</v>
      </c>
      <c r="X4085">
        <v>0</v>
      </c>
    </row>
    <row r="4086" spans="1:24" ht="14.5" thickBot="1" x14ac:dyDescent="0.35">
      <c r="A4086">
        <v>0</v>
      </c>
      <c r="B4086" t="str">
        <f t="shared" si="381"/>
        <v>Female</v>
      </c>
      <c r="C4086" s="8">
        <v>65</v>
      </c>
      <c r="D4086" t="str">
        <f t="shared" si="382"/>
        <v>Senior</v>
      </c>
      <c r="E4086">
        <v>3</v>
      </c>
      <c r="F4086" t="str">
        <f>HLOOKUP(E4086, LookUP_Table!$A$6:$D$7, 2, FALSE)</f>
        <v>Graduate</v>
      </c>
      <c r="G4086" t="str">
        <f>IFERROR(VLOOKUP(E4086, LookUP_Table!$A$1:$B$4, 2, FALSE), "")</f>
        <v>Graduate</v>
      </c>
      <c r="H4086">
        <v>0</v>
      </c>
      <c r="I4086">
        <v>0</v>
      </c>
      <c r="J4086" t="str">
        <f t="shared" si="378"/>
        <v>Non-Smoker</v>
      </c>
      <c r="K4086">
        <v>0</v>
      </c>
      <c r="L4086">
        <v>0</v>
      </c>
      <c r="M4086">
        <v>0</v>
      </c>
      <c r="N4086">
        <v>0</v>
      </c>
      <c r="O4086">
        <v>217</v>
      </c>
      <c r="P4086" t="str">
        <f t="shared" si="379"/>
        <v>Normal</v>
      </c>
      <c r="Q4086">
        <v>140</v>
      </c>
      <c r="R4086">
        <v>82</v>
      </c>
      <c r="S4086">
        <v>20.5</v>
      </c>
      <c r="T4086" t="str">
        <f t="shared" si="380"/>
        <v>Normal</v>
      </c>
      <c r="U4086">
        <v>58</v>
      </c>
      <c r="V4086">
        <v>81.96365524402907</v>
      </c>
      <c r="W4086" t="str">
        <f t="shared" si="383"/>
        <v>Normal</v>
      </c>
      <c r="X4086">
        <v>1</v>
      </c>
    </row>
    <row r="4087" spans="1:24" ht="14.5" thickBot="1" x14ac:dyDescent="0.35">
      <c r="A4087">
        <v>0</v>
      </c>
      <c r="B4087" t="str">
        <f t="shared" si="381"/>
        <v>Female</v>
      </c>
      <c r="C4087" s="8">
        <v>65</v>
      </c>
      <c r="D4087" t="str">
        <f t="shared" si="382"/>
        <v>Senior</v>
      </c>
      <c r="E4087">
        <v>1</v>
      </c>
      <c r="F4087" t="str">
        <f>HLOOKUP(E4087, LookUP_Table!$A$6:$D$7, 2, FALSE)</f>
        <v>Primary</v>
      </c>
      <c r="G4087" t="str">
        <f>IFERROR(VLOOKUP(E4087, LookUP_Table!$A$1:$B$4, 2, FALSE), "")</f>
        <v>Primary</v>
      </c>
      <c r="H4087">
        <v>0</v>
      </c>
      <c r="I4087">
        <v>0</v>
      </c>
      <c r="J4087" t="str">
        <f t="shared" si="378"/>
        <v>Non-Smoker</v>
      </c>
      <c r="K4087">
        <v>0</v>
      </c>
      <c r="L4087">
        <v>1</v>
      </c>
      <c r="M4087">
        <v>1</v>
      </c>
      <c r="N4087">
        <v>0</v>
      </c>
      <c r="O4087">
        <v>290</v>
      </c>
      <c r="P4087" t="str">
        <f t="shared" si="379"/>
        <v>High</v>
      </c>
      <c r="Q4087">
        <v>144</v>
      </c>
      <c r="R4087">
        <v>64</v>
      </c>
      <c r="S4087">
        <v>21.41</v>
      </c>
      <c r="T4087" t="str">
        <f t="shared" si="380"/>
        <v>Normal</v>
      </c>
      <c r="U4087">
        <v>58</v>
      </c>
      <c r="V4087">
        <v>145</v>
      </c>
      <c r="W4087" t="str">
        <f t="shared" si="383"/>
        <v>Diabetes</v>
      </c>
      <c r="X4087">
        <v>1</v>
      </c>
    </row>
    <row r="4088" spans="1:24" ht="14.5" thickBot="1" x14ac:dyDescent="0.35">
      <c r="A4088">
        <v>0</v>
      </c>
      <c r="B4088" t="str">
        <f t="shared" si="381"/>
        <v>Female</v>
      </c>
      <c r="C4088" s="8">
        <v>65</v>
      </c>
      <c r="D4088" t="str">
        <f t="shared" si="382"/>
        <v>Senior</v>
      </c>
      <c r="E4088">
        <v>1</v>
      </c>
      <c r="F4088" t="str">
        <f>HLOOKUP(E4088, LookUP_Table!$A$6:$D$7, 2, FALSE)</f>
        <v>Primary</v>
      </c>
      <c r="G4088" t="str">
        <f>IFERROR(VLOOKUP(E4088, LookUP_Table!$A$1:$B$4, 2, FALSE), "")</f>
        <v>Primary</v>
      </c>
      <c r="H4088">
        <v>0</v>
      </c>
      <c r="I4088">
        <v>0</v>
      </c>
      <c r="J4088" t="str">
        <f t="shared" si="378"/>
        <v>Non-Smoker</v>
      </c>
      <c r="K4088">
        <v>0</v>
      </c>
      <c r="L4088">
        <v>0</v>
      </c>
      <c r="M4088">
        <v>0</v>
      </c>
      <c r="N4088">
        <v>0</v>
      </c>
      <c r="O4088">
        <v>276</v>
      </c>
      <c r="P4088" t="str">
        <f t="shared" si="379"/>
        <v>High</v>
      </c>
      <c r="Q4088">
        <v>124</v>
      </c>
      <c r="R4088">
        <v>70</v>
      </c>
      <c r="S4088">
        <v>25.61</v>
      </c>
      <c r="T4088" t="str">
        <f t="shared" si="380"/>
        <v>Overweight</v>
      </c>
      <c r="U4088">
        <v>76</v>
      </c>
      <c r="V4088">
        <v>75</v>
      </c>
      <c r="W4088" t="str">
        <f t="shared" si="383"/>
        <v>Normal</v>
      </c>
      <c r="X4088">
        <v>1</v>
      </c>
    </row>
    <row r="4089" spans="1:24" ht="14.5" thickBot="1" x14ac:dyDescent="0.35">
      <c r="A4089">
        <v>1</v>
      </c>
      <c r="B4089" t="str">
        <f t="shared" si="381"/>
        <v>Male</v>
      </c>
      <c r="C4089" s="8">
        <v>65</v>
      </c>
      <c r="D4089" t="str">
        <f t="shared" si="382"/>
        <v>Senior</v>
      </c>
      <c r="E4089">
        <v>1</v>
      </c>
      <c r="F4089" t="str">
        <f>HLOOKUP(E4089, LookUP_Table!$A$6:$D$7, 2, FALSE)</f>
        <v>Primary</v>
      </c>
      <c r="G4089" t="str">
        <f>IFERROR(VLOOKUP(E4089, LookUP_Table!$A$1:$B$4, 2, FALSE), "")</f>
        <v>Primary</v>
      </c>
      <c r="H4089">
        <v>1</v>
      </c>
      <c r="I4089">
        <v>20</v>
      </c>
      <c r="J4089" t="str">
        <f t="shared" si="378"/>
        <v>Smoker</v>
      </c>
      <c r="K4089">
        <v>0</v>
      </c>
      <c r="L4089">
        <v>0</v>
      </c>
      <c r="M4089">
        <v>1</v>
      </c>
      <c r="N4089">
        <v>0</v>
      </c>
      <c r="O4089">
        <v>285</v>
      </c>
      <c r="P4089" t="str">
        <f t="shared" si="379"/>
        <v>High</v>
      </c>
      <c r="Q4089">
        <v>140</v>
      </c>
      <c r="R4089">
        <v>82.5</v>
      </c>
      <c r="S4089">
        <v>21.24</v>
      </c>
      <c r="T4089" t="str">
        <f t="shared" si="380"/>
        <v>Normal</v>
      </c>
      <c r="U4089">
        <v>98</v>
      </c>
      <c r="V4089">
        <v>81.96365524402907</v>
      </c>
      <c r="W4089" t="str">
        <f t="shared" si="383"/>
        <v>Normal</v>
      </c>
      <c r="X4089">
        <v>0</v>
      </c>
    </row>
    <row r="4090" spans="1:24" ht="14.5" thickBot="1" x14ac:dyDescent="0.35">
      <c r="A4090">
        <v>0</v>
      </c>
      <c r="B4090" t="str">
        <f t="shared" si="381"/>
        <v>Female</v>
      </c>
      <c r="C4090" s="8">
        <v>65</v>
      </c>
      <c r="D4090" t="str">
        <f t="shared" si="382"/>
        <v>Senior</v>
      </c>
      <c r="E4090">
        <v>1</v>
      </c>
      <c r="F4090" t="str">
        <f>HLOOKUP(E4090, LookUP_Table!$A$6:$D$7, 2, FALSE)</f>
        <v>Primary</v>
      </c>
      <c r="G4090" t="str">
        <f>IFERROR(VLOOKUP(E4090, LookUP_Table!$A$1:$B$4, 2, FALSE), "")</f>
        <v>Primary</v>
      </c>
      <c r="H4090">
        <v>0</v>
      </c>
      <c r="I4090">
        <v>0</v>
      </c>
      <c r="J4090" t="str">
        <f t="shared" si="378"/>
        <v>Non-Smoker</v>
      </c>
      <c r="K4090">
        <v>0</v>
      </c>
      <c r="L4090">
        <v>0</v>
      </c>
      <c r="M4090">
        <v>1</v>
      </c>
      <c r="N4090">
        <v>0</v>
      </c>
      <c r="O4090">
        <v>220</v>
      </c>
      <c r="P4090" t="str">
        <f t="shared" si="379"/>
        <v>Normal</v>
      </c>
      <c r="Q4090">
        <v>185.5</v>
      </c>
      <c r="R4090">
        <v>97.5</v>
      </c>
      <c r="S4090">
        <v>38.380000000000003</v>
      </c>
      <c r="T4090" t="str">
        <f t="shared" si="380"/>
        <v>Obese</v>
      </c>
      <c r="U4090">
        <v>72</v>
      </c>
      <c r="V4090">
        <v>95</v>
      </c>
      <c r="W4090" t="str">
        <f t="shared" si="383"/>
        <v>Normal</v>
      </c>
      <c r="X4090">
        <v>1</v>
      </c>
    </row>
    <row r="4091" spans="1:24" ht="14.5" thickBot="1" x14ac:dyDescent="0.35">
      <c r="A4091">
        <v>0</v>
      </c>
      <c r="B4091" t="str">
        <f t="shared" si="381"/>
        <v>Female</v>
      </c>
      <c r="C4091" s="8">
        <v>65</v>
      </c>
      <c r="D4091" t="str">
        <f t="shared" si="382"/>
        <v>Senior</v>
      </c>
      <c r="E4091">
        <v>4</v>
      </c>
      <c r="F4091" t="str">
        <f>HLOOKUP(E4091, LookUP_Table!$A$6:$D$7, 2, FALSE)</f>
        <v>Post Graduate</v>
      </c>
      <c r="G4091" t="str">
        <f>IFERROR(VLOOKUP(E4091, LookUP_Table!$A$1:$B$4, 2, FALSE), "")</f>
        <v>Post Graduate</v>
      </c>
      <c r="H4091">
        <v>0</v>
      </c>
      <c r="I4091">
        <v>0</v>
      </c>
      <c r="J4091" t="str">
        <f t="shared" si="378"/>
        <v>Non-Smoker</v>
      </c>
      <c r="K4091">
        <v>0</v>
      </c>
      <c r="L4091">
        <v>0</v>
      </c>
      <c r="M4091">
        <v>0</v>
      </c>
      <c r="N4091">
        <v>0</v>
      </c>
      <c r="O4091">
        <v>289</v>
      </c>
      <c r="P4091" t="str">
        <f t="shared" si="379"/>
        <v>High</v>
      </c>
      <c r="Q4091">
        <v>149.5</v>
      </c>
      <c r="R4091">
        <v>78</v>
      </c>
      <c r="S4091">
        <v>25.37</v>
      </c>
      <c r="T4091" t="str">
        <f t="shared" si="380"/>
        <v>Overweight</v>
      </c>
      <c r="U4091">
        <v>70</v>
      </c>
      <c r="V4091">
        <v>86</v>
      </c>
      <c r="W4091" t="str">
        <f t="shared" si="383"/>
        <v>Normal</v>
      </c>
      <c r="X4091">
        <v>0</v>
      </c>
    </row>
    <row r="4092" spans="1:24" ht="14.5" thickBot="1" x14ac:dyDescent="0.35">
      <c r="A4092">
        <v>0</v>
      </c>
      <c r="B4092" t="str">
        <f t="shared" si="381"/>
        <v>Female</v>
      </c>
      <c r="C4092" s="8">
        <v>65</v>
      </c>
      <c r="D4092" t="str">
        <f t="shared" si="382"/>
        <v>Senior</v>
      </c>
      <c r="E4092">
        <v>1</v>
      </c>
      <c r="F4092" t="str">
        <f>HLOOKUP(E4092, LookUP_Table!$A$6:$D$7, 2, FALSE)</f>
        <v>Primary</v>
      </c>
      <c r="G4092" t="str">
        <f>IFERROR(VLOOKUP(E4092, LookUP_Table!$A$1:$B$4, 2, FALSE), "")</f>
        <v>Primary</v>
      </c>
      <c r="H4092">
        <v>0</v>
      </c>
      <c r="I4092">
        <v>0</v>
      </c>
      <c r="J4092" t="str">
        <f t="shared" si="378"/>
        <v>Non-Smoker</v>
      </c>
      <c r="K4092">
        <v>0</v>
      </c>
      <c r="L4092">
        <v>0</v>
      </c>
      <c r="M4092">
        <v>1</v>
      </c>
      <c r="N4092">
        <v>0</v>
      </c>
      <c r="O4092">
        <v>244</v>
      </c>
      <c r="P4092" t="str">
        <f t="shared" si="379"/>
        <v>High</v>
      </c>
      <c r="Q4092">
        <v>162</v>
      </c>
      <c r="R4092">
        <v>98</v>
      </c>
      <c r="S4092">
        <v>24.5</v>
      </c>
      <c r="T4092" t="str">
        <f t="shared" si="380"/>
        <v>Normal</v>
      </c>
      <c r="U4092">
        <v>70</v>
      </c>
      <c r="V4092">
        <v>82</v>
      </c>
      <c r="W4092" t="str">
        <f t="shared" si="383"/>
        <v>Normal</v>
      </c>
      <c r="X4092">
        <v>0</v>
      </c>
    </row>
    <row r="4093" spans="1:24" ht="14.5" thickBot="1" x14ac:dyDescent="0.35">
      <c r="A4093">
        <v>0</v>
      </c>
      <c r="B4093" t="str">
        <f t="shared" si="381"/>
        <v>Female</v>
      </c>
      <c r="C4093" s="8">
        <v>65</v>
      </c>
      <c r="D4093" t="str">
        <f t="shared" si="382"/>
        <v>Senior</v>
      </c>
      <c r="E4093">
        <v>1</v>
      </c>
      <c r="F4093" t="str">
        <f>HLOOKUP(E4093, LookUP_Table!$A$6:$D$7, 2, FALSE)</f>
        <v>Primary</v>
      </c>
      <c r="G4093" t="str">
        <f>IFERROR(VLOOKUP(E4093, LookUP_Table!$A$1:$B$4, 2, FALSE), "")</f>
        <v>Primary</v>
      </c>
      <c r="H4093">
        <v>0</v>
      </c>
      <c r="I4093">
        <v>0</v>
      </c>
      <c r="J4093" t="str">
        <f t="shared" si="378"/>
        <v>Non-Smoker</v>
      </c>
      <c r="K4093">
        <v>0</v>
      </c>
      <c r="L4093">
        <v>0</v>
      </c>
      <c r="M4093">
        <v>0</v>
      </c>
      <c r="N4093">
        <v>0</v>
      </c>
      <c r="O4093">
        <v>246</v>
      </c>
      <c r="P4093" t="str">
        <f t="shared" si="379"/>
        <v>High</v>
      </c>
      <c r="Q4093">
        <v>119</v>
      </c>
      <c r="R4093">
        <v>76</v>
      </c>
      <c r="S4093">
        <v>19.829999999999998</v>
      </c>
      <c r="T4093" t="str">
        <f t="shared" si="380"/>
        <v>Normal</v>
      </c>
      <c r="U4093">
        <v>75</v>
      </c>
      <c r="V4093">
        <v>156</v>
      </c>
      <c r="W4093" t="str">
        <f t="shared" si="383"/>
        <v>Diabetes</v>
      </c>
      <c r="X4093">
        <v>0</v>
      </c>
    </row>
    <row r="4094" spans="1:24" ht="14.5" thickBot="1" x14ac:dyDescent="0.35">
      <c r="A4094">
        <v>1</v>
      </c>
      <c r="B4094" t="str">
        <f t="shared" si="381"/>
        <v>Male</v>
      </c>
      <c r="C4094" s="8">
        <v>65</v>
      </c>
      <c r="D4094" t="str">
        <f t="shared" si="382"/>
        <v>Senior</v>
      </c>
      <c r="E4094">
        <v>1</v>
      </c>
      <c r="F4094" t="str">
        <f>HLOOKUP(E4094, LookUP_Table!$A$6:$D$7, 2, FALSE)</f>
        <v>Primary</v>
      </c>
      <c r="G4094" t="str">
        <f>IFERROR(VLOOKUP(E4094, LookUP_Table!$A$1:$B$4, 2, FALSE), "")</f>
        <v>Primary</v>
      </c>
      <c r="H4094">
        <v>0</v>
      </c>
      <c r="I4094">
        <v>0</v>
      </c>
      <c r="J4094" t="str">
        <f t="shared" si="378"/>
        <v>Non-Smoker</v>
      </c>
      <c r="K4094">
        <v>1</v>
      </c>
      <c r="L4094">
        <v>0</v>
      </c>
      <c r="M4094">
        <v>1</v>
      </c>
      <c r="N4094">
        <v>0</v>
      </c>
      <c r="O4094">
        <v>201</v>
      </c>
      <c r="P4094" t="str">
        <f t="shared" si="379"/>
        <v>Normal</v>
      </c>
      <c r="Q4094">
        <v>166</v>
      </c>
      <c r="R4094">
        <v>93</v>
      </c>
      <c r="S4094">
        <v>28.16</v>
      </c>
      <c r="T4094" t="str">
        <f t="shared" si="380"/>
        <v>Overweight</v>
      </c>
      <c r="U4094">
        <v>54</v>
      </c>
      <c r="V4094">
        <v>91</v>
      </c>
      <c r="W4094" t="str">
        <f t="shared" si="383"/>
        <v>Normal</v>
      </c>
      <c r="X4094">
        <v>0</v>
      </c>
    </row>
    <row r="4095" spans="1:24" ht="14.5" thickBot="1" x14ac:dyDescent="0.35">
      <c r="A4095">
        <v>1</v>
      </c>
      <c r="B4095" t="str">
        <f t="shared" si="381"/>
        <v>Male</v>
      </c>
      <c r="C4095" s="8">
        <v>65</v>
      </c>
      <c r="D4095" t="str">
        <f t="shared" si="382"/>
        <v>Senior</v>
      </c>
      <c r="E4095">
        <v>1</v>
      </c>
      <c r="F4095" t="str">
        <f>HLOOKUP(E4095, LookUP_Table!$A$6:$D$7, 2, FALSE)</f>
        <v>Primary</v>
      </c>
      <c r="G4095" t="str">
        <f>IFERROR(VLOOKUP(E4095, LookUP_Table!$A$1:$B$4, 2, FALSE), "")</f>
        <v>Primary</v>
      </c>
      <c r="H4095">
        <v>0</v>
      </c>
      <c r="I4095">
        <v>0</v>
      </c>
      <c r="J4095" t="str">
        <f t="shared" si="378"/>
        <v>Non-Smoker</v>
      </c>
      <c r="K4095">
        <v>0</v>
      </c>
      <c r="L4095">
        <v>0</v>
      </c>
      <c r="M4095">
        <v>0</v>
      </c>
      <c r="N4095">
        <v>0</v>
      </c>
      <c r="O4095">
        <v>167</v>
      </c>
      <c r="P4095" t="str">
        <f t="shared" si="379"/>
        <v>Normal</v>
      </c>
      <c r="Q4095">
        <v>150</v>
      </c>
      <c r="R4095">
        <v>77</v>
      </c>
      <c r="S4095">
        <v>34.69</v>
      </c>
      <c r="T4095" t="str">
        <f t="shared" si="380"/>
        <v>Obese</v>
      </c>
      <c r="U4095">
        <v>75</v>
      </c>
      <c r="V4095">
        <v>81.96365524402907</v>
      </c>
      <c r="W4095" t="str">
        <f t="shared" si="383"/>
        <v>Normal</v>
      </c>
      <c r="X4095">
        <v>1</v>
      </c>
    </row>
    <row r="4096" spans="1:24" ht="14.5" thickBot="1" x14ac:dyDescent="0.35">
      <c r="A4096">
        <v>0</v>
      </c>
      <c r="B4096" t="str">
        <f t="shared" si="381"/>
        <v>Female</v>
      </c>
      <c r="C4096" s="8">
        <v>65</v>
      </c>
      <c r="D4096" t="str">
        <f t="shared" si="382"/>
        <v>Senior</v>
      </c>
      <c r="E4096">
        <v>1</v>
      </c>
      <c r="F4096" t="str">
        <f>HLOOKUP(E4096, LookUP_Table!$A$6:$D$7, 2, FALSE)</f>
        <v>Primary</v>
      </c>
      <c r="G4096" t="str">
        <f>IFERROR(VLOOKUP(E4096, LookUP_Table!$A$1:$B$4, 2, FALSE), "")</f>
        <v>Primary</v>
      </c>
      <c r="H4096">
        <v>0</v>
      </c>
      <c r="I4096">
        <v>0</v>
      </c>
      <c r="J4096" t="str">
        <f t="shared" si="378"/>
        <v>Non-Smoker</v>
      </c>
      <c r="K4096">
        <v>0</v>
      </c>
      <c r="L4096">
        <v>0</v>
      </c>
      <c r="M4096">
        <v>1</v>
      </c>
      <c r="N4096">
        <v>0</v>
      </c>
      <c r="O4096">
        <v>245</v>
      </c>
      <c r="P4096" t="str">
        <f t="shared" si="379"/>
        <v>High</v>
      </c>
      <c r="Q4096">
        <v>171</v>
      </c>
      <c r="R4096">
        <v>89</v>
      </c>
      <c r="S4096">
        <v>23.07</v>
      </c>
      <c r="T4096" t="str">
        <f t="shared" si="380"/>
        <v>Normal</v>
      </c>
      <c r="U4096">
        <v>82</v>
      </c>
      <c r="V4096">
        <v>93</v>
      </c>
      <c r="W4096" t="str">
        <f t="shared" si="383"/>
        <v>Normal</v>
      </c>
      <c r="X4096">
        <v>0</v>
      </c>
    </row>
    <row r="4097" spans="1:24" ht="14.5" thickBot="1" x14ac:dyDescent="0.35">
      <c r="A4097">
        <v>0</v>
      </c>
      <c r="B4097" t="str">
        <f t="shared" si="381"/>
        <v>Female</v>
      </c>
      <c r="C4097" s="8">
        <v>65</v>
      </c>
      <c r="D4097" t="str">
        <f t="shared" si="382"/>
        <v>Senior</v>
      </c>
      <c r="E4097">
        <v>1</v>
      </c>
      <c r="F4097" t="str">
        <f>HLOOKUP(E4097, LookUP_Table!$A$6:$D$7, 2, FALSE)</f>
        <v>Primary</v>
      </c>
      <c r="G4097" t="str">
        <f>IFERROR(VLOOKUP(E4097, LookUP_Table!$A$1:$B$4, 2, FALSE), "")</f>
        <v>Primary</v>
      </c>
      <c r="H4097">
        <v>0</v>
      </c>
      <c r="I4097">
        <v>0</v>
      </c>
      <c r="J4097" t="str">
        <f t="shared" si="378"/>
        <v>Non-Smoker</v>
      </c>
      <c r="K4097">
        <v>0</v>
      </c>
      <c r="L4097">
        <v>0</v>
      </c>
      <c r="M4097">
        <v>0</v>
      </c>
      <c r="N4097">
        <v>0</v>
      </c>
      <c r="O4097">
        <v>288</v>
      </c>
      <c r="P4097" t="str">
        <f t="shared" si="379"/>
        <v>High</v>
      </c>
      <c r="Q4097">
        <v>146</v>
      </c>
      <c r="R4097">
        <v>94.5</v>
      </c>
      <c r="S4097">
        <v>26.54</v>
      </c>
      <c r="T4097" t="str">
        <f t="shared" si="380"/>
        <v>Overweight</v>
      </c>
      <c r="U4097">
        <v>80</v>
      </c>
      <c r="V4097">
        <v>74</v>
      </c>
      <c r="W4097" t="str">
        <f t="shared" si="383"/>
        <v>Normal</v>
      </c>
      <c r="X4097">
        <v>0</v>
      </c>
    </row>
    <row r="4098" spans="1:24" ht="14.5" thickBot="1" x14ac:dyDescent="0.35">
      <c r="A4098">
        <v>1</v>
      </c>
      <c r="B4098" t="str">
        <f t="shared" si="381"/>
        <v>Male</v>
      </c>
      <c r="C4098" s="8">
        <v>65</v>
      </c>
      <c r="D4098" t="str">
        <f t="shared" si="382"/>
        <v>Senior</v>
      </c>
      <c r="E4098">
        <v>1</v>
      </c>
      <c r="F4098" t="str">
        <f>HLOOKUP(E4098, LookUP_Table!$A$6:$D$7, 2, FALSE)</f>
        <v>Primary</v>
      </c>
      <c r="G4098" t="str">
        <f>IFERROR(VLOOKUP(E4098, LookUP_Table!$A$1:$B$4, 2, FALSE), "")</f>
        <v>Primary</v>
      </c>
      <c r="H4098">
        <v>0</v>
      </c>
      <c r="I4098">
        <v>0</v>
      </c>
      <c r="J4098" t="str">
        <f t="shared" ref="J4098:J4161" si="384">IF(I4098&gt;0,"Smoker","Non-Smoker")</f>
        <v>Non-Smoker</v>
      </c>
      <c r="K4098">
        <v>0</v>
      </c>
      <c r="L4098">
        <v>0</v>
      </c>
      <c r="M4098">
        <v>1</v>
      </c>
      <c r="N4098">
        <v>1</v>
      </c>
      <c r="O4098">
        <v>240</v>
      </c>
      <c r="P4098" t="str">
        <f t="shared" ref="P4098:P4161" si="385">IF(O4098&gt;240,"High","Normal")</f>
        <v>Normal</v>
      </c>
      <c r="Q4098">
        <v>235</v>
      </c>
      <c r="R4098">
        <v>100</v>
      </c>
      <c r="S4098">
        <v>25.80080075811421</v>
      </c>
      <c r="T4098" t="str">
        <f t="shared" ref="T4098:T4161" si="386">IF(S4098&lt;18.5,"Underweight",
IF(S4098&lt;25,"Normal",
IF(S4098&lt;30,"Overweight","Obese")))</f>
        <v>Overweight</v>
      </c>
      <c r="U4098">
        <v>68</v>
      </c>
      <c r="V4098">
        <v>297</v>
      </c>
      <c r="W4098" t="str">
        <f t="shared" si="383"/>
        <v>Diabetes</v>
      </c>
      <c r="X4098">
        <v>1</v>
      </c>
    </row>
    <row r="4099" spans="1:24" ht="14.5" thickBot="1" x14ac:dyDescent="0.35">
      <c r="A4099">
        <v>0</v>
      </c>
      <c r="B4099" t="str">
        <f t="shared" ref="B4099:B4162" si="387">IF(A4099=0,"Female","Male")</f>
        <v>Female</v>
      </c>
      <c r="C4099" s="8">
        <v>65</v>
      </c>
      <c r="D4099" t="str">
        <f t="shared" ref="D4099:D4162" si="388">IF(C4099&lt;40,"Young",
IF(C4099&lt;55,"Middle Age","Senior"))</f>
        <v>Senior</v>
      </c>
      <c r="E4099">
        <v>4</v>
      </c>
      <c r="F4099" t="str">
        <f>HLOOKUP(E4099, LookUP_Table!$A$6:$D$7, 2, FALSE)</f>
        <v>Post Graduate</v>
      </c>
      <c r="G4099" t="str">
        <f>IFERROR(VLOOKUP(E4099, LookUP_Table!$A$1:$B$4, 2, FALSE), "")</f>
        <v>Post Graduate</v>
      </c>
      <c r="H4099">
        <v>1</v>
      </c>
      <c r="I4099">
        <v>1</v>
      </c>
      <c r="J4099" t="str">
        <f t="shared" si="384"/>
        <v>Smoker</v>
      </c>
      <c r="K4099">
        <v>0</v>
      </c>
      <c r="L4099">
        <v>0</v>
      </c>
      <c r="M4099">
        <v>1</v>
      </c>
      <c r="N4099">
        <v>0</v>
      </c>
      <c r="O4099">
        <v>322</v>
      </c>
      <c r="P4099" t="str">
        <f t="shared" si="385"/>
        <v>High</v>
      </c>
      <c r="Q4099">
        <v>165</v>
      </c>
      <c r="R4099">
        <v>95</v>
      </c>
      <c r="S4099">
        <v>22.84</v>
      </c>
      <c r="T4099" t="str">
        <f t="shared" si="386"/>
        <v>Normal</v>
      </c>
      <c r="U4099">
        <v>80</v>
      </c>
      <c r="V4099">
        <v>81</v>
      </c>
      <c r="W4099" t="str">
        <f t="shared" ref="W4099:W4162" si="389">IF(V4099 &lt; 100, "Normal", IF(V4099 &lt;= 125, "Prediabetes", "Diabetes"))</f>
        <v>Normal</v>
      </c>
      <c r="X4099">
        <v>0</v>
      </c>
    </row>
    <row r="4100" spans="1:24" ht="14.5" thickBot="1" x14ac:dyDescent="0.35">
      <c r="A4100">
        <v>0</v>
      </c>
      <c r="B4100" t="str">
        <f t="shared" si="387"/>
        <v>Female</v>
      </c>
      <c r="C4100" s="8">
        <v>65</v>
      </c>
      <c r="D4100" t="str">
        <f t="shared" si="388"/>
        <v>Senior</v>
      </c>
      <c r="E4100">
        <v>1</v>
      </c>
      <c r="F4100" t="str">
        <f>HLOOKUP(E4100, LookUP_Table!$A$6:$D$7, 2, FALSE)</f>
        <v>Primary</v>
      </c>
      <c r="G4100" t="str">
        <f>IFERROR(VLOOKUP(E4100, LookUP_Table!$A$1:$B$4, 2, FALSE), "")</f>
        <v>Primary</v>
      </c>
      <c r="H4100">
        <v>1</v>
      </c>
      <c r="I4100">
        <v>3</v>
      </c>
      <c r="J4100" t="str">
        <f t="shared" si="384"/>
        <v>Smoker</v>
      </c>
      <c r="K4100">
        <v>0</v>
      </c>
      <c r="L4100">
        <v>0</v>
      </c>
      <c r="M4100">
        <v>1</v>
      </c>
      <c r="N4100">
        <v>0</v>
      </c>
      <c r="O4100">
        <v>211</v>
      </c>
      <c r="P4100" t="str">
        <f t="shared" si="385"/>
        <v>Normal</v>
      </c>
      <c r="Q4100">
        <v>190</v>
      </c>
      <c r="R4100">
        <v>90</v>
      </c>
      <c r="S4100">
        <v>39.54</v>
      </c>
      <c r="T4100" t="str">
        <f t="shared" si="386"/>
        <v>Obese</v>
      </c>
      <c r="U4100">
        <v>80</v>
      </c>
      <c r="V4100">
        <v>81.96365524402907</v>
      </c>
      <c r="W4100" t="str">
        <f t="shared" si="389"/>
        <v>Normal</v>
      </c>
      <c r="X4100">
        <v>0</v>
      </c>
    </row>
    <row r="4101" spans="1:24" ht="14.5" thickBot="1" x14ac:dyDescent="0.35">
      <c r="A4101">
        <v>0</v>
      </c>
      <c r="B4101" t="str">
        <f t="shared" si="387"/>
        <v>Female</v>
      </c>
      <c r="C4101" s="8">
        <v>65</v>
      </c>
      <c r="D4101" t="str">
        <f t="shared" si="388"/>
        <v>Senior</v>
      </c>
      <c r="E4101">
        <v>1</v>
      </c>
      <c r="F4101" t="str">
        <f>HLOOKUP(E4101, LookUP_Table!$A$6:$D$7, 2, FALSE)</f>
        <v>Primary</v>
      </c>
      <c r="G4101" t="str">
        <f>IFERROR(VLOOKUP(E4101, LookUP_Table!$A$1:$B$4, 2, FALSE), "")</f>
        <v>Primary</v>
      </c>
      <c r="H4101">
        <v>0</v>
      </c>
      <c r="I4101">
        <v>0</v>
      </c>
      <c r="J4101" t="str">
        <f t="shared" si="384"/>
        <v>Non-Smoker</v>
      </c>
      <c r="K4101">
        <v>0</v>
      </c>
      <c r="L4101">
        <v>0</v>
      </c>
      <c r="M4101">
        <v>0</v>
      </c>
      <c r="N4101">
        <v>0</v>
      </c>
      <c r="O4101">
        <v>212</v>
      </c>
      <c r="P4101" t="str">
        <f t="shared" si="385"/>
        <v>Normal</v>
      </c>
      <c r="Q4101">
        <v>94</v>
      </c>
      <c r="R4101">
        <v>62</v>
      </c>
      <c r="S4101">
        <v>25.83</v>
      </c>
      <c r="T4101" t="str">
        <f t="shared" si="386"/>
        <v>Overweight</v>
      </c>
      <c r="U4101">
        <v>80</v>
      </c>
      <c r="V4101">
        <v>88</v>
      </c>
      <c r="W4101" t="str">
        <f t="shared" si="389"/>
        <v>Normal</v>
      </c>
      <c r="X4101">
        <v>0</v>
      </c>
    </row>
    <row r="4102" spans="1:24" ht="14.5" thickBot="1" x14ac:dyDescent="0.35">
      <c r="A4102">
        <v>0</v>
      </c>
      <c r="B4102" t="str">
        <f t="shared" si="387"/>
        <v>Female</v>
      </c>
      <c r="C4102" s="8">
        <v>65</v>
      </c>
      <c r="D4102" t="str">
        <f t="shared" si="388"/>
        <v>Senior</v>
      </c>
      <c r="E4102">
        <v>3</v>
      </c>
      <c r="F4102" t="str">
        <f>HLOOKUP(E4102, LookUP_Table!$A$6:$D$7, 2, FALSE)</f>
        <v>Graduate</v>
      </c>
      <c r="G4102" t="str">
        <f>IFERROR(VLOOKUP(E4102, LookUP_Table!$A$1:$B$4, 2, FALSE), "")</f>
        <v>Graduate</v>
      </c>
      <c r="H4102">
        <v>0</v>
      </c>
      <c r="I4102">
        <v>0</v>
      </c>
      <c r="J4102" t="str">
        <f t="shared" si="384"/>
        <v>Non-Smoker</v>
      </c>
      <c r="K4102">
        <v>0</v>
      </c>
      <c r="L4102">
        <v>0</v>
      </c>
      <c r="M4102">
        <v>1</v>
      </c>
      <c r="N4102">
        <v>0</v>
      </c>
      <c r="O4102">
        <v>216</v>
      </c>
      <c r="P4102" t="str">
        <f t="shared" si="385"/>
        <v>Normal</v>
      </c>
      <c r="Q4102">
        <v>163</v>
      </c>
      <c r="R4102">
        <v>102</v>
      </c>
      <c r="S4102">
        <v>30.12</v>
      </c>
      <c r="T4102" t="str">
        <f t="shared" si="386"/>
        <v>Obese</v>
      </c>
      <c r="U4102">
        <v>91</v>
      </c>
      <c r="V4102">
        <v>73</v>
      </c>
      <c r="W4102" t="str">
        <f t="shared" si="389"/>
        <v>Normal</v>
      </c>
      <c r="X4102">
        <v>0</v>
      </c>
    </row>
    <row r="4103" spans="1:24" ht="14.5" thickBot="1" x14ac:dyDescent="0.35">
      <c r="A4103">
        <v>0</v>
      </c>
      <c r="B4103" t="str">
        <f t="shared" si="387"/>
        <v>Female</v>
      </c>
      <c r="C4103" s="8">
        <v>65</v>
      </c>
      <c r="D4103" t="str">
        <f t="shared" si="388"/>
        <v>Senior</v>
      </c>
      <c r="E4103">
        <v>1</v>
      </c>
      <c r="F4103" t="str">
        <f>HLOOKUP(E4103, LookUP_Table!$A$6:$D$7, 2, FALSE)</f>
        <v>Primary</v>
      </c>
      <c r="G4103" t="str">
        <f>IFERROR(VLOOKUP(E4103, LookUP_Table!$A$1:$B$4, 2, FALSE), "")</f>
        <v>Primary</v>
      </c>
      <c r="H4103">
        <v>0</v>
      </c>
      <c r="I4103">
        <v>0</v>
      </c>
      <c r="J4103" t="str">
        <f t="shared" si="384"/>
        <v>Non-Smoker</v>
      </c>
      <c r="K4103">
        <v>0</v>
      </c>
      <c r="L4103">
        <v>0</v>
      </c>
      <c r="M4103">
        <v>0</v>
      </c>
      <c r="N4103">
        <v>0</v>
      </c>
      <c r="O4103">
        <v>221</v>
      </c>
      <c r="P4103" t="str">
        <f t="shared" si="385"/>
        <v>Normal</v>
      </c>
      <c r="Q4103">
        <v>141</v>
      </c>
      <c r="R4103">
        <v>82.5</v>
      </c>
      <c r="S4103">
        <v>29.48</v>
      </c>
      <c r="T4103" t="str">
        <f t="shared" si="386"/>
        <v>Overweight</v>
      </c>
      <c r="U4103">
        <v>80</v>
      </c>
      <c r="V4103">
        <v>93</v>
      </c>
      <c r="W4103" t="str">
        <f t="shared" si="389"/>
        <v>Normal</v>
      </c>
      <c r="X4103">
        <v>0</v>
      </c>
    </row>
    <row r="4104" spans="1:24" ht="14.5" thickBot="1" x14ac:dyDescent="0.35">
      <c r="A4104">
        <v>1</v>
      </c>
      <c r="B4104" t="str">
        <f t="shared" si="387"/>
        <v>Male</v>
      </c>
      <c r="C4104" s="8">
        <v>65</v>
      </c>
      <c r="D4104" t="str">
        <f t="shared" si="388"/>
        <v>Senior</v>
      </c>
      <c r="E4104">
        <v>1</v>
      </c>
      <c r="F4104" t="str">
        <f>HLOOKUP(E4104, LookUP_Table!$A$6:$D$7, 2, FALSE)</f>
        <v>Primary</v>
      </c>
      <c r="G4104" t="str">
        <f>IFERROR(VLOOKUP(E4104, LookUP_Table!$A$1:$B$4, 2, FALSE), "")</f>
        <v>Primary</v>
      </c>
      <c r="H4104">
        <v>0</v>
      </c>
      <c r="I4104">
        <v>0</v>
      </c>
      <c r="J4104" t="str">
        <f t="shared" si="384"/>
        <v>Non-Smoker</v>
      </c>
      <c r="K4104">
        <v>0</v>
      </c>
      <c r="L4104">
        <v>1</v>
      </c>
      <c r="M4104">
        <v>1</v>
      </c>
      <c r="N4104">
        <v>0</v>
      </c>
      <c r="O4104">
        <v>266</v>
      </c>
      <c r="P4104" t="str">
        <f t="shared" si="385"/>
        <v>High</v>
      </c>
      <c r="Q4104">
        <v>140</v>
      </c>
      <c r="R4104">
        <v>100</v>
      </c>
      <c r="S4104">
        <v>29.36</v>
      </c>
      <c r="T4104" t="str">
        <f t="shared" si="386"/>
        <v>Overweight</v>
      </c>
      <c r="U4104">
        <v>80</v>
      </c>
      <c r="V4104">
        <v>77</v>
      </c>
      <c r="W4104" t="str">
        <f t="shared" si="389"/>
        <v>Normal</v>
      </c>
      <c r="X4104">
        <v>1</v>
      </c>
    </row>
    <row r="4105" spans="1:24" ht="14.5" thickBot="1" x14ac:dyDescent="0.35">
      <c r="A4105">
        <v>1</v>
      </c>
      <c r="B4105" t="str">
        <f t="shared" si="387"/>
        <v>Male</v>
      </c>
      <c r="C4105" s="8">
        <v>65</v>
      </c>
      <c r="D4105" t="str">
        <f t="shared" si="388"/>
        <v>Senior</v>
      </c>
      <c r="E4105">
        <v>2</v>
      </c>
      <c r="F4105" t="str">
        <f>HLOOKUP(E4105, LookUP_Table!$A$6:$D$7, 2, FALSE)</f>
        <v>Secondary</v>
      </c>
      <c r="G4105" t="str">
        <f>IFERROR(VLOOKUP(E4105, LookUP_Table!$A$1:$B$4, 2, FALSE), "")</f>
        <v>Secondary</v>
      </c>
      <c r="H4105">
        <v>0</v>
      </c>
      <c r="I4105">
        <v>0</v>
      </c>
      <c r="J4105" t="str">
        <f t="shared" si="384"/>
        <v>Non-Smoker</v>
      </c>
      <c r="K4105">
        <v>0</v>
      </c>
      <c r="L4105">
        <v>0</v>
      </c>
      <c r="M4105">
        <v>0</v>
      </c>
      <c r="N4105">
        <v>1</v>
      </c>
      <c r="O4105">
        <v>238</v>
      </c>
      <c r="P4105" t="str">
        <f t="shared" si="385"/>
        <v>Normal</v>
      </c>
      <c r="Q4105">
        <v>122</v>
      </c>
      <c r="R4105">
        <v>81</v>
      </c>
      <c r="S4105">
        <v>23.95</v>
      </c>
      <c r="T4105" t="str">
        <f t="shared" si="386"/>
        <v>Normal</v>
      </c>
      <c r="U4105">
        <v>67</v>
      </c>
      <c r="V4105">
        <v>150</v>
      </c>
      <c r="W4105" t="str">
        <f t="shared" si="389"/>
        <v>Diabetes</v>
      </c>
      <c r="X4105">
        <v>1</v>
      </c>
    </row>
    <row r="4106" spans="1:24" ht="14.5" thickBot="1" x14ac:dyDescent="0.35">
      <c r="A4106">
        <v>0</v>
      </c>
      <c r="B4106" t="str">
        <f t="shared" si="387"/>
        <v>Female</v>
      </c>
      <c r="C4106" s="8">
        <v>65</v>
      </c>
      <c r="D4106" t="str">
        <f t="shared" si="388"/>
        <v>Senior</v>
      </c>
      <c r="E4106">
        <v>3</v>
      </c>
      <c r="F4106" t="str">
        <f>HLOOKUP(E4106, LookUP_Table!$A$6:$D$7, 2, FALSE)</f>
        <v>Graduate</v>
      </c>
      <c r="G4106" t="str">
        <f>IFERROR(VLOOKUP(E4106, LookUP_Table!$A$1:$B$4, 2, FALSE), "")</f>
        <v>Graduate</v>
      </c>
      <c r="H4106">
        <v>0</v>
      </c>
      <c r="I4106">
        <v>0</v>
      </c>
      <c r="J4106" t="str">
        <f t="shared" si="384"/>
        <v>Non-Smoker</v>
      </c>
      <c r="K4106">
        <v>0</v>
      </c>
      <c r="L4106">
        <v>0</v>
      </c>
      <c r="M4106">
        <v>0</v>
      </c>
      <c r="N4106">
        <v>0</v>
      </c>
      <c r="O4106">
        <v>344</v>
      </c>
      <c r="P4106" t="str">
        <f t="shared" si="385"/>
        <v>High</v>
      </c>
      <c r="Q4106">
        <v>120</v>
      </c>
      <c r="R4106">
        <v>75</v>
      </c>
      <c r="S4106">
        <v>25.41</v>
      </c>
      <c r="T4106" t="str">
        <f t="shared" si="386"/>
        <v>Overweight</v>
      </c>
      <c r="U4106">
        <v>87</v>
      </c>
      <c r="V4106">
        <v>98</v>
      </c>
      <c r="W4106" t="str">
        <f t="shared" si="389"/>
        <v>Normal</v>
      </c>
      <c r="X4106">
        <v>0</v>
      </c>
    </row>
    <row r="4107" spans="1:24" ht="14.5" thickBot="1" x14ac:dyDescent="0.35">
      <c r="A4107">
        <v>0</v>
      </c>
      <c r="B4107" t="str">
        <f t="shared" si="387"/>
        <v>Female</v>
      </c>
      <c r="C4107" s="8">
        <v>65</v>
      </c>
      <c r="D4107" t="str">
        <f t="shared" si="388"/>
        <v>Senior</v>
      </c>
      <c r="E4107">
        <v>1</v>
      </c>
      <c r="F4107" t="str">
        <f>HLOOKUP(E4107, LookUP_Table!$A$6:$D$7, 2, FALSE)</f>
        <v>Primary</v>
      </c>
      <c r="G4107" t="str">
        <f>IFERROR(VLOOKUP(E4107, LookUP_Table!$A$1:$B$4, 2, FALSE), "")</f>
        <v>Primary</v>
      </c>
      <c r="H4107">
        <v>0</v>
      </c>
      <c r="I4107">
        <v>0</v>
      </c>
      <c r="J4107" t="str">
        <f t="shared" si="384"/>
        <v>Non-Smoker</v>
      </c>
      <c r="K4107">
        <v>1</v>
      </c>
      <c r="L4107">
        <v>0</v>
      </c>
      <c r="M4107">
        <v>1</v>
      </c>
      <c r="N4107">
        <v>0</v>
      </c>
      <c r="O4107">
        <v>230</v>
      </c>
      <c r="P4107" t="str">
        <f t="shared" si="385"/>
        <v>Normal</v>
      </c>
      <c r="Q4107">
        <v>159</v>
      </c>
      <c r="R4107">
        <v>87</v>
      </c>
      <c r="S4107">
        <v>22.91</v>
      </c>
      <c r="T4107" t="str">
        <f t="shared" si="386"/>
        <v>Normal</v>
      </c>
      <c r="U4107">
        <v>70</v>
      </c>
      <c r="V4107">
        <v>65</v>
      </c>
      <c r="W4107" t="str">
        <f t="shared" si="389"/>
        <v>Normal</v>
      </c>
      <c r="X4107">
        <v>1</v>
      </c>
    </row>
    <row r="4108" spans="1:24" ht="14.5" thickBot="1" x14ac:dyDescent="0.35">
      <c r="A4108">
        <v>0</v>
      </c>
      <c r="B4108" t="str">
        <f t="shared" si="387"/>
        <v>Female</v>
      </c>
      <c r="C4108" s="8">
        <v>65</v>
      </c>
      <c r="D4108" t="str">
        <f t="shared" si="388"/>
        <v>Senior</v>
      </c>
      <c r="E4108">
        <v>1</v>
      </c>
      <c r="F4108" t="str">
        <f>HLOOKUP(E4108, LookUP_Table!$A$6:$D$7, 2, FALSE)</f>
        <v>Primary</v>
      </c>
      <c r="G4108" t="str">
        <f>IFERROR(VLOOKUP(E4108, LookUP_Table!$A$1:$B$4, 2, FALSE), "")</f>
        <v>Primary</v>
      </c>
      <c r="H4108">
        <v>0</v>
      </c>
      <c r="I4108">
        <v>0</v>
      </c>
      <c r="J4108" t="str">
        <f t="shared" si="384"/>
        <v>Non-Smoker</v>
      </c>
      <c r="K4108">
        <v>0</v>
      </c>
      <c r="L4108">
        <v>0</v>
      </c>
      <c r="M4108">
        <v>1</v>
      </c>
      <c r="N4108">
        <v>0</v>
      </c>
      <c r="O4108">
        <v>295</v>
      </c>
      <c r="P4108" t="str">
        <f t="shared" si="385"/>
        <v>High</v>
      </c>
      <c r="Q4108">
        <v>210</v>
      </c>
      <c r="R4108">
        <v>135</v>
      </c>
      <c r="S4108">
        <v>24.73</v>
      </c>
      <c r="T4108" t="str">
        <f t="shared" si="386"/>
        <v>Normal</v>
      </c>
      <c r="U4108">
        <v>72</v>
      </c>
      <c r="V4108">
        <v>93</v>
      </c>
      <c r="W4108" t="str">
        <f t="shared" si="389"/>
        <v>Normal</v>
      </c>
      <c r="X4108">
        <v>1</v>
      </c>
    </row>
    <row r="4109" spans="1:24" ht="14.5" thickBot="1" x14ac:dyDescent="0.35">
      <c r="A4109">
        <v>1</v>
      </c>
      <c r="B4109" t="str">
        <f t="shared" si="387"/>
        <v>Male</v>
      </c>
      <c r="C4109" s="8">
        <v>65</v>
      </c>
      <c r="D4109" t="str">
        <f t="shared" si="388"/>
        <v>Senior</v>
      </c>
      <c r="E4109">
        <v>4</v>
      </c>
      <c r="F4109" t="str">
        <f>HLOOKUP(E4109, LookUP_Table!$A$6:$D$7, 2, FALSE)</f>
        <v>Post Graduate</v>
      </c>
      <c r="G4109" t="str">
        <f>IFERROR(VLOOKUP(E4109, LookUP_Table!$A$1:$B$4, 2, FALSE), "")</f>
        <v>Post Graduate</v>
      </c>
      <c r="H4109">
        <v>0</v>
      </c>
      <c r="I4109">
        <v>0</v>
      </c>
      <c r="J4109" t="str">
        <f t="shared" si="384"/>
        <v>Non-Smoker</v>
      </c>
      <c r="K4109">
        <v>0</v>
      </c>
      <c r="L4109">
        <v>0</v>
      </c>
      <c r="M4109">
        <v>0</v>
      </c>
      <c r="N4109">
        <v>0</v>
      </c>
      <c r="O4109">
        <v>253</v>
      </c>
      <c r="P4109" t="str">
        <f t="shared" si="385"/>
        <v>High</v>
      </c>
      <c r="Q4109">
        <v>111</v>
      </c>
      <c r="R4109">
        <v>60</v>
      </c>
      <c r="S4109">
        <v>24.12</v>
      </c>
      <c r="T4109" t="str">
        <f t="shared" si="386"/>
        <v>Normal</v>
      </c>
      <c r="U4109">
        <v>60</v>
      </c>
      <c r="V4109">
        <v>69</v>
      </c>
      <c r="W4109" t="str">
        <f t="shared" si="389"/>
        <v>Normal</v>
      </c>
      <c r="X4109">
        <v>0</v>
      </c>
    </row>
    <row r="4110" spans="1:24" ht="14.5" thickBot="1" x14ac:dyDescent="0.35">
      <c r="A4110">
        <v>0</v>
      </c>
      <c r="B4110" t="str">
        <f t="shared" si="387"/>
        <v>Female</v>
      </c>
      <c r="C4110" s="8">
        <v>65</v>
      </c>
      <c r="D4110" t="str">
        <f t="shared" si="388"/>
        <v>Senior</v>
      </c>
      <c r="E4110">
        <v>1</v>
      </c>
      <c r="F4110" t="str">
        <f>HLOOKUP(E4110, LookUP_Table!$A$6:$D$7, 2, FALSE)</f>
        <v>Primary</v>
      </c>
      <c r="G4110" t="str">
        <f>IFERROR(VLOOKUP(E4110, LookUP_Table!$A$1:$B$4, 2, FALSE), "")</f>
        <v>Primary</v>
      </c>
      <c r="H4110">
        <v>0</v>
      </c>
      <c r="I4110">
        <v>0</v>
      </c>
      <c r="J4110" t="str">
        <f t="shared" si="384"/>
        <v>Non-Smoker</v>
      </c>
      <c r="K4110">
        <v>0</v>
      </c>
      <c r="L4110">
        <v>0</v>
      </c>
      <c r="M4110">
        <v>1</v>
      </c>
      <c r="N4110">
        <v>0</v>
      </c>
      <c r="O4110">
        <v>225</v>
      </c>
      <c r="P4110" t="str">
        <f t="shared" si="385"/>
        <v>Normal</v>
      </c>
      <c r="Q4110">
        <v>145</v>
      </c>
      <c r="R4110">
        <v>91</v>
      </c>
      <c r="S4110">
        <v>29.8</v>
      </c>
      <c r="T4110" t="str">
        <f t="shared" si="386"/>
        <v>Overweight</v>
      </c>
      <c r="U4110">
        <v>80</v>
      </c>
      <c r="V4110">
        <v>83</v>
      </c>
      <c r="W4110" t="str">
        <f t="shared" si="389"/>
        <v>Normal</v>
      </c>
      <c r="X4110">
        <v>1</v>
      </c>
    </row>
    <row r="4111" spans="1:24" ht="14.5" thickBot="1" x14ac:dyDescent="0.35">
      <c r="A4111">
        <v>0</v>
      </c>
      <c r="B4111" t="str">
        <f t="shared" si="387"/>
        <v>Female</v>
      </c>
      <c r="C4111" s="8">
        <v>65</v>
      </c>
      <c r="D4111" t="str">
        <f t="shared" si="388"/>
        <v>Senior</v>
      </c>
      <c r="E4111">
        <v>1</v>
      </c>
      <c r="F4111" t="str">
        <f>HLOOKUP(E4111, LookUP_Table!$A$6:$D$7, 2, FALSE)</f>
        <v>Primary</v>
      </c>
      <c r="G4111" t="str">
        <f>IFERROR(VLOOKUP(E4111, LookUP_Table!$A$1:$B$4, 2, FALSE), "")</f>
        <v>Primary</v>
      </c>
      <c r="H4111">
        <v>0</v>
      </c>
      <c r="I4111">
        <v>0</v>
      </c>
      <c r="J4111" t="str">
        <f t="shared" si="384"/>
        <v>Non-Smoker</v>
      </c>
      <c r="K4111">
        <v>0</v>
      </c>
      <c r="L4111">
        <v>0</v>
      </c>
      <c r="M4111">
        <v>1</v>
      </c>
      <c r="N4111">
        <v>0</v>
      </c>
      <c r="O4111">
        <v>205</v>
      </c>
      <c r="P4111" t="str">
        <f t="shared" si="385"/>
        <v>Normal</v>
      </c>
      <c r="Q4111">
        <v>167.5</v>
      </c>
      <c r="R4111">
        <v>92.5</v>
      </c>
      <c r="S4111">
        <v>24.72</v>
      </c>
      <c r="T4111" t="str">
        <f t="shared" si="386"/>
        <v>Normal</v>
      </c>
      <c r="U4111">
        <v>87</v>
      </c>
      <c r="V4111">
        <v>81.96365524402907</v>
      </c>
      <c r="W4111" t="str">
        <f t="shared" si="389"/>
        <v>Normal</v>
      </c>
      <c r="X4111">
        <v>0</v>
      </c>
    </row>
    <row r="4112" spans="1:24" ht="14.5" thickBot="1" x14ac:dyDescent="0.35">
      <c r="A4112">
        <v>1</v>
      </c>
      <c r="B4112" t="str">
        <f t="shared" si="387"/>
        <v>Male</v>
      </c>
      <c r="C4112" s="8">
        <v>65</v>
      </c>
      <c r="D4112" t="str">
        <f t="shared" si="388"/>
        <v>Senior</v>
      </c>
      <c r="E4112">
        <v>4</v>
      </c>
      <c r="F4112" t="str">
        <f>HLOOKUP(E4112, LookUP_Table!$A$6:$D$7, 2, FALSE)</f>
        <v>Post Graduate</v>
      </c>
      <c r="G4112" t="str">
        <f>IFERROR(VLOOKUP(E4112, LookUP_Table!$A$1:$B$4, 2, FALSE), "")</f>
        <v>Post Graduate</v>
      </c>
      <c r="H4112">
        <v>0</v>
      </c>
      <c r="I4112">
        <v>0</v>
      </c>
      <c r="J4112" t="str">
        <f t="shared" si="384"/>
        <v>Non-Smoker</v>
      </c>
      <c r="K4112">
        <v>0</v>
      </c>
      <c r="L4112">
        <v>0</v>
      </c>
      <c r="M4112">
        <v>0</v>
      </c>
      <c r="N4112">
        <v>0</v>
      </c>
      <c r="O4112">
        <v>272</v>
      </c>
      <c r="P4112" t="str">
        <f t="shared" si="385"/>
        <v>High</v>
      </c>
      <c r="Q4112">
        <v>137</v>
      </c>
      <c r="R4112">
        <v>81</v>
      </c>
      <c r="S4112">
        <v>25.74</v>
      </c>
      <c r="T4112" t="str">
        <f t="shared" si="386"/>
        <v>Overweight</v>
      </c>
      <c r="U4112">
        <v>90</v>
      </c>
      <c r="V4112">
        <v>97</v>
      </c>
      <c r="W4112" t="str">
        <f t="shared" si="389"/>
        <v>Normal</v>
      </c>
      <c r="X4112">
        <v>0</v>
      </c>
    </row>
    <row r="4113" spans="1:24" ht="14.5" thickBot="1" x14ac:dyDescent="0.35">
      <c r="A4113">
        <v>0</v>
      </c>
      <c r="B4113" t="str">
        <f t="shared" si="387"/>
        <v>Female</v>
      </c>
      <c r="C4113" s="8">
        <v>65</v>
      </c>
      <c r="D4113" t="str">
        <f t="shared" si="388"/>
        <v>Senior</v>
      </c>
      <c r="E4113">
        <v>2</v>
      </c>
      <c r="F4113" t="str">
        <f>HLOOKUP(E4113, LookUP_Table!$A$6:$D$7, 2, FALSE)</f>
        <v>Secondary</v>
      </c>
      <c r="G4113" t="str">
        <f>IFERROR(VLOOKUP(E4113, LookUP_Table!$A$1:$B$4, 2, FALSE), "")</f>
        <v>Secondary</v>
      </c>
      <c r="H4113">
        <v>0</v>
      </c>
      <c r="I4113">
        <v>0</v>
      </c>
      <c r="J4113" t="str">
        <f t="shared" si="384"/>
        <v>Non-Smoker</v>
      </c>
      <c r="K4113">
        <v>1</v>
      </c>
      <c r="L4113">
        <v>0</v>
      </c>
      <c r="M4113">
        <v>1</v>
      </c>
      <c r="N4113">
        <v>0</v>
      </c>
      <c r="O4113">
        <v>279</v>
      </c>
      <c r="P4113" t="str">
        <f t="shared" si="385"/>
        <v>High</v>
      </c>
      <c r="Q4113">
        <v>152</v>
      </c>
      <c r="R4113">
        <v>102</v>
      </c>
      <c r="S4113">
        <v>30.43</v>
      </c>
      <c r="T4113" t="str">
        <f t="shared" si="386"/>
        <v>Obese</v>
      </c>
      <c r="U4113">
        <v>95</v>
      </c>
      <c r="V4113">
        <v>78</v>
      </c>
      <c r="W4113" t="str">
        <f t="shared" si="389"/>
        <v>Normal</v>
      </c>
      <c r="X4113">
        <v>1</v>
      </c>
    </row>
    <row r="4114" spans="1:24" ht="14.5" thickBot="1" x14ac:dyDescent="0.35">
      <c r="A4114">
        <v>0</v>
      </c>
      <c r="B4114" t="str">
        <f t="shared" si="387"/>
        <v>Female</v>
      </c>
      <c r="C4114" s="8">
        <v>65</v>
      </c>
      <c r="D4114" t="str">
        <f t="shared" si="388"/>
        <v>Senior</v>
      </c>
      <c r="E4114">
        <v>1</v>
      </c>
      <c r="F4114" t="str">
        <f>HLOOKUP(E4114, LookUP_Table!$A$6:$D$7, 2, FALSE)</f>
        <v>Primary</v>
      </c>
      <c r="G4114" t="str">
        <f>IFERROR(VLOOKUP(E4114, LookUP_Table!$A$1:$B$4, 2, FALSE), "")</f>
        <v>Primary</v>
      </c>
      <c r="H4114">
        <v>0</v>
      </c>
      <c r="I4114">
        <v>0</v>
      </c>
      <c r="J4114" t="str">
        <f t="shared" si="384"/>
        <v>Non-Smoker</v>
      </c>
      <c r="K4114">
        <v>0</v>
      </c>
      <c r="L4114">
        <v>0</v>
      </c>
      <c r="M4114">
        <v>0</v>
      </c>
      <c r="N4114">
        <v>0</v>
      </c>
      <c r="O4114">
        <v>221</v>
      </c>
      <c r="P4114" t="str">
        <f t="shared" si="385"/>
        <v>Normal</v>
      </c>
      <c r="Q4114">
        <v>155</v>
      </c>
      <c r="R4114">
        <v>92</v>
      </c>
      <c r="S4114">
        <v>31.34</v>
      </c>
      <c r="T4114" t="str">
        <f t="shared" si="386"/>
        <v>Obese</v>
      </c>
      <c r="U4114">
        <v>58</v>
      </c>
      <c r="V4114">
        <v>81.96365524402907</v>
      </c>
      <c r="W4114" t="str">
        <f t="shared" si="389"/>
        <v>Normal</v>
      </c>
      <c r="X4114">
        <v>0</v>
      </c>
    </row>
    <row r="4115" spans="1:24" ht="14.5" thickBot="1" x14ac:dyDescent="0.35">
      <c r="A4115">
        <v>1</v>
      </c>
      <c r="B4115" t="str">
        <f t="shared" si="387"/>
        <v>Male</v>
      </c>
      <c r="C4115" s="8">
        <v>65</v>
      </c>
      <c r="D4115" t="str">
        <f t="shared" si="388"/>
        <v>Senior</v>
      </c>
      <c r="E4115">
        <v>1</v>
      </c>
      <c r="F4115" t="str">
        <f>HLOOKUP(E4115, LookUP_Table!$A$6:$D$7, 2, FALSE)</f>
        <v>Primary</v>
      </c>
      <c r="G4115" t="str">
        <f>IFERROR(VLOOKUP(E4115, LookUP_Table!$A$1:$B$4, 2, FALSE), "")</f>
        <v>Primary</v>
      </c>
      <c r="H4115">
        <v>1</v>
      </c>
      <c r="I4115">
        <v>20</v>
      </c>
      <c r="J4115" t="str">
        <f t="shared" si="384"/>
        <v>Smoker</v>
      </c>
      <c r="K4115">
        <v>0</v>
      </c>
      <c r="L4115">
        <v>0</v>
      </c>
      <c r="M4115">
        <v>0</v>
      </c>
      <c r="N4115">
        <v>0</v>
      </c>
      <c r="O4115">
        <v>177</v>
      </c>
      <c r="P4115" t="str">
        <f t="shared" si="385"/>
        <v>Normal</v>
      </c>
      <c r="Q4115">
        <v>119</v>
      </c>
      <c r="R4115">
        <v>82.5</v>
      </c>
      <c r="S4115">
        <v>21.18</v>
      </c>
      <c r="T4115" t="str">
        <f t="shared" si="386"/>
        <v>Normal</v>
      </c>
      <c r="U4115">
        <v>60</v>
      </c>
      <c r="V4115">
        <v>88</v>
      </c>
      <c r="W4115" t="str">
        <f t="shared" si="389"/>
        <v>Normal</v>
      </c>
      <c r="X4115">
        <v>0</v>
      </c>
    </row>
    <row r="4116" spans="1:24" ht="14.5" thickBot="1" x14ac:dyDescent="0.35">
      <c r="A4116">
        <v>1</v>
      </c>
      <c r="B4116" t="str">
        <f t="shared" si="387"/>
        <v>Male</v>
      </c>
      <c r="C4116" s="8">
        <v>65</v>
      </c>
      <c r="D4116" t="str">
        <f t="shared" si="388"/>
        <v>Senior</v>
      </c>
      <c r="E4116">
        <v>1</v>
      </c>
      <c r="F4116" t="str">
        <f>HLOOKUP(E4116, LookUP_Table!$A$6:$D$7, 2, FALSE)</f>
        <v>Primary</v>
      </c>
      <c r="G4116" t="str">
        <f>IFERROR(VLOOKUP(E4116, LookUP_Table!$A$1:$B$4, 2, FALSE), "")</f>
        <v>Primary</v>
      </c>
      <c r="H4116">
        <v>1</v>
      </c>
      <c r="I4116">
        <v>3</v>
      </c>
      <c r="J4116" t="str">
        <f t="shared" si="384"/>
        <v>Smoker</v>
      </c>
      <c r="K4116">
        <v>0</v>
      </c>
      <c r="L4116">
        <v>0</v>
      </c>
      <c r="M4116">
        <v>0</v>
      </c>
      <c r="N4116">
        <v>0</v>
      </c>
      <c r="O4116">
        <v>194</v>
      </c>
      <c r="P4116" t="str">
        <f t="shared" si="385"/>
        <v>Normal</v>
      </c>
      <c r="Q4116">
        <v>122</v>
      </c>
      <c r="R4116">
        <v>68</v>
      </c>
      <c r="S4116">
        <v>26.08</v>
      </c>
      <c r="T4116" t="str">
        <f t="shared" si="386"/>
        <v>Overweight</v>
      </c>
      <c r="U4116">
        <v>60</v>
      </c>
      <c r="V4116">
        <v>73</v>
      </c>
      <c r="W4116" t="str">
        <f t="shared" si="389"/>
        <v>Normal</v>
      </c>
      <c r="X4116">
        <v>0</v>
      </c>
    </row>
    <row r="4117" spans="1:24" ht="14.5" thickBot="1" x14ac:dyDescent="0.35">
      <c r="A4117">
        <v>0</v>
      </c>
      <c r="B4117" t="str">
        <f t="shared" si="387"/>
        <v>Female</v>
      </c>
      <c r="C4117" s="8">
        <v>65</v>
      </c>
      <c r="D4117" t="str">
        <f t="shared" si="388"/>
        <v>Senior</v>
      </c>
      <c r="E4117">
        <v>1</v>
      </c>
      <c r="F4117" t="str">
        <f>HLOOKUP(E4117, LookUP_Table!$A$6:$D$7, 2, FALSE)</f>
        <v>Primary</v>
      </c>
      <c r="G4117" t="str">
        <f>IFERROR(VLOOKUP(E4117, LookUP_Table!$A$1:$B$4, 2, FALSE), "")</f>
        <v>Primary</v>
      </c>
      <c r="H4117">
        <v>0</v>
      </c>
      <c r="I4117">
        <v>0</v>
      </c>
      <c r="J4117" t="str">
        <f t="shared" si="384"/>
        <v>Non-Smoker</v>
      </c>
      <c r="K4117">
        <v>0</v>
      </c>
      <c r="L4117">
        <v>0</v>
      </c>
      <c r="M4117">
        <v>0</v>
      </c>
      <c r="N4117">
        <v>0</v>
      </c>
      <c r="O4117">
        <v>274</v>
      </c>
      <c r="P4117" t="str">
        <f t="shared" si="385"/>
        <v>High</v>
      </c>
      <c r="Q4117">
        <v>143.5</v>
      </c>
      <c r="R4117">
        <v>93</v>
      </c>
      <c r="S4117">
        <v>26.82</v>
      </c>
      <c r="T4117" t="str">
        <f t="shared" si="386"/>
        <v>Overweight</v>
      </c>
      <c r="U4117">
        <v>79</v>
      </c>
      <c r="V4117">
        <v>63</v>
      </c>
      <c r="W4117" t="str">
        <f t="shared" si="389"/>
        <v>Normal</v>
      </c>
      <c r="X4117">
        <v>0</v>
      </c>
    </row>
    <row r="4118" spans="1:24" ht="14.5" thickBot="1" x14ac:dyDescent="0.35">
      <c r="A4118">
        <v>0</v>
      </c>
      <c r="B4118" t="str">
        <f t="shared" si="387"/>
        <v>Female</v>
      </c>
      <c r="C4118" s="8">
        <v>65</v>
      </c>
      <c r="D4118" t="str">
        <f t="shared" si="388"/>
        <v>Senior</v>
      </c>
      <c r="E4118">
        <v>1</v>
      </c>
      <c r="F4118" t="str">
        <f>HLOOKUP(E4118, LookUP_Table!$A$6:$D$7, 2, FALSE)</f>
        <v>Primary</v>
      </c>
      <c r="G4118" t="str">
        <f>IFERROR(VLOOKUP(E4118, LookUP_Table!$A$1:$B$4, 2, FALSE), "")</f>
        <v>Primary</v>
      </c>
      <c r="H4118">
        <v>1</v>
      </c>
      <c r="I4118">
        <v>3</v>
      </c>
      <c r="J4118" t="str">
        <f t="shared" si="384"/>
        <v>Smoker</v>
      </c>
      <c r="K4118">
        <v>0</v>
      </c>
      <c r="L4118">
        <v>0</v>
      </c>
      <c r="M4118">
        <v>0</v>
      </c>
      <c r="N4118">
        <v>0</v>
      </c>
      <c r="O4118">
        <v>217</v>
      </c>
      <c r="P4118" t="str">
        <f t="shared" si="385"/>
        <v>Normal</v>
      </c>
      <c r="Q4118">
        <v>169</v>
      </c>
      <c r="R4118">
        <v>111</v>
      </c>
      <c r="S4118">
        <v>32.54</v>
      </c>
      <c r="T4118" t="str">
        <f t="shared" si="386"/>
        <v>Obese</v>
      </c>
      <c r="U4118">
        <v>65</v>
      </c>
      <c r="V4118">
        <v>78</v>
      </c>
      <c r="W4118" t="str">
        <f t="shared" si="389"/>
        <v>Normal</v>
      </c>
      <c r="X4118">
        <v>0</v>
      </c>
    </row>
    <row r="4119" spans="1:24" ht="14.5" thickBot="1" x14ac:dyDescent="0.35">
      <c r="A4119">
        <v>1</v>
      </c>
      <c r="B4119" t="str">
        <f t="shared" si="387"/>
        <v>Male</v>
      </c>
      <c r="C4119" s="8">
        <v>65</v>
      </c>
      <c r="D4119" t="str">
        <f t="shared" si="388"/>
        <v>Senior</v>
      </c>
      <c r="E4119">
        <v>4</v>
      </c>
      <c r="F4119" t="str">
        <f>HLOOKUP(E4119, LookUP_Table!$A$6:$D$7, 2, FALSE)</f>
        <v>Post Graduate</v>
      </c>
      <c r="G4119" t="str">
        <f>IFERROR(VLOOKUP(E4119, LookUP_Table!$A$1:$B$4, 2, FALSE), "")</f>
        <v>Post Graduate</v>
      </c>
      <c r="H4119">
        <v>1</v>
      </c>
      <c r="I4119">
        <v>25</v>
      </c>
      <c r="J4119" t="str">
        <f t="shared" si="384"/>
        <v>Smoker</v>
      </c>
      <c r="K4119">
        <v>0</v>
      </c>
      <c r="L4119">
        <v>0</v>
      </c>
      <c r="M4119">
        <v>0</v>
      </c>
      <c r="N4119">
        <v>0</v>
      </c>
      <c r="O4119">
        <v>215</v>
      </c>
      <c r="P4119" t="str">
        <f t="shared" si="385"/>
        <v>Normal</v>
      </c>
      <c r="Q4119">
        <v>147.5</v>
      </c>
      <c r="R4119">
        <v>95</v>
      </c>
      <c r="S4119">
        <v>29.08</v>
      </c>
      <c r="T4119" t="str">
        <f t="shared" si="386"/>
        <v>Overweight</v>
      </c>
      <c r="U4119">
        <v>82</v>
      </c>
      <c r="V4119">
        <v>88</v>
      </c>
      <c r="W4119" t="str">
        <f t="shared" si="389"/>
        <v>Normal</v>
      </c>
      <c r="X4119">
        <v>1</v>
      </c>
    </row>
    <row r="4120" spans="1:24" ht="14.5" thickBot="1" x14ac:dyDescent="0.35">
      <c r="A4120">
        <v>0</v>
      </c>
      <c r="B4120" t="str">
        <f t="shared" si="387"/>
        <v>Female</v>
      </c>
      <c r="C4120" s="8">
        <v>65</v>
      </c>
      <c r="D4120" t="str">
        <f t="shared" si="388"/>
        <v>Senior</v>
      </c>
      <c r="E4120">
        <v>1</v>
      </c>
      <c r="F4120" t="str">
        <f>HLOOKUP(E4120, LookUP_Table!$A$6:$D$7, 2, FALSE)</f>
        <v>Primary</v>
      </c>
      <c r="G4120" t="str">
        <f>IFERROR(VLOOKUP(E4120, LookUP_Table!$A$1:$B$4, 2, FALSE), "")</f>
        <v>Primary</v>
      </c>
      <c r="H4120">
        <v>1</v>
      </c>
      <c r="I4120">
        <v>9</v>
      </c>
      <c r="J4120" t="str">
        <f t="shared" si="384"/>
        <v>Smoker</v>
      </c>
      <c r="K4120">
        <v>0</v>
      </c>
      <c r="L4120">
        <v>0</v>
      </c>
      <c r="M4120">
        <v>1</v>
      </c>
      <c r="N4120">
        <v>1</v>
      </c>
      <c r="O4120">
        <v>271</v>
      </c>
      <c r="P4120" t="str">
        <f t="shared" si="385"/>
        <v>High</v>
      </c>
      <c r="Q4120">
        <v>144.5</v>
      </c>
      <c r="R4120">
        <v>88</v>
      </c>
      <c r="S4120">
        <v>32.409999999999997</v>
      </c>
      <c r="T4120" t="str">
        <f t="shared" si="386"/>
        <v>Obese</v>
      </c>
      <c r="U4120">
        <v>82</v>
      </c>
      <c r="V4120">
        <v>116</v>
      </c>
      <c r="W4120" t="str">
        <f t="shared" si="389"/>
        <v>Prediabetes</v>
      </c>
      <c r="X4120">
        <v>0</v>
      </c>
    </row>
    <row r="4121" spans="1:24" ht="14.5" thickBot="1" x14ac:dyDescent="0.35">
      <c r="A4121">
        <v>0</v>
      </c>
      <c r="B4121" t="str">
        <f t="shared" si="387"/>
        <v>Female</v>
      </c>
      <c r="C4121" s="8">
        <v>65</v>
      </c>
      <c r="D4121" t="str">
        <f t="shared" si="388"/>
        <v>Senior</v>
      </c>
      <c r="E4121">
        <v>1</v>
      </c>
      <c r="F4121" t="str">
        <f>HLOOKUP(E4121, LookUP_Table!$A$6:$D$7, 2, FALSE)</f>
        <v>Primary</v>
      </c>
      <c r="G4121" t="str">
        <f>IFERROR(VLOOKUP(E4121, LookUP_Table!$A$1:$B$4, 2, FALSE), "")</f>
        <v>Primary</v>
      </c>
      <c r="H4121">
        <v>0</v>
      </c>
      <c r="I4121">
        <v>0</v>
      </c>
      <c r="J4121" t="str">
        <f t="shared" si="384"/>
        <v>Non-Smoker</v>
      </c>
      <c r="K4121">
        <v>0</v>
      </c>
      <c r="L4121">
        <v>0</v>
      </c>
      <c r="M4121">
        <v>1</v>
      </c>
      <c r="N4121">
        <v>1</v>
      </c>
      <c r="O4121">
        <v>193</v>
      </c>
      <c r="P4121" t="str">
        <f t="shared" si="385"/>
        <v>Normal</v>
      </c>
      <c r="Q4121">
        <v>153</v>
      </c>
      <c r="R4121">
        <v>100</v>
      </c>
      <c r="S4121">
        <v>32</v>
      </c>
      <c r="T4121" t="str">
        <f t="shared" si="386"/>
        <v>Obese</v>
      </c>
      <c r="U4121">
        <v>75</v>
      </c>
      <c r="V4121">
        <v>107</v>
      </c>
      <c r="W4121" t="str">
        <f t="shared" si="389"/>
        <v>Prediabetes</v>
      </c>
      <c r="X4121">
        <v>0</v>
      </c>
    </row>
    <row r="4122" spans="1:24" ht="14.5" thickBot="1" x14ac:dyDescent="0.35">
      <c r="A4122">
        <v>1</v>
      </c>
      <c r="B4122" t="str">
        <f t="shared" si="387"/>
        <v>Male</v>
      </c>
      <c r="C4122" s="8">
        <v>65</v>
      </c>
      <c r="D4122" t="str">
        <f t="shared" si="388"/>
        <v>Senior</v>
      </c>
      <c r="E4122">
        <v>1</v>
      </c>
      <c r="F4122" t="str">
        <f>HLOOKUP(E4122, LookUP_Table!$A$6:$D$7, 2, FALSE)</f>
        <v>Primary</v>
      </c>
      <c r="G4122" t="str">
        <f>IFERROR(VLOOKUP(E4122, LookUP_Table!$A$1:$B$4, 2, FALSE), "")</f>
        <v>Primary</v>
      </c>
      <c r="H4122">
        <v>1</v>
      </c>
      <c r="I4122">
        <v>6</v>
      </c>
      <c r="J4122" t="str">
        <f t="shared" si="384"/>
        <v>Smoker</v>
      </c>
      <c r="K4122">
        <v>0</v>
      </c>
      <c r="L4122">
        <v>0</v>
      </c>
      <c r="M4122">
        <v>1</v>
      </c>
      <c r="N4122">
        <v>0</v>
      </c>
      <c r="O4122">
        <v>238</v>
      </c>
      <c r="P4122" t="str">
        <f t="shared" si="385"/>
        <v>Normal</v>
      </c>
      <c r="Q4122">
        <v>146</v>
      </c>
      <c r="R4122">
        <v>86</v>
      </c>
      <c r="S4122">
        <v>29.47</v>
      </c>
      <c r="T4122" t="str">
        <f t="shared" si="386"/>
        <v>Overweight</v>
      </c>
      <c r="U4122">
        <v>75</v>
      </c>
      <c r="V4122">
        <v>66</v>
      </c>
      <c r="W4122" t="str">
        <f t="shared" si="389"/>
        <v>Normal</v>
      </c>
      <c r="X4122">
        <v>0</v>
      </c>
    </row>
    <row r="4123" spans="1:24" ht="14.5" thickBot="1" x14ac:dyDescent="0.35">
      <c r="A4123">
        <v>0</v>
      </c>
      <c r="B4123" t="str">
        <f t="shared" si="387"/>
        <v>Female</v>
      </c>
      <c r="C4123" s="8">
        <v>65</v>
      </c>
      <c r="D4123" t="str">
        <f t="shared" si="388"/>
        <v>Senior</v>
      </c>
      <c r="E4123">
        <v>1</v>
      </c>
      <c r="F4123" t="str">
        <f>HLOOKUP(E4123, LookUP_Table!$A$6:$D$7, 2, FALSE)</f>
        <v>Primary</v>
      </c>
      <c r="G4123" t="str">
        <f>IFERROR(VLOOKUP(E4123, LookUP_Table!$A$1:$B$4, 2, FALSE), "")</f>
        <v>Primary</v>
      </c>
      <c r="H4123">
        <v>0</v>
      </c>
      <c r="I4123">
        <v>0</v>
      </c>
      <c r="J4123" t="str">
        <f t="shared" si="384"/>
        <v>Non-Smoker</v>
      </c>
      <c r="K4123">
        <v>0</v>
      </c>
      <c r="L4123">
        <v>0</v>
      </c>
      <c r="M4123">
        <v>1</v>
      </c>
      <c r="N4123">
        <v>0</v>
      </c>
      <c r="O4123">
        <v>223</v>
      </c>
      <c r="P4123" t="str">
        <f t="shared" si="385"/>
        <v>Normal</v>
      </c>
      <c r="Q4123">
        <v>158</v>
      </c>
      <c r="R4123">
        <v>90</v>
      </c>
      <c r="S4123">
        <v>27.26</v>
      </c>
      <c r="T4123" t="str">
        <f t="shared" si="386"/>
        <v>Overweight</v>
      </c>
      <c r="U4123">
        <v>85</v>
      </c>
      <c r="V4123">
        <v>93</v>
      </c>
      <c r="W4123" t="str">
        <f t="shared" si="389"/>
        <v>Normal</v>
      </c>
      <c r="X4123">
        <v>1</v>
      </c>
    </row>
    <row r="4124" spans="1:24" ht="14.5" thickBot="1" x14ac:dyDescent="0.35">
      <c r="A4124">
        <v>0</v>
      </c>
      <c r="B4124" t="str">
        <f t="shared" si="387"/>
        <v>Female</v>
      </c>
      <c r="C4124" s="8">
        <v>65</v>
      </c>
      <c r="D4124" t="str">
        <f t="shared" si="388"/>
        <v>Senior</v>
      </c>
      <c r="E4124">
        <v>1</v>
      </c>
      <c r="F4124" t="str">
        <f>HLOOKUP(E4124, LookUP_Table!$A$6:$D$7, 2, FALSE)</f>
        <v>Primary</v>
      </c>
      <c r="G4124" t="str">
        <f>IFERROR(VLOOKUP(E4124, LookUP_Table!$A$1:$B$4, 2, FALSE), "")</f>
        <v>Primary</v>
      </c>
      <c r="H4124">
        <v>0</v>
      </c>
      <c r="I4124">
        <v>0</v>
      </c>
      <c r="J4124" t="str">
        <f t="shared" si="384"/>
        <v>Non-Smoker</v>
      </c>
      <c r="K4124">
        <v>1</v>
      </c>
      <c r="L4124">
        <v>0</v>
      </c>
      <c r="M4124">
        <v>1</v>
      </c>
      <c r="N4124">
        <v>0</v>
      </c>
      <c r="O4124">
        <v>342</v>
      </c>
      <c r="P4124" t="str">
        <f t="shared" si="385"/>
        <v>High</v>
      </c>
      <c r="Q4124">
        <v>168.5</v>
      </c>
      <c r="R4124">
        <v>98.5</v>
      </c>
      <c r="S4124">
        <v>23.87</v>
      </c>
      <c r="T4124" t="str">
        <f t="shared" si="386"/>
        <v>Normal</v>
      </c>
      <c r="U4124">
        <v>75</v>
      </c>
      <c r="V4124">
        <v>60</v>
      </c>
      <c r="W4124" t="str">
        <f t="shared" si="389"/>
        <v>Normal</v>
      </c>
      <c r="X4124">
        <v>0</v>
      </c>
    </row>
    <row r="4125" spans="1:24" ht="14.5" thickBot="1" x14ac:dyDescent="0.35">
      <c r="A4125">
        <v>1</v>
      </c>
      <c r="B4125" t="str">
        <f t="shared" si="387"/>
        <v>Male</v>
      </c>
      <c r="C4125" s="8">
        <v>65</v>
      </c>
      <c r="D4125" t="str">
        <f t="shared" si="388"/>
        <v>Senior</v>
      </c>
      <c r="E4125">
        <v>4</v>
      </c>
      <c r="F4125" t="str">
        <f>HLOOKUP(E4125, LookUP_Table!$A$6:$D$7, 2, FALSE)</f>
        <v>Post Graduate</v>
      </c>
      <c r="G4125" t="str">
        <f>IFERROR(VLOOKUP(E4125, LookUP_Table!$A$1:$B$4, 2, FALSE), "")</f>
        <v>Post Graduate</v>
      </c>
      <c r="H4125">
        <v>0</v>
      </c>
      <c r="I4125">
        <v>0</v>
      </c>
      <c r="J4125" t="str">
        <f t="shared" si="384"/>
        <v>Non-Smoker</v>
      </c>
      <c r="K4125">
        <v>0</v>
      </c>
      <c r="L4125">
        <v>0</v>
      </c>
      <c r="M4125">
        <v>0</v>
      </c>
      <c r="N4125">
        <v>0</v>
      </c>
      <c r="O4125">
        <v>205</v>
      </c>
      <c r="P4125" t="str">
        <f t="shared" si="385"/>
        <v>Normal</v>
      </c>
      <c r="Q4125">
        <v>106</v>
      </c>
      <c r="R4125">
        <v>73</v>
      </c>
      <c r="S4125">
        <v>23.14</v>
      </c>
      <c r="T4125" t="str">
        <f t="shared" si="386"/>
        <v>Normal</v>
      </c>
      <c r="U4125">
        <v>66</v>
      </c>
      <c r="V4125">
        <v>87</v>
      </c>
      <c r="W4125" t="str">
        <f t="shared" si="389"/>
        <v>Normal</v>
      </c>
      <c r="X4125">
        <v>0</v>
      </c>
    </row>
    <row r="4126" spans="1:24" ht="14.5" thickBot="1" x14ac:dyDescent="0.35">
      <c r="A4126">
        <v>0</v>
      </c>
      <c r="B4126" t="str">
        <f t="shared" si="387"/>
        <v>Female</v>
      </c>
      <c r="C4126" s="8">
        <v>65</v>
      </c>
      <c r="D4126" t="str">
        <f t="shared" si="388"/>
        <v>Senior</v>
      </c>
      <c r="E4126">
        <v>1</v>
      </c>
      <c r="F4126" t="str">
        <f>HLOOKUP(E4126, LookUP_Table!$A$6:$D$7, 2, FALSE)</f>
        <v>Primary</v>
      </c>
      <c r="G4126" t="str">
        <f>IFERROR(VLOOKUP(E4126, LookUP_Table!$A$1:$B$4, 2, FALSE), "")</f>
        <v>Primary</v>
      </c>
      <c r="H4126">
        <v>0</v>
      </c>
      <c r="I4126">
        <v>0</v>
      </c>
      <c r="J4126" t="str">
        <f t="shared" si="384"/>
        <v>Non-Smoker</v>
      </c>
      <c r="K4126">
        <v>0</v>
      </c>
      <c r="L4126">
        <v>0</v>
      </c>
      <c r="M4126">
        <v>1</v>
      </c>
      <c r="N4126">
        <v>1</v>
      </c>
      <c r="O4126">
        <v>304</v>
      </c>
      <c r="P4126" t="str">
        <f t="shared" si="385"/>
        <v>High</v>
      </c>
      <c r="Q4126">
        <v>139</v>
      </c>
      <c r="R4126">
        <v>75</v>
      </c>
      <c r="S4126">
        <v>25.12</v>
      </c>
      <c r="T4126" t="str">
        <f t="shared" si="386"/>
        <v>Overweight</v>
      </c>
      <c r="U4126">
        <v>82</v>
      </c>
      <c r="V4126">
        <v>116</v>
      </c>
      <c r="W4126" t="str">
        <f t="shared" si="389"/>
        <v>Prediabetes</v>
      </c>
      <c r="X4126">
        <v>0</v>
      </c>
    </row>
    <row r="4127" spans="1:24" ht="14.5" thickBot="1" x14ac:dyDescent="0.35">
      <c r="A4127">
        <v>0</v>
      </c>
      <c r="B4127" t="str">
        <f t="shared" si="387"/>
        <v>Female</v>
      </c>
      <c r="C4127" s="8">
        <v>65</v>
      </c>
      <c r="D4127" t="str">
        <f t="shared" si="388"/>
        <v>Senior</v>
      </c>
      <c r="E4127">
        <v>4</v>
      </c>
      <c r="F4127" t="str">
        <f>HLOOKUP(E4127, LookUP_Table!$A$6:$D$7, 2, FALSE)</f>
        <v>Post Graduate</v>
      </c>
      <c r="G4127" t="str">
        <f>IFERROR(VLOOKUP(E4127, LookUP_Table!$A$1:$B$4, 2, FALSE), "")</f>
        <v>Post Graduate</v>
      </c>
      <c r="H4127">
        <v>0</v>
      </c>
      <c r="I4127">
        <v>0</v>
      </c>
      <c r="J4127" t="str">
        <f t="shared" si="384"/>
        <v>Non-Smoker</v>
      </c>
      <c r="K4127">
        <v>0</v>
      </c>
      <c r="L4127">
        <v>0</v>
      </c>
      <c r="M4127">
        <v>0</v>
      </c>
      <c r="N4127">
        <v>0</v>
      </c>
      <c r="O4127">
        <v>280</v>
      </c>
      <c r="P4127" t="str">
        <f t="shared" si="385"/>
        <v>High</v>
      </c>
      <c r="Q4127">
        <v>115</v>
      </c>
      <c r="R4127">
        <v>73</v>
      </c>
      <c r="S4127">
        <v>19.760000000000002</v>
      </c>
      <c r="T4127" t="str">
        <f t="shared" si="386"/>
        <v>Normal</v>
      </c>
      <c r="U4127">
        <v>65</v>
      </c>
      <c r="V4127">
        <v>58</v>
      </c>
      <c r="W4127" t="str">
        <f t="shared" si="389"/>
        <v>Normal</v>
      </c>
      <c r="X4127">
        <v>0</v>
      </c>
    </row>
    <row r="4128" spans="1:24" ht="14.5" thickBot="1" x14ac:dyDescent="0.35">
      <c r="A4128">
        <v>1</v>
      </c>
      <c r="B4128" t="str">
        <f t="shared" si="387"/>
        <v>Male</v>
      </c>
      <c r="C4128" s="8">
        <v>65</v>
      </c>
      <c r="D4128" t="str">
        <f t="shared" si="388"/>
        <v>Senior</v>
      </c>
      <c r="E4128">
        <v>4</v>
      </c>
      <c r="F4128" t="str">
        <f>HLOOKUP(E4128, LookUP_Table!$A$6:$D$7, 2, FALSE)</f>
        <v>Post Graduate</v>
      </c>
      <c r="G4128" t="str">
        <f>IFERROR(VLOOKUP(E4128, LookUP_Table!$A$1:$B$4, 2, FALSE), "")</f>
        <v>Post Graduate</v>
      </c>
      <c r="H4128">
        <v>1</v>
      </c>
      <c r="I4128">
        <v>6</v>
      </c>
      <c r="J4128" t="str">
        <f t="shared" si="384"/>
        <v>Smoker</v>
      </c>
      <c r="K4128">
        <v>0</v>
      </c>
      <c r="L4128">
        <v>0</v>
      </c>
      <c r="M4128">
        <v>0</v>
      </c>
      <c r="N4128">
        <v>0</v>
      </c>
      <c r="O4128">
        <v>236</v>
      </c>
      <c r="P4128" t="str">
        <f t="shared" si="385"/>
        <v>Normal</v>
      </c>
      <c r="Q4128">
        <v>118.5</v>
      </c>
      <c r="R4128">
        <v>77.5</v>
      </c>
      <c r="S4128">
        <v>24.3</v>
      </c>
      <c r="T4128" t="str">
        <f t="shared" si="386"/>
        <v>Normal</v>
      </c>
      <c r="U4128">
        <v>52</v>
      </c>
      <c r="V4128">
        <v>65</v>
      </c>
      <c r="W4128" t="str">
        <f t="shared" si="389"/>
        <v>Normal</v>
      </c>
      <c r="X4128">
        <v>1</v>
      </c>
    </row>
    <row r="4129" spans="1:24" ht="14.5" thickBot="1" x14ac:dyDescent="0.35">
      <c r="A4129">
        <v>1</v>
      </c>
      <c r="B4129" t="str">
        <f t="shared" si="387"/>
        <v>Male</v>
      </c>
      <c r="C4129" s="8">
        <v>65</v>
      </c>
      <c r="D4129" t="str">
        <f t="shared" si="388"/>
        <v>Senior</v>
      </c>
      <c r="E4129">
        <v>1</v>
      </c>
      <c r="F4129" t="str">
        <f>HLOOKUP(E4129, LookUP_Table!$A$6:$D$7, 2, FALSE)</f>
        <v>Primary</v>
      </c>
      <c r="G4129" t="str">
        <f>IFERROR(VLOOKUP(E4129, LookUP_Table!$A$1:$B$4, 2, FALSE), "")</f>
        <v>Primary</v>
      </c>
      <c r="H4129">
        <v>0</v>
      </c>
      <c r="I4129">
        <v>0</v>
      </c>
      <c r="J4129" t="str">
        <f t="shared" si="384"/>
        <v>Non-Smoker</v>
      </c>
      <c r="K4129">
        <v>0</v>
      </c>
      <c r="L4129">
        <v>0</v>
      </c>
      <c r="M4129">
        <v>1</v>
      </c>
      <c r="N4129">
        <v>0</v>
      </c>
      <c r="O4129">
        <v>196</v>
      </c>
      <c r="P4129" t="str">
        <f t="shared" si="385"/>
        <v>Normal</v>
      </c>
      <c r="Q4129">
        <v>157</v>
      </c>
      <c r="R4129">
        <v>86</v>
      </c>
      <c r="S4129">
        <v>26.36</v>
      </c>
      <c r="T4129" t="str">
        <f t="shared" si="386"/>
        <v>Overweight</v>
      </c>
      <c r="U4129">
        <v>70</v>
      </c>
      <c r="V4129">
        <v>80</v>
      </c>
      <c r="W4129" t="str">
        <f t="shared" si="389"/>
        <v>Normal</v>
      </c>
      <c r="X4129">
        <v>0</v>
      </c>
    </row>
    <row r="4130" spans="1:24" ht="14.5" thickBot="1" x14ac:dyDescent="0.35">
      <c r="A4130">
        <v>1</v>
      </c>
      <c r="B4130" t="str">
        <f t="shared" si="387"/>
        <v>Male</v>
      </c>
      <c r="C4130" s="8">
        <v>65</v>
      </c>
      <c r="D4130" t="str">
        <f t="shared" si="388"/>
        <v>Senior</v>
      </c>
      <c r="E4130">
        <v>1</v>
      </c>
      <c r="F4130" t="str">
        <f>HLOOKUP(E4130, LookUP_Table!$A$6:$D$7, 2, FALSE)</f>
        <v>Primary</v>
      </c>
      <c r="G4130" t="str">
        <f>IFERROR(VLOOKUP(E4130, LookUP_Table!$A$1:$B$4, 2, FALSE), "")</f>
        <v>Primary</v>
      </c>
      <c r="H4130">
        <v>1</v>
      </c>
      <c r="I4130">
        <v>20</v>
      </c>
      <c r="J4130" t="str">
        <f t="shared" si="384"/>
        <v>Smoker</v>
      </c>
      <c r="K4130">
        <v>1</v>
      </c>
      <c r="L4130">
        <v>0</v>
      </c>
      <c r="M4130">
        <v>1</v>
      </c>
      <c r="N4130">
        <v>0</v>
      </c>
      <c r="O4130">
        <v>246</v>
      </c>
      <c r="P4130" t="str">
        <f t="shared" si="385"/>
        <v>High</v>
      </c>
      <c r="Q4130">
        <v>179</v>
      </c>
      <c r="R4130">
        <v>96</v>
      </c>
      <c r="S4130">
        <v>19.34</v>
      </c>
      <c r="T4130" t="str">
        <f t="shared" si="386"/>
        <v>Normal</v>
      </c>
      <c r="U4130">
        <v>95</v>
      </c>
      <c r="V4130">
        <v>76</v>
      </c>
      <c r="W4130" t="str">
        <f t="shared" si="389"/>
        <v>Normal</v>
      </c>
      <c r="X4130">
        <v>1</v>
      </c>
    </row>
    <row r="4131" spans="1:24" ht="14.5" thickBot="1" x14ac:dyDescent="0.35">
      <c r="A4131">
        <v>1</v>
      </c>
      <c r="B4131" t="str">
        <f t="shared" si="387"/>
        <v>Male</v>
      </c>
      <c r="C4131" s="8">
        <v>65</v>
      </c>
      <c r="D4131" t="str">
        <f t="shared" si="388"/>
        <v>Senior</v>
      </c>
      <c r="E4131">
        <v>2</v>
      </c>
      <c r="F4131" t="str">
        <f>HLOOKUP(E4131, LookUP_Table!$A$6:$D$7, 2, FALSE)</f>
        <v>Secondary</v>
      </c>
      <c r="G4131" t="str">
        <f>IFERROR(VLOOKUP(E4131, LookUP_Table!$A$1:$B$4, 2, FALSE), "")</f>
        <v>Secondary</v>
      </c>
      <c r="H4131">
        <v>0</v>
      </c>
      <c r="I4131">
        <v>0</v>
      </c>
      <c r="J4131" t="str">
        <f t="shared" si="384"/>
        <v>Non-Smoker</v>
      </c>
      <c r="K4131">
        <v>0</v>
      </c>
      <c r="L4131">
        <v>0</v>
      </c>
      <c r="M4131">
        <v>0</v>
      </c>
      <c r="N4131">
        <v>0</v>
      </c>
      <c r="O4131">
        <v>286</v>
      </c>
      <c r="P4131" t="str">
        <f t="shared" si="385"/>
        <v>High</v>
      </c>
      <c r="Q4131">
        <v>135</v>
      </c>
      <c r="R4131">
        <v>80</v>
      </c>
      <c r="S4131">
        <v>28.06</v>
      </c>
      <c r="T4131" t="str">
        <f t="shared" si="386"/>
        <v>Overweight</v>
      </c>
      <c r="U4131">
        <v>70</v>
      </c>
      <c r="V4131">
        <v>116</v>
      </c>
      <c r="W4131" t="str">
        <f t="shared" si="389"/>
        <v>Prediabetes</v>
      </c>
      <c r="X4131">
        <v>0</v>
      </c>
    </row>
    <row r="4132" spans="1:24" ht="14.5" thickBot="1" x14ac:dyDescent="0.35">
      <c r="A4132">
        <v>0</v>
      </c>
      <c r="B4132" t="str">
        <f t="shared" si="387"/>
        <v>Female</v>
      </c>
      <c r="C4132" s="8">
        <v>66</v>
      </c>
      <c r="D4132" t="str">
        <f t="shared" si="388"/>
        <v>Senior</v>
      </c>
      <c r="E4132">
        <v>1</v>
      </c>
      <c r="F4132" t="str">
        <f>HLOOKUP(E4132, LookUP_Table!$A$6:$D$7, 2, FALSE)</f>
        <v>Primary</v>
      </c>
      <c r="G4132" t="str">
        <f>IFERROR(VLOOKUP(E4132, LookUP_Table!$A$1:$B$4, 2, FALSE), "")</f>
        <v>Primary</v>
      </c>
      <c r="H4132">
        <v>0</v>
      </c>
      <c r="I4132">
        <v>0</v>
      </c>
      <c r="J4132" t="str">
        <f t="shared" si="384"/>
        <v>Non-Smoker</v>
      </c>
      <c r="K4132">
        <v>0</v>
      </c>
      <c r="L4132">
        <v>0</v>
      </c>
      <c r="M4132">
        <v>1</v>
      </c>
      <c r="N4132">
        <v>0</v>
      </c>
      <c r="O4132">
        <v>311</v>
      </c>
      <c r="P4132" t="str">
        <f t="shared" si="385"/>
        <v>High</v>
      </c>
      <c r="Q4132">
        <v>154</v>
      </c>
      <c r="R4132">
        <v>80</v>
      </c>
      <c r="S4132">
        <v>28.55</v>
      </c>
      <c r="T4132" t="str">
        <f t="shared" si="386"/>
        <v>Overweight</v>
      </c>
      <c r="U4132">
        <v>60</v>
      </c>
      <c r="V4132">
        <v>104</v>
      </c>
      <c r="W4132" t="str">
        <f t="shared" si="389"/>
        <v>Prediabetes</v>
      </c>
      <c r="X4132">
        <v>0</v>
      </c>
    </row>
    <row r="4133" spans="1:24" ht="14.5" thickBot="1" x14ac:dyDescent="0.35">
      <c r="A4133">
        <v>0</v>
      </c>
      <c r="B4133" t="str">
        <f t="shared" si="387"/>
        <v>Female</v>
      </c>
      <c r="C4133" s="8">
        <v>66</v>
      </c>
      <c r="D4133" t="str">
        <f t="shared" si="388"/>
        <v>Senior</v>
      </c>
      <c r="E4133">
        <v>1</v>
      </c>
      <c r="F4133" t="str">
        <f>HLOOKUP(E4133, LookUP_Table!$A$6:$D$7, 2, FALSE)</f>
        <v>Primary</v>
      </c>
      <c r="G4133" t="str">
        <f>IFERROR(VLOOKUP(E4133, LookUP_Table!$A$1:$B$4, 2, FALSE), "")</f>
        <v>Primary</v>
      </c>
      <c r="H4133">
        <v>0</v>
      </c>
      <c r="I4133">
        <v>0</v>
      </c>
      <c r="J4133" t="str">
        <f t="shared" si="384"/>
        <v>Non-Smoker</v>
      </c>
      <c r="K4133">
        <v>0</v>
      </c>
      <c r="L4133">
        <v>0</v>
      </c>
      <c r="M4133">
        <v>1</v>
      </c>
      <c r="N4133">
        <v>0</v>
      </c>
      <c r="O4133">
        <v>278</v>
      </c>
      <c r="P4133" t="str">
        <f t="shared" si="385"/>
        <v>High</v>
      </c>
      <c r="Q4133">
        <v>187</v>
      </c>
      <c r="R4133">
        <v>88</v>
      </c>
      <c r="S4133">
        <v>40.520000000000003</v>
      </c>
      <c r="T4133" t="str">
        <f t="shared" si="386"/>
        <v>Obese</v>
      </c>
      <c r="U4133">
        <v>90</v>
      </c>
      <c r="V4133">
        <v>84</v>
      </c>
      <c r="W4133" t="str">
        <f t="shared" si="389"/>
        <v>Normal</v>
      </c>
      <c r="X4133">
        <v>1</v>
      </c>
    </row>
    <row r="4134" spans="1:24" ht="14.5" thickBot="1" x14ac:dyDescent="0.35">
      <c r="A4134">
        <v>1</v>
      </c>
      <c r="B4134" t="str">
        <f t="shared" si="387"/>
        <v>Male</v>
      </c>
      <c r="C4134" s="8">
        <v>66</v>
      </c>
      <c r="D4134" t="str">
        <f t="shared" si="388"/>
        <v>Senior</v>
      </c>
      <c r="E4134">
        <v>3</v>
      </c>
      <c r="F4134" t="str">
        <f>HLOOKUP(E4134, LookUP_Table!$A$6:$D$7, 2, FALSE)</f>
        <v>Graduate</v>
      </c>
      <c r="G4134" t="str">
        <f>IFERROR(VLOOKUP(E4134, LookUP_Table!$A$1:$B$4, 2, FALSE), "")</f>
        <v>Graduate</v>
      </c>
      <c r="H4134">
        <v>0</v>
      </c>
      <c r="I4134">
        <v>0</v>
      </c>
      <c r="J4134" t="str">
        <f t="shared" si="384"/>
        <v>Non-Smoker</v>
      </c>
      <c r="K4134">
        <v>0</v>
      </c>
      <c r="L4134">
        <v>0</v>
      </c>
      <c r="M4134">
        <v>0</v>
      </c>
      <c r="N4134">
        <v>0</v>
      </c>
      <c r="O4134">
        <v>288</v>
      </c>
      <c r="P4134" t="str">
        <f t="shared" si="385"/>
        <v>High</v>
      </c>
      <c r="Q4134">
        <v>109</v>
      </c>
      <c r="R4134">
        <v>71</v>
      </c>
      <c r="S4134">
        <v>29.29</v>
      </c>
      <c r="T4134" t="str">
        <f t="shared" si="386"/>
        <v>Overweight</v>
      </c>
      <c r="U4134">
        <v>80</v>
      </c>
      <c r="V4134">
        <v>80</v>
      </c>
      <c r="W4134" t="str">
        <f t="shared" si="389"/>
        <v>Normal</v>
      </c>
      <c r="X4134">
        <v>0</v>
      </c>
    </row>
    <row r="4135" spans="1:24" ht="14.5" thickBot="1" x14ac:dyDescent="0.35">
      <c r="A4135">
        <v>0</v>
      </c>
      <c r="B4135" t="str">
        <f t="shared" si="387"/>
        <v>Female</v>
      </c>
      <c r="C4135" s="8">
        <v>66</v>
      </c>
      <c r="D4135" t="str">
        <f t="shared" si="388"/>
        <v>Senior</v>
      </c>
      <c r="E4135">
        <v>1</v>
      </c>
      <c r="F4135" t="str">
        <f>HLOOKUP(E4135, LookUP_Table!$A$6:$D$7, 2, FALSE)</f>
        <v>Primary</v>
      </c>
      <c r="G4135" t="str">
        <f>IFERROR(VLOOKUP(E4135, LookUP_Table!$A$1:$B$4, 2, FALSE), "")</f>
        <v>Primary</v>
      </c>
      <c r="H4135">
        <v>0</v>
      </c>
      <c r="I4135">
        <v>0</v>
      </c>
      <c r="J4135" t="str">
        <f t="shared" si="384"/>
        <v>Non-Smoker</v>
      </c>
      <c r="K4135">
        <v>0</v>
      </c>
      <c r="L4135">
        <v>0</v>
      </c>
      <c r="M4135">
        <v>1</v>
      </c>
      <c r="N4135">
        <v>0</v>
      </c>
      <c r="O4135">
        <v>214</v>
      </c>
      <c r="P4135" t="str">
        <f t="shared" si="385"/>
        <v>Normal</v>
      </c>
      <c r="Q4135">
        <v>212</v>
      </c>
      <c r="R4135">
        <v>104</v>
      </c>
      <c r="S4135">
        <v>25.32</v>
      </c>
      <c r="T4135" t="str">
        <f t="shared" si="386"/>
        <v>Overweight</v>
      </c>
      <c r="U4135">
        <v>57</v>
      </c>
      <c r="V4135">
        <v>84</v>
      </c>
      <c r="W4135" t="str">
        <f t="shared" si="389"/>
        <v>Normal</v>
      </c>
      <c r="X4135">
        <v>1</v>
      </c>
    </row>
    <row r="4136" spans="1:24" ht="14.5" thickBot="1" x14ac:dyDescent="0.35">
      <c r="A4136">
        <v>0</v>
      </c>
      <c r="B4136" t="str">
        <f t="shared" si="387"/>
        <v>Female</v>
      </c>
      <c r="C4136" s="8">
        <v>66</v>
      </c>
      <c r="D4136" t="str">
        <f t="shared" si="388"/>
        <v>Senior</v>
      </c>
      <c r="E4136">
        <v>1</v>
      </c>
      <c r="F4136" t="str">
        <f>HLOOKUP(E4136, LookUP_Table!$A$6:$D$7, 2, FALSE)</f>
        <v>Primary</v>
      </c>
      <c r="G4136" t="str">
        <f>IFERROR(VLOOKUP(E4136, LookUP_Table!$A$1:$B$4, 2, FALSE), "")</f>
        <v>Primary</v>
      </c>
      <c r="H4136">
        <v>0</v>
      </c>
      <c r="I4136">
        <v>0</v>
      </c>
      <c r="J4136" t="str">
        <f t="shared" si="384"/>
        <v>Non-Smoker</v>
      </c>
      <c r="K4136">
        <v>0</v>
      </c>
      <c r="L4136">
        <v>0</v>
      </c>
      <c r="M4136">
        <v>1</v>
      </c>
      <c r="N4136">
        <v>0</v>
      </c>
      <c r="O4136">
        <v>285</v>
      </c>
      <c r="P4136" t="str">
        <f t="shared" si="385"/>
        <v>High</v>
      </c>
      <c r="Q4136">
        <v>166</v>
      </c>
      <c r="R4136">
        <v>98</v>
      </c>
      <c r="S4136">
        <v>26.04</v>
      </c>
      <c r="T4136" t="str">
        <f t="shared" si="386"/>
        <v>Overweight</v>
      </c>
      <c r="U4136">
        <v>95</v>
      </c>
      <c r="V4136">
        <v>132</v>
      </c>
      <c r="W4136" t="str">
        <f t="shared" si="389"/>
        <v>Diabetes</v>
      </c>
      <c r="X4136">
        <v>0</v>
      </c>
    </row>
    <row r="4137" spans="1:24" ht="14.5" thickBot="1" x14ac:dyDescent="0.35">
      <c r="A4137">
        <v>1</v>
      </c>
      <c r="B4137" t="str">
        <f t="shared" si="387"/>
        <v>Male</v>
      </c>
      <c r="C4137" s="8">
        <v>66</v>
      </c>
      <c r="D4137" t="str">
        <f t="shared" si="388"/>
        <v>Senior</v>
      </c>
      <c r="E4137">
        <v>1</v>
      </c>
      <c r="F4137" t="str">
        <f>HLOOKUP(E4137, LookUP_Table!$A$6:$D$7, 2, FALSE)</f>
        <v>Primary</v>
      </c>
      <c r="G4137" t="str">
        <f>IFERROR(VLOOKUP(E4137, LookUP_Table!$A$1:$B$4, 2, FALSE), "")</f>
        <v>Primary</v>
      </c>
      <c r="H4137">
        <v>0</v>
      </c>
      <c r="I4137">
        <v>0</v>
      </c>
      <c r="J4137" t="str">
        <f t="shared" si="384"/>
        <v>Non-Smoker</v>
      </c>
      <c r="K4137">
        <v>0</v>
      </c>
      <c r="L4137">
        <v>0</v>
      </c>
      <c r="M4137">
        <v>1</v>
      </c>
      <c r="N4137">
        <v>0</v>
      </c>
      <c r="O4137">
        <v>276</v>
      </c>
      <c r="P4137" t="str">
        <f t="shared" si="385"/>
        <v>High</v>
      </c>
      <c r="Q4137">
        <v>159</v>
      </c>
      <c r="R4137">
        <v>82</v>
      </c>
      <c r="S4137">
        <v>31.42</v>
      </c>
      <c r="T4137" t="str">
        <f t="shared" si="386"/>
        <v>Obese</v>
      </c>
      <c r="U4137">
        <v>90</v>
      </c>
      <c r="V4137">
        <v>65</v>
      </c>
      <c r="W4137" t="str">
        <f t="shared" si="389"/>
        <v>Normal</v>
      </c>
      <c r="X4137">
        <v>0</v>
      </c>
    </row>
    <row r="4138" spans="1:24" ht="14.5" thickBot="1" x14ac:dyDescent="0.35">
      <c r="A4138">
        <v>0</v>
      </c>
      <c r="B4138" t="str">
        <f t="shared" si="387"/>
        <v>Female</v>
      </c>
      <c r="C4138" s="8">
        <v>66</v>
      </c>
      <c r="D4138" t="str">
        <f t="shared" si="388"/>
        <v>Senior</v>
      </c>
      <c r="E4138">
        <v>2</v>
      </c>
      <c r="F4138" t="str">
        <f>HLOOKUP(E4138, LookUP_Table!$A$6:$D$7, 2, FALSE)</f>
        <v>Secondary</v>
      </c>
      <c r="G4138" t="str">
        <f>IFERROR(VLOOKUP(E4138, LookUP_Table!$A$1:$B$4, 2, FALSE), "")</f>
        <v>Secondary</v>
      </c>
      <c r="H4138">
        <v>1</v>
      </c>
      <c r="I4138">
        <v>15</v>
      </c>
      <c r="J4138" t="str">
        <f t="shared" si="384"/>
        <v>Smoker</v>
      </c>
      <c r="K4138">
        <v>0</v>
      </c>
      <c r="L4138">
        <v>0</v>
      </c>
      <c r="M4138">
        <v>1</v>
      </c>
      <c r="N4138">
        <v>0</v>
      </c>
      <c r="O4138">
        <v>236.69952267303103</v>
      </c>
      <c r="P4138" t="str">
        <f t="shared" si="385"/>
        <v>Normal</v>
      </c>
      <c r="Q4138">
        <v>188</v>
      </c>
      <c r="R4138">
        <v>108.5</v>
      </c>
      <c r="S4138">
        <v>20.49</v>
      </c>
      <c r="T4138" t="str">
        <f t="shared" si="386"/>
        <v>Normal</v>
      </c>
      <c r="U4138">
        <v>90</v>
      </c>
      <c r="V4138">
        <v>81.96365524402907</v>
      </c>
      <c r="W4138" t="str">
        <f t="shared" si="389"/>
        <v>Normal</v>
      </c>
      <c r="X4138">
        <v>0</v>
      </c>
    </row>
    <row r="4139" spans="1:24" ht="14.5" thickBot="1" x14ac:dyDescent="0.35">
      <c r="A4139">
        <v>0</v>
      </c>
      <c r="B4139" t="str">
        <f t="shared" si="387"/>
        <v>Female</v>
      </c>
      <c r="C4139" s="8">
        <v>66</v>
      </c>
      <c r="D4139" t="str">
        <f t="shared" si="388"/>
        <v>Senior</v>
      </c>
      <c r="E4139">
        <v>1</v>
      </c>
      <c r="F4139" t="str">
        <f>HLOOKUP(E4139, LookUP_Table!$A$6:$D$7, 2, FALSE)</f>
        <v>Primary</v>
      </c>
      <c r="G4139" t="str">
        <f>IFERROR(VLOOKUP(E4139, LookUP_Table!$A$1:$B$4, 2, FALSE), "")</f>
        <v>Primary</v>
      </c>
      <c r="H4139">
        <v>0</v>
      </c>
      <c r="I4139">
        <v>0</v>
      </c>
      <c r="J4139" t="str">
        <f t="shared" si="384"/>
        <v>Non-Smoker</v>
      </c>
      <c r="K4139">
        <v>0</v>
      </c>
      <c r="L4139">
        <v>0</v>
      </c>
      <c r="M4139">
        <v>1</v>
      </c>
      <c r="N4139">
        <v>0</v>
      </c>
      <c r="O4139">
        <v>232</v>
      </c>
      <c r="P4139" t="str">
        <f t="shared" si="385"/>
        <v>Normal</v>
      </c>
      <c r="Q4139">
        <v>175</v>
      </c>
      <c r="R4139">
        <v>94</v>
      </c>
      <c r="S4139">
        <v>29.84</v>
      </c>
      <c r="T4139" t="str">
        <f t="shared" si="386"/>
        <v>Overweight</v>
      </c>
      <c r="U4139">
        <v>95</v>
      </c>
      <c r="V4139">
        <v>67</v>
      </c>
      <c r="W4139" t="str">
        <f t="shared" si="389"/>
        <v>Normal</v>
      </c>
      <c r="X4139">
        <v>1</v>
      </c>
    </row>
    <row r="4140" spans="1:24" ht="14.5" thickBot="1" x14ac:dyDescent="0.35">
      <c r="A4140">
        <v>1</v>
      </c>
      <c r="B4140" t="str">
        <f t="shared" si="387"/>
        <v>Male</v>
      </c>
      <c r="C4140" s="8">
        <v>66</v>
      </c>
      <c r="D4140" t="str">
        <f t="shared" si="388"/>
        <v>Senior</v>
      </c>
      <c r="E4140">
        <v>1</v>
      </c>
      <c r="F4140" t="str">
        <f>HLOOKUP(E4140, LookUP_Table!$A$6:$D$7, 2, FALSE)</f>
        <v>Primary</v>
      </c>
      <c r="G4140" t="str">
        <f>IFERROR(VLOOKUP(E4140, LookUP_Table!$A$1:$B$4, 2, FALSE), "")</f>
        <v>Primary</v>
      </c>
      <c r="H4140">
        <v>0</v>
      </c>
      <c r="I4140">
        <v>0</v>
      </c>
      <c r="J4140" t="str">
        <f t="shared" si="384"/>
        <v>Non-Smoker</v>
      </c>
      <c r="K4140">
        <v>0</v>
      </c>
      <c r="L4140">
        <v>0</v>
      </c>
      <c r="M4140">
        <v>0</v>
      </c>
      <c r="N4140">
        <v>0</v>
      </c>
      <c r="O4140">
        <v>233</v>
      </c>
      <c r="P4140" t="str">
        <f t="shared" si="385"/>
        <v>Normal</v>
      </c>
      <c r="Q4140">
        <v>108</v>
      </c>
      <c r="R4140">
        <v>66</v>
      </c>
      <c r="S4140">
        <v>25.16</v>
      </c>
      <c r="T4140" t="str">
        <f t="shared" si="386"/>
        <v>Overweight</v>
      </c>
      <c r="U4140">
        <v>75</v>
      </c>
      <c r="V4140">
        <v>72</v>
      </c>
      <c r="W4140" t="str">
        <f t="shared" si="389"/>
        <v>Normal</v>
      </c>
      <c r="X4140">
        <v>0</v>
      </c>
    </row>
    <row r="4141" spans="1:24" ht="14.5" thickBot="1" x14ac:dyDescent="0.35">
      <c r="A4141">
        <v>0</v>
      </c>
      <c r="B4141" t="str">
        <f t="shared" si="387"/>
        <v>Female</v>
      </c>
      <c r="C4141" s="8">
        <v>66</v>
      </c>
      <c r="D4141" t="str">
        <f t="shared" si="388"/>
        <v>Senior</v>
      </c>
      <c r="E4141">
        <v>1</v>
      </c>
      <c r="F4141" t="str">
        <f>HLOOKUP(E4141, LookUP_Table!$A$6:$D$7, 2, FALSE)</f>
        <v>Primary</v>
      </c>
      <c r="G4141" t="str">
        <f>IFERROR(VLOOKUP(E4141, LookUP_Table!$A$1:$B$4, 2, FALSE), "")</f>
        <v>Primary</v>
      </c>
      <c r="H4141">
        <v>0</v>
      </c>
      <c r="I4141">
        <v>0</v>
      </c>
      <c r="J4141" t="str">
        <f t="shared" si="384"/>
        <v>Non-Smoker</v>
      </c>
      <c r="K4141">
        <v>1</v>
      </c>
      <c r="L4141">
        <v>0</v>
      </c>
      <c r="M4141">
        <v>1</v>
      </c>
      <c r="N4141">
        <v>0</v>
      </c>
      <c r="O4141">
        <v>290</v>
      </c>
      <c r="P4141" t="str">
        <f t="shared" si="385"/>
        <v>High</v>
      </c>
      <c r="Q4141">
        <v>152.5</v>
      </c>
      <c r="R4141">
        <v>90</v>
      </c>
      <c r="S4141">
        <v>23.63</v>
      </c>
      <c r="T4141" t="str">
        <f t="shared" si="386"/>
        <v>Normal</v>
      </c>
      <c r="U4141">
        <v>80</v>
      </c>
      <c r="V4141">
        <v>76</v>
      </c>
      <c r="W4141" t="str">
        <f t="shared" si="389"/>
        <v>Normal</v>
      </c>
      <c r="X4141">
        <v>0</v>
      </c>
    </row>
    <row r="4142" spans="1:24" ht="14.5" thickBot="1" x14ac:dyDescent="0.35">
      <c r="A4142">
        <v>0</v>
      </c>
      <c r="B4142" t="str">
        <f t="shared" si="387"/>
        <v>Female</v>
      </c>
      <c r="C4142" s="8">
        <v>66</v>
      </c>
      <c r="D4142" t="str">
        <f t="shared" si="388"/>
        <v>Senior</v>
      </c>
      <c r="E4142">
        <v>4</v>
      </c>
      <c r="F4142" t="str">
        <f>HLOOKUP(E4142, LookUP_Table!$A$6:$D$7, 2, FALSE)</f>
        <v>Post Graduate</v>
      </c>
      <c r="G4142" t="str">
        <f>IFERROR(VLOOKUP(E4142, LookUP_Table!$A$1:$B$4, 2, FALSE), "")</f>
        <v>Post Graduate</v>
      </c>
      <c r="H4142">
        <v>0</v>
      </c>
      <c r="I4142">
        <v>0</v>
      </c>
      <c r="J4142" t="str">
        <f t="shared" si="384"/>
        <v>Non-Smoker</v>
      </c>
      <c r="K4142">
        <v>0</v>
      </c>
      <c r="L4142">
        <v>0</v>
      </c>
      <c r="M4142">
        <v>1</v>
      </c>
      <c r="N4142">
        <v>0</v>
      </c>
      <c r="O4142">
        <v>273</v>
      </c>
      <c r="P4142" t="str">
        <f t="shared" si="385"/>
        <v>High</v>
      </c>
      <c r="Q4142">
        <v>153</v>
      </c>
      <c r="R4142">
        <v>94</v>
      </c>
      <c r="S4142">
        <v>25.27</v>
      </c>
      <c r="T4142" t="str">
        <f t="shared" si="386"/>
        <v>Overweight</v>
      </c>
      <c r="U4142">
        <v>80</v>
      </c>
      <c r="V4142">
        <v>76</v>
      </c>
      <c r="W4142" t="str">
        <f t="shared" si="389"/>
        <v>Normal</v>
      </c>
      <c r="X4142">
        <v>0</v>
      </c>
    </row>
    <row r="4143" spans="1:24" ht="14.5" thickBot="1" x14ac:dyDescent="0.35">
      <c r="A4143">
        <v>1</v>
      </c>
      <c r="B4143" t="str">
        <f t="shared" si="387"/>
        <v>Male</v>
      </c>
      <c r="C4143" s="8">
        <v>66</v>
      </c>
      <c r="D4143" t="str">
        <f t="shared" si="388"/>
        <v>Senior</v>
      </c>
      <c r="E4143">
        <v>1</v>
      </c>
      <c r="F4143" t="str">
        <f>HLOOKUP(E4143, LookUP_Table!$A$6:$D$7, 2, FALSE)</f>
        <v>Primary</v>
      </c>
      <c r="G4143" t="str">
        <f>IFERROR(VLOOKUP(E4143, LookUP_Table!$A$1:$B$4, 2, FALSE), "")</f>
        <v>Primary</v>
      </c>
      <c r="H4143">
        <v>1</v>
      </c>
      <c r="I4143">
        <v>30</v>
      </c>
      <c r="J4143" t="str">
        <f t="shared" si="384"/>
        <v>Smoker</v>
      </c>
      <c r="K4143">
        <v>0</v>
      </c>
      <c r="L4143">
        <v>0</v>
      </c>
      <c r="M4143">
        <v>0</v>
      </c>
      <c r="N4143">
        <v>1</v>
      </c>
      <c r="O4143">
        <v>234</v>
      </c>
      <c r="P4143" t="str">
        <f t="shared" si="385"/>
        <v>Normal</v>
      </c>
      <c r="Q4143">
        <v>114.5</v>
      </c>
      <c r="R4143">
        <v>62.5</v>
      </c>
      <c r="S4143">
        <v>28.62</v>
      </c>
      <c r="T4143" t="str">
        <f t="shared" si="386"/>
        <v>Overweight</v>
      </c>
      <c r="U4143">
        <v>75</v>
      </c>
      <c r="V4143">
        <v>216</v>
      </c>
      <c r="W4143" t="str">
        <f t="shared" si="389"/>
        <v>Diabetes</v>
      </c>
      <c r="X4143">
        <v>1</v>
      </c>
    </row>
    <row r="4144" spans="1:24" ht="14.5" thickBot="1" x14ac:dyDescent="0.35">
      <c r="A4144">
        <v>0</v>
      </c>
      <c r="B4144" t="str">
        <f t="shared" si="387"/>
        <v>Female</v>
      </c>
      <c r="C4144" s="8">
        <v>66</v>
      </c>
      <c r="D4144" t="str">
        <f t="shared" si="388"/>
        <v>Senior</v>
      </c>
      <c r="E4144">
        <v>2</v>
      </c>
      <c r="F4144" t="str">
        <f>HLOOKUP(E4144, LookUP_Table!$A$6:$D$7, 2, FALSE)</f>
        <v>Secondary</v>
      </c>
      <c r="G4144" t="str">
        <f>IFERROR(VLOOKUP(E4144, LookUP_Table!$A$1:$B$4, 2, FALSE), "")</f>
        <v>Secondary</v>
      </c>
      <c r="H4144">
        <v>0</v>
      </c>
      <c r="I4144">
        <v>0</v>
      </c>
      <c r="J4144" t="str">
        <f t="shared" si="384"/>
        <v>Non-Smoker</v>
      </c>
      <c r="K4144">
        <v>0</v>
      </c>
      <c r="L4144">
        <v>0</v>
      </c>
      <c r="M4144">
        <v>1</v>
      </c>
      <c r="N4144">
        <v>0</v>
      </c>
      <c r="O4144">
        <v>238</v>
      </c>
      <c r="P4144" t="str">
        <f t="shared" si="385"/>
        <v>Normal</v>
      </c>
      <c r="Q4144">
        <v>140</v>
      </c>
      <c r="R4144">
        <v>80</v>
      </c>
      <c r="S4144">
        <v>26.69</v>
      </c>
      <c r="T4144" t="str">
        <f t="shared" si="386"/>
        <v>Overweight</v>
      </c>
      <c r="U4144">
        <v>69</v>
      </c>
      <c r="V4144">
        <v>83</v>
      </c>
      <c r="W4144" t="str">
        <f t="shared" si="389"/>
        <v>Normal</v>
      </c>
      <c r="X4144">
        <v>0</v>
      </c>
    </row>
    <row r="4145" spans="1:24" ht="14.5" thickBot="1" x14ac:dyDescent="0.35">
      <c r="A4145">
        <v>0</v>
      </c>
      <c r="B4145" t="str">
        <f t="shared" si="387"/>
        <v>Female</v>
      </c>
      <c r="C4145" s="8">
        <v>66</v>
      </c>
      <c r="D4145" t="str">
        <f t="shared" si="388"/>
        <v>Senior</v>
      </c>
      <c r="E4145">
        <v>1</v>
      </c>
      <c r="F4145" t="str">
        <f>HLOOKUP(E4145, LookUP_Table!$A$6:$D$7, 2, FALSE)</f>
        <v>Primary</v>
      </c>
      <c r="G4145" t="str">
        <f>IFERROR(VLOOKUP(E4145, LookUP_Table!$A$1:$B$4, 2, FALSE), "")</f>
        <v>Primary</v>
      </c>
      <c r="H4145">
        <v>1</v>
      </c>
      <c r="I4145">
        <v>3</v>
      </c>
      <c r="J4145" t="str">
        <f t="shared" si="384"/>
        <v>Smoker</v>
      </c>
      <c r="K4145">
        <v>0</v>
      </c>
      <c r="L4145">
        <v>0</v>
      </c>
      <c r="M4145">
        <v>0</v>
      </c>
      <c r="N4145">
        <v>0</v>
      </c>
      <c r="O4145">
        <v>216</v>
      </c>
      <c r="P4145" t="str">
        <f t="shared" si="385"/>
        <v>Normal</v>
      </c>
      <c r="Q4145">
        <v>133</v>
      </c>
      <c r="R4145">
        <v>87</v>
      </c>
      <c r="S4145">
        <v>30.06</v>
      </c>
      <c r="T4145" t="str">
        <f t="shared" si="386"/>
        <v>Obese</v>
      </c>
      <c r="U4145">
        <v>68</v>
      </c>
      <c r="V4145">
        <v>91</v>
      </c>
      <c r="W4145" t="str">
        <f t="shared" si="389"/>
        <v>Normal</v>
      </c>
      <c r="X4145">
        <v>0</v>
      </c>
    </row>
    <row r="4146" spans="1:24" ht="14.5" thickBot="1" x14ac:dyDescent="0.35">
      <c r="A4146">
        <v>0</v>
      </c>
      <c r="B4146" t="str">
        <f t="shared" si="387"/>
        <v>Female</v>
      </c>
      <c r="C4146" s="8">
        <v>66</v>
      </c>
      <c r="D4146" t="str">
        <f t="shared" si="388"/>
        <v>Senior</v>
      </c>
      <c r="E4146">
        <v>1</v>
      </c>
      <c r="F4146" t="str">
        <f>HLOOKUP(E4146, LookUP_Table!$A$6:$D$7, 2, FALSE)</f>
        <v>Primary</v>
      </c>
      <c r="G4146" t="str">
        <f>IFERROR(VLOOKUP(E4146, LookUP_Table!$A$1:$B$4, 2, FALSE), "")</f>
        <v>Primary</v>
      </c>
      <c r="H4146">
        <v>0</v>
      </c>
      <c r="I4146">
        <v>0</v>
      </c>
      <c r="J4146" t="str">
        <f t="shared" si="384"/>
        <v>Non-Smoker</v>
      </c>
      <c r="K4146">
        <v>0</v>
      </c>
      <c r="L4146">
        <v>0</v>
      </c>
      <c r="M4146">
        <v>1</v>
      </c>
      <c r="N4146">
        <v>0</v>
      </c>
      <c r="O4146">
        <v>235</v>
      </c>
      <c r="P4146" t="str">
        <f t="shared" si="385"/>
        <v>Normal</v>
      </c>
      <c r="Q4146">
        <v>151</v>
      </c>
      <c r="R4146">
        <v>91</v>
      </c>
      <c r="S4146">
        <v>30.86</v>
      </c>
      <c r="T4146" t="str">
        <f t="shared" si="386"/>
        <v>Obese</v>
      </c>
      <c r="U4146">
        <v>78</v>
      </c>
      <c r="V4146">
        <v>87</v>
      </c>
      <c r="W4146" t="str">
        <f t="shared" si="389"/>
        <v>Normal</v>
      </c>
      <c r="X4146">
        <v>0</v>
      </c>
    </row>
    <row r="4147" spans="1:24" ht="14.5" thickBot="1" x14ac:dyDescent="0.35">
      <c r="A4147">
        <v>1</v>
      </c>
      <c r="B4147" t="str">
        <f t="shared" si="387"/>
        <v>Male</v>
      </c>
      <c r="C4147" s="8">
        <v>66</v>
      </c>
      <c r="D4147" t="str">
        <f t="shared" si="388"/>
        <v>Senior</v>
      </c>
      <c r="E4147">
        <v>1</v>
      </c>
      <c r="F4147" t="str">
        <f>HLOOKUP(E4147, LookUP_Table!$A$6:$D$7, 2, FALSE)</f>
        <v>Primary</v>
      </c>
      <c r="G4147" t="str">
        <f>IFERROR(VLOOKUP(E4147, LookUP_Table!$A$1:$B$4, 2, FALSE), "")</f>
        <v>Primary</v>
      </c>
      <c r="H4147">
        <v>0</v>
      </c>
      <c r="I4147">
        <v>0</v>
      </c>
      <c r="J4147" t="str">
        <f t="shared" si="384"/>
        <v>Non-Smoker</v>
      </c>
      <c r="K4147">
        <v>0</v>
      </c>
      <c r="L4147">
        <v>0</v>
      </c>
      <c r="M4147">
        <v>1</v>
      </c>
      <c r="N4147">
        <v>0</v>
      </c>
      <c r="O4147">
        <v>253</v>
      </c>
      <c r="P4147" t="str">
        <f t="shared" si="385"/>
        <v>High</v>
      </c>
      <c r="Q4147">
        <v>163</v>
      </c>
      <c r="R4147">
        <v>86</v>
      </c>
      <c r="S4147">
        <v>24.35</v>
      </c>
      <c r="T4147" t="str">
        <f t="shared" si="386"/>
        <v>Normal</v>
      </c>
      <c r="U4147">
        <v>70</v>
      </c>
      <c r="V4147">
        <v>91</v>
      </c>
      <c r="W4147" t="str">
        <f t="shared" si="389"/>
        <v>Normal</v>
      </c>
      <c r="X4147">
        <v>0</v>
      </c>
    </row>
    <row r="4148" spans="1:24" ht="14.5" thickBot="1" x14ac:dyDescent="0.35">
      <c r="A4148">
        <v>0</v>
      </c>
      <c r="B4148" t="str">
        <f t="shared" si="387"/>
        <v>Female</v>
      </c>
      <c r="C4148" s="8">
        <v>66</v>
      </c>
      <c r="D4148" t="str">
        <f t="shared" si="388"/>
        <v>Senior</v>
      </c>
      <c r="E4148">
        <v>2</v>
      </c>
      <c r="F4148" t="str">
        <f>HLOOKUP(E4148, LookUP_Table!$A$6:$D$7, 2, FALSE)</f>
        <v>Secondary</v>
      </c>
      <c r="G4148" t="str">
        <f>IFERROR(VLOOKUP(E4148, LookUP_Table!$A$1:$B$4, 2, FALSE), "")</f>
        <v>Secondary</v>
      </c>
      <c r="H4148">
        <v>0</v>
      </c>
      <c r="I4148">
        <v>0</v>
      </c>
      <c r="J4148" t="str">
        <f t="shared" si="384"/>
        <v>Non-Smoker</v>
      </c>
      <c r="K4148">
        <v>0</v>
      </c>
      <c r="L4148">
        <v>0</v>
      </c>
      <c r="M4148">
        <v>0</v>
      </c>
      <c r="N4148">
        <v>0</v>
      </c>
      <c r="O4148">
        <v>305</v>
      </c>
      <c r="P4148" t="str">
        <f t="shared" si="385"/>
        <v>High</v>
      </c>
      <c r="Q4148">
        <v>138</v>
      </c>
      <c r="R4148">
        <v>86</v>
      </c>
      <c r="S4148">
        <v>20.74</v>
      </c>
      <c r="T4148" t="str">
        <f t="shared" si="386"/>
        <v>Normal</v>
      </c>
      <c r="U4148">
        <v>75</v>
      </c>
      <c r="V4148">
        <v>62</v>
      </c>
      <c r="W4148" t="str">
        <f t="shared" si="389"/>
        <v>Normal</v>
      </c>
      <c r="X4148">
        <v>1</v>
      </c>
    </row>
    <row r="4149" spans="1:24" ht="14.5" thickBot="1" x14ac:dyDescent="0.35">
      <c r="A4149">
        <v>1</v>
      </c>
      <c r="B4149" t="str">
        <f t="shared" si="387"/>
        <v>Male</v>
      </c>
      <c r="C4149" s="8">
        <v>66</v>
      </c>
      <c r="D4149" t="str">
        <f t="shared" si="388"/>
        <v>Senior</v>
      </c>
      <c r="E4149">
        <v>4</v>
      </c>
      <c r="F4149" t="str">
        <f>HLOOKUP(E4149, LookUP_Table!$A$6:$D$7, 2, FALSE)</f>
        <v>Post Graduate</v>
      </c>
      <c r="G4149" t="str">
        <f>IFERROR(VLOOKUP(E4149, LookUP_Table!$A$1:$B$4, 2, FALSE), "")</f>
        <v>Post Graduate</v>
      </c>
      <c r="H4149">
        <v>1</v>
      </c>
      <c r="I4149">
        <v>18</v>
      </c>
      <c r="J4149" t="str">
        <f t="shared" si="384"/>
        <v>Smoker</v>
      </c>
      <c r="K4149">
        <v>0</v>
      </c>
      <c r="L4149">
        <v>0</v>
      </c>
      <c r="M4149">
        <v>0</v>
      </c>
      <c r="N4149">
        <v>0</v>
      </c>
      <c r="O4149">
        <v>235</v>
      </c>
      <c r="P4149" t="str">
        <f t="shared" si="385"/>
        <v>Normal</v>
      </c>
      <c r="Q4149">
        <v>142</v>
      </c>
      <c r="R4149">
        <v>76</v>
      </c>
      <c r="S4149">
        <v>26.37</v>
      </c>
      <c r="T4149" t="str">
        <f t="shared" si="386"/>
        <v>Overweight</v>
      </c>
      <c r="U4149">
        <v>57</v>
      </c>
      <c r="V4149">
        <v>93</v>
      </c>
      <c r="W4149" t="str">
        <f t="shared" si="389"/>
        <v>Normal</v>
      </c>
      <c r="X4149">
        <v>0</v>
      </c>
    </row>
    <row r="4150" spans="1:24" ht="14.5" thickBot="1" x14ac:dyDescent="0.35">
      <c r="A4150">
        <v>1</v>
      </c>
      <c r="B4150" t="str">
        <f t="shared" si="387"/>
        <v>Male</v>
      </c>
      <c r="C4150" s="8">
        <v>66</v>
      </c>
      <c r="D4150" t="str">
        <f t="shared" si="388"/>
        <v>Senior</v>
      </c>
      <c r="E4150">
        <v>1</v>
      </c>
      <c r="F4150" t="str">
        <f>HLOOKUP(E4150, LookUP_Table!$A$6:$D$7, 2, FALSE)</f>
        <v>Primary</v>
      </c>
      <c r="G4150" t="str">
        <f>IFERROR(VLOOKUP(E4150, LookUP_Table!$A$1:$B$4, 2, FALSE), "")</f>
        <v>Primary</v>
      </c>
      <c r="H4150">
        <v>0</v>
      </c>
      <c r="I4150">
        <v>0</v>
      </c>
      <c r="J4150" t="str">
        <f t="shared" si="384"/>
        <v>Non-Smoker</v>
      </c>
      <c r="K4150">
        <v>0</v>
      </c>
      <c r="L4150">
        <v>0</v>
      </c>
      <c r="M4150">
        <v>0</v>
      </c>
      <c r="N4150">
        <v>0</v>
      </c>
      <c r="O4150">
        <v>270</v>
      </c>
      <c r="P4150" t="str">
        <f t="shared" si="385"/>
        <v>High</v>
      </c>
      <c r="Q4150">
        <v>120</v>
      </c>
      <c r="R4150">
        <v>76</v>
      </c>
      <c r="S4150">
        <v>19.09</v>
      </c>
      <c r="T4150" t="str">
        <f t="shared" si="386"/>
        <v>Normal</v>
      </c>
      <c r="U4150">
        <v>64</v>
      </c>
      <c r="V4150">
        <v>98</v>
      </c>
      <c r="W4150" t="str">
        <f t="shared" si="389"/>
        <v>Normal</v>
      </c>
      <c r="X4150">
        <v>1</v>
      </c>
    </row>
    <row r="4151" spans="1:24" ht="14.5" thickBot="1" x14ac:dyDescent="0.35">
      <c r="A4151">
        <v>0</v>
      </c>
      <c r="B4151" t="str">
        <f t="shared" si="387"/>
        <v>Female</v>
      </c>
      <c r="C4151" s="8">
        <v>66</v>
      </c>
      <c r="D4151" t="str">
        <f t="shared" si="388"/>
        <v>Senior</v>
      </c>
      <c r="E4151">
        <v>2</v>
      </c>
      <c r="F4151" t="str">
        <f>HLOOKUP(E4151, LookUP_Table!$A$6:$D$7, 2, FALSE)</f>
        <v>Secondary</v>
      </c>
      <c r="G4151" t="str">
        <f>IFERROR(VLOOKUP(E4151, LookUP_Table!$A$1:$B$4, 2, FALSE), "")</f>
        <v>Secondary</v>
      </c>
      <c r="H4151">
        <v>1</v>
      </c>
      <c r="I4151">
        <v>9</v>
      </c>
      <c r="J4151" t="str">
        <f t="shared" si="384"/>
        <v>Smoker</v>
      </c>
      <c r="K4151">
        <v>0</v>
      </c>
      <c r="L4151">
        <v>0</v>
      </c>
      <c r="M4151">
        <v>0</v>
      </c>
      <c r="N4151">
        <v>0</v>
      </c>
      <c r="O4151">
        <v>225</v>
      </c>
      <c r="P4151" t="str">
        <f t="shared" si="385"/>
        <v>Normal</v>
      </c>
      <c r="Q4151">
        <v>110</v>
      </c>
      <c r="R4151">
        <v>76</v>
      </c>
      <c r="S4151">
        <v>18.23</v>
      </c>
      <c r="T4151" t="str">
        <f t="shared" si="386"/>
        <v>Underweight</v>
      </c>
      <c r="U4151">
        <v>83</v>
      </c>
      <c r="V4151">
        <v>85</v>
      </c>
      <c r="W4151" t="str">
        <f t="shared" si="389"/>
        <v>Normal</v>
      </c>
      <c r="X4151">
        <v>0</v>
      </c>
    </row>
    <row r="4152" spans="1:24" ht="14.5" thickBot="1" x14ac:dyDescent="0.35">
      <c r="A4152">
        <v>0</v>
      </c>
      <c r="B4152" t="str">
        <f t="shared" si="387"/>
        <v>Female</v>
      </c>
      <c r="C4152" s="8">
        <v>66</v>
      </c>
      <c r="D4152" t="str">
        <f t="shared" si="388"/>
        <v>Senior</v>
      </c>
      <c r="E4152">
        <v>1</v>
      </c>
      <c r="F4152" t="str">
        <f>HLOOKUP(E4152, LookUP_Table!$A$6:$D$7, 2, FALSE)</f>
        <v>Primary</v>
      </c>
      <c r="G4152" t="str">
        <f>IFERROR(VLOOKUP(E4152, LookUP_Table!$A$1:$B$4, 2, FALSE), "")</f>
        <v>Primary</v>
      </c>
      <c r="H4152">
        <v>0</v>
      </c>
      <c r="I4152">
        <v>0</v>
      </c>
      <c r="J4152" t="str">
        <f t="shared" si="384"/>
        <v>Non-Smoker</v>
      </c>
      <c r="K4152">
        <v>0</v>
      </c>
      <c r="L4152">
        <v>0</v>
      </c>
      <c r="M4152">
        <v>1</v>
      </c>
      <c r="N4152">
        <v>0</v>
      </c>
      <c r="O4152">
        <v>275</v>
      </c>
      <c r="P4152" t="str">
        <f t="shared" si="385"/>
        <v>High</v>
      </c>
      <c r="Q4152">
        <v>132.5</v>
      </c>
      <c r="R4152">
        <v>85</v>
      </c>
      <c r="S4152">
        <v>34.36</v>
      </c>
      <c r="T4152" t="str">
        <f t="shared" si="386"/>
        <v>Obese</v>
      </c>
      <c r="U4152">
        <v>70</v>
      </c>
      <c r="V4152">
        <v>81.96365524402907</v>
      </c>
      <c r="W4152" t="str">
        <f t="shared" si="389"/>
        <v>Normal</v>
      </c>
      <c r="X4152">
        <v>1</v>
      </c>
    </row>
    <row r="4153" spans="1:24" ht="14.5" thickBot="1" x14ac:dyDescent="0.35">
      <c r="A4153">
        <v>1</v>
      </c>
      <c r="B4153" t="str">
        <f t="shared" si="387"/>
        <v>Male</v>
      </c>
      <c r="C4153" s="8">
        <v>66</v>
      </c>
      <c r="D4153" t="str">
        <f t="shared" si="388"/>
        <v>Senior</v>
      </c>
      <c r="E4153">
        <v>3</v>
      </c>
      <c r="F4153" t="str">
        <f>HLOOKUP(E4153, LookUP_Table!$A$6:$D$7, 2, FALSE)</f>
        <v>Graduate</v>
      </c>
      <c r="G4153" t="str">
        <f>IFERROR(VLOOKUP(E4153, LookUP_Table!$A$1:$B$4, 2, FALSE), "")</f>
        <v>Graduate</v>
      </c>
      <c r="H4153">
        <v>0</v>
      </c>
      <c r="I4153">
        <v>0</v>
      </c>
      <c r="J4153" t="str">
        <f t="shared" si="384"/>
        <v>Non-Smoker</v>
      </c>
      <c r="K4153">
        <v>0</v>
      </c>
      <c r="L4153">
        <v>0</v>
      </c>
      <c r="M4153">
        <v>1</v>
      </c>
      <c r="N4153">
        <v>0</v>
      </c>
      <c r="O4153">
        <v>182</v>
      </c>
      <c r="P4153" t="str">
        <f t="shared" si="385"/>
        <v>Normal</v>
      </c>
      <c r="Q4153">
        <v>151</v>
      </c>
      <c r="R4153">
        <v>88</v>
      </c>
      <c r="S4153">
        <v>25.22</v>
      </c>
      <c r="T4153" t="str">
        <f t="shared" si="386"/>
        <v>Overweight</v>
      </c>
      <c r="U4153">
        <v>85</v>
      </c>
      <c r="V4153">
        <v>80</v>
      </c>
      <c r="W4153" t="str">
        <f t="shared" si="389"/>
        <v>Normal</v>
      </c>
      <c r="X4153">
        <v>1</v>
      </c>
    </row>
    <row r="4154" spans="1:24" ht="14.5" thickBot="1" x14ac:dyDescent="0.35">
      <c r="A4154">
        <v>0</v>
      </c>
      <c r="B4154" t="str">
        <f t="shared" si="387"/>
        <v>Female</v>
      </c>
      <c r="C4154" s="8">
        <v>66</v>
      </c>
      <c r="D4154" t="str">
        <f t="shared" si="388"/>
        <v>Senior</v>
      </c>
      <c r="E4154">
        <v>2</v>
      </c>
      <c r="F4154" t="str">
        <f>HLOOKUP(E4154, LookUP_Table!$A$6:$D$7, 2, FALSE)</f>
        <v>Secondary</v>
      </c>
      <c r="G4154" t="str">
        <f>IFERROR(VLOOKUP(E4154, LookUP_Table!$A$1:$B$4, 2, FALSE), "")</f>
        <v>Secondary</v>
      </c>
      <c r="H4154">
        <v>0</v>
      </c>
      <c r="I4154">
        <v>0</v>
      </c>
      <c r="J4154" t="str">
        <f t="shared" si="384"/>
        <v>Non-Smoker</v>
      </c>
      <c r="K4154">
        <v>0</v>
      </c>
      <c r="L4154">
        <v>0</v>
      </c>
      <c r="M4154">
        <v>1</v>
      </c>
      <c r="N4154">
        <v>0</v>
      </c>
      <c r="O4154">
        <v>292</v>
      </c>
      <c r="P4154" t="str">
        <f t="shared" si="385"/>
        <v>High</v>
      </c>
      <c r="Q4154">
        <v>143</v>
      </c>
      <c r="R4154">
        <v>95</v>
      </c>
      <c r="S4154">
        <v>31.11</v>
      </c>
      <c r="T4154" t="str">
        <f t="shared" si="386"/>
        <v>Obese</v>
      </c>
      <c r="U4154">
        <v>90</v>
      </c>
      <c r="V4154">
        <v>77</v>
      </c>
      <c r="W4154" t="str">
        <f t="shared" si="389"/>
        <v>Normal</v>
      </c>
      <c r="X4154">
        <v>1</v>
      </c>
    </row>
    <row r="4155" spans="1:24" ht="14.5" thickBot="1" x14ac:dyDescent="0.35">
      <c r="A4155">
        <v>1</v>
      </c>
      <c r="B4155" t="str">
        <f t="shared" si="387"/>
        <v>Male</v>
      </c>
      <c r="C4155" s="8">
        <v>66</v>
      </c>
      <c r="D4155" t="str">
        <f t="shared" si="388"/>
        <v>Senior</v>
      </c>
      <c r="E4155">
        <v>1</v>
      </c>
      <c r="F4155" t="str">
        <f>HLOOKUP(E4155, LookUP_Table!$A$6:$D$7, 2, FALSE)</f>
        <v>Primary</v>
      </c>
      <c r="G4155" t="str">
        <f>IFERROR(VLOOKUP(E4155, LookUP_Table!$A$1:$B$4, 2, FALSE), "")</f>
        <v>Primary</v>
      </c>
      <c r="H4155">
        <v>1</v>
      </c>
      <c r="I4155">
        <v>20</v>
      </c>
      <c r="J4155" t="str">
        <f t="shared" si="384"/>
        <v>Smoker</v>
      </c>
      <c r="K4155">
        <v>0</v>
      </c>
      <c r="L4155">
        <v>0</v>
      </c>
      <c r="M4155">
        <v>1</v>
      </c>
      <c r="N4155">
        <v>0</v>
      </c>
      <c r="O4155">
        <v>228</v>
      </c>
      <c r="P4155" t="str">
        <f t="shared" si="385"/>
        <v>Normal</v>
      </c>
      <c r="Q4155">
        <v>188</v>
      </c>
      <c r="R4155">
        <v>128</v>
      </c>
      <c r="S4155">
        <v>29.58</v>
      </c>
      <c r="T4155" t="str">
        <f t="shared" si="386"/>
        <v>Overweight</v>
      </c>
      <c r="U4155">
        <v>84</v>
      </c>
      <c r="V4155">
        <v>67</v>
      </c>
      <c r="W4155" t="str">
        <f t="shared" si="389"/>
        <v>Normal</v>
      </c>
      <c r="X4155">
        <v>0</v>
      </c>
    </row>
    <row r="4156" spans="1:24" ht="14.5" thickBot="1" x14ac:dyDescent="0.35">
      <c r="A4156">
        <v>0</v>
      </c>
      <c r="B4156" t="str">
        <f t="shared" si="387"/>
        <v>Female</v>
      </c>
      <c r="C4156" s="8">
        <v>66</v>
      </c>
      <c r="D4156" t="str">
        <f t="shared" si="388"/>
        <v>Senior</v>
      </c>
      <c r="E4156">
        <v>1</v>
      </c>
      <c r="F4156" t="str">
        <f>HLOOKUP(E4156, LookUP_Table!$A$6:$D$7, 2, FALSE)</f>
        <v>Primary</v>
      </c>
      <c r="G4156" t="str">
        <f>IFERROR(VLOOKUP(E4156, LookUP_Table!$A$1:$B$4, 2, FALSE), "")</f>
        <v>Primary</v>
      </c>
      <c r="H4156">
        <v>0</v>
      </c>
      <c r="I4156">
        <v>0</v>
      </c>
      <c r="J4156" t="str">
        <f t="shared" si="384"/>
        <v>Non-Smoker</v>
      </c>
      <c r="K4156">
        <v>0</v>
      </c>
      <c r="L4156">
        <v>0</v>
      </c>
      <c r="M4156">
        <v>1</v>
      </c>
      <c r="N4156">
        <v>0</v>
      </c>
      <c r="O4156">
        <v>212</v>
      </c>
      <c r="P4156" t="str">
        <f t="shared" si="385"/>
        <v>Normal</v>
      </c>
      <c r="Q4156">
        <v>220</v>
      </c>
      <c r="R4156">
        <v>96</v>
      </c>
      <c r="S4156">
        <v>44.71</v>
      </c>
      <c r="T4156" t="str">
        <f t="shared" si="386"/>
        <v>Obese</v>
      </c>
      <c r="U4156">
        <v>110</v>
      </c>
      <c r="V4156">
        <v>95</v>
      </c>
      <c r="W4156" t="str">
        <f t="shared" si="389"/>
        <v>Normal</v>
      </c>
      <c r="X4156">
        <v>0</v>
      </c>
    </row>
    <row r="4157" spans="1:24" ht="14.5" thickBot="1" x14ac:dyDescent="0.35">
      <c r="A4157">
        <v>1</v>
      </c>
      <c r="B4157" t="str">
        <f t="shared" si="387"/>
        <v>Male</v>
      </c>
      <c r="C4157" s="8">
        <v>66</v>
      </c>
      <c r="D4157" t="str">
        <f t="shared" si="388"/>
        <v>Senior</v>
      </c>
      <c r="E4157">
        <v>2</v>
      </c>
      <c r="F4157" t="str">
        <f>HLOOKUP(E4157, LookUP_Table!$A$6:$D$7, 2, FALSE)</f>
        <v>Secondary</v>
      </c>
      <c r="G4157" t="str">
        <f>IFERROR(VLOOKUP(E4157, LookUP_Table!$A$1:$B$4, 2, FALSE), "")</f>
        <v>Secondary</v>
      </c>
      <c r="H4157">
        <v>1</v>
      </c>
      <c r="I4157">
        <v>3</v>
      </c>
      <c r="J4157" t="str">
        <f t="shared" si="384"/>
        <v>Smoker</v>
      </c>
      <c r="K4157">
        <v>0</v>
      </c>
      <c r="L4157">
        <v>0</v>
      </c>
      <c r="M4157">
        <v>1</v>
      </c>
      <c r="N4157">
        <v>0</v>
      </c>
      <c r="O4157">
        <v>199</v>
      </c>
      <c r="P4157" t="str">
        <f t="shared" si="385"/>
        <v>Normal</v>
      </c>
      <c r="Q4157">
        <v>159</v>
      </c>
      <c r="R4157">
        <v>92</v>
      </c>
      <c r="S4157">
        <v>26.35</v>
      </c>
      <c r="T4157" t="str">
        <f t="shared" si="386"/>
        <v>Overweight</v>
      </c>
      <c r="U4157">
        <v>66</v>
      </c>
      <c r="V4157">
        <v>74</v>
      </c>
      <c r="W4157" t="str">
        <f t="shared" si="389"/>
        <v>Normal</v>
      </c>
      <c r="X4157">
        <v>0</v>
      </c>
    </row>
    <row r="4158" spans="1:24" ht="14.5" thickBot="1" x14ac:dyDescent="0.35">
      <c r="A4158">
        <v>1</v>
      </c>
      <c r="B4158" t="str">
        <f t="shared" si="387"/>
        <v>Male</v>
      </c>
      <c r="C4158" s="8">
        <v>66</v>
      </c>
      <c r="D4158" t="str">
        <f t="shared" si="388"/>
        <v>Senior</v>
      </c>
      <c r="E4158">
        <v>4</v>
      </c>
      <c r="F4158" t="str">
        <f>HLOOKUP(E4158, LookUP_Table!$A$6:$D$7, 2, FALSE)</f>
        <v>Post Graduate</v>
      </c>
      <c r="G4158" t="str">
        <f>IFERROR(VLOOKUP(E4158, LookUP_Table!$A$1:$B$4, 2, FALSE), "")</f>
        <v>Post Graduate</v>
      </c>
      <c r="H4158">
        <v>1</v>
      </c>
      <c r="I4158">
        <v>20</v>
      </c>
      <c r="J4158" t="str">
        <f t="shared" si="384"/>
        <v>Smoker</v>
      </c>
      <c r="K4158">
        <v>0</v>
      </c>
      <c r="L4158">
        <v>0</v>
      </c>
      <c r="M4158">
        <v>1</v>
      </c>
      <c r="N4158">
        <v>0</v>
      </c>
      <c r="O4158">
        <v>273</v>
      </c>
      <c r="P4158" t="str">
        <f t="shared" si="385"/>
        <v>High</v>
      </c>
      <c r="Q4158">
        <v>145</v>
      </c>
      <c r="R4158">
        <v>88</v>
      </c>
      <c r="S4158">
        <v>25.41</v>
      </c>
      <c r="T4158" t="str">
        <f t="shared" si="386"/>
        <v>Overweight</v>
      </c>
      <c r="U4158">
        <v>69</v>
      </c>
      <c r="V4158">
        <v>74</v>
      </c>
      <c r="W4158" t="str">
        <f t="shared" si="389"/>
        <v>Normal</v>
      </c>
      <c r="X4158">
        <v>1</v>
      </c>
    </row>
    <row r="4159" spans="1:24" ht="14.5" thickBot="1" x14ac:dyDescent="0.35">
      <c r="A4159">
        <v>1</v>
      </c>
      <c r="B4159" t="str">
        <f t="shared" si="387"/>
        <v>Male</v>
      </c>
      <c r="C4159" s="8">
        <v>66</v>
      </c>
      <c r="D4159" t="str">
        <f t="shared" si="388"/>
        <v>Senior</v>
      </c>
      <c r="E4159">
        <v>2</v>
      </c>
      <c r="F4159" t="str">
        <f>HLOOKUP(E4159, LookUP_Table!$A$6:$D$7, 2, FALSE)</f>
        <v>Secondary</v>
      </c>
      <c r="G4159" t="str">
        <f>IFERROR(VLOOKUP(E4159, LookUP_Table!$A$1:$B$4, 2, FALSE), "")</f>
        <v>Secondary</v>
      </c>
      <c r="H4159">
        <v>0</v>
      </c>
      <c r="I4159">
        <v>0</v>
      </c>
      <c r="J4159" t="str">
        <f t="shared" si="384"/>
        <v>Non-Smoker</v>
      </c>
      <c r="K4159">
        <v>0</v>
      </c>
      <c r="L4159">
        <v>0</v>
      </c>
      <c r="M4159">
        <v>1</v>
      </c>
      <c r="N4159">
        <v>0</v>
      </c>
      <c r="O4159">
        <v>124</v>
      </c>
      <c r="P4159" t="str">
        <f t="shared" si="385"/>
        <v>Normal</v>
      </c>
      <c r="Q4159">
        <v>138</v>
      </c>
      <c r="R4159">
        <v>91</v>
      </c>
      <c r="S4159">
        <v>32.33</v>
      </c>
      <c r="T4159" t="str">
        <f t="shared" si="386"/>
        <v>Obese</v>
      </c>
      <c r="U4159">
        <v>75</v>
      </c>
      <c r="V4159">
        <v>96</v>
      </c>
      <c r="W4159" t="str">
        <f t="shared" si="389"/>
        <v>Normal</v>
      </c>
      <c r="X4159">
        <v>1</v>
      </c>
    </row>
    <row r="4160" spans="1:24" ht="14.5" thickBot="1" x14ac:dyDescent="0.35">
      <c r="A4160">
        <v>0</v>
      </c>
      <c r="B4160" t="str">
        <f t="shared" si="387"/>
        <v>Female</v>
      </c>
      <c r="C4160" s="8">
        <v>66</v>
      </c>
      <c r="D4160" t="str">
        <f t="shared" si="388"/>
        <v>Senior</v>
      </c>
      <c r="E4160">
        <v>1</v>
      </c>
      <c r="F4160" t="str">
        <f>HLOOKUP(E4160, LookUP_Table!$A$6:$D$7, 2, FALSE)</f>
        <v>Primary</v>
      </c>
      <c r="G4160" t="str">
        <f>IFERROR(VLOOKUP(E4160, LookUP_Table!$A$1:$B$4, 2, FALSE), "")</f>
        <v>Primary</v>
      </c>
      <c r="H4160">
        <v>1</v>
      </c>
      <c r="I4160">
        <v>1</v>
      </c>
      <c r="J4160" t="str">
        <f t="shared" si="384"/>
        <v>Smoker</v>
      </c>
      <c r="K4160">
        <v>1</v>
      </c>
      <c r="L4160">
        <v>0</v>
      </c>
      <c r="M4160">
        <v>1</v>
      </c>
      <c r="N4160">
        <v>0</v>
      </c>
      <c r="O4160">
        <v>261</v>
      </c>
      <c r="P4160" t="str">
        <f t="shared" si="385"/>
        <v>High</v>
      </c>
      <c r="Q4160">
        <v>154</v>
      </c>
      <c r="R4160">
        <v>97</v>
      </c>
      <c r="S4160">
        <v>32.6</v>
      </c>
      <c r="T4160" t="str">
        <f t="shared" si="386"/>
        <v>Obese</v>
      </c>
      <c r="U4160">
        <v>70</v>
      </c>
      <c r="V4160">
        <v>81</v>
      </c>
      <c r="W4160" t="str">
        <f t="shared" si="389"/>
        <v>Normal</v>
      </c>
      <c r="X4160">
        <v>0</v>
      </c>
    </row>
    <row r="4161" spans="1:24" ht="14.5" thickBot="1" x14ac:dyDescent="0.35">
      <c r="A4161">
        <v>0</v>
      </c>
      <c r="B4161" t="str">
        <f t="shared" si="387"/>
        <v>Female</v>
      </c>
      <c r="C4161" s="8">
        <v>66</v>
      </c>
      <c r="D4161" t="str">
        <f t="shared" si="388"/>
        <v>Senior</v>
      </c>
      <c r="E4161">
        <v>1</v>
      </c>
      <c r="F4161" t="str">
        <f>HLOOKUP(E4161, LookUP_Table!$A$6:$D$7, 2, FALSE)</f>
        <v>Primary</v>
      </c>
      <c r="G4161" t="str">
        <f>IFERROR(VLOOKUP(E4161, LookUP_Table!$A$1:$B$4, 2, FALSE), "")</f>
        <v>Primary</v>
      </c>
      <c r="H4161">
        <v>0</v>
      </c>
      <c r="I4161">
        <v>0</v>
      </c>
      <c r="J4161" t="str">
        <f t="shared" si="384"/>
        <v>Non-Smoker</v>
      </c>
      <c r="K4161">
        <v>0</v>
      </c>
      <c r="L4161">
        <v>0</v>
      </c>
      <c r="M4161">
        <v>1</v>
      </c>
      <c r="N4161">
        <v>1</v>
      </c>
      <c r="O4161">
        <v>203</v>
      </c>
      <c r="P4161" t="str">
        <f t="shared" si="385"/>
        <v>Normal</v>
      </c>
      <c r="Q4161">
        <v>205</v>
      </c>
      <c r="R4161">
        <v>83</v>
      </c>
      <c r="S4161">
        <v>28.27</v>
      </c>
      <c r="T4161" t="str">
        <f t="shared" si="386"/>
        <v>Overweight</v>
      </c>
      <c r="U4161">
        <v>75</v>
      </c>
      <c r="V4161">
        <v>118</v>
      </c>
      <c r="W4161" t="str">
        <f t="shared" si="389"/>
        <v>Prediabetes</v>
      </c>
      <c r="X4161">
        <v>1</v>
      </c>
    </row>
    <row r="4162" spans="1:24" ht="14.5" thickBot="1" x14ac:dyDescent="0.35">
      <c r="A4162">
        <v>0</v>
      </c>
      <c r="B4162" t="str">
        <f t="shared" si="387"/>
        <v>Female</v>
      </c>
      <c r="C4162" s="8">
        <v>66</v>
      </c>
      <c r="D4162" t="str">
        <f t="shared" si="388"/>
        <v>Senior</v>
      </c>
      <c r="E4162">
        <v>1</v>
      </c>
      <c r="F4162" t="str">
        <f>HLOOKUP(E4162, LookUP_Table!$A$6:$D$7, 2, FALSE)</f>
        <v>Primary</v>
      </c>
      <c r="G4162" t="str">
        <f>IFERROR(VLOOKUP(E4162, LookUP_Table!$A$1:$B$4, 2, FALSE), "")</f>
        <v>Primary</v>
      </c>
      <c r="H4162">
        <v>0</v>
      </c>
      <c r="I4162">
        <v>0</v>
      </c>
      <c r="J4162" t="str">
        <f t="shared" ref="J4162:J4225" si="390">IF(I4162&gt;0,"Smoker","Non-Smoker")</f>
        <v>Non-Smoker</v>
      </c>
      <c r="K4162">
        <v>0</v>
      </c>
      <c r="L4162">
        <v>0</v>
      </c>
      <c r="M4162">
        <v>1</v>
      </c>
      <c r="N4162">
        <v>0</v>
      </c>
      <c r="O4162">
        <v>273</v>
      </c>
      <c r="P4162" t="str">
        <f t="shared" ref="P4162:P4225" si="391">IF(O4162&gt;240,"High","Normal")</f>
        <v>High</v>
      </c>
      <c r="Q4162">
        <v>197</v>
      </c>
      <c r="R4162">
        <v>91</v>
      </c>
      <c r="S4162">
        <v>23.22</v>
      </c>
      <c r="T4162" t="str">
        <f t="shared" ref="T4162:T4225" si="392">IF(S4162&lt;18.5,"Underweight",
IF(S4162&lt;25,"Normal",
IF(S4162&lt;30,"Overweight","Obese")))</f>
        <v>Normal</v>
      </c>
      <c r="U4162">
        <v>95</v>
      </c>
      <c r="V4162">
        <v>80</v>
      </c>
      <c r="W4162" t="str">
        <f t="shared" si="389"/>
        <v>Normal</v>
      </c>
      <c r="X4162">
        <v>0</v>
      </c>
    </row>
    <row r="4163" spans="1:24" ht="14.5" thickBot="1" x14ac:dyDescent="0.35">
      <c r="A4163">
        <v>0</v>
      </c>
      <c r="B4163" t="str">
        <f t="shared" ref="B4163:B4226" si="393">IF(A4163=0,"Female","Male")</f>
        <v>Female</v>
      </c>
      <c r="C4163" s="8">
        <v>66</v>
      </c>
      <c r="D4163" t="str">
        <f t="shared" ref="D4163:D4226" si="394">IF(C4163&lt;40,"Young",
IF(C4163&lt;55,"Middle Age","Senior"))</f>
        <v>Senior</v>
      </c>
      <c r="E4163">
        <v>1</v>
      </c>
      <c r="F4163" t="str">
        <f>HLOOKUP(E4163, LookUP_Table!$A$6:$D$7, 2, FALSE)</f>
        <v>Primary</v>
      </c>
      <c r="G4163" t="str">
        <f>IFERROR(VLOOKUP(E4163, LookUP_Table!$A$1:$B$4, 2, FALSE), "")</f>
        <v>Primary</v>
      </c>
      <c r="H4163">
        <v>0</v>
      </c>
      <c r="I4163">
        <v>0</v>
      </c>
      <c r="J4163" t="str">
        <f t="shared" si="390"/>
        <v>Non-Smoker</v>
      </c>
      <c r="K4163">
        <v>0</v>
      </c>
      <c r="L4163">
        <v>0</v>
      </c>
      <c r="M4163">
        <v>1</v>
      </c>
      <c r="N4163">
        <v>0</v>
      </c>
      <c r="O4163">
        <v>263</v>
      </c>
      <c r="P4163" t="str">
        <f t="shared" si="391"/>
        <v>High</v>
      </c>
      <c r="Q4163">
        <v>193</v>
      </c>
      <c r="R4163">
        <v>95</v>
      </c>
      <c r="S4163">
        <v>27.07</v>
      </c>
      <c r="T4163" t="str">
        <f t="shared" si="392"/>
        <v>Overweight</v>
      </c>
      <c r="U4163">
        <v>115</v>
      </c>
      <c r="V4163">
        <v>94</v>
      </c>
      <c r="W4163" t="str">
        <f t="shared" ref="W4163:W4226" si="395">IF(V4163 &lt; 100, "Normal", IF(V4163 &lt;= 125, "Prediabetes", "Diabetes"))</f>
        <v>Normal</v>
      </c>
      <c r="X4163">
        <v>1</v>
      </c>
    </row>
    <row r="4164" spans="1:24" ht="14.5" thickBot="1" x14ac:dyDescent="0.35">
      <c r="A4164">
        <v>0</v>
      </c>
      <c r="B4164" t="str">
        <f t="shared" si="393"/>
        <v>Female</v>
      </c>
      <c r="C4164" s="8">
        <v>66</v>
      </c>
      <c r="D4164" t="str">
        <f t="shared" si="394"/>
        <v>Senior</v>
      </c>
      <c r="E4164">
        <v>3</v>
      </c>
      <c r="F4164" t="str">
        <f>HLOOKUP(E4164, LookUP_Table!$A$6:$D$7, 2, FALSE)</f>
        <v>Graduate</v>
      </c>
      <c r="G4164" t="str">
        <f>IFERROR(VLOOKUP(E4164, LookUP_Table!$A$1:$B$4, 2, FALSE), "")</f>
        <v>Graduate</v>
      </c>
      <c r="H4164">
        <v>1</v>
      </c>
      <c r="I4164">
        <v>20</v>
      </c>
      <c r="J4164" t="str">
        <f t="shared" si="390"/>
        <v>Smoker</v>
      </c>
      <c r="K4164">
        <v>0</v>
      </c>
      <c r="L4164">
        <v>0</v>
      </c>
      <c r="M4164">
        <v>0</v>
      </c>
      <c r="N4164">
        <v>0</v>
      </c>
      <c r="O4164">
        <v>241</v>
      </c>
      <c r="P4164" t="str">
        <f t="shared" si="391"/>
        <v>High</v>
      </c>
      <c r="Q4164">
        <v>112</v>
      </c>
      <c r="R4164">
        <v>66</v>
      </c>
      <c r="S4164">
        <v>23.36</v>
      </c>
      <c r="T4164" t="str">
        <f t="shared" si="392"/>
        <v>Normal</v>
      </c>
      <c r="U4164">
        <v>75</v>
      </c>
      <c r="V4164">
        <v>74</v>
      </c>
      <c r="W4164" t="str">
        <f t="shared" si="395"/>
        <v>Normal</v>
      </c>
      <c r="X4164">
        <v>0</v>
      </c>
    </row>
    <row r="4165" spans="1:24" ht="14.5" thickBot="1" x14ac:dyDescent="0.35">
      <c r="A4165">
        <v>0</v>
      </c>
      <c r="B4165" t="str">
        <f t="shared" si="393"/>
        <v>Female</v>
      </c>
      <c r="C4165" s="8">
        <v>66</v>
      </c>
      <c r="D4165" t="str">
        <f t="shared" si="394"/>
        <v>Senior</v>
      </c>
      <c r="E4165">
        <v>1</v>
      </c>
      <c r="F4165" t="str">
        <f>HLOOKUP(E4165, LookUP_Table!$A$6:$D$7, 2, FALSE)</f>
        <v>Primary</v>
      </c>
      <c r="G4165" t="str">
        <f>IFERROR(VLOOKUP(E4165, LookUP_Table!$A$1:$B$4, 2, FALSE), "")</f>
        <v>Primary</v>
      </c>
      <c r="H4165">
        <v>0</v>
      </c>
      <c r="I4165">
        <v>0</v>
      </c>
      <c r="J4165" t="str">
        <f t="shared" si="390"/>
        <v>Non-Smoker</v>
      </c>
      <c r="K4165">
        <v>0</v>
      </c>
      <c r="L4165">
        <v>0</v>
      </c>
      <c r="M4165">
        <v>1</v>
      </c>
      <c r="N4165">
        <v>0</v>
      </c>
      <c r="O4165">
        <v>312</v>
      </c>
      <c r="P4165" t="str">
        <f t="shared" si="391"/>
        <v>High</v>
      </c>
      <c r="Q4165">
        <v>150</v>
      </c>
      <c r="R4165">
        <v>74</v>
      </c>
      <c r="S4165">
        <v>25.59</v>
      </c>
      <c r="T4165" t="str">
        <f t="shared" si="392"/>
        <v>Overweight</v>
      </c>
      <c r="U4165">
        <v>72</v>
      </c>
      <c r="V4165">
        <v>90</v>
      </c>
      <c r="W4165" t="str">
        <f t="shared" si="395"/>
        <v>Normal</v>
      </c>
      <c r="X4165">
        <v>1</v>
      </c>
    </row>
    <row r="4166" spans="1:24" ht="14.5" thickBot="1" x14ac:dyDescent="0.35">
      <c r="A4166">
        <v>0</v>
      </c>
      <c r="B4166" t="str">
        <f t="shared" si="393"/>
        <v>Female</v>
      </c>
      <c r="C4166" s="8">
        <v>66</v>
      </c>
      <c r="D4166" t="str">
        <f t="shared" si="394"/>
        <v>Senior</v>
      </c>
      <c r="E4166">
        <v>1</v>
      </c>
      <c r="F4166" t="str">
        <f>HLOOKUP(E4166, LookUP_Table!$A$6:$D$7, 2, FALSE)</f>
        <v>Primary</v>
      </c>
      <c r="G4166" t="str">
        <f>IFERROR(VLOOKUP(E4166, LookUP_Table!$A$1:$B$4, 2, FALSE), "")</f>
        <v>Primary</v>
      </c>
      <c r="H4166">
        <v>0</v>
      </c>
      <c r="I4166">
        <v>0</v>
      </c>
      <c r="J4166" t="str">
        <f t="shared" si="390"/>
        <v>Non-Smoker</v>
      </c>
      <c r="K4166">
        <v>0</v>
      </c>
      <c r="L4166">
        <v>0</v>
      </c>
      <c r="M4166">
        <v>1</v>
      </c>
      <c r="N4166">
        <v>0</v>
      </c>
      <c r="O4166">
        <v>260</v>
      </c>
      <c r="P4166" t="str">
        <f t="shared" si="391"/>
        <v>High</v>
      </c>
      <c r="Q4166">
        <v>167</v>
      </c>
      <c r="R4166">
        <v>96</v>
      </c>
      <c r="S4166">
        <v>29.04</v>
      </c>
      <c r="T4166" t="str">
        <f t="shared" si="392"/>
        <v>Overweight</v>
      </c>
      <c r="U4166">
        <v>65</v>
      </c>
      <c r="V4166">
        <v>82</v>
      </c>
      <c r="W4166" t="str">
        <f t="shared" si="395"/>
        <v>Normal</v>
      </c>
      <c r="X4166">
        <v>0</v>
      </c>
    </row>
    <row r="4167" spans="1:24" ht="14.5" thickBot="1" x14ac:dyDescent="0.35">
      <c r="A4167">
        <v>1</v>
      </c>
      <c r="B4167" t="str">
        <f t="shared" si="393"/>
        <v>Male</v>
      </c>
      <c r="C4167" s="8">
        <v>66</v>
      </c>
      <c r="D4167" t="str">
        <f t="shared" si="394"/>
        <v>Senior</v>
      </c>
      <c r="E4167">
        <v>2</v>
      </c>
      <c r="F4167" t="str">
        <f>HLOOKUP(E4167, LookUP_Table!$A$6:$D$7, 2, FALSE)</f>
        <v>Secondary</v>
      </c>
      <c r="G4167" t="str">
        <f>IFERROR(VLOOKUP(E4167, LookUP_Table!$A$1:$B$4, 2, FALSE), "")</f>
        <v>Secondary</v>
      </c>
      <c r="H4167">
        <v>0</v>
      </c>
      <c r="I4167">
        <v>0</v>
      </c>
      <c r="J4167" t="str">
        <f t="shared" si="390"/>
        <v>Non-Smoker</v>
      </c>
      <c r="K4167">
        <v>0</v>
      </c>
      <c r="L4167">
        <v>0</v>
      </c>
      <c r="M4167">
        <v>0</v>
      </c>
      <c r="N4167">
        <v>1</v>
      </c>
      <c r="O4167">
        <v>189</v>
      </c>
      <c r="P4167" t="str">
        <f t="shared" si="391"/>
        <v>Normal</v>
      </c>
      <c r="Q4167">
        <v>140</v>
      </c>
      <c r="R4167">
        <v>71</v>
      </c>
      <c r="S4167">
        <v>27.56</v>
      </c>
      <c r="T4167" t="str">
        <f t="shared" si="392"/>
        <v>Overweight</v>
      </c>
      <c r="U4167">
        <v>70</v>
      </c>
      <c r="V4167">
        <v>119</v>
      </c>
      <c r="W4167" t="str">
        <f t="shared" si="395"/>
        <v>Prediabetes</v>
      </c>
      <c r="X4167">
        <v>0</v>
      </c>
    </row>
    <row r="4168" spans="1:24" ht="14.5" thickBot="1" x14ac:dyDescent="0.35">
      <c r="A4168">
        <v>0</v>
      </c>
      <c r="B4168" t="str">
        <f t="shared" si="393"/>
        <v>Female</v>
      </c>
      <c r="C4168" s="8">
        <v>66</v>
      </c>
      <c r="D4168" t="str">
        <f t="shared" si="394"/>
        <v>Senior</v>
      </c>
      <c r="E4168">
        <v>1</v>
      </c>
      <c r="F4168" t="str">
        <f>HLOOKUP(E4168, LookUP_Table!$A$6:$D$7, 2, FALSE)</f>
        <v>Primary</v>
      </c>
      <c r="G4168" t="str">
        <f>IFERROR(VLOOKUP(E4168, LookUP_Table!$A$1:$B$4, 2, FALSE), "")</f>
        <v>Primary</v>
      </c>
      <c r="H4168">
        <v>0</v>
      </c>
      <c r="I4168">
        <v>0</v>
      </c>
      <c r="J4168" t="str">
        <f t="shared" si="390"/>
        <v>Non-Smoker</v>
      </c>
      <c r="K4168">
        <v>0</v>
      </c>
      <c r="L4168">
        <v>0</v>
      </c>
      <c r="M4168">
        <v>0</v>
      </c>
      <c r="N4168">
        <v>0</v>
      </c>
      <c r="O4168">
        <v>304</v>
      </c>
      <c r="P4168" t="str">
        <f t="shared" si="391"/>
        <v>High</v>
      </c>
      <c r="Q4168">
        <v>161</v>
      </c>
      <c r="R4168">
        <v>90</v>
      </c>
      <c r="S4168">
        <v>23.48</v>
      </c>
      <c r="T4168" t="str">
        <f t="shared" si="392"/>
        <v>Normal</v>
      </c>
      <c r="U4168">
        <v>80</v>
      </c>
      <c r="V4168">
        <v>57</v>
      </c>
      <c r="W4168" t="str">
        <f t="shared" si="395"/>
        <v>Normal</v>
      </c>
      <c r="X4168">
        <v>1</v>
      </c>
    </row>
    <row r="4169" spans="1:24" ht="14.5" thickBot="1" x14ac:dyDescent="0.35">
      <c r="A4169">
        <v>1</v>
      </c>
      <c r="B4169" t="str">
        <f t="shared" si="393"/>
        <v>Male</v>
      </c>
      <c r="C4169" s="8">
        <v>66</v>
      </c>
      <c r="D4169" t="str">
        <f t="shared" si="394"/>
        <v>Senior</v>
      </c>
      <c r="E4169">
        <v>3</v>
      </c>
      <c r="F4169" t="str">
        <f>HLOOKUP(E4169, LookUP_Table!$A$6:$D$7, 2, FALSE)</f>
        <v>Graduate</v>
      </c>
      <c r="G4169" t="str">
        <f>IFERROR(VLOOKUP(E4169, LookUP_Table!$A$1:$B$4, 2, FALSE), "")</f>
        <v>Graduate</v>
      </c>
      <c r="H4169">
        <v>0</v>
      </c>
      <c r="I4169">
        <v>0</v>
      </c>
      <c r="J4169" t="str">
        <f t="shared" si="390"/>
        <v>Non-Smoker</v>
      </c>
      <c r="K4169">
        <v>0</v>
      </c>
      <c r="L4169">
        <v>0</v>
      </c>
      <c r="M4169">
        <v>1</v>
      </c>
      <c r="N4169">
        <v>0</v>
      </c>
      <c r="O4169">
        <v>226</v>
      </c>
      <c r="P4169" t="str">
        <f t="shared" si="391"/>
        <v>Normal</v>
      </c>
      <c r="Q4169">
        <v>213</v>
      </c>
      <c r="R4169">
        <v>133</v>
      </c>
      <c r="S4169">
        <v>25.29</v>
      </c>
      <c r="T4169" t="str">
        <f t="shared" si="392"/>
        <v>Overweight</v>
      </c>
      <c r="U4169">
        <v>100</v>
      </c>
      <c r="V4169">
        <v>67</v>
      </c>
      <c r="W4169" t="str">
        <f t="shared" si="395"/>
        <v>Normal</v>
      </c>
      <c r="X4169">
        <v>0</v>
      </c>
    </row>
    <row r="4170" spans="1:24" ht="14.5" thickBot="1" x14ac:dyDescent="0.35">
      <c r="A4170">
        <v>0</v>
      </c>
      <c r="B4170" t="str">
        <f t="shared" si="393"/>
        <v>Female</v>
      </c>
      <c r="C4170" s="8">
        <v>67</v>
      </c>
      <c r="D4170" t="str">
        <f t="shared" si="394"/>
        <v>Senior</v>
      </c>
      <c r="E4170">
        <v>1</v>
      </c>
      <c r="F4170" t="str">
        <f>HLOOKUP(E4170, LookUP_Table!$A$6:$D$7, 2, FALSE)</f>
        <v>Primary</v>
      </c>
      <c r="G4170" t="str">
        <f>IFERROR(VLOOKUP(E4170, LookUP_Table!$A$1:$B$4, 2, FALSE), "")</f>
        <v>Primary</v>
      </c>
      <c r="H4170">
        <v>0</v>
      </c>
      <c r="I4170">
        <v>0</v>
      </c>
      <c r="J4170" t="str">
        <f t="shared" si="390"/>
        <v>Non-Smoker</v>
      </c>
      <c r="K4170">
        <v>0</v>
      </c>
      <c r="L4170">
        <v>0</v>
      </c>
      <c r="M4170">
        <v>1</v>
      </c>
      <c r="N4170">
        <v>0</v>
      </c>
      <c r="O4170">
        <v>254</v>
      </c>
      <c r="P4170" t="str">
        <f t="shared" si="391"/>
        <v>High</v>
      </c>
      <c r="Q4170">
        <v>157</v>
      </c>
      <c r="R4170">
        <v>89</v>
      </c>
      <c r="S4170">
        <v>24.25</v>
      </c>
      <c r="T4170" t="str">
        <f t="shared" si="392"/>
        <v>Normal</v>
      </c>
      <c r="U4170">
        <v>60</v>
      </c>
      <c r="V4170">
        <v>74</v>
      </c>
      <c r="W4170" t="str">
        <f t="shared" si="395"/>
        <v>Normal</v>
      </c>
      <c r="X4170">
        <v>0</v>
      </c>
    </row>
    <row r="4171" spans="1:24" ht="14.5" thickBot="1" x14ac:dyDescent="0.35">
      <c r="A4171">
        <v>0</v>
      </c>
      <c r="B4171" t="str">
        <f t="shared" si="393"/>
        <v>Female</v>
      </c>
      <c r="C4171" s="8">
        <v>67</v>
      </c>
      <c r="D4171" t="str">
        <f t="shared" si="394"/>
        <v>Senior</v>
      </c>
      <c r="E4171">
        <v>1</v>
      </c>
      <c r="F4171" t="str">
        <f>HLOOKUP(E4171, LookUP_Table!$A$6:$D$7, 2, FALSE)</f>
        <v>Primary</v>
      </c>
      <c r="G4171" t="str">
        <f>IFERROR(VLOOKUP(E4171, LookUP_Table!$A$1:$B$4, 2, FALSE), "")</f>
        <v>Primary</v>
      </c>
      <c r="H4171">
        <v>0</v>
      </c>
      <c r="I4171">
        <v>0</v>
      </c>
      <c r="J4171" t="str">
        <f t="shared" si="390"/>
        <v>Non-Smoker</v>
      </c>
      <c r="K4171">
        <v>0</v>
      </c>
      <c r="L4171">
        <v>0</v>
      </c>
      <c r="M4171">
        <v>1</v>
      </c>
      <c r="N4171">
        <v>0</v>
      </c>
      <c r="O4171">
        <v>264</v>
      </c>
      <c r="P4171" t="str">
        <f t="shared" si="391"/>
        <v>High</v>
      </c>
      <c r="Q4171">
        <v>139</v>
      </c>
      <c r="R4171">
        <v>80</v>
      </c>
      <c r="S4171">
        <v>25.75</v>
      </c>
      <c r="T4171" t="str">
        <f t="shared" si="392"/>
        <v>Overweight</v>
      </c>
      <c r="U4171">
        <v>75</v>
      </c>
      <c r="V4171">
        <v>87</v>
      </c>
      <c r="W4171" t="str">
        <f t="shared" si="395"/>
        <v>Normal</v>
      </c>
      <c r="X4171">
        <v>0</v>
      </c>
    </row>
    <row r="4172" spans="1:24" ht="14.5" thickBot="1" x14ac:dyDescent="0.35">
      <c r="A4172">
        <v>1</v>
      </c>
      <c r="B4172" t="str">
        <f t="shared" si="393"/>
        <v>Male</v>
      </c>
      <c r="C4172" s="8">
        <v>67</v>
      </c>
      <c r="D4172" t="str">
        <f t="shared" si="394"/>
        <v>Senior</v>
      </c>
      <c r="E4172">
        <v>1</v>
      </c>
      <c r="F4172" t="str">
        <f>HLOOKUP(E4172, LookUP_Table!$A$6:$D$7, 2, FALSE)</f>
        <v>Primary</v>
      </c>
      <c r="G4172" t="str">
        <f>IFERROR(VLOOKUP(E4172, LookUP_Table!$A$1:$B$4, 2, FALSE), "")</f>
        <v>Primary</v>
      </c>
      <c r="H4172">
        <v>0</v>
      </c>
      <c r="I4172">
        <v>0</v>
      </c>
      <c r="J4172" t="str">
        <f t="shared" si="390"/>
        <v>Non-Smoker</v>
      </c>
      <c r="K4172">
        <v>0</v>
      </c>
      <c r="L4172">
        <v>0</v>
      </c>
      <c r="M4172">
        <v>0</v>
      </c>
      <c r="N4172">
        <v>0</v>
      </c>
      <c r="O4172">
        <v>257</v>
      </c>
      <c r="P4172" t="str">
        <f t="shared" si="391"/>
        <v>High</v>
      </c>
      <c r="Q4172">
        <v>125</v>
      </c>
      <c r="R4172">
        <v>67.5</v>
      </c>
      <c r="S4172">
        <v>25.95</v>
      </c>
      <c r="T4172" t="str">
        <f t="shared" si="392"/>
        <v>Overweight</v>
      </c>
      <c r="U4172">
        <v>65</v>
      </c>
      <c r="V4172">
        <v>69</v>
      </c>
      <c r="W4172" t="str">
        <f t="shared" si="395"/>
        <v>Normal</v>
      </c>
      <c r="X4172">
        <v>0</v>
      </c>
    </row>
    <row r="4173" spans="1:24" ht="14.5" thickBot="1" x14ac:dyDescent="0.35">
      <c r="A4173">
        <v>0</v>
      </c>
      <c r="B4173" t="str">
        <f t="shared" si="393"/>
        <v>Female</v>
      </c>
      <c r="C4173" s="8">
        <v>67</v>
      </c>
      <c r="D4173" t="str">
        <f t="shared" si="394"/>
        <v>Senior</v>
      </c>
      <c r="E4173">
        <v>2</v>
      </c>
      <c r="F4173" t="str">
        <f>HLOOKUP(E4173, LookUP_Table!$A$6:$D$7, 2, FALSE)</f>
        <v>Secondary</v>
      </c>
      <c r="G4173" t="str">
        <f>IFERROR(VLOOKUP(E4173, LookUP_Table!$A$1:$B$4, 2, FALSE), "")</f>
        <v>Secondary</v>
      </c>
      <c r="H4173">
        <v>0</v>
      </c>
      <c r="I4173">
        <v>0</v>
      </c>
      <c r="J4173" t="str">
        <f t="shared" si="390"/>
        <v>Non-Smoker</v>
      </c>
      <c r="K4173">
        <v>0</v>
      </c>
      <c r="L4173">
        <v>0</v>
      </c>
      <c r="M4173">
        <v>0</v>
      </c>
      <c r="N4173">
        <v>0</v>
      </c>
      <c r="O4173">
        <v>249</v>
      </c>
      <c r="P4173" t="str">
        <f t="shared" si="391"/>
        <v>High</v>
      </c>
      <c r="Q4173">
        <v>128</v>
      </c>
      <c r="R4173">
        <v>68</v>
      </c>
      <c r="S4173">
        <v>25.81</v>
      </c>
      <c r="T4173" t="str">
        <f t="shared" si="392"/>
        <v>Overweight</v>
      </c>
      <c r="U4173">
        <v>70</v>
      </c>
      <c r="V4173">
        <v>87</v>
      </c>
      <c r="W4173" t="str">
        <f t="shared" si="395"/>
        <v>Normal</v>
      </c>
      <c r="X4173">
        <v>1</v>
      </c>
    </row>
    <row r="4174" spans="1:24" ht="14.5" thickBot="1" x14ac:dyDescent="0.35">
      <c r="A4174">
        <v>0</v>
      </c>
      <c r="B4174" t="str">
        <f t="shared" si="393"/>
        <v>Female</v>
      </c>
      <c r="C4174" s="8">
        <v>67</v>
      </c>
      <c r="D4174" t="str">
        <f t="shared" si="394"/>
        <v>Senior</v>
      </c>
      <c r="E4174">
        <v>1</v>
      </c>
      <c r="F4174" t="str">
        <f>HLOOKUP(E4174, LookUP_Table!$A$6:$D$7, 2, FALSE)</f>
        <v>Primary</v>
      </c>
      <c r="G4174" t="str">
        <f>IFERROR(VLOOKUP(E4174, LookUP_Table!$A$1:$B$4, 2, FALSE), "")</f>
        <v>Primary</v>
      </c>
      <c r="H4174">
        <v>0</v>
      </c>
      <c r="I4174">
        <v>0</v>
      </c>
      <c r="J4174" t="str">
        <f t="shared" si="390"/>
        <v>Non-Smoker</v>
      </c>
      <c r="K4174">
        <v>0</v>
      </c>
      <c r="L4174">
        <v>0</v>
      </c>
      <c r="M4174">
        <v>1</v>
      </c>
      <c r="N4174">
        <v>0</v>
      </c>
      <c r="O4174">
        <v>302</v>
      </c>
      <c r="P4174" t="str">
        <f t="shared" si="391"/>
        <v>High</v>
      </c>
      <c r="Q4174">
        <v>147</v>
      </c>
      <c r="R4174">
        <v>92</v>
      </c>
      <c r="S4174">
        <v>25.23</v>
      </c>
      <c r="T4174" t="str">
        <f t="shared" si="392"/>
        <v>Overweight</v>
      </c>
      <c r="U4174">
        <v>80</v>
      </c>
      <c r="V4174">
        <v>87</v>
      </c>
      <c r="W4174" t="str">
        <f t="shared" si="395"/>
        <v>Normal</v>
      </c>
      <c r="X4174">
        <v>1</v>
      </c>
    </row>
    <row r="4175" spans="1:24" ht="14.5" thickBot="1" x14ac:dyDescent="0.35">
      <c r="A4175">
        <v>0</v>
      </c>
      <c r="B4175" t="str">
        <f t="shared" si="393"/>
        <v>Female</v>
      </c>
      <c r="C4175" s="8">
        <v>67</v>
      </c>
      <c r="D4175" t="str">
        <f t="shared" si="394"/>
        <v>Senior</v>
      </c>
      <c r="E4175">
        <v>1</v>
      </c>
      <c r="F4175" t="str">
        <f>HLOOKUP(E4175, LookUP_Table!$A$6:$D$7, 2, FALSE)</f>
        <v>Primary</v>
      </c>
      <c r="G4175" t="str">
        <f>IFERROR(VLOOKUP(E4175, LookUP_Table!$A$1:$B$4, 2, FALSE), "")</f>
        <v>Primary</v>
      </c>
      <c r="H4175">
        <v>0</v>
      </c>
      <c r="I4175">
        <v>0</v>
      </c>
      <c r="J4175" t="str">
        <f t="shared" si="390"/>
        <v>Non-Smoker</v>
      </c>
      <c r="K4175">
        <v>0</v>
      </c>
      <c r="L4175">
        <v>0</v>
      </c>
      <c r="M4175">
        <v>1</v>
      </c>
      <c r="N4175">
        <v>0</v>
      </c>
      <c r="O4175">
        <v>248</v>
      </c>
      <c r="P4175" t="str">
        <f t="shared" si="391"/>
        <v>High</v>
      </c>
      <c r="Q4175">
        <v>215</v>
      </c>
      <c r="R4175">
        <v>105</v>
      </c>
      <c r="S4175">
        <v>22.91</v>
      </c>
      <c r="T4175" t="str">
        <f t="shared" si="392"/>
        <v>Normal</v>
      </c>
      <c r="U4175">
        <v>90</v>
      </c>
      <c r="V4175">
        <v>97</v>
      </c>
      <c r="W4175" t="str">
        <f t="shared" si="395"/>
        <v>Normal</v>
      </c>
      <c r="X4175">
        <v>1</v>
      </c>
    </row>
    <row r="4176" spans="1:24" ht="14.5" thickBot="1" x14ac:dyDescent="0.35">
      <c r="A4176">
        <v>1</v>
      </c>
      <c r="B4176" t="str">
        <f t="shared" si="393"/>
        <v>Male</v>
      </c>
      <c r="C4176" s="8">
        <v>67</v>
      </c>
      <c r="D4176" t="str">
        <f t="shared" si="394"/>
        <v>Senior</v>
      </c>
      <c r="E4176">
        <v>1</v>
      </c>
      <c r="F4176" t="str">
        <f>HLOOKUP(E4176, LookUP_Table!$A$6:$D$7, 2, FALSE)</f>
        <v>Primary</v>
      </c>
      <c r="G4176" t="str">
        <f>IFERROR(VLOOKUP(E4176, LookUP_Table!$A$1:$B$4, 2, FALSE), "")</f>
        <v>Primary</v>
      </c>
      <c r="H4176">
        <v>0</v>
      </c>
      <c r="I4176">
        <v>0</v>
      </c>
      <c r="J4176" t="str">
        <f t="shared" si="390"/>
        <v>Non-Smoker</v>
      </c>
      <c r="K4176">
        <v>0</v>
      </c>
      <c r="L4176">
        <v>0</v>
      </c>
      <c r="M4176">
        <v>0</v>
      </c>
      <c r="N4176">
        <v>0</v>
      </c>
      <c r="O4176">
        <v>203</v>
      </c>
      <c r="P4176" t="str">
        <f t="shared" si="391"/>
        <v>Normal</v>
      </c>
      <c r="Q4176">
        <v>122</v>
      </c>
      <c r="R4176">
        <v>74</v>
      </c>
      <c r="S4176">
        <v>15.54</v>
      </c>
      <c r="T4176" t="str">
        <f t="shared" si="392"/>
        <v>Underweight</v>
      </c>
      <c r="U4176">
        <v>96</v>
      </c>
      <c r="V4176">
        <v>79</v>
      </c>
      <c r="W4176" t="str">
        <f t="shared" si="395"/>
        <v>Normal</v>
      </c>
      <c r="X4176">
        <v>0</v>
      </c>
    </row>
    <row r="4177" spans="1:24" ht="14.5" thickBot="1" x14ac:dyDescent="0.35">
      <c r="A4177">
        <v>1</v>
      </c>
      <c r="B4177" t="str">
        <f t="shared" si="393"/>
        <v>Male</v>
      </c>
      <c r="C4177" s="8">
        <v>67</v>
      </c>
      <c r="D4177" t="str">
        <f t="shared" si="394"/>
        <v>Senior</v>
      </c>
      <c r="E4177">
        <v>1</v>
      </c>
      <c r="F4177" t="str">
        <f>HLOOKUP(E4177, LookUP_Table!$A$6:$D$7, 2, FALSE)</f>
        <v>Primary</v>
      </c>
      <c r="G4177" t="str">
        <f>IFERROR(VLOOKUP(E4177, LookUP_Table!$A$1:$B$4, 2, FALSE), "")</f>
        <v>Primary</v>
      </c>
      <c r="H4177">
        <v>0</v>
      </c>
      <c r="I4177">
        <v>0</v>
      </c>
      <c r="J4177" t="str">
        <f t="shared" si="390"/>
        <v>Non-Smoker</v>
      </c>
      <c r="K4177">
        <v>0</v>
      </c>
      <c r="L4177">
        <v>0</v>
      </c>
      <c r="M4177">
        <v>0</v>
      </c>
      <c r="N4177">
        <v>0</v>
      </c>
      <c r="O4177">
        <v>214</v>
      </c>
      <c r="P4177" t="str">
        <f t="shared" si="391"/>
        <v>Normal</v>
      </c>
      <c r="Q4177">
        <v>127.5</v>
      </c>
      <c r="R4177">
        <v>80</v>
      </c>
      <c r="S4177">
        <v>22.11</v>
      </c>
      <c r="T4177" t="str">
        <f t="shared" si="392"/>
        <v>Normal</v>
      </c>
      <c r="U4177">
        <v>69</v>
      </c>
      <c r="V4177">
        <v>84</v>
      </c>
      <c r="W4177" t="str">
        <f t="shared" si="395"/>
        <v>Normal</v>
      </c>
      <c r="X4177">
        <v>1</v>
      </c>
    </row>
    <row r="4178" spans="1:24" ht="14.5" thickBot="1" x14ac:dyDescent="0.35">
      <c r="A4178">
        <v>0</v>
      </c>
      <c r="B4178" t="str">
        <f t="shared" si="393"/>
        <v>Female</v>
      </c>
      <c r="C4178" s="8">
        <v>67</v>
      </c>
      <c r="D4178" t="str">
        <f t="shared" si="394"/>
        <v>Senior</v>
      </c>
      <c r="E4178">
        <v>1</v>
      </c>
      <c r="F4178" t="str">
        <f>HLOOKUP(E4178, LookUP_Table!$A$6:$D$7, 2, FALSE)</f>
        <v>Primary</v>
      </c>
      <c r="G4178" t="str">
        <f>IFERROR(VLOOKUP(E4178, LookUP_Table!$A$1:$B$4, 2, FALSE), "")</f>
        <v>Primary</v>
      </c>
      <c r="H4178">
        <v>0</v>
      </c>
      <c r="I4178">
        <v>0</v>
      </c>
      <c r="J4178" t="str">
        <f t="shared" si="390"/>
        <v>Non-Smoker</v>
      </c>
      <c r="K4178">
        <v>1</v>
      </c>
      <c r="L4178">
        <v>0</v>
      </c>
      <c r="M4178">
        <v>1</v>
      </c>
      <c r="N4178">
        <v>0</v>
      </c>
      <c r="O4178">
        <v>251</v>
      </c>
      <c r="P4178" t="str">
        <f t="shared" si="391"/>
        <v>High</v>
      </c>
      <c r="Q4178">
        <v>192</v>
      </c>
      <c r="R4178">
        <v>102</v>
      </c>
      <c r="S4178">
        <v>44.09</v>
      </c>
      <c r="T4178" t="str">
        <f t="shared" si="392"/>
        <v>Obese</v>
      </c>
      <c r="U4178">
        <v>55</v>
      </c>
      <c r="V4178">
        <v>62</v>
      </c>
      <c r="W4178" t="str">
        <f t="shared" si="395"/>
        <v>Normal</v>
      </c>
      <c r="X4178">
        <v>0</v>
      </c>
    </row>
    <row r="4179" spans="1:24" ht="14.5" thickBot="1" x14ac:dyDescent="0.35">
      <c r="A4179">
        <v>1</v>
      </c>
      <c r="B4179" t="str">
        <f t="shared" si="393"/>
        <v>Male</v>
      </c>
      <c r="C4179" s="8">
        <v>67</v>
      </c>
      <c r="D4179" t="str">
        <f t="shared" si="394"/>
        <v>Senior</v>
      </c>
      <c r="E4179">
        <v>1</v>
      </c>
      <c r="F4179" t="str">
        <f>HLOOKUP(E4179, LookUP_Table!$A$6:$D$7, 2, FALSE)</f>
        <v>Primary</v>
      </c>
      <c r="G4179" t="str">
        <f>IFERROR(VLOOKUP(E4179, LookUP_Table!$A$1:$B$4, 2, FALSE), "")</f>
        <v>Primary</v>
      </c>
      <c r="H4179">
        <v>1</v>
      </c>
      <c r="I4179">
        <v>15</v>
      </c>
      <c r="J4179" t="str">
        <f t="shared" si="390"/>
        <v>Smoker</v>
      </c>
      <c r="K4179">
        <v>0</v>
      </c>
      <c r="L4179">
        <v>0</v>
      </c>
      <c r="M4179">
        <v>1</v>
      </c>
      <c r="N4179">
        <v>0</v>
      </c>
      <c r="O4179">
        <v>204</v>
      </c>
      <c r="P4179" t="str">
        <f t="shared" si="391"/>
        <v>Normal</v>
      </c>
      <c r="Q4179">
        <v>185</v>
      </c>
      <c r="R4179">
        <v>100</v>
      </c>
      <c r="S4179">
        <v>22.69</v>
      </c>
      <c r="T4179" t="str">
        <f t="shared" si="392"/>
        <v>Normal</v>
      </c>
      <c r="U4179">
        <v>75</v>
      </c>
      <c r="V4179">
        <v>114</v>
      </c>
      <c r="W4179" t="str">
        <f t="shared" si="395"/>
        <v>Prediabetes</v>
      </c>
      <c r="X4179">
        <v>1</v>
      </c>
    </row>
    <row r="4180" spans="1:24" ht="14.5" thickBot="1" x14ac:dyDescent="0.35">
      <c r="A4180">
        <v>0</v>
      </c>
      <c r="B4180" t="str">
        <f t="shared" si="393"/>
        <v>Female</v>
      </c>
      <c r="C4180" s="8">
        <v>67</v>
      </c>
      <c r="D4180" t="str">
        <f t="shared" si="394"/>
        <v>Senior</v>
      </c>
      <c r="E4180">
        <v>1</v>
      </c>
      <c r="F4180" t="str">
        <f>HLOOKUP(E4180, LookUP_Table!$A$6:$D$7, 2, FALSE)</f>
        <v>Primary</v>
      </c>
      <c r="G4180" t="str">
        <f>IFERROR(VLOOKUP(E4180, LookUP_Table!$A$1:$B$4, 2, FALSE), "")</f>
        <v>Primary</v>
      </c>
      <c r="H4180">
        <v>0</v>
      </c>
      <c r="I4180">
        <v>0</v>
      </c>
      <c r="J4180" t="str">
        <f t="shared" si="390"/>
        <v>Non-Smoker</v>
      </c>
      <c r="K4180">
        <v>0</v>
      </c>
      <c r="L4180">
        <v>0</v>
      </c>
      <c r="M4180">
        <v>1</v>
      </c>
      <c r="N4180">
        <v>0</v>
      </c>
      <c r="O4180">
        <v>218</v>
      </c>
      <c r="P4180" t="str">
        <f t="shared" si="391"/>
        <v>Normal</v>
      </c>
      <c r="Q4180">
        <v>160</v>
      </c>
      <c r="R4180">
        <v>100</v>
      </c>
      <c r="S4180">
        <v>20.5</v>
      </c>
      <c r="T4180" t="str">
        <f t="shared" si="392"/>
        <v>Normal</v>
      </c>
      <c r="U4180">
        <v>88</v>
      </c>
      <c r="V4180">
        <v>71</v>
      </c>
      <c r="W4180" t="str">
        <f t="shared" si="395"/>
        <v>Normal</v>
      </c>
      <c r="X4180">
        <v>0</v>
      </c>
    </row>
    <row r="4181" spans="1:24" ht="14.5" thickBot="1" x14ac:dyDescent="0.35">
      <c r="A4181">
        <v>0</v>
      </c>
      <c r="B4181" t="str">
        <f t="shared" si="393"/>
        <v>Female</v>
      </c>
      <c r="C4181" s="8">
        <v>67</v>
      </c>
      <c r="D4181" t="str">
        <f t="shared" si="394"/>
        <v>Senior</v>
      </c>
      <c r="E4181">
        <v>1</v>
      </c>
      <c r="F4181" t="str">
        <f>HLOOKUP(E4181, LookUP_Table!$A$6:$D$7, 2, FALSE)</f>
        <v>Primary</v>
      </c>
      <c r="G4181" t="str">
        <f>IFERROR(VLOOKUP(E4181, LookUP_Table!$A$1:$B$4, 2, FALSE), "")</f>
        <v>Primary</v>
      </c>
      <c r="H4181">
        <v>0</v>
      </c>
      <c r="I4181">
        <v>0</v>
      </c>
      <c r="J4181" t="str">
        <f t="shared" si="390"/>
        <v>Non-Smoker</v>
      </c>
      <c r="K4181">
        <v>0</v>
      </c>
      <c r="L4181">
        <v>0</v>
      </c>
      <c r="M4181">
        <v>0</v>
      </c>
      <c r="N4181">
        <v>0</v>
      </c>
      <c r="O4181">
        <v>201</v>
      </c>
      <c r="P4181" t="str">
        <f t="shared" si="391"/>
        <v>Normal</v>
      </c>
      <c r="Q4181">
        <v>110</v>
      </c>
      <c r="R4181">
        <v>77</v>
      </c>
      <c r="S4181">
        <v>24.53</v>
      </c>
      <c r="T4181" t="str">
        <f t="shared" si="392"/>
        <v>Normal</v>
      </c>
      <c r="U4181">
        <v>65</v>
      </c>
      <c r="V4181">
        <v>77</v>
      </c>
      <c r="W4181" t="str">
        <f t="shared" si="395"/>
        <v>Normal</v>
      </c>
      <c r="X4181">
        <v>0</v>
      </c>
    </row>
    <row r="4182" spans="1:24" ht="14.5" thickBot="1" x14ac:dyDescent="0.35">
      <c r="A4182">
        <v>1</v>
      </c>
      <c r="B4182" t="str">
        <f t="shared" si="393"/>
        <v>Male</v>
      </c>
      <c r="C4182" s="8">
        <v>67</v>
      </c>
      <c r="D4182" t="str">
        <f t="shared" si="394"/>
        <v>Senior</v>
      </c>
      <c r="E4182">
        <v>1</v>
      </c>
      <c r="F4182" t="str">
        <f>HLOOKUP(E4182, LookUP_Table!$A$6:$D$7, 2, FALSE)</f>
        <v>Primary</v>
      </c>
      <c r="G4182" t="str">
        <f>IFERROR(VLOOKUP(E4182, LookUP_Table!$A$1:$B$4, 2, FALSE), "")</f>
        <v>Primary</v>
      </c>
      <c r="H4182">
        <v>1</v>
      </c>
      <c r="I4182">
        <v>9</v>
      </c>
      <c r="J4182" t="str">
        <f t="shared" si="390"/>
        <v>Smoker</v>
      </c>
      <c r="K4182">
        <v>0</v>
      </c>
      <c r="L4182">
        <v>0</v>
      </c>
      <c r="M4182">
        <v>0</v>
      </c>
      <c r="N4182">
        <v>0</v>
      </c>
      <c r="O4182">
        <v>245</v>
      </c>
      <c r="P4182" t="str">
        <f t="shared" si="391"/>
        <v>High</v>
      </c>
      <c r="Q4182">
        <v>126</v>
      </c>
      <c r="R4182">
        <v>68</v>
      </c>
      <c r="S4182">
        <v>29.04</v>
      </c>
      <c r="T4182" t="str">
        <f t="shared" si="392"/>
        <v>Overweight</v>
      </c>
      <c r="U4182">
        <v>70</v>
      </c>
      <c r="V4182">
        <v>94</v>
      </c>
      <c r="W4182" t="str">
        <f t="shared" si="395"/>
        <v>Normal</v>
      </c>
      <c r="X4182">
        <v>1</v>
      </c>
    </row>
    <row r="4183" spans="1:24" ht="14.5" thickBot="1" x14ac:dyDescent="0.35">
      <c r="A4183">
        <v>0</v>
      </c>
      <c r="B4183" t="str">
        <f t="shared" si="393"/>
        <v>Female</v>
      </c>
      <c r="C4183" s="8">
        <v>67</v>
      </c>
      <c r="D4183" t="str">
        <f t="shared" si="394"/>
        <v>Senior</v>
      </c>
      <c r="E4183">
        <v>1</v>
      </c>
      <c r="F4183" t="str">
        <f>HLOOKUP(E4183, LookUP_Table!$A$6:$D$7, 2, FALSE)</f>
        <v>Primary</v>
      </c>
      <c r="G4183" t="str">
        <f>IFERROR(VLOOKUP(E4183, LookUP_Table!$A$1:$B$4, 2, FALSE), "")</f>
        <v>Primary</v>
      </c>
      <c r="H4183">
        <v>0</v>
      </c>
      <c r="I4183">
        <v>0</v>
      </c>
      <c r="J4183" t="str">
        <f t="shared" si="390"/>
        <v>Non-Smoker</v>
      </c>
      <c r="K4183">
        <v>1</v>
      </c>
      <c r="L4183">
        <v>0</v>
      </c>
      <c r="M4183">
        <v>1</v>
      </c>
      <c r="N4183">
        <v>0</v>
      </c>
      <c r="O4183">
        <v>263</v>
      </c>
      <c r="P4183" t="str">
        <f t="shared" si="391"/>
        <v>High</v>
      </c>
      <c r="Q4183">
        <v>201</v>
      </c>
      <c r="R4183">
        <v>93</v>
      </c>
      <c r="S4183">
        <v>30.04</v>
      </c>
      <c r="T4183" t="str">
        <f t="shared" si="392"/>
        <v>Obese</v>
      </c>
      <c r="U4183">
        <v>75</v>
      </c>
      <c r="V4183">
        <v>78</v>
      </c>
      <c r="W4183" t="str">
        <f t="shared" si="395"/>
        <v>Normal</v>
      </c>
      <c r="X4183">
        <v>1</v>
      </c>
    </row>
    <row r="4184" spans="1:24" ht="14.5" thickBot="1" x14ac:dyDescent="0.35">
      <c r="A4184">
        <v>0</v>
      </c>
      <c r="B4184" t="str">
        <f t="shared" si="393"/>
        <v>Female</v>
      </c>
      <c r="C4184" s="8">
        <v>67</v>
      </c>
      <c r="D4184" t="str">
        <f t="shared" si="394"/>
        <v>Senior</v>
      </c>
      <c r="E4184">
        <v>1</v>
      </c>
      <c r="F4184" t="str">
        <f>HLOOKUP(E4184, LookUP_Table!$A$6:$D$7, 2, FALSE)</f>
        <v>Primary</v>
      </c>
      <c r="G4184" t="str">
        <f>IFERROR(VLOOKUP(E4184, LookUP_Table!$A$1:$B$4, 2, FALSE), "")</f>
        <v>Primary</v>
      </c>
      <c r="H4184">
        <v>1</v>
      </c>
      <c r="I4184">
        <v>6</v>
      </c>
      <c r="J4184" t="str">
        <f t="shared" si="390"/>
        <v>Smoker</v>
      </c>
      <c r="K4184">
        <v>0</v>
      </c>
      <c r="L4184">
        <v>0</v>
      </c>
      <c r="M4184">
        <v>0</v>
      </c>
      <c r="N4184">
        <v>0</v>
      </c>
      <c r="O4184">
        <v>236.69952267303103</v>
      </c>
      <c r="P4184" t="str">
        <f t="shared" si="391"/>
        <v>Normal</v>
      </c>
      <c r="Q4184">
        <v>120</v>
      </c>
      <c r="R4184">
        <v>67</v>
      </c>
      <c r="S4184">
        <v>32.770000000000003</v>
      </c>
      <c r="T4184" t="str">
        <f t="shared" si="392"/>
        <v>Obese</v>
      </c>
      <c r="U4184">
        <v>86</v>
      </c>
      <c r="V4184">
        <v>81.96365524402907</v>
      </c>
      <c r="W4184" t="str">
        <f t="shared" si="395"/>
        <v>Normal</v>
      </c>
      <c r="X4184">
        <v>0</v>
      </c>
    </row>
    <row r="4185" spans="1:24" ht="14.5" thickBot="1" x14ac:dyDescent="0.35">
      <c r="A4185">
        <v>0</v>
      </c>
      <c r="B4185" t="str">
        <f t="shared" si="393"/>
        <v>Female</v>
      </c>
      <c r="C4185" s="8">
        <v>67</v>
      </c>
      <c r="D4185" t="str">
        <f t="shared" si="394"/>
        <v>Senior</v>
      </c>
      <c r="E4185">
        <v>3</v>
      </c>
      <c r="F4185" t="str">
        <f>HLOOKUP(E4185, LookUP_Table!$A$6:$D$7, 2, FALSE)</f>
        <v>Graduate</v>
      </c>
      <c r="G4185" t="str">
        <f>IFERROR(VLOOKUP(E4185, LookUP_Table!$A$1:$B$4, 2, FALSE), "")</f>
        <v>Graduate</v>
      </c>
      <c r="H4185">
        <v>1</v>
      </c>
      <c r="I4185">
        <v>1</v>
      </c>
      <c r="J4185" t="str">
        <f t="shared" si="390"/>
        <v>Smoker</v>
      </c>
      <c r="K4185">
        <v>0</v>
      </c>
      <c r="L4185">
        <v>0</v>
      </c>
      <c r="M4185">
        <v>1</v>
      </c>
      <c r="N4185">
        <v>0</v>
      </c>
      <c r="O4185">
        <v>242</v>
      </c>
      <c r="P4185" t="str">
        <f t="shared" si="391"/>
        <v>High</v>
      </c>
      <c r="Q4185">
        <v>172</v>
      </c>
      <c r="R4185">
        <v>84</v>
      </c>
      <c r="S4185">
        <v>19.809999999999999</v>
      </c>
      <c r="T4185" t="str">
        <f t="shared" si="392"/>
        <v>Normal</v>
      </c>
      <c r="U4185">
        <v>70</v>
      </c>
      <c r="V4185">
        <v>111</v>
      </c>
      <c r="W4185" t="str">
        <f t="shared" si="395"/>
        <v>Prediabetes</v>
      </c>
      <c r="X4185">
        <v>0</v>
      </c>
    </row>
    <row r="4186" spans="1:24" ht="14.5" thickBot="1" x14ac:dyDescent="0.35">
      <c r="A4186">
        <v>1</v>
      </c>
      <c r="B4186" t="str">
        <f t="shared" si="393"/>
        <v>Male</v>
      </c>
      <c r="C4186" s="8">
        <v>67</v>
      </c>
      <c r="D4186" t="str">
        <f t="shared" si="394"/>
        <v>Senior</v>
      </c>
      <c r="E4186">
        <v>1</v>
      </c>
      <c r="F4186" t="str">
        <f>HLOOKUP(E4186, LookUP_Table!$A$6:$D$7, 2, FALSE)</f>
        <v>Primary</v>
      </c>
      <c r="G4186" t="str">
        <f>IFERROR(VLOOKUP(E4186, LookUP_Table!$A$1:$B$4, 2, FALSE), "")</f>
        <v>Primary</v>
      </c>
      <c r="H4186">
        <v>0</v>
      </c>
      <c r="I4186">
        <v>0</v>
      </c>
      <c r="J4186" t="str">
        <f t="shared" si="390"/>
        <v>Non-Smoker</v>
      </c>
      <c r="K4186">
        <v>0</v>
      </c>
      <c r="L4186">
        <v>0</v>
      </c>
      <c r="M4186">
        <v>1</v>
      </c>
      <c r="N4186">
        <v>0</v>
      </c>
      <c r="O4186">
        <v>256</v>
      </c>
      <c r="P4186" t="str">
        <f t="shared" si="391"/>
        <v>High</v>
      </c>
      <c r="Q4186">
        <v>138</v>
      </c>
      <c r="R4186">
        <v>76</v>
      </c>
      <c r="S4186">
        <v>22.81</v>
      </c>
      <c r="T4186" t="str">
        <f t="shared" si="392"/>
        <v>Normal</v>
      </c>
      <c r="U4186">
        <v>65</v>
      </c>
      <c r="V4186">
        <v>100</v>
      </c>
      <c r="W4186" t="str">
        <f t="shared" si="395"/>
        <v>Prediabetes</v>
      </c>
      <c r="X4186">
        <v>0</v>
      </c>
    </row>
    <row r="4187" spans="1:24" ht="14.5" thickBot="1" x14ac:dyDescent="0.35">
      <c r="A4187">
        <v>0</v>
      </c>
      <c r="B4187" t="str">
        <f t="shared" si="393"/>
        <v>Female</v>
      </c>
      <c r="C4187" s="8">
        <v>67</v>
      </c>
      <c r="D4187" t="str">
        <f t="shared" si="394"/>
        <v>Senior</v>
      </c>
      <c r="E4187">
        <v>2</v>
      </c>
      <c r="F4187" t="str">
        <f>HLOOKUP(E4187, LookUP_Table!$A$6:$D$7, 2, FALSE)</f>
        <v>Secondary</v>
      </c>
      <c r="G4187" t="str">
        <f>IFERROR(VLOOKUP(E4187, LookUP_Table!$A$1:$B$4, 2, FALSE), "")</f>
        <v>Secondary</v>
      </c>
      <c r="H4187">
        <v>1</v>
      </c>
      <c r="I4187">
        <v>20</v>
      </c>
      <c r="J4187" t="str">
        <f t="shared" si="390"/>
        <v>Smoker</v>
      </c>
      <c r="K4187">
        <v>0</v>
      </c>
      <c r="L4187">
        <v>0</v>
      </c>
      <c r="M4187">
        <v>1</v>
      </c>
      <c r="N4187">
        <v>0</v>
      </c>
      <c r="O4187">
        <v>239</v>
      </c>
      <c r="P4187" t="str">
        <f t="shared" si="391"/>
        <v>Normal</v>
      </c>
      <c r="Q4187">
        <v>154</v>
      </c>
      <c r="R4187">
        <v>90</v>
      </c>
      <c r="S4187">
        <v>28.56</v>
      </c>
      <c r="T4187" t="str">
        <f t="shared" si="392"/>
        <v>Overweight</v>
      </c>
      <c r="U4187">
        <v>72</v>
      </c>
      <c r="V4187">
        <v>90</v>
      </c>
      <c r="W4187" t="str">
        <f t="shared" si="395"/>
        <v>Normal</v>
      </c>
      <c r="X4187">
        <v>1</v>
      </c>
    </row>
    <row r="4188" spans="1:24" ht="14.5" thickBot="1" x14ac:dyDescent="0.35">
      <c r="A4188">
        <v>0</v>
      </c>
      <c r="B4188" t="str">
        <f t="shared" si="393"/>
        <v>Female</v>
      </c>
      <c r="C4188" s="8">
        <v>67</v>
      </c>
      <c r="D4188" t="str">
        <f t="shared" si="394"/>
        <v>Senior</v>
      </c>
      <c r="E4188">
        <v>2</v>
      </c>
      <c r="F4188" t="str">
        <f>HLOOKUP(E4188, LookUP_Table!$A$6:$D$7, 2, FALSE)</f>
        <v>Secondary</v>
      </c>
      <c r="G4188" t="str">
        <f>IFERROR(VLOOKUP(E4188, LookUP_Table!$A$1:$B$4, 2, FALSE), "")</f>
        <v>Secondary</v>
      </c>
      <c r="H4188">
        <v>0</v>
      </c>
      <c r="I4188">
        <v>0</v>
      </c>
      <c r="J4188" t="str">
        <f t="shared" si="390"/>
        <v>Non-Smoker</v>
      </c>
      <c r="K4188">
        <v>0</v>
      </c>
      <c r="L4188">
        <v>0</v>
      </c>
      <c r="M4188">
        <v>0</v>
      </c>
      <c r="N4188">
        <v>0</v>
      </c>
      <c r="O4188">
        <v>261</v>
      </c>
      <c r="P4188" t="str">
        <f t="shared" si="391"/>
        <v>High</v>
      </c>
      <c r="Q4188">
        <v>135</v>
      </c>
      <c r="R4188">
        <v>80</v>
      </c>
      <c r="S4188">
        <v>21.8</v>
      </c>
      <c r="T4188" t="str">
        <f t="shared" si="392"/>
        <v>Normal</v>
      </c>
      <c r="U4188">
        <v>72</v>
      </c>
      <c r="V4188">
        <v>93</v>
      </c>
      <c r="W4188" t="str">
        <f t="shared" si="395"/>
        <v>Normal</v>
      </c>
      <c r="X4188">
        <v>0</v>
      </c>
    </row>
    <row r="4189" spans="1:24" ht="14.5" thickBot="1" x14ac:dyDescent="0.35">
      <c r="A4189">
        <v>1</v>
      </c>
      <c r="B4189" t="str">
        <f t="shared" si="393"/>
        <v>Male</v>
      </c>
      <c r="C4189" s="8">
        <v>67</v>
      </c>
      <c r="D4189" t="str">
        <f t="shared" si="394"/>
        <v>Senior</v>
      </c>
      <c r="E4189">
        <v>1</v>
      </c>
      <c r="F4189" t="str">
        <f>HLOOKUP(E4189, LookUP_Table!$A$6:$D$7, 2, FALSE)</f>
        <v>Primary</v>
      </c>
      <c r="G4189" t="str">
        <f>IFERROR(VLOOKUP(E4189, LookUP_Table!$A$1:$B$4, 2, FALSE), "")</f>
        <v>Primary</v>
      </c>
      <c r="H4189">
        <v>1</v>
      </c>
      <c r="I4189">
        <v>15</v>
      </c>
      <c r="J4189" t="str">
        <f t="shared" si="390"/>
        <v>Smoker</v>
      </c>
      <c r="K4189">
        <v>0</v>
      </c>
      <c r="L4189">
        <v>1</v>
      </c>
      <c r="M4189">
        <v>1</v>
      </c>
      <c r="N4189">
        <v>0</v>
      </c>
      <c r="O4189">
        <v>285</v>
      </c>
      <c r="P4189" t="str">
        <f t="shared" si="391"/>
        <v>High</v>
      </c>
      <c r="Q4189">
        <v>155</v>
      </c>
      <c r="R4189">
        <v>90</v>
      </c>
      <c r="S4189">
        <v>30.42</v>
      </c>
      <c r="T4189" t="str">
        <f t="shared" si="392"/>
        <v>Obese</v>
      </c>
      <c r="U4189">
        <v>70</v>
      </c>
      <c r="V4189">
        <v>77</v>
      </c>
      <c r="W4189" t="str">
        <f t="shared" si="395"/>
        <v>Normal</v>
      </c>
      <c r="X4189">
        <v>1</v>
      </c>
    </row>
    <row r="4190" spans="1:24" ht="14.5" thickBot="1" x14ac:dyDescent="0.35">
      <c r="A4190">
        <v>1</v>
      </c>
      <c r="B4190" t="str">
        <f t="shared" si="393"/>
        <v>Male</v>
      </c>
      <c r="C4190" s="8">
        <v>67</v>
      </c>
      <c r="D4190" t="str">
        <f t="shared" si="394"/>
        <v>Senior</v>
      </c>
      <c r="E4190">
        <v>1</v>
      </c>
      <c r="F4190" t="str">
        <f>HLOOKUP(E4190, LookUP_Table!$A$6:$D$7, 2, FALSE)</f>
        <v>Primary</v>
      </c>
      <c r="G4190" t="str">
        <f>IFERROR(VLOOKUP(E4190, LookUP_Table!$A$1:$B$4, 2, FALSE), "")</f>
        <v>Primary</v>
      </c>
      <c r="H4190">
        <v>0</v>
      </c>
      <c r="I4190">
        <v>0</v>
      </c>
      <c r="J4190" t="str">
        <f t="shared" si="390"/>
        <v>Non-Smoker</v>
      </c>
      <c r="K4190">
        <v>0</v>
      </c>
      <c r="L4190">
        <v>0</v>
      </c>
      <c r="M4190">
        <v>1</v>
      </c>
      <c r="N4190">
        <v>0</v>
      </c>
      <c r="O4190">
        <v>222</v>
      </c>
      <c r="P4190" t="str">
        <f t="shared" si="391"/>
        <v>Normal</v>
      </c>
      <c r="Q4190">
        <v>154</v>
      </c>
      <c r="R4190">
        <v>106</v>
      </c>
      <c r="S4190">
        <v>26.71</v>
      </c>
      <c r="T4190" t="str">
        <f t="shared" si="392"/>
        <v>Overweight</v>
      </c>
      <c r="U4190">
        <v>85</v>
      </c>
      <c r="V4190">
        <v>74</v>
      </c>
      <c r="W4190" t="str">
        <f t="shared" si="395"/>
        <v>Normal</v>
      </c>
      <c r="X4190">
        <v>0</v>
      </c>
    </row>
    <row r="4191" spans="1:24" ht="14.5" thickBot="1" x14ac:dyDescent="0.35">
      <c r="A4191">
        <v>0</v>
      </c>
      <c r="B4191" t="str">
        <f t="shared" si="393"/>
        <v>Female</v>
      </c>
      <c r="C4191" s="8">
        <v>67</v>
      </c>
      <c r="D4191" t="str">
        <f t="shared" si="394"/>
        <v>Senior</v>
      </c>
      <c r="E4191">
        <v>2</v>
      </c>
      <c r="F4191" t="str">
        <f>HLOOKUP(E4191, LookUP_Table!$A$6:$D$7, 2, FALSE)</f>
        <v>Secondary</v>
      </c>
      <c r="G4191" t="str">
        <f>IFERROR(VLOOKUP(E4191, LookUP_Table!$A$1:$B$4, 2, FALSE), "")</f>
        <v>Secondary</v>
      </c>
      <c r="H4191">
        <v>0</v>
      </c>
      <c r="I4191">
        <v>0</v>
      </c>
      <c r="J4191" t="str">
        <f t="shared" si="390"/>
        <v>Non-Smoker</v>
      </c>
      <c r="K4191">
        <v>0</v>
      </c>
      <c r="L4191">
        <v>0</v>
      </c>
      <c r="M4191">
        <v>0</v>
      </c>
      <c r="N4191">
        <v>0</v>
      </c>
      <c r="O4191">
        <v>261</v>
      </c>
      <c r="P4191" t="str">
        <f t="shared" si="391"/>
        <v>High</v>
      </c>
      <c r="Q4191">
        <v>117</v>
      </c>
      <c r="R4191">
        <v>63</v>
      </c>
      <c r="S4191">
        <v>22.55</v>
      </c>
      <c r="T4191" t="str">
        <f t="shared" si="392"/>
        <v>Normal</v>
      </c>
      <c r="U4191">
        <v>75</v>
      </c>
      <c r="V4191">
        <v>83</v>
      </c>
      <c r="W4191" t="str">
        <f t="shared" si="395"/>
        <v>Normal</v>
      </c>
      <c r="X4191">
        <v>0</v>
      </c>
    </row>
    <row r="4192" spans="1:24" ht="14.5" thickBot="1" x14ac:dyDescent="0.35">
      <c r="A4192">
        <v>1</v>
      </c>
      <c r="B4192" t="str">
        <f t="shared" si="393"/>
        <v>Male</v>
      </c>
      <c r="C4192" s="8">
        <v>67</v>
      </c>
      <c r="D4192" t="str">
        <f t="shared" si="394"/>
        <v>Senior</v>
      </c>
      <c r="E4192">
        <v>1</v>
      </c>
      <c r="F4192" t="str">
        <f>HLOOKUP(E4192, LookUP_Table!$A$6:$D$7, 2, FALSE)</f>
        <v>Primary</v>
      </c>
      <c r="G4192" t="str">
        <f>IFERROR(VLOOKUP(E4192, LookUP_Table!$A$1:$B$4, 2, FALSE), "")</f>
        <v>Primary</v>
      </c>
      <c r="H4192">
        <v>0</v>
      </c>
      <c r="I4192">
        <v>0</v>
      </c>
      <c r="J4192" t="str">
        <f t="shared" si="390"/>
        <v>Non-Smoker</v>
      </c>
      <c r="K4192">
        <v>0</v>
      </c>
      <c r="L4192">
        <v>0</v>
      </c>
      <c r="M4192">
        <v>1</v>
      </c>
      <c r="N4192">
        <v>0</v>
      </c>
      <c r="O4192">
        <v>234</v>
      </c>
      <c r="P4192" t="str">
        <f t="shared" si="391"/>
        <v>Normal</v>
      </c>
      <c r="Q4192">
        <v>130</v>
      </c>
      <c r="R4192">
        <v>83</v>
      </c>
      <c r="S4192">
        <v>27.78</v>
      </c>
      <c r="T4192" t="str">
        <f t="shared" si="392"/>
        <v>Overweight</v>
      </c>
      <c r="U4192">
        <v>75</v>
      </c>
      <c r="V4192">
        <v>74</v>
      </c>
      <c r="W4192" t="str">
        <f t="shared" si="395"/>
        <v>Normal</v>
      </c>
      <c r="X4192">
        <v>0</v>
      </c>
    </row>
    <row r="4193" spans="1:24" ht="14.5" thickBot="1" x14ac:dyDescent="0.35">
      <c r="A4193">
        <v>0</v>
      </c>
      <c r="B4193" t="str">
        <f t="shared" si="393"/>
        <v>Female</v>
      </c>
      <c r="C4193" s="8">
        <v>67</v>
      </c>
      <c r="D4193" t="str">
        <f t="shared" si="394"/>
        <v>Senior</v>
      </c>
      <c r="E4193">
        <v>2</v>
      </c>
      <c r="F4193" t="str">
        <f>HLOOKUP(E4193, LookUP_Table!$A$6:$D$7, 2, FALSE)</f>
        <v>Secondary</v>
      </c>
      <c r="G4193" t="str">
        <f>IFERROR(VLOOKUP(E4193, LookUP_Table!$A$1:$B$4, 2, FALSE), "")</f>
        <v>Secondary</v>
      </c>
      <c r="H4193">
        <v>1</v>
      </c>
      <c r="I4193">
        <v>3</v>
      </c>
      <c r="J4193" t="str">
        <f t="shared" si="390"/>
        <v>Smoker</v>
      </c>
      <c r="K4193">
        <v>0</v>
      </c>
      <c r="L4193">
        <v>0</v>
      </c>
      <c r="M4193">
        <v>1</v>
      </c>
      <c r="N4193">
        <v>0</v>
      </c>
      <c r="O4193">
        <v>326</v>
      </c>
      <c r="P4193" t="str">
        <f t="shared" si="391"/>
        <v>High</v>
      </c>
      <c r="Q4193">
        <v>157.5</v>
      </c>
      <c r="R4193">
        <v>78</v>
      </c>
      <c r="S4193">
        <v>24.63</v>
      </c>
      <c r="T4193" t="str">
        <f t="shared" si="392"/>
        <v>Normal</v>
      </c>
      <c r="U4193">
        <v>85</v>
      </c>
      <c r="V4193">
        <v>77</v>
      </c>
      <c r="W4193" t="str">
        <f t="shared" si="395"/>
        <v>Normal</v>
      </c>
      <c r="X4193">
        <v>0</v>
      </c>
    </row>
    <row r="4194" spans="1:24" ht="14.5" thickBot="1" x14ac:dyDescent="0.35">
      <c r="A4194">
        <v>1</v>
      </c>
      <c r="B4194" t="str">
        <f t="shared" si="393"/>
        <v>Male</v>
      </c>
      <c r="C4194" s="8">
        <v>67</v>
      </c>
      <c r="D4194" t="str">
        <f t="shared" si="394"/>
        <v>Senior</v>
      </c>
      <c r="E4194">
        <v>2</v>
      </c>
      <c r="F4194" t="str">
        <f>HLOOKUP(E4194, LookUP_Table!$A$6:$D$7, 2, FALSE)</f>
        <v>Secondary</v>
      </c>
      <c r="G4194" t="str">
        <f>IFERROR(VLOOKUP(E4194, LookUP_Table!$A$1:$B$4, 2, FALSE), "")</f>
        <v>Secondary</v>
      </c>
      <c r="H4194">
        <v>0</v>
      </c>
      <c r="I4194">
        <v>0</v>
      </c>
      <c r="J4194" t="str">
        <f t="shared" si="390"/>
        <v>Non-Smoker</v>
      </c>
      <c r="K4194">
        <v>0</v>
      </c>
      <c r="L4194">
        <v>0</v>
      </c>
      <c r="M4194">
        <v>1</v>
      </c>
      <c r="N4194">
        <v>0</v>
      </c>
      <c r="O4194">
        <v>287</v>
      </c>
      <c r="P4194" t="str">
        <f t="shared" si="391"/>
        <v>High</v>
      </c>
      <c r="Q4194">
        <v>145</v>
      </c>
      <c r="R4194">
        <v>92</v>
      </c>
      <c r="S4194">
        <v>36.04</v>
      </c>
      <c r="T4194" t="str">
        <f t="shared" si="392"/>
        <v>Obese</v>
      </c>
      <c r="U4194">
        <v>80</v>
      </c>
      <c r="V4194">
        <v>77</v>
      </c>
      <c r="W4194" t="str">
        <f t="shared" si="395"/>
        <v>Normal</v>
      </c>
      <c r="X4194">
        <v>0</v>
      </c>
    </row>
    <row r="4195" spans="1:24" ht="14.5" thickBot="1" x14ac:dyDescent="0.35">
      <c r="A4195">
        <v>1</v>
      </c>
      <c r="B4195" t="str">
        <f t="shared" si="393"/>
        <v>Male</v>
      </c>
      <c r="C4195" s="8">
        <v>67</v>
      </c>
      <c r="D4195" t="str">
        <f t="shared" si="394"/>
        <v>Senior</v>
      </c>
      <c r="E4195">
        <v>3</v>
      </c>
      <c r="F4195" t="str">
        <f>HLOOKUP(E4195, LookUP_Table!$A$6:$D$7, 2, FALSE)</f>
        <v>Graduate</v>
      </c>
      <c r="G4195" t="str">
        <f>IFERROR(VLOOKUP(E4195, LookUP_Table!$A$1:$B$4, 2, FALSE), "")</f>
        <v>Graduate</v>
      </c>
      <c r="H4195">
        <v>0</v>
      </c>
      <c r="I4195">
        <v>0</v>
      </c>
      <c r="J4195" t="str">
        <f t="shared" si="390"/>
        <v>Non-Smoker</v>
      </c>
      <c r="K4195">
        <v>0</v>
      </c>
      <c r="L4195">
        <v>0</v>
      </c>
      <c r="M4195">
        <v>0</v>
      </c>
      <c r="N4195">
        <v>0</v>
      </c>
      <c r="O4195">
        <v>250</v>
      </c>
      <c r="P4195" t="str">
        <f t="shared" si="391"/>
        <v>High</v>
      </c>
      <c r="Q4195">
        <v>120</v>
      </c>
      <c r="R4195">
        <v>83</v>
      </c>
      <c r="S4195">
        <v>22.36</v>
      </c>
      <c r="T4195" t="str">
        <f t="shared" si="392"/>
        <v>Normal</v>
      </c>
      <c r="U4195">
        <v>65</v>
      </c>
      <c r="V4195">
        <v>78</v>
      </c>
      <c r="W4195" t="str">
        <f t="shared" si="395"/>
        <v>Normal</v>
      </c>
      <c r="X4195">
        <v>1</v>
      </c>
    </row>
    <row r="4196" spans="1:24" ht="14.5" thickBot="1" x14ac:dyDescent="0.35">
      <c r="A4196">
        <v>0</v>
      </c>
      <c r="B4196" t="str">
        <f t="shared" si="393"/>
        <v>Female</v>
      </c>
      <c r="C4196" s="8">
        <v>67</v>
      </c>
      <c r="D4196" t="str">
        <f t="shared" si="394"/>
        <v>Senior</v>
      </c>
      <c r="E4196">
        <v>2</v>
      </c>
      <c r="F4196" t="str">
        <f>HLOOKUP(E4196, LookUP_Table!$A$6:$D$7, 2, FALSE)</f>
        <v>Secondary</v>
      </c>
      <c r="G4196" t="str">
        <f>IFERROR(VLOOKUP(E4196, LookUP_Table!$A$1:$B$4, 2, FALSE), "")</f>
        <v>Secondary</v>
      </c>
      <c r="H4196">
        <v>1</v>
      </c>
      <c r="I4196">
        <v>15</v>
      </c>
      <c r="J4196" t="str">
        <f t="shared" si="390"/>
        <v>Smoker</v>
      </c>
      <c r="K4196">
        <v>0</v>
      </c>
      <c r="L4196">
        <v>0</v>
      </c>
      <c r="M4196">
        <v>1</v>
      </c>
      <c r="N4196">
        <v>0</v>
      </c>
      <c r="O4196">
        <v>371</v>
      </c>
      <c r="P4196" t="str">
        <f t="shared" si="391"/>
        <v>High</v>
      </c>
      <c r="Q4196">
        <v>166</v>
      </c>
      <c r="R4196">
        <v>85</v>
      </c>
      <c r="S4196">
        <v>25.35</v>
      </c>
      <c r="T4196" t="str">
        <f t="shared" si="392"/>
        <v>Overweight</v>
      </c>
      <c r="U4196">
        <v>100</v>
      </c>
      <c r="V4196">
        <v>86</v>
      </c>
      <c r="W4196" t="str">
        <f t="shared" si="395"/>
        <v>Normal</v>
      </c>
      <c r="X4196">
        <v>0</v>
      </c>
    </row>
    <row r="4197" spans="1:24" ht="14.5" thickBot="1" x14ac:dyDescent="0.35">
      <c r="A4197">
        <v>0</v>
      </c>
      <c r="B4197" t="str">
        <f t="shared" si="393"/>
        <v>Female</v>
      </c>
      <c r="C4197" s="8">
        <v>67</v>
      </c>
      <c r="D4197" t="str">
        <f t="shared" si="394"/>
        <v>Senior</v>
      </c>
      <c r="E4197">
        <v>1</v>
      </c>
      <c r="F4197" t="str">
        <f>HLOOKUP(E4197, LookUP_Table!$A$6:$D$7, 2, FALSE)</f>
        <v>Primary</v>
      </c>
      <c r="G4197" t="str">
        <f>IFERROR(VLOOKUP(E4197, LookUP_Table!$A$1:$B$4, 2, FALSE), "")</f>
        <v>Primary</v>
      </c>
      <c r="H4197">
        <v>1</v>
      </c>
      <c r="I4197">
        <v>3</v>
      </c>
      <c r="J4197" t="str">
        <f t="shared" si="390"/>
        <v>Smoker</v>
      </c>
      <c r="K4197">
        <v>0</v>
      </c>
      <c r="L4197">
        <v>0</v>
      </c>
      <c r="M4197">
        <v>1</v>
      </c>
      <c r="N4197">
        <v>0</v>
      </c>
      <c r="O4197">
        <v>270</v>
      </c>
      <c r="P4197" t="str">
        <f t="shared" si="391"/>
        <v>High</v>
      </c>
      <c r="Q4197">
        <v>137.5</v>
      </c>
      <c r="R4197">
        <v>72.5</v>
      </c>
      <c r="S4197">
        <v>35.01</v>
      </c>
      <c r="T4197" t="str">
        <f t="shared" si="392"/>
        <v>Obese</v>
      </c>
      <c r="U4197">
        <v>85</v>
      </c>
      <c r="V4197">
        <v>73</v>
      </c>
      <c r="W4197" t="str">
        <f t="shared" si="395"/>
        <v>Normal</v>
      </c>
      <c r="X4197">
        <v>0</v>
      </c>
    </row>
    <row r="4198" spans="1:24" ht="14.5" thickBot="1" x14ac:dyDescent="0.35">
      <c r="A4198">
        <v>0</v>
      </c>
      <c r="B4198" t="str">
        <f t="shared" si="393"/>
        <v>Female</v>
      </c>
      <c r="C4198" s="8">
        <v>67</v>
      </c>
      <c r="D4198" t="str">
        <f t="shared" si="394"/>
        <v>Senior</v>
      </c>
      <c r="E4198">
        <v>1</v>
      </c>
      <c r="F4198" t="str">
        <f>HLOOKUP(E4198, LookUP_Table!$A$6:$D$7, 2, FALSE)</f>
        <v>Primary</v>
      </c>
      <c r="G4198" t="str">
        <f>IFERROR(VLOOKUP(E4198, LookUP_Table!$A$1:$B$4, 2, FALSE), "")</f>
        <v>Primary</v>
      </c>
      <c r="H4198">
        <v>0</v>
      </c>
      <c r="I4198">
        <v>0</v>
      </c>
      <c r="J4198" t="str">
        <f t="shared" si="390"/>
        <v>Non-Smoker</v>
      </c>
      <c r="K4198">
        <v>0</v>
      </c>
      <c r="L4198">
        <v>0</v>
      </c>
      <c r="M4198">
        <v>0</v>
      </c>
      <c r="N4198">
        <v>0</v>
      </c>
      <c r="O4198">
        <v>302</v>
      </c>
      <c r="P4198" t="str">
        <f t="shared" si="391"/>
        <v>High</v>
      </c>
      <c r="Q4198">
        <v>121</v>
      </c>
      <c r="R4198">
        <v>83</v>
      </c>
      <c r="S4198">
        <v>30.12</v>
      </c>
      <c r="T4198" t="str">
        <f t="shared" si="392"/>
        <v>Obese</v>
      </c>
      <c r="U4198">
        <v>75</v>
      </c>
      <c r="V4198">
        <v>64</v>
      </c>
      <c r="W4198" t="str">
        <f t="shared" si="395"/>
        <v>Normal</v>
      </c>
      <c r="X4198">
        <v>0</v>
      </c>
    </row>
    <row r="4199" spans="1:24" ht="14.5" thickBot="1" x14ac:dyDescent="0.35">
      <c r="A4199">
        <v>0</v>
      </c>
      <c r="B4199" t="str">
        <f t="shared" si="393"/>
        <v>Female</v>
      </c>
      <c r="C4199" s="8">
        <v>67</v>
      </c>
      <c r="D4199" t="str">
        <f t="shared" si="394"/>
        <v>Senior</v>
      </c>
      <c r="E4199">
        <v>1</v>
      </c>
      <c r="F4199" t="str">
        <f>HLOOKUP(E4199, LookUP_Table!$A$6:$D$7, 2, FALSE)</f>
        <v>Primary</v>
      </c>
      <c r="G4199" t="str">
        <f>IFERROR(VLOOKUP(E4199, LookUP_Table!$A$1:$B$4, 2, FALSE), "")</f>
        <v>Primary</v>
      </c>
      <c r="H4199">
        <v>0</v>
      </c>
      <c r="I4199">
        <v>0</v>
      </c>
      <c r="J4199" t="str">
        <f t="shared" si="390"/>
        <v>Non-Smoker</v>
      </c>
      <c r="K4199">
        <v>0</v>
      </c>
      <c r="L4199">
        <v>0</v>
      </c>
      <c r="M4199">
        <v>1</v>
      </c>
      <c r="N4199">
        <v>0</v>
      </c>
      <c r="O4199">
        <v>236.69952267303103</v>
      </c>
      <c r="P4199" t="str">
        <f t="shared" si="391"/>
        <v>Normal</v>
      </c>
      <c r="Q4199">
        <v>173</v>
      </c>
      <c r="R4199">
        <v>100</v>
      </c>
      <c r="S4199">
        <v>33.6</v>
      </c>
      <c r="T4199" t="str">
        <f t="shared" si="392"/>
        <v>Obese</v>
      </c>
      <c r="U4199">
        <v>60</v>
      </c>
      <c r="V4199">
        <v>81.96365524402907</v>
      </c>
      <c r="W4199" t="str">
        <f t="shared" si="395"/>
        <v>Normal</v>
      </c>
      <c r="X4199">
        <v>0</v>
      </c>
    </row>
    <row r="4200" spans="1:24" ht="14.5" thickBot="1" x14ac:dyDescent="0.35">
      <c r="A4200">
        <v>1</v>
      </c>
      <c r="B4200" t="str">
        <f t="shared" si="393"/>
        <v>Male</v>
      </c>
      <c r="C4200" s="8">
        <v>67</v>
      </c>
      <c r="D4200" t="str">
        <f t="shared" si="394"/>
        <v>Senior</v>
      </c>
      <c r="E4200">
        <v>1</v>
      </c>
      <c r="F4200" t="str">
        <f>HLOOKUP(E4200, LookUP_Table!$A$6:$D$7, 2, FALSE)</f>
        <v>Primary</v>
      </c>
      <c r="G4200" t="str">
        <f>IFERROR(VLOOKUP(E4200, LookUP_Table!$A$1:$B$4, 2, FALSE), "")</f>
        <v>Primary</v>
      </c>
      <c r="H4200">
        <v>1</v>
      </c>
      <c r="I4200">
        <v>10</v>
      </c>
      <c r="J4200" t="str">
        <f t="shared" si="390"/>
        <v>Smoker</v>
      </c>
      <c r="K4200">
        <v>0</v>
      </c>
      <c r="L4200">
        <v>0</v>
      </c>
      <c r="M4200">
        <v>1</v>
      </c>
      <c r="N4200">
        <v>0</v>
      </c>
      <c r="O4200">
        <v>194</v>
      </c>
      <c r="P4200" t="str">
        <f t="shared" si="391"/>
        <v>Normal</v>
      </c>
      <c r="Q4200">
        <v>171</v>
      </c>
      <c r="R4200">
        <v>84</v>
      </c>
      <c r="S4200">
        <v>21.64</v>
      </c>
      <c r="T4200" t="str">
        <f t="shared" si="392"/>
        <v>Normal</v>
      </c>
      <c r="U4200">
        <v>75</v>
      </c>
      <c r="V4200">
        <v>88</v>
      </c>
      <c r="W4200" t="str">
        <f t="shared" si="395"/>
        <v>Normal</v>
      </c>
      <c r="X4200">
        <v>0</v>
      </c>
    </row>
    <row r="4201" spans="1:24" ht="14.5" thickBot="1" x14ac:dyDescent="0.35">
      <c r="A4201">
        <v>0</v>
      </c>
      <c r="B4201" t="str">
        <f t="shared" si="393"/>
        <v>Female</v>
      </c>
      <c r="C4201" s="8">
        <v>67</v>
      </c>
      <c r="D4201" t="str">
        <f t="shared" si="394"/>
        <v>Senior</v>
      </c>
      <c r="E4201">
        <v>1</v>
      </c>
      <c r="F4201" t="str">
        <f>HLOOKUP(E4201, LookUP_Table!$A$6:$D$7, 2, FALSE)</f>
        <v>Primary</v>
      </c>
      <c r="G4201" t="str">
        <f>IFERROR(VLOOKUP(E4201, LookUP_Table!$A$1:$B$4, 2, FALSE), "")</f>
        <v>Primary</v>
      </c>
      <c r="H4201">
        <v>0</v>
      </c>
      <c r="I4201">
        <v>0</v>
      </c>
      <c r="J4201" t="str">
        <f t="shared" si="390"/>
        <v>Non-Smoker</v>
      </c>
      <c r="K4201">
        <v>1</v>
      </c>
      <c r="L4201">
        <v>0</v>
      </c>
      <c r="M4201">
        <v>1</v>
      </c>
      <c r="N4201">
        <v>0</v>
      </c>
      <c r="O4201">
        <v>228</v>
      </c>
      <c r="P4201" t="str">
        <f t="shared" si="391"/>
        <v>Normal</v>
      </c>
      <c r="Q4201">
        <v>144</v>
      </c>
      <c r="R4201">
        <v>85</v>
      </c>
      <c r="S4201">
        <v>27.59</v>
      </c>
      <c r="T4201" t="str">
        <f t="shared" si="392"/>
        <v>Overweight</v>
      </c>
      <c r="U4201">
        <v>65</v>
      </c>
      <c r="V4201">
        <v>75</v>
      </c>
      <c r="W4201" t="str">
        <f t="shared" si="395"/>
        <v>Normal</v>
      </c>
      <c r="X4201">
        <v>1</v>
      </c>
    </row>
    <row r="4202" spans="1:24" ht="14.5" thickBot="1" x14ac:dyDescent="0.35">
      <c r="A4202">
        <v>1</v>
      </c>
      <c r="B4202" t="str">
        <f t="shared" si="393"/>
        <v>Male</v>
      </c>
      <c r="C4202" s="8">
        <v>67</v>
      </c>
      <c r="D4202" t="str">
        <f t="shared" si="394"/>
        <v>Senior</v>
      </c>
      <c r="E4202">
        <v>1</v>
      </c>
      <c r="F4202" t="str">
        <f>HLOOKUP(E4202, LookUP_Table!$A$6:$D$7, 2, FALSE)</f>
        <v>Primary</v>
      </c>
      <c r="G4202" t="str">
        <f>IFERROR(VLOOKUP(E4202, LookUP_Table!$A$1:$B$4, 2, FALSE), "")</f>
        <v>Primary</v>
      </c>
      <c r="H4202">
        <v>1</v>
      </c>
      <c r="I4202">
        <v>40</v>
      </c>
      <c r="J4202" t="str">
        <f t="shared" si="390"/>
        <v>Smoker</v>
      </c>
      <c r="K4202">
        <v>0</v>
      </c>
      <c r="L4202">
        <v>0</v>
      </c>
      <c r="M4202">
        <v>1</v>
      </c>
      <c r="N4202">
        <v>0</v>
      </c>
      <c r="O4202">
        <v>216</v>
      </c>
      <c r="P4202" t="str">
        <f t="shared" si="391"/>
        <v>Normal</v>
      </c>
      <c r="Q4202">
        <v>148</v>
      </c>
      <c r="R4202">
        <v>70</v>
      </c>
      <c r="S4202">
        <v>32.630000000000003</v>
      </c>
      <c r="T4202" t="str">
        <f t="shared" si="392"/>
        <v>Obese</v>
      </c>
      <c r="U4202">
        <v>90</v>
      </c>
      <c r="V4202">
        <v>103</v>
      </c>
      <c r="W4202" t="str">
        <f t="shared" si="395"/>
        <v>Prediabetes</v>
      </c>
      <c r="X4202">
        <v>1</v>
      </c>
    </row>
    <row r="4203" spans="1:24" ht="14.5" thickBot="1" x14ac:dyDescent="0.35">
      <c r="A4203">
        <v>0</v>
      </c>
      <c r="B4203" t="str">
        <f t="shared" si="393"/>
        <v>Female</v>
      </c>
      <c r="C4203" s="8">
        <v>67</v>
      </c>
      <c r="D4203" t="str">
        <f t="shared" si="394"/>
        <v>Senior</v>
      </c>
      <c r="E4203">
        <v>3</v>
      </c>
      <c r="F4203" t="str">
        <f>HLOOKUP(E4203, LookUP_Table!$A$6:$D$7, 2, FALSE)</f>
        <v>Graduate</v>
      </c>
      <c r="G4203" t="str">
        <f>IFERROR(VLOOKUP(E4203, LookUP_Table!$A$1:$B$4, 2, FALSE), "")</f>
        <v>Graduate</v>
      </c>
      <c r="H4203">
        <v>0</v>
      </c>
      <c r="I4203">
        <v>0</v>
      </c>
      <c r="J4203" t="str">
        <f t="shared" si="390"/>
        <v>Non-Smoker</v>
      </c>
      <c r="K4203">
        <v>0</v>
      </c>
      <c r="L4203">
        <v>0</v>
      </c>
      <c r="M4203">
        <v>1</v>
      </c>
      <c r="N4203">
        <v>0</v>
      </c>
      <c r="O4203">
        <v>260</v>
      </c>
      <c r="P4203" t="str">
        <f t="shared" si="391"/>
        <v>High</v>
      </c>
      <c r="Q4203">
        <v>140</v>
      </c>
      <c r="R4203">
        <v>88</v>
      </c>
      <c r="S4203">
        <v>24.67</v>
      </c>
      <c r="T4203" t="str">
        <f t="shared" si="392"/>
        <v>Normal</v>
      </c>
      <c r="U4203">
        <v>55</v>
      </c>
      <c r="V4203">
        <v>65</v>
      </c>
      <c r="W4203" t="str">
        <f t="shared" si="395"/>
        <v>Normal</v>
      </c>
      <c r="X4203">
        <v>0</v>
      </c>
    </row>
    <row r="4204" spans="1:24" ht="14.5" thickBot="1" x14ac:dyDescent="0.35">
      <c r="A4204">
        <v>1</v>
      </c>
      <c r="B4204" t="str">
        <f t="shared" si="393"/>
        <v>Male</v>
      </c>
      <c r="C4204" s="8">
        <v>67</v>
      </c>
      <c r="D4204" t="str">
        <f t="shared" si="394"/>
        <v>Senior</v>
      </c>
      <c r="E4204">
        <v>1</v>
      </c>
      <c r="F4204" t="str">
        <f>HLOOKUP(E4204, LookUP_Table!$A$6:$D$7, 2, FALSE)</f>
        <v>Primary</v>
      </c>
      <c r="G4204" t="str">
        <f>IFERROR(VLOOKUP(E4204, LookUP_Table!$A$1:$B$4, 2, FALSE), "")</f>
        <v>Primary</v>
      </c>
      <c r="H4204">
        <v>1</v>
      </c>
      <c r="I4204">
        <v>2</v>
      </c>
      <c r="J4204" t="str">
        <f t="shared" si="390"/>
        <v>Smoker</v>
      </c>
      <c r="K4204">
        <v>0</v>
      </c>
      <c r="L4204">
        <v>0</v>
      </c>
      <c r="M4204">
        <v>0</v>
      </c>
      <c r="N4204">
        <v>0</v>
      </c>
      <c r="O4204">
        <v>144</v>
      </c>
      <c r="P4204" t="str">
        <f t="shared" si="391"/>
        <v>Normal</v>
      </c>
      <c r="Q4204">
        <v>113</v>
      </c>
      <c r="R4204">
        <v>62</v>
      </c>
      <c r="S4204">
        <v>22.9</v>
      </c>
      <c r="T4204" t="str">
        <f t="shared" si="392"/>
        <v>Normal</v>
      </c>
      <c r="U4204">
        <v>58</v>
      </c>
      <c r="V4204">
        <v>69</v>
      </c>
      <c r="W4204" t="str">
        <f t="shared" si="395"/>
        <v>Normal</v>
      </c>
      <c r="X4204">
        <v>0</v>
      </c>
    </row>
    <row r="4205" spans="1:24" ht="14.5" thickBot="1" x14ac:dyDescent="0.35">
      <c r="A4205">
        <v>0</v>
      </c>
      <c r="B4205" t="str">
        <f t="shared" si="393"/>
        <v>Female</v>
      </c>
      <c r="C4205" s="8">
        <v>67</v>
      </c>
      <c r="D4205" t="str">
        <f t="shared" si="394"/>
        <v>Senior</v>
      </c>
      <c r="E4205">
        <v>2</v>
      </c>
      <c r="F4205" t="str">
        <f>HLOOKUP(E4205, LookUP_Table!$A$6:$D$7, 2, FALSE)</f>
        <v>Secondary</v>
      </c>
      <c r="G4205" t="str">
        <f>IFERROR(VLOOKUP(E4205, LookUP_Table!$A$1:$B$4, 2, FALSE), "")</f>
        <v>Secondary</v>
      </c>
      <c r="H4205">
        <v>0</v>
      </c>
      <c r="I4205">
        <v>0</v>
      </c>
      <c r="J4205" t="str">
        <f t="shared" si="390"/>
        <v>Non-Smoker</v>
      </c>
      <c r="K4205">
        <v>1</v>
      </c>
      <c r="L4205">
        <v>0</v>
      </c>
      <c r="M4205">
        <v>1</v>
      </c>
      <c r="N4205">
        <v>1</v>
      </c>
      <c r="O4205">
        <v>303</v>
      </c>
      <c r="P4205" t="str">
        <f t="shared" si="391"/>
        <v>High</v>
      </c>
      <c r="Q4205">
        <v>204</v>
      </c>
      <c r="R4205">
        <v>96</v>
      </c>
      <c r="S4205">
        <v>27.86</v>
      </c>
      <c r="T4205" t="str">
        <f t="shared" si="392"/>
        <v>Overweight</v>
      </c>
      <c r="U4205">
        <v>75</v>
      </c>
      <c r="V4205">
        <v>394</v>
      </c>
      <c r="W4205" t="str">
        <f t="shared" si="395"/>
        <v>Diabetes</v>
      </c>
      <c r="X4205">
        <v>1</v>
      </c>
    </row>
    <row r="4206" spans="1:24" ht="14.5" thickBot="1" x14ac:dyDescent="0.35">
      <c r="A4206">
        <v>0</v>
      </c>
      <c r="B4206" t="str">
        <f t="shared" si="393"/>
        <v>Female</v>
      </c>
      <c r="C4206" s="8">
        <v>67</v>
      </c>
      <c r="D4206" t="str">
        <f t="shared" si="394"/>
        <v>Senior</v>
      </c>
      <c r="E4206">
        <v>1</v>
      </c>
      <c r="F4206" t="str">
        <f>HLOOKUP(E4206, LookUP_Table!$A$6:$D$7, 2, FALSE)</f>
        <v>Primary</v>
      </c>
      <c r="G4206" t="str">
        <f>IFERROR(VLOOKUP(E4206, LookUP_Table!$A$1:$B$4, 2, FALSE), "")</f>
        <v>Primary</v>
      </c>
      <c r="H4206">
        <v>0</v>
      </c>
      <c r="I4206">
        <v>0</v>
      </c>
      <c r="J4206" t="str">
        <f t="shared" si="390"/>
        <v>Non-Smoker</v>
      </c>
      <c r="K4206">
        <v>0</v>
      </c>
      <c r="L4206">
        <v>0</v>
      </c>
      <c r="M4206">
        <v>0</v>
      </c>
      <c r="N4206">
        <v>0</v>
      </c>
      <c r="O4206">
        <v>223</v>
      </c>
      <c r="P4206" t="str">
        <f t="shared" si="391"/>
        <v>Normal</v>
      </c>
      <c r="Q4206">
        <v>111</v>
      </c>
      <c r="R4206">
        <v>73</v>
      </c>
      <c r="S4206">
        <v>27.89</v>
      </c>
      <c r="T4206" t="str">
        <f t="shared" si="392"/>
        <v>Overweight</v>
      </c>
      <c r="U4206">
        <v>90</v>
      </c>
      <c r="V4206">
        <v>63</v>
      </c>
      <c r="W4206" t="str">
        <f t="shared" si="395"/>
        <v>Normal</v>
      </c>
      <c r="X4206">
        <v>1</v>
      </c>
    </row>
    <row r="4207" spans="1:24" ht="14.5" thickBot="1" x14ac:dyDescent="0.35">
      <c r="A4207">
        <v>0</v>
      </c>
      <c r="B4207" t="str">
        <f t="shared" si="393"/>
        <v>Female</v>
      </c>
      <c r="C4207" s="8">
        <v>67</v>
      </c>
      <c r="D4207" t="str">
        <f t="shared" si="394"/>
        <v>Senior</v>
      </c>
      <c r="E4207">
        <v>2</v>
      </c>
      <c r="F4207" t="str">
        <f>HLOOKUP(E4207, LookUP_Table!$A$6:$D$7, 2, FALSE)</f>
        <v>Secondary</v>
      </c>
      <c r="G4207" t="str">
        <f>IFERROR(VLOOKUP(E4207, LookUP_Table!$A$1:$B$4, 2, FALSE), "")</f>
        <v>Secondary</v>
      </c>
      <c r="H4207">
        <v>0</v>
      </c>
      <c r="I4207">
        <v>0</v>
      </c>
      <c r="J4207" t="str">
        <f t="shared" si="390"/>
        <v>Non-Smoker</v>
      </c>
      <c r="K4207">
        <v>1</v>
      </c>
      <c r="L4207">
        <v>0</v>
      </c>
      <c r="M4207">
        <v>1</v>
      </c>
      <c r="N4207">
        <v>0</v>
      </c>
      <c r="O4207">
        <v>295</v>
      </c>
      <c r="P4207" t="str">
        <f t="shared" si="391"/>
        <v>High</v>
      </c>
      <c r="Q4207">
        <v>170</v>
      </c>
      <c r="R4207">
        <v>89</v>
      </c>
      <c r="S4207">
        <v>35.35</v>
      </c>
      <c r="T4207" t="str">
        <f t="shared" si="392"/>
        <v>Obese</v>
      </c>
      <c r="U4207">
        <v>66</v>
      </c>
      <c r="V4207">
        <v>63</v>
      </c>
      <c r="W4207" t="str">
        <f t="shared" si="395"/>
        <v>Normal</v>
      </c>
      <c r="X4207">
        <v>0</v>
      </c>
    </row>
    <row r="4208" spans="1:24" ht="14.5" thickBot="1" x14ac:dyDescent="0.35">
      <c r="A4208">
        <v>0</v>
      </c>
      <c r="B4208" t="str">
        <f t="shared" si="393"/>
        <v>Female</v>
      </c>
      <c r="C4208" s="8">
        <v>67</v>
      </c>
      <c r="D4208" t="str">
        <f t="shared" si="394"/>
        <v>Senior</v>
      </c>
      <c r="E4208">
        <v>2</v>
      </c>
      <c r="F4208" t="str">
        <f>HLOOKUP(E4208, LookUP_Table!$A$6:$D$7, 2, FALSE)</f>
        <v>Secondary</v>
      </c>
      <c r="G4208" t="str">
        <f>IFERROR(VLOOKUP(E4208, LookUP_Table!$A$1:$B$4, 2, FALSE), "")</f>
        <v>Secondary</v>
      </c>
      <c r="H4208">
        <v>0</v>
      </c>
      <c r="I4208">
        <v>0</v>
      </c>
      <c r="J4208" t="str">
        <f t="shared" si="390"/>
        <v>Non-Smoker</v>
      </c>
      <c r="K4208">
        <v>0</v>
      </c>
      <c r="L4208">
        <v>0</v>
      </c>
      <c r="M4208">
        <v>0</v>
      </c>
      <c r="N4208">
        <v>0</v>
      </c>
      <c r="O4208">
        <v>292</v>
      </c>
      <c r="P4208" t="str">
        <f t="shared" si="391"/>
        <v>High</v>
      </c>
      <c r="Q4208">
        <v>144</v>
      </c>
      <c r="R4208">
        <v>89</v>
      </c>
      <c r="S4208">
        <v>21.93</v>
      </c>
      <c r="T4208" t="str">
        <f t="shared" si="392"/>
        <v>Normal</v>
      </c>
      <c r="U4208">
        <v>96</v>
      </c>
      <c r="V4208">
        <v>81.96365524402907</v>
      </c>
      <c r="W4208" t="str">
        <f t="shared" si="395"/>
        <v>Normal</v>
      </c>
      <c r="X4208">
        <v>0</v>
      </c>
    </row>
    <row r="4209" spans="1:24" ht="14.5" thickBot="1" x14ac:dyDescent="0.35">
      <c r="A4209">
        <v>0</v>
      </c>
      <c r="B4209" t="str">
        <f t="shared" si="393"/>
        <v>Female</v>
      </c>
      <c r="C4209" s="8">
        <v>67</v>
      </c>
      <c r="D4209" t="str">
        <f t="shared" si="394"/>
        <v>Senior</v>
      </c>
      <c r="E4209">
        <v>1</v>
      </c>
      <c r="F4209" t="str">
        <f>HLOOKUP(E4209, LookUP_Table!$A$6:$D$7, 2, FALSE)</f>
        <v>Primary</v>
      </c>
      <c r="G4209" t="str">
        <f>IFERROR(VLOOKUP(E4209, LookUP_Table!$A$1:$B$4, 2, FALSE), "")</f>
        <v>Primary</v>
      </c>
      <c r="H4209">
        <v>1</v>
      </c>
      <c r="I4209">
        <v>9</v>
      </c>
      <c r="J4209" t="str">
        <f t="shared" si="390"/>
        <v>Smoker</v>
      </c>
      <c r="K4209">
        <v>0</v>
      </c>
      <c r="L4209">
        <v>0</v>
      </c>
      <c r="M4209">
        <v>1</v>
      </c>
      <c r="N4209">
        <v>0</v>
      </c>
      <c r="O4209">
        <v>236.69952267303103</v>
      </c>
      <c r="P4209" t="str">
        <f t="shared" si="391"/>
        <v>Normal</v>
      </c>
      <c r="Q4209">
        <v>185</v>
      </c>
      <c r="R4209">
        <v>110</v>
      </c>
      <c r="S4209">
        <v>19.53</v>
      </c>
      <c r="T4209" t="str">
        <f t="shared" si="392"/>
        <v>Normal</v>
      </c>
      <c r="U4209">
        <v>100</v>
      </c>
      <c r="V4209">
        <v>81.96365524402907</v>
      </c>
      <c r="W4209" t="str">
        <f t="shared" si="395"/>
        <v>Normal</v>
      </c>
      <c r="X4209">
        <v>0</v>
      </c>
    </row>
    <row r="4210" spans="1:24" ht="14.5" thickBot="1" x14ac:dyDescent="0.35">
      <c r="A4210">
        <v>1</v>
      </c>
      <c r="B4210" t="str">
        <f t="shared" si="393"/>
        <v>Male</v>
      </c>
      <c r="C4210" s="8">
        <v>67</v>
      </c>
      <c r="D4210" t="str">
        <f t="shared" si="394"/>
        <v>Senior</v>
      </c>
      <c r="E4210">
        <v>3</v>
      </c>
      <c r="F4210" t="str">
        <f>HLOOKUP(E4210, LookUP_Table!$A$6:$D$7, 2, FALSE)</f>
        <v>Graduate</v>
      </c>
      <c r="G4210" t="str">
        <f>IFERROR(VLOOKUP(E4210, LookUP_Table!$A$1:$B$4, 2, FALSE), "")</f>
        <v>Graduate</v>
      </c>
      <c r="H4210">
        <v>0</v>
      </c>
      <c r="I4210">
        <v>0</v>
      </c>
      <c r="J4210" t="str">
        <f t="shared" si="390"/>
        <v>Non-Smoker</v>
      </c>
      <c r="K4210">
        <v>1</v>
      </c>
      <c r="L4210">
        <v>0</v>
      </c>
      <c r="M4210">
        <v>1</v>
      </c>
      <c r="N4210">
        <v>0</v>
      </c>
      <c r="O4210">
        <v>223</v>
      </c>
      <c r="P4210" t="str">
        <f t="shared" si="391"/>
        <v>Normal</v>
      </c>
      <c r="Q4210">
        <v>214</v>
      </c>
      <c r="R4210">
        <v>94</v>
      </c>
      <c r="S4210">
        <v>25.86</v>
      </c>
      <c r="T4210" t="str">
        <f t="shared" si="392"/>
        <v>Overweight</v>
      </c>
      <c r="U4210">
        <v>80</v>
      </c>
      <c r="V4210">
        <v>87</v>
      </c>
      <c r="W4210" t="str">
        <f t="shared" si="395"/>
        <v>Normal</v>
      </c>
      <c r="X4210">
        <v>1</v>
      </c>
    </row>
    <row r="4211" spans="1:24" ht="14.5" thickBot="1" x14ac:dyDescent="0.35">
      <c r="A4211">
        <v>0</v>
      </c>
      <c r="B4211" t="str">
        <f t="shared" si="393"/>
        <v>Female</v>
      </c>
      <c r="C4211" s="8">
        <v>67</v>
      </c>
      <c r="D4211" t="str">
        <f t="shared" si="394"/>
        <v>Senior</v>
      </c>
      <c r="E4211">
        <v>4</v>
      </c>
      <c r="F4211" t="str">
        <f>HLOOKUP(E4211, LookUP_Table!$A$6:$D$7, 2, FALSE)</f>
        <v>Post Graduate</v>
      </c>
      <c r="G4211" t="str">
        <f>IFERROR(VLOOKUP(E4211, LookUP_Table!$A$1:$B$4, 2, FALSE), "")</f>
        <v>Post Graduate</v>
      </c>
      <c r="H4211">
        <v>0</v>
      </c>
      <c r="I4211">
        <v>0</v>
      </c>
      <c r="J4211" t="str">
        <f t="shared" si="390"/>
        <v>Non-Smoker</v>
      </c>
      <c r="K4211">
        <v>0</v>
      </c>
      <c r="L4211">
        <v>0</v>
      </c>
      <c r="M4211">
        <v>0</v>
      </c>
      <c r="N4211">
        <v>0</v>
      </c>
      <c r="O4211">
        <v>281</v>
      </c>
      <c r="P4211" t="str">
        <f t="shared" si="391"/>
        <v>High</v>
      </c>
      <c r="Q4211">
        <v>101</v>
      </c>
      <c r="R4211">
        <v>59</v>
      </c>
      <c r="S4211">
        <v>23.1</v>
      </c>
      <c r="T4211" t="str">
        <f t="shared" si="392"/>
        <v>Normal</v>
      </c>
      <c r="U4211">
        <v>63</v>
      </c>
      <c r="V4211">
        <v>85</v>
      </c>
      <c r="W4211" t="str">
        <f t="shared" si="395"/>
        <v>Normal</v>
      </c>
      <c r="X4211">
        <v>1</v>
      </c>
    </row>
    <row r="4212" spans="1:24" ht="14.5" thickBot="1" x14ac:dyDescent="0.35">
      <c r="A4212">
        <v>0</v>
      </c>
      <c r="B4212" t="str">
        <f t="shared" si="393"/>
        <v>Female</v>
      </c>
      <c r="C4212" s="8">
        <v>67</v>
      </c>
      <c r="D4212" t="str">
        <f t="shared" si="394"/>
        <v>Senior</v>
      </c>
      <c r="E4212">
        <v>3</v>
      </c>
      <c r="F4212" t="str">
        <f>HLOOKUP(E4212, LookUP_Table!$A$6:$D$7, 2, FALSE)</f>
        <v>Graduate</v>
      </c>
      <c r="G4212" t="str">
        <f>IFERROR(VLOOKUP(E4212, LookUP_Table!$A$1:$B$4, 2, FALSE), "")</f>
        <v>Graduate</v>
      </c>
      <c r="H4212">
        <v>1</v>
      </c>
      <c r="I4212">
        <v>5</v>
      </c>
      <c r="J4212" t="str">
        <f t="shared" si="390"/>
        <v>Smoker</v>
      </c>
      <c r="K4212">
        <v>1</v>
      </c>
      <c r="L4212">
        <v>0</v>
      </c>
      <c r="M4212">
        <v>1</v>
      </c>
      <c r="N4212">
        <v>0</v>
      </c>
      <c r="O4212">
        <v>245</v>
      </c>
      <c r="P4212" t="str">
        <f t="shared" si="391"/>
        <v>High</v>
      </c>
      <c r="Q4212">
        <v>169</v>
      </c>
      <c r="R4212">
        <v>82</v>
      </c>
      <c r="S4212">
        <v>26.05</v>
      </c>
      <c r="T4212" t="str">
        <f t="shared" si="392"/>
        <v>Overweight</v>
      </c>
      <c r="U4212">
        <v>122</v>
      </c>
      <c r="V4212">
        <v>122</v>
      </c>
      <c r="W4212" t="str">
        <f t="shared" si="395"/>
        <v>Prediabetes</v>
      </c>
      <c r="X4212">
        <v>0</v>
      </c>
    </row>
    <row r="4213" spans="1:24" ht="14.5" thickBot="1" x14ac:dyDescent="0.35">
      <c r="A4213">
        <v>1</v>
      </c>
      <c r="B4213" t="str">
        <f t="shared" si="393"/>
        <v>Male</v>
      </c>
      <c r="C4213" s="8">
        <v>67</v>
      </c>
      <c r="D4213" t="str">
        <f t="shared" si="394"/>
        <v>Senior</v>
      </c>
      <c r="E4213">
        <v>2</v>
      </c>
      <c r="F4213" t="str">
        <f>HLOOKUP(E4213, LookUP_Table!$A$6:$D$7, 2, FALSE)</f>
        <v>Secondary</v>
      </c>
      <c r="G4213" t="str">
        <f>IFERROR(VLOOKUP(E4213, LookUP_Table!$A$1:$B$4, 2, FALSE), "")</f>
        <v>Secondary</v>
      </c>
      <c r="H4213">
        <v>1</v>
      </c>
      <c r="I4213">
        <v>60</v>
      </c>
      <c r="J4213" t="str">
        <f t="shared" si="390"/>
        <v>Smoker</v>
      </c>
      <c r="K4213">
        <v>0</v>
      </c>
      <c r="L4213">
        <v>0</v>
      </c>
      <c r="M4213">
        <v>1</v>
      </c>
      <c r="N4213">
        <v>0</v>
      </c>
      <c r="O4213">
        <v>261</v>
      </c>
      <c r="P4213" t="str">
        <f t="shared" si="391"/>
        <v>High</v>
      </c>
      <c r="Q4213">
        <v>170</v>
      </c>
      <c r="R4213">
        <v>100</v>
      </c>
      <c r="S4213">
        <v>22.71</v>
      </c>
      <c r="T4213" t="str">
        <f t="shared" si="392"/>
        <v>Normal</v>
      </c>
      <c r="U4213">
        <v>72</v>
      </c>
      <c r="V4213">
        <v>79</v>
      </c>
      <c r="W4213" t="str">
        <f t="shared" si="395"/>
        <v>Normal</v>
      </c>
      <c r="X4213">
        <v>1</v>
      </c>
    </row>
    <row r="4214" spans="1:24" ht="14.5" thickBot="1" x14ac:dyDescent="0.35">
      <c r="A4214">
        <v>1</v>
      </c>
      <c r="B4214" t="str">
        <f t="shared" si="393"/>
        <v>Male</v>
      </c>
      <c r="C4214" s="8">
        <v>67</v>
      </c>
      <c r="D4214" t="str">
        <f t="shared" si="394"/>
        <v>Senior</v>
      </c>
      <c r="E4214">
        <v>1</v>
      </c>
      <c r="F4214" t="str">
        <f>HLOOKUP(E4214, LookUP_Table!$A$6:$D$7, 2, FALSE)</f>
        <v>Primary</v>
      </c>
      <c r="G4214" t="str">
        <f>IFERROR(VLOOKUP(E4214, LookUP_Table!$A$1:$B$4, 2, FALSE), "")</f>
        <v>Primary</v>
      </c>
      <c r="H4214">
        <v>1</v>
      </c>
      <c r="I4214">
        <v>25</v>
      </c>
      <c r="J4214" t="str">
        <f t="shared" si="390"/>
        <v>Smoker</v>
      </c>
      <c r="K4214">
        <v>0</v>
      </c>
      <c r="L4214">
        <v>0</v>
      </c>
      <c r="M4214">
        <v>1</v>
      </c>
      <c r="N4214">
        <v>0</v>
      </c>
      <c r="O4214">
        <v>221</v>
      </c>
      <c r="P4214" t="str">
        <f t="shared" si="391"/>
        <v>Normal</v>
      </c>
      <c r="Q4214">
        <v>144</v>
      </c>
      <c r="R4214">
        <v>84</v>
      </c>
      <c r="S4214">
        <v>24.92</v>
      </c>
      <c r="T4214" t="str">
        <f t="shared" si="392"/>
        <v>Normal</v>
      </c>
      <c r="U4214">
        <v>72</v>
      </c>
      <c r="V4214">
        <v>73</v>
      </c>
      <c r="W4214" t="str">
        <f t="shared" si="395"/>
        <v>Normal</v>
      </c>
      <c r="X4214">
        <v>0</v>
      </c>
    </row>
    <row r="4215" spans="1:24" ht="14.5" thickBot="1" x14ac:dyDescent="0.35">
      <c r="A4215">
        <v>1</v>
      </c>
      <c r="B4215" t="str">
        <f t="shared" si="393"/>
        <v>Male</v>
      </c>
      <c r="C4215" s="8">
        <v>68</v>
      </c>
      <c r="D4215" t="str">
        <f t="shared" si="394"/>
        <v>Senior</v>
      </c>
      <c r="E4215">
        <v>1</v>
      </c>
      <c r="F4215" t="str">
        <f>HLOOKUP(E4215, LookUP_Table!$A$6:$D$7, 2, FALSE)</f>
        <v>Primary</v>
      </c>
      <c r="G4215" t="str">
        <f>IFERROR(VLOOKUP(E4215, LookUP_Table!$A$1:$B$4, 2, FALSE), "")</f>
        <v>Primary</v>
      </c>
      <c r="H4215">
        <v>0</v>
      </c>
      <c r="I4215">
        <v>0</v>
      </c>
      <c r="J4215" t="str">
        <f t="shared" si="390"/>
        <v>Non-Smoker</v>
      </c>
      <c r="K4215">
        <v>0</v>
      </c>
      <c r="L4215">
        <v>0</v>
      </c>
      <c r="M4215">
        <v>1</v>
      </c>
      <c r="N4215">
        <v>1</v>
      </c>
      <c r="O4215">
        <v>164</v>
      </c>
      <c r="P4215" t="str">
        <f t="shared" si="391"/>
        <v>Normal</v>
      </c>
      <c r="Q4215">
        <v>142</v>
      </c>
      <c r="R4215">
        <v>85</v>
      </c>
      <c r="S4215">
        <v>30.28</v>
      </c>
      <c r="T4215" t="str">
        <f t="shared" si="392"/>
        <v>Obese</v>
      </c>
      <c r="U4215">
        <v>70</v>
      </c>
      <c r="V4215">
        <v>120</v>
      </c>
      <c r="W4215" t="str">
        <f t="shared" si="395"/>
        <v>Prediabetes</v>
      </c>
      <c r="X4215">
        <v>1</v>
      </c>
    </row>
    <row r="4216" spans="1:24" ht="14.5" thickBot="1" x14ac:dyDescent="0.35">
      <c r="A4216">
        <v>1</v>
      </c>
      <c r="B4216" t="str">
        <f t="shared" si="393"/>
        <v>Male</v>
      </c>
      <c r="C4216" s="8">
        <v>68</v>
      </c>
      <c r="D4216" t="str">
        <f t="shared" si="394"/>
        <v>Senior</v>
      </c>
      <c r="E4216">
        <v>2</v>
      </c>
      <c r="F4216" t="str">
        <f>HLOOKUP(E4216, LookUP_Table!$A$6:$D$7, 2, FALSE)</f>
        <v>Secondary</v>
      </c>
      <c r="G4216" t="str">
        <f>IFERROR(VLOOKUP(E4216, LookUP_Table!$A$1:$B$4, 2, FALSE), "")</f>
        <v>Secondary</v>
      </c>
      <c r="H4216">
        <v>1</v>
      </c>
      <c r="I4216">
        <v>10</v>
      </c>
      <c r="J4216" t="str">
        <f t="shared" si="390"/>
        <v>Smoker</v>
      </c>
      <c r="K4216">
        <v>0</v>
      </c>
      <c r="L4216">
        <v>0</v>
      </c>
      <c r="M4216">
        <v>0</v>
      </c>
      <c r="N4216">
        <v>0</v>
      </c>
      <c r="O4216">
        <v>250</v>
      </c>
      <c r="P4216" t="str">
        <f t="shared" si="391"/>
        <v>High</v>
      </c>
      <c r="Q4216">
        <v>109</v>
      </c>
      <c r="R4216">
        <v>73</v>
      </c>
      <c r="S4216">
        <v>24.68</v>
      </c>
      <c r="T4216" t="str">
        <f t="shared" si="392"/>
        <v>Normal</v>
      </c>
      <c r="U4216">
        <v>72</v>
      </c>
      <c r="V4216">
        <v>66</v>
      </c>
      <c r="W4216" t="str">
        <f t="shared" si="395"/>
        <v>Normal</v>
      </c>
      <c r="X4216">
        <v>0</v>
      </c>
    </row>
    <row r="4217" spans="1:24" ht="14.5" thickBot="1" x14ac:dyDescent="0.35">
      <c r="A4217">
        <v>1</v>
      </c>
      <c r="B4217" t="str">
        <f t="shared" si="393"/>
        <v>Male</v>
      </c>
      <c r="C4217" s="8">
        <v>68</v>
      </c>
      <c r="D4217" t="str">
        <f t="shared" si="394"/>
        <v>Senior</v>
      </c>
      <c r="E4217">
        <v>1</v>
      </c>
      <c r="F4217" t="str">
        <f>HLOOKUP(E4217, LookUP_Table!$A$6:$D$7, 2, FALSE)</f>
        <v>Primary</v>
      </c>
      <c r="G4217" t="str">
        <f>IFERROR(VLOOKUP(E4217, LookUP_Table!$A$1:$B$4, 2, FALSE), "")</f>
        <v>Primary</v>
      </c>
      <c r="H4217">
        <v>1</v>
      </c>
      <c r="I4217">
        <v>10</v>
      </c>
      <c r="J4217" t="str">
        <f t="shared" si="390"/>
        <v>Smoker</v>
      </c>
      <c r="K4217">
        <v>0</v>
      </c>
      <c r="L4217">
        <v>0</v>
      </c>
      <c r="M4217">
        <v>0</v>
      </c>
      <c r="N4217">
        <v>0</v>
      </c>
      <c r="O4217">
        <v>261</v>
      </c>
      <c r="P4217" t="str">
        <f t="shared" si="391"/>
        <v>High</v>
      </c>
      <c r="Q4217">
        <v>122</v>
      </c>
      <c r="R4217">
        <v>70</v>
      </c>
      <c r="S4217">
        <v>26.37</v>
      </c>
      <c r="T4217" t="str">
        <f t="shared" si="392"/>
        <v>Overweight</v>
      </c>
      <c r="U4217">
        <v>96</v>
      </c>
      <c r="V4217">
        <v>60</v>
      </c>
      <c r="W4217" t="str">
        <f t="shared" si="395"/>
        <v>Normal</v>
      </c>
      <c r="X4217">
        <v>0</v>
      </c>
    </row>
    <row r="4218" spans="1:24" ht="14.5" thickBot="1" x14ac:dyDescent="0.35">
      <c r="A4218">
        <v>1</v>
      </c>
      <c r="B4218" t="str">
        <f t="shared" si="393"/>
        <v>Male</v>
      </c>
      <c r="C4218" s="8">
        <v>68</v>
      </c>
      <c r="D4218" t="str">
        <f t="shared" si="394"/>
        <v>Senior</v>
      </c>
      <c r="E4218">
        <v>1</v>
      </c>
      <c r="F4218" t="str">
        <f>HLOOKUP(E4218, LookUP_Table!$A$6:$D$7, 2, FALSE)</f>
        <v>Primary</v>
      </c>
      <c r="G4218" t="str">
        <f>IFERROR(VLOOKUP(E4218, LookUP_Table!$A$1:$B$4, 2, FALSE), "")</f>
        <v>Primary</v>
      </c>
      <c r="H4218">
        <v>0</v>
      </c>
      <c r="I4218">
        <v>0</v>
      </c>
      <c r="J4218" t="str">
        <f t="shared" si="390"/>
        <v>Non-Smoker</v>
      </c>
      <c r="K4218">
        <v>0</v>
      </c>
      <c r="L4218">
        <v>0</v>
      </c>
      <c r="M4218">
        <v>0</v>
      </c>
      <c r="N4218">
        <v>0</v>
      </c>
      <c r="O4218">
        <v>239</v>
      </c>
      <c r="P4218" t="str">
        <f t="shared" si="391"/>
        <v>Normal</v>
      </c>
      <c r="Q4218">
        <v>130</v>
      </c>
      <c r="R4218">
        <v>80</v>
      </c>
      <c r="S4218">
        <v>23.25</v>
      </c>
      <c r="T4218" t="str">
        <f t="shared" si="392"/>
        <v>Normal</v>
      </c>
      <c r="U4218">
        <v>64</v>
      </c>
      <c r="V4218">
        <v>95</v>
      </c>
      <c r="W4218" t="str">
        <f t="shared" si="395"/>
        <v>Normal</v>
      </c>
      <c r="X4218">
        <v>0</v>
      </c>
    </row>
    <row r="4219" spans="1:24" ht="14.5" thickBot="1" x14ac:dyDescent="0.35">
      <c r="A4219">
        <v>1</v>
      </c>
      <c r="B4219" t="str">
        <f t="shared" si="393"/>
        <v>Male</v>
      </c>
      <c r="C4219" s="8">
        <v>68</v>
      </c>
      <c r="D4219" t="str">
        <f t="shared" si="394"/>
        <v>Senior</v>
      </c>
      <c r="E4219">
        <v>1</v>
      </c>
      <c r="F4219" t="str">
        <f>HLOOKUP(E4219, LookUP_Table!$A$6:$D$7, 2, FALSE)</f>
        <v>Primary</v>
      </c>
      <c r="G4219" t="str">
        <f>IFERROR(VLOOKUP(E4219, LookUP_Table!$A$1:$B$4, 2, FALSE), "")</f>
        <v>Primary</v>
      </c>
      <c r="H4219">
        <v>0</v>
      </c>
      <c r="I4219">
        <v>0</v>
      </c>
      <c r="J4219" t="str">
        <f t="shared" si="390"/>
        <v>Non-Smoker</v>
      </c>
      <c r="K4219">
        <v>0</v>
      </c>
      <c r="L4219">
        <v>0</v>
      </c>
      <c r="M4219">
        <v>0</v>
      </c>
      <c r="N4219">
        <v>0</v>
      </c>
      <c r="O4219">
        <v>230</v>
      </c>
      <c r="P4219" t="str">
        <f t="shared" si="391"/>
        <v>Normal</v>
      </c>
      <c r="Q4219">
        <v>124</v>
      </c>
      <c r="R4219">
        <v>70</v>
      </c>
      <c r="S4219">
        <v>22.85</v>
      </c>
      <c r="T4219" t="str">
        <f t="shared" si="392"/>
        <v>Normal</v>
      </c>
      <c r="U4219">
        <v>70</v>
      </c>
      <c r="V4219">
        <v>60</v>
      </c>
      <c r="W4219" t="str">
        <f t="shared" si="395"/>
        <v>Normal</v>
      </c>
      <c r="X4219">
        <v>0</v>
      </c>
    </row>
    <row r="4220" spans="1:24" ht="14.5" thickBot="1" x14ac:dyDescent="0.35">
      <c r="A4220">
        <v>1</v>
      </c>
      <c r="B4220" t="str">
        <f t="shared" si="393"/>
        <v>Male</v>
      </c>
      <c r="C4220" s="8">
        <v>68</v>
      </c>
      <c r="D4220" t="str">
        <f t="shared" si="394"/>
        <v>Senior</v>
      </c>
      <c r="E4220">
        <v>1</v>
      </c>
      <c r="F4220" t="str">
        <f>HLOOKUP(E4220, LookUP_Table!$A$6:$D$7, 2, FALSE)</f>
        <v>Primary</v>
      </c>
      <c r="G4220" t="str">
        <f>IFERROR(VLOOKUP(E4220, LookUP_Table!$A$1:$B$4, 2, FALSE), "")</f>
        <v>Primary</v>
      </c>
      <c r="H4220">
        <v>0</v>
      </c>
      <c r="I4220">
        <v>0</v>
      </c>
      <c r="J4220" t="str">
        <f t="shared" si="390"/>
        <v>Non-Smoker</v>
      </c>
      <c r="K4220">
        <v>0</v>
      </c>
      <c r="L4220">
        <v>0</v>
      </c>
      <c r="M4220">
        <v>1</v>
      </c>
      <c r="N4220">
        <v>1</v>
      </c>
      <c r="O4220">
        <v>184</v>
      </c>
      <c r="P4220" t="str">
        <f t="shared" si="391"/>
        <v>Normal</v>
      </c>
      <c r="Q4220">
        <v>157</v>
      </c>
      <c r="R4220">
        <v>97</v>
      </c>
      <c r="S4220">
        <v>33.159999999999997</v>
      </c>
      <c r="T4220" t="str">
        <f t="shared" si="392"/>
        <v>Obese</v>
      </c>
      <c r="U4220">
        <v>110</v>
      </c>
      <c r="V4220">
        <v>148</v>
      </c>
      <c r="W4220" t="str">
        <f t="shared" si="395"/>
        <v>Diabetes</v>
      </c>
      <c r="X4220">
        <v>1</v>
      </c>
    </row>
    <row r="4221" spans="1:24" ht="14.5" thickBot="1" x14ac:dyDescent="0.35">
      <c r="A4221">
        <v>0</v>
      </c>
      <c r="B4221" t="str">
        <f t="shared" si="393"/>
        <v>Female</v>
      </c>
      <c r="C4221" s="8">
        <v>68</v>
      </c>
      <c r="D4221" t="str">
        <f t="shared" si="394"/>
        <v>Senior</v>
      </c>
      <c r="E4221">
        <v>3</v>
      </c>
      <c r="F4221" t="str">
        <f>HLOOKUP(E4221, LookUP_Table!$A$6:$D$7, 2, FALSE)</f>
        <v>Graduate</v>
      </c>
      <c r="G4221" t="str">
        <f>IFERROR(VLOOKUP(E4221, LookUP_Table!$A$1:$B$4, 2, FALSE), "")</f>
        <v>Graduate</v>
      </c>
      <c r="H4221">
        <v>1</v>
      </c>
      <c r="I4221">
        <v>20</v>
      </c>
      <c r="J4221" t="str">
        <f t="shared" si="390"/>
        <v>Smoker</v>
      </c>
      <c r="K4221">
        <v>0</v>
      </c>
      <c r="L4221">
        <v>0</v>
      </c>
      <c r="M4221">
        <v>1</v>
      </c>
      <c r="N4221">
        <v>0</v>
      </c>
      <c r="O4221">
        <v>258</v>
      </c>
      <c r="P4221" t="str">
        <f t="shared" si="391"/>
        <v>High</v>
      </c>
      <c r="Q4221">
        <v>158</v>
      </c>
      <c r="R4221">
        <v>94</v>
      </c>
      <c r="S4221">
        <v>31.64</v>
      </c>
      <c r="T4221" t="str">
        <f t="shared" si="392"/>
        <v>Obese</v>
      </c>
      <c r="U4221">
        <v>80</v>
      </c>
      <c r="V4221">
        <v>84</v>
      </c>
      <c r="W4221" t="str">
        <f t="shared" si="395"/>
        <v>Normal</v>
      </c>
      <c r="X4221">
        <v>1</v>
      </c>
    </row>
    <row r="4222" spans="1:24" ht="14.5" thickBot="1" x14ac:dyDescent="0.35">
      <c r="A4222">
        <v>0</v>
      </c>
      <c r="B4222" t="str">
        <f t="shared" si="393"/>
        <v>Female</v>
      </c>
      <c r="C4222" s="8">
        <v>68</v>
      </c>
      <c r="D4222" t="str">
        <f t="shared" si="394"/>
        <v>Senior</v>
      </c>
      <c r="E4222">
        <v>2</v>
      </c>
      <c r="F4222" t="str">
        <f>HLOOKUP(E4222, LookUP_Table!$A$6:$D$7, 2, FALSE)</f>
        <v>Secondary</v>
      </c>
      <c r="G4222" t="str">
        <f>IFERROR(VLOOKUP(E4222, LookUP_Table!$A$1:$B$4, 2, FALSE), "")</f>
        <v>Secondary</v>
      </c>
      <c r="H4222">
        <v>0</v>
      </c>
      <c r="I4222">
        <v>0</v>
      </c>
      <c r="J4222" t="str">
        <f t="shared" si="390"/>
        <v>Non-Smoker</v>
      </c>
      <c r="K4222">
        <v>0</v>
      </c>
      <c r="L4222">
        <v>0</v>
      </c>
      <c r="M4222">
        <v>0</v>
      </c>
      <c r="N4222">
        <v>0</v>
      </c>
      <c r="O4222">
        <v>242</v>
      </c>
      <c r="P4222" t="str">
        <f t="shared" si="391"/>
        <v>High</v>
      </c>
      <c r="Q4222">
        <v>146.5</v>
      </c>
      <c r="R4222">
        <v>71</v>
      </c>
      <c r="S4222">
        <v>25.21</v>
      </c>
      <c r="T4222" t="str">
        <f t="shared" si="392"/>
        <v>Overweight</v>
      </c>
      <c r="U4222">
        <v>100</v>
      </c>
      <c r="V4222">
        <v>96</v>
      </c>
      <c r="W4222" t="str">
        <f t="shared" si="395"/>
        <v>Normal</v>
      </c>
      <c r="X4222">
        <v>0</v>
      </c>
    </row>
    <row r="4223" spans="1:24" ht="14.5" thickBot="1" x14ac:dyDescent="0.35">
      <c r="A4223">
        <v>0</v>
      </c>
      <c r="B4223" t="str">
        <f t="shared" si="393"/>
        <v>Female</v>
      </c>
      <c r="C4223" s="8">
        <v>68</v>
      </c>
      <c r="D4223" t="str">
        <f t="shared" si="394"/>
        <v>Senior</v>
      </c>
      <c r="E4223">
        <v>2</v>
      </c>
      <c r="F4223" t="str">
        <f>HLOOKUP(E4223, LookUP_Table!$A$6:$D$7, 2, FALSE)</f>
        <v>Secondary</v>
      </c>
      <c r="G4223" t="str">
        <f>IFERROR(VLOOKUP(E4223, LookUP_Table!$A$1:$B$4, 2, FALSE), "")</f>
        <v>Secondary</v>
      </c>
      <c r="H4223">
        <v>1</v>
      </c>
      <c r="I4223">
        <v>20</v>
      </c>
      <c r="J4223" t="str">
        <f t="shared" si="390"/>
        <v>Smoker</v>
      </c>
      <c r="K4223">
        <v>0</v>
      </c>
      <c r="L4223">
        <v>0</v>
      </c>
      <c r="M4223">
        <v>0</v>
      </c>
      <c r="N4223">
        <v>0</v>
      </c>
      <c r="O4223">
        <v>322</v>
      </c>
      <c r="P4223" t="str">
        <f t="shared" si="391"/>
        <v>High</v>
      </c>
      <c r="Q4223">
        <v>148</v>
      </c>
      <c r="R4223">
        <v>95</v>
      </c>
      <c r="S4223">
        <v>20.98</v>
      </c>
      <c r="T4223" t="str">
        <f t="shared" si="392"/>
        <v>Normal</v>
      </c>
      <c r="U4223">
        <v>95</v>
      </c>
      <c r="V4223">
        <v>72</v>
      </c>
      <c r="W4223" t="str">
        <f t="shared" si="395"/>
        <v>Normal</v>
      </c>
      <c r="X4223">
        <v>0</v>
      </c>
    </row>
    <row r="4224" spans="1:24" ht="14.5" thickBot="1" x14ac:dyDescent="0.35">
      <c r="A4224">
        <v>0</v>
      </c>
      <c r="B4224" t="str">
        <f t="shared" si="393"/>
        <v>Female</v>
      </c>
      <c r="C4224" s="8">
        <v>68</v>
      </c>
      <c r="D4224" t="str">
        <f t="shared" si="394"/>
        <v>Senior</v>
      </c>
      <c r="E4224">
        <v>1</v>
      </c>
      <c r="F4224" t="str">
        <f>HLOOKUP(E4224, LookUP_Table!$A$6:$D$7, 2, FALSE)</f>
        <v>Primary</v>
      </c>
      <c r="G4224" t="str">
        <f>IFERROR(VLOOKUP(E4224, LookUP_Table!$A$1:$B$4, 2, FALSE), "")</f>
        <v>Primary</v>
      </c>
      <c r="H4224">
        <v>0</v>
      </c>
      <c r="I4224">
        <v>0</v>
      </c>
      <c r="J4224" t="str">
        <f t="shared" si="390"/>
        <v>Non-Smoker</v>
      </c>
      <c r="K4224">
        <v>0</v>
      </c>
      <c r="L4224">
        <v>0</v>
      </c>
      <c r="M4224">
        <v>1</v>
      </c>
      <c r="N4224">
        <v>0</v>
      </c>
      <c r="O4224">
        <v>258</v>
      </c>
      <c r="P4224" t="str">
        <f t="shared" si="391"/>
        <v>High</v>
      </c>
      <c r="Q4224">
        <v>139</v>
      </c>
      <c r="R4224">
        <v>74</v>
      </c>
      <c r="S4224">
        <v>26.58</v>
      </c>
      <c r="T4224" t="str">
        <f t="shared" si="392"/>
        <v>Overweight</v>
      </c>
      <c r="U4224">
        <v>85</v>
      </c>
      <c r="V4224">
        <v>75</v>
      </c>
      <c r="W4224" t="str">
        <f t="shared" si="395"/>
        <v>Normal</v>
      </c>
      <c r="X4224">
        <v>1</v>
      </c>
    </row>
    <row r="4225" spans="1:24" ht="14.5" thickBot="1" x14ac:dyDescent="0.35">
      <c r="A4225">
        <v>1</v>
      </c>
      <c r="B4225" t="str">
        <f t="shared" si="393"/>
        <v>Male</v>
      </c>
      <c r="C4225" s="8">
        <v>68</v>
      </c>
      <c r="D4225" t="str">
        <f t="shared" si="394"/>
        <v>Senior</v>
      </c>
      <c r="E4225">
        <v>1</v>
      </c>
      <c r="F4225" t="str">
        <f>HLOOKUP(E4225, LookUP_Table!$A$6:$D$7, 2, FALSE)</f>
        <v>Primary</v>
      </c>
      <c r="G4225" t="str">
        <f>IFERROR(VLOOKUP(E4225, LookUP_Table!$A$1:$B$4, 2, FALSE), "")</f>
        <v>Primary</v>
      </c>
      <c r="H4225">
        <v>1</v>
      </c>
      <c r="I4225">
        <v>15</v>
      </c>
      <c r="J4225" t="str">
        <f t="shared" si="390"/>
        <v>Smoker</v>
      </c>
      <c r="K4225">
        <v>0</v>
      </c>
      <c r="L4225">
        <v>0</v>
      </c>
      <c r="M4225">
        <v>0</v>
      </c>
      <c r="N4225">
        <v>0</v>
      </c>
      <c r="O4225">
        <v>193</v>
      </c>
      <c r="P4225" t="str">
        <f t="shared" si="391"/>
        <v>Normal</v>
      </c>
      <c r="Q4225">
        <v>145</v>
      </c>
      <c r="R4225">
        <v>67</v>
      </c>
      <c r="S4225">
        <v>23.13</v>
      </c>
      <c r="T4225" t="str">
        <f t="shared" si="392"/>
        <v>Normal</v>
      </c>
      <c r="U4225">
        <v>75</v>
      </c>
      <c r="V4225">
        <v>72</v>
      </c>
      <c r="W4225" t="str">
        <f t="shared" si="395"/>
        <v>Normal</v>
      </c>
      <c r="X4225">
        <v>1</v>
      </c>
    </row>
    <row r="4226" spans="1:24" ht="14.5" thickBot="1" x14ac:dyDescent="0.35">
      <c r="A4226">
        <v>0</v>
      </c>
      <c r="B4226" t="str">
        <f t="shared" si="393"/>
        <v>Female</v>
      </c>
      <c r="C4226" s="8">
        <v>68</v>
      </c>
      <c r="D4226" t="str">
        <f t="shared" si="394"/>
        <v>Senior</v>
      </c>
      <c r="E4226">
        <v>2</v>
      </c>
      <c r="F4226" t="str">
        <f>HLOOKUP(E4226, LookUP_Table!$A$6:$D$7, 2, FALSE)</f>
        <v>Secondary</v>
      </c>
      <c r="G4226" t="str">
        <f>IFERROR(VLOOKUP(E4226, LookUP_Table!$A$1:$B$4, 2, FALSE), "")</f>
        <v>Secondary</v>
      </c>
      <c r="H4226">
        <v>0</v>
      </c>
      <c r="I4226">
        <v>0</v>
      </c>
      <c r="J4226" t="str">
        <f t="shared" ref="J4226:J4241" si="396">IF(I4226&gt;0,"Smoker","Non-Smoker")</f>
        <v>Non-Smoker</v>
      </c>
      <c r="K4226">
        <v>0</v>
      </c>
      <c r="L4226">
        <v>0</v>
      </c>
      <c r="M4226">
        <v>0</v>
      </c>
      <c r="N4226">
        <v>0</v>
      </c>
      <c r="O4226">
        <v>257</v>
      </c>
      <c r="P4226" t="str">
        <f t="shared" ref="P4226:P4241" si="397">IF(O4226&gt;240,"High","Normal")</f>
        <v>High</v>
      </c>
      <c r="Q4226">
        <v>144</v>
      </c>
      <c r="R4226">
        <v>95</v>
      </c>
      <c r="S4226">
        <v>29.25</v>
      </c>
      <c r="T4226" t="str">
        <f t="shared" ref="T4226:T4241" si="398">IF(S4226&lt;18.5,"Underweight",
IF(S4226&lt;25,"Normal",
IF(S4226&lt;30,"Overweight","Obese")))</f>
        <v>Overweight</v>
      </c>
      <c r="U4226">
        <v>80</v>
      </c>
      <c r="V4226">
        <v>77</v>
      </c>
      <c r="W4226" t="str">
        <f t="shared" si="395"/>
        <v>Normal</v>
      </c>
      <c r="X4226">
        <v>0</v>
      </c>
    </row>
    <row r="4227" spans="1:24" ht="14.5" thickBot="1" x14ac:dyDescent="0.35">
      <c r="A4227">
        <v>0</v>
      </c>
      <c r="B4227" t="str">
        <f t="shared" ref="B4227:B4241" si="399">IF(A4227=0,"Female","Male")</f>
        <v>Female</v>
      </c>
      <c r="C4227" s="8">
        <v>68</v>
      </c>
      <c r="D4227" t="str">
        <f t="shared" ref="D4227:D4241" si="400">IF(C4227&lt;40,"Young",
IF(C4227&lt;55,"Middle Age","Senior"))</f>
        <v>Senior</v>
      </c>
      <c r="E4227">
        <v>3</v>
      </c>
      <c r="F4227" t="str">
        <f>HLOOKUP(E4227, LookUP_Table!$A$6:$D$7, 2, FALSE)</f>
        <v>Graduate</v>
      </c>
      <c r="G4227" t="str">
        <f>IFERROR(VLOOKUP(E4227, LookUP_Table!$A$1:$B$4, 2, FALSE), "")</f>
        <v>Graduate</v>
      </c>
      <c r="H4227">
        <v>0</v>
      </c>
      <c r="I4227">
        <v>0</v>
      </c>
      <c r="J4227" t="str">
        <f t="shared" si="396"/>
        <v>Non-Smoker</v>
      </c>
      <c r="K4227">
        <v>0</v>
      </c>
      <c r="L4227">
        <v>0</v>
      </c>
      <c r="M4227">
        <v>1</v>
      </c>
      <c r="N4227">
        <v>0</v>
      </c>
      <c r="O4227">
        <v>241</v>
      </c>
      <c r="P4227" t="str">
        <f t="shared" si="397"/>
        <v>High</v>
      </c>
      <c r="Q4227">
        <v>154</v>
      </c>
      <c r="R4227">
        <v>96</v>
      </c>
      <c r="S4227">
        <v>30.12</v>
      </c>
      <c r="T4227" t="str">
        <f t="shared" si="398"/>
        <v>Obese</v>
      </c>
      <c r="U4227">
        <v>103</v>
      </c>
      <c r="V4227">
        <v>70</v>
      </c>
      <c r="W4227" t="str">
        <f t="shared" ref="W4227:W4241" si="401">IF(V4227 &lt; 100, "Normal", IF(V4227 &lt;= 125, "Prediabetes", "Diabetes"))</f>
        <v>Normal</v>
      </c>
      <c r="X4227">
        <v>0</v>
      </c>
    </row>
    <row r="4228" spans="1:24" ht="14.5" thickBot="1" x14ac:dyDescent="0.35">
      <c r="A4228">
        <v>1</v>
      </c>
      <c r="B4228" t="str">
        <f t="shared" si="399"/>
        <v>Male</v>
      </c>
      <c r="C4228" s="8">
        <v>68</v>
      </c>
      <c r="D4228" t="str">
        <f t="shared" si="400"/>
        <v>Senior</v>
      </c>
      <c r="E4228">
        <v>1</v>
      </c>
      <c r="F4228" t="str">
        <f>HLOOKUP(E4228, LookUP_Table!$A$6:$D$7, 2, FALSE)</f>
        <v>Primary</v>
      </c>
      <c r="G4228" t="str">
        <f>IFERROR(VLOOKUP(E4228, LookUP_Table!$A$1:$B$4, 2, FALSE), "")</f>
        <v>Primary</v>
      </c>
      <c r="H4228">
        <v>1</v>
      </c>
      <c r="I4228">
        <v>15</v>
      </c>
      <c r="J4228" t="str">
        <f t="shared" si="396"/>
        <v>Smoker</v>
      </c>
      <c r="K4228">
        <v>0</v>
      </c>
      <c r="L4228">
        <v>0</v>
      </c>
      <c r="M4228">
        <v>0</v>
      </c>
      <c r="N4228">
        <v>0</v>
      </c>
      <c r="O4228">
        <v>157</v>
      </c>
      <c r="P4228" t="str">
        <f t="shared" si="397"/>
        <v>Normal</v>
      </c>
      <c r="Q4228">
        <v>106</v>
      </c>
      <c r="R4228">
        <v>48</v>
      </c>
      <c r="S4228">
        <v>26.73</v>
      </c>
      <c r="T4228" t="str">
        <f t="shared" si="398"/>
        <v>Overweight</v>
      </c>
      <c r="U4228">
        <v>65</v>
      </c>
      <c r="V4228">
        <v>65</v>
      </c>
      <c r="W4228" t="str">
        <f t="shared" si="401"/>
        <v>Normal</v>
      </c>
      <c r="X4228">
        <v>1</v>
      </c>
    </row>
    <row r="4229" spans="1:24" ht="14.5" thickBot="1" x14ac:dyDescent="0.35">
      <c r="A4229">
        <v>1</v>
      </c>
      <c r="B4229" t="str">
        <f t="shared" si="399"/>
        <v>Male</v>
      </c>
      <c r="C4229" s="8">
        <v>68</v>
      </c>
      <c r="D4229" t="str">
        <f t="shared" si="400"/>
        <v>Senior</v>
      </c>
      <c r="E4229">
        <v>1</v>
      </c>
      <c r="F4229" t="str">
        <f>HLOOKUP(E4229, LookUP_Table!$A$6:$D$7, 2, FALSE)</f>
        <v>Primary</v>
      </c>
      <c r="G4229" t="str">
        <f>IFERROR(VLOOKUP(E4229, LookUP_Table!$A$1:$B$4, 2, FALSE), "")</f>
        <v>Primary</v>
      </c>
      <c r="H4229">
        <v>0</v>
      </c>
      <c r="I4229">
        <v>0</v>
      </c>
      <c r="J4229" t="str">
        <f t="shared" si="396"/>
        <v>Non-Smoker</v>
      </c>
      <c r="K4229">
        <v>0</v>
      </c>
      <c r="L4229">
        <v>0</v>
      </c>
      <c r="M4229">
        <v>1</v>
      </c>
      <c r="N4229">
        <v>0</v>
      </c>
      <c r="O4229">
        <v>276</v>
      </c>
      <c r="P4229" t="str">
        <f t="shared" si="397"/>
        <v>High</v>
      </c>
      <c r="Q4229">
        <v>127</v>
      </c>
      <c r="R4229">
        <v>66.5</v>
      </c>
      <c r="S4229">
        <v>25.78</v>
      </c>
      <c r="T4229" t="str">
        <f t="shared" si="398"/>
        <v>Overweight</v>
      </c>
      <c r="U4229">
        <v>75</v>
      </c>
      <c r="V4229">
        <v>104</v>
      </c>
      <c r="W4229" t="str">
        <f t="shared" si="401"/>
        <v>Prediabetes</v>
      </c>
      <c r="X4229">
        <v>1</v>
      </c>
    </row>
    <row r="4230" spans="1:24" ht="14.5" thickBot="1" x14ac:dyDescent="0.35">
      <c r="A4230">
        <v>1</v>
      </c>
      <c r="B4230" t="str">
        <f t="shared" si="399"/>
        <v>Male</v>
      </c>
      <c r="C4230" s="8">
        <v>68</v>
      </c>
      <c r="D4230" t="str">
        <f t="shared" si="400"/>
        <v>Senior</v>
      </c>
      <c r="E4230">
        <v>1</v>
      </c>
      <c r="F4230" t="str">
        <f>HLOOKUP(E4230, LookUP_Table!$A$6:$D$7, 2, FALSE)</f>
        <v>Primary</v>
      </c>
      <c r="G4230" t="str">
        <f>IFERROR(VLOOKUP(E4230, LookUP_Table!$A$1:$B$4, 2, FALSE), "")</f>
        <v>Primary</v>
      </c>
      <c r="H4230">
        <v>0</v>
      </c>
      <c r="I4230">
        <v>0</v>
      </c>
      <c r="J4230" t="str">
        <f t="shared" si="396"/>
        <v>Non-Smoker</v>
      </c>
      <c r="K4230">
        <v>0</v>
      </c>
      <c r="L4230">
        <v>0</v>
      </c>
      <c r="M4230">
        <v>0</v>
      </c>
      <c r="N4230">
        <v>0</v>
      </c>
      <c r="O4230">
        <v>237</v>
      </c>
      <c r="P4230" t="str">
        <f t="shared" si="397"/>
        <v>Normal</v>
      </c>
      <c r="Q4230">
        <v>130</v>
      </c>
      <c r="R4230">
        <v>62</v>
      </c>
      <c r="S4230">
        <v>33.520000000000003</v>
      </c>
      <c r="T4230" t="str">
        <f t="shared" si="398"/>
        <v>Obese</v>
      </c>
      <c r="U4230">
        <v>60</v>
      </c>
      <c r="V4230">
        <v>82</v>
      </c>
      <c r="W4230" t="str">
        <f t="shared" si="401"/>
        <v>Normal</v>
      </c>
      <c r="X4230">
        <v>0</v>
      </c>
    </row>
    <row r="4231" spans="1:24" ht="14.5" thickBot="1" x14ac:dyDescent="0.35">
      <c r="A4231">
        <v>1</v>
      </c>
      <c r="B4231" t="str">
        <f t="shared" si="399"/>
        <v>Male</v>
      </c>
      <c r="C4231" s="8">
        <v>68</v>
      </c>
      <c r="D4231" t="str">
        <f t="shared" si="400"/>
        <v>Senior</v>
      </c>
      <c r="E4231">
        <v>1</v>
      </c>
      <c r="F4231" t="str">
        <f>HLOOKUP(E4231, LookUP_Table!$A$6:$D$7, 2, FALSE)</f>
        <v>Primary</v>
      </c>
      <c r="G4231" t="str">
        <f>IFERROR(VLOOKUP(E4231, LookUP_Table!$A$1:$B$4, 2, FALSE), "")</f>
        <v>Primary</v>
      </c>
      <c r="H4231">
        <v>0</v>
      </c>
      <c r="I4231">
        <v>0</v>
      </c>
      <c r="J4231" t="str">
        <f t="shared" si="396"/>
        <v>Non-Smoker</v>
      </c>
      <c r="K4231">
        <v>0</v>
      </c>
      <c r="L4231">
        <v>0</v>
      </c>
      <c r="M4231">
        <v>0</v>
      </c>
      <c r="N4231">
        <v>0</v>
      </c>
      <c r="O4231">
        <v>258</v>
      </c>
      <c r="P4231" t="str">
        <f t="shared" si="397"/>
        <v>High</v>
      </c>
      <c r="Q4231">
        <v>128</v>
      </c>
      <c r="R4231">
        <v>79</v>
      </c>
      <c r="S4231">
        <v>29.54</v>
      </c>
      <c r="T4231" t="str">
        <f t="shared" si="398"/>
        <v>Overweight</v>
      </c>
      <c r="U4231">
        <v>85</v>
      </c>
      <c r="V4231">
        <v>86</v>
      </c>
      <c r="W4231" t="str">
        <f t="shared" si="401"/>
        <v>Normal</v>
      </c>
      <c r="X4231">
        <v>0</v>
      </c>
    </row>
    <row r="4232" spans="1:24" ht="14.5" thickBot="1" x14ac:dyDescent="0.35">
      <c r="A4232">
        <v>1</v>
      </c>
      <c r="B4232" t="str">
        <f t="shared" si="399"/>
        <v>Male</v>
      </c>
      <c r="C4232" s="8">
        <v>68</v>
      </c>
      <c r="D4232" t="str">
        <f t="shared" si="400"/>
        <v>Senior</v>
      </c>
      <c r="E4232">
        <v>1</v>
      </c>
      <c r="F4232" t="str">
        <f>HLOOKUP(E4232, LookUP_Table!$A$6:$D$7, 2, FALSE)</f>
        <v>Primary</v>
      </c>
      <c r="G4232" t="str">
        <f>IFERROR(VLOOKUP(E4232, LookUP_Table!$A$1:$B$4, 2, FALSE), "")</f>
        <v>Primary</v>
      </c>
      <c r="H4232">
        <v>0</v>
      </c>
      <c r="I4232">
        <v>0</v>
      </c>
      <c r="J4232" t="str">
        <f t="shared" si="396"/>
        <v>Non-Smoker</v>
      </c>
      <c r="K4232">
        <v>0</v>
      </c>
      <c r="L4232">
        <v>0</v>
      </c>
      <c r="M4232">
        <v>1</v>
      </c>
      <c r="N4232">
        <v>0</v>
      </c>
      <c r="O4232">
        <v>176</v>
      </c>
      <c r="P4232" t="str">
        <f t="shared" si="397"/>
        <v>Normal</v>
      </c>
      <c r="Q4232">
        <v>168</v>
      </c>
      <c r="R4232">
        <v>97</v>
      </c>
      <c r="S4232">
        <v>23.14</v>
      </c>
      <c r="T4232" t="str">
        <f t="shared" si="398"/>
        <v>Normal</v>
      </c>
      <c r="U4232">
        <v>60</v>
      </c>
      <c r="V4232">
        <v>79</v>
      </c>
      <c r="W4232" t="str">
        <f t="shared" si="401"/>
        <v>Normal</v>
      </c>
      <c r="X4232">
        <v>1</v>
      </c>
    </row>
    <row r="4233" spans="1:24" ht="14.5" thickBot="1" x14ac:dyDescent="0.35">
      <c r="A4233">
        <v>0</v>
      </c>
      <c r="B4233" t="str">
        <f t="shared" si="399"/>
        <v>Female</v>
      </c>
      <c r="C4233" s="8">
        <v>69</v>
      </c>
      <c r="D4233" t="str">
        <f t="shared" si="400"/>
        <v>Senior</v>
      </c>
      <c r="E4233">
        <v>2</v>
      </c>
      <c r="F4233" t="str">
        <f>HLOOKUP(E4233, LookUP_Table!$A$6:$D$7, 2, FALSE)</f>
        <v>Secondary</v>
      </c>
      <c r="G4233" t="str">
        <f>IFERROR(VLOOKUP(E4233, LookUP_Table!$A$1:$B$4, 2, FALSE), "")</f>
        <v>Secondary</v>
      </c>
      <c r="H4233">
        <v>0</v>
      </c>
      <c r="I4233">
        <v>0</v>
      </c>
      <c r="J4233" t="str">
        <f t="shared" si="396"/>
        <v>Non-Smoker</v>
      </c>
      <c r="K4233">
        <v>0</v>
      </c>
      <c r="L4233">
        <v>0</v>
      </c>
      <c r="M4233">
        <v>1</v>
      </c>
      <c r="N4233">
        <v>0</v>
      </c>
      <c r="O4233">
        <v>215</v>
      </c>
      <c r="P4233" t="str">
        <f t="shared" si="397"/>
        <v>Normal</v>
      </c>
      <c r="Q4233">
        <v>164</v>
      </c>
      <c r="R4233">
        <v>80</v>
      </c>
      <c r="S4233">
        <v>17.23</v>
      </c>
      <c r="T4233" t="str">
        <f t="shared" si="398"/>
        <v>Underweight</v>
      </c>
      <c r="U4233">
        <v>100</v>
      </c>
      <c r="V4233">
        <v>81.96365524402907</v>
      </c>
      <c r="W4233" t="str">
        <f t="shared" si="401"/>
        <v>Normal</v>
      </c>
      <c r="X4233">
        <v>0</v>
      </c>
    </row>
    <row r="4234" spans="1:24" ht="14.5" thickBot="1" x14ac:dyDescent="0.35">
      <c r="A4234">
        <v>0</v>
      </c>
      <c r="B4234" t="str">
        <f t="shared" si="399"/>
        <v>Female</v>
      </c>
      <c r="C4234" s="8">
        <v>69</v>
      </c>
      <c r="D4234" t="str">
        <f t="shared" si="400"/>
        <v>Senior</v>
      </c>
      <c r="E4234">
        <v>3</v>
      </c>
      <c r="F4234" t="str">
        <f>HLOOKUP(E4234, LookUP_Table!$A$6:$D$7, 2, FALSE)</f>
        <v>Graduate</v>
      </c>
      <c r="G4234" t="str">
        <f>IFERROR(VLOOKUP(E4234, LookUP_Table!$A$1:$B$4, 2, FALSE), "")</f>
        <v>Graduate</v>
      </c>
      <c r="H4234">
        <v>0</v>
      </c>
      <c r="I4234">
        <v>0</v>
      </c>
      <c r="J4234" t="str">
        <f t="shared" si="396"/>
        <v>Non-Smoker</v>
      </c>
      <c r="K4234">
        <v>0</v>
      </c>
      <c r="L4234">
        <v>0</v>
      </c>
      <c r="M4234">
        <v>0</v>
      </c>
      <c r="N4234">
        <v>0</v>
      </c>
      <c r="O4234">
        <v>286</v>
      </c>
      <c r="P4234" t="str">
        <f t="shared" si="397"/>
        <v>High</v>
      </c>
      <c r="Q4234">
        <v>117</v>
      </c>
      <c r="R4234">
        <v>73</v>
      </c>
      <c r="S4234">
        <v>20.92</v>
      </c>
      <c r="T4234" t="str">
        <f t="shared" si="398"/>
        <v>Normal</v>
      </c>
      <c r="U4234">
        <v>85</v>
      </c>
      <c r="V4234">
        <v>103</v>
      </c>
      <c r="W4234" t="str">
        <f t="shared" si="401"/>
        <v>Prediabetes</v>
      </c>
      <c r="X4234">
        <v>0</v>
      </c>
    </row>
    <row r="4235" spans="1:24" ht="14.5" thickBot="1" x14ac:dyDescent="0.35">
      <c r="A4235">
        <v>1</v>
      </c>
      <c r="B4235" t="str">
        <f t="shared" si="399"/>
        <v>Male</v>
      </c>
      <c r="C4235" s="8">
        <v>69</v>
      </c>
      <c r="D4235" t="str">
        <f t="shared" si="400"/>
        <v>Senior</v>
      </c>
      <c r="E4235">
        <v>1</v>
      </c>
      <c r="F4235" t="str">
        <f>HLOOKUP(E4235, LookUP_Table!$A$6:$D$7, 2, FALSE)</f>
        <v>Primary</v>
      </c>
      <c r="G4235" t="str">
        <f>IFERROR(VLOOKUP(E4235, LookUP_Table!$A$1:$B$4, 2, FALSE), "")</f>
        <v>Primary</v>
      </c>
      <c r="H4235">
        <v>1</v>
      </c>
      <c r="I4235">
        <v>4</v>
      </c>
      <c r="J4235" t="str">
        <f t="shared" si="396"/>
        <v>Smoker</v>
      </c>
      <c r="K4235">
        <v>0</v>
      </c>
      <c r="L4235">
        <v>0</v>
      </c>
      <c r="M4235">
        <v>1</v>
      </c>
      <c r="N4235">
        <v>0</v>
      </c>
      <c r="O4235">
        <v>232</v>
      </c>
      <c r="P4235" t="str">
        <f t="shared" si="397"/>
        <v>Normal</v>
      </c>
      <c r="Q4235">
        <v>151</v>
      </c>
      <c r="R4235">
        <v>74</v>
      </c>
      <c r="S4235">
        <v>24.14</v>
      </c>
      <c r="T4235" t="str">
        <f t="shared" si="398"/>
        <v>Normal</v>
      </c>
      <c r="U4235">
        <v>75</v>
      </c>
      <c r="V4235">
        <v>62</v>
      </c>
      <c r="W4235" t="str">
        <f t="shared" si="401"/>
        <v>Normal</v>
      </c>
      <c r="X4235">
        <v>0</v>
      </c>
    </row>
    <row r="4236" spans="1:24" ht="14.5" thickBot="1" x14ac:dyDescent="0.35">
      <c r="A4236">
        <v>0</v>
      </c>
      <c r="B4236" t="str">
        <f t="shared" si="399"/>
        <v>Female</v>
      </c>
      <c r="C4236" s="8">
        <v>69</v>
      </c>
      <c r="D4236" t="str">
        <f t="shared" si="400"/>
        <v>Senior</v>
      </c>
      <c r="E4236">
        <v>3</v>
      </c>
      <c r="F4236" t="str">
        <f>HLOOKUP(E4236, LookUP_Table!$A$6:$D$7, 2, FALSE)</f>
        <v>Graduate</v>
      </c>
      <c r="G4236" t="str">
        <f>IFERROR(VLOOKUP(E4236, LookUP_Table!$A$1:$B$4, 2, FALSE), "")</f>
        <v>Graduate</v>
      </c>
      <c r="H4236">
        <v>0</v>
      </c>
      <c r="I4236">
        <v>0</v>
      </c>
      <c r="J4236" t="str">
        <f t="shared" si="396"/>
        <v>Non-Smoker</v>
      </c>
      <c r="K4236">
        <v>1</v>
      </c>
      <c r="L4236">
        <v>0</v>
      </c>
      <c r="M4236">
        <v>1</v>
      </c>
      <c r="N4236">
        <v>0</v>
      </c>
      <c r="O4236">
        <v>203</v>
      </c>
      <c r="P4236" t="str">
        <f t="shared" si="397"/>
        <v>Normal</v>
      </c>
      <c r="Q4236">
        <v>166</v>
      </c>
      <c r="R4236">
        <v>90</v>
      </c>
      <c r="S4236">
        <v>25.4</v>
      </c>
      <c r="T4236" t="str">
        <f t="shared" si="398"/>
        <v>Overweight</v>
      </c>
      <c r="U4236">
        <v>77</v>
      </c>
      <c r="V4236">
        <v>80</v>
      </c>
      <c r="W4236" t="str">
        <f t="shared" si="401"/>
        <v>Normal</v>
      </c>
      <c r="X4236">
        <v>0</v>
      </c>
    </row>
    <row r="4237" spans="1:24" ht="14.5" thickBot="1" x14ac:dyDescent="0.35">
      <c r="A4237">
        <v>1</v>
      </c>
      <c r="B4237" t="str">
        <f t="shared" si="399"/>
        <v>Male</v>
      </c>
      <c r="C4237" s="8">
        <v>69</v>
      </c>
      <c r="D4237" t="str">
        <f t="shared" si="400"/>
        <v>Senior</v>
      </c>
      <c r="E4237">
        <v>1</v>
      </c>
      <c r="F4237" t="str">
        <f>HLOOKUP(E4237, LookUP_Table!$A$6:$D$7, 2, FALSE)</f>
        <v>Primary</v>
      </c>
      <c r="G4237" t="str">
        <f>IFERROR(VLOOKUP(E4237, LookUP_Table!$A$1:$B$4, 2, FALSE), "")</f>
        <v>Primary</v>
      </c>
      <c r="H4237">
        <v>1</v>
      </c>
      <c r="I4237">
        <v>1</v>
      </c>
      <c r="J4237" t="str">
        <f t="shared" si="396"/>
        <v>Smoker</v>
      </c>
      <c r="K4237">
        <v>0</v>
      </c>
      <c r="L4237">
        <v>0</v>
      </c>
      <c r="M4237">
        <v>0</v>
      </c>
      <c r="N4237">
        <v>0</v>
      </c>
      <c r="O4237">
        <v>245</v>
      </c>
      <c r="P4237" t="str">
        <f t="shared" si="397"/>
        <v>High</v>
      </c>
      <c r="Q4237">
        <v>123</v>
      </c>
      <c r="R4237">
        <v>77</v>
      </c>
      <c r="S4237">
        <v>26.58</v>
      </c>
      <c r="T4237" t="str">
        <f t="shared" si="398"/>
        <v>Overweight</v>
      </c>
      <c r="U4237">
        <v>70</v>
      </c>
      <c r="V4237">
        <v>81</v>
      </c>
      <c r="W4237" t="str">
        <f t="shared" si="401"/>
        <v>Normal</v>
      </c>
      <c r="X4237">
        <v>1</v>
      </c>
    </row>
    <row r="4238" spans="1:24" ht="14.5" thickBot="1" x14ac:dyDescent="0.35">
      <c r="A4238">
        <v>1</v>
      </c>
      <c r="B4238" t="str">
        <f t="shared" si="399"/>
        <v>Male</v>
      </c>
      <c r="C4238" s="8">
        <v>69</v>
      </c>
      <c r="D4238" t="str">
        <f t="shared" si="400"/>
        <v>Senior</v>
      </c>
      <c r="E4238">
        <v>1</v>
      </c>
      <c r="F4238" t="str">
        <f>HLOOKUP(E4238, LookUP_Table!$A$6:$D$7, 2, FALSE)</f>
        <v>Primary</v>
      </c>
      <c r="G4238" t="str">
        <f>IFERROR(VLOOKUP(E4238, LookUP_Table!$A$1:$B$4, 2, FALSE), "")</f>
        <v>Primary</v>
      </c>
      <c r="H4238">
        <v>1</v>
      </c>
      <c r="I4238">
        <v>23</v>
      </c>
      <c r="J4238" t="str">
        <f t="shared" si="396"/>
        <v>Smoker</v>
      </c>
      <c r="K4238">
        <v>0</v>
      </c>
      <c r="L4238">
        <v>0</v>
      </c>
      <c r="M4238">
        <v>1</v>
      </c>
      <c r="N4238">
        <v>0</v>
      </c>
      <c r="O4238">
        <v>186</v>
      </c>
      <c r="P4238" t="str">
        <f t="shared" si="397"/>
        <v>Normal</v>
      </c>
      <c r="Q4238">
        <v>179</v>
      </c>
      <c r="R4238">
        <v>93</v>
      </c>
      <c r="S4238">
        <v>26.64</v>
      </c>
      <c r="T4238" t="str">
        <f t="shared" si="398"/>
        <v>Overweight</v>
      </c>
      <c r="U4238">
        <v>72</v>
      </c>
      <c r="V4238">
        <v>67</v>
      </c>
      <c r="W4238" t="str">
        <f t="shared" si="401"/>
        <v>Normal</v>
      </c>
      <c r="X4238">
        <v>0</v>
      </c>
    </row>
    <row r="4239" spans="1:24" ht="14.5" thickBot="1" x14ac:dyDescent="0.35">
      <c r="A4239">
        <v>0</v>
      </c>
      <c r="B4239" t="str">
        <f t="shared" si="399"/>
        <v>Female</v>
      </c>
      <c r="C4239" s="8">
        <v>69</v>
      </c>
      <c r="D4239" t="str">
        <f t="shared" si="400"/>
        <v>Senior</v>
      </c>
      <c r="E4239">
        <v>2</v>
      </c>
      <c r="F4239" t="str">
        <f>HLOOKUP(E4239, LookUP_Table!$A$6:$D$7, 2, FALSE)</f>
        <v>Secondary</v>
      </c>
      <c r="G4239" t="str">
        <f>IFERROR(VLOOKUP(E4239, LookUP_Table!$A$1:$B$4, 2, FALSE), "")</f>
        <v>Secondary</v>
      </c>
      <c r="H4239">
        <v>0</v>
      </c>
      <c r="I4239">
        <v>0</v>
      </c>
      <c r="J4239" t="str">
        <f t="shared" si="396"/>
        <v>Non-Smoker</v>
      </c>
      <c r="K4239">
        <v>1</v>
      </c>
      <c r="L4239">
        <v>0</v>
      </c>
      <c r="M4239">
        <v>1</v>
      </c>
      <c r="N4239">
        <v>0</v>
      </c>
      <c r="O4239">
        <v>220</v>
      </c>
      <c r="P4239" t="str">
        <f t="shared" si="397"/>
        <v>Normal</v>
      </c>
      <c r="Q4239">
        <v>143</v>
      </c>
      <c r="R4239">
        <v>81</v>
      </c>
      <c r="S4239">
        <v>26.27</v>
      </c>
      <c r="T4239" t="str">
        <f t="shared" si="398"/>
        <v>Overweight</v>
      </c>
      <c r="U4239">
        <v>60</v>
      </c>
      <c r="V4239">
        <v>77</v>
      </c>
      <c r="W4239" t="str">
        <f t="shared" si="401"/>
        <v>Normal</v>
      </c>
      <c r="X4239">
        <v>0</v>
      </c>
    </row>
    <row r="4240" spans="1:24" ht="14.5" thickBot="1" x14ac:dyDescent="0.35">
      <c r="A4240">
        <v>0</v>
      </c>
      <c r="B4240" t="str">
        <f t="shared" si="399"/>
        <v>Female</v>
      </c>
      <c r="C4240" s="8">
        <v>70</v>
      </c>
      <c r="D4240" t="str">
        <f t="shared" si="400"/>
        <v>Senior</v>
      </c>
      <c r="E4240">
        <v>1</v>
      </c>
      <c r="F4240" t="str">
        <f>HLOOKUP(E4240, LookUP_Table!$A$6:$D$7, 2, FALSE)</f>
        <v>Primary</v>
      </c>
      <c r="G4240" t="str">
        <f>IFERROR(VLOOKUP(E4240, LookUP_Table!$A$1:$B$4, 2, FALSE), "")</f>
        <v>Primary</v>
      </c>
      <c r="H4240">
        <v>0</v>
      </c>
      <c r="I4240">
        <v>0</v>
      </c>
      <c r="J4240" t="str">
        <f t="shared" si="396"/>
        <v>Non-Smoker</v>
      </c>
      <c r="K4240">
        <v>0</v>
      </c>
      <c r="L4240">
        <v>1</v>
      </c>
      <c r="M4240">
        <v>1</v>
      </c>
      <c r="N4240">
        <v>0</v>
      </c>
      <c r="O4240">
        <v>107</v>
      </c>
      <c r="P4240" t="str">
        <f t="shared" si="397"/>
        <v>Normal</v>
      </c>
      <c r="Q4240">
        <v>143</v>
      </c>
      <c r="R4240">
        <v>93</v>
      </c>
      <c r="S4240">
        <v>25.80080075811421</v>
      </c>
      <c r="T4240" t="str">
        <f t="shared" si="398"/>
        <v>Overweight</v>
      </c>
      <c r="U4240">
        <v>68</v>
      </c>
      <c r="V4240">
        <v>62</v>
      </c>
      <c r="W4240" t="str">
        <f t="shared" si="401"/>
        <v>Normal</v>
      </c>
      <c r="X4240">
        <v>1</v>
      </c>
    </row>
    <row r="4241" spans="1:24" ht="14.5" thickBot="1" x14ac:dyDescent="0.35">
      <c r="A4241">
        <v>0</v>
      </c>
      <c r="B4241" t="str">
        <f t="shared" si="399"/>
        <v>Female</v>
      </c>
      <c r="C4241" s="8">
        <v>70</v>
      </c>
      <c r="D4241" t="str">
        <f t="shared" si="400"/>
        <v>Senior</v>
      </c>
      <c r="E4241">
        <v>2</v>
      </c>
      <c r="F4241" t="str">
        <f>HLOOKUP(E4241, LookUP_Table!$A$6:$D$7, 2, FALSE)</f>
        <v>Secondary</v>
      </c>
      <c r="G4241" t="str">
        <f>IFERROR(VLOOKUP(E4241, LookUP_Table!$A$1:$B$4, 2, FALSE), "")</f>
        <v>Secondary</v>
      </c>
      <c r="H4241">
        <v>0</v>
      </c>
      <c r="I4241">
        <v>0</v>
      </c>
      <c r="J4241" t="str">
        <f t="shared" si="396"/>
        <v>Non-Smoker</v>
      </c>
      <c r="K4241">
        <v>1</v>
      </c>
      <c r="L4241">
        <v>0</v>
      </c>
      <c r="M4241">
        <v>1</v>
      </c>
      <c r="N4241">
        <v>0</v>
      </c>
      <c r="O4241">
        <v>231</v>
      </c>
      <c r="P4241" t="str">
        <f t="shared" si="397"/>
        <v>Normal</v>
      </c>
      <c r="Q4241">
        <v>136</v>
      </c>
      <c r="R4241">
        <v>84</v>
      </c>
      <c r="S4241">
        <v>31.78</v>
      </c>
      <c r="T4241" t="str">
        <f t="shared" si="398"/>
        <v>Obese</v>
      </c>
      <c r="U4241">
        <v>60</v>
      </c>
      <c r="V4241">
        <v>95</v>
      </c>
      <c r="W4241" t="str">
        <f t="shared" si="401"/>
        <v>Normal</v>
      </c>
      <c r="X4241">
        <v>0</v>
      </c>
    </row>
  </sheetData>
  <autoFilter ref="A1:Y4241" xr:uid="{1EE557A3-20FA-4A35-A62D-EF8978F3B7F8}"/>
  <conditionalFormatting sqref="S2:S4241">
    <cfRule type="cellIs" dxfId="2" priority="4" operator="greaterThan">
      <formula>30</formula>
    </cfRule>
  </conditionalFormatting>
  <conditionalFormatting sqref="O2:O4241">
    <cfRule type="cellIs" dxfId="1" priority="2" operator="greaterThan">
      <formula>240</formula>
    </cfRule>
  </conditionalFormatting>
  <conditionalFormatting sqref="X2:X4241">
    <cfRule type="cellIs" dxfId="0" priority="1" operator="equal">
      <formu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E29CC-3E6F-45BB-A1E3-AEB7B6A054C5}">
  <dimension ref="A1:F7"/>
  <sheetViews>
    <sheetView workbookViewId="0">
      <selection activeCell="H17" sqref="H17"/>
    </sheetView>
  </sheetViews>
  <sheetFormatPr defaultRowHeight="14" x14ac:dyDescent="0.3"/>
  <cols>
    <col min="1" max="1" width="16.54296875" customWidth="1"/>
    <col min="2" max="2" width="16.90625" customWidth="1"/>
  </cols>
  <sheetData>
    <row r="1" spans="1:6" x14ac:dyDescent="0.3">
      <c r="A1" s="6">
        <v>1</v>
      </c>
      <c r="B1" s="6" t="s">
        <v>19</v>
      </c>
    </row>
    <row r="2" spans="1:6" x14ac:dyDescent="0.3">
      <c r="A2" s="6">
        <v>2</v>
      </c>
      <c r="B2" s="6" t="s">
        <v>20</v>
      </c>
      <c r="F2" t="s">
        <v>25</v>
      </c>
    </row>
    <row r="3" spans="1:6" x14ac:dyDescent="0.3">
      <c r="A3" s="6">
        <v>3</v>
      </c>
      <c r="B3" s="6" t="s">
        <v>21</v>
      </c>
    </row>
    <row r="4" spans="1:6" x14ac:dyDescent="0.3">
      <c r="A4" s="6">
        <v>4</v>
      </c>
      <c r="B4" s="6" t="s">
        <v>22</v>
      </c>
    </row>
    <row r="6" spans="1:6" x14ac:dyDescent="0.3">
      <c r="A6" s="6">
        <v>1</v>
      </c>
      <c r="B6" s="6">
        <v>2</v>
      </c>
      <c r="C6" s="6">
        <v>3</v>
      </c>
      <c r="D6" s="6">
        <v>4</v>
      </c>
      <c r="F6" t="s">
        <v>24</v>
      </c>
    </row>
    <row r="7" spans="1:6" ht="28" x14ac:dyDescent="0.3">
      <c r="A7" s="6" t="s">
        <v>19</v>
      </c>
      <c r="B7" s="6" t="s">
        <v>20</v>
      </c>
      <c r="C7" s="6" t="s">
        <v>21</v>
      </c>
      <c r="D7" s="6"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1"/>
  <sheetViews>
    <sheetView topLeftCell="A78" zoomScale="60" zoomScaleNormal="68" workbookViewId="0">
      <selection activeCell="P212" sqref="P212"/>
    </sheetView>
  </sheetViews>
  <sheetFormatPr defaultRowHeight="14" x14ac:dyDescent="0.3"/>
  <cols>
    <col min="1" max="1" width="31.26953125" bestFit="1" customWidth="1"/>
    <col min="2" max="2" width="24.90625" bestFit="1" customWidth="1"/>
    <col min="3" max="3" width="9.453125" bestFit="1" customWidth="1"/>
    <col min="4" max="4" width="15.81640625" bestFit="1" customWidth="1"/>
    <col min="5" max="5" width="11.81640625" bestFit="1" customWidth="1"/>
    <col min="6" max="6" width="11.453125" bestFit="1" customWidth="1"/>
  </cols>
  <sheetData>
    <row r="1" spans="1:2" x14ac:dyDescent="0.3">
      <c r="A1" t="s">
        <v>27</v>
      </c>
    </row>
    <row r="2" spans="1:2" x14ac:dyDescent="0.3">
      <c r="A2" s="2" t="s">
        <v>28</v>
      </c>
      <c r="B2" t="s">
        <v>72</v>
      </c>
    </row>
    <row r="3" spans="1:2" x14ac:dyDescent="0.3">
      <c r="A3" s="3" t="s">
        <v>29</v>
      </c>
      <c r="B3" s="4">
        <v>0.14498834498834498</v>
      </c>
    </row>
    <row r="4" spans="1:2" x14ac:dyDescent="0.3">
      <c r="A4" s="3" t="s">
        <v>30</v>
      </c>
      <c r="B4" s="4">
        <v>0.15894988066825777</v>
      </c>
    </row>
    <row r="5" spans="1:2" x14ac:dyDescent="0.3">
      <c r="A5" s="3" t="s">
        <v>31</v>
      </c>
      <c r="B5" s="4">
        <v>0.15188679245283018</v>
      </c>
    </row>
    <row r="7" spans="1:2" x14ac:dyDescent="0.3">
      <c r="A7" s="3" t="s">
        <v>32</v>
      </c>
    </row>
    <row r="16" spans="1:2" x14ac:dyDescent="0.3">
      <c r="A16" t="s">
        <v>63</v>
      </c>
    </row>
    <row r="18" spans="1:2" x14ac:dyDescent="0.3">
      <c r="A18" s="2" t="s">
        <v>28</v>
      </c>
      <c r="B18" t="s">
        <v>73</v>
      </c>
    </row>
    <row r="19" spans="1:2" x14ac:dyDescent="0.3">
      <c r="A19" s="3" t="s">
        <v>33</v>
      </c>
      <c r="B19" s="4">
        <v>0.1213903743315508</v>
      </c>
    </row>
    <row r="20" spans="1:2" x14ac:dyDescent="0.3">
      <c r="A20" s="3" t="s">
        <v>34</v>
      </c>
      <c r="B20" s="4">
        <v>0.19480519480519481</v>
      </c>
    </row>
    <row r="21" spans="1:2" x14ac:dyDescent="0.3">
      <c r="A21" s="3" t="s">
        <v>35</v>
      </c>
      <c r="B21" s="4">
        <v>0.17136414881623449</v>
      </c>
    </row>
    <row r="22" spans="1:2" x14ac:dyDescent="0.3">
      <c r="A22" s="3" t="s">
        <v>36</v>
      </c>
      <c r="B22" s="4">
        <v>0.14035087719298245</v>
      </c>
    </row>
    <row r="23" spans="1:2" x14ac:dyDescent="0.3">
      <c r="A23" s="3" t="s">
        <v>31</v>
      </c>
      <c r="B23" s="4">
        <v>0.15188679245283018</v>
      </c>
    </row>
    <row r="25" spans="1:2" x14ac:dyDescent="0.3">
      <c r="A25" s="3" t="s">
        <v>74</v>
      </c>
    </row>
    <row r="32" spans="1:2" x14ac:dyDescent="0.3">
      <c r="A32" t="s">
        <v>40</v>
      </c>
    </row>
    <row r="34" spans="1:2" x14ac:dyDescent="0.3">
      <c r="A34" s="2" t="s">
        <v>28</v>
      </c>
      <c r="B34" t="s">
        <v>55</v>
      </c>
    </row>
    <row r="35" spans="1:2" x14ac:dyDescent="0.3">
      <c r="A35" s="3" t="s">
        <v>37</v>
      </c>
      <c r="B35" s="4">
        <v>0.12336290663286861</v>
      </c>
    </row>
    <row r="36" spans="1:2" x14ac:dyDescent="0.3">
      <c r="A36" s="3" t="s">
        <v>38</v>
      </c>
      <c r="B36" s="4">
        <v>0.24981017463933181</v>
      </c>
    </row>
    <row r="37" spans="1:2" x14ac:dyDescent="0.3">
      <c r="A37" s="3" t="s">
        <v>39</v>
      </c>
      <c r="B37" s="4">
        <v>4.1366906474820143E-2</v>
      </c>
    </row>
    <row r="38" spans="1:2" x14ac:dyDescent="0.3">
      <c r="A38" s="3" t="s">
        <v>31</v>
      </c>
      <c r="B38" s="4">
        <v>0.15188679245283018</v>
      </c>
    </row>
    <row r="40" spans="1:2" x14ac:dyDescent="0.3">
      <c r="A40" s="3" t="s">
        <v>76</v>
      </c>
    </row>
    <row r="47" spans="1:2" x14ac:dyDescent="0.3">
      <c r="A47" t="s">
        <v>41</v>
      </c>
    </row>
    <row r="49" spans="1:2" x14ac:dyDescent="0.3">
      <c r="A49" s="2" t="s">
        <v>28</v>
      </c>
      <c r="B49" t="s">
        <v>75</v>
      </c>
    </row>
    <row r="50" spans="1:2" x14ac:dyDescent="0.3">
      <c r="A50" s="3" t="s">
        <v>21</v>
      </c>
      <c r="B50" s="4">
        <v>0.12772133526850507</v>
      </c>
    </row>
    <row r="51" spans="1:2" x14ac:dyDescent="0.3">
      <c r="A51" s="3" t="s">
        <v>22</v>
      </c>
      <c r="B51" s="4">
        <v>0.14799154334038056</v>
      </c>
    </row>
    <row r="52" spans="1:2" x14ac:dyDescent="0.3">
      <c r="A52" s="3" t="s">
        <v>19</v>
      </c>
      <c r="B52" s="4">
        <v>0.18575342465753425</v>
      </c>
    </row>
    <row r="53" spans="1:2" x14ac:dyDescent="0.3">
      <c r="A53" s="3" t="s">
        <v>20</v>
      </c>
      <c r="B53" s="4">
        <v>0.11731843575418995</v>
      </c>
    </row>
    <row r="54" spans="1:2" x14ac:dyDescent="0.3">
      <c r="A54" s="3" t="s">
        <v>31</v>
      </c>
      <c r="B54" s="4">
        <v>0.15188679245283018</v>
      </c>
    </row>
    <row r="56" spans="1:2" x14ac:dyDescent="0.3">
      <c r="A56" s="3" t="s">
        <v>42</v>
      </c>
    </row>
    <row r="57" spans="1:2" x14ac:dyDescent="0.3">
      <c r="A57" s="3" t="s">
        <v>43</v>
      </c>
    </row>
    <row r="58" spans="1:2" x14ac:dyDescent="0.3">
      <c r="A58" s="3" t="s">
        <v>44</v>
      </c>
    </row>
    <row r="66" spans="1:2" x14ac:dyDescent="0.3">
      <c r="A66" t="s">
        <v>45</v>
      </c>
    </row>
    <row r="68" spans="1:2" x14ac:dyDescent="0.3">
      <c r="A68" s="2" t="s">
        <v>28</v>
      </c>
      <c r="B68" t="s">
        <v>55</v>
      </c>
    </row>
    <row r="69" spans="1:2" x14ac:dyDescent="0.3">
      <c r="A69" s="3" t="s">
        <v>48</v>
      </c>
      <c r="B69" s="4">
        <v>0.1243801652892562</v>
      </c>
    </row>
    <row r="70" spans="1:2" x14ac:dyDescent="0.3">
      <c r="A70" s="3" t="s">
        <v>49</v>
      </c>
      <c r="B70" s="4">
        <v>0.18846153846153846</v>
      </c>
    </row>
    <row r="71" spans="1:2" x14ac:dyDescent="0.3">
      <c r="A71" s="3" t="s">
        <v>31</v>
      </c>
      <c r="B71" s="4">
        <v>0.15188679245283018</v>
      </c>
    </row>
    <row r="73" spans="1:2" x14ac:dyDescent="0.3">
      <c r="A73" t="s">
        <v>47</v>
      </c>
    </row>
    <row r="80" spans="1:2" x14ac:dyDescent="0.3">
      <c r="A80" t="s">
        <v>51</v>
      </c>
    </row>
    <row r="82" spans="1:2" x14ac:dyDescent="0.3">
      <c r="A82" s="2" t="s">
        <v>28</v>
      </c>
      <c r="B82" t="s">
        <v>55</v>
      </c>
    </row>
    <row r="83" spans="1:2" x14ac:dyDescent="0.3">
      <c r="A83" s="3" t="s">
        <v>33</v>
      </c>
      <c r="B83" s="4">
        <v>0.15118223071411513</v>
      </c>
    </row>
    <row r="84" spans="1:2" x14ac:dyDescent="0.3">
      <c r="A84" s="3" t="s">
        <v>54</v>
      </c>
      <c r="B84" s="4">
        <v>0.20754716981132076</v>
      </c>
    </row>
    <row r="85" spans="1:2" x14ac:dyDescent="0.3">
      <c r="A85" s="3" t="s">
        <v>31</v>
      </c>
      <c r="B85" s="4">
        <v>0.15188679245283018</v>
      </c>
    </row>
    <row r="87" spans="1:2" ht="56" x14ac:dyDescent="0.3">
      <c r="A87" s="5" t="s">
        <v>60</v>
      </c>
    </row>
    <row r="94" spans="1:2" x14ac:dyDescent="0.3">
      <c r="A94" t="s">
        <v>57</v>
      </c>
    </row>
    <row r="96" spans="1:2" x14ac:dyDescent="0.3">
      <c r="A96" s="2" t="s">
        <v>28</v>
      </c>
      <c r="B96" t="s">
        <v>55</v>
      </c>
    </row>
    <row r="97" spans="1:2" x14ac:dyDescent="0.3">
      <c r="A97" s="3">
        <v>0</v>
      </c>
      <c r="B97" s="4">
        <v>0.14650145772594753</v>
      </c>
    </row>
    <row r="98" spans="1:2" x14ac:dyDescent="0.3">
      <c r="A98" s="3">
        <v>1</v>
      </c>
      <c r="B98" s="4">
        <v>0.33064516129032256</v>
      </c>
    </row>
    <row r="99" spans="1:2" x14ac:dyDescent="0.3">
      <c r="A99" s="3" t="s">
        <v>31</v>
      </c>
      <c r="B99" s="4">
        <v>0.15188679245283018</v>
      </c>
    </row>
    <row r="101" spans="1:2" x14ac:dyDescent="0.3">
      <c r="A101" t="s">
        <v>58</v>
      </c>
    </row>
    <row r="102" spans="1:2" x14ac:dyDescent="0.3">
      <c r="A102" t="s">
        <v>50</v>
      </c>
    </row>
    <row r="112" spans="1:2" x14ac:dyDescent="0.3">
      <c r="A112" t="s">
        <v>56</v>
      </c>
    </row>
    <row r="113" spans="1:2" x14ac:dyDescent="0.3">
      <c r="A113" s="2" t="s">
        <v>28</v>
      </c>
      <c r="B113" t="s">
        <v>55</v>
      </c>
    </row>
    <row r="114" spans="1:2" x14ac:dyDescent="0.3">
      <c r="A114" s="3" t="s">
        <v>53</v>
      </c>
      <c r="B114" s="4">
        <v>0.17928730512249444</v>
      </c>
    </row>
    <row r="115" spans="1:2" x14ac:dyDescent="0.3">
      <c r="A115" s="3" t="s">
        <v>33</v>
      </c>
      <c r="B115" s="4">
        <v>0.13175122749590834</v>
      </c>
    </row>
    <row r="116" spans="1:2" x14ac:dyDescent="0.3">
      <c r="A116" s="3" t="s">
        <v>31</v>
      </c>
      <c r="B116" s="4">
        <v>0.15188679245283018</v>
      </c>
    </row>
    <row r="118" spans="1:2" ht="42" x14ac:dyDescent="0.3">
      <c r="A118" s="5" t="s">
        <v>59</v>
      </c>
    </row>
    <row r="130" spans="1:4" x14ac:dyDescent="0.3">
      <c r="A130" t="s">
        <v>61</v>
      </c>
    </row>
    <row r="132" spans="1:4" x14ac:dyDescent="0.3">
      <c r="A132" s="2" t="s">
        <v>55</v>
      </c>
      <c r="B132" s="2" t="s">
        <v>62</v>
      </c>
    </row>
    <row r="133" spans="1:4" x14ac:dyDescent="0.3">
      <c r="A133" s="2" t="s">
        <v>28</v>
      </c>
      <c r="B133" t="s">
        <v>48</v>
      </c>
      <c r="C133" t="s">
        <v>49</v>
      </c>
      <c r="D133" t="s">
        <v>31</v>
      </c>
    </row>
    <row r="134" spans="1:4" x14ac:dyDescent="0.3">
      <c r="A134" s="3" t="s">
        <v>37</v>
      </c>
      <c r="B134" s="4">
        <v>8.8938714499252614E-2</v>
      </c>
      <c r="C134" s="4">
        <v>0.16812439261418854</v>
      </c>
      <c r="D134" s="4">
        <v>0.12336290663286861</v>
      </c>
    </row>
    <row r="135" spans="1:4" x14ac:dyDescent="0.3">
      <c r="A135" s="3" t="s">
        <v>38</v>
      </c>
      <c r="B135" s="4">
        <v>0.22464698331193839</v>
      </c>
      <c r="C135" s="4">
        <v>0.28624535315985128</v>
      </c>
      <c r="D135" s="4">
        <v>0.24981017463933181</v>
      </c>
    </row>
    <row r="136" spans="1:4" x14ac:dyDescent="0.3">
      <c r="A136" s="3" t="s">
        <v>39</v>
      </c>
      <c r="B136" s="4">
        <v>2.3102310231023101E-2</v>
      </c>
      <c r="C136" s="4">
        <v>6.3241106719367585E-2</v>
      </c>
      <c r="D136" s="4">
        <v>4.1366906474820143E-2</v>
      </c>
    </row>
    <row r="137" spans="1:4" x14ac:dyDescent="0.3">
      <c r="A137" s="3" t="s">
        <v>31</v>
      </c>
      <c r="B137" s="4">
        <v>0.1243801652892562</v>
      </c>
      <c r="C137" s="4">
        <v>0.18846153846153846</v>
      </c>
      <c r="D137" s="4">
        <v>0.15188679245283018</v>
      </c>
    </row>
    <row r="139" spans="1:4" x14ac:dyDescent="0.3">
      <c r="A139" s="3" t="s">
        <v>79</v>
      </c>
    </row>
    <row r="140" spans="1:4" x14ac:dyDescent="0.3">
      <c r="A140" t="s">
        <v>80</v>
      </c>
    </row>
    <row r="149" spans="1:4" x14ac:dyDescent="0.3">
      <c r="A149" t="s">
        <v>78</v>
      </c>
    </row>
    <row r="154" spans="1:4" x14ac:dyDescent="0.3">
      <c r="A154" s="2" t="s">
        <v>55</v>
      </c>
      <c r="B154" s="2" t="s">
        <v>62</v>
      </c>
    </row>
    <row r="155" spans="1:4" x14ac:dyDescent="0.3">
      <c r="A155" s="2" t="s">
        <v>28</v>
      </c>
      <c r="B155" t="s">
        <v>29</v>
      </c>
      <c r="C155" t="s">
        <v>30</v>
      </c>
      <c r="D155" t="s">
        <v>31</v>
      </c>
    </row>
    <row r="156" spans="1:4" x14ac:dyDescent="0.3">
      <c r="A156" s="3" t="s">
        <v>37</v>
      </c>
      <c r="B156" s="4">
        <v>9.9530516431924884E-2</v>
      </c>
      <c r="C156" s="4">
        <v>0.14285714285714285</v>
      </c>
      <c r="D156" s="4">
        <v>0.12336290663286861</v>
      </c>
    </row>
    <row r="157" spans="1:4" x14ac:dyDescent="0.3">
      <c r="A157" s="3" t="s">
        <v>38</v>
      </c>
      <c r="B157" s="4">
        <v>0.23501762632197415</v>
      </c>
      <c r="C157" s="4">
        <v>0.27682403433476394</v>
      </c>
      <c r="D157" s="4">
        <v>0.24981017463933181</v>
      </c>
    </row>
    <row r="158" spans="1:4" x14ac:dyDescent="0.3">
      <c r="A158" s="3" t="s">
        <v>39</v>
      </c>
      <c r="B158" s="4">
        <v>2.1834061135371178E-2</v>
      </c>
      <c r="C158" s="4">
        <v>5.5045871559633031E-2</v>
      </c>
      <c r="D158" s="4">
        <v>4.1366906474820143E-2</v>
      </c>
    </row>
    <row r="159" spans="1:4" x14ac:dyDescent="0.3">
      <c r="A159" s="3" t="s">
        <v>31</v>
      </c>
      <c r="B159" s="4">
        <v>0.14498834498834498</v>
      </c>
      <c r="C159" s="4">
        <v>0.15894988066825777</v>
      </c>
      <c r="D159" s="4">
        <v>0.15188679245283018</v>
      </c>
    </row>
    <row r="161" spans="1:1" x14ac:dyDescent="0.3">
      <c r="A161" s="3" t="s">
        <v>77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B68B9-DA04-4212-B669-B0BE3713C9E7}">
  <dimension ref="A1"/>
  <sheetViews>
    <sheetView topLeftCell="A2" zoomScale="37" zoomScaleNormal="55" workbookViewId="0">
      <selection activeCell="X37" sqref="X37"/>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415A4-AA87-4783-A4C9-F67CB3FFD9F6}">
  <dimension ref="A1:B7"/>
  <sheetViews>
    <sheetView zoomScale="72" workbookViewId="0">
      <selection activeCell="E11" sqref="E11"/>
    </sheetView>
  </sheetViews>
  <sheetFormatPr defaultRowHeight="14" x14ac:dyDescent="0.3"/>
  <cols>
    <col min="1" max="1" width="15.26953125" bestFit="1" customWidth="1"/>
    <col min="2" max="2" width="11" customWidth="1"/>
  </cols>
  <sheetData>
    <row r="1" spans="1:2" x14ac:dyDescent="0.3">
      <c r="A1" t="s">
        <v>70</v>
      </c>
      <c r="B1" t="s">
        <v>71</v>
      </c>
    </row>
    <row r="2" spans="1:2" x14ac:dyDescent="0.3">
      <c r="A2" t="s">
        <v>64</v>
      </c>
      <c r="B2">
        <f>COUNTA(framingham!X:X,0)</f>
        <v>4242</v>
      </c>
    </row>
    <row r="3" spans="1:2" x14ac:dyDescent="0.3">
      <c r="A3" t="s">
        <v>69</v>
      </c>
      <c r="B3">
        <f>COUNTIF(framingham!X:X,0)</f>
        <v>3596</v>
      </c>
    </row>
    <row r="4" spans="1:2" x14ac:dyDescent="0.3">
      <c r="A4" t="s">
        <v>65</v>
      </c>
      <c r="B4">
        <f>COUNTIF(framingham!X:X,1)</f>
        <v>644</v>
      </c>
    </row>
    <row r="5" spans="1:2" x14ac:dyDescent="0.3">
      <c r="A5" t="s">
        <v>66</v>
      </c>
      <c r="B5" s="4">
        <f xml:space="preserve"> B4 / B3</f>
        <v>0.17908787541713014</v>
      </c>
    </row>
    <row r="6" spans="1:2" x14ac:dyDescent="0.3">
      <c r="A6" t="s">
        <v>67</v>
      </c>
      <c r="B6">
        <f>COUNTIF(framingham!J:J,"Smoker")</f>
        <v>2095</v>
      </c>
    </row>
    <row r="7" spans="1:2" x14ac:dyDescent="0.3">
      <c r="A7" t="s">
        <v>68</v>
      </c>
      <c r="B7" s="4">
        <f>COUNTIF(framingham!T:T,"Obese")/COUNTA(framingham!T:T)</f>
        <v>0.1270926668238623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framingham</vt:lpstr>
      <vt:lpstr>LookUP_Table</vt:lpstr>
      <vt:lpstr>Pivot Analysis</vt:lpstr>
      <vt:lpstr>Dashboards</vt:lpstr>
      <vt:lpstr>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Vanshika Singh</cp:lastModifiedBy>
  <dcterms:created xsi:type="dcterms:W3CDTF">2026-02-18T13:36:32Z</dcterms:created>
  <dcterms:modified xsi:type="dcterms:W3CDTF">2026-04-03T12:27:03Z</dcterms:modified>
</cp:coreProperties>
</file>